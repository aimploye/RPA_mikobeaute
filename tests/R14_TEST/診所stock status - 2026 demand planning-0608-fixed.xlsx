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723" firstSheet="0" activeTab="0" autoFilterDateGrouping="1"/>
  </bookViews>
  <sheets>
    <sheet name="Summary" sheetId="1" state="visible" r:id="rId1"/>
    <sheet name="站前4樓" sheetId="2" state="visible" r:id="rId2"/>
    <sheet name="站前11樓" sheetId="3" state="visible" r:id="rId3"/>
    <sheet name="忠孝國際醫學3樓" sheetId="4" state="visible" r:id="rId4"/>
    <sheet name="忠孝7樓" sheetId="5" state="visible" r:id="rId5"/>
    <sheet name="忠孝健康7樓" sheetId="6" state="visible" r:id="rId6"/>
    <sheet name="領用表" sheetId="7" state="visible" r:id="rId7"/>
  </sheets>
  <definedNames>
    <definedName name="_xlnm._FilterDatabase" localSheetId="6" hidden="1">'領用表'!$A$1:$N$2477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yyyy/mm"/>
    <numFmt numFmtId="165" formatCode="yyyy/m"/>
    <numFmt numFmtId="166" formatCode="#,##0.0"/>
    <numFmt numFmtId="167" formatCode="&quot;1顆=&quot;#,##0&quot;條&quot;"/>
    <numFmt numFmtId="168" formatCode="0.0"/>
    <numFmt numFmtId="169" formatCode="[$-1010404]General"/>
    <numFmt numFmtId="170" formatCode="[$-1010404]#,##0.##"/>
    <numFmt numFmtId="171" formatCode="#,##0.000"/>
    <numFmt numFmtId="172" formatCode="#,##0.00_ "/>
  </numFmts>
  <fonts count="117">
    <font>
      <name val="Arial"/>
      <color rgb="FF000000"/>
      <sz val="10"/>
      <scheme val="minor"/>
    </font>
    <font>
      <name val="Arial"/>
      <charset val="136"/>
      <family val="2"/>
      <color theme="1"/>
      <sz val="12"/>
      <scheme val="minor"/>
    </font>
    <font>
      <name val="微軟正黑體"/>
      <charset val="136"/>
      <family val="2"/>
      <b val="1"/>
      <color rgb="FF000000"/>
      <sz val="13"/>
    </font>
    <font>
      <name val="Calibri"/>
      <family val="2"/>
      <color rgb="FF666666"/>
      <sz val="12"/>
    </font>
    <font>
      <name val="Calibri"/>
      <family val="2"/>
      <color rgb="FF000000"/>
      <sz val="10"/>
    </font>
    <font>
      <name val="微軟正黑體"/>
      <charset val="136"/>
      <family val="2"/>
      <color rgb="FFFF0000"/>
      <sz val="12"/>
    </font>
    <font>
      <name val="Calibri"/>
      <family val="2"/>
      <color rgb="FF00B050"/>
      <sz val="12"/>
    </font>
    <font>
      <name val="微軟正黑體"/>
      <charset val="136"/>
      <family val="2"/>
      <b val="1"/>
      <color rgb="FF0000FF"/>
      <sz val="12"/>
      <u val="single"/>
    </font>
    <font>
      <name val="Calibri"/>
      <family val="2"/>
      <color rgb="FFFF0000"/>
      <sz val="12"/>
    </font>
    <font>
      <name val="微軟正黑體"/>
      <charset val="136"/>
      <family val="2"/>
      <b val="1"/>
      <color rgb="FF0066FF"/>
      <sz val="12"/>
      <u val="single"/>
    </font>
    <font>
      <name val="Arial"/>
      <family val="2"/>
      <color rgb="FF666666"/>
      <sz val="10"/>
      <scheme val="minor"/>
    </font>
    <font>
      <name val="Aptos Narrow"/>
      <family val="2"/>
      <color theme="1"/>
      <sz val="12"/>
    </font>
    <font>
      <name val="Calibri"/>
      <family val="2"/>
      <color rgb="FF000000"/>
      <sz val="12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color rgb="FF4A86E8"/>
      <sz val="12"/>
    </font>
    <font>
      <name val="Arial"/>
      <family val="2"/>
      <sz val="10"/>
    </font>
    <font>
      <name val="微軟正黑體"/>
      <charset val="136"/>
      <family val="2"/>
      <b val="1"/>
      <color rgb="FF0000FF"/>
      <sz val="12"/>
      <u val="single"/>
    </font>
    <font>
      <name val="Calibri"/>
      <family val="2"/>
      <b val="1"/>
      <color rgb="FF00B050"/>
      <sz val="12"/>
    </font>
    <font>
      <name val="微軟正黑體"/>
      <charset val="136"/>
      <family val="2"/>
      <b val="1"/>
      <color rgb="FF4A86E8"/>
      <sz val="12"/>
    </font>
    <font>
      <name val="Calibri"/>
      <family val="2"/>
      <color rgb="FFBE5014"/>
      <sz val="12"/>
    </font>
    <font>
      <name val="Calibri"/>
      <family val="2"/>
      <b val="1"/>
      <color rgb="FFBE5014"/>
      <sz val="12"/>
    </font>
    <font>
      <name val="微軟正黑體"/>
      <charset val="136"/>
      <family val="2"/>
      <color rgb="FF666666"/>
      <sz val="12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color rgb="FF990000"/>
      <sz val="12"/>
    </font>
    <font>
      <name val="微軟正黑體"/>
      <charset val="136"/>
      <family val="2"/>
      <color rgb="FF0000FF"/>
      <sz val="12"/>
    </font>
    <font>
      <name val="微軟正黑體"/>
      <charset val="136"/>
      <family val="2"/>
      <color rgb="FF980000"/>
      <sz val="12"/>
    </font>
    <font>
      <name val="微軟正黑體"/>
      <charset val="136"/>
      <family val="2"/>
      <color rgb="FF3C78D8"/>
      <sz val="12"/>
    </font>
    <font>
      <name val="Arial"/>
      <family val="2"/>
      <color theme="1"/>
      <sz val="12"/>
    </font>
    <font>
      <name val="Arial"/>
      <family val="2"/>
      <color rgb="FF666666"/>
      <sz val="12"/>
    </font>
    <font>
      <name val="微軟正黑體"/>
      <charset val="136"/>
      <family val="2"/>
      <color rgb="FF666666"/>
      <sz val="12"/>
      <u val="single"/>
    </font>
    <font>
      <name val="微軟正黑體"/>
      <charset val="136"/>
      <family val="2"/>
      <color rgb="FF3D85C6"/>
      <sz val="12"/>
    </font>
    <font>
      <name val="Microsoft JhengHei"/>
      <charset val="136"/>
      <family val="2"/>
      <color theme="1"/>
      <sz val="11"/>
    </font>
    <font>
      <name val="微軟正黑體"/>
      <charset val="136"/>
      <family val="2"/>
      <color rgb="FF0000FF"/>
      <sz val="10"/>
    </font>
    <font>
      <name val="Arial"/>
      <family val="2"/>
      <color rgb="FF000000"/>
      <sz val="10"/>
    </font>
    <font>
      <name val="微軟正黑體"/>
      <charset val="136"/>
      <family val="2"/>
      <color rgb="FFB7B7B7"/>
      <sz val="12"/>
    </font>
    <font>
      <name val="Arial"/>
      <family val="2"/>
      <color theme="1"/>
      <sz val="10"/>
    </font>
    <font>
      <name val="Aptos Narrow"/>
      <family val="2"/>
      <color rgb="FF666666"/>
      <sz val="12"/>
    </font>
    <font>
      <name val="Aptos Narrow"/>
      <family val="2"/>
      <color theme="1"/>
      <sz val="10"/>
    </font>
    <font>
      <name val="Aptos Narrow"/>
      <family val="2"/>
      <color rgb="FF4A86E8"/>
      <sz val="12"/>
    </font>
    <font>
      <name val="Aptos Narrow"/>
      <family val="2"/>
      <color rgb="FF990000"/>
      <sz val="12"/>
    </font>
    <font>
      <name val="Aptos Narrow"/>
      <family val="2"/>
      <color rgb="FF0066FF"/>
      <sz val="12"/>
    </font>
    <font>
      <name val="Arial"/>
      <family val="2"/>
      <color theme="1"/>
      <sz val="10"/>
    </font>
    <font>
      <name val="微軟正黑體"/>
      <charset val="136"/>
      <family val="2"/>
      <color rgb="FF666666"/>
      <sz val="12"/>
      <u val="single"/>
    </font>
    <font>
      <name val="微軟正黑體"/>
      <charset val="136"/>
      <family val="2"/>
      <strike val="1"/>
      <color rgb="FF990000"/>
      <sz val="12"/>
    </font>
    <font>
      <name val="新細明體"/>
      <charset val="136"/>
      <family val="1"/>
      <color rgb="FF666666"/>
      <sz val="12"/>
      <u val="single"/>
    </font>
    <font>
      <name val="新細明體"/>
      <charset val="136"/>
      <family val="1"/>
      <color rgb="FF666666"/>
      <sz val="12"/>
      <u val="single"/>
    </font>
    <font>
      <name val="Arial"/>
      <family val="2"/>
      <color rgb="FF990000"/>
      <sz val="10"/>
      <scheme val="minor"/>
    </font>
    <font>
      <name val="Arial"/>
      <family val="2"/>
      <color rgb="FF4A86E8"/>
      <sz val="10"/>
      <scheme val="minor"/>
    </font>
    <font>
      <name val="Arial"/>
      <family val="2"/>
      <color theme="1"/>
      <sz val="10"/>
      <scheme val="minor"/>
    </font>
    <font>
      <name val="微軟正黑體, sans-serif"/>
      <charset val="136"/>
      <family val="3"/>
      <b val="1"/>
      <color rgb="FF000000"/>
      <sz val="12"/>
    </font>
    <font>
      <name val="微軟正黑體, sans-serif"/>
      <charset val="136"/>
      <family val="3"/>
      <b val="1"/>
      <color rgb="FF0000FF"/>
      <sz val="12"/>
    </font>
    <font>
      <name val="微軟正黑體, sans-serif"/>
      <charset val="136"/>
      <family val="3"/>
      <b val="1"/>
      <color rgb="FF0000FF"/>
      <sz val="12"/>
      <u val="single"/>
    </font>
    <font>
      <name val="微軟正黑體, sans-serif"/>
      <charset val="136"/>
      <family val="3"/>
      <b val="1"/>
      <color rgb="FF000000"/>
      <sz val="12"/>
      <u val="single"/>
    </font>
    <font>
      <name val="Arial"/>
      <charset val="136"/>
      <family val="3"/>
      <sz val="9"/>
      <scheme val="minor"/>
    </font>
    <font>
      <name val="微軟正黑體"/>
      <charset val="136"/>
      <family val="2"/>
      <sz val="10"/>
    </font>
    <font>
      <name val="Calibri"/>
      <family val="2"/>
      <sz val="12"/>
    </font>
    <font>
      <name val="Calibri"/>
      <family val="2"/>
      <sz val="14"/>
    </font>
    <font>
      <name val="Arial"/>
      <family val="2"/>
      <sz val="10"/>
    </font>
    <font>
      <name val="微軟正黑體"/>
      <charset val="136"/>
      <family val="2"/>
      <sz val="12"/>
    </font>
    <font>
      <name val="Arial"/>
      <family val="2"/>
      <sz val="12"/>
    </font>
    <font>
      <name val="Aptos Narrow"/>
      <family val="2"/>
      <sz val="12"/>
    </font>
    <font>
      <name val="Arial"/>
      <family val="2"/>
      <sz val="10"/>
      <scheme val="minor"/>
    </font>
    <font>
      <name val="Arial"/>
      <family val="2"/>
      <color rgb="FF000000"/>
      <sz val="10"/>
      <scheme val="minor"/>
    </font>
    <font>
      <name val="細明體"/>
      <charset val="136"/>
      <family val="3"/>
      <b val="1"/>
      <color rgb="FF00B050"/>
      <sz val="12"/>
    </font>
    <font>
      <name val="新細明體"/>
      <charset val="136"/>
      <family val="1"/>
      <color indexed="9"/>
      <sz val="12"/>
    </font>
    <font>
      <name val="Arial"/>
      <family val="2"/>
      <color rgb="FF000000"/>
      <sz val="12"/>
      <scheme val="minor"/>
    </font>
    <font>
      <name val="新細明體"/>
      <charset val="136"/>
      <family val="1"/>
      <color indexed="8"/>
      <sz val="12"/>
    </font>
    <font>
      <name val="新細明體"/>
      <charset val="136"/>
      <family val="1"/>
      <color rgb="FFFF0000"/>
      <sz val="12"/>
    </font>
    <font>
      <name val="細明體"/>
      <charset val="136"/>
      <family val="2"/>
      <b val="1"/>
      <color rgb="FF00B050"/>
      <sz val="12"/>
    </font>
    <font>
      <name val="Arial"/>
      <family val="2"/>
      <color rgb="FF000000"/>
      <sz val="12"/>
      <u val="single"/>
      <scheme val="minor"/>
    </font>
    <font>
      <name val="Arial"/>
      <charset val="136"/>
      <family val="2"/>
      <color rgb="FF000000"/>
      <sz val="12"/>
      <u val="single"/>
      <scheme val="minor"/>
    </font>
    <font>
      <name val="Arial"/>
      <charset val="136"/>
      <family val="2"/>
      <color rgb="FF000000"/>
      <sz val="12"/>
      <scheme val="minor"/>
    </font>
    <font>
      <name val="Arial"/>
      <charset val="136"/>
      <family val="2"/>
      <strike val="1"/>
      <color rgb="FF000000"/>
      <sz val="12"/>
      <scheme val="minor"/>
    </font>
    <font>
      <name val="Arial"/>
      <family val="2"/>
      <strike val="1"/>
      <color rgb="FF000000"/>
      <sz val="12"/>
      <scheme val="minor"/>
    </font>
    <font>
      <name val="Arial"/>
      <charset val="136"/>
      <family val="2"/>
      <b val="1"/>
      <strike val="1"/>
      <color rgb="FF000000"/>
      <sz val="12"/>
      <scheme val="minor"/>
    </font>
    <font>
      <name val="新細明體"/>
      <charset val="136"/>
      <family val="1"/>
      <b val="1"/>
      <color indexed="9"/>
      <sz val="9"/>
    </font>
    <font>
      <name val="Calibri"/>
      <charset val="136"/>
      <family val="2"/>
      <color rgb="FF000000"/>
      <sz val="12"/>
    </font>
    <font>
      <name val="Arial"/>
      <charset val="136"/>
      <family val="3"/>
      <color rgb="FF000000"/>
      <sz val="12"/>
      <scheme val="minor"/>
    </font>
    <font>
      <name val="新細明體"/>
      <charset val="136"/>
      <family val="1"/>
      <color indexed="8"/>
      <sz val="9"/>
    </font>
    <font>
      <name val="新細明體"/>
      <charset val="136"/>
      <family val="1"/>
      <color indexed="8"/>
      <sz val="10"/>
    </font>
    <font>
      <name val="微軟正黑體"/>
      <charset val="136"/>
      <family val="2"/>
      <color rgb="FFC00000"/>
      <sz val="12"/>
    </font>
    <font>
      <name val="Arial"/>
      <charset val="136"/>
      <family val="3"/>
      <color rgb="FF000000"/>
      <sz val="12"/>
      <u val="single"/>
      <scheme val="minor"/>
    </font>
    <font>
      <name val="Calibri"/>
      <family val="2"/>
      <b val="1"/>
      <color rgb="FFC00000"/>
      <sz val="12"/>
    </font>
    <font>
      <name val="Arial"/>
      <family val="2"/>
      <color rgb="FF000000"/>
      <sz val="12"/>
    </font>
    <font>
      <name val="Aptos Narrow"/>
      <family val="2"/>
      <color rgb="FF000000"/>
      <sz val="12"/>
    </font>
    <font>
      <name val="Arial"/>
      <charset val="136"/>
      <family val="2"/>
      <color rgb="FF000000"/>
      <sz val="12"/>
    </font>
    <font>
      <name val="Arial"/>
      <charset val="136"/>
      <family val="2"/>
      <color rgb="FFFF0000"/>
      <sz val="12"/>
      <scheme val="minor"/>
    </font>
    <font>
      <name val="Arial"/>
      <family val="2"/>
      <color rgb="FF666666"/>
      <sz val="12"/>
      <scheme val="minor"/>
    </font>
    <font>
      <name val="Arial"/>
      <family val="2"/>
      <color rgb="FF4A86E8"/>
      <sz val="12"/>
      <scheme val="minor"/>
    </font>
    <font>
      <name val="Arial"/>
      <family val="2"/>
      <color rgb="FF990000"/>
      <sz val="12"/>
      <scheme val="minor"/>
    </font>
    <font>
      <name val="Arial"/>
      <family val="2"/>
      <color theme="3"/>
      <sz val="12"/>
      <scheme val="minor"/>
    </font>
    <font>
      <name val="Arial"/>
      <family val="2"/>
      <color rgb="FFC00000"/>
      <sz val="12"/>
      <scheme val="minor"/>
    </font>
    <font>
      <name val="Arial"/>
      <family val="2"/>
      <sz val="12"/>
      <scheme val="minor"/>
    </font>
    <font>
      <name val="Arial"/>
      <family val="2"/>
      <color rgb="FF0000FF"/>
      <sz val="12"/>
      <scheme val="minor"/>
    </font>
    <font>
      <name val="Arial"/>
      <charset val="136"/>
      <family val="2"/>
      <color rgb="FF0000FF"/>
      <sz val="12"/>
      <scheme val="minor"/>
    </font>
    <font>
      <name val="Arial"/>
      <family val="2"/>
      <color rgb="FF980000"/>
      <sz val="12"/>
      <scheme val="minor"/>
    </font>
    <font>
      <name val="Arial"/>
      <family val="2"/>
      <color theme="1"/>
      <sz val="12"/>
      <scheme val="minor"/>
    </font>
    <font>
      <name val="Arial"/>
      <family val="2"/>
      <color rgb="FFFF0000"/>
      <sz val="12"/>
      <scheme val="minor"/>
    </font>
    <font>
      <name val="Arial"/>
      <family val="2"/>
      <color rgb="FF3D85C6"/>
      <sz val="12"/>
      <scheme val="minor"/>
    </font>
    <font>
      <name val="Arial"/>
      <family val="2"/>
      <color rgb="FF666666"/>
      <sz val="12"/>
      <u val="single"/>
      <scheme val="minor"/>
    </font>
    <font>
      <name val="Arial"/>
      <family val="2"/>
      <color rgb="FFB7B7B7"/>
      <sz val="12"/>
      <scheme val="minor"/>
    </font>
    <font>
      <name val="Arial"/>
      <charset val="136"/>
      <family val="2"/>
      <color rgb="FF000000"/>
      <sz val="10"/>
      <scheme val="minor"/>
    </font>
    <font>
      <name val="Arial"/>
      <family val="2"/>
      <color theme="1"/>
      <sz val="12"/>
      <u val="single"/>
      <scheme val="minor"/>
    </font>
    <font>
      <name val="Arial"/>
      <family val="2"/>
      <strike val="1"/>
      <color rgb="FF990000"/>
      <sz val="12"/>
      <scheme val="minor"/>
    </font>
    <font>
      <name val="Arial"/>
      <family val="2"/>
      <color rgb="FF0066FF"/>
      <sz val="12"/>
      <scheme val="minor"/>
    </font>
    <font>
      <name val="微軟正黑體"/>
      <charset val="136"/>
      <family val="2"/>
      <color theme="1"/>
      <sz val="12"/>
    </font>
    <font>
      <name val="Aptos Narrow"/>
      <charset val="136"/>
      <family val="2"/>
      <color theme="1"/>
      <sz val="12"/>
    </font>
    <font>
      <name val="微軟正黑體"/>
      <charset val="136"/>
      <family val="2"/>
      <b val="1"/>
      <color rgb="FF0066FF"/>
      <sz val="10"/>
    </font>
    <font>
      <name val="微軟正黑體"/>
      <charset val="136"/>
      <family val="2"/>
      <b val="1"/>
      <color rgb="FF800000"/>
      <sz val="10"/>
    </font>
    <font>
      <name val="微軟正黑體, sans-serif"/>
      <charset val="136"/>
      <family val="3"/>
      <b val="1"/>
      <color theme="1"/>
      <sz val="12"/>
      <u val="single"/>
    </font>
    <font>
      <name val="細明體"/>
      <charset val="136"/>
      <family val="2"/>
      <color theme="1"/>
      <sz val="12"/>
    </font>
    <font>
      <name val="Microsoft JhengHei"/>
      <family val="2"/>
      <color rgb="FF000000"/>
      <sz val="12"/>
    </font>
    <font>
      <name val="微軟正黑體"/>
      <charset val="136"/>
      <family val="2"/>
      <color rgb="FF000000"/>
      <sz val="12"/>
      <u val="single"/>
    </font>
    <font>
      <name val="微軟正黑體"/>
      <charset val="136"/>
      <family val="2"/>
      <b val="1"/>
      <color rgb="FF666666"/>
      <sz val="12"/>
    </font>
    <font>
      <name val="Microsoft JhengHei"/>
      <family val="2"/>
      <color rgb="FF000000"/>
      <sz val="12"/>
      <u val="single"/>
    </font>
    <font>
      <name val="Arial"/>
      <charset val="136"/>
      <family val="3"/>
      <color rgb="FF000000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00"/>
        <bgColor rgb="FF808000"/>
      </patternFill>
    </fill>
    <fill>
      <patternFill patternType="solid">
        <fgColor rgb="FFDBE5F1"/>
        <bgColor rgb="FFDBE5F1"/>
      </patternFill>
    </fill>
    <fill>
      <patternFill patternType="solid">
        <fgColor rgb="FFFFF2CC"/>
        <bgColor rgb="FFFFF2CC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92D050"/>
      </patternFill>
    </fill>
    <fill>
      <patternFill patternType="solid">
        <fgColor rgb="FFDAF2D0"/>
        <bgColor rgb="FFDAF2D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  <fill>
      <patternFill patternType="solid">
        <fgColor theme="8" tint="0.7999816888943144"/>
        <bgColor rgb="FFFCE5CD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rgb="FFA6C9E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rgb="FFA6C9EC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6" tint="0.7999816888943144"/>
        <bgColor rgb="FFFFF2CC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DAF2D0"/>
      </patternFill>
    </fill>
    <fill>
      <patternFill patternType="solid">
        <fgColor rgb="FFA6C9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7999816888943144"/>
        <bgColor rgb="FFFFF2CC"/>
      </patternFill>
    </fill>
    <fill>
      <patternFill patternType="solid">
        <fgColor theme="4" tint="0.5999938962981048"/>
        <bgColor rgb="FFFFF2CC"/>
      </patternFill>
    </fill>
  </fills>
  <borders count="37">
    <border>
      <left/>
      <right/>
      <top/>
      <bottom/>
      <diagonal/>
    </border>
    <border>
      <left style="dotted">
        <color rgb="FFA6A6A6"/>
      </left>
      <right style="dotted">
        <color rgb="FFA6A6A6"/>
      </right>
      <top style="dotted">
        <color rgb="FFA6A6A6"/>
      </top>
      <bottom/>
      <diagonal/>
    </border>
    <border>
      <left/>
      <right/>
      <top style="dotted">
        <color rgb="FFA6A6A6"/>
      </top>
      <bottom style="dotted">
        <color rgb="FFA6A6A6"/>
      </bottom>
      <diagonal/>
    </border>
    <border>
      <left/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/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 style="dotted">
        <color rgb="FFA6A6A6"/>
      </right>
      <top/>
      <bottom style="dotted">
        <color rgb="FFA6A6A6"/>
      </bottom>
      <diagonal/>
    </border>
    <border>
      <left/>
      <right style="dotted">
        <color rgb="FFA6A6A6"/>
      </right>
      <top/>
      <bottom style="dotted">
        <color rgb="FFA6A6A6"/>
      </bottom>
      <diagonal/>
    </border>
    <border>
      <left/>
      <right style="hair">
        <color rgb="FFA6A6A6"/>
      </right>
      <top/>
      <bottom style="hair">
        <color rgb="FFA6A6A6"/>
      </bottom>
      <diagonal/>
    </border>
    <border>
      <left/>
      <right style="dotted">
        <color rgb="FFA6A6A6"/>
      </right>
      <top/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mediumDashed">
        <color rgb="FFA6A6A6"/>
      </left>
      <right style="mediumDashed">
        <color rgb="FFA6A6A6"/>
      </right>
      <top style="mediumDashed">
        <color rgb="FFA6A6A6"/>
      </top>
      <bottom style="mediumDashed">
        <color rgb="FFA6A6A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Dashed">
        <color rgb="FFA6A6A6"/>
      </right>
      <top style="mediumDashed">
        <color rgb="FFA6A6A6"/>
      </top>
      <bottom style="mediumDashed">
        <color rgb="FFA6A6A6"/>
      </bottom>
      <diagonal/>
    </border>
    <border>
      <left style="mediumDashed">
        <color rgb="FFA6A6A6"/>
      </left>
      <right style="mediumDashed">
        <color rgb="FFA6A6A6"/>
      </right>
      <top style="medium">
        <color rgb="FFCCCCCC"/>
      </top>
      <bottom style="mediumDashed">
        <color rgb="FFA6A6A6"/>
      </bottom>
      <diagonal/>
    </border>
    <border>
      <left style="medium">
        <color rgb="FFCCCCCC"/>
      </left>
      <right style="mediumDashed">
        <color rgb="FFA6A6A6"/>
      </right>
      <top style="medium">
        <color rgb="FFCCCCCC"/>
      </top>
      <bottom style="mediumDashed">
        <color rgb="FFA6A6A6"/>
      </bottom>
      <diagonal/>
    </border>
    <border>
      <left style="medium">
        <color rgb="FFCCCCCC"/>
      </left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Dashed">
        <color rgb="FFA6A6A6"/>
      </left>
      <right style="mediumDashed">
        <color rgb="FFA6A6A6"/>
      </right>
      <top style="dotted">
        <color rgb="FFA6A6A6"/>
      </top>
      <bottom style="mediumDashed">
        <color rgb="FFA6A6A6"/>
      </bottom>
      <diagonal/>
    </border>
    <border>
      <left style="mediumDashed">
        <color rgb="FFA6A6A6"/>
      </left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mediumDashed">
        <color rgb="FFA6A6A6"/>
      </left>
      <right style="dotted">
        <color rgb="FFA6A6A6"/>
      </right>
      <top style="medium">
        <color rgb="FFCCCCCC"/>
      </top>
      <bottom style="dotted">
        <color rgb="FFA6A6A6"/>
      </bottom>
      <diagonal/>
    </border>
    <border>
      <left style="medium">
        <color indexed="22"/>
      </left>
      <right style="medium">
        <color indexed="22"/>
      </right>
      <top/>
      <bottom style="medium">
        <color indexed="22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rgb="FFA6A6A6"/>
      </left>
      <right style="dotted">
        <color rgb="FFA6A6A6"/>
      </right>
      <top style="dotted">
        <color rgb="FFA6A6A6"/>
      </top>
      <bottom style="dotted">
        <color rgb="FFA6A6A6"/>
      </bottom>
      <diagonal/>
    </border>
    <border>
      <left style="dotted">
        <color rgb="FFA6A6A6"/>
      </left>
      <right/>
      <top/>
      <bottom/>
      <diagonal/>
    </border>
    <border>
      <left style="dotted">
        <color rgb="FFA6A6A6"/>
      </left>
      <right style="dotted">
        <color rgb="FFA6A6A6"/>
      </right>
      <top/>
      <bottom/>
      <diagonal/>
    </border>
    <border>
      <left/>
      <right/>
      <top style="dotted">
        <color rgb="FFA6A6A6"/>
      </top>
      <bottom/>
      <diagonal/>
    </border>
    <border>
      <left/>
      <right style="dotted">
        <color rgb="FFA6A6A6"/>
      </right>
      <top style="dotted">
        <color rgb="FFA6A6A6"/>
      </top>
      <bottom/>
      <diagonal/>
    </border>
    <border>
      <left/>
      <right/>
      <top style="medium">
        <color indexed="22"/>
      </top>
      <bottom/>
      <diagonal/>
    </border>
    <border>
      <left/>
      <right style="medium">
        <color indexed="22"/>
      </right>
      <top style="medium">
        <color indexed="22"/>
      </top>
      <bottom/>
      <diagonal/>
    </border>
    <border>
      <left/>
      <right style="medium">
        <color indexed="22"/>
      </right>
      <top style="medium">
        <color indexed="22"/>
      </top>
      <bottom style="medium">
        <color indexed="64"/>
      </bottom>
      <diagonal/>
    </border>
    <border>
      <left/>
      <right/>
      <top style="medium">
        <color indexed="22"/>
      </top>
      <bottom style="medium">
        <color indexed="64"/>
      </bottom>
      <diagonal/>
    </border>
  </borders>
  <cellStyleXfs count="2">
    <xf numFmtId="0" fontId="0" fillId="0" borderId="0"/>
    <xf numFmtId="0" fontId="58" fillId="0" borderId="0" applyAlignment="1">
      <alignment wrapText="1"/>
    </xf>
  </cellStyleXfs>
  <cellXfs count="570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3" fontId="5" fillId="2" borderId="0" applyAlignment="1" pivotButton="0" quotePrefix="0" xfId="0">
      <alignment horizontal="center" wrapText="1"/>
    </xf>
    <xf numFmtId="164" fontId="6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 wrapText="1"/>
    </xf>
    <xf numFmtId="0" fontId="8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10" fillId="0" borderId="0" pivotButton="0" quotePrefix="0" xfId="0"/>
    <xf numFmtId="0" fontId="11" fillId="0" borderId="0" pivotButton="0" quotePrefix="0" xfId="0"/>
    <xf numFmtId="0" fontId="13" fillId="2" borderId="0" applyAlignment="1" pivotButton="0" quotePrefix="0" xfId="0">
      <alignment horizont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3" fillId="0" borderId="6" applyAlignment="1" pivotButton="0" quotePrefix="0" xfId="0">
      <alignment horizontal="center"/>
    </xf>
    <xf numFmtId="3" fontId="15" fillId="5" borderId="6" applyAlignment="1" pivotButton="0" quotePrefix="0" xfId="0">
      <alignment horizontal="center"/>
    </xf>
    <xf numFmtId="0" fontId="24" fillId="0" borderId="6" applyAlignment="1" pivotButton="0" quotePrefix="0" xfId="0">
      <alignment horizontal="center"/>
    </xf>
    <xf numFmtId="3" fontId="24" fillId="0" borderId="6" applyAlignment="1" pivotButton="0" quotePrefix="0" xfId="0">
      <alignment horizontal="center"/>
    </xf>
    <xf numFmtId="3" fontId="14" fillId="0" borderId="6" applyAlignment="1" pivotButton="0" quotePrefix="0" xfId="0">
      <alignment horizontal="center"/>
    </xf>
    <xf numFmtId="166" fontId="14" fillId="0" borderId="6" applyAlignment="1" pivotButton="0" quotePrefix="0" xfId="0">
      <alignment horizontal="center"/>
    </xf>
    <xf numFmtId="3" fontId="22" fillId="0" borderId="6" applyAlignment="1" pivotButton="0" quotePrefix="0" xfId="0">
      <alignment horizontal="center"/>
    </xf>
    <xf numFmtId="3" fontId="14" fillId="8" borderId="6" applyAlignment="1" pivotButton="0" quotePrefix="0" xfId="0">
      <alignment horizontal="center"/>
    </xf>
    <xf numFmtId="3" fontId="25" fillId="8" borderId="7" applyAlignment="1" pivotButton="0" quotePrefix="0" xfId="0">
      <alignment horizontal="center"/>
    </xf>
    <xf numFmtId="2" fontId="14" fillId="0" borderId="6" applyAlignment="1" pivotButton="0" quotePrefix="0" xfId="0">
      <alignment horizontal="center"/>
    </xf>
    <xf numFmtId="0" fontId="14" fillId="0" borderId="6" pivotButton="0" quotePrefix="0" xfId="0"/>
    <xf numFmtId="4" fontId="14" fillId="0" borderId="6" pivotButton="0" quotePrefix="0" xfId="0"/>
    <xf numFmtId="1" fontId="14" fillId="0" borderId="0" pivotButton="0" quotePrefix="0" xfId="0"/>
    <xf numFmtId="3" fontId="26" fillId="0" borderId="6" applyAlignment="1" pivotButton="0" quotePrefix="0" xfId="0">
      <alignment horizontal="center"/>
    </xf>
    <xf numFmtId="3" fontId="27" fillId="5" borderId="6" applyAlignment="1" pivotButton="0" quotePrefix="0" xfId="0">
      <alignment horizontal="center"/>
    </xf>
    <xf numFmtId="3" fontId="14" fillId="8" borderId="8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11" fillId="0" borderId="6" pivotButton="0" quotePrefix="0" xfId="0"/>
    <xf numFmtId="4" fontId="28" fillId="0" borderId="6" applyAlignment="1" pivotButton="0" quotePrefix="0" xfId="0">
      <alignment horizontal="right"/>
    </xf>
    <xf numFmtId="3" fontId="14" fillId="8" borderId="6" applyAlignment="1" pivotButton="0" quotePrefix="0" xfId="0">
      <alignment horizontal="center" wrapText="1"/>
    </xf>
    <xf numFmtId="0" fontId="22" fillId="10" borderId="0" applyAlignment="1" pivotButton="0" quotePrefix="0" xfId="0">
      <alignment horizontal="center"/>
    </xf>
    <xf numFmtId="0" fontId="23" fillId="10" borderId="6" applyAlignment="1" pivotButton="0" quotePrefix="0" xfId="0">
      <alignment horizontal="center"/>
    </xf>
    <xf numFmtId="3" fontId="24" fillId="10" borderId="6" applyAlignment="1" pivotButton="0" quotePrefix="0" xfId="0">
      <alignment horizontal="center"/>
    </xf>
    <xf numFmtId="3" fontId="14" fillId="10" borderId="6" applyAlignment="1" pivotButton="0" quotePrefix="0" xfId="0">
      <alignment horizontal="center"/>
    </xf>
    <xf numFmtId="166" fontId="14" fillId="10" borderId="6" applyAlignment="1" pivotButton="0" quotePrefix="0" xfId="0">
      <alignment horizontal="center"/>
    </xf>
    <xf numFmtId="3" fontId="22" fillId="10" borderId="6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3" fontId="31" fillId="5" borderId="6" applyAlignment="1" pivotButton="0" quotePrefix="0" xfId="0">
      <alignment horizontal="center"/>
    </xf>
    <xf numFmtId="0" fontId="25" fillId="0" borderId="6" pivotButton="0" quotePrefix="0" xfId="0"/>
    <xf numFmtId="4" fontId="25" fillId="0" borderId="6" pivotButton="0" quotePrefix="0" xfId="0"/>
    <xf numFmtId="0" fontId="25" fillId="0" borderId="0" pivotButton="0" quotePrefix="0" xfId="0"/>
    <xf numFmtId="1" fontId="25" fillId="0" borderId="0" pivotButton="0" quotePrefix="0" xfId="0"/>
    <xf numFmtId="167" fontId="32" fillId="0" borderId="0" applyAlignment="1" pivotButton="0" quotePrefix="0" xfId="0">
      <alignment horizontal="center" vertical="center" wrapText="1"/>
    </xf>
    <xf numFmtId="167" fontId="32" fillId="0" borderId="9" applyAlignment="1" pivotButton="0" quotePrefix="0" xfId="0">
      <alignment horizontal="center" vertical="center" wrapText="1"/>
    </xf>
    <xf numFmtId="167" fontId="32" fillId="10" borderId="9" applyAlignment="1" pivotButton="0" quotePrefix="0" xfId="0">
      <alignment horizontal="center" vertical="center" wrapText="1"/>
    </xf>
    <xf numFmtId="4" fontId="14" fillId="10" borderId="6" pivotButton="0" quotePrefix="0" xfId="0"/>
    <xf numFmtId="3" fontId="5" fillId="8" borderId="6" applyAlignment="1" pivotButton="0" quotePrefix="0" xfId="0">
      <alignment horizontal="center"/>
    </xf>
    <xf numFmtId="3" fontId="25" fillId="8" borderId="6" applyAlignment="1" pivotButton="0" quotePrefix="0" xfId="0">
      <alignment horizontal="center"/>
    </xf>
    <xf numFmtId="168" fontId="14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33" fillId="8" borderId="6" applyAlignment="1" pivotButton="0" quotePrefix="0" xfId="0">
      <alignment horizontal="center"/>
    </xf>
    <xf numFmtId="0" fontId="14" fillId="0" borderId="9" pivotButton="0" quotePrefix="0" xfId="0"/>
    <xf numFmtId="0" fontId="34" fillId="10" borderId="6" applyAlignment="1" pivotButton="0" quotePrefix="0" xfId="0">
      <alignment horizontal="center"/>
    </xf>
    <xf numFmtId="3" fontId="35" fillId="10" borderId="6" applyAlignment="1" pivotButton="0" quotePrefix="0" xfId="0">
      <alignment horizontal="center"/>
    </xf>
    <xf numFmtId="3" fontId="28" fillId="10" borderId="6" applyAlignment="1" pivotButton="0" quotePrefix="0" xfId="0">
      <alignment horizontal="center"/>
    </xf>
    <xf numFmtId="4" fontId="28" fillId="10" borderId="6" applyAlignment="1" pivotButton="0" quotePrefix="0" xfId="0">
      <alignment horizontal="right"/>
    </xf>
    <xf numFmtId="0" fontId="36" fillId="0" borderId="6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14" fillId="8" borderId="6" applyAlignment="1" pivotButton="0" quotePrefix="0" xfId="0">
      <alignment horizontal="center"/>
    </xf>
    <xf numFmtId="0" fontId="14" fillId="0" borderId="8" pivotButton="0" quotePrefix="0" xfId="0"/>
    <xf numFmtId="0" fontId="43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right"/>
    </xf>
    <xf numFmtId="3" fontId="15" fillId="0" borderId="6" applyAlignment="1" pivotButton="0" quotePrefix="0" xfId="0">
      <alignment horizontal="center"/>
    </xf>
    <xf numFmtId="1" fontId="24" fillId="0" borderId="6" applyAlignment="1" pivotButton="0" quotePrefix="0" xfId="0">
      <alignment horizontal="center"/>
    </xf>
    <xf numFmtId="0" fontId="22" fillId="0" borderId="6" applyAlignment="1" pivotButton="0" quotePrefix="0" xfId="0">
      <alignment horizontal="center"/>
    </xf>
    <xf numFmtId="0" fontId="44" fillId="0" borderId="6" applyAlignment="1" pivotButton="0" quotePrefix="0" xfId="0">
      <alignment horizontal="center"/>
    </xf>
    <xf numFmtId="3" fontId="5" fillId="8" borderId="6" applyAlignment="1" pivotButton="0" quotePrefix="0" xfId="0">
      <alignment horizontal="right"/>
    </xf>
    <xf numFmtId="0" fontId="45" fillId="0" borderId="6" applyAlignment="1" pivotButton="0" quotePrefix="0" xfId="0">
      <alignment horizontal="center"/>
    </xf>
    <xf numFmtId="0" fontId="25" fillId="8" borderId="6" applyAlignment="1" pivotButton="0" quotePrefix="0" xfId="0">
      <alignment horizontal="center"/>
    </xf>
    <xf numFmtId="0" fontId="46" fillId="0" borderId="6" applyAlignment="1" pivotButton="0" quotePrefix="0" xfId="0">
      <alignment horizontal="center"/>
    </xf>
    <xf numFmtId="0" fontId="14" fillId="2" borderId="0" pivotButton="0" quotePrefix="0" xfId="0"/>
    <xf numFmtId="0" fontId="36" fillId="0" borderId="0" applyAlignment="1" pivotButton="0" quotePrefix="0" xfId="0">
      <alignment horizontal="center"/>
    </xf>
    <xf numFmtId="0" fontId="14" fillId="8" borderId="0" applyAlignment="1" pivotButton="0" quotePrefix="0" xfId="0">
      <alignment horizontal="center"/>
    </xf>
    <xf numFmtId="0" fontId="24" fillId="0" borderId="5" applyAlignment="1" pivotButton="0" quotePrefix="0" xfId="0">
      <alignment horizontal="center"/>
    </xf>
    <xf numFmtId="0" fontId="47" fillId="0" borderId="0" pivotButton="0" quotePrefix="0" xfId="0"/>
    <xf numFmtId="0" fontId="5" fillId="8" borderId="6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3" fontId="48" fillId="0" borderId="0" pivotButton="0" quotePrefix="0" xfId="0"/>
    <xf numFmtId="0" fontId="49" fillId="0" borderId="0" pivotButton="0" quotePrefix="0" xfId="0"/>
    <xf numFmtId="0" fontId="2" fillId="12" borderId="0" pivotButton="0" quotePrefix="0" xfId="0"/>
    <xf numFmtId="164" fontId="6" fillId="6" borderId="3" applyAlignment="1" pivotButton="0" quotePrefix="0" xfId="0">
      <alignment horizontal="center" vertical="center"/>
    </xf>
    <xf numFmtId="165" fontId="6" fillId="6" borderId="3" applyAlignment="1" pivotButton="0" quotePrefix="0" xfId="0">
      <alignment horizontal="center" vertical="center"/>
    </xf>
    <xf numFmtId="165" fontId="18" fillId="6" borderId="3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3" fontId="19" fillId="4" borderId="6" applyAlignment="1" pivotButton="0" quotePrefix="0" xfId="0">
      <alignment horizontal="center" vertical="center"/>
    </xf>
    <xf numFmtId="0" fontId="20" fillId="6" borderId="6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23" fillId="13" borderId="0" pivotButton="0" quotePrefix="0" xfId="0"/>
    <xf numFmtId="0" fontId="23" fillId="0" borderId="0" pivotButton="0" quotePrefix="0" xfId="0"/>
    <xf numFmtId="0" fontId="56" fillId="2" borderId="0" applyAlignment="1" pivotButton="0" quotePrefix="0" xfId="0">
      <alignment horizontal="center"/>
    </xf>
    <xf numFmtId="3" fontId="59" fillId="0" borderId="6" applyAlignment="1" pivotButton="0" quotePrefix="0" xfId="0">
      <alignment horizontal="center"/>
    </xf>
    <xf numFmtId="3" fontId="59" fillId="2" borderId="6" applyAlignment="1" pivotButton="0" quotePrefix="0" xfId="0">
      <alignment horizontal="center"/>
    </xf>
    <xf numFmtId="3" fontId="60" fillId="2" borderId="6" applyAlignment="1" pivotButton="0" quotePrefix="0" xfId="0">
      <alignment horizontal="center"/>
    </xf>
    <xf numFmtId="3" fontId="59" fillId="10" borderId="6" applyAlignment="1" pivotButton="0" quotePrefix="0" xfId="0">
      <alignment horizontal="center"/>
    </xf>
    <xf numFmtId="0" fontId="59" fillId="2" borderId="6" applyAlignment="1" pivotButton="0" quotePrefix="0" xfId="0">
      <alignment horizontal="center"/>
    </xf>
    <xf numFmtId="0" fontId="59" fillId="10" borderId="6" applyAlignment="1" pivotButton="0" quotePrefix="0" xfId="0">
      <alignment horizontal="center"/>
    </xf>
    <xf numFmtId="3" fontId="60" fillId="10" borderId="6" applyAlignment="1" pivotButton="0" quotePrefix="0" xfId="0">
      <alignment horizontal="center"/>
    </xf>
    <xf numFmtId="3" fontId="59" fillId="11" borderId="6" applyAlignment="1" pivotButton="0" quotePrefix="0" xfId="0">
      <alignment horizontal="center"/>
    </xf>
    <xf numFmtId="0" fontId="59" fillId="11" borderId="6" applyAlignment="1" pivotButton="0" quotePrefix="0" xfId="0">
      <alignment horizontal="center"/>
    </xf>
    <xf numFmtId="0" fontId="59" fillId="0" borderId="6" applyAlignment="1" pivotButton="0" quotePrefix="0" xfId="0">
      <alignment horizontal="center"/>
    </xf>
    <xf numFmtId="0" fontId="62" fillId="0" borderId="0" pivotButton="0" quotePrefix="0" xfId="0"/>
    <xf numFmtId="0" fontId="58" fillId="0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3" fontId="51" fillId="8" borderId="6" applyAlignment="1" pivotButton="0" quotePrefix="0" xfId="0">
      <alignment horizontal="center" vertical="center"/>
    </xf>
    <xf numFmtId="165" fontId="64" fillId="6" borderId="3" applyAlignment="1" pivotButton="0" quotePrefix="0" xfId="0">
      <alignment horizontal="center" vertical="center"/>
    </xf>
    <xf numFmtId="165" fontId="18" fillId="6" borderId="3" applyAlignment="1" pivotButton="0" quotePrefix="1" xfId="0">
      <alignment horizontal="center" vertical="center"/>
    </xf>
    <xf numFmtId="0" fontId="65" fillId="14" borderId="10" applyAlignment="1" pivotButton="0" quotePrefix="0" xfId="0">
      <alignment horizontal="center" vertical="top" wrapText="1"/>
    </xf>
    <xf numFmtId="0" fontId="65" fillId="0" borderId="0" applyAlignment="1" pivotButton="0" quotePrefix="0" xfId="0">
      <alignment horizontal="center" vertical="top" wrapText="1"/>
    </xf>
    <xf numFmtId="0" fontId="66" fillId="0" borderId="0" pivotButton="0" quotePrefix="0" xfId="0"/>
    <xf numFmtId="169" fontId="67" fillId="15" borderId="10" applyAlignment="1" pivotButton="0" quotePrefix="0" xfId="0">
      <alignment horizontal="right" vertical="top" wrapText="1"/>
    </xf>
    <xf numFmtId="169" fontId="67" fillId="15" borderId="10" applyAlignment="1" pivotButton="0" quotePrefix="0" xfId="1">
      <alignment horizontal="right" vertical="top" wrapText="1"/>
    </xf>
    <xf numFmtId="0" fontId="67" fillId="15" borderId="10" applyAlignment="1" pivotButton="0" quotePrefix="0" xfId="1">
      <alignment vertical="top" wrapText="1"/>
    </xf>
    <xf numFmtId="170" fontId="67" fillId="15" borderId="10" applyAlignment="1" pivotButton="0" quotePrefix="0" xfId="1">
      <alignment horizontal="right" vertical="top" wrapText="1"/>
    </xf>
    <xf numFmtId="0" fontId="67" fillId="0" borderId="0" applyAlignment="1" pivotButton="0" quotePrefix="0" xfId="0">
      <alignment vertical="top" wrapText="1"/>
    </xf>
    <xf numFmtId="0" fontId="67" fillId="15" borderId="10" applyAlignment="1" pivotButton="0" quotePrefix="0" xfId="0">
      <alignment vertical="top" wrapText="1"/>
    </xf>
    <xf numFmtId="170" fontId="67" fillId="15" borderId="10" applyAlignment="1" pivotButton="0" quotePrefix="0" xfId="0">
      <alignment horizontal="right" vertical="top" wrapText="1"/>
    </xf>
    <xf numFmtId="169" fontId="67" fillId="16" borderId="10" applyAlignment="1" pivotButton="0" quotePrefix="0" xfId="0">
      <alignment horizontal="right" vertical="top" wrapText="1"/>
    </xf>
    <xf numFmtId="169" fontId="67" fillId="16" borderId="10" applyAlignment="1" pivotButton="0" quotePrefix="0" xfId="0">
      <alignment horizontal="left" vertical="top" wrapText="1"/>
    </xf>
    <xf numFmtId="0" fontId="66" fillId="16" borderId="0" pivotButton="0" quotePrefix="0" xfId="0"/>
    <xf numFmtId="0" fontId="66" fillId="16" borderId="0" applyAlignment="1" pivotButton="0" quotePrefix="0" xfId="0">
      <alignment horizontal="left"/>
    </xf>
    <xf numFmtId="0" fontId="68" fillId="16" borderId="10" applyAlignment="1" pivotButton="0" quotePrefix="0" xfId="0">
      <alignment horizontal="center" vertical="top" wrapText="1"/>
    </xf>
    <xf numFmtId="0" fontId="70" fillId="0" borderId="7" pivotButton="0" quotePrefix="0" xfId="0"/>
    <xf numFmtId="0" fontId="70" fillId="10" borderId="7" pivotButton="0" quotePrefix="0" xfId="0"/>
    <xf numFmtId="0" fontId="66" fillId="0" borderId="7" pivotButton="0" quotePrefix="0" xfId="0"/>
    <xf numFmtId="0" fontId="66" fillId="10" borderId="7" pivotButton="0" quotePrefix="0" xfId="0"/>
    <xf numFmtId="0" fontId="70" fillId="0" borderId="6" pivotButton="0" quotePrefix="0" xfId="0"/>
    <xf numFmtId="0" fontId="66" fillId="0" borderId="6" pivotButton="0" quotePrefix="0" xfId="0"/>
    <xf numFmtId="0" fontId="76" fillId="14" borderId="11" applyAlignment="1" pivotButton="0" quotePrefix="0" xfId="0">
      <alignment horizontal="center" vertical="center" wrapText="1"/>
    </xf>
    <xf numFmtId="169" fontId="79" fillId="15" borderId="10" applyAlignment="1" pivotButton="0" quotePrefix="0" xfId="0">
      <alignment horizontal="right" vertical="top" wrapText="1"/>
    </xf>
    <xf numFmtId="0" fontId="80" fillId="15" borderId="10" applyAlignment="1" pivotButton="0" quotePrefix="0" xfId="0">
      <alignment vertical="top" wrapText="1"/>
    </xf>
    <xf numFmtId="0" fontId="79" fillId="15" borderId="10" applyAlignment="1" pivotButton="0" quotePrefix="0" xfId="0">
      <alignment vertical="top" wrapText="1"/>
    </xf>
    <xf numFmtId="170" fontId="79" fillId="15" borderId="10" applyAlignment="1" pivotButton="0" quotePrefix="0" xfId="0">
      <alignment horizontal="right" vertical="top" wrapText="1"/>
    </xf>
    <xf numFmtId="3" fontId="81" fillId="0" borderId="6" applyAlignment="1" pivotButton="0" quotePrefix="0" xfId="0">
      <alignment horizontal="center"/>
    </xf>
    <xf numFmtId="0" fontId="11" fillId="17" borderId="6" pivotButton="0" quotePrefix="0" xfId="0"/>
    <xf numFmtId="0" fontId="66" fillId="17" borderId="6" pivotButton="0" quotePrefix="0" xfId="0"/>
    <xf numFmtId="0" fontId="37" fillId="17" borderId="6" applyAlignment="1" pivotButton="0" quotePrefix="0" xfId="0">
      <alignment horizontal="center"/>
    </xf>
    <xf numFmtId="0" fontId="38" fillId="17" borderId="6" pivotButton="0" quotePrefix="0" xfId="0"/>
    <xf numFmtId="3" fontId="39" fillId="17" borderId="6" pivotButton="0" quotePrefix="0" xfId="0"/>
    <xf numFmtId="0" fontId="40" fillId="17" borderId="6" pivotButton="0" quotePrefix="0" xfId="0"/>
    <xf numFmtId="0" fontId="41" fillId="17" borderId="6" pivotButton="0" quotePrefix="0" xfId="0"/>
    <xf numFmtId="3" fontId="81" fillId="18" borderId="6" applyAlignment="1" pivotButton="0" quotePrefix="0" xfId="0">
      <alignment horizontal="center"/>
    </xf>
    <xf numFmtId="0" fontId="61" fillId="17" borderId="6" pivotButton="0" quotePrefix="0" xfId="0"/>
    <xf numFmtId="0" fontId="14" fillId="18" borderId="0" pivotButton="0" quotePrefix="0" xfId="0"/>
    <xf numFmtId="1" fontId="14" fillId="18" borderId="0" pivotButton="0" quotePrefix="0" xfId="0"/>
    <xf numFmtId="0" fontId="0" fillId="18" borderId="0" pivotButton="0" quotePrefix="0" xfId="0"/>
    <xf numFmtId="0" fontId="14" fillId="17" borderId="6" pivotButton="0" quotePrefix="0" xfId="0"/>
    <xf numFmtId="0" fontId="22" fillId="17" borderId="6" applyAlignment="1" pivotButton="0" quotePrefix="0" xfId="0">
      <alignment horizontal="center"/>
    </xf>
    <xf numFmtId="0" fontId="23" fillId="17" borderId="6" applyAlignment="1" pivotButton="0" quotePrefix="0" xfId="0">
      <alignment horizontal="center"/>
    </xf>
    <xf numFmtId="3" fontId="15" fillId="17" borderId="6" applyAlignment="1" pivotButton="0" quotePrefix="0" xfId="0">
      <alignment horizontal="center"/>
    </xf>
    <xf numFmtId="0" fontId="14" fillId="17" borderId="6" applyAlignment="1" pivotButton="0" quotePrefix="0" xfId="0">
      <alignment horizontal="center"/>
    </xf>
    <xf numFmtId="0" fontId="24" fillId="17" borderId="6" applyAlignment="1" pivotButton="0" quotePrefix="0" xfId="0">
      <alignment horizontal="center"/>
    </xf>
    <xf numFmtId="0" fontId="59" fillId="17" borderId="6" applyAlignment="1" pivotButton="0" quotePrefix="0" xfId="0">
      <alignment horizontal="center"/>
    </xf>
    <xf numFmtId="0" fontId="11" fillId="19" borderId="6" pivotButton="0" quotePrefix="0" xfId="0"/>
    <xf numFmtId="0" fontId="66" fillId="19" borderId="6" pivotButton="0" quotePrefix="0" xfId="0"/>
    <xf numFmtId="0" fontId="37" fillId="19" borderId="6" applyAlignment="1" pivotButton="0" quotePrefix="0" xfId="0">
      <alignment horizontal="center"/>
    </xf>
    <xf numFmtId="0" fontId="38" fillId="19" borderId="6" pivotButton="0" quotePrefix="0" xfId="0"/>
    <xf numFmtId="3" fontId="39" fillId="19" borderId="6" pivotButton="0" quotePrefix="0" xfId="0"/>
    <xf numFmtId="0" fontId="41" fillId="19" borderId="6" pivotButton="0" quotePrefix="0" xfId="0"/>
    <xf numFmtId="3" fontId="81" fillId="20" borderId="6" applyAlignment="1" pivotButton="0" quotePrefix="0" xfId="0">
      <alignment horizontal="center"/>
    </xf>
    <xf numFmtId="0" fontId="61" fillId="19" borderId="6" pivotButton="0" quotePrefix="0" xfId="0"/>
    <xf numFmtId="0" fontId="14" fillId="20" borderId="0" pivotButton="0" quotePrefix="0" xfId="0"/>
    <xf numFmtId="1" fontId="14" fillId="20" borderId="0" pivotButton="0" quotePrefix="0" xfId="0"/>
    <xf numFmtId="0" fontId="0" fillId="20" borderId="0" pivotButton="0" quotePrefix="0" xfId="0"/>
    <xf numFmtId="0" fontId="14" fillId="19" borderId="6" pivotButton="0" quotePrefix="0" xfId="0"/>
    <xf numFmtId="0" fontId="22" fillId="19" borderId="6" applyAlignment="1" pivotButton="0" quotePrefix="0" xfId="0">
      <alignment horizontal="center"/>
    </xf>
    <xf numFmtId="0" fontId="23" fillId="19" borderId="6" applyAlignment="1" pivotButton="0" quotePrefix="0" xfId="0">
      <alignment horizontal="center"/>
    </xf>
    <xf numFmtId="3" fontId="15" fillId="19" borderId="6" applyAlignment="1" pivotButton="0" quotePrefix="0" xfId="0">
      <alignment horizontal="center"/>
    </xf>
    <xf numFmtId="0" fontId="14" fillId="19" borderId="6" applyAlignment="1" pivotButton="0" quotePrefix="0" xfId="0">
      <alignment horizontal="center"/>
    </xf>
    <xf numFmtId="0" fontId="14" fillId="21" borderId="0" pivotButton="0" quotePrefix="0" xfId="0"/>
    <xf numFmtId="0" fontId="70" fillId="21" borderId="6" pivotButton="0" quotePrefix="0" xfId="0"/>
    <xf numFmtId="3" fontId="0" fillId="0" borderId="0" pivotButton="0" quotePrefix="0" xfId="0"/>
    <xf numFmtId="0" fontId="37" fillId="0" borderId="6" applyAlignment="1" pivotButton="0" quotePrefix="0" xfId="0">
      <alignment horizontal="center"/>
    </xf>
    <xf numFmtId="0" fontId="38" fillId="0" borderId="6" pivotButton="0" quotePrefix="0" xfId="0"/>
    <xf numFmtId="3" fontId="39" fillId="0" borderId="6" pivotButton="0" quotePrefix="0" xfId="0"/>
    <xf numFmtId="0" fontId="41" fillId="0" borderId="6" pivotButton="0" quotePrefix="0" xfId="0"/>
    <xf numFmtId="0" fontId="61" fillId="0" borderId="6" pivotButton="0" quotePrefix="0" xfId="0"/>
    <xf numFmtId="0" fontId="70" fillId="0" borderId="0" pivotButton="0" quotePrefix="0" xfId="0"/>
    <xf numFmtId="0" fontId="66" fillId="24" borderId="7" pivotButton="0" quotePrefix="0" xfId="0"/>
    <xf numFmtId="0" fontId="83" fillId="6" borderId="6" applyAlignment="1" pivotButton="0" quotePrefix="0" xfId="0">
      <alignment horizontal="center" vertical="center"/>
    </xf>
    <xf numFmtId="3" fontId="19" fillId="4" borderId="6" applyAlignment="1" pivotButton="0" quotePrefix="0" xfId="0">
      <alignment horizontal="center" vertical="center" wrapText="1"/>
    </xf>
    <xf numFmtId="0" fontId="84" fillId="0" borderId="16" applyAlignment="1" pivotButton="0" quotePrefix="0" xfId="0">
      <alignment horizontal="center" vertical="center" wrapText="1"/>
    </xf>
    <xf numFmtId="0" fontId="84" fillId="16" borderId="16" applyAlignment="1" pivotButton="0" quotePrefix="0" xfId="0">
      <alignment horizontal="center" vertical="center" wrapText="1"/>
    </xf>
    <xf numFmtId="0" fontId="14" fillId="16" borderId="6" pivotButton="0" quotePrefix="0" xfId="0"/>
    <xf numFmtId="0" fontId="84" fillId="16" borderId="17" applyAlignment="1" pivotButton="0" quotePrefix="0" xfId="0">
      <alignment vertical="center" wrapText="1"/>
    </xf>
    <xf numFmtId="0" fontId="85" fillId="16" borderId="18" applyAlignment="1" pivotButton="0" quotePrefix="0" xfId="0">
      <alignment vertical="center" wrapText="1"/>
    </xf>
    <xf numFmtId="0" fontId="86" fillId="16" borderId="19" applyAlignment="1" pivotButton="0" quotePrefix="0" xfId="0">
      <alignment vertical="center" wrapText="1"/>
    </xf>
    <xf numFmtId="0" fontId="84" fillId="16" borderId="18" applyAlignment="1" pivotButton="0" quotePrefix="0" xfId="0">
      <alignment vertical="center" wrapText="1"/>
    </xf>
    <xf numFmtId="0" fontId="88" fillId="0" borderId="0" applyAlignment="1" pivotButton="0" quotePrefix="0" xfId="0">
      <alignment horizontal="center"/>
    </xf>
    <xf numFmtId="0" fontId="63" fillId="0" borderId="6" applyAlignment="1" pivotButton="0" quotePrefix="0" xfId="0">
      <alignment horizontal="center"/>
    </xf>
    <xf numFmtId="3" fontId="89" fillId="22" borderId="6" applyAlignment="1" pivotButton="0" quotePrefix="0" xfId="0">
      <alignment horizontal="center"/>
    </xf>
    <xf numFmtId="1" fontId="66" fillId="0" borderId="6" applyAlignment="1" pivotButton="0" quotePrefix="0" xfId="0">
      <alignment horizontal="center"/>
    </xf>
    <xf numFmtId="0" fontId="90" fillId="0" borderId="6" applyAlignment="1" pivotButton="0" quotePrefix="0" xfId="0">
      <alignment horizontal="center"/>
    </xf>
    <xf numFmtId="168" fontId="90" fillId="0" borderId="6" applyAlignment="1" pivotButton="0" quotePrefix="0" xfId="0">
      <alignment horizontal="center"/>
    </xf>
    <xf numFmtId="3" fontId="90" fillId="0" borderId="6" applyAlignment="1" pivotButton="0" quotePrefix="0" xfId="0">
      <alignment horizontal="center"/>
    </xf>
    <xf numFmtId="3" fontId="66" fillId="0" borderId="6" applyAlignment="1" pivotButton="0" quotePrefix="0" xfId="0">
      <alignment horizontal="center"/>
    </xf>
    <xf numFmtId="166" fontId="66" fillId="0" borderId="6" applyAlignment="1" pivotButton="0" quotePrefix="0" xfId="0">
      <alignment horizontal="center"/>
    </xf>
    <xf numFmtId="3" fontId="91" fillId="0" borderId="6" applyAlignment="1" pivotButton="0" quotePrefix="0" xfId="0">
      <alignment horizontal="center"/>
    </xf>
    <xf numFmtId="3" fontId="88" fillId="0" borderId="6" applyAlignment="1" pivotButton="0" quotePrefix="0" xfId="0">
      <alignment horizontal="center"/>
    </xf>
    <xf numFmtId="3" fontId="92" fillId="0" borderId="6" applyAlignment="1" pivotButton="0" quotePrefix="0" xfId="0">
      <alignment horizontal="center"/>
    </xf>
    <xf numFmtId="3" fontId="93" fillId="0" borderId="6" applyAlignment="1" pivotButton="0" quotePrefix="0" xfId="0">
      <alignment horizontal="center"/>
    </xf>
    <xf numFmtId="3" fontId="66" fillId="8" borderId="6" applyAlignment="1" pivotButton="0" quotePrefix="0" xfId="0">
      <alignment horizontal="center"/>
    </xf>
    <xf numFmtId="3" fontId="94" fillId="8" borderId="7" applyAlignment="1" pivotButton="0" quotePrefix="0" xfId="0">
      <alignment horizontal="center"/>
    </xf>
    <xf numFmtId="4" fontId="66" fillId="0" borderId="6" pivotButton="0" quotePrefix="0" xfId="0"/>
    <xf numFmtId="1" fontId="66" fillId="0" borderId="0" pivotButton="0" quotePrefix="0" xfId="0"/>
    <xf numFmtId="3" fontId="96" fillId="0" borderId="6" applyAlignment="1" pivotButton="0" quotePrefix="0" xfId="0">
      <alignment horizontal="center"/>
    </xf>
    <xf numFmtId="3" fontId="93" fillId="2" borderId="6" applyAlignment="1" pivotButton="0" quotePrefix="0" xfId="0">
      <alignment horizontal="center"/>
    </xf>
    <xf numFmtId="3" fontId="91" fillId="2" borderId="6" applyAlignment="1" pivotButton="0" quotePrefix="0" xfId="0">
      <alignment horizontal="center"/>
    </xf>
    <xf numFmtId="3" fontId="92" fillId="2" borderId="6" applyAlignment="1" pivotButton="0" quotePrefix="0" xfId="0">
      <alignment horizontal="center"/>
    </xf>
    <xf numFmtId="3" fontId="66" fillId="8" borderId="8" applyAlignment="1" pivotButton="0" quotePrefix="0" xfId="0">
      <alignment horizontal="center" wrapText="1"/>
    </xf>
    <xf numFmtId="3" fontId="66" fillId="8" borderId="8" applyAlignment="1" pivotButton="0" quotePrefix="0" xfId="0">
      <alignment horizontal="center"/>
    </xf>
    <xf numFmtId="1" fontId="97" fillId="0" borderId="6" applyAlignment="1" pivotButton="0" quotePrefix="0" xfId="0">
      <alignment horizontal="center"/>
    </xf>
    <xf numFmtId="2" fontId="90" fillId="0" borderId="6" applyAlignment="1" pivotButton="0" quotePrefix="0" xfId="0">
      <alignment horizontal="center"/>
    </xf>
    <xf numFmtId="0" fontId="97" fillId="0" borderId="6" pivotButton="0" quotePrefix="0" xfId="0"/>
    <xf numFmtId="4" fontId="97" fillId="0" borderId="6" applyAlignment="1" pivotButton="0" quotePrefix="0" xfId="0">
      <alignment horizontal="right"/>
    </xf>
    <xf numFmtId="3" fontId="66" fillId="8" borderId="6" applyAlignment="1" pivotButton="0" quotePrefix="0" xfId="0">
      <alignment horizontal="center" wrapText="1"/>
    </xf>
    <xf numFmtId="3" fontId="89" fillId="23" borderId="6" applyAlignment="1" pivotButton="0" quotePrefix="0" xfId="0">
      <alignment horizontal="center"/>
    </xf>
    <xf numFmtId="3" fontId="94" fillId="0" borderId="7" applyAlignment="1" pivotButton="0" quotePrefix="0" xfId="0">
      <alignment horizontal="center"/>
    </xf>
    <xf numFmtId="3" fontId="99" fillId="22" borderId="6" applyAlignment="1" pivotButton="0" quotePrefix="0" xfId="0">
      <alignment horizontal="center"/>
    </xf>
    <xf numFmtId="0" fontId="100" fillId="0" borderId="0" applyAlignment="1" pivotButton="0" quotePrefix="0" xfId="0">
      <alignment horizontal="center"/>
    </xf>
    <xf numFmtId="0" fontId="66" fillId="16" borderId="15" applyAlignment="1" pivotButton="0" quotePrefix="0" xfId="0">
      <alignment vertical="center" wrapText="1"/>
    </xf>
    <xf numFmtId="0" fontId="66" fillId="16" borderId="16" applyAlignment="1" pivotButton="0" quotePrefix="0" xfId="0">
      <alignment horizontal="center" vertical="center" wrapText="1"/>
    </xf>
    <xf numFmtId="0" fontId="70" fillId="16" borderId="20" applyAlignment="1" pivotButton="0" quotePrefix="0" xfId="0">
      <alignment vertical="center" wrapText="1"/>
    </xf>
    <xf numFmtId="0" fontId="100" fillId="16" borderId="21" applyAlignment="1" pivotButton="0" quotePrefix="0" xfId="0">
      <alignment horizontal="center" vertical="center" wrapText="1"/>
    </xf>
    <xf numFmtId="0" fontId="63" fillId="16" borderId="17" applyAlignment="1" pivotButton="0" quotePrefix="0" xfId="0">
      <alignment horizontal="center" vertical="center" wrapText="1"/>
    </xf>
    <xf numFmtId="166" fontId="99" fillId="26" borderId="6" applyAlignment="1" pivotButton="0" quotePrefix="0" xfId="0">
      <alignment horizontal="center"/>
    </xf>
    <xf numFmtId="3" fontId="99" fillId="26" borderId="6" applyAlignment="1" pivotButton="0" quotePrefix="0" xfId="0">
      <alignment horizontal="center"/>
    </xf>
    <xf numFmtId="1" fontId="66" fillId="16" borderId="6" applyAlignment="1" pivotButton="0" quotePrefix="0" xfId="0">
      <alignment horizontal="center"/>
    </xf>
    <xf numFmtId="0" fontId="90" fillId="16" borderId="6" applyAlignment="1" pivotButton="0" quotePrefix="0" xfId="0">
      <alignment horizontal="center"/>
    </xf>
    <xf numFmtId="168" fontId="90" fillId="16" borderId="6" applyAlignment="1" pivotButton="0" quotePrefix="0" xfId="0">
      <alignment horizontal="center"/>
    </xf>
    <xf numFmtId="3" fontId="90" fillId="16" borderId="6" applyAlignment="1" pivotButton="0" quotePrefix="0" xfId="0">
      <alignment horizontal="center"/>
    </xf>
    <xf numFmtId="3" fontId="66" fillId="16" borderId="6" applyAlignment="1" pivotButton="0" quotePrefix="0" xfId="0">
      <alignment horizontal="center"/>
    </xf>
    <xf numFmtId="166" fontId="66" fillId="16" borderId="6" applyAlignment="1" pivotButton="0" quotePrefix="0" xfId="0">
      <alignment horizontal="center"/>
    </xf>
    <xf numFmtId="3" fontId="91" fillId="16" borderId="6" applyAlignment="1" pivotButton="0" quotePrefix="0" xfId="0">
      <alignment horizontal="center"/>
    </xf>
    <xf numFmtId="3" fontId="92" fillId="16" borderId="6" applyAlignment="1" pivotButton="0" quotePrefix="0" xfId="0">
      <alignment horizontal="center"/>
    </xf>
    <xf numFmtId="3" fontId="88" fillId="16" borderId="6" applyAlignment="1" pivotButton="0" quotePrefix="0" xfId="0">
      <alignment horizontal="center"/>
    </xf>
    <xf numFmtId="3" fontId="93" fillId="27" borderId="6" applyAlignment="1" pivotButton="0" quotePrefix="0" xfId="0">
      <alignment horizontal="center"/>
    </xf>
    <xf numFmtId="3" fontId="66" fillId="28" borderId="8" applyAlignment="1" pivotButton="0" quotePrefix="0" xfId="0">
      <alignment horizontal="center" wrapText="1"/>
    </xf>
    <xf numFmtId="3" fontId="94" fillId="28" borderId="7" applyAlignment="1" pivotButton="0" quotePrefix="0" xfId="0">
      <alignment horizontal="center"/>
    </xf>
    <xf numFmtId="0" fontId="66" fillId="16" borderId="6" pivotButton="0" quotePrefix="0" xfId="0"/>
    <xf numFmtId="4" fontId="66" fillId="16" borderId="6" pivotButton="0" quotePrefix="0" xfId="0"/>
    <xf numFmtId="1" fontId="66" fillId="16" borderId="0" pivotButton="0" quotePrefix="0" xfId="0"/>
    <xf numFmtId="1" fontId="94" fillId="0" borderId="6" applyAlignment="1" pivotButton="0" quotePrefix="0" xfId="0">
      <alignment horizontal="center"/>
    </xf>
    <xf numFmtId="0" fontId="94" fillId="0" borderId="6" applyAlignment="1" pivotButton="0" quotePrefix="0" xfId="0">
      <alignment horizontal="center"/>
    </xf>
    <xf numFmtId="168" fontId="94" fillId="0" borderId="6" applyAlignment="1" pivotButton="0" quotePrefix="0" xfId="0">
      <alignment horizontal="center"/>
    </xf>
    <xf numFmtId="3" fontId="94" fillId="0" borderId="6" applyAlignment="1" pivotButton="0" quotePrefix="0" xfId="0">
      <alignment horizontal="center"/>
    </xf>
    <xf numFmtId="0" fontId="94" fillId="0" borderId="6" pivotButton="0" quotePrefix="0" xfId="0"/>
    <xf numFmtId="4" fontId="94" fillId="0" borderId="6" pivotButton="0" quotePrefix="0" xfId="0"/>
    <xf numFmtId="0" fontId="93" fillId="2" borderId="6" applyAlignment="1" pivotButton="0" quotePrefix="0" xfId="0">
      <alignment horizontal="center"/>
    </xf>
    <xf numFmtId="0" fontId="93" fillId="0" borderId="6" applyAlignment="1" pivotButton="0" quotePrefix="0" xfId="0">
      <alignment horizontal="center"/>
    </xf>
    <xf numFmtId="171" fontId="90" fillId="0" borderId="6" applyAlignment="1" pivotButton="0" quotePrefix="0" xfId="0">
      <alignment horizontal="center"/>
    </xf>
    <xf numFmtId="1" fontId="97" fillId="0" borderId="6" pivotButton="0" quotePrefix="0" xfId="0"/>
    <xf numFmtId="3" fontId="98" fillId="8" borderId="6" applyAlignment="1" pivotButton="0" quotePrefix="0" xfId="0">
      <alignment horizontal="center"/>
    </xf>
    <xf numFmtId="3" fontId="94" fillId="8" borderId="6" applyAlignment="1" pivotButton="0" quotePrefix="0" xfId="0">
      <alignment horizontal="center"/>
    </xf>
    <xf numFmtId="0" fontId="66" fillId="0" borderId="9" pivotButton="0" quotePrefix="0" xfId="0"/>
    <xf numFmtId="0" fontId="66" fillId="24" borderId="6" pivotButton="0" quotePrefix="0" xfId="0"/>
    <xf numFmtId="0" fontId="66" fillId="24" borderId="0" pivotButton="0" quotePrefix="0" xfId="0"/>
    <xf numFmtId="3" fontId="66" fillId="24" borderId="6" applyAlignment="1" pivotButton="0" quotePrefix="0" xfId="0">
      <alignment horizontal="center"/>
    </xf>
    <xf numFmtId="0" fontId="63" fillId="24" borderId="6" applyAlignment="1" pivotButton="0" quotePrefix="0" xfId="0">
      <alignment horizontal="center"/>
    </xf>
    <xf numFmtId="3" fontId="89" fillId="25" borderId="6" applyAlignment="1" pivotButton="0" quotePrefix="0" xfId="0">
      <alignment horizontal="center"/>
    </xf>
    <xf numFmtId="1" fontId="101" fillId="24" borderId="6" applyAlignment="1" pivotButton="0" quotePrefix="0" xfId="0">
      <alignment horizontal="center"/>
    </xf>
    <xf numFmtId="2" fontId="101" fillId="24" borderId="6" applyAlignment="1" pivotButton="0" quotePrefix="0" xfId="0">
      <alignment horizontal="center"/>
    </xf>
    <xf numFmtId="0" fontId="101" fillId="24" borderId="6" applyAlignment="1" pivotButton="0" quotePrefix="0" xfId="0">
      <alignment horizontal="center"/>
    </xf>
    <xf numFmtId="168" fontId="101" fillId="24" borderId="6" applyAlignment="1" pivotButton="0" quotePrefix="0" xfId="0">
      <alignment horizontal="center"/>
    </xf>
    <xf numFmtId="3" fontId="101" fillId="24" borderId="6" applyAlignment="1" pivotButton="0" quotePrefix="0" xfId="0">
      <alignment horizontal="center"/>
    </xf>
    <xf numFmtId="166" fontId="66" fillId="24" borderId="6" applyAlignment="1" pivotButton="0" quotePrefix="0" xfId="0">
      <alignment horizontal="center"/>
    </xf>
    <xf numFmtId="3" fontId="90" fillId="24" borderId="6" applyAlignment="1" pivotButton="0" quotePrefix="0" xfId="0">
      <alignment horizontal="center"/>
    </xf>
    <xf numFmtId="3" fontId="91" fillId="24" borderId="6" applyAlignment="1" pivotButton="0" quotePrefix="0" xfId="0">
      <alignment horizontal="center"/>
    </xf>
    <xf numFmtId="1" fontId="97" fillId="24" borderId="6" pivotButton="0" quotePrefix="0" xfId="0"/>
    <xf numFmtId="3" fontId="92" fillId="24" borderId="6" applyAlignment="1" pivotButton="0" quotePrefix="0" xfId="0">
      <alignment horizontal="center"/>
    </xf>
    <xf numFmtId="3" fontId="88" fillId="24" borderId="6" applyAlignment="1" pivotButton="0" quotePrefix="0" xfId="0">
      <alignment horizontal="center"/>
    </xf>
    <xf numFmtId="3" fontId="93" fillId="24" borderId="6" applyAlignment="1" pivotButton="0" quotePrefix="0" xfId="0">
      <alignment horizontal="center"/>
    </xf>
    <xf numFmtId="3" fontId="97" fillId="0" borderId="6" applyAlignment="1" pivotButton="0" quotePrefix="0" xfId="0">
      <alignment horizontal="center"/>
    </xf>
    <xf numFmtId="0" fontId="49" fillId="0" borderId="6" applyAlignment="1" pivotButton="0" quotePrefix="0" xfId="0">
      <alignment horizontal="center"/>
    </xf>
    <xf numFmtId="0" fontId="66" fillId="0" borderId="6" applyAlignment="1" pivotButton="0" quotePrefix="0" xfId="0">
      <alignment horizontal="center"/>
    </xf>
    <xf numFmtId="0" fontId="66" fillId="0" borderId="8" pivotButton="0" quotePrefix="0" xfId="0"/>
    <xf numFmtId="0" fontId="100" fillId="0" borderId="6" applyAlignment="1" pivotButton="0" quotePrefix="0" xfId="0">
      <alignment horizontal="center"/>
    </xf>
    <xf numFmtId="2" fontId="66" fillId="0" borderId="6" applyAlignment="1" pivotButton="0" quotePrefix="0" xfId="0">
      <alignment horizontal="center"/>
    </xf>
    <xf numFmtId="1" fontId="91" fillId="0" borderId="6" applyAlignment="1" pivotButton="0" quotePrefix="0" xfId="0">
      <alignment horizontal="center"/>
    </xf>
    <xf numFmtId="1" fontId="91" fillId="0" borderId="6" pivotButton="0" quotePrefix="0" xfId="0"/>
    <xf numFmtId="0" fontId="66" fillId="0" borderId="6" applyAlignment="1" pivotButton="0" quotePrefix="0" xfId="0">
      <alignment horizontal="right"/>
    </xf>
    <xf numFmtId="0" fontId="66" fillId="29" borderId="19" applyAlignment="1" pivotButton="0" quotePrefix="0" xfId="0">
      <alignment vertical="center" wrapText="1"/>
    </xf>
    <xf numFmtId="168" fontId="66" fillId="0" borderId="6" applyAlignment="1" pivotButton="0" quotePrefix="0" xfId="0">
      <alignment horizontal="center"/>
    </xf>
    <xf numFmtId="0" fontId="90" fillId="0" borderId="0" applyAlignment="1" pivotButton="0" quotePrefix="0" xfId="0">
      <alignment horizontal="center"/>
    </xf>
    <xf numFmtId="0" fontId="97" fillId="0" borderId="16" applyAlignment="1" pivotButton="0" quotePrefix="0" xfId="0">
      <alignment horizontal="center" wrapText="1"/>
    </xf>
    <xf numFmtId="0" fontId="103" fillId="0" borderId="19" applyAlignment="1" pivotButton="0" quotePrefix="0" xfId="0">
      <alignment vertical="center" wrapText="1"/>
    </xf>
    <xf numFmtId="1" fontId="90" fillId="0" borderId="6" applyAlignment="1" pivotButton="0" quotePrefix="0" xfId="0">
      <alignment horizontal="center"/>
    </xf>
    <xf numFmtId="0" fontId="91" fillId="0" borderId="6" applyAlignment="1" pivotButton="0" quotePrefix="0" xfId="0">
      <alignment horizontal="center"/>
    </xf>
    <xf numFmtId="3" fontId="91" fillId="0" borderId="6" pivotButton="0" quotePrefix="0" xfId="0"/>
    <xf numFmtId="0" fontId="104" fillId="0" borderId="6" applyAlignment="1" pivotButton="0" quotePrefix="0" xfId="0">
      <alignment horizontal="center"/>
    </xf>
    <xf numFmtId="3" fontId="98" fillId="0" borderId="6" applyAlignment="1" pivotButton="0" quotePrefix="0" xfId="0">
      <alignment horizontal="right"/>
    </xf>
    <xf numFmtId="0" fontId="100" fillId="0" borderId="15" applyAlignment="1" pivotButton="0" quotePrefix="0" xfId="0">
      <alignment horizontal="center" vertical="center" wrapText="1"/>
    </xf>
    <xf numFmtId="0" fontId="63" fillId="0" borderId="17" applyAlignment="1" pivotButton="0" quotePrefix="0" xfId="0">
      <alignment horizontal="center" vertical="center" wrapText="1"/>
    </xf>
    <xf numFmtId="0" fontId="100" fillId="0" borderId="18" applyAlignment="1" pivotButton="0" quotePrefix="0" xfId="0">
      <alignment horizontal="center" vertical="center" wrapText="1"/>
    </xf>
    <xf numFmtId="0" fontId="63" fillId="0" borderId="19" applyAlignment="1" pivotButton="0" quotePrefix="0" xfId="0">
      <alignment horizontal="center" vertical="center" wrapText="1"/>
    </xf>
    <xf numFmtId="0" fontId="66" fillId="30" borderId="23" applyAlignment="1" pivotButton="0" quotePrefix="0" xfId="0">
      <alignment wrapText="1"/>
    </xf>
    <xf numFmtId="0" fontId="93" fillId="0" borderId="0" pivotButton="0" quotePrefix="0" xfId="0"/>
    <xf numFmtId="0" fontId="66" fillId="0" borderId="24" applyAlignment="1" pivotButton="0" quotePrefix="0" xfId="0">
      <alignment wrapText="1"/>
    </xf>
    <xf numFmtId="0" fontId="88" fillId="0" borderId="6" applyAlignment="1" pivotButton="0" quotePrefix="0" xfId="0">
      <alignment horizontal="center"/>
    </xf>
    <xf numFmtId="0" fontId="66" fillId="16" borderId="18" applyAlignment="1" pivotButton="0" quotePrefix="0" xfId="0">
      <alignment vertical="center" wrapText="1"/>
    </xf>
    <xf numFmtId="0" fontId="66" fillId="16" borderId="17" applyAlignment="1" pivotButton="0" quotePrefix="0" xfId="0">
      <alignment vertical="center" wrapText="1"/>
    </xf>
    <xf numFmtId="0" fontId="100" fillId="16" borderId="6" applyAlignment="1" pivotButton="0" quotePrefix="0" xfId="0">
      <alignment horizontal="center"/>
    </xf>
    <xf numFmtId="0" fontId="63" fillId="16" borderId="6" applyAlignment="1" pivotButton="0" quotePrefix="0" xfId="0">
      <alignment horizontal="center"/>
    </xf>
    <xf numFmtId="3" fontId="89" fillId="16" borderId="6" applyAlignment="1" pivotButton="0" quotePrefix="0" xfId="0">
      <alignment horizontal="center"/>
    </xf>
    <xf numFmtId="0" fontId="66" fillId="16" borderId="6" applyAlignment="1" pivotButton="0" quotePrefix="0" xfId="0">
      <alignment horizontal="center"/>
    </xf>
    <xf numFmtId="2" fontId="66" fillId="16" borderId="6" applyAlignment="1" pivotButton="0" quotePrefix="0" xfId="0">
      <alignment horizontal="center"/>
    </xf>
    <xf numFmtId="1" fontId="91" fillId="16" borderId="6" applyAlignment="1" pivotButton="0" quotePrefix="0" xfId="0">
      <alignment horizontal="center"/>
    </xf>
    <xf numFmtId="1" fontId="97" fillId="16" borderId="6" pivotButton="0" quotePrefix="0" xfId="0"/>
    <xf numFmtId="1" fontId="91" fillId="16" borderId="6" pivotButton="0" quotePrefix="0" xfId="0"/>
    <xf numFmtId="0" fontId="93" fillId="16" borderId="6" applyAlignment="1" pivotButton="0" quotePrefix="0" xfId="0">
      <alignment horizontal="center"/>
    </xf>
    <xf numFmtId="0" fontId="94" fillId="16" borderId="6" applyAlignment="1" pivotButton="0" quotePrefix="0" xfId="0">
      <alignment horizontal="center"/>
    </xf>
    <xf numFmtId="0" fontId="66" fillId="0" borderId="18" applyAlignment="1" pivotButton="0" quotePrefix="0" xfId="0">
      <alignment vertical="center" wrapText="1"/>
    </xf>
    <xf numFmtId="0" fontId="66" fillId="0" borderId="22" applyAlignment="1" pivotButton="0" quotePrefix="0" xfId="0">
      <alignment vertical="center" wrapText="1"/>
    </xf>
    <xf numFmtId="0" fontId="66" fillId="0" borderId="17" applyAlignment="1" pivotButton="0" quotePrefix="0" xfId="0">
      <alignment vertical="center" wrapText="1"/>
    </xf>
    <xf numFmtId="0" fontId="66" fillId="0" borderId="19" applyAlignment="1" pivotButton="0" quotePrefix="0" xfId="0">
      <alignment vertical="center" wrapText="1"/>
    </xf>
    <xf numFmtId="0" fontId="66" fillId="0" borderId="15" applyAlignment="1" pivotButton="0" quotePrefix="0" xfId="0">
      <alignment vertical="center" wrapText="1"/>
    </xf>
    <xf numFmtId="0" fontId="66" fillId="0" borderId="16" applyAlignment="1" pivotButton="0" quotePrefix="0" xfId="0">
      <alignment horizontal="center" vertical="center" wrapText="1"/>
    </xf>
    <xf numFmtId="0" fontId="66" fillId="31" borderId="15" applyAlignment="1" pivotButton="0" quotePrefix="0" xfId="0">
      <alignment vertical="center" wrapText="1"/>
    </xf>
    <xf numFmtId="0" fontId="66" fillId="31" borderId="16" applyAlignment="1" pivotButton="0" quotePrefix="0" xfId="0">
      <alignment horizontal="center" vertical="center" wrapText="1"/>
    </xf>
    <xf numFmtId="0" fontId="66" fillId="16" borderId="19" applyAlignment="1" pivotButton="0" quotePrefix="0" xfId="0">
      <alignment vertical="center" wrapText="1"/>
    </xf>
    <xf numFmtId="0" fontId="91" fillId="0" borderId="6" pivotButton="0" quotePrefix="0" xfId="0"/>
    <xf numFmtId="0" fontId="91" fillId="0" borderId="0" applyAlignment="1" pivotButton="0" quotePrefix="0" xfId="0">
      <alignment horizontal="center"/>
    </xf>
    <xf numFmtId="3" fontId="91" fillId="0" borderId="0" applyAlignment="1" pivotButton="0" quotePrefix="0" xfId="0">
      <alignment horizontal="center"/>
    </xf>
    <xf numFmtId="3" fontId="92" fillId="0" borderId="0" applyAlignment="1" pivotButton="0" quotePrefix="0" xfId="0">
      <alignment horizontal="center"/>
    </xf>
    <xf numFmtId="0" fontId="66" fillId="0" borderId="0" applyAlignment="1" pivotButton="0" quotePrefix="0" xfId="0">
      <alignment horizontal="center"/>
    </xf>
    <xf numFmtId="0" fontId="90" fillId="0" borderId="5" applyAlignment="1" pivotButton="0" quotePrefix="0" xfId="0">
      <alignment horizontal="center"/>
    </xf>
    <xf numFmtId="0" fontId="92" fillId="0" borderId="6" applyAlignment="1" pivotButton="0" quotePrefix="0" xfId="0">
      <alignment horizontal="center"/>
    </xf>
    <xf numFmtId="0" fontId="98" fillId="0" borderId="6" applyAlignment="1" pivotButton="0" quotePrefix="0" xfId="0">
      <alignment horizontal="center"/>
    </xf>
    <xf numFmtId="2" fontId="66" fillId="0" borderId="0" applyAlignment="1" pivotButton="0" quotePrefix="0" xfId="0">
      <alignment horizontal="center"/>
    </xf>
    <xf numFmtId="0" fontId="93" fillId="0" borderId="0" applyAlignment="1" pivotButton="0" quotePrefix="0" xfId="0">
      <alignment horizontal="center"/>
    </xf>
    <xf numFmtId="0" fontId="105" fillId="0" borderId="6" applyAlignment="1" pivotButton="0" quotePrefix="0" xfId="0">
      <alignment horizontal="center"/>
    </xf>
    <xf numFmtId="0" fontId="66" fillId="8" borderId="6" applyAlignment="1" pivotButton="0" quotePrefix="0" xfId="0">
      <alignment horizontal="center"/>
    </xf>
    <xf numFmtId="0" fontId="94" fillId="8" borderId="6" applyAlignment="1" pivotButton="0" quotePrefix="0" xfId="0">
      <alignment horizontal="center"/>
    </xf>
    <xf numFmtId="0" fontId="66" fillId="8" borderId="0" applyAlignment="1" pivotButton="0" quotePrefix="0" xfId="0">
      <alignment horizontal="center"/>
    </xf>
    <xf numFmtId="0" fontId="98" fillId="8" borderId="6" applyAlignment="1" pivotButton="0" quotePrefix="0" xfId="0">
      <alignment horizontal="center"/>
    </xf>
    <xf numFmtId="3" fontId="105" fillId="0" borderId="0" applyAlignment="1" pivotButton="0" quotePrefix="0" xfId="0">
      <alignment horizontal="center"/>
    </xf>
    <xf numFmtId="167" fontId="97" fillId="0" borderId="0" applyAlignment="1" pivotButton="0" quotePrefix="0" xfId="0">
      <alignment horizontal="center" vertical="center" wrapText="1"/>
    </xf>
    <xf numFmtId="167" fontId="97" fillId="0" borderId="9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/>
    </xf>
    <xf numFmtId="0" fontId="90" fillId="0" borderId="0" pivotButton="0" quotePrefix="0" xfId="0"/>
    <xf numFmtId="3" fontId="89" fillId="5" borderId="6" applyAlignment="1" pivotButton="0" quotePrefix="0" xfId="0">
      <alignment horizontal="center"/>
    </xf>
    <xf numFmtId="0" fontId="88" fillId="10" borderId="0" applyAlignment="1" pivotButton="0" quotePrefix="0" xfId="0">
      <alignment horizontal="center"/>
    </xf>
    <xf numFmtId="0" fontId="63" fillId="10" borderId="6" applyAlignment="1" pivotButton="0" quotePrefix="0" xfId="0">
      <alignment horizontal="center"/>
    </xf>
    <xf numFmtId="1" fontId="66" fillId="10" borderId="6" applyAlignment="1" pivotButton="0" quotePrefix="0" xfId="0">
      <alignment horizontal="center"/>
    </xf>
    <xf numFmtId="0" fontId="90" fillId="10" borderId="6" applyAlignment="1" pivotButton="0" quotePrefix="0" xfId="0">
      <alignment horizontal="center"/>
    </xf>
    <xf numFmtId="168" fontId="90" fillId="10" borderId="6" applyAlignment="1" pivotButton="0" quotePrefix="0" xfId="0">
      <alignment horizontal="center"/>
    </xf>
    <xf numFmtId="3" fontId="90" fillId="10" borderId="6" applyAlignment="1" pivotButton="0" quotePrefix="0" xfId="0">
      <alignment horizontal="center"/>
    </xf>
    <xf numFmtId="3" fontId="66" fillId="10" borderId="6" applyAlignment="1" pivotButton="0" quotePrefix="0" xfId="0">
      <alignment horizontal="center"/>
    </xf>
    <xf numFmtId="166" fontId="66" fillId="10" borderId="6" applyAlignment="1" pivotButton="0" quotePrefix="0" xfId="0">
      <alignment horizontal="center"/>
    </xf>
    <xf numFmtId="3" fontId="88" fillId="10" borderId="6" applyAlignment="1" pivotButton="0" quotePrefix="0" xfId="0">
      <alignment horizontal="center"/>
    </xf>
    <xf numFmtId="3" fontId="93" fillId="10" borderId="6" applyAlignment="1" pivotButton="0" quotePrefix="0" xfId="0">
      <alignment horizontal="center"/>
    </xf>
    <xf numFmtId="3" fontId="99" fillId="5" borderId="6" applyAlignment="1" pivotButton="0" quotePrefix="0" xfId="0">
      <alignment horizontal="center"/>
    </xf>
    <xf numFmtId="0" fontId="94" fillId="0" borderId="0" pivotButton="0" quotePrefix="0" xfId="0"/>
    <xf numFmtId="1" fontId="94" fillId="0" borderId="0" pivotButton="0" quotePrefix="0" xfId="0"/>
    <xf numFmtId="2" fontId="90" fillId="10" borderId="6" applyAlignment="1" pivotButton="0" quotePrefix="0" xfId="0">
      <alignment horizontal="center"/>
    </xf>
    <xf numFmtId="0" fontId="93" fillId="10" borderId="6" applyAlignment="1" pivotButton="0" quotePrefix="0" xfId="0">
      <alignment horizontal="center"/>
    </xf>
    <xf numFmtId="4" fontId="66" fillId="10" borderId="6" pivotButton="0" quotePrefix="0" xfId="0"/>
    <xf numFmtId="3" fontId="101" fillId="10" borderId="6" applyAlignment="1" pivotButton="0" quotePrefix="0" xfId="0">
      <alignment horizontal="center"/>
    </xf>
    <xf numFmtId="1" fontId="101" fillId="10" borderId="6" applyAlignment="1" pivotButton="0" quotePrefix="0" xfId="0">
      <alignment horizontal="center"/>
    </xf>
    <xf numFmtId="2" fontId="101" fillId="10" borderId="6" applyAlignment="1" pivotButton="0" quotePrefix="0" xfId="0">
      <alignment horizontal="center"/>
    </xf>
    <xf numFmtId="0" fontId="101" fillId="10" borderId="6" applyAlignment="1" pivotButton="0" quotePrefix="0" xfId="0">
      <alignment horizontal="center"/>
    </xf>
    <xf numFmtId="168" fontId="101" fillId="10" borderId="6" applyAlignment="1" pivotButton="0" quotePrefix="0" xfId="0">
      <alignment horizontal="center"/>
    </xf>
    <xf numFmtId="3" fontId="97" fillId="10" borderId="6" applyAlignment="1" pivotButton="0" quotePrefix="0" xfId="0">
      <alignment horizontal="center"/>
    </xf>
    <xf numFmtId="4" fontId="97" fillId="10" borderId="6" applyAlignment="1" pivotButton="0" quotePrefix="0" xfId="0">
      <alignment horizontal="right"/>
    </xf>
    <xf numFmtId="3" fontId="90" fillId="2" borderId="6" applyAlignment="1" pivotButton="0" quotePrefix="0" xfId="0">
      <alignment horizontal="center"/>
    </xf>
    <xf numFmtId="0" fontId="97" fillId="17" borderId="6" pivotButton="0" quotePrefix="0" xfId="0"/>
    <xf numFmtId="0" fontId="88" fillId="17" borderId="6" applyAlignment="1" pivotButton="0" quotePrefix="0" xfId="0">
      <alignment horizontal="center"/>
    </xf>
    <xf numFmtId="0" fontId="49" fillId="17" borderId="6" pivotButton="0" quotePrefix="0" xfId="0"/>
    <xf numFmtId="3" fontId="89" fillId="17" borderId="6" pivotButton="0" quotePrefix="0" xfId="0"/>
    <xf numFmtId="0" fontId="90" fillId="17" borderId="6" pivotButton="0" quotePrefix="0" xfId="0"/>
    <xf numFmtId="0" fontId="105" fillId="17" borderId="6" pivotButton="0" quotePrefix="0" xfId="0"/>
    <xf numFmtId="0" fontId="93" fillId="17" borderId="6" pivotButton="0" quotePrefix="0" xfId="0"/>
    <xf numFmtId="0" fontId="66" fillId="18" borderId="0" pivotButton="0" quotePrefix="0" xfId="0"/>
    <xf numFmtId="1" fontId="66" fillId="18" borderId="0" pivotButton="0" quotePrefix="0" xfId="0"/>
    <xf numFmtId="3" fontId="93" fillId="11" borderId="6" applyAlignment="1" pivotButton="0" quotePrefix="0" xfId="0">
      <alignment horizontal="center"/>
    </xf>
    <xf numFmtId="0" fontId="93" fillId="11" borderId="6" applyAlignment="1" pivotButton="0" quotePrefix="0" xfId="0">
      <alignment horizontal="center"/>
    </xf>
    <xf numFmtId="3" fontId="98" fillId="8" borderId="6" applyAlignment="1" pivotButton="0" quotePrefix="0" xfId="0">
      <alignment horizontal="right"/>
    </xf>
    <xf numFmtId="0" fontId="98" fillId="16" borderId="0" pivotButton="0" quotePrefix="0" xfId="0"/>
    <xf numFmtId="0" fontId="63" fillId="17" borderId="6" applyAlignment="1" pivotButton="0" quotePrefix="0" xfId="0">
      <alignment horizontal="center"/>
    </xf>
    <xf numFmtId="3" fontId="89" fillId="17" borderId="6" applyAlignment="1" pivotButton="0" quotePrefix="0" xfId="0">
      <alignment horizontal="center"/>
    </xf>
    <xf numFmtId="0" fontId="66" fillId="17" borderId="6" applyAlignment="1" pivotButton="0" quotePrefix="0" xfId="0">
      <alignment horizontal="center"/>
    </xf>
    <xf numFmtId="0" fontId="90" fillId="17" borderId="6" applyAlignment="1" pivotButton="0" quotePrefix="0" xfId="0">
      <alignment horizontal="center"/>
    </xf>
    <xf numFmtId="0" fontId="93" fillId="17" borderId="6" applyAlignment="1" pivotButton="0" quotePrefix="0" xfId="0">
      <alignment horizontal="center"/>
    </xf>
    <xf numFmtId="3" fontId="89" fillId="0" borderId="6" applyAlignment="1" pivotButton="0" quotePrefix="0" xfId="0">
      <alignment horizontal="center"/>
    </xf>
    <xf numFmtId="0" fontId="66" fillId="2" borderId="0" pivotButton="0" quotePrefix="0" xfId="0"/>
    <xf numFmtId="167" fontId="97" fillId="10" borderId="9" applyAlignment="1" pivotButton="0" quotePrefix="0" xfId="0">
      <alignment horizontal="center" vertical="center" wrapText="1"/>
    </xf>
    <xf numFmtId="0" fontId="63" fillId="29" borderId="19" applyAlignment="1" pivotButton="0" quotePrefix="0" xfId="0">
      <alignment vertical="center" wrapText="1"/>
    </xf>
    <xf numFmtId="3" fontId="14" fillId="8" borderId="8" applyAlignment="1" pivotButton="0" quotePrefix="0" xfId="0">
      <alignment horizontal="center" wrapText="1"/>
    </xf>
    <xf numFmtId="0" fontId="107" fillId="0" borderId="0" pivotButton="0" quotePrefix="0" xfId="0"/>
    <xf numFmtId="0" fontId="70" fillId="16" borderId="7" pivotButton="0" quotePrefix="0" xfId="0"/>
    <xf numFmtId="0" fontId="100" fillId="16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66" fillId="29" borderId="1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8" fillId="6" borderId="6" applyAlignment="1" pivotButton="0" quotePrefix="0" xfId="0">
      <alignment horizontal="center" vertical="center"/>
    </xf>
    <xf numFmtId="0" fontId="109" fillId="6" borderId="6" applyAlignment="1" pivotButton="0" quotePrefix="0" xfId="0">
      <alignment horizontal="center" vertical="center"/>
    </xf>
    <xf numFmtId="3" fontId="81" fillId="0" borderId="0" applyAlignment="1" pivotButton="0" quotePrefix="0" xfId="0">
      <alignment horizontal="center"/>
    </xf>
    <xf numFmtId="166" fontId="15" fillId="5" borderId="6" applyAlignment="1" pivotButton="0" quotePrefix="0" xfId="0">
      <alignment horizontal="center"/>
    </xf>
    <xf numFmtId="0" fontId="72" fillId="0" borderId="7" pivotButton="0" quotePrefix="0" xfId="0"/>
    <xf numFmtId="3" fontId="89" fillId="23" borderId="0" applyAlignment="1" pivotButton="0" quotePrefix="0" xfId="0">
      <alignment horizontal="center"/>
    </xf>
    <xf numFmtId="166" fontId="89" fillId="5" borderId="6" applyAlignment="1" pivotButton="0" quotePrefix="0" xfId="0">
      <alignment horizontal="center"/>
    </xf>
    <xf numFmtId="172" fontId="66" fillId="0" borderId="0" pivotButton="0" quotePrefix="0" xfId="0"/>
    <xf numFmtId="0" fontId="72" fillId="0" borderId="0" pivotButton="0" quotePrefix="0" xfId="0"/>
    <xf numFmtId="1" fontId="91" fillId="0" borderId="0" applyAlignment="1" pivotButton="0" quotePrefix="0" xfId="0">
      <alignment horizontal="center"/>
    </xf>
    <xf numFmtId="169" fontId="67" fillId="16" borderId="25" applyAlignment="1" pivotButton="0" quotePrefix="0" xfId="0">
      <alignment horizontal="right" vertical="top" wrapText="1"/>
    </xf>
    <xf numFmtId="169" fontId="67" fillId="16" borderId="25" applyAlignment="1" pivotButton="0" quotePrefix="0" xfId="0">
      <alignment horizontal="left" vertical="top" wrapText="1"/>
    </xf>
    <xf numFmtId="169" fontId="67" fillId="16" borderId="26" applyAlignment="1" pivotButton="0" quotePrefix="0" xfId="0">
      <alignment horizontal="right" vertical="top" wrapText="1"/>
    </xf>
    <xf numFmtId="169" fontId="67" fillId="16" borderId="26" applyAlignment="1" pivotButton="0" quotePrefix="0" xfId="0">
      <alignment horizontal="left" vertical="top" wrapText="1"/>
    </xf>
    <xf numFmtId="169" fontId="79" fillId="15" borderId="26" applyAlignment="1" pivotButton="0" quotePrefix="0" xfId="0">
      <alignment horizontal="right" vertical="top" wrapText="1"/>
    </xf>
    <xf numFmtId="0" fontId="80" fillId="15" borderId="26" applyAlignment="1" pivotButton="0" quotePrefix="0" xfId="0">
      <alignment vertical="top" wrapText="1"/>
    </xf>
    <xf numFmtId="0" fontId="79" fillId="15" borderId="26" applyAlignment="1" pivotButton="0" quotePrefix="0" xfId="0">
      <alignment vertical="top" wrapText="1"/>
    </xf>
    <xf numFmtId="170" fontId="79" fillId="15" borderId="26" applyAlignment="1" pivotButton="0" quotePrefix="0" xfId="0">
      <alignment horizontal="right" vertical="top" wrapText="1"/>
    </xf>
    <xf numFmtId="0" fontId="67" fillId="0" borderId="27" applyAlignment="1" pivotButton="0" quotePrefix="0" xfId="0">
      <alignment vertical="top" wrapText="1"/>
    </xf>
    <xf numFmtId="166" fontId="91" fillId="16" borderId="6" applyAlignment="1" pivotButton="0" quotePrefix="0" xfId="0">
      <alignment horizontal="center"/>
    </xf>
    <xf numFmtId="166" fontId="92" fillId="16" borderId="6" applyAlignment="1" pivotButton="0" quotePrefix="0" xfId="0">
      <alignment horizontal="center"/>
    </xf>
    <xf numFmtId="166" fontId="88" fillId="16" borderId="6" applyAlignment="1" pivotButton="0" quotePrefix="0" xfId="0">
      <alignment horizontal="center"/>
    </xf>
    <xf numFmtId="0" fontId="71" fillId="0" borderId="6" pivotButton="0" quotePrefix="0" xfId="0"/>
    <xf numFmtId="0" fontId="114" fillId="0" borderId="0" applyAlignment="1" pivotButton="0" quotePrefix="0" xfId="0">
      <alignment horizontal="center"/>
    </xf>
    <xf numFmtId="0" fontId="72" fillId="0" borderId="6" pivotButton="0" quotePrefix="0" xfId="0"/>
    <xf numFmtId="0" fontId="71" fillId="0" borderId="7" pivotButton="0" quotePrefix="0" xfId="0"/>
    <xf numFmtId="0" fontId="115" fillId="0" borderId="0" pivotButton="0" quotePrefix="0" xfId="0"/>
    <xf numFmtId="0" fontId="100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115" fillId="0" borderId="7" pivotButton="0" quotePrefix="0" xfId="0"/>
    <xf numFmtId="0" fontId="14" fillId="0" borderId="0" pivotButton="0" quotePrefix="1" xfId="0"/>
    <xf numFmtId="0" fontId="14" fillId="18" borderId="6" pivotButton="0" quotePrefix="0" xfId="0"/>
    <xf numFmtId="0" fontId="66" fillId="18" borderId="6" pivotButton="0" quotePrefix="0" xfId="0"/>
    <xf numFmtId="0" fontId="22" fillId="18" borderId="6" applyAlignment="1" pivotButton="0" quotePrefix="0" xfId="0">
      <alignment horizontal="center"/>
    </xf>
    <xf numFmtId="0" fontId="23" fillId="18" borderId="6" applyAlignment="1" pivotButton="0" quotePrefix="0" xfId="0">
      <alignment horizontal="center"/>
    </xf>
    <xf numFmtId="3" fontId="15" fillId="32" borderId="6" applyAlignment="1" pivotButton="0" quotePrefix="0" xfId="0">
      <alignment horizontal="center"/>
    </xf>
    <xf numFmtId="0" fontId="11" fillId="18" borderId="6" pivotButton="0" quotePrefix="0" xfId="0"/>
    <xf numFmtId="0" fontId="41" fillId="18" borderId="6" pivotButton="0" quotePrefix="0" xfId="0"/>
    <xf numFmtId="0" fontId="37" fillId="18" borderId="6" pivotButton="0" quotePrefix="0" xfId="0"/>
    <xf numFmtId="0" fontId="59" fillId="18" borderId="6" applyAlignment="1" pivotButton="0" quotePrefix="0" xfId="0">
      <alignment horizontal="center"/>
    </xf>
    <xf numFmtId="0" fontId="14" fillId="18" borderId="6" applyAlignment="1" pivotButton="0" quotePrefix="0" xfId="0">
      <alignment horizontal="center"/>
    </xf>
    <xf numFmtId="3" fontId="15" fillId="33" borderId="6" applyAlignment="1" pivotButton="0" quotePrefix="0" xfId="0">
      <alignment horizontal="center"/>
    </xf>
    <xf numFmtId="0" fontId="52" fillId="6" borderId="1" applyAlignment="1" pivotButton="0" quotePrefix="0" xfId="0">
      <alignment horizontal="center" vertical="center" wrapText="1"/>
    </xf>
    <xf numFmtId="0" fontId="52" fillId="6" borderId="5" applyAlignment="1" pivotButton="0" quotePrefix="0" xfId="0">
      <alignment horizontal="center" vertical="center" wrapText="1"/>
    </xf>
    <xf numFmtId="14" fontId="15" fillId="5" borderId="4" applyAlignment="1" pivotButton="0" quotePrefix="0" xfId="0">
      <alignment horizontal="center" vertical="center"/>
    </xf>
    <xf numFmtId="14" fontId="15" fillId="5" borderId="2" applyAlignment="1" pivotButton="0" quotePrefix="0" xfId="0">
      <alignment horizontal="center" vertical="center"/>
    </xf>
    <xf numFmtId="14" fontId="15" fillId="5" borderId="3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6" fillId="0" borderId="5" applyAlignment="1" pivotButton="0" quotePrefix="0" xfId="0">
      <alignment vertical="center"/>
    </xf>
    <xf numFmtId="3" fontId="5" fillId="2" borderId="0" applyAlignment="1" pivotButton="0" quotePrefix="0" xfId="0">
      <alignment horizontal="center" wrapText="1"/>
    </xf>
    <xf numFmtId="0" fontId="0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57" fillId="7" borderId="1" applyAlignment="1" pivotButton="0" quotePrefix="0" xfId="0">
      <alignment horizontal="center" vertical="center"/>
    </xf>
    <xf numFmtId="0" fontId="58" fillId="0" borderId="5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14" fillId="8" borderId="4" applyAlignment="1" pivotButton="0" quotePrefix="0" xfId="0">
      <alignment horizontal="center" vertical="center"/>
    </xf>
    <xf numFmtId="0" fontId="16" fillId="0" borderId="3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55" fillId="0" borderId="5" applyAlignment="1" pivotButton="0" quotePrefix="0" xfId="0">
      <alignment vertical="center"/>
    </xf>
    <xf numFmtId="0" fontId="12" fillId="4" borderId="1" applyAlignment="1" pivotButton="0" quotePrefix="0" xfId="0">
      <alignment horizontal="center" vertical="center"/>
    </xf>
    <xf numFmtId="3" fontId="66" fillId="8" borderId="8" applyAlignment="1" pivotButton="0" quotePrefix="0" xfId="0">
      <alignment horizontal="center"/>
    </xf>
    <xf numFmtId="0" fontId="93" fillId="0" borderId="8" pivotButton="0" quotePrefix="0" xfId="0"/>
    <xf numFmtId="0" fontId="93" fillId="0" borderId="6" pivotButton="0" quotePrefix="0" xfId="0"/>
    <xf numFmtId="3" fontId="97" fillId="0" borderId="8" applyAlignment="1" pivotButton="0" quotePrefix="0" xfId="0">
      <alignment horizontal="center"/>
    </xf>
    <xf numFmtId="3" fontId="97" fillId="0" borderId="8" applyAlignment="1" pivotButton="0" quotePrefix="0" xfId="0">
      <alignment horizontal="center" wrapText="1"/>
    </xf>
    <xf numFmtId="3" fontId="66" fillId="8" borderId="8" applyAlignment="1" pivotButton="0" quotePrefix="0" xfId="0">
      <alignment horizontal="center" wrapText="1"/>
    </xf>
    <xf numFmtId="3" fontId="66" fillId="0" borderId="8" applyAlignment="1" pivotButton="0" quotePrefix="0" xfId="0">
      <alignment horizontal="center" wrapText="1"/>
    </xf>
    <xf numFmtId="3" fontId="66" fillId="0" borderId="8" applyAlignment="1" pivotButton="0" quotePrefix="0" xfId="0">
      <alignment horizontal="center"/>
    </xf>
    <xf numFmtId="3" fontId="98" fillId="8" borderId="8" applyAlignment="1" pivotButton="0" quotePrefix="0" xfId="0">
      <alignment horizontal="center" wrapText="1"/>
    </xf>
    <xf numFmtId="0" fontId="77" fillId="4" borderId="1" applyAlignment="1" pivotButton="0" quotePrefix="0" xfId="0">
      <alignment horizontal="center" vertical="center" wrapText="1"/>
    </xf>
    <xf numFmtId="3" fontId="97" fillId="8" borderId="8" applyAlignment="1" pivotButton="0" quotePrefix="0" xfId="0">
      <alignment horizontal="center"/>
    </xf>
    <xf numFmtId="3" fontId="97" fillId="8" borderId="8" applyAlignment="1" pivotButton="0" quotePrefix="0" xfId="0">
      <alignment horizontal="center" wrapText="1"/>
    </xf>
    <xf numFmtId="0" fontId="17" fillId="6" borderId="1" applyAlignment="1" pivotButton="0" quotePrefix="0" xfId="0">
      <alignment horizontal="center" vertical="center"/>
    </xf>
    <xf numFmtId="3" fontId="14" fillId="8" borderId="8" applyAlignment="1" pivotButton="0" quotePrefix="0" xfId="0">
      <alignment horizontal="center"/>
    </xf>
    <xf numFmtId="0" fontId="16" fillId="0" borderId="8" pivotButton="0" quotePrefix="0" xfId="0"/>
    <xf numFmtId="0" fontId="16" fillId="0" borderId="6" pivotButton="0" quotePrefix="0" xfId="0"/>
    <xf numFmtId="3" fontId="28" fillId="8" borderId="8" applyAlignment="1" pivotButton="0" quotePrefix="0" xfId="0">
      <alignment horizontal="center"/>
    </xf>
    <xf numFmtId="3" fontId="28" fillId="8" borderId="8" applyAlignment="1" pivotButton="0" quotePrefix="0" xfId="0">
      <alignment horizontal="center" wrapText="1"/>
    </xf>
    <xf numFmtId="3" fontId="14" fillId="8" borderId="8" applyAlignment="1" pivotButton="0" quotePrefix="0" xfId="0">
      <alignment horizontal="center" wrapText="1"/>
    </xf>
    <xf numFmtId="3" fontId="5" fillId="8" borderId="8" applyAlignment="1" pivotButton="0" quotePrefix="0" xfId="0">
      <alignment horizontal="center" wrapText="1"/>
    </xf>
    <xf numFmtId="0" fontId="80" fillId="15" borderId="10" applyAlignment="1" pivotButton="0" quotePrefix="0" xfId="0">
      <alignment vertical="top" wrapText="1"/>
    </xf>
    <xf numFmtId="0" fontId="80" fillId="15" borderId="26" applyAlignment="1" pivotButton="0" quotePrefix="0" xfId="0">
      <alignment vertical="top" wrapText="1"/>
    </xf>
    <xf numFmtId="0" fontId="67" fillId="15" borderId="10" applyAlignment="1" pivotButton="0" quotePrefix="0" xfId="1">
      <alignment vertical="top" wrapText="1"/>
    </xf>
    <xf numFmtId="0" fontId="65" fillId="14" borderId="10" applyAlignment="1" pivotButton="0" quotePrefix="0" xfId="0">
      <alignment horizontal="center" vertical="top" wrapText="1"/>
    </xf>
    <xf numFmtId="0" fontId="67" fillId="15" borderId="10" applyAlignment="1" pivotButton="0" quotePrefix="0" xfId="0">
      <alignment vertical="top" wrapText="1"/>
    </xf>
    <xf numFmtId="0" fontId="80" fillId="15" borderId="12" applyAlignment="1" pivotButton="0" quotePrefix="0" xfId="0">
      <alignment vertical="top" wrapText="1"/>
    </xf>
    <xf numFmtId="0" fontId="80" fillId="15" borderId="13" applyAlignment="1" pivotButton="0" quotePrefix="0" xfId="0">
      <alignment vertical="top" wrapText="1"/>
    </xf>
    <xf numFmtId="0" fontId="80" fillId="15" borderId="14" applyAlignment="1" pivotButton="0" quotePrefix="0" xfId="0">
      <alignment vertical="top" wrapText="1"/>
    </xf>
    <xf numFmtId="164" fontId="6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 wrapText="1"/>
    </xf>
    <xf numFmtId="0" fontId="13" fillId="3" borderId="28" applyAlignment="1" pivotButton="0" quotePrefix="0" xfId="0">
      <alignment horizontal="center" vertical="center" wrapText="1"/>
    </xf>
    <xf numFmtId="0" fontId="13" fillId="3" borderId="28" applyAlignment="1" pivotButton="0" quotePrefix="0" xfId="0">
      <alignment horizontal="center" vertical="center"/>
    </xf>
    <xf numFmtId="0" fontId="12" fillId="4" borderId="28" applyAlignment="1" pivotButton="0" quotePrefix="0" xfId="0">
      <alignment horizontal="center" vertical="center"/>
    </xf>
    <xf numFmtId="14" fontId="15" fillId="5" borderId="2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6" fillId="6" borderId="3" applyAlignment="1" pivotButton="0" quotePrefix="0" xfId="0">
      <alignment horizontal="center" vertical="center"/>
    </xf>
    <xf numFmtId="165" fontId="6" fillId="6" borderId="3" applyAlignment="1" pivotButton="0" quotePrefix="0" xfId="0">
      <alignment horizontal="center" vertical="center"/>
    </xf>
    <xf numFmtId="0" fontId="7" fillId="6" borderId="28" applyAlignment="1" pivotButton="0" quotePrefix="0" xfId="0">
      <alignment horizontal="center" vertical="center" wrapText="1"/>
    </xf>
    <xf numFmtId="165" fontId="18" fillId="6" borderId="3" applyAlignment="1" pivotButton="0" quotePrefix="0" xfId="0">
      <alignment horizontal="center" vertical="center"/>
    </xf>
    <xf numFmtId="165" fontId="18" fillId="6" borderId="3" applyAlignment="1" pivotButton="0" quotePrefix="1" xfId="0">
      <alignment horizontal="center" vertical="center"/>
    </xf>
    <xf numFmtId="165" fontId="64" fillId="6" borderId="3" applyAlignment="1" pivotButton="0" quotePrefix="0" xfId="0">
      <alignment horizontal="center" vertical="center"/>
    </xf>
    <xf numFmtId="0" fontId="52" fillId="6" borderId="28" applyAlignment="1" pivotButton="0" quotePrefix="0" xfId="0">
      <alignment horizontal="center" vertical="center" wrapText="1"/>
    </xf>
    <xf numFmtId="0" fontId="57" fillId="7" borderId="28" applyAlignment="1" pivotButton="0" quotePrefix="0" xfId="0">
      <alignment horizontal="center" vertical="center"/>
    </xf>
    <xf numFmtId="0" fontId="14" fillId="8" borderId="28" applyAlignment="1" pivotButton="0" quotePrefix="0" xfId="0">
      <alignment horizontal="center" vertical="center"/>
    </xf>
    <xf numFmtId="0" fontId="13" fillId="9" borderId="28" applyAlignment="1" pivotButton="0" quotePrefix="0" xfId="0">
      <alignment horizontal="center" vertical="center"/>
    </xf>
    <xf numFmtId="0" fontId="0" fillId="0" borderId="5" pivotButton="0" quotePrefix="0" xfId="0"/>
    <xf numFmtId="168" fontId="90" fillId="0" borderId="6" applyAlignment="1" pivotButton="0" quotePrefix="0" xfId="0">
      <alignment horizontal="center"/>
    </xf>
    <xf numFmtId="166" fontId="66" fillId="0" borderId="6" applyAlignment="1" pivotButton="0" quotePrefix="0" xfId="0">
      <alignment horizontal="center"/>
    </xf>
    <xf numFmtId="0" fontId="0" fillId="0" borderId="8" pivotButton="0" quotePrefix="0" xfId="0"/>
    <xf numFmtId="0" fontId="0" fillId="0" borderId="6" pivotButton="0" quotePrefix="0" xfId="0"/>
    <xf numFmtId="3" fontId="66" fillId="0" borderId="6" applyAlignment="1" pivotButton="0" quotePrefix="0" xfId="0">
      <alignment horizontal="center" wrapText="1"/>
    </xf>
    <xf numFmtId="3" fontId="98" fillId="8" borderId="6" applyAlignment="1" pivotButton="0" quotePrefix="0" xfId="0">
      <alignment horizontal="center" wrapText="1"/>
    </xf>
    <xf numFmtId="166" fontId="99" fillId="26" borderId="6" applyAlignment="1" pivotButton="0" quotePrefix="0" xfId="0">
      <alignment horizontal="center"/>
    </xf>
    <xf numFmtId="168" fontId="90" fillId="16" borderId="6" applyAlignment="1" pivotButton="0" quotePrefix="0" xfId="0">
      <alignment horizontal="center"/>
    </xf>
    <xf numFmtId="166" fontId="66" fillId="16" borderId="6" applyAlignment="1" pivotButton="0" quotePrefix="0" xfId="0">
      <alignment horizontal="center"/>
    </xf>
    <xf numFmtId="166" fontId="92" fillId="16" borderId="6" applyAlignment="1" pivotButton="0" quotePrefix="0" xfId="0">
      <alignment horizontal="center"/>
    </xf>
    <xf numFmtId="166" fontId="88" fillId="16" borderId="6" applyAlignment="1" pivotButton="0" quotePrefix="0" xfId="0">
      <alignment horizontal="center"/>
    </xf>
    <xf numFmtId="166" fontId="91" fillId="16" borderId="6" applyAlignment="1" pivotButton="0" quotePrefix="0" xfId="0">
      <alignment horizontal="center"/>
    </xf>
    <xf numFmtId="168" fontId="94" fillId="0" borderId="6" applyAlignment="1" pivotButton="0" quotePrefix="0" xfId="0">
      <alignment horizontal="center"/>
    </xf>
    <xf numFmtId="167" fontId="97" fillId="0" borderId="0" applyAlignment="1" pivotButton="0" quotePrefix="0" xfId="0">
      <alignment horizontal="center" vertical="center" wrapText="1"/>
    </xf>
    <xf numFmtId="167" fontId="97" fillId="0" borderId="9" applyAlignment="1" pivotButton="0" quotePrefix="0" xfId="0">
      <alignment horizontal="center" vertical="center" wrapText="1"/>
    </xf>
    <xf numFmtId="171" fontId="90" fillId="0" borderId="6" applyAlignment="1" pivotButton="0" quotePrefix="0" xfId="0">
      <alignment horizontal="center"/>
    </xf>
    <xf numFmtId="168" fontId="101" fillId="24" borderId="6" applyAlignment="1" pivotButton="0" quotePrefix="0" xfId="0">
      <alignment horizontal="center"/>
    </xf>
    <xf numFmtId="166" fontId="66" fillId="24" borderId="6" applyAlignment="1" pivotButton="0" quotePrefix="0" xfId="0">
      <alignment horizontal="center"/>
    </xf>
    <xf numFmtId="3" fontId="97" fillId="0" borderId="6" applyAlignment="1" pivotButton="0" quotePrefix="0" xfId="0">
      <alignment horizontal="center" wrapText="1"/>
    </xf>
    <xf numFmtId="168" fontId="66" fillId="0" borderId="6" applyAlignment="1" pivotButton="0" quotePrefix="0" xfId="0">
      <alignment horizontal="center"/>
    </xf>
    <xf numFmtId="0" fontId="77" fillId="4" borderId="28" applyAlignment="1" pivotButton="0" quotePrefix="0" xfId="0">
      <alignment horizontal="center" vertical="center" wrapText="1"/>
    </xf>
    <xf numFmtId="168" fontId="90" fillId="10" borderId="6" applyAlignment="1" pivotButton="0" quotePrefix="0" xfId="0">
      <alignment horizontal="center"/>
    </xf>
    <xf numFmtId="166" fontId="66" fillId="10" borderId="6" applyAlignment="1" pivotButton="0" quotePrefix="0" xfId="0">
      <alignment horizontal="center"/>
    </xf>
    <xf numFmtId="166" fontId="89" fillId="5" borderId="6" applyAlignment="1" pivotButton="0" quotePrefix="0" xfId="0">
      <alignment horizontal="center"/>
    </xf>
    <xf numFmtId="167" fontId="97" fillId="10" borderId="9" applyAlignment="1" pivotButton="0" quotePrefix="0" xfId="0">
      <alignment horizontal="center" vertical="center" wrapText="1"/>
    </xf>
    <xf numFmtId="168" fontId="101" fillId="10" borderId="6" applyAlignment="1" pivotButton="0" quotePrefix="0" xfId="0">
      <alignment horizontal="center"/>
    </xf>
    <xf numFmtId="3" fontId="97" fillId="8" borderId="6" applyAlignment="1" pivotButton="0" quotePrefix="0" xfId="0">
      <alignment horizontal="center"/>
    </xf>
    <xf numFmtId="3" fontId="97" fillId="8" borderId="6" applyAlignment="1" pivotButton="0" quotePrefix="0" xfId="0">
      <alignment horizontal="center" wrapText="1"/>
    </xf>
    <xf numFmtId="0" fontId="17" fillId="6" borderId="28" applyAlignment="1" pivotButton="0" quotePrefix="0" xfId="0">
      <alignment horizontal="center" vertical="center"/>
    </xf>
    <xf numFmtId="168" fontId="14" fillId="0" borderId="6" applyAlignment="1" pivotButton="0" quotePrefix="0" xfId="0">
      <alignment horizontal="center"/>
    </xf>
    <xf numFmtId="166" fontId="14" fillId="0" borderId="6" applyAlignment="1" pivotButton="0" quotePrefix="0" xfId="0">
      <alignment horizontal="center"/>
    </xf>
    <xf numFmtId="166" fontId="14" fillId="10" borderId="6" applyAlignment="1" pivotButton="0" quotePrefix="0" xfId="0">
      <alignment horizontal="center"/>
    </xf>
    <xf numFmtId="3" fontId="5" fillId="8" borderId="6" applyAlignment="1" pivotButton="0" quotePrefix="0" xfId="0">
      <alignment horizontal="center" wrapText="1"/>
    </xf>
    <xf numFmtId="166" fontId="15" fillId="5" borderId="6" applyAlignment="1" pivotButton="0" quotePrefix="0" xfId="0">
      <alignment horizontal="center"/>
    </xf>
    <xf numFmtId="167" fontId="32" fillId="0" borderId="0" applyAlignment="1" pivotButton="0" quotePrefix="0" xfId="0">
      <alignment horizontal="center" vertical="center" wrapText="1"/>
    </xf>
    <xf numFmtId="167" fontId="32" fillId="0" borderId="9" applyAlignment="1" pivotButton="0" quotePrefix="0" xfId="0">
      <alignment horizontal="center" vertical="center" wrapText="1"/>
    </xf>
    <xf numFmtId="167" fontId="32" fillId="10" borderId="9" applyAlignment="1" pivotButton="0" quotePrefix="0" xfId="0">
      <alignment horizontal="center" vertical="center" wrapText="1"/>
    </xf>
    <xf numFmtId="3" fontId="28" fillId="8" borderId="6" applyAlignment="1" pivotButton="0" quotePrefix="0" xfId="0">
      <alignment horizontal="center"/>
    </xf>
    <xf numFmtId="3" fontId="28" fillId="8" borderId="6" applyAlignment="1" pivotButton="0" quotePrefix="0" xfId="0">
      <alignment horizontal="center" wrapText="1"/>
    </xf>
    <xf numFmtId="0" fontId="0" fillId="0" borderId="13" pivotButton="0" quotePrefix="0" xfId="0"/>
    <xf numFmtId="0" fontId="0" fillId="0" borderId="14" pivotButton="0" quotePrefix="0" xfId="0"/>
    <xf numFmtId="169" fontId="67" fillId="16" borderId="10" applyAlignment="1" pivotButton="0" quotePrefix="0" xfId="0">
      <alignment horizontal="right" vertical="top" wrapText="1"/>
    </xf>
    <xf numFmtId="169" fontId="67" fillId="16" borderId="10" applyAlignment="1" pivotButton="0" quotePrefix="0" xfId="0">
      <alignment horizontal="left" vertical="top" wrapText="1"/>
    </xf>
    <xf numFmtId="169" fontId="67" fillId="15" borderId="10" applyAlignment="1" pivotButton="0" quotePrefix="0" xfId="1">
      <alignment horizontal="right" vertical="top" wrapText="1"/>
    </xf>
    <xf numFmtId="170" fontId="67" fillId="15" borderId="10" applyAlignment="1" pivotButton="0" quotePrefix="0" xfId="1">
      <alignment horizontal="right" vertical="top" wrapText="1"/>
    </xf>
    <xf numFmtId="169" fontId="67" fillId="15" borderId="10" applyAlignment="1" pivotButton="0" quotePrefix="0" xfId="0">
      <alignment horizontal="right" vertical="top" wrapText="1"/>
    </xf>
    <xf numFmtId="170" fontId="67" fillId="15" borderId="10" applyAlignment="1" pivotButton="0" quotePrefix="0" xfId="0">
      <alignment horizontal="right" vertical="top" wrapText="1"/>
    </xf>
    <xf numFmtId="169" fontId="79" fillId="15" borderId="10" applyAlignment="1" pivotButton="0" quotePrefix="0" xfId="0">
      <alignment horizontal="right" vertical="top" wrapText="1"/>
    </xf>
    <xf numFmtId="170" fontId="79" fillId="15" borderId="10" applyAlignment="1" pivotButton="0" quotePrefix="0" xfId="0">
      <alignment horizontal="right" vertical="top" wrapText="1"/>
    </xf>
    <xf numFmtId="172" fontId="66" fillId="0" borderId="0" pivotButton="0" quotePrefix="0" xfId="0"/>
    <xf numFmtId="169" fontId="67" fillId="16" borderId="26" applyAlignment="1" pivotButton="0" quotePrefix="0" xfId="0">
      <alignment horizontal="right" vertical="top" wrapText="1"/>
    </xf>
    <xf numFmtId="169" fontId="67" fillId="16" borderId="26" applyAlignment="1" pivotButton="0" quotePrefix="0" xfId="0">
      <alignment horizontal="left" vertical="top" wrapText="1"/>
    </xf>
    <xf numFmtId="169" fontId="79" fillId="15" borderId="26" applyAlignment="1" pivotButton="0" quotePrefix="0" xfId="0">
      <alignment horizontal="right" vertical="top" wrapText="1"/>
    </xf>
    <xf numFmtId="0" fontId="0" fillId="0" borderId="35" pivotButton="0" quotePrefix="0" xfId="0"/>
    <xf numFmtId="0" fontId="0" fillId="0" borderId="36" pivotButton="0" quotePrefix="0" xfId="0"/>
    <xf numFmtId="170" fontId="79" fillId="15" borderId="26" applyAlignment="1" pivotButton="0" quotePrefix="0" xfId="0">
      <alignment horizontal="right" vertical="top" wrapText="1"/>
    </xf>
    <xf numFmtId="169" fontId="67" fillId="16" borderId="25" applyAlignment="1" pivotButton="0" quotePrefix="0" xfId="0">
      <alignment horizontal="right" vertical="top" wrapText="1"/>
    </xf>
    <xf numFmtId="169" fontId="67" fillId="16" borderId="25" applyAlignment="1" pivotButton="0" quotePrefix="0" xfId="0">
      <alignment horizontal="left" vertical="top" wrapText="1"/>
    </xf>
  </cellXfs>
  <cellStyles count="2">
    <cellStyle name="一般" xfId="0" builtinId="0"/>
    <cellStyle name="一般 2" xfId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None</author>
  </authors>
  <commentList>
    <comment ref="F2" authorId="0" shapeId="0">
      <text>
        <t>每週四中午前完成更新</t>
      </text>
    </comment>
    <comment ref="ED2" authorId="0" shapeId="0">
      <text>
        <t>2025.05.14
與卉庭、凱文確認安庫</t>
      </text>
    </comment>
    <comment ref="C22" authorId="0" shapeId="0">
      <text>
        <t xml:space="preserve">6c.c.
</t>
      </text>
    </comment>
    <comment ref="C23" authorId="0" shapeId="0">
      <text>
        <t xml:space="preserve">8c.c
</t>
      </text>
    </comment>
    <comment ref="C26" authorId="0" shapeId="0">
      <text>
        <t xml:space="preserve">*6c.c. 小分子
</t>
      </text>
    </comment>
    <comment ref="C27" authorId="0" shapeId="0">
      <text>
        <t xml:space="preserve">*8c.c.
</t>
      </text>
    </comment>
    <comment ref="C40" authorId="0" shapeId="0">
      <text>
        <t>仙女玻尿酸大分子</t>
      </text>
    </comment>
    <comment ref="C41" authorId="0" shapeId="0">
      <text>
        <t>仙女玻尿酸小分子</t>
      </text>
    </comment>
    <comment ref="C45" authorId="0" shapeId="0">
      <text>
        <t>熊貓針
周一前匯款、周三出貨
週二後匯款、隔周三出貨</t>
      </text>
    </comment>
    <comment ref="C74" authorId="0" shapeId="0">
      <text>
        <t>大玉璽</t>
      </text>
    </comment>
    <comment ref="C79" authorId="0" shapeId="0">
      <text>
        <t>冷凍</t>
      </text>
    </comment>
    <comment ref="AO79" authorId="0" shapeId="0">
      <text>
        <t>1-6月 阿爾發一台</t>
      </text>
    </comment>
    <comment ref="AQ79" authorId="0" shapeId="0">
      <text>
        <t>7-8月 2台阿爾發</t>
      </text>
    </comment>
    <comment ref="AR79" authorId="0" shapeId="0">
      <text>
        <t>9月起 3台阿爾發</t>
      </text>
    </comment>
    <comment ref="C80" authorId="0" shapeId="0">
      <text>
        <t>ILIB/氦氖針</t>
      </text>
    </comment>
    <comment ref="C105" authorId="0" shapeId="0">
      <text>
        <t xml:space="preserve">*4
</t>
      </text>
    </comment>
    <comment ref="C147" authorId="0" shapeId="0">
      <text>
        <t xml:space="preserve">舒萃
</t>
      </text>
    </comment>
    <comment ref="C160" authorId="0" shapeId="0">
      <text>
        <t>海神霜</t>
      </text>
    </comment>
    <comment ref="C170" authorId="0" shapeId="0">
      <text>
        <t>NU防曬</t>
      </text>
    </comment>
    <comment ref="C172" authorId="0" shapeId="0">
      <text>
        <t xml:space="preserve">海神霜
</t>
      </text>
    </comment>
    <comment ref="C180" authorId="0" shapeId="0">
      <text>
        <t xml:space="preserve">EDN洗面乳
</t>
      </text>
    </comment>
    <comment ref="C183" authorId="0" shapeId="0">
      <text>
        <t xml:space="preserve">EDN眼膜
</t>
      </text>
    </comment>
    <comment ref="F189" authorId="0" shapeId="0">
      <text>
        <t xml:space="preserve">19*有試用-中文標
26*沒有試用-中文標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X2" authorId="0" shapeId="0">
      <text>
        <t>2025.05.14
與卉庭、凱文確認安庫</t>
      </text>
    </comment>
    <comment ref="C22" authorId="0" shapeId="0">
      <text>
        <t xml:space="preserve">6c.c.
</t>
      </text>
    </comment>
    <comment ref="C23" authorId="0" shapeId="0">
      <text>
        <t xml:space="preserve">8c.c
</t>
      </text>
    </comment>
    <comment ref="C26" authorId="0" shapeId="0">
      <text>
        <t xml:space="preserve">*6c.c. 小分子
</t>
      </text>
    </comment>
    <comment ref="C27" authorId="0" shapeId="0">
      <text>
        <t xml:space="preserve">*8c.c.
</t>
      </text>
    </comment>
    <comment ref="C40" authorId="0" shapeId="0">
      <text>
        <t>仙女玻尿酸大分子</t>
      </text>
    </comment>
    <comment ref="C41" authorId="0" shapeId="0">
      <text>
        <t>仙女玻尿酸小分子</t>
      </text>
    </comment>
    <comment ref="C45" authorId="0" shapeId="0">
      <text>
        <t>熊貓針
周一前匯款、周三出貨
週二後匯款、隔周三出貨</t>
      </text>
    </comment>
    <comment ref="C60" authorId="0" shapeId="0">
      <text>
        <t>冷凍</t>
      </text>
    </comment>
    <comment ref="AL60" authorId="0" shapeId="0">
      <text>
        <t>1-6月 阿爾發一台</t>
      </text>
    </comment>
    <comment ref="AN60" authorId="0" shapeId="0">
      <text>
        <t>7-8月 2台阿爾發</t>
      </text>
    </comment>
    <comment ref="AO60" authorId="0" shapeId="0">
      <text>
        <t>9月起 3台阿爾發</t>
      </text>
    </comment>
    <comment ref="C61" authorId="0" shapeId="0">
      <text>
        <t>ILIB/氦氖針</t>
      </text>
    </comment>
    <comment ref="C77" authorId="0" shapeId="0">
      <text>
        <t>大玉璽</t>
      </text>
    </comment>
    <comment ref="C95" authorId="0" shapeId="0">
      <text>
        <t xml:space="preserve">*4
</t>
      </text>
    </comment>
    <comment ref="C142" authorId="0" shapeId="0">
      <text>
        <t xml:space="preserve">舒萃
</t>
      </text>
    </comment>
    <comment ref="C155" authorId="0" shapeId="0">
      <text>
        <t>海神霜</t>
      </text>
    </comment>
    <comment ref="C165" authorId="0" shapeId="0">
      <text>
        <t>NU防曬</t>
      </text>
    </comment>
    <comment ref="C167" authorId="0" shapeId="0">
      <text>
        <t xml:space="preserve">海神霜
</t>
      </text>
    </comment>
    <comment ref="C175" authorId="0" shapeId="0">
      <text>
        <t xml:space="preserve">EDN洗面乳
</t>
      </text>
    </comment>
    <comment ref="C178" authorId="0" shapeId="0">
      <text>
        <t xml:space="preserve">EDN眼膜
</t>
      </text>
    </comment>
    <comment ref="F190" authorId="0" shapeId="0">
      <text>
        <t xml:space="preserve">19*有試用-中文標
26*沒有試用-中文標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X2" authorId="0" shapeId="0">
      <text>
        <t>2025.05.14
與卉庭、凱文確認安庫</t>
      </text>
    </comment>
    <comment ref="C4" authorId="0" shapeId="0">
      <text>
        <t>冷凍</t>
      </text>
    </comment>
    <comment ref="AL4" authorId="0" shapeId="0">
      <text>
        <t>1-6月 阿爾發一台</t>
      </text>
    </comment>
    <comment ref="AN4" authorId="0" shapeId="0">
      <text>
        <t>7-8月 2台阿爾發</t>
      </text>
    </comment>
    <comment ref="AO4" authorId="0" shapeId="0">
      <text>
        <t>9月起 3台阿爾發</t>
      </text>
    </comment>
    <comment ref="C5" authorId="0" shapeId="0">
      <text>
        <t>ILIB/氦氖針</t>
      </text>
    </comment>
    <comment ref="C29" authorId="0" shapeId="0">
      <text>
        <t xml:space="preserve">*4
</t>
      </text>
    </comment>
    <comment ref="C68" authorId="0" shapeId="0">
      <text>
        <t xml:space="preserve">舒萃
</t>
      </text>
    </comment>
    <comment ref="C81" authorId="0" shapeId="0">
      <text>
        <t>海神霜</t>
      </text>
    </comment>
    <comment ref="C91" authorId="0" shapeId="0">
      <text>
        <t>NU防曬</t>
      </text>
    </comment>
    <comment ref="C93" authorId="0" shapeId="0">
      <text>
        <t xml:space="preserve">海神霜
</t>
      </text>
    </comment>
    <comment ref="C101" authorId="0" shapeId="0">
      <text>
        <t xml:space="preserve">EDN洗面乳
</t>
      </text>
    </comment>
    <comment ref="C104" authorId="0" shapeId="0">
      <text>
        <t xml:space="preserve">EDN眼膜
</t>
      </text>
    </comment>
    <comment ref="F116" authorId="0" shapeId="0">
      <text>
        <t xml:space="preserve">19*有試用-中文標
26*沒有試用-中文標
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E2" authorId="0" shapeId="0">
      <text>
        <t>2025.05.14
與卉庭、凱文確認安庫</t>
      </text>
    </comment>
    <comment ref="C4" authorId="0" shapeId="0">
      <text>
        <t>冷凍</t>
      </text>
    </comment>
    <comment ref="C26" authorId="0" shapeId="0">
      <text>
        <t xml:space="preserve">*4
</t>
      </text>
    </comment>
    <comment ref="C72" authorId="0" shapeId="0">
      <text>
        <t xml:space="preserve">舒萃
</t>
      </text>
    </comment>
    <comment ref="C85" authorId="0" shapeId="0">
      <text>
        <t>海神霜</t>
      </text>
    </comment>
    <comment ref="C95" authorId="0" shapeId="0">
      <text>
        <t>NU防曬</t>
      </text>
    </comment>
    <comment ref="C97" authorId="0" shapeId="0">
      <text>
        <t xml:space="preserve">海神霜
</t>
      </text>
    </comment>
    <comment ref="C105" authorId="0" shapeId="0">
      <text>
        <t xml:space="preserve">EDN洗面乳
</t>
      </text>
    </comment>
    <comment ref="C108" authorId="0" shapeId="0">
      <text>
        <t xml:space="preserve">EDN眼膜
</t>
      </text>
    </comment>
    <comment ref="F120" authorId="0" shapeId="0">
      <text>
        <t xml:space="preserve">19*有試用-中文標
26*沒有試用-中文標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G2" authorId="0" shapeId="0">
      <text>
        <t>2025.05.14
與卉庭、凱文確認安庫</t>
      </text>
    </comment>
    <comment ref="C22" authorId="0" shapeId="0">
      <text>
        <t xml:space="preserve">6c.c.
</t>
      </text>
    </comment>
    <comment ref="C23" authorId="0" shapeId="0">
      <text>
        <t xml:space="preserve">8c.c
</t>
      </text>
    </comment>
    <comment ref="C26" authorId="0" shapeId="0">
      <text>
        <t xml:space="preserve">*6c.c. 小分子
</t>
      </text>
    </comment>
    <comment ref="C27" authorId="0" shapeId="0">
      <text>
        <t xml:space="preserve">*8c.c.
</t>
      </text>
    </comment>
    <comment ref="C40" authorId="0" shapeId="0">
      <text>
        <t>仙女玻尿酸大分子</t>
      </text>
    </comment>
    <comment ref="C41" authorId="0" shapeId="0">
      <text>
        <t>仙女玻尿酸小分子</t>
      </text>
    </comment>
    <comment ref="C45" authorId="0" shapeId="0">
      <text>
        <t>熊貓針
周一前匯款、周三出貨
週二後匯款、隔周三出貨</t>
      </text>
    </comment>
    <comment ref="C74" authorId="0" shapeId="0">
      <text>
        <t>大玉璽</t>
      </text>
    </comment>
    <comment ref="C83" authorId="0" shapeId="0">
      <text>
        <t xml:space="preserve">*4
</t>
      </text>
    </comment>
    <comment ref="C129" authorId="0" shapeId="0">
      <text>
        <t xml:space="preserve">舒萃
</t>
      </text>
    </comment>
    <comment ref="C142" authorId="0" shapeId="0">
      <text>
        <t>海神霜</t>
      </text>
    </comment>
    <comment ref="C152" authorId="0" shapeId="0">
      <text>
        <t>NU防曬</t>
      </text>
    </comment>
    <comment ref="C154" authorId="0" shapeId="0">
      <text>
        <t xml:space="preserve">海神霜
</t>
      </text>
    </comment>
    <comment ref="C162" authorId="0" shapeId="0">
      <text>
        <t xml:space="preserve">EDN洗面乳
</t>
      </text>
    </comment>
    <comment ref="C165" authorId="0" shapeId="0">
      <text>
        <t xml:space="preserve">EDN眼膜
</t>
      </text>
    </comment>
    <comment ref="F177" authorId="0" shapeId="0">
      <text>
        <t xml:space="preserve">19*有試用-中文標
26*沒有試用-中文標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AE2" authorId="0" shapeId="0">
      <text>
        <t>2025.05.14
與卉庭、凱文確認安庫</t>
      </text>
    </comment>
    <comment ref="C22" authorId="0" shapeId="0">
      <text>
        <t xml:space="preserve">6c.c.
</t>
      </text>
    </comment>
    <comment ref="C23" authorId="0" shapeId="0">
      <text>
        <t xml:space="preserve">8c.c
</t>
      </text>
    </comment>
    <comment ref="C26" authorId="0" shapeId="0">
      <text>
        <t xml:space="preserve">*6c.c. 小分子
</t>
      </text>
    </comment>
    <comment ref="C27" authorId="0" shapeId="0">
      <text>
        <t xml:space="preserve">*8c.c.
</t>
      </text>
    </comment>
    <comment ref="C40" authorId="0" shapeId="0">
      <text>
        <t>仙女玻尿酸大分子</t>
      </text>
    </comment>
    <comment ref="C41" authorId="0" shapeId="0">
      <text>
        <t>仙女玻尿酸小分子</t>
      </text>
    </comment>
    <comment ref="C45" authorId="0" shapeId="0">
      <text>
        <t>熊貓針
周一前匯款、周三出貨
週二後匯款、隔周三出貨</t>
      </text>
    </comment>
    <comment ref="C74" authorId="0" shapeId="0">
      <text>
        <t>大玉璽</t>
      </text>
    </comment>
    <comment ref="C83" authorId="0" shapeId="0">
      <text>
        <t xml:space="preserve">*4
</t>
      </text>
    </comment>
    <comment ref="C129" authorId="0" shapeId="0">
      <text>
        <t xml:space="preserve">舒萃
</t>
      </text>
    </comment>
    <comment ref="C142" authorId="0" shapeId="0">
      <text>
        <t>海神霜</t>
      </text>
    </comment>
    <comment ref="C152" authorId="0" shapeId="0">
      <text>
        <t>NU防曬</t>
      </text>
    </comment>
    <comment ref="C154" authorId="0" shapeId="0">
      <text>
        <t xml:space="preserve">海神霜
</t>
      </text>
    </comment>
    <comment ref="C162" authorId="0" shapeId="0">
      <text>
        <t xml:space="preserve">EDN洗面乳
</t>
      </text>
    </comment>
    <comment ref="C165" authorId="0" shapeId="0">
      <text>
        <t xml:space="preserve">EDN眼膜
</t>
      </text>
    </comment>
    <comment ref="F177" authorId="0" shapeId="0">
      <text>
        <t xml:space="preserve">19*有試用-中文標
26*沒有試用-中文標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tabColor theme="1"/>
    <outlinePr summaryBelow="0" summaryRight="0"/>
    <pageSetUpPr fitToPage="1"/>
  </sheetPr>
  <dimension ref="A1:EQ1056"/>
  <sheetViews>
    <sheetView tabSelected="1" zoomScale="90" zoomScaleNormal="90" workbookViewId="0">
      <pane xSplit="49" ySplit="3" topLeftCell="CN4" activePane="bottomRight" state="frozen"/>
      <selection pane="topRight" activeCell="AX1" sqref="AX1"/>
      <selection pane="bottomLeft" activeCell="A4" sqref="A4"/>
      <selection pane="bottomRight" activeCell="DQ17" sqref="DQ17"/>
    </sheetView>
  </sheetViews>
  <sheetFormatPr baseColWidth="8" defaultColWidth="12.5703125" defaultRowHeight="15.75" customHeight="1"/>
  <cols>
    <col width="19.5703125" customWidth="1" style="453" min="1" max="1"/>
    <col width="12.42578125" customWidth="1" style="453" min="2" max="2"/>
    <col width="48" customWidth="1" style="98" min="3" max="3"/>
    <col width="10.28515625" bestFit="1" customWidth="1" style="453" min="4" max="4"/>
    <col width="11.5703125" bestFit="1" customWidth="1" style="453" min="5" max="5"/>
    <col width="11.85546875" bestFit="1" customWidth="1" style="453" min="6" max="6"/>
    <col width="11.85546875" customWidth="1" style="453" min="7" max="8"/>
    <col width="12.42578125" customWidth="1" style="453" min="9" max="9"/>
    <col collapsed="1" width="14.28515625" customWidth="1" style="453" min="10" max="10"/>
    <col hidden="1" outlineLevel="1" width="12.5703125" customWidth="1" style="453" min="11" max="47"/>
    <col hidden="1" style="453" min="48" max="49"/>
    <col width="9.7109375" customWidth="1" style="453" min="50" max="52"/>
    <col width="9.85546875" customWidth="1" style="453" min="53" max="53"/>
    <col width="9.42578125" customWidth="1" style="453" min="54" max="54"/>
    <col collapsed="1" width="11.140625" customWidth="1" style="453" min="55" max="55"/>
    <col hidden="1" outlineLevel="1" width="10.42578125" customWidth="1" style="453" min="56" max="56"/>
    <col hidden="1" outlineLevel="1" width="11.7109375" customWidth="1" style="453" min="57" max="57"/>
    <col hidden="1" outlineLevel="1" width="10.5703125" customWidth="1" style="453" min="58" max="58"/>
    <col hidden="1" outlineLevel="1" width="15.85546875" customWidth="1" style="453" min="59" max="59"/>
    <col collapsed="1" width="10.5703125" customWidth="1" style="453" min="60" max="60"/>
    <col hidden="1" outlineLevel="1" width="10.42578125" customWidth="1" style="453" min="61" max="61"/>
    <col hidden="1" outlineLevel="1" width="11.7109375" customWidth="1" style="453" min="62" max="62"/>
    <col hidden="1" outlineLevel="1" width="10.5703125" customWidth="1" style="453" min="63" max="63"/>
    <col hidden="1" outlineLevel="1" width="15.85546875" customWidth="1" style="453" min="64" max="64"/>
    <col collapsed="1" width="9.85546875" customWidth="1" style="453" min="65" max="65"/>
    <col hidden="1" outlineLevel="1" width="9.85546875" customWidth="1" style="453" min="66" max="66"/>
    <col hidden="1" outlineLevel="1" width="11.7109375" customWidth="1" style="453" min="67" max="67"/>
    <col hidden="1" outlineLevel="1" width="10.42578125" customWidth="1" style="453" min="68" max="68"/>
    <col hidden="1" outlineLevel="1" width="15.85546875" customWidth="1" style="402" min="69" max="69"/>
    <col collapsed="1" width="11.7109375" customWidth="1" style="453" min="70" max="70"/>
    <col hidden="1" outlineLevel="1" width="11.7109375" customWidth="1" style="453" min="71" max="73"/>
    <col hidden="1" outlineLevel="1" width="15.85546875" customWidth="1" style="402" min="74" max="74"/>
    <col collapsed="1" width="12.140625" customWidth="1" style="453" min="75" max="75"/>
    <col hidden="1" outlineLevel="1" width="12.140625" customWidth="1" style="453" min="76" max="79"/>
    <col collapsed="1" width="12.140625" customWidth="1" style="453" min="80" max="80"/>
    <col hidden="1" outlineLevel="1" width="12.140625" customWidth="1" style="453" min="81" max="84"/>
    <col collapsed="1" width="12.140625" customWidth="1" style="453" min="85" max="85"/>
    <col hidden="1" outlineLevel="1" width="12.140625" customWidth="1" style="453" min="86" max="89"/>
    <col width="11.42578125" customWidth="1" style="453" min="90" max="91"/>
    <col collapsed="1" width="12.140625" customWidth="1" style="453" min="92" max="92"/>
    <col hidden="1" outlineLevel="1" width="12.140625" customWidth="1" style="453" min="93" max="96"/>
    <col collapsed="1" width="12.140625" customWidth="1" style="453" min="97" max="97"/>
    <col hidden="1" outlineLevel="1" width="12.140625" customWidth="1" style="453" min="98" max="102"/>
    <col collapsed="1" width="12.140625" customWidth="1" style="453" min="103" max="103"/>
    <col hidden="1" outlineLevel="1" width="12.140625" customWidth="1" style="453" min="104" max="108"/>
    <col collapsed="1" width="12.140625" customWidth="1" style="453" min="109" max="109"/>
    <col hidden="1" outlineLevel="1" width="12.140625" customWidth="1" style="453" min="110" max="114"/>
    <col collapsed="1" width="12.140625" customWidth="1" style="453" min="115" max="115"/>
    <col hidden="1" outlineLevel="1" width="12.140625" customWidth="1" style="453" min="116" max="120"/>
    <col collapsed="1" width="12.140625" customWidth="1" style="453" min="121" max="121"/>
    <col hidden="1" outlineLevel="1" width="12.140625" customWidth="1" style="453" min="122" max="126"/>
    <col width="12.140625" customWidth="1" style="453" min="127" max="128"/>
    <col collapsed="1" width="12.140625" customWidth="1" style="453" min="129" max="129"/>
    <col hidden="1" outlineLevel="1" width="12.140625" customWidth="1" style="453" min="130" max="133"/>
    <col width="10.140625" customWidth="1" style="110" min="134" max="134"/>
    <col hidden="1" width="13.85546875" customWidth="1" style="453" min="135" max="135"/>
    <col hidden="1" width="15" customWidth="1" style="453" min="136" max="137"/>
    <col hidden="1" width="38.140625" customWidth="1" style="453" min="138" max="138"/>
    <col hidden="1" style="453" min="139" max="139"/>
    <col width="9.28515625" customWidth="1" style="453" min="140" max="141"/>
  </cols>
  <sheetData>
    <row r="1" ht="17.25" customHeight="1" s="453">
      <c r="A1" s="87" t="inlineStr">
        <is>
          <t>*自2025/1起調整為最小單位(發/點/支)</t>
        </is>
      </c>
      <c r="B1" s="87" t="n"/>
      <c r="C1" s="97" t="n"/>
      <c r="D1" s="1" t="n"/>
      <c r="E1" s="2" t="n"/>
      <c r="F1" s="452" t="n"/>
      <c r="K1" s="492" t="n"/>
      <c r="L1" s="492" t="n"/>
      <c r="M1" s="492" t="n"/>
      <c r="N1" s="492" t="n"/>
      <c r="O1" s="492" t="n"/>
      <c r="P1" s="492" t="n"/>
      <c r="Q1" s="492" t="n"/>
      <c r="R1" s="492" t="n"/>
      <c r="S1" s="492" t="n"/>
      <c r="T1" s="492" t="n"/>
      <c r="U1" s="492" t="n"/>
      <c r="V1" s="492" t="n"/>
      <c r="W1" s="492" t="n"/>
      <c r="X1" s="492" t="n"/>
      <c r="Y1" s="492" t="n"/>
      <c r="Z1" s="492" t="n"/>
      <c r="AA1" s="492" t="n"/>
      <c r="AB1" s="492" t="n"/>
      <c r="AC1" s="492" t="n"/>
      <c r="AD1" s="492" t="n"/>
      <c r="AE1" s="492" t="n"/>
      <c r="AF1" s="492" t="n"/>
      <c r="AG1" s="492" t="n"/>
      <c r="AH1" s="492" t="n"/>
      <c r="AI1" s="492" t="n"/>
      <c r="AJ1" s="492" t="n"/>
      <c r="AK1" s="492" t="n"/>
      <c r="AL1" s="492" t="n"/>
      <c r="AM1" s="492" t="n"/>
      <c r="AN1" s="492" t="n"/>
      <c r="AO1" s="492" t="n"/>
      <c r="AP1" s="492" t="n"/>
      <c r="AQ1" s="492" t="n"/>
      <c r="AR1" s="492" t="n"/>
      <c r="AS1" s="493" t="n"/>
      <c r="AT1" s="493" t="n"/>
      <c r="AU1" s="493" t="n"/>
      <c r="AV1" s="6" t="n"/>
      <c r="AW1" s="6" t="n"/>
      <c r="AX1" s="493" t="n"/>
      <c r="AY1" s="493" t="n"/>
      <c r="AZ1" s="494" t="n"/>
      <c r="BA1" s="8" t="inlineStr">
        <is>
          <t>Actual:填入買賣大表"耗療數量"</t>
        </is>
      </c>
      <c r="BB1" s="9" t="n"/>
      <c r="BC1" s="10" t="n"/>
      <c r="BD1" s="11" t="n"/>
      <c r="BE1" s="11" t="n"/>
      <c r="BF1" s="11" t="n"/>
      <c r="BG1" s="11" t="n"/>
      <c r="BK1" s="11" t="n"/>
      <c r="BL1" s="11" t="n"/>
      <c r="BP1" s="12" t="n"/>
      <c r="BQ1" s="400" t="n"/>
      <c r="BR1" s="6" t="n"/>
      <c r="BS1" s="6" t="n"/>
      <c r="BT1" s="6" t="n"/>
      <c r="BU1" s="6" t="n"/>
      <c r="BV1" s="6" t="n"/>
      <c r="BW1" s="6" t="n"/>
      <c r="BX1" s="6" t="n"/>
      <c r="BY1" s="6" t="n"/>
      <c r="BZ1" s="6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  <c r="CO1" s="6" t="n"/>
      <c r="CP1" s="6" t="n"/>
      <c r="CQ1" s="6" t="n"/>
      <c r="CR1" s="6" t="n"/>
      <c r="CS1" s="6" t="n"/>
      <c r="CT1" s="6" t="n"/>
      <c r="CU1" s="6" t="n"/>
      <c r="CV1" s="6" t="n"/>
      <c r="CW1" s="6" t="n"/>
      <c r="CX1" s="6" t="n"/>
      <c r="CY1" s="6" t="n"/>
      <c r="CZ1" s="6" t="n"/>
      <c r="DA1" s="6" t="n"/>
      <c r="DB1" s="6" t="n"/>
      <c r="DC1" s="6" t="n"/>
      <c r="DD1" s="6" t="n"/>
      <c r="DE1" s="6" t="n"/>
      <c r="DF1" s="6" t="n"/>
      <c r="DG1" s="6" t="n"/>
      <c r="DH1" s="6" t="n"/>
      <c r="DI1" s="6" t="n"/>
      <c r="DJ1" s="6" t="n"/>
      <c r="DK1" s="6" t="n"/>
      <c r="DL1" s="6" t="n"/>
      <c r="DM1" s="6" t="n"/>
      <c r="DN1" s="6" t="n"/>
      <c r="DO1" s="6" t="n"/>
      <c r="DP1" s="6" t="n"/>
      <c r="DQ1" s="6" t="n"/>
      <c r="DR1" s="6" t="n"/>
      <c r="DS1" s="6" t="n"/>
      <c r="DT1" s="6" t="n"/>
      <c r="DU1" s="6" t="n"/>
      <c r="DV1" s="6" t="n"/>
      <c r="DW1" s="6" t="n"/>
      <c r="DX1" s="6" t="n"/>
      <c r="DY1" s="6" t="n"/>
      <c r="DZ1" s="6" t="n"/>
      <c r="EB1" s="6" t="n"/>
      <c r="EC1" s="6" t="n"/>
      <c r="ED1" s="99" t="n"/>
      <c r="EE1" s="452" t="n"/>
      <c r="EF1" s="452" t="n"/>
      <c r="EH1" s="13" t="n"/>
      <c r="EI1" s="13" t="n"/>
      <c r="EJ1" s="14" t="n"/>
      <c r="EK1" s="14" t="n"/>
    </row>
    <row r="2" ht="33" customFormat="1" customHeight="1" s="92">
      <c r="A2" s="495" t="inlineStr">
        <is>
          <t>料件編號 新</t>
        </is>
      </c>
      <c r="B2" s="496" t="inlineStr">
        <is>
          <t>凱惠料號</t>
        </is>
      </c>
      <c r="C2" s="496" t="inlineStr">
        <is>
          <t>品名</t>
        </is>
      </c>
      <c r="D2" s="496" t="inlineStr">
        <is>
          <t>盒入數</t>
        </is>
      </c>
      <c r="E2" s="497" t="inlineStr">
        <is>
          <t>庫存
 單位</t>
        </is>
      </c>
      <c r="F2" s="498" t="n">
        <v>46181</v>
      </c>
      <c r="G2" s="499" t="n"/>
      <c r="H2" s="499" t="n"/>
      <c r="I2" s="499" t="n"/>
      <c r="J2" s="500" t="n"/>
      <c r="K2" s="501" t="n">
        <v>44531</v>
      </c>
      <c r="L2" s="501" t="n">
        <v>44562</v>
      </c>
      <c r="M2" s="501" t="n">
        <v>44593</v>
      </c>
      <c r="N2" s="501" t="n">
        <v>44621</v>
      </c>
      <c r="O2" s="501" t="n">
        <v>44652</v>
      </c>
      <c r="P2" s="501" t="n">
        <v>44682</v>
      </c>
      <c r="Q2" s="501" t="n">
        <v>44713</v>
      </c>
      <c r="R2" s="501" t="n">
        <v>44743</v>
      </c>
      <c r="S2" s="501" t="n">
        <v>44774</v>
      </c>
      <c r="T2" s="501" t="n">
        <v>44805</v>
      </c>
      <c r="U2" s="501" t="n">
        <v>44835</v>
      </c>
      <c r="V2" s="501" t="n">
        <v>44866</v>
      </c>
      <c r="W2" s="501" t="n">
        <v>44896</v>
      </c>
      <c r="X2" s="501" t="n">
        <v>44927</v>
      </c>
      <c r="Y2" s="501" t="n">
        <v>44958</v>
      </c>
      <c r="Z2" s="501" t="n">
        <v>44986</v>
      </c>
      <c r="AA2" s="501" t="n">
        <v>45017</v>
      </c>
      <c r="AB2" s="501" t="n">
        <v>45047</v>
      </c>
      <c r="AC2" s="501" t="n">
        <v>45078</v>
      </c>
      <c r="AD2" s="501" t="n">
        <v>45108</v>
      </c>
      <c r="AE2" s="501" t="n">
        <v>45139</v>
      </c>
      <c r="AF2" s="501" t="n">
        <v>45170</v>
      </c>
      <c r="AG2" s="501" t="n">
        <v>45200</v>
      </c>
      <c r="AH2" s="501" t="n">
        <v>45231</v>
      </c>
      <c r="AI2" s="501" t="n">
        <v>45261</v>
      </c>
      <c r="AJ2" s="501" t="n">
        <v>45292</v>
      </c>
      <c r="AK2" s="501" t="n">
        <v>45323</v>
      </c>
      <c r="AL2" s="501" t="n">
        <v>45352</v>
      </c>
      <c r="AM2" s="501" t="n">
        <v>45383</v>
      </c>
      <c r="AN2" s="501" t="n">
        <v>45413</v>
      </c>
      <c r="AO2" s="501" t="n">
        <v>45444</v>
      </c>
      <c r="AP2" s="501" t="n">
        <v>45474</v>
      </c>
      <c r="AQ2" s="501" t="n">
        <v>45505</v>
      </c>
      <c r="AR2" s="501" t="n">
        <v>45536</v>
      </c>
      <c r="AS2" s="502" t="n">
        <v>45566</v>
      </c>
      <c r="AT2" s="502" t="n">
        <v>45597</v>
      </c>
      <c r="AU2" s="502" t="n">
        <v>45627</v>
      </c>
      <c r="AV2" s="503" t="inlineStr">
        <is>
          <t>2024
總銷量
(盒裝)</t>
        </is>
      </c>
      <c r="AW2" s="503" t="inlineStr">
        <is>
          <t>2024
月均銷
(盒裝)</t>
        </is>
      </c>
      <c r="AX2" s="504" t="n">
        <v>45658</v>
      </c>
      <c r="AY2" s="504" t="n">
        <v>45689</v>
      </c>
      <c r="AZ2" s="504" t="n">
        <v>45717</v>
      </c>
      <c r="BA2" s="504" t="n">
        <v>45748</v>
      </c>
      <c r="BB2" s="504" t="n">
        <v>45778</v>
      </c>
      <c r="BC2" s="505" t="inlineStr">
        <is>
          <t>2025/06</t>
        </is>
      </c>
      <c r="BD2" s="506" t="inlineStr">
        <is>
          <t>站前4樓</t>
        </is>
      </c>
      <c r="BE2" s="506" t="inlineStr">
        <is>
          <t>站前11樓</t>
        </is>
      </c>
      <c r="BF2" s="506" t="inlineStr">
        <is>
          <t>忠孝7樓</t>
        </is>
      </c>
      <c r="BG2" s="506" t="inlineStr">
        <is>
          <t>忠孝國際醫學3樓</t>
        </is>
      </c>
      <c r="BH2" s="505" t="inlineStr">
        <is>
          <t>2025/07</t>
        </is>
      </c>
      <c r="BI2" s="506" t="inlineStr">
        <is>
          <t>站前4樓</t>
        </is>
      </c>
      <c r="BJ2" s="506" t="inlineStr">
        <is>
          <t>站前11樓</t>
        </is>
      </c>
      <c r="BK2" s="506" t="inlineStr">
        <is>
          <t>忠孝7樓</t>
        </is>
      </c>
      <c r="BL2" s="506" t="inlineStr">
        <is>
          <t>忠孝國際醫學3樓</t>
        </is>
      </c>
      <c r="BM2" s="505" t="inlineStr">
        <is>
          <t>2025/08</t>
        </is>
      </c>
      <c r="BN2" s="506" t="inlineStr">
        <is>
          <t>站前4樓</t>
        </is>
      </c>
      <c r="BO2" s="506" t="inlineStr">
        <is>
          <t>站前11樓</t>
        </is>
      </c>
      <c r="BP2" s="506" t="inlineStr">
        <is>
          <t>忠孝7樓</t>
        </is>
      </c>
      <c r="BQ2" s="506" t="inlineStr">
        <is>
          <t>忠孝國際醫學3樓</t>
        </is>
      </c>
      <c r="BR2" s="505" t="inlineStr">
        <is>
          <t>2025/09</t>
        </is>
      </c>
      <c r="BS2" s="506" t="inlineStr">
        <is>
          <t>站前4樓</t>
        </is>
      </c>
      <c r="BT2" s="506" t="inlineStr">
        <is>
          <t>站前11樓</t>
        </is>
      </c>
      <c r="BU2" s="506" t="inlineStr">
        <is>
          <t>忠孝7樓</t>
        </is>
      </c>
      <c r="BV2" s="506" t="inlineStr">
        <is>
          <t>忠孝國際醫學3樓</t>
        </is>
      </c>
      <c r="BW2" s="505" t="inlineStr">
        <is>
          <t>2025/10</t>
        </is>
      </c>
      <c r="BX2" s="506" t="inlineStr">
        <is>
          <t>站前4樓</t>
        </is>
      </c>
      <c r="BY2" s="506" t="inlineStr">
        <is>
          <t>站前11樓</t>
        </is>
      </c>
      <c r="BZ2" s="506" t="inlineStr">
        <is>
          <t>忠孝7樓</t>
        </is>
      </c>
      <c r="CA2" s="506" t="inlineStr">
        <is>
          <t>忠孝國際醫學3樓</t>
        </is>
      </c>
      <c r="CB2" s="505" t="inlineStr">
        <is>
          <t>2025/11</t>
        </is>
      </c>
      <c r="CC2" s="506" t="inlineStr">
        <is>
          <t>站前4樓</t>
        </is>
      </c>
      <c r="CD2" s="506" t="inlineStr">
        <is>
          <t>站前11樓</t>
        </is>
      </c>
      <c r="CE2" s="506" t="inlineStr">
        <is>
          <t>忠孝7樓</t>
        </is>
      </c>
      <c r="CF2" s="506" t="inlineStr">
        <is>
          <t>忠孝國際醫學3樓</t>
        </is>
      </c>
      <c r="CG2" s="505" t="inlineStr">
        <is>
          <t>2025/12</t>
        </is>
      </c>
      <c r="CH2" s="506" t="inlineStr">
        <is>
          <t>站前4樓</t>
        </is>
      </c>
      <c r="CI2" s="506" t="inlineStr">
        <is>
          <t>站前11樓</t>
        </is>
      </c>
      <c r="CJ2" s="506" t="inlineStr">
        <is>
          <t>忠孝7樓</t>
        </is>
      </c>
      <c r="CK2" s="506" t="inlineStr">
        <is>
          <t>忠孝國際醫學3樓</t>
        </is>
      </c>
      <c r="CL2" s="507" t="inlineStr">
        <is>
          <t>2025
總銷量
(單支/條/點)</t>
        </is>
      </c>
      <c r="CM2" s="507" t="inlineStr">
        <is>
          <t>2025
月均銷
(單支/條/點)</t>
        </is>
      </c>
      <c r="CN2" s="505" t="inlineStr">
        <is>
          <t>2026/01</t>
        </is>
      </c>
      <c r="CO2" s="506" t="inlineStr">
        <is>
          <t>站前4樓</t>
        </is>
      </c>
      <c r="CP2" s="506" t="inlineStr">
        <is>
          <t>站前11樓</t>
        </is>
      </c>
      <c r="CQ2" s="506" t="inlineStr">
        <is>
          <t>忠孝7樓</t>
        </is>
      </c>
      <c r="CR2" s="506" t="inlineStr">
        <is>
          <t>忠孝國際醫學3樓</t>
        </is>
      </c>
      <c r="CS2" s="505" t="inlineStr">
        <is>
          <t>2026/02</t>
        </is>
      </c>
      <c r="CT2" s="506" t="inlineStr">
        <is>
          <t>站前4樓</t>
        </is>
      </c>
      <c r="CU2" s="506" t="inlineStr">
        <is>
          <t>站前11樓</t>
        </is>
      </c>
      <c r="CV2" s="506" t="inlineStr">
        <is>
          <t>忠孝7樓</t>
        </is>
      </c>
      <c r="CW2" s="506" t="inlineStr">
        <is>
          <t>忠孝國際醫學3樓</t>
        </is>
      </c>
      <c r="CX2" s="506" t="inlineStr">
        <is>
          <t>忠孝健康7樓</t>
        </is>
      </c>
      <c r="CY2" s="505" t="inlineStr">
        <is>
          <t>2026/03</t>
        </is>
      </c>
      <c r="CZ2" s="506" t="inlineStr">
        <is>
          <t>站前4樓</t>
        </is>
      </c>
      <c r="DA2" s="506" t="inlineStr">
        <is>
          <t>站前11樓</t>
        </is>
      </c>
      <c r="DB2" s="506" t="inlineStr">
        <is>
          <t>忠孝7樓</t>
        </is>
      </c>
      <c r="DC2" s="506" t="inlineStr">
        <is>
          <t>忠孝國際醫學3樓</t>
        </is>
      </c>
      <c r="DD2" s="506" t="inlineStr">
        <is>
          <t>忠孝健康7樓</t>
        </is>
      </c>
      <c r="DE2" s="505" t="inlineStr">
        <is>
          <t>2026/04</t>
        </is>
      </c>
      <c r="DF2" s="506" t="inlineStr">
        <is>
          <t>站前4樓</t>
        </is>
      </c>
      <c r="DG2" s="506" t="inlineStr">
        <is>
          <t>站前11樓</t>
        </is>
      </c>
      <c r="DH2" s="506" t="inlineStr">
        <is>
          <t>忠孝7樓</t>
        </is>
      </c>
      <c r="DI2" s="506" t="inlineStr">
        <is>
          <t>忠孝國際醫學3樓</t>
        </is>
      </c>
      <c r="DJ2" s="506" t="inlineStr">
        <is>
          <t>忠孝健康7樓</t>
        </is>
      </c>
      <c r="DK2" s="505" t="inlineStr">
        <is>
          <t>2026/05</t>
        </is>
      </c>
      <c r="DL2" s="506" t="inlineStr">
        <is>
          <t>站前4樓</t>
        </is>
      </c>
      <c r="DM2" s="506" t="inlineStr">
        <is>
          <t>站前11樓</t>
        </is>
      </c>
      <c r="DN2" s="506" t="inlineStr">
        <is>
          <t>忠孝7樓</t>
        </is>
      </c>
      <c r="DO2" s="506" t="inlineStr">
        <is>
          <t>忠孝國際醫學3樓</t>
        </is>
      </c>
      <c r="DP2" s="506" t="inlineStr">
        <is>
          <t>忠孝健康7樓</t>
        </is>
      </c>
      <c r="DQ2" s="505" t="inlineStr">
        <is>
          <t>2026/06</t>
        </is>
      </c>
      <c r="DR2" s="506" t="inlineStr">
        <is>
          <t>站前4樓</t>
        </is>
      </c>
      <c r="DS2" s="506" t="inlineStr">
        <is>
          <t>站前11樓</t>
        </is>
      </c>
      <c r="DT2" s="506" t="inlineStr">
        <is>
          <t>忠孝7樓</t>
        </is>
      </c>
      <c r="DU2" s="506" t="inlineStr">
        <is>
          <t>忠孝國際醫學3樓</t>
        </is>
      </c>
      <c r="DV2" s="506" t="inlineStr">
        <is>
          <t>忠孝健康7樓</t>
        </is>
      </c>
      <c r="DW2" s="507" t="inlineStr">
        <is>
          <t>2026
總銷量
(單支/條/點)</t>
        </is>
      </c>
      <c r="DX2" s="507" t="inlineStr">
        <is>
          <t>2026
月均銷
(單支/條/點)</t>
        </is>
      </c>
      <c r="DY2" s="505" t="inlineStr">
        <is>
          <t>2026/06</t>
        </is>
      </c>
      <c r="DZ2" s="506" t="inlineStr">
        <is>
          <t>站前4樓</t>
        </is>
      </c>
      <c r="EA2" t="inlineStr">
        <is>
          <t>站前11樓</t>
        </is>
      </c>
      <c r="EB2" s="506" t="inlineStr">
        <is>
          <t>忠孝7樓</t>
        </is>
      </c>
      <c r="EC2" s="506" t="inlineStr">
        <is>
          <t>忠孝國際醫學3樓</t>
        </is>
      </c>
      <c r="ED2" s="508" t="inlineStr">
        <is>
          <t>安庫</t>
        </is>
      </c>
      <c r="EE2" s="509" t="inlineStr">
        <is>
          <t>已簽約
寄庫數量</t>
        </is>
      </c>
      <c r="EF2" s="509" t="inlineStr">
        <is>
          <t>10/17在途</t>
        </is>
      </c>
      <c r="EG2" s="500" t="n"/>
      <c r="EH2" s="510" t="inlineStr">
        <is>
          <t>備註</t>
        </is>
      </c>
      <c r="EI2" s="510" t="n"/>
      <c r="EJ2" s="91" t="inlineStr">
        <is>
          <t>站前4樓</t>
        </is>
      </c>
      <c r="EK2" s="91" t="inlineStr">
        <is>
          <t>站前11樓</t>
        </is>
      </c>
      <c r="EL2" s="92" t="inlineStr">
        <is>
          <t>忠孝7樓</t>
        </is>
      </c>
      <c r="EM2" s="92" t="inlineStr">
        <is>
          <t>忠孝國際醫學3樓</t>
        </is>
      </c>
    </row>
    <row r="3" ht="49.5" customFormat="1" customHeight="1" s="92">
      <c r="A3" s="511" t="n"/>
      <c r="B3" s="511" t="n"/>
      <c r="C3" s="511" t="n"/>
      <c r="D3" s="511" t="n"/>
      <c r="E3" s="511" t="n"/>
      <c r="F3" s="189" t="inlineStr">
        <is>
          <t>站前4樓
庫存</t>
        </is>
      </c>
      <c r="G3" s="189" t="inlineStr">
        <is>
          <t>站前11樓
庫存</t>
        </is>
      </c>
      <c r="H3" s="189" t="inlineStr">
        <is>
          <t>忠孝7樓
庫存</t>
        </is>
      </c>
      <c r="I3" s="189" t="inlineStr">
        <is>
          <t>忠孝國際
醫學3樓
庫存</t>
        </is>
      </c>
      <c r="J3" s="189" t="inlineStr">
        <is>
          <t>忠孝健康7樓
庫存</t>
        </is>
      </c>
      <c r="K3" s="94" t="inlineStr">
        <is>
          <t>Actual</t>
        </is>
      </c>
      <c r="L3" s="94" t="inlineStr">
        <is>
          <t>Actual</t>
        </is>
      </c>
      <c r="M3" s="94" t="inlineStr">
        <is>
          <t>Actual</t>
        </is>
      </c>
      <c r="N3" s="94" t="inlineStr">
        <is>
          <t>Actual</t>
        </is>
      </c>
      <c r="O3" s="94" t="inlineStr">
        <is>
          <t>Actual</t>
        </is>
      </c>
      <c r="P3" s="94" t="inlineStr">
        <is>
          <t>Actual</t>
        </is>
      </c>
      <c r="Q3" s="94" t="inlineStr">
        <is>
          <t>Actual</t>
        </is>
      </c>
      <c r="R3" s="94" t="inlineStr">
        <is>
          <t>Actual</t>
        </is>
      </c>
      <c r="S3" s="94" t="inlineStr">
        <is>
          <t>Actual</t>
        </is>
      </c>
      <c r="T3" s="94" t="inlineStr">
        <is>
          <t>Actual</t>
        </is>
      </c>
      <c r="U3" s="94" t="inlineStr">
        <is>
          <t>Actual</t>
        </is>
      </c>
      <c r="V3" s="94" t="inlineStr">
        <is>
          <t>Actual</t>
        </is>
      </c>
      <c r="W3" s="94" t="inlineStr">
        <is>
          <t>Actual</t>
        </is>
      </c>
      <c r="X3" s="94" t="inlineStr">
        <is>
          <t>Actual</t>
        </is>
      </c>
      <c r="Y3" s="94" t="inlineStr">
        <is>
          <t>Actual</t>
        </is>
      </c>
      <c r="Z3" s="94" t="inlineStr">
        <is>
          <t>Actual</t>
        </is>
      </c>
      <c r="AA3" s="94" t="inlineStr">
        <is>
          <t>Actual</t>
        </is>
      </c>
      <c r="AB3" s="94" t="inlineStr">
        <is>
          <t>Actual</t>
        </is>
      </c>
      <c r="AC3" s="94" t="inlineStr">
        <is>
          <t>Actual</t>
        </is>
      </c>
      <c r="AD3" s="94" t="inlineStr">
        <is>
          <t>Actual</t>
        </is>
      </c>
      <c r="AE3" s="94" t="inlineStr">
        <is>
          <t>Actual</t>
        </is>
      </c>
      <c r="AF3" s="94" t="inlineStr">
        <is>
          <t>Actual</t>
        </is>
      </c>
      <c r="AG3" s="94" t="inlineStr">
        <is>
          <t>Actual</t>
        </is>
      </c>
      <c r="AH3" s="94" t="inlineStr">
        <is>
          <t>Actual</t>
        </is>
      </c>
      <c r="AI3" s="94" t="inlineStr">
        <is>
          <t>Actual</t>
        </is>
      </c>
      <c r="AJ3" s="94" t="inlineStr">
        <is>
          <t>Actual</t>
        </is>
      </c>
      <c r="AK3" s="94" t="inlineStr">
        <is>
          <t>Actual</t>
        </is>
      </c>
      <c r="AL3" s="94" t="inlineStr">
        <is>
          <t>Actual</t>
        </is>
      </c>
      <c r="AM3" s="94" t="inlineStr">
        <is>
          <t>Actual</t>
        </is>
      </c>
      <c r="AN3" s="94" t="inlineStr">
        <is>
          <t>Actual</t>
        </is>
      </c>
      <c r="AO3" s="94" t="inlineStr">
        <is>
          <t>Actual</t>
        </is>
      </c>
      <c r="AP3" s="94" t="inlineStr">
        <is>
          <t>Actual</t>
        </is>
      </c>
      <c r="AQ3" s="94" t="inlineStr">
        <is>
          <t>Actual</t>
        </is>
      </c>
      <c r="AR3" s="94" t="inlineStr">
        <is>
          <t>Actual</t>
        </is>
      </c>
      <c r="AS3" s="94" t="inlineStr">
        <is>
          <t>Actual</t>
        </is>
      </c>
      <c r="AT3" s="94" t="inlineStr">
        <is>
          <t>Actual</t>
        </is>
      </c>
      <c r="AU3" s="94" t="inlineStr">
        <is>
          <t>Actual</t>
        </is>
      </c>
      <c r="AV3" s="511" t="n"/>
      <c r="AW3" s="511" t="n"/>
      <c r="AX3" s="95" t="inlineStr">
        <is>
          <t>Actual</t>
        </is>
      </c>
      <c r="AY3" s="95" t="inlineStr">
        <is>
          <t>Actual</t>
        </is>
      </c>
      <c r="AZ3" s="95" t="inlineStr">
        <is>
          <t>Actual</t>
        </is>
      </c>
      <c r="BA3" s="95" t="inlineStr">
        <is>
          <t>Actual</t>
        </is>
      </c>
      <c r="BB3" s="95" t="inlineStr">
        <is>
          <t>Actual</t>
        </is>
      </c>
      <c r="BC3" s="95" t="inlineStr">
        <is>
          <t>Actual</t>
        </is>
      </c>
      <c r="BD3" s="96" t="inlineStr">
        <is>
          <t>Actual</t>
        </is>
      </c>
      <c r="BE3" s="96" t="inlineStr">
        <is>
          <t>Actual</t>
        </is>
      </c>
      <c r="BF3" s="96" t="inlineStr">
        <is>
          <t>Actual</t>
        </is>
      </c>
      <c r="BG3" s="96" t="inlineStr">
        <is>
          <t>Actual</t>
        </is>
      </c>
      <c r="BH3" s="95" t="inlineStr">
        <is>
          <t>Actual</t>
        </is>
      </c>
      <c r="BI3" s="96" t="inlineStr">
        <is>
          <t>Actual</t>
        </is>
      </c>
      <c r="BJ3" s="96" t="inlineStr">
        <is>
          <t>Actual</t>
        </is>
      </c>
      <c r="BK3" s="96" t="inlineStr">
        <is>
          <t>Actual</t>
        </is>
      </c>
      <c r="BL3" s="96" t="inlineStr">
        <is>
          <t>Actual</t>
        </is>
      </c>
      <c r="BM3" s="95" t="inlineStr">
        <is>
          <t>Actual</t>
        </is>
      </c>
      <c r="BN3" s="96" t="inlineStr">
        <is>
          <t>Actual</t>
        </is>
      </c>
      <c r="BO3" s="96" t="inlineStr">
        <is>
          <t>Actual</t>
        </is>
      </c>
      <c r="BP3" s="96" t="inlineStr">
        <is>
          <t>Actual</t>
        </is>
      </c>
      <c r="BQ3" s="96" t="inlineStr">
        <is>
          <t>Actual</t>
        </is>
      </c>
      <c r="BR3" s="95" t="inlineStr">
        <is>
          <t>Actual</t>
        </is>
      </c>
      <c r="BS3" s="95" t="inlineStr">
        <is>
          <t>Actual</t>
        </is>
      </c>
      <c r="BT3" s="95" t="inlineStr">
        <is>
          <t>Actual</t>
        </is>
      </c>
      <c r="BU3" s="95" t="inlineStr">
        <is>
          <t>Actual</t>
        </is>
      </c>
      <c r="BV3" s="95" t="inlineStr">
        <is>
          <t>Actual</t>
        </is>
      </c>
      <c r="BW3" s="95" t="inlineStr">
        <is>
          <t>Actual</t>
        </is>
      </c>
      <c r="BX3" s="96" t="inlineStr">
        <is>
          <t>Actual</t>
        </is>
      </c>
      <c r="BY3" s="96" t="inlineStr">
        <is>
          <t>Actual</t>
        </is>
      </c>
      <c r="BZ3" s="96" t="inlineStr">
        <is>
          <t>Actual</t>
        </is>
      </c>
      <c r="CA3" s="96" t="inlineStr">
        <is>
          <t>Actual</t>
        </is>
      </c>
      <c r="CB3" s="95" t="inlineStr">
        <is>
          <t>Actual</t>
        </is>
      </c>
      <c r="CC3" s="96" t="inlineStr">
        <is>
          <t>Actual</t>
        </is>
      </c>
      <c r="CD3" s="96" t="inlineStr">
        <is>
          <t>Actual</t>
        </is>
      </c>
      <c r="CE3" s="96" t="inlineStr">
        <is>
          <t>Actual</t>
        </is>
      </c>
      <c r="CF3" s="96" t="inlineStr">
        <is>
          <t>Actual</t>
        </is>
      </c>
      <c r="CG3" s="95" t="inlineStr">
        <is>
          <t>Actual</t>
        </is>
      </c>
      <c r="CH3" s="96" t="inlineStr">
        <is>
          <t>Actual</t>
        </is>
      </c>
      <c r="CI3" s="96" t="inlineStr">
        <is>
          <t>Actual</t>
        </is>
      </c>
      <c r="CJ3" s="96" t="inlineStr">
        <is>
          <t>Actual</t>
        </is>
      </c>
      <c r="CK3" s="96" t="inlineStr">
        <is>
          <t>Actual</t>
        </is>
      </c>
      <c r="CL3" s="511" t="n"/>
      <c r="CM3" s="511" t="n"/>
      <c r="CN3" s="188" t="inlineStr">
        <is>
          <t>Actual</t>
        </is>
      </c>
      <c r="CO3" s="96" t="inlineStr">
        <is>
          <t>Actual</t>
        </is>
      </c>
      <c r="CP3" s="96" t="inlineStr">
        <is>
          <t>Actual</t>
        </is>
      </c>
      <c r="CQ3" s="96" t="inlineStr">
        <is>
          <t>Actual</t>
        </is>
      </c>
      <c r="CR3" s="96" t="inlineStr">
        <is>
          <t>Actual</t>
        </is>
      </c>
      <c r="CS3" s="188" t="inlineStr">
        <is>
          <t>Actual</t>
        </is>
      </c>
      <c r="CT3" s="96" t="inlineStr">
        <is>
          <t>Actual</t>
        </is>
      </c>
      <c r="CU3" s="96" t="inlineStr">
        <is>
          <t>Actual</t>
        </is>
      </c>
      <c r="CV3" s="96" t="inlineStr">
        <is>
          <t>Actual</t>
        </is>
      </c>
      <c r="CW3" s="96" t="inlineStr">
        <is>
          <t>Actual</t>
        </is>
      </c>
      <c r="CX3" s="96" t="inlineStr">
        <is>
          <t>Actual</t>
        </is>
      </c>
      <c r="CY3" s="188" t="inlineStr">
        <is>
          <t>Actual</t>
        </is>
      </c>
      <c r="CZ3" s="96" t="inlineStr">
        <is>
          <t>Actual</t>
        </is>
      </c>
      <c r="DA3" s="96" t="inlineStr">
        <is>
          <t>Actual</t>
        </is>
      </c>
      <c r="DB3" s="96" t="inlineStr">
        <is>
          <t>Actual</t>
        </is>
      </c>
      <c r="DC3" s="96" t="inlineStr">
        <is>
          <t>Actual</t>
        </is>
      </c>
      <c r="DD3" s="96" t="inlineStr">
        <is>
          <t>Actual</t>
        </is>
      </c>
      <c r="DE3" s="188" t="inlineStr">
        <is>
          <t>Actual</t>
        </is>
      </c>
      <c r="DF3" s="96" t="inlineStr">
        <is>
          <t>Actual</t>
        </is>
      </c>
      <c r="DG3" s="96" t="inlineStr">
        <is>
          <t>Actual</t>
        </is>
      </c>
      <c r="DH3" s="96" t="inlineStr">
        <is>
          <t>Actual</t>
        </is>
      </c>
      <c r="DI3" s="96" t="inlineStr">
        <is>
          <t>Actual</t>
        </is>
      </c>
      <c r="DJ3" s="96" t="inlineStr">
        <is>
          <t>Actual</t>
        </is>
      </c>
      <c r="DK3" s="188" t="inlineStr">
        <is>
          <t>Actual</t>
        </is>
      </c>
      <c r="DL3" s="96" t="inlineStr">
        <is>
          <t>Actual</t>
        </is>
      </c>
      <c r="DM3" s="96" t="inlineStr">
        <is>
          <t>Actual</t>
        </is>
      </c>
      <c r="DN3" s="96" t="inlineStr">
        <is>
          <t>Actual</t>
        </is>
      </c>
      <c r="DO3" s="96" t="inlineStr">
        <is>
          <t>Actual</t>
        </is>
      </c>
      <c r="DP3" s="96" t="inlineStr">
        <is>
          <t>Actual</t>
        </is>
      </c>
      <c r="DQ3" s="188" t="inlineStr">
        <is>
          <t>Actual</t>
        </is>
      </c>
      <c r="DR3" s="96" t="inlineStr">
        <is>
          <t>Actual</t>
        </is>
      </c>
      <c r="DS3" s="96" t="inlineStr">
        <is>
          <t>Actual</t>
        </is>
      </c>
      <c r="DT3" s="96" t="inlineStr">
        <is>
          <t>Actual</t>
        </is>
      </c>
      <c r="DU3" s="96" t="inlineStr">
        <is>
          <t>Actual</t>
        </is>
      </c>
      <c r="DV3" s="96" t="inlineStr">
        <is>
          <t>Actual</t>
        </is>
      </c>
      <c r="DW3" s="511" t="n"/>
      <c r="DX3" s="511" t="n"/>
      <c r="DY3" t="inlineStr">
        <is>
          <t>Forecast</t>
        </is>
      </c>
      <c r="DZ3" s="404" t="inlineStr">
        <is>
          <t>Forecast</t>
        </is>
      </c>
      <c r="EA3" s="404" t="inlineStr">
        <is>
          <t>Forecast</t>
        </is>
      </c>
      <c r="EB3" t="inlineStr">
        <is>
          <t>Forecast</t>
        </is>
      </c>
      <c r="EC3" t="inlineStr">
        <is>
          <t>Forecast</t>
        </is>
      </c>
      <c r="ED3" s="511" t="n"/>
      <c r="EE3" s="511" t="n"/>
      <c r="EF3" s="113" t="inlineStr">
        <is>
          <t>站前診所</t>
        </is>
      </c>
      <c r="EG3" s="113" t="inlineStr">
        <is>
          <t>忠孝診所</t>
        </is>
      </c>
      <c r="EH3" s="511" t="n"/>
      <c r="EI3" s="511" t="n"/>
      <c r="EJ3" s="91" t="inlineStr">
        <is>
          <t>Forecast</t>
        </is>
      </c>
      <c r="EK3" s="91" t="inlineStr">
        <is>
          <t>Forecast</t>
        </is>
      </c>
      <c r="EL3" s="92" t="inlineStr">
        <is>
          <t>Forecast</t>
        </is>
      </c>
      <c r="EM3" s="92" t="inlineStr">
        <is>
          <t>Forecast</t>
        </is>
      </c>
    </row>
    <row r="4" ht="16.5" customFormat="1" customHeight="1" s="118">
      <c r="A4" s="136" t="inlineStr">
        <is>
          <t>MP1MA020019A</t>
        </is>
      </c>
      <c r="B4" s="118" t="n">
        <v>6150001</v>
      </c>
      <c r="C4" s="118" t="inlineStr">
        <is>
          <t>喬雅登豐麗緹玻尿酸植入物Voluma 1ml/ syringe(1支)</t>
        </is>
      </c>
      <c r="D4" s="197" t="n">
        <v>2</v>
      </c>
      <c r="E4" s="198" t="inlineStr">
        <is>
          <t>PCS</t>
        </is>
      </c>
      <c r="F4" s="199">
        <f>SUMIF(站前4樓!B:B,B4,站前4樓!F:F)</f>
        <v/>
      </c>
      <c r="G4" s="199">
        <f>SUMIF(站前11樓!B:B,B4,站前11樓!F:F)</f>
        <v/>
      </c>
      <c r="H4" s="199">
        <f>SUMIF(忠孝7樓!B:B,B4,忠孝7樓!G:G)</f>
        <v/>
      </c>
      <c r="I4" s="199">
        <f>SUMIF(忠孝國際醫學3樓!B:B,B4,忠孝國際醫學3樓!G:G)</f>
        <v/>
      </c>
      <c r="J4" s="199">
        <f>SUMIF(忠孝健康7樓!B:B,B4,忠孝健康7樓!G:G)</f>
        <v/>
      </c>
      <c r="K4" s="200" t="n">
        <v>3</v>
      </c>
      <c r="L4" s="200" t="n">
        <v>3</v>
      </c>
      <c r="M4" s="200" t="n">
        <v>2</v>
      </c>
      <c r="N4" s="200" t="n">
        <v>5</v>
      </c>
      <c r="O4" s="200" t="n">
        <v>4</v>
      </c>
      <c r="P4" s="200" t="n">
        <v>6</v>
      </c>
      <c r="Q4" s="200" t="n">
        <v>0</v>
      </c>
      <c r="R4" s="200" t="n">
        <v>0</v>
      </c>
      <c r="S4" s="200" t="n">
        <v>14</v>
      </c>
      <c r="T4" s="200" t="n">
        <v>0</v>
      </c>
      <c r="U4" s="200" t="n">
        <v>6</v>
      </c>
      <c r="V4" s="200" t="n">
        <v>6</v>
      </c>
      <c r="W4" s="200" t="n">
        <v>20</v>
      </c>
      <c r="X4" s="200" t="n">
        <v>4</v>
      </c>
      <c r="Y4" s="200" t="n">
        <v>3</v>
      </c>
      <c r="Z4" s="200" t="n">
        <v>0</v>
      </c>
      <c r="AA4" s="200" t="n">
        <v>2</v>
      </c>
      <c r="AB4" s="200" t="n">
        <v>1</v>
      </c>
      <c r="AC4" s="200" t="n">
        <v>9</v>
      </c>
      <c r="AD4" s="200" t="n">
        <v>16</v>
      </c>
      <c r="AE4" s="200" t="n">
        <v>2</v>
      </c>
      <c r="AF4" s="200" t="n">
        <v>3</v>
      </c>
      <c r="AG4" s="200" t="n">
        <v>3</v>
      </c>
      <c r="AH4" s="200" t="n">
        <v>2</v>
      </c>
      <c r="AI4" s="200" t="n">
        <v>6</v>
      </c>
      <c r="AJ4" s="201" t="n">
        <v>7.5</v>
      </c>
      <c r="AK4" s="201" t="n">
        <v>6.5</v>
      </c>
      <c r="AL4" s="201" t="n">
        <v>11</v>
      </c>
      <c r="AM4" s="201" t="n">
        <v>11.5</v>
      </c>
      <c r="AN4" s="201" t="n">
        <v>11.5</v>
      </c>
      <c r="AO4" s="201" t="n">
        <v>21</v>
      </c>
      <c r="AP4" s="201" t="n">
        <v>9.5</v>
      </c>
      <c r="AQ4" s="201" t="n">
        <v>11</v>
      </c>
      <c r="AR4" s="201" t="n">
        <v>17</v>
      </c>
      <c r="AS4" s="201" t="n">
        <v>8.5</v>
      </c>
      <c r="AT4" s="512" t="n">
        <v>19.5</v>
      </c>
      <c r="AU4" s="203" t="n">
        <v>18</v>
      </c>
      <c r="AV4" s="204">
        <f>SUM(AJ4:AU4)</f>
        <v/>
      </c>
      <c r="AW4" s="513">
        <f>AV4/12</f>
        <v/>
      </c>
      <c r="AX4" s="203" t="n">
        <v>64</v>
      </c>
      <c r="AY4" s="203" t="n">
        <v>29</v>
      </c>
      <c r="AZ4" s="203" t="n">
        <v>54</v>
      </c>
      <c r="BA4" s="203" t="n">
        <v>60</v>
      </c>
      <c r="BB4" s="203" t="n">
        <v>75</v>
      </c>
      <c r="BC4" s="203">
        <f>SUMIFS(領用表!$L:$L,領用表!$A:$A,BC$2,領用表!$E:$E,B4)</f>
        <v/>
      </c>
      <c r="BD4" s="206">
        <f>SUMIFS(領用表!$L:$L,領用表!$E:$E,$B4,領用表!$B:$B,BC$2&amp;BD$2)</f>
        <v/>
      </c>
      <c r="BE4" s="206">
        <f>SUMIFS(領用表!$L:$L,領用表!$E:$E,$B4,領用表!$B:$B,$BC$2&amp;BE$2)</f>
        <v/>
      </c>
      <c r="BF4" s="206">
        <f>SUMIFS(領用表!$L:$L,領用表!$E:$E,$B4,領用表!$B:$B,$BC$2&amp;BF$2)</f>
        <v/>
      </c>
      <c r="BG4" s="206">
        <f>SUMIFS(領用表!$L:$L,領用表!$E:$E,$B4,領用表!$B:$B,$BC$2&amp;BG$2)</f>
        <v/>
      </c>
      <c r="BH4" s="203">
        <f>SUMIFS(領用表!$L:$L,領用表!$A:$A,BH$2,領用表!$E:$E,B4)</f>
        <v/>
      </c>
      <c r="BI4" s="206">
        <f>SUMIFS(領用表!$L:$L,領用表!$E:$E,$B4,領用表!$B:$B,BH$2&amp;BI$2)</f>
        <v/>
      </c>
      <c r="BJ4" s="206">
        <f>SUMIFS(領用表!$L:$L,領用表!$E:$E,$B4,領用表!$B:$B,$BH$2&amp;BJ$2)</f>
        <v/>
      </c>
      <c r="BK4" s="206">
        <f>SUMIFS(領用表!$L:$L,領用表!$E:$E,$B4,領用表!$B:$B,$BH$2&amp;BK$2)</f>
        <v/>
      </c>
      <c r="BL4" s="206">
        <f>SUMIFS(領用表!$L:$L,領用表!$E:$E,$B4,領用表!$B:$B,$BH$2&amp;BL$2)</f>
        <v/>
      </c>
      <c r="BM4" s="203">
        <f>SUMIFS(領用表!$L:$L,領用表!$A:$A,BM$2,領用表!$E:$E,B4)</f>
        <v/>
      </c>
      <c r="BN4" s="206">
        <f>SUMIFS(領用表!$L:$L,領用表!$E:$E,$B4,領用表!$B:$B,BM$2&amp;BN$2)</f>
        <v/>
      </c>
      <c r="BO4" s="206">
        <f>SUMIFS(領用表!$L:$L,領用表!$E:$E,$B4,領用表!$B:$B,$BM$2&amp;BO$2)</f>
        <v/>
      </c>
      <c r="BP4" s="206">
        <f>SUMIFS(領用表!$L:$L,領用表!$E:$E,$B4,領用表!$B:$B,$BM$2&amp;BP$2)</f>
        <v/>
      </c>
      <c r="BQ4" s="206">
        <f>SUMIFS(領用表!$L:$L,領用表!$E:$E,$B4,領用表!$B:$B,$BM$2&amp;BQ$2)</f>
        <v/>
      </c>
      <c r="BR4" s="203">
        <f>SUMIFS(領用表!$L:$L,領用表!$A:$A,BR$2,領用表!$E:$E,B4)</f>
        <v/>
      </c>
      <c r="BS4" s="207">
        <f>SUMIFS(領用表!$L:$L,領用表!$E:$E,$B4,領用表!$B:$B,BR$2&amp;BS$2)</f>
        <v/>
      </c>
      <c r="BT4" s="207">
        <f>SUMIFS(領用表!$L:$L,領用表!$E:$E,$B4,領用表!$B:$B,$BR$2&amp;BT$2)</f>
        <v/>
      </c>
      <c r="BU4" s="207">
        <f>SUMIFS(領用表!$L:$L,領用表!$E:$E,$B4,領用表!$B:$B,$BR$2&amp;BU$2)</f>
        <v/>
      </c>
      <c r="BV4" s="207">
        <f>SUMIFS(領用表!$L:$L,領用表!$E:$E,$B4,領用表!$B:$B,$BR$2&amp;BV$2)</f>
        <v/>
      </c>
      <c r="BW4" s="208">
        <f>SUMIFS(領用表!$L:$L,領用表!$A:$A,BW$2,領用表!$E:$E,B4)</f>
        <v/>
      </c>
      <c r="BX4" s="206">
        <f>SUMIFS(領用表!$L:$L,領用表!$E:$E,$B4,領用表!$B:$B,BW$2&amp;BX$2)</f>
        <v/>
      </c>
      <c r="BY4" s="206">
        <f>SUMIFS(領用表!$L:$L,領用表!$E:$E,$B4,領用表!$B:$B,$BW$2&amp;BY$2)</f>
        <v/>
      </c>
      <c r="BZ4" s="206">
        <f>SUMIFS(領用表!$L:$L,領用表!$E:$E,$B4,領用表!$B:$B,$BW$2&amp;BZ$2)</f>
        <v/>
      </c>
      <c r="CA4" s="206">
        <f>SUMIFS(領用表!$L:$L,領用表!$E:$E,$B4,領用表!$B:$B,$BW$2&amp;CA$2)</f>
        <v/>
      </c>
      <c r="CB4" s="208">
        <f>SUMIFS(領用表!$L:$L,領用表!$A:$A,CB$2,領用表!$E:$E,B4)</f>
        <v/>
      </c>
      <c r="CC4" s="206">
        <f>SUMIFS(領用表!$L:$L,領用表!$E:$E,$B4,領用表!$B:$B,CB$2&amp;CC$2)</f>
        <v/>
      </c>
      <c r="CD4" s="206">
        <f>SUMIFS(領用表!$L:$L,領用表!$E:$E,$B4,領用表!$B:$B,$CB$2&amp;CD$2)</f>
        <v/>
      </c>
      <c r="CE4" s="206">
        <f>SUMIFS(領用表!$L:$L,領用表!$E:$E,$B4,領用表!$B:$B,$CB$2&amp;CE$2)</f>
        <v/>
      </c>
      <c r="CF4" s="206">
        <f>SUMIFS(領用表!$L:$L,領用表!$E:$E,$B4,領用表!$B:$B,$CB$2&amp;CF$2)</f>
        <v/>
      </c>
      <c r="CG4" s="208">
        <f>SUMIFS(領用表!$L:$L,領用表!$A:$A,CG$2,領用表!$E:$E,B4)</f>
        <v/>
      </c>
      <c r="CH4" s="206">
        <f>SUMIFS(領用表!$L:$L,領用表!$E:$E,$B4,領用表!$B:$B,CG$2&amp;CH$2)</f>
        <v/>
      </c>
      <c r="CI4" s="206">
        <f>SUMIFS(領用表!$L:$L,領用表!$E:$E,$B4,領用表!$B:$B,CG$2&amp;CI$2)</f>
        <v/>
      </c>
      <c r="CJ4" s="206">
        <f>SUMIFS(領用表!$L:$L,領用表!$E:$E,$B4,領用表!$B:$B,CG$2&amp;CJ$2)</f>
        <v/>
      </c>
      <c r="CK4" s="206">
        <f>SUMIFS(領用表!$L:$L,領用表!$E:$E,$B4,領用表!$B:$B,$CG$2&amp;CK$2)</f>
        <v/>
      </c>
      <c r="CL4" s="207">
        <f>SUM(AX4,AY4,AZ4,BA4,BB4,BC4,BH4,BM4,BR4,BW4,CB4,CG4)</f>
        <v/>
      </c>
      <c r="CM4" s="207">
        <f>AVERAGE(AX4,AY4,AZ4,BA4,BB4,BC4,BH4,BM4,BR4,BW4,CB4,CG4)</f>
        <v/>
      </c>
      <c r="CN4" s="208">
        <f>SUMIFS(領用表!$L:$L,領用表!$A:$A,CN$2,領用表!$E:$E,B4)</f>
        <v/>
      </c>
      <c r="CO4" s="206">
        <f>SUMIFS(領用表!$L:$L,領用表!$E:$E,$B4,領用表!$B:$B,CN$2&amp;CO$2)</f>
        <v/>
      </c>
      <c r="CP4" s="206">
        <f>SUMIFS(領用表!$L:$L,領用表!$E:$E,$B4,領用表!$B:$B,$CN$2&amp;CP$2)</f>
        <v/>
      </c>
      <c r="CQ4" s="206">
        <f>SUMIFS(領用表!$L:$L,領用表!$E:$E,$B4,領用表!$B:$B,$CN$2&amp;CQ$2)</f>
        <v/>
      </c>
      <c r="CR4" s="206">
        <f>SUMIFS(領用表!$L:$L,領用表!$E:$E,$B4,領用表!$B:$B,$CN$2&amp;CR$2)</f>
        <v/>
      </c>
      <c r="CS4" s="208">
        <f>SUMIFS(領用表!$L:$L,領用表!$A:$A,CS$2,領用表!$E:$E,B4)</f>
        <v/>
      </c>
      <c r="CT4" s="206">
        <f>SUMIFS(領用表!$L:$L,領用表!$E:$E,$B4,領用表!$B:$B,CS$2&amp;CT$2)</f>
        <v/>
      </c>
      <c r="CU4" s="206">
        <f>SUMIFS(領用表!$L:$L,領用表!$E:$E,$B4,領用表!$B:$B,$CS$2&amp;CU$2)</f>
        <v/>
      </c>
      <c r="CV4" s="206">
        <f>SUMIFS(領用表!$L:$L,領用表!$E:$E,$B4,領用表!$B:$B,$CS$2&amp;CV$2)</f>
        <v/>
      </c>
      <c r="CW4" s="206">
        <f>SUMIFS(領用表!$L:$L,領用表!$E:$E,$B4,領用表!$B:$B,$CS$2&amp;CW$2)</f>
        <v/>
      </c>
      <c r="CX4" s="206">
        <f>SUMIFS(領用表!$L:$L,領用表!$E:$E,$B4,領用表!$B:$B,$CS$2&amp;CX$2)</f>
        <v/>
      </c>
      <c r="CY4" s="208">
        <f>SUMIFS(領用表!$L:$L,領用表!$A:$A,CY$2,領用表!$E:$E,B4)</f>
        <v/>
      </c>
      <c r="CZ4" s="206">
        <f>SUMIFS(領用表!$L:$L,領用表!$E:$E,$B4,領用表!$B:$B,CY$2&amp;CZ$2)</f>
        <v/>
      </c>
      <c r="DA4" s="206">
        <f>SUMIFS(領用表!$L:$L,領用表!$E:$E,$B4,領用表!$B:$B,$CY$2&amp;DA$2)</f>
        <v/>
      </c>
      <c r="DB4" s="206">
        <f>SUMIFS(領用表!$L:$L,領用表!$E:$E,$B4,領用表!$B:$B,$CY$2&amp;DB$2)</f>
        <v/>
      </c>
      <c r="DC4" s="206">
        <f>SUMIFS(領用表!$L:$L,領用表!$E:$E,$B4,領用表!$B:$B,$CY$2&amp;DC$2)</f>
        <v/>
      </c>
      <c r="DD4" s="206">
        <f>SUMIFS(領用表!$L:$L,領用表!$E:$E,$B4,領用表!$B:$B,$CY$2&amp;DD$2)</f>
        <v/>
      </c>
      <c r="DE4" s="208">
        <f>SUMIFS(領用表!$L:$L,領用表!$A:$A,DE$2,領用表!$E:$E,B4)</f>
        <v/>
      </c>
      <c r="DF4" s="206">
        <f>SUMIFS(領用表!$L:$L,領用表!$E:$E,$B4,領用表!$B:$B,DE$2&amp;DF$2)</f>
        <v/>
      </c>
      <c r="DG4" s="206">
        <f>SUMIFS(領用表!$L:$L,領用表!$E:$E,$B4,領用表!$B:$B,$DE$2&amp;DG$2)</f>
        <v/>
      </c>
      <c r="DH4" s="206">
        <f>SUMIFS(領用表!$L:$L,領用表!$E:$E,$B4,領用表!$B:$B,$DE$2&amp;DH$2)</f>
        <v/>
      </c>
      <c r="DI4" s="206">
        <f>SUMIFS(領用表!$L:$L,領用表!$E:$E,$B4,領用表!$B:$B,$DE$2&amp;DI$2)</f>
        <v/>
      </c>
      <c r="DJ4" s="206">
        <f>SUMIFS(領用表!$L:$L,領用表!$E:$E,$B4,領用表!$B:$B,$DE$2&amp;DJ$2)</f>
        <v/>
      </c>
      <c r="DK4" s="208">
        <f>SUMIFS(領用表!$L:$L,領用表!$A:$A,DK$2,領用表!$E:$E,$B4)</f>
        <v/>
      </c>
      <c r="DL4" s="206">
        <f>SUMIFS(領用表!$L:$L,領用表!$E:$E,$B4,領用表!$B:$B,DK$2&amp;DL$2)</f>
        <v/>
      </c>
      <c r="DM4" s="206">
        <f>SUMIFS(領用表!$L:$L,領用表!$E:$E,$B4,領用表!$B:$B,$DK$2&amp;DM$2)</f>
        <v/>
      </c>
      <c r="DN4" s="206">
        <f>SUMIFS(領用表!$L:$L,領用表!$E:$E,$B4,領用表!$B:$B,$DK$2&amp;DN$2)</f>
        <v/>
      </c>
      <c r="DO4" s="206">
        <f>SUMIFS(領用表!$L:$L,領用表!$E:$E,$B4,領用表!$B:$B,$DK$2&amp;DO$2)</f>
        <v/>
      </c>
      <c r="DP4" s="206">
        <f>SUMIFS(領用表!$L:$L,領用表!$E:$E,$B4,領用表!$B:$B,$DK$2&amp;DP$2)</f>
        <v/>
      </c>
      <c r="DQ4" s="208" t="n">
        <v>91</v>
      </c>
      <c r="DR4" s="206" t="n">
        <v>42</v>
      </c>
      <c r="DS4" s="206" t="n"/>
      <c r="DT4" s="206" t="n">
        <v>34</v>
      </c>
      <c r="DU4" s="206" t="n"/>
      <c r="DV4" s="206" t="n">
        <v>15</v>
      </c>
      <c r="DW4" s="206">
        <f>SUM(CN4,CS4,CY4,DE4,DK4,DQ4)</f>
        <v/>
      </c>
      <c r="DX4" s="206">
        <f>AVERAGEA(CN4,CS4,CY4,DE4,DK4,DQ4)</f>
        <v/>
      </c>
      <c r="DY4" s="206">
        <f>SUM(DZ4:EC4)</f>
        <v/>
      </c>
      <c r="DZ4" s="206" t="n">
        <v>120</v>
      </c>
      <c r="EA4" s="206" t="n">
        <v>0</v>
      </c>
      <c r="EB4" s="206" t="n">
        <v>120</v>
      </c>
      <c r="EC4" s="206" t="n">
        <v>0</v>
      </c>
      <c r="ED4" s="209" t="n">
        <v>50</v>
      </c>
      <c r="EE4" s="210" t="n">
        <v>0</v>
      </c>
      <c r="EF4" s="211" t="inlineStr">
        <is>
          <t>40盒(10/21)</t>
        </is>
      </c>
      <c r="EG4" s="211" t="inlineStr">
        <is>
          <t>10盒(10/21)</t>
        </is>
      </c>
      <c r="EH4" s="136" t="n"/>
      <c r="EI4" s="212" t="n"/>
      <c r="EJ4" s="118">
        <f>IFERROR(VLOOKUP(A4,站前4樓!A:BF,57,0),0)</f>
        <v/>
      </c>
      <c r="EK4" s="213">
        <f>IFERROR(VLOOKUP(A4,站前11樓!A:BE,57,0),0)</f>
        <v/>
      </c>
      <c r="EL4" s="118">
        <f>IFERROR(VLOOKUP(A4,忠孝7樓!A:N,57,0),0)</f>
        <v/>
      </c>
      <c r="EM4" s="118">
        <f>IFERROR(VLOOKUP(A4,忠孝國際醫學3樓!A:L,57,0),0)</f>
        <v/>
      </c>
      <c r="EN4" s="118">
        <f>SUM(ED4:EG4)</f>
        <v/>
      </c>
      <c r="EP4" s="118" t="n">
        <v>61</v>
      </c>
      <c r="EQ4" s="118" t="n">
        <v>85</v>
      </c>
    </row>
    <row r="5" ht="15.75" customFormat="1" customHeight="1" s="118">
      <c r="A5" s="136" t="inlineStr">
        <is>
          <t>MP1MA020020A</t>
        </is>
      </c>
      <c r="B5" s="118" t="n">
        <v>6150002</v>
      </c>
      <c r="C5" s="118" t="inlineStr">
        <is>
          <t>喬雅登夢蓓菈玻尿酸植入物Volbella 1ml/ syringe(1支)</t>
        </is>
      </c>
      <c r="D5" s="197" t="n">
        <v>2</v>
      </c>
      <c r="E5" s="198" t="inlineStr">
        <is>
          <t>PCS</t>
        </is>
      </c>
      <c r="F5" s="199">
        <f>SUMIF(站前4樓!B:B,B5,站前4樓!F:F)</f>
        <v/>
      </c>
      <c r="G5" s="199">
        <f>SUMIF(站前11樓!B:B,B5,站前11樓!F:F)</f>
        <v/>
      </c>
      <c r="H5" s="199">
        <f>SUMIF(忠孝7樓!B:B,B5,忠孝7樓!G:G)</f>
        <v/>
      </c>
      <c r="I5" s="199">
        <f>SUMIF(忠孝國際醫學3樓!B:B,B5,忠孝國際醫學3樓!G:G)</f>
        <v/>
      </c>
      <c r="J5" s="199">
        <f>SUMIF(忠孝健康7樓!B:B,B5,忠孝健康7樓!G:G)</f>
        <v/>
      </c>
      <c r="K5" s="200" t="n">
        <v>0</v>
      </c>
      <c r="L5" s="200" t="n">
        <v>3</v>
      </c>
      <c r="M5" s="200" t="n">
        <v>0</v>
      </c>
      <c r="N5" s="200" t="n">
        <v>3</v>
      </c>
      <c r="O5" s="200" t="n">
        <v>0</v>
      </c>
      <c r="P5" s="200" t="n">
        <v>0</v>
      </c>
      <c r="Q5" s="200" t="n">
        <v>0</v>
      </c>
      <c r="R5" s="200" t="n">
        <v>0</v>
      </c>
      <c r="S5" s="200" t="n">
        <v>3</v>
      </c>
      <c r="T5" s="200" t="n">
        <v>0</v>
      </c>
      <c r="U5" s="200" t="n">
        <v>2</v>
      </c>
      <c r="V5" s="200" t="n">
        <v>0</v>
      </c>
      <c r="W5" s="200" t="n">
        <v>2</v>
      </c>
      <c r="X5" s="200" t="n">
        <v>5</v>
      </c>
      <c r="Y5" s="200" t="n">
        <v>0</v>
      </c>
      <c r="Z5" s="200" t="n">
        <v>0</v>
      </c>
      <c r="AA5" s="200" t="n">
        <v>0</v>
      </c>
      <c r="AB5" s="200" t="n">
        <v>1</v>
      </c>
      <c r="AC5" s="200" t="n">
        <v>0</v>
      </c>
      <c r="AD5" s="200" t="n">
        <v>4</v>
      </c>
      <c r="AE5" s="200" t="n">
        <v>0</v>
      </c>
      <c r="AF5" s="200" t="n">
        <v>1</v>
      </c>
      <c r="AG5" s="200" t="n">
        <v>1</v>
      </c>
      <c r="AH5" s="200" t="n">
        <v>3</v>
      </c>
      <c r="AI5" s="200" t="n">
        <v>19</v>
      </c>
      <c r="AJ5" s="201" t="n">
        <v>4.5</v>
      </c>
      <c r="AK5" s="201" t="n">
        <v>0.5</v>
      </c>
      <c r="AL5" s="201" t="n">
        <v>3.5</v>
      </c>
      <c r="AM5" s="201" t="n">
        <v>0.5</v>
      </c>
      <c r="AN5" s="201" t="n">
        <v>3</v>
      </c>
      <c r="AO5" s="201" t="n">
        <v>5.5</v>
      </c>
      <c r="AP5" s="201" t="n">
        <v>4.5</v>
      </c>
      <c r="AQ5" s="201" t="n">
        <v>3.5</v>
      </c>
      <c r="AR5" s="201" t="n">
        <v>1</v>
      </c>
      <c r="AS5" s="201" t="n">
        <v>1</v>
      </c>
      <c r="AT5" s="512" t="n">
        <v>3</v>
      </c>
      <c r="AU5" s="203" t="n">
        <v>6</v>
      </c>
      <c r="AV5" s="204">
        <f>SUM(AJ5:AU5)</f>
        <v/>
      </c>
      <c r="AW5" s="513">
        <f>AV5/12</f>
        <v/>
      </c>
      <c r="AX5" s="203" t="n">
        <v>11</v>
      </c>
      <c r="AY5" s="203" t="n">
        <v>2</v>
      </c>
      <c r="AZ5" s="203" t="n">
        <v>1</v>
      </c>
      <c r="BA5" s="203" t="n">
        <v>9</v>
      </c>
      <c r="BB5" s="203" t="n">
        <v>3</v>
      </c>
      <c r="BC5" s="203">
        <f>SUMIFS(領用表!$L:$L,領用表!$A:$A,BC$2,領用表!$E:$E,B5)</f>
        <v/>
      </c>
      <c r="BD5" s="206">
        <f>SUMIFS(領用表!$L:$L,領用表!$E:$E,$B5,領用表!$B:$B,BC$2&amp;BD$2)</f>
        <v/>
      </c>
      <c r="BE5" s="206">
        <f>SUMIFS(領用表!$L:$L,領用表!$E:$E,$B5,領用表!$B:$B,$BC$2&amp;BE$2)</f>
        <v/>
      </c>
      <c r="BF5" s="206">
        <f>SUMIFS(領用表!$L:$L,領用表!$E:$E,$B5,領用表!$B:$B,$BC$2&amp;BF$2)</f>
        <v/>
      </c>
      <c r="BG5" s="206">
        <f>SUMIFS(領用表!$L:$L,領用表!$E:$E,$B5,領用表!$B:$B,$BC$2&amp;BG$2)</f>
        <v/>
      </c>
      <c r="BH5" s="203">
        <f>SUMIFS(領用表!$L:$L,領用表!$A:$A,BH$2,領用表!$E:$E,B5)</f>
        <v/>
      </c>
      <c r="BI5" s="206">
        <f>SUMIFS(領用表!$L:$L,領用表!$E:$E,$B5,領用表!$B:$B,BH$2&amp;BI$2)</f>
        <v/>
      </c>
      <c r="BJ5" s="206">
        <f>SUMIFS(領用表!$L:$L,領用表!$E:$E,$B5,領用表!$B:$B,$BH$2&amp;BJ$2)</f>
        <v/>
      </c>
      <c r="BK5" s="206">
        <f>SUMIFS(領用表!$L:$L,領用表!$E:$E,$B5,領用表!$B:$B,$BH$2&amp;BK$2)</f>
        <v/>
      </c>
      <c r="BL5" s="206">
        <f>SUMIFS(領用表!$L:$L,領用表!$E:$E,$B5,領用表!$B:$B,$BH$2&amp;BL$2)</f>
        <v/>
      </c>
      <c r="BM5" s="203">
        <f>SUMIFS(領用表!$L:$L,領用表!$A:$A,BM$2,領用表!$E:$E,B5)</f>
        <v/>
      </c>
      <c r="BN5" s="206">
        <f>SUMIFS(領用表!$L:$L,領用表!$E:$E,$B5,領用表!$B:$B,BM$2&amp;BN$2)</f>
        <v/>
      </c>
      <c r="BO5" s="206">
        <f>SUMIFS(領用表!$L:$L,領用表!$E:$E,$B5,領用表!$B:$B,$BM$2&amp;BO$2)</f>
        <v/>
      </c>
      <c r="BP5" s="206">
        <f>SUMIFS(領用表!$L:$L,領用表!$E:$E,$B5,領用表!$B:$B,$BM$2&amp;BP$2)</f>
        <v/>
      </c>
      <c r="BQ5" s="206">
        <f>SUMIFS(領用表!$L:$L,領用表!$E:$E,$B5,領用表!$B:$B,$BM$2&amp;BQ$2)</f>
        <v/>
      </c>
      <c r="BR5" s="203">
        <f>SUMIFS(領用表!$L:$L,領用表!$A:$A,BR$2,領用表!$E:$E,B5)</f>
        <v/>
      </c>
      <c r="BS5" s="206">
        <f>SUMIFS(領用表!$L:$L,領用表!$E:$E,$B5,領用表!$B:$B,BR$2&amp;BS$2)</f>
        <v/>
      </c>
      <c r="BT5" s="206">
        <f>SUMIFS(領用表!$L:$L,領用表!$E:$E,$B5,領用表!$B:$B,$BR$2&amp;BT$2)</f>
        <v/>
      </c>
      <c r="BU5" s="206">
        <f>SUMIFS(領用表!$L:$L,領用表!$E:$E,$B5,領用表!$B:$B,$BR$2&amp;BU$2)</f>
        <v/>
      </c>
      <c r="BV5" s="206">
        <f>SUMIFS(領用表!$L:$L,領用表!$E:$E,$B5,領用表!$B:$B,$BR$2&amp;BV$2)</f>
        <v/>
      </c>
      <c r="BW5" s="208">
        <f>SUMIFS(領用表!$L:$L,領用表!$A:$A,BW$2,領用表!$E:$E,B5)</f>
        <v/>
      </c>
      <c r="BX5" s="206">
        <f>SUMIFS(領用表!$L:$L,領用表!$E:$E,$B5,領用表!$B:$B,BW$2&amp;BX$2)</f>
        <v/>
      </c>
      <c r="BY5" s="206">
        <f>SUMIFS(領用表!$L:$L,領用表!$E:$E,$B5,領用表!$B:$B,$BW$2&amp;BY$2)</f>
        <v/>
      </c>
      <c r="BZ5" s="206">
        <f>SUMIFS(領用表!$L:$L,領用表!$E:$E,$B5,領用表!$B:$B,$BW$2&amp;BZ$2)</f>
        <v/>
      </c>
      <c r="CA5" s="206">
        <f>SUMIFS(領用表!$L:$L,領用表!$E:$E,$B5,領用表!$B:$B,$BW$2&amp;CA$2)</f>
        <v/>
      </c>
      <c r="CB5" s="208">
        <f>SUMIFS(領用表!$L:$L,領用表!$A:$A,CB$2,領用表!$E:$E,B5)</f>
        <v/>
      </c>
      <c r="CC5" s="206">
        <f>SUMIFS(領用表!$L:$L,領用表!$E:$E,$B5,領用表!$B:$B,CB$2&amp;CC$2)</f>
        <v/>
      </c>
      <c r="CD5" s="206">
        <f>SUMIFS(領用表!$L:$L,領用表!$E:$E,$B5,領用表!$B:$B,$CB$2&amp;CD$2)</f>
        <v/>
      </c>
      <c r="CE5" s="206">
        <f>SUMIFS(領用表!$L:$L,領用表!$E:$E,$B5,領用表!$B:$B,$CB$2&amp;CE$2)</f>
        <v/>
      </c>
      <c r="CF5" s="206">
        <f>SUMIFS(領用表!$L:$L,領用表!$E:$E,$B5,領用表!$B:$B,$CB$2&amp;CF$2)</f>
        <v/>
      </c>
      <c r="CG5" s="208">
        <f>SUMIFS(領用表!$L:$L,領用表!$A:$A,CG$2,領用表!$E:$E,B5)</f>
        <v/>
      </c>
      <c r="CH5" s="206">
        <f>SUMIFS(領用表!$L:$L,領用表!$E:$E,$B5,領用表!$B:$B,CG$2&amp;CH$2)</f>
        <v/>
      </c>
      <c r="CI5" s="206">
        <f>SUMIFS(領用表!$L:$L,領用表!$E:$E,$B5,領用表!$B:$B,CG$2&amp;CI$2)</f>
        <v/>
      </c>
      <c r="CJ5" s="206">
        <f>SUMIFS(領用表!$L:$L,領用表!$E:$E,$B5,領用表!$B:$B,CG$2&amp;CJ$2)</f>
        <v/>
      </c>
      <c r="CK5" s="206">
        <f>SUMIFS(領用表!$L:$L,領用表!$E:$E,$B5,領用表!$B:$B,$CG$2&amp;CK$2)</f>
        <v/>
      </c>
      <c r="CL5" s="207">
        <f>SUM(AX5,AY5,AZ5,BA5,BB5,BC5,BH5,BM5,BR5,BW5,CB5,CG5)</f>
        <v/>
      </c>
      <c r="CM5" s="207">
        <f>AVERAGE(AX5,AY5,AZ5,BA5,BB5,BC5,BH5,BM5,BR5,BW5,CB5,CG5)</f>
        <v/>
      </c>
      <c r="CN5" s="208">
        <f>SUMIFS(領用表!$L:$L,領用表!$A:$A,CN$2,領用表!$E:$E,B5)</f>
        <v/>
      </c>
      <c r="CO5" s="206">
        <f>SUMIFS(領用表!$L:$L,領用表!$E:$E,$B5,領用表!$B:$B,CN$2&amp;CO$2)</f>
        <v/>
      </c>
      <c r="CP5" s="206">
        <f>SUMIFS(領用表!$L:$L,領用表!$E:$E,$B5,領用表!$B:$B,$CN$2&amp;CP$2)</f>
        <v/>
      </c>
      <c r="CQ5" s="206">
        <f>SUMIFS(領用表!$L:$L,領用表!$E:$E,$B5,領用表!$B:$B,$CN$2&amp;CQ$2)</f>
        <v/>
      </c>
      <c r="CR5" s="206">
        <f>SUMIFS(領用表!$L:$L,領用表!$E:$E,$B5,領用表!$B:$B,$CN$2&amp;CR$2)</f>
        <v/>
      </c>
      <c r="CS5" s="208">
        <f>SUMIFS(領用表!$L:$L,領用表!$A:$A,CS$2,領用表!$E:$E,B5)</f>
        <v/>
      </c>
      <c r="CT5" s="206">
        <f>SUMIFS(領用表!$L:$L,領用表!$E:$E,$B5,領用表!$B:$B,CS$2&amp;CT$2)</f>
        <v/>
      </c>
      <c r="CU5" s="206">
        <f>SUMIFS(領用表!$L:$L,領用表!$E:$E,$B5,領用表!$B:$B,$CS$2&amp;CU$2)</f>
        <v/>
      </c>
      <c r="CV5" s="206">
        <f>SUMIFS(領用表!$L:$L,領用表!$E:$E,$B5,領用表!$B:$B,$CS$2&amp;CV$2)</f>
        <v/>
      </c>
      <c r="CW5" s="206">
        <f>SUMIFS(領用表!$L:$L,領用表!$E:$E,$B5,領用表!$B:$B,$CS$2&amp;CW$2)</f>
        <v/>
      </c>
      <c r="CX5" s="206">
        <f>SUMIFS(領用表!$L:$L,領用表!$E:$E,$B5,領用表!$B:$B,$CS$2&amp;CX$2)</f>
        <v/>
      </c>
      <c r="CY5" s="208">
        <f>SUMIFS(領用表!$L:$L,領用表!$A:$A,CY$2,領用表!$E:$E,B5)</f>
        <v/>
      </c>
      <c r="CZ5" s="206">
        <f>SUMIFS(領用表!$L:$L,領用表!$E:$E,$B5,領用表!$B:$B,CY$2&amp;CZ$2)</f>
        <v/>
      </c>
      <c r="DA5" s="206">
        <f>SUMIFS(領用表!$L:$L,領用表!$E:$E,$B5,領用表!$B:$B,$CY$2&amp;DA$2)</f>
        <v/>
      </c>
      <c r="DB5" s="206">
        <f>SUMIFS(領用表!$L:$L,領用表!$E:$E,$B5,領用表!$B:$B,$CY$2&amp;DB$2)</f>
        <v/>
      </c>
      <c r="DC5" s="206">
        <f>SUMIFS(領用表!$L:$L,領用表!$E:$E,$B5,領用表!$B:$B,$CY$2&amp;DC$2)</f>
        <v/>
      </c>
      <c r="DD5" s="206">
        <f>SUMIFS(領用表!$L:$L,領用表!$E:$E,$B5,領用表!$B:$B,$CY$2&amp;DD$2)</f>
        <v/>
      </c>
      <c r="DE5" s="208">
        <f>SUMIFS(領用表!$L:$L,領用表!$A:$A,DE$2,領用表!$E:$E,B5)</f>
        <v/>
      </c>
      <c r="DF5" s="206">
        <f>SUMIFS(領用表!$L:$L,領用表!$E:$E,$B5,領用表!$B:$B,DE$2&amp;DF$2)</f>
        <v/>
      </c>
      <c r="DG5" s="206">
        <f>SUMIFS(領用表!$L:$L,領用表!$E:$E,$B5,領用表!$B:$B,$DE$2&amp;DG$2)</f>
        <v/>
      </c>
      <c r="DH5" s="206">
        <f>SUMIFS(領用表!$L:$L,領用表!$E:$E,$B5,領用表!$B:$B,$DE$2&amp;DH$2)</f>
        <v/>
      </c>
      <c r="DI5" s="206">
        <f>SUMIFS(領用表!$L:$L,領用表!$E:$E,$B5,領用表!$B:$B,$DE$2&amp;DI$2)</f>
        <v/>
      </c>
      <c r="DJ5" s="206">
        <f>SUMIFS(領用表!$L:$L,領用表!$E:$E,$B5,領用表!$B:$B,$DE$2&amp;DJ$2)</f>
        <v/>
      </c>
      <c r="DK5" s="208">
        <f>SUMIFS(領用表!$L:$L,領用表!$A:$A,DK$2,領用表!$E:$E,$B5)</f>
        <v/>
      </c>
      <c r="DL5" s="206">
        <f>SUMIFS(領用表!$L:$L,領用表!$E:$E,$B5,領用表!$B:$B,DK$2&amp;DL$2)</f>
        <v/>
      </c>
      <c r="DM5" s="206">
        <f>SUMIFS(領用表!$L:$L,領用表!$E:$E,$B5,領用表!$B:$B,$DK$2&amp;DM$2)</f>
        <v/>
      </c>
      <c r="DN5" s="206">
        <f>SUMIFS(領用表!$L:$L,領用表!$E:$E,$B5,領用表!$B:$B,$DK$2&amp;DN$2)</f>
        <v/>
      </c>
      <c r="DO5" s="206">
        <f>SUMIFS(領用表!$L:$L,領用表!$E:$E,$B5,領用表!$B:$B,$DK$2&amp;DO$2)</f>
        <v/>
      </c>
      <c r="DP5" s="206">
        <f>SUMIFS(領用表!$L:$L,領用表!$E:$E,$B5,領用表!$B:$B,$DK$2&amp;DP$2)</f>
        <v/>
      </c>
      <c r="DQ5" s="208" t="n">
        <v>8</v>
      </c>
      <c r="DR5" s="206" t="n">
        <v>3</v>
      </c>
      <c r="DS5" s="206" t="n"/>
      <c r="DT5" s="206" t="n">
        <v>1</v>
      </c>
      <c r="DU5" s="206" t="n"/>
      <c r="DV5" s="206" t="n">
        <v>4</v>
      </c>
      <c r="DW5" s="206">
        <f>SUM(CN5,CS5,CY5,DE5,DK5,DQ5)</f>
        <v/>
      </c>
      <c r="DX5" s="206">
        <f>AVERAGEA(CN5,CS5,CY5,DE5,DK5,DQ5)</f>
        <v/>
      </c>
      <c r="DY5" s="206">
        <f>SUM(DZ5:EC5)</f>
        <v/>
      </c>
      <c r="DZ5" s="206" t="n">
        <v>8</v>
      </c>
      <c r="EA5" s="206" t="n">
        <v>0</v>
      </c>
      <c r="EB5" s="206" t="n">
        <v>25</v>
      </c>
      <c r="EC5" s="206" t="n">
        <v>0</v>
      </c>
      <c r="ED5" s="209" t="n">
        <v>10</v>
      </c>
      <c r="EE5" s="210" t="n">
        <v>0</v>
      </c>
      <c r="EF5" s="211" t="n"/>
      <c r="EG5" s="211" t="inlineStr">
        <is>
          <t>10盒(10/21)</t>
        </is>
      </c>
      <c r="EH5" s="136" t="n"/>
      <c r="EI5" s="212" t="n"/>
      <c r="EJ5" s="118">
        <f>IFERROR(VLOOKUP(A5,站前4樓!A:BF,57,0),0)</f>
        <v/>
      </c>
      <c r="EK5" s="213">
        <f>IFERROR(VLOOKUP(A5,站前11樓!A:BE,57,0),0)</f>
        <v/>
      </c>
      <c r="EL5" s="118">
        <f>IFERROR(VLOOKUP(A5,忠孝7樓!A:N,57,0),0)</f>
        <v/>
      </c>
      <c r="EM5" s="118">
        <f>IFERROR(VLOOKUP(A5,忠孝國際醫學3樓!A:L,57,0),0)</f>
        <v/>
      </c>
      <c r="EN5" s="118">
        <f>SUM(ED5:EG5)</f>
        <v/>
      </c>
      <c r="EP5" s="118" t="n">
        <v>19</v>
      </c>
      <c r="EQ5" s="118" t="n">
        <v>8</v>
      </c>
    </row>
    <row r="6" ht="15.75" customFormat="1" customHeight="1" s="118">
      <c r="A6" s="136" t="inlineStr">
        <is>
          <t>MP1MA020021A</t>
        </is>
      </c>
      <c r="B6" s="118" t="n">
        <v>6150003</v>
      </c>
      <c r="C6" s="118" t="inlineStr">
        <is>
          <t>喬雅登豐麗緹玻尿酸植入物Volift 1ml/ syringe(1支)</t>
        </is>
      </c>
      <c r="D6" s="197" t="n">
        <v>2</v>
      </c>
      <c r="E6" s="198" t="inlineStr">
        <is>
          <t>PCS</t>
        </is>
      </c>
      <c r="F6" s="199">
        <f>SUMIF(站前4樓!B:B,B6,站前4樓!F:F)</f>
        <v/>
      </c>
      <c r="G6" s="199">
        <f>SUMIF(站前11樓!B:B,B6,站前11樓!F:F)</f>
        <v/>
      </c>
      <c r="H6" s="199">
        <f>SUMIF(忠孝7樓!B:B,B6,忠孝7樓!G:G)</f>
        <v/>
      </c>
      <c r="I6" s="199">
        <f>SUMIF(忠孝國際醫學3樓!B:B,B6,忠孝國際醫學3樓!G:G)</f>
        <v/>
      </c>
      <c r="J6" s="199">
        <f>SUMIF(忠孝健康7樓!B:B,B6,忠孝健康7樓!G:G)</f>
        <v/>
      </c>
      <c r="K6" s="200" t="n">
        <v>1</v>
      </c>
      <c r="L6" s="200" t="n">
        <v>1</v>
      </c>
      <c r="M6" s="200" t="n">
        <v>0</v>
      </c>
      <c r="N6" s="200" t="n">
        <v>0</v>
      </c>
      <c r="O6" s="200" t="n">
        <v>2</v>
      </c>
      <c r="P6" s="200" t="n">
        <v>1</v>
      </c>
      <c r="Q6" s="200" t="n">
        <v>0</v>
      </c>
      <c r="R6" s="200" t="n">
        <v>0</v>
      </c>
      <c r="S6" s="200" t="n">
        <v>2</v>
      </c>
      <c r="T6" s="200" t="n">
        <v>0</v>
      </c>
      <c r="U6" s="200" t="n">
        <v>0</v>
      </c>
      <c r="V6" s="200" t="n">
        <v>1</v>
      </c>
      <c r="W6" s="200" t="n">
        <v>6</v>
      </c>
      <c r="X6" s="200" t="n">
        <v>3</v>
      </c>
      <c r="Y6" s="200" t="n">
        <v>0</v>
      </c>
      <c r="Z6" s="200" t="n">
        <v>0</v>
      </c>
      <c r="AA6" s="200" t="n">
        <v>0</v>
      </c>
      <c r="AB6" s="200" t="n">
        <v>2</v>
      </c>
      <c r="AC6" s="200" t="n">
        <v>1</v>
      </c>
      <c r="AD6" s="200" t="n">
        <v>3</v>
      </c>
      <c r="AE6" s="200" t="n">
        <v>0</v>
      </c>
      <c r="AF6" s="200" t="n">
        <v>0</v>
      </c>
      <c r="AG6" s="200" t="n">
        <v>0</v>
      </c>
      <c r="AH6" s="200" t="n">
        <v>2</v>
      </c>
      <c r="AI6" s="200" t="n">
        <v>10</v>
      </c>
      <c r="AJ6" s="201" t="n">
        <v>1</v>
      </c>
      <c r="AK6" s="201" t="n">
        <v>0</v>
      </c>
      <c r="AL6" s="201" t="n">
        <v>0.5</v>
      </c>
      <c r="AM6" s="201" t="n">
        <v>0.5</v>
      </c>
      <c r="AN6" s="201" t="n">
        <v>0</v>
      </c>
      <c r="AO6" s="201" t="n">
        <v>2.5</v>
      </c>
      <c r="AP6" s="201" t="n">
        <v>0.5</v>
      </c>
      <c r="AQ6" s="201" t="n">
        <v>0.5</v>
      </c>
      <c r="AR6" s="201" t="n">
        <v>7</v>
      </c>
      <c r="AS6" s="201" t="n">
        <v>10</v>
      </c>
      <c r="AT6" s="512" t="n">
        <v>0.5</v>
      </c>
      <c r="AU6" s="203" t="n">
        <v>0</v>
      </c>
      <c r="AV6" s="204">
        <f>SUM(AJ6:AU6)</f>
        <v/>
      </c>
      <c r="AW6" s="513">
        <f>AV6/12</f>
        <v/>
      </c>
      <c r="AX6" s="203" t="n">
        <v>1</v>
      </c>
      <c r="AY6" s="203" t="n">
        <v>0</v>
      </c>
      <c r="AZ6" s="203" t="n">
        <v>0</v>
      </c>
      <c r="BA6" s="214" t="n">
        <v>1</v>
      </c>
      <c r="BB6" s="203" t="n">
        <v>6</v>
      </c>
      <c r="BC6" s="203">
        <f>SUMIFS(領用表!$L:$L,領用表!$A:$A,BC$2,領用表!$E:$E,B6)</f>
        <v/>
      </c>
      <c r="BD6" s="206">
        <f>SUMIFS(領用表!$L:$L,領用表!$E:$E,$B6,領用表!$B:$B,BC$2&amp;BD$2)</f>
        <v/>
      </c>
      <c r="BE6" s="206">
        <f>SUMIFS(領用表!$L:$L,領用表!$E:$E,$B6,領用表!$B:$B,$BC$2&amp;BE$2)</f>
        <v/>
      </c>
      <c r="BF6" s="206">
        <f>SUMIFS(領用表!$L:$L,領用表!$E:$E,$B6,領用表!$B:$B,$BC$2&amp;BF$2)</f>
        <v/>
      </c>
      <c r="BG6" s="206">
        <f>SUMIFS(領用表!$L:$L,領用表!$E:$E,$B6,領用表!$B:$B,$BC$2&amp;BG$2)</f>
        <v/>
      </c>
      <c r="BH6" s="203">
        <f>SUMIFS(領用表!$L:$L,領用表!$A:$A,BH$2,領用表!$E:$E,B6)</f>
        <v/>
      </c>
      <c r="BI6" s="206">
        <f>SUMIFS(領用表!$L:$L,領用表!$E:$E,$B6,領用表!$B:$B,BH$2&amp;BI$2)</f>
        <v/>
      </c>
      <c r="BJ6" s="206">
        <f>SUMIFS(領用表!$L:$L,領用表!$E:$E,$B6,領用表!$B:$B,$BH$2&amp;BJ$2)</f>
        <v/>
      </c>
      <c r="BK6" s="206">
        <f>SUMIFS(領用表!$L:$L,領用表!$E:$E,$B6,領用表!$B:$B,$BH$2&amp;BK$2)</f>
        <v/>
      </c>
      <c r="BL6" s="206">
        <f>SUMIFS(領用表!$L:$L,領用表!$E:$E,$B6,領用表!$B:$B,$BH$2&amp;BL$2)</f>
        <v/>
      </c>
      <c r="BM6" s="203">
        <f>SUMIFS(領用表!$L:$L,領用表!$A:$A,BM$2,領用表!$E:$E,B6)</f>
        <v/>
      </c>
      <c r="BN6" s="206">
        <f>SUMIFS(領用表!$L:$L,領用表!$E:$E,$B6,領用表!$B:$B,BM$2&amp;BN$2)</f>
        <v/>
      </c>
      <c r="BO6" s="206">
        <f>SUMIFS(領用表!$L:$L,領用表!$E:$E,$B6,領用表!$B:$B,$BM$2&amp;BO$2)</f>
        <v/>
      </c>
      <c r="BP6" s="206">
        <f>SUMIFS(領用表!$L:$L,領用表!$E:$E,$B6,領用表!$B:$B,$BM$2&amp;BP$2)</f>
        <v/>
      </c>
      <c r="BQ6" s="206">
        <f>SUMIFS(領用表!$L:$L,領用表!$E:$E,$B6,領用表!$B:$B,$BM$2&amp;BQ$2)</f>
        <v/>
      </c>
      <c r="BR6" s="203">
        <f>SUMIFS(領用表!$L:$L,領用表!$A:$A,BR$2,領用表!$E:$E,B6)</f>
        <v/>
      </c>
      <c r="BS6" s="206">
        <f>SUMIFS(領用表!$L:$L,領用表!$E:$E,$B6,領用表!$B:$B,BR$2&amp;BS$2)</f>
        <v/>
      </c>
      <c r="BT6" s="206">
        <f>SUMIFS(領用表!$L:$L,領用表!$E:$E,$B6,領用表!$B:$B,$BR$2&amp;BT$2)</f>
        <v/>
      </c>
      <c r="BU6" s="206">
        <f>SUMIFS(領用表!$L:$L,領用表!$E:$E,$B6,領用表!$B:$B,$BR$2&amp;BU$2)</f>
        <v/>
      </c>
      <c r="BV6" s="206">
        <f>SUMIFS(領用表!$L:$L,領用表!$E:$E,$B6,領用表!$B:$B,$BR$2&amp;BV$2)</f>
        <v/>
      </c>
      <c r="BW6" s="208">
        <f>SUMIFS(領用表!$L:$L,領用表!$A:$A,BW$2,領用表!$E:$E,B6)</f>
        <v/>
      </c>
      <c r="BX6" s="206">
        <f>SUMIFS(領用表!$L:$L,領用表!$E:$E,$B6,領用表!$B:$B,BW$2&amp;BX$2)</f>
        <v/>
      </c>
      <c r="BY6" s="206">
        <f>SUMIFS(領用表!$L:$L,領用表!$E:$E,$B6,領用表!$B:$B,$BW$2&amp;BY$2)</f>
        <v/>
      </c>
      <c r="BZ6" s="206">
        <f>SUMIFS(領用表!$L:$L,領用表!$E:$E,$B6,領用表!$B:$B,$BW$2&amp;BZ$2)</f>
        <v/>
      </c>
      <c r="CA6" s="206">
        <f>SUMIFS(領用表!$L:$L,領用表!$E:$E,$B6,領用表!$B:$B,$BW$2&amp;CA$2)</f>
        <v/>
      </c>
      <c r="CB6" s="208">
        <f>SUMIFS(領用表!$L:$L,領用表!$A:$A,CB$2,領用表!$E:$E,B6)</f>
        <v/>
      </c>
      <c r="CC6" s="206">
        <f>SUMIFS(領用表!$L:$L,領用表!$E:$E,$B6,領用表!$B:$B,CB$2&amp;CC$2)</f>
        <v/>
      </c>
      <c r="CD6" s="206">
        <f>SUMIFS(領用表!$L:$L,領用表!$E:$E,$B6,領用表!$B:$B,$CB$2&amp;CD$2)</f>
        <v/>
      </c>
      <c r="CE6" s="206">
        <f>SUMIFS(領用表!$L:$L,領用表!$E:$E,$B6,領用表!$B:$B,$CB$2&amp;CE$2)</f>
        <v/>
      </c>
      <c r="CF6" s="206">
        <f>SUMIFS(領用表!$L:$L,領用表!$E:$E,$B6,領用表!$B:$B,$CB$2&amp;CF$2)</f>
        <v/>
      </c>
      <c r="CG6" s="208">
        <f>SUMIFS(領用表!$L:$L,領用表!$A:$A,CG$2,領用表!$E:$E,B6)</f>
        <v/>
      </c>
      <c r="CH6" s="206">
        <f>SUMIFS(領用表!$L:$L,領用表!$E:$E,$B6,領用表!$B:$B,CG$2&amp;CH$2)</f>
        <v/>
      </c>
      <c r="CI6" s="206">
        <f>SUMIFS(領用表!$L:$L,領用表!$E:$E,$B6,領用表!$B:$B,CG$2&amp;CI$2)</f>
        <v/>
      </c>
      <c r="CJ6" s="206">
        <f>SUMIFS(領用表!$L:$L,領用表!$E:$E,$B6,領用表!$B:$B,CG$2&amp;CJ$2)</f>
        <v/>
      </c>
      <c r="CK6" s="206">
        <f>SUMIFS(領用表!$L:$L,領用表!$E:$E,$B6,領用表!$B:$B,$CG$2&amp;CK$2)</f>
        <v/>
      </c>
      <c r="CL6" s="207">
        <f>SUM(AX6,AY6,AZ6,BA6,BB6,BC6,BH6,BM6,BR6,BW6,CB6,CG6)</f>
        <v/>
      </c>
      <c r="CM6" s="207">
        <f>AVERAGE(AX6,AY6,AZ6,BA6,BB6,BC6,BH6,BM6,BR6,BW6,CB6,CG6)</f>
        <v/>
      </c>
      <c r="CN6" s="208">
        <f>SUMIFS(領用表!$L:$L,領用表!$A:$A,CN$2,領用表!$E:$E,B6)</f>
        <v/>
      </c>
      <c r="CO6" s="206">
        <f>SUMIFS(領用表!$L:$L,領用表!$E:$E,$B6,領用表!$B:$B,CN$2&amp;CO$2)</f>
        <v/>
      </c>
      <c r="CP6" s="206">
        <f>SUMIFS(領用表!$L:$L,領用表!$E:$E,$B6,領用表!$B:$B,$CN$2&amp;CP$2)</f>
        <v/>
      </c>
      <c r="CQ6" s="206">
        <f>SUMIFS(領用表!$L:$L,領用表!$E:$E,$B6,領用表!$B:$B,$CN$2&amp;CQ$2)</f>
        <v/>
      </c>
      <c r="CR6" s="206">
        <f>SUMIFS(領用表!$L:$L,領用表!$E:$E,$B6,領用表!$B:$B,$CN$2&amp;CR$2)</f>
        <v/>
      </c>
      <c r="CS6" s="208">
        <f>SUMIFS(領用表!$L:$L,領用表!$A:$A,CS$2,領用表!$E:$E,B6)</f>
        <v/>
      </c>
      <c r="CT6" s="206">
        <f>SUMIFS(領用表!$L:$L,領用表!$E:$E,$B6,領用表!$B:$B,CS$2&amp;CT$2)</f>
        <v/>
      </c>
      <c r="CU6" s="206">
        <f>SUMIFS(領用表!$L:$L,領用表!$E:$E,$B6,領用表!$B:$B,$CS$2&amp;CU$2)</f>
        <v/>
      </c>
      <c r="CV6" s="206">
        <f>SUMIFS(領用表!$L:$L,領用表!$E:$E,$B6,領用表!$B:$B,$CS$2&amp;CV$2)</f>
        <v/>
      </c>
      <c r="CW6" s="206">
        <f>SUMIFS(領用表!$L:$L,領用表!$E:$E,$B6,領用表!$B:$B,$CS$2&amp;CW$2)</f>
        <v/>
      </c>
      <c r="CX6" s="206">
        <f>SUMIFS(領用表!$L:$L,領用表!$E:$E,$B6,領用表!$B:$B,$CS$2&amp;CX$2)</f>
        <v/>
      </c>
      <c r="CY6" s="208">
        <f>SUMIFS(領用表!$L:$L,領用表!$A:$A,CY$2,領用表!$E:$E,B6)</f>
        <v/>
      </c>
      <c r="CZ6" s="206">
        <f>SUMIFS(領用表!$L:$L,領用表!$E:$E,$B6,領用表!$B:$B,CY$2&amp;CZ$2)</f>
        <v/>
      </c>
      <c r="DA6" s="206">
        <f>SUMIFS(領用表!$L:$L,領用表!$E:$E,$B6,領用表!$B:$B,$CY$2&amp;DA$2)</f>
        <v/>
      </c>
      <c r="DB6" s="206">
        <f>SUMIFS(領用表!$L:$L,領用表!$E:$E,$B6,領用表!$B:$B,$CY$2&amp;DB$2)</f>
        <v/>
      </c>
      <c r="DC6" s="206">
        <f>SUMIFS(領用表!$L:$L,領用表!$E:$E,$B6,領用表!$B:$B,$CY$2&amp;DC$2)</f>
        <v/>
      </c>
      <c r="DD6" s="206">
        <f>SUMIFS(領用表!$L:$L,領用表!$E:$E,$B6,領用表!$B:$B,$CY$2&amp;DD$2)</f>
        <v/>
      </c>
      <c r="DE6" s="208">
        <f>SUMIFS(領用表!$L:$L,領用表!$A:$A,DE$2,領用表!$E:$E,B6)</f>
        <v/>
      </c>
      <c r="DF6" s="206">
        <f>SUMIFS(領用表!$L:$L,領用表!$E:$E,$B6,領用表!$B:$B,DE$2&amp;DF$2)</f>
        <v/>
      </c>
      <c r="DG6" s="206">
        <f>SUMIFS(領用表!$L:$L,領用表!$E:$E,$B6,領用表!$B:$B,$DE$2&amp;DG$2)</f>
        <v/>
      </c>
      <c r="DH6" s="206">
        <f>SUMIFS(領用表!$L:$L,領用表!$E:$E,$B6,領用表!$B:$B,$DE$2&amp;DH$2)</f>
        <v/>
      </c>
      <c r="DI6" s="206">
        <f>SUMIFS(領用表!$L:$L,領用表!$E:$E,$B6,領用表!$B:$B,$DE$2&amp;DI$2)</f>
        <v/>
      </c>
      <c r="DJ6" s="206">
        <f>SUMIFS(領用表!$L:$L,領用表!$E:$E,$B6,領用表!$B:$B,$DE$2&amp;DJ$2)</f>
        <v/>
      </c>
      <c r="DK6" s="208">
        <f>SUMIFS(領用表!$L:$L,領用表!$A:$A,DK$2,領用表!$E:$E,$B6)</f>
        <v/>
      </c>
      <c r="DL6" s="206">
        <f>SUMIFS(領用表!$L:$L,領用表!$E:$E,$B6,領用表!$B:$B,DK$2&amp;DL$2)</f>
        <v/>
      </c>
      <c r="DM6" s="206">
        <f>SUMIFS(領用表!$L:$L,領用表!$E:$E,$B6,領用表!$B:$B,$DK$2&amp;DM$2)</f>
        <v/>
      </c>
      <c r="DN6" s="206">
        <f>SUMIFS(領用表!$L:$L,領用表!$E:$E,$B6,領用表!$B:$B,$DK$2&amp;DN$2)</f>
        <v/>
      </c>
      <c r="DO6" s="206">
        <f>SUMIFS(領用表!$L:$L,領用表!$E:$E,$B6,領用表!$B:$B,$DK$2&amp;DO$2)</f>
        <v/>
      </c>
      <c r="DP6" s="206">
        <f>SUMIFS(領用表!$L:$L,領用表!$E:$E,$B6,領用表!$B:$B,$DK$2&amp;DP$2)</f>
        <v/>
      </c>
      <c r="DQ6" s="208" t="n">
        <v>10</v>
      </c>
      <c r="DR6" s="206" t="n">
        <v>1</v>
      </c>
      <c r="DS6" s="206" t="n"/>
      <c r="DT6" s="206" t="n">
        <v>7</v>
      </c>
      <c r="DU6" s="206" t="n"/>
      <c r="DV6" s="206" t="n">
        <v>2</v>
      </c>
      <c r="DW6" s="206">
        <f>SUM(CN6,CS6,CY6,DE6,DK6,DQ6)</f>
        <v/>
      </c>
      <c r="DX6" s="206">
        <f>AVERAGEA(CN6,CS6,CY6,DE6,DK6,DQ6)</f>
        <v/>
      </c>
      <c r="DY6" s="206">
        <f>SUM(DZ6:EC6)</f>
        <v/>
      </c>
      <c r="DZ6" s="206" t="n">
        <v>10</v>
      </c>
      <c r="EA6" s="206" t="n">
        <v>0</v>
      </c>
      <c r="EB6" s="206" t="n">
        <v>10</v>
      </c>
      <c r="EC6" s="206" t="n">
        <v>0</v>
      </c>
      <c r="ED6" s="215" t="n">
        <v>10</v>
      </c>
      <c r="EE6" s="210" t="n">
        <v>0</v>
      </c>
      <c r="EF6" s="211" t="n"/>
      <c r="EG6" s="211" t="n"/>
      <c r="EH6" s="136" t="n"/>
      <c r="EI6" s="212" t="n"/>
      <c r="EJ6" s="118">
        <f>IFERROR(VLOOKUP(A6,站前4樓!A:BF,57,0),0)</f>
        <v/>
      </c>
      <c r="EK6" s="213">
        <f>IFERROR(VLOOKUP(A6,站前11樓!A:BE,57,0),0)</f>
        <v/>
      </c>
      <c r="EL6" s="118">
        <f>IFERROR(VLOOKUP(A6,忠孝7樓!A:N,57,0),0)</f>
        <v/>
      </c>
      <c r="EM6" s="118">
        <f>IFERROR(VLOOKUP(A6,忠孝國際醫學3樓!A:L,57,0),0)</f>
        <v/>
      </c>
      <c r="EN6" s="118">
        <f>SUM(ED6:EG6)</f>
        <v/>
      </c>
      <c r="EP6" s="118" t="n">
        <v>23</v>
      </c>
      <c r="EQ6" s="118" t="n">
        <v>31</v>
      </c>
    </row>
    <row r="7" ht="15.75" customFormat="1" customHeight="1" s="118">
      <c r="A7" s="136" t="inlineStr">
        <is>
          <t>MP1MA020022A</t>
        </is>
      </c>
      <c r="B7" s="118" t="n">
        <v>6150004</v>
      </c>
      <c r="C7" s="118" t="inlineStr">
        <is>
          <t>喬雅登豐塑玻尿酸植入物Volux 1ml/ syringe(1支)</t>
        </is>
      </c>
      <c r="D7" s="197" t="n">
        <v>2</v>
      </c>
      <c r="E7" s="198" t="inlineStr">
        <is>
          <t>PCS</t>
        </is>
      </c>
      <c r="F7" s="199">
        <f>SUMIF(站前4樓!B:B,B7,站前4樓!F:F)</f>
        <v/>
      </c>
      <c r="G7" s="199">
        <f>SUMIF(站前11樓!B:B,B7,站前11樓!F:F)</f>
        <v/>
      </c>
      <c r="H7" s="199">
        <f>SUMIF(忠孝7樓!B:B,B7,忠孝7樓!G:G)</f>
        <v/>
      </c>
      <c r="I7" s="199">
        <f>SUMIF(忠孝國際醫學3樓!B:B,B7,忠孝國際醫學3樓!G:G)</f>
        <v/>
      </c>
      <c r="J7" s="199">
        <f>SUMIF(忠孝健康7樓!B:B,B7,忠孝健康7樓!G:G)</f>
        <v/>
      </c>
      <c r="K7" s="200" t="n">
        <v>2</v>
      </c>
      <c r="L7" s="200" t="n">
        <v>2</v>
      </c>
      <c r="M7" s="200" t="n">
        <v>0</v>
      </c>
      <c r="N7" s="200" t="n">
        <v>2</v>
      </c>
      <c r="O7" s="200" t="n">
        <v>2</v>
      </c>
      <c r="P7" s="200" t="n">
        <v>2</v>
      </c>
      <c r="Q7" s="200" t="n">
        <v>0</v>
      </c>
      <c r="R7" s="200" t="n">
        <v>0</v>
      </c>
      <c r="S7" s="200" t="n">
        <v>2</v>
      </c>
      <c r="T7" s="200" t="n">
        <v>3</v>
      </c>
      <c r="U7" s="200" t="n">
        <v>0</v>
      </c>
      <c r="V7" s="200" t="n">
        <v>3</v>
      </c>
      <c r="W7" s="200" t="n">
        <v>1</v>
      </c>
      <c r="X7" s="200" t="n">
        <v>3</v>
      </c>
      <c r="Y7" s="200" t="n">
        <v>4</v>
      </c>
      <c r="Z7" s="200" t="n">
        <v>4</v>
      </c>
      <c r="AA7" s="200" t="n">
        <v>5</v>
      </c>
      <c r="AB7" s="200" t="n">
        <v>1</v>
      </c>
      <c r="AC7" s="200" t="n">
        <v>4</v>
      </c>
      <c r="AD7" s="200" t="n">
        <v>8</v>
      </c>
      <c r="AE7" s="200" t="n">
        <v>1</v>
      </c>
      <c r="AF7" s="200" t="n">
        <v>2</v>
      </c>
      <c r="AG7" s="200" t="n">
        <v>5</v>
      </c>
      <c r="AH7" s="200" t="n">
        <v>1</v>
      </c>
      <c r="AI7" s="200" t="n">
        <v>3</v>
      </c>
      <c r="AJ7" s="201" t="n">
        <v>2</v>
      </c>
      <c r="AK7" s="201" t="n">
        <v>0.5</v>
      </c>
      <c r="AL7" s="201" t="n">
        <v>1.5</v>
      </c>
      <c r="AM7" s="201" t="n">
        <v>0.5</v>
      </c>
      <c r="AN7" s="201" t="n">
        <v>2.5</v>
      </c>
      <c r="AO7" s="201" t="n">
        <v>1.5</v>
      </c>
      <c r="AP7" s="201" t="n">
        <v>2.5</v>
      </c>
      <c r="AQ7" s="201" t="n">
        <v>5.5</v>
      </c>
      <c r="AR7" s="201" t="n">
        <v>6</v>
      </c>
      <c r="AS7" s="201" t="n">
        <v>4</v>
      </c>
      <c r="AT7" s="512" t="n">
        <v>2.5</v>
      </c>
      <c r="AU7" s="203" t="n">
        <v>1</v>
      </c>
      <c r="AV7" s="204">
        <f>SUM(AJ7:AU7)</f>
        <v/>
      </c>
      <c r="AW7" s="513">
        <f>AV7/12</f>
        <v/>
      </c>
      <c r="AX7" s="203" t="n">
        <v>6</v>
      </c>
      <c r="AY7" s="203" t="n">
        <v>5</v>
      </c>
      <c r="AZ7" s="203" t="n">
        <v>16</v>
      </c>
      <c r="BA7" s="203" t="n">
        <v>26</v>
      </c>
      <c r="BB7" s="203" t="n">
        <v>19</v>
      </c>
      <c r="BC7" s="203">
        <f>SUMIFS(領用表!$L:$L,領用表!$A:$A,BC$2,領用表!$E:$E,B7)</f>
        <v/>
      </c>
      <c r="BD7" s="206">
        <f>SUMIFS(領用表!$L:$L,領用表!$E:$E,$B7,領用表!$B:$B,BC$2&amp;BD$2)</f>
        <v/>
      </c>
      <c r="BE7" s="206">
        <f>SUMIFS(領用表!$L:$L,領用表!$E:$E,$B7,領用表!$B:$B,$BC$2&amp;BE$2)</f>
        <v/>
      </c>
      <c r="BF7" s="206">
        <f>SUMIFS(領用表!$L:$L,領用表!$E:$E,$B7,領用表!$B:$B,$BC$2&amp;BF$2)</f>
        <v/>
      </c>
      <c r="BG7" s="206">
        <f>SUMIFS(領用表!$L:$L,領用表!$E:$E,$B7,領用表!$B:$B,$BC$2&amp;BG$2)</f>
        <v/>
      </c>
      <c r="BH7" s="203">
        <f>SUMIFS(領用表!$L:$L,領用表!$A:$A,BH$2,領用表!$E:$E,B7)</f>
        <v/>
      </c>
      <c r="BI7" s="206">
        <f>SUMIFS(領用表!$L:$L,領用表!$E:$E,$B7,領用表!$B:$B,BH$2&amp;BI$2)</f>
        <v/>
      </c>
      <c r="BJ7" s="206">
        <f>SUMIFS(領用表!$L:$L,領用表!$E:$E,$B7,領用表!$B:$B,$BH$2&amp;BJ$2)</f>
        <v/>
      </c>
      <c r="BK7" s="206">
        <f>SUMIFS(領用表!$L:$L,領用表!$E:$E,$B7,領用表!$B:$B,$BH$2&amp;BK$2)</f>
        <v/>
      </c>
      <c r="BL7" s="206">
        <f>SUMIFS(領用表!$L:$L,領用表!$E:$E,$B7,領用表!$B:$B,$BH$2&amp;BL$2)</f>
        <v/>
      </c>
      <c r="BM7" s="203">
        <f>SUMIFS(領用表!$L:$L,領用表!$A:$A,BM$2,領用表!$E:$E,B7)</f>
        <v/>
      </c>
      <c r="BN7" s="206">
        <f>SUMIFS(領用表!$L:$L,領用表!$E:$E,$B7,領用表!$B:$B,BM$2&amp;BN$2)</f>
        <v/>
      </c>
      <c r="BO7" s="206">
        <f>SUMIFS(領用表!$L:$L,領用表!$E:$E,$B7,領用表!$B:$B,$BM$2&amp;BO$2)</f>
        <v/>
      </c>
      <c r="BP7" s="206">
        <f>SUMIFS(領用表!$L:$L,領用表!$E:$E,$B7,領用表!$B:$B,$BM$2&amp;BP$2)</f>
        <v/>
      </c>
      <c r="BQ7" s="206">
        <f>SUMIFS(領用表!$L:$L,領用表!$E:$E,$B7,領用表!$B:$B,$BM$2&amp;BQ$2)</f>
        <v/>
      </c>
      <c r="BR7" s="203">
        <f>SUMIFS(領用表!$L:$L,領用表!$A:$A,BR$2,領用表!$E:$E,B7)</f>
        <v/>
      </c>
      <c r="BS7" s="206">
        <f>SUMIFS(領用表!$L:$L,領用表!$E:$E,$B7,領用表!$B:$B,BR$2&amp;BS$2)</f>
        <v/>
      </c>
      <c r="BT7" s="206">
        <f>SUMIFS(領用表!$L:$L,領用表!$E:$E,$B7,領用表!$B:$B,$BR$2&amp;BT$2)</f>
        <v/>
      </c>
      <c r="BU7" s="206">
        <f>SUMIFS(領用表!$L:$L,領用表!$E:$E,$B7,領用表!$B:$B,$BR$2&amp;BU$2)</f>
        <v/>
      </c>
      <c r="BV7" s="206">
        <f>SUMIFS(領用表!$L:$L,領用表!$E:$E,$B7,領用表!$B:$B,$BR$2&amp;BV$2)</f>
        <v/>
      </c>
      <c r="BW7" s="208">
        <f>SUMIFS(領用表!$L:$L,領用表!$A:$A,BW$2,領用表!$E:$E,B7)</f>
        <v/>
      </c>
      <c r="BX7" s="206">
        <f>SUMIFS(領用表!$L:$L,領用表!$E:$E,$B7,領用表!$B:$B,BW$2&amp;BX$2)</f>
        <v/>
      </c>
      <c r="BY7" s="206">
        <f>SUMIFS(領用表!$L:$L,領用表!$E:$E,$B7,領用表!$B:$B,$BW$2&amp;BY$2)</f>
        <v/>
      </c>
      <c r="BZ7" s="206">
        <f>SUMIFS(領用表!$L:$L,領用表!$E:$E,$B7,領用表!$B:$B,$BW$2&amp;BZ$2)</f>
        <v/>
      </c>
      <c r="CA7" s="206">
        <f>SUMIFS(領用表!$L:$L,領用表!$E:$E,$B7,領用表!$B:$B,$BW$2&amp;CA$2)</f>
        <v/>
      </c>
      <c r="CB7" s="208">
        <f>SUMIFS(領用表!$L:$L,領用表!$A:$A,CB$2,領用表!$E:$E,B7)</f>
        <v/>
      </c>
      <c r="CC7" s="206">
        <f>SUMIFS(領用表!$L:$L,領用表!$E:$E,$B7,領用表!$B:$B,CB$2&amp;CC$2)</f>
        <v/>
      </c>
      <c r="CD7" s="206">
        <f>SUMIFS(領用表!$L:$L,領用表!$E:$E,$B7,領用表!$B:$B,$CB$2&amp;CD$2)</f>
        <v/>
      </c>
      <c r="CE7" s="206">
        <f>SUMIFS(領用表!$L:$L,領用表!$E:$E,$B7,領用表!$B:$B,$CB$2&amp;CE$2)</f>
        <v/>
      </c>
      <c r="CF7" s="206">
        <f>SUMIFS(領用表!$L:$L,領用表!$E:$E,$B7,領用表!$B:$B,$CB$2&amp;CF$2)</f>
        <v/>
      </c>
      <c r="CG7" s="208">
        <f>SUMIFS(領用表!$L:$L,領用表!$A:$A,CG$2,領用表!$E:$E,B7)</f>
        <v/>
      </c>
      <c r="CH7" s="206">
        <f>SUMIFS(領用表!$L:$L,領用表!$E:$E,$B7,領用表!$B:$B,CG$2&amp;CH$2)</f>
        <v/>
      </c>
      <c r="CI7" s="206">
        <f>SUMIFS(領用表!$L:$L,領用表!$E:$E,$B7,領用表!$B:$B,CG$2&amp;CI$2)</f>
        <v/>
      </c>
      <c r="CJ7" s="206">
        <f>SUMIFS(領用表!$L:$L,領用表!$E:$E,$B7,領用表!$B:$B,CG$2&amp;CJ$2)</f>
        <v/>
      </c>
      <c r="CK7" s="206">
        <f>SUMIFS(領用表!$L:$L,領用表!$E:$E,$B7,領用表!$B:$B,$CG$2&amp;CK$2)</f>
        <v/>
      </c>
      <c r="CL7" s="207">
        <f>SUM(AX7,AY7,AZ7,BA7,BB7,BC7,BH7,BM7,BR7,BW7,CB7,CG7)</f>
        <v/>
      </c>
      <c r="CM7" s="207">
        <f>AVERAGE(AX7,AY7,AZ7,BA7,BB7,BC7,BH7,BM7,BR7,BW7,CB7,CG7)</f>
        <v/>
      </c>
      <c r="CN7" s="208">
        <f>SUMIFS(領用表!$L:$L,領用表!$A:$A,CN$2,領用表!$E:$E,B7)</f>
        <v/>
      </c>
      <c r="CO7" s="206">
        <f>SUMIFS(領用表!$L:$L,領用表!$E:$E,$B7,領用表!$B:$B,CN$2&amp;CO$2)</f>
        <v/>
      </c>
      <c r="CP7" s="206">
        <f>SUMIFS(領用表!$L:$L,領用表!$E:$E,$B7,領用表!$B:$B,$CN$2&amp;CP$2)</f>
        <v/>
      </c>
      <c r="CQ7" s="206">
        <f>SUMIFS(領用表!$L:$L,領用表!$E:$E,$B7,領用表!$B:$B,$CN$2&amp;CQ$2)</f>
        <v/>
      </c>
      <c r="CR7" s="206">
        <f>SUMIFS(領用表!$L:$L,領用表!$E:$E,$B7,領用表!$B:$B,$CN$2&amp;CR$2)</f>
        <v/>
      </c>
      <c r="CS7" s="208">
        <f>SUMIFS(領用表!$L:$L,領用表!$A:$A,CS$2,領用表!$E:$E,B7)</f>
        <v/>
      </c>
      <c r="CT7" s="206">
        <f>SUMIFS(領用表!$L:$L,領用表!$E:$E,$B7,領用表!$B:$B,CS$2&amp;CT$2)</f>
        <v/>
      </c>
      <c r="CU7" s="206">
        <f>SUMIFS(領用表!$L:$L,領用表!$E:$E,$B7,領用表!$B:$B,$CS$2&amp;CU$2)</f>
        <v/>
      </c>
      <c r="CV7" s="206">
        <f>SUMIFS(領用表!$L:$L,領用表!$E:$E,$B7,領用表!$B:$B,$CS$2&amp;CV$2)</f>
        <v/>
      </c>
      <c r="CW7" s="206">
        <f>SUMIFS(領用表!$L:$L,領用表!$E:$E,$B7,領用表!$B:$B,$CS$2&amp;CW$2)</f>
        <v/>
      </c>
      <c r="CX7" s="206">
        <f>SUMIFS(領用表!$L:$L,領用表!$E:$E,$B7,領用表!$B:$B,$CS$2&amp;CX$2)</f>
        <v/>
      </c>
      <c r="CY7" s="208">
        <f>SUMIFS(領用表!$L:$L,領用表!$A:$A,CY$2,領用表!$E:$E,B7)</f>
        <v/>
      </c>
      <c r="CZ7" s="206">
        <f>SUMIFS(領用表!$L:$L,領用表!$E:$E,$B7,領用表!$B:$B,CY$2&amp;CZ$2)</f>
        <v/>
      </c>
      <c r="DA7" s="206">
        <f>SUMIFS(領用表!$L:$L,領用表!$E:$E,$B7,領用表!$B:$B,$CY$2&amp;DA$2)</f>
        <v/>
      </c>
      <c r="DB7" s="206">
        <f>SUMIFS(領用表!$L:$L,領用表!$E:$E,$B7,領用表!$B:$B,$CY$2&amp;DB$2)</f>
        <v/>
      </c>
      <c r="DC7" s="206">
        <f>SUMIFS(領用表!$L:$L,領用表!$E:$E,$B7,領用表!$B:$B,$CY$2&amp;DC$2)</f>
        <v/>
      </c>
      <c r="DD7" s="206">
        <f>SUMIFS(領用表!$L:$L,領用表!$E:$E,$B7,領用表!$B:$B,$CY$2&amp;DD$2)</f>
        <v/>
      </c>
      <c r="DE7" s="208">
        <f>SUMIFS(領用表!$L:$L,領用表!$A:$A,DE$2,領用表!$E:$E,B7)</f>
        <v/>
      </c>
      <c r="DF7" s="206">
        <f>SUMIFS(領用表!$L:$L,領用表!$E:$E,$B7,領用表!$B:$B,DE$2&amp;DF$2)</f>
        <v/>
      </c>
      <c r="DG7" s="206">
        <f>SUMIFS(領用表!$L:$L,領用表!$E:$E,$B7,領用表!$B:$B,$DE$2&amp;DG$2)</f>
        <v/>
      </c>
      <c r="DH7" s="206">
        <f>SUMIFS(領用表!$L:$L,領用表!$E:$E,$B7,領用表!$B:$B,$DE$2&amp;DH$2)</f>
        <v/>
      </c>
      <c r="DI7" s="206">
        <f>SUMIFS(領用表!$L:$L,領用表!$E:$E,$B7,領用表!$B:$B,$DE$2&amp;DI$2)</f>
        <v/>
      </c>
      <c r="DJ7" s="206">
        <f>SUMIFS(領用表!$L:$L,領用表!$E:$E,$B7,領用表!$B:$B,$DE$2&amp;DJ$2)</f>
        <v/>
      </c>
      <c r="DK7" s="208">
        <f>SUMIFS(領用表!$L:$L,領用表!$A:$A,DK$2,領用表!$E:$E,$B7)</f>
        <v/>
      </c>
      <c r="DL7" s="206">
        <f>SUMIFS(領用表!$L:$L,領用表!$E:$E,$B7,領用表!$B:$B,DK$2&amp;DL$2)</f>
        <v/>
      </c>
      <c r="DM7" s="206">
        <f>SUMIFS(領用表!$L:$L,領用表!$E:$E,$B7,領用表!$B:$B,$DK$2&amp;DM$2)</f>
        <v/>
      </c>
      <c r="DN7" s="206">
        <f>SUMIFS(領用表!$L:$L,領用表!$E:$E,$B7,領用表!$B:$B,$DK$2&amp;DN$2)</f>
        <v/>
      </c>
      <c r="DO7" s="206">
        <f>SUMIFS(領用表!$L:$L,領用表!$E:$E,$B7,領用表!$B:$B,$DK$2&amp;DO$2)</f>
        <v/>
      </c>
      <c r="DP7" s="206">
        <f>SUMIFS(領用表!$L:$L,領用表!$E:$E,$B7,領用表!$B:$B,$DK$2&amp;DP$2)</f>
        <v/>
      </c>
      <c r="DQ7" s="208" t="n">
        <v>6</v>
      </c>
      <c r="DR7" s="206" t="n">
        <v>3</v>
      </c>
      <c r="DS7" s="206" t="n"/>
      <c r="DT7" s="206" t="n">
        <v>3</v>
      </c>
      <c r="DU7" s="206" t="n"/>
      <c r="DV7" s="206" t="n"/>
      <c r="DW7" s="206">
        <f>SUM(CN7,CS7,CY7,DE7,DK7,DQ7)</f>
        <v/>
      </c>
      <c r="DX7" s="206">
        <f>AVERAGEA(CN7,CS7,CY7,DE7,DK7,DQ7)</f>
        <v/>
      </c>
      <c r="DY7" s="206">
        <f>SUM(DZ7:EC7)</f>
        <v/>
      </c>
      <c r="DZ7" s="206" t="n">
        <v>15</v>
      </c>
      <c r="EA7" s="206" t="n">
        <v>0</v>
      </c>
      <c r="EB7" s="206" t="n">
        <v>15</v>
      </c>
      <c r="EC7" s="206" t="n">
        <v>0</v>
      </c>
      <c r="ED7" s="215" t="n">
        <v>20</v>
      </c>
      <c r="EE7" s="210" t="n">
        <v>0</v>
      </c>
      <c r="EF7" s="211" t="n"/>
      <c r="EG7" s="211" t="inlineStr">
        <is>
          <t>15盒(10/21)</t>
        </is>
      </c>
      <c r="EH7" s="136" t="n"/>
      <c r="EI7" s="212" t="n"/>
      <c r="EJ7" s="118">
        <f>IFERROR(VLOOKUP(A7,站前4樓!A:BF,57,0),0)</f>
        <v/>
      </c>
      <c r="EK7" s="213">
        <f>IFERROR(VLOOKUP(A7,站前11樓!A:BE,57,0),0)</f>
        <v/>
      </c>
      <c r="EL7" s="118">
        <f>IFERROR(VLOOKUP(A7,忠孝7樓!A:N,57,0),0)</f>
        <v/>
      </c>
      <c r="EM7" s="118">
        <f>IFERROR(VLOOKUP(A7,忠孝國際醫學3樓!A:L,57,0),0)</f>
        <v/>
      </c>
      <c r="EN7" s="118">
        <f>SUM(ED7:EG7)</f>
        <v/>
      </c>
      <c r="EP7" s="118" t="n">
        <v>38</v>
      </c>
      <c r="EQ7" s="118" t="n">
        <v>32</v>
      </c>
    </row>
    <row r="8" ht="15.75" customFormat="1" customHeight="1" s="118">
      <c r="A8" s="136" t="inlineStr">
        <is>
          <t>MP1MA020023A</t>
        </is>
      </c>
      <c r="B8" s="118" t="n">
        <v>6150005</v>
      </c>
      <c r="C8" s="411" t="inlineStr">
        <is>
          <t>喬雅登芙潤玻尿酸植入物Volite 1ml/ Syringe(1支)</t>
        </is>
      </c>
      <c r="D8" s="197" t="n">
        <v>2</v>
      </c>
      <c r="E8" s="198" t="inlineStr">
        <is>
          <t>PCS</t>
        </is>
      </c>
      <c r="F8" s="199">
        <f>SUMIF(站前4樓!B:B,B8,站前4樓!F:F)</f>
        <v/>
      </c>
      <c r="G8" s="199">
        <f>SUMIF(站前11樓!B:B,B8,站前11樓!F:F)</f>
        <v/>
      </c>
      <c r="H8" s="199">
        <f>SUMIF(忠孝7樓!B:B,B8,忠孝7樓!G:G)</f>
        <v/>
      </c>
      <c r="I8" s="199">
        <f>SUMIF(忠孝國際醫學3樓!B:B,B8,忠孝國際醫學3樓!G:G)</f>
        <v/>
      </c>
      <c r="J8" s="199">
        <f>SUMIF(忠孝健康7樓!B:B,B8,忠孝健康7樓!G:G)</f>
        <v/>
      </c>
      <c r="K8" s="200" t="n">
        <v>0</v>
      </c>
      <c r="L8" s="200" t="n">
        <v>0</v>
      </c>
      <c r="M8" s="200" t="n">
        <v>0</v>
      </c>
      <c r="N8" s="200" t="n">
        <v>0</v>
      </c>
      <c r="O8" s="200" t="n">
        <v>0</v>
      </c>
      <c r="P8" s="200" t="n">
        <v>0</v>
      </c>
      <c r="Q8" s="200" t="n">
        <v>3</v>
      </c>
      <c r="R8" s="200" t="n">
        <v>0</v>
      </c>
      <c r="S8" s="200" t="n">
        <v>0</v>
      </c>
      <c r="T8" s="200" t="n">
        <v>0</v>
      </c>
      <c r="U8" s="200" t="n">
        <v>3</v>
      </c>
      <c r="V8" s="200" t="n">
        <v>2</v>
      </c>
      <c r="W8" s="200" t="n">
        <v>2</v>
      </c>
      <c r="X8" s="200" t="n">
        <v>1</v>
      </c>
      <c r="Y8" s="200" t="n">
        <v>1</v>
      </c>
      <c r="Z8" s="200" t="n">
        <v>0</v>
      </c>
      <c r="AA8" s="200" t="n">
        <v>0</v>
      </c>
      <c r="AB8" s="200" t="n">
        <v>0</v>
      </c>
      <c r="AC8" s="200" t="n">
        <v>0</v>
      </c>
      <c r="AD8" s="200" t="n">
        <v>0</v>
      </c>
      <c r="AE8" s="200" t="n">
        <v>0</v>
      </c>
      <c r="AF8" s="200" t="n">
        <v>0</v>
      </c>
      <c r="AG8" s="200" t="n">
        <v>5</v>
      </c>
      <c r="AH8" s="200" t="n">
        <v>0</v>
      </c>
      <c r="AI8" s="200" t="n">
        <v>0</v>
      </c>
      <c r="AJ8" s="201" t="n">
        <v>0.5</v>
      </c>
      <c r="AK8" s="201" t="n">
        <v>1.5</v>
      </c>
      <c r="AL8" s="201" t="n">
        <v>2</v>
      </c>
      <c r="AM8" s="201" t="n">
        <v>2.5</v>
      </c>
      <c r="AN8" s="201" t="n">
        <v>2</v>
      </c>
      <c r="AO8" s="201" t="n">
        <v>5.5</v>
      </c>
      <c r="AP8" s="201" t="n">
        <v>2.5</v>
      </c>
      <c r="AQ8" s="201" t="n">
        <v>7</v>
      </c>
      <c r="AR8" s="201" t="n">
        <v>2</v>
      </c>
      <c r="AS8" s="201" t="n">
        <v>1</v>
      </c>
      <c r="AT8" s="512" t="n">
        <v>0.5</v>
      </c>
      <c r="AU8" s="203" t="n">
        <v>4</v>
      </c>
      <c r="AV8" s="204">
        <f>SUM(AJ8:AU8)</f>
        <v/>
      </c>
      <c r="AW8" s="513">
        <f>AV8/12</f>
        <v/>
      </c>
      <c r="AX8" s="203" t="n">
        <v>2</v>
      </c>
      <c r="AY8" s="203" t="n">
        <v>3</v>
      </c>
      <c r="AZ8" s="203" t="n">
        <v>6</v>
      </c>
      <c r="BA8" s="214" t="n">
        <v>2</v>
      </c>
      <c r="BB8" s="203" t="n">
        <v>3</v>
      </c>
      <c r="BC8" s="203">
        <f>SUMIFS(領用表!$L:$L,領用表!$A:$A,BC$2,領用表!$E:$E,B8)</f>
        <v/>
      </c>
      <c r="BD8" s="206">
        <f>SUMIFS(領用表!$L:$L,領用表!$E:$E,$B8,領用表!$B:$B,BC$2&amp;BD$2)</f>
        <v/>
      </c>
      <c r="BE8" s="206">
        <f>SUMIFS(領用表!$L:$L,領用表!$E:$E,$B8,領用表!$B:$B,$BC$2&amp;BE$2)</f>
        <v/>
      </c>
      <c r="BF8" s="206">
        <f>SUMIFS(領用表!$L:$L,領用表!$E:$E,$B8,領用表!$B:$B,$BC$2&amp;BF$2)</f>
        <v/>
      </c>
      <c r="BG8" s="206">
        <f>SUMIFS(領用表!$L:$L,領用表!$E:$E,$B8,領用表!$B:$B,$BC$2&amp;BG$2)</f>
        <v/>
      </c>
      <c r="BH8" s="203">
        <f>SUMIFS(領用表!$L:$L,領用表!$A:$A,BH$2,領用表!$E:$E,B8)</f>
        <v/>
      </c>
      <c r="BI8" s="206">
        <f>SUMIFS(領用表!$L:$L,領用表!$E:$E,$B8,領用表!$B:$B,BH$2&amp;BI$2)</f>
        <v/>
      </c>
      <c r="BJ8" s="206">
        <f>SUMIFS(領用表!$L:$L,領用表!$E:$E,$B8,領用表!$B:$B,$BH$2&amp;BJ$2)</f>
        <v/>
      </c>
      <c r="BK8" s="206">
        <f>SUMIFS(領用表!$L:$L,領用表!$E:$E,$B8,領用表!$B:$B,$BH$2&amp;BK$2)</f>
        <v/>
      </c>
      <c r="BL8" s="206">
        <f>SUMIFS(領用表!$L:$L,領用表!$E:$E,$B8,領用表!$B:$B,$BH$2&amp;BL$2)</f>
        <v/>
      </c>
      <c r="BM8" s="203">
        <f>SUMIFS(領用表!$L:$L,領用表!$A:$A,BM$2,領用表!$E:$E,B8)</f>
        <v/>
      </c>
      <c r="BN8" s="206">
        <f>SUMIFS(領用表!$L:$L,領用表!$E:$E,$B8,領用表!$B:$B,BM$2&amp;BN$2)</f>
        <v/>
      </c>
      <c r="BO8" s="206">
        <f>SUMIFS(領用表!$L:$L,領用表!$E:$E,$B8,領用表!$B:$B,$BM$2&amp;BO$2)</f>
        <v/>
      </c>
      <c r="BP8" s="206">
        <f>SUMIFS(領用表!$L:$L,領用表!$E:$E,$B8,領用表!$B:$B,$BM$2&amp;BP$2)</f>
        <v/>
      </c>
      <c r="BQ8" s="206">
        <f>SUMIFS(領用表!$L:$L,領用表!$E:$E,$B8,領用表!$B:$B,$BM$2&amp;BQ$2)</f>
        <v/>
      </c>
      <c r="BR8" s="203">
        <f>SUMIFS(領用表!$L:$L,領用表!$A:$A,BR$2,領用表!$E:$E,B8)</f>
        <v/>
      </c>
      <c r="BS8" s="206">
        <f>SUMIFS(領用表!$L:$L,領用表!$E:$E,$B8,領用表!$B:$B,BR$2&amp;BS$2)</f>
        <v/>
      </c>
      <c r="BT8" s="206">
        <f>SUMIFS(領用表!$L:$L,領用表!$E:$E,$B8,領用表!$B:$B,$BR$2&amp;BT$2)</f>
        <v/>
      </c>
      <c r="BU8" s="206">
        <f>SUMIFS(領用表!$L:$L,領用表!$E:$E,$B8,領用表!$B:$B,$BR$2&amp;BU$2)</f>
        <v/>
      </c>
      <c r="BV8" s="206">
        <f>SUMIFS(領用表!$L:$L,領用表!$E:$E,$B8,領用表!$B:$B,$BR$2&amp;BV$2)</f>
        <v/>
      </c>
      <c r="BW8" s="208">
        <f>SUMIFS(領用表!$L:$L,領用表!$A:$A,BW$2,領用表!$E:$E,B8)</f>
        <v/>
      </c>
      <c r="BX8" s="206">
        <f>SUMIFS(領用表!$L:$L,領用表!$E:$E,$B8,領用表!$B:$B,BW$2&amp;BX$2)</f>
        <v/>
      </c>
      <c r="BY8" s="206">
        <f>SUMIFS(領用表!$L:$L,領用表!$E:$E,$B8,領用表!$B:$B,$BW$2&amp;BY$2)</f>
        <v/>
      </c>
      <c r="BZ8" s="206">
        <f>SUMIFS(領用表!$L:$L,領用表!$E:$E,$B8,領用表!$B:$B,$BW$2&amp;BZ$2)</f>
        <v/>
      </c>
      <c r="CA8" s="206">
        <f>SUMIFS(領用表!$L:$L,領用表!$E:$E,$B8,領用表!$B:$B,$BW$2&amp;CA$2)</f>
        <v/>
      </c>
      <c r="CB8" s="208">
        <f>SUMIFS(領用表!$L:$L,領用表!$A:$A,CB$2,領用表!$E:$E,B8)</f>
        <v/>
      </c>
      <c r="CC8" s="206">
        <f>SUMIFS(領用表!$L:$L,領用表!$E:$E,$B8,領用表!$B:$B,CB$2&amp;CC$2)</f>
        <v/>
      </c>
      <c r="CD8" s="206">
        <f>SUMIFS(領用表!$L:$L,領用表!$E:$E,$B8,領用表!$B:$B,$CB$2&amp;CD$2)</f>
        <v/>
      </c>
      <c r="CE8" s="206">
        <f>SUMIFS(領用表!$L:$L,領用表!$E:$E,$B8,領用表!$B:$B,$CB$2&amp;CE$2)</f>
        <v/>
      </c>
      <c r="CF8" s="206">
        <f>SUMIFS(領用表!$L:$L,領用表!$E:$E,$B8,領用表!$B:$B,$CB$2&amp;CF$2)</f>
        <v/>
      </c>
      <c r="CG8" s="208">
        <f>SUMIFS(領用表!$L:$L,領用表!$A:$A,CG$2,領用表!$E:$E,B8)</f>
        <v/>
      </c>
      <c r="CH8" s="206">
        <f>SUMIFS(領用表!$L:$L,領用表!$E:$E,$B8,領用表!$B:$B,CG$2&amp;CH$2)</f>
        <v/>
      </c>
      <c r="CI8" s="206">
        <f>SUMIFS(領用表!$L:$L,領用表!$E:$E,$B8,領用表!$B:$B,CG$2&amp;CI$2)</f>
        <v/>
      </c>
      <c r="CJ8" s="206">
        <f>SUMIFS(領用表!$L:$L,領用表!$E:$E,$B8,領用表!$B:$B,CG$2&amp;CJ$2)</f>
        <v/>
      </c>
      <c r="CK8" s="206">
        <f>SUMIFS(領用表!$L:$L,領用表!$E:$E,$B8,領用表!$B:$B,$CG$2&amp;CK$2)</f>
        <v/>
      </c>
      <c r="CL8" s="207">
        <f>SUM(AX8,AY8,AZ8,BA8,BB8,BC8,BH8,BM8,BR8,BW8,CB8,CG8)</f>
        <v/>
      </c>
      <c r="CM8" s="207">
        <f>AVERAGE(AX8,AY8,AZ8,BA8,BB8,BC8,BH8,BM8,BR8,BW8,CB8,CG8)</f>
        <v/>
      </c>
      <c r="CN8" s="208">
        <f>SUMIFS(領用表!$L:$L,領用表!$A:$A,CN$2,領用表!$E:$E,B8)</f>
        <v/>
      </c>
      <c r="CO8" s="206">
        <f>SUMIFS(領用表!$L:$L,領用表!$E:$E,$B8,領用表!$B:$B,CN$2&amp;CO$2)</f>
        <v/>
      </c>
      <c r="CP8" s="206">
        <f>SUMIFS(領用表!$L:$L,領用表!$E:$E,$B8,領用表!$B:$B,$CN$2&amp;CP$2)</f>
        <v/>
      </c>
      <c r="CQ8" s="206">
        <f>SUMIFS(領用表!$L:$L,領用表!$E:$E,$B8,領用表!$B:$B,$CN$2&amp;CQ$2)</f>
        <v/>
      </c>
      <c r="CR8" s="206">
        <f>SUMIFS(領用表!$L:$L,領用表!$E:$E,$B8,領用表!$B:$B,$CN$2&amp;CR$2)</f>
        <v/>
      </c>
      <c r="CS8" s="208">
        <f>SUMIFS(領用表!$L:$L,領用表!$A:$A,CS$2,領用表!$E:$E,B8)</f>
        <v/>
      </c>
      <c r="CT8" s="206">
        <f>SUMIFS(領用表!$L:$L,領用表!$E:$E,$B8,領用表!$B:$B,CS$2&amp;CT$2)</f>
        <v/>
      </c>
      <c r="CU8" s="206">
        <f>SUMIFS(領用表!$L:$L,領用表!$E:$E,$B8,領用表!$B:$B,$CS$2&amp;CU$2)</f>
        <v/>
      </c>
      <c r="CV8" s="206">
        <f>SUMIFS(領用表!$L:$L,領用表!$E:$E,$B8,領用表!$B:$B,$CS$2&amp;CV$2)</f>
        <v/>
      </c>
      <c r="CW8" s="206">
        <f>SUMIFS(領用表!$L:$L,領用表!$E:$E,$B8,領用表!$B:$B,$CS$2&amp;CW$2)</f>
        <v/>
      </c>
      <c r="CX8" s="206">
        <f>SUMIFS(領用表!$L:$L,領用表!$E:$E,$B8,領用表!$B:$B,$CS$2&amp;CX$2)</f>
        <v/>
      </c>
      <c r="CY8" s="208">
        <f>SUMIFS(領用表!$L:$L,領用表!$A:$A,CY$2,領用表!$E:$E,B8)</f>
        <v/>
      </c>
      <c r="CZ8" s="206">
        <f>SUMIFS(領用表!$L:$L,領用表!$E:$E,$B8,領用表!$B:$B,CY$2&amp;CZ$2)</f>
        <v/>
      </c>
      <c r="DA8" s="206">
        <f>SUMIFS(領用表!$L:$L,領用表!$E:$E,$B8,領用表!$B:$B,$CY$2&amp;DA$2)</f>
        <v/>
      </c>
      <c r="DB8" s="206">
        <f>SUMIFS(領用表!$L:$L,領用表!$E:$E,$B8,領用表!$B:$B,$CY$2&amp;DB$2)</f>
        <v/>
      </c>
      <c r="DC8" s="206">
        <f>SUMIFS(領用表!$L:$L,領用表!$E:$E,$B8,領用表!$B:$B,$CY$2&amp;DC$2)</f>
        <v/>
      </c>
      <c r="DD8" s="206">
        <f>SUMIFS(領用表!$L:$L,領用表!$E:$E,$B8,領用表!$B:$B,$CY$2&amp;DD$2)</f>
        <v/>
      </c>
      <c r="DE8" s="208">
        <f>SUMIFS(領用表!$L:$L,領用表!$A:$A,DE$2,領用表!$E:$E,B8)</f>
        <v/>
      </c>
      <c r="DF8" s="206">
        <f>SUMIFS(領用表!$L:$L,領用表!$E:$E,$B8,領用表!$B:$B,DE$2&amp;DF$2)</f>
        <v/>
      </c>
      <c r="DG8" s="206">
        <f>SUMIFS(領用表!$L:$L,領用表!$E:$E,$B8,領用表!$B:$B,$DE$2&amp;DG$2)</f>
        <v/>
      </c>
      <c r="DH8" s="206">
        <f>SUMIFS(領用表!$L:$L,領用表!$E:$E,$B8,領用表!$B:$B,$DE$2&amp;DH$2)</f>
        <v/>
      </c>
      <c r="DI8" s="206">
        <f>SUMIFS(領用表!$L:$L,領用表!$E:$E,$B8,領用表!$B:$B,$DE$2&amp;DI$2)</f>
        <v/>
      </c>
      <c r="DJ8" s="206">
        <f>SUMIFS(領用表!$L:$L,領用表!$E:$E,$B8,領用表!$B:$B,$DE$2&amp;DJ$2)</f>
        <v/>
      </c>
      <c r="DK8" s="208">
        <f>SUMIFS(領用表!$L:$L,領用表!$A:$A,DK$2,領用表!$E:$E,$B8)</f>
        <v/>
      </c>
      <c r="DL8" s="206">
        <f>SUMIFS(領用表!$L:$L,領用表!$E:$E,$B8,領用表!$B:$B,DK$2&amp;DL$2)</f>
        <v/>
      </c>
      <c r="DM8" s="206">
        <f>SUMIFS(領用表!$L:$L,領用表!$E:$E,$B8,領用表!$B:$B,$DK$2&amp;DM$2)</f>
        <v/>
      </c>
      <c r="DN8" s="206">
        <f>SUMIFS(領用表!$L:$L,領用表!$E:$E,$B8,領用表!$B:$B,$DK$2&amp;DN$2)</f>
        <v/>
      </c>
      <c r="DO8" s="206">
        <f>SUMIFS(領用表!$L:$L,領用表!$E:$E,$B8,領用表!$B:$B,$DK$2&amp;DO$2)</f>
        <v/>
      </c>
      <c r="DP8" s="206">
        <f>SUMIFS(領用表!$L:$L,領用表!$E:$E,$B8,領用表!$B:$B,$DK$2&amp;DP$2)</f>
        <v/>
      </c>
      <c r="DQ8" s="208" t="n"/>
      <c r="DR8" s="206" t="n"/>
      <c r="DS8" s="206" t="n"/>
      <c r="DT8" s="206" t="n"/>
      <c r="DU8" s="206" t="n"/>
      <c r="DV8" s="206" t="n"/>
      <c r="DW8" s="206">
        <f>SUM(CN8,CS8,CY8,DE8,DK8,DQ8)</f>
        <v/>
      </c>
      <c r="DX8" s="206">
        <f>AVERAGEA(CN8,CS8,CY8,DE8,DK8,DQ8)</f>
        <v/>
      </c>
      <c r="DY8" s="206">
        <f>SUM(DZ8:EC8)</f>
        <v/>
      </c>
      <c r="DZ8" s="206" t="n">
        <v>5</v>
      </c>
      <c r="EA8" s="206" t="n">
        <v>0</v>
      </c>
      <c r="EB8" s="206" t="n">
        <v>5</v>
      </c>
      <c r="EC8" s="206" t="n">
        <v>0</v>
      </c>
      <c r="ED8" s="215" t="n">
        <v>6</v>
      </c>
      <c r="EE8" s="210" t="n">
        <v>0</v>
      </c>
      <c r="EF8" s="211" t="n"/>
      <c r="EG8" s="211" t="n"/>
      <c r="EH8" s="136" t="n"/>
      <c r="EI8" s="212" t="n"/>
      <c r="EJ8" s="118">
        <f>IFERROR(VLOOKUP(A8,站前4樓!A:BF,57,0),0)</f>
        <v/>
      </c>
      <c r="EK8" s="213">
        <f>IFERROR(VLOOKUP(A8,站前11樓!A:BE,57,0),0)</f>
        <v/>
      </c>
      <c r="EL8" s="118">
        <f>IFERROR(VLOOKUP(A8,忠孝7樓!A:N,57,0),0)</f>
        <v/>
      </c>
      <c r="EM8" s="118">
        <f>IFERROR(VLOOKUP(A8,忠孝國際醫學3樓!A:L,57,0),0)</f>
        <v/>
      </c>
      <c r="EN8" s="118">
        <f>SUM(ED8:EG8)</f>
        <v/>
      </c>
      <c r="EP8" s="118" t="n">
        <v>26</v>
      </c>
      <c r="EQ8" s="118" t="n">
        <v>7</v>
      </c>
    </row>
    <row r="9" ht="15.75" customFormat="1" customHeight="1" s="118">
      <c r="A9" s="136" t="n"/>
      <c r="B9" s="118" t="n">
        <v>6150015</v>
      </c>
      <c r="C9" s="118" t="inlineStr">
        <is>
          <t>喬雅登絲漾膚玻尿酸植入物Skinvive 1ml/支</t>
        </is>
      </c>
      <c r="D9" s="197" t="n">
        <v>2</v>
      </c>
      <c r="E9" s="198" t="inlineStr">
        <is>
          <t>PCS</t>
        </is>
      </c>
      <c r="F9" s="199">
        <f>SUMIF(站前4樓!B:B,B9,站前4樓!F:F)</f>
        <v/>
      </c>
      <c r="G9" s="199">
        <f>SUMIF(站前11樓!B:B,B9,站前11樓!F:F)</f>
        <v/>
      </c>
      <c r="H9" s="199">
        <f>SUMIF(忠孝7樓!B:B,B9,忠孝7樓!G:G)</f>
        <v/>
      </c>
      <c r="I9" s="199">
        <f>SUMIF(忠孝國際醫學3樓!B:B,B9,忠孝國際醫學3樓!G:G)</f>
        <v/>
      </c>
      <c r="J9" s="199">
        <f>SUMIF(忠孝健康7樓!B:B,B9,忠孝健康7樓!G:G)</f>
        <v/>
      </c>
      <c r="K9" s="200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0" t="n"/>
      <c r="U9" s="200" t="n"/>
      <c r="V9" s="200" t="n"/>
      <c r="W9" s="200" t="n"/>
      <c r="X9" s="200" t="n"/>
      <c r="Y9" s="200" t="n"/>
      <c r="Z9" s="200" t="n"/>
      <c r="AA9" s="200" t="n"/>
      <c r="AB9" s="200" t="n"/>
      <c r="AC9" s="200" t="n"/>
      <c r="AD9" s="200" t="n"/>
      <c r="AE9" s="200" t="n"/>
      <c r="AF9" s="200" t="n"/>
      <c r="AG9" s="200" t="n"/>
      <c r="AH9" s="200" t="n"/>
      <c r="AI9" s="200" t="n"/>
      <c r="AJ9" s="201" t="n"/>
      <c r="AK9" s="201" t="n"/>
      <c r="AL9" s="201" t="n"/>
      <c r="AM9" s="201" t="n"/>
      <c r="AN9" s="201" t="n"/>
      <c r="AO9" s="201" t="n"/>
      <c r="AP9" s="201" t="n"/>
      <c r="AQ9" s="201" t="n"/>
      <c r="AR9" s="201" t="n"/>
      <c r="AS9" s="201" t="n"/>
      <c r="AT9" s="512" t="n"/>
      <c r="AU9" s="203" t="n"/>
      <c r="AV9" s="204" t="n"/>
      <c r="AW9" s="513" t="n"/>
      <c r="AX9" s="203" t="n"/>
      <c r="AY9" s="203" t="n"/>
      <c r="AZ9" s="203" t="n"/>
      <c r="BA9" s="214" t="n"/>
      <c r="BB9" s="203" t="n"/>
      <c r="BC9" s="203" t="n"/>
      <c r="BD9" s="206" t="n"/>
      <c r="BE9" s="206" t="n"/>
      <c r="BF9" s="206" t="n"/>
      <c r="BG9" s="206" t="n"/>
      <c r="BH9" s="203" t="n"/>
      <c r="BI9" s="206" t="n"/>
      <c r="BJ9" s="206" t="n"/>
      <c r="BK9" s="206" t="n"/>
      <c r="BL9" s="206" t="n"/>
      <c r="BM9" s="203" t="n"/>
      <c r="BN9" s="206" t="n"/>
      <c r="BO9" s="206" t="n"/>
      <c r="BP9" s="206" t="n"/>
      <c r="BQ9" s="206" t="n"/>
      <c r="BR9" s="203" t="n"/>
      <c r="BS9" s="206" t="n"/>
      <c r="BT9" s="206" t="n"/>
      <c r="BU9" s="206" t="n"/>
      <c r="BV9" s="206" t="n"/>
      <c r="BW9" s="208" t="n"/>
      <c r="BX9" s="206" t="n"/>
      <c r="BY9" s="206" t="n"/>
      <c r="BZ9" s="206" t="n"/>
      <c r="CA9" s="206" t="n"/>
      <c r="CB9" s="208" t="n"/>
      <c r="CC9" s="206" t="n"/>
      <c r="CD9" s="206" t="n"/>
      <c r="CE9" s="206" t="n"/>
      <c r="CF9" s="206" t="n"/>
      <c r="CG9" s="208" t="n"/>
      <c r="CH9" s="206" t="n"/>
      <c r="CI9" s="206" t="n"/>
      <c r="CJ9" s="206" t="n"/>
      <c r="CK9" s="206" t="n"/>
      <c r="CL9" s="207">
        <f>SUM(AX9,AY9,AZ9,BA9,BB9,BC9,BH9,BM9,BR9,BW9,CB9,CG9)</f>
        <v/>
      </c>
      <c r="CM9" s="207">
        <f>IFERROR(AVERAGE(AX9,AY9,AZ9,BA9,BB9,BC9,BH9,BM9,BR9,BW9,CB9,CG9),0)</f>
        <v/>
      </c>
      <c r="CN9" s="208">
        <f>SUMIFS(領用表!$L:$L,領用表!$A:$A,CN$2,領用表!$E:$E,B9)</f>
        <v/>
      </c>
      <c r="CO9" s="206">
        <f>SUMIFS(領用表!$L:$L,領用表!$E:$E,$B9,領用表!$B:$B,CN$2&amp;CO$2)</f>
        <v/>
      </c>
      <c r="CP9" s="206">
        <f>SUMIFS(領用表!$L:$L,領用表!$E:$E,$B9,領用表!$B:$B,$CN$2&amp;CP$2)</f>
        <v/>
      </c>
      <c r="CQ9" s="206">
        <f>SUMIFS(領用表!$L:$L,領用表!$E:$E,$B9,領用表!$B:$B,$CN$2&amp;CQ$2)</f>
        <v/>
      </c>
      <c r="CR9" s="206">
        <f>SUMIFS(領用表!$L:$L,領用表!$E:$E,$B9,領用表!$B:$B,$CN$2&amp;CR$2)</f>
        <v/>
      </c>
      <c r="CS9" s="208">
        <f>SUMIFS(領用表!$L:$L,領用表!$A:$A,CS$2,領用表!$E:$E,B9)</f>
        <v/>
      </c>
      <c r="CT9" s="206">
        <f>SUMIFS(領用表!$L:$L,領用表!$E:$E,$B9,領用表!$B:$B,CS$2&amp;CT$2)</f>
        <v/>
      </c>
      <c r="CU9" s="206">
        <f>SUMIFS(領用表!$L:$L,領用表!$E:$E,$B9,領用表!$B:$B,$CS$2&amp;CU$2)</f>
        <v/>
      </c>
      <c r="CV9" s="206">
        <f>SUMIFS(領用表!$L:$L,領用表!$E:$E,$B9,領用表!$B:$B,$CS$2&amp;CV$2)</f>
        <v/>
      </c>
      <c r="CW9" s="206">
        <f>SUMIFS(領用表!$L:$L,領用表!$E:$E,$B9,領用表!$B:$B,$CS$2&amp;CW$2)</f>
        <v/>
      </c>
      <c r="CX9" s="206">
        <f>SUMIFS(領用表!$L:$L,領用表!$E:$E,$B9,領用表!$B:$B,$CS$2&amp;CX$2)</f>
        <v/>
      </c>
      <c r="CY9" s="208">
        <f>SUMIFS(領用表!$L:$L,領用表!$A:$A,CY$2,領用表!$E:$E,B9)</f>
        <v/>
      </c>
      <c r="CZ9" s="206">
        <f>SUMIFS(領用表!$L:$L,領用表!$E:$E,$B9,領用表!$B:$B,CY$2&amp;CZ$2)</f>
        <v/>
      </c>
      <c r="DA9" s="206">
        <f>SUMIFS(領用表!$L:$L,領用表!$E:$E,$B9,領用表!$B:$B,$CY$2&amp;DA$2)</f>
        <v/>
      </c>
      <c r="DB9" s="206">
        <f>SUMIFS(領用表!$L:$L,領用表!$E:$E,$B9,領用表!$B:$B,$CY$2&amp;DB$2)</f>
        <v/>
      </c>
      <c r="DC9" s="206">
        <f>SUMIFS(領用表!$L:$L,領用表!$E:$E,$B9,領用表!$B:$B,$CY$2&amp;DC$2)</f>
        <v/>
      </c>
      <c r="DD9" s="206">
        <f>SUMIFS(領用表!$L:$L,領用表!$E:$E,$B9,領用表!$B:$B,$CY$2&amp;DD$2)</f>
        <v/>
      </c>
      <c r="DE9" s="208">
        <f>SUMIFS(領用表!$L:$L,領用表!$A:$A,DE$2,領用表!$E:$E,B9)</f>
        <v/>
      </c>
      <c r="DF9" s="206">
        <f>SUMIFS(領用表!$L:$L,領用表!$E:$E,$B9,領用表!$B:$B,DE$2&amp;DF$2)</f>
        <v/>
      </c>
      <c r="DG9" s="206">
        <f>SUMIFS(領用表!$L:$L,領用表!$E:$E,$B9,領用表!$B:$B,$DE$2&amp;DG$2)</f>
        <v/>
      </c>
      <c r="DH9" s="206">
        <f>SUMIFS(領用表!$L:$L,領用表!$E:$E,$B9,領用表!$B:$B,$DE$2&amp;DH$2)</f>
        <v/>
      </c>
      <c r="DI9" s="206">
        <f>SUMIFS(領用表!$L:$L,領用表!$E:$E,$B9,領用表!$B:$B,$DE$2&amp;DI$2)</f>
        <v/>
      </c>
      <c r="DJ9" s="206">
        <f>SUMIFS(領用表!$L:$L,領用表!$E:$E,$B9,領用表!$B:$B,$DE$2&amp;DJ$2)</f>
        <v/>
      </c>
      <c r="DK9" s="208">
        <f>SUMIFS(領用表!$L:$L,領用表!$A:$A,DK$2,領用表!$E:$E,$B9)</f>
        <v/>
      </c>
      <c r="DL9" s="206">
        <f>SUMIFS(領用表!$L:$L,領用表!$E:$E,$B9,領用表!$B:$B,DK$2&amp;DL$2)</f>
        <v/>
      </c>
      <c r="DM9" s="206">
        <f>SUMIFS(領用表!$L:$L,領用表!$E:$E,$B9,領用表!$B:$B,$DK$2&amp;DM$2)</f>
        <v/>
      </c>
      <c r="DN9" s="206">
        <f>SUMIFS(領用表!$L:$L,領用表!$E:$E,$B9,領用表!$B:$B,$DK$2&amp;DN$2)</f>
        <v/>
      </c>
      <c r="DO9" s="206">
        <f>SUMIFS(領用表!$L:$L,領用表!$E:$E,$B9,領用表!$B:$B,$DK$2&amp;DO$2)</f>
        <v/>
      </c>
      <c r="DP9" s="206">
        <f>SUMIFS(領用表!$L:$L,領用表!$E:$E,$B9,領用表!$B:$B,$DK$2&amp;DP$2)</f>
        <v/>
      </c>
      <c r="DQ9" s="208" t="n">
        <v>3</v>
      </c>
      <c r="DR9" s="206" t="n"/>
      <c r="DS9" s="206" t="n"/>
      <c r="DT9" s="206" t="n">
        <v>1</v>
      </c>
      <c r="DU9" s="206" t="n"/>
      <c r="DV9" s="206" t="n">
        <v>2</v>
      </c>
      <c r="DW9" s="206">
        <f>SUM(CN9,CS9,CY9,DE9,DK9,DQ9)</f>
        <v/>
      </c>
      <c r="DX9" s="206">
        <f>AVERAGEA(CN9,CS9,CY9,DE9,DK9,DQ9)</f>
        <v/>
      </c>
      <c r="DY9" s="206">
        <f>SUM(DZ9:EC9)</f>
        <v/>
      </c>
      <c r="DZ9" s="206" t="n"/>
      <c r="EA9" s="206" t="n"/>
      <c r="EB9" s="206" t="n"/>
      <c r="EC9" s="206" t="n"/>
      <c r="ED9" s="215" t="n"/>
      <c r="EE9" s="464" t="n"/>
      <c r="EF9" s="211" t="n"/>
      <c r="EG9" s="211" t="n"/>
      <c r="EH9" s="136" t="n"/>
      <c r="EI9" s="212" t="n"/>
      <c r="EK9" s="213" t="n"/>
    </row>
    <row r="10" ht="15.75" customFormat="1" customHeight="1" s="118">
      <c r="A10" s="136" t="n"/>
      <c r="B10" s="118" t="n">
        <v>6150016</v>
      </c>
      <c r="C10" s="432" t="inlineStr">
        <is>
          <t>彈力針(1支/盒)</t>
        </is>
      </c>
      <c r="D10" s="197" t="n">
        <v>1</v>
      </c>
      <c r="E10" s="198" t="inlineStr">
        <is>
          <t>PCS</t>
        </is>
      </c>
      <c r="F10" s="199">
        <f>SUMIF(站前4樓!B:B,B10,站前4樓!F:F)</f>
        <v/>
      </c>
      <c r="G10" s="199">
        <f>SUMIF(站前11樓!B:B,B10,站前11樓!F:F)</f>
        <v/>
      </c>
      <c r="H10" s="199">
        <f>SUMIF(忠孝7樓!B:B,B10,忠孝7樓!G:G)</f>
        <v/>
      </c>
      <c r="I10" s="199">
        <f>SUMIF(忠孝國際醫學3樓!B:B,B10,忠孝國際醫學3樓!G:G)</f>
        <v/>
      </c>
      <c r="J10" s="199">
        <f>SUMIF(忠孝健康7樓!B:B,B10,忠孝健康7樓!G:G)</f>
        <v/>
      </c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200" t="n"/>
      <c r="AF10" s="200" t="n"/>
      <c r="AG10" s="200" t="n"/>
      <c r="AH10" s="200" t="n"/>
      <c r="AI10" s="200" t="n"/>
      <c r="AJ10" s="201" t="n"/>
      <c r="AK10" s="201" t="n"/>
      <c r="AL10" s="201" t="n"/>
      <c r="AM10" s="201" t="n"/>
      <c r="AN10" s="201" t="n"/>
      <c r="AO10" s="201" t="n"/>
      <c r="AP10" s="201" t="n"/>
      <c r="AQ10" s="201" t="n"/>
      <c r="AR10" s="201" t="n"/>
      <c r="AS10" s="201" t="n"/>
      <c r="AT10" s="512" t="n"/>
      <c r="AU10" s="203" t="n"/>
      <c r="AV10" s="204" t="n"/>
      <c r="AW10" s="513" t="n"/>
      <c r="AX10" s="203" t="n"/>
      <c r="AY10" s="203" t="n"/>
      <c r="AZ10" s="203" t="n"/>
      <c r="BA10" s="214" t="n"/>
      <c r="BB10" s="203" t="n"/>
      <c r="BC10" s="203" t="n"/>
      <c r="BD10" s="206" t="n"/>
      <c r="BE10" s="206" t="n"/>
      <c r="BF10" s="206" t="n"/>
      <c r="BG10" s="206" t="n"/>
      <c r="BH10" s="203" t="n"/>
      <c r="BI10" s="206" t="n"/>
      <c r="BJ10" s="206" t="n"/>
      <c r="BK10" s="206" t="n"/>
      <c r="BL10" s="206" t="n"/>
      <c r="BM10" s="203" t="n"/>
      <c r="BN10" s="206" t="n"/>
      <c r="BO10" s="206" t="n"/>
      <c r="BP10" s="206" t="n"/>
      <c r="BQ10" s="206" t="n"/>
      <c r="BR10" s="203" t="n"/>
      <c r="BS10" s="206" t="n"/>
      <c r="BT10" s="206" t="n"/>
      <c r="BU10" s="206" t="n"/>
      <c r="BV10" s="206" t="n"/>
      <c r="BW10" s="208" t="n"/>
      <c r="BX10" s="206" t="n"/>
      <c r="BY10" s="206" t="n"/>
      <c r="BZ10" s="206" t="n"/>
      <c r="CA10" s="206" t="n"/>
      <c r="CB10" s="208" t="n"/>
      <c r="CC10" s="206" t="n"/>
      <c r="CD10" s="206" t="n"/>
      <c r="CE10" s="206" t="n"/>
      <c r="CF10" s="206" t="n"/>
      <c r="CG10" s="208" t="n"/>
      <c r="CH10" s="206" t="n"/>
      <c r="CI10" s="206" t="n"/>
      <c r="CJ10" s="206" t="n"/>
      <c r="CK10" s="206" t="n"/>
      <c r="CL10" s="207" t="n"/>
      <c r="CM10" s="207" t="n"/>
      <c r="CN10" s="208" t="n"/>
      <c r="CO10" s="206" t="n"/>
      <c r="CP10" s="206" t="n"/>
      <c r="CQ10" s="206" t="n"/>
      <c r="CR10" s="206" t="n"/>
      <c r="CS10" s="208" t="n"/>
      <c r="CT10" s="206" t="n"/>
      <c r="CU10" s="206" t="n"/>
      <c r="CV10" s="206" t="n"/>
      <c r="CW10" s="206" t="n"/>
      <c r="CX10" s="206" t="n"/>
      <c r="CY10" s="208" t="n"/>
      <c r="CZ10" s="206" t="n"/>
      <c r="DA10" s="206" t="n"/>
      <c r="DB10" s="206" t="n"/>
      <c r="DC10" s="206" t="n"/>
      <c r="DD10" s="206" t="n"/>
      <c r="DE10" s="208" t="n"/>
      <c r="DF10" s="206" t="n"/>
      <c r="DG10" s="206" t="n"/>
      <c r="DH10" s="206" t="n"/>
      <c r="DI10" s="206" t="n"/>
      <c r="DJ10" s="206" t="n"/>
      <c r="DK10" s="208">
        <f>SUMIFS(領用表!$L:$L,領用表!$A:$A,DK$2,領用表!$E:$E,$B10)</f>
        <v/>
      </c>
      <c r="DL10" s="206">
        <f>SUMIFS(領用表!$L:$L,領用表!$E:$E,$B10,領用表!$B:$B,DK$2&amp;DL$2)</f>
        <v/>
      </c>
      <c r="DM10" s="206">
        <f>SUMIFS(領用表!$L:$L,領用表!$E:$E,$B10,領用表!$B:$B,$DK$2&amp;DM$2)</f>
        <v/>
      </c>
      <c r="DN10" s="206">
        <f>SUMIFS(領用表!$L:$L,領用表!$E:$E,$B10,領用表!$B:$B,$DK$2&amp;DN$2)</f>
        <v/>
      </c>
      <c r="DO10" s="206">
        <f>SUMIFS(領用表!$L:$L,領用表!$E:$E,$B10,領用表!$B:$B,$DK$2&amp;DO$2)</f>
        <v/>
      </c>
      <c r="DP10" s="206">
        <f>SUMIFS(領用表!$L:$L,領用表!$E:$E,$B10,領用表!$B:$B,$DK$2&amp;DP$2)</f>
        <v/>
      </c>
      <c r="DQ10" s="208" t="n"/>
      <c r="DR10" s="206" t="n"/>
      <c r="DS10" s="206" t="n"/>
      <c r="DT10" s="206" t="n"/>
      <c r="DU10" s="206" t="n"/>
      <c r="DV10" s="206" t="n"/>
      <c r="DW10" s="206">
        <f>SUM(CN10,CS10,CY10,DE10,DK10,DQ10)</f>
        <v/>
      </c>
      <c r="DX10" s="206">
        <f>AVERAGEA(CN10,CS10,CY10,DE10,DK10,DQ10)</f>
        <v/>
      </c>
      <c r="DY10" s="206">
        <f>SUM(DZ10:EC10)</f>
        <v/>
      </c>
      <c r="DZ10" s="206" t="n"/>
      <c r="EA10" s="206" t="n"/>
      <c r="EB10" s="206" t="n"/>
      <c r="EC10" s="206" t="n"/>
      <c r="ED10" s="215" t="n"/>
      <c r="EE10" s="464" t="n"/>
      <c r="EF10" s="211" t="n"/>
      <c r="EG10" s="211" t="n"/>
      <c r="EH10" s="136" t="n"/>
      <c r="EI10" s="212" t="n"/>
      <c r="EK10" s="213" t="n"/>
    </row>
    <row r="11" ht="15.75" customFormat="1" customHeight="1" s="118">
      <c r="A11" s="136" t="inlineStr">
        <is>
          <t>MP1MA010011A</t>
        </is>
      </c>
      <c r="B11" s="118" t="n">
        <v>6180015</v>
      </c>
      <c r="C11" s="118" t="inlineStr">
        <is>
          <t>MINT秘特拉提線EASY 42.4CM(1支)</t>
        </is>
      </c>
      <c r="D11" s="197" t="n">
        <v>2</v>
      </c>
      <c r="E11" s="198" t="inlineStr">
        <is>
          <t>PCS</t>
        </is>
      </c>
      <c r="F11" s="199">
        <f>SUMIF(站前4樓!B:B,B11,站前4樓!F:F)</f>
        <v/>
      </c>
      <c r="G11" s="199">
        <f>SUMIF(站前11樓!B:B,B11,站前11樓!F:F)</f>
        <v/>
      </c>
      <c r="H11" s="199">
        <f>SUMIF(忠孝7樓!B:B,B11,忠孝7樓!G:G)</f>
        <v/>
      </c>
      <c r="I11" s="199">
        <f>SUMIF(忠孝國際醫學3樓!B:B,B11,忠孝國際醫學3樓!G:G)</f>
        <v/>
      </c>
      <c r="J11" s="199">
        <f>SUMIF(忠孝健康7樓!B:B,B11,忠孝健康7樓!G:G)</f>
        <v/>
      </c>
      <c r="K11" s="200" t="n">
        <v>0</v>
      </c>
      <c r="L11" s="200" t="n">
        <v>0</v>
      </c>
      <c r="M11" s="200" t="n">
        <v>0</v>
      </c>
      <c r="N11" s="200" t="n">
        <v>0</v>
      </c>
      <c r="O11" s="200" t="n">
        <v>0</v>
      </c>
      <c r="P11" s="200" t="n">
        <v>0</v>
      </c>
      <c r="Q11" s="200" t="n">
        <v>0</v>
      </c>
      <c r="R11" s="200" t="n">
        <v>0</v>
      </c>
      <c r="S11" s="200" t="n">
        <v>0</v>
      </c>
      <c r="T11" s="200" t="n">
        <v>0</v>
      </c>
      <c r="U11" s="200" t="n">
        <v>0</v>
      </c>
      <c r="V11" s="200" t="n">
        <v>0</v>
      </c>
      <c r="W11" s="200" t="n">
        <v>0</v>
      </c>
      <c r="X11" s="200" t="n">
        <v>0</v>
      </c>
      <c r="Y11" s="200" t="n">
        <v>0</v>
      </c>
      <c r="Z11" s="200" t="n">
        <v>0</v>
      </c>
      <c r="AA11" s="200" t="n">
        <v>0</v>
      </c>
      <c r="AB11" s="200" t="n">
        <v>0</v>
      </c>
      <c r="AC11" s="200" t="n">
        <v>0</v>
      </c>
      <c r="AD11" s="200" t="n">
        <v>0</v>
      </c>
      <c r="AE11" s="200" t="n">
        <v>0</v>
      </c>
      <c r="AF11" s="200" t="n">
        <v>0</v>
      </c>
      <c r="AG11" s="200" t="n">
        <v>0</v>
      </c>
      <c r="AH11" s="200" t="n">
        <v>0</v>
      </c>
      <c r="AI11" s="200" t="n">
        <v>0</v>
      </c>
      <c r="AJ11" s="201" t="n">
        <v>0</v>
      </c>
      <c r="AK11" s="201" t="n">
        <v>0</v>
      </c>
      <c r="AL11" s="201" t="n">
        <v>0</v>
      </c>
      <c r="AM11" s="201" t="n">
        <v>2</v>
      </c>
      <c r="AN11" s="201" t="n">
        <v>0</v>
      </c>
      <c r="AO11" s="201" t="n">
        <v>0</v>
      </c>
      <c r="AP11" s="201" t="n">
        <v>0</v>
      </c>
      <c r="AQ11" s="201" t="n">
        <v>0</v>
      </c>
      <c r="AR11" s="201" t="n">
        <v>1</v>
      </c>
      <c r="AS11" s="201" t="n">
        <v>0</v>
      </c>
      <c r="AT11" s="512" t="n">
        <v>0</v>
      </c>
      <c r="AU11" s="203" t="n">
        <v>0</v>
      </c>
      <c r="AV11" s="204">
        <f>SUM(AJ11:AU11)</f>
        <v/>
      </c>
      <c r="AW11" s="513">
        <f>AV11/12</f>
        <v/>
      </c>
      <c r="AX11" s="203" t="n">
        <v>0</v>
      </c>
      <c r="AY11" s="203" t="n">
        <v>0</v>
      </c>
      <c r="AZ11" s="203" t="n">
        <v>2</v>
      </c>
      <c r="BA11" s="203" t="n">
        <v>0</v>
      </c>
      <c r="BB11" s="203" t="n">
        <v>2</v>
      </c>
      <c r="BC11" s="203">
        <f>SUMIFS(領用表!$L:$L,領用表!$A:$A,BC$2,領用表!$E:$E,B11)</f>
        <v/>
      </c>
      <c r="BD11" s="206">
        <f>SUMIFS(領用表!$L:$L,領用表!$E:$E,$B11,領用表!$B:$B,BC$2&amp;BD$2)</f>
        <v/>
      </c>
      <c r="BE11" s="206">
        <f>SUMIFS(領用表!$L:$L,領用表!$E:$E,$B11,領用表!$B:$B,$BC$2&amp;BE$2)</f>
        <v/>
      </c>
      <c r="BF11" s="206">
        <f>SUMIFS(領用表!$L:$L,領用表!$E:$E,$B11,領用表!$B:$B,$BC$2&amp;BF$2)</f>
        <v/>
      </c>
      <c r="BG11" s="206">
        <f>SUMIFS(領用表!$L:$L,領用表!$E:$E,$B11,領用表!$B:$B,$BC$2&amp;BG$2)</f>
        <v/>
      </c>
      <c r="BH11" s="203">
        <f>SUMIFS(領用表!$L:$L,領用表!$A:$A,BH$2,領用表!$E:$E,B11)</f>
        <v/>
      </c>
      <c r="BI11" s="206">
        <f>SUMIFS(領用表!$L:$L,領用表!$E:$E,$B11,領用表!$B:$B,BH$2&amp;BI$2)</f>
        <v/>
      </c>
      <c r="BJ11" s="206">
        <f>SUMIFS(領用表!$L:$L,領用表!$E:$E,$B11,領用表!$B:$B,$BH$2&amp;BJ$2)</f>
        <v/>
      </c>
      <c r="BK11" s="206">
        <f>SUMIFS(領用表!$L:$L,領用表!$E:$E,$B11,領用表!$B:$B,$BH$2&amp;BK$2)</f>
        <v/>
      </c>
      <c r="BL11" s="206">
        <f>SUMIFS(領用表!$L:$L,領用表!$E:$E,$B11,領用表!$B:$B,$BH$2&amp;BL$2)</f>
        <v/>
      </c>
      <c r="BM11" s="203">
        <f>SUMIFS(領用表!$L:$L,領用表!$A:$A,BM$2,領用表!$E:$E,B11)</f>
        <v/>
      </c>
      <c r="BN11" s="206">
        <f>SUMIFS(領用表!$L:$L,領用表!$E:$E,$B11,領用表!$B:$B,BM$2&amp;BN$2)</f>
        <v/>
      </c>
      <c r="BO11" s="206">
        <f>SUMIFS(領用表!$L:$L,領用表!$E:$E,$B11,領用表!$B:$B,$BM$2&amp;BO$2)</f>
        <v/>
      </c>
      <c r="BP11" s="206">
        <f>SUMIFS(領用表!$L:$L,領用表!$E:$E,$B11,領用表!$B:$B,$BM$2&amp;BP$2)</f>
        <v/>
      </c>
      <c r="BQ11" s="206">
        <f>SUMIFS(領用表!$L:$L,領用表!$E:$E,$B11,領用表!$B:$B,$BM$2&amp;BQ$2)</f>
        <v/>
      </c>
      <c r="BR11" s="203">
        <f>SUMIFS(領用表!$L:$L,領用表!$A:$A,BR$2,領用表!$E:$E,B11)</f>
        <v/>
      </c>
      <c r="BS11" s="206">
        <f>SUMIFS(領用表!$L:$L,領用表!$E:$E,$B11,領用表!$B:$B,BR$2&amp;BS$2)</f>
        <v/>
      </c>
      <c r="BT11" s="206">
        <f>SUMIFS(領用表!$L:$L,領用表!$E:$E,$B11,領用表!$B:$B,$BR$2&amp;BT$2)</f>
        <v/>
      </c>
      <c r="BU11" s="206">
        <f>SUMIFS(領用表!$L:$L,領用表!$E:$E,$B11,領用表!$B:$B,$BR$2&amp;BU$2)</f>
        <v/>
      </c>
      <c r="BV11" s="206">
        <f>SUMIFS(領用表!$L:$L,領用表!$E:$E,$B11,領用表!$B:$B,$BR$2&amp;BV$2)</f>
        <v/>
      </c>
      <c r="BW11" s="208">
        <f>SUMIFS(領用表!$L:$L,領用表!$A:$A,BW$2,領用表!$E:$E,B11)</f>
        <v/>
      </c>
      <c r="BX11" s="216">
        <f>SUMIFS(領用表!$L:$L,領用表!$E:$E,$B11,領用表!$B:$B,BW$2&amp;BX$2)</f>
        <v/>
      </c>
      <c r="BY11" s="216">
        <f>SUMIFS(領用表!$L:$L,領用表!$E:$E,$B11,領用表!$B:$B,$BW$2&amp;BY$2)</f>
        <v/>
      </c>
      <c r="BZ11" s="216">
        <f>SUMIFS(領用表!$L:$L,領用表!$E:$E,$B11,領用表!$B:$B,$BW$2&amp;BZ$2)</f>
        <v/>
      </c>
      <c r="CA11" s="216">
        <f>SUMIFS(領用表!$L:$L,領用表!$E:$E,$B11,領用表!$B:$B,$BW$2&amp;CA$2)</f>
        <v/>
      </c>
      <c r="CB11" s="208">
        <f>SUMIFS(領用表!$L:$L,領用表!$A:$A,CB$2,領用表!$E:$E,B11)</f>
        <v/>
      </c>
      <c r="CC11" s="216">
        <f>SUMIFS(領用表!$L:$L,領用表!$E:$E,$B11,領用表!$B:$B,CB$2&amp;CC$2)</f>
        <v/>
      </c>
      <c r="CD11" s="216">
        <f>SUMIFS(領用表!$L:$L,領用表!$E:$E,$B11,領用表!$B:$B,$CB$2&amp;CD$2)</f>
        <v/>
      </c>
      <c r="CE11" s="216">
        <f>SUMIFS(領用表!$L:$L,領用表!$E:$E,$B11,領用表!$B:$B,$CB$2&amp;CE$2)</f>
        <v/>
      </c>
      <c r="CF11" s="216">
        <f>SUMIFS(領用表!$L:$L,領用表!$E:$E,$B11,領用表!$B:$B,$CB$2&amp;CF$2)</f>
        <v/>
      </c>
      <c r="CG11" s="217">
        <f>SUMIFS(領用表!$L:$L,領用表!$A:$A,CG$2,領用表!$E:$E,B11)</f>
        <v/>
      </c>
      <c r="CH11" s="216">
        <f>SUMIFS(領用表!$L:$L,領用表!$E:$E,$B11,領用表!$B:$B,CG$2&amp;CH$2)</f>
        <v/>
      </c>
      <c r="CI11" s="216">
        <f>SUMIFS(領用表!$L:$L,領用表!$E:$E,$B11,領用表!$B:$B,CG$2&amp;CI$2)</f>
        <v/>
      </c>
      <c r="CJ11" s="216">
        <f>SUMIFS(領用表!$L:$L,領用表!$E:$E,$B11,領用表!$B:$B,CG$2&amp;CJ$2)</f>
        <v/>
      </c>
      <c r="CK11" s="216">
        <f>SUMIFS(領用表!$L:$L,領用表!$E:$E,$B11,領用表!$B:$B,$CG$2&amp;CK$2)</f>
        <v/>
      </c>
      <c r="CL11" s="207">
        <f>SUM(AX11,AY11,AZ11,BA11,BB11,BC11,BH11,BM11,BR11,BW11,CB11,CG11)</f>
        <v/>
      </c>
      <c r="CM11" s="207">
        <f>AVERAGE(AX11,AY11,AZ11,BA11,BB11,BC11,BH11,BM11,BR11,BW11,CB11,CG11)</f>
        <v/>
      </c>
      <c r="CN11" s="217">
        <f>SUMIFS(領用表!$L:$L,領用表!$A:$A,CN$2,領用表!$E:$E,B11)</f>
        <v/>
      </c>
      <c r="CO11" s="216">
        <f>SUMIFS(領用表!$L:$L,領用表!$E:$E,$B11,領用表!$B:$B,CN$2&amp;CO$2)</f>
        <v/>
      </c>
      <c r="CP11" s="216">
        <f>SUMIFS(領用表!$L:$L,領用表!$E:$E,$B11,領用表!$B:$B,$CN$2&amp;CP$2)</f>
        <v/>
      </c>
      <c r="CQ11" s="216">
        <f>SUMIFS(領用表!$L:$L,領用表!$E:$E,$B11,領用表!$B:$B,$CN$2&amp;CQ$2)</f>
        <v/>
      </c>
      <c r="CR11" s="216">
        <f>SUMIFS(領用表!$L:$L,領用表!$E:$E,$B11,領用表!$B:$B,$CN$2&amp;CR$2)</f>
        <v/>
      </c>
      <c r="CS11" s="208">
        <f>SUMIFS(領用表!$L:$L,領用表!$A:$A,CS$2,領用表!$E:$E,B11)</f>
        <v/>
      </c>
      <c r="CT11" s="216">
        <f>SUMIFS(領用表!$L:$L,領用表!$E:$E,$B11,領用表!$B:$B,CS$2&amp;CT$2)</f>
        <v/>
      </c>
      <c r="CU11" s="216">
        <f>SUMIFS(領用表!$L:$L,領用表!$E:$E,$B11,領用表!$B:$B,$CS$2&amp;CU$2)</f>
        <v/>
      </c>
      <c r="CV11" s="216">
        <f>SUMIFS(領用表!$L:$L,領用表!$E:$E,$B11,領用表!$B:$B,$CS$2&amp;CV$2)</f>
        <v/>
      </c>
      <c r="CW11" s="216">
        <f>SUMIFS(領用表!$L:$L,領用表!$E:$E,$B11,領用表!$B:$B,$CS$2&amp;CW$2)</f>
        <v/>
      </c>
      <c r="CX11" s="216">
        <f>SUMIFS(領用表!$L:$L,領用表!$E:$E,$B11,領用表!$B:$B,$CS$2&amp;CX$2)</f>
        <v/>
      </c>
      <c r="CY11" s="208">
        <f>SUMIFS(領用表!$L:$L,領用表!$A:$A,CY$2,領用表!$E:$E,B11)</f>
        <v/>
      </c>
      <c r="CZ11" s="216">
        <f>SUMIFS(領用表!$L:$L,領用表!$E:$E,$B11,領用表!$B:$B,CY$2&amp;CZ$2)</f>
        <v/>
      </c>
      <c r="DA11" s="216">
        <f>SUMIFS(領用表!$L:$L,領用表!$E:$E,$B11,領用表!$B:$B,$CY$2&amp;DA$2)</f>
        <v/>
      </c>
      <c r="DB11" s="216">
        <f>SUMIFS(領用表!$L:$L,領用表!$E:$E,$B11,領用表!$B:$B,$CY$2&amp;DB$2)</f>
        <v/>
      </c>
      <c r="DC11" s="216">
        <f>SUMIFS(領用表!$L:$L,領用表!$E:$E,$B11,領用表!$B:$B,$CY$2&amp;DC$2)</f>
        <v/>
      </c>
      <c r="DD11" s="216">
        <f>SUMIFS(領用表!$L:$L,領用表!$E:$E,$B11,領用表!$B:$B,$CY$2&amp;DD$2)</f>
        <v/>
      </c>
      <c r="DE11" s="208">
        <f>SUMIFS(領用表!$L:$L,領用表!$A:$A,DE$2,領用表!$E:$E,B11)</f>
        <v/>
      </c>
      <c r="DF11" s="216">
        <f>SUMIFS(領用表!$L:$L,領用表!$E:$E,$B11,領用表!$B:$B,DE$2&amp;DF$2)</f>
        <v/>
      </c>
      <c r="DG11" s="216">
        <f>SUMIFS(領用表!$L:$L,領用表!$E:$E,$B11,領用表!$B:$B,$DE$2&amp;DG$2)</f>
        <v/>
      </c>
      <c r="DH11" s="216">
        <f>SUMIFS(領用表!$L:$L,領用表!$E:$E,$B11,領用表!$B:$B,$DE$2&amp;DH$2)</f>
        <v/>
      </c>
      <c r="DI11" s="216">
        <f>SUMIFS(領用表!$L:$L,領用表!$E:$E,$B11,領用表!$B:$B,$DE$2&amp;DI$2)</f>
        <v/>
      </c>
      <c r="DJ11" s="216">
        <f>SUMIFS(領用表!$L:$L,領用表!$E:$E,$B11,領用表!$B:$B,$DE$2&amp;DJ$2)</f>
        <v/>
      </c>
      <c r="DK11" s="208">
        <f>SUMIFS(領用表!$L:$L,領用表!$A:$A,DK$2,領用表!$E:$E,$B11)</f>
        <v/>
      </c>
      <c r="DL11" s="216">
        <f>SUMIFS(領用表!$L:$L,領用表!$E:$E,$B11,領用表!$B:$B,DK$2&amp;DL$2)</f>
        <v/>
      </c>
      <c r="DM11" s="216">
        <f>SUMIFS(領用表!$L:$L,領用表!$E:$E,$B11,領用表!$B:$B,$DK$2&amp;DM$2)</f>
        <v/>
      </c>
      <c r="DN11" s="216">
        <f>SUMIFS(領用表!$L:$L,領用表!$E:$E,$B11,領用表!$B:$B,$DK$2&amp;DN$2)</f>
        <v/>
      </c>
      <c r="DO11" s="216">
        <f>SUMIFS(領用表!$L:$L,領用表!$E:$E,$B11,領用表!$B:$B,$DK$2&amp;DO$2)</f>
        <v/>
      </c>
      <c r="DP11" s="216">
        <f>SUMIFS(領用表!$L:$L,領用表!$E:$E,$B11,領用表!$B:$B,$DK$2&amp;DP$2)</f>
        <v/>
      </c>
      <c r="DQ11" s="208" t="n"/>
      <c r="DR11" s="216" t="n"/>
      <c r="DS11" s="216" t="n"/>
      <c r="DT11" s="216" t="n"/>
      <c r="DU11" s="216" t="n"/>
      <c r="DV11" s="216" t="n"/>
      <c r="DW11" s="216">
        <f>SUM(CN11,CS11,CY11,DE11,DK11,DQ11)</f>
        <v/>
      </c>
      <c r="DX11" s="216">
        <f>AVERAGEA(CN11,CS11,CY11,DE11,DK11,DQ11)</f>
        <v/>
      </c>
      <c r="DY11" s="216">
        <f>SUM(DZ11:EC11)</f>
        <v/>
      </c>
      <c r="DZ11" s="216" t="n">
        <v>1</v>
      </c>
      <c r="EA11" s="216" t="n">
        <v>0</v>
      </c>
      <c r="EB11" s="216" t="n">
        <v>1</v>
      </c>
      <c r="EC11" s="216" t="n">
        <v>0</v>
      </c>
      <c r="ED11" s="215" t="n">
        <v>1</v>
      </c>
      <c r="EE11" s="224" t="n"/>
      <c r="EF11" s="211" t="n"/>
      <c r="EG11" s="211" t="n"/>
      <c r="EH11" s="136" t="n"/>
      <c r="EI11" s="212" t="n"/>
      <c r="EJ11" s="118">
        <f>IFERROR(VLOOKUP(A11,站前4樓!A:BF,57,0),0)</f>
        <v/>
      </c>
      <c r="EK11" s="213">
        <f>IFERROR(VLOOKUP(A11,站前11樓!A:BE,57,0),0)</f>
        <v/>
      </c>
      <c r="EL11" s="118">
        <f>IFERROR(VLOOKUP(A11,忠孝7樓!A:N,57,0),0)</f>
        <v/>
      </c>
      <c r="EM11" s="118">
        <f>IFERROR(VLOOKUP(A11,忠孝國際醫學3樓!A:L,57,0),0)</f>
        <v/>
      </c>
      <c r="EN11" s="118">
        <f>SUM(ED11:EG11)</f>
        <v/>
      </c>
      <c r="EP11" s="118" t="n">
        <v>6</v>
      </c>
      <c r="EQ11" s="118" t="n">
        <v>4</v>
      </c>
    </row>
    <row r="12" ht="15.75" customFormat="1" customHeight="1" s="118">
      <c r="A12" s="136" t="inlineStr">
        <is>
          <t>MP1MA010012A</t>
        </is>
      </c>
      <c r="B12" s="118" t="n">
        <v>6180005</v>
      </c>
      <c r="C12" s="118" t="inlineStr">
        <is>
          <t>MINT秘特拉提線FINE 18CM(1支)</t>
        </is>
      </c>
      <c r="D12" s="197" t="n">
        <v>20</v>
      </c>
      <c r="E12" s="198" t="inlineStr">
        <is>
          <t>PCS</t>
        </is>
      </c>
      <c r="F12" s="199">
        <f>SUMIF(站前4樓!B:B,B12,站前4樓!F:F)</f>
        <v/>
      </c>
      <c r="G12" s="199">
        <f>SUMIF(站前11樓!B:B,B12,站前11樓!F:F)</f>
        <v/>
      </c>
      <c r="H12" s="199">
        <f>SUMIF(忠孝7樓!B:B,B12,忠孝7樓!G:G)</f>
        <v/>
      </c>
      <c r="I12" s="199">
        <f>SUMIF(忠孝國際醫學3樓!B:B,B12,忠孝國際醫學3樓!G:G)</f>
        <v/>
      </c>
      <c r="J12" s="199">
        <f>SUMIF(忠孝健康7樓!B:B,B12,忠孝健康7樓!G:G)</f>
        <v/>
      </c>
      <c r="K12" s="200" t="n">
        <v>0</v>
      </c>
      <c r="L12" s="200" t="n">
        <v>0</v>
      </c>
      <c r="M12" s="200" t="n">
        <v>0</v>
      </c>
      <c r="N12" s="200" t="n">
        <v>0</v>
      </c>
      <c r="O12" s="200" t="n">
        <v>0</v>
      </c>
      <c r="P12" s="200" t="n">
        <v>0</v>
      </c>
      <c r="Q12" s="200" t="n">
        <v>0</v>
      </c>
      <c r="R12" s="200" t="n">
        <v>0</v>
      </c>
      <c r="S12" s="200" t="n">
        <v>0</v>
      </c>
      <c r="T12" s="200" t="n">
        <v>0</v>
      </c>
      <c r="U12" s="200" t="n">
        <v>0</v>
      </c>
      <c r="V12" s="200" t="n">
        <v>0</v>
      </c>
      <c r="W12" s="200" t="n">
        <v>0</v>
      </c>
      <c r="X12" s="200" t="n">
        <v>0</v>
      </c>
      <c r="Y12" s="200" t="n">
        <v>0</v>
      </c>
      <c r="Z12" s="200" t="n">
        <v>0</v>
      </c>
      <c r="AA12" s="200" t="n">
        <v>0</v>
      </c>
      <c r="AB12" s="200" t="n">
        <v>0</v>
      </c>
      <c r="AC12" s="200" t="n">
        <v>0</v>
      </c>
      <c r="AD12" s="200" t="n">
        <v>0</v>
      </c>
      <c r="AE12" s="200" t="n">
        <v>0</v>
      </c>
      <c r="AF12" s="200" t="n">
        <v>0</v>
      </c>
      <c r="AG12" s="200" t="n">
        <v>0</v>
      </c>
      <c r="AH12" s="200" t="n">
        <v>0</v>
      </c>
      <c r="AI12" s="200" t="n">
        <v>32</v>
      </c>
      <c r="AJ12" s="201" t="n">
        <v>1.2</v>
      </c>
      <c r="AK12" s="201" t="n">
        <v>2.2</v>
      </c>
      <c r="AL12" s="201" t="n">
        <v>2.2</v>
      </c>
      <c r="AM12" s="201" t="n">
        <v>1.6</v>
      </c>
      <c r="AN12" s="201" t="n">
        <v>3.4</v>
      </c>
      <c r="AO12" s="201" t="n">
        <v>2.2</v>
      </c>
      <c r="AP12" s="201" t="n">
        <v>0.4</v>
      </c>
      <c r="AQ12" s="201" t="n">
        <v>0.6</v>
      </c>
      <c r="AR12" s="201" t="n">
        <v>0.4</v>
      </c>
      <c r="AS12" s="201" t="n">
        <v>0.2</v>
      </c>
      <c r="AT12" s="512" t="n">
        <v>0.4</v>
      </c>
      <c r="AU12" s="203" t="n">
        <v>28</v>
      </c>
      <c r="AV12" s="204">
        <f>SUM(AJ12:AU12)</f>
        <v/>
      </c>
      <c r="AW12" s="513">
        <f>AV12/12</f>
        <v/>
      </c>
      <c r="AX12" s="203" t="n">
        <v>0</v>
      </c>
      <c r="AY12" s="203" t="n">
        <v>8</v>
      </c>
      <c r="AZ12" s="203" t="n">
        <v>0</v>
      </c>
      <c r="BA12" s="203" t="n">
        <v>0</v>
      </c>
      <c r="BB12" s="203" t="n">
        <v>0</v>
      </c>
      <c r="BC12" s="203">
        <f>SUMIFS(領用表!$L:$L,領用表!$A:$A,BC$2,領用表!$E:$E,B12)</f>
        <v/>
      </c>
      <c r="BD12" s="206">
        <f>SUMIFS(領用表!$L:$L,領用表!$E:$E,$B12,領用表!$B:$B,BC$2&amp;BD$2)</f>
        <v/>
      </c>
      <c r="BE12" s="206">
        <f>SUMIFS(領用表!$L:$L,領用表!$E:$E,$B12,領用表!$B:$B,$BC$2&amp;BE$2)</f>
        <v/>
      </c>
      <c r="BF12" s="206">
        <f>SUMIFS(領用表!$L:$L,領用表!$E:$E,$B12,領用表!$B:$B,$BC$2&amp;BF$2)</f>
        <v/>
      </c>
      <c r="BG12" s="206">
        <f>SUMIFS(領用表!$L:$L,領用表!$E:$E,$B12,領用表!$B:$B,$BC$2&amp;BG$2)</f>
        <v/>
      </c>
      <c r="BH12" s="203">
        <f>SUMIFS(領用表!$L:$L,領用表!$A:$A,BH$2,領用表!$E:$E,B12)</f>
        <v/>
      </c>
      <c r="BI12" s="206">
        <f>SUMIFS(領用表!$L:$L,領用表!$E:$E,$B12,領用表!$B:$B,BH$2&amp;BI$2)</f>
        <v/>
      </c>
      <c r="BJ12" s="206">
        <f>SUMIFS(領用表!$L:$L,領用表!$E:$E,$B12,領用表!$B:$B,$BH$2&amp;BJ$2)</f>
        <v/>
      </c>
      <c r="BK12" s="206">
        <f>SUMIFS(領用表!$L:$L,領用表!$E:$E,$B12,領用表!$B:$B,$BH$2&amp;BK$2)</f>
        <v/>
      </c>
      <c r="BL12" s="206">
        <f>SUMIFS(領用表!$L:$L,領用表!$E:$E,$B12,領用表!$B:$B,$BH$2&amp;BL$2)</f>
        <v/>
      </c>
      <c r="BM12" s="203">
        <f>SUMIFS(領用表!$L:$L,領用表!$A:$A,BM$2,領用表!$E:$E,B12)</f>
        <v/>
      </c>
      <c r="BN12" s="206">
        <f>SUMIFS(領用表!$L:$L,領用表!$E:$E,$B12,領用表!$B:$B,BM$2&amp;BN$2)</f>
        <v/>
      </c>
      <c r="BO12" s="206">
        <f>SUMIFS(領用表!$L:$L,領用表!$E:$E,$B12,領用表!$B:$B,$BM$2&amp;BO$2)</f>
        <v/>
      </c>
      <c r="BP12" s="206">
        <f>SUMIFS(領用表!$L:$L,領用表!$E:$E,$B12,領用表!$B:$B,$BM$2&amp;BP$2)</f>
        <v/>
      </c>
      <c r="BQ12" s="206">
        <f>SUMIFS(領用表!$L:$L,領用表!$E:$E,$B12,領用表!$B:$B,$BM$2&amp;BQ$2)</f>
        <v/>
      </c>
      <c r="BR12" s="203">
        <f>SUMIFS(領用表!$L:$L,領用表!$A:$A,BR$2,領用表!$E:$E,B12)</f>
        <v/>
      </c>
      <c r="BS12" s="206">
        <f>SUMIFS(領用表!$L:$L,領用表!$E:$E,$B12,領用表!$B:$B,BR$2&amp;BS$2)</f>
        <v/>
      </c>
      <c r="BT12" s="206">
        <f>SUMIFS(領用表!$L:$L,領用表!$E:$E,$B12,領用表!$B:$B,$BR$2&amp;BT$2)</f>
        <v/>
      </c>
      <c r="BU12" s="206">
        <f>SUMIFS(領用表!$L:$L,領用表!$E:$E,$B12,領用表!$B:$B,$BR$2&amp;BU$2)</f>
        <v/>
      </c>
      <c r="BV12" s="206">
        <f>SUMIFS(領用表!$L:$L,領用表!$E:$E,$B12,領用表!$B:$B,$BR$2&amp;BV$2)</f>
        <v/>
      </c>
      <c r="BW12" s="208">
        <f>SUMIFS(領用表!$L:$L,領用表!$A:$A,BW$2,領用表!$E:$E,B12)</f>
        <v/>
      </c>
      <c r="BX12" s="216">
        <f>SUMIFS(領用表!$L:$L,領用表!$E:$E,$B12,領用表!$B:$B,BW$2&amp;BX$2)</f>
        <v/>
      </c>
      <c r="BY12" s="216">
        <f>SUMIFS(領用表!$L:$L,領用表!$E:$E,$B12,領用表!$B:$B,$BW$2&amp;BY$2)</f>
        <v/>
      </c>
      <c r="BZ12" s="216">
        <f>SUMIFS(領用表!$L:$L,領用表!$E:$E,$B12,領用表!$B:$B,$BW$2&amp;BZ$2)</f>
        <v/>
      </c>
      <c r="CA12" s="216">
        <f>SUMIFS(領用表!$L:$L,領用表!$E:$E,$B12,領用表!$B:$B,$BW$2&amp;CA$2)</f>
        <v/>
      </c>
      <c r="CB12" s="208">
        <f>SUMIFS(領用表!$L:$L,領用表!$A:$A,CB$2,領用表!$E:$E,B12)</f>
        <v/>
      </c>
      <c r="CC12" s="216">
        <f>SUMIFS(領用表!$L:$L,領用表!$E:$E,$B12,領用表!$B:$B,CB$2&amp;CC$2)</f>
        <v/>
      </c>
      <c r="CD12" s="216">
        <f>SUMIFS(領用表!$L:$L,領用表!$E:$E,$B12,領用表!$B:$B,$CB$2&amp;CD$2)</f>
        <v/>
      </c>
      <c r="CE12" s="216">
        <f>SUMIFS(領用表!$L:$L,領用表!$E:$E,$B12,領用表!$B:$B,$CB$2&amp;CE$2)</f>
        <v/>
      </c>
      <c r="CF12" s="216">
        <f>SUMIFS(領用表!$L:$L,領用表!$E:$E,$B12,領用表!$B:$B,$CB$2&amp;CF$2)</f>
        <v/>
      </c>
      <c r="CG12" s="217">
        <f>SUMIFS(領用表!$L:$L,領用表!$A:$A,CG$2,領用表!$E:$E,B12)</f>
        <v/>
      </c>
      <c r="CH12" s="216">
        <f>SUMIFS(領用表!$L:$L,領用表!$E:$E,$B12,領用表!$B:$B,CG$2&amp;CH$2)</f>
        <v/>
      </c>
      <c r="CI12" s="216">
        <f>SUMIFS(領用表!$L:$L,領用表!$E:$E,$B12,領用表!$B:$B,CG$2&amp;CI$2)</f>
        <v/>
      </c>
      <c r="CJ12" s="216">
        <f>SUMIFS(領用表!$L:$L,領用表!$E:$E,$B12,領用表!$B:$B,CG$2&amp;CJ$2)</f>
        <v/>
      </c>
      <c r="CK12" s="216">
        <f>SUMIFS(領用表!$L:$L,領用表!$E:$E,$B12,領用表!$B:$B,$CG$2&amp;CK$2)</f>
        <v/>
      </c>
      <c r="CL12" s="207">
        <f>SUM(AX12,AY12,AZ12,BA12,BB12,BC12,BH12,BM12,BR12,BW12,CB12,CG12)</f>
        <v/>
      </c>
      <c r="CM12" s="207">
        <f>AVERAGE(AX12,AY12,AZ12,BA12,BB12,BC12,BH12,BM12,BR12,BW12,CB12,CG12)</f>
        <v/>
      </c>
      <c r="CN12" s="217">
        <f>SUMIFS(領用表!$L:$L,領用表!$A:$A,CN$2,領用表!$E:$E,B12)</f>
        <v/>
      </c>
      <c r="CO12" s="216">
        <f>SUMIFS(領用表!$L:$L,領用表!$E:$E,$B12,領用表!$B:$B,CN$2&amp;CO$2)</f>
        <v/>
      </c>
      <c r="CP12" s="216">
        <f>SUMIFS(領用表!$L:$L,領用表!$E:$E,$B12,領用表!$B:$B,$CN$2&amp;CP$2)</f>
        <v/>
      </c>
      <c r="CQ12" s="216">
        <f>SUMIFS(領用表!$L:$L,領用表!$E:$E,$B12,領用表!$B:$B,$CN$2&amp;CQ$2)</f>
        <v/>
      </c>
      <c r="CR12" s="216">
        <f>SUMIFS(領用表!$L:$L,領用表!$E:$E,$B12,領用表!$B:$B,$CN$2&amp;CR$2)</f>
        <v/>
      </c>
      <c r="CS12" s="208">
        <f>SUMIFS(領用表!$L:$L,領用表!$A:$A,CS$2,領用表!$E:$E,B12)</f>
        <v/>
      </c>
      <c r="CT12" s="216">
        <f>SUMIFS(領用表!$L:$L,領用表!$E:$E,$B12,領用表!$B:$B,CS$2&amp;CT$2)</f>
        <v/>
      </c>
      <c r="CU12" s="216">
        <f>SUMIFS(領用表!$L:$L,領用表!$E:$E,$B12,領用表!$B:$B,$CS$2&amp;CU$2)</f>
        <v/>
      </c>
      <c r="CV12" s="216">
        <f>SUMIFS(領用表!$L:$L,領用表!$E:$E,$B12,領用表!$B:$B,$CS$2&amp;CV$2)</f>
        <v/>
      </c>
      <c r="CW12" s="216">
        <f>SUMIFS(領用表!$L:$L,領用表!$E:$E,$B12,領用表!$B:$B,$CS$2&amp;CW$2)</f>
        <v/>
      </c>
      <c r="CX12" s="216">
        <f>SUMIFS(領用表!$L:$L,領用表!$E:$E,$B12,領用表!$B:$B,$CS$2&amp;CX$2)</f>
        <v/>
      </c>
      <c r="CY12" s="208">
        <f>SUMIFS(領用表!$L:$L,領用表!$A:$A,CY$2,領用表!$E:$E,B12)</f>
        <v/>
      </c>
      <c r="CZ12" s="216">
        <f>SUMIFS(領用表!$L:$L,領用表!$E:$E,$B12,領用表!$B:$B,CY$2&amp;CZ$2)</f>
        <v/>
      </c>
      <c r="DA12" s="216">
        <f>SUMIFS(領用表!$L:$L,領用表!$E:$E,$B12,領用表!$B:$B,$CY$2&amp;DA$2)</f>
        <v/>
      </c>
      <c r="DB12" s="216">
        <f>SUMIFS(領用表!$L:$L,領用表!$E:$E,$B12,領用表!$B:$B,$CY$2&amp;DB$2)</f>
        <v/>
      </c>
      <c r="DC12" s="216">
        <f>SUMIFS(領用表!$L:$L,領用表!$E:$E,$B12,領用表!$B:$B,$CY$2&amp;DC$2)</f>
        <v/>
      </c>
      <c r="DD12" s="216">
        <f>SUMIFS(領用表!$L:$L,領用表!$E:$E,$B12,領用表!$B:$B,$CY$2&amp;DD$2)</f>
        <v/>
      </c>
      <c r="DE12" s="208">
        <f>SUMIFS(領用表!$L:$L,領用表!$A:$A,DE$2,領用表!$E:$E,B12)</f>
        <v/>
      </c>
      <c r="DF12" s="216">
        <f>SUMIFS(領用表!$L:$L,領用表!$E:$E,$B12,領用表!$B:$B,DE$2&amp;DF$2)</f>
        <v/>
      </c>
      <c r="DG12" s="216">
        <f>SUMIFS(領用表!$L:$L,領用表!$E:$E,$B12,領用表!$B:$B,$DE$2&amp;DG$2)</f>
        <v/>
      </c>
      <c r="DH12" s="216">
        <f>SUMIFS(領用表!$L:$L,領用表!$E:$E,$B12,領用表!$B:$B,$DE$2&amp;DH$2)</f>
        <v/>
      </c>
      <c r="DI12" s="216">
        <f>SUMIFS(領用表!$L:$L,領用表!$E:$E,$B12,領用表!$B:$B,$DE$2&amp;DI$2)</f>
        <v/>
      </c>
      <c r="DJ12" s="216">
        <f>SUMIFS(領用表!$L:$L,領用表!$E:$E,$B12,領用表!$B:$B,$DE$2&amp;DJ$2)</f>
        <v/>
      </c>
      <c r="DK12" s="208">
        <f>SUMIFS(領用表!$L:$L,領用表!$A:$A,DK$2,領用表!$E:$E,$B12)</f>
        <v/>
      </c>
      <c r="DL12" s="216">
        <f>SUMIFS(領用表!$L:$L,領用表!$E:$E,$B12,領用表!$B:$B,DK$2&amp;DL$2)</f>
        <v/>
      </c>
      <c r="DM12" s="216">
        <f>SUMIFS(領用表!$L:$L,領用表!$E:$E,$B12,領用表!$B:$B,$DK$2&amp;DM$2)</f>
        <v/>
      </c>
      <c r="DN12" s="216">
        <f>SUMIFS(領用表!$L:$L,領用表!$E:$E,$B12,領用表!$B:$B,$DK$2&amp;DN$2)</f>
        <v/>
      </c>
      <c r="DO12" s="216">
        <f>SUMIFS(領用表!$L:$L,領用表!$E:$E,$B12,領用表!$B:$B,$DK$2&amp;DO$2)</f>
        <v/>
      </c>
      <c r="DP12" s="216">
        <f>SUMIFS(領用表!$L:$L,領用表!$E:$E,$B12,領用表!$B:$B,$DK$2&amp;DP$2)</f>
        <v/>
      </c>
      <c r="DQ12" s="208" t="n"/>
      <c r="DR12" s="216" t="n"/>
      <c r="DS12" s="216" t="n"/>
      <c r="DT12" s="216" t="n"/>
      <c r="DU12" s="216" t="n"/>
      <c r="DV12" s="216" t="n"/>
      <c r="DW12" s="216">
        <f>SUM(CN12,CS12,CY12,DE12,DK12,DQ12)</f>
        <v/>
      </c>
      <c r="DX12" s="216">
        <f>AVERAGEA(CN12,CS12,CY12,DE12,DK12,DQ12)</f>
        <v/>
      </c>
      <c r="DY12" s="216">
        <f>SUM(DZ12:EC12)</f>
        <v/>
      </c>
      <c r="DZ12" s="216" t="n">
        <v>4</v>
      </c>
      <c r="EA12" s="216" t="n">
        <v>0</v>
      </c>
      <c r="EB12" s="216" t="n">
        <v>10</v>
      </c>
      <c r="EC12" s="216" t="n">
        <v>0</v>
      </c>
      <c r="ED12" s="215" t="n">
        <v>20</v>
      </c>
      <c r="EE12" s="514" t="n"/>
      <c r="EF12" s="211" t="n"/>
      <c r="EG12" s="211" t="n"/>
      <c r="EH12" s="136" t="n"/>
      <c r="EI12" s="212" t="n"/>
      <c r="EJ12" s="118">
        <f>IFERROR(VLOOKUP(A12,站前4樓!A:BF,57,0),0)</f>
        <v/>
      </c>
      <c r="EK12" s="213">
        <f>IFERROR(VLOOKUP(A12,站前11樓!A:BE,57,0),0)</f>
        <v/>
      </c>
      <c r="EL12" s="118">
        <f>IFERROR(VLOOKUP(A12,忠孝7樓!A:N,57,0),0)</f>
        <v/>
      </c>
      <c r="EM12" s="118">
        <f>IFERROR(VLOOKUP(A12,忠孝國際醫學3樓!A:L,57,0),0)</f>
        <v/>
      </c>
      <c r="EN12" s="118">
        <f>SUM(ED12:EG12)</f>
        <v/>
      </c>
      <c r="EP12" s="118" t="n">
        <v>48</v>
      </c>
      <c r="EQ12" s="118" t="n">
        <v>8</v>
      </c>
    </row>
    <row r="13" ht="15.75" customFormat="1" customHeight="1" s="118">
      <c r="A13" s="136" t="inlineStr">
        <is>
          <t>MP1MA010013A</t>
        </is>
      </c>
      <c r="B13" s="118" t="n">
        <v>6180013</v>
      </c>
      <c r="C13" s="118" t="inlineStr">
        <is>
          <t>MINT秘特拉提線FIX 18CM(1支)</t>
        </is>
      </c>
      <c r="D13" s="197" t="n">
        <v>20</v>
      </c>
      <c r="E13" s="198" t="inlineStr">
        <is>
          <t>PCS</t>
        </is>
      </c>
      <c r="F13" s="199">
        <f>SUMIF(站前4樓!B:B,B13,站前4樓!F:F)</f>
        <v/>
      </c>
      <c r="G13" s="199">
        <f>SUMIF(站前11樓!B:B,B13,站前11樓!F:F)</f>
        <v/>
      </c>
      <c r="H13" s="199">
        <f>SUMIF(忠孝7樓!B:B,B13,忠孝7樓!G:G)</f>
        <v/>
      </c>
      <c r="I13" s="199">
        <f>SUMIF(忠孝國際醫學3樓!B:B,B13,忠孝國際醫學3樓!G:G)</f>
        <v/>
      </c>
      <c r="J13" s="199">
        <f>SUMIF(忠孝健康7樓!B:B,B13,忠孝健康7樓!G:G)</f>
        <v/>
      </c>
      <c r="K13" s="200" t="n">
        <v>0</v>
      </c>
      <c r="L13" s="200" t="n">
        <v>0</v>
      </c>
      <c r="M13" s="200" t="n">
        <v>0</v>
      </c>
      <c r="N13" s="200" t="n">
        <v>0</v>
      </c>
      <c r="O13" s="200" t="n">
        <v>0</v>
      </c>
      <c r="P13" s="200" t="n">
        <v>0</v>
      </c>
      <c r="Q13" s="200" t="n">
        <v>0</v>
      </c>
      <c r="R13" s="200" t="n">
        <v>0</v>
      </c>
      <c r="S13" s="200" t="n">
        <v>0</v>
      </c>
      <c r="T13" s="200" t="n">
        <v>0</v>
      </c>
      <c r="U13" s="200" t="n">
        <v>0</v>
      </c>
      <c r="V13" s="200" t="n">
        <v>0</v>
      </c>
      <c r="W13" s="200" t="n">
        <v>0</v>
      </c>
      <c r="X13" s="200" t="n">
        <v>0</v>
      </c>
      <c r="Y13" s="200" t="n">
        <v>0</v>
      </c>
      <c r="Z13" s="200" t="n">
        <v>0</v>
      </c>
      <c r="AA13" s="200" t="n">
        <v>0</v>
      </c>
      <c r="AB13" s="200" t="n">
        <v>0</v>
      </c>
      <c r="AC13" s="200" t="n">
        <v>0</v>
      </c>
      <c r="AD13" s="200" t="n">
        <v>0</v>
      </c>
      <c r="AE13" s="200" t="n">
        <v>0</v>
      </c>
      <c r="AF13" s="200" t="n">
        <v>0</v>
      </c>
      <c r="AG13" s="200" t="n">
        <v>0</v>
      </c>
      <c r="AH13" s="200" t="n">
        <v>0</v>
      </c>
      <c r="AI13" s="200" t="n">
        <v>0</v>
      </c>
      <c r="AJ13" s="201" t="n">
        <v>0</v>
      </c>
      <c r="AK13" s="201" t="n">
        <v>0</v>
      </c>
      <c r="AL13" s="201" t="n">
        <v>0</v>
      </c>
      <c r="AM13" s="201" t="n">
        <v>0.4</v>
      </c>
      <c r="AN13" s="201" t="n">
        <v>0</v>
      </c>
      <c r="AO13" s="201" t="n">
        <v>0.4</v>
      </c>
      <c r="AP13" s="201" t="n">
        <v>0.2</v>
      </c>
      <c r="AQ13" s="201" t="n">
        <v>0.8</v>
      </c>
      <c r="AR13" s="201" t="n">
        <v>0.2</v>
      </c>
      <c r="AS13" s="201" t="n">
        <v>0.6</v>
      </c>
      <c r="AT13" s="512" t="n">
        <v>0</v>
      </c>
      <c r="AU13" s="203" t="n">
        <v>0</v>
      </c>
      <c r="AV13" s="204">
        <f>SUM(AJ13:AU13)</f>
        <v/>
      </c>
      <c r="AW13" s="513">
        <f>AV13/12</f>
        <v/>
      </c>
      <c r="AX13" s="203" t="n">
        <v>23</v>
      </c>
      <c r="AY13" s="203" t="n">
        <v>0</v>
      </c>
      <c r="AZ13" s="203" t="n">
        <v>0</v>
      </c>
      <c r="BA13" s="203" t="n">
        <v>0</v>
      </c>
      <c r="BB13" s="203" t="n">
        <v>8</v>
      </c>
      <c r="BC13" s="203">
        <f>SUMIFS(領用表!$L:$L,領用表!$A:$A,BC$2,領用表!$E:$E,B13)</f>
        <v/>
      </c>
      <c r="BD13" s="206">
        <f>SUMIFS(領用表!$L:$L,領用表!$E:$E,$B13,領用表!$B:$B,BC$2&amp;BD$2)</f>
        <v/>
      </c>
      <c r="BE13" s="206">
        <f>SUMIFS(領用表!$L:$L,領用表!$E:$E,$B13,領用表!$B:$B,$BC$2&amp;BE$2)</f>
        <v/>
      </c>
      <c r="BF13" s="206">
        <f>SUMIFS(領用表!$L:$L,領用表!$E:$E,$B13,領用表!$B:$B,$BC$2&amp;BF$2)</f>
        <v/>
      </c>
      <c r="BG13" s="206">
        <f>SUMIFS(領用表!$L:$L,領用表!$E:$E,$B13,領用表!$B:$B,$BC$2&amp;BG$2)</f>
        <v/>
      </c>
      <c r="BH13" s="203">
        <f>SUMIFS(領用表!$L:$L,領用表!$A:$A,BH$2,領用表!$E:$E,B13)</f>
        <v/>
      </c>
      <c r="BI13" s="206">
        <f>SUMIFS(領用表!$L:$L,領用表!$E:$E,$B13,領用表!$B:$B,BH$2&amp;BI$2)</f>
        <v/>
      </c>
      <c r="BJ13" s="206">
        <f>SUMIFS(領用表!$L:$L,領用表!$E:$E,$B13,領用表!$B:$B,$BH$2&amp;BJ$2)</f>
        <v/>
      </c>
      <c r="BK13" s="206">
        <f>SUMIFS(領用表!$L:$L,領用表!$E:$E,$B13,領用表!$B:$B,$BH$2&amp;BK$2)</f>
        <v/>
      </c>
      <c r="BL13" s="206">
        <f>SUMIFS(領用表!$L:$L,領用表!$E:$E,$B13,領用表!$B:$B,$BH$2&amp;BL$2)</f>
        <v/>
      </c>
      <c r="BM13" s="203">
        <f>SUMIFS(領用表!$L:$L,領用表!$A:$A,BM$2,領用表!$E:$E,B13)</f>
        <v/>
      </c>
      <c r="BN13" s="206">
        <f>SUMIFS(領用表!$L:$L,領用表!$E:$E,$B13,領用表!$B:$B,BM$2&amp;BN$2)</f>
        <v/>
      </c>
      <c r="BO13" s="206">
        <f>SUMIFS(領用表!$L:$L,領用表!$E:$E,$B13,領用表!$B:$B,$BM$2&amp;BO$2)</f>
        <v/>
      </c>
      <c r="BP13" s="206">
        <f>SUMIFS(領用表!$L:$L,領用表!$E:$E,$B13,領用表!$B:$B,$BM$2&amp;BP$2)</f>
        <v/>
      </c>
      <c r="BQ13" s="206">
        <f>SUMIFS(領用表!$L:$L,領用表!$E:$E,$B13,領用表!$B:$B,$BM$2&amp;BQ$2)</f>
        <v/>
      </c>
      <c r="BR13" s="203">
        <f>SUMIFS(領用表!$L:$L,領用表!$A:$A,BR$2,領用表!$E:$E,B13)</f>
        <v/>
      </c>
      <c r="BS13" s="206">
        <f>SUMIFS(領用表!$L:$L,領用表!$E:$E,$B13,領用表!$B:$B,BR$2&amp;BS$2)</f>
        <v/>
      </c>
      <c r="BT13" s="206">
        <f>SUMIFS(領用表!$L:$L,領用表!$E:$E,$B13,領用表!$B:$B,$BR$2&amp;BT$2)</f>
        <v/>
      </c>
      <c r="BU13" s="206">
        <f>SUMIFS(領用表!$L:$L,領用表!$E:$E,$B13,領用表!$B:$B,$BR$2&amp;BU$2)</f>
        <v/>
      </c>
      <c r="BV13" s="206">
        <f>SUMIFS(領用表!$L:$L,領用表!$E:$E,$B13,領用表!$B:$B,$BR$2&amp;BV$2)</f>
        <v/>
      </c>
      <c r="BW13" s="208">
        <f>SUMIFS(領用表!$L:$L,領用表!$A:$A,BW$2,領用表!$E:$E,B13)</f>
        <v/>
      </c>
      <c r="BX13" s="216">
        <f>SUMIFS(領用表!$L:$L,領用表!$E:$E,$B13,領用表!$B:$B,BW$2&amp;BX$2)</f>
        <v/>
      </c>
      <c r="BY13" s="216">
        <f>SUMIFS(領用表!$L:$L,領用表!$E:$E,$B13,領用表!$B:$B,$BW$2&amp;BY$2)</f>
        <v/>
      </c>
      <c r="BZ13" s="216">
        <f>SUMIFS(領用表!$L:$L,領用表!$E:$E,$B13,領用表!$B:$B,$BW$2&amp;BZ$2)</f>
        <v/>
      </c>
      <c r="CA13" s="216">
        <f>SUMIFS(領用表!$L:$L,領用表!$E:$E,$B13,領用表!$B:$B,$BW$2&amp;CA$2)</f>
        <v/>
      </c>
      <c r="CB13" s="208">
        <f>SUMIFS(領用表!$L:$L,領用表!$A:$A,CB$2,領用表!$E:$E,B13)</f>
        <v/>
      </c>
      <c r="CC13" s="216">
        <f>SUMIFS(領用表!$L:$L,領用表!$E:$E,$B13,領用表!$B:$B,CB$2&amp;CC$2)</f>
        <v/>
      </c>
      <c r="CD13" s="216">
        <f>SUMIFS(領用表!$L:$L,領用表!$E:$E,$B13,領用表!$B:$B,$CB$2&amp;CD$2)</f>
        <v/>
      </c>
      <c r="CE13" s="216">
        <f>SUMIFS(領用表!$L:$L,領用表!$E:$E,$B13,領用表!$B:$B,$CB$2&amp;CE$2)</f>
        <v/>
      </c>
      <c r="CF13" s="216">
        <f>SUMIFS(領用表!$L:$L,領用表!$E:$E,$B13,領用表!$B:$B,$CB$2&amp;CF$2)</f>
        <v/>
      </c>
      <c r="CG13" s="217">
        <f>SUMIFS(領用表!$L:$L,領用表!$A:$A,CG$2,領用表!$E:$E,B13)</f>
        <v/>
      </c>
      <c r="CH13" s="216">
        <f>SUMIFS(領用表!$L:$L,領用表!$E:$E,$B13,領用表!$B:$B,CG$2&amp;CH$2)</f>
        <v/>
      </c>
      <c r="CI13" s="216">
        <f>SUMIFS(領用表!$L:$L,領用表!$E:$E,$B13,領用表!$B:$B,CG$2&amp;CI$2)</f>
        <v/>
      </c>
      <c r="CJ13" s="216">
        <f>SUMIFS(領用表!$L:$L,領用表!$E:$E,$B13,領用表!$B:$B,CG$2&amp;CJ$2)</f>
        <v/>
      </c>
      <c r="CK13" s="216">
        <f>SUMIFS(領用表!$L:$L,領用表!$E:$E,$B13,領用表!$B:$B,$CG$2&amp;CK$2)</f>
        <v/>
      </c>
      <c r="CL13" s="207">
        <f>SUM(AX13,AY13,AZ13,BA13,BB13,BC13,BH13,BM13,BR13,BW13,CB13,CG13)</f>
        <v/>
      </c>
      <c r="CM13" s="207">
        <f>AVERAGE(AX13,AY13,AZ13,BA13,BB13,BC13,BH13,BM13,BR13,BW13,CB13,CG13)</f>
        <v/>
      </c>
      <c r="CN13" s="217">
        <f>SUMIFS(領用表!$L:$L,領用表!$A:$A,CN$2,領用表!$E:$E,B13)</f>
        <v/>
      </c>
      <c r="CO13" s="216">
        <f>SUMIFS(領用表!$L:$L,領用表!$E:$E,$B13,領用表!$B:$B,CN$2&amp;CO$2)</f>
        <v/>
      </c>
      <c r="CP13" s="216">
        <f>SUMIFS(領用表!$L:$L,領用表!$E:$E,$B13,領用表!$B:$B,$CN$2&amp;CP$2)</f>
        <v/>
      </c>
      <c r="CQ13" s="216">
        <f>SUMIFS(領用表!$L:$L,領用表!$E:$E,$B13,領用表!$B:$B,$CN$2&amp;CQ$2)</f>
        <v/>
      </c>
      <c r="CR13" s="216">
        <f>SUMIFS(領用表!$L:$L,領用表!$E:$E,$B13,領用表!$B:$B,$CN$2&amp;CR$2)</f>
        <v/>
      </c>
      <c r="CS13" s="208">
        <f>SUMIFS(領用表!$L:$L,領用表!$A:$A,CS$2,領用表!$E:$E,B13)</f>
        <v/>
      </c>
      <c r="CT13" s="216">
        <f>SUMIFS(領用表!$L:$L,領用表!$E:$E,$B13,領用表!$B:$B,CS$2&amp;CT$2)</f>
        <v/>
      </c>
      <c r="CU13" s="216">
        <f>SUMIFS(領用表!$L:$L,領用表!$E:$E,$B13,領用表!$B:$B,$CS$2&amp;CU$2)</f>
        <v/>
      </c>
      <c r="CV13" s="216">
        <f>SUMIFS(領用表!$L:$L,領用表!$E:$E,$B13,領用表!$B:$B,$CS$2&amp;CV$2)</f>
        <v/>
      </c>
      <c r="CW13" s="216">
        <f>SUMIFS(領用表!$L:$L,領用表!$E:$E,$B13,領用表!$B:$B,$CS$2&amp;CW$2)</f>
        <v/>
      </c>
      <c r="CX13" s="216">
        <f>SUMIFS(領用表!$L:$L,領用表!$E:$E,$B13,領用表!$B:$B,$CS$2&amp;CX$2)</f>
        <v/>
      </c>
      <c r="CY13" s="208">
        <f>SUMIFS(領用表!$L:$L,領用表!$A:$A,CY$2,領用表!$E:$E,B13)</f>
        <v/>
      </c>
      <c r="CZ13" s="216">
        <f>SUMIFS(領用表!$L:$L,領用表!$E:$E,$B13,領用表!$B:$B,CY$2&amp;CZ$2)</f>
        <v/>
      </c>
      <c r="DA13" s="216">
        <f>SUMIFS(領用表!$L:$L,領用表!$E:$E,$B13,領用表!$B:$B,$CY$2&amp;DA$2)</f>
        <v/>
      </c>
      <c r="DB13" s="216">
        <f>SUMIFS(領用表!$L:$L,領用表!$E:$E,$B13,領用表!$B:$B,$CY$2&amp;DB$2)</f>
        <v/>
      </c>
      <c r="DC13" s="216">
        <f>SUMIFS(領用表!$L:$L,領用表!$E:$E,$B13,領用表!$B:$B,$CY$2&amp;DC$2)</f>
        <v/>
      </c>
      <c r="DD13" s="216">
        <f>SUMIFS(領用表!$L:$L,領用表!$E:$E,$B13,領用表!$B:$B,$CY$2&amp;DD$2)</f>
        <v/>
      </c>
      <c r="DE13" s="208">
        <f>SUMIFS(領用表!$L:$L,領用表!$A:$A,DE$2,領用表!$E:$E,B13)</f>
        <v/>
      </c>
      <c r="DF13" s="216">
        <f>SUMIFS(領用表!$L:$L,領用表!$E:$E,$B13,領用表!$B:$B,DE$2&amp;DF$2)</f>
        <v/>
      </c>
      <c r="DG13" s="216">
        <f>SUMIFS(領用表!$L:$L,領用表!$E:$E,$B13,領用表!$B:$B,$DE$2&amp;DG$2)</f>
        <v/>
      </c>
      <c r="DH13" s="216">
        <f>SUMIFS(領用表!$L:$L,領用表!$E:$E,$B13,領用表!$B:$B,$DE$2&amp;DH$2)</f>
        <v/>
      </c>
      <c r="DI13" s="216">
        <f>SUMIFS(領用表!$L:$L,領用表!$E:$E,$B13,領用表!$B:$B,$DE$2&amp;DI$2)</f>
        <v/>
      </c>
      <c r="DJ13" s="216">
        <f>SUMIFS(領用表!$L:$L,領用表!$E:$E,$B13,領用表!$B:$B,$DE$2&amp;DJ$2)</f>
        <v/>
      </c>
      <c r="DK13" s="208">
        <f>SUMIFS(領用表!$L:$L,領用表!$A:$A,DK$2,領用表!$E:$E,$B13)</f>
        <v/>
      </c>
      <c r="DL13" s="216">
        <f>SUMIFS(領用表!$L:$L,領用表!$E:$E,$B13,領用表!$B:$B,DK$2&amp;DL$2)</f>
        <v/>
      </c>
      <c r="DM13" s="216">
        <f>SUMIFS(領用表!$L:$L,領用表!$E:$E,$B13,領用表!$B:$B,$DK$2&amp;DM$2)</f>
        <v/>
      </c>
      <c r="DN13" s="216">
        <f>SUMIFS(領用表!$L:$L,領用表!$E:$E,$B13,領用表!$B:$B,$DK$2&amp;DN$2)</f>
        <v/>
      </c>
      <c r="DO13" s="216">
        <f>SUMIFS(領用表!$L:$L,領用表!$E:$E,$B13,領用表!$B:$B,$DK$2&amp;DO$2)</f>
        <v/>
      </c>
      <c r="DP13" s="216">
        <f>SUMIFS(領用表!$L:$L,領用表!$E:$E,$B13,領用表!$B:$B,$DK$2&amp;DP$2)</f>
        <v/>
      </c>
      <c r="DQ13" s="208" t="n"/>
      <c r="DR13" s="216" t="n"/>
      <c r="DS13" s="216" t="n"/>
      <c r="DT13" s="216" t="n"/>
      <c r="DU13" s="216" t="n"/>
      <c r="DV13" s="216" t="n"/>
      <c r="DW13" s="216">
        <f>SUM(CN13,CS13,CY13,DE13,DK13,DQ13)</f>
        <v/>
      </c>
      <c r="DX13" s="216">
        <f>AVERAGEA(CN13,CS13,CY13,DE13,DK13,DQ13)</f>
        <v/>
      </c>
      <c r="DY13" s="216">
        <f>SUM(DZ13:EC13)</f>
        <v/>
      </c>
      <c r="DZ13" s="216" t="n">
        <v>1</v>
      </c>
      <c r="EA13" s="216" t="n">
        <v>0</v>
      </c>
      <c r="EB13" s="216" t="n">
        <v>5</v>
      </c>
      <c r="EC13" s="216" t="n">
        <v>0</v>
      </c>
      <c r="ED13" s="215" t="n">
        <v>20</v>
      </c>
      <c r="EE13" s="514" t="n"/>
      <c r="EF13" s="211" t="n"/>
      <c r="EG13" s="211" t="n"/>
      <c r="EH13" s="136" t="n"/>
      <c r="EI13" s="212" t="n"/>
      <c r="EJ13" s="118">
        <f>IFERROR(VLOOKUP(A13,站前4樓!A:BF,57,0),0)</f>
        <v/>
      </c>
      <c r="EK13" s="213">
        <f>IFERROR(VLOOKUP(A13,站前11樓!A:BE,57,0),0)</f>
        <v/>
      </c>
      <c r="EL13" s="118">
        <f>IFERROR(VLOOKUP(A13,忠孝7樓!A:N,57,0),0)</f>
        <v/>
      </c>
      <c r="EM13" s="118">
        <f>IFERROR(VLOOKUP(A13,忠孝國際醫學3樓!A:L,57,0),0)</f>
        <v/>
      </c>
      <c r="EN13" s="118">
        <f>SUM(ED13:EG13)</f>
        <v/>
      </c>
      <c r="EP13" s="118" t="n">
        <v>40</v>
      </c>
      <c r="EQ13" s="118" t="n">
        <v>24</v>
      </c>
    </row>
    <row r="14" ht="15.75" customFormat="1" customHeight="1" s="118">
      <c r="A14" s="136" t="inlineStr">
        <is>
          <t>MP1MA010014A</t>
        </is>
      </c>
      <c r="B14" s="118" t="n">
        <v>6180007</v>
      </c>
      <c r="C14" s="118" t="inlineStr">
        <is>
          <t>MINT秘特拉提線PETIT 15CM(1支)</t>
        </is>
      </c>
      <c r="D14" s="197" t="n">
        <v>20</v>
      </c>
      <c r="E14" s="198" t="inlineStr">
        <is>
          <t>PCS</t>
        </is>
      </c>
      <c r="F14" s="199">
        <f>SUMIF(站前4樓!B:B,B14,站前4樓!F:F)</f>
        <v/>
      </c>
      <c r="G14" s="199">
        <f>SUMIF(站前11樓!B:B,B14,站前11樓!F:F)</f>
        <v/>
      </c>
      <c r="H14" s="199">
        <f>SUMIF(忠孝7樓!B:B,B14,忠孝7樓!G:G)</f>
        <v/>
      </c>
      <c r="I14" s="199">
        <f>SUMIF(忠孝國際醫學3樓!B:B,B14,忠孝國際醫學3樓!G:G)</f>
        <v/>
      </c>
      <c r="J14" s="199">
        <f>SUMIF(忠孝健康7樓!B:B,B14,忠孝健康7樓!G:G)</f>
        <v/>
      </c>
      <c r="K14" s="200" t="n">
        <v>0</v>
      </c>
      <c r="L14" s="200" t="n">
        <v>0</v>
      </c>
      <c r="M14" s="200" t="n">
        <v>0</v>
      </c>
      <c r="N14" s="200" t="n">
        <v>0</v>
      </c>
      <c r="O14" s="200" t="n">
        <v>0</v>
      </c>
      <c r="P14" s="200" t="n">
        <v>0</v>
      </c>
      <c r="Q14" s="200" t="n">
        <v>0</v>
      </c>
      <c r="R14" s="200" t="n">
        <v>0</v>
      </c>
      <c r="S14" s="200" t="n">
        <v>0</v>
      </c>
      <c r="T14" s="200" t="n">
        <v>0</v>
      </c>
      <c r="U14" s="200" t="n">
        <v>0</v>
      </c>
      <c r="V14" s="200" t="n">
        <v>0</v>
      </c>
      <c r="W14" s="200" t="n">
        <v>0</v>
      </c>
      <c r="X14" s="200" t="n">
        <v>0</v>
      </c>
      <c r="Y14" s="200" t="n">
        <v>0</v>
      </c>
      <c r="Z14" s="200" t="n">
        <v>0</v>
      </c>
      <c r="AA14" s="200" t="n">
        <v>0</v>
      </c>
      <c r="AB14" s="200" t="n">
        <v>0</v>
      </c>
      <c r="AC14" s="200" t="n">
        <v>0</v>
      </c>
      <c r="AD14" s="200" t="n">
        <v>0</v>
      </c>
      <c r="AE14" s="200" t="n">
        <v>0</v>
      </c>
      <c r="AF14" s="200" t="n">
        <v>0</v>
      </c>
      <c r="AG14" s="200" t="n">
        <v>0</v>
      </c>
      <c r="AH14" s="200" t="n">
        <v>0</v>
      </c>
      <c r="AI14" s="200" t="n">
        <v>0</v>
      </c>
      <c r="AJ14" s="201" t="n">
        <v>0</v>
      </c>
      <c r="AK14" s="201" t="n">
        <v>0</v>
      </c>
      <c r="AL14" s="201" t="n">
        <v>1</v>
      </c>
      <c r="AM14" s="201" t="n">
        <v>1.8</v>
      </c>
      <c r="AN14" s="201" t="n">
        <v>1.2</v>
      </c>
      <c r="AO14" s="201" t="n">
        <v>1.6</v>
      </c>
      <c r="AP14" s="201" t="n">
        <v>0.6</v>
      </c>
      <c r="AQ14" s="201" t="n">
        <v>2.2</v>
      </c>
      <c r="AR14" s="201" t="n">
        <v>0.8</v>
      </c>
      <c r="AS14" s="201" t="n">
        <v>1.2</v>
      </c>
      <c r="AT14" s="512" t="n">
        <v>0.6</v>
      </c>
      <c r="AU14" s="203" t="n">
        <v>24</v>
      </c>
      <c r="AV14" s="204">
        <f>SUM(AJ14:AU14)</f>
        <v/>
      </c>
      <c r="AW14" s="513">
        <f>AV14/12</f>
        <v/>
      </c>
      <c r="AX14" s="203" t="n">
        <v>56</v>
      </c>
      <c r="AY14" s="203" t="n">
        <v>16</v>
      </c>
      <c r="AZ14" s="203" t="n">
        <v>0</v>
      </c>
      <c r="BA14" s="203" t="n">
        <v>0</v>
      </c>
      <c r="BB14" s="203" t="n">
        <v>4</v>
      </c>
      <c r="BC14" s="203">
        <f>SUMIFS(領用表!$L:$L,領用表!$A:$A,BC$2,領用表!$E:$E,B14)</f>
        <v/>
      </c>
      <c r="BD14" s="206">
        <f>SUMIFS(領用表!$L:$L,領用表!$E:$E,$B14,領用表!$B:$B,BC$2&amp;BD$2)</f>
        <v/>
      </c>
      <c r="BE14" s="206">
        <f>SUMIFS(領用表!$L:$L,領用表!$E:$E,$B14,領用表!$B:$B,$BC$2&amp;BE$2)</f>
        <v/>
      </c>
      <c r="BF14" s="206">
        <f>SUMIFS(領用表!$L:$L,領用表!$E:$E,$B14,領用表!$B:$B,$BC$2&amp;BF$2)</f>
        <v/>
      </c>
      <c r="BG14" s="206">
        <f>SUMIFS(領用表!$L:$L,領用表!$E:$E,$B14,領用表!$B:$B,$BC$2&amp;BG$2)</f>
        <v/>
      </c>
      <c r="BH14" s="203">
        <f>SUMIFS(領用表!$L:$L,領用表!$A:$A,BH$2,領用表!$E:$E,B14)</f>
        <v/>
      </c>
      <c r="BI14" s="206">
        <f>SUMIFS(領用表!$L:$L,領用表!$E:$E,$B14,領用表!$B:$B,BH$2&amp;BI$2)</f>
        <v/>
      </c>
      <c r="BJ14" s="206">
        <f>SUMIFS(領用表!$L:$L,領用表!$E:$E,$B14,領用表!$B:$B,$BH$2&amp;BJ$2)</f>
        <v/>
      </c>
      <c r="BK14" s="206">
        <f>SUMIFS(領用表!$L:$L,領用表!$E:$E,$B14,領用表!$B:$B,$BH$2&amp;BK$2)</f>
        <v/>
      </c>
      <c r="BL14" s="206">
        <f>SUMIFS(領用表!$L:$L,領用表!$E:$E,$B14,領用表!$B:$B,$BH$2&amp;BL$2)</f>
        <v/>
      </c>
      <c r="BM14" s="203">
        <f>SUMIFS(領用表!$L:$L,領用表!$A:$A,BM$2,領用表!$E:$E,B14)</f>
        <v/>
      </c>
      <c r="BN14" s="206">
        <f>SUMIFS(領用表!$L:$L,領用表!$E:$E,$B14,領用表!$B:$B,BM$2&amp;BN$2)</f>
        <v/>
      </c>
      <c r="BO14" s="206">
        <f>SUMIFS(領用表!$L:$L,領用表!$E:$E,$B14,領用表!$B:$B,$BM$2&amp;BO$2)</f>
        <v/>
      </c>
      <c r="BP14" s="206">
        <f>SUMIFS(領用表!$L:$L,領用表!$E:$E,$B14,領用表!$B:$B,$BM$2&amp;BP$2)</f>
        <v/>
      </c>
      <c r="BQ14" s="206">
        <f>SUMIFS(領用表!$L:$L,領用表!$E:$E,$B14,領用表!$B:$B,$BM$2&amp;BQ$2)</f>
        <v/>
      </c>
      <c r="BR14" s="203">
        <f>SUMIFS(領用表!$L:$L,領用表!$A:$A,BR$2,領用表!$E:$E,B14)</f>
        <v/>
      </c>
      <c r="BS14" s="206">
        <f>SUMIFS(領用表!$L:$L,領用表!$E:$E,$B14,領用表!$B:$B,BR$2&amp;BS$2)</f>
        <v/>
      </c>
      <c r="BT14" s="206">
        <f>SUMIFS(領用表!$L:$L,領用表!$E:$E,$B14,領用表!$B:$B,$BR$2&amp;BT$2)</f>
        <v/>
      </c>
      <c r="BU14" s="206">
        <f>SUMIFS(領用表!$L:$L,領用表!$E:$E,$B14,領用表!$B:$B,$BR$2&amp;BU$2)</f>
        <v/>
      </c>
      <c r="BV14" s="206">
        <f>SUMIFS(領用表!$L:$L,領用表!$E:$E,$B14,領用表!$B:$B,$BR$2&amp;BV$2)</f>
        <v/>
      </c>
      <c r="BW14" s="208">
        <f>SUMIFS(領用表!$L:$L,領用表!$A:$A,BW$2,領用表!$E:$E,B14)</f>
        <v/>
      </c>
      <c r="BX14" s="216">
        <f>SUMIFS(領用表!$L:$L,領用表!$E:$E,$B14,領用表!$B:$B,BW$2&amp;BX$2)</f>
        <v/>
      </c>
      <c r="BY14" s="216">
        <f>SUMIFS(領用表!$L:$L,領用表!$E:$E,$B14,領用表!$B:$B,$BW$2&amp;BY$2)</f>
        <v/>
      </c>
      <c r="BZ14" s="216">
        <f>SUMIFS(領用表!$L:$L,領用表!$E:$E,$B14,領用表!$B:$B,$BW$2&amp;BZ$2)</f>
        <v/>
      </c>
      <c r="CA14" s="216">
        <f>SUMIFS(領用表!$L:$L,領用表!$E:$E,$B14,領用表!$B:$B,$BW$2&amp;CA$2)</f>
        <v/>
      </c>
      <c r="CB14" s="208">
        <f>SUMIFS(領用表!$L:$L,領用表!$A:$A,CB$2,領用表!$E:$E,B14)</f>
        <v/>
      </c>
      <c r="CC14" s="216">
        <f>SUMIFS(領用表!$L:$L,領用表!$E:$E,$B14,領用表!$B:$B,CB$2&amp;CC$2)</f>
        <v/>
      </c>
      <c r="CD14" s="216">
        <f>SUMIFS(領用表!$L:$L,領用表!$E:$E,$B14,領用表!$B:$B,$CB$2&amp;CD$2)</f>
        <v/>
      </c>
      <c r="CE14" s="216">
        <f>SUMIFS(領用表!$L:$L,領用表!$E:$E,$B14,領用表!$B:$B,$CB$2&amp;CE$2)</f>
        <v/>
      </c>
      <c r="CF14" s="216">
        <f>SUMIFS(領用表!$L:$L,領用表!$E:$E,$B14,領用表!$B:$B,$CB$2&amp;CF$2)</f>
        <v/>
      </c>
      <c r="CG14" s="217">
        <f>SUMIFS(領用表!$L:$L,領用表!$A:$A,CG$2,領用表!$E:$E,B14)</f>
        <v/>
      </c>
      <c r="CH14" s="216">
        <f>SUMIFS(領用表!$L:$L,領用表!$E:$E,$B14,領用表!$B:$B,CG$2&amp;CH$2)</f>
        <v/>
      </c>
      <c r="CI14" s="216">
        <f>SUMIFS(領用表!$L:$L,領用表!$E:$E,$B14,領用表!$B:$B,CG$2&amp;CI$2)</f>
        <v/>
      </c>
      <c r="CJ14" s="216">
        <f>SUMIFS(領用表!$L:$L,領用表!$E:$E,$B14,領用表!$B:$B,CG$2&amp;CJ$2)</f>
        <v/>
      </c>
      <c r="CK14" s="216">
        <f>SUMIFS(領用表!$L:$L,領用表!$E:$E,$B14,領用表!$B:$B,$CG$2&amp;CK$2)</f>
        <v/>
      </c>
      <c r="CL14" s="207">
        <f>SUM(AX14,AY14,AZ14,BA14,BB14,BC14,BH14,BM14,BR14,BW14,CB14,CG14)</f>
        <v/>
      </c>
      <c r="CM14" s="207">
        <f>AVERAGE(AX14,AY14,AZ14,BA14,BB14,BC14,BH14,BM14,BR14,BW14,CB14,CG14)</f>
        <v/>
      </c>
      <c r="CN14" s="217">
        <f>SUMIFS(領用表!$L:$L,領用表!$A:$A,CN$2,領用表!$E:$E,B14)</f>
        <v/>
      </c>
      <c r="CO14" s="216">
        <f>SUMIFS(領用表!$L:$L,領用表!$E:$E,$B14,領用表!$B:$B,CN$2&amp;CO$2)</f>
        <v/>
      </c>
      <c r="CP14" s="216">
        <f>SUMIFS(領用表!$L:$L,領用表!$E:$E,$B14,領用表!$B:$B,$CN$2&amp;CP$2)</f>
        <v/>
      </c>
      <c r="CQ14" s="216">
        <f>SUMIFS(領用表!$L:$L,領用表!$E:$E,$B14,領用表!$B:$B,$CN$2&amp;CQ$2)</f>
        <v/>
      </c>
      <c r="CR14" s="216">
        <f>SUMIFS(領用表!$L:$L,領用表!$E:$E,$B14,領用表!$B:$B,$CN$2&amp;CR$2)</f>
        <v/>
      </c>
      <c r="CS14" s="208">
        <f>SUMIFS(領用表!$L:$L,領用表!$A:$A,CS$2,領用表!$E:$E,B14)</f>
        <v/>
      </c>
      <c r="CT14" s="216">
        <f>SUMIFS(領用表!$L:$L,領用表!$E:$E,$B14,領用表!$B:$B,CS$2&amp;CT$2)</f>
        <v/>
      </c>
      <c r="CU14" s="216">
        <f>SUMIFS(領用表!$L:$L,領用表!$E:$E,$B14,領用表!$B:$B,$CS$2&amp;CU$2)</f>
        <v/>
      </c>
      <c r="CV14" s="216">
        <f>SUMIFS(領用表!$L:$L,領用表!$E:$E,$B14,領用表!$B:$B,$CS$2&amp;CV$2)</f>
        <v/>
      </c>
      <c r="CW14" s="216">
        <f>SUMIFS(領用表!$L:$L,領用表!$E:$E,$B14,領用表!$B:$B,$CS$2&amp;CW$2)</f>
        <v/>
      </c>
      <c r="CX14" s="216">
        <f>SUMIFS(領用表!$L:$L,領用表!$E:$E,$B14,領用表!$B:$B,$CS$2&amp;CX$2)</f>
        <v/>
      </c>
      <c r="CY14" s="208">
        <f>SUMIFS(領用表!$L:$L,領用表!$A:$A,CY$2,領用表!$E:$E,B14)</f>
        <v/>
      </c>
      <c r="CZ14" s="216">
        <f>SUMIFS(領用表!$L:$L,領用表!$E:$E,$B14,領用表!$B:$B,CY$2&amp;CZ$2)</f>
        <v/>
      </c>
      <c r="DA14" s="216">
        <f>SUMIFS(領用表!$L:$L,領用表!$E:$E,$B14,領用表!$B:$B,$CY$2&amp;DA$2)</f>
        <v/>
      </c>
      <c r="DB14" s="216">
        <f>SUMIFS(領用表!$L:$L,領用表!$E:$E,$B14,領用表!$B:$B,$CY$2&amp;DB$2)</f>
        <v/>
      </c>
      <c r="DC14" s="216">
        <f>SUMIFS(領用表!$L:$L,領用表!$E:$E,$B14,領用表!$B:$B,$CY$2&amp;DC$2)</f>
        <v/>
      </c>
      <c r="DD14" s="216">
        <f>SUMIFS(領用表!$L:$L,領用表!$E:$E,$B14,領用表!$B:$B,$CY$2&amp;DD$2)</f>
        <v/>
      </c>
      <c r="DE14" s="208">
        <f>SUMIFS(領用表!$L:$L,領用表!$A:$A,DE$2,領用表!$E:$E,B14)</f>
        <v/>
      </c>
      <c r="DF14" s="216">
        <f>SUMIFS(領用表!$L:$L,領用表!$E:$E,$B14,領用表!$B:$B,DE$2&amp;DF$2)</f>
        <v/>
      </c>
      <c r="DG14" s="216">
        <f>SUMIFS(領用表!$L:$L,領用表!$E:$E,$B14,領用表!$B:$B,$DE$2&amp;DG$2)</f>
        <v/>
      </c>
      <c r="DH14" s="216">
        <f>SUMIFS(領用表!$L:$L,領用表!$E:$E,$B14,領用表!$B:$B,$DE$2&amp;DH$2)</f>
        <v/>
      </c>
      <c r="DI14" s="216">
        <f>SUMIFS(領用表!$L:$L,領用表!$E:$E,$B14,領用表!$B:$B,$DE$2&amp;DI$2)</f>
        <v/>
      </c>
      <c r="DJ14" s="216">
        <f>SUMIFS(領用表!$L:$L,領用表!$E:$E,$B14,領用表!$B:$B,$DE$2&amp;DJ$2)</f>
        <v/>
      </c>
      <c r="DK14" s="208">
        <f>SUMIFS(領用表!$L:$L,領用表!$A:$A,DK$2,領用表!$E:$E,$B14)</f>
        <v/>
      </c>
      <c r="DL14" s="216">
        <f>SUMIFS(領用表!$L:$L,領用表!$E:$E,$B14,領用表!$B:$B,DK$2&amp;DL$2)</f>
        <v/>
      </c>
      <c r="DM14" s="216">
        <f>SUMIFS(領用表!$L:$L,領用表!$E:$E,$B14,領用表!$B:$B,$DK$2&amp;DM$2)</f>
        <v/>
      </c>
      <c r="DN14" s="216">
        <f>SUMIFS(領用表!$L:$L,領用表!$E:$E,$B14,領用表!$B:$B,$DK$2&amp;DN$2)</f>
        <v/>
      </c>
      <c r="DO14" s="216">
        <f>SUMIFS(領用表!$L:$L,領用表!$E:$E,$B14,領用表!$B:$B,$DK$2&amp;DO$2)</f>
        <v/>
      </c>
      <c r="DP14" s="216">
        <f>SUMIFS(領用表!$L:$L,領用表!$E:$E,$B14,領用表!$B:$B,$DK$2&amp;DP$2)</f>
        <v/>
      </c>
      <c r="DQ14" s="208" t="n"/>
      <c r="DR14" s="216" t="n"/>
      <c r="DS14" s="216" t="n"/>
      <c r="DT14" s="216" t="n"/>
      <c r="DU14" s="216" t="n"/>
      <c r="DV14" s="216" t="n"/>
      <c r="DW14" s="216">
        <f>SUM(CN14,CS14,CY14,DE14,DK14,DQ14)</f>
        <v/>
      </c>
      <c r="DX14" s="216">
        <f>AVERAGEA(CN14,CS14,CY14,DE14,DK14,DQ14)</f>
        <v/>
      </c>
      <c r="DY14" s="216">
        <f>SUM(DZ14:EC14)</f>
        <v/>
      </c>
      <c r="DZ14" s="216" t="n">
        <v>4</v>
      </c>
      <c r="EA14" s="216" t="n">
        <v>0</v>
      </c>
      <c r="EB14" s="216" t="n">
        <v>12</v>
      </c>
      <c r="EC14" s="216" t="n">
        <v>0</v>
      </c>
      <c r="ED14" s="215" t="n">
        <v>20</v>
      </c>
      <c r="EE14" s="514" t="n"/>
      <c r="EF14" s="211" t="n"/>
      <c r="EG14" s="211" t="n"/>
      <c r="EH14" s="136" t="n"/>
      <c r="EI14" s="212" t="n"/>
      <c r="EJ14" s="118">
        <f>IFERROR(VLOOKUP(A14,站前4樓!A:BF,57,0),0)</f>
        <v/>
      </c>
      <c r="EK14" s="213">
        <f>IFERROR(VLOOKUP(A14,站前11樓!A:BE,57,0),0)</f>
        <v/>
      </c>
      <c r="EL14" s="118">
        <f>IFERROR(VLOOKUP(A14,忠孝7樓!A:N,57,0),0)</f>
        <v/>
      </c>
      <c r="EM14" s="118">
        <f>IFERROR(VLOOKUP(A14,忠孝國際醫學3樓!A:L,57,0),0)</f>
        <v/>
      </c>
      <c r="EN14" s="118">
        <f>SUM(ED14:EG14)</f>
        <v/>
      </c>
      <c r="EP14" s="118" t="n">
        <v>8</v>
      </c>
      <c r="EQ14" s="118" t="n">
        <v>32</v>
      </c>
    </row>
    <row r="15" ht="15.75" customFormat="1" customHeight="1" s="118">
      <c r="A15" s="136" t="inlineStr">
        <is>
          <t>MP1MA010015A</t>
        </is>
      </c>
      <c r="B15" s="118" t="n">
        <v>6180009</v>
      </c>
      <c r="C15" s="118" t="inlineStr">
        <is>
          <t>MINT秘特拉提線TIP 4CM(1支)</t>
        </is>
      </c>
      <c r="D15" s="197" t="n">
        <v>10</v>
      </c>
      <c r="E15" s="198" t="inlineStr">
        <is>
          <t>PCS</t>
        </is>
      </c>
      <c r="F15" s="199">
        <f>SUMIF(站前4樓!B:B,B15,站前4樓!F:F)</f>
        <v/>
      </c>
      <c r="G15" s="199">
        <f>SUMIF(站前11樓!B:B,B15,站前11樓!F:F)</f>
        <v/>
      </c>
      <c r="H15" s="199">
        <f>SUMIF(忠孝7樓!B:B,B15,忠孝7樓!G:G)</f>
        <v/>
      </c>
      <c r="I15" s="199">
        <f>SUMIF(忠孝國際醫學3樓!B:B,B15,忠孝國際醫學3樓!G:G)</f>
        <v/>
      </c>
      <c r="J15" s="199">
        <f>SUMIF(忠孝健康7樓!B:B,B15,忠孝健康7樓!G:G)</f>
        <v/>
      </c>
      <c r="K15" s="200" t="n">
        <v>0</v>
      </c>
      <c r="L15" s="200" t="n">
        <v>0</v>
      </c>
      <c r="M15" s="200" t="n">
        <v>0</v>
      </c>
      <c r="N15" s="200" t="n">
        <v>0</v>
      </c>
      <c r="O15" s="200" t="n">
        <v>0</v>
      </c>
      <c r="P15" s="200" t="n">
        <v>0</v>
      </c>
      <c r="Q15" s="200" t="n">
        <v>0</v>
      </c>
      <c r="R15" s="200" t="n">
        <v>0</v>
      </c>
      <c r="S15" s="200" t="n">
        <v>0</v>
      </c>
      <c r="T15" s="200" t="n">
        <v>0</v>
      </c>
      <c r="U15" s="200" t="n">
        <v>0</v>
      </c>
      <c r="V15" s="200" t="n">
        <v>0</v>
      </c>
      <c r="W15" s="200" t="n">
        <v>0</v>
      </c>
      <c r="X15" s="200" t="n">
        <v>0</v>
      </c>
      <c r="Y15" s="200" t="n">
        <v>0</v>
      </c>
      <c r="Z15" s="200" t="n">
        <v>0</v>
      </c>
      <c r="AA15" s="200" t="n">
        <v>0</v>
      </c>
      <c r="AB15" s="200" t="n">
        <v>0</v>
      </c>
      <c r="AC15" s="200" t="n">
        <v>0</v>
      </c>
      <c r="AD15" s="200" t="n">
        <v>0</v>
      </c>
      <c r="AE15" s="200" t="n">
        <v>0</v>
      </c>
      <c r="AF15" s="200" t="n">
        <v>0</v>
      </c>
      <c r="AG15" s="200" t="n">
        <v>0</v>
      </c>
      <c r="AH15" s="200" t="n">
        <v>0</v>
      </c>
      <c r="AI15" s="200" t="n">
        <v>0</v>
      </c>
      <c r="AJ15" s="201" t="n">
        <v>0.4</v>
      </c>
      <c r="AK15" s="201" t="n">
        <v>0.2</v>
      </c>
      <c r="AL15" s="201" t="n">
        <v>0.8</v>
      </c>
      <c r="AM15" s="201" t="n">
        <v>0.2</v>
      </c>
      <c r="AN15" s="201" t="n">
        <v>1.4</v>
      </c>
      <c r="AO15" s="201" t="n">
        <v>0.8</v>
      </c>
      <c r="AP15" s="201" t="n">
        <v>0.6</v>
      </c>
      <c r="AQ15" s="201" t="n">
        <v>0.6</v>
      </c>
      <c r="AR15" s="201" t="n">
        <v>0.4</v>
      </c>
      <c r="AS15" s="201" t="n">
        <v>0.6</v>
      </c>
      <c r="AT15" s="512" t="n">
        <v>0.6</v>
      </c>
      <c r="AU15" s="203" t="n">
        <v>0</v>
      </c>
      <c r="AV15" s="204">
        <f>SUM(AJ15:AU15)</f>
        <v/>
      </c>
      <c r="AW15" s="513">
        <f>AV15/12</f>
        <v/>
      </c>
      <c r="AX15" s="203" t="n">
        <v>4</v>
      </c>
      <c r="AY15" s="203" t="n">
        <v>4</v>
      </c>
      <c r="AZ15" s="203" t="n">
        <v>12</v>
      </c>
      <c r="BA15" s="203" t="n">
        <v>0</v>
      </c>
      <c r="BB15" s="203" t="n">
        <v>8</v>
      </c>
      <c r="BC15" s="203">
        <f>SUMIFS(領用表!$L:$L,領用表!$A:$A,BC$2,領用表!$E:$E,B15)</f>
        <v/>
      </c>
      <c r="BD15" s="206">
        <f>SUMIFS(領用表!$L:$L,領用表!$E:$E,$B15,領用表!$B:$B,BC$2&amp;BD$2)</f>
        <v/>
      </c>
      <c r="BE15" s="206">
        <f>SUMIFS(領用表!$L:$L,領用表!$E:$E,$B15,領用表!$B:$B,$BC$2&amp;BE$2)</f>
        <v/>
      </c>
      <c r="BF15" s="206">
        <f>SUMIFS(領用表!$L:$L,領用表!$E:$E,$B15,領用表!$B:$B,$BC$2&amp;BF$2)</f>
        <v/>
      </c>
      <c r="BG15" s="206">
        <f>SUMIFS(領用表!$L:$L,領用表!$E:$E,$B15,領用表!$B:$B,$BC$2&amp;BG$2)</f>
        <v/>
      </c>
      <c r="BH15" s="203">
        <f>SUMIFS(領用表!$L:$L,領用表!$A:$A,BH$2,領用表!$E:$E,B15)</f>
        <v/>
      </c>
      <c r="BI15" s="206">
        <f>SUMIFS(領用表!$L:$L,領用表!$E:$E,$B15,領用表!$B:$B,BH$2&amp;BI$2)</f>
        <v/>
      </c>
      <c r="BJ15" s="206">
        <f>SUMIFS(領用表!$L:$L,領用表!$E:$E,$B15,領用表!$B:$B,$BH$2&amp;BJ$2)</f>
        <v/>
      </c>
      <c r="BK15" s="206">
        <f>SUMIFS(領用表!$L:$L,領用表!$E:$E,$B15,領用表!$B:$B,$BH$2&amp;BK$2)</f>
        <v/>
      </c>
      <c r="BL15" s="206">
        <f>SUMIFS(領用表!$L:$L,領用表!$E:$E,$B15,領用表!$B:$B,$BH$2&amp;BL$2)</f>
        <v/>
      </c>
      <c r="BM15" s="203">
        <f>SUMIFS(領用表!$L:$L,領用表!$A:$A,BM$2,領用表!$E:$E,B15)</f>
        <v/>
      </c>
      <c r="BN15" s="206">
        <f>SUMIFS(領用表!$L:$L,領用表!$E:$E,$B15,領用表!$B:$B,BM$2&amp;BN$2)</f>
        <v/>
      </c>
      <c r="BO15" s="206">
        <f>SUMIFS(領用表!$L:$L,領用表!$E:$E,$B15,領用表!$B:$B,$BM$2&amp;BO$2)</f>
        <v/>
      </c>
      <c r="BP15" s="206">
        <f>SUMIFS(領用表!$L:$L,領用表!$E:$E,$B15,領用表!$B:$B,$BM$2&amp;BP$2)</f>
        <v/>
      </c>
      <c r="BQ15" s="206">
        <f>SUMIFS(領用表!$L:$L,領用表!$E:$E,$B15,領用表!$B:$B,$BM$2&amp;BQ$2)</f>
        <v/>
      </c>
      <c r="BR15" s="203">
        <f>SUMIFS(領用表!$L:$L,領用表!$A:$A,BR$2,領用表!$E:$E,B15)</f>
        <v/>
      </c>
      <c r="BS15" s="206">
        <f>SUMIFS(領用表!$L:$L,領用表!$E:$E,$B15,領用表!$B:$B,BR$2&amp;BS$2)</f>
        <v/>
      </c>
      <c r="BT15" s="206">
        <f>SUMIFS(領用表!$L:$L,領用表!$E:$E,$B15,領用表!$B:$B,$BR$2&amp;BT$2)</f>
        <v/>
      </c>
      <c r="BU15" s="206">
        <f>SUMIFS(領用表!$L:$L,領用表!$E:$E,$B15,領用表!$B:$B,$BR$2&amp;BU$2)</f>
        <v/>
      </c>
      <c r="BV15" s="206">
        <f>SUMIFS(領用表!$L:$L,領用表!$E:$E,$B15,領用表!$B:$B,$BR$2&amp;BV$2)</f>
        <v/>
      </c>
      <c r="BW15" s="208">
        <f>SUMIFS(領用表!$L:$L,領用表!$A:$A,BW$2,領用表!$E:$E,B15)</f>
        <v/>
      </c>
      <c r="BX15" s="216">
        <f>SUMIFS(領用表!$L:$L,領用表!$E:$E,$B15,領用表!$B:$B,BW$2&amp;BX$2)</f>
        <v/>
      </c>
      <c r="BY15" s="216">
        <f>SUMIFS(領用表!$L:$L,領用表!$E:$E,$B15,領用表!$B:$B,$BW$2&amp;BY$2)</f>
        <v/>
      </c>
      <c r="BZ15" s="216">
        <f>SUMIFS(領用表!$L:$L,領用表!$E:$E,$B15,領用表!$B:$B,$BW$2&amp;BZ$2)</f>
        <v/>
      </c>
      <c r="CA15" s="216">
        <f>SUMIFS(領用表!$L:$L,領用表!$E:$E,$B15,領用表!$B:$B,$BW$2&amp;CA$2)</f>
        <v/>
      </c>
      <c r="CB15" s="208">
        <f>SUMIFS(領用表!$L:$L,領用表!$A:$A,CB$2,領用表!$E:$E,B15)</f>
        <v/>
      </c>
      <c r="CC15" s="216">
        <f>SUMIFS(領用表!$L:$L,領用表!$E:$E,$B15,領用表!$B:$B,CB$2&amp;CC$2)</f>
        <v/>
      </c>
      <c r="CD15" s="216">
        <f>SUMIFS(領用表!$L:$L,領用表!$E:$E,$B15,領用表!$B:$B,$CB$2&amp;CD$2)</f>
        <v/>
      </c>
      <c r="CE15" s="216">
        <f>SUMIFS(領用表!$L:$L,領用表!$E:$E,$B15,領用表!$B:$B,$CB$2&amp;CE$2)</f>
        <v/>
      </c>
      <c r="CF15" s="216">
        <f>SUMIFS(領用表!$L:$L,領用表!$E:$E,$B15,領用表!$B:$B,$CB$2&amp;CF$2)</f>
        <v/>
      </c>
      <c r="CG15" s="217">
        <f>SUMIFS(領用表!$L:$L,領用表!$A:$A,CG$2,領用表!$E:$E,B15)</f>
        <v/>
      </c>
      <c r="CH15" s="216">
        <f>SUMIFS(領用表!$L:$L,領用表!$E:$E,$B15,領用表!$B:$B,CG$2&amp;CH$2)</f>
        <v/>
      </c>
      <c r="CI15" s="216">
        <f>SUMIFS(領用表!$L:$L,領用表!$E:$E,$B15,領用表!$B:$B,CG$2&amp;CI$2)</f>
        <v/>
      </c>
      <c r="CJ15" s="216">
        <f>SUMIFS(領用表!$L:$L,領用表!$E:$E,$B15,領用表!$B:$B,CG$2&amp;CJ$2)</f>
        <v/>
      </c>
      <c r="CK15" s="216">
        <f>SUMIFS(領用表!$L:$L,領用表!$E:$E,$B15,領用表!$B:$B,$CG$2&amp;CK$2)</f>
        <v/>
      </c>
      <c r="CL15" s="207">
        <f>SUM(AX15,AY15,AZ15,BA15,BB15,BC15,BH15,BM15,BR15,BW15,CB15,CG15)</f>
        <v/>
      </c>
      <c r="CM15" s="207">
        <f>AVERAGE(AX15,AY15,AZ15,BA15,BB15,BC15,BH15,BM15,BR15,BW15,CB15,CG15)</f>
        <v/>
      </c>
      <c r="CN15" s="217">
        <f>SUMIFS(領用表!$L:$L,領用表!$A:$A,CN$2,領用表!$E:$E,B15)</f>
        <v/>
      </c>
      <c r="CO15" s="216">
        <f>SUMIFS(領用表!$L:$L,領用表!$E:$E,$B15,領用表!$B:$B,CN$2&amp;CO$2)</f>
        <v/>
      </c>
      <c r="CP15" s="216">
        <f>SUMIFS(領用表!$L:$L,領用表!$E:$E,$B15,領用表!$B:$B,$CN$2&amp;CP$2)</f>
        <v/>
      </c>
      <c r="CQ15" s="216">
        <f>SUMIFS(領用表!$L:$L,領用表!$E:$E,$B15,領用表!$B:$B,$CN$2&amp;CQ$2)</f>
        <v/>
      </c>
      <c r="CR15" s="216">
        <f>SUMIFS(領用表!$L:$L,領用表!$E:$E,$B15,領用表!$B:$B,$CN$2&amp;CR$2)</f>
        <v/>
      </c>
      <c r="CS15" s="208">
        <f>SUMIFS(領用表!$L:$L,領用表!$A:$A,CS$2,領用表!$E:$E,B15)</f>
        <v/>
      </c>
      <c r="CT15" s="216">
        <f>SUMIFS(領用表!$L:$L,領用表!$E:$E,$B15,領用表!$B:$B,CS$2&amp;CT$2)</f>
        <v/>
      </c>
      <c r="CU15" s="216">
        <f>SUMIFS(領用表!$L:$L,領用表!$E:$E,$B15,領用表!$B:$B,$CS$2&amp;CU$2)</f>
        <v/>
      </c>
      <c r="CV15" s="216">
        <f>SUMIFS(領用表!$L:$L,領用表!$E:$E,$B15,領用表!$B:$B,$CS$2&amp;CV$2)</f>
        <v/>
      </c>
      <c r="CW15" s="216">
        <f>SUMIFS(領用表!$L:$L,領用表!$E:$E,$B15,領用表!$B:$B,$CS$2&amp;CW$2)</f>
        <v/>
      </c>
      <c r="CX15" s="216">
        <f>SUMIFS(領用表!$L:$L,領用表!$E:$E,$B15,領用表!$B:$B,$CS$2&amp;CX$2)</f>
        <v/>
      </c>
      <c r="CY15" s="208">
        <f>SUMIFS(領用表!$L:$L,領用表!$A:$A,CY$2,領用表!$E:$E,B15)</f>
        <v/>
      </c>
      <c r="CZ15" s="216">
        <f>SUMIFS(領用表!$L:$L,領用表!$E:$E,$B15,領用表!$B:$B,CY$2&amp;CZ$2)</f>
        <v/>
      </c>
      <c r="DA15" s="216">
        <f>SUMIFS(領用表!$L:$L,領用表!$E:$E,$B15,領用表!$B:$B,$CY$2&amp;DA$2)</f>
        <v/>
      </c>
      <c r="DB15" s="216">
        <f>SUMIFS(領用表!$L:$L,領用表!$E:$E,$B15,領用表!$B:$B,$CY$2&amp;DB$2)</f>
        <v/>
      </c>
      <c r="DC15" s="216">
        <f>SUMIFS(領用表!$L:$L,領用表!$E:$E,$B15,領用表!$B:$B,$CY$2&amp;DC$2)</f>
        <v/>
      </c>
      <c r="DD15" s="216">
        <f>SUMIFS(領用表!$L:$L,領用表!$E:$E,$B15,領用表!$B:$B,$CY$2&amp;DD$2)</f>
        <v/>
      </c>
      <c r="DE15" s="208">
        <f>SUMIFS(領用表!$L:$L,領用表!$A:$A,DE$2,領用表!$E:$E,B15)</f>
        <v/>
      </c>
      <c r="DF15" s="216">
        <f>SUMIFS(領用表!$L:$L,領用表!$E:$E,$B15,領用表!$B:$B,DE$2&amp;DF$2)</f>
        <v/>
      </c>
      <c r="DG15" s="216">
        <f>SUMIFS(領用表!$L:$L,領用表!$E:$E,$B15,領用表!$B:$B,$DE$2&amp;DG$2)</f>
        <v/>
      </c>
      <c r="DH15" s="216">
        <f>SUMIFS(領用表!$L:$L,領用表!$E:$E,$B15,領用表!$B:$B,$DE$2&amp;DH$2)</f>
        <v/>
      </c>
      <c r="DI15" s="216">
        <f>SUMIFS(領用表!$L:$L,領用表!$E:$E,$B15,領用表!$B:$B,$DE$2&amp;DI$2)</f>
        <v/>
      </c>
      <c r="DJ15" s="216">
        <f>SUMIFS(領用表!$L:$L,領用表!$E:$E,$B15,領用表!$B:$B,$DE$2&amp;DJ$2)</f>
        <v/>
      </c>
      <c r="DK15" s="208">
        <f>SUMIFS(領用表!$L:$L,領用表!$A:$A,DK$2,領用表!$E:$E,$B15)</f>
        <v/>
      </c>
      <c r="DL15" s="216">
        <f>SUMIFS(領用表!$L:$L,領用表!$E:$E,$B15,領用表!$B:$B,DK$2&amp;DL$2)</f>
        <v/>
      </c>
      <c r="DM15" s="216">
        <f>SUMIFS(領用表!$L:$L,領用表!$E:$E,$B15,領用表!$B:$B,$DK$2&amp;DM$2)</f>
        <v/>
      </c>
      <c r="DN15" s="216">
        <f>SUMIFS(領用表!$L:$L,領用表!$E:$E,$B15,領用表!$B:$B,$DK$2&amp;DN$2)</f>
        <v/>
      </c>
      <c r="DO15" s="216">
        <f>SUMIFS(領用表!$L:$L,領用表!$E:$E,$B15,領用表!$B:$B,$DK$2&amp;DO$2)</f>
        <v/>
      </c>
      <c r="DP15" s="216">
        <f>SUMIFS(領用表!$L:$L,領用表!$E:$E,$B15,領用表!$B:$B,$DK$2&amp;DP$2)</f>
        <v/>
      </c>
      <c r="DQ15" s="208" t="n">
        <v>4</v>
      </c>
      <c r="DR15" s="216" t="n"/>
      <c r="DS15" s="216" t="n"/>
      <c r="DT15" s="216" t="n">
        <v>4</v>
      </c>
      <c r="DU15" s="216" t="n"/>
      <c r="DV15" s="216" t="n"/>
      <c r="DW15" s="216">
        <f>SUM(CN15,CS15,CY15,DE15,DK15,DQ15)</f>
        <v/>
      </c>
      <c r="DX15" s="216">
        <f>AVERAGEA(CN15,CS15,CY15,DE15,DK15,DQ15)</f>
        <v/>
      </c>
      <c r="DY15" s="216">
        <f>SUM(DZ15:EC15)</f>
        <v/>
      </c>
      <c r="DZ15" s="216" t="n">
        <v>8</v>
      </c>
      <c r="EA15" s="216" t="n">
        <v>0</v>
      </c>
      <c r="EB15" s="216" t="n">
        <v>12</v>
      </c>
      <c r="EC15" s="216" t="n">
        <v>0</v>
      </c>
      <c r="ED15" s="215" t="n">
        <v>20</v>
      </c>
      <c r="EE15" s="514" t="n"/>
      <c r="EF15" s="211" t="n"/>
      <c r="EG15" s="211" t="n"/>
      <c r="EH15" s="136" t="n"/>
      <c r="EI15" s="212" t="n"/>
      <c r="EJ15" s="118">
        <f>IFERROR(VLOOKUP(A15,站前4樓!A:BF,57,0),0)</f>
        <v/>
      </c>
      <c r="EK15" s="213">
        <f>IFERROR(VLOOKUP(A15,站前11樓!A:BE,57,0),0)</f>
        <v/>
      </c>
      <c r="EL15" s="118">
        <f>IFERROR(VLOOKUP(A15,忠孝7樓!A:N,57,0),0)</f>
        <v/>
      </c>
      <c r="EM15" s="118">
        <f>IFERROR(VLOOKUP(A15,忠孝國際醫學3樓!A:L,57,0),0)</f>
        <v/>
      </c>
      <c r="EN15" s="118">
        <f>SUM(ED15:EG15)</f>
        <v/>
      </c>
      <c r="EP15" s="118" t="n">
        <v>36</v>
      </c>
      <c r="EQ15" s="118" t="n">
        <v>52</v>
      </c>
    </row>
    <row r="16" ht="15.75" customFormat="1" customHeight="1" s="118">
      <c r="A16" s="136" t="inlineStr">
        <is>
          <t>MP1MA010016A</t>
        </is>
      </c>
      <c r="B16" s="118" t="n">
        <v>6180011</v>
      </c>
      <c r="C16" s="118" t="inlineStr">
        <is>
          <t>MINT秘特拉提線UP 9.5CM(1支)</t>
        </is>
      </c>
      <c r="D16" s="197" t="n">
        <v>10</v>
      </c>
      <c r="E16" s="198" t="inlineStr">
        <is>
          <t>PCS</t>
        </is>
      </c>
      <c r="F16" s="199">
        <f>SUMIF(站前4樓!B:B,B16,站前4樓!F:F)</f>
        <v/>
      </c>
      <c r="G16" s="199">
        <f>SUMIF(站前11樓!B:B,B16,站前11樓!F:F)</f>
        <v/>
      </c>
      <c r="H16" s="199">
        <f>SUMIF(忠孝7樓!B:B,B16,忠孝7樓!G:G)</f>
        <v/>
      </c>
      <c r="I16" s="199">
        <f>SUMIF(忠孝國際醫學3樓!B:B,B16,忠孝國際醫學3樓!G:G)</f>
        <v/>
      </c>
      <c r="J16" s="199">
        <f>SUMIF(忠孝健康7樓!B:B,B16,忠孝健康7樓!G:G)</f>
        <v/>
      </c>
      <c r="K16" s="200" t="n">
        <v>0</v>
      </c>
      <c r="L16" s="200" t="n">
        <v>0</v>
      </c>
      <c r="M16" s="200" t="n">
        <v>0</v>
      </c>
      <c r="N16" s="200" t="n">
        <v>0</v>
      </c>
      <c r="O16" s="200" t="n">
        <v>0</v>
      </c>
      <c r="P16" s="200" t="n">
        <v>0</v>
      </c>
      <c r="Q16" s="200" t="n">
        <v>0</v>
      </c>
      <c r="R16" s="200" t="n">
        <v>0</v>
      </c>
      <c r="S16" s="200" t="n">
        <v>0</v>
      </c>
      <c r="T16" s="200" t="n">
        <v>0</v>
      </c>
      <c r="U16" s="200" t="n">
        <v>0</v>
      </c>
      <c r="V16" s="200" t="n">
        <v>0</v>
      </c>
      <c r="W16" s="200" t="n">
        <v>0</v>
      </c>
      <c r="X16" s="200" t="n">
        <v>0</v>
      </c>
      <c r="Y16" s="200" t="n">
        <v>0</v>
      </c>
      <c r="Z16" s="200" t="n">
        <v>0</v>
      </c>
      <c r="AA16" s="200" t="n">
        <v>0</v>
      </c>
      <c r="AB16" s="200" t="n">
        <v>0</v>
      </c>
      <c r="AC16" s="200" t="n">
        <v>0</v>
      </c>
      <c r="AD16" s="200" t="n">
        <v>0</v>
      </c>
      <c r="AE16" s="200" t="n">
        <v>0</v>
      </c>
      <c r="AF16" s="200" t="n">
        <v>0</v>
      </c>
      <c r="AG16" s="200" t="n">
        <v>0</v>
      </c>
      <c r="AH16" s="200" t="n">
        <v>0</v>
      </c>
      <c r="AI16" s="200" t="n">
        <v>0</v>
      </c>
      <c r="AJ16" s="201" t="n">
        <v>1.2</v>
      </c>
      <c r="AK16" s="201" t="n">
        <v>1.2</v>
      </c>
      <c r="AL16" s="201" t="n">
        <v>2.8</v>
      </c>
      <c r="AM16" s="201" t="n">
        <v>0.8</v>
      </c>
      <c r="AN16" s="201" t="n">
        <v>4</v>
      </c>
      <c r="AO16" s="201" t="n">
        <v>1</v>
      </c>
      <c r="AP16" s="201" t="n">
        <v>1.2</v>
      </c>
      <c r="AQ16" s="201" t="n">
        <v>0</v>
      </c>
      <c r="AR16" s="201" t="n">
        <v>0</v>
      </c>
      <c r="AS16" s="201" t="n">
        <v>0</v>
      </c>
      <c r="AT16" s="512" t="n">
        <v>0</v>
      </c>
      <c r="AU16" s="203" t="n">
        <v>4</v>
      </c>
      <c r="AV16" s="204">
        <f>SUM(AJ16:AU16)</f>
        <v/>
      </c>
      <c r="AW16" s="513">
        <f>AV16/12</f>
        <v/>
      </c>
      <c r="AX16" s="203" t="n">
        <v>12</v>
      </c>
      <c r="AY16" s="203" t="n">
        <v>0</v>
      </c>
      <c r="AZ16" s="203" t="n">
        <v>40</v>
      </c>
      <c r="BA16" s="203" t="n">
        <v>4</v>
      </c>
      <c r="BB16" s="203" t="n">
        <v>16</v>
      </c>
      <c r="BC16" s="203">
        <f>SUMIFS(領用表!$L:$L,領用表!$A:$A,BC$2,領用表!$E:$E,B16)</f>
        <v/>
      </c>
      <c r="BD16" s="206">
        <f>SUMIFS(領用表!$L:$L,領用表!$E:$E,$B16,領用表!$B:$B,BC$2&amp;BD$2)</f>
        <v/>
      </c>
      <c r="BE16" s="206">
        <f>SUMIFS(領用表!$L:$L,領用表!$E:$E,$B16,領用表!$B:$B,$BC$2&amp;BE$2)</f>
        <v/>
      </c>
      <c r="BF16" s="206">
        <f>SUMIFS(領用表!$L:$L,領用表!$E:$E,$B16,領用表!$B:$B,$BC$2&amp;BF$2)</f>
        <v/>
      </c>
      <c r="BG16" s="206">
        <f>SUMIFS(領用表!$L:$L,領用表!$E:$E,$B16,領用表!$B:$B,$BC$2&amp;BG$2)</f>
        <v/>
      </c>
      <c r="BH16" s="203">
        <f>SUMIFS(領用表!$L:$L,領用表!$A:$A,BH$2,領用表!$E:$E,B16)</f>
        <v/>
      </c>
      <c r="BI16" s="206">
        <f>SUMIFS(領用表!$L:$L,領用表!$E:$E,$B16,領用表!$B:$B,BH$2&amp;BI$2)</f>
        <v/>
      </c>
      <c r="BJ16" s="206">
        <f>SUMIFS(領用表!$L:$L,領用表!$E:$E,$B16,領用表!$B:$B,$BH$2&amp;BJ$2)</f>
        <v/>
      </c>
      <c r="BK16" s="206">
        <f>SUMIFS(領用表!$L:$L,領用表!$E:$E,$B16,領用表!$B:$B,$BH$2&amp;BK$2)</f>
        <v/>
      </c>
      <c r="BL16" s="206">
        <f>SUMIFS(領用表!$L:$L,領用表!$E:$E,$B16,領用表!$B:$B,$BH$2&amp;BL$2)</f>
        <v/>
      </c>
      <c r="BM16" s="203">
        <f>SUMIFS(領用表!$L:$L,領用表!$A:$A,BM$2,領用表!$E:$E,B16)</f>
        <v/>
      </c>
      <c r="BN16" s="206">
        <f>SUMIFS(領用表!$L:$L,領用表!$E:$E,$B16,領用表!$B:$B,BM$2&amp;BN$2)</f>
        <v/>
      </c>
      <c r="BO16" s="206">
        <f>SUMIFS(領用表!$L:$L,領用表!$E:$E,$B16,領用表!$B:$B,$BM$2&amp;BO$2)</f>
        <v/>
      </c>
      <c r="BP16" s="206">
        <f>SUMIFS(領用表!$L:$L,領用表!$E:$E,$B16,領用表!$B:$B,$BM$2&amp;BP$2)</f>
        <v/>
      </c>
      <c r="BQ16" s="206">
        <f>SUMIFS(領用表!$L:$L,領用表!$E:$E,$B16,領用表!$B:$B,$BM$2&amp;BQ$2)</f>
        <v/>
      </c>
      <c r="BR16" s="203">
        <f>SUMIFS(領用表!$L:$L,領用表!$A:$A,BR$2,領用表!$E:$E,B16)</f>
        <v/>
      </c>
      <c r="BS16" s="206">
        <f>SUMIFS(領用表!$L:$L,領用表!$E:$E,$B16,領用表!$B:$B,BR$2&amp;BS$2)</f>
        <v/>
      </c>
      <c r="BT16" s="206">
        <f>SUMIFS(領用表!$L:$L,領用表!$E:$E,$B16,領用表!$B:$B,$BR$2&amp;BT$2)</f>
        <v/>
      </c>
      <c r="BU16" s="206">
        <f>SUMIFS(領用表!$L:$L,領用表!$E:$E,$B16,領用表!$B:$B,$BR$2&amp;BU$2)</f>
        <v/>
      </c>
      <c r="BV16" s="206">
        <f>SUMIFS(領用表!$L:$L,領用表!$E:$E,$B16,領用表!$B:$B,$BR$2&amp;BV$2)</f>
        <v/>
      </c>
      <c r="BW16" s="208">
        <f>SUMIFS(領用表!$L:$L,領用表!$A:$A,BW$2,領用表!$E:$E,B16)</f>
        <v/>
      </c>
      <c r="BX16" s="206">
        <f>SUMIFS(領用表!$L:$L,領用表!$E:$E,$B16,領用表!$B:$B,BW$2&amp;BX$2)</f>
        <v/>
      </c>
      <c r="BY16" s="206">
        <f>SUMIFS(領用表!$L:$L,領用表!$E:$E,$B16,領用表!$B:$B,$BW$2&amp;BY$2)</f>
        <v/>
      </c>
      <c r="BZ16" s="206">
        <f>SUMIFS(領用表!$L:$L,領用表!$E:$E,$B16,領用表!$B:$B,$BW$2&amp;BZ$2)</f>
        <v/>
      </c>
      <c r="CA16" s="206">
        <f>SUMIFS(領用表!$L:$L,領用表!$E:$E,$B16,領用表!$B:$B,$BW$2&amp;CA$2)</f>
        <v/>
      </c>
      <c r="CB16" s="208">
        <f>SUMIFS(領用表!$L:$L,領用表!$A:$A,CB$2,領用表!$E:$E,B16)</f>
        <v/>
      </c>
      <c r="CC16" s="206">
        <f>SUMIFS(領用表!$L:$L,領用表!$E:$E,$B16,領用表!$B:$B,CB$2&amp;CC$2)</f>
        <v/>
      </c>
      <c r="CD16" s="206">
        <f>SUMIFS(領用表!$L:$L,領用表!$E:$E,$B16,領用表!$B:$B,$CB$2&amp;CD$2)</f>
        <v/>
      </c>
      <c r="CE16" s="206">
        <f>SUMIFS(領用表!$L:$L,領用表!$E:$E,$B16,領用表!$B:$B,$CB$2&amp;CE$2)</f>
        <v/>
      </c>
      <c r="CF16" s="206">
        <f>SUMIFS(領用表!$L:$L,領用表!$E:$E,$B16,領用表!$B:$B,$CB$2&amp;CF$2)</f>
        <v/>
      </c>
      <c r="CG16" s="208">
        <f>SUMIFS(領用表!$L:$L,領用表!$A:$A,CG$2,領用表!$E:$E,B16)</f>
        <v/>
      </c>
      <c r="CH16" s="206">
        <f>SUMIFS(領用表!$L:$L,領用表!$E:$E,$B16,領用表!$B:$B,CG$2&amp;CH$2)</f>
        <v/>
      </c>
      <c r="CI16" s="206">
        <f>SUMIFS(領用表!$L:$L,領用表!$E:$E,$B16,領用表!$B:$B,CG$2&amp;CI$2)</f>
        <v/>
      </c>
      <c r="CJ16" s="206">
        <f>SUMIFS(領用表!$L:$L,領用表!$E:$E,$B16,領用表!$B:$B,CG$2&amp;CJ$2)</f>
        <v/>
      </c>
      <c r="CK16" s="206">
        <f>SUMIFS(領用表!$L:$L,領用表!$E:$E,$B16,領用表!$B:$B,$CG$2&amp;CK$2)</f>
        <v/>
      </c>
      <c r="CL16" s="207">
        <f>SUM(AX16,AY16,AZ16,BA16,BB16,BC16,BH16,BM16,BR16,BW16,CB16,CG16)</f>
        <v/>
      </c>
      <c r="CM16" s="207">
        <f>AVERAGE(AX16,AY16,AZ16,BA16,BB16,BC16,BH16,BM16,BR16,BW16,CB16,CG16)</f>
        <v/>
      </c>
      <c r="CN16" s="208">
        <f>SUMIFS(領用表!$L:$L,領用表!$A:$A,CN$2,領用表!$E:$E,B16)</f>
        <v/>
      </c>
      <c r="CO16" s="206">
        <f>SUMIFS(領用表!$L:$L,領用表!$E:$E,$B16,領用表!$B:$B,CN$2&amp;CO$2)</f>
        <v/>
      </c>
      <c r="CP16" s="206">
        <f>SUMIFS(領用表!$L:$L,領用表!$E:$E,$B16,領用表!$B:$B,$CN$2&amp;CP$2)</f>
        <v/>
      </c>
      <c r="CQ16" s="206">
        <f>SUMIFS(領用表!$L:$L,領用表!$E:$E,$B16,領用表!$B:$B,$CN$2&amp;CQ$2)</f>
        <v/>
      </c>
      <c r="CR16" s="206">
        <f>SUMIFS(領用表!$L:$L,領用表!$E:$E,$B16,領用表!$B:$B,$CN$2&amp;CR$2)</f>
        <v/>
      </c>
      <c r="CS16" s="208">
        <f>SUMIFS(領用表!$L:$L,領用表!$A:$A,CS$2,領用表!$E:$E,B16)</f>
        <v/>
      </c>
      <c r="CT16" s="206">
        <f>SUMIFS(領用表!$L:$L,領用表!$E:$E,$B16,領用表!$B:$B,CS$2&amp;CT$2)</f>
        <v/>
      </c>
      <c r="CU16" s="206">
        <f>SUMIFS(領用表!$L:$L,領用表!$E:$E,$B16,領用表!$B:$B,$CS$2&amp;CU$2)</f>
        <v/>
      </c>
      <c r="CV16" s="206">
        <f>SUMIFS(領用表!$L:$L,領用表!$E:$E,$B16,領用表!$B:$B,$CS$2&amp;CV$2)</f>
        <v/>
      </c>
      <c r="CW16" s="206">
        <f>SUMIFS(領用表!$L:$L,領用表!$E:$E,$B16,領用表!$B:$B,$CS$2&amp;CW$2)</f>
        <v/>
      </c>
      <c r="CX16" s="206">
        <f>SUMIFS(領用表!$L:$L,領用表!$E:$E,$B16,領用表!$B:$B,$CS$2&amp;CX$2)</f>
        <v/>
      </c>
      <c r="CY16" s="208">
        <f>SUMIFS(領用表!$L:$L,領用表!$A:$A,CY$2,領用表!$E:$E,B16)</f>
        <v/>
      </c>
      <c r="CZ16" s="206">
        <f>SUMIFS(領用表!$L:$L,領用表!$E:$E,$B16,領用表!$B:$B,CY$2&amp;CZ$2)</f>
        <v/>
      </c>
      <c r="DA16" s="206">
        <f>SUMIFS(領用表!$L:$L,領用表!$E:$E,$B16,領用表!$B:$B,$CY$2&amp;DA$2)</f>
        <v/>
      </c>
      <c r="DB16" s="206">
        <f>SUMIFS(領用表!$L:$L,領用表!$E:$E,$B16,領用表!$B:$B,$CY$2&amp;DB$2)</f>
        <v/>
      </c>
      <c r="DC16" s="206">
        <f>SUMIFS(領用表!$L:$L,領用表!$E:$E,$B16,領用表!$B:$B,$CY$2&amp;DC$2)</f>
        <v/>
      </c>
      <c r="DD16" s="206">
        <f>SUMIFS(領用表!$L:$L,領用表!$E:$E,$B16,領用表!$B:$B,$CY$2&amp;DD$2)</f>
        <v/>
      </c>
      <c r="DE16" s="208">
        <f>SUMIFS(領用表!$L:$L,領用表!$A:$A,DE$2,領用表!$E:$E,B16)</f>
        <v/>
      </c>
      <c r="DF16" s="206">
        <f>SUMIFS(領用表!$L:$L,領用表!$E:$E,$B16,領用表!$B:$B,DE$2&amp;DF$2)</f>
        <v/>
      </c>
      <c r="DG16" s="206">
        <f>SUMIFS(領用表!$L:$L,領用表!$E:$E,$B16,領用表!$B:$B,$DE$2&amp;DG$2)</f>
        <v/>
      </c>
      <c r="DH16" s="206">
        <f>SUMIFS(領用表!$L:$L,領用表!$E:$E,$B16,領用表!$B:$B,$DE$2&amp;DH$2)</f>
        <v/>
      </c>
      <c r="DI16" s="206">
        <f>SUMIFS(領用表!$L:$L,領用表!$E:$E,$B16,領用表!$B:$B,$DE$2&amp;DI$2)</f>
        <v/>
      </c>
      <c r="DJ16" s="206">
        <f>SUMIFS(領用表!$L:$L,領用表!$E:$E,$B16,領用表!$B:$B,$DE$2&amp;DJ$2)</f>
        <v/>
      </c>
      <c r="DK16" s="208">
        <f>SUMIFS(領用表!$L:$L,領用表!$A:$A,DK$2,領用表!$E:$E,$B16)</f>
        <v/>
      </c>
      <c r="DL16" s="206">
        <f>SUMIFS(領用表!$L:$L,領用表!$E:$E,$B16,領用表!$B:$B,DK$2&amp;DL$2)</f>
        <v/>
      </c>
      <c r="DM16" s="206">
        <f>SUMIFS(領用表!$L:$L,領用表!$E:$E,$B16,領用表!$B:$B,$DK$2&amp;DM$2)</f>
        <v/>
      </c>
      <c r="DN16" s="206">
        <f>SUMIFS(領用表!$L:$L,領用表!$E:$E,$B16,領用表!$B:$B,$DK$2&amp;DN$2)</f>
        <v/>
      </c>
      <c r="DO16" s="206">
        <f>SUMIFS(領用表!$L:$L,領用表!$E:$E,$B16,領用表!$B:$B,$DK$2&amp;DO$2)</f>
        <v/>
      </c>
      <c r="DP16" s="206">
        <f>SUMIFS(領用表!$L:$L,領用表!$E:$E,$B16,領用表!$B:$B,$DK$2&amp;DP$2)</f>
        <v/>
      </c>
      <c r="DQ16" s="208" t="n"/>
      <c r="DR16" s="206" t="n"/>
      <c r="DS16" s="206" t="n"/>
      <c r="DT16" s="206" t="n"/>
      <c r="DU16" s="206" t="n"/>
      <c r="DV16" s="206" t="n"/>
      <c r="DW16" s="206">
        <f>SUM(CN16,CS16,CY16,DE16,DK16,DQ16)</f>
        <v/>
      </c>
      <c r="DX16" s="206">
        <f>AVERAGEA(CN16,CS16,CY16,DE16,DK16,DQ16)</f>
        <v/>
      </c>
      <c r="DY16" s="206">
        <f>SUM(DZ16:EC16)</f>
        <v/>
      </c>
      <c r="DZ16" s="206" t="n">
        <v>8</v>
      </c>
      <c r="EA16" s="206" t="n">
        <v>0</v>
      </c>
      <c r="EB16" s="206" t="n">
        <v>20</v>
      </c>
      <c r="EC16" s="206" t="n">
        <v>0</v>
      </c>
      <c r="ED16" s="215" t="n">
        <v>20</v>
      </c>
      <c r="EE16" s="515" t="n"/>
      <c r="EF16" s="211" t="n"/>
      <c r="EG16" s="211" t="n"/>
      <c r="EH16" s="136" t="n"/>
      <c r="EI16" s="136" t="n"/>
      <c r="EJ16" s="118">
        <f>IFERROR(VLOOKUP(A16,站前4樓!A:BF,57,0),0)</f>
        <v/>
      </c>
      <c r="EK16" s="213">
        <f>IFERROR(VLOOKUP(A16,站前11樓!A:BE,57,0),0)</f>
        <v/>
      </c>
      <c r="EL16" s="118">
        <f>IFERROR(VLOOKUP(A16,忠孝7樓!A:N,57,0),0)</f>
        <v/>
      </c>
      <c r="EM16" s="118">
        <f>IFERROR(VLOOKUP(A16,忠孝國際醫學3樓!A:L,57,0),0)</f>
        <v/>
      </c>
      <c r="EN16" s="118">
        <f>SUM(ED16:EG16)</f>
        <v/>
      </c>
      <c r="EP16" s="118" t="n">
        <v>20</v>
      </c>
      <c r="EQ16" s="118" t="n">
        <v>34</v>
      </c>
    </row>
    <row r="17" ht="15.75" customFormat="1" customHeight="1" s="118">
      <c r="A17" s="136" t="inlineStr">
        <is>
          <t>MP1MA070006A</t>
        </is>
      </c>
      <c r="B17" s="118" t="n">
        <v>6210001</v>
      </c>
      <c r="C17" s="118" t="inlineStr">
        <is>
          <t>水光針針頭/ 31G/ 9pin/ 1.0mm(1支)</t>
        </is>
      </c>
      <c r="D17" s="197" t="n">
        <v>20</v>
      </c>
      <c r="E17" s="198" t="inlineStr">
        <is>
          <t>PCS</t>
        </is>
      </c>
      <c r="F17" s="199">
        <f>SUMIF(站前4樓!B:B,B17,站前4樓!F:F)</f>
        <v/>
      </c>
      <c r="G17" s="199">
        <f>SUMIF(站前11樓!B:B,B17,站前11樓!F:F)</f>
        <v/>
      </c>
      <c r="H17" s="199">
        <f>SUMIF(忠孝7樓!B:B,B17,忠孝7樓!G:G)</f>
        <v/>
      </c>
      <c r="I17" s="199">
        <f>SUMIF(忠孝國際醫學3樓!B:B,B17,忠孝國際醫學3樓!G:G)</f>
        <v/>
      </c>
      <c r="J17" s="199">
        <f>SUMIF(忠孝健康7樓!B:B,B17,忠孝健康7樓!G:G)</f>
        <v/>
      </c>
      <c r="K17" s="200" t="n">
        <v>0</v>
      </c>
      <c r="L17" s="200" t="n">
        <v>0</v>
      </c>
      <c r="M17" s="200" t="n">
        <v>0</v>
      </c>
      <c r="N17" s="200" t="n">
        <v>0</v>
      </c>
      <c r="O17" s="200" t="n">
        <v>0</v>
      </c>
      <c r="P17" s="200" t="n">
        <v>0</v>
      </c>
      <c r="Q17" s="200" t="n">
        <v>0</v>
      </c>
      <c r="R17" s="200" t="n">
        <v>0</v>
      </c>
      <c r="S17" s="200" t="n">
        <v>0</v>
      </c>
      <c r="T17" s="200" t="n">
        <v>0</v>
      </c>
      <c r="U17" s="200" t="n">
        <v>0</v>
      </c>
      <c r="V17" s="200" t="n">
        <v>0</v>
      </c>
      <c r="W17" s="200" t="n">
        <v>0</v>
      </c>
      <c r="X17" s="200" t="n">
        <v>0</v>
      </c>
      <c r="Y17" s="200" t="n">
        <v>0</v>
      </c>
      <c r="Z17" s="200" t="n">
        <v>0</v>
      </c>
      <c r="AA17" s="200" t="n">
        <v>0</v>
      </c>
      <c r="AB17" s="200" t="n">
        <v>1</v>
      </c>
      <c r="AC17" s="200" t="n">
        <v>0</v>
      </c>
      <c r="AD17" s="200" t="n">
        <v>0</v>
      </c>
      <c r="AE17" s="200" t="n">
        <v>0</v>
      </c>
      <c r="AF17" s="200" t="n">
        <v>0</v>
      </c>
      <c r="AG17" s="200" t="n">
        <v>1</v>
      </c>
      <c r="AH17" s="200" t="n">
        <v>0</v>
      </c>
      <c r="AI17" s="200" t="n">
        <v>0</v>
      </c>
      <c r="AJ17" s="201" t="n">
        <v>0.05</v>
      </c>
      <c r="AK17" s="201" t="n">
        <v>0.1</v>
      </c>
      <c r="AL17" s="201" t="n">
        <v>0.15</v>
      </c>
      <c r="AM17" s="201" t="n">
        <v>0.15</v>
      </c>
      <c r="AN17" s="201" t="n">
        <v>0.05</v>
      </c>
      <c r="AO17" s="201" t="n">
        <v>0.35</v>
      </c>
      <c r="AP17" s="201" t="n">
        <v>0.65</v>
      </c>
      <c r="AQ17" s="201" t="n">
        <v>1.2</v>
      </c>
      <c r="AR17" s="201" t="n">
        <v>0</v>
      </c>
      <c r="AS17" s="201" t="n">
        <v>0.3</v>
      </c>
      <c r="AT17" s="512" t="n">
        <v>0</v>
      </c>
      <c r="AU17" s="203" t="n">
        <v>0</v>
      </c>
      <c r="AV17" s="204">
        <f>SUM(AJ17:AU17)</f>
        <v/>
      </c>
      <c r="AW17" s="513">
        <f>AV17/12</f>
        <v/>
      </c>
      <c r="AX17" s="203" t="n">
        <v>6</v>
      </c>
      <c r="AY17" s="203" t="n">
        <v>1</v>
      </c>
      <c r="AZ17" s="203" t="n">
        <v>7</v>
      </c>
      <c r="BA17" s="203" t="n">
        <v>10</v>
      </c>
      <c r="BB17" s="203" t="n">
        <v>0</v>
      </c>
      <c r="BC17" s="203">
        <f>SUMIFS(領用表!$L:$L,領用表!$A:$A,BC$2,領用表!$E:$E,B17)</f>
        <v/>
      </c>
      <c r="BD17" s="206">
        <f>SUMIFS(領用表!$L:$L,領用表!$E:$E,$B17,領用表!$B:$B,BC$2&amp;BD$2)</f>
        <v/>
      </c>
      <c r="BE17" s="206">
        <f>SUMIFS(領用表!$L:$L,領用表!$E:$E,$B17,領用表!$B:$B,$BC$2&amp;BE$2)</f>
        <v/>
      </c>
      <c r="BF17" s="206">
        <f>SUMIFS(領用表!$L:$L,領用表!$E:$E,$B17,領用表!$B:$B,$BC$2&amp;BF$2)</f>
        <v/>
      </c>
      <c r="BG17" s="206">
        <f>SUMIFS(領用表!$L:$L,領用表!$E:$E,$B17,領用表!$B:$B,$BC$2&amp;BG$2)</f>
        <v/>
      </c>
      <c r="BH17" s="203">
        <f>SUMIFS(領用表!$L:$L,領用表!$A:$A,BH$2,領用表!$E:$E,B17)</f>
        <v/>
      </c>
      <c r="BI17" s="206">
        <f>SUMIFS(領用表!$L:$L,領用表!$E:$E,$B17,領用表!$B:$B,BH$2&amp;BI$2)</f>
        <v/>
      </c>
      <c r="BJ17" s="206">
        <f>SUMIFS(領用表!$L:$L,領用表!$E:$E,$B17,領用表!$B:$B,$BH$2&amp;BJ$2)</f>
        <v/>
      </c>
      <c r="BK17" s="206">
        <f>SUMIFS(領用表!$L:$L,領用表!$E:$E,$B17,領用表!$B:$B,$BH$2&amp;BK$2)</f>
        <v/>
      </c>
      <c r="BL17" s="206">
        <f>SUMIFS(領用表!$L:$L,領用表!$E:$E,$B17,領用表!$B:$B,$BH$2&amp;BL$2)</f>
        <v/>
      </c>
      <c r="BM17" s="203">
        <f>SUMIFS(領用表!$L:$L,領用表!$A:$A,BM$2,領用表!$E:$E,B17)</f>
        <v/>
      </c>
      <c r="BN17" s="206">
        <f>SUMIFS(領用表!$L:$L,領用表!$E:$E,$B17,領用表!$B:$B,BM$2&amp;BN$2)</f>
        <v/>
      </c>
      <c r="BO17" s="206">
        <f>SUMIFS(領用表!$L:$L,領用表!$E:$E,$B17,領用表!$B:$B,$BM$2&amp;BO$2)</f>
        <v/>
      </c>
      <c r="BP17" s="206">
        <f>SUMIFS(領用表!$L:$L,領用表!$E:$E,$B17,領用表!$B:$B,$BM$2&amp;BP$2)</f>
        <v/>
      </c>
      <c r="BQ17" s="206">
        <f>SUMIFS(領用表!$L:$L,領用表!$E:$E,$B17,領用表!$B:$B,$BM$2&amp;BQ$2)</f>
        <v/>
      </c>
      <c r="BR17" s="203">
        <f>SUMIFS(領用表!$L:$L,領用表!$A:$A,BR$2,領用表!$E:$E,B17)</f>
        <v/>
      </c>
      <c r="BS17" s="206">
        <f>SUMIFS(領用表!$L:$L,領用表!$E:$E,$B17,領用表!$B:$B,BR$2&amp;BS$2)</f>
        <v/>
      </c>
      <c r="BT17" s="206">
        <f>SUMIFS(領用表!$L:$L,領用表!$E:$E,$B17,領用表!$B:$B,$BR$2&amp;BT$2)</f>
        <v/>
      </c>
      <c r="BU17" s="206">
        <f>SUMIFS(領用表!$L:$L,領用表!$E:$E,$B17,領用表!$B:$B,$BR$2&amp;BU$2)</f>
        <v/>
      </c>
      <c r="BV17" s="206">
        <f>SUMIFS(領用表!$L:$L,領用表!$E:$E,$B17,領用表!$B:$B,$BR$2&amp;BV$2)</f>
        <v/>
      </c>
      <c r="BW17" s="208">
        <f>SUMIFS(領用表!$L:$L,領用表!$A:$A,BW$2,領用表!$E:$E,B17)</f>
        <v/>
      </c>
      <c r="BX17" s="216">
        <f>SUMIFS(領用表!$L:$L,領用表!$E:$E,$B17,領用表!$B:$B,BW$2&amp;BX$2)</f>
        <v/>
      </c>
      <c r="BY17" s="216">
        <f>SUMIFS(領用表!$L:$L,領用表!$E:$E,$B17,領用表!$B:$B,$BW$2&amp;BY$2)</f>
        <v/>
      </c>
      <c r="BZ17" s="216">
        <f>SUMIFS(領用表!$L:$L,領用表!$E:$E,$B17,領用表!$B:$B,$BW$2&amp;BZ$2)</f>
        <v/>
      </c>
      <c r="CA17" s="216">
        <f>SUMIFS(領用表!$L:$L,領用表!$E:$E,$B17,領用表!$B:$B,$BW$2&amp;CA$2)</f>
        <v/>
      </c>
      <c r="CB17" s="208">
        <f>SUMIFS(領用表!$L:$L,領用表!$A:$A,CB$2,領用表!$E:$E,B17)</f>
        <v/>
      </c>
      <c r="CC17" s="216">
        <f>SUMIFS(領用表!$L:$L,領用表!$E:$E,$B17,領用表!$B:$B,CB$2&amp;CC$2)</f>
        <v/>
      </c>
      <c r="CD17" s="216">
        <f>SUMIFS(領用表!$L:$L,領用表!$E:$E,$B17,領用表!$B:$B,$CB$2&amp;CD$2)</f>
        <v/>
      </c>
      <c r="CE17" s="216">
        <f>SUMIFS(領用表!$L:$L,領用表!$E:$E,$B17,領用表!$B:$B,$CB$2&amp;CE$2)</f>
        <v/>
      </c>
      <c r="CF17" s="216">
        <f>SUMIFS(領用表!$L:$L,領用表!$E:$E,$B17,領用表!$B:$B,$CB$2&amp;CF$2)</f>
        <v/>
      </c>
      <c r="CG17" s="217">
        <f>SUMIFS(領用表!$L:$L,領用表!$A:$A,CG$2,領用表!$E:$E,B17)</f>
        <v/>
      </c>
      <c r="CH17" s="216">
        <f>SUMIFS(領用表!$L:$L,領用表!$E:$E,$B17,領用表!$B:$B,CG$2&amp;CH$2)</f>
        <v/>
      </c>
      <c r="CI17" s="216">
        <f>SUMIFS(領用表!$L:$L,領用表!$E:$E,$B17,領用表!$B:$B,CG$2&amp;CI$2)</f>
        <v/>
      </c>
      <c r="CJ17" s="216">
        <f>SUMIFS(領用表!$L:$L,領用表!$E:$E,$B17,領用表!$B:$B,CG$2&amp;CJ$2)</f>
        <v/>
      </c>
      <c r="CK17" s="216">
        <f>SUMIFS(領用表!$L:$L,領用表!$E:$E,$B17,領用表!$B:$B,$CG$2&amp;CK$2)</f>
        <v/>
      </c>
      <c r="CL17" s="207">
        <f>SUM(AX17,AY17,AZ17,BA17,BB17,BC17,BH17,BM17,BR17,BW17,CB17,CG17)</f>
        <v/>
      </c>
      <c r="CM17" s="207">
        <f>AVERAGE(AX17,AY17,AZ17,BA17,BB17,BC17,BH17,BM17,BR17,BW17,CB17,CG17)</f>
        <v/>
      </c>
      <c r="CN17" s="217">
        <f>SUMIFS(領用表!$L:$L,領用表!$A:$A,CN$2,領用表!$E:$E,B17)</f>
        <v/>
      </c>
      <c r="CO17" s="216">
        <f>SUMIFS(領用表!$L:$L,領用表!$E:$E,$B17,領用表!$B:$B,CN$2&amp;CO$2)</f>
        <v/>
      </c>
      <c r="CP17" s="216">
        <f>SUMIFS(領用表!$L:$L,領用表!$E:$E,$B17,領用表!$B:$B,$CN$2&amp;CP$2)</f>
        <v/>
      </c>
      <c r="CQ17" s="216">
        <f>SUMIFS(領用表!$L:$L,領用表!$E:$E,$B17,領用表!$B:$B,$CN$2&amp;CQ$2)</f>
        <v/>
      </c>
      <c r="CR17" s="216">
        <f>SUMIFS(領用表!$L:$L,領用表!$E:$E,$B17,領用表!$B:$B,$CN$2&amp;CR$2)</f>
        <v/>
      </c>
      <c r="CS17" s="208">
        <f>SUMIFS(領用表!$L:$L,領用表!$A:$A,CS$2,領用表!$E:$E,B17)</f>
        <v/>
      </c>
      <c r="CT17" s="216">
        <f>SUMIFS(領用表!$L:$L,領用表!$E:$E,$B17,領用表!$B:$B,CS$2&amp;CT$2)</f>
        <v/>
      </c>
      <c r="CU17" s="216">
        <f>SUMIFS(領用表!$L:$L,領用表!$E:$E,$B17,領用表!$B:$B,$CS$2&amp;CU$2)</f>
        <v/>
      </c>
      <c r="CV17" s="216">
        <f>SUMIFS(領用表!$L:$L,領用表!$E:$E,$B17,領用表!$B:$B,$CS$2&amp;CV$2)</f>
        <v/>
      </c>
      <c r="CW17" s="216">
        <f>SUMIFS(領用表!$L:$L,領用表!$E:$E,$B17,領用表!$B:$B,$CS$2&amp;CW$2)</f>
        <v/>
      </c>
      <c r="CX17" s="216">
        <f>SUMIFS(領用表!$L:$L,領用表!$E:$E,$B17,領用表!$B:$B,$CS$2&amp;CX$2)</f>
        <v/>
      </c>
      <c r="CY17" s="208">
        <f>SUMIFS(領用表!$L:$L,領用表!$A:$A,CY$2,領用表!$E:$E,B17)</f>
        <v/>
      </c>
      <c r="CZ17" s="216">
        <f>SUMIFS(領用表!$L:$L,領用表!$E:$E,$B17,領用表!$B:$B,CY$2&amp;CZ$2)</f>
        <v/>
      </c>
      <c r="DA17" s="216">
        <f>SUMIFS(領用表!$L:$L,領用表!$E:$E,$B17,領用表!$B:$B,$CY$2&amp;DA$2)</f>
        <v/>
      </c>
      <c r="DB17" s="216">
        <f>SUMIFS(領用表!$L:$L,領用表!$E:$E,$B17,領用表!$B:$B,$CY$2&amp;DB$2)</f>
        <v/>
      </c>
      <c r="DC17" s="216">
        <f>SUMIFS(領用表!$L:$L,領用表!$E:$E,$B17,領用表!$B:$B,$CY$2&amp;DC$2)</f>
        <v/>
      </c>
      <c r="DD17" s="216">
        <f>SUMIFS(領用表!$L:$L,領用表!$E:$E,$B17,領用表!$B:$B,$CY$2&amp;DD$2)</f>
        <v/>
      </c>
      <c r="DE17" s="208">
        <f>SUMIFS(領用表!$L:$L,領用表!$A:$A,DE$2,領用表!$E:$E,B17)</f>
        <v/>
      </c>
      <c r="DF17" s="216">
        <f>SUMIFS(領用表!$L:$L,領用表!$E:$E,$B17,領用表!$B:$B,DE$2&amp;DF$2)</f>
        <v/>
      </c>
      <c r="DG17" s="216">
        <f>SUMIFS(領用表!$L:$L,領用表!$E:$E,$B17,領用表!$B:$B,$DE$2&amp;DG$2)</f>
        <v/>
      </c>
      <c r="DH17" s="216">
        <f>SUMIFS(領用表!$L:$L,領用表!$E:$E,$B17,領用表!$B:$B,$DE$2&amp;DH$2)</f>
        <v/>
      </c>
      <c r="DI17" s="216">
        <f>SUMIFS(領用表!$L:$L,領用表!$E:$E,$B17,領用表!$B:$B,$DE$2&amp;DI$2)</f>
        <v/>
      </c>
      <c r="DJ17" s="216">
        <f>SUMIFS(領用表!$L:$L,領用表!$E:$E,$B17,領用表!$B:$B,$DE$2&amp;DJ$2)</f>
        <v/>
      </c>
      <c r="DK17" s="208">
        <f>SUMIFS(領用表!$L:$L,領用表!$A:$A,DK$2,領用表!$E:$E,$B17)</f>
        <v/>
      </c>
      <c r="DL17" s="216">
        <f>SUMIFS(領用表!$L:$L,領用表!$E:$E,$B17,領用表!$B:$B,DK$2&amp;DL$2)</f>
        <v/>
      </c>
      <c r="DM17" s="216">
        <f>SUMIFS(領用表!$L:$L,領用表!$E:$E,$B17,領用表!$B:$B,$DK$2&amp;DM$2)</f>
        <v/>
      </c>
      <c r="DN17" s="216">
        <f>SUMIFS(領用表!$L:$L,領用表!$E:$E,$B17,領用表!$B:$B,$DK$2&amp;DN$2)</f>
        <v/>
      </c>
      <c r="DO17" s="216">
        <f>SUMIFS(領用表!$L:$L,領用表!$E:$E,$B17,領用表!$B:$B,$DK$2&amp;DO$2)</f>
        <v/>
      </c>
      <c r="DP17" s="216">
        <f>SUMIFS(領用表!$L:$L,領用表!$E:$E,$B17,領用表!$B:$B,$DK$2&amp;DP$2)</f>
        <v/>
      </c>
      <c r="DQ17" s="208" t="n"/>
      <c r="DR17" s="216" t="n"/>
      <c r="DS17" s="216" t="n"/>
      <c r="DT17" s="216" t="n"/>
      <c r="DU17" s="216" t="n"/>
      <c r="DV17" s="216" t="n"/>
      <c r="DW17" s="216">
        <f>SUM(CN17,CS17,CY17,DE17,DK17,DQ17)</f>
        <v/>
      </c>
      <c r="DX17" s="216">
        <f>AVERAGEA(CN17,CS17,CY17,DE17,DK17,DQ17)</f>
        <v/>
      </c>
      <c r="DY17" s="216">
        <f>SUM(DZ17:EC17)</f>
        <v/>
      </c>
      <c r="DZ17" s="216" t="n">
        <v>5</v>
      </c>
      <c r="EA17" s="216" t="n">
        <v>0</v>
      </c>
      <c r="EB17" s="216" t="n">
        <v>5</v>
      </c>
      <c r="EC17" s="216" t="n">
        <v>0</v>
      </c>
      <c r="ED17" s="215" t="n">
        <v>20</v>
      </c>
      <c r="EE17" s="464" t="n"/>
      <c r="EF17" s="211" t="n"/>
      <c r="EG17" s="211" t="n"/>
      <c r="EH17" s="136" t="n"/>
      <c r="EI17" s="212" t="n"/>
      <c r="EJ17" s="118">
        <f>IFERROR(VLOOKUP(A17,站前4樓!A:BF,57,0),0)</f>
        <v/>
      </c>
      <c r="EK17" s="213">
        <f>IFERROR(VLOOKUP(A17,站前11樓!A:BE,57,0),0)</f>
        <v/>
      </c>
      <c r="EL17" s="118">
        <f>IFERROR(VLOOKUP(A17,忠孝7樓!A:N,57,0),0)</f>
        <v/>
      </c>
      <c r="EM17" s="118">
        <f>IFERROR(VLOOKUP(A17,忠孝國際醫學3樓!A:L,57,0),0)</f>
        <v/>
      </c>
      <c r="EN17" s="118">
        <f>SUM(ED17:EG17)</f>
        <v/>
      </c>
      <c r="EP17" s="118" t="n">
        <v>60</v>
      </c>
      <c r="EQ17" s="118" t="n">
        <v>23</v>
      </c>
    </row>
    <row r="18" ht="15.75" customFormat="1" customHeight="1" s="118">
      <c r="A18" s="136" t="inlineStr">
        <is>
          <t>MP1MA070007A</t>
        </is>
      </c>
      <c r="B18" s="118" t="n">
        <v>6210002</v>
      </c>
      <c r="C18" s="118" t="inlineStr">
        <is>
          <t>水光針針頭/ 31G/ 9pin/ 1.2mm(1支)</t>
        </is>
      </c>
      <c r="D18" s="197" t="n">
        <v>20</v>
      </c>
      <c r="E18" s="198" t="inlineStr">
        <is>
          <t>PCS</t>
        </is>
      </c>
      <c r="F18" s="199">
        <f>SUMIF(站前4樓!B:B,B18,站前4樓!F:F)</f>
        <v/>
      </c>
      <c r="G18" s="199">
        <f>SUMIF(站前11樓!B:B,B18,站前11樓!F:F)</f>
        <v/>
      </c>
      <c r="H18" s="199">
        <f>SUMIF(忠孝7樓!B:B,B18,忠孝7樓!G:G)</f>
        <v/>
      </c>
      <c r="I18" s="199">
        <f>SUMIF(忠孝國際醫學3樓!B:B,B18,忠孝國際醫學3樓!G:G)</f>
        <v/>
      </c>
      <c r="J18" s="199">
        <f>SUMIF(忠孝健康7樓!B:B,B18,忠孝健康7樓!G:G)</f>
        <v/>
      </c>
      <c r="K18" s="200" t="n">
        <v>0</v>
      </c>
      <c r="L18" s="200" t="n">
        <v>0</v>
      </c>
      <c r="M18" s="200" t="n">
        <v>0</v>
      </c>
      <c r="N18" s="200" t="n">
        <v>0</v>
      </c>
      <c r="O18" s="200" t="n">
        <v>0</v>
      </c>
      <c r="P18" s="200" t="n">
        <v>0</v>
      </c>
      <c r="Q18" s="200" t="n">
        <v>0</v>
      </c>
      <c r="R18" s="200" t="n">
        <v>0</v>
      </c>
      <c r="S18" s="200" t="n">
        <v>0</v>
      </c>
      <c r="T18" s="200" t="n">
        <v>0</v>
      </c>
      <c r="U18" s="200" t="n">
        <v>0</v>
      </c>
      <c r="V18" s="200" t="n">
        <v>0</v>
      </c>
      <c r="W18" s="200" t="n">
        <v>0</v>
      </c>
      <c r="X18" s="200" t="n">
        <v>0</v>
      </c>
      <c r="Y18" s="200" t="n">
        <v>0</v>
      </c>
      <c r="Z18" s="200" t="n">
        <v>0</v>
      </c>
      <c r="AA18" s="200" t="n">
        <v>0</v>
      </c>
      <c r="AB18" s="200" t="n">
        <v>0</v>
      </c>
      <c r="AC18" s="200" t="n">
        <v>0</v>
      </c>
      <c r="AD18" s="200" t="n">
        <v>0</v>
      </c>
      <c r="AE18" s="200" t="n">
        <v>0</v>
      </c>
      <c r="AF18" s="200" t="n">
        <v>0</v>
      </c>
      <c r="AG18" s="200" t="n">
        <v>0</v>
      </c>
      <c r="AH18" s="200" t="n">
        <v>0</v>
      </c>
      <c r="AI18" s="200" t="n">
        <v>0</v>
      </c>
      <c r="AJ18" s="201" t="n">
        <v>0</v>
      </c>
      <c r="AK18" s="201" t="n">
        <v>0</v>
      </c>
      <c r="AL18" s="201" t="n">
        <v>0</v>
      </c>
      <c r="AM18" s="201" t="n">
        <v>0</v>
      </c>
      <c r="AN18" s="201" t="n">
        <v>0</v>
      </c>
      <c r="AO18" s="201" t="n">
        <v>0</v>
      </c>
      <c r="AP18" s="201" t="n">
        <v>0</v>
      </c>
      <c r="AQ18" s="201" t="n">
        <v>0</v>
      </c>
      <c r="AR18" s="201" t="n">
        <v>0.9</v>
      </c>
      <c r="AS18" s="201" t="n">
        <v>1.1</v>
      </c>
      <c r="AT18" s="512" t="n">
        <v>0.65</v>
      </c>
      <c r="AU18" s="203" t="n">
        <v>9</v>
      </c>
      <c r="AV18" s="204">
        <f>SUM(AJ18:AU18)</f>
        <v/>
      </c>
      <c r="AW18" s="513">
        <f>AV18/12</f>
        <v/>
      </c>
      <c r="AX18" s="203" t="n">
        <v>22</v>
      </c>
      <c r="AY18" s="203" t="n">
        <v>36</v>
      </c>
      <c r="AZ18" s="203" t="n">
        <v>35</v>
      </c>
      <c r="BA18" s="203" t="n">
        <v>26</v>
      </c>
      <c r="BB18" s="203" t="n">
        <v>17</v>
      </c>
      <c r="BC18" s="203">
        <f>SUMIFS(領用表!$L:$L,領用表!$A:$A,BC$2,領用表!$E:$E,B18)</f>
        <v/>
      </c>
      <c r="BD18" s="206">
        <f>SUMIFS(領用表!$L:$L,領用表!$E:$E,$B18,領用表!$B:$B,BC$2&amp;BD$2)</f>
        <v/>
      </c>
      <c r="BE18" s="206">
        <f>SUMIFS(領用表!$L:$L,領用表!$E:$E,$B18,領用表!$B:$B,$BC$2&amp;BE$2)</f>
        <v/>
      </c>
      <c r="BF18" s="206">
        <f>SUMIFS(領用表!$L:$L,領用表!$E:$E,$B18,領用表!$B:$B,$BC$2&amp;BF$2)</f>
        <v/>
      </c>
      <c r="BG18" s="206">
        <f>SUMIFS(領用表!$L:$L,領用表!$E:$E,$B18,領用表!$B:$B,$BC$2&amp;BG$2)</f>
        <v/>
      </c>
      <c r="BH18" s="203">
        <f>SUMIFS(領用表!$L:$L,領用表!$A:$A,BH$2,領用表!$E:$E,B18)</f>
        <v/>
      </c>
      <c r="BI18" s="206">
        <f>SUMIFS(領用表!$L:$L,領用表!$E:$E,$B18,領用表!$B:$B,BH$2&amp;BI$2)</f>
        <v/>
      </c>
      <c r="BJ18" s="206">
        <f>SUMIFS(領用表!$L:$L,領用表!$E:$E,$B18,領用表!$B:$B,$BH$2&amp;BJ$2)</f>
        <v/>
      </c>
      <c r="BK18" s="206">
        <f>SUMIFS(領用表!$L:$L,領用表!$E:$E,$B18,領用表!$B:$B,$BH$2&amp;BK$2)</f>
        <v/>
      </c>
      <c r="BL18" s="206">
        <f>SUMIFS(領用表!$L:$L,領用表!$E:$E,$B18,領用表!$B:$B,$BH$2&amp;BL$2)</f>
        <v/>
      </c>
      <c r="BM18" s="203">
        <f>SUMIFS(領用表!$L:$L,領用表!$A:$A,BM$2,領用表!$E:$E,B18)</f>
        <v/>
      </c>
      <c r="BN18" s="206">
        <f>SUMIFS(領用表!$L:$L,領用表!$E:$E,$B18,領用表!$B:$B,BM$2&amp;BN$2)</f>
        <v/>
      </c>
      <c r="BO18" s="206">
        <f>SUMIFS(領用表!$L:$L,領用表!$E:$E,$B18,領用表!$B:$B,$BM$2&amp;BO$2)</f>
        <v/>
      </c>
      <c r="BP18" s="206">
        <f>SUMIFS(領用表!$L:$L,領用表!$E:$E,$B18,領用表!$B:$B,$BM$2&amp;BP$2)</f>
        <v/>
      </c>
      <c r="BQ18" s="206">
        <f>SUMIFS(領用表!$L:$L,領用表!$E:$E,$B18,領用表!$B:$B,$BM$2&amp;BQ$2)</f>
        <v/>
      </c>
      <c r="BR18" s="203">
        <f>SUMIFS(領用表!$L:$L,領用表!$A:$A,BR$2,領用表!$E:$E,B18)</f>
        <v/>
      </c>
      <c r="BS18" s="206">
        <f>SUMIFS(領用表!$L:$L,領用表!$E:$E,$B18,領用表!$B:$B,BR$2&amp;BS$2)</f>
        <v/>
      </c>
      <c r="BT18" s="206">
        <f>SUMIFS(領用表!$L:$L,領用表!$E:$E,$B18,領用表!$B:$B,$BR$2&amp;BT$2)</f>
        <v/>
      </c>
      <c r="BU18" s="206">
        <f>SUMIFS(領用表!$L:$L,領用表!$E:$E,$B18,領用表!$B:$B,$BR$2&amp;BU$2)</f>
        <v/>
      </c>
      <c r="BV18" s="206">
        <f>SUMIFS(領用表!$L:$L,領用表!$E:$E,$B18,領用表!$B:$B,$BR$2&amp;BV$2)</f>
        <v/>
      </c>
      <c r="BW18" s="208">
        <f>SUMIFS(領用表!$L:$L,領用表!$A:$A,BW$2,領用表!$E:$E,B18)</f>
        <v/>
      </c>
      <c r="BX18" s="216">
        <f>SUMIFS(領用表!$L:$L,領用表!$E:$E,$B18,領用表!$B:$B,BW$2&amp;BX$2)</f>
        <v/>
      </c>
      <c r="BY18" s="216">
        <f>SUMIFS(領用表!$L:$L,領用表!$E:$E,$B18,領用表!$B:$B,$BW$2&amp;BY$2)</f>
        <v/>
      </c>
      <c r="BZ18" s="216">
        <f>SUMIFS(領用表!$L:$L,領用表!$E:$E,$B18,領用表!$B:$B,$BW$2&amp;BZ$2)</f>
        <v/>
      </c>
      <c r="CA18" s="216">
        <f>SUMIFS(領用表!$L:$L,領用表!$E:$E,$B18,領用表!$B:$B,$BW$2&amp;CA$2)</f>
        <v/>
      </c>
      <c r="CB18" s="208">
        <f>SUMIFS(領用表!$L:$L,領用表!$A:$A,CB$2,領用表!$E:$E,B18)</f>
        <v/>
      </c>
      <c r="CC18" s="216">
        <f>SUMIFS(領用表!$L:$L,領用表!$E:$E,$B18,領用表!$B:$B,CB$2&amp;CC$2)</f>
        <v/>
      </c>
      <c r="CD18" s="216">
        <f>SUMIFS(領用表!$L:$L,領用表!$E:$E,$B18,領用表!$B:$B,$CB$2&amp;CD$2)</f>
        <v/>
      </c>
      <c r="CE18" s="216">
        <f>SUMIFS(領用表!$L:$L,領用表!$E:$E,$B18,領用表!$B:$B,$CB$2&amp;CE$2)</f>
        <v/>
      </c>
      <c r="CF18" s="216">
        <f>SUMIFS(領用表!$L:$L,領用表!$E:$E,$B18,領用表!$B:$B,$CB$2&amp;CF$2)</f>
        <v/>
      </c>
      <c r="CG18" s="217">
        <f>SUMIFS(領用表!$L:$L,領用表!$A:$A,CG$2,領用表!$E:$E,B18)</f>
        <v/>
      </c>
      <c r="CH18" s="216">
        <f>SUMIFS(領用表!$L:$L,領用表!$E:$E,$B18,領用表!$B:$B,CG$2&amp;CH$2)</f>
        <v/>
      </c>
      <c r="CI18" s="216">
        <f>SUMIFS(領用表!$L:$L,領用表!$E:$E,$B18,領用表!$B:$B,CG$2&amp;CI$2)</f>
        <v/>
      </c>
      <c r="CJ18" s="216">
        <f>SUMIFS(領用表!$L:$L,領用表!$E:$E,$B18,領用表!$B:$B,CG$2&amp;CJ$2)</f>
        <v/>
      </c>
      <c r="CK18" s="216">
        <f>SUMIFS(領用表!$L:$L,領用表!$E:$E,$B18,領用表!$B:$B,$CG$2&amp;CK$2)</f>
        <v/>
      </c>
      <c r="CL18" s="207">
        <f>SUM(AX18,AY18,AZ18,BA18,BB18,BC18,BH18,BM18,BR18,BW18,CB18,CG18)</f>
        <v/>
      </c>
      <c r="CM18" s="207">
        <f>AVERAGE(AX18,AY18,AZ18,BA18,BB18,BC18,BH18,BM18,BR18,BW18,CB18,CG18)</f>
        <v/>
      </c>
      <c r="CN18" s="217">
        <f>SUMIFS(領用表!$L:$L,領用表!$A:$A,CN$2,領用表!$E:$E,B18)</f>
        <v/>
      </c>
      <c r="CO18" s="216">
        <f>SUMIFS(領用表!$L:$L,領用表!$E:$E,$B18,領用表!$B:$B,CN$2&amp;CO$2)</f>
        <v/>
      </c>
      <c r="CP18" s="216">
        <f>SUMIFS(領用表!$L:$L,領用表!$E:$E,$B18,領用表!$B:$B,$CN$2&amp;CP$2)</f>
        <v/>
      </c>
      <c r="CQ18" s="216">
        <f>SUMIFS(領用表!$L:$L,領用表!$E:$E,$B18,領用表!$B:$B,$CN$2&amp;CQ$2)</f>
        <v/>
      </c>
      <c r="CR18" s="216">
        <f>SUMIFS(領用表!$L:$L,領用表!$E:$E,$B18,領用表!$B:$B,$CN$2&amp;CR$2)</f>
        <v/>
      </c>
      <c r="CS18" s="208">
        <f>SUMIFS(領用表!$L:$L,領用表!$A:$A,CS$2,領用表!$E:$E,B18)</f>
        <v/>
      </c>
      <c r="CT18" s="216">
        <f>SUMIFS(領用表!$L:$L,領用表!$E:$E,$B18,領用表!$B:$B,CS$2&amp;CT$2)</f>
        <v/>
      </c>
      <c r="CU18" s="216">
        <f>SUMIFS(領用表!$L:$L,領用表!$E:$E,$B18,領用表!$B:$B,$CS$2&amp;CU$2)</f>
        <v/>
      </c>
      <c r="CV18" s="216">
        <f>SUMIFS(領用表!$L:$L,領用表!$E:$E,$B18,領用表!$B:$B,$CS$2&amp;CV$2)</f>
        <v/>
      </c>
      <c r="CW18" s="216">
        <f>SUMIFS(領用表!$L:$L,領用表!$E:$E,$B18,領用表!$B:$B,$CS$2&amp;CW$2)</f>
        <v/>
      </c>
      <c r="CX18" s="216">
        <f>SUMIFS(領用表!$L:$L,領用表!$E:$E,$B18,領用表!$B:$B,$CS$2&amp;CX$2)</f>
        <v/>
      </c>
      <c r="CY18" s="208">
        <f>SUMIFS(領用表!$L:$L,領用表!$A:$A,CY$2,領用表!$E:$E,B18)</f>
        <v/>
      </c>
      <c r="CZ18" s="216">
        <f>SUMIFS(領用表!$L:$L,領用表!$E:$E,$B18,領用表!$B:$B,CY$2&amp;CZ$2)</f>
        <v/>
      </c>
      <c r="DA18" s="216">
        <f>SUMIFS(領用表!$L:$L,領用表!$E:$E,$B18,領用表!$B:$B,$CY$2&amp;DA$2)</f>
        <v/>
      </c>
      <c r="DB18" s="216">
        <f>SUMIFS(領用表!$L:$L,領用表!$E:$E,$B18,領用表!$B:$B,$CY$2&amp;DB$2)</f>
        <v/>
      </c>
      <c r="DC18" s="216">
        <f>SUMIFS(領用表!$L:$L,領用表!$E:$E,$B18,領用表!$B:$B,$CY$2&amp;DC$2)</f>
        <v/>
      </c>
      <c r="DD18" s="216">
        <f>SUMIFS(領用表!$L:$L,領用表!$E:$E,$B18,領用表!$B:$B,$CY$2&amp;DD$2)</f>
        <v/>
      </c>
      <c r="DE18" s="208">
        <f>SUMIFS(領用表!$L:$L,領用表!$A:$A,DE$2,領用表!$E:$E,B18)</f>
        <v/>
      </c>
      <c r="DF18" s="216">
        <f>SUMIFS(領用表!$L:$L,領用表!$E:$E,$B18,領用表!$B:$B,DE$2&amp;DF$2)</f>
        <v/>
      </c>
      <c r="DG18" s="216">
        <f>SUMIFS(領用表!$L:$L,領用表!$E:$E,$B18,領用表!$B:$B,$DE$2&amp;DG$2)</f>
        <v/>
      </c>
      <c r="DH18" s="216">
        <f>SUMIFS(領用表!$L:$L,領用表!$E:$E,$B18,領用表!$B:$B,$DE$2&amp;DH$2)</f>
        <v/>
      </c>
      <c r="DI18" s="216">
        <f>SUMIFS(領用表!$L:$L,領用表!$E:$E,$B18,領用表!$B:$B,$DE$2&amp;DI$2)</f>
        <v/>
      </c>
      <c r="DJ18" s="216">
        <f>SUMIFS(領用表!$L:$L,領用表!$E:$E,$B18,領用表!$B:$B,$DE$2&amp;DJ$2)</f>
        <v/>
      </c>
      <c r="DK18" s="208">
        <f>SUMIFS(領用表!$L:$L,領用表!$A:$A,DK$2,領用表!$E:$E,$B18)</f>
        <v/>
      </c>
      <c r="DL18" s="216">
        <f>SUMIFS(領用表!$L:$L,領用表!$E:$E,$B18,領用表!$B:$B,DK$2&amp;DL$2)</f>
        <v/>
      </c>
      <c r="DM18" s="216">
        <f>SUMIFS(領用表!$L:$L,領用表!$E:$E,$B18,領用表!$B:$B,$DK$2&amp;DM$2)</f>
        <v/>
      </c>
      <c r="DN18" s="216">
        <f>SUMIFS(領用表!$L:$L,領用表!$E:$E,$B18,領用表!$B:$B,$DK$2&amp;DN$2)</f>
        <v/>
      </c>
      <c r="DO18" s="216">
        <f>SUMIFS(領用表!$L:$L,領用表!$E:$E,$B18,領用表!$B:$B,$DK$2&amp;DO$2)</f>
        <v/>
      </c>
      <c r="DP18" s="216">
        <f>SUMIFS(領用表!$L:$L,領用表!$E:$E,$B18,領用表!$B:$B,$DK$2&amp;DP$2)</f>
        <v/>
      </c>
      <c r="DQ18" s="208" t="n">
        <v>123</v>
      </c>
      <c r="DR18" s="216" t="n">
        <v>40</v>
      </c>
      <c r="DS18" s="216" t="n"/>
      <c r="DT18" s="216" t="n">
        <v>59</v>
      </c>
      <c r="DU18" s="216" t="n"/>
      <c r="DV18" s="216" t="n">
        <v>24</v>
      </c>
      <c r="DW18" s="216">
        <f>SUM(CN18,CS18,CY18,DE18,DK18,DQ18)</f>
        <v/>
      </c>
      <c r="DX18" s="216">
        <f>AVERAGEA(CN18,CS18,CY18,DE18,DK18,DQ18)</f>
        <v/>
      </c>
      <c r="DY18" s="216">
        <f>SUM(DZ18:EC18)</f>
        <v/>
      </c>
      <c r="DZ18" s="216" t="n">
        <v>130</v>
      </c>
      <c r="EA18" s="216" t="n">
        <v>0</v>
      </c>
      <c r="EB18" s="216" t="n">
        <v>200</v>
      </c>
      <c r="EC18" s="216" t="n">
        <v>0</v>
      </c>
      <c r="ED18" s="215" t="n">
        <v>40</v>
      </c>
      <c r="EE18" s="464" t="n"/>
      <c r="EF18" s="211" t="inlineStr">
        <is>
          <t>4盒(10/21)</t>
        </is>
      </c>
      <c r="EG18" s="211" t="inlineStr">
        <is>
          <t>15盒(10/17)</t>
        </is>
      </c>
      <c r="EH18" s="136" t="n"/>
      <c r="EI18" s="136" t="n"/>
      <c r="EJ18" s="118">
        <f>IFERROR(VLOOKUP(A18,站前4樓!A:BF,57,0),0)</f>
        <v/>
      </c>
      <c r="EK18" s="213">
        <f>IFERROR(VLOOKUP(A18,站前11樓!A:BE,57,0),0)</f>
        <v/>
      </c>
      <c r="EL18" s="118">
        <f>IFERROR(VLOOKUP(A18,忠孝7樓!A:N,57,0),0)</f>
        <v/>
      </c>
      <c r="EM18" s="118">
        <f>IFERROR(VLOOKUP(A18,忠孝國際醫學3樓!A:L,57,0),0)</f>
        <v/>
      </c>
      <c r="EN18" s="118">
        <f>SUM(ED18:EG18)</f>
        <v/>
      </c>
      <c r="EP18" s="118" t="n">
        <v>132</v>
      </c>
      <c r="EQ18" s="118" t="n">
        <v>43</v>
      </c>
    </row>
    <row r="19" ht="15.75" customFormat="1" customHeight="1" s="118">
      <c r="A19" s="136" t="inlineStr">
        <is>
          <t>MP1MA070008A</t>
        </is>
      </c>
      <c r="B19" s="118" t="n">
        <v>6210003</v>
      </c>
      <c r="C19" s="118" t="inlineStr">
        <is>
          <t>水光針針頭/ 31G/ 9pin/ 1.5mm(1支)</t>
        </is>
      </c>
      <c r="D19" s="197" t="n">
        <v>20</v>
      </c>
      <c r="E19" s="198" t="inlineStr">
        <is>
          <t>PCS</t>
        </is>
      </c>
      <c r="F19" s="199">
        <f>SUMIF(站前4樓!B:B,B19,站前4樓!F:F)</f>
        <v/>
      </c>
      <c r="G19" s="199">
        <f>SUMIF(站前11樓!B:B,B19,站前11樓!F:F)</f>
        <v/>
      </c>
      <c r="H19" s="199">
        <f>SUMIF(忠孝7樓!B:B,B19,忠孝7樓!G:G)</f>
        <v/>
      </c>
      <c r="I19" s="199">
        <f>SUMIF(忠孝國際醫學3樓!B:B,B19,忠孝國際醫學3樓!G:G)</f>
        <v/>
      </c>
      <c r="J19" s="199">
        <f>SUMIF(忠孝健康7樓!B:B,B19,忠孝健康7樓!G:G)</f>
        <v/>
      </c>
      <c r="K19" s="200" t="n">
        <v>0</v>
      </c>
      <c r="L19" s="200" t="n">
        <v>0</v>
      </c>
      <c r="M19" s="200" t="n">
        <v>0</v>
      </c>
      <c r="N19" s="200" t="n">
        <v>0</v>
      </c>
      <c r="O19" s="200" t="n">
        <v>0</v>
      </c>
      <c r="P19" s="200" t="n">
        <v>0</v>
      </c>
      <c r="Q19" s="200" t="n">
        <v>0</v>
      </c>
      <c r="R19" s="200" t="n">
        <v>0</v>
      </c>
      <c r="S19" s="200" t="n">
        <v>0</v>
      </c>
      <c r="T19" s="200" t="n">
        <v>0</v>
      </c>
      <c r="U19" s="200" t="n">
        <v>0</v>
      </c>
      <c r="V19" s="200" t="n">
        <v>0</v>
      </c>
      <c r="W19" s="200" t="n">
        <v>0</v>
      </c>
      <c r="X19" s="200" t="n">
        <v>0</v>
      </c>
      <c r="Y19" s="200" t="n">
        <v>0</v>
      </c>
      <c r="Z19" s="200" t="n">
        <v>0</v>
      </c>
      <c r="AA19" s="200" t="n">
        <v>0</v>
      </c>
      <c r="AB19" s="200" t="n">
        <v>1</v>
      </c>
      <c r="AC19" s="200" t="n">
        <v>0</v>
      </c>
      <c r="AD19" s="200" t="n">
        <v>0</v>
      </c>
      <c r="AE19" s="200" t="n">
        <v>0</v>
      </c>
      <c r="AF19" s="200" t="n">
        <v>0</v>
      </c>
      <c r="AG19" s="200" t="n">
        <v>0</v>
      </c>
      <c r="AH19" s="200" t="n">
        <v>0</v>
      </c>
      <c r="AI19" s="200" t="n">
        <v>0</v>
      </c>
      <c r="AJ19" s="201" t="n">
        <v>0.05</v>
      </c>
      <c r="AK19" s="201" t="n">
        <v>0.05</v>
      </c>
      <c r="AL19" s="201" t="n">
        <v>0</v>
      </c>
      <c r="AM19" s="201" t="n">
        <v>0.15</v>
      </c>
      <c r="AN19" s="201" t="n">
        <v>0.05</v>
      </c>
      <c r="AO19" s="201" t="n">
        <v>0.2</v>
      </c>
      <c r="AP19" s="201" t="n">
        <v>0.25</v>
      </c>
      <c r="AQ19" s="201" t="n">
        <v>1.7</v>
      </c>
      <c r="AR19" s="201" t="n">
        <v>0.35</v>
      </c>
      <c r="AS19" s="201" t="n">
        <v>0</v>
      </c>
      <c r="AT19" s="512" t="n">
        <v>0.35</v>
      </c>
      <c r="AU19" s="203" t="n">
        <v>2</v>
      </c>
      <c r="AV19" s="204">
        <f>SUM(AJ19:AU19)</f>
        <v/>
      </c>
      <c r="AW19" s="513">
        <f>AV19/12</f>
        <v/>
      </c>
      <c r="AX19" s="203" t="n">
        <v>4</v>
      </c>
      <c r="AY19" s="203" t="n">
        <v>3</v>
      </c>
      <c r="AZ19" s="203" t="n">
        <v>5</v>
      </c>
      <c r="BA19" s="203" t="n">
        <v>13</v>
      </c>
      <c r="BB19" s="203" t="n">
        <v>8</v>
      </c>
      <c r="BC19" s="203">
        <f>SUMIFS(領用表!$L:$L,領用表!$A:$A,BC$2,領用表!$E:$E,B19)</f>
        <v/>
      </c>
      <c r="BD19" s="206">
        <f>SUMIFS(領用表!$L:$L,領用表!$E:$E,$B19,領用表!$B:$B,BC$2&amp;BD$2)</f>
        <v/>
      </c>
      <c r="BE19" s="206">
        <f>SUMIFS(領用表!$L:$L,領用表!$E:$E,$B19,領用表!$B:$B,$BC$2&amp;BE$2)</f>
        <v/>
      </c>
      <c r="BF19" s="206">
        <f>SUMIFS(領用表!$L:$L,領用表!$E:$E,$B19,領用表!$B:$B,$BC$2&amp;BF$2)</f>
        <v/>
      </c>
      <c r="BG19" s="206">
        <f>SUMIFS(領用表!$L:$L,領用表!$E:$E,$B19,領用表!$B:$B,$BC$2&amp;BG$2)</f>
        <v/>
      </c>
      <c r="BH19" s="203">
        <f>SUMIFS(領用表!$L:$L,領用表!$A:$A,BH$2,領用表!$E:$E,B19)</f>
        <v/>
      </c>
      <c r="BI19" s="206">
        <f>SUMIFS(領用表!$L:$L,領用表!$E:$E,$B19,領用表!$B:$B,BH$2&amp;BI$2)</f>
        <v/>
      </c>
      <c r="BJ19" s="206">
        <f>SUMIFS(領用表!$L:$L,領用表!$E:$E,$B19,領用表!$B:$B,$BH$2&amp;BJ$2)</f>
        <v/>
      </c>
      <c r="BK19" s="206">
        <f>SUMIFS(領用表!$L:$L,領用表!$E:$E,$B19,領用表!$B:$B,$BH$2&amp;BK$2)</f>
        <v/>
      </c>
      <c r="BL19" s="206">
        <f>SUMIFS(領用表!$L:$L,領用表!$E:$E,$B19,領用表!$B:$B,$BH$2&amp;BL$2)</f>
        <v/>
      </c>
      <c r="BM19" s="203">
        <f>SUMIFS(領用表!$L:$L,領用表!$A:$A,BM$2,領用表!$E:$E,B19)</f>
        <v/>
      </c>
      <c r="BN19" s="206">
        <f>SUMIFS(領用表!$L:$L,領用表!$E:$E,$B19,領用表!$B:$B,BM$2&amp;BN$2)</f>
        <v/>
      </c>
      <c r="BO19" s="206">
        <f>SUMIFS(領用表!$L:$L,領用表!$E:$E,$B19,領用表!$B:$B,$BM$2&amp;BO$2)</f>
        <v/>
      </c>
      <c r="BP19" s="206">
        <f>SUMIFS(領用表!$L:$L,領用表!$E:$E,$B19,領用表!$B:$B,$BM$2&amp;BP$2)</f>
        <v/>
      </c>
      <c r="BQ19" s="206">
        <f>SUMIFS(領用表!$L:$L,領用表!$E:$E,$B19,領用表!$B:$B,$BM$2&amp;BQ$2)</f>
        <v/>
      </c>
      <c r="BR19" s="203">
        <f>SUMIFS(領用表!$L:$L,領用表!$A:$A,BR$2,領用表!$E:$E,B19)</f>
        <v/>
      </c>
      <c r="BS19" s="206">
        <f>SUMIFS(領用表!$L:$L,領用表!$E:$E,$B19,領用表!$B:$B,BR$2&amp;BS$2)</f>
        <v/>
      </c>
      <c r="BT19" s="206">
        <f>SUMIFS(領用表!$L:$L,領用表!$E:$E,$B19,領用表!$B:$B,$BR$2&amp;BT$2)</f>
        <v/>
      </c>
      <c r="BU19" s="206">
        <f>SUMIFS(領用表!$L:$L,領用表!$E:$E,$B19,領用表!$B:$B,$BR$2&amp;BU$2)</f>
        <v/>
      </c>
      <c r="BV19" s="206">
        <f>SUMIFS(領用表!$L:$L,領用表!$E:$E,$B19,領用表!$B:$B,$BR$2&amp;BV$2)</f>
        <v/>
      </c>
      <c r="BW19" s="208">
        <f>SUMIFS(領用表!$L:$L,領用表!$A:$A,BW$2,領用表!$E:$E,B19)</f>
        <v/>
      </c>
      <c r="BX19" s="216">
        <f>SUMIFS(領用表!$L:$L,領用表!$E:$E,$B19,領用表!$B:$B,BW$2&amp;BX$2)</f>
        <v/>
      </c>
      <c r="BY19" s="216">
        <f>SUMIFS(領用表!$L:$L,領用表!$E:$E,$B19,領用表!$B:$B,$BW$2&amp;BY$2)</f>
        <v/>
      </c>
      <c r="BZ19" s="216">
        <f>SUMIFS(領用表!$L:$L,領用表!$E:$E,$B19,領用表!$B:$B,$BW$2&amp;BZ$2)</f>
        <v/>
      </c>
      <c r="CA19" s="216">
        <f>SUMIFS(領用表!$L:$L,領用表!$E:$E,$B19,領用表!$B:$B,$BW$2&amp;CA$2)</f>
        <v/>
      </c>
      <c r="CB19" s="208">
        <f>SUMIFS(領用表!$L:$L,領用表!$A:$A,CB$2,領用表!$E:$E,B19)</f>
        <v/>
      </c>
      <c r="CC19" s="216">
        <f>SUMIFS(領用表!$L:$L,領用表!$E:$E,$B19,領用表!$B:$B,CB$2&amp;CC$2)</f>
        <v/>
      </c>
      <c r="CD19" s="216">
        <f>SUMIFS(領用表!$L:$L,領用表!$E:$E,$B19,領用表!$B:$B,$CB$2&amp;CD$2)</f>
        <v/>
      </c>
      <c r="CE19" s="216">
        <f>SUMIFS(領用表!$L:$L,領用表!$E:$E,$B19,領用表!$B:$B,$CB$2&amp;CE$2)</f>
        <v/>
      </c>
      <c r="CF19" s="216">
        <f>SUMIFS(領用表!$L:$L,領用表!$E:$E,$B19,領用表!$B:$B,$CB$2&amp;CF$2)</f>
        <v/>
      </c>
      <c r="CG19" s="217">
        <f>SUMIFS(領用表!$L:$L,領用表!$A:$A,CG$2,領用表!$E:$E,B19)</f>
        <v/>
      </c>
      <c r="CH19" s="216">
        <f>SUMIFS(領用表!$L:$L,領用表!$E:$E,$B19,領用表!$B:$B,CG$2&amp;CH$2)</f>
        <v/>
      </c>
      <c r="CI19" s="216">
        <f>SUMIFS(領用表!$L:$L,領用表!$E:$E,$B19,領用表!$B:$B,CG$2&amp;CI$2)</f>
        <v/>
      </c>
      <c r="CJ19" s="216">
        <f>SUMIFS(領用表!$L:$L,領用表!$E:$E,$B19,領用表!$B:$B,CG$2&amp;CJ$2)</f>
        <v/>
      </c>
      <c r="CK19" s="216">
        <f>SUMIFS(領用表!$L:$L,領用表!$E:$E,$B19,領用表!$B:$B,$CG$2&amp;CK$2)</f>
        <v/>
      </c>
      <c r="CL19" s="207">
        <f>SUM(AX19,AY19,AZ19,BA19,BB19,BC19,BH19,BM19,BR19,BW19,CB19,CG19)</f>
        <v/>
      </c>
      <c r="CM19" s="207">
        <f>AVERAGE(AX19,AY19,AZ19,BA19,BB19,BC19,BH19,BM19,BR19,BW19,CB19,CG19)</f>
        <v/>
      </c>
      <c r="CN19" s="217">
        <f>SUMIFS(領用表!$L:$L,領用表!$A:$A,CN$2,領用表!$E:$E,B19)</f>
        <v/>
      </c>
      <c r="CO19" s="216">
        <f>SUMIFS(領用表!$L:$L,領用表!$E:$E,$B19,領用表!$B:$B,CN$2&amp;CO$2)</f>
        <v/>
      </c>
      <c r="CP19" s="216">
        <f>SUMIFS(領用表!$L:$L,領用表!$E:$E,$B19,領用表!$B:$B,$CN$2&amp;CP$2)</f>
        <v/>
      </c>
      <c r="CQ19" s="216">
        <f>SUMIFS(領用表!$L:$L,領用表!$E:$E,$B19,領用表!$B:$B,$CN$2&amp;CQ$2)</f>
        <v/>
      </c>
      <c r="CR19" s="216">
        <f>SUMIFS(領用表!$L:$L,領用表!$E:$E,$B19,領用表!$B:$B,$CN$2&amp;CR$2)</f>
        <v/>
      </c>
      <c r="CS19" s="208">
        <f>SUMIFS(領用表!$L:$L,領用表!$A:$A,CS$2,領用表!$E:$E,B19)</f>
        <v/>
      </c>
      <c r="CT19" s="216">
        <f>SUMIFS(領用表!$L:$L,領用表!$E:$E,$B19,領用表!$B:$B,CS$2&amp;CT$2)</f>
        <v/>
      </c>
      <c r="CU19" s="216">
        <f>SUMIFS(領用表!$L:$L,領用表!$E:$E,$B19,領用表!$B:$B,$CS$2&amp;CU$2)</f>
        <v/>
      </c>
      <c r="CV19" s="216">
        <f>SUMIFS(領用表!$L:$L,領用表!$E:$E,$B19,領用表!$B:$B,$CS$2&amp;CV$2)</f>
        <v/>
      </c>
      <c r="CW19" s="216">
        <f>SUMIFS(領用表!$L:$L,領用表!$E:$E,$B19,領用表!$B:$B,$CS$2&amp;CW$2)</f>
        <v/>
      </c>
      <c r="CX19" s="216">
        <f>SUMIFS(領用表!$L:$L,領用表!$E:$E,$B19,領用表!$B:$B,$CS$2&amp;CX$2)</f>
        <v/>
      </c>
      <c r="CY19" s="208">
        <f>SUMIFS(領用表!$L:$L,領用表!$A:$A,CY$2,領用表!$E:$E,B19)</f>
        <v/>
      </c>
      <c r="CZ19" s="216">
        <f>SUMIFS(領用表!$L:$L,領用表!$E:$E,$B19,領用表!$B:$B,CY$2&amp;CZ$2)</f>
        <v/>
      </c>
      <c r="DA19" s="216">
        <f>SUMIFS(領用表!$L:$L,領用表!$E:$E,$B19,領用表!$B:$B,$CY$2&amp;DA$2)</f>
        <v/>
      </c>
      <c r="DB19" s="216">
        <f>SUMIFS(領用表!$L:$L,領用表!$E:$E,$B19,領用表!$B:$B,$CY$2&amp;DB$2)</f>
        <v/>
      </c>
      <c r="DC19" s="216">
        <f>SUMIFS(領用表!$L:$L,領用表!$E:$E,$B19,領用表!$B:$B,$CY$2&amp;DC$2)</f>
        <v/>
      </c>
      <c r="DD19" s="216">
        <f>SUMIFS(領用表!$L:$L,領用表!$E:$E,$B19,領用表!$B:$B,$CY$2&amp;DD$2)</f>
        <v/>
      </c>
      <c r="DE19" s="208">
        <f>SUMIFS(領用表!$L:$L,領用表!$A:$A,DE$2,領用表!$E:$E,B19)</f>
        <v/>
      </c>
      <c r="DF19" s="216">
        <f>SUMIFS(領用表!$L:$L,領用表!$E:$E,$B19,領用表!$B:$B,DE$2&amp;DF$2)</f>
        <v/>
      </c>
      <c r="DG19" s="216">
        <f>SUMIFS(領用表!$L:$L,領用表!$E:$E,$B19,領用表!$B:$B,$DE$2&amp;DG$2)</f>
        <v/>
      </c>
      <c r="DH19" s="216">
        <f>SUMIFS(領用表!$L:$L,領用表!$E:$E,$B19,領用表!$B:$B,$DE$2&amp;DH$2)</f>
        <v/>
      </c>
      <c r="DI19" s="216">
        <f>SUMIFS(領用表!$L:$L,領用表!$E:$E,$B19,領用表!$B:$B,$DE$2&amp;DI$2)</f>
        <v/>
      </c>
      <c r="DJ19" s="216">
        <f>SUMIFS(領用表!$L:$L,領用表!$E:$E,$B19,領用表!$B:$B,$DE$2&amp;DJ$2)</f>
        <v/>
      </c>
      <c r="DK19" s="208">
        <f>SUMIFS(領用表!$L:$L,領用表!$A:$A,DK$2,領用表!$E:$E,$B19)</f>
        <v/>
      </c>
      <c r="DL19" s="216">
        <f>SUMIFS(領用表!$L:$L,領用表!$E:$E,$B19,領用表!$B:$B,DK$2&amp;DL$2)</f>
        <v/>
      </c>
      <c r="DM19" s="216">
        <f>SUMIFS(領用表!$L:$L,領用表!$E:$E,$B19,領用表!$B:$B,$DK$2&amp;DM$2)</f>
        <v/>
      </c>
      <c r="DN19" s="216">
        <f>SUMIFS(領用表!$L:$L,領用表!$E:$E,$B19,領用表!$B:$B,$DK$2&amp;DN$2)</f>
        <v/>
      </c>
      <c r="DO19" s="216">
        <f>SUMIFS(領用表!$L:$L,領用表!$E:$E,$B19,領用表!$B:$B,$DK$2&amp;DO$2)</f>
        <v/>
      </c>
      <c r="DP19" s="216">
        <f>SUMIFS(領用表!$L:$L,領用表!$E:$E,$B19,領用表!$B:$B,$DK$2&amp;DP$2)</f>
        <v/>
      </c>
      <c r="DQ19" s="208" t="n">
        <v>14</v>
      </c>
      <c r="DR19" s="216" t="n">
        <v>3</v>
      </c>
      <c r="DS19" s="216" t="n"/>
      <c r="DT19" s="216" t="n">
        <v>9</v>
      </c>
      <c r="DU19" s="216" t="n"/>
      <c r="DV19" s="216" t="n">
        <v>2</v>
      </c>
      <c r="DW19" s="216">
        <f>SUM(CN19,CS19,CY19,DE19,DK19,DQ19)</f>
        <v/>
      </c>
      <c r="DX19" s="216">
        <f>AVERAGEA(CN19,CS19,CY19,DE19,DK19,DQ19)</f>
        <v/>
      </c>
      <c r="DY19" s="216">
        <f>SUM(DZ19:EC19)</f>
        <v/>
      </c>
      <c r="DZ19" s="216" t="n">
        <v>20</v>
      </c>
      <c r="EA19" s="216" t="n">
        <v>0</v>
      </c>
      <c r="EB19" s="216" t="n">
        <v>30</v>
      </c>
      <c r="EC19" s="216" t="n">
        <v>0</v>
      </c>
      <c r="ED19" s="215" t="n">
        <v>20</v>
      </c>
      <c r="EE19" s="464" t="n"/>
      <c r="EF19" s="211" t="inlineStr">
        <is>
          <t>1盒(10/21)</t>
        </is>
      </c>
      <c r="EG19" s="211" t="inlineStr">
        <is>
          <t>1盒(10/17)</t>
        </is>
      </c>
      <c r="EH19" s="136" t="n"/>
      <c r="EI19" s="212" t="n"/>
      <c r="EJ19" s="118">
        <f>IFERROR(VLOOKUP(A19,站前4樓!A:BF,57,0),0)</f>
        <v/>
      </c>
      <c r="EK19" s="213">
        <f>IFERROR(VLOOKUP(A19,站前11樓!A:BE,57,0),0)</f>
        <v/>
      </c>
      <c r="EL19" s="118">
        <f>IFERROR(VLOOKUP(A19,忠孝7樓!A:N,57,0),0)</f>
        <v/>
      </c>
      <c r="EM19" s="118">
        <f>IFERROR(VLOOKUP(A19,忠孝國際醫學3樓!A:L,57,0),0)</f>
        <v/>
      </c>
      <c r="EN19" s="118">
        <f>SUM(ED19:EG19)</f>
        <v/>
      </c>
      <c r="EP19" s="118" t="n">
        <v>28</v>
      </c>
      <c r="EQ19" s="118" t="n">
        <v>9</v>
      </c>
    </row>
    <row r="20" ht="15.75" customFormat="1" customHeight="1" s="118">
      <c r="A20" s="136" t="inlineStr">
        <is>
          <t>MP1MA070005A</t>
        </is>
      </c>
      <c r="B20" s="118" t="n">
        <v>6210005</v>
      </c>
      <c r="C20" s="131" t="inlineStr">
        <is>
          <t>水光針針頭/ 32G/ 9pin/ 1.0mm(1支)</t>
        </is>
      </c>
      <c r="D20" s="197" t="n">
        <v>20</v>
      </c>
      <c r="E20" s="198" t="inlineStr">
        <is>
          <t>PCS</t>
        </is>
      </c>
      <c r="F20" s="199">
        <f>SUMIF(站前4樓!B:B,B20,站前4樓!F:F)</f>
        <v/>
      </c>
      <c r="G20" s="199">
        <f>SUMIF(站前11樓!B:B,B20,站前11樓!F:F)</f>
        <v/>
      </c>
      <c r="H20" s="199">
        <f>SUMIF(忠孝7樓!B:B,B20,忠孝7樓!G:G)</f>
        <v/>
      </c>
      <c r="I20" s="199">
        <f>SUMIF(忠孝國際醫學3樓!B:B,B20,忠孝國際醫學3樓!G:G)</f>
        <v/>
      </c>
      <c r="J20" s="199">
        <f>SUMIF(忠孝健康7樓!B:B,B20,忠孝健康7樓!G:G)</f>
        <v/>
      </c>
      <c r="K20" s="220" t="n"/>
      <c r="L20" s="220" t="n"/>
      <c r="M20" s="220" t="n"/>
      <c r="N20" s="220" t="n"/>
      <c r="O20" s="220" t="n"/>
      <c r="P20" s="220" t="n"/>
      <c r="Q20" s="220" t="n"/>
      <c r="R20" s="220" t="n"/>
      <c r="S20" s="220" t="n"/>
      <c r="T20" s="220" t="n"/>
      <c r="U20" s="220" t="n"/>
      <c r="V20" s="220" t="n"/>
      <c r="W20" s="220" t="n"/>
      <c r="X20" s="220" t="n"/>
      <c r="Y20" s="220" t="n"/>
      <c r="Z20" s="220" t="n"/>
      <c r="AA20" s="220" t="n"/>
      <c r="AB20" s="220" t="n"/>
      <c r="AC20" s="220" t="n"/>
      <c r="AD20" s="220" t="n"/>
      <c r="AE20" s="220" t="n"/>
      <c r="AF20" s="220" t="n"/>
      <c r="AG20" s="220" t="n"/>
      <c r="AH20" s="220" t="n"/>
      <c r="AI20" s="220" t="n"/>
      <c r="AJ20" s="221" t="n"/>
      <c r="AK20" s="221" t="n"/>
      <c r="AL20" s="221" t="n"/>
      <c r="AM20" s="221" t="n"/>
      <c r="AN20" s="221" t="n"/>
      <c r="AO20" s="221" t="n"/>
      <c r="AP20" s="221" t="n"/>
      <c r="AQ20" s="221" t="n">
        <v>0</v>
      </c>
      <c r="AR20" s="221" t="n">
        <v>0</v>
      </c>
      <c r="AS20" s="201" t="n">
        <v>0</v>
      </c>
      <c r="AT20" s="512" t="n">
        <v>0</v>
      </c>
      <c r="AU20" s="203" t="n">
        <v>0</v>
      </c>
      <c r="AV20" s="204">
        <f>SUM(AJ20:AU20)</f>
        <v/>
      </c>
      <c r="AW20" s="513">
        <f>AV20/12</f>
        <v/>
      </c>
      <c r="AX20" s="203" t="n">
        <v>0</v>
      </c>
      <c r="AY20" s="203" t="n">
        <v>63</v>
      </c>
      <c r="AZ20" s="203" t="n">
        <v>1</v>
      </c>
      <c r="BA20" s="203" t="n">
        <v>3</v>
      </c>
      <c r="BB20" s="203" t="n">
        <v>3</v>
      </c>
      <c r="BC20" s="203">
        <f>SUMIFS(領用表!$L:$L,領用表!$A:$A,BC$2,領用表!$E:$E,B20)</f>
        <v/>
      </c>
      <c r="BD20" s="206">
        <f>SUMIFS(領用表!$L:$L,領用表!$E:$E,$B20,領用表!$B:$B,BC$2&amp;BD$2)</f>
        <v/>
      </c>
      <c r="BE20" s="206">
        <f>SUMIFS(領用表!$L:$L,領用表!$E:$E,$B20,領用表!$B:$B,$BC$2&amp;BE$2)</f>
        <v/>
      </c>
      <c r="BF20" s="206">
        <f>SUMIFS(領用表!$L:$L,領用表!$E:$E,$B20,領用表!$B:$B,$BC$2&amp;BF$2)</f>
        <v/>
      </c>
      <c r="BG20" s="206">
        <f>SUMIFS(領用表!$L:$L,領用表!$E:$E,$B20,領用表!$B:$B,$BC$2&amp;BG$2)</f>
        <v/>
      </c>
      <c r="BH20" s="203">
        <f>SUMIFS(領用表!$L:$L,領用表!$A:$A,BH$2,領用表!$E:$E,B20)</f>
        <v/>
      </c>
      <c r="BI20" s="206">
        <f>SUMIFS(領用表!$L:$L,領用表!$E:$E,$B20,領用表!$B:$B,BH$2&amp;BI$2)</f>
        <v/>
      </c>
      <c r="BJ20" s="206">
        <f>SUMIFS(領用表!$L:$L,領用表!$E:$E,$B20,領用表!$B:$B,$BH$2&amp;BJ$2)</f>
        <v/>
      </c>
      <c r="BK20" s="206">
        <f>SUMIFS(領用表!$L:$L,領用表!$E:$E,$B20,領用表!$B:$B,$BH$2&amp;BK$2)</f>
        <v/>
      </c>
      <c r="BL20" s="206">
        <f>SUMIFS(領用表!$L:$L,領用表!$E:$E,$B20,領用表!$B:$B,$BH$2&amp;BL$2)</f>
        <v/>
      </c>
      <c r="BM20" s="203">
        <f>SUMIFS(領用表!$L:$L,領用表!$A:$A,BM$2,領用表!$E:$E,B20)</f>
        <v/>
      </c>
      <c r="BN20" s="206">
        <f>SUMIFS(領用表!$L:$L,領用表!$E:$E,$B20,領用表!$B:$B,BM$2&amp;BN$2)</f>
        <v/>
      </c>
      <c r="BO20" s="206">
        <f>SUMIFS(領用表!$L:$L,領用表!$E:$E,$B20,領用表!$B:$B,$BM$2&amp;BO$2)</f>
        <v/>
      </c>
      <c r="BP20" s="206">
        <f>SUMIFS(領用表!$L:$L,領用表!$E:$E,$B20,領用表!$B:$B,$BM$2&amp;BP$2)</f>
        <v/>
      </c>
      <c r="BQ20" s="206">
        <f>SUMIFS(領用表!$L:$L,領用表!$E:$E,$B20,領用表!$B:$B,$BM$2&amp;BQ$2)</f>
        <v/>
      </c>
      <c r="BR20" s="203">
        <f>SUMIFS(領用表!$L:$L,領用表!$A:$A,BR$2,領用表!$E:$E,B20)</f>
        <v/>
      </c>
      <c r="BS20" s="206">
        <f>SUMIFS(領用表!$L:$L,領用表!$E:$E,$B20,領用表!$B:$B,BR$2&amp;BS$2)</f>
        <v/>
      </c>
      <c r="BT20" s="206">
        <f>SUMIFS(領用表!$L:$L,領用表!$E:$E,$B20,領用表!$B:$B,$BR$2&amp;BT$2)</f>
        <v/>
      </c>
      <c r="BU20" s="206">
        <f>SUMIFS(領用表!$L:$L,領用表!$E:$E,$B20,領用表!$B:$B,$BR$2&amp;BU$2)</f>
        <v/>
      </c>
      <c r="BV20" s="206">
        <f>SUMIFS(領用表!$L:$L,領用表!$E:$E,$B20,領用表!$B:$B,$BR$2&amp;BV$2)</f>
        <v/>
      </c>
      <c r="BW20" s="208">
        <f>SUMIFS(領用表!$L:$L,領用表!$A:$A,BW$2,領用表!$E:$E,B20)</f>
        <v/>
      </c>
      <c r="BX20" s="216">
        <f>SUMIFS(領用表!$L:$L,領用表!$E:$E,$B20,領用表!$B:$B,BW$2&amp;BX$2)</f>
        <v/>
      </c>
      <c r="BY20" s="216">
        <f>SUMIFS(領用表!$L:$L,領用表!$E:$E,$B20,領用表!$B:$B,$BW$2&amp;BY$2)</f>
        <v/>
      </c>
      <c r="BZ20" s="216">
        <f>SUMIFS(領用表!$L:$L,領用表!$E:$E,$B20,領用表!$B:$B,$BW$2&amp;BZ$2)</f>
        <v/>
      </c>
      <c r="CA20" s="216">
        <f>SUMIFS(領用表!$L:$L,領用表!$E:$E,$B20,領用表!$B:$B,$BW$2&amp;CA$2)</f>
        <v/>
      </c>
      <c r="CB20" s="208">
        <f>SUMIFS(領用表!$L:$L,領用表!$A:$A,CB$2,領用表!$E:$E,B20)</f>
        <v/>
      </c>
      <c r="CC20" s="216">
        <f>SUMIFS(領用表!$L:$L,領用表!$E:$E,$B20,領用表!$B:$B,CB$2&amp;CC$2)</f>
        <v/>
      </c>
      <c r="CD20" s="216">
        <f>SUMIFS(領用表!$L:$L,領用表!$E:$E,$B20,領用表!$B:$B,$CB$2&amp;CD$2)</f>
        <v/>
      </c>
      <c r="CE20" s="216">
        <f>SUMIFS(領用表!$L:$L,領用表!$E:$E,$B20,領用表!$B:$B,$CB$2&amp;CE$2)</f>
        <v/>
      </c>
      <c r="CF20" s="216">
        <f>SUMIFS(領用表!$L:$L,領用表!$E:$E,$B20,領用表!$B:$B,$CB$2&amp;CF$2)</f>
        <v/>
      </c>
      <c r="CG20" s="217">
        <f>SUMIFS(領用表!$L:$L,領用表!$A:$A,CG$2,領用表!$E:$E,B20)</f>
        <v/>
      </c>
      <c r="CH20" s="216">
        <f>SUMIFS(領用表!$L:$L,領用表!$E:$E,$B20,領用表!$B:$B,CG$2&amp;CH$2)</f>
        <v/>
      </c>
      <c r="CI20" s="216">
        <f>SUMIFS(領用表!$L:$L,領用表!$E:$E,$B20,領用表!$B:$B,CG$2&amp;CI$2)</f>
        <v/>
      </c>
      <c r="CJ20" s="216">
        <f>SUMIFS(領用表!$L:$L,領用表!$E:$E,$B20,領用表!$B:$B,CG$2&amp;CJ$2)</f>
        <v/>
      </c>
      <c r="CK20" s="216">
        <f>SUMIFS(領用表!$L:$L,領用表!$E:$E,$B20,領用表!$B:$B,$CG$2&amp;CK$2)</f>
        <v/>
      </c>
      <c r="CL20" s="207">
        <f>SUM(AX20,AY20,AZ20,BA20,BB20,BC20,BH20,BM20,BR20,BW20,CB20,CG20)</f>
        <v/>
      </c>
      <c r="CM20" s="207">
        <f>AVERAGE(AX20,AY20,AZ20,BA20,BB20,BC20,BH20,BM20,BR20,BW20,CB20,CG20)</f>
        <v/>
      </c>
      <c r="CN20" s="217">
        <f>SUMIFS(領用表!$L:$L,領用表!$A:$A,CN$2,領用表!$E:$E,B20)</f>
        <v/>
      </c>
      <c r="CO20" s="216">
        <f>SUMIFS(領用表!$L:$L,領用表!$E:$E,$B20,領用表!$B:$B,CN$2&amp;CO$2)</f>
        <v/>
      </c>
      <c r="CP20" s="216">
        <f>SUMIFS(領用表!$L:$L,領用表!$E:$E,$B20,領用表!$B:$B,$CN$2&amp;CP$2)</f>
        <v/>
      </c>
      <c r="CQ20" s="216">
        <f>SUMIFS(領用表!$L:$L,領用表!$E:$E,$B20,領用表!$B:$B,$CN$2&amp;CQ$2)</f>
        <v/>
      </c>
      <c r="CR20" s="216">
        <f>SUMIFS(領用表!$L:$L,領用表!$E:$E,$B20,領用表!$B:$B,$CN$2&amp;CR$2)</f>
        <v/>
      </c>
      <c r="CS20" s="208">
        <f>SUMIFS(領用表!$L:$L,領用表!$A:$A,CS$2,領用表!$E:$E,B20)</f>
        <v/>
      </c>
      <c r="CT20" s="216">
        <f>SUMIFS(領用表!$L:$L,領用表!$E:$E,$B20,領用表!$B:$B,CS$2&amp;CT$2)</f>
        <v/>
      </c>
      <c r="CU20" s="216">
        <f>SUMIFS(領用表!$L:$L,領用表!$E:$E,$B20,領用表!$B:$B,$CS$2&amp;CU$2)</f>
        <v/>
      </c>
      <c r="CV20" s="216">
        <f>SUMIFS(領用表!$L:$L,領用表!$E:$E,$B20,領用表!$B:$B,$CS$2&amp;CV$2)</f>
        <v/>
      </c>
      <c r="CW20" s="216">
        <f>SUMIFS(領用表!$L:$L,領用表!$E:$E,$B20,領用表!$B:$B,$CS$2&amp;CW$2)</f>
        <v/>
      </c>
      <c r="CX20" s="216">
        <f>SUMIFS(領用表!$L:$L,領用表!$E:$E,$B20,領用表!$B:$B,$CS$2&amp;CX$2)</f>
        <v/>
      </c>
      <c r="CY20" s="208">
        <f>SUMIFS(領用表!$L:$L,領用表!$A:$A,CY$2,領用表!$E:$E,B20)</f>
        <v/>
      </c>
      <c r="CZ20" s="216">
        <f>SUMIFS(領用表!$L:$L,領用表!$E:$E,$B20,領用表!$B:$B,CY$2&amp;CZ$2)</f>
        <v/>
      </c>
      <c r="DA20" s="216">
        <f>SUMIFS(領用表!$L:$L,領用表!$E:$E,$B20,領用表!$B:$B,$CY$2&amp;DA$2)</f>
        <v/>
      </c>
      <c r="DB20" s="216">
        <f>SUMIFS(領用表!$L:$L,領用表!$E:$E,$B20,領用表!$B:$B,$CY$2&amp;DB$2)</f>
        <v/>
      </c>
      <c r="DC20" s="216">
        <f>SUMIFS(領用表!$L:$L,領用表!$E:$E,$B20,領用表!$B:$B,$CY$2&amp;DC$2)</f>
        <v/>
      </c>
      <c r="DD20" s="216">
        <f>SUMIFS(領用表!$L:$L,領用表!$E:$E,$B20,領用表!$B:$B,$CY$2&amp;DD$2)</f>
        <v/>
      </c>
      <c r="DE20" s="208">
        <f>SUMIFS(領用表!$L:$L,領用表!$A:$A,DE$2,領用表!$E:$E,B20)</f>
        <v/>
      </c>
      <c r="DF20" s="216">
        <f>SUMIFS(領用表!$L:$L,領用表!$E:$E,$B20,領用表!$B:$B,DE$2&amp;DF$2)</f>
        <v/>
      </c>
      <c r="DG20" s="216">
        <f>SUMIFS(領用表!$L:$L,領用表!$E:$E,$B20,領用表!$B:$B,$DE$2&amp;DG$2)</f>
        <v/>
      </c>
      <c r="DH20" s="216">
        <f>SUMIFS(領用表!$L:$L,領用表!$E:$E,$B20,領用表!$B:$B,$DE$2&amp;DH$2)</f>
        <v/>
      </c>
      <c r="DI20" s="216">
        <f>SUMIFS(領用表!$L:$L,領用表!$E:$E,$B20,領用表!$B:$B,$DE$2&amp;DI$2)</f>
        <v/>
      </c>
      <c r="DJ20" s="216">
        <f>SUMIFS(領用表!$L:$L,領用表!$E:$E,$B20,領用表!$B:$B,$DE$2&amp;DJ$2)</f>
        <v/>
      </c>
      <c r="DK20" s="208">
        <f>SUMIFS(領用表!$L:$L,領用表!$A:$A,DK$2,領用表!$E:$E,$B20)</f>
        <v/>
      </c>
      <c r="DL20" s="216">
        <f>SUMIFS(領用表!$L:$L,領用表!$E:$E,$B20,領用表!$B:$B,DK$2&amp;DL$2)</f>
        <v/>
      </c>
      <c r="DM20" s="216">
        <f>SUMIFS(領用表!$L:$L,領用表!$E:$E,$B20,領用表!$B:$B,$DK$2&amp;DM$2)</f>
        <v/>
      </c>
      <c r="DN20" s="216">
        <f>SUMIFS(領用表!$L:$L,領用表!$E:$E,$B20,領用表!$B:$B,$DK$2&amp;DN$2)</f>
        <v/>
      </c>
      <c r="DO20" s="216">
        <f>SUMIFS(領用表!$L:$L,領用表!$E:$E,$B20,領用表!$B:$B,$DK$2&amp;DO$2)</f>
        <v/>
      </c>
      <c r="DP20" s="216">
        <f>SUMIFS(領用表!$L:$L,領用表!$E:$E,$B20,領用表!$B:$B,$DK$2&amp;DP$2)</f>
        <v/>
      </c>
      <c r="DQ20" s="208" t="n"/>
      <c r="DR20" s="216" t="n"/>
      <c r="DS20" s="216" t="n"/>
      <c r="DT20" s="216" t="n"/>
      <c r="DU20" s="216" t="n"/>
      <c r="DV20" s="216" t="n"/>
      <c r="DW20" s="216">
        <f>SUM(CN20,CS20,CY20,DE20,DK20,DQ20)</f>
        <v/>
      </c>
      <c r="DX20" s="216">
        <f>AVERAGEA(CN20,CS20,CY20,DE20,DK20,DQ20)</f>
        <v/>
      </c>
      <c r="DY20" s="216">
        <f>SUM(DZ20:EC20)</f>
        <v/>
      </c>
      <c r="DZ20" s="216" t="n">
        <v>5</v>
      </c>
      <c r="EA20" s="216" t="n">
        <v>0</v>
      </c>
      <c r="EB20" s="216" t="n">
        <v>0</v>
      </c>
      <c r="EC20" s="216" t="n">
        <v>0</v>
      </c>
      <c r="ED20" s="215" t="n">
        <v>20</v>
      </c>
      <c r="EE20" s="210" t="n"/>
      <c r="EF20" s="211" t="n"/>
      <c r="EG20" s="211" t="n"/>
      <c r="EH20" s="222" t="n"/>
      <c r="EI20" s="223" t="n"/>
      <c r="EJ20" s="118">
        <f>IFERROR(VLOOKUP(A20,站前4樓!A:BF,57,0),0)</f>
        <v/>
      </c>
      <c r="EK20" s="213">
        <f>IFERROR(VLOOKUP(A20,站前11樓!A:BE,57,0),0)</f>
        <v/>
      </c>
      <c r="EL20" s="118">
        <f>IFERROR(VLOOKUP(A20,忠孝7樓!A:N,57,0),0)</f>
        <v/>
      </c>
      <c r="EM20" s="118">
        <f>IFERROR(VLOOKUP(A20,忠孝國際醫學3樓!A:L,57,0),0)</f>
        <v/>
      </c>
      <c r="EN20" s="118">
        <f>SUM(ED20:EG20)</f>
        <v/>
      </c>
      <c r="EP20" s="118" t="n">
        <v>17</v>
      </c>
      <c r="EQ20" s="118" t="n">
        <v>0</v>
      </c>
    </row>
    <row r="21" ht="15.75" customFormat="1" customHeight="1" s="118">
      <c r="A21" s="136" t="inlineStr">
        <is>
          <t>MM2MA070005A</t>
        </is>
      </c>
      <c r="B21" s="118" t="n">
        <v>6210008</v>
      </c>
      <c r="C21" s="131" t="inlineStr">
        <is>
          <t>得美微針筆 33G針頭(支)</t>
        </is>
      </c>
      <c r="D21" s="197" t="n">
        <v>33</v>
      </c>
      <c r="E21" s="198" t="inlineStr">
        <is>
          <t>PCS</t>
        </is>
      </c>
      <c r="F21" s="199">
        <f>SUMIF(站前4樓!B:B,B21,站前4樓!F:F)</f>
        <v/>
      </c>
      <c r="G21" s="199">
        <f>SUMIF(站前11樓!B:B,B21,站前11樓!F:F)</f>
        <v/>
      </c>
      <c r="H21" s="199">
        <f>SUMIF(忠孝7樓!B:B,B21,忠孝7樓!G:G)</f>
        <v/>
      </c>
      <c r="I21" s="199">
        <f>SUMIF(忠孝國際醫學3樓!B:B,B21,忠孝國際醫學3樓!G:G)</f>
        <v/>
      </c>
      <c r="J21" s="199">
        <f>SUMIF(忠孝健康7樓!B:B,B21,忠孝健康7樓!G:G)</f>
        <v/>
      </c>
      <c r="K21" s="200" t="n"/>
      <c r="L21" s="200" t="n"/>
      <c r="M21" s="200" t="n"/>
      <c r="N21" s="200" t="n"/>
      <c r="O21" s="200" t="n"/>
      <c r="P21" s="200" t="n"/>
      <c r="Q21" s="200" t="n"/>
      <c r="R21" s="200" t="n"/>
      <c r="S21" s="200" t="n"/>
      <c r="T21" s="200" t="n"/>
      <c r="U21" s="200" t="n"/>
      <c r="V21" s="200" t="n"/>
      <c r="W21" s="200" t="n"/>
      <c r="X21" s="200" t="n"/>
      <c r="Y21" s="200" t="n"/>
      <c r="Z21" s="200" t="n"/>
      <c r="AA21" s="200" t="n"/>
      <c r="AB21" s="200" t="n"/>
      <c r="AC21" s="200" t="n"/>
      <c r="AD21" s="200" t="n"/>
      <c r="AE21" s="200" t="n"/>
      <c r="AF21" s="200" t="n"/>
      <c r="AG21" s="200" t="n"/>
      <c r="AH21" s="200" t="n"/>
      <c r="AI21" s="200" t="n"/>
      <c r="AJ21" s="201" t="n"/>
      <c r="AK21" s="201" t="n"/>
      <c r="AL21" s="201" t="n"/>
      <c r="AM21" s="201" t="n"/>
      <c r="AN21" s="201" t="n"/>
      <c r="AO21" s="201" t="n"/>
      <c r="AP21" s="201" t="n"/>
      <c r="AQ21" s="201" t="n"/>
      <c r="AR21" s="201" t="n"/>
      <c r="AS21" s="201" t="n"/>
      <c r="AT21" s="512" t="n"/>
      <c r="AU21" s="203" t="n"/>
      <c r="AV21" s="204" t="n"/>
      <c r="AW21" s="513" t="n"/>
      <c r="AX21" s="203" t="n"/>
      <c r="AY21" s="203" t="n"/>
      <c r="AZ21" s="203" t="n"/>
      <c r="BA21" s="203" t="n"/>
      <c r="BB21" s="203" t="n"/>
      <c r="BC21" s="203">
        <f>SUMIFS(領用表!$L:$L,領用表!$A:$A,BC$2,領用表!$E:$E,B21)</f>
        <v/>
      </c>
      <c r="BD21" s="206">
        <f>SUMIFS(領用表!$L:$L,領用表!$E:$E,$B21,領用表!$B:$B,BC$2&amp;BD$2)</f>
        <v/>
      </c>
      <c r="BE21" s="206">
        <f>SUMIFS(領用表!$L:$L,領用表!$E:$E,$B21,領用表!$B:$B,$BC$2&amp;BE$2)</f>
        <v/>
      </c>
      <c r="BF21" s="206">
        <f>SUMIFS(領用表!$L:$L,領用表!$E:$E,$B21,領用表!$B:$B,$BC$2&amp;BF$2)</f>
        <v/>
      </c>
      <c r="BG21" s="206">
        <f>SUMIFS(領用表!$L:$L,領用表!$E:$E,$B21,領用表!$B:$B,$BC$2&amp;BG$2)</f>
        <v/>
      </c>
      <c r="BH21" s="203">
        <f>SUMIFS(領用表!$L:$L,領用表!$A:$A,BH$2,領用表!$E:$E,B21)</f>
        <v/>
      </c>
      <c r="BI21" s="206">
        <f>SUMIFS(領用表!$L:$L,領用表!$E:$E,$B21,領用表!$B:$B,BH$2&amp;BI$2)</f>
        <v/>
      </c>
      <c r="BJ21" s="206">
        <f>SUMIFS(領用表!$L:$L,領用表!$E:$E,$B21,領用表!$B:$B,$BH$2&amp;BJ$2)</f>
        <v/>
      </c>
      <c r="BK21" s="206">
        <f>SUMIFS(領用表!$L:$L,領用表!$E:$E,$B21,領用表!$B:$B,$BH$2&amp;BK$2)</f>
        <v/>
      </c>
      <c r="BL21" s="206">
        <f>SUMIFS(領用表!$L:$L,領用表!$E:$E,$B21,領用表!$B:$B,$BH$2&amp;BL$2)</f>
        <v/>
      </c>
      <c r="BM21" s="203">
        <f>SUMIFS(領用表!$L:$L,領用表!$A:$A,BM$2,領用表!$E:$E,B21)</f>
        <v/>
      </c>
      <c r="BN21" s="206">
        <f>SUMIFS(領用表!$L:$L,領用表!$E:$E,$B21,領用表!$B:$B,BM$2&amp;BN$2)</f>
        <v/>
      </c>
      <c r="BO21" s="206">
        <f>SUMIFS(領用表!$L:$L,領用表!$E:$E,$B21,領用表!$B:$B,$BM$2&amp;BO$2)</f>
        <v/>
      </c>
      <c r="BP21" s="206">
        <f>SUMIFS(領用表!$L:$L,領用表!$E:$E,$B21,領用表!$B:$B,$BM$2&amp;BP$2)</f>
        <v/>
      </c>
      <c r="BQ21" s="206">
        <f>SUMIFS(領用表!$L:$L,領用表!$E:$E,$B21,領用表!$B:$B,$BM$2&amp;BQ$2)</f>
        <v/>
      </c>
      <c r="BR21" s="203">
        <f>SUMIFS(領用表!$L:$L,領用表!$A:$A,BR$2,領用表!$E:$E,B21)</f>
        <v/>
      </c>
      <c r="BS21" s="206">
        <f>SUMIFS(領用表!$L:$L,領用表!$E:$E,$B21,領用表!$B:$B,BR$2&amp;BS$2)</f>
        <v/>
      </c>
      <c r="BT21" s="206">
        <f>SUMIFS(領用表!$L:$L,領用表!$E:$E,$B21,領用表!$B:$B,$BR$2&amp;BT$2)</f>
        <v/>
      </c>
      <c r="BU21" s="206">
        <f>SUMIFS(領用表!$L:$L,領用表!$E:$E,$B21,領用表!$B:$B,$BR$2&amp;BU$2)</f>
        <v/>
      </c>
      <c r="BV21" s="206">
        <f>SUMIFS(領用表!$L:$L,領用表!$E:$E,$B21,領用表!$B:$B,$BR$2&amp;BV$2)</f>
        <v/>
      </c>
      <c r="BW21" s="208">
        <f>SUMIFS(領用表!$L:$L,領用表!$A:$A,BW$2,領用表!$E:$E,B21)</f>
        <v/>
      </c>
      <c r="BX21" s="216">
        <f>SUMIFS(領用表!$L:$L,領用表!$E:$E,$B21,領用表!$B:$B,BW$2&amp;BX$2)</f>
        <v/>
      </c>
      <c r="BY21" s="216">
        <f>SUMIFS(領用表!$L:$L,領用表!$E:$E,$B21,領用表!$B:$B,$BW$2&amp;BY$2)</f>
        <v/>
      </c>
      <c r="BZ21" s="216">
        <f>SUMIFS(領用表!$L:$L,領用表!$E:$E,$B21,領用表!$B:$B,$BW$2&amp;BZ$2)</f>
        <v/>
      </c>
      <c r="CA21" s="216">
        <f>SUMIFS(領用表!$L:$L,領用表!$E:$E,$B21,領用表!$B:$B,$BW$2&amp;CA$2)</f>
        <v/>
      </c>
      <c r="CB21" s="208">
        <f>SUMIFS(領用表!$L:$L,領用表!$A:$A,CB$2,領用表!$E:$E,B21)</f>
        <v/>
      </c>
      <c r="CC21" s="216">
        <f>SUMIFS(領用表!$L:$L,領用表!$E:$E,$B21,領用表!$B:$B,CB$2&amp;CC$2)</f>
        <v/>
      </c>
      <c r="CD21" s="216">
        <f>SUMIFS(領用表!$L:$L,領用表!$E:$E,$B21,領用表!$B:$B,$CB$2&amp;CD$2)</f>
        <v/>
      </c>
      <c r="CE21" s="216">
        <f>SUMIFS(領用表!$L:$L,領用表!$E:$E,$B21,領用表!$B:$B,$CB$2&amp;CE$2)</f>
        <v/>
      </c>
      <c r="CF21" s="216">
        <f>SUMIFS(領用表!$L:$L,領用表!$E:$E,$B21,領用表!$B:$B,$CB$2&amp;CF$2)</f>
        <v/>
      </c>
      <c r="CG21" s="217">
        <f>SUMIFS(領用表!$L:$L,領用表!$A:$A,CG$2,領用表!$E:$E,B21)</f>
        <v/>
      </c>
      <c r="CH21" s="216">
        <f>SUMIFS(領用表!$L:$L,領用表!$E:$E,$B21,領用表!$B:$B,CG$2&amp;CH$2)</f>
        <v/>
      </c>
      <c r="CI21" s="216">
        <f>SUMIFS(領用表!$L:$L,領用表!$E:$E,$B21,領用表!$B:$B,CG$2&amp;CI$2)</f>
        <v/>
      </c>
      <c r="CJ21" s="216">
        <f>SUMIFS(領用表!$L:$L,領用表!$E:$E,$B21,領用表!$B:$B,CG$2&amp;CJ$2)</f>
        <v/>
      </c>
      <c r="CK21" s="216">
        <f>SUMIFS(領用表!$L:$L,領用表!$E:$E,$B21,領用表!$B:$B,$CG$2&amp;CK$2)</f>
        <v/>
      </c>
      <c r="CL21" s="207">
        <f>SUM(AX21,AY21,AZ21,BA21,BB21,BC21,BH21,BM21,BR21,BW21,CB21,CG21)</f>
        <v/>
      </c>
      <c r="CM21" s="207">
        <f>AVERAGE(AX21,AY21,AZ21,BA21,BB21,BC21,BH21,BM21,BR21,BW21,CB21,CG21)</f>
        <v/>
      </c>
      <c r="CN21" s="217">
        <f>SUMIFS(領用表!$L:$L,領用表!$A:$A,CN$2,領用表!$E:$E,B21)</f>
        <v/>
      </c>
      <c r="CO21" s="216">
        <f>SUMIFS(領用表!$L:$L,領用表!$E:$E,$B21,領用表!$B:$B,CN$2&amp;CO$2)</f>
        <v/>
      </c>
      <c r="CP21" s="216">
        <f>SUMIFS(領用表!$L:$L,領用表!$E:$E,$B21,領用表!$B:$B,$CN$2&amp;CP$2)</f>
        <v/>
      </c>
      <c r="CQ21" s="216">
        <f>SUMIFS(領用表!$L:$L,領用表!$E:$E,$B21,領用表!$B:$B,$CN$2&amp;CQ$2)</f>
        <v/>
      </c>
      <c r="CR21" s="216">
        <f>SUMIFS(領用表!$L:$L,領用表!$E:$E,$B21,領用表!$B:$B,$CN$2&amp;CR$2)</f>
        <v/>
      </c>
      <c r="CS21" s="208">
        <f>SUMIFS(領用表!$L:$L,領用表!$A:$A,CS$2,領用表!$E:$E,B21)</f>
        <v/>
      </c>
      <c r="CT21" s="216">
        <f>SUMIFS(領用表!$L:$L,領用表!$E:$E,$B21,領用表!$B:$B,CS$2&amp;CT$2)</f>
        <v/>
      </c>
      <c r="CU21" s="216">
        <f>SUMIFS(領用表!$L:$L,領用表!$E:$E,$B21,領用表!$B:$B,$CS$2&amp;CU$2)</f>
        <v/>
      </c>
      <c r="CV21" s="216">
        <f>SUMIFS(領用表!$L:$L,領用表!$E:$E,$B21,領用表!$B:$B,$CS$2&amp;CV$2)</f>
        <v/>
      </c>
      <c r="CW21" s="216">
        <f>SUMIFS(領用表!$L:$L,領用表!$E:$E,$B21,領用表!$B:$B,$CS$2&amp;CW$2)</f>
        <v/>
      </c>
      <c r="CX21" s="216">
        <f>SUMIFS(領用表!$L:$L,領用表!$E:$E,$B21,領用表!$B:$B,$CS$2&amp;CX$2)</f>
        <v/>
      </c>
      <c r="CY21" s="208">
        <f>SUMIFS(領用表!$L:$L,領用表!$A:$A,CY$2,領用表!$E:$E,B21)</f>
        <v/>
      </c>
      <c r="CZ21" s="216">
        <f>SUMIFS(領用表!$L:$L,領用表!$E:$E,$B21,領用表!$B:$B,CY$2&amp;CZ$2)</f>
        <v/>
      </c>
      <c r="DA21" s="216">
        <f>SUMIFS(領用表!$L:$L,領用表!$E:$E,$B21,領用表!$B:$B,$CY$2&amp;DA$2)</f>
        <v/>
      </c>
      <c r="DB21" s="216">
        <f>SUMIFS(領用表!$L:$L,領用表!$E:$E,$B21,領用表!$B:$B,$CY$2&amp;DB$2)</f>
        <v/>
      </c>
      <c r="DC21" s="216">
        <f>SUMIFS(領用表!$L:$L,領用表!$E:$E,$B21,領用表!$B:$B,$CY$2&amp;DC$2)</f>
        <v/>
      </c>
      <c r="DD21" s="216">
        <f>SUMIFS(領用表!$L:$L,領用表!$E:$E,$B21,領用表!$B:$B,$CY$2&amp;DD$2)</f>
        <v/>
      </c>
      <c r="DE21" s="208">
        <f>SUMIFS(領用表!$L:$L,領用表!$A:$A,DE$2,領用表!$E:$E,B21)</f>
        <v/>
      </c>
      <c r="DF21" s="216">
        <f>SUMIFS(領用表!$L:$L,領用表!$E:$E,$B21,領用表!$B:$B,DE$2&amp;DF$2)</f>
        <v/>
      </c>
      <c r="DG21" s="216">
        <f>SUMIFS(領用表!$L:$L,領用表!$E:$E,$B21,領用表!$B:$B,$DE$2&amp;DG$2)</f>
        <v/>
      </c>
      <c r="DH21" s="216">
        <f>SUMIFS(領用表!$L:$L,領用表!$E:$E,$B21,領用表!$B:$B,$DE$2&amp;DH$2)</f>
        <v/>
      </c>
      <c r="DI21" s="216">
        <f>SUMIFS(領用表!$L:$L,領用表!$E:$E,$B21,領用表!$B:$B,$DE$2&amp;DI$2)</f>
        <v/>
      </c>
      <c r="DJ21" s="216">
        <f>SUMIFS(領用表!$L:$L,領用表!$E:$E,$B21,領用表!$B:$B,$DE$2&amp;DJ$2)</f>
        <v/>
      </c>
      <c r="DK21" s="208">
        <f>SUMIFS(領用表!$L:$L,領用表!$A:$A,DK$2,領用表!$E:$E,$B21)</f>
        <v/>
      </c>
      <c r="DL21" s="216">
        <f>SUMIFS(領用表!$L:$L,領用表!$E:$E,$B21,領用表!$B:$B,DK$2&amp;DL$2)</f>
        <v/>
      </c>
      <c r="DM21" s="216">
        <f>SUMIFS(領用表!$L:$L,領用表!$E:$E,$B21,領用表!$B:$B,$DK$2&amp;DM$2)</f>
        <v/>
      </c>
      <c r="DN21" s="216">
        <f>SUMIFS(領用表!$L:$L,領用表!$E:$E,$B21,領用表!$B:$B,$DK$2&amp;DN$2)</f>
        <v/>
      </c>
      <c r="DO21" s="216">
        <f>SUMIFS(領用表!$L:$L,領用表!$E:$E,$B21,領用表!$B:$B,$DK$2&amp;DO$2)</f>
        <v/>
      </c>
      <c r="DP21" s="216">
        <f>SUMIFS(領用表!$L:$L,領用表!$E:$E,$B21,領用表!$B:$B,$DK$2&amp;DP$2)</f>
        <v/>
      </c>
      <c r="DQ21" s="208" t="n">
        <v>5</v>
      </c>
      <c r="DR21" s="216" t="n">
        <v>1</v>
      </c>
      <c r="DS21" s="216" t="n"/>
      <c r="DT21" s="216" t="n">
        <v>4</v>
      </c>
      <c r="DU21" s="216" t="n"/>
      <c r="DV21" s="216" t="n"/>
      <c r="DW21" s="216">
        <f>SUM(CN21,CS21,CY21,DE21,DK21,DQ21)</f>
        <v/>
      </c>
      <c r="DX21" s="216">
        <f>AVERAGEA(CN21,CS21,CY21,DE21,DK21,DQ21)</f>
        <v/>
      </c>
      <c r="DY21" s="216">
        <f>SUM(DZ21:EC21)</f>
        <v/>
      </c>
      <c r="DZ21" s="216" t="n">
        <v>3</v>
      </c>
      <c r="EA21" s="216" t="n">
        <v>0</v>
      </c>
      <c r="EB21" s="216" t="n">
        <v>3</v>
      </c>
      <c r="EC21" s="216" t="n">
        <v>0</v>
      </c>
      <c r="ED21" s="215" t="n">
        <v>33</v>
      </c>
      <c r="EE21" s="224" t="inlineStr">
        <is>
          <t>726支</t>
        </is>
      </c>
      <c r="EF21" s="211" t="n"/>
      <c r="EG21" s="211" t="n"/>
      <c r="EH21" s="136" t="n"/>
      <c r="EI21" s="212" t="n"/>
      <c r="EJ21" s="118">
        <f>IFERROR(VLOOKUP(A21,站前4樓!A:BF,57,0),0)</f>
        <v/>
      </c>
      <c r="EK21" s="213">
        <f>IFERROR(VLOOKUP(A21,站前11樓!A:BE,57,0),0)</f>
        <v/>
      </c>
      <c r="EL21" s="118">
        <f>IFERROR(VLOOKUP(A21,忠孝7樓!A:N,57,0),0)</f>
        <v/>
      </c>
      <c r="EM21" s="118">
        <f>IFERROR(VLOOKUP(A21,忠孝國際醫學3樓!A:L,57,0),0)</f>
        <v/>
      </c>
      <c r="EN21" s="118">
        <f>SUM(ED21:EG21)</f>
        <v/>
      </c>
      <c r="EP21" s="118" t="n">
        <v>63</v>
      </c>
      <c r="EQ21" s="118" t="n">
        <v>31</v>
      </c>
    </row>
    <row r="22" ht="15.75" customFormat="1" customHeight="1" s="118">
      <c r="A22" s="136" t="inlineStr">
        <is>
          <t>MP1MA020016A</t>
        </is>
      </c>
      <c r="C22" s="131" t="inlineStr">
        <is>
          <t>薇貝拉軟組織植入劑-小分子白童針 50mg</t>
        </is>
      </c>
      <c r="D22" s="197" t="n">
        <v>1</v>
      </c>
      <c r="E22" s="198" t="inlineStr">
        <is>
          <t>PCS</t>
        </is>
      </c>
      <c r="F22" s="225">
        <f>SUMIF(站前4樓!B:B,B22,站前4樓!F:F)</f>
        <v/>
      </c>
      <c r="G22" s="225">
        <f>SUMIF(站前11樓!B:B,B22,站前11樓!F:F)</f>
        <v/>
      </c>
      <c r="H22" s="225">
        <f>SUMIF(忠孝7樓!B:B,B22,忠孝7樓!G:G)</f>
        <v/>
      </c>
      <c r="I22" s="225">
        <f>SUMIF(忠孝國際醫學3樓!B:B,B22,忠孝國際醫學3樓!G:G)</f>
        <v/>
      </c>
      <c r="J22" s="225">
        <f>SUMIF(忠孝健康7樓!B:B,B22,忠孝健康7樓!G:G)</f>
        <v/>
      </c>
      <c r="K22" s="200" t="n">
        <v>0</v>
      </c>
      <c r="L22" s="200" t="n">
        <v>0</v>
      </c>
      <c r="M22" s="200" t="n">
        <v>0</v>
      </c>
      <c r="N22" s="200" t="n">
        <v>0</v>
      </c>
      <c r="O22" s="200" t="n">
        <v>0</v>
      </c>
      <c r="P22" s="200" t="n">
        <v>0</v>
      </c>
      <c r="Q22" s="200" t="n">
        <v>0</v>
      </c>
      <c r="R22" s="200" t="n">
        <v>0</v>
      </c>
      <c r="S22" s="200" t="n">
        <v>0</v>
      </c>
      <c r="T22" s="200" t="n">
        <v>0</v>
      </c>
      <c r="U22" s="200" t="n">
        <v>0</v>
      </c>
      <c r="V22" s="200" t="n">
        <v>0</v>
      </c>
      <c r="W22" s="200" t="n">
        <v>0</v>
      </c>
      <c r="X22" s="200" t="n">
        <v>0</v>
      </c>
      <c r="Y22" s="200" t="n">
        <v>0</v>
      </c>
      <c r="Z22" s="200" t="n">
        <v>0</v>
      </c>
      <c r="AA22" s="200" t="n">
        <v>0</v>
      </c>
      <c r="AB22" s="200" t="n">
        <v>0</v>
      </c>
      <c r="AC22" s="200" t="n">
        <v>0</v>
      </c>
      <c r="AD22" s="200" t="n">
        <v>0</v>
      </c>
      <c r="AE22" s="200" t="n">
        <v>0</v>
      </c>
      <c r="AF22" s="200" t="n">
        <v>0</v>
      </c>
      <c r="AG22" s="200" t="n">
        <v>0</v>
      </c>
      <c r="AH22" s="200" t="n">
        <v>0</v>
      </c>
      <c r="AI22" s="200" t="n">
        <v>0</v>
      </c>
      <c r="AJ22" s="201" t="n">
        <v>0</v>
      </c>
      <c r="AK22" s="201" t="n">
        <v>0</v>
      </c>
      <c r="AL22" s="201" t="n">
        <v>0</v>
      </c>
      <c r="AM22" s="201" t="n">
        <v>0</v>
      </c>
      <c r="AN22" s="201" t="n">
        <v>0</v>
      </c>
      <c r="AO22" s="201" t="n">
        <v>0</v>
      </c>
      <c r="AP22" s="201" t="n">
        <v>0</v>
      </c>
      <c r="AQ22" s="201" t="n">
        <v>0</v>
      </c>
      <c r="AR22" s="201" t="n">
        <v>3</v>
      </c>
      <c r="AS22" s="201" t="n">
        <v>9</v>
      </c>
      <c r="AT22" s="512" t="n">
        <v>9</v>
      </c>
      <c r="AU22" s="203" t="n">
        <v>16</v>
      </c>
      <c r="AV22" s="204">
        <f>SUM(AJ22:AU22)</f>
        <v/>
      </c>
      <c r="AW22" s="513">
        <f>AV22/4</f>
        <v/>
      </c>
      <c r="AX22" s="203" t="n">
        <v>25</v>
      </c>
      <c r="AY22" s="203" t="n">
        <v>28</v>
      </c>
      <c r="AZ22" s="203" t="n">
        <v>23</v>
      </c>
      <c r="BA22" s="203" t="n">
        <v>30</v>
      </c>
      <c r="BB22" s="203" t="n">
        <v>31</v>
      </c>
      <c r="BC22" s="203">
        <f>SUMIFS(領用表!$L:$L,領用表!$A:$A,BC$2,領用表!$E:$E,B22)</f>
        <v/>
      </c>
      <c r="BD22" s="206">
        <f>SUMIFS(領用表!$L:$L,領用表!$E:$E,$B22,領用表!$B:$B,BC$2&amp;BD$2)</f>
        <v/>
      </c>
      <c r="BE22" s="206">
        <f>SUMIFS(領用表!$L:$L,領用表!$E:$E,$B22,領用表!$B:$B,$BC$2&amp;BE$2)</f>
        <v/>
      </c>
      <c r="BF22" s="206">
        <f>SUMIFS(領用表!$L:$L,領用表!$E:$E,$B22,領用表!$B:$B,$BC$2&amp;BF$2)</f>
        <v/>
      </c>
      <c r="BG22" s="206">
        <f>SUMIFS(領用表!$L:$L,領用表!$E:$E,$B22,領用表!$B:$B,$BC$2&amp;BG$2)</f>
        <v/>
      </c>
      <c r="BH22" s="203">
        <f>SUMIFS(領用表!$L:$L,領用表!$A:$A,BH$2,領用表!$E:$E,B22)</f>
        <v/>
      </c>
      <c r="BI22" s="206">
        <f>SUMIFS(領用表!$L:$L,領用表!$E:$E,$B22,領用表!$B:$B,BH$2&amp;BI$2)</f>
        <v/>
      </c>
      <c r="BJ22" s="206">
        <f>SUMIFS(領用表!$L:$L,領用表!$E:$E,$B22,領用表!$B:$B,$BH$2&amp;BJ$2)</f>
        <v/>
      </c>
      <c r="BK22" s="206">
        <f>SUMIFS(領用表!$L:$L,領用表!$E:$E,$B22,領用表!$B:$B,$BH$2&amp;BK$2)</f>
        <v/>
      </c>
      <c r="BL22" s="206">
        <f>SUMIFS(領用表!$L:$L,領用表!$E:$E,$B22,領用表!$B:$B,$BH$2&amp;BL$2)</f>
        <v/>
      </c>
      <c r="BM22" s="203">
        <f>SUMIFS(領用表!$L:$L,領用表!$A:$A,BM$2,領用表!$E:$E,B22)</f>
        <v/>
      </c>
      <c r="BN22" s="206">
        <f>SUMIFS(領用表!$L:$L,領用表!$E:$E,$B22,領用表!$B:$B,BM$2&amp;BN$2)</f>
        <v/>
      </c>
      <c r="BO22" s="206">
        <f>SUMIFS(領用表!$L:$L,領用表!$E:$E,$B22,領用表!$B:$B,$BM$2&amp;BO$2)</f>
        <v/>
      </c>
      <c r="BP22" s="206">
        <f>SUMIFS(領用表!$L:$L,領用表!$E:$E,$B22,領用表!$B:$B,$BM$2&amp;BP$2)</f>
        <v/>
      </c>
      <c r="BQ22" s="206">
        <f>SUMIFS(領用表!$L:$L,領用表!$E:$E,$B22,領用表!$B:$B,$BM$2&amp;BQ$2)</f>
        <v/>
      </c>
      <c r="BR22" s="203">
        <f>SUMIFS(領用表!$L:$L,領用表!$A:$A,BR$2,領用表!$E:$E,B22)</f>
        <v/>
      </c>
      <c r="BS22" s="206">
        <f>SUMIFS(領用表!$L:$L,領用表!$E:$E,$B22,領用表!$B:$B,BR$2&amp;BS$2)</f>
        <v/>
      </c>
      <c r="BT22" s="206">
        <f>SUMIFS(領用表!$L:$L,領用表!$E:$E,$B22,領用表!$B:$B,$BR$2&amp;BT$2)</f>
        <v/>
      </c>
      <c r="BU22" s="206">
        <f>SUMIFS(領用表!$L:$L,領用表!$E:$E,$B22,領用表!$B:$B,$BR$2&amp;BU$2)</f>
        <v/>
      </c>
      <c r="BV22" s="206">
        <f>SUMIFS(領用表!$L:$L,領用表!$E:$E,$B22,領用表!$B:$B,$BR$2&amp;BV$2)</f>
        <v/>
      </c>
      <c r="BW22" s="203">
        <f>SUMIFS(領用表!$L:$L,領用表!$A:$A,BW$2,領用表!$E:$E,B22)</f>
        <v/>
      </c>
      <c r="BX22" s="206">
        <f>SUMIFS(領用表!$L:$L,領用表!$E:$E,$B22,領用表!$B:$B,BW$2&amp;BX$2)</f>
        <v/>
      </c>
      <c r="BY22" s="206">
        <f>SUMIFS(領用表!$L:$L,領用表!$E:$E,$B22,領用表!$B:$B,$BW$2&amp;BY$2)</f>
        <v/>
      </c>
      <c r="BZ22" s="206">
        <f>SUMIFS(領用表!$L:$L,領用表!$E:$E,$B22,領用表!$B:$B,$BW$2&amp;BZ$2)</f>
        <v/>
      </c>
      <c r="CA22" s="206">
        <f>SUMIFS(領用表!$L:$L,領用表!$E:$E,$B22,領用表!$B:$B,$BW$2&amp;CA$2)</f>
        <v/>
      </c>
      <c r="CB22" s="208">
        <f>SUMIFS(領用表!$L:$L,領用表!$A:$A,CB$2,領用表!$E:$E,B22)</f>
        <v/>
      </c>
      <c r="CC22" s="206">
        <f>SUMIFS(領用表!$L:$L,領用表!$E:$E,$B22,領用表!$B:$B,CB$2&amp;CC$2)</f>
        <v/>
      </c>
      <c r="CD22" s="206">
        <f>SUMIFS(領用表!$L:$L,領用表!$E:$E,$B22,領用表!$B:$B,$CB$2&amp;CD$2)</f>
        <v/>
      </c>
      <c r="CE22" s="206">
        <f>SUMIFS(領用表!$L:$L,領用表!$E:$E,$B22,領用表!$B:$B,$CB$2&amp;CE$2)</f>
        <v/>
      </c>
      <c r="CF22" s="206">
        <f>SUMIFS(領用表!$L:$L,領用表!$E:$E,$B22,領用表!$B:$B,$CB$2&amp;CF$2)</f>
        <v/>
      </c>
      <c r="CG22" s="208">
        <f>SUMIFS(領用表!$L:$L,領用表!$A:$A,CG$2,領用表!$E:$E,B22)</f>
        <v/>
      </c>
      <c r="CH22" s="206">
        <f>SUMIFS(領用表!$L:$L,領用表!$E:$E,$B22,領用表!$B:$B,CG$2&amp;CH$2)</f>
        <v/>
      </c>
      <c r="CI22" s="206">
        <f>SUMIFS(領用表!$L:$L,領用表!$E:$E,$B22,領用表!$B:$B,CG$2&amp;CI$2)</f>
        <v/>
      </c>
      <c r="CJ22" s="206">
        <f>SUMIFS(領用表!$L:$L,領用表!$E:$E,$B22,領用表!$B:$B,CG$2&amp;CJ$2)</f>
        <v/>
      </c>
      <c r="CK22" s="206">
        <f>SUMIFS(領用表!$L:$L,領用表!$E:$E,$B22,領用表!$B:$B,$CG$2&amp;CK$2)</f>
        <v/>
      </c>
      <c r="CL22" s="207">
        <f>SUM(AX22,AY22,AZ22,BA22,BB22,BC22,BH22,BM22,BR22,BW22,CB22,CG22)</f>
        <v/>
      </c>
      <c r="CM22" s="207">
        <f>AVERAGE(AX22,AY22,AZ22,BA22,BB22,BC22,BH22,BM22,BR22,BW22,CB22,CG22)</f>
        <v/>
      </c>
      <c r="CN22" s="208">
        <f>SUMIFS(領用表!$L:$L,領用表!$A:$A,CN$2,領用表!$E:$E,B22)</f>
        <v/>
      </c>
      <c r="CO22" s="206">
        <f>SUMIFS(領用表!$L:$L,領用表!$E:$E,$B22,領用表!$B:$B,CN$2&amp;CO$2)</f>
        <v/>
      </c>
      <c r="CP22" s="206">
        <f>SUMIFS(領用表!$L:$L,領用表!$E:$E,$B22,領用表!$B:$B,$CN$2&amp;CP$2)</f>
        <v/>
      </c>
      <c r="CQ22" s="206">
        <f>SUMIFS(領用表!$L:$L,領用表!$E:$E,$B22,領用表!$B:$B,$CN$2&amp;CQ$2)</f>
        <v/>
      </c>
      <c r="CR22" s="206">
        <f>SUMIFS(領用表!$L:$L,領用表!$E:$E,$B22,領用表!$B:$B,$CN$2&amp;CR$2)</f>
        <v/>
      </c>
      <c r="CS22" s="208">
        <f>SUMIFS(領用表!$L:$L,領用表!$A:$A,CS$2,領用表!$E:$E,B22)</f>
        <v/>
      </c>
      <c r="CT22" s="206">
        <f>SUMIFS(領用表!$L:$L,領用表!$E:$E,$B22,領用表!$B:$B,CS$2&amp;CT$2)</f>
        <v/>
      </c>
      <c r="CU22" s="206">
        <f>SUMIFS(領用表!$L:$L,領用表!$E:$E,$B22,領用表!$B:$B,$CS$2&amp;CU$2)</f>
        <v/>
      </c>
      <c r="CV22" s="206">
        <f>SUMIFS(領用表!$L:$L,領用表!$E:$E,$B22,領用表!$B:$B,$CS$2&amp;CV$2)</f>
        <v/>
      </c>
      <c r="CW22" s="206">
        <f>SUMIFS(領用表!$L:$L,領用表!$E:$E,$B22,領用表!$B:$B,$CS$2&amp;CW$2)</f>
        <v/>
      </c>
      <c r="CX22" s="206">
        <f>SUMIFS(領用表!$L:$L,領用表!$E:$E,$B22,領用表!$B:$B,$CS$2&amp;CX$2)</f>
        <v/>
      </c>
      <c r="CY22" s="208">
        <f>SUMIFS(領用表!$L:$L,領用表!$A:$A,CY$2,領用表!$E:$E,B22)</f>
        <v/>
      </c>
      <c r="CZ22" s="206">
        <f>SUMIFS(領用表!$L:$L,領用表!$E:$E,$B22,領用表!$B:$B,CY$2&amp;CZ$2)</f>
        <v/>
      </c>
      <c r="DA22" s="206">
        <f>SUMIFS(領用表!$L:$L,領用表!$E:$E,$B22,領用表!$B:$B,$CY$2&amp;DA$2)</f>
        <v/>
      </c>
      <c r="DB22" s="206">
        <f>SUMIFS(領用表!$L:$L,領用表!$E:$E,$B22,領用表!$B:$B,$CY$2&amp;DB$2)</f>
        <v/>
      </c>
      <c r="DC22" s="206">
        <f>SUMIFS(領用表!$L:$L,領用表!$E:$E,$B22,領用表!$B:$B,$CY$2&amp;DC$2)</f>
        <v/>
      </c>
      <c r="DD22" s="206">
        <f>SUMIFS(領用表!$L:$L,領用表!$E:$E,$B22,領用表!$B:$B,$CY$2&amp;DD$2)</f>
        <v/>
      </c>
      <c r="DE22" s="208">
        <f>SUMIFS(領用表!$L:$L,領用表!$A:$A,DE$2,領用表!$E:$E,B22)</f>
        <v/>
      </c>
      <c r="DF22" s="206">
        <f>SUMIFS(領用表!$L:$L,領用表!$E:$E,$B22,領用表!$B:$B,DE$2&amp;DF$2)</f>
        <v/>
      </c>
      <c r="DG22" s="206">
        <f>SUMIFS(領用表!$L:$L,領用表!$E:$E,$B22,領用表!$B:$B,$DE$2&amp;DG$2)</f>
        <v/>
      </c>
      <c r="DH22" s="206">
        <f>SUMIFS(領用表!$L:$L,領用表!$E:$E,$B22,領用表!$B:$B,$DE$2&amp;DH$2)</f>
        <v/>
      </c>
      <c r="DI22" s="206">
        <f>SUMIFS(領用表!$L:$L,領用表!$E:$E,$B22,領用表!$B:$B,$DE$2&amp;DI$2)</f>
        <v/>
      </c>
      <c r="DJ22" s="206">
        <f>SUMIFS(領用表!$L:$L,領用表!$E:$E,$B22,領用表!$B:$B,$DE$2&amp;DJ$2)</f>
        <v/>
      </c>
      <c r="DK22" s="208">
        <f>SUMIFS(領用表!$L:$L,領用表!$A:$A,DK$2,領用表!$E:$E,$B22)</f>
        <v/>
      </c>
      <c r="DL22" s="206">
        <f>SUMIFS(領用表!$L:$L,領用表!$E:$E,$B22,領用表!$B:$B,DK$2&amp;DL$2)</f>
        <v/>
      </c>
      <c r="DM22" s="206">
        <f>SUMIFS(領用表!$L:$L,領用表!$E:$E,$B22,領用表!$B:$B,$DK$2&amp;DM$2)</f>
        <v/>
      </c>
      <c r="DN22" s="206">
        <f>SUMIFS(領用表!$L:$L,領用表!$E:$E,$B22,領用表!$B:$B,$DK$2&amp;DN$2)</f>
        <v/>
      </c>
      <c r="DO22" s="206">
        <f>SUMIFS(領用表!$L:$L,領用表!$E:$E,$B22,領用表!$B:$B,$DK$2&amp;DO$2)</f>
        <v/>
      </c>
      <c r="DP22" s="206">
        <f>SUMIFS(領用表!$L:$L,領用表!$E:$E,$B22,領用表!$B:$B,$DK$2&amp;DP$2)</f>
        <v/>
      </c>
      <c r="DQ22" s="208" t="n"/>
      <c r="DR22" s="206" t="n"/>
      <c r="DS22" s="206" t="n"/>
      <c r="DT22" s="206" t="n"/>
      <c r="DU22" s="206" t="n"/>
      <c r="DV22" s="206" t="n"/>
      <c r="DW22" s="206">
        <f>SUM(CN22,CS22,CY22,DE22,DK22,DQ22)</f>
        <v/>
      </c>
      <c r="DX22" s="206">
        <f>AVERAGEA(CN22,CS22,CY22,DE22,DK22,DQ22)</f>
        <v/>
      </c>
      <c r="DY22" s="206">
        <f>SUM(DZ22:EC22)</f>
        <v/>
      </c>
      <c r="DZ22" s="206" t="n">
        <v>0</v>
      </c>
      <c r="EA22" s="206" t="n">
        <v>0</v>
      </c>
      <c r="EB22" s="206" t="n">
        <v>0</v>
      </c>
      <c r="EC22" s="206" t="n">
        <v>0</v>
      </c>
      <c r="ED22" s="209" t="n"/>
      <c r="EE22" s="516" t="n"/>
      <c r="EF22" s="226" t="n"/>
      <c r="EG22" s="226" t="n"/>
      <c r="EH22" s="136" t="n"/>
      <c r="EI22" s="212" t="n"/>
      <c r="EJ22" s="118">
        <f>IFERROR(VLOOKUP(A22,站前4樓!A:BF,57,0),0)</f>
        <v/>
      </c>
      <c r="EK22" s="213">
        <f>IFERROR(VLOOKUP(A22,站前11樓!A:BE,57,0),0)</f>
        <v/>
      </c>
      <c r="EL22" s="118">
        <f>IFERROR(VLOOKUP(A22,忠孝7樓!A:N,57,0),0)</f>
        <v/>
      </c>
      <c r="EM22" s="118">
        <f>IFERROR(VLOOKUP(A22,忠孝國際醫學3樓!A:L,57,0),0)</f>
        <v/>
      </c>
      <c r="EN22" s="118">
        <f>SUM(ED22:EG22)</f>
        <v/>
      </c>
      <c r="EP22" s="118" t="n">
        <v>38</v>
      </c>
      <c r="EQ22" s="118" t="n">
        <v>0</v>
      </c>
    </row>
    <row r="23" ht="15" customFormat="1" customHeight="1" s="118">
      <c r="A23" s="136" t="inlineStr">
        <is>
          <t>MP1MA020017A</t>
        </is>
      </c>
      <c r="C23" s="131" t="inlineStr">
        <is>
          <t>薇貝拉軟組織植入劑-大分子黑童針 200mg</t>
        </is>
      </c>
      <c r="D23" s="197" t="n">
        <v>1</v>
      </c>
      <c r="E23" s="198" t="inlineStr">
        <is>
          <t>PCS</t>
        </is>
      </c>
      <c r="F23" s="225">
        <f>SUMIF(站前4樓!B:B,B23,站前4樓!F:F)</f>
        <v/>
      </c>
      <c r="G23" s="225">
        <f>SUMIF(站前11樓!B:B,B23,站前11樓!F:F)</f>
        <v/>
      </c>
      <c r="H23" s="225">
        <f>SUMIF(忠孝7樓!B:B,B23,忠孝7樓!G:G)</f>
        <v/>
      </c>
      <c r="I23" s="225">
        <f>SUMIF(忠孝國際醫學3樓!B:B,B23,忠孝國際醫學3樓!G:G)</f>
        <v/>
      </c>
      <c r="J23" s="225">
        <f>SUMIF(忠孝健康7樓!B:B,B23,忠孝健康7樓!G:G)</f>
        <v/>
      </c>
      <c r="K23" s="200" t="n">
        <v>0</v>
      </c>
      <c r="L23" s="200" t="n">
        <v>0</v>
      </c>
      <c r="M23" s="200" t="n">
        <v>0</v>
      </c>
      <c r="N23" s="200" t="n">
        <v>0</v>
      </c>
      <c r="O23" s="200" t="n">
        <v>0</v>
      </c>
      <c r="P23" s="200" t="n">
        <v>0</v>
      </c>
      <c r="Q23" s="200" t="n">
        <v>0</v>
      </c>
      <c r="R23" s="200" t="n">
        <v>0</v>
      </c>
      <c r="S23" s="200" t="n">
        <v>0</v>
      </c>
      <c r="T23" s="200" t="n">
        <v>0</v>
      </c>
      <c r="U23" s="200" t="n">
        <v>0</v>
      </c>
      <c r="V23" s="200" t="n">
        <v>0</v>
      </c>
      <c r="W23" s="200" t="n">
        <v>0</v>
      </c>
      <c r="X23" s="200" t="n">
        <v>0</v>
      </c>
      <c r="Y23" s="200" t="n">
        <v>0</v>
      </c>
      <c r="Z23" s="200" t="n">
        <v>0</v>
      </c>
      <c r="AA23" s="200" t="n">
        <v>0</v>
      </c>
      <c r="AB23" s="200" t="n">
        <v>0</v>
      </c>
      <c r="AC23" s="200" t="n">
        <v>0</v>
      </c>
      <c r="AD23" s="200" t="n">
        <v>0</v>
      </c>
      <c r="AE23" s="200" t="n">
        <v>0</v>
      </c>
      <c r="AF23" s="200" t="n">
        <v>0</v>
      </c>
      <c r="AG23" s="200" t="n">
        <v>0</v>
      </c>
      <c r="AH23" s="200" t="n">
        <v>0</v>
      </c>
      <c r="AI23" s="200" t="n">
        <v>0</v>
      </c>
      <c r="AJ23" s="201" t="n">
        <v>0</v>
      </c>
      <c r="AK23" s="201" t="n">
        <v>0</v>
      </c>
      <c r="AL23" s="201" t="n">
        <v>0</v>
      </c>
      <c r="AM23" s="201" t="n">
        <v>0</v>
      </c>
      <c r="AN23" s="201" t="n">
        <v>0</v>
      </c>
      <c r="AO23" s="201" t="n">
        <v>0</v>
      </c>
      <c r="AP23" s="201" t="n">
        <v>0</v>
      </c>
      <c r="AQ23" s="201" t="n">
        <v>0</v>
      </c>
      <c r="AR23" s="201" t="n">
        <v>3</v>
      </c>
      <c r="AS23" s="201" t="n">
        <v>11</v>
      </c>
      <c r="AT23" s="512" t="n">
        <v>15</v>
      </c>
      <c r="AU23" s="203" t="n">
        <v>15</v>
      </c>
      <c r="AV23" s="204">
        <f>SUM(AJ23:AU23)</f>
        <v/>
      </c>
      <c r="AW23" s="513">
        <f>AV23/4</f>
        <v/>
      </c>
      <c r="AX23" s="203" t="n">
        <v>15</v>
      </c>
      <c r="AY23" s="203" t="n">
        <v>11</v>
      </c>
      <c r="AZ23" s="203" t="n">
        <v>27</v>
      </c>
      <c r="BA23" s="203" t="n">
        <v>30</v>
      </c>
      <c r="BB23" s="203" t="n">
        <v>28</v>
      </c>
      <c r="BC23" s="203">
        <f>SUMIFS(領用表!$L:$L,領用表!$A:$A,BC$2,領用表!$E:$E,B23)</f>
        <v/>
      </c>
      <c r="BD23" s="206">
        <f>SUMIFS(領用表!$L:$L,領用表!$E:$E,$B23,領用表!$B:$B,BC$2&amp;BD$2)</f>
        <v/>
      </c>
      <c r="BE23" s="206">
        <f>SUMIFS(領用表!$L:$L,領用表!$E:$E,$B23,領用表!$B:$B,$BC$2&amp;BE$2)</f>
        <v/>
      </c>
      <c r="BF23" s="206">
        <f>SUMIFS(領用表!$L:$L,領用表!$E:$E,$B23,領用表!$B:$B,$BC$2&amp;BF$2)</f>
        <v/>
      </c>
      <c r="BG23" s="206">
        <f>SUMIFS(領用表!$L:$L,領用表!$E:$E,$B23,領用表!$B:$B,$BC$2&amp;BG$2)</f>
        <v/>
      </c>
      <c r="BH23" s="203">
        <f>SUMIFS(領用表!$L:$L,領用表!$A:$A,BH$2,領用表!$E:$E,B23)</f>
        <v/>
      </c>
      <c r="BI23" s="206">
        <f>SUMIFS(領用表!$L:$L,領用表!$E:$E,$B23,領用表!$B:$B,BH$2&amp;BI$2)</f>
        <v/>
      </c>
      <c r="BJ23" s="206">
        <f>SUMIFS(領用表!$L:$L,領用表!$E:$E,$B23,領用表!$B:$B,$BH$2&amp;BJ$2)</f>
        <v/>
      </c>
      <c r="BK23" s="206">
        <f>SUMIFS(領用表!$L:$L,領用表!$E:$E,$B23,領用表!$B:$B,$BH$2&amp;BK$2)</f>
        <v/>
      </c>
      <c r="BL23" s="206">
        <f>SUMIFS(領用表!$L:$L,領用表!$E:$E,$B23,領用表!$B:$B,$BH$2&amp;BL$2)</f>
        <v/>
      </c>
      <c r="BM23" s="203">
        <f>SUMIFS(領用表!$L:$L,領用表!$A:$A,BM$2,領用表!$E:$E,B23)</f>
        <v/>
      </c>
      <c r="BN23" s="206">
        <f>SUMIFS(領用表!$L:$L,領用表!$E:$E,$B23,領用表!$B:$B,BM$2&amp;BN$2)</f>
        <v/>
      </c>
      <c r="BO23" s="206">
        <f>SUMIFS(領用表!$L:$L,領用表!$E:$E,$B23,領用表!$B:$B,$BM$2&amp;BO$2)</f>
        <v/>
      </c>
      <c r="BP23" s="206">
        <f>SUMIFS(領用表!$L:$L,領用表!$E:$E,$B23,領用表!$B:$B,$BM$2&amp;BP$2)</f>
        <v/>
      </c>
      <c r="BQ23" s="206">
        <f>SUMIFS(領用表!$L:$L,領用表!$E:$E,$B23,領用表!$B:$B,$BM$2&amp;BQ$2)</f>
        <v/>
      </c>
      <c r="BR23" s="203">
        <f>SUMIFS(領用表!$L:$L,領用表!$A:$A,BR$2,領用表!$E:$E,B23)</f>
        <v/>
      </c>
      <c r="BS23" s="206">
        <f>SUMIFS(領用表!$L:$L,領用表!$E:$E,$B23,領用表!$B:$B,BR$2&amp;BS$2)</f>
        <v/>
      </c>
      <c r="BT23" s="206">
        <f>SUMIFS(領用表!$L:$L,領用表!$E:$E,$B23,領用表!$B:$B,$BR$2&amp;BT$2)</f>
        <v/>
      </c>
      <c r="BU23" s="206">
        <f>SUMIFS(領用表!$L:$L,領用表!$E:$E,$B23,領用表!$B:$B,$BR$2&amp;BU$2)</f>
        <v/>
      </c>
      <c r="BV23" s="206">
        <f>SUMIFS(領用表!$L:$L,領用表!$E:$E,$B23,領用表!$B:$B,$BR$2&amp;BV$2)</f>
        <v/>
      </c>
      <c r="BW23" s="203">
        <f>SUMIFS(領用表!$L:$L,領用表!$A:$A,BW$2,領用表!$E:$E,B23)</f>
        <v/>
      </c>
      <c r="BX23" s="206">
        <f>SUMIFS(領用表!$L:$L,領用表!$E:$E,$B23,領用表!$B:$B,BW$2&amp;BX$2)</f>
        <v/>
      </c>
      <c r="BY23" s="206">
        <f>SUMIFS(領用表!$L:$L,領用表!$E:$E,$B23,領用表!$B:$B,$BW$2&amp;BY$2)</f>
        <v/>
      </c>
      <c r="BZ23" s="206">
        <f>SUMIFS(領用表!$L:$L,領用表!$E:$E,$B23,領用表!$B:$B,$BW$2&amp;BZ$2)</f>
        <v/>
      </c>
      <c r="CA23" s="206">
        <f>SUMIFS(領用表!$L:$L,領用表!$E:$E,$B23,領用表!$B:$B,$BW$2&amp;CA$2)</f>
        <v/>
      </c>
      <c r="CB23" s="208">
        <f>SUMIFS(領用表!$L:$L,領用表!$A:$A,CB$2,領用表!$E:$E,B23)</f>
        <v/>
      </c>
      <c r="CC23" s="206">
        <f>SUMIFS(領用表!$L:$L,領用表!$E:$E,$B23,領用表!$B:$B,CB$2&amp;CC$2)</f>
        <v/>
      </c>
      <c r="CD23" s="206">
        <f>SUMIFS(領用表!$L:$L,領用表!$E:$E,$B23,領用表!$B:$B,$CB$2&amp;CD$2)</f>
        <v/>
      </c>
      <c r="CE23" s="206">
        <f>SUMIFS(領用表!$L:$L,領用表!$E:$E,$B23,領用表!$B:$B,$CB$2&amp;CE$2)</f>
        <v/>
      </c>
      <c r="CF23" s="206">
        <f>SUMIFS(領用表!$L:$L,領用表!$E:$E,$B23,領用表!$B:$B,$CB$2&amp;CF$2)</f>
        <v/>
      </c>
      <c r="CG23" s="208">
        <f>SUMIFS(領用表!$L:$L,領用表!$A:$A,CG$2,領用表!$E:$E,B23)</f>
        <v/>
      </c>
      <c r="CH23" s="206">
        <f>SUMIFS(領用表!$L:$L,領用表!$E:$E,$B23,領用表!$B:$B,CG$2&amp;CH$2)</f>
        <v/>
      </c>
      <c r="CI23" s="206">
        <f>SUMIFS(領用表!$L:$L,領用表!$E:$E,$B23,領用表!$B:$B,CG$2&amp;CI$2)</f>
        <v/>
      </c>
      <c r="CJ23" s="206">
        <f>SUMIFS(領用表!$L:$L,領用表!$E:$E,$B23,領用表!$B:$B,CG$2&amp;CJ$2)</f>
        <v/>
      </c>
      <c r="CK23" s="206">
        <f>SUMIFS(領用表!$L:$L,領用表!$E:$E,$B23,領用表!$B:$B,$CG$2&amp;CK$2)</f>
        <v/>
      </c>
      <c r="CL23" s="207">
        <f>SUM(AX23,AY23,AZ23,BA23,BB23,BC23,BH23,BM23,BR23,BW23,CB23,CG23)</f>
        <v/>
      </c>
      <c r="CM23" s="207">
        <f>AVERAGE(AX23,AY23,AZ23,BA23,BB23,BC23,BH23,BM23,BR23,BW23,CB23,CG23)</f>
        <v/>
      </c>
      <c r="CN23" s="208">
        <f>SUMIFS(領用表!$L:$L,領用表!$A:$A,CN$2,領用表!$E:$E,B23)</f>
        <v/>
      </c>
      <c r="CO23" s="206">
        <f>SUMIFS(領用表!$L:$L,領用表!$E:$E,$B23,領用表!$B:$B,CN$2&amp;CO$2)</f>
        <v/>
      </c>
      <c r="CP23" s="206">
        <f>SUMIFS(領用表!$L:$L,領用表!$E:$E,$B23,領用表!$B:$B,$CN$2&amp;CP$2)</f>
        <v/>
      </c>
      <c r="CQ23" s="206">
        <f>SUMIFS(領用表!$L:$L,領用表!$E:$E,$B23,領用表!$B:$B,$CN$2&amp;CQ$2)</f>
        <v/>
      </c>
      <c r="CR23" s="206">
        <f>SUMIFS(領用表!$L:$L,領用表!$E:$E,$B23,領用表!$B:$B,$CN$2&amp;CR$2)</f>
        <v/>
      </c>
      <c r="CS23" s="208">
        <f>SUMIFS(領用表!$L:$L,領用表!$A:$A,CS$2,領用表!$E:$E,B23)</f>
        <v/>
      </c>
      <c r="CT23" s="206">
        <f>SUMIFS(領用表!$L:$L,領用表!$E:$E,$B23,領用表!$B:$B,CS$2&amp;CT$2)</f>
        <v/>
      </c>
      <c r="CU23" s="206">
        <f>SUMIFS(領用表!$L:$L,領用表!$E:$E,$B23,領用表!$B:$B,$CS$2&amp;CU$2)</f>
        <v/>
      </c>
      <c r="CV23" s="206">
        <f>SUMIFS(領用表!$L:$L,領用表!$E:$E,$B23,領用表!$B:$B,$CS$2&amp;CV$2)</f>
        <v/>
      </c>
      <c r="CW23" s="206">
        <f>SUMIFS(領用表!$L:$L,領用表!$E:$E,$B23,領用表!$B:$B,$CS$2&amp;CW$2)</f>
        <v/>
      </c>
      <c r="CX23" s="206">
        <f>SUMIFS(領用表!$L:$L,領用表!$E:$E,$B23,領用表!$B:$B,$CS$2&amp;CX$2)</f>
        <v/>
      </c>
      <c r="CY23" s="208">
        <f>SUMIFS(領用表!$L:$L,領用表!$A:$A,CY$2,領用表!$E:$E,B23)</f>
        <v/>
      </c>
      <c r="CZ23" s="206">
        <f>SUMIFS(領用表!$L:$L,領用表!$E:$E,$B23,領用表!$B:$B,CY$2&amp;CZ$2)</f>
        <v/>
      </c>
      <c r="DA23" s="206">
        <f>SUMIFS(領用表!$L:$L,領用表!$E:$E,$B23,領用表!$B:$B,$CY$2&amp;DA$2)</f>
        <v/>
      </c>
      <c r="DB23" s="206">
        <f>SUMIFS(領用表!$L:$L,領用表!$E:$E,$B23,領用表!$B:$B,$CY$2&amp;DB$2)</f>
        <v/>
      </c>
      <c r="DC23" s="206">
        <f>SUMIFS(領用表!$L:$L,領用表!$E:$E,$B23,領用表!$B:$B,$CY$2&amp;DC$2)</f>
        <v/>
      </c>
      <c r="DD23" s="206">
        <f>SUMIFS(領用表!$L:$L,領用表!$E:$E,$B23,領用表!$B:$B,$CY$2&amp;DD$2)</f>
        <v/>
      </c>
      <c r="DE23" s="208">
        <f>SUMIFS(領用表!$L:$L,領用表!$A:$A,DE$2,領用表!$E:$E,B23)</f>
        <v/>
      </c>
      <c r="DF23" s="206">
        <f>SUMIFS(領用表!$L:$L,領用表!$E:$E,$B23,領用表!$B:$B,DE$2&amp;DF$2)</f>
        <v/>
      </c>
      <c r="DG23" s="206">
        <f>SUMIFS(領用表!$L:$L,領用表!$E:$E,$B23,領用表!$B:$B,$DE$2&amp;DG$2)</f>
        <v/>
      </c>
      <c r="DH23" s="206">
        <f>SUMIFS(領用表!$L:$L,領用表!$E:$E,$B23,領用表!$B:$B,$DE$2&amp;DH$2)</f>
        <v/>
      </c>
      <c r="DI23" s="206">
        <f>SUMIFS(領用表!$L:$L,領用表!$E:$E,$B23,領用表!$B:$B,$DE$2&amp;DI$2)</f>
        <v/>
      </c>
      <c r="DJ23" s="206">
        <f>SUMIFS(領用表!$L:$L,領用表!$E:$E,$B23,領用表!$B:$B,$DE$2&amp;DJ$2)</f>
        <v/>
      </c>
      <c r="DK23" s="208">
        <f>SUMIFS(領用表!$L:$L,領用表!$A:$A,DK$2,領用表!$E:$E,$B23)</f>
        <v/>
      </c>
      <c r="DL23" s="206">
        <f>SUMIFS(領用表!$L:$L,領用表!$E:$E,$B23,領用表!$B:$B,DK$2&amp;DL$2)</f>
        <v/>
      </c>
      <c r="DM23" s="206">
        <f>SUMIFS(領用表!$L:$L,領用表!$E:$E,$B23,領用表!$B:$B,$DK$2&amp;DM$2)</f>
        <v/>
      </c>
      <c r="DN23" s="206">
        <f>SUMIFS(領用表!$L:$L,領用表!$E:$E,$B23,領用表!$B:$B,$DK$2&amp;DN$2)</f>
        <v/>
      </c>
      <c r="DO23" s="206">
        <f>SUMIFS(領用表!$L:$L,領用表!$E:$E,$B23,領用表!$B:$B,$DK$2&amp;DO$2)</f>
        <v/>
      </c>
      <c r="DP23" s="206">
        <f>SUMIFS(領用表!$L:$L,領用表!$E:$E,$B23,領用表!$B:$B,$DK$2&amp;DP$2)</f>
        <v/>
      </c>
      <c r="DQ23" s="208" t="n"/>
      <c r="DR23" s="206" t="n"/>
      <c r="DS23" s="206" t="n"/>
      <c r="DT23" s="206" t="n"/>
      <c r="DU23" s="206" t="n"/>
      <c r="DV23" s="206" t="n"/>
      <c r="DW23" s="206">
        <f>SUM(CN23,CS23,CY23,DE23,DK23,DQ23)</f>
        <v/>
      </c>
      <c r="DX23" s="206">
        <f>AVERAGEA(CN23,CS23,CY23,DE23,DK23,DQ23)</f>
        <v/>
      </c>
      <c r="DY23" s="206">
        <f>SUM(DZ23:EC23)</f>
        <v/>
      </c>
      <c r="DZ23" s="206" t="n">
        <v>0</v>
      </c>
      <c r="EA23" s="206" t="n">
        <v>0</v>
      </c>
      <c r="EB23" s="206" t="n">
        <v>0</v>
      </c>
      <c r="EC23" s="206" t="n">
        <v>0</v>
      </c>
      <c r="ED23" s="209" t="n"/>
      <c r="EE23" s="515" t="n"/>
      <c r="EF23" s="226" t="n"/>
      <c r="EG23" s="226" t="n"/>
      <c r="EH23" s="136" t="n"/>
      <c r="EI23" s="212" t="n"/>
      <c r="EJ23" s="118">
        <f>IFERROR(VLOOKUP(A23,站前4樓!A:BF,57,0),0)</f>
        <v/>
      </c>
      <c r="EK23" s="213">
        <f>IFERROR(VLOOKUP(A23,站前11樓!A:BE,57,0),0)</f>
        <v/>
      </c>
      <c r="EL23" s="118">
        <f>IFERROR(VLOOKUP(A23,忠孝7樓!A:N,57,0),0)</f>
        <v/>
      </c>
      <c r="EM23" s="118">
        <f>IFERROR(VLOOKUP(A23,忠孝國際醫學3樓!A:L,57,0),0)</f>
        <v/>
      </c>
      <c r="EN23" s="118">
        <f>SUM(ED23:EG23)</f>
        <v/>
      </c>
      <c r="EP23" s="118" t="n">
        <v>43</v>
      </c>
      <c r="EQ23" s="118" t="n">
        <v>14.75</v>
      </c>
    </row>
    <row r="24" ht="15.75" customFormat="1" customHeight="1" s="118">
      <c r="A24" s="136" t="inlineStr">
        <is>
          <t>MP1MA020032A</t>
        </is>
      </c>
      <c r="B24" s="118" t="n">
        <v>6160008</v>
      </c>
      <c r="C24" s="133" t="inlineStr">
        <is>
          <t>薇貝拉軟組織植入劑-小分子白童針(1cc)</t>
        </is>
      </c>
      <c r="D24" s="197" t="n">
        <v>6</v>
      </c>
      <c r="E24" s="198" t="inlineStr">
        <is>
          <t>ml</t>
        </is>
      </c>
      <c r="F24" s="199">
        <f>SUMIF(站前4樓!B:B,B24,站前4樓!F:F)</f>
        <v/>
      </c>
      <c r="G24" s="199">
        <f>SUMIF(站前11樓!B:B,B24,站前11樓!F:F)</f>
        <v/>
      </c>
      <c r="H24" s="199">
        <f>SUMIF(忠孝7樓!B:B,B24,忠孝7樓!G:G)</f>
        <v/>
      </c>
      <c r="I24" s="199">
        <f>SUMIF(忠孝國際醫學3樓!B:B,B24,忠孝國際醫學3樓!G:G)</f>
        <v/>
      </c>
      <c r="J24" s="199">
        <f>SUMIF(忠孝健康7樓!B:B,B24,忠孝健康7樓!G:G)</f>
        <v/>
      </c>
      <c r="K24" s="200" t="n"/>
      <c r="L24" s="200" t="n"/>
      <c r="M24" s="200" t="n"/>
      <c r="N24" s="200" t="n"/>
      <c r="O24" s="200" t="n"/>
      <c r="P24" s="200" t="n"/>
      <c r="Q24" s="200" t="n"/>
      <c r="R24" s="200" t="n"/>
      <c r="S24" s="200" t="n"/>
      <c r="T24" s="200" t="n"/>
      <c r="U24" s="200" t="n"/>
      <c r="V24" s="200" t="n"/>
      <c r="W24" s="200" t="n"/>
      <c r="X24" s="200" t="n"/>
      <c r="Y24" s="200" t="n"/>
      <c r="Z24" s="200" t="n"/>
      <c r="AA24" s="200" t="n"/>
      <c r="AB24" s="200" t="n"/>
      <c r="AC24" s="200" t="n"/>
      <c r="AD24" s="200" t="n"/>
      <c r="AE24" s="200" t="n"/>
      <c r="AF24" s="200" t="n"/>
      <c r="AG24" s="200" t="n"/>
      <c r="AH24" s="200" t="n"/>
      <c r="AI24" s="200" t="n"/>
      <c r="AJ24" s="200" t="n"/>
      <c r="AK24" s="200" t="n"/>
      <c r="AL24" s="200" t="n"/>
      <c r="AM24" s="200" t="n"/>
      <c r="AN24" s="200" t="n"/>
      <c r="AO24" s="200" t="n"/>
      <c r="AP24" s="200" t="n"/>
      <c r="AQ24" s="200" t="n"/>
      <c r="AR24" s="200" t="n"/>
      <c r="AS24" s="200" t="n"/>
      <c r="AT24" s="200" t="n"/>
      <c r="AU24" s="200" t="n"/>
      <c r="AV24" s="204" t="n"/>
      <c r="AW24" s="204" t="n"/>
      <c r="AX24" s="204" t="n"/>
      <c r="AY24" s="204" t="n"/>
      <c r="AZ24" s="204" t="n"/>
      <c r="BA24" s="203" t="n"/>
      <c r="BB24" s="203" t="n"/>
      <c r="BC24" s="203">
        <f>SUMIFS(領用表!$L:$L,領用表!$A:$A,BC$2,領用表!$E:$E,B24)</f>
        <v/>
      </c>
      <c r="BD24" s="206">
        <f>SUMIFS(領用表!$L:$L,領用表!$E:$E,$B24,領用表!$B:$B,BC$2&amp;BD$2)</f>
        <v/>
      </c>
      <c r="BE24" s="206">
        <f>SUMIFS(領用表!$L:$L,領用表!$E:$E,$B24,領用表!$B:$B,$BC$2&amp;BE$2)</f>
        <v/>
      </c>
      <c r="BF24" s="206">
        <f>SUMIFS(領用表!$L:$L,領用表!$E:$E,$B24,領用表!$B:$B,$BC$2&amp;BF$2)</f>
        <v/>
      </c>
      <c r="BG24" s="206">
        <f>SUMIFS(領用表!$L:$L,領用表!$E:$E,$B24,領用表!$B:$B,$BC$2&amp;BG$2)</f>
        <v/>
      </c>
      <c r="BH24" s="203">
        <f>SUMIFS(領用表!$L:$L,領用表!$A:$A,BH$2,領用表!$E:$E,B24)</f>
        <v/>
      </c>
      <c r="BI24" s="206">
        <f>SUMIFS(領用表!$L:$L,領用表!$E:$E,$B24,領用表!$B:$B,BH$2&amp;BI$2)</f>
        <v/>
      </c>
      <c r="BJ24" s="206">
        <f>SUMIFS(領用表!$L:$L,領用表!$E:$E,$B24,領用表!$B:$B,$BH$2&amp;BJ$2)</f>
        <v/>
      </c>
      <c r="BK24" s="206">
        <f>SUMIFS(領用表!$L:$L,領用表!$E:$E,$B24,領用表!$B:$B,$BH$2&amp;BK$2)</f>
        <v/>
      </c>
      <c r="BL24" s="206">
        <f>SUMIFS(領用表!$L:$L,領用表!$E:$E,$B24,領用表!$B:$B,$BH$2&amp;BL$2)</f>
        <v/>
      </c>
      <c r="BM24" s="203">
        <f>SUMIFS(領用表!$L:$L,領用表!$A:$A,BM$2,領用表!$E:$E,B24)</f>
        <v/>
      </c>
      <c r="BN24" s="206">
        <f>SUMIFS(領用表!$L:$L,領用表!$E:$E,$B24,領用表!$B:$B,BM$2&amp;BN$2)</f>
        <v/>
      </c>
      <c r="BO24" s="206">
        <f>SUMIFS(領用表!$L:$L,領用表!$E:$E,$B24,領用表!$B:$B,$BM$2&amp;BO$2)</f>
        <v/>
      </c>
      <c r="BP24" s="206">
        <f>SUMIFS(領用表!$L:$L,領用表!$E:$E,$B24,領用表!$B:$B,$BM$2&amp;BP$2)</f>
        <v/>
      </c>
      <c r="BQ24" s="206">
        <f>SUMIFS(領用表!$L:$L,領用表!$E:$E,$B24,領用表!$B:$B,$BM$2&amp;BQ$2)</f>
        <v/>
      </c>
      <c r="BR24" s="203">
        <f>SUMIFS(領用表!$L:$L,領用表!$A:$A,BR$2,領用表!$E:$E,B24)</f>
        <v/>
      </c>
      <c r="BS24" s="206">
        <f>SUMIFS(領用表!$L:$L,領用表!$E:$E,$B24,領用表!$B:$B,BR$2&amp;BS$2)</f>
        <v/>
      </c>
      <c r="BT24" s="206">
        <f>SUMIFS(領用表!$L:$L,領用表!$E:$E,$B24,領用表!$B:$B,$BR$2&amp;BT$2)</f>
        <v/>
      </c>
      <c r="BU24" s="206">
        <f>SUMIFS(領用表!$L:$L,領用表!$E:$E,$B24,領用表!$B:$B,$BR$2&amp;BU$2)</f>
        <v/>
      </c>
      <c r="BV24" s="206">
        <f>SUMIFS(領用表!$L:$L,領用表!$E:$E,$B24,領用表!$B:$B,$BR$2&amp;BV$2)</f>
        <v/>
      </c>
      <c r="BW24" s="203">
        <f>SUMIFS(領用表!$L:$L,領用表!$A:$A,BW$2,領用表!$E:$E,B24)</f>
        <v/>
      </c>
      <c r="BX24" s="206">
        <f>SUMIFS(領用表!$L:$L,領用表!$E:$E,$B24,領用表!$B:$B,BW$2&amp;BX$2)</f>
        <v/>
      </c>
      <c r="BY24" s="206">
        <f>SUMIFS(領用表!$L:$L,領用表!$E:$E,$B24,領用表!$B:$B,$BW$2&amp;BY$2)</f>
        <v/>
      </c>
      <c r="BZ24" s="206">
        <f>SUMIFS(領用表!$L:$L,領用表!$E:$E,$B24,領用表!$B:$B,$BW$2&amp;BZ$2)</f>
        <v/>
      </c>
      <c r="CA24" s="206">
        <f>SUMIFS(領用表!$L:$L,領用表!$E:$E,$B24,領用表!$B:$B,$BW$2&amp;CA$2)</f>
        <v/>
      </c>
      <c r="CB24" s="208">
        <f>SUMIFS(領用表!$L:$L,領用表!$A:$A,CB$2,領用表!$E:$E,B24)</f>
        <v/>
      </c>
      <c r="CC24" s="206">
        <f>SUMIFS(領用表!$L:$L,領用表!$E:$E,$B24,領用表!$B:$B,CB$2&amp;CC$2)</f>
        <v/>
      </c>
      <c r="CD24" s="206">
        <f>SUMIFS(領用表!$L:$L,領用表!$E:$E,$B24,領用表!$B:$B,$CB$2&amp;CD$2)</f>
        <v/>
      </c>
      <c r="CE24" s="206">
        <f>SUMIFS(領用表!$L:$L,領用表!$E:$E,$B24,領用表!$B:$B,$CB$2&amp;CE$2)</f>
        <v/>
      </c>
      <c r="CF24" s="206">
        <f>SUMIFS(領用表!$L:$L,領用表!$E:$E,$B24,領用表!$B:$B,$CB$2&amp;CF$2)</f>
        <v/>
      </c>
      <c r="CG24" s="208">
        <f>SUMIFS(領用表!$L:$L,領用表!$A:$A,CG$2,領用表!$E:$E,B24)</f>
        <v/>
      </c>
      <c r="CH24" s="206">
        <f>SUMIFS(領用表!$L:$L,領用表!$E:$E,$B24,領用表!$B:$B,CG$2&amp;CH$2)</f>
        <v/>
      </c>
      <c r="CI24" s="206">
        <f>SUMIFS(領用表!$L:$L,領用表!$E:$E,$B24,領用表!$B:$B,CG$2&amp;CI$2)</f>
        <v/>
      </c>
      <c r="CJ24" s="206">
        <f>SUMIFS(領用表!$L:$L,領用表!$E:$E,$B24,領用表!$B:$B,CG$2&amp;CJ$2)</f>
        <v/>
      </c>
      <c r="CK24" s="206">
        <f>SUMIFS(領用表!$L:$L,領用表!$E:$E,$B24,領用表!$B:$B,$CG$2&amp;CK$2)</f>
        <v/>
      </c>
      <c r="CL24" s="207">
        <f>SUM(AX24,AY24,AZ24,BA24,BB24,BC24,BH24,BM24,BR24,BW24,CB24,CG24)</f>
        <v/>
      </c>
      <c r="CM24" s="207">
        <f>AVERAGE(AX24,AY24,AZ24,BA24,BB24,BC24,BH24,BM24,BR24,BW24,CB24,CG24)</f>
        <v/>
      </c>
      <c r="CN24" s="208">
        <f>SUMIFS(領用表!$L:$L,領用表!$A:$A,CN$2,領用表!$E:$E,B24)</f>
        <v/>
      </c>
      <c r="CO24" s="206">
        <f>SUMIFS(領用表!$L:$L,領用表!$E:$E,$B24,領用表!$B:$B,CN$2&amp;CO$2)</f>
        <v/>
      </c>
      <c r="CP24" s="206">
        <f>SUMIFS(領用表!$L:$L,領用表!$E:$E,$B24,領用表!$B:$B,$CN$2&amp;CP$2)</f>
        <v/>
      </c>
      <c r="CQ24" s="206">
        <f>SUMIFS(領用表!$L:$L,領用表!$E:$E,$B24,領用表!$B:$B,$CN$2&amp;CQ$2)</f>
        <v/>
      </c>
      <c r="CR24" s="206">
        <f>SUMIFS(領用表!$L:$L,領用表!$E:$E,$B24,領用表!$B:$B,$CN$2&amp;CR$2)</f>
        <v/>
      </c>
      <c r="CS24" s="208">
        <f>SUMIFS(領用表!$L:$L,領用表!$A:$A,CS$2,領用表!$E:$E,B24)</f>
        <v/>
      </c>
      <c r="CT24" s="206">
        <f>SUMIFS(領用表!$L:$L,領用表!$E:$E,$B24,領用表!$B:$B,CS$2&amp;CT$2)</f>
        <v/>
      </c>
      <c r="CU24" s="206">
        <f>SUMIFS(領用表!$L:$L,領用表!$E:$E,$B24,領用表!$B:$B,$CS$2&amp;CU$2)</f>
        <v/>
      </c>
      <c r="CV24" s="206">
        <f>SUMIFS(領用表!$L:$L,領用表!$E:$E,$B24,領用表!$B:$B,$CS$2&amp;CV$2)</f>
        <v/>
      </c>
      <c r="CW24" s="206">
        <f>SUMIFS(領用表!$L:$L,領用表!$E:$E,$B24,領用表!$B:$B,$CS$2&amp;CW$2)</f>
        <v/>
      </c>
      <c r="CX24" s="206">
        <f>SUMIFS(領用表!$L:$L,領用表!$E:$E,$B24,領用表!$B:$B,$CS$2&amp;CX$2)</f>
        <v/>
      </c>
      <c r="CY24" s="208">
        <f>SUMIFS(領用表!$L:$L,領用表!$A:$A,CY$2,領用表!$E:$E,B24)</f>
        <v/>
      </c>
      <c r="CZ24" s="206">
        <f>SUMIFS(領用表!$L:$L,領用表!$E:$E,$B24,領用表!$B:$B,CY$2&amp;CZ$2)</f>
        <v/>
      </c>
      <c r="DA24" s="206">
        <f>SUMIFS(領用表!$L:$L,領用表!$E:$E,$B24,領用表!$B:$B,$CY$2&amp;DA$2)</f>
        <v/>
      </c>
      <c r="DB24" s="206">
        <f>SUMIFS(領用表!$L:$L,領用表!$E:$E,$B24,領用表!$B:$B,$CY$2&amp;DB$2)</f>
        <v/>
      </c>
      <c r="DC24" s="206">
        <f>SUMIFS(領用表!$L:$L,領用表!$E:$E,$B24,領用表!$B:$B,$CY$2&amp;DC$2)</f>
        <v/>
      </c>
      <c r="DD24" s="206">
        <f>SUMIFS(領用表!$L:$L,領用表!$E:$E,$B24,領用表!$B:$B,$CY$2&amp;DD$2)</f>
        <v/>
      </c>
      <c r="DE24" s="208">
        <f>SUMIFS(領用表!$L:$L,領用表!$A:$A,DE$2,領用表!$E:$E,B24)</f>
        <v/>
      </c>
      <c r="DF24" s="206">
        <f>SUMIFS(領用表!$L:$L,領用表!$E:$E,$B24,領用表!$B:$B,DE$2&amp;DF$2)</f>
        <v/>
      </c>
      <c r="DG24" s="206">
        <f>SUMIFS(領用表!$L:$L,領用表!$E:$E,$B24,領用表!$B:$B,$DE$2&amp;DG$2)</f>
        <v/>
      </c>
      <c r="DH24" s="206">
        <f>SUMIFS(領用表!$L:$L,領用表!$E:$E,$B24,領用表!$B:$B,$DE$2&amp;DH$2)</f>
        <v/>
      </c>
      <c r="DI24" s="206">
        <f>SUMIFS(領用表!$L:$L,領用表!$E:$E,$B24,領用表!$B:$B,$DE$2&amp;DI$2)</f>
        <v/>
      </c>
      <c r="DJ24" s="206">
        <f>SUMIFS(領用表!$L:$L,領用表!$E:$E,$B24,領用表!$B:$B,$DE$2&amp;DJ$2)</f>
        <v/>
      </c>
      <c r="DK24" s="208">
        <f>SUMIFS(領用表!$L:$L,領用表!$A:$A,DK$2,領用表!$E:$E,$B24)</f>
        <v/>
      </c>
      <c r="DL24" s="206">
        <f>SUMIFS(領用表!$L:$L,領用表!$E:$E,$B24,領用表!$B:$B,DK$2&amp;DL$2)</f>
        <v/>
      </c>
      <c r="DM24" s="206">
        <f>SUMIFS(領用表!$L:$L,領用表!$E:$E,$B24,領用表!$B:$B,$DK$2&amp;DM$2)</f>
        <v/>
      </c>
      <c r="DN24" s="206">
        <f>SUMIFS(領用表!$L:$L,領用表!$E:$E,$B24,領用表!$B:$B,$DK$2&amp;DN$2)</f>
        <v/>
      </c>
      <c r="DO24" s="206">
        <f>SUMIFS(領用表!$L:$L,領用表!$E:$E,$B24,領用表!$B:$B,$DK$2&amp;DO$2)</f>
        <v/>
      </c>
      <c r="DP24" s="206">
        <f>SUMIFS(領用表!$L:$L,領用表!$E:$E,$B24,領用表!$B:$B,$DK$2&amp;DP$2)</f>
        <v/>
      </c>
      <c r="DQ24" s="208" t="n">
        <v>64</v>
      </c>
      <c r="DR24" s="206" t="n">
        <v>25</v>
      </c>
      <c r="DS24" s="206" t="n"/>
      <c r="DT24" s="206" t="n">
        <v>37</v>
      </c>
      <c r="DU24" s="206" t="n"/>
      <c r="DV24" s="206" t="n">
        <v>2</v>
      </c>
      <c r="DW24" s="206">
        <f>SUM(CN24,CS24,CY24,DE24,DK24,DQ24)</f>
        <v/>
      </c>
      <c r="DX24" s="206">
        <f>AVERAGEA(CN24,CS24,CY24,DE24,DK24,DQ24)</f>
        <v/>
      </c>
      <c r="DY24" s="206">
        <f>SUM(DZ24:EC24)</f>
        <v/>
      </c>
      <c r="DZ24" s="206" t="n">
        <v>35</v>
      </c>
      <c r="EA24" s="206" t="n">
        <v>0</v>
      </c>
      <c r="EB24" s="206" t="n">
        <v>210</v>
      </c>
      <c r="EC24" s="206" t="n">
        <v>0</v>
      </c>
      <c r="ED24" s="215" t="n">
        <v>240</v>
      </c>
      <c r="EE24" s="210" t="n"/>
      <c r="EF24" s="211" t="inlineStr">
        <is>
          <t>110瓶(10/21)</t>
        </is>
      </c>
      <c r="EG24" s="211" t="inlineStr">
        <is>
          <t>40瓶(10/17)</t>
        </is>
      </c>
      <c r="EH24" s="136" t="n"/>
      <c r="EI24" s="212" t="n"/>
      <c r="EJ24" s="118">
        <f>IFERROR(VLOOKUP(A24,站前4樓!A:BF,57,0),0)</f>
        <v/>
      </c>
      <c r="EK24" s="213">
        <f>IFERROR(VLOOKUP(A24,站前11樓!A:BE,57,0),0)</f>
        <v/>
      </c>
      <c r="EL24" s="118">
        <f>IFERROR(VLOOKUP(A24,忠孝7樓!A:N,57,0),0)</f>
        <v/>
      </c>
      <c r="EM24" s="118">
        <f>IFERROR(VLOOKUP(A24,忠孝國際醫學3樓!A:L,57,0),0)</f>
        <v/>
      </c>
      <c r="EN24" s="118">
        <f>SUM(ED24:EG24)</f>
        <v/>
      </c>
      <c r="EP24" s="118" t="n">
        <v>228</v>
      </c>
      <c r="EQ24" s="118" t="n">
        <v>0</v>
      </c>
    </row>
    <row r="25" ht="15.75" customFormat="1" customHeight="1" s="118">
      <c r="A25" s="136" t="inlineStr">
        <is>
          <t>MP1MA020033A</t>
        </is>
      </c>
      <c r="B25" s="118" t="n">
        <v>6160009</v>
      </c>
      <c r="C25" s="133" t="inlineStr">
        <is>
          <t>薇貝拉軟組織植入劑-大分子黑童針(1cc)</t>
        </is>
      </c>
      <c r="D25" s="197" t="n">
        <v>8</v>
      </c>
      <c r="E25" s="198" t="inlineStr">
        <is>
          <t>ml</t>
        </is>
      </c>
      <c r="F25" s="199">
        <f>SUMIF(站前4樓!B:B,B25,站前4樓!F:F)</f>
        <v/>
      </c>
      <c r="G25" s="199">
        <f>SUMIF(站前11樓!B:B,B25,站前11樓!F:F)</f>
        <v/>
      </c>
      <c r="H25" s="199">
        <f>SUMIF(忠孝7樓!B:B,B25,忠孝7樓!G:G)</f>
        <v/>
      </c>
      <c r="I25" s="199">
        <f>SUMIF(忠孝國際醫學3樓!B:B,B25,忠孝國際醫學3樓!G:G)</f>
        <v/>
      </c>
      <c r="J25" s="199">
        <f>SUMIF(忠孝健康7樓!B:B,B25,忠孝健康7樓!G:G)</f>
        <v/>
      </c>
      <c r="K25" s="200" t="n"/>
      <c r="L25" s="200" t="n"/>
      <c r="M25" s="200" t="n"/>
      <c r="N25" s="200" t="n"/>
      <c r="O25" s="200" t="n"/>
      <c r="P25" s="200" t="n"/>
      <c r="Q25" s="200" t="n"/>
      <c r="R25" s="200" t="n"/>
      <c r="S25" s="200" t="n"/>
      <c r="T25" s="200" t="n"/>
      <c r="U25" s="200" t="n"/>
      <c r="V25" s="200" t="n"/>
      <c r="W25" s="200" t="n"/>
      <c r="X25" s="200" t="n"/>
      <c r="Y25" s="200" t="n"/>
      <c r="Z25" s="200" t="n"/>
      <c r="AA25" s="200" t="n"/>
      <c r="AB25" s="200" t="n"/>
      <c r="AC25" s="200" t="n"/>
      <c r="AD25" s="200" t="n"/>
      <c r="AE25" s="200" t="n"/>
      <c r="AF25" s="200" t="n"/>
      <c r="AG25" s="200" t="n"/>
      <c r="AH25" s="200" t="n"/>
      <c r="AI25" s="200" t="n"/>
      <c r="AJ25" s="200" t="n"/>
      <c r="AK25" s="200" t="n"/>
      <c r="AL25" s="200" t="n"/>
      <c r="AM25" s="200" t="n"/>
      <c r="AN25" s="200" t="n"/>
      <c r="AO25" s="200" t="n"/>
      <c r="AP25" s="200" t="n"/>
      <c r="AQ25" s="200" t="n"/>
      <c r="AR25" s="200" t="n"/>
      <c r="AS25" s="200" t="n"/>
      <c r="AT25" s="200" t="n"/>
      <c r="AU25" s="200" t="n"/>
      <c r="AV25" s="204" t="n"/>
      <c r="AW25" s="204" t="n"/>
      <c r="AX25" s="204" t="n"/>
      <c r="AY25" s="204" t="n"/>
      <c r="AZ25" s="204" t="n"/>
      <c r="BA25" s="203" t="n"/>
      <c r="BB25" s="203" t="n"/>
      <c r="BC25" s="203">
        <f>SUMIFS(領用表!$L:$L,領用表!$A:$A,BC$2,領用表!$E:$E,B25)</f>
        <v/>
      </c>
      <c r="BD25" s="206">
        <f>SUMIFS(領用表!$L:$L,領用表!$E:$E,$B25,領用表!$B:$B,BC$2&amp;BD$2)</f>
        <v/>
      </c>
      <c r="BE25" s="206">
        <f>SUMIFS(領用表!$L:$L,領用表!$E:$E,$B25,領用表!$B:$B,$BC$2&amp;BE$2)</f>
        <v/>
      </c>
      <c r="BF25" s="206">
        <f>SUMIFS(領用表!$L:$L,領用表!$E:$E,$B25,領用表!$B:$B,$BC$2&amp;BF$2)</f>
        <v/>
      </c>
      <c r="BG25" s="206">
        <f>SUMIFS(領用表!$L:$L,領用表!$E:$E,$B25,領用表!$B:$B,$BC$2&amp;BG$2)</f>
        <v/>
      </c>
      <c r="BH25" s="203">
        <f>SUMIFS(領用表!$L:$L,領用表!$A:$A,BH$2,領用表!$E:$E,B25)</f>
        <v/>
      </c>
      <c r="BI25" s="206">
        <f>SUMIFS(領用表!$L:$L,領用表!$E:$E,$B25,領用表!$B:$B,BH$2&amp;BI$2)</f>
        <v/>
      </c>
      <c r="BJ25" s="206">
        <f>SUMIFS(領用表!$L:$L,領用表!$E:$E,$B25,領用表!$B:$B,$BH$2&amp;BJ$2)</f>
        <v/>
      </c>
      <c r="BK25" s="206">
        <f>SUMIFS(領用表!$L:$L,領用表!$E:$E,$B25,領用表!$B:$B,$BH$2&amp;BK$2)</f>
        <v/>
      </c>
      <c r="BL25" s="206">
        <f>SUMIFS(領用表!$L:$L,領用表!$E:$E,$B25,領用表!$B:$B,$BH$2&amp;BL$2)</f>
        <v/>
      </c>
      <c r="BM25" s="203">
        <f>SUMIFS(領用表!$L:$L,領用表!$A:$A,BM$2,領用表!$E:$E,B25)</f>
        <v/>
      </c>
      <c r="BN25" s="206">
        <f>SUMIFS(領用表!$L:$L,領用表!$E:$E,$B25,領用表!$B:$B,BM$2&amp;BN$2)</f>
        <v/>
      </c>
      <c r="BO25" s="206">
        <f>SUMIFS(領用表!$L:$L,領用表!$E:$E,$B25,領用表!$B:$B,$BM$2&amp;BO$2)</f>
        <v/>
      </c>
      <c r="BP25" s="206">
        <f>SUMIFS(領用表!$L:$L,領用表!$E:$E,$B25,領用表!$B:$B,$BM$2&amp;BP$2)</f>
        <v/>
      </c>
      <c r="BQ25" s="206">
        <f>SUMIFS(領用表!$L:$L,領用表!$E:$E,$B25,領用表!$B:$B,$BM$2&amp;BQ$2)</f>
        <v/>
      </c>
      <c r="BR25" s="203">
        <f>SUMIFS(領用表!$L:$L,領用表!$A:$A,BR$2,領用表!$E:$E,B25)</f>
        <v/>
      </c>
      <c r="BS25" s="206">
        <f>SUMIFS(領用表!$L:$L,領用表!$E:$E,$B25,領用表!$B:$B,BR$2&amp;BS$2)</f>
        <v/>
      </c>
      <c r="BT25" s="206">
        <f>SUMIFS(領用表!$L:$L,領用表!$E:$E,$B25,領用表!$B:$B,$BR$2&amp;BT$2)</f>
        <v/>
      </c>
      <c r="BU25" s="206">
        <f>SUMIFS(領用表!$L:$L,領用表!$E:$E,$B25,領用表!$B:$B,$BR$2&amp;BU$2)</f>
        <v/>
      </c>
      <c r="BV25" s="206">
        <f>SUMIFS(領用表!$L:$L,領用表!$E:$E,$B25,領用表!$B:$B,$BR$2&amp;BV$2)</f>
        <v/>
      </c>
      <c r="BW25" s="203">
        <f>SUMIFS(領用表!$L:$L,領用表!$A:$A,BW$2,領用表!$E:$E,B25)</f>
        <v/>
      </c>
      <c r="BX25" s="206">
        <f>SUMIFS(領用表!$L:$L,領用表!$E:$E,$B25,領用表!$B:$B,BW$2&amp;BX$2)</f>
        <v/>
      </c>
      <c r="BY25" s="206">
        <f>SUMIFS(領用表!$L:$L,領用表!$E:$E,$B25,領用表!$B:$B,$BW$2&amp;BY$2)</f>
        <v/>
      </c>
      <c r="BZ25" s="206">
        <f>SUMIFS(領用表!$L:$L,領用表!$E:$E,$B25,領用表!$B:$B,$BW$2&amp;BZ$2)</f>
        <v/>
      </c>
      <c r="CA25" s="206">
        <f>SUMIFS(領用表!$L:$L,領用表!$E:$E,$B25,領用表!$B:$B,$BW$2&amp;CA$2)</f>
        <v/>
      </c>
      <c r="CB25" s="208">
        <f>SUMIFS(領用表!$L:$L,領用表!$A:$A,CB$2,領用表!$E:$E,B25)</f>
        <v/>
      </c>
      <c r="CC25" s="206">
        <f>SUMIFS(領用表!$L:$L,領用表!$E:$E,$B25,領用表!$B:$B,CB$2&amp;CC$2)</f>
        <v/>
      </c>
      <c r="CD25" s="206">
        <f>SUMIFS(領用表!$L:$L,領用表!$E:$E,$B25,領用表!$B:$B,$CB$2&amp;CD$2)</f>
        <v/>
      </c>
      <c r="CE25" s="206">
        <f>SUMIFS(領用表!$L:$L,領用表!$E:$E,$B25,領用表!$B:$B,$CB$2&amp;CE$2)</f>
        <v/>
      </c>
      <c r="CF25" s="206">
        <f>SUMIFS(領用表!$L:$L,領用表!$E:$E,$B25,領用表!$B:$B,$CB$2&amp;CF$2)</f>
        <v/>
      </c>
      <c r="CG25" s="208">
        <f>SUMIFS(領用表!$L:$L,領用表!$A:$A,CG$2,領用表!$E:$E,B25)</f>
        <v/>
      </c>
      <c r="CH25" s="206">
        <f>SUMIFS(領用表!$L:$L,領用表!$E:$E,$B25,領用表!$B:$B,CG$2&amp;CH$2)</f>
        <v/>
      </c>
      <c r="CI25" s="206">
        <f>SUMIFS(領用表!$L:$L,領用表!$E:$E,$B25,領用表!$B:$B,CG$2&amp;CI$2)</f>
        <v/>
      </c>
      <c r="CJ25" s="206">
        <f>SUMIFS(領用表!$L:$L,領用表!$E:$E,$B25,領用表!$B:$B,CG$2&amp;CJ$2)</f>
        <v/>
      </c>
      <c r="CK25" s="206">
        <f>SUMIFS(領用表!$L:$L,領用表!$E:$E,$B25,領用表!$B:$B,$CG$2&amp;CK$2)</f>
        <v/>
      </c>
      <c r="CL25" s="207">
        <f>SUM(AX25,AY25,AZ25,BA25,BB25,BC25,BH25,BM25,BR25,BW25,CB25,CG25)</f>
        <v/>
      </c>
      <c r="CM25" s="207">
        <f>AVERAGE(AX25,AY25,AZ25,BA25,BB25,BC25,BH25,BM25,BR25,BW25,CB25,CG25)</f>
        <v/>
      </c>
      <c r="CN25" s="208">
        <f>SUMIFS(領用表!$L:$L,領用表!$A:$A,CN$2,領用表!$E:$E,B25)</f>
        <v/>
      </c>
      <c r="CO25" s="206">
        <f>SUMIFS(領用表!$L:$L,領用表!$E:$E,$B25,領用表!$B:$B,CN$2&amp;CO$2)</f>
        <v/>
      </c>
      <c r="CP25" s="206">
        <f>SUMIFS(領用表!$L:$L,領用表!$E:$E,$B25,領用表!$B:$B,$CN$2&amp;CP$2)</f>
        <v/>
      </c>
      <c r="CQ25" s="206">
        <f>SUMIFS(領用表!$L:$L,領用表!$E:$E,$B25,領用表!$B:$B,$CN$2&amp;CQ$2)</f>
        <v/>
      </c>
      <c r="CR25" s="206">
        <f>SUMIFS(領用表!$L:$L,領用表!$E:$E,$B25,領用表!$B:$B,$CN$2&amp;CR$2)</f>
        <v/>
      </c>
      <c r="CS25" s="208">
        <f>SUMIFS(領用表!$L:$L,領用表!$A:$A,CS$2,領用表!$E:$E,B25)</f>
        <v/>
      </c>
      <c r="CT25" s="206">
        <f>SUMIFS(領用表!$L:$L,領用表!$E:$E,$B25,領用表!$B:$B,CS$2&amp;CT$2)</f>
        <v/>
      </c>
      <c r="CU25" s="206">
        <f>SUMIFS(領用表!$L:$L,領用表!$E:$E,$B25,領用表!$B:$B,$CS$2&amp;CU$2)</f>
        <v/>
      </c>
      <c r="CV25" s="206">
        <f>SUMIFS(領用表!$L:$L,領用表!$E:$E,$B25,領用表!$B:$B,$CS$2&amp;CV$2)</f>
        <v/>
      </c>
      <c r="CW25" s="206">
        <f>SUMIFS(領用表!$L:$L,領用表!$E:$E,$B25,領用表!$B:$B,$CS$2&amp;CW$2)</f>
        <v/>
      </c>
      <c r="CX25" s="206">
        <f>SUMIFS(領用表!$L:$L,領用表!$E:$E,$B25,領用表!$B:$B,$CS$2&amp;CX$2)</f>
        <v/>
      </c>
      <c r="CY25" s="208">
        <f>SUMIFS(領用表!$L:$L,領用表!$A:$A,CY$2,領用表!$E:$E,B25)</f>
        <v/>
      </c>
      <c r="CZ25" s="206">
        <f>SUMIFS(領用表!$L:$L,領用表!$E:$E,$B25,領用表!$B:$B,CY$2&amp;CZ$2)</f>
        <v/>
      </c>
      <c r="DA25" s="206">
        <f>SUMIFS(領用表!$L:$L,領用表!$E:$E,$B25,領用表!$B:$B,$CY$2&amp;DA$2)</f>
        <v/>
      </c>
      <c r="DB25" s="206">
        <f>SUMIFS(領用表!$L:$L,領用表!$E:$E,$B25,領用表!$B:$B,$CY$2&amp;DB$2)</f>
        <v/>
      </c>
      <c r="DC25" s="206">
        <f>SUMIFS(領用表!$L:$L,領用表!$E:$E,$B25,領用表!$B:$B,$CY$2&amp;DC$2)</f>
        <v/>
      </c>
      <c r="DD25" s="206">
        <f>SUMIFS(領用表!$L:$L,領用表!$E:$E,$B25,領用表!$B:$B,$CY$2&amp;DD$2)</f>
        <v/>
      </c>
      <c r="DE25" s="208">
        <f>SUMIFS(領用表!$L:$L,領用表!$A:$A,DE$2,領用表!$E:$E,B25)</f>
        <v/>
      </c>
      <c r="DF25" s="206">
        <f>SUMIFS(領用表!$L:$L,領用表!$E:$E,$B25,領用表!$B:$B,DE$2&amp;DF$2)</f>
        <v/>
      </c>
      <c r="DG25" s="206">
        <f>SUMIFS(領用表!$L:$L,領用表!$E:$E,$B25,領用表!$B:$B,$DE$2&amp;DG$2)</f>
        <v/>
      </c>
      <c r="DH25" s="206">
        <f>SUMIFS(領用表!$L:$L,領用表!$E:$E,$B25,領用表!$B:$B,$DE$2&amp;DH$2)</f>
        <v/>
      </c>
      <c r="DI25" s="206">
        <f>SUMIFS(領用表!$L:$L,領用表!$E:$E,$B25,領用表!$B:$B,$DE$2&amp;DI$2)</f>
        <v/>
      </c>
      <c r="DJ25" s="206">
        <f>SUMIFS(領用表!$L:$L,領用表!$E:$E,$B25,領用表!$B:$B,$DE$2&amp;DJ$2)</f>
        <v/>
      </c>
      <c r="DK25" s="208">
        <f>SUMIFS(領用表!$L:$L,領用表!$A:$A,DK$2,領用表!$E:$E,$B25)</f>
        <v/>
      </c>
      <c r="DL25" s="206">
        <f>SUMIFS(領用表!$L:$L,領用表!$E:$E,$B25,領用表!$B:$B,DK$2&amp;DL$2)</f>
        <v/>
      </c>
      <c r="DM25" s="206">
        <f>SUMIFS(領用表!$L:$L,領用表!$E:$E,$B25,領用表!$B:$B,$DK$2&amp;DM$2)</f>
        <v/>
      </c>
      <c r="DN25" s="206">
        <f>SUMIFS(領用表!$L:$L,領用表!$E:$E,$B25,領用表!$B:$B,$DK$2&amp;DN$2)</f>
        <v/>
      </c>
      <c r="DO25" s="206">
        <f>SUMIFS(領用表!$L:$L,領用表!$E:$E,$B25,領用表!$B:$B,$DK$2&amp;DO$2)</f>
        <v/>
      </c>
      <c r="DP25" s="206">
        <f>SUMIFS(領用表!$L:$L,領用表!$E:$E,$B25,領用表!$B:$B,$DK$2&amp;DP$2)</f>
        <v/>
      </c>
      <c r="DQ25" s="208" t="n">
        <v>6</v>
      </c>
      <c r="DR25" s="206" t="n"/>
      <c r="DS25" s="206" t="n"/>
      <c r="DT25" s="206" t="n">
        <v>6</v>
      </c>
      <c r="DU25" s="206" t="n"/>
      <c r="DV25" s="206" t="n"/>
      <c r="DW25" s="206">
        <f>SUM(CN25,CS25,CY25,DE25,DK25,DQ25)</f>
        <v/>
      </c>
      <c r="DX25" s="206">
        <f>AVERAGEA(CN25,CS25,CY25,DE25,DK25,DQ25)</f>
        <v/>
      </c>
      <c r="DY25" s="206">
        <f>SUM(DZ25:EC25)</f>
        <v/>
      </c>
      <c r="DZ25" s="206" t="n">
        <v>20</v>
      </c>
      <c r="EA25" s="206" t="n">
        <v>0</v>
      </c>
      <c r="EB25" s="206" t="n">
        <v>20</v>
      </c>
      <c r="EC25" s="206" t="n">
        <v>0</v>
      </c>
      <c r="ED25" s="215" t="n">
        <v>160</v>
      </c>
      <c r="EE25" s="210" t="n"/>
      <c r="EF25" s="211" t="inlineStr">
        <is>
          <t>40瓶(10/21)</t>
        </is>
      </c>
      <c r="EG25" s="211" t="inlineStr">
        <is>
          <t>10瓶(10/17)</t>
        </is>
      </c>
      <c r="EH25" s="136" t="n"/>
      <c r="EI25" s="212" t="n"/>
      <c r="EJ25" s="118">
        <f>IFERROR(VLOOKUP(A25,站前4樓!A:BF,57,0),0)</f>
        <v/>
      </c>
      <c r="EK25" s="213">
        <f>IFERROR(VLOOKUP(A25,站前11樓!A:BE,57,0),0)</f>
        <v/>
      </c>
      <c r="EL25" s="118">
        <f>IFERROR(VLOOKUP(A25,忠孝7樓!A:N,57,0),0)</f>
        <v/>
      </c>
      <c r="EM25" s="118">
        <f>IFERROR(VLOOKUP(A25,忠孝國際醫學3樓!A:L,57,0),0)</f>
        <v/>
      </c>
      <c r="EN25" s="118">
        <f>SUM(ED25:EG25)</f>
        <v/>
      </c>
      <c r="EP25" s="118" t="n">
        <v>344</v>
      </c>
      <c r="EQ25" s="118" t="n">
        <v>118</v>
      </c>
    </row>
    <row r="26" ht="15.75" customFormat="1" customHeight="1" s="118">
      <c r="A26" s="136" t="inlineStr">
        <is>
          <t>MP1MA020026A</t>
        </is>
      </c>
      <c r="C26" s="133" t="inlineStr">
        <is>
          <t>(喬雅露)芳蜜軟組織注射植入物-Juvelook 50mg</t>
        </is>
      </c>
      <c r="D26" s="197" t="n">
        <v>1</v>
      </c>
      <c r="E26" s="198" t="inlineStr">
        <is>
          <t>PCS</t>
        </is>
      </c>
      <c r="F26" s="199">
        <f>SUMIF(站前4樓!B:B,B26,站前4樓!F:F)</f>
        <v/>
      </c>
      <c r="G26" s="199">
        <f>SUMIF(站前11樓!B:B,B26,站前11樓!F:F)</f>
        <v/>
      </c>
      <c r="H26" s="199">
        <f>SUMIF(忠孝7樓!B:B,B26,忠孝7樓!G:G)</f>
        <v/>
      </c>
      <c r="I26" s="199">
        <f>SUMIF(忠孝國際醫學3樓!B:B,B26,忠孝國際醫學3樓!G:G)</f>
        <v/>
      </c>
      <c r="J26" s="199">
        <f>SUMIF(忠孝健康7樓!B:B,B26,忠孝健康7樓!G:G)</f>
        <v/>
      </c>
      <c r="K26" s="200" t="n">
        <v>0</v>
      </c>
      <c r="L26" s="200" t="n">
        <v>0</v>
      </c>
      <c r="M26" s="200" t="n">
        <v>0</v>
      </c>
      <c r="N26" s="200" t="n">
        <v>0</v>
      </c>
      <c r="O26" s="200" t="n">
        <v>0</v>
      </c>
      <c r="P26" s="200" t="n">
        <v>0</v>
      </c>
      <c r="Q26" s="200" t="n">
        <v>0</v>
      </c>
      <c r="R26" s="200" t="n">
        <v>0</v>
      </c>
      <c r="S26" s="200" t="n">
        <v>0</v>
      </c>
      <c r="T26" s="200" t="n">
        <v>0</v>
      </c>
      <c r="U26" s="200" t="n">
        <v>0</v>
      </c>
      <c r="V26" s="200" t="n">
        <v>0</v>
      </c>
      <c r="W26" s="200" t="n">
        <v>0</v>
      </c>
      <c r="X26" s="200" t="n">
        <v>0</v>
      </c>
      <c r="Y26" s="200" t="n">
        <v>0</v>
      </c>
      <c r="Z26" s="200" t="n">
        <v>0</v>
      </c>
      <c r="AA26" s="200" t="n">
        <v>0</v>
      </c>
      <c r="AB26" s="200" t="n">
        <v>0</v>
      </c>
      <c r="AC26" s="200" t="n">
        <v>0</v>
      </c>
      <c r="AD26" s="200" t="n">
        <v>0</v>
      </c>
      <c r="AE26" s="200" t="n">
        <v>0</v>
      </c>
      <c r="AF26" s="200" t="n">
        <v>0</v>
      </c>
      <c r="AG26" s="200" t="n">
        <v>0</v>
      </c>
      <c r="AH26" s="200" t="n">
        <v>0</v>
      </c>
      <c r="AI26" s="200" t="n">
        <v>0</v>
      </c>
      <c r="AJ26" s="200" t="n">
        <v>0</v>
      </c>
      <c r="AK26" s="200" t="n">
        <v>0</v>
      </c>
      <c r="AL26" s="200" t="n">
        <v>0</v>
      </c>
      <c r="AM26" s="200" t="n">
        <v>0</v>
      </c>
      <c r="AN26" s="200" t="n">
        <v>0</v>
      </c>
      <c r="AO26" s="200" t="n">
        <v>0</v>
      </c>
      <c r="AP26" s="200" t="n">
        <v>0</v>
      </c>
      <c r="AQ26" s="200" t="n">
        <v>0</v>
      </c>
      <c r="AR26" s="200" t="n">
        <v>0</v>
      </c>
      <c r="AS26" s="200" t="n">
        <v>0</v>
      </c>
      <c r="AT26" s="200" t="n">
        <v>0</v>
      </c>
      <c r="AU26" s="200" t="n">
        <v>0</v>
      </c>
      <c r="AV26" s="204" t="inlineStr">
        <is>
          <t>-</t>
        </is>
      </c>
      <c r="AW26" s="204" t="inlineStr">
        <is>
          <t>-</t>
        </is>
      </c>
      <c r="AX26" s="204" t="inlineStr">
        <is>
          <t>-</t>
        </is>
      </c>
      <c r="AY26" s="204" t="inlineStr">
        <is>
          <t>-</t>
        </is>
      </c>
      <c r="AZ26" s="204" t="inlineStr">
        <is>
          <t>-</t>
        </is>
      </c>
      <c r="BA26" s="203" t="n">
        <v>0</v>
      </c>
      <c r="BB26" s="203" t="n">
        <v>0</v>
      </c>
      <c r="BC26" s="203">
        <f>SUMIFS(領用表!$L:$L,領用表!$A:$A,BC$2,領用表!$E:$E,B26)</f>
        <v/>
      </c>
      <c r="BD26" s="206">
        <f>SUMIFS(領用表!$L:$L,領用表!$E:$E,$B26,領用表!$B:$B,BC$2&amp;BD$2)</f>
        <v/>
      </c>
      <c r="BE26" s="206">
        <f>SUMIFS(領用表!$L:$L,領用表!$E:$E,$B26,領用表!$B:$B,$BC$2&amp;BE$2)</f>
        <v/>
      </c>
      <c r="BF26" s="206">
        <f>SUMIFS(領用表!$L:$L,領用表!$E:$E,$B26,領用表!$B:$B,$BC$2&amp;BF$2)</f>
        <v/>
      </c>
      <c r="BG26" s="206">
        <f>SUMIFS(領用表!$L:$L,領用表!$E:$E,$B26,領用表!$B:$B,$BC$2&amp;BG$2)</f>
        <v/>
      </c>
      <c r="BH26" s="203">
        <f>SUMIFS(領用表!$L:$L,領用表!$A:$A,BH$2,領用表!$E:$E,B26)</f>
        <v/>
      </c>
      <c r="BI26" s="206">
        <f>SUMIFS(領用表!$L:$L,領用表!$E:$E,$B26,領用表!$B:$B,BH$2&amp;BI$2)</f>
        <v/>
      </c>
      <c r="BJ26" s="206">
        <f>SUMIFS(領用表!$L:$L,領用表!$E:$E,$B26,領用表!$B:$B,$BH$2&amp;BJ$2)</f>
        <v/>
      </c>
      <c r="BK26" s="206">
        <f>SUMIFS(領用表!$L:$L,領用表!$E:$E,$B26,領用表!$B:$B,$BH$2&amp;BK$2)</f>
        <v/>
      </c>
      <c r="BL26" s="206">
        <f>SUMIFS(領用表!$L:$L,領用表!$E:$E,$B26,領用表!$B:$B,$BH$2&amp;BL$2)</f>
        <v/>
      </c>
      <c r="BM26" s="203">
        <f>SUMIFS(領用表!$L:$L,領用表!$A:$A,BM$2,領用表!$E:$E,B26)</f>
        <v/>
      </c>
      <c r="BN26" s="206">
        <f>SUMIFS(領用表!$L:$L,領用表!$E:$E,$B26,領用表!$B:$B,BM$2&amp;BN$2)</f>
        <v/>
      </c>
      <c r="BO26" s="206">
        <f>SUMIFS(領用表!$L:$L,領用表!$E:$E,$B26,領用表!$B:$B,$BM$2&amp;BO$2)</f>
        <v/>
      </c>
      <c r="BP26" s="206">
        <f>SUMIFS(領用表!$L:$L,領用表!$E:$E,$B26,領用表!$B:$B,$BM$2&amp;BP$2)</f>
        <v/>
      </c>
      <c r="BQ26" s="206">
        <f>SUMIFS(領用表!$L:$L,領用表!$E:$E,$B26,領用表!$B:$B,$BM$2&amp;BQ$2)</f>
        <v/>
      </c>
      <c r="BR26" s="203">
        <f>SUMIFS(領用表!$L:$L,領用表!$A:$A,BR$2,領用表!$E:$E,B26)</f>
        <v/>
      </c>
      <c r="BS26" s="206">
        <f>SUMIFS(領用表!$L:$L,領用表!$E:$E,$B26,領用表!$B:$B,BR$2&amp;BS$2)</f>
        <v/>
      </c>
      <c r="BT26" s="206">
        <f>SUMIFS(領用表!$L:$L,領用表!$E:$E,$B26,領用表!$B:$B,$BR$2&amp;BT$2)</f>
        <v/>
      </c>
      <c r="BU26" s="206">
        <f>SUMIFS(領用表!$L:$L,領用表!$E:$E,$B26,領用表!$B:$B,$BR$2&amp;BU$2)</f>
        <v/>
      </c>
      <c r="BV26" s="206">
        <f>SUMIFS(領用表!$L:$L,領用表!$E:$E,$B26,領用表!$B:$B,$BR$2&amp;BV$2)</f>
        <v/>
      </c>
      <c r="BW26" s="203">
        <f>SUMIFS(領用表!$L:$L,領用表!$A:$A,BW$2,領用表!$E:$E,B26)</f>
        <v/>
      </c>
      <c r="BX26" s="206">
        <f>SUMIFS(領用表!$L:$L,領用表!$E:$E,$B26,領用表!$B:$B,BW$2&amp;BX$2)</f>
        <v/>
      </c>
      <c r="BY26" s="206">
        <f>SUMIFS(領用表!$L:$L,領用表!$E:$E,$B26,領用表!$B:$B,$BW$2&amp;BY$2)</f>
        <v/>
      </c>
      <c r="BZ26" s="206">
        <f>SUMIFS(領用表!$L:$L,領用表!$E:$E,$B26,領用表!$B:$B,$BW$2&amp;BZ$2)</f>
        <v/>
      </c>
      <c r="CA26" s="206">
        <f>SUMIFS(領用表!$L:$L,領用表!$E:$E,$B26,領用表!$B:$B,$BW$2&amp;CA$2)</f>
        <v/>
      </c>
      <c r="CB26" s="208">
        <f>SUMIFS(領用表!$L:$L,領用表!$A:$A,CB$2,領用表!$E:$E,B26)</f>
        <v/>
      </c>
      <c r="CC26" s="206">
        <f>SUMIFS(領用表!$L:$L,領用表!$E:$E,$B26,領用表!$B:$B,CB$2&amp;CC$2)</f>
        <v/>
      </c>
      <c r="CD26" s="206">
        <f>SUMIFS(領用表!$L:$L,領用表!$E:$E,$B26,領用表!$B:$B,$CB$2&amp;CD$2)</f>
        <v/>
      </c>
      <c r="CE26" s="206">
        <f>SUMIFS(領用表!$L:$L,領用表!$E:$E,$B26,領用表!$B:$B,$CB$2&amp;CE$2)</f>
        <v/>
      </c>
      <c r="CF26" s="206">
        <f>SUMIFS(領用表!$L:$L,領用表!$E:$E,$B26,領用表!$B:$B,$CB$2&amp;CF$2)</f>
        <v/>
      </c>
      <c r="CG26" s="208">
        <f>SUMIFS(領用表!$L:$L,領用表!$A:$A,CG$2,領用表!$E:$E,B26)</f>
        <v/>
      </c>
      <c r="CH26" s="206">
        <f>SUMIFS(領用表!$L:$L,領用表!$E:$E,$B26,領用表!$B:$B,CG$2&amp;CH$2)</f>
        <v/>
      </c>
      <c r="CI26" s="206">
        <f>SUMIFS(領用表!$L:$L,領用表!$E:$E,$B26,領用表!$B:$B,CG$2&amp;CI$2)</f>
        <v/>
      </c>
      <c r="CJ26" s="206">
        <f>SUMIFS(領用表!$L:$L,領用表!$E:$E,$B26,領用表!$B:$B,CG$2&amp;CJ$2)</f>
        <v/>
      </c>
      <c r="CK26" s="206">
        <f>SUMIFS(領用表!$L:$L,領用表!$E:$E,$B26,領用表!$B:$B,$CG$2&amp;CK$2)</f>
        <v/>
      </c>
      <c r="CL26" s="207">
        <f>SUM(AX26,AY26,AZ26,BA26,BB26,BC26,BH26,BM26,BR26,BW26,CB26,CG26)</f>
        <v/>
      </c>
      <c r="CM26" s="207">
        <f>AVERAGE(AX26,AY26,AZ26,BA26,BB26,BC26,BH26,BM26,BR26,BW26,CB26,CG26)</f>
        <v/>
      </c>
      <c r="CN26" s="208">
        <f>SUMIFS(領用表!$L:$L,領用表!$A:$A,CN$2,領用表!$E:$E,B26)</f>
        <v/>
      </c>
      <c r="CO26" s="206">
        <f>SUMIFS(領用表!$L:$L,領用表!$E:$E,$B26,領用表!$B:$B,CN$2&amp;CO$2)</f>
        <v/>
      </c>
      <c r="CP26" s="206">
        <f>SUMIFS(領用表!$L:$L,領用表!$E:$E,$B26,領用表!$B:$B,$CN$2&amp;CP$2)</f>
        <v/>
      </c>
      <c r="CQ26" s="206">
        <f>SUMIFS(領用表!$L:$L,領用表!$E:$E,$B26,領用表!$B:$B,$CN$2&amp;CQ$2)</f>
        <v/>
      </c>
      <c r="CR26" s="206">
        <f>SUMIFS(領用表!$L:$L,領用表!$E:$E,$B26,領用表!$B:$B,$CN$2&amp;CR$2)</f>
        <v/>
      </c>
      <c r="CS26" s="208">
        <f>SUMIFS(領用表!$L:$L,領用表!$A:$A,CS$2,領用表!$E:$E,B26)</f>
        <v/>
      </c>
      <c r="CT26" s="206">
        <f>SUMIFS(領用表!$L:$L,領用表!$E:$E,$B26,領用表!$B:$B,CS$2&amp;CT$2)</f>
        <v/>
      </c>
      <c r="CU26" s="206">
        <f>SUMIFS(領用表!$L:$L,領用表!$E:$E,$B26,領用表!$B:$B,$CS$2&amp;CU$2)</f>
        <v/>
      </c>
      <c r="CV26" s="206">
        <f>SUMIFS(領用表!$L:$L,領用表!$E:$E,$B26,領用表!$B:$B,$CS$2&amp;CV$2)</f>
        <v/>
      </c>
      <c r="CW26" s="206">
        <f>SUMIFS(領用表!$L:$L,領用表!$E:$E,$B26,領用表!$B:$B,$CS$2&amp;CW$2)</f>
        <v/>
      </c>
      <c r="CX26" s="206">
        <f>SUMIFS(領用表!$L:$L,領用表!$E:$E,$B26,領用表!$B:$B,$CS$2&amp;CX$2)</f>
        <v/>
      </c>
      <c r="CY26" s="208">
        <f>SUMIFS(領用表!$L:$L,領用表!$A:$A,CY$2,領用表!$E:$E,B26)</f>
        <v/>
      </c>
      <c r="CZ26" s="206">
        <f>SUMIFS(領用表!$L:$L,領用表!$E:$E,$B26,領用表!$B:$B,CY$2&amp;CZ$2)</f>
        <v/>
      </c>
      <c r="DA26" s="206">
        <f>SUMIFS(領用表!$L:$L,領用表!$E:$E,$B26,領用表!$B:$B,$CY$2&amp;DA$2)</f>
        <v/>
      </c>
      <c r="DB26" s="206">
        <f>SUMIFS(領用表!$L:$L,領用表!$E:$E,$B26,領用表!$B:$B,$CY$2&amp;DB$2)</f>
        <v/>
      </c>
      <c r="DC26" s="206">
        <f>SUMIFS(領用表!$L:$L,領用表!$E:$E,$B26,領用表!$B:$B,$CY$2&amp;DC$2)</f>
        <v/>
      </c>
      <c r="DD26" s="206">
        <f>SUMIFS(領用表!$L:$L,領用表!$E:$E,$B26,領用表!$B:$B,$CY$2&amp;DD$2)</f>
        <v/>
      </c>
      <c r="DE26" s="208">
        <f>SUMIFS(領用表!$L:$L,領用表!$A:$A,DE$2,領用表!$E:$E,B26)</f>
        <v/>
      </c>
      <c r="DF26" s="206">
        <f>SUMIFS(領用表!$L:$L,領用表!$E:$E,$B26,領用表!$B:$B,DE$2&amp;DF$2)</f>
        <v/>
      </c>
      <c r="DG26" s="206">
        <f>SUMIFS(領用表!$L:$L,領用表!$E:$E,$B26,領用表!$B:$B,$DE$2&amp;DG$2)</f>
        <v/>
      </c>
      <c r="DH26" s="206">
        <f>SUMIFS(領用表!$L:$L,領用表!$E:$E,$B26,領用表!$B:$B,$DE$2&amp;DH$2)</f>
        <v/>
      </c>
      <c r="DI26" s="206">
        <f>SUMIFS(領用表!$L:$L,領用表!$E:$E,$B26,領用表!$B:$B,$DE$2&amp;DI$2)</f>
        <v/>
      </c>
      <c r="DJ26" s="206">
        <f>SUMIFS(領用表!$L:$L,領用表!$E:$E,$B26,領用表!$B:$B,$DE$2&amp;DJ$2)</f>
        <v/>
      </c>
      <c r="DK26" s="208">
        <f>SUMIFS(領用表!$L:$L,領用表!$A:$A,DK$2,領用表!$E:$E,$B26)</f>
        <v/>
      </c>
      <c r="DL26" s="206">
        <f>SUMIFS(領用表!$L:$L,領用表!$E:$E,$B26,領用表!$B:$B,DK$2&amp;DL$2)</f>
        <v/>
      </c>
      <c r="DM26" s="206">
        <f>SUMIFS(領用表!$L:$L,領用表!$E:$E,$B26,領用表!$B:$B,$DK$2&amp;DM$2)</f>
        <v/>
      </c>
      <c r="DN26" s="206">
        <f>SUMIFS(領用表!$L:$L,領用表!$E:$E,$B26,領用表!$B:$B,$DK$2&amp;DN$2)</f>
        <v/>
      </c>
      <c r="DO26" s="206">
        <f>SUMIFS(領用表!$L:$L,領用表!$E:$E,$B26,領用表!$B:$B,$DK$2&amp;DO$2)</f>
        <v/>
      </c>
      <c r="DP26" s="206">
        <f>SUMIFS(領用表!$L:$L,領用表!$E:$E,$B26,領用表!$B:$B,$DK$2&amp;DP$2)</f>
        <v/>
      </c>
      <c r="DQ26" s="208" t="n"/>
      <c r="DR26" s="206" t="n"/>
      <c r="DS26" s="206" t="n"/>
      <c r="DT26" s="206" t="n"/>
      <c r="DU26" s="206" t="n"/>
      <c r="DV26" s="206" t="n"/>
      <c r="DW26" s="206">
        <f>SUM(CN26,CS26,CY26,DE26,DK26,DQ26)</f>
        <v/>
      </c>
      <c r="DX26" s="206">
        <f>AVERAGEA(CN26,CS26,CY26,DE26,DK26,DQ26)</f>
        <v/>
      </c>
      <c r="DY26" s="206">
        <f>SUM(DZ26:EC26)</f>
        <v/>
      </c>
      <c r="DZ26" s="206" t="n">
        <v>0</v>
      </c>
      <c r="EA26" s="206" t="n">
        <v>0</v>
      </c>
      <c r="EB26" s="206" t="n">
        <v>0</v>
      </c>
      <c r="EC26" s="206" t="n">
        <v>0</v>
      </c>
      <c r="ED26" s="209" t="n"/>
      <c r="EE26" s="204" t="n"/>
      <c r="EF26" s="226" t="n"/>
      <c r="EG26" s="226" t="n"/>
      <c r="EH26" s="136" t="inlineStr">
        <is>
          <t>叫貨單位「盒(10瓶)」</t>
        </is>
      </c>
      <c r="EI26" s="212" t="n"/>
      <c r="EJ26" s="118">
        <f>IFERROR(VLOOKUP(A26,站前4樓!A:BF,57,0),0)</f>
        <v/>
      </c>
      <c r="EK26" s="213">
        <f>IFERROR(VLOOKUP(A26,站前11樓!A:BE,57,0),0)</f>
        <v/>
      </c>
      <c r="EL26" s="118">
        <f>IFERROR(VLOOKUP(A26,忠孝7樓!A:N,57,0),0)</f>
        <v/>
      </c>
      <c r="EM26" s="118">
        <f>IFERROR(VLOOKUP(A26,忠孝國際醫學3樓!A:L,57,0),0)</f>
        <v/>
      </c>
      <c r="EN26" s="118">
        <f>SUM(ED26:EG26)</f>
        <v/>
      </c>
      <c r="EP26" s="118" t="n">
        <v>23</v>
      </c>
      <c r="EQ26" s="118" t="n">
        <v>62.5</v>
      </c>
    </row>
    <row r="27" ht="15.75" customFormat="1" customHeight="1" s="118">
      <c r="A27" s="136" t="inlineStr">
        <is>
          <t>MP1MA020027A</t>
        </is>
      </c>
      <c r="C27" s="133" t="inlineStr">
        <is>
          <t>(喬雅露)芳蜜軟組織注射植入物-Lenisna 200mg</t>
        </is>
      </c>
      <c r="D27" s="197" t="n">
        <v>1</v>
      </c>
      <c r="E27" s="198" t="inlineStr">
        <is>
          <t>PCS</t>
        </is>
      </c>
      <c r="F27" s="199">
        <f>SUMIF(站前4樓!B:B,B27,站前4樓!F:F)</f>
        <v/>
      </c>
      <c r="G27" s="199">
        <f>SUMIF(站前11樓!B:B,B27,站前11樓!F:F)</f>
        <v/>
      </c>
      <c r="H27" s="199">
        <f>SUMIF(忠孝7樓!B:B,B27,忠孝7樓!G:G)</f>
        <v/>
      </c>
      <c r="I27" s="199">
        <f>SUMIF(忠孝國際醫學3樓!B:B,B27,忠孝國際醫學3樓!G:G)</f>
        <v/>
      </c>
      <c r="J27" s="199">
        <f>SUMIF(忠孝健康7樓!B:B,B27,忠孝健康7樓!G:G)</f>
        <v/>
      </c>
      <c r="K27" s="200" t="n">
        <v>0</v>
      </c>
      <c r="L27" s="200" t="n">
        <v>0</v>
      </c>
      <c r="M27" s="200" t="n">
        <v>0</v>
      </c>
      <c r="N27" s="200" t="n">
        <v>0</v>
      </c>
      <c r="O27" s="200" t="n">
        <v>0</v>
      </c>
      <c r="P27" s="200" t="n">
        <v>0</v>
      </c>
      <c r="Q27" s="200" t="n">
        <v>0</v>
      </c>
      <c r="R27" s="200" t="n">
        <v>0</v>
      </c>
      <c r="S27" s="200" t="n">
        <v>0</v>
      </c>
      <c r="T27" s="200" t="n">
        <v>0</v>
      </c>
      <c r="U27" s="200" t="n">
        <v>0</v>
      </c>
      <c r="V27" s="200" t="n">
        <v>0</v>
      </c>
      <c r="W27" s="200" t="n">
        <v>0</v>
      </c>
      <c r="X27" s="200" t="n">
        <v>0</v>
      </c>
      <c r="Y27" s="200" t="n">
        <v>0</v>
      </c>
      <c r="Z27" s="200" t="n">
        <v>0</v>
      </c>
      <c r="AA27" s="200" t="n">
        <v>0</v>
      </c>
      <c r="AB27" s="200" t="n">
        <v>0</v>
      </c>
      <c r="AC27" s="200" t="n">
        <v>0</v>
      </c>
      <c r="AD27" s="200" t="n">
        <v>0</v>
      </c>
      <c r="AE27" s="200" t="n">
        <v>0</v>
      </c>
      <c r="AF27" s="200" t="n">
        <v>0</v>
      </c>
      <c r="AG27" s="200" t="n">
        <v>0</v>
      </c>
      <c r="AH27" s="200" t="n">
        <v>0</v>
      </c>
      <c r="AI27" s="200" t="n">
        <v>0</v>
      </c>
      <c r="AJ27" s="200" t="n">
        <v>0</v>
      </c>
      <c r="AK27" s="200" t="n">
        <v>0</v>
      </c>
      <c r="AL27" s="200" t="n">
        <v>0</v>
      </c>
      <c r="AM27" s="200" t="n">
        <v>0</v>
      </c>
      <c r="AN27" s="200" t="n">
        <v>0</v>
      </c>
      <c r="AO27" s="200" t="n">
        <v>0</v>
      </c>
      <c r="AP27" s="200" t="n">
        <v>0</v>
      </c>
      <c r="AQ27" s="200" t="n">
        <v>0</v>
      </c>
      <c r="AR27" s="200" t="n">
        <v>0</v>
      </c>
      <c r="AS27" s="200" t="n">
        <v>0</v>
      </c>
      <c r="AT27" s="200" t="n">
        <v>0</v>
      </c>
      <c r="AU27" s="200" t="n">
        <v>0</v>
      </c>
      <c r="AV27" s="204" t="inlineStr">
        <is>
          <t>-</t>
        </is>
      </c>
      <c r="AW27" s="204" t="inlineStr">
        <is>
          <t>-</t>
        </is>
      </c>
      <c r="AX27" s="204" t="inlineStr">
        <is>
          <t>-</t>
        </is>
      </c>
      <c r="AY27" s="204" t="inlineStr">
        <is>
          <t>-</t>
        </is>
      </c>
      <c r="AZ27" s="204" t="inlineStr">
        <is>
          <t>-</t>
        </is>
      </c>
      <c r="BA27" s="203" t="n">
        <v>0</v>
      </c>
      <c r="BB27" s="203" t="n">
        <v>10</v>
      </c>
      <c r="BC27" s="203">
        <f>SUMIFS(領用表!$L:$L,領用表!$A:$A,BC$2,領用表!$E:$E,B27)</f>
        <v/>
      </c>
      <c r="BD27" s="206">
        <f>SUMIFS(領用表!$L:$L,領用表!$E:$E,$B27,領用表!$B:$B,BC$2&amp;BD$2)</f>
        <v/>
      </c>
      <c r="BE27" s="206">
        <f>SUMIFS(領用表!$L:$L,領用表!$E:$E,$B27,領用表!$B:$B,$BC$2&amp;BE$2)</f>
        <v/>
      </c>
      <c r="BF27" s="206">
        <f>SUMIFS(領用表!$L:$L,領用表!$E:$E,$B27,領用表!$B:$B,$BC$2&amp;BF$2)</f>
        <v/>
      </c>
      <c r="BG27" s="206">
        <f>SUMIFS(領用表!$L:$L,領用表!$E:$E,$B27,領用表!$B:$B,$BC$2&amp;BG$2)</f>
        <v/>
      </c>
      <c r="BH27" s="203">
        <f>SUMIFS(領用表!$L:$L,領用表!$A:$A,BH$2,領用表!$E:$E,B27)</f>
        <v/>
      </c>
      <c r="BI27" s="206">
        <f>SUMIFS(領用表!$L:$L,領用表!$E:$E,$B27,領用表!$B:$B,BH$2&amp;BI$2)</f>
        <v/>
      </c>
      <c r="BJ27" s="206">
        <f>SUMIFS(領用表!$L:$L,領用表!$E:$E,$B27,領用表!$B:$B,$BH$2&amp;BJ$2)</f>
        <v/>
      </c>
      <c r="BK27" s="206">
        <f>SUMIFS(領用表!$L:$L,領用表!$E:$E,$B27,領用表!$B:$B,$BH$2&amp;BK$2)</f>
        <v/>
      </c>
      <c r="BL27" s="206">
        <f>SUMIFS(領用表!$L:$L,領用表!$E:$E,$B27,領用表!$B:$B,$BH$2&amp;BL$2)</f>
        <v/>
      </c>
      <c r="BM27" s="203">
        <f>SUMIFS(領用表!$L:$L,領用表!$A:$A,BM$2,領用表!$E:$E,B27)</f>
        <v/>
      </c>
      <c r="BN27" s="206">
        <f>SUMIFS(領用表!$L:$L,領用表!$E:$E,$B27,領用表!$B:$B,BM$2&amp;BN$2)</f>
        <v/>
      </c>
      <c r="BO27" s="206">
        <f>SUMIFS(領用表!$L:$L,領用表!$E:$E,$B27,領用表!$B:$B,$BM$2&amp;BO$2)</f>
        <v/>
      </c>
      <c r="BP27" s="206">
        <f>SUMIFS(領用表!$L:$L,領用表!$E:$E,$B27,領用表!$B:$B,$BM$2&amp;BP$2)</f>
        <v/>
      </c>
      <c r="BQ27" s="206">
        <f>SUMIFS(領用表!$L:$L,領用表!$E:$E,$B27,領用表!$B:$B,$BM$2&amp;BQ$2)</f>
        <v/>
      </c>
      <c r="BR27" s="203">
        <f>SUMIFS(領用表!$L:$L,領用表!$A:$A,BR$2,領用表!$E:$E,B27)</f>
        <v/>
      </c>
      <c r="BS27" s="206">
        <f>SUMIFS(領用表!$L:$L,領用表!$E:$E,$B27,領用表!$B:$B,BR$2&amp;BS$2)</f>
        <v/>
      </c>
      <c r="BT27" s="206">
        <f>SUMIFS(領用表!$L:$L,領用表!$E:$E,$B27,領用表!$B:$B,$BR$2&amp;BT$2)</f>
        <v/>
      </c>
      <c r="BU27" s="206">
        <f>SUMIFS(領用表!$L:$L,領用表!$E:$E,$B27,領用表!$B:$B,$BR$2&amp;BU$2)</f>
        <v/>
      </c>
      <c r="BV27" s="206">
        <f>SUMIFS(領用表!$L:$L,領用表!$E:$E,$B27,領用表!$B:$B,$BR$2&amp;BV$2)</f>
        <v/>
      </c>
      <c r="BW27" s="203">
        <f>SUMIFS(領用表!$L:$L,領用表!$A:$A,BW$2,領用表!$E:$E,B27)</f>
        <v/>
      </c>
      <c r="BX27" s="206">
        <f>SUMIFS(領用表!$L:$L,領用表!$E:$E,$B27,領用表!$B:$B,BW$2&amp;BX$2)</f>
        <v/>
      </c>
      <c r="BY27" s="206">
        <f>SUMIFS(領用表!$L:$L,領用表!$E:$E,$B27,領用表!$B:$B,$BW$2&amp;BY$2)</f>
        <v/>
      </c>
      <c r="BZ27" s="206">
        <f>SUMIFS(領用表!$L:$L,領用表!$E:$E,$B27,領用表!$B:$B,$BW$2&amp;BZ$2)</f>
        <v/>
      </c>
      <c r="CA27" s="206">
        <f>SUMIFS(領用表!$L:$L,領用表!$E:$E,$B27,領用表!$B:$B,$BW$2&amp;CA$2)</f>
        <v/>
      </c>
      <c r="CB27" s="208">
        <f>SUMIFS(領用表!$L:$L,領用表!$A:$A,CB$2,領用表!$E:$E,B27)</f>
        <v/>
      </c>
      <c r="CC27" s="206">
        <f>SUMIFS(領用表!$L:$L,領用表!$E:$E,$B27,領用表!$B:$B,CB$2&amp;CC$2)</f>
        <v/>
      </c>
      <c r="CD27" s="206">
        <f>SUMIFS(領用表!$L:$L,領用表!$E:$E,$B27,領用表!$B:$B,$CB$2&amp;CD$2)</f>
        <v/>
      </c>
      <c r="CE27" s="206">
        <f>SUMIFS(領用表!$L:$L,領用表!$E:$E,$B27,領用表!$B:$B,$CB$2&amp;CE$2)</f>
        <v/>
      </c>
      <c r="CF27" s="206">
        <f>SUMIFS(領用表!$L:$L,領用表!$E:$E,$B27,領用表!$B:$B,$CB$2&amp;CF$2)</f>
        <v/>
      </c>
      <c r="CG27" s="208">
        <f>SUMIFS(領用表!$L:$L,領用表!$A:$A,CG$2,領用表!$E:$E,B27)</f>
        <v/>
      </c>
      <c r="CH27" s="206">
        <f>SUMIFS(領用表!$L:$L,領用表!$E:$E,$B27,領用表!$B:$B,CG$2&amp;CH$2)</f>
        <v/>
      </c>
      <c r="CI27" s="206">
        <f>SUMIFS(領用表!$L:$L,領用表!$E:$E,$B27,領用表!$B:$B,CG$2&amp;CI$2)</f>
        <v/>
      </c>
      <c r="CJ27" s="206">
        <f>SUMIFS(領用表!$L:$L,領用表!$E:$E,$B27,領用表!$B:$B,CG$2&amp;CJ$2)</f>
        <v/>
      </c>
      <c r="CK27" s="206">
        <f>SUMIFS(領用表!$L:$L,領用表!$E:$E,$B27,領用表!$B:$B,$CG$2&amp;CK$2)</f>
        <v/>
      </c>
      <c r="CL27" s="207">
        <f>SUM(AX27,AY27,AZ27,BA27,BB27,BC27,BH27,BM27,BR27,BW27,CB27,CG27)</f>
        <v/>
      </c>
      <c r="CM27" s="207">
        <f>AVERAGE(AX27,AY27,AZ27,BA27,BB27,BC27,BH27,BM27,BR27,BW27,CB27,CG27)</f>
        <v/>
      </c>
      <c r="CN27" s="208">
        <f>SUMIFS(領用表!$L:$L,領用表!$A:$A,CN$2,領用表!$E:$E,B27)</f>
        <v/>
      </c>
      <c r="CO27" s="206">
        <f>SUMIFS(領用表!$L:$L,領用表!$E:$E,$B27,領用表!$B:$B,CN$2&amp;CO$2)</f>
        <v/>
      </c>
      <c r="CP27" s="206">
        <f>SUMIFS(領用表!$L:$L,領用表!$E:$E,$B27,領用表!$B:$B,$CN$2&amp;CP$2)</f>
        <v/>
      </c>
      <c r="CQ27" s="206">
        <f>SUMIFS(領用表!$L:$L,領用表!$E:$E,$B27,領用表!$B:$B,$CN$2&amp;CQ$2)</f>
        <v/>
      </c>
      <c r="CR27" s="206">
        <f>SUMIFS(領用表!$L:$L,領用表!$E:$E,$B27,領用表!$B:$B,$CN$2&amp;CR$2)</f>
        <v/>
      </c>
      <c r="CS27" s="208">
        <f>SUMIFS(領用表!$L:$L,領用表!$A:$A,CS$2,領用表!$E:$E,B27)</f>
        <v/>
      </c>
      <c r="CT27" s="206">
        <f>SUMIFS(領用表!$L:$L,領用表!$E:$E,$B27,領用表!$B:$B,CS$2&amp;CT$2)</f>
        <v/>
      </c>
      <c r="CU27" s="206">
        <f>SUMIFS(領用表!$L:$L,領用表!$E:$E,$B27,領用表!$B:$B,$CS$2&amp;CU$2)</f>
        <v/>
      </c>
      <c r="CV27" s="206">
        <f>SUMIFS(領用表!$L:$L,領用表!$E:$E,$B27,領用表!$B:$B,$CS$2&amp;CV$2)</f>
        <v/>
      </c>
      <c r="CW27" s="206">
        <f>SUMIFS(領用表!$L:$L,領用表!$E:$E,$B27,領用表!$B:$B,$CS$2&amp;CW$2)</f>
        <v/>
      </c>
      <c r="CX27" s="206">
        <f>SUMIFS(領用表!$L:$L,領用表!$E:$E,$B27,領用表!$B:$B,$CS$2&amp;CX$2)</f>
        <v/>
      </c>
      <c r="CY27" s="208">
        <f>SUMIFS(領用表!$L:$L,領用表!$A:$A,CY$2,領用表!$E:$E,B27)</f>
        <v/>
      </c>
      <c r="CZ27" s="206">
        <f>SUMIFS(領用表!$L:$L,領用表!$E:$E,$B27,領用表!$B:$B,CY$2&amp;CZ$2)</f>
        <v/>
      </c>
      <c r="DA27" s="206">
        <f>SUMIFS(領用表!$L:$L,領用表!$E:$E,$B27,領用表!$B:$B,$CY$2&amp;DA$2)</f>
        <v/>
      </c>
      <c r="DB27" s="206">
        <f>SUMIFS(領用表!$L:$L,領用表!$E:$E,$B27,領用表!$B:$B,$CY$2&amp;DB$2)</f>
        <v/>
      </c>
      <c r="DC27" s="206">
        <f>SUMIFS(領用表!$L:$L,領用表!$E:$E,$B27,領用表!$B:$B,$CY$2&amp;DC$2)</f>
        <v/>
      </c>
      <c r="DD27" s="206">
        <f>SUMIFS(領用表!$L:$L,領用表!$E:$E,$B27,領用表!$B:$B,$CY$2&amp;DD$2)</f>
        <v/>
      </c>
      <c r="DE27" s="208">
        <f>SUMIFS(領用表!$L:$L,領用表!$A:$A,DE$2,領用表!$E:$E,B27)</f>
        <v/>
      </c>
      <c r="DF27" s="206">
        <f>SUMIFS(領用表!$L:$L,領用表!$E:$E,$B27,領用表!$B:$B,DE$2&amp;DF$2)</f>
        <v/>
      </c>
      <c r="DG27" s="206">
        <f>SUMIFS(領用表!$L:$L,領用表!$E:$E,$B27,領用表!$B:$B,$DE$2&amp;DG$2)</f>
        <v/>
      </c>
      <c r="DH27" s="206">
        <f>SUMIFS(領用表!$L:$L,領用表!$E:$E,$B27,領用表!$B:$B,$DE$2&amp;DH$2)</f>
        <v/>
      </c>
      <c r="DI27" s="206">
        <f>SUMIFS(領用表!$L:$L,領用表!$E:$E,$B27,領用表!$B:$B,$DE$2&amp;DI$2)</f>
        <v/>
      </c>
      <c r="DJ27" s="206">
        <f>SUMIFS(領用表!$L:$L,領用表!$E:$E,$B27,領用表!$B:$B,$DE$2&amp;DJ$2)</f>
        <v/>
      </c>
      <c r="DK27" s="208">
        <f>SUMIFS(領用表!$L:$L,領用表!$A:$A,DK$2,領用表!$E:$E,$B27)</f>
        <v/>
      </c>
      <c r="DL27" s="206">
        <f>SUMIFS(領用表!$L:$L,領用表!$E:$E,$B27,領用表!$B:$B,DK$2&amp;DL$2)</f>
        <v/>
      </c>
      <c r="DM27" s="206">
        <f>SUMIFS(領用表!$L:$L,領用表!$E:$E,$B27,領用表!$B:$B,$DK$2&amp;DM$2)</f>
        <v/>
      </c>
      <c r="DN27" s="206">
        <f>SUMIFS(領用表!$L:$L,領用表!$E:$E,$B27,領用表!$B:$B,$DK$2&amp;DN$2)</f>
        <v/>
      </c>
      <c r="DO27" s="206">
        <f>SUMIFS(領用表!$L:$L,領用表!$E:$E,$B27,領用表!$B:$B,$DK$2&amp;DO$2)</f>
        <v/>
      </c>
      <c r="DP27" s="206">
        <f>SUMIFS(領用表!$L:$L,領用表!$E:$E,$B27,領用表!$B:$B,$DK$2&amp;DP$2)</f>
        <v/>
      </c>
      <c r="DQ27" s="208" t="n"/>
      <c r="DR27" s="206" t="n"/>
      <c r="DS27" s="206" t="n"/>
      <c r="DT27" s="206" t="n"/>
      <c r="DU27" s="206" t="n"/>
      <c r="DV27" s="206" t="n"/>
      <c r="DW27" s="206">
        <f>SUM(CN27,CS27,CY27,DE27,DK27,DQ27)</f>
        <v/>
      </c>
      <c r="DX27" s="206">
        <f>AVERAGEA(CN27,CS27,CY27,DE27,DK27,DQ27)</f>
        <v/>
      </c>
      <c r="DY27" s="206">
        <f>SUM(DZ27:EC27)</f>
        <v/>
      </c>
      <c r="DZ27" s="206" t="n">
        <v>0</v>
      </c>
      <c r="EA27" s="206" t="n">
        <v>0</v>
      </c>
      <c r="EB27" s="206" t="n">
        <v>0</v>
      </c>
      <c r="EC27" s="206" t="n">
        <v>0</v>
      </c>
      <c r="ED27" s="209" t="n"/>
      <c r="EE27" s="515" t="n"/>
      <c r="EF27" s="226" t="n"/>
      <c r="EG27" s="226" t="n"/>
      <c r="EH27" s="136" t="inlineStr">
        <is>
          <t>叫貨單位「盒(10瓶)」</t>
        </is>
      </c>
      <c r="EI27" s="212" t="n"/>
      <c r="EJ27" s="118">
        <f>IFERROR(VLOOKUP(A27,站前4樓!A:BF,57,0),0)</f>
        <v/>
      </c>
      <c r="EK27" s="213">
        <f>IFERROR(VLOOKUP(A27,站前11樓!A:BE,57,0),0)</f>
        <v/>
      </c>
      <c r="EL27" s="118">
        <f>IFERROR(VLOOKUP(A27,忠孝7樓!A:N,57,0),0)</f>
        <v/>
      </c>
      <c r="EM27" s="118">
        <f>IFERROR(VLOOKUP(A27,忠孝國際醫學3樓!A:L,57,0),0)</f>
        <v/>
      </c>
      <c r="EN27" s="118">
        <f>SUM(ED27:EG27)</f>
        <v/>
      </c>
      <c r="EP27" s="118" t="n">
        <v>13</v>
      </c>
      <c r="EQ27" s="118" t="n">
        <v>16</v>
      </c>
    </row>
    <row r="28" ht="15.75" customFormat="1" customHeight="1" s="118">
      <c r="A28" s="136" t="inlineStr">
        <is>
          <t>MP1MA020030A</t>
        </is>
      </c>
      <c r="B28" s="118" t="n">
        <v>6160011</v>
      </c>
      <c r="C28" s="133" t="inlineStr">
        <is>
          <t>(喬雅露)芳蜜軟組織注射植入物-Juvelook 50mg (1cc)</t>
        </is>
      </c>
      <c r="D28" s="197" t="n">
        <v>6</v>
      </c>
      <c r="E28" s="198" t="inlineStr">
        <is>
          <t>ml</t>
        </is>
      </c>
      <c r="F28" s="199">
        <f>SUMIF(站前4樓!B:B,B28,站前4樓!F:F)</f>
        <v/>
      </c>
      <c r="G28" s="199">
        <f>SUMIF(站前11樓!B:B,B28,站前11樓!F:F)</f>
        <v/>
      </c>
      <c r="H28" s="199">
        <f>SUMIF(忠孝7樓!B:B,B28,忠孝7樓!G:G)</f>
        <v/>
      </c>
      <c r="I28" s="199">
        <f>SUMIF(忠孝國際醫學3樓!B:B,B28,忠孝國際醫學3樓!G:G)</f>
        <v/>
      </c>
      <c r="J28" s="199">
        <f>SUMIF(忠孝健康7樓!B:B,B28,忠孝健康7樓!G:G)</f>
        <v/>
      </c>
      <c r="K28" s="200" t="n"/>
      <c r="L28" s="200" t="n"/>
      <c r="M28" s="200" t="n"/>
      <c r="N28" s="200" t="n"/>
      <c r="O28" s="200" t="n"/>
      <c r="P28" s="200" t="n"/>
      <c r="Q28" s="200" t="n"/>
      <c r="R28" s="200" t="n"/>
      <c r="S28" s="200" t="n"/>
      <c r="T28" s="200" t="n"/>
      <c r="U28" s="200" t="n"/>
      <c r="V28" s="200" t="n"/>
      <c r="W28" s="200" t="n"/>
      <c r="X28" s="200" t="n"/>
      <c r="Y28" s="200" t="n"/>
      <c r="Z28" s="200" t="n"/>
      <c r="AA28" s="200" t="n"/>
      <c r="AB28" s="200" t="n"/>
      <c r="AC28" s="200" t="n"/>
      <c r="AD28" s="200" t="n"/>
      <c r="AE28" s="200" t="n"/>
      <c r="AF28" s="200" t="n"/>
      <c r="AG28" s="200" t="n"/>
      <c r="AH28" s="200" t="n"/>
      <c r="AI28" s="200" t="n"/>
      <c r="AJ28" s="201" t="n"/>
      <c r="AK28" s="201" t="n"/>
      <c r="AL28" s="201" t="n"/>
      <c r="AM28" s="201" t="n"/>
      <c r="AN28" s="201" t="n"/>
      <c r="AO28" s="201" t="n"/>
      <c r="AP28" s="201" t="n"/>
      <c r="AQ28" s="201" t="n"/>
      <c r="AR28" s="201" t="n"/>
      <c r="AS28" s="201" t="n"/>
      <c r="AT28" s="201" t="n"/>
      <c r="AU28" s="203" t="n"/>
      <c r="AV28" s="204" t="n"/>
      <c r="AW28" s="513" t="n"/>
      <c r="AX28" s="203" t="n"/>
      <c r="AY28" s="203" t="n"/>
      <c r="AZ28" s="203" t="n"/>
      <c r="BA28" s="203" t="n"/>
      <c r="BB28" s="203" t="n"/>
      <c r="BC28" s="203">
        <f>SUMIFS(領用表!$L:$L,領用表!$A:$A,BC$2,領用表!$E:$E,B28)</f>
        <v/>
      </c>
      <c r="BD28" s="206">
        <f>SUMIFS(領用表!$L:$L,領用表!$E:$E,$B28,領用表!$B:$B,BC$2&amp;BD$2)</f>
        <v/>
      </c>
      <c r="BE28" s="206">
        <f>SUMIFS(領用表!$L:$L,領用表!$E:$E,$B28,領用表!$B:$B,$BC$2&amp;BE$2)</f>
        <v/>
      </c>
      <c r="BF28" s="206">
        <f>SUMIFS(領用表!$L:$L,領用表!$E:$E,$B28,領用表!$B:$B,$BC$2&amp;BF$2)</f>
        <v/>
      </c>
      <c r="BG28" s="206">
        <f>SUMIFS(領用表!$L:$L,領用表!$E:$E,$B28,領用表!$B:$B,$BC$2&amp;BG$2)</f>
        <v/>
      </c>
      <c r="BH28" s="203">
        <f>SUMIFS(領用表!$L:$L,領用表!$A:$A,BH$2,領用表!$E:$E,B28)</f>
        <v/>
      </c>
      <c r="BI28" s="206">
        <f>SUMIFS(領用表!$L:$L,領用表!$E:$E,$B28,領用表!$B:$B,BH$2&amp;BI$2)</f>
        <v/>
      </c>
      <c r="BJ28" s="206">
        <f>SUMIFS(領用表!$L:$L,領用表!$E:$E,$B28,領用表!$B:$B,$BH$2&amp;BJ$2)</f>
        <v/>
      </c>
      <c r="BK28" s="206">
        <f>SUMIFS(領用表!$L:$L,領用表!$E:$E,$B28,領用表!$B:$B,$BH$2&amp;BK$2)</f>
        <v/>
      </c>
      <c r="BL28" s="206">
        <f>SUMIFS(領用表!$L:$L,領用表!$E:$E,$B28,領用表!$B:$B,$BH$2&amp;BL$2)</f>
        <v/>
      </c>
      <c r="BM28" s="203">
        <f>SUMIFS(領用表!$L:$L,領用表!$A:$A,BM$2,領用表!$E:$E,B28)</f>
        <v/>
      </c>
      <c r="BN28" s="206">
        <f>SUMIFS(領用表!$L:$L,領用表!$E:$E,$B28,領用表!$B:$B,BM$2&amp;BN$2)</f>
        <v/>
      </c>
      <c r="BO28" s="206">
        <f>SUMIFS(領用表!$L:$L,領用表!$E:$E,$B28,領用表!$B:$B,$BM$2&amp;BO$2)</f>
        <v/>
      </c>
      <c r="BP28" s="206">
        <f>SUMIFS(領用表!$L:$L,領用表!$E:$E,$B28,領用表!$B:$B,$BM$2&amp;BP$2)</f>
        <v/>
      </c>
      <c r="BQ28" s="206">
        <f>SUMIFS(領用表!$L:$L,領用表!$E:$E,$B28,領用表!$B:$B,$BM$2&amp;BQ$2)</f>
        <v/>
      </c>
      <c r="BR28" s="203">
        <f>SUMIFS(領用表!$L:$L,領用表!$A:$A,BR$2,領用表!$E:$E,B28)</f>
        <v/>
      </c>
      <c r="BS28" s="206">
        <f>SUMIFS(領用表!$L:$L,領用表!$E:$E,$B28,領用表!$B:$B,BR$2&amp;BS$2)</f>
        <v/>
      </c>
      <c r="BT28" s="206">
        <f>SUMIFS(領用表!$L:$L,領用表!$E:$E,$B28,領用表!$B:$B,$BR$2&amp;BT$2)</f>
        <v/>
      </c>
      <c r="BU28" s="206">
        <f>SUMIFS(領用表!$L:$L,領用表!$E:$E,$B28,領用表!$B:$B,$BR$2&amp;BU$2)</f>
        <v/>
      </c>
      <c r="BV28" s="206">
        <f>SUMIFS(領用表!$L:$L,領用表!$E:$E,$B28,領用表!$B:$B,$BR$2&amp;BV$2)</f>
        <v/>
      </c>
      <c r="BW28" s="208">
        <f>SUMIFS(領用表!$L:$L,領用表!$A:$A,BW$2,領用表!$E:$E,B28)</f>
        <v/>
      </c>
      <c r="BX28" s="216">
        <f>SUMIFS(領用表!$L:$L,領用表!$E:$E,$B28,領用表!$B:$B,BW$2&amp;BX$2)</f>
        <v/>
      </c>
      <c r="BY28" s="216">
        <f>SUMIFS(領用表!$L:$L,領用表!$E:$E,$B28,領用表!$B:$B,$BW$2&amp;BY$2)</f>
        <v/>
      </c>
      <c r="BZ28" s="216">
        <f>SUMIFS(領用表!$L:$L,領用表!$E:$E,$B28,領用表!$B:$B,$BW$2&amp;BZ$2)</f>
        <v/>
      </c>
      <c r="CA28" s="216">
        <f>SUMIFS(領用表!$L:$L,領用表!$E:$E,$B28,領用表!$B:$B,$BW$2&amp;CA$2)</f>
        <v/>
      </c>
      <c r="CB28" s="208">
        <f>SUMIFS(領用表!$L:$L,領用表!$A:$A,CB$2,領用表!$E:$E,B28)</f>
        <v/>
      </c>
      <c r="CC28" s="216">
        <f>SUMIFS(領用表!$L:$L,領用表!$E:$E,$B28,領用表!$B:$B,CB$2&amp;CC$2)</f>
        <v/>
      </c>
      <c r="CD28" s="216">
        <f>SUMIFS(領用表!$L:$L,領用表!$E:$E,$B28,領用表!$B:$B,$CB$2&amp;CD$2)</f>
        <v/>
      </c>
      <c r="CE28" s="216">
        <f>SUMIFS(領用表!$L:$L,領用表!$E:$E,$B28,領用表!$B:$B,$CB$2&amp;CE$2)</f>
        <v/>
      </c>
      <c r="CF28" s="216">
        <f>SUMIFS(領用表!$L:$L,領用表!$E:$E,$B28,領用表!$B:$B,$CB$2&amp;CF$2)</f>
        <v/>
      </c>
      <c r="CG28" s="217">
        <f>SUMIFS(領用表!$L:$L,領用表!$A:$A,CG$2,領用表!$E:$E,B28)</f>
        <v/>
      </c>
      <c r="CH28" s="216">
        <f>SUMIFS(領用表!$L:$L,領用表!$E:$E,$B28,領用表!$B:$B,CG$2&amp;CH$2)</f>
        <v/>
      </c>
      <c r="CI28" s="216">
        <f>SUMIFS(領用表!$L:$L,領用表!$E:$E,$B28,領用表!$B:$B,CG$2&amp;CI$2)</f>
        <v/>
      </c>
      <c r="CJ28" s="216">
        <f>SUMIFS(領用表!$L:$L,領用表!$E:$E,$B28,領用表!$B:$B,CG$2&amp;CJ$2)</f>
        <v/>
      </c>
      <c r="CK28" s="216">
        <f>SUMIFS(領用表!$L:$L,領用表!$E:$E,$B28,領用表!$B:$B,$CG$2&amp;CK$2)</f>
        <v/>
      </c>
      <c r="CL28" s="207">
        <f>SUM(AX28,AY28,AZ28,BA28,BB28,BC28,BH28,BM28,BR28,BW28,CB28,CG28)</f>
        <v/>
      </c>
      <c r="CM28" s="207">
        <f>AVERAGE(AX28,AY28,AZ28,BA28,BB28,BC28,BH28,BM28,BR28,BW28,CB28,CG28)</f>
        <v/>
      </c>
      <c r="CN28" s="217">
        <f>SUMIFS(領用表!$L:$L,領用表!$A:$A,CN$2,領用表!$E:$E,B28)</f>
        <v/>
      </c>
      <c r="CO28" s="216">
        <f>SUMIFS(領用表!$L:$L,領用表!$E:$E,$B28,領用表!$B:$B,CN$2&amp;CO$2)</f>
        <v/>
      </c>
      <c r="CP28" s="216">
        <f>SUMIFS(領用表!$L:$L,領用表!$E:$E,$B28,領用表!$B:$B,$CN$2&amp;CP$2)</f>
        <v/>
      </c>
      <c r="CQ28" s="216">
        <f>SUMIFS(領用表!$L:$L,領用表!$E:$E,$B28,領用表!$B:$B,$CN$2&amp;CQ$2)</f>
        <v/>
      </c>
      <c r="CR28" s="216">
        <f>SUMIFS(領用表!$L:$L,領用表!$E:$E,$B28,領用表!$B:$B,$CN$2&amp;CR$2)</f>
        <v/>
      </c>
      <c r="CS28" s="208">
        <f>SUMIFS(領用表!$L:$L,領用表!$A:$A,CS$2,領用表!$E:$E,B28)</f>
        <v/>
      </c>
      <c r="CT28" s="216">
        <f>SUMIFS(領用表!$L:$L,領用表!$E:$E,$B28,領用表!$B:$B,CS$2&amp;CT$2)</f>
        <v/>
      </c>
      <c r="CU28" s="216">
        <f>SUMIFS(領用表!$L:$L,領用表!$E:$E,$B28,領用表!$B:$B,$CS$2&amp;CU$2)</f>
        <v/>
      </c>
      <c r="CV28" s="216">
        <f>SUMIFS(領用表!$L:$L,領用表!$E:$E,$B28,領用表!$B:$B,$CS$2&amp;CV$2)</f>
        <v/>
      </c>
      <c r="CW28" s="216">
        <f>SUMIFS(領用表!$L:$L,領用表!$E:$E,$B28,領用表!$B:$B,$CS$2&amp;CW$2)</f>
        <v/>
      </c>
      <c r="CX28" s="216">
        <f>SUMIFS(領用表!$L:$L,領用表!$E:$E,$B28,領用表!$B:$B,$CS$2&amp;CX$2)</f>
        <v/>
      </c>
      <c r="CY28" s="208">
        <f>SUMIFS(領用表!$L:$L,領用表!$A:$A,CY$2,領用表!$E:$E,B28)</f>
        <v/>
      </c>
      <c r="CZ28" s="216">
        <f>SUMIFS(領用表!$L:$L,領用表!$E:$E,$B28,領用表!$B:$B,CY$2&amp;CZ$2)</f>
        <v/>
      </c>
      <c r="DA28" s="216">
        <f>SUMIFS(領用表!$L:$L,領用表!$E:$E,$B28,領用表!$B:$B,$CY$2&amp;DA$2)</f>
        <v/>
      </c>
      <c r="DB28" s="216">
        <f>SUMIFS(領用表!$L:$L,領用表!$E:$E,$B28,領用表!$B:$B,$CY$2&amp;DB$2)</f>
        <v/>
      </c>
      <c r="DC28" s="216">
        <f>SUMIFS(領用表!$L:$L,領用表!$E:$E,$B28,領用表!$B:$B,$CY$2&amp;DC$2)</f>
        <v/>
      </c>
      <c r="DD28" s="216">
        <f>SUMIFS(領用表!$L:$L,領用表!$E:$E,$B28,領用表!$B:$B,$CY$2&amp;DD$2)</f>
        <v/>
      </c>
      <c r="DE28" s="208">
        <f>SUMIFS(領用表!$L:$L,領用表!$A:$A,DE$2,領用表!$E:$E,B28)</f>
        <v/>
      </c>
      <c r="DF28" s="216">
        <f>SUMIFS(領用表!$L:$L,領用表!$E:$E,$B28,領用表!$B:$B,DE$2&amp;DF$2)</f>
        <v/>
      </c>
      <c r="DG28" s="216">
        <f>SUMIFS(領用表!$L:$L,領用表!$E:$E,$B28,領用表!$B:$B,$DE$2&amp;DG$2)</f>
        <v/>
      </c>
      <c r="DH28" s="216">
        <f>SUMIFS(領用表!$L:$L,領用表!$E:$E,$B28,領用表!$B:$B,$DE$2&amp;DH$2)</f>
        <v/>
      </c>
      <c r="DI28" s="216">
        <f>SUMIFS(領用表!$L:$L,領用表!$E:$E,$B28,領用表!$B:$B,$DE$2&amp;DI$2)</f>
        <v/>
      </c>
      <c r="DJ28" s="216">
        <f>SUMIFS(領用表!$L:$L,領用表!$E:$E,$B28,領用表!$B:$B,$DE$2&amp;DJ$2)</f>
        <v/>
      </c>
      <c r="DK28" s="208">
        <f>SUMIFS(領用表!$L:$L,領用表!$A:$A,DK$2,領用表!$E:$E,$B28)</f>
        <v/>
      </c>
      <c r="DL28" s="216">
        <f>SUMIFS(領用表!$L:$L,領用表!$E:$E,$B28,領用表!$B:$B,DK$2&amp;DL$2)</f>
        <v/>
      </c>
      <c r="DM28" s="216">
        <f>SUMIFS(領用表!$L:$L,領用表!$E:$E,$B28,領用表!$B:$B,$DK$2&amp;DM$2)</f>
        <v/>
      </c>
      <c r="DN28" s="216">
        <f>SUMIFS(領用表!$L:$L,領用表!$E:$E,$B28,領用表!$B:$B,$DK$2&amp;DN$2)</f>
        <v/>
      </c>
      <c r="DO28" s="216">
        <f>SUMIFS(領用表!$L:$L,領用表!$E:$E,$B28,領用表!$B:$B,$DK$2&amp;DO$2)</f>
        <v/>
      </c>
      <c r="DP28" s="216">
        <f>SUMIFS(領用表!$L:$L,領用表!$E:$E,$B28,領用表!$B:$B,$DK$2&amp;DP$2)</f>
        <v/>
      </c>
      <c r="DQ28" s="208" t="n">
        <v>280</v>
      </c>
      <c r="DR28" s="216" t="n">
        <v>79</v>
      </c>
      <c r="DS28" s="216" t="n"/>
      <c r="DT28" s="216" t="n">
        <v>138</v>
      </c>
      <c r="DU28" s="216" t="n"/>
      <c r="DV28" s="216" t="n">
        <v>63</v>
      </c>
      <c r="DW28" s="216">
        <f>SUM(CN28,CS28,CY28,DE28,DK28,DQ28)</f>
        <v/>
      </c>
      <c r="DX28" s="216">
        <f>AVERAGEA(CN28,CS28,CY28,DE28,DK28,DQ28)</f>
        <v/>
      </c>
      <c r="DY28" s="216">
        <f>SUM(DZ28:EC28)</f>
        <v/>
      </c>
      <c r="DZ28" s="216" t="n">
        <v>350</v>
      </c>
      <c r="EA28" s="216" t="n">
        <v>0</v>
      </c>
      <c r="EB28" s="216" t="n">
        <v>1000</v>
      </c>
      <c r="EC28" s="216" t="n">
        <v>0</v>
      </c>
      <c r="ED28" s="215" t="n">
        <v>480</v>
      </c>
      <c r="EE28" s="517" t="inlineStr">
        <is>
          <t>25 (出完改叫薇貝拉)</t>
        </is>
      </c>
      <c r="EF28" s="211" t="inlineStr">
        <is>
          <t>10瓶(10/21)</t>
        </is>
      </c>
      <c r="EG28" s="211" t="n"/>
      <c r="EH28" s="136" t="inlineStr">
        <is>
          <t>叫貨單位「盒(10瓶)」</t>
        </is>
      </c>
      <c r="EI28" s="212" t="n"/>
      <c r="EJ28" s="118">
        <f>IFERROR(VLOOKUP(A28,站前4樓!A:BF,57,0),0)</f>
        <v/>
      </c>
      <c r="EK28" s="213">
        <f>IFERROR(VLOOKUP(A28,站前11樓!A:BE,57,0),0)</f>
        <v/>
      </c>
      <c r="EL28" s="118">
        <f>IFERROR(VLOOKUP(A28,忠孝7樓!A:N,57,0),0)</f>
        <v/>
      </c>
      <c r="EM28" s="118">
        <f>IFERROR(VLOOKUP(A28,忠孝國際醫學3樓!A:L,57,0),0)</f>
        <v/>
      </c>
      <c r="EN28" s="118">
        <f>SUM(ED28:EG28)</f>
        <v/>
      </c>
      <c r="EP28" s="118" t="n">
        <v>138</v>
      </c>
      <c r="EQ28" s="118" t="n">
        <v>375</v>
      </c>
    </row>
    <row r="29" ht="15.75" customFormat="1" customHeight="1" s="118">
      <c r="A29" s="136" t="inlineStr">
        <is>
          <t>MP1MA020031A</t>
        </is>
      </c>
      <c r="B29" s="118" t="n">
        <v>6160010</v>
      </c>
      <c r="C29" s="133" t="inlineStr">
        <is>
          <t>(喬雅露)芳蜜軟組織注射植入物-Lenisna 200mg(1cc)</t>
        </is>
      </c>
      <c r="D29" s="197" t="n">
        <v>8</v>
      </c>
      <c r="E29" s="198" t="inlineStr">
        <is>
          <t>ml</t>
        </is>
      </c>
      <c r="F29" s="199">
        <f>SUMIF(站前4樓!B:B,B29,站前4樓!F:F)</f>
        <v/>
      </c>
      <c r="G29" s="199">
        <f>SUMIF(站前11樓!B:B,B29,站前11樓!F:F)</f>
        <v/>
      </c>
      <c r="H29" s="199">
        <f>SUMIF(忠孝7樓!B:B,B29,忠孝7樓!G:G)</f>
        <v/>
      </c>
      <c r="I29" s="199">
        <f>SUMIF(忠孝國際醫學3樓!B:B,B29,忠孝國際醫學3樓!G:G)</f>
        <v/>
      </c>
      <c r="J29" s="199">
        <f>SUMIF(忠孝健康7樓!B:B,B29,忠孝健康7樓!G:G)</f>
        <v/>
      </c>
      <c r="K29" s="200" t="n"/>
      <c r="L29" s="200" t="n"/>
      <c r="M29" s="200" t="n"/>
      <c r="N29" s="200" t="n"/>
      <c r="O29" s="200" t="n"/>
      <c r="P29" s="200" t="n"/>
      <c r="Q29" s="200" t="n"/>
      <c r="R29" s="200" t="n"/>
      <c r="S29" s="200" t="n"/>
      <c r="T29" s="200" t="n"/>
      <c r="U29" s="200" t="n"/>
      <c r="V29" s="200" t="n"/>
      <c r="W29" s="200" t="n"/>
      <c r="X29" s="200" t="n"/>
      <c r="Y29" s="200" t="n"/>
      <c r="Z29" s="200" t="n"/>
      <c r="AA29" s="200" t="n"/>
      <c r="AB29" s="200" t="n"/>
      <c r="AC29" s="200" t="n"/>
      <c r="AD29" s="200" t="n"/>
      <c r="AE29" s="200" t="n"/>
      <c r="AF29" s="200" t="n"/>
      <c r="AG29" s="200" t="n"/>
      <c r="AH29" s="200" t="n"/>
      <c r="AI29" s="200" t="n"/>
      <c r="AJ29" s="201" t="n"/>
      <c r="AK29" s="201" t="n"/>
      <c r="AL29" s="201" t="n"/>
      <c r="AM29" s="201" t="n"/>
      <c r="AN29" s="201" t="n"/>
      <c r="AO29" s="201" t="n"/>
      <c r="AP29" s="201" t="n"/>
      <c r="AQ29" s="201" t="n"/>
      <c r="AR29" s="201" t="n"/>
      <c r="AS29" s="201" t="n"/>
      <c r="AT29" s="201" t="n"/>
      <c r="AU29" s="203" t="n"/>
      <c r="AV29" s="204" t="n"/>
      <c r="AW29" s="513" t="n"/>
      <c r="AX29" s="203" t="n"/>
      <c r="AY29" s="203" t="n"/>
      <c r="AZ29" s="203" t="n"/>
      <c r="BA29" s="203" t="n"/>
      <c r="BB29" s="203" t="n"/>
      <c r="BC29" s="203">
        <f>SUMIFS(領用表!$L:$L,領用表!$A:$A,BC$2,領用表!$E:$E,B29)</f>
        <v/>
      </c>
      <c r="BD29" s="206">
        <f>SUMIFS(領用表!$L:$L,領用表!$E:$E,$B29,領用表!$B:$B,BC$2&amp;BD$2)</f>
        <v/>
      </c>
      <c r="BE29" s="206">
        <f>SUMIFS(領用表!$L:$L,領用表!$E:$E,$B29,領用表!$B:$B,$BC$2&amp;BE$2)</f>
        <v/>
      </c>
      <c r="BF29" s="206">
        <f>SUMIFS(領用表!$L:$L,領用表!$E:$E,$B29,領用表!$B:$B,$BC$2&amp;BF$2)</f>
        <v/>
      </c>
      <c r="BG29" s="206">
        <f>SUMIFS(領用表!$L:$L,領用表!$E:$E,$B29,領用表!$B:$B,$BC$2&amp;BG$2)</f>
        <v/>
      </c>
      <c r="BH29" s="203">
        <f>SUMIFS(領用表!$L:$L,領用表!$A:$A,BH$2,領用表!$E:$E,B29)</f>
        <v/>
      </c>
      <c r="BI29" s="206">
        <f>SUMIFS(領用表!$L:$L,領用表!$E:$E,$B29,領用表!$B:$B,BH$2&amp;BI$2)</f>
        <v/>
      </c>
      <c r="BJ29" s="206">
        <f>SUMIFS(領用表!$L:$L,領用表!$E:$E,$B29,領用表!$B:$B,$BH$2&amp;BJ$2)</f>
        <v/>
      </c>
      <c r="BK29" s="206">
        <f>SUMIFS(領用表!$L:$L,領用表!$E:$E,$B29,領用表!$B:$B,$BH$2&amp;BK$2)</f>
        <v/>
      </c>
      <c r="BL29" s="206">
        <f>SUMIFS(領用表!$L:$L,領用表!$E:$E,$B29,領用表!$B:$B,$BH$2&amp;BL$2)</f>
        <v/>
      </c>
      <c r="BM29" s="203">
        <f>SUMIFS(領用表!$L:$L,領用表!$A:$A,BM$2,領用表!$E:$E,B29)</f>
        <v/>
      </c>
      <c r="BN29" s="206">
        <f>SUMIFS(領用表!$L:$L,領用表!$E:$E,$B29,領用表!$B:$B,BM$2&amp;BN$2)</f>
        <v/>
      </c>
      <c r="BO29" s="206">
        <f>SUMIFS(領用表!$L:$L,領用表!$E:$E,$B29,領用表!$B:$B,$BM$2&amp;BO$2)</f>
        <v/>
      </c>
      <c r="BP29" s="206">
        <f>SUMIFS(領用表!$L:$L,領用表!$E:$E,$B29,領用表!$B:$B,$BM$2&amp;BP$2)</f>
        <v/>
      </c>
      <c r="BQ29" s="206">
        <f>SUMIFS(領用表!$L:$L,領用表!$E:$E,$B29,領用表!$B:$B,$BM$2&amp;BQ$2)</f>
        <v/>
      </c>
      <c r="BR29" s="203">
        <f>SUMIFS(領用表!$L:$L,領用表!$A:$A,BR$2,領用表!$E:$E,B29)</f>
        <v/>
      </c>
      <c r="BS29" s="206">
        <f>SUMIFS(領用表!$L:$L,領用表!$E:$E,$B29,領用表!$B:$B,BR$2&amp;BS$2)</f>
        <v/>
      </c>
      <c r="BT29" s="206">
        <f>SUMIFS(領用表!$L:$L,領用表!$E:$E,$B29,領用表!$B:$B,$BR$2&amp;BT$2)</f>
        <v/>
      </c>
      <c r="BU29" s="206">
        <f>SUMIFS(領用表!$L:$L,領用表!$E:$E,$B29,領用表!$B:$B,$BR$2&amp;BU$2)</f>
        <v/>
      </c>
      <c r="BV29" s="206">
        <f>SUMIFS(領用表!$L:$L,領用表!$E:$E,$B29,領用表!$B:$B,$BR$2&amp;BV$2)</f>
        <v/>
      </c>
      <c r="BW29" s="208">
        <f>SUMIFS(領用表!$L:$L,領用表!$A:$A,BW$2,領用表!$E:$E,B29)</f>
        <v/>
      </c>
      <c r="BX29" s="216">
        <f>SUMIFS(領用表!$L:$L,領用表!$E:$E,$B29,領用表!$B:$B,BW$2&amp;BX$2)</f>
        <v/>
      </c>
      <c r="BY29" s="216">
        <f>SUMIFS(領用表!$L:$L,領用表!$E:$E,$B29,領用表!$B:$B,$BW$2&amp;BY$2)</f>
        <v/>
      </c>
      <c r="BZ29" s="216">
        <f>SUMIFS(領用表!$L:$L,領用表!$E:$E,$B29,領用表!$B:$B,$BW$2&amp;BZ$2)</f>
        <v/>
      </c>
      <c r="CA29" s="216">
        <f>SUMIFS(領用表!$L:$L,領用表!$E:$E,$B29,領用表!$B:$B,$BW$2&amp;CA$2)</f>
        <v/>
      </c>
      <c r="CB29" s="208">
        <f>SUMIFS(領用表!$L:$L,領用表!$A:$A,CB$2,領用表!$E:$E,B29)</f>
        <v/>
      </c>
      <c r="CC29" s="216">
        <f>SUMIFS(領用表!$L:$L,領用表!$E:$E,$B29,領用表!$B:$B,CB$2&amp;CC$2)</f>
        <v/>
      </c>
      <c r="CD29" s="216">
        <f>SUMIFS(領用表!$L:$L,領用表!$E:$E,$B29,領用表!$B:$B,$CB$2&amp;CD$2)</f>
        <v/>
      </c>
      <c r="CE29" s="216">
        <f>SUMIFS(領用表!$L:$L,領用表!$E:$E,$B29,領用表!$B:$B,$CB$2&amp;CE$2)</f>
        <v/>
      </c>
      <c r="CF29" s="216">
        <f>SUMIFS(領用表!$L:$L,領用表!$E:$E,$B29,領用表!$B:$B,$CB$2&amp;CF$2)</f>
        <v/>
      </c>
      <c r="CG29" s="217">
        <f>SUMIFS(領用表!$L:$L,領用表!$A:$A,CG$2,領用表!$E:$E,B29)</f>
        <v/>
      </c>
      <c r="CH29" s="216">
        <f>SUMIFS(領用表!$L:$L,領用表!$E:$E,$B29,領用表!$B:$B,CG$2&amp;CH$2)</f>
        <v/>
      </c>
      <c r="CI29" s="216">
        <f>SUMIFS(領用表!$L:$L,領用表!$E:$E,$B29,領用表!$B:$B,CG$2&amp;CI$2)</f>
        <v/>
      </c>
      <c r="CJ29" s="216">
        <f>SUMIFS(領用表!$L:$L,領用表!$E:$E,$B29,領用表!$B:$B,CG$2&amp;CJ$2)</f>
        <v/>
      </c>
      <c r="CK29" s="216">
        <f>SUMIFS(領用表!$L:$L,領用表!$E:$E,$B29,領用表!$B:$B,$CG$2&amp;CK$2)</f>
        <v/>
      </c>
      <c r="CL29" s="207">
        <f>SUM(AX29,AY29,AZ29,BA29,BB29,BC29,BH29,BM29,BR29,BW29,CB29,CG29)</f>
        <v/>
      </c>
      <c r="CM29" s="207">
        <f>AVERAGE(AX29,AY29,AZ29,BA29,BB29,BC29,BH29,BM29,BR29,BW29,CB29,CG29)</f>
        <v/>
      </c>
      <c r="CN29" s="217">
        <f>SUMIFS(領用表!$L:$L,領用表!$A:$A,CN$2,領用表!$E:$E,B29)</f>
        <v/>
      </c>
      <c r="CO29" s="216">
        <f>SUMIFS(領用表!$L:$L,領用表!$E:$E,$B29,領用表!$B:$B,CN$2&amp;CO$2)</f>
        <v/>
      </c>
      <c r="CP29" s="216">
        <f>SUMIFS(領用表!$L:$L,領用表!$E:$E,$B29,領用表!$B:$B,$CN$2&amp;CP$2)</f>
        <v/>
      </c>
      <c r="CQ29" s="216">
        <f>SUMIFS(領用表!$L:$L,領用表!$E:$E,$B29,領用表!$B:$B,$CN$2&amp;CQ$2)</f>
        <v/>
      </c>
      <c r="CR29" s="216">
        <f>SUMIFS(領用表!$L:$L,領用表!$E:$E,$B29,領用表!$B:$B,$CN$2&amp;CR$2)</f>
        <v/>
      </c>
      <c r="CS29" s="208">
        <f>SUMIFS(領用表!$L:$L,領用表!$A:$A,CS$2,領用表!$E:$E,B29)</f>
        <v/>
      </c>
      <c r="CT29" s="216">
        <f>SUMIFS(領用表!$L:$L,領用表!$E:$E,$B29,領用表!$B:$B,CS$2&amp;CT$2)</f>
        <v/>
      </c>
      <c r="CU29" s="216">
        <f>SUMIFS(領用表!$L:$L,領用表!$E:$E,$B29,領用表!$B:$B,$CS$2&amp;CU$2)</f>
        <v/>
      </c>
      <c r="CV29" s="216">
        <f>SUMIFS(領用表!$L:$L,領用表!$E:$E,$B29,領用表!$B:$B,$CS$2&amp;CV$2)</f>
        <v/>
      </c>
      <c r="CW29" s="216">
        <f>SUMIFS(領用表!$L:$L,領用表!$E:$E,$B29,領用表!$B:$B,$CS$2&amp;CW$2)</f>
        <v/>
      </c>
      <c r="CX29" s="216">
        <f>SUMIFS(領用表!$L:$L,領用表!$E:$E,$B29,領用表!$B:$B,$CS$2&amp;CX$2)</f>
        <v/>
      </c>
      <c r="CY29" s="208">
        <f>SUMIFS(領用表!$L:$L,領用表!$A:$A,CY$2,領用表!$E:$E,B29)</f>
        <v/>
      </c>
      <c r="CZ29" s="216">
        <f>SUMIFS(領用表!$L:$L,領用表!$E:$E,$B29,領用表!$B:$B,CY$2&amp;CZ$2)</f>
        <v/>
      </c>
      <c r="DA29" s="216">
        <f>SUMIFS(領用表!$L:$L,領用表!$E:$E,$B29,領用表!$B:$B,$CY$2&amp;DA$2)</f>
        <v/>
      </c>
      <c r="DB29" s="216">
        <f>SUMIFS(領用表!$L:$L,領用表!$E:$E,$B29,領用表!$B:$B,$CY$2&amp;DB$2)</f>
        <v/>
      </c>
      <c r="DC29" s="216">
        <f>SUMIFS(領用表!$L:$L,領用表!$E:$E,$B29,領用表!$B:$B,$CY$2&amp;DC$2)</f>
        <v/>
      </c>
      <c r="DD29" s="216">
        <f>SUMIFS(領用表!$L:$L,領用表!$E:$E,$B29,領用表!$B:$B,$CY$2&amp;DD$2)</f>
        <v/>
      </c>
      <c r="DE29" s="208">
        <f>SUMIFS(領用表!$L:$L,領用表!$A:$A,DE$2,領用表!$E:$E,B29)</f>
        <v/>
      </c>
      <c r="DF29" s="216">
        <f>SUMIFS(領用表!$L:$L,領用表!$E:$E,$B29,領用表!$B:$B,DE$2&amp;DF$2)</f>
        <v/>
      </c>
      <c r="DG29" s="216">
        <f>SUMIFS(領用表!$L:$L,領用表!$E:$E,$B29,領用表!$B:$B,$DE$2&amp;DG$2)</f>
        <v/>
      </c>
      <c r="DH29" s="216">
        <f>SUMIFS(領用表!$L:$L,領用表!$E:$E,$B29,領用表!$B:$B,$DE$2&amp;DH$2)</f>
        <v/>
      </c>
      <c r="DI29" s="216">
        <f>SUMIFS(領用表!$L:$L,領用表!$E:$E,$B29,領用表!$B:$B,$DE$2&amp;DI$2)</f>
        <v/>
      </c>
      <c r="DJ29" s="216">
        <f>SUMIFS(領用表!$L:$L,領用表!$E:$E,$B29,領用表!$B:$B,$DE$2&amp;DJ$2)</f>
        <v/>
      </c>
      <c r="DK29" s="208">
        <f>SUMIFS(領用表!$L:$L,領用表!$A:$A,DK$2,領用表!$E:$E,$B29)</f>
        <v/>
      </c>
      <c r="DL29" s="216">
        <f>SUMIFS(領用表!$L:$L,領用表!$E:$E,$B29,領用表!$B:$B,DK$2&amp;DL$2)</f>
        <v/>
      </c>
      <c r="DM29" s="216">
        <f>SUMIFS(領用表!$L:$L,領用表!$E:$E,$B29,領用表!$B:$B,$DK$2&amp;DM$2)</f>
        <v/>
      </c>
      <c r="DN29" s="216">
        <f>SUMIFS(領用表!$L:$L,領用表!$E:$E,$B29,領用表!$B:$B,$DK$2&amp;DN$2)</f>
        <v/>
      </c>
      <c r="DO29" s="216">
        <f>SUMIFS(領用表!$L:$L,領用表!$E:$E,$B29,領用表!$B:$B,$DK$2&amp;DO$2)</f>
        <v/>
      </c>
      <c r="DP29" s="216">
        <f>SUMIFS(領用表!$L:$L,領用表!$E:$E,$B29,領用表!$B:$B,$DK$2&amp;DP$2)</f>
        <v/>
      </c>
      <c r="DQ29" s="208" t="n">
        <v>22</v>
      </c>
      <c r="DR29" s="216" t="n"/>
      <c r="DS29" s="216" t="n"/>
      <c r="DT29" s="216" t="n">
        <v>22</v>
      </c>
      <c r="DU29" s="216" t="n"/>
      <c r="DV29" s="216" t="n"/>
      <c r="DW29" s="216">
        <f>SUM(CN29,CS29,CY29,DE29,DK29,DQ29)</f>
        <v/>
      </c>
      <c r="DX29" s="216">
        <f>AVERAGEA(CN29,CS29,CY29,DE29,DK29,DQ29)</f>
        <v/>
      </c>
      <c r="DY29" s="216">
        <f>SUM(DZ29:EC29)</f>
        <v/>
      </c>
      <c r="DZ29" s="216" t="n">
        <v>60</v>
      </c>
      <c r="EA29" s="216" t="n">
        <v>0</v>
      </c>
      <c r="EB29" s="216" t="n">
        <v>140</v>
      </c>
      <c r="EC29" s="216" t="n">
        <v>0</v>
      </c>
      <c r="ED29" s="215" t="n">
        <v>320</v>
      </c>
      <c r="EE29" s="515" t="n"/>
      <c r="EF29" s="211" t="n"/>
      <c r="EG29" s="211" t="inlineStr">
        <is>
          <t>10瓶(10/21)</t>
        </is>
      </c>
      <c r="EH29" s="136" t="inlineStr">
        <is>
          <t>叫貨單位「盒(10瓶)」</t>
        </is>
      </c>
      <c r="EI29" s="212" t="n"/>
      <c r="EJ29" s="118">
        <f>IFERROR(VLOOKUP(A29,站前4樓!A:BF,57,0),0)</f>
        <v/>
      </c>
      <c r="EK29" s="213">
        <f>IFERROR(VLOOKUP(A29,站前11樓!A:BE,57,0),0)</f>
        <v/>
      </c>
      <c r="EL29" s="118">
        <f>IFERROR(VLOOKUP(A29,忠孝7樓!A:N,57,0),0)</f>
        <v/>
      </c>
      <c r="EM29" s="118">
        <f>IFERROR(VLOOKUP(A29,忠孝國際醫學3樓!A:L,57,0),0)</f>
        <v/>
      </c>
      <c r="EN29" s="118">
        <f>SUM(ED29:EG29)</f>
        <v/>
      </c>
      <c r="EP29" s="118" t="n">
        <v>104</v>
      </c>
      <c r="EQ29" s="118" t="n">
        <v>128</v>
      </c>
    </row>
    <row r="30" ht="15.75" customFormat="1" customHeight="1" s="118">
      <c r="A30" s="136" t="inlineStr">
        <is>
          <t>MP1MX080004A</t>
        </is>
      </c>
      <c r="B30" s="118" t="n">
        <v>6190002</v>
      </c>
      <c r="C30" s="118" t="inlineStr">
        <is>
          <t>PLT生長因子凍晶製備6入(單瓶)</t>
        </is>
      </c>
      <c r="D30" s="197" t="n">
        <v>6</v>
      </c>
      <c r="E30" s="198" t="inlineStr">
        <is>
          <t>BOT</t>
        </is>
      </c>
      <c r="F30" s="199">
        <f>SUMIF(站前4樓!B:B,B30,站前4樓!F:F)</f>
        <v/>
      </c>
      <c r="G30" s="199">
        <f>SUMIF(站前11樓!B:B,B30,站前11樓!F:F)</f>
        <v/>
      </c>
      <c r="H30" s="199">
        <f>SUMIF(忠孝7樓!B:B,B30,忠孝7樓!G:G)</f>
        <v/>
      </c>
      <c r="I30" s="199">
        <f>SUMIF(忠孝國際醫學3樓!B:B,B30,忠孝國際醫學3樓!G:G)</f>
        <v/>
      </c>
      <c r="J30" s="199">
        <f>SUMIF(忠孝健康7樓!B:B,B30,忠孝健康7樓!G:G)</f>
        <v/>
      </c>
      <c r="K30" s="200" t="n"/>
      <c r="L30" s="200" t="n"/>
      <c r="M30" s="200" t="n"/>
      <c r="N30" s="200" t="n"/>
      <c r="O30" s="200" t="n"/>
      <c r="P30" s="200" t="n"/>
      <c r="Q30" s="200" t="n"/>
      <c r="R30" s="200" t="n"/>
      <c r="S30" s="200" t="n"/>
      <c r="T30" s="200" t="n"/>
      <c r="U30" s="200" t="n"/>
      <c r="V30" s="200" t="n"/>
      <c r="W30" s="200" t="n"/>
      <c r="X30" s="200" t="n"/>
      <c r="Y30" s="200" t="n"/>
      <c r="Z30" s="200" t="n"/>
      <c r="AA30" s="200" t="n"/>
      <c r="AB30" s="200" t="n"/>
      <c r="AC30" s="200" t="n"/>
      <c r="AD30" s="200" t="n"/>
      <c r="AE30" s="200" t="n"/>
      <c r="AF30" s="200" t="n"/>
      <c r="AG30" s="200" t="n"/>
      <c r="AH30" s="200" t="n"/>
      <c r="AI30" s="200" t="n"/>
      <c r="AJ30" s="201" t="n">
        <v>0</v>
      </c>
      <c r="AK30" s="201" t="n">
        <v>0</v>
      </c>
      <c r="AL30" s="201" t="n">
        <v>0</v>
      </c>
      <c r="AM30" s="201" t="n">
        <v>2</v>
      </c>
      <c r="AN30" s="201" t="n">
        <v>1</v>
      </c>
      <c r="AO30" s="201" t="n">
        <v>0</v>
      </c>
      <c r="AP30" s="201" t="n">
        <v>3</v>
      </c>
      <c r="AQ30" s="201" t="n">
        <v>1</v>
      </c>
      <c r="AR30" s="201" t="n">
        <v>0</v>
      </c>
      <c r="AS30" s="201" t="n">
        <v>0</v>
      </c>
      <c r="AT30" s="201" t="n">
        <v>1</v>
      </c>
      <c r="AU30" s="203">
        <f>36/D30</f>
        <v/>
      </c>
      <c r="AV30" s="204">
        <f>SUM(AJ30:AU30)</f>
        <v/>
      </c>
      <c r="AW30" s="513">
        <f>AV30/12</f>
        <v/>
      </c>
      <c r="AX30" s="203" t="n">
        <v>36</v>
      </c>
      <c r="AY30" s="203" t="n">
        <v>0</v>
      </c>
      <c r="AZ30" s="203" t="n">
        <v>2</v>
      </c>
      <c r="BA30" s="203" t="n">
        <v>2</v>
      </c>
      <c r="BB30" s="203" t="n">
        <v>0</v>
      </c>
      <c r="BC30" s="203">
        <f>SUMIFS(領用表!$L:$L,領用表!$A:$A,BC$2,領用表!$E:$E,B30)</f>
        <v/>
      </c>
      <c r="BD30" s="206">
        <f>SUMIFS(領用表!$L:$L,領用表!$E:$E,$B30,領用表!$B:$B,BC$2&amp;BD$2)</f>
        <v/>
      </c>
      <c r="BE30" s="206">
        <f>SUMIFS(領用表!$L:$L,領用表!$E:$E,$B30,領用表!$B:$B,$BC$2&amp;BE$2)</f>
        <v/>
      </c>
      <c r="BF30" s="206">
        <f>SUMIFS(領用表!$L:$L,領用表!$E:$E,$B30,領用表!$B:$B,$BC$2&amp;BF$2)</f>
        <v/>
      </c>
      <c r="BG30" s="206">
        <f>SUMIFS(領用表!$L:$L,領用表!$E:$E,$B30,領用表!$B:$B,$BC$2&amp;BG$2)</f>
        <v/>
      </c>
      <c r="BH30" s="203">
        <f>SUMIFS(領用表!$L:$L,領用表!$A:$A,BH$2,領用表!$E:$E,B30)</f>
        <v/>
      </c>
      <c r="BI30" s="206">
        <f>SUMIFS(領用表!$L:$L,領用表!$E:$E,$B30,領用表!$B:$B,BH$2&amp;BI$2)</f>
        <v/>
      </c>
      <c r="BJ30" s="206">
        <f>SUMIFS(領用表!$L:$L,領用表!$E:$E,$B30,領用表!$B:$B,$BH$2&amp;BJ$2)</f>
        <v/>
      </c>
      <c r="BK30" s="206">
        <f>SUMIFS(領用表!$L:$L,領用表!$E:$E,$B30,領用表!$B:$B,$BH$2&amp;BK$2)</f>
        <v/>
      </c>
      <c r="BL30" s="206">
        <f>SUMIFS(領用表!$L:$L,領用表!$E:$E,$B30,領用表!$B:$B,$BH$2&amp;BL$2)</f>
        <v/>
      </c>
      <c r="BM30" s="203">
        <f>SUMIFS(領用表!$L:$L,領用表!$A:$A,BM$2,領用表!$E:$E,B30)</f>
        <v/>
      </c>
      <c r="BN30" s="206">
        <f>SUMIFS(領用表!$L:$L,領用表!$E:$E,$B30,領用表!$B:$B,BM$2&amp;BN$2)</f>
        <v/>
      </c>
      <c r="BO30" s="206">
        <f>SUMIFS(領用表!$L:$L,領用表!$E:$E,$B30,領用表!$B:$B,$BM$2&amp;BO$2)</f>
        <v/>
      </c>
      <c r="BP30" s="206">
        <f>SUMIFS(領用表!$L:$L,領用表!$E:$E,$B30,領用表!$B:$B,$BM$2&amp;BP$2)</f>
        <v/>
      </c>
      <c r="BQ30" s="206">
        <f>SUMIFS(領用表!$L:$L,領用表!$E:$E,$B30,領用表!$B:$B,$BM$2&amp;BQ$2)</f>
        <v/>
      </c>
      <c r="BR30" s="203">
        <f>SUMIFS(領用表!$L:$L,領用表!$A:$A,BR$2,領用表!$E:$E,B30)</f>
        <v/>
      </c>
      <c r="BS30" s="206">
        <f>SUMIFS(領用表!$L:$L,領用表!$E:$E,$B30,領用表!$B:$B,BR$2&amp;BS$2)</f>
        <v/>
      </c>
      <c r="BT30" s="206">
        <f>SUMIFS(領用表!$L:$L,領用表!$E:$E,$B30,領用表!$B:$B,$BR$2&amp;BT$2)</f>
        <v/>
      </c>
      <c r="BU30" s="206">
        <f>SUMIFS(領用表!$L:$L,領用表!$E:$E,$B30,領用表!$B:$B,$BR$2&amp;BU$2)</f>
        <v/>
      </c>
      <c r="BV30" s="206">
        <f>SUMIFS(領用表!$L:$L,領用表!$E:$E,$B30,領用表!$B:$B,$BR$2&amp;BV$2)</f>
        <v/>
      </c>
      <c r="BW30" s="208">
        <f>SUMIFS(領用表!$L:$L,領用表!$A:$A,BW$2,領用表!$E:$E,B30)</f>
        <v/>
      </c>
      <c r="BX30" s="216">
        <f>SUMIFS(領用表!$L:$L,領用表!$E:$E,$B30,領用表!$B:$B,BW$2&amp;BX$2)</f>
        <v/>
      </c>
      <c r="BY30" s="216">
        <f>SUMIFS(領用表!$L:$L,領用表!$E:$E,$B30,領用表!$B:$B,$BW$2&amp;BY$2)</f>
        <v/>
      </c>
      <c r="BZ30" s="216">
        <f>SUMIFS(領用表!$L:$L,領用表!$E:$E,$B30,領用表!$B:$B,$BW$2&amp;BZ$2)</f>
        <v/>
      </c>
      <c r="CA30" s="216">
        <f>SUMIFS(領用表!$L:$L,領用表!$E:$E,$B30,領用表!$B:$B,$BW$2&amp;CA$2)</f>
        <v/>
      </c>
      <c r="CB30" s="208">
        <f>SUMIFS(領用表!$L:$L,領用表!$A:$A,CB$2,領用表!$E:$E,B30)</f>
        <v/>
      </c>
      <c r="CC30" s="216">
        <f>SUMIFS(領用表!$L:$L,領用表!$E:$E,$B30,領用表!$B:$B,CB$2&amp;CC$2)</f>
        <v/>
      </c>
      <c r="CD30" s="216">
        <f>SUMIFS(領用表!$L:$L,領用表!$E:$E,$B30,領用表!$B:$B,$CB$2&amp;CD$2)</f>
        <v/>
      </c>
      <c r="CE30" s="216">
        <f>SUMIFS(領用表!$L:$L,領用表!$E:$E,$B30,領用表!$B:$B,$CB$2&amp;CE$2)</f>
        <v/>
      </c>
      <c r="CF30" s="216">
        <f>SUMIFS(領用表!$L:$L,領用表!$E:$E,$B30,領用表!$B:$B,$CB$2&amp;CF$2)</f>
        <v/>
      </c>
      <c r="CG30" s="217">
        <f>SUMIFS(領用表!$L:$L,領用表!$A:$A,CG$2,領用表!$E:$E,B30)</f>
        <v/>
      </c>
      <c r="CH30" s="216">
        <f>SUMIFS(領用表!$L:$L,領用表!$E:$E,$B30,領用表!$B:$B,CG$2&amp;CH$2)</f>
        <v/>
      </c>
      <c r="CI30" s="216">
        <f>SUMIFS(領用表!$L:$L,領用表!$E:$E,$B30,領用表!$B:$B,CG$2&amp;CI$2)</f>
        <v/>
      </c>
      <c r="CJ30" s="216">
        <f>SUMIFS(領用表!$L:$L,領用表!$E:$E,$B30,領用表!$B:$B,CG$2&amp;CJ$2)</f>
        <v/>
      </c>
      <c r="CK30" s="216">
        <f>SUMIFS(領用表!$L:$L,領用表!$E:$E,$B30,領用表!$B:$B,$CG$2&amp;CK$2)</f>
        <v/>
      </c>
      <c r="CL30" s="207">
        <f>SUM(AX30,AY30,AZ30,BA30,BB30,BC30,BH30,BM30,BR30,BW30,CB30,CG30)</f>
        <v/>
      </c>
      <c r="CM30" s="207">
        <f>AVERAGE(AX30,AY30,AZ30,BA30,BB30,BC30,BH30,BM30,BR30,BW30,CB30,CG30)</f>
        <v/>
      </c>
      <c r="CN30" s="217">
        <f>SUMIFS(領用表!$L:$L,領用表!$A:$A,CN$2,領用表!$E:$E,B30)</f>
        <v/>
      </c>
      <c r="CO30" s="216">
        <f>SUMIFS(領用表!$L:$L,領用表!$E:$E,$B30,領用表!$B:$B,CN$2&amp;CO$2)</f>
        <v/>
      </c>
      <c r="CP30" s="216">
        <f>SUMIFS(領用表!$L:$L,領用表!$E:$E,$B30,領用表!$B:$B,$CN$2&amp;CP$2)</f>
        <v/>
      </c>
      <c r="CQ30" s="216">
        <f>SUMIFS(領用表!$L:$L,領用表!$E:$E,$B30,領用表!$B:$B,$CN$2&amp;CQ$2)</f>
        <v/>
      </c>
      <c r="CR30" s="216">
        <f>SUMIFS(領用表!$L:$L,領用表!$E:$E,$B30,領用表!$B:$B,$CN$2&amp;CR$2)</f>
        <v/>
      </c>
      <c r="CS30" s="208">
        <f>SUMIFS(領用表!$L:$L,領用表!$A:$A,CS$2,領用表!$E:$E,B30)</f>
        <v/>
      </c>
      <c r="CT30" s="216">
        <f>SUMIFS(領用表!$L:$L,領用表!$E:$E,$B30,領用表!$B:$B,CS$2&amp;CT$2)</f>
        <v/>
      </c>
      <c r="CU30" s="216">
        <f>SUMIFS(領用表!$L:$L,領用表!$E:$E,$B30,領用表!$B:$B,$CS$2&amp;CU$2)</f>
        <v/>
      </c>
      <c r="CV30" s="216">
        <f>SUMIFS(領用表!$L:$L,領用表!$E:$E,$B30,領用表!$B:$B,$CS$2&amp;CV$2)</f>
        <v/>
      </c>
      <c r="CW30" s="216">
        <f>SUMIFS(領用表!$L:$L,領用表!$E:$E,$B30,領用表!$B:$B,$CS$2&amp;CW$2)</f>
        <v/>
      </c>
      <c r="CX30" s="216">
        <f>SUMIFS(領用表!$L:$L,領用表!$E:$E,$B30,領用表!$B:$B,$CS$2&amp;CX$2)</f>
        <v/>
      </c>
      <c r="CY30" s="208">
        <f>SUMIFS(領用表!$L:$L,領用表!$A:$A,CY$2,領用表!$E:$E,B30)</f>
        <v/>
      </c>
      <c r="CZ30" s="216">
        <f>SUMIFS(領用表!$L:$L,領用表!$E:$E,$B30,領用表!$B:$B,CY$2&amp;CZ$2)</f>
        <v/>
      </c>
      <c r="DA30" s="216">
        <f>SUMIFS(領用表!$L:$L,領用表!$E:$E,$B30,領用表!$B:$B,$CY$2&amp;DA$2)</f>
        <v/>
      </c>
      <c r="DB30" s="216">
        <f>SUMIFS(領用表!$L:$L,領用表!$E:$E,$B30,領用表!$B:$B,$CY$2&amp;DB$2)</f>
        <v/>
      </c>
      <c r="DC30" s="216">
        <f>SUMIFS(領用表!$L:$L,領用表!$E:$E,$B30,領用表!$B:$B,$CY$2&amp;DC$2)</f>
        <v/>
      </c>
      <c r="DD30" s="216">
        <f>SUMIFS(領用表!$L:$L,領用表!$E:$E,$B30,領用表!$B:$B,$CY$2&amp;DD$2)</f>
        <v/>
      </c>
      <c r="DE30" s="208">
        <f>SUMIFS(領用表!$L:$L,領用表!$A:$A,DE$2,領用表!$E:$E,B30)</f>
        <v/>
      </c>
      <c r="DF30" s="216">
        <f>SUMIFS(領用表!$L:$L,領用表!$E:$E,$B30,領用表!$B:$B,DE$2&amp;DF$2)</f>
        <v/>
      </c>
      <c r="DG30" s="216">
        <f>SUMIFS(領用表!$L:$L,領用表!$E:$E,$B30,領用表!$B:$B,$DE$2&amp;DG$2)</f>
        <v/>
      </c>
      <c r="DH30" s="216">
        <f>SUMIFS(領用表!$L:$L,領用表!$E:$E,$B30,領用表!$B:$B,$DE$2&amp;DH$2)</f>
        <v/>
      </c>
      <c r="DI30" s="216">
        <f>SUMIFS(領用表!$L:$L,領用表!$E:$E,$B30,領用表!$B:$B,$DE$2&amp;DI$2)</f>
        <v/>
      </c>
      <c r="DJ30" s="216">
        <f>SUMIFS(領用表!$L:$L,領用表!$E:$E,$B30,領用表!$B:$B,$DE$2&amp;DJ$2)</f>
        <v/>
      </c>
      <c r="DK30" s="208">
        <f>SUMIFS(領用表!$L:$L,領用表!$A:$A,DK$2,領用表!$E:$E,$B30)</f>
        <v/>
      </c>
      <c r="DL30" s="216">
        <f>SUMIFS(領用表!$L:$L,領用表!$E:$E,$B30,領用表!$B:$B,DK$2&amp;DL$2)</f>
        <v/>
      </c>
      <c r="DM30" s="216">
        <f>SUMIFS(領用表!$L:$L,領用表!$E:$E,$B30,領用表!$B:$B,$DK$2&amp;DM$2)</f>
        <v/>
      </c>
      <c r="DN30" s="216">
        <f>SUMIFS(領用表!$L:$L,領用表!$E:$E,$B30,領用表!$B:$B,$DK$2&amp;DN$2)</f>
        <v/>
      </c>
      <c r="DO30" s="216">
        <f>SUMIFS(領用表!$L:$L,領用表!$E:$E,$B30,領用表!$B:$B,$DK$2&amp;DO$2)</f>
        <v/>
      </c>
      <c r="DP30" s="216">
        <f>SUMIFS(領用表!$L:$L,領用表!$E:$E,$B30,領用表!$B:$B,$DK$2&amp;DP$2)</f>
        <v/>
      </c>
      <c r="DQ30" s="208" t="n"/>
      <c r="DR30" s="216" t="n"/>
      <c r="DS30" s="216" t="n"/>
      <c r="DT30" s="216" t="n"/>
      <c r="DU30" s="216" t="n"/>
      <c r="DV30" s="216" t="n"/>
      <c r="DW30" s="216">
        <f>SUM(CN30,CS30,CY30,DE30,DK30,DQ30)</f>
        <v/>
      </c>
      <c r="DX30" s="216">
        <f>AVERAGEA(CN30,CS30,CY30,DE30,DK30,DQ30)</f>
        <v/>
      </c>
      <c r="DY30" s="216">
        <f>SUM(DZ30:EC30)</f>
        <v/>
      </c>
      <c r="DZ30" s="216" t="n">
        <v>3</v>
      </c>
      <c r="EA30" s="216" t="n">
        <v>0</v>
      </c>
      <c r="EB30" s="216" t="n">
        <v>5</v>
      </c>
      <c r="EC30" s="216" t="n">
        <v>0</v>
      </c>
      <c r="ED30" s="215" t="n">
        <v>0</v>
      </c>
      <c r="EE30" s="210" t="n">
        <v>0</v>
      </c>
      <c r="EF30" s="211" t="n"/>
      <c r="EG30" s="211" t="n"/>
      <c r="EH30" s="136" t="n"/>
      <c r="EI30" s="212" t="n"/>
      <c r="EJ30" s="118">
        <f>IFERROR(VLOOKUP(A30,站前4樓!A:BF,57,0),0)</f>
        <v/>
      </c>
      <c r="EK30" s="213">
        <f>IFERROR(VLOOKUP(A30,站前11樓!A:BE,57,0),0)</f>
        <v/>
      </c>
      <c r="EL30" s="118">
        <f>IFERROR(VLOOKUP(A30,忠孝7樓!A:N,57,0),0)</f>
        <v/>
      </c>
      <c r="EM30" s="118">
        <f>IFERROR(VLOOKUP(A30,忠孝國際醫學3樓!A:L,57,0),0)</f>
        <v/>
      </c>
      <c r="EN30" s="118">
        <f>SUM(ED30:EG30)</f>
        <v/>
      </c>
      <c r="EP30" s="118" t="n">
        <v>22</v>
      </c>
      <c r="EQ30" s="118" t="n">
        <v>11</v>
      </c>
    </row>
    <row r="31" ht="15.75" customFormat="1" customHeight="1" s="118">
      <c r="A31" s="136" t="inlineStr">
        <is>
          <t>MP1MX080005A</t>
        </is>
      </c>
      <c r="B31" s="118" t="n">
        <v>6190003</v>
      </c>
      <c r="C31" s="118" t="inlineStr">
        <is>
          <t>PLT生長因子凍晶製備10入(單瓶)</t>
        </is>
      </c>
      <c r="D31" s="197" t="n">
        <v>10</v>
      </c>
      <c r="E31" s="198" t="inlineStr">
        <is>
          <t>BOT</t>
        </is>
      </c>
      <c r="F31" s="227">
        <f>SUMIF(站前4樓!B:B,B31,站前4樓!F:F)</f>
        <v/>
      </c>
      <c r="G31" s="227">
        <f>SUMIF(站前11樓!B:B,B31,站前11樓!F:F)</f>
        <v/>
      </c>
      <c r="H31" s="227">
        <f>SUMIF(忠孝7樓!B:B,B31,忠孝7樓!G:G)</f>
        <v/>
      </c>
      <c r="I31" s="227">
        <f>SUMIF(忠孝國際醫學3樓!B:B,B31,忠孝國際醫學3樓!G:G)</f>
        <v/>
      </c>
      <c r="J31" s="227">
        <f>SUMIF(忠孝健康7樓!B:B,B31,忠孝健康7樓!G:G)</f>
        <v/>
      </c>
      <c r="K31" s="200" t="n"/>
      <c r="L31" s="200" t="n"/>
      <c r="M31" s="200" t="n"/>
      <c r="N31" s="200" t="n"/>
      <c r="O31" s="200" t="n"/>
      <c r="P31" s="200" t="n"/>
      <c r="Q31" s="200" t="n"/>
      <c r="R31" s="200" t="n"/>
      <c r="S31" s="200" t="n"/>
      <c r="T31" s="200" t="n"/>
      <c r="U31" s="200" t="n"/>
      <c r="V31" s="200" t="n"/>
      <c r="W31" s="200" t="n"/>
      <c r="X31" s="200" t="n"/>
      <c r="Y31" s="200" t="n"/>
      <c r="Z31" s="200" t="n"/>
      <c r="AA31" s="200" t="n"/>
      <c r="AB31" s="200" t="n"/>
      <c r="AC31" s="200" t="n"/>
      <c r="AD31" s="200" t="n"/>
      <c r="AE31" s="200" t="n"/>
      <c r="AF31" s="200" t="n"/>
      <c r="AG31" s="200" t="n"/>
      <c r="AH31" s="200" t="n"/>
      <c r="AI31" s="200" t="n"/>
      <c r="AJ31" s="201" t="n">
        <v>0</v>
      </c>
      <c r="AK31" s="201" t="n">
        <v>0</v>
      </c>
      <c r="AL31" s="201" t="n">
        <v>0</v>
      </c>
      <c r="AM31" s="201" t="n">
        <v>1</v>
      </c>
      <c r="AN31" s="201" t="n">
        <v>0</v>
      </c>
      <c r="AO31" s="201" t="n">
        <v>0</v>
      </c>
      <c r="AP31" s="201" t="n">
        <v>7</v>
      </c>
      <c r="AQ31" s="201" t="n">
        <v>5</v>
      </c>
      <c r="AR31" s="201" t="n">
        <v>1</v>
      </c>
      <c r="AS31" s="201" t="n">
        <v>0</v>
      </c>
      <c r="AT31" s="201" t="n">
        <v>0</v>
      </c>
      <c r="AU31" s="203">
        <f>10/D31</f>
        <v/>
      </c>
      <c r="AV31" s="204">
        <f>SUM(AJ31:AU31)</f>
        <v/>
      </c>
      <c r="AW31" s="513">
        <f>AV31/12</f>
        <v/>
      </c>
      <c r="AX31" s="203" t="n">
        <v>10</v>
      </c>
      <c r="AY31" s="203" t="n">
        <v>20</v>
      </c>
      <c r="AZ31" s="203" t="n">
        <v>12</v>
      </c>
      <c r="BA31" s="203" t="n">
        <v>2</v>
      </c>
      <c r="BB31" s="203" t="n">
        <v>4</v>
      </c>
      <c r="BC31" s="203">
        <f>SUMIFS(領用表!$L:$L,領用表!$A:$A,BC$2,領用表!$E:$E,B31)</f>
        <v/>
      </c>
      <c r="BD31" s="206">
        <f>SUMIFS(領用表!$L:$L,領用表!$E:$E,$B31,領用表!$B:$B,BC$2&amp;BD$2)</f>
        <v/>
      </c>
      <c r="BE31" s="206">
        <f>SUMIFS(領用表!$L:$L,領用表!$E:$E,$B31,領用表!$B:$B,$BC$2&amp;BE$2)</f>
        <v/>
      </c>
      <c r="BF31" s="206">
        <f>SUMIFS(領用表!$L:$L,領用表!$E:$E,$B31,領用表!$B:$B,$BC$2&amp;BF$2)</f>
        <v/>
      </c>
      <c r="BG31" s="206">
        <f>SUMIFS(領用表!$L:$L,領用表!$E:$E,$B31,領用表!$B:$B,$BC$2&amp;BG$2)</f>
        <v/>
      </c>
      <c r="BH31" s="203">
        <f>SUMIFS(領用表!$L:$L,領用表!$A:$A,BH$2,領用表!$E:$E,B31)</f>
        <v/>
      </c>
      <c r="BI31" s="206">
        <f>SUMIFS(領用表!$L:$L,領用表!$E:$E,$B31,領用表!$B:$B,BH$2&amp;BI$2)</f>
        <v/>
      </c>
      <c r="BJ31" s="206">
        <f>SUMIFS(領用表!$L:$L,領用表!$E:$E,$B31,領用表!$B:$B,$BH$2&amp;BJ$2)</f>
        <v/>
      </c>
      <c r="BK31" s="206">
        <f>SUMIFS(領用表!$L:$L,領用表!$E:$E,$B31,領用表!$B:$B,$BH$2&amp;BK$2)</f>
        <v/>
      </c>
      <c r="BL31" s="206">
        <f>SUMIFS(領用表!$L:$L,領用表!$E:$E,$B31,領用表!$B:$B,$BH$2&amp;BL$2)</f>
        <v/>
      </c>
      <c r="BM31" s="203">
        <f>SUMIFS(領用表!$L:$L,領用表!$A:$A,BM$2,領用表!$E:$E,B31)</f>
        <v/>
      </c>
      <c r="BN31" s="206">
        <f>SUMIFS(領用表!$L:$L,領用表!$E:$E,$B31,領用表!$B:$B,BM$2&amp;BN$2)</f>
        <v/>
      </c>
      <c r="BO31" s="206">
        <f>SUMIFS(領用表!$L:$L,領用表!$E:$E,$B31,領用表!$B:$B,$BM$2&amp;BO$2)</f>
        <v/>
      </c>
      <c r="BP31" s="206">
        <f>SUMIFS(領用表!$L:$L,領用表!$E:$E,$B31,領用表!$B:$B,$BM$2&amp;BP$2)</f>
        <v/>
      </c>
      <c r="BQ31" s="206">
        <f>SUMIFS(領用表!$L:$L,領用表!$E:$E,$B31,領用表!$B:$B,$BM$2&amp;BQ$2)</f>
        <v/>
      </c>
      <c r="BR31" s="203">
        <f>SUMIFS(領用表!$L:$L,領用表!$A:$A,BR$2,領用表!$E:$E,B31)</f>
        <v/>
      </c>
      <c r="BS31" s="206">
        <f>SUMIFS(領用表!$L:$L,領用表!$E:$E,$B31,領用表!$B:$B,BR$2&amp;BS$2)</f>
        <v/>
      </c>
      <c r="BT31" s="206">
        <f>SUMIFS(領用表!$L:$L,領用表!$E:$E,$B31,領用表!$B:$B,$BR$2&amp;BT$2)</f>
        <v/>
      </c>
      <c r="BU31" s="206">
        <f>SUMIFS(領用表!$L:$L,領用表!$E:$E,$B31,領用表!$B:$B,$BR$2&amp;BU$2)</f>
        <v/>
      </c>
      <c r="BV31" s="206">
        <f>SUMIFS(領用表!$L:$L,領用表!$E:$E,$B31,領用表!$B:$B,$BR$2&amp;BV$2)</f>
        <v/>
      </c>
      <c r="BW31" s="208">
        <f>SUMIFS(領用表!$L:$L,領用表!$A:$A,BW$2,領用表!$E:$E,B31)</f>
        <v/>
      </c>
      <c r="BX31" s="216">
        <f>SUMIFS(領用表!$L:$L,領用表!$E:$E,$B31,領用表!$B:$B,BW$2&amp;BX$2)</f>
        <v/>
      </c>
      <c r="BY31" s="216">
        <f>SUMIFS(領用表!$L:$L,領用表!$E:$E,$B31,領用表!$B:$B,$BW$2&amp;BY$2)</f>
        <v/>
      </c>
      <c r="BZ31" s="216">
        <f>SUMIFS(領用表!$L:$L,領用表!$E:$E,$B31,領用表!$B:$B,$BW$2&amp;BZ$2)</f>
        <v/>
      </c>
      <c r="CA31" s="216">
        <f>SUMIFS(領用表!$L:$L,領用表!$E:$E,$B31,領用表!$B:$B,$BW$2&amp;CA$2)</f>
        <v/>
      </c>
      <c r="CB31" s="208">
        <f>SUMIFS(領用表!$L:$L,領用表!$A:$A,CB$2,領用表!$E:$E,B31)</f>
        <v/>
      </c>
      <c r="CC31" s="216">
        <f>SUMIFS(領用表!$L:$L,領用表!$E:$E,$B31,領用表!$B:$B,CB$2&amp;CC$2)</f>
        <v/>
      </c>
      <c r="CD31" s="216">
        <f>SUMIFS(領用表!$L:$L,領用表!$E:$E,$B31,領用表!$B:$B,$CB$2&amp;CD$2)</f>
        <v/>
      </c>
      <c r="CE31" s="216">
        <f>SUMIFS(領用表!$L:$L,領用表!$E:$E,$B31,領用表!$B:$B,$CB$2&amp;CE$2)</f>
        <v/>
      </c>
      <c r="CF31" s="216">
        <f>SUMIFS(領用表!$L:$L,領用表!$E:$E,$B31,領用表!$B:$B,$CB$2&amp;CF$2)</f>
        <v/>
      </c>
      <c r="CG31" s="217">
        <f>SUMIFS(領用表!$L:$L,領用表!$A:$A,CG$2,領用表!$E:$E,B31)</f>
        <v/>
      </c>
      <c r="CH31" s="216">
        <f>SUMIFS(領用表!$L:$L,領用表!$E:$E,$B31,領用表!$B:$B,CG$2&amp;CH$2)</f>
        <v/>
      </c>
      <c r="CI31" s="216">
        <f>SUMIFS(領用表!$L:$L,領用表!$E:$E,$B31,領用表!$B:$B,CG$2&amp;CI$2)</f>
        <v/>
      </c>
      <c r="CJ31" s="216">
        <f>SUMIFS(領用表!$L:$L,領用表!$E:$E,$B31,領用表!$B:$B,CG$2&amp;CJ$2)</f>
        <v/>
      </c>
      <c r="CK31" s="216">
        <f>SUMIFS(領用表!$L:$L,領用表!$E:$E,$B31,領用表!$B:$B,$CG$2&amp;CK$2)</f>
        <v/>
      </c>
      <c r="CL31" s="207">
        <f>SUM(AX31,AY31,AZ31,BA31,BB31,BC31,BH31,BM31,BR31,BW31,CB31,CG31)</f>
        <v/>
      </c>
      <c r="CM31" s="207">
        <f>AVERAGE(AX31,AY31,AZ31,BA31,BB31,BC31,BH31,BM31,BR31,BW31,CB31,CG31)</f>
        <v/>
      </c>
      <c r="CN31" s="217">
        <f>SUMIFS(領用表!$L:$L,領用表!$A:$A,CN$2,領用表!$E:$E,B31)</f>
        <v/>
      </c>
      <c r="CO31" s="216">
        <f>SUMIFS(領用表!$L:$L,領用表!$E:$E,$B31,領用表!$B:$B,CN$2&amp;CO$2)</f>
        <v/>
      </c>
      <c r="CP31" s="216">
        <f>SUMIFS(領用表!$L:$L,領用表!$E:$E,$B31,領用表!$B:$B,$CN$2&amp;CP$2)</f>
        <v/>
      </c>
      <c r="CQ31" s="216">
        <f>SUMIFS(領用表!$L:$L,領用表!$E:$E,$B31,領用表!$B:$B,$CN$2&amp;CQ$2)</f>
        <v/>
      </c>
      <c r="CR31" s="216">
        <f>SUMIFS(領用表!$L:$L,領用表!$E:$E,$B31,領用表!$B:$B,$CN$2&amp;CR$2)</f>
        <v/>
      </c>
      <c r="CS31" s="208">
        <f>SUMIFS(領用表!$L:$L,領用表!$A:$A,CS$2,領用表!$E:$E,B31)</f>
        <v/>
      </c>
      <c r="CT31" s="216">
        <f>SUMIFS(領用表!$L:$L,領用表!$E:$E,$B31,領用表!$B:$B,CS$2&amp;CT$2)</f>
        <v/>
      </c>
      <c r="CU31" s="216">
        <f>SUMIFS(領用表!$L:$L,領用表!$E:$E,$B31,領用表!$B:$B,$CS$2&amp;CU$2)</f>
        <v/>
      </c>
      <c r="CV31" s="216">
        <f>SUMIFS(領用表!$L:$L,領用表!$E:$E,$B31,領用表!$B:$B,$CS$2&amp;CV$2)</f>
        <v/>
      </c>
      <c r="CW31" s="216">
        <f>SUMIFS(領用表!$L:$L,領用表!$E:$E,$B31,領用表!$B:$B,$CS$2&amp;CW$2)</f>
        <v/>
      </c>
      <c r="CX31" s="216">
        <f>SUMIFS(領用表!$L:$L,領用表!$E:$E,$B31,領用表!$B:$B,$CS$2&amp;CX$2)</f>
        <v/>
      </c>
      <c r="CY31" s="208">
        <f>SUMIFS(領用表!$L:$L,領用表!$A:$A,CY$2,領用表!$E:$E,B31)</f>
        <v/>
      </c>
      <c r="CZ31" s="216">
        <f>SUMIFS(領用表!$L:$L,領用表!$E:$E,$B31,領用表!$B:$B,CY$2&amp;CZ$2)</f>
        <v/>
      </c>
      <c r="DA31" s="216">
        <f>SUMIFS(領用表!$L:$L,領用表!$E:$E,$B31,領用表!$B:$B,$CY$2&amp;DA$2)</f>
        <v/>
      </c>
      <c r="DB31" s="216">
        <f>SUMIFS(領用表!$L:$L,領用表!$E:$E,$B31,領用表!$B:$B,$CY$2&amp;DB$2)</f>
        <v/>
      </c>
      <c r="DC31" s="216">
        <f>SUMIFS(領用表!$L:$L,領用表!$E:$E,$B31,領用表!$B:$B,$CY$2&amp;DC$2)</f>
        <v/>
      </c>
      <c r="DD31" s="216">
        <f>SUMIFS(領用表!$L:$L,領用表!$E:$E,$B31,領用表!$B:$B,$CY$2&amp;DD$2)</f>
        <v/>
      </c>
      <c r="DE31" s="208">
        <f>SUMIFS(領用表!$L:$L,領用表!$A:$A,DE$2,領用表!$E:$E,B31)</f>
        <v/>
      </c>
      <c r="DF31" s="216">
        <f>SUMIFS(領用表!$L:$L,領用表!$E:$E,$B31,領用表!$B:$B,DE$2&amp;DF$2)</f>
        <v/>
      </c>
      <c r="DG31" s="216">
        <f>SUMIFS(領用表!$L:$L,領用表!$E:$E,$B31,領用表!$B:$B,$DE$2&amp;DG$2)</f>
        <v/>
      </c>
      <c r="DH31" s="216">
        <f>SUMIFS(領用表!$L:$L,領用表!$E:$E,$B31,領用表!$B:$B,$DE$2&amp;DH$2)</f>
        <v/>
      </c>
      <c r="DI31" s="216">
        <f>SUMIFS(領用表!$L:$L,領用表!$E:$E,$B31,領用表!$B:$B,$DE$2&amp;DI$2)</f>
        <v/>
      </c>
      <c r="DJ31" s="216">
        <f>SUMIFS(領用表!$L:$L,領用表!$E:$E,$B31,領用表!$B:$B,$DE$2&amp;DJ$2)</f>
        <v/>
      </c>
      <c r="DK31" s="208">
        <f>SUMIFS(領用表!$L:$L,領用表!$A:$A,DK$2,領用表!$E:$E,$B31)</f>
        <v/>
      </c>
      <c r="DL31" s="216">
        <f>SUMIFS(領用表!$L:$L,領用表!$E:$E,$B31,領用表!$B:$B,DK$2&amp;DL$2)</f>
        <v/>
      </c>
      <c r="DM31" s="216">
        <f>SUMIFS(領用表!$L:$L,領用表!$E:$E,$B31,領用表!$B:$B,$DK$2&amp;DM$2)</f>
        <v/>
      </c>
      <c r="DN31" s="216">
        <f>SUMIFS(領用表!$L:$L,領用表!$E:$E,$B31,領用表!$B:$B,$DK$2&amp;DN$2)</f>
        <v/>
      </c>
      <c r="DO31" s="216">
        <f>SUMIFS(領用表!$L:$L,領用表!$E:$E,$B31,領用表!$B:$B,$DK$2&amp;DO$2)</f>
        <v/>
      </c>
      <c r="DP31" s="216">
        <f>SUMIFS(領用表!$L:$L,領用表!$E:$E,$B31,領用表!$B:$B,$DK$2&amp;DP$2)</f>
        <v/>
      </c>
      <c r="DQ31" s="208" t="n">
        <v>14</v>
      </c>
      <c r="DR31" s="216" t="n">
        <v>4</v>
      </c>
      <c r="DS31" s="216" t="n"/>
      <c r="DT31" s="216" t="n">
        <v>5</v>
      </c>
      <c r="DU31" s="216" t="n"/>
      <c r="DV31" s="216" t="n">
        <v>5</v>
      </c>
      <c r="DW31" s="216">
        <f>SUM(CN31,CS31,CY31,DE31,DK31,DQ31)</f>
        <v/>
      </c>
      <c r="DX31" s="216">
        <f>AVERAGEA(CN31,CS31,CY31,DE31,DK31,DQ31)</f>
        <v/>
      </c>
      <c r="DY31" s="216">
        <f>SUM(DZ31:EC31)</f>
        <v/>
      </c>
      <c r="DZ31" s="216" t="n">
        <v>10</v>
      </c>
      <c r="EA31" s="216" t="n">
        <v>0</v>
      </c>
      <c r="EB31" s="216" t="n">
        <v>10</v>
      </c>
      <c r="EC31" s="216" t="n">
        <v>0</v>
      </c>
      <c r="ED31" s="215" t="n">
        <v>0</v>
      </c>
      <c r="EE31" s="210" t="n">
        <v>0</v>
      </c>
      <c r="EF31" s="211" t="n"/>
      <c r="EG31" s="211" t="n"/>
      <c r="EH31" s="136" t="n"/>
      <c r="EI31" s="212" t="n"/>
      <c r="EJ31" s="118">
        <f>IFERROR(VLOOKUP(A31,站前4樓!A:BF,57,0),0)</f>
        <v/>
      </c>
      <c r="EK31" s="213">
        <f>IFERROR(VLOOKUP(A31,站前11樓!A:BE,57,0),0)</f>
        <v/>
      </c>
      <c r="EL31" s="118">
        <f>IFERROR(VLOOKUP(A31,忠孝7樓!A:N,57,0),0)</f>
        <v/>
      </c>
      <c r="EM31" s="118">
        <f>IFERROR(VLOOKUP(A31,忠孝國際醫學3樓!A:L,57,0),0)</f>
        <v/>
      </c>
      <c r="EN31" s="118">
        <f>SUM(ED31:EG31)</f>
        <v/>
      </c>
      <c r="EP31" s="118" t="n">
        <v>42</v>
      </c>
      <c r="EQ31" s="118" t="n">
        <v>4</v>
      </c>
    </row>
    <row r="32" ht="15.75" customFormat="1" customHeight="1" s="118">
      <c r="A32" s="136" t="inlineStr">
        <is>
          <t>MP1MX080006A</t>
        </is>
      </c>
      <c r="B32" s="118" t="n">
        <v>6190004</v>
      </c>
      <c r="C32" s="118" t="inlineStr">
        <is>
          <t>PLT生長因子凍晶製備20入(單瓶)</t>
        </is>
      </c>
      <c r="D32" s="197" t="n">
        <v>20</v>
      </c>
      <c r="E32" s="198" t="inlineStr">
        <is>
          <t>BOT</t>
        </is>
      </c>
      <c r="F32" s="227">
        <f>SUMIF(站前4樓!B:B,B32,站前4樓!F:F)</f>
        <v/>
      </c>
      <c r="G32" s="227">
        <f>SUMIF(站前11樓!B:B,B32,站前11樓!F:F)</f>
        <v/>
      </c>
      <c r="H32" s="227">
        <f>SUMIF(忠孝7樓!B:B,B32,忠孝7樓!G:G)</f>
        <v/>
      </c>
      <c r="I32" s="227">
        <f>SUMIF(忠孝國際醫學3樓!B:B,B32,忠孝國際醫學3樓!G:G)</f>
        <v/>
      </c>
      <c r="J32" s="227">
        <f>SUMIF(忠孝健康7樓!B:B,B32,忠孝健康7樓!G:G)</f>
        <v/>
      </c>
      <c r="K32" s="200" t="n"/>
      <c r="L32" s="200" t="n"/>
      <c r="M32" s="200" t="n"/>
      <c r="N32" s="200" t="n"/>
      <c r="O32" s="200" t="n"/>
      <c r="P32" s="200" t="n"/>
      <c r="Q32" s="200" t="n"/>
      <c r="R32" s="200" t="n"/>
      <c r="S32" s="200" t="n"/>
      <c r="T32" s="200" t="n"/>
      <c r="U32" s="200" t="n"/>
      <c r="V32" s="200" t="n"/>
      <c r="W32" s="200" t="n"/>
      <c r="X32" s="200" t="n"/>
      <c r="Y32" s="200" t="n"/>
      <c r="Z32" s="200" t="n"/>
      <c r="AA32" s="200" t="n"/>
      <c r="AB32" s="200" t="n"/>
      <c r="AC32" s="200" t="n"/>
      <c r="AD32" s="200" t="n"/>
      <c r="AE32" s="200" t="n"/>
      <c r="AF32" s="200" t="n"/>
      <c r="AG32" s="200" t="n"/>
      <c r="AH32" s="200" t="n"/>
      <c r="AI32" s="200" t="n"/>
      <c r="AJ32" s="201" t="n">
        <v>0</v>
      </c>
      <c r="AK32" s="201" t="n">
        <v>0</v>
      </c>
      <c r="AL32" s="201" t="n">
        <v>2</v>
      </c>
      <c r="AM32" s="201" t="n">
        <v>0</v>
      </c>
      <c r="AN32" s="201" t="n">
        <v>1</v>
      </c>
      <c r="AO32" s="201" t="n">
        <v>6</v>
      </c>
      <c r="AP32" s="201" t="n">
        <v>2</v>
      </c>
      <c r="AQ32" s="201" t="n">
        <v>6</v>
      </c>
      <c r="AR32" s="201" t="n">
        <v>6</v>
      </c>
      <c r="AS32" s="201" t="n">
        <v>6</v>
      </c>
      <c r="AT32" s="201" t="n">
        <v>1</v>
      </c>
      <c r="AU32" s="203">
        <f>60/D32</f>
        <v/>
      </c>
      <c r="AV32" s="204">
        <f>SUM(AJ32:AU32)</f>
        <v/>
      </c>
      <c r="AW32" s="513">
        <f>AV32/12</f>
        <v/>
      </c>
      <c r="AX32" s="203" t="inlineStr">
        <is>
          <t>-</t>
        </is>
      </c>
      <c r="AY32" s="203" t="n">
        <v>40</v>
      </c>
      <c r="AZ32" s="203" t="n">
        <v>31</v>
      </c>
      <c r="BA32" s="203" t="n">
        <v>14</v>
      </c>
      <c r="BB32" s="203" t="n">
        <v>25</v>
      </c>
      <c r="BC32" s="203">
        <f>SUMIFS(領用表!$L:$L,領用表!$A:$A,BC$2,領用表!$E:$E,B32)</f>
        <v/>
      </c>
      <c r="BD32" s="206">
        <f>SUMIFS(領用表!$L:$L,領用表!$E:$E,$B32,領用表!$B:$B,BC$2&amp;BD$2)</f>
        <v/>
      </c>
      <c r="BE32" s="206">
        <f>SUMIFS(領用表!$L:$L,領用表!$E:$E,$B32,領用表!$B:$B,$BC$2&amp;BE$2)</f>
        <v/>
      </c>
      <c r="BF32" s="206">
        <f>SUMIFS(領用表!$L:$L,領用表!$E:$E,$B32,領用表!$B:$B,$BC$2&amp;BF$2)</f>
        <v/>
      </c>
      <c r="BG32" s="206">
        <f>SUMIFS(領用表!$L:$L,領用表!$E:$E,$B32,領用表!$B:$B,$BC$2&amp;BG$2)</f>
        <v/>
      </c>
      <c r="BH32" s="203">
        <f>SUMIFS(領用表!$L:$L,領用表!$A:$A,BH$2,領用表!$E:$E,B32)</f>
        <v/>
      </c>
      <c r="BI32" s="206">
        <f>SUMIFS(領用表!$L:$L,領用表!$E:$E,$B32,領用表!$B:$B,BH$2&amp;BI$2)</f>
        <v/>
      </c>
      <c r="BJ32" s="206">
        <f>SUMIFS(領用表!$L:$L,領用表!$E:$E,$B32,領用表!$B:$B,$BH$2&amp;BJ$2)</f>
        <v/>
      </c>
      <c r="BK32" s="206">
        <f>SUMIFS(領用表!$L:$L,領用表!$E:$E,$B32,領用表!$B:$B,$BH$2&amp;BK$2)</f>
        <v/>
      </c>
      <c r="BL32" s="206">
        <f>SUMIFS(領用表!$L:$L,領用表!$E:$E,$B32,領用表!$B:$B,$BH$2&amp;BL$2)</f>
        <v/>
      </c>
      <c r="BM32" s="203">
        <f>SUMIFS(領用表!$L:$L,領用表!$A:$A,BM$2,領用表!$E:$E,B32)</f>
        <v/>
      </c>
      <c r="BN32" s="206">
        <f>SUMIFS(領用表!$L:$L,領用表!$E:$E,$B32,領用表!$B:$B,BM$2&amp;BN$2)</f>
        <v/>
      </c>
      <c r="BO32" s="206">
        <f>SUMIFS(領用表!$L:$L,領用表!$E:$E,$B32,領用表!$B:$B,$BM$2&amp;BO$2)</f>
        <v/>
      </c>
      <c r="BP32" s="206">
        <f>SUMIFS(領用表!$L:$L,領用表!$E:$E,$B32,領用表!$B:$B,$BM$2&amp;BP$2)</f>
        <v/>
      </c>
      <c r="BQ32" s="206">
        <f>SUMIFS(領用表!$L:$L,領用表!$E:$E,$B32,領用表!$B:$B,$BM$2&amp;BQ$2)</f>
        <v/>
      </c>
      <c r="BR32" s="203">
        <f>SUMIFS(領用表!$L:$L,領用表!$A:$A,BR$2,領用表!$E:$E,B32)</f>
        <v/>
      </c>
      <c r="BS32" s="206">
        <f>SUMIFS(領用表!$L:$L,領用表!$E:$E,$B32,領用表!$B:$B,BR$2&amp;BS$2)</f>
        <v/>
      </c>
      <c r="BT32" s="206">
        <f>SUMIFS(領用表!$L:$L,領用表!$E:$E,$B32,領用表!$B:$B,$BR$2&amp;BT$2)</f>
        <v/>
      </c>
      <c r="BU32" s="206">
        <f>SUMIFS(領用表!$L:$L,領用表!$E:$E,$B32,領用表!$B:$B,$BR$2&amp;BU$2)</f>
        <v/>
      </c>
      <c r="BV32" s="206">
        <f>SUMIFS(領用表!$L:$L,領用表!$E:$E,$B32,領用表!$B:$B,$BR$2&amp;BV$2)</f>
        <v/>
      </c>
      <c r="BW32" s="208">
        <f>SUMIFS(領用表!$L:$L,領用表!$A:$A,BW$2,領用表!$E:$E,B32)</f>
        <v/>
      </c>
      <c r="BX32" s="216">
        <f>SUMIFS(領用表!$L:$L,領用表!$E:$E,$B32,領用表!$B:$B,BW$2&amp;BX$2)</f>
        <v/>
      </c>
      <c r="BY32" s="216">
        <f>SUMIFS(領用表!$L:$L,領用表!$E:$E,$B32,領用表!$B:$B,$BW$2&amp;BY$2)</f>
        <v/>
      </c>
      <c r="BZ32" s="216">
        <f>SUMIFS(領用表!$L:$L,領用表!$E:$E,$B32,領用表!$B:$B,$BW$2&amp;BZ$2)</f>
        <v/>
      </c>
      <c r="CA32" s="216">
        <f>SUMIFS(領用表!$L:$L,領用表!$E:$E,$B32,領用表!$B:$B,$BW$2&amp;CA$2)</f>
        <v/>
      </c>
      <c r="CB32" s="208">
        <f>SUMIFS(領用表!$L:$L,領用表!$A:$A,CB$2,領用表!$E:$E,B32)</f>
        <v/>
      </c>
      <c r="CC32" s="216">
        <f>SUMIFS(領用表!$L:$L,領用表!$E:$E,$B32,領用表!$B:$B,CB$2&amp;CC$2)</f>
        <v/>
      </c>
      <c r="CD32" s="216">
        <f>SUMIFS(領用表!$L:$L,領用表!$E:$E,$B32,領用表!$B:$B,$CB$2&amp;CD$2)</f>
        <v/>
      </c>
      <c r="CE32" s="216">
        <f>SUMIFS(領用表!$L:$L,領用表!$E:$E,$B32,領用表!$B:$B,$CB$2&amp;CE$2)</f>
        <v/>
      </c>
      <c r="CF32" s="216">
        <f>SUMIFS(領用表!$L:$L,領用表!$E:$E,$B32,領用表!$B:$B,$CB$2&amp;CF$2)</f>
        <v/>
      </c>
      <c r="CG32" s="217">
        <f>SUMIFS(領用表!$L:$L,領用表!$A:$A,CG$2,領用表!$E:$E,B32)</f>
        <v/>
      </c>
      <c r="CH32" s="216">
        <f>SUMIFS(領用表!$L:$L,領用表!$E:$E,$B32,領用表!$B:$B,CG$2&amp;CH$2)</f>
        <v/>
      </c>
      <c r="CI32" s="216">
        <f>SUMIFS(領用表!$L:$L,領用表!$E:$E,$B32,領用表!$B:$B,CG$2&amp;CI$2)</f>
        <v/>
      </c>
      <c r="CJ32" s="216">
        <f>SUMIFS(領用表!$L:$L,領用表!$E:$E,$B32,領用表!$B:$B,CG$2&amp;CJ$2)</f>
        <v/>
      </c>
      <c r="CK32" s="216">
        <f>SUMIFS(領用表!$L:$L,領用表!$E:$E,$B32,領用表!$B:$B,$CG$2&amp;CK$2)</f>
        <v/>
      </c>
      <c r="CL32" s="207">
        <f>SUM(AX32,AY32,AZ32,BA32,BB32,BC32,BH32,BM32,BR32,BW32,CB32,CG32)</f>
        <v/>
      </c>
      <c r="CM32" s="207">
        <f>AVERAGE(AX32,AY32,AZ32,BA32,BB32,BC32,BH32,BM32,BR32,BW32,CB32,CG32)</f>
        <v/>
      </c>
      <c r="CN32" s="217">
        <f>SUMIFS(領用表!$L:$L,領用表!$A:$A,CN$2,領用表!$E:$E,B32)</f>
        <v/>
      </c>
      <c r="CO32" s="216">
        <f>SUMIFS(領用表!$L:$L,領用表!$E:$E,$B32,領用表!$B:$B,CN$2&amp;CO$2)</f>
        <v/>
      </c>
      <c r="CP32" s="216">
        <f>SUMIFS(領用表!$L:$L,領用表!$E:$E,$B32,領用表!$B:$B,$CN$2&amp;CP$2)</f>
        <v/>
      </c>
      <c r="CQ32" s="216">
        <f>SUMIFS(領用表!$L:$L,領用表!$E:$E,$B32,領用表!$B:$B,$CN$2&amp;CQ$2)</f>
        <v/>
      </c>
      <c r="CR32" s="216">
        <f>SUMIFS(領用表!$L:$L,領用表!$E:$E,$B32,領用表!$B:$B,$CN$2&amp;CR$2)</f>
        <v/>
      </c>
      <c r="CS32" s="208">
        <f>SUMIFS(領用表!$L:$L,領用表!$A:$A,CS$2,領用表!$E:$E,B32)</f>
        <v/>
      </c>
      <c r="CT32" s="216">
        <f>SUMIFS(領用表!$L:$L,領用表!$E:$E,$B32,領用表!$B:$B,CS$2&amp;CT$2)</f>
        <v/>
      </c>
      <c r="CU32" s="216">
        <f>SUMIFS(領用表!$L:$L,領用表!$E:$E,$B32,領用表!$B:$B,$CS$2&amp;CU$2)</f>
        <v/>
      </c>
      <c r="CV32" s="216">
        <f>SUMIFS(領用表!$L:$L,領用表!$E:$E,$B32,領用表!$B:$B,$CS$2&amp;CV$2)</f>
        <v/>
      </c>
      <c r="CW32" s="216">
        <f>SUMIFS(領用表!$L:$L,領用表!$E:$E,$B32,領用表!$B:$B,$CS$2&amp;CW$2)</f>
        <v/>
      </c>
      <c r="CX32" s="216">
        <f>SUMIFS(領用表!$L:$L,領用表!$E:$E,$B32,領用表!$B:$B,$CS$2&amp;CX$2)</f>
        <v/>
      </c>
      <c r="CY32" s="208">
        <f>SUMIFS(領用表!$L:$L,領用表!$A:$A,CY$2,領用表!$E:$E,B32)</f>
        <v/>
      </c>
      <c r="CZ32" s="216">
        <f>SUMIFS(領用表!$L:$L,領用表!$E:$E,$B32,領用表!$B:$B,CY$2&amp;CZ$2)</f>
        <v/>
      </c>
      <c r="DA32" s="216">
        <f>SUMIFS(領用表!$L:$L,領用表!$E:$E,$B32,領用表!$B:$B,$CY$2&amp;DA$2)</f>
        <v/>
      </c>
      <c r="DB32" s="216">
        <f>SUMIFS(領用表!$L:$L,領用表!$E:$E,$B32,領用表!$B:$B,$CY$2&amp;DB$2)</f>
        <v/>
      </c>
      <c r="DC32" s="216">
        <f>SUMIFS(領用表!$L:$L,領用表!$E:$E,$B32,領用表!$B:$B,$CY$2&amp;DC$2)</f>
        <v/>
      </c>
      <c r="DD32" s="216">
        <f>SUMIFS(領用表!$L:$L,領用表!$E:$E,$B32,領用表!$B:$B,$CY$2&amp;DD$2)</f>
        <v/>
      </c>
      <c r="DE32" s="208">
        <f>SUMIFS(領用表!$L:$L,領用表!$A:$A,DE$2,領用表!$E:$E,B32)</f>
        <v/>
      </c>
      <c r="DF32" s="216">
        <f>SUMIFS(領用表!$L:$L,領用表!$E:$E,$B32,領用表!$B:$B,DE$2&amp;DF$2)</f>
        <v/>
      </c>
      <c r="DG32" s="216">
        <f>SUMIFS(領用表!$L:$L,領用表!$E:$E,$B32,領用表!$B:$B,$DE$2&amp;DG$2)</f>
        <v/>
      </c>
      <c r="DH32" s="216">
        <f>SUMIFS(領用表!$L:$L,領用表!$E:$E,$B32,領用表!$B:$B,$DE$2&amp;DH$2)</f>
        <v/>
      </c>
      <c r="DI32" s="216">
        <f>SUMIFS(領用表!$L:$L,領用表!$E:$E,$B32,領用表!$B:$B,$DE$2&amp;DI$2)</f>
        <v/>
      </c>
      <c r="DJ32" s="216">
        <f>SUMIFS(領用表!$L:$L,領用表!$E:$E,$B32,領用表!$B:$B,$DE$2&amp;DJ$2)</f>
        <v/>
      </c>
      <c r="DK32" s="208">
        <f>SUMIFS(領用表!$L:$L,領用表!$A:$A,DK$2,領用表!$E:$E,$B32)</f>
        <v/>
      </c>
      <c r="DL32" s="216">
        <f>SUMIFS(領用表!$L:$L,領用表!$E:$E,$B32,領用表!$B:$B,DK$2&amp;DL$2)</f>
        <v/>
      </c>
      <c r="DM32" s="216">
        <f>SUMIFS(領用表!$L:$L,領用表!$E:$E,$B32,領用表!$B:$B,$DK$2&amp;DM$2)</f>
        <v/>
      </c>
      <c r="DN32" s="216">
        <f>SUMIFS(領用表!$L:$L,領用表!$E:$E,$B32,領用表!$B:$B,$DK$2&amp;DN$2)</f>
        <v/>
      </c>
      <c r="DO32" s="216">
        <f>SUMIFS(領用表!$L:$L,領用表!$E:$E,$B32,領用表!$B:$B,$DK$2&amp;DO$2)</f>
        <v/>
      </c>
      <c r="DP32" s="216">
        <f>SUMIFS(領用表!$L:$L,領用表!$E:$E,$B32,領用表!$B:$B,$DK$2&amp;DP$2)</f>
        <v/>
      </c>
      <c r="DQ32" s="208" t="n">
        <v>11</v>
      </c>
      <c r="DR32" s="216" t="n">
        <v>6</v>
      </c>
      <c r="DS32" s="216" t="n"/>
      <c r="DT32" s="216" t="n">
        <v>5</v>
      </c>
      <c r="DU32" s="216" t="n"/>
      <c r="DV32" s="216" t="n"/>
      <c r="DW32" s="216">
        <f>SUM(CN32,CS32,CY32,DE32,DK32,DQ32)</f>
        <v/>
      </c>
      <c r="DX32" s="216">
        <f>AVERAGEA(CN32,CS32,CY32,DE32,DK32,DQ32)</f>
        <v/>
      </c>
      <c r="DY32" s="216">
        <f>SUM(DZ32:EC32)</f>
        <v/>
      </c>
      <c r="DZ32" s="216" t="n">
        <v>25</v>
      </c>
      <c r="EA32" s="216" t="n">
        <v>0</v>
      </c>
      <c r="EB32" s="216" t="n">
        <v>5</v>
      </c>
      <c r="EC32" s="216" t="n">
        <v>0</v>
      </c>
      <c r="ED32" s="215" t="n">
        <v>0</v>
      </c>
      <c r="EE32" s="210" t="n">
        <v>0</v>
      </c>
      <c r="EF32" s="211" t="n"/>
      <c r="EG32" s="211" t="n"/>
      <c r="EH32" s="136" t="n"/>
      <c r="EI32" s="212" t="n"/>
      <c r="EJ32" s="118">
        <f>IFERROR(VLOOKUP(A32,站前4樓!A:BF,57,0),0)</f>
        <v/>
      </c>
      <c r="EK32" s="213">
        <f>IFERROR(VLOOKUP(A32,站前11樓!A:BE,57,0),0)</f>
        <v/>
      </c>
      <c r="EL32" s="118">
        <f>IFERROR(VLOOKUP(A32,忠孝7樓!A:N,57,0),0)</f>
        <v/>
      </c>
      <c r="EM32" s="118">
        <f>IFERROR(VLOOKUP(A32,忠孝國際醫學3樓!A:L,57,0),0)</f>
        <v/>
      </c>
      <c r="EN32" s="118">
        <f>SUM(ED32:EG32)</f>
        <v/>
      </c>
      <c r="EP32" s="118" t="n">
        <v>199</v>
      </c>
      <c r="EQ32" s="118" t="n">
        <v>173</v>
      </c>
    </row>
    <row r="33" ht="15.75" customFormat="1" customHeight="1" s="118">
      <c r="A33" s="136" t="n"/>
      <c r="B33" s="14" t="n">
        <v>6190006</v>
      </c>
      <c r="C33" s="118" t="inlineStr">
        <is>
          <t>ExoPower 泌力機泌凍晶 5mg</t>
        </is>
      </c>
      <c r="D33" s="16" t="n">
        <v>1</v>
      </c>
      <c r="E33" s="17" t="inlineStr">
        <is>
          <t>PCS</t>
        </is>
      </c>
      <c r="F33" s="227">
        <f>SUMIF(站前4樓!B:B,B33,站前4樓!F:F)</f>
        <v/>
      </c>
      <c r="G33" s="227">
        <f>SUMIF(站前11樓!B:B,B33,站前11樓!F:F)</f>
        <v/>
      </c>
      <c r="H33" s="227">
        <f>SUMIF(忠孝7樓!B:B,B33,忠孝7樓!G:G)</f>
        <v/>
      </c>
      <c r="I33" s="227">
        <f>SUMIF(忠孝國際醫學3樓!B:B,B33,忠孝國際醫學3樓!G:G)</f>
        <v/>
      </c>
      <c r="J33" s="227">
        <f>SUMIF(忠孝健康7樓!B:B,B33,忠孝健康7樓!G:G)</f>
        <v/>
      </c>
      <c r="K33" s="200" t="n"/>
      <c r="L33" s="200" t="n"/>
      <c r="M33" s="200" t="n"/>
      <c r="N33" s="200" t="n"/>
      <c r="O33" s="200" t="n"/>
      <c r="P33" s="200" t="n"/>
      <c r="Q33" s="200" t="n"/>
      <c r="R33" s="200" t="n"/>
      <c r="S33" s="200" t="n"/>
      <c r="T33" s="200" t="n"/>
      <c r="U33" s="200" t="n"/>
      <c r="V33" s="200" t="n"/>
      <c r="W33" s="200" t="n"/>
      <c r="X33" s="200" t="n"/>
      <c r="Y33" s="200" t="n"/>
      <c r="Z33" s="200" t="n"/>
      <c r="AA33" s="200" t="n"/>
      <c r="AB33" s="200" t="n"/>
      <c r="AC33" s="200" t="n"/>
      <c r="AD33" s="200" t="n"/>
      <c r="AE33" s="200" t="n"/>
      <c r="AF33" s="200" t="n"/>
      <c r="AG33" s="200" t="n"/>
      <c r="AH33" s="200" t="n"/>
      <c r="AI33" s="200" t="n"/>
      <c r="AJ33" s="201" t="n"/>
      <c r="AK33" s="201" t="n"/>
      <c r="AL33" s="201" t="n"/>
      <c r="AM33" s="201" t="n"/>
      <c r="AN33" s="201" t="n"/>
      <c r="AO33" s="201" t="n"/>
      <c r="AP33" s="201" t="n"/>
      <c r="AQ33" s="201" t="n"/>
      <c r="AR33" s="201" t="n"/>
      <c r="AS33" s="201" t="n"/>
      <c r="AT33" s="201" t="n"/>
      <c r="AU33" s="203" t="n"/>
      <c r="AV33" s="204" t="n"/>
      <c r="AW33" s="513" t="n"/>
      <c r="AX33" s="203" t="n"/>
      <c r="AY33" s="203" t="n"/>
      <c r="AZ33" s="203" t="n"/>
      <c r="BA33" s="203" t="n"/>
      <c r="BB33" s="203" t="n"/>
      <c r="BC33" s="203" t="n"/>
      <c r="BD33" s="206" t="n"/>
      <c r="BE33" s="206" t="n"/>
      <c r="BF33" s="206" t="n"/>
      <c r="BG33" s="206" t="n"/>
      <c r="BH33" s="203" t="n"/>
      <c r="BI33" s="206" t="n"/>
      <c r="BJ33" s="206" t="n"/>
      <c r="BK33" s="206" t="n"/>
      <c r="BL33" s="206" t="n"/>
      <c r="BM33" s="203" t="n"/>
      <c r="BN33" s="206" t="n"/>
      <c r="BO33" s="206" t="n"/>
      <c r="BP33" s="206" t="n"/>
      <c r="BQ33" s="206" t="n"/>
      <c r="BR33" s="203" t="n"/>
      <c r="BS33" s="206" t="n"/>
      <c r="BT33" s="206" t="n"/>
      <c r="BU33" s="206" t="n"/>
      <c r="BV33" s="206" t="n"/>
      <c r="BW33" s="208" t="n"/>
      <c r="BX33" s="216" t="n"/>
      <c r="BY33" s="216" t="n"/>
      <c r="BZ33" s="216" t="n"/>
      <c r="CA33" s="216" t="n"/>
      <c r="CB33" s="208" t="n"/>
      <c r="CC33" s="216" t="n"/>
      <c r="CD33" s="216" t="n"/>
      <c r="CE33" s="216" t="n"/>
      <c r="CF33" s="216" t="n"/>
      <c r="CG33" s="217" t="n"/>
      <c r="CH33" s="216" t="n"/>
      <c r="CI33" s="216" t="n"/>
      <c r="CJ33" s="216" t="n"/>
      <c r="CK33" s="216" t="n"/>
      <c r="CL33" s="207" t="n"/>
      <c r="CM33" s="207" t="n"/>
      <c r="CN33" s="217" t="n"/>
      <c r="CO33" s="216" t="n"/>
      <c r="CP33" s="216" t="n"/>
      <c r="CQ33" s="216" t="n"/>
      <c r="CR33" s="216" t="n"/>
      <c r="CS33" s="208" t="n"/>
      <c r="CT33" s="216" t="n"/>
      <c r="CU33" s="216" t="n"/>
      <c r="CV33" s="216" t="n"/>
      <c r="CW33" s="216" t="n"/>
      <c r="CX33" s="216" t="n"/>
      <c r="CY33" s="208" t="n"/>
      <c r="CZ33" s="216" t="n"/>
      <c r="DA33" s="216" t="n"/>
      <c r="DB33" s="216" t="n"/>
      <c r="DC33" s="216" t="n"/>
      <c r="DD33" s="216" t="n"/>
      <c r="DE33" s="208">
        <f>SUMIFS(領用表!$L:$L,領用表!$A:$A,DE$2,領用表!$E:$E,B33)</f>
        <v/>
      </c>
      <c r="DF33" s="216">
        <f>SUMIFS(領用表!$L:$L,領用表!$E:$E,$B33,領用表!$B:$B,DE$2&amp;DF$2)</f>
        <v/>
      </c>
      <c r="DG33" s="216">
        <f>SUMIFS(領用表!$L:$L,領用表!$E:$E,$B33,領用表!$B:$B,$DE$2&amp;DG$2)</f>
        <v/>
      </c>
      <c r="DH33" s="216">
        <f>SUMIFS(領用表!$L:$L,領用表!$E:$E,$B33,領用表!$B:$B,$DE$2&amp;DH$2)</f>
        <v/>
      </c>
      <c r="DI33" s="216">
        <f>SUMIFS(領用表!$L:$L,領用表!$E:$E,$B33,領用表!$B:$B,$DE$2&amp;DI$2)</f>
        <v/>
      </c>
      <c r="DJ33" s="216">
        <f>SUMIFS(領用表!$L:$L,領用表!$E:$E,$B33,領用表!$B:$B,$DE$2&amp;DJ$2)</f>
        <v/>
      </c>
      <c r="DK33" s="208">
        <f>SUMIFS(領用表!$L:$L,領用表!$A:$A,DK$2,領用表!$E:$E,$B33)</f>
        <v/>
      </c>
      <c r="DL33" s="216">
        <f>SUMIFS(領用表!$L:$L,領用表!$E:$E,$B33,領用表!$B:$B,DK$2&amp;DL$2)</f>
        <v/>
      </c>
      <c r="DM33" s="216">
        <f>SUMIFS(領用表!$L:$L,領用表!$E:$E,$B33,領用表!$B:$B,$DK$2&amp;DM$2)</f>
        <v/>
      </c>
      <c r="DN33" s="216">
        <f>SUMIFS(領用表!$L:$L,領用表!$E:$E,$B33,領用表!$B:$B,$DK$2&amp;DN$2)</f>
        <v/>
      </c>
      <c r="DO33" s="216">
        <f>SUMIFS(領用表!$L:$L,領用表!$E:$E,$B33,領用表!$B:$B,$DK$2&amp;DO$2)</f>
        <v/>
      </c>
      <c r="DP33" s="216">
        <f>SUMIFS(領用表!$L:$L,領用表!$E:$E,$B33,領用表!$B:$B,$DK$2&amp;DP$2)</f>
        <v/>
      </c>
      <c r="DQ33" s="208" t="n">
        <v>41</v>
      </c>
      <c r="DR33" s="216" t="n">
        <v>23</v>
      </c>
      <c r="DS33" s="216" t="n"/>
      <c r="DT33" s="216" t="n">
        <v>11</v>
      </c>
      <c r="DU33" s="216" t="n"/>
      <c r="DV33" s="216" t="n">
        <v>7</v>
      </c>
      <c r="DW33" s="216">
        <f>SUM(CN33,CS33,CY33,DE33,DK33,DQ33)</f>
        <v/>
      </c>
      <c r="DX33" s="216">
        <f>AVERAGEA(CN33,CS33,CY33,DE33,DK33,DQ33)</f>
        <v/>
      </c>
      <c r="DY33" s="216">
        <f>SUM(DZ33:EC33)</f>
        <v/>
      </c>
      <c r="DZ33" s="216" t="n"/>
      <c r="EA33" s="216" t="n"/>
      <c r="EB33" s="216" t="n"/>
      <c r="EC33" s="216" t="n"/>
      <c r="ED33" s="215" t="n"/>
      <c r="EE33" s="210" t="n"/>
      <c r="EF33" s="211" t="n"/>
      <c r="EG33" s="211" t="n"/>
      <c r="EH33" s="136" t="n"/>
      <c r="EI33" s="212" t="n"/>
      <c r="EK33" s="213" t="n"/>
    </row>
    <row r="34" ht="15.75" customFormat="1" customHeight="1" s="118">
      <c r="A34" s="136" t="n"/>
      <c r="B34" s="433" t="n">
        <v>6050010</v>
      </c>
      <c r="C34" s="14" t="inlineStr">
        <is>
          <t>ExoPower 機泌導入安瓶/ 6mL</t>
        </is>
      </c>
      <c r="D34" s="426" t="n">
        <v>1</v>
      </c>
      <c r="E34" s="17" t="inlineStr">
        <is>
          <t>PCS</t>
        </is>
      </c>
      <c r="F34" s="227">
        <f>SUMIF(站前4樓!B:B,B34,站前4樓!F:F)</f>
        <v/>
      </c>
      <c r="G34" s="227">
        <f>SUMIF(站前11樓!B:B,B34,站前11樓!F:F)</f>
        <v/>
      </c>
      <c r="H34" s="227">
        <f>SUMIF(忠孝7樓!B:B,B34,忠孝7樓!G:G)</f>
        <v/>
      </c>
      <c r="I34" s="227">
        <f>SUMIF(忠孝國際醫學3樓!B:B,B34,忠孝國際醫學3樓!G:G)</f>
        <v/>
      </c>
      <c r="J34" s="227">
        <f>SUMIF(忠孝健康7樓!B:B,B34,忠孝健康7樓!G:G)</f>
        <v/>
      </c>
      <c r="K34" s="200" t="n"/>
      <c r="L34" s="200" t="n"/>
      <c r="M34" s="200" t="n"/>
      <c r="N34" s="200" t="n"/>
      <c r="O34" s="200" t="n"/>
      <c r="P34" s="200" t="n"/>
      <c r="Q34" s="200" t="n"/>
      <c r="R34" s="200" t="n"/>
      <c r="S34" s="200" t="n"/>
      <c r="T34" s="200" t="n"/>
      <c r="U34" s="200" t="n"/>
      <c r="V34" s="200" t="n"/>
      <c r="W34" s="200" t="n"/>
      <c r="X34" s="200" t="n"/>
      <c r="Y34" s="200" t="n"/>
      <c r="Z34" s="200" t="n"/>
      <c r="AA34" s="200" t="n"/>
      <c r="AB34" s="200" t="n"/>
      <c r="AC34" s="200" t="n"/>
      <c r="AD34" s="200" t="n"/>
      <c r="AE34" s="200" t="n"/>
      <c r="AF34" s="200" t="n"/>
      <c r="AG34" s="200" t="n"/>
      <c r="AH34" s="200" t="n"/>
      <c r="AI34" s="200" t="n"/>
      <c r="AJ34" s="201" t="n"/>
      <c r="AK34" s="201" t="n"/>
      <c r="AL34" s="201" t="n"/>
      <c r="AM34" s="201" t="n"/>
      <c r="AN34" s="201" t="n"/>
      <c r="AO34" s="201" t="n"/>
      <c r="AP34" s="201" t="n"/>
      <c r="AQ34" s="201" t="n"/>
      <c r="AR34" s="201" t="n"/>
      <c r="AS34" s="201" t="n"/>
      <c r="AT34" s="201" t="n"/>
      <c r="AU34" s="203" t="n"/>
      <c r="AV34" s="204" t="n"/>
      <c r="AW34" s="513" t="n"/>
      <c r="AX34" s="203" t="n"/>
      <c r="AY34" s="203" t="n"/>
      <c r="AZ34" s="203" t="n"/>
      <c r="BA34" s="203" t="n"/>
      <c r="BB34" s="203" t="n"/>
      <c r="BC34" s="203" t="n"/>
      <c r="BD34" s="206" t="n"/>
      <c r="BE34" s="206" t="n"/>
      <c r="BF34" s="206" t="n"/>
      <c r="BG34" s="206" t="n"/>
      <c r="BH34" s="203" t="n"/>
      <c r="BI34" s="206" t="n"/>
      <c r="BJ34" s="206" t="n"/>
      <c r="BK34" s="206" t="n"/>
      <c r="BL34" s="206" t="n"/>
      <c r="BM34" s="203" t="n"/>
      <c r="BN34" s="206" t="n"/>
      <c r="BO34" s="206" t="n"/>
      <c r="BP34" s="206" t="n"/>
      <c r="BQ34" s="206" t="n"/>
      <c r="BR34" s="203" t="n"/>
      <c r="BS34" s="206" t="n"/>
      <c r="BT34" s="206" t="n"/>
      <c r="BU34" s="206" t="n"/>
      <c r="BV34" s="206" t="n"/>
      <c r="BW34" s="208" t="n"/>
      <c r="BX34" s="216" t="n"/>
      <c r="BY34" s="216" t="n"/>
      <c r="BZ34" s="216" t="n"/>
      <c r="CA34" s="216" t="n"/>
      <c r="CB34" s="208" t="n"/>
      <c r="CC34" s="216" t="n"/>
      <c r="CD34" s="216" t="n"/>
      <c r="CE34" s="216" t="n"/>
      <c r="CF34" s="216" t="n"/>
      <c r="CG34" s="217" t="n"/>
      <c r="CH34" s="216" t="n"/>
      <c r="CI34" s="216" t="n"/>
      <c r="CJ34" s="216" t="n"/>
      <c r="CK34" s="216" t="n"/>
      <c r="CL34" s="207" t="n"/>
      <c r="CM34" s="207" t="n"/>
      <c r="CN34" s="217" t="n"/>
      <c r="CO34" s="216" t="n"/>
      <c r="CP34" s="216" t="n"/>
      <c r="CQ34" s="216" t="n"/>
      <c r="CR34" s="216" t="n"/>
      <c r="CS34" s="208" t="n"/>
      <c r="CT34" s="216" t="n"/>
      <c r="CU34" s="216" t="n"/>
      <c r="CV34" s="216" t="n"/>
      <c r="CW34" s="216" t="n"/>
      <c r="CX34" s="216" t="n"/>
      <c r="CY34" s="208" t="n"/>
      <c r="CZ34" s="216" t="n"/>
      <c r="DA34" s="216" t="n"/>
      <c r="DB34" s="216" t="n"/>
      <c r="DC34" s="216" t="n"/>
      <c r="DD34" s="216" t="n"/>
      <c r="DE34" s="208" t="n"/>
      <c r="DF34" s="216" t="n"/>
      <c r="DG34" s="216" t="n"/>
      <c r="DH34" s="216" t="n"/>
      <c r="DI34" s="216" t="n"/>
      <c r="DJ34" s="216" t="n"/>
      <c r="DK34" s="208">
        <f>SUMIFS(領用表!$L:$L,領用表!$A:$A,DK$2,領用表!$E:$E,$B34)</f>
        <v/>
      </c>
      <c r="DL34" s="216">
        <f>SUMIFS(領用表!$L:$L,領用表!$E:$E,$B34,領用表!$B:$B,DK$2&amp;DL$2)</f>
        <v/>
      </c>
      <c r="DM34" s="216">
        <f>SUMIFS(領用表!$L:$L,領用表!$E:$E,$B34,領用表!$B:$B,$DK$2&amp;DM$2)</f>
        <v/>
      </c>
      <c r="DN34" s="216">
        <f>SUMIFS(領用表!$L:$L,領用表!$E:$E,$B34,領用表!$B:$B,$DK$2&amp;DN$2)</f>
        <v/>
      </c>
      <c r="DO34" s="216">
        <f>SUMIFS(領用表!$L:$L,領用表!$E:$E,$B34,領用表!$B:$B,$DK$2&amp;DO$2)</f>
        <v/>
      </c>
      <c r="DP34" s="216">
        <f>SUMIFS(領用表!$L:$L,領用表!$E:$E,$B34,領用表!$B:$B,$DK$2&amp;DP$2)</f>
        <v/>
      </c>
      <c r="DQ34" s="208" t="n">
        <v>1</v>
      </c>
      <c r="DR34" s="216" t="n">
        <v>1</v>
      </c>
      <c r="DS34" s="216" t="n"/>
      <c r="DT34" s="216" t="n"/>
      <c r="DU34" s="216" t="n"/>
      <c r="DV34" s="216" t="n"/>
      <c r="DW34" s="216">
        <f>SUM(CN34,CS34,CY34,DE34,DK34,DQ34)</f>
        <v/>
      </c>
      <c r="DX34" s="216">
        <f>AVERAGEA(CN34,CS34,CY34,DE34,DK34,DQ34)</f>
        <v/>
      </c>
      <c r="DY34" s="216">
        <f>SUM(DZ34:EC34)</f>
        <v/>
      </c>
      <c r="DZ34" s="216" t="n"/>
      <c r="EA34" s="216" t="n"/>
      <c r="EB34" s="216" t="n"/>
      <c r="EC34" s="216" t="n"/>
      <c r="ED34" s="215" t="n"/>
      <c r="EE34" s="210" t="n"/>
      <c r="EF34" s="211" t="n"/>
      <c r="EG34" s="211" t="n"/>
      <c r="EH34" s="136" t="n"/>
      <c r="EI34" s="212" t="n"/>
      <c r="EK34" s="213" t="n"/>
    </row>
    <row r="35" ht="15.75" customFormat="1" customHeight="1" s="118">
      <c r="A35" s="136" t="inlineStr">
        <is>
          <t>MP1MA020009A</t>
        </is>
      </c>
      <c r="B35" s="118" t="n">
        <v>6160001</v>
      </c>
      <c r="C35" s="118" t="inlineStr">
        <is>
          <t>艾麗斯皮下填補劑 Aesthe Fill-200mg/ vial</t>
        </is>
      </c>
      <c r="D35" s="228" t="n">
        <v>1</v>
      </c>
      <c r="E35" s="198" t="inlineStr">
        <is>
          <t>PCS</t>
        </is>
      </c>
      <c r="F35" s="199">
        <f>SUMIF(站前4樓!B:B,B35,站前4樓!F:F)</f>
        <v/>
      </c>
      <c r="G35" s="199">
        <f>SUMIF(站前11樓!B:B,B35,站前11樓!F:F)</f>
        <v/>
      </c>
      <c r="H35" s="199">
        <f>SUMIF(忠孝7樓!B:B,B35,忠孝7樓!G:G)</f>
        <v/>
      </c>
      <c r="I35" s="199">
        <f>SUMIF(忠孝國際醫學3樓!B:B,B35,忠孝國際醫學3樓!G:G)</f>
        <v/>
      </c>
      <c r="J35" s="199">
        <f>SUMIF(忠孝健康7樓!B:B,B35,忠孝健康7樓!G:G)</f>
        <v/>
      </c>
      <c r="K35" s="220" t="n">
        <v>0</v>
      </c>
      <c r="L35" s="220" t="n">
        <v>0.05</v>
      </c>
      <c r="M35" s="200" t="n">
        <v>1</v>
      </c>
      <c r="N35" s="200" t="n">
        <v>11</v>
      </c>
      <c r="O35" s="200" t="n">
        <v>12</v>
      </c>
      <c r="P35" s="200" t="n">
        <v>2</v>
      </c>
      <c r="Q35" s="200" t="n">
        <v>2</v>
      </c>
      <c r="R35" s="200" t="n">
        <v>3</v>
      </c>
      <c r="S35" s="200" t="n">
        <v>2</v>
      </c>
      <c r="T35" s="200" t="n">
        <v>0</v>
      </c>
      <c r="U35" s="200" t="n">
        <v>1</v>
      </c>
      <c r="V35" s="200" t="n">
        <v>1</v>
      </c>
      <c r="W35" s="200" t="n">
        <v>5</v>
      </c>
      <c r="X35" s="200" t="n">
        <v>2</v>
      </c>
      <c r="Y35" s="200" t="n">
        <v>1</v>
      </c>
      <c r="Z35" s="200" t="n">
        <v>0</v>
      </c>
      <c r="AA35" s="200" t="n">
        <v>2</v>
      </c>
      <c r="AB35" s="200" t="n">
        <v>1</v>
      </c>
      <c r="AC35" s="200" t="n">
        <v>0</v>
      </c>
      <c r="AD35" s="200" t="n">
        <v>0</v>
      </c>
      <c r="AE35" s="200" t="n">
        <v>0</v>
      </c>
      <c r="AF35" s="200" t="n">
        <v>0</v>
      </c>
      <c r="AG35" s="200" t="n">
        <v>0</v>
      </c>
      <c r="AH35" s="200" t="n">
        <v>0</v>
      </c>
      <c r="AI35" s="200" t="n">
        <v>0</v>
      </c>
      <c r="AJ35" s="201" t="n">
        <v>1</v>
      </c>
      <c r="AK35" s="201" t="n">
        <v>2</v>
      </c>
      <c r="AL35" s="201" t="n">
        <v>2</v>
      </c>
      <c r="AM35" s="201" t="n">
        <v>7</v>
      </c>
      <c r="AN35" s="201" t="n">
        <v>4</v>
      </c>
      <c r="AO35" s="201" t="n">
        <v>4</v>
      </c>
      <c r="AP35" s="201" t="n">
        <v>4</v>
      </c>
      <c r="AQ35" s="201" t="n">
        <v>9</v>
      </c>
      <c r="AR35" s="201" t="n">
        <v>5</v>
      </c>
      <c r="AS35" s="201" t="n">
        <v>3</v>
      </c>
      <c r="AT35" s="512" t="n">
        <v>0</v>
      </c>
      <c r="AU35" s="203" t="n">
        <v>1</v>
      </c>
      <c r="AV35" s="204">
        <f>SUM(AJ35:AU35)</f>
        <v/>
      </c>
      <c r="AW35" s="513">
        <f>AV35/12</f>
        <v/>
      </c>
      <c r="AX35" s="203" t="n">
        <v>5</v>
      </c>
      <c r="AY35" s="203" t="n">
        <v>3</v>
      </c>
      <c r="AZ35" s="203" t="n">
        <v>0</v>
      </c>
      <c r="BA35" s="203" t="n">
        <v>0</v>
      </c>
      <c r="BB35" s="203" t="n">
        <v>0</v>
      </c>
      <c r="BC35" s="203">
        <f>SUMIFS(領用表!$L:$L,領用表!$A:$A,BC$2,領用表!$E:$E,B35)</f>
        <v/>
      </c>
      <c r="BD35" s="206">
        <f>SUMIFS(領用表!$L:$L,領用表!$E:$E,$B35,領用表!$B:$B,BC$2&amp;BD$2)</f>
        <v/>
      </c>
      <c r="BE35" s="206">
        <f>SUMIFS(領用表!$L:$L,領用表!$E:$E,$B35,領用表!$B:$B,$BC$2&amp;BE$2)</f>
        <v/>
      </c>
      <c r="BF35" s="206">
        <f>SUMIFS(領用表!$L:$L,領用表!$E:$E,$B35,領用表!$B:$B,$BC$2&amp;BF$2)</f>
        <v/>
      </c>
      <c r="BG35" s="206">
        <f>SUMIFS(領用表!$L:$L,領用表!$E:$E,$B35,領用表!$B:$B,$BC$2&amp;BG$2)</f>
        <v/>
      </c>
      <c r="BH35" s="203">
        <f>SUMIFS(領用表!$L:$L,領用表!$A:$A,BH$2,領用表!$E:$E,B35)</f>
        <v/>
      </c>
      <c r="BI35" s="206">
        <f>SUMIFS(領用表!$L:$L,領用表!$E:$E,$B35,領用表!$B:$B,BH$2&amp;BI$2)</f>
        <v/>
      </c>
      <c r="BJ35" s="206">
        <f>SUMIFS(領用表!$L:$L,領用表!$E:$E,$B35,領用表!$B:$B,$BH$2&amp;BJ$2)</f>
        <v/>
      </c>
      <c r="BK35" s="206">
        <f>SUMIFS(領用表!$L:$L,領用表!$E:$E,$B35,領用表!$B:$B,$BH$2&amp;BK$2)</f>
        <v/>
      </c>
      <c r="BL35" s="206">
        <f>SUMIFS(領用表!$L:$L,領用表!$E:$E,$B35,領用表!$B:$B,$BH$2&amp;BL$2)</f>
        <v/>
      </c>
      <c r="BM35" s="203">
        <f>SUMIFS(領用表!$L:$L,領用表!$A:$A,BM$2,領用表!$E:$E,B35)</f>
        <v/>
      </c>
      <c r="BN35" s="206">
        <f>SUMIFS(領用表!$L:$L,領用表!$E:$E,$B35,領用表!$B:$B,BM$2&amp;BN$2)</f>
        <v/>
      </c>
      <c r="BO35" s="206">
        <f>SUMIFS(領用表!$L:$L,領用表!$E:$E,$B35,領用表!$B:$B,$BM$2&amp;BO$2)</f>
        <v/>
      </c>
      <c r="BP35" s="206">
        <f>SUMIFS(領用表!$L:$L,領用表!$E:$E,$B35,領用表!$B:$B,$BM$2&amp;BP$2)</f>
        <v/>
      </c>
      <c r="BQ35" s="206">
        <f>SUMIFS(領用表!$L:$L,領用表!$E:$E,$B35,領用表!$B:$B,$BM$2&amp;BQ$2)</f>
        <v/>
      </c>
      <c r="BR35" s="203">
        <f>SUMIFS(領用表!$L:$L,領用表!$A:$A,BR$2,領用表!$E:$E,B35)</f>
        <v/>
      </c>
      <c r="BS35" s="206">
        <f>SUMIFS(領用表!$L:$L,領用表!$E:$E,$B35,領用表!$B:$B,BR$2&amp;BS$2)</f>
        <v/>
      </c>
      <c r="BT35" s="206">
        <f>SUMIFS(領用表!$L:$L,領用表!$E:$E,$B35,領用表!$B:$B,$BR$2&amp;BT$2)</f>
        <v/>
      </c>
      <c r="BU35" s="206">
        <f>SUMIFS(領用表!$L:$L,領用表!$E:$E,$B35,領用表!$B:$B,$BR$2&amp;BU$2)</f>
        <v/>
      </c>
      <c r="BV35" s="206">
        <f>SUMIFS(領用表!$L:$L,領用表!$E:$E,$B35,領用表!$B:$B,$BR$2&amp;BV$2)</f>
        <v/>
      </c>
      <c r="BW35" s="208">
        <f>SUMIFS(領用表!$L:$L,領用表!$A:$A,BW$2,領用表!$E:$E,B35)</f>
        <v/>
      </c>
      <c r="BX35" s="206">
        <f>SUMIFS(領用表!$L:$L,領用表!$E:$E,$B35,領用表!$B:$B,BW$2&amp;BX$2)</f>
        <v/>
      </c>
      <c r="BY35" s="206">
        <f>SUMIFS(領用表!$L:$L,領用表!$E:$E,$B35,領用表!$B:$B,$BW$2&amp;BY$2)</f>
        <v/>
      </c>
      <c r="BZ35" s="206">
        <f>SUMIFS(領用表!$L:$L,領用表!$E:$E,$B35,領用表!$B:$B,$BW$2&amp;BZ$2)</f>
        <v/>
      </c>
      <c r="CA35" s="206">
        <f>SUMIFS(領用表!$L:$L,領用表!$E:$E,$B35,領用表!$B:$B,$BW$2&amp;CA$2)</f>
        <v/>
      </c>
      <c r="CB35" s="208">
        <f>SUMIFS(領用表!$L:$L,領用表!$A:$A,CB$2,領用表!$E:$E,B35)</f>
        <v/>
      </c>
      <c r="CC35" s="206">
        <f>SUMIFS(領用表!$L:$L,領用表!$E:$E,$B35,領用表!$B:$B,CB$2&amp;CC$2)</f>
        <v/>
      </c>
      <c r="CD35" s="206">
        <f>SUMIFS(領用表!$L:$L,領用表!$E:$E,$B35,領用表!$B:$B,$CB$2&amp;CD$2)</f>
        <v/>
      </c>
      <c r="CE35" s="206">
        <f>SUMIFS(領用表!$L:$L,領用表!$E:$E,$B35,領用表!$B:$B,$CB$2&amp;CE$2)</f>
        <v/>
      </c>
      <c r="CF35" s="206">
        <f>SUMIFS(領用表!$L:$L,領用表!$E:$E,$B35,領用表!$B:$B,$CB$2&amp;CF$2)</f>
        <v/>
      </c>
      <c r="CG35" s="208">
        <f>SUMIFS(領用表!$L:$L,領用表!$A:$A,CG$2,領用表!$E:$E,B35)</f>
        <v/>
      </c>
      <c r="CH35" s="206">
        <f>SUMIFS(領用表!$L:$L,領用表!$E:$E,$B35,領用表!$B:$B,CG$2&amp;CH$2)</f>
        <v/>
      </c>
      <c r="CI35" s="206">
        <f>SUMIFS(領用表!$L:$L,領用表!$E:$E,$B35,領用表!$B:$B,CG$2&amp;CI$2)</f>
        <v/>
      </c>
      <c r="CJ35" s="206">
        <f>SUMIFS(領用表!$L:$L,領用表!$E:$E,$B35,領用表!$B:$B,CG$2&amp;CJ$2)</f>
        <v/>
      </c>
      <c r="CK35" s="206">
        <f>SUMIFS(領用表!$L:$L,領用表!$E:$E,$B35,領用表!$B:$B,$CG$2&amp;CK$2)</f>
        <v/>
      </c>
      <c r="CL35" s="207">
        <f>SUM(AX35,AY35,AZ35,BA35,BB35,BC35,BH35,BM35,BR35,BW35,CB35,CG35)</f>
        <v/>
      </c>
      <c r="CM35" s="207">
        <f>AVERAGE(AX35,AY35,AZ35,BA35,BB35,BC35,BH35,BM35,BR35,BW35,CB35,CG35)</f>
        <v/>
      </c>
      <c r="CN35" s="208">
        <f>SUMIFS(領用表!$L:$L,領用表!$A:$A,CN$2,領用表!$E:$E,B35)</f>
        <v/>
      </c>
      <c r="CO35" s="206">
        <f>SUMIFS(領用表!$L:$L,領用表!$E:$E,$B35,領用表!$B:$B,CN$2&amp;CO$2)</f>
        <v/>
      </c>
      <c r="CP35" s="206">
        <f>SUMIFS(領用表!$L:$L,領用表!$E:$E,$B35,領用表!$B:$B,$CN$2&amp;CP$2)</f>
        <v/>
      </c>
      <c r="CQ35" s="206">
        <f>SUMIFS(領用表!$L:$L,領用表!$E:$E,$B35,領用表!$B:$B,$CN$2&amp;CQ$2)</f>
        <v/>
      </c>
      <c r="CR35" s="206">
        <f>SUMIFS(領用表!$L:$L,領用表!$E:$E,$B35,領用表!$B:$B,$CN$2&amp;CR$2)</f>
        <v/>
      </c>
      <c r="CS35" s="208">
        <f>SUMIFS(領用表!$L:$L,領用表!$A:$A,CS$2,領用表!$E:$E,B35)</f>
        <v/>
      </c>
      <c r="CT35" s="206">
        <f>SUMIFS(領用表!$L:$L,領用表!$E:$E,$B35,領用表!$B:$B,CS$2&amp;CT$2)</f>
        <v/>
      </c>
      <c r="CU35" s="206">
        <f>SUMIFS(領用表!$L:$L,領用表!$E:$E,$B35,領用表!$B:$B,$CS$2&amp;CU$2)</f>
        <v/>
      </c>
      <c r="CV35" s="206">
        <f>SUMIFS(領用表!$L:$L,領用表!$E:$E,$B35,領用表!$B:$B,$CS$2&amp;CV$2)</f>
        <v/>
      </c>
      <c r="CW35" s="206">
        <f>SUMIFS(領用表!$L:$L,領用表!$E:$E,$B35,領用表!$B:$B,$CS$2&amp;CW$2)</f>
        <v/>
      </c>
      <c r="CX35" s="206">
        <f>SUMIFS(領用表!$L:$L,領用表!$E:$E,$B35,領用表!$B:$B,$CS$2&amp;CX$2)</f>
        <v/>
      </c>
      <c r="CY35" s="208">
        <f>SUMIFS(領用表!$L:$L,領用表!$A:$A,CY$2,領用表!$E:$E,B35)</f>
        <v/>
      </c>
      <c r="CZ35" s="206">
        <f>SUMIFS(領用表!$L:$L,領用表!$E:$E,$B35,領用表!$B:$B,CY$2&amp;CZ$2)</f>
        <v/>
      </c>
      <c r="DA35" s="206">
        <f>SUMIFS(領用表!$L:$L,領用表!$E:$E,$B35,領用表!$B:$B,$CY$2&amp;DA$2)</f>
        <v/>
      </c>
      <c r="DB35" s="206">
        <f>SUMIFS(領用表!$L:$L,領用表!$E:$E,$B35,領用表!$B:$B,$CY$2&amp;DB$2)</f>
        <v/>
      </c>
      <c r="DC35" s="206">
        <f>SUMIFS(領用表!$L:$L,領用表!$E:$E,$B35,領用表!$B:$B,$CY$2&amp;DC$2)</f>
        <v/>
      </c>
      <c r="DD35" s="206">
        <f>SUMIFS(領用表!$L:$L,領用表!$E:$E,$B35,領用表!$B:$B,$CY$2&amp;DD$2)</f>
        <v/>
      </c>
      <c r="DE35" s="208">
        <f>SUMIFS(領用表!$L:$L,領用表!$A:$A,DE$2,領用表!$E:$E,B35)</f>
        <v/>
      </c>
      <c r="DF35" s="206">
        <f>SUMIFS(領用表!$L:$L,領用表!$E:$E,$B35,領用表!$B:$B,DE$2&amp;DF$2)</f>
        <v/>
      </c>
      <c r="DG35" s="206">
        <f>SUMIFS(領用表!$L:$L,領用表!$E:$E,$B35,領用表!$B:$B,$DE$2&amp;DG$2)</f>
        <v/>
      </c>
      <c r="DH35" s="206">
        <f>SUMIFS(領用表!$L:$L,領用表!$E:$E,$B35,領用表!$B:$B,$DE$2&amp;DH$2)</f>
        <v/>
      </c>
      <c r="DI35" s="206">
        <f>SUMIFS(領用表!$L:$L,領用表!$E:$E,$B35,領用表!$B:$B,$DE$2&amp;DI$2)</f>
        <v/>
      </c>
      <c r="DJ35" s="206">
        <f>SUMIFS(領用表!$L:$L,領用表!$E:$E,$B35,領用表!$B:$B,$DE$2&amp;DJ$2)</f>
        <v/>
      </c>
      <c r="DK35" s="208">
        <f>SUMIFS(領用表!$L:$L,領用表!$A:$A,DK$2,領用表!$E:$E,$B35)</f>
        <v/>
      </c>
      <c r="DL35" s="206">
        <f>SUMIFS(領用表!$L:$L,領用表!$E:$E,$B35,領用表!$B:$B,DK$2&amp;DL$2)</f>
        <v/>
      </c>
      <c r="DM35" s="206">
        <f>SUMIFS(領用表!$L:$L,領用表!$E:$E,$B35,領用表!$B:$B,$DK$2&amp;DM$2)</f>
        <v/>
      </c>
      <c r="DN35" s="206">
        <f>SUMIFS(領用表!$L:$L,領用表!$E:$E,$B35,領用表!$B:$B,$DK$2&amp;DN$2)</f>
        <v/>
      </c>
      <c r="DO35" s="206">
        <f>SUMIFS(領用表!$L:$L,領用表!$E:$E,$B35,領用表!$B:$B,$DK$2&amp;DO$2)</f>
        <v/>
      </c>
      <c r="DP35" s="206">
        <f>SUMIFS(領用表!$L:$L,領用表!$E:$E,$B35,領用表!$B:$B,$DK$2&amp;DP$2)</f>
        <v/>
      </c>
      <c r="DQ35" s="208" t="n"/>
      <c r="DR35" s="206" t="n"/>
      <c r="DS35" s="206" t="n"/>
      <c r="DT35" s="206" t="n"/>
      <c r="DU35" s="206" t="n"/>
      <c r="DV35" s="206" t="n"/>
      <c r="DW35" s="206">
        <f>SUM(CN35,CS35,CY35,DE35,DK35,DQ35)</f>
        <v/>
      </c>
      <c r="DX35" s="206">
        <f>AVERAGEA(CN35,CS35,CY35,DE35,DK35,DQ35)</f>
        <v/>
      </c>
      <c r="DY35" s="206">
        <f>SUM(DZ35:EC35)</f>
        <v/>
      </c>
      <c r="DZ35" s="206" t="n">
        <v>3</v>
      </c>
      <c r="EA35" s="206" t="n">
        <v>0</v>
      </c>
      <c r="EB35" s="206" t="n">
        <v>3</v>
      </c>
      <c r="EC35" s="206" t="n">
        <v>0</v>
      </c>
      <c r="ED35" s="215" t="n">
        <v>10</v>
      </c>
      <c r="EE35" s="210" t="n"/>
      <c r="EF35" s="211" t="n"/>
      <c r="EG35" s="211" t="n"/>
      <c r="EH35" s="136" t="n"/>
      <c r="EI35" s="212" t="n"/>
      <c r="EJ35" s="118">
        <f>IFERROR(VLOOKUP(A35,站前4樓!A:BF,57,0),0)</f>
        <v/>
      </c>
      <c r="EK35" s="213">
        <f>IFERROR(VLOOKUP(A35,站前11樓!A:BE,57,0),0)</f>
        <v/>
      </c>
      <c r="EL35" s="118">
        <f>IFERROR(VLOOKUP(A35,忠孝7樓!A:N,57,0),0)</f>
        <v/>
      </c>
      <c r="EM35" s="118">
        <f>IFERROR(VLOOKUP(A35,忠孝國際醫學3樓!A:L,57,0),0)</f>
        <v/>
      </c>
      <c r="EN35" s="118">
        <f>SUM(ED35:EG35)</f>
        <v/>
      </c>
      <c r="EP35" s="118" t="n">
        <v>21</v>
      </c>
      <c r="EQ35" s="118" t="n">
        <v>9</v>
      </c>
    </row>
    <row r="36" ht="15.75" customFormat="1" customHeight="1" s="118" thickBot="1">
      <c r="A36" s="136" t="inlineStr">
        <is>
          <t>MP1MA020028A</t>
        </is>
      </c>
      <c r="B36" s="118" t="n">
        <v>6150012</v>
      </c>
      <c r="C36" s="131" t="inlineStr">
        <is>
          <t>膚美康 2.5cc/支</t>
        </is>
      </c>
      <c r="D36" s="228" t="n">
        <v>1</v>
      </c>
      <c r="E36" s="198" t="inlineStr">
        <is>
          <t>PCS</t>
        </is>
      </c>
      <c r="F36" s="227">
        <f>SUMIF(站前4樓!B:B,B36,站前4樓!F:F)</f>
        <v/>
      </c>
      <c r="G36" s="227">
        <f>SUMIF(站前11樓!B:B,B36,站前11樓!F:F)</f>
        <v/>
      </c>
      <c r="H36" s="227">
        <f>SUMIF(忠孝7樓!B:B,B36,忠孝7樓!G:G)</f>
        <v/>
      </c>
      <c r="I36" s="227">
        <f>SUMIF(忠孝國際醫學3樓!B:B,B36,忠孝國際醫學3樓!G:G)</f>
        <v/>
      </c>
      <c r="J36" s="227">
        <f>SUMIF(忠孝健康7樓!B:B,B36,忠孝健康7樓!G:G)</f>
        <v/>
      </c>
      <c r="K36" s="200" t="n"/>
      <c r="L36" s="200" t="n"/>
      <c r="M36" s="200" t="n"/>
      <c r="N36" s="200" t="n"/>
      <c r="O36" s="200" t="n"/>
      <c r="P36" s="200" t="n"/>
      <c r="Q36" s="200" t="n"/>
      <c r="R36" s="200" t="n"/>
      <c r="S36" s="200" t="n"/>
      <c r="T36" s="200" t="n"/>
      <c r="U36" s="200" t="n"/>
      <c r="V36" s="200" t="n"/>
      <c r="W36" s="200" t="n"/>
      <c r="X36" s="200" t="n"/>
      <c r="Y36" s="200" t="n"/>
      <c r="Z36" s="200" t="n"/>
      <c r="AA36" s="200" t="n"/>
      <c r="AB36" s="200" t="n"/>
      <c r="AC36" s="200" t="n"/>
      <c r="AD36" s="200" t="n"/>
      <c r="AE36" s="200" t="n"/>
      <c r="AF36" s="200" t="n"/>
      <c r="AG36" s="200" t="n"/>
      <c r="AH36" s="200" t="n"/>
      <c r="AI36" s="200" t="n"/>
      <c r="AJ36" s="201" t="n"/>
      <c r="AK36" s="201" t="n"/>
      <c r="AL36" s="201" t="n"/>
      <c r="AM36" s="201" t="n"/>
      <c r="AN36" s="201" t="n"/>
      <c r="AO36" s="201" t="n"/>
      <c r="AP36" s="201" t="n"/>
      <c r="AQ36" s="201" t="n"/>
      <c r="AR36" s="201" t="n"/>
      <c r="AS36" s="201" t="n"/>
      <c r="AT36" s="512" t="n"/>
      <c r="AU36" s="203" t="n"/>
      <c r="AV36" s="204" t="inlineStr">
        <is>
          <t>-</t>
        </is>
      </c>
      <c r="AW36" s="513" t="inlineStr">
        <is>
          <t>-</t>
        </is>
      </c>
      <c r="AX36" s="513" t="inlineStr">
        <is>
          <t>-</t>
        </is>
      </c>
      <c r="AY36" s="513" t="inlineStr">
        <is>
          <t>-</t>
        </is>
      </c>
      <c r="AZ36" s="513" t="inlineStr">
        <is>
          <t>-</t>
        </is>
      </c>
      <c r="BA36" s="203" t="inlineStr">
        <is>
          <t>-</t>
        </is>
      </c>
      <c r="BB36" s="203" t="inlineStr">
        <is>
          <t>-</t>
        </is>
      </c>
      <c r="BC36" s="203">
        <f>SUMIFS(領用表!$L:$L,領用表!$A:$A,BC$2,領用表!$E:$E,B36)</f>
        <v/>
      </c>
      <c r="BD36" s="206">
        <f>SUMIFS(領用表!$L:$L,領用表!$E:$E,$B36,領用表!$B:$B,BC$2&amp;BD$2)</f>
        <v/>
      </c>
      <c r="BE36" s="206">
        <f>SUMIFS(領用表!$L:$L,領用表!$E:$E,$B36,領用表!$B:$B,$BC$2&amp;BE$2)</f>
        <v/>
      </c>
      <c r="BF36" s="206">
        <f>SUMIFS(領用表!$L:$L,領用表!$E:$E,$B36,領用表!$B:$B,$BC$2&amp;BF$2)</f>
        <v/>
      </c>
      <c r="BG36" s="206">
        <f>SUMIFS(領用表!$L:$L,領用表!$E:$E,$B36,領用表!$B:$B,$BC$2&amp;BG$2)</f>
        <v/>
      </c>
      <c r="BH36" s="203">
        <f>SUMIFS(領用表!$L:$L,領用表!$A:$A,BH$2,領用表!$E:$E,B36)</f>
        <v/>
      </c>
      <c r="BI36" s="206">
        <f>SUMIFS(領用表!$L:$L,領用表!$E:$E,$B36,領用表!$B:$B,BH$2&amp;BI$2)</f>
        <v/>
      </c>
      <c r="BJ36" s="206">
        <f>SUMIFS(領用表!$L:$L,領用表!$E:$E,$B36,領用表!$B:$B,$BH$2&amp;BJ$2)</f>
        <v/>
      </c>
      <c r="BK36" s="206">
        <f>SUMIFS(領用表!$L:$L,領用表!$E:$E,$B36,領用表!$B:$B,$BH$2&amp;BK$2)</f>
        <v/>
      </c>
      <c r="BL36" s="206">
        <f>SUMIFS(領用表!$L:$L,領用表!$E:$E,$B36,領用表!$B:$B,$BH$2&amp;BL$2)</f>
        <v/>
      </c>
      <c r="BM36" s="203">
        <f>SUMIFS(領用表!$L:$L,領用表!$A:$A,BM$2,領用表!$E:$E,B36)</f>
        <v/>
      </c>
      <c r="BN36" s="206">
        <f>SUMIFS(領用表!$L:$L,領用表!$E:$E,$B36,領用表!$B:$B,BM$2&amp;BN$2)</f>
        <v/>
      </c>
      <c r="BO36" s="206">
        <f>SUMIFS(領用表!$L:$L,領用表!$E:$E,$B36,領用表!$B:$B,$BM$2&amp;BO$2)</f>
        <v/>
      </c>
      <c r="BP36" s="206">
        <f>SUMIFS(領用表!$L:$L,領用表!$E:$E,$B36,領用表!$B:$B,$BM$2&amp;BP$2)</f>
        <v/>
      </c>
      <c r="BQ36" s="206">
        <f>SUMIFS(領用表!$L:$L,領用表!$E:$E,$B36,領用表!$B:$B,$BM$2&amp;BQ$2)</f>
        <v/>
      </c>
      <c r="BR36" s="203">
        <f>SUMIFS(領用表!$L:$L,領用表!$A:$A,BR$2,領用表!$E:$E,B36)</f>
        <v/>
      </c>
      <c r="BS36" s="206">
        <f>SUMIFS(領用表!$L:$L,領用表!$E:$E,$B36,領用表!$B:$B,BR$2&amp;BS$2)</f>
        <v/>
      </c>
      <c r="BT36" s="206">
        <f>SUMIFS(領用表!$L:$L,領用表!$E:$E,$B36,領用表!$B:$B,$BR$2&amp;BT$2)</f>
        <v/>
      </c>
      <c r="BU36" s="206">
        <f>SUMIFS(領用表!$L:$L,領用表!$E:$E,$B36,領用表!$B:$B,$BR$2&amp;BU$2)</f>
        <v/>
      </c>
      <c r="BV36" s="206">
        <f>SUMIFS(領用表!$L:$L,領用表!$E:$E,$B36,領用表!$B:$B,$BR$2&amp;BV$2)</f>
        <v/>
      </c>
      <c r="BW36" s="208">
        <f>SUMIFS(領用表!$L:$L,領用表!$A:$A,BW$2,領用表!$E:$E,B36)</f>
        <v/>
      </c>
      <c r="BX36" s="206">
        <f>SUMIFS(領用表!$L:$L,領用表!$E:$E,$B36,領用表!$B:$B,BW$2&amp;BX$2)</f>
        <v/>
      </c>
      <c r="BY36" s="206">
        <f>SUMIFS(領用表!$L:$L,領用表!$E:$E,$B36,領用表!$B:$B,$BW$2&amp;BY$2)</f>
        <v/>
      </c>
      <c r="BZ36" s="206">
        <f>SUMIFS(領用表!$L:$L,領用表!$E:$E,$B36,領用表!$B:$B,$BW$2&amp;BZ$2)</f>
        <v/>
      </c>
      <c r="CA36" s="206">
        <f>SUMIFS(領用表!$L:$L,領用表!$E:$E,$B36,領用表!$B:$B,$BW$2&amp;CA$2)</f>
        <v/>
      </c>
      <c r="CB36" s="208">
        <f>SUMIFS(領用表!$L:$L,領用表!$A:$A,CB$2,領用表!$E:$E,B36)</f>
        <v/>
      </c>
      <c r="CC36" s="206">
        <f>SUMIFS(領用表!$L:$L,領用表!$E:$E,$B36,領用表!$B:$B,CB$2&amp;CC$2)</f>
        <v/>
      </c>
      <c r="CD36" s="206">
        <f>SUMIFS(領用表!$L:$L,領用表!$E:$E,$B36,領用表!$B:$B,$CB$2&amp;CD$2)</f>
        <v/>
      </c>
      <c r="CE36" s="206">
        <f>SUMIFS(領用表!$L:$L,領用表!$E:$E,$B36,領用表!$B:$B,$CB$2&amp;CE$2)</f>
        <v/>
      </c>
      <c r="CF36" s="206">
        <f>SUMIFS(領用表!$L:$L,領用表!$E:$E,$B36,領用表!$B:$B,$CB$2&amp;CF$2)</f>
        <v/>
      </c>
      <c r="CG36" s="208">
        <f>SUMIFS(領用表!$L:$L,領用表!$A:$A,CG$2,領用表!$E:$E,B36)</f>
        <v/>
      </c>
      <c r="CH36" s="206">
        <f>SUMIFS(領用表!$L:$L,領用表!$E:$E,$B36,領用表!$B:$B,CG$2&amp;CH$2)</f>
        <v/>
      </c>
      <c r="CI36" s="206">
        <f>SUMIFS(領用表!$L:$L,領用表!$E:$E,$B36,領用表!$B:$B,CG$2&amp;CI$2)</f>
        <v/>
      </c>
      <c r="CJ36" s="206">
        <f>SUMIFS(領用表!$L:$L,領用表!$E:$E,$B36,領用表!$B:$B,CG$2&amp;CJ$2)</f>
        <v/>
      </c>
      <c r="CK36" s="206">
        <f>SUMIFS(領用表!$L:$L,領用表!$E:$E,$B36,領用表!$B:$B,$CG$2&amp;CK$2)</f>
        <v/>
      </c>
      <c r="CL36" s="207">
        <f>SUM(AX36,AY36,AZ36,BA36,BB36,BC36,BH36,BM36,BR36,BW36,CB36,CG36)</f>
        <v/>
      </c>
      <c r="CM36" s="207">
        <f>AVERAGE(AX36,AY36,AZ36,BA36,BB36,BC36,BH36,BM36,BR36,BW36,CB36,CG36)</f>
        <v/>
      </c>
      <c r="CN36" s="208">
        <f>SUMIFS(領用表!$L:$L,領用表!$A:$A,CN$2,領用表!$E:$E,B36)</f>
        <v/>
      </c>
      <c r="CO36" s="206">
        <f>SUMIFS(領用表!$L:$L,領用表!$E:$E,$B36,領用表!$B:$B,CN$2&amp;CO$2)</f>
        <v/>
      </c>
      <c r="CP36" s="206">
        <f>SUMIFS(領用表!$L:$L,領用表!$E:$E,$B36,領用表!$B:$B,$CN$2&amp;CP$2)</f>
        <v/>
      </c>
      <c r="CQ36" s="206">
        <f>SUMIFS(領用表!$L:$L,領用表!$E:$E,$B36,領用表!$B:$B,$CN$2&amp;CQ$2)</f>
        <v/>
      </c>
      <c r="CR36" s="206">
        <f>SUMIFS(領用表!$L:$L,領用表!$E:$E,$B36,領用表!$B:$B,$CN$2&amp;CR$2)</f>
        <v/>
      </c>
      <c r="CS36" s="208">
        <f>SUMIFS(領用表!$L:$L,領用表!$A:$A,CS$2,領用表!$E:$E,B36)</f>
        <v/>
      </c>
      <c r="CT36" s="206">
        <f>SUMIFS(領用表!$L:$L,領用表!$E:$E,$B36,領用表!$B:$B,CS$2&amp;CT$2)</f>
        <v/>
      </c>
      <c r="CU36" s="206">
        <f>SUMIFS(領用表!$L:$L,領用表!$E:$E,$B36,領用表!$B:$B,$CS$2&amp;CU$2)</f>
        <v/>
      </c>
      <c r="CV36" s="206">
        <f>SUMIFS(領用表!$L:$L,領用表!$E:$E,$B36,領用表!$B:$B,$CS$2&amp;CV$2)</f>
        <v/>
      </c>
      <c r="CW36" s="206">
        <f>SUMIFS(領用表!$L:$L,領用表!$E:$E,$B36,領用表!$B:$B,$CS$2&amp;CW$2)</f>
        <v/>
      </c>
      <c r="CX36" s="206">
        <f>SUMIFS(領用表!$L:$L,領用表!$E:$E,$B36,領用表!$B:$B,$CS$2&amp;CX$2)</f>
        <v/>
      </c>
      <c r="CY36" s="208">
        <f>SUMIFS(領用表!$L:$L,領用表!$A:$A,CY$2,領用表!$E:$E,B36)</f>
        <v/>
      </c>
      <c r="CZ36" s="206">
        <f>SUMIFS(領用表!$L:$L,領用表!$E:$E,$B36,領用表!$B:$B,CY$2&amp;CZ$2)</f>
        <v/>
      </c>
      <c r="DA36" s="206">
        <f>SUMIFS(領用表!$L:$L,領用表!$E:$E,$B36,領用表!$B:$B,$CY$2&amp;DA$2)</f>
        <v/>
      </c>
      <c r="DB36" s="206">
        <f>SUMIFS(領用表!$L:$L,領用表!$E:$E,$B36,領用表!$B:$B,$CY$2&amp;DB$2)</f>
        <v/>
      </c>
      <c r="DC36" s="206">
        <f>SUMIFS(領用表!$L:$L,領用表!$E:$E,$B36,領用表!$B:$B,$CY$2&amp;DC$2)</f>
        <v/>
      </c>
      <c r="DD36" s="206">
        <f>SUMIFS(領用表!$L:$L,領用表!$E:$E,$B36,領用表!$B:$B,$CY$2&amp;DD$2)</f>
        <v/>
      </c>
      <c r="DE36" s="208">
        <f>SUMIFS(領用表!$L:$L,領用表!$A:$A,DE$2,領用表!$E:$E,B36)</f>
        <v/>
      </c>
      <c r="DF36" s="206">
        <f>SUMIFS(領用表!$L:$L,領用表!$E:$E,$B36,領用表!$B:$B,DE$2&amp;DF$2)</f>
        <v/>
      </c>
      <c r="DG36" s="206">
        <f>SUMIFS(領用表!$L:$L,領用表!$E:$E,$B36,領用表!$B:$B,$DE$2&amp;DG$2)</f>
        <v/>
      </c>
      <c r="DH36" s="206">
        <f>SUMIFS(領用表!$L:$L,領用表!$E:$E,$B36,領用表!$B:$B,$DE$2&amp;DH$2)</f>
        <v/>
      </c>
      <c r="DI36" s="206">
        <f>SUMIFS(領用表!$L:$L,領用表!$E:$E,$B36,領用表!$B:$B,$DE$2&amp;DI$2)</f>
        <v/>
      </c>
      <c r="DJ36" s="206">
        <f>SUMIFS(領用表!$L:$L,領用表!$E:$E,$B36,領用表!$B:$B,$DE$2&amp;DJ$2)</f>
        <v/>
      </c>
      <c r="DK36" s="208">
        <f>SUMIFS(領用表!$L:$L,領用表!$A:$A,DK$2,領用表!$E:$E,$B36)</f>
        <v/>
      </c>
      <c r="DL36" s="206">
        <f>SUMIFS(領用表!$L:$L,領用表!$E:$E,$B36,領用表!$B:$B,DK$2&amp;DL$2)</f>
        <v/>
      </c>
      <c r="DM36" s="206">
        <f>SUMIFS(領用表!$L:$L,領用表!$E:$E,$B36,領用表!$B:$B,$DK$2&amp;DM$2)</f>
        <v/>
      </c>
      <c r="DN36" s="206">
        <f>SUMIFS(領用表!$L:$L,領用表!$E:$E,$B36,領用表!$B:$B,$DK$2&amp;DN$2)</f>
        <v/>
      </c>
      <c r="DO36" s="206">
        <f>SUMIFS(領用表!$L:$L,領用表!$E:$E,$B36,領用表!$B:$B,$DK$2&amp;DO$2)</f>
        <v/>
      </c>
      <c r="DP36" s="206">
        <f>SUMIFS(領用表!$L:$L,領用表!$E:$E,$B36,領用表!$B:$B,$DK$2&amp;DP$2)</f>
        <v/>
      </c>
      <c r="DQ36" s="208" t="n"/>
      <c r="DR36" s="206" t="n"/>
      <c r="DS36" s="206" t="n"/>
      <c r="DT36" s="206" t="n"/>
      <c r="DU36" s="206" t="n"/>
      <c r="DV36" s="206" t="n"/>
      <c r="DW36" s="206">
        <f>SUM(CN36,CS36,CY36,DE36,DK36,DQ36)</f>
        <v/>
      </c>
      <c r="DX36" s="206">
        <f>AVERAGEA(CN36,CS36,CY36,DE36,DK36,DQ36)</f>
        <v/>
      </c>
      <c r="DY36" s="206">
        <f>SUM(DZ36:EC36)</f>
        <v/>
      </c>
      <c r="DZ36" s="206" t="n">
        <v>0</v>
      </c>
      <c r="EA36" s="206" t="n">
        <v>0</v>
      </c>
      <c r="EB36" s="206" t="n">
        <v>0</v>
      </c>
      <c r="EC36" s="206" t="n">
        <v>0</v>
      </c>
      <c r="ED36" s="215" t="n">
        <v>0</v>
      </c>
      <c r="EE36" s="224" t="n"/>
      <c r="EF36" s="211" t="n"/>
      <c r="EG36" s="211" t="n"/>
      <c r="EH36" s="136" t="n"/>
      <c r="EI36" s="212" t="n"/>
      <c r="EJ36" s="118">
        <f>IFERROR(VLOOKUP(A36,站前4樓!A:BF,57,0),0)</f>
        <v/>
      </c>
      <c r="EK36" s="213">
        <f>IFERROR(VLOOKUP(A36,站前11樓!A:BE,57,0),0)</f>
        <v/>
      </c>
      <c r="EL36" s="118">
        <f>IFERROR(VLOOKUP(A36,忠孝7樓!A:N,57,0),0)</f>
        <v/>
      </c>
      <c r="EM36" s="118">
        <f>IFERROR(VLOOKUP(A36,忠孝國際醫學3樓!A:L,57,0),0)</f>
        <v/>
      </c>
      <c r="EN36" s="118">
        <f>SUM(ED36:EG36)</f>
        <v/>
      </c>
      <c r="EP36" s="118" t="n">
        <v>13</v>
      </c>
      <c r="EQ36" s="118" t="n">
        <v>12</v>
      </c>
    </row>
    <row r="37" ht="15.75" customFormat="1" customHeight="1" s="128" thickBot="1">
      <c r="A37" s="229" t="inlineStr">
        <is>
          <t>MP1MA020034A</t>
        </is>
      </c>
      <c r="B37" s="230" t="n">
        <v>6150014</v>
      </c>
      <c r="C37" s="231" t="inlineStr">
        <is>
          <t>膚美康(1c.c.)</t>
        </is>
      </c>
      <c r="D37" s="232" t="n">
        <v>2.5</v>
      </c>
      <c r="E37" s="233" t="inlineStr">
        <is>
          <t>c.c.</t>
        </is>
      </c>
      <c r="F37" s="518">
        <f>F36*D37</f>
        <v/>
      </c>
      <c r="G37" s="235">
        <f>SUMIF(站前11樓!B:B,B37,站前11樓!F:F)</f>
        <v/>
      </c>
      <c r="H37" s="518">
        <f>H36*D37</f>
        <v/>
      </c>
      <c r="I37" s="235">
        <f>SUMIF(忠孝國際醫學3樓!B:B,B37,忠孝國際醫學3樓!G:G)</f>
        <v/>
      </c>
      <c r="J37" s="518">
        <f>J36*F37</f>
        <v/>
      </c>
      <c r="K37" s="236" t="n"/>
      <c r="L37" s="236" t="n"/>
      <c r="M37" s="236" t="n"/>
      <c r="N37" s="236" t="n"/>
      <c r="O37" s="236" t="n"/>
      <c r="P37" s="236" t="n"/>
      <c r="Q37" s="236" t="n"/>
      <c r="R37" s="236" t="n"/>
      <c r="S37" s="236" t="n"/>
      <c r="T37" s="236" t="n"/>
      <c r="U37" s="236" t="n"/>
      <c r="V37" s="236" t="n"/>
      <c r="W37" s="236" t="n"/>
      <c r="X37" s="236" t="n"/>
      <c r="Y37" s="236" t="n"/>
      <c r="Z37" s="236" t="n"/>
      <c r="AA37" s="236" t="n"/>
      <c r="AB37" s="236" t="n"/>
      <c r="AC37" s="236" t="n"/>
      <c r="AD37" s="236" t="n"/>
      <c r="AE37" s="236" t="n"/>
      <c r="AF37" s="236" t="n"/>
      <c r="AG37" s="236" t="n"/>
      <c r="AH37" s="236" t="n"/>
      <c r="AI37" s="236" t="n"/>
      <c r="AJ37" s="237" t="n"/>
      <c r="AK37" s="237" t="n"/>
      <c r="AL37" s="237" t="n"/>
      <c r="AM37" s="237" t="n"/>
      <c r="AN37" s="237" t="n"/>
      <c r="AO37" s="237" t="n"/>
      <c r="AP37" s="237" t="n"/>
      <c r="AQ37" s="237" t="n"/>
      <c r="AR37" s="237" t="n"/>
      <c r="AS37" s="237" t="n"/>
      <c r="AT37" s="519" t="n"/>
      <c r="AU37" s="239" t="n"/>
      <c r="AV37" s="240" t="n"/>
      <c r="AW37" s="520" t="n"/>
      <c r="AX37" s="520" t="n"/>
      <c r="AY37" s="520" t="n"/>
      <c r="AZ37" s="520" t="n"/>
      <c r="BA37" s="239" t="n"/>
      <c r="BB37" s="239" t="n"/>
      <c r="BC37" s="239">
        <f>SUMIFS(領用表!$L:$L,領用表!$A:$A,BC$2,領用表!$E:$E,B37)</f>
        <v/>
      </c>
      <c r="BD37" s="242">
        <f>SUMIFS(領用表!$L:$L,領用表!$E:$E,$B37,領用表!$B:$B,BC$2&amp;BD$2)</f>
        <v/>
      </c>
      <c r="BE37" s="242">
        <f>SUMIFS(領用表!$L:$L,領用表!$E:$E,$B37,領用表!$B:$B,$BC$2&amp;BE$2)</f>
        <v/>
      </c>
      <c r="BF37" s="242">
        <f>SUMIFS(領用表!$L:$L,領用表!$E:$E,$B37,領用表!$B:$B,$BC$2&amp;BF$2)</f>
        <v/>
      </c>
      <c r="BG37" s="242">
        <f>SUMIFS(領用表!$L:$L,領用表!$E:$E,$B37,領用表!$B:$B,$BC$2&amp;BG$2)</f>
        <v/>
      </c>
      <c r="BH37" s="239">
        <f>SUMIFS(領用表!$L:$L,領用表!$A:$A,BH$2,領用表!$E:$E,B37)</f>
        <v/>
      </c>
      <c r="BI37" s="242">
        <f>SUMIFS(領用表!$L:$L,領用表!$E:$E,$B37,領用表!$B:$B,BH$2&amp;BI$2)</f>
        <v/>
      </c>
      <c r="BJ37" s="242">
        <f>SUMIFS(領用表!$L:$L,領用表!$E:$E,$B37,領用表!$B:$B,$BH$2&amp;BJ$2)</f>
        <v/>
      </c>
      <c r="BK37" s="242">
        <f>SUMIFS(領用表!$L:$L,領用表!$E:$E,$B37,領用表!$B:$B,$BH$2&amp;BK$2)</f>
        <v/>
      </c>
      <c r="BL37" s="242">
        <f>SUMIFS(領用表!$L:$L,領用表!$E:$E,$B37,領用表!$B:$B,$BH$2&amp;BL$2)</f>
        <v/>
      </c>
      <c r="BM37" s="239">
        <f>SUMIFS(領用表!$L:$L,領用表!$A:$A,BM$2,領用表!$E:$E,B37)</f>
        <v/>
      </c>
      <c r="BN37" s="242">
        <f>SUMIFS(領用表!$L:$L,領用表!$E:$E,$B37,領用表!$B:$B,BM$2&amp;BN$2)</f>
        <v/>
      </c>
      <c r="BO37" s="242">
        <f>SUMIFS(領用表!$L:$L,領用表!$E:$E,$B37,領用表!$B:$B,$BM$2&amp;BO$2)</f>
        <v/>
      </c>
      <c r="BP37" s="242">
        <f>SUMIFS(領用表!$L:$L,領用表!$E:$E,$B37,領用表!$B:$B,$BM$2&amp;BP$2)</f>
        <v/>
      </c>
      <c r="BQ37" s="242">
        <f>SUMIFS(領用表!$L:$L,領用表!$E:$E,$B37,領用表!$B:$B,$BM$2&amp;BQ$2)</f>
        <v/>
      </c>
      <c r="BR37" s="239">
        <f>SUMIFS(領用表!$L:$L,領用表!$A:$A,BR$2,領用表!$E:$E,B37)</f>
        <v/>
      </c>
      <c r="BS37" s="242">
        <f>SUMIFS(領用表!$L:$L,領用表!$E:$E,$B37,領用表!$B:$B,BR$2&amp;BS$2)</f>
        <v/>
      </c>
      <c r="BT37" s="242">
        <f>SUMIFS(領用表!$L:$L,領用表!$E:$E,$B37,領用表!$B:$B,$BR$2&amp;BT$2)</f>
        <v/>
      </c>
      <c r="BU37" s="242">
        <f>SUMIFS(領用表!$L:$L,領用表!$E:$E,$B37,領用表!$B:$B,$BR$2&amp;BU$2)</f>
        <v/>
      </c>
      <c r="BV37" s="242">
        <f>SUMIFS(領用表!$L:$L,領用表!$E:$E,$B37,領用表!$B:$B,$BR$2&amp;BV$2)</f>
        <v/>
      </c>
      <c r="BW37" s="521">
        <f>SUMIFS(領用表!$L:$L,領用表!$A:$A,BW$2,領用表!$E:$E,B37)*D37</f>
        <v/>
      </c>
      <c r="BX37" s="242">
        <f>SUMIFS(領用表!$L:$L,領用表!$E:$E,$B37,領用表!$B:$B,BW$2&amp;BX$2)</f>
        <v/>
      </c>
      <c r="BY37" s="242">
        <f>SUMIFS(領用表!$L:$L,領用表!$E:$E,$B37,領用表!$B:$B,$BW$2&amp;BY$2)</f>
        <v/>
      </c>
      <c r="BZ37" s="242">
        <f>SUMIFS(領用表!$L:$L,領用表!$E:$E,$B37,領用表!$B:$B,$BW$2&amp;BZ$2)</f>
        <v/>
      </c>
      <c r="CA37" s="242">
        <f>SUMIFS(領用表!$L:$L,領用表!$E:$E,$B37,領用表!$B:$B,$BW$2&amp;CA$2)</f>
        <v/>
      </c>
      <c r="CB37" s="521">
        <f>SUMIFS(領用表!$L:$L,領用表!$A:$A,CB$2,領用表!$E:$E,B37)*D37</f>
        <v/>
      </c>
      <c r="CC37" s="242">
        <f>SUMIFS(領用表!$L:$L,領用表!$E:$E,$B37,領用表!$B:$B,CB$2&amp;CC$2)</f>
        <v/>
      </c>
      <c r="CD37" s="242">
        <f>SUMIFS(領用表!$L:$L,領用表!$E:$E,$B37,領用表!$B:$B,$CB$2&amp;CD$2)</f>
        <v/>
      </c>
      <c r="CE37" s="242">
        <f>SUMIFS(領用表!$L:$L,領用表!$E:$E,$B37,領用表!$B:$B,$CB$2&amp;CE$2)</f>
        <v/>
      </c>
      <c r="CF37" s="242">
        <f>SUMIFS(領用表!$L:$L,領用表!$E:$E,$B37,領用表!$B:$B,$CB$2&amp;CF$2)</f>
        <v/>
      </c>
      <c r="CG37" s="243">
        <f>SUMIFS(領用表!$L:$L,領用表!$A:$A,CG$2,領用表!$E:$E,B37)</f>
        <v/>
      </c>
      <c r="CH37" s="242" t="n"/>
      <c r="CI37" s="242" t="n"/>
      <c r="CJ37" s="242" t="n"/>
      <c r="CK37" s="242" t="n"/>
      <c r="CL37" s="522">
        <f>SUM(AX37,AY37,AZ37,BA37,BB37,BC37,BH37,BM37,BR37,BW37,CB37,CG37)</f>
        <v/>
      </c>
      <c r="CM37" s="522">
        <f>AVERAGE(AX37,AY37,AZ37,BA37,BB37,BC37,BH37,BM37,BR37,BW37,CB37,CG37)</f>
        <v/>
      </c>
      <c r="CN37" s="521">
        <f>SUMIFS(領用表!$L:$L,領用表!$A:$A,CN$2,領用表!$E:$E,B37)*D37</f>
        <v/>
      </c>
      <c r="CO37" s="242">
        <f>SUMIFS(領用表!$L:$L,領用表!$E:$E,$B37,領用表!$B:$B,CN$2&amp;CO$2)</f>
        <v/>
      </c>
      <c r="CP37" s="242">
        <f>SUMIFS(領用表!$L:$L,領用表!$E:$E,$B37,領用表!$B:$B,$CN$2&amp;CP$2)</f>
        <v/>
      </c>
      <c r="CQ37" s="242">
        <f>SUMIFS(領用表!$L:$L,領用表!$E:$E,$B37,領用表!$B:$B,$CN$2&amp;CQ$2)</f>
        <v/>
      </c>
      <c r="CR37" s="242">
        <f>SUMIFS(領用表!$L:$L,領用表!$E:$E,$B37,領用表!$B:$B,$CN$2&amp;CR$2)</f>
        <v/>
      </c>
      <c r="CS37" s="242">
        <f>SUMIFS(領用表!$L:$L,領用表!$A:$A,CS$2,領用表!$E:$E,B37)*D37</f>
        <v/>
      </c>
      <c r="CT37" s="242">
        <f>SUMIFS(領用表!$L:$L,領用表!$E:$E,$B37,領用表!$B:$B,CS$2&amp;CT$2)</f>
        <v/>
      </c>
      <c r="CU37" s="242">
        <f>SUMIFS(領用表!$L:$L,領用表!$E:$E,$B37,領用表!$B:$B,$CS$2&amp;CU$2)</f>
        <v/>
      </c>
      <c r="CV37" s="242">
        <f>SUMIFS(領用表!$L:$L,領用表!$E:$E,$B37,領用表!$B:$B,$CS$2&amp;CV$2)</f>
        <v/>
      </c>
      <c r="CW37" s="242">
        <f>SUMIFS(領用表!$L:$L,領用表!$E:$E,$B37,領用表!$B:$B,$CS$2&amp;CW$2)</f>
        <v/>
      </c>
      <c r="CX37" s="242">
        <f>SUMIFS(領用表!$L:$L,領用表!$E:$E,$B37,領用表!$B:$B,$CS$2&amp;CX$2)</f>
        <v/>
      </c>
      <c r="CY37" s="523">
        <f>SUMIFS(領用表!$L:$L,領用表!$A:$A,CY$2,領用表!$E:$E,B37)*D37</f>
        <v/>
      </c>
      <c r="CZ37" s="242">
        <f>SUMIFS(領用表!$L:$L,領用表!$E:$E,$B37,領用表!$B:$B,CY$2&amp;CZ$2)</f>
        <v/>
      </c>
      <c r="DA37" s="242">
        <f>SUMIFS(領用表!$L:$L,領用表!$E:$E,$B37,領用表!$B:$B,$CY$2&amp;DA$2)</f>
        <v/>
      </c>
      <c r="DB37" s="242">
        <f>SUMIFS(領用表!$L:$L,領用表!$E:$E,$B37,領用表!$B:$B,$CY$2&amp;DB$2)</f>
        <v/>
      </c>
      <c r="DC37" s="242">
        <f>SUMIFS(領用表!$L:$L,領用表!$E:$E,$B37,領用表!$B:$B,$CY$2&amp;DC$2)</f>
        <v/>
      </c>
      <c r="DD37" s="242">
        <f>SUMIFS(領用表!$L:$L,領用表!$E:$E,$B37,領用表!$B:$B,$CY$2&amp;DD$2)</f>
        <v/>
      </c>
      <c r="DE37" s="523">
        <f>SUMIFS(領用表!$L:$L,領用表!$A:$A,DE$2,領用表!$E:$E,B37)*D37</f>
        <v/>
      </c>
      <c r="DF37" s="242">
        <f>SUMIFS(領用表!$L:$L,領用表!$E:$E,$B37,領用表!$B:$B,DE$2&amp;DF$2)</f>
        <v/>
      </c>
      <c r="DG37" s="242">
        <f>SUMIFS(領用表!$L:$L,領用表!$E:$E,$B37,領用表!$B:$B,$DE$2&amp;DG$2)*D37</f>
        <v/>
      </c>
      <c r="DH37" s="523">
        <f>SUMIFS(領用表!$L:$L,領用表!$E:$E,$B37,領用表!$B:$B,$DE$2&amp;DH$2)*D37</f>
        <v/>
      </c>
      <c r="DI37" s="242">
        <f>SUMIFS(領用表!$L:$L,領用表!$E:$E,$B37,領用表!$B:$B,$DE$2&amp;DI$2)</f>
        <v/>
      </c>
      <c r="DJ37" s="242">
        <f>SUMIFS(領用表!$L:$L,領用表!$E:$E,$B37,領用表!$B:$B,$DE$2&amp;DJ$2)</f>
        <v/>
      </c>
      <c r="DK37" s="242">
        <f>SUMIFS(領用表!$L:$L,領用表!$A:$A,DK$2,領用表!$E:$E,$B37)</f>
        <v/>
      </c>
      <c r="DL37" s="242">
        <f>SUMIFS(領用表!$L:$L,領用表!$E:$E,$B37,領用表!$B:$B,DK$2&amp;DL$2)*D37</f>
        <v/>
      </c>
      <c r="DM37" s="242">
        <f>SUMIFS(領用表!$L:$L,領用表!$E:$E,$B37,領用表!$B:$B,$DK$2&amp;DM$2)*D37</f>
        <v/>
      </c>
      <c r="DN37" s="242">
        <f>SUMIFS(領用表!$L:$L,領用表!$E:$E,$B37,領用表!$B:$B,$DK$2&amp;DN$2)*D37</f>
        <v/>
      </c>
      <c r="DO37" s="242">
        <f>SUMIFS(領用表!$L:$L,領用表!$E:$E,$B37,領用表!$B:$B,$DK$2&amp;DO$2)*D37</f>
        <v/>
      </c>
      <c r="DP37" s="242">
        <f>SUMIFS(領用表!$L:$L,領用表!$E:$E,$B37,領用表!$B:$B,$DK$2&amp;DP$2)*D37</f>
        <v/>
      </c>
      <c r="DQ37" s="242" t="n"/>
      <c r="DR37" s="242" t="n"/>
      <c r="DS37" s="242" t="n"/>
      <c r="DT37" s="242" t="n"/>
      <c r="DU37" s="242" t="n"/>
      <c r="DV37" s="242" t="n"/>
      <c r="DW37" s="523">
        <f>SUM(CN37,CS37,CY37,DE37,DK37,DQ37)</f>
        <v/>
      </c>
      <c r="DX37" s="523">
        <f>AVERAGEA(CN37,CS37,CY37,DE37,DK37,DQ37)</f>
        <v/>
      </c>
      <c r="DY37" s="523">
        <f>SUM(DZ37:EC37)</f>
        <v/>
      </c>
      <c r="DZ37" s="242" t="n">
        <v>0</v>
      </c>
      <c r="EA37" s="242" t="n">
        <v>0</v>
      </c>
      <c r="EB37" s="242" t="n">
        <v>0</v>
      </c>
      <c r="EC37" s="242" t="n">
        <v>0</v>
      </c>
      <c r="ED37" s="245" t="n"/>
      <c r="EE37" s="246" t="n"/>
      <c r="EF37" s="247" t="n"/>
      <c r="EG37" s="247" t="n"/>
      <c r="EH37" s="248" t="n"/>
      <c r="EI37" s="249" t="n"/>
      <c r="EK37" s="250" t="n"/>
    </row>
    <row r="38" ht="15.75" customFormat="1" customHeight="1" s="118">
      <c r="A38" s="136" t="inlineStr">
        <is>
          <t>DP1AA050001E</t>
        </is>
      </c>
      <c r="B38" s="118" t="n">
        <v>6210006</v>
      </c>
      <c r="C38" s="131" t="inlineStr">
        <is>
          <t>麗珠蘭REJURAN Skin Booster修復水光</t>
        </is>
      </c>
      <c r="D38" s="228" t="n">
        <v>3</v>
      </c>
      <c r="E38" s="198" t="inlineStr">
        <is>
          <t>SET</t>
        </is>
      </c>
      <c r="F38" s="227">
        <f>SUMIF(站前4樓!B:B,B38,站前4樓!F:F)</f>
        <v/>
      </c>
      <c r="G38" s="227">
        <f>SUMIF(站前11樓!B:B,B38,站前11樓!F:F)</f>
        <v/>
      </c>
      <c r="H38" s="227">
        <f>SUMIF(忠孝7樓!B:B,B38,忠孝7樓!G:G)</f>
        <v/>
      </c>
      <c r="I38" s="227">
        <f>SUMIF(忠孝國際醫學3樓!B:B,B38,忠孝國際醫學3樓!G:G)</f>
        <v/>
      </c>
      <c r="J38" s="227">
        <f>SUMIF(忠孝健康7樓!B:B,B38,忠孝健康7樓!G:G)</f>
        <v/>
      </c>
      <c r="K38" s="200" t="n"/>
      <c r="L38" s="200" t="n"/>
      <c r="M38" s="200" t="n"/>
      <c r="N38" s="200" t="n"/>
      <c r="O38" s="200" t="n"/>
      <c r="P38" s="200" t="n"/>
      <c r="Q38" s="200" t="n"/>
      <c r="R38" s="200" t="n"/>
      <c r="S38" s="200" t="n"/>
      <c r="T38" s="200" t="n"/>
      <c r="U38" s="200" t="n"/>
      <c r="V38" s="200" t="n"/>
      <c r="W38" s="200" t="n"/>
      <c r="X38" s="200" t="n"/>
      <c r="Y38" s="200" t="n"/>
      <c r="Z38" s="200" t="n"/>
      <c r="AA38" s="200" t="n"/>
      <c r="AB38" s="200" t="n"/>
      <c r="AC38" s="200" t="n"/>
      <c r="AD38" s="200" t="n"/>
      <c r="AE38" s="200" t="n"/>
      <c r="AF38" s="200" t="n"/>
      <c r="AG38" s="200" t="n"/>
      <c r="AH38" s="200" t="n"/>
      <c r="AI38" s="200" t="n"/>
      <c r="AJ38" s="201" t="n"/>
      <c r="AK38" s="201" t="n"/>
      <c r="AL38" s="201" t="n"/>
      <c r="AM38" s="201" t="n"/>
      <c r="AN38" s="201" t="n"/>
      <c r="AO38" s="201" t="n"/>
      <c r="AP38" s="201" t="n"/>
      <c r="AQ38" s="201" t="n"/>
      <c r="AR38" s="201" t="n"/>
      <c r="AS38" s="201" t="n"/>
      <c r="AT38" s="512" t="n"/>
      <c r="AU38" s="203" t="n"/>
      <c r="AV38" s="204" t="inlineStr">
        <is>
          <t>-</t>
        </is>
      </c>
      <c r="AW38" s="204" t="inlineStr">
        <is>
          <t>-</t>
        </is>
      </c>
      <c r="AX38" s="204" t="inlineStr">
        <is>
          <t>-</t>
        </is>
      </c>
      <c r="AY38" s="204" t="inlineStr">
        <is>
          <t>-</t>
        </is>
      </c>
      <c r="AZ38" s="204" t="inlineStr">
        <is>
          <t>-</t>
        </is>
      </c>
      <c r="BA38" s="204" t="inlineStr">
        <is>
          <t>-</t>
        </is>
      </c>
      <c r="BB38" s="204" t="inlineStr">
        <is>
          <t>-</t>
        </is>
      </c>
      <c r="BC38" s="204">
        <f>SUMIFS(領用表!$L:$L,領用表!$A:$A,BC$2,領用表!$E:$E,B38)</f>
        <v/>
      </c>
      <c r="BD38" s="206">
        <f>SUMIFS(領用表!$L:$L,領用表!$E:$E,$B38,領用表!$B:$B,BC$2&amp;BD$2)</f>
        <v/>
      </c>
      <c r="BE38" s="206">
        <f>SUMIFS(領用表!$L:$L,領用表!$E:$E,$B38,領用表!$B:$B,$BC$2&amp;BE$2)</f>
        <v/>
      </c>
      <c r="BF38" s="206">
        <f>SUMIFS(領用表!$L:$L,領用表!$E:$E,$B38,領用表!$B:$B,$BC$2&amp;BF$2)</f>
        <v/>
      </c>
      <c r="BG38" s="206">
        <f>SUMIFS(領用表!$L:$L,領用表!$E:$E,$B38,領用表!$B:$B,$BC$2&amp;BG$2)</f>
        <v/>
      </c>
      <c r="BH38" s="203">
        <f>SUMIFS(領用表!$L:$L,領用表!$A:$A,BH$2,領用表!$E:$E,B38)</f>
        <v/>
      </c>
      <c r="BI38" s="206">
        <f>SUMIFS(領用表!$L:$L,領用表!$E:$E,$B38,領用表!$B:$B,BH$2&amp;BI$2)</f>
        <v/>
      </c>
      <c r="BJ38" s="206">
        <f>SUMIFS(領用表!$L:$L,領用表!$E:$E,$B38,領用表!$B:$B,$BH$2&amp;BJ$2)</f>
        <v/>
      </c>
      <c r="BK38" s="206">
        <f>SUMIFS(領用表!$L:$L,領用表!$E:$E,$B38,領用表!$B:$B,$BH$2&amp;BK$2)</f>
        <v/>
      </c>
      <c r="BL38" s="206">
        <f>SUMIFS(領用表!$L:$L,領用表!$E:$E,$B38,領用表!$B:$B,$BH$2&amp;BL$2)</f>
        <v/>
      </c>
      <c r="BM38" s="203">
        <f>SUMIFS(領用表!$L:$L,領用表!$A:$A,BM$2,領用表!$E:$E,B38)</f>
        <v/>
      </c>
      <c r="BN38" s="206">
        <f>SUMIFS(領用表!$L:$L,領用表!$E:$E,$B38,領用表!$B:$B,BM$2&amp;BN$2)</f>
        <v/>
      </c>
      <c r="BO38" s="206">
        <f>SUMIFS(領用表!$L:$L,領用表!$E:$E,$B38,領用表!$B:$B,$BM$2&amp;BO$2)</f>
        <v/>
      </c>
      <c r="BP38" s="206">
        <f>SUMIFS(領用表!$L:$L,領用表!$E:$E,$B38,領用表!$B:$B,$BM$2&amp;BP$2)</f>
        <v/>
      </c>
      <c r="BQ38" s="206">
        <f>SUMIFS(領用表!$L:$L,領用表!$E:$E,$B38,領用表!$B:$B,$BM$2&amp;BQ$2)</f>
        <v/>
      </c>
      <c r="BR38" s="203">
        <f>SUMIFS(領用表!$L:$L,領用表!$A:$A,BR$2,領用表!$E:$E,B38)</f>
        <v/>
      </c>
      <c r="BS38" s="206">
        <f>SUMIFS(領用表!$L:$L,領用表!$E:$E,$B38,領用表!$B:$B,BR$2&amp;BS$2)</f>
        <v/>
      </c>
      <c r="BT38" s="206">
        <f>SUMIFS(領用表!$L:$L,領用表!$E:$E,$B38,領用表!$B:$B,$BR$2&amp;BT$2)</f>
        <v/>
      </c>
      <c r="BU38" s="206">
        <f>SUMIFS(領用表!$L:$L,領用表!$E:$E,$B38,領用表!$B:$B,$BR$2&amp;BU$2)</f>
        <v/>
      </c>
      <c r="BV38" s="206">
        <f>SUMIFS(領用表!$L:$L,領用表!$E:$E,$B38,領用表!$B:$B,$BR$2&amp;BV$2)</f>
        <v/>
      </c>
      <c r="BW38" s="208">
        <f>SUMIFS(領用表!$L:$L,領用表!$A:$A,BW$2,領用表!$E:$E,B38)</f>
        <v/>
      </c>
      <c r="BX38" s="206">
        <f>SUMIFS(領用表!$L:$L,領用表!$E:$E,$B38,領用表!$B:$B,BW$2&amp;BX$2)</f>
        <v/>
      </c>
      <c r="BY38" s="206">
        <f>SUMIFS(領用表!$L:$L,領用表!$E:$E,$B38,領用表!$B:$B,$BW$2&amp;BY$2)</f>
        <v/>
      </c>
      <c r="BZ38" s="206">
        <f>SUMIFS(領用表!$L:$L,領用表!$E:$E,$B38,領用表!$B:$B,$BW$2&amp;BZ$2)</f>
        <v/>
      </c>
      <c r="CA38" s="206">
        <f>SUMIFS(領用表!$L:$L,領用表!$E:$E,$B38,領用表!$B:$B,$BW$2&amp;CA$2)</f>
        <v/>
      </c>
      <c r="CB38" s="208">
        <f>SUMIFS(領用表!$L:$L,領用表!$A:$A,CB$2,領用表!$E:$E,B38)</f>
        <v/>
      </c>
      <c r="CC38" s="206">
        <f>SUMIFS(領用表!$L:$L,領用表!$E:$E,$B38,領用表!$B:$B,CB$2&amp;CC$2)</f>
        <v/>
      </c>
      <c r="CD38" s="206">
        <f>SUMIFS(領用表!$L:$L,領用表!$E:$E,$B38,領用表!$B:$B,$CB$2&amp;CD$2)</f>
        <v/>
      </c>
      <c r="CE38" s="206">
        <f>SUMIFS(領用表!$L:$L,領用表!$E:$E,$B38,領用表!$B:$B,$CB$2&amp;CE$2)</f>
        <v/>
      </c>
      <c r="CF38" s="206">
        <f>SUMIFS(領用表!$L:$L,領用表!$E:$E,$B38,領用表!$B:$B,$CB$2&amp;CF$2)</f>
        <v/>
      </c>
      <c r="CG38" s="208">
        <f>SUMIFS(領用表!$L:$L,領用表!$A:$A,CG$2,領用表!$E:$E,B38)</f>
        <v/>
      </c>
      <c r="CH38" s="206">
        <f>SUMIFS(領用表!$L:$L,領用表!$E:$E,$B38,領用表!$B:$B,CG$2&amp;CH$2)</f>
        <v/>
      </c>
      <c r="CI38" s="206">
        <f>SUMIFS(領用表!$L:$L,領用表!$E:$E,$B38,領用表!$B:$B,CG$2&amp;CI$2)</f>
        <v/>
      </c>
      <c r="CJ38" s="206">
        <f>SUMIFS(領用表!$L:$L,領用表!$E:$E,$B38,領用表!$B:$B,CG$2&amp;CJ$2)</f>
        <v/>
      </c>
      <c r="CK38" s="206">
        <f>SUMIFS(領用表!$L:$L,領用表!$E:$E,$B38,領用表!$B:$B,$CG$2&amp;CK$2)</f>
        <v/>
      </c>
      <c r="CL38" s="207">
        <f>SUM(AX38,AY38,AZ38,BA38,BB38,BC38,BH38,BM38,BR38,BW38,CB38,CG38)</f>
        <v/>
      </c>
      <c r="CM38" s="207">
        <f>AVERAGE(AX38,AY38,AZ38,BA38,BB38,BC38,BH38,BM38,BR38,BW38,CB38,CG38)</f>
        <v/>
      </c>
      <c r="CN38" s="208">
        <f>SUMIFS(領用表!$L:$L,領用表!$A:$A,CN$2,領用表!$E:$E,B38)</f>
        <v/>
      </c>
      <c r="CO38" s="206">
        <f>SUMIFS(領用表!$L:$L,領用表!$E:$E,$B38,領用表!$B:$B,CN$2&amp;CO$2)</f>
        <v/>
      </c>
      <c r="CP38" s="206">
        <f>SUMIFS(領用表!$L:$L,領用表!$E:$E,$B38,領用表!$B:$B,$CN$2&amp;CP$2)</f>
        <v/>
      </c>
      <c r="CQ38" s="206">
        <f>SUMIFS(領用表!$L:$L,領用表!$E:$E,$B38,領用表!$B:$B,$CN$2&amp;CQ$2)</f>
        <v/>
      </c>
      <c r="CR38" s="206">
        <f>SUMIFS(領用表!$L:$L,領用表!$E:$E,$B38,領用表!$B:$B,$CN$2&amp;CR$2)</f>
        <v/>
      </c>
      <c r="CS38" s="208">
        <f>SUMIFS(領用表!$L:$L,領用表!$A:$A,CS$2,領用表!$E:$E,B38)</f>
        <v/>
      </c>
      <c r="CT38" s="206">
        <f>SUMIFS(領用表!$L:$L,領用表!$E:$E,$B38,領用表!$B:$B,CS$2&amp;CT$2)</f>
        <v/>
      </c>
      <c r="CU38" s="206">
        <f>SUMIFS(領用表!$L:$L,領用表!$E:$E,$B38,領用表!$B:$B,$CS$2&amp;CU$2)</f>
        <v/>
      </c>
      <c r="CV38" s="206">
        <f>SUMIFS(領用表!$L:$L,領用表!$E:$E,$B38,領用表!$B:$B,$CS$2&amp;CV$2)</f>
        <v/>
      </c>
      <c r="CW38" s="206">
        <f>SUMIFS(領用表!$L:$L,領用表!$E:$E,$B38,領用表!$B:$B,$CS$2&amp;CW$2)</f>
        <v/>
      </c>
      <c r="CX38" s="206">
        <f>SUMIFS(領用表!$L:$L,領用表!$E:$E,$B38,領用表!$B:$B,$CS$2&amp;CX$2)</f>
        <v/>
      </c>
      <c r="CY38" s="208">
        <f>SUMIFS(領用表!$L:$L,領用表!$A:$A,CY$2,領用表!$E:$E,B38)</f>
        <v/>
      </c>
      <c r="CZ38" s="206">
        <f>SUMIFS(領用表!$L:$L,領用表!$E:$E,$B38,領用表!$B:$B,CY$2&amp;CZ$2)</f>
        <v/>
      </c>
      <c r="DA38" s="206">
        <f>SUMIFS(領用表!$L:$L,領用表!$E:$E,$B38,領用表!$B:$B,$CY$2&amp;DA$2)</f>
        <v/>
      </c>
      <c r="DB38" s="206">
        <f>SUMIFS(領用表!$L:$L,領用表!$E:$E,$B38,領用表!$B:$B,$CY$2&amp;DB$2)</f>
        <v/>
      </c>
      <c r="DC38" s="206">
        <f>SUMIFS(領用表!$L:$L,領用表!$E:$E,$B38,領用表!$B:$B,$CY$2&amp;DC$2)</f>
        <v/>
      </c>
      <c r="DD38" s="206">
        <f>SUMIFS(領用表!$L:$L,領用表!$E:$E,$B38,領用表!$B:$B,$CY$2&amp;DD$2)</f>
        <v/>
      </c>
      <c r="DE38" s="208">
        <f>SUMIFS(領用表!$L:$L,領用表!$A:$A,DE$2,領用表!$E:$E,B38)</f>
        <v/>
      </c>
      <c r="DF38" s="206">
        <f>SUMIFS(領用表!$L:$L,領用表!$E:$E,$B38,領用表!$B:$B,DE$2&amp;DF$2)</f>
        <v/>
      </c>
      <c r="DG38" s="206">
        <f>SUMIFS(領用表!$L:$L,領用表!$E:$E,$B38,領用表!$B:$B,$DE$2&amp;DG$2)</f>
        <v/>
      </c>
      <c r="DH38" s="206">
        <f>SUMIFS(領用表!$L:$L,領用表!$E:$E,$B38,領用表!$B:$B,$DE$2&amp;DH$2)</f>
        <v/>
      </c>
      <c r="DI38" s="206">
        <f>SUMIFS(領用表!$L:$L,領用表!$E:$E,$B38,領用表!$B:$B,$DE$2&amp;DI$2)</f>
        <v/>
      </c>
      <c r="DJ38" s="206">
        <f>SUMIFS(領用表!$L:$L,領用表!$E:$E,$B38,領用表!$B:$B,$DE$2&amp;DJ$2)</f>
        <v/>
      </c>
      <c r="DK38" s="208">
        <f>SUMIFS(領用表!$L:$L,領用表!$A:$A,DK$2,領用表!$E:$E,$B38)</f>
        <v/>
      </c>
      <c r="DL38" s="206">
        <f>SUMIFS(領用表!$L:$L,領用表!$E:$E,$B38,領用表!$B:$B,DK$2&amp;DL$2)</f>
        <v/>
      </c>
      <c r="DM38" s="206">
        <f>SUMIFS(領用表!$L:$L,領用表!$E:$E,$B38,領用表!$B:$B,$DK$2&amp;DM$2)</f>
        <v/>
      </c>
      <c r="DN38" s="206">
        <f>SUMIFS(領用表!$L:$L,領用表!$E:$E,$B38,領用表!$B:$B,$DK$2&amp;DN$2)</f>
        <v/>
      </c>
      <c r="DO38" s="206">
        <f>SUMIFS(領用表!$L:$L,領用表!$E:$E,$B38,領用表!$B:$B,$DK$2&amp;DO$2)</f>
        <v/>
      </c>
      <c r="DP38" s="206">
        <f>SUMIFS(領用表!$L:$L,領用表!$E:$E,$B38,領用表!$B:$B,$DK$2&amp;DP$2)</f>
        <v/>
      </c>
      <c r="DQ38" s="208" t="n">
        <v>1</v>
      </c>
      <c r="DR38" s="206" t="n">
        <v>1</v>
      </c>
      <c r="DS38" s="206" t="n"/>
      <c r="DT38" s="206" t="n"/>
      <c r="DU38" s="206" t="n"/>
      <c r="DV38" s="206" t="n"/>
      <c r="DW38" s="206">
        <f>SUM(CN38,CS38,CY38,DE38,DK38,DQ38)</f>
        <v/>
      </c>
      <c r="DX38" s="206">
        <f>AVERAGEA(CN38,CS38,CY38,DE38,DK38,DQ38)</f>
        <v/>
      </c>
      <c r="DY38" s="206">
        <f>SUM(DZ38:EC38)</f>
        <v/>
      </c>
      <c r="DZ38" s="206" t="n">
        <v>8</v>
      </c>
      <c r="EA38" s="206" t="n">
        <v>0</v>
      </c>
      <c r="EB38" s="206" t="n">
        <v>10</v>
      </c>
      <c r="EC38" s="206" t="n">
        <v>0</v>
      </c>
      <c r="ED38" s="215" t="n">
        <v>0</v>
      </c>
      <c r="EE38" s="224" t="n"/>
      <c r="EF38" s="211" t="n"/>
      <c r="EG38" s="211" t="n"/>
      <c r="EH38" s="136" t="n"/>
      <c r="EI38" s="212" t="n"/>
      <c r="EJ38" s="118">
        <f>IFERROR(VLOOKUP(A38,站前4樓!A:BF,57,0),0)</f>
        <v/>
      </c>
      <c r="EK38" s="213">
        <f>IFERROR(VLOOKUP(A38,站前11樓!A:BE,57,0),0)</f>
        <v/>
      </c>
      <c r="EL38" s="118">
        <f>IFERROR(VLOOKUP(A38,忠孝7樓!A:N,57,0),0)</f>
        <v/>
      </c>
      <c r="EM38" s="118">
        <f>IFERROR(VLOOKUP(A38,忠孝國際醫學3樓!A:L,57,0),0)</f>
        <v/>
      </c>
      <c r="EN38" s="118">
        <f>SUM(ED38:EG38)</f>
        <v/>
      </c>
      <c r="EP38" s="118" t="n">
        <v>13</v>
      </c>
      <c r="EQ38" s="118" t="n">
        <v>8</v>
      </c>
    </row>
    <row r="39" ht="15.75" customFormat="1" customHeight="1" s="118">
      <c r="A39" s="136" t="inlineStr">
        <is>
          <t>DP1AA050002E</t>
        </is>
      </c>
      <c r="B39" s="118" t="n">
        <v>6210007</v>
      </c>
      <c r="C39" s="131" t="inlineStr">
        <is>
          <t>麗珠蘭REJURAN Tone-Up Booster白瓷水光</t>
        </is>
      </c>
      <c r="D39" s="228" t="n">
        <v>3</v>
      </c>
      <c r="E39" s="198" t="inlineStr">
        <is>
          <t>SET</t>
        </is>
      </c>
      <c r="F39" s="227">
        <f>SUMIF(站前4樓!B:B,B39,站前4樓!F:F)</f>
        <v/>
      </c>
      <c r="G39" s="227">
        <f>SUMIF(站前11樓!B:B,B39,站前11樓!F:F)</f>
        <v/>
      </c>
      <c r="H39" s="227">
        <f>SUMIF(忠孝7樓!B:B,B39,忠孝7樓!G:G)</f>
        <v/>
      </c>
      <c r="I39" s="227">
        <f>SUMIF(忠孝國際醫學3樓!B:B,B39,忠孝國際醫學3樓!G:G)</f>
        <v/>
      </c>
      <c r="J39" s="227">
        <f>SUMIF(忠孝健康7樓!B:B,B39,忠孝健康7樓!G:G)</f>
        <v/>
      </c>
      <c r="K39" s="200" t="n"/>
      <c r="L39" s="200" t="n"/>
      <c r="M39" s="200" t="n"/>
      <c r="N39" s="200" t="n"/>
      <c r="O39" s="200" t="n"/>
      <c r="P39" s="200" t="n"/>
      <c r="Q39" s="200" t="n"/>
      <c r="R39" s="200" t="n"/>
      <c r="S39" s="200" t="n"/>
      <c r="T39" s="200" t="n"/>
      <c r="U39" s="200" t="n"/>
      <c r="V39" s="200" t="n"/>
      <c r="W39" s="200" t="n"/>
      <c r="X39" s="200" t="n"/>
      <c r="Y39" s="200" t="n"/>
      <c r="Z39" s="200" t="n"/>
      <c r="AA39" s="200" t="n"/>
      <c r="AB39" s="200" t="n"/>
      <c r="AC39" s="200" t="n"/>
      <c r="AD39" s="200" t="n"/>
      <c r="AE39" s="200" t="n"/>
      <c r="AF39" s="200" t="n"/>
      <c r="AG39" s="200" t="n"/>
      <c r="AH39" s="200" t="n"/>
      <c r="AI39" s="200" t="n"/>
      <c r="AJ39" s="201" t="n"/>
      <c r="AK39" s="201" t="n"/>
      <c r="AL39" s="201" t="n"/>
      <c r="AM39" s="201" t="n"/>
      <c r="AN39" s="201" t="n"/>
      <c r="AO39" s="201" t="n"/>
      <c r="AP39" s="201" t="n"/>
      <c r="AQ39" s="201" t="n"/>
      <c r="AR39" s="201" t="n"/>
      <c r="AS39" s="201" t="n"/>
      <c r="AT39" s="512" t="n"/>
      <c r="AU39" s="203" t="n"/>
      <c r="AV39" s="204" t="inlineStr">
        <is>
          <t>-</t>
        </is>
      </c>
      <c r="AW39" s="204" t="inlineStr">
        <is>
          <t>-</t>
        </is>
      </c>
      <c r="AX39" s="204" t="inlineStr">
        <is>
          <t>-</t>
        </is>
      </c>
      <c r="AY39" s="204" t="inlineStr">
        <is>
          <t>-</t>
        </is>
      </c>
      <c r="AZ39" s="204" t="inlineStr">
        <is>
          <t>-</t>
        </is>
      </c>
      <c r="BA39" s="204" t="inlineStr">
        <is>
          <t>-</t>
        </is>
      </c>
      <c r="BB39" s="204" t="inlineStr">
        <is>
          <t>-</t>
        </is>
      </c>
      <c r="BC39" s="204">
        <f>SUMIFS(領用表!$L:$L,領用表!$A:$A,BC$2,領用表!$E:$E,B39)</f>
        <v/>
      </c>
      <c r="BD39" s="206">
        <f>SUMIFS(領用表!$L:$L,領用表!$E:$E,$B39,領用表!$B:$B,BC$2&amp;BD$2)</f>
        <v/>
      </c>
      <c r="BE39" s="206">
        <f>SUMIFS(領用表!$L:$L,領用表!$E:$E,$B39,領用表!$B:$B,$BC$2&amp;BE$2)</f>
        <v/>
      </c>
      <c r="BF39" s="206">
        <f>SUMIFS(領用表!$L:$L,領用表!$E:$E,$B39,領用表!$B:$B,$BC$2&amp;BF$2)</f>
        <v/>
      </c>
      <c r="BG39" s="206">
        <f>SUMIFS(領用表!$L:$L,領用表!$E:$E,$B39,領用表!$B:$B,$BC$2&amp;BG$2)</f>
        <v/>
      </c>
      <c r="BH39" s="203">
        <f>SUMIFS(領用表!$L:$L,領用表!$A:$A,BH$2,領用表!$E:$E,B39)</f>
        <v/>
      </c>
      <c r="BI39" s="206">
        <f>SUMIFS(領用表!$L:$L,領用表!$E:$E,$B39,領用表!$B:$B,BH$2&amp;BI$2)</f>
        <v/>
      </c>
      <c r="BJ39" s="206">
        <f>SUMIFS(領用表!$L:$L,領用表!$E:$E,$B39,領用表!$B:$B,$BH$2&amp;BJ$2)</f>
        <v/>
      </c>
      <c r="BK39" s="206">
        <f>SUMIFS(領用表!$L:$L,領用表!$E:$E,$B39,領用表!$B:$B,$BH$2&amp;BK$2)</f>
        <v/>
      </c>
      <c r="BL39" s="206">
        <f>SUMIFS(領用表!$L:$L,領用表!$E:$E,$B39,領用表!$B:$B,$BH$2&amp;BL$2)</f>
        <v/>
      </c>
      <c r="BM39" s="203">
        <f>SUMIFS(領用表!$L:$L,領用表!$A:$A,BM$2,領用表!$E:$E,B39)</f>
        <v/>
      </c>
      <c r="BN39" s="206">
        <f>SUMIFS(領用表!$L:$L,領用表!$E:$E,$B39,領用表!$B:$B,BM$2&amp;BN$2)</f>
        <v/>
      </c>
      <c r="BO39" s="206">
        <f>SUMIFS(領用表!$L:$L,領用表!$E:$E,$B39,領用表!$B:$B,$BM$2&amp;BO$2)</f>
        <v/>
      </c>
      <c r="BP39" s="206">
        <f>SUMIFS(領用表!$L:$L,領用表!$E:$E,$B39,領用表!$B:$B,$BM$2&amp;BP$2)</f>
        <v/>
      </c>
      <c r="BQ39" s="206">
        <f>SUMIFS(領用表!$L:$L,領用表!$E:$E,$B39,領用表!$B:$B,$BM$2&amp;BQ$2)</f>
        <v/>
      </c>
      <c r="BR39" s="203">
        <f>SUMIFS(領用表!$L:$L,領用表!$A:$A,BR$2,領用表!$E:$E,B39)</f>
        <v/>
      </c>
      <c r="BS39" s="206">
        <f>SUMIFS(領用表!$L:$L,領用表!$E:$E,$B39,領用表!$B:$B,BR$2&amp;BS$2)</f>
        <v/>
      </c>
      <c r="BT39" s="206">
        <f>SUMIFS(領用表!$L:$L,領用表!$E:$E,$B39,領用表!$B:$B,$BR$2&amp;BT$2)</f>
        <v/>
      </c>
      <c r="BU39" s="206">
        <f>SUMIFS(領用表!$L:$L,領用表!$E:$E,$B39,領用表!$B:$B,$BR$2&amp;BU$2)</f>
        <v/>
      </c>
      <c r="BV39" s="206">
        <f>SUMIFS(領用表!$L:$L,領用表!$E:$E,$B39,領用表!$B:$B,$BR$2&amp;BV$2)</f>
        <v/>
      </c>
      <c r="BW39" s="208">
        <f>SUMIFS(領用表!$L:$L,領用表!$A:$A,BW$2,領用表!$E:$E,B39)</f>
        <v/>
      </c>
      <c r="BX39" s="206">
        <f>SUMIFS(領用表!$L:$L,領用表!$E:$E,$B39,領用表!$B:$B,BW$2&amp;BX$2)</f>
        <v/>
      </c>
      <c r="BY39" s="206">
        <f>SUMIFS(領用表!$L:$L,領用表!$E:$E,$B39,領用表!$B:$B,$BW$2&amp;BY$2)</f>
        <v/>
      </c>
      <c r="BZ39" s="206">
        <f>SUMIFS(領用表!$L:$L,領用表!$E:$E,$B39,領用表!$B:$B,$BW$2&amp;BZ$2)</f>
        <v/>
      </c>
      <c r="CA39" s="206">
        <f>SUMIFS(領用表!$L:$L,領用表!$E:$E,$B39,領用表!$B:$B,$BW$2&amp;CA$2)</f>
        <v/>
      </c>
      <c r="CB39" s="208">
        <f>SUMIFS(領用表!$L:$L,領用表!$A:$A,CB$2,領用表!$E:$E,B39)</f>
        <v/>
      </c>
      <c r="CC39" s="206">
        <f>SUMIFS(領用表!$L:$L,領用表!$E:$E,$B39,領用表!$B:$B,CB$2&amp;CC$2)</f>
        <v/>
      </c>
      <c r="CD39" s="206">
        <f>SUMIFS(領用表!$L:$L,領用表!$E:$E,$B39,領用表!$B:$B,$CB$2&amp;CD$2)</f>
        <v/>
      </c>
      <c r="CE39" s="206">
        <f>SUMIFS(領用表!$L:$L,領用表!$E:$E,$B39,領用表!$B:$B,$CB$2&amp;CE$2)</f>
        <v/>
      </c>
      <c r="CF39" s="206">
        <f>SUMIFS(領用表!$L:$L,領用表!$E:$E,$B39,領用表!$B:$B,$CB$2&amp;CF$2)</f>
        <v/>
      </c>
      <c r="CG39" s="208">
        <f>SUMIFS(領用表!$L:$L,領用表!$A:$A,CG$2,領用表!$E:$E,B39)</f>
        <v/>
      </c>
      <c r="CH39" s="206">
        <f>SUMIFS(領用表!$L:$L,領用表!$E:$E,$B39,領用表!$B:$B,CG$2&amp;CH$2)</f>
        <v/>
      </c>
      <c r="CI39" s="206">
        <f>SUMIFS(領用表!$L:$L,領用表!$E:$E,$B39,領用表!$B:$B,CG$2&amp;CI$2)</f>
        <v/>
      </c>
      <c r="CJ39" s="206">
        <f>SUMIFS(領用表!$L:$L,領用表!$E:$E,$B39,領用表!$B:$B,CG$2&amp;CJ$2)</f>
        <v/>
      </c>
      <c r="CK39" s="206">
        <f>SUMIFS(領用表!$L:$L,領用表!$E:$E,$B39,領用表!$B:$B,$CG$2&amp;CK$2)</f>
        <v/>
      </c>
      <c r="CL39" s="207">
        <f>SUM(AX39,AY39,AZ39,BA39,BB39,BC39,BH39,BM39,BR39,BW39,CB39,CG39)</f>
        <v/>
      </c>
      <c r="CM39" s="207">
        <f>AVERAGE(AX39,AY39,AZ39,BA39,BB39,BC39,BH39,BM39,BR39,BW39,CB39,CG39)</f>
        <v/>
      </c>
      <c r="CN39" s="208">
        <f>SUMIFS(領用表!$L:$L,領用表!$A:$A,CN$2,領用表!$E:$E,B39)</f>
        <v/>
      </c>
      <c r="CO39" s="206">
        <f>SUMIFS(領用表!$L:$L,領用表!$E:$E,$B39,領用表!$B:$B,CN$2&amp;CO$2)</f>
        <v/>
      </c>
      <c r="CP39" s="206">
        <f>SUMIFS(領用表!$L:$L,領用表!$E:$E,$B39,領用表!$B:$B,$CN$2&amp;CP$2)</f>
        <v/>
      </c>
      <c r="CQ39" s="206">
        <f>SUMIFS(領用表!$L:$L,領用表!$E:$E,$B39,領用表!$B:$B,$CN$2&amp;CQ$2)</f>
        <v/>
      </c>
      <c r="CR39" s="206">
        <f>SUMIFS(領用表!$L:$L,領用表!$E:$E,$B39,領用表!$B:$B,$CN$2&amp;CR$2)</f>
        <v/>
      </c>
      <c r="CS39" s="208">
        <f>SUMIFS(領用表!$L:$L,領用表!$A:$A,CS$2,領用表!$E:$E,B39)</f>
        <v/>
      </c>
      <c r="CT39" s="206">
        <f>SUMIFS(領用表!$L:$L,領用表!$E:$E,$B39,領用表!$B:$B,CS$2&amp;CT$2)</f>
        <v/>
      </c>
      <c r="CU39" s="206">
        <f>SUMIFS(領用表!$L:$L,領用表!$E:$E,$B39,領用表!$B:$B,$CS$2&amp;CU$2)</f>
        <v/>
      </c>
      <c r="CV39" s="206">
        <f>SUMIFS(領用表!$L:$L,領用表!$E:$E,$B39,領用表!$B:$B,$CS$2&amp;CV$2)</f>
        <v/>
      </c>
      <c r="CW39" s="206">
        <f>SUMIFS(領用表!$L:$L,領用表!$E:$E,$B39,領用表!$B:$B,$CS$2&amp;CW$2)</f>
        <v/>
      </c>
      <c r="CX39" s="206">
        <f>SUMIFS(領用表!$L:$L,領用表!$E:$E,$B39,領用表!$B:$B,$CS$2&amp;CX$2)</f>
        <v/>
      </c>
      <c r="CY39" s="208">
        <f>SUMIFS(領用表!$L:$L,領用表!$A:$A,CY$2,領用表!$E:$E,B39)</f>
        <v/>
      </c>
      <c r="CZ39" s="206">
        <f>SUMIFS(領用表!$L:$L,領用表!$E:$E,$B39,領用表!$B:$B,CY$2&amp;CZ$2)</f>
        <v/>
      </c>
      <c r="DA39" s="206">
        <f>SUMIFS(領用表!$L:$L,領用表!$E:$E,$B39,領用表!$B:$B,$CY$2&amp;DA$2)</f>
        <v/>
      </c>
      <c r="DB39" s="206">
        <f>SUMIFS(領用表!$L:$L,領用表!$E:$E,$B39,領用表!$B:$B,$CY$2&amp;DB$2)</f>
        <v/>
      </c>
      <c r="DC39" s="206">
        <f>SUMIFS(領用表!$L:$L,領用表!$E:$E,$B39,領用表!$B:$B,$CY$2&amp;DC$2)</f>
        <v/>
      </c>
      <c r="DD39" s="206">
        <f>SUMIFS(領用表!$L:$L,領用表!$E:$E,$B39,領用表!$B:$B,$CY$2&amp;DD$2)</f>
        <v/>
      </c>
      <c r="DE39" s="208">
        <f>SUMIFS(領用表!$L:$L,領用表!$A:$A,DE$2,領用表!$E:$E,B39)</f>
        <v/>
      </c>
      <c r="DF39" s="206">
        <f>SUMIFS(領用表!$L:$L,領用表!$E:$E,$B39,領用表!$B:$B,DE$2&amp;DF$2)</f>
        <v/>
      </c>
      <c r="DG39" s="206">
        <f>SUMIFS(領用表!$L:$L,領用表!$E:$E,$B39,領用表!$B:$B,$DE$2&amp;DG$2)</f>
        <v/>
      </c>
      <c r="DH39" s="206">
        <f>SUMIFS(領用表!$L:$L,領用表!$E:$E,$B39,領用表!$B:$B,$DE$2&amp;DH$2)</f>
        <v/>
      </c>
      <c r="DI39" s="206">
        <f>SUMIFS(領用表!$L:$L,領用表!$E:$E,$B39,領用表!$B:$B,$DE$2&amp;DI$2)</f>
        <v/>
      </c>
      <c r="DJ39" s="206">
        <f>SUMIFS(領用表!$L:$L,領用表!$E:$E,$B39,領用表!$B:$B,$DE$2&amp;DJ$2)</f>
        <v/>
      </c>
      <c r="DK39" s="208">
        <f>SUMIFS(領用表!$L:$L,領用表!$A:$A,DK$2,領用表!$E:$E,$B39)</f>
        <v/>
      </c>
      <c r="DL39" s="206">
        <f>SUMIFS(領用表!$L:$L,領用表!$E:$E,$B39,領用表!$B:$B,DK$2&amp;DL$2)</f>
        <v/>
      </c>
      <c r="DM39" s="206">
        <f>SUMIFS(領用表!$L:$L,領用表!$E:$E,$B39,領用表!$B:$B,$DK$2&amp;DM$2)</f>
        <v/>
      </c>
      <c r="DN39" s="206">
        <f>SUMIFS(領用表!$L:$L,領用表!$E:$E,$B39,領用表!$B:$B,$DK$2&amp;DN$2)</f>
        <v/>
      </c>
      <c r="DO39" s="206">
        <f>SUMIFS(領用表!$L:$L,領用表!$E:$E,$B39,領用表!$B:$B,$DK$2&amp;DO$2)</f>
        <v/>
      </c>
      <c r="DP39" s="206">
        <f>SUMIFS(領用表!$L:$L,領用表!$E:$E,$B39,領用表!$B:$B,$DK$2&amp;DP$2)</f>
        <v/>
      </c>
      <c r="DQ39" s="208" t="n">
        <v>2</v>
      </c>
      <c r="DR39" s="206" t="n"/>
      <c r="DS39" s="206" t="n"/>
      <c r="DT39" s="206" t="n">
        <v>1</v>
      </c>
      <c r="DU39" s="206" t="n"/>
      <c r="DV39" s="206" t="n">
        <v>1</v>
      </c>
      <c r="DW39" s="206">
        <f>SUM(CN39,CS39,CY39,DE39,DK39,DQ39)</f>
        <v/>
      </c>
      <c r="DX39" s="206">
        <f>AVERAGEA(CN39,CS39,CY39,DE39,DK39,DQ39)</f>
        <v/>
      </c>
      <c r="DY39" s="206">
        <f>SUM(DZ39:EC39)</f>
        <v/>
      </c>
      <c r="DZ39" s="206" t="n">
        <v>8</v>
      </c>
      <c r="EA39" s="206" t="n">
        <v>0</v>
      </c>
      <c r="EB39" s="206" t="n">
        <v>10</v>
      </c>
      <c r="EC39" s="206" t="n">
        <v>0</v>
      </c>
      <c r="ED39" s="215" t="n">
        <v>0</v>
      </c>
      <c r="EE39" s="515" t="n"/>
      <c r="EF39" s="211" t="n"/>
      <c r="EG39" s="211" t="n"/>
      <c r="EH39" s="136" t="n"/>
      <c r="EI39" s="212" t="n"/>
      <c r="EJ39" s="118">
        <f>IFERROR(VLOOKUP(A39,站前4樓!A:BF,57,0),0)</f>
        <v/>
      </c>
      <c r="EK39" s="213">
        <f>IFERROR(VLOOKUP(A39,站前11樓!A:BE,57,0),0)</f>
        <v/>
      </c>
      <c r="EL39" s="118">
        <f>IFERROR(VLOOKUP(A39,忠孝7樓!A:N,57,0),0)</f>
        <v/>
      </c>
      <c r="EM39" s="118">
        <f>IFERROR(VLOOKUP(A39,忠孝國際醫學3樓!A:L,57,0),0)</f>
        <v/>
      </c>
      <c r="EN39" s="118">
        <f>SUM(ED39:EG39)</f>
        <v/>
      </c>
      <c r="EP39" s="118" t="n">
        <v>9</v>
      </c>
      <c r="EQ39" s="118" t="n">
        <v>6</v>
      </c>
    </row>
    <row r="40" ht="15.75" customFormat="1" customHeight="1" s="118">
      <c r="A40" s="136" t="inlineStr">
        <is>
          <t>MP1MA020014A</t>
        </is>
      </c>
      <c r="B40" s="118" t="n">
        <v>6150010</v>
      </c>
      <c r="C40" s="131" t="inlineStr">
        <is>
          <t>優美施豐潤 Neuramis Volume 1c.c/ 支</t>
        </is>
      </c>
      <c r="D40" s="228" t="n">
        <v>1</v>
      </c>
      <c r="E40" s="198" t="inlineStr">
        <is>
          <t>PCS</t>
        </is>
      </c>
      <c r="F40" s="227">
        <f>SUMIF(站前4樓!B:B,B40,站前4樓!F:F)</f>
        <v/>
      </c>
      <c r="G40" s="227">
        <f>SUMIF(站前11樓!B:B,B40,站前11樓!F:F)</f>
        <v/>
      </c>
      <c r="H40" s="227">
        <f>SUMIF(忠孝7樓!B:B,B40,忠孝7樓!G:G)</f>
        <v/>
      </c>
      <c r="I40" s="227">
        <f>SUMIF(忠孝國際醫學3樓!B:B,B40,忠孝國際醫學3樓!G:G)</f>
        <v/>
      </c>
      <c r="J40" s="227">
        <f>SUMIF(忠孝健康7樓!B:B,B40,忠孝健康7樓!G:G)</f>
        <v/>
      </c>
      <c r="K40" s="200" t="n">
        <v>0</v>
      </c>
      <c r="L40" s="200" t="n">
        <v>0</v>
      </c>
      <c r="M40" s="200" t="n">
        <v>0</v>
      </c>
      <c r="N40" s="200" t="n">
        <v>0</v>
      </c>
      <c r="O40" s="200" t="n">
        <v>0</v>
      </c>
      <c r="P40" s="200" t="n">
        <v>0</v>
      </c>
      <c r="Q40" s="200" t="n">
        <v>0</v>
      </c>
      <c r="R40" s="200" t="n">
        <v>0</v>
      </c>
      <c r="S40" s="200" t="n">
        <v>0</v>
      </c>
      <c r="T40" s="200" t="n">
        <v>0</v>
      </c>
      <c r="U40" s="200" t="n">
        <v>0</v>
      </c>
      <c r="V40" s="200" t="n">
        <v>0</v>
      </c>
      <c r="W40" s="200" t="n">
        <v>0</v>
      </c>
      <c r="X40" s="200" t="n">
        <v>0</v>
      </c>
      <c r="Y40" s="200" t="n">
        <v>0</v>
      </c>
      <c r="Z40" s="200" t="n">
        <v>0</v>
      </c>
      <c r="AA40" s="200" t="n">
        <v>0</v>
      </c>
      <c r="AB40" s="200" t="n">
        <v>0</v>
      </c>
      <c r="AC40" s="200" t="n">
        <v>0</v>
      </c>
      <c r="AD40" s="200" t="n">
        <v>0</v>
      </c>
      <c r="AE40" s="200" t="n">
        <v>0</v>
      </c>
      <c r="AF40" s="200" t="n">
        <v>0</v>
      </c>
      <c r="AG40" s="200" t="n">
        <v>0</v>
      </c>
      <c r="AH40" s="200" t="n">
        <v>0</v>
      </c>
      <c r="AI40" s="200" t="n">
        <v>0</v>
      </c>
      <c r="AJ40" s="201" t="n">
        <v>0</v>
      </c>
      <c r="AK40" s="201" t="n">
        <v>0</v>
      </c>
      <c r="AL40" s="201" t="n">
        <v>0</v>
      </c>
      <c r="AM40" s="201" t="n">
        <v>0</v>
      </c>
      <c r="AN40" s="201" t="n">
        <v>0</v>
      </c>
      <c r="AO40" s="201" t="n">
        <v>39</v>
      </c>
      <c r="AP40" s="201" t="n">
        <v>36</v>
      </c>
      <c r="AQ40" s="201" t="n">
        <v>37</v>
      </c>
      <c r="AR40" s="201" t="n">
        <v>20</v>
      </c>
      <c r="AS40" s="201" t="n">
        <v>45</v>
      </c>
      <c r="AT40" s="512" t="n">
        <v>35</v>
      </c>
      <c r="AU40" s="203" t="n">
        <v>72</v>
      </c>
      <c r="AV40" s="204">
        <f>SUM(AJ40:AU40)</f>
        <v/>
      </c>
      <c r="AW40" s="513">
        <f>AV40/12</f>
        <v/>
      </c>
      <c r="AX40" s="203" t="n">
        <v>43</v>
      </c>
      <c r="AY40" s="203" t="n">
        <v>30</v>
      </c>
      <c r="AZ40" s="203" t="n">
        <v>48</v>
      </c>
      <c r="BA40" s="203" t="n">
        <v>96</v>
      </c>
      <c r="BB40" s="203" t="n">
        <v>93</v>
      </c>
      <c r="BC40" s="203">
        <f>SUMIFS(領用表!$L:$L,領用表!$A:$A,BC$2,領用表!$E:$E,B40)</f>
        <v/>
      </c>
      <c r="BD40" s="206">
        <f>SUMIFS(領用表!$L:$L,領用表!$E:$E,$B40,領用表!$B:$B,BC$2&amp;BD$2)</f>
        <v/>
      </c>
      <c r="BE40" s="206">
        <f>SUMIFS(領用表!$L:$L,領用表!$E:$E,$B40,領用表!$B:$B,$BC$2&amp;BE$2)</f>
        <v/>
      </c>
      <c r="BF40" s="206">
        <f>SUMIFS(領用表!$L:$L,領用表!$E:$E,$B40,領用表!$B:$B,$BC$2&amp;BF$2)</f>
        <v/>
      </c>
      <c r="BG40" s="206">
        <f>SUMIFS(領用表!$L:$L,領用表!$E:$E,$B40,領用表!$B:$B,$BC$2&amp;BG$2)</f>
        <v/>
      </c>
      <c r="BH40" s="203">
        <f>SUMIFS(領用表!$L:$L,領用表!$A:$A,BH$2,領用表!$E:$E,B40)</f>
        <v/>
      </c>
      <c r="BI40" s="206">
        <f>SUMIFS(領用表!$L:$L,領用表!$E:$E,$B40,領用表!$B:$B,BH$2&amp;BI$2)</f>
        <v/>
      </c>
      <c r="BJ40" s="206">
        <f>SUMIFS(領用表!$L:$L,領用表!$E:$E,$B40,領用表!$B:$B,$BH$2&amp;BJ$2)</f>
        <v/>
      </c>
      <c r="BK40" s="206">
        <f>SUMIFS(領用表!$L:$L,領用表!$E:$E,$B40,領用表!$B:$B,$BH$2&amp;BK$2)</f>
        <v/>
      </c>
      <c r="BL40" s="206">
        <f>SUMIFS(領用表!$L:$L,領用表!$E:$E,$B40,領用表!$B:$B,$BH$2&amp;BL$2)</f>
        <v/>
      </c>
      <c r="BM40" s="203">
        <f>SUMIFS(領用表!$L:$L,領用表!$A:$A,BM$2,領用表!$E:$E,B40)</f>
        <v/>
      </c>
      <c r="BN40" s="206">
        <f>SUMIFS(領用表!$L:$L,領用表!$E:$E,$B40,領用表!$B:$B,BM$2&amp;BN$2)</f>
        <v/>
      </c>
      <c r="BO40" s="206">
        <f>SUMIFS(領用表!$L:$L,領用表!$E:$E,$B40,領用表!$B:$B,$BM$2&amp;BO$2)</f>
        <v/>
      </c>
      <c r="BP40" s="206">
        <f>SUMIFS(領用表!$L:$L,領用表!$E:$E,$B40,領用表!$B:$B,$BM$2&amp;BP$2)</f>
        <v/>
      </c>
      <c r="BQ40" s="206">
        <f>SUMIFS(領用表!$L:$L,領用表!$E:$E,$B40,領用表!$B:$B,$BM$2&amp;BQ$2)</f>
        <v/>
      </c>
      <c r="BR40" s="203">
        <f>SUMIFS(領用表!$L:$L,領用表!$A:$A,BR$2,領用表!$E:$E,B40)</f>
        <v/>
      </c>
      <c r="BS40" s="206">
        <f>SUMIFS(領用表!$L:$L,領用表!$E:$E,$B40,領用表!$B:$B,BR$2&amp;BS$2)</f>
        <v/>
      </c>
      <c r="BT40" s="206">
        <f>SUMIFS(領用表!$L:$L,領用表!$E:$E,$B40,領用表!$B:$B,$BR$2&amp;BT$2)</f>
        <v/>
      </c>
      <c r="BU40" s="206">
        <f>SUMIFS(領用表!$L:$L,領用表!$E:$E,$B40,領用表!$B:$B,$BR$2&amp;BU$2)</f>
        <v/>
      </c>
      <c r="BV40" s="206">
        <f>SUMIFS(領用表!$L:$L,領用表!$E:$E,$B40,領用表!$B:$B,$BR$2&amp;BV$2)</f>
        <v/>
      </c>
      <c r="BW40" s="208">
        <f>SUMIFS(領用表!$L:$L,領用表!$A:$A,BW$2,領用表!$E:$E,B40)</f>
        <v/>
      </c>
      <c r="BX40" s="206">
        <f>SUMIFS(領用表!$L:$L,領用表!$E:$E,$B40,領用表!$B:$B,BW$2&amp;BX$2)</f>
        <v/>
      </c>
      <c r="BY40" s="206">
        <f>SUMIFS(領用表!$L:$L,領用表!$E:$E,$B40,領用表!$B:$B,$BW$2&amp;BY$2)</f>
        <v/>
      </c>
      <c r="BZ40" s="206">
        <f>SUMIFS(領用表!$L:$L,領用表!$E:$E,$B40,領用表!$B:$B,$BW$2&amp;BZ$2)</f>
        <v/>
      </c>
      <c r="CA40" s="206">
        <f>SUMIFS(領用表!$L:$L,領用表!$E:$E,$B40,領用表!$B:$B,$BW$2&amp;CA$2)</f>
        <v/>
      </c>
      <c r="CB40" s="208">
        <f>SUMIFS(領用表!$L:$L,領用表!$A:$A,CB$2,領用表!$E:$E,B40)</f>
        <v/>
      </c>
      <c r="CC40" s="206">
        <f>SUMIFS(領用表!$L:$L,領用表!$E:$E,$B40,領用表!$B:$B,CB$2&amp;CC$2)</f>
        <v/>
      </c>
      <c r="CD40" s="206">
        <f>SUMIFS(領用表!$L:$L,領用表!$E:$E,$B40,領用表!$B:$B,$CB$2&amp;CD$2)</f>
        <v/>
      </c>
      <c r="CE40" s="206">
        <f>SUMIFS(領用表!$L:$L,領用表!$E:$E,$B40,領用表!$B:$B,$CB$2&amp;CE$2)</f>
        <v/>
      </c>
      <c r="CF40" s="206">
        <f>SUMIFS(領用表!$L:$L,領用表!$E:$E,$B40,領用表!$B:$B,$CB$2&amp;CF$2)</f>
        <v/>
      </c>
      <c r="CG40" s="208">
        <f>SUMIFS(領用表!$L:$L,領用表!$A:$A,CG$2,領用表!$E:$E,B40)</f>
        <v/>
      </c>
      <c r="CH40" s="206">
        <f>SUMIFS(領用表!$L:$L,領用表!$E:$E,$B40,領用表!$B:$B,CG$2&amp;CH$2)</f>
        <v/>
      </c>
      <c r="CI40" s="206">
        <f>SUMIFS(領用表!$L:$L,領用表!$E:$E,$B40,領用表!$B:$B,CG$2&amp;CI$2)</f>
        <v/>
      </c>
      <c r="CJ40" s="206">
        <f>SUMIFS(領用表!$L:$L,領用表!$E:$E,$B40,領用表!$B:$B,CG$2&amp;CJ$2)</f>
        <v/>
      </c>
      <c r="CK40" s="206">
        <f>SUMIFS(領用表!$L:$L,領用表!$E:$E,$B40,領用表!$B:$B,$CG$2&amp;CK$2)</f>
        <v/>
      </c>
      <c r="CL40" s="207">
        <f>SUM(AX40,AY40,AZ40,BA40,BB40,BC40,BH40,BM40,BR40,BW40,CB40,CG40)</f>
        <v/>
      </c>
      <c r="CM40" s="207">
        <f>AVERAGE(AX40,AY40,AZ40,BA40,BB40,BC40,BH40,BM40,BR40,BW40,CB40,CG40)</f>
        <v/>
      </c>
      <c r="CN40" s="208">
        <f>SUMIFS(領用表!$L:$L,領用表!$A:$A,CN$2,領用表!$E:$E,B40)</f>
        <v/>
      </c>
      <c r="CO40" s="206">
        <f>SUMIFS(領用表!$L:$L,領用表!$E:$E,$B40,領用表!$B:$B,CN$2&amp;CO$2)</f>
        <v/>
      </c>
      <c r="CP40" s="206">
        <f>SUMIFS(領用表!$L:$L,領用表!$E:$E,$B40,領用表!$B:$B,$CN$2&amp;CP$2)</f>
        <v/>
      </c>
      <c r="CQ40" s="206">
        <f>SUMIFS(領用表!$L:$L,領用表!$E:$E,$B40,領用表!$B:$B,$CN$2&amp;CQ$2)</f>
        <v/>
      </c>
      <c r="CR40" s="206">
        <f>SUMIFS(領用表!$L:$L,領用表!$E:$E,$B40,領用表!$B:$B,$CN$2&amp;CR$2)</f>
        <v/>
      </c>
      <c r="CS40" s="208">
        <f>SUMIFS(領用表!$L:$L,領用表!$A:$A,CS$2,領用表!$E:$E,B40)</f>
        <v/>
      </c>
      <c r="CT40" s="206">
        <f>SUMIFS(領用表!$L:$L,領用表!$E:$E,$B40,領用表!$B:$B,CS$2&amp;CT$2)</f>
        <v/>
      </c>
      <c r="CU40" s="206">
        <f>SUMIFS(領用表!$L:$L,領用表!$E:$E,$B40,領用表!$B:$B,$CS$2&amp;CU$2)</f>
        <v/>
      </c>
      <c r="CV40" s="206">
        <f>SUMIFS(領用表!$L:$L,領用表!$E:$E,$B40,領用表!$B:$B,$CS$2&amp;CV$2)</f>
        <v/>
      </c>
      <c r="CW40" s="206">
        <f>SUMIFS(領用表!$L:$L,領用表!$E:$E,$B40,領用表!$B:$B,$CS$2&amp;CW$2)</f>
        <v/>
      </c>
      <c r="CX40" s="206">
        <f>SUMIFS(領用表!$L:$L,領用表!$E:$E,$B40,領用表!$B:$B,$CS$2&amp;CX$2)</f>
        <v/>
      </c>
      <c r="CY40" s="208">
        <f>SUMIFS(領用表!$L:$L,領用表!$A:$A,CY$2,領用表!$E:$E,B40)</f>
        <v/>
      </c>
      <c r="CZ40" s="206">
        <f>SUMIFS(領用表!$L:$L,領用表!$E:$E,$B40,領用表!$B:$B,CY$2&amp;CZ$2)</f>
        <v/>
      </c>
      <c r="DA40" s="206">
        <f>SUMIFS(領用表!$L:$L,領用表!$E:$E,$B40,領用表!$B:$B,$CY$2&amp;DA$2)</f>
        <v/>
      </c>
      <c r="DB40" s="206">
        <f>SUMIFS(領用表!$L:$L,領用表!$E:$E,$B40,領用表!$B:$B,$CY$2&amp;DB$2)</f>
        <v/>
      </c>
      <c r="DC40" s="206">
        <f>SUMIFS(領用表!$L:$L,領用表!$E:$E,$B40,領用表!$B:$B,$CY$2&amp;DC$2)</f>
        <v/>
      </c>
      <c r="DD40" s="206">
        <f>SUMIFS(領用表!$L:$L,領用表!$E:$E,$B40,領用表!$B:$B,$CY$2&amp;DD$2)</f>
        <v/>
      </c>
      <c r="DE40" s="208">
        <f>SUMIFS(領用表!$L:$L,領用表!$A:$A,DE$2,領用表!$E:$E,B40)</f>
        <v/>
      </c>
      <c r="DF40" s="206">
        <f>SUMIFS(領用表!$L:$L,領用表!$E:$E,$B40,領用表!$B:$B,DE$2&amp;DF$2)</f>
        <v/>
      </c>
      <c r="DG40" s="206">
        <f>SUMIFS(領用表!$L:$L,領用表!$E:$E,$B40,領用表!$B:$B,$DE$2&amp;DG$2)</f>
        <v/>
      </c>
      <c r="DH40" s="206">
        <f>SUMIFS(領用表!$L:$L,領用表!$E:$E,$B40,領用表!$B:$B,$DE$2&amp;DH$2)</f>
        <v/>
      </c>
      <c r="DI40" s="206">
        <f>SUMIFS(領用表!$L:$L,領用表!$E:$E,$B40,領用表!$B:$B,$DE$2&amp;DI$2)</f>
        <v/>
      </c>
      <c r="DJ40" s="206">
        <f>SUMIFS(領用表!$L:$L,領用表!$E:$E,$B40,領用表!$B:$B,$DE$2&amp;DJ$2)</f>
        <v/>
      </c>
      <c r="DK40" s="208">
        <f>SUMIFS(領用表!$L:$L,領用表!$A:$A,DK$2,領用表!$E:$E,$B40)</f>
        <v/>
      </c>
      <c r="DL40" s="206">
        <f>SUMIFS(領用表!$L:$L,領用表!$E:$E,$B40,領用表!$B:$B,DK$2&amp;DL$2)</f>
        <v/>
      </c>
      <c r="DM40" s="206">
        <f>SUMIFS(領用表!$L:$L,領用表!$E:$E,$B40,領用表!$B:$B,$DK$2&amp;DM$2)</f>
        <v/>
      </c>
      <c r="DN40" s="206">
        <f>SUMIFS(領用表!$L:$L,領用表!$E:$E,$B40,領用表!$B:$B,$DK$2&amp;DN$2)</f>
        <v/>
      </c>
      <c r="DO40" s="206">
        <f>SUMIFS(領用表!$L:$L,領用表!$E:$E,$B40,領用表!$B:$B,$DK$2&amp;DO$2)</f>
        <v/>
      </c>
      <c r="DP40" s="206">
        <f>SUMIFS(領用表!$L:$L,領用表!$E:$E,$B40,領用表!$B:$B,$DK$2&amp;DP$2)</f>
        <v/>
      </c>
      <c r="DQ40" s="208" t="n">
        <v>20</v>
      </c>
      <c r="DR40" s="206" t="n">
        <v>5</v>
      </c>
      <c r="DS40" s="206" t="n"/>
      <c r="DT40" s="206" t="n">
        <v>12</v>
      </c>
      <c r="DU40" s="206" t="n"/>
      <c r="DV40" s="206" t="n">
        <v>3</v>
      </c>
      <c r="DW40" s="206">
        <f>SUM(CN40,CS40,CY40,DE40,DK40,DQ40)</f>
        <v/>
      </c>
      <c r="DX40" s="206">
        <f>AVERAGEA(CN40,CS40,CY40,DE40,DK40,DQ40)</f>
        <v/>
      </c>
      <c r="DY40" s="206">
        <f>SUM(DZ40:EC40)</f>
        <v/>
      </c>
      <c r="DZ40" s="206" t="n">
        <v>50</v>
      </c>
      <c r="EA40" s="206" t="n">
        <v>0</v>
      </c>
      <c r="EB40" s="206" t="n">
        <v>80</v>
      </c>
      <c r="EC40" s="206" t="n">
        <v>0</v>
      </c>
      <c r="ED40" s="215" t="n">
        <v>50</v>
      </c>
      <c r="EE40" s="224" t="n"/>
      <c r="EF40" s="211" t="inlineStr">
        <is>
          <t>35盒(10/21)</t>
        </is>
      </c>
      <c r="EG40" s="211" t="inlineStr">
        <is>
          <t>40盒(10/21)</t>
        </is>
      </c>
      <c r="EH40" s="136" t="n"/>
      <c r="EI40" s="212" t="n"/>
      <c r="EJ40" s="118">
        <f>IFERROR(VLOOKUP(A40,站前4樓!A:BF,57,0),0)</f>
        <v/>
      </c>
      <c r="EK40" s="213">
        <f>IFERROR(VLOOKUP(A40,站前11樓!A:BE,57,0),0)</f>
        <v/>
      </c>
      <c r="EL40" s="118">
        <f>IFERROR(VLOOKUP(A40,忠孝7樓!A:N,57,0),0)</f>
        <v/>
      </c>
      <c r="EM40" s="118">
        <f>IFERROR(VLOOKUP(A40,忠孝國際醫學3樓!A:L,57,0),0)</f>
        <v/>
      </c>
      <c r="EN40" s="118">
        <f>SUM(ED40:EG40)</f>
        <v/>
      </c>
      <c r="EP40" s="118" t="n">
        <v>39</v>
      </c>
      <c r="EQ40" s="118" t="n">
        <v>38</v>
      </c>
    </row>
    <row r="41" ht="15.75" customFormat="1" customHeight="1" s="118">
      <c r="A41" s="136" t="inlineStr">
        <is>
          <t>MP1MA020018A</t>
        </is>
      </c>
      <c r="B41" s="118" t="n">
        <v>6150011</v>
      </c>
      <c r="C41" s="131" t="inlineStr">
        <is>
          <t>優美施豐潤 Neuramis Deep Lidocaine 1c.c/ 支</t>
        </is>
      </c>
      <c r="D41" s="228" t="n">
        <v>1</v>
      </c>
      <c r="E41" s="198" t="inlineStr">
        <is>
          <t>PCS</t>
        </is>
      </c>
      <c r="F41" s="199">
        <f>SUMIF(站前4樓!B:B,B41,站前4樓!F:F)</f>
        <v/>
      </c>
      <c r="G41" s="199">
        <f>SUMIF(站前11樓!B:B,B41,站前11樓!F:F)</f>
        <v/>
      </c>
      <c r="H41" s="199">
        <f>SUMIF(忠孝7樓!B:B,B41,忠孝7樓!G:G)</f>
        <v/>
      </c>
      <c r="I41" s="199">
        <f>SUMIF(忠孝國際醫學3樓!B:B,B41,忠孝國際醫學3樓!G:G)</f>
        <v/>
      </c>
      <c r="J41" s="199">
        <f>SUMIF(忠孝健康7樓!B:B,B41,忠孝健康7樓!G:G)</f>
        <v/>
      </c>
      <c r="K41" s="200" t="n">
        <v>0</v>
      </c>
      <c r="L41" s="200" t="n">
        <v>0</v>
      </c>
      <c r="M41" s="200" t="n">
        <v>0</v>
      </c>
      <c r="N41" s="200" t="n">
        <v>0</v>
      </c>
      <c r="O41" s="200" t="n">
        <v>0</v>
      </c>
      <c r="P41" s="200" t="n">
        <v>0</v>
      </c>
      <c r="Q41" s="200" t="n">
        <v>0</v>
      </c>
      <c r="R41" s="200" t="n">
        <v>0</v>
      </c>
      <c r="S41" s="200" t="n">
        <v>0</v>
      </c>
      <c r="T41" s="200" t="n">
        <v>0</v>
      </c>
      <c r="U41" s="200" t="n">
        <v>0</v>
      </c>
      <c r="V41" s="200" t="n">
        <v>0</v>
      </c>
      <c r="W41" s="200" t="n">
        <v>0</v>
      </c>
      <c r="X41" s="200" t="n">
        <v>0</v>
      </c>
      <c r="Y41" s="200" t="n">
        <v>0</v>
      </c>
      <c r="Z41" s="200" t="n">
        <v>0</v>
      </c>
      <c r="AA41" s="200" t="n">
        <v>0</v>
      </c>
      <c r="AB41" s="200" t="n">
        <v>0</v>
      </c>
      <c r="AC41" s="200" t="n">
        <v>0</v>
      </c>
      <c r="AD41" s="200" t="n">
        <v>0</v>
      </c>
      <c r="AE41" s="200" t="n">
        <v>0</v>
      </c>
      <c r="AF41" s="200" t="n">
        <v>0</v>
      </c>
      <c r="AG41" s="200" t="n">
        <v>0</v>
      </c>
      <c r="AH41" s="200" t="n">
        <v>0</v>
      </c>
      <c r="AI41" s="200" t="n">
        <v>0</v>
      </c>
      <c r="AJ41" s="201" t="n">
        <v>0</v>
      </c>
      <c r="AK41" s="201" t="n">
        <v>0</v>
      </c>
      <c r="AL41" s="201" t="n">
        <v>0</v>
      </c>
      <c r="AM41" s="201" t="n">
        <v>0</v>
      </c>
      <c r="AN41" s="201" t="n">
        <v>0</v>
      </c>
      <c r="AO41" s="201" t="n">
        <v>0</v>
      </c>
      <c r="AP41" s="201" t="n">
        <v>0</v>
      </c>
      <c r="AQ41" s="201" t="n">
        <v>0</v>
      </c>
      <c r="AR41" s="201" t="n">
        <v>0</v>
      </c>
      <c r="AS41" s="201" t="n">
        <v>0</v>
      </c>
      <c r="AT41" s="512" t="n">
        <v>0</v>
      </c>
      <c r="AU41" s="203" t="n">
        <v>5.5</v>
      </c>
      <c r="AV41" s="204">
        <f>SUM(AJ41:AU41)</f>
        <v/>
      </c>
      <c r="AW41" s="513">
        <f>AV41/12</f>
        <v/>
      </c>
      <c r="AX41" s="203" t="n">
        <v>2</v>
      </c>
      <c r="AY41" s="203" t="n">
        <v>5</v>
      </c>
      <c r="AZ41" s="203" t="n">
        <v>4</v>
      </c>
      <c r="BA41" s="203" t="n">
        <v>18</v>
      </c>
      <c r="BB41" s="203" t="n">
        <v>9</v>
      </c>
      <c r="BC41" s="203">
        <f>SUMIFS(領用表!$L:$L,領用表!$A:$A,BC$2,領用表!$E:$E,B41)</f>
        <v/>
      </c>
      <c r="BD41" s="206">
        <f>SUMIFS(領用表!$L:$L,領用表!$E:$E,$B41,領用表!$B:$B,BC$2&amp;BD$2)</f>
        <v/>
      </c>
      <c r="BE41" s="206">
        <f>SUMIFS(領用表!$L:$L,領用表!$E:$E,$B41,領用表!$B:$B,$BC$2&amp;BE$2)</f>
        <v/>
      </c>
      <c r="BF41" s="206">
        <f>SUMIFS(領用表!$L:$L,領用表!$E:$E,$B41,領用表!$B:$B,$BC$2&amp;BF$2)</f>
        <v/>
      </c>
      <c r="BG41" s="206">
        <f>SUMIFS(領用表!$L:$L,領用表!$E:$E,$B41,領用表!$B:$B,$BC$2&amp;BG$2)</f>
        <v/>
      </c>
      <c r="BH41" s="203">
        <f>SUMIFS(領用表!$L:$L,領用表!$A:$A,BH$2,領用表!$E:$E,B41)</f>
        <v/>
      </c>
      <c r="BI41" s="206">
        <f>SUMIFS(領用表!$L:$L,領用表!$E:$E,$B41,領用表!$B:$B,BH$2&amp;BI$2)</f>
        <v/>
      </c>
      <c r="BJ41" s="206">
        <f>SUMIFS(領用表!$L:$L,領用表!$E:$E,$B41,領用表!$B:$B,$BH$2&amp;BJ$2)</f>
        <v/>
      </c>
      <c r="BK41" s="206">
        <f>SUMIFS(領用表!$L:$L,領用表!$E:$E,$B41,領用表!$B:$B,$BH$2&amp;BK$2)</f>
        <v/>
      </c>
      <c r="BL41" s="206">
        <f>SUMIFS(領用表!$L:$L,領用表!$E:$E,$B41,領用表!$B:$B,$BH$2&amp;BL$2)</f>
        <v/>
      </c>
      <c r="BM41" s="203">
        <f>SUMIFS(領用表!$L:$L,領用表!$A:$A,BM$2,領用表!$E:$E,B41)</f>
        <v/>
      </c>
      <c r="BN41" s="206">
        <f>SUMIFS(領用表!$L:$L,領用表!$E:$E,$B41,領用表!$B:$B,BM$2&amp;BN$2)</f>
        <v/>
      </c>
      <c r="BO41" s="206">
        <f>SUMIFS(領用表!$L:$L,領用表!$E:$E,$B41,領用表!$B:$B,$BM$2&amp;BO$2)</f>
        <v/>
      </c>
      <c r="BP41" s="206">
        <f>SUMIFS(領用表!$L:$L,領用表!$E:$E,$B41,領用表!$B:$B,$BM$2&amp;BP$2)</f>
        <v/>
      </c>
      <c r="BQ41" s="206">
        <f>SUMIFS(領用表!$L:$L,領用表!$E:$E,$B41,領用表!$B:$B,$BM$2&amp;BQ$2)</f>
        <v/>
      </c>
      <c r="BR41" s="203">
        <f>SUMIFS(領用表!$L:$L,領用表!$A:$A,BR$2,領用表!$E:$E,B41)</f>
        <v/>
      </c>
      <c r="BS41" s="206">
        <f>SUMIFS(領用表!$L:$L,領用表!$E:$E,$B41,領用表!$B:$B,BR$2&amp;BS$2)</f>
        <v/>
      </c>
      <c r="BT41" s="206">
        <f>SUMIFS(領用表!$L:$L,領用表!$E:$E,$B41,領用表!$B:$B,$BR$2&amp;BT$2)</f>
        <v/>
      </c>
      <c r="BU41" s="206">
        <f>SUMIFS(領用表!$L:$L,領用表!$E:$E,$B41,領用表!$B:$B,$BR$2&amp;BU$2)</f>
        <v/>
      </c>
      <c r="BV41" s="206">
        <f>SUMIFS(領用表!$L:$L,領用表!$E:$E,$B41,領用表!$B:$B,$BR$2&amp;BV$2)</f>
        <v/>
      </c>
      <c r="BW41" s="208">
        <f>SUMIFS(領用表!$L:$L,領用表!$A:$A,BW$2,領用表!$E:$E,B41)</f>
        <v/>
      </c>
      <c r="BX41" s="206">
        <f>SUMIFS(領用表!$L:$L,領用表!$E:$E,$B41,領用表!$B:$B,BW$2&amp;BX$2)</f>
        <v/>
      </c>
      <c r="BY41" s="206">
        <f>SUMIFS(領用表!$L:$L,領用表!$E:$E,$B41,領用表!$B:$B,$BW$2&amp;BY$2)</f>
        <v/>
      </c>
      <c r="BZ41" s="206">
        <f>SUMIFS(領用表!$L:$L,領用表!$E:$E,$B41,領用表!$B:$B,$BW$2&amp;BZ$2)</f>
        <v/>
      </c>
      <c r="CA41" s="206">
        <f>SUMIFS(領用表!$L:$L,領用表!$E:$E,$B41,領用表!$B:$B,$BW$2&amp;CA$2)</f>
        <v/>
      </c>
      <c r="CB41" s="208">
        <f>SUMIFS(領用表!$L:$L,領用表!$A:$A,CB$2,領用表!$E:$E,B41)</f>
        <v/>
      </c>
      <c r="CC41" s="206">
        <f>SUMIFS(領用表!$L:$L,領用表!$E:$E,$B41,領用表!$B:$B,CB$2&amp;CC$2)</f>
        <v/>
      </c>
      <c r="CD41" s="206">
        <f>SUMIFS(領用表!$L:$L,領用表!$E:$E,$B41,領用表!$B:$B,$CB$2&amp;CD$2)</f>
        <v/>
      </c>
      <c r="CE41" s="206">
        <f>SUMIFS(領用表!$L:$L,領用表!$E:$E,$B41,領用表!$B:$B,$CB$2&amp;CE$2)</f>
        <v/>
      </c>
      <c r="CF41" s="206">
        <f>SUMIFS(領用表!$L:$L,領用表!$E:$E,$B41,領用表!$B:$B,$CB$2&amp;CF$2)</f>
        <v/>
      </c>
      <c r="CG41" s="208">
        <f>SUMIFS(領用表!$L:$L,領用表!$A:$A,CG$2,領用表!$E:$E,B41)</f>
        <v/>
      </c>
      <c r="CH41" s="206">
        <f>SUMIFS(領用表!$L:$L,領用表!$E:$E,$B41,領用表!$B:$B,CG$2&amp;CH$2)</f>
        <v/>
      </c>
      <c r="CI41" s="206">
        <f>SUMIFS(領用表!$L:$L,領用表!$E:$E,$B41,領用表!$B:$B,CG$2&amp;CI$2)</f>
        <v/>
      </c>
      <c r="CJ41" s="206">
        <f>SUMIFS(領用表!$L:$L,領用表!$E:$E,$B41,領用表!$B:$B,CG$2&amp;CJ$2)</f>
        <v/>
      </c>
      <c r="CK41" s="206">
        <f>SUMIFS(領用表!$L:$L,領用表!$E:$E,$B41,領用表!$B:$B,$CG$2&amp;CK$2)</f>
        <v/>
      </c>
      <c r="CL41" s="207">
        <f>SUM(AX41,AY41,AZ41,BA41,BB41,BC41,BH41,BM41,BR41,BW41,CB41,CG41)</f>
        <v/>
      </c>
      <c r="CM41" s="207">
        <f>AVERAGE(AX41,AY41,AZ41,BA41,BB41,BC41,BH41,BM41,BR41,BW41,CB41,CG41)</f>
        <v/>
      </c>
      <c r="CN41" s="208">
        <f>SUMIFS(領用表!$L:$L,領用表!$A:$A,CN$2,領用表!$E:$E,B41)</f>
        <v/>
      </c>
      <c r="CO41" s="206">
        <f>SUMIFS(領用表!$L:$L,領用表!$E:$E,$B41,領用表!$B:$B,CN$2&amp;CO$2)</f>
        <v/>
      </c>
      <c r="CP41" s="206">
        <f>SUMIFS(領用表!$L:$L,領用表!$E:$E,$B41,領用表!$B:$B,$CN$2&amp;CP$2)</f>
        <v/>
      </c>
      <c r="CQ41" s="206">
        <f>SUMIFS(領用表!$L:$L,領用表!$E:$E,$B41,領用表!$B:$B,$CN$2&amp;CQ$2)</f>
        <v/>
      </c>
      <c r="CR41" s="206">
        <f>SUMIFS(領用表!$L:$L,領用表!$E:$E,$B41,領用表!$B:$B,$CN$2&amp;CR$2)</f>
        <v/>
      </c>
      <c r="CS41" s="208">
        <f>SUMIFS(領用表!$L:$L,領用表!$A:$A,CS$2,領用表!$E:$E,B41)</f>
        <v/>
      </c>
      <c r="CT41" s="206">
        <f>SUMIFS(領用表!$L:$L,領用表!$E:$E,$B41,領用表!$B:$B,CS$2&amp;CT$2)</f>
        <v/>
      </c>
      <c r="CU41" s="206">
        <f>SUMIFS(領用表!$L:$L,領用表!$E:$E,$B41,領用表!$B:$B,$CS$2&amp;CU$2)</f>
        <v/>
      </c>
      <c r="CV41" s="206">
        <f>SUMIFS(領用表!$L:$L,領用表!$E:$E,$B41,領用表!$B:$B,$CS$2&amp;CV$2)</f>
        <v/>
      </c>
      <c r="CW41" s="206">
        <f>SUMIFS(領用表!$L:$L,領用表!$E:$E,$B41,領用表!$B:$B,$CS$2&amp;CW$2)</f>
        <v/>
      </c>
      <c r="CX41" s="206">
        <f>SUMIFS(領用表!$L:$L,領用表!$E:$E,$B41,領用表!$B:$B,$CS$2&amp;CX$2)</f>
        <v/>
      </c>
      <c r="CY41" s="208">
        <f>SUMIFS(領用表!$L:$L,領用表!$A:$A,CY$2,領用表!$E:$E,B41)</f>
        <v/>
      </c>
      <c r="CZ41" s="206">
        <f>SUMIFS(領用表!$L:$L,領用表!$E:$E,$B41,領用表!$B:$B,CY$2&amp;CZ$2)</f>
        <v/>
      </c>
      <c r="DA41" s="206">
        <f>SUMIFS(領用表!$L:$L,領用表!$E:$E,$B41,領用表!$B:$B,$CY$2&amp;DA$2)</f>
        <v/>
      </c>
      <c r="DB41" s="206">
        <f>SUMIFS(領用表!$L:$L,領用表!$E:$E,$B41,領用表!$B:$B,$CY$2&amp;DB$2)</f>
        <v/>
      </c>
      <c r="DC41" s="206">
        <f>SUMIFS(領用表!$L:$L,領用表!$E:$E,$B41,領用表!$B:$B,$CY$2&amp;DC$2)</f>
        <v/>
      </c>
      <c r="DD41" s="206">
        <f>SUMIFS(領用表!$L:$L,領用表!$E:$E,$B41,領用表!$B:$B,$CY$2&amp;DD$2)</f>
        <v/>
      </c>
      <c r="DE41" s="208">
        <f>SUMIFS(領用表!$L:$L,領用表!$A:$A,DE$2,領用表!$E:$E,B41)</f>
        <v/>
      </c>
      <c r="DF41" s="206">
        <f>SUMIFS(領用表!$L:$L,領用表!$E:$E,$B41,領用表!$B:$B,DE$2&amp;DF$2)</f>
        <v/>
      </c>
      <c r="DG41" s="206">
        <f>SUMIFS(領用表!$L:$L,領用表!$E:$E,$B41,領用表!$B:$B,$DE$2&amp;DG$2)</f>
        <v/>
      </c>
      <c r="DH41" s="206">
        <f>SUMIFS(領用表!$L:$L,領用表!$E:$E,$B41,領用表!$B:$B,$DE$2&amp;DH$2)</f>
        <v/>
      </c>
      <c r="DI41" s="206">
        <f>SUMIFS(領用表!$L:$L,領用表!$E:$E,$B41,領用表!$B:$B,$DE$2&amp;DI$2)</f>
        <v/>
      </c>
      <c r="DJ41" s="206">
        <f>SUMIFS(領用表!$L:$L,領用表!$E:$E,$B41,領用表!$B:$B,$DE$2&amp;DJ$2)</f>
        <v/>
      </c>
      <c r="DK41" s="208">
        <f>SUMIFS(領用表!$L:$L,領用表!$A:$A,DK$2,領用表!$E:$E,$B41)</f>
        <v/>
      </c>
      <c r="DL41" s="206">
        <f>SUMIFS(領用表!$L:$L,領用表!$E:$E,$B41,領用表!$B:$B,DK$2&amp;DL$2)</f>
        <v/>
      </c>
      <c r="DM41" s="206">
        <f>SUMIFS(領用表!$L:$L,領用表!$E:$E,$B41,領用表!$B:$B,$DK$2&amp;DM$2)</f>
        <v/>
      </c>
      <c r="DN41" s="206">
        <f>SUMIFS(領用表!$L:$L,領用表!$E:$E,$B41,領用表!$B:$B,$DK$2&amp;DN$2)</f>
        <v/>
      </c>
      <c r="DO41" s="206">
        <f>SUMIFS(領用表!$L:$L,領用表!$E:$E,$B41,領用表!$B:$B,$DK$2&amp;DO$2)</f>
        <v/>
      </c>
      <c r="DP41" s="206">
        <f>SUMIFS(領用表!$L:$L,領用表!$E:$E,$B41,領用表!$B:$B,$DK$2&amp;DP$2)</f>
        <v/>
      </c>
      <c r="DQ41" s="208" t="n">
        <v>5</v>
      </c>
      <c r="DR41" s="206" t="n"/>
      <c r="DS41" s="206" t="n"/>
      <c r="DT41" s="206" t="n"/>
      <c r="DU41" s="206" t="n"/>
      <c r="DV41" s="206" t="n">
        <v>5</v>
      </c>
      <c r="DW41" s="206">
        <f>SUM(CN41,CS41,CY41,DE41,DK41,DQ41)</f>
        <v/>
      </c>
      <c r="DX41" s="206">
        <f>AVERAGEA(CN41,CS41,CY41,DE41,DK41,DQ41)</f>
        <v/>
      </c>
      <c r="DY41" s="206">
        <f>SUM(DZ41:EC41)</f>
        <v/>
      </c>
      <c r="DZ41" s="206" t="n">
        <v>5</v>
      </c>
      <c r="EA41" s="206" t="n">
        <v>0</v>
      </c>
      <c r="EB41" s="206" t="n">
        <v>15</v>
      </c>
      <c r="EC41" s="206" t="n">
        <v>0</v>
      </c>
      <c r="ED41" s="215" t="n">
        <v>15</v>
      </c>
      <c r="EE41" s="515" t="n"/>
      <c r="EF41" s="211" t="n"/>
      <c r="EG41" s="211" t="n"/>
      <c r="EH41" s="136" t="n"/>
      <c r="EI41" s="212" t="n"/>
      <c r="EJ41" s="118">
        <f>IFERROR(VLOOKUP(A41,站前4樓!A:BF,57,0),0)</f>
        <v/>
      </c>
      <c r="EK41" s="213">
        <f>IFERROR(VLOOKUP(A41,站前11樓!A:BE,57,0),0)</f>
        <v/>
      </c>
      <c r="EL41" s="118">
        <f>IFERROR(VLOOKUP(A41,忠孝7樓!A:N,57,0),0)</f>
        <v/>
      </c>
      <c r="EM41" s="118">
        <f>IFERROR(VLOOKUP(A41,忠孝國際醫學3樓!A:L,57,0),0)</f>
        <v/>
      </c>
      <c r="EN41" s="118">
        <f>SUM(ED41:EG41)</f>
        <v/>
      </c>
      <c r="EP41" s="118" t="n">
        <v>5</v>
      </c>
      <c r="EQ41" s="118" t="n">
        <v>38</v>
      </c>
    </row>
    <row r="42" ht="15" customFormat="1" customHeight="1" s="118">
      <c r="A42" s="136" t="inlineStr">
        <is>
          <t>MP1MA020024A</t>
        </is>
      </c>
      <c r="B42" s="118" t="n">
        <v>6160002</v>
      </c>
      <c r="C42" s="118" t="inlineStr">
        <is>
          <t>洢蓮絲植入劑ELLANSÉ-S 1ml(支)</t>
        </is>
      </c>
      <c r="D42" s="197" t="n">
        <v>2</v>
      </c>
      <c r="E42" s="198" t="inlineStr">
        <is>
          <t>PCS</t>
        </is>
      </c>
      <c r="F42" s="199">
        <f>SUMIF(站前4樓!B:B,B42,站前4樓!F:F)</f>
        <v/>
      </c>
      <c r="G42" s="199">
        <f>SUMIF(站前11樓!B:B,B42,站前11樓!F:F)</f>
        <v/>
      </c>
      <c r="H42" s="199">
        <f>SUMIF(忠孝7樓!B:B,B42,忠孝7樓!G:G)</f>
        <v/>
      </c>
      <c r="I42" s="199">
        <f>SUMIF(忠孝國際醫學3樓!B:B,B42,忠孝國際醫學3樓!G:G)</f>
        <v/>
      </c>
      <c r="J42" s="199">
        <f>SUMIF(忠孝健康7樓!B:B,B42,忠孝健康7樓!G:G)</f>
        <v/>
      </c>
      <c r="K42" s="200" t="n">
        <v>1</v>
      </c>
      <c r="L42" s="200" t="n">
        <v>2</v>
      </c>
      <c r="M42" s="200" t="n">
        <v>0</v>
      </c>
      <c r="N42" s="200" t="n">
        <v>1</v>
      </c>
      <c r="O42" s="200" t="n">
        <v>0</v>
      </c>
      <c r="P42" s="200" t="n">
        <v>1.5</v>
      </c>
      <c r="Q42" s="200" t="n">
        <v>0.5</v>
      </c>
      <c r="R42" s="200" t="n">
        <v>0.5</v>
      </c>
      <c r="S42" s="200" t="n">
        <v>4.5</v>
      </c>
      <c r="T42" s="200" t="n">
        <v>6.5</v>
      </c>
      <c r="U42" s="200" t="n">
        <v>3.5</v>
      </c>
      <c r="V42" s="200" t="n">
        <v>7</v>
      </c>
      <c r="W42" s="200" t="n">
        <v>3.5</v>
      </c>
      <c r="X42" s="200" t="n">
        <v>18</v>
      </c>
      <c r="Y42" s="200" t="n">
        <v>9.5</v>
      </c>
      <c r="Z42" s="200" t="n">
        <v>18</v>
      </c>
      <c r="AA42" s="200" t="n">
        <v>17</v>
      </c>
      <c r="AB42" s="200" t="n">
        <v>14</v>
      </c>
      <c r="AC42" s="200" t="n">
        <v>4</v>
      </c>
      <c r="AD42" s="200" t="n">
        <v>22.5</v>
      </c>
      <c r="AE42" s="200" t="n">
        <v>23.5</v>
      </c>
      <c r="AF42" s="200" t="n">
        <v>13</v>
      </c>
      <c r="AG42" s="200" t="n">
        <v>13.5</v>
      </c>
      <c r="AH42" s="200" t="n">
        <v>21</v>
      </c>
      <c r="AI42" s="200" t="n">
        <v>16.5</v>
      </c>
      <c r="AJ42" s="201" t="n">
        <v>41</v>
      </c>
      <c r="AK42" s="201" t="n">
        <v>10.5</v>
      </c>
      <c r="AL42" s="201" t="n">
        <v>16</v>
      </c>
      <c r="AM42" s="201" t="n">
        <v>17.5</v>
      </c>
      <c r="AN42" s="201" t="n">
        <v>11.5</v>
      </c>
      <c r="AO42" s="201" t="n">
        <v>27</v>
      </c>
      <c r="AP42" s="201" t="n">
        <v>16.5</v>
      </c>
      <c r="AQ42" s="201" t="n">
        <v>69</v>
      </c>
      <c r="AR42" s="201" t="n">
        <v>37</v>
      </c>
      <c r="AS42" s="201" t="n">
        <v>22</v>
      </c>
      <c r="AT42" s="512" t="n">
        <v>33.5</v>
      </c>
      <c r="AU42" s="203" t="n">
        <v>81</v>
      </c>
      <c r="AV42" s="204">
        <f>SUM(AJ42:AU42)</f>
        <v/>
      </c>
      <c r="AW42" s="513">
        <f>AV42/12</f>
        <v/>
      </c>
      <c r="AX42" s="203" t="n">
        <v>83</v>
      </c>
      <c r="AY42" s="203" t="n">
        <v>92</v>
      </c>
      <c r="AZ42" s="203" t="n">
        <v>76</v>
      </c>
      <c r="BA42" s="214" t="n">
        <v>106</v>
      </c>
      <c r="BB42" s="203" t="n">
        <v>106</v>
      </c>
      <c r="BC42" s="203">
        <f>SUMIFS(領用表!$L:$L,領用表!$A:$A,BC$2,領用表!$E:$E,B42)</f>
        <v/>
      </c>
      <c r="BD42" s="206">
        <f>SUMIFS(領用表!$L:$L,領用表!$E:$E,$B42,領用表!$B:$B,BC$2&amp;BD$2)</f>
        <v/>
      </c>
      <c r="BE42" s="206">
        <f>SUMIFS(領用表!$L:$L,領用表!$E:$E,$B42,領用表!$B:$B,$BC$2&amp;BE$2)</f>
        <v/>
      </c>
      <c r="BF42" s="206">
        <f>SUMIFS(領用表!$L:$L,領用表!$E:$E,$B42,領用表!$B:$B,$BC$2&amp;BF$2)</f>
        <v/>
      </c>
      <c r="BG42" s="206">
        <f>SUMIFS(領用表!$L:$L,領用表!$E:$E,$B42,領用表!$B:$B,$BC$2&amp;BG$2)</f>
        <v/>
      </c>
      <c r="BH42" s="203">
        <f>SUMIFS(領用表!$L:$L,領用表!$A:$A,BH$2,領用表!$E:$E,B42)</f>
        <v/>
      </c>
      <c r="BI42" s="206">
        <f>SUMIFS(領用表!$L:$L,領用表!$E:$E,$B42,領用表!$B:$B,BH$2&amp;BI$2)</f>
        <v/>
      </c>
      <c r="BJ42" s="206">
        <f>SUMIFS(領用表!$L:$L,領用表!$E:$E,$B42,領用表!$B:$B,$BH$2&amp;BJ$2)</f>
        <v/>
      </c>
      <c r="BK42" s="206">
        <f>SUMIFS(領用表!$L:$L,領用表!$E:$E,$B42,領用表!$B:$B,$BH$2&amp;BK$2)</f>
        <v/>
      </c>
      <c r="BL42" s="206">
        <f>SUMIFS(領用表!$L:$L,領用表!$E:$E,$B42,領用表!$B:$B,$BH$2&amp;BL$2)</f>
        <v/>
      </c>
      <c r="BM42" s="203">
        <f>SUMIFS(領用表!$L:$L,領用表!$A:$A,BM$2,領用表!$E:$E,B42)</f>
        <v/>
      </c>
      <c r="BN42" s="206">
        <f>SUMIFS(領用表!$L:$L,領用表!$E:$E,$B42,領用表!$B:$B,BM$2&amp;BN$2)</f>
        <v/>
      </c>
      <c r="BO42" s="206">
        <f>SUMIFS(領用表!$L:$L,領用表!$E:$E,$B42,領用表!$B:$B,$BM$2&amp;BO$2)</f>
        <v/>
      </c>
      <c r="BP42" s="206">
        <f>SUMIFS(領用表!$L:$L,領用表!$E:$E,$B42,領用表!$B:$B,$BM$2&amp;BP$2)</f>
        <v/>
      </c>
      <c r="BQ42" s="206">
        <f>SUMIFS(領用表!$L:$L,領用表!$E:$E,$B42,領用表!$B:$B,$BM$2&amp;BQ$2)</f>
        <v/>
      </c>
      <c r="BR42" s="203">
        <f>SUMIFS(領用表!$L:$L,領用表!$A:$A,BR$2,領用表!$E:$E,B42)</f>
        <v/>
      </c>
      <c r="BS42" s="206">
        <f>SUMIFS(領用表!$L:$L,領用表!$E:$E,$B42,領用表!$B:$B,BR$2&amp;BS$2)</f>
        <v/>
      </c>
      <c r="BT42" s="206">
        <f>SUMIFS(領用表!$L:$L,領用表!$E:$E,$B42,領用表!$B:$B,$BR$2&amp;BT$2)</f>
        <v/>
      </c>
      <c r="BU42" s="206">
        <f>SUMIFS(領用表!$L:$L,領用表!$E:$E,$B42,領用表!$B:$B,$BR$2&amp;BU$2)</f>
        <v/>
      </c>
      <c r="BV42" s="206">
        <f>SUMIFS(領用表!$L:$L,領用表!$E:$E,$B42,領用表!$B:$B,$BR$2&amp;BV$2)</f>
        <v/>
      </c>
      <c r="BW42" s="208">
        <f>SUMIFS(領用表!$L:$L,領用表!$A:$A,BW$2,領用表!$E:$E,B42)</f>
        <v/>
      </c>
      <c r="BX42" s="206">
        <f>SUMIFS(領用表!$L:$L,領用表!$E:$E,$B42,領用表!$B:$B,BW$2&amp;BX$2)</f>
        <v/>
      </c>
      <c r="BY42" s="206">
        <f>SUMIFS(領用表!$L:$L,領用表!$E:$E,$B42,領用表!$B:$B,$BW$2&amp;BY$2)</f>
        <v/>
      </c>
      <c r="BZ42" s="206">
        <f>SUMIFS(領用表!$L:$L,領用表!$E:$E,$B42,領用表!$B:$B,$BW$2&amp;BZ$2)</f>
        <v/>
      </c>
      <c r="CA42" s="206">
        <f>SUMIFS(領用表!$L:$L,領用表!$E:$E,$B42,領用表!$B:$B,$BW$2&amp;CA$2)</f>
        <v/>
      </c>
      <c r="CB42" s="208">
        <f>SUMIFS(領用表!$L:$L,領用表!$A:$A,CB$2,領用表!$E:$E,B42)</f>
        <v/>
      </c>
      <c r="CC42" s="206">
        <f>SUMIFS(領用表!$L:$L,領用表!$E:$E,$B42,領用表!$B:$B,CB$2&amp;CC$2)</f>
        <v/>
      </c>
      <c r="CD42" s="206">
        <f>SUMIFS(領用表!$L:$L,領用表!$E:$E,$B42,領用表!$B:$B,$CB$2&amp;CD$2)</f>
        <v/>
      </c>
      <c r="CE42" s="206">
        <f>SUMIFS(領用表!$L:$L,領用表!$E:$E,$B42,領用表!$B:$B,$CB$2&amp;CE$2)</f>
        <v/>
      </c>
      <c r="CF42" s="206">
        <f>SUMIFS(領用表!$L:$L,領用表!$E:$E,$B42,領用表!$B:$B,$CB$2&amp;CF$2)</f>
        <v/>
      </c>
      <c r="CG42" s="208">
        <f>SUMIFS(領用表!$L:$L,領用表!$A:$A,CG$2,領用表!$E:$E,B42)</f>
        <v/>
      </c>
      <c r="CH42" s="206">
        <f>SUMIFS(領用表!$L:$L,領用表!$E:$E,$B42,領用表!$B:$B,CG$2&amp;CH$2)</f>
        <v/>
      </c>
      <c r="CI42" s="206">
        <f>SUMIFS(領用表!$L:$L,領用表!$E:$E,$B42,領用表!$B:$B,CG$2&amp;CI$2)</f>
        <v/>
      </c>
      <c r="CJ42" s="206">
        <f>SUMIFS(領用表!$L:$L,領用表!$E:$E,$B42,領用表!$B:$B,CG$2&amp;CJ$2)</f>
        <v/>
      </c>
      <c r="CK42" s="206">
        <f>SUMIFS(領用表!$L:$L,領用表!$E:$E,$B42,領用表!$B:$B,$CG$2&amp;CK$2)</f>
        <v/>
      </c>
      <c r="CL42" s="207">
        <f>SUM(AX42,AY42,AZ42,BA42,BB42,BC42,BH42,BM42,BR42,BW42,CB42,CG42)</f>
        <v/>
      </c>
      <c r="CM42" s="207">
        <f>AVERAGE(AX42,AY42,AZ42,BA42,BB42,BC42,BH42,BM42,BR42,BW42,CB42,CG42)</f>
        <v/>
      </c>
      <c r="CN42" s="208">
        <f>SUMIFS(領用表!$L:$L,領用表!$A:$A,CN$2,領用表!$E:$E,B42)</f>
        <v/>
      </c>
      <c r="CO42" s="206">
        <f>SUMIFS(領用表!$L:$L,領用表!$E:$E,$B42,領用表!$B:$B,CN$2&amp;CO$2)</f>
        <v/>
      </c>
      <c r="CP42" s="206">
        <f>SUMIFS(領用表!$L:$L,領用表!$E:$E,$B42,領用表!$B:$B,$CN$2&amp;CP$2)</f>
        <v/>
      </c>
      <c r="CQ42" s="206">
        <f>SUMIFS(領用表!$L:$L,領用表!$E:$E,$B42,領用表!$B:$B,$CN$2&amp;CQ$2)</f>
        <v/>
      </c>
      <c r="CR42" s="206">
        <f>SUMIFS(領用表!$L:$L,領用表!$E:$E,$B42,領用表!$B:$B,$CN$2&amp;CR$2)</f>
        <v/>
      </c>
      <c r="CS42" s="208">
        <f>SUMIFS(領用表!$L:$L,領用表!$A:$A,CS$2,領用表!$E:$E,B42)</f>
        <v/>
      </c>
      <c r="CT42" s="206">
        <f>SUMIFS(領用表!$L:$L,領用表!$E:$E,$B42,領用表!$B:$B,CS$2&amp;CT$2)</f>
        <v/>
      </c>
      <c r="CU42" s="206">
        <f>SUMIFS(領用表!$L:$L,領用表!$E:$E,$B42,領用表!$B:$B,$CS$2&amp;CU$2)</f>
        <v/>
      </c>
      <c r="CV42" s="206">
        <f>SUMIFS(領用表!$L:$L,領用表!$E:$E,$B42,領用表!$B:$B,$CS$2&amp;CV$2)</f>
        <v/>
      </c>
      <c r="CW42" s="206">
        <f>SUMIFS(領用表!$L:$L,領用表!$E:$E,$B42,領用表!$B:$B,$CS$2&amp;CW$2)</f>
        <v/>
      </c>
      <c r="CX42" s="206">
        <f>SUMIFS(領用表!$L:$L,領用表!$E:$E,$B42,領用表!$B:$B,$CS$2&amp;CX$2)</f>
        <v/>
      </c>
      <c r="CY42" s="208">
        <f>SUMIFS(領用表!$L:$L,領用表!$A:$A,CY$2,領用表!$E:$E,B42)</f>
        <v/>
      </c>
      <c r="CZ42" s="206">
        <f>SUMIFS(領用表!$L:$L,領用表!$E:$E,$B42,領用表!$B:$B,CY$2&amp;CZ$2)</f>
        <v/>
      </c>
      <c r="DA42" s="206">
        <f>SUMIFS(領用表!$L:$L,領用表!$E:$E,$B42,領用表!$B:$B,$CY$2&amp;DA$2)</f>
        <v/>
      </c>
      <c r="DB42" s="206">
        <f>SUMIFS(領用表!$L:$L,領用表!$E:$E,$B42,領用表!$B:$B,$CY$2&amp;DB$2)</f>
        <v/>
      </c>
      <c r="DC42" s="206">
        <f>SUMIFS(領用表!$L:$L,領用表!$E:$E,$B42,領用表!$B:$B,$CY$2&amp;DC$2)</f>
        <v/>
      </c>
      <c r="DD42" s="206">
        <f>SUMIFS(領用表!$L:$L,領用表!$E:$E,$B42,領用表!$B:$B,$CY$2&amp;DD$2)</f>
        <v/>
      </c>
      <c r="DE42" s="208">
        <f>SUMIFS(領用表!$L:$L,領用表!$A:$A,DE$2,領用表!$E:$E,B42)</f>
        <v/>
      </c>
      <c r="DF42" s="206">
        <f>SUMIFS(領用表!$L:$L,領用表!$E:$E,$B42,領用表!$B:$B,DE$2&amp;DF$2)</f>
        <v/>
      </c>
      <c r="DG42" s="206">
        <f>SUMIFS(領用表!$L:$L,領用表!$E:$E,$B42,領用表!$B:$B,$DE$2&amp;DG$2)</f>
        <v/>
      </c>
      <c r="DH42" s="206">
        <f>SUMIFS(領用表!$L:$L,領用表!$E:$E,$B42,領用表!$B:$B,$DE$2&amp;DH$2)</f>
        <v/>
      </c>
      <c r="DI42" s="206">
        <f>SUMIFS(領用表!$L:$L,領用表!$E:$E,$B42,領用表!$B:$B,$DE$2&amp;DI$2)</f>
        <v/>
      </c>
      <c r="DJ42" s="206">
        <f>SUMIFS(領用表!$L:$L,領用表!$E:$E,$B42,領用表!$B:$B,$DE$2&amp;DJ$2)</f>
        <v/>
      </c>
      <c r="DK42" s="208">
        <f>SUMIFS(領用表!$L:$L,領用表!$A:$A,DK$2,領用表!$E:$E,$B42)</f>
        <v/>
      </c>
      <c r="DL42" s="206">
        <f>SUMIFS(領用表!$L:$L,領用表!$E:$E,$B42,領用表!$B:$B,DK$2&amp;DL$2)</f>
        <v/>
      </c>
      <c r="DM42" s="206">
        <f>SUMIFS(領用表!$L:$L,領用表!$E:$E,$B42,領用表!$B:$B,$DK$2&amp;DM$2)</f>
        <v/>
      </c>
      <c r="DN42" s="206">
        <f>SUMIFS(領用表!$L:$L,領用表!$E:$E,$B42,領用表!$B:$B,$DK$2&amp;DN$2)</f>
        <v/>
      </c>
      <c r="DO42" s="206">
        <f>SUMIFS(領用表!$L:$L,領用表!$E:$E,$B42,領用表!$B:$B,$DK$2&amp;DO$2)</f>
        <v/>
      </c>
      <c r="DP42" s="206">
        <f>SUMIFS(領用表!$L:$L,領用表!$E:$E,$B42,領用表!$B:$B,$DK$2&amp;DP$2)</f>
        <v/>
      </c>
      <c r="DQ42" s="208" t="n">
        <v>25</v>
      </c>
      <c r="DR42" s="206" t="n">
        <v>4</v>
      </c>
      <c r="DS42" s="206" t="n"/>
      <c r="DT42" s="206" t="n">
        <v>19</v>
      </c>
      <c r="DU42" s="206" t="n"/>
      <c r="DV42" s="206" t="n">
        <v>2</v>
      </c>
      <c r="DW42" s="206">
        <f>SUM(CN42,CS42,CY42,DE42,DK42,DQ42)</f>
        <v/>
      </c>
      <c r="DX42" s="206">
        <f>AVERAGEA(CN42,CS42,CY42,DE42,DK42,DQ42)</f>
        <v/>
      </c>
      <c r="DY42" s="206">
        <f>SUM(DZ42:EC42)</f>
        <v/>
      </c>
      <c r="DZ42" s="206" t="n">
        <v>70</v>
      </c>
      <c r="EA42" s="206" t="n">
        <v>0</v>
      </c>
      <c r="EB42" s="206" t="n">
        <v>80</v>
      </c>
      <c r="EC42" s="206" t="n">
        <v>0</v>
      </c>
      <c r="ED42" s="215" t="n">
        <v>100</v>
      </c>
      <c r="EE42" s="210" t="n"/>
      <c r="EF42" s="211" t="inlineStr">
        <is>
          <t>45盒(10/21)</t>
        </is>
      </c>
      <c r="EG42" s="211" t="inlineStr">
        <is>
          <t>10盒(10/21)
10盒(10/27)</t>
        </is>
      </c>
      <c r="EH42" s="136" t="n"/>
      <c r="EI42" s="212" t="n"/>
      <c r="EJ42" s="118">
        <f>IFERROR(VLOOKUP(A42,站前4樓!A:BF,57,0),0)</f>
        <v/>
      </c>
      <c r="EK42" s="213">
        <f>IFERROR(VLOOKUP(A42,站前11樓!A:BE,57,0),0)</f>
        <v/>
      </c>
      <c r="EL42" s="118">
        <f>IFERROR(VLOOKUP(A42,忠孝7樓!A:N,57,0),0)</f>
        <v/>
      </c>
      <c r="EM42" s="118">
        <f>IFERROR(VLOOKUP(A42,忠孝國際醫學3樓!A:L,57,0),0)</f>
        <v/>
      </c>
      <c r="EN42" s="118">
        <f>SUM(ED42:EG42)</f>
        <v/>
      </c>
      <c r="EP42" s="118" t="n">
        <v>111</v>
      </c>
      <c r="EQ42" s="118" t="n">
        <v>49</v>
      </c>
    </row>
    <row r="43" ht="15" customFormat="1" customHeight="1" s="118">
      <c r="A43" s="136" t="inlineStr">
        <is>
          <t>MP1MA020025A</t>
        </is>
      </c>
      <c r="B43" s="118" t="n">
        <v>6160003</v>
      </c>
      <c r="C43" s="118" t="inlineStr">
        <is>
          <t>洢蓮絲植入劑ELLANSÉ-M 1ml(支)</t>
        </is>
      </c>
      <c r="D43" s="197" t="n">
        <v>2</v>
      </c>
      <c r="E43" s="198" t="inlineStr">
        <is>
          <t>PCS</t>
        </is>
      </c>
      <c r="F43" s="199">
        <f>SUMIF(站前4樓!B:B,B43,站前4樓!F:F)</f>
        <v/>
      </c>
      <c r="G43" s="199">
        <f>SUMIF(站前11樓!B:B,B43,站前11樓!F:F)</f>
        <v/>
      </c>
      <c r="H43" s="199">
        <f>SUMIF(忠孝7樓!B:B,B43,忠孝7樓!G:G)</f>
        <v/>
      </c>
      <c r="I43" s="199">
        <f>SUMIF(忠孝國際醫學3樓!B:B,B43,忠孝國際醫學3樓!G:G)</f>
        <v/>
      </c>
      <c r="J43" s="199">
        <f>SUMIF(忠孝健康7樓!B:B,B43,忠孝健康7樓!G:G)</f>
        <v/>
      </c>
      <c r="K43" s="251" t="n">
        <v>0.5</v>
      </c>
      <c r="L43" s="251" t="n">
        <v>0</v>
      </c>
      <c r="M43" s="251" t="n">
        <v>0</v>
      </c>
      <c r="N43" s="251" t="n">
        <v>0</v>
      </c>
      <c r="O43" s="251" t="n">
        <v>0</v>
      </c>
      <c r="P43" s="251" t="n">
        <v>0</v>
      </c>
      <c r="Q43" s="251" t="n">
        <v>1</v>
      </c>
      <c r="R43" s="251" t="n">
        <v>0</v>
      </c>
      <c r="S43" s="251" t="n">
        <v>1</v>
      </c>
      <c r="T43" s="251" t="n">
        <v>0</v>
      </c>
      <c r="U43" s="251" t="n">
        <v>0</v>
      </c>
      <c r="V43" s="251" t="n">
        <v>0</v>
      </c>
      <c r="W43" s="251" t="n">
        <v>0</v>
      </c>
      <c r="X43" s="251" t="n">
        <v>1</v>
      </c>
      <c r="Y43" s="251" t="n">
        <v>3.5</v>
      </c>
      <c r="Z43" s="251" t="n">
        <v>5.5</v>
      </c>
      <c r="AA43" s="251" t="n">
        <v>4</v>
      </c>
      <c r="AB43" s="251" t="n">
        <v>2</v>
      </c>
      <c r="AC43" s="251" t="n">
        <v>0</v>
      </c>
      <c r="AD43" s="251" t="n">
        <v>2</v>
      </c>
      <c r="AE43" s="251" t="n">
        <v>0</v>
      </c>
      <c r="AF43" s="251" t="n">
        <v>0</v>
      </c>
      <c r="AG43" s="251" t="n">
        <v>1.5</v>
      </c>
      <c r="AH43" s="251" t="n">
        <v>1</v>
      </c>
      <c r="AI43" s="251" t="n">
        <v>0</v>
      </c>
      <c r="AJ43" s="252" t="n">
        <v>4.5</v>
      </c>
      <c r="AK43" s="252" t="n">
        <v>0</v>
      </c>
      <c r="AL43" s="252" t="n">
        <v>4</v>
      </c>
      <c r="AM43" s="252" t="n">
        <v>3</v>
      </c>
      <c r="AN43" s="252" t="n">
        <v>6</v>
      </c>
      <c r="AO43" s="252" t="n">
        <v>2</v>
      </c>
      <c r="AP43" s="252" t="n">
        <v>9</v>
      </c>
      <c r="AQ43" s="252" t="n">
        <v>17</v>
      </c>
      <c r="AR43" s="252" t="n">
        <v>10.5</v>
      </c>
      <c r="AS43" s="252" t="n">
        <v>4.5</v>
      </c>
      <c r="AT43" s="524" t="n">
        <v>6</v>
      </c>
      <c r="AU43" s="254" t="n">
        <v>28</v>
      </c>
      <c r="AV43" s="204">
        <f>SUM(AJ43:AU43)</f>
        <v/>
      </c>
      <c r="AW43" s="513">
        <f>AV43/12</f>
        <v/>
      </c>
      <c r="AX43" s="203" t="n">
        <v>3</v>
      </c>
      <c r="AY43" s="203" t="n">
        <v>6</v>
      </c>
      <c r="AZ43" s="203" t="n">
        <v>16</v>
      </c>
      <c r="BA43" s="203" t="n">
        <v>12</v>
      </c>
      <c r="BB43" s="203" t="n">
        <v>9</v>
      </c>
      <c r="BC43" s="203">
        <f>SUMIFS(領用表!$L:$L,領用表!$A:$A,BC$2,領用表!$E:$E,B43)</f>
        <v/>
      </c>
      <c r="BD43" s="206">
        <f>SUMIFS(領用表!$L:$L,領用表!$E:$E,$B43,領用表!$B:$B,BC$2&amp;BD$2)</f>
        <v/>
      </c>
      <c r="BE43" s="206">
        <f>SUMIFS(領用表!$L:$L,領用表!$E:$E,$B43,領用表!$B:$B,$BC$2&amp;BE$2)</f>
        <v/>
      </c>
      <c r="BF43" s="206">
        <f>SUMIFS(領用表!$L:$L,領用表!$E:$E,$B43,領用表!$B:$B,$BC$2&amp;BF$2)</f>
        <v/>
      </c>
      <c r="BG43" s="206">
        <f>SUMIFS(領用表!$L:$L,領用表!$E:$E,$B43,領用表!$B:$B,$BC$2&amp;BG$2)</f>
        <v/>
      </c>
      <c r="BH43" s="203">
        <f>SUMIFS(領用表!$L:$L,領用表!$A:$A,BH$2,領用表!$E:$E,B43)</f>
        <v/>
      </c>
      <c r="BI43" s="206">
        <f>SUMIFS(領用表!$L:$L,領用表!$E:$E,$B43,領用表!$B:$B,BH$2&amp;BI$2)</f>
        <v/>
      </c>
      <c r="BJ43" s="206">
        <f>SUMIFS(領用表!$L:$L,領用表!$E:$E,$B43,領用表!$B:$B,$BH$2&amp;BJ$2)</f>
        <v/>
      </c>
      <c r="BK43" s="206">
        <f>SUMIFS(領用表!$L:$L,領用表!$E:$E,$B43,領用表!$B:$B,$BH$2&amp;BK$2)</f>
        <v/>
      </c>
      <c r="BL43" s="206">
        <f>SUMIFS(領用表!$L:$L,領用表!$E:$E,$B43,領用表!$B:$B,$BH$2&amp;BL$2)</f>
        <v/>
      </c>
      <c r="BM43" s="203">
        <f>SUMIFS(領用表!$L:$L,領用表!$A:$A,BM$2,領用表!$E:$E,B43)</f>
        <v/>
      </c>
      <c r="BN43" s="206">
        <f>SUMIFS(領用表!$L:$L,領用表!$E:$E,$B43,領用表!$B:$B,BM$2&amp;BN$2)</f>
        <v/>
      </c>
      <c r="BO43" s="206">
        <f>SUMIFS(領用表!$L:$L,領用表!$E:$E,$B43,領用表!$B:$B,$BM$2&amp;BO$2)</f>
        <v/>
      </c>
      <c r="BP43" s="206">
        <f>SUMIFS(領用表!$L:$L,領用表!$E:$E,$B43,領用表!$B:$B,$BM$2&amp;BP$2)</f>
        <v/>
      </c>
      <c r="BQ43" s="206">
        <f>SUMIFS(領用表!$L:$L,領用表!$E:$E,$B43,領用表!$B:$B,$BM$2&amp;BQ$2)</f>
        <v/>
      </c>
      <c r="BR43" s="203">
        <f>SUMIFS(領用表!$L:$L,領用表!$A:$A,BR$2,領用表!$E:$E,B43)</f>
        <v/>
      </c>
      <c r="BS43" s="206">
        <f>SUMIFS(領用表!$L:$L,領用表!$E:$E,$B43,領用表!$B:$B,BR$2&amp;BS$2)</f>
        <v/>
      </c>
      <c r="BT43" s="206">
        <f>SUMIFS(領用表!$L:$L,領用表!$E:$E,$B43,領用表!$B:$B,$BR$2&amp;BT$2)</f>
        <v/>
      </c>
      <c r="BU43" s="206">
        <f>SUMIFS(領用表!$L:$L,領用表!$E:$E,$B43,領用表!$B:$B,$BR$2&amp;BU$2)</f>
        <v/>
      </c>
      <c r="BV43" s="206">
        <f>SUMIFS(領用表!$L:$L,領用表!$E:$E,$B43,領用表!$B:$B,$BR$2&amp;BV$2)</f>
        <v/>
      </c>
      <c r="BW43" s="208">
        <f>SUMIFS(領用表!$L:$L,領用表!$A:$A,BW$2,領用表!$E:$E,B43)</f>
        <v/>
      </c>
      <c r="BX43" s="206">
        <f>SUMIFS(領用表!$L:$L,領用表!$E:$E,$B43,領用表!$B:$B,BW$2&amp;BX$2)</f>
        <v/>
      </c>
      <c r="BY43" s="206">
        <f>SUMIFS(領用表!$L:$L,領用表!$E:$E,$B43,領用表!$B:$B,$BW$2&amp;BY$2)</f>
        <v/>
      </c>
      <c r="BZ43" s="206">
        <f>SUMIFS(領用表!$L:$L,領用表!$E:$E,$B43,領用表!$B:$B,$BW$2&amp;BZ$2)</f>
        <v/>
      </c>
      <c r="CA43" s="206">
        <f>SUMIFS(領用表!$L:$L,領用表!$E:$E,$B43,領用表!$B:$B,$BW$2&amp;CA$2)</f>
        <v/>
      </c>
      <c r="CB43" s="208">
        <f>SUMIFS(領用表!$L:$L,領用表!$A:$A,CB$2,領用表!$E:$E,B43)</f>
        <v/>
      </c>
      <c r="CC43" s="206">
        <f>SUMIFS(領用表!$L:$L,領用表!$E:$E,$B43,領用表!$B:$B,CB$2&amp;CC$2)</f>
        <v/>
      </c>
      <c r="CD43" s="206">
        <f>SUMIFS(領用表!$L:$L,領用表!$E:$E,$B43,領用表!$B:$B,$CB$2&amp;CD$2)</f>
        <v/>
      </c>
      <c r="CE43" s="206">
        <f>SUMIFS(領用表!$L:$L,領用表!$E:$E,$B43,領用表!$B:$B,$CB$2&amp;CE$2)</f>
        <v/>
      </c>
      <c r="CF43" s="206">
        <f>SUMIFS(領用表!$L:$L,領用表!$E:$E,$B43,領用表!$B:$B,$CB$2&amp;CF$2)</f>
        <v/>
      </c>
      <c r="CG43" s="208">
        <f>SUMIFS(領用表!$L:$L,領用表!$A:$A,CG$2,領用表!$E:$E,B43)</f>
        <v/>
      </c>
      <c r="CH43" s="206">
        <f>SUMIFS(領用表!$L:$L,領用表!$E:$E,$B43,領用表!$B:$B,CG$2&amp;CH$2)</f>
        <v/>
      </c>
      <c r="CI43" s="206">
        <f>SUMIFS(領用表!$L:$L,領用表!$E:$E,$B43,領用表!$B:$B,CG$2&amp;CI$2)</f>
        <v/>
      </c>
      <c r="CJ43" s="206">
        <f>SUMIFS(領用表!$L:$L,領用表!$E:$E,$B43,領用表!$B:$B,CG$2&amp;CJ$2)</f>
        <v/>
      </c>
      <c r="CK43" s="206">
        <f>SUMIFS(領用表!$L:$L,領用表!$E:$E,$B43,領用表!$B:$B,$CG$2&amp;CK$2)</f>
        <v/>
      </c>
      <c r="CL43" s="207">
        <f>SUM(AX43,AY43,AZ43,BA43,BB43,BC43,BH43,BM43,BR43,BW43,CB43,CG43)</f>
        <v/>
      </c>
      <c r="CM43" s="207">
        <f>AVERAGE(AX43,AY43,AZ43,BA43,BB43,BC43,BH43,BM43,BR43,BW43,CB43,CG43)</f>
        <v/>
      </c>
      <c r="CN43" s="208">
        <f>SUMIFS(領用表!$L:$L,領用表!$A:$A,CN$2,領用表!$E:$E,B43)</f>
        <v/>
      </c>
      <c r="CO43" s="206">
        <f>SUMIFS(領用表!$L:$L,領用表!$E:$E,$B43,領用表!$B:$B,CN$2&amp;CO$2)</f>
        <v/>
      </c>
      <c r="CP43" s="206">
        <f>SUMIFS(領用表!$L:$L,領用表!$E:$E,$B43,領用表!$B:$B,$CN$2&amp;CP$2)</f>
        <v/>
      </c>
      <c r="CQ43" s="206">
        <f>SUMIFS(領用表!$L:$L,領用表!$E:$E,$B43,領用表!$B:$B,$CN$2&amp;CQ$2)</f>
        <v/>
      </c>
      <c r="CR43" s="206">
        <f>SUMIFS(領用表!$L:$L,領用表!$E:$E,$B43,領用表!$B:$B,$CN$2&amp;CR$2)</f>
        <v/>
      </c>
      <c r="CS43" s="208">
        <f>SUMIFS(領用表!$L:$L,領用表!$A:$A,CS$2,領用表!$E:$E,B43)</f>
        <v/>
      </c>
      <c r="CT43" s="206">
        <f>SUMIFS(領用表!$L:$L,領用表!$E:$E,$B43,領用表!$B:$B,CS$2&amp;CT$2)</f>
        <v/>
      </c>
      <c r="CU43" s="206">
        <f>SUMIFS(領用表!$L:$L,領用表!$E:$E,$B43,領用表!$B:$B,$CS$2&amp;CU$2)</f>
        <v/>
      </c>
      <c r="CV43" s="206">
        <f>SUMIFS(領用表!$L:$L,領用表!$E:$E,$B43,領用表!$B:$B,$CS$2&amp;CV$2)</f>
        <v/>
      </c>
      <c r="CW43" s="206">
        <f>SUMIFS(領用表!$L:$L,領用表!$E:$E,$B43,領用表!$B:$B,$CS$2&amp;CW$2)</f>
        <v/>
      </c>
      <c r="CX43" s="206">
        <f>SUMIFS(領用表!$L:$L,領用表!$E:$E,$B43,領用表!$B:$B,$CS$2&amp;CX$2)</f>
        <v/>
      </c>
      <c r="CY43" s="208">
        <f>SUMIFS(領用表!$L:$L,領用表!$A:$A,CY$2,領用表!$E:$E,B43)</f>
        <v/>
      </c>
      <c r="CZ43" s="206">
        <f>SUMIFS(領用表!$L:$L,領用表!$E:$E,$B43,領用表!$B:$B,CY$2&amp;CZ$2)</f>
        <v/>
      </c>
      <c r="DA43" s="206">
        <f>SUMIFS(領用表!$L:$L,領用表!$E:$E,$B43,領用表!$B:$B,$CY$2&amp;DA$2)</f>
        <v/>
      </c>
      <c r="DB43" s="206">
        <f>SUMIFS(領用表!$L:$L,領用表!$E:$E,$B43,領用表!$B:$B,$CY$2&amp;DB$2)</f>
        <v/>
      </c>
      <c r="DC43" s="206">
        <f>SUMIFS(領用表!$L:$L,領用表!$E:$E,$B43,領用表!$B:$B,$CY$2&amp;DC$2)</f>
        <v/>
      </c>
      <c r="DD43" s="206">
        <f>SUMIFS(領用表!$L:$L,領用表!$E:$E,$B43,領用表!$B:$B,$CY$2&amp;DD$2)</f>
        <v/>
      </c>
      <c r="DE43" s="208">
        <f>SUMIFS(領用表!$L:$L,領用表!$A:$A,DE$2,領用表!$E:$E,B43)</f>
        <v/>
      </c>
      <c r="DF43" s="206">
        <f>SUMIFS(領用表!$L:$L,領用表!$E:$E,$B43,領用表!$B:$B,DE$2&amp;DF$2)</f>
        <v/>
      </c>
      <c r="DG43" s="206">
        <f>SUMIFS(領用表!$L:$L,領用表!$E:$E,$B43,領用表!$B:$B,$DE$2&amp;DG$2)</f>
        <v/>
      </c>
      <c r="DH43" s="206">
        <f>SUMIFS(領用表!$L:$L,領用表!$E:$E,$B43,領用表!$B:$B,$DE$2&amp;DH$2)</f>
        <v/>
      </c>
      <c r="DI43" s="206">
        <f>SUMIFS(領用表!$L:$L,領用表!$E:$E,$B43,領用表!$B:$B,$DE$2&amp;DI$2)</f>
        <v/>
      </c>
      <c r="DJ43" s="206">
        <f>SUMIFS(領用表!$L:$L,領用表!$E:$E,$B43,領用表!$B:$B,$DE$2&amp;DJ$2)</f>
        <v/>
      </c>
      <c r="DK43" s="208">
        <f>SUMIFS(領用表!$L:$L,領用表!$A:$A,DK$2,領用表!$E:$E,$B43)</f>
        <v/>
      </c>
      <c r="DL43" s="206">
        <f>SUMIFS(領用表!$L:$L,領用表!$E:$E,$B43,領用表!$B:$B,DK$2&amp;DL$2)</f>
        <v/>
      </c>
      <c r="DM43" s="206">
        <f>SUMIFS(領用表!$L:$L,領用表!$E:$E,$B43,領用表!$B:$B,$DK$2&amp;DM$2)</f>
        <v/>
      </c>
      <c r="DN43" s="206">
        <f>SUMIFS(領用表!$L:$L,領用表!$E:$E,$B43,領用表!$B:$B,$DK$2&amp;DN$2)</f>
        <v/>
      </c>
      <c r="DO43" s="206">
        <f>SUMIFS(領用表!$L:$L,領用表!$E:$E,$B43,領用表!$B:$B,$DK$2&amp;DO$2)</f>
        <v/>
      </c>
      <c r="DP43" s="206">
        <f>SUMIFS(領用表!$L:$L,領用表!$E:$E,$B43,領用表!$B:$B,$DK$2&amp;DP$2)</f>
        <v/>
      </c>
      <c r="DQ43" s="208" t="n">
        <v>9</v>
      </c>
      <c r="DR43" s="206" t="n"/>
      <c r="DS43" s="206" t="n"/>
      <c r="DT43" s="206" t="n">
        <v>7</v>
      </c>
      <c r="DU43" s="206" t="n"/>
      <c r="DV43" s="206" t="n">
        <v>2</v>
      </c>
      <c r="DW43" s="206">
        <f>SUM(CN43,CS43,CY43,DE43,DK43,DQ43)</f>
        <v/>
      </c>
      <c r="DX43" s="206">
        <f>AVERAGEA(CN43,CS43,CY43,DE43,DK43,DQ43)</f>
        <v/>
      </c>
      <c r="DY43" s="206">
        <f>SUM(DZ43:EC43)</f>
        <v/>
      </c>
      <c r="DZ43" s="206" t="n">
        <v>20</v>
      </c>
      <c r="EA43" s="206" t="n">
        <v>0</v>
      </c>
      <c r="EB43" s="206" t="n">
        <v>20</v>
      </c>
      <c r="EC43" s="206" t="n">
        <v>0</v>
      </c>
      <c r="ED43" s="215" t="n">
        <v>20</v>
      </c>
      <c r="EE43" s="210" t="n">
        <v>0</v>
      </c>
      <c r="EF43" s="211" t="n"/>
      <c r="EG43" s="211" t="n"/>
      <c r="EH43" s="255" t="n"/>
      <c r="EI43" s="256" t="n"/>
      <c r="EJ43" s="118">
        <f>IFERROR(VLOOKUP(A43,站前4樓!A:BF,57,0),0)</f>
        <v/>
      </c>
      <c r="EK43" s="213">
        <f>IFERROR(VLOOKUP(A43,站前11樓!A:BE,57,0),0)</f>
        <v/>
      </c>
      <c r="EL43" s="118">
        <f>IFERROR(VLOOKUP(A43,忠孝7樓!A:N,57,0),0)</f>
        <v/>
      </c>
      <c r="EM43" s="118">
        <f>IFERROR(VLOOKUP(A43,忠孝國際醫學3樓!A:L,57,0),0)</f>
        <v/>
      </c>
      <c r="EN43" s="118">
        <f>SUM(ED43:EG43)</f>
        <v/>
      </c>
      <c r="EP43" s="118" t="n">
        <v>24</v>
      </c>
      <c r="EQ43" s="118" t="n">
        <v>14</v>
      </c>
    </row>
    <row r="44" ht="15.75" customFormat="1" customHeight="1" s="118">
      <c r="A44" s="136" t="inlineStr">
        <is>
          <t>MP1MA020029A</t>
        </is>
      </c>
      <c r="B44" s="118" t="n">
        <v>6150013</v>
      </c>
      <c r="C44" s="131" t="inlineStr">
        <is>
          <t>(逆時針)璞菲洛高低分子玻尿酸皮下植入劑 PROFHILO HiLow 2c.c/ 支</t>
        </is>
      </c>
      <c r="D44" s="197" t="n">
        <v>1</v>
      </c>
      <c r="E44" s="198" t="inlineStr">
        <is>
          <t>PCS</t>
        </is>
      </c>
      <c r="F44" s="199">
        <f>SUMIF(站前4樓!B:B,B44,站前4樓!F:F)</f>
        <v/>
      </c>
      <c r="G44" s="199">
        <f>SUMIF(站前11樓!B:B,B44,站前11樓!F:F)</f>
        <v/>
      </c>
      <c r="H44" s="199">
        <f>SUMIF(忠孝7樓!B:B,B44,忠孝7樓!G:G)</f>
        <v/>
      </c>
      <c r="I44" s="199">
        <f>SUMIF(忠孝國際醫學3樓!B:B,B44,忠孝國際醫學3樓!G:G)</f>
        <v/>
      </c>
      <c r="J44" s="199">
        <f>SUMIF(忠孝健康7樓!B:B,B44,忠孝健康7樓!G:G)</f>
        <v/>
      </c>
      <c r="K44" s="200" t="n"/>
      <c r="L44" s="200" t="n"/>
      <c r="M44" s="200" t="n"/>
      <c r="N44" s="200" t="n"/>
      <c r="O44" s="200" t="n"/>
      <c r="P44" s="200" t="n"/>
      <c r="Q44" s="200" t="n"/>
      <c r="R44" s="200" t="n"/>
      <c r="S44" s="200" t="n"/>
      <c r="T44" s="200" t="n"/>
      <c r="U44" s="200" t="n"/>
      <c r="V44" s="200" t="n"/>
      <c r="W44" s="200" t="n"/>
      <c r="X44" s="200" t="n"/>
      <c r="Y44" s="200" t="n"/>
      <c r="Z44" s="200" t="n"/>
      <c r="AA44" s="200" t="n"/>
      <c r="AB44" s="200" t="n"/>
      <c r="AC44" s="200" t="n"/>
      <c r="AD44" s="200" t="n"/>
      <c r="AE44" s="200" t="n"/>
      <c r="AF44" s="200" t="n"/>
      <c r="AG44" s="200" t="n"/>
      <c r="AH44" s="200" t="n"/>
      <c r="AI44" s="200" t="n"/>
      <c r="AJ44" s="201" t="n"/>
      <c r="AK44" s="201" t="n"/>
      <c r="AL44" s="201" t="n"/>
      <c r="AM44" s="201" t="n"/>
      <c r="AN44" s="201" t="n"/>
      <c r="AO44" s="201" t="n"/>
      <c r="AP44" s="201" t="n"/>
      <c r="AQ44" s="201" t="n"/>
      <c r="AR44" s="201" t="n"/>
      <c r="AS44" s="201" t="n"/>
      <c r="AT44" s="512" t="n"/>
      <c r="AU44" s="203" t="n"/>
      <c r="AV44" s="204" t="n"/>
      <c r="AW44" s="513" t="n"/>
      <c r="AX44" s="203" t="n"/>
      <c r="AY44" s="203" t="n"/>
      <c r="AZ44" s="203" t="n"/>
      <c r="BA44" s="203" t="n"/>
      <c r="BB44" s="203" t="n"/>
      <c r="BC44" s="203">
        <f>SUMIFS(領用表!$L:$L,領用表!$A:$A,BC$2,領用表!$E:$E,B44)</f>
        <v/>
      </c>
      <c r="BD44" s="206">
        <f>SUMIFS(領用表!$L:$L,領用表!$E:$E,$B44,領用表!$B:$B,BC$2&amp;BD$2)</f>
        <v/>
      </c>
      <c r="BE44" s="206">
        <f>SUMIFS(領用表!$L:$L,領用表!$E:$E,$B44,領用表!$B:$B,$BC$2&amp;BE$2)</f>
        <v/>
      </c>
      <c r="BF44" s="206">
        <f>SUMIFS(領用表!$L:$L,領用表!$E:$E,$B44,領用表!$B:$B,$BC$2&amp;BF$2)</f>
        <v/>
      </c>
      <c r="BG44" s="206">
        <f>SUMIFS(領用表!$L:$L,領用表!$E:$E,$B44,領用表!$B:$B,$BC$2&amp;BG$2)</f>
        <v/>
      </c>
      <c r="BH44" s="203">
        <f>SUMIFS(領用表!$L:$L,領用表!$A:$A,BH$2,領用表!$E:$E,B44)</f>
        <v/>
      </c>
      <c r="BI44" s="206">
        <f>SUMIFS(領用表!$L:$L,領用表!$E:$E,$B44,領用表!$B:$B,BH$2&amp;BI$2)</f>
        <v/>
      </c>
      <c r="BJ44" s="206">
        <f>SUMIFS(領用表!$L:$L,領用表!$E:$E,$B44,領用表!$B:$B,$BH$2&amp;BJ$2)</f>
        <v/>
      </c>
      <c r="BK44" s="206">
        <f>SUMIFS(領用表!$L:$L,領用表!$E:$E,$B44,領用表!$B:$B,$BH$2&amp;BK$2)</f>
        <v/>
      </c>
      <c r="BL44" s="206">
        <f>SUMIFS(領用表!$L:$L,領用表!$E:$E,$B44,領用表!$B:$B,$BH$2&amp;BL$2)</f>
        <v/>
      </c>
      <c r="BM44" s="203">
        <f>SUMIFS(領用表!$L:$L,領用表!$A:$A,BM$2,領用表!$E:$E,B44)</f>
        <v/>
      </c>
      <c r="BN44" s="206">
        <f>SUMIFS(領用表!$L:$L,領用表!$E:$E,$B44,領用表!$B:$B,BM$2&amp;BN$2)</f>
        <v/>
      </c>
      <c r="BO44" s="206">
        <f>SUMIFS(領用表!$L:$L,領用表!$E:$E,$B44,領用表!$B:$B,$BM$2&amp;BO$2)</f>
        <v/>
      </c>
      <c r="BP44" s="206">
        <f>SUMIFS(領用表!$L:$L,領用表!$E:$E,$B44,領用表!$B:$B,$BM$2&amp;BP$2)</f>
        <v/>
      </c>
      <c r="BQ44" s="206">
        <f>SUMIFS(領用表!$L:$L,領用表!$E:$E,$B44,領用表!$B:$B,$BM$2&amp;BQ$2)</f>
        <v/>
      </c>
      <c r="BR44" s="203">
        <f>SUMIFS(領用表!$L:$L,領用表!$A:$A,BR$2,領用表!$E:$E,B44)</f>
        <v/>
      </c>
      <c r="BS44" s="206">
        <f>SUMIFS(領用表!$L:$L,領用表!$E:$E,$B44,領用表!$B:$B,BR$2&amp;BS$2)</f>
        <v/>
      </c>
      <c r="BT44" s="206">
        <f>SUMIFS(領用表!$L:$L,領用表!$E:$E,$B44,領用表!$B:$B,$BR$2&amp;BT$2)</f>
        <v/>
      </c>
      <c r="BU44" s="206">
        <f>SUMIFS(領用表!$L:$L,領用表!$E:$E,$B44,領用表!$B:$B,$BR$2&amp;BU$2)</f>
        <v/>
      </c>
      <c r="BV44" s="206">
        <f>SUMIFS(領用表!$L:$L,領用表!$E:$E,$B44,領用表!$B:$B,$BR$2&amp;BV$2)</f>
        <v/>
      </c>
      <c r="BW44" s="208">
        <f>SUMIFS(領用表!$L:$L,領用表!$A:$A,BW$2,領用表!$E:$E,B44)</f>
        <v/>
      </c>
      <c r="BX44" s="206">
        <f>SUMIFS(領用表!$L:$L,領用表!$E:$E,$B44,領用表!$B:$B,BW$2&amp;BX$2)</f>
        <v/>
      </c>
      <c r="BY44" s="206">
        <f>SUMIFS(領用表!$L:$L,領用表!$E:$E,$B44,領用表!$B:$B,$BW$2&amp;BY$2)</f>
        <v/>
      </c>
      <c r="BZ44" s="206">
        <f>SUMIFS(領用表!$L:$L,領用表!$E:$E,$B44,領用表!$B:$B,$BW$2&amp;BZ$2)</f>
        <v/>
      </c>
      <c r="CA44" s="206">
        <f>SUMIFS(領用表!$L:$L,領用表!$E:$E,$B44,領用表!$B:$B,$BW$2&amp;CA$2)</f>
        <v/>
      </c>
      <c r="CB44" s="208">
        <f>SUMIFS(領用表!$L:$L,領用表!$A:$A,CB$2,領用表!$E:$E,B44)</f>
        <v/>
      </c>
      <c r="CC44" s="206">
        <f>SUMIFS(領用表!$L:$L,領用表!$E:$E,$B44,領用表!$B:$B,CB$2&amp;CC$2)</f>
        <v/>
      </c>
      <c r="CD44" s="206">
        <f>SUMIFS(領用表!$L:$L,領用表!$E:$E,$B44,領用表!$B:$B,$CB$2&amp;CD$2)</f>
        <v/>
      </c>
      <c r="CE44" s="206">
        <f>SUMIFS(領用表!$L:$L,領用表!$E:$E,$B44,領用表!$B:$B,$CB$2&amp;CE$2)</f>
        <v/>
      </c>
      <c r="CF44" s="206">
        <f>SUMIFS(領用表!$L:$L,領用表!$E:$E,$B44,領用表!$B:$B,$CB$2&amp;CF$2)</f>
        <v/>
      </c>
      <c r="CG44" s="208">
        <f>SUMIFS(領用表!$L:$L,領用表!$A:$A,CG$2,領用表!$E:$E,B44)</f>
        <v/>
      </c>
      <c r="CH44" s="206">
        <f>SUMIFS(領用表!$L:$L,領用表!$E:$E,$B44,領用表!$B:$B,CG$2&amp;CH$2)</f>
        <v/>
      </c>
      <c r="CI44" s="206">
        <f>SUMIFS(領用表!$L:$L,領用表!$E:$E,$B44,領用表!$B:$B,CG$2&amp;CI$2)</f>
        <v/>
      </c>
      <c r="CJ44" s="206">
        <f>SUMIFS(領用表!$L:$L,領用表!$E:$E,$B44,領用表!$B:$B,CG$2&amp;CJ$2)</f>
        <v/>
      </c>
      <c r="CK44" s="206">
        <f>SUMIFS(領用表!$L:$L,領用表!$E:$E,$B44,領用表!$B:$B,$CG$2&amp;CK$2)</f>
        <v/>
      </c>
      <c r="CL44" s="207">
        <f>SUM(AX44,AY44,AZ44,BA44,BB44,BC44,BH44,BM44,BR44,BW44,CB44,CG44)</f>
        <v/>
      </c>
      <c r="CM44" s="207">
        <f>AVERAGE(AX44,AY44,AZ44,BA44,BB44,BC44,BH44,BM44,BR44,BW44,CB44,CG44)</f>
        <v/>
      </c>
      <c r="CN44" s="208">
        <f>SUMIFS(領用表!$L:$L,領用表!$A:$A,CN$2,領用表!$E:$E,B44)</f>
        <v/>
      </c>
      <c r="CO44" s="206">
        <f>SUMIFS(領用表!$L:$L,領用表!$E:$E,$B44,領用表!$B:$B,CN$2&amp;CO$2)</f>
        <v/>
      </c>
      <c r="CP44" s="206">
        <f>SUMIFS(領用表!$L:$L,領用表!$E:$E,$B44,領用表!$B:$B,$CN$2&amp;CP$2)</f>
        <v/>
      </c>
      <c r="CQ44" s="206">
        <f>SUMIFS(領用表!$L:$L,領用表!$E:$E,$B44,領用表!$B:$B,$CN$2&amp;CQ$2)</f>
        <v/>
      </c>
      <c r="CR44" s="206">
        <f>SUMIFS(領用表!$L:$L,領用表!$E:$E,$B44,領用表!$B:$B,$CN$2&amp;CR$2)</f>
        <v/>
      </c>
      <c r="CS44" s="208">
        <f>SUMIFS(領用表!$L:$L,領用表!$A:$A,CS$2,領用表!$E:$E,B44)</f>
        <v/>
      </c>
      <c r="CT44" s="206">
        <f>SUMIFS(領用表!$L:$L,領用表!$E:$E,$B44,領用表!$B:$B,CS$2&amp;CT$2)</f>
        <v/>
      </c>
      <c r="CU44" s="206">
        <f>SUMIFS(領用表!$L:$L,領用表!$E:$E,$B44,領用表!$B:$B,$CS$2&amp;CU$2)</f>
        <v/>
      </c>
      <c r="CV44" s="206">
        <f>SUMIFS(領用表!$L:$L,領用表!$E:$E,$B44,領用表!$B:$B,$CS$2&amp;CV$2)</f>
        <v/>
      </c>
      <c r="CW44" s="206">
        <f>SUMIFS(領用表!$L:$L,領用表!$E:$E,$B44,領用表!$B:$B,$CS$2&amp;CW$2)</f>
        <v/>
      </c>
      <c r="CX44" s="206">
        <f>SUMIFS(領用表!$L:$L,領用表!$E:$E,$B44,領用表!$B:$B,$CS$2&amp;CX$2)</f>
        <v/>
      </c>
      <c r="CY44" s="208">
        <f>SUMIFS(領用表!$L:$L,領用表!$A:$A,CY$2,領用表!$E:$E,B44)</f>
        <v/>
      </c>
      <c r="CZ44" s="206">
        <f>SUMIFS(領用表!$L:$L,領用表!$E:$E,$B44,領用表!$B:$B,CY$2&amp;CZ$2)</f>
        <v/>
      </c>
      <c r="DA44" s="206">
        <f>SUMIFS(領用表!$L:$L,領用表!$E:$E,$B44,領用表!$B:$B,$CY$2&amp;DA$2)</f>
        <v/>
      </c>
      <c r="DB44" s="206">
        <f>SUMIFS(領用表!$L:$L,領用表!$E:$E,$B44,領用表!$B:$B,$CY$2&amp;DB$2)</f>
        <v/>
      </c>
      <c r="DC44" s="206">
        <f>SUMIFS(領用表!$L:$L,領用表!$E:$E,$B44,領用表!$B:$B,$CY$2&amp;DC$2)</f>
        <v/>
      </c>
      <c r="DD44" s="206">
        <f>SUMIFS(領用表!$L:$L,領用表!$E:$E,$B44,領用表!$B:$B,$CY$2&amp;DD$2)</f>
        <v/>
      </c>
      <c r="DE44" s="208">
        <f>SUMIFS(領用表!$L:$L,領用表!$A:$A,DE$2,領用表!$E:$E,B44)</f>
        <v/>
      </c>
      <c r="DF44" s="206">
        <f>SUMIFS(領用表!$L:$L,領用表!$E:$E,$B44,領用表!$B:$B,DE$2&amp;DF$2)</f>
        <v/>
      </c>
      <c r="DG44" s="206">
        <f>SUMIFS(領用表!$L:$L,領用表!$E:$E,$B44,領用表!$B:$B,$DE$2&amp;DG$2)</f>
        <v/>
      </c>
      <c r="DH44" s="206">
        <f>SUMIFS(領用表!$L:$L,領用表!$E:$E,$B44,領用表!$B:$B,$DE$2&amp;DH$2)</f>
        <v/>
      </c>
      <c r="DI44" s="206">
        <f>SUMIFS(領用表!$L:$L,領用表!$E:$E,$B44,領用表!$B:$B,$DE$2&amp;DI$2)</f>
        <v/>
      </c>
      <c r="DJ44" s="206">
        <f>SUMIFS(領用表!$L:$L,領用表!$E:$E,$B44,領用表!$B:$B,$DE$2&amp;DJ$2)</f>
        <v/>
      </c>
      <c r="DK44" s="208">
        <f>SUMIFS(領用表!$L:$L,領用表!$A:$A,DK$2,領用表!$E:$E,$B44)</f>
        <v/>
      </c>
      <c r="DL44" s="206">
        <f>SUMIFS(領用表!$L:$L,領用表!$E:$E,$B44,領用表!$B:$B,DK$2&amp;DL$2)</f>
        <v/>
      </c>
      <c r="DM44" s="206">
        <f>SUMIFS(領用表!$L:$L,領用表!$E:$E,$B44,領用表!$B:$B,$DK$2&amp;DM$2)</f>
        <v/>
      </c>
      <c r="DN44" s="206">
        <f>SUMIFS(領用表!$L:$L,領用表!$E:$E,$B44,領用表!$B:$B,$DK$2&amp;DN$2)</f>
        <v/>
      </c>
      <c r="DO44" s="206">
        <f>SUMIFS(領用表!$L:$L,領用表!$E:$E,$B44,領用表!$B:$B,$DK$2&amp;DO$2)</f>
        <v/>
      </c>
      <c r="DP44" s="206">
        <f>SUMIFS(領用表!$L:$L,領用表!$E:$E,$B44,領用表!$B:$B,$DK$2&amp;DP$2)</f>
        <v/>
      </c>
      <c r="DQ44" s="208" t="n">
        <v>11</v>
      </c>
      <c r="DR44" s="206" t="n">
        <v>3</v>
      </c>
      <c r="DS44" s="206" t="n"/>
      <c r="DT44" s="206" t="n">
        <v>7</v>
      </c>
      <c r="DU44" s="206" t="n"/>
      <c r="DV44" s="206" t="n">
        <v>1</v>
      </c>
      <c r="DW44" s="206">
        <f>SUM(CN44,CS44,CY44,DE44,DK44,DQ44)</f>
        <v/>
      </c>
      <c r="DX44" s="206">
        <f>AVERAGEA(CN44,CS44,CY44,DE44,DK44,DQ44)</f>
        <v/>
      </c>
      <c r="DY44" s="206">
        <f>SUM(DZ44:EC44)</f>
        <v/>
      </c>
      <c r="DZ44" s="206" t="n">
        <v>16</v>
      </c>
      <c r="EA44" s="206" t="n">
        <v>0</v>
      </c>
      <c r="EB44" s="206" t="n">
        <v>25</v>
      </c>
      <c r="EC44" s="206" t="n">
        <v>0</v>
      </c>
      <c r="ED44" s="215" t="n"/>
      <c r="EE44" s="210" t="n"/>
      <c r="EF44" s="211" t="inlineStr">
        <is>
          <t>50盒(10/27)</t>
        </is>
      </c>
      <c r="EG44" s="211" t="inlineStr">
        <is>
          <t>10盒(10/17)</t>
        </is>
      </c>
      <c r="EH44" s="136" t="n"/>
      <c r="EI44" s="212" t="n"/>
      <c r="EJ44" s="118">
        <f>IFERROR(VLOOKUP(A44,站前4樓!A:BF,57,0),0)</f>
        <v/>
      </c>
      <c r="EK44" s="213">
        <f>IFERROR(VLOOKUP(A44,站前11樓!A:BE,57,0),0)</f>
        <v/>
      </c>
      <c r="EL44" s="118">
        <f>IFERROR(VLOOKUP(A44,忠孝7樓!A:N,57,0),0)</f>
        <v/>
      </c>
      <c r="EM44" s="118">
        <f>IFERROR(VLOOKUP(A44,忠孝國際醫學3樓!A:L,57,0),0)</f>
        <v/>
      </c>
      <c r="EN44" s="118">
        <f>SUM(ED44:EG44)</f>
        <v/>
      </c>
      <c r="EP44" s="118" t="n">
        <v>51</v>
      </c>
      <c r="EQ44" s="118" t="n">
        <v>25</v>
      </c>
    </row>
    <row r="45" ht="15.75" customFormat="1" customHeight="1" s="118">
      <c r="A45" s="136" t="inlineStr">
        <is>
          <t>MP1MA020015A</t>
        </is>
      </c>
      <c r="B45" s="118" t="n">
        <v>6160005</v>
      </c>
      <c r="C45" s="133" t="inlineStr">
        <is>
          <t>双美Ⅰ號膠原蛋白植入劑-加強型(含利度卡因) 1ml/ 支(型號P03041)</t>
        </is>
      </c>
      <c r="D45" s="197" t="n">
        <v>1</v>
      </c>
      <c r="E45" s="198" t="inlineStr">
        <is>
          <t>PCS</t>
        </is>
      </c>
      <c r="F45" s="199">
        <f>SUMIF(站前4樓!B:B,B45,站前4樓!F:F)</f>
        <v/>
      </c>
      <c r="G45" s="199">
        <f>SUMIF(站前11樓!B:B,B45,站前11樓!F:F)</f>
        <v/>
      </c>
      <c r="H45" s="199">
        <f>SUMIF(忠孝7樓!B:B,B45,忠孝7樓!G:G)</f>
        <v/>
      </c>
      <c r="I45" s="199">
        <f>SUMIF(忠孝國際醫學3樓!B:B,B45,忠孝國際醫學3樓!G:G)</f>
        <v/>
      </c>
      <c r="J45" s="199">
        <f>SUMIF(忠孝健康7樓!B:B,B45,忠孝健康7樓!G:G)</f>
        <v/>
      </c>
      <c r="K45" s="200" t="n">
        <v>0</v>
      </c>
      <c r="L45" s="200" t="n">
        <v>0</v>
      </c>
      <c r="M45" s="200" t="n">
        <v>0</v>
      </c>
      <c r="N45" s="200" t="n">
        <v>0</v>
      </c>
      <c r="O45" s="200" t="n">
        <v>0</v>
      </c>
      <c r="P45" s="200" t="n">
        <v>0</v>
      </c>
      <c r="Q45" s="200" t="n">
        <v>0</v>
      </c>
      <c r="R45" s="200" t="n">
        <v>0</v>
      </c>
      <c r="S45" s="200" t="n">
        <v>0</v>
      </c>
      <c r="T45" s="200" t="n">
        <v>0</v>
      </c>
      <c r="U45" s="200" t="n">
        <v>0</v>
      </c>
      <c r="V45" s="200" t="n">
        <v>0</v>
      </c>
      <c r="W45" s="200" t="n">
        <v>0</v>
      </c>
      <c r="X45" s="200" t="n">
        <v>0</v>
      </c>
      <c r="Y45" s="200" t="n">
        <v>0</v>
      </c>
      <c r="Z45" s="200" t="n">
        <v>0</v>
      </c>
      <c r="AA45" s="200" t="n">
        <v>0</v>
      </c>
      <c r="AB45" s="200" t="n">
        <v>0</v>
      </c>
      <c r="AC45" s="200" t="n">
        <v>0</v>
      </c>
      <c r="AD45" s="200" t="n">
        <v>0</v>
      </c>
      <c r="AE45" s="200" t="n">
        <v>0</v>
      </c>
      <c r="AF45" s="200" t="n">
        <v>0</v>
      </c>
      <c r="AG45" s="200" t="n">
        <v>0</v>
      </c>
      <c r="AH45" s="200" t="n">
        <v>0</v>
      </c>
      <c r="AI45" s="200" t="n">
        <v>0</v>
      </c>
      <c r="AJ45" s="201" t="n">
        <v>0</v>
      </c>
      <c r="AK45" s="201" t="n">
        <v>0</v>
      </c>
      <c r="AL45" s="201" t="n">
        <v>0</v>
      </c>
      <c r="AM45" s="201" t="n">
        <v>0</v>
      </c>
      <c r="AN45" s="201" t="n">
        <v>0</v>
      </c>
      <c r="AO45" s="201" t="n">
        <v>0</v>
      </c>
      <c r="AP45" s="201" t="n">
        <v>0</v>
      </c>
      <c r="AQ45" s="201" t="n">
        <v>2</v>
      </c>
      <c r="AR45" s="201" t="n">
        <v>3</v>
      </c>
      <c r="AS45" s="201" t="n">
        <v>1</v>
      </c>
      <c r="AT45" s="512" t="n">
        <v>0</v>
      </c>
      <c r="AU45" s="203" t="n">
        <v>4</v>
      </c>
      <c r="AV45" s="204">
        <f>SUM(AJ45:AU45)</f>
        <v/>
      </c>
      <c r="AW45" s="513">
        <f>AV45/12</f>
        <v/>
      </c>
      <c r="AX45" s="203" t="n">
        <v>3</v>
      </c>
      <c r="AY45" s="203" t="n">
        <v>4</v>
      </c>
      <c r="AZ45" s="203" t="n">
        <v>3</v>
      </c>
      <c r="BA45" s="203" t="n">
        <v>2</v>
      </c>
      <c r="BB45" s="203" t="n">
        <v>6</v>
      </c>
      <c r="BC45" s="203">
        <f>SUMIFS(領用表!$L:$L,領用表!$A:$A,BC$2,領用表!$E:$E,B45)</f>
        <v/>
      </c>
      <c r="BD45" s="206">
        <f>SUMIFS(領用表!$L:$L,領用表!$E:$E,$B45,領用表!$B:$B,BC$2&amp;BD$2)</f>
        <v/>
      </c>
      <c r="BE45" s="206">
        <f>SUMIFS(領用表!$L:$L,領用表!$E:$E,$B45,領用表!$B:$B,$BC$2&amp;BE$2)</f>
        <v/>
      </c>
      <c r="BF45" s="206">
        <f>SUMIFS(領用表!$L:$L,領用表!$E:$E,$B45,領用表!$B:$B,$BC$2&amp;BF$2)</f>
        <v/>
      </c>
      <c r="BG45" s="206">
        <f>SUMIFS(領用表!$L:$L,領用表!$E:$E,$B45,領用表!$B:$B,$BC$2&amp;BG$2)</f>
        <v/>
      </c>
      <c r="BH45" s="203">
        <f>SUMIFS(領用表!$L:$L,領用表!$A:$A,BH$2,領用表!$E:$E,B45)</f>
        <v/>
      </c>
      <c r="BI45" s="206">
        <f>SUMIFS(領用表!$L:$L,領用表!$E:$E,$B45,領用表!$B:$B,BH$2&amp;BI$2)</f>
        <v/>
      </c>
      <c r="BJ45" s="206">
        <f>SUMIFS(領用表!$L:$L,領用表!$E:$E,$B45,領用表!$B:$B,$BH$2&amp;BJ$2)</f>
        <v/>
      </c>
      <c r="BK45" s="206">
        <f>SUMIFS(領用表!$L:$L,領用表!$E:$E,$B45,領用表!$B:$B,$BH$2&amp;BK$2)</f>
        <v/>
      </c>
      <c r="BL45" s="206">
        <f>SUMIFS(領用表!$L:$L,領用表!$E:$E,$B45,領用表!$B:$B,$BH$2&amp;BL$2)</f>
        <v/>
      </c>
      <c r="BM45" s="203">
        <f>SUMIFS(領用表!$L:$L,領用表!$A:$A,BM$2,領用表!$E:$E,B45)</f>
        <v/>
      </c>
      <c r="BN45" s="206">
        <f>SUMIFS(領用表!$L:$L,領用表!$E:$E,$B45,領用表!$B:$B,BM$2&amp;BN$2)</f>
        <v/>
      </c>
      <c r="BO45" s="206">
        <f>SUMIFS(領用表!$L:$L,領用表!$E:$E,$B45,領用表!$B:$B,$BM$2&amp;BO$2)</f>
        <v/>
      </c>
      <c r="BP45" s="206">
        <f>SUMIFS(領用表!$L:$L,領用表!$E:$E,$B45,領用表!$B:$B,$BM$2&amp;BP$2)</f>
        <v/>
      </c>
      <c r="BQ45" s="206">
        <f>SUMIFS(領用表!$L:$L,領用表!$E:$E,$B45,領用表!$B:$B,$BM$2&amp;BQ$2)</f>
        <v/>
      </c>
      <c r="BR45" s="203">
        <f>SUMIFS(領用表!$L:$L,領用表!$A:$A,BR$2,領用表!$E:$E,B45)</f>
        <v/>
      </c>
      <c r="BS45" s="206">
        <f>SUMIFS(領用表!$L:$L,領用表!$E:$E,$B45,領用表!$B:$B,BR$2&amp;BS$2)</f>
        <v/>
      </c>
      <c r="BT45" s="206">
        <f>SUMIFS(領用表!$L:$L,領用表!$E:$E,$B45,領用表!$B:$B,$BR$2&amp;BT$2)</f>
        <v/>
      </c>
      <c r="BU45" s="206">
        <f>SUMIFS(領用表!$L:$L,領用表!$E:$E,$B45,領用表!$B:$B,$BR$2&amp;BU$2)</f>
        <v/>
      </c>
      <c r="BV45" s="206">
        <f>SUMIFS(領用表!$L:$L,領用表!$E:$E,$B45,領用表!$B:$B,$BR$2&amp;BV$2)</f>
        <v/>
      </c>
      <c r="BW45" s="208">
        <f>SUMIFS(領用表!$L:$L,領用表!$A:$A,BW$2,領用表!$E:$E,B45)</f>
        <v/>
      </c>
      <c r="BX45" s="206">
        <f>SUMIFS(領用表!$L:$L,領用表!$E:$E,$B45,領用表!$B:$B,BW$2&amp;BX$2)</f>
        <v/>
      </c>
      <c r="BY45" s="206">
        <f>SUMIFS(領用表!$L:$L,領用表!$E:$E,$B45,領用表!$B:$B,$BW$2&amp;BY$2)</f>
        <v/>
      </c>
      <c r="BZ45" s="206">
        <f>SUMIFS(領用表!$L:$L,領用表!$E:$E,$B45,領用表!$B:$B,$BW$2&amp;BZ$2)</f>
        <v/>
      </c>
      <c r="CA45" s="206">
        <f>SUMIFS(領用表!$L:$L,領用表!$E:$E,$B45,領用表!$B:$B,$BW$2&amp;CA$2)</f>
        <v/>
      </c>
      <c r="CB45" s="208">
        <f>SUMIFS(領用表!$L:$L,領用表!$A:$A,CB$2,領用表!$E:$E,B45)</f>
        <v/>
      </c>
      <c r="CC45" s="206">
        <f>SUMIFS(領用表!$L:$L,領用表!$E:$E,$B45,領用表!$B:$B,CB$2&amp;CC$2)</f>
        <v/>
      </c>
      <c r="CD45" s="206">
        <f>SUMIFS(領用表!$L:$L,領用表!$E:$E,$B45,領用表!$B:$B,$CB$2&amp;CD$2)</f>
        <v/>
      </c>
      <c r="CE45" s="206">
        <f>SUMIFS(領用表!$L:$L,領用表!$E:$E,$B45,領用表!$B:$B,$CB$2&amp;CE$2)</f>
        <v/>
      </c>
      <c r="CF45" s="206">
        <f>SUMIFS(領用表!$L:$L,領用表!$E:$E,$B45,領用表!$B:$B,$CB$2&amp;CF$2)</f>
        <v/>
      </c>
      <c r="CG45" s="208">
        <f>SUMIFS(領用表!$L:$L,領用表!$A:$A,CG$2,領用表!$E:$E,B45)</f>
        <v/>
      </c>
      <c r="CH45" s="206">
        <f>SUMIFS(領用表!$L:$L,領用表!$E:$E,$B45,領用表!$B:$B,CG$2&amp;CH$2)</f>
        <v/>
      </c>
      <c r="CI45" s="206">
        <f>SUMIFS(領用表!$L:$L,領用表!$E:$E,$B45,領用表!$B:$B,CG$2&amp;CI$2)</f>
        <v/>
      </c>
      <c r="CJ45" s="206">
        <f>SUMIFS(領用表!$L:$L,領用表!$E:$E,$B45,領用表!$B:$B,CG$2&amp;CJ$2)</f>
        <v/>
      </c>
      <c r="CK45" s="206">
        <f>SUMIFS(領用表!$L:$L,領用表!$E:$E,$B45,領用表!$B:$B,$CG$2&amp;CK$2)</f>
        <v/>
      </c>
      <c r="CL45" s="207">
        <f>SUM(AX45,AY45,AZ45,BA45,BB45,BC45,BH45,BM45,BR45,BW45,CB45,CG45)</f>
        <v/>
      </c>
      <c r="CM45" s="207">
        <f>AVERAGE(AX45,AY45,AZ45,BA45,BB45,BC45,BH45,BM45,BR45,BW45,CB45,CG45)</f>
        <v/>
      </c>
      <c r="CN45" s="208">
        <f>SUMIFS(領用表!$L:$L,領用表!$A:$A,CN$2,領用表!$E:$E,B45)</f>
        <v/>
      </c>
      <c r="CO45" s="206">
        <f>SUMIFS(領用表!$L:$L,領用表!$E:$E,$B45,領用表!$B:$B,CN$2&amp;CO$2)</f>
        <v/>
      </c>
      <c r="CP45" s="206">
        <f>SUMIFS(領用表!$L:$L,領用表!$E:$E,$B45,領用表!$B:$B,$CN$2&amp;CP$2)</f>
        <v/>
      </c>
      <c r="CQ45" s="206">
        <f>SUMIFS(領用表!$L:$L,領用表!$E:$E,$B45,領用表!$B:$B,$CN$2&amp;CQ$2)</f>
        <v/>
      </c>
      <c r="CR45" s="206">
        <f>SUMIFS(領用表!$L:$L,領用表!$E:$E,$B45,領用表!$B:$B,$CN$2&amp;CR$2)</f>
        <v/>
      </c>
      <c r="CS45" s="208">
        <f>SUMIFS(領用表!$L:$L,領用表!$A:$A,CS$2,領用表!$E:$E,B45)</f>
        <v/>
      </c>
      <c r="CT45" s="206">
        <f>SUMIFS(領用表!$L:$L,領用表!$E:$E,$B45,領用表!$B:$B,CS$2&amp;CT$2)</f>
        <v/>
      </c>
      <c r="CU45" s="206">
        <f>SUMIFS(領用表!$L:$L,領用表!$E:$E,$B45,領用表!$B:$B,$CS$2&amp;CU$2)</f>
        <v/>
      </c>
      <c r="CV45" s="206">
        <f>SUMIFS(領用表!$L:$L,領用表!$E:$E,$B45,領用表!$B:$B,$CS$2&amp;CV$2)</f>
        <v/>
      </c>
      <c r="CW45" s="206">
        <f>SUMIFS(領用表!$L:$L,領用表!$E:$E,$B45,領用表!$B:$B,$CS$2&amp;CW$2)</f>
        <v/>
      </c>
      <c r="CX45" s="206">
        <f>SUMIFS(領用表!$L:$L,領用表!$E:$E,$B45,領用表!$B:$B,$CS$2&amp;CX$2)</f>
        <v/>
      </c>
      <c r="CY45" s="208">
        <f>SUMIFS(領用表!$L:$L,領用表!$A:$A,CY$2,領用表!$E:$E,B45)</f>
        <v/>
      </c>
      <c r="CZ45" s="206">
        <f>SUMIFS(領用表!$L:$L,領用表!$E:$E,$B45,領用表!$B:$B,CY$2&amp;CZ$2)</f>
        <v/>
      </c>
      <c r="DA45" s="206">
        <f>SUMIFS(領用表!$L:$L,領用表!$E:$E,$B45,領用表!$B:$B,$CY$2&amp;DA$2)</f>
        <v/>
      </c>
      <c r="DB45" s="206">
        <f>SUMIFS(領用表!$L:$L,領用表!$E:$E,$B45,領用表!$B:$B,$CY$2&amp;DB$2)</f>
        <v/>
      </c>
      <c r="DC45" s="206">
        <f>SUMIFS(領用表!$L:$L,領用表!$E:$E,$B45,領用表!$B:$B,$CY$2&amp;DC$2)</f>
        <v/>
      </c>
      <c r="DD45" s="206">
        <f>SUMIFS(領用表!$L:$L,領用表!$E:$E,$B45,領用表!$B:$B,$CY$2&amp;DD$2)</f>
        <v/>
      </c>
      <c r="DE45" s="208">
        <f>SUMIFS(領用表!$L:$L,領用表!$A:$A,DE$2,領用表!$E:$E,B45)</f>
        <v/>
      </c>
      <c r="DF45" s="206">
        <f>SUMIFS(領用表!$L:$L,領用表!$E:$E,$B45,領用表!$B:$B,DE$2&amp;DF$2)</f>
        <v/>
      </c>
      <c r="DG45" s="206">
        <f>SUMIFS(領用表!$L:$L,領用表!$E:$E,$B45,領用表!$B:$B,$DE$2&amp;DG$2)</f>
        <v/>
      </c>
      <c r="DH45" s="206">
        <f>SUMIFS(領用表!$L:$L,領用表!$E:$E,$B45,領用表!$B:$B,$DE$2&amp;DH$2)</f>
        <v/>
      </c>
      <c r="DI45" s="206">
        <f>SUMIFS(領用表!$L:$L,領用表!$E:$E,$B45,領用表!$B:$B,$DE$2&amp;DI$2)</f>
        <v/>
      </c>
      <c r="DJ45" s="206">
        <f>SUMIFS(領用表!$L:$L,領用表!$E:$E,$B45,領用表!$B:$B,$DE$2&amp;DJ$2)</f>
        <v/>
      </c>
      <c r="DK45" s="208">
        <f>SUMIFS(領用表!$L:$L,領用表!$A:$A,DK$2,領用表!$E:$E,$B45)</f>
        <v/>
      </c>
      <c r="DL45" s="206">
        <f>SUMIFS(領用表!$L:$L,領用表!$E:$E,$B45,領用表!$B:$B,DK$2&amp;DL$2)</f>
        <v/>
      </c>
      <c r="DM45" s="206">
        <f>SUMIFS(領用表!$L:$L,領用表!$E:$E,$B45,領用表!$B:$B,$DK$2&amp;DM$2)</f>
        <v/>
      </c>
      <c r="DN45" s="206">
        <f>SUMIFS(領用表!$L:$L,領用表!$E:$E,$B45,領用表!$B:$B,$DK$2&amp;DN$2)</f>
        <v/>
      </c>
      <c r="DO45" s="206">
        <f>SUMIFS(領用表!$L:$L,領用表!$E:$E,$B45,領用表!$B:$B,$DK$2&amp;DO$2)</f>
        <v/>
      </c>
      <c r="DP45" s="206">
        <f>SUMIFS(領用表!$L:$L,領用表!$E:$E,$B45,領用表!$B:$B,$DK$2&amp;DP$2)</f>
        <v/>
      </c>
      <c r="DQ45" s="208" t="n">
        <v>63</v>
      </c>
      <c r="DR45" s="206" t="n">
        <v>36</v>
      </c>
      <c r="DS45" s="206" t="n"/>
      <c r="DT45" s="206" t="n">
        <v>17</v>
      </c>
      <c r="DU45" s="206" t="n"/>
      <c r="DV45" s="206" t="n">
        <v>10</v>
      </c>
      <c r="DW45" s="206">
        <f>SUM(CN45,CS45,CY45,DE45,DK45,DQ45)</f>
        <v/>
      </c>
      <c r="DX45" s="206">
        <f>AVERAGEA(CN45,CS45,CY45,DE45,DK45,DQ45)</f>
        <v/>
      </c>
      <c r="DY45" s="206">
        <f>SUM(DZ45:EC45)</f>
        <v/>
      </c>
      <c r="DZ45" s="206" t="n">
        <v>30</v>
      </c>
      <c r="EA45" s="206" t="n">
        <v>0</v>
      </c>
      <c r="EB45" s="206" t="n">
        <v>20</v>
      </c>
      <c r="EC45" s="206" t="n">
        <v>0</v>
      </c>
      <c r="ED45" s="215" t="n">
        <v>0</v>
      </c>
      <c r="EE45" s="210" t="n">
        <v>0</v>
      </c>
      <c r="EF45" s="211" t="inlineStr">
        <is>
          <t>22支(10/23)</t>
        </is>
      </c>
      <c r="EG45" s="211" t="inlineStr">
        <is>
          <t>22支(10/23)</t>
        </is>
      </c>
      <c r="EH45" s="136" t="n"/>
      <c r="EI45" s="212" t="n"/>
      <c r="EJ45" s="118">
        <f>IFERROR(VLOOKUP(A45,站前4樓!A:BF,57,0),0)</f>
        <v/>
      </c>
      <c r="EK45" s="213">
        <f>IFERROR(VLOOKUP(A45,站前11樓!A:BE,57,0),0)</f>
        <v/>
      </c>
      <c r="EL45" s="118">
        <f>IFERROR(VLOOKUP(A45,忠孝7樓!A:N,57,0),0)</f>
        <v/>
      </c>
      <c r="EM45" s="118">
        <f>IFERROR(VLOOKUP(A45,忠孝國際醫學3樓!A:L,57,0),0)</f>
        <v/>
      </c>
      <c r="EN45" s="118">
        <f>SUM(ED45:EG45)</f>
        <v/>
      </c>
      <c r="EP45" s="118" t="n">
        <v>12</v>
      </c>
      <c r="EQ45" s="118" t="n">
        <v>15</v>
      </c>
    </row>
    <row r="46" ht="15.75" customFormat="1" customHeight="1" s="118">
      <c r="A46" s="136" t="inlineStr">
        <is>
          <t>MM2MB030006A</t>
        </is>
      </c>
      <c r="B46" s="118" t="n">
        <v>6170034</v>
      </c>
      <c r="C46" s="133" t="inlineStr">
        <is>
          <t>十蓓電波臉部探頭5平方公分(1發)</t>
        </is>
      </c>
      <c r="D46" s="207" t="n">
        <v>900</v>
      </c>
      <c r="E46" s="198" t="inlineStr">
        <is>
          <t>SHOT</t>
        </is>
      </c>
      <c r="F46" s="199">
        <f>SUMIF(站前4樓!B:B,B46,站前4樓!F:F)</f>
        <v/>
      </c>
      <c r="G46" s="199">
        <f>SUMIF(站前11樓!B:B,B46,站前11樓!F:F)</f>
        <v/>
      </c>
      <c r="H46" s="199">
        <f>SUMIF(忠孝7樓!B:B,B46,忠孝7樓!G:G)</f>
        <v/>
      </c>
      <c r="I46" s="199">
        <f>SUMIF(忠孝國際醫學3樓!B:B,B46,忠孝國際醫學3樓!G:G)</f>
        <v/>
      </c>
      <c r="J46" s="199">
        <f>SUMIF(忠孝健康7樓!B:B,B46,忠孝健康7樓!G:G)</f>
        <v/>
      </c>
      <c r="K46" s="200" t="n"/>
      <c r="L46" s="200" t="n"/>
      <c r="M46" s="200" t="n"/>
      <c r="N46" s="200" t="n"/>
      <c r="O46" s="200" t="n"/>
      <c r="P46" s="200" t="n"/>
      <c r="Q46" s="200" t="n"/>
      <c r="R46" s="200" t="n"/>
      <c r="S46" s="200" t="n"/>
      <c r="T46" s="200" t="n"/>
      <c r="U46" s="200" t="n"/>
      <c r="V46" s="200" t="n"/>
      <c r="W46" s="200" t="n"/>
      <c r="X46" s="200" t="n"/>
      <c r="Y46" s="200" t="n"/>
      <c r="Z46" s="200" t="n"/>
      <c r="AA46" s="200" t="n"/>
      <c r="AB46" s="200" t="n"/>
      <c r="AC46" s="200" t="n"/>
      <c r="AD46" s="200" t="n"/>
      <c r="AE46" s="200" t="n"/>
      <c r="AF46" s="200" t="n"/>
      <c r="AG46" s="200" t="n"/>
      <c r="AH46" s="200" t="n"/>
      <c r="AI46" s="200" t="n"/>
      <c r="AJ46" s="221" t="n"/>
      <c r="AK46" s="221" t="n"/>
      <c r="AL46" s="221" t="n"/>
      <c r="AM46" s="221" t="n"/>
      <c r="AN46" s="221" t="n"/>
      <c r="AO46" s="221" t="n"/>
      <c r="AP46" s="221" t="n"/>
      <c r="AQ46" s="221" t="n"/>
      <c r="AR46" s="221" t="n"/>
      <c r="AS46" s="201" t="n"/>
      <c r="AT46" s="512" t="n"/>
      <c r="AU46" s="203" t="n"/>
      <c r="AV46" s="204" t="n"/>
      <c r="AW46" s="513" t="n"/>
      <c r="AX46" s="513" t="inlineStr">
        <is>
          <t>-</t>
        </is>
      </c>
      <c r="AY46" s="513" t="inlineStr">
        <is>
          <t>-</t>
        </is>
      </c>
      <c r="AZ46" s="513" t="inlineStr">
        <is>
          <t>-</t>
        </is>
      </c>
      <c r="BA46" s="513" t="inlineStr">
        <is>
          <t>-</t>
        </is>
      </c>
      <c r="BB46" s="513" t="inlineStr">
        <is>
          <t>-</t>
        </is>
      </c>
      <c r="BC46" s="203">
        <f>SUMIFS(領用表!$L:$L,領用表!$A:$A,BC$2,領用表!$E:$E,B46)</f>
        <v/>
      </c>
      <c r="BD46" s="206">
        <f>SUMIFS(領用表!$L:$L,領用表!$E:$E,$B46,領用表!$B:$B,BC$2&amp;BD$2)</f>
        <v/>
      </c>
      <c r="BE46" s="206">
        <f>SUMIFS(領用表!$L:$L,領用表!$E:$E,$B46,領用表!$B:$B,$BC$2&amp;BE$2)</f>
        <v/>
      </c>
      <c r="BF46" s="206">
        <f>SUMIFS(領用表!$L:$L,領用表!$E:$E,$B46,領用表!$B:$B,$BC$2&amp;BF$2)</f>
        <v/>
      </c>
      <c r="BG46" s="206">
        <f>SUMIFS(領用表!$L:$L,領用表!$E:$E,$B46,領用表!$B:$B,$BC$2&amp;BG$2)</f>
        <v/>
      </c>
      <c r="BH46" s="203">
        <f>SUMIFS(領用表!$L:$L,領用表!$A:$A,BH$2,領用表!$E:$E,B46)</f>
        <v/>
      </c>
      <c r="BI46" s="206">
        <f>SUMIFS(領用表!$L:$L,領用表!$E:$E,$B46,領用表!$B:$B,BH$2&amp;BI$2)</f>
        <v/>
      </c>
      <c r="BJ46" s="206">
        <f>SUMIFS(領用表!$L:$L,領用表!$E:$E,$B46,領用表!$B:$B,$BH$2&amp;BJ$2)</f>
        <v/>
      </c>
      <c r="BK46" s="206">
        <f>SUMIFS(領用表!$L:$L,領用表!$E:$E,$B46,領用表!$B:$B,$BH$2&amp;BK$2)</f>
        <v/>
      </c>
      <c r="BL46" s="206">
        <f>SUMIFS(領用表!$L:$L,領用表!$E:$E,$B46,領用表!$B:$B,$BH$2&amp;BL$2)</f>
        <v/>
      </c>
      <c r="BM46" s="203">
        <f>SUMIFS(領用表!$L:$L,領用表!$A:$A,BM$2,領用表!$E:$E,B46)</f>
        <v/>
      </c>
      <c r="BN46" s="206">
        <f>SUMIFS(領用表!$L:$L,領用表!$E:$E,$B46,領用表!$B:$B,BM$2&amp;BN$2)</f>
        <v/>
      </c>
      <c r="BO46" s="206">
        <f>SUMIFS(領用表!$L:$L,領用表!$E:$E,$B46,領用表!$B:$B,$BM$2&amp;BO$2)</f>
        <v/>
      </c>
      <c r="BP46" s="206">
        <f>SUMIFS(領用表!$L:$L,領用表!$E:$E,$B46,領用表!$B:$B,$BM$2&amp;BP$2)</f>
        <v/>
      </c>
      <c r="BQ46" s="206">
        <f>SUMIFS(領用表!$L:$L,領用表!$E:$E,$B46,領用表!$B:$B,$BM$2&amp;BQ$2)</f>
        <v/>
      </c>
      <c r="BR46" s="203">
        <f>SUMIFS(領用表!$L:$L,領用表!$A:$A,BR$2,領用表!$E:$E,B46)</f>
        <v/>
      </c>
      <c r="BS46" s="206">
        <f>SUMIFS(領用表!$L:$L,領用表!$E:$E,$B46,領用表!$B:$B,BR$2&amp;BS$2)</f>
        <v/>
      </c>
      <c r="BT46" s="206">
        <f>SUMIFS(領用表!$L:$L,領用表!$E:$E,$B46,領用表!$B:$B,$BR$2&amp;BT$2)</f>
        <v/>
      </c>
      <c r="BU46" s="206">
        <f>SUMIFS(領用表!$L:$L,領用表!$E:$E,$B46,領用表!$B:$B,$BR$2&amp;BU$2)</f>
        <v/>
      </c>
      <c r="BV46" s="206">
        <f>SUMIFS(領用表!$L:$L,領用表!$E:$E,$B46,領用表!$B:$B,$BR$2&amp;BV$2)</f>
        <v/>
      </c>
      <c r="BW46" s="208">
        <f>SUMIFS(領用表!$L:$L,領用表!$A:$A,BW$2,領用表!$E:$E,B46)</f>
        <v/>
      </c>
      <c r="BX46" s="206">
        <f>SUMIFS(領用表!$L:$L,領用表!$E:$E,$B46,領用表!$B:$B,BW$2&amp;BX$2)</f>
        <v/>
      </c>
      <c r="BY46" s="206">
        <f>SUMIFS(領用表!$L:$L,領用表!$E:$E,$B46,領用表!$B:$B,$BW$2&amp;BY$2)</f>
        <v/>
      </c>
      <c r="BZ46" s="206">
        <f>SUMIFS(領用表!$L:$L,領用表!$E:$E,$B46,領用表!$B:$B,$BW$2&amp;BZ$2)</f>
        <v/>
      </c>
      <c r="CA46" s="206">
        <f>SUMIFS(領用表!$L:$L,領用表!$E:$E,$B46,領用表!$B:$B,$BW$2&amp;CA$2)</f>
        <v/>
      </c>
      <c r="CB46" s="208">
        <f>SUMIFS(領用表!$L:$L,領用表!$A:$A,CB$2,領用表!$E:$E,B46)</f>
        <v/>
      </c>
      <c r="CC46" s="206">
        <f>SUMIFS(領用表!$L:$L,領用表!$E:$E,$B46,領用表!$B:$B,CB$2&amp;CC$2)</f>
        <v/>
      </c>
      <c r="CD46" s="206">
        <f>SUMIFS(領用表!$L:$L,領用表!$E:$E,$B46,領用表!$B:$B,$CB$2&amp;CD$2)</f>
        <v/>
      </c>
      <c r="CE46" s="206">
        <f>SUMIFS(領用表!$L:$L,領用表!$E:$E,$B46,領用表!$B:$B,$CB$2&amp;CE$2)</f>
        <v/>
      </c>
      <c r="CF46" s="206">
        <f>SUMIFS(領用表!$L:$L,領用表!$E:$E,$B46,領用表!$B:$B,$CB$2&amp;CF$2)</f>
        <v/>
      </c>
      <c r="CG46" s="208">
        <f>SUMIFS(領用表!$L:$L,領用表!$A:$A,CG$2,領用表!$E:$E,B46)</f>
        <v/>
      </c>
      <c r="CH46" s="206">
        <f>SUMIFS(領用表!$L:$L,領用表!$E:$E,$B46,領用表!$B:$B,CG$2&amp;CH$2)</f>
        <v/>
      </c>
      <c r="CI46" s="206">
        <f>SUMIFS(領用表!$L:$L,領用表!$E:$E,$B46,領用表!$B:$B,CG$2&amp;CI$2)</f>
        <v/>
      </c>
      <c r="CJ46" s="206">
        <f>SUMIFS(領用表!$L:$L,領用表!$E:$E,$B46,領用表!$B:$B,CG$2&amp;CJ$2)</f>
        <v/>
      </c>
      <c r="CK46" s="206">
        <f>SUMIFS(領用表!$L:$L,領用表!$E:$E,$B46,領用表!$B:$B,$CG$2&amp;CK$2)</f>
        <v/>
      </c>
      <c r="CL46" s="207">
        <f>SUM(AX46,AY46,AZ46,BA46,BB46,BC46,BH46,BM46,BR46,BW46,CB46,CG46)</f>
        <v/>
      </c>
      <c r="CM46" s="207">
        <f>AVERAGE(AX46,AY46,AZ46,BA46,BB46,BC46,BH46,BM46,BR46,BW46,CB46,CG46)</f>
        <v/>
      </c>
      <c r="CN46" s="208">
        <f>SUMIFS(領用表!$L:$L,領用表!$A:$A,CN$2,領用表!$E:$E,B46)</f>
        <v/>
      </c>
      <c r="CO46" s="206">
        <f>SUMIFS(領用表!$L:$L,領用表!$E:$E,$B46,領用表!$B:$B,CN$2&amp;CO$2)</f>
        <v/>
      </c>
      <c r="CP46" s="206">
        <f>SUMIFS(領用表!$L:$L,領用表!$E:$E,$B46,領用表!$B:$B,$CN$2&amp;CP$2)</f>
        <v/>
      </c>
      <c r="CQ46" s="206">
        <f>SUMIFS(領用表!$L:$L,領用表!$E:$E,$B46,領用表!$B:$B,$CN$2&amp;CQ$2)</f>
        <v/>
      </c>
      <c r="CR46" s="206">
        <f>SUMIFS(領用表!$L:$L,領用表!$E:$E,$B46,領用表!$B:$B,$CN$2&amp;CR$2)</f>
        <v/>
      </c>
      <c r="CS46" s="208">
        <f>SUMIFS(領用表!$L:$L,領用表!$A:$A,CS$2,領用表!$E:$E,B46)</f>
        <v/>
      </c>
      <c r="CT46" s="206">
        <f>SUMIFS(領用表!$L:$L,領用表!$E:$E,$B46,領用表!$B:$B,CS$2&amp;CT$2)</f>
        <v/>
      </c>
      <c r="CU46" s="206">
        <f>SUMIFS(領用表!$L:$L,領用表!$E:$E,$B46,領用表!$B:$B,$CS$2&amp;CU$2)</f>
        <v/>
      </c>
      <c r="CV46" s="206">
        <f>SUMIFS(領用表!$L:$L,領用表!$E:$E,$B46,領用表!$B:$B,$CS$2&amp;CV$2)</f>
        <v/>
      </c>
      <c r="CW46" s="206">
        <f>SUMIFS(領用表!$L:$L,領用表!$E:$E,$B46,領用表!$B:$B,$CS$2&amp;CW$2)</f>
        <v/>
      </c>
      <c r="CX46" s="206">
        <f>SUMIFS(領用表!$L:$L,領用表!$E:$E,$B46,領用表!$B:$B,$CS$2&amp;CX$2)</f>
        <v/>
      </c>
      <c r="CY46" s="208">
        <f>SUMIFS(領用表!$L:$L,領用表!$A:$A,CY$2,領用表!$E:$E,B46)</f>
        <v/>
      </c>
      <c r="CZ46" s="206">
        <f>SUMIFS(領用表!$L:$L,領用表!$E:$E,$B46,領用表!$B:$B,CY$2&amp;CZ$2)</f>
        <v/>
      </c>
      <c r="DA46" s="206">
        <f>SUMIFS(領用表!$L:$L,領用表!$E:$E,$B46,領用表!$B:$B,$CY$2&amp;DA$2)</f>
        <v/>
      </c>
      <c r="DB46" s="206">
        <f>SUMIFS(領用表!$L:$L,領用表!$E:$E,$B46,領用表!$B:$B,$CY$2&amp;DB$2)</f>
        <v/>
      </c>
      <c r="DC46" s="206">
        <f>SUMIFS(領用表!$L:$L,領用表!$E:$E,$B46,領用表!$B:$B,$CY$2&amp;DC$2)</f>
        <v/>
      </c>
      <c r="DD46" s="206">
        <f>SUMIFS(領用表!$L:$L,領用表!$E:$E,$B46,領用表!$B:$B,$CY$2&amp;DD$2)</f>
        <v/>
      </c>
      <c r="DE46" s="208">
        <f>SUMIFS(領用表!$L:$L,領用表!$A:$A,DE$2,領用表!$E:$E,B46)</f>
        <v/>
      </c>
      <c r="DF46" s="206">
        <f>SUMIFS(領用表!$L:$L,領用表!$E:$E,$B46,領用表!$B:$B,DE$2&amp;DF$2)</f>
        <v/>
      </c>
      <c r="DG46" s="206">
        <f>SUMIFS(領用表!$L:$L,領用表!$E:$E,$B46,領用表!$B:$B,$DE$2&amp;DG$2)</f>
        <v/>
      </c>
      <c r="DH46" s="206">
        <f>SUMIFS(領用表!$L:$L,領用表!$E:$E,$B46,領用表!$B:$B,$DE$2&amp;DH$2)</f>
        <v/>
      </c>
      <c r="DI46" s="206">
        <f>SUMIFS(領用表!$L:$L,領用表!$E:$E,$B46,領用表!$B:$B,$DE$2&amp;DI$2)</f>
        <v/>
      </c>
      <c r="DJ46" s="206">
        <f>SUMIFS(領用表!$L:$L,領用表!$E:$E,$B46,領用表!$B:$B,$DE$2&amp;DJ$2)</f>
        <v/>
      </c>
      <c r="DK46" s="208">
        <f>SUMIFS(領用表!$L:$L,領用表!$A:$A,DK$2,領用表!$E:$E,$B46)</f>
        <v/>
      </c>
      <c r="DL46" s="206">
        <f>SUMIFS(領用表!$L:$L,領用表!$E:$E,$B46,領用表!$B:$B,DK$2&amp;DL$2)</f>
        <v/>
      </c>
      <c r="DM46" s="206">
        <f>SUMIFS(領用表!$L:$L,領用表!$E:$E,$B46,領用表!$B:$B,$DK$2&amp;DM$2)</f>
        <v/>
      </c>
      <c r="DN46" s="206">
        <f>SUMIFS(領用表!$L:$L,領用表!$E:$E,$B46,領用表!$B:$B,$DK$2&amp;DN$2)</f>
        <v/>
      </c>
      <c r="DO46" s="206">
        <f>SUMIFS(領用表!$L:$L,領用表!$E:$E,$B46,領用表!$B:$B,$DK$2&amp;DO$2)</f>
        <v/>
      </c>
      <c r="DP46" s="206">
        <f>SUMIFS(領用表!$L:$L,領用表!$E:$E,$B46,領用表!$B:$B,$DK$2&amp;DP$2)</f>
        <v/>
      </c>
      <c r="DQ46" s="208" t="n">
        <v>82004</v>
      </c>
      <c r="DR46" s="206" t="n">
        <v>19105</v>
      </c>
      <c r="DS46" s="206" t="n"/>
      <c r="DT46" s="206" t="n">
        <v>47900</v>
      </c>
      <c r="DU46" s="206" t="n"/>
      <c r="DV46" s="206" t="n">
        <v>14999</v>
      </c>
      <c r="DW46" s="206">
        <f>SUM(CN46,CS46,CY46,DE46,DK46,DQ46)</f>
        <v/>
      </c>
      <c r="DX46" s="206">
        <f>AVERAGEA(CN46,CS46,CY46,DE46,DK46,DQ46)</f>
        <v/>
      </c>
      <c r="DY46" s="206">
        <f>SUM(DZ46:EC46)</f>
        <v/>
      </c>
      <c r="DZ46" s="206" t="n">
        <v>60000</v>
      </c>
      <c r="EA46" s="206" t="n">
        <v>0</v>
      </c>
      <c r="EB46" s="206" t="n">
        <v>150000</v>
      </c>
      <c r="EC46" s="206" t="n">
        <v>0</v>
      </c>
      <c r="ED46" s="257" t="n"/>
      <c r="EE46" s="210" t="n"/>
      <c r="EF46" s="211" t="inlineStr">
        <is>
          <t>40顆(10/21)</t>
        </is>
      </c>
      <c r="EG46" s="211" t="inlineStr">
        <is>
          <t>40顆(10/21)</t>
        </is>
      </c>
      <c r="EH46" s="525" t="n"/>
      <c r="EI46" s="212" t="n"/>
      <c r="EJ46" s="118">
        <f>IFERROR(VLOOKUP(A46,站前4樓!A:BF,57,0),0)</f>
        <v/>
      </c>
      <c r="EK46" s="213">
        <f>IFERROR(VLOOKUP(A46,站前11樓!A:BE,57,0),0)</f>
        <v/>
      </c>
      <c r="EL46" s="118">
        <f>IFERROR(VLOOKUP(A46,忠孝7樓!A:N,57,0),0)</f>
        <v/>
      </c>
      <c r="EM46" s="118">
        <f>IFERROR(VLOOKUP(A46,忠孝國際醫學3樓!A:L,57,0),0)</f>
        <v/>
      </c>
      <c r="EN46" s="118">
        <f>SUM(ED46:EG46)</f>
        <v/>
      </c>
      <c r="EP46" s="118" t="n">
        <v>45427</v>
      </c>
      <c r="EQ46" s="118" t="n">
        <v>3952</v>
      </c>
    </row>
    <row r="47" ht="15" customFormat="1" customHeight="1" s="118">
      <c r="A47" s="136" t="inlineStr">
        <is>
          <t>MM2MB030007A</t>
        </is>
      </c>
      <c r="B47" s="118" t="n">
        <v>6170035</v>
      </c>
      <c r="C47" s="133" t="inlineStr">
        <is>
          <t>十蓓電波眼周探頭0.25平方公分(1發)</t>
        </is>
      </c>
      <c r="D47" s="207" t="n">
        <v>600</v>
      </c>
      <c r="E47" s="198" t="inlineStr">
        <is>
          <t>SHOT</t>
        </is>
      </c>
      <c r="F47" s="199">
        <f>SUMIF(站前4樓!B:B,B47,站前4樓!F:F)</f>
        <v/>
      </c>
      <c r="G47" s="199">
        <f>SUMIF(站前11樓!B:B,B47,站前11樓!F:F)</f>
        <v/>
      </c>
      <c r="H47" s="199">
        <f>SUMIF(忠孝7樓!B:B,B47,忠孝7樓!G:G)</f>
        <v/>
      </c>
      <c r="I47" s="199">
        <f>SUMIF(忠孝國際醫學3樓!B:B,B47,忠孝國際醫學3樓!G:G)</f>
        <v/>
      </c>
      <c r="J47" s="199">
        <f>SUMIF(忠孝健康7樓!B:B,B47,忠孝健康7樓!G:G)</f>
        <v/>
      </c>
      <c r="K47" s="200" t="n"/>
      <c r="L47" s="200" t="n"/>
      <c r="M47" s="200" t="n"/>
      <c r="N47" s="200" t="n"/>
      <c r="O47" s="200" t="n"/>
      <c r="P47" s="200" t="n"/>
      <c r="Q47" s="200" t="n"/>
      <c r="R47" s="200" t="n"/>
      <c r="S47" s="200" t="n"/>
      <c r="T47" s="200" t="n"/>
      <c r="U47" s="200" t="n"/>
      <c r="V47" s="200" t="n"/>
      <c r="W47" s="200" t="n"/>
      <c r="X47" s="200" t="n"/>
      <c r="Y47" s="200" t="n"/>
      <c r="Z47" s="200" t="n"/>
      <c r="AA47" s="200" t="n"/>
      <c r="AB47" s="200" t="n"/>
      <c r="AC47" s="200" t="n"/>
      <c r="AD47" s="200" t="n"/>
      <c r="AE47" s="200" t="n"/>
      <c r="AF47" s="200" t="n"/>
      <c r="AG47" s="200" t="n"/>
      <c r="AH47" s="200" t="n"/>
      <c r="AI47" s="200" t="n"/>
      <c r="AJ47" s="221" t="n"/>
      <c r="AK47" s="221" t="n"/>
      <c r="AL47" s="221" t="n"/>
      <c r="AM47" s="221" t="n"/>
      <c r="AN47" s="221" t="n"/>
      <c r="AO47" s="221" t="n"/>
      <c r="AP47" s="221" t="n"/>
      <c r="AQ47" s="221" t="n"/>
      <c r="AR47" s="221" t="n"/>
      <c r="AS47" s="201" t="n"/>
      <c r="AT47" s="512" t="n"/>
      <c r="AU47" s="203" t="n"/>
      <c r="AV47" s="204" t="n"/>
      <c r="AW47" s="513" t="n"/>
      <c r="AX47" s="513" t="inlineStr">
        <is>
          <t>-</t>
        </is>
      </c>
      <c r="AY47" s="513" t="inlineStr">
        <is>
          <t>-</t>
        </is>
      </c>
      <c r="AZ47" s="513" t="inlineStr">
        <is>
          <t>-</t>
        </is>
      </c>
      <c r="BA47" s="513" t="inlineStr">
        <is>
          <t>-</t>
        </is>
      </c>
      <c r="BB47" s="513" t="inlineStr">
        <is>
          <t>-</t>
        </is>
      </c>
      <c r="BC47" s="203">
        <f>SUMIFS(領用表!$L:$L,領用表!$A:$A,BC$2,領用表!$E:$E,B47)</f>
        <v/>
      </c>
      <c r="BD47" s="206">
        <f>SUMIFS(領用表!$L:$L,領用表!$E:$E,$B47,領用表!$B:$B,BC$2&amp;BD$2)</f>
        <v/>
      </c>
      <c r="BE47" s="206">
        <f>SUMIFS(領用表!$L:$L,領用表!$E:$E,$B47,領用表!$B:$B,$BC$2&amp;BE$2)</f>
        <v/>
      </c>
      <c r="BF47" s="206">
        <f>SUMIFS(領用表!$L:$L,領用表!$E:$E,$B47,領用表!$B:$B,$BC$2&amp;BF$2)</f>
        <v/>
      </c>
      <c r="BG47" s="206">
        <f>SUMIFS(領用表!$L:$L,領用表!$E:$E,$B47,領用表!$B:$B,$BC$2&amp;BG$2)</f>
        <v/>
      </c>
      <c r="BH47" s="203">
        <f>SUMIFS(領用表!$L:$L,領用表!$A:$A,BH$2,領用表!$E:$E,B47)</f>
        <v/>
      </c>
      <c r="BI47" s="206">
        <f>SUMIFS(領用表!$L:$L,領用表!$E:$E,$B47,領用表!$B:$B,BH$2&amp;BI$2)</f>
        <v/>
      </c>
      <c r="BJ47" s="206">
        <f>SUMIFS(領用表!$L:$L,領用表!$E:$E,$B47,領用表!$B:$B,$BH$2&amp;BJ$2)</f>
        <v/>
      </c>
      <c r="BK47" s="206">
        <f>SUMIFS(領用表!$L:$L,領用表!$E:$E,$B47,領用表!$B:$B,$BH$2&amp;BK$2)</f>
        <v/>
      </c>
      <c r="BL47" s="206">
        <f>SUMIFS(領用表!$L:$L,領用表!$E:$E,$B47,領用表!$B:$B,$BH$2&amp;BL$2)</f>
        <v/>
      </c>
      <c r="BM47" s="203">
        <f>SUMIFS(領用表!$L:$L,領用表!$A:$A,BM$2,領用表!$E:$E,B47)</f>
        <v/>
      </c>
      <c r="BN47" s="206">
        <f>SUMIFS(領用表!$L:$L,領用表!$E:$E,$B47,領用表!$B:$B,BM$2&amp;BN$2)</f>
        <v/>
      </c>
      <c r="BO47" s="206">
        <f>SUMIFS(領用表!$L:$L,領用表!$E:$E,$B47,領用表!$B:$B,$BM$2&amp;BO$2)</f>
        <v/>
      </c>
      <c r="BP47" s="206">
        <f>SUMIFS(領用表!$L:$L,領用表!$E:$E,$B47,領用表!$B:$B,$BM$2&amp;BP$2)</f>
        <v/>
      </c>
      <c r="BQ47" s="206">
        <f>SUMIFS(領用表!$L:$L,領用表!$E:$E,$B47,領用表!$B:$B,$BM$2&amp;BQ$2)</f>
        <v/>
      </c>
      <c r="BR47" s="203">
        <f>SUMIFS(領用表!$L:$L,領用表!$A:$A,BR$2,領用表!$E:$E,B47)</f>
        <v/>
      </c>
      <c r="BS47" s="206">
        <f>SUMIFS(領用表!$L:$L,領用表!$E:$E,$B47,領用表!$B:$B,BR$2&amp;BS$2)</f>
        <v/>
      </c>
      <c r="BT47" s="206">
        <f>SUMIFS(領用表!$L:$L,領用表!$E:$E,$B47,領用表!$B:$B,$BR$2&amp;BT$2)</f>
        <v/>
      </c>
      <c r="BU47" s="206">
        <f>SUMIFS(領用表!$L:$L,領用表!$E:$E,$B47,領用表!$B:$B,$BR$2&amp;BU$2)</f>
        <v/>
      </c>
      <c r="BV47" s="206">
        <f>SUMIFS(領用表!$L:$L,領用表!$E:$E,$B47,領用表!$B:$B,$BR$2&amp;BV$2)</f>
        <v/>
      </c>
      <c r="BW47" s="208">
        <f>SUMIFS(領用表!$L:$L,領用表!$A:$A,BW$2,領用表!$E:$E,B47)</f>
        <v/>
      </c>
      <c r="BX47" s="206">
        <f>SUMIFS(領用表!$L:$L,領用表!$E:$E,$B47,領用表!$B:$B,BW$2&amp;BX$2)</f>
        <v/>
      </c>
      <c r="BY47" s="206">
        <f>SUMIFS(領用表!$L:$L,領用表!$E:$E,$B47,領用表!$B:$B,$BW$2&amp;BY$2)</f>
        <v/>
      </c>
      <c r="BZ47" s="206">
        <f>SUMIFS(領用表!$L:$L,領用表!$E:$E,$B47,領用表!$B:$B,$BW$2&amp;BZ$2)</f>
        <v/>
      </c>
      <c r="CA47" s="206">
        <f>SUMIFS(領用表!$L:$L,領用表!$E:$E,$B47,領用表!$B:$B,$BW$2&amp;CA$2)</f>
        <v/>
      </c>
      <c r="CB47" s="208">
        <f>SUMIFS(領用表!$L:$L,領用表!$A:$A,CB$2,領用表!$E:$E,B47)</f>
        <v/>
      </c>
      <c r="CC47" s="206">
        <f>SUMIFS(領用表!$L:$L,領用表!$E:$E,$B47,領用表!$B:$B,CB$2&amp;CC$2)</f>
        <v/>
      </c>
      <c r="CD47" s="206">
        <f>SUMIFS(領用表!$L:$L,領用表!$E:$E,$B47,領用表!$B:$B,$CB$2&amp;CD$2)</f>
        <v/>
      </c>
      <c r="CE47" s="206">
        <f>SUMIFS(領用表!$L:$L,領用表!$E:$E,$B47,領用表!$B:$B,$CB$2&amp;CE$2)</f>
        <v/>
      </c>
      <c r="CF47" s="206">
        <f>SUMIFS(領用表!$L:$L,領用表!$E:$E,$B47,領用表!$B:$B,$CB$2&amp;CF$2)</f>
        <v/>
      </c>
      <c r="CG47" s="208">
        <f>SUMIFS(領用表!$L:$L,領用表!$A:$A,CG$2,領用表!$E:$E,B47)</f>
        <v/>
      </c>
      <c r="CH47" s="206">
        <f>SUMIFS(領用表!$L:$L,領用表!$E:$E,$B47,領用表!$B:$B,CG$2&amp;CH$2)</f>
        <v/>
      </c>
      <c r="CI47" s="206">
        <f>SUMIFS(領用表!$L:$L,領用表!$E:$E,$B47,領用表!$B:$B,CG$2&amp;CI$2)</f>
        <v/>
      </c>
      <c r="CJ47" s="206">
        <f>SUMIFS(領用表!$L:$L,領用表!$E:$E,$B47,領用表!$B:$B,CG$2&amp;CJ$2)</f>
        <v/>
      </c>
      <c r="CK47" s="206">
        <f>SUMIFS(領用表!$L:$L,領用表!$E:$E,$B47,領用表!$B:$B,$CG$2&amp;CK$2)</f>
        <v/>
      </c>
      <c r="CL47" s="207">
        <f>SUM(AX47,AY47,AZ47,BA47,BB47,BC47,BH47,BM47,BR47,BW47,CB47,CG47)</f>
        <v/>
      </c>
      <c r="CM47" s="207">
        <f>AVERAGE(AX47,AY47,AZ47,BA47,BB47,BC47,BH47,BM47,BR47,BW47,CB47,CG47)</f>
        <v/>
      </c>
      <c r="CN47" s="208">
        <f>SUMIFS(領用表!$L:$L,領用表!$A:$A,CN$2,領用表!$E:$E,B47)</f>
        <v/>
      </c>
      <c r="CO47" s="206">
        <f>SUMIFS(領用表!$L:$L,領用表!$E:$E,$B47,領用表!$B:$B,CN$2&amp;CO$2)</f>
        <v/>
      </c>
      <c r="CP47" s="206">
        <f>SUMIFS(領用表!$L:$L,領用表!$E:$E,$B47,領用表!$B:$B,$CN$2&amp;CP$2)</f>
        <v/>
      </c>
      <c r="CQ47" s="206">
        <f>SUMIFS(領用表!$L:$L,領用表!$E:$E,$B47,領用表!$B:$B,$CN$2&amp;CQ$2)</f>
        <v/>
      </c>
      <c r="CR47" s="206">
        <f>SUMIFS(領用表!$L:$L,領用表!$E:$E,$B47,領用表!$B:$B,$CN$2&amp;CR$2)</f>
        <v/>
      </c>
      <c r="CS47" s="208">
        <f>SUMIFS(領用表!$L:$L,領用表!$A:$A,CS$2,領用表!$E:$E,B47)</f>
        <v/>
      </c>
      <c r="CT47" s="206">
        <f>SUMIFS(領用表!$L:$L,領用表!$E:$E,$B47,領用表!$B:$B,CS$2&amp;CT$2)</f>
        <v/>
      </c>
      <c r="CU47" s="206">
        <f>SUMIFS(領用表!$L:$L,領用表!$E:$E,$B47,領用表!$B:$B,$CS$2&amp;CU$2)</f>
        <v/>
      </c>
      <c r="CV47" s="206">
        <f>SUMIFS(領用表!$L:$L,領用表!$E:$E,$B47,領用表!$B:$B,$CS$2&amp;CV$2)</f>
        <v/>
      </c>
      <c r="CW47" s="206">
        <f>SUMIFS(領用表!$L:$L,領用表!$E:$E,$B47,領用表!$B:$B,$CS$2&amp;CW$2)</f>
        <v/>
      </c>
      <c r="CX47" s="206">
        <f>SUMIFS(領用表!$L:$L,領用表!$E:$E,$B47,領用表!$B:$B,$CS$2&amp;CX$2)</f>
        <v/>
      </c>
      <c r="CY47" s="208">
        <f>SUMIFS(領用表!$L:$L,領用表!$A:$A,CY$2,領用表!$E:$E,B47)</f>
        <v/>
      </c>
      <c r="CZ47" s="206">
        <f>SUMIFS(領用表!$L:$L,領用表!$E:$E,$B47,領用表!$B:$B,CY$2&amp;CZ$2)</f>
        <v/>
      </c>
      <c r="DA47" s="206">
        <f>SUMIFS(領用表!$L:$L,領用表!$E:$E,$B47,領用表!$B:$B,$CY$2&amp;DA$2)</f>
        <v/>
      </c>
      <c r="DB47" s="206">
        <f>SUMIFS(領用表!$L:$L,領用表!$E:$E,$B47,領用表!$B:$B,$CY$2&amp;DB$2)</f>
        <v/>
      </c>
      <c r="DC47" s="206">
        <f>SUMIFS(領用表!$L:$L,領用表!$E:$E,$B47,領用表!$B:$B,$CY$2&amp;DC$2)</f>
        <v/>
      </c>
      <c r="DD47" s="206">
        <f>SUMIFS(領用表!$L:$L,領用表!$E:$E,$B47,領用表!$B:$B,$CY$2&amp;DD$2)</f>
        <v/>
      </c>
      <c r="DE47" s="208">
        <f>SUMIFS(領用表!$L:$L,領用表!$A:$A,DE$2,領用表!$E:$E,B47)</f>
        <v/>
      </c>
      <c r="DF47" s="206">
        <f>SUMIFS(領用表!$L:$L,領用表!$E:$E,$B47,領用表!$B:$B,DE$2&amp;DF$2)</f>
        <v/>
      </c>
      <c r="DG47" s="206">
        <f>SUMIFS(領用表!$L:$L,領用表!$E:$E,$B47,領用表!$B:$B,$DE$2&amp;DG$2)</f>
        <v/>
      </c>
      <c r="DH47" s="206">
        <f>SUMIFS(領用表!$L:$L,領用表!$E:$E,$B47,領用表!$B:$B,$DE$2&amp;DH$2)</f>
        <v/>
      </c>
      <c r="DI47" s="206">
        <f>SUMIFS(領用表!$L:$L,領用表!$E:$E,$B47,領用表!$B:$B,$DE$2&amp;DI$2)</f>
        <v/>
      </c>
      <c r="DJ47" s="206">
        <f>SUMIFS(領用表!$L:$L,領用表!$E:$E,$B47,領用表!$B:$B,$DE$2&amp;DJ$2)</f>
        <v/>
      </c>
      <c r="DK47" s="208">
        <f>SUMIFS(領用表!$L:$L,領用表!$A:$A,DK$2,領用表!$E:$E,$B47)</f>
        <v/>
      </c>
      <c r="DL47" s="206">
        <f>SUMIFS(領用表!$L:$L,領用表!$E:$E,$B47,領用表!$B:$B,DK$2&amp;DL$2)</f>
        <v/>
      </c>
      <c r="DM47" s="206">
        <f>SUMIFS(領用表!$L:$L,領用表!$E:$E,$B47,領用表!$B:$B,$DK$2&amp;DM$2)</f>
        <v/>
      </c>
      <c r="DN47" s="206">
        <f>SUMIFS(領用表!$L:$L,領用表!$E:$E,$B47,領用表!$B:$B,$DK$2&amp;DN$2)</f>
        <v/>
      </c>
      <c r="DO47" s="206">
        <f>SUMIFS(領用表!$L:$L,領用表!$E:$E,$B47,領用表!$B:$B,$DK$2&amp;DO$2)</f>
        <v/>
      </c>
      <c r="DP47" s="206">
        <f>SUMIFS(領用表!$L:$L,領用表!$E:$E,$B47,領用表!$B:$B,$DK$2&amp;DP$2)</f>
        <v/>
      </c>
      <c r="DQ47" s="208" t="n">
        <v>15501</v>
      </c>
      <c r="DR47" s="206" t="n">
        <v>2100</v>
      </c>
      <c r="DS47" s="206" t="n"/>
      <c r="DT47" s="206" t="n">
        <v>6900</v>
      </c>
      <c r="DU47" s="206" t="n"/>
      <c r="DV47" s="206" t="n">
        <v>6501</v>
      </c>
      <c r="DW47" s="206">
        <f>SUM(CN47,CS47,CY47,DE47,DK47,DQ47)</f>
        <v/>
      </c>
      <c r="DX47" s="206">
        <f>AVERAGEA(CN47,CS47,CY47,DE47,DK47,DQ47)</f>
        <v/>
      </c>
      <c r="DY47" s="206">
        <f>SUM(DZ47:EC47)</f>
        <v/>
      </c>
      <c r="DZ47" s="206" t="n">
        <v>16000</v>
      </c>
      <c r="EA47" s="206" t="n">
        <v>0</v>
      </c>
      <c r="EB47" s="206" t="n">
        <v>20000</v>
      </c>
      <c r="EC47" s="206" t="n">
        <v>0</v>
      </c>
      <c r="ED47" s="257" t="n"/>
      <c r="EE47" s="210" t="n"/>
      <c r="EF47" s="211" t="n"/>
      <c r="EG47" s="211" t="inlineStr">
        <is>
          <t>40顆(10/21)</t>
        </is>
      </c>
      <c r="EH47" s="525" t="n"/>
      <c r="EI47" s="212" t="n"/>
      <c r="EJ47" s="118">
        <f>IFERROR(VLOOKUP(A47,站前4樓!A:BF,57,0),0)</f>
        <v/>
      </c>
      <c r="EK47" s="213">
        <f>IFERROR(VLOOKUP(A47,站前11樓!A:BE,57,0),0)</f>
        <v/>
      </c>
      <c r="EL47" s="118">
        <f>IFERROR(VLOOKUP(A47,忠孝7樓!A:N,57,0),0)</f>
        <v/>
      </c>
      <c r="EM47" s="118">
        <f>IFERROR(VLOOKUP(A47,忠孝國際醫學3樓!A:L,57,0),0)</f>
        <v/>
      </c>
      <c r="EN47" s="118">
        <f>SUM(ED47:EG47)</f>
        <v/>
      </c>
      <c r="EP47" s="118" t="n">
        <v>18600</v>
      </c>
      <c r="EQ47" s="118" t="n">
        <v>19540</v>
      </c>
    </row>
    <row r="48" ht="15.75" customFormat="1" customHeight="1" s="118">
      <c r="A48" s="136" t="inlineStr">
        <is>
          <t>MM2MB030002A</t>
        </is>
      </c>
      <c r="B48" s="118" t="n">
        <v>6170028</v>
      </c>
      <c r="C48" s="133" t="inlineStr">
        <is>
          <t>海芙電波 I探頭 0.25cm(1發)</t>
        </is>
      </c>
      <c r="D48" s="207" t="n">
        <v>6050</v>
      </c>
      <c r="E48" s="198" t="inlineStr">
        <is>
          <t>SHOT</t>
        </is>
      </c>
      <c r="F48" s="199">
        <f>SUMIF(站前4樓!B:B,B48,站前4樓!F:F)</f>
        <v/>
      </c>
      <c r="G48" s="199">
        <f>SUMIF(站前11樓!B:B,B48,站前11樓!F:F)</f>
        <v/>
      </c>
      <c r="H48" s="199">
        <f>SUMIF(忠孝7樓!B:B,B48,忠孝7樓!G:G)</f>
        <v/>
      </c>
      <c r="I48" s="199">
        <f>SUMIF(忠孝國際醫學3樓!B:B,B48,忠孝國際醫學3樓!G:G)</f>
        <v/>
      </c>
      <c r="J48" s="199">
        <f>SUMIF(忠孝健康7樓!B:B,B48,忠孝健康7樓!G:G)</f>
        <v/>
      </c>
      <c r="K48" s="200" t="n"/>
      <c r="L48" s="200" t="n"/>
      <c r="M48" s="200" t="n"/>
      <c r="N48" s="200" t="n"/>
      <c r="O48" s="200" t="n"/>
      <c r="P48" s="200" t="n"/>
      <c r="Q48" s="200" t="n"/>
      <c r="R48" s="200" t="n"/>
      <c r="S48" s="200" t="n"/>
      <c r="T48" s="200" t="n"/>
      <c r="U48" s="200" t="n"/>
      <c r="V48" s="200" t="n"/>
      <c r="W48" s="200" t="n"/>
      <c r="X48" s="200" t="n"/>
      <c r="Y48" s="200" t="n"/>
      <c r="Z48" s="200" t="n"/>
      <c r="AA48" s="200" t="n"/>
      <c r="AB48" s="200" t="n"/>
      <c r="AC48" s="200" t="n"/>
      <c r="AD48" s="200" t="n"/>
      <c r="AE48" s="200" t="n"/>
      <c r="AF48" s="200" t="n"/>
      <c r="AG48" s="200" t="n"/>
      <c r="AH48" s="200" t="n"/>
      <c r="AI48" s="200" t="n"/>
      <c r="AJ48" s="221" t="n"/>
      <c r="AK48" s="221" t="n"/>
      <c r="AL48" s="221" t="n"/>
      <c r="AM48" s="221" t="n"/>
      <c r="AN48" s="221" t="n"/>
      <c r="AO48" s="221" t="n"/>
      <c r="AP48" s="221" t="n"/>
      <c r="AQ48" s="221" t="n"/>
      <c r="AR48" s="221" t="n"/>
      <c r="AS48" s="201" t="n"/>
      <c r="AT48" s="512" t="n"/>
      <c r="AU48" s="203" t="inlineStr">
        <is>
          <t>-</t>
        </is>
      </c>
      <c r="AV48" s="204" t="inlineStr">
        <is>
          <t>-</t>
        </is>
      </c>
      <c r="AW48" s="513" t="inlineStr">
        <is>
          <t>-</t>
        </is>
      </c>
      <c r="AX48" s="513" t="inlineStr">
        <is>
          <t>-</t>
        </is>
      </c>
      <c r="AY48" s="513" t="inlineStr">
        <is>
          <t>-</t>
        </is>
      </c>
      <c r="AZ48" s="513" t="inlineStr">
        <is>
          <t>-</t>
        </is>
      </c>
      <c r="BA48" s="203" t="n">
        <v>8701</v>
      </c>
      <c r="BB48" s="203" t="n">
        <v>10901</v>
      </c>
      <c r="BC48" s="203">
        <f>SUMIFS(領用表!$L:$L,領用表!$A:$A,BC$2,領用表!$E:$E,B48)</f>
        <v/>
      </c>
      <c r="BD48" s="206">
        <f>SUMIFS(領用表!$L:$L,領用表!$E:$E,$B48,領用表!$B:$B,BC$2&amp;BD$2)</f>
        <v/>
      </c>
      <c r="BE48" s="206">
        <f>SUMIFS(領用表!$L:$L,領用表!$E:$E,$B48,領用表!$B:$B,$BC$2&amp;BE$2)</f>
        <v/>
      </c>
      <c r="BF48" s="206">
        <f>SUMIFS(領用表!$L:$L,領用表!$E:$E,$B48,領用表!$B:$B,$BC$2&amp;BF$2)</f>
        <v/>
      </c>
      <c r="BG48" s="206">
        <f>SUMIFS(領用表!$L:$L,領用表!$E:$E,$B48,領用表!$B:$B,$BC$2&amp;BG$2)</f>
        <v/>
      </c>
      <c r="BH48" s="203">
        <f>SUMIFS(領用表!$L:$L,領用表!$A:$A,BH$2,領用表!$E:$E,B48)</f>
        <v/>
      </c>
      <c r="BI48" s="206">
        <f>SUMIFS(領用表!$L:$L,領用表!$E:$E,$B48,領用表!$B:$B,BH$2&amp;BI$2)</f>
        <v/>
      </c>
      <c r="BJ48" s="206">
        <f>SUMIFS(領用表!$L:$L,領用表!$E:$E,$B48,領用表!$B:$B,$BH$2&amp;BJ$2)</f>
        <v/>
      </c>
      <c r="BK48" s="206">
        <f>SUMIFS(領用表!$L:$L,領用表!$E:$E,$B48,領用表!$B:$B,$BH$2&amp;BK$2)</f>
        <v/>
      </c>
      <c r="BL48" s="206">
        <f>SUMIFS(領用表!$L:$L,領用表!$E:$E,$B48,領用表!$B:$B,$BH$2&amp;BL$2)</f>
        <v/>
      </c>
      <c r="BM48" s="203">
        <f>SUMIFS(領用表!$L:$L,領用表!$A:$A,BM$2,領用表!$E:$E,B48)</f>
        <v/>
      </c>
      <c r="BN48" s="206">
        <f>SUMIFS(領用表!$L:$L,領用表!$E:$E,$B48,領用表!$B:$B,BM$2&amp;BN$2)</f>
        <v/>
      </c>
      <c r="BO48" s="206">
        <f>SUMIFS(領用表!$L:$L,領用表!$E:$E,$B48,領用表!$B:$B,$BM$2&amp;BO$2)</f>
        <v/>
      </c>
      <c r="BP48" s="206">
        <f>SUMIFS(領用表!$L:$L,領用表!$E:$E,$B48,領用表!$B:$B,$BM$2&amp;BP$2)</f>
        <v/>
      </c>
      <c r="BQ48" s="206">
        <f>SUMIFS(領用表!$L:$L,領用表!$E:$E,$B48,領用表!$B:$B,$BM$2&amp;BQ$2)</f>
        <v/>
      </c>
      <c r="BR48" s="203">
        <f>SUMIFS(領用表!$L:$L,領用表!$A:$A,BR$2,領用表!$E:$E,B48)</f>
        <v/>
      </c>
      <c r="BS48" s="206">
        <f>SUMIFS(領用表!$L:$L,領用表!$E:$E,$B48,領用表!$B:$B,BR$2&amp;BS$2)</f>
        <v/>
      </c>
      <c r="BT48" s="206">
        <f>SUMIFS(領用表!$L:$L,領用表!$E:$E,$B48,領用表!$B:$B,$BR$2&amp;BT$2)</f>
        <v/>
      </c>
      <c r="BU48" s="206">
        <f>SUMIFS(領用表!$L:$L,領用表!$E:$E,$B48,領用表!$B:$B,$BR$2&amp;BU$2)</f>
        <v/>
      </c>
      <c r="BV48" s="206">
        <f>SUMIFS(領用表!$L:$L,領用表!$E:$E,$B48,領用表!$B:$B,$BR$2&amp;BV$2)</f>
        <v/>
      </c>
      <c r="BW48" s="208">
        <f>SUMIFS(領用表!$L:$L,領用表!$A:$A,BW$2,領用表!$E:$E,B48)</f>
        <v/>
      </c>
      <c r="BX48" s="206">
        <f>SUMIFS(領用表!$L:$L,領用表!$E:$E,$B48,領用表!$B:$B,BW$2&amp;BX$2)</f>
        <v/>
      </c>
      <c r="BY48" s="206">
        <f>SUMIFS(領用表!$L:$L,領用表!$E:$E,$B48,領用表!$B:$B,$BW$2&amp;BY$2)</f>
        <v/>
      </c>
      <c r="BZ48" s="206">
        <f>SUMIFS(領用表!$L:$L,領用表!$E:$E,$B48,領用表!$B:$B,$BW$2&amp;BZ$2)</f>
        <v/>
      </c>
      <c r="CA48" s="206">
        <f>SUMIFS(領用表!$L:$L,領用表!$E:$E,$B48,領用表!$B:$B,$BW$2&amp;CA$2)</f>
        <v/>
      </c>
      <c r="CB48" s="208">
        <f>SUMIFS(領用表!$L:$L,領用表!$A:$A,CB$2,領用表!$E:$E,B48)</f>
        <v/>
      </c>
      <c r="CC48" s="206">
        <f>SUMIFS(領用表!$L:$L,領用表!$E:$E,$B48,領用表!$B:$B,CB$2&amp;CC$2)</f>
        <v/>
      </c>
      <c r="CD48" s="206">
        <f>SUMIFS(領用表!$L:$L,領用表!$E:$E,$B48,領用表!$B:$B,$CB$2&amp;CD$2)</f>
        <v/>
      </c>
      <c r="CE48" s="206">
        <f>SUMIFS(領用表!$L:$L,領用表!$E:$E,$B48,領用表!$B:$B,$CB$2&amp;CE$2)</f>
        <v/>
      </c>
      <c r="CF48" s="206">
        <f>SUMIFS(領用表!$L:$L,領用表!$E:$E,$B48,領用表!$B:$B,$CB$2&amp;CF$2)</f>
        <v/>
      </c>
      <c r="CG48" s="208">
        <f>SUMIFS(領用表!$L:$L,領用表!$A:$A,CG$2,領用表!$E:$E,B48)</f>
        <v/>
      </c>
      <c r="CH48" s="206">
        <f>SUMIFS(領用表!$L:$L,領用表!$E:$E,$B48,領用表!$B:$B,CG$2&amp;CH$2)</f>
        <v/>
      </c>
      <c r="CI48" s="206">
        <f>SUMIFS(領用表!$L:$L,領用表!$E:$E,$B48,領用表!$B:$B,CG$2&amp;CI$2)</f>
        <v/>
      </c>
      <c r="CJ48" s="206">
        <f>SUMIFS(領用表!$L:$L,領用表!$E:$E,$B48,領用表!$B:$B,CG$2&amp;CJ$2)</f>
        <v/>
      </c>
      <c r="CK48" s="206">
        <f>SUMIFS(領用表!$L:$L,領用表!$E:$E,$B48,領用表!$B:$B,$CG$2&amp;CK$2)</f>
        <v/>
      </c>
      <c r="CL48" s="207">
        <f>SUM(AX48,AY48,AZ48,BA48,BB48,BC48,BH48,BM48,BR48,BW48,CB48,CG48)</f>
        <v/>
      </c>
      <c r="CM48" s="207">
        <f>AVERAGE(AX48,AY48,AZ48,BA48,BB48,BC48,BH48,BM48,BR48,BW48,CB48,CG48)</f>
        <v/>
      </c>
      <c r="CN48" s="208">
        <f>SUMIFS(領用表!$L:$L,領用表!$A:$A,CN$2,領用表!$E:$E,B48)</f>
        <v/>
      </c>
      <c r="CO48" s="206">
        <f>SUMIFS(領用表!$L:$L,領用表!$E:$E,$B48,領用表!$B:$B,CN$2&amp;CO$2)</f>
        <v/>
      </c>
      <c r="CP48" s="206">
        <f>SUMIFS(領用表!$L:$L,領用表!$E:$E,$B48,領用表!$B:$B,$CN$2&amp;CP$2)</f>
        <v/>
      </c>
      <c r="CQ48" s="206">
        <f>SUMIFS(領用表!$L:$L,領用表!$E:$E,$B48,領用表!$B:$B,$CN$2&amp;CQ$2)</f>
        <v/>
      </c>
      <c r="CR48" s="206">
        <f>SUMIFS(領用表!$L:$L,領用表!$E:$E,$B48,領用表!$B:$B,$CN$2&amp;CR$2)</f>
        <v/>
      </c>
      <c r="CS48" s="208">
        <f>SUMIFS(領用表!$L:$L,領用表!$A:$A,CS$2,領用表!$E:$E,B48)</f>
        <v/>
      </c>
      <c r="CT48" s="206">
        <f>SUMIFS(領用表!$L:$L,領用表!$E:$E,$B48,領用表!$B:$B,CS$2&amp;CT$2)</f>
        <v/>
      </c>
      <c r="CU48" s="206">
        <f>SUMIFS(領用表!$L:$L,領用表!$E:$E,$B48,領用表!$B:$B,$CS$2&amp;CU$2)</f>
        <v/>
      </c>
      <c r="CV48" s="206">
        <f>SUMIFS(領用表!$L:$L,領用表!$E:$E,$B48,領用表!$B:$B,$CS$2&amp;CV$2)</f>
        <v/>
      </c>
      <c r="CW48" s="206">
        <f>SUMIFS(領用表!$L:$L,領用表!$E:$E,$B48,領用表!$B:$B,$CS$2&amp;CW$2)</f>
        <v/>
      </c>
      <c r="CX48" s="206">
        <f>SUMIFS(領用表!$L:$L,領用表!$E:$E,$B48,領用表!$B:$B,$CS$2&amp;CX$2)</f>
        <v/>
      </c>
      <c r="CY48" s="208">
        <f>SUMIFS(領用表!$L:$L,領用表!$A:$A,CY$2,領用表!$E:$E,B48)</f>
        <v/>
      </c>
      <c r="CZ48" s="206">
        <f>SUMIFS(領用表!$L:$L,領用表!$E:$E,$B48,領用表!$B:$B,CY$2&amp;CZ$2)</f>
        <v/>
      </c>
      <c r="DA48" s="206">
        <f>SUMIFS(領用表!$L:$L,領用表!$E:$E,$B48,領用表!$B:$B,$CY$2&amp;DA$2)</f>
        <v/>
      </c>
      <c r="DB48" s="206">
        <f>SUMIFS(領用表!$L:$L,領用表!$E:$E,$B48,領用表!$B:$B,$CY$2&amp;DB$2)</f>
        <v/>
      </c>
      <c r="DC48" s="206">
        <f>SUMIFS(領用表!$L:$L,領用表!$E:$E,$B48,領用表!$B:$B,$CY$2&amp;DC$2)</f>
        <v/>
      </c>
      <c r="DD48" s="206">
        <f>SUMIFS(領用表!$L:$L,領用表!$E:$E,$B48,領用表!$B:$B,$CY$2&amp;DD$2)</f>
        <v/>
      </c>
      <c r="DE48" s="208">
        <f>SUMIFS(領用表!$L:$L,領用表!$A:$A,DE$2,領用表!$E:$E,B48)</f>
        <v/>
      </c>
      <c r="DF48" s="206">
        <f>SUMIFS(領用表!$L:$L,領用表!$E:$E,$B48,領用表!$B:$B,DE$2&amp;DF$2)</f>
        <v/>
      </c>
      <c r="DG48" s="206">
        <f>SUMIFS(領用表!$L:$L,領用表!$E:$E,$B48,領用表!$B:$B,$DE$2&amp;DG$2)</f>
        <v/>
      </c>
      <c r="DH48" s="206">
        <f>SUMIFS(領用表!$L:$L,領用表!$E:$E,$B48,領用表!$B:$B,$DE$2&amp;DH$2)</f>
        <v/>
      </c>
      <c r="DI48" s="206">
        <f>SUMIFS(領用表!$L:$L,領用表!$E:$E,$B48,領用表!$B:$B,$DE$2&amp;DI$2)</f>
        <v/>
      </c>
      <c r="DJ48" s="206">
        <f>SUMIFS(領用表!$L:$L,領用表!$E:$E,$B48,領用表!$B:$B,$DE$2&amp;DJ$2)</f>
        <v/>
      </c>
      <c r="DK48" s="208">
        <f>SUMIFS(領用表!$L:$L,領用表!$A:$A,DK$2,領用表!$E:$E,$B48)</f>
        <v/>
      </c>
      <c r="DL48" s="206">
        <f>SUMIFS(領用表!$L:$L,領用表!$E:$E,$B48,領用表!$B:$B,DK$2&amp;DL$2)</f>
        <v/>
      </c>
      <c r="DM48" s="206">
        <f>SUMIFS(領用表!$L:$L,領用表!$E:$E,$B48,領用表!$B:$B,$DK$2&amp;DM$2)</f>
        <v/>
      </c>
      <c r="DN48" s="206">
        <f>SUMIFS(領用表!$L:$L,領用表!$E:$E,$B48,領用表!$B:$B,$DK$2&amp;DN$2)</f>
        <v/>
      </c>
      <c r="DO48" s="206">
        <f>SUMIFS(領用表!$L:$L,領用表!$E:$E,$B48,領用表!$B:$B,$DK$2&amp;DO$2)</f>
        <v/>
      </c>
      <c r="DP48" s="206">
        <f>SUMIFS(領用表!$L:$L,領用表!$E:$E,$B48,領用表!$B:$B,$DK$2&amp;DP$2)</f>
        <v/>
      </c>
      <c r="DQ48" s="208" t="n"/>
      <c r="DR48" s="206" t="n"/>
      <c r="DS48" s="206" t="n"/>
      <c r="DT48" s="206" t="n"/>
      <c r="DU48" s="206" t="n"/>
      <c r="DV48" s="206" t="n"/>
      <c r="DW48" s="206">
        <f>SUM(CN48,CS48,CY48,DE48,DK48,DQ48)</f>
        <v/>
      </c>
      <c r="DX48" s="206">
        <f>AVERAGEA(CN48,CS48,CY48,DE48,DK48,DQ48)</f>
        <v/>
      </c>
      <c r="DY48" s="206">
        <f>SUM(DZ48:EC48)</f>
        <v/>
      </c>
      <c r="DZ48" s="206" t="n">
        <v>8000</v>
      </c>
      <c r="EA48" s="206" t="n">
        <v>0</v>
      </c>
      <c r="EB48" s="206" t="n">
        <v>10000</v>
      </c>
      <c r="EC48" s="206" t="n">
        <v>0</v>
      </c>
      <c r="ED48" s="257" t="n">
        <v>18000</v>
      </c>
      <c r="EE48" s="210" t="n">
        <v>0</v>
      </c>
      <c r="EF48" s="211" t="inlineStr">
        <is>
          <t>3顆(10/23)</t>
        </is>
      </c>
      <c r="EG48" s="211" t="inlineStr">
        <is>
          <t>2顆(10/23)</t>
        </is>
      </c>
      <c r="EH48" s="526" t="inlineStr">
        <is>
          <t>2025/4/1站前交機1台</t>
        </is>
      </c>
      <c r="EI48" s="212" t="n"/>
      <c r="EJ48" s="118">
        <f>IFERROR(VLOOKUP(A48,站前4樓!A:BF,57,0),0)</f>
        <v/>
      </c>
      <c r="EK48" s="213">
        <f>IFERROR(VLOOKUP(A48,站前11樓!A:BE,57,0),0)</f>
        <v/>
      </c>
      <c r="EL48" s="118">
        <f>IFERROR(VLOOKUP(A48,忠孝7樓!A:N,57,0),0)</f>
        <v/>
      </c>
      <c r="EM48" s="118">
        <f>IFERROR(VLOOKUP(A48,忠孝國際醫學3樓!A:L,57,0),0)</f>
        <v/>
      </c>
      <c r="EN48" s="118">
        <f>SUM(ED48:EG48)</f>
        <v/>
      </c>
      <c r="EP48" s="118" t="n">
        <v>28625</v>
      </c>
      <c r="EQ48" s="118" t="n">
        <v>14929</v>
      </c>
    </row>
    <row r="49" ht="16.15" customFormat="1" customHeight="1" s="118">
      <c r="A49" s="136" t="inlineStr">
        <is>
          <t>MM2MB030003A</t>
        </is>
      </c>
      <c r="B49" s="118" t="n">
        <v>6170029</v>
      </c>
      <c r="C49" s="133" t="inlineStr">
        <is>
          <t>海芙電波 F探頭 3.0cm(1發)</t>
        </is>
      </c>
      <c r="D49" s="207" t="n">
        <v>4000</v>
      </c>
      <c r="E49" s="198" t="inlineStr">
        <is>
          <t>SHOT</t>
        </is>
      </c>
      <c r="F49" s="199">
        <f>SUMIF(站前4樓!B:B,B49,站前4樓!F:F)</f>
        <v/>
      </c>
      <c r="G49" s="199">
        <f>SUMIF(站前11樓!B:B,B49,站前11樓!F:F)</f>
        <v/>
      </c>
      <c r="H49" s="199">
        <f>SUMIF(忠孝7樓!B:B,B49,忠孝7樓!G:G)</f>
        <v/>
      </c>
      <c r="I49" s="199">
        <f>SUMIF(忠孝國際醫學3樓!B:B,B49,忠孝國際醫學3樓!G:G)</f>
        <v/>
      </c>
      <c r="J49" s="199">
        <f>SUMIF(忠孝健康7樓!B:B,B49,忠孝健康7樓!G:G)</f>
        <v/>
      </c>
      <c r="K49" s="200" t="n"/>
      <c r="L49" s="200" t="n"/>
      <c r="M49" s="200" t="n"/>
      <c r="N49" s="200" t="n"/>
      <c r="O49" s="200" t="n"/>
      <c r="P49" s="200" t="n"/>
      <c r="Q49" s="200" t="n"/>
      <c r="R49" s="200" t="n"/>
      <c r="S49" s="200" t="n"/>
      <c r="T49" s="200" t="n"/>
      <c r="U49" s="200" t="n"/>
      <c r="V49" s="200" t="n"/>
      <c r="W49" s="200" t="n"/>
      <c r="X49" s="200" t="n"/>
      <c r="Y49" s="200" t="n"/>
      <c r="Z49" s="200" t="n"/>
      <c r="AA49" s="200" t="n"/>
      <c r="AB49" s="200" t="n"/>
      <c r="AC49" s="200" t="n"/>
      <c r="AD49" s="200" t="n"/>
      <c r="AE49" s="200" t="n"/>
      <c r="AF49" s="200" t="n"/>
      <c r="AG49" s="200" t="n"/>
      <c r="AH49" s="200" t="n"/>
      <c r="AI49" s="200" t="n"/>
      <c r="AJ49" s="221" t="n"/>
      <c r="AK49" s="221" t="n"/>
      <c r="AL49" s="221" t="n"/>
      <c r="AM49" s="221" t="n"/>
      <c r="AN49" s="221" t="n"/>
      <c r="AO49" s="221" t="n"/>
      <c r="AP49" s="221" t="n"/>
      <c r="AQ49" s="221" t="n"/>
      <c r="AR49" s="221" t="n"/>
      <c r="AS49" s="201" t="n"/>
      <c r="AT49" s="512" t="n"/>
      <c r="AU49" s="203" t="inlineStr">
        <is>
          <t>-</t>
        </is>
      </c>
      <c r="AV49" s="204" t="inlineStr">
        <is>
          <t>-</t>
        </is>
      </c>
      <c r="AW49" s="513" t="inlineStr">
        <is>
          <t>-</t>
        </is>
      </c>
      <c r="AX49" s="513" t="inlineStr">
        <is>
          <t>-</t>
        </is>
      </c>
      <c r="AY49" s="513" t="inlineStr">
        <is>
          <t>-</t>
        </is>
      </c>
      <c r="AZ49" s="513" t="inlineStr">
        <is>
          <t>-</t>
        </is>
      </c>
      <c r="BA49" s="203" t="n">
        <v>6054</v>
      </c>
      <c r="BB49" s="203" t="n">
        <v>32205</v>
      </c>
      <c r="BC49" s="203">
        <f>SUMIFS(領用表!$L:$L,領用表!$A:$A,BC$2,領用表!$E:$E,B49)</f>
        <v/>
      </c>
      <c r="BD49" s="206">
        <f>SUMIFS(領用表!$L:$L,領用表!$E:$E,$B49,領用表!$B:$B,BC$2&amp;BD$2)</f>
        <v/>
      </c>
      <c r="BE49" s="206">
        <f>SUMIFS(領用表!$L:$L,領用表!$E:$E,$B49,領用表!$B:$B,$BC$2&amp;BE$2)</f>
        <v/>
      </c>
      <c r="BF49" s="206">
        <f>SUMIFS(領用表!$L:$L,領用表!$E:$E,$B49,領用表!$B:$B,$BC$2&amp;BF$2)</f>
        <v/>
      </c>
      <c r="BG49" s="206">
        <f>SUMIFS(領用表!$L:$L,領用表!$E:$E,$B49,領用表!$B:$B,$BC$2&amp;BG$2)</f>
        <v/>
      </c>
      <c r="BH49" s="203">
        <f>SUMIFS(領用表!$L:$L,領用表!$A:$A,BH$2,領用表!$E:$E,B49)</f>
        <v/>
      </c>
      <c r="BI49" s="206">
        <f>SUMIFS(領用表!$L:$L,領用表!$E:$E,$B49,領用表!$B:$B,BH$2&amp;BI$2)</f>
        <v/>
      </c>
      <c r="BJ49" s="206">
        <f>SUMIFS(領用表!$L:$L,領用表!$E:$E,$B49,領用表!$B:$B,$BH$2&amp;BJ$2)</f>
        <v/>
      </c>
      <c r="BK49" s="206">
        <f>SUMIFS(領用表!$L:$L,領用表!$E:$E,$B49,領用表!$B:$B,$BH$2&amp;BK$2)</f>
        <v/>
      </c>
      <c r="BL49" s="206">
        <f>SUMIFS(領用表!$L:$L,領用表!$E:$E,$B49,領用表!$B:$B,$BH$2&amp;BL$2)</f>
        <v/>
      </c>
      <c r="BM49" s="203">
        <f>SUMIFS(領用表!$L:$L,領用表!$A:$A,BM$2,領用表!$E:$E,B49)</f>
        <v/>
      </c>
      <c r="BN49" s="206">
        <f>SUMIFS(領用表!$L:$L,領用表!$E:$E,$B49,領用表!$B:$B,BM$2&amp;BN$2)</f>
        <v/>
      </c>
      <c r="BO49" s="206">
        <f>SUMIFS(領用表!$L:$L,領用表!$E:$E,$B49,領用表!$B:$B,$BM$2&amp;BO$2)</f>
        <v/>
      </c>
      <c r="BP49" s="206">
        <f>SUMIFS(領用表!$L:$L,領用表!$E:$E,$B49,領用表!$B:$B,$BM$2&amp;BP$2)</f>
        <v/>
      </c>
      <c r="BQ49" s="206">
        <f>SUMIFS(領用表!$L:$L,領用表!$E:$E,$B49,領用表!$B:$B,$BM$2&amp;BQ$2)</f>
        <v/>
      </c>
      <c r="BR49" s="203">
        <f>SUMIFS(領用表!$L:$L,領用表!$A:$A,BR$2,領用表!$E:$E,B49)</f>
        <v/>
      </c>
      <c r="BS49" s="206">
        <f>SUMIFS(領用表!$L:$L,領用表!$E:$E,$B49,領用表!$B:$B,BR$2&amp;BS$2)</f>
        <v/>
      </c>
      <c r="BT49" s="206">
        <f>SUMIFS(領用表!$L:$L,領用表!$E:$E,$B49,領用表!$B:$B,$BR$2&amp;BT$2)</f>
        <v/>
      </c>
      <c r="BU49" s="206">
        <f>SUMIFS(領用表!$L:$L,領用表!$E:$E,$B49,領用表!$B:$B,$BR$2&amp;BU$2)</f>
        <v/>
      </c>
      <c r="BV49" s="206">
        <f>SUMIFS(領用表!$L:$L,領用表!$E:$E,$B49,領用表!$B:$B,$BR$2&amp;BV$2)</f>
        <v/>
      </c>
      <c r="BW49" s="208">
        <f>SUMIFS(領用表!$L:$L,領用表!$A:$A,BW$2,領用表!$E:$E,B49)</f>
        <v/>
      </c>
      <c r="BX49" s="206">
        <f>SUMIFS(領用表!$L:$L,領用表!$E:$E,$B49,領用表!$B:$B,BW$2&amp;BX$2)</f>
        <v/>
      </c>
      <c r="BY49" s="206">
        <f>SUMIFS(領用表!$L:$L,領用表!$E:$E,$B49,領用表!$B:$B,$BW$2&amp;BY$2)</f>
        <v/>
      </c>
      <c r="BZ49" s="206">
        <f>SUMIFS(領用表!$L:$L,領用表!$E:$E,$B49,領用表!$B:$B,$BW$2&amp;BZ$2)</f>
        <v/>
      </c>
      <c r="CA49" s="206">
        <f>SUMIFS(領用表!$L:$L,領用表!$E:$E,$B49,領用表!$B:$B,$BW$2&amp;CA$2)</f>
        <v/>
      </c>
      <c r="CB49" s="208">
        <f>SUMIFS(領用表!$L:$L,領用表!$A:$A,CB$2,領用表!$E:$E,B49)</f>
        <v/>
      </c>
      <c r="CC49" s="206">
        <f>SUMIFS(領用表!$L:$L,領用表!$E:$E,$B49,領用表!$B:$B,CB$2&amp;CC$2)</f>
        <v/>
      </c>
      <c r="CD49" s="206">
        <f>SUMIFS(領用表!$L:$L,領用表!$E:$E,$B49,領用表!$B:$B,$CB$2&amp;CD$2)</f>
        <v/>
      </c>
      <c r="CE49" s="206">
        <f>SUMIFS(領用表!$L:$L,領用表!$E:$E,$B49,領用表!$B:$B,$CB$2&amp;CE$2)</f>
        <v/>
      </c>
      <c r="CF49" s="206">
        <f>SUMIFS(領用表!$L:$L,領用表!$E:$E,$B49,領用表!$B:$B,$CB$2&amp;CF$2)</f>
        <v/>
      </c>
      <c r="CG49" s="208">
        <f>SUMIFS(領用表!$L:$L,領用表!$A:$A,CG$2,領用表!$E:$E,B49)</f>
        <v/>
      </c>
      <c r="CH49" s="206">
        <f>SUMIFS(領用表!$L:$L,領用表!$E:$E,$B49,領用表!$B:$B,CG$2&amp;CH$2)</f>
        <v/>
      </c>
      <c r="CI49" s="206">
        <f>SUMIFS(領用表!$L:$L,領用表!$E:$E,$B49,領用表!$B:$B,CG$2&amp;CI$2)</f>
        <v/>
      </c>
      <c r="CJ49" s="206">
        <f>SUMIFS(領用表!$L:$L,領用表!$E:$E,$B49,領用表!$B:$B,CG$2&amp;CJ$2)</f>
        <v/>
      </c>
      <c r="CK49" s="206">
        <f>SUMIFS(領用表!$L:$L,領用表!$E:$E,$B49,領用表!$B:$B,$CG$2&amp;CK$2)</f>
        <v/>
      </c>
      <c r="CL49" s="207">
        <f>SUM(AX49,AY49,AZ49,BA49,BB49,BC49,BH49,BM49,BR49,BW49,CB49,CG49)</f>
        <v/>
      </c>
      <c r="CM49" s="207">
        <f>AVERAGE(AX49,AY49,AZ49,BA49,BB49,BC49,BH49,BM49,BR49,BW49,CB49,CG49)</f>
        <v/>
      </c>
      <c r="CN49" s="208">
        <f>SUMIFS(領用表!$L:$L,領用表!$A:$A,CN$2,領用表!$E:$E,B49)</f>
        <v/>
      </c>
      <c r="CO49" s="206">
        <f>SUMIFS(領用表!$L:$L,領用表!$E:$E,$B49,領用表!$B:$B,CN$2&amp;CO$2)</f>
        <v/>
      </c>
      <c r="CP49" s="206">
        <f>SUMIFS(領用表!$L:$L,領用表!$E:$E,$B49,領用表!$B:$B,$CN$2&amp;CP$2)</f>
        <v/>
      </c>
      <c r="CQ49" s="206">
        <f>SUMIFS(領用表!$L:$L,領用表!$E:$E,$B49,領用表!$B:$B,$CN$2&amp;CQ$2)</f>
        <v/>
      </c>
      <c r="CR49" s="206">
        <f>SUMIFS(領用表!$L:$L,領用表!$E:$E,$B49,領用表!$B:$B,$CN$2&amp;CR$2)</f>
        <v/>
      </c>
      <c r="CS49" s="208">
        <f>SUMIFS(領用表!$L:$L,領用表!$A:$A,CS$2,領用表!$E:$E,B49)</f>
        <v/>
      </c>
      <c r="CT49" s="206">
        <f>SUMIFS(領用表!$L:$L,領用表!$E:$E,$B49,領用表!$B:$B,CS$2&amp;CT$2)</f>
        <v/>
      </c>
      <c r="CU49" s="206">
        <f>SUMIFS(領用表!$L:$L,領用表!$E:$E,$B49,領用表!$B:$B,$CS$2&amp;CU$2)</f>
        <v/>
      </c>
      <c r="CV49" s="206">
        <f>SUMIFS(領用表!$L:$L,領用表!$E:$E,$B49,領用表!$B:$B,$CS$2&amp;CV$2)</f>
        <v/>
      </c>
      <c r="CW49" s="206">
        <f>SUMIFS(領用表!$L:$L,領用表!$E:$E,$B49,領用表!$B:$B,$CS$2&amp;CW$2)</f>
        <v/>
      </c>
      <c r="CX49" s="206">
        <f>SUMIFS(領用表!$L:$L,領用表!$E:$E,$B49,領用表!$B:$B,$CS$2&amp;CX$2)</f>
        <v/>
      </c>
      <c r="CY49" s="208">
        <f>SUMIFS(領用表!$L:$L,領用表!$A:$A,CY$2,領用表!$E:$E,B49)</f>
        <v/>
      </c>
      <c r="CZ49" s="206">
        <f>SUMIFS(領用表!$L:$L,領用表!$E:$E,$B49,領用表!$B:$B,CY$2&amp;CZ$2)</f>
        <v/>
      </c>
      <c r="DA49" s="206">
        <f>SUMIFS(領用表!$L:$L,領用表!$E:$E,$B49,領用表!$B:$B,$CY$2&amp;DA$2)</f>
        <v/>
      </c>
      <c r="DB49" s="206">
        <f>SUMIFS(領用表!$L:$L,領用表!$E:$E,$B49,領用表!$B:$B,$CY$2&amp;DB$2)</f>
        <v/>
      </c>
      <c r="DC49" s="206">
        <f>SUMIFS(領用表!$L:$L,領用表!$E:$E,$B49,領用表!$B:$B,$CY$2&amp;DC$2)</f>
        <v/>
      </c>
      <c r="DD49" s="206">
        <f>SUMIFS(領用表!$L:$L,領用表!$E:$E,$B49,領用表!$B:$B,$CY$2&amp;DD$2)</f>
        <v/>
      </c>
      <c r="DE49" s="208">
        <f>SUMIFS(領用表!$L:$L,領用表!$A:$A,DE$2,領用表!$E:$E,B49)</f>
        <v/>
      </c>
      <c r="DF49" s="206">
        <f>SUMIFS(領用表!$L:$L,領用表!$E:$E,$B49,領用表!$B:$B,DE$2&amp;DF$2)</f>
        <v/>
      </c>
      <c r="DG49" s="206">
        <f>SUMIFS(領用表!$L:$L,領用表!$E:$E,$B49,領用表!$B:$B,$DE$2&amp;DG$2)</f>
        <v/>
      </c>
      <c r="DH49" s="206">
        <f>SUMIFS(領用表!$L:$L,領用表!$E:$E,$B49,領用表!$B:$B,$DE$2&amp;DH$2)</f>
        <v/>
      </c>
      <c r="DI49" s="206">
        <f>SUMIFS(領用表!$L:$L,領用表!$E:$E,$B49,領用表!$B:$B,$DE$2&amp;DI$2)</f>
        <v/>
      </c>
      <c r="DJ49" s="206">
        <f>SUMIFS(領用表!$L:$L,領用表!$E:$E,$B49,領用表!$B:$B,$DE$2&amp;DJ$2)</f>
        <v/>
      </c>
      <c r="DK49" s="208">
        <f>SUMIFS(領用表!$L:$L,領用表!$A:$A,DK$2,領用表!$E:$E,$B49)</f>
        <v/>
      </c>
      <c r="DL49" s="206">
        <f>SUMIFS(領用表!$L:$L,領用表!$E:$E,$B49,領用表!$B:$B,DK$2&amp;DL$2)</f>
        <v/>
      </c>
      <c r="DM49" s="206">
        <f>SUMIFS(領用表!$L:$L,領用表!$E:$E,$B49,領用表!$B:$B,$DK$2&amp;DM$2)</f>
        <v/>
      </c>
      <c r="DN49" s="206">
        <f>SUMIFS(領用表!$L:$L,領用表!$E:$E,$B49,領用表!$B:$B,$DK$2&amp;DN$2)</f>
        <v/>
      </c>
      <c r="DO49" s="206">
        <f>SUMIFS(領用表!$L:$L,領用表!$E:$E,$B49,領用表!$B:$B,$DK$2&amp;DO$2)</f>
        <v/>
      </c>
      <c r="DP49" s="206">
        <f>SUMIFS(領用表!$L:$L,領用表!$E:$E,$B49,領用表!$B:$B,$DK$2&amp;DP$2)</f>
        <v/>
      </c>
      <c r="DQ49" s="208" t="n"/>
      <c r="DR49" s="206" t="n"/>
      <c r="DS49" s="206" t="n"/>
      <c r="DT49" s="206" t="n"/>
      <c r="DU49" s="206" t="n"/>
      <c r="DV49" s="206" t="n"/>
      <c r="DW49" s="206">
        <f>SUM(CN49,CS49,CY49,DE49,DK49,DQ49)</f>
        <v/>
      </c>
      <c r="DX49" s="206">
        <f>AVERAGEA(CN49,CS49,CY49,DE49,DK49,DQ49)</f>
        <v/>
      </c>
      <c r="DY49" s="206">
        <f>SUM(DZ49:EC49)</f>
        <v/>
      </c>
      <c r="DZ49" s="206" t="n">
        <v>15000</v>
      </c>
      <c r="EA49" s="206" t="n">
        <v>0</v>
      </c>
      <c r="EB49" s="206" t="n">
        <v>25000</v>
      </c>
      <c r="EC49" s="206" t="n">
        <v>0</v>
      </c>
      <c r="ED49" s="257" t="n">
        <v>12000</v>
      </c>
      <c r="EE49" s="210" t="n">
        <v>0</v>
      </c>
      <c r="EF49" s="211" t="inlineStr">
        <is>
          <t>4顆(10/23)</t>
        </is>
      </c>
      <c r="EG49" s="211" t="inlineStr">
        <is>
          <t>4顆(10/23)</t>
        </is>
      </c>
      <c r="EH49" s="526" t="inlineStr">
        <is>
          <t>2025/4/1站前交機1台</t>
        </is>
      </c>
      <c r="EI49" s="212" t="n"/>
      <c r="EJ49" s="118">
        <f>IFERROR(VLOOKUP(A49,站前4樓!A:BF,57,0),0)</f>
        <v/>
      </c>
      <c r="EK49" s="213">
        <f>IFERROR(VLOOKUP(A49,站前11樓!A:BE,57,0),0)</f>
        <v/>
      </c>
      <c r="EL49" s="118">
        <f>IFERROR(VLOOKUP(A49,忠孝7樓!A:N,57,0),0)</f>
        <v/>
      </c>
      <c r="EM49" s="118">
        <f>IFERROR(VLOOKUP(A49,忠孝國際醫學3樓!A:L,57,0),0)</f>
        <v/>
      </c>
      <c r="EN49" s="118">
        <f>SUM(ED49:EG49)</f>
        <v/>
      </c>
      <c r="EP49" s="118" t="n">
        <v>0</v>
      </c>
      <c r="EQ49" s="118" t="n">
        <v>0</v>
      </c>
    </row>
    <row r="50" ht="15.75" customFormat="1" customHeight="1" s="118">
      <c r="A50" s="136" t="inlineStr">
        <is>
          <t>MM2MB030004A</t>
        </is>
      </c>
      <c r="B50" s="118" t="n">
        <v>6170030</v>
      </c>
      <c r="C50" s="133" t="inlineStr">
        <is>
          <t>海芙電波 V探頭 4.0cm(1發)</t>
        </is>
      </c>
      <c r="D50" s="197" t="n">
        <v>3050</v>
      </c>
      <c r="E50" s="198" t="inlineStr">
        <is>
          <t>SHOT</t>
        </is>
      </c>
      <c r="F50" s="199">
        <f>SUMIF(站前4樓!B:B,B50,站前4樓!F:F)</f>
        <v/>
      </c>
      <c r="G50" s="199">
        <f>SUMIF(站前11樓!B:B,B50,站前11樓!F:F)</f>
        <v/>
      </c>
      <c r="H50" s="199">
        <f>SUMIF(忠孝7樓!B:B,B50,忠孝7樓!G:G)</f>
        <v/>
      </c>
      <c r="I50" s="199">
        <f>SUMIF(忠孝國際醫學3樓!B:B,B50,忠孝國際醫學3樓!G:G)</f>
        <v/>
      </c>
      <c r="J50" s="199">
        <f>SUMIF(忠孝健康7樓!B:B,B50,忠孝健康7樓!G:G)</f>
        <v/>
      </c>
      <c r="K50" s="200" t="n"/>
      <c r="L50" s="200" t="n"/>
      <c r="M50" s="200" t="n"/>
      <c r="N50" s="200" t="n"/>
      <c r="O50" s="200" t="n"/>
      <c r="P50" s="200" t="n"/>
      <c r="Q50" s="200" t="n"/>
      <c r="R50" s="200" t="n"/>
      <c r="S50" s="200" t="n"/>
      <c r="T50" s="200" t="n"/>
      <c r="U50" s="200" t="n"/>
      <c r="V50" s="200" t="n"/>
      <c r="W50" s="200" t="n"/>
      <c r="X50" s="200" t="n"/>
      <c r="Y50" s="200" t="n"/>
      <c r="Z50" s="200" t="n"/>
      <c r="AA50" s="200" t="n"/>
      <c r="AB50" s="200" t="n"/>
      <c r="AC50" s="200" t="n"/>
      <c r="AD50" s="200" t="n"/>
      <c r="AE50" s="200" t="n"/>
      <c r="AF50" s="200" t="n"/>
      <c r="AG50" s="200" t="n"/>
      <c r="AH50" s="200" t="n"/>
      <c r="AI50" s="200" t="n"/>
      <c r="AJ50" s="221" t="n"/>
      <c r="AK50" s="221" t="n"/>
      <c r="AL50" s="221" t="n"/>
      <c r="AM50" s="221" t="n"/>
      <c r="AN50" s="221" t="n"/>
      <c r="AO50" s="221" t="n"/>
      <c r="AP50" s="221" t="n"/>
      <c r="AQ50" s="221" t="n"/>
      <c r="AR50" s="221" t="n"/>
      <c r="AS50" s="201" t="n"/>
      <c r="AT50" s="512" t="n"/>
      <c r="AU50" s="203" t="inlineStr">
        <is>
          <t>-</t>
        </is>
      </c>
      <c r="AV50" s="204" t="inlineStr">
        <is>
          <t>-</t>
        </is>
      </c>
      <c r="AW50" s="513" t="inlineStr">
        <is>
          <t>-</t>
        </is>
      </c>
      <c r="AX50" s="513" t="inlineStr">
        <is>
          <t>-</t>
        </is>
      </c>
      <c r="AY50" s="513" t="inlineStr">
        <is>
          <t>-</t>
        </is>
      </c>
      <c r="AZ50" s="513" t="inlineStr">
        <is>
          <t>-</t>
        </is>
      </c>
      <c r="BA50" s="203" t="n">
        <v>12000</v>
      </c>
      <c r="BB50" s="203" t="n"/>
      <c r="BC50" s="203">
        <f>SUMIFS(領用表!$L:$L,領用表!$A:$A,BC$2,領用表!$E:$E,B50)</f>
        <v/>
      </c>
      <c r="BD50" s="206">
        <f>SUMIFS(領用表!$L:$L,領用表!$E:$E,$B50,領用表!$B:$B,BC$2&amp;BD$2)</f>
        <v/>
      </c>
      <c r="BE50" s="206">
        <f>SUMIFS(領用表!$L:$L,領用表!$E:$E,$B50,領用表!$B:$B,$BC$2&amp;BE$2)</f>
        <v/>
      </c>
      <c r="BF50" s="206">
        <f>SUMIFS(領用表!$L:$L,領用表!$E:$E,$B50,領用表!$B:$B,$BC$2&amp;BF$2)</f>
        <v/>
      </c>
      <c r="BG50" s="206">
        <f>SUMIFS(領用表!$L:$L,領用表!$E:$E,$B50,領用表!$B:$B,$BC$2&amp;BG$2)</f>
        <v/>
      </c>
      <c r="BH50" s="203">
        <f>SUMIFS(領用表!$L:$L,領用表!$A:$A,BH$2,領用表!$E:$E,B50)</f>
        <v/>
      </c>
      <c r="BI50" s="206">
        <f>SUMIFS(領用表!$L:$L,領用表!$E:$E,$B50,領用表!$B:$B,BH$2&amp;BI$2)</f>
        <v/>
      </c>
      <c r="BJ50" s="206">
        <f>SUMIFS(領用表!$L:$L,領用表!$E:$E,$B50,領用表!$B:$B,$BH$2&amp;BJ$2)</f>
        <v/>
      </c>
      <c r="BK50" s="206">
        <f>SUMIFS(領用表!$L:$L,領用表!$E:$E,$B50,領用表!$B:$B,$BH$2&amp;BK$2)</f>
        <v/>
      </c>
      <c r="BL50" s="206">
        <f>SUMIFS(領用表!$L:$L,領用表!$E:$E,$B50,領用表!$B:$B,$BH$2&amp;BL$2)</f>
        <v/>
      </c>
      <c r="BM50" s="203">
        <f>SUMIFS(領用表!$L:$L,領用表!$A:$A,BM$2,領用表!$E:$E,B50)</f>
        <v/>
      </c>
      <c r="BN50" s="206">
        <f>SUMIFS(領用表!$L:$L,領用表!$E:$E,$B50,領用表!$B:$B,BM$2&amp;BN$2)</f>
        <v/>
      </c>
      <c r="BO50" s="206">
        <f>SUMIFS(領用表!$L:$L,領用表!$E:$E,$B50,領用表!$B:$B,$BM$2&amp;BO$2)</f>
        <v/>
      </c>
      <c r="BP50" s="206">
        <f>SUMIFS(領用表!$L:$L,領用表!$E:$E,$B50,領用表!$B:$B,$BM$2&amp;BP$2)</f>
        <v/>
      </c>
      <c r="BQ50" s="206">
        <f>SUMIFS(領用表!$L:$L,領用表!$E:$E,$B50,領用表!$B:$B,$BM$2&amp;BQ$2)</f>
        <v/>
      </c>
      <c r="BR50" s="203">
        <f>SUMIFS(領用表!$L:$L,領用表!$A:$A,BR$2,領用表!$E:$E,B50)</f>
        <v/>
      </c>
      <c r="BS50" s="206">
        <f>SUMIFS(領用表!$L:$L,領用表!$E:$E,$B50,領用表!$B:$B,BR$2&amp;BS$2)</f>
        <v/>
      </c>
      <c r="BT50" s="206">
        <f>SUMIFS(領用表!$L:$L,領用表!$E:$E,$B50,領用表!$B:$B,$BR$2&amp;BT$2)</f>
        <v/>
      </c>
      <c r="BU50" s="206">
        <f>SUMIFS(領用表!$L:$L,領用表!$E:$E,$B50,領用表!$B:$B,$BR$2&amp;BU$2)</f>
        <v/>
      </c>
      <c r="BV50" s="206">
        <f>SUMIFS(領用表!$L:$L,領用表!$E:$E,$B50,領用表!$B:$B,$BR$2&amp;BV$2)</f>
        <v/>
      </c>
      <c r="BW50" s="208">
        <f>SUMIFS(領用表!$L:$L,領用表!$A:$A,BW$2,領用表!$E:$E,B50)</f>
        <v/>
      </c>
      <c r="BX50" s="206">
        <f>SUMIFS(領用表!$L:$L,領用表!$E:$E,$B50,領用表!$B:$B,BW$2&amp;BX$2)</f>
        <v/>
      </c>
      <c r="BY50" s="206">
        <f>SUMIFS(領用表!$L:$L,領用表!$E:$E,$B50,領用表!$B:$B,$BW$2&amp;BY$2)</f>
        <v/>
      </c>
      <c r="BZ50" s="206">
        <f>SUMIFS(領用表!$L:$L,領用表!$E:$E,$B50,領用表!$B:$B,$BW$2&amp;BZ$2)</f>
        <v/>
      </c>
      <c r="CA50" s="206">
        <f>SUMIFS(領用表!$L:$L,領用表!$E:$E,$B50,領用表!$B:$B,$BW$2&amp;CA$2)</f>
        <v/>
      </c>
      <c r="CB50" s="208">
        <f>SUMIFS(領用表!$L:$L,領用表!$A:$A,CB$2,領用表!$E:$E,B50)</f>
        <v/>
      </c>
      <c r="CC50" s="206">
        <f>SUMIFS(領用表!$L:$L,領用表!$E:$E,$B50,領用表!$B:$B,CB$2&amp;CC$2)</f>
        <v/>
      </c>
      <c r="CD50" s="206">
        <f>SUMIFS(領用表!$L:$L,領用表!$E:$E,$B50,領用表!$B:$B,$CB$2&amp;CD$2)</f>
        <v/>
      </c>
      <c r="CE50" s="206">
        <f>SUMIFS(領用表!$L:$L,領用表!$E:$E,$B50,領用表!$B:$B,$CB$2&amp;CE$2)</f>
        <v/>
      </c>
      <c r="CF50" s="206">
        <f>SUMIFS(領用表!$L:$L,領用表!$E:$E,$B50,領用表!$B:$B,$CB$2&amp;CF$2)</f>
        <v/>
      </c>
      <c r="CG50" s="208">
        <f>SUMIFS(領用表!$L:$L,領用表!$A:$A,CG$2,領用表!$E:$E,B50)</f>
        <v/>
      </c>
      <c r="CH50" s="206">
        <f>SUMIFS(領用表!$L:$L,領用表!$E:$E,$B50,領用表!$B:$B,CG$2&amp;CH$2)</f>
        <v/>
      </c>
      <c r="CI50" s="206">
        <f>SUMIFS(領用表!$L:$L,領用表!$E:$E,$B50,領用表!$B:$B,CG$2&amp;CI$2)</f>
        <v/>
      </c>
      <c r="CJ50" s="206">
        <f>SUMIFS(領用表!$L:$L,領用表!$E:$E,$B50,領用表!$B:$B,CG$2&amp;CJ$2)</f>
        <v/>
      </c>
      <c r="CK50" s="206">
        <f>SUMIFS(領用表!$L:$L,領用表!$E:$E,$B50,領用表!$B:$B,$CG$2&amp;CK$2)</f>
        <v/>
      </c>
      <c r="CL50" s="207">
        <f>SUM(AX50,AY50,AZ50,BA50,BB50,BC50,BH50,BM50,BR50,BW50,CB50,CG50)</f>
        <v/>
      </c>
      <c r="CM50" s="207">
        <f>AVERAGE(AX50,AY50,AZ50,BA50,BB50,BC50,BH50,BM50,BR50,BW50,CB50,CG50)</f>
        <v/>
      </c>
      <c r="CN50" s="208">
        <f>SUMIFS(領用表!$L:$L,領用表!$A:$A,CN$2,領用表!$E:$E,B50)</f>
        <v/>
      </c>
      <c r="CO50" s="206">
        <f>SUMIFS(領用表!$L:$L,領用表!$E:$E,$B50,領用表!$B:$B,CN$2&amp;CO$2)</f>
        <v/>
      </c>
      <c r="CP50" s="206">
        <f>SUMIFS(領用表!$L:$L,領用表!$E:$E,$B50,領用表!$B:$B,$CN$2&amp;CP$2)</f>
        <v/>
      </c>
      <c r="CQ50" s="206">
        <f>SUMIFS(領用表!$L:$L,領用表!$E:$E,$B50,領用表!$B:$B,$CN$2&amp;CQ$2)</f>
        <v/>
      </c>
      <c r="CR50" s="206">
        <f>SUMIFS(領用表!$L:$L,領用表!$E:$E,$B50,領用表!$B:$B,$CN$2&amp;CR$2)</f>
        <v/>
      </c>
      <c r="CS50" s="208">
        <f>SUMIFS(領用表!$L:$L,領用表!$A:$A,CS$2,領用表!$E:$E,B50)</f>
        <v/>
      </c>
      <c r="CT50" s="206">
        <f>SUMIFS(領用表!$L:$L,領用表!$E:$E,$B50,領用表!$B:$B,CS$2&amp;CT$2)</f>
        <v/>
      </c>
      <c r="CU50" s="206">
        <f>SUMIFS(領用表!$L:$L,領用表!$E:$E,$B50,領用表!$B:$B,$CS$2&amp;CU$2)</f>
        <v/>
      </c>
      <c r="CV50" s="206">
        <f>SUMIFS(領用表!$L:$L,領用表!$E:$E,$B50,領用表!$B:$B,$CS$2&amp;CV$2)</f>
        <v/>
      </c>
      <c r="CW50" s="206">
        <f>SUMIFS(領用表!$L:$L,領用表!$E:$E,$B50,領用表!$B:$B,$CS$2&amp;CW$2)</f>
        <v/>
      </c>
      <c r="CX50" s="206">
        <f>SUMIFS(領用表!$L:$L,領用表!$E:$E,$B50,領用表!$B:$B,$CS$2&amp;CX$2)</f>
        <v/>
      </c>
      <c r="CY50" s="208">
        <f>SUMIFS(領用表!$L:$L,領用表!$A:$A,CY$2,領用表!$E:$E,B50)</f>
        <v/>
      </c>
      <c r="CZ50" s="206">
        <f>SUMIFS(領用表!$L:$L,領用表!$E:$E,$B50,領用表!$B:$B,CY$2&amp;CZ$2)</f>
        <v/>
      </c>
      <c r="DA50" s="206">
        <f>SUMIFS(領用表!$L:$L,領用表!$E:$E,$B50,領用表!$B:$B,$CY$2&amp;DA$2)</f>
        <v/>
      </c>
      <c r="DB50" s="206">
        <f>SUMIFS(領用表!$L:$L,領用表!$E:$E,$B50,領用表!$B:$B,$CY$2&amp;DB$2)</f>
        <v/>
      </c>
      <c r="DC50" s="206">
        <f>SUMIFS(領用表!$L:$L,領用表!$E:$E,$B50,領用表!$B:$B,$CY$2&amp;DC$2)</f>
        <v/>
      </c>
      <c r="DD50" s="206">
        <f>SUMIFS(領用表!$L:$L,領用表!$E:$E,$B50,領用表!$B:$B,$CY$2&amp;DD$2)</f>
        <v/>
      </c>
      <c r="DE50" s="208">
        <f>SUMIFS(領用表!$L:$L,領用表!$A:$A,DE$2,領用表!$E:$E,B50)</f>
        <v/>
      </c>
      <c r="DF50" s="206">
        <f>SUMIFS(領用表!$L:$L,領用表!$E:$E,$B50,領用表!$B:$B,DE$2&amp;DF$2)</f>
        <v/>
      </c>
      <c r="DG50" s="206">
        <f>SUMIFS(領用表!$L:$L,領用表!$E:$E,$B50,領用表!$B:$B,$DE$2&amp;DG$2)</f>
        <v/>
      </c>
      <c r="DH50" s="206">
        <f>SUMIFS(領用表!$L:$L,領用表!$E:$E,$B50,領用表!$B:$B,$DE$2&amp;DH$2)</f>
        <v/>
      </c>
      <c r="DI50" s="206">
        <f>SUMIFS(領用表!$L:$L,領用表!$E:$E,$B50,領用表!$B:$B,$DE$2&amp;DI$2)</f>
        <v/>
      </c>
      <c r="DJ50" s="206">
        <f>SUMIFS(領用表!$L:$L,領用表!$E:$E,$B50,領用表!$B:$B,$DE$2&amp;DJ$2)</f>
        <v/>
      </c>
      <c r="DK50" s="208">
        <f>SUMIFS(領用表!$L:$L,領用表!$A:$A,DK$2,領用表!$E:$E,$B50)</f>
        <v/>
      </c>
      <c r="DL50" s="206">
        <f>SUMIFS(領用表!$L:$L,領用表!$E:$E,$B50,領用表!$B:$B,DK$2&amp;DL$2)</f>
        <v/>
      </c>
      <c r="DM50" s="206">
        <f>SUMIFS(領用表!$L:$L,領用表!$E:$E,$B50,領用表!$B:$B,$DK$2&amp;DM$2)</f>
        <v/>
      </c>
      <c r="DN50" s="206">
        <f>SUMIFS(領用表!$L:$L,領用表!$E:$E,$B50,領用表!$B:$B,$DK$2&amp;DN$2)</f>
        <v/>
      </c>
      <c r="DO50" s="206">
        <f>SUMIFS(領用表!$L:$L,領用表!$E:$E,$B50,領用表!$B:$B,$DK$2&amp;DO$2)</f>
        <v/>
      </c>
      <c r="DP50" s="206">
        <f>SUMIFS(領用表!$L:$L,領用表!$E:$E,$B50,領用表!$B:$B,$DK$2&amp;DP$2)</f>
        <v/>
      </c>
      <c r="DQ50" s="208" t="n">
        <v>23601</v>
      </c>
      <c r="DR50" s="206" t="n">
        <v>9600</v>
      </c>
      <c r="DS50" s="206" t="n"/>
      <c r="DT50" s="206" t="n">
        <v>11901</v>
      </c>
      <c r="DU50" s="206" t="n"/>
      <c r="DV50" s="206" t="n">
        <v>2100</v>
      </c>
      <c r="DW50" s="206">
        <f>SUM(CN50,CS50,CY50,DE50,DK50,DQ50)</f>
        <v/>
      </c>
      <c r="DX50" s="206">
        <f>AVERAGEA(CN50,CS50,CY50,DE50,DK50,DQ50)</f>
        <v/>
      </c>
      <c r="DY50" s="206">
        <f>SUM(DZ50:EC50)</f>
        <v/>
      </c>
      <c r="DZ50" s="206" t="n">
        <v>30000</v>
      </c>
      <c r="EA50" s="206" t="n">
        <v>0</v>
      </c>
      <c r="EB50" s="206" t="n">
        <v>50000</v>
      </c>
      <c r="EC50" s="206" t="n">
        <v>0</v>
      </c>
      <c r="ED50" s="258" t="n"/>
      <c r="EE50" s="204" t="n">
        <v>0</v>
      </c>
      <c r="EF50" s="204" t="n"/>
      <c r="EG50" s="204" t="n"/>
      <c r="EH50" s="526" t="inlineStr">
        <is>
          <t>5/2 EVA不再進貨V探頭</t>
        </is>
      </c>
      <c r="EI50" s="212" t="n"/>
      <c r="EJ50" s="118">
        <f>IFERROR(VLOOKUP(A50,站前4樓!A:BF,57,0),0)</f>
        <v/>
      </c>
      <c r="EK50" s="213">
        <f>IFERROR(VLOOKUP(A50,站前11樓!A:BE,57,0),0)</f>
        <v/>
      </c>
      <c r="EL50" s="118">
        <f>IFERROR(VLOOKUP(A50,忠孝7樓!A:N,57,0),0)</f>
        <v/>
      </c>
      <c r="EM50" s="118">
        <f>IFERROR(VLOOKUP(A50,忠孝國際醫學3樓!A:L,57,0),0)</f>
        <v/>
      </c>
      <c r="EN50" s="118">
        <f>SUM(ED50:EG50)</f>
        <v/>
      </c>
      <c r="EP50" s="118" t="n">
        <v>27403</v>
      </c>
      <c r="EQ50" s="118" t="n">
        <v>20500</v>
      </c>
    </row>
    <row r="51" ht="15.75" customFormat="1" customHeight="1" s="118">
      <c r="A51" s="136" t="inlineStr">
        <is>
          <t>MM2MB040003A</t>
        </is>
      </c>
      <c r="B51" s="118" t="n">
        <v>6170005</v>
      </c>
      <c r="C51" s="118" t="inlineStr">
        <is>
          <t>海芙三代音波探頭2mm(1條)</t>
        </is>
      </c>
      <c r="D51" s="207" t="n">
        <v>20099</v>
      </c>
      <c r="E51" s="198" t="inlineStr">
        <is>
          <t>SHOT</t>
        </is>
      </c>
      <c r="F51" s="199">
        <f>SUMIF(站前4樓!B:B,B51,站前4樓!F:F)</f>
        <v/>
      </c>
      <c r="G51" s="199">
        <f>SUMIF(站前11樓!B:B,B51,站前11樓!F:F)</f>
        <v/>
      </c>
      <c r="H51" s="199">
        <f>SUMIF(忠孝7樓!B:B,B51,忠孝7樓!G:G)</f>
        <v/>
      </c>
      <c r="I51" s="199">
        <f>SUMIF(忠孝國際醫學3樓!B:B,B51,忠孝國際醫學3樓!G:G)</f>
        <v/>
      </c>
      <c r="J51" s="199">
        <f>SUMIF(忠孝健康7樓!B:B,B51,忠孝健康7樓!G:G)</f>
        <v/>
      </c>
      <c r="K51" s="200" t="n">
        <v>0</v>
      </c>
      <c r="L51" s="200" t="n">
        <v>0.02</v>
      </c>
      <c r="M51" s="200" t="n">
        <v>0.01</v>
      </c>
      <c r="N51" s="200" t="n">
        <v>0.04</v>
      </c>
      <c r="O51" s="200" t="n">
        <v>0.09</v>
      </c>
      <c r="P51" s="200" t="n">
        <v>0.03</v>
      </c>
      <c r="Q51" s="200" t="n">
        <v>0</v>
      </c>
      <c r="R51" s="200" t="n">
        <v>0</v>
      </c>
      <c r="S51" s="200" t="n">
        <v>0.01</v>
      </c>
      <c r="T51" s="200" t="n">
        <v>0.02</v>
      </c>
      <c r="U51" s="200" t="n">
        <v>0.02</v>
      </c>
      <c r="V51" s="200" t="n">
        <v>0.03</v>
      </c>
      <c r="W51" s="200" t="n">
        <v>0.06</v>
      </c>
      <c r="X51" s="200" t="n">
        <v>0.05</v>
      </c>
      <c r="Y51" s="200" t="n">
        <v>0.01</v>
      </c>
      <c r="Z51" s="200" t="n">
        <v>0.02</v>
      </c>
      <c r="AA51" s="200" t="n">
        <v>0</v>
      </c>
      <c r="AB51" s="200" t="n">
        <v>0.01</v>
      </c>
      <c r="AC51" s="200" t="n">
        <v>0.01</v>
      </c>
      <c r="AD51" s="200" t="n">
        <v>0.01</v>
      </c>
      <c r="AE51" s="200" t="n">
        <v>0.01</v>
      </c>
      <c r="AF51" s="200" t="n">
        <v>0.04</v>
      </c>
      <c r="AG51" s="200" t="n">
        <v>0.04</v>
      </c>
      <c r="AH51" s="200" t="n">
        <v>0.06</v>
      </c>
      <c r="AI51" s="200" t="n">
        <v>0.17</v>
      </c>
      <c r="AJ51" s="221" t="n">
        <v>0.1681</v>
      </c>
      <c r="AK51" s="221" t="n">
        <v>0.2626</v>
      </c>
      <c r="AL51" s="221" t="n">
        <v>0.1749</v>
      </c>
      <c r="AM51" s="221" t="n">
        <v>0.16875</v>
      </c>
      <c r="AN51" s="221" t="n">
        <v>0.35815</v>
      </c>
      <c r="AO51" s="221" t="n">
        <v>0.332</v>
      </c>
      <c r="AP51" s="221" t="n">
        <v>0.43055</v>
      </c>
      <c r="AQ51" s="221" t="n">
        <v>0.6341</v>
      </c>
      <c r="AR51" s="221" t="n">
        <v>0.9024</v>
      </c>
      <c r="AS51" s="201" t="n">
        <v>1</v>
      </c>
      <c r="AT51" s="512" t="n">
        <v>3.314294243</v>
      </c>
      <c r="AU51" s="527">
        <f>1124/D51</f>
        <v/>
      </c>
      <c r="AV51" s="204">
        <f>SUM(AJ51:AU51)</f>
        <v/>
      </c>
      <c r="AW51" s="513">
        <f>AV51/12</f>
        <v/>
      </c>
      <c r="AX51" s="203" t="n">
        <v>44000</v>
      </c>
      <c r="AY51" s="203" t="n">
        <v>49059</v>
      </c>
      <c r="AZ51" s="203" t="n">
        <v>33632</v>
      </c>
      <c r="BA51" s="203" t="n">
        <v>19872</v>
      </c>
      <c r="BB51" s="203" t="n">
        <v>17874</v>
      </c>
      <c r="BC51" s="203">
        <f>SUMIFS(領用表!$L:$L,領用表!$A:$A,BC$2,領用表!$E:$E,B51)</f>
        <v/>
      </c>
      <c r="BD51" s="206">
        <f>SUMIFS(領用表!$L:$L,領用表!$E:$E,$B51,領用表!$B:$B,BC$2&amp;BD$2)</f>
        <v/>
      </c>
      <c r="BE51" s="206">
        <f>SUMIFS(領用表!$L:$L,領用表!$E:$E,$B51,領用表!$B:$B,$BC$2&amp;BE$2)</f>
        <v/>
      </c>
      <c r="BF51" s="206">
        <f>SUMIFS(領用表!$L:$L,領用表!$E:$E,$B51,領用表!$B:$B,$BC$2&amp;BF$2)</f>
        <v/>
      </c>
      <c r="BG51" s="206">
        <f>SUMIFS(領用表!$L:$L,領用表!$E:$E,$B51,領用表!$B:$B,$BC$2&amp;BG$2)</f>
        <v/>
      </c>
      <c r="BH51" s="203">
        <f>SUMIFS(領用表!$L:$L,領用表!$A:$A,BH$2,領用表!$E:$E,B51)</f>
        <v/>
      </c>
      <c r="BI51" s="260">
        <f>SUMIFS(領用表!$L:$L,領用表!$E:$E,$B51,領用表!$B:$B,BH$2&amp;BI$2)</f>
        <v/>
      </c>
      <c r="BJ51" s="260">
        <f>SUMIFS(領用表!$L:$L,領用表!$E:$E,$B51,領用表!$B:$B,$BH$2&amp;BJ$2)</f>
        <v/>
      </c>
      <c r="BK51" s="260">
        <f>SUMIFS(領用表!$L:$L,領用表!$E:$E,$B51,領用表!$B:$B,$BH$2&amp;BK$2)</f>
        <v/>
      </c>
      <c r="BL51" s="260">
        <f>SUMIFS(領用表!$L:$L,領用表!$E:$E,$B51,領用表!$B:$B,$BH$2&amp;BL$2)</f>
        <v/>
      </c>
      <c r="BM51" s="203">
        <f>SUMIFS(領用表!$L:$L,領用表!$A:$A,BM$2,領用表!$E:$E,B51)</f>
        <v/>
      </c>
      <c r="BN51" s="206">
        <f>SUMIFS(領用表!$L:$L,領用表!$E:$E,$B51,領用表!$B:$B,BM$2&amp;BN$2)</f>
        <v/>
      </c>
      <c r="BO51" s="206">
        <f>SUMIFS(領用表!$L:$L,領用表!$E:$E,$B51,領用表!$B:$B,$BM$2&amp;BO$2)</f>
        <v/>
      </c>
      <c r="BP51" s="206">
        <f>SUMIFS(領用表!$L:$L,領用表!$E:$E,$B51,領用表!$B:$B,$BM$2&amp;BP$2)</f>
        <v/>
      </c>
      <c r="BQ51" s="206">
        <f>SUMIFS(領用表!$L:$L,領用表!$E:$E,$B51,領用表!$B:$B,$BM$2&amp;BQ$2)</f>
        <v/>
      </c>
      <c r="BR51" s="203">
        <f>SUMIFS(領用表!$L:$L,領用表!$A:$A,BR$2,領用表!$E:$E,B51)</f>
        <v/>
      </c>
      <c r="BS51" s="206">
        <f>SUMIFS(領用表!$L:$L,領用表!$E:$E,$B51,領用表!$B:$B,BR$2&amp;BS$2)</f>
        <v/>
      </c>
      <c r="BT51" s="206">
        <f>SUMIFS(領用表!$L:$L,領用表!$E:$E,$B51,領用表!$B:$B,$BR$2&amp;BT$2)</f>
        <v/>
      </c>
      <c r="BU51" s="206">
        <f>SUMIFS(領用表!$L:$L,領用表!$E:$E,$B51,領用表!$B:$B,$BR$2&amp;BU$2)</f>
        <v/>
      </c>
      <c r="BV51" s="206">
        <f>SUMIFS(領用表!$L:$L,領用表!$E:$E,$B51,領用表!$B:$B,$BR$2&amp;BV$2)</f>
        <v/>
      </c>
      <c r="BW51" s="208">
        <f>SUMIFS(領用表!$L:$L,領用表!$A:$A,BW$2,領用表!$E:$E,B51)</f>
        <v/>
      </c>
      <c r="BX51" s="206">
        <f>SUMIFS(領用表!$L:$L,領用表!$E:$E,$B51,領用表!$B:$B,BW$2&amp;BX$2)</f>
        <v/>
      </c>
      <c r="BY51" s="206">
        <f>SUMIFS(領用表!$L:$L,領用表!$E:$E,$B51,領用表!$B:$B,$BW$2&amp;BY$2)</f>
        <v/>
      </c>
      <c r="BZ51" s="206">
        <f>SUMIFS(領用表!$L:$L,領用表!$E:$E,$B51,領用表!$B:$B,$BW$2&amp;BZ$2)</f>
        <v/>
      </c>
      <c r="CA51" s="206">
        <f>SUMIFS(領用表!$L:$L,領用表!$E:$E,$B51,領用表!$B:$B,$BW$2&amp;CA$2)</f>
        <v/>
      </c>
      <c r="CB51" s="208">
        <f>SUMIFS(領用表!$L:$L,領用表!$A:$A,CB$2,領用表!$E:$E,B51)</f>
        <v/>
      </c>
      <c r="CC51" s="206">
        <f>SUMIFS(領用表!$L:$L,領用表!$E:$E,$B51,領用表!$B:$B,CB$2&amp;CC$2)</f>
        <v/>
      </c>
      <c r="CD51" s="206">
        <f>SUMIFS(領用表!$L:$L,領用表!$E:$E,$B51,領用表!$B:$B,$CB$2&amp;CD$2)</f>
        <v/>
      </c>
      <c r="CE51" s="206">
        <f>SUMIFS(領用表!$L:$L,領用表!$E:$E,$B51,領用表!$B:$B,$CB$2&amp;CE$2)</f>
        <v/>
      </c>
      <c r="CF51" s="206">
        <f>SUMIFS(領用表!$L:$L,領用表!$E:$E,$B51,領用表!$B:$B,$CB$2&amp;CF$2)</f>
        <v/>
      </c>
      <c r="CG51" s="208">
        <f>SUMIFS(領用表!$L:$L,領用表!$A:$A,CG$2,領用表!$E:$E,B51)</f>
        <v/>
      </c>
      <c r="CH51" s="206">
        <f>SUMIFS(領用表!$L:$L,領用表!$E:$E,$B51,領用表!$B:$B,CG$2&amp;CH$2)</f>
        <v/>
      </c>
      <c r="CI51" s="206">
        <f>SUMIFS(領用表!$L:$L,領用表!$E:$E,$B51,領用表!$B:$B,CG$2&amp;CI$2)</f>
        <v/>
      </c>
      <c r="CJ51" s="206">
        <f>SUMIFS(領用表!$L:$L,領用表!$E:$E,$B51,領用表!$B:$B,CG$2&amp;CJ$2)</f>
        <v/>
      </c>
      <c r="CK51" s="206">
        <f>SUMIFS(領用表!$L:$L,領用表!$E:$E,$B51,領用表!$B:$B,$CG$2&amp;CK$2)</f>
        <v/>
      </c>
      <c r="CL51" s="207">
        <f>SUM(AX51,AY51,AZ51,BA51,BB51,BC51,BH51,BM51,BR51,BW51,CB51,CG51)</f>
        <v/>
      </c>
      <c r="CM51" s="207">
        <f>AVERAGE(AX51,AY51,AZ51,BA51,BB51,BC51,BH51,BM51,BR51,BW51,CB51,CG51)</f>
        <v/>
      </c>
      <c r="CN51" s="208">
        <f>SUMIFS(領用表!$L:$L,領用表!$A:$A,CN$2,領用表!$E:$E,B51)</f>
        <v/>
      </c>
      <c r="CO51" s="206">
        <f>SUMIFS(領用表!$L:$L,領用表!$E:$E,$B51,領用表!$B:$B,CN$2&amp;CO$2)</f>
        <v/>
      </c>
      <c r="CP51" s="206">
        <f>SUMIFS(領用表!$L:$L,領用表!$E:$E,$B51,領用表!$B:$B,$CN$2&amp;CP$2)</f>
        <v/>
      </c>
      <c r="CQ51" s="206">
        <f>SUMIFS(領用表!$L:$L,領用表!$E:$E,$B51,領用表!$B:$B,$CN$2&amp;CQ$2)</f>
        <v/>
      </c>
      <c r="CR51" s="206">
        <f>SUMIFS(領用表!$L:$L,領用表!$E:$E,$B51,領用表!$B:$B,$CN$2&amp;CR$2)</f>
        <v/>
      </c>
      <c r="CS51" s="208">
        <f>SUMIFS(領用表!$L:$L,領用表!$A:$A,CS$2,領用表!$E:$E,B51)</f>
        <v/>
      </c>
      <c r="CT51" s="206">
        <f>SUMIFS(領用表!$L:$L,領用表!$E:$E,$B51,領用表!$B:$B,CS$2&amp;CT$2)</f>
        <v/>
      </c>
      <c r="CU51" s="206">
        <f>SUMIFS(領用表!$L:$L,領用表!$E:$E,$B51,領用表!$B:$B,$CS$2&amp;CU$2)</f>
        <v/>
      </c>
      <c r="CV51" s="206">
        <f>SUMIFS(領用表!$L:$L,領用表!$E:$E,$B51,領用表!$B:$B,$CS$2&amp;CV$2)</f>
        <v/>
      </c>
      <c r="CW51" s="206">
        <f>SUMIFS(領用表!$L:$L,領用表!$E:$E,$B51,領用表!$B:$B,$CS$2&amp;CW$2)</f>
        <v/>
      </c>
      <c r="CX51" s="206">
        <f>SUMIFS(領用表!$L:$L,領用表!$E:$E,$B51,領用表!$B:$B,$CS$2&amp;CX$2)</f>
        <v/>
      </c>
      <c r="CY51" s="208">
        <f>SUMIFS(領用表!$L:$L,領用表!$A:$A,CY$2,領用表!$E:$E,B51)</f>
        <v/>
      </c>
      <c r="CZ51" s="206">
        <f>SUMIFS(領用表!$L:$L,領用表!$E:$E,$B51,領用表!$B:$B,CY$2&amp;CZ$2)</f>
        <v/>
      </c>
      <c r="DA51" s="206">
        <f>SUMIFS(領用表!$L:$L,領用表!$E:$E,$B51,領用表!$B:$B,$CY$2&amp;DA$2)</f>
        <v/>
      </c>
      <c r="DB51" s="206">
        <f>SUMIFS(領用表!$L:$L,領用表!$E:$E,$B51,領用表!$B:$B,$CY$2&amp;DB$2)</f>
        <v/>
      </c>
      <c r="DC51" s="206">
        <f>SUMIFS(領用表!$L:$L,領用表!$E:$E,$B51,領用表!$B:$B,$CY$2&amp;DC$2)</f>
        <v/>
      </c>
      <c r="DD51" s="206">
        <f>SUMIFS(領用表!$L:$L,領用表!$E:$E,$B51,領用表!$B:$B,$CY$2&amp;DD$2)</f>
        <v/>
      </c>
      <c r="DE51" s="208">
        <f>SUMIFS(領用表!$L:$L,領用表!$A:$A,DE$2,領用表!$E:$E,B51)</f>
        <v/>
      </c>
      <c r="DF51" s="206">
        <f>SUMIFS(領用表!$L:$L,領用表!$E:$E,$B51,領用表!$B:$B,DE$2&amp;DF$2)</f>
        <v/>
      </c>
      <c r="DG51" s="206">
        <f>SUMIFS(領用表!$L:$L,領用表!$E:$E,$B51,領用表!$B:$B,$DE$2&amp;DG$2)</f>
        <v/>
      </c>
      <c r="DH51" s="206">
        <f>SUMIFS(領用表!$L:$L,領用表!$E:$E,$B51,領用表!$B:$B,$DE$2&amp;DH$2)</f>
        <v/>
      </c>
      <c r="DI51" s="206">
        <f>SUMIFS(領用表!$L:$L,領用表!$E:$E,$B51,領用表!$B:$B,$DE$2&amp;DI$2)</f>
        <v/>
      </c>
      <c r="DJ51" s="206">
        <f>SUMIFS(領用表!$L:$L,領用表!$E:$E,$B51,領用表!$B:$B,$DE$2&amp;DJ$2)</f>
        <v/>
      </c>
      <c r="DK51" s="208">
        <f>SUMIFS(領用表!$L:$L,領用表!$A:$A,DK$2,領用表!$E:$E,$B51)</f>
        <v/>
      </c>
      <c r="DL51" s="206">
        <f>SUMIFS(領用表!$L:$L,領用表!$E:$E,$B51,領用表!$B:$B,DK$2&amp;DL$2)</f>
        <v/>
      </c>
      <c r="DM51" s="206">
        <f>SUMIFS(領用表!$L:$L,領用表!$E:$E,$B51,領用表!$B:$B,$DK$2&amp;DM$2)</f>
        <v/>
      </c>
      <c r="DN51" s="206">
        <f>SUMIFS(領用表!$L:$L,領用表!$E:$E,$B51,領用表!$B:$B,$DK$2&amp;DN$2)</f>
        <v/>
      </c>
      <c r="DO51" s="206">
        <f>SUMIFS(領用表!$L:$L,領用表!$E:$E,$B51,領用表!$B:$B,$DK$2&amp;DO$2)</f>
        <v/>
      </c>
      <c r="DP51" s="206">
        <f>SUMIFS(領用表!$L:$L,領用表!$E:$E,$B51,領用表!$B:$B,$DK$2&amp;DP$2)</f>
        <v/>
      </c>
      <c r="DQ51" s="208" t="n">
        <v>5437</v>
      </c>
      <c r="DR51" s="206" t="n">
        <v>2754</v>
      </c>
      <c r="DS51" s="206" t="n"/>
      <c r="DT51" s="206" t="n">
        <v>1493</v>
      </c>
      <c r="DU51" s="206" t="n"/>
      <c r="DV51" s="206" t="n">
        <v>1190</v>
      </c>
      <c r="DW51" s="206">
        <f>SUM(CN51,CS51,CY51,DE51,DK51,DQ51)</f>
        <v/>
      </c>
      <c r="DX51" s="206">
        <f>AVERAGEA(CN51,CS51,CY51,DE51,DK51,DQ51)</f>
        <v/>
      </c>
      <c r="DY51" s="206">
        <f>SUM(DZ51:EC51)</f>
        <v/>
      </c>
      <c r="DZ51" s="206" t="n">
        <v>25000</v>
      </c>
      <c r="EA51" s="206" t="n">
        <v>0</v>
      </c>
      <c r="EB51" s="206" t="n">
        <v>28000</v>
      </c>
      <c r="EC51" s="206" t="n">
        <v>0</v>
      </c>
      <c r="ED51" s="215" t="n">
        <v>100000</v>
      </c>
      <c r="EE51" s="210" t="inlineStr">
        <is>
          <t>3,226,071條</t>
        </is>
      </c>
      <c r="EF51" s="210" t="n"/>
      <c r="EG51" s="261" t="n"/>
      <c r="EH51" s="526" t="n">
        <v>20000</v>
      </c>
      <c r="EI51" s="212" t="n"/>
      <c r="EJ51" s="118">
        <f>IFERROR(VLOOKUP(A51,站前4樓!A:BF,57,0),0)</f>
        <v/>
      </c>
      <c r="EK51" s="213">
        <f>IFERROR(VLOOKUP(A51,站前11樓!A:BE,57,0),0)</f>
        <v/>
      </c>
      <c r="EL51" s="118">
        <f>IFERROR(VLOOKUP(A51,忠孝7樓!A:N,57,0),0)</f>
        <v/>
      </c>
      <c r="EM51" s="118">
        <f>IFERROR(VLOOKUP(A51,忠孝國際醫學3樓!A:L,57,0),0)</f>
        <v/>
      </c>
      <c r="EN51" s="118">
        <f>SUM(ED51:EG51)</f>
        <v/>
      </c>
      <c r="EP51" s="118" t="n">
        <v>127278</v>
      </c>
      <c r="EQ51" s="118" t="n">
        <v>148788</v>
      </c>
    </row>
    <row r="52" ht="15.75" customFormat="1" customHeight="1" s="118">
      <c r="A52" s="136" t="inlineStr">
        <is>
          <t>MM2MB040004A</t>
        </is>
      </c>
      <c r="B52" s="118" t="n">
        <v>6170007</v>
      </c>
      <c r="C52" s="118" t="inlineStr">
        <is>
          <t>海芙三代音波探頭3mm(1條)</t>
        </is>
      </c>
      <c r="D52" s="207" t="n">
        <v>20099</v>
      </c>
      <c r="E52" s="198" t="inlineStr">
        <is>
          <t>SHOT</t>
        </is>
      </c>
      <c r="F52" s="199">
        <f>SUMIF(站前4樓!B:B,B52,站前4樓!F:F)</f>
        <v/>
      </c>
      <c r="G52" s="199">
        <f>SUMIF(站前11樓!B:B,B52,站前11樓!F:F)</f>
        <v/>
      </c>
      <c r="H52" s="199">
        <f>SUMIF(忠孝7樓!B:B,B52,忠孝7樓!G:G)</f>
        <v/>
      </c>
      <c r="I52" s="199">
        <f>SUMIF(忠孝國際醫學3樓!B:B,B52,忠孝國際醫學3樓!G:G)</f>
        <v/>
      </c>
      <c r="J52" s="199">
        <f>SUMIF(忠孝健康7樓!B:B,B52,忠孝健康7樓!G:G)</f>
        <v/>
      </c>
      <c r="K52" s="200" t="n">
        <v>0</v>
      </c>
      <c r="L52" s="200" t="n">
        <v>0.02</v>
      </c>
      <c r="M52" s="200" t="n">
        <v>0.02</v>
      </c>
      <c r="N52" s="200" t="n">
        <v>0.13</v>
      </c>
      <c r="O52" s="200" t="n">
        <v>0.08</v>
      </c>
      <c r="P52" s="200" t="n">
        <v>0.06</v>
      </c>
      <c r="Q52" s="200" t="n">
        <v>0.02</v>
      </c>
      <c r="R52" s="200" t="n">
        <v>0.01</v>
      </c>
      <c r="S52" s="200" t="n">
        <v>0.04</v>
      </c>
      <c r="T52" s="200" t="n">
        <v>0.02</v>
      </c>
      <c r="U52" s="200" t="n">
        <v>0.04</v>
      </c>
      <c r="V52" s="200" t="n">
        <v>0.18</v>
      </c>
      <c r="W52" s="200" t="n">
        <v>0.18</v>
      </c>
      <c r="X52" s="200" t="n">
        <v>0.08</v>
      </c>
      <c r="Y52" s="200" t="n">
        <v>0.11</v>
      </c>
      <c r="Z52" s="200" t="n">
        <v>0.12</v>
      </c>
      <c r="AA52" s="200" t="n">
        <v>0.04</v>
      </c>
      <c r="AB52" s="200" t="n">
        <v>0.04</v>
      </c>
      <c r="AC52" s="200" t="n">
        <v>0</v>
      </c>
      <c r="AD52" s="200" t="n">
        <v>0.05</v>
      </c>
      <c r="AE52" s="200" t="n">
        <v>0.24</v>
      </c>
      <c r="AF52" s="200" t="n">
        <v>0.18</v>
      </c>
      <c r="AG52" s="200" t="n">
        <v>0.18</v>
      </c>
      <c r="AH52" s="200" t="n">
        <v>0.2</v>
      </c>
      <c r="AI52" s="200" t="n">
        <v>0.47</v>
      </c>
      <c r="AJ52" s="221" t="n">
        <v>0.5247000000000001</v>
      </c>
      <c r="AK52" s="221" t="n">
        <v>0.6375999999999999</v>
      </c>
      <c r="AL52" s="221" t="n">
        <v>0.45415</v>
      </c>
      <c r="AM52" s="221" t="n">
        <v>0.60725</v>
      </c>
      <c r="AN52" s="221" t="n">
        <v>0.96135</v>
      </c>
      <c r="AO52" s="221" t="n">
        <v>1.04125</v>
      </c>
      <c r="AP52" s="221" t="n">
        <v>1.1995</v>
      </c>
      <c r="AQ52" s="221" t="n">
        <v>1.4194</v>
      </c>
      <c r="AR52" s="221" t="n">
        <v>1.99865</v>
      </c>
      <c r="AS52" s="201" t="n">
        <v>0</v>
      </c>
      <c r="AT52" s="512" t="n">
        <v>3.644907707</v>
      </c>
      <c r="AU52" s="203">
        <f>35435.97/D52</f>
        <v/>
      </c>
      <c r="AV52" s="204">
        <f>SUM(AJ52:AU52)</f>
        <v/>
      </c>
      <c r="AW52" s="513">
        <f>AV52/12</f>
        <v/>
      </c>
      <c r="AX52" s="203" t="n">
        <v>80000</v>
      </c>
      <c r="AY52" s="203" t="n">
        <v>103553</v>
      </c>
      <c r="AZ52" s="203" t="n">
        <v>64539</v>
      </c>
      <c r="BA52" s="203" t="n">
        <v>44692</v>
      </c>
      <c r="BB52" s="203" t="n">
        <v>39890</v>
      </c>
      <c r="BC52" s="203">
        <f>SUMIFS(領用表!$L:$L,領用表!$A:$A,BC$2,領用表!$E:$E,B52)</f>
        <v/>
      </c>
      <c r="BD52" s="206">
        <f>SUMIFS(領用表!$L:$L,領用表!$E:$E,$B52,領用表!$B:$B,BC$2&amp;BD$2)</f>
        <v/>
      </c>
      <c r="BE52" s="206">
        <f>SUMIFS(領用表!$L:$L,領用表!$E:$E,$B52,領用表!$B:$B,$BC$2&amp;BE$2)</f>
        <v/>
      </c>
      <c r="BF52" s="206">
        <f>SUMIFS(領用表!$L:$L,領用表!$E:$E,$B52,領用表!$B:$B,$BC$2&amp;BF$2)</f>
        <v/>
      </c>
      <c r="BG52" s="206">
        <f>SUMIFS(領用表!$L:$L,領用表!$E:$E,$B52,領用表!$B:$B,$BC$2&amp;BG$2)</f>
        <v/>
      </c>
      <c r="BH52" s="203">
        <f>SUMIFS(領用表!$L:$L,領用表!$A:$A,BH$2,領用表!$E:$E,B52)</f>
        <v/>
      </c>
      <c r="BI52" s="260">
        <f>SUMIFS(領用表!$L:$L,領用表!$E:$E,$B52,領用表!$B:$B,BH$2&amp;BI$2)</f>
        <v/>
      </c>
      <c r="BJ52" s="260">
        <f>SUMIFS(領用表!$L:$L,領用表!$E:$E,$B52,領用表!$B:$B,$BH$2&amp;BJ$2)</f>
        <v/>
      </c>
      <c r="BK52" s="260">
        <f>SUMIFS(領用表!$L:$L,領用表!$E:$E,$B52,領用表!$B:$B,$BH$2&amp;BK$2)</f>
        <v/>
      </c>
      <c r="BL52" s="260">
        <f>SUMIFS(領用表!$L:$L,領用表!$E:$E,$B52,領用表!$B:$B,$BH$2&amp;BL$2)</f>
        <v/>
      </c>
      <c r="BM52" s="203">
        <f>SUMIFS(領用表!$L:$L,領用表!$A:$A,BM$2,領用表!$E:$E,B52)</f>
        <v/>
      </c>
      <c r="BN52" s="206">
        <f>SUMIFS(領用表!$L:$L,領用表!$E:$E,$B52,領用表!$B:$B,BM$2&amp;BN$2)</f>
        <v/>
      </c>
      <c r="BO52" s="206">
        <f>SUMIFS(領用表!$L:$L,領用表!$E:$E,$B52,領用表!$B:$B,$BM$2&amp;BO$2)</f>
        <v/>
      </c>
      <c r="BP52" s="206">
        <f>SUMIFS(領用表!$L:$L,領用表!$E:$E,$B52,領用表!$B:$B,$BM$2&amp;BP$2)</f>
        <v/>
      </c>
      <c r="BQ52" s="206">
        <f>SUMIFS(領用表!$L:$L,領用表!$E:$E,$B52,領用表!$B:$B,$BM$2&amp;BQ$2)</f>
        <v/>
      </c>
      <c r="BR52" s="203">
        <f>SUMIFS(領用表!$L:$L,領用表!$A:$A,BR$2,領用表!$E:$E,B52)</f>
        <v/>
      </c>
      <c r="BS52" s="206">
        <f>SUMIFS(領用表!$L:$L,領用表!$E:$E,$B52,領用表!$B:$B,BR$2&amp;BS$2)</f>
        <v/>
      </c>
      <c r="BT52" s="206">
        <f>SUMIFS(領用表!$L:$L,領用表!$E:$E,$B52,領用表!$B:$B,$BR$2&amp;BT$2)</f>
        <v/>
      </c>
      <c r="BU52" s="206">
        <f>SUMIFS(領用表!$L:$L,領用表!$E:$E,$B52,領用表!$B:$B,$BR$2&amp;BU$2)</f>
        <v/>
      </c>
      <c r="BV52" s="206">
        <f>SUMIFS(領用表!$L:$L,領用表!$E:$E,$B52,領用表!$B:$B,$BR$2&amp;BV$2)</f>
        <v/>
      </c>
      <c r="BW52" s="208">
        <f>SUMIFS(領用表!$L:$L,領用表!$A:$A,BW$2,領用表!$E:$E,B52)</f>
        <v/>
      </c>
      <c r="BX52" s="206">
        <f>SUMIFS(領用表!$L:$L,領用表!$E:$E,$B52,領用表!$B:$B,BW$2&amp;BX$2)</f>
        <v/>
      </c>
      <c r="BY52" s="206">
        <f>SUMIFS(領用表!$L:$L,領用表!$E:$E,$B52,領用表!$B:$B,$BW$2&amp;BY$2)</f>
        <v/>
      </c>
      <c r="BZ52" s="206">
        <f>SUMIFS(領用表!$L:$L,領用表!$E:$E,$B52,領用表!$B:$B,$BW$2&amp;BZ$2)</f>
        <v/>
      </c>
      <c r="CA52" s="206">
        <f>SUMIFS(領用表!$L:$L,領用表!$E:$E,$B52,領用表!$B:$B,$BW$2&amp;CA$2)</f>
        <v/>
      </c>
      <c r="CB52" s="208">
        <f>SUMIFS(領用表!$L:$L,領用表!$A:$A,CB$2,領用表!$E:$E,B52)</f>
        <v/>
      </c>
      <c r="CC52" s="206">
        <f>SUMIFS(領用表!$L:$L,領用表!$E:$E,$B52,領用表!$B:$B,CB$2&amp;CC$2)</f>
        <v/>
      </c>
      <c r="CD52" s="206">
        <f>SUMIFS(領用表!$L:$L,領用表!$E:$E,$B52,領用表!$B:$B,$CB$2&amp;CD$2)</f>
        <v/>
      </c>
      <c r="CE52" s="206">
        <f>SUMIFS(領用表!$L:$L,領用表!$E:$E,$B52,領用表!$B:$B,$CB$2&amp;CE$2)</f>
        <v/>
      </c>
      <c r="CF52" s="206">
        <f>SUMIFS(領用表!$L:$L,領用表!$E:$E,$B52,領用表!$B:$B,$CB$2&amp;CF$2)</f>
        <v/>
      </c>
      <c r="CG52" s="208">
        <f>SUMIFS(領用表!$L:$L,領用表!$A:$A,CG$2,領用表!$E:$E,B52)</f>
        <v/>
      </c>
      <c r="CH52" s="206">
        <f>SUMIFS(領用表!$L:$L,領用表!$E:$E,$B52,領用表!$B:$B,CG$2&amp;CH$2)</f>
        <v/>
      </c>
      <c r="CI52" s="206">
        <f>SUMIFS(領用表!$L:$L,領用表!$E:$E,$B52,領用表!$B:$B,CG$2&amp;CI$2)</f>
        <v/>
      </c>
      <c r="CJ52" s="206">
        <f>SUMIFS(領用表!$L:$L,領用表!$E:$E,$B52,領用表!$B:$B,CG$2&amp;CJ$2)</f>
        <v/>
      </c>
      <c r="CK52" s="206">
        <f>SUMIFS(領用表!$L:$L,領用表!$E:$E,$B52,領用表!$B:$B,$CG$2&amp;CK$2)</f>
        <v/>
      </c>
      <c r="CL52" s="207">
        <f>SUM(AX52,AY52,AZ52,BA52,BB52,BC52,BH52,BM52,BR52,BW52,CB52,CG52)</f>
        <v/>
      </c>
      <c r="CM52" s="207">
        <f>AVERAGE(AX52,AY52,AZ52,BA52,BB52,BC52,BH52,BM52,BR52,BW52,CB52,CG52)</f>
        <v/>
      </c>
      <c r="CN52" s="208">
        <f>SUMIFS(領用表!$L:$L,領用表!$A:$A,CN$2,領用表!$E:$E,B52)</f>
        <v/>
      </c>
      <c r="CO52" s="206">
        <f>SUMIFS(領用表!$L:$L,領用表!$E:$E,$B52,領用表!$B:$B,CN$2&amp;CO$2)</f>
        <v/>
      </c>
      <c r="CP52" s="206">
        <f>SUMIFS(領用表!$L:$L,領用表!$E:$E,$B52,領用表!$B:$B,$CN$2&amp;CP$2)</f>
        <v/>
      </c>
      <c r="CQ52" s="206">
        <f>SUMIFS(領用表!$L:$L,領用表!$E:$E,$B52,領用表!$B:$B,$CN$2&amp;CQ$2)</f>
        <v/>
      </c>
      <c r="CR52" s="206">
        <f>SUMIFS(領用表!$L:$L,領用表!$E:$E,$B52,領用表!$B:$B,$CN$2&amp;CR$2)</f>
        <v/>
      </c>
      <c r="CS52" s="208">
        <f>SUMIFS(領用表!$L:$L,領用表!$A:$A,CS$2,領用表!$E:$E,B52)</f>
        <v/>
      </c>
      <c r="CT52" s="206">
        <f>SUMIFS(領用表!$L:$L,領用表!$E:$E,$B52,領用表!$B:$B,CS$2&amp;CT$2)</f>
        <v/>
      </c>
      <c r="CU52" s="206">
        <f>SUMIFS(領用表!$L:$L,領用表!$E:$E,$B52,領用表!$B:$B,$CS$2&amp;CU$2)</f>
        <v/>
      </c>
      <c r="CV52" s="206">
        <f>SUMIFS(領用表!$L:$L,領用表!$E:$E,$B52,領用表!$B:$B,$CS$2&amp;CV$2)</f>
        <v/>
      </c>
      <c r="CW52" s="206">
        <f>SUMIFS(領用表!$L:$L,領用表!$E:$E,$B52,領用表!$B:$B,$CS$2&amp;CW$2)</f>
        <v/>
      </c>
      <c r="CX52" s="206">
        <f>SUMIFS(領用表!$L:$L,領用表!$E:$E,$B52,領用表!$B:$B,$CS$2&amp;CX$2)</f>
        <v/>
      </c>
      <c r="CY52" s="208">
        <f>SUMIFS(領用表!$L:$L,領用表!$A:$A,CY$2,領用表!$E:$E,B52)</f>
        <v/>
      </c>
      <c r="CZ52" s="206">
        <f>SUMIFS(領用表!$L:$L,領用表!$E:$E,$B52,領用表!$B:$B,CY$2&amp;CZ$2)</f>
        <v/>
      </c>
      <c r="DA52" s="206">
        <f>SUMIFS(領用表!$L:$L,領用表!$E:$E,$B52,領用表!$B:$B,$CY$2&amp;DA$2)</f>
        <v/>
      </c>
      <c r="DB52" s="206">
        <f>SUMIFS(領用表!$L:$L,領用表!$E:$E,$B52,領用表!$B:$B,$CY$2&amp;DB$2)</f>
        <v/>
      </c>
      <c r="DC52" s="206">
        <f>SUMIFS(領用表!$L:$L,領用表!$E:$E,$B52,領用表!$B:$B,$CY$2&amp;DC$2)</f>
        <v/>
      </c>
      <c r="DD52" s="206">
        <f>SUMIFS(領用表!$L:$L,領用表!$E:$E,$B52,領用表!$B:$B,$CY$2&amp;DD$2)</f>
        <v/>
      </c>
      <c r="DE52" s="208">
        <f>SUMIFS(領用表!$L:$L,領用表!$A:$A,DE$2,領用表!$E:$E,B52)</f>
        <v/>
      </c>
      <c r="DF52" s="206">
        <f>SUMIFS(領用表!$L:$L,領用表!$E:$E,$B52,領用表!$B:$B,DE$2&amp;DF$2)</f>
        <v/>
      </c>
      <c r="DG52" s="206">
        <f>SUMIFS(領用表!$L:$L,領用表!$E:$E,$B52,領用表!$B:$B,$DE$2&amp;DG$2)</f>
        <v/>
      </c>
      <c r="DH52" s="206">
        <f>SUMIFS(領用表!$L:$L,領用表!$E:$E,$B52,領用表!$B:$B,$DE$2&amp;DH$2)</f>
        <v/>
      </c>
      <c r="DI52" s="206">
        <f>SUMIFS(領用表!$L:$L,領用表!$E:$E,$B52,領用表!$B:$B,$DE$2&amp;DI$2)</f>
        <v/>
      </c>
      <c r="DJ52" s="206">
        <f>SUMIFS(領用表!$L:$L,領用表!$E:$E,$B52,領用表!$B:$B,$DE$2&amp;DJ$2)</f>
        <v/>
      </c>
      <c r="DK52" s="208">
        <f>SUMIFS(領用表!$L:$L,領用表!$A:$A,DK$2,領用表!$E:$E,$B52)</f>
        <v/>
      </c>
      <c r="DL52" s="206">
        <f>SUMIFS(領用表!$L:$L,領用表!$E:$E,$B52,領用表!$B:$B,DK$2&amp;DL$2)</f>
        <v/>
      </c>
      <c r="DM52" s="206">
        <f>SUMIFS(領用表!$L:$L,領用表!$E:$E,$B52,領用表!$B:$B,$DK$2&amp;DM$2)</f>
        <v/>
      </c>
      <c r="DN52" s="206">
        <f>SUMIFS(領用表!$L:$L,領用表!$E:$E,$B52,領用表!$B:$B,$DK$2&amp;DN$2)</f>
        <v/>
      </c>
      <c r="DO52" s="206">
        <f>SUMIFS(領用表!$L:$L,領用表!$E:$E,$B52,領用表!$B:$B,$DK$2&amp;DO$2)</f>
        <v/>
      </c>
      <c r="DP52" s="206">
        <f>SUMIFS(領用表!$L:$L,領用表!$E:$E,$B52,領用表!$B:$B,$DK$2&amp;DP$2)</f>
        <v/>
      </c>
      <c r="DQ52" s="208" t="n">
        <v>21318</v>
      </c>
      <c r="DR52" s="206" t="n">
        <v>6219</v>
      </c>
      <c r="DS52" s="206" t="n"/>
      <c r="DT52" s="206" t="n">
        <v>9255</v>
      </c>
      <c r="DU52" s="206" t="n"/>
      <c r="DV52" s="206" t="n">
        <v>5844</v>
      </c>
      <c r="DW52" s="206">
        <f>SUM(CN52,CS52,CY52,DE52,DK52,DQ52)</f>
        <v/>
      </c>
      <c r="DX52" s="206">
        <f>AVERAGEA(CN52,CS52,CY52,DE52,DK52,DQ52)</f>
        <v/>
      </c>
      <c r="DY52" s="206">
        <f>SUM(DZ52:EC52)</f>
        <v/>
      </c>
      <c r="DZ52" s="206" t="n">
        <v>50000</v>
      </c>
      <c r="EA52" s="206" t="n">
        <v>0</v>
      </c>
      <c r="EB52" s="206" t="n">
        <v>65000</v>
      </c>
      <c r="EC52" s="206" t="n">
        <v>0</v>
      </c>
      <c r="ED52" s="215" t="n">
        <v>120000</v>
      </c>
      <c r="EE52" s="514" t="n"/>
      <c r="EF52" s="210" t="n"/>
      <c r="EG52" s="261" t="n"/>
      <c r="EH52" s="526" t="n">
        <v>20000</v>
      </c>
      <c r="EI52" s="212" t="n"/>
      <c r="EJ52" s="118">
        <f>IFERROR(VLOOKUP(A52,站前4樓!A:BF,57,0),0)</f>
        <v/>
      </c>
      <c r="EK52" s="213">
        <f>IFERROR(VLOOKUP(A52,站前11樓!A:BE,57,0),0)</f>
        <v/>
      </c>
      <c r="EL52" s="118">
        <f>IFERROR(VLOOKUP(A52,忠孝7樓!A:N,57,0),0)</f>
        <v/>
      </c>
      <c r="EM52" s="118">
        <f>IFERROR(VLOOKUP(A52,忠孝國際醫學3樓!A:L,57,0),0)</f>
        <v/>
      </c>
      <c r="EN52" s="118">
        <f>SUM(ED52:EG52)</f>
        <v/>
      </c>
      <c r="EP52" s="118" t="n">
        <v>95718</v>
      </c>
      <c r="EQ52" s="118" t="n">
        <v>142008</v>
      </c>
    </row>
    <row r="53" ht="15.75" customFormat="1" customHeight="1" s="118">
      <c r="A53" s="136" t="inlineStr">
        <is>
          <t>MM2MB040005A</t>
        </is>
      </c>
      <c r="B53" s="118" t="n">
        <v>6170009</v>
      </c>
      <c r="C53" s="118" t="inlineStr">
        <is>
          <t>海芙三代音波探頭4.5mm(1條)</t>
        </is>
      </c>
      <c r="D53" s="207" t="n">
        <v>20099</v>
      </c>
      <c r="E53" s="198" t="inlineStr">
        <is>
          <t>SHOT</t>
        </is>
      </c>
      <c r="F53" s="199">
        <f>SUMIF(站前4樓!B:B,B53,站前4樓!F:F)</f>
        <v/>
      </c>
      <c r="G53" s="199">
        <f>SUMIF(站前11樓!B:B,B53,站前11樓!F:F)</f>
        <v/>
      </c>
      <c r="H53" s="199">
        <f>SUMIF(忠孝7樓!B:B,B53,忠孝7樓!G:G)</f>
        <v/>
      </c>
      <c r="I53" s="199">
        <f>SUMIF(忠孝國際醫學3樓!B:B,B53,忠孝國際醫學3樓!G:G)</f>
        <v/>
      </c>
      <c r="J53" s="199">
        <f>SUMIF(忠孝健康7樓!B:B,B53,忠孝健康7樓!G:G)</f>
        <v/>
      </c>
      <c r="K53" s="200" t="n">
        <v>0</v>
      </c>
      <c r="L53" s="200" t="n">
        <v>0.05</v>
      </c>
      <c r="M53" s="200" t="n">
        <v>0.05</v>
      </c>
      <c r="N53" s="200" t="n">
        <v>0.28</v>
      </c>
      <c r="O53" s="200" t="n">
        <v>0.15</v>
      </c>
      <c r="P53" s="200" t="n">
        <v>0.1</v>
      </c>
      <c r="Q53" s="200" t="n">
        <v>0.02</v>
      </c>
      <c r="R53" s="200" t="n">
        <v>0.07000000000000001</v>
      </c>
      <c r="S53" s="200" t="n">
        <v>0.07000000000000001</v>
      </c>
      <c r="T53" s="200" t="n">
        <v>0.03</v>
      </c>
      <c r="U53" s="200" t="n">
        <v>0.08</v>
      </c>
      <c r="V53" s="200" t="n">
        <v>0.28</v>
      </c>
      <c r="W53" s="200" t="n">
        <v>0.34</v>
      </c>
      <c r="X53" s="200" t="n">
        <v>0.43</v>
      </c>
      <c r="Y53" s="200" t="n">
        <v>0.22</v>
      </c>
      <c r="Z53" s="200" t="n">
        <v>0.27</v>
      </c>
      <c r="AA53" s="200" t="n">
        <v>0.19</v>
      </c>
      <c r="AB53" s="200" t="n">
        <v>0.17</v>
      </c>
      <c r="AC53" s="200" t="n">
        <v>0.08</v>
      </c>
      <c r="AD53" s="200" t="n">
        <v>0.17</v>
      </c>
      <c r="AE53" s="200" t="n">
        <v>0.49</v>
      </c>
      <c r="AF53" s="200" t="n">
        <v>0.33</v>
      </c>
      <c r="AG53" s="200" t="n">
        <v>0.36</v>
      </c>
      <c r="AH53" s="200" t="n">
        <v>0.55</v>
      </c>
      <c r="AI53" s="200" t="n">
        <v>1.18</v>
      </c>
      <c r="AJ53" s="221" t="n">
        <v>1.18975</v>
      </c>
      <c r="AK53" s="221" t="n">
        <v>1.70775</v>
      </c>
      <c r="AL53" s="221" t="n">
        <v>1.1122</v>
      </c>
      <c r="AM53" s="221" t="n">
        <v>1.51605</v>
      </c>
      <c r="AN53" s="221" t="n">
        <v>1.7877</v>
      </c>
      <c r="AO53" s="221" t="n">
        <v>1.9861</v>
      </c>
      <c r="AP53" s="221" t="n">
        <v>1.8073</v>
      </c>
      <c r="AQ53" s="221" t="n">
        <v>2.97675</v>
      </c>
      <c r="AR53" s="221" t="n">
        <v>3.9359</v>
      </c>
      <c r="AS53" s="201" t="n">
        <v>2</v>
      </c>
      <c r="AT53" s="512" t="n">
        <v>4.666898851</v>
      </c>
      <c r="AU53" s="203">
        <f>111583.65/D53</f>
        <v/>
      </c>
      <c r="AV53" s="204">
        <f>SUM(AJ53:AU53)</f>
        <v/>
      </c>
      <c r="AW53" s="513">
        <f>AV53/12</f>
        <v/>
      </c>
      <c r="AX53" s="203" t="n">
        <v>136000</v>
      </c>
      <c r="AY53" s="203" t="n">
        <v>191154</v>
      </c>
      <c r="AZ53" s="203" t="n">
        <v>112945</v>
      </c>
      <c r="BA53" s="203" t="n">
        <v>91969</v>
      </c>
      <c r="BB53" s="203" t="n">
        <v>71243</v>
      </c>
      <c r="BC53" s="203">
        <f>SUMIFS(領用表!$L:$L,領用表!$A:$A,BC$2,領用表!$E:$E,B53)</f>
        <v/>
      </c>
      <c r="BD53" s="206">
        <f>SUMIFS(領用表!$L:$L,領用表!$E:$E,$B53,領用表!$B:$B,BC$2&amp;BD$2)</f>
        <v/>
      </c>
      <c r="BE53" s="206">
        <f>SUMIFS(領用表!$L:$L,領用表!$E:$E,$B53,領用表!$B:$B,$BC$2&amp;BE$2)</f>
        <v/>
      </c>
      <c r="BF53" s="206">
        <f>SUMIFS(領用表!$L:$L,領用表!$E:$E,$B53,領用表!$B:$B,$BC$2&amp;BF$2)</f>
        <v/>
      </c>
      <c r="BG53" s="206">
        <f>SUMIFS(領用表!$L:$L,領用表!$E:$E,$B53,領用表!$B:$B,$BC$2&amp;BG$2)</f>
        <v/>
      </c>
      <c r="BH53" s="203">
        <f>SUMIFS(領用表!$L:$L,領用表!$A:$A,BH$2,領用表!$E:$E,B53)</f>
        <v/>
      </c>
      <c r="BI53" s="260">
        <f>SUMIFS(領用表!$L:$L,領用表!$E:$E,$B53,領用表!$B:$B,BH$2&amp;BI$2)</f>
        <v/>
      </c>
      <c r="BJ53" s="260">
        <f>SUMIFS(領用表!$L:$L,領用表!$E:$E,$B53,領用表!$B:$B,$BH$2&amp;BJ$2)</f>
        <v/>
      </c>
      <c r="BK53" s="260">
        <f>SUMIFS(領用表!$L:$L,領用表!$E:$E,$B53,領用表!$B:$B,$BH$2&amp;BK$2)</f>
        <v/>
      </c>
      <c r="BL53" s="260">
        <f>SUMIFS(領用表!$L:$L,領用表!$E:$E,$B53,領用表!$B:$B,$BH$2&amp;BL$2)</f>
        <v/>
      </c>
      <c r="BM53" s="203">
        <f>SUMIFS(領用表!$L:$L,領用表!$A:$A,BM$2,領用表!$E:$E,B53)</f>
        <v/>
      </c>
      <c r="BN53" s="206">
        <f>SUMIFS(領用表!$L:$L,領用表!$E:$E,$B53,領用表!$B:$B,BM$2&amp;BN$2)</f>
        <v/>
      </c>
      <c r="BO53" s="206">
        <f>SUMIFS(領用表!$L:$L,領用表!$E:$E,$B53,領用表!$B:$B,$BM$2&amp;BO$2)</f>
        <v/>
      </c>
      <c r="BP53" s="206">
        <f>SUMIFS(領用表!$L:$L,領用表!$E:$E,$B53,領用表!$B:$B,$BM$2&amp;BP$2)</f>
        <v/>
      </c>
      <c r="BQ53" s="206">
        <f>SUMIFS(領用表!$L:$L,領用表!$E:$E,$B53,領用表!$B:$B,$BM$2&amp;BQ$2)</f>
        <v/>
      </c>
      <c r="BR53" s="203">
        <f>SUMIFS(領用表!$L:$L,領用表!$A:$A,BR$2,領用表!$E:$E,B53)</f>
        <v/>
      </c>
      <c r="BS53" s="206">
        <f>SUMIFS(領用表!$L:$L,領用表!$E:$E,$B53,領用表!$B:$B,BR$2&amp;BS$2)</f>
        <v/>
      </c>
      <c r="BT53" s="206">
        <f>SUMIFS(領用表!$L:$L,領用表!$E:$E,$B53,領用表!$B:$B,$BR$2&amp;BT$2)</f>
        <v/>
      </c>
      <c r="BU53" s="206">
        <f>SUMIFS(領用表!$L:$L,領用表!$E:$E,$B53,領用表!$B:$B,$BR$2&amp;BU$2)</f>
        <v/>
      </c>
      <c r="BV53" s="206">
        <f>SUMIFS(領用表!$L:$L,領用表!$E:$E,$B53,領用表!$B:$B,$BR$2&amp;BV$2)</f>
        <v/>
      </c>
      <c r="BW53" s="208">
        <f>SUMIFS(領用表!$L:$L,領用表!$A:$A,BW$2,領用表!$E:$E,B53)</f>
        <v/>
      </c>
      <c r="BX53" s="206">
        <f>SUMIFS(領用表!$L:$L,領用表!$E:$E,$B53,領用表!$B:$B,BW$2&amp;BX$2)</f>
        <v/>
      </c>
      <c r="BY53" s="206">
        <f>SUMIFS(領用表!$L:$L,領用表!$E:$E,$B53,領用表!$B:$B,$BW$2&amp;BY$2)</f>
        <v/>
      </c>
      <c r="BZ53" s="206">
        <f>SUMIFS(領用表!$L:$L,領用表!$E:$E,$B53,領用表!$B:$B,$BW$2&amp;BZ$2)</f>
        <v/>
      </c>
      <c r="CA53" s="206">
        <f>SUMIFS(領用表!$L:$L,領用表!$E:$E,$B53,領用表!$B:$B,$BW$2&amp;CA$2)</f>
        <v/>
      </c>
      <c r="CB53" s="208">
        <f>SUMIFS(領用表!$L:$L,領用表!$A:$A,CB$2,領用表!$E:$E,B53)</f>
        <v/>
      </c>
      <c r="CC53" s="206">
        <f>SUMIFS(領用表!$L:$L,領用表!$E:$E,$B53,領用表!$B:$B,CB$2&amp;CC$2)</f>
        <v/>
      </c>
      <c r="CD53" s="206">
        <f>SUMIFS(領用表!$L:$L,領用表!$E:$E,$B53,領用表!$B:$B,$CB$2&amp;CD$2)</f>
        <v/>
      </c>
      <c r="CE53" s="206">
        <f>SUMIFS(領用表!$L:$L,領用表!$E:$E,$B53,領用表!$B:$B,$CB$2&amp;CE$2)</f>
        <v/>
      </c>
      <c r="CF53" s="206">
        <f>SUMIFS(領用表!$L:$L,領用表!$E:$E,$B53,領用表!$B:$B,$CB$2&amp;CF$2)</f>
        <v/>
      </c>
      <c r="CG53" s="208">
        <f>SUMIFS(領用表!$L:$L,領用表!$A:$A,CG$2,領用表!$E:$E,B53)</f>
        <v/>
      </c>
      <c r="CH53" s="206">
        <f>SUMIFS(領用表!$L:$L,領用表!$E:$E,$B53,領用表!$B:$B,CG$2&amp;CH$2)</f>
        <v/>
      </c>
      <c r="CI53" s="206">
        <f>SUMIFS(領用表!$L:$L,領用表!$E:$E,$B53,領用表!$B:$B,CG$2&amp;CI$2)</f>
        <v/>
      </c>
      <c r="CJ53" s="206">
        <f>SUMIFS(領用表!$L:$L,領用表!$E:$E,$B53,領用表!$B:$B,CG$2&amp;CJ$2)</f>
        <v/>
      </c>
      <c r="CK53" s="206">
        <f>SUMIFS(領用表!$L:$L,領用表!$E:$E,$B53,領用表!$B:$B,$CG$2&amp;CK$2)</f>
        <v/>
      </c>
      <c r="CL53" s="207">
        <f>SUM(AX53,AY53,AZ53,BA53,BB53,BC53,BH53,BM53,BR53,BW53,CB53,CG53)</f>
        <v/>
      </c>
      <c r="CM53" s="207">
        <f>AVERAGE(AX53,AY53,AZ53,BA53,BB53,BC53,BH53,BM53,BR53,BW53,CB53,CG53)</f>
        <v/>
      </c>
      <c r="CN53" s="208">
        <f>SUMIFS(領用表!$L:$L,領用表!$A:$A,CN$2,領用表!$E:$E,B53)</f>
        <v/>
      </c>
      <c r="CO53" s="206">
        <f>SUMIFS(領用表!$L:$L,領用表!$E:$E,$B53,領用表!$B:$B,CN$2&amp;CO$2)</f>
        <v/>
      </c>
      <c r="CP53" s="206">
        <f>SUMIFS(領用表!$L:$L,領用表!$E:$E,$B53,領用表!$B:$B,$CN$2&amp;CP$2)</f>
        <v/>
      </c>
      <c r="CQ53" s="206">
        <f>SUMIFS(領用表!$L:$L,領用表!$E:$E,$B53,領用表!$B:$B,$CN$2&amp;CQ$2)</f>
        <v/>
      </c>
      <c r="CR53" s="206">
        <f>SUMIFS(領用表!$L:$L,領用表!$E:$E,$B53,領用表!$B:$B,$CN$2&amp;CR$2)</f>
        <v/>
      </c>
      <c r="CS53" s="208">
        <f>SUMIFS(領用表!$L:$L,領用表!$A:$A,CS$2,領用表!$E:$E,B53)</f>
        <v/>
      </c>
      <c r="CT53" s="206">
        <f>SUMIFS(領用表!$L:$L,領用表!$E:$E,$B53,領用表!$B:$B,CS$2&amp;CT$2)</f>
        <v/>
      </c>
      <c r="CU53" s="206">
        <f>SUMIFS(領用表!$L:$L,領用表!$E:$E,$B53,領用表!$B:$B,$CS$2&amp;CU$2)</f>
        <v/>
      </c>
      <c r="CV53" s="206">
        <f>SUMIFS(領用表!$L:$L,領用表!$E:$E,$B53,領用表!$B:$B,$CS$2&amp;CV$2)</f>
        <v/>
      </c>
      <c r="CW53" s="206">
        <f>SUMIFS(領用表!$L:$L,領用表!$E:$E,$B53,領用表!$B:$B,$CS$2&amp;CW$2)</f>
        <v/>
      </c>
      <c r="CX53" s="206">
        <f>SUMIFS(領用表!$L:$L,領用表!$E:$E,$B53,領用表!$B:$B,$CS$2&amp;CX$2)</f>
        <v/>
      </c>
      <c r="CY53" s="208">
        <f>SUMIFS(領用表!$L:$L,領用表!$A:$A,CY$2,領用表!$E:$E,B53)</f>
        <v/>
      </c>
      <c r="CZ53" s="206">
        <f>SUMIFS(領用表!$L:$L,領用表!$E:$E,$B53,領用表!$B:$B,CY$2&amp;CZ$2)</f>
        <v/>
      </c>
      <c r="DA53" s="206">
        <f>SUMIFS(領用表!$L:$L,領用表!$E:$E,$B53,領用表!$B:$B,$CY$2&amp;DA$2)</f>
        <v/>
      </c>
      <c r="DB53" s="206">
        <f>SUMIFS(領用表!$L:$L,領用表!$E:$E,$B53,領用表!$B:$B,$CY$2&amp;DB$2)</f>
        <v/>
      </c>
      <c r="DC53" s="206">
        <f>SUMIFS(領用表!$L:$L,領用表!$E:$E,$B53,領用表!$B:$B,$CY$2&amp;DC$2)</f>
        <v/>
      </c>
      <c r="DD53" s="206">
        <f>SUMIFS(領用表!$L:$L,領用表!$E:$E,$B53,領用表!$B:$B,$CY$2&amp;DD$2)</f>
        <v/>
      </c>
      <c r="DE53" s="208">
        <f>SUMIFS(領用表!$L:$L,領用表!$A:$A,DE$2,領用表!$E:$E,B53)</f>
        <v/>
      </c>
      <c r="DF53" s="206">
        <f>SUMIFS(領用表!$L:$L,領用表!$E:$E,$B53,領用表!$B:$B,DE$2&amp;DF$2)</f>
        <v/>
      </c>
      <c r="DG53" s="206">
        <f>SUMIFS(領用表!$L:$L,領用表!$E:$E,$B53,領用表!$B:$B,$DE$2&amp;DG$2)</f>
        <v/>
      </c>
      <c r="DH53" s="206">
        <f>SUMIFS(領用表!$L:$L,領用表!$E:$E,$B53,領用表!$B:$B,$DE$2&amp;DH$2)</f>
        <v/>
      </c>
      <c r="DI53" s="206">
        <f>SUMIFS(領用表!$L:$L,領用表!$E:$E,$B53,領用表!$B:$B,$DE$2&amp;DI$2)</f>
        <v/>
      </c>
      <c r="DJ53" s="206">
        <f>SUMIFS(領用表!$L:$L,領用表!$E:$E,$B53,領用表!$B:$B,$DE$2&amp;DJ$2)</f>
        <v/>
      </c>
      <c r="DK53" s="208">
        <f>SUMIFS(領用表!$L:$L,領用表!$A:$A,DK$2,領用表!$E:$E,$B53)</f>
        <v/>
      </c>
      <c r="DL53" s="206">
        <f>SUMIFS(領用表!$L:$L,領用表!$E:$E,$B53,領用表!$B:$B,DK$2&amp;DL$2)</f>
        <v/>
      </c>
      <c r="DM53" s="206">
        <f>SUMIFS(領用表!$L:$L,領用表!$E:$E,$B53,領用表!$B:$B,$DK$2&amp;DM$2)</f>
        <v/>
      </c>
      <c r="DN53" s="206">
        <f>SUMIFS(領用表!$L:$L,領用表!$E:$E,$B53,領用表!$B:$B,$DK$2&amp;DN$2)</f>
        <v/>
      </c>
      <c r="DO53" s="206">
        <f>SUMIFS(領用表!$L:$L,領用表!$E:$E,$B53,領用表!$B:$B,$DK$2&amp;DO$2)</f>
        <v/>
      </c>
      <c r="DP53" s="206">
        <f>SUMIFS(領用表!$L:$L,領用表!$E:$E,$B53,領用表!$B:$B,$DK$2&amp;DP$2)</f>
        <v/>
      </c>
      <c r="DQ53" s="208" t="n">
        <v>29329</v>
      </c>
      <c r="DR53" s="206" t="n">
        <v>10711</v>
      </c>
      <c r="DS53" s="206" t="n"/>
      <c r="DT53" s="206" t="n">
        <v>11132</v>
      </c>
      <c r="DU53" s="206" t="n"/>
      <c r="DV53" s="206" t="n">
        <v>7486</v>
      </c>
      <c r="DW53" s="206">
        <f>SUM(CN53,CS53,CY53,DE53,DK53,DQ53)</f>
        <v/>
      </c>
      <c r="DX53" s="206">
        <f>AVERAGEA(CN53,CS53,CY53,DE53,DK53,DQ53)</f>
        <v/>
      </c>
      <c r="DY53" s="206">
        <f>SUM(DZ53:EC53)</f>
        <v/>
      </c>
      <c r="DZ53" s="206" t="n">
        <v>70000</v>
      </c>
      <c r="EA53" s="206" t="n">
        <v>0</v>
      </c>
      <c r="EB53" s="206" t="n">
        <v>100000</v>
      </c>
      <c r="EC53" s="206" t="n">
        <v>0</v>
      </c>
      <c r="ED53" s="215" t="n">
        <v>120000</v>
      </c>
      <c r="EE53" s="514" t="n"/>
      <c r="EF53" s="210" t="n"/>
      <c r="EG53" s="262" t="inlineStr">
        <is>
          <t>3顆(10/23)</t>
        </is>
      </c>
      <c r="EH53" s="526" t="n">
        <v>20000</v>
      </c>
      <c r="EI53" s="212" t="n"/>
      <c r="EJ53" s="118">
        <f>IFERROR(VLOOKUP(A53,站前4樓!A:BF,57,0),0)</f>
        <v/>
      </c>
      <c r="EK53" s="213">
        <f>IFERROR(VLOOKUP(A53,站前11樓!A:BE,57,0),0)</f>
        <v/>
      </c>
      <c r="EL53" s="118">
        <f>IFERROR(VLOOKUP(A53,忠孝7樓!A:N,57,0),0)</f>
        <v/>
      </c>
      <c r="EM53" s="118">
        <f>IFERROR(VLOOKUP(A53,忠孝國際醫學3樓!A:L,57,0),0)</f>
        <v/>
      </c>
      <c r="EN53" s="118">
        <f>SUM(ED53:EG53)</f>
        <v/>
      </c>
      <c r="EP53" s="118" t="n">
        <v>133036</v>
      </c>
      <c r="EQ53" s="118" t="n">
        <v>134372</v>
      </c>
    </row>
    <row r="54" ht="15" customFormat="1" customHeight="1" s="118">
      <c r="A54" s="136" t="inlineStr">
        <is>
          <t>MM2MB040006A</t>
        </is>
      </c>
      <c r="B54" s="118" t="n">
        <v>6170011</v>
      </c>
      <c r="C54" s="118" t="inlineStr">
        <is>
          <t>海芙三代音波探頭6mm(1條)</t>
        </is>
      </c>
      <c r="D54" s="207" t="n">
        <v>30099</v>
      </c>
      <c r="E54" s="198" t="inlineStr">
        <is>
          <t>SHOT</t>
        </is>
      </c>
      <c r="F54" s="199">
        <f>SUMIF(站前4樓!B:B,B54,站前4樓!F:F)</f>
        <v/>
      </c>
      <c r="G54" s="199">
        <f>SUMIF(站前11樓!B:B,B54,站前11樓!F:F)</f>
        <v/>
      </c>
      <c r="H54" s="199">
        <f>SUMIF(忠孝7樓!B:B,B54,忠孝7樓!G:G)</f>
        <v/>
      </c>
      <c r="I54" s="199">
        <f>SUMIF(忠孝國際醫學3樓!B:B,B54,忠孝國際醫學3樓!G:G)</f>
        <v/>
      </c>
      <c r="J54" s="199">
        <f>SUMIF(忠孝健康7樓!B:B,B54,忠孝健康7樓!G:G)</f>
        <v/>
      </c>
      <c r="K54" s="200" t="n">
        <v>0</v>
      </c>
      <c r="L54" s="200" t="n">
        <v>0.02</v>
      </c>
      <c r="M54" s="200" t="n">
        <v>0.03</v>
      </c>
      <c r="N54" s="200" t="n">
        <v>0.02</v>
      </c>
      <c r="O54" s="200" t="n">
        <v>0.04</v>
      </c>
      <c r="P54" s="200" t="n">
        <v>0.03</v>
      </c>
      <c r="Q54" s="200" t="n">
        <v>0.01</v>
      </c>
      <c r="R54" s="200" t="n">
        <v>0.01</v>
      </c>
      <c r="S54" s="200" t="n">
        <v>0.01</v>
      </c>
      <c r="T54" s="200" t="n">
        <v>0</v>
      </c>
      <c r="U54" s="200" t="n">
        <v>0.03</v>
      </c>
      <c r="V54" s="200" t="n">
        <v>0</v>
      </c>
      <c r="W54" s="200" t="n">
        <v>0.04</v>
      </c>
      <c r="X54" s="200" t="n">
        <v>0.07000000000000001</v>
      </c>
      <c r="Y54" s="200" t="n">
        <v>0.01</v>
      </c>
      <c r="Z54" s="200" t="n">
        <v>0.01</v>
      </c>
      <c r="AA54" s="200" t="n">
        <v>0.01</v>
      </c>
      <c r="AB54" s="200" t="n">
        <v>0</v>
      </c>
      <c r="AC54" s="200" t="n">
        <v>0</v>
      </c>
      <c r="AD54" s="200" t="n">
        <v>0.02</v>
      </c>
      <c r="AE54" s="200" t="n">
        <v>0.01</v>
      </c>
      <c r="AF54" s="200" t="n">
        <v>0.06</v>
      </c>
      <c r="AG54" s="200" t="n">
        <v>0.01</v>
      </c>
      <c r="AH54" s="200" t="n">
        <v>0.17</v>
      </c>
      <c r="AI54" s="200" t="n">
        <v>0.31</v>
      </c>
      <c r="AJ54" s="221" t="n">
        <v>0.152</v>
      </c>
      <c r="AK54" s="221" t="n">
        <v>0.20137</v>
      </c>
      <c r="AL54" s="221" t="n">
        <v>0.26757</v>
      </c>
      <c r="AM54" s="221" t="n">
        <v>0.2903</v>
      </c>
      <c r="AN54" s="221" t="n">
        <v>0.36523</v>
      </c>
      <c r="AO54" s="221" t="n">
        <v>0.41683</v>
      </c>
      <c r="AP54" s="221" t="n">
        <v>0.41357</v>
      </c>
      <c r="AQ54" s="221" t="n">
        <v>0.52527</v>
      </c>
      <c r="AR54" s="221" t="n">
        <v>0.494066667</v>
      </c>
      <c r="AS54" s="201" t="n">
        <v>2</v>
      </c>
      <c r="AT54" s="512" t="n">
        <v>1.989644788</v>
      </c>
      <c r="AU54" s="203">
        <f>27359.04/D54</f>
        <v/>
      </c>
      <c r="AV54" s="204">
        <f>SUM(AJ54:AU54)</f>
        <v/>
      </c>
      <c r="AW54" s="513">
        <f>AV54/12</f>
        <v/>
      </c>
      <c r="AX54" s="203" t="n">
        <v>60000</v>
      </c>
      <c r="AY54" s="203" t="n">
        <v>49482</v>
      </c>
      <c r="AZ54" s="203" t="n">
        <v>46552</v>
      </c>
      <c r="BA54" s="203" t="n">
        <v>41345</v>
      </c>
      <c r="BB54" s="203" t="n">
        <v>22589</v>
      </c>
      <c r="BC54" s="203">
        <f>SUMIFS(領用表!$L:$L,領用表!$A:$A,BC$2,領用表!$E:$E,B54)</f>
        <v/>
      </c>
      <c r="BD54" s="206">
        <f>SUMIFS(領用表!$L:$L,領用表!$E:$E,$B54,領用表!$B:$B,BC$2&amp;BD$2)</f>
        <v/>
      </c>
      <c r="BE54" s="206">
        <f>SUMIFS(領用表!$L:$L,領用表!$E:$E,$B54,領用表!$B:$B,$BC$2&amp;BE$2)</f>
        <v/>
      </c>
      <c r="BF54" s="206">
        <f>SUMIFS(領用表!$L:$L,領用表!$E:$E,$B54,領用表!$B:$B,$BC$2&amp;BF$2)</f>
        <v/>
      </c>
      <c r="BG54" s="206">
        <f>SUMIFS(領用表!$L:$L,領用表!$E:$E,$B54,領用表!$B:$B,$BC$2&amp;BG$2)</f>
        <v/>
      </c>
      <c r="BH54" s="203">
        <f>SUMIFS(領用表!$L:$L,領用表!$A:$A,BH$2,領用表!$E:$E,B54)</f>
        <v/>
      </c>
      <c r="BI54" s="260">
        <f>SUMIFS(領用表!$L:$L,領用表!$E:$E,$B54,領用表!$B:$B,BH$2&amp;BI$2)</f>
        <v/>
      </c>
      <c r="BJ54" s="260">
        <f>SUMIFS(領用表!$L:$L,領用表!$E:$E,$B54,領用表!$B:$B,$BH$2&amp;BJ$2)</f>
        <v/>
      </c>
      <c r="BK54" s="260">
        <f>SUMIFS(領用表!$L:$L,領用表!$E:$E,$B54,領用表!$B:$B,$BH$2&amp;BK$2)</f>
        <v/>
      </c>
      <c r="BL54" s="260">
        <f>SUMIFS(領用表!$L:$L,領用表!$E:$E,$B54,領用表!$B:$B,$BH$2&amp;BL$2)</f>
        <v/>
      </c>
      <c r="BM54" s="203">
        <f>SUMIFS(領用表!$L:$L,領用表!$A:$A,BM$2,領用表!$E:$E,B54)</f>
        <v/>
      </c>
      <c r="BN54" s="206">
        <f>SUMIFS(領用表!$L:$L,領用表!$E:$E,$B54,領用表!$B:$B,BM$2&amp;BN$2)</f>
        <v/>
      </c>
      <c r="BO54" s="206">
        <f>SUMIFS(領用表!$L:$L,領用表!$E:$E,$B54,領用表!$B:$B,$BM$2&amp;BO$2)</f>
        <v/>
      </c>
      <c r="BP54" s="206">
        <f>SUMIFS(領用表!$L:$L,領用表!$E:$E,$B54,領用表!$B:$B,$BM$2&amp;BP$2)</f>
        <v/>
      </c>
      <c r="BQ54" s="206">
        <f>SUMIFS(領用表!$L:$L,領用表!$E:$E,$B54,領用表!$B:$B,$BM$2&amp;BQ$2)</f>
        <v/>
      </c>
      <c r="BR54" s="203">
        <f>SUMIFS(領用表!$L:$L,領用表!$A:$A,BR$2,領用表!$E:$E,B54)</f>
        <v/>
      </c>
      <c r="BS54" s="206">
        <f>SUMIFS(領用表!$L:$L,領用表!$E:$E,$B54,領用表!$B:$B,BR$2&amp;BS$2)</f>
        <v/>
      </c>
      <c r="BT54" s="206">
        <f>SUMIFS(領用表!$L:$L,領用表!$E:$E,$B54,領用表!$B:$B,$BR$2&amp;BT$2)</f>
        <v/>
      </c>
      <c r="BU54" s="206">
        <f>SUMIFS(領用表!$L:$L,領用表!$E:$E,$B54,領用表!$B:$B,$BR$2&amp;BU$2)</f>
        <v/>
      </c>
      <c r="BV54" s="206">
        <f>SUMIFS(領用表!$L:$L,領用表!$E:$E,$B54,領用表!$B:$B,$BR$2&amp;BV$2)</f>
        <v/>
      </c>
      <c r="BW54" s="208">
        <f>SUMIFS(領用表!$L:$L,領用表!$A:$A,BW$2,領用表!$E:$E,B54)</f>
        <v/>
      </c>
      <c r="BX54" s="206">
        <f>SUMIFS(領用表!$L:$L,領用表!$E:$E,$B54,領用表!$B:$B,BW$2&amp;BX$2)</f>
        <v/>
      </c>
      <c r="BY54" s="206">
        <f>SUMIFS(領用表!$L:$L,領用表!$E:$E,$B54,領用表!$B:$B,$BW$2&amp;BY$2)</f>
        <v/>
      </c>
      <c r="BZ54" s="206">
        <f>SUMIFS(領用表!$L:$L,領用表!$E:$E,$B54,領用表!$B:$B,$BW$2&amp;BZ$2)</f>
        <v/>
      </c>
      <c r="CA54" s="206">
        <f>SUMIFS(領用表!$L:$L,領用表!$E:$E,$B54,領用表!$B:$B,$BW$2&amp;CA$2)</f>
        <v/>
      </c>
      <c r="CB54" s="208">
        <f>SUMIFS(領用表!$L:$L,領用表!$A:$A,CB$2,領用表!$E:$E,B54)</f>
        <v/>
      </c>
      <c r="CC54" s="206">
        <f>SUMIFS(領用表!$L:$L,領用表!$E:$E,$B54,領用表!$B:$B,CB$2&amp;CC$2)</f>
        <v/>
      </c>
      <c r="CD54" s="206">
        <f>SUMIFS(領用表!$L:$L,領用表!$E:$E,$B54,領用表!$B:$B,$CB$2&amp;CD$2)</f>
        <v/>
      </c>
      <c r="CE54" s="206">
        <f>SUMIFS(領用表!$L:$L,領用表!$E:$E,$B54,領用表!$B:$B,$CB$2&amp;CE$2)</f>
        <v/>
      </c>
      <c r="CF54" s="206">
        <f>SUMIFS(領用表!$L:$L,領用表!$E:$E,$B54,領用表!$B:$B,$CB$2&amp;CF$2)</f>
        <v/>
      </c>
      <c r="CG54" s="208">
        <f>SUMIFS(領用表!$L:$L,領用表!$A:$A,CG$2,領用表!$E:$E,B54)</f>
        <v/>
      </c>
      <c r="CH54" s="206">
        <f>SUMIFS(領用表!$L:$L,領用表!$E:$E,$B54,領用表!$B:$B,CG$2&amp;CH$2)</f>
        <v/>
      </c>
      <c r="CI54" s="206">
        <f>SUMIFS(領用表!$L:$L,領用表!$E:$E,$B54,領用表!$B:$B,CG$2&amp;CI$2)</f>
        <v/>
      </c>
      <c r="CJ54" s="206">
        <f>SUMIFS(領用表!$L:$L,領用表!$E:$E,$B54,領用表!$B:$B,CG$2&amp;CJ$2)</f>
        <v/>
      </c>
      <c r="CK54" s="206">
        <f>SUMIFS(領用表!$L:$L,領用表!$E:$E,$B54,領用表!$B:$B,$CG$2&amp;CK$2)</f>
        <v/>
      </c>
      <c r="CL54" s="207">
        <f>SUM(AX54,AY54,AZ54,BA54,BB54,BC54,BH54,BM54,BR54,BW54,CB54,CG54)</f>
        <v/>
      </c>
      <c r="CM54" s="207">
        <f>AVERAGE(AX54,AY54,AZ54,BA54,BB54,BC54,BH54,BM54,BR54,BW54,CB54,CG54)</f>
        <v/>
      </c>
      <c r="CN54" s="208">
        <f>SUMIFS(領用表!$L:$L,領用表!$A:$A,CN$2,領用表!$E:$E,B54)</f>
        <v/>
      </c>
      <c r="CO54" s="206">
        <f>SUMIFS(領用表!$L:$L,領用表!$E:$E,$B54,領用表!$B:$B,CN$2&amp;CO$2)</f>
        <v/>
      </c>
      <c r="CP54" s="206">
        <f>SUMIFS(領用表!$L:$L,領用表!$E:$E,$B54,領用表!$B:$B,$CN$2&amp;CP$2)</f>
        <v/>
      </c>
      <c r="CQ54" s="206">
        <f>SUMIFS(領用表!$L:$L,領用表!$E:$E,$B54,領用表!$B:$B,$CN$2&amp;CQ$2)</f>
        <v/>
      </c>
      <c r="CR54" s="206">
        <f>SUMIFS(領用表!$L:$L,領用表!$E:$E,$B54,領用表!$B:$B,$CN$2&amp;CR$2)</f>
        <v/>
      </c>
      <c r="CS54" s="208">
        <f>SUMIFS(領用表!$L:$L,領用表!$A:$A,CS$2,領用表!$E:$E,B54)</f>
        <v/>
      </c>
      <c r="CT54" s="206">
        <f>SUMIFS(領用表!$L:$L,領用表!$E:$E,$B54,領用表!$B:$B,CS$2&amp;CT$2)</f>
        <v/>
      </c>
      <c r="CU54" s="206">
        <f>SUMIFS(領用表!$L:$L,領用表!$E:$E,$B54,領用表!$B:$B,$CS$2&amp;CU$2)</f>
        <v/>
      </c>
      <c r="CV54" s="206">
        <f>SUMIFS(領用表!$L:$L,領用表!$E:$E,$B54,領用表!$B:$B,$CS$2&amp;CV$2)</f>
        <v/>
      </c>
      <c r="CW54" s="206">
        <f>SUMIFS(領用表!$L:$L,領用表!$E:$E,$B54,領用表!$B:$B,$CS$2&amp;CW$2)</f>
        <v/>
      </c>
      <c r="CX54" s="206">
        <f>SUMIFS(領用表!$L:$L,領用表!$E:$E,$B54,領用表!$B:$B,$CS$2&amp;CX$2)</f>
        <v/>
      </c>
      <c r="CY54" s="208">
        <f>SUMIFS(領用表!$L:$L,領用表!$A:$A,CY$2,領用表!$E:$E,B54)</f>
        <v/>
      </c>
      <c r="CZ54" s="206">
        <f>SUMIFS(領用表!$L:$L,領用表!$E:$E,$B54,領用表!$B:$B,CY$2&amp;CZ$2)</f>
        <v/>
      </c>
      <c r="DA54" s="206">
        <f>SUMIFS(領用表!$L:$L,領用表!$E:$E,$B54,領用表!$B:$B,$CY$2&amp;DA$2)</f>
        <v/>
      </c>
      <c r="DB54" s="206">
        <f>SUMIFS(領用表!$L:$L,領用表!$E:$E,$B54,領用表!$B:$B,$CY$2&amp;DB$2)</f>
        <v/>
      </c>
      <c r="DC54" s="206">
        <f>SUMIFS(領用表!$L:$L,領用表!$E:$E,$B54,領用表!$B:$B,$CY$2&amp;DC$2)</f>
        <v/>
      </c>
      <c r="DD54" s="206">
        <f>SUMIFS(領用表!$L:$L,領用表!$E:$E,$B54,領用表!$B:$B,$CY$2&amp;DD$2)</f>
        <v/>
      </c>
      <c r="DE54" s="208">
        <f>SUMIFS(領用表!$L:$L,領用表!$A:$A,DE$2,領用表!$E:$E,B54)</f>
        <v/>
      </c>
      <c r="DF54" s="206">
        <f>SUMIFS(領用表!$L:$L,領用表!$E:$E,$B54,領用表!$B:$B,DE$2&amp;DF$2)</f>
        <v/>
      </c>
      <c r="DG54" s="206">
        <f>SUMIFS(領用表!$L:$L,領用表!$E:$E,$B54,領用表!$B:$B,$DE$2&amp;DG$2)</f>
        <v/>
      </c>
      <c r="DH54" s="206">
        <f>SUMIFS(領用表!$L:$L,領用表!$E:$E,$B54,領用表!$B:$B,$DE$2&amp;DH$2)</f>
        <v/>
      </c>
      <c r="DI54" s="206">
        <f>SUMIFS(領用表!$L:$L,領用表!$E:$E,$B54,領用表!$B:$B,$DE$2&amp;DI$2)</f>
        <v/>
      </c>
      <c r="DJ54" s="206">
        <f>SUMIFS(領用表!$L:$L,領用表!$E:$E,$B54,領用表!$B:$B,$DE$2&amp;DJ$2)</f>
        <v/>
      </c>
      <c r="DK54" s="208">
        <f>SUMIFS(領用表!$L:$L,領用表!$A:$A,DK$2,領用表!$E:$E,$B54)</f>
        <v/>
      </c>
      <c r="DL54" s="206">
        <f>SUMIFS(領用表!$L:$L,領用表!$E:$E,$B54,領用表!$B:$B,DK$2&amp;DL$2)</f>
        <v/>
      </c>
      <c r="DM54" s="206">
        <f>SUMIFS(領用表!$L:$L,領用表!$E:$E,$B54,領用表!$B:$B,$DK$2&amp;DM$2)</f>
        <v/>
      </c>
      <c r="DN54" s="206">
        <f>SUMIFS(領用表!$L:$L,領用表!$E:$E,$B54,領用表!$B:$B,$DK$2&amp;DN$2)</f>
        <v/>
      </c>
      <c r="DO54" s="206">
        <f>SUMIFS(領用表!$L:$L,領用表!$E:$E,$B54,領用表!$B:$B,$DK$2&amp;DO$2)</f>
        <v/>
      </c>
      <c r="DP54" s="206">
        <f>SUMIFS(領用表!$L:$L,領用表!$E:$E,$B54,領用表!$B:$B,$DK$2&amp;DP$2)</f>
        <v/>
      </c>
      <c r="DQ54" s="208" t="n">
        <v>5319</v>
      </c>
      <c r="DR54" s="206" t="n">
        <v>1819</v>
      </c>
      <c r="DS54" s="206" t="n"/>
      <c r="DT54" s="206" t="n">
        <v>2520</v>
      </c>
      <c r="DU54" s="206" t="n"/>
      <c r="DV54" s="206" t="n">
        <v>980</v>
      </c>
      <c r="DW54" s="206">
        <f>SUM(CN54,CS54,CY54,DE54,DK54,DQ54)</f>
        <v/>
      </c>
      <c r="DX54" s="206">
        <f>AVERAGEA(CN54,CS54,CY54,DE54,DK54,DQ54)</f>
        <v/>
      </c>
      <c r="DY54" s="206">
        <f>SUM(DZ54:EC54)</f>
        <v/>
      </c>
      <c r="DZ54" s="206" t="n">
        <v>24000</v>
      </c>
      <c r="EA54" s="206" t="n">
        <v>0</v>
      </c>
      <c r="EB54" s="206" t="n">
        <v>18000</v>
      </c>
      <c r="EC54" s="206" t="n">
        <v>0</v>
      </c>
      <c r="ED54" s="215" t="n">
        <v>90000</v>
      </c>
      <c r="EE54" s="515" t="n"/>
      <c r="EF54" s="210" t="n"/>
      <c r="EG54" s="262" t="inlineStr">
        <is>
          <t>1顆(10/23)</t>
        </is>
      </c>
      <c r="EH54" s="526" t="n">
        <v>30000</v>
      </c>
      <c r="EI54" s="212" t="n"/>
      <c r="EJ54" s="118">
        <f>IFERROR(VLOOKUP(A54,站前4樓!A:BF,57,0),0)</f>
        <v/>
      </c>
      <c r="EK54" s="213">
        <f>IFERROR(VLOOKUP(A54,站前11樓!A:BE,57,0),0)</f>
        <v/>
      </c>
      <c r="EL54" s="118">
        <f>IFERROR(VLOOKUP(A54,忠孝7樓!A:N,57,0),0)</f>
        <v/>
      </c>
      <c r="EM54" s="118">
        <f>IFERROR(VLOOKUP(A54,忠孝國際醫學3樓!A:L,57,0),0)</f>
        <v/>
      </c>
      <c r="EN54" s="118">
        <f>SUM(ED54:EG54)</f>
        <v/>
      </c>
      <c r="EP54" s="118" t="n">
        <v>354373</v>
      </c>
      <c r="EQ54" s="118" t="n">
        <v>235421</v>
      </c>
    </row>
    <row r="55" ht="15.75" customFormat="1" customHeight="1" s="118">
      <c r="A55" s="136" t="inlineStr">
        <is>
          <t>MM2MB040008A</t>
        </is>
      </c>
      <c r="B55" s="118" t="n">
        <v>6170019</v>
      </c>
      <c r="C55" s="133" t="inlineStr">
        <is>
          <t>媚必提直線探頭2.0mm(1條)</t>
        </is>
      </c>
      <c r="D55" s="207" t="n">
        <v>20099</v>
      </c>
      <c r="E55" s="198" t="inlineStr">
        <is>
          <t>SHOT</t>
        </is>
      </c>
      <c r="F55" s="199">
        <f>SUMIF(站前4樓!B:B,B55,站前4樓!F:F)</f>
        <v/>
      </c>
      <c r="G55" s="199">
        <f>SUMIF(站前11樓!B:B,B55,站前11樓!F:F)</f>
        <v/>
      </c>
      <c r="H55" s="199">
        <f>SUMIF(忠孝7樓!B:B,B55,忠孝7樓!G:G)</f>
        <v/>
      </c>
      <c r="I55" s="199">
        <f>SUMIF(忠孝國際醫學3樓!B:B,B55,忠孝國際醫學3樓!G:G)</f>
        <v/>
      </c>
      <c r="J55" s="199">
        <f>SUMIF(忠孝健康7樓!B:B,B55,忠孝健康7樓!G:G)</f>
        <v/>
      </c>
      <c r="K55" s="200" t="n"/>
      <c r="L55" s="200" t="n"/>
      <c r="M55" s="200" t="n"/>
      <c r="N55" s="200" t="n"/>
      <c r="O55" s="200" t="n"/>
      <c r="P55" s="200" t="n"/>
      <c r="Q55" s="200" t="n"/>
      <c r="R55" s="200" t="n"/>
      <c r="S55" s="200" t="n"/>
      <c r="T55" s="200" t="n"/>
      <c r="U55" s="200" t="n"/>
      <c r="V55" s="200" t="n"/>
      <c r="W55" s="200" t="n"/>
      <c r="X55" s="200" t="n"/>
      <c r="Y55" s="200" t="n"/>
      <c r="Z55" s="200" t="n"/>
      <c r="AA55" s="200" t="n"/>
      <c r="AB55" s="200" t="n"/>
      <c r="AC55" s="200" t="n"/>
      <c r="AD55" s="200" t="n"/>
      <c r="AE55" s="200" t="n"/>
      <c r="AF55" s="200" t="n"/>
      <c r="AG55" s="200" t="n"/>
      <c r="AH55" s="200" t="n"/>
      <c r="AI55" s="200" t="n"/>
      <c r="AJ55" s="221" t="n"/>
      <c r="AK55" s="221" t="n"/>
      <c r="AL55" s="221" t="n"/>
      <c r="AM55" s="221" t="n"/>
      <c r="AN55" s="221" t="n"/>
      <c r="AO55" s="221" t="n"/>
      <c r="AP55" s="221" t="n"/>
      <c r="AQ55" s="221" t="n"/>
      <c r="AR55" s="221" t="n"/>
      <c r="AS55" s="201" t="n"/>
      <c r="AT55" s="512" t="n"/>
      <c r="AU55" s="203" t="inlineStr">
        <is>
          <t>-</t>
        </is>
      </c>
      <c r="AV55" s="204" t="inlineStr">
        <is>
          <t>-</t>
        </is>
      </c>
      <c r="AW55" s="513" t="inlineStr">
        <is>
          <t>-</t>
        </is>
      </c>
      <c r="AX55" s="513" t="inlineStr">
        <is>
          <t>-</t>
        </is>
      </c>
      <c r="AY55" s="513" t="inlineStr">
        <is>
          <t>-</t>
        </is>
      </c>
      <c r="AZ55" s="513" t="inlineStr">
        <is>
          <t>-</t>
        </is>
      </c>
      <c r="BA55" s="203" t="n">
        <v>1420</v>
      </c>
      <c r="BB55" s="203" t="n">
        <v>5352</v>
      </c>
      <c r="BC55" s="203">
        <f>SUMIFS(領用表!$L:$L,領用表!$A:$A,BC$2,領用表!$E:$E,B55)</f>
        <v/>
      </c>
      <c r="BD55" s="206">
        <f>SUMIFS(領用表!$L:$L,領用表!$E:$E,$B55,領用表!$B:$B,BC$2&amp;BD$2)</f>
        <v/>
      </c>
      <c r="BE55" s="206">
        <f>SUMIFS(領用表!$L:$L,領用表!$E:$E,$B55,領用表!$B:$B,$BC$2&amp;BE$2)</f>
        <v/>
      </c>
      <c r="BF55" s="206">
        <f>SUMIFS(領用表!$L:$L,領用表!$E:$E,$B55,領用表!$B:$B,$BC$2&amp;BF$2)</f>
        <v/>
      </c>
      <c r="BG55" s="206">
        <f>SUMIFS(領用表!$L:$L,領用表!$E:$E,$B55,領用表!$B:$B,$BC$2&amp;BG$2)</f>
        <v/>
      </c>
      <c r="BH55" s="203">
        <f>SUMIFS(領用表!$L:$L,領用表!$A:$A,BH$2,領用表!$E:$E,B55)</f>
        <v/>
      </c>
      <c r="BI55" s="260">
        <f>SUMIFS(領用表!$L:$L,領用表!$E:$E,$B55,領用表!$B:$B,BH$2&amp;BI$2)</f>
        <v/>
      </c>
      <c r="BJ55" s="260">
        <f>SUMIFS(領用表!$L:$L,領用表!$E:$E,$B55,領用表!$B:$B,$BH$2&amp;BJ$2)</f>
        <v/>
      </c>
      <c r="BK55" s="260">
        <f>SUMIFS(領用表!$L:$L,領用表!$E:$E,$B55,領用表!$B:$B,$BH$2&amp;BK$2)</f>
        <v/>
      </c>
      <c r="BL55" s="260">
        <f>SUMIFS(領用表!$L:$L,領用表!$E:$E,$B55,領用表!$B:$B,$BH$2&amp;BL$2)</f>
        <v/>
      </c>
      <c r="BM55" s="203">
        <f>SUMIFS(領用表!$L:$L,領用表!$A:$A,BM$2,領用表!$E:$E,B55)</f>
        <v/>
      </c>
      <c r="BN55" s="206">
        <f>SUMIFS(領用表!$L:$L,領用表!$E:$E,$B55,領用表!$B:$B,BM$2&amp;BN$2)</f>
        <v/>
      </c>
      <c r="BO55" s="206">
        <f>SUMIFS(領用表!$L:$L,領用表!$E:$E,$B55,領用表!$B:$B,$BM$2&amp;BO$2)</f>
        <v/>
      </c>
      <c r="BP55" s="206">
        <f>SUMIFS(領用表!$L:$L,領用表!$E:$E,$B55,領用表!$B:$B,$BM$2&amp;BP$2)</f>
        <v/>
      </c>
      <c r="BQ55" s="206">
        <f>SUMIFS(領用表!$L:$L,領用表!$E:$E,$B55,領用表!$B:$B,$BM$2&amp;BQ$2)</f>
        <v/>
      </c>
      <c r="BR55" s="203">
        <f>SUMIFS(領用表!$L:$L,領用表!$A:$A,BR$2,領用表!$E:$E,B55)</f>
        <v/>
      </c>
      <c r="BS55" s="206">
        <f>SUMIFS(領用表!$L:$L,領用表!$E:$E,$B55,領用表!$B:$B,BR$2&amp;BS$2)</f>
        <v/>
      </c>
      <c r="BT55" s="206">
        <f>SUMIFS(領用表!$L:$L,領用表!$E:$E,$B55,領用表!$B:$B,$BR$2&amp;BT$2)</f>
        <v/>
      </c>
      <c r="BU55" s="206">
        <f>SUMIFS(領用表!$L:$L,領用表!$E:$E,$B55,領用表!$B:$B,$BR$2&amp;BU$2)</f>
        <v/>
      </c>
      <c r="BV55" s="206">
        <f>SUMIFS(領用表!$L:$L,領用表!$E:$E,$B55,領用表!$B:$B,$BR$2&amp;BV$2)</f>
        <v/>
      </c>
      <c r="BW55" s="208">
        <f>SUMIFS(領用表!$L:$L,領用表!$A:$A,BW$2,領用表!$E:$E,B55)</f>
        <v/>
      </c>
      <c r="BX55" s="206">
        <f>SUMIFS(領用表!$L:$L,領用表!$E:$E,$B55,領用表!$B:$B,BW$2&amp;BX$2)</f>
        <v/>
      </c>
      <c r="BY55" s="206">
        <f>SUMIFS(領用表!$L:$L,領用表!$E:$E,$B55,領用表!$B:$B,$BW$2&amp;BY$2)</f>
        <v/>
      </c>
      <c r="BZ55" s="206">
        <f>SUMIFS(領用表!$L:$L,領用表!$E:$E,$B55,領用表!$B:$B,$BW$2&amp;BZ$2)</f>
        <v/>
      </c>
      <c r="CA55" s="206">
        <f>SUMIFS(領用表!$L:$L,領用表!$E:$E,$B55,領用表!$B:$B,$BW$2&amp;CA$2)</f>
        <v/>
      </c>
      <c r="CB55" s="208">
        <f>SUMIFS(領用表!$L:$L,領用表!$A:$A,CB$2,領用表!$E:$E,B55)</f>
        <v/>
      </c>
      <c r="CC55" s="206">
        <f>SUMIFS(領用表!$L:$L,領用表!$E:$E,$B55,領用表!$B:$B,CB$2&amp;CC$2)</f>
        <v/>
      </c>
      <c r="CD55" s="206">
        <f>SUMIFS(領用表!$L:$L,領用表!$E:$E,$B55,領用表!$B:$B,$CB$2&amp;CD$2)</f>
        <v/>
      </c>
      <c r="CE55" s="206">
        <f>SUMIFS(領用表!$L:$L,領用表!$E:$E,$B55,領用表!$B:$B,$CB$2&amp;CE$2)</f>
        <v/>
      </c>
      <c r="CF55" s="206">
        <f>SUMIFS(領用表!$L:$L,領用表!$E:$E,$B55,領用表!$B:$B,$CB$2&amp;CF$2)</f>
        <v/>
      </c>
      <c r="CG55" s="208">
        <f>SUMIFS(領用表!$L:$L,領用表!$A:$A,CG$2,領用表!$E:$E,B55)</f>
        <v/>
      </c>
      <c r="CH55" s="206">
        <f>SUMIFS(領用表!$L:$L,領用表!$E:$E,$B55,領用表!$B:$B,CG$2&amp;CH$2)</f>
        <v/>
      </c>
      <c r="CI55" s="206">
        <f>SUMIFS(領用表!$L:$L,領用表!$E:$E,$B55,領用表!$B:$B,CG$2&amp;CI$2)</f>
        <v/>
      </c>
      <c r="CJ55" s="206">
        <f>SUMIFS(領用表!$L:$L,領用表!$E:$E,$B55,領用表!$B:$B,CG$2&amp;CJ$2)</f>
        <v/>
      </c>
      <c r="CK55" s="206">
        <f>SUMIFS(領用表!$L:$L,領用表!$E:$E,$B55,領用表!$B:$B,$CG$2&amp;CK$2)</f>
        <v/>
      </c>
      <c r="CL55" s="207">
        <f>SUM(AX55,AY55,AZ55,BA55,BB55,BC55,BH55,BM55,BR55,BW55,CB55,CG55)</f>
        <v/>
      </c>
      <c r="CM55" s="207">
        <f>AVERAGE(AX55,AY55,AZ55,BA55,BB55,BC55,BH55,BM55,BR55,BW55,CB55,CG55)</f>
        <v/>
      </c>
      <c r="CN55" s="208">
        <f>SUMIFS(領用表!$L:$L,領用表!$A:$A,CN$2,領用表!$E:$E,B55)</f>
        <v/>
      </c>
      <c r="CO55" s="206">
        <f>SUMIFS(領用表!$L:$L,領用表!$E:$E,$B55,領用表!$B:$B,CN$2&amp;CO$2)</f>
        <v/>
      </c>
      <c r="CP55" s="206">
        <f>SUMIFS(領用表!$L:$L,領用表!$E:$E,$B55,領用表!$B:$B,$CN$2&amp;CP$2)</f>
        <v/>
      </c>
      <c r="CQ55" s="206">
        <f>SUMIFS(領用表!$L:$L,領用表!$E:$E,$B55,領用表!$B:$B,$CN$2&amp;CQ$2)</f>
        <v/>
      </c>
      <c r="CR55" s="206">
        <f>SUMIFS(領用表!$L:$L,領用表!$E:$E,$B55,領用表!$B:$B,$CN$2&amp;CR$2)</f>
        <v/>
      </c>
      <c r="CS55" s="208">
        <f>SUMIFS(領用表!$L:$L,領用表!$A:$A,CS$2,領用表!$E:$E,B55)</f>
        <v/>
      </c>
      <c r="CT55" s="206">
        <f>SUMIFS(領用表!$L:$L,領用表!$E:$E,$B55,領用表!$B:$B,CS$2&amp;CT$2)</f>
        <v/>
      </c>
      <c r="CU55" s="206">
        <f>SUMIFS(領用表!$L:$L,領用表!$E:$E,$B55,領用表!$B:$B,$CS$2&amp;CU$2)</f>
        <v/>
      </c>
      <c r="CV55" s="206">
        <f>SUMIFS(領用表!$L:$L,領用表!$E:$E,$B55,領用表!$B:$B,$CS$2&amp;CV$2)</f>
        <v/>
      </c>
      <c r="CW55" s="206">
        <f>SUMIFS(領用表!$L:$L,領用表!$E:$E,$B55,領用表!$B:$B,$CS$2&amp;CW$2)</f>
        <v/>
      </c>
      <c r="CX55" s="206">
        <f>SUMIFS(領用表!$L:$L,領用表!$E:$E,$B55,領用表!$B:$B,$CS$2&amp;CX$2)</f>
        <v/>
      </c>
      <c r="CY55" s="208">
        <f>SUMIFS(領用表!$L:$L,領用表!$A:$A,CY$2,領用表!$E:$E,B55)</f>
        <v/>
      </c>
      <c r="CZ55" s="206">
        <f>SUMIFS(領用表!$L:$L,領用表!$E:$E,$B55,領用表!$B:$B,CY$2&amp;CZ$2)</f>
        <v/>
      </c>
      <c r="DA55" s="206">
        <f>SUMIFS(領用表!$L:$L,領用表!$E:$E,$B55,領用表!$B:$B,$CY$2&amp;DA$2)</f>
        <v/>
      </c>
      <c r="DB55" s="206">
        <f>SUMIFS(領用表!$L:$L,領用表!$E:$E,$B55,領用表!$B:$B,$CY$2&amp;DB$2)</f>
        <v/>
      </c>
      <c r="DC55" s="206">
        <f>SUMIFS(領用表!$L:$L,領用表!$E:$E,$B55,領用表!$B:$B,$CY$2&amp;DC$2)</f>
        <v/>
      </c>
      <c r="DD55" s="206">
        <f>SUMIFS(領用表!$L:$L,領用表!$E:$E,$B55,領用表!$B:$B,$CY$2&amp;DD$2)</f>
        <v/>
      </c>
      <c r="DE55" s="208">
        <f>SUMIFS(領用表!$L:$L,領用表!$A:$A,DE$2,領用表!$E:$E,B55)</f>
        <v/>
      </c>
      <c r="DF55" s="206">
        <f>SUMIFS(領用表!$L:$L,領用表!$E:$E,$B55,領用表!$B:$B,DE$2&amp;DF$2)</f>
        <v/>
      </c>
      <c r="DG55" s="206">
        <f>SUMIFS(領用表!$L:$L,領用表!$E:$E,$B55,領用表!$B:$B,$DE$2&amp;DG$2)</f>
        <v/>
      </c>
      <c r="DH55" s="206">
        <f>SUMIFS(領用表!$L:$L,領用表!$E:$E,$B55,領用表!$B:$B,$DE$2&amp;DH$2)</f>
        <v/>
      </c>
      <c r="DI55" s="206">
        <f>SUMIFS(領用表!$L:$L,領用表!$E:$E,$B55,領用表!$B:$B,$DE$2&amp;DI$2)</f>
        <v/>
      </c>
      <c r="DJ55" s="206">
        <f>SUMIFS(領用表!$L:$L,領用表!$E:$E,$B55,領用表!$B:$B,$DE$2&amp;DJ$2)</f>
        <v/>
      </c>
      <c r="DK55" s="208">
        <f>SUMIFS(領用表!$L:$L,領用表!$A:$A,DK$2,領用表!$E:$E,$B55)</f>
        <v/>
      </c>
      <c r="DL55" s="206">
        <f>SUMIFS(領用表!$L:$L,領用表!$E:$E,$B55,領用表!$B:$B,DK$2&amp;DL$2)</f>
        <v/>
      </c>
      <c r="DM55" s="206">
        <f>SUMIFS(領用表!$L:$L,領用表!$E:$E,$B55,領用表!$B:$B,$DK$2&amp;DM$2)</f>
        <v/>
      </c>
      <c r="DN55" s="206">
        <f>SUMIFS(領用表!$L:$L,領用表!$E:$E,$B55,領用表!$B:$B,$DK$2&amp;DN$2)</f>
        <v/>
      </c>
      <c r="DO55" s="206">
        <f>SUMIFS(領用表!$L:$L,領用表!$E:$E,$B55,領用表!$B:$B,$DK$2&amp;DO$2)</f>
        <v/>
      </c>
      <c r="DP55" s="206">
        <f>SUMIFS(領用表!$L:$L,領用表!$E:$E,$B55,領用表!$B:$B,$DK$2&amp;DP$2)</f>
        <v/>
      </c>
      <c r="DQ55" s="208" t="n">
        <v>4676</v>
      </c>
      <c r="DR55" s="206" t="n">
        <v>1578</v>
      </c>
      <c r="DS55" s="206" t="n"/>
      <c r="DT55" s="206" t="n">
        <v>2814</v>
      </c>
      <c r="DU55" s="206" t="n"/>
      <c r="DV55" s="206" t="n">
        <v>284</v>
      </c>
      <c r="DW55" s="206">
        <f>SUM(CN55,CS55,CY55,DE55,DK55,DQ55)</f>
        <v/>
      </c>
      <c r="DX55" s="206">
        <f>AVERAGEA(CN55,CS55,CY55,DE55,DK55,DQ55)</f>
        <v/>
      </c>
      <c r="DY55" s="206">
        <f>SUM(DZ55:EC55)</f>
        <v/>
      </c>
      <c r="DZ55" s="206" t="n">
        <v>4600</v>
      </c>
      <c r="EA55" s="206" t="n">
        <v>0</v>
      </c>
      <c r="EB55" s="206" t="n">
        <v>5000</v>
      </c>
      <c r="EC55" s="206" t="n">
        <v>0</v>
      </c>
      <c r="ED55" s="215" t="n">
        <v>40000</v>
      </c>
      <c r="EE55" s="210" t="n">
        <v>0</v>
      </c>
      <c r="EF55" s="210" t="n"/>
      <c r="EG55" s="261" t="n"/>
      <c r="EH55" s="526" t="inlineStr">
        <is>
          <t>2025/4/1站前交機2台</t>
        </is>
      </c>
      <c r="EI55" s="212" t="n"/>
      <c r="EJ55" s="118">
        <f>IFERROR(VLOOKUP(A55,站前4樓!A:BF,57,0),0)</f>
        <v/>
      </c>
      <c r="EK55" s="213">
        <f>IFERROR(VLOOKUP(A55,站前11樓!A:BE,57,0),0)</f>
        <v/>
      </c>
      <c r="EL55" s="118">
        <f>IFERROR(VLOOKUP(A55,忠孝7樓!A:N,57,0),0)</f>
        <v/>
      </c>
      <c r="EM55" s="118">
        <f>IFERROR(VLOOKUP(A55,忠孝國際醫學3樓!A:L,57,0),0)</f>
        <v/>
      </c>
      <c r="EN55" s="118">
        <f>SUM(ED55:EG55)</f>
        <v/>
      </c>
      <c r="EP55" s="118" t="n">
        <v>133142</v>
      </c>
      <c r="EQ55" s="118" t="n">
        <v>130774</v>
      </c>
    </row>
    <row r="56" ht="15.75" customFormat="1" customHeight="1" s="118">
      <c r="A56" s="136" t="inlineStr">
        <is>
          <t>MM2MB040009A</t>
        </is>
      </c>
      <c r="B56" s="118" t="n">
        <v>6170020</v>
      </c>
      <c r="C56" s="133" t="inlineStr">
        <is>
          <t>媚必提直線探頭3.0mm(1條)</t>
        </is>
      </c>
      <c r="D56" s="207" t="n">
        <v>20099</v>
      </c>
      <c r="E56" s="198" t="inlineStr">
        <is>
          <t>SHOT</t>
        </is>
      </c>
      <c r="F56" s="199">
        <f>SUMIF(站前4樓!B:B,B56,站前4樓!F:F)</f>
        <v/>
      </c>
      <c r="G56" s="199">
        <f>SUMIF(站前11樓!B:B,B56,站前11樓!F:F)</f>
        <v/>
      </c>
      <c r="H56" s="199">
        <f>SUMIF(忠孝7樓!B:B,B56,忠孝7樓!G:G)</f>
        <v/>
      </c>
      <c r="I56" s="199">
        <f>SUMIF(忠孝國際醫學3樓!B:B,B56,忠孝國際醫學3樓!G:G)</f>
        <v/>
      </c>
      <c r="J56" s="199">
        <f>SUMIF(忠孝健康7樓!B:B,B56,忠孝健康7樓!G:G)</f>
        <v/>
      </c>
      <c r="K56" s="200" t="n"/>
      <c r="L56" s="200" t="n"/>
      <c r="M56" s="200" t="n"/>
      <c r="N56" s="200" t="n"/>
      <c r="O56" s="200" t="n"/>
      <c r="P56" s="200" t="n"/>
      <c r="Q56" s="200" t="n"/>
      <c r="R56" s="200" t="n"/>
      <c r="S56" s="200" t="n"/>
      <c r="T56" s="200" t="n"/>
      <c r="U56" s="200" t="n"/>
      <c r="V56" s="200" t="n"/>
      <c r="W56" s="200" t="n"/>
      <c r="X56" s="200" t="n"/>
      <c r="Y56" s="200" t="n"/>
      <c r="Z56" s="200" t="n"/>
      <c r="AA56" s="200" t="n"/>
      <c r="AB56" s="200" t="n"/>
      <c r="AC56" s="200" t="n"/>
      <c r="AD56" s="200" t="n"/>
      <c r="AE56" s="200" t="n"/>
      <c r="AF56" s="200" t="n"/>
      <c r="AG56" s="200" t="n"/>
      <c r="AH56" s="200" t="n"/>
      <c r="AI56" s="200" t="n"/>
      <c r="AJ56" s="221" t="n"/>
      <c r="AK56" s="221" t="n"/>
      <c r="AL56" s="221" t="n"/>
      <c r="AM56" s="221" t="n"/>
      <c r="AN56" s="221" t="n"/>
      <c r="AO56" s="221" t="n"/>
      <c r="AP56" s="221" t="n"/>
      <c r="AQ56" s="221" t="n"/>
      <c r="AR56" s="221" t="n"/>
      <c r="AS56" s="201" t="n"/>
      <c r="AT56" s="512" t="n"/>
      <c r="AU56" s="203" t="inlineStr">
        <is>
          <t>-</t>
        </is>
      </c>
      <c r="AV56" s="204" t="inlineStr">
        <is>
          <t>-</t>
        </is>
      </c>
      <c r="AW56" s="513" t="inlineStr">
        <is>
          <t>-</t>
        </is>
      </c>
      <c r="AX56" s="513" t="inlineStr">
        <is>
          <t>-</t>
        </is>
      </c>
      <c r="AY56" s="513" t="inlineStr">
        <is>
          <t>-</t>
        </is>
      </c>
      <c r="AZ56" s="513" t="inlineStr">
        <is>
          <t>-</t>
        </is>
      </c>
      <c r="BA56" s="203" t="n">
        <v>5501</v>
      </c>
      <c r="BB56" s="203" t="n">
        <v>12905</v>
      </c>
      <c r="BC56" s="203">
        <f>SUMIFS(領用表!$L:$L,領用表!$A:$A,BC$2,領用表!$E:$E,B56)</f>
        <v/>
      </c>
      <c r="BD56" s="206">
        <f>SUMIFS(領用表!$L:$L,領用表!$E:$E,$B56,領用表!$B:$B,BC$2&amp;BD$2)</f>
        <v/>
      </c>
      <c r="BE56" s="206">
        <f>SUMIFS(領用表!$L:$L,領用表!$E:$E,$B56,領用表!$B:$B,$BC$2&amp;BE$2)</f>
        <v/>
      </c>
      <c r="BF56" s="206">
        <f>SUMIFS(領用表!$L:$L,領用表!$E:$E,$B56,領用表!$B:$B,$BC$2&amp;BF$2)</f>
        <v/>
      </c>
      <c r="BG56" s="206">
        <f>SUMIFS(領用表!$L:$L,領用表!$E:$E,$B56,領用表!$B:$B,$BC$2&amp;BG$2)</f>
        <v/>
      </c>
      <c r="BH56" s="203">
        <f>SUMIFS(領用表!$L:$L,領用表!$A:$A,BH$2,領用表!$E:$E,B56)</f>
        <v/>
      </c>
      <c r="BI56" s="260">
        <f>SUMIFS(領用表!$L:$L,領用表!$E:$E,$B56,領用表!$B:$B,BH$2&amp;BI$2)</f>
        <v/>
      </c>
      <c r="BJ56" s="260">
        <f>SUMIFS(領用表!$L:$L,領用表!$E:$E,$B56,領用表!$B:$B,$BH$2&amp;BJ$2)</f>
        <v/>
      </c>
      <c r="BK56" s="260">
        <f>SUMIFS(領用表!$L:$L,領用表!$E:$E,$B56,領用表!$B:$B,$BH$2&amp;BK$2)</f>
        <v/>
      </c>
      <c r="BL56" s="260">
        <f>SUMIFS(領用表!$L:$L,領用表!$E:$E,$B56,領用表!$B:$B,$BH$2&amp;BL$2)</f>
        <v/>
      </c>
      <c r="BM56" s="203">
        <f>SUMIFS(領用表!$L:$L,領用表!$A:$A,BM$2,領用表!$E:$E,B56)</f>
        <v/>
      </c>
      <c r="BN56" s="206">
        <f>SUMIFS(領用表!$L:$L,領用表!$E:$E,$B56,領用表!$B:$B,BM$2&amp;BN$2)</f>
        <v/>
      </c>
      <c r="BO56" s="206">
        <f>SUMIFS(領用表!$L:$L,領用表!$E:$E,$B56,領用表!$B:$B,$BM$2&amp;BO$2)</f>
        <v/>
      </c>
      <c r="BP56" s="206">
        <f>SUMIFS(領用表!$L:$L,領用表!$E:$E,$B56,領用表!$B:$B,$BM$2&amp;BP$2)</f>
        <v/>
      </c>
      <c r="BQ56" s="206">
        <f>SUMIFS(領用表!$L:$L,領用表!$E:$E,$B56,領用表!$B:$B,$BM$2&amp;BQ$2)</f>
        <v/>
      </c>
      <c r="BR56" s="203">
        <f>SUMIFS(領用表!$L:$L,領用表!$A:$A,BR$2,領用表!$E:$E,B56)</f>
        <v/>
      </c>
      <c r="BS56" s="206">
        <f>SUMIFS(領用表!$L:$L,領用表!$E:$E,$B56,領用表!$B:$B,BR$2&amp;BS$2)</f>
        <v/>
      </c>
      <c r="BT56" s="206">
        <f>SUMIFS(領用表!$L:$L,領用表!$E:$E,$B56,領用表!$B:$B,$BR$2&amp;BT$2)</f>
        <v/>
      </c>
      <c r="BU56" s="206">
        <f>SUMIFS(領用表!$L:$L,領用表!$E:$E,$B56,領用表!$B:$B,$BR$2&amp;BU$2)</f>
        <v/>
      </c>
      <c r="BV56" s="206">
        <f>SUMIFS(領用表!$L:$L,領用表!$E:$E,$B56,領用表!$B:$B,$BR$2&amp;BV$2)</f>
        <v/>
      </c>
      <c r="BW56" s="208">
        <f>SUMIFS(領用表!$L:$L,領用表!$A:$A,BW$2,領用表!$E:$E,B56)</f>
        <v/>
      </c>
      <c r="BX56" s="206">
        <f>SUMIFS(領用表!$L:$L,領用表!$E:$E,$B56,領用表!$B:$B,BW$2&amp;BX$2)</f>
        <v/>
      </c>
      <c r="BY56" s="206">
        <f>SUMIFS(領用表!$L:$L,領用表!$E:$E,$B56,領用表!$B:$B,$BW$2&amp;BY$2)</f>
        <v/>
      </c>
      <c r="BZ56" s="206">
        <f>SUMIFS(領用表!$L:$L,領用表!$E:$E,$B56,領用表!$B:$B,$BW$2&amp;BZ$2)</f>
        <v/>
      </c>
      <c r="CA56" s="206">
        <f>SUMIFS(領用表!$L:$L,領用表!$E:$E,$B56,領用表!$B:$B,$BW$2&amp;CA$2)</f>
        <v/>
      </c>
      <c r="CB56" s="208">
        <f>SUMIFS(領用表!$L:$L,領用表!$A:$A,CB$2,領用表!$E:$E,B56)</f>
        <v/>
      </c>
      <c r="CC56" s="206">
        <f>SUMIFS(領用表!$L:$L,領用表!$E:$E,$B56,領用表!$B:$B,CB$2&amp;CC$2)</f>
        <v/>
      </c>
      <c r="CD56" s="206">
        <f>SUMIFS(領用表!$L:$L,領用表!$E:$E,$B56,領用表!$B:$B,$CB$2&amp;CD$2)</f>
        <v/>
      </c>
      <c r="CE56" s="206">
        <f>SUMIFS(領用表!$L:$L,領用表!$E:$E,$B56,領用表!$B:$B,$CB$2&amp;CE$2)</f>
        <v/>
      </c>
      <c r="CF56" s="206">
        <f>SUMIFS(領用表!$L:$L,領用表!$E:$E,$B56,領用表!$B:$B,$CB$2&amp;CF$2)</f>
        <v/>
      </c>
      <c r="CG56" s="208">
        <f>SUMIFS(領用表!$L:$L,領用表!$A:$A,CG$2,領用表!$E:$E,B56)</f>
        <v/>
      </c>
      <c r="CH56" s="206">
        <f>SUMIFS(領用表!$L:$L,領用表!$E:$E,$B56,領用表!$B:$B,CG$2&amp;CH$2)</f>
        <v/>
      </c>
      <c r="CI56" s="206">
        <f>SUMIFS(領用表!$L:$L,領用表!$E:$E,$B56,領用表!$B:$B,CG$2&amp;CI$2)</f>
        <v/>
      </c>
      <c r="CJ56" s="206">
        <f>SUMIFS(領用表!$L:$L,領用表!$E:$E,$B56,領用表!$B:$B,CG$2&amp;CJ$2)</f>
        <v/>
      </c>
      <c r="CK56" s="206">
        <f>SUMIFS(領用表!$L:$L,領用表!$E:$E,$B56,領用表!$B:$B,$CG$2&amp;CK$2)</f>
        <v/>
      </c>
      <c r="CL56" s="207">
        <f>SUM(AX56,AY56,AZ56,BA56,BB56,BC56,BH56,BM56,BR56,BW56,CB56,CG56)</f>
        <v/>
      </c>
      <c r="CM56" s="207">
        <f>AVERAGE(AX56,AY56,AZ56,BA56,BB56,BC56,BH56,BM56,BR56,BW56,CB56,CG56)</f>
        <v/>
      </c>
      <c r="CN56" s="208">
        <f>SUMIFS(領用表!$L:$L,領用表!$A:$A,CN$2,領用表!$E:$E,B56)</f>
        <v/>
      </c>
      <c r="CO56" s="206">
        <f>SUMIFS(領用表!$L:$L,領用表!$E:$E,$B56,領用表!$B:$B,CN$2&amp;CO$2)</f>
        <v/>
      </c>
      <c r="CP56" s="206">
        <f>SUMIFS(領用表!$L:$L,領用表!$E:$E,$B56,領用表!$B:$B,$CN$2&amp;CP$2)</f>
        <v/>
      </c>
      <c r="CQ56" s="206">
        <f>SUMIFS(領用表!$L:$L,領用表!$E:$E,$B56,領用表!$B:$B,$CN$2&amp;CQ$2)</f>
        <v/>
      </c>
      <c r="CR56" s="206">
        <f>SUMIFS(領用表!$L:$L,領用表!$E:$E,$B56,領用表!$B:$B,$CN$2&amp;CR$2)</f>
        <v/>
      </c>
      <c r="CS56" s="208">
        <f>SUMIFS(領用表!$L:$L,領用表!$A:$A,CS$2,領用表!$E:$E,B56)</f>
        <v/>
      </c>
      <c r="CT56" s="206">
        <f>SUMIFS(領用表!$L:$L,領用表!$E:$E,$B56,領用表!$B:$B,CS$2&amp;CT$2)</f>
        <v/>
      </c>
      <c r="CU56" s="206">
        <f>SUMIFS(領用表!$L:$L,領用表!$E:$E,$B56,領用表!$B:$B,$CS$2&amp;CU$2)</f>
        <v/>
      </c>
      <c r="CV56" s="206">
        <f>SUMIFS(領用表!$L:$L,領用表!$E:$E,$B56,領用表!$B:$B,$CS$2&amp;CV$2)</f>
        <v/>
      </c>
      <c r="CW56" s="206">
        <f>SUMIFS(領用表!$L:$L,領用表!$E:$E,$B56,領用表!$B:$B,$CS$2&amp;CW$2)</f>
        <v/>
      </c>
      <c r="CX56" s="206">
        <f>SUMIFS(領用表!$L:$L,領用表!$E:$E,$B56,領用表!$B:$B,$CS$2&amp;CX$2)</f>
        <v/>
      </c>
      <c r="CY56" s="208">
        <f>SUMIFS(領用表!$L:$L,領用表!$A:$A,CY$2,領用表!$E:$E,B56)</f>
        <v/>
      </c>
      <c r="CZ56" s="206">
        <f>SUMIFS(領用表!$L:$L,領用表!$E:$E,$B56,領用表!$B:$B,CY$2&amp;CZ$2)</f>
        <v/>
      </c>
      <c r="DA56" s="206">
        <f>SUMIFS(領用表!$L:$L,領用表!$E:$E,$B56,領用表!$B:$B,$CY$2&amp;DA$2)</f>
        <v/>
      </c>
      <c r="DB56" s="206">
        <f>SUMIFS(領用表!$L:$L,領用表!$E:$E,$B56,領用表!$B:$B,$CY$2&amp;DB$2)</f>
        <v/>
      </c>
      <c r="DC56" s="206">
        <f>SUMIFS(領用表!$L:$L,領用表!$E:$E,$B56,領用表!$B:$B,$CY$2&amp;DC$2)</f>
        <v/>
      </c>
      <c r="DD56" s="206">
        <f>SUMIFS(領用表!$L:$L,領用表!$E:$E,$B56,領用表!$B:$B,$CY$2&amp;DD$2)</f>
        <v/>
      </c>
      <c r="DE56" s="208">
        <f>SUMIFS(領用表!$L:$L,領用表!$A:$A,DE$2,領用表!$E:$E,B56)</f>
        <v/>
      </c>
      <c r="DF56" s="206">
        <f>SUMIFS(領用表!$L:$L,領用表!$E:$E,$B56,領用表!$B:$B,DE$2&amp;DF$2)</f>
        <v/>
      </c>
      <c r="DG56" s="206">
        <f>SUMIFS(領用表!$L:$L,領用表!$E:$E,$B56,領用表!$B:$B,$DE$2&amp;DG$2)</f>
        <v/>
      </c>
      <c r="DH56" s="206">
        <f>SUMIFS(領用表!$L:$L,領用表!$E:$E,$B56,領用表!$B:$B,$DE$2&amp;DH$2)</f>
        <v/>
      </c>
      <c r="DI56" s="206">
        <f>SUMIFS(領用表!$L:$L,領用表!$E:$E,$B56,領用表!$B:$B,$DE$2&amp;DI$2)</f>
        <v/>
      </c>
      <c r="DJ56" s="206">
        <f>SUMIFS(領用表!$L:$L,領用表!$E:$E,$B56,領用表!$B:$B,$DE$2&amp;DJ$2)</f>
        <v/>
      </c>
      <c r="DK56" s="208">
        <f>SUMIFS(領用表!$L:$L,領用表!$A:$A,DK$2,領用表!$E:$E,$B56)</f>
        <v/>
      </c>
      <c r="DL56" s="206">
        <f>SUMIFS(領用表!$L:$L,領用表!$E:$E,$B56,領用表!$B:$B,DK$2&amp;DL$2)</f>
        <v/>
      </c>
      <c r="DM56" s="206">
        <f>SUMIFS(領用表!$L:$L,領用表!$E:$E,$B56,領用表!$B:$B,$DK$2&amp;DM$2)</f>
        <v/>
      </c>
      <c r="DN56" s="206">
        <f>SUMIFS(領用表!$L:$L,領用表!$E:$E,$B56,領用表!$B:$B,$DK$2&amp;DN$2)</f>
        <v/>
      </c>
      <c r="DO56" s="206">
        <f>SUMIFS(領用表!$L:$L,領用表!$E:$E,$B56,領用表!$B:$B,$DK$2&amp;DO$2)</f>
        <v/>
      </c>
      <c r="DP56" s="206">
        <f>SUMIFS(領用表!$L:$L,領用表!$E:$E,$B56,領用表!$B:$B,$DK$2&amp;DP$2)</f>
        <v/>
      </c>
      <c r="DQ56" s="208" t="n">
        <v>10412</v>
      </c>
      <c r="DR56" s="206" t="n">
        <v>4380</v>
      </c>
      <c r="DS56" s="206" t="n"/>
      <c r="DT56" s="206" t="n">
        <v>4139</v>
      </c>
      <c r="DU56" s="206" t="n"/>
      <c r="DV56" s="206" t="n">
        <v>1893</v>
      </c>
      <c r="DW56" s="206">
        <f>SUM(CN56,CS56,CY56,DE56,DK56,DQ56)</f>
        <v/>
      </c>
      <c r="DX56" s="206">
        <f>AVERAGEA(CN56,CS56,CY56,DE56,DK56,DQ56)</f>
        <v/>
      </c>
      <c r="DY56" s="206">
        <f>SUM(DZ56:EC56)</f>
        <v/>
      </c>
      <c r="DZ56" s="206" t="n">
        <v>9500</v>
      </c>
      <c r="EA56" s="206" t="n">
        <v>0</v>
      </c>
      <c r="EB56" s="206" t="n">
        <v>17000</v>
      </c>
      <c r="EC56" s="206" t="n">
        <v>0</v>
      </c>
      <c r="ED56" s="215" t="n">
        <v>40000</v>
      </c>
      <c r="EE56" s="514" t="n"/>
      <c r="EF56" s="210" t="n"/>
      <c r="EG56" s="261" t="n"/>
      <c r="EH56" s="526" t="inlineStr">
        <is>
          <t>2025/4/1站前交機2台</t>
        </is>
      </c>
      <c r="EI56" s="212" t="n"/>
      <c r="EJ56" s="118">
        <f>IFERROR(VLOOKUP(A56,站前4樓!A:BF,57,0),0)</f>
        <v/>
      </c>
      <c r="EK56" s="213">
        <f>IFERROR(VLOOKUP(A56,站前11樓!A:BE,57,0),0)</f>
        <v/>
      </c>
      <c r="EL56" s="118">
        <f>IFERROR(VLOOKUP(A56,忠孝7樓!A:N,57,0),0)</f>
        <v/>
      </c>
      <c r="EM56" s="118">
        <f>IFERROR(VLOOKUP(A56,忠孝國際醫學3樓!A:L,57,0),0)</f>
        <v/>
      </c>
      <c r="EN56" s="118">
        <f>SUM(ED56:EG56)</f>
        <v/>
      </c>
      <c r="EP56" s="118" t="n">
        <v>91065</v>
      </c>
      <c r="EQ56" s="118" t="n">
        <v>123982</v>
      </c>
    </row>
    <row r="57" ht="15.75" customFormat="1" customHeight="1" s="118">
      <c r="A57" s="136" t="inlineStr">
        <is>
          <t>MM2MB040010A</t>
        </is>
      </c>
      <c r="B57" s="118" t="n">
        <v>6170021</v>
      </c>
      <c r="C57" s="133" t="inlineStr">
        <is>
          <t>媚必提直線探頭4.5mm(1條)</t>
        </is>
      </c>
      <c r="D57" s="207" t="n">
        <v>20099</v>
      </c>
      <c r="E57" s="198" t="inlineStr">
        <is>
          <t>SHOT</t>
        </is>
      </c>
      <c r="F57" s="199">
        <f>SUMIF(站前4樓!B:B,B57,站前4樓!F:F)</f>
        <v/>
      </c>
      <c r="G57" s="199">
        <f>SUMIF(站前11樓!B:B,B57,站前11樓!F:F)</f>
        <v/>
      </c>
      <c r="H57" s="199">
        <f>SUMIF(忠孝7樓!B:B,B57,忠孝7樓!G:G)</f>
        <v/>
      </c>
      <c r="I57" s="199">
        <f>SUMIF(忠孝國際醫學3樓!B:B,B57,忠孝國際醫學3樓!G:G)</f>
        <v/>
      </c>
      <c r="J57" s="199">
        <f>SUMIF(忠孝健康7樓!B:B,B57,忠孝健康7樓!G:G)</f>
        <v/>
      </c>
      <c r="K57" s="200" t="n"/>
      <c r="L57" s="200" t="n"/>
      <c r="M57" s="200" t="n"/>
      <c r="N57" s="200" t="n"/>
      <c r="O57" s="200" t="n"/>
      <c r="P57" s="200" t="n"/>
      <c r="Q57" s="200" t="n"/>
      <c r="R57" s="200" t="n"/>
      <c r="S57" s="200" t="n"/>
      <c r="T57" s="200" t="n"/>
      <c r="U57" s="200" t="n"/>
      <c r="V57" s="200" t="n"/>
      <c r="W57" s="200" t="n"/>
      <c r="X57" s="200" t="n"/>
      <c r="Y57" s="200" t="n"/>
      <c r="Z57" s="200" t="n"/>
      <c r="AA57" s="200" t="n"/>
      <c r="AB57" s="200" t="n"/>
      <c r="AC57" s="200" t="n"/>
      <c r="AD57" s="200" t="n"/>
      <c r="AE57" s="200" t="n"/>
      <c r="AF57" s="200" t="n"/>
      <c r="AG57" s="200" t="n"/>
      <c r="AH57" s="200" t="n"/>
      <c r="AI57" s="200" t="n"/>
      <c r="AJ57" s="221" t="n"/>
      <c r="AK57" s="221" t="n"/>
      <c r="AL57" s="221" t="n"/>
      <c r="AM57" s="221" t="n"/>
      <c r="AN57" s="221" t="n"/>
      <c r="AO57" s="221" t="n"/>
      <c r="AP57" s="221" t="n"/>
      <c r="AQ57" s="221" t="n"/>
      <c r="AR57" s="221" t="n"/>
      <c r="AS57" s="201" t="n"/>
      <c r="AT57" s="512" t="n"/>
      <c r="AU57" s="203" t="inlineStr">
        <is>
          <t>-</t>
        </is>
      </c>
      <c r="AV57" s="204" t="inlineStr">
        <is>
          <t>-</t>
        </is>
      </c>
      <c r="AW57" s="513" t="inlineStr">
        <is>
          <t>-</t>
        </is>
      </c>
      <c r="AX57" s="513" t="inlineStr">
        <is>
          <t>-</t>
        </is>
      </c>
      <c r="AY57" s="513" t="inlineStr">
        <is>
          <t>-</t>
        </is>
      </c>
      <c r="AZ57" s="513" t="inlineStr">
        <is>
          <t>-</t>
        </is>
      </c>
      <c r="BA57" s="203" t="n">
        <v>17125</v>
      </c>
      <c r="BB57" s="203" t="n">
        <v>32157</v>
      </c>
      <c r="BC57" s="203">
        <f>SUMIFS(領用表!$L:$L,領用表!$A:$A,BC$2,領用表!$E:$E,B57)</f>
        <v/>
      </c>
      <c r="BD57" s="206">
        <f>SUMIFS(領用表!$L:$L,領用表!$E:$E,$B57,領用表!$B:$B,BC$2&amp;BD$2)</f>
        <v/>
      </c>
      <c r="BE57" s="206">
        <f>SUMIFS(領用表!$L:$L,領用表!$E:$E,$B57,領用表!$B:$B,$BC$2&amp;BE$2)</f>
        <v/>
      </c>
      <c r="BF57" s="206">
        <f>SUMIFS(領用表!$L:$L,領用表!$E:$E,$B57,領用表!$B:$B,$BC$2&amp;BF$2)</f>
        <v/>
      </c>
      <c r="BG57" s="206">
        <f>SUMIFS(領用表!$L:$L,領用表!$E:$E,$B57,領用表!$B:$B,$BC$2&amp;BG$2)</f>
        <v/>
      </c>
      <c r="BH57" s="203">
        <f>SUMIFS(領用表!$L:$L,領用表!$A:$A,BH$2,領用表!$E:$E,B57)</f>
        <v/>
      </c>
      <c r="BI57" s="260">
        <f>SUMIFS(領用表!$L:$L,領用表!$E:$E,$B57,領用表!$B:$B,BH$2&amp;BI$2)</f>
        <v/>
      </c>
      <c r="BJ57" s="260">
        <f>SUMIFS(領用表!$L:$L,領用表!$E:$E,$B57,領用表!$B:$B,$BH$2&amp;BJ$2)</f>
        <v/>
      </c>
      <c r="BK57" s="260">
        <f>SUMIFS(領用表!$L:$L,領用表!$E:$E,$B57,領用表!$B:$B,$BH$2&amp;BK$2)</f>
        <v/>
      </c>
      <c r="BL57" s="260">
        <f>SUMIFS(領用表!$L:$L,領用表!$E:$E,$B57,領用表!$B:$B,$BH$2&amp;BL$2)</f>
        <v/>
      </c>
      <c r="BM57" s="203">
        <f>SUMIFS(領用表!$L:$L,領用表!$A:$A,BM$2,領用表!$E:$E,B57)</f>
        <v/>
      </c>
      <c r="BN57" s="206">
        <f>SUMIFS(領用表!$L:$L,領用表!$E:$E,$B57,領用表!$B:$B,BM$2&amp;BN$2)</f>
        <v/>
      </c>
      <c r="BO57" s="206">
        <f>SUMIFS(領用表!$L:$L,領用表!$E:$E,$B57,領用表!$B:$B,$BM$2&amp;BO$2)</f>
        <v/>
      </c>
      <c r="BP57" s="206">
        <f>SUMIFS(領用表!$L:$L,領用表!$E:$E,$B57,領用表!$B:$B,$BM$2&amp;BP$2)</f>
        <v/>
      </c>
      <c r="BQ57" s="206">
        <f>SUMIFS(領用表!$L:$L,領用表!$E:$E,$B57,領用表!$B:$B,$BM$2&amp;BQ$2)</f>
        <v/>
      </c>
      <c r="BR57" s="203">
        <f>SUMIFS(領用表!$L:$L,領用表!$A:$A,BR$2,領用表!$E:$E,B57)</f>
        <v/>
      </c>
      <c r="BS57" s="206">
        <f>SUMIFS(領用表!$L:$L,領用表!$E:$E,$B57,領用表!$B:$B,BR$2&amp;BS$2)</f>
        <v/>
      </c>
      <c r="BT57" s="206">
        <f>SUMIFS(領用表!$L:$L,領用表!$E:$E,$B57,領用表!$B:$B,$BR$2&amp;BT$2)</f>
        <v/>
      </c>
      <c r="BU57" s="206">
        <f>SUMIFS(領用表!$L:$L,領用表!$E:$E,$B57,領用表!$B:$B,$BR$2&amp;BU$2)</f>
        <v/>
      </c>
      <c r="BV57" s="206">
        <f>SUMIFS(領用表!$L:$L,領用表!$E:$E,$B57,領用表!$B:$B,$BR$2&amp;BV$2)</f>
        <v/>
      </c>
      <c r="BW57" s="208">
        <f>SUMIFS(領用表!$L:$L,領用表!$A:$A,BW$2,領用表!$E:$E,B57)</f>
        <v/>
      </c>
      <c r="BX57" s="206">
        <f>SUMIFS(領用表!$L:$L,領用表!$E:$E,$B57,領用表!$B:$B,BW$2&amp;BX$2)</f>
        <v/>
      </c>
      <c r="BY57" s="206">
        <f>SUMIFS(領用表!$L:$L,領用表!$E:$E,$B57,領用表!$B:$B,$BW$2&amp;BY$2)</f>
        <v/>
      </c>
      <c r="BZ57" s="206">
        <f>SUMIFS(領用表!$L:$L,領用表!$E:$E,$B57,領用表!$B:$B,$BW$2&amp;BZ$2)</f>
        <v/>
      </c>
      <c r="CA57" s="206">
        <f>SUMIFS(領用表!$L:$L,領用表!$E:$E,$B57,領用表!$B:$B,$BW$2&amp;CA$2)</f>
        <v/>
      </c>
      <c r="CB57" s="208">
        <f>SUMIFS(領用表!$L:$L,領用表!$A:$A,CB$2,領用表!$E:$E,B57)</f>
        <v/>
      </c>
      <c r="CC57" s="206">
        <f>SUMIFS(領用表!$L:$L,領用表!$E:$E,$B57,領用表!$B:$B,CB$2&amp;CC$2)</f>
        <v/>
      </c>
      <c r="CD57" s="206">
        <f>SUMIFS(領用表!$L:$L,領用表!$E:$E,$B57,領用表!$B:$B,$CB$2&amp;CD$2)</f>
        <v/>
      </c>
      <c r="CE57" s="206">
        <f>SUMIFS(領用表!$L:$L,領用表!$E:$E,$B57,領用表!$B:$B,$CB$2&amp;CE$2)</f>
        <v/>
      </c>
      <c r="CF57" s="206">
        <f>SUMIFS(領用表!$L:$L,領用表!$E:$E,$B57,領用表!$B:$B,$CB$2&amp;CF$2)</f>
        <v/>
      </c>
      <c r="CG57" s="208">
        <f>SUMIFS(領用表!$L:$L,領用表!$A:$A,CG$2,領用表!$E:$E,B57)</f>
        <v/>
      </c>
      <c r="CH57" s="206">
        <f>SUMIFS(領用表!$L:$L,領用表!$E:$E,$B57,領用表!$B:$B,CG$2&amp;CH$2)</f>
        <v/>
      </c>
      <c r="CI57" s="206">
        <f>SUMIFS(領用表!$L:$L,領用表!$E:$E,$B57,領用表!$B:$B,CG$2&amp;CI$2)</f>
        <v/>
      </c>
      <c r="CJ57" s="206">
        <f>SUMIFS(領用表!$L:$L,領用表!$E:$E,$B57,領用表!$B:$B,CG$2&amp;CJ$2)</f>
        <v/>
      </c>
      <c r="CK57" s="206">
        <f>SUMIFS(領用表!$L:$L,領用表!$E:$E,$B57,領用表!$B:$B,$CG$2&amp;CK$2)</f>
        <v/>
      </c>
      <c r="CL57" s="207">
        <f>SUM(AX57,AY57,AZ57,BA57,BB57,BC57,BH57,BM57,BR57,BW57,CB57,CG57)</f>
        <v/>
      </c>
      <c r="CM57" s="207">
        <f>AVERAGE(AX57,AY57,AZ57,BA57,BB57,BC57,BH57,BM57,BR57,BW57,CB57,CG57)</f>
        <v/>
      </c>
      <c r="CN57" s="208">
        <f>SUMIFS(領用表!$L:$L,領用表!$A:$A,CN$2,領用表!$E:$E,B57)</f>
        <v/>
      </c>
      <c r="CO57" s="206">
        <f>SUMIFS(領用表!$L:$L,領用表!$E:$E,$B57,領用表!$B:$B,CN$2&amp;CO$2)</f>
        <v/>
      </c>
      <c r="CP57" s="206">
        <f>SUMIFS(領用表!$L:$L,領用表!$E:$E,$B57,領用表!$B:$B,$CN$2&amp;CP$2)</f>
        <v/>
      </c>
      <c r="CQ57" s="206">
        <f>SUMIFS(領用表!$L:$L,領用表!$E:$E,$B57,領用表!$B:$B,$CN$2&amp;CQ$2)</f>
        <v/>
      </c>
      <c r="CR57" s="206">
        <f>SUMIFS(領用表!$L:$L,領用表!$E:$E,$B57,領用表!$B:$B,$CN$2&amp;CR$2)</f>
        <v/>
      </c>
      <c r="CS57" s="208">
        <f>SUMIFS(領用表!$L:$L,領用表!$A:$A,CS$2,領用表!$E:$E,B57)</f>
        <v/>
      </c>
      <c r="CT57" s="206">
        <f>SUMIFS(領用表!$L:$L,領用表!$E:$E,$B57,領用表!$B:$B,CS$2&amp;CT$2)</f>
        <v/>
      </c>
      <c r="CU57" s="206">
        <f>SUMIFS(領用表!$L:$L,領用表!$E:$E,$B57,領用表!$B:$B,$CS$2&amp;CU$2)</f>
        <v/>
      </c>
      <c r="CV57" s="206">
        <f>SUMIFS(領用表!$L:$L,領用表!$E:$E,$B57,領用表!$B:$B,$CS$2&amp;CV$2)</f>
        <v/>
      </c>
      <c r="CW57" s="206">
        <f>SUMIFS(領用表!$L:$L,領用表!$E:$E,$B57,領用表!$B:$B,$CS$2&amp;CW$2)</f>
        <v/>
      </c>
      <c r="CX57" s="206">
        <f>SUMIFS(領用表!$L:$L,領用表!$E:$E,$B57,領用表!$B:$B,$CS$2&amp;CX$2)</f>
        <v/>
      </c>
      <c r="CY57" s="208">
        <f>SUMIFS(領用表!$L:$L,領用表!$A:$A,CY$2,領用表!$E:$E,B57)</f>
        <v/>
      </c>
      <c r="CZ57" s="206">
        <f>SUMIFS(領用表!$L:$L,領用表!$E:$E,$B57,領用表!$B:$B,CY$2&amp;CZ$2)</f>
        <v/>
      </c>
      <c r="DA57" s="206">
        <f>SUMIFS(領用表!$L:$L,領用表!$E:$E,$B57,領用表!$B:$B,$CY$2&amp;DA$2)</f>
        <v/>
      </c>
      <c r="DB57" s="206">
        <f>SUMIFS(領用表!$L:$L,領用表!$E:$E,$B57,領用表!$B:$B,$CY$2&amp;DB$2)</f>
        <v/>
      </c>
      <c r="DC57" s="206">
        <f>SUMIFS(領用表!$L:$L,領用表!$E:$E,$B57,領用表!$B:$B,$CY$2&amp;DC$2)</f>
        <v/>
      </c>
      <c r="DD57" s="206">
        <f>SUMIFS(領用表!$L:$L,領用表!$E:$E,$B57,領用表!$B:$B,$CY$2&amp;DD$2)</f>
        <v/>
      </c>
      <c r="DE57" s="208">
        <f>SUMIFS(領用表!$L:$L,領用表!$A:$A,DE$2,領用表!$E:$E,B57)</f>
        <v/>
      </c>
      <c r="DF57" s="206">
        <f>SUMIFS(領用表!$L:$L,領用表!$E:$E,$B57,領用表!$B:$B,DE$2&amp;DF$2)</f>
        <v/>
      </c>
      <c r="DG57" s="206">
        <f>SUMIFS(領用表!$L:$L,領用表!$E:$E,$B57,領用表!$B:$B,$DE$2&amp;DG$2)</f>
        <v/>
      </c>
      <c r="DH57" s="206">
        <f>SUMIFS(領用表!$L:$L,領用表!$E:$E,$B57,領用表!$B:$B,$DE$2&amp;DH$2)</f>
        <v/>
      </c>
      <c r="DI57" s="206">
        <f>SUMIFS(領用表!$L:$L,領用表!$E:$E,$B57,領用表!$B:$B,$DE$2&amp;DI$2)</f>
        <v/>
      </c>
      <c r="DJ57" s="206">
        <f>SUMIFS(領用表!$L:$L,領用表!$E:$E,$B57,領用表!$B:$B,$DE$2&amp;DJ$2)</f>
        <v/>
      </c>
      <c r="DK57" s="208">
        <f>SUMIFS(領用表!$L:$L,領用表!$A:$A,DK$2,領用表!$E:$E,$B57)</f>
        <v/>
      </c>
      <c r="DL57" s="206">
        <f>SUMIFS(領用表!$L:$L,領用表!$E:$E,$B57,領用表!$B:$B,DK$2&amp;DL$2)</f>
        <v/>
      </c>
      <c r="DM57" s="206">
        <f>SUMIFS(領用表!$L:$L,領用表!$E:$E,$B57,領用表!$B:$B,$DK$2&amp;DM$2)</f>
        <v/>
      </c>
      <c r="DN57" s="206">
        <f>SUMIFS(領用表!$L:$L,領用表!$E:$E,$B57,領用表!$B:$B,$DK$2&amp;DN$2)</f>
        <v/>
      </c>
      <c r="DO57" s="206">
        <f>SUMIFS(領用表!$L:$L,領用表!$E:$E,$B57,領用表!$B:$B,$DK$2&amp;DO$2)</f>
        <v/>
      </c>
      <c r="DP57" s="206">
        <f>SUMIFS(領用表!$L:$L,領用表!$E:$E,$B57,領用表!$B:$B,$DK$2&amp;DP$2)</f>
        <v/>
      </c>
      <c r="DQ57" s="208" t="n">
        <v>21395</v>
      </c>
      <c r="DR57" s="206" t="n">
        <v>5349</v>
      </c>
      <c r="DS57" s="206" t="n"/>
      <c r="DT57" s="206" t="n">
        <v>11227</v>
      </c>
      <c r="DU57" s="206" t="n"/>
      <c r="DV57" s="206" t="n">
        <v>4819</v>
      </c>
      <c r="DW57" s="206">
        <f>SUM(CN57,CS57,CY57,DE57,DK57,DQ57)</f>
        <v/>
      </c>
      <c r="DX57" s="206">
        <f>AVERAGEA(CN57,CS57,CY57,DE57,DK57,DQ57)</f>
        <v/>
      </c>
      <c r="DY57" s="206">
        <f>SUM(DZ57:EC57)</f>
        <v/>
      </c>
      <c r="DZ57" s="206" t="n">
        <v>20000</v>
      </c>
      <c r="EA57" s="206" t="n">
        <v>0</v>
      </c>
      <c r="EB57" s="206" t="n">
        <v>40000</v>
      </c>
      <c r="EC57" s="206" t="n">
        <v>0</v>
      </c>
      <c r="ED57" s="215" t="n">
        <v>40000</v>
      </c>
      <c r="EE57" s="514" t="n"/>
      <c r="EF57" s="210" t="n"/>
      <c r="EG57" s="262" t="inlineStr">
        <is>
          <t>2顆(10/23)</t>
        </is>
      </c>
      <c r="EH57" s="526" t="inlineStr">
        <is>
          <t>2025/4/1站前交機2台</t>
        </is>
      </c>
      <c r="EI57" s="212" t="n"/>
      <c r="EJ57" s="118">
        <f>IFERROR(VLOOKUP(A57,站前4樓!A:BF,57,0),0)</f>
        <v/>
      </c>
      <c r="EK57" s="213">
        <f>IFERROR(VLOOKUP(A57,站前11樓!A:BE,57,0),0)</f>
        <v/>
      </c>
      <c r="EL57" s="118">
        <f>IFERROR(VLOOKUP(A57,忠孝7樓!A:N,57,0),0)</f>
        <v/>
      </c>
      <c r="EM57" s="118">
        <f>IFERROR(VLOOKUP(A57,忠孝國際醫學3樓!A:L,57,0),0)</f>
        <v/>
      </c>
      <c r="EN57" s="118">
        <f>SUM(ED57:EG57)</f>
        <v/>
      </c>
      <c r="EP57" s="118" t="n">
        <v>132024</v>
      </c>
      <c r="EQ57" s="118" t="n">
        <v>129950</v>
      </c>
    </row>
    <row r="58" ht="15.75" customFormat="1" customHeight="1" s="118">
      <c r="A58" s="136" t="inlineStr">
        <is>
          <t>MM2MB040011A</t>
        </is>
      </c>
      <c r="B58" s="118" t="n">
        <v>6170022</v>
      </c>
      <c r="C58" s="133" t="inlineStr">
        <is>
          <t>媚必提直線探頭6.0mm(1條)</t>
        </is>
      </c>
      <c r="D58" s="207" t="n">
        <v>20099</v>
      </c>
      <c r="E58" s="198" t="inlineStr">
        <is>
          <t>SHOT</t>
        </is>
      </c>
      <c r="F58" s="199">
        <f>SUMIF(站前4樓!B:B,B58,站前4樓!F:F)</f>
        <v/>
      </c>
      <c r="G58" s="199">
        <f>SUMIF(站前11樓!B:B,B58,站前11樓!F:F)</f>
        <v/>
      </c>
      <c r="H58" s="199">
        <f>SUMIF(忠孝7樓!B:B,B58,忠孝7樓!G:G)</f>
        <v/>
      </c>
      <c r="I58" s="199">
        <f>SUMIF(忠孝國際醫學3樓!B:B,B58,忠孝國際醫學3樓!G:G)</f>
        <v/>
      </c>
      <c r="J58" s="199">
        <f>SUMIF(忠孝健康7樓!B:B,B58,忠孝健康7樓!G:G)</f>
        <v/>
      </c>
      <c r="K58" s="200" t="n"/>
      <c r="L58" s="200" t="n"/>
      <c r="M58" s="200" t="n"/>
      <c r="N58" s="200" t="n"/>
      <c r="O58" s="200" t="n"/>
      <c r="P58" s="200" t="n"/>
      <c r="Q58" s="200" t="n"/>
      <c r="R58" s="200" t="n"/>
      <c r="S58" s="200" t="n"/>
      <c r="T58" s="200" t="n"/>
      <c r="U58" s="200" t="n"/>
      <c r="V58" s="200" t="n"/>
      <c r="W58" s="200" t="n"/>
      <c r="X58" s="200" t="n"/>
      <c r="Y58" s="200" t="n"/>
      <c r="Z58" s="200" t="n"/>
      <c r="AA58" s="200" t="n"/>
      <c r="AB58" s="200" t="n"/>
      <c r="AC58" s="200" t="n"/>
      <c r="AD58" s="200" t="n"/>
      <c r="AE58" s="200" t="n"/>
      <c r="AF58" s="200" t="n"/>
      <c r="AG58" s="200" t="n"/>
      <c r="AH58" s="200" t="n"/>
      <c r="AI58" s="200" t="n"/>
      <c r="AJ58" s="221" t="n"/>
      <c r="AK58" s="221" t="n"/>
      <c r="AL58" s="221" t="n"/>
      <c r="AM58" s="221" t="n"/>
      <c r="AN58" s="221" t="n"/>
      <c r="AO58" s="221" t="n"/>
      <c r="AP58" s="221" t="n"/>
      <c r="AQ58" s="221" t="n"/>
      <c r="AR58" s="221" t="n"/>
      <c r="AS58" s="201" t="n"/>
      <c r="AT58" s="512" t="n"/>
      <c r="AU58" s="203" t="n"/>
      <c r="AV58" s="204" t="inlineStr">
        <is>
          <t>-</t>
        </is>
      </c>
      <c r="AW58" s="513" t="inlineStr">
        <is>
          <t>-</t>
        </is>
      </c>
      <c r="AX58" s="513" t="inlineStr">
        <is>
          <t>-</t>
        </is>
      </c>
      <c r="AY58" s="513" t="inlineStr">
        <is>
          <t>-</t>
        </is>
      </c>
      <c r="AZ58" s="513" t="inlineStr">
        <is>
          <t>-</t>
        </is>
      </c>
      <c r="BA58" s="203" t="n">
        <v>5766</v>
      </c>
      <c r="BB58" s="203" t="n">
        <v>15433</v>
      </c>
      <c r="BC58" s="203">
        <f>SUMIFS(領用表!$L:$L,領用表!$A:$A,BC$2,領用表!$E:$E,B58)</f>
        <v/>
      </c>
      <c r="BD58" s="206">
        <f>SUMIFS(領用表!$L:$L,領用表!$E:$E,$B58,領用表!$B:$B,BC$2&amp;BD$2)</f>
        <v/>
      </c>
      <c r="BE58" s="206">
        <f>SUMIFS(領用表!$L:$L,領用表!$E:$E,$B58,領用表!$B:$B,$BC$2&amp;BE$2)</f>
        <v/>
      </c>
      <c r="BF58" s="206">
        <f>SUMIFS(領用表!$L:$L,領用表!$E:$E,$B58,領用表!$B:$B,$BC$2&amp;BF$2)</f>
        <v/>
      </c>
      <c r="BG58" s="206">
        <f>SUMIFS(領用表!$L:$L,領用表!$E:$E,$B58,領用表!$B:$B,$BC$2&amp;BG$2)</f>
        <v/>
      </c>
      <c r="BH58" s="203">
        <f>SUMIFS(領用表!$L:$L,領用表!$A:$A,BH$2,領用表!$E:$E,B58)</f>
        <v/>
      </c>
      <c r="BI58" s="260">
        <f>SUMIFS(領用表!$L:$L,領用表!$E:$E,$B58,領用表!$B:$B,BH$2&amp;BI$2)</f>
        <v/>
      </c>
      <c r="BJ58" s="260">
        <f>SUMIFS(領用表!$L:$L,領用表!$E:$E,$B58,領用表!$B:$B,$BH$2&amp;BJ$2)</f>
        <v/>
      </c>
      <c r="BK58" s="260">
        <f>SUMIFS(領用表!$L:$L,領用表!$E:$E,$B58,領用表!$B:$B,$BH$2&amp;BK$2)</f>
        <v/>
      </c>
      <c r="BL58" s="260">
        <f>SUMIFS(領用表!$L:$L,領用表!$E:$E,$B58,領用表!$B:$B,$BH$2&amp;BL$2)</f>
        <v/>
      </c>
      <c r="BM58" s="203">
        <f>SUMIFS(領用表!$L:$L,領用表!$A:$A,BM$2,領用表!$E:$E,B58)</f>
        <v/>
      </c>
      <c r="BN58" s="206">
        <f>SUMIFS(領用表!$L:$L,領用表!$E:$E,$B58,領用表!$B:$B,BM$2&amp;BN$2)</f>
        <v/>
      </c>
      <c r="BO58" s="206">
        <f>SUMIFS(領用表!$L:$L,領用表!$E:$E,$B58,領用表!$B:$B,$BM$2&amp;BO$2)</f>
        <v/>
      </c>
      <c r="BP58" s="206">
        <f>SUMIFS(領用表!$L:$L,領用表!$E:$E,$B58,領用表!$B:$B,$BM$2&amp;BP$2)</f>
        <v/>
      </c>
      <c r="BQ58" s="206">
        <f>SUMIFS(領用表!$L:$L,領用表!$E:$E,$B58,領用表!$B:$B,$BM$2&amp;BQ$2)</f>
        <v/>
      </c>
      <c r="BR58" s="203">
        <f>SUMIFS(領用表!$L:$L,領用表!$A:$A,BR$2,領用表!$E:$E,B58)</f>
        <v/>
      </c>
      <c r="BS58" s="206">
        <f>SUMIFS(領用表!$L:$L,領用表!$E:$E,$B58,領用表!$B:$B,BR$2&amp;BS$2)</f>
        <v/>
      </c>
      <c r="BT58" s="206">
        <f>SUMIFS(領用表!$L:$L,領用表!$E:$E,$B58,領用表!$B:$B,$BR$2&amp;BT$2)</f>
        <v/>
      </c>
      <c r="BU58" s="206">
        <f>SUMIFS(領用表!$L:$L,領用表!$E:$E,$B58,領用表!$B:$B,$BR$2&amp;BU$2)</f>
        <v/>
      </c>
      <c r="BV58" s="206">
        <f>SUMIFS(領用表!$L:$L,領用表!$E:$E,$B58,領用表!$B:$B,$BR$2&amp;BV$2)</f>
        <v/>
      </c>
      <c r="BW58" s="208">
        <f>SUMIFS(領用表!$L:$L,領用表!$A:$A,BW$2,領用表!$E:$E,B58)</f>
        <v/>
      </c>
      <c r="BX58" s="206">
        <f>SUMIFS(領用表!$L:$L,領用表!$E:$E,$B58,領用表!$B:$B,BW$2&amp;BX$2)</f>
        <v/>
      </c>
      <c r="BY58" s="206">
        <f>SUMIFS(領用表!$L:$L,領用表!$E:$E,$B58,領用表!$B:$B,$BW$2&amp;BY$2)</f>
        <v/>
      </c>
      <c r="BZ58" s="206">
        <f>SUMIFS(領用表!$L:$L,領用表!$E:$E,$B58,領用表!$B:$B,$BW$2&amp;BZ$2)</f>
        <v/>
      </c>
      <c r="CA58" s="206">
        <f>SUMIFS(領用表!$L:$L,領用表!$E:$E,$B58,領用表!$B:$B,$BW$2&amp;CA$2)</f>
        <v/>
      </c>
      <c r="CB58" s="208">
        <f>SUMIFS(領用表!$L:$L,領用表!$A:$A,CB$2,領用表!$E:$E,B58)</f>
        <v/>
      </c>
      <c r="CC58" s="206">
        <f>SUMIFS(領用表!$L:$L,領用表!$E:$E,$B58,領用表!$B:$B,CB$2&amp;CC$2)</f>
        <v/>
      </c>
      <c r="CD58" s="206">
        <f>SUMIFS(領用表!$L:$L,領用表!$E:$E,$B58,領用表!$B:$B,$CB$2&amp;CD$2)</f>
        <v/>
      </c>
      <c r="CE58" s="206">
        <f>SUMIFS(領用表!$L:$L,領用表!$E:$E,$B58,領用表!$B:$B,$CB$2&amp;CE$2)</f>
        <v/>
      </c>
      <c r="CF58" s="206">
        <f>SUMIFS(領用表!$L:$L,領用表!$E:$E,$B58,領用表!$B:$B,$CB$2&amp;CF$2)</f>
        <v/>
      </c>
      <c r="CG58" s="208">
        <f>SUMIFS(領用表!$L:$L,領用表!$A:$A,CG$2,領用表!$E:$E,B58)</f>
        <v/>
      </c>
      <c r="CH58" s="206">
        <f>SUMIFS(領用表!$L:$L,領用表!$E:$E,$B58,領用表!$B:$B,CG$2&amp;CH$2)</f>
        <v/>
      </c>
      <c r="CI58" s="206">
        <f>SUMIFS(領用表!$L:$L,領用表!$E:$E,$B58,領用表!$B:$B,CG$2&amp;CI$2)</f>
        <v/>
      </c>
      <c r="CJ58" s="206">
        <f>SUMIFS(領用表!$L:$L,領用表!$E:$E,$B58,領用表!$B:$B,CG$2&amp;CJ$2)</f>
        <v/>
      </c>
      <c r="CK58" s="206">
        <f>SUMIFS(領用表!$L:$L,領用表!$E:$E,$B58,領用表!$B:$B,$CG$2&amp;CK$2)</f>
        <v/>
      </c>
      <c r="CL58" s="207">
        <f>SUM(AX58,AY58,AZ58,BA58,BB58,BC58,BH58,BM58,BR58,BW58,CB58,CG58)</f>
        <v/>
      </c>
      <c r="CM58" s="207">
        <f>AVERAGE(AX58,AY58,AZ58,BA58,BB58,BC58,BH58,BM58,BR58,BW58,CB58,CG58)</f>
        <v/>
      </c>
      <c r="CN58" s="208">
        <f>SUMIFS(領用表!$L:$L,領用表!$A:$A,CN$2,領用表!$E:$E,B58)</f>
        <v/>
      </c>
      <c r="CO58" s="206">
        <f>SUMIFS(領用表!$L:$L,領用表!$E:$E,$B58,領用表!$B:$B,CN$2&amp;CO$2)</f>
        <v/>
      </c>
      <c r="CP58" s="206">
        <f>SUMIFS(領用表!$L:$L,領用表!$E:$E,$B58,領用表!$B:$B,$CN$2&amp;CP$2)</f>
        <v/>
      </c>
      <c r="CQ58" s="206">
        <f>SUMIFS(領用表!$L:$L,領用表!$E:$E,$B58,領用表!$B:$B,$CN$2&amp;CQ$2)</f>
        <v/>
      </c>
      <c r="CR58" s="206">
        <f>SUMIFS(領用表!$L:$L,領用表!$E:$E,$B58,領用表!$B:$B,$CN$2&amp;CR$2)</f>
        <v/>
      </c>
      <c r="CS58" s="208">
        <f>SUMIFS(領用表!$L:$L,領用表!$A:$A,CS$2,領用表!$E:$E,B58)</f>
        <v/>
      </c>
      <c r="CT58" s="206">
        <f>SUMIFS(領用表!$L:$L,領用表!$E:$E,$B58,領用表!$B:$B,CS$2&amp;CT$2)</f>
        <v/>
      </c>
      <c r="CU58" s="206">
        <f>SUMIFS(領用表!$L:$L,領用表!$E:$E,$B58,領用表!$B:$B,$CS$2&amp;CU$2)</f>
        <v/>
      </c>
      <c r="CV58" s="206">
        <f>SUMIFS(領用表!$L:$L,領用表!$E:$E,$B58,領用表!$B:$B,$CS$2&amp;CV$2)</f>
        <v/>
      </c>
      <c r="CW58" s="206">
        <f>SUMIFS(領用表!$L:$L,領用表!$E:$E,$B58,領用表!$B:$B,$CS$2&amp;CW$2)</f>
        <v/>
      </c>
      <c r="CX58" s="206">
        <f>SUMIFS(領用表!$L:$L,領用表!$E:$E,$B58,領用表!$B:$B,$CS$2&amp;CX$2)</f>
        <v/>
      </c>
      <c r="CY58" s="208">
        <f>SUMIFS(領用表!$L:$L,領用表!$A:$A,CY$2,領用表!$E:$E,B58)</f>
        <v/>
      </c>
      <c r="CZ58" s="206">
        <f>SUMIFS(領用表!$L:$L,領用表!$E:$E,$B58,領用表!$B:$B,CY$2&amp;CZ$2)</f>
        <v/>
      </c>
      <c r="DA58" s="206">
        <f>SUMIFS(領用表!$L:$L,領用表!$E:$E,$B58,領用表!$B:$B,$CY$2&amp;DA$2)</f>
        <v/>
      </c>
      <c r="DB58" s="206">
        <f>SUMIFS(領用表!$L:$L,領用表!$E:$E,$B58,領用表!$B:$B,$CY$2&amp;DB$2)</f>
        <v/>
      </c>
      <c r="DC58" s="206">
        <f>SUMIFS(領用表!$L:$L,領用表!$E:$E,$B58,領用表!$B:$B,$CY$2&amp;DC$2)</f>
        <v/>
      </c>
      <c r="DD58" s="206">
        <f>SUMIFS(領用表!$L:$L,領用表!$E:$E,$B58,領用表!$B:$B,$CY$2&amp;DD$2)</f>
        <v/>
      </c>
      <c r="DE58" s="208">
        <f>SUMIFS(領用表!$L:$L,領用表!$A:$A,DE$2,領用表!$E:$E,B58)</f>
        <v/>
      </c>
      <c r="DF58" s="206">
        <f>SUMIFS(領用表!$L:$L,領用表!$E:$E,$B58,領用表!$B:$B,DE$2&amp;DF$2)</f>
        <v/>
      </c>
      <c r="DG58" s="206">
        <f>SUMIFS(領用表!$L:$L,領用表!$E:$E,$B58,領用表!$B:$B,$DE$2&amp;DG$2)</f>
        <v/>
      </c>
      <c r="DH58" s="206">
        <f>SUMIFS(領用表!$L:$L,領用表!$E:$E,$B58,領用表!$B:$B,$DE$2&amp;DH$2)</f>
        <v/>
      </c>
      <c r="DI58" s="206">
        <f>SUMIFS(領用表!$L:$L,領用表!$E:$E,$B58,領用表!$B:$B,$DE$2&amp;DI$2)</f>
        <v/>
      </c>
      <c r="DJ58" s="206">
        <f>SUMIFS(領用表!$L:$L,領用表!$E:$E,$B58,領用表!$B:$B,$DE$2&amp;DJ$2)</f>
        <v/>
      </c>
      <c r="DK58" s="208">
        <f>SUMIFS(領用表!$L:$L,領用表!$A:$A,DK$2,領用表!$E:$E,$B58)</f>
        <v/>
      </c>
      <c r="DL58" s="206">
        <f>SUMIFS(領用表!$L:$L,領用表!$E:$E,$B58,領用表!$B:$B,DK$2&amp;DL$2)</f>
        <v/>
      </c>
      <c r="DM58" s="206">
        <f>SUMIFS(領用表!$L:$L,領用表!$E:$E,$B58,領用表!$B:$B,$DK$2&amp;DM$2)</f>
        <v/>
      </c>
      <c r="DN58" s="206">
        <f>SUMIFS(領用表!$L:$L,領用表!$E:$E,$B58,領用表!$B:$B,$DK$2&amp;DN$2)</f>
        <v/>
      </c>
      <c r="DO58" s="206">
        <f>SUMIFS(領用表!$L:$L,領用表!$E:$E,$B58,領用表!$B:$B,$DK$2&amp;DO$2)</f>
        <v/>
      </c>
      <c r="DP58" s="206">
        <f>SUMIFS(領用表!$L:$L,領用表!$E:$E,$B58,領用表!$B:$B,$DK$2&amp;DP$2)</f>
        <v/>
      </c>
      <c r="DQ58" s="208" t="n">
        <v>6080</v>
      </c>
      <c r="DR58" s="206" t="n">
        <v>1202</v>
      </c>
      <c r="DS58" s="206" t="n"/>
      <c r="DT58" s="206" t="n">
        <v>2974</v>
      </c>
      <c r="DU58" s="206" t="n"/>
      <c r="DV58" s="206" t="n">
        <v>1904</v>
      </c>
      <c r="DW58" s="206">
        <f>SUM(CN58,CS58,CY58,DE58,DK58,DQ58)</f>
        <v/>
      </c>
      <c r="DX58" s="206">
        <f>AVERAGEA(CN58,CS58,CY58,DE58,DK58,DQ58)</f>
        <v/>
      </c>
      <c r="DY58" s="206">
        <f>SUM(DZ58:EC58)</f>
        <v/>
      </c>
      <c r="DZ58" s="206" t="n">
        <v>6000</v>
      </c>
      <c r="EA58" s="206" t="n">
        <v>0</v>
      </c>
      <c r="EB58" s="206" t="n">
        <v>12000</v>
      </c>
      <c r="EC58" s="206" t="n">
        <v>0</v>
      </c>
      <c r="ED58" s="215" t="n">
        <v>40000</v>
      </c>
      <c r="EE58" s="514" t="n"/>
      <c r="EF58" s="210" t="n"/>
      <c r="EG58" s="261" t="n"/>
      <c r="EH58" s="526" t="inlineStr">
        <is>
          <t>2025/4/1站前交機2台</t>
        </is>
      </c>
      <c r="EI58" s="212" t="n"/>
      <c r="EJ58" s="118">
        <f>IFERROR(VLOOKUP(A58,站前4樓!A:BF,57,0),0)</f>
        <v/>
      </c>
      <c r="EK58" s="213">
        <f>IFERROR(VLOOKUP(A58,站前11樓!A:BE,57,0),0)</f>
        <v/>
      </c>
      <c r="EL58" s="118">
        <f>IFERROR(VLOOKUP(A58,忠孝7樓!A:N,57,0),0)</f>
        <v/>
      </c>
      <c r="EM58" s="118">
        <f>IFERROR(VLOOKUP(A58,忠孝國際醫學3樓!A:L,57,0),0)</f>
        <v/>
      </c>
      <c r="EN58" s="118">
        <f>SUM(ED58:EG58)</f>
        <v/>
      </c>
      <c r="EP58" s="118" t="n">
        <v>87037</v>
      </c>
      <c r="EQ58" s="118" t="n">
        <v>140488</v>
      </c>
    </row>
    <row r="59" ht="15.75" customFormat="1" customHeight="1" s="118">
      <c r="A59" s="136" t="inlineStr">
        <is>
          <t>MM2MB040014A</t>
        </is>
      </c>
      <c r="B59" s="118" t="n">
        <v>6170025</v>
      </c>
      <c r="C59" s="133" t="inlineStr">
        <is>
          <t>媚必提圓周探頭1.5mm(1條)</t>
        </is>
      </c>
      <c r="D59" s="207" t="n">
        <v>20099</v>
      </c>
      <c r="E59" s="198" t="inlineStr">
        <is>
          <t>SHOT</t>
        </is>
      </c>
      <c r="F59" s="199">
        <f>SUMIF(站前4樓!B:B,B59,站前4樓!F:F)</f>
        <v/>
      </c>
      <c r="G59" s="199">
        <f>SUMIF(站前11樓!B:B,B59,站前11樓!F:F)</f>
        <v/>
      </c>
      <c r="H59" s="199">
        <f>SUMIF(忠孝7樓!B:B,B59,忠孝7樓!G:G)</f>
        <v/>
      </c>
      <c r="I59" s="199">
        <f>SUMIF(忠孝國際醫學3樓!B:B,B59,忠孝國際醫學3樓!G:G)</f>
        <v/>
      </c>
      <c r="J59" s="199">
        <f>SUMIF(忠孝健康7樓!B:B,B59,忠孝健康7樓!G:G)</f>
        <v/>
      </c>
      <c r="K59" s="200" t="n"/>
      <c r="L59" s="200" t="n"/>
      <c r="M59" s="200" t="n"/>
      <c r="N59" s="200" t="n"/>
      <c r="O59" s="200" t="n"/>
      <c r="P59" s="200" t="n"/>
      <c r="Q59" s="200" t="n"/>
      <c r="R59" s="200" t="n"/>
      <c r="S59" s="200" t="n"/>
      <c r="T59" s="200" t="n"/>
      <c r="U59" s="200" t="n"/>
      <c r="V59" s="200" t="n"/>
      <c r="W59" s="200" t="n"/>
      <c r="X59" s="200" t="n"/>
      <c r="Y59" s="200" t="n"/>
      <c r="Z59" s="200" t="n"/>
      <c r="AA59" s="200" t="n"/>
      <c r="AB59" s="200" t="n"/>
      <c r="AC59" s="200" t="n"/>
      <c r="AD59" s="200" t="n"/>
      <c r="AE59" s="200" t="n"/>
      <c r="AF59" s="200" t="n"/>
      <c r="AG59" s="200" t="n"/>
      <c r="AH59" s="200" t="n"/>
      <c r="AI59" s="200" t="n"/>
      <c r="AJ59" s="221" t="n"/>
      <c r="AK59" s="221" t="n"/>
      <c r="AL59" s="221" t="n"/>
      <c r="AM59" s="221" t="n"/>
      <c r="AN59" s="221" t="n"/>
      <c r="AO59" s="221" t="n"/>
      <c r="AP59" s="221" t="n"/>
      <c r="AQ59" s="221" t="n"/>
      <c r="AR59" s="221" t="n"/>
      <c r="AS59" s="201" t="n"/>
      <c r="AT59" s="512" t="n"/>
      <c r="AU59" s="203" t="inlineStr">
        <is>
          <t>-</t>
        </is>
      </c>
      <c r="AV59" s="204" t="inlineStr">
        <is>
          <t>-</t>
        </is>
      </c>
      <c r="AW59" s="513" t="inlineStr">
        <is>
          <t>-</t>
        </is>
      </c>
      <c r="AX59" s="203" t="inlineStr">
        <is>
          <t>-</t>
        </is>
      </c>
      <c r="AY59" s="203" t="inlineStr">
        <is>
          <t>-</t>
        </is>
      </c>
      <c r="AZ59" s="203" t="inlineStr">
        <is>
          <t>-</t>
        </is>
      </c>
      <c r="BA59" s="203" t="n">
        <v>201</v>
      </c>
      <c r="BB59" s="203" t="n">
        <v>710</v>
      </c>
      <c r="BC59" s="203">
        <f>SUMIFS(領用表!$L:$L,領用表!$A:$A,BC$2,領用表!$E:$E,B59)</f>
        <v/>
      </c>
      <c r="BD59" s="206">
        <f>SUMIFS(領用表!$L:$L,領用表!$E:$E,$B59,領用表!$B:$B,BC$2&amp;BD$2)</f>
        <v/>
      </c>
      <c r="BE59" s="206">
        <f>SUMIFS(領用表!$L:$L,領用表!$E:$E,$B59,領用表!$B:$B,$BC$2&amp;BE$2)</f>
        <v/>
      </c>
      <c r="BF59" s="206">
        <f>SUMIFS(領用表!$L:$L,領用表!$E:$E,$B59,領用表!$B:$B,$BC$2&amp;BF$2)</f>
        <v/>
      </c>
      <c r="BG59" s="206">
        <f>SUMIFS(領用表!$L:$L,領用表!$E:$E,$B59,領用表!$B:$B,$BC$2&amp;BG$2)</f>
        <v/>
      </c>
      <c r="BH59" s="203">
        <f>SUMIFS(領用表!$L:$L,領用表!$A:$A,BH$2,領用表!$E:$E,B59)</f>
        <v/>
      </c>
      <c r="BI59" s="260">
        <f>SUMIFS(領用表!$L:$L,領用表!$E:$E,$B59,領用表!$B:$B,BH$2&amp;BI$2)</f>
        <v/>
      </c>
      <c r="BJ59" s="260">
        <f>SUMIFS(領用表!$L:$L,領用表!$E:$E,$B59,領用表!$B:$B,$BH$2&amp;BJ$2)</f>
        <v/>
      </c>
      <c r="BK59" s="260">
        <f>SUMIFS(領用表!$L:$L,領用表!$E:$E,$B59,領用表!$B:$B,$BH$2&amp;BK$2)</f>
        <v/>
      </c>
      <c r="BL59" s="260">
        <f>SUMIFS(領用表!$L:$L,領用表!$E:$E,$B59,領用表!$B:$B,$BH$2&amp;BL$2)</f>
        <v/>
      </c>
      <c r="BM59" s="203">
        <f>SUMIFS(領用表!$L:$L,領用表!$A:$A,BM$2,領用表!$E:$E,B59)</f>
        <v/>
      </c>
      <c r="BN59" s="206">
        <f>SUMIFS(領用表!$L:$L,領用表!$E:$E,$B59,領用表!$B:$B,BM$2&amp;BN$2)</f>
        <v/>
      </c>
      <c r="BO59" s="206">
        <f>SUMIFS(領用表!$L:$L,領用表!$E:$E,$B59,領用表!$B:$B,$BM$2&amp;BO$2)</f>
        <v/>
      </c>
      <c r="BP59" s="206">
        <f>SUMIFS(領用表!$L:$L,領用表!$E:$E,$B59,領用表!$B:$B,$BM$2&amp;BP$2)</f>
        <v/>
      </c>
      <c r="BQ59" s="206">
        <f>SUMIFS(領用表!$L:$L,領用表!$E:$E,$B59,領用表!$B:$B,$BM$2&amp;BQ$2)</f>
        <v/>
      </c>
      <c r="BR59" s="203">
        <f>SUMIFS(領用表!$L:$L,領用表!$A:$A,BR$2,領用表!$E:$E,B59)</f>
        <v/>
      </c>
      <c r="BS59" s="206">
        <f>SUMIFS(領用表!$L:$L,領用表!$E:$E,$B59,領用表!$B:$B,BR$2&amp;BS$2)</f>
        <v/>
      </c>
      <c r="BT59" s="206">
        <f>SUMIFS(領用表!$L:$L,領用表!$E:$E,$B59,領用表!$B:$B,$BR$2&amp;BT$2)</f>
        <v/>
      </c>
      <c r="BU59" s="206">
        <f>SUMIFS(領用表!$L:$L,領用表!$E:$E,$B59,領用表!$B:$B,$BR$2&amp;BU$2)</f>
        <v/>
      </c>
      <c r="BV59" s="206">
        <f>SUMIFS(領用表!$L:$L,領用表!$E:$E,$B59,領用表!$B:$B,$BR$2&amp;BV$2)</f>
        <v/>
      </c>
      <c r="BW59" s="208">
        <f>SUMIFS(領用表!$L:$L,領用表!$A:$A,BW$2,領用表!$E:$E,B59)</f>
        <v/>
      </c>
      <c r="BX59" s="206">
        <f>SUMIFS(領用表!$L:$L,領用表!$E:$E,$B59,領用表!$B:$B,BW$2&amp;BX$2)</f>
        <v/>
      </c>
      <c r="BY59" s="206">
        <f>SUMIFS(領用表!$L:$L,領用表!$E:$E,$B59,領用表!$B:$B,$BW$2&amp;BY$2)</f>
        <v/>
      </c>
      <c r="BZ59" s="206">
        <f>SUMIFS(領用表!$L:$L,領用表!$E:$E,$B59,領用表!$B:$B,$BW$2&amp;BZ$2)</f>
        <v/>
      </c>
      <c r="CA59" s="206">
        <f>SUMIFS(領用表!$L:$L,領用表!$E:$E,$B59,領用表!$B:$B,$BW$2&amp;CA$2)</f>
        <v/>
      </c>
      <c r="CB59" s="208">
        <f>SUMIFS(領用表!$L:$L,領用表!$A:$A,CB$2,領用表!$E:$E,B59)</f>
        <v/>
      </c>
      <c r="CC59" s="206">
        <f>SUMIFS(領用表!$L:$L,領用表!$E:$E,$B59,領用表!$B:$B,CB$2&amp;CC$2)</f>
        <v/>
      </c>
      <c r="CD59" s="206">
        <f>SUMIFS(領用表!$L:$L,領用表!$E:$E,$B59,領用表!$B:$B,$CB$2&amp;CD$2)</f>
        <v/>
      </c>
      <c r="CE59" s="206">
        <f>SUMIFS(領用表!$L:$L,領用表!$E:$E,$B59,領用表!$B:$B,$CB$2&amp;CE$2)</f>
        <v/>
      </c>
      <c r="CF59" s="206">
        <f>SUMIFS(領用表!$L:$L,領用表!$E:$E,$B59,領用表!$B:$B,$CB$2&amp;CF$2)</f>
        <v/>
      </c>
      <c r="CG59" s="208">
        <f>SUMIFS(領用表!$L:$L,領用表!$A:$A,CG$2,領用表!$E:$E,B59)</f>
        <v/>
      </c>
      <c r="CH59" s="206">
        <f>SUMIFS(領用表!$L:$L,領用表!$E:$E,$B59,領用表!$B:$B,CG$2&amp;CH$2)</f>
        <v/>
      </c>
      <c r="CI59" s="206">
        <f>SUMIFS(領用表!$L:$L,領用表!$E:$E,$B59,領用表!$B:$B,CG$2&amp;CI$2)</f>
        <v/>
      </c>
      <c r="CJ59" s="206">
        <f>SUMIFS(領用表!$L:$L,領用表!$E:$E,$B59,領用表!$B:$B,CG$2&amp;CJ$2)</f>
        <v/>
      </c>
      <c r="CK59" s="206">
        <f>SUMIFS(領用表!$L:$L,領用表!$E:$E,$B59,領用表!$B:$B,$CG$2&amp;CK$2)</f>
        <v/>
      </c>
      <c r="CL59" s="207">
        <f>SUM(AX59,AY59,AZ59,BA59,BB59,BC59,BH59,BM59,BR59,BW59,CB59,CG59)</f>
        <v/>
      </c>
      <c r="CM59" s="207">
        <f>AVERAGE(AX59,AY59,AZ59,BA59,BB59,BC59,BH59,BM59,BR59,BW59,CB59,CG59)</f>
        <v/>
      </c>
      <c r="CN59" s="208">
        <f>SUMIFS(領用表!$L:$L,領用表!$A:$A,CN$2,領用表!$E:$E,B59)</f>
        <v/>
      </c>
      <c r="CO59" s="206">
        <f>SUMIFS(領用表!$L:$L,領用表!$E:$E,$B59,領用表!$B:$B,CN$2&amp;CO$2)</f>
        <v/>
      </c>
      <c r="CP59" s="206">
        <f>SUMIFS(領用表!$L:$L,領用表!$E:$E,$B59,領用表!$B:$B,$CN$2&amp;CP$2)</f>
        <v/>
      </c>
      <c r="CQ59" s="206">
        <f>SUMIFS(領用表!$L:$L,領用表!$E:$E,$B59,領用表!$B:$B,$CN$2&amp;CQ$2)</f>
        <v/>
      </c>
      <c r="CR59" s="206">
        <f>SUMIFS(領用表!$L:$L,領用表!$E:$E,$B59,領用表!$B:$B,$CN$2&amp;CR$2)</f>
        <v/>
      </c>
      <c r="CS59" s="208">
        <f>SUMIFS(領用表!$L:$L,領用表!$A:$A,CS$2,領用表!$E:$E,B59)</f>
        <v/>
      </c>
      <c r="CT59" s="206">
        <f>SUMIFS(領用表!$L:$L,領用表!$E:$E,$B59,領用表!$B:$B,CS$2&amp;CT$2)</f>
        <v/>
      </c>
      <c r="CU59" s="206">
        <f>SUMIFS(領用表!$L:$L,領用表!$E:$E,$B59,領用表!$B:$B,$CS$2&amp;CU$2)</f>
        <v/>
      </c>
      <c r="CV59" s="206">
        <f>SUMIFS(領用表!$L:$L,領用表!$E:$E,$B59,領用表!$B:$B,$CS$2&amp;CV$2)</f>
        <v/>
      </c>
      <c r="CW59" s="206">
        <f>SUMIFS(領用表!$L:$L,領用表!$E:$E,$B59,領用表!$B:$B,$CS$2&amp;CW$2)</f>
        <v/>
      </c>
      <c r="CX59" s="206">
        <f>SUMIFS(領用表!$L:$L,領用表!$E:$E,$B59,領用表!$B:$B,$CS$2&amp;CX$2)</f>
        <v/>
      </c>
      <c r="CY59" s="208">
        <f>SUMIFS(領用表!$L:$L,領用表!$A:$A,CY$2,領用表!$E:$E,B59)</f>
        <v/>
      </c>
      <c r="CZ59" s="206">
        <f>SUMIFS(領用表!$L:$L,領用表!$E:$E,$B59,領用表!$B:$B,CY$2&amp;CZ$2)</f>
        <v/>
      </c>
      <c r="DA59" s="206">
        <f>SUMIFS(領用表!$L:$L,領用表!$E:$E,$B59,領用表!$B:$B,$CY$2&amp;DA$2)</f>
        <v/>
      </c>
      <c r="DB59" s="206">
        <f>SUMIFS(領用表!$L:$L,領用表!$E:$E,$B59,領用表!$B:$B,$CY$2&amp;DB$2)</f>
        <v/>
      </c>
      <c r="DC59" s="206">
        <f>SUMIFS(領用表!$L:$L,領用表!$E:$E,$B59,領用表!$B:$B,$CY$2&amp;DC$2)</f>
        <v/>
      </c>
      <c r="DD59" s="206">
        <f>SUMIFS(領用表!$L:$L,領用表!$E:$E,$B59,領用表!$B:$B,$CY$2&amp;DD$2)</f>
        <v/>
      </c>
      <c r="DE59" s="208">
        <f>SUMIFS(領用表!$L:$L,領用表!$A:$A,DE$2,領用表!$E:$E,B59)</f>
        <v/>
      </c>
      <c r="DF59" s="206">
        <f>SUMIFS(領用表!$L:$L,領用表!$E:$E,$B59,領用表!$B:$B,DE$2&amp;DF$2)</f>
        <v/>
      </c>
      <c r="DG59" s="206">
        <f>SUMIFS(領用表!$L:$L,領用表!$E:$E,$B59,領用表!$B:$B,$DE$2&amp;DG$2)</f>
        <v/>
      </c>
      <c r="DH59" s="206">
        <f>SUMIFS(領用表!$L:$L,領用表!$E:$E,$B59,領用表!$B:$B,$DE$2&amp;DH$2)</f>
        <v/>
      </c>
      <c r="DI59" s="206">
        <f>SUMIFS(領用表!$L:$L,領用表!$E:$E,$B59,領用表!$B:$B,$DE$2&amp;DI$2)</f>
        <v/>
      </c>
      <c r="DJ59" s="206">
        <f>SUMIFS(領用表!$L:$L,領用表!$E:$E,$B59,領用表!$B:$B,$DE$2&amp;DJ$2)</f>
        <v/>
      </c>
      <c r="DK59" s="208">
        <f>SUMIFS(領用表!$L:$L,領用表!$A:$A,DK$2,領用表!$E:$E,$B59)</f>
        <v/>
      </c>
      <c r="DL59" s="206">
        <f>SUMIFS(領用表!$L:$L,領用表!$E:$E,$B59,領用表!$B:$B,DK$2&amp;DL$2)</f>
        <v/>
      </c>
      <c r="DM59" s="206">
        <f>SUMIFS(領用表!$L:$L,領用表!$E:$E,$B59,領用表!$B:$B,$DK$2&amp;DM$2)</f>
        <v/>
      </c>
      <c r="DN59" s="206">
        <f>SUMIFS(領用表!$L:$L,領用表!$E:$E,$B59,領用表!$B:$B,$DK$2&amp;DN$2)</f>
        <v/>
      </c>
      <c r="DO59" s="206">
        <f>SUMIFS(領用表!$L:$L,領用表!$E:$E,$B59,領用表!$B:$B,$DK$2&amp;DO$2)</f>
        <v/>
      </c>
      <c r="DP59" s="206">
        <f>SUMIFS(領用表!$L:$L,領用表!$E:$E,$B59,領用表!$B:$B,$DK$2&amp;DP$2)</f>
        <v/>
      </c>
      <c r="DQ59" s="208" t="n">
        <v>1644</v>
      </c>
      <c r="DR59" s="206" t="n">
        <v>692</v>
      </c>
      <c r="DS59" s="206" t="n"/>
      <c r="DT59" s="206" t="n">
        <v>652</v>
      </c>
      <c r="DU59" s="206" t="n"/>
      <c r="DV59" s="206" t="n">
        <v>300</v>
      </c>
      <c r="DW59" s="206">
        <f>SUM(CN59,CS59,CY59,DE59,DK59,DQ59)</f>
        <v/>
      </c>
      <c r="DX59" s="206">
        <f>AVERAGEA(CN59,CS59,CY59,DE59,DK59,DQ59)</f>
        <v/>
      </c>
      <c r="DY59" s="206">
        <f>SUM(DZ59:EC59)</f>
        <v/>
      </c>
      <c r="DZ59" s="206" t="n">
        <v>0</v>
      </c>
      <c r="EA59" s="206" t="n">
        <v>0</v>
      </c>
      <c r="EB59" s="206" t="n">
        <v>0</v>
      </c>
      <c r="EC59" s="206" t="n">
        <v>0</v>
      </c>
      <c r="ED59" s="215" t="n">
        <v>40000</v>
      </c>
      <c r="EE59" s="515" t="n"/>
      <c r="EF59" s="210" t="n"/>
      <c r="EG59" s="262" t="n"/>
      <c r="EH59" s="526" t="inlineStr">
        <is>
          <t>2025/4/1站前交機2台</t>
        </is>
      </c>
      <c r="EI59" s="212" t="n"/>
      <c r="EJ59" s="118">
        <f>IFERROR(VLOOKUP(A59,站前4樓!A:BF,57,0),0)</f>
        <v/>
      </c>
      <c r="EK59" s="213">
        <f>IFERROR(VLOOKUP(A59,站前11樓!A:BE,57,0),0)</f>
        <v/>
      </c>
      <c r="EL59" s="118">
        <f>IFERROR(VLOOKUP(A59,忠孝7樓!A:N,57,0),0)</f>
        <v/>
      </c>
      <c r="EM59" s="118">
        <f>IFERROR(VLOOKUP(A59,忠孝國際醫學3樓!A:L,57,0),0)</f>
        <v/>
      </c>
      <c r="EN59" s="118">
        <f>SUM(ED59:EG59)</f>
        <v/>
      </c>
      <c r="EP59" s="118" t="n">
        <v>79164</v>
      </c>
      <c r="EQ59" s="118" t="n">
        <v>59687</v>
      </c>
    </row>
    <row r="60" ht="15.75" customFormat="1" customHeight="1" s="118">
      <c r="A60" s="136" t="inlineStr">
        <is>
          <t>MM2MB030001A</t>
        </is>
      </c>
      <c r="B60" s="118" t="n">
        <v>6170016</v>
      </c>
      <c r="C60" s="133" t="inlineStr">
        <is>
          <t>膠原槍探頭(D64)(1N=2000發，大多會贈20發左右)</t>
        </is>
      </c>
      <c r="D60" s="207" t="n">
        <v>2000</v>
      </c>
      <c r="E60" s="198" t="inlineStr">
        <is>
          <t>SHOT</t>
        </is>
      </c>
      <c r="F60" s="199">
        <f>SUMIF(站前4樓!B:B,B60,站前4樓!F:F)</f>
        <v/>
      </c>
      <c r="G60" s="199">
        <f>SUMIF(站前11樓!B:B,B60,站前11樓!F:F)</f>
        <v/>
      </c>
      <c r="H60" s="199">
        <f>SUMIF(忠孝7樓!B:B,B60,忠孝7樓!G:G)</f>
        <v/>
      </c>
      <c r="I60" s="199">
        <f>SUMIF(忠孝國際醫學3樓!B:B,B60,忠孝國際醫學3樓!G:G)</f>
        <v/>
      </c>
      <c r="J60" s="199">
        <f>SUMIF(忠孝健康7樓!B:B,B60,忠孝健康7樓!G:G)</f>
        <v/>
      </c>
      <c r="K60" s="200" t="n">
        <v>0</v>
      </c>
      <c r="L60" s="200" t="n">
        <v>0.28</v>
      </c>
      <c r="M60" s="200" t="n">
        <v>0.99</v>
      </c>
      <c r="N60" s="200" t="n">
        <v>1.97</v>
      </c>
      <c r="O60" s="200" t="n">
        <v>1.55</v>
      </c>
      <c r="P60" s="200" t="n">
        <v>2.43</v>
      </c>
      <c r="Q60" s="200" t="n">
        <v>2.17</v>
      </c>
      <c r="R60" s="200" t="n">
        <v>0.7</v>
      </c>
      <c r="S60" s="200" t="n">
        <v>0.5600000000000001</v>
      </c>
      <c r="T60" s="200" t="n">
        <v>0.15</v>
      </c>
      <c r="U60" s="200" t="n">
        <v>0.48</v>
      </c>
      <c r="V60" s="200" t="n">
        <v>0.85</v>
      </c>
      <c r="W60" s="200" t="n">
        <v>0.77</v>
      </c>
      <c r="X60" s="200" t="n">
        <v>0.39</v>
      </c>
      <c r="Y60" s="200" t="n">
        <v>0.35</v>
      </c>
      <c r="Z60" s="200" t="n">
        <v>0.2</v>
      </c>
      <c r="AA60" s="200" t="n">
        <v>0</v>
      </c>
      <c r="AB60" s="200" t="n">
        <v>0.28</v>
      </c>
      <c r="AC60" s="200" t="n">
        <v>0.28</v>
      </c>
      <c r="AD60" s="200" t="n">
        <v>0.15</v>
      </c>
      <c r="AE60" s="200" t="n">
        <v>0</v>
      </c>
      <c r="AF60" s="200" t="n">
        <v>0.11</v>
      </c>
      <c r="AG60" s="200" t="n">
        <v>0</v>
      </c>
      <c r="AH60" s="200" t="n">
        <v>0</v>
      </c>
      <c r="AI60" s="200" t="n">
        <v>0.3</v>
      </c>
      <c r="AJ60" s="221" t="n">
        <v>0.1</v>
      </c>
      <c r="AK60" s="221" t="n">
        <v>0.1</v>
      </c>
      <c r="AL60" s="221" t="n">
        <v>0</v>
      </c>
      <c r="AM60" s="221" t="n">
        <v>0</v>
      </c>
      <c r="AN60" s="221" t="n">
        <v>0</v>
      </c>
      <c r="AO60" s="221" t="n">
        <v>0</v>
      </c>
      <c r="AP60" s="221" t="n">
        <v>0</v>
      </c>
      <c r="AQ60" s="221" t="n">
        <v>0</v>
      </c>
      <c r="AR60" s="221" t="n">
        <v>0</v>
      </c>
      <c r="AS60" s="201" t="n">
        <v>0</v>
      </c>
      <c r="AT60" s="512" t="n">
        <v>0</v>
      </c>
      <c r="AU60" s="203" t="n">
        <v>0</v>
      </c>
      <c r="AV60" s="204">
        <f>SUM(AJ60:AU60)</f>
        <v/>
      </c>
      <c r="AW60" s="513">
        <f>AV60/12</f>
        <v/>
      </c>
      <c r="AX60" s="203" t="inlineStr">
        <is>
          <t>-</t>
        </is>
      </c>
      <c r="AY60" s="203" t="n">
        <v>0</v>
      </c>
      <c r="AZ60" s="203" t="n">
        <v>0</v>
      </c>
      <c r="BA60" s="203" t="n">
        <v>0</v>
      </c>
      <c r="BB60" s="203" t="n">
        <v>278</v>
      </c>
      <c r="BC60" s="203">
        <f>SUMIFS(領用表!$L:$L,領用表!$A:$A,BC$2,領用表!$E:$E,B60)</f>
        <v/>
      </c>
      <c r="BD60" s="206">
        <f>SUMIFS(領用表!$L:$L,領用表!$E:$E,$B60,領用表!$B:$B,BC$2&amp;BD$2)</f>
        <v/>
      </c>
      <c r="BE60" s="206">
        <f>SUMIFS(領用表!$L:$L,領用表!$E:$E,$B60,領用表!$B:$B,$BC$2&amp;BE$2)</f>
        <v/>
      </c>
      <c r="BF60" s="206">
        <f>SUMIFS(領用表!$L:$L,領用表!$E:$E,$B60,領用表!$B:$B,$BC$2&amp;BF$2)</f>
        <v/>
      </c>
      <c r="BG60" s="206">
        <f>SUMIFS(領用表!$L:$L,領用表!$E:$E,$B60,領用表!$B:$B,$BC$2&amp;BG$2)</f>
        <v/>
      </c>
      <c r="BH60" s="203">
        <f>SUMIFS(領用表!$L:$L,領用表!$A:$A,BH$2,領用表!$E:$E,B60)</f>
        <v/>
      </c>
      <c r="BI60" s="260">
        <f>SUMIFS(領用表!$L:$L,領用表!$E:$E,$B60,領用表!$B:$B,BH$2&amp;BI$2)</f>
        <v/>
      </c>
      <c r="BJ60" s="260">
        <f>SUMIFS(領用表!$L:$L,領用表!$E:$E,$B60,領用表!$B:$B,$BH$2&amp;BJ$2)</f>
        <v/>
      </c>
      <c r="BK60" s="260">
        <f>SUMIFS(領用表!$L:$L,領用表!$E:$E,$B60,領用表!$B:$B,$BH$2&amp;BK$2)</f>
        <v/>
      </c>
      <c r="BL60" s="260">
        <f>SUMIFS(領用表!$L:$L,領用表!$E:$E,$B60,領用表!$B:$B,$BH$2&amp;BL$2)</f>
        <v/>
      </c>
      <c r="BM60" s="203">
        <f>SUMIFS(領用表!$L:$L,領用表!$A:$A,BM$2,領用表!$E:$E,B60)</f>
        <v/>
      </c>
      <c r="BN60" s="206">
        <f>SUMIFS(領用表!$L:$L,領用表!$E:$E,$B60,領用表!$B:$B,BM$2&amp;BN$2)</f>
        <v/>
      </c>
      <c r="BO60" s="206">
        <f>SUMIFS(領用表!$L:$L,領用表!$E:$E,$B60,領用表!$B:$B,$BM$2&amp;BO$2)</f>
        <v/>
      </c>
      <c r="BP60" s="206">
        <f>SUMIFS(領用表!$L:$L,領用表!$E:$E,$B60,領用表!$B:$B,$BM$2&amp;BP$2)</f>
        <v/>
      </c>
      <c r="BQ60" s="206">
        <f>SUMIFS(領用表!$L:$L,領用表!$E:$E,$B60,領用表!$B:$B,$BM$2&amp;BQ$2)</f>
        <v/>
      </c>
      <c r="BR60" s="203">
        <f>SUMIFS(領用表!$L:$L,領用表!$A:$A,BR$2,領用表!$E:$E,B60)</f>
        <v/>
      </c>
      <c r="BS60" s="206">
        <f>SUMIFS(領用表!$L:$L,領用表!$E:$E,$B60,領用表!$B:$B,BR$2&amp;BS$2)</f>
        <v/>
      </c>
      <c r="BT60" s="206">
        <f>SUMIFS(領用表!$L:$L,領用表!$E:$E,$B60,領用表!$B:$B,$BR$2&amp;BT$2)</f>
        <v/>
      </c>
      <c r="BU60" s="206">
        <f>SUMIFS(領用表!$L:$L,領用表!$E:$E,$B60,領用表!$B:$B,$BR$2&amp;BU$2)</f>
        <v/>
      </c>
      <c r="BV60" s="206">
        <f>SUMIFS(領用表!$L:$L,領用表!$E:$E,$B60,領用表!$B:$B,$BR$2&amp;BV$2)</f>
        <v/>
      </c>
      <c r="BW60" s="208">
        <f>SUMIFS(領用表!$L:$L,領用表!$A:$A,BW$2,領用表!$E:$E,B60)</f>
        <v/>
      </c>
      <c r="BX60" s="206">
        <f>SUMIFS(領用表!$L:$L,領用表!$E:$E,$B60,領用表!$B:$B,BW$2&amp;BX$2)</f>
        <v/>
      </c>
      <c r="BY60" s="206">
        <f>SUMIFS(領用表!$L:$L,領用表!$E:$E,$B60,領用表!$B:$B,$BW$2&amp;BY$2)</f>
        <v/>
      </c>
      <c r="BZ60" s="206">
        <f>SUMIFS(領用表!$L:$L,領用表!$E:$E,$B60,領用表!$B:$B,$BW$2&amp;BZ$2)</f>
        <v/>
      </c>
      <c r="CA60" s="206">
        <f>SUMIFS(領用表!$L:$L,領用表!$E:$E,$B60,領用表!$B:$B,$BW$2&amp;CA$2)</f>
        <v/>
      </c>
      <c r="CB60" s="208">
        <f>SUMIFS(領用表!$L:$L,領用表!$A:$A,CB$2,領用表!$E:$E,B60)</f>
        <v/>
      </c>
      <c r="CC60" s="206">
        <f>SUMIFS(領用表!$L:$L,領用表!$E:$E,$B60,領用表!$B:$B,CB$2&amp;CC$2)</f>
        <v/>
      </c>
      <c r="CD60" s="206">
        <f>SUMIFS(領用表!$L:$L,領用表!$E:$E,$B60,領用表!$B:$B,$CB$2&amp;CD$2)</f>
        <v/>
      </c>
      <c r="CE60" s="206">
        <f>SUMIFS(領用表!$L:$L,領用表!$E:$E,$B60,領用表!$B:$B,$CB$2&amp;CE$2)</f>
        <v/>
      </c>
      <c r="CF60" s="206">
        <f>SUMIFS(領用表!$L:$L,領用表!$E:$E,$B60,領用表!$B:$B,$CB$2&amp;CF$2)</f>
        <v/>
      </c>
      <c r="CG60" s="208">
        <f>SUMIFS(領用表!$L:$L,領用表!$A:$A,CG$2,領用表!$E:$E,B60)</f>
        <v/>
      </c>
      <c r="CH60" s="206">
        <f>SUMIFS(領用表!$L:$L,領用表!$E:$E,$B60,領用表!$B:$B,CG$2&amp;CH$2)</f>
        <v/>
      </c>
      <c r="CI60" s="206">
        <f>SUMIFS(領用表!$L:$L,領用表!$E:$E,$B60,領用表!$B:$B,CG$2&amp;CI$2)</f>
        <v/>
      </c>
      <c r="CJ60" s="206">
        <f>SUMIFS(領用表!$L:$L,領用表!$E:$E,$B60,領用表!$B:$B,CG$2&amp;CJ$2)</f>
        <v/>
      </c>
      <c r="CK60" s="206">
        <f>SUMIFS(領用表!$L:$L,領用表!$E:$E,$B60,領用表!$B:$B,$CG$2&amp;CK$2)</f>
        <v/>
      </c>
      <c r="CL60" s="207">
        <f>SUM(AX60,AY60,AZ60,BA60,BB60,BC60,BH60,BM60,BR60,BW60,CB60,CG60)</f>
        <v/>
      </c>
      <c r="CM60" s="207">
        <f>AVERAGE(AX60,AY60,AZ60,BA60,BB60,BC60,BH60,BM60,BR60,BW60,CB60,CG60)</f>
        <v/>
      </c>
      <c r="CN60" s="208">
        <f>SUMIFS(領用表!$L:$L,領用表!$A:$A,CN$2,領用表!$E:$E,B60)</f>
        <v/>
      </c>
      <c r="CO60" s="206">
        <f>SUMIFS(領用表!$L:$L,領用表!$E:$E,$B60,領用表!$B:$B,CN$2&amp;CO$2)</f>
        <v/>
      </c>
      <c r="CP60" s="206">
        <f>SUMIFS(領用表!$L:$L,領用表!$E:$E,$B60,領用表!$B:$B,$CN$2&amp;CP$2)</f>
        <v/>
      </c>
      <c r="CQ60" s="206">
        <f>SUMIFS(領用表!$L:$L,領用表!$E:$E,$B60,領用表!$B:$B,$CN$2&amp;CQ$2)</f>
        <v/>
      </c>
      <c r="CR60" s="206">
        <f>SUMIFS(領用表!$L:$L,領用表!$E:$E,$B60,領用表!$B:$B,$CN$2&amp;CR$2)</f>
        <v/>
      </c>
      <c r="CS60" s="208">
        <f>SUMIFS(領用表!$L:$L,領用表!$A:$A,CS$2,領用表!$E:$E,B60)</f>
        <v/>
      </c>
      <c r="CT60" s="206">
        <f>SUMIFS(領用表!$L:$L,領用表!$E:$E,$B60,領用表!$B:$B,CS$2&amp;CT$2)</f>
        <v/>
      </c>
      <c r="CU60" s="206">
        <f>SUMIFS(領用表!$L:$L,領用表!$E:$E,$B60,領用表!$B:$B,$CS$2&amp;CU$2)</f>
        <v/>
      </c>
      <c r="CV60" s="206">
        <f>SUMIFS(領用表!$L:$L,領用表!$E:$E,$B60,領用表!$B:$B,$CS$2&amp;CV$2)</f>
        <v/>
      </c>
      <c r="CW60" s="206">
        <f>SUMIFS(領用表!$L:$L,領用表!$E:$E,$B60,領用表!$B:$B,$CS$2&amp;CW$2)</f>
        <v/>
      </c>
      <c r="CX60" s="206">
        <f>SUMIFS(領用表!$L:$L,領用表!$E:$E,$B60,領用表!$B:$B,$CS$2&amp;CX$2)</f>
        <v/>
      </c>
      <c r="CY60" s="208">
        <f>SUMIFS(領用表!$L:$L,領用表!$A:$A,CY$2,領用表!$E:$E,B60)</f>
        <v/>
      </c>
      <c r="CZ60" s="206">
        <f>SUMIFS(領用表!$L:$L,領用表!$E:$E,$B60,領用表!$B:$B,CY$2&amp;CZ$2)</f>
        <v/>
      </c>
      <c r="DA60" s="206">
        <f>SUMIFS(領用表!$L:$L,領用表!$E:$E,$B60,領用表!$B:$B,$CY$2&amp;DA$2)</f>
        <v/>
      </c>
      <c r="DB60" s="206">
        <f>SUMIFS(領用表!$L:$L,領用表!$E:$E,$B60,領用表!$B:$B,$CY$2&amp;DB$2)</f>
        <v/>
      </c>
      <c r="DC60" s="206">
        <f>SUMIFS(領用表!$L:$L,領用表!$E:$E,$B60,領用表!$B:$B,$CY$2&amp;DC$2)</f>
        <v/>
      </c>
      <c r="DD60" s="206">
        <f>SUMIFS(領用表!$L:$L,領用表!$E:$E,$B60,領用表!$B:$B,$CY$2&amp;DD$2)</f>
        <v/>
      </c>
      <c r="DE60" s="208">
        <f>SUMIFS(領用表!$L:$L,領用表!$A:$A,DE$2,領用表!$E:$E,B60)</f>
        <v/>
      </c>
      <c r="DF60" s="206">
        <f>SUMIFS(領用表!$L:$L,領用表!$E:$E,$B60,領用表!$B:$B,DE$2&amp;DF$2)</f>
        <v/>
      </c>
      <c r="DG60" s="206">
        <f>SUMIFS(領用表!$L:$L,領用表!$E:$E,$B60,領用表!$B:$B,$DE$2&amp;DG$2)</f>
        <v/>
      </c>
      <c r="DH60" s="206">
        <f>SUMIFS(領用表!$L:$L,領用表!$E:$E,$B60,領用表!$B:$B,$DE$2&amp;DH$2)</f>
        <v/>
      </c>
      <c r="DI60" s="206">
        <f>SUMIFS(領用表!$L:$L,領用表!$E:$E,$B60,領用表!$B:$B,$DE$2&amp;DI$2)</f>
        <v/>
      </c>
      <c r="DJ60" s="206">
        <f>SUMIFS(領用表!$L:$L,領用表!$E:$E,$B60,領用表!$B:$B,$DE$2&amp;DJ$2)</f>
        <v/>
      </c>
      <c r="DK60" s="208">
        <f>SUMIFS(領用表!$L:$L,領用表!$A:$A,DK$2,領用表!$E:$E,$B60)</f>
        <v/>
      </c>
      <c r="DL60" s="206">
        <f>SUMIFS(領用表!$L:$L,領用表!$E:$E,$B60,領用表!$B:$B,DK$2&amp;DL$2)</f>
        <v/>
      </c>
      <c r="DM60" s="206">
        <f>SUMIFS(領用表!$L:$L,領用表!$E:$E,$B60,領用表!$B:$B,$DK$2&amp;DM$2)</f>
        <v/>
      </c>
      <c r="DN60" s="206">
        <f>SUMIFS(領用表!$L:$L,領用表!$E:$E,$B60,領用表!$B:$B,$DK$2&amp;DN$2)</f>
        <v/>
      </c>
      <c r="DO60" s="206">
        <f>SUMIFS(領用表!$L:$L,領用表!$E:$E,$B60,領用表!$B:$B,$DK$2&amp;DO$2)</f>
        <v/>
      </c>
      <c r="DP60" s="206">
        <f>SUMIFS(領用表!$L:$L,領用表!$E:$E,$B60,領用表!$B:$B,$DK$2&amp;DP$2)</f>
        <v/>
      </c>
      <c r="DQ60" s="208" t="n"/>
      <c r="DR60" s="206" t="n"/>
      <c r="DS60" s="206" t="n"/>
      <c r="DT60" s="206" t="n"/>
      <c r="DU60" s="206" t="n"/>
      <c r="DV60" s="206" t="n"/>
      <c r="DW60" s="206">
        <f>SUM(CN60,CS60,CY60,DE60,DK60,DQ60)</f>
        <v/>
      </c>
      <c r="DX60" s="206">
        <f>AVERAGEA(CN60,CS60,CY60,DE60,DK60,DQ60)</f>
        <v/>
      </c>
      <c r="DY60" s="206">
        <f>SUM(DZ60:EC60)</f>
        <v/>
      </c>
      <c r="DZ60" s="206" t="n">
        <v>0</v>
      </c>
      <c r="EA60" s="206" t="n">
        <v>0</v>
      </c>
      <c r="EB60" s="206" t="n">
        <v>0</v>
      </c>
      <c r="EC60" s="206" t="n">
        <v>0</v>
      </c>
      <c r="ED60" s="215" t="n">
        <v>0</v>
      </c>
      <c r="EE60" s="210" t="n"/>
      <c r="EF60" s="210" t="n"/>
      <c r="EG60" s="210" t="n"/>
      <c r="EH60" s="263" t="n"/>
      <c r="EI60" s="212" t="n"/>
      <c r="EJ60" s="118">
        <f>IFERROR(VLOOKUP(A60,站前4樓!A:BF,57,0),0)</f>
        <v/>
      </c>
      <c r="EK60" s="213">
        <f>IFERROR(VLOOKUP(A60,站前11樓!A:BE,57,0),0)</f>
        <v/>
      </c>
      <c r="EL60" s="118">
        <f>IFERROR(VLOOKUP(A60,忠孝7樓!A:N,57,0),0)</f>
        <v/>
      </c>
      <c r="EM60" s="118">
        <f>IFERROR(VLOOKUP(A60,忠孝國際醫學3樓!A:L,57,0),0)</f>
        <v/>
      </c>
      <c r="EN60" s="118">
        <f>SUM(ED60:EG60)</f>
        <v/>
      </c>
      <c r="EP60" s="118" t="n">
        <v>3613</v>
      </c>
      <c r="EQ60" s="118" t="n">
        <v>0</v>
      </c>
    </row>
    <row r="61" ht="15.75" customFormat="1" customHeight="1" s="118">
      <c r="A61" s="264" t="inlineStr">
        <is>
          <t>MM2MB040001A</t>
        </is>
      </c>
      <c r="B61" s="265" t="n"/>
      <c r="C61" s="187" t="inlineStr">
        <is>
          <t>立特拉渦旋音波探頭3.0mm(1條)_一代機</t>
        </is>
      </c>
      <c r="D61" s="266" t="n">
        <v>150000</v>
      </c>
      <c r="E61" s="267" t="inlineStr">
        <is>
          <t>SHOT</t>
        </is>
      </c>
      <c r="F61" s="268">
        <f>SUMIF(站前4樓!B:B,B61,站前4樓!F:F)</f>
        <v/>
      </c>
      <c r="G61" s="268">
        <f>SUMIF(站前11樓!B:B,B61,站前11樓!F:F)</f>
        <v/>
      </c>
      <c r="H61" s="268">
        <f>SUMIF(忠孝7樓!B:B,B61,忠孝7樓!G:G)</f>
        <v/>
      </c>
      <c r="I61" s="268">
        <f>SUMIF(忠孝國際醫學3樓!B:B,B61,忠孝國際醫學3樓!G:G)</f>
        <v/>
      </c>
      <c r="J61" s="268">
        <f>SUMIF(忠孝健康7樓!B:B,B61,忠孝健康7樓!G:G)</f>
        <v/>
      </c>
      <c r="K61" s="269" t="n">
        <v>0</v>
      </c>
      <c r="L61" s="269" t="n">
        <v>0.05</v>
      </c>
      <c r="M61" s="269" t="n">
        <v>0.01</v>
      </c>
      <c r="N61" s="269" t="n">
        <v>0.02</v>
      </c>
      <c r="O61" s="269" t="n">
        <v>0</v>
      </c>
      <c r="P61" s="269" t="n">
        <v>0.02</v>
      </c>
      <c r="Q61" s="269" t="n">
        <v>0.02</v>
      </c>
      <c r="R61" s="269" t="n">
        <v>0.04</v>
      </c>
      <c r="S61" s="269" t="n">
        <v>0</v>
      </c>
      <c r="T61" s="269" t="n">
        <v>0.01</v>
      </c>
      <c r="U61" s="269" t="n">
        <v>0.03</v>
      </c>
      <c r="V61" s="269" t="n">
        <v>0.02</v>
      </c>
      <c r="W61" s="269" t="n">
        <v>0.02</v>
      </c>
      <c r="X61" s="269" t="n">
        <v>0.02</v>
      </c>
      <c r="Y61" s="269" t="n">
        <v>0</v>
      </c>
      <c r="Z61" s="269" t="n">
        <v>0.01</v>
      </c>
      <c r="AA61" s="269" t="n">
        <v>0</v>
      </c>
      <c r="AB61" s="269" t="n">
        <v>0.01</v>
      </c>
      <c r="AC61" s="269" t="n">
        <v>0</v>
      </c>
      <c r="AD61" s="269" t="n">
        <v>0</v>
      </c>
      <c r="AE61" s="269" t="n">
        <v>0.01</v>
      </c>
      <c r="AF61" s="269" t="n">
        <v>0.02</v>
      </c>
      <c r="AG61" s="269" t="n">
        <v>0.21</v>
      </c>
      <c r="AH61" s="269" t="n">
        <v>0.24</v>
      </c>
      <c r="AI61" s="269" t="n">
        <v>0.32</v>
      </c>
      <c r="AJ61" s="270" t="n">
        <v>0.94359</v>
      </c>
      <c r="AK61" s="270" t="n">
        <v>0.57643</v>
      </c>
      <c r="AL61" s="270" t="n">
        <v>0.55047</v>
      </c>
      <c r="AM61" s="270" t="n">
        <v>0.33072</v>
      </c>
      <c r="AN61" s="270" t="n">
        <v>0.31357</v>
      </c>
      <c r="AO61" s="270" t="n">
        <v>0.13586</v>
      </c>
      <c r="AP61" s="270" t="n">
        <v>0.19915</v>
      </c>
      <c r="AQ61" s="270" t="n">
        <v>0.67238</v>
      </c>
      <c r="AR61" s="270" t="n">
        <v>0.576853333</v>
      </c>
      <c r="AS61" s="271" t="n">
        <v>1.7</v>
      </c>
      <c r="AT61" s="528" t="n">
        <v>2.34644</v>
      </c>
      <c r="AU61" s="273">
        <f>305068/D61</f>
        <v/>
      </c>
      <c r="AV61" s="266">
        <f>SUM(AJ61:AU61)</f>
        <v/>
      </c>
      <c r="AW61" s="529">
        <f>AV61/12</f>
        <v/>
      </c>
      <c r="AX61" s="275" t="n">
        <v>495000</v>
      </c>
      <c r="AY61" s="275" t="n">
        <v>229276</v>
      </c>
      <c r="AZ61" s="275" t="n">
        <v>351487</v>
      </c>
      <c r="BA61" s="275" t="n">
        <v>315069</v>
      </c>
      <c r="BB61" s="275" t="n">
        <v>221559</v>
      </c>
      <c r="BC61" s="275">
        <f>SUMIFS(領用表!$L:$L,領用表!$A:$A,BC$2,領用表!$E:$E,B61)</f>
        <v/>
      </c>
      <c r="BD61" s="276">
        <f>SUMIFS(領用表!$L:$L,領用表!$E:$E,$B61,領用表!$B:$B,BC$2&amp;BD$2)</f>
        <v/>
      </c>
      <c r="BE61" s="276">
        <f>SUMIFS(領用表!$L:$L,領用表!$E:$E,$B61,領用表!$B:$B,$BC$2&amp;BE$2)</f>
        <v/>
      </c>
      <c r="BF61" s="276">
        <f>SUMIFS(領用表!$L:$L,領用表!$E:$E,$B61,領用表!$B:$B,$BC$2&amp;BF$2)</f>
        <v/>
      </c>
      <c r="BG61" s="276">
        <f>SUMIFS(領用表!$L:$L,領用表!$E:$E,$B61,領用表!$B:$B,$BC$2&amp;BG$2)</f>
        <v/>
      </c>
      <c r="BH61" s="275">
        <f>SUMIFS(領用表!$L:$L,領用表!$A:$A,BH$2,領用表!$E:$E,B61)</f>
        <v/>
      </c>
      <c r="BI61" s="277">
        <f>SUMIFS(領用表!$L:$L,領用表!$E:$E,$B61,領用表!$B:$B,BH$2&amp;BI$2)</f>
        <v/>
      </c>
      <c r="BJ61" s="277">
        <f>SUMIFS(領用表!$L:$L,領用表!$E:$E,$B61,領用表!$B:$B,$BH$2&amp;BJ$2)</f>
        <v/>
      </c>
      <c r="BK61" s="277">
        <f>SUMIFS(領用表!$L:$L,領用表!$E:$E,$B61,領用表!$B:$B,$BH$2&amp;BK$2)</f>
        <v/>
      </c>
      <c r="BL61" s="277">
        <f>SUMIFS(領用表!$L:$L,領用表!$E:$E,$B61,領用表!$B:$B,$BH$2&amp;BL$2)</f>
        <v/>
      </c>
      <c r="BM61" s="275">
        <f>SUMIFS(領用表!$L:$L,領用表!$A:$A,BM$2,領用表!$E:$E,B61)</f>
        <v/>
      </c>
      <c r="BN61" s="276">
        <f>SUMIFS(領用表!$L:$L,領用表!$E:$E,$B61,領用表!$B:$B,BM$2&amp;BN$2)</f>
        <v/>
      </c>
      <c r="BO61" s="276">
        <f>SUMIFS(領用表!$L:$L,領用表!$E:$E,$B61,領用表!$B:$B,$BM$2&amp;BO$2)</f>
        <v/>
      </c>
      <c r="BP61" s="276">
        <f>SUMIFS(領用表!$L:$L,領用表!$E:$E,$B61,領用表!$B:$B,$BM$2&amp;BP$2)</f>
        <v/>
      </c>
      <c r="BQ61" s="276">
        <f>SUMIFS(領用表!$L:$L,領用表!$E:$E,$B61,領用表!$B:$B,$BM$2&amp;BQ$2)</f>
        <v/>
      </c>
      <c r="BR61" s="275">
        <f>SUMIFS(領用表!$L:$L,領用表!$A:$A,BR$2,領用表!$E:$E,B61)</f>
        <v/>
      </c>
      <c r="BS61" s="276">
        <f>SUMIFS(領用表!$L:$L,領用表!$E:$E,$B61,領用表!$B:$B,BR$2&amp;BS$2)</f>
        <v/>
      </c>
      <c r="BT61" s="276">
        <f>SUMIFS(領用表!$L:$L,領用表!$E:$E,$B61,領用表!$B:$B,$BR$2&amp;BT$2)</f>
        <v/>
      </c>
      <c r="BU61" s="276">
        <f>SUMIFS(領用表!$L:$L,領用表!$E:$E,$B61,領用表!$B:$B,$BR$2&amp;BU$2)</f>
        <v/>
      </c>
      <c r="BV61" s="276">
        <f>SUMIFS(領用表!$L:$L,領用表!$E:$E,$B61,領用表!$B:$B,$BR$2&amp;BV$2)</f>
        <v/>
      </c>
      <c r="BW61" s="278">
        <f>SUMIFS(領用表!$L:$L,領用表!$A:$A,BW$2,領用表!$E:$E,B61)</f>
        <v/>
      </c>
      <c r="BX61" s="276">
        <f>SUMIFS(領用表!$L:$L,領用表!$E:$E,$B61,領用表!$B:$B,BW$2&amp;BX$2)</f>
        <v/>
      </c>
      <c r="BY61" s="276">
        <f>SUMIFS(領用表!$L:$L,領用表!$E:$E,$B61,領用表!$B:$B,$BW$2&amp;BY$2)</f>
        <v/>
      </c>
      <c r="BZ61" s="276">
        <f>SUMIFS(領用表!$L:$L,領用表!$E:$E,$B61,領用表!$B:$B,$BW$2&amp;BZ$2)</f>
        <v/>
      </c>
      <c r="CA61" s="276">
        <f>SUMIFS(領用表!$L:$L,領用表!$E:$E,$B61,領用表!$B:$B,$BW$2&amp;CA$2)</f>
        <v/>
      </c>
      <c r="CB61" s="278">
        <f>SUMIFS(領用表!$L:$L,領用表!$A:$A,CB$2,領用表!$E:$E,B61)</f>
        <v/>
      </c>
      <c r="CC61" s="276">
        <f>SUMIFS(領用表!$L:$L,領用表!$E:$E,$B61,領用表!$B:$B,CB$2&amp;CC$2)</f>
        <v/>
      </c>
      <c r="CD61" s="276">
        <f>SUMIFS(領用表!$L:$L,領用表!$E:$E,$B61,領用表!$B:$B,$CB$2&amp;CD$2)</f>
        <v/>
      </c>
      <c r="CE61" s="276">
        <f>SUMIFS(領用表!$L:$L,領用表!$E:$E,$B61,領用表!$B:$B,$CB$2&amp;CE$2)</f>
        <v/>
      </c>
      <c r="CF61" s="276">
        <f>SUMIFS(領用表!$L:$L,領用表!$E:$E,$B61,領用表!$B:$B,$CB$2&amp;CF$2)</f>
        <v/>
      </c>
      <c r="CG61" s="278">
        <f>SUMIFS(領用表!$L:$L,領用表!$A:$A,CG$2,領用表!$E:$E,B61)</f>
        <v/>
      </c>
      <c r="CH61" s="276">
        <f>SUMIFS(領用表!$L:$L,領用表!$E:$E,$B61,領用表!$B:$B,CG$2&amp;CH$2)</f>
        <v/>
      </c>
      <c r="CI61" s="276">
        <f>SUMIFS(領用表!$L:$L,領用表!$E:$E,$B61,領用表!$B:$B,CG$2&amp;CI$2)</f>
        <v/>
      </c>
      <c r="CJ61" s="276">
        <f>SUMIFS(領用表!$L:$L,領用表!$E:$E,$B61,領用表!$B:$B,CG$2&amp;CJ$2)</f>
        <v/>
      </c>
      <c r="CK61" s="276">
        <f>SUMIFS(領用表!$L:$L,領用表!$E:$E,$B61,領用表!$B:$B,$CG$2&amp;CK$2)</f>
        <v/>
      </c>
      <c r="CL61" s="279">
        <f>SUM(AX61,AY61,AZ61,BA61,BB61,BC61,BH61,BM61,BR61,BW61,CB61,CG61)</f>
        <v/>
      </c>
      <c r="CM61" s="279">
        <f>AVERAGE(AX61,AY61,AZ61,BA61,BB61,BC61,BH61,BM61,BR61,BW61,CB61,CG61)</f>
        <v/>
      </c>
      <c r="CN61" s="278">
        <f>SUMIFS(領用表!$L:$L,領用表!$A:$A,CN$2,領用表!$E:$E,B61)</f>
        <v/>
      </c>
      <c r="CO61" s="276">
        <f>SUMIFS(領用表!$L:$L,領用表!$E:$E,$B61,領用表!$B:$B,CN$2&amp;CO$2)</f>
        <v/>
      </c>
      <c r="CP61" s="276">
        <f>SUMIFS(領用表!$L:$L,領用表!$E:$E,$B61,領用表!$B:$B,$CN$2&amp;CP$2)</f>
        <v/>
      </c>
      <c r="CQ61" s="276">
        <f>SUMIFS(領用表!$L:$L,領用表!$E:$E,$B61,領用表!$B:$B,$CN$2&amp;CQ$2)</f>
        <v/>
      </c>
      <c r="CR61" s="276">
        <f>SUMIFS(領用表!$L:$L,領用表!$E:$E,$B61,領用表!$B:$B,$CN$2&amp;CR$2)</f>
        <v/>
      </c>
      <c r="CS61" s="278">
        <f>SUMIFS(領用表!$L:$L,領用表!$A:$A,CS$2,領用表!$E:$E,B61)</f>
        <v/>
      </c>
      <c r="CT61" s="278">
        <f>SUMIFS(領用表!$L:$L,領用表!$E:$E,$B61,領用表!$B:$B,CS$2&amp;CT$2)</f>
        <v/>
      </c>
      <c r="CU61" s="278">
        <f>SUMIFS(領用表!$L:$L,領用表!$E:$E,$B61,領用表!$B:$B,$CS$2&amp;CU$2)</f>
        <v/>
      </c>
      <c r="CV61" s="278">
        <f>SUMIFS(領用表!$L:$L,領用表!$E:$E,$B61,領用表!$B:$B,$CS$2&amp;CV$2)</f>
        <v/>
      </c>
      <c r="CW61" s="278">
        <f>SUMIFS(領用表!$L:$L,領用表!$E:$E,$B61,領用表!$B:$B,$CS$2&amp;CW$2)</f>
        <v/>
      </c>
      <c r="CX61" s="278">
        <f>SUMIFS(領用表!$L:$L,領用表!$E:$E,$B61,領用表!$B:$B,$CS$2&amp;CX$2)</f>
        <v/>
      </c>
      <c r="CY61" s="278">
        <f>SUMIFS(領用表!$L:$L,領用表!$A:$A,CY$2,領用表!$E:$E,B61)</f>
        <v/>
      </c>
      <c r="CZ61" s="276">
        <f>SUMIFS(領用表!$L:$L,領用表!$E:$E,$B61,領用表!$B:$B,CY$2&amp;CZ$2)</f>
        <v/>
      </c>
      <c r="DA61" s="276">
        <f>SUMIFS(領用表!$L:$L,領用表!$E:$E,$B61,領用表!$B:$B,$CY$2&amp;DA$2)</f>
        <v/>
      </c>
      <c r="DB61" s="276">
        <f>SUMIFS(領用表!$L:$L,領用表!$E:$E,$B61,領用表!$B:$B,$CY$2&amp;DB$2)</f>
        <v/>
      </c>
      <c r="DC61" s="276">
        <f>SUMIFS(領用表!$L:$L,領用表!$E:$E,$B61,領用表!$B:$B,$CY$2&amp;DC$2)</f>
        <v/>
      </c>
      <c r="DD61" s="276">
        <f>SUMIFS(領用表!$L:$L,領用表!$E:$E,$B61,領用表!$B:$B,$CY$2&amp;DD$2)</f>
        <v/>
      </c>
      <c r="DE61" s="278">
        <f>SUMIFS(領用表!$L:$L,領用表!$A:$A,DE$2,領用表!$E:$E,B61)</f>
        <v/>
      </c>
      <c r="DF61" s="276">
        <f>SUMIFS(領用表!$L:$L,領用表!$E:$E,$B61,領用表!$B:$B,DE$2&amp;DF$2)</f>
        <v/>
      </c>
      <c r="DG61" s="276">
        <f>SUMIFS(領用表!$L:$L,領用表!$E:$E,$B61,領用表!$B:$B,$DE$2&amp;DG$2)</f>
        <v/>
      </c>
      <c r="DH61" s="276">
        <f>SUMIFS(領用表!$L:$L,領用表!$E:$E,$B61,領用表!$B:$B,$DE$2&amp;DH$2)</f>
        <v/>
      </c>
      <c r="DI61" s="276">
        <f>SUMIFS(領用表!$L:$L,領用表!$E:$E,$B61,領用表!$B:$B,$DE$2&amp;DI$2)</f>
        <v/>
      </c>
      <c r="DJ61" s="276">
        <f>SUMIFS(領用表!$L:$L,領用表!$E:$E,$B61,領用表!$B:$B,$DE$2&amp;DJ$2)</f>
        <v/>
      </c>
      <c r="DK61" s="278">
        <f>SUMIFS(領用表!$L:$L,領用表!$A:$A,DK$2,領用表!$E:$E,$B61)</f>
        <v/>
      </c>
      <c r="DL61" s="276">
        <f>SUMIFS(領用表!$L:$L,領用表!$E:$E,$B61,領用表!$B:$B,DK$2&amp;DL$2)</f>
        <v/>
      </c>
      <c r="DM61" s="276">
        <f>SUMIFS(領用表!$L:$L,領用表!$E:$E,$B61,領用表!$B:$B,$DK$2&amp;DM$2)</f>
        <v/>
      </c>
      <c r="DN61" s="276">
        <f>SUMIFS(領用表!$L:$L,領用表!$E:$E,$B61,領用表!$B:$B,$DK$2&amp;DN$2)</f>
        <v/>
      </c>
      <c r="DO61" s="276">
        <f>SUMIFS(領用表!$L:$L,領用表!$E:$E,$B61,領用表!$B:$B,$DK$2&amp;DO$2)</f>
        <v/>
      </c>
      <c r="DP61" s="276">
        <f>SUMIFS(領用表!$L:$L,領用表!$E:$E,$B61,領用表!$B:$B,$DK$2&amp;DP$2)</f>
        <v/>
      </c>
      <c r="DQ61" s="278" t="n"/>
      <c r="DR61" s="276" t="n"/>
      <c r="DS61" s="276" t="n"/>
      <c r="DT61" s="276" t="n"/>
      <c r="DU61" s="276" t="n"/>
      <c r="DV61" s="276" t="n"/>
      <c r="DW61" s="276">
        <f>SUM(CN61,CS61,CY61,DE61,DK61,DQ61)</f>
        <v/>
      </c>
      <c r="DX61" s="276">
        <f>AVERAGEA(CN61,CS61,CY61,DE61,DK61,DQ61)</f>
        <v/>
      </c>
      <c r="DY61" s="276">
        <f>SUM(DZ61:EC61)</f>
        <v/>
      </c>
      <c r="DZ61" s="276" t="n">
        <v>0</v>
      </c>
      <c r="EA61" s="276" t="n">
        <v>0</v>
      </c>
      <c r="EB61" s="276" t="n">
        <v>0</v>
      </c>
      <c r="EC61" s="276" t="n">
        <v>0</v>
      </c>
      <c r="ED61" s="280" t="n">
        <v>0</v>
      </c>
      <c r="EE61" s="281" t="n"/>
      <c r="EF61" s="204" t="n"/>
      <c r="EG61" s="204" t="n"/>
      <c r="EH61" s="526" t="inlineStr">
        <is>
          <t>2025/5/22站前收回2台</t>
        </is>
      </c>
      <c r="EI61" s="223" t="n"/>
      <c r="EJ61" s="118">
        <f>IFERROR(VLOOKUP(A61,站前4樓!A:BF,57,0),0)</f>
        <v/>
      </c>
      <c r="EK61" s="213">
        <f>IFERROR(VLOOKUP(A61,站前11樓!A:BE,57,0),0)</f>
        <v/>
      </c>
      <c r="EL61" s="118">
        <f>IFERROR(VLOOKUP(A61,忠孝7樓!A:N,57,0),0)</f>
        <v/>
      </c>
      <c r="EM61" s="118">
        <f>IFERROR(VLOOKUP(A61,忠孝國際醫學3樓!A:L,57,0),0)</f>
        <v/>
      </c>
      <c r="EN61" s="118">
        <f>SUM(ED61:EG61)</f>
        <v/>
      </c>
      <c r="EP61" s="118" t="n">
        <v>0</v>
      </c>
      <c r="EQ61" s="118" t="n">
        <v>0</v>
      </c>
    </row>
    <row r="62" ht="15.75" customFormat="1" customHeight="1" s="118">
      <c r="A62" s="264" t="inlineStr">
        <is>
          <t>MM2MB040002A</t>
        </is>
      </c>
      <c r="B62" s="265" t="n"/>
      <c r="C62" s="187" t="inlineStr">
        <is>
          <t>立特拉渦旋音波探頭4.5mm(1條)_一代機</t>
        </is>
      </c>
      <c r="D62" s="266" t="n">
        <v>150000</v>
      </c>
      <c r="E62" s="267" t="inlineStr">
        <is>
          <t>SHOT</t>
        </is>
      </c>
      <c r="F62" s="268">
        <f>SUMIF(站前4樓!B:B,B62,站前4樓!F:F)</f>
        <v/>
      </c>
      <c r="G62" s="268">
        <f>SUMIF(站前11樓!B:B,B62,站前11樓!F:F)</f>
        <v/>
      </c>
      <c r="H62" s="268">
        <f>SUMIF(忠孝7樓!B:B,B62,忠孝7樓!G:G)</f>
        <v/>
      </c>
      <c r="I62" s="268">
        <f>SUMIF(忠孝國際醫學3樓!B:B,B62,忠孝國際醫學3樓!G:G)</f>
        <v/>
      </c>
      <c r="J62" s="268">
        <f>SUMIF(忠孝健康7樓!B:B,B62,忠孝健康7樓!G:G)</f>
        <v/>
      </c>
      <c r="K62" s="269" t="n">
        <v>0</v>
      </c>
      <c r="L62" s="269" t="n">
        <v>0.05</v>
      </c>
      <c r="M62" s="269" t="n">
        <v>0.01</v>
      </c>
      <c r="N62" s="269" t="n">
        <v>0.1</v>
      </c>
      <c r="O62" s="269" t="n">
        <v>0.03</v>
      </c>
      <c r="P62" s="269" t="n">
        <v>0.01</v>
      </c>
      <c r="Q62" s="269" t="n">
        <v>0.01</v>
      </c>
      <c r="R62" s="269" t="n">
        <v>0.01</v>
      </c>
      <c r="S62" s="269" t="n">
        <v>0.01</v>
      </c>
      <c r="T62" s="269" t="n">
        <v>0.03</v>
      </c>
      <c r="U62" s="269" t="n">
        <v>0.05</v>
      </c>
      <c r="V62" s="269" t="n">
        <v>0.03</v>
      </c>
      <c r="W62" s="269" t="n">
        <v>0.09</v>
      </c>
      <c r="X62" s="269" t="n">
        <v>0</v>
      </c>
      <c r="Y62" s="269" t="n">
        <v>0</v>
      </c>
      <c r="Z62" s="269" t="n">
        <v>0.02</v>
      </c>
      <c r="AA62" s="269" t="n">
        <v>0.02</v>
      </c>
      <c r="AB62" s="269" t="n">
        <v>0</v>
      </c>
      <c r="AC62" s="269" t="n">
        <v>0.04</v>
      </c>
      <c r="AD62" s="269" t="n">
        <v>0.05</v>
      </c>
      <c r="AE62" s="269" t="n">
        <v>0.01</v>
      </c>
      <c r="AF62" s="269" t="n">
        <v>0.04</v>
      </c>
      <c r="AG62" s="269" t="n">
        <v>0.02</v>
      </c>
      <c r="AH62" s="269" t="n">
        <v>0.03</v>
      </c>
      <c r="AI62" s="269" t="n">
        <v>0.02</v>
      </c>
      <c r="AJ62" s="270" t="n">
        <v>0.01889</v>
      </c>
      <c r="AK62" s="270" t="n">
        <v>0</v>
      </c>
      <c r="AL62" s="270" t="n">
        <v>0.0102</v>
      </c>
      <c r="AM62" s="270" t="n">
        <v>0.01333</v>
      </c>
      <c r="AN62" s="270" t="n">
        <v>0.04358</v>
      </c>
      <c r="AO62" s="270" t="n">
        <v>0.02565</v>
      </c>
      <c r="AP62" s="270" t="n">
        <v>0.02103</v>
      </c>
      <c r="AQ62" s="270" t="n">
        <v>0.07267</v>
      </c>
      <c r="AR62" s="270" t="n">
        <v>0.13272</v>
      </c>
      <c r="AS62" s="271" t="n">
        <v>0.23</v>
      </c>
      <c r="AT62" s="528" t="n">
        <v>0.49098</v>
      </c>
      <c r="AU62" s="273">
        <f>389748/D62</f>
        <v/>
      </c>
      <c r="AV62" s="266">
        <f>SUM(AJ62:AU62)</f>
        <v/>
      </c>
      <c r="AW62" s="529">
        <f>AV62/12</f>
        <v/>
      </c>
      <c r="AX62" s="275" t="n">
        <v>270000</v>
      </c>
      <c r="AY62" s="275" t="n">
        <v>77502</v>
      </c>
      <c r="AZ62" s="275" t="n">
        <v>152733</v>
      </c>
      <c r="BA62" s="275" t="n">
        <v>178837</v>
      </c>
      <c r="BB62" s="275" t="n">
        <v>286928</v>
      </c>
      <c r="BC62" s="275">
        <f>SUMIFS(領用表!$L:$L,領用表!$A:$A,BC$2,領用表!$E:$E,B62)</f>
        <v/>
      </c>
      <c r="BD62" s="276">
        <f>SUMIFS(領用表!$L:$L,領用表!$E:$E,$B62,領用表!$B:$B,BC$2&amp;BD$2)</f>
        <v/>
      </c>
      <c r="BE62" s="276">
        <f>SUMIFS(領用表!$L:$L,領用表!$E:$E,$B62,領用表!$B:$B,$BC$2&amp;BE$2)</f>
        <v/>
      </c>
      <c r="BF62" s="276">
        <f>SUMIFS(領用表!$L:$L,領用表!$E:$E,$B62,領用表!$B:$B,$BC$2&amp;BF$2)</f>
        <v/>
      </c>
      <c r="BG62" s="276">
        <f>SUMIFS(領用表!$L:$L,領用表!$E:$E,$B62,領用表!$B:$B,$BC$2&amp;BG$2)</f>
        <v/>
      </c>
      <c r="BH62" s="275">
        <f>SUMIFS(領用表!$L:$L,領用表!$A:$A,BH$2,領用表!$E:$E,B62)</f>
        <v/>
      </c>
      <c r="BI62" s="277">
        <f>SUMIFS(領用表!$L:$L,領用表!$E:$E,$B62,領用表!$B:$B,BH$2&amp;BI$2)</f>
        <v/>
      </c>
      <c r="BJ62" s="277">
        <f>SUMIFS(領用表!$L:$L,領用表!$E:$E,$B62,領用表!$B:$B,$BH$2&amp;BJ$2)</f>
        <v/>
      </c>
      <c r="BK62" s="277">
        <f>SUMIFS(領用表!$L:$L,領用表!$E:$E,$B62,領用表!$B:$B,$BH$2&amp;BK$2)</f>
        <v/>
      </c>
      <c r="BL62" s="277">
        <f>SUMIFS(領用表!$L:$L,領用表!$E:$E,$B62,領用表!$B:$B,$BH$2&amp;BL$2)</f>
        <v/>
      </c>
      <c r="BM62" s="275">
        <f>SUMIFS(領用表!$L:$L,領用表!$A:$A,BM$2,領用表!$E:$E,B62)</f>
        <v/>
      </c>
      <c r="BN62" s="276">
        <f>SUMIFS(領用表!$L:$L,領用表!$E:$E,$B62,領用表!$B:$B,BM$2&amp;BN$2)</f>
        <v/>
      </c>
      <c r="BO62" s="276">
        <f>SUMIFS(領用表!$L:$L,領用表!$E:$E,$B62,領用表!$B:$B,$BM$2&amp;BO$2)</f>
        <v/>
      </c>
      <c r="BP62" s="276">
        <f>SUMIFS(領用表!$L:$L,領用表!$E:$E,$B62,領用表!$B:$B,$BM$2&amp;BP$2)</f>
        <v/>
      </c>
      <c r="BQ62" s="276">
        <f>SUMIFS(領用表!$L:$L,領用表!$E:$E,$B62,領用表!$B:$B,$BM$2&amp;BQ$2)</f>
        <v/>
      </c>
      <c r="BR62" s="275">
        <f>SUMIFS(領用表!$L:$L,領用表!$A:$A,BR$2,領用表!$E:$E,B62)</f>
        <v/>
      </c>
      <c r="BS62" s="276">
        <f>SUMIFS(領用表!$L:$L,領用表!$E:$E,$B62,領用表!$B:$B,BR$2&amp;BS$2)</f>
        <v/>
      </c>
      <c r="BT62" s="276">
        <f>SUMIFS(領用表!$L:$L,領用表!$E:$E,$B62,領用表!$B:$B,$BR$2&amp;BT$2)</f>
        <v/>
      </c>
      <c r="BU62" s="276">
        <f>SUMIFS(領用表!$L:$L,領用表!$E:$E,$B62,領用表!$B:$B,$BR$2&amp;BU$2)</f>
        <v/>
      </c>
      <c r="BV62" s="276">
        <f>SUMIFS(領用表!$L:$L,領用表!$E:$E,$B62,領用表!$B:$B,$BR$2&amp;BV$2)</f>
        <v/>
      </c>
      <c r="BW62" s="278">
        <f>SUMIFS(領用表!$L:$L,領用表!$A:$A,BW$2,領用表!$E:$E,B62)</f>
        <v/>
      </c>
      <c r="BX62" s="276">
        <f>SUMIFS(領用表!$L:$L,領用表!$E:$E,$B62,領用表!$B:$B,BW$2&amp;BX$2)</f>
        <v/>
      </c>
      <c r="BY62" s="276">
        <f>SUMIFS(領用表!$L:$L,領用表!$E:$E,$B62,領用表!$B:$B,$BW$2&amp;BY$2)</f>
        <v/>
      </c>
      <c r="BZ62" s="276">
        <f>SUMIFS(領用表!$L:$L,領用表!$E:$E,$B62,領用表!$B:$B,$BW$2&amp;BZ$2)</f>
        <v/>
      </c>
      <c r="CA62" s="276">
        <f>SUMIFS(領用表!$L:$L,領用表!$E:$E,$B62,領用表!$B:$B,$BW$2&amp;CA$2)</f>
        <v/>
      </c>
      <c r="CB62" s="278">
        <f>SUMIFS(領用表!$L:$L,領用表!$A:$A,CB$2,領用表!$E:$E,B62)</f>
        <v/>
      </c>
      <c r="CC62" s="276">
        <f>SUMIFS(領用表!$L:$L,領用表!$E:$E,$B62,領用表!$B:$B,CB$2&amp;CC$2)</f>
        <v/>
      </c>
      <c r="CD62" s="276">
        <f>SUMIFS(領用表!$L:$L,領用表!$E:$E,$B62,領用表!$B:$B,$CB$2&amp;CD$2)</f>
        <v/>
      </c>
      <c r="CE62" s="276">
        <f>SUMIFS(領用表!$L:$L,領用表!$E:$E,$B62,領用表!$B:$B,$CB$2&amp;CE$2)</f>
        <v/>
      </c>
      <c r="CF62" s="276">
        <f>SUMIFS(領用表!$L:$L,領用表!$E:$E,$B62,領用表!$B:$B,$CB$2&amp;CF$2)</f>
        <v/>
      </c>
      <c r="CG62" s="278">
        <f>SUMIFS(領用表!$L:$L,領用表!$A:$A,CG$2,領用表!$E:$E,B62)</f>
        <v/>
      </c>
      <c r="CH62" s="276">
        <f>SUMIFS(領用表!$L:$L,領用表!$E:$E,$B62,領用表!$B:$B,CG$2&amp;CH$2)</f>
        <v/>
      </c>
      <c r="CI62" s="276">
        <f>SUMIFS(領用表!$L:$L,領用表!$E:$E,$B62,領用表!$B:$B,CG$2&amp;CI$2)</f>
        <v/>
      </c>
      <c r="CJ62" s="276">
        <f>SUMIFS(領用表!$L:$L,領用表!$E:$E,$B62,領用表!$B:$B,CG$2&amp;CJ$2)</f>
        <v/>
      </c>
      <c r="CK62" s="276">
        <f>SUMIFS(領用表!$L:$L,領用表!$E:$E,$B62,領用表!$B:$B,$CG$2&amp;CK$2)</f>
        <v/>
      </c>
      <c r="CL62" s="279">
        <f>SUM(AX62,AY62,AZ62,BA62,BB62,BC62,BH62,BM62,BR62,BW62,CB62,CG62)</f>
        <v/>
      </c>
      <c r="CM62" s="279">
        <f>AVERAGE(AX62,AY62,AZ62,BA62,BB62,BC62,BH62,BM62,BR62,BW62,CB62,CG62)</f>
        <v/>
      </c>
      <c r="CN62" s="278">
        <f>SUMIFS(領用表!$L:$L,領用表!$A:$A,CN$2,領用表!$E:$E,B62)</f>
        <v/>
      </c>
      <c r="CO62" s="276">
        <f>SUMIFS(領用表!$L:$L,領用表!$E:$E,$B62,領用表!$B:$B,CN$2&amp;CO$2)</f>
        <v/>
      </c>
      <c r="CP62" s="276">
        <f>SUMIFS(領用表!$L:$L,領用表!$E:$E,$B62,領用表!$B:$B,$CN$2&amp;CP$2)</f>
        <v/>
      </c>
      <c r="CQ62" s="276">
        <f>SUMIFS(領用表!$L:$L,領用表!$E:$E,$B62,領用表!$B:$B,$CN$2&amp;CQ$2)</f>
        <v/>
      </c>
      <c r="CR62" s="276">
        <f>SUMIFS(領用表!$L:$L,領用表!$E:$E,$B62,領用表!$B:$B,$CN$2&amp;CR$2)</f>
        <v/>
      </c>
      <c r="CS62" s="278">
        <f>SUMIFS(領用表!$L:$L,領用表!$A:$A,CS$2,領用表!$E:$E,B62)</f>
        <v/>
      </c>
      <c r="CT62" s="278">
        <f>SUMIFS(領用表!$L:$L,領用表!$E:$E,$B62,領用表!$B:$B,CS$2&amp;CT$2)</f>
        <v/>
      </c>
      <c r="CU62" s="278">
        <f>SUMIFS(領用表!$L:$L,領用表!$E:$E,$B62,領用表!$B:$B,$CS$2&amp;CU$2)</f>
        <v/>
      </c>
      <c r="CV62" s="278">
        <f>SUMIFS(領用表!$L:$L,領用表!$E:$E,$B62,領用表!$B:$B,$CS$2&amp;CV$2)</f>
        <v/>
      </c>
      <c r="CW62" s="278">
        <f>SUMIFS(領用表!$L:$L,領用表!$E:$E,$B62,領用表!$B:$B,$CS$2&amp;CW$2)</f>
        <v/>
      </c>
      <c r="CX62" s="278">
        <f>SUMIFS(領用表!$L:$L,領用表!$E:$E,$B62,領用表!$B:$B,$CS$2&amp;CX$2)</f>
        <v/>
      </c>
      <c r="CY62" s="278">
        <f>SUMIFS(領用表!$L:$L,領用表!$A:$A,CY$2,領用表!$E:$E,B62)</f>
        <v/>
      </c>
      <c r="CZ62" s="276">
        <f>SUMIFS(領用表!$L:$L,領用表!$E:$E,$B62,領用表!$B:$B,CY$2&amp;CZ$2)</f>
        <v/>
      </c>
      <c r="DA62" s="276">
        <f>SUMIFS(領用表!$L:$L,領用表!$E:$E,$B62,領用表!$B:$B,$CY$2&amp;DA$2)</f>
        <v/>
      </c>
      <c r="DB62" s="276">
        <f>SUMIFS(領用表!$L:$L,領用表!$E:$E,$B62,領用表!$B:$B,$CY$2&amp;DB$2)</f>
        <v/>
      </c>
      <c r="DC62" s="276">
        <f>SUMIFS(領用表!$L:$L,領用表!$E:$E,$B62,領用表!$B:$B,$CY$2&amp;DC$2)</f>
        <v/>
      </c>
      <c r="DD62" s="276">
        <f>SUMIFS(領用表!$L:$L,領用表!$E:$E,$B62,領用表!$B:$B,$CY$2&amp;DD$2)</f>
        <v/>
      </c>
      <c r="DE62" s="278">
        <f>SUMIFS(領用表!$L:$L,領用表!$A:$A,DE$2,領用表!$E:$E,B62)</f>
        <v/>
      </c>
      <c r="DF62" s="276">
        <f>SUMIFS(領用表!$L:$L,領用表!$E:$E,$B62,領用表!$B:$B,DE$2&amp;DF$2)</f>
        <v/>
      </c>
      <c r="DG62" s="276">
        <f>SUMIFS(領用表!$L:$L,領用表!$E:$E,$B62,領用表!$B:$B,$DE$2&amp;DG$2)</f>
        <v/>
      </c>
      <c r="DH62" s="276">
        <f>SUMIFS(領用表!$L:$L,領用表!$E:$E,$B62,領用表!$B:$B,$DE$2&amp;DH$2)</f>
        <v/>
      </c>
      <c r="DI62" s="276">
        <f>SUMIFS(領用表!$L:$L,領用表!$E:$E,$B62,領用表!$B:$B,$DE$2&amp;DI$2)</f>
        <v/>
      </c>
      <c r="DJ62" s="276">
        <f>SUMIFS(領用表!$L:$L,領用表!$E:$E,$B62,領用表!$B:$B,$DE$2&amp;DJ$2)</f>
        <v/>
      </c>
      <c r="DK62" s="278">
        <f>SUMIFS(領用表!$L:$L,領用表!$A:$A,DK$2,領用表!$E:$E,$B62)</f>
        <v/>
      </c>
      <c r="DL62" s="276">
        <f>SUMIFS(領用表!$L:$L,領用表!$E:$E,$B62,領用表!$B:$B,DK$2&amp;DL$2)</f>
        <v/>
      </c>
      <c r="DM62" s="276">
        <f>SUMIFS(領用表!$L:$L,領用表!$E:$E,$B62,領用表!$B:$B,$DK$2&amp;DM$2)</f>
        <v/>
      </c>
      <c r="DN62" s="276">
        <f>SUMIFS(領用表!$L:$L,領用表!$E:$E,$B62,領用表!$B:$B,$DK$2&amp;DN$2)</f>
        <v/>
      </c>
      <c r="DO62" s="276">
        <f>SUMIFS(領用表!$L:$L,領用表!$E:$E,$B62,領用表!$B:$B,$DK$2&amp;DO$2)</f>
        <v/>
      </c>
      <c r="DP62" s="276">
        <f>SUMIFS(領用表!$L:$L,領用表!$E:$E,$B62,領用表!$B:$B,$DK$2&amp;DP$2)</f>
        <v/>
      </c>
      <c r="DQ62" s="278" t="n"/>
      <c r="DR62" s="276" t="n"/>
      <c r="DS62" s="276" t="n"/>
      <c r="DT62" s="276" t="n"/>
      <c r="DU62" s="276" t="n"/>
      <c r="DV62" s="276" t="n"/>
      <c r="DW62" s="276">
        <f>SUM(CN62,CS62,CY62,DE62,DK62,DQ62)</f>
        <v/>
      </c>
      <c r="DX62" s="276">
        <f>AVERAGEA(CN62,CS62,CY62,DE62,DK62,DQ62)</f>
        <v/>
      </c>
      <c r="DY62" s="276">
        <f>SUM(DZ62:EC62)</f>
        <v/>
      </c>
      <c r="DZ62" s="276" t="n">
        <v>0</v>
      </c>
      <c r="EA62" s="276" t="n">
        <v>0</v>
      </c>
      <c r="EB62" s="276" t="n">
        <v>0</v>
      </c>
      <c r="EC62" s="276" t="n">
        <v>0</v>
      </c>
      <c r="ED62" s="280" t="n">
        <v>0</v>
      </c>
      <c r="EE62" s="281" t="n"/>
      <c r="EF62" s="204" t="n"/>
      <c r="EG62" s="204" t="n"/>
      <c r="EH62" s="526" t="inlineStr">
        <is>
          <t>2025/5/22站前收回2台</t>
        </is>
      </c>
      <c r="EI62" s="223" t="n"/>
      <c r="EJ62" s="118">
        <f>IFERROR(VLOOKUP(A62,站前4樓!A:BF,57,0),0)</f>
        <v/>
      </c>
      <c r="EK62" s="213">
        <f>IFERROR(VLOOKUP(A62,站前11樓!A:BE,57,0),0)</f>
        <v/>
      </c>
      <c r="EL62" s="118">
        <f>IFERROR(VLOOKUP(A62,忠孝7樓!A:N,57,0),0)</f>
        <v/>
      </c>
      <c r="EM62" s="118">
        <f>IFERROR(VLOOKUP(A62,忠孝國際醫學3樓!A:L,57,0),0)</f>
        <v/>
      </c>
      <c r="EN62" s="118">
        <f>SUM(ED62:EG62)</f>
        <v/>
      </c>
      <c r="EP62" s="118" t="n">
        <v>0</v>
      </c>
      <c r="EQ62" s="118" t="n">
        <v>0</v>
      </c>
    </row>
    <row r="63" ht="15.75" customFormat="1" customHeight="1" s="118">
      <c r="A63" s="136" t="inlineStr">
        <is>
          <t>MM2MB040018A</t>
        </is>
      </c>
      <c r="B63" s="118" t="n">
        <v>6170032</v>
      </c>
      <c r="C63" s="133" t="inlineStr">
        <is>
          <t>立特拉A2筆型探頭3.0mm(1發)</t>
        </is>
      </c>
      <c r="D63" s="23" t="n">
        <v>240500</v>
      </c>
      <c r="E63" s="282" t="inlineStr">
        <is>
          <t>SHOT</t>
        </is>
      </c>
      <c r="F63" s="225">
        <f>SUMIF(站前4樓!B:B,B63,站前4樓!F:F)</f>
        <v/>
      </c>
      <c r="G63" s="225">
        <f>SUMIF(站前11樓!B:B,B63,站前11樓!F:F)</f>
        <v/>
      </c>
      <c r="H63" s="225">
        <f>SUMIF(忠孝7樓!B:B,B63,忠孝7樓!G:G)</f>
        <v/>
      </c>
      <c r="I63" s="225">
        <f>SUMIF(忠孝國際醫學3樓!B:B,B63,忠孝國際醫學3樓!G:G)</f>
        <v/>
      </c>
      <c r="J63" s="225">
        <f>SUMIF(忠孝健康7樓!B:B,B63,忠孝健康7樓!G:G)</f>
        <v/>
      </c>
      <c r="K63" s="200" t="n"/>
      <c r="L63" s="200" t="n"/>
      <c r="M63" s="200" t="n"/>
      <c r="N63" s="200" t="n"/>
      <c r="O63" s="200" t="n"/>
      <c r="P63" s="200" t="n"/>
      <c r="Q63" s="200" t="n"/>
      <c r="R63" s="200" t="n"/>
      <c r="S63" s="200" t="n"/>
      <c r="T63" s="200" t="n"/>
      <c r="U63" s="200" t="n"/>
      <c r="V63" s="200" t="n"/>
      <c r="W63" s="200" t="n"/>
      <c r="X63" s="200" t="n"/>
      <c r="Y63" s="200" t="n"/>
      <c r="Z63" s="200" t="n"/>
      <c r="AA63" s="200" t="n"/>
      <c r="AB63" s="200" t="n"/>
      <c r="AC63" s="200" t="n"/>
      <c r="AD63" s="200" t="n"/>
      <c r="AE63" s="200" t="n"/>
      <c r="AF63" s="200" t="n"/>
      <c r="AG63" s="200" t="n"/>
      <c r="AH63" s="200" t="n"/>
      <c r="AI63" s="200" t="n"/>
      <c r="AJ63" s="221" t="n"/>
      <c r="AK63" s="221" t="n"/>
      <c r="AL63" s="221" t="n"/>
      <c r="AM63" s="221" t="n"/>
      <c r="AN63" s="221" t="n"/>
      <c r="AO63" s="221" t="n"/>
      <c r="AP63" s="221" t="n"/>
      <c r="AQ63" s="221" t="n"/>
      <c r="AR63" s="221" t="n"/>
      <c r="AS63" s="201" t="n"/>
      <c r="AT63" s="512" t="n"/>
      <c r="AU63" s="203" t="n"/>
      <c r="AV63" s="204" t="inlineStr">
        <is>
          <t>-</t>
        </is>
      </c>
      <c r="AW63" s="204" t="inlineStr">
        <is>
          <t>-</t>
        </is>
      </c>
      <c r="AX63" s="204" t="inlineStr">
        <is>
          <t>-</t>
        </is>
      </c>
      <c r="AY63" s="204" t="inlineStr">
        <is>
          <t>-</t>
        </is>
      </c>
      <c r="AZ63" s="204" t="inlineStr">
        <is>
          <t>-</t>
        </is>
      </c>
      <c r="BA63" s="204" t="inlineStr">
        <is>
          <t>-</t>
        </is>
      </c>
      <c r="BB63" s="203" t="n">
        <v>104015</v>
      </c>
      <c r="BC63" s="203">
        <f>SUMIFS(領用表!$L:$L,領用表!$A:$A,BC$2,領用表!$E:$E,B63)</f>
        <v/>
      </c>
      <c r="BD63" s="206">
        <f>SUMIFS(領用表!$L:$L,領用表!$E:$E,$B63,領用表!$B:$B,BC$2&amp;BD$2)</f>
        <v/>
      </c>
      <c r="BE63" s="206">
        <f>SUMIFS(領用表!$L:$L,領用表!$E:$E,$B63,領用表!$B:$B,$BC$2&amp;BE$2)</f>
        <v/>
      </c>
      <c r="BF63" s="206">
        <f>SUMIFS(領用表!$L:$L,領用表!$E:$E,$B63,領用表!$B:$B,$BC$2&amp;BF$2)</f>
        <v/>
      </c>
      <c r="BG63" s="206">
        <f>SUMIFS(領用表!$L:$L,領用表!$E:$E,$B63,領用表!$B:$B,$BC$2&amp;BG$2)</f>
        <v/>
      </c>
      <c r="BH63" s="203">
        <f>SUMIFS(領用表!$L:$L,領用表!$A:$A,BH$2,領用表!$E:$E,B63)</f>
        <v/>
      </c>
      <c r="BI63" s="260">
        <f>SUMIFS(領用表!$L:$L,領用表!$E:$E,$B63,領用表!$B:$B,BH$2&amp;BI$2)</f>
        <v/>
      </c>
      <c r="BJ63" s="260">
        <f>SUMIFS(領用表!$L:$L,領用表!$E:$E,$B63,領用表!$B:$B,$BH$2&amp;BJ$2)</f>
        <v/>
      </c>
      <c r="BK63" s="260">
        <f>SUMIFS(領用表!$L:$L,領用表!$E:$E,$B63,領用表!$B:$B,$BH$2&amp;BK$2)</f>
        <v/>
      </c>
      <c r="BL63" s="260">
        <f>SUMIFS(領用表!$L:$L,領用表!$E:$E,$B63,領用表!$B:$B,$BH$2&amp;BL$2)</f>
        <v/>
      </c>
      <c r="BM63" s="203">
        <f>SUMIFS(領用表!$L:$L,領用表!$A:$A,BM$2,領用表!$E:$E,B63)</f>
        <v/>
      </c>
      <c r="BN63" s="206">
        <f>SUMIFS(領用表!$L:$L,領用表!$E:$E,$B63,領用表!$B:$B,BM$2&amp;BN$2)</f>
        <v/>
      </c>
      <c r="BO63" s="206">
        <f>SUMIFS(領用表!$L:$L,領用表!$E:$E,$B63,領用表!$B:$B,$BM$2&amp;BO$2)</f>
        <v/>
      </c>
      <c r="BP63" s="206">
        <f>SUMIFS(領用表!$L:$L,領用表!$E:$E,$B63,領用表!$B:$B,$BM$2&amp;BP$2)</f>
        <v/>
      </c>
      <c r="BQ63" s="206">
        <f>SUMIFS(領用表!$L:$L,領用表!$E:$E,$B63,領用表!$B:$B,$BM$2&amp;BQ$2)</f>
        <v/>
      </c>
      <c r="BR63" s="203">
        <f>SUMIFS(領用表!$L:$L,領用表!$A:$A,BR$2,領用表!$E:$E,B63)</f>
        <v/>
      </c>
      <c r="BS63" s="206">
        <f>SUMIFS(領用表!$L:$L,領用表!$E:$E,$B63,領用表!$B:$B,BR$2&amp;BS$2)</f>
        <v/>
      </c>
      <c r="BT63" s="206">
        <f>SUMIFS(領用表!$L:$L,領用表!$E:$E,$B63,領用表!$B:$B,$BR$2&amp;BT$2)</f>
        <v/>
      </c>
      <c r="BU63" s="206">
        <f>SUMIFS(領用表!$L:$L,領用表!$E:$E,$B63,領用表!$B:$B,$BR$2&amp;BU$2)</f>
        <v/>
      </c>
      <c r="BV63" s="206">
        <f>SUMIFS(領用表!$L:$L,領用表!$E:$E,$B63,領用表!$B:$B,$BR$2&amp;BV$2)</f>
        <v/>
      </c>
      <c r="BW63" s="208">
        <f>SUMIFS(領用表!$L:$L,領用表!$A:$A,BW$2,領用表!$E:$E,B63)</f>
        <v/>
      </c>
      <c r="BX63" s="206">
        <f>SUMIFS(領用表!$L:$L,領用表!$E:$E,$B63,領用表!$B:$B,BW$2&amp;BX$2)</f>
        <v/>
      </c>
      <c r="BY63" s="206">
        <f>SUMIFS(領用表!$L:$L,領用表!$E:$E,$B63,領用表!$B:$B,$BW$2&amp;BY$2)</f>
        <v/>
      </c>
      <c r="BZ63" s="206">
        <f>SUMIFS(領用表!$L:$L,領用表!$E:$E,$B63,領用表!$B:$B,$BW$2&amp;BZ$2)</f>
        <v/>
      </c>
      <c r="CA63" s="206">
        <f>SUMIFS(領用表!$L:$L,領用表!$E:$E,$B63,領用表!$B:$B,$BW$2&amp;CA$2)</f>
        <v/>
      </c>
      <c r="CB63" s="208">
        <f>SUMIFS(領用表!$L:$L,領用表!$A:$A,CB$2,領用表!$E:$E,B63)</f>
        <v/>
      </c>
      <c r="CC63" s="206">
        <f>SUMIFS(領用表!$L:$L,領用表!$E:$E,$B63,領用表!$B:$B,CB$2&amp;CC$2)</f>
        <v/>
      </c>
      <c r="CD63" s="206">
        <f>SUMIFS(領用表!$L:$L,領用表!$E:$E,$B63,領用表!$B:$B,$CB$2&amp;CD$2)</f>
        <v/>
      </c>
      <c r="CE63" s="206">
        <f>SUMIFS(領用表!$L:$L,領用表!$E:$E,$B63,領用表!$B:$B,$CB$2&amp;CE$2)</f>
        <v/>
      </c>
      <c r="CF63" s="206">
        <f>SUMIFS(領用表!$L:$L,領用表!$E:$E,$B63,領用表!$B:$B,$CB$2&amp;CF$2)</f>
        <v/>
      </c>
      <c r="CG63" s="208">
        <f>SUMIFS(領用表!$L:$L,領用表!$A:$A,CG$2,領用表!$E:$E,B63)</f>
        <v/>
      </c>
      <c r="CH63" s="206">
        <f>SUMIFS(領用表!$L:$L,領用表!$E:$E,$B63,領用表!$B:$B,CG$2&amp;CH$2)</f>
        <v/>
      </c>
      <c r="CI63" s="206">
        <f>SUMIFS(領用表!$L:$L,領用表!$E:$E,$B63,領用表!$B:$B,CG$2&amp;CI$2)</f>
        <v/>
      </c>
      <c r="CJ63" s="206">
        <f>SUMIFS(領用表!$L:$L,領用表!$E:$E,$B63,領用表!$B:$B,CG$2&amp;CJ$2)</f>
        <v/>
      </c>
      <c r="CK63" s="206">
        <f>SUMIFS(領用表!$L:$L,領用表!$E:$E,$B63,領用表!$B:$B,$CG$2&amp;CK$2)</f>
        <v/>
      </c>
      <c r="CL63" s="207">
        <f>SUM(AX63,AY63,AZ63,BA63,BB63,BC63,BH63,BM63,BR63,BW63,CB63,CG63)</f>
        <v/>
      </c>
      <c r="CM63" s="207">
        <f>AVERAGE(AX63,AY63,AZ63,BA63,BB63,BC63,BH63,BM63,BR63,BW63,CB63,CG63)</f>
        <v/>
      </c>
      <c r="CN63" s="208">
        <f>SUMIFS(領用表!$L:$L,領用表!$A:$A,CN$2,領用表!$E:$E,B63)</f>
        <v/>
      </c>
      <c r="CO63" s="206">
        <f>SUMIFS(領用表!$L:$L,領用表!$E:$E,$B63,領用表!$B:$B,CN$2&amp;CO$2)</f>
        <v/>
      </c>
      <c r="CP63" s="206">
        <f>SUMIFS(領用表!$L:$L,領用表!$E:$E,$B63,領用表!$B:$B,$CN$2&amp;CP$2)</f>
        <v/>
      </c>
      <c r="CQ63" s="206">
        <f>SUMIFS(領用表!$L:$L,領用表!$E:$E,$B63,領用表!$B:$B,$CN$2&amp;CQ$2)</f>
        <v/>
      </c>
      <c r="CR63" s="206">
        <f>SUMIFS(領用表!$L:$L,領用表!$E:$E,$B63,領用表!$B:$B,$CN$2&amp;CR$2)</f>
        <v/>
      </c>
      <c r="CS63" s="208">
        <f>SUMIFS(領用表!$L:$L,領用表!$A:$A,CS$2,領用表!$E:$E,B63)</f>
        <v/>
      </c>
      <c r="CT63" s="206">
        <f>SUMIFS(領用表!$L:$L,領用表!$E:$E,$B63,領用表!$B:$B,CS$2&amp;CT$2)</f>
        <v/>
      </c>
      <c r="CU63" s="206">
        <f>SUMIFS(領用表!$L:$L,領用表!$E:$E,$B63,領用表!$B:$B,$CS$2&amp;CU$2)</f>
        <v/>
      </c>
      <c r="CV63" s="206">
        <f>SUMIFS(領用表!$L:$L,領用表!$E:$E,$B63,領用表!$B:$B,$CS$2&amp;CV$2)</f>
        <v/>
      </c>
      <c r="CW63" s="206">
        <f>SUMIFS(領用表!$L:$L,領用表!$E:$E,$B63,領用表!$B:$B,$CS$2&amp;CW$2)</f>
        <v/>
      </c>
      <c r="CX63" s="206">
        <f>SUMIFS(領用表!$L:$L,領用表!$E:$E,$B63,領用表!$B:$B,$CS$2&amp;CX$2)</f>
        <v/>
      </c>
      <c r="CY63" s="208">
        <f>SUMIFS(領用表!$L:$L,領用表!$A:$A,CY$2,領用表!$E:$E,B63)</f>
        <v/>
      </c>
      <c r="CZ63" s="206">
        <f>SUMIFS(領用表!$L:$L,領用表!$E:$E,$B63,領用表!$B:$B,CY$2&amp;CZ$2)</f>
        <v/>
      </c>
      <c r="DA63" s="206">
        <f>SUMIFS(領用表!$L:$L,領用表!$E:$E,$B63,領用表!$B:$B,$CY$2&amp;DA$2)</f>
        <v/>
      </c>
      <c r="DB63" s="206">
        <f>SUMIFS(領用表!$L:$L,領用表!$E:$E,$B63,領用表!$B:$B,$CY$2&amp;DB$2)</f>
        <v/>
      </c>
      <c r="DC63" s="206">
        <f>SUMIFS(領用表!$L:$L,領用表!$E:$E,$B63,領用表!$B:$B,$CY$2&amp;DC$2)</f>
        <v/>
      </c>
      <c r="DD63" s="206">
        <f>SUMIFS(領用表!$L:$L,領用表!$E:$E,$B63,領用表!$B:$B,$CY$2&amp;DD$2)</f>
        <v/>
      </c>
      <c r="DE63" s="208">
        <f>SUMIFS(領用表!$L:$L,領用表!$A:$A,DE$2,領用表!$E:$E,B63)</f>
        <v/>
      </c>
      <c r="DF63" s="206">
        <f>SUMIFS(領用表!$L:$L,領用表!$E:$E,$B63,領用表!$B:$B,DE$2&amp;DF$2)</f>
        <v/>
      </c>
      <c r="DG63" s="206">
        <f>SUMIFS(領用表!$L:$L,領用表!$E:$E,$B63,領用表!$B:$B,$DE$2&amp;DG$2)</f>
        <v/>
      </c>
      <c r="DH63" s="206">
        <f>SUMIFS(領用表!$L:$L,領用表!$E:$E,$B63,領用表!$B:$B,$DE$2&amp;DH$2)</f>
        <v/>
      </c>
      <c r="DI63" s="206">
        <f>SUMIFS(領用表!$L:$L,領用表!$E:$E,$B63,領用表!$B:$B,$DE$2&amp;DI$2)</f>
        <v/>
      </c>
      <c r="DJ63" s="206">
        <f>SUMIFS(領用表!$L:$L,領用表!$E:$E,$B63,領用表!$B:$B,$DE$2&amp;DJ$2)</f>
        <v/>
      </c>
      <c r="DK63" s="208">
        <f>SUMIFS(領用表!$L:$L,領用表!$A:$A,DK$2,領用表!$E:$E,$B63)</f>
        <v/>
      </c>
      <c r="DL63" s="206">
        <f>SUMIFS(領用表!$L:$L,領用表!$E:$E,$B63,領用表!$B:$B,DK$2&amp;DL$2)</f>
        <v/>
      </c>
      <c r="DM63" s="206">
        <f>SUMIFS(領用表!$L:$L,領用表!$E:$E,$B63,領用表!$B:$B,$DK$2&amp;DM$2)</f>
        <v/>
      </c>
      <c r="DN63" s="206">
        <f>SUMIFS(領用表!$L:$L,領用表!$E:$E,$B63,領用表!$B:$B,$DK$2&amp;DN$2)</f>
        <v/>
      </c>
      <c r="DO63" s="206">
        <f>SUMIFS(領用表!$L:$L,領用表!$E:$E,$B63,領用表!$B:$B,$DK$2&amp;DO$2)</f>
        <v/>
      </c>
      <c r="DP63" s="206">
        <f>SUMIFS(領用表!$L:$L,領用表!$E:$E,$B63,領用表!$B:$B,$DK$2&amp;DP$2)</f>
        <v/>
      </c>
      <c r="DQ63" s="208" t="n">
        <v>146000</v>
      </c>
      <c r="DR63" s="206" t="n">
        <v>54000</v>
      </c>
      <c r="DS63" s="206" t="n"/>
      <c r="DT63" s="206" t="n">
        <v>60000</v>
      </c>
      <c r="DU63" s="206" t="n"/>
      <c r="DV63" s="206" t="n">
        <v>32000</v>
      </c>
      <c r="DW63" s="206">
        <f>SUM(CN63,CS63,CY63,DE63,DK63,DQ63)</f>
        <v/>
      </c>
      <c r="DX63" s="206">
        <f>AVERAGEA(CN63,CS63,CY63,DE63,DK63,DQ63)</f>
        <v/>
      </c>
      <c r="DY63" s="206">
        <f>SUM(DZ63:EC63)</f>
        <v/>
      </c>
      <c r="DZ63" s="206" t="n">
        <v>320000</v>
      </c>
      <c r="EA63" s="206" t="n">
        <v>0</v>
      </c>
      <c r="EB63" s="206" t="n">
        <v>360000</v>
      </c>
      <c r="EC63" s="206" t="n">
        <v>0</v>
      </c>
      <c r="ED63" s="209" t="n">
        <v>720000</v>
      </c>
      <c r="EE63" s="281" t="n">
        <v>3455980</v>
      </c>
      <c r="EF63" s="254" t="inlineStr">
        <is>
          <t>3顆(10/20)</t>
        </is>
      </c>
      <c r="EG63" s="254" t="inlineStr">
        <is>
          <t>2顆(10/20)</t>
        </is>
      </c>
      <c r="EH63" s="526" t="inlineStr">
        <is>
          <t>2025/5/22站前交機2台</t>
        </is>
      </c>
      <c r="EI63" s="136" t="n"/>
      <c r="EJ63" s="118">
        <f>IFERROR(VLOOKUP(A63,站前4樓!A:BF,57,0),0)</f>
        <v/>
      </c>
      <c r="EK63" s="213">
        <f>IFERROR(VLOOKUP(A63,站前11樓!A:BE,57,0),0)</f>
        <v/>
      </c>
      <c r="EL63" s="118">
        <f>IFERROR(VLOOKUP(A63,忠孝7樓!A:N,57,0),0)</f>
        <v/>
      </c>
      <c r="EM63" s="118">
        <f>IFERROR(VLOOKUP(A63,忠孝國際醫學3樓!A:L,57,0),0)</f>
        <v/>
      </c>
      <c r="EN63" s="118">
        <f>SUM(ED63:EG63)</f>
        <v/>
      </c>
      <c r="EP63" s="118" t="n">
        <v>1288608</v>
      </c>
      <c r="EQ63" s="118" t="n">
        <v>946610</v>
      </c>
    </row>
    <row r="64" ht="15.75" customFormat="1" customHeight="1" s="118">
      <c r="A64" s="136" t="inlineStr">
        <is>
          <t>MM2MB040019A</t>
        </is>
      </c>
      <c r="B64" s="118" t="n">
        <v>6170033</v>
      </c>
      <c r="C64" s="133" t="inlineStr">
        <is>
          <t>立特拉A2筆型探頭4.5mm(1發)</t>
        </is>
      </c>
      <c r="D64" s="23" t="n">
        <v>240500</v>
      </c>
      <c r="E64" s="282" t="inlineStr">
        <is>
          <t>SHOT</t>
        </is>
      </c>
      <c r="F64" s="225">
        <f>SUMIF(站前4樓!B:B,B64,站前4樓!F:F)</f>
        <v/>
      </c>
      <c r="G64" s="225">
        <f>SUMIF(站前11樓!B:B,B64,站前11樓!F:F)</f>
        <v/>
      </c>
      <c r="H64" s="225">
        <f>SUMIF(忠孝7樓!B:B,B64,忠孝7樓!G:G)</f>
        <v/>
      </c>
      <c r="I64" s="225">
        <f>SUMIF(忠孝國際醫學3樓!B:B,B64,忠孝國際醫學3樓!G:G)</f>
        <v/>
      </c>
      <c r="J64" s="225">
        <f>SUMIF(忠孝健康7樓!B:B,B64,忠孝健康7樓!G:G)</f>
        <v/>
      </c>
      <c r="K64" s="200" t="n"/>
      <c r="L64" s="200" t="n"/>
      <c r="M64" s="200" t="n"/>
      <c r="N64" s="200" t="n"/>
      <c r="O64" s="200" t="n"/>
      <c r="P64" s="200" t="n"/>
      <c r="Q64" s="200" t="n"/>
      <c r="R64" s="200" t="n"/>
      <c r="S64" s="200" t="n"/>
      <c r="T64" s="200" t="n"/>
      <c r="U64" s="200" t="n"/>
      <c r="V64" s="200" t="n"/>
      <c r="W64" s="200" t="n"/>
      <c r="X64" s="200" t="n"/>
      <c r="Y64" s="200" t="n"/>
      <c r="Z64" s="200" t="n"/>
      <c r="AA64" s="200" t="n"/>
      <c r="AB64" s="200" t="n"/>
      <c r="AC64" s="200" t="n"/>
      <c r="AD64" s="200" t="n"/>
      <c r="AE64" s="200" t="n"/>
      <c r="AF64" s="200" t="n"/>
      <c r="AG64" s="200" t="n"/>
      <c r="AH64" s="200" t="n"/>
      <c r="AI64" s="200" t="n"/>
      <c r="AJ64" s="221" t="n"/>
      <c r="AK64" s="221" t="n"/>
      <c r="AL64" s="221" t="n"/>
      <c r="AM64" s="221" t="n"/>
      <c r="AN64" s="221" t="n"/>
      <c r="AO64" s="221" t="n"/>
      <c r="AP64" s="221" t="n"/>
      <c r="AQ64" s="221" t="n"/>
      <c r="AR64" s="221" t="n"/>
      <c r="AS64" s="201" t="n"/>
      <c r="AT64" s="512" t="n"/>
      <c r="AU64" s="203" t="n"/>
      <c r="AV64" s="204" t="inlineStr">
        <is>
          <t>-</t>
        </is>
      </c>
      <c r="AW64" s="204" t="inlineStr">
        <is>
          <t>-</t>
        </is>
      </c>
      <c r="AX64" s="204" t="inlineStr">
        <is>
          <t>-</t>
        </is>
      </c>
      <c r="AY64" s="204" t="inlineStr">
        <is>
          <t>-</t>
        </is>
      </c>
      <c r="AZ64" s="204" t="inlineStr">
        <is>
          <t>-</t>
        </is>
      </c>
      <c r="BA64" s="204" t="inlineStr">
        <is>
          <t>-</t>
        </is>
      </c>
      <c r="BB64" s="203" t="n">
        <v>51108</v>
      </c>
      <c r="BC64" s="203">
        <f>SUMIFS(領用表!$L:$L,領用表!$A:$A,BC$2,領用表!$E:$E,B64)</f>
        <v/>
      </c>
      <c r="BD64" s="206">
        <f>SUMIFS(領用表!$L:$L,領用表!$E:$E,$B64,領用表!$B:$B,BC$2&amp;BD$2)</f>
        <v/>
      </c>
      <c r="BE64" s="206">
        <f>SUMIFS(領用表!$L:$L,領用表!$E:$E,$B64,領用表!$B:$B,$BC$2&amp;BE$2)</f>
        <v/>
      </c>
      <c r="BF64" s="206">
        <f>SUMIFS(領用表!$L:$L,領用表!$E:$E,$B64,領用表!$B:$B,$BC$2&amp;BF$2)</f>
        <v/>
      </c>
      <c r="BG64" s="206">
        <f>SUMIFS(領用表!$L:$L,領用表!$E:$E,$B64,領用表!$B:$B,$BC$2&amp;BG$2)</f>
        <v/>
      </c>
      <c r="BH64" s="203">
        <f>SUMIFS(領用表!$L:$L,領用表!$A:$A,BH$2,領用表!$E:$E,B64)</f>
        <v/>
      </c>
      <c r="BI64" s="260">
        <f>SUMIFS(領用表!$L:$L,領用表!$E:$E,$B64,領用表!$B:$B,BH$2&amp;BI$2)</f>
        <v/>
      </c>
      <c r="BJ64" s="260">
        <f>SUMIFS(領用表!$L:$L,領用表!$E:$E,$B64,領用表!$B:$B,$BH$2&amp;BJ$2)</f>
        <v/>
      </c>
      <c r="BK64" s="260">
        <f>SUMIFS(領用表!$L:$L,領用表!$E:$E,$B64,領用表!$B:$B,$BH$2&amp;BK$2)</f>
        <v/>
      </c>
      <c r="BL64" s="260">
        <f>SUMIFS(領用表!$L:$L,領用表!$E:$E,$B64,領用表!$B:$B,$BH$2&amp;BL$2)</f>
        <v/>
      </c>
      <c r="BM64" s="203">
        <f>SUMIFS(領用表!$L:$L,領用表!$A:$A,BM$2,領用表!$E:$E,B64)</f>
        <v/>
      </c>
      <c r="BN64" s="206">
        <f>SUMIFS(領用表!$L:$L,領用表!$E:$E,$B64,領用表!$B:$B,BM$2&amp;BN$2)</f>
        <v/>
      </c>
      <c r="BO64" s="206">
        <f>SUMIFS(領用表!$L:$L,領用表!$E:$E,$B64,領用表!$B:$B,$BM$2&amp;BO$2)</f>
        <v/>
      </c>
      <c r="BP64" s="206">
        <f>SUMIFS(領用表!$L:$L,領用表!$E:$E,$B64,領用表!$B:$B,$BM$2&amp;BP$2)</f>
        <v/>
      </c>
      <c r="BQ64" s="206">
        <f>SUMIFS(領用表!$L:$L,領用表!$E:$E,$B64,領用表!$B:$B,$BM$2&amp;BQ$2)</f>
        <v/>
      </c>
      <c r="BR64" s="203">
        <f>SUMIFS(領用表!$L:$L,領用表!$A:$A,BR$2,領用表!$E:$E,B64)</f>
        <v/>
      </c>
      <c r="BS64" s="206">
        <f>SUMIFS(領用表!$L:$L,領用表!$E:$E,$B64,領用表!$B:$B,BR$2&amp;BS$2)</f>
        <v/>
      </c>
      <c r="BT64" s="206">
        <f>SUMIFS(領用表!$L:$L,領用表!$E:$E,$B64,領用表!$B:$B,$BR$2&amp;BT$2)</f>
        <v/>
      </c>
      <c r="BU64" s="206">
        <f>SUMIFS(領用表!$L:$L,領用表!$E:$E,$B64,領用表!$B:$B,$BR$2&amp;BU$2)</f>
        <v/>
      </c>
      <c r="BV64" s="206">
        <f>SUMIFS(領用表!$L:$L,領用表!$E:$E,$B64,領用表!$B:$B,$BR$2&amp;BV$2)</f>
        <v/>
      </c>
      <c r="BW64" s="208">
        <f>SUMIFS(領用表!$L:$L,領用表!$A:$A,BW$2,領用表!$E:$E,B64)</f>
        <v/>
      </c>
      <c r="BX64" s="206">
        <f>SUMIFS(領用表!$L:$L,領用表!$E:$E,$B64,領用表!$B:$B,BW$2&amp;BX$2)</f>
        <v/>
      </c>
      <c r="BY64" s="206">
        <f>SUMIFS(領用表!$L:$L,領用表!$E:$E,$B64,領用表!$B:$B,$BW$2&amp;BY$2)</f>
        <v/>
      </c>
      <c r="BZ64" s="206">
        <f>SUMIFS(領用表!$L:$L,領用表!$E:$E,$B64,領用表!$B:$B,$BW$2&amp;BZ$2)</f>
        <v/>
      </c>
      <c r="CA64" s="206">
        <f>SUMIFS(領用表!$L:$L,領用表!$E:$E,$B64,領用表!$B:$B,$BW$2&amp;CA$2)</f>
        <v/>
      </c>
      <c r="CB64" s="208">
        <f>SUMIFS(領用表!$L:$L,領用表!$A:$A,CB$2,領用表!$E:$E,B64)</f>
        <v/>
      </c>
      <c r="CC64" s="206">
        <f>SUMIFS(領用表!$L:$L,領用表!$E:$E,$B64,領用表!$B:$B,CB$2&amp;CC$2)</f>
        <v/>
      </c>
      <c r="CD64" s="206">
        <f>SUMIFS(領用表!$L:$L,領用表!$E:$E,$B64,領用表!$B:$B,$CB$2&amp;CD$2)</f>
        <v/>
      </c>
      <c r="CE64" s="206">
        <f>SUMIFS(領用表!$L:$L,領用表!$E:$E,$B64,領用表!$B:$B,$CB$2&amp;CE$2)</f>
        <v/>
      </c>
      <c r="CF64" s="206">
        <f>SUMIFS(領用表!$L:$L,領用表!$E:$E,$B64,領用表!$B:$B,$CB$2&amp;CF$2)</f>
        <v/>
      </c>
      <c r="CG64" s="208">
        <f>SUMIFS(領用表!$L:$L,領用表!$A:$A,CG$2,領用表!$E:$E,B64)</f>
        <v/>
      </c>
      <c r="CH64" s="206">
        <f>SUMIFS(領用表!$L:$L,領用表!$E:$E,$B64,領用表!$B:$B,CG$2&amp;CH$2)</f>
        <v/>
      </c>
      <c r="CI64" s="206">
        <f>SUMIFS(領用表!$L:$L,領用表!$E:$E,$B64,領用表!$B:$B,CG$2&amp;CI$2)</f>
        <v/>
      </c>
      <c r="CJ64" s="206">
        <f>SUMIFS(領用表!$L:$L,領用表!$E:$E,$B64,領用表!$B:$B,CG$2&amp;CJ$2)</f>
        <v/>
      </c>
      <c r="CK64" s="206">
        <f>SUMIFS(領用表!$L:$L,領用表!$E:$E,$B64,領用表!$B:$B,$CG$2&amp;CK$2)</f>
        <v/>
      </c>
      <c r="CL64" s="207">
        <f>SUM(AX64,AY64,AZ64,BA64,BB64,BC64,BH64,BM64,BR64,BW64,CB64,CG64)</f>
        <v/>
      </c>
      <c r="CM64" s="207">
        <f>AVERAGE(AX64,AY64,AZ64,BA64,BB64,BC64,BH64,BM64,BR64,BW64,CB64,CG64)</f>
        <v/>
      </c>
      <c r="CN64" s="208">
        <f>SUMIFS(領用表!$L:$L,領用表!$A:$A,CN$2,領用表!$E:$E,B64)</f>
        <v/>
      </c>
      <c r="CO64" s="206">
        <f>SUMIFS(領用表!$L:$L,領用表!$E:$E,$B64,領用表!$B:$B,CN$2&amp;CO$2)</f>
        <v/>
      </c>
      <c r="CP64" s="206">
        <f>SUMIFS(領用表!$L:$L,領用表!$E:$E,$B64,領用表!$B:$B,$CN$2&amp;CP$2)</f>
        <v/>
      </c>
      <c r="CQ64" s="206">
        <f>SUMIFS(領用表!$L:$L,領用表!$E:$E,$B64,領用表!$B:$B,$CN$2&amp;CQ$2)</f>
        <v/>
      </c>
      <c r="CR64" s="206">
        <f>SUMIFS(領用表!$L:$L,領用表!$E:$E,$B64,領用表!$B:$B,$CN$2&amp;CR$2)</f>
        <v/>
      </c>
      <c r="CS64" s="208">
        <f>SUMIFS(領用表!$L:$L,領用表!$A:$A,CS$2,領用表!$E:$E,B64)</f>
        <v/>
      </c>
      <c r="CT64" s="206">
        <f>SUMIFS(領用表!$L:$L,領用表!$E:$E,$B64,領用表!$B:$B,CS$2&amp;CT$2)</f>
        <v/>
      </c>
      <c r="CU64" s="206">
        <f>SUMIFS(領用表!$L:$L,領用表!$E:$E,$B64,領用表!$B:$B,$CS$2&amp;CU$2)</f>
        <v/>
      </c>
      <c r="CV64" s="206">
        <f>SUMIFS(領用表!$L:$L,領用表!$E:$E,$B64,領用表!$B:$B,$CS$2&amp;CV$2)</f>
        <v/>
      </c>
      <c r="CW64" s="206">
        <f>SUMIFS(領用表!$L:$L,領用表!$E:$E,$B64,領用表!$B:$B,$CS$2&amp;CW$2)</f>
        <v/>
      </c>
      <c r="CX64" s="206">
        <f>SUMIFS(領用表!$L:$L,領用表!$E:$E,$B64,領用表!$B:$B,$CS$2&amp;CX$2)</f>
        <v/>
      </c>
      <c r="CY64" s="208">
        <f>SUMIFS(領用表!$L:$L,領用表!$A:$A,CY$2,領用表!$E:$E,B64)</f>
        <v/>
      </c>
      <c r="CZ64" s="206">
        <f>SUMIFS(領用表!$L:$L,領用表!$E:$E,$B64,領用表!$B:$B,CY$2&amp;CZ$2)</f>
        <v/>
      </c>
      <c r="DA64" s="206">
        <f>SUMIFS(領用表!$L:$L,領用表!$E:$E,$B64,領用表!$B:$B,$CY$2&amp;DA$2)</f>
        <v/>
      </c>
      <c r="DB64" s="206">
        <f>SUMIFS(領用表!$L:$L,領用表!$E:$E,$B64,領用表!$B:$B,$CY$2&amp;DB$2)</f>
        <v/>
      </c>
      <c r="DC64" s="206">
        <f>SUMIFS(領用表!$L:$L,領用表!$E:$E,$B64,領用表!$B:$B,$CY$2&amp;DC$2)</f>
        <v/>
      </c>
      <c r="DD64" s="206">
        <f>SUMIFS(領用表!$L:$L,領用表!$E:$E,$B64,領用表!$B:$B,$CY$2&amp;DD$2)</f>
        <v/>
      </c>
      <c r="DE64" s="208">
        <f>SUMIFS(領用表!$L:$L,領用表!$A:$A,DE$2,領用表!$E:$E,B64)</f>
        <v/>
      </c>
      <c r="DF64" s="206">
        <f>SUMIFS(領用表!$L:$L,領用表!$E:$E,$B64,領用表!$B:$B,DE$2&amp;DF$2)</f>
        <v/>
      </c>
      <c r="DG64" s="206">
        <f>SUMIFS(領用表!$L:$L,領用表!$E:$E,$B64,領用表!$B:$B,$DE$2&amp;DG$2)</f>
        <v/>
      </c>
      <c r="DH64" s="206">
        <f>SUMIFS(領用表!$L:$L,領用表!$E:$E,$B64,領用表!$B:$B,$DE$2&amp;DH$2)</f>
        <v/>
      </c>
      <c r="DI64" s="206">
        <f>SUMIFS(領用表!$L:$L,領用表!$E:$E,$B64,領用表!$B:$B,$DE$2&amp;DI$2)</f>
        <v/>
      </c>
      <c r="DJ64" s="206">
        <f>SUMIFS(領用表!$L:$L,領用表!$E:$E,$B64,領用表!$B:$B,$DE$2&amp;DJ$2)</f>
        <v/>
      </c>
      <c r="DK64" s="208">
        <f>SUMIFS(領用表!$L:$L,領用表!$A:$A,DK$2,領用表!$E:$E,$B64)</f>
        <v/>
      </c>
      <c r="DL64" s="206">
        <f>SUMIFS(領用表!$L:$L,領用表!$E:$E,$B64,領用表!$B:$B,DK$2&amp;DL$2)</f>
        <v/>
      </c>
      <c r="DM64" s="206">
        <f>SUMIFS(領用表!$L:$L,領用表!$E:$E,$B64,領用表!$B:$B,$DK$2&amp;DM$2)</f>
        <v/>
      </c>
      <c r="DN64" s="206">
        <f>SUMIFS(領用表!$L:$L,領用表!$E:$E,$B64,領用表!$B:$B,$DK$2&amp;DN$2)</f>
        <v/>
      </c>
      <c r="DO64" s="206">
        <f>SUMIFS(領用表!$L:$L,領用表!$E:$E,$B64,領用表!$B:$B,$DK$2&amp;DO$2)</f>
        <v/>
      </c>
      <c r="DP64" s="206">
        <f>SUMIFS(領用表!$L:$L,領用表!$E:$E,$B64,領用表!$B:$B,$DK$2&amp;DP$2)</f>
        <v/>
      </c>
      <c r="DQ64" s="208" t="n">
        <v>44500</v>
      </c>
      <c r="DR64" s="206" t="n">
        <v>11000</v>
      </c>
      <c r="DS64" s="206" t="n"/>
      <c r="DT64" s="206" t="n">
        <v>22000</v>
      </c>
      <c r="DU64" s="206" t="n"/>
      <c r="DV64" s="206" t="n">
        <v>11500</v>
      </c>
      <c r="DW64" s="206">
        <f>SUM(CN64,CS64,CY64,DE64,DK64,DQ64)</f>
        <v/>
      </c>
      <c r="DX64" s="206">
        <f>AVERAGEA(CN64,CS64,CY64,DE64,DK64,DQ64)</f>
        <v/>
      </c>
      <c r="DY64" s="206">
        <f>SUM(DZ64:EC64)</f>
        <v/>
      </c>
      <c r="DZ64" s="206" t="n">
        <v>120000</v>
      </c>
      <c r="EA64" s="206" t="n">
        <v>0</v>
      </c>
      <c r="EB64" s="206" t="n">
        <v>170000</v>
      </c>
      <c r="EC64" s="206" t="n">
        <v>0</v>
      </c>
      <c r="ED64" s="209" t="n">
        <v>480000</v>
      </c>
      <c r="EE64" s="515" t="n"/>
      <c r="EF64" s="254" t="inlineStr">
        <is>
          <t>1顆(10/20)</t>
        </is>
      </c>
      <c r="EG64" s="254" t="inlineStr">
        <is>
          <t>2顆(10/20)</t>
        </is>
      </c>
      <c r="EH64" s="526" t="inlineStr">
        <is>
          <t>2025/5/22站前交機2台</t>
        </is>
      </c>
      <c r="EI64" s="136" t="n"/>
      <c r="EJ64" s="118">
        <f>IFERROR(VLOOKUP(A64,站前4樓!A:BF,57,0),0)</f>
        <v/>
      </c>
      <c r="EK64" s="213">
        <f>IFERROR(VLOOKUP(A64,站前11樓!A:BE,57,0),0)</f>
        <v/>
      </c>
      <c r="EL64" s="118">
        <f>IFERROR(VLOOKUP(A64,忠孝7樓!A:N,57,0),0)</f>
        <v/>
      </c>
      <c r="EM64" s="118">
        <f>IFERROR(VLOOKUP(A64,忠孝國際醫學3樓!A:L,57,0),0)</f>
        <v/>
      </c>
      <c r="EN64" s="118">
        <f>SUM(ED64:EG64)</f>
        <v/>
      </c>
      <c r="EP64" s="118" t="n">
        <v>898768</v>
      </c>
      <c r="EQ64" s="118" t="n">
        <v>1423234</v>
      </c>
    </row>
    <row r="65" ht="15.75" customFormat="1" customHeight="1" s="118">
      <c r="A65" s="136" t="inlineStr">
        <is>
          <t>MM2MD070001A</t>
        </is>
      </c>
      <c r="B65" s="118" t="n">
        <v>6220005</v>
      </c>
      <c r="C65" s="118" t="inlineStr">
        <is>
          <t>海菲秀深藍端頭(1入)</t>
        </is>
      </c>
      <c r="D65" s="207" t="n">
        <v>15</v>
      </c>
      <c r="E65" s="198" t="inlineStr">
        <is>
          <t>PCS</t>
        </is>
      </c>
      <c r="F65" s="225">
        <f>SUMIF(站前4樓!B:B,B65,站前4樓!F:F)</f>
        <v/>
      </c>
      <c r="G65" s="225">
        <f>SUMIF(站前11樓!B:B,B65,站前11樓!F:F)</f>
        <v/>
      </c>
      <c r="H65" s="225">
        <f>SUMIF(忠孝7樓!B:B,B65,忠孝7樓!G:G)</f>
        <v/>
      </c>
      <c r="I65" s="225">
        <f>SUMIF(忠孝國際醫學3樓!B:B,B65,忠孝國際醫學3樓!G:G)</f>
        <v/>
      </c>
      <c r="J65" s="225">
        <f>SUMIF(忠孝健康7樓!B:B,B65,忠孝健康7樓!G:G)</f>
        <v/>
      </c>
      <c r="K65" s="200" t="n">
        <v>0.07000000000000001</v>
      </c>
      <c r="L65" s="200" t="n">
        <v>0</v>
      </c>
      <c r="M65" s="200" t="n">
        <v>0.07000000000000001</v>
      </c>
      <c r="N65" s="200" t="n">
        <v>1.33</v>
      </c>
      <c r="O65" s="200" t="n">
        <v>1.93</v>
      </c>
      <c r="P65" s="200" t="n">
        <v>2.47</v>
      </c>
      <c r="Q65" s="200" t="n">
        <v>2.73</v>
      </c>
      <c r="R65" s="200" t="n">
        <v>3.47</v>
      </c>
      <c r="S65" s="200" t="n">
        <v>4.13</v>
      </c>
      <c r="T65" s="200" t="n">
        <v>4.73</v>
      </c>
      <c r="U65" s="200" t="n">
        <v>6.2</v>
      </c>
      <c r="V65" s="200" t="n">
        <v>7.33</v>
      </c>
      <c r="W65" s="200" t="n">
        <v>7.13</v>
      </c>
      <c r="X65" s="200" t="n">
        <v>4.53</v>
      </c>
      <c r="Y65" s="200" t="n">
        <v>4.2</v>
      </c>
      <c r="Z65" s="200" t="n">
        <v>5.67</v>
      </c>
      <c r="AA65" s="200" t="n">
        <v>5.27</v>
      </c>
      <c r="AB65" s="200" t="n">
        <v>5.8</v>
      </c>
      <c r="AC65" s="200" t="n">
        <v>6.67</v>
      </c>
      <c r="AD65" s="200" t="n">
        <v>8.199999999999999</v>
      </c>
      <c r="AE65" s="200" t="n">
        <v>6.87</v>
      </c>
      <c r="AF65" s="200" t="n">
        <v>8.07</v>
      </c>
      <c r="AG65" s="200" t="n">
        <v>7.2</v>
      </c>
      <c r="AH65" s="200" t="n">
        <v>6</v>
      </c>
      <c r="AI65" s="200" t="n">
        <v>6.87</v>
      </c>
      <c r="AJ65" s="221" t="n">
        <v>8.4</v>
      </c>
      <c r="AK65" s="221" t="n">
        <v>8.199999999999999</v>
      </c>
      <c r="AL65" s="221" t="n">
        <v>9.4</v>
      </c>
      <c r="AM65" s="221" t="n">
        <v>8.6</v>
      </c>
      <c r="AN65" s="221" t="n">
        <v>10.7333</v>
      </c>
      <c r="AO65" s="221" t="n">
        <v>12</v>
      </c>
      <c r="AP65" s="221" t="n">
        <v>15.4</v>
      </c>
      <c r="AQ65" s="221" t="n">
        <v>30.7333</v>
      </c>
      <c r="AR65" s="221" t="n">
        <v>25.53333333</v>
      </c>
      <c r="AS65" s="201" t="n">
        <v>24.8</v>
      </c>
      <c r="AT65" s="512" t="n">
        <v>27.8</v>
      </c>
      <c r="AU65" s="203">
        <f>435/D65</f>
        <v/>
      </c>
      <c r="AV65" s="204">
        <f>SUM(AJ65:AU65)</f>
        <v/>
      </c>
      <c r="AW65" s="513">
        <f>AV65/12</f>
        <v/>
      </c>
      <c r="AX65" s="203" t="n">
        <v>813</v>
      </c>
      <c r="AY65" s="203" t="n">
        <v>567</v>
      </c>
      <c r="AZ65" s="203" t="n">
        <v>731</v>
      </c>
      <c r="BA65" s="203" t="n">
        <v>552</v>
      </c>
      <c r="BB65" s="203" t="n">
        <v>572</v>
      </c>
      <c r="BC65" s="203">
        <f>SUMIFS(領用表!$L:$L,領用表!$A:$A,BC$2,領用表!$E:$E,B65)</f>
        <v/>
      </c>
      <c r="BD65" s="206">
        <f>SUMIFS(領用表!$L:$L,領用表!$E:$E,$B65,領用表!$B:$B,BC$2&amp;BD$2)</f>
        <v/>
      </c>
      <c r="BE65" s="206">
        <f>SUMIFS(領用表!$L:$L,領用表!$E:$E,$B65,領用表!$B:$B,$BC$2&amp;BE$2)</f>
        <v/>
      </c>
      <c r="BF65" s="206">
        <f>SUMIFS(領用表!$L:$L,領用表!$E:$E,$B65,領用表!$B:$B,$BC$2&amp;BF$2)</f>
        <v/>
      </c>
      <c r="BG65" s="206">
        <f>SUMIFS(領用表!$L:$L,領用表!$E:$E,$B65,領用表!$B:$B,$BC$2&amp;BG$2)</f>
        <v/>
      </c>
      <c r="BH65" s="203">
        <f>SUMIFS(領用表!$L:$L,領用表!$A:$A,BH$2,領用表!$E:$E,B65)</f>
        <v/>
      </c>
      <c r="BI65" s="260">
        <f>SUMIFS(領用表!$L:$L,領用表!$E:$E,$B65,領用表!$B:$B,BH$2&amp;BI$2)</f>
        <v/>
      </c>
      <c r="BJ65" s="260">
        <f>SUMIFS(領用表!$L:$L,領用表!$E:$E,$B65,領用表!$B:$B,$BH$2&amp;BJ$2)</f>
        <v/>
      </c>
      <c r="BK65" s="260">
        <f>SUMIFS(領用表!$L:$L,領用表!$E:$E,$B65,領用表!$B:$B,$BH$2&amp;BK$2)</f>
        <v/>
      </c>
      <c r="BL65" s="260">
        <f>SUMIFS(領用表!$L:$L,領用表!$E:$E,$B65,領用表!$B:$B,$BH$2&amp;BL$2)</f>
        <v/>
      </c>
      <c r="BM65" s="203">
        <f>SUMIFS(領用表!$L:$L,領用表!$A:$A,BM$2,領用表!$E:$E,B65)</f>
        <v/>
      </c>
      <c r="BN65" s="206">
        <f>SUMIFS(領用表!$L:$L,領用表!$E:$E,$B65,領用表!$B:$B,BM$2&amp;BN$2)</f>
        <v/>
      </c>
      <c r="BO65" s="206">
        <f>SUMIFS(領用表!$L:$L,領用表!$E:$E,$B65,領用表!$B:$B,$BM$2&amp;BO$2)</f>
        <v/>
      </c>
      <c r="BP65" s="206">
        <f>SUMIFS(領用表!$L:$L,領用表!$E:$E,$B65,領用表!$B:$B,$BM$2&amp;BP$2)</f>
        <v/>
      </c>
      <c r="BQ65" s="206">
        <f>SUMIFS(領用表!$L:$L,領用表!$E:$E,$B65,領用表!$B:$B,$BM$2&amp;BQ$2)</f>
        <v/>
      </c>
      <c r="BR65" s="203">
        <f>SUMIFS(領用表!$L:$L,領用表!$A:$A,BR$2,領用表!$E:$E,B65)</f>
        <v/>
      </c>
      <c r="BS65" s="206">
        <f>SUMIFS(領用表!$L:$L,領用表!$E:$E,$B65,領用表!$B:$B,BR$2&amp;BS$2)</f>
        <v/>
      </c>
      <c r="BT65" s="206">
        <f>SUMIFS(領用表!$L:$L,領用表!$E:$E,$B65,領用表!$B:$B,$BR$2&amp;BT$2)</f>
        <v/>
      </c>
      <c r="BU65" s="206">
        <f>SUMIFS(領用表!$L:$L,領用表!$E:$E,$B65,領用表!$B:$B,$BR$2&amp;BU$2)</f>
        <v/>
      </c>
      <c r="BV65" s="206">
        <f>SUMIFS(領用表!$L:$L,領用表!$E:$E,$B65,領用表!$B:$B,$BR$2&amp;BV$2)</f>
        <v/>
      </c>
      <c r="BW65" s="208">
        <f>SUMIFS(領用表!$L:$L,領用表!$A:$A,BW$2,領用表!$E:$E,B65)</f>
        <v/>
      </c>
      <c r="BX65" s="206">
        <f>SUMIFS(領用表!$L:$L,領用表!$E:$E,$B65,領用表!$B:$B,BW$2&amp;BX$2)</f>
        <v/>
      </c>
      <c r="BY65" s="206">
        <f>SUMIFS(領用表!$L:$L,領用表!$E:$E,$B65,領用表!$B:$B,$BW$2&amp;BY$2)</f>
        <v/>
      </c>
      <c r="BZ65" s="206">
        <f>SUMIFS(領用表!$L:$L,領用表!$E:$E,$B65,領用表!$B:$B,$BW$2&amp;BZ$2)</f>
        <v/>
      </c>
      <c r="CA65" s="206">
        <f>SUMIFS(領用表!$L:$L,領用表!$E:$E,$B65,領用表!$B:$B,$BW$2&amp;CA$2)</f>
        <v/>
      </c>
      <c r="CB65" s="208">
        <f>SUMIFS(領用表!$L:$L,領用表!$A:$A,CB$2,領用表!$E:$E,B65)</f>
        <v/>
      </c>
      <c r="CC65" s="206">
        <f>SUMIFS(領用表!$L:$L,領用表!$E:$E,$B65,領用表!$B:$B,CB$2&amp;CC$2)</f>
        <v/>
      </c>
      <c r="CD65" s="206">
        <f>SUMIFS(領用表!$L:$L,領用表!$E:$E,$B65,領用表!$B:$B,$CB$2&amp;CD$2)</f>
        <v/>
      </c>
      <c r="CE65" s="206">
        <f>SUMIFS(領用表!$L:$L,領用表!$E:$E,$B65,領用表!$B:$B,$CB$2&amp;CE$2)</f>
        <v/>
      </c>
      <c r="CF65" s="206">
        <f>SUMIFS(領用表!$L:$L,領用表!$E:$E,$B65,領用表!$B:$B,$CB$2&amp;CF$2)</f>
        <v/>
      </c>
      <c r="CG65" s="208">
        <f>SUMIFS(領用表!$L:$L,領用表!$A:$A,CG$2,領用表!$E:$E,B65)</f>
        <v/>
      </c>
      <c r="CH65" s="206">
        <f>SUMIFS(領用表!$L:$L,領用表!$E:$E,$B65,領用表!$B:$B,CG$2&amp;CH$2)</f>
        <v/>
      </c>
      <c r="CI65" s="206">
        <f>SUMIFS(領用表!$L:$L,領用表!$E:$E,$B65,領用表!$B:$B,CG$2&amp;CI$2)</f>
        <v/>
      </c>
      <c r="CJ65" s="206">
        <f>SUMIFS(領用表!$L:$L,領用表!$E:$E,$B65,領用表!$B:$B,CG$2&amp;CJ$2)</f>
        <v/>
      </c>
      <c r="CK65" s="206">
        <f>SUMIFS(領用表!$L:$L,領用表!$E:$E,$B65,領用表!$B:$B,$CG$2&amp;CK$2)</f>
        <v/>
      </c>
      <c r="CL65" s="207">
        <f>SUM(AX65,AY65,AZ65,BA65,BB65,BC65,BH65,BM65,BR65,BW65,CB65,CG65)</f>
        <v/>
      </c>
      <c r="CM65" s="207">
        <f>AVERAGE(AX65,AY65,AZ65,BA65,BB65,BC65,BH65,BM65,BR65,BW65,CB65,CG65)</f>
        <v/>
      </c>
      <c r="CN65" s="208">
        <f>SUMIFS(領用表!$L:$L,領用表!$A:$A,CN$2,領用表!$E:$E,B65)</f>
        <v/>
      </c>
      <c r="CO65" s="206">
        <f>SUMIFS(領用表!$L:$L,領用表!$E:$E,$B65,領用表!$B:$B,CN$2&amp;CO$2)</f>
        <v/>
      </c>
      <c r="CP65" s="206">
        <f>SUMIFS(領用表!$L:$L,領用表!$E:$E,$B65,領用表!$B:$B,$CN$2&amp;CP$2)</f>
        <v/>
      </c>
      <c r="CQ65" s="206">
        <f>SUMIFS(領用表!$L:$L,領用表!$E:$E,$B65,領用表!$B:$B,$CN$2&amp;CQ$2)</f>
        <v/>
      </c>
      <c r="CR65" s="206">
        <f>SUMIFS(領用表!$L:$L,領用表!$E:$E,$B65,領用表!$B:$B,$CN$2&amp;CR$2)</f>
        <v/>
      </c>
      <c r="CS65" s="208">
        <f>SUMIFS(領用表!$L:$L,領用表!$A:$A,CS$2,領用表!$E:$E,B65)</f>
        <v/>
      </c>
      <c r="CT65" s="206">
        <f>SUMIFS(領用表!$L:$L,領用表!$E:$E,$B65,領用表!$B:$B,CS$2&amp;CT$2)</f>
        <v/>
      </c>
      <c r="CU65" s="206">
        <f>SUMIFS(領用表!$L:$L,領用表!$E:$E,$B65,領用表!$B:$B,$CS$2&amp;CU$2)</f>
        <v/>
      </c>
      <c r="CV65" s="206">
        <f>SUMIFS(領用表!$L:$L,領用表!$E:$E,$B65,領用表!$B:$B,$CS$2&amp;CV$2)</f>
        <v/>
      </c>
      <c r="CW65" s="206">
        <f>SUMIFS(領用表!$L:$L,領用表!$E:$E,$B65,領用表!$B:$B,$CS$2&amp;CW$2)</f>
        <v/>
      </c>
      <c r="CX65" s="206">
        <f>SUMIFS(領用表!$L:$L,領用表!$E:$E,$B65,領用表!$B:$B,$CS$2&amp;CX$2)</f>
        <v/>
      </c>
      <c r="CY65" s="208">
        <f>SUMIFS(領用表!$L:$L,領用表!$A:$A,CY$2,領用表!$E:$E,B65)</f>
        <v/>
      </c>
      <c r="CZ65" s="206">
        <f>SUMIFS(領用表!$L:$L,領用表!$E:$E,$B65,領用表!$B:$B,CY$2&amp;CZ$2)</f>
        <v/>
      </c>
      <c r="DA65" s="206">
        <f>SUMIFS(領用表!$L:$L,領用表!$E:$E,$B65,領用表!$B:$B,$CY$2&amp;DA$2)</f>
        <v/>
      </c>
      <c r="DB65" s="206">
        <f>SUMIFS(領用表!$L:$L,領用表!$E:$E,$B65,領用表!$B:$B,$CY$2&amp;DB$2)</f>
        <v/>
      </c>
      <c r="DC65" s="206">
        <f>SUMIFS(領用表!$L:$L,領用表!$E:$E,$B65,領用表!$B:$B,$CY$2&amp;DC$2)</f>
        <v/>
      </c>
      <c r="DD65" s="206">
        <f>SUMIFS(領用表!$L:$L,領用表!$E:$E,$B65,領用表!$B:$B,$CY$2&amp;DD$2)</f>
        <v/>
      </c>
      <c r="DE65" s="208">
        <f>SUMIFS(領用表!$L:$L,領用表!$A:$A,DE$2,領用表!$E:$E,B65)</f>
        <v/>
      </c>
      <c r="DF65" s="206">
        <f>SUMIFS(領用表!$L:$L,領用表!$E:$E,$B65,領用表!$B:$B,DE$2&amp;DF$2)</f>
        <v/>
      </c>
      <c r="DG65" s="206">
        <f>SUMIFS(領用表!$L:$L,領用表!$E:$E,$B65,領用表!$B:$B,$DE$2&amp;DG$2)</f>
        <v/>
      </c>
      <c r="DH65" s="206">
        <f>SUMIFS(領用表!$L:$L,領用表!$E:$E,$B65,領用表!$B:$B,$DE$2&amp;DH$2)</f>
        <v/>
      </c>
      <c r="DI65" s="206">
        <f>SUMIFS(領用表!$L:$L,領用表!$E:$E,$B65,領用表!$B:$B,$DE$2&amp;DI$2)</f>
        <v/>
      </c>
      <c r="DJ65" s="206">
        <f>SUMIFS(領用表!$L:$L,領用表!$E:$E,$B65,領用表!$B:$B,$DE$2&amp;DJ$2)</f>
        <v/>
      </c>
      <c r="DK65" s="208">
        <f>SUMIFS(領用表!$L:$L,領用表!$A:$A,DK$2,領用表!$E:$E,$B65)</f>
        <v/>
      </c>
      <c r="DL65" s="206">
        <f>SUMIFS(領用表!$L:$L,領用表!$E:$E,$B65,領用表!$B:$B,DK$2&amp;DL$2)</f>
        <v/>
      </c>
      <c r="DM65" s="206">
        <f>SUMIFS(領用表!$L:$L,領用表!$E:$E,$B65,領用表!$B:$B,$DK$2&amp;DM$2)</f>
        <v/>
      </c>
      <c r="DN65" s="206">
        <f>SUMIFS(領用表!$L:$L,領用表!$E:$E,$B65,領用表!$B:$B,$DK$2&amp;DN$2)</f>
        <v/>
      </c>
      <c r="DO65" s="206">
        <f>SUMIFS(領用表!$L:$L,領用表!$E:$E,$B65,領用表!$B:$B,$DK$2&amp;DO$2)</f>
        <v/>
      </c>
      <c r="DP65" s="206">
        <f>SUMIFS(領用表!$L:$L,領用表!$E:$E,$B65,領用表!$B:$B,$DK$2&amp;DP$2)</f>
        <v/>
      </c>
      <c r="DQ65" s="208" t="n">
        <v>422</v>
      </c>
      <c r="DR65" s="206" t="n">
        <v>137</v>
      </c>
      <c r="DS65" s="206" t="n"/>
      <c r="DT65" s="206" t="n">
        <v>186</v>
      </c>
      <c r="DU65" s="206" t="n"/>
      <c r="DV65" s="206" t="n">
        <v>99</v>
      </c>
      <c r="DW65" s="206">
        <f>SUM(CN65,CS65,CY65,DE65,DK65,DQ65)</f>
        <v/>
      </c>
      <c r="DX65" s="206">
        <f>AVERAGEA(CN65,CS65,CY65,DE65,DK65,DQ65)</f>
        <v/>
      </c>
      <c r="DY65" s="206">
        <f>SUM(DZ65:EC65)</f>
        <v/>
      </c>
      <c r="DZ65" s="206" t="n">
        <v>550</v>
      </c>
      <c r="EA65" s="206" t="n">
        <v>0</v>
      </c>
      <c r="EB65" s="206" t="n">
        <v>900</v>
      </c>
      <c r="EC65" s="206" t="n">
        <v>0</v>
      </c>
      <c r="ED65" s="209" t="n">
        <v>600</v>
      </c>
      <c r="EE65" s="530" t="n"/>
      <c r="EF65" s="254" t="inlineStr">
        <is>
          <t>825(10/23)</t>
        </is>
      </c>
      <c r="EG65" s="254" t="inlineStr">
        <is>
          <t>750(10/23)</t>
        </is>
      </c>
      <c r="EH65" s="136" t="n"/>
      <c r="EI65" s="136" t="n"/>
      <c r="EJ65" s="118">
        <f>IFERROR(VLOOKUP(A65,站前4樓!A:BF,57,0),0)</f>
        <v/>
      </c>
      <c r="EK65" s="213">
        <f>IFERROR(VLOOKUP(A65,站前11樓!A:BE,57,0),0)</f>
        <v/>
      </c>
      <c r="EL65" s="118">
        <f>IFERROR(VLOOKUP(A65,忠孝7樓!A:N,57,0),0)</f>
        <v/>
      </c>
      <c r="EM65" s="118">
        <f>IFERROR(VLOOKUP(A65,忠孝國際醫學3樓!A:L,57,0),0)</f>
        <v/>
      </c>
      <c r="EN65" s="118">
        <f>SUM(ED65:EG65)</f>
        <v/>
      </c>
      <c r="EP65" s="118" t="n">
        <v>516</v>
      </c>
      <c r="EQ65" s="118" t="n">
        <v>760</v>
      </c>
    </row>
    <row r="66" ht="15.75" customFormat="1" customHeight="1" s="118">
      <c r="A66" s="136" t="inlineStr">
        <is>
          <t>MM2MD070002A</t>
        </is>
      </c>
      <c r="B66" s="118" t="n">
        <v>6220006</v>
      </c>
      <c r="C66" s="118" t="inlineStr">
        <is>
          <t>海菲秀淺藍端頭(1入)</t>
        </is>
      </c>
      <c r="D66" s="207" t="n">
        <v>15</v>
      </c>
      <c r="E66" s="198" t="inlineStr">
        <is>
          <t>PCS</t>
        </is>
      </c>
      <c r="F66" s="225">
        <f>SUMIF(站前4樓!B:B,B66,站前4樓!F:F)</f>
        <v/>
      </c>
      <c r="G66" s="225">
        <f>SUMIF(站前11樓!B:B,B66,站前11樓!F:F)</f>
        <v/>
      </c>
      <c r="H66" s="225">
        <f>SUMIF(忠孝7樓!B:B,B66,忠孝7樓!G:G)</f>
        <v/>
      </c>
      <c r="I66" s="225">
        <f>SUMIF(忠孝國際醫學3樓!B:B,B66,忠孝國際醫學3樓!G:G)</f>
        <v/>
      </c>
      <c r="J66" s="225">
        <f>SUMIF(忠孝健康7樓!B:B,B66,忠孝健康7樓!G:G)</f>
        <v/>
      </c>
      <c r="K66" s="200" t="n">
        <v>0.07000000000000001</v>
      </c>
      <c r="L66" s="200" t="n">
        <v>0</v>
      </c>
      <c r="M66" s="200" t="n">
        <v>0.07000000000000001</v>
      </c>
      <c r="N66" s="200" t="n">
        <v>1.33</v>
      </c>
      <c r="O66" s="200" t="n">
        <v>1.93</v>
      </c>
      <c r="P66" s="200" t="n">
        <v>2.47</v>
      </c>
      <c r="Q66" s="200" t="n">
        <v>2.73</v>
      </c>
      <c r="R66" s="200" t="n">
        <v>3.47</v>
      </c>
      <c r="S66" s="200" t="n">
        <v>4.13</v>
      </c>
      <c r="T66" s="200" t="n">
        <v>4.73</v>
      </c>
      <c r="U66" s="200" t="n">
        <v>6.2</v>
      </c>
      <c r="V66" s="200" t="n">
        <v>7.33</v>
      </c>
      <c r="W66" s="200" t="n">
        <v>7.13</v>
      </c>
      <c r="X66" s="200" t="n">
        <v>4.53</v>
      </c>
      <c r="Y66" s="200" t="n">
        <v>4.2</v>
      </c>
      <c r="Z66" s="200" t="n">
        <v>5.67</v>
      </c>
      <c r="AA66" s="200" t="n">
        <v>5.27</v>
      </c>
      <c r="AB66" s="200" t="n">
        <v>5.8</v>
      </c>
      <c r="AC66" s="200" t="n">
        <v>6.67</v>
      </c>
      <c r="AD66" s="200" t="n">
        <v>8.199999999999999</v>
      </c>
      <c r="AE66" s="200" t="n">
        <v>6.87</v>
      </c>
      <c r="AF66" s="200" t="n">
        <v>8.07</v>
      </c>
      <c r="AG66" s="200" t="n">
        <v>7.2</v>
      </c>
      <c r="AH66" s="200" t="n">
        <v>6</v>
      </c>
      <c r="AI66" s="200" t="n">
        <v>6.87</v>
      </c>
      <c r="AJ66" s="221" t="n">
        <v>8.4</v>
      </c>
      <c r="AK66" s="221" t="n">
        <v>8.199999999999999</v>
      </c>
      <c r="AL66" s="221" t="n">
        <v>9.4</v>
      </c>
      <c r="AM66" s="221" t="n">
        <v>8.6</v>
      </c>
      <c r="AN66" s="221" t="n">
        <v>10.7333</v>
      </c>
      <c r="AO66" s="221" t="n">
        <v>12</v>
      </c>
      <c r="AP66" s="221" t="n">
        <v>15.4</v>
      </c>
      <c r="AQ66" s="221" t="n">
        <v>30.7333</v>
      </c>
      <c r="AR66" s="221" t="n">
        <v>25.53333333</v>
      </c>
      <c r="AS66" s="201" t="n">
        <v>24.8</v>
      </c>
      <c r="AT66" s="512" t="n">
        <v>27.8</v>
      </c>
      <c r="AU66" s="203">
        <f>435/D66</f>
        <v/>
      </c>
      <c r="AV66" s="204">
        <f>SUM(AJ66:AU66)</f>
        <v/>
      </c>
      <c r="AW66" s="513">
        <f>AV66/12</f>
        <v/>
      </c>
      <c r="AX66" s="203" t="n">
        <v>813</v>
      </c>
      <c r="AY66" s="203" t="n">
        <v>567</v>
      </c>
      <c r="AZ66" s="203" t="n">
        <v>731</v>
      </c>
      <c r="BA66" s="203" t="n">
        <v>552</v>
      </c>
      <c r="BB66" s="203" t="n">
        <v>572</v>
      </c>
      <c r="BC66" s="203">
        <f>SUMIFS(領用表!$L:$L,領用表!$A:$A,BC$2,領用表!$E:$E,B66)</f>
        <v/>
      </c>
      <c r="BD66" s="206">
        <f>SUMIFS(領用表!$L:$L,領用表!$E:$E,$B66,領用表!$B:$B,BC$2&amp;BD$2)</f>
        <v/>
      </c>
      <c r="BE66" s="206">
        <f>SUMIFS(領用表!$L:$L,領用表!$E:$E,$B66,領用表!$B:$B,$BC$2&amp;BE$2)</f>
        <v/>
      </c>
      <c r="BF66" s="206">
        <f>SUMIFS(領用表!$L:$L,領用表!$E:$E,$B66,領用表!$B:$B,$BC$2&amp;BF$2)</f>
        <v/>
      </c>
      <c r="BG66" s="206">
        <f>SUMIFS(領用表!$L:$L,領用表!$E:$E,$B66,領用表!$B:$B,$BC$2&amp;BG$2)</f>
        <v/>
      </c>
      <c r="BH66" s="203">
        <f>SUMIFS(領用表!$L:$L,領用表!$A:$A,BH$2,領用表!$E:$E,B66)</f>
        <v/>
      </c>
      <c r="BI66" s="260">
        <f>SUMIFS(領用表!$L:$L,領用表!$E:$E,$B66,領用表!$B:$B,BH$2&amp;BI$2)</f>
        <v/>
      </c>
      <c r="BJ66" s="260">
        <f>SUMIFS(領用表!$L:$L,領用表!$E:$E,$B66,領用表!$B:$B,$BH$2&amp;BJ$2)</f>
        <v/>
      </c>
      <c r="BK66" s="260">
        <f>SUMIFS(領用表!$L:$L,領用表!$E:$E,$B66,領用表!$B:$B,$BH$2&amp;BK$2)</f>
        <v/>
      </c>
      <c r="BL66" s="260">
        <f>SUMIFS(領用表!$L:$L,領用表!$E:$E,$B66,領用表!$B:$B,$BH$2&amp;BL$2)</f>
        <v/>
      </c>
      <c r="BM66" s="203">
        <f>SUMIFS(領用表!$L:$L,領用表!$A:$A,BM$2,領用表!$E:$E,B66)</f>
        <v/>
      </c>
      <c r="BN66" s="206">
        <f>SUMIFS(領用表!$L:$L,領用表!$E:$E,$B66,領用表!$B:$B,BM$2&amp;BN$2)</f>
        <v/>
      </c>
      <c r="BO66" s="206">
        <f>SUMIFS(領用表!$L:$L,領用表!$E:$E,$B66,領用表!$B:$B,$BM$2&amp;BO$2)</f>
        <v/>
      </c>
      <c r="BP66" s="206">
        <f>SUMIFS(領用表!$L:$L,領用表!$E:$E,$B66,領用表!$B:$B,$BM$2&amp;BP$2)</f>
        <v/>
      </c>
      <c r="BQ66" s="206">
        <f>SUMIFS(領用表!$L:$L,領用表!$E:$E,$B66,領用表!$B:$B,$BM$2&amp;BQ$2)</f>
        <v/>
      </c>
      <c r="BR66" s="203">
        <f>SUMIFS(領用表!$L:$L,領用表!$A:$A,BR$2,領用表!$E:$E,B66)</f>
        <v/>
      </c>
      <c r="BS66" s="206">
        <f>SUMIFS(領用表!$L:$L,領用表!$E:$E,$B66,領用表!$B:$B,BR$2&amp;BS$2)</f>
        <v/>
      </c>
      <c r="BT66" s="206">
        <f>SUMIFS(領用表!$L:$L,領用表!$E:$E,$B66,領用表!$B:$B,$BR$2&amp;BT$2)</f>
        <v/>
      </c>
      <c r="BU66" s="206">
        <f>SUMIFS(領用表!$L:$L,領用表!$E:$E,$B66,領用表!$B:$B,$BR$2&amp;BU$2)</f>
        <v/>
      </c>
      <c r="BV66" s="206">
        <f>SUMIFS(領用表!$L:$L,領用表!$E:$E,$B66,領用表!$B:$B,$BR$2&amp;BV$2)</f>
        <v/>
      </c>
      <c r="BW66" s="208">
        <f>SUMIFS(領用表!$L:$L,領用表!$A:$A,BW$2,領用表!$E:$E,B66)</f>
        <v/>
      </c>
      <c r="BX66" s="206">
        <f>SUMIFS(領用表!$L:$L,領用表!$E:$E,$B66,領用表!$B:$B,BW$2&amp;BX$2)</f>
        <v/>
      </c>
      <c r="BY66" s="206">
        <f>SUMIFS(領用表!$L:$L,領用表!$E:$E,$B66,領用表!$B:$B,$BW$2&amp;BY$2)</f>
        <v/>
      </c>
      <c r="BZ66" s="206">
        <f>SUMIFS(領用表!$L:$L,領用表!$E:$E,$B66,領用表!$B:$B,$BW$2&amp;BZ$2)</f>
        <v/>
      </c>
      <c r="CA66" s="206">
        <f>SUMIFS(領用表!$L:$L,領用表!$E:$E,$B66,領用表!$B:$B,$BW$2&amp;CA$2)</f>
        <v/>
      </c>
      <c r="CB66" s="208">
        <f>SUMIFS(領用表!$L:$L,領用表!$A:$A,CB$2,領用表!$E:$E,B66)</f>
        <v/>
      </c>
      <c r="CC66" s="206">
        <f>SUMIFS(領用表!$L:$L,領用表!$E:$E,$B66,領用表!$B:$B,CB$2&amp;CC$2)</f>
        <v/>
      </c>
      <c r="CD66" s="206">
        <f>SUMIFS(領用表!$L:$L,領用表!$E:$E,$B66,領用表!$B:$B,$CB$2&amp;CD$2)</f>
        <v/>
      </c>
      <c r="CE66" s="206">
        <f>SUMIFS(領用表!$L:$L,領用表!$E:$E,$B66,領用表!$B:$B,$CB$2&amp;CE$2)</f>
        <v/>
      </c>
      <c r="CF66" s="206">
        <f>SUMIFS(領用表!$L:$L,領用表!$E:$E,$B66,領用表!$B:$B,$CB$2&amp;CF$2)</f>
        <v/>
      </c>
      <c r="CG66" s="208">
        <f>SUMIFS(領用表!$L:$L,領用表!$A:$A,CG$2,領用表!$E:$E,B66)</f>
        <v/>
      </c>
      <c r="CH66" s="206">
        <f>SUMIFS(領用表!$L:$L,領用表!$E:$E,$B66,領用表!$B:$B,CG$2&amp;CH$2)</f>
        <v/>
      </c>
      <c r="CI66" s="206">
        <f>SUMIFS(領用表!$L:$L,領用表!$E:$E,$B66,領用表!$B:$B,CG$2&amp;CI$2)</f>
        <v/>
      </c>
      <c r="CJ66" s="206">
        <f>SUMIFS(領用表!$L:$L,領用表!$E:$E,$B66,領用表!$B:$B,CG$2&amp;CJ$2)</f>
        <v/>
      </c>
      <c r="CK66" s="206">
        <f>SUMIFS(領用表!$L:$L,領用表!$E:$E,$B66,領用表!$B:$B,$CG$2&amp;CK$2)</f>
        <v/>
      </c>
      <c r="CL66" s="207">
        <f>SUM(AX66,AY66,AZ66,BA66,BB66,BC66,BH66,BM66,BR66,BW66,CB66,CG66)</f>
        <v/>
      </c>
      <c r="CM66" s="207">
        <f>AVERAGE(AX66,AY66,AZ66,BA66,BB66,BC66,BH66,BM66,BR66,BW66,CB66,CG66)</f>
        <v/>
      </c>
      <c r="CN66" s="208">
        <f>SUMIFS(領用表!$L:$L,領用表!$A:$A,CN$2,領用表!$E:$E,B66)</f>
        <v/>
      </c>
      <c r="CO66" s="206">
        <f>SUMIFS(領用表!$L:$L,領用表!$E:$E,$B66,領用表!$B:$B,CN$2&amp;CO$2)</f>
        <v/>
      </c>
      <c r="CP66" s="206">
        <f>SUMIFS(領用表!$L:$L,領用表!$E:$E,$B66,領用表!$B:$B,$CN$2&amp;CP$2)</f>
        <v/>
      </c>
      <c r="CQ66" s="206">
        <f>SUMIFS(領用表!$L:$L,領用表!$E:$E,$B66,領用表!$B:$B,$CN$2&amp;CQ$2)</f>
        <v/>
      </c>
      <c r="CR66" s="206">
        <f>SUMIFS(領用表!$L:$L,領用表!$E:$E,$B66,領用表!$B:$B,$CN$2&amp;CR$2)</f>
        <v/>
      </c>
      <c r="CS66" s="208">
        <f>SUMIFS(領用表!$L:$L,領用表!$A:$A,CS$2,領用表!$E:$E,B66)</f>
        <v/>
      </c>
      <c r="CT66" s="206">
        <f>SUMIFS(領用表!$L:$L,領用表!$E:$E,$B66,領用表!$B:$B,CS$2&amp;CT$2)</f>
        <v/>
      </c>
      <c r="CU66" s="206">
        <f>SUMIFS(領用表!$L:$L,領用表!$E:$E,$B66,領用表!$B:$B,$CS$2&amp;CU$2)</f>
        <v/>
      </c>
      <c r="CV66" s="206">
        <f>SUMIFS(領用表!$L:$L,領用表!$E:$E,$B66,領用表!$B:$B,$CS$2&amp;CV$2)</f>
        <v/>
      </c>
      <c r="CW66" s="206">
        <f>SUMIFS(領用表!$L:$L,領用表!$E:$E,$B66,領用表!$B:$B,$CS$2&amp;CW$2)</f>
        <v/>
      </c>
      <c r="CX66" s="206">
        <f>SUMIFS(領用表!$L:$L,領用表!$E:$E,$B66,領用表!$B:$B,$CS$2&amp;CX$2)</f>
        <v/>
      </c>
      <c r="CY66" s="208">
        <f>SUMIFS(領用表!$L:$L,領用表!$A:$A,CY$2,領用表!$E:$E,B66)</f>
        <v/>
      </c>
      <c r="CZ66" s="206">
        <f>SUMIFS(領用表!$L:$L,領用表!$E:$E,$B66,領用表!$B:$B,CY$2&amp;CZ$2)</f>
        <v/>
      </c>
      <c r="DA66" s="206">
        <f>SUMIFS(領用表!$L:$L,領用表!$E:$E,$B66,領用表!$B:$B,$CY$2&amp;DA$2)</f>
        <v/>
      </c>
      <c r="DB66" s="206">
        <f>SUMIFS(領用表!$L:$L,領用表!$E:$E,$B66,領用表!$B:$B,$CY$2&amp;DB$2)</f>
        <v/>
      </c>
      <c r="DC66" s="206">
        <f>SUMIFS(領用表!$L:$L,領用表!$E:$E,$B66,領用表!$B:$B,$CY$2&amp;DC$2)</f>
        <v/>
      </c>
      <c r="DD66" s="206">
        <f>SUMIFS(領用表!$L:$L,領用表!$E:$E,$B66,領用表!$B:$B,$CY$2&amp;DD$2)</f>
        <v/>
      </c>
      <c r="DE66" s="208">
        <f>SUMIFS(領用表!$L:$L,領用表!$A:$A,DE$2,領用表!$E:$E,B66)</f>
        <v/>
      </c>
      <c r="DF66" s="206">
        <f>SUMIFS(領用表!$L:$L,領用表!$E:$E,$B66,領用表!$B:$B,DE$2&amp;DF$2)</f>
        <v/>
      </c>
      <c r="DG66" s="206">
        <f>SUMIFS(領用表!$L:$L,領用表!$E:$E,$B66,領用表!$B:$B,$DE$2&amp;DG$2)</f>
        <v/>
      </c>
      <c r="DH66" s="206">
        <f>SUMIFS(領用表!$L:$L,領用表!$E:$E,$B66,領用表!$B:$B,$DE$2&amp;DH$2)</f>
        <v/>
      </c>
      <c r="DI66" s="206">
        <f>SUMIFS(領用表!$L:$L,領用表!$E:$E,$B66,領用表!$B:$B,$DE$2&amp;DI$2)</f>
        <v/>
      </c>
      <c r="DJ66" s="206">
        <f>SUMIFS(領用表!$L:$L,領用表!$E:$E,$B66,領用表!$B:$B,$DE$2&amp;DJ$2)</f>
        <v/>
      </c>
      <c r="DK66" s="208">
        <f>SUMIFS(領用表!$L:$L,領用表!$A:$A,DK$2,領用表!$E:$E,$B66)</f>
        <v/>
      </c>
      <c r="DL66" s="206">
        <f>SUMIFS(領用表!$L:$L,領用表!$E:$E,$B66,領用表!$B:$B,DK$2&amp;DL$2)</f>
        <v/>
      </c>
      <c r="DM66" s="206">
        <f>SUMIFS(領用表!$L:$L,領用表!$E:$E,$B66,領用表!$B:$B,$DK$2&amp;DM$2)</f>
        <v/>
      </c>
      <c r="DN66" s="206">
        <f>SUMIFS(領用表!$L:$L,領用表!$E:$E,$B66,領用表!$B:$B,$DK$2&amp;DN$2)</f>
        <v/>
      </c>
      <c r="DO66" s="206">
        <f>SUMIFS(領用表!$L:$L,領用表!$E:$E,$B66,領用表!$B:$B,$DK$2&amp;DO$2)</f>
        <v/>
      </c>
      <c r="DP66" s="206">
        <f>SUMIFS(領用表!$L:$L,領用表!$E:$E,$B66,領用表!$B:$B,$DK$2&amp;DP$2)</f>
        <v/>
      </c>
      <c r="DQ66" s="208" t="n">
        <v>422</v>
      </c>
      <c r="DR66" s="206" t="n">
        <v>137</v>
      </c>
      <c r="DS66" s="206" t="n"/>
      <c r="DT66" s="206" t="n">
        <v>186</v>
      </c>
      <c r="DU66" s="206" t="n"/>
      <c r="DV66" s="206" t="n">
        <v>99</v>
      </c>
      <c r="DW66" s="206">
        <f>SUM(CN66,CS66,CY66,DE66,DK66,DQ66)</f>
        <v/>
      </c>
      <c r="DX66" s="206">
        <f>AVERAGEA(CN66,CS66,CY66,DE66,DK66,DQ66)</f>
        <v/>
      </c>
      <c r="DY66" s="206">
        <f>SUM(DZ66:EC66)</f>
        <v/>
      </c>
      <c r="DZ66" s="206" t="n">
        <v>550</v>
      </c>
      <c r="EA66" s="206" t="n">
        <v>0</v>
      </c>
      <c r="EB66" s="206" t="n">
        <v>900</v>
      </c>
      <c r="EC66" s="206" t="n">
        <v>0</v>
      </c>
      <c r="ED66" s="209" t="n">
        <v>600</v>
      </c>
      <c r="EE66" s="514" t="n"/>
      <c r="EF66" s="254" t="inlineStr">
        <is>
          <t>825(10/23)</t>
        </is>
      </c>
      <c r="EG66" s="254" t="inlineStr">
        <is>
          <t>750(10/23)</t>
        </is>
      </c>
      <c r="EH66" s="136" t="n"/>
      <c r="EI66" s="136" t="n"/>
      <c r="EJ66" s="118">
        <f>IFERROR(VLOOKUP(A66,站前4樓!A:BF,57,0),0)</f>
        <v/>
      </c>
      <c r="EK66" s="213">
        <f>IFERROR(VLOOKUP(A66,站前11樓!A:BE,57,0),0)</f>
        <v/>
      </c>
      <c r="EL66" s="118">
        <f>IFERROR(VLOOKUP(A66,忠孝7樓!A:N,57,0),0)</f>
        <v/>
      </c>
      <c r="EM66" s="118">
        <f>IFERROR(VLOOKUP(A66,忠孝國際醫學3樓!A:L,57,0),0)</f>
        <v/>
      </c>
      <c r="EN66" s="118">
        <f>SUM(ED66:EG66)</f>
        <v/>
      </c>
      <c r="EP66" s="118" t="n">
        <v>516</v>
      </c>
      <c r="EQ66" s="118" t="n">
        <v>760</v>
      </c>
    </row>
    <row r="67" ht="15.75" customFormat="1" customHeight="1" s="118">
      <c r="A67" s="136" t="inlineStr">
        <is>
          <t>MM2MD070003A</t>
        </is>
      </c>
      <c r="B67" s="118" t="n">
        <v>6220007</v>
      </c>
      <c r="C67" s="118" t="inlineStr">
        <is>
          <t>海菲秀透明端頭(1入)</t>
        </is>
      </c>
      <c r="D67" s="207" t="n">
        <v>15</v>
      </c>
      <c r="E67" s="198" t="inlineStr">
        <is>
          <t>PCS</t>
        </is>
      </c>
      <c r="F67" s="225">
        <f>SUMIF(站前4樓!B:B,B67,站前4樓!F:F)</f>
        <v/>
      </c>
      <c r="G67" s="225">
        <f>SUMIF(站前11樓!B:B,B67,站前11樓!F:F)</f>
        <v/>
      </c>
      <c r="H67" s="225">
        <f>SUMIF(忠孝7樓!B:B,B67,忠孝7樓!G:G)</f>
        <v/>
      </c>
      <c r="I67" s="225">
        <f>SUMIF(忠孝國際醫學3樓!B:B,B67,忠孝國際醫學3樓!G:G)</f>
        <v/>
      </c>
      <c r="J67" s="225">
        <f>SUMIF(忠孝健康7樓!B:B,B67,忠孝健康7樓!G:G)</f>
        <v/>
      </c>
      <c r="K67" s="200" t="n">
        <v>0.07000000000000001</v>
      </c>
      <c r="L67" s="200" t="n">
        <v>0</v>
      </c>
      <c r="M67" s="200" t="n">
        <v>0.07000000000000001</v>
      </c>
      <c r="N67" s="200" t="n">
        <v>1.33</v>
      </c>
      <c r="O67" s="200" t="n">
        <v>1.93</v>
      </c>
      <c r="P67" s="200" t="n">
        <v>2.47</v>
      </c>
      <c r="Q67" s="200" t="n">
        <v>2.73</v>
      </c>
      <c r="R67" s="200" t="n">
        <v>3.47</v>
      </c>
      <c r="S67" s="200" t="n">
        <v>4.13</v>
      </c>
      <c r="T67" s="200" t="n">
        <v>4.73</v>
      </c>
      <c r="U67" s="200" t="n">
        <v>6.2</v>
      </c>
      <c r="V67" s="200" t="n">
        <v>7.33</v>
      </c>
      <c r="W67" s="200" t="n">
        <v>7.13</v>
      </c>
      <c r="X67" s="200" t="n">
        <v>4.53</v>
      </c>
      <c r="Y67" s="200" t="n">
        <v>4.2</v>
      </c>
      <c r="Z67" s="200" t="n">
        <v>5.67</v>
      </c>
      <c r="AA67" s="200" t="n">
        <v>5.27</v>
      </c>
      <c r="AB67" s="200" t="n">
        <v>5.8</v>
      </c>
      <c r="AC67" s="200" t="n">
        <v>6.67</v>
      </c>
      <c r="AD67" s="200" t="n">
        <v>8.199999999999999</v>
      </c>
      <c r="AE67" s="200" t="n">
        <v>6.87</v>
      </c>
      <c r="AF67" s="200" t="n">
        <v>8.07</v>
      </c>
      <c r="AG67" s="200" t="n">
        <v>7.2</v>
      </c>
      <c r="AH67" s="200" t="n">
        <v>6</v>
      </c>
      <c r="AI67" s="200" t="n">
        <v>6.87</v>
      </c>
      <c r="AJ67" s="221" t="n">
        <v>8.4</v>
      </c>
      <c r="AK67" s="221" t="n">
        <v>8.199999999999999</v>
      </c>
      <c r="AL67" s="221" t="n">
        <v>9.4</v>
      </c>
      <c r="AM67" s="221" t="n">
        <v>8.6</v>
      </c>
      <c r="AN67" s="221" t="n">
        <v>10.7333</v>
      </c>
      <c r="AO67" s="221" t="n">
        <v>12</v>
      </c>
      <c r="AP67" s="221" t="n">
        <v>15.4</v>
      </c>
      <c r="AQ67" s="221" t="n">
        <v>30.7333</v>
      </c>
      <c r="AR67" s="221" t="n">
        <v>25.53333333</v>
      </c>
      <c r="AS67" s="201" t="n">
        <v>24.8</v>
      </c>
      <c r="AT67" s="512" t="n">
        <v>27.8</v>
      </c>
      <c r="AU67" s="203">
        <f>435/D67</f>
        <v/>
      </c>
      <c r="AV67" s="204">
        <f>SUM(AJ67:AU67)</f>
        <v/>
      </c>
      <c r="AW67" s="513">
        <f>AV67/12</f>
        <v/>
      </c>
      <c r="AX67" s="203" t="n">
        <v>813</v>
      </c>
      <c r="AY67" s="203" t="n">
        <v>567</v>
      </c>
      <c r="AZ67" s="203" t="n">
        <v>731</v>
      </c>
      <c r="BA67" s="203" t="n">
        <v>552</v>
      </c>
      <c r="BB67" s="203" t="n">
        <v>572</v>
      </c>
      <c r="BC67" s="203">
        <f>SUMIFS(領用表!$L:$L,領用表!$A:$A,BC$2,領用表!$E:$E,B67)</f>
        <v/>
      </c>
      <c r="BD67" s="206">
        <f>SUMIFS(領用表!$L:$L,領用表!$E:$E,$B67,領用表!$B:$B,BC$2&amp;BD$2)</f>
        <v/>
      </c>
      <c r="BE67" s="206">
        <f>SUMIFS(領用表!$L:$L,領用表!$E:$E,$B67,領用表!$B:$B,$BC$2&amp;BE$2)</f>
        <v/>
      </c>
      <c r="BF67" s="206">
        <f>SUMIFS(領用表!$L:$L,領用表!$E:$E,$B67,領用表!$B:$B,$BC$2&amp;BF$2)</f>
        <v/>
      </c>
      <c r="BG67" s="206">
        <f>SUMIFS(領用表!$L:$L,領用表!$E:$E,$B67,領用表!$B:$B,$BC$2&amp;BG$2)</f>
        <v/>
      </c>
      <c r="BH67" s="203">
        <f>SUMIFS(領用表!$L:$L,領用表!$A:$A,BH$2,領用表!$E:$E,B67)</f>
        <v/>
      </c>
      <c r="BI67" s="260">
        <f>SUMIFS(領用表!$L:$L,領用表!$E:$E,$B67,領用表!$B:$B,BH$2&amp;BI$2)</f>
        <v/>
      </c>
      <c r="BJ67" s="260">
        <f>SUMIFS(領用表!$L:$L,領用表!$E:$E,$B67,領用表!$B:$B,$BH$2&amp;BJ$2)</f>
        <v/>
      </c>
      <c r="BK67" s="260">
        <f>SUMIFS(領用表!$L:$L,領用表!$E:$E,$B67,領用表!$B:$B,$BH$2&amp;BK$2)</f>
        <v/>
      </c>
      <c r="BL67" s="260">
        <f>SUMIFS(領用表!$L:$L,領用表!$E:$E,$B67,領用表!$B:$B,$BH$2&amp;BL$2)</f>
        <v/>
      </c>
      <c r="BM67" s="203">
        <f>SUMIFS(領用表!$L:$L,領用表!$A:$A,BM$2,領用表!$E:$E,B67)</f>
        <v/>
      </c>
      <c r="BN67" s="206">
        <f>SUMIFS(領用表!$L:$L,領用表!$E:$E,$B67,領用表!$B:$B,BM$2&amp;BN$2)</f>
        <v/>
      </c>
      <c r="BO67" s="206">
        <f>SUMIFS(領用表!$L:$L,領用表!$E:$E,$B67,領用表!$B:$B,$BM$2&amp;BO$2)</f>
        <v/>
      </c>
      <c r="BP67" s="206">
        <f>SUMIFS(領用表!$L:$L,領用表!$E:$E,$B67,領用表!$B:$B,$BM$2&amp;BP$2)</f>
        <v/>
      </c>
      <c r="BQ67" s="206">
        <f>SUMIFS(領用表!$L:$L,領用表!$E:$E,$B67,領用表!$B:$B,$BM$2&amp;BQ$2)</f>
        <v/>
      </c>
      <c r="BR67" s="203">
        <f>SUMIFS(領用表!$L:$L,領用表!$A:$A,BR$2,領用表!$E:$E,B67)</f>
        <v/>
      </c>
      <c r="BS67" s="206">
        <f>SUMIFS(領用表!$L:$L,領用表!$E:$E,$B67,領用表!$B:$B,BR$2&amp;BS$2)</f>
        <v/>
      </c>
      <c r="BT67" s="206">
        <f>SUMIFS(領用表!$L:$L,領用表!$E:$E,$B67,領用表!$B:$B,$BR$2&amp;BT$2)</f>
        <v/>
      </c>
      <c r="BU67" s="206">
        <f>SUMIFS(領用表!$L:$L,領用表!$E:$E,$B67,領用表!$B:$B,$BR$2&amp;BU$2)</f>
        <v/>
      </c>
      <c r="BV67" s="206">
        <f>SUMIFS(領用表!$L:$L,領用表!$E:$E,$B67,領用表!$B:$B,$BR$2&amp;BV$2)</f>
        <v/>
      </c>
      <c r="BW67" s="208">
        <f>SUMIFS(領用表!$L:$L,領用表!$A:$A,BW$2,領用表!$E:$E,B67)</f>
        <v/>
      </c>
      <c r="BX67" s="206">
        <f>SUMIFS(領用表!$L:$L,領用表!$E:$E,$B67,領用表!$B:$B,BW$2&amp;BX$2)</f>
        <v/>
      </c>
      <c r="BY67" s="206">
        <f>SUMIFS(領用表!$L:$L,領用表!$E:$E,$B67,領用表!$B:$B,$BW$2&amp;BY$2)</f>
        <v/>
      </c>
      <c r="BZ67" s="206">
        <f>SUMIFS(領用表!$L:$L,領用表!$E:$E,$B67,領用表!$B:$B,$BW$2&amp;BZ$2)</f>
        <v/>
      </c>
      <c r="CA67" s="206">
        <f>SUMIFS(領用表!$L:$L,領用表!$E:$E,$B67,領用表!$B:$B,$BW$2&amp;CA$2)</f>
        <v/>
      </c>
      <c r="CB67" s="208">
        <f>SUMIFS(領用表!$L:$L,領用表!$A:$A,CB$2,領用表!$E:$E,B67)</f>
        <v/>
      </c>
      <c r="CC67" s="206">
        <f>SUMIFS(領用表!$L:$L,領用表!$E:$E,$B67,領用表!$B:$B,CB$2&amp;CC$2)</f>
        <v/>
      </c>
      <c r="CD67" s="206">
        <f>SUMIFS(領用表!$L:$L,領用表!$E:$E,$B67,領用表!$B:$B,$CB$2&amp;CD$2)</f>
        <v/>
      </c>
      <c r="CE67" s="206">
        <f>SUMIFS(領用表!$L:$L,領用表!$E:$E,$B67,領用表!$B:$B,$CB$2&amp;CE$2)</f>
        <v/>
      </c>
      <c r="CF67" s="206">
        <f>SUMIFS(領用表!$L:$L,領用表!$E:$E,$B67,領用表!$B:$B,$CB$2&amp;CF$2)</f>
        <v/>
      </c>
      <c r="CG67" s="208">
        <f>SUMIFS(領用表!$L:$L,領用表!$A:$A,CG$2,領用表!$E:$E,B67)</f>
        <v/>
      </c>
      <c r="CH67" s="206">
        <f>SUMIFS(領用表!$L:$L,領用表!$E:$E,$B67,領用表!$B:$B,CG$2&amp;CH$2)</f>
        <v/>
      </c>
      <c r="CI67" s="206">
        <f>SUMIFS(領用表!$L:$L,領用表!$E:$E,$B67,領用表!$B:$B,CG$2&amp;CI$2)</f>
        <v/>
      </c>
      <c r="CJ67" s="206">
        <f>SUMIFS(領用表!$L:$L,領用表!$E:$E,$B67,領用表!$B:$B,CG$2&amp;CJ$2)</f>
        <v/>
      </c>
      <c r="CK67" s="206">
        <f>SUMIFS(領用表!$L:$L,領用表!$E:$E,$B67,領用表!$B:$B,$CG$2&amp;CK$2)</f>
        <v/>
      </c>
      <c r="CL67" s="207">
        <f>SUM(AX67,AY67,AZ67,BA67,BB67,BC67,BH67,BM67,BR67,BW67,CB67,CG67)</f>
        <v/>
      </c>
      <c r="CM67" s="207">
        <f>AVERAGE(AX67,AY67,AZ67,BA67,BB67,BC67,BH67,BM67,BR67,BW67,CB67,CG67)</f>
        <v/>
      </c>
      <c r="CN67" s="208">
        <f>SUMIFS(領用表!$L:$L,領用表!$A:$A,CN$2,領用表!$E:$E,B67)</f>
        <v/>
      </c>
      <c r="CO67" s="206">
        <f>SUMIFS(領用表!$L:$L,領用表!$E:$E,$B67,領用表!$B:$B,CN$2&amp;CO$2)</f>
        <v/>
      </c>
      <c r="CP67" s="206">
        <f>SUMIFS(領用表!$L:$L,領用表!$E:$E,$B67,領用表!$B:$B,$CN$2&amp;CP$2)</f>
        <v/>
      </c>
      <c r="CQ67" s="206">
        <f>SUMIFS(領用表!$L:$L,領用表!$E:$E,$B67,領用表!$B:$B,$CN$2&amp;CQ$2)</f>
        <v/>
      </c>
      <c r="CR67" s="206">
        <f>SUMIFS(領用表!$L:$L,領用表!$E:$E,$B67,領用表!$B:$B,$CN$2&amp;CR$2)</f>
        <v/>
      </c>
      <c r="CS67" s="208">
        <f>SUMIFS(領用表!$L:$L,領用表!$A:$A,CS$2,領用表!$E:$E,B67)</f>
        <v/>
      </c>
      <c r="CT67" s="206">
        <f>SUMIFS(領用表!$L:$L,領用表!$E:$E,$B67,領用表!$B:$B,CS$2&amp;CT$2)</f>
        <v/>
      </c>
      <c r="CU67" s="206">
        <f>SUMIFS(領用表!$L:$L,領用表!$E:$E,$B67,領用表!$B:$B,$CS$2&amp;CU$2)</f>
        <v/>
      </c>
      <c r="CV67" s="206">
        <f>SUMIFS(領用表!$L:$L,領用表!$E:$E,$B67,領用表!$B:$B,$CS$2&amp;CV$2)</f>
        <v/>
      </c>
      <c r="CW67" s="206">
        <f>SUMIFS(領用表!$L:$L,領用表!$E:$E,$B67,領用表!$B:$B,$CS$2&amp;CW$2)</f>
        <v/>
      </c>
      <c r="CX67" s="206">
        <f>SUMIFS(領用表!$L:$L,領用表!$E:$E,$B67,領用表!$B:$B,$CS$2&amp;CX$2)</f>
        <v/>
      </c>
      <c r="CY67" s="208">
        <f>SUMIFS(領用表!$L:$L,領用表!$A:$A,CY$2,領用表!$E:$E,B67)</f>
        <v/>
      </c>
      <c r="CZ67" s="206">
        <f>SUMIFS(領用表!$L:$L,領用表!$E:$E,$B67,領用表!$B:$B,CY$2&amp;CZ$2)</f>
        <v/>
      </c>
      <c r="DA67" s="206">
        <f>SUMIFS(領用表!$L:$L,領用表!$E:$E,$B67,領用表!$B:$B,$CY$2&amp;DA$2)</f>
        <v/>
      </c>
      <c r="DB67" s="206">
        <f>SUMIFS(領用表!$L:$L,領用表!$E:$E,$B67,領用表!$B:$B,$CY$2&amp;DB$2)</f>
        <v/>
      </c>
      <c r="DC67" s="206">
        <f>SUMIFS(領用表!$L:$L,領用表!$E:$E,$B67,領用表!$B:$B,$CY$2&amp;DC$2)</f>
        <v/>
      </c>
      <c r="DD67" s="206">
        <f>SUMIFS(領用表!$L:$L,領用表!$E:$E,$B67,領用表!$B:$B,$CY$2&amp;DD$2)</f>
        <v/>
      </c>
      <c r="DE67" s="208">
        <f>SUMIFS(領用表!$L:$L,領用表!$A:$A,DE$2,領用表!$E:$E,B67)</f>
        <v/>
      </c>
      <c r="DF67" s="206">
        <f>SUMIFS(領用表!$L:$L,領用表!$E:$E,$B67,領用表!$B:$B,DE$2&amp;DF$2)</f>
        <v/>
      </c>
      <c r="DG67" s="206">
        <f>SUMIFS(領用表!$L:$L,領用表!$E:$E,$B67,領用表!$B:$B,$DE$2&amp;DG$2)</f>
        <v/>
      </c>
      <c r="DH67" s="206">
        <f>SUMIFS(領用表!$L:$L,領用表!$E:$E,$B67,領用表!$B:$B,$DE$2&amp;DH$2)</f>
        <v/>
      </c>
      <c r="DI67" s="206">
        <f>SUMIFS(領用表!$L:$L,領用表!$E:$E,$B67,領用表!$B:$B,$DE$2&amp;DI$2)</f>
        <v/>
      </c>
      <c r="DJ67" s="206">
        <f>SUMIFS(領用表!$L:$L,領用表!$E:$E,$B67,領用表!$B:$B,$DE$2&amp;DJ$2)</f>
        <v/>
      </c>
      <c r="DK67" s="208">
        <f>SUMIFS(領用表!$L:$L,領用表!$A:$A,DK$2,領用表!$E:$E,$B67)</f>
        <v/>
      </c>
      <c r="DL67" s="206">
        <f>SUMIFS(領用表!$L:$L,領用表!$E:$E,$B67,領用表!$B:$B,DK$2&amp;DL$2)</f>
        <v/>
      </c>
      <c r="DM67" s="206">
        <f>SUMIFS(領用表!$L:$L,領用表!$E:$E,$B67,領用表!$B:$B,$DK$2&amp;DM$2)</f>
        <v/>
      </c>
      <c r="DN67" s="206">
        <f>SUMIFS(領用表!$L:$L,領用表!$E:$E,$B67,領用表!$B:$B,$DK$2&amp;DN$2)</f>
        <v/>
      </c>
      <c r="DO67" s="206">
        <f>SUMIFS(領用表!$L:$L,領用表!$E:$E,$B67,領用表!$B:$B,$DK$2&amp;DO$2)</f>
        <v/>
      </c>
      <c r="DP67" s="206">
        <f>SUMIFS(領用表!$L:$L,領用表!$E:$E,$B67,領用表!$B:$B,$DK$2&amp;DP$2)</f>
        <v/>
      </c>
      <c r="DQ67" s="208" t="n">
        <v>422</v>
      </c>
      <c r="DR67" s="206" t="n">
        <v>137</v>
      </c>
      <c r="DS67" s="206" t="n"/>
      <c r="DT67" s="206" t="n">
        <v>186</v>
      </c>
      <c r="DU67" s="206" t="n"/>
      <c r="DV67" s="206" t="n">
        <v>99</v>
      </c>
      <c r="DW67" s="206">
        <f>SUM(CN67,CS67,CY67,DE67,DK67,DQ67)</f>
        <v/>
      </c>
      <c r="DX67" s="206">
        <f>AVERAGEA(CN67,CS67,CY67,DE67,DK67,DQ67)</f>
        <v/>
      </c>
      <c r="DY67" s="206">
        <f>SUM(DZ67:EC67)</f>
        <v/>
      </c>
      <c r="DZ67" s="206" t="n">
        <v>550</v>
      </c>
      <c r="EA67" s="206" t="n">
        <v>0</v>
      </c>
      <c r="EB67" s="206" t="n">
        <v>900</v>
      </c>
      <c r="EC67" s="206" t="n">
        <v>0</v>
      </c>
      <c r="ED67" s="209" t="n">
        <v>600</v>
      </c>
      <c r="EE67" s="514" t="n"/>
      <c r="EF67" s="254" t="inlineStr">
        <is>
          <t>825(10/23)</t>
        </is>
      </c>
      <c r="EG67" s="254" t="inlineStr">
        <is>
          <t>750(10/23)</t>
        </is>
      </c>
      <c r="EH67" s="136" t="inlineStr">
        <is>
          <t>已無一代</t>
        </is>
      </c>
      <c r="EI67" s="136" t="n"/>
      <c r="EJ67" s="118">
        <f>IFERROR(VLOOKUP(A67,站前4樓!A:BF,57,0),0)</f>
        <v/>
      </c>
      <c r="EK67" s="213">
        <f>IFERROR(VLOOKUP(A67,站前11樓!A:BE,57,0),0)</f>
        <v/>
      </c>
      <c r="EL67" s="118">
        <f>IFERROR(VLOOKUP(A67,忠孝7樓!A:N,57,0),0)</f>
        <v/>
      </c>
      <c r="EM67" s="118">
        <f>IFERROR(VLOOKUP(A67,忠孝國際醫學3樓!A:L,57,0),0)</f>
        <v/>
      </c>
      <c r="EN67" s="118">
        <f>SUM(ED67:EG67)</f>
        <v/>
      </c>
      <c r="EP67" s="118" t="n">
        <v>516</v>
      </c>
      <c r="EQ67" s="118" t="n">
        <v>760</v>
      </c>
    </row>
    <row r="68" ht="15.75" customFormat="1" customHeight="1" s="118">
      <c r="A68" s="136" t="inlineStr">
        <is>
          <t>MP1MD070012A</t>
        </is>
      </c>
      <c r="B68" s="118" t="n">
        <v>6220012</v>
      </c>
      <c r="C68" s="118" t="inlineStr">
        <is>
          <t>海菲秀 Activ-4 Skin Solution (ml) 二代</t>
        </is>
      </c>
      <c r="D68" s="207" t="n">
        <v>236</v>
      </c>
      <c r="E68" s="198" t="inlineStr">
        <is>
          <t>ML</t>
        </is>
      </c>
      <c r="F68" s="225">
        <f>SUMIF(站前4樓!B:B,B68,站前4樓!F:F)</f>
        <v/>
      </c>
      <c r="G68" s="225">
        <f>SUMIF(站前11樓!B:B,B68,站前11樓!F:F)</f>
        <v/>
      </c>
      <c r="H68" s="225">
        <f>SUMIF(忠孝7樓!B:B,B68,忠孝7樓!G:G)</f>
        <v/>
      </c>
      <c r="I68" s="225">
        <f>SUMIF(忠孝國際醫學3樓!B:B,B68,忠孝國際醫學3樓!G:G)</f>
        <v/>
      </c>
      <c r="J68" s="225">
        <f>SUMIF(忠孝健康7樓!B:B,B68,忠孝健康7樓!G:G)</f>
        <v/>
      </c>
      <c r="K68" s="200" t="n"/>
      <c r="L68" s="200" t="n"/>
      <c r="M68" s="200" t="n"/>
      <c r="N68" s="200" t="n"/>
      <c r="O68" s="200" t="n"/>
      <c r="P68" s="200" t="n"/>
      <c r="Q68" s="200" t="n"/>
      <c r="R68" s="200" t="n"/>
      <c r="S68" s="200" t="n"/>
      <c r="T68" s="200" t="n"/>
      <c r="U68" s="200" t="n"/>
      <c r="V68" s="200" t="n"/>
      <c r="W68" s="200" t="n"/>
      <c r="X68" s="200" t="n"/>
      <c r="Y68" s="200" t="n"/>
      <c r="Z68" s="200" t="n"/>
      <c r="AA68" s="200" t="n"/>
      <c r="AB68" s="200" t="n"/>
      <c r="AC68" s="200" t="n"/>
      <c r="AD68" s="200" t="n"/>
      <c r="AE68" s="200" t="n"/>
      <c r="AF68" s="200" t="n"/>
      <c r="AG68" s="200" t="n"/>
      <c r="AH68" s="200" t="n"/>
      <c r="AI68" s="200" t="n"/>
      <c r="AJ68" s="201" t="n">
        <v>11</v>
      </c>
      <c r="AK68" s="201" t="n">
        <v>9</v>
      </c>
      <c r="AL68" s="201" t="n">
        <v>10</v>
      </c>
      <c r="AM68" s="201" t="n">
        <v>10</v>
      </c>
      <c r="AN68" s="201" t="n">
        <v>8</v>
      </c>
      <c r="AO68" s="201" t="n">
        <v>33</v>
      </c>
      <c r="AP68" s="201" t="n">
        <v>10</v>
      </c>
      <c r="AQ68" s="201" t="n">
        <v>41</v>
      </c>
      <c r="AR68" s="201" t="n">
        <v>34</v>
      </c>
      <c r="AS68" s="201" t="n">
        <v>24</v>
      </c>
      <c r="AT68" s="201" t="n">
        <v>25</v>
      </c>
      <c r="AU68" s="203">
        <f>6608/D68</f>
        <v/>
      </c>
      <c r="AV68" s="204">
        <f>SUM(AJ68:AU68)</f>
        <v/>
      </c>
      <c r="AW68" s="513">
        <f>AV68/12</f>
        <v/>
      </c>
      <c r="AX68" s="203" t="n">
        <v>6136</v>
      </c>
      <c r="AY68" s="203" t="n">
        <v>6608</v>
      </c>
      <c r="AZ68" s="203" t="n">
        <v>7316</v>
      </c>
      <c r="BA68" s="203" t="n">
        <v>6372</v>
      </c>
      <c r="BB68" s="203" t="n">
        <v>7316</v>
      </c>
      <c r="BC68" s="203">
        <f>SUMIFS(領用表!$L:$L,領用表!$A:$A,BC$2,領用表!$E:$E,B68)</f>
        <v/>
      </c>
      <c r="BD68" s="206">
        <f>SUMIFS(領用表!$L:$L,領用表!$E:$E,$B68,領用表!$B:$B,BC$2&amp;BD$2)</f>
        <v/>
      </c>
      <c r="BE68" s="206">
        <f>SUMIFS(領用表!$L:$L,領用表!$E:$E,$B68,領用表!$B:$B,$BC$2&amp;BE$2)</f>
        <v/>
      </c>
      <c r="BF68" s="206">
        <f>SUMIFS(領用表!$L:$L,領用表!$E:$E,$B68,領用表!$B:$B,$BC$2&amp;BF$2)</f>
        <v/>
      </c>
      <c r="BG68" s="206">
        <f>SUMIFS(領用表!$L:$L,領用表!$E:$E,$B68,領用表!$B:$B,$BC$2&amp;BG$2)</f>
        <v/>
      </c>
      <c r="BH68" s="203">
        <f>SUMIFS(領用表!$L:$L,領用表!$A:$A,BH$2,領用表!$E:$E,B68)</f>
        <v/>
      </c>
      <c r="BI68" s="260">
        <f>SUMIFS(領用表!$L:$L,領用表!$E:$E,$B68,領用表!$B:$B,BH$2&amp;BI$2)</f>
        <v/>
      </c>
      <c r="BJ68" s="260">
        <f>SUMIFS(領用表!$L:$L,領用表!$E:$E,$B68,領用表!$B:$B,$BH$2&amp;BJ$2)</f>
        <v/>
      </c>
      <c r="BK68" s="260">
        <f>SUMIFS(領用表!$L:$L,領用表!$E:$E,$B68,領用表!$B:$B,$BH$2&amp;BK$2)</f>
        <v/>
      </c>
      <c r="BL68" s="260">
        <f>SUMIFS(領用表!$L:$L,領用表!$E:$E,$B68,領用表!$B:$B,$BH$2&amp;BL$2)</f>
        <v/>
      </c>
      <c r="BM68" s="203">
        <f>SUMIFS(領用表!$L:$L,領用表!$A:$A,BM$2,領用表!$E:$E,B68)</f>
        <v/>
      </c>
      <c r="BN68" s="206">
        <f>SUMIFS(領用表!$L:$L,領用表!$E:$E,$B68,領用表!$B:$B,BM$2&amp;BN$2)</f>
        <v/>
      </c>
      <c r="BO68" s="206">
        <f>SUMIFS(領用表!$L:$L,領用表!$E:$E,$B68,領用表!$B:$B,$BM$2&amp;BO$2)</f>
        <v/>
      </c>
      <c r="BP68" s="206">
        <f>SUMIFS(領用表!$L:$L,領用表!$E:$E,$B68,領用表!$B:$B,$BM$2&amp;BP$2)</f>
        <v/>
      </c>
      <c r="BQ68" s="206">
        <f>SUMIFS(領用表!$L:$L,領用表!$E:$E,$B68,領用表!$B:$B,$BM$2&amp;BQ$2)</f>
        <v/>
      </c>
      <c r="BR68" s="203">
        <f>SUMIFS(領用表!$L:$L,領用表!$A:$A,BR$2,領用表!$E:$E,B68)</f>
        <v/>
      </c>
      <c r="BS68" s="206">
        <f>SUMIFS(領用表!$L:$L,領用表!$E:$E,$B68,領用表!$B:$B,BR$2&amp;BS$2)</f>
        <v/>
      </c>
      <c r="BT68" s="206">
        <f>SUMIFS(領用表!$L:$L,領用表!$E:$E,$B68,領用表!$B:$B,$BR$2&amp;BT$2)</f>
        <v/>
      </c>
      <c r="BU68" s="206">
        <f>SUMIFS(領用表!$L:$L,領用表!$E:$E,$B68,領用表!$B:$B,$BR$2&amp;BU$2)</f>
        <v/>
      </c>
      <c r="BV68" s="206">
        <f>SUMIFS(領用表!$L:$L,領用表!$E:$E,$B68,領用表!$B:$B,$BR$2&amp;BV$2)</f>
        <v/>
      </c>
      <c r="BW68" s="208">
        <f>SUMIFS(領用表!$L:$L,領用表!$A:$A,BW$2,領用表!$E:$E,B68)</f>
        <v/>
      </c>
      <c r="BX68" s="206">
        <f>SUMIFS(領用表!$L:$L,領用表!$E:$E,$B68,領用表!$B:$B,BW$2&amp;BX$2)</f>
        <v/>
      </c>
      <c r="BY68" s="206">
        <f>SUMIFS(領用表!$L:$L,領用表!$E:$E,$B68,領用表!$B:$B,$BW$2&amp;BY$2)</f>
        <v/>
      </c>
      <c r="BZ68" s="206">
        <f>SUMIFS(領用表!$L:$L,領用表!$E:$E,$B68,領用表!$B:$B,$BW$2&amp;BZ$2)</f>
        <v/>
      </c>
      <c r="CA68" s="206">
        <f>SUMIFS(領用表!$L:$L,領用表!$E:$E,$B68,領用表!$B:$B,$BW$2&amp;CA$2)</f>
        <v/>
      </c>
      <c r="CB68" s="208">
        <f>SUMIFS(領用表!$L:$L,領用表!$A:$A,CB$2,領用表!$E:$E,B68)</f>
        <v/>
      </c>
      <c r="CC68" s="206">
        <f>SUMIFS(領用表!$L:$L,領用表!$E:$E,$B68,領用表!$B:$B,CB$2&amp;CC$2)</f>
        <v/>
      </c>
      <c r="CD68" s="206">
        <f>SUMIFS(領用表!$L:$L,領用表!$E:$E,$B68,領用表!$B:$B,$CB$2&amp;CD$2)</f>
        <v/>
      </c>
      <c r="CE68" s="206">
        <f>SUMIFS(領用表!$L:$L,領用表!$E:$E,$B68,領用表!$B:$B,$CB$2&amp;CE$2)</f>
        <v/>
      </c>
      <c r="CF68" s="206">
        <f>SUMIFS(領用表!$L:$L,領用表!$E:$E,$B68,領用表!$B:$B,$CB$2&amp;CF$2)</f>
        <v/>
      </c>
      <c r="CG68" s="208">
        <f>SUMIFS(領用表!$L:$L,領用表!$A:$A,CG$2,領用表!$E:$E,B68)</f>
        <v/>
      </c>
      <c r="CH68" s="206">
        <f>SUMIFS(領用表!$L:$L,領用表!$E:$E,$B68,領用表!$B:$B,CG$2&amp;CH$2)</f>
        <v/>
      </c>
      <c r="CI68" s="206">
        <f>SUMIFS(領用表!$L:$L,領用表!$E:$E,$B68,領用表!$B:$B,CG$2&amp;CI$2)</f>
        <v/>
      </c>
      <c r="CJ68" s="206">
        <f>SUMIFS(領用表!$L:$L,領用表!$E:$E,$B68,領用表!$B:$B,CG$2&amp;CJ$2)</f>
        <v/>
      </c>
      <c r="CK68" s="206">
        <f>SUMIFS(領用表!$L:$L,領用表!$E:$E,$B68,領用表!$B:$B,$CG$2&amp;CK$2)</f>
        <v/>
      </c>
      <c r="CL68" s="207">
        <f>SUM(AX68,AY68,AZ68,BA68,BB68,BC68,BH68,BM68,BR68,BW68,CB68,CG68)</f>
        <v/>
      </c>
      <c r="CM68" s="207">
        <f>AVERAGE(AX68,AY68,AZ68,BA68,BB68,BC68,BH68,BM68,BR68,BW68,CB68,CG68)</f>
        <v/>
      </c>
      <c r="CN68" s="208">
        <f>SUMIFS(領用表!$L:$L,領用表!$A:$A,CN$2,領用表!$E:$E,B68)</f>
        <v/>
      </c>
      <c r="CO68" s="206">
        <f>SUMIFS(領用表!$L:$L,領用表!$E:$E,$B68,領用表!$B:$B,CN$2&amp;CO$2)</f>
        <v/>
      </c>
      <c r="CP68" s="206">
        <f>SUMIFS(領用表!$L:$L,領用表!$E:$E,$B68,領用表!$B:$B,$CN$2&amp;CP$2)</f>
        <v/>
      </c>
      <c r="CQ68" s="206">
        <f>SUMIFS(領用表!$L:$L,領用表!$E:$E,$B68,領用表!$B:$B,$CN$2&amp;CQ$2)</f>
        <v/>
      </c>
      <c r="CR68" s="206">
        <f>SUMIFS(領用表!$L:$L,領用表!$E:$E,$B68,領用表!$B:$B,$CN$2&amp;CR$2)</f>
        <v/>
      </c>
      <c r="CS68" s="208">
        <f>SUMIFS(領用表!$L:$L,領用表!$A:$A,CS$2,領用表!$E:$E,B68)</f>
        <v/>
      </c>
      <c r="CT68" s="206">
        <f>SUMIFS(領用表!$L:$L,領用表!$E:$E,$B68,領用表!$B:$B,CS$2&amp;CT$2)</f>
        <v/>
      </c>
      <c r="CU68" s="206">
        <f>SUMIFS(領用表!$L:$L,領用表!$E:$E,$B68,領用表!$B:$B,$CS$2&amp;CU$2)</f>
        <v/>
      </c>
      <c r="CV68" s="206">
        <f>SUMIFS(領用表!$L:$L,領用表!$E:$E,$B68,領用表!$B:$B,$CS$2&amp;CV$2)</f>
        <v/>
      </c>
      <c r="CW68" s="206">
        <f>SUMIFS(領用表!$L:$L,領用表!$E:$E,$B68,領用表!$B:$B,$CS$2&amp;CW$2)</f>
        <v/>
      </c>
      <c r="CX68" s="206">
        <f>SUMIFS(領用表!$L:$L,領用表!$E:$E,$B68,領用表!$B:$B,$CS$2&amp;CX$2)</f>
        <v/>
      </c>
      <c r="CY68" s="208">
        <f>SUMIFS(領用表!$L:$L,領用表!$A:$A,CY$2,領用表!$E:$E,B68)</f>
        <v/>
      </c>
      <c r="CZ68" s="206">
        <f>SUMIFS(領用表!$L:$L,領用表!$E:$E,$B68,領用表!$B:$B,CY$2&amp;CZ$2)</f>
        <v/>
      </c>
      <c r="DA68" s="206">
        <f>SUMIFS(領用表!$L:$L,領用表!$E:$E,$B68,領用表!$B:$B,$CY$2&amp;DA$2)</f>
        <v/>
      </c>
      <c r="DB68" s="206">
        <f>SUMIFS(領用表!$L:$L,領用表!$E:$E,$B68,領用表!$B:$B,$CY$2&amp;DB$2)</f>
        <v/>
      </c>
      <c r="DC68" s="206">
        <f>SUMIFS(領用表!$L:$L,領用表!$E:$E,$B68,領用表!$B:$B,$CY$2&amp;DC$2)</f>
        <v/>
      </c>
      <c r="DD68" s="206">
        <f>SUMIFS(領用表!$L:$L,領用表!$E:$E,$B68,領用表!$B:$B,$CY$2&amp;DD$2)</f>
        <v/>
      </c>
      <c r="DE68" s="208">
        <f>SUMIFS(領用表!$L:$L,領用表!$A:$A,DE$2,領用表!$E:$E,B68)</f>
        <v/>
      </c>
      <c r="DF68" s="206">
        <f>SUMIFS(領用表!$L:$L,領用表!$E:$E,$B68,領用表!$B:$B,DE$2&amp;DF$2)</f>
        <v/>
      </c>
      <c r="DG68" s="206">
        <f>SUMIFS(領用表!$L:$L,領用表!$E:$E,$B68,領用表!$B:$B,$DE$2&amp;DG$2)</f>
        <v/>
      </c>
      <c r="DH68" s="206">
        <f>SUMIFS(領用表!$L:$L,領用表!$E:$E,$B68,領用表!$B:$B,$DE$2&amp;DH$2)</f>
        <v/>
      </c>
      <c r="DI68" s="206">
        <f>SUMIFS(領用表!$L:$L,領用表!$E:$E,$B68,領用表!$B:$B,$DE$2&amp;DI$2)</f>
        <v/>
      </c>
      <c r="DJ68" s="206">
        <f>SUMIFS(領用表!$L:$L,領用表!$E:$E,$B68,領用表!$B:$B,$DE$2&amp;DJ$2)</f>
        <v/>
      </c>
      <c r="DK68" s="208">
        <f>SUMIFS(領用表!$L:$L,領用表!$A:$A,DK$2,領用表!$E:$E,$B68)</f>
        <v/>
      </c>
      <c r="DL68" s="206">
        <f>SUMIFS(領用表!$L:$L,領用表!$E:$E,$B68,領用表!$B:$B,DK$2&amp;DL$2)</f>
        <v/>
      </c>
      <c r="DM68" s="206">
        <f>SUMIFS(領用表!$L:$L,領用表!$E:$E,$B68,領用表!$B:$B,$DK$2&amp;DM$2)</f>
        <v/>
      </c>
      <c r="DN68" s="206">
        <f>SUMIFS(領用表!$L:$L,領用表!$E:$E,$B68,領用表!$B:$B,$DK$2&amp;DN$2)</f>
        <v/>
      </c>
      <c r="DO68" s="206">
        <f>SUMIFS(領用表!$L:$L,領用表!$E:$E,$B68,領用表!$B:$B,$DK$2&amp;DO$2)</f>
        <v/>
      </c>
      <c r="DP68" s="206">
        <f>SUMIFS(領用表!$L:$L,領用表!$E:$E,$B68,領用表!$B:$B,$DK$2&amp;DP$2)</f>
        <v/>
      </c>
      <c r="DQ68" s="208" t="n">
        <v>6330</v>
      </c>
      <c r="DR68" s="206" t="n">
        <v>2055</v>
      </c>
      <c r="DS68" s="206" t="n"/>
      <c r="DT68" s="206" t="n">
        <v>2790</v>
      </c>
      <c r="DU68" s="206" t="n"/>
      <c r="DV68" s="206" t="n">
        <v>1485</v>
      </c>
      <c r="DW68" s="206">
        <f>SUM(CN68,CS68,CY68,DE68,DK68,DQ68)</f>
        <v/>
      </c>
      <c r="DX68" s="206">
        <f>AVERAGEA(CN68,CS68,CY68,DE68,DK68,DQ68)</f>
        <v/>
      </c>
      <c r="DY68" s="206">
        <f>SUM(DZ68:EC68)</f>
        <v/>
      </c>
      <c r="DZ68" s="206" t="n">
        <v>8250</v>
      </c>
      <c r="EA68" s="206" t="n">
        <v>0</v>
      </c>
      <c r="EB68" s="206" t="n">
        <v>13500</v>
      </c>
      <c r="EC68" s="206" t="n">
        <v>0</v>
      </c>
      <c r="ED68" s="209" t="n">
        <v>18880</v>
      </c>
      <c r="EE68" s="514" t="n"/>
      <c r="EF68" s="254" t="inlineStr">
        <is>
          <t>70瓶(10/23)</t>
        </is>
      </c>
      <c r="EG68" s="254" t="inlineStr">
        <is>
          <t>80瓶(10/23)</t>
        </is>
      </c>
      <c r="EH68" s="136" t="inlineStr">
        <is>
          <t>已無一代</t>
        </is>
      </c>
      <c r="EI68" s="212" t="n"/>
      <c r="EJ68" s="118">
        <f>IFERROR(VLOOKUP(A68,站前4樓!A:BF,57,0),0)</f>
        <v/>
      </c>
      <c r="EK68" s="213">
        <f>IFERROR(VLOOKUP(A68,站前11樓!A:BE,57,0),0)</f>
        <v/>
      </c>
      <c r="EL68" s="118">
        <f>IFERROR(VLOOKUP(A68,忠孝7樓!A:N,57,0),0)</f>
        <v/>
      </c>
      <c r="EM68" s="118">
        <f>IFERROR(VLOOKUP(A68,忠孝國際醫學3樓!A:L,57,0),0)</f>
        <v/>
      </c>
      <c r="EN68" s="118">
        <f>SUM(ED68:EG68)</f>
        <v/>
      </c>
      <c r="EP68" s="118" t="n">
        <v>17936</v>
      </c>
      <c r="EQ68" s="118" t="n">
        <v>27612</v>
      </c>
    </row>
    <row r="69" ht="15.75" customFormat="1" customHeight="1" s="118">
      <c r="A69" s="136" t="inlineStr">
        <is>
          <t>MP1MD070013A</t>
        </is>
      </c>
      <c r="B69" s="118" t="n">
        <v>6220013</v>
      </c>
      <c r="C69" s="118" t="inlineStr">
        <is>
          <t>海菲秀 Beta-HD Skin Solution (ml) 二代</t>
        </is>
      </c>
      <c r="D69" s="207" t="n">
        <v>236</v>
      </c>
      <c r="E69" s="198" t="inlineStr">
        <is>
          <t>ML</t>
        </is>
      </c>
      <c r="F69" s="225">
        <f>SUMIF(站前4樓!B:B,B69,站前4樓!F:F)</f>
        <v/>
      </c>
      <c r="G69" s="225">
        <f>SUMIF(站前11樓!B:B,B69,站前11樓!F:F)</f>
        <v/>
      </c>
      <c r="H69" s="225">
        <f>SUMIF(忠孝7樓!B:B,B69,忠孝7樓!G:G)</f>
        <v/>
      </c>
      <c r="I69" s="225">
        <f>SUMIF(忠孝國際醫學3樓!B:B,B69,忠孝國際醫學3樓!G:G)</f>
        <v/>
      </c>
      <c r="J69" s="225">
        <f>SUMIF(忠孝健康7樓!B:B,B69,忠孝健康7樓!G:G)</f>
        <v/>
      </c>
      <c r="K69" s="200" t="n"/>
      <c r="L69" s="200" t="n"/>
      <c r="M69" s="200" t="n"/>
      <c r="N69" s="200" t="n"/>
      <c r="O69" s="200" t="n"/>
      <c r="P69" s="200" t="n"/>
      <c r="Q69" s="200" t="n"/>
      <c r="R69" s="200" t="n"/>
      <c r="S69" s="200" t="n"/>
      <c r="T69" s="200" t="n"/>
      <c r="U69" s="200" t="n"/>
      <c r="V69" s="200" t="n"/>
      <c r="W69" s="200" t="n"/>
      <c r="X69" s="200" t="n"/>
      <c r="Y69" s="200" t="n"/>
      <c r="Z69" s="200" t="n"/>
      <c r="AA69" s="200" t="n"/>
      <c r="AB69" s="200" t="n"/>
      <c r="AC69" s="200" t="n"/>
      <c r="AD69" s="200" t="n"/>
      <c r="AE69" s="200" t="n"/>
      <c r="AF69" s="200" t="n"/>
      <c r="AG69" s="200" t="n"/>
      <c r="AH69" s="200" t="n"/>
      <c r="AI69" s="200" t="n"/>
      <c r="AJ69" s="201" t="n">
        <v>4</v>
      </c>
      <c r="AK69" s="201" t="n">
        <v>11</v>
      </c>
      <c r="AL69" s="201" t="n">
        <v>11</v>
      </c>
      <c r="AM69" s="201" t="n">
        <v>15</v>
      </c>
      <c r="AN69" s="201" t="n">
        <v>15</v>
      </c>
      <c r="AO69" s="201" t="n">
        <v>42</v>
      </c>
      <c r="AP69" s="201" t="n">
        <v>24</v>
      </c>
      <c r="AQ69" s="201" t="n">
        <v>45</v>
      </c>
      <c r="AR69" s="201" t="n">
        <v>57</v>
      </c>
      <c r="AS69" s="201" t="n">
        <v>47</v>
      </c>
      <c r="AT69" s="201" t="n">
        <v>38</v>
      </c>
      <c r="AU69" s="203">
        <f>8968/D69</f>
        <v/>
      </c>
      <c r="AV69" s="204">
        <f>SUM(AJ69:AU69)</f>
        <v/>
      </c>
      <c r="AW69" s="513">
        <f>AV69/12</f>
        <v/>
      </c>
      <c r="AX69" s="203" t="n">
        <v>11800</v>
      </c>
      <c r="AY69" s="203" t="n">
        <v>12272</v>
      </c>
      <c r="AZ69" s="203" t="n">
        <v>12744</v>
      </c>
      <c r="BA69" s="203" t="n">
        <v>11092</v>
      </c>
      <c r="BB69" s="203" t="n">
        <v>11328</v>
      </c>
      <c r="BC69" s="203">
        <f>SUMIFS(領用表!$L:$L,領用表!$A:$A,BC$2,領用表!$E:$E,B69)</f>
        <v/>
      </c>
      <c r="BD69" s="206">
        <f>SUMIFS(領用表!$L:$L,領用表!$E:$E,$B69,領用表!$B:$B,BC$2&amp;BD$2)</f>
        <v/>
      </c>
      <c r="BE69" s="206">
        <f>SUMIFS(領用表!$L:$L,領用表!$E:$E,$B69,領用表!$B:$B,$BC$2&amp;BE$2)</f>
        <v/>
      </c>
      <c r="BF69" s="206">
        <f>SUMIFS(領用表!$L:$L,領用表!$E:$E,$B69,領用表!$B:$B,$BC$2&amp;BF$2)</f>
        <v/>
      </c>
      <c r="BG69" s="206">
        <f>SUMIFS(領用表!$L:$L,領用表!$E:$E,$B69,領用表!$B:$B,$BC$2&amp;BG$2)</f>
        <v/>
      </c>
      <c r="BH69" s="203">
        <f>SUMIFS(領用表!$L:$L,領用表!$A:$A,BH$2,領用表!$E:$E,B69)</f>
        <v/>
      </c>
      <c r="BI69" s="260">
        <f>SUMIFS(領用表!$L:$L,領用表!$E:$E,$B69,領用表!$B:$B,BH$2&amp;BI$2)</f>
        <v/>
      </c>
      <c r="BJ69" s="260">
        <f>SUMIFS(領用表!$L:$L,領用表!$E:$E,$B69,領用表!$B:$B,$BH$2&amp;BJ$2)</f>
        <v/>
      </c>
      <c r="BK69" s="260">
        <f>SUMIFS(領用表!$L:$L,領用表!$E:$E,$B69,領用表!$B:$B,$BH$2&amp;BK$2)</f>
        <v/>
      </c>
      <c r="BL69" s="260">
        <f>SUMIFS(領用表!$L:$L,領用表!$E:$E,$B69,領用表!$B:$B,$BH$2&amp;BL$2)</f>
        <v/>
      </c>
      <c r="BM69" s="203">
        <f>SUMIFS(領用表!$L:$L,領用表!$A:$A,BM$2,領用表!$E:$E,B69)</f>
        <v/>
      </c>
      <c r="BN69" s="206">
        <f>SUMIFS(領用表!$L:$L,領用表!$E:$E,$B69,領用表!$B:$B,BM$2&amp;BN$2)</f>
        <v/>
      </c>
      <c r="BO69" s="206">
        <f>SUMIFS(領用表!$L:$L,領用表!$E:$E,$B69,領用表!$B:$B,$BM$2&amp;BO$2)</f>
        <v/>
      </c>
      <c r="BP69" s="206">
        <f>SUMIFS(領用表!$L:$L,領用表!$E:$E,$B69,領用表!$B:$B,$BM$2&amp;BP$2)</f>
        <v/>
      </c>
      <c r="BQ69" s="206">
        <f>SUMIFS(領用表!$L:$L,領用表!$E:$E,$B69,領用表!$B:$B,$BM$2&amp;BQ$2)</f>
        <v/>
      </c>
      <c r="BR69" s="203">
        <f>SUMIFS(領用表!$L:$L,領用表!$A:$A,BR$2,領用表!$E:$E,B69)</f>
        <v/>
      </c>
      <c r="BS69" s="206">
        <f>SUMIFS(領用表!$L:$L,領用表!$E:$E,$B69,領用表!$B:$B,BR$2&amp;BS$2)</f>
        <v/>
      </c>
      <c r="BT69" s="206">
        <f>SUMIFS(領用表!$L:$L,領用表!$E:$E,$B69,領用表!$B:$B,$BR$2&amp;BT$2)</f>
        <v/>
      </c>
      <c r="BU69" s="206">
        <f>SUMIFS(領用表!$L:$L,領用表!$E:$E,$B69,領用表!$B:$B,$BR$2&amp;BU$2)</f>
        <v/>
      </c>
      <c r="BV69" s="206">
        <f>SUMIFS(領用表!$L:$L,領用表!$E:$E,$B69,領用表!$B:$B,$BR$2&amp;BV$2)</f>
        <v/>
      </c>
      <c r="BW69" s="208">
        <f>SUMIFS(領用表!$L:$L,領用表!$A:$A,BW$2,領用表!$E:$E,B69)</f>
        <v/>
      </c>
      <c r="BX69" s="206">
        <f>SUMIFS(領用表!$L:$L,領用表!$E:$E,$B69,領用表!$B:$B,BW$2&amp;BX$2)</f>
        <v/>
      </c>
      <c r="BY69" s="206">
        <f>SUMIFS(領用表!$L:$L,領用表!$E:$E,$B69,領用表!$B:$B,$BW$2&amp;BY$2)</f>
        <v/>
      </c>
      <c r="BZ69" s="206">
        <f>SUMIFS(領用表!$L:$L,領用表!$E:$E,$B69,領用表!$B:$B,$BW$2&amp;BZ$2)</f>
        <v/>
      </c>
      <c r="CA69" s="206">
        <f>SUMIFS(領用表!$L:$L,領用表!$E:$E,$B69,領用表!$B:$B,$BW$2&amp;CA$2)</f>
        <v/>
      </c>
      <c r="CB69" s="208">
        <f>SUMIFS(領用表!$L:$L,領用表!$A:$A,CB$2,領用表!$E:$E,B69)</f>
        <v/>
      </c>
      <c r="CC69" s="206">
        <f>SUMIFS(領用表!$L:$L,領用表!$E:$E,$B69,領用表!$B:$B,CB$2&amp;CC$2)</f>
        <v/>
      </c>
      <c r="CD69" s="206">
        <f>SUMIFS(領用表!$L:$L,領用表!$E:$E,$B69,領用表!$B:$B,$CB$2&amp;CD$2)</f>
        <v/>
      </c>
      <c r="CE69" s="206">
        <f>SUMIFS(領用表!$L:$L,領用表!$E:$E,$B69,領用表!$B:$B,$CB$2&amp;CE$2)</f>
        <v/>
      </c>
      <c r="CF69" s="206">
        <f>SUMIFS(領用表!$L:$L,領用表!$E:$E,$B69,領用表!$B:$B,$CB$2&amp;CF$2)</f>
        <v/>
      </c>
      <c r="CG69" s="208">
        <f>SUMIFS(領用表!$L:$L,領用表!$A:$A,CG$2,領用表!$E:$E,B69)</f>
        <v/>
      </c>
      <c r="CH69" s="206">
        <f>SUMIFS(領用表!$L:$L,領用表!$E:$E,$B69,領用表!$B:$B,CG$2&amp;CH$2)</f>
        <v/>
      </c>
      <c r="CI69" s="206">
        <f>SUMIFS(領用表!$L:$L,領用表!$E:$E,$B69,領用表!$B:$B,CG$2&amp;CI$2)</f>
        <v/>
      </c>
      <c r="CJ69" s="206">
        <f>SUMIFS(領用表!$L:$L,領用表!$E:$E,$B69,領用表!$B:$B,CG$2&amp;CJ$2)</f>
        <v/>
      </c>
      <c r="CK69" s="206">
        <f>SUMIFS(領用表!$L:$L,領用表!$E:$E,$B69,領用表!$B:$B,$CG$2&amp;CK$2)</f>
        <v/>
      </c>
      <c r="CL69" s="207">
        <f>SUM(AX69,AY69,AZ69,BA69,BB69,BC69,BH69,BM69,BR69,BW69,CB69,CG69)</f>
        <v/>
      </c>
      <c r="CM69" s="207">
        <f>AVERAGE(AX69,AY69,AZ69,BA69,BB69,BC69,BH69,BM69,BR69,BW69,CB69,CG69)</f>
        <v/>
      </c>
      <c r="CN69" s="208">
        <f>SUMIFS(領用表!$L:$L,領用表!$A:$A,CN$2,領用表!$E:$E,B69)</f>
        <v/>
      </c>
      <c r="CO69" s="206">
        <f>SUMIFS(領用表!$L:$L,領用表!$E:$E,$B69,領用表!$B:$B,CN$2&amp;CO$2)</f>
        <v/>
      </c>
      <c r="CP69" s="206">
        <f>SUMIFS(領用表!$L:$L,領用表!$E:$E,$B69,領用表!$B:$B,$CN$2&amp;CP$2)</f>
        <v/>
      </c>
      <c r="CQ69" s="206">
        <f>SUMIFS(領用表!$L:$L,領用表!$E:$E,$B69,領用表!$B:$B,$CN$2&amp;CQ$2)</f>
        <v/>
      </c>
      <c r="CR69" s="206">
        <f>SUMIFS(領用表!$L:$L,領用表!$E:$E,$B69,領用表!$B:$B,$CN$2&amp;CR$2)</f>
        <v/>
      </c>
      <c r="CS69" s="208">
        <f>SUMIFS(領用表!$L:$L,領用表!$A:$A,CS$2,領用表!$E:$E,B69)</f>
        <v/>
      </c>
      <c r="CT69" s="206">
        <f>SUMIFS(領用表!$L:$L,領用表!$E:$E,$B69,領用表!$B:$B,CS$2&amp;CT$2)</f>
        <v/>
      </c>
      <c r="CU69" s="206">
        <f>SUMIFS(領用表!$L:$L,領用表!$E:$E,$B69,領用表!$B:$B,$CS$2&amp;CU$2)</f>
        <v/>
      </c>
      <c r="CV69" s="206">
        <f>SUMIFS(領用表!$L:$L,領用表!$E:$E,$B69,領用表!$B:$B,$CS$2&amp;CV$2)</f>
        <v/>
      </c>
      <c r="CW69" s="206">
        <f>SUMIFS(領用表!$L:$L,領用表!$E:$E,$B69,領用表!$B:$B,$CS$2&amp;CW$2)</f>
        <v/>
      </c>
      <c r="CX69" s="206">
        <f>SUMIFS(領用表!$L:$L,領用表!$E:$E,$B69,領用表!$B:$B,$CS$2&amp;CX$2)</f>
        <v/>
      </c>
      <c r="CY69" s="208">
        <f>SUMIFS(領用表!$L:$L,領用表!$A:$A,CY$2,領用表!$E:$E,B69)</f>
        <v/>
      </c>
      <c r="CZ69" s="206">
        <f>SUMIFS(領用表!$L:$L,領用表!$E:$E,$B69,領用表!$B:$B,CY$2&amp;CZ$2)</f>
        <v/>
      </c>
      <c r="DA69" s="206">
        <f>SUMIFS(領用表!$L:$L,領用表!$E:$E,$B69,領用表!$B:$B,$CY$2&amp;DA$2)</f>
        <v/>
      </c>
      <c r="DB69" s="206">
        <f>SUMIFS(領用表!$L:$L,領用表!$E:$E,$B69,領用表!$B:$B,$CY$2&amp;DB$2)</f>
        <v/>
      </c>
      <c r="DC69" s="206">
        <f>SUMIFS(領用表!$L:$L,領用表!$E:$E,$B69,領用表!$B:$B,$CY$2&amp;DC$2)</f>
        <v/>
      </c>
      <c r="DD69" s="206">
        <f>SUMIFS(領用表!$L:$L,領用表!$E:$E,$B69,領用表!$B:$B,$CY$2&amp;DD$2)</f>
        <v/>
      </c>
      <c r="DE69" s="208">
        <f>SUMIFS(領用表!$L:$L,領用表!$A:$A,DE$2,領用表!$E:$E,B69)</f>
        <v/>
      </c>
      <c r="DF69" s="206">
        <f>SUMIFS(領用表!$L:$L,領用表!$E:$E,$B69,領用表!$B:$B,DE$2&amp;DF$2)</f>
        <v/>
      </c>
      <c r="DG69" s="206">
        <f>SUMIFS(領用表!$L:$L,領用表!$E:$E,$B69,領用表!$B:$B,$DE$2&amp;DG$2)</f>
        <v/>
      </c>
      <c r="DH69" s="206">
        <f>SUMIFS(領用表!$L:$L,領用表!$E:$E,$B69,領用表!$B:$B,$DE$2&amp;DH$2)</f>
        <v/>
      </c>
      <c r="DI69" s="206">
        <f>SUMIFS(領用表!$L:$L,領用表!$E:$E,$B69,領用表!$B:$B,$DE$2&amp;DI$2)</f>
        <v/>
      </c>
      <c r="DJ69" s="206">
        <f>SUMIFS(領用表!$L:$L,領用表!$E:$E,$B69,領用表!$B:$B,$DE$2&amp;DJ$2)</f>
        <v/>
      </c>
      <c r="DK69" s="208">
        <f>SUMIFS(領用表!$L:$L,領用表!$A:$A,DK$2,領用表!$E:$E,$B69)</f>
        <v/>
      </c>
      <c r="DL69" s="206">
        <f>SUMIFS(領用表!$L:$L,領用表!$E:$E,$B69,領用表!$B:$B,DK$2&amp;DL$2)</f>
        <v/>
      </c>
      <c r="DM69" s="206">
        <f>SUMIFS(領用表!$L:$L,領用表!$E:$E,$B69,領用表!$B:$B,$DK$2&amp;DM$2)</f>
        <v/>
      </c>
      <c r="DN69" s="206">
        <f>SUMIFS(領用表!$L:$L,領用表!$E:$E,$B69,領用表!$B:$B,$DK$2&amp;DN$2)</f>
        <v/>
      </c>
      <c r="DO69" s="206">
        <f>SUMIFS(領用表!$L:$L,領用表!$E:$E,$B69,領用表!$B:$B,$DK$2&amp;DO$2)</f>
        <v/>
      </c>
      <c r="DP69" s="206">
        <f>SUMIFS(領用表!$L:$L,領用表!$E:$E,$B69,領用表!$B:$B,$DK$2&amp;DP$2)</f>
        <v/>
      </c>
      <c r="DQ69" s="208" t="n">
        <v>6330</v>
      </c>
      <c r="DR69" s="206" t="n">
        <v>2055</v>
      </c>
      <c r="DS69" s="206" t="n"/>
      <c r="DT69" s="206" t="n">
        <v>2790</v>
      </c>
      <c r="DU69" s="206" t="n"/>
      <c r="DV69" s="206" t="n">
        <v>1485</v>
      </c>
      <c r="DW69" s="206">
        <f>SUM(CN69,CS69,CY69,DE69,DK69,DQ69)</f>
        <v/>
      </c>
      <c r="DX69" s="206">
        <f>AVERAGEA(CN69,CS69,CY69,DE69,DK69,DQ69)</f>
        <v/>
      </c>
      <c r="DY69" s="206">
        <f>SUM(DZ69:EC69)</f>
        <v/>
      </c>
      <c r="DZ69" s="206" t="n">
        <v>8250</v>
      </c>
      <c r="EA69" s="206" t="n">
        <v>0</v>
      </c>
      <c r="EB69" s="206" t="n">
        <v>13500</v>
      </c>
      <c r="EC69" s="206" t="n">
        <v>0</v>
      </c>
      <c r="ED69" s="209" t="n">
        <v>18880</v>
      </c>
      <c r="EE69" s="514" t="n"/>
      <c r="EF69" s="254" t="inlineStr">
        <is>
          <t>80瓶(10/23)</t>
        </is>
      </c>
      <c r="EG69" s="254" t="inlineStr">
        <is>
          <t>80瓶(10/23)</t>
        </is>
      </c>
      <c r="EH69" s="136" t="inlineStr">
        <is>
          <t>已無一代, 10/5後續都為二代(有貼晶片)</t>
        </is>
      </c>
      <c r="EI69" s="212" t="n"/>
      <c r="EJ69" s="118">
        <f>IFERROR(VLOOKUP(A69,站前4樓!A:BF,57,0),0)</f>
        <v/>
      </c>
      <c r="EK69" s="213">
        <f>IFERROR(VLOOKUP(A69,站前11樓!A:BE,57,0),0)</f>
        <v/>
      </c>
      <c r="EL69" s="118">
        <f>IFERROR(VLOOKUP(A69,忠孝7樓!A:N,57,0),0)</f>
        <v/>
      </c>
      <c r="EM69" s="118">
        <f>IFERROR(VLOOKUP(A69,忠孝國際醫學3樓!A:L,57,0),0)</f>
        <v/>
      </c>
      <c r="EN69" s="118">
        <f>SUM(ED69:EG69)</f>
        <v/>
      </c>
      <c r="EP69" s="118" t="n">
        <v>16992</v>
      </c>
      <c r="EQ69" s="118" t="n">
        <v>24780</v>
      </c>
    </row>
    <row r="70" ht="15.75" customFormat="1" customHeight="1" s="118">
      <c r="A70" s="136" t="inlineStr">
        <is>
          <t>MP1MD070014A</t>
        </is>
      </c>
      <c r="B70" s="118" t="n">
        <v>6220014</v>
      </c>
      <c r="C70" s="118" t="inlineStr">
        <is>
          <t>海菲秀 Antiox-6 Skin Solution (ml) 二代</t>
        </is>
      </c>
      <c r="D70" s="207" t="n">
        <v>236</v>
      </c>
      <c r="E70" s="198" t="inlineStr">
        <is>
          <t>ML</t>
        </is>
      </c>
      <c r="F70" s="225">
        <f>SUMIF(站前4樓!B:B,B70,站前4樓!F:F)</f>
        <v/>
      </c>
      <c r="G70" s="225">
        <f>SUMIF(站前11樓!B:B,B70,站前11樓!F:F)</f>
        <v/>
      </c>
      <c r="H70" s="225">
        <f>SUMIF(忠孝7樓!B:B,B70,忠孝7樓!G:G)</f>
        <v/>
      </c>
      <c r="I70" s="225">
        <f>SUMIF(忠孝國際醫學3樓!B:B,B70,忠孝國際醫學3樓!G:G)</f>
        <v/>
      </c>
      <c r="J70" s="225">
        <f>SUMIF(忠孝健康7樓!B:B,B70,忠孝健康7樓!G:G)</f>
        <v/>
      </c>
      <c r="K70" s="200" t="n"/>
      <c r="L70" s="200" t="n"/>
      <c r="M70" s="200" t="n"/>
      <c r="N70" s="200" t="n"/>
      <c r="O70" s="200" t="n"/>
      <c r="P70" s="200" t="n"/>
      <c r="Q70" s="200" t="n"/>
      <c r="R70" s="200" t="n"/>
      <c r="S70" s="200" t="n"/>
      <c r="T70" s="200" t="n"/>
      <c r="U70" s="200" t="n"/>
      <c r="V70" s="200" t="n"/>
      <c r="W70" s="200" t="n"/>
      <c r="X70" s="200" t="n"/>
      <c r="Y70" s="200" t="n"/>
      <c r="Z70" s="200" t="n"/>
      <c r="AA70" s="200" t="n"/>
      <c r="AB70" s="200" t="n"/>
      <c r="AC70" s="200" t="n"/>
      <c r="AD70" s="200" t="n"/>
      <c r="AE70" s="200" t="n"/>
      <c r="AF70" s="200" t="n"/>
      <c r="AG70" s="200" t="n"/>
      <c r="AH70" s="200" t="n"/>
      <c r="AI70" s="200" t="n"/>
      <c r="AJ70" s="201" t="n">
        <v>3</v>
      </c>
      <c r="AK70" s="201" t="n">
        <v>3</v>
      </c>
      <c r="AL70" s="201" t="n">
        <v>3</v>
      </c>
      <c r="AM70" s="201" t="n">
        <v>4</v>
      </c>
      <c r="AN70" s="201" t="n">
        <v>4</v>
      </c>
      <c r="AO70" s="201" t="n">
        <v>17</v>
      </c>
      <c r="AP70" s="201" t="n">
        <v>6</v>
      </c>
      <c r="AQ70" s="201" t="n">
        <v>16</v>
      </c>
      <c r="AR70" s="201" t="n">
        <v>24</v>
      </c>
      <c r="AS70" s="201" t="n">
        <v>14</v>
      </c>
      <c r="AT70" s="201" t="n">
        <v>25</v>
      </c>
      <c r="AU70" s="203">
        <f>2360/D70</f>
        <v/>
      </c>
      <c r="AV70" s="204">
        <f>SUM(AJ70:AU70)</f>
        <v/>
      </c>
      <c r="AW70" s="513">
        <f>AV70/12</f>
        <v/>
      </c>
      <c r="AX70" s="203" t="n">
        <v>4484</v>
      </c>
      <c r="AY70" s="203" t="n">
        <v>2832</v>
      </c>
      <c r="AZ70" s="203" t="n">
        <v>4012</v>
      </c>
      <c r="BA70" s="203" t="n">
        <v>3540</v>
      </c>
      <c r="BB70" s="203" t="n">
        <v>2832</v>
      </c>
      <c r="BC70" s="203">
        <f>SUMIFS(領用表!$L:$L,領用表!$A:$A,BC$2,領用表!$E:$E,B70)</f>
        <v/>
      </c>
      <c r="BD70" s="206">
        <f>SUMIFS(領用表!$L:$L,領用表!$E:$E,$B70,領用表!$B:$B,BC$2&amp;BD$2)</f>
        <v/>
      </c>
      <c r="BE70" s="206">
        <f>SUMIFS(領用表!$L:$L,領用表!$E:$E,$B70,領用表!$B:$B,$BC$2&amp;BE$2)</f>
        <v/>
      </c>
      <c r="BF70" s="206">
        <f>SUMIFS(領用表!$L:$L,領用表!$E:$E,$B70,領用表!$B:$B,$BC$2&amp;BF$2)</f>
        <v/>
      </c>
      <c r="BG70" s="206">
        <f>SUMIFS(領用表!$L:$L,領用表!$E:$E,$B70,領用表!$B:$B,$BC$2&amp;BG$2)</f>
        <v/>
      </c>
      <c r="BH70" s="203">
        <f>SUMIFS(領用表!$L:$L,領用表!$A:$A,BH$2,領用表!$E:$E,B70)</f>
        <v/>
      </c>
      <c r="BI70" s="260">
        <f>SUMIFS(領用表!$L:$L,領用表!$E:$E,$B70,領用表!$B:$B,BH$2&amp;BI$2)</f>
        <v/>
      </c>
      <c r="BJ70" s="260">
        <f>SUMIFS(領用表!$L:$L,領用表!$E:$E,$B70,領用表!$B:$B,$BH$2&amp;BJ$2)</f>
        <v/>
      </c>
      <c r="BK70" s="260">
        <f>SUMIFS(領用表!$L:$L,領用表!$E:$E,$B70,領用表!$B:$B,$BH$2&amp;BK$2)</f>
        <v/>
      </c>
      <c r="BL70" s="260">
        <f>SUMIFS(領用表!$L:$L,領用表!$E:$E,$B70,領用表!$B:$B,$BH$2&amp;BL$2)</f>
        <v/>
      </c>
      <c r="BM70" s="203">
        <f>SUMIFS(領用表!$L:$L,領用表!$A:$A,BM$2,領用表!$E:$E,B70)</f>
        <v/>
      </c>
      <c r="BN70" s="206">
        <f>SUMIFS(領用表!$L:$L,領用表!$E:$E,$B70,領用表!$B:$B,BM$2&amp;BN$2)</f>
        <v/>
      </c>
      <c r="BO70" s="206">
        <f>SUMIFS(領用表!$L:$L,領用表!$E:$E,$B70,領用表!$B:$B,$BM$2&amp;BO$2)</f>
        <v/>
      </c>
      <c r="BP70" s="206">
        <f>SUMIFS(領用表!$L:$L,領用表!$E:$E,$B70,領用表!$B:$B,$BM$2&amp;BP$2)</f>
        <v/>
      </c>
      <c r="BQ70" s="206">
        <f>SUMIFS(領用表!$L:$L,領用表!$E:$E,$B70,領用表!$B:$B,$BM$2&amp;BQ$2)</f>
        <v/>
      </c>
      <c r="BR70" s="203">
        <f>SUMIFS(領用表!$L:$L,領用表!$A:$A,BR$2,領用表!$E:$E,B70)</f>
        <v/>
      </c>
      <c r="BS70" s="206">
        <f>SUMIFS(領用表!$L:$L,領用表!$E:$E,$B70,領用表!$B:$B,BR$2&amp;BS$2)</f>
        <v/>
      </c>
      <c r="BT70" s="206">
        <f>SUMIFS(領用表!$L:$L,領用表!$E:$E,$B70,領用表!$B:$B,$BR$2&amp;BT$2)</f>
        <v/>
      </c>
      <c r="BU70" s="206">
        <f>SUMIFS(領用表!$L:$L,領用表!$E:$E,$B70,領用表!$B:$B,$BR$2&amp;BU$2)</f>
        <v/>
      </c>
      <c r="BV70" s="206">
        <f>SUMIFS(領用表!$L:$L,領用表!$E:$E,$B70,領用表!$B:$B,$BR$2&amp;BV$2)</f>
        <v/>
      </c>
      <c r="BW70" s="208">
        <f>SUMIFS(領用表!$L:$L,領用表!$A:$A,BW$2,領用表!$E:$E,B70)</f>
        <v/>
      </c>
      <c r="BX70" s="206">
        <f>SUMIFS(領用表!$L:$L,領用表!$E:$E,$B70,領用表!$B:$B,BW$2&amp;BX$2)</f>
        <v/>
      </c>
      <c r="BY70" s="206">
        <f>SUMIFS(領用表!$L:$L,領用表!$E:$E,$B70,領用表!$B:$B,$BW$2&amp;BY$2)</f>
        <v/>
      </c>
      <c r="BZ70" s="206">
        <f>SUMIFS(領用表!$L:$L,領用表!$E:$E,$B70,領用表!$B:$B,$BW$2&amp;BZ$2)</f>
        <v/>
      </c>
      <c r="CA70" s="206">
        <f>SUMIFS(領用表!$L:$L,領用表!$E:$E,$B70,領用表!$B:$B,$BW$2&amp;CA$2)</f>
        <v/>
      </c>
      <c r="CB70" s="208">
        <f>SUMIFS(領用表!$L:$L,領用表!$A:$A,CB$2,領用表!$E:$E,B70)</f>
        <v/>
      </c>
      <c r="CC70" s="206">
        <f>SUMIFS(領用表!$L:$L,領用表!$E:$E,$B70,領用表!$B:$B,CB$2&amp;CC$2)</f>
        <v/>
      </c>
      <c r="CD70" s="206">
        <f>SUMIFS(領用表!$L:$L,領用表!$E:$E,$B70,領用表!$B:$B,$CB$2&amp;CD$2)</f>
        <v/>
      </c>
      <c r="CE70" s="206">
        <f>SUMIFS(領用表!$L:$L,領用表!$E:$E,$B70,領用表!$B:$B,$CB$2&amp;CE$2)</f>
        <v/>
      </c>
      <c r="CF70" s="206">
        <f>SUMIFS(領用表!$L:$L,領用表!$E:$E,$B70,領用表!$B:$B,$CB$2&amp;CF$2)</f>
        <v/>
      </c>
      <c r="CG70" s="208">
        <f>SUMIFS(領用表!$L:$L,領用表!$A:$A,CG$2,領用表!$E:$E,B70)</f>
        <v/>
      </c>
      <c r="CH70" s="206">
        <f>SUMIFS(領用表!$L:$L,領用表!$E:$E,$B70,領用表!$B:$B,CG$2&amp;CH$2)</f>
        <v/>
      </c>
      <c r="CI70" s="206">
        <f>SUMIFS(領用表!$L:$L,領用表!$E:$E,$B70,領用表!$B:$B,CG$2&amp;CI$2)</f>
        <v/>
      </c>
      <c r="CJ70" s="206">
        <f>SUMIFS(領用表!$L:$L,領用表!$E:$E,$B70,領用表!$B:$B,CG$2&amp;CJ$2)</f>
        <v/>
      </c>
      <c r="CK70" s="206">
        <f>SUMIFS(領用表!$L:$L,領用表!$E:$E,$B70,領用表!$B:$B,$CG$2&amp;CK$2)</f>
        <v/>
      </c>
      <c r="CL70" s="207">
        <f>SUM(AX70,AY70,AZ70,BA70,BB70,BC70,BH70,BM70,BR70,BW70,CB70,CG70)</f>
        <v/>
      </c>
      <c r="CM70" s="207">
        <f>AVERAGE(AX70,AY70,AZ70,BA70,BB70,BC70,BH70,BM70,BR70,BW70,CB70,CG70)</f>
        <v/>
      </c>
      <c r="CN70" s="208">
        <f>SUMIFS(領用表!$L:$L,領用表!$A:$A,CN$2,領用表!$E:$E,B70)</f>
        <v/>
      </c>
      <c r="CO70" s="206">
        <f>SUMIFS(領用表!$L:$L,領用表!$E:$E,$B70,領用表!$B:$B,CN$2&amp;CO$2)</f>
        <v/>
      </c>
      <c r="CP70" s="206">
        <f>SUMIFS(領用表!$L:$L,領用表!$E:$E,$B70,領用表!$B:$B,$CN$2&amp;CP$2)</f>
        <v/>
      </c>
      <c r="CQ70" s="206">
        <f>SUMIFS(領用表!$L:$L,領用表!$E:$E,$B70,領用表!$B:$B,$CN$2&amp;CQ$2)</f>
        <v/>
      </c>
      <c r="CR70" s="206">
        <f>SUMIFS(領用表!$L:$L,領用表!$E:$E,$B70,領用表!$B:$B,$CN$2&amp;CR$2)</f>
        <v/>
      </c>
      <c r="CS70" s="208">
        <f>SUMIFS(領用表!$L:$L,領用表!$A:$A,CS$2,領用表!$E:$E,B70)</f>
        <v/>
      </c>
      <c r="CT70" s="206">
        <f>SUMIFS(領用表!$L:$L,領用表!$E:$E,$B70,領用表!$B:$B,CS$2&amp;CT$2)</f>
        <v/>
      </c>
      <c r="CU70" s="206">
        <f>SUMIFS(領用表!$L:$L,領用表!$E:$E,$B70,領用表!$B:$B,$CS$2&amp;CU$2)</f>
        <v/>
      </c>
      <c r="CV70" s="206">
        <f>SUMIFS(領用表!$L:$L,領用表!$E:$E,$B70,領用表!$B:$B,$CS$2&amp;CV$2)</f>
        <v/>
      </c>
      <c r="CW70" s="206">
        <f>SUMIFS(領用表!$L:$L,領用表!$E:$E,$B70,領用表!$B:$B,$CS$2&amp;CW$2)</f>
        <v/>
      </c>
      <c r="CX70" s="206">
        <f>SUMIFS(領用表!$L:$L,領用表!$E:$E,$B70,領用表!$B:$B,$CS$2&amp;CX$2)</f>
        <v/>
      </c>
      <c r="CY70" s="208">
        <f>SUMIFS(領用表!$L:$L,領用表!$A:$A,CY$2,領用表!$E:$E,B70)</f>
        <v/>
      </c>
      <c r="CZ70" s="206">
        <f>SUMIFS(領用表!$L:$L,領用表!$E:$E,$B70,領用表!$B:$B,CY$2&amp;CZ$2)</f>
        <v/>
      </c>
      <c r="DA70" s="206">
        <f>SUMIFS(領用表!$L:$L,領用表!$E:$E,$B70,領用表!$B:$B,$CY$2&amp;DA$2)</f>
        <v/>
      </c>
      <c r="DB70" s="206">
        <f>SUMIFS(領用表!$L:$L,領用表!$E:$E,$B70,領用表!$B:$B,$CY$2&amp;DB$2)</f>
        <v/>
      </c>
      <c r="DC70" s="206">
        <f>SUMIFS(領用表!$L:$L,領用表!$E:$E,$B70,領用表!$B:$B,$CY$2&amp;DC$2)</f>
        <v/>
      </c>
      <c r="DD70" s="206">
        <f>SUMIFS(領用表!$L:$L,領用表!$E:$E,$B70,領用表!$B:$B,$CY$2&amp;DD$2)</f>
        <v/>
      </c>
      <c r="DE70" s="208">
        <f>SUMIFS(領用表!$L:$L,領用表!$A:$A,DE$2,領用表!$E:$E,B70)</f>
        <v/>
      </c>
      <c r="DF70" s="206">
        <f>SUMIFS(領用表!$L:$L,領用表!$E:$E,$B70,領用表!$B:$B,DE$2&amp;DF$2)</f>
        <v/>
      </c>
      <c r="DG70" s="206">
        <f>SUMIFS(領用表!$L:$L,領用表!$E:$E,$B70,領用表!$B:$B,$DE$2&amp;DG$2)</f>
        <v/>
      </c>
      <c r="DH70" s="206">
        <f>SUMIFS(領用表!$L:$L,領用表!$E:$E,$B70,領用表!$B:$B,$DE$2&amp;DH$2)</f>
        <v/>
      </c>
      <c r="DI70" s="206">
        <f>SUMIFS(領用表!$L:$L,領用表!$E:$E,$B70,領用表!$B:$B,$DE$2&amp;DI$2)</f>
        <v/>
      </c>
      <c r="DJ70" s="206">
        <f>SUMIFS(領用表!$L:$L,領用表!$E:$E,$B70,領用表!$B:$B,$DE$2&amp;DJ$2)</f>
        <v/>
      </c>
      <c r="DK70" s="208">
        <f>SUMIFS(領用表!$L:$L,領用表!$A:$A,DK$2,領用表!$E:$E,$B70)</f>
        <v/>
      </c>
      <c r="DL70" s="206">
        <f>SUMIFS(領用表!$L:$L,領用表!$E:$E,$B70,領用表!$B:$B,DK$2&amp;DL$2)</f>
        <v/>
      </c>
      <c r="DM70" s="206">
        <f>SUMIFS(領用表!$L:$L,領用表!$E:$E,$B70,領用表!$B:$B,$DK$2&amp;DM$2)</f>
        <v/>
      </c>
      <c r="DN70" s="206">
        <f>SUMIFS(領用表!$L:$L,領用表!$E:$E,$B70,領用表!$B:$B,$DK$2&amp;DN$2)</f>
        <v/>
      </c>
      <c r="DO70" s="206">
        <f>SUMIFS(領用表!$L:$L,領用表!$E:$E,$B70,領用表!$B:$B,$DK$2&amp;DO$2)</f>
        <v/>
      </c>
      <c r="DP70" s="206">
        <f>SUMIFS(領用表!$L:$L,領用表!$E:$E,$B70,領用表!$B:$B,$DK$2&amp;DP$2)</f>
        <v/>
      </c>
      <c r="DQ70" s="208" t="n">
        <v>6330</v>
      </c>
      <c r="DR70" s="206" t="n">
        <v>2055</v>
      </c>
      <c r="DS70" s="206" t="n"/>
      <c r="DT70" s="206" t="n">
        <v>2790</v>
      </c>
      <c r="DU70" s="206" t="n"/>
      <c r="DV70" s="206" t="n">
        <v>1485</v>
      </c>
      <c r="DW70" s="206">
        <f>SUM(CN70,CS70,CY70,DE70,DK70,DQ70)</f>
        <v/>
      </c>
      <c r="DX70" s="206">
        <f>AVERAGEA(CN70,CS70,CY70,DE70,DK70,DQ70)</f>
        <v/>
      </c>
      <c r="DY70" s="206">
        <f>SUM(DZ70:EC70)</f>
        <v/>
      </c>
      <c r="DZ70" s="206" t="n">
        <v>8250</v>
      </c>
      <c r="EA70" s="206" t="n">
        <v>0</v>
      </c>
      <c r="EB70" s="206" t="n">
        <v>13500</v>
      </c>
      <c r="EC70" s="206" t="n">
        <v>0</v>
      </c>
      <c r="ED70" s="209" t="n">
        <v>18880</v>
      </c>
      <c r="EE70" s="514" t="n"/>
      <c r="EF70" s="254" t="inlineStr">
        <is>
          <t>30瓶(10/23)</t>
        </is>
      </c>
      <c r="EG70" s="254" t="inlineStr">
        <is>
          <t>80瓶(10/23)</t>
        </is>
      </c>
      <c r="EH70" s="136" t="n"/>
      <c r="EI70" s="212" t="n"/>
      <c r="EJ70" s="118">
        <f>IFERROR(VLOOKUP(A70,站前4樓!A:BF,57,0),0)</f>
        <v/>
      </c>
      <c r="EK70" s="213">
        <f>IFERROR(VLOOKUP(A70,站前11樓!A:BE,57,0),0)</f>
        <v/>
      </c>
      <c r="EL70" s="118">
        <f>IFERROR(VLOOKUP(A70,忠孝7樓!A:N,57,0),0)</f>
        <v/>
      </c>
      <c r="EM70" s="118">
        <f>IFERROR(VLOOKUP(A70,忠孝國際醫學3樓!A:L,57,0),0)</f>
        <v/>
      </c>
      <c r="EN70" s="118">
        <f>SUM(ED70:EG70)</f>
        <v/>
      </c>
      <c r="EP70" s="118" t="n">
        <v>20060</v>
      </c>
      <c r="EQ70" s="118" t="n">
        <v>27848</v>
      </c>
    </row>
    <row r="71" ht="16.5" customFormat="1" customHeight="1" s="118">
      <c r="A71" s="136" t="inlineStr">
        <is>
          <t>MP1MD070015A</t>
        </is>
      </c>
      <c r="B71" s="118" t="n">
        <v>6220015</v>
      </c>
      <c r="C71" s="118" t="inlineStr">
        <is>
          <t>海菲秀 Rinseaway System Cleaning Solution (ml) 二代</t>
        </is>
      </c>
      <c r="D71" s="207" t="n">
        <v>236</v>
      </c>
      <c r="E71" s="198" t="inlineStr">
        <is>
          <t>ML</t>
        </is>
      </c>
      <c r="F71" s="225">
        <f>SUMIF(站前4樓!B:B,B71,站前4樓!F:F)</f>
        <v/>
      </c>
      <c r="G71" s="225">
        <f>SUMIF(站前11樓!B:B,B71,站前11樓!F:F)</f>
        <v/>
      </c>
      <c r="H71" s="225">
        <f>SUMIF(忠孝7樓!B:B,B71,忠孝7樓!G:G)</f>
        <v/>
      </c>
      <c r="I71" s="225">
        <f>SUMIF(忠孝國際醫學3樓!B:B,B71,忠孝國際醫學3樓!G:G)</f>
        <v/>
      </c>
      <c r="J71" s="225">
        <f>SUMIF(忠孝健康7樓!B:B,B71,忠孝健康7樓!G:G)</f>
        <v/>
      </c>
      <c r="K71" s="200" t="n"/>
      <c r="L71" s="200" t="n"/>
      <c r="M71" s="200" t="n"/>
      <c r="N71" s="200" t="n"/>
      <c r="O71" s="200" t="n"/>
      <c r="P71" s="200" t="n"/>
      <c r="Q71" s="200" t="n"/>
      <c r="R71" s="200" t="n"/>
      <c r="S71" s="200" t="n"/>
      <c r="T71" s="200" t="n"/>
      <c r="U71" s="200" t="n"/>
      <c r="V71" s="200" t="n"/>
      <c r="W71" s="200" t="n"/>
      <c r="X71" s="200" t="n"/>
      <c r="Y71" s="200" t="n"/>
      <c r="Z71" s="200" t="n"/>
      <c r="AA71" s="200" t="n"/>
      <c r="AB71" s="200" t="n"/>
      <c r="AC71" s="200" t="n"/>
      <c r="AD71" s="200" t="n"/>
      <c r="AE71" s="200" t="n"/>
      <c r="AF71" s="200" t="n"/>
      <c r="AG71" s="200" t="n"/>
      <c r="AH71" s="200" t="n"/>
      <c r="AI71" s="200" t="n"/>
      <c r="AJ71" s="201" t="n">
        <v>0</v>
      </c>
      <c r="AK71" s="201" t="n">
        <v>1</v>
      </c>
      <c r="AL71" s="201" t="n">
        <v>1</v>
      </c>
      <c r="AM71" s="201" t="n">
        <v>2</v>
      </c>
      <c r="AN71" s="201" t="n">
        <v>1</v>
      </c>
      <c r="AO71" s="201" t="n">
        <v>14</v>
      </c>
      <c r="AP71" s="201" t="n">
        <v>2</v>
      </c>
      <c r="AQ71" s="201" t="n">
        <v>3</v>
      </c>
      <c r="AR71" s="201" t="n">
        <v>0</v>
      </c>
      <c r="AS71" s="201" t="n">
        <v>0</v>
      </c>
      <c r="AT71" s="201" t="n">
        <v>0</v>
      </c>
      <c r="AU71" s="203">
        <f>708/D71</f>
        <v/>
      </c>
      <c r="AV71" s="204">
        <f>SUM(AJ71:AU71)</f>
        <v/>
      </c>
      <c r="AW71" s="513">
        <f>AV71/12</f>
        <v/>
      </c>
      <c r="AX71" s="203" t="n">
        <v>1416</v>
      </c>
      <c r="AY71" s="203" t="n">
        <v>1416</v>
      </c>
      <c r="AZ71" s="203" t="n">
        <v>1652</v>
      </c>
      <c r="BA71" s="203" t="n">
        <v>708</v>
      </c>
      <c r="BB71" s="203" t="n">
        <v>1652</v>
      </c>
      <c r="BC71" s="203">
        <f>SUMIFS(領用表!$L:$L,領用表!$A:$A,BC$2,領用表!$E:$E,B71)</f>
        <v/>
      </c>
      <c r="BD71" s="206">
        <f>SUMIFS(領用表!$L:$L,領用表!$E:$E,$B71,領用表!$B:$B,BC$2&amp;BD$2)</f>
        <v/>
      </c>
      <c r="BE71" s="206">
        <f>SUMIFS(領用表!$L:$L,領用表!$E:$E,$B71,領用表!$B:$B,$BC$2&amp;BE$2)</f>
        <v/>
      </c>
      <c r="BF71" s="206">
        <f>SUMIFS(領用表!$L:$L,領用表!$E:$E,$B71,領用表!$B:$B,$BC$2&amp;BF$2)</f>
        <v/>
      </c>
      <c r="BG71" s="206">
        <f>SUMIFS(領用表!$L:$L,領用表!$E:$E,$B71,領用表!$B:$B,$BC$2&amp;BG$2)</f>
        <v/>
      </c>
      <c r="BH71" s="203">
        <f>SUMIFS(領用表!$L:$L,領用表!$A:$A,BH$2,領用表!$E:$E,B71)</f>
        <v/>
      </c>
      <c r="BI71" s="260">
        <f>SUMIFS(領用表!$L:$L,領用表!$E:$E,$B71,領用表!$B:$B,BH$2&amp;BI$2)</f>
        <v/>
      </c>
      <c r="BJ71" s="260">
        <f>SUMIFS(領用表!$L:$L,領用表!$E:$E,$B71,領用表!$B:$B,$BH$2&amp;BJ$2)</f>
        <v/>
      </c>
      <c r="BK71" s="260">
        <f>SUMIFS(領用表!$L:$L,領用表!$E:$E,$B71,領用表!$B:$B,$BH$2&amp;BK$2)</f>
        <v/>
      </c>
      <c r="BL71" s="260">
        <f>SUMIFS(領用表!$L:$L,領用表!$E:$E,$B71,領用表!$B:$B,$BH$2&amp;BL$2)</f>
        <v/>
      </c>
      <c r="BM71" s="203">
        <f>SUMIFS(領用表!$L:$L,領用表!$A:$A,BM$2,領用表!$E:$E,B71)</f>
        <v/>
      </c>
      <c r="BN71" s="206">
        <f>SUMIFS(領用表!$L:$L,領用表!$E:$E,$B71,領用表!$B:$B,BM$2&amp;BN$2)</f>
        <v/>
      </c>
      <c r="BO71" s="206">
        <f>SUMIFS(領用表!$L:$L,領用表!$E:$E,$B71,領用表!$B:$B,$BM$2&amp;BO$2)</f>
        <v/>
      </c>
      <c r="BP71" s="206">
        <f>SUMIFS(領用表!$L:$L,領用表!$E:$E,$B71,領用表!$B:$B,$BM$2&amp;BP$2)</f>
        <v/>
      </c>
      <c r="BQ71" s="206">
        <f>SUMIFS(領用表!$L:$L,領用表!$E:$E,$B71,領用表!$B:$B,$BM$2&amp;BQ$2)</f>
        <v/>
      </c>
      <c r="BR71" s="203">
        <f>SUMIFS(領用表!$L:$L,領用表!$A:$A,BR$2,領用表!$E:$E,B71)</f>
        <v/>
      </c>
      <c r="BS71" s="206">
        <f>SUMIFS(領用表!$L:$L,領用表!$E:$E,$B71,領用表!$B:$B,BR$2&amp;BS$2)</f>
        <v/>
      </c>
      <c r="BT71" s="206">
        <f>SUMIFS(領用表!$L:$L,領用表!$E:$E,$B71,領用表!$B:$B,$BR$2&amp;BT$2)</f>
        <v/>
      </c>
      <c r="BU71" s="206">
        <f>SUMIFS(領用表!$L:$L,領用表!$E:$E,$B71,領用表!$B:$B,$BR$2&amp;BU$2)</f>
        <v/>
      </c>
      <c r="BV71" s="206">
        <f>SUMIFS(領用表!$L:$L,領用表!$E:$E,$B71,領用表!$B:$B,$BR$2&amp;BV$2)</f>
        <v/>
      </c>
      <c r="BW71" s="208">
        <f>SUMIFS(領用表!$L:$L,領用表!$A:$A,BW$2,領用表!$E:$E,B71)</f>
        <v/>
      </c>
      <c r="BX71" s="206">
        <f>SUMIFS(領用表!$L:$L,領用表!$E:$E,$B71,領用表!$B:$B,BW$2&amp;BX$2)</f>
        <v/>
      </c>
      <c r="BY71" s="206">
        <f>SUMIFS(領用表!$L:$L,領用表!$E:$E,$B71,領用表!$B:$B,$BW$2&amp;BY$2)</f>
        <v/>
      </c>
      <c r="BZ71" s="206">
        <f>SUMIFS(領用表!$L:$L,領用表!$E:$E,$B71,領用表!$B:$B,$BW$2&amp;BZ$2)</f>
        <v/>
      </c>
      <c r="CA71" s="206">
        <f>SUMIFS(領用表!$L:$L,領用表!$E:$E,$B71,領用表!$B:$B,$BW$2&amp;CA$2)</f>
        <v/>
      </c>
      <c r="CB71" s="208">
        <f>SUMIFS(領用表!$L:$L,領用表!$A:$A,CB$2,領用表!$E:$E,B71)</f>
        <v/>
      </c>
      <c r="CC71" s="206">
        <f>SUMIFS(領用表!$L:$L,領用表!$E:$E,$B71,領用表!$B:$B,CB$2&amp;CC$2)</f>
        <v/>
      </c>
      <c r="CD71" s="206">
        <f>SUMIFS(領用表!$L:$L,領用表!$E:$E,$B71,領用表!$B:$B,$CB$2&amp;CD$2)</f>
        <v/>
      </c>
      <c r="CE71" s="206">
        <f>SUMIFS(領用表!$L:$L,領用表!$E:$E,$B71,領用表!$B:$B,$CB$2&amp;CE$2)</f>
        <v/>
      </c>
      <c r="CF71" s="206">
        <f>SUMIFS(領用表!$L:$L,領用表!$E:$E,$B71,領用表!$B:$B,$CB$2&amp;CF$2)</f>
        <v/>
      </c>
      <c r="CG71" s="208">
        <f>SUMIFS(領用表!$L:$L,領用表!$A:$A,CG$2,領用表!$E:$E,B71)</f>
        <v/>
      </c>
      <c r="CH71" s="206">
        <f>SUMIFS(領用表!$L:$L,領用表!$E:$E,$B71,領用表!$B:$B,CG$2&amp;CH$2)</f>
        <v/>
      </c>
      <c r="CI71" s="206">
        <f>SUMIFS(領用表!$L:$L,領用表!$E:$E,$B71,領用表!$B:$B,CG$2&amp;CI$2)</f>
        <v/>
      </c>
      <c r="CJ71" s="206">
        <f>SUMIFS(領用表!$L:$L,領用表!$E:$E,$B71,領用表!$B:$B,CG$2&amp;CJ$2)</f>
        <v/>
      </c>
      <c r="CK71" s="206">
        <f>SUMIFS(領用表!$L:$L,領用表!$E:$E,$B71,領用表!$B:$B,$CG$2&amp;CK$2)</f>
        <v/>
      </c>
      <c r="CL71" s="207">
        <f>SUM(AX71,AY71,AZ71,BA71,BB71,BC71,BH71,BM71,BR71,BW71,CB71,CG71)</f>
        <v/>
      </c>
      <c r="CM71" s="207">
        <f>AVERAGE(AX71,AY71,AZ71,BA71,BB71,BC71,BH71,BM71,BR71,BW71,CB71,CG71)</f>
        <v/>
      </c>
      <c r="CN71" s="208">
        <f>SUMIFS(領用表!$L:$L,領用表!$A:$A,CN$2,領用表!$E:$E,B71)</f>
        <v/>
      </c>
      <c r="CO71" s="206">
        <f>SUMIFS(領用表!$L:$L,領用表!$E:$E,$B71,領用表!$B:$B,CN$2&amp;CO$2)</f>
        <v/>
      </c>
      <c r="CP71" s="206">
        <f>SUMIFS(領用表!$L:$L,領用表!$E:$E,$B71,領用表!$B:$B,$CN$2&amp;CP$2)</f>
        <v/>
      </c>
      <c r="CQ71" s="206">
        <f>SUMIFS(領用表!$L:$L,領用表!$E:$E,$B71,領用表!$B:$B,$CN$2&amp;CQ$2)</f>
        <v/>
      </c>
      <c r="CR71" s="206">
        <f>SUMIFS(領用表!$L:$L,領用表!$E:$E,$B71,領用表!$B:$B,$CN$2&amp;CR$2)</f>
        <v/>
      </c>
      <c r="CS71" s="208">
        <f>SUMIFS(領用表!$L:$L,領用表!$A:$A,CS$2,領用表!$E:$E,B71)</f>
        <v/>
      </c>
      <c r="CT71" s="206">
        <f>SUMIFS(領用表!$L:$L,領用表!$E:$E,$B71,領用表!$B:$B,CS$2&amp;CT$2)</f>
        <v/>
      </c>
      <c r="CU71" s="206">
        <f>SUMIFS(領用表!$L:$L,領用表!$E:$E,$B71,領用表!$B:$B,$CS$2&amp;CU$2)</f>
        <v/>
      </c>
      <c r="CV71" s="206">
        <f>SUMIFS(領用表!$L:$L,領用表!$E:$E,$B71,領用表!$B:$B,$CS$2&amp;CV$2)</f>
        <v/>
      </c>
      <c r="CW71" s="206">
        <f>SUMIFS(領用表!$L:$L,領用表!$E:$E,$B71,領用表!$B:$B,$CS$2&amp;CW$2)</f>
        <v/>
      </c>
      <c r="CX71" s="206">
        <f>SUMIFS(領用表!$L:$L,領用表!$E:$E,$B71,領用表!$B:$B,$CS$2&amp;CX$2)</f>
        <v/>
      </c>
      <c r="CY71" s="208">
        <f>SUMIFS(領用表!$L:$L,領用表!$A:$A,CY$2,領用表!$E:$E,B71)</f>
        <v/>
      </c>
      <c r="CZ71" s="206">
        <f>SUMIFS(領用表!$L:$L,領用表!$E:$E,$B71,領用表!$B:$B,CY$2&amp;CZ$2)</f>
        <v/>
      </c>
      <c r="DA71" s="206">
        <f>SUMIFS(領用表!$L:$L,領用表!$E:$E,$B71,領用表!$B:$B,$CY$2&amp;DA$2)</f>
        <v/>
      </c>
      <c r="DB71" s="206">
        <f>SUMIFS(領用表!$L:$L,領用表!$E:$E,$B71,領用表!$B:$B,$CY$2&amp;DB$2)</f>
        <v/>
      </c>
      <c r="DC71" s="206">
        <f>SUMIFS(領用表!$L:$L,領用表!$E:$E,$B71,領用表!$B:$B,$CY$2&amp;DC$2)</f>
        <v/>
      </c>
      <c r="DD71" s="206">
        <f>SUMIFS(領用表!$L:$L,領用表!$E:$E,$B71,領用表!$B:$B,$CY$2&amp;DD$2)</f>
        <v/>
      </c>
      <c r="DE71" s="208">
        <f>SUMIFS(領用表!$L:$L,領用表!$A:$A,DE$2,領用表!$E:$E,B71)</f>
        <v/>
      </c>
      <c r="DF71" s="206">
        <f>SUMIFS(領用表!$L:$L,領用表!$E:$E,$B71,領用表!$B:$B,DE$2&amp;DF$2)</f>
        <v/>
      </c>
      <c r="DG71" s="206">
        <f>SUMIFS(領用表!$L:$L,領用表!$E:$E,$B71,領用表!$B:$B,$DE$2&amp;DG$2)</f>
        <v/>
      </c>
      <c r="DH71" s="206">
        <f>SUMIFS(領用表!$L:$L,領用表!$E:$E,$B71,領用表!$B:$B,$DE$2&amp;DH$2)</f>
        <v/>
      </c>
      <c r="DI71" s="206">
        <f>SUMIFS(領用表!$L:$L,領用表!$E:$E,$B71,領用表!$B:$B,$DE$2&amp;DI$2)</f>
        <v/>
      </c>
      <c r="DJ71" s="206">
        <f>SUMIFS(領用表!$L:$L,領用表!$E:$E,$B71,領用表!$B:$B,$DE$2&amp;DJ$2)</f>
        <v/>
      </c>
      <c r="DK71" s="208">
        <f>SUMIFS(領用表!$L:$L,領用表!$A:$A,DK$2,領用表!$E:$E,$B71)</f>
        <v/>
      </c>
      <c r="DL71" s="206">
        <f>SUMIFS(領用表!$L:$L,領用表!$E:$E,$B71,領用表!$B:$B,DK$2&amp;DL$2)</f>
        <v/>
      </c>
      <c r="DM71" s="206">
        <f>SUMIFS(領用表!$L:$L,領用表!$E:$E,$B71,領用表!$B:$B,$DK$2&amp;DM$2)</f>
        <v/>
      </c>
      <c r="DN71" s="206">
        <f>SUMIFS(領用表!$L:$L,領用表!$E:$E,$B71,領用表!$B:$B,$DK$2&amp;DN$2)</f>
        <v/>
      </c>
      <c r="DO71" s="206">
        <f>SUMIFS(領用表!$L:$L,領用表!$E:$E,$B71,領用表!$B:$B,$DK$2&amp;DO$2)</f>
        <v/>
      </c>
      <c r="DP71" s="206">
        <f>SUMIFS(領用表!$L:$L,領用表!$E:$E,$B71,領用表!$B:$B,$DK$2&amp;DP$2)</f>
        <v/>
      </c>
      <c r="DQ71" s="208" t="n">
        <v>6330</v>
      </c>
      <c r="DR71" s="206" t="n">
        <v>2055</v>
      </c>
      <c r="DS71" s="206" t="n"/>
      <c r="DT71" s="206" t="n">
        <v>2790</v>
      </c>
      <c r="DU71" s="206" t="n"/>
      <c r="DV71" s="206" t="n">
        <v>1485</v>
      </c>
      <c r="DW71" s="206">
        <f>SUM(CN71,CS71,CY71,DE71,DK71,DQ71)</f>
        <v/>
      </c>
      <c r="DX71" s="206">
        <f>AVERAGEA(CN71,CS71,CY71,DE71,DK71,DQ71)</f>
        <v/>
      </c>
      <c r="DY71" s="206">
        <f>SUM(DZ71:EC71)</f>
        <v/>
      </c>
      <c r="DZ71" s="206" t="n">
        <v>8250</v>
      </c>
      <c r="EA71" s="206" t="n">
        <v>0</v>
      </c>
      <c r="EB71" s="206" t="n">
        <v>13500</v>
      </c>
      <c r="EC71" s="206" t="n">
        <v>0</v>
      </c>
      <c r="ED71" s="209" t="n">
        <v>4720</v>
      </c>
      <c r="EE71" s="515" t="n"/>
      <c r="EF71" s="254" t="inlineStr">
        <is>
          <t>45瓶(10/23)</t>
        </is>
      </c>
      <c r="EG71" s="254" t="inlineStr">
        <is>
          <t>40瓶(10/23)</t>
        </is>
      </c>
      <c r="EH71" s="136" t="n"/>
      <c r="EI71" s="212" t="n"/>
      <c r="EJ71" s="118">
        <f>IFERROR(VLOOKUP(A71,站前4樓!A:BF,57,0),0)</f>
        <v/>
      </c>
      <c r="EK71" s="213">
        <f>IFERROR(VLOOKUP(A71,站前11樓!A:BE,57,0),0)</f>
        <v/>
      </c>
      <c r="EL71" s="118">
        <f>IFERROR(VLOOKUP(A71,忠孝7樓!A:N,57,0),0)</f>
        <v/>
      </c>
      <c r="EM71" s="118">
        <f>IFERROR(VLOOKUP(A71,忠孝國際醫學3樓!A:L,57,0),0)</f>
        <v/>
      </c>
      <c r="EN71" s="118">
        <f>SUM(ED71:EG71)</f>
        <v/>
      </c>
      <c r="EP71" s="118" t="n">
        <v>16048</v>
      </c>
      <c r="EQ71" s="118" t="n">
        <v>20296</v>
      </c>
    </row>
    <row r="72" ht="15.75" customFormat="1" customHeight="1" s="118">
      <c r="A72" s="136" t="inlineStr">
        <is>
          <t>MP1MB030003A</t>
        </is>
      </c>
      <c r="B72" s="118" t="n">
        <v>6170014</v>
      </c>
      <c r="C72" s="118" t="inlineStr">
        <is>
          <t>鳳凰電波0.25平方公分碧眼探頭(450發)</t>
        </is>
      </c>
      <c r="D72" s="228" t="n">
        <v>1</v>
      </c>
      <c r="E72" s="198" t="inlineStr">
        <is>
          <t>PCS</t>
        </is>
      </c>
      <c r="F72" s="225">
        <f>SUMIF(站前4樓!B:B,B72,站前4樓!F:F)</f>
        <v/>
      </c>
      <c r="G72" s="225">
        <f>SUMIF(站前11樓!B:B,B72,站前11樓!F:F)</f>
        <v/>
      </c>
      <c r="H72" s="225">
        <f>SUMIF(忠孝7樓!B:B,B72,忠孝7樓!G:G)</f>
        <v/>
      </c>
      <c r="I72" s="225">
        <f>SUMIF(忠孝國際醫學3樓!B:B,B72,忠孝國際醫學3樓!G:G)</f>
        <v/>
      </c>
      <c r="J72" s="225">
        <f>SUMIF(忠孝健康7樓!B:B,B72,忠孝健康7樓!G:G)</f>
        <v/>
      </c>
      <c r="K72" s="200" t="n">
        <v>0</v>
      </c>
      <c r="L72" s="200" t="n">
        <v>0</v>
      </c>
      <c r="M72" s="200" t="n">
        <v>0</v>
      </c>
      <c r="N72" s="200" t="n">
        <v>0</v>
      </c>
      <c r="O72" s="200" t="n">
        <v>3</v>
      </c>
      <c r="P72" s="200" t="n">
        <v>3</v>
      </c>
      <c r="Q72" s="200" t="n">
        <v>0</v>
      </c>
      <c r="R72" s="200" t="n">
        <v>0</v>
      </c>
      <c r="S72" s="200" t="n">
        <v>2</v>
      </c>
      <c r="T72" s="200" t="n">
        <v>0</v>
      </c>
      <c r="U72" s="200" t="n">
        <v>0</v>
      </c>
      <c r="V72" s="200" t="n">
        <v>0</v>
      </c>
      <c r="W72" s="200" t="n">
        <v>2</v>
      </c>
      <c r="X72" s="200" t="n">
        <v>4</v>
      </c>
      <c r="Y72" s="200" t="n">
        <v>3</v>
      </c>
      <c r="Z72" s="200" t="n">
        <v>2</v>
      </c>
      <c r="AA72" s="200" t="n">
        <v>1</v>
      </c>
      <c r="AB72" s="200" t="n">
        <v>2</v>
      </c>
      <c r="AC72" s="200" t="n">
        <v>1</v>
      </c>
      <c r="AD72" s="200" t="n">
        <v>5</v>
      </c>
      <c r="AE72" s="200" t="n"/>
      <c r="AF72" s="200" t="n"/>
      <c r="AG72" s="200" t="n">
        <v>3</v>
      </c>
      <c r="AH72" s="200" t="n">
        <v>3</v>
      </c>
      <c r="AI72" s="200" t="n">
        <v>6</v>
      </c>
      <c r="AJ72" s="201" t="n">
        <v>12</v>
      </c>
      <c r="AK72" s="201" t="n">
        <v>1</v>
      </c>
      <c r="AL72" s="201" t="n">
        <v>3</v>
      </c>
      <c r="AM72" s="201" t="n">
        <v>6</v>
      </c>
      <c r="AN72" s="201" t="n">
        <v>4</v>
      </c>
      <c r="AO72" s="201" t="n">
        <v>7</v>
      </c>
      <c r="AP72" s="201" t="n">
        <v>15</v>
      </c>
      <c r="AQ72" s="201" t="n">
        <v>12</v>
      </c>
      <c r="AR72" s="201" t="n">
        <v>7</v>
      </c>
      <c r="AS72" s="201" t="n">
        <v>12</v>
      </c>
      <c r="AT72" s="512" t="n">
        <v>19</v>
      </c>
      <c r="AU72" s="203" t="n">
        <v>18</v>
      </c>
      <c r="AV72" s="204" t="n">
        <v>15</v>
      </c>
      <c r="AW72" s="513">
        <f>AV72/12</f>
        <v/>
      </c>
      <c r="AX72" s="203" t="n">
        <v>10</v>
      </c>
      <c r="AY72" s="203" t="n">
        <v>9</v>
      </c>
      <c r="AZ72" s="203" t="n">
        <v>12</v>
      </c>
      <c r="BA72" s="201" t="n">
        <v>9</v>
      </c>
      <c r="BB72" s="201" t="n">
        <v>6</v>
      </c>
      <c r="BC72" s="203">
        <f>SUMIFS(領用表!$L:$L,領用表!$A:$A,BC$2,領用表!$E:$E,B72)</f>
        <v/>
      </c>
      <c r="BD72" s="206">
        <f>SUMIFS(領用表!$L:$L,領用表!$E:$E,$B72,領用表!$B:$B,BC$2&amp;BD$2)</f>
        <v/>
      </c>
      <c r="BE72" s="206">
        <f>SUMIFS(領用表!$L:$L,領用表!$E:$E,$B72,領用表!$B:$B,$BC$2&amp;BE$2)</f>
        <v/>
      </c>
      <c r="BF72" s="206">
        <f>SUMIFS(領用表!$L:$L,領用表!$E:$E,$B72,領用表!$B:$B,$BC$2&amp;BF$2)</f>
        <v/>
      </c>
      <c r="BG72" s="206">
        <f>SUMIFS(領用表!$L:$L,領用表!$E:$E,$B72,領用表!$B:$B,$BC$2&amp;BG$2)</f>
        <v/>
      </c>
      <c r="BH72" s="203">
        <f>SUMIFS(領用表!$L:$L,領用表!$A:$A,BH$2,領用表!$E:$E,B72)</f>
        <v/>
      </c>
      <c r="BI72" s="260">
        <f>SUMIFS(領用表!$L:$L,領用表!$E:$E,$B72,領用表!$B:$B,BH$2&amp;BI$2)</f>
        <v/>
      </c>
      <c r="BJ72" s="260">
        <f>SUMIFS(領用表!$L:$L,領用表!$E:$E,$B72,領用表!$B:$B,$BH$2&amp;BJ$2)</f>
        <v/>
      </c>
      <c r="BK72" s="260">
        <f>SUMIFS(領用表!$L:$L,領用表!$E:$E,$B72,領用表!$B:$B,$BH$2&amp;BK$2)</f>
        <v/>
      </c>
      <c r="BL72" s="260">
        <f>SUMIFS(領用表!$L:$L,領用表!$E:$E,$B72,領用表!$B:$B,$BH$2&amp;BL$2)</f>
        <v/>
      </c>
      <c r="BM72" s="203">
        <f>SUMIFS(領用表!$L:$L,領用表!$A:$A,BM$2,領用表!$E:$E,B72)</f>
        <v/>
      </c>
      <c r="BN72" s="206">
        <f>SUMIFS(領用表!$L:$L,領用表!$E:$E,$B72,領用表!$B:$B,BM$2&amp;BN$2)</f>
        <v/>
      </c>
      <c r="BO72" s="206">
        <f>SUMIFS(領用表!$L:$L,領用表!$E:$E,$B72,領用表!$B:$B,$BM$2&amp;BO$2)</f>
        <v/>
      </c>
      <c r="BP72" s="206">
        <f>SUMIFS(領用表!$L:$L,領用表!$E:$E,$B72,領用表!$B:$B,$BM$2&amp;BP$2)</f>
        <v/>
      </c>
      <c r="BQ72" s="206">
        <f>SUMIFS(領用表!$L:$L,領用表!$E:$E,$B72,領用表!$B:$B,$BM$2&amp;BQ$2)</f>
        <v/>
      </c>
      <c r="BR72" s="203">
        <f>SUMIFS(領用表!$L:$L,領用表!$A:$A,BR$2,領用表!$E:$E,B72)</f>
        <v/>
      </c>
      <c r="BS72" s="206">
        <f>SUMIFS(領用表!$L:$L,領用表!$E:$E,$B72,領用表!$B:$B,BR$2&amp;BS$2)</f>
        <v/>
      </c>
      <c r="BT72" s="206">
        <f>SUMIFS(領用表!$L:$L,領用表!$E:$E,$B72,領用表!$B:$B,$BR$2&amp;BT$2)</f>
        <v/>
      </c>
      <c r="BU72" s="206">
        <f>SUMIFS(領用表!$L:$L,領用表!$E:$E,$B72,領用表!$B:$B,$BR$2&amp;BU$2)</f>
        <v/>
      </c>
      <c r="BV72" s="206">
        <f>SUMIFS(領用表!$L:$L,領用表!$E:$E,$B72,領用表!$B:$B,$BR$2&amp;BV$2)</f>
        <v/>
      </c>
      <c r="BW72" s="208">
        <f>SUMIFS(領用表!$L:$L,領用表!$A:$A,BW$2,領用表!$E:$E,B72)</f>
        <v/>
      </c>
      <c r="BX72" s="206">
        <f>SUMIFS(領用表!$L:$L,領用表!$E:$E,$B72,領用表!$B:$B,BW$2&amp;BX$2)</f>
        <v/>
      </c>
      <c r="BY72" s="206">
        <f>SUMIFS(領用表!$L:$L,領用表!$E:$E,$B72,領用表!$B:$B,$BW$2&amp;BY$2)</f>
        <v/>
      </c>
      <c r="BZ72" s="206">
        <f>SUMIFS(領用表!$L:$L,領用表!$E:$E,$B72,領用表!$B:$B,$BW$2&amp;BZ$2)</f>
        <v/>
      </c>
      <c r="CA72" s="206">
        <f>SUMIFS(領用表!$L:$L,領用表!$E:$E,$B72,領用表!$B:$B,$BW$2&amp;CA$2)</f>
        <v/>
      </c>
      <c r="CB72" s="208">
        <f>SUMIFS(領用表!$L:$L,領用表!$A:$A,CB$2,領用表!$E:$E,B72)</f>
        <v/>
      </c>
      <c r="CC72" s="206">
        <f>SUMIFS(領用表!$L:$L,領用表!$E:$E,$B72,領用表!$B:$B,CB$2&amp;CC$2)</f>
        <v/>
      </c>
      <c r="CD72" s="206">
        <f>SUMIFS(領用表!$L:$L,領用表!$E:$E,$B72,領用表!$B:$B,$CB$2&amp;CD$2)</f>
        <v/>
      </c>
      <c r="CE72" s="206">
        <f>SUMIFS(領用表!$L:$L,領用表!$E:$E,$B72,領用表!$B:$B,$CB$2&amp;CE$2)</f>
        <v/>
      </c>
      <c r="CF72" s="206">
        <f>SUMIFS(領用表!$L:$L,領用表!$E:$E,$B72,領用表!$B:$B,$CB$2&amp;CF$2)</f>
        <v/>
      </c>
      <c r="CG72" s="208">
        <f>SUMIFS(領用表!$L:$L,領用表!$A:$A,CG$2,領用表!$E:$E,B72)</f>
        <v/>
      </c>
      <c r="CH72" s="206">
        <f>SUMIFS(領用表!$L:$L,領用表!$E:$E,$B72,領用表!$B:$B,CG$2&amp;CH$2)</f>
        <v/>
      </c>
      <c r="CI72" s="206">
        <f>SUMIFS(領用表!$L:$L,領用表!$E:$E,$B72,領用表!$B:$B,CG$2&amp;CI$2)</f>
        <v/>
      </c>
      <c r="CJ72" s="206">
        <f>SUMIFS(領用表!$L:$L,領用表!$E:$E,$B72,領用表!$B:$B,CG$2&amp;CJ$2)</f>
        <v/>
      </c>
      <c r="CK72" s="206">
        <f>SUMIFS(領用表!$L:$L,領用表!$E:$E,$B72,領用表!$B:$B,$CG$2&amp;CK$2)</f>
        <v/>
      </c>
      <c r="CL72" s="207">
        <f>SUM(AX72,AY72,AZ72,BA72,BB72,BC72,BH72,BM72,BR72,BW72,CB72,CG72)</f>
        <v/>
      </c>
      <c r="CM72" s="207">
        <f>AVERAGE(AX72,AY72,AZ72,BA72,BB72,BC72,BH72,BM72,BR72,BW72,CB72,CG72)</f>
        <v/>
      </c>
      <c r="CN72" s="208">
        <f>SUMIFS(領用表!$L:$L,領用表!$A:$A,CN$2,領用表!$E:$E,B72)</f>
        <v/>
      </c>
      <c r="CO72" s="206">
        <f>SUMIFS(領用表!$L:$L,領用表!$E:$E,$B72,領用表!$B:$B,CN$2&amp;CO$2)</f>
        <v/>
      </c>
      <c r="CP72" s="206">
        <f>SUMIFS(領用表!$L:$L,領用表!$E:$E,$B72,領用表!$B:$B,$CN$2&amp;CP$2)</f>
        <v/>
      </c>
      <c r="CQ72" s="206">
        <f>SUMIFS(領用表!$L:$L,領用表!$E:$E,$B72,領用表!$B:$B,$CN$2&amp;CQ$2)</f>
        <v/>
      </c>
      <c r="CR72" s="206">
        <f>SUMIFS(領用表!$L:$L,領用表!$E:$E,$B72,領用表!$B:$B,$CN$2&amp;CR$2)</f>
        <v/>
      </c>
      <c r="CS72" s="208">
        <f>SUMIFS(領用表!$L:$L,領用表!$A:$A,CS$2,領用表!$E:$E,B72)</f>
        <v/>
      </c>
      <c r="CT72" s="206">
        <f>SUMIFS(領用表!$L:$L,領用表!$E:$E,$B72,領用表!$B:$B,CS$2&amp;CT$2)</f>
        <v/>
      </c>
      <c r="CU72" s="206">
        <f>SUMIFS(領用表!$L:$L,領用表!$E:$E,$B72,領用表!$B:$B,$CS$2&amp;CU$2)</f>
        <v/>
      </c>
      <c r="CV72" s="206">
        <f>SUMIFS(領用表!$L:$L,領用表!$E:$E,$B72,領用表!$B:$B,$CS$2&amp;CV$2)</f>
        <v/>
      </c>
      <c r="CW72" s="206">
        <f>SUMIFS(領用表!$L:$L,領用表!$E:$E,$B72,領用表!$B:$B,$CS$2&amp;CW$2)</f>
        <v/>
      </c>
      <c r="CX72" s="206">
        <f>SUMIFS(領用表!$L:$L,領用表!$E:$E,$B72,領用表!$B:$B,$CS$2&amp;CX$2)</f>
        <v/>
      </c>
      <c r="CY72" s="208">
        <f>SUMIFS(領用表!$L:$L,領用表!$A:$A,CY$2,領用表!$E:$E,B72)</f>
        <v/>
      </c>
      <c r="CZ72" s="206">
        <f>SUMIFS(領用表!$L:$L,領用表!$E:$E,$B72,領用表!$B:$B,CY$2&amp;CZ$2)</f>
        <v/>
      </c>
      <c r="DA72" s="206">
        <f>SUMIFS(領用表!$L:$L,領用表!$E:$E,$B72,領用表!$B:$B,$CY$2&amp;DA$2)</f>
        <v/>
      </c>
      <c r="DB72" s="206">
        <f>SUMIFS(領用表!$L:$L,領用表!$E:$E,$B72,領用表!$B:$B,$CY$2&amp;DB$2)</f>
        <v/>
      </c>
      <c r="DC72" s="206">
        <f>SUMIFS(領用表!$L:$L,領用表!$E:$E,$B72,領用表!$B:$B,$CY$2&amp;DC$2)</f>
        <v/>
      </c>
      <c r="DD72" s="206">
        <f>SUMIFS(領用表!$L:$L,領用表!$E:$E,$B72,領用表!$B:$B,$CY$2&amp;DD$2)</f>
        <v/>
      </c>
      <c r="DE72" s="208">
        <f>SUMIFS(領用表!$L:$L,領用表!$A:$A,DE$2,領用表!$E:$E,B72)</f>
        <v/>
      </c>
      <c r="DF72" s="206">
        <f>SUMIFS(領用表!$L:$L,領用表!$E:$E,$B72,領用表!$B:$B,DE$2&amp;DF$2)</f>
        <v/>
      </c>
      <c r="DG72" s="206">
        <f>SUMIFS(領用表!$L:$L,領用表!$E:$E,$B72,領用表!$B:$B,$DE$2&amp;DG$2)</f>
        <v/>
      </c>
      <c r="DH72" s="206">
        <f>SUMIFS(領用表!$L:$L,領用表!$E:$E,$B72,領用表!$B:$B,$DE$2&amp;DH$2)</f>
        <v/>
      </c>
      <c r="DI72" s="206">
        <f>SUMIFS(領用表!$L:$L,領用表!$E:$E,$B72,領用表!$B:$B,$DE$2&amp;DI$2)</f>
        <v/>
      </c>
      <c r="DJ72" s="206">
        <f>SUMIFS(領用表!$L:$L,領用表!$E:$E,$B72,領用表!$B:$B,$DE$2&amp;DJ$2)</f>
        <v/>
      </c>
      <c r="DK72" s="208">
        <f>SUMIFS(領用表!$L:$L,領用表!$A:$A,DK$2,領用表!$E:$E,$B72)</f>
        <v/>
      </c>
      <c r="DL72" s="206">
        <f>SUMIFS(領用表!$L:$L,領用表!$E:$E,$B72,領用表!$B:$B,DK$2&amp;DL$2)</f>
        <v/>
      </c>
      <c r="DM72" s="206">
        <f>SUMIFS(領用表!$L:$L,領用表!$E:$E,$B72,領用表!$B:$B,$DK$2&amp;DM$2)</f>
        <v/>
      </c>
      <c r="DN72" s="206">
        <f>SUMIFS(領用表!$L:$L,領用表!$E:$E,$B72,領用表!$B:$B,$DK$2&amp;DN$2)</f>
        <v/>
      </c>
      <c r="DO72" s="206">
        <f>SUMIFS(領用表!$L:$L,領用表!$E:$E,$B72,領用表!$B:$B,$DK$2&amp;DO$2)</f>
        <v/>
      </c>
      <c r="DP72" s="206">
        <f>SUMIFS(領用表!$L:$L,領用表!$E:$E,$B72,領用表!$B:$B,$DK$2&amp;DP$2)</f>
        <v/>
      </c>
      <c r="DQ72" s="208" t="n">
        <v>9</v>
      </c>
      <c r="DR72" s="206" t="n"/>
      <c r="DS72" s="206" t="n"/>
      <c r="DT72" s="206" t="n">
        <v>9</v>
      </c>
      <c r="DU72" s="206" t="n"/>
      <c r="DV72" s="206" t="n"/>
      <c r="DW72" s="206">
        <f>SUM(CN72,CS72,CY72,DE72,DK72,DQ72)</f>
        <v/>
      </c>
      <c r="DX72" s="206">
        <f>AVERAGEA(CN72,CS72,CY72,DE72,DK72,DQ72)</f>
        <v/>
      </c>
      <c r="DY72" s="206">
        <f>SUM(DZ72:EC72)</f>
        <v/>
      </c>
      <c r="DZ72" s="206" t="n">
        <v>0</v>
      </c>
      <c r="EA72" s="206" t="n">
        <v>0</v>
      </c>
      <c r="EB72" s="206" t="n">
        <v>15</v>
      </c>
      <c r="EC72" s="206" t="n">
        <v>0</v>
      </c>
      <c r="ED72" s="209" t="n">
        <v>10</v>
      </c>
      <c r="EE72" s="204" t="n"/>
      <c r="EF72" s="283" t="n"/>
      <c r="EG72" s="204" t="inlineStr">
        <is>
          <t>13500-10/22</t>
        </is>
      </c>
      <c r="EH72" s="136" t="n"/>
      <c r="EI72" s="212" t="n"/>
      <c r="EJ72" s="118">
        <f>IFERROR(VLOOKUP(A72,站前4樓!A:BF,57,0),0)</f>
        <v/>
      </c>
      <c r="EK72" s="213">
        <f>IFERROR(VLOOKUP(A72,站前11樓!A:BE,57,0),0)</f>
        <v/>
      </c>
      <c r="EL72" s="118">
        <f>IFERROR(VLOOKUP(A72,忠孝7樓!A:N,57,0),0)</f>
        <v/>
      </c>
      <c r="EM72" s="118">
        <f>IFERROR(VLOOKUP(A72,忠孝國際醫學3樓!A:L,57,0),0)</f>
        <v/>
      </c>
      <c r="EN72" s="118">
        <f>SUM(ED72:EG72)</f>
        <v/>
      </c>
      <c r="EP72" s="118" t="n">
        <v>0</v>
      </c>
      <c r="EQ72" s="118" t="n">
        <v>18</v>
      </c>
    </row>
    <row r="73" ht="15.75" customFormat="1" customHeight="1" s="118">
      <c r="A73" s="136" t="inlineStr">
        <is>
          <t>MP1MB030002A</t>
        </is>
      </c>
      <c r="B73" s="118" t="n">
        <v>6170013</v>
      </c>
      <c r="C73" s="118" t="inlineStr">
        <is>
          <t>鳳凰電波4平方公分紫鑽探頭(900發)</t>
        </is>
      </c>
      <c r="D73" s="228" t="n">
        <v>1</v>
      </c>
      <c r="E73" s="198" t="inlineStr">
        <is>
          <t>PCS</t>
        </is>
      </c>
      <c r="F73" s="225">
        <f>SUMIF(站前4樓!B:B,B73,站前4樓!F:F)</f>
        <v/>
      </c>
      <c r="G73" s="225">
        <f>SUMIF(站前11樓!B:B,B73,站前11樓!F:F)</f>
        <v/>
      </c>
      <c r="H73" s="225">
        <f>SUMIF(忠孝7樓!B:B,B73,忠孝7樓!G:G)</f>
        <v/>
      </c>
      <c r="I73" s="225">
        <f>SUMIF(忠孝國際醫學3樓!B:B,B73,忠孝國際醫學3樓!G:G)</f>
        <v/>
      </c>
      <c r="J73" s="225">
        <f>SUMIF(忠孝健康7樓!B:B,B73,忠孝健康7樓!G:G)</f>
        <v/>
      </c>
      <c r="K73" s="200" t="n">
        <v>0</v>
      </c>
      <c r="L73" s="200" t="n">
        <v>2</v>
      </c>
      <c r="M73" s="200" t="n">
        <v>1</v>
      </c>
      <c r="N73" s="200" t="n">
        <v>3</v>
      </c>
      <c r="O73" s="200" t="n">
        <v>7</v>
      </c>
      <c r="P73" s="200" t="n">
        <v>12</v>
      </c>
      <c r="Q73" s="200" t="n">
        <v>9</v>
      </c>
      <c r="R73" s="200" t="n">
        <v>6</v>
      </c>
      <c r="S73" s="200" t="n">
        <v>3</v>
      </c>
      <c r="T73" s="200" t="n">
        <v>1</v>
      </c>
      <c r="U73" s="200" t="n">
        <v>5</v>
      </c>
      <c r="V73" s="200" t="n">
        <v>9</v>
      </c>
      <c r="W73" s="200" t="n">
        <v>10</v>
      </c>
      <c r="X73" s="200" t="n">
        <v>11</v>
      </c>
      <c r="Y73" s="200" t="n">
        <v>7</v>
      </c>
      <c r="Z73" s="200" t="n">
        <v>6</v>
      </c>
      <c r="AA73" s="200" t="n">
        <v>10</v>
      </c>
      <c r="AB73" s="200" t="n">
        <v>5</v>
      </c>
      <c r="AC73" s="200" t="n">
        <v>6</v>
      </c>
      <c r="AD73" s="200" t="n">
        <v>5</v>
      </c>
      <c r="AE73" s="200" t="n">
        <v>5</v>
      </c>
      <c r="AF73" s="200" t="n">
        <v>4</v>
      </c>
      <c r="AG73" s="200" t="n">
        <v>5</v>
      </c>
      <c r="AH73" s="200" t="n">
        <v>9</v>
      </c>
      <c r="AI73" s="200" t="n">
        <v>5</v>
      </c>
      <c r="AJ73" s="201" t="n">
        <v>9</v>
      </c>
      <c r="AK73" s="201" t="n">
        <v>1</v>
      </c>
      <c r="AL73" s="201" t="n">
        <v>7</v>
      </c>
      <c r="AM73" s="201" t="n">
        <v>7</v>
      </c>
      <c r="AN73" s="201" t="n">
        <v>4</v>
      </c>
      <c r="AO73" s="201" t="n">
        <v>2</v>
      </c>
      <c r="AP73" s="201" t="n">
        <v>16</v>
      </c>
      <c r="AQ73" s="201" t="n">
        <v>9</v>
      </c>
      <c r="AR73" s="201" t="n">
        <v>10</v>
      </c>
      <c r="AS73" s="201" t="n">
        <v>18</v>
      </c>
      <c r="AT73" s="512" t="n">
        <v>24</v>
      </c>
      <c r="AU73" s="203" t="n">
        <v>28</v>
      </c>
      <c r="AV73" s="204">
        <f>SUM(AJ73:AU73)</f>
        <v/>
      </c>
      <c r="AW73" s="513">
        <f>AV73/12</f>
        <v/>
      </c>
      <c r="AX73" s="203" t="n">
        <v>33</v>
      </c>
      <c r="AY73" s="203" t="n">
        <v>25</v>
      </c>
      <c r="AZ73" s="203" t="n">
        <v>45</v>
      </c>
      <c r="BA73" s="201" t="n">
        <v>25</v>
      </c>
      <c r="BB73" s="201" t="n">
        <v>14</v>
      </c>
      <c r="BC73" s="203">
        <f>SUMIFS(領用表!$L:$L,領用表!$A:$A,BC$2,領用表!$E:$E,B73)</f>
        <v/>
      </c>
      <c r="BD73" s="206">
        <f>SUMIFS(領用表!$L:$L,領用表!$E:$E,$B73,領用表!$B:$B,BC$2&amp;BD$2)</f>
        <v/>
      </c>
      <c r="BE73" s="206">
        <f>SUMIFS(領用表!$L:$L,領用表!$E:$E,$B73,領用表!$B:$B,$BC$2&amp;BE$2)</f>
        <v/>
      </c>
      <c r="BF73" s="206">
        <f>SUMIFS(領用表!$L:$L,領用表!$E:$E,$B73,領用表!$B:$B,$BC$2&amp;BF$2)</f>
        <v/>
      </c>
      <c r="BG73" s="206">
        <f>SUMIFS(領用表!$L:$L,領用表!$E:$E,$B73,領用表!$B:$B,$BC$2&amp;BG$2)</f>
        <v/>
      </c>
      <c r="BH73" s="203">
        <f>SUMIFS(領用表!$L:$L,領用表!$A:$A,BH$2,領用表!$E:$E,B73)</f>
        <v/>
      </c>
      <c r="BI73" s="260">
        <f>SUMIFS(領用表!$L:$L,領用表!$E:$E,$B73,領用表!$B:$B,BH$2&amp;BI$2)</f>
        <v/>
      </c>
      <c r="BJ73" s="260">
        <f>SUMIFS(領用表!$L:$L,領用表!$E:$E,$B73,領用表!$B:$B,$BH$2&amp;BJ$2)</f>
        <v/>
      </c>
      <c r="BK73" s="260">
        <f>SUMIFS(領用表!$L:$L,領用表!$E:$E,$B73,領用表!$B:$B,$BH$2&amp;BK$2)</f>
        <v/>
      </c>
      <c r="BL73" s="260">
        <f>SUMIFS(領用表!$L:$L,領用表!$E:$E,$B73,領用表!$B:$B,$BH$2&amp;BL$2)</f>
        <v/>
      </c>
      <c r="BM73" s="203">
        <f>SUMIFS(領用表!$L:$L,領用表!$A:$A,BM$2,領用表!$E:$E,B73)</f>
        <v/>
      </c>
      <c r="BN73" s="206">
        <f>SUMIFS(領用表!$L:$L,領用表!$E:$E,$B73,領用表!$B:$B,BM$2&amp;BN$2)</f>
        <v/>
      </c>
      <c r="BO73" s="206">
        <f>SUMIFS(領用表!$L:$L,領用表!$E:$E,$B73,領用表!$B:$B,$BM$2&amp;BO$2)</f>
        <v/>
      </c>
      <c r="BP73" s="206">
        <f>SUMIFS(領用表!$L:$L,領用表!$E:$E,$B73,領用表!$B:$B,$BM$2&amp;BP$2)</f>
        <v/>
      </c>
      <c r="BQ73" s="206">
        <f>SUMIFS(領用表!$L:$L,領用表!$E:$E,$B73,領用表!$B:$B,$BM$2&amp;BQ$2)</f>
        <v/>
      </c>
      <c r="BR73" s="203">
        <f>SUMIFS(領用表!$L:$L,領用表!$A:$A,BR$2,領用表!$E:$E,B73)</f>
        <v/>
      </c>
      <c r="BS73" s="206">
        <f>SUMIFS(領用表!$L:$L,領用表!$E:$E,$B73,領用表!$B:$B,BR$2&amp;BS$2)</f>
        <v/>
      </c>
      <c r="BT73" s="206">
        <f>SUMIFS(領用表!$L:$L,領用表!$E:$E,$B73,領用表!$B:$B,$BR$2&amp;BT$2)</f>
        <v/>
      </c>
      <c r="BU73" s="206">
        <f>SUMIFS(領用表!$L:$L,領用表!$E:$E,$B73,領用表!$B:$B,$BR$2&amp;BU$2)</f>
        <v/>
      </c>
      <c r="BV73" s="206">
        <f>SUMIFS(領用表!$L:$L,領用表!$E:$E,$B73,領用表!$B:$B,$BR$2&amp;BV$2)</f>
        <v/>
      </c>
      <c r="BW73" s="208">
        <f>SUMIFS(領用表!$L:$L,領用表!$A:$A,BW$2,領用表!$E:$E,B73)</f>
        <v/>
      </c>
      <c r="BX73" s="206">
        <f>SUMIFS(領用表!$L:$L,領用表!$E:$E,$B73,領用表!$B:$B,BW$2&amp;BX$2)</f>
        <v/>
      </c>
      <c r="BY73" s="206">
        <f>SUMIFS(領用表!$L:$L,領用表!$E:$E,$B73,領用表!$B:$B,$BW$2&amp;BY$2)</f>
        <v/>
      </c>
      <c r="BZ73" s="206">
        <f>SUMIFS(領用表!$L:$L,領用表!$E:$E,$B73,領用表!$B:$B,$BW$2&amp;BZ$2)</f>
        <v/>
      </c>
      <c r="CA73" s="206">
        <f>SUMIFS(領用表!$L:$L,領用表!$E:$E,$B73,領用表!$B:$B,$BW$2&amp;CA$2)</f>
        <v/>
      </c>
      <c r="CB73" s="208">
        <f>SUMIFS(領用表!$L:$L,領用表!$A:$A,CB$2,領用表!$E:$E,B73)</f>
        <v/>
      </c>
      <c r="CC73" s="206">
        <f>SUMIFS(領用表!$L:$L,領用表!$E:$E,$B73,領用表!$B:$B,CB$2&amp;CC$2)</f>
        <v/>
      </c>
      <c r="CD73" s="206">
        <f>SUMIFS(領用表!$L:$L,領用表!$E:$E,$B73,領用表!$B:$B,$CB$2&amp;CD$2)</f>
        <v/>
      </c>
      <c r="CE73" s="206">
        <f>SUMIFS(領用表!$L:$L,領用表!$E:$E,$B73,領用表!$B:$B,$CB$2&amp;CE$2)</f>
        <v/>
      </c>
      <c r="CF73" s="206">
        <f>SUMIFS(領用表!$L:$L,領用表!$E:$E,$B73,領用表!$B:$B,$CB$2&amp;CF$2)</f>
        <v/>
      </c>
      <c r="CG73" s="208">
        <f>SUMIFS(領用表!$L:$L,領用表!$A:$A,CG$2,領用表!$E:$E,B73)</f>
        <v/>
      </c>
      <c r="CH73" s="206">
        <f>SUMIFS(領用表!$L:$L,領用表!$E:$E,$B73,領用表!$B:$B,CG$2&amp;CH$2)</f>
        <v/>
      </c>
      <c r="CI73" s="206">
        <f>SUMIFS(領用表!$L:$L,領用表!$E:$E,$B73,領用表!$B:$B,CG$2&amp;CI$2)</f>
        <v/>
      </c>
      <c r="CJ73" s="206">
        <f>SUMIFS(領用表!$L:$L,領用表!$E:$E,$B73,領用表!$B:$B,CG$2&amp;CJ$2)</f>
        <v/>
      </c>
      <c r="CK73" s="206">
        <f>SUMIFS(領用表!$L:$L,領用表!$E:$E,$B73,領用表!$B:$B,$CG$2&amp;CK$2)</f>
        <v/>
      </c>
      <c r="CL73" s="207">
        <f>SUM(AX73,AY73,AZ73,BA73,BB73,BC73,BH73,BM73,BR73,BW73,CB73,CG73)</f>
        <v/>
      </c>
      <c r="CM73" s="207">
        <f>AVERAGE(AX73,AY73,AZ73,BA73,BB73,BC73,BH73,BM73,BR73,BW73,CB73,CG73)</f>
        <v/>
      </c>
      <c r="CN73" s="208">
        <f>SUMIFS(領用表!$L:$L,領用表!$A:$A,CN$2,領用表!$E:$E,B73)</f>
        <v/>
      </c>
      <c r="CO73" s="206">
        <f>SUMIFS(領用表!$L:$L,領用表!$E:$E,$B73,領用表!$B:$B,CN$2&amp;CO$2)</f>
        <v/>
      </c>
      <c r="CP73" s="206">
        <f>SUMIFS(領用表!$L:$L,領用表!$E:$E,$B73,領用表!$B:$B,$CN$2&amp;CP$2)</f>
        <v/>
      </c>
      <c r="CQ73" s="206">
        <f>SUMIFS(領用表!$L:$L,領用表!$E:$E,$B73,領用表!$B:$B,$CN$2&amp;CQ$2)</f>
        <v/>
      </c>
      <c r="CR73" s="206">
        <f>SUMIFS(領用表!$L:$L,領用表!$E:$E,$B73,領用表!$B:$B,$CN$2&amp;CR$2)</f>
        <v/>
      </c>
      <c r="CS73" s="208">
        <f>SUMIFS(領用表!$L:$L,領用表!$A:$A,CS$2,領用表!$E:$E,B73)</f>
        <v/>
      </c>
      <c r="CT73" s="206">
        <f>SUMIFS(領用表!$L:$L,領用表!$E:$E,$B73,領用表!$B:$B,CS$2&amp;CT$2)</f>
        <v/>
      </c>
      <c r="CU73" s="206">
        <f>SUMIFS(領用表!$L:$L,領用表!$E:$E,$B73,領用表!$B:$B,$CS$2&amp;CU$2)</f>
        <v/>
      </c>
      <c r="CV73" s="206">
        <f>SUMIFS(領用表!$L:$L,領用表!$E:$E,$B73,領用表!$B:$B,$CS$2&amp;CV$2)</f>
        <v/>
      </c>
      <c r="CW73" s="206">
        <f>SUMIFS(領用表!$L:$L,領用表!$E:$E,$B73,領用表!$B:$B,$CS$2&amp;CW$2)</f>
        <v/>
      </c>
      <c r="CX73" s="206">
        <f>SUMIFS(領用表!$L:$L,領用表!$E:$E,$B73,領用表!$B:$B,$CS$2&amp;CX$2)</f>
        <v/>
      </c>
      <c r="CY73" s="208">
        <f>SUMIFS(領用表!$L:$L,領用表!$A:$A,CY$2,領用表!$E:$E,B73)</f>
        <v/>
      </c>
      <c r="CZ73" s="206">
        <f>SUMIFS(領用表!$L:$L,領用表!$E:$E,$B73,領用表!$B:$B,CY$2&amp;CZ$2)</f>
        <v/>
      </c>
      <c r="DA73" s="206">
        <f>SUMIFS(領用表!$L:$L,領用表!$E:$E,$B73,領用表!$B:$B,$CY$2&amp;DA$2)</f>
        <v/>
      </c>
      <c r="DB73" s="206">
        <f>SUMIFS(領用表!$L:$L,領用表!$E:$E,$B73,領用表!$B:$B,$CY$2&amp;DB$2)</f>
        <v/>
      </c>
      <c r="DC73" s="206">
        <f>SUMIFS(領用表!$L:$L,領用表!$E:$E,$B73,領用表!$B:$B,$CY$2&amp;DC$2)</f>
        <v/>
      </c>
      <c r="DD73" s="206">
        <f>SUMIFS(領用表!$L:$L,領用表!$E:$E,$B73,領用表!$B:$B,$CY$2&amp;DD$2)</f>
        <v/>
      </c>
      <c r="DE73" s="208">
        <f>SUMIFS(領用表!$L:$L,領用表!$A:$A,DE$2,領用表!$E:$E,B73)</f>
        <v/>
      </c>
      <c r="DF73" s="206">
        <f>SUMIFS(領用表!$L:$L,領用表!$E:$E,$B73,領用表!$B:$B,DE$2&amp;DF$2)</f>
        <v/>
      </c>
      <c r="DG73" s="206">
        <f>SUMIFS(領用表!$L:$L,領用表!$E:$E,$B73,領用表!$B:$B,$DE$2&amp;DG$2)</f>
        <v/>
      </c>
      <c r="DH73" s="206">
        <f>SUMIFS(領用表!$L:$L,領用表!$E:$E,$B73,領用表!$B:$B,$DE$2&amp;DH$2)</f>
        <v/>
      </c>
      <c r="DI73" s="206">
        <f>SUMIFS(領用表!$L:$L,領用表!$E:$E,$B73,領用表!$B:$B,$DE$2&amp;DI$2)</f>
        <v/>
      </c>
      <c r="DJ73" s="206">
        <f>SUMIFS(領用表!$L:$L,領用表!$E:$E,$B73,領用表!$B:$B,$DE$2&amp;DJ$2)</f>
        <v/>
      </c>
      <c r="DK73" s="208">
        <f>SUMIFS(領用表!$L:$L,領用表!$A:$A,DK$2,領用表!$E:$E,$B73)</f>
        <v/>
      </c>
      <c r="DL73" s="206">
        <f>SUMIFS(領用表!$L:$L,領用表!$E:$E,$B73,領用表!$B:$B,DK$2&amp;DL$2)</f>
        <v/>
      </c>
      <c r="DM73" s="206">
        <f>SUMIFS(領用表!$L:$L,領用表!$E:$E,$B73,領用表!$B:$B,$DK$2&amp;DM$2)</f>
        <v/>
      </c>
      <c r="DN73" s="206">
        <f>SUMIFS(領用表!$L:$L,領用表!$E:$E,$B73,領用表!$B:$B,$DK$2&amp;DN$2)</f>
        <v/>
      </c>
      <c r="DO73" s="206">
        <f>SUMIFS(領用表!$L:$L,領用表!$E:$E,$B73,領用表!$B:$B,$DK$2&amp;DO$2)</f>
        <v/>
      </c>
      <c r="DP73" s="206">
        <f>SUMIFS(領用表!$L:$L,領用表!$E:$E,$B73,領用表!$B:$B,$DK$2&amp;DP$2)</f>
        <v/>
      </c>
      <c r="DQ73" s="208" t="n">
        <v>13</v>
      </c>
      <c r="DR73" s="206" t="n"/>
      <c r="DS73" s="206" t="n"/>
      <c r="DT73" s="206" t="n">
        <v>12</v>
      </c>
      <c r="DU73" s="206" t="n"/>
      <c r="DV73" s="206" t="n">
        <v>1</v>
      </c>
      <c r="DW73" s="206">
        <f>SUM(CN73,CS73,CY73,DE73,DK73,DQ73)</f>
        <v/>
      </c>
      <c r="DX73" s="206">
        <f>AVERAGEA(CN73,CS73,CY73,DE73,DK73,DQ73)</f>
        <v/>
      </c>
      <c r="DY73" s="206">
        <f>SUM(DZ73:EC73)</f>
        <v/>
      </c>
      <c r="DZ73" s="206" t="n">
        <v>0</v>
      </c>
      <c r="EA73" s="206" t="n">
        <v>0</v>
      </c>
      <c r="EB73" s="206" t="n">
        <v>30</v>
      </c>
      <c r="EC73" s="206" t="n">
        <v>0</v>
      </c>
      <c r="ED73" s="209" t="n">
        <v>30</v>
      </c>
      <c r="EE73" s="204" t="n"/>
      <c r="EF73" s="204" t="n"/>
      <c r="EG73" s="204" t="inlineStr">
        <is>
          <t>27000-10/22</t>
        </is>
      </c>
      <c r="EH73" s="284" t="n"/>
      <c r="EI73" s="212" t="n"/>
      <c r="EJ73" s="118">
        <f>IFERROR(VLOOKUP(A73,站前4樓!A:BF,57,0),0)</f>
        <v/>
      </c>
      <c r="EK73" s="213">
        <f>IFERROR(VLOOKUP(A73,站前11樓!A:BE,57,0),0)</f>
        <v/>
      </c>
      <c r="EL73" s="118">
        <f>IFERROR(VLOOKUP(A73,忠孝7樓!A:N,57,0),0)</f>
        <v/>
      </c>
      <c r="EM73" s="118">
        <f>IFERROR(VLOOKUP(A73,忠孝國際醫學3樓!A:L,57,0),0)</f>
        <v/>
      </c>
      <c r="EN73" s="118">
        <f>SUM(ED73:EG73)</f>
        <v/>
      </c>
      <c r="EP73" s="118" t="n">
        <v>0</v>
      </c>
      <c r="EQ73" s="118" t="n">
        <v>14</v>
      </c>
    </row>
    <row r="74" ht="15.75" customFormat="1" customHeight="1" s="118">
      <c r="A74" s="136" t="inlineStr">
        <is>
          <t>MP1MC030001A</t>
        </is>
      </c>
      <c r="B74" s="118" t="n">
        <v>6170015</v>
      </c>
      <c r="C74" s="411" t="inlineStr">
        <is>
          <t>鳳凰電波16平方公分黃金美體探頭(500發)</t>
        </is>
      </c>
      <c r="D74" s="228" t="n">
        <v>1</v>
      </c>
      <c r="E74" s="198" t="inlineStr">
        <is>
          <t>PCS</t>
        </is>
      </c>
      <c r="F74" s="225">
        <f>SUMIF(站前4樓!B:B,B74,站前4樓!F:F)</f>
        <v/>
      </c>
      <c r="G74" s="225">
        <f>SUMIF(站前11樓!B:B,B74,站前11樓!F:F)</f>
        <v/>
      </c>
      <c r="H74" s="225">
        <f>SUMIF(忠孝7樓!B:B,B74,忠孝7樓!G:G)</f>
        <v/>
      </c>
      <c r="I74" s="225">
        <f>SUMIF(忠孝國際醫學3樓!B:B,B74,忠孝國際醫學3樓!G:G)</f>
        <v/>
      </c>
      <c r="J74" s="225">
        <f>SUMIF(忠孝健康7樓!B:B,B74,忠孝健康7樓!G:G)</f>
        <v/>
      </c>
      <c r="K74" s="200" t="n">
        <v>0</v>
      </c>
      <c r="L74" s="200" t="n">
        <v>0</v>
      </c>
      <c r="M74" s="200" t="n">
        <v>0</v>
      </c>
      <c r="N74" s="200" t="n">
        <v>1</v>
      </c>
      <c r="O74" s="200" t="n">
        <v>0</v>
      </c>
      <c r="P74" s="200" t="n">
        <v>0</v>
      </c>
      <c r="Q74" s="200" t="n">
        <v>1</v>
      </c>
      <c r="R74" s="200" t="n">
        <v>2</v>
      </c>
      <c r="S74" s="200" t="n">
        <v>1</v>
      </c>
      <c r="T74" s="200" t="n">
        <v>0</v>
      </c>
      <c r="U74" s="200" t="n">
        <v>0</v>
      </c>
      <c r="V74" s="200" t="n">
        <v>0</v>
      </c>
      <c r="W74" s="200" t="n">
        <v>0</v>
      </c>
      <c r="X74" s="200" t="n">
        <v>0</v>
      </c>
      <c r="Y74" s="200" t="n">
        <v>0</v>
      </c>
      <c r="Z74" s="200" t="n">
        <v>0</v>
      </c>
      <c r="AA74" s="200" t="n">
        <v>0</v>
      </c>
      <c r="AB74" s="200" t="n">
        <v>0</v>
      </c>
      <c r="AC74" s="200" t="n">
        <v>0</v>
      </c>
      <c r="AD74" s="200" t="n">
        <v>0</v>
      </c>
      <c r="AE74" s="200" t="n">
        <v>0</v>
      </c>
      <c r="AF74" s="200" t="n">
        <v>0</v>
      </c>
      <c r="AG74" s="200" t="n">
        <v>0</v>
      </c>
      <c r="AH74" s="200" t="n">
        <v>0</v>
      </c>
      <c r="AI74" s="200" t="n">
        <v>0</v>
      </c>
      <c r="AJ74" s="201" t="n">
        <v>0</v>
      </c>
      <c r="AK74" s="201" t="n">
        <v>0</v>
      </c>
      <c r="AL74" s="201" t="n">
        <v>0</v>
      </c>
      <c r="AM74" s="201" t="n">
        <v>0</v>
      </c>
      <c r="AN74" s="201" t="n">
        <v>0</v>
      </c>
      <c r="AO74" s="201" t="n">
        <v>1</v>
      </c>
      <c r="AP74" s="201" t="n">
        <v>0</v>
      </c>
      <c r="AQ74" s="201" t="n">
        <v>0</v>
      </c>
      <c r="AR74" s="201" t="n">
        <v>0</v>
      </c>
      <c r="AS74" s="201" t="n">
        <v>0</v>
      </c>
      <c r="AT74" s="512" t="n">
        <v>0</v>
      </c>
      <c r="AU74" s="203" t="n">
        <v>0</v>
      </c>
      <c r="AV74" s="204">
        <f>SUM(AJ74:AU74)</f>
        <v/>
      </c>
      <c r="AW74" s="513">
        <f>AV74/12</f>
        <v/>
      </c>
      <c r="AX74" s="203" t="inlineStr">
        <is>
          <t>-</t>
        </is>
      </c>
      <c r="AY74" s="203" t="n">
        <v>0</v>
      </c>
      <c r="AZ74" s="203" t="n">
        <v>0</v>
      </c>
      <c r="BA74" s="201" t="n">
        <v>0</v>
      </c>
      <c r="BB74" s="201" t="n">
        <v>0</v>
      </c>
      <c r="BC74" s="203">
        <f>SUMIFS(領用表!$L:$L,領用表!$A:$A,BC$2,領用表!$E:$E,B74)</f>
        <v/>
      </c>
      <c r="BD74" s="206">
        <f>SUMIFS(領用表!$L:$L,領用表!$E:$E,$B74,領用表!$B:$B,BC$2&amp;BD$2)</f>
        <v/>
      </c>
      <c r="BE74" s="206">
        <f>SUMIFS(領用表!$L:$L,領用表!$E:$E,$B74,領用表!$B:$B,$BC$2&amp;BE$2)</f>
        <v/>
      </c>
      <c r="BF74" s="206">
        <f>SUMIFS(領用表!$L:$L,領用表!$E:$E,$B74,領用表!$B:$B,$BC$2&amp;BF$2)</f>
        <v/>
      </c>
      <c r="BG74" s="206">
        <f>SUMIFS(領用表!$L:$L,領用表!$E:$E,$B74,領用表!$B:$B,$BC$2&amp;BG$2)</f>
        <v/>
      </c>
      <c r="BH74" s="203">
        <f>SUMIFS(領用表!$L:$L,領用表!$A:$A,BH$2,領用表!$E:$E,B74)</f>
        <v/>
      </c>
      <c r="BI74" s="260">
        <f>SUMIFS(領用表!$L:$L,領用表!$E:$E,$B74,領用表!$B:$B,BH$2&amp;BI$2)</f>
        <v/>
      </c>
      <c r="BJ74" s="260">
        <f>SUMIFS(領用表!$L:$L,領用表!$E:$E,$B74,領用表!$B:$B,$BH$2&amp;BJ$2)</f>
        <v/>
      </c>
      <c r="BK74" s="260">
        <f>SUMIFS(領用表!$L:$L,領用表!$E:$E,$B74,領用表!$B:$B,$BH$2&amp;BK$2)</f>
        <v/>
      </c>
      <c r="BL74" s="260">
        <f>SUMIFS(領用表!$L:$L,領用表!$E:$E,$B74,領用表!$B:$B,$BH$2&amp;BL$2)</f>
        <v/>
      </c>
      <c r="BM74" s="203">
        <f>SUMIFS(領用表!$L:$L,領用表!$A:$A,BM$2,領用表!$E:$E,B74)</f>
        <v/>
      </c>
      <c r="BN74" s="206">
        <f>SUMIFS(領用表!$L:$L,領用表!$E:$E,$B74,領用表!$B:$B,BM$2&amp;BN$2)</f>
        <v/>
      </c>
      <c r="BO74" s="206">
        <f>SUMIFS(領用表!$L:$L,領用表!$E:$E,$B74,領用表!$B:$B,$BM$2&amp;BO$2)</f>
        <v/>
      </c>
      <c r="BP74" s="206">
        <f>SUMIFS(領用表!$L:$L,領用表!$E:$E,$B74,領用表!$B:$B,$BM$2&amp;BP$2)</f>
        <v/>
      </c>
      <c r="BQ74" s="206">
        <f>SUMIFS(領用表!$L:$L,領用表!$E:$E,$B74,領用表!$B:$B,$BM$2&amp;BQ$2)</f>
        <v/>
      </c>
      <c r="BR74" s="203">
        <f>SUMIFS(領用表!$L:$L,領用表!$A:$A,BR$2,領用表!$E:$E,B74)</f>
        <v/>
      </c>
      <c r="BS74" s="206">
        <f>SUMIFS(領用表!$L:$L,領用表!$E:$E,$B74,領用表!$B:$B,BR$2&amp;BS$2)</f>
        <v/>
      </c>
      <c r="BT74" s="206">
        <f>SUMIFS(領用表!$L:$L,領用表!$E:$E,$B74,領用表!$B:$B,$BR$2&amp;BT$2)</f>
        <v/>
      </c>
      <c r="BU74" s="206">
        <f>SUMIFS(領用表!$L:$L,領用表!$E:$E,$B74,領用表!$B:$B,$BR$2&amp;BU$2)</f>
        <v/>
      </c>
      <c r="BV74" s="206">
        <f>SUMIFS(領用表!$L:$L,領用表!$E:$E,$B74,領用表!$B:$B,$BR$2&amp;BV$2)</f>
        <v/>
      </c>
      <c r="BW74" s="208">
        <f>SUMIFS(領用表!$L:$L,領用表!$A:$A,BW$2,領用表!$E:$E,B74)</f>
        <v/>
      </c>
      <c r="BX74" s="206">
        <f>SUMIFS(領用表!$L:$L,領用表!$E:$E,$B74,領用表!$B:$B,BW$2&amp;BX$2)</f>
        <v/>
      </c>
      <c r="BY74" s="206">
        <f>SUMIFS(領用表!$L:$L,領用表!$E:$E,$B74,領用表!$B:$B,$BW$2&amp;BY$2)</f>
        <v/>
      </c>
      <c r="BZ74" s="206">
        <f>SUMIFS(領用表!$L:$L,領用表!$E:$E,$B74,領用表!$B:$B,$BW$2&amp;BZ$2)</f>
        <v/>
      </c>
      <c r="CA74" s="206">
        <f>SUMIFS(領用表!$L:$L,領用表!$E:$E,$B74,領用表!$B:$B,$BW$2&amp;CA$2)</f>
        <v/>
      </c>
      <c r="CB74" s="208">
        <f>SUMIFS(領用表!$L:$L,領用表!$A:$A,CB$2,領用表!$E:$E,B74)</f>
        <v/>
      </c>
      <c r="CC74" s="206">
        <f>SUMIFS(領用表!$L:$L,領用表!$E:$E,$B74,領用表!$B:$B,CB$2&amp;CC$2)</f>
        <v/>
      </c>
      <c r="CD74" s="206">
        <f>SUMIFS(領用表!$L:$L,領用表!$E:$E,$B74,領用表!$B:$B,$CB$2&amp;CD$2)</f>
        <v/>
      </c>
      <c r="CE74" s="206">
        <f>SUMIFS(領用表!$L:$L,領用表!$E:$E,$B74,領用表!$B:$B,$CB$2&amp;CE$2)</f>
        <v/>
      </c>
      <c r="CF74" s="206">
        <f>SUMIFS(領用表!$L:$L,領用表!$E:$E,$B74,領用表!$B:$B,$CB$2&amp;CF$2)</f>
        <v/>
      </c>
      <c r="CG74" s="208">
        <f>SUMIFS(領用表!$L:$L,領用表!$A:$A,CG$2,領用表!$E:$E,B74)</f>
        <v/>
      </c>
      <c r="CH74" s="206">
        <f>SUMIFS(領用表!$L:$L,領用表!$E:$E,$B74,領用表!$B:$B,CG$2&amp;CH$2)</f>
        <v/>
      </c>
      <c r="CI74" s="206">
        <f>SUMIFS(領用表!$L:$L,領用表!$E:$E,$B74,領用表!$B:$B,CG$2&amp;CI$2)</f>
        <v/>
      </c>
      <c r="CJ74" s="206">
        <f>SUMIFS(領用表!$L:$L,領用表!$E:$E,$B74,領用表!$B:$B,CG$2&amp;CJ$2)</f>
        <v/>
      </c>
      <c r="CK74" s="206">
        <f>SUMIFS(領用表!$L:$L,領用表!$E:$E,$B74,領用表!$B:$B,$CG$2&amp;CK$2)</f>
        <v/>
      </c>
      <c r="CL74" s="207">
        <f>SUM(AX74,AY74,AZ74,BA74,BB74,BC74,BH74,BM74,BR74,BW74,CB74,CG74)</f>
        <v/>
      </c>
      <c r="CM74" s="207">
        <f>AVERAGE(AX74,AY74,AZ74,BA74,BB74,BC74,BH74,BM74,BR74,BW74,CB74,CG74)</f>
        <v/>
      </c>
      <c r="CN74" s="208">
        <f>SUMIFS(領用表!$L:$L,領用表!$A:$A,CN$2,領用表!$E:$E,B74)</f>
        <v/>
      </c>
      <c r="CO74" s="206">
        <f>SUMIFS(領用表!$L:$L,領用表!$E:$E,$B74,領用表!$B:$B,CN$2&amp;CO$2)</f>
        <v/>
      </c>
      <c r="CP74" s="206">
        <f>SUMIFS(領用表!$L:$L,領用表!$E:$E,$B74,領用表!$B:$B,$CN$2&amp;CP$2)</f>
        <v/>
      </c>
      <c r="CQ74" s="206">
        <f>SUMIFS(領用表!$L:$L,領用表!$E:$E,$B74,領用表!$B:$B,$CN$2&amp;CQ$2)</f>
        <v/>
      </c>
      <c r="CR74" s="206">
        <f>SUMIFS(領用表!$L:$L,領用表!$E:$E,$B74,領用表!$B:$B,$CN$2&amp;CR$2)</f>
        <v/>
      </c>
      <c r="CS74" s="208">
        <f>SUMIFS(領用表!$L:$L,領用表!$A:$A,CS$2,領用表!$E:$E,B74)</f>
        <v/>
      </c>
      <c r="CT74" s="206">
        <f>SUMIFS(領用表!$L:$L,領用表!$E:$E,$B74,領用表!$B:$B,CS$2&amp;CT$2)</f>
        <v/>
      </c>
      <c r="CU74" s="206">
        <f>SUMIFS(領用表!$L:$L,領用表!$E:$E,$B74,領用表!$B:$B,$CS$2&amp;CU$2)</f>
        <v/>
      </c>
      <c r="CV74" s="206">
        <f>SUMIFS(領用表!$L:$L,領用表!$E:$E,$B74,領用表!$B:$B,$CS$2&amp;CV$2)</f>
        <v/>
      </c>
      <c r="CW74" s="206">
        <f>SUMIFS(領用表!$L:$L,領用表!$E:$E,$B74,領用表!$B:$B,$CS$2&amp;CW$2)</f>
        <v/>
      </c>
      <c r="CX74" s="206">
        <f>SUMIFS(領用表!$L:$L,領用表!$E:$E,$B74,領用表!$B:$B,$CS$2&amp;CX$2)</f>
        <v/>
      </c>
      <c r="CY74" s="208">
        <f>SUMIFS(領用表!$L:$L,領用表!$A:$A,CY$2,領用表!$E:$E,B74)</f>
        <v/>
      </c>
      <c r="CZ74" s="206">
        <f>SUMIFS(領用表!$L:$L,領用表!$E:$E,$B74,領用表!$B:$B,CY$2&amp;CZ$2)</f>
        <v/>
      </c>
      <c r="DA74" s="206">
        <f>SUMIFS(領用表!$L:$L,領用表!$E:$E,$B74,領用表!$B:$B,$CY$2&amp;DA$2)</f>
        <v/>
      </c>
      <c r="DB74" s="206">
        <f>SUMIFS(領用表!$L:$L,領用表!$E:$E,$B74,領用表!$B:$B,$CY$2&amp;DB$2)</f>
        <v/>
      </c>
      <c r="DC74" s="206">
        <f>SUMIFS(領用表!$L:$L,領用表!$E:$E,$B74,領用表!$B:$B,$CY$2&amp;DC$2)</f>
        <v/>
      </c>
      <c r="DD74" s="206">
        <f>SUMIFS(領用表!$L:$L,領用表!$E:$E,$B74,領用表!$B:$B,$CY$2&amp;DD$2)</f>
        <v/>
      </c>
      <c r="DE74" s="208">
        <f>SUMIFS(領用表!$L:$L,領用表!$A:$A,DE$2,領用表!$E:$E,B74)</f>
        <v/>
      </c>
      <c r="DF74" s="206">
        <f>SUMIFS(領用表!$L:$L,領用表!$E:$E,$B74,領用表!$B:$B,DE$2&amp;DF$2)</f>
        <v/>
      </c>
      <c r="DG74" s="206">
        <f>SUMIFS(領用表!$L:$L,領用表!$E:$E,$B74,領用表!$B:$B,$DE$2&amp;DG$2)</f>
        <v/>
      </c>
      <c r="DH74" s="206">
        <f>SUMIFS(領用表!$L:$L,領用表!$E:$E,$B74,領用表!$B:$B,$DE$2&amp;DH$2)</f>
        <v/>
      </c>
      <c r="DI74" s="206">
        <f>SUMIFS(領用表!$L:$L,領用表!$E:$E,$B74,領用表!$B:$B,$DE$2&amp;DI$2)</f>
        <v/>
      </c>
      <c r="DJ74" s="206">
        <f>SUMIFS(領用表!$L:$L,領用表!$E:$E,$B74,領用表!$B:$B,$DE$2&amp;DJ$2)</f>
        <v/>
      </c>
      <c r="DK74" s="208">
        <f>SUMIFS(領用表!$L:$L,領用表!$A:$A,DK$2,領用表!$E:$E,$B74)</f>
        <v/>
      </c>
      <c r="DL74" s="206">
        <f>SUMIFS(領用表!$L:$L,領用表!$E:$E,$B74,領用表!$B:$B,DK$2&amp;DL$2)</f>
        <v/>
      </c>
      <c r="DM74" s="206">
        <f>SUMIFS(領用表!$L:$L,領用表!$E:$E,$B74,領用表!$B:$B,$DK$2&amp;DM$2)</f>
        <v/>
      </c>
      <c r="DN74" s="206">
        <f>SUMIFS(領用表!$L:$L,領用表!$E:$E,$B74,領用表!$B:$B,$DK$2&amp;DN$2)</f>
        <v/>
      </c>
      <c r="DO74" s="206">
        <f>SUMIFS(領用表!$L:$L,領用表!$E:$E,$B74,領用表!$B:$B,$DK$2&amp;DO$2)</f>
        <v/>
      </c>
      <c r="DP74" s="206">
        <f>SUMIFS(領用表!$L:$L,領用表!$E:$E,$B74,領用表!$B:$B,$DK$2&amp;DP$2)</f>
        <v/>
      </c>
      <c r="DQ74" s="208" t="n"/>
      <c r="DR74" s="206" t="n"/>
      <c r="DS74" s="206" t="n"/>
      <c r="DT74" s="206" t="n"/>
      <c r="DU74" s="206" t="n"/>
      <c r="DV74" s="206" t="n"/>
      <c r="DW74" s="206">
        <f>SUM(CN74,CS74,CY74,DE74,DK74,DQ74)</f>
        <v/>
      </c>
      <c r="DX74" s="206">
        <f>AVERAGEA(CN74,CS74,CY74,DE74,DK74,DQ74)</f>
        <v/>
      </c>
      <c r="DY74" s="206">
        <f>SUM(DZ74:EC74)</f>
        <v/>
      </c>
      <c r="DZ74" s="206" t="n">
        <v>0</v>
      </c>
      <c r="EA74" s="206" t="n">
        <v>0</v>
      </c>
      <c r="EB74" s="206" t="n">
        <v>0</v>
      </c>
      <c r="EC74" s="206" t="n">
        <v>0</v>
      </c>
      <c r="ED74" s="209" t="n">
        <v>1</v>
      </c>
      <c r="EE74" s="204" t="n"/>
      <c r="EF74" s="283" t="n"/>
      <c r="EG74" s="283" t="n"/>
      <c r="EH74" s="263" t="n"/>
      <c r="EI74" s="212" t="n"/>
      <c r="EJ74" s="118">
        <f>IFERROR(VLOOKUP(A74,站前4樓!A:BF,57,0),0)</f>
        <v/>
      </c>
      <c r="EK74" s="213">
        <f>IFERROR(VLOOKUP(A74,站前11樓!A:BE,57,0),0)</f>
        <v/>
      </c>
      <c r="EL74" s="118">
        <f>IFERROR(VLOOKUP(A74,忠孝7樓!A:N,57,0),0)</f>
        <v/>
      </c>
      <c r="EM74" s="118">
        <f>IFERROR(VLOOKUP(A74,忠孝國際醫學3樓!A:L,57,0),0)</f>
        <v/>
      </c>
      <c r="EN74" s="118">
        <f>SUM(ED74:EG74)</f>
        <v/>
      </c>
      <c r="EP74" s="118" t="n">
        <v>0</v>
      </c>
      <c r="EQ74" s="118" t="n">
        <v>1</v>
      </c>
    </row>
    <row r="75" ht="15.75" customFormat="1" customHeight="1" s="118">
      <c r="A75" s="136" t="inlineStr">
        <is>
          <t>MB3ME100001A</t>
        </is>
      </c>
      <c r="B75" s="118" t="n">
        <v>6140001</v>
      </c>
      <c r="C75" s="118" t="inlineStr">
        <is>
          <t>保妥適Botox 100u/ vial  (因稀釋手法會有些許差異)</t>
        </is>
      </c>
      <c r="D75" s="285" t="n">
        <v>100</v>
      </c>
      <c r="E75" s="198" t="inlineStr">
        <is>
          <t>U</t>
        </is>
      </c>
      <c r="F75" s="225">
        <f>SUMIF(站前4樓!B:B,B75,站前4樓!F:F)</f>
        <v/>
      </c>
      <c r="G75" s="225">
        <f>SUMIF(站前11樓!B:B,B75,站前11樓!F:F)</f>
        <v/>
      </c>
      <c r="H75" s="225">
        <f>SUMIF(忠孝7樓!B:B,B75,忠孝7樓!G:G)</f>
        <v/>
      </c>
      <c r="I75" s="225">
        <f>SUMIF(忠孝國際醫學3樓!B:B,B75,忠孝國際醫學3樓!G:G)</f>
        <v/>
      </c>
      <c r="J75" s="225">
        <f>SUMIF(忠孝健康7樓!B:B,B75,忠孝健康7樓!G:G)</f>
        <v/>
      </c>
      <c r="K75" s="283" t="n"/>
      <c r="L75" s="283" t="n"/>
      <c r="M75" s="283" t="n"/>
      <c r="N75" s="283" t="n"/>
      <c r="O75" s="283" t="n"/>
      <c r="P75" s="283" t="n"/>
      <c r="Q75" s="283" t="n"/>
      <c r="R75" s="283" t="n"/>
      <c r="S75" s="283" t="n"/>
      <c r="T75" s="283" t="n"/>
      <c r="U75" s="283" t="n"/>
      <c r="V75" s="283" t="n"/>
      <c r="W75" s="283" t="n"/>
      <c r="X75" s="283" t="n"/>
      <c r="Y75" s="283" t="n"/>
      <c r="Z75" s="283" t="n"/>
      <c r="AA75" s="283" t="n"/>
      <c r="AB75" s="283" t="n"/>
      <c r="AC75" s="283" t="n"/>
      <c r="AD75" s="283" t="n"/>
      <c r="AE75" s="283" t="n"/>
      <c r="AF75" s="283" t="n"/>
      <c r="AG75" s="283" t="n"/>
      <c r="AH75" s="283" t="n"/>
      <c r="AI75" s="283" t="n"/>
      <c r="AJ75" s="201" t="n">
        <v>1299</v>
      </c>
      <c r="AK75" s="201" t="n">
        <v>412</v>
      </c>
      <c r="AL75" s="201" t="n">
        <v>1360</v>
      </c>
      <c r="AM75" s="201" t="n">
        <v>1029</v>
      </c>
      <c r="AN75" s="201" t="n">
        <v>1039</v>
      </c>
      <c r="AO75" s="201" t="n">
        <v>856</v>
      </c>
      <c r="AP75" s="201" t="n">
        <v>1736</v>
      </c>
      <c r="AQ75" s="201" t="n">
        <v>1284</v>
      </c>
      <c r="AR75" s="201" t="n">
        <v>1556</v>
      </c>
      <c r="AS75" s="201" t="n">
        <v>2374</v>
      </c>
      <c r="AT75" s="201" t="n">
        <v>1860</v>
      </c>
      <c r="AU75" s="201" t="n">
        <v>2408</v>
      </c>
      <c r="AV75" s="283">
        <f>SUM(AJ75:AU75)</f>
        <v/>
      </c>
      <c r="AW75" s="286">
        <f>AV75/12</f>
        <v/>
      </c>
      <c r="AX75" s="201" t="n">
        <v>1847</v>
      </c>
      <c r="AY75" s="201" t="n">
        <v>1154</v>
      </c>
      <c r="AZ75" s="201" t="n">
        <v>2146</v>
      </c>
      <c r="BA75" s="201" t="n">
        <v>3235</v>
      </c>
      <c r="BB75" s="201" t="n">
        <v>3520</v>
      </c>
      <c r="BC75" s="203">
        <f>SUMIFS(領用表!$L:$L,領用表!$A:$A,BC$2,領用表!$E:$E,B75)</f>
        <v/>
      </c>
      <c r="BD75" s="287">
        <f>SUMIFS(領用表!$L:$L,領用表!$E:$E,$B75,領用表!$B:$B,BC$2&amp;BD$2)</f>
        <v/>
      </c>
      <c r="BE75" s="287">
        <f>SUMIFS(領用表!$L:$L,領用表!$E:$E,$B75,領用表!$B:$B,$BC$2&amp;BE$2)</f>
        <v/>
      </c>
      <c r="BF75" s="287">
        <f>SUMIFS(領用表!$L:$L,領用表!$E:$E,$B75,領用表!$B:$B,$BC$2&amp;BF$2)</f>
        <v/>
      </c>
      <c r="BG75" s="206">
        <f>SUMIFS(領用表!$L:$L,領用表!$E:$E,$B75,領用表!$B:$B,$BC$2&amp;BG$2)</f>
        <v/>
      </c>
      <c r="BH75" s="203">
        <f>SUMIFS(領用表!$L:$L,領用表!$A:$A,BH$2,領用表!$E:$E,B75)</f>
        <v/>
      </c>
      <c r="BI75" s="260">
        <f>SUMIFS(領用表!$L:$L,領用表!$E:$E,$B75,領用表!$B:$B,BH$2&amp;BI$2)</f>
        <v/>
      </c>
      <c r="BJ75" s="260">
        <f>SUMIFS(領用表!$L:$L,領用表!$E:$E,$B75,領用表!$B:$B,$BH$2&amp;BJ$2)</f>
        <v/>
      </c>
      <c r="BK75" s="260">
        <f>SUMIFS(領用表!$L:$L,領用表!$E:$E,$B75,領用表!$B:$B,$BH$2&amp;BK$2)</f>
        <v/>
      </c>
      <c r="BL75" s="260">
        <f>SUMIFS(領用表!$L:$L,領用表!$E:$E,$B75,領用表!$B:$B,$BH$2&amp;BL$2)</f>
        <v/>
      </c>
      <c r="BM75" s="203">
        <f>SUMIFS(領用表!$L:$L,領用表!$A:$A,BM$2,領用表!$E:$E,B75)</f>
        <v/>
      </c>
      <c r="BN75" s="206">
        <f>SUMIFS(領用表!$L:$L,領用表!$E:$E,$B75,領用表!$B:$B,BM$2&amp;BN$2)</f>
        <v/>
      </c>
      <c r="BO75" s="206">
        <f>SUMIFS(領用表!$L:$L,領用表!$E:$E,$B75,領用表!$B:$B,$BM$2&amp;BO$2)</f>
        <v/>
      </c>
      <c r="BP75" s="288">
        <f>SUMIFS(領用表!$L:$L,領用表!$E:$E,$B75,領用表!$B:$B,$BM$2&amp;BP$2)</f>
        <v/>
      </c>
      <c r="BQ75" s="287">
        <f>SUMIFS(領用表!$L:$L,領用表!$E:$E,$B75,領用表!$B:$B,$BM$2&amp;BQ$2)</f>
        <v/>
      </c>
      <c r="BR75" s="203">
        <f>SUMIFS(領用表!$L:$L,領用表!$A:$A,BR$2,領用表!$E:$E,B75)</f>
        <v/>
      </c>
      <c r="BS75" s="288">
        <f>SUMIFS(領用表!$L:$L,領用表!$E:$E,$B75,領用表!$B:$B,BR$2&amp;BS$2)</f>
        <v/>
      </c>
      <c r="BT75" s="288">
        <f>SUMIFS(領用表!$L:$L,領用表!$E:$E,$B75,領用表!$B:$B,$BR$2&amp;BT$2)</f>
        <v/>
      </c>
      <c r="BU75" s="288">
        <f>SUMIFS(領用表!$L:$L,領用表!$E:$E,$B75,領用表!$B:$B,$BR$2&amp;BU$2)</f>
        <v/>
      </c>
      <c r="BV75" s="287">
        <f>SUMIFS(領用表!$L:$L,領用表!$E:$E,$B75,領用表!$B:$B,$BR$2&amp;BV$2)</f>
        <v/>
      </c>
      <c r="BW75" s="208">
        <f>SUMIFS(領用表!$L:$L,領用表!$A:$A,BW$2,領用表!$E:$E,B75)</f>
        <v/>
      </c>
      <c r="BX75" s="206">
        <f>SUMIFS(領用表!$L:$L,領用表!$E:$E,$B75,領用表!$B:$B,BW$2&amp;BX$2)</f>
        <v/>
      </c>
      <c r="BY75" s="206">
        <f>SUMIFS(領用表!$L:$L,領用表!$E:$E,$B75,領用表!$B:$B,$BW$2&amp;BY$2)</f>
        <v/>
      </c>
      <c r="BZ75" s="206">
        <f>SUMIFS(領用表!$L:$L,領用表!$E:$E,$B75,領用表!$B:$B,$BW$2&amp;BZ$2)</f>
        <v/>
      </c>
      <c r="CA75" s="206">
        <f>SUMIFS(領用表!$L:$L,領用表!$E:$E,$B75,領用表!$B:$B,$BW$2&amp;CA$2)</f>
        <v/>
      </c>
      <c r="CB75" s="208">
        <f>SUMIFS(領用表!$L:$L,領用表!$A:$A,CB$2,領用表!$E:$E,B75)</f>
        <v/>
      </c>
      <c r="CC75" s="206">
        <f>SUMIFS(領用表!$L:$L,領用表!$E:$E,$B75,領用表!$B:$B,CB$2&amp;CC$2)</f>
        <v/>
      </c>
      <c r="CD75" s="206">
        <f>SUMIFS(領用表!$L:$L,領用表!$E:$E,$B75,領用表!$B:$B,$CB$2&amp;CD$2)</f>
        <v/>
      </c>
      <c r="CE75" s="206">
        <f>SUMIFS(領用表!$L:$L,領用表!$E:$E,$B75,領用表!$B:$B,$CB$2&amp;CE$2)</f>
        <v/>
      </c>
      <c r="CF75" s="206">
        <f>SUMIFS(領用表!$L:$L,領用表!$E:$E,$B75,領用表!$B:$B,$CB$2&amp;CF$2)</f>
        <v/>
      </c>
      <c r="CG75" s="208">
        <f>SUMIFS(領用表!$L:$L,領用表!$A:$A,CG$2,領用表!$E:$E,B75)</f>
        <v/>
      </c>
      <c r="CH75" s="206">
        <f>SUMIFS(領用表!$L:$L,領用表!$E:$E,$B75,領用表!$B:$B,CG$2&amp;CH$2)</f>
        <v/>
      </c>
      <c r="CI75" s="206">
        <f>SUMIFS(領用表!$L:$L,領用表!$E:$E,$B75,領用表!$B:$B,CG$2&amp;CI$2)</f>
        <v/>
      </c>
      <c r="CJ75" s="206">
        <f>SUMIFS(領用表!$L:$L,領用表!$E:$E,$B75,領用表!$B:$B,CG$2&amp;CJ$2)</f>
        <v/>
      </c>
      <c r="CK75" s="206">
        <f>SUMIFS(領用表!$L:$L,領用表!$E:$E,$B75,領用表!$B:$B,$CG$2&amp;CK$2)</f>
        <v/>
      </c>
      <c r="CL75" s="207">
        <f>SUM(AX75,AY75,AZ75,BA75,BB75,BC75,BH75,BM75,BR75,BW75,CB75,CG75)</f>
        <v/>
      </c>
      <c r="CM75" s="207">
        <f>AVERAGE(AX75,AY75,AZ75,BA75,BB75,BC75,BH75,BM75,BR75,BW75,CB75,CG75)</f>
        <v/>
      </c>
      <c r="CN75" s="208">
        <f>SUMIFS(領用表!$L:$L,領用表!$A:$A,CN$2,領用表!$E:$E,B75)</f>
        <v/>
      </c>
      <c r="CO75" s="206">
        <f>SUMIFS(領用表!$L:$L,領用表!$E:$E,$B75,領用表!$B:$B,CN$2&amp;CO$2)</f>
        <v/>
      </c>
      <c r="CP75" s="206">
        <f>SUMIFS(領用表!$L:$L,領用表!$E:$E,$B75,領用表!$B:$B,$CN$2&amp;CP$2)</f>
        <v/>
      </c>
      <c r="CQ75" s="206">
        <f>SUMIFS(領用表!$L:$L,領用表!$E:$E,$B75,領用表!$B:$B,$CN$2&amp;CQ$2)</f>
        <v/>
      </c>
      <c r="CR75" s="206">
        <f>SUMIFS(領用表!$L:$L,領用表!$E:$E,$B75,領用表!$B:$B,$CN$2&amp;CR$2)</f>
        <v/>
      </c>
      <c r="CS75" s="208">
        <f>SUMIFS(領用表!$L:$L,領用表!$A:$A,CS$2,領用表!$E:$E,B75)</f>
        <v/>
      </c>
      <c r="CT75" s="206">
        <f>SUMIFS(領用表!$L:$L,領用表!$E:$E,$B75,領用表!$B:$B,CS$2&amp;CT$2)</f>
        <v/>
      </c>
      <c r="CU75" s="206">
        <f>SUMIFS(領用表!$L:$L,領用表!$E:$E,$B75,領用表!$B:$B,$CS$2&amp;CU$2)</f>
        <v/>
      </c>
      <c r="CV75" s="206">
        <f>SUMIFS(領用表!$L:$L,領用表!$E:$E,$B75,領用表!$B:$B,$CS$2&amp;CV$2)</f>
        <v/>
      </c>
      <c r="CW75" s="206">
        <f>SUMIFS(領用表!$L:$L,領用表!$E:$E,$B75,領用表!$B:$B,$CS$2&amp;CW$2)</f>
        <v/>
      </c>
      <c r="CX75" s="206">
        <f>SUMIFS(領用表!$L:$L,領用表!$E:$E,$B75,領用表!$B:$B,$CS$2&amp;CX$2)</f>
        <v/>
      </c>
      <c r="CY75" s="208">
        <f>SUMIFS(領用表!$L:$L,領用表!$A:$A,CY$2,領用表!$E:$E,B75)</f>
        <v/>
      </c>
      <c r="CZ75" s="206">
        <f>SUMIFS(領用表!$L:$L,領用表!$E:$E,$B75,領用表!$B:$B,CY$2&amp;CZ$2)</f>
        <v/>
      </c>
      <c r="DA75" s="206">
        <f>SUMIFS(領用表!$L:$L,領用表!$E:$E,$B75,領用表!$B:$B,$CY$2&amp;DA$2)</f>
        <v/>
      </c>
      <c r="DB75" s="206">
        <f>SUMIFS(領用表!$L:$L,領用表!$E:$E,$B75,領用表!$B:$B,$CY$2&amp;DB$2)</f>
        <v/>
      </c>
      <c r="DC75" s="206">
        <f>SUMIFS(領用表!$L:$L,領用表!$E:$E,$B75,領用表!$B:$B,$CY$2&amp;DC$2)</f>
        <v/>
      </c>
      <c r="DD75" s="206">
        <f>SUMIFS(領用表!$L:$L,領用表!$E:$E,$B75,領用表!$B:$B,$CY$2&amp;DD$2)</f>
        <v/>
      </c>
      <c r="DE75" s="208">
        <f>SUMIFS(領用表!$L:$L,領用表!$A:$A,DE$2,領用表!$E:$E,B75)</f>
        <v/>
      </c>
      <c r="DF75" s="206">
        <f>SUMIFS(領用表!$L:$L,領用表!$E:$E,$B75,領用表!$B:$B,DE$2&amp;DF$2)</f>
        <v/>
      </c>
      <c r="DG75" s="206">
        <f>SUMIFS(領用表!$L:$L,領用表!$E:$E,$B75,領用表!$B:$B,$DE$2&amp;DG$2)</f>
        <v/>
      </c>
      <c r="DH75" s="206">
        <f>SUMIFS(領用表!$L:$L,領用表!$E:$E,$B75,領用表!$B:$B,$DE$2&amp;DH$2)</f>
        <v/>
      </c>
      <c r="DI75" s="206">
        <f>SUMIFS(領用表!$L:$L,領用表!$E:$E,$B75,領用表!$B:$B,$DE$2&amp;DI$2)</f>
        <v/>
      </c>
      <c r="DJ75" s="206">
        <f>SUMIFS(領用表!$L:$L,領用表!$E:$E,$B75,領用表!$B:$B,$DE$2&amp;DJ$2)</f>
        <v/>
      </c>
      <c r="DK75" s="208">
        <f>SUMIFS(領用表!$L:$L,領用表!$A:$A,DK$2,領用表!$E:$E,$B75)</f>
        <v/>
      </c>
      <c r="DL75" s="206">
        <f>SUMIFS(領用表!$L:$L,領用表!$E:$E,$B75,領用表!$B:$B,DK$2&amp;DL$2)</f>
        <v/>
      </c>
      <c r="DM75" s="206">
        <f>SUMIFS(領用表!$L:$L,領用表!$E:$E,$B75,領用表!$B:$B,$DK$2&amp;DM$2)</f>
        <v/>
      </c>
      <c r="DN75" s="206">
        <f>SUMIFS(領用表!$L:$L,領用表!$E:$E,$B75,領用表!$B:$B,$DK$2&amp;DN$2)</f>
        <v/>
      </c>
      <c r="DO75" s="206">
        <f>SUMIFS(領用表!$L:$L,領用表!$E:$E,$B75,領用表!$B:$B,$DK$2&amp;DO$2)</f>
        <v/>
      </c>
      <c r="DP75" s="206">
        <f>SUMIFS(領用表!$L:$L,領用表!$E:$E,$B75,領用表!$B:$B,$DK$2&amp;DP$2)</f>
        <v/>
      </c>
      <c r="DQ75" s="208" t="n">
        <v>3549</v>
      </c>
      <c r="DR75" s="206" t="n">
        <v>1253</v>
      </c>
      <c r="DS75" s="206" t="n"/>
      <c r="DT75" s="206" t="n">
        <v>1893</v>
      </c>
      <c r="DU75" s="206" t="n"/>
      <c r="DV75" s="206" t="n">
        <v>403</v>
      </c>
      <c r="DW75" s="206">
        <f>SUM(CN75,CS75,CY75,DE75,DK75,DQ75)</f>
        <v/>
      </c>
      <c r="DX75" s="206">
        <f>AVERAGEA(CN75,CS75,CY75,DE75,DK75,DQ75)</f>
        <v/>
      </c>
      <c r="DY75" s="206">
        <f>SUM(DZ75:EC75)</f>
        <v/>
      </c>
      <c r="DZ75" s="206" t="n">
        <v>4400</v>
      </c>
      <c r="EA75" s="206" t="n">
        <v>0</v>
      </c>
      <c r="EB75" s="206" t="n">
        <v>5300</v>
      </c>
      <c r="EC75" s="206" t="n">
        <v>0</v>
      </c>
      <c r="ED75" s="258" t="n">
        <v>2500</v>
      </c>
      <c r="EE75" s="283" t="n"/>
      <c r="EF75" s="283" t="inlineStr">
        <is>
          <t>3500-10/28</t>
        </is>
      </c>
      <c r="EG75" s="283" t="inlineStr">
        <is>
          <t>1000-10/28</t>
        </is>
      </c>
      <c r="EH75" s="136" t="n"/>
      <c r="EI75" s="289" t="n"/>
      <c r="EJ75" s="118">
        <f>IFERROR(VLOOKUP(A75,站前4樓!A:BF,57,0),0)</f>
        <v/>
      </c>
      <c r="EK75" s="213">
        <f>IFERROR(VLOOKUP(A75,站前11樓!A:BE,57,0),0)</f>
        <v/>
      </c>
      <c r="EL75" s="118">
        <f>IFERROR(VLOOKUP(A75,忠孝7樓!A:N,57,0),0)</f>
        <v/>
      </c>
      <c r="EM75" s="118">
        <f>IFERROR(VLOOKUP(A75,忠孝國際醫學3樓!A:L,57,0),0)</f>
        <v/>
      </c>
      <c r="EN75" s="118">
        <f>SUM(ED75:EG75)</f>
        <v/>
      </c>
      <c r="EP75" s="118" t="n">
        <v>800</v>
      </c>
      <c r="EQ75" s="118" t="n">
        <v>5100</v>
      </c>
    </row>
    <row r="76" ht="15.75" customFormat="1" customHeight="1" s="118">
      <c r="A76" s="136" t="inlineStr">
        <is>
          <t>MB3ME100002A</t>
        </is>
      </c>
      <c r="B76" s="118" t="n">
        <v>6140003</v>
      </c>
      <c r="C76" s="118" t="inlineStr">
        <is>
          <t>保提拉凍晶注射劑Letybo 200u/ vial</t>
        </is>
      </c>
      <c r="D76" s="285" t="n">
        <v>200</v>
      </c>
      <c r="E76" s="198" t="inlineStr">
        <is>
          <t>U</t>
        </is>
      </c>
      <c r="F76" s="225">
        <f>SUMIF(站前4樓!B:B,B76,站前4樓!F:F)</f>
        <v/>
      </c>
      <c r="G76" s="225">
        <f>SUMIF(站前11樓!B:B,B76,站前11樓!F:F)</f>
        <v/>
      </c>
      <c r="H76" s="225">
        <f>SUMIF(忠孝7樓!B:B,B76,忠孝7樓!G:G)</f>
        <v/>
      </c>
      <c r="I76" s="225">
        <f>SUMIF(忠孝國際醫學3樓!B:B,B76,忠孝國際醫學3樓!G:G)</f>
        <v/>
      </c>
      <c r="J76" s="225">
        <f>SUMIF(忠孝健康7樓!B:B,B76,忠孝健康7樓!G:G)</f>
        <v/>
      </c>
      <c r="K76" s="283" t="n"/>
      <c r="L76" s="283" t="n"/>
      <c r="M76" s="283" t="n"/>
      <c r="N76" s="283" t="n"/>
      <c r="O76" s="283" t="n"/>
      <c r="P76" s="283" t="n"/>
      <c r="Q76" s="283" t="n"/>
      <c r="R76" s="283" t="n"/>
      <c r="S76" s="283" t="n"/>
      <c r="T76" s="283" t="n"/>
      <c r="U76" s="283" t="n"/>
      <c r="V76" s="283" t="n"/>
      <c r="W76" s="283" t="n"/>
      <c r="X76" s="283" t="n"/>
      <c r="Y76" s="283" t="n"/>
      <c r="Z76" s="283" t="n"/>
      <c r="AA76" s="283" t="n"/>
      <c r="AB76" s="283" t="n"/>
      <c r="AC76" s="283" t="n"/>
      <c r="AD76" s="283" t="n"/>
      <c r="AE76" s="283" t="n"/>
      <c r="AF76" s="283" t="n"/>
      <c r="AG76" s="283" t="n"/>
      <c r="AH76" s="283" t="n"/>
      <c r="AI76" s="283" t="n"/>
      <c r="AJ76" s="201" t="n">
        <v>2152</v>
      </c>
      <c r="AK76" s="201" t="n">
        <v>1842</v>
      </c>
      <c r="AL76" s="201" t="n">
        <v>1188</v>
      </c>
      <c r="AM76" s="201" t="n">
        <v>821</v>
      </c>
      <c r="AN76" s="201" t="n">
        <v>405</v>
      </c>
      <c r="AO76" s="201" t="n">
        <v>528</v>
      </c>
      <c r="AP76" s="201" t="n">
        <v>1232</v>
      </c>
      <c r="AQ76" s="201" t="n">
        <v>1504</v>
      </c>
      <c r="AR76" s="201" t="n">
        <v>1412</v>
      </c>
      <c r="AS76" s="201">
        <f>1940+950</f>
        <v/>
      </c>
      <c r="AT76" s="201" t="n">
        <v>3782</v>
      </c>
      <c r="AU76" s="201" t="n">
        <v>4839</v>
      </c>
      <c r="AV76" s="283">
        <f>SUM(AJ76:AU76)</f>
        <v/>
      </c>
      <c r="AW76" s="286">
        <f>AV76/12</f>
        <v/>
      </c>
      <c r="AX76" s="201" t="n">
        <v>6565</v>
      </c>
      <c r="AY76" s="201" t="n">
        <v>5543</v>
      </c>
      <c r="AZ76" s="201" t="n">
        <v>8513</v>
      </c>
      <c r="BA76" s="201" t="n">
        <v>6602</v>
      </c>
      <c r="BB76" s="201" t="n">
        <v>6922</v>
      </c>
      <c r="BC76" s="203">
        <f>SUMIFS(領用表!$L:$L,領用表!$A:$A,BC$2,領用表!$E:$E,B76)</f>
        <v/>
      </c>
      <c r="BD76" s="287">
        <f>SUMIFS(領用表!$L:$L,領用表!$E:$E,$B76,領用表!$B:$B,BC$2&amp;BD$2)</f>
        <v/>
      </c>
      <c r="BE76" s="287">
        <f>SUMIFS(領用表!$L:$L,領用表!$E:$E,$B76,領用表!$B:$B,$BC$2&amp;BE$2)</f>
        <v/>
      </c>
      <c r="BF76" s="287">
        <f>SUMIFS(領用表!$L:$L,領用表!$E:$E,$B76,領用表!$B:$B,$BC$2&amp;BF$2)</f>
        <v/>
      </c>
      <c r="BG76" s="206">
        <f>SUMIFS(領用表!$L:$L,領用表!$E:$E,$B76,領用表!$B:$B,$BC$2&amp;BG$2)</f>
        <v/>
      </c>
      <c r="BH76" s="203">
        <f>SUMIFS(領用表!$L:$L,領用表!$A:$A,BH$2,領用表!$E:$E,B76)</f>
        <v/>
      </c>
      <c r="BI76" s="260">
        <f>SUMIFS(領用表!$L:$L,領用表!$E:$E,$B76,領用表!$B:$B,BH$2&amp;BI$2)</f>
        <v/>
      </c>
      <c r="BJ76" s="260">
        <f>SUMIFS(領用表!$L:$L,領用表!$E:$E,$B76,領用表!$B:$B,$BH$2&amp;BJ$2)</f>
        <v/>
      </c>
      <c r="BK76" s="260">
        <f>SUMIFS(領用表!$L:$L,領用表!$E:$E,$B76,領用表!$B:$B,$BH$2&amp;BK$2)</f>
        <v/>
      </c>
      <c r="BL76" s="260">
        <f>SUMIFS(領用表!$L:$L,領用表!$E:$E,$B76,領用表!$B:$B,$BH$2&amp;BL$2)</f>
        <v/>
      </c>
      <c r="BM76" s="203">
        <f>SUMIFS(領用表!$L:$L,領用表!$A:$A,BM$2,領用表!$E:$E,B76)</f>
        <v/>
      </c>
      <c r="BN76" s="206">
        <f>SUMIFS(領用表!$L:$L,領用表!$E:$E,$B76,領用表!$B:$B,BM$2&amp;BN$2)</f>
        <v/>
      </c>
      <c r="BO76" s="206">
        <f>SUMIFS(領用表!$L:$L,領用表!$E:$E,$B76,領用表!$B:$B,$BM$2&amp;BO$2)</f>
        <v/>
      </c>
      <c r="BP76" s="288">
        <f>SUMIFS(領用表!$L:$L,領用表!$E:$E,$B76,領用表!$B:$B,$BM$2&amp;BP$2)</f>
        <v/>
      </c>
      <c r="BQ76" s="287">
        <f>SUMIFS(領用表!$L:$L,領用表!$E:$E,$B76,領用表!$B:$B,$BM$2&amp;BQ$2)</f>
        <v/>
      </c>
      <c r="BR76" s="203">
        <f>SUMIFS(領用表!$L:$L,領用表!$A:$A,BR$2,領用表!$E:$E,B76)</f>
        <v/>
      </c>
      <c r="BS76" s="288">
        <f>SUMIFS(領用表!$L:$L,領用表!$E:$E,$B76,領用表!$B:$B,BR$2&amp;BS$2)</f>
        <v/>
      </c>
      <c r="BT76" s="288">
        <f>SUMIFS(領用表!$L:$L,領用表!$E:$E,$B76,領用表!$B:$B,$BR$2&amp;BT$2)</f>
        <v/>
      </c>
      <c r="BU76" s="288">
        <f>SUMIFS(領用表!$L:$L,領用表!$E:$E,$B76,領用表!$B:$B,$BR$2&amp;BU$2)</f>
        <v/>
      </c>
      <c r="BV76" s="287">
        <f>SUMIFS(領用表!$L:$L,領用表!$E:$E,$B76,領用表!$B:$B,$BR$2&amp;BV$2)</f>
        <v/>
      </c>
      <c r="BW76" s="208">
        <f>SUMIFS(領用表!$L:$L,領用表!$A:$A,BW$2,領用表!$E:$E,B76)</f>
        <v/>
      </c>
      <c r="BX76" s="206">
        <f>SUMIFS(領用表!$L:$L,領用表!$E:$E,$B76,領用表!$B:$B,BW$2&amp;BX$2)</f>
        <v/>
      </c>
      <c r="BY76" s="206">
        <f>SUMIFS(領用表!$L:$L,領用表!$E:$E,$B76,領用表!$B:$B,$BW$2&amp;BY$2)</f>
        <v/>
      </c>
      <c r="BZ76" s="206">
        <f>SUMIFS(領用表!$L:$L,領用表!$E:$E,$B76,領用表!$B:$B,$BW$2&amp;BZ$2)</f>
        <v/>
      </c>
      <c r="CA76" s="206">
        <f>SUMIFS(領用表!$L:$L,領用表!$E:$E,$B76,領用表!$B:$B,$BW$2&amp;CA$2)</f>
        <v/>
      </c>
      <c r="CB76" s="208">
        <f>SUMIFS(領用表!$L:$L,領用表!$A:$A,CB$2,領用表!$E:$E,B76)</f>
        <v/>
      </c>
      <c r="CC76" s="206">
        <f>SUMIFS(領用表!$L:$L,領用表!$E:$E,$B76,領用表!$B:$B,CB$2&amp;CC$2)</f>
        <v/>
      </c>
      <c r="CD76" s="206">
        <f>SUMIFS(領用表!$L:$L,領用表!$E:$E,$B76,領用表!$B:$B,$CB$2&amp;CD$2)</f>
        <v/>
      </c>
      <c r="CE76" s="206">
        <f>SUMIFS(領用表!$L:$L,領用表!$E:$E,$B76,領用表!$B:$B,$CB$2&amp;CE$2)</f>
        <v/>
      </c>
      <c r="CF76" s="206">
        <f>SUMIFS(領用表!$L:$L,領用表!$E:$E,$B76,領用表!$B:$B,$CB$2&amp;CF$2)</f>
        <v/>
      </c>
      <c r="CG76" s="208">
        <f>SUMIFS(領用表!$L:$L,領用表!$A:$A,CG$2,領用表!$E:$E,B76)</f>
        <v/>
      </c>
      <c r="CH76" s="206">
        <f>SUMIFS(領用表!$L:$L,領用表!$E:$E,$B76,領用表!$B:$B,CG$2&amp;CH$2)</f>
        <v/>
      </c>
      <c r="CI76" s="206">
        <f>SUMIFS(領用表!$L:$L,領用表!$E:$E,$B76,領用表!$B:$B,CG$2&amp;CI$2)</f>
        <v/>
      </c>
      <c r="CJ76" s="206">
        <f>SUMIFS(領用表!$L:$L,領用表!$E:$E,$B76,領用表!$B:$B,CG$2&amp;CJ$2)</f>
        <v/>
      </c>
      <c r="CK76" s="206">
        <f>SUMIFS(領用表!$L:$L,領用表!$E:$E,$B76,領用表!$B:$B,$CG$2&amp;CK$2)</f>
        <v/>
      </c>
      <c r="CL76" s="207">
        <f>SUM(AX76,AY76,AZ76,BA76,BB76,BC76,BH76,BM76,BR76,BW76,CB76,CG76)</f>
        <v/>
      </c>
      <c r="CM76" s="207">
        <f>AVERAGE(AX76,AY76,AZ76,BA76,BB76,BC76,BH76,BM76,BR76,BW76,CB76,CG76)</f>
        <v/>
      </c>
      <c r="CN76" s="208">
        <f>SUMIFS(領用表!$L:$L,領用表!$A:$A,CN$2,領用表!$E:$E,B76)</f>
        <v/>
      </c>
      <c r="CO76" s="206">
        <f>SUMIFS(領用表!$L:$L,領用表!$E:$E,$B76,領用表!$B:$B,CN$2&amp;CO$2)</f>
        <v/>
      </c>
      <c r="CP76" s="206">
        <f>SUMIFS(領用表!$L:$L,領用表!$E:$E,$B76,領用表!$B:$B,$CN$2&amp;CP$2)</f>
        <v/>
      </c>
      <c r="CQ76" s="206">
        <f>SUMIFS(領用表!$L:$L,領用表!$E:$E,$B76,領用表!$B:$B,$CN$2&amp;CQ$2)</f>
        <v/>
      </c>
      <c r="CR76" s="206">
        <f>SUMIFS(領用表!$L:$L,領用表!$E:$E,$B76,領用表!$B:$B,$CN$2&amp;CR$2)</f>
        <v/>
      </c>
      <c r="CS76" s="208">
        <f>SUMIFS(領用表!$L:$L,領用表!$A:$A,CS$2,領用表!$E:$E,B76)</f>
        <v/>
      </c>
      <c r="CT76" s="206">
        <f>SUMIFS(領用表!$L:$L,領用表!$E:$E,$B76,領用表!$B:$B,CS$2&amp;CT$2)</f>
        <v/>
      </c>
      <c r="CU76" s="206">
        <f>SUMIFS(領用表!$L:$L,領用表!$E:$E,$B76,領用表!$B:$B,$CS$2&amp;CU$2)</f>
        <v/>
      </c>
      <c r="CV76" s="206">
        <f>SUMIFS(領用表!$L:$L,領用表!$E:$E,$B76,領用表!$B:$B,$CS$2&amp;CV$2)</f>
        <v/>
      </c>
      <c r="CW76" s="206">
        <f>SUMIFS(領用表!$L:$L,領用表!$E:$E,$B76,領用表!$B:$B,$CS$2&amp;CW$2)</f>
        <v/>
      </c>
      <c r="CX76" s="206">
        <f>SUMIFS(領用表!$L:$L,領用表!$E:$E,$B76,領用表!$B:$B,$CS$2&amp;CX$2)</f>
        <v/>
      </c>
      <c r="CY76" s="208">
        <f>SUMIFS(領用表!$L:$L,領用表!$A:$A,CY$2,領用表!$E:$E,B76)</f>
        <v/>
      </c>
      <c r="CZ76" s="206">
        <f>SUMIFS(領用表!$L:$L,領用表!$E:$E,$B76,領用表!$B:$B,CY$2&amp;CZ$2)</f>
        <v/>
      </c>
      <c r="DA76" s="206">
        <f>SUMIFS(領用表!$L:$L,領用表!$E:$E,$B76,領用表!$B:$B,$CY$2&amp;DA$2)</f>
        <v/>
      </c>
      <c r="DB76" s="206">
        <f>SUMIFS(領用表!$L:$L,領用表!$E:$E,$B76,領用表!$B:$B,$CY$2&amp;DB$2)</f>
        <v/>
      </c>
      <c r="DC76" s="206">
        <f>SUMIFS(領用表!$L:$L,領用表!$E:$E,$B76,領用表!$B:$B,$CY$2&amp;DC$2)</f>
        <v/>
      </c>
      <c r="DD76" s="206">
        <f>SUMIFS(領用表!$L:$L,領用表!$E:$E,$B76,領用表!$B:$B,$CY$2&amp;DD$2)</f>
        <v/>
      </c>
      <c r="DE76" s="208">
        <f>SUMIFS(領用表!$L:$L,領用表!$A:$A,DE$2,領用表!$E:$E,B76)</f>
        <v/>
      </c>
      <c r="DF76" s="206">
        <f>SUMIFS(領用表!$L:$L,領用表!$E:$E,$B76,領用表!$B:$B,DE$2&amp;DF$2)</f>
        <v/>
      </c>
      <c r="DG76" s="206">
        <f>SUMIFS(領用表!$L:$L,領用表!$E:$E,$B76,領用表!$B:$B,$DE$2&amp;DG$2)</f>
        <v/>
      </c>
      <c r="DH76" s="206">
        <f>SUMIFS(領用表!$L:$L,領用表!$E:$E,$B76,領用表!$B:$B,$DE$2&amp;DH$2)</f>
        <v/>
      </c>
      <c r="DI76" s="206">
        <f>SUMIFS(領用表!$L:$L,領用表!$E:$E,$B76,領用表!$B:$B,$DE$2&amp;DI$2)</f>
        <v/>
      </c>
      <c r="DJ76" s="206">
        <f>SUMIFS(領用表!$L:$L,領用表!$E:$E,$B76,領用表!$B:$B,$DE$2&amp;DJ$2)</f>
        <v/>
      </c>
      <c r="DK76" s="208">
        <f>SUMIFS(領用表!$L:$L,領用表!$A:$A,DK$2,領用表!$E:$E,$B76)</f>
        <v/>
      </c>
      <c r="DL76" s="206">
        <f>SUMIFS(領用表!$L:$L,領用表!$E:$E,$B76,領用表!$B:$B,DK$2&amp;DL$2)</f>
        <v/>
      </c>
      <c r="DM76" s="206">
        <f>SUMIFS(領用表!$L:$L,領用表!$E:$E,$B76,領用表!$B:$B,$DK$2&amp;DM$2)</f>
        <v/>
      </c>
      <c r="DN76" s="206">
        <f>SUMIFS(領用表!$L:$L,領用表!$E:$E,$B76,領用表!$B:$B,$DK$2&amp;DN$2)</f>
        <v/>
      </c>
      <c r="DO76" s="206">
        <f>SUMIFS(領用表!$L:$L,領用表!$E:$E,$B76,領用表!$B:$B,$DK$2&amp;DO$2)</f>
        <v/>
      </c>
      <c r="DP76" s="206">
        <f>SUMIFS(領用表!$L:$L,領用表!$E:$E,$B76,領用表!$B:$B,$DK$2&amp;DP$2)</f>
        <v/>
      </c>
      <c r="DQ76" s="208" t="n">
        <v>5280</v>
      </c>
      <c r="DR76" s="206" t="n">
        <v>1788</v>
      </c>
      <c r="DS76" s="206" t="n"/>
      <c r="DT76" s="206" t="n">
        <v>2746</v>
      </c>
      <c r="DU76" s="206" t="n"/>
      <c r="DV76" s="206" t="n">
        <v>746</v>
      </c>
      <c r="DW76" s="206">
        <f>SUM(CN76,CS76,CY76,DE76,DK76,DQ76)</f>
        <v/>
      </c>
      <c r="DX76" s="206">
        <f>AVERAGEA(CN76,CS76,CY76,DE76,DK76,DQ76)</f>
        <v/>
      </c>
      <c r="DY76" s="206">
        <f>SUM(DZ76:EC76)</f>
        <v/>
      </c>
      <c r="DZ76" s="206" t="n">
        <v>5500</v>
      </c>
      <c r="EA76" s="206" t="n">
        <v>0</v>
      </c>
      <c r="EB76" s="206" t="n">
        <v>10000</v>
      </c>
      <c r="EC76" s="206" t="n">
        <v>0</v>
      </c>
      <c r="ED76" s="258" t="n">
        <v>6000</v>
      </c>
      <c r="EE76" s="283" t="n"/>
      <c r="EF76" s="283" t="inlineStr">
        <is>
          <t>4000-10/22</t>
        </is>
      </c>
      <c r="EG76" s="283" t="n"/>
      <c r="EH76" s="136" t="n"/>
      <c r="EI76" s="289" t="n"/>
      <c r="EJ76" s="118">
        <f>IFERROR(VLOOKUP(A76,站前4樓!A:BF,57,0),0)</f>
        <v/>
      </c>
      <c r="EK76" s="213">
        <f>IFERROR(VLOOKUP(A76,站前11樓!A:BE,57,0),0)</f>
        <v/>
      </c>
      <c r="EL76" s="118">
        <f>IFERROR(VLOOKUP(A76,忠孝7樓!A:N,57,0),0)</f>
        <v/>
      </c>
      <c r="EM76" s="118">
        <f>IFERROR(VLOOKUP(A76,忠孝國際醫學3樓!A:L,57,0),0)</f>
        <v/>
      </c>
      <c r="EN76" s="118">
        <f>SUM(ED76:EG76)</f>
        <v/>
      </c>
      <c r="EP76" s="118" t="n">
        <v>2400</v>
      </c>
      <c r="EQ76" s="118" t="n">
        <v>10800</v>
      </c>
    </row>
    <row r="77" ht="15.75" customFormat="1" customHeight="1" s="118" thickBot="1">
      <c r="A77" s="136" t="inlineStr">
        <is>
          <t>MB3ME100003A</t>
        </is>
      </c>
      <c r="B77" s="118" t="n">
        <v>6140005</v>
      </c>
      <c r="C77" s="118" t="inlineStr">
        <is>
          <t>奇肌肉毒 200u/ vial  (因稀釋手法會有些許差異)</t>
        </is>
      </c>
      <c r="D77" s="285" t="n">
        <v>200</v>
      </c>
      <c r="E77" s="198" t="inlineStr">
        <is>
          <t>U</t>
        </is>
      </c>
      <c r="F77" s="225">
        <f>SUMIF(站前4樓!B:B,B77,站前4樓!F:F)</f>
        <v/>
      </c>
      <c r="G77" s="225">
        <f>SUMIF(站前11樓!B:B,B77,站前11樓!F:F)</f>
        <v/>
      </c>
      <c r="H77" s="225">
        <f>SUMIF(忠孝7樓!B:B,B77,忠孝7樓!G:G)</f>
        <v/>
      </c>
      <c r="I77" s="225">
        <f>SUMIF(忠孝國際醫學3樓!B:B,B77,忠孝國際醫學3樓!G:G)</f>
        <v/>
      </c>
      <c r="J77" s="225">
        <f>SUMIF(忠孝健康7樓!B:B,B77,忠孝健康7樓!G:G)</f>
        <v/>
      </c>
      <c r="K77" s="283" t="n"/>
      <c r="L77" s="283" t="n"/>
      <c r="M77" s="283" t="n"/>
      <c r="N77" s="283" t="n"/>
      <c r="O77" s="283" t="n"/>
      <c r="P77" s="283" t="n"/>
      <c r="Q77" s="283" t="n"/>
      <c r="R77" s="283" t="n"/>
      <c r="S77" s="283" t="n"/>
      <c r="T77" s="283" t="n"/>
      <c r="U77" s="283" t="n"/>
      <c r="V77" s="283" t="n"/>
      <c r="W77" s="283" t="n"/>
      <c r="X77" s="283" t="n"/>
      <c r="Y77" s="283" t="n"/>
      <c r="Z77" s="283" t="n"/>
      <c r="AA77" s="283" t="n"/>
      <c r="AB77" s="283" t="n"/>
      <c r="AC77" s="283" t="n"/>
      <c r="AD77" s="283" t="n"/>
      <c r="AE77" s="283" t="n"/>
      <c r="AF77" s="283" t="n"/>
      <c r="AG77" s="283" t="n"/>
      <c r="AH77" s="283" t="n"/>
      <c r="AI77" s="283" t="n"/>
      <c r="AJ77" s="201" t="n">
        <v>0</v>
      </c>
      <c r="AK77" s="201" t="n">
        <v>0</v>
      </c>
      <c r="AL77" s="201" t="n">
        <v>1154</v>
      </c>
      <c r="AM77" s="201" t="n">
        <v>2465</v>
      </c>
      <c r="AN77" s="201" t="n">
        <v>2607</v>
      </c>
      <c r="AO77" s="201" t="n">
        <v>2330</v>
      </c>
      <c r="AP77" s="201" t="n">
        <v>1488</v>
      </c>
      <c r="AQ77" s="201" t="n">
        <v>6126</v>
      </c>
      <c r="AR77" s="201" t="n">
        <v>2454</v>
      </c>
      <c r="AS77" s="201" t="n">
        <v>3438</v>
      </c>
      <c r="AT77" s="201" t="n">
        <v>3180</v>
      </c>
      <c r="AU77" s="201" t="n">
        <v>3251</v>
      </c>
      <c r="AV77" s="283">
        <f>SUM(AJ77:AU77)</f>
        <v/>
      </c>
      <c r="AW77" s="286">
        <f>AV77/12</f>
        <v/>
      </c>
      <c r="AX77" s="201" t="n">
        <v>2150</v>
      </c>
      <c r="AY77" s="201" t="n">
        <v>2385</v>
      </c>
      <c r="AZ77" s="201" t="n">
        <v>2782</v>
      </c>
      <c r="BA77" s="201" t="n">
        <v>2692</v>
      </c>
      <c r="BB77" s="201" t="n">
        <v>2952</v>
      </c>
      <c r="BC77" s="203">
        <f>SUMIFS(領用表!$L:$L,領用表!$A:$A,BC$2,領用表!$E:$E,B77)</f>
        <v/>
      </c>
      <c r="BD77" s="287">
        <f>SUMIFS(領用表!$L:$L,領用表!$E:$E,$B77,領用表!$B:$B,BC$2&amp;BD$2)</f>
        <v/>
      </c>
      <c r="BE77" s="287">
        <f>SUMIFS(領用表!$L:$L,領用表!$E:$E,$B77,領用表!$B:$B,$BC$2&amp;BE$2)</f>
        <v/>
      </c>
      <c r="BF77" s="287">
        <f>SUMIFS(領用表!$L:$L,領用表!$E:$E,$B77,領用表!$B:$B,$BC$2&amp;BF$2)</f>
        <v/>
      </c>
      <c r="BG77" s="206">
        <f>SUMIFS(領用表!$L:$L,領用表!$E:$E,$B77,領用表!$B:$B,$BC$2&amp;BG$2)</f>
        <v/>
      </c>
      <c r="BH77" s="203">
        <f>SUMIFS(領用表!$L:$L,領用表!$A:$A,BH$2,領用表!$E:$E,B77)</f>
        <v/>
      </c>
      <c r="BI77" s="260">
        <f>SUMIFS(領用表!$L:$L,領用表!$E:$E,$B77,領用表!$B:$B,BH$2&amp;BI$2)</f>
        <v/>
      </c>
      <c r="BJ77" s="260">
        <f>SUMIFS(領用表!$L:$L,領用表!$E:$E,$B77,領用表!$B:$B,$BH$2&amp;BJ$2)</f>
        <v/>
      </c>
      <c r="BK77" s="260">
        <f>SUMIFS(領用表!$L:$L,領用表!$E:$E,$B77,領用表!$B:$B,$BH$2&amp;BK$2)</f>
        <v/>
      </c>
      <c r="BL77" s="260">
        <f>SUMIFS(領用表!$L:$L,領用表!$E:$E,$B77,領用表!$B:$B,$BH$2&amp;BL$2)</f>
        <v/>
      </c>
      <c r="BM77" s="203">
        <f>SUMIFS(領用表!$L:$L,領用表!$A:$A,BM$2,領用表!$E:$E,B77)</f>
        <v/>
      </c>
      <c r="BN77" s="206">
        <f>SUMIFS(領用表!$L:$L,領用表!$E:$E,$B77,領用表!$B:$B,BM$2&amp;BN$2)</f>
        <v/>
      </c>
      <c r="BO77" s="206">
        <f>SUMIFS(領用表!$L:$L,領用表!$E:$E,$B77,領用表!$B:$B,$BM$2&amp;BO$2)</f>
        <v/>
      </c>
      <c r="BP77" s="288">
        <f>SUMIFS(領用表!$L:$L,領用表!$E:$E,$B77,領用表!$B:$B,$BM$2&amp;BP$2)</f>
        <v/>
      </c>
      <c r="BQ77" s="287">
        <f>SUMIFS(領用表!$L:$L,領用表!$E:$E,$B77,領用表!$B:$B,$BM$2&amp;BQ$2)</f>
        <v/>
      </c>
      <c r="BR77" s="203">
        <f>SUMIFS(領用表!$L:$L,領用表!$A:$A,BR$2,領用表!$E:$E,B77)</f>
        <v/>
      </c>
      <c r="BS77" s="288">
        <f>SUMIFS(領用表!$L:$L,領用表!$E:$E,$B77,領用表!$B:$B,BR$2&amp;BS$2)</f>
        <v/>
      </c>
      <c r="BT77" s="288">
        <f>SUMIFS(領用表!$L:$L,領用表!$E:$E,$B77,領用表!$B:$B,$BR$2&amp;BT$2)</f>
        <v/>
      </c>
      <c r="BU77" s="288">
        <f>SUMIFS(領用表!$L:$L,領用表!$E:$E,$B77,領用表!$B:$B,$BR$2&amp;BU$2)</f>
        <v/>
      </c>
      <c r="BV77" s="287">
        <f>SUMIFS(領用表!$L:$L,領用表!$E:$E,$B77,領用表!$B:$B,$BR$2&amp;BV$2)</f>
        <v/>
      </c>
      <c r="BW77" s="208">
        <f>SUMIFS(領用表!$L:$L,領用表!$A:$A,BW$2,領用表!$E:$E,B77)</f>
        <v/>
      </c>
      <c r="BX77" s="206">
        <f>SUMIFS(領用表!$L:$L,領用表!$E:$E,$B77,領用表!$B:$B,BW$2&amp;BX$2)</f>
        <v/>
      </c>
      <c r="BY77" s="206">
        <f>SUMIFS(領用表!$L:$L,領用表!$E:$E,$B77,領用表!$B:$B,$BW$2&amp;BY$2)</f>
        <v/>
      </c>
      <c r="BZ77" s="206">
        <f>SUMIFS(領用表!$L:$L,領用表!$E:$E,$B77,領用表!$B:$B,$BW$2&amp;BZ$2)</f>
        <v/>
      </c>
      <c r="CA77" s="206">
        <f>SUMIFS(領用表!$L:$L,領用表!$E:$E,$B77,領用表!$B:$B,$BW$2&amp;CA$2)</f>
        <v/>
      </c>
      <c r="CB77" s="208">
        <f>SUMIFS(領用表!$L:$L,領用表!$A:$A,CB$2,領用表!$E:$E,B77)</f>
        <v/>
      </c>
      <c r="CC77" s="206">
        <f>SUMIFS(領用表!$L:$L,領用表!$E:$E,$B77,領用表!$B:$B,CB$2&amp;CC$2)</f>
        <v/>
      </c>
      <c r="CD77" s="206">
        <f>SUMIFS(領用表!$L:$L,領用表!$E:$E,$B77,領用表!$B:$B,$CB$2&amp;CD$2)</f>
        <v/>
      </c>
      <c r="CE77" s="206">
        <f>SUMIFS(領用表!$L:$L,領用表!$E:$E,$B77,領用表!$B:$B,$CB$2&amp;CE$2)</f>
        <v/>
      </c>
      <c r="CF77" s="206">
        <f>SUMIFS(領用表!$L:$L,領用表!$E:$E,$B77,領用表!$B:$B,$CB$2&amp;CF$2)</f>
        <v/>
      </c>
      <c r="CG77" s="208">
        <f>SUMIFS(領用表!$L:$L,領用表!$A:$A,CG$2,領用表!$E:$E,B77)</f>
        <v/>
      </c>
      <c r="CH77" s="206">
        <f>SUMIFS(領用表!$L:$L,領用表!$E:$E,$B77,領用表!$B:$B,CG$2&amp;CH$2)</f>
        <v/>
      </c>
      <c r="CI77" s="206">
        <f>SUMIFS(領用表!$L:$L,領用表!$E:$E,$B77,領用表!$B:$B,CG$2&amp;CI$2)</f>
        <v/>
      </c>
      <c r="CJ77" s="206">
        <f>SUMIFS(領用表!$L:$L,領用表!$E:$E,$B77,領用表!$B:$B,CG$2&amp;CJ$2)</f>
        <v/>
      </c>
      <c r="CK77" s="206">
        <f>SUMIFS(領用表!$L:$L,領用表!$E:$E,$B77,領用表!$B:$B,$CG$2&amp;CK$2)</f>
        <v/>
      </c>
      <c r="CL77" s="207">
        <f>SUM(AX77,AY77,AZ77,BA77,BB77,BC77,BH77,BM77,BR77,BW77,CB77,CG77)</f>
        <v/>
      </c>
      <c r="CM77" s="207">
        <f>AVERAGE(AX77,AY77,AZ77,BA77,BB77,BC77,BH77,BM77,BR77,BW77,CB77,CG77)</f>
        <v/>
      </c>
      <c r="CN77" s="208">
        <f>SUMIFS(領用表!$L:$L,領用表!$A:$A,CN$2,領用表!$E:$E,B77)</f>
        <v/>
      </c>
      <c r="CO77" s="206">
        <f>SUMIFS(領用表!$L:$L,領用表!$E:$E,$B77,領用表!$B:$B,CN$2&amp;CO$2)</f>
        <v/>
      </c>
      <c r="CP77" s="206">
        <f>SUMIFS(領用表!$L:$L,領用表!$E:$E,$B77,領用表!$B:$B,$CN$2&amp;CP$2)</f>
        <v/>
      </c>
      <c r="CQ77" s="206">
        <f>SUMIFS(領用表!$L:$L,領用表!$E:$E,$B77,領用表!$B:$B,$CN$2&amp;CQ$2)</f>
        <v/>
      </c>
      <c r="CR77" s="206">
        <f>SUMIFS(領用表!$L:$L,領用表!$E:$E,$B77,領用表!$B:$B,$CN$2&amp;CR$2)</f>
        <v/>
      </c>
      <c r="CS77" s="208">
        <f>SUMIFS(領用表!$L:$L,領用表!$A:$A,CS$2,領用表!$E:$E,B77)</f>
        <v/>
      </c>
      <c r="CT77" s="206">
        <f>SUMIFS(領用表!$L:$L,領用表!$E:$E,$B77,領用表!$B:$B,CS$2&amp;CT$2)</f>
        <v/>
      </c>
      <c r="CU77" s="206">
        <f>SUMIFS(領用表!$L:$L,領用表!$E:$E,$B77,領用表!$B:$B,$CS$2&amp;CU$2)</f>
        <v/>
      </c>
      <c r="CV77" s="206">
        <f>SUMIFS(領用表!$L:$L,領用表!$E:$E,$B77,領用表!$B:$B,$CS$2&amp;CV$2)</f>
        <v/>
      </c>
      <c r="CW77" s="206">
        <f>SUMIFS(領用表!$L:$L,領用表!$E:$E,$B77,領用表!$B:$B,$CS$2&amp;CW$2)</f>
        <v/>
      </c>
      <c r="CX77" s="206">
        <f>SUMIFS(領用表!$L:$L,領用表!$E:$E,$B77,領用表!$B:$B,$CS$2&amp;CX$2)</f>
        <v/>
      </c>
      <c r="CY77" s="208">
        <f>SUMIFS(領用表!$L:$L,領用表!$A:$A,CY$2,領用表!$E:$E,B77)</f>
        <v/>
      </c>
      <c r="CZ77" s="206">
        <f>SUMIFS(領用表!$L:$L,領用表!$E:$E,$B77,領用表!$B:$B,CY$2&amp;CZ$2)</f>
        <v/>
      </c>
      <c r="DA77" s="206">
        <f>SUMIFS(領用表!$L:$L,領用表!$E:$E,$B77,領用表!$B:$B,$CY$2&amp;DA$2)</f>
        <v/>
      </c>
      <c r="DB77" s="206">
        <f>SUMIFS(領用表!$L:$L,領用表!$E:$E,$B77,領用表!$B:$B,$CY$2&amp;DB$2)</f>
        <v/>
      </c>
      <c r="DC77" s="206">
        <f>SUMIFS(領用表!$L:$L,領用表!$E:$E,$B77,領用表!$B:$B,$CY$2&amp;DC$2)</f>
        <v/>
      </c>
      <c r="DD77" s="206">
        <f>SUMIFS(領用表!$L:$L,領用表!$E:$E,$B77,領用表!$B:$B,$CY$2&amp;DD$2)</f>
        <v/>
      </c>
      <c r="DE77" s="208">
        <f>SUMIFS(領用表!$L:$L,領用表!$A:$A,DE$2,領用表!$E:$E,B77)</f>
        <v/>
      </c>
      <c r="DF77" s="206">
        <f>SUMIFS(領用表!$L:$L,領用表!$E:$E,$B77,領用表!$B:$B,DE$2&amp;DF$2)</f>
        <v/>
      </c>
      <c r="DG77" s="206">
        <f>SUMIFS(領用表!$L:$L,領用表!$E:$E,$B77,領用表!$B:$B,$DE$2&amp;DG$2)</f>
        <v/>
      </c>
      <c r="DH77" s="206">
        <f>SUMIFS(領用表!$L:$L,領用表!$E:$E,$B77,領用表!$B:$B,$DE$2&amp;DH$2)</f>
        <v/>
      </c>
      <c r="DI77" s="206">
        <f>SUMIFS(領用表!$L:$L,領用表!$E:$E,$B77,領用表!$B:$B,$DE$2&amp;DI$2)</f>
        <v/>
      </c>
      <c r="DJ77" s="206">
        <f>SUMIFS(領用表!$L:$L,領用表!$E:$E,$B77,領用表!$B:$B,$DE$2&amp;DJ$2)</f>
        <v/>
      </c>
      <c r="DK77" s="208">
        <f>SUMIFS(領用表!$L:$L,領用表!$A:$A,DK$2,領用表!$E:$E,$B77)</f>
        <v/>
      </c>
      <c r="DL77" s="206">
        <f>SUMIFS(領用表!$L:$L,領用表!$E:$E,$B77,領用表!$B:$B,DK$2&amp;DL$2)</f>
        <v/>
      </c>
      <c r="DM77" s="206">
        <f>SUMIFS(領用表!$L:$L,領用表!$E:$E,$B77,領用表!$B:$B,$DK$2&amp;DM$2)</f>
        <v/>
      </c>
      <c r="DN77" s="206">
        <f>SUMIFS(領用表!$L:$L,領用表!$E:$E,$B77,領用表!$B:$B,$DK$2&amp;DN$2)</f>
        <v/>
      </c>
      <c r="DO77" s="206">
        <f>SUMIFS(領用表!$L:$L,領用表!$E:$E,$B77,領用表!$B:$B,$DK$2&amp;DO$2)</f>
        <v/>
      </c>
      <c r="DP77" s="206">
        <f>SUMIFS(領用表!$L:$L,領用表!$E:$E,$B77,領用表!$B:$B,$DK$2&amp;DP$2)</f>
        <v/>
      </c>
      <c r="DQ77" s="208" t="n">
        <v>2345</v>
      </c>
      <c r="DR77" s="206" t="n">
        <v>712</v>
      </c>
      <c r="DS77" s="206" t="n"/>
      <c r="DT77" s="206" t="n">
        <v>1044</v>
      </c>
      <c r="DU77" s="206" t="n"/>
      <c r="DV77" s="206" t="n">
        <v>589</v>
      </c>
      <c r="DW77" s="206">
        <f>SUM(CN77,CS77,CY77,DE77,DK77,DQ77)</f>
        <v/>
      </c>
      <c r="DX77" s="206">
        <f>AVERAGEA(CN77,CS77,CY77,DE77,DK77,DQ77)</f>
        <v/>
      </c>
      <c r="DY77" s="206">
        <f>SUM(DZ77:EC77)</f>
        <v/>
      </c>
      <c r="DZ77" s="206" t="n">
        <v>1200</v>
      </c>
      <c r="EA77" s="206" t="n">
        <v>0</v>
      </c>
      <c r="EB77" s="206" t="n">
        <v>1400</v>
      </c>
      <c r="EC77" s="206" t="n">
        <v>0</v>
      </c>
      <c r="ED77" s="258" t="n">
        <v>4000</v>
      </c>
      <c r="EE77" s="283" t="n"/>
      <c r="EF77" s="283" t="n"/>
      <c r="EG77" s="283" t="n"/>
      <c r="EH77" s="136" t="n"/>
      <c r="EI77" s="289" t="n"/>
      <c r="EJ77" s="118">
        <f>IFERROR(VLOOKUP(A77,站前4樓!A:BF,57,0),0)</f>
        <v/>
      </c>
      <c r="EK77" s="213">
        <f>IFERROR(VLOOKUP(A77,站前11樓!A:BE,57,0),0)</f>
        <v/>
      </c>
      <c r="EL77" s="118">
        <f>IFERROR(VLOOKUP(A77,忠孝7樓!A:N,57,0),0)</f>
        <v/>
      </c>
      <c r="EM77" s="118">
        <f>IFERROR(VLOOKUP(A77,忠孝國際醫學3樓!A:L,57,0),0)</f>
        <v/>
      </c>
      <c r="EN77" s="118">
        <f>SUM(ED77:EG77)</f>
        <v/>
      </c>
      <c r="EP77" s="118" t="n">
        <v>8000</v>
      </c>
      <c r="EQ77" s="118" t="n">
        <v>8400</v>
      </c>
    </row>
    <row r="78" ht="15.75" customFormat="1" customHeight="1" s="118" thickBot="1">
      <c r="A78" s="290" t="n"/>
      <c r="B78" s="290" t="n"/>
      <c r="C78" s="290" t="n"/>
      <c r="D78" s="290" t="n"/>
      <c r="E78" s="395" t="n"/>
      <c r="F78" s="290" t="n"/>
      <c r="G78" s="290" t="n"/>
      <c r="H78" s="290" t="n"/>
      <c r="I78" s="290" t="n"/>
      <c r="J78" s="290" t="n"/>
      <c r="K78" s="290" t="n"/>
      <c r="L78" s="290" t="n"/>
      <c r="M78" s="290" t="n"/>
      <c r="N78" s="290" t="n"/>
      <c r="O78" s="290" t="n"/>
      <c r="P78" s="290" t="n"/>
      <c r="Q78" s="290" t="n"/>
      <c r="R78" s="290" t="n"/>
      <c r="S78" s="290" t="n"/>
      <c r="T78" s="290" t="n"/>
      <c r="U78" s="290" t="n"/>
      <c r="V78" s="290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  <c r="AM78" s="290" t="n"/>
      <c r="AN78" s="290" t="n"/>
      <c r="AO78" s="290" t="n"/>
      <c r="AP78" s="290" t="n"/>
      <c r="AQ78" s="290" t="n"/>
      <c r="AR78" s="290" t="n"/>
      <c r="AS78" s="290" t="n"/>
      <c r="AT78" s="290" t="n"/>
      <c r="AU78" s="290" t="n"/>
      <c r="AV78" s="290" t="n"/>
      <c r="AW78" s="290" t="n"/>
      <c r="AX78" s="290" t="n"/>
      <c r="AY78" s="290" t="n"/>
      <c r="AZ78" s="290" t="n"/>
      <c r="BA78" s="290" t="n"/>
      <c r="BB78" s="290" t="n"/>
      <c r="BC78" s="290" t="n"/>
      <c r="BD78" s="290" t="n"/>
      <c r="BE78" s="290" t="n"/>
      <c r="BF78" s="290" t="n"/>
      <c r="BG78" s="290" t="n"/>
      <c r="BH78" s="290" t="n"/>
      <c r="BI78" s="290" t="n"/>
      <c r="BJ78" s="290" t="n"/>
      <c r="BK78" s="290" t="n"/>
      <c r="BL78" s="290" t="n"/>
      <c r="BM78" s="290" t="n"/>
      <c r="BN78" s="290" t="n"/>
      <c r="BO78" s="290" t="n"/>
      <c r="BP78" s="290" t="n"/>
      <c r="BQ78" s="401" t="n"/>
      <c r="BR78" s="290" t="n"/>
      <c r="BS78" s="290" t="n"/>
      <c r="BT78" s="290" t="n"/>
      <c r="BU78" s="290" t="n"/>
      <c r="BV78" s="401" t="n"/>
      <c r="BW78" s="290" t="n"/>
      <c r="BX78" s="290" t="n"/>
      <c r="BY78" s="290" t="n"/>
      <c r="BZ78" s="290" t="n"/>
      <c r="CA78" s="290" t="n"/>
      <c r="CB78" s="290" t="n"/>
      <c r="CC78" s="290" t="n"/>
      <c r="CD78" s="290" t="n"/>
      <c r="CE78" s="290" t="n"/>
      <c r="CF78" s="290" t="n"/>
      <c r="CG78" s="290" t="n"/>
      <c r="CH78" s="290" t="n"/>
      <c r="CI78" s="290" t="n"/>
      <c r="CJ78" s="290" t="n"/>
      <c r="CK78" s="290" t="n"/>
      <c r="CL78" s="290" t="n"/>
      <c r="CM78" s="290" t="n"/>
      <c r="CN78" s="290" t="n"/>
      <c r="CO78" s="290" t="n"/>
      <c r="CP78" s="290" t="n"/>
      <c r="CQ78" s="290" t="n"/>
      <c r="CR78" s="290" t="n"/>
      <c r="CS78" s="290" t="n"/>
      <c r="CT78" s="290" t="n"/>
      <c r="CU78" s="290" t="n"/>
      <c r="CV78" s="290" t="n"/>
      <c r="CW78" s="290" t="n"/>
      <c r="CX78" s="290" t="n"/>
      <c r="CY78" s="290" t="n"/>
      <c r="CZ78" s="290" t="n"/>
      <c r="DA78" s="290" t="n"/>
      <c r="DB78" s="290" t="n"/>
      <c r="DC78" s="290" t="n"/>
      <c r="DD78" s="290" t="n"/>
      <c r="DE78" s="290" t="n"/>
      <c r="DF78" s="290" t="n"/>
      <c r="DG78" s="290" t="n"/>
      <c r="DH78" s="290" t="n"/>
      <c r="DI78" s="290" t="n"/>
      <c r="DJ78" s="290" t="n"/>
      <c r="DK78" s="290" t="n"/>
      <c r="DL78" s="290" t="n"/>
      <c r="DM78" s="290" t="n"/>
      <c r="DN78" s="290" t="n"/>
      <c r="DO78" s="290" t="n"/>
      <c r="DP78" s="290" t="n"/>
      <c r="DQ78" s="290" t="n"/>
      <c r="DR78" s="290" t="n"/>
      <c r="DS78" s="290" t="n"/>
      <c r="DT78" s="290" t="n"/>
      <c r="DU78" s="290" t="n"/>
      <c r="DV78" s="290" t="n"/>
      <c r="DW78" s="290">
        <f>SUM(CN78,CS78,CY78,DE78,DK78,DQ78)</f>
        <v/>
      </c>
      <c r="DX78" s="290">
        <f>AVERAGE(CN78,CS78,CY78,DE78,DK78,DQ78)</f>
        <v/>
      </c>
      <c r="DY78" s="290">
        <f>SUM(DZ78:EC78)</f>
        <v/>
      </c>
      <c r="DZ78" s="290" t="n"/>
      <c r="EA78" s="290" t="n"/>
      <c r="EB78" s="290" t="n"/>
      <c r="EC78" s="290" t="n"/>
      <c r="ED78" s="290" t="n"/>
      <c r="EE78" s="222" t="n"/>
      <c r="EF78" s="222" t="n"/>
      <c r="EG78" s="222" t="n"/>
      <c r="EH78" s="222" t="n"/>
      <c r="EI78" s="222" t="n"/>
      <c r="EJ78" s="118">
        <f>IFERROR(VLOOKUP(A78,站前4樓!A:BF,57,0),0)</f>
        <v/>
      </c>
      <c r="EK78" s="213">
        <f>IFERROR(VLOOKUP(A78,站前11樓!A:BE,57,0),0)</f>
        <v/>
      </c>
      <c r="EL78" s="118">
        <f>IFERROR(VLOOKUP(A78,忠孝7樓!A:N,57,0),0)</f>
        <v/>
      </c>
      <c r="EM78" s="118">
        <f>IFERROR(VLOOKUP(A78,忠孝國際醫學3樓!A:L,57,0),0)</f>
        <v/>
      </c>
      <c r="EN78" s="118">
        <f>SUM(ED78:EG78)</f>
        <v/>
      </c>
      <c r="EP78" s="118" t="e">
        <v>#N/A</v>
      </c>
      <c r="EQ78" s="118" t="e">
        <v>#N/A</v>
      </c>
    </row>
    <row r="79" ht="15.75" customFormat="1" customHeight="1" s="118">
      <c r="A79" s="136" t="inlineStr">
        <is>
          <t>MM2MC070001A</t>
        </is>
      </c>
      <c r="B79" s="118" t="n">
        <v>6200004</v>
      </c>
      <c r="C79" s="118" t="inlineStr">
        <is>
          <t>阿爾發SAT卡匣(1點)</t>
        </is>
      </c>
      <c r="D79" s="197" t="n">
        <v>50</v>
      </c>
      <c r="E79" s="198" t="inlineStr">
        <is>
          <t>PTS</t>
        </is>
      </c>
      <c r="F79" s="199">
        <f>SUMIF(站前4樓!B:B,B79,站前4樓!F:F)</f>
        <v/>
      </c>
      <c r="G79" s="199">
        <f>SUMIF(站前11樓!B:B,B79,站前11樓!F:F)</f>
        <v/>
      </c>
      <c r="H79" s="199">
        <f>SUMIF(忠孝7樓!B:B,B79,忠孝7樓!G:G)</f>
        <v/>
      </c>
      <c r="I79" s="199">
        <f>SUMIF(忠孝國際醫學3樓!B:B,B79,忠孝國際醫學3樓!G:G)</f>
        <v/>
      </c>
      <c r="J79" s="199">
        <f>SUMIF(忠孝健康7樓!B:B,B79,忠孝健康7樓!G:G)</f>
        <v/>
      </c>
      <c r="K79" s="531" t="n">
        <v>0</v>
      </c>
      <c r="L79" s="531" t="n">
        <v>0</v>
      </c>
      <c r="M79" s="531" t="n">
        <v>0</v>
      </c>
      <c r="N79" s="531" t="n">
        <v>0.84</v>
      </c>
      <c r="O79" s="531" t="n">
        <v>1.18</v>
      </c>
      <c r="P79" s="531" t="n">
        <v>0.9399999999999999</v>
      </c>
      <c r="Q79" s="531" t="n">
        <v>1.44</v>
      </c>
      <c r="R79" s="531" t="n">
        <v>1.24</v>
      </c>
      <c r="S79" s="531" t="n">
        <v>1.52</v>
      </c>
      <c r="T79" s="531" t="n">
        <v>0.66</v>
      </c>
      <c r="U79" s="531" t="n">
        <v>1.66</v>
      </c>
      <c r="V79" s="531" t="n">
        <v>1.2</v>
      </c>
      <c r="W79" s="531" t="n">
        <v>1.1</v>
      </c>
      <c r="X79" s="531" t="n">
        <v>1.06</v>
      </c>
      <c r="Y79" s="531" t="n">
        <v>0.84</v>
      </c>
      <c r="Z79" s="531" t="n">
        <v>1.76</v>
      </c>
      <c r="AA79" s="531" t="n">
        <v>2</v>
      </c>
      <c r="AB79" s="531" t="n">
        <v>3.06</v>
      </c>
      <c r="AC79" s="531" t="n">
        <v>2.46</v>
      </c>
      <c r="AD79" s="531" t="n">
        <v>3.08</v>
      </c>
      <c r="AE79" s="531" t="n">
        <v>3.38</v>
      </c>
      <c r="AF79" s="531" t="n">
        <v>3.04</v>
      </c>
      <c r="AG79" s="531" t="n">
        <v>2.34</v>
      </c>
      <c r="AH79" s="531" t="n">
        <v>2.32</v>
      </c>
      <c r="AI79" s="531" t="n">
        <v>2.18</v>
      </c>
      <c r="AJ79" s="201" t="n">
        <v>2.24</v>
      </c>
      <c r="AK79" s="201" t="n">
        <v>1.5</v>
      </c>
      <c r="AL79" s="201" t="n">
        <v>2.04</v>
      </c>
      <c r="AM79" s="201" t="n">
        <v>3.1</v>
      </c>
      <c r="AN79" s="201" t="n">
        <v>4.74</v>
      </c>
      <c r="AO79" s="201" t="n">
        <v>4.24</v>
      </c>
      <c r="AP79" s="201" t="n">
        <v>8.32</v>
      </c>
      <c r="AQ79" s="201" t="n">
        <v>10.7</v>
      </c>
      <c r="AR79" s="292" t="n">
        <v>5.74</v>
      </c>
      <c r="AS79" s="201" t="n">
        <v>15.42</v>
      </c>
      <c r="AT79" s="204" t="n"/>
      <c r="AU79" s="203">
        <f>842/D79</f>
        <v/>
      </c>
      <c r="AV79" s="204">
        <f>SUM(AJ79:AU79)</f>
        <v/>
      </c>
      <c r="AW79" s="513">
        <f>AV79/12</f>
        <v/>
      </c>
      <c r="AX79" s="203" t="n">
        <v>1105</v>
      </c>
      <c r="AY79" s="203" t="n">
        <v>1682</v>
      </c>
      <c r="AZ79" s="203" t="n">
        <v>2156</v>
      </c>
      <c r="BA79" s="203" t="n">
        <v>2205</v>
      </c>
      <c r="BB79" s="203" t="n">
        <v>2266</v>
      </c>
      <c r="BC79" s="203">
        <f>SUMIFS(領用表!$L:$L,領用表!$A:$A,BC$2,領用表!$E:$E,B79)</f>
        <v/>
      </c>
      <c r="BD79" s="206">
        <f>SUMIFS(領用表!$L:$L,領用表!$E:$E,$B79,領用表!$B:$B,BC$2&amp;BD$2)</f>
        <v/>
      </c>
      <c r="BE79" s="206">
        <f>SUMIFS(領用表!$L:$L,領用表!$E:$E,$B79,領用表!$B:$B,$BC$2&amp;BE$2)</f>
        <v/>
      </c>
      <c r="BF79" s="206">
        <f>SUMIFS(領用表!$L:$L,領用表!$E:$E,$B79,領用表!$B:$B,$BC$2&amp;BF$2)</f>
        <v/>
      </c>
      <c r="BG79" s="206">
        <f>SUMIFS(領用表!$L:$L,領用表!$E:$E,$B79,領用表!$B:$B,$BC$2&amp;BG$2)</f>
        <v/>
      </c>
      <c r="BH79" s="203">
        <f>SUMIFS(領用表!$L:$L,領用表!$A:$A,BH$2,領用表!$E:$E,B79)</f>
        <v/>
      </c>
      <c r="BI79" s="260">
        <f>SUMIFS(領用表!$L:$L,領用表!$E:$E,$B79,領用表!$B:$B,BH$2&amp;BI$2)</f>
        <v/>
      </c>
      <c r="BJ79" s="260">
        <f>SUMIFS(領用表!$L:$L,領用表!$E:$E,$B79,領用表!$B:$B,$BH$2&amp;BJ$2)</f>
        <v/>
      </c>
      <c r="BK79" s="260">
        <f>SUMIFS(領用表!$L:$L,領用表!$E:$E,$B79,領用表!$B:$B,$BH$2&amp;BK$2)</f>
        <v/>
      </c>
      <c r="BL79" s="260">
        <f>SUMIFS(領用表!$L:$L,領用表!$E:$E,$B79,領用表!$B:$B,$BH$2&amp;BL$2)</f>
        <v/>
      </c>
      <c r="BM79" s="203">
        <f>SUMIFS(領用表!$L:$L,領用表!$A:$A,BM$2,領用表!$E:$E,B79)</f>
        <v/>
      </c>
      <c r="BN79" s="206">
        <f>SUMIFS(領用表!$L:$L,領用表!$E:$E,$B79,領用表!$B:$B,BM$2&amp;BN$2)</f>
        <v/>
      </c>
      <c r="BO79" s="206">
        <f>SUMIFS(領用表!$L:$L,領用表!$E:$E,$B79,領用表!$B:$B,$BM$2&amp;BO$2)</f>
        <v/>
      </c>
      <c r="BP79" s="206">
        <f>SUMIFS(領用表!$L:$L,領用表!$E:$E,$B79,領用表!$B:$B,$BM$2&amp;BP$2)</f>
        <v/>
      </c>
      <c r="BQ79" s="206">
        <f>SUMIFS(領用表!$L:$L,領用表!$E:$E,$B79,領用表!$B:$B,$BM$2&amp;BQ$2)</f>
        <v/>
      </c>
      <c r="BR79" s="203">
        <f>SUMIFS(領用表!$L:$L,領用表!$A:$A,BR$2,領用表!$E:$E,B79)</f>
        <v/>
      </c>
      <c r="BS79" s="206">
        <f>SUMIFS(領用表!$L:$L,領用表!$E:$E,$B79,領用表!$B:$B,BR$2&amp;BS$2)</f>
        <v/>
      </c>
      <c r="BT79" s="206">
        <f>SUMIFS(領用表!$L:$L,領用表!$E:$E,$B79,領用表!$B:$B,$BR$2&amp;BT$2)</f>
        <v/>
      </c>
      <c r="BU79" s="206">
        <f>SUMIFS(領用表!$L:$L,領用表!$E:$E,$B79,領用表!$B:$B,$BR$2&amp;BU$2)</f>
        <v/>
      </c>
      <c r="BV79" s="206">
        <f>SUMIFS(領用表!$L:$L,領用表!$E:$E,$B79,領用表!$B:$B,$BR$2&amp;BV$2)</f>
        <v/>
      </c>
      <c r="BW79" s="208">
        <f>SUMIFS(領用表!$L:$L,領用表!$A:$A,BW$2,領用表!$E:$E,B79)</f>
        <v/>
      </c>
      <c r="BX79" s="206">
        <f>SUMIFS(領用表!$L:$L,領用表!$E:$E,$B79,領用表!$B:$B,BW$2&amp;BX$2)</f>
        <v/>
      </c>
      <c r="BY79" s="206">
        <f>SUMIFS(領用表!$L:$L,領用表!$E:$E,$B79,領用表!$B:$B,$BW$2&amp;BY$2)</f>
        <v/>
      </c>
      <c r="BZ79" s="206">
        <f>SUMIFS(領用表!$L:$L,領用表!$E:$E,$B79,領用表!$B:$B,$BW$2&amp;BZ$2)</f>
        <v/>
      </c>
      <c r="CA79" s="206">
        <f>SUMIFS(領用表!$L:$L,領用表!$E:$E,$B79,領用表!$B:$B,$BW$2&amp;CA$2)</f>
        <v/>
      </c>
      <c r="CB79" s="208">
        <f>SUMIFS(領用表!$L:$L,領用表!$A:$A,CB$2,領用表!$E:$E,B79)</f>
        <v/>
      </c>
      <c r="CC79" s="206">
        <f>SUMIFS(領用表!$L:$L,領用表!$E:$E,$B79,領用表!$B:$B,CB$2&amp;CC$2)</f>
        <v/>
      </c>
      <c r="CD79" s="206">
        <f>SUMIFS(領用表!$L:$L,領用表!$E:$E,$B79,領用表!$B:$B,$CB$2&amp;CD$2)</f>
        <v/>
      </c>
      <c r="CE79" s="206">
        <f>SUMIFS(領用表!$L:$L,領用表!$E:$E,$B79,領用表!$B:$B,$CB$2&amp;CE$2)</f>
        <v/>
      </c>
      <c r="CF79" s="206">
        <f>SUMIFS(領用表!$L:$L,領用表!$E:$E,$B79,領用表!$B:$B,$CB$2&amp;CF$2)</f>
        <v/>
      </c>
      <c r="CG79" s="208">
        <f>SUMIFS(領用表!$L:$L,領用表!$A:$A,CG$2,領用表!$E:$E,B79)</f>
        <v/>
      </c>
      <c r="CH79" s="206">
        <f>SUMIFS(領用表!$L:$L,領用表!$E:$E,$B79,領用表!$B:$B,CG$2&amp;CH$2)</f>
        <v/>
      </c>
      <c r="CI79" s="206">
        <f>SUMIFS(領用表!$L:$L,領用表!$E:$E,$B79,領用表!$B:$B,CG$2&amp;CI$2)</f>
        <v/>
      </c>
      <c r="CJ79" s="206">
        <f>SUMIFS(領用表!$L:$L,領用表!$E:$E,$B79,領用表!$B:$B,CG$2&amp;CJ$2)</f>
        <v/>
      </c>
      <c r="CK79" s="206">
        <f>SUMIFS(領用表!$L:$L,領用表!$E:$E,$B79,領用表!$B:$B,$CG$2&amp;CK$2)</f>
        <v/>
      </c>
      <c r="CL79" s="207">
        <f>SUM(AX79,AY79,AZ79,BA79,BB79,BC79,BH79,BM79,BR79,BW79,CB79,CG79)</f>
        <v/>
      </c>
      <c r="CM79" s="207">
        <f>AVERAGE(AX79,AY79,AZ79,BA79,BB79,BC79,BH79,BM79,BR79,BW79,CB79,CG79)</f>
        <v/>
      </c>
      <c r="CN79" s="208">
        <f>SUMIFS(領用表!$L:$L,領用表!$A:$A,CN$2,領用表!$E:$E,B79)</f>
        <v/>
      </c>
      <c r="CO79" s="206">
        <f>SUMIFS(領用表!$L:$L,領用表!$E:$E,$B79,領用表!$B:$B,CN$2&amp;CO$2)</f>
        <v/>
      </c>
      <c r="CP79" s="206">
        <f>SUMIFS(領用表!$L:$L,領用表!$E:$E,$B79,領用表!$B:$B,$CN$2&amp;CP$2)</f>
        <v/>
      </c>
      <c r="CQ79" s="206">
        <f>SUMIFS(領用表!$L:$L,領用表!$E:$E,$B79,領用表!$B:$B,$CN$2&amp;CQ$2)</f>
        <v/>
      </c>
      <c r="CR79" s="206">
        <f>SUMIFS(領用表!$L:$L,領用表!$E:$E,$B79,領用表!$B:$B,$CN$2&amp;CR$2)</f>
        <v/>
      </c>
      <c r="CS79" s="208">
        <f>SUMIFS(領用表!$L:$L,領用表!$A:$A,CS$2,領用表!$E:$E,B79)</f>
        <v/>
      </c>
      <c r="CT79" s="206">
        <f>SUMIFS(領用表!$L:$L,領用表!$E:$E,$B79,領用表!$B:$B,CS$2&amp;CT$2)</f>
        <v/>
      </c>
      <c r="CU79" s="206">
        <f>SUMIFS(領用表!$L:$L,領用表!$E:$E,$B79,領用表!$B:$B,$CS$2&amp;CU$2)</f>
        <v/>
      </c>
      <c r="CV79" s="206">
        <f>SUMIFS(領用表!$L:$L,領用表!$E:$E,$B79,領用表!$B:$B,$CS$2&amp;CV$2)</f>
        <v/>
      </c>
      <c r="CW79" s="206">
        <f>SUMIFS(領用表!$L:$L,領用表!$E:$E,$B79,領用表!$B:$B,$CS$2&amp;CW$2)</f>
        <v/>
      </c>
      <c r="CX79" s="206">
        <f>SUMIFS(領用表!$L:$L,領用表!$E:$E,$B79,領用表!$B:$B,$CS$2&amp;CX$2)</f>
        <v/>
      </c>
      <c r="CY79" s="208">
        <f>SUMIFS(領用表!$L:$L,領用表!$A:$A,CY$2,領用表!$E:$E,B79)</f>
        <v/>
      </c>
      <c r="CZ79" s="206">
        <f>SUMIFS(領用表!$L:$L,領用表!$E:$E,$B79,領用表!$B:$B,CY$2&amp;CZ$2)</f>
        <v/>
      </c>
      <c r="DA79" s="206">
        <f>SUMIFS(領用表!$L:$L,領用表!$E:$E,$B79,領用表!$B:$B,$CY$2&amp;DA$2)</f>
        <v/>
      </c>
      <c r="DB79" s="206">
        <f>SUMIFS(領用表!$L:$L,領用表!$E:$E,$B79,領用表!$B:$B,$CY$2&amp;DB$2)</f>
        <v/>
      </c>
      <c r="DC79" s="206">
        <f>SUMIFS(領用表!$L:$L,領用表!$E:$E,$B79,領用表!$B:$B,$CY$2&amp;DC$2)</f>
        <v/>
      </c>
      <c r="DD79" s="206">
        <f>SUMIFS(領用表!$L:$L,領用表!$E:$E,$B79,領用表!$B:$B,$CY$2&amp;DD$2)</f>
        <v/>
      </c>
      <c r="DE79" s="208">
        <f>SUMIFS(領用表!$L:$L,領用表!$A:$A,DE$2,領用表!$E:$E,B79)</f>
        <v/>
      </c>
      <c r="DF79" s="206">
        <f>SUMIFS(領用表!$L:$L,領用表!$E:$E,$B79,領用表!$B:$B,DE$2&amp;DF$2)</f>
        <v/>
      </c>
      <c r="DG79" s="206">
        <f>SUMIFS(領用表!$L:$L,領用表!$E:$E,$B79,領用表!$B:$B,$DE$2&amp;DG$2)</f>
        <v/>
      </c>
      <c r="DH79" s="206">
        <f>SUMIFS(領用表!$L:$L,領用表!$E:$E,$B79,領用表!$B:$B,$DE$2&amp;DH$2)</f>
        <v/>
      </c>
      <c r="DI79" s="206">
        <f>SUMIFS(領用表!$L:$L,領用表!$E:$E,$B79,領用表!$B:$B,$DE$2&amp;DI$2)</f>
        <v/>
      </c>
      <c r="DJ79" s="206">
        <f>SUMIFS(領用表!$L:$L,領用表!$E:$E,$B79,領用表!$B:$B,$DE$2&amp;DJ$2)</f>
        <v/>
      </c>
      <c r="DK79" s="208">
        <f>SUMIFS(領用表!$L:$L,領用表!$A:$A,DK$2,領用表!$E:$E,$B79)</f>
        <v/>
      </c>
      <c r="DL79" s="206">
        <f>SUMIFS(領用表!$L:$L,領用表!$E:$E,$B79,領用表!$B:$B,DK$2&amp;DL$2)</f>
        <v/>
      </c>
      <c r="DM79" s="206">
        <f>SUMIFS(領用表!$L:$L,領用表!$E:$E,$B79,領用表!$B:$B,$DK$2&amp;DM$2)</f>
        <v/>
      </c>
      <c r="DN79" s="206">
        <f>SUMIFS(領用表!$L:$L,領用表!$E:$E,$B79,領用表!$B:$B,$DK$2&amp;DN$2)</f>
        <v/>
      </c>
      <c r="DO79" s="206">
        <f>SUMIFS(領用表!$L:$L,領用表!$E:$E,$B79,領用表!$B:$B,$DK$2&amp;DO$2)</f>
        <v/>
      </c>
      <c r="DP79" s="206">
        <f>SUMIFS(領用表!$L:$L,領用表!$E:$E,$B79,領用表!$B:$B,$DK$2&amp;DP$2)</f>
        <v/>
      </c>
      <c r="DQ79" s="208" t="n">
        <v>1929</v>
      </c>
      <c r="DR79" s="206" t="n"/>
      <c r="DS79" s="206" t="n">
        <v>845</v>
      </c>
      <c r="DT79" s="206" t="n"/>
      <c r="DU79" s="206" t="n">
        <v>1084</v>
      </c>
      <c r="DV79" s="206" t="n"/>
      <c r="DW79" s="206">
        <f>SUM(CN79,CS79,CY79,DE79,DK79,DQ79)</f>
        <v/>
      </c>
      <c r="DX79" s="206">
        <f>AVERAGEA(CN79,CS79,CY79,DE79,DK79,DQ79)</f>
        <v/>
      </c>
      <c r="DY79" s="206">
        <f>SUM(DZ79:EC79)</f>
        <v/>
      </c>
      <c r="DZ79" s="206" t="n">
        <v>0</v>
      </c>
      <c r="EA79" s="206" t="n">
        <v>1920</v>
      </c>
      <c r="EB79" s="206" t="n">
        <v>0</v>
      </c>
      <c r="EC79" s="206" t="n">
        <v>2760</v>
      </c>
      <c r="ED79" s="215" t="n">
        <v>1500</v>
      </c>
      <c r="EE79" s="210" t="inlineStr">
        <is>
          <t>358顆又5點</t>
        </is>
      </c>
      <c r="EF79" s="262" t="inlineStr">
        <is>
          <t>1000點(10/23)</t>
        </is>
      </c>
      <c r="EG79" s="262" t="inlineStr">
        <is>
          <t>500點(10/23)</t>
        </is>
      </c>
      <c r="EH79" s="136" t="n"/>
      <c r="EI79" s="212" t="n"/>
      <c r="EJ79" s="118">
        <f>IFERROR(VLOOKUP(A79,站前4樓!A:BF,57,0),0)</f>
        <v/>
      </c>
      <c r="EK79" s="213">
        <f>IFERROR(VLOOKUP(A79,站前11樓!A:BE,57,0),0)</f>
        <v/>
      </c>
      <c r="EL79" s="118">
        <f>IFERROR(VLOOKUP(A79,忠孝7樓!A:N,57,0),0)</f>
        <v/>
      </c>
      <c r="EM79" s="118">
        <f>IFERROR(VLOOKUP(A79,忠孝國際醫學3樓!A:L,57,0),0)</f>
        <v/>
      </c>
      <c r="EN79" s="118">
        <f>SUM(ED79:EG79)</f>
        <v/>
      </c>
      <c r="EP79" s="118" t="n">
        <v>1047</v>
      </c>
      <c r="EQ79" s="118" t="n">
        <v>1832</v>
      </c>
    </row>
    <row r="80" ht="15.75" customFormat="1" customHeight="1" s="118">
      <c r="A80" s="136" t="inlineStr">
        <is>
          <t>MM2MX070001A</t>
        </is>
      </c>
      <c r="B80" s="118" t="n">
        <v>6190005</v>
      </c>
      <c r="C80" s="118" t="inlineStr">
        <is>
          <t>光纖針+靜脈留置針(1組)</t>
        </is>
      </c>
      <c r="D80" s="197" t="n">
        <v>50</v>
      </c>
      <c r="E80" s="198" t="inlineStr">
        <is>
          <t>SET</t>
        </is>
      </c>
      <c r="F80" s="199">
        <f>SUMIF(站前4樓!B:B,B80,站前4樓!F:F)</f>
        <v/>
      </c>
      <c r="G80" s="199">
        <f>SUMIF(站前11樓!B:B,B80,站前11樓!F:F)</f>
        <v/>
      </c>
      <c r="H80" s="199">
        <f>SUMIF(忠孝7樓!B:B,B80,忠孝7樓!G:G)</f>
        <v/>
      </c>
      <c r="I80" s="199">
        <f>SUMIF(忠孝國際醫學3樓!B:B,B80,忠孝國際醫學3樓!G:G)</f>
        <v/>
      </c>
      <c r="J80" s="199">
        <f>SUMIF(忠孝健康7樓!B:B,B80,忠孝健康7樓!G:G)</f>
        <v/>
      </c>
      <c r="K80" s="531" t="n">
        <v>0</v>
      </c>
      <c r="L80" s="531" t="n">
        <v>0</v>
      </c>
      <c r="M80" s="531" t="n">
        <v>0</v>
      </c>
      <c r="N80" s="531" t="n">
        <v>0.02</v>
      </c>
      <c r="O80" s="531" t="n">
        <v>0</v>
      </c>
      <c r="P80" s="531" t="n">
        <v>0</v>
      </c>
      <c r="Q80" s="531" t="n">
        <v>0</v>
      </c>
      <c r="R80" s="531" t="n">
        <v>0</v>
      </c>
      <c r="S80" s="531" t="n">
        <v>0</v>
      </c>
      <c r="T80" s="531" t="n">
        <v>0</v>
      </c>
      <c r="U80" s="531" t="n">
        <v>0</v>
      </c>
      <c r="V80" s="531" t="n">
        <v>0</v>
      </c>
      <c r="W80" s="531" t="n">
        <v>0</v>
      </c>
      <c r="X80" s="531" t="n">
        <v>0</v>
      </c>
      <c r="Y80" s="531" t="n">
        <v>0</v>
      </c>
      <c r="Z80" s="531" t="n">
        <v>0</v>
      </c>
      <c r="AA80" s="531" t="n">
        <v>0</v>
      </c>
      <c r="AB80" s="531" t="n">
        <v>0</v>
      </c>
      <c r="AC80" s="531" t="n">
        <v>0</v>
      </c>
      <c r="AD80" s="531" t="n">
        <v>0</v>
      </c>
      <c r="AE80" s="531" t="n">
        <v>0.42</v>
      </c>
      <c r="AF80" s="531" t="n">
        <v>0.36</v>
      </c>
      <c r="AG80" s="531" t="n">
        <v>0.62</v>
      </c>
      <c r="AH80" s="531" t="n">
        <v>0.32</v>
      </c>
      <c r="AI80" s="531" t="n">
        <v>0.22</v>
      </c>
      <c r="AJ80" s="201" t="n">
        <v>0.14</v>
      </c>
      <c r="AK80" s="201" t="n">
        <v>0.14</v>
      </c>
      <c r="AL80" s="201" t="n">
        <v>0.02</v>
      </c>
      <c r="AM80" s="201" t="n">
        <v>0.76</v>
      </c>
      <c r="AN80" s="201" t="n">
        <v>0.46</v>
      </c>
      <c r="AO80" s="201" t="n">
        <v>0.12</v>
      </c>
      <c r="AP80" s="201" t="n">
        <v>0.08</v>
      </c>
      <c r="AQ80" s="201" t="n">
        <v>1.34</v>
      </c>
      <c r="AR80" s="201" t="n">
        <v>1.62</v>
      </c>
      <c r="AS80" s="201" t="n">
        <v>1.34</v>
      </c>
      <c r="AT80" s="201" t="n">
        <v>2.6</v>
      </c>
      <c r="AU80" s="203">
        <f>173/D80</f>
        <v/>
      </c>
      <c r="AV80" s="204">
        <f>SUM(AJ80:AU80)</f>
        <v/>
      </c>
      <c r="AW80" s="513">
        <f>AV80/12</f>
        <v/>
      </c>
      <c r="AX80" s="203" t="n">
        <v>85</v>
      </c>
      <c r="AY80" s="203" t="n">
        <v>54</v>
      </c>
      <c r="AZ80" s="203" t="n">
        <v>31</v>
      </c>
      <c r="BA80" s="214" t="n">
        <v>80</v>
      </c>
      <c r="BB80" s="203" t="n">
        <v>62</v>
      </c>
      <c r="BC80" s="203">
        <f>SUMIFS(領用表!$L:$L,領用表!$A:$A,BC$2,領用表!$E:$E,B80)</f>
        <v/>
      </c>
      <c r="BD80" s="206">
        <f>SUMIFS(領用表!$L:$L,領用表!$E:$E,$B80,領用表!$B:$B,BC$2&amp;BD$2)</f>
        <v/>
      </c>
      <c r="BE80" s="206">
        <f>SUMIFS(領用表!$L:$L,領用表!$E:$E,$B80,領用表!$B:$B,$BC$2&amp;BE$2)</f>
        <v/>
      </c>
      <c r="BF80" s="206">
        <f>SUMIFS(領用表!$L:$L,領用表!$E:$E,$B80,領用表!$B:$B,$BC$2&amp;BF$2)</f>
        <v/>
      </c>
      <c r="BG80" s="206">
        <f>SUMIFS(領用表!$L:$L,領用表!$E:$E,$B80,領用表!$B:$B,$BC$2&amp;BG$2)</f>
        <v/>
      </c>
      <c r="BH80" s="203">
        <f>SUMIFS(領用表!$L:$L,領用表!$A:$A,BH$2,領用表!$E:$E,B80)</f>
        <v/>
      </c>
      <c r="BI80" s="260">
        <f>SUMIFS(領用表!$L:$L,領用表!$E:$E,$B80,領用表!$B:$B,BH$2&amp;BI$2)</f>
        <v/>
      </c>
      <c r="BJ80" s="260">
        <f>SUMIFS(領用表!$L:$L,領用表!$E:$E,$B80,領用表!$B:$B,$BH$2&amp;BJ$2)</f>
        <v/>
      </c>
      <c r="BK80" s="260">
        <f>SUMIFS(領用表!$L:$L,領用表!$E:$E,$B80,領用表!$B:$B,$BH$2&amp;BK$2)</f>
        <v/>
      </c>
      <c r="BL80" s="260">
        <f>SUMIFS(領用表!$L:$L,領用表!$E:$E,$B80,領用表!$B:$B,$BH$2&amp;BL$2)</f>
        <v/>
      </c>
      <c r="BM80" s="203">
        <f>SUMIFS(領用表!$L:$L,領用表!$A:$A,BM$2,領用表!$E:$E,B80)</f>
        <v/>
      </c>
      <c r="BN80" s="206">
        <f>SUMIFS(領用表!$L:$L,領用表!$E:$E,$B80,領用表!$B:$B,BM$2&amp;BN$2)</f>
        <v/>
      </c>
      <c r="BO80" s="206">
        <f>SUMIFS(領用表!$L:$L,領用表!$E:$E,$B80,領用表!$B:$B,$BM$2&amp;BO$2)</f>
        <v/>
      </c>
      <c r="BP80" s="206">
        <f>SUMIFS(領用表!$L:$L,領用表!$E:$E,$B80,領用表!$B:$B,$BM$2&amp;BP$2)</f>
        <v/>
      </c>
      <c r="BQ80" s="206">
        <f>SUMIFS(領用表!$L:$L,領用表!$E:$E,$B80,領用表!$B:$B,$BM$2&amp;BQ$2)</f>
        <v/>
      </c>
      <c r="BR80" s="203">
        <f>SUMIFS(領用表!$L:$L,領用表!$A:$A,BR$2,領用表!$E:$E,B80)</f>
        <v/>
      </c>
      <c r="BS80" s="206">
        <f>SUMIFS(領用表!$L:$L,領用表!$E:$E,$B80,領用表!$B:$B,BR$2&amp;BS$2)</f>
        <v/>
      </c>
      <c r="BT80" s="206">
        <f>SUMIFS(領用表!$L:$L,領用表!$E:$E,$B80,領用表!$B:$B,$BR$2&amp;BT$2)</f>
        <v/>
      </c>
      <c r="BU80" s="206">
        <f>SUMIFS(領用表!$L:$L,領用表!$E:$E,$B80,領用表!$B:$B,$BR$2&amp;BU$2)</f>
        <v/>
      </c>
      <c r="BV80" s="206">
        <f>SUMIFS(領用表!$L:$L,領用表!$E:$E,$B80,領用表!$B:$B,$BR$2&amp;BV$2)</f>
        <v/>
      </c>
      <c r="BW80" s="208">
        <f>SUMIFS(領用表!$L:$L,領用表!$A:$A,BW$2,領用表!$E:$E,B80)</f>
        <v/>
      </c>
      <c r="BX80" s="206">
        <f>SUMIFS(領用表!$L:$L,領用表!$E:$E,$B80,領用表!$B:$B,BW$2&amp;BX$2)</f>
        <v/>
      </c>
      <c r="BY80" s="206">
        <f>SUMIFS(領用表!$L:$L,領用表!$E:$E,$B80,領用表!$B:$B,$BW$2&amp;BY$2)</f>
        <v/>
      </c>
      <c r="BZ80" s="206">
        <f>SUMIFS(領用表!$L:$L,領用表!$E:$E,$B80,領用表!$B:$B,$BW$2&amp;BZ$2)</f>
        <v/>
      </c>
      <c r="CA80" s="206">
        <f>SUMIFS(領用表!$L:$L,領用表!$E:$E,$B80,領用表!$B:$B,$BW$2&amp;CA$2)</f>
        <v/>
      </c>
      <c r="CB80" s="208">
        <f>SUMIFS(領用表!$L:$L,領用表!$A:$A,CB$2,領用表!$E:$E,B80)</f>
        <v/>
      </c>
      <c r="CC80" s="206">
        <f>SUMIFS(領用表!$L:$L,領用表!$E:$E,$B80,領用表!$B:$B,CB$2&amp;CC$2)</f>
        <v/>
      </c>
      <c r="CD80" s="206">
        <f>SUMIFS(領用表!$L:$L,領用表!$E:$E,$B80,領用表!$B:$B,$CB$2&amp;CD$2)</f>
        <v/>
      </c>
      <c r="CE80" s="206">
        <f>SUMIFS(領用表!$L:$L,領用表!$E:$E,$B80,領用表!$B:$B,$CB$2&amp;CE$2)</f>
        <v/>
      </c>
      <c r="CF80" s="206">
        <f>SUMIFS(領用表!$L:$L,領用表!$E:$E,$B80,領用表!$B:$B,$CB$2&amp;CF$2)</f>
        <v/>
      </c>
      <c r="CG80" s="208">
        <f>SUMIFS(領用表!$L:$L,領用表!$A:$A,CG$2,領用表!$E:$E,B80)</f>
        <v/>
      </c>
      <c r="CH80" s="206">
        <f>SUMIFS(領用表!$L:$L,領用表!$E:$E,$B80,領用表!$B:$B,CG$2&amp;CH$2)</f>
        <v/>
      </c>
      <c r="CI80" s="206">
        <f>SUMIFS(領用表!$L:$L,領用表!$E:$E,$B80,領用表!$B:$B,CG$2&amp;CI$2)</f>
        <v/>
      </c>
      <c r="CJ80" s="206">
        <f>SUMIFS(領用表!$L:$L,領用表!$E:$E,$B80,領用表!$B:$B,CG$2&amp;CJ$2)</f>
        <v/>
      </c>
      <c r="CK80" s="206">
        <f>SUMIFS(領用表!$L:$L,領用表!$E:$E,$B80,領用表!$B:$B,$CG$2&amp;CK$2)</f>
        <v/>
      </c>
      <c r="CL80" s="207">
        <f>SUM(AX80,AY80,AZ80,BA80,BB80,BC80,BH80,BM80,BR80,BW80,CB80,CG80)</f>
        <v/>
      </c>
      <c r="CM80" s="207">
        <f>AVERAGE(AX80,AY80,AZ80,BA80,BB80,BC80,BH80,BM80,BR80,BW80,CB80,CG80)</f>
        <v/>
      </c>
      <c r="CN80" s="208">
        <f>SUMIFS(領用表!$L:$L,領用表!$A:$A,CN$2,領用表!$E:$E,B80)</f>
        <v/>
      </c>
      <c r="CO80" s="206">
        <f>SUMIFS(領用表!$L:$L,領用表!$E:$E,$B80,領用表!$B:$B,CN$2&amp;CO$2)</f>
        <v/>
      </c>
      <c r="CP80" s="206">
        <f>SUMIFS(領用表!$L:$L,領用表!$E:$E,$B80,領用表!$B:$B,$CN$2&amp;CP$2)</f>
        <v/>
      </c>
      <c r="CQ80" s="206">
        <f>SUMIFS(領用表!$L:$L,領用表!$E:$E,$B80,領用表!$B:$B,$CN$2&amp;CQ$2)</f>
        <v/>
      </c>
      <c r="CR80" s="206">
        <f>SUMIFS(領用表!$L:$L,領用表!$E:$E,$B80,領用表!$B:$B,$CN$2&amp;CR$2)</f>
        <v/>
      </c>
      <c r="CS80" s="208">
        <f>SUMIFS(領用表!$L:$L,領用表!$A:$A,CS$2,領用表!$E:$E,B80)</f>
        <v/>
      </c>
      <c r="CT80" s="206">
        <f>SUMIFS(領用表!$L:$L,領用表!$E:$E,$B80,領用表!$B:$B,CS$2&amp;CT$2)</f>
        <v/>
      </c>
      <c r="CU80" s="206">
        <f>SUMIFS(領用表!$L:$L,領用表!$E:$E,$B80,領用表!$B:$B,$CS$2&amp;CU$2)</f>
        <v/>
      </c>
      <c r="CV80" s="206">
        <f>SUMIFS(領用表!$L:$L,領用表!$E:$E,$B80,領用表!$B:$B,$CS$2&amp;CV$2)</f>
        <v/>
      </c>
      <c r="CW80" s="206">
        <f>SUMIFS(領用表!$L:$L,領用表!$E:$E,$B80,領用表!$B:$B,$CS$2&amp;CW$2)</f>
        <v/>
      </c>
      <c r="CX80" s="206">
        <f>SUMIFS(領用表!$L:$L,領用表!$E:$E,$B80,領用表!$B:$B,$CS$2&amp;CX$2)</f>
        <v/>
      </c>
      <c r="CY80" s="208">
        <f>SUMIFS(領用表!$L:$L,領用表!$A:$A,CY$2,領用表!$E:$E,B80)</f>
        <v/>
      </c>
      <c r="CZ80" s="206">
        <f>SUMIFS(領用表!$L:$L,領用表!$E:$E,$B80,領用表!$B:$B,CY$2&amp;CZ$2)</f>
        <v/>
      </c>
      <c r="DA80" s="206">
        <f>SUMIFS(領用表!$L:$L,領用表!$E:$E,$B80,領用表!$B:$B,$CY$2&amp;DA$2)</f>
        <v/>
      </c>
      <c r="DB80" s="206">
        <f>SUMIFS(領用表!$L:$L,領用表!$E:$E,$B80,領用表!$B:$B,$CY$2&amp;DB$2)</f>
        <v/>
      </c>
      <c r="DC80" s="206">
        <f>SUMIFS(領用表!$L:$L,領用表!$E:$E,$B80,領用表!$B:$B,$CY$2&amp;DC$2)</f>
        <v/>
      </c>
      <c r="DD80" s="206">
        <f>SUMIFS(領用表!$L:$L,領用表!$E:$E,$B80,領用表!$B:$B,$CY$2&amp;DD$2)</f>
        <v/>
      </c>
      <c r="DE80" s="208">
        <f>SUMIFS(領用表!$L:$L,領用表!$A:$A,DE$2,領用表!$E:$E,B80)</f>
        <v/>
      </c>
      <c r="DF80" s="206">
        <f>SUMIFS(領用表!$L:$L,領用表!$E:$E,$B80,領用表!$B:$B,DE$2&amp;DF$2)</f>
        <v/>
      </c>
      <c r="DG80" s="206">
        <f>SUMIFS(領用表!$L:$L,領用表!$E:$E,$B80,領用表!$B:$B,$DE$2&amp;DG$2)</f>
        <v/>
      </c>
      <c r="DH80" s="206">
        <f>SUMIFS(領用表!$L:$L,領用表!$E:$E,$B80,領用表!$B:$B,$DE$2&amp;DH$2)</f>
        <v/>
      </c>
      <c r="DI80" s="206">
        <f>SUMIFS(領用表!$L:$L,領用表!$E:$E,$B80,領用表!$B:$B,$DE$2&amp;DI$2)</f>
        <v/>
      </c>
      <c r="DJ80" s="206">
        <f>SUMIFS(領用表!$L:$L,領用表!$E:$E,$B80,領用表!$B:$B,$DE$2&amp;DJ$2)</f>
        <v/>
      </c>
      <c r="DK80" s="208">
        <f>SUMIFS(領用表!$L:$L,領用表!$A:$A,DK$2,領用表!$E:$E,$B80)</f>
        <v/>
      </c>
      <c r="DL80" s="206">
        <f>SUMIFS(領用表!$L:$L,領用表!$E:$E,$B80,領用表!$B:$B,DK$2&amp;DL$2)</f>
        <v/>
      </c>
      <c r="DM80" s="206">
        <f>SUMIFS(領用表!$L:$L,領用表!$E:$E,$B80,領用表!$B:$B,$DK$2&amp;DM$2)</f>
        <v/>
      </c>
      <c r="DN80" s="206">
        <f>SUMIFS(領用表!$L:$L,領用表!$E:$E,$B80,領用表!$B:$B,$DK$2&amp;DN$2)</f>
        <v/>
      </c>
      <c r="DO80" s="206">
        <f>SUMIFS(領用表!$L:$L,領用表!$E:$E,$B80,領用表!$B:$B,$DK$2&amp;DO$2)</f>
        <v/>
      </c>
      <c r="DP80" s="206">
        <f>SUMIFS(領用表!$L:$L,領用表!$E:$E,$B80,領用表!$B:$B,$DK$2&amp;DP$2)</f>
        <v/>
      </c>
      <c r="DQ80" s="208" t="n">
        <v>8</v>
      </c>
      <c r="DR80" s="206" t="n"/>
      <c r="DS80" s="206" t="n">
        <v>8</v>
      </c>
      <c r="DT80" s="206" t="n"/>
      <c r="DU80" s="206" t="n"/>
      <c r="DV80" s="206" t="n"/>
      <c r="DW80" s="206">
        <f>SUM(CN80,CS80,CY80,DE80,DK80,DQ80)</f>
        <v/>
      </c>
      <c r="DX80" s="206">
        <f>AVERAGEA(CN80,CS80,CY80,DE80,DK80,DQ80)</f>
        <v/>
      </c>
      <c r="DY80" s="206">
        <f>SUM(DZ80:EC80)</f>
        <v/>
      </c>
      <c r="DZ80" s="206" t="n">
        <v>0</v>
      </c>
      <c r="EA80" s="206" t="n">
        <v>50</v>
      </c>
      <c r="EB80" s="206" t="n">
        <v>0</v>
      </c>
      <c r="EC80" s="206" t="n">
        <v>0</v>
      </c>
      <c r="ED80" s="215" t="n">
        <v>100</v>
      </c>
      <c r="EE80" s="210" t="n"/>
      <c r="EF80" s="211" t="n"/>
      <c r="EG80" s="211" t="n"/>
      <c r="EH80" s="136" t="n"/>
      <c r="EI80" s="212" t="n"/>
      <c r="EJ80" s="118">
        <f>IFERROR(VLOOKUP(A80,站前4樓!A:BF,57,0),0)</f>
        <v/>
      </c>
      <c r="EK80" s="213">
        <f>IFERROR(VLOOKUP(A80,站前11樓!A:BE,57,0),0)</f>
        <v/>
      </c>
      <c r="EL80" s="118">
        <f>IFERROR(VLOOKUP(A80,忠孝7樓!A:N,57,0),0)</f>
        <v/>
      </c>
      <c r="EM80" s="118">
        <f>IFERROR(VLOOKUP(A80,忠孝國際醫學3樓!A:L,57,0),0)</f>
        <v/>
      </c>
      <c r="EN80" s="118">
        <f>SUM(ED80:EG80)</f>
        <v/>
      </c>
      <c r="EP80" s="118" t="n">
        <v>81</v>
      </c>
      <c r="EQ80" s="118" t="n">
        <v>0</v>
      </c>
    </row>
    <row r="81" ht="15.75" customFormat="1" customHeight="1" s="118" thickBot="1">
      <c r="A81" s="136" t="n"/>
      <c r="C81" s="118" t="inlineStr">
        <is>
          <t>善纖達 Saxenda 6 mg/ml 注射用溶液(3入)</t>
        </is>
      </c>
      <c r="D81" s="285" t="n">
        <v>3</v>
      </c>
      <c r="E81" s="198" t="inlineStr">
        <is>
          <t>支</t>
        </is>
      </c>
      <c r="F81" s="225">
        <f>SUMIF(站前4樓!B:B,B81,站前4樓!F:F)</f>
        <v/>
      </c>
      <c r="G81" s="225">
        <f>SUMIF(站前11樓!B:B,B81,站前11樓!F:F)</f>
        <v/>
      </c>
      <c r="H81" s="225">
        <f>SUMIF(忠孝7樓!B:B,B81,忠孝7樓!G:G)</f>
        <v/>
      </c>
      <c r="I81" s="225">
        <f>SUMIF(忠孝國際醫學3樓!B:B,B81,忠孝國際醫學3樓!G:G)</f>
        <v/>
      </c>
      <c r="J81" s="225">
        <f>SUMIF(忠孝健康7樓!B:B,B81,忠孝健康7樓!G:G)</f>
        <v/>
      </c>
      <c r="K81" s="283" t="n"/>
      <c r="L81" s="283" t="n"/>
      <c r="M81" s="283" t="n"/>
      <c r="N81" s="283" t="n"/>
      <c r="O81" s="283" t="n"/>
      <c r="P81" s="283" t="n"/>
      <c r="Q81" s="283" t="n"/>
      <c r="R81" s="283" t="n"/>
      <c r="S81" s="283" t="n"/>
      <c r="T81" s="283" t="n"/>
      <c r="U81" s="283" t="n"/>
      <c r="V81" s="283" t="n"/>
      <c r="W81" s="283" t="n"/>
      <c r="X81" s="283" t="n"/>
      <c r="Y81" s="283" t="n"/>
      <c r="Z81" s="283" t="n"/>
      <c r="AA81" s="283" t="n"/>
      <c r="AB81" s="283" t="n"/>
      <c r="AC81" s="283" t="n"/>
      <c r="AD81" s="283" t="n"/>
      <c r="AE81" s="283" t="n"/>
      <c r="AF81" s="283" t="n"/>
      <c r="AG81" s="283" t="n"/>
      <c r="AH81" s="283" t="n"/>
      <c r="AI81" s="283" t="n"/>
      <c r="AJ81" s="201" t="n"/>
      <c r="AK81" s="201" t="n"/>
      <c r="AL81" s="201" t="n"/>
      <c r="AM81" s="201" t="n"/>
      <c r="AN81" s="201" t="n"/>
      <c r="AO81" s="201" t="n"/>
      <c r="AP81" s="201" t="n">
        <v>159</v>
      </c>
      <c r="AQ81" s="201" t="n">
        <v>291</v>
      </c>
      <c r="AR81" s="201" t="n">
        <v>533</v>
      </c>
      <c r="AS81" s="201" t="n">
        <v>138.33</v>
      </c>
      <c r="AT81" s="201" t="n">
        <v>95.67</v>
      </c>
      <c r="AU81" s="201">
        <f>3*167.33</f>
        <v/>
      </c>
      <c r="AV81" s="283">
        <f>SUM(AJ81:AU81)</f>
        <v/>
      </c>
      <c r="AW81" s="286">
        <f>AV81/12</f>
        <v/>
      </c>
      <c r="AX81" s="201">
        <f>3*148.97</f>
        <v/>
      </c>
      <c r="AY81" s="201">
        <f>3*82.7</f>
        <v/>
      </c>
      <c r="AZ81" s="201" t="n">
        <v>312</v>
      </c>
      <c r="BA81" s="201" t="n">
        <v>359</v>
      </c>
      <c r="BB81" s="201" t="n">
        <v>268</v>
      </c>
      <c r="BC81" s="203">
        <f>SUMIFS(領用表!$L:$L,領用表!$A:$A,BC$2,領用表!$E:$E,B81)</f>
        <v/>
      </c>
      <c r="BD81" s="287">
        <f>SUMIFS(領用表!$L:$L,領用表!$E:$E,$B81,領用表!$B:$B,BC$2&amp;BD$2)</f>
        <v/>
      </c>
      <c r="BE81" s="287">
        <f>SUMIFS(領用表!$L:$L,領用表!$E:$E,$B81,領用表!$B:$B,$BC$2&amp;BE$2)</f>
        <v/>
      </c>
      <c r="BF81" s="287">
        <f>SUMIFS(領用表!$L:$L,領用表!$E:$E,$B81,領用表!$B:$B,$BC$2&amp;BF$2)</f>
        <v/>
      </c>
      <c r="BG81" s="206">
        <f>SUMIFS(領用表!$L:$L,領用表!$E:$E,$B81,領用表!$B:$B,$BC$2&amp;BG$2)</f>
        <v/>
      </c>
      <c r="BH81" s="203">
        <f>SUMIFS(領用表!$L:$L,領用表!$A:$A,BH$2,領用表!$E:$E,B81)</f>
        <v/>
      </c>
      <c r="BI81" s="260">
        <f>SUMIFS(領用表!$L:$L,領用表!$E:$E,$B81,領用表!$B:$B,BH$2&amp;BI$2)</f>
        <v/>
      </c>
      <c r="BJ81" s="260">
        <f>SUMIFS(領用表!$L:$L,領用表!$E:$E,$B81,領用表!$B:$B,$BH$2&amp;BJ$2)</f>
        <v/>
      </c>
      <c r="BK81" s="260">
        <f>SUMIFS(領用表!$L:$L,領用表!$E:$E,$B81,領用表!$B:$B,$BH$2&amp;BK$2)</f>
        <v/>
      </c>
      <c r="BL81" s="260">
        <f>SUMIFS(領用表!$L:$L,領用表!$E:$E,$B81,領用表!$B:$B,$BH$2&amp;BL$2)</f>
        <v/>
      </c>
      <c r="BM81" s="203">
        <f>SUMIFS(領用表!$L:$L,領用表!$A:$A,BM$2,領用表!$E:$E,B81)</f>
        <v/>
      </c>
      <c r="BN81" s="206">
        <f>SUMIFS(領用表!$L:$L,領用表!$E:$E,$B81,領用表!$B:$B,BM$2&amp;BN$2)</f>
        <v/>
      </c>
      <c r="BO81" s="206">
        <f>SUMIFS(領用表!$L:$L,領用表!$E:$E,$B81,領用表!$B:$B,$BM$2&amp;BO$2)</f>
        <v/>
      </c>
      <c r="BP81" s="288">
        <f>SUMIFS(領用表!$L:$L,領用表!$E:$E,$B81,領用表!$B:$B,$BM$2&amp;BP$2)</f>
        <v/>
      </c>
      <c r="BQ81" s="287">
        <f>SUMIFS(領用表!$L:$L,領用表!$E:$E,$B81,領用表!$B:$B,$BM$2&amp;BQ$2)</f>
        <v/>
      </c>
      <c r="BR81" s="203">
        <f>SUMIFS(領用表!$L:$L,領用表!$A:$A,BR$2,領用表!$E:$E,B81)</f>
        <v/>
      </c>
      <c r="BS81" s="288">
        <f>SUMIFS(領用表!$L:$L,領用表!$E:$E,$B81,領用表!$B:$B,BR$2&amp;BS$2)</f>
        <v/>
      </c>
      <c r="BT81" s="288">
        <f>SUMIFS(領用表!$L:$L,領用表!$E:$E,$B81,領用表!$B:$B,$BR$2&amp;BT$2)</f>
        <v/>
      </c>
      <c r="BU81" s="288">
        <f>SUMIFS(領用表!$L:$L,領用表!$E:$E,$B81,領用表!$B:$B,$BR$2&amp;BU$2)</f>
        <v/>
      </c>
      <c r="BV81" s="287">
        <f>SUMIFS(領用表!$L:$L,領用表!$E:$E,$B81,領用表!$B:$B,$BR$2&amp;BV$2)</f>
        <v/>
      </c>
      <c r="BW81" s="208">
        <f>SUMIFS(領用表!$L:$L,領用表!$A:$A,BW$2,領用表!$E:$E,B81)</f>
        <v/>
      </c>
      <c r="BX81" s="206">
        <f>SUMIFS(領用表!$L:$L,領用表!$E:$E,$B81,領用表!$B:$B,BW$2&amp;BX$2)</f>
        <v/>
      </c>
      <c r="BY81" s="206">
        <f>SUMIFS(領用表!$L:$L,領用表!$E:$E,$B81,領用表!$B:$B,$BW$2&amp;BY$2)</f>
        <v/>
      </c>
      <c r="BZ81" s="206">
        <f>SUMIFS(領用表!$L:$L,領用表!$E:$E,$B81,領用表!$B:$B,$BW$2&amp;BZ$2)</f>
        <v/>
      </c>
      <c r="CA81" s="206">
        <f>SUMIFS(領用表!$L:$L,領用表!$E:$E,$B81,領用表!$B:$B,$BW$2&amp;CA$2)</f>
        <v/>
      </c>
      <c r="CB81" s="208">
        <f>SUMIFS(領用表!$L:$L,領用表!$A:$A,CB$2,領用表!$E:$E,B81)</f>
        <v/>
      </c>
      <c r="CC81" s="206">
        <f>SUMIFS(領用表!$L:$L,領用表!$E:$E,$B81,領用表!$B:$B,CB$2&amp;CC$2)</f>
        <v/>
      </c>
      <c r="CD81" s="206">
        <f>SUMIFS(領用表!$L:$L,領用表!$E:$E,$B81,領用表!$B:$B,$CB$2&amp;CD$2)</f>
        <v/>
      </c>
      <c r="CE81" s="206">
        <f>SUMIFS(領用表!$L:$L,領用表!$E:$E,$B81,領用表!$B:$B,$CB$2&amp;CE$2)</f>
        <v/>
      </c>
      <c r="CF81" s="206">
        <f>SUMIFS(領用表!$L:$L,領用表!$E:$E,$B81,領用表!$B:$B,$CB$2&amp;CF$2)</f>
        <v/>
      </c>
      <c r="CG81" s="208">
        <f>SUMIFS(領用表!$L:$L,領用表!$A:$A,CG$2,領用表!$E:$E,B81)</f>
        <v/>
      </c>
      <c r="CH81" s="206">
        <f>SUMIFS(領用表!$L:$L,領用表!$E:$E,$B81,領用表!$B:$B,CG$2&amp;CH$2)</f>
        <v/>
      </c>
      <c r="CI81" s="206">
        <f>SUMIFS(領用表!$L:$L,領用表!$E:$E,$B81,領用表!$B:$B,CG$2&amp;CI$2)</f>
        <v/>
      </c>
      <c r="CJ81" s="206">
        <f>SUMIFS(領用表!$L:$L,領用表!$E:$E,$B81,領用表!$B:$B,CG$2&amp;CJ$2)</f>
        <v/>
      </c>
      <c r="CK81" s="206">
        <f>SUMIFS(領用表!$L:$L,領用表!$E:$E,$B81,領用表!$B:$B,$CG$2&amp;CK$2)</f>
        <v/>
      </c>
      <c r="CL81" s="207">
        <f>SUM(AX81,AY81,AZ81,BA81,BB81,BC81,BH81,BM81,BR81,BW81,CB81,CG81)</f>
        <v/>
      </c>
      <c r="CM81" s="207">
        <f>AVERAGE(AX81,AY81,AZ81,BA81,BB81,BC81,BH81,BM81,BR81,BW81,CB81,CG81)</f>
        <v/>
      </c>
      <c r="CN81" s="208">
        <f>SUMIFS(領用表!$L:$L,領用表!$A:$A,CN$2,領用表!$E:$E,B81)</f>
        <v/>
      </c>
      <c r="CO81" s="206">
        <f>SUMIFS(領用表!$L:$L,領用表!$E:$E,$B81,領用表!$B:$B,CN$2&amp;CO$2)</f>
        <v/>
      </c>
      <c r="CP81" s="206">
        <f>SUMIFS(領用表!$L:$L,領用表!$E:$E,$B81,領用表!$B:$B,$CN$2&amp;CP$2)</f>
        <v/>
      </c>
      <c r="CQ81" s="206">
        <f>SUMIFS(領用表!$L:$L,領用表!$E:$E,$B81,領用表!$B:$B,$CN$2&amp;CQ$2)</f>
        <v/>
      </c>
      <c r="CR81" s="206">
        <f>SUMIFS(領用表!$L:$L,領用表!$E:$E,$B81,領用表!$B:$B,$CN$2&amp;CR$2)</f>
        <v/>
      </c>
      <c r="CS81" s="208">
        <f>SUMIFS(領用表!$L:$L,領用表!$A:$A,CS$2,領用表!$E:$E,B81)</f>
        <v/>
      </c>
      <c r="CT81" s="206">
        <f>SUMIFS(領用表!$L:$L,領用表!$E:$E,$B81,領用表!$B:$B,CS$2&amp;CT$2)</f>
        <v/>
      </c>
      <c r="CU81" s="206">
        <f>SUMIFS(領用表!$L:$L,領用表!$E:$E,$B81,領用表!$B:$B,$CS$2&amp;CU$2)</f>
        <v/>
      </c>
      <c r="CV81" s="206">
        <f>SUMIFS(領用表!$L:$L,領用表!$E:$E,$B81,領用表!$B:$B,$CS$2&amp;CV$2)</f>
        <v/>
      </c>
      <c r="CW81" s="206">
        <f>SUMIFS(領用表!$L:$L,領用表!$E:$E,$B81,領用表!$B:$B,$CS$2&amp;CW$2)</f>
        <v/>
      </c>
      <c r="CX81" s="206">
        <f>SUMIFS(領用表!$L:$L,領用表!$E:$E,$B81,領用表!$B:$B,$CS$2&amp;CX$2)</f>
        <v/>
      </c>
      <c r="CY81" s="208">
        <f>SUMIFS(領用表!$L:$L,領用表!$A:$A,CY$2,領用表!$E:$E,B81)</f>
        <v/>
      </c>
      <c r="CZ81" s="206">
        <f>SUMIFS(領用表!$L:$L,領用表!$E:$E,$B81,領用表!$B:$B,CY$2&amp;CZ$2)</f>
        <v/>
      </c>
      <c r="DA81" s="206">
        <f>SUMIFS(領用表!$L:$L,領用表!$E:$E,$B81,領用表!$B:$B,$CY$2&amp;DA$2)</f>
        <v/>
      </c>
      <c r="DB81" s="206">
        <f>SUMIFS(領用表!$L:$L,領用表!$E:$E,$B81,領用表!$B:$B,$CY$2&amp;DB$2)</f>
        <v/>
      </c>
      <c r="DC81" s="206">
        <f>SUMIFS(領用表!$L:$L,領用表!$E:$E,$B81,領用表!$B:$B,$CY$2&amp;DC$2)</f>
        <v/>
      </c>
      <c r="DD81" s="206">
        <f>SUMIFS(領用表!$L:$L,領用表!$E:$E,$B81,領用表!$B:$B,$CY$2&amp;DD$2)</f>
        <v/>
      </c>
      <c r="DE81" s="208">
        <f>SUMIFS(領用表!$L:$L,領用表!$A:$A,DE$2,領用表!$E:$E,B81)</f>
        <v/>
      </c>
      <c r="DF81" s="206">
        <f>SUMIFS(領用表!$L:$L,領用表!$E:$E,$B81,領用表!$B:$B,DE$2&amp;DF$2)</f>
        <v/>
      </c>
      <c r="DG81" s="206">
        <f>SUMIFS(領用表!$L:$L,領用表!$E:$E,$B81,領用表!$B:$B,$DE$2&amp;DG$2)</f>
        <v/>
      </c>
      <c r="DH81" s="206">
        <f>SUMIFS(領用表!$L:$L,領用表!$E:$E,$B81,領用表!$B:$B,$DE$2&amp;DH$2)</f>
        <v/>
      </c>
      <c r="DI81" s="206">
        <f>SUMIFS(領用表!$L:$L,領用表!$E:$E,$B81,領用表!$B:$B,$DE$2&amp;DI$2)</f>
        <v/>
      </c>
      <c r="DJ81" s="206">
        <f>SUMIFS(領用表!$L:$L,領用表!$E:$E,$B81,領用表!$B:$B,$DE$2&amp;DJ$2)</f>
        <v/>
      </c>
      <c r="DK81" s="208">
        <f>SUMIFS(領用表!$L:$L,領用表!$A:$A,DK$2,領用表!$E:$E,$B81)</f>
        <v/>
      </c>
      <c r="DL81" s="206">
        <f>SUMIFS(領用表!$L:$L,領用表!$E:$E,$B81,領用表!$B:$B,DK$2&amp;DL$2)</f>
        <v/>
      </c>
      <c r="DM81" s="206">
        <f>SUMIFS(領用表!$L:$L,領用表!$E:$E,$B81,領用表!$B:$B,$DK$2&amp;DM$2)</f>
        <v/>
      </c>
      <c r="DN81" s="206">
        <f>SUMIFS(領用表!$L:$L,領用表!$E:$E,$B81,領用表!$B:$B,$DK$2&amp;DN$2)</f>
        <v/>
      </c>
      <c r="DO81" s="206">
        <f>SUMIFS(領用表!$L:$L,領用表!$E:$E,$B81,領用表!$B:$B,$DK$2&amp;DO$2)</f>
        <v/>
      </c>
      <c r="DP81" s="206">
        <f>SUMIFS(領用表!$L:$L,領用表!$E:$E,$B81,領用表!$B:$B,$DK$2&amp;DP$2)</f>
        <v/>
      </c>
      <c r="DQ81" s="208" t="n"/>
      <c r="DR81" s="206" t="n"/>
      <c r="DS81" s="206" t="n"/>
      <c r="DT81" s="206" t="n"/>
      <c r="DU81" s="206" t="n"/>
      <c r="DV81" s="206" t="n"/>
      <c r="DW81" s="206">
        <f>SUM(CN81,CS81,CY81,DE81,DK81,DQ81)</f>
        <v/>
      </c>
      <c r="DX81" s="206">
        <f>AVERAGEA(CN81,CS81,CY81,DE81,DK81,DQ81)</f>
        <v/>
      </c>
      <c r="DY81" s="206">
        <f>SUM(DZ81:EC81)</f>
        <v/>
      </c>
      <c r="DZ81" s="206" t="n">
        <v>0</v>
      </c>
      <c r="EA81" s="206" t="n">
        <v>0</v>
      </c>
      <c r="EB81" s="206" t="n">
        <v>0</v>
      </c>
      <c r="EC81" s="206" t="n">
        <v>0</v>
      </c>
      <c r="ED81" s="258" t="n">
        <v>180</v>
      </c>
      <c r="EE81" s="283" t="n"/>
      <c r="EF81" s="283" t="n"/>
      <c r="EG81" s="283" t="n"/>
      <c r="EH81" s="136" t="n"/>
      <c r="EI81" s="289" t="n"/>
      <c r="EJ81" s="118">
        <f>IFERROR(VLOOKUP(A81,站前4樓!A:BF,57,0),0)</f>
        <v/>
      </c>
      <c r="EK81" s="213">
        <f>IFERROR(VLOOKUP(A81,站前11樓!A:BE,57,0),0)</f>
        <v/>
      </c>
      <c r="EL81" s="118">
        <f>IFERROR(VLOOKUP(A81,忠孝7樓!A:N,57,0),0)</f>
        <v/>
      </c>
      <c r="EM81" s="118">
        <f>IFERROR(VLOOKUP(A81,忠孝國際醫學3樓!A:L,57,0),0)</f>
        <v/>
      </c>
      <c r="EN81" s="118">
        <f>SUM(ED81:EG81)</f>
        <v/>
      </c>
      <c r="EP81" s="118" t="e">
        <v>#N/A</v>
      </c>
      <c r="EQ81" s="118" t="e">
        <v>#N/A</v>
      </c>
    </row>
    <row r="82" ht="15.75" customFormat="1" customHeight="1" s="118" thickBot="1">
      <c r="A82" s="136" t="n"/>
      <c r="B82" s="293" t="n">
        <v>6200001</v>
      </c>
      <c r="C82" s="294" t="inlineStr">
        <is>
          <t>善纖達 6mg/ml*1支</t>
        </is>
      </c>
      <c r="D82" s="285" t="n"/>
      <c r="E82" s="198" t="n"/>
      <c r="F82" s="225">
        <f>SUMIF(站前4樓!B:B,B82,站前4樓!F:F)</f>
        <v/>
      </c>
      <c r="G82" s="225">
        <f>SUMIF(站前11樓!B:B,B82,站前11樓!F:F)</f>
        <v/>
      </c>
      <c r="H82" s="225">
        <f>SUMIF(忠孝7樓!B:B,B82,忠孝7樓!G:G)</f>
        <v/>
      </c>
      <c r="I82" s="225">
        <f>SUMIF(忠孝國際醫學3樓!B:B,B82,忠孝國際醫學3樓!G:G)</f>
        <v/>
      </c>
      <c r="J82" s="225">
        <f>SUMIF(忠孝健康7樓!B:B,B82,忠孝健康7樓!G:G)</f>
        <v/>
      </c>
      <c r="K82" s="283" t="n"/>
      <c r="L82" s="283" t="n"/>
      <c r="M82" s="283" t="n"/>
      <c r="N82" s="283" t="n"/>
      <c r="O82" s="283" t="n"/>
      <c r="P82" s="283" t="n"/>
      <c r="Q82" s="283" t="n"/>
      <c r="R82" s="283" t="n"/>
      <c r="S82" s="283" t="n"/>
      <c r="T82" s="283" t="n"/>
      <c r="U82" s="283" t="n"/>
      <c r="V82" s="283" t="n"/>
      <c r="W82" s="283" t="n"/>
      <c r="X82" s="283" t="n"/>
      <c r="Y82" s="283" t="n"/>
      <c r="Z82" s="283" t="n"/>
      <c r="AA82" s="283" t="n"/>
      <c r="AB82" s="283" t="n"/>
      <c r="AC82" s="283" t="n"/>
      <c r="AD82" s="283" t="n"/>
      <c r="AE82" s="283" t="n"/>
      <c r="AF82" s="283" t="n"/>
      <c r="AG82" s="283" t="n"/>
      <c r="AH82" s="283" t="n"/>
      <c r="AI82" s="283" t="n"/>
      <c r="AJ82" s="201" t="n"/>
      <c r="AK82" s="201" t="n"/>
      <c r="AL82" s="201" t="n"/>
      <c r="AM82" s="201" t="n"/>
      <c r="AN82" s="201" t="n"/>
      <c r="AO82" s="201" t="n"/>
      <c r="AP82" s="201" t="n"/>
      <c r="AQ82" s="201" t="n"/>
      <c r="AR82" s="201" t="n"/>
      <c r="AS82" s="201" t="n"/>
      <c r="AT82" s="201" t="n"/>
      <c r="AU82" s="201" t="n"/>
      <c r="AV82" s="283" t="n"/>
      <c r="AW82" s="286" t="n"/>
      <c r="AX82" s="201" t="n"/>
      <c r="AY82" s="201" t="n"/>
      <c r="AZ82" s="201" t="n"/>
      <c r="BA82" s="201" t="n"/>
      <c r="BB82" s="201" t="n"/>
      <c r="BC82" s="203">
        <f>SUMIFS(領用表!$L:$L,領用表!$A:$A,BC$2,領用表!$E:$E,B82)</f>
        <v/>
      </c>
      <c r="BD82" s="287">
        <f>SUMIFS(領用表!$L:$L,領用表!$E:$E,$B82,領用表!$B:$B,BC$2&amp;BD$2)</f>
        <v/>
      </c>
      <c r="BE82" s="287">
        <f>SUMIFS(領用表!$L:$L,領用表!$E:$E,$B82,領用表!$B:$B,$BC$2&amp;BE$2)</f>
        <v/>
      </c>
      <c r="BF82" s="287">
        <f>SUMIFS(領用表!$L:$L,領用表!$E:$E,$B82,領用表!$B:$B,$BC$2&amp;BF$2)</f>
        <v/>
      </c>
      <c r="BG82" s="206">
        <f>SUMIFS(領用表!$L:$L,領用表!$E:$E,$B82,領用表!$B:$B,$BC$2&amp;BG$2)</f>
        <v/>
      </c>
      <c r="BH82" s="203">
        <f>SUMIFS(領用表!$L:$L,領用表!$A:$A,BH$2,領用表!$E:$E,B82)</f>
        <v/>
      </c>
      <c r="BI82" s="260">
        <f>SUMIFS(領用表!$L:$L,領用表!$E:$E,$B82,領用表!$B:$B,BH$2&amp;BI$2)</f>
        <v/>
      </c>
      <c r="BJ82" s="260">
        <f>SUMIFS(領用表!$L:$L,領用表!$E:$E,$B82,領用表!$B:$B,$BH$2&amp;BJ$2)</f>
        <v/>
      </c>
      <c r="BK82" s="260">
        <f>SUMIFS(領用表!$L:$L,領用表!$E:$E,$B82,領用表!$B:$B,$BH$2&amp;BK$2)</f>
        <v/>
      </c>
      <c r="BL82" s="260">
        <f>SUMIFS(領用表!$L:$L,領用表!$E:$E,$B82,領用表!$B:$B,$BH$2&amp;BL$2)</f>
        <v/>
      </c>
      <c r="BM82" s="203">
        <f>SUMIFS(領用表!$L:$L,領用表!$A:$A,BM$2,領用表!$E:$E,B82)</f>
        <v/>
      </c>
      <c r="BN82" s="206">
        <f>SUMIFS(領用表!$L:$L,領用表!$E:$E,$B82,領用表!$B:$B,BM$2&amp;BN$2)</f>
        <v/>
      </c>
      <c r="BO82" s="206">
        <f>SUMIFS(領用表!$L:$L,領用表!$E:$E,$B82,領用表!$B:$B,$BM$2&amp;BO$2)</f>
        <v/>
      </c>
      <c r="BP82" s="288">
        <f>SUMIFS(領用表!$L:$L,領用表!$E:$E,$B82,領用表!$B:$B,$BM$2&amp;BP$2)</f>
        <v/>
      </c>
      <c r="BQ82" s="287">
        <f>SUMIFS(領用表!$L:$L,領用表!$E:$E,$B82,領用表!$B:$B,$BM$2&amp;BQ$2)</f>
        <v/>
      </c>
      <c r="BR82" s="203">
        <f>SUMIFS(領用表!$L:$L,領用表!$A:$A,BR$2,領用表!$E:$E,B82)</f>
        <v/>
      </c>
      <c r="BS82" s="288">
        <f>SUMIFS(領用表!$L:$L,領用表!$E:$E,$B82,領用表!$B:$B,BR$2&amp;BS$2)</f>
        <v/>
      </c>
      <c r="BT82" s="288">
        <f>SUMIFS(領用表!$L:$L,領用表!$E:$E,$B82,領用表!$B:$B,$BR$2&amp;BT$2)</f>
        <v/>
      </c>
      <c r="BU82" s="288">
        <f>SUMIFS(領用表!$L:$L,領用表!$E:$E,$B82,領用表!$B:$B,$BR$2&amp;BU$2)</f>
        <v/>
      </c>
      <c r="BV82" s="287">
        <f>SUMIFS(領用表!$L:$L,領用表!$E:$E,$B82,領用表!$B:$B,$BR$2&amp;BV$2)</f>
        <v/>
      </c>
      <c r="BW82" s="208">
        <f>SUMIFS(領用表!$L:$L,領用表!$A:$A,BW$2,領用表!$E:$E,B82)</f>
        <v/>
      </c>
      <c r="BX82" s="206">
        <f>SUMIFS(領用表!$L:$L,領用表!$E:$E,$B82,領用表!$B:$B,BW$2&amp;BX$2)</f>
        <v/>
      </c>
      <c r="BY82" s="206">
        <f>SUMIFS(領用表!$L:$L,領用表!$E:$E,$B82,領用表!$B:$B,$BW$2&amp;BY$2)</f>
        <v/>
      </c>
      <c r="BZ82" s="206">
        <f>SUMIFS(領用表!$L:$L,領用表!$E:$E,$B82,領用表!$B:$B,$BW$2&amp;BZ$2)</f>
        <v/>
      </c>
      <c r="CA82" s="206">
        <f>SUMIFS(領用表!$L:$L,領用表!$E:$E,$B82,領用表!$B:$B,$BW$2&amp;CA$2)</f>
        <v/>
      </c>
      <c r="CB82" s="208">
        <f>SUMIFS(領用表!$L:$L,領用表!$A:$A,CB$2,領用表!$E:$E,B82)</f>
        <v/>
      </c>
      <c r="CC82" s="206">
        <f>SUMIFS(領用表!$L:$L,領用表!$E:$E,$B82,領用表!$B:$B,CB$2&amp;CC$2)</f>
        <v/>
      </c>
      <c r="CD82" s="206">
        <f>SUMIFS(領用表!$L:$L,領用表!$E:$E,$B82,領用表!$B:$B,$CB$2&amp;CD$2)</f>
        <v/>
      </c>
      <c r="CE82" s="206">
        <f>SUMIFS(領用表!$L:$L,領用表!$E:$E,$B82,領用表!$B:$B,$CB$2&amp;CE$2)</f>
        <v/>
      </c>
      <c r="CF82" s="206">
        <f>SUMIFS(領用表!$L:$L,領用表!$E:$E,$B82,領用表!$B:$B,$CB$2&amp;CF$2)</f>
        <v/>
      </c>
      <c r="CG82" s="208">
        <f>SUMIFS(領用表!$L:$L,領用表!$A:$A,CG$2,領用表!$E:$E,B82)</f>
        <v/>
      </c>
      <c r="CH82" s="206">
        <f>SUMIFS(領用表!$L:$L,領用表!$E:$E,$B82,領用表!$B:$B,CG$2&amp;CH$2)</f>
        <v/>
      </c>
      <c r="CI82" s="206">
        <f>SUMIFS(領用表!$L:$L,領用表!$E:$E,$B82,領用表!$B:$B,CG$2&amp;CI$2)</f>
        <v/>
      </c>
      <c r="CJ82" s="206">
        <f>SUMIFS(領用表!$L:$L,領用表!$E:$E,$B82,領用表!$B:$B,CG$2&amp;CJ$2)</f>
        <v/>
      </c>
      <c r="CK82" s="206">
        <f>SUMIFS(領用表!$L:$L,領用表!$E:$E,$B82,領用表!$B:$B,$CG$2&amp;CK$2)</f>
        <v/>
      </c>
      <c r="CL82" s="207">
        <f>SUM(AX82,AY82,AZ82,BA82,BB82,BC82,BH82,BM82,BR82,BW82,CB82,CG82)</f>
        <v/>
      </c>
      <c r="CM82" s="207">
        <f>AVERAGE(AX82,AY82,AZ82,BA82,BB82,BC82,BH82,BM82,BR82,BW82,CB82,CG82)</f>
        <v/>
      </c>
      <c r="CN82" s="208">
        <f>SUMIFS(領用表!$L:$L,領用表!$A:$A,CN$2,領用表!$E:$E,B82)</f>
        <v/>
      </c>
      <c r="CO82" s="206">
        <f>SUMIFS(領用表!$L:$L,領用表!$E:$E,$B82,領用表!$B:$B,CN$2&amp;CO$2)</f>
        <v/>
      </c>
      <c r="CP82" s="206">
        <f>SUMIFS(領用表!$L:$L,領用表!$E:$E,$B82,領用表!$B:$B,$CN$2&amp;CP$2)</f>
        <v/>
      </c>
      <c r="CQ82" s="206">
        <f>SUMIFS(領用表!$L:$L,領用表!$E:$E,$B82,領用表!$B:$B,$CN$2&amp;CQ$2)</f>
        <v/>
      </c>
      <c r="CR82" s="206">
        <f>SUMIFS(領用表!$L:$L,領用表!$E:$E,$B82,領用表!$B:$B,$CN$2&amp;CR$2)</f>
        <v/>
      </c>
      <c r="CS82" s="208">
        <f>SUMIFS(領用表!$L:$L,領用表!$A:$A,CS$2,領用表!$E:$E,B82)</f>
        <v/>
      </c>
      <c r="CT82" s="206">
        <f>SUMIFS(領用表!$L:$L,領用表!$E:$E,$B82,領用表!$B:$B,CS$2&amp;CT$2)</f>
        <v/>
      </c>
      <c r="CU82" s="206">
        <f>SUMIFS(領用表!$L:$L,領用表!$E:$E,$B82,領用表!$B:$B,$CS$2&amp;CU$2)</f>
        <v/>
      </c>
      <c r="CV82" s="206">
        <f>SUMIFS(領用表!$L:$L,領用表!$E:$E,$B82,領用表!$B:$B,$CS$2&amp;CV$2)</f>
        <v/>
      </c>
      <c r="CW82" s="206">
        <f>SUMIFS(領用表!$L:$L,領用表!$E:$E,$B82,領用表!$B:$B,$CS$2&amp;CW$2)</f>
        <v/>
      </c>
      <c r="CX82" s="206">
        <f>SUMIFS(領用表!$L:$L,領用表!$E:$E,$B82,領用表!$B:$B,$CS$2&amp;CX$2)</f>
        <v/>
      </c>
      <c r="CY82" s="208">
        <f>SUMIFS(領用表!$L:$L,領用表!$A:$A,CY$2,領用表!$E:$E,B82)</f>
        <v/>
      </c>
      <c r="CZ82" s="206">
        <f>SUMIFS(領用表!$L:$L,領用表!$E:$E,$B82,領用表!$B:$B,CY$2&amp;CZ$2)</f>
        <v/>
      </c>
      <c r="DA82" s="206">
        <f>SUMIFS(領用表!$L:$L,領用表!$E:$E,$B82,領用表!$B:$B,$CY$2&amp;DA$2)</f>
        <v/>
      </c>
      <c r="DB82" s="206">
        <f>SUMIFS(領用表!$L:$L,領用表!$E:$E,$B82,領用表!$B:$B,$CY$2&amp;DB$2)</f>
        <v/>
      </c>
      <c r="DC82" s="206">
        <f>SUMIFS(領用表!$L:$L,領用表!$E:$E,$B82,領用表!$B:$B,$CY$2&amp;DC$2)</f>
        <v/>
      </c>
      <c r="DD82" s="206">
        <f>SUMIFS(領用表!$L:$L,領用表!$E:$E,$B82,領用表!$B:$B,$CY$2&amp;DD$2)</f>
        <v/>
      </c>
      <c r="DE82" s="208">
        <f>SUMIFS(領用表!$L:$L,領用表!$A:$A,DE$2,領用表!$E:$E,B82)</f>
        <v/>
      </c>
      <c r="DF82" s="206">
        <f>SUMIFS(領用表!$L:$L,領用表!$E:$E,$B82,領用表!$B:$B,DE$2&amp;DF$2)</f>
        <v/>
      </c>
      <c r="DG82" s="206">
        <f>SUMIFS(領用表!$L:$L,領用表!$E:$E,$B82,領用表!$B:$B,$DE$2&amp;DG$2)</f>
        <v/>
      </c>
      <c r="DH82" s="206">
        <f>SUMIFS(領用表!$L:$L,領用表!$E:$E,$B82,領用表!$B:$B,$DE$2&amp;DH$2)</f>
        <v/>
      </c>
      <c r="DI82" s="206">
        <f>SUMIFS(領用表!$L:$L,領用表!$E:$E,$B82,領用表!$B:$B,$DE$2&amp;DI$2)</f>
        <v/>
      </c>
      <c r="DJ82" s="206">
        <f>SUMIFS(領用表!$L:$L,領用表!$E:$E,$B82,領用表!$B:$B,$DE$2&amp;DJ$2)</f>
        <v/>
      </c>
      <c r="DK82" s="208">
        <f>SUMIFS(領用表!$L:$L,領用表!$A:$A,DK$2,領用表!$E:$E,$B82)</f>
        <v/>
      </c>
      <c r="DL82" s="206">
        <f>SUMIFS(領用表!$L:$L,領用表!$E:$E,$B82,領用表!$B:$B,DK$2&amp;DL$2)</f>
        <v/>
      </c>
      <c r="DM82" s="206">
        <f>SUMIFS(領用表!$L:$L,領用表!$E:$E,$B82,領用表!$B:$B,$DK$2&amp;DM$2)</f>
        <v/>
      </c>
      <c r="DN82" s="206">
        <f>SUMIFS(領用表!$L:$L,領用表!$E:$E,$B82,領用表!$B:$B,$DK$2&amp;DN$2)</f>
        <v/>
      </c>
      <c r="DO82" s="206">
        <f>SUMIFS(領用表!$L:$L,領用表!$E:$E,$B82,領用表!$B:$B,$DK$2&amp;DO$2)</f>
        <v/>
      </c>
      <c r="DP82" s="206">
        <f>SUMIFS(領用表!$L:$L,領用表!$E:$E,$B82,領用表!$B:$B,$DK$2&amp;DP$2)</f>
        <v/>
      </c>
      <c r="DQ82" s="208" t="n"/>
      <c r="DR82" s="206" t="n"/>
      <c r="DS82" s="206" t="n"/>
      <c r="DT82" s="206" t="n"/>
      <c r="DU82" s="206" t="n"/>
      <c r="DV82" s="206" t="n"/>
      <c r="DW82" s="206">
        <f>SUM(CN82,CS82,CY82,DE82,DK82,DQ82)</f>
        <v/>
      </c>
      <c r="DX82" s="206">
        <f>AVERAGEA(CN82,CS82,CY82,DE82,DK82,DQ82)</f>
        <v/>
      </c>
      <c r="DY82" s="206">
        <f>SUM(DZ82:EC82)</f>
        <v/>
      </c>
      <c r="DZ82" s="206" t="n">
        <v>0</v>
      </c>
      <c r="EA82" s="206" t="n">
        <v>0</v>
      </c>
      <c r="EB82" s="206" t="n">
        <v>0</v>
      </c>
      <c r="EC82" s="206" t="n">
        <v>0</v>
      </c>
      <c r="ED82" s="258" t="n"/>
      <c r="EE82" s="283" t="n"/>
      <c r="EF82" s="283" t="n"/>
      <c r="EG82" s="283" t="n"/>
      <c r="EH82" s="136" t="n"/>
      <c r="EI82" s="289" t="n"/>
      <c r="EK82" s="213" t="n"/>
      <c r="EP82" s="118" t="e">
        <v>#N/A</v>
      </c>
      <c r="EQ82" s="118" t="e">
        <v>#N/A</v>
      </c>
    </row>
    <row r="83" ht="15.75" customFormat="1" customHeight="1" s="118">
      <c r="A83" s="136" t="n"/>
      <c r="B83" s="14" t="n">
        <v>6200007</v>
      </c>
      <c r="C83" s="135" t="inlineStr">
        <is>
          <t>善纖達針頭/猛健樂針頭</t>
        </is>
      </c>
      <c r="D83" s="285" t="n">
        <v>100</v>
      </c>
      <c r="E83" s="198" t="inlineStr">
        <is>
          <t>顆</t>
        </is>
      </c>
      <c r="F83" s="225">
        <f>SUMIF(站前4樓!B:B,B83,站前4樓!F:F)</f>
        <v/>
      </c>
      <c r="G83" s="225">
        <f>SUMIF(站前11樓!B:B,B83,站前11樓!F:F)</f>
        <v/>
      </c>
      <c r="H83" s="225">
        <f>SUMIF(忠孝7樓!B:B,B83,忠孝7樓!G:G)</f>
        <v/>
      </c>
      <c r="I83" s="225">
        <f>SUMIF(忠孝國際醫學3樓!B:B,B83,忠孝國際醫學3樓!G:G)</f>
        <v/>
      </c>
      <c r="J83" s="225">
        <f>SUMIF(忠孝健康7樓!B:B,B83,忠孝健康7樓!G:G)</f>
        <v/>
      </c>
      <c r="K83" s="283" t="n"/>
      <c r="L83" s="283" t="n"/>
      <c r="M83" s="283" t="n"/>
      <c r="N83" s="283" t="n"/>
      <c r="O83" s="283" t="n"/>
      <c r="P83" s="283" t="n"/>
      <c r="Q83" s="283" t="n"/>
      <c r="R83" s="283" t="n"/>
      <c r="S83" s="283" t="n"/>
      <c r="T83" s="283" t="n"/>
      <c r="U83" s="283" t="n"/>
      <c r="V83" s="283" t="n"/>
      <c r="W83" s="283" t="n"/>
      <c r="X83" s="283" t="n"/>
      <c r="Y83" s="283" t="n"/>
      <c r="Z83" s="283" t="n"/>
      <c r="AA83" s="283" t="n"/>
      <c r="AB83" s="283" t="n"/>
      <c r="AC83" s="283" t="n"/>
      <c r="AD83" s="283" t="n"/>
      <c r="AE83" s="283" t="n"/>
      <c r="AF83" s="283" t="n"/>
      <c r="AG83" s="283" t="n"/>
      <c r="AH83" s="283" t="n"/>
      <c r="AI83" s="283" t="n"/>
      <c r="AJ83" s="201" t="n"/>
      <c r="AK83" s="201" t="n"/>
      <c r="AL83" s="201" t="n"/>
      <c r="AM83" s="201" t="n"/>
      <c r="AN83" s="201" t="n"/>
      <c r="AO83" s="201" t="n"/>
      <c r="AP83" s="201" t="n"/>
      <c r="AQ83" s="201" t="n"/>
      <c r="AR83" s="201" t="n"/>
      <c r="AS83" s="201" t="n"/>
      <c r="AT83" s="201" t="n"/>
      <c r="AU83" s="201" t="n"/>
      <c r="AV83" s="513" t="inlineStr">
        <is>
          <t>-</t>
        </is>
      </c>
      <c r="AW83" s="513" t="inlineStr">
        <is>
          <t>-</t>
        </is>
      </c>
      <c r="AX83" s="513" t="inlineStr">
        <is>
          <t>-</t>
        </is>
      </c>
      <c r="AY83" s="513" t="inlineStr">
        <is>
          <t>-</t>
        </is>
      </c>
      <c r="AZ83" s="513" t="inlineStr">
        <is>
          <t>-</t>
        </is>
      </c>
      <c r="BA83" s="201" t="inlineStr">
        <is>
          <t>-</t>
        </is>
      </c>
      <c r="BB83" s="201" t="inlineStr">
        <is>
          <t>-</t>
        </is>
      </c>
      <c r="BC83" s="295">
        <f>SUMIFS(領用表!$L:$L,領用表!$A:$A,BC$2,領用表!$E:$E,B83)</f>
        <v/>
      </c>
      <c r="BD83" s="287">
        <f>SUMIFS(領用表!$L:$L,領用表!$E:$E,$B83,領用表!$B:$B,BC$2&amp;BD$2)</f>
        <v/>
      </c>
      <c r="BE83" s="287">
        <f>SUMIFS(領用表!$L:$L,領用表!$E:$E,$B83,領用表!$B:$B,$BC$2&amp;BE$2)</f>
        <v/>
      </c>
      <c r="BF83" s="287">
        <f>SUMIFS(領用表!$L:$L,領用表!$E:$E,$B83,領用表!$B:$B,$BC$2&amp;BF$2)</f>
        <v/>
      </c>
      <c r="BG83" s="206">
        <f>SUMIFS(領用表!$L:$L,領用表!$E:$E,$B83,領用表!$B:$B,$BC$2&amp;BG$2)</f>
        <v/>
      </c>
      <c r="BH83" s="203">
        <f>SUMIFS(領用表!$L:$L,領用表!$A:$A,BH$2,領用表!$E:$E,B83)</f>
        <v/>
      </c>
      <c r="BI83" s="260">
        <f>SUMIFS(領用表!$L:$L,領用表!$E:$E,$B83,領用表!$B:$B,BH$2&amp;BI$2)</f>
        <v/>
      </c>
      <c r="BJ83" s="260">
        <f>SUMIFS(領用表!$L:$L,領用表!$E:$E,$B83,領用表!$B:$B,$BH$2&amp;BJ$2)</f>
        <v/>
      </c>
      <c r="BK83" s="260">
        <f>SUMIFS(領用表!$L:$L,領用表!$E:$E,$B83,領用表!$B:$B,$BH$2&amp;BK$2)</f>
        <v/>
      </c>
      <c r="BL83" s="260">
        <f>SUMIFS(領用表!$L:$L,領用表!$E:$E,$B83,領用表!$B:$B,$BH$2&amp;BL$2)</f>
        <v/>
      </c>
      <c r="BM83" s="203">
        <f>SUMIFS(領用表!$L:$L,領用表!$A:$A,BM$2,領用表!$E:$E,B83)</f>
        <v/>
      </c>
      <c r="BN83" s="206">
        <f>SUMIFS(領用表!$L:$L,領用表!$E:$E,$B83,領用表!$B:$B,BM$2&amp;BN$2)</f>
        <v/>
      </c>
      <c r="BO83" s="206">
        <f>SUMIFS(領用表!$L:$L,領用表!$E:$E,$B83,領用表!$B:$B,$BM$2&amp;BO$2)</f>
        <v/>
      </c>
      <c r="BP83" s="288">
        <f>SUMIFS(領用表!$L:$L,領用表!$E:$E,$B83,領用表!$B:$B,$BM$2&amp;BP$2)</f>
        <v/>
      </c>
      <c r="BQ83" s="287">
        <f>SUMIFS(領用表!$L:$L,領用表!$E:$E,$B83,領用表!$B:$B,$BM$2&amp;BQ$2)</f>
        <v/>
      </c>
      <c r="BR83" s="203">
        <f>SUMIFS(領用表!$L:$L,領用表!$A:$A,BR$2,領用表!$E:$E,B83)</f>
        <v/>
      </c>
      <c r="BS83" s="288">
        <f>SUMIFS(領用表!$L:$L,領用表!$E:$E,$B83,領用表!$B:$B,BR$2&amp;BS$2)</f>
        <v/>
      </c>
      <c r="BT83" s="288">
        <f>SUMIFS(領用表!$L:$L,領用表!$E:$E,$B83,領用表!$B:$B,$BR$2&amp;BT$2)</f>
        <v/>
      </c>
      <c r="BU83" s="288">
        <f>SUMIFS(領用表!$L:$L,領用表!$E:$E,$B83,領用表!$B:$B,$BR$2&amp;BU$2)</f>
        <v/>
      </c>
      <c r="BV83" s="287">
        <f>SUMIFS(領用表!$L:$L,領用表!$E:$E,$B83,領用表!$B:$B,$BR$2&amp;BV$2)</f>
        <v/>
      </c>
      <c r="BW83" s="208">
        <f>SUMIFS(領用表!$L:$L,領用表!$A:$A,BW$2,領用表!$E:$E,B83)</f>
        <v/>
      </c>
      <c r="BX83" s="206">
        <f>SUMIFS(領用表!$L:$L,領用表!$E:$E,$B83,領用表!$B:$B,BW$2&amp;BX$2)</f>
        <v/>
      </c>
      <c r="BY83" s="206">
        <f>SUMIFS(領用表!$L:$L,領用表!$E:$E,$B83,領用表!$B:$B,$BW$2&amp;BY$2)</f>
        <v/>
      </c>
      <c r="BZ83" s="206">
        <f>SUMIFS(領用表!$L:$L,領用表!$E:$E,$B83,領用表!$B:$B,$BW$2&amp;BZ$2)</f>
        <v/>
      </c>
      <c r="CA83" s="206">
        <f>SUMIFS(領用表!$L:$L,領用表!$E:$E,$B83,領用表!$B:$B,$BW$2&amp;CA$2)</f>
        <v/>
      </c>
      <c r="CB83" s="208">
        <f>SUMIFS(領用表!$L:$L,領用表!$A:$A,CB$2,領用表!$E:$E,B83)</f>
        <v/>
      </c>
      <c r="CC83" s="206">
        <f>SUMIFS(領用表!$L:$L,領用表!$E:$E,$B83,領用表!$B:$B,CB$2&amp;CC$2)</f>
        <v/>
      </c>
      <c r="CD83" s="206">
        <f>SUMIFS(領用表!$L:$L,領用表!$E:$E,$B83,領用表!$B:$B,$CB$2&amp;CD$2)</f>
        <v/>
      </c>
      <c r="CE83" s="206">
        <f>SUMIFS(領用表!$L:$L,領用表!$E:$E,$B83,領用表!$B:$B,$CB$2&amp;CE$2)</f>
        <v/>
      </c>
      <c r="CF83" s="206">
        <f>SUMIFS(領用表!$L:$L,領用表!$E:$E,$B83,領用表!$B:$B,$CB$2&amp;CF$2)</f>
        <v/>
      </c>
      <c r="CG83" s="208">
        <f>SUMIFS(領用表!$L:$L,領用表!$A:$A,CG$2,領用表!$E:$E,B83)</f>
        <v/>
      </c>
      <c r="CH83" s="206">
        <f>SUMIFS(領用表!$L:$L,領用表!$E:$E,$B83,領用表!$B:$B,CG$2&amp;CH$2)</f>
        <v/>
      </c>
      <c r="CI83" s="206">
        <f>SUMIFS(領用表!$L:$L,領用表!$E:$E,$B83,領用表!$B:$B,CG$2&amp;CI$2)</f>
        <v/>
      </c>
      <c r="CJ83" s="206">
        <f>SUMIFS(領用表!$L:$L,領用表!$E:$E,$B83,領用表!$B:$B,CG$2&amp;CJ$2)</f>
        <v/>
      </c>
      <c r="CK83" s="206">
        <f>SUMIFS(領用表!$L:$L,領用表!$E:$E,$B83,領用表!$B:$B,$CG$2&amp;CK$2)</f>
        <v/>
      </c>
      <c r="CL83" s="207">
        <f>SUM(AX83,AY83,AZ83,BA83,BB83,BC83,BH83,BM83,BR83,BW83,CB83,CG83)</f>
        <v/>
      </c>
      <c r="CM83" s="207">
        <f>AVERAGE(AX83,AY83,AZ83,BA83,BB83,BC83,BH83,BM83,BR83,BW83,CB83,CG83)</f>
        <v/>
      </c>
      <c r="CN83" s="208">
        <f>SUMIFS(領用表!$L:$L,領用表!$A:$A,CN$2,領用表!$E:$E,B83)</f>
        <v/>
      </c>
      <c r="CO83" s="206">
        <f>SUMIFS(領用表!$L:$L,領用表!$E:$E,$B83,領用表!$B:$B,CN$2&amp;CO$2)</f>
        <v/>
      </c>
      <c r="CP83" s="206">
        <f>SUMIFS(領用表!$L:$L,領用表!$E:$E,$B83,領用表!$B:$B,$CN$2&amp;CP$2)</f>
        <v/>
      </c>
      <c r="CQ83" s="206">
        <f>SUMIFS(領用表!$L:$L,領用表!$E:$E,$B83,領用表!$B:$B,$CN$2&amp;CQ$2)</f>
        <v/>
      </c>
      <c r="CR83" s="206">
        <f>SUMIFS(領用表!$L:$L,領用表!$E:$E,$B83,領用表!$B:$B,$CN$2&amp;CR$2)</f>
        <v/>
      </c>
      <c r="CS83" s="208">
        <f>SUMIFS(領用表!$L:$L,領用表!$A:$A,CS$2,領用表!$E:$E,B83)</f>
        <v/>
      </c>
      <c r="CT83" s="206">
        <f>SUMIFS(領用表!$L:$L,領用表!$E:$E,$B83,領用表!$B:$B,CS$2&amp;CT$2)</f>
        <v/>
      </c>
      <c r="CU83" s="206">
        <f>SUMIFS(領用表!$L:$L,領用表!$E:$E,$B83,領用表!$B:$B,$CS$2&amp;CU$2)</f>
        <v/>
      </c>
      <c r="CV83" s="206">
        <f>SUMIFS(領用表!$L:$L,領用表!$E:$E,$B83,領用表!$B:$B,$CS$2&amp;CV$2)</f>
        <v/>
      </c>
      <c r="CW83" s="206">
        <f>SUMIFS(領用表!$L:$L,領用表!$E:$E,$B83,領用表!$B:$B,$CS$2&amp;CW$2)</f>
        <v/>
      </c>
      <c r="CX83" s="206">
        <f>SUMIFS(領用表!$L:$L,領用表!$E:$E,$B83,領用表!$B:$B,$CS$2&amp;CX$2)</f>
        <v/>
      </c>
      <c r="CY83" s="208">
        <f>SUMIFS(領用表!$L:$L,領用表!$A:$A,CY$2,領用表!$E:$E,B83)</f>
        <v/>
      </c>
      <c r="CZ83" s="206">
        <f>SUMIFS(領用表!$L:$L,領用表!$E:$E,$B83,領用表!$B:$B,CY$2&amp;CZ$2)</f>
        <v/>
      </c>
      <c r="DA83" s="206">
        <f>SUMIFS(領用表!$L:$L,領用表!$E:$E,$B83,領用表!$B:$B,$CY$2&amp;DA$2)</f>
        <v/>
      </c>
      <c r="DB83" s="206">
        <f>SUMIFS(領用表!$L:$L,領用表!$E:$E,$B83,領用表!$B:$B,$CY$2&amp;DB$2)</f>
        <v/>
      </c>
      <c r="DC83" s="206">
        <f>SUMIFS(領用表!$L:$L,領用表!$E:$E,$B83,領用表!$B:$B,$CY$2&amp;DC$2)</f>
        <v/>
      </c>
      <c r="DD83" s="206">
        <f>SUMIFS(領用表!$L:$L,領用表!$E:$E,$B83,領用表!$B:$B,$CY$2&amp;DD$2)</f>
        <v/>
      </c>
      <c r="DE83" s="208">
        <f>SUMIFS(領用表!$L:$L,領用表!$A:$A,DE$2,領用表!$E:$E,B83)</f>
        <v/>
      </c>
      <c r="DF83" s="206">
        <f>SUMIFS(領用表!$L:$L,領用表!$E:$E,$B83,領用表!$B:$B,DE$2&amp;DF$2)</f>
        <v/>
      </c>
      <c r="DG83" s="206">
        <f>SUMIFS(領用表!$L:$L,領用表!$E:$E,$B83,領用表!$B:$B,$DE$2&amp;DG$2)</f>
        <v/>
      </c>
      <c r="DH83" s="206">
        <f>SUMIFS(領用表!$L:$L,領用表!$E:$E,$B83,領用表!$B:$B,$DE$2&amp;DH$2)</f>
        <v/>
      </c>
      <c r="DI83" s="206">
        <f>SUMIFS(領用表!$L:$L,領用表!$E:$E,$B83,領用表!$B:$B,$DE$2&amp;DI$2)</f>
        <v/>
      </c>
      <c r="DJ83" s="206">
        <f>SUMIFS(領用表!$L:$L,領用表!$E:$E,$B83,領用表!$B:$B,$DE$2&amp;DJ$2)</f>
        <v/>
      </c>
      <c r="DK83" s="208">
        <f>SUMIFS(領用表!$L:$L,領用表!$A:$A,DK$2,領用表!$E:$E,$B83)</f>
        <v/>
      </c>
      <c r="DL83" s="206">
        <f>SUMIFS(領用表!$L:$L,領用表!$E:$E,$B83,領用表!$B:$B,DK$2&amp;DL$2)</f>
        <v/>
      </c>
      <c r="DM83" s="206">
        <f>SUMIFS(領用表!$L:$L,領用表!$E:$E,$B83,領用表!$B:$B,$DK$2&amp;DM$2)</f>
        <v/>
      </c>
      <c r="DN83" s="206">
        <f>SUMIFS(領用表!$L:$L,領用表!$E:$E,$B83,領用表!$B:$B,$DK$2&amp;DN$2)</f>
        <v/>
      </c>
      <c r="DO83" s="206">
        <f>SUMIFS(領用表!$L:$L,領用表!$E:$E,$B83,領用表!$B:$B,$DK$2&amp;DO$2)</f>
        <v/>
      </c>
      <c r="DP83" s="206">
        <f>SUMIFS(領用表!$L:$L,領用表!$E:$E,$B83,領用表!$B:$B,$DK$2&amp;DP$2)</f>
        <v/>
      </c>
      <c r="DQ83" s="208" t="n"/>
      <c r="DR83" s="206" t="n"/>
      <c r="DS83" s="206" t="n"/>
      <c r="DT83" s="206" t="n"/>
      <c r="DU83" s="206" t="n"/>
      <c r="DV83" s="206" t="n"/>
      <c r="DW83" s="206">
        <f>SUM(CN83,CS83,CY83,DE83,DK83,DQ83)</f>
        <v/>
      </c>
      <c r="DX83" s="206">
        <f>AVERAGEA(CN83,CS83,CY83,DE83,DK83,DQ83)</f>
        <v/>
      </c>
      <c r="DY83" s="206">
        <f>SUM(DZ83:EC83)</f>
        <v/>
      </c>
      <c r="DZ83" s="206" t="n">
        <v>0</v>
      </c>
      <c r="EA83" s="206" t="n">
        <v>0</v>
      </c>
      <c r="EB83" s="206" t="n">
        <v>0</v>
      </c>
      <c r="EC83" s="206" t="n">
        <v>0</v>
      </c>
      <c r="ED83" s="258" t="n">
        <v>1000</v>
      </c>
      <c r="EE83" s="283" t="n"/>
      <c r="EF83" s="283" t="n"/>
      <c r="EG83" s="283" t="n"/>
      <c r="EH83" s="136" t="n"/>
      <c r="EI83" s="289" t="n"/>
      <c r="EJ83" s="118">
        <f>IFERROR(VLOOKUP(A83,站前4樓!A:BF,57,0),0)</f>
        <v/>
      </c>
      <c r="EK83" s="213">
        <f>IFERROR(VLOOKUP(A83,站前11樓!A:BE,57,0),0)</f>
        <v/>
      </c>
      <c r="EL83" s="118">
        <f>IFERROR(VLOOKUP(A83,忠孝7樓!A:N,57,0),0)</f>
        <v/>
      </c>
      <c r="EM83" s="118">
        <f>IFERROR(VLOOKUP(A83,忠孝國際醫學3樓!A:L,57,0),0)</f>
        <v/>
      </c>
      <c r="EN83" s="118">
        <f>SUM(ED83:EG83)</f>
        <v/>
      </c>
      <c r="EP83" s="118" t="e">
        <v>#N/A</v>
      </c>
      <c r="EQ83" s="118" t="e">
        <v>#N/A</v>
      </c>
    </row>
    <row r="84" ht="15.75" customFormat="1" customHeight="1" s="118">
      <c r="A84" s="136" t="inlineStr">
        <is>
          <t>MB3ME110003A</t>
        </is>
      </c>
      <c r="B84" s="118" t="n">
        <v>6200008</v>
      </c>
      <c r="C84" s="135" t="inlineStr">
        <is>
          <t>週纖達0.25mg</t>
        </is>
      </c>
      <c r="D84" s="285" t="n">
        <v>1</v>
      </c>
      <c r="E84" s="198" t="inlineStr">
        <is>
          <t>支</t>
        </is>
      </c>
      <c r="F84" s="225">
        <f>SUMIF(站前4樓!B:B,B84,站前4樓!F:F)</f>
        <v/>
      </c>
      <c r="G84" s="225">
        <f>SUMIF(站前11樓!B:B,B84,站前11樓!F:F)</f>
        <v/>
      </c>
      <c r="H84" s="225">
        <f>SUMIF(忠孝7樓!B:B,B84,忠孝7樓!G:G)</f>
        <v/>
      </c>
      <c r="I84" s="225">
        <f>SUMIF(忠孝國際醫學3樓!B:B,B84,忠孝國際醫學3樓!G:G)</f>
        <v/>
      </c>
      <c r="J84" s="225">
        <f>SUMIF(忠孝健康7樓!B:B,B84,忠孝健康7樓!G:G)</f>
        <v/>
      </c>
      <c r="K84" s="283" t="n"/>
      <c r="L84" s="283" t="n"/>
      <c r="M84" s="283" t="n"/>
      <c r="N84" s="283" t="n"/>
      <c r="O84" s="283" t="n"/>
      <c r="P84" s="283" t="n"/>
      <c r="Q84" s="283" t="n"/>
      <c r="R84" s="283" t="n"/>
      <c r="S84" s="283" t="n"/>
      <c r="T84" s="283" t="n"/>
      <c r="U84" s="283" t="n"/>
      <c r="V84" s="283" t="n"/>
      <c r="W84" s="283" t="n"/>
      <c r="X84" s="283" t="n"/>
      <c r="Y84" s="283" t="n"/>
      <c r="Z84" s="283" t="n"/>
      <c r="AA84" s="283" t="n"/>
      <c r="AB84" s="283" t="n"/>
      <c r="AC84" s="283" t="n"/>
      <c r="AD84" s="283" t="n"/>
      <c r="AE84" s="283" t="n"/>
      <c r="AF84" s="283" t="n"/>
      <c r="AG84" s="283" t="n"/>
      <c r="AH84" s="283" t="n"/>
      <c r="AI84" s="283" t="n"/>
      <c r="AJ84" s="201" t="n"/>
      <c r="AK84" s="201" t="n"/>
      <c r="AL84" s="201" t="n"/>
      <c r="AM84" s="201" t="n"/>
      <c r="AN84" s="201" t="n"/>
      <c r="AO84" s="201" t="n"/>
      <c r="AP84" s="201" t="n"/>
      <c r="AQ84" s="201" t="n"/>
      <c r="AR84" s="201" t="n"/>
      <c r="AS84" s="201" t="n"/>
      <c r="AT84" s="201" t="n"/>
      <c r="AU84" s="201" t="n"/>
      <c r="AV84" s="513" t="inlineStr">
        <is>
          <t>-</t>
        </is>
      </c>
      <c r="AW84" s="513" t="inlineStr">
        <is>
          <t>-</t>
        </is>
      </c>
      <c r="AX84" s="513" t="inlineStr">
        <is>
          <t>-</t>
        </is>
      </c>
      <c r="AY84" s="513" t="inlineStr">
        <is>
          <t>-</t>
        </is>
      </c>
      <c r="AZ84" s="513" t="inlineStr">
        <is>
          <t>-</t>
        </is>
      </c>
      <c r="BA84" s="201" t="n">
        <v>4</v>
      </c>
      <c r="BB84" s="201" t="n">
        <v>17</v>
      </c>
      <c r="BC84" s="203">
        <f>SUMIFS(領用表!$L:$L,領用表!$A:$A,BC$2,領用表!$E:$E,B84)</f>
        <v/>
      </c>
      <c r="BD84" s="296">
        <f>SUMIFS(領用表!$L:$L,領用表!$E:$E,$B84,領用表!$B:$B,BC$2&amp;BD$2)</f>
        <v/>
      </c>
      <c r="BE84" s="296">
        <f>SUMIFS(領用表!$L:$L,領用表!$E:$E,$B84,領用表!$B:$B,$BC$2&amp;BE$2)</f>
        <v/>
      </c>
      <c r="BF84" s="296">
        <f>SUMIFS(領用表!$L:$L,領用表!$E:$E,$B84,領用表!$B:$B,$BC$2&amp;BF$2)</f>
        <v/>
      </c>
      <c r="BG84" s="206">
        <f>SUMIFS(領用表!$L:$L,領用表!$E:$E,$B84,領用表!$B:$B,$BC$2&amp;BG$2)</f>
        <v/>
      </c>
      <c r="BH84" s="203">
        <f>SUMIFS(領用表!$L:$L,領用表!$A:$A,BH$2,領用表!$E:$E,B84)</f>
        <v/>
      </c>
      <c r="BI84" s="260">
        <f>SUMIFS(領用表!$L:$L,領用表!$E:$E,$B84,領用表!$B:$B,BH$2&amp;BI$2)</f>
        <v/>
      </c>
      <c r="BJ84" s="260">
        <f>SUMIFS(領用表!$L:$L,領用表!$E:$E,$B84,領用表!$B:$B,$BH$2&amp;BJ$2)</f>
        <v/>
      </c>
      <c r="BK84" s="260">
        <f>SUMIFS(領用表!$L:$L,領用表!$E:$E,$B84,領用表!$B:$B,$BH$2&amp;BK$2)</f>
        <v/>
      </c>
      <c r="BL84" s="260">
        <f>SUMIFS(領用表!$L:$L,領用表!$E:$E,$B84,領用表!$B:$B,$BH$2&amp;BL$2)</f>
        <v/>
      </c>
      <c r="BM84" s="203">
        <f>SUMIFS(領用表!$L:$L,領用表!$A:$A,BM$2,領用表!$E:$E,B84)</f>
        <v/>
      </c>
      <c r="BN84" s="206">
        <f>SUMIFS(領用表!$L:$L,領用表!$E:$E,$B84,領用表!$B:$B,BM$2&amp;BN$2)</f>
        <v/>
      </c>
      <c r="BO84" s="206">
        <f>SUMIFS(領用表!$L:$L,領用表!$E:$E,$B84,領用表!$B:$B,$BM$2&amp;BO$2)</f>
        <v/>
      </c>
      <c r="BP84" s="297">
        <f>SUMIFS(領用表!$L:$L,領用表!$E:$E,$B84,領用表!$B:$B,$BM$2&amp;BP$2)</f>
        <v/>
      </c>
      <c r="BQ84" s="206">
        <f>SUMIFS(領用表!$L:$L,領用表!$E:$E,$B84,領用表!$B:$B,$BM$2&amp;BQ$2)</f>
        <v/>
      </c>
      <c r="BR84" s="203">
        <f>SUMIFS(領用表!$L:$L,領用表!$A:$A,BR$2,領用表!$E:$E,B84)</f>
        <v/>
      </c>
      <c r="BS84" s="297">
        <f>SUMIFS(領用表!$L:$L,領用表!$E:$E,$B84,領用表!$B:$B,BR$2&amp;BS$2)</f>
        <v/>
      </c>
      <c r="BT84" s="297">
        <f>SUMIFS(領用表!$L:$L,領用表!$E:$E,$B84,領用表!$B:$B,$BR$2&amp;BT$2)</f>
        <v/>
      </c>
      <c r="BU84" s="297">
        <f>SUMIFS(領用表!$L:$L,領用表!$E:$E,$B84,領用表!$B:$B,$BR$2&amp;BU$2)</f>
        <v/>
      </c>
      <c r="BV84" s="206">
        <f>SUMIFS(領用表!$L:$L,領用表!$E:$E,$B84,領用表!$B:$B,$BR$2&amp;BV$2)</f>
        <v/>
      </c>
      <c r="BW84" s="208">
        <f>SUMIFS(領用表!$L:$L,領用表!$A:$A,BW$2,領用表!$E:$E,B84)</f>
        <v/>
      </c>
      <c r="BX84" s="206">
        <f>SUMIFS(領用表!$L:$L,領用表!$E:$E,$B84,領用表!$B:$B,BW$2&amp;BX$2)</f>
        <v/>
      </c>
      <c r="BY84" s="206">
        <f>SUMIFS(領用表!$L:$L,領用表!$E:$E,$B84,領用表!$B:$B,$BW$2&amp;BY$2)</f>
        <v/>
      </c>
      <c r="BZ84" s="206">
        <f>SUMIFS(領用表!$L:$L,領用表!$E:$E,$B84,領用表!$B:$B,$BW$2&amp;BZ$2)</f>
        <v/>
      </c>
      <c r="CA84" s="206">
        <f>SUMIFS(領用表!$L:$L,領用表!$E:$E,$B84,領用表!$B:$B,$BW$2&amp;CA$2)</f>
        <v/>
      </c>
      <c r="CB84" s="208">
        <f>SUMIFS(領用表!$L:$L,領用表!$A:$A,CB$2,領用表!$E:$E,B84)</f>
        <v/>
      </c>
      <c r="CC84" s="206">
        <f>SUMIFS(領用表!$L:$L,領用表!$E:$E,$B84,領用表!$B:$B,CB$2&amp;CC$2)</f>
        <v/>
      </c>
      <c r="CD84" s="206">
        <f>SUMIFS(領用表!$L:$L,領用表!$E:$E,$B84,領用表!$B:$B,$CB$2&amp;CD$2)</f>
        <v/>
      </c>
      <c r="CE84" s="206">
        <f>SUMIFS(領用表!$L:$L,領用表!$E:$E,$B84,領用表!$B:$B,$CB$2&amp;CE$2)</f>
        <v/>
      </c>
      <c r="CF84" s="206">
        <f>SUMIFS(領用表!$L:$L,領用表!$E:$E,$B84,領用表!$B:$B,$CB$2&amp;CF$2)</f>
        <v/>
      </c>
      <c r="CG84" s="208">
        <f>SUMIFS(領用表!$L:$L,領用表!$A:$A,CG$2,領用表!$E:$E,B84)</f>
        <v/>
      </c>
      <c r="CH84" s="206">
        <f>SUMIFS(領用表!$L:$L,領用表!$E:$E,$B84,領用表!$B:$B,CG$2&amp;CH$2)</f>
        <v/>
      </c>
      <c r="CI84" s="206">
        <f>SUMIFS(領用表!$L:$L,領用表!$E:$E,$B84,領用表!$B:$B,CG$2&amp;CI$2)</f>
        <v/>
      </c>
      <c r="CJ84" s="206">
        <f>SUMIFS(領用表!$L:$L,領用表!$E:$E,$B84,領用表!$B:$B,CG$2&amp;CJ$2)</f>
        <v/>
      </c>
      <c r="CK84" s="206">
        <f>SUMIFS(領用表!$L:$L,領用表!$E:$E,$B84,領用表!$B:$B,$CG$2&amp;CK$2)</f>
        <v/>
      </c>
      <c r="CL84" s="207">
        <f>SUM(AX84,AY84,AZ84,BA84,BB84,BC84,BH84,BM84,BR84,BW84,CB84,CG84)</f>
        <v/>
      </c>
      <c r="CM84" s="207">
        <f>AVERAGE(AX84,AY84,AZ84,BA84,BB84,BC84,BH84,BM84,BR84,BW84,CB84,CG84)</f>
        <v/>
      </c>
      <c r="CN84" s="208">
        <f>SUMIFS(領用表!$L:$L,領用表!$A:$A,CN$2,領用表!$E:$E,B84)</f>
        <v/>
      </c>
      <c r="CO84" s="206">
        <f>SUMIFS(領用表!$L:$L,領用表!$E:$E,$B84,領用表!$B:$B,CN$2&amp;CO$2)</f>
        <v/>
      </c>
      <c r="CP84" s="206">
        <f>SUMIFS(領用表!$L:$L,領用表!$E:$E,$B84,領用表!$B:$B,$CN$2&amp;CP$2)</f>
        <v/>
      </c>
      <c r="CQ84" s="206">
        <f>SUMIFS(領用表!$L:$L,領用表!$E:$E,$B84,領用表!$B:$B,$CN$2&amp;CQ$2)</f>
        <v/>
      </c>
      <c r="CR84" s="206">
        <f>SUMIFS(領用表!$L:$L,領用表!$E:$E,$B84,領用表!$B:$B,$CN$2&amp;CR$2)</f>
        <v/>
      </c>
      <c r="CS84" s="208">
        <f>SUMIFS(領用表!$L:$L,領用表!$A:$A,CS$2,領用表!$E:$E,B84)</f>
        <v/>
      </c>
      <c r="CT84" s="206">
        <f>SUMIFS(領用表!$L:$L,領用表!$E:$E,$B84,領用表!$B:$B,CS$2&amp;CT$2)</f>
        <v/>
      </c>
      <c r="CU84" s="206">
        <f>SUMIFS(領用表!$L:$L,領用表!$E:$E,$B84,領用表!$B:$B,$CS$2&amp;CU$2)</f>
        <v/>
      </c>
      <c r="CV84" s="206">
        <f>SUMIFS(領用表!$L:$L,領用表!$E:$E,$B84,領用表!$B:$B,$CS$2&amp;CV$2)</f>
        <v/>
      </c>
      <c r="CW84" s="206">
        <f>SUMIFS(領用表!$L:$L,領用表!$E:$E,$B84,領用表!$B:$B,$CS$2&amp;CW$2)</f>
        <v/>
      </c>
      <c r="CX84" s="206">
        <f>SUMIFS(領用表!$L:$L,領用表!$E:$E,$B84,領用表!$B:$B,$CS$2&amp;CX$2)</f>
        <v/>
      </c>
      <c r="CY84" s="208">
        <f>SUMIFS(領用表!$L:$L,領用表!$A:$A,CY$2,領用表!$E:$E,B84)</f>
        <v/>
      </c>
      <c r="CZ84" s="206">
        <f>SUMIFS(領用表!$L:$L,領用表!$E:$E,$B84,領用表!$B:$B,CY$2&amp;CZ$2)</f>
        <v/>
      </c>
      <c r="DA84" s="206">
        <f>SUMIFS(領用表!$L:$L,領用表!$E:$E,$B84,領用表!$B:$B,$CY$2&amp;DA$2)</f>
        <v/>
      </c>
      <c r="DB84" s="206">
        <f>SUMIFS(領用表!$L:$L,領用表!$E:$E,$B84,領用表!$B:$B,$CY$2&amp;DB$2)</f>
        <v/>
      </c>
      <c r="DC84" s="206">
        <f>SUMIFS(領用表!$L:$L,領用表!$E:$E,$B84,領用表!$B:$B,$CY$2&amp;DC$2)</f>
        <v/>
      </c>
      <c r="DD84" s="206">
        <f>SUMIFS(領用表!$L:$L,領用表!$E:$E,$B84,領用表!$B:$B,$CY$2&amp;DD$2)</f>
        <v/>
      </c>
      <c r="DE84" s="208">
        <f>SUMIFS(領用表!$L:$L,領用表!$A:$A,DE$2,領用表!$E:$E,B84)</f>
        <v/>
      </c>
      <c r="DF84" s="206">
        <f>SUMIFS(領用表!$L:$L,領用表!$E:$E,$B84,領用表!$B:$B,DE$2&amp;DF$2)</f>
        <v/>
      </c>
      <c r="DG84" s="206">
        <f>SUMIFS(領用表!$L:$L,領用表!$E:$E,$B84,領用表!$B:$B,$DE$2&amp;DG$2)</f>
        <v/>
      </c>
      <c r="DH84" s="206">
        <f>SUMIFS(領用表!$L:$L,領用表!$E:$E,$B84,領用表!$B:$B,$DE$2&amp;DH$2)</f>
        <v/>
      </c>
      <c r="DI84" s="206">
        <f>SUMIFS(領用表!$L:$L,領用表!$E:$E,$B84,領用表!$B:$B,$DE$2&amp;DI$2)</f>
        <v/>
      </c>
      <c r="DJ84" s="206">
        <f>SUMIFS(領用表!$L:$L,領用表!$E:$E,$B84,領用表!$B:$B,$DE$2&amp;DJ$2)</f>
        <v/>
      </c>
      <c r="DK84" s="208">
        <f>SUMIFS(領用表!$L:$L,領用表!$A:$A,DK$2,領用表!$E:$E,$B84)</f>
        <v/>
      </c>
      <c r="DL84" s="206">
        <f>SUMIFS(領用表!$L:$L,領用表!$E:$E,$B84,領用表!$B:$B,DK$2&amp;DL$2)</f>
        <v/>
      </c>
      <c r="DM84" s="206">
        <f>SUMIFS(領用表!$L:$L,領用表!$E:$E,$B84,領用表!$B:$B,$DK$2&amp;DM$2)</f>
        <v/>
      </c>
      <c r="DN84" s="206">
        <f>SUMIFS(領用表!$L:$L,領用表!$E:$E,$B84,領用表!$B:$B,$DK$2&amp;DN$2)</f>
        <v/>
      </c>
      <c r="DO84" s="206">
        <f>SUMIFS(領用表!$L:$L,領用表!$E:$E,$B84,領用表!$B:$B,$DK$2&amp;DO$2)</f>
        <v/>
      </c>
      <c r="DP84" s="206">
        <f>SUMIFS(領用表!$L:$L,領用表!$E:$E,$B84,領用表!$B:$B,$DK$2&amp;DP$2)</f>
        <v/>
      </c>
      <c r="DQ84" s="208" t="n">
        <v>2</v>
      </c>
      <c r="DR84" s="206" t="n"/>
      <c r="DS84" s="206" t="n">
        <v>2</v>
      </c>
      <c r="DT84" s="206" t="n"/>
      <c r="DU84" s="206" t="n"/>
      <c r="DV84" s="206" t="n"/>
      <c r="DW84" s="206">
        <f>SUM(CN84,CS84,CY84,DE84,DK84,DQ84)</f>
        <v/>
      </c>
      <c r="DX84" s="206">
        <f>AVERAGEA(CN84,CS84,CY84,DE84,DK84,DQ84)</f>
        <v/>
      </c>
      <c r="DY84" s="206">
        <f>SUM(DZ84:EC84)</f>
        <v/>
      </c>
      <c r="DZ84" s="206" t="n">
        <v>0</v>
      </c>
      <c r="EA84" s="206" t="n">
        <v>15</v>
      </c>
      <c r="EB84" s="206" t="n">
        <v>0</v>
      </c>
      <c r="EC84" s="206" t="n">
        <v>6</v>
      </c>
      <c r="ED84" s="258" t="n">
        <v>20</v>
      </c>
      <c r="EE84" s="283" t="n"/>
      <c r="EF84" s="283" t="n"/>
      <c r="EG84" s="283" t="n"/>
      <c r="EH84" s="136" t="n"/>
      <c r="EI84" s="289" t="n"/>
      <c r="EJ84" s="118">
        <f>IFERROR(VLOOKUP(A84,站前4樓!A:BF,57,0),0)</f>
        <v/>
      </c>
      <c r="EK84" s="213">
        <f>IFERROR(VLOOKUP(A84,站前11樓!A:BE,57,0),0)</f>
        <v/>
      </c>
      <c r="EL84" s="118">
        <f>IFERROR(VLOOKUP(A84,忠孝7樓!A:N,57,0),0)</f>
        <v/>
      </c>
      <c r="EM84" s="118">
        <f>IFERROR(VLOOKUP(A84,忠孝國際醫學3樓!A:L,57,0),0)</f>
        <v/>
      </c>
      <c r="EN84" s="118">
        <f>SUM(ED84:EG84)</f>
        <v/>
      </c>
      <c r="EP84" s="118" t="n">
        <v>11</v>
      </c>
      <c r="EQ84" s="118" t="n">
        <v>12</v>
      </c>
    </row>
    <row r="85" ht="15.75" customFormat="1" customHeight="1" s="118">
      <c r="A85" s="136" t="inlineStr">
        <is>
          <t>MB3ME110005A</t>
        </is>
      </c>
      <c r="B85" s="118" t="n">
        <v>6200010</v>
      </c>
      <c r="C85" s="135" t="inlineStr">
        <is>
          <t>週纖達1.0mg</t>
        </is>
      </c>
      <c r="D85" s="285" t="n">
        <v>1</v>
      </c>
      <c r="E85" s="198" t="inlineStr">
        <is>
          <t>支</t>
        </is>
      </c>
      <c r="F85" s="225">
        <f>SUMIF(站前4樓!B:B,B85,站前4樓!F:F)</f>
        <v/>
      </c>
      <c r="G85" s="225">
        <f>SUMIF(站前11樓!B:B,B85,站前11樓!F:F)</f>
        <v/>
      </c>
      <c r="H85" s="225">
        <f>SUMIF(忠孝7樓!B:B,B85,忠孝7樓!G:G)</f>
        <v/>
      </c>
      <c r="I85" s="225">
        <f>SUMIF(忠孝國際醫學3樓!B:B,B85,忠孝國際醫學3樓!G:G)</f>
        <v/>
      </c>
      <c r="J85" s="225">
        <f>SUMIF(忠孝健康7樓!B:B,B85,忠孝健康7樓!G:G)</f>
        <v/>
      </c>
      <c r="K85" s="283" t="n"/>
      <c r="L85" s="283" t="n"/>
      <c r="M85" s="283" t="n"/>
      <c r="N85" s="283" t="n"/>
      <c r="O85" s="283" t="n"/>
      <c r="P85" s="283" t="n"/>
      <c r="Q85" s="283" t="n"/>
      <c r="R85" s="283" t="n"/>
      <c r="S85" s="283" t="n"/>
      <c r="T85" s="283" t="n"/>
      <c r="U85" s="283" t="n"/>
      <c r="V85" s="283" t="n"/>
      <c r="W85" s="283" t="n"/>
      <c r="X85" s="283" t="n"/>
      <c r="Y85" s="283" t="n"/>
      <c r="Z85" s="283" t="n"/>
      <c r="AA85" s="283" t="n"/>
      <c r="AB85" s="283" t="n"/>
      <c r="AC85" s="283" t="n"/>
      <c r="AD85" s="283" t="n"/>
      <c r="AE85" s="283" t="n"/>
      <c r="AF85" s="283" t="n"/>
      <c r="AG85" s="283" t="n"/>
      <c r="AH85" s="283" t="n"/>
      <c r="AI85" s="283" t="n"/>
      <c r="AJ85" s="201" t="n"/>
      <c r="AK85" s="201" t="n"/>
      <c r="AL85" s="201" t="n"/>
      <c r="AM85" s="201" t="n"/>
      <c r="AN85" s="201" t="n"/>
      <c r="AO85" s="201" t="n"/>
      <c r="AP85" s="201" t="n"/>
      <c r="AQ85" s="201" t="n"/>
      <c r="AR85" s="201" t="n"/>
      <c r="AS85" s="201" t="n"/>
      <c r="AT85" s="201" t="n"/>
      <c r="AU85" s="201" t="n"/>
      <c r="AV85" s="513" t="inlineStr">
        <is>
          <t>-</t>
        </is>
      </c>
      <c r="AW85" s="513" t="inlineStr">
        <is>
          <t>-</t>
        </is>
      </c>
      <c r="AX85" s="513" t="inlineStr">
        <is>
          <t>-</t>
        </is>
      </c>
      <c r="AY85" s="513" t="inlineStr">
        <is>
          <t>-</t>
        </is>
      </c>
      <c r="AZ85" s="513" t="inlineStr">
        <is>
          <t>-</t>
        </is>
      </c>
      <c r="BA85" s="201" t="n">
        <v>1</v>
      </c>
      <c r="BB85" s="201" t="n">
        <v>36</v>
      </c>
      <c r="BC85" s="203">
        <f>SUMIFS(領用表!$L:$L,領用表!$A:$A,BC$2,領用表!$E:$E,B85)</f>
        <v/>
      </c>
      <c r="BD85" s="296">
        <f>SUMIFS(領用表!$L:$L,領用表!$E:$E,$B85,領用表!$B:$B,BC$2&amp;BD$2)</f>
        <v/>
      </c>
      <c r="BE85" s="296">
        <f>SUMIFS(領用表!$L:$L,領用表!$E:$E,$B85,領用表!$B:$B,$BC$2&amp;BE$2)</f>
        <v/>
      </c>
      <c r="BF85" s="296">
        <f>SUMIFS(領用表!$L:$L,領用表!$E:$E,$B85,領用表!$B:$B,$BC$2&amp;BF$2)</f>
        <v/>
      </c>
      <c r="BG85" s="206">
        <f>SUMIFS(領用表!$L:$L,領用表!$E:$E,$B85,領用表!$B:$B,$BC$2&amp;BG$2)</f>
        <v/>
      </c>
      <c r="BH85" s="203">
        <f>SUMIFS(領用表!$L:$L,領用表!$A:$A,BH$2,領用表!$E:$E,B85)</f>
        <v/>
      </c>
      <c r="BI85" s="260">
        <f>SUMIFS(領用表!$L:$L,領用表!$E:$E,$B85,領用表!$B:$B,BH$2&amp;BI$2)</f>
        <v/>
      </c>
      <c r="BJ85" s="260">
        <f>SUMIFS(領用表!$L:$L,領用表!$E:$E,$B85,領用表!$B:$B,$BH$2&amp;BJ$2)</f>
        <v/>
      </c>
      <c r="BK85" s="260">
        <f>SUMIFS(領用表!$L:$L,領用表!$E:$E,$B85,領用表!$B:$B,$BH$2&amp;BK$2)</f>
        <v/>
      </c>
      <c r="BL85" s="260">
        <f>SUMIFS(領用表!$L:$L,領用表!$E:$E,$B85,領用表!$B:$B,$BH$2&amp;BL$2)</f>
        <v/>
      </c>
      <c r="BM85" s="203">
        <f>SUMIFS(領用表!$L:$L,領用表!$A:$A,BM$2,領用表!$E:$E,B85)</f>
        <v/>
      </c>
      <c r="BN85" s="206">
        <f>SUMIFS(領用表!$L:$L,領用表!$E:$E,$B85,領用表!$B:$B,BM$2&amp;BN$2)</f>
        <v/>
      </c>
      <c r="BO85" s="206">
        <f>SUMIFS(領用表!$L:$L,領用表!$E:$E,$B85,領用表!$B:$B,$BM$2&amp;BO$2)</f>
        <v/>
      </c>
      <c r="BP85" s="297">
        <f>SUMIFS(領用表!$L:$L,領用表!$E:$E,$B85,領用表!$B:$B,$BM$2&amp;BP$2)</f>
        <v/>
      </c>
      <c r="BQ85" s="206">
        <f>SUMIFS(領用表!$L:$L,領用表!$E:$E,$B85,領用表!$B:$B,$BM$2&amp;BQ$2)</f>
        <v/>
      </c>
      <c r="BR85" s="203">
        <f>SUMIFS(領用表!$L:$L,領用表!$A:$A,BR$2,領用表!$E:$E,B85)</f>
        <v/>
      </c>
      <c r="BS85" s="297">
        <f>SUMIFS(領用表!$L:$L,領用表!$E:$E,$B85,領用表!$B:$B,BR$2&amp;BS$2)</f>
        <v/>
      </c>
      <c r="BT85" s="297">
        <f>SUMIFS(領用表!$L:$L,領用表!$E:$E,$B85,領用表!$B:$B,$BR$2&amp;BT$2)</f>
        <v/>
      </c>
      <c r="BU85" s="297">
        <f>SUMIFS(領用表!$L:$L,領用表!$E:$E,$B85,領用表!$B:$B,$BR$2&amp;BU$2)</f>
        <v/>
      </c>
      <c r="BV85" s="206">
        <f>SUMIFS(領用表!$L:$L,領用表!$E:$E,$B85,領用表!$B:$B,$BR$2&amp;BV$2)</f>
        <v/>
      </c>
      <c r="BW85" s="208">
        <f>SUMIFS(領用表!$L:$L,領用表!$A:$A,BW$2,領用表!$E:$E,B85)</f>
        <v/>
      </c>
      <c r="BX85" s="206">
        <f>SUMIFS(領用表!$L:$L,領用表!$E:$E,$B85,領用表!$B:$B,BW$2&amp;BX$2)</f>
        <v/>
      </c>
      <c r="BY85" s="206">
        <f>SUMIFS(領用表!$L:$L,領用表!$E:$E,$B85,領用表!$B:$B,$BW$2&amp;BY$2)</f>
        <v/>
      </c>
      <c r="BZ85" s="206">
        <f>SUMIFS(領用表!$L:$L,領用表!$E:$E,$B85,領用表!$B:$B,$BW$2&amp;BZ$2)</f>
        <v/>
      </c>
      <c r="CA85" s="206">
        <f>SUMIFS(領用表!$L:$L,領用表!$E:$E,$B85,領用表!$B:$B,$BW$2&amp;CA$2)</f>
        <v/>
      </c>
      <c r="CB85" s="208">
        <f>SUMIFS(領用表!$L:$L,領用表!$A:$A,CB$2,領用表!$E:$E,B85)</f>
        <v/>
      </c>
      <c r="CC85" s="206">
        <f>SUMIFS(領用表!$L:$L,領用表!$E:$E,$B85,領用表!$B:$B,CB$2&amp;CC$2)</f>
        <v/>
      </c>
      <c r="CD85" s="206">
        <f>SUMIFS(領用表!$L:$L,領用表!$E:$E,$B85,領用表!$B:$B,$CB$2&amp;CD$2)</f>
        <v/>
      </c>
      <c r="CE85" s="206">
        <f>SUMIFS(領用表!$L:$L,領用表!$E:$E,$B85,領用表!$B:$B,$CB$2&amp;CE$2)</f>
        <v/>
      </c>
      <c r="CF85" s="206">
        <f>SUMIFS(領用表!$L:$L,領用表!$E:$E,$B85,領用表!$B:$B,$CB$2&amp;CF$2)</f>
        <v/>
      </c>
      <c r="CG85" s="208">
        <f>SUMIFS(領用表!$L:$L,領用表!$A:$A,CG$2,領用表!$E:$E,B85)</f>
        <v/>
      </c>
      <c r="CH85" s="206">
        <f>SUMIFS(領用表!$L:$L,領用表!$E:$E,$B85,領用表!$B:$B,CG$2&amp;CH$2)</f>
        <v/>
      </c>
      <c r="CI85" s="206">
        <f>SUMIFS(領用表!$L:$L,領用表!$E:$E,$B85,領用表!$B:$B,CG$2&amp;CI$2)</f>
        <v/>
      </c>
      <c r="CJ85" s="206">
        <f>SUMIFS(領用表!$L:$L,領用表!$E:$E,$B85,領用表!$B:$B,CG$2&amp;CJ$2)</f>
        <v/>
      </c>
      <c r="CK85" s="206">
        <f>SUMIFS(領用表!$L:$L,領用表!$E:$E,$B85,領用表!$B:$B,$CG$2&amp;CK$2)</f>
        <v/>
      </c>
      <c r="CL85" s="207">
        <f>SUM(AX85,AY85,AZ85,BA85,BB85,BC85,BH85,BM85,BR85,BW85,CB85,CG85)</f>
        <v/>
      </c>
      <c r="CM85" s="207">
        <f>AVERAGE(AX85,AY85,AZ85,BA85,BB85,BC85,BH85,BM85,BR85,BW85,CB85,CG85)</f>
        <v/>
      </c>
      <c r="CN85" s="208">
        <f>SUMIFS(領用表!$L:$L,領用表!$A:$A,CN$2,領用表!$E:$E,B85)</f>
        <v/>
      </c>
      <c r="CO85" s="206">
        <f>SUMIFS(領用表!$L:$L,領用表!$E:$E,$B85,領用表!$B:$B,CN$2&amp;CO$2)</f>
        <v/>
      </c>
      <c r="CP85" s="206">
        <f>SUMIFS(領用表!$L:$L,領用表!$E:$E,$B85,領用表!$B:$B,$CN$2&amp;CP$2)</f>
        <v/>
      </c>
      <c r="CQ85" s="206">
        <f>SUMIFS(領用表!$L:$L,領用表!$E:$E,$B85,領用表!$B:$B,$CN$2&amp;CQ$2)</f>
        <v/>
      </c>
      <c r="CR85" s="206">
        <f>SUMIFS(領用表!$L:$L,領用表!$E:$E,$B85,領用表!$B:$B,$CN$2&amp;CR$2)</f>
        <v/>
      </c>
      <c r="CS85" s="208">
        <f>SUMIFS(領用表!$L:$L,領用表!$A:$A,CS$2,領用表!$E:$E,B85)</f>
        <v/>
      </c>
      <c r="CT85" s="206">
        <f>SUMIFS(領用表!$L:$L,領用表!$E:$E,$B85,領用表!$B:$B,CS$2&amp;CT$2)</f>
        <v/>
      </c>
      <c r="CU85" s="206">
        <f>SUMIFS(領用表!$L:$L,領用表!$E:$E,$B85,領用表!$B:$B,$CS$2&amp;CU$2)</f>
        <v/>
      </c>
      <c r="CV85" s="206">
        <f>SUMIFS(領用表!$L:$L,領用表!$E:$E,$B85,領用表!$B:$B,$CS$2&amp;CV$2)</f>
        <v/>
      </c>
      <c r="CW85" s="206">
        <f>SUMIFS(領用表!$L:$L,領用表!$E:$E,$B85,領用表!$B:$B,$CS$2&amp;CW$2)</f>
        <v/>
      </c>
      <c r="CX85" s="206">
        <f>SUMIFS(領用表!$L:$L,領用表!$E:$E,$B85,領用表!$B:$B,$CS$2&amp;CX$2)</f>
        <v/>
      </c>
      <c r="CY85" s="208">
        <f>SUMIFS(領用表!$L:$L,領用表!$A:$A,CY$2,領用表!$E:$E,B85)</f>
        <v/>
      </c>
      <c r="CZ85" s="206">
        <f>SUMIFS(領用表!$L:$L,領用表!$E:$E,$B85,領用表!$B:$B,CY$2&amp;CZ$2)</f>
        <v/>
      </c>
      <c r="DA85" s="206">
        <f>SUMIFS(領用表!$L:$L,領用表!$E:$E,$B85,領用表!$B:$B,$CY$2&amp;DA$2)</f>
        <v/>
      </c>
      <c r="DB85" s="206">
        <f>SUMIFS(領用表!$L:$L,領用表!$E:$E,$B85,領用表!$B:$B,$CY$2&amp;DB$2)</f>
        <v/>
      </c>
      <c r="DC85" s="206">
        <f>SUMIFS(領用表!$L:$L,領用表!$E:$E,$B85,領用表!$B:$B,$CY$2&amp;DC$2)</f>
        <v/>
      </c>
      <c r="DD85" s="206">
        <f>SUMIFS(領用表!$L:$L,領用表!$E:$E,$B85,領用表!$B:$B,$CY$2&amp;DD$2)</f>
        <v/>
      </c>
      <c r="DE85" s="208">
        <f>SUMIFS(領用表!$L:$L,領用表!$A:$A,DE$2,領用表!$E:$E,B85)</f>
        <v/>
      </c>
      <c r="DF85" s="206">
        <f>SUMIFS(領用表!$L:$L,領用表!$E:$E,$B85,領用表!$B:$B,DE$2&amp;DF$2)</f>
        <v/>
      </c>
      <c r="DG85" s="206">
        <f>SUMIFS(領用表!$L:$L,領用表!$E:$E,$B85,領用表!$B:$B,$DE$2&amp;DG$2)</f>
        <v/>
      </c>
      <c r="DH85" s="206">
        <f>SUMIFS(領用表!$L:$L,領用表!$E:$E,$B85,領用表!$B:$B,$DE$2&amp;DH$2)</f>
        <v/>
      </c>
      <c r="DI85" s="206">
        <f>SUMIFS(領用表!$L:$L,領用表!$E:$E,$B85,領用表!$B:$B,$DE$2&amp;DI$2)</f>
        <v/>
      </c>
      <c r="DJ85" s="206">
        <f>SUMIFS(領用表!$L:$L,領用表!$E:$E,$B85,領用表!$B:$B,$DE$2&amp;DJ$2)</f>
        <v/>
      </c>
      <c r="DK85" s="208">
        <f>SUMIFS(領用表!$L:$L,領用表!$A:$A,DK$2,領用表!$E:$E,$B85)</f>
        <v/>
      </c>
      <c r="DL85" s="206">
        <f>SUMIFS(領用表!$L:$L,領用表!$E:$E,$B85,領用表!$B:$B,DK$2&amp;DL$2)</f>
        <v/>
      </c>
      <c r="DM85" s="206">
        <f>SUMIFS(領用表!$L:$L,領用表!$E:$E,$B85,領用表!$B:$B,$DK$2&amp;DM$2)</f>
        <v/>
      </c>
      <c r="DN85" s="206">
        <f>SUMIFS(領用表!$L:$L,領用表!$E:$E,$B85,領用表!$B:$B,$DK$2&amp;DN$2)</f>
        <v/>
      </c>
      <c r="DO85" s="206">
        <f>SUMIFS(領用表!$L:$L,領用表!$E:$E,$B85,領用表!$B:$B,$DK$2&amp;DO$2)</f>
        <v/>
      </c>
      <c r="DP85" s="206">
        <f>SUMIFS(領用表!$L:$L,領用表!$E:$E,$B85,領用表!$B:$B,$DK$2&amp;DP$2)</f>
        <v/>
      </c>
      <c r="DQ85" s="208" t="n">
        <v>1</v>
      </c>
      <c r="DR85" s="206" t="n"/>
      <c r="DS85" s="206" t="n">
        <v>1</v>
      </c>
      <c r="DT85" s="206" t="n"/>
      <c r="DU85" s="206" t="n"/>
      <c r="DV85" s="206" t="n"/>
      <c r="DW85" s="206">
        <f>SUM(CN85,CS85,CY85,DE85,DK85,DQ85)</f>
        <v/>
      </c>
      <c r="DX85" s="206">
        <f>AVERAGEA(CN85,CS85,CY85,DE85,DK85,DQ85)</f>
        <v/>
      </c>
      <c r="DY85" s="206">
        <f>SUM(DZ85:EC85)</f>
        <v/>
      </c>
      <c r="DZ85" s="206" t="n">
        <v>0</v>
      </c>
      <c r="EA85" s="206" t="n">
        <v>10</v>
      </c>
      <c r="EB85" s="206" t="n">
        <v>0</v>
      </c>
      <c r="EC85" s="206" t="n">
        <v>10</v>
      </c>
      <c r="ED85" s="258" t="n">
        <v>35</v>
      </c>
      <c r="EE85" s="283" t="n"/>
      <c r="EF85" s="283" t="n"/>
      <c r="EG85" s="283" t="n"/>
      <c r="EH85" s="136" t="n"/>
      <c r="EI85" s="289" t="n"/>
      <c r="EJ85" s="118">
        <f>IFERROR(VLOOKUP(A85,站前4樓!A:BF,57,0),0)</f>
        <v/>
      </c>
      <c r="EK85" s="213">
        <f>IFERROR(VLOOKUP(A85,站前11樓!A:BE,57,0),0)</f>
        <v/>
      </c>
      <c r="EL85" s="118">
        <f>IFERROR(VLOOKUP(A85,忠孝7樓!A:N,57,0),0)</f>
        <v/>
      </c>
      <c r="EM85" s="118">
        <f>IFERROR(VLOOKUP(A85,忠孝國際醫學3樓!A:L,57,0),0)</f>
        <v/>
      </c>
      <c r="EN85" s="118">
        <f>SUM(ED85:EG85)</f>
        <v/>
      </c>
      <c r="EP85" s="118" t="n">
        <v>8</v>
      </c>
      <c r="EQ85" s="118" t="n">
        <v>7</v>
      </c>
    </row>
    <row r="86" ht="15.75" customFormat="1" customHeight="1" s="118">
      <c r="A86" s="136" t="inlineStr">
        <is>
          <t>MB3ME110007A</t>
        </is>
      </c>
      <c r="B86" s="118" t="n">
        <v>6200012</v>
      </c>
      <c r="C86" s="135" t="inlineStr">
        <is>
          <t>週纖達2.4mg</t>
        </is>
      </c>
      <c r="D86" s="285" t="n">
        <v>1</v>
      </c>
      <c r="E86" s="198" t="inlineStr">
        <is>
          <t>支</t>
        </is>
      </c>
      <c r="F86" s="225">
        <f>SUMIF(站前4樓!B:B,B86,站前4樓!F:F)</f>
        <v/>
      </c>
      <c r="G86" s="225">
        <f>SUMIF(站前11樓!B:B,B86,站前11樓!F:F)</f>
        <v/>
      </c>
      <c r="H86" s="225">
        <f>SUMIF(忠孝7樓!B:B,B86,忠孝7樓!G:G)</f>
        <v/>
      </c>
      <c r="I86" s="225">
        <f>SUMIF(忠孝國際醫學3樓!B:B,B86,忠孝國際醫學3樓!G:G)</f>
        <v/>
      </c>
      <c r="J86" s="225">
        <f>SUMIF(忠孝健康7樓!B:B,B86,忠孝健康7樓!G:G)</f>
        <v/>
      </c>
      <c r="K86" s="283" t="n"/>
      <c r="L86" s="283" t="n"/>
      <c r="M86" s="283" t="n"/>
      <c r="N86" s="283" t="n"/>
      <c r="O86" s="283" t="n"/>
      <c r="P86" s="283" t="n"/>
      <c r="Q86" s="283" t="n"/>
      <c r="R86" s="283" t="n"/>
      <c r="S86" s="283" t="n"/>
      <c r="T86" s="283" t="n"/>
      <c r="U86" s="283" t="n"/>
      <c r="V86" s="283" t="n"/>
      <c r="W86" s="283" t="n"/>
      <c r="X86" s="283" t="n"/>
      <c r="Y86" s="283" t="n"/>
      <c r="Z86" s="283" t="n"/>
      <c r="AA86" s="283" t="n"/>
      <c r="AB86" s="283" t="n"/>
      <c r="AC86" s="283" t="n"/>
      <c r="AD86" s="283" t="n"/>
      <c r="AE86" s="283" t="n"/>
      <c r="AF86" s="283" t="n"/>
      <c r="AG86" s="283" t="n"/>
      <c r="AH86" s="283" t="n"/>
      <c r="AI86" s="283" t="n"/>
      <c r="AJ86" s="201" t="n"/>
      <c r="AK86" s="201" t="n"/>
      <c r="AL86" s="201" t="n"/>
      <c r="AM86" s="201" t="n"/>
      <c r="AN86" s="201" t="n"/>
      <c r="AO86" s="201" t="n"/>
      <c r="AP86" s="201" t="n"/>
      <c r="AQ86" s="201" t="n"/>
      <c r="AR86" s="201" t="n"/>
      <c r="AS86" s="201" t="n"/>
      <c r="AT86" s="201" t="n"/>
      <c r="AU86" s="201" t="n"/>
      <c r="AV86" s="513" t="inlineStr">
        <is>
          <t>-</t>
        </is>
      </c>
      <c r="AW86" s="513" t="inlineStr">
        <is>
          <t>-</t>
        </is>
      </c>
      <c r="AX86" s="513" t="inlineStr">
        <is>
          <t>-</t>
        </is>
      </c>
      <c r="AY86" s="513" t="inlineStr">
        <is>
          <t>-</t>
        </is>
      </c>
      <c r="AZ86" s="513" t="inlineStr">
        <is>
          <t>-</t>
        </is>
      </c>
      <c r="BA86" s="201" t="n">
        <v>0</v>
      </c>
      <c r="BB86" s="298" t="n">
        <v>6</v>
      </c>
      <c r="BC86" s="203">
        <f>SUMIFS(領用表!$L:$L,領用表!$A:$A,BC$2,領用表!$E:$E,B86)</f>
        <v/>
      </c>
      <c r="BD86" s="296">
        <f>SUMIFS(領用表!$L:$L,領用表!$E:$E,$B86,領用表!$B:$B,BC$2&amp;BD$2)</f>
        <v/>
      </c>
      <c r="BE86" s="296">
        <f>SUMIFS(領用表!$L:$L,領用表!$E:$E,$B86,領用表!$B:$B,$BC$2&amp;BE$2)</f>
        <v/>
      </c>
      <c r="BF86" s="296">
        <f>SUMIFS(領用表!$L:$L,領用表!$E:$E,$B86,領用表!$B:$B,$BC$2&amp;BF$2)</f>
        <v/>
      </c>
      <c r="BG86" s="206">
        <f>SUMIFS(領用表!$L:$L,領用表!$E:$E,$B86,領用表!$B:$B,$BC$2&amp;BG$2)</f>
        <v/>
      </c>
      <c r="BH86" s="203">
        <f>SUMIFS(領用表!$L:$L,領用表!$A:$A,BH$2,領用表!$E:$E,B86)</f>
        <v/>
      </c>
      <c r="BI86" s="260">
        <f>SUMIFS(領用表!$L:$L,領用表!$E:$E,$B86,領用表!$B:$B,BH$2&amp;BI$2)</f>
        <v/>
      </c>
      <c r="BJ86" s="260">
        <f>SUMIFS(領用表!$L:$L,領用表!$E:$E,$B86,領用表!$B:$B,$BH$2&amp;BJ$2)</f>
        <v/>
      </c>
      <c r="BK86" s="260">
        <f>SUMIFS(領用表!$L:$L,領用表!$E:$E,$B86,領用表!$B:$B,$BH$2&amp;BK$2)</f>
        <v/>
      </c>
      <c r="BL86" s="260">
        <f>SUMIFS(領用表!$L:$L,領用表!$E:$E,$B86,領用表!$B:$B,$BH$2&amp;BL$2)</f>
        <v/>
      </c>
      <c r="BM86" s="203">
        <f>SUMIFS(領用表!$L:$L,領用表!$A:$A,BM$2,領用表!$E:$E,B86)</f>
        <v/>
      </c>
      <c r="BN86" s="206">
        <f>SUMIFS(領用表!$L:$L,領用表!$E:$E,$B86,領用表!$B:$B,BM$2&amp;BN$2)</f>
        <v/>
      </c>
      <c r="BO86" s="206">
        <f>SUMIFS(領用表!$L:$L,領用表!$E:$E,$B86,領用表!$B:$B,$BM$2&amp;BO$2)</f>
        <v/>
      </c>
      <c r="BP86" s="297">
        <f>SUMIFS(領用表!$L:$L,領用表!$E:$E,$B86,領用表!$B:$B,$BM$2&amp;BP$2)</f>
        <v/>
      </c>
      <c r="BQ86" s="206">
        <f>SUMIFS(領用表!$L:$L,領用表!$E:$E,$B86,領用表!$B:$B,$BM$2&amp;BQ$2)</f>
        <v/>
      </c>
      <c r="BR86" s="203">
        <f>SUMIFS(領用表!$L:$L,領用表!$A:$A,BR$2,領用表!$E:$E,B86)</f>
        <v/>
      </c>
      <c r="BS86" s="297">
        <f>SUMIFS(領用表!$L:$L,領用表!$E:$E,$B86,領用表!$B:$B,BR$2&amp;BS$2)</f>
        <v/>
      </c>
      <c r="BT86" s="297">
        <f>SUMIFS(領用表!$L:$L,領用表!$E:$E,$B86,領用表!$B:$B,$BR$2&amp;BT$2)</f>
        <v/>
      </c>
      <c r="BU86" s="297">
        <f>SUMIFS(領用表!$L:$L,領用表!$E:$E,$B86,領用表!$B:$B,$BR$2&amp;BU$2)</f>
        <v/>
      </c>
      <c r="BV86" s="206">
        <f>SUMIFS(領用表!$L:$L,領用表!$E:$E,$B86,領用表!$B:$B,$BR$2&amp;BV$2)</f>
        <v/>
      </c>
      <c r="BW86" s="208">
        <f>SUMIFS(領用表!$L:$L,領用表!$A:$A,BW$2,領用表!$E:$E,B86)</f>
        <v/>
      </c>
      <c r="BX86" s="206">
        <f>SUMIFS(領用表!$L:$L,領用表!$E:$E,$B86,領用表!$B:$B,BW$2&amp;BX$2)</f>
        <v/>
      </c>
      <c r="BY86" s="206">
        <f>SUMIFS(領用表!$L:$L,領用表!$E:$E,$B86,領用表!$B:$B,$BW$2&amp;BY$2)</f>
        <v/>
      </c>
      <c r="BZ86" s="206">
        <f>SUMIFS(領用表!$L:$L,領用表!$E:$E,$B86,領用表!$B:$B,$BW$2&amp;BZ$2)</f>
        <v/>
      </c>
      <c r="CA86" s="206">
        <f>SUMIFS(領用表!$L:$L,領用表!$E:$E,$B86,領用表!$B:$B,$BW$2&amp;CA$2)</f>
        <v/>
      </c>
      <c r="CB86" s="208">
        <f>SUMIFS(領用表!$L:$L,領用表!$A:$A,CB$2,領用表!$E:$E,B86)</f>
        <v/>
      </c>
      <c r="CC86" s="206">
        <f>SUMIFS(領用表!$L:$L,領用表!$E:$E,$B86,領用表!$B:$B,CB$2&amp;CC$2)</f>
        <v/>
      </c>
      <c r="CD86" s="206">
        <f>SUMIFS(領用表!$L:$L,領用表!$E:$E,$B86,領用表!$B:$B,$CB$2&amp;CD$2)</f>
        <v/>
      </c>
      <c r="CE86" s="206">
        <f>SUMIFS(領用表!$L:$L,領用表!$E:$E,$B86,領用表!$B:$B,$CB$2&amp;CE$2)</f>
        <v/>
      </c>
      <c r="CF86" s="206">
        <f>SUMIFS(領用表!$L:$L,領用表!$E:$E,$B86,領用表!$B:$B,$CB$2&amp;CF$2)</f>
        <v/>
      </c>
      <c r="CG86" s="208">
        <f>SUMIFS(領用表!$L:$L,領用表!$A:$A,CG$2,領用表!$E:$E,B86)</f>
        <v/>
      </c>
      <c r="CH86" s="206">
        <f>SUMIFS(領用表!$L:$L,領用表!$E:$E,$B86,領用表!$B:$B,CG$2&amp;CH$2)</f>
        <v/>
      </c>
      <c r="CI86" s="206">
        <f>SUMIFS(領用表!$L:$L,領用表!$E:$E,$B86,領用表!$B:$B,CG$2&amp;CI$2)</f>
        <v/>
      </c>
      <c r="CJ86" s="206">
        <f>SUMIFS(領用表!$L:$L,領用表!$E:$E,$B86,領用表!$B:$B,CG$2&amp;CJ$2)</f>
        <v/>
      </c>
      <c r="CK86" s="206">
        <f>SUMIFS(領用表!$L:$L,領用表!$E:$E,$B86,領用表!$B:$B,$CG$2&amp;CK$2)</f>
        <v/>
      </c>
      <c r="CL86" s="207">
        <f>SUM(AX86,AY86,AZ86,BA86,BB86,BC86,BH86,BM86,BR86,BW86,CB86,CG86)</f>
        <v/>
      </c>
      <c r="CM86" s="207">
        <f>AVERAGE(AX86,AY86,AZ86,BA86,BB86,BC86,BH86,BM86,BR86,BW86,CB86,CG86)</f>
        <v/>
      </c>
      <c r="CN86" s="208">
        <f>SUMIFS(領用表!$L:$L,領用表!$A:$A,CN$2,領用表!$E:$E,B86)</f>
        <v/>
      </c>
      <c r="CO86" s="206">
        <f>SUMIFS(領用表!$L:$L,領用表!$E:$E,$B86,領用表!$B:$B,CN$2&amp;CO$2)</f>
        <v/>
      </c>
      <c r="CP86" s="206">
        <f>SUMIFS(領用表!$L:$L,領用表!$E:$E,$B86,領用表!$B:$B,$CN$2&amp;CP$2)</f>
        <v/>
      </c>
      <c r="CQ86" s="206">
        <f>SUMIFS(領用表!$L:$L,領用表!$E:$E,$B86,領用表!$B:$B,$CN$2&amp;CQ$2)</f>
        <v/>
      </c>
      <c r="CR86" s="206">
        <f>SUMIFS(領用表!$L:$L,領用表!$E:$E,$B86,領用表!$B:$B,$CN$2&amp;CR$2)</f>
        <v/>
      </c>
      <c r="CS86" s="208">
        <f>SUMIFS(領用表!$L:$L,領用表!$A:$A,CS$2,領用表!$E:$E,B86)</f>
        <v/>
      </c>
      <c r="CT86" s="206">
        <f>SUMIFS(領用表!$L:$L,領用表!$E:$E,$B86,領用表!$B:$B,CS$2&amp;CT$2)</f>
        <v/>
      </c>
      <c r="CU86" s="206">
        <f>SUMIFS(領用表!$L:$L,領用表!$E:$E,$B86,領用表!$B:$B,$CS$2&amp;CU$2)</f>
        <v/>
      </c>
      <c r="CV86" s="206">
        <f>SUMIFS(領用表!$L:$L,領用表!$E:$E,$B86,領用表!$B:$B,$CS$2&amp;CV$2)</f>
        <v/>
      </c>
      <c r="CW86" s="206">
        <f>SUMIFS(領用表!$L:$L,領用表!$E:$E,$B86,領用表!$B:$B,$CS$2&amp;CW$2)</f>
        <v/>
      </c>
      <c r="CX86" s="206">
        <f>SUMIFS(領用表!$L:$L,領用表!$E:$E,$B86,領用表!$B:$B,$CS$2&amp;CX$2)</f>
        <v/>
      </c>
      <c r="CY86" s="208">
        <f>SUMIFS(領用表!$L:$L,領用表!$A:$A,CY$2,領用表!$E:$E,B86)</f>
        <v/>
      </c>
      <c r="CZ86" s="206">
        <f>SUMIFS(領用表!$L:$L,領用表!$E:$E,$B86,領用表!$B:$B,CY$2&amp;CZ$2)</f>
        <v/>
      </c>
      <c r="DA86" s="206">
        <f>SUMIFS(領用表!$L:$L,領用表!$E:$E,$B86,領用表!$B:$B,$CY$2&amp;DA$2)</f>
        <v/>
      </c>
      <c r="DB86" s="206">
        <f>SUMIFS(領用表!$L:$L,領用表!$E:$E,$B86,領用表!$B:$B,$CY$2&amp;DB$2)</f>
        <v/>
      </c>
      <c r="DC86" s="206">
        <f>SUMIFS(領用表!$L:$L,領用表!$E:$E,$B86,領用表!$B:$B,$CY$2&amp;DC$2)</f>
        <v/>
      </c>
      <c r="DD86" s="206">
        <f>SUMIFS(領用表!$L:$L,領用表!$E:$E,$B86,領用表!$B:$B,$CY$2&amp;DD$2)</f>
        <v/>
      </c>
      <c r="DE86" s="208">
        <f>SUMIFS(領用表!$L:$L,領用表!$A:$A,DE$2,領用表!$E:$E,B86)</f>
        <v/>
      </c>
      <c r="DF86" s="206">
        <f>SUMIFS(領用表!$L:$L,領用表!$E:$E,$B86,領用表!$B:$B,DE$2&amp;DF$2)</f>
        <v/>
      </c>
      <c r="DG86" s="206">
        <f>SUMIFS(領用表!$L:$L,領用表!$E:$E,$B86,領用表!$B:$B,$DE$2&amp;DG$2)</f>
        <v/>
      </c>
      <c r="DH86" s="206">
        <f>SUMIFS(領用表!$L:$L,領用表!$E:$E,$B86,領用表!$B:$B,$DE$2&amp;DH$2)</f>
        <v/>
      </c>
      <c r="DI86" s="206">
        <f>SUMIFS(領用表!$L:$L,領用表!$E:$E,$B86,領用表!$B:$B,$DE$2&amp;DI$2)</f>
        <v/>
      </c>
      <c r="DJ86" s="206">
        <f>SUMIFS(領用表!$L:$L,領用表!$E:$E,$B86,領用表!$B:$B,$DE$2&amp;DJ$2)</f>
        <v/>
      </c>
      <c r="DK86" s="208">
        <f>SUMIFS(領用表!$L:$L,領用表!$A:$A,DK$2,領用表!$E:$E,$B86)</f>
        <v/>
      </c>
      <c r="DL86" s="206">
        <f>SUMIFS(領用表!$L:$L,領用表!$E:$E,$B86,領用表!$B:$B,DK$2&amp;DL$2)</f>
        <v/>
      </c>
      <c r="DM86" s="206">
        <f>SUMIFS(領用表!$L:$L,領用表!$E:$E,$B86,領用表!$B:$B,$DK$2&amp;DM$2)</f>
        <v/>
      </c>
      <c r="DN86" s="206">
        <f>SUMIFS(領用表!$L:$L,領用表!$E:$E,$B86,領用表!$B:$B,$DK$2&amp;DN$2)</f>
        <v/>
      </c>
      <c r="DO86" s="206">
        <f>SUMIFS(領用表!$L:$L,領用表!$E:$E,$B86,領用表!$B:$B,$DK$2&amp;DO$2)</f>
        <v/>
      </c>
      <c r="DP86" s="206">
        <f>SUMIFS(領用表!$L:$L,領用表!$E:$E,$B86,領用表!$B:$B,$DK$2&amp;DP$2)</f>
        <v/>
      </c>
      <c r="DQ86" s="208" t="n"/>
      <c r="DR86" s="206" t="n"/>
      <c r="DS86" s="206" t="n"/>
      <c r="DT86" s="206" t="n"/>
      <c r="DU86" s="206" t="n"/>
      <c r="DV86" s="206" t="n"/>
      <c r="DW86" s="206">
        <f>SUM(CN86,CS86,CY86,DE86,DK86,DQ86)</f>
        <v/>
      </c>
      <c r="DX86" s="206">
        <f>AVERAGEA(CN86,CS86,CY86,DE86,DK86,DQ86)</f>
        <v/>
      </c>
      <c r="DY86" s="206">
        <f>SUM(DZ86:EC86)</f>
        <v/>
      </c>
      <c r="DZ86" s="206" t="n">
        <v>0</v>
      </c>
      <c r="EA86" s="206" t="n">
        <v>2</v>
      </c>
      <c r="EB86" s="206" t="n">
        <v>0</v>
      </c>
      <c r="EC86" s="206" t="n">
        <v>2</v>
      </c>
      <c r="ED86" s="258" t="n">
        <v>10</v>
      </c>
      <c r="EE86" s="283" t="n"/>
      <c r="EF86" s="283" t="n"/>
      <c r="EG86" s="283" t="n"/>
      <c r="EH86" s="136" t="n"/>
      <c r="EI86" s="289" t="n"/>
      <c r="EJ86" s="118">
        <f>IFERROR(VLOOKUP(A86,站前4樓!A:BF,57,0),0)</f>
        <v/>
      </c>
      <c r="EK86" s="213">
        <f>IFERROR(VLOOKUP(A86,站前11樓!A:BE,57,0),0)</f>
        <v/>
      </c>
      <c r="EL86" s="118">
        <f>IFERROR(VLOOKUP(A86,忠孝7樓!A:N,57,0),0)</f>
        <v/>
      </c>
      <c r="EM86" s="118">
        <f>IFERROR(VLOOKUP(A86,忠孝國際醫學3樓!A:L,57,0),0)</f>
        <v/>
      </c>
      <c r="EN86" s="118">
        <f>SUM(ED86:EG86)</f>
        <v/>
      </c>
      <c r="EP86" s="118" t="n">
        <v>28</v>
      </c>
      <c r="EQ86" s="118" t="n">
        <v>5</v>
      </c>
    </row>
    <row r="87" ht="15.75" customFormat="1" customHeight="1" s="118">
      <c r="A87" s="136" t="inlineStr">
        <is>
          <t>MB3ME110008A</t>
        </is>
      </c>
      <c r="B87" s="118" t="n">
        <v>6200013</v>
      </c>
      <c r="C87" s="135" t="inlineStr">
        <is>
          <t>猛健樂2.5mg</t>
        </is>
      </c>
      <c r="D87" s="285" t="n">
        <v>1</v>
      </c>
      <c r="E87" s="198" t="inlineStr">
        <is>
          <t>支</t>
        </is>
      </c>
      <c r="F87" s="225">
        <f>SUMIF(站前4樓!B:B,B87,站前4樓!F:F)</f>
        <v/>
      </c>
      <c r="G87" s="225">
        <f>SUMIF(站前11樓!B:B,B87,站前11樓!F:F)</f>
        <v/>
      </c>
      <c r="H87" s="225">
        <f>SUMIF(忠孝7樓!B:B,B87,忠孝7樓!G:G)</f>
        <v/>
      </c>
      <c r="I87" s="225">
        <f>SUMIF(忠孝國際醫學3樓!B:B,B87,忠孝國際醫學3樓!G:G)</f>
        <v/>
      </c>
      <c r="J87" s="225">
        <f>SUMIF(忠孝健康7樓!B:B,B87,忠孝健康7樓!G:G)</f>
        <v/>
      </c>
      <c r="K87" s="283" t="n"/>
      <c r="L87" s="283" t="n"/>
      <c r="M87" s="283" t="n"/>
      <c r="N87" s="283" t="n"/>
      <c r="O87" s="283" t="n"/>
      <c r="P87" s="283" t="n"/>
      <c r="Q87" s="283" t="n"/>
      <c r="R87" s="283" t="n"/>
      <c r="S87" s="283" t="n"/>
      <c r="T87" s="283" t="n"/>
      <c r="U87" s="283" t="n"/>
      <c r="V87" s="283" t="n"/>
      <c r="W87" s="283" t="n"/>
      <c r="X87" s="283" t="n"/>
      <c r="Y87" s="283" t="n"/>
      <c r="Z87" s="283" t="n"/>
      <c r="AA87" s="283" t="n"/>
      <c r="AB87" s="283" t="n"/>
      <c r="AC87" s="283" t="n"/>
      <c r="AD87" s="283" t="n"/>
      <c r="AE87" s="283" t="n"/>
      <c r="AF87" s="283" t="n"/>
      <c r="AG87" s="283" t="n"/>
      <c r="AH87" s="283" t="n"/>
      <c r="AI87" s="283" t="n"/>
      <c r="AJ87" s="201" t="n"/>
      <c r="AK87" s="201" t="n"/>
      <c r="AL87" s="201" t="n"/>
      <c r="AM87" s="201" t="n"/>
      <c r="AN87" s="201" t="n"/>
      <c r="AO87" s="201" t="n"/>
      <c r="AP87" s="201" t="n"/>
      <c r="AQ87" s="201" t="n"/>
      <c r="AR87" s="201" t="n"/>
      <c r="AS87" s="201" t="n"/>
      <c r="AT87" s="201" t="n"/>
      <c r="AU87" s="201" t="n"/>
      <c r="AV87" s="283" t="n"/>
      <c r="AW87" s="286" t="n"/>
      <c r="AX87" s="201" t="inlineStr">
        <is>
          <t>-</t>
        </is>
      </c>
      <c r="AY87" s="201" t="inlineStr">
        <is>
          <t>-</t>
        </is>
      </c>
      <c r="AZ87" s="201" t="inlineStr">
        <is>
          <t>-</t>
        </is>
      </c>
      <c r="BA87" s="201" t="inlineStr">
        <is>
          <t>-</t>
        </is>
      </c>
      <c r="BB87" s="201" t="inlineStr">
        <is>
          <t>-</t>
        </is>
      </c>
      <c r="BC87" s="203">
        <f>SUMIFS(領用表!$L:$L,領用表!$A:$A,BC$2,領用表!$E:$E,B87)</f>
        <v/>
      </c>
      <c r="BD87" s="296">
        <f>SUMIFS(領用表!$L:$L,領用表!$E:$E,$B87,領用表!$B:$B,BC$2&amp;BD$2)</f>
        <v/>
      </c>
      <c r="BE87" s="296">
        <f>SUMIFS(領用表!$L:$L,領用表!$E:$E,$B87,領用表!$B:$B,$BC$2&amp;BE$2)</f>
        <v/>
      </c>
      <c r="BF87" s="296">
        <f>SUMIFS(領用表!$L:$L,領用表!$E:$E,$B87,領用表!$B:$B,$BC$2&amp;BF$2)</f>
        <v/>
      </c>
      <c r="BG87" s="206">
        <f>SUMIFS(領用表!$L:$L,領用表!$E:$E,$B87,領用表!$B:$B,$BC$2&amp;BG$2)</f>
        <v/>
      </c>
      <c r="BH87" s="203">
        <f>SUMIFS(領用表!$L:$L,領用表!$A:$A,BH$2,領用表!$E:$E,B87)</f>
        <v/>
      </c>
      <c r="BI87" s="260">
        <f>SUMIFS(領用表!$L:$L,領用表!$E:$E,$B87,領用表!$B:$B,BH$2&amp;BI$2)</f>
        <v/>
      </c>
      <c r="BJ87" s="260">
        <f>SUMIFS(領用表!$L:$L,領用表!$E:$E,$B87,領用表!$B:$B,$BH$2&amp;BJ$2)</f>
        <v/>
      </c>
      <c r="BK87" s="260">
        <f>SUMIFS(領用表!$L:$L,領用表!$E:$E,$B87,領用表!$B:$B,$BH$2&amp;BK$2)</f>
        <v/>
      </c>
      <c r="BL87" s="260">
        <f>SUMIFS(領用表!$L:$L,領用表!$E:$E,$B87,領用表!$B:$B,$BH$2&amp;BL$2)</f>
        <v/>
      </c>
      <c r="BM87" s="203">
        <f>SUMIFS(領用表!$L:$L,領用表!$A:$A,BM$2,領用表!$E:$E,B87)</f>
        <v/>
      </c>
      <c r="BN87" s="206">
        <f>SUMIFS(領用表!$L:$L,領用表!$E:$E,$B87,領用表!$B:$B,BM$2&amp;BN$2)</f>
        <v/>
      </c>
      <c r="BO87" s="206">
        <f>SUMIFS(領用表!$L:$L,領用表!$E:$E,$B87,領用表!$B:$B,$BM$2&amp;BO$2)</f>
        <v/>
      </c>
      <c r="BP87" s="297">
        <f>SUMIFS(領用表!$L:$L,領用表!$E:$E,$B87,領用表!$B:$B,$BM$2&amp;BP$2)</f>
        <v/>
      </c>
      <c r="BQ87" s="206">
        <f>SUMIFS(領用表!$L:$L,領用表!$E:$E,$B87,領用表!$B:$B,$BM$2&amp;BQ$2)</f>
        <v/>
      </c>
      <c r="BR87" s="203">
        <f>SUMIFS(領用表!$L:$L,領用表!$A:$A,BR$2,領用表!$E:$E,B87)</f>
        <v/>
      </c>
      <c r="BS87" s="297">
        <f>SUMIFS(領用表!$L:$L,領用表!$E:$E,$B87,領用表!$B:$B,BR$2&amp;BS$2)</f>
        <v/>
      </c>
      <c r="BT87" s="297">
        <f>SUMIFS(領用表!$L:$L,領用表!$E:$E,$B87,領用表!$B:$B,$BR$2&amp;BT$2)</f>
        <v/>
      </c>
      <c r="BU87" s="297">
        <f>SUMIFS(領用表!$L:$L,領用表!$E:$E,$B87,領用表!$B:$B,$BR$2&amp;BU$2)</f>
        <v/>
      </c>
      <c r="BV87" s="206">
        <f>SUMIFS(領用表!$L:$L,領用表!$E:$E,$B87,領用表!$B:$B,$BR$2&amp;BV$2)</f>
        <v/>
      </c>
      <c r="BW87" s="208">
        <f>SUMIFS(領用表!$L:$L,領用表!$A:$A,BW$2,領用表!$E:$E,B87)</f>
        <v/>
      </c>
      <c r="BX87" s="206">
        <f>SUMIFS(領用表!$L:$L,領用表!$E:$E,$B87,領用表!$B:$B,BW$2&amp;BX$2)</f>
        <v/>
      </c>
      <c r="BY87" s="206">
        <f>SUMIFS(領用表!$L:$L,領用表!$E:$E,$B87,領用表!$B:$B,$BW$2&amp;BY$2)</f>
        <v/>
      </c>
      <c r="BZ87" s="206">
        <f>SUMIFS(領用表!$L:$L,領用表!$E:$E,$B87,領用表!$B:$B,$BW$2&amp;BZ$2)</f>
        <v/>
      </c>
      <c r="CA87" s="206">
        <f>SUMIFS(領用表!$L:$L,領用表!$E:$E,$B87,領用表!$B:$B,$BW$2&amp;CA$2)</f>
        <v/>
      </c>
      <c r="CB87" s="208">
        <f>SUMIFS(領用表!$L:$L,領用表!$A:$A,CB$2,領用表!$E:$E,B87)</f>
        <v/>
      </c>
      <c r="CC87" s="206">
        <f>SUMIFS(領用表!$L:$L,領用表!$E:$E,$B87,領用表!$B:$B,CB$2&amp;CC$2)</f>
        <v/>
      </c>
      <c r="CD87" s="206">
        <f>SUMIFS(領用表!$L:$L,領用表!$E:$E,$B87,領用表!$B:$B,$CB$2&amp;CD$2)</f>
        <v/>
      </c>
      <c r="CE87" s="206">
        <f>SUMIFS(領用表!$L:$L,領用表!$E:$E,$B87,領用表!$B:$B,$CB$2&amp;CE$2)</f>
        <v/>
      </c>
      <c r="CF87" s="206">
        <f>SUMIFS(領用表!$L:$L,領用表!$E:$E,$B87,領用表!$B:$B,$CB$2&amp;CF$2)</f>
        <v/>
      </c>
      <c r="CG87" s="208">
        <f>SUMIFS(領用表!$L:$L,領用表!$A:$A,CG$2,領用表!$E:$E,B87)</f>
        <v/>
      </c>
      <c r="CH87" s="206">
        <f>SUMIFS(領用表!$L:$L,領用表!$E:$E,$B87,領用表!$B:$B,CG$2&amp;CH$2)</f>
        <v/>
      </c>
      <c r="CI87" s="206">
        <f>SUMIFS(領用表!$L:$L,領用表!$E:$E,$B87,領用表!$B:$B,CG$2&amp;CI$2)</f>
        <v/>
      </c>
      <c r="CJ87" s="206">
        <f>SUMIFS(領用表!$L:$L,領用表!$E:$E,$B87,領用表!$B:$B,CG$2&amp;CJ$2)</f>
        <v/>
      </c>
      <c r="CK87" s="206">
        <f>SUMIFS(領用表!$L:$L,領用表!$E:$E,$B87,領用表!$B:$B,$CG$2&amp;CK$2)</f>
        <v/>
      </c>
      <c r="CL87" s="207">
        <f>SUM(AX87,AY87,AZ87,BA87,BB87,BC87,BH87,BM87,BR87,BW87,CB87,CG87)</f>
        <v/>
      </c>
      <c r="CM87" s="207">
        <f>AVERAGE(AX87,AY87,AZ87,BA87,BB87,BC87,BH87,BM87,BR87,BW87,CB87,CG87)</f>
        <v/>
      </c>
      <c r="CN87" s="208">
        <f>SUMIFS(領用表!$L:$L,領用表!$A:$A,CN$2,領用表!$E:$E,B87)</f>
        <v/>
      </c>
      <c r="CO87" s="206">
        <f>SUMIFS(領用表!$L:$L,領用表!$E:$E,$B87,領用表!$B:$B,CN$2&amp;CO$2)</f>
        <v/>
      </c>
      <c r="CP87" s="206">
        <f>SUMIFS(領用表!$L:$L,領用表!$E:$E,$B87,領用表!$B:$B,$CN$2&amp;CP$2)</f>
        <v/>
      </c>
      <c r="CQ87" s="206">
        <f>SUMIFS(領用表!$L:$L,領用表!$E:$E,$B87,領用表!$B:$B,$CN$2&amp;CQ$2)</f>
        <v/>
      </c>
      <c r="CR87" s="206">
        <f>SUMIFS(領用表!$L:$L,領用表!$E:$E,$B87,領用表!$B:$B,$CN$2&amp;CR$2)</f>
        <v/>
      </c>
      <c r="CS87" s="208">
        <f>SUMIFS(領用表!$L:$L,領用表!$A:$A,CS$2,領用表!$E:$E,B87)</f>
        <v/>
      </c>
      <c r="CT87" s="206">
        <f>SUMIFS(領用表!$L:$L,領用表!$E:$E,$B87,領用表!$B:$B,CS$2&amp;CT$2)</f>
        <v/>
      </c>
      <c r="CU87" s="206">
        <f>SUMIFS(領用表!$L:$L,領用表!$E:$E,$B87,領用表!$B:$B,$CS$2&amp;CU$2)</f>
        <v/>
      </c>
      <c r="CV87" s="206">
        <f>SUMIFS(領用表!$L:$L,領用表!$E:$E,$B87,領用表!$B:$B,$CS$2&amp;CV$2)</f>
        <v/>
      </c>
      <c r="CW87" s="206">
        <f>SUMIFS(領用表!$L:$L,領用表!$E:$E,$B87,領用表!$B:$B,$CS$2&amp;CW$2)</f>
        <v/>
      </c>
      <c r="CX87" s="206">
        <f>SUMIFS(領用表!$L:$L,領用表!$E:$E,$B87,領用表!$B:$B,$CS$2&amp;CX$2)</f>
        <v/>
      </c>
      <c r="CY87" s="208">
        <f>SUMIFS(領用表!$L:$L,領用表!$A:$A,CY$2,領用表!$E:$E,B87)</f>
        <v/>
      </c>
      <c r="CZ87" s="206">
        <f>SUMIFS(領用表!$L:$L,領用表!$E:$E,$B87,領用表!$B:$B,CY$2&amp;CZ$2)</f>
        <v/>
      </c>
      <c r="DA87" s="206">
        <f>SUMIFS(領用表!$L:$L,領用表!$E:$E,$B87,領用表!$B:$B,$CY$2&amp;DA$2)</f>
        <v/>
      </c>
      <c r="DB87" s="206">
        <f>SUMIFS(領用表!$L:$L,領用表!$E:$E,$B87,領用表!$B:$B,$CY$2&amp;DB$2)</f>
        <v/>
      </c>
      <c r="DC87" s="206">
        <f>SUMIFS(領用表!$L:$L,領用表!$E:$E,$B87,領用表!$B:$B,$CY$2&amp;DC$2)</f>
        <v/>
      </c>
      <c r="DD87" s="206">
        <f>SUMIFS(領用表!$L:$L,領用表!$E:$E,$B87,領用表!$B:$B,$CY$2&amp;DD$2)</f>
        <v/>
      </c>
      <c r="DE87" s="208">
        <f>SUMIFS(領用表!$L:$L,領用表!$A:$A,DE$2,領用表!$E:$E,B87)</f>
        <v/>
      </c>
      <c r="DF87" s="206">
        <f>SUMIFS(領用表!$L:$L,領用表!$E:$E,$B87,領用表!$B:$B,DE$2&amp;DF$2)</f>
        <v/>
      </c>
      <c r="DG87" s="206">
        <f>SUMIFS(領用表!$L:$L,領用表!$E:$E,$B87,領用表!$B:$B,$DE$2&amp;DG$2)</f>
        <v/>
      </c>
      <c r="DH87" s="206">
        <f>SUMIFS(領用表!$L:$L,領用表!$E:$E,$B87,領用表!$B:$B,$DE$2&amp;DH$2)</f>
        <v/>
      </c>
      <c r="DI87" s="206">
        <f>SUMIFS(領用表!$L:$L,領用表!$E:$E,$B87,領用表!$B:$B,$DE$2&amp;DI$2)</f>
        <v/>
      </c>
      <c r="DJ87" s="206">
        <f>SUMIFS(領用表!$L:$L,領用表!$E:$E,$B87,領用表!$B:$B,$DE$2&amp;DJ$2)</f>
        <v/>
      </c>
      <c r="DK87" s="208">
        <f>SUMIFS(領用表!$L:$L,領用表!$A:$A,DK$2,領用表!$E:$E,$B87)</f>
        <v/>
      </c>
      <c r="DL87" s="206">
        <f>SUMIFS(領用表!$L:$L,領用表!$E:$E,$B87,領用表!$B:$B,DK$2&amp;DL$2)</f>
        <v/>
      </c>
      <c r="DM87" s="206">
        <f>SUMIFS(領用表!$L:$L,領用表!$E:$E,$B87,領用表!$B:$B,$DK$2&amp;DM$2)</f>
        <v/>
      </c>
      <c r="DN87" s="206">
        <f>SUMIFS(領用表!$L:$L,領用表!$E:$E,$B87,領用表!$B:$B,$DK$2&amp;DN$2)</f>
        <v/>
      </c>
      <c r="DO87" s="206">
        <f>SUMIFS(領用表!$L:$L,領用表!$E:$E,$B87,領用表!$B:$B,$DK$2&amp;DO$2)</f>
        <v/>
      </c>
      <c r="DP87" s="206">
        <f>SUMIFS(領用表!$L:$L,領用表!$E:$E,$B87,領用表!$B:$B,$DK$2&amp;DP$2)</f>
        <v/>
      </c>
      <c r="DQ87" s="208" t="n"/>
      <c r="DR87" s="206" t="n"/>
      <c r="DS87" s="206" t="n"/>
      <c r="DT87" s="206" t="n"/>
      <c r="DU87" s="206" t="n"/>
      <c r="DV87" s="206" t="n"/>
      <c r="DW87" s="206">
        <f>SUM(CN87,CS87,CY87,DE87,DK87,DQ87)</f>
        <v/>
      </c>
      <c r="DX87" s="206">
        <f>AVERAGEA(CN87,CS87,CY87,DE87,DK87,DQ87)</f>
        <v/>
      </c>
      <c r="DY87" s="206">
        <f>SUM(DZ87:EC87)</f>
        <v/>
      </c>
      <c r="DZ87" s="206" t="n">
        <v>0</v>
      </c>
      <c r="EA87" s="206" t="n">
        <v>8</v>
      </c>
      <c r="EB87" s="206" t="n">
        <v>0</v>
      </c>
      <c r="EC87" s="206" t="n">
        <v>10</v>
      </c>
      <c r="ED87" s="258" t="n">
        <v>10</v>
      </c>
      <c r="EE87" s="283" t="n"/>
      <c r="EF87" s="283" t="n"/>
      <c r="EG87" s="299" t="n"/>
      <c r="EH87" s="136" t="n"/>
      <c r="EI87" s="289" t="n"/>
      <c r="EJ87" s="118">
        <f>IFERROR(VLOOKUP(A87,站前4樓!A:BF,57,0),0)</f>
        <v/>
      </c>
      <c r="EK87" s="213">
        <f>IFERROR(VLOOKUP(A87,站前11樓!A:BE,57,0),0)</f>
        <v/>
      </c>
      <c r="EL87" s="118">
        <f>IFERROR(VLOOKUP(A87,忠孝7樓!A:N,57,0),0)</f>
        <v/>
      </c>
      <c r="EM87" s="118">
        <f>IFERROR(VLOOKUP(A87,忠孝國際醫學3樓!A:L,57,0),0)</f>
        <v/>
      </c>
      <c r="EN87" s="118">
        <f>SUM(ED87:EG87)</f>
        <v/>
      </c>
      <c r="EP87" s="118" t="n">
        <v>38</v>
      </c>
      <c r="EQ87" s="118" t="n">
        <v>3</v>
      </c>
    </row>
    <row r="88" ht="15.75" customFormat="1" customHeight="1" s="118">
      <c r="A88" s="136" t="inlineStr">
        <is>
          <t>MB3ME110009A</t>
        </is>
      </c>
      <c r="B88" s="118" t="n">
        <v>6200014</v>
      </c>
      <c r="C88" s="135" t="inlineStr">
        <is>
          <t>猛健樂5.0mg</t>
        </is>
      </c>
      <c r="D88" s="285" t="n">
        <v>1</v>
      </c>
      <c r="E88" s="198" t="inlineStr">
        <is>
          <t>支</t>
        </is>
      </c>
      <c r="F88" s="225">
        <f>SUMIF(站前4樓!B:B,B88,站前4樓!F:F)</f>
        <v/>
      </c>
      <c r="G88" s="225">
        <f>SUMIF(站前11樓!B:B,B88,站前11樓!F:F)</f>
        <v/>
      </c>
      <c r="H88" s="225">
        <f>SUMIF(忠孝7樓!B:B,B88,忠孝7樓!G:G)</f>
        <v/>
      </c>
      <c r="I88" s="225">
        <f>SUMIF(忠孝國際醫學3樓!B:B,B88,忠孝國際醫學3樓!G:G)</f>
        <v/>
      </c>
      <c r="J88" s="225">
        <f>SUMIF(忠孝健康7樓!B:B,B88,忠孝健康7樓!G:G)</f>
        <v/>
      </c>
      <c r="K88" s="283" t="n"/>
      <c r="L88" s="283" t="n"/>
      <c r="M88" s="283" t="n"/>
      <c r="N88" s="283" t="n"/>
      <c r="O88" s="283" t="n"/>
      <c r="P88" s="283" t="n"/>
      <c r="Q88" s="283" t="n"/>
      <c r="R88" s="283" t="n"/>
      <c r="S88" s="283" t="n"/>
      <c r="T88" s="283" t="n"/>
      <c r="U88" s="283" t="n"/>
      <c r="V88" s="283" t="n"/>
      <c r="W88" s="283" t="n"/>
      <c r="X88" s="283" t="n"/>
      <c r="Y88" s="283" t="n"/>
      <c r="Z88" s="283" t="n"/>
      <c r="AA88" s="283" t="n"/>
      <c r="AB88" s="283" t="n"/>
      <c r="AC88" s="283" t="n"/>
      <c r="AD88" s="283" t="n"/>
      <c r="AE88" s="283" t="n"/>
      <c r="AF88" s="283" t="n"/>
      <c r="AG88" s="283" t="n"/>
      <c r="AH88" s="283" t="n"/>
      <c r="AI88" s="283" t="n"/>
      <c r="AJ88" s="201" t="n"/>
      <c r="AK88" s="201" t="n"/>
      <c r="AL88" s="201" t="n"/>
      <c r="AM88" s="201" t="n"/>
      <c r="AN88" s="201" t="n"/>
      <c r="AO88" s="201" t="n"/>
      <c r="AP88" s="201" t="n"/>
      <c r="AQ88" s="201" t="n"/>
      <c r="AR88" s="201" t="n"/>
      <c r="AS88" s="201" t="n"/>
      <c r="AT88" s="201" t="n"/>
      <c r="AU88" s="201" t="n"/>
      <c r="AV88" s="283" t="n"/>
      <c r="AW88" s="286" t="n"/>
      <c r="AX88" s="201" t="inlineStr">
        <is>
          <t>-</t>
        </is>
      </c>
      <c r="AY88" s="201" t="inlineStr">
        <is>
          <t>-</t>
        </is>
      </c>
      <c r="AZ88" s="201" t="inlineStr">
        <is>
          <t>-</t>
        </is>
      </c>
      <c r="BA88" s="201" t="inlineStr">
        <is>
          <t>-</t>
        </is>
      </c>
      <c r="BB88" s="201" t="inlineStr">
        <is>
          <t>-</t>
        </is>
      </c>
      <c r="BC88" s="203">
        <f>SUMIFS(領用表!$L:$L,領用表!$A:$A,BC$2,領用表!$E:$E,B88)</f>
        <v/>
      </c>
      <c r="BD88" s="296">
        <f>SUMIFS(領用表!$L:$L,領用表!$E:$E,$B88,領用表!$B:$B,BC$2&amp;BD$2)</f>
        <v/>
      </c>
      <c r="BE88" s="296">
        <f>SUMIFS(領用表!$L:$L,領用表!$E:$E,$B88,領用表!$B:$B,$BC$2&amp;BE$2)</f>
        <v/>
      </c>
      <c r="BF88" s="296">
        <f>SUMIFS(領用表!$L:$L,領用表!$E:$E,$B88,領用表!$B:$B,$BC$2&amp;BF$2)</f>
        <v/>
      </c>
      <c r="BG88" s="206">
        <f>SUMIFS(領用表!$L:$L,領用表!$E:$E,$B88,領用表!$B:$B,$BC$2&amp;BG$2)</f>
        <v/>
      </c>
      <c r="BH88" s="203">
        <f>SUMIFS(領用表!$L:$L,領用表!$A:$A,BH$2,領用表!$E:$E,B88)</f>
        <v/>
      </c>
      <c r="BI88" s="260">
        <f>SUMIFS(領用表!$L:$L,領用表!$E:$E,$B88,領用表!$B:$B,BH$2&amp;BI$2)</f>
        <v/>
      </c>
      <c r="BJ88" s="260">
        <f>SUMIFS(領用表!$L:$L,領用表!$E:$E,$B88,領用表!$B:$B,$BH$2&amp;BJ$2)</f>
        <v/>
      </c>
      <c r="BK88" s="260">
        <f>SUMIFS(領用表!$L:$L,領用表!$E:$E,$B88,領用表!$B:$B,$BH$2&amp;BK$2)</f>
        <v/>
      </c>
      <c r="BL88" s="260">
        <f>SUMIFS(領用表!$L:$L,領用表!$E:$E,$B88,領用表!$B:$B,$BH$2&amp;BL$2)</f>
        <v/>
      </c>
      <c r="BM88" s="203">
        <f>SUMIFS(領用表!$L:$L,領用表!$A:$A,BM$2,領用表!$E:$E,B88)</f>
        <v/>
      </c>
      <c r="BN88" s="206">
        <f>SUMIFS(領用表!$L:$L,領用表!$E:$E,$B88,領用表!$B:$B,BM$2&amp;BN$2)</f>
        <v/>
      </c>
      <c r="BO88" s="206">
        <f>SUMIFS(領用表!$L:$L,領用表!$E:$E,$B88,領用表!$B:$B,$BM$2&amp;BO$2)</f>
        <v/>
      </c>
      <c r="BP88" s="297">
        <f>SUMIFS(領用表!$L:$L,領用表!$E:$E,$B88,領用表!$B:$B,$BM$2&amp;BP$2)</f>
        <v/>
      </c>
      <c r="BQ88" s="206">
        <f>SUMIFS(領用表!$L:$L,領用表!$E:$E,$B88,領用表!$B:$B,$BM$2&amp;BQ$2)</f>
        <v/>
      </c>
      <c r="BR88" s="203">
        <f>SUMIFS(領用表!$L:$L,領用表!$A:$A,BR$2,領用表!$E:$E,B88)</f>
        <v/>
      </c>
      <c r="BS88" s="297">
        <f>SUMIFS(領用表!$L:$L,領用表!$E:$E,$B88,領用表!$B:$B,BR$2&amp;BS$2)</f>
        <v/>
      </c>
      <c r="BT88" s="297">
        <f>SUMIFS(領用表!$L:$L,領用表!$E:$E,$B88,領用表!$B:$B,$BR$2&amp;BT$2)</f>
        <v/>
      </c>
      <c r="BU88" s="297">
        <f>SUMIFS(領用表!$L:$L,領用表!$E:$E,$B88,領用表!$B:$B,$BR$2&amp;BU$2)</f>
        <v/>
      </c>
      <c r="BV88" s="206">
        <f>SUMIFS(領用表!$L:$L,領用表!$E:$E,$B88,領用表!$B:$B,$BR$2&amp;BV$2)</f>
        <v/>
      </c>
      <c r="BW88" s="208">
        <f>SUMIFS(領用表!$L:$L,領用表!$A:$A,BW$2,領用表!$E:$E,B88)</f>
        <v/>
      </c>
      <c r="BX88" s="206">
        <f>SUMIFS(領用表!$L:$L,領用表!$E:$E,$B88,領用表!$B:$B,BW$2&amp;BX$2)</f>
        <v/>
      </c>
      <c r="BY88" s="206">
        <f>SUMIFS(領用表!$L:$L,領用表!$E:$E,$B88,領用表!$B:$B,$BW$2&amp;BY$2)</f>
        <v/>
      </c>
      <c r="BZ88" s="206">
        <f>SUMIFS(領用表!$L:$L,領用表!$E:$E,$B88,領用表!$B:$B,$BW$2&amp;BZ$2)</f>
        <v/>
      </c>
      <c r="CA88" s="206">
        <f>SUMIFS(領用表!$L:$L,領用表!$E:$E,$B88,領用表!$B:$B,$BW$2&amp;CA$2)</f>
        <v/>
      </c>
      <c r="CB88" s="208">
        <f>SUMIFS(領用表!$L:$L,領用表!$A:$A,CB$2,領用表!$E:$E,B88)</f>
        <v/>
      </c>
      <c r="CC88" s="206">
        <f>SUMIFS(領用表!$L:$L,領用表!$E:$E,$B88,領用表!$B:$B,CB$2&amp;CC$2)</f>
        <v/>
      </c>
      <c r="CD88" s="206">
        <f>SUMIFS(領用表!$L:$L,領用表!$E:$E,$B88,領用表!$B:$B,$CB$2&amp;CD$2)</f>
        <v/>
      </c>
      <c r="CE88" s="206">
        <f>SUMIFS(領用表!$L:$L,領用表!$E:$E,$B88,領用表!$B:$B,$CB$2&amp;CE$2)</f>
        <v/>
      </c>
      <c r="CF88" s="206">
        <f>SUMIFS(領用表!$L:$L,領用表!$E:$E,$B88,領用表!$B:$B,$CB$2&amp;CF$2)</f>
        <v/>
      </c>
      <c r="CG88" s="208">
        <f>SUMIFS(領用表!$L:$L,領用表!$A:$A,CG$2,領用表!$E:$E,B88)</f>
        <v/>
      </c>
      <c r="CH88" s="206">
        <f>SUMIFS(領用表!$L:$L,領用表!$E:$E,$B88,領用表!$B:$B,CG$2&amp;CH$2)</f>
        <v/>
      </c>
      <c r="CI88" s="206">
        <f>SUMIFS(領用表!$L:$L,領用表!$E:$E,$B88,領用表!$B:$B,CG$2&amp;CI$2)</f>
        <v/>
      </c>
      <c r="CJ88" s="206">
        <f>SUMIFS(領用表!$L:$L,領用表!$E:$E,$B88,領用表!$B:$B,CG$2&amp;CJ$2)</f>
        <v/>
      </c>
      <c r="CK88" s="206">
        <f>SUMIFS(領用表!$L:$L,領用表!$E:$E,$B88,領用表!$B:$B,$CG$2&amp;CK$2)</f>
        <v/>
      </c>
      <c r="CL88" s="207">
        <f>SUM(AX88,AY88,AZ88,BA88,BB88,BC88,BH88,BM88,BR88,BW88,CB88,CG88)</f>
        <v/>
      </c>
      <c r="CM88" s="207">
        <f>AVERAGE(AX88,AY88,AZ88,BA88,BB88,BC88,BH88,BM88,BR88,BW88,CB88,CG88)</f>
        <v/>
      </c>
      <c r="CN88" s="208">
        <f>SUMIFS(領用表!$L:$L,領用表!$A:$A,CN$2,領用表!$E:$E,B88)</f>
        <v/>
      </c>
      <c r="CO88" s="206">
        <f>SUMIFS(領用表!$L:$L,領用表!$E:$E,$B88,領用表!$B:$B,CN$2&amp;CO$2)</f>
        <v/>
      </c>
      <c r="CP88" s="206">
        <f>SUMIFS(領用表!$L:$L,領用表!$E:$E,$B88,領用表!$B:$B,$CN$2&amp;CP$2)</f>
        <v/>
      </c>
      <c r="CQ88" s="206">
        <f>SUMIFS(領用表!$L:$L,領用表!$E:$E,$B88,領用表!$B:$B,$CN$2&amp;CQ$2)</f>
        <v/>
      </c>
      <c r="CR88" s="206">
        <f>SUMIFS(領用表!$L:$L,領用表!$E:$E,$B88,領用表!$B:$B,$CN$2&amp;CR$2)</f>
        <v/>
      </c>
      <c r="CS88" s="208">
        <f>SUMIFS(領用表!$L:$L,領用表!$A:$A,CS$2,領用表!$E:$E,B88)</f>
        <v/>
      </c>
      <c r="CT88" s="206">
        <f>SUMIFS(領用表!$L:$L,領用表!$E:$E,$B88,領用表!$B:$B,CS$2&amp;CT$2)</f>
        <v/>
      </c>
      <c r="CU88" s="206">
        <f>SUMIFS(領用表!$L:$L,領用表!$E:$E,$B88,領用表!$B:$B,$CS$2&amp;CU$2)</f>
        <v/>
      </c>
      <c r="CV88" s="206">
        <f>SUMIFS(領用表!$L:$L,領用表!$E:$E,$B88,領用表!$B:$B,$CS$2&amp;CV$2)</f>
        <v/>
      </c>
      <c r="CW88" s="206">
        <f>SUMIFS(領用表!$L:$L,領用表!$E:$E,$B88,領用表!$B:$B,$CS$2&amp;CW$2)</f>
        <v/>
      </c>
      <c r="CX88" s="206">
        <f>SUMIFS(領用表!$L:$L,領用表!$E:$E,$B88,領用表!$B:$B,$CS$2&amp;CX$2)</f>
        <v/>
      </c>
      <c r="CY88" s="208">
        <f>SUMIFS(領用表!$L:$L,領用表!$A:$A,CY$2,領用表!$E:$E,B88)</f>
        <v/>
      </c>
      <c r="CZ88" s="206">
        <f>SUMIFS(領用表!$L:$L,領用表!$E:$E,$B88,領用表!$B:$B,CY$2&amp;CZ$2)</f>
        <v/>
      </c>
      <c r="DA88" s="206">
        <f>SUMIFS(領用表!$L:$L,領用表!$E:$E,$B88,領用表!$B:$B,$CY$2&amp;DA$2)</f>
        <v/>
      </c>
      <c r="DB88" s="206">
        <f>SUMIFS(領用表!$L:$L,領用表!$E:$E,$B88,領用表!$B:$B,$CY$2&amp;DB$2)</f>
        <v/>
      </c>
      <c r="DC88" s="206">
        <f>SUMIFS(領用表!$L:$L,領用表!$E:$E,$B88,領用表!$B:$B,$CY$2&amp;DC$2)</f>
        <v/>
      </c>
      <c r="DD88" s="206">
        <f>SUMIFS(領用表!$L:$L,領用表!$E:$E,$B88,領用表!$B:$B,$CY$2&amp;DD$2)</f>
        <v/>
      </c>
      <c r="DE88" s="208">
        <f>SUMIFS(領用表!$L:$L,領用表!$A:$A,DE$2,領用表!$E:$E,B88)</f>
        <v/>
      </c>
      <c r="DF88" s="206">
        <f>SUMIFS(領用表!$L:$L,領用表!$E:$E,$B88,領用表!$B:$B,DE$2&amp;DF$2)</f>
        <v/>
      </c>
      <c r="DG88" s="206">
        <f>SUMIFS(領用表!$L:$L,領用表!$E:$E,$B88,領用表!$B:$B,$DE$2&amp;DG$2)</f>
        <v/>
      </c>
      <c r="DH88" s="206">
        <f>SUMIFS(領用表!$L:$L,領用表!$E:$E,$B88,領用表!$B:$B,$DE$2&amp;DH$2)</f>
        <v/>
      </c>
      <c r="DI88" s="206">
        <f>SUMIFS(領用表!$L:$L,領用表!$E:$E,$B88,領用表!$B:$B,$DE$2&amp;DI$2)</f>
        <v/>
      </c>
      <c r="DJ88" s="206">
        <f>SUMIFS(領用表!$L:$L,領用表!$E:$E,$B88,領用表!$B:$B,$DE$2&amp;DJ$2)</f>
        <v/>
      </c>
      <c r="DK88" s="208">
        <f>SUMIFS(領用表!$L:$L,領用表!$A:$A,DK$2,領用表!$E:$E,$B88)</f>
        <v/>
      </c>
      <c r="DL88" s="206">
        <f>SUMIFS(領用表!$L:$L,領用表!$E:$E,$B88,領用表!$B:$B,DK$2&amp;DL$2)</f>
        <v/>
      </c>
      <c r="DM88" s="206">
        <f>SUMIFS(領用表!$L:$L,領用表!$E:$E,$B88,領用表!$B:$B,$DK$2&amp;DM$2)</f>
        <v/>
      </c>
      <c r="DN88" s="206">
        <f>SUMIFS(領用表!$L:$L,領用表!$E:$E,$B88,領用表!$B:$B,$DK$2&amp;DN$2)</f>
        <v/>
      </c>
      <c r="DO88" s="206">
        <f>SUMIFS(領用表!$L:$L,領用表!$E:$E,$B88,領用表!$B:$B,$DK$2&amp;DO$2)</f>
        <v/>
      </c>
      <c r="DP88" s="206">
        <f>SUMIFS(領用表!$L:$L,領用表!$E:$E,$B88,領用表!$B:$B,$DK$2&amp;DP$2)</f>
        <v/>
      </c>
      <c r="DQ88" s="208" t="n"/>
      <c r="DR88" s="206" t="n"/>
      <c r="DS88" s="206" t="n"/>
      <c r="DT88" s="206" t="n"/>
      <c r="DU88" s="206" t="n"/>
      <c r="DV88" s="206" t="n"/>
      <c r="DW88" s="206">
        <f>SUM(CN88,CS88,CY88,DE88,DK88,DQ88)</f>
        <v/>
      </c>
      <c r="DX88" s="206">
        <f>AVERAGEA(CN88,CS88,CY88,DE88,DK88,DQ88)</f>
        <v/>
      </c>
      <c r="DY88" s="206">
        <f>SUM(DZ88:EC88)</f>
        <v/>
      </c>
      <c r="DZ88" s="206" t="n">
        <v>0</v>
      </c>
      <c r="EA88" s="206" t="n">
        <v>8</v>
      </c>
      <c r="EB88" s="206" t="n">
        <v>0</v>
      </c>
      <c r="EC88" s="206" t="n">
        <v>16</v>
      </c>
      <c r="ED88" s="258" t="n">
        <v>10</v>
      </c>
      <c r="EE88" s="283" t="n"/>
      <c r="EF88" s="254" t="n"/>
      <c r="EG88" s="254" t="inlineStr">
        <is>
          <t>5-10/22</t>
        </is>
      </c>
      <c r="EH88" s="136" t="n"/>
      <c r="EI88" s="289" t="n"/>
      <c r="EJ88" s="118">
        <f>IFERROR(VLOOKUP(A88,站前4樓!A:BF,57,0),0)</f>
        <v/>
      </c>
      <c r="EK88" s="213">
        <f>IFERROR(VLOOKUP(A88,站前11樓!A:BE,57,0),0)</f>
        <v/>
      </c>
      <c r="EL88" s="118">
        <f>IFERROR(VLOOKUP(A88,忠孝7樓!A:N,57,0),0)</f>
        <v/>
      </c>
      <c r="EM88" s="118">
        <f>IFERROR(VLOOKUP(A88,忠孝國際醫學3樓!A:L,57,0),0)</f>
        <v/>
      </c>
      <c r="EN88" s="118">
        <f>SUM(ED88:EG88)</f>
        <v/>
      </c>
      <c r="EP88" s="118" t="n">
        <v>14</v>
      </c>
      <c r="EQ88" s="118" t="n">
        <v>18</v>
      </c>
    </row>
    <row r="89" ht="15.75" customFormat="1" customHeight="1" s="118">
      <c r="A89" s="136" t="inlineStr">
        <is>
          <t>MB3ME110010A</t>
        </is>
      </c>
      <c r="B89" s="118" t="n">
        <v>6200015</v>
      </c>
      <c r="C89" s="135" t="inlineStr">
        <is>
          <t>猛健樂7.5mg</t>
        </is>
      </c>
      <c r="D89" s="285" t="n">
        <v>1</v>
      </c>
      <c r="E89" s="198" t="inlineStr">
        <is>
          <t>支</t>
        </is>
      </c>
      <c r="F89" s="225">
        <f>SUMIF(站前4樓!B:B,B89,站前4樓!F:F)</f>
        <v/>
      </c>
      <c r="G89" s="225">
        <f>SUMIF(站前11樓!B:B,B89,站前11樓!F:F)</f>
        <v/>
      </c>
      <c r="H89" s="225">
        <f>SUMIF(忠孝7樓!B:B,B89,忠孝7樓!G:G)</f>
        <v/>
      </c>
      <c r="I89" s="225">
        <f>SUMIF(忠孝國際醫學3樓!B:B,B89,忠孝國際醫學3樓!G:G)</f>
        <v/>
      </c>
      <c r="J89" s="225">
        <f>SUMIF(忠孝健康7樓!B:B,B89,忠孝健康7樓!G:G)</f>
        <v/>
      </c>
      <c r="K89" s="283" t="n"/>
      <c r="L89" s="283" t="n"/>
      <c r="M89" s="283" t="n"/>
      <c r="N89" s="283" t="n"/>
      <c r="O89" s="283" t="n"/>
      <c r="P89" s="283" t="n"/>
      <c r="Q89" s="283" t="n"/>
      <c r="R89" s="283" t="n"/>
      <c r="S89" s="283" t="n"/>
      <c r="T89" s="283" t="n"/>
      <c r="U89" s="283" t="n"/>
      <c r="V89" s="283" t="n"/>
      <c r="W89" s="283" t="n"/>
      <c r="X89" s="283" t="n"/>
      <c r="Y89" s="283" t="n"/>
      <c r="Z89" s="283" t="n"/>
      <c r="AA89" s="283" t="n"/>
      <c r="AB89" s="283" t="n"/>
      <c r="AC89" s="283" t="n"/>
      <c r="AD89" s="283" t="n"/>
      <c r="AE89" s="283" t="n"/>
      <c r="AF89" s="283" t="n"/>
      <c r="AG89" s="283" t="n"/>
      <c r="AH89" s="283" t="n"/>
      <c r="AI89" s="283" t="n"/>
      <c r="AJ89" s="201" t="n"/>
      <c r="AK89" s="201" t="n"/>
      <c r="AL89" s="201" t="n"/>
      <c r="AM89" s="201" t="n"/>
      <c r="AN89" s="201" t="n"/>
      <c r="AO89" s="201" t="n"/>
      <c r="AP89" s="201" t="n"/>
      <c r="AQ89" s="201" t="n"/>
      <c r="AR89" s="201" t="n"/>
      <c r="AS89" s="201" t="n"/>
      <c r="AT89" s="201" t="n"/>
      <c r="AU89" s="201" t="n"/>
      <c r="AV89" s="283" t="n"/>
      <c r="AW89" s="286" t="n"/>
      <c r="AX89" s="201" t="n"/>
      <c r="AY89" s="201" t="n"/>
      <c r="AZ89" s="201" t="n"/>
      <c r="BA89" s="201" t="n"/>
      <c r="BB89" s="201" t="n"/>
      <c r="BC89" s="203">
        <f>SUMIFS(領用表!$L:$L,領用表!$A:$A,BC$2,領用表!$E:$E,B89)</f>
        <v/>
      </c>
      <c r="BD89" s="296">
        <f>SUMIFS(領用表!$L:$L,領用表!$E:$E,$B89,領用表!$B:$B,BC$2&amp;BD$2)</f>
        <v/>
      </c>
      <c r="BE89" s="296">
        <f>SUMIFS(領用表!$L:$L,領用表!$E:$E,$B89,領用表!$B:$B,$BC$2&amp;BE$2)</f>
        <v/>
      </c>
      <c r="BF89" s="296">
        <f>SUMIFS(領用表!$L:$L,領用表!$E:$E,$B89,領用表!$B:$B,$BC$2&amp;BF$2)</f>
        <v/>
      </c>
      <c r="BG89" s="206">
        <f>SUMIFS(領用表!$L:$L,領用表!$E:$E,$B89,領用表!$B:$B,$BC$2&amp;BG$2)</f>
        <v/>
      </c>
      <c r="BH89" s="203">
        <f>SUMIFS(領用表!$L:$L,領用表!$A:$A,BH$2,領用表!$E:$E,B89)</f>
        <v/>
      </c>
      <c r="BI89" s="260">
        <f>SUMIFS(領用表!$L:$L,領用表!$E:$E,$B89,領用表!$B:$B,BH$2&amp;BI$2)</f>
        <v/>
      </c>
      <c r="BJ89" s="260">
        <f>SUMIFS(領用表!$L:$L,領用表!$E:$E,$B89,領用表!$B:$B,$BH$2&amp;BJ$2)</f>
        <v/>
      </c>
      <c r="BK89" s="260">
        <f>SUMIFS(領用表!$L:$L,領用表!$E:$E,$B89,領用表!$B:$B,$BH$2&amp;BK$2)</f>
        <v/>
      </c>
      <c r="BL89" s="260">
        <f>SUMIFS(領用表!$L:$L,領用表!$E:$E,$B89,領用表!$B:$B,$BH$2&amp;BL$2)</f>
        <v/>
      </c>
      <c r="BM89" s="203">
        <f>SUMIFS(領用表!$L:$L,領用表!$A:$A,BM$2,領用表!$E:$E,B89)</f>
        <v/>
      </c>
      <c r="BN89" s="206">
        <f>SUMIFS(領用表!$L:$L,領用表!$E:$E,$B89,領用表!$B:$B,BM$2&amp;BN$2)</f>
        <v/>
      </c>
      <c r="BO89" s="206">
        <f>SUMIFS(領用表!$L:$L,領用表!$E:$E,$B89,領用表!$B:$B,$BM$2&amp;BO$2)</f>
        <v/>
      </c>
      <c r="BP89" s="297">
        <f>SUMIFS(領用表!$L:$L,領用表!$E:$E,$B89,領用表!$B:$B,$BM$2&amp;BP$2)</f>
        <v/>
      </c>
      <c r="BQ89" s="206">
        <f>SUMIFS(領用表!$L:$L,領用表!$E:$E,$B89,領用表!$B:$B,$BM$2&amp;BQ$2)</f>
        <v/>
      </c>
      <c r="BR89" s="203">
        <f>SUMIFS(領用表!$L:$L,領用表!$A:$A,BR$2,領用表!$E:$E,B89)</f>
        <v/>
      </c>
      <c r="BS89" s="297">
        <f>SUMIFS(領用表!$L:$L,領用表!$E:$E,$B89,領用表!$B:$B,BR$2&amp;BS$2)</f>
        <v/>
      </c>
      <c r="BT89" s="297">
        <f>SUMIFS(領用表!$L:$L,領用表!$E:$E,$B89,領用表!$B:$B,$BR$2&amp;BT$2)</f>
        <v/>
      </c>
      <c r="BU89" s="297">
        <f>SUMIFS(領用表!$L:$L,領用表!$E:$E,$B89,領用表!$B:$B,$BR$2&amp;BU$2)</f>
        <v/>
      </c>
      <c r="BV89" s="206">
        <f>SUMIFS(領用表!$L:$L,領用表!$E:$E,$B89,領用表!$B:$B,$BR$2&amp;BV$2)</f>
        <v/>
      </c>
      <c r="BW89" s="208">
        <f>SUMIFS(領用表!$L:$L,領用表!$A:$A,BW$2,領用表!$E:$E,B89)</f>
        <v/>
      </c>
      <c r="BX89" s="206">
        <f>SUMIFS(領用表!$L:$L,領用表!$E:$E,$B89,領用表!$B:$B,BW$2&amp;BX$2)</f>
        <v/>
      </c>
      <c r="BY89" s="206">
        <f>SUMIFS(領用表!$L:$L,領用表!$E:$E,$B89,領用表!$B:$B,$BW$2&amp;BY$2)</f>
        <v/>
      </c>
      <c r="BZ89" s="206">
        <f>SUMIFS(領用表!$L:$L,領用表!$E:$E,$B89,領用表!$B:$B,$BW$2&amp;BZ$2)</f>
        <v/>
      </c>
      <c r="CA89" s="206">
        <f>SUMIFS(領用表!$L:$L,領用表!$E:$E,$B89,領用表!$B:$B,$BW$2&amp;CA$2)</f>
        <v/>
      </c>
      <c r="CB89" s="208">
        <f>SUMIFS(領用表!$L:$L,領用表!$A:$A,CB$2,領用表!$E:$E,B89)</f>
        <v/>
      </c>
      <c r="CC89" s="206">
        <f>SUMIFS(領用表!$L:$L,領用表!$E:$E,$B89,領用表!$B:$B,CB$2&amp;CC$2)</f>
        <v/>
      </c>
      <c r="CD89" s="206">
        <f>SUMIFS(領用表!$L:$L,領用表!$E:$E,$B89,領用表!$B:$B,$CB$2&amp;CD$2)</f>
        <v/>
      </c>
      <c r="CE89" s="206">
        <f>SUMIFS(領用表!$L:$L,領用表!$E:$E,$B89,領用表!$B:$B,$CB$2&amp;CE$2)</f>
        <v/>
      </c>
      <c r="CF89" s="206">
        <f>SUMIFS(領用表!$L:$L,領用表!$E:$E,$B89,領用表!$B:$B,$CB$2&amp;CF$2)</f>
        <v/>
      </c>
      <c r="CG89" s="208">
        <f>SUMIFS(領用表!$L:$L,領用表!$A:$A,CG$2,領用表!$E:$E,B89)</f>
        <v/>
      </c>
      <c r="CH89" s="206">
        <f>SUMIFS(領用表!$L:$L,領用表!$E:$E,$B89,領用表!$B:$B,CG$2&amp;CH$2)</f>
        <v/>
      </c>
      <c r="CI89" s="206">
        <f>SUMIFS(領用表!$L:$L,領用表!$E:$E,$B89,領用表!$B:$B,CG$2&amp;CI$2)</f>
        <v/>
      </c>
      <c r="CJ89" s="206">
        <f>SUMIFS(領用表!$L:$L,領用表!$E:$E,$B89,領用表!$B:$B,CG$2&amp;CJ$2)</f>
        <v/>
      </c>
      <c r="CK89" s="206">
        <f>SUMIFS(領用表!$L:$L,領用表!$E:$E,$B89,領用表!$B:$B,$CG$2&amp;CK$2)</f>
        <v/>
      </c>
      <c r="CL89" s="207">
        <f>SUM(AX89,AY89,AZ89,BA89,BB89,BC89,BH89,BM89,BR89,BW89,CB89,CG89)</f>
        <v/>
      </c>
      <c r="CM89" s="207">
        <f>AVERAGE(AX89,AY89,AZ89,BA89,BB89,BC89,BH89,BM89,BR89,BW89,CB89,CG89)</f>
        <v/>
      </c>
      <c r="CN89" s="208">
        <f>SUMIFS(領用表!$L:$L,領用表!$A:$A,CN$2,領用表!$E:$E,B89)</f>
        <v/>
      </c>
      <c r="CO89" s="206">
        <f>SUMIFS(領用表!$L:$L,領用表!$E:$E,$B89,領用表!$B:$B,CN$2&amp;CO$2)</f>
        <v/>
      </c>
      <c r="CP89" s="206">
        <f>SUMIFS(領用表!$L:$L,領用表!$E:$E,$B89,領用表!$B:$B,$CN$2&amp;CP$2)</f>
        <v/>
      </c>
      <c r="CQ89" s="206">
        <f>SUMIFS(領用表!$L:$L,領用表!$E:$E,$B89,領用表!$B:$B,$CN$2&amp;CQ$2)</f>
        <v/>
      </c>
      <c r="CR89" s="206">
        <f>SUMIFS(領用表!$L:$L,領用表!$E:$E,$B89,領用表!$B:$B,$CN$2&amp;CR$2)</f>
        <v/>
      </c>
      <c r="CS89" s="208">
        <f>SUMIFS(領用表!$L:$L,領用表!$A:$A,CS$2,領用表!$E:$E,B89)</f>
        <v/>
      </c>
      <c r="CT89" s="206">
        <f>SUMIFS(領用表!$L:$L,領用表!$E:$E,$B89,領用表!$B:$B,CS$2&amp;CT$2)</f>
        <v/>
      </c>
      <c r="CU89" s="206">
        <f>SUMIFS(領用表!$L:$L,領用表!$E:$E,$B89,領用表!$B:$B,$CS$2&amp;CU$2)</f>
        <v/>
      </c>
      <c r="CV89" s="206">
        <f>SUMIFS(領用表!$L:$L,領用表!$E:$E,$B89,領用表!$B:$B,$CS$2&amp;CV$2)</f>
        <v/>
      </c>
      <c r="CW89" s="206">
        <f>SUMIFS(領用表!$L:$L,領用表!$E:$E,$B89,領用表!$B:$B,$CS$2&amp;CW$2)</f>
        <v/>
      </c>
      <c r="CX89" s="206">
        <f>SUMIFS(領用表!$L:$L,領用表!$E:$E,$B89,領用表!$B:$B,$CS$2&amp;CX$2)</f>
        <v/>
      </c>
      <c r="CY89" s="208">
        <f>SUMIFS(領用表!$L:$L,領用表!$A:$A,CY$2,領用表!$E:$E,B89)</f>
        <v/>
      </c>
      <c r="CZ89" s="206">
        <f>SUMIFS(領用表!$L:$L,領用表!$E:$E,$B89,領用表!$B:$B,CY$2&amp;CZ$2)</f>
        <v/>
      </c>
      <c r="DA89" s="206">
        <f>SUMIFS(領用表!$L:$L,領用表!$E:$E,$B89,領用表!$B:$B,$CY$2&amp;DA$2)</f>
        <v/>
      </c>
      <c r="DB89" s="206">
        <f>SUMIFS(領用表!$L:$L,領用表!$E:$E,$B89,領用表!$B:$B,$CY$2&amp;DB$2)</f>
        <v/>
      </c>
      <c r="DC89" s="206">
        <f>SUMIFS(領用表!$L:$L,領用表!$E:$E,$B89,領用表!$B:$B,$CY$2&amp;DC$2)</f>
        <v/>
      </c>
      <c r="DD89" s="206">
        <f>SUMIFS(領用表!$L:$L,領用表!$E:$E,$B89,領用表!$B:$B,$CY$2&amp;DD$2)</f>
        <v/>
      </c>
      <c r="DE89" s="208">
        <f>SUMIFS(領用表!$L:$L,領用表!$A:$A,DE$2,領用表!$E:$E,B89)</f>
        <v/>
      </c>
      <c r="DF89" s="206">
        <f>SUMIFS(領用表!$L:$L,領用表!$E:$E,$B89,領用表!$B:$B,DE$2&amp;DF$2)</f>
        <v/>
      </c>
      <c r="DG89" s="206">
        <f>SUMIFS(領用表!$L:$L,領用表!$E:$E,$B89,領用表!$B:$B,$DE$2&amp;DG$2)</f>
        <v/>
      </c>
      <c r="DH89" s="206">
        <f>SUMIFS(領用表!$L:$L,領用表!$E:$E,$B89,領用表!$B:$B,$DE$2&amp;DH$2)</f>
        <v/>
      </c>
      <c r="DI89" s="206">
        <f>SUMIFS(領用表!$L:$L,領用表!$E:$E,$B89,領用表!$B:$B,$DE$2&amp;DI$2)</f>
        <v/>
      </c>
      <c r="DJ89" s="206">
        <f>SUMIFS(領用表!$L:$L,領用表!$E:$E,$B89,領用表!$B:$B,$DE$2&amp;DJ$2)</f>
        <v/>
      </c>
      <c r="DK89" s="208">
        <f>SUMIFS(領用表!$L:$L,領用表!$A:$A,DK$2,領用表!$E:$E,$B89)</f>
        <v/>
      </c>
      <c r="DL89" s="206">
        <f>SUMIFS(領用表!$L:$L,領用表!$E:$E,$B89,領用表!$B:$B,DK$2&amp;DL$2)</f>
        <v/>
      </c>
      <c r="DM89" s="206">
        <f>SUMIFS(領用表!$L:$L,領用表!$E:$E,$B89,領用表!$B:$B,$DK$2&amp;DM$2)</f>
        <v/>
      </c>
      <c r="DN89" s="206">
        <f>SUMIFS(領用表!$L:$L,領用表!$E:$E,$B89,領用表!$B:$B,$DK$2&amp;DN$2)</f>
        <v/>
      </c>
      <c r="DO89" s="206">
        <f>SUMIFS(領用表!$L:$L,領用表!$E:$E,$B89,領用表!$B:$B,$DK$2&amp;DO$2)</f>
        <v/>
      </c>
      <c r="DP89" s="206">
        <f>SUMIFS(領用表!$L:$L,領用表!$E:$E,$B89,領用表!$B:$B,$DK$2&amp;DP$2)</f>
        <v/>
      </c>
      <c r="DQ89" s="208" t="n"/>
      <c r="DR89" s="206" t="n"/>
      <c r="DS89" s="206" t="n"/>
      <c r="DT89" s="206" t="n"/>
      <c r="DU89" s="206" t="n"/>
      <c r="DV89" s="206" t="n"/>
      <c r="DW89" s="206">
        <f>SUM(CN89,CS89,CY89,DE89,DK89,DQ89)</f>
        <v/>
      </c>
      <c r="DX89" s="206">
        <f>AVERAGEA(CN89,CS89,CY89,DE89,DK89,DQ89)</f>
        <v/>
      </c>
      <c r="DY89" s="206">
        <f>SUM(DZ89:EC89)</f>
        <v/>
      </c>
      <c r="DZ89" s="206" t="n">
        <v>0</v>
      </c>
      <c r="EA89" s="206" t="n">
        <v>8</v>
      </c>
      <c r="EB89" s="206" t="n">
        <v>0</v>
      </c>
      <c r="EC89" s="206" t="n">
        <v>5</v>
      </c>
      <c r="ED89" s="258" t="n"/>
      <c r="EE89" s="283" t="n"/>
      <c r="EF89" s="283" t="n"/>
      <c r="EG89" s="283" t="inlineStr">
        <is>
          <t>5-10/22</t>
        </is>
      </c>
      <c r="EH89" s="136" t="n"/>
      <c r="EI89" s="289" t="n"/>
      <c r="EJ89" s="118">
        <f>IFERROR(VLOOKUP(A89,站前4樓!A:BF,57,0),0)</f>
        <v/>
      </c>
      <c r="EK89" s="213">
        <f>IFERROR(VLOOKUP(A89,站前11樓!A:BE,57,0),0)</f>
        <v/>
      </c>
      <c r="EL89" s="118">
        <f>IFERROR(VLOOKUP(A89,忠孝7樓!A:N,57,0),0)</f>
        <v/>
      </c>
      <c r="EM89" s="118">
        <f>IFERROR(VLOOKUP(A89,忠孝國際醫學3樓!A:L,57,0),0)</f>
        <v/>
      </c>
      <c r="EN89" s="118">
        <f>SUM(ED89:EG89)</f>
        <v/>
      </c>
      <c r="EP89" s="118" t="n">
        <v>7</v>
      </c>
      <c r="EQ89" s="118" t="n">
        <v>5</v>
      </c>
    </row>
    <row r="90" ht="15.75" customFormat="1" customHeight="1" s="118">
      <c r="A90" s="136" t="inlineStr">
        <is>
          <t>MB3ME110011A</t>
        </is>
      </c>
      <c r="B90" s="118" t="n">
        <v>6200016</v>
      </c>
      <c r="C90" s="135" t="inlineStr">
        <is>
          <t>猛健樂10.0mg</t>
        </is>
      </c>
      <c r="D90" s="285" t="n">
        <v>1</v>
      </c>
      <c r="E90" s="198" t="inlineStr">
        <is>
          <t>支</t>
        </is>
      </c>
      <c r="F90" s="225">
        <f>SUMIF(站前4樓!B:B,B90,站前4樓!F:F)</f>
        <v/>
      </c>
      <c r="G90" s="225">
        <f>SUMIF(站前11樓!B:B,B90,站前11樓!F:F)</f>
        <v/>
      </c>
      <c r="H90" s="225">
        <f>SUMIF(忠孝7樓!B:B,B90,忠孝7樓!G:G)</f>
        <v/>
      </c>
      <c r="I90" s="225">
        <f>SUMIF(忠孝國際醫學3樓!B:B,B90,忠孝國際醫學3樓!G:G)</f>
        <v/>
      </c>
      <c r="J90" s="225">
        <f>SUMIF(忠孝健康7樓!B:B,B90,忠孝健康7樓!G:G)</f>
        <v/>
      </c>
      <c r="K90" s="283" t="n"/>
      <c r="L90" s="283" t="n"/>
      <c r="M90" s="283" t="n"/>
      <c r="N90" s="283" t="n"/>
      <c r="O90" s="283" t="n"/>
      <c r="P90" s="283" t="n"/>
      <c r="Q90" s="283" t="n"/>
      <c r="R90" s="283" t="n"/>
      <c r="S90" s="283" t="n"/>
      <c r="T90" s="283" t="n"/>
      <c r="U90" s="283" t="n"/>
      <c r="V90" s="283" t="n"/>
      <c r="W90" s="283" t="n"/>
      <c r="X90" s="283" t="n"/>
      <c r="Y90" s="283" t="n"/>
      <c r="Z90" s="283" t="n"/>
      <c r="AA90" s="283" t="n"/>
      <c r="AB90" s="283" t="n"/>
      <c r="AC90" s="283" t="n"/>
      <c r="AD90" s="283" t="n"/>
      <c r="AE90" s="283" t="n"/>
      <c r="AF90" s="283" t="n"/>
      <c r="AG90" s="283" t="n"/>
      <c r="AH90" s="283" t="n"/>
      <c r="AI90" s="283" t="n"/>
      <c r="AJ90" s="201" t="n"/>
      <c r="AK90" s="201" t="n"/>
      <c r="AL90" s="201" t="n"/>
      <c r="AM90" s="201" t="n"/>
      <c r="AN90" s="201" t="n"/>
      <c r="AO90" s="201" t="n"/>
      <c r="AP90" s="201" t="n"/>
      <c r="AQ90" s="201" t="n"/>
      <c r="AR90" s="201" t="n"/>
      <c r="AS90" s="201" t="n"/>
      <c r="AT90" s="201" t="n"/>
      <c r="AU90" s="201" t="n"/>
      <c r="AV90" s="283" t="n"/>
      <c r="AW90" s="286" t="n"/>
      <c r="AX90" s="201" t="inlineStr">
        <is>
          <t>-</t>
        </is>
      </c>
      <c r="AY90" s="201" t="inlineStr">
        <is>
          <t>-</t>
        </is>
      </c>
      <c r="AZ90" s="201" t="inlineStr">
        <is>
          <t>-</t>
        </is>
      </c>
      <c r="BA90" s="201" t="inlineStr">
        <is>
          <t>-</t>
        </is>
      </c>
      <c r="BB90" s="201" t="inlineStr">
        <is>
          <t>-</t>
        </is>
      </c>
      <c r="BC90" s="203">
        <f>SUMIFS(領用表!$L:$L,領用表!$A:$A,BC$2,領用表!$E:$E,B90)</f>
        <v/>
      </c>
      <c r="BD90" s="296">
        <f>SUMIFS(領用表!$L:$L,領用表!$E:$E,$B90,領用表!$B:$B,BC$2&amp;BD$2)</f>
        <v/>
      </c>
      <c r="BE90" s="296">
        <f>SUMIFS(領用表!$L:$L,領用表!$E:$E,$B90,領用表!$B:$B,$BC$2&amp;BE$2)</f>
        <v/>
      </c>
      <c r="BF90" s="296">
        <f>SUMIFS(領用表!$L:$L,領用表!$E:$E,$B90,領用表!$B:$B,$BC$2&amp;BF$2)</f>
        <v/>
      </c>
      <c r="BG90" s="206">
        <f>SUMIFS(領用表!$L:$L,領用表!$E:$E,$B90,領用表!$B:$B,$BC$2&amp;BG$2)</f>
        <v/>
      </c>
      <c r="BH90" s="203">
        <f>SUMIFS(領用表!$L:$L,領用表!$A:$A,BH$2,領用表!$E:$E,B90)</f>
        <v/>
      </c>
      <c r="BI90" s="260">
        <f>SUMIFS(領用表!$L:$L,領用表!$E:$E,$B90,領用表!$B:$B,BH$2&amp;BI$2)</f>
        <v/>
      </c>
      <c r="BJ90" s="260">
        <f>SUMIFS(領用表!$L:$L,領用表!$E:$E,$B90,領用表!$B:$B,$BH$2&amp;BJ$2)</f>
        <v/>
      </c>
      <c r="BK90" s="260">
        <f>SUMIFS(領用表!$L:$L,領用表!$E:$E,$B90,領用表!$B:$B,$BH$2&amp;BK$2)</f>
        <v/>
      </c>
      <c r="BL90" s="260">
        <f>SUMIFS(領用表!$L:$L,領用表!$E:$E,$B90,領用表!$B:$B,$BH$2&amp;BL$2)</f>
        <v/>
      </c>
      <c r="BM90" s="203">
        <f>SUMIFS(領用表!$L:$L,領用表!$A:$A,BM$2,領用表!$E:$E,B90)</f>
        <v/>
      </c>
      <c r="BN90" s="206">
        <f>SUMIFS(領用表!$L:$L,領用表!$E:$E,$B90,領用表!$B:$B,BM$2&amp;BN$2)</f>
        <v/>
      </c>
      <c r="BO90" s="206">
        <f>SUMIFS(領用表!$L:$L,領用表!$E:$E,$B90,領用表!$B:$B,$BM$2&amp;BO$2)</f>
        <v/>
      </c>
      <c r="BP90" s="297">
        <f>SUMIFS(領用表!$L:$L,領用表!$E:$E,$B90,領用表!$B:$B,$BM$2&amp;BP$2)</f>
        <v/>
      </c>
      <c r="BQ90" s="206">
        <f>SUMIFS(領用表!$L:$L,領用表!$E:$E,$B90,領用表!$B:$B,$BM$2&amp;BQ$2)</f>
        <v/>
      </c>
      <c r="BR90" s="203">
        <f>SUMIFS(領用表!$L:$L,領用表!$A:$A,BR$2,領用表!$E:$E,B90)</f>
        <v/>
      </c>
      <c r="BS90" s="297">
        <f>SUMIFS(領用表!$L:$L,領用表!$E:$E,$B90,領用表!$B:$B,BR$2&amp;BS$2)</f>
        <v/>
      </c>
      <c r="BT90" s="297">
        <f>SUMIFS(領用表!$L:$L,領用表!$E:$E,$B90,領用表!$B:$B,$BR$2&amp;BT$2)</f>
        <v/>
      </c>
      <c r="BU90" s="297">
        <f>SUMIFS(領用表!$L:$L,領用表!$E:$E,$B90,領用表!$B:$B,$BR$2&amp;BU$2)</f>
        <v/>
      </c>
      <c r="BV90" s="206">
        <f>SUMIFS(領用表!$L:$L,領用表!$E:$E,$B90,領用表!$B:$B,$BR$2&amp;BV$2)</f>
        <v/>
      </c>
      <c r="BW90" s="208">
        <f>SUMIFS(領用表!$L:$L,領用表!$A:$A,BW$2,領用表!$E:$E,B90)</f>
        <v/>
      </c>
      <c r="BX90" s="206">
        <f>SUMIFS(領用表!$L:$L,領用表!$E:$E,$B90,領用表!$B:$B,BW$2&amp;BX$2)</f>
        <v/>
      </c>
      <c r="BY90" s="206">
        <f>SUMIFS(領用表!$L:$L,領用表!$E:$E,$B90,領用表!$B:$B,$BW$2&amp;BY$2)</f>
        <v/>
      </c>
      <c r="BZ90" s="206">
        <f>SUMIFS(領用表!$L:$L,領用表!$E:$E,$B90,領用表!$B:$B,$BW$2&amp;BZ$2)</f>
        <v/>
      </c>
      <c r="CA90" s="206">
        <f>SUMIFS(領用表!$L:$L,領用表!$E:$E,$B90,領用表!$B:$B,$BW$2&amp;CA$2)</f>
        <v/>
      </c>
      <c r="CB90" s="208">
        <f>SUMIFS(領用表!$L:$L,領用表!$A:$A,CB$2,領用表!$E:$E,B90)</f>
        <v/>
      </c>
      <c r="CC90" s="206">
        <f>SUMIFS(領用表!$L:$L,領用表!$E:$E,$B90,領用表!$B:$B,CB$2&amp;CC$2)</f>
        <v/>
      </c>
      <c r="CD90" s="206">
        <f>SUMIFS(領用表!$L:$L,領用表!$E:$E,$B90,領用表!$B:$B,$CB$2&amp;CD$2)</f>
        <v/>
      </c>
      <c r="CE90" s="206">
        <f>SUMIFS(領用表!$L:$L,領用表!$E:$E,$B90,領用表!$B:$B,$CB$2&amp;CE$2)</f>
        <v/>
      </c>
      <c r="CF90" s="206">
        <f>SUMIFS(領用表!$L:$L,領用表!$E:$E,$B90,領用表!$B:$B,$CB$2&amp;CF$2)</f>
        <v/>
      </c>
      <c r="CG90" s="208">
        <f>SUMIFS(領用表!$L:$L,領用表!$A:$A,CG$2,領用表!$E:$E,B90)</f>
        <v/>
      </c>
      <c r="CH90" s="206">
        <f>SUMIFS(領用表!$L:$L,領用表!$E:$E,$B90,領用表!$B:$B,CG$2&amp;CH$2)</f>
        <v/>
      </c>
      <c r="CI90" s="206">
        <f>SUMIFS(領用表!$L:$L,領用表!$E:$E,$B90,領用表!$B:$B,CG$2&amp;CI$2)</f>
        <v/>
      </c>
      <c r="CJ90" s="206">
        <f>SUMIFS(領用表!$L:$L,領用表!$E:$E,$B90,領用表!$B:$B,CG$2&amp;CJ$2)</f>
        <v/>
      </c>
      <c r="CK90" s="206">
        <f>SUMIFS(領用表!$L:$L,領用表!$E:$E,$B90,領用表!$B:$B,$CG$2&amp;CK$2)</f>
        <v/>
      </c>
      <c r="CL90" s="207">
        <f>SUM(AX90,AY90,AZ90,BA90,BB90,BC90,BH90,BM90,BR90,BW90,CB90,CG90)</f>
        <v/>
      </c>
      <c r="CM90" s="207">
        <f>AVERAGE(AX90,AY90,AZ90,BA90,BB90,BC90,BH90,BM90,BR90,BW90,CB90,CG90)</f>
        <v/>
      </c>
      <c r="CN90" s="208">
        <f>SUMIFS(領用表!$L:$L,領用表!$A:$A,CN$2,領用表!$E:$E,B90)</f>
        <v/>
      </c>
      <c r="CO90" s="206">
        <f>SUMIFS(領用表!$L:$L,領用表!$E:$E,$B90,領用表!$B:$B,CN$2&amp;CO$2)</f>
        <v/>
      </c>
      <c r="CP90" s="206">
        <f>SUMIFS(領用表!$L:$L,領用表!$E:$E,$B90,領用表!$B:$B,$CN$2&amp;CP$2)</f>
        <v/>
      </c>
      <c r="CQ90" s="206">
        <f>SUMIFS(領用表!$L:$L,領用表!$E:$E,$B90,領用表!$B:$B,$CN$2&amp;CQ$2)</f>
        <v/>
      </c>
      <c r="CR90" s="206">
        <f>SUMIFS(領用表!$L:$L,領用表!$E:$E,$B90,領用表!$B:$B,$CN$2&amp;CR$2)</f>
        <v/>
      </c>
      <c r="CS90" s="208">
        <f>SUMIFS(領用表!$L:$L,領用表!$A:$A,CS$2,領用表!$E:$E,B90)</f>
        <v/>
      </c>
      <c r="CT90" s="206">
        <f>SUMIFS(領用表!$L:$L,領用表!$E:$E,$B90,領用表!$B:$B,CS$2&amp;CT$2)</f>
        <v/>
      </c>
      <c r="CU90" s="206">
        <f>SUMIFS(領用表!$L:$L,領用表!$E:$E,$B90,領用表!$B:$B,$CS$2&amp;CU$2)</f>
        <v/>
      </c>
      <c r="CV90" s="206">
        <f>SUMIFS(領用表!$L:$L,領用表!$E:$E,$B90,領用表!$B:$B,$CS$2&amp;CV$2)</f>
        <v/>
      </c>
      <c r="CW90" s="206">
        <f>SUMIFS(領用表!$L:$L,領用表!$E:$E,$B90,領用表!$B:$B,$CS$2&amp;CW$2)</f>
        <v/>
      </c>
      <c r="CX90" s="206">
        <f>SUMIFS(領用表!$L:$L,領用表!$E:$E,$B90,領用表!$B:$B,$CS$2&amp;CX$2)</f>
        <v/>
      </c>
      <c r="CY90" s="208">
        <f>SUMIFS(領用表!$L:$L,領用表!$A:$A,CY$2,領用表!$E:$E,B90)</f>
        <v/>
      </c>
      <c r="CZ90" s="206">
        <f>SUMIFS(領用表!$L:$L,領用表!$E:$E,$B90,領用表!$B:$B,CY$2&amp;CZ$2)</f>
        <v/>
      </c>
      <c r="DA90" s="206">
        <f>SUMIFS(領用表!$L:$L,領用表!$E:$E,$B90,領用表!$B:$B,$CY$2&amp;DA$2)</f>
        <v/>
      </c>
      <c r="DB90" s="206">
        <f>SUMIFS(領用表!$L:$L,領用表!$E:$E,$B90,領用表!$B:$B,$CY$2&amp;DB$2)</f>
        <v/>
      </c>
      <c r="DC90" s="206">
        <f>SUMIFS(領用表!$L:$L,領用表!$E:$E,$B90,領用表!$B:$B,$CY$2&amp;DC$2)</f>
        <v/>
      </c>
      <c r="DD90" s="206">
        <f>SUMIFS(領用表!$L:$L,領用表!$E:$E,$B90,領用表!$B:$B,$CY$2&amp;DD$2)</f>
        <v/>
      </c>
      <c r="DE90" s="208">
        <f>SUMIFS(領用表!$L:$L,領用表!$A:$A,DE$2,領用表!$E:$E,B90)</f>
        <v/>
      </c>
      <c r="DF90" s="206">
        <f>SUMIFS(領用表!$L:$L,領用表!$E:$E,$B90,領用表!$B:$B,DE$2&amp;DF$2)</f>
        <v/>
      </c>
      <c r="DG90" s="206">
        <f>SUMIFS(領用表!$L:$L,領用表!$E:$E,$B90,領用表!$B:$B,$DE$2&amp;DG$2)</f>
        <v/>
      </c>
      <c r="DH90" s="206">
        <f>SUMIFS(領用表!$L:$L,領用表!$E:$E,$B90,領用表!$B:$B,$DE$2&amp;DH$2)</f>
        <v/>
      </c>
      <c r="DI90" s="206">
        <f>SUMIFS(領用表!$L:$L,領用表!$E:$E,$B90,領用表!$B:$B,$DE$2&amp;DI$2)</f>
        <v/>
      </c>
      <c r="DJ90" s="206">
        <f>SUMIFS(領用表!$L:$L,領用表!$E:$E,$B90,領用表!$B:$B,$DE$2&amp;DJ$2)</f>
        <v/>
      </c>
      <c r="DK90" s="208">
        <f>SUMIFS(領用表!$L:$L,領用表!$A:$A,DK$2,領用表!$E:$E,$B90)</f>
        <v/>
      </c>
      <c r="DL90" s="206">
        <f>SUMIFS(領用表!$L:$L,領用表!$E:$E,$B90,領用表!$B:$B,DK$2&amp;DL$2)</f>
        <v/>
      </c>
      <c r="DM90" s="206">
        <f>SUMIFS(領用表!$L:$L,領用表!$E:$E,$B90,領用表!$B:$B,$DK$2&amp;DM$2)</f>
        <v/>
      </c>
      <c r="DN90" s="206">
        <f>SUMIFS(領用表!$L:$L,領用表!$E:$E,$B90,領用表!$B:$B,$DK$2&amp;DN$2)</f>
        <v/>
      </c>
      <c r="DO90" s="206">
        <f>SUMIFS(領用表!$L:$L,領用表!$E:$E,$B90,領用表!$B:$B,$DK$2&amp;DO$2)</f>
        <v/>
      </c>
      <c r="DP90" s="206">
        <f>SUMIFS(領用表!$L:$L,領用表!$E:$E,$B90,領用表!$B:$B,$DK$2&amp;DP$2)</f>
        <v/>
      </c>
      <c r="DQ90" s="208" t="n"/>
      <c r="DR90" s="206" t="n"/>
      <c r="DS90" s="206" t="n"/>
      <c r="DT90" s="206" t="n"/>
      <c r="DU90" s="206" t="n"/>
      <c r="DV90" s="206" t="n"/>
      <c r="DW90" s="206">
        <f>SUM(CN90,CS90,CY90,DE90,DK90,DQ90)</f>
        <v/>
      </c>
      <c r="DX90" s="206">
        <f>AVERAGEA(CN90,CS90,CY90,DE90,DK90,DQ90)</f>
        <v/>
      </c>
      <c r="DY90" s="206">
        <f>SUM(DZ90:EC90)</f>
        <v/>
      </c>
      <c r="DZ90" s="206" t="n">
        <v>0</v>
      </c>
      <c r="EA90" s="206" t="n">
        <v>12</v>
      </c>
      <c r="EB90" s="206" t="n">
        <v>0</v>
      </c>
      <c r="EC90" s="206" t="n">
        <v>12</v>
      </c>
      <c r="ED90" s="258" t="n">
        <v>10</v>
      </c>
      <c r="EE90" s="283" t="n"/>
      <c r="EF90" s="254" t="n"/>
      <c r="EG90" s="254" t="inlineStr">
        <is>
          <t>缺貨</t>
        </is>
      </c>
      <c r="EH90" s="136" t="n"/>
      <c r="EI90" s="289" t="n"/>
      <c r="EJ90" s="118">
        <f>IFERROR(VLOOKUP(A90,站前4樓!A:BF,57,0),0)</f>
        <v/>
      </c>
      <c r="EK90" s="213">
        <f>IFERROR(VLOOKUP(A90,站前11樓!A:BE,57,0),0)</f>
        <v/>
      </c>
      <c r="EL90" s="118">
        <f>IFERROR(VLOOKUP(A90,忠孝7樓!A:N,57,0),0)</f>
        <v/>
      </c>
      <c r="EM90" s="118">
        <f>IFERROR(VLOOKUP(A90,忠孝國際醫學3樓!A:L,57,0),0)</f>
        <v/>
      </c>
      <c r="EN90" s="118">
        <f>SUM(ED90:EG90)</f>
        <v/>
      </c>
      <c r="EP90" s="118" t="n">
        <v>32</v>
      </c>
      <c r="EQ90" s="118" t="n">
        <v>15</v>
      </c>
    </row>
    <row r="91" ht="15.75" customFormat="1" customHeight="1" s="118" thickBot="1">
      <c r="A91" s="136" t="n"/>
      <c r="B91" s="118" t="n">
        <v>6200018</v>
      </c>
      <c r="C91" s="186" t="inlineStr">
        <is>
          <t>猛健樂12.5mg</t>
        </is>
      </c>
      <c r="D91" s="285" t="n">
        <v>1</v>
      </c>
      <c r="E91" s="198" t="inlineStr">
        <is>
          <t>支</t>
        </is>
      </c>
      <c r="F91" s="225">
        <f>SUMIF(站前4樓!B:B,B91,站前4樓!F:F)</f>
        <v/>
      </c>
      <c r="G91" s="225">
        <f>SUMIF(站前11樓!B:B,B91,站前11樓!F:F)</f>
        <v/>
      </c>
      <c r="H91" s="225">
        <f>SUMIF(忠孝7樓!B:B,B91,忠孝7樓!G:G)</f>
        <v/>
      </c>
      <c r="I91" s="225">
        <f>SUMIF(忠孝國際醫學3樓!B:B,B91,忠孝國際醫學3樓!G:G)</f>
        <v/>
      </c>
      <c r="J91" s="225">
        <f>SUMIF(忠孝健康7樓!B:B,B91,忠孝健康7樓!G:G)</f>
        <v/>
      </c>
      <c r="K91" s="283" t="n"/>
      <c r="L91" s="283" t="n"/>
      <c r="M91" s="283" t="n"/>
      <c r="N91" s="283" t="n"/>
      <c r="O91" s="283" t="n"/>
      <c r="P91" s="283" t="n"/>
      <c r="Q91" s="283" t="n"/>
      <c r="R91" s="283" t="n"/>
      <c r="S91" s="283" t="n"/>
      <c r="T91" s="283" t="n"/>
      <c r="U91" s="283" t="n"/>
      <c r="V91" s="283" t="n"/>
      <c r="W91" s="283" t="n"/>
      <c r="X91" s="283" t="n"/>
      <c r="Y91" s="283" t="n"/>
      <c r="Z91" s="283" t="n"/>
      <c r="AA91" s="283" t="n"/>
      <c r="AB91" s="283" t="n"/>
      <c r="AC91" s="283" t="n"/>
      <c r="AD91" s="283" t="n"/>
      <c r="AE91" s="283" t="n"/>
      <c r="AF91" s="283" t="n"/>
      <c r="AG91" s="283" t="n"/>
      <c r="AH91" s="283" t="n"/>
      <c r="AI91" s="283" t="n"/>
      <c r="AJ91" s="201" t="n"/>
      <c r="AK91" s="201" t="n"/>
      <c r="AL91" s="201" t="n"/>
      <c r="AM91" s="201" t="n"/>
      <c r="AN91" s="201" t="n"/>
      <c r="AO91" s="201" t="n"/>
      <c r="AP91" s="201" t="n"/>
      <c r="AQ91" s="201" t="n"/>
      <c r="AR91" s="201" t="n"/>
      <c r="AS91" s="201" t="n"/>
      <c r="AT91" s="201" t="n"/>
      <c r="AU91" s="201" t="n"/>
      <c r="AV91" s="283" t="n"/>
      <c r="AW91" s="286" t="n"/>
      <c r="AX91" s="201" t="n"/>
      <c r="AY91" s="201" t="inlineStr">
        <is>
          <t>-</t>
        </is>
      </c>
      <c r="AZ91" s="201" t="inlineStr">
        <is>
          <t>-</t>
        </is>
      </c>
      <c r="BA91" s="201" t="inlineStr">
        <is>
          <t>-</t>
        </is>
      </c>
      <c r="BB91" s="201" t="inlineStr">
        <is>
          <t>-</t>
        </is>
      </c>
      <c r="BC91" s="203">
        <f>SUMIFS(領用表!$L:$L,領用表!$A:$A,BC$2,領用表!$E:$E,B91)</f>
        <v/>
      </c>
      <c r="BD91" s="296">
        <f>SUMIFS(領用表!$L:$L,領用表!$E:$E,$B91,領用表!$B:$B,BC$2&amp;BD$2)</f>
        <v/>
      </c>
      <c r="BE91" s="296">
        <f>SUMIFS(領用表!$L:$L,領用表!$E:$E,$B91,領用表!$B:$B,$BC$2&amp;BE$2)</f>
        <v/>
      </c>
      <c r="BF91" s="296">
        <f>SUMIFS(領用表!$L:$L,領用表!$E:$E,$B91,領用表!$B:$B,$BC$2&amp;BF$2)</f>
        <v/>
      </c>
      <c r="BG91" s="206">
        <f>SUMIFS(領用表!$L:$L,領用表!$E:$E,$B91,領用表!$B:$B,$BC$2&amp;BG$2)</f>
        <v/>
      </c>
      <c r="BH91" s="203">
        <f>SUMIFS(領用表!$L:$L,領用表!$A:$A,BH$2,領用表!$E:$E,B91)</f>
        <v/>
      </c>
      <c r="BI91" s="260">
        <f>SUMIFS(領用表!$L:$L,領用表!$E:$E,$B91,領用表!$B:$B,BH$2&amp;BI$2)</f>
        <v/>
      </c>
      <c r="BJ91" s="260">
        <f>SUMIFS(領用表!$L:$L,領用表!$E:$E,$B91,領用表!$B:$B,$BH$2&amp;BJ$2)</f>
        <v/>
      </c>
      <c r="BK91" s="260">
        <f>SUMIFS(領用表!$L:$L,領用表!$E:$E,$B91,領用表!$B:$B,$BH$2&amp;BK$2)</f>
        <v/>
      </c>
      <c r="BL91" s="260">
        <f>SUMIFS(領用表!$L:$L,領用表!$E:$E,$B91,領用表!$B:$B,$BH$2&amp;BL$2)</f>
        <v/>
      </c>
      <c r="BM91" s="203">
        <f>SUMIFS(領用表!$L:$L,領用表!$A:$A,BM$2,領用表!$E:$E,B91)</f>
        <v/>
      </c>
      <c r="BN91" s="206">
        <f>SUMIFS(領用表!$L:$L,領用表!$E:$E,$B91,領用表!$B:$B,BM$2&amp;BN$2)</f>
        <v/>
      </c>
      <c r="BO91" s="206">
        <f>SUMIFS(領用表!$L:$L,領用表!$E:$E,$B91,領用表!$B:$B,$BM$2&amp;BO$2)</f>
        <v/>
      </c>
      <c r="BP91" s="297">
        <f>SUMIFS(領用表!$L:$L,領用表!$E:$E,$B91,領用表!$B:$B,$BM$2&amp;BP$2)</f>
        <v/>
      </c>
      <c r="BQ91" s="206">
        <f>SUMIFS(領用表!$L:$L,領用表!$E:$E,$B91,領用表!$B:$B,$BM$2&amp;BQ$2)</f>
        <v/>
      </c>
      <c r="BR91" s="203">
        <f>SUMIFS(領用表!$L:$L,領用表!$A:$A,BR$2,領用表!$E:$E,B91)</f>
        <v/>
      </c>
      <c r="BS91" s="297">
        <f>SUMIFS(領用表!$L:$L,領用表!$E:$E,$B91,領用表!$B:$B,BR$2&amp;BS$2)</f>
        <v/>
      </c>
      <c r="BT91" s="297">
        <f>SUMIFS(領用表!$L:$L,領用表!$E:$E,$B91,領用表!$B:$B,$BR$2&amp;BT$2)</f>
        <v/>
      </c>
      <c r="BU91" s="297">
        <f>SUMIFS(領用表!$L:$L,領用表!$E:$E,$B91,領用表!$B:$B,$BR$2&amp;BU$2)</f>
        <v/>
      </c>
      <c r="BV91" s="206">
        <f>SUMIFS(領用表!$L:$L,領用表!$E:$E,$B91,領用表!$B:$B,$BR$2&amp;BV$2)</f>
        <v/>
      </c>
      <c r="BW91" s="208">
        <f>SUMIFS(領用表!$L:$L,領用表!$A:$A,BW$2,領用表!$E:$E,B91)</f>
        <v/>
      </c>
      <c r="BX91" s="206">
        <f>SUMIFS(領用表!$L:$L,領用表!$E:$E,$B91,領用表!$B:$B,BW$2&amp;BX$2)</f>
        <v/>
      </c>
      <c r="BY91" s="206">
        <f>SUMIFS(領用表!$L:$L,領用表!$E:$E,$B91,領用表!$B:$B,$BW$2&amp;BY$2)</f>
        <v/>
      </c>
      <c r="BZ91" s="206">
        <f>SUMIFS(領用表!$L:$L,領用表!$E:$E,$B91,領用表!$B:$B,$BW$2&amp;BZ$2)</f>
        <v/>
      </c>
      <c r="CA91" s="206">
        <f>SUMIFS(領用表!$L:$L,領用表!$E:$E,$B91,領用表!$B:$B,$BW$2&amp;CA$2)</f>
        <v/>
      </c>
      <c r="CB91" s="208">
        <f>SUMIFS(領用表!$L:$L,領用表!$A:$A,CB$2,領用表!$E:$E,B91)</f>
        <v/>
      </c>
      <c r="CC91" s="206">
        <f>SUMIFS(領用表!$L:$L,領用表!$E:$E,$B91,領用表!$B:$B,CB$2&amp;CC$2)</f>
        <v/>
      </c>
      <c r="CD91" s="206">
        <f>SUMIFS(領用表!$L:$L,領用表!$E:$E,$B91,領用表!$B:$B,$CB$2&amp;CD$2)</f>
        <v/>
      </c>
      <c r="CE91" s="206">
        <f>SUMIFS(領用表!$L:$L,領用表!$E:$E,$B91,領用表!$B:$B,$CB$2&amp;CE$2)</f>
        <v/>
      </c>
      <c r="CF91" s="206">
        <f>SUMIFS(領用表!$L:$L,領用表!$E:$E,$B91,領用表!$B:$B,$CB$2&amp;CF$2)</f>
        <v/>
      </c>
      <c r="CG91" s="208">
        <f>SUMIFS(領用表!$L:$L,領用表!$A:$A,CG$2,領用表!$E:$E,B91)</f>
        <v/>
      </c>
      <c r="CH91" s="206">
        <f>SUMIFS(領用表!$L:$L,領用表!$E:$E,$B91,領用表!$B:$B,CG$2&amp;CH$2)</f>
        <v/>
      </c>
      <c r="CI91" s="206">
        <f>SUMIFS(領用表!$L:$L,領用表!$E:$E,$B91,領用表!$B:$B,CG$2&amp;CI$2)</f>
        <v/>
      </c>
      <c r="CJ91" s="206">
        <f>SUMIFS(領用表!$L:$L,領用表!$E:$E,$B91,領用表!$B:$B,CG$2&amp;CJ$2)</f>
        <v/>
      </c>
      <c r="CK91" s="206">
        <f>SUMIFS(領用表!$L:$L,領用表!$E:$E,$B91,領用表!$B:$B,$CG$2&amp;CK$2)</f>
        <v/>
      </c>
      <c r="CL91" s="207">
        <f>SUM(AX91,AY91,AZ91,BA91,BB91,BC91,BH91,BM91,BR91,BW91,CB91,CG91)</f>
        <v/>
      </c>
      <c r="CM91" s="207">
        <f>AVERAGE(AX91,AY91,AZ91,BA91,BB91,BC91,BH91,BM91,BR91,BW91,CB91,CG91)</f>
        <v/>
      </c>
      <c r="CN91" s="208">
        <f>SUMIFS(領用表!$L:$L,領用表!$A:$A,CN$2,領用表!$E:$E,B91)</f>
        <v/>
      </c>
      <c r="CO91" s="206">
        <f>SUMIFS(領用表!$L:$L,領用表!$E:$E,$B91,領用表!$B:$B,CN$2&amp;CO$2)</f>
        <v/>
      </c>
      <c r="CP91" s="206">
        <f>SUMIFS(領用表!$L:$L,領用表!$E:$E,$B91,領用表!$B:$B,$CN$2&amp;CP$2)</f>
        <v/>
      </c>
      <c r="CQ91" s="206">
        <f>SUMIFS(領用表!$L:$L,領用表!$E:$E,$B91,領用表!$B:$B,$CN$2&amp;CQ$2)</f>
        <v/>
      </c>
      <c r="CR91" s="206">
        <f>SUMIFS(領用表!$L:$L,領用表!$E:$E,$B91,領用表!$B:$B,$CN$2&amp;CR$2)</f>
        <v/>
      </c>
      <c r="CS91" s="208">
        <f>SUMIFS(領用表!$L:$L,領用表!$A:$A,CS$2,領用表!$E:$E,B91)</f>
        <v/>
      </c>
      <c r="CT91" s="206">
        <f>SUMIFS(領用表!$L:$L,領用表!$E:$E,$B91,領用表!$B:$B,CS$2&amp;CT$2)</f>
        <v/>
      </c>
      <c r="CU91" s="206">
        <f>SUMIFS(領用表!$L:$L,領用表!$E:$E,$B91,領用表!$B:$B,$CS$2&amp;CU$2)</f>
        <v/>
      </c>
      <c r="CV91" s="206">
        <f>SUMIFS(領用表!$L:$L,領用表!$E:$E,$B91,領用表!$B:$B,$CS$2&amp;CV$2)</f>
        <v/>
      </c>
      <c r="CW91" s="206">
        <f>SUMIFS(領用表!$L:$L,領用表!$E:$E,$B91,領用表!$B:$B,$CS$2&amp;CW$2)</f>
        <v/>
      </c>
      <c r="CX91" s="206">
        <f>SUMIFS(領用表!$L:$L,領用表!$E:$E,$B91,領用表!$B:$B,$CS$2&amp;CX$2)</f>
        <v/>
      </c>
      <c r="CY91" s="208">
        <f>SUMIFS(領用表!$L:$L,領用表!$A:$A,CY$2,領用表!$E:$E,B91)</f>
        <v/>
      </c>
      <c r="CZ91" s="206">
        <f>SUMIFS(領用表!$L:$L,領用表!$E:$E,$B91,領用表!$B:$B,CY$2&amp;CZ$2)</f>
        <v/>
      </c>
      <c r="DA91" s="206">
        <f>SUMIFS(領用表!$L:$L,領用表!$E:$E,$B91,領用表!$B:$B,$CY$2&amp;DA$2)</f>
        <v/>
      </c>
      <c r="DB91" s="206">
        <f>SUMIFS(領用表!$L:$L,領用表!$E:$E,$B91,領用表!$B:$B,$CY$2&amp;DB$2)</f>
        <v/>
      </c>
      <c r="DC91" s="206">
        <f>SUMIFS(領用表!$L:$L,領用表!$E:$E,$B91,領用表!$B:$B,$CY$2&amp;DC$2)</f>
        <v/>
      </c>
      <c r="DD91" s="206">
        <f>SUMIFS(領用表!$L:$L,領用表!$E:$E,$B91,領用表!$B:$B,$CY$2&amp;DD$2)</f>
        <v/>
      </c>
      <c r="DE91" s="208">
        <f>SUMIFS(領用表!$L:$L,領用表!$A:$A,DE$2,領用表!$E:$E,B91)</f>
        <v/>
      </c>
      <c r="DF91" s="206">
        <f>SUMIFS(領用表!$L:$L,領用表!$E:$E,$B91,領用表!$B:$B,DE$2&amp;DF$2)</f>
        <v/>
      </c>
      <c r="DG91" s="206">
        <f>SUMIFS(領用表!$L:$L,領用表!$E:$E,$B91,領用表!$B:$B,$DE$2&amp;DG$2)</f>
        <v/>
      </c>
      <c r="DH91" s="206">
        <f>SUMIFS(領用表!$L:$L,領用表!$E:$E,$B91,領用表!$B:$B,$DE$2&amp;DH$2)</f>
        <v/>
      </c>
      <c r="DI91" s="206">
        <f>SUMIFS(領用表!$L:$L,領用表!$E:$E,$B91,領用表!$B:$B,$DE$2&amp;DI$2)</f>
        <v/>
      </c>
      <c r="DJ91" s="206">
        <f>SUMIFS(領用表!$L:$L,領用表!$E:$E,$B91,領用表!$B:$B,$DE$2&amp;DJ$2)</f>
        <v/>
      </c>
      <c r="DK91" s="208">
        <f>SUMIFS(領用表!$L:$L,領用表!$A:$A,DK$2,領用表!$E:$E,$B91)</f>
        <v/>
      </c>
      <c r="DL91" s="206">
        <f>SUMIFS(領用表!$L:$L,領用表!$E:$E,$B91,領用表!$B:$B,DK$2&amp;DL$2)</f>
        <v/>
      </c>
      <c r="DM91" s="206">
        <f>SUMIFS(領用表!$L:$L,領用表!$E:$E,$B91,領用表!$B:$B,$DK$2&amp;DM$2)</f>
        <v/>
      </c>
      <c r="DN91" s="206">
        <f>SUMIFS(領用表!$L:$L,領用表!$E:$E,$B91,領用表!$B:$B,$DK$2&amp;DN$2)</f>
        <v/>
      </c>
      <c r="DO91" s="206">
        <f>SUMIFS(領用表!$L:$L,領用表!$E:$E,$B91,領用表!$B:$B,$DK$2&amp;DO$2)</f>
        <v/>
      </c>
      <c r="DP91" s="206">
        <f>SUMIFS(領用表!$L:$L,領用表!$E:$E,$B91,領用表!$B:$B,$DK$2&amp;DP$2)</f>
        <v/>
      </c>
      <c r="DQ91" s="208" t="n"/>
      <c r="DR91" s="206" t="n"/>
      <c r="DS91" s="206" t="n"/>
      <c r="DT91" s="206" t="n"/>
      <c r="DU91" s="206" t="n"/>
      <c r="DV91" s="206" t="n"/>
      <c r="DW91" s="206">
        <f>SUM(CN91,CS91,CY91,DE91,DK91,DQ91)</f>
        <v/>
      </c>
      <c r="DX91" s="206">
        <f>AVERAGEA(CN91,CS91,CY91,DE91,DK91,DQ91)</f>
        <v/>
      </c>
      <c r="DY91" s="206">
        <f>SUM(DZ91:EC91)</f>
        <v/>
      </c>
      <c r="DZ91" s="206" t="n">
        <v>0</v>
      </c>
      <c r="EA91" s="206" t="n">
        <v>50</v>
      </c>
      <c r="EB91" s="206" t="n">
        <v>0</v>
      </c>
      <c r="EC91" s="206" t="n">
        <v>120</v>
      </c>
      <c r="ED91" s="258" t="n"/>
      <c r="EE91" s="283" t="n"/>
      <c r="EF91" s="254" t="n"/>
      <c r="EG91" s="254" t="n"/>
      <c r="EH91" s="136" t="n"/>
      <c r="EI91" s="289" t="n"/>
      <c r="EJ91" s="118">
        <f>IFERROR(VLOOKUP(A91,站前4樓!A:BF,57,0),0)</f>
        <v/>
      </c>
      <c r="EK91" s="213">
        <f>IFERROR(VLOOKUP(A91,站前11樓!A:BE,57,0),0)</f>
        <v/>
      </c>
      <c r="EL91" s="118">
        <f>IFERROR(VLOOKUP(A91,忠孝7樓!A:N,57,0),0)</f>
        <v/>
      </c>
      <c r="EM91" s="118">
        <f>IFERROR(VLOOKUP(A91,忠孝國際醫學3樓!A:L,57,0),0)</f>
        <v/>
      </c>
      <c r="EN91" s="118">
        <f>SUM(ED91:EG91)</f>
        <v/>
      </c>
    </row>
    <row r="92" ht="15.75" customFormat="1" customHeight="1" s="118" thickBot="1">
      <c r="A92" s="136" t="n"/>
      <c r="B92" s="118" t="n">
        <v>6200020</v>
      </c>
      <c r="C92" s="186" t="inlineStr">
        <is>
          <t>(V)猛健樂7.5MG/0.2CC</t>
        </is>
      </c>
      <c r="D92" s="300" t="n">
        <v>0.2</v>
      </c>
      <c r="E92" s="301" t="inlineStr">
        <is>
          <t>cc</t>
        </is>
      </c>
      <c r="F92" s="225">
        <f>SUMIF(站前4樓!B:B,B92,站前4樓!F:F)</f>
        <v/>
      </c>
      <c r="G92" s="225">
        <f>SUMIF(站前11樓!B:B,B92,站前11樓!F:F)</f>
        <v/>
      </c>
      <c r="H92" s="225">
        <f>SUMIF(忠孝7樓!B:B,B92,忠孝7樓!G:G)</f>
        <v/>
      </c>
      <c r="I92" s="225">
        <f>SUMIF(忠孝國際醫學3樓!B:B,B92,忠孝國際醫學3樓!G:G)</f>
        <v/>
      </c>
      <c r="J92" s="225">
        <f>SUMIF(忠孝健康7樓!B:B,B92,忠孝健康7樓!G:G)</f>
        <v/>
      </c>
      <c r="K92" s="283" t="n"/>
      <c r="L92" s="283" t="n"/>
      <c r="M92" s="283" t="n"/>
      <c r="N92" s="283" t="n"/>
      <c r="O92" s="283" t="n"/>
      <c r="P92" s="283" t="n"/>
      <c r="Q92" s="283" t="n"/>
      <c r="R92" s="283" t="n"/>
      <c r="S92" s="283" t="n"/>
      <c r="T92" s="283" t="n"/>
      <c r="U92" s="283" t="n"/>
      <c r="V92" s="283" t="n"/>
      <c r="W92" s="283" t="n"/>
      <c r="X92" s="283" t="n"/>
      <c r="Y92" s="283" t="n"/>
      <c r="Z92" s="283" t="n"/>
      <c r="AA92" s="283" t="n"/>
      <c r="AB92" s="283" t="n"/>
      <c r="AC92" s="283" t="n"/>
      <c r="AD92" s="283" t="n"/>
      <c r="AE92" s="283" t="n"/>
      <c r="AF92" s="283" t="n"/>
      <c r="AG92" s="283" t="n"/>
      <c r="AH92" s="283" t="n"/>
      <c r="AI92" s="283" t="n"/>
      <c r="AJ92" s="201" t="n"/>
      <c r="AK92" s="201" t="n"/>
      <c r="AL92" s="201" t="n"/>
      <c r="AM92" s="201" t="n"/>
      <c r="AN92" s="201" t="n"/>
      <c r="AO92" s="201" t="n"/>
      <c r="AP92" s="201" t="n"/>
      <c r="AQ92" s="201" t="n"/>
      <c r="AR92" s="201" t="n"/>
      <c r="AS92" s="201" t="n"/>
      <c r="AT92" s="201" t="n"/>
      <c r="AU92" s="201" t="n"/>
      <c r="AV92" s="283" t="n"/>
      <c r="AW92" s="286" t="n"/>
      <c r="AX92" s="201" t="n"/>
      <c r="AY92" s="201" t="n"/>
      <c r="AZ92" s="201" t="n"/>
      <c r="BA92" s="201" t="n"/>
      <c r="BB92" s="201" t="n"/>
      <c r="BC92" s="203">
        <f>SUMIFS(領用表!$L:$L,領用表!$A:$A,BC$2,領用表!$E:$E,B92)</f>
        <v/>
      </c>
      <c r="BD92" s="296">
        <f>SUMIFS(領用表!$L:$L,領用表!$E:$E,$B92,領用表!$B:$B,BC$2&amp;BD$2)</f>
        <v/>
      </c>
      <c r="BE92" s="296">
        <f>SUMIFS(領用表!$L:$L,領用表!$E:$E,$B92,領用表!$B:$B,$BC$2&amp;BE$2)</f>
        <v/>
      </c>
      <c r="BF92" s="296">
        <f>SUMIFS(領用表!$L:$L,領用表!$E:$E,$B92,領用表!$B:$B,$BC$2&amp;BF$2)</f>
        <v/>
      </c>
      <c r="BG92" s="206">
        <f>SUMIFS(領用表!$L:$L,領用表!$E:$E,$B92,領用表!$B:$B,$BC$2&amp;BG$2)</f>
        <v/>
      </c>
      <c r="BH92" s="203">
        <f>SUMIFS(領用表!$L:$L,領用表!$A:$A,BH$2,領用表!$E:$E,B92)</f>
        <v/>
      </c>
      <c r="BI92" s="260">
        <f>SUMIFS(領用表!$L:$L,領用表!$E:$E,$B92,領用表!$B:$B,BH$2&amp;BI$2)</f>
        <v/>
      </c>
      <c r="BJ92" s="260">
        <f>SUMIFS(領用表!$L:$L,領用表!$E:$E,$B92,領用表!$B:$B,$BH$2&amp;BJ$2)</f>
        <v/>
      </c>
      <c r="BK92" s="260">
        <f>SUMIFS(領用表!$L:$L,領用表!$E:$E,$B92,領用表!$B:$B,$BH$2&amp;BK$2)</f>
        <v/>
      </c>
      <c r="BL92" s="260">
        <f>SUMIFS(領用表!$L:$L,領用表!$E:$E,$B92,領用表!$B:$B,$BH$2&amp;BL$2)</f>
        <v/>
      </c>
      <c r="BM92" s="203">
        <f>SUMIFS(領用表!$L:$L,領用表!$A:$A,BM$2,領用表!$E:$E,B92)</f>
        <v/>
      </c>
      <c r="BN92" s="206">
        <f>SUMIFS(領用表!$L:$L,領用表!$E:$E,$B92,領用表!$B:$B,BM$2&amp;BN$2)</f>
        <v/>
      </c>
      <c r="BO92" s="206">
        <f>SUMIFS(領用表!$L:$L,領用表!$E:$E,$B92,領用表!$B:$B,$BM$2&amp;BO$2)</f>
        <v/>
      </c>
      <c r="BP92" s="297">
        <f>SUMIFS(領用表!$L:$L,領用表!$E:$E,$B92,領用表!$B:$B,$BM$2&amp;BP$2)</f>
        <v/>
      </c>
      <c r="BQ92" s="206">
        <f>SUMIFS(領用表!$L:$L,領用表!$E:$E,$B92,領用表!$B:$B,$BM$2&amp;BQ$2)</f>
        <v/>
      </c>
      <c r="BR92" s="203">
        <f>SUMIFS(領用表!$L:$L,領用表!$A:$A,BR$2,領用表!$E:$E,B92)</f>
        <v/>
      </c>
      <c r="BS92" s="297">
        <f>SUMIFS(領用表!$L:$L,領用表!$E:$E,$B92,領用表!$B:$B,BR$2&amp;BS$2)</f>
        <v/>
      </c>
      <c r="BT92" s="297">
        <f>SUMIFS(領用表!$L:$L,領用表!$E:$E,$B92,領用表!$B:$B,$BR$2&amp;BT$2)</f>
        <v/>
      </c>
      <c r="BU92" s="297">
        <f>SUMIFS(領用表!$L:$L,領用表!$E:$E,$B92,領用表!$B:$B,$BR$2&amp;BU$2)</f>
        <v/>
      </c>
      <c r="BV92" s="206">
        <f>SUMIFS(領用表!$L:$L,領用表!$E:$E,$B92,領用表!$B:$B,$BR$2&amp;BV$2)</f>
        <v/>
      </c>
      <c r="BW92" s="208">
        <f>SUMIFS(領用表!$L:$L,領用表!$A:$A,BW$2,領用表!$E:$E,B92)</f>
        <v/>
      </c>
      <c r="BX92" s="206">
        <f>SUMIFS(領用表!$L:$L,領用表!$E:$E,$B92,領用表!$B:$B,BW$2&amp;BX$2)</f>
        <v/>
      </c>
      <c r="BY92" s="206">
        <f>SUMIFS(領用表!$L:$L,領用表!$E:$E,$B92,領用表!$B:$B,$BW$2&amp;BY$2)</f>
        <v/>
      </c>
      <c r="BZ92" s="206">
        <f>SUMIFS(領用表!$L:$L,領用表!$E:$E,$B92,領用表!$B:$B,$BW$2&amp;BZ$2)</f>
        <v/>
      </c>
      <c r="CA92" s="206">
        <f>SUMIFS(領用表!$L:$L,領用表!$E:$E,$B92,領用表!$B:$B,$BW$2&amp;CA$2)</f>
        <v/>
      </c>
      <c r="CB92" s="208">
        <f>SUMIFS(領用表!$L:$L,領用表!$A:$A,CB$2,領用表!$E:$E,B92)</f>
        <v/>
      </c>
      <c r="CC92" s="206">
        <f>SUMIFS(領用表!$L:$L,領用表!$E:$E,$B92,領用表!$B:$B,CB$2&amp;CC$2)</f>
        <v/>
      </c>
      <c r="CD92" s="206">
        <f>SUMIFS(領用表!$L:$L,領用表!$E:$E,$B92,領用表!$B:$B,$CB$2&amp;CD$2)</f>
        <v/>
      </c>
      <c r="CE92" s="206">
        <f>SUMIFS(領用表!$L:$L,領用表!$E:$E,$B92,領用表!$B:$B,$CB$2&amp;CE$2)</f>
        <v/>
      </c>
      <c r="CF92" s="206">
        <f>SUMIFS(領用表!$L:$L,領用表!$E:$E,$B92,領用表!$B:$B,$CB$2&amp;CF$2)</f>
        <v/>
      </c>
      <c r="CG92" s="208">
        <f>SUMIFS(領用表!$L:$L,領用表!$A:$A,CG$2,領用表!$E:$E,B92)</f>
        <v/>
      </c>
      <c r="CH92" s="206">
        <f>SUMIFS(領用表!$L:$L,領用表!$E:$E,$B92,領用表!$B:$B,CG$2&amp;CH$2)</f>
        <v/>
      </c>
      <c r="CI92" s="206">
        <f>SUMIFS(領用表!$L:$L,領用表!$E:$E,$B92,領用表!$B:$B,CG$2&amp;CI$2)</f>
        <v/>
      </c>
      <c r="CJ92" s="206">
        <f>SUMIFS(領用表!$L:$L,領用表!$E:$E,$B92,領用表!$B:$B,CG$2&amp;CJ$2)</f>
        <v/>
      </c>
      <c r="CK92" s="206">
        <f>SUMIFS(領用表!$L:$L,領用表!$E:$E,$B92,領用表!$B:$B,$CG$2&amp;CK$2)</f>
        <v/>
      </c>
      <c r="CL92" s="207">
        <f>SUM(AX92,AY92,AZ92,BA92,BB92,BC92,BH92,BM92,BR92,BW92,CB92,CG92)</f>
        <v/>
      </c>
      <c r="CM92" s="207">
        <f>AVERAGE(AX92,AY92,AZ92,BA92,BB92,BC92,BH92,BM92,BR92,BW92,CB92,CG92)</f>
        <v/>
      </c>
      <c r="CN92" s="208">
        <f>SUMIFS(領用表!$L:$L,領用表!$A:$A,CN$2,領用表!$E:$E,B92)</f>
        <v/>
      </c>
      <c r="CO92" s="206">
        <f>SUMIFS(領用表!$L:$L,領用表!$E:$E,$B92,領用表!$B:$B,CN$2&amp;CO$2)</f>
        <v/>
      </c>
      <c r="CP92" s="206">
        <f>SUMIFS(領用表!$L:$L,領用表!$E:$E,$B92,領用表!$B:$B,$CN$2&amp;CP$2)</f>
        <v/>
      </c>
      <c r="CQ92" s="206">
        <f>SUMIFS(領用表!$L:$L,領用表!$E:$E,$B92,領用表!$B:$B,$CN$2&amp;CQ$2)</f>
        <v/>
      </c>
      <c r="CR92" s="206">
        <f>SUMIFS(領用表!$L:$L,領用表!$E:$E,$B92,領用表!$B:$B,$CN$2&amp;CR$2)</f>
        <v/>
      </c>
      <c r="CS92" s="208">
        <f>SUMIFS(領用表!$L:$L,領用表!$A:$A,CS$2,領用表!$E:$E,B92)</f>
        <v/>
      </c>
      <c r="CT92" s="206">
        <f>SUMIFS(領用表!$L:$L,領用表!$E:$E,$B92,領用表!$B:$B,CS$2&amp;CT$2)</f>
        <v/>
      </c>
      <c r="CU92" s="206">
        <f>SUMIFS(領用表!$L:$L,領用表!$E:$E,$B92,領用表!$B:$B,$CS$2&amp;CU$2)</f>
        <v/>
      </c>
      <c r="CV92" s="206">
        <f>SUMIFS(領用表!$L:$L,領用表!$E:$E,$B92,領用表!$B:$B,$CS$2&amp;CV$2)</f>
        <v/>
      </c>
      <c r="CW92" s="206">
        <f>SUMIFS(領用表!$L:$L,領用表!$E:$E,$B92,領用表!$B:$B,$CS$2&amp;CW$2)</f>
        <v/>
      </c>
      <c r="CX92" s="206">
        <f>SUMIFS(領用表!$L:$L,領用表!$E:$E,$B92,領用表!$B:$B,$CS$2&amp;CX$2)</f>
        <v/>
      </c>
      <c r="CY92" s="208">
        <f>SUMIFS(領用表!$L:$L,領用表!$A:$A,CY$2,領用表!$E:$E,B92)</f>
        <v/>
      </c>
      <c r="CZ92" s="206">
        <f>SUMIFS(領用表!$L:$L,領用表!$E:$E,$B92,領用表!$B:$B,CY$2&amp;CZ$2)</f>
        <v/>
      </c>
      <c r="DA92" s="206">
        <f>SUMIFS(領用表!$L:$L,領用表!$E:$E,$B92,領用表!$B:$B,$CY$2&amp;DA$2)</f>
        <v/>
      </c>
      <c r="DB92" s="206">
        <f>SUMIFS(領用表!$L:$L,領用表!$E:$E,$B92,領用表!$B:$B,$CY$2&amp;DB$2)</f>
        <v/>
      </c>
      <c r="DC92" s="206">
        <f>SUMIFS(領用表!$L:$L,領用表!$E:$E,$B92,領用表!$B:$B,$CY$2&amp;DC$2)</f>
        <v/>
      </c>
      <c r="DD92" s="206">
        <f>SUMIFS(領用表!$L:$L,領用表!$E:$E,$B92,領用表!$B:$B,$CY$2&amp;DD$2)</f>
        <v/>
      </c>
      <c r="DE92" s="208">
        <f>SUMIFS(領用表!$L:$L,領用表!$A:$A,DE$2,領用表!$E:$E,B92)</f>
        <v/>
      </c>
      <c r="DF92" s="206">
        <f>SUMIFS(領用表!$L:$L,領用表!$E:$E,$B92,領用表!$B:$B,DE$2&amp;DF$2)</f>
        <v/>
      </c>
      <c r="DG92" s="206">
        <f>SUMIFS(領用表!$L:$L,領用表!$E:$E,$B92,領用表!$B:$B,$DE$2&amp;DG$2)</f>
        <v/>
      </c>
      <c r="DH92" s="206">
        <f>SUMIFS(領用表!$L:$L,領用表!$E:$E,$B92,領用表!$B:$B,$DE$2&amp;DH$2)</f>
        <v/>
      </c>
      <c r="DI92" s="206">
        <f>SUMIFS(領用表!$L:$L,領用表!$E:$E,$B92,領用表!$B:$B,$DE$2&amp;DI$2)</f>
        <v/>
      </c>
      <c r="DJ92" s="206">
        <f>SUMIFS(領用表!$L:$L,領用表!$E:$E,$B92,領用表!$B:$B,$DE$2&amp;DJ$2)</f>
        <v/>
      </c>
      <c r="DK92" s="208">
        <f>SUMIFS(領用表!$L:$L,領用表!$A:$A,DK$2,領用表!$E:$E,$B92)</f>
        <v/>
      </c>
      <c r="DL92" s="206">
        <f>SUMIFS(領用表!$L:$L,領用表!$E:$E,$B92,領用表!$B:$B,DK$2&amp;DL$2)</f>
        <v/>
      </c>
      <c r="DM92" s="206">
        <f>SUMIFS(領用表!$L:$L,領用表!$E:$E,$B92,領用表!$B:$B,$DK$2&amp;DM$2)</f>
        <v/>
      </c>
      <c r="DN92" s="206">
        <f>SUMIFS(領用表!$L:$L,領用表!$E:$E,$B92,領用表!$B:$B,$DK$2&amp;DN$2)</f>
        <v/>
      </c>
      <c r="DO92" s="206">
        <f>SUMIFS(領用表!$L:$L,領用表!$E:$E,$B92,領用表!$B:$B,$DK$2&amp;DO$2)</f>
        <v/>
      </c>
      <c r="DP92" s="206">
        <f>SUMIFS(領用表!$L:$L,領用表!$E:$E,$B92,領用表!$B:$B,$DK$2&amp;DP$2)</f>
        <v/>
      </c>
      <c r="DQ92" s="208" t="n">
        <v>1</v>
      </c>
      <c r="DR92" s="206" t="n"/>
      <c r="DS92" s="206" t="n"/>
      <c r="DT92" s="206" t="n"/>
      <c r="DU92" s="206" t="n">
        <v>1</v>
      </c>
      <c r="DV92" s="206" t="n"/>
      <c r="DW92" s="206">
        <f>SUM(CN92,CS92,CY92,DE92,DK92,DQ92)</f>
        <v/>
      </c>
      <c r="DX92" s="206">
        <f>AVERAGEA(CN92,CS92,CY92,DE92,DK92,DQ92)</f>
        <v/>
      </c>
      <c r="DY92" s="206">
        <f>SUM(DZ92:EC92)</f>
        <v/>
      </c>
      <c r="DZ92" s="206" t="n">
        <v>0</v>
      </c>
      <c r="EA92" s="206" t="n">
        <v>0</v>
      </c>
      <c r="EB92" s="206" t="n">
        <v>0</v>
      </c>
      <c r="EC92" s="206" t="n">
        <v>0</v>
      </c>
      <c r="ED92" s="258" t="n"/>
      <c r="EE92" s="283" t="n"/>
      <c r="EF92" s="254" t="n"/>
      <c r="EG92" s="254" t="n"/>
      <c r="EH92" s="136" t="n"/>
      <c r="EI92" s="289" t="n"/>
      <c r="EK92" s="213" t="n"/>
    </row>
    <row r="93" ht="15.75" customFormat="1" customHeight="1" s="118" thickBot="1">
      <c r="A93" s="136" t="n"/>
      <c r="B93" s="118" t="n">
        <v>6200017</v>
      </c>
      <c r="C93" s="186" t="inlineStr">
        <is>
          <t>(V)猛健樂10MG/0.15CC</t>
        </is>
      </c>
      <c r="D93" s="302" t="n">
        <v>0.15</v>
      </c>
      <c r="E93" s="303" t="inlineStr">
        <is>
          <t>cc</t>
        </is>
      </c>
      <c r="F93" s="225">
        <f>SUMIF(站前4樓!B:B,B93,站前4樓!F:F)</f>
        <v/>
      </c>
      <c r="G93" s="225">
        <f>SUMIF(站前11樓!B:B,B93,站前11樓!F:F)</f>
        <v/>
      </c>
      <c r="H93" s="225">
        <f>SUMIF(忠孝7樓!B:B,B93,忠孝7樓!G:G)</f>
        <v/>
      </c>
      <c r="I93" s="225">
        <f>SUMIF(忠孝國際醫學3樓!B:B,B93,忠孝國際醫學3樓!G:G)</f>
        <v/>
      </c>
      <c r="J93" s="225">
        <f>SUMIF(忠孝健康7樓!B:B,B93,忠孝健康7樓!G:G)</f>
        <v/>
      </c>
      <c r="K93" s="283" t="n"/>
      <c r="L93" s="283" t="n"/>
      <c r="M93" s="283" t="n"/>
      <c r="N93" s="283" t="n"/>
      <c r="O93" s="283" t="n"/>
      <c r="P93" s="283" t="n"/>
      <c r="Q93" s="283" t="n"/>
      <c r="R93" s="283" t="n"/>
      <c r="S93" s="283" t="n"/>
      <c r="T93" s="283" t="n"/>
      <c r="U93" s="283" t="n"/>
      <c r="V93" s="283" t="n"/>
      <c r="W93" s="283" t="n"/>
      <c r="X93" s="283" t="n"/>
      <c r="Y93" s="283" t="n"/>
      <c r="Z93" s="283" t="n"/>
      <c r="AA93" s="283" t="n"/>
      <c r="AB93" s="283" t="n"/>
      <c r="AC93" s="283" t="n"/>
      <c r="AD93" s="283" t="n"/>
      <c r="AE93" s="283" t="n"/>
      <c r="AF93" s="283" t="n"/>
      <c r="AG93" s="283" t="n"/>
      <c r="AH93" s="283" t="n"/>
      <c r="AI93" s="283" t="n"/>
      <c r="AJ93" s="201" t="n"/>
      <c r="AK93" s="201" t="n"/>
      <c r="AL93" s="201" t="n"/>
      <c r="AM93" s="201" t="n"/>
      <c r="AN93" s="201" t="n"/>
      <c r="AO93" s="201" t="n"/>
      <c r="AP93" s="201" t="n"/>
      <c r="AQ93" s="201" t="n"/>
      <c r="AR93" s="201" t="n"/>
      <c r="AS93" s="201" t="n"/>
      <c r="AT93" s="201" t="n"/>
      <c r="AU93" s="201" t="n"/>
      <c r="AV93" s="283" t="n"/>
      <c r="AW93" s="286" t="n"/>
      <c r="AX93" s="201" t="n"/>
      <c r="AY93" s="201" t="n"/>
      <c r="AZ93" s="201" t="n"/>
      <c r="BA93" s="201" t="n"/>
      <c r="BB93" s="201" t="n"/>
      <c r="BC93" s="203">
        <f>SUMIFS(領用表!$L:$L,領用表!$A:$A,BC$2,領用表!$E:$E,B93)</f>
        <v/>
      </c>
      <c r="BD93" s="296">
        <f>SUMIFS(領用表!$L:$L,領用表!$E:$E,$B93,領用表!$B:$B,BC$2&amp;BD$2)</f>
        <v/>
      </c>
      <c r="BE93" s="296">
        <f>SUMIFS(領用表!$L:$L,領用表!$E:$E,$B93,領用表!$B:$B,$BC$2&amp;BE$2)</f>
        <v/>
      </c>
      <c r="BF93" s="296">
        <f>SUMIFS(領用表!$L:$L,領用表!$E:$E,$B93,領用表!$B:$B,$BC$2&amp;BF$2)</f>
        <v/>
      </c>
      <c r="BG93" s="206">
        <f>SUMIFS(領用表!$L:$L,領用表!$E:$E,$B93,領用表!$B:$B,$BC$2&amp;BG$2)</f>
        <v/>
      </c>
      <c r="BH93" s="203">
        <f>SUMIFS(領用表!$L:$L,領用表!$A:$A,BH$2,領用表!$E:$E,B93)</f>
        <v/>
      </c>
      <c r="BI93" s="260">
        <f>SUMIFS(領用表!$L:$L,領用表!$E:$E,$B93,領用表!$B:$B,BH$2&amp;BI$2)</f>
        <v/>
      </c>
      <c r="BJ93" s="260">
        <f>SUMIFS(領用表!$L:$L,領用表!$E:$E,$B93,領用表!$B:$B,$BH$2&amp;BJ$2)</f>
        <v/>
      </c>
      <c r="BK93" s="260">
        <f>SUMIFS(領用表!$L:$L,領用表!$E:$E,$B93,領用表!$B:$B,$BH$2&amp;BK$2)</f>
        <v/>
      </c>
      <c r="BL93" s="260">
        <f>SUMIFS(領用表!$L:$L,領用表!$E:$E,$B93,領用表!$B:$B,$BH$2&amp;BL$2)</f>
        <v/>
      </c>
      <c r="BM93" s="203">
        <f>SUMIFS(領用表!$L:$L,領用表!$A:$A,BM$2,領用表!$E:$E,B93)</f>
        <v/>
      </c>
      <c r="BN93" s="206">
        <f>SUMIFS(領用表!$L:$L,領用表!$E:$E,$B93,領用表!$B:$B,BM$2&amp;BN$2)</f>
        <v/>
      </c>
      <c r="BO93" s="206">
        <f>SUMIFS(領用表!$L:$L,領用表!$E:$E,$B93,領用表!$B:$B,$BM$2&amp;BO$2)</f>
        <v/>
      </c>
      <c r="BP93" s="297">
        <f>SUMIFS(領用表!$L:$L,領用表!$E:$E,$B93,領用表!$B:$B,$BM$2&amp;BP$2)</f>
        <v/>
      </c>
      <c r="BQ93" s="206">
        <f>SUMIFS(領用表!$L:$L,領用表!$E:$E,$B93,領用表!$B:$B,$BM$2&amp;BQ$2)</f>
        <v/>
      </c>
      <c r="BR93" s="203">
        <f>SUMIFS(領用表!$L:$L,領用表!$A:$A,BR$2,領用表!$E:$E,B93)</f>
        <v/>
      </c>
      <c r="BS93" s="297">
        <f>SUMIFS(領用表!$L:$L,領用表!$E:$E,$B93,領用表!$B:$B,BR$2&amp;BS$2)</f>
        <v/>
      </c>
      <c r="BT93" s="297">
        <f>SUMIFS(領用表!$L:$L,領用表!$E:$E,$B93,領用表!$B:$B,$BR$2&amp;BT$2)</f>
        <v/>
      </c>
      <c r="BU93" s="297">
        <f>SUMIFS(領用表!$L:$L,領用表!$E:$E,$B93,領用表!$B:$B,$BR$2&amp;BU$2)</f>
        <v/>
      </c>
      <c r="BV93" s="206">
        <f>SUMIFS(領用表!$L:$L,領用表!$E:$E,$B93,領用表!$B:$B,$BR$2&amp;BV$2)</f>
        <v/>
      </c>
      <c r="BW93" s="208">
        <f>SUMIFS(領用表!$L:$L,領用表!$A:$A,BW$2,領用表!$E:$E,B93)</f>
        <v/>
      </c>
      <c r="BX93" s="206">
        <f>SUMIFS(領用表!$L:$L,領用表!$E:$E,$B93,領用表!$B:$B,BW$2&amp;BX$2)</f>
        <v/>
      </c>
      <c r="BY93" s="206">
        <f>SUMIFS(領用表!$L:$L,領用表!$E:$E,$B93,領用表!$B:$B,$BW$2&amp;BY$2)</f>
        <v/>
      </c>
      <c r="BZ93" s="206">
        <f>SUMIFS(領用表!$L:$L,領用表!$E:$E,$B93,領用表!$B:$B,$BW$2&amp;BZ$2)</f>
        <v/>
      </c>
      <c r="CA93" s="206">
        <f>SUMIFS(領用表!$L:$L,領用表!$E:$E,$B93,領用表!$B:$B,$BW$2&amp;CA$2)</f>
        <v/>
      </c>
      <c r="CB93" s="208">
        <f>SUMIFS(領用表!$L:$L,領用表!$A:$A,CB$2,領用表!$E:$E,B93)</f>
        <v/>
      </c>
      <c r="CC93" s="206">
        <f>SUMIFS(領用表!$L:$L,領用表!$E:$E,$B93,領用表!$B:$B,CB$2&amp;CC$2)</f>
        <v/>
      </c>
      <c r="CD93" s="206">
        <f>SUMIFS(領用表!$L:$L,領用表!$E:$E,$B93,領用表!$B:$B,$CB$2&amp;CD$2)</f>
        <v/>
      </c>
      <c r="CE93" s="206">
        <f>SUMIFS(領用表!$L:$L,領用表!$E:$E,$B93,領用表!$B:$B,$CB$2&amp;CE$2)</f>
        <v/>
      </c>
      <c r="CF93" s="206">
        <f>SUMIFS(領用表!$L:$L,領用表!$E:$E,$B93,領用表!$B:$B,$CB$2&amp;CF$2)</f>
        <v/>
      </c>
      <c r="CG93" s="208">
        <f>SUMIFS(領用表!$L:$L,領用表!$A:$A,CG$2,領用表!$E:$E,B93)</f>
        <v/>
      </c>
      <c r="CH93" s="206">
        <f>SUMIFS(領用表!$L:$L,領用表!$E:$E,$B93,領用表!$B:$B,CG$2&amp;CH$2)</f>
        <v/>
      </c>
      <c r="CI93" s="206">
        <f>SUMIFS(領用表!$L:$L,領用表!$E:$E,$B93,領用表!$B:$B,CG$2&amp;CI$2)</f>
        <v/>
      </c>
      <c r="CJ93" s="206">
        <f>SUMIFS(領用表!$L:$L,領用表!$E:$E,$B93,領用表!$B:$B,CG$2&amp;CJ$2)</f>
        <v/>
      </c>
      <c r="CK93" s="206">
        <f>SUMIFS(領用表!$L:$L,領用表!$E:$E,$B93,領用表!$B:$B,$CG$2&amp;CK$2)</f>
        <v/>
      </c>
      <c r="CL93" s="207">
        <f>SUM(AX93,AY93,AZ93,BA93,BB93,BC93,BH93,BM93,BR93,BW93,CB93,CG93)</f>
        <v/>
      </c>
      <c r="CM93" s="207">
        <f>AVERAGE(AX93,AY93,AZ93,BA93,BB93,BC93,BH93,BM93,BR93,BW93,CB93,CG93)</f>
        <v/>
      </c>
      <c r="CN93" s="208">
        <f>SUMIFS(領用表!$L:$L,領用表!$A:$A,CN$2,領用表!$E:$E,B93)</f>
        <v/>
      </c>
      <c r="CO93" s="206">
        <f>SUMIFS(領用表!$L:$L,領用表!$E:$E,$B93,領用表!$B:$B,CN$2&amp;CO$2)</f>
        <v/>
      </c>
      <c r="CP93" s="206">
        <f>SUMIFS(領用表!$L:$L,領用表!$E:$E,$B93,領用表!$B:$B,$CN$2&amp;CP$2)</f>
        <v/>
      </c>
      <c r="CQ93" s="206">
        <f>SUMIFS(領用表!$L:$L,領用表!$E:$E,$B93,領用表!$B:$B,$CN$2&amp;CQ$2)</f>
        <v/>
      </c>
      <c r="CR93" s="206">
        <f>SUMIFS(領用表!$L:$L,領用表!$E:$E,$B93,領用表!$B:$B,$CN$2&amp;CR$2)</f>
        <v/>
      </c>
      <c r="CS93" s="208">
        <f>SUMIFS(領用表!$L:$L,領用表!$A:$A,CS$2,領用表!$E:$E,B93)</f>
        <v/>
      </c>
      <c r="CT93" s="206">
        <f>SUMIFS(領用表!$L:$L,領用表!$E:$E,$B93,領用表!$B:$B,CS$2&amp;CT$2)</f>
        <v/>
      </c>
      <c r="CU93" s="206">
        <f>SUMIFS(領用表!$L:$L,領用表!$E:$E,$B93,領用表!$B:$B,$CS$2&amp;CU$2)</f>
        <v/>
      </c>
      <c r="CV93" s="206">
        <f>SUMIFS(領用表!$L:$L,領用表!$E:$E,$B93,領用表!$B:$B,$CS$2&amp;CV$2)</f>
        <v/>
      </c>
      <c r="CW93" s="206">
        <f>SUMIFS(領用表!$L:$L,領用表!$E:$E,$B93,領用表!$B:$B,$CS$2&amp;CW$2)</f>
        <v/>
      </c>
      <c r="CX93" s="206">
        <f>SUMIFS(領用表!$L:$L,領用表!$E:$E,$B93,領用表!$B:$B,$CS$2&amp;CX$2)</f>
        <v/>
      </c>
      <c r="CY93" s="208">
        <f>SUMIFS(領用表!$L:$L,領用表!$A:$A,CY$2,領用表!$E:$E,B93)</f>
        <v/>
      </c>
      <c r="CZ93" s="206">
        <f>SUMIFS(領用表!$L:$L,領用表!$E:$E,$B93,領用表!$B:$B,CY$2&amp;CZ$2)</f>
        <v/>
      </c>
      <c r="DA93" s="206">
        <f>SUMIFS(領用表!$L:$L,領用表!$E:$E,$B93,領用表!$B:$B,$CY$2&amp;DA$2)</f>
        <v/>
      </c>
      <c r="DB93" s="206">
        <f>SUMIFS(領用表!$L:$L,領用表!$E:$E,$B93,領用表!$B:$B,$CY$2&amp;DB$2)</f>
        <v/>
      </c>
      <c r="DC93" s="206">
        <f>SUMIFS(領用表!$L:$L,領用表!$E:$E,$B93,領用表!$B:$B,$CY$2&amp;DC$2)</f>
        <v/>
      </c>
      <c r="DD93" s="206">
        <f>SUMIFS(領用表!$L:$L,領用表!$E:$E,$B93,領用表!$B:$B,$CY$2&amp;DD$2)</f>
        <v/>
      </c>
      <c r="DE93" s="208">
        <f>SUMIFS(領用表!$L:$L,領用表!$A:$A,DE$2,領用表!$E:$E,B93)</f>
        <v/>
      </c>
      <c r="DF93" s="206">
        <f>SUMIFS(領用表!$L:$L,領用表!$E:$E,$B93,領用表!$B:$B,DE$2&amp;DF$2)</f>
        <v/>
      </c>
      <c r="DG93" s="206">
        <f>SUMIFS(領用表!$L:$L,領用表!$E:$E,$B93,領用表!$B:$B,$DE$2&amp;DG$2)</f>
        <v/>
      </c>
      <c r="DH93" s="206">
        <f>SUMIFS(領用表!$L:$L,領用表!$E:$E,$B93,領用表!$B:$B,$DE$2&amp;DH$2)</f>
        <v/>
      </c>
      <c r="DI93" s="206">
        <f>SUMIFS(領用表!$L:$L,領用表!$E:$E,$B93,領用表!$B:$B,$DE$2&amp;DI$2)</f>
        <v/>
      </c>
      <c r="DJ93" s="206">
        <f>SUMIFS(領用表!$L:$L,領用表!$E:$E,$B93,領用表!$B:$B,$DE$2&amp;DJ$2)</f>
        <v/>
      </c>
      <c r="DK93" s="208">
        <f>SUMIFS(領用表!$L:$L,領用表!$A:$A,DK$2,領用表!$E:$E,$B93)</f>
        <v/>
      </c>
      <c r="DL93" s="206">
        <f>SUMIFS(領用表!$L:$L,領用表!$E:$E,$B93,領用表!$B:$B,DK$2&amp;DL$2)</f>
        <v/>
      </c>
      <c r="DM93" s="206">
        <f>SUMIFS(領用表!$L:$L,領用表!$E:$E,$B93,領用表!$B:$B,$DK$2&amp;DM$2)</f>
        <v/>
      </c>
      <c r="DN93" s="206">
        <f>SUMIFS(領用表!$L:$L,領用表!$E:$E,$B93,領用表!$B:$B,$DK$2&amp;DN$2)</f>
        <v/>
      </c>
      <c r="DO93" s="206">
        <f>SUMIFS(領用表!$L:$L,領用表!$E:$E,$B93,領用表!$B:$B,$DK$2&amp;DO$2)</f>
        <v/>
      </c>
      <c r="DP93" s="206">
        <f>SUMIFS(領用表!$L:$L,領用表!$E:$E,$B93,領用表!$B:$B,$DK$2&amp;DP$2)</f>
        <v/>
      </c>
      <c r="DQ93" s="208" t="n">
        <v>611.9</v>
      </c>
      <c r="DR93" s="206" t="n"/>
      <c r="DS93" s="206" t="n">
        <v>186</v>
      </c>
      <c r="DT93" s="206" t="n"/>
      <c r="DU93" s="206" t="n">
        <v>425.9</v>
      </c>
      <c r="DV93" s="206" t="n"/>
      <c r="DW93" s="206">
        <f>SUM(CN93,CS93,CY93,DE93,DK93,DQ93)</f>
        <v/>
      </c>
      <c r="DX93" s="206">
        <f>AVERAGEA(CN93,CS93,CY93,DE93,DK93,DQ93)</f>
        <v/>
      </c>
      <c r="DY93" s="206">
        <f>SUM(DZ93:EC93)</f>
        <v/>
      </c>
      <c r="DZ93" s="206" t="n">
        <v>0</v>
      </c>
      <c r="EA93" s="206" t="n">
        <v>0</v>
      </c>
      <c r="EB93" s="206" t="n">
        <v>0</v>
      </c>
      <c r="EC93" s="206" t="n">
        <v>0</v>
      </c>
      <c r="ED93" s="258" t="n"/>
      <c r="EE93" s="283" t="n"/>
      <c r="EF93" s="254" t="n"/>
      <c r="EG93" s="254" t="n"/>
      <c r="EH93" s="136" t="n"/>
      <c r="EI93" s="289" t="n"/>
      <c r="EK93" s="213" t="n"/>
    </row>
    <row r="94" ht="15.75" customFormat="1" customHeight="1" s="118" thickBot="1">
      <c r="A94" s="136" t="n"/>
      <c r="B94" s="118" t="n">
        <v>6200021</v>
      </c>
      <c r="C94" s="186" t="inlineStr">
        <is>
          <t>(V)猛健樂12.5MG/0.12CC</t>
        </is>
      </c>
      <c r="D94" s="302" t="n">
        <v>0.12</v>
      </c>
      <c r="E94" s="303" t="inlineStr">
        <is>
          <t>cc</t>
        </is>
      </c>
      <c r="F94" s="225">
        <f>SUMIF(站前4樓!B:B,B94,站前4樓!F:F)</f>
        <v/>
      </c>
      <c r="G94" s="225">
        <f>SUMIF(站前11樓!B:B,B94,站前11樓!F:F)</f>
        <v/>
      </c>
      <c r="H94" s="225">
        <f>SUMIF(忠孝7樓!B:B,B94,忠孝7樓!G:G)</f>
        <v/>
      </c>
      <c r="I94" s="225">
        <f>SUMIF(忠孝國際醫學3樓!B:B,B94,忠孝國際醫學3樓!G:G)</f>
        <v/>
      </c>
      <c r="J94" s="225">
        <f>SUMIF(忠孝健康7樓!B:B,B94,忠孝健康7樓!G:G)</f>
        <v/>
      </c>
      <c r="K94" s="283" t="n"/>
      <c r="L94" s="283" t="n"/>
      <c r="M94" s="283" t="n"/>
      <c r="N94" s="283" t="n"/>
      <c r="O94" s="283" t="n"/>
      <c r="P94" s="283" t="n"/>
      <c r="Q94" s="283" t="n"/>
      <c r="R94" s="283" t="n"/>
      <c r="S94" s="283" t="n"/>
      <c r="T94" s="283" t="n"/>
      <c r="U94" s="283" t="n"/>
      <c r="V94" s="283" t="n"/>
      <c r="W94" s="283" t="n"/>
      <c r="X94" s="283" t="n"/>
      <c r="Y94" s="283" t="n"/>
      <c r="Z94" s="283" t="n"/>
      <c r="AA94" s="283" t="n"/>
      <c r="AB94" s="283" t="n"/>
      <c r="AC94" s="283" t="n"/>
      <c r="AD94" s="283" t="n"/>
      <c r="AE94" s="283" t="n"/>
      <c r="AF94" s="283" t="n"/>
      <c r="AG94" s="283" t="n"/>
      <c r="AH94" s="283" t="n"/>
      <c r="AI94" s="283" t="n"/>
      <c r="AJ94" s="201" t="n"/>
      <c r="AK94" s="201" t="n"/>
      <c r="AL94" s="201" t="n"/>
      <c r="AM94" s="201" t="n"/>
      <c r="AN94" s="201" t="n"/>
      <c r="AO94" s="201" t="n"/>
      <c r="AP94" s="201" t="n"/>
      <c r="AQ94" s="201" t="n"/>
      <c r="AR94" s="201" t="n"/>
      <c r="AS94" s="201" t="n"/>
      <c r="AT94" s="201" t="n"/>
      <c r="AU94" s="201" t="n"/>
      <c r="AV94" s="283" t="n"/>
      <c r="AW94" s="286" t="n"/>
      <c r="AX94" s="201" t="n"/>
      <c r="AY94" s="201" t="n"/>
      <c r="AZ94" s="201" t="n"/>
      <c r="BA94" s="201" t="n"/>
      <c r="BB94" s="201" t="n"/>
      <c r="BC94" s="203">
        <f>SUMIFS(領用表!$L:$L,領用表!$A:$A,BC$2,領用表!$E:$E,B94)</f>
        <v/>
      </c>
      <c r="BD94" s="296">
        <f>SUMIFS(領用表!$L:$L,領用表!$E:$E,$B94,領用表!$B:$B,BC$2&amp;BD$2)</f>
        <v/>
      </c>
      <c r="BE94" s="296">
        <f>SUMIFS(領用表!$L:$L,領用表!$E:$E,$B94,領用表!$B:$B,$BC$2&amp;BE$2)</f>
        <v/>
      </c>
      <c r="BF94" s="296">
        <f>SUMIFS(領用表!$L:$L,領用表!$E:$E,$B94,領用表!$B:$B,$BC$2&amp;BF$2)</f>
        <v/>
      </c>
      <c r="BG94" s="206">
        <f>SUMIFS(領用表!$L:$L,領用表!$E:$E,$B94,領用表!$B:$B,$BC$2&amp;BG$2)</f>
        <v/>
      </c>
      <c r="BH94" s="203">
        <f>SUMIFS(領用表!$L:$L,領用表!$A:$A,BH$2,領用表!$E:$E,B94)</f>
        <v/>
      </c>
      <c r="BI94" s="260">
        <f>SUMIFS(領用表!$L:$L,領用表!$E:$E,$B94,領用表!$B:$B,BH$2&amp;BI$2)</f>
        <v/>
      </c>
      <c r="BJ94" s="260">
        <f>SUMIFS(領用表!$L:$L,領用表!$E:$E,$B94,領用表!$B:$B,$BH$2&amp;BJ$2)</f>
        <v/>
      </c>
      <c r="BK94" s="260">
        <f>SUMIFS(領用表!$L:$L,領用表!$E:$E,$B94,領用表!$B:$B,$BH$2&amp;BK$2)</f>
        <v/>
      </c>
      <c r="BL94" s="260">
        <f>SUMIFS(領用表!$L:$L,領用表!$E:$E,$B94,領用表!$B:$B,$BH$2&amp;BL$2)</f>
        <v/>
      </c>
      <c r="BM94" s="203">
        <f>SUMIFS(領用表!$L:$L,領用表!$A:$A,BM$2,領用表!$E:$E,B94)</f>
        <v/>
      </c>
      <c r="BN94" s="206">
        <f>SUMIFS(領用表!$L:$L,領用表!$E:$E,$B94,領用表!$B:$B,BM$2&amp;BN$2)</f>
        <v/>
      </c>
      <c r="BO94" s="206">
        <f>SUMIFS(領用表!$L:$L,領用表!$E:$E,$B94,領用表!$B:$B,$BM$2&amp;BO$2)</f>
        <v/>
      </c>
      <c r="BP94" s="297">
        <f>SUMIFS(領用表!$L:$L,領用表!$E:$E,$B94,領用表!$B:$B,$BM$2&amp;BP$2)</f>
        <v/>
      </c>
      <c r="BQ94" s="206">
        <f>SUMIFS(領用表!$L:$L,領用表!$E:$E,$B94,領用表!$B:$B,$BM$2&amp;BQ$2)</f>
        <v/>
      </c>
      <c r="BR94" s="203">
        <f>SUMIFS(領用表!$L:$L,領用表!$A:$A,BR$2,領用表!$E:$E,B94)</f>
        <v/>
      </c>
      <c r="BS94" s="297">
        <f>SUMIFS(領用表!$L:$L,領用表!$E:$E,$B94,領用表!$B:$B,BR$2&amp;BS$2)</f>
        <v/>
      </c>
      <c r="BT94" s="297">
        <f>SUMIFS(領用表!$L:$L,領用表!$E:$E,$B94,領用表!$B:$B,$BR$2&amp;BT$2)</f>
        <v/>
      </c>
      <c r="BU94" s="297">
        <f>SUMIFS(領用表!$L:$L,領用表!$E:$E,$B94,領用表!$B:$B,$BR$2&amp;BU$2)</f>
        <v/>
      </c>
      <c r="BV94" s="206">
        <f>SUMIFS(領用表!$L:$L,領用表!$E:$E,$B94,領用表!$B:$B,$BR$2&amp;BV$2)</f>
        <v/>
      </c>
      <c r="BW94" s="208">
        <f>SUMIFS(領用表!$L:$L,領用表!$A:$A,BW$2,領用表!$E:$E,B94)</f>
        <v/>
      </c>
      <c r="BX94" s="206">
        <f>SUMIFS(領用表!$L:$L,領用表!$E:$E,$B94,領用表!$B:$B,BW$2&amp;BX$2)</f>
        <v/>
      </c>
      <c r="BY94" s="206">
        <f>SUMIFS(領用表!$L:$L,領用表!$E:$E,$B94,領用表!$B:$B,$BW$2&amp;BY$2)</f>
        <v/>
      </c>
      <c r="BZ94" s="206">
        <f>SUMIFS(領用表!$L:$L,領用表!$E:$E,$B94,領用表!$B:$B,$BW$2&amp;BZ$2)</f>
        <v/>
      </c>
      <c r="CA94" s="206">
        <f>SUMIFS(領用表!$L:$L,領用表!$E:$E,$B94,領用表!$B:$B,$BW$2&amp;CA$2)</f>
        <v/>
      </c>
      <c r="CB94" s="208">
        <f>SUMIFS(領用表!$L:$L,領用表!$A:$A,CB$2,領用表!$E:$E,B94)</f>
        <v/>
      </c>
      <c r="CC94" s="206">
        <f>SUMIFS(領用表!$L:$L,領用表!$E:$E,$B94,領用表!$B:$B,CB$2&amp;CC$2)</f>
        <v/>
      </c>
      <c r="CD94" s="206">
        <f>SUMIFS(領用表!$L:$L,領用表!$E:$E,$B94,領用表!$B:$B,$CB$2&amp;CD$2)</f>
        <v/>
      </c>
      <c r="CE94" s="206">
        <f>SUMIFS(領用表!$L:$L,領用表!$E:$E,$B94,領用表!$B:$B,$CB$2&amp;CE$2)</f>
        <v/>
      </c>
      <c r="CF94" s="206">
        <f>SUMIFS(領用表!$L:$L,領用表!$E:$E,$B94,領用表!$B:$B,$CB$2&amp;CF$2)</f>
        <v/>
      </c>
      <c r="CG94" s="208">
        <f>SUMIFS(領用表!$L:$L,領用表!$A:$A,CG$2,領用表!$E:$E,B94)</f>
        <v/>
      </c>
      <c r="CH94" s="206">
        <f>SUMIFS(領用表!$L:$L,領用表!$E:$E,$B94,領用表!$B:$B,CG$2&amp;CH$2)</f>
        <v/>
      </c>
      <c r="CI94" s="206">
        <f>SUMIFS(領用表!$L:$L,領用表!$E:$E,$B94,領用表!$B:$B,CG$2&amp;CI$2)</f>
        <v/>
      </c>
      <c r="CJ94" s="206">
        <f>SUMIFS(領用表!$L:$L,領用表!$E:$E,$B94,領用表!$B:$B,CG$2&amp;CJ$2)</f>
        <v/>
      </c>
      <c r="CK94" s="206">
        <f>SUMIFS(領用表!$L:$L,領用表!$E:$E,$B94,領用表!$B:$B,$CG$2&amp;CK$2)</f>
        <v/>
      </c>
      <c r="CL94" s="207">
        <f>SUM(AX94,AY94,AZ94,BA94,BB94,BC94,BH94,BM94,BR94,BW94,CB94,CG94)</f>
        <v/>
      </c>
      <c r="CM94" s="207">
        <f>AVERAGE(AX94,AY94,AZ94,BA94,BB94,BC94,BH94,BM94,BR94,BW94,CB94,CG94)</f>
        <v/>
      </c>
      <c r="CN94" s="208">
        <f>SUMIFS(領用表!$L:$L,領用表!$A:$A,CN$2,領用表!$E:$E,B94)</f>
        <v/>
      </c>
      <c r="CO94" s="206">
        <f>SUMIFS(領用表!$L:$L,領用表!$E:$E,$B94,領用表!$B:$B,CN$2&amp;CO$2)</f>
        <v/>
      </c>
      <c r="CP94" s="206">
        <f>SUMIFS(領用表!$L:$L,領用表!$E:$E,$B94,領用表!$B:$B,$CN$2&amp;CP$2)</f>
        <v/>
      </c>
      <c r="CQ94" s="206">
        <f>SUMIFS(領用表!$L:$L,領用表!$E:$E,$B94,領用表!$B:$B,$CN$2&amp;CQ$2)</f>
        <v/>
      </c>
      <c r="CR94" s="206">
        <f>SUMIFS(領用表!$L:$L,領用表!$E:$E,$B94,領用表!$B:$B,$CN$2&amp;CR$2)</f>
        <v/>
      </c>
      <c r="CS94" s="208">
        <f>SUMIFS(領用表!$L:$L,領用表!$A:$A,CS$2,領用表!$E:$E,B94)</f>
        <v/>
      </c>
      <c r="CT94" s="206">
        <f>SUMIFS(領用表!$L:$L,領用表!$E:$E,$B94,領用表!$B:$B,CS$2&amp;CT$2)</f>
        <v/>
      </c>
      <c r="CU94" s="206">
        <f>SUMIFS(領用表!$L:$L,領用表!$E:$E,$B94,領用表!$B:$B,$CS$2&amp;CU$2)</f>
        <v/>
      </c>
      <c r="CV94" s="206">
        <f>SUMIFS(領用表!$L:$L,領用表!$E:$E,$B94,領用表!$B:$B,$CS$2&amp;CV$2)</f>
        <v/>
      </c>
      <c r="CW94" s="206">
        <f>SUMIFS(領用表!$L:$L,領用表!$E:$E,$B94,領用表!$B:$B,$CS$2&amp;CW$2)</f>
        <v/>
      </c>
      <c r="CX94" s="206">
        <f>SUMIFS(領用表!$L:$L,領用表!$E:$E,$B94,領用表!$B:$B,$CS$2&amp;CX$2)</f>
        <v/>
      </c>
      <c r="CY94" s="208">
        <f>SUMIFS(領用表!$L:$L,領用表!$A:$A,CY$2,領用表!$E:$E,B94)</f>
        <v/>
      </c>
      <c r="CZ94" s="206">
        <f>SUMIFS(領用表!$L:$L,領用表!$E:$E,$B94,領用表!$B:$B,CY$2&amp;CZ$2)</f>
        <v/>
      </c>
      <c r="DA94" s="206">
        <f>SUMIFS(領用表!$L:$L,領用表!$E:$E,$B94,領用表!$B:$B,$CY$2&amp;DA$2)</f>
        <v/>
      </c>
      <c r="DB94" s="206">
        <f>SUMIFS(領用表!$L:$L,領用表!$E:$E,$B94,領用表!$B:$B,$CY$2&amp;DB$2)</f>
        <v/>
      </c>
      <c r="DC94" s="206">
        <f>SUMIFS(領用表!$L:$L,領用表!$E:$E,$B94,領用表!$B:$B,$CY$2&amp;DC$2)</f>
        <v/>
      </c>
      <c r="DD94" s="206">
        <f>SUMIFS(領用表!$L:$L,領用表!$E:$E,$B94,領用表!$B:$B,$CY$2&amp;DD$2)</f>
        <v/>
      </c>
      <c r="DE94" s="208">
        <f>SUMIFS(領用表!$L:$L,領用表!$A:$A,DE$2,領用表!$E:$E,B94)</f>
        <v/>
      </c>
      <c r="DF94" s="206">
        <f>SUMIFS(領用表!$L:$L,領用表!$E:$E,$B94,領用表!$B:$B,DE$2&amp;DF$2)</f>
        <v/>
      </c>
      <c r="DG94" s="206">
        <f>SUMIFS(領用表!$L:$L,領用表!$E:$E,$B94,領用表!$B:$B,$DE$2&amp;DG$2)</f>
        <v/>
      </c>
      <c r="DH94" s="206">
        <f>SUMIFS(領用表!$L:$L,領用表!$E:$E,$B94,領用表!$B:$B,$DE$2&amp;DH$2)</f>
        <v/>
      </c>
      <c r="DI94" s="206">
        <f>SUMIFS(領用表!$L:$L,領用表!$E:$E,$B94,領用表!$B:$B,$DE$2&amp;DI$2)</f>
        <v/>
      </c>
      <c r="DJ94" s="206">
        <f>SUMIFS(領用表!$L:$L,領用表!$E:$E,$B94,領用表!$B:$B,$DE$2&amp;DJ$2)</f>
        <v/>
      </c>
      <c r="DK94" s="208">
        <f>SUMIFS(領用表!$L:$L,領用表!$A:$A,DK$2,領用表!$E:$E,$B94)</f>
        <v/>
      </c>
      <c r="DL94" s="206">
        <f>SUMIFS(領用表!$L:$L,領用表!$E:$E,$B94,領用表!$B:$B,DK$2&amp;DL$2)</f>
        <v/>
      </c>
      <c r="DM94" s="206">
        <f>SUMIFS(領用表!$L:$L,領用表!$E:$E,$B94,領用表!$B:$B,$DK$2&amp;DM$2)</f>
        <v/>
      </c>
      <c r="DN94" s="206">
        <f>SUMIFS(領用表!$L:$L,領用表!$E:$E,$B94,領用表!$B:$B,$DK$2&amp;DN$2)</f>
        <v/>
      </c>
      <c r="DO94" s="206">
        <f>SUMIFS(領用表!$L:$L,領用表!$E:$E,$B94,領用表!$B:$B,$DK$2&amp;DO$2)</f>
        <v/>
      </c>
      <c r="DP94" s="206">
        <f>SUMIFS(領用表!$L:$L,領用表!$E:$E,$B94,領用表!$B:$B,$DK$2&amp;DP$2)</f>
        <v/>
      </c>
      <c r="DQ94" s="208" t="n">
        <v>1</v>
      </c>
      <c r="DR94" s="206" t="n"/>
      <c r="DS94" s="206" t="n"/>
      <c r="DT94" s="206" t="n"/>
      <c r="DU94" s="206" t="n">
        <v>1</v>
      </c>
      <c r="DV94" s="206" t="n"/>
      <c r="DW94" s="206">
        <f>SUM(CN94,CS94,CY94,DE94,DK94,DQ94)</f>
        <v/>
      </c>
      <c r="DX94" s="206">
        <f>AVERAGEA(CN94,CS94,CY94,DE94,DK94,DQ94)</f>
        <v/>
      </c>
      <c r="DY94" s="206">
        <f>SUM(DZ94:EC94)</f>
        <v/>
      </c>
      <c r="DZ94" s="206" t="n">
        <v>0</v>
      </c>
      <c r="EA94" s="206" t="n">
        <v>0</v>
      </c>
      <c r="EB94" s="206" t="n">
        <v>0</v>
      </c>
      <c r="EC94" s="206" t="n">
        <v>0</v>
      </c>
      <c r="ED94" s="258" t="n"/>
      <c r="EE94" s="283" t="n"/>
      <c r="EF94" s="254" t="n"/>
      <c r="EG94" s="254" t="n"/>
      <c r="EH94" s="136" t="n"/>
      <c r="EI94" s="289" t="n"/>
      <c r="EK94" s="213" t="n"/>
    </row>
    <row r="95" ht="15.75" customFormat="1" customHeight="1" s="118">
      <c r="A95" s="136" t="n"/>
      <c r="B95" s="118" t="n">
        <v>6200022</v>
      </c>
      <c r="C95" s="186" t="inlineStr">
        <is>
          <t>綠寶石點數</t>
        </is>
      </c>
      <c r="D95" s="430" t="n">
        <v>654</v>
      </c>
      <c r="E95" s="431" t="n"/>
      <c r="F95" s="225">
        <f>SUMIF(站前4樓!B:B,B95,站前4樓!F:F)</f>
        <v/>
      </c>
      <c r="G95" s="225">
        <f>SUMIF(站前11樓!B:B,B95,站前11樓!F:F)</f>
        <v/>
      </c>
      <c r="H95" s="225">
        <f>SUMIF(忠孝7樓!B:B,B95,忠孝7樓!G:G)</f>
        <v/>
      </c>
      <c r="I95" s="225">
        <f>SUMIF(忠孝國際醫學3樓!B:B,B95,忠孝國際醫學3樓!G:G)</f>
        <v/>
      </c>
      <c r="J95" s="225">
        <f>SUMIF(忠孝健康7樓!B:B,B95,忠孝健康7樓!G:G)</f>
        <v/>
      </c>
      <c r="K95" s="283" t="n"/>
      <c r="L95" s="283" t="n"/>
      <c r="M95" s="283" t="n"/>
      <c r="N95" s="283" t="n"/>
      <c r="O95" s="283" t="n"/>
      <c r="P95" s="283" t="n"/>
      <c r="Q95" s="283" t="n"/>
      <c r="R95" s="283" t="n"/>
      <c r="S95" s="283" t="n"/>
      <c r="T95" s="283" t="n"/>
      <c r="U95" s="283" t="n"/>
      <c r="V95" s="283" t="n"/>
      <c r="W95" s="283" t="n"/>
      <c r="X95" s="283" t="n"/>
      <c r="Y95" s="283" t="n"/>
      <c r="Z95" s="283" t="n"/>
      <c r="AA95" s="283" t="n"/>
      <c r="AB95" s="283" t="n"/>
      <c r="AC95" s="283" t="n"/>
      <c r="AD95" s="283" t="n"/>
      <c r="AE95" s="283" t="n"/>
      <c r="AF95" s="283" t="n"/>
      <c r="AG95" s="283" t="n"/>
      <c r="AH95" s="283" t="n"/>
      <c r="AI95" s="283" t="n"/>
      <c r="AJ95" s="201" t="n"/>
      <c r="AK95" s="201" t="n"/>
      <c r="AL95" s="201" t="n"/>
      <c r="AM95" s="201" t="n"/>
      <c r="AN95" s="201" t="n"/>
      <c r="AO95" s="201" t="n"/>
      <c r="AP95" s="201" t="n"/>
      <c r="AQ95" s="201" t="n"/>
      <c r="AR95" s="201" t="n"/>
      <c r="AS95" s="201" t="n"/>
      <c r="AT95" s="201" t="n"/>
      <c r="AU95" s="201" t="n"/>
      <c r="AV95" s="283" t="n"/>
      <c r="AW95" s="286" t="n"/>
      <c r="AX95" s="201" t="n"/>
      <c r="AY95" s="201" t="n"/>
      <c r="AZ95" s="201" t="n"/>
      <c r="BA95" s="201" t="n"/>
      <c r="BB95" s="201" t="n"/>
      <c r="BC95" s="203" t="n"/>
      <c r="BD95" s="296" t="n"/>
      <c r="BE95" s="296" t="n"/>
      <c r="BF95" s="296" t="n"/>
      <c r="BG95" s="206" t="n"/>
      <c r="BH95" s="203" t="n"/>
      <c r="BI95" s="260" t="n"/>
      <c r="BJ95" s="260" t="n"/>
      <c r="BK95" s="260" t="n"/>
      <c r="BL95" s="260" t="n"/>
      <c r="BM95" s="203" t="n"/>
      <c r="BN95" s="206" t="n"/>
      <c r="BO95" s="206" t="n"/>
      <c r="BP95" s="297" t="n"/>
      <c r="BQ95" s="206" t="n"/>
      <c r="BR95" s="203" t="n"/>
      <c r="BS95" s="297" t="n"/>
      <c r="BT95" s="297" t="n"/>
      <c r="BU95" s="297" t="n"/>
      <c r="BV95" s="206" t="n"/>
      <c r="BW95" s="208" t="n"/>
      <c r="BX95" s="206" t="n"/>
      <c r="BY95" s="206" t="n"/>
      <c r="BZ95" s="206" t="n"/>
      <c r="CA95" s="206" t="n"/>
      <c r="CB95" s="208" t="n"/>
      <c r="CC95" s="206" t="n"/>
      <c r="CD95" s="206" t="n"/>
      <c r="CE95" s="206" t="n"/>
      <c r="CF95" s="206" t="n"/>
      <c r="CG95" s="208" t="n"/>
      <c r="CH95" s="206" t="n"/>
      <c r="CI95" s="206" t="n"/>
      <c r="CJ95" s="206" t="n"/>
      <c r="CK95" s="206" t="n"/>
      <c r="CL95" s="207" t="n"/>
      <c r="CM95" s="207" t="n"/>
      <c r="CN95" s="208" t="n"/>
      <c r="CO95" s="206" t="n"/>
      <c r="CP95" s="206" t="n"/>
      <c r="CQ95" s="206" t="n"/>
      <c r="CR95" s="206" t="n"/>
      <c r="CS95" s="208" t="n"/>
      <c r="CT95" s="206" t="n"/>
      <c r="CU95" s="206" t="n"/>
      <c r="CV95" s="206" t="n"/>
      <c r="CW95" s="206" t="n"/>
      <c r="CX95" s="206" t="n"/>
      <c r="CY95" s="208" t="n"/>
      <c r="CZ95" s="206" t="n"/>
      <c r="DA95" s="206" t="n"/>
      <c r="DB95" s="206" t="n"/>
      <c r="DC95" s="206" t="n"/>
      <c r="DD95" s="206" t="n"/>
      <c r="DE95" s="208" t="n"/>
      <c r="DF95" s="206" t="n"/>
      <c r="DG95" s="206" t="n"/>
      <c r="DH95" s="206" t="n"/>
      <c r="DI95" s="206" t="n"/>
      <c r="DJ95" s="206" t="n"/>
      <c r="DK95" s="208">
        <f>SUMIFS(領用表!$L:$L,領用表!$A:$A,DK$2,領用表!$E:$E,$B95)</f>
        <v/>
      </c>
      <c r="DL95" s="206">
        <f>SUMIFS(領用表!$L:$L,領用表!$E:$E,$B95,領用表!$B:$B,DK$2&amp;DL$2)</f>
        <v/>
      </c>
      <c r="DM95" s="206">
        <f>SUMIFS(領用表!$L:$L,領用表!$E:$E,$B95,領用表!$B:$B,$DK$2&amp;DM$2)</f>
        <v/>
      </c>
      <c r="DN95" s="206">
        <f>SUMIFS(領用表!$L:$L,領用表!$E:$E,$B95,領用表!$B:$B,$DK$2&amp;DN$2)</f>
        <v/>
      </c>
      <c r="DO95" s="206">
        <f>SUMIFS(領用表!$L:$L,領用表!$E:$E,$B95,領用表!$B:$B,$DK$2&amp;DO$2)</f>
        <v/>
      </c>
      <c r="DP95" s="206">
        <f>SUMIFS(領用表!$L:$L,領用表!$E:$E,$B95,領用表!$B:$B,$DK$2&amp;DP$2)</f>
        <v/>
      </c>
      <c r="DQ95" s="208" t="n">
        <v>26</v>
      </c>
      <c r="DR95" s="206" t="n"/>
      <c r="DS95" s="206" t="n">
        <v>6</v>
      </c>
      <c r="DT95" s="206" t="n"/>
      <c r="DU95" s="206" t="n">
        <v>20</v>
      </c>
      <c r="DV95" s="206" t="n"/>
      <c r="DW95" s="206">
        <f>SUM(CN95,CS95,CY95,DE95,DK95,DQ95)</f>
        <v/>
      </c>
      <c r="DX95" s="206">
        <f>AVERAGEA(CN95,CS95,CY95,DE95,DK95,DQ95)</f>
        <v/>
      </c>
      <c r="DY95" s="206">
        <f>SUM(DZ95:EC95)</f>
        <v/>
      </c>
      <c r="DZ95" s="206" t="n"/>
      <c r="EA95" s="206" t="n"/>
      <c r="EB95" s="206" t="n"/>
      <c r="EC95" s="206" t="n"/>
      <c r="ED95" s="258" t="n"/>
      <c r="EE95" s="283" t="n"/>
      <c r="EF95" s="254" t="n"/>
      <c r="EG95" s="254" t="n"/>
      <c r="EH95" s="136" t="n"/>
      <c r="EI95" s="289" t="n"/>
      <c r="EK95" s="213" t="n"/>
    </row>
    <row r="96" ht="15.75" customFormat="1" customHeight="1" s="118">
      <c r="A96" s="136" t="n"/>
      <c r="B96" s="118" t="n">
        <v>6190007</v>
      </c>
      <c r="C96" s="186" t="inlineStr">
        <is>
          <t>血液淨化耗材</t>
        </is>
      </c>
      <c r="D96" s="430" t="n"/>
      <c r="E96" s="431" t="n"/>
      <c r="F96" s="225">
        <f>SUMIF(站前4樓!B:B,B96,站前4樓!F:F)</f>
        <v/>
      </c>
      <c r="G96" s="225">
        <f>SUMIF(站前11樓!B:B,B96,站前11樓!F:F)</f>
        <v/>
      </c>
      <c r="H96" s="225">
        <f>SUMIF(忠孝7樓!B:B,B96,忠孝7樓!G:G)</f>
        <v/>
      </c>
      <c r="I96" s="225">
        <f>SUMIF(忠孝國際醫學3樓!B:B,B96,忠孝國際醫學3樓!G:G)</f>
        <v/>
      </c>
      <c r="J96" s="225">
        <f>SUMIF(忠孝健康7樓!B:B,B96,忠孝健康7樓!G:G)</f>
        <v/>
      </c>
      <c r="K96" s="283" t="n"/>
      <c r="L96" s="283" t="n"/>
      <c r="M96" s="283" t="n"/>
      <c r="N96" s="283" t="n"/>
      <c r="O96" s="283" t="n"/>
      <c r="P96" s="283" t="n"/>
      <c r="Q96" s="283" t="n"/>
      <c r="R96" s="283" t="n"/>
      <c r="S96" s="283" t="n"/>
      <c r="T96" s="283" t="n"/>
      <c r="U96" s="283" t="n"/>
      <c r="V96" s="283" t="n"/>
      <c r="W96" s="283" t="n"/>
      <c r="X96" s="283" t="n"/>
      <c r="Y96" s="283" t="n"/>
      <c r="Z96" s="283" t="n"/>
      <c r="AA96" s="283" t="n"/>
      <c r="AB96" s="283" t="n"/>
      <c r="AC96" s="283" t="n"/>
      <c r="AD96" s="283" t="n"/>
      <c r="AE96" s="283" t="n"/>
      <c r="AF96" s="283" t="n"/>
      <c r="AG96" s="283" t="n"/>
      <c r="AH96" s="283" t="n"/>
      <c r="AI96" s="283" t="n"/>
      <c r="AJ96" s="201" t="n"/>
      <c r="AK96" s="201" t="n"/>
      <c r="AL96" s="201" t="n"/>
      <c r="AM96" s="201" t="n"/>
      <c r="AN96" s="201" t="n"/>
      <c r="AO96" s="201" t="n"/>
      <c r="AP96" s="201" t="n"/>
      <c r="AQ96" s="201" t="n"/>
      <c r="AR96" s="201" t="n"/>
      <c r="AS96" s="201" t="n"/>
      <c r="AT96" s="201" t="n"/>
      <c r="AU96" s="201" t="n"/>
      <c r="AV96" s="283" t="n"/>
      <c r="AW96" s="286" t="n"/>
      <c r="AX96" s="201" t="n"/>
      <c r="AY96" s="201" t="n"/>
      <c r="AZ96" s="201" t="n"/>
      <c r="BA96" s="201" t="n"/>
      <c r="BB96" s="201" t="n"/>
      <c r="BC96" s="203" t="n"/>
      <c r="BD96" s="296" t="n"/>
      <c r="BE96" s="296" t="n"/>
      <c r="BF96" s="296" t="n"/>
      <c r="BG96" s="206" t="n"/>
      <c r="BH96" s="203" t="n"/>
      <c r="BI96" s="260" t="n"/>
      <c r="BJ96" s="260" t="n"/>
      <c r="BK96" s="260" t="n"/>
      <c r="BL96" s="260" t="n"/>
      <c r="BM96" s="203" t="n"/>
      <c r="BN96" s="206" t="n"/>
      <c r="BO96" s="206" t="n"/>
      <c r="BP96" s="297" t="n"/>
      <c r="BQ96" s="206" t="n"/>
      <c r="BR96" s="203" t="n"/>
      <c r="BS96" s="297" t="n"/>
      <c r="BT96" s="297" t="n"/>
      <c r="BU96" s="297" t="n"/>
      <c r="BV96" s="206" t="n"/>
      <c r="BW96" s="208" t="n"/>
      <c r="BX96" s="206" t="n"/>
      <c r="BY96" s="206" t="n"/>
      <c r="BZ96" s="206" t="n"/>
      <c r="CA96" s="206" t="n"/>
      <c r="CB96" s="208" t="n"/>
      <c r="CC96" s="206" t="n"/>
      <c r="CD96" s="206" t="n"/>
      <c r="CE96" s="206" t="n"/>
      <c r="CF96" s="206" t="n"/>
      <c r="CG96" s="208" t="n"/>
      <c r="CH96" s="206" t="n"/>
      <c r="CI96" s="206" t="n"/>
      <c r="CJ96" s="206" t="n"/>
      <c r="CK96" s="206" t="n"/>
      <c r="CL96" s="207" t="n"/>
      <c r="CM96" s="207" t="n"/>
      <c r="CN96" s="208" t="n"/>
      <c r="CO96" s="206" t="n"/>
      <c r="CP96" s="206" t="n"/>
      <c r="CQ96" s="206" t="n"/>
      <c r="CR96" s="206" t="n"/>
      <c r="CS96" s="208" t="n"/>
      <c r="CT96" s="206" t="n"/>
      <c r="CU96" s="206" t="n"/>
      <c r="CV96" s="206" t="n"/>
      <c r="CW96" s="206" t="n"/>
      <c r="CX96" s="206" t="n"/>
      <c r="CY96" s="208" t="n"/>
      <c r="CZ96" s="206" t="n"/>
      <c r="DA96" s="206" t="n"/>
      <c r="DB96" s="206" t="n"/>
      <c r="DC96" s="206" t="n"/>
      <c r="DD96" s="206" t="n"/>
      <c r="DE96" s="208" t="n"/>
      <c r="DF96" s="206" t="n"/>
      <c r="DG96" s="206" t="n"/>
      <c r="DH96" s="206" t="n"/>
      <c r="DI96" s="206" t="n"/>
      <c r="DJ96" s="206" t="n"/>
      <c r="DK96" s="208">
        <f>SUMIFS(領用表!$L:$L,領用表!$A:$A,DK$2,領用表!$E:$E,$B96)</f>
        <v/>
      </c>
      <c r="DL96" s="206">
        <f>SUMIFS(領用表!$L:$L,領用表!$E:$E,$B96,領用表!$B:$B,DK$2&amp;DL$2)</f>
        <v/>
      </c>
      <c r="DM96" s="206">
        <f>SUMIFS(領用表!$L:$L,領用表!$E:$E,$B96,領用表!$B:$B,$DK$2&amp;DM$2)</f>
        <v/>
      </c>
      <c r="DN96" s="206">
        <f>SUMIFS(領用表!$L:$L,領用表!$E:$E,$B96,領用表!$B:$B,$DK$2&amp;DN$2)</f>
        <v/>
      </c>
      <c r="DO96" s="206">
        <f>SUMIFS(領用表!$L:$L,領用表!$E:$E,$B96,領用表!$B:$B,$DK$2&amp;DO$2)</f>
        <v/>
      </c>
      <c r="DP96" s="206">
        <f>SUMIFS(領用表!$L:$L,領用表!$E:$E,$B96,領用表!$B:$B,$DK$2&amp;DP$2)</f>
        <v/>
      </c>
      <c r="DQ96" s="208" t="n"/>
      <c r="DR96" s="206" t="n"/>
      <c r="DS96" s="206" t="n"/>
      <c r="DT96" s="206" t="n"/>
      <c r="DU96" s="206" t="n"/>
      <c r="DV96" s="206" t="n"/>
      <c r="DW96" s="206">
        <f>SUM(CN96,CS96,CY96,DE96,DK96,DQ96)</f>
        <v/>
      </c>
      <c r="DX96" s="206">
        <f>AVERAGEA(CN96,CS96,CY96,DE96,DK96,DQ96)</f>
        <v/>
      </c>
      <c r="DY96" s="206">
        <f>SUM(DZ96:EC96)</f>
        <v/>
      </c>
      <c r="DZ96" s="206" t="n"/>
      <c r="EA96" s="206" t="n"/>
      <c r="EB96" s="206" t="n"/>
      <c r="EC96" s="206" t="n"/>
      <c r="ED96" s="258" t="n"/>
      <c r="EE96" s="283" t="n"/>
      <c r="EF96" s="254" t="n"/>
      <c r="EG96" s="254" t="n"/>
      <c r="EH96" s="136" t="n"/>
      <c r="EI96" s="289" t="n"/>
      <c r="EK96" s="213" t="n"/>
    </row>
    <row r="97" ht="15.75" customFormat="1" customHeight="1" s="118">
      <c r="A97" s="136" t="inlineStr">
        <is>
          <t>MB3ME090001A</t>
        </is>
      </c>
      <c r="B97" s="118" t="n">
        <v>6120001</v>
      </c>
      <c r="C97" s="118" t="inlineStr">
        <is>
          <t>肝得健(20入)</t>
        </is>
      </c>
      <c r="D97" s="285" t="n">
        <v>20</v>
      </c>
      <c r="E97" s="198" t="inlineStr">
        <is>
          <t>PCS</t>
        </is>
      </c>
      <c r="F97" s="225">
        <f>SUMIF(站前4樓!B:B,B97,站前4樓!F:F)</f>
        <v/>
      </c>
      <c r="G97" s="225">
        <f>SUMIF(站前11樓!B:B,B97,站前11樓!F:F)</f>
        <v/>
      </c>
      <c r="H97" s="225">
        <f>SUMIF(忠孝7樓!B:B,B97,忠孝7樓!G:G)</f>
        <v/>
      </c>
      <c r="I97" s="225">
        <f>SUMIF(忠孝國際醫學3樓!B:B,B97,忠孝國際醫學3樓!G:G)</f>
        <v/>
      </c>
      <c r="J97" s="225">
        <f>SUMIF(忠孝健康7樓!B:B,B97,忠孝健康7樓!G:G)</f>
        <v/>
      </c>
      <c r="K97" s="283" t="n"/>
      <c r="L97" s="283" t="n"/>
      <c r="M97" s="283" t="n"/>
      <c r="N97" s="283" t="n"/>
      <c r="O97" s="283" t="n"/>
      <c r="P97" s="283" t="n"/>
      <c r="Q97" s="283" t="n"/>
      <c r="R97" s="283" t="n"/>
      <c r="S97" s="283" t="n"/>
      <c r="T97" s="283" t="n"/>
      <c r="U97" s="283" t="n"/>
      <c r="V97" s="283" t="n"/>
      <c r="W97" s="283" t="n"/>
      <c r="X97" s="283" t="n"/>
      <c r="Y97" s="283" t="n"/>
      <c r="Z97" s="283" t="n"/>
      <c r="AA97" s="283" t="n"/>
      <c r="AB97" s="283" t="n"/>
      <c r="AC97" s="283" t="n"/>
      <c r="AD97" s="283" t="n"/>
      <c r="AE97" s="283" t="n"/>
      <c r="AF97" s="283" t="n"/>
      <c r="AG97" s="283" t="n"/>
      <c r="AH97" s="283" t="n"/>
      <c r="AI97" s="283" t="n"/>
      <c r="AJ97" s="201" t="n">
        <v>40</v>
      </c>
      <c r="AK97" s="201" t="n">
        <v>31</v>
      </c>
      <c r="AL97" s="201" t="n">
        <v>28</v>
      </c>
      <c r="AM97" s="201" t="n">
        <v>47</v>
      </c>
      <c r="AN97" s="201" t="n">
        <v>74</v>
      </c>
      <c r="AO97" s="201" t="n">
        <v>82</v>
      </c>
      <c r="AP97" s="201" t="n">
        <v>94</v>
      </c>
      <c r="AQ97" s="201" t="n">
        <v>150</v>
      </c>
      <c r="AR97" s="201" t="n">
        <v>286</v>
      </c>
      <c r="AS97" s="201" t="n">
        <v>262</v>
      </c>
      <c r="AT97" s="201" t="n">
        <v>257</v>
      </c>
      <c r="AU97" s="201" t="n">
        <v>283</v>
      </c>
      <c r="AV97" s="283">
        <f>SUM(AJ97:AU97)</f>
        <v/>
      </c>
      <c r="AW97" s="286">
        <f>AV97/12</f>
        <v/>
      </c>
      <c r="AX97" s="201" t="n">
        <v>250</v>
      </c>
      <c r="AY97" s="201" t="n">
        <v>33</v>
      </c>
      <c r="AZ97" s="201" t="n">
        <v>299</v>
      </c>
      <c r="BA97" s="201" t="n">
        <v>390</v>
      </c>
      <c r="BB97" s="201">
        <f>2+364</f>
        <v/>
      </c>
      <c r="BC97" s="203">
        <f>SUMIFS(領用表!$L:$L,領用表!$A:$A,BC$2,領用表!$E:$E,B97)</f>
        <v/>
      </c>
      <c r="BD97" s="296">
        <f>SUMIFS(領用表!$L:$L,領用表!$E:$E,$B97,領用表!$B:$B,BC$2&amp;BD$2)</f>
        <v/>
      </c>
      <c r="BE97" s="296">
        <f>SUMIFS(領用表!$L:$L,領用表!$E:$E,$B97,領用表!$B:$B,$BC$2&amp;BE$2)</f>
        <v/>
      </c>
      <c r="BF97" s="296">
        <f>SUMIFS(領用表!$L:$L,領用表!$E:$E,$B97,領用表!$B:$B,$BC$2&amp;BF$2)</f>
        <v/>
      </c>
      <c r="BG97" s="206">
        <f>SUMIFS(領用表!$L:$L,領用表!$E:$E,$B97,領用表!$B:$B,$BC$2&amp;BG$2)</f>
        <v/>
      </c>
      <c r="BH97" s="203">
        <f>SUMIFS(領用表!$L:$L,領用表!$A:$A,BH$2,領用表!$E:$E,B97)</f>
        <v/>
      </c>
      <c r="BI97" s="260">
        <f>SUMIFS(領用表!$L:$L,領用表!$E:$E,$B97,領用表!$B:$B,BH$2&amp;BI$2)</f>
        <v/>
      </c>
      <c r="BJ97" s="260">
        <f>SUMIFS(領用表!$L:$L,領用表!$E:$E,$B97,領用表!$B:$B,$BH$2&amp;BJ$2)</f>
        <v/>
      </c>
      <c r="BK97" s="260">
        <f>SUMIFS(領用表!$L:$L,領用表!$E:$E,$B97,領用表!$B:$B,$BH$2&amp;BK$2)</f>
        <v/>
      </c>
      <c r="BL97" s="260">
        <f>SUMIFS(領用表!$L:$L,領用表!$E:$E,$B97,領用表!$B:$B,$BH$2&amp;BL$2)</f>
        <v/>
      </c>
      <c r="BM97" s="203">
        <f>SUMIFS(領用表!$L:$L,領用表!$A:$A,BM$2,領用表!$E:$E,B97)</f>
        <v/>
      </c>
      <c r="BN97" s="206">
        <f>SUMIFS(領用表!$L:$L,領用表!$E:$E,$B97,領用表!$B:$B,BM$2&amp;BN$2)</f>
        <v/>
      </c>
      <c r="BO97" s="206">
        <f>SUMIFS(領用表!$L:$L,領用表!$E:$E,$B97,領用表!$B:$B,$BM$2&amp;BO$2)</f>
        <v/>
      </c>
      <c r="BP97" s="297">
        <f>SUMIFS(領用表!$L:$L,領用表!$E:$E,$B97,領用表!$B:$B,$BM$2&amp;BP$2)</f>
        <v/>
      </c>
      <c r="BQ97" s="206">
        <f>SUMIFS(領用表!$L:$L,領用表!$E:$E,$B97,領用表!$B:$B,$BM$2&amp;BQ$2)</f>
        <v/>
      </c>
      <c r="BR97" s="203">
        <f>SUMIFS(領用表!$L:$L,領用表!$A:$A,BR$2,領用表!$E:$E,B97)</f>
        <v/>
      </c>
      <c r="BS97" s="297">
        <f>SUMIFS(領用表!$L:$L,領用表!$E:$E,$B97,領用表!$B:$B,BR$2&amp;BS$2)</f>
        <v/>
      </c>
      <c r="BT97" s="297">
        <f>SUMIFS(領用表!$L:$L,領用表!$E:$E,$B97,領用表!$B:$B,$BR$2&amp;BT$2)</f>
        <v/>
      </c>
      <c r="BU97" s="297">
        <f>SUMIFS(領用表!$L:$L,領用表!$E:$E,$B97,領用表!$B:$B,$BR$2&amp;BU$2)</f>
        <v/>
      </c>
      <c r="BV97" s="206">
        <f>SUMIFS(領用表!$L:$L,領用表!$E:$E,$B97,領用表!$B:$B,$BR$2&amp;BV$2)</f>
        <v/>
      </c>
      <c r="BW97" s="208">
        <f>SUMIFS(領用表!$L:$L,領用表!$A:$A,BW$2,領用表!$E:$E,B97)</f>
        <v/>
      </c>
      <c r="BX97" s="206">
        <f>SUMIFS(領用表!$L:$L,領用表!$E:$E,$B97,領用表!$B:$B,BW$2&amp;BX$2)</f>
        <v/>
      </c>
      <c r="BY97" s="206">
        <f>SUMIFS(領用表!$L:$L,領用表!$E:$E,$B97,領用表!$B:$B,$BW$2&amp;BY$2)</f>
        <v/>
      </c>
      <c r="BZ97" s="206">
        <f>SUMIFS(領用表!$L:$L,領用表!$E:$E,$B97,領用表!$B:$B,$BW$2&amp;BZ$2)</f>
        <v/>
      </c>
      <c r="CA97" s="206">
        <f>SUMIFS(領用表!$L:$L,領用表!$E:$E,$B97,領用表!$B:$B,$BW$2&amp;CA$2)</f>
        <v/>
      </c>
      <c r="CB97" s="208">
        <f>SUMIFS(領用表!$L:$L,領用表!$A:$A,CB$2,領用表!$E:$E,B97)</f>
        <v/>
      </c>
      <c r="CC97" s="206">
        <f>SUMIFS(領用表!$L:$L,領用表!$E:$E,$B97,領用表!$B:$B,CB$2&amp;CC$2)</f>
        <v/>
      </c>
      <c r="CD97" s="206">
        <f>SUMIFS(領用表!$L:$L,領用表!$E:$E,$B97,領用表!$B:$B,$CB$2&amp;CD$2)</f>
        <v/>
      </c>
      <c r="CE97" s="206">
        <f>SUMIFS(領用表!$L:$L,領用表!$E:$E,$B97,領用表!$B:$B,$CB$2&amp;CE$2)</f>
        <v/>
      </c>
      <c r="CF97" s="206">
        <f>SUMIFS(領用表!$L:$L,領用表!$E:$E,$B97,領用表!$B:$B,$CB$2&amp;CF$2)</f>
        <v/>
      </c>
      <c r="CG97" s="208">
        <f>SUMIFS(領用表!$L:$L,領用表!$A:$A,CG$2,領用表!$E:$E,B97)</f>
        <v/>
      </c>
      <c r="CH97" s="206">
        <f>SUMIFS(領用表!$L:$L,領用表!$E:$E,$B97,領用表!$B:$B,CG$2&amp;CH$2)</f>
        <v/>
      </c>
      <c r="CI97" s="206">
        <f>SUMIFS(領用表!$L:$L,領用表!$E:$E,$B97,領用表!$B:$B,CG$2&amp;CI$2)</f>
        <v/>
      </c>
      <c r="CJ97" s="206">
        <f>SUMIFS(領用表!$L:$L,領用表!$E:$E,$B97,領用表!$B:$B,CG$2&amp;CJ$2)</f>
        <v/>
      </c>
      <c r="CK97" s="206">
        <f>SUMIFS(領用表!$L:$L,領用表!$E:$E,$B97,領用表!$B:$B,$CG$2&amp;CK$2)</f>
        <v/>
      </c>
      <c r="CL97" s="207">
        <f>SUM(AX97,AY97,AZ97,BA97,BB97,BC97,BH97,BM97,BR97,BW97,CB97,CG97)</f>
        <v/>
      </c>
      <c r="CM97" s="207">
        <f>AVERAGE(AX97,AY97,AZ97,BA97,BB97,BC97,BH97,BM97,BR97,BW97,CB97,CG97)</f>
        <v/>
      </c>
      <c r="CN97" s="208">
        <f>SUMIFS(領用表!$L:$L,領用表!$A:$A,CN$2,領用表!$E:$E,B97)</f>
        <v/>
      </c>
      <c r="CO97" s="206">
        <f>SUMIFS(領用表!$L:$L,領用表!$E:$E,$B97,領用表!$B:$B,CN$2&amp;CO$2)</f>
        <v/>
      </c>
      <c r="CP97" s="206">
        <f>SUMIFS(領用表!$L:$L,領用表!$E:$E,$B97,領用表!$B:$B,$CN$2&amp;CP$2)</f>
        <v/>
      </c>
      <c r="CQ97" s="206">
        <f>SUMIFS(領用表!$L:$L,領用表!$E:$E,$B97,領用表!$B:$B,$CN$2&amp;CQ$2)</f>
        <v/>
      </c>
      <c r="CR97" s="206">
        <f>SUMIFS(領用表!$L:$L,領用表!$E:$E,$B97,領用表!$B:$B,$CN$2&amp;CR$2)</f>
        <v/>
      </c>
      <c r="CS97" s="208">
        <f>SUMIFS(領用表!$L:$L,領用表!$A:$A,CS$2,領用表!$E:$E,B97)</f>
        <v/>
      </c>
      <c r="CT97" s="206">
        <f>SUMIFS(領用表!$L:$L,領用表!$E:$E,$B97,領用表!$B:$B,CS$2&amp;CT$2)</f>
        <v/>
      </c>
      <c r="CU97" s="206">
        <f>SUMIFS(領用表!$L:$L,領用表!$E:$E,$B97,領用表!$B:$B,$CS$2&amp;CU$2)</f>
        <v/>
      </c>
      <c r="CV97" s="206">
        <f>SUMIFS(領用表!$L:$L,領用表!$E:$E,$B97,領用表!$B:$B,$CS$2&amp;CV$2)</f>
        <v/>
      </c>
      <c r="CW97" s="206">
        <f>SUMIFS(領用表!$L:$L,領用表!$E:$E,$B97,領用表!$B:$B,$CS$2&amp;CW$2)</f>
        <v/>
      </c>
      <c r="CX97" s="206">
        <f>SUMIFS(領用表!$L:$L,領用表!$E:$E,$B97,領用表!$B:$B,$CS$2&amp;CX$2)</f>
        <v/>
      </c>
      <c r="CY97" s="208">
        <f>SUMIFS(領用表!$L:$L,領用表!$A:$A,CY$2,領用表!$E:$E,B97)</f>
        <v/>
      </c>
      <c r="CZ97" s="206">
        <f>SUMIFS(領用表!$L:$L,領用表!$E:$E,$B97,領用表!$B:$B,CY$2&amp;CZ$2)</f>
        <v/>
      </c>
      <c r="DA97" s="206">
        <f>SUMIFS(領用表!$L:$L,領用表!$E:$E,$B97,領用表!$B:$B,$CY$2&amp;DA$2)</f>
        <v/>
      </c>
      <c r="DB97" s="206">
        <f>SUMIFS(領用表!$L:$L,領用表!$E:$E,$B97,領用表!$B:$B,$CY$2&amp;DB$2)</f>
        <v/>
      </c>
      <c r="DC97" s="206">
        <f>SUMIFS(領用表!$L:$L,領用表!$E:$E,$B97,領用表!$B:$B,$CY$2&amp;DC$2)</f>
        <v/>
      </c>
      <c r="DD97" s="206">
        <f>SUMIFS(領用表!$L:$L,領用表!$E:$E,$B97,領用表!$B:$B,$CY$2&amp;DD$2)</f>
        <v/>
      </c>
      <c r="DE97" s="208">
        <f>SUMIFS(領用表!$L:$L,領用表!$A:$A,DE$2,領用表!$E:$E,B97)</f>
        <v/>
      </c>
      <c r="DF97" s="206">
        <f>SUMIFS(領用表!$L:$L,領用表!$E:$E,$B97,領用表!$B:$B,DE$2&amp;DF$2)</f>
        <v/>
      </c>
      <c r="DG97" s="206">
        <f>SUMIFS(領用表!$L:$L,領用表!$E:$E,$B97,領用表!$B:$B,$DE$2&amp;DG$2)</f>
        <v/>
      </c>
      <c r="DH97" s="206">
        <f>SUMIFS(領用表!$L:$L,領用表!$E:$E,$B97,領用表!$B:$B,$DE$2&amp;DH$2)</f>
        <v/>
      </c>
      <c r="DI97" s="206">
        <f>SUMIFS(領用表!$L:$L,領用表!$E:$E,$B97,領用表!$B:$B,$DE$2&amp;DI$2)</f>
        <v/>
      </c>
      <c r="DJ97" s="206">
        <f>SUMIFS(領用表!$L:$L,領用表!$E:$E,$B97,領用表!$B:$B,$DE$2&amp;DJ$2)</f>
        <v/>
      </c>
      <c r="DK97" s="208">
        <f>SUMIFS(領用表!$L:$L,領用表!$A:$A,DK$2,領用表!$E:$E,$B97)</f>
        <v/>
      </c>
      <c r="DL97" s="206">
        <f>SUMIFS(領用表!$L:$L,領用表!$E:$E,$B97,領用表!$B:$B,DK$2&amp;DL$2)</f>
        <v/>
      </c>
      <c r="DM97" s="206">
        <f>SUMIFS(領用表!$L:$L,領用表!$E:$E,$B97,領用表!$B:$B,$DK$2&amp;DM$2)</f>
        <v/>
      </c>
      <c r="DN97" s="206">
        <f>SUMIFS(領用表!$L:$L,領用表!$E:$E,$B97,領用表!$B:$B,$DK$2&amp;DN$2)</f>
        <v/>
      </c>
      <c r="DO97" s="206">
        <f>SUMIFS(領用表!$L:$L,領用表!$E:$E,$B97,領用表!$B:$B,$DK$2&amp;DO$2)</f>
        <v/>
      </c>
      <c r="DP97" s="206">
        <f>SUMIFS(領用表!$L:$L,領用表!$E:$E,$B97,領用表!$B:$B,$DK$2&amp;DP$2)</f>
        <v/>
      </c>
      <c r="DQ97" s="208" t="n">
        <v>1091</v>
      </c>
      <c r="DR97" s="206" t="n"/>
      <c r="DS97" s="206" t="n">
        <v>406</v>
      </c>
      <c r="DT97" s="206" t="n"/>
      <c r="DU97" s="206" t="n">
        <v>685</v>
      </c>
      <c r="DV97" s="206" t="n"/>
      <c r="DW97" s="206">
        <f>SUM(CN97,CS97,CY97,DE97,DK97,DQ97)</f>
        <v/>
      </c>
      <c r="DX97" s="206">
        <f>AVERAGEA(CN97,CS97,CY97,DE97,DK97,DQ97)</f>
        <v/>
      </c>
      <c r="DY97" s="206">
        <f>SUM(DZ97:EC97)</f>
        <v/>
      </c>
      <c r="DZ97" s="206" t="n">
        <v>0</v>
      </c>
      <c r="EA97" s="206" t="n">
        <v>1000</v>
      </c>
      <c r="EB97" s="206" t="n">
        <v>2</v>
      </c>
      <c r="EC97" s="206" t="n">
        <v>1850</v>
      </c>
      <c r="ED97" s="258" t="n">
        <v>200</v>
      </c>
      <c r="EE97" s="283" t="n"/>
      <c r="EF97" s="283" t="inlineStr">
        <is>
          <t>440-10/22</t>
        </is>
      </c>
      <c r="EG97" s="283" t="inlineStr">
        <is>
          <t>220-10/22</t>
        </is>
      </c>
      <c r="EH97" s="136" t="n"/>
      <c r="EI97" s="289" t="n"/>
      <c r="EJ97" s="118">
        <f>IFERROR(VLOOKUP(A97,站前4樓!A:BF,57,0),0)</f>
        <v/>
      </c>
      <c r="EK97" s="213">
        <f>IFERROR(VLOOKUP(A97,站前11樓!A:BE,57,0),0)</f>
        <v/>
      </c>
      <c r="EL97" s="118">
        <f>IFERROR(VLOOKUP(A97,忠孝7樓!A:N,57,0),0)</f>
        <v/>
      </c>
      <c r="EM97" s="118">
        <f>IFERROR(VLOOKUP(A97,忠孝國際醫學3樓!A:L,57,0),0)</f>
        <v/>
      </c>
      <c r="EN97" s="118">
        <f>SUM(ED97:EG97)</f>
        <v/>
      </c>
    </row>
    <row r="98" ht="15.75" customFormat="1" customHeight="1" s="118">
      <c r="A98" s="136" t="inlineStr">
        <is>
          <t>MB3ME090002A</t>
        </is>
      </c>
      <c r="B98" s="118" t="n">
        <v>6120002</v>
      </c>
      <c r="C98" s="118" t="inlineStr">
        <is>
          <t>卡尼丁(20入)</t>
        </is>
      </c>
      <c r="D98" s="285" t="n">
        <v>20</v>
      </c>
      <c r="E98" s="198" t="inlineStr">
        <is>
          <t>PCS</t>
        </is>
      </c>
      <c r="F98" s="225">
        <f>SUMIF(站前4樓!B:B,B98,站前4樓!F:F)</f>
        <v/>
      </c>
      <c r="G98" s="225">
        <f>SUMIF(站前11樓!B:B,B98,站前11樓!F:F)</f>
        <v/>
      </c>
      <c r="H98" s="225">
        <f>SUMIF(忠孝7樓!B:B,B98,忠孝7樓!G:G)</f>
        <v/>
      </c>
      <c r="I98" s="225">
        <f>SUMIF(忠孝國際醫學3樓!B:B,B98,忠孝國際醫學3樓!G:G)</f>
        <v/>
      </c>
      <c r="J98" s="225">
        <f>SUMIF(忠孝健康7樓!B:B,B98,忠孝健康7樓!G:G)</f>
        <v/>
      </c>
      <c r="K98" s="283" t="n"/>
      <c r="L98" s="283" t="n"/>
      <c r="M98" s="283" t="n"/>
      <c r="N98" s="283" t="n"/>
      <c r="O98" s="283" t="n"/>
      <c r="P98" s="283" t="n"/>
      <c r="Q98" s="283" t="n"/>
      <c r="R98" s="283" t="n"/>
      <c r="S98" s="283" t="n"/>
      <c r="T98" s="283" t="n"/>
      <c r="U98" s="283" t="n"/>
      <c r="V98" s="283" t="n"/>
      <c r="W98" s="283" t="n"/>
      <c r="X98" s="283" t="n"/>
      <c r="Y98" s="283" t="n"/>
      <c r="Z98" s="283" t="n"/>
      <c r="AA98" s="283" t="n"/>
      <c r="AB98" s="283" t="n"/>
      <c r="AC98" s="283" t="n"/>
      <c r="AD98" s="283" t="n"/>
      <c r="AE98" s="283" t="n"/>
      <c r="AF98" s="283" t="n"/>
      <c r="AG98" s="283" t="n"/>
      <c r="AH98" s="283" t="n"/>
      <c r="AI98" s="283" t="n"/>
      <c r="AJ98" s="201" t="n">
        <v>40</v>
      </c>
      <c r="AK98" s="201" t="n">
        <v>31</v>
      </c>
      <c r="AL98" s="201" t="n">
        <v>29</v>
      </c>
      <c r="AM98" s="201" t="n">
        <v>48</v>
      </c>
      <c r="AN98" s="201" t="n">
        <v>74</v>
      </c>
      <c r="AO98" s="201" t="n">
        <v>84</v>
      </c>
      <c r="AP98" s="201" t="n">
        <v>105</v>
      </c>
      <c r="AQ98" s="201" t="n">
        <v>160</v>
      </c>
      <c r="AR98" s="201" t="n">
        <v>304</v>
      </c>
      <c r="AS98" s="201" t="n">
        <v>288.5</v>
      </c>
      <c r="AT98" s="201" t="n">
        <v>306</v>
      </c>
      <c r="AU98" s="201" t="n">
        <v>362.5</v>
      </c>
      <c r="AV98" s="283">
        <f>SUM(AJ98:AU98)</f>
        <v/>
      </c>
      <c r="AW98" s="286">
        <f>AV98/12</f>
        <v/>
      </c>
      <c r="AX98" s="201" t="n">
        <v>359.5</v>
      </c>
      <c r="AY98" s="201" t="n">
        <v>165</v>
      </c>
      <c r="AZ98" s="201" t="n">
        <v>419.5</v>
      </c>
      <c r="BA98" s="201" t="n">
        <v>490</v>
      </c>
      <c r="BB98" s="201">
        <f>2+478</f>
        <v/>
      </c>
      <c r="BC98" s="203">
        <f>SUMIFS(領用表!$L:$L,領用表!$A:$A,BC$2,領用表!$E:$E,B98)</f>
        <v/>
      </c>
      <c r="BD98" s="296">
        <f>SUMIFS(領用表!$L:$L,領用表!$E:$E,$B98,領用表!$B:$B,BC$2&amp;BD$2)</f>
        <v/>
      </c>
      <c r="BE98" s="296">
        <f>SUMIFS(領用表!$L:$L,領用表!$E:$E,$B98,領用表!$B:$B,$BC$2&amp;BE$2)</f>
        <v/>
      </c>
      <c r="BF98" s="296">
        <f>SUMIFS(領用表!$L:$L,領用表!$E:$E,$B98,領用表!$B:$B,$BC$2&amp;BF$2)</f>
        <v/>
      </c>
      <c r="BG98" s="206">
        <f>SUMIFS(領用表!$L:$L,領用表!$E:$E,$B98,領用表!$B:$B,$BC$2&amp;BG$2)</f>
        <v/>
      </c>
      <c r="BH98" s="203">
        <f>SUMIFS(領用表!$L:$L,領用表!$A:$A,BH$2,領用表!$E:$E,B98)</f>
        <v/>
      </c>
      <c r="BI98" s="260">
        <f>SUMIFS(領用表!$L:$L,領用表!$E:$E,$B98,領用表!$B:$B,BH$2&amp;BI$2)</f>
        <v/>
      </c>
      <c r="BJ98" s="260">
        <f>SUMIFS(領用表!$L:$L,領用表!$E:$E,$B98,領用表!$B:$B,$BH$2&amp;BJ$2)</f>
        <v/>
      </c>
      <c r="BK98" s="260">
        <f>SUMIFS(領用表!$L:$L,領用表!$E:$E,$B98,領用表!$B:$B,$BH$2&amp;BK$2)</f>
        <v/>
      </c>
      <c r="BL98" s="260">
        <f>SUMIFS(領用表!$L:$L,領用表!$E:$E,$B98,領用表!$B:$B,$BH$2&amp;BL$2)</f>
        <v/>
      </c>
      <c r="BM98" s="203">
        <f>SUMIFS(領用表!$L:$L,領用表!$A:$A,BM$2,領用表!$E:$E,B98)</f>
        <v/>
      </c>
      <c r="BN98" s="206">
        <f>SUMIFS(領用表!$L:$L,領用表!$E:$E,$B98,領用表!$B:$B,BM$2&amp;BN$2)</f>
        <v/>
      </c>
      <c r="BO98" s="206">
        <f>SUMIFS(領用表!$L:$L,領用表!$E:$E,$B98,領用表!$B:$B,$BM$2&amp;BO$2)</f>
        <v/>
      </c>
      <c r="BP98" s="297">
        <f>SUMIFS(領用表!$L:$L,領用表!$E:$E,$B98,領用表!$B:$B,$BM$2&amp;BP$2)</f>
        <v/>
      </c>
      <c r="BQ98" s="206">
        <f>SUMIFS(領用表!$L:$L,領用表!$E:$E,$B98,領用表!$B:$B,$BM$2&amp;BQ$2)</f>
        <v/>
      </c>
      <c r="BR98" s="203">
        <f>SUMIFS(領用表!$L:$L,領用表!$A:$A,BR$2,領用表!$E:$E,B98)</f>
        <v/>
      </c>
      <c r="BS98" s="297">
        <f>SUMIFS(領用表!$L:$L,領用表!$E:$E,$B98,領用表!$B:$B,BR$2&amp;BS$2)</f>
        <v/>
      </c>
      <c r="BT98" s="297">
        <f>SUMIFS(領用表!$L:$L,領用表!$E:$E,$B98,領用表!$B:$B,$BR$2&amp;BT$2)</f>
        <v/>
      </c>
      <c r="BU98" s="297">
        <f>SUMIFS(領用表!$L:$L,領用表!$E:$E,$B98,領用表!$B:$B,$BR$2&amp;BU$2)</f>
        <v/>
      </c>
      <c r="BV98" s="206">
        <f>SUMIFS(領用表!$L:$L,領用表!$E:$E,$B98,領用表!$B:$B,$BR$2&amp;BV$2)</f>
        <v/>
      </c>
      <c r="BW98" s="208">
        <f>SUMIFS(領用表!$L:$L,領用表!$A:$A,BW$2,領用表!$E:$E,B98)</f>
        <v/>
      </c>
      <c r="BX98" s="206">
        <f>SUMIFS(領用表!$L:$L,領用表!$E:$E,$B98,領用表!$B:$B,BW$2&amp;BX$2)</f>
        <v/>
      </c>
      <c r="BY98" s="206">
        <f>SUMIFS(領用表!$L:$L,領用表!$E:$E,$B98,領用表!$B:$B,$BW$2&amp;BY$2)</f>
        <v/>
      </c>
      <c r="BZ98" s="206">
        <f>SUMIFS(領用表!$L:$L,領用表!$E:$E,$B98,領用表!$B:$B,$BW$2&amp;BZ$2)</f>
        <v/>
      </c>
      <c r="CA98" s="206">
        <f>SUMIFS(領用表!$L:$L,領用表!$E:$E,$B98,領用表!$B:$B,$BW$2&amp;CA$2)</f>
        <v/>
      </c>
      <c r="CB98" s="208">
        <f>SUMIFS(領用表!$L:$L,領用表!$A:$A,CB$2,領用表!$E:$E,B98)</f>
        <v/>
      </c>
      <c r="CC98" s="206">
        <f>SUMIFS(領用表!$L:$L,領用表!$E:$E,$B98,領用表!$B:$B,CB$2&amp;CC$2)</f>
        <v/>
      </c>
      <c r="CD98" s="206">
        <f>SUMIFS(領用表!$L:$L,領用表!$E:$E,$B98,領用表!$B:$B,$CB$2&amp;CD$2)</f>
        <v/>
      </c>
      <c r="CE98" s="206">
        <f>SUMIFS(領用表!$L:$L,領用表!$E:$E,$B98,領用表!$B:$B,$CB$2&amp;CE$2)</f>
        <v/>
      </c>
      <c r="CF98" s="206">
        <f>SUMIFS(領用表!$L:$L,領用表!$E:$E,$B98,領用表!$B:$B,$CB$2&amp;CF$2)</f>
        <v/>
      </c>
      <c r="CG98" s="208">
        <f>SUMIFS(領用表!$L:$L,領用表!$A:$A,CG$2,領用表!$E:$E,B98)</f>
        <v/>
      </c>
      <c r="CH98" s="206">
        <f>SUMIFS(領用表!$L:$L,領用表!$E:$E,$B98,領用表!$B:$B,CG$2&amp;CH$2)</f>
        <v/>
      </c>
      <c r="CI98" s="206">
        <f>SUMIFS(領用表!$L:$L,領用表!$E:$E,$B98,領用表!$B:$B,CG$2&amp;CI$2)</f>
        <v/>
      </c>
      <c r="CJ98" s="206">
        <f>SUMIFS(領用表!$L:$L,領用表!$E:$E,$B98,領用表!$B:$B,CG$2&amp;CJ$2)</f>
        <v/>
      </c>
      <c r="CK98" s="206">
        <f>SUMIFS(領用表!$L:$L,領用表!$E:$E,$B98,領用表!$B:$B,$CG$2&amp;CK$2)</f>
        <v/>
      </c>
      <c r="CL98" s="207">
        <f>SUM(AX98,AY98,AZ98,BA98,BB98,BC98,BH98,BM98,BR98,BW98,CB98,CG98)</f>
        <v/>
      </c>
      <c r="CM98" s="207">
        <f>AVERAGE(AX98,AY98,AZ98,BA98,BB98,BC98,BH98,BM98,BR98,BW98,CB98,CG98)</f>
        <v/>
      </c>
      <c r="CN98" s="208">
        <f>SUMIFS(領用表!$L:$L,領用表!$A:$A,CN$2,領用表!$E:$E,B98)</f>
        <v/>
      </c>
      <c r="CO98" s="206">
        <f>SUMIFS(領用表!$L:$L,領用表!$E:$E,$B98,領用表!$B:$B,CN$2&amp;CO$2)</f>
        <v/>
      </c>
      <c r="CP98" s="206">
        <f>SUMIFS(領用表!$L:$L,領用表!$E:$E,$B98,領用表!$B:$B,$CN$2&amp;CP$2)</f>
        <v/>
      </c>
      <c r="CQ98" s="206">
        <f>SUMIFS(領用表!$L:$L,領用表!$E:$E,$B98,領用表!$B:$B,$CN$2&amp;CQ$2)</f>
        <v/>
      </c>
      <c r="CR98" s="206">
        <f>SUMIFS(領用表!$L:$L,領用表!$E:$E,$B98,領用表!$B:$B,$CN$2&amp;CR$2)</f>
        <v/>
      </c>
      <c r="CS98" s="208">
        <f>SUMIFS(領用表!$L:$L,領用表!$A:$A,CS$2,領用表!$E:$E,B98)</f>
        <v/>
      </c>
      <c r="CT98" s="206">
        <f>SUMIFS(領用表!$L:$L,領用表!$E:$E,$B98,領用表!$B:$B,CS$2&amp;CT$2)</f>
        <v/>
      </c>
      <c r="CU98" s="206">
        <f>SUMIFS(領用表!$L:$L,領用表!$E:$E,$B98,領用表!$B:$B,$CS$2&amp;CU$2)</f>
        <v/>
      </c>
      <c r="CV98" s="206">
        <f>SUMIFS(領用表!$L:$L,領用表!$E:$E,$B98,領用表!$B:$B,$CS$2&amp;CV$2)</f>
        <v/>
      </c>
      <c r="CW98" s="206">
        <f>SUMIFS(領用表!$L:$L,領用表!$E:$E,$B98,領用表!$B:$B,$CS$2&amp;CW$2)</f>
        <v/>
      </c>
      <c r="CX98" s="206">
        <f>SUMIFS(領用表!$L:$L,領用表!$E:$E,$B98,領用表!$B:$B,$CS$2&amp;CX$2)</f>
        <v/>
      </c>
      <c r="CY98" s="208">
        <f>SUMIFS(領用表!$L:$L,領用表!$A:$A,CY$2,領用表!$E:$E,B98)</f>
        <v/>
      </c>
      <c r="CZ98" s="206">
        <f>SUMIFS(領用表!$L:$L,領用表!$E:$E,$B98,領用表!$B:$B,CY$2&amp;CZ$2)</f>
        <v/>
      </c>
      <c r="DA98" s="206">
        <f>SUMIFS(領用表!$L:$L,領用表!$E:$E,$B98,領用表!$B:$B,$CY$2&amp;DA$2)</f>
        <v/>
      </c>
      <c r="DB98" s="206">
        <f>SUMIFS(領用表!$L:$L,領用表!$E:$E,$B98,領用表!$B:$B,$CY$2&amp;DB$2)</f>
        <v/>
      </c>
      <c r="DC98" s="206">
        <f>SUMIFS(領用表!$L:$L,領用表!$E:$E,$B98,領用表!$B:$B,$CY$2&amp;DC$2)</f>
        <v/>
      </c>
      <c r="DD98" s="206">
        <f>SUMIFS(領用表!$L:$L,領用表!$E:$E,$B98,領用表!$B:$B,$CY$2&amp;DD$2)</f>
        <v/>
      </c>
      <c r="DE98" s="208">
        <f>SUMIFS(領用表!$L:$L,領用表!$A:$A,DE$2,領用表!$E:$E,B98)</f>
        <v/>
      </c>
      <c r="DF98" s="206">
        <f>SUMIFS(領用表!$L:$L,領用表!$E:$E,$B98,領用表!$B:$B,DE$2&amp;DF$2)</f>
        <v/>
      </c>
      <c r="DG98" s="206">
        <f>SUMIFS(領用表!$L:$L,領用表!$E:$E,$B98,領用表!$B:$B,$DE$2&amp;DG$2)</f>
        <v/>
      </c>
      <c r="DH98" s="206">
        <f>SUMIFS(領用表!$L:$L,領用表!$E:$E,$B98,領用表!$B:$B,$DE$2&amp;DH$2)</f>
        <v/>
      </c>
      <c r="DI98" s="206">
        <f>SUMIFS(領用表!$L:$L,領用表!$E:$E,$B98,領用表!$B:$B,$DE$2&amp;DI$2)</f>
        <v/>
      </c>
      <c r="DJ98" s="206">
        <f>SUMIFS(領用表!$L:$L,領用表!$E:$E,$B98,領用表!$B:$B,$DE$2&amp;DJ$2)</f>
        <v/>
      </c>
      <c r="DK98" s="208">
        <f>SUMIFS(領用表!$L:$L,領用表!$A:$A,DK$2,領用表!$E:$E,$B98)</f>
        <v/>
      </c>
      <c r="DL98" s="206">
        <f>SUMIFS(領用表!$L:$L,領用表!$E:$E,$B98,領用表!$B:$B,DK$2&amp;DL$2)</f>
        <v/>
      </c>
      <c r="DM98" s="206">
        <f>SUMIFS(領用表!$L:$L,領用表!$E:$E,$B98,領用表!$B:$B,$DK$2&amp;DM$2)</f>
        <v/>
      </c>
      <c r="DN98" s="206">
        <f>SUMIFS(領用表!$L:$L,領用表!$E:$E,$B98,領用表!$B:$B,$DK$2&amp;DN$2)</f>
        <v/>
      </c>
      <c r="DO98" s="206">
        <f>SUMIFS(領用表!$L:$L,領用表!$E:$E,$B98,領用表!$B:$B,$DK$2&amp;DO$2)</f>
        <v/>
      </c>
      <c r="DP98" s="206">
        <f>SUMIFS(領用表!$L:$L,領用表!$E:$E,$B98,領用表!$B:$B,$DK$2&amp;DP$2)</f>
        <v/>
      </c>
      <c r="DQ98" s="208" t="n">
        <v>1165</v>
      </c>
      <c r="DR98" s="206" t="n"/>
      <c r="DS98" s="206" t="n">
        <v>433.5</v>
      </c>
      <c r="DT98" s="206" t="n"/>
      <c r="DU98" s="206" t="n">
        <v>731.5</v>
      </c>
      <c r="DV98" s="206" t="n"/>
      <c r="DW98" s="206">
        <f>SUM(CN98,CS98,CY98,DE98,DK98,DQ98)</f>
        <v/>
      </c>
      <c r="DX98" s="206">
        <f>AVERAGEA(CN98,CS98,CY98,DE98,DK98,DQ98)</f>
        <v/>
      </c>
      <c r="DY98" s="206">
        <f>SUM(DZ98:EC98)</f>
        <v/>
      </c>
      <c r="DZ98" s="206" t="n">
        <v>0</v>
      </c>
      <c r="EA98" s="206" t="n">
        <v>1200</v>
      </c>
      <c r="EB98" s="206" t="n">
        <v>2</v>
      </c>
      <c r="EC98" s="206" t="n">
        <v>2300</v>
      </c>
      <c r="ED98" s="258" t="n">
        <v>300</v>
      </c>
      <c r="EE98" s="283" t="n"/>
      <c r="EF98" s="283" t="inlineStr">
        <is>
          <t>440-10/22</t>
        </is>
      </c>
      <c r="EG98" s="283" t="inlineStr">
        <is>
          <t>660-10/22</t>
        </is>
      </c>
      <c r="EH98" s="136" t="n"/>
      <c r="EI98" s="289" t="n"/>
      <c r="EJ98" s="118">
        <f>IFERROR(VLOOKUP(A98,站前4樓!A:BF,57,0),0)</f>
        <v/>
      </c>
      <c r="EK98" s="213">
        <f>IFERROR(VLOOKUP(A98,站前11樓!A:BE,57,0),0)</f>
        <v/>
      </c>
      <c r="EL98" s="118">
        <f>IFERROR(VLOOKUP(A98,忠孝7樓!A:N,57,0),0)</f>
        <v/>
      </c>
      <c r="EM98" s="118">
        <f>IFERROR(VLOOKUP(A98,忠孝國際醫學3樓!A:L,57,0),0)</f>
        <v/>
      </c>
      <c r="EN98" s="118">
        <f>SUM(ED98:EG98)</f>
        <v/>
      </c>
    </row>
    <row r="99" ht="15.75" customFormat="1" customHeight="1" s="118">
      <c r="A99" s="136" t="inlineStr">
        <is>
          <t>MB3ME090007A</t>
        </is>
      </c>
      <c r="B99" s="118" t="n">
        <v>6120014</v>
      </c>
      <c r="C99" s="135" t="inlineStr">
        <is>
          <t xml:space="preserve">D5W 葡萄糖水 250ml </t>
        </is>
      </c>
      <c r="D99" s="285" t="n">
        <v>60</v>
      </c>
      <c r="E99" s="198" t="inlineStr">
        <is>
          <t>袋</t>
        </is>
      </c>
      <c r="F99" s="225">
        <f>SUMIF(站前4樓!B:B,B99,站前4樓!F:F)</f>
        <v/>
      </c>
      <c r="G99" s="225">
        <f>SUMIF(站前11樓!B:B,B99,站前11樓!F:F)</f>
        <v/>
      </c>
      <c r="H99" s="225">
        <f>SUMIF(忠孝7樓!B:B,B99,忠孝7樓!G:G)</f>
        <v/>
      </c>
      <c r="I99" s="225">
        <f>SUMIF(忠孝國際醫學3樓!B:B,B99,忠孝國際醫學3樓!G:G)</f>
        <v/>
      </c>
      <c r="J99" s="225">
        <f>SUMIF(忠孝健康7樓!B:B,B99,忠孝健康7樓!G:G)</f>
        <v/>
      </c>
      <c r="K99" s="283" t="n"/>
      <c r="L99" s="283" t="n"/>
      <c r="M99" s="283" t="n"/>
      <c r="N99" s="283" t="n"/>
      <c r="O99" s="283" t="n"/>
      <c r="P99" s="283" t="n"/>
      <c r="Q99" s="283" t="n"/>
      <c r="R99" s="283" t="n"/>
      <c r="S99" s="283" t="n"/>
      <c r="T99" s="283" t="n"/>
      <c r="U99" s="283" t="n"/>
      <c r="V99" s="283" t="n"/>
      <c r="W99" s="283" t="n"/>
      <c r="X99" s="283" t="n"/>
      <c r="Y99" s="283" t="n"/>
      <c r="Z99" s="283" t="n"/>
      <c r="AA99" s="283" t="n"/>
      <c r="AB99" s="283" t="n"/>
      <c r="AC99" s="283" t="n"/>
      <c r="AD99" s="283" t="n"/>
      <c r="AE99" s="283" t="n"/>
      <c r="AF99" s="283" t="n"/>
      <c r="AG99" s="283" t="n"/>
      <c r="AH99" s="283" t="n"/>
      <c r="AI99" s="283" t="n"/>
      <c r="AJ99" s="201" t="n"/>
      <c r="AK99" s="201" t="n"/>
      <c r="AL99" s="201" t="n"/>
      <c r="AM99" s="201" t="n"/>
      <c r="AN99" s="201" t="n"/>
      <c r="AO99" s="201" t="n"/>
      <c r="AP99" s="201" t="n"/>
      <c r="AQ99" s="201" t="n"/>
      <c r="AR99" s="201" t="n"/>
      <c r="AS99" s="201" t="n"/>
      <c r="AT99" s="201" t="n"/>
      <c r="AU99" s="201" t="n">
        <v>0</v>
      </c>
      <c r="AV99" s="283">
        <f>SUM(AJ99:AU99)</f>
        <v/>
      </c>
      <c r="AW99" s="286">
        <f>AV99/12</f>
        <v/>
      </c>
      <c r="AX99" s="201" t="n">
        <v>0</v>
      </c>
      <c r="AY99" s="201" t="n">
        <v>0</v>
      </c>
      <c r="AZ99" s="201" t="n">
        <v>92</v>
      </c>
      <c r="BA99" s="201" t="n">
        <v>60</v>
      </c>
      <c r="BB99" s="201">
        <f>0+80</f>
        <v/>
      </c>
      <c r="BC99" s="203">
        <f>SUMIFS(領用表!$L:$L,領用表!$A:$A,BC$2,領用表!$E:$E,B99)</f>
        <v/>
      </c>
      <c r="BD99" s="296">
        <f>SUMIFS(領用表!$L:$L,領用表!$E:$E,$B99,領用表!$B:$B,BC$2&amp;BD$2)</f>
        <v/>
      </c>
      <c r="BE99" s="296">
        <f>SUMIFS(領用表!$L:$L,領用表!$E:$E,$B99,領用表!$B:$B,$BC$2&amp;BE$2)</f>
        <v/>
      </c>
      <c r="BF99" s="296">
        <f>SUMIFS(領用表!$L:$L,領用表!$E:$E,$B99,領用表!$B:$B,$BC$2&amp;BF$2)</f>
        <v/>
      </c>
      <c r="BG99" s="206">
        <f>SUMIFS(領用表!$L:$L,領用表!$E:$E,$B99,領用表!$B:$B,$BC$2&amp;BG$2)</f>
        <v/>
      </c>
      <c r="BH99" s="203">
        <f>SUMIFS(領用表!$L:$L,領用表!$A:$A,BH$2,領用表!$E:$E,B99)</f>
        <v/>
      </c>
      <c r="BI99" s="260">
        <f>SUMIFS(領用表!$L:$L,領用表!$E:$E,$B99,領用表!$B:$B,BH$2&amp;BI$2)</f>
        <v/>
      </c>
      <c r="BJ99" s="260">
        <f>SUMIFS(領用表!$L:$L,領用表!$E:$E,$B99,領用表!$B:$B,$BH$2&amp;BJ$2)</f>
        <v/>
      </c>
      <c r="BK99" s="260">
        <f>SUMIFS(領用表!$L:$L,領用表!$E:$E,$B99,領用表!$B:$B,$BH$2&amp;BK$2)</f>
        <v/>
      </c>
      <c r="BL99" s="260">
        <f>SUMIFS(領用表!$L:$L,領用表!$E:$E,$B99,領用表!$B:$B,$BH$2&amp;BL$2)</f>
        <v/>
      </c>
      <c r="BM99" s="203">
        <f>SUMIFS(領用表!$L:$L,領用表!$A:$A,BM$2,領用表!$E:$E,B99)</f>
        <v/>
      </c>
      <c r="BN99" s="206">
        <f>SUMIFS(領用表!$L:$L,領用表!$E:$E,$B99,領用表!$B:$B,BM$2&amp;BN$2)</f>
        <v/>
      </c>
      <c r="BO99" s="206">
        <f>SUMIFS(領用表!$L:$L,領用表!$E:$E,$B99,領用表!$B:$B,$BM$2&amp;BO$2)</f>
        <v/>
      </c>
      <c r="BP99" s="297">
        <f>SUMIFS(領用表!$L:$L,領用表!$E:$E,$B99,領用表!$B:$B,$BM$2&amp;BP$2)</f>
        <v/>
      </c>
      <c r="BQ99" s="206">
        <f>SUMIFS(領用表!$L:$L,領用表!$E:$E,$B99,領用表!$B:$B,$BM$2&amp;BQ$2)</f>
        <v/>
      </c>
      <c r="BR99" s="203">
        <f>SUMIFS(領用表!$L:$L,領用表!$A:$A,BR$2,領用表!$E:$E,B99)</f>
        <v/>
      </c>
      <c r="BS99" s="297">
        <f>SUMIFS(領用表!$L:$L,領用表!$E:$E,$B99,領用表!$B:$B,BR$2&amp;BS$2)</f>
        <v/>
      </c>
      <c r="BT99" s="297">
        <f>SUMIFS(領用表!$L:$L,領用表!$E:$E,$B99,領用表!$B:$B,$BR$2&amp;BT$2)</f>
        <v/>
      </c>
      <c r="BU99" s="297">
        <f>SUMIFS(領用表!$L:$L,領用表!$E:$E,$B99,領用表!$B:$B,$BR$2&amp;BU$2)</f>
        <v/>
      </c>
      <c r="BV99" s="206">
        <f>SUMIFS(領用表!$L:$L,領用表!$E:$E,$B99,領用表!$B:$B,$BR$2&amp;BV$2)</f>
        <v/>
      </c>
      <c r="BW99" s="208">
        <f>SUMIFS(領用表!$L:$L,領用表!$A:$A,BW$2,領用表!$E:$E,B99)</f>
        <v/>
      </c>
      <c r="BX99" s="206">
        <f>SUMIFS(領用表!$L:$L,領用表!$E:$E,$B99,領用表!$B:$B,BW$2&amp;BX$2)</f>
        <v/>
      </c>
      <c r="BY99" s="206">
        <f>SUMIFS(領用表!$L:$L,領用表!$E:$E,$B99,領用表!$B:$B,$BW$2&amp;BY$2)</f>
        <v/>
      </c>
      <c r="BZ99" s="206">
        <f>SUMIFS(領用表!$L:$L,領用表!$E:$E,$B99,領用表!$B:$B,$BW$2&amp;BZ$2)</f>
        <v/>
      </c>
      <c r="CA99" s="206">
        <f>SUMIFS(領用表!$L:$L,領用表!$E:$E,$B99,領用表!$B:$B,$BW$2&amp;CA$2)</f>
        <v/>
      </c>
      <c r="CB99" s="208">
        <f>SUMIFS(領用表!$L:$L,領用表!$A:$A,CB$2,領用表!$E:$E,B99)</f>
        <v/>
      </c>
      <c r="CC99" s="206">
        <f>SUMIFS(領用表!$L:$L,領用表!$E:$E,$B99,領用表!$B:$B,CB$2&amp;CC$2)</f>
        <v/>
      </c>
      <c r="CD99" s="206">
        <f>SUMIFS(領用表!$L:$L,領用表!$E:$E,$B99,領用表!$B:$B,$CB$2&amp;CD$2)</f>
        <v/>
      </c>
      <c r="CE99" s="206">
        <f>SUMIFS(領用表!$L:$L,領用表!$E:$E,$B99,領用表!$B:$B,$CB$2&amp;CE$2)</f>
        <v/>
      </c>
      <c r="CF99" s="206">
        <f>SUMIFS(領用表!$L:$L,領用表!$E:$E,$B99,領用表!$B:$B,$CB$2&amp;CF$2)</f>
        <v/>
      </c>
      <c r="CG99" s="208">
        <f>SUMIFS(領用表!$L:$L,領用表!$A:$A,CG$2,領用表!$E:$E,B99)</f>
        <v/>
      </c>
      <c r="CH99" s="206">
        <f>SUMIFS(領用表!$L:$L,領用表!$E:$E,$B99,領用表!$B:$B,CG$2&amp;CH$2)</f>
        <v/>
      </c>
      <c r="CI99" s="206">
        <f>SUMIFS(領用表!$L:$L,領用表!$E:$E,$B99,領用表!$B:$B,CG$2&amp;CI$2)</f>
        <v/>
      </c>
      <c r="CJ99" s="206">
        <f>SUMIFS(領用表!$L:$L,領用表!$E:$E,$B99,領用表!$B:$B,CG$2&amp;CJ$2)</f>
        <v/>
      </c>
      <c r="CK99" s="206">
        <f>SUMIFS(領用表!$L:$L,領用表!$E:$E,$B99,領用表!$B:$B,$CG$2&amp;CK$2)</f>
        <v/>
      </c>
      <c r="CL99" s="207">
        <f>SUM(AX99,AY99,AZ99,BA99,BB99,BC99,BH99,BM99,BR99,BW99,CB99,CG99)</f>
        <v/>
      </c>
      <c r="CM99" s="207">
        <f>AVERAGE(AX99,AY99,AZ99,BA99,BB99,BC99,BH99,BM99,BR99,BW99,CB99,CG99)</f>
        <v/>
      </c>
      <c r="CN99" s="208">
        <f>SUMIFS(領用表!$L:$L,領用表!$A:$A,CN$2,領用表!$E:$E,B99)</f>
        <v/>
      </c>
      <c r="CO99" s="206">
        <f>SUMIFS(領用表!$L:$L,領用表!$E:$E,$B99,領用表!$B:$B,CN$2&amp;CO$2)</f>
        <v/>
      </c>
      <c r="CP99" s="206">
        <f>SUMIFS(領用表!$L:$L,領用表!$E:$E,$B99,領用表!$B:$B,$CN$2&amp;CP$2)</f>
        <v/>
      </c>
      <c r="CQ99" s="206">
        <f>SUMIFS(領用表!$L:$L,領用表!$E:$E,$B99,領用表!$B:$B,$CN$2&amp;CQ$2)</f>
        <v/>
      </c>
      <c r="CR99" s="206">
        <f>SUMIFS(領用表!$L:$L,領用表!$E:$E,$B99,領用表!$B:$B,$CN$2&amp;CR$2)</f>
        <v/>
      </c>
      <c r="CS99" s="208">
        <f>SUMIFS(領用表!$L:$L,領用表!$A:$A,CS$2,領用表!$E:$E,B99)</f>
        <v/>
      </c>
      <c r="CT99" s="206">
        <f>SUMIFS(領用表!$L:$L,領用表!$E:$E,$B99,領用表!$B:$B,CS$2&amp;CT$2)</f>
        <v/>
      </c>
      <c r="CU99" s="206">
        <f>SUMIFS(領用表!$L:$L,領用表!$E:$E,$B99,領用表!$B:$B,$CS$2&amp;CU$2)</f>
        <v/>
      </c>
      <c r="CV99" s="206">
        <f>SUMIFS(領用表!$L:$L,領用表!$E:$E,$B99,領用表!$B:$B,$CS$2&amp;CV$2)</f>
        <v/>
      </c>
      <c r="CW99" s="206">
        <f>SUMIFS(領用表!$L:$L,領用表!$E:$E,$B99,領用表!$B:$B,$CS$2&amp;CW$2)</f>
        <v/>
      </c>
      <c r="CX99" s="206">
        <f>SUMIFS(領用表!$L:$L,領用表!$E:$E,$B99,領用表!$B:$B,$CS$2&amp;CX$2)</f>
        <v/>
      </c>
      <c r="CY99" s="208">
        <f>SUMIFS(領用表!$L:$L,領用表!$A:$A,CY$2,領用表!$E:$E,B99)</f>
        <v/>
      </c>
      <c r="CZ99" s="206">
        <f>SUMIFS(領用表!$L:$L,領用表!$E:$E,$B99,領用表!$B:$B,CY$2&amp;CZ$2)</f>
        <v/>
      </c>
      <c r="DA99" s="206">
        <f>SUMIFS(領用表!$L:$L,領用表!$E:$E,$B99,領用表!$B:$B,$CY$2&amp;DA$2)</f>
        <v/>
      </c>
      <c r="DB99" s="206">
        <f>SUMIFS(領用表!$L:$L,領用表!$E:$E,$B99,領用表!$B:$B,$CY$2&amp;DB$2)</f>
        <v/>
      </c>
      <c r="DC99" s="206">
        <f>SUMIFS(領用表!$L:$L,領用表!$E:$E,$B99,領用表!$B:$B,$CY$2&amp;DC$2)</f>
        <v/>
      </c>
      <c r="DD99" s="206">
        <f>SUMIFS(領用表!$L:$L,領用表!$E:$E,$B99,領用表!$B:$B,$CY$2&amp;DD$2)</f>
        <v/>
      </c>
      <c r="DE99" s="208">
        <f>SUMIFS(領用表!$L:$L,領用表!$A:$A,DE$2,領用表!$E:$E,B99)</f>
        <v/>
      </c>
      <c r="DF99" s="206">
        <f>SUMIFS(領用表!$L:$L,領用表!$E:$E,$B99,領用表!$B:$B,DE$2&amp;DF$2)</f>
        <v/>
      </c>
      <c r="DG99" s="206">
        <f>SUMIFS(領用表!$L:$L,領用表!$E:$E,$B99,領用表!$B:$B,$DE$2&amp;DG$2)</f>
        <v/>
      </c>
      <c r="DH99" s="206">
        <f>SUMIFS(領用表!$L:$L,領用表!$E:$E,$B99,領用表!$B:$B,$DE$2&amp;DH$2)</f>
        <v/>
      </c>
      <c r="DI99" s="206">
        <f>SUMIFS(領用表!$L:$L,領用表!$E:$E,$B99,領用表!$B:$B,$DE$2&amp;DI$2)</f>
        <v/>
      </c>
      <c r="DJ99" s="206">
        <f>SUMIFS(領用表!$L:$L,領用表!$E:$E,$B99,領用表!$B:$B,$DE$2&amp;DJ$2)</f>
        <v/>
      </c>
      <c r="DK99" s="208">
        <f>SUMIFS(領用表!$L:$L,領用表!$A:$A,DK$2,領用表!$E:$E,$B99)</f>
        <v/>
      </c>
      <c r="DL99" s="206">
        <f>SUMIFS(領用表!$L:$L,領用表!$E:$E,$B99,領用表!$B:$B,DK$2&amp;DL$2)</f>
        <v/>
      </c>
      <c r="DM99" s="206">
        <f>SUMIFS(領用表!$L:$L,領用表!$E:$E,$B99,領用表!$B:$B,$DK$2&amp;DM$2)</f>
        <v/>
      </c>
      <c r="DN99" s="206">
        <f>SUMIFS(領用表!$L:$L,領用表!$E:$E,$B99,領用表!$B:$B,$DK$2&amp;DN$2)</f>
        <v/>
      </c>
      <c r="DO99" s="206">
        <f>SUMIFS(領用表!$L:$L,領用表!$E:$E,$B99,領用表!$B:$B,$DK$2&amp;DO$2)</f>
        <v/>
      </c>
      <c r="DP99" s="206">
        <f>SUMIFS(領用表!$L:$L,領用表!$E:$E,$B99,領用表!$B:$B,$DK$2&amp;DP$2)</f>
        <v/>
      </c>
      <c r="DQ99" s="208" t="n">
        <v>819</v>
      </c>
      <c r="DR99" s="206" t="n"/>
      <c r="DS99" s="206" t="n">
        <v>370</v>
      </c>
      <c r="DT99" s="206" t="n"/>
      <c r="DU99" s="206" t="n">
        <v>449</v>
      </c>
      <c r="DV99" s="206" t="n"/>
      <c r="DW99" s="206">
        <f>SUM(CN99,CS99,CY99,DE99,DK99,DQ99)</f>
        <v/>
      </c>
      <c r="DX99" s="206">
        <f>AVERAGEA(CN99,CS99,CY99,DE99,DK99,DQ99)</f>
        <v/>
      </c>
      <c r="DY99" s="206">
        <f>SUM(DZ99:EC99)</f>
        <v/>
      </c>
      <c r="DZ99" s="206" t="n">
        <v>0</v>
      </c>
      <c r="EA99" s="206" t="n">
        <v>900</v>
      </c>
      <c r="EB99" s="206" t="n">
        <v>0</v>
      </c>
      <c r="EC99" s="206" t="n">
        <v>1500</v>
      </c>
      <c r="ED99" s="258" t="n">
        <v>250</v>
      </c>
      <c r="EE99" s="283" t="n"/>
      <c r="EF99" s="283" t="n"/>
      <c r="EG99" s="283" t="n"/>
      <c r="EH99" s="136" t="n"/>
      <c r="EI99" s="136" t="n"/>
      <c r="EJ99" s="118">
        <f>IFERROR(VLOOKUP(A99,站前4樓!A:BF,57,0),0)</f>
        <v/>
      </c>
      <c r="EK99" s="213">
        <f>IFERROR(VLOOKUP(A99,站前11樓!A:BE,57,0),0)</f>
        <v/>
      </c>
      <c r="EL99" s="118">
        <f>IFERROR(VLOOKUP(A99,忠孝7樓!A:N,57,0),0)</f>
        <v/>
      </c>
      <c r="EM99" s="118">
        <f>IFERROR(VLOOKUP(A99,忠孝國際醫學3樓!A:L,57,0),0)</f>
        <v/>
      </c>
      <c r="EN99" s="118">
        <f>SUM(ED99:EG99)</f>
        <v/>
      </c>
    </row>
    <row r="100" ht="15.75" customFormat="1" customHeight="1" s="118">
      <c r="A100" s="136" t="inlineStr">
        <is>
          <t>MB3ME090008A</t>
        </is>
      </c>
      <c r="B100" s="118" t="n">
        <v>6120013</v>
      </c>
      <c r="C100" s="135" t="inlineStr">
        <is>
          <t>NS生理食鹽水 250ML</t>
        </is>
      </c>
      <c r="D100" s="285" t="n">
        <v>55</v>
      </c>
      <c r="E100" s="198" t="inlineStr">
        <is>
          <t>袋</t>
        </is>
      </c>
      <c r="F100" s="225">
        <f>SUMIF(站前4樓!B:B,B100,站前4樓!F:F)</f>
        <v/>
      </c>
      <c r="G100" s="225">
        <f>SUMIF(站前11樓!B:B,B100,站前11樓!F:F)</f>
        <v/>
      </c>
      <c r="H100" s="225">
        <f>SUMIF(忠孝7樓!B:B,B100,忠孝7樓!G:G)</f>
        <v/>
      </c>
      <c r="I100" s="225">
        <f>SUMIF(忠孝國際醫學3樓!B:B,B100,忠孝國際醫學3樓!G:G)</f>
        <v/>
      </c>
      <c r="J100" s="225">
        <f>SUMIF(忠孝健康7樓!B:B,B100,忠孝健康7樓!G:G)</f>
        <v/>
      </c>
      <c r="K100" s="283" t="n"/>
      <c r="L100" s="283" t="n"/>
      <c r="M100" s="283" t="n"/>
      <c r="N100" s="283" t="n"/>
      <c r="O100" s="283" t="n"/>
      <c r="P100" s="283" t="n"/>
      <c r="Q100" s="283" t="n"/>
      <c r="R100" s="283" t="n"/>
      <c r="S100" s="283" t="n"/>
      <c r="T100" s="283" t="n"/>
      <c r="U100" s="283" t="n"/>
      <c r="V100" s="283" t="n"/>
      <c r="W100" s="283" t="n"/>
      <c r="X100" s="283" t="n"/>
      <c r="Y100" s="283" t="n"/>
      <c r="Z100" s="283" t="n"/>
      <c r="AA100" s="283" t="n"/>
      <c r="AB100" s="283" t="n"/>
      <c r="AC100" s="283" t="n"/>
      <c r="AD100" s="283" t="n"/>
      <c r="AE100" s="283" t="n"/>
      <c r="AF100" s="283" t="n"/>
      <c r="AG100" s="283" t="n"/>
      <c r="AH100" s="283" t="n"/>
      <c r="AI100" s="283" t="n"/>
      <c r="AJ100" s="201" t="n"/>
      <c r="AK100" s="201" t="n"/>
      <c r="AL100" s="201" t="n"/>
      <c r="AM100" s="201" t="n"/>
      <c r="AN100" s="201" t="n"/>
      <c r="AO100" s="201" t="n"/>
      <c r="AP100" s="201" t="n"/>
      <c r="AQ100" s="201" t="n"/>
      <c r="AR100" s="201" t="n"/>
      <c r="AS100" s="201" t="n"/>
      <c r="AT100" s="201" t="n"/>
      <c r="AU100" s="201" t="n">
        <v>0</v>
      </c>
      <c r="AV100" s="283">
        <f>SUM(AJ100:AU100)</f>
        <v/>
      </c>
      <c r="AW100" s="286">
        <f>AV100/12</f>
        <v/>
      </c>
      <c r="AX100" s="201" t="n">
        <v>0</v>
      </c>
      <c r="AY100" s="201" t="n">
        <v>0</v>
      </c>
      <c r="AZ100" s="201" t="n">
        <v>192</v>
      </c>
      <c r="BA100" s="201" t="n">
        <v>434</v>
      </c>
      <c r="BB100" s="201">
        <f>74+439</f>
        <v/>
      </c>
      <c r="BC100" s="203">
        <f>SUMIFS(領用表!$L:$L,領用表!$A:$A,BC$2,領用表!$E:$E,B100)</f>
        <v/>
      </c>
      <c r="BD100" s="296">
        <f>SUMIFS(領用表!$L:$L,領用表!$E:$E,$B100,領用表!$B:$B,BC$2&amp;BD$2)</f>
        <v/>
      </c>
      <c r="BE100" s="296">
        <f>SUMIFS(領用表!$L:$L,領用表!$E:$E,$B100,領用表!$B:$B,$BC$2&amp;BE$2)</f>
        <v/>
      </c>
      <c r="BF100" s="296">
        <f>SUMIFS(領用表!$L:$L,領用表!$E:$E,$B100,領用表!$B:$B,$BC$2&amp;BF$2)</f>
        <v/>
      </c>
      <c r="BG100" s="206">
        <f>SUMIFS(領用表!$L:$L,領用表!$E:$E,$B100,領用表!$B:$B,$BC$2&amp;BG$2)</f>
        <v/>
      </c>
      <c r="BH100" s="203">
        <f>SUMIFS(領用表!$L:$L,領用表!$A:$A,BH$2,領用表!$E:$E,B100)</f>
        <v/>
      </c>
      <c r="BI100" s="260">
        <f>SUMIFS(領用表!$L:$L,領用表!$E:$E,$B100,領用表!$B:$B,BH$2&amp;BI$2)</f>
        <v/>
      </c>
      <c r="BJ100" s="260">
        <f>SUMIFS(領用表!$L:$L,領用表!$E:$E,$B100,領用表!$B:$B,$BH$2&amp;BJ$2)</f>
        <v/>
      </c>
      <c r="BK100" s="260">
        <f>SUMIFS(領用表!$L:$L,領用表!$E:$E,$B100,領用表!$B:$B,$BH$2&amp;BK$2)</f>
        <v/>
      </c>
      <c r="BL100" s="260">
        <f>SUMIFS(領用表!$L:$L,領用表!$E:$E,$B100,領用表!$B:$B,$BH$2&amp;BL$2)</f>
        <v/>
      </c>
      <c r="BM100" s="203">
        <f>SUMIFS(領用表!$L:$L,領用表!$A:$A,BM$2,領用表!$E:$E,B100)</f>
        <v/>
      </c>
      <c r="BN100" s="206">
        <f>SUMIFS(領用表!$L:$L,領用表!$E:$E,$B100,領用表!$B:$B,BM$2&amp;BN$2)</f>
        <v/>
      </c>
      <c r="BO100" s="206">
        <f>SUMIFS(領用表!$L:$L,領用表!$E:$E,$B100,領用表!$B:$B,$BM$2&amp;BO$2)</f>
        <v/>
      </c>
      <c r="BP100" s="297">
        <f>SUMIFS(領用表!$L:$L,領用表!$E:$E,$B100,領用表!$B:$B,$BM$2&amp;BP$2)</f>
        <v/>
      </c>
      <c r="BQ100" s="206">
        <f>SUMIFS(領用表!$L:$L,領用表!$E:$E,$B100,領用表!$B:$B,$BM$2&amp;BQ$2)</f>
        <v/>
      </c>
      <c r="BR100" s="203">
        <f>SUMIFS(領用表!$L:$L,領用表!$A:$A,BR$2,領用表!$E:$E,B100)</f>
        <v/>
      </c>
      <c r="BS100" s="297">
        <f>SUMIFS(領用表!$L:$L,領用表!$E:$E,$B100,領用表!$B:$B,BR$2&amp;BS$2)</f>
        <v/>
      </c>
      <c r="BT100" s="297">
        <f>SUMIFS(領用表!$L:$L,領用表!$E:$E,$B100,領用表!$B:$B,$BR$2&amp;BT$2)</f>
        <v/>
      </c>
      <c r="BU100" s="297">
        <f>SUMIFS(領用表!$L:$L,領用表!$E:$E,$B100,領用表!$B:$B,$BR$2&amp;BU$2)</f>
        <v/>
      </c>
      <c r="BV100" s="206">
        <f>SUMIFS(領用表!$L:$L,領用表!$E:$E,$B100,領用表!$B:$B,$BR$2&amp;BV$2)</f>
        <v/>
      </c>
      <c r="BW100" s="208">
        <f>SUMIFS(領用表!$L:$L,領用表!$A:$A,BW$2,領用表!$E:$E,B100)</f>
        <v/>
      </c>
      <c r="BX100" s="206">
        <f>SUMIFS(領用表!$L:$L,領用表!$E:$E,$B100,領用表!$B:$B,BW$2&amp;BX$2)</f>
        <v/>
      </c>
      <c r="BY100" s="206">
        <f>SUMIFS(領用表!$L:$L,領用表!$E:$E,$B100,領用表!$B:$B,$BW$2&amp;BY$2)</f>
        <v/>
      </c>
      <c r="BZ100" s="206">
        <f>SUMIFS(領用表!$L:$L,領用表!$E:$E,$B100,領用表!$B:$B,$BW$2&amp;BZ$2)</f>
        <v/>
      </c>
      <c r="CA100" s="206">
        <f>SUMIFS(領用表!$L:$L,領用表!$E:$E,$B100,領用表!$B:$B,$BW$2&amp;CA$2)</f>
        <v/>
      </c>
      <c r="CB100" s="208">
        <f>SUMIFS(領用表!$L:$L,領用表!$A:$A,CB$2,領用表!$E:$E,B100)</f>
        <v/>
      </c>
      <c r="CC100" s="206">
        <f>SUMIFS(領用表!$L:$L,領用表!$E:$E,$B100,領用表!$B:$B,CB$2&amp;CC$2)</f>
        <v/>
      </c>
      <c r="CD100" s="206">
        <f>SUMIFS(領用表!$L:$L,領用表!$E:$E,$B100,領用表!$B:$B,$CB$2&amp;CD$2)</f>
        <v/>
      </c>
      <c r="CE100" s="206">
        <f>SUMIFS(領用表!$L:$L,領用表!$E:$E,$B100,領用表!$B:$B,$CB$2&amp;CE$2)</f>
        <v/>
      </c>
      <c r="CF100" s="206">
        <f>SUMIFS(領用表!$L:$L,領用表!$E:$E,$B100,領用表!$B:$B,$CB$2&amp;CF$2)</f>
        <v/>
      </c>
      <c r="CG100" s="208">
        <f>SUMIFS(領用表!$L:$L,領用表!$A:$A,CG$2,領用表!$E:$E,B100)</f>
        <v/>
      </c>
      <c r="CH100" s="206">
        <f>SUMIFS(領用表!$L:$L,領用表!$E:$E,$B100,領用表!$B:$B,CG$2&amp;CH$2)</f>
        <v/>
      </c>
      <c r="CI100" s="206">
        <f>SUMIFS(領用表!$L:$L,領用表!$E:$E,$B100,領用表!$B:$B,CG$2&amp;CI$2)</f>
        <v/>
      </c>
      <c r="CJ100" s="206">
        <f>SUMIFS(領用表!$L:$L,領用表!$E:$E,$B100,領用表!$B:$B,CG$2&amp;CJ$2)</f>
        <v/>
      </c>
      <c r="CK100" s="206">
        <f>SUMIFS(領用表!$L:$L,領用表!$E:$E,$B100,領用表!$B:$B,$CG$2&amp;CK$2)</f>
        <v/>
      </c>
      <c r="CL100" s="207">
        <f>SUM(AX100,AY100,AZ100,BA100,BB100,BC100,BH100,BM100,BR100,BW100,CB100,CG100)</f>
        <v/>
      </c>
      <c r="CM100" s="207">
        <f>AVERAGE(AX100,AY100,AZ100,BA100,BB100,BC100,BH100,BM100,BR100,BW100,CB100,CG100)</f>
        <v/>
      </c>
      <c r="CN100" s="208">
        <f>SUMIFS(領用表!$L:$L,領用表!$A:$A,CN$2,領用表!$E:$E,B100)</f>
        <v/>
      </c>
      <c r="CO100" s="206">
        <f>SUMIFS(領用表!$L:$L,領用表!$E:$E,$B100,領用表!$B:$B,CN$2&amp;CO$2)</f>
        <v/>
      </c>
      <c r="CP100" s="206">
        <f>SUMIFS(領用表!$L:$L,領用表!$E:$E,$B100,領用表!$B:$B,$CN$2&amp;CP$2)</f>
        <v/>
      </c>
      <c r="CQ100" s="206">
        <f>SUMIFS(領用表!$L:$L,領用表!$E:$E,$B100,領用表!$B:$B,$CN$2&amp;CQ$2)</f>
        <v/>
      </c>
      <c r="CR100" s="206">
        <f>SUMIFS(領用表!$L:$L,領用表!$E:$E,$B100,領用表!$B:$B,$CN$2&amp;CR$2)</f>
        <v/>
      </c>
      <c r="CS100" s="208">
        <f>SUMIFS(領用表!$L:$L,領用表!$A:$A,CS$2,領用表!$E:$E,B100)</f>
        <v/>
      </c>
      <c r="CT100" s="206">
        <f>SUMIFS(領用表!$L:$L,領用表!$E:$E,$B100,領用表!$B:$B,CS$2&amp;CT$2)</f>
        <v/>
      </c>
      <c r="CU100" s="206">
        <f>SUMIFS(領用表!$L:$L,領用表!$E:$E,$B100,領用表!$B:$B,$CS$2&amp;CU$2)</f>
        <v/>
      </c>
      <c r="CV100" s="206">
        <f>SUMIFS(領用表!$L:$L,領用表!$E:$E,$B100,領用表!$B:$B,$CS$2&amp;CV$2)</f>
        <v/>
      </c>
      <c r="CW100" s="206">
        <f>SUMIFS(領用表!$L:$L,領用表!$E:$E,$B100,領用表!$B:$B,$CS$2&amp;CW$2)</f>
        <v/>
      </c>
      <c r="CX100" s="206">
        <f>SUMIFS(領用表!$L:$L,領用表!$E:$E,$B100,領用表!$B:$B,$CS$2&amp;CX$2)</f>
        <v/>
      </c>
      <c r="CY100" s="208">
        <f>SUMIFS(領用表!$L:$L,領用表!$A:$A,CY$2,領用表!$E:$E,B100)</f>
        <v/>
      </c>
      <c r="CZ100" s="206">
        <f>SUMIFS(領用表!$L:$L,領用表!$E:$E,$B100,領用表!$B:$B,CY$2&amp;CZ$2)</f>
        <v/>
      </c>
      <c r="DA100" s="206">
        <f>SUMIFS(領用表!$L:$L,領用表!$E:$E,$B100,領用表!$B:$B,$CY$2&amp;DA$2)</f>
        <v/>
      </c>
      <c r="DB100" s="206">
        <f>SUMIFS(領用表!$L:$L,領用表!$E:$E,$B100,領用表!$B:$B,$CY$2&amp;DB$2)</f>
        <v/>
      </c>
      <c r="DC100" s="206">
        <f>SUMIFS(領用表!$L:$L,領用表!$E:$E,$B100,領用表!$B:$B,$CY$2&amp;DC$2)</f>
        <v/>
      </c>
      <c r="DD100" s="206">
        <f>SUMIFS(領用表!$L:$L,領用表!$E:$E,$B100,領用表!$B:$B,$CY$2&amp;DD$2)</f>
        <v/>
      </c>
      <c r="DE100" s="208">
        <f>SUMIFS(領用表!$L:$L,領用表!$A:$A,DE$2,領用表!$E:$E,B100)</f>
        <v/>
      </c>
      <c r="DF100" s="206">
        <f>SUMIFS(領用表!$L:$L,領用表!$E:$E,$B100,領用表!$B:$B,DE$2&amp;DF$2)</f>
        <v/>
      </c>
      <c r="DG100" s="206">
        <f>SUMIFS(領用表!$L:$L,領用表!$E:$E,$B100,領用表!$B:$B,$DE$2&amp;DG$2)</f>
        <v/>
      </c>
      <c r="DH100" s="206">
        <f>SUMIFS(領用表!$L:$L,領用表!$E:$E,$B100,領用表!$B:$B,$DE$2&amp;DH$2)</f>
        <v/>
      </c>
      <c r="DI100" s="206">
        <f>SUMIFS(領用表!$L:$L,領用表!$E:$E,$B100,領用表!$B:$B,$DE$2&amp;DI$2)</f>
        <v/>
      </c>
      <c r="DJ100" s="206">
        <f>SUMIFS(領用表!$L:$L,領用表!$E:$E,$B100,領用表!$B:$B,$DE$2&amp;DJ$2)</f>
        <v/>
      </c>
      <c r="DK100" s="208">
        <f>SUMIFS(領用表!$L:$L,領用表!$A:$A,DK$2,領用表!$E:$E,$B100)</f>
        <v/>
      </c>
      <c r="DL100" s="206">
        <f>SUMIFS(領用表!$L:$L,領用表!$E:$E,$B100,領用表!$B:$B,DK$2&amp;DL$2)</f>
        <v/>
      </c>
      <c r="DM100" s="206">
        <f>SUMIFS(領用表!$L:$L,領用表!$E:$E,$B100,領用表!$B:$B,$DK$2&amp;DM$2)</f>
        <v/>
      </c>
      <c r="DN100" s="206">
        <f>SUMIFS(領用表!$L:$L,領用表!$E:$E,$B100,領用表!$B:$B,$DK$2&amp;DN$2)</f>
        <v/>
      </c>
      <c r="DO100" s="206">
        <f>SUMIFS(領用表!$L:$L,領用表!$E:$E,$B100,領用表!$B:$B,$DK$2&amp;DO$2)</f>
        <v/>
      </c>
      <c r="DP100" s="206">
        <f>SUMIFS(領用表!$L:$L,領用表!$E:$E,$B100,領用表!$B:$B,$DK$2&amp;DP$2)</f>
        <v/>
      </c>
      <c r="DQ100" s="208" t="n">
        <v>232</v>
      </c>
      <c r="DR100" s="206" t="n">
        <v>31</v>
      </c>
      <c r="DS100" s="206" t="n">
        <v>64</v>
      </c>
      <c r="DT100" s="206" t="n">
        <v>32</v>
      </c>
      <c r="DU100" s="206" t="n">
        <v>95</v>
      </c>
      <c r="DV100" s="206" t="n">
        <v>10</v>
      </c>
      <c r="DW100" s="206">
        <f>SUM(CN100,CS100,CY100,DE100,DK100,DQ100)</f>
        <v/>
      </c>
      <c r="DX100" s="206">
        <f>AVERAGEA(CN100,CS100,CY100,DE100,DK100,DQ100)</f>
        <v/>
      </c>
      <c r="DY100" s="206">
        <f>SUM(DZ100:EC100)</f>
        <v/>
      </c>
      <c r="DZ100" s="206" t="n">
        <v>0</v>
      </c>
      <c r="EA100" s="206" t="n">
        <v>540</v>
      </c>
      <c r="EB100" s="206" t="n">
        <v>0</v>
      </c>
      <c r="EC100" s="206" t="n">
        <v>1000</v>
      </c>
      <c r="ED100" s="258" t="n">
        <v>600</v>
      </c>
      <c r="EE100" s="283" t="n"/>
      <c r="EF100" s="252" t="n"/>
      <c r="EG100" s="283" t="n"/>
      <c r="EH100" s="136" t="n"/>
      <c r="EI100" s="136" t="n"/>
      <c r="EJ100" s="118">
        <f>IFERROR(VLOOKUP(A100,站前4樓!A:BF,57,0),0)</f>
        <v/>
      </c>
      <c r="EK100" s="213">
        <f>IFERROR(VLOOKUP(A100,站前11樓!A:BE,57,0),0)</f>
        <v/>
      </c>
      <c r="EL100" s="118">
        <f>IFERROR(VLOOKUP(A100,忠孝7樓!A:N,57,0),0)</f>
        <v/>
      </c>
      <c r="EM100" s="118">
        <f>IFERROR(VLOOKUP(A100,忠孝國際醫學3樓!A:L,57,0),0)</f>
        <v/>
      </c>
      <c r="EN100" s="118">
        <f>SUM(ED100:EG100)</f>
        <v/>
      </c>
    </row>
    <row r="101" ht="15.75" customFormat="1" customHeight="1" s="118">
      <c r="A101" s="136" t="inlineStr">
        <is>
          <t>MB3ME090006A</t>
        </is>
      </c>
      <c r="B101" s="118" t="n">
        <v>6120004</v>
      </c>
      <c r="C101" s="186" t="inlineStr">
        <is>
          <t>胺基酸點滴250ml/ 袋(安命活源/嘉安命)</t>
        </is>
      </c>
      <c r="D101" s="285" t="n">
        <v>20</v>
      </c>
      <c r="E101" s="198" t="inlineStr">
        <is>
          <t>袋</t>
        </is>
      </c>
      <c r="F101" s="225">
        <f>SUMIF(站前4樓!B:B,B101,站前4樓!F:F)</f>
        <v/>
      </c>
      <c r="G101" s="225">
        <f>SUMIF(站前11樓!B:B,B101,站前11樓!F:F)</f>
        <v/>
      </c>
      <c r="H101" s="225">
        <f>SUMIF(忠孝7樓!B:B,B101,忠孝7樓!G:G)</f>
        <v/>
      </c>
      <c r="I101" s="225">
        <f>SUMIF(忠孝國際醫學3樓!B:B,B101,忠孝國際醫學3樓!G:G)</f>
        <v/>
      </c>
      <c r="J101" s="225">
        <f>SUMIF(忠孝健康7樓!B:B,B101,忠孝健康7樓!G:G)</f>
        <v/>
      </c>
      <c r="K101" s="283" t="n"/>
      <c r="L101" s="283" t="n"/>
      <c r="M101" s="283" t="n"/>
      <c r="N101" s="283" t="n"/>
      <c r="O101" s="283" t="n"/>
      <c r="P101" s="283" t="n"/>
      <c r="Q101" s="283" t="n"/>
      <c r="R101" s="283" t="n"/>
      <c r="S101" s="283" t="n"/>
      <c r="T101" s="283" t="n"/>
      <c r="U101" s="283" t="n"/>
      <c r="V101" s="283" t="n"/>
      <c r="W101" s="283" t="n"/>
      <c r="X101" s="283" t="n"/>
      <c r="Y101" s="283" t="n"/>
      <c r="Z101" s="283" t="n"/>
      <c r="AA101" s="283" t="n"/>
      <c r="AB101" s="283" t="n"/>
      <c r="AC101" s="283" t="n"/>
      <c r="AD101" s="283" t="n"/>
      <c r="AE101" s="283" t="n"/>
      <c r="AF101" s="283" t="n"/>
      <c r="AG101" s="283" t="n"/>
      <c r="AH101" s="283" t="n"/>
      <c r="AI101" s="283" t="n"/>
      <c r="AJ101" s="201" t="n"/>
      <c r="AK101" s="201" t="n"/>
      <c r="AL101" s="201" t="n"/>
      <c r="AM101" s="201" t="n"/>
      <c r="AN101" s="201" t="n"/>
      <c r="AO101" s="201" t="n"/>
      <c r="AP101" s="201" t="n"/>
      <c r="AQ101" s="201" t="n"/>
      <c r="AR101" s="201" t="n"/>
      <c r="AS101" s="201" t="n"/>
      <c r="AT101" s="201" t="n"/>
      <c r="AU101" s="201" t="n">
        <v>0</v>
      </c>
      <c r="AV101" s="283">
        <f>SUM(AJ101:AU101)</f>
        <v/>
      </c>
      <c r="AW101" s="286">
        <f>AV101/12</f>
        <v/>
      </c>
      <c r="AX101" s="201" t="n">
        <v>0</v>
      </c>
      <c r="AY101" s="201" t="n">
        <v>20</v>
      </c>
      <c r="AZ101" s="201" t="n">
        <v>19</v>
      </c>
      <c r="BA101" s="201" t="n">
        <v>28</v>
      </c>
      <c r="BB101" s="201">
        <f>0+8</f>
        <v/>
      </c>
      <c r="BC101" s="203">
        <f>SUMIFS(領用表!$L:$L,領用表!$A:$A,BC$2,領用表!$E:$E,B101)</f>
        <v/>
      </c>
      <c r="BD101" s="287">
        <f>SUMIFS(領用表!$L:$L,領用表!$E:$E,$B101,領用表!$B:$B,BC$2&amp;BD$2)</f>
        <v/>
      </c>
      <c r="BE101" s="287">
        <f>SUMIFS(領用表!$L:$L,領用表!$E:$E,$B101,領用表!$B:$B,$BC$2&amp;BE$2)</f>
        <v/>
      </c>
      <c r="BF101" s="287">
        <f>SUMIFS(領用表!$L:$L,領用表!$E:$E,$B101,領用表!$B:$B,$BC$2&amp;BF$2)</f>
        <v/>
      </c>
      <c r="BG101" s="206">
        <f>SUMIFS(領用表!$L:$L,領用表!$E:$E,$B101,領用表!$B:$B,$BC$2&amp;BG$2)</f>
        <v/>
      </c>
      <c r="BH101" s="203">
        <f>SUMIFS(領用表!$L:$L,領用表!$A:$A,BH$2,領用表!$E:$E,B101)</f>
        <v/>
      </c>
      <c r="BI101" s="260">
        <f>SUMIFS(領用表!$L:$L,領用表!$E:$E,$B101,領用表!$B:$B,BH$2&amp;BI$2)</f>
        <v/>
      </c>
      <c r="BJ101" s="260">
        <f>SUMIFS(領用表!$L:$L,領用表!$E:$E,$B101,領用表!$B:$B,$BH$2&amp;BJ$2)</f>
        <v/>
      </c>
      <c r="BK101" s="260">
        <f>SUMIFS(領用表!$L:$L,領用表!$E:$E,$B101,領用表!$B:$B,$BH$2&amp;BK$2)</f>
        <v/>
      </c>
      <c r="BL101" s="260">
        <f>SUMIFS(領用表!$L:$L,領用表!$E:$E,$B101,領用表!$B:$B,$BH$2&amp;BL$2)</f>
        <v/>
      </c>
      <c r="BM101" s="203">
        <f>SUMIFS(領用表!$L:$L,領用表!$A:$A,BM$2,領用表!$E:$E,B101)</f>
        <v/>
      </c>
      <c r="BN101" s="206">
        <f>SUMIFS(領用表!$L:$L,領用表!$E:$E,$B101,領用表!$B:$B,BM$2&amp;BN$2)</f>
        <v/>
      </c>
      <c r="BO101" s="206">
        <f>SUMIFS(領用表!$L:$L,領用表!$E:$E,$B101,領用表!$B:$B,$BM$2&amp;BO$2)</f>
        <v/>
      </c>
      <c r="BP101" s="288">
        <f>SUMIFS(領用表!$L:$L,領用表!$E:$E,$B101,領用表!$B:$B,$BM$2&amp;BP$2)</f>
        <v/>
      </c>
      <c r="BQ101" s="287">
        <f>SUMIFS(領用表!$L:$L,領用表!$E:$E,$B101,領用表!$B:$B,$BM$2&amp;BQ$2)</f>
        <v/>
      </c>
      <c r="BR101" s="203">
        <f>SUMIFS(領用表!$L:$L,領用表!$A:$A,BR$2,領用表!$E:$E,B101)</f>
        <v/>
      </c>
      <c r="BS101" s="288">
        <f>SUMIFS(領用表!$L:$L,領用表!$E:$E,$B101,領用表!$B:$B,BR$2&amp;BS$2)</f>
        <v/>
      </c>
      <c r="BT101" s="288">
        <f>SUMIFS(領用表!$L:$L,領用表!$E:$E,$B101,領用表!$B:$B,$BR$2&amp;BT$2)</f>
        <v/>
      </c>
      <c r="BU101" s="288">
        <f>SUMIFS(領用表!$L:$L,領用表!$E:$E,$B101,領用表!$B:$B,$BR$2&amp;BU$2)</f>
        <v/>
      </c>
      <c r="BV101" s="287">
        <f>SUMIFS(領用表!$L:$L,領用表!$E:$E,$B101,領用表!$B:$B,$BR$2&amp;BV$2)</f>
        <v/>
      </c>
      <c r="BW101" s="208">
        <f>SUMIFS(領用表!$L:$L,領用表!$A:$A,BW$2,領用表!$E:$E,B101)</f>
        <v/>
      </c>
      <c r="BX101" s="206">
        <f>SUMIFS(領用表!$L:$L,領用表!$E:$E,$B101,領用表!$B:$B,BW$2&amp;BX$2)</f>
        <v/>
      </c>
      <c r="BY101" s="206">
        <f>SUMIFS(領用表!$L:$L,領用表!$E:$E,$B101,領用表!$B:$B,$BW$2&amp;BY$2)</f>
        <v/>
      </c>
      <c r="BZ101" s="206">
        <f>SUMIFS(領用表!$L:$L,領用表!$E:$E,$B101,領用表!$B:$B,$BW$2&amp;BZ$2)</f>
        <v/>
      </c>
      <c r="CA101" s="206">
        <f>SUMIFS(領用表!$L:$L,領用表!$E:$E,$B101,領用表!$B:$B,$BW$2&amp;CA$2)</f>
        <v/>
      </c>
      <c r="CB101" s="208">
        <f>SUMIFS(領用表!$L:$L,領用表!$A:$A,CB$2,領用表!$E:$E,B101)</f>
        <v/>
      </c>
      <c r="CC101" s="206">
        <f>SUMIFS(領用表!$L:$L,領用表!$E:$E,$B101,領用表!$B:$B,CB$2&amp;CC$2)</f>
        <v/>
      </c>
      <c r="CD101" s="206">
        <f>SUMIFS(領用表!$L:$L,領用表!$E:$E,$B101,領用表!$B:$B,$CB$2&amp;CD$2)</f>
        <v/>
      </c>
      <c r="CE101" s="206">
        <f>SUMIFS(領用表!$L:$L,領用表!$E:$E,$B101,領用表!$B:$B,$CB$2&amp;CE$2)</f>
        <v/>
      </c>
      <c r="CF101" s="206">
        <f>SUMIFS(領用表!$L:$L,領用表!$E:$E,$B101,領用表!$B:$B,$CB$2&amp;CF$2)</f>
        <v/>
      </c>
      <c r="CG101" s="208">
        <f>SUMIFS(領用表!$L:$L,領用表!$A:$A,CG$2,領用表!$E:$E,B101)</f>
        <v/>
      </c>
      <c r="CH101" s="206">
        <f>SUMIFS(領用表!$L:$L,領用表!$E:$E,$B101,領用表!$B:$B,CG$2&amp;CH$2)</f>
        <v/>
      </c>
      <c r="CI101" s="206">
        <f>SUMIFS(領用表!$L:$L,領用表!$E:$E,$B101,領用表!$B:$B,CG$2&amp;CI$2)</f>
        <v/>
      </c>
      <c r="CJ101" s="206">
        <f>SUMIFS(領用表!$L:$L,領用表!$E:$E,$B101,領用表!$B:$B,CG$2&amp;CJ$2)</f>
        <v/>
      </c>
      <c r="CK101" s="206">
        <f>SUMIFS(領用表!$L:$L,領用表!$E:$E,$B101,領用表!$B:$B,$CG$2&amp;CK$2)</f>
        <v/>
      </c>
      <c r="CL101" s="207">
        <f>SUM(AX101,AY101,AZ101,BA101,BB101,BC101,BH101,BM101,BR101,BW101,CB101,CG101)</f>
        <v/>
      </c>
      <c r="CM101" s="207">
        <f>AVERAGE(AX101,AY101,AZ101,BA101,BB101,BC101,BH101,BM101,BR101,BW101,CB101,CG101)</f>
        <v/>
      </c>
      <c r="CN101" s="208">
        <f>SUMIFS(領用表!$L:$L,領用表!$A:$A,CN$2,領用表!$E:$E,B101)</f>
        <v/>
      </c>
      <c r="CO101" s="206">
        <f>SUMIFS(領用表!$L:$L,領用表!$E:$E,$B101,領用表!$B:$B,CN$2&amp;CO$2)</f>
        <v/>
      </c>
      <c r="CP101" s="206">
        <f>SUMIFS(領用表!$L:$L,領用表!$E:$E,$B101,領用表!$B:$B,$CN$2&amp;CP$2)</f>
        <v/>
      </c>
      <c r="CQ101" s="206">
        <f>SUMIFS(領用表!$L:$L,領用表!$E:$E,$B101,領用表!$B:$B,$CN$2&amp;CQ$2)</f>
        <v/>
      </c>
      <c r="CR101" s="206">
        <f>SUMIFS(領用表!$L:$L,領用表!$E:$E,$B101,領用表!$B:$B,$CN$2&amp;CR$2)</f>
        <v/>
      </c>
      <c r="CS101" s="208">
        <f>SUMIFS(領用表!$L:$L,領用表!$A:$A,CS$2,領用表!$E:$E,B101)</f>
        <v/>
      </c>
      <c r="CT101" s="206">
        <f>SUMIFS(領用表!$L:$L,領用表!$E:$E,$B101,領用表!$B:$B,CS$2&amp;CT$2)</f>
        <v/>
      </c>
      <c r="CU101" s="206">
        <f>SUMIFS(領用表!$L:$L,領用表!$E:$E,$B101,領用表!$B:$B,$CS$2&amp;CU$2)</f>
        <v/>
      </c>
      <c r="CV101" s="206">
        <f>SUMIFS(領用表!$L:$L,領用表!$E:$E,$B101,領用表!$B:$B,$CS$2&amp;CV$2)</f>
        <v/>
      </c>
      <c r="CW101" s="206">
        <f>SUMIFS(領用表!$L:$L,領用表!$E:$E,$B101,領用表!$B:$B,$CS$2&amp;CW$2)</f>
        <v/>
      </c>
      <c r="CX101" s="206">
        <f>SUMIFS(領用表!$L:$L,領用表!$E:$E,$B101,領用表!$B:$B,$CS$2&amp;CX$2)</f>
        <v/>
      </c>
      <c r="CY101" s="208">
        <f>SUMIFS(領用表!$L:$L,領用表!$A:$A,CY$2,領用表!$E:$E,B101)</f>
        <v/>
      </c>
      <c r="CZ101" s="206">
        <f>SUMIFS(領用表!$L:$L,領用表!$E:$E,$B101,領用表!$B:$B,CY$2&amp;CZ$2)</f>
        <v/>
      </c>
      <c r="DA101" s="206">
        <f>SUMIFS(領用表!$L:$L,領用表!$E:$E,$B101,領用表!$B:$B,$CY$2&amp;DA$2)</f>
        <v/>
      </c>
      <c r="DB101" s="206">
        <f>SUMIFS(領用表!$L:$L,領用表!$E:$E,$B101,領用表!$B:$B,$CY$2&amp;DB$2)</f>
        <v/>
      </c>
      <c r="DC101" s="206">
        <f>SUMIFS(領用表!$L:$L,領用表!$E:$E,$B101,領用表!$B:$B,$CY$2&amp;DC$2)</f>
        <v/>
      </c>
      <c r="DD101" s="206">
        <f>SUMIFS(領用表!$L:$L,領用表!$E:$E,$B101,領用表!$B:$B,$CY$2&amp;DD$2)</f>
        <v/>
      </c>
      <c r="DE101" s="208">
        <f>SUMIFS(領用表!$L:$L,領用表!$A:$A,DE$2,領用表!$E:$E,B101)</f>
        <v/>
      </c>
      <c r="DF101" s="206">
        <f>SUMIFS(領用表!$L:$L,領用表!$E:$E,$B101,領用表!$B:$B,DE$2&amp;DF$2)</f>
        <v/>
      </c>
      <c r="DG101" s="206">
        <f>SUMIFS(領用表!$L:$L,領用表!$E:$E,$B101,領用表!$B:$B,$DE$2&amp;DG$2)</f>
        <v/>
      </c>
      <c r="DH101" s="206">
        <f>SUMIFS(領用表!$L:$L,領用表!$E:$E,$B101,領用表!$B:$B,$DE$2&amp;DH$2)</f>
        <v/>
      </c>
      <c r="DI101" s="206">
        <f>SUMIFS(領用表!$L:$L,領用表!$E:$E,$B101,領用表!$B:$B,$DE$2&amp;DI$2)</f>
        <v/>
      </c>
      <c r="DJ101" s="206">
        <f>SUMIFS(領用表!$L:$L,領用表!$E:$E,$B101,領用表!$B:$B,$DE$2&amp;DJ$2)</f>
        <v/>
      </c>
      <c r="DK101" s="208">
        <f>SUMIFS(領用表!$L:$L,領用表!$A:$A,DK$2,領用表!$E:$E,$B101)</f>
        <v/>
      </c>
      <c r="DL101" s="206">
        <f>SUMIFS(領用表!$L:$L,領用表!$E:$E,$B101,領用表!$B:$B,DK$2&amp;DL$2)</f>
        <v/>
      </c>
      <c r="DM101" s="206">
        <f>SUMIFS(領用表!$L:$L,領用表!$E:$E,$B101,領用表!$B:$B,$DK$2&amp;DM$2)</f>
        <v/>
      </c>
      <c r="DN101" s="206">
        <f>SUMIFS(領用表!$L:$L,領用表!$E:$E,$B101,領用表!$B:$B,$DK$2&amp;DN$2)</f>
        <v/>
      </c>
      <c r="DO101" s="206">
        <f>SUMIFS(領用表!$L:$L,領用表!$E:$E,$B101,領用表!$B:$B,$DK$2&amp;DO$2)</f>
        <v/>
      </c>
      <c r="DP101" s="206">
        <f>SUMIFS(領用表!$L:$L,領用表!$E:$E,$B101,領用表!$B:$B,$DK$2&amp;DP$2)</f>
        <v/>
      </c>
      <c r="DQ101" s="208" t="n">
        <v>32</v>
      </c>
      <c r="DR101" s="206" t="n">
        <v>5</v>
      </c>
      <c r="DS101" s="206" t="n">
        <v>9</v>
      </c>
      <c r="DT101" s="206" t="n">
        <v>13</v>
      </c>
      <c r="DU101" s="206" t="n">
        <v>4</v>
      </c>
      <c r="DV101" s="206" t="n">
        <v>1</v>
      </c>
      <c r="DW101" s="206">
        <f>SUM(CN101,CS101,CY101,DE101,DK101,DQ101)</f>
        <v/>
      </c>
      <c r="DX101" s="206">
        <f>AVERAGEA(CN101,CS101,CY101,DE101,DK101,DQ101)</f>
        <v/>
      </c>
      <c r="DY101" s="206">
        <f>SUM(DZ101:EC101)</f>
        <v/>
      </c>
      <c r="DZ101" s="206" t="n">
        <v>1</v>
      </c>
      <c r="EA101" s="206" t="n">
        <v>0</v>
      </c>
      <c r="EB101" s="206" t="n">
        <v>0</v>
      </c>
      <c r="EC101" s="206" t="n">
        <v>0</v>
      </c>
      <c r="ED101" s="258" t="n">
        <v>10</v>
      </c>
      <c r="EE101" s="283" t="n"/>
      <c r="EF101" s="283" t="n"/>
      <c r="EG101" s="283" t="n"/>
      <c r="EH101" s="136" t="n"/>
      <c r="EI101" s="136" t="n"/>
      <c r="EJ101" s="118">
        <f>IFERROR(VLOOKUP(A101,站前4樓!A:BF,57,0),0)</f>
        <v/>
      </c>
      <c r="EK101" s="213">
        <f>IFERROR(VLOOKUP(A101,站前11樓!A:BE,57,0),0)</f>
        <v/>
      </c>
      <c r="EL101" s="118">
        <f>IFERROR(VLOOKUP(A101,忠孝7樓!A:N,57,0),0)</f>
        <v/>
      </c>
      <c r="EM101" s="118">
        <f>IFERROR(VLOOKUP(A101,忠孝國際醫學3樓!A:L,57,0),0)</f>
        <v/>
      </c>
      <c r="EN101" s="118">
        <f>SUM(ED101:EG101)</f>
        <v/>
      </c>
    </row>
    <row r="102" ht="15.75" customFormat="1" customHeight="1" s="118">
      <c r="A102" s="136" t="inlineStr">
        <is>
          <t>MB3ME090003A</t>
        </is>
      </c>
      <c r="B102" s="118" t="n">
        <v>6120003</v>
      </c>
      <c r="C102" s="118" t="inlineStr">
        <is>
          <t>貝力多(雙胜胺) 20% 30mL/ 瓶</t>
        </is>
      </c>
      <c r="D102" s="285" t="n">
        <v>10</v>
      </c>
      <c r="E102" s="198" t="inlineStr">
        <is>
          <t>PCS</t>
        </is>
      </c>
      <c r="F102" s="225">
        <f>SUMIF(站前4樓!B:B,B102,站前4樓!F:F)</f>
        <v/>
      </c>
      <c r="G102" s="225">
        <f>SUMIF(站前11樓!B:B,B102,站前11樓!F:F)</f>
        <v/>
      </c>
      <c r="H102" s="225">
        <f>SUMIF(忠孝7樓!B:B,B102,忠孝7樓!G:G)</f>
        <v/>
      </c>
      <c r="I102" s="225">
        <f>SUMIF(忠孝國際醫學3樓!B:B,B102,忠孝國際醫學3樓!G:G)</f>
        <v/>
      </c>
      <c r="J102" s="225">
        <f>SUMIF(忠孝健康7樓!B:B,B102,忠孝健康7樓!G:G)</f>
        <v/>
      </c>
      <c r="K102" s="283" t="n"/>
      <c r="L102" s="283" t="n"/>
      <c r="M102" s="283" t="n"/>
      <c r="N102" s="283" t="n"/>
      <c r="O102" s="283" t="n"/>
      <c r="P102" s="283" t="n"/>
      <c r="Q102" s="283" t="n"/>
      <c r="R102" s="283" t="n"/>
      <c r="S102" s="283" t="n"/>
      <c r="T102" s="283" t="n"/>
      <c r="U102" s="283" t="n"/>
      <c r="V102" s="283" t="n"/>
      <c r="W102" s="283" t="n"/>
      <c r="X102" s="283" t="n"/>
      <c r="Y102" s="283" t="n"/>
      <c r="Z102" s="283" t="n"/>
      <c r="AA102" s="283" t="n"/>
      <c r="AB102" s="283" t="n"/>
      <c r="AC102" s="283" t="n"/>
      <c r="AD102" s="283" t="n"/>
      <c r="AE102" s="283" t="n"/>
      <c r="AF102" s="283" t="n"/>
      <c r="AG102" s="283" t="n"/>
      <c r="AH102" s="283" t="n"/>
      <c r="AI102" s="283" t="n"/>
      <c r="AJ102" s="201" t="n">
        <v>3</v>
      </c>
      <c r="AK102" s="201" t="n">
        <v>2</v>
      </c>
      <c r="AL102" s="201" t="n">
        <v>0</v>
      </c>
      <c r="AM102" s="201" t="n">
        <v>4</v>
      </c>
      <c r="AN102" s="201" t="n">
        <v>5</v>
      </c>
      <c r="AO102" s="201" t="n">
        <v>5</v>
      </c>
      <c r="AP102" s="201" t="n">
        <v>5</v>
      </c>
      <c r="AQ102" s="201" t="n">
        <v>8</v>
      </c>
      <c r="AR102" s="201" t="n">
        <v>12</v>
      </c>
      <c r="AS102" s="201" t="n">
        <v>3</v>
      </c>
      <c r="AT102" s="201" t="n">
        <v>4</v>
      </c>
      <c r="AU102" s="201" t="n">
        <v>9</v>
      </c>
      <c r="AV102" s="283">
        <f>SUM(AJ102:AU102)</f>
        <v/>
      </c>
      <c r="AW102" s="286">
        <f>AV102/12</f>
        <v/>
      </c>
      <c r="AX102" s="201" t="n">
        <v>0</v>
      </c>
      <c r="AY102" s="201" t="n">
        <v>1</v>
      </c>
      <c r="AZ102" s="201" t="n">
        <v>7</v>
      </c>
      <c r="BA102" s="201" t="n">
        <v>5</v>
      </c>
      <c r="BB102" s="201">
        <f>0+3</f>
        <v/>
      </c>
      <c r="BC102" s="203">
        <f>SUMIFS(領用表!$L:$L,領用表!$A:$A,BC$2,領用表!$E:$E,B102)</f>
        <v/>
      </c>
      <c r="BD102" s="296">
        <f>SUMIFS(領用表!$L:$L,領用表!$E:$E,$B102,領用表!$B:$B,BC$2&amp;BD$2)</f>
        <v/>
      </c>
      <c r="BE102" s="296">
        <f>SUMIFS(領用表!$L:$L,領用表!$E:$E,$B102,領用表!$B:$B,$BC$2&amp;BE$2)</f>
        <v/>
      </c>
      <c r="BF102" s="296">
        <f>SUMIFS(領用表!$L:$L,領用表!$E:$E,$B102,領用表!$B:$B,$BC$2&amp;BF$2)</f>
        <v/>
      </c>
      <c r="BG102" s="206">
        <f>SUMIFS(領用表!$L:$L,領用表!$E:$E,$B102,領用表!$B:$B,$BC$2&amp;BG$2)</f>
        <v/>
      </c>
      <c r="BH102" s="203">
        <f>SUMIFS(領用表!$L:$L,領用表!$A:$A,BH$2,領用表!$E:$E,B102)</f>
        <v/>
      </c>
      <c r="BI102" s="260">
        <f>SUMIFS(領用表!$L:$L,領用表!$E:$E,$B102,領用表!$B:$B,BH$2&amp;BI$2)</f>
        <v/>
      </c>
      <c r="BJ102" s="260">
        <f>SUMIFS(領用表!$L:$L,領用表!$E:$E,$B102,領用表!$B:$B,$BH$2&amp;BJ$2)</f>
        <v/>
      </c>
      <c r="BK102" s="260">
        <f>SUMIFS(領用表!$L:$L,領用表!$E:$E,$B102,領用表!$B:$B,$BH$2&amp;BK$2)</f>
        <v/>
      </c>
      <c r="BL102" s="260">
        <f>SUMIFS(領用表!$L:$L,領用表!$E:$E,$B102,領用表!$B:$B,$BH$2&amp;BL$2)</f>
        <v/>
      </c>
      <c r="BM102" s="203">
        <f>SUMIFS(領用表!$L:$L,領用表!$A:$A,BM$2,領用表!$E:$E,B102)</f>
        <v/>
      </c>
      <c r="BN102" s="206">
        <f>SUMIFS(領用表!$L:$L,領用表!$E:$E,$B102,領用表!$B:$B,BM$2&amp;BN$2)</f>
        <v/>
      </c>
      <c r="BO102" s="206">
        <f>SUMIFS(領用表!$L:$L,領用表!$E:$E,$B102,領用表!$B:$B,$BM$2&amp;BO$2)</f>
        <v/>
      </c>
      <c r="BP102" s="297">
        <f>SUMIFS(領用表!$L:$L,領用表!$E:$E,$B102,領用表!$B:$B,$BM$2&amp;BP$2)</f>
        <v/>
      </c>
      <c r="BQ102" s="206">
        <f>SUMIFS(領用表!$L:$L,領用表!$E:$E,$B102,領用表!$B:$B,$BM$2&amp;BQ$2)</f>
        <v/>
      </c>
      <c r="BR102" s="203">
        <f>SUMIFS(領用表!$L:$L,領用表!$A:$A,BR$2,領用表!$E:$E,B102)</f>
        <v/>
      </c>
      <c r="BS102" s="297">
        <f>SUMIFS(領用表!$L:$L,領用表!$E:$E,$B102,領用表!$B:$B,BR$2&amp;BS$2)</f>
        <v/>
      </c>
      <c r="BT102" s="297">
        <f>SUMIFS(領用表!$L:$L,領用表!$E:$E,$B102,領用表!$B:$B,$BR$2&amp;BT$2)</f>
        <v/>
      </c>
      <c r="BU102" s="297">
        <f>SUMIFS(領用表!$L:$L,領用表!$E:$E,$B102,領用表!$B:$B,$BR$2&amp;BU$2)</f>
        <v/>
      </c>
      <c r="BV102" s="206">
        <f>SUMIFS(領用表!$L:$L,領用表!$E:$E,$B102,領用表!$B:$B,$BR$2&amp;BV$2)</f>
        <v/>
      </c>
      <c r="BW102" s="208">
        <f>SUMIFS(領用表!$L:$L,領用表!$A:$A,BW$2,領用表!$E:$E,B102)</f>
        <v/>
      </c>
      <c r="BX102" s="206">
        <f>SUMIFS(領用表!$L:$L,領用表!$E:$E,$B102,領用表!$B:$B,BW$2&amp;BX$2)</f>
        <v/>
      </c>
      <c r="BY102" s="206">
        <f>SUMIFS(領用表!$L:$L,領用表!$E:$E,$B102,領用表!$B:$B,$BW$2&amp;BY$2)</f>
        <v/>
      </c>
      <c r="BZ102" s="206">
        <f>SUMIFS(領用表!$L:$L,領用表!$E:$E,$B102,領用表!$B:$B,$BW$2&amp;BZ$2)</f>
        <v/>
      </c>
      <c r="CA102" s="206">
        <f>SUMIFS(領用表!$L:$L,領用表!$E:$E,$B102,領用表!$B:$B,$BW$2&amp;CA$2)</f>
        <v/>
      </c>
      <c r="CB102" s="208">
        <f>SUMIFS(領用表!$L:$L,領用表!$A:$A,CB$2,領用表!$E:$E,B102)</f>
        <v/>
      </c>
      <c r="CC102" s="206">
        <f>SUMIFS(領用表!$L:$L,領用表!$E:$E,$B102,領用表!$B:$B,CB$2&amp;CC$2)</f>
        <v/>
      </c>
      <c r="CD102" s="206">
        <f>SUMIFS(領用表!$L:$L,領用表!$E:$E,$B102,領用表!$B:$B,$CB$2&amp;CD$2)</f>
        <v/>
      </c>
      <c r="CE102" s="206">
        <f>SUMIFS(領用表!$L:$L,領用表!$E:$E,$B102,領用表!$B:$B,$CB$2&amp;CE$2)</f>
        <v/>
      </c>
      <c r="CF102" s="206">
        <f>SUMIFS(領用表!$L:$L,領用表!$E:$E,$B102,領用表!$B:$B,$CB$2&amp;CF$2)</f>
        <v/>
      </c>
      <c r="CG102" s="208">
        <f>SUMIFS(領用表!$L:$L,領用表!$A:$A,CG$2,領用表!$E:$E,B102)</f>
        <v/>
      </c>
      <c r="CH102" s="206">
        <f>SUMIFS(領用表!$L:$L,領用表!$E:$E,$B102,領用表!$B:$B,CG$2&amp;CH$2)</f>
        <v/>
      </c>
      <c r="CI102" s="206">
        <f>SUMIFS(領用表!$L:$L,領用表!$E:$E,$B102,領用表!$B:$B,CG$2&amp;CI$2)</f>
        <v/>
      </c>
      <c r="CJ102" s="206">
        <f>SUMIFS(領用表!$L:$L,領用表!$E:$E,$B102,領用表!$B:$B,CG$2&amp;CJ$2)</f>
        <v/>
      </c>
      <c r="CK102" s="206">
        <f>SUMIFS(領用表!$L:$L,領用表!$E:$E,$B102,領用表!$B:$B,$CG$2&amp;CK$2)</f>
        <v/>
      </c>
      <c r="CL102" s="207">
        <f>SUM(AX102,AY102,AZ102,BA102,BB102,BC102,BH102,BM102,BR102,BW102,CB102,CG102)</f>
        <v/>
      </c>
      <c r="CM102" s="207">
        <f>AVERAGE(AX102,AY102,AZ102,BA102,BB102,BC102,BH102,BM102,BR102,BW102,CB102,CG102)</f>
        <v/>
      </c>
      <c r="CN102" s="208">
        <f>SUMIFS(領用表!$L:$L,領用表!$A:$A,CN$2,領用表!$E:$E,B102)</f>
        <v/>
      </c>
      <c r="CO102" s="206">
        <f>SUMIFS(領用表!$L:$L,領用表!$E:$E,$B102,領用表!$B:$B,CN$2&amp;CO$2)</f>
        <v/>
      </c>
      <c r="CP102" s="206">
        <f>SUMIFS(領用表!$L:$L,領用表!$E:$E,$B102,領用表!$B:$B,$CN$2&amp;CP$2)</f>
        <v/>
      </c>
      <c r="CQ102" s="206">
        <f>SUMIFS(領用表!$L:$L,領用表!$E:$E,$B102,領用表!$B:$B,$CN$2&amp;CQ$2)</f>
        <v/>
      </c>
      <c r="CR102" s="206">
        <f>SUMIFS(領用表!$L:$L,領用表!$E:$E,$B102,領用表!$B:$B,$CN$2&amp;CR$2)</f>
        <v/>
      </c>
      <c r="CS102" s="208">
        <f>SUMIFS(領用表!$L:$L,領用表!$A:$A,CS$2,領用表!$E:$E,B102)</f>
        <v/>
      </c>
      <c r="CT102" s="206">
        <f>SUMIFS(領用表!$L:$L,領用表!$E:$E,$B102,領用表!$B:$B,CS$2&amp;CT$2)</f>
        <v/>
      </c>
      <c r="CU102" s="206">
        <f>SUMIFS(領用表!$L:$L,領用表!$E:$E,$B102,領用表!$B:$B,$CS$2&amp;CU$2)</f>
        <v/>
      </c>
      <c r="CV102" s="206">
        <f>SUMIFS(領用表!$L:$L,領用表!$E:$E,$B102,領用表!$B:$B,$CS$2&amp;CV$2)</f>
        <v/>
      </c>
      <c r="CW102" s="206">
        <f>SUMIFS(領用表!$L:$L,領用表!$E:$E,$B102,領用表!$B:$B,$CS$2&amp;CW$2)</f>
        <v/>
      </c>
      <c r="CX102" s="206">
        <f>SUMIFS(領用表!$L:$L,領用表!$E:$E,$B102,領用表!$B:$B,$CS$2&amp;CX$2)</f>
        <v/>
      </c>
      <c r="CY102" s="208">
        <f>SUMIFS(領用表!$L:$L,領用表!$A:$A,CY$2,領用表!$E:$E,B102)</f>
        <v/>
      </c>
      <c r="CZ102" s="206">
        <f>SUMIFS(領用表!$L:$L,領用表!$E:$E,$B102,領用表!$B:$B,CY$2&amp;CZ$2)</f>
        <v/>
      </c>
      <c r="DA102" s="206">
        <f>SUMIFS(領用表!$L:$L,領用表!$E:$E,$B102,領用表!$B:$B,$CY$2&amp;DA$2)</f>
        <v/>
      </c>
      <c r="DB102" s="206">
        <f>SUMIFS(領用表!$L:$L,領用表!$E:$E,$B102,領用表!$B:$B,$CY$2&amp;DB$2)</f>
        <v/>
      </c>
      <c r="DC102" s="206">
        <f>SUMIFS(領用表!$L:$L,領用表!$E:$E,$B102,領用表!$B:$B,$CY$2&amp;DC$2)</f>
        <v/>
      </c>
      <c r="DD102" s="206">
        <f>SUMIFS(領用表!$L:$L,領用表!$E:$E,$B102,領用表!$B:$B,$CY$2&amp;DD$2)</f>
        <v/>
      </c>
      <c r="DE102" s="208">
        <f>SUMIFS(領用表!$L:$L,領用表!$A:$A,DE$2,領用表!$E:$E,B102)</f>
        <v/>
      </c>
      <c r="DF102" s="206">
        <f>SUMIFS(領用表!$L:$L,領用表!$E:$E,$B102,領用表!$B:$B,DE$2&amp;DF$2)</f>
        <v/>
      </c>
      <c r="DG102" s="206">
        <f>SUMIFS(領用表!$L:$L,領用表!$E:$E,$B102,領用表!$B:$B,$DE$2&amp;DG$2)</f>
        <v/>
      </c>
      <c r="DH102" s="206">
        <f>SUMIFS(領用表!$L:$L,領用表!$E:$E,$B102,領用表!$B:$B,$DE$2&amp;DH$2)</f>
        <v/>
      </c>
      <c r="DI102" s="206">
        <f>SUMIFS(領用表!$L:$L,領用表!$E:$E,$B102,領用表!$B:$B,$DE$2&amp;DI$2)</f>
        <v/>
      </c>
      <c r="DJ102" s="206">
        <f>SUMIFS(領用表!$L:$L,領用表!$E:$E,$B102,領用表!$B:$B,$DE$2&amp;DJ$2)</f>
        <v/>
      </c>
      <c r="DK102" s="208">
        <f>SUMIFS(領用表!$L:$L,領用表!$A:$A,DK$2,領用表!$E:$E,$B102)</f>
        <v/>
      </c>
      <c r="DL102" s="206">
        <f>SUMIFS(領用表!$L:$L,領用表!$E:$E,$B102,領用表!$B:$B,DK$2&amp;DL$2)</f>
        <v/>
      </c>
      <c r="DM102" s="206">
        <f>SUMIFS(領用表!$L:$L,領用表!$E:$E,$B102,領用表!$B:$B,$DK$2&amp;DM$2)</f>
        <v/>
      </c>
      <c r="DN102" s="206">
        <f>SUMIFS(領用表!$L:$L,領用表!$E:$E,$B102,領用表!$B:$B,$DK$2&amp;DN$2)</f>
        <v/>
      </c>
      <c r="DO102" s="206">
        <f>SUMIFS(領用表!$L:$L,領用表!$E:$E,$B102,領用表!$B:$B,$DK$2&amp;DO$2)</f>
        <v/>
      </c>
      <c r="DP102" s="206">
        <f>SUMIFS(領用表!$L:$L,領用表!$E:$E,$B102,領用表!$B:$B,$DK$2&amp;DP$2)</f>
        <v/>
      </c>
      <c r="DQ102" s="208" t="n"/>
      <c r="DR102" s="206" t="n"/>
      <c r="DS102" s="206" t="n"/>
      <c r="DT102" s="206" t="n"/>
      <c r="DU102" s="206" t="n"/>
      <c r="DV102" s="206" t="n"/>
      <c r="DW102" s="206">
        <f>SUM(CN102,CS102,CY102,DE102,DK102,DQ102)</f>
        <v/>
      </c>
      <c r="DX102" s="206">
        <f>AVERAGEA(CN102,CS102,CY102,DE102,DK102,DQ102)</f>
        <v/>
      </c>
      <c r="DY102" s="206">
        <f>SUM(DZ102:EC102)</f>
        <v/>
      </c>
      <c r="DZ102" s="206" t="n">
        <v>5</v>
      </c>
      <c r="EA102" s="206" t="n">
        <v>10</v>
      </c>
      <c r="EB102" s="206" t="n">
        <v>5</v>
      </c>
      <c r="EC102" s="206" t="n">
        <v>9</v>
      </c>
      <c r="ED102" s="258" t="n">
        <v>100</v>
      </c>
      <c r="EE102" s="283" t="n"/>
      <c r="EF102" s="283" t="n"/>
      <c r="EG102" s="283" t="n"/>
      <c r="EH102" s="136" t="n"/>
      <c r="EI102" s="289" t="n"/>
      <c r="EJ102" s="118">
        <f>IFERROR(VLOOKUP(A102,站前4樓!A:BF,57,0),0)</f>
        <v/>
      </c>
      <c r="EK102" s="213">
        <f>IFERROR(VLOOKUP(A102,站前11樓!A:BE,57,0),0)</f>
        <v/>
      </c>
      <c r="EL102" s="118">
        <f>IFERROR(VLOOKUP(A102,忠孝7樓!A:N,57,0),0)</f>
        <v/>
      </c>
      <c r="EM102" s="118">
        <f>IFERROR(VLOOKUP(A102,忠孝國際醫學3樓!A:L,57,0),0)</f>
        <v/>
      </c>
      <c r="EN102" s="118">
        <f>SUM(ED102:EG102)</f>
        <v/>
      </c>
    </row>
    <row r="103" ht="15.75" customFormat="1" customHeight="1" s="118">
      <c r="A103" s="136" t="inlineStr">
        <is>
          <t>MB3ME090037A</t>
        </is>
      </c>
      <c r="B103" s="118" t="n">
        <v>6120036</v>
      </c>
      <c r="C103" s="118" t="inlineStr">
        <is>
          <t>貝力多(雙胜胺) 20% 50mL/ 瓶</t>
        </is>
      </c>
      <c r="D103" s="285" t="n">
        <v>10</v>
      </c>
      <c r="E103" s="198" t="inlineStr">
        <is>
          <t>PCS</t>
        </is>
      </c>
      <c r="F103" s="225">
        <f>SUMIF(站前4樓!B:B,B103,站前4樓!F:F)</f>
        <v/>
      </c>
      <c r="G103" s="225">
        <f>SUMIF(站前11樓!B:B,B103,站前11樓!F:F)</f>
        <v/>
      </c>
      <c r="H103" s="225">
        <f>SUMIF(忠孝7樓!B:B,B103,忠孝7樓!G:G)</f>
        <v/>
      </c>
      <c r="I103" s="225">
        <f>SUMIF(忠孝國際醫學3樓!B:B,B103,忠孝國際醫學3樓!G:G)</f>
        <v/>
      </c>
      <c r="J103" s="225">
        <f>SUMIF(忠孝健康7樓!B:B,B103,忠孝健康7樓!G:G)</f>
        <v/>
      </c>
      <c r="K103" s="283" t="n"/>
      <c r="L103" s="283" t="n"/>
      <c r="M103" s="283" t="n"/>
      <c r="N103" s="283" t="n"/>
      <c r="O103" s="283" t="n"/>
      <c r="P103" s="283" t="n"/>
      <c r="Q103" s="283" t="n"/>
      <c r="R103" s="283" t="n"/>
      <c r="S103" s="283" t="n"/>
      <c r="T103" s="283" t="n"/>
      <c r="U103" s="283" t="n"/>
      <c r="V103" s="283" t="n"/>
      <c r="W103" s="283" t="n"/>
      <c r="X103" s="283" t="n"/>
      <c r="Y103" s="283" t="n"/>
      <c r="Z103" s="283" t="n"/>
      <c r="AA103" s="283" t="n"/>
      <c r="AB103" s="283" t="n"/>
      <c r="AC103" s="283" t="n"/>
      <c r="AD103" s="283" t="n"/>
      <c r="AE103" s="283" t="n"/>
      <c r="AF103" s="283" t="n"/>
      <c r="AG103" s="283" t="n"/>
      <c r="AH103" s="283" t="n"/>
      <c r="AI103" s="283" t="n"/>
      <c r="AJ103" s="201" t="n"/>
      <c r="AK103" s="201" t="n"/>
      <c r="AL103" s="201" t="n"/>
      <c r="AM103" s="201" t="n"/>
      <c r="AN103" s="201" t="n"/>
      <c r="AO103" s="201" t="n"/>
      <c r="AP103" s="201" t="n"/>
      <c r="AQ103" s="201" t="n"/>
      <c r="AR103" s="201" t="n"/>
      <c r="AS103" s="201" t="n"/>
      <c r="AT103" s="201" t="n"/>
      <c r="AU103" s="201" t="n"/>
      <c r="AV103" s="283" t="n"/>
      <c r="AW103" s="286" t="n"/>
      <c r="AX103" s="201" t="n"/>
      <c r="AY103" s="201" t="n"/>
      <c r="AZ103" s="201" t="n"/>
      <c r="BA103" s="201" t="n"/>
      <c r="BB103" s="201" t="n"/>
      <c r="BC103" s="203" t="n"/>
      <c r="BD103" s="296" t="n"/>
      <c r="BE103" s="296" t="n"/>
      <c r="BF103" s="296" t="n"/>
      <c r="BG103" s="206" t="n"/>
      <c r="BH103" s="203" t="n"/>
      <c r="BI103" s="260" t="n"/>
      <c r="BJ103" s="260" t="n"/>
      <c r="BK103" s="260" t="n"/>
      <c r="BL103" s="260" t="n"/>
      <c r="BM103" s="203" t="n"/>
      <c r="BN103" s="206" t="n"/>
      <c r="BO103" s="206" t="n"/>
      <c r="BP103" s="297" t="n"/>
      <c r="BQ103" s="206" t="n"/>
      <c r="BR103" s="203" t="n"/>
      <c r="BS103" s="297" t="n"/>
      <c r="BT103" s="297" t="n"/>
      <c r="BU103" s="297" t="n"/>
      <c r="BV103" s="206" t="n"/>
      <c r="BW103" s="208">
        <f>SUMIFS(領用表!$L:$L,領用表!$A:$A,BW$2,領用表!$E:$E,B103)</f>
        <v/>
      </c>
      <c r="BX103" s="206" t="n"/>
      <c r="BY103" s="206" t="n"/>
      <c r="BZ103" s="206" t="n"/>
      <c r="CA103" s="206" t="n"/>
      <c r="CB103" s="208">
        <f>SUMIFS(領用表!$L:$L,領用表!$A:$A,CB$2,領用表!$E:$E,B103)</f>
        <v/>
      </c>
      <c r="CC103" s="206">
        <f>SUMIFS(領用表!$L:$L,領用表!$E:$E,$B103,領用表!$B:$B,CB$2&amp;CC$2)</f>
        <v/>
      </c>
      <c r="CD103" s="206">
        <f>SUMIFS(領用表!$L:$L,領用表!$E:$E,$B103,領用表!$B:$B,$CB$2&amp;CD$2)</f>
        <v/>
      </c>
      <c r="CE103" s="206">
        <f>SUMIFS(領用表!$L:$L,領用表!$E:$E,$B103,領用表!$B:$B,$CB$2&amp;CE$2)</f>
        <v/>
      </c>
      <c r="CF103" s="206">
        <f>SUMIFS(領用表!$L:$L,領用表!$E:$E,$B103,領用表!$B:$B,$CB$2&amp;CF$2)</f>
        <v/>
      </c>
      <c r="CG103" s="208">
        <f>SUMIFS(領用表!$L:$L,領用表!$A:$A,CG$2,領用表!$E:$E,B103)</f>
        <v/>
      </c>
      <c r="CH103" s="206">
        <f>SUMIFS(領用表!$L:$L,領用表!$E:$E,$B103,領用表!$B:$B,CG$2&amp;CH$2)</f>
        <v/>
      </c>
      <c r="CI103" s="206">
        <f>SUMIFS(領用表!$L:$L,領用表!$E:$E,$B103,領用表!$B:$B,CG$2&amp;CI$2)</f>
        <v/>
      </c>
      <c r="CJ103" s="206">
        <f>SUMIFS(領用表!$L:$L,領用表!$E:$E,$B103,領用表!$B:$B,CG$2&amp;CJ$2)</f>
        <v/>
      </c>
      <c r="CK103" s="206">
        <f>SUMIFS(領用表!$L:$L,領用表!$E:$E,$B103,領用表!$B:$B,$CG$2&amp;CK$2)</f>
        <v/>
      </c>
      <c r="CL103" s="207">
        <f>SUM(AX103,AY103,AZ103,BA103,BB103,BC103,BH103,BM103,BR103,BW103,CB103,CG103)</f>
        <v/>
      </c>
      <c r="CM103" s="207">
        <f>AVERAGE(AX103,AY103,AZ103,BA103,BB103,BC103,BH103,BM103,BR103,BW103,CB103,CG103)</f>
        <v/>
      </c>
      <c r="CN103" s="208">
        <f>SUMIFS(領用表!$L:$L,領用表!$A:$A,CN$2,領用表!$E:$E,B103)</f>
        <v/>
      </c>
      <c r="CO103" s="206">
        <f>SUMIFS(領用表!$L:$L,領用表!$E:$E,$B103,領用表!$B:$B,CN$2&amp;CO$2)</f>
        <v/>
      </c>
      <c r="CP103" s="206">
        <f>SUMIFS(領用表!$L:$L,領用表!$E:$E,$B103,領用表!$B:$B,$CN$2&amp;CP$2)</f>
        <v/>
      </c>
      <c r="CQ103" s="206">
        <f>SUMIFS(領用表!$L:$L,領用表!$E:$E,$B103,領用表!$B:$B,$CN$2&amp;CQ$2)</f>
        <v/>
      </c>
      <c r="CR103" s="206">
        <f>SUMIFS(領用表!$L:$L,領用表!$E:$E,$B103,領用表!$B:$B,$CN$2&amp;CR$2)</f>
        <v/>
      </c>
      <c r="CS103" s="208">
        <f>SUMIFS(領用表!$L:$L,領用表!$A:$A,CS$2,領用表!$E:$E,B103)</f>
        <v/>
      </c>
      <c r="CT103" s="206">
        <f>SUMIFS(領用表!$L:$L,領用表!$E:$E,$B103,領用表!$B:$B,CS$2&amp;CT$2)</f>
        <v/>
      </c>
      <c r="CU103" s="206">
        <f>SUMIFS(領用表!$L:$L,領用表!$E:$E,$B103,領用表!$B:$B,$CS$2&amp;CU$2)</f>
        <v/>
      </c>
      <c r="CV103" s="206">
        <f>SUMIFS(領用表!$L:$L,領用表!$E:$E,$B103,領用表!$B:$B,$CS$2&amp;CV$2)</f>
        <v/>
      </c>
      <c r="CW103" s="206">
        <f>SUMIFS(領用表!$L:$L,領用表!$E:$E,$B103,領用表!$B:$B,$CS$2&amp;CW$2)</f>
        <v/>
      </c>
      <c r="CX103" s="206">
        <f>SUMIFS(領用表!$L:$L,領用表!$E:$E,$B103,領用表!$B:$B,$CS$2&amp;CX$2)</f>
        <v/>
      </c>
      <c r="CY103" s="208">
        <f>SUMIFS(領用表!$L:$L,領用表!$A:$A,CY$2,領用表!$E:$E,B103)</f>
        <v/>
      </c>
      <c r="CZ103" s="206">
        <f>SUMIFS(領用表!$L:$L,領用表!$E:$E,$B103,領用表!$B:$B,CY$2&amp;CZ$2)</f>
        <v/>
      </c>
      <c r="DA103" s="206">
        <f>SUMIFS(領用表!$L:$L,領用表!$E:$E,$B103,領用表!$B:$B,$CY$2&amp;DA$2)</f>
        <v/>
      </c>
      <c r="DB103" s="206">
        <f>SUMIFS(領用表!$L:$L,領用表!$E:$E,$B103,領用表!$B:$B,$CY$2&amp;DB$2)</f>
        <v/>
      </c>
      <c r="DC103" s="206">
        <f>SUMIFS(領用表!$L:$L,領用表!$E:$E,$B103,領用表!$B:$B,$CY$2&amp;DC$2)</f>
        <v/>
      </c>
      <c r="DD103" s="206">
        <f>SUMIFS(領用表!$L:$L,領用表!$E:$E,$B103,領用表!$B:$B,$CY$2&amp;DD$2)</f>
        <v/>
      </c>
      <c r="DE103" s="208">
        <f>SUMIFS(領用表!$L:$L,領用表!$A:$A,DE$2,領用表!$E:$E,B103)</f>
        <v/>
      </c>
      <c r="DF103" s="206">
        <f>SUMIFS(領用表!$L:$L,領用表!$E:$E,$B103,領用表!$B:$B,DE$2&amp;DF$2)</f>
        <v/>
      </c>
      <c r="DG103" s="206">
        <f>SUMIFS(領用表!$L:$L,領用表!$E:$E,$B103,領用表!$B:$B,$DE$2&amp;DG$2)</f>
        <v/>
      </c>
      <c r="DH103" s="206">
        <f>SUMIFS(領用表!$L:$L,領用表!$E:$E,$B103,領用表!$B:$B,$DE$2&amp;DH$2)</f>
        <v/>
      </c>
      <c r="DI103" s="206">
        <f>SUMIFS(領用表!$L:$L,領用表!$E:$E,$B103,領用表!$B:$B,$DE$2&amp;DI$2)</f>
        <v/>
      </c>
      <c r="DJ103" s="206">
        <f>SUMIFS(領用表!$L:$L,領用表!$E:$E,$B103,領用表!$B:$B,$DE$2&amp;DJ$2)</f>
        <v/>
      </c>
      <c r="DK103" s="208">
        <f>SUMIFS(領用表!$L:$L,領用表!$A:$A,DK$2,領用表!$E:$E,$B103)</f>
        <v/>
      </c>
      <c r="DL103" s="206">
        <f>SUMIFS(領用表!$L:$L,領用表!$E:$E,$B103,領用表!$B:$B,DK$2&amp;DL$2)</f>
        <v/>
      </c>
      <c r="DM103" s="206">
        <f>SUMIFS(領用表!$L:$L,領用表!$E:$E,$B103,領用表!$B:$B,$DK$2&amp;DM$2)</f>
        <v/>
      </c>
      <c r="DN103" s="206">
        <f>SUMIFS(領用表!$L:$L,領用表!$E:$E,$B103,領用表!$B:$B,$DK$2&amp;DN$2)</f>
        <v/>
      </c>
      <c r="DO103" s="206">
        <f>SUMIFS(領用表!$L:$L,領用表!$E:$E,$B103,領用表!$B:$B,$DK$2&amp;DO$2)</f>
        <v/>
      </c>
      <c r="DP103" s="206">
        <f>SUMIFS(領用表!$L:$L,領用表!$E:$E,$B103,領用表!$B:$B,$DK$2&amp;DP$2)</f>
        <v/>
      </c>
      <c r="DQ103" s="208" t="n">
        <v>22</v>
      </c>
      <c r="DR103" s="206" t="n">
        <v>5</v>
      </c>
      <c r="DS103" s="206" t="n">
        <v>3</v>
      </c>
      <c r="DT103" s="206" t="n">
        <v>13</v>
      </c>
      <c r="DU103" s="206" t="n"/>
      <c r="DV103" s="206" t="n">
        <v>1</v>
      </c>
      <c r="DW103" s="206">
        <f>SUM(CN103,CS103,CY103,DE103,DK103,DQ103)</f>
        <v/>
      </c>
      <c r="DX103" s="206">
        <f>AVERAGEA(CN103,CS103,CY103,DE103,DK103,DQ103)</f>
        <v/>
      </c>
      <c r="DY103" s="206">
        <f>SUM(DZ103:EC103)</f>
        <v/>
      </c>
      <c r="DZ103" s="206" t="n">
        <v>0</v>
      </c>
      <c r="EA103" s="206" t="n">
        <v>0</v>
      </c>
      <c r="EB103" s="206" t="n">
        <v>0</v>
      </c>
      <c r="EC103" s="206" t="n">
        <v>0</v>
      </c>
      <c r="ED103" s="258" t="n"/>
      <c r="EE103" s="283" t="n"/>
      <c r="EF103" s="283" t="n"/>
      <c r="EG103" s="283" t="n"/>
      <c r="EH103" s="136" t="n"/>
      <c r="EI103" s="289" t="n"/>
      <c r="EJ103" s="118">
        <f>IFERROR(VLOOKUP(A103,站前4樓!A:BF,57,0),0)</f>
        <v/>
      </c>
      <c r="EK103" s="213">
        <f>IFERROR(VLOOKUP(A103,站前11樓!A:BE,57,0),0)</f>
        <v/>
      </c>
      <c r="EL103" s="118">
        <f>IFERROR(VLOOKUP(A103,忠孝7樓!A:N,57,0),0)</f>
        <v/>
      </c>
      <c r="EM103" s="118">
        <f>IFERROR(VLOOKUP(A103,忠孝國際醫學3樓!A:L,57,0),0)</f>
        <v/>
      </c>
      <c r="EN103" s="118">
        <f>SUM(ED103:EG103)</f>
        <v/>
      </c>
    </row>
    <row r="104" ht="15.75" customFormat="1" customHeight="1" s="118">
      <c r="A104" s="136" t="inlineStr">
        <is>
          <t>MB3ME090004A</t>
        </is>
      </c>
      <c r="B104" s="118" t="n">
        <v>6200003</v>
      </c>
      <c r="C104" s="118" t="inlineStr">
        <is>
          <t>倍克脂</t>
        </is>
      </c>
      <c r="D104" s="285" t="n">
        <v>1</v>
      </c>
      <c r="E104" s="198" t="inlineStr">
        <is>
          <t>PCS</t>
        </is>
      </c>
      <c r="F104" s="225">
        <f>SUMIF(站前4樓!B:B,B104,站前4樓!F:F)</f>
        <v/>
      </c>
      <c r="G104" s="225">
        <f>SUMIF(站前11樓!B:B,B104,站前11樓!F:F)</f>
        <v/>
      </c>
      <c r="H104" s="225">
        <f>SUMIF(忠孝7樓!B:B,B104,忠孝7樓!G:G)</f>
        <v/>
      </c>
      <c r="I104" s="225">
        <f>SUMIF(忠孝國際醫學3樓!B:B,B104,忠孝國際醫學3樓!G:G)</f>
        <v/>
      </c>
      <c r="J104" s="225">
        <f>SUMIF(忠孝健康7樓!B:B,B104,忠孝健康7樓!G:G)</f>
        <v/>
      </c>
      <c r="K104" s="283" t="n"/>
      <c r="L104" s="283" t="n"/>
      <c r="M104" s="283" t="n"/>
      <c r="N104" s="283" t="n"/>
      <c r="O104" s="283" t="n"/>
      <c r="P104" s="283" t="n"/>
      <c r="Q104" s="283" t="n"/>
      <c r="R104" s="283" t="n"/>
      <c r="S104" s="283" t="n"/>
      <c r="T104" s="283" t="n"/>
      <c r="U104" s="283" t="n"/>
      <c r="V104" s="283" t="n"/>
      <c r="W104" s="283" t="n"/>
      <c r="X104" s="283" t="n"/>
      <c r="Y104" s="283" t="n"/>
      <c r="Z104" s="283" t="n"/>
      <c r="AA104" s="283" t="n"/>
      <c r="AB104" s="283" t="n"/>
      <c r="AC104" s="283" t="n"/>
      <c r="AD104" s="283" t="n"/>
      <c r="AE104" s="283" t="n"/>
      <c r="AF104" s="283" t="n"/>
      <c r="AG104" s="283" t="n"/>
      <c r="AH104" s="283" t="n"/>
      <c r="AI104" s="283" t="n"/>
      <c r="AJ104" s="201" t="n">
        <v>4</v>
      </c>
      <c r="AK104" s="201" t="n">
        <v>5</v>
      </c>
      <c r="AL104" s="201" t="n">
        <v>7</v>
      </c>
      <c r="AM104" s="201" t="n">
        <v>2</v>
      </c>
      <c r="AN104" s="201" t="n">
        <v>2</v>
      </c>
      <c r="AO104" s="201" t="n">
        <v>2</v>
      </c>
      <c r="AP104" s="201" t="n">
        <v>7</v>
      </c>
      <c r="AQ104" s="201" t="n">
        <v>6</v>
      </c>
      <c r="AR104" s="201" t="n">
        <v>6</v>
      </c>
      <c r="AS104" s="201" t="n">
        <v>9</v>
      </c>
      <c r="AT104" s="201" t="n">
        <v>8</v>
      </c>
      <c r="AU104" s="201" t="n">
        <v>10</v>
      </c>
      <c r="AV104" s="283">
        <f>SUM(AJ104:AU104)</f>
        <v/>
      </c>
      <c r="AW104" s="286">
        <f>AV104/12</f>
        <v/>
      </c>
      <c r="AX104" s="201" t="n">
        <v>9</v>
      </c>
      <c r="AY104" s="201" t="n">
        <v>12</v>
      </c>
      <c r="AZ104" s="201" t="n">
        <v>17</v>
      </c>
      <c r="BA104" s="201" t="n">
        <v>14</v>
      </c>
      <c r="BB104" s="201" t="n">
        <v>0</v>
      </c>
      <c r="BC104" s="203">
        <f>SUMIFS(領用表!$L:$L,領用表!$A:$A,BC$2,領用表!$E:$E,B104)</f>
        <v/>
      </c>
      <c r="BD104" s="296">
        <f>SUMIFS(領用表!$L:$L,領用表!$E:$E,$B104,領用表!$B:$B,BC$2&amp;BD$2)</f>
        <v/>
      </c>
      <c r="BE104" s="296">
        <f>SUMIFS(領用表!$L:$L,領用表!$E:$E,$B104,領用表!$B:$B,$BC$2&amp;BE$2)</f>
        <v/>
      </c>
      <c r="BF104" s="296">
        <f>SUMIFS(領用表!$L:$L,領用表!$E:$E,$B104,領用表!$B:$B,$BC$2&amp;BF$2)</f>
        <v/>
      </c>
      <c r="BG104" s="206">
        <f>SUMIFS(領用表!$L:$L,領用表!$E:$E,$B104,領用表!$B:$B,$BC$2&amp;BG$2)</f>
        <v/>
      </c>
      <c r="BH104" s="203">
        <f>SUMIFS(領用表!$L:$L,領用表!$A:$A,BH$2,領用表!$E:$E,B104)</f>
        <v/>
      </c>
      <c r="BI104" s="260">
        <f>SUMIFS(領用表!$L:$L,領用表!$E:$E,$B104,領用表!$B:$B,BH$2&amp;BI$2)</f>
        <v/>
      </c>
      <c r="BJ104" s="260">
        <f>SUMIFS(領用表!$L:$L,領用表!$E:$E,$B104,領用表!$B:$B,$BH$2&amp;BJ$2)</f>
        <v/>
      </c>
      <c r="BK104" s="260">
        <f>SUMIFS(領用表!$L:$L,領用表!$E:$E,$B104,領用表!$B:$B,$BH$2&amp;BK$2)</f>
        <v/>
      </c>
      <c r="BL104" s="260">
        <f>SUMIFS(領用表!$L:$L,領用表!$E:$E,$B104,領用表!$B:$B,$BH$2&amp;BL$2)</f>
        <v/>
      </c>
      <c r="BM104" s="203">
        <f>SUMIFS(領用表!$L:$L,領用表!$A:$A,BM$2,領用表!$E:$E,B104)</f>
        <v/>
      </c>
      <c r="BN104" s="206">
        <f>SUMIFS(領用表!$L:$L,領用表!$E:$E,$B104,領用表!$B:$B,BM$2&amp;BN$2)</f>
        <v/>
      </c>
      <c r="BO104" s="206">
        <f>SUMIFS(領用表!$L:$L,領用表!$E:$E,$B104,領用表!$B:$B,$BM$2&amp;BO$2)</f>
        <v/>
      </c>
      <c r="BP104" s="297">
        <f>SUMIFS(領用表!$L:$L,領用表!$E:$E,$B104,領用表!$B:$B,$BM$2&amp;BP$2)</f>
        <v/>
      </c>
      <c r="BQ104" s="206">
        <f>SUMIFS(領用表!$L:$L,領用表!$E:$E,$B104,領用表!$B:$B,$BM$2&amp;BQ$2)</f>
        <v/>
      </c>
      <c r="BR104" s="203">
        <f>SUMIFS(領用表!$L:$L,領用表!$A:$A,BR$2,領用表!$E:$E,B104)</f>
        <v/>
      </c>
      <c r="BS104" s="297">
        <f>SUMIFS(領用表!$L:$L,領用表!$E:$E,$B104,領用表!$B:$B,BR$2&amp;BS$2)</f>
        <v/>
      </c>
      <c r="BT104" s="297">
        <f>SUMIFS(領用表!$L:$L,領用表!$E:$E,$B104,領用表!$B:$B,$BR$2&amp;BT$2)</f>
        <v/>
      </c>
      <c r="BU104" s="297">
        <f>SUMIFS(領用表!$L:$L,領用表!$E:$E,$B104,領用表!$B:$B,$BR$2&amp;BU$2)</f>
        <v/>
      </c>
      <c r="BV104" s="206">
        <f>SUMIFS(領用表!$L:$L,領用表!$E:$E,$B104,領用表!$B:$B,$BR$2&amp;BV$2)</f>
        <v/>
      </c>
      <c r="BW104" s="208">
        <f>SUMIFS(領用表!$L:$L,領用表!$A:$A,BW$2,領用表!$E:$E,B104)</f>
        <v/>
      </c>
      <c r="BX104" s="206">
        <f>SUMIFS(領用表!$L:$L,領用表!$E:$E,$B104,領用表!$B:$B,BW$2&amp;BX$2)</f>
        <v/>
      </c>
      <c r="BY104" s="206">
        <f>SUMIFS(領用表!$L:$L,領用表!$E:$E,$B104,領用表!$B:$B,$BW$2&amp;BY$2)</f>
        <v/>
      </c>
      <c r="BZ104" s="206">
        <f>SUMIFS(領用表!$L:$L,領用表!$E:$E,$B104,領用表!$B:$B,$BW$2&amp;BZ$2)</f>
        <v/>
      </c>
      <c r="CA104" s="206">
        <f>SUMIFS(領用表!$L:$L,領用表!$E:$E,$B104,領用表!$B:$B,$BW$2&amp;CA$2)</f>
        <v/>
      </c>
      <c r="CB104" s="208">
        <f>SUMIFS(領用表!$L:$L,領用表!$A:$A,CB$2,領用表!$E:$E,B104)</f>
        <v/>
      </c>
      <c r="CC104" s="206">
        <f>SUMIFS(領用表!$L:$L,領用表!$E:$E,$B104,領用表!$B:$B,CB$2&amp;CC$2)</f>
        <v/>
      </c>
      <c r="CD104" s="206">
        <f>SUMIFS(領用表!$L:$L,領用表!$E:$E,$B104,領用表!$B:$B,$CB$2&amp;CD$2)</f>
        <v/>
      </c>
      <c r="CE104" s="206">
        <f>SUMIFS(領用表!$L:$L,領用表!$E:$E,$B104,領用表!$B:$B,$CB$2&amp;CE$2)</f>
        <v/>
      </c>
      <c r="CF104" s="206">
        <f>SUMIFS(領用表!$L:$L,領用表!$E:$E,$B104,領用表!$B:$B,$CB$2&amp;CF$2)</f>
        <v/>
      </c>
      <c r="CG104" s="208">
        <f>SUMIFS(領用表!$L:$L,領用表!$A:$A,CG$2,領用表!$E:$E,B104)</f>
        <v/>
      </c>
      <c r="CH104" s="206">
        <f>SUMIFS(領用表!$L:$L,領用表!$E:$E,$B104,領用表!$B:$B,CG$2&amp;CH$2)</f>
        <v/>
      </c>
      <c r="CI104" s="206">
        <f>SUMIFS(領用表!$L:$L,領用表!$E:$E,$B104,領用表!$B:$B,CG$2&amp;CI$2)</f>
        <v/>
      </c>
      <c r="CJ104" s="206">
        <f>SUMIFS(領用表!$L:$L,領用表!$E:$E,$B104,領用表!$B:$B,CG$2&amp;CJ$2)</f>
        <v/>
      </c>
      <c r="CK104" s="206">
        <f>SUMIFS(領用表!$L:$L,領用表!$E:$E,$B104,領用表!$B:$B,$CG$2&amp;CK$2)</f>
        <v/>
      </c>
      <c r="CL104" s="207">
        <f>SUM(AX104,AY104,AZ104,BA104,BB104,BC104,BH104,BM104,BR104,BW104,CB104,CG104)</f>
        <v/>
      </c>
      <c r="CM104" s="207">
        <f>AVERAGE(AX104,AY104,AZ104,BA104,BB104,BC104,BH104,BM104,BR104,BW104,CB104,CG104)</f>
        <v/>
      </c>
      <c r="CN104" s="208">
        <f>SUMIFS(領用表!$L:$L,領用表!$A:$A,CN$2,領用表!$E:$E,B104)</f>
        <v/>
      </c>
      <c r="CO104" s="206">
        <f>SUMIFS(領用表!$L:$L,領用表!$E:$E,$B104,領用表!$B:$B,CN$2&amp;CO$2)</f>
        <v/>
      </c>
      <c r="CP104" s="206">
        <f>SUMIFS(領用表!$L:$L,領用表!$E:$E,$B104,領用表!$B:$B,$CN$2&amp;CP$2)</f>
        <v/>
      </c>
      <c r="CQ104" s="206">
        <f>SUMIFS(領用表!$L:$L,領用表!$E:$E,$B104,領用表!$B:$B,$CN$2&amp;CQ$2)</f>
        <v/>
      </c>
      <c r="CR104" s="206">
        <f>SUMIFS(領用表!$L:$L,領用表!$E:$E,$B104,領用表!$B:$B,$CN$2&amp;CR$2)</f>
        <v/>
      </c>
      <c r="CS104" s="208">
        <f>SUMIFS(領用表!$L:$L,領用表!$A:$A,CS$2,領用表!$E:$E,B104)</f>
        <v/>
      </c>
      <c r="CT104" s="206">
        <f>SUMIFS(領用表!$L:$L,領用表!$E:$E,$B104,領用表!$B:$B,CS$2&amp;CT$2)</f>
        <v/>
      </c>
      <c r="CU104" s="206">
        <f>SUMIFS(領用表!$L:$L,領用表!$E:$E,$B104,領用表!$B:$B,$CS$2&amp;CU$2)</f>
        <v/>
      </c>
      <c r="CV104" s="206">
        <f>SUMIFS(領用表!$L:$L,領用表!$E:$E,$B104,領用表!$B:$B,$CS$2&amp;CV$2)</f>
        <v/>
      </c>
      <c r="CW104" s="206">
        <f>SUMIFS(領用表!$L:$L,領用表!$E:$E,$B104,領用表!$B:$B,$CS$2&amp;CW$2)</f>
        <v/>
      </c>
      <c r="CX104" s="206">
        <f>SUMIFS(領用表!$L:$L,領用表!$E:$E,$B104,領用表!$B:$B,$CS$2&amp;CX$2)</f>
        <v/>
      </c>
      <c r="CY104" s="208">
        <f>SUMIFS(領用表!$L:$L,領用表!$A:$A,CY$2,領用表!$E:$E,B104)</f>
        <v/>
      </c>
      <c r="CZ104" s="206">
        <f>SUMIFS(領用表!$L:$L,領用表!$E:$E,$B104,領用表!$B:$B,CY$2&amp;CZ$2)</f>
        <v/>
      </c>
      <c r="DA104" s="206">
        <f>SUMIFS(領用表!$L:$L,領用表!$E:$E,$B104,領用表!$B:$B,$CY$2&amp;DA$2)</f>
        <v/>
      </c>
      <c r="DB104" s="206">
        <f>SUMIFS(領用表!$L:$L,領用表!$E:$E,$B104,領用表!$B:$B,$CY$2&amp;DB$2)</f>
        <v/>
      </c>
      <c r="DC104" s="206">
        <f>SUMIFS(領用表!$L:$L,領用表!$E:$E,$B104,領用表!$B:$B,$CY$2&amp;DC$2)</f>
        <v/>
      </c>
      <c r="DD104" s="206">
        <f>SUMIFS(領用表!$L:$L,領用表!$E:$E,$B104,領用表!$B:$B,$CY$2&amp;DD$2)</f>
        <v/>
      </c>
      <c r="DE104" s="208">
        <f>SUMIFS(領用表!$L:$L,領用表!$A:$A,DE$2,領用表!$E:$E,B104)</f>
        <v/>
      </c>
      <c r="DF104" s="206">
        <f>SUMIFS(領用表!$L:$L,領用表!$E:$E,$B104,領用表!$B:$B,DE$2&amp;DF$2)</f>
        <v/>
      </c>
      <c r="DG104" s="206">
        <f>SUMIFS(領用表!$L:$L,領用表!$E:$E,$B104,領用表!$B:$B,$DE$2&amp;DG$2)</f>
        <v/>
      </c>
      <c r="DH104" s="206">
        <f>SUMIFS(領用表!$L:$L,領用表!$E:$E,$B104,領用表!$B:$B,$DE$2&amp;DH$2)</f>
        <v/>
      </c>
      <c r="DI104" s="206">
        <f>SUMIFS(領用表!$L:$L,領用表!$E:$E,$B104,領用表!$B:$B,$DE$2&amp;DI$2)</f>
        <v/>
      </c>
      <c r="DJ104" s="206">
        <f>SUMIFS(領用表!$L:$L,領用表!$E:$E,$B104,領用表!$B:$B,$DE$2&amp;DJ$2)</f>
        <v/>
      </c>
      <c r="DK104" s="208">
        <f>SUMIFS(領用表!$L:$L,領用表!$A:$A,DK$2,領用表!$E:$E,$B104)</f>
        <v/>
      </c>
      <c r="DL104" s="206">
        <f>SUMIFS(領用表!$L:$L,領用表!$E:$E,$B104,領用表!$B:$B,DK$2&amp;DL$2)</f>
        <v/>
      </c>
      <c r="DM104" s="206">
        <f>SUMIFS(領用表!$L:$L,領用表!$E:$E,$B104,領用表!$B:$B,$DK$2&amp;DM$2)</f>
        <v/>
      </c>
      <c r="DN104" s="206">
        <f>SUMIFS(領用表!$L:$L,領用表!$E:$E,$B104,領用表!$B:$B,$DK$2&amp;DN$2)</f>
        <v/>
      </c>
      <c r="DO104" s="206">
        <f>SUMIFS(領用表!$L:$L,領用表!$E:$E,$B104,領用表!$B:$B,$DK$2&amp;DO$2)</f>
        <v/>
      </c>
      <c r="DP104" s="206">
        <f>SUMIFS(領用表!$L:$L,領用表!$E:$E,$B104,領用表!$B:$B,$DK$2&amp;DP$2)</f>
        <v/>
      </c>
      <c r="DQ104" s="208" t="n">
        <v>3</v>
      </c>
      <c r="DR104" s="206" t="n"/>
      <c r="DS104" s="206" t="n"/>
      <c r="DT104" s="206" t="n">
        <v>3</v>
      </c>
      <c r="DU104" s="206" t="n"/>
      <c r="DV104" s="206" t="n"/>
      <c r="DW104" s="206">
        <f>SUM(CN104,CS104,CY104,DE104,DK104,DQ104)</f>
        <v/>
      </c>
      <c r="DX104" s="206">
        <f>AVERAGEA(CN104,CS104,CY104,DE104,DK104,DQ104)</f>
        <v/>
      </c>
      <c r="DY104" s="206">
        <f>SUM(DZ104:EC104)</f>
        <v/>
      </c>
      <c r="DZ104" s="206" t="n">
        <v>0</v>
      </c>
      <c r="EA104" s="206" t="n">
        <v>5</v>
      </c>
      <c r="EB104" s="206" t="n">
        <v>2</v>
      </c>
      <c r="EC104" s="206" t="n">
        <v>5</v>
      </c>
      <c r="ED104" s="258" t="n">
        <v>20</v>
      </c>
      <c r="EE104" s="283" t="n"/>
      <c r="EF104" s="283" t="n"/>
      <c r="EG104" s="283" t="n"/>
      <c r="EH104" s="136" t="n"/>
      <c r="EI104" s="289" t="n"/>
      <c r="EJ104" s="118">
        <f>IFERROR(VLOOKUP(A104,站前4樓!A:BF,57,0),0)</f>
        <v/>
      </c>
      <c r="EK104" s="213">
        <f>IFERROR(VLOOKUP(A104,站前11樓!A:BE,57,0),0)</f>
        <v/>
      </c>
      <c r="EL104" s="118">
        <f>IFERROR(VLOOKUP(A104,忠孝7樓!A:N,57,0),0)</f>
        <v/>
      </c>
      <c r="EM104" s="118">
        <f>IFERROR(VLOOKUP(A104,忠孝國際醫學3樓!A:L,57,0),0)</f>
        <v/>
      </c>
      <c r="EN104" s="118">
        <f>SUM(ED104:EG104)</f>
        <v/>
      </c>
    </row>
    <row r="105" ht="15.75" customFormat="1" customHeight="1" s="118">
      <c r="A105" s="136" t="inlineStr">
        <is>
          <t>MB3ME090005A</t>
        </is>
      </c>
      <c r="B105" s="118" t="n">
        <v>6200006</v>
      </c>
      <c r="C105" s="136" t="inlineStr">
        <is>
          <t>容脂</t>
        </is>
      </c>
      <c r="D105" s="285" t="n">
        <v>1</v>
      </c>
      <c r="E105" s="198" t="inlineStr">
        <is>
          <t>PCS</t>
        </is>
      </c>
      <c r="F105" s="225">
        <f>SUMIF(站前4樓!B:B,B105,站前4樓!F:F)</f>
        <v/>
      </c>
      <c r="G105" s="225">
        <f>SUMIF(站前11樓!B:B,B105,站前11樓!F:F)</f>
        <v/>
      </c>
      <c r="H105" s="225">
        <f>SUMIF(忠孝7樓!B:B,B105,忠孝7樓!G:G)</f>
        <v/>
      </c>
      <c r="I105" s="225">
        <f>SUMIF(忠孝國際醫學3樓!B:B,B105,忠孝國際醫學3樓!G:G)</f>
        <v/>
      </c>
      <c r="J105" s="225">
        <f>SUMIF(忠孝健康7樓!B:B,B105,忠孝健康7樓!G:G)</f>
        <v/>
      </c>
      <c r="K105" s="283" t="n"/>
      <c r="L105" s="283" t="n"/>
      <c r="M105" s="283" t="n"/>
      <c r="N105" s="283" t="n"/>
      <c r="O105" s="283" t="n"/>
      <c r="P105" s="283" t="n"/>
      <c r="Q105" s="283" t="n"/>
      <c r="R105" s="283" t="n"/>
      <c r="S105" s="283" t="n"/>
      <c r="T105" s="283" t="n"/>
      <c r="U105" s="283" t="n"/>
      <c r="V105" s="283" t="n"/>
      <c r="W105" s="283" t="n"/>
      <c r="X105" s="283" t="n"/>
      <c r="Y105" s="283" t="n"/>
      <c r="Z105" s="283" t="n"/>
      <c r="AA105" s="283" t="n"/>
      <c r="AB105" s="283" t="n"/>
      <c r="AC105" s="283" t="n"/>
      <c r="AD105" s="283" t="n"/>
      <c r="AE105" s="283" t="n"/>
      <c r="AF105" s="283" t="n"/>
      <c r="AG105" s="283" t="n"/>
      <c r="AH105" s="283" t="n"/>
      <c r="AI105" s="283" t="n"/>
      <c r="AJ105" s="201" t="n"/>
      <c r="AK105" s="201" t="n"/>
      <c r="AL105" s="201" t="n"/>
      <c r="AM105" s="201" t="n"/>
      <c r="AN105" s="201" t="n"/>
      <c r="AO105" s="201" t="n"/>
      <c r="AP105" s="201" t="n"/>
      <c r="AQ105" s="201" t="n">
        <v>0</v>
      </c>
      <c r="AR105" s="201" t="n">
        <v>0</v>
      </c>
      <c r="AS105" s="201" t="n">
        <v>0</v>
      </c>
      <c r="AT105" s="201" t="n">
        <v>0</v>
      </c>
      <c r="AU105" s="201" t="n">
        <v>1</v>
      </c>
      <c r="AV105" s="283">
        <f>SUM(AJ105:AU105)</f>
        <v/>
      </c>
      <c r="AW105" s="286">
        <f>AV105/12</f>
        <v/>
      </c>
      <c r="AX105" s="201" t="n">
        <v>1</v>
      </c>
      <c r="AY105" s="201" t="n">
        <v>3</v>
      </c>
      <c r="AZ105" s="201" t="n">
        <v>6</v>
      </c>
      <c r="BA105" s="201" t="n">
        <v>10</v>
      </c>
      <c r="BB105" s="201" t="n">
        <v>1</v>
      </c>
      <c r="BC105" s="203">
        <f>SUMIFS(領用表!$L:$L,領用表!$A:$A,BC$2,領用表!$E:$E,B105)</f>
        <v/>
      </c>
      <c r="BD105" s="296">
        <f>SUMIFS(領用表!$L:$L,領用表!$E:$E,$B105,領用表!$B:$B,BC$2&amp;BD$2)</f>
        <v/>
      </c>
      <c r="BE105" s="296">
        <f>SUMIFS(領用表!$L:$L,領用表!$E:$E,$B105,領用表!$B:$B,$BC$2&amp;BE$2)</f>
        <v/>
      </c>
      <c r="BF105" s="296">
        <f>SUMIFS(領用表!$L:$L,領用表!$E:$E,$B105,領用表!$B:$B,$BC$2&amp;BF$2)</f>
        <v/>
      </c>
      <c r="BG105" s="206">
        <f>SUMIFS(領用表!$L:$L,領用表!$E:$E,$B105,領用表!$B:$B,$BC$2&amp;BG$2)</f>
        <v/>
      </c>
      <c r="BH105" s="203">
        <f>SUMIFS(領用表!$L:$L,領用表!$A:$A,BH$2,領用表!$E:$E,B105)</f>
        <v/>
      </c>
      <c r="BI105" s="260">
        <f>SUMIFS(領用表!$L:$L,領用表!$E:$E,$B105,領用表!$B:$B,BH$2&amp;BI$2)</f>
        <v/>
      </c>
      <c r="BJ105" s="260">
        <f>SUMIFS(領用表!$L:$L,領用表!$E:$E,$B105,領用表!$B:$B,$BH$2&amp;BJ$2)</f>
        <v/>
      </c>
      <c r="BK105" s="260">
        <f>SUMIFS(領用表!$L:$L,領用表!$E:$E,$B105,領用表!$B:$B,$BH$2&amp;BK$2)</f>
        <v/>
      </c>
      <c r="BL105" s="260">
        <f>SUMIFS(領用表!$L:$L,領用表!$E:$E,$B105,領用表!$B:$B,$BH$2&amp;BL$2)</f>
        <v/>
      </c>
      <c r="BM105" s="203">
        <f>SUMIFS(領用表!$L:$L,領用表!$A:$A,BM$2,領用表!$E:$E,B105)</f>
        <v/>
      </c>
      <c r="BN105" s="206">
        <f>SUMIFS(領用表!$L:$L,領用表!$E:$E,$B105,領用表!$B:$B,BM$2&amp;BN$2)</f>
        <v/>
      </c>
      <c r="BO105" s="206">
        <f>SUMIFS(領用表!$L:$L,領用表!$E:$E,$B105,領用表!$B:$B,$BM$2&amp;BO$2)</f>
        <v/>
      </c>
      <c r="BP105" s="297">
        <f>SUMIFS(領用表!$L:$L,領用表!$E:$E,$B105,領用表!$B:$B,$BM$2&amp;BP$2)</f>
        <v/>
      </c>
      <c r="BQ105" s="206">
        <f>SUMIFS(領用表!$L:$L,領用表!$E:$E,$B105,領用表!$B:$B,$BM$2&amp;BQ$2)</f>
        <v/>
      </c>
      <c r="BR105" s="203">
        <f>SUMIFS(領用表!$L:$L,領用表!$A:$A,BR$2,領用表!$E:$E,B105)</f>
        <v/>
      </c>
      <c r="BS105" s="297">
        <f>SUMIFS(領用表!$L:$L,領用表!$E:$E,$B105,領用表!$B:$B,BR$2&amp;BS$2)</f>
        <v/>
      </c>
      <c r="BT105" s="297">
        <f>SUMIFS(領用表!$L:$L,領用表!$E:$E,$B105,領用表!$B:$B,$BR$2&amp;BT$2)</f>
        <v/>
      </c>
      <c r="BU105" s="297">
        <f>SUMIFS(領用表!$L:$L,領用表!$E:$E,$B105,領用表!$B:$B,$BR$2&amp;BU$2)</f>
        <v/>
      </c>
      <c r="BV105" s="206">
        <f>SUMIFS(領用表!$L:$L,領用表!$E:$E,$B105,領用表!$B:$B,$BR$2&amp;BV$2)</f>
        <v/>
      </c>
      <c r="BW105" s="208">
        <f>SUMIFS(領用表!$L:$L,領用表!$A:$A,BW$2,領用表!$E:$E,B105)</f>
        <v/>
      </c>
      <c r="BX105" s="206">
        <f>SUMIFS(領用表!$L:$L,領用表!$E:$E,$B105,領用表!$B:$B,BW$2&amp;BX$2)</f>
        <v/>
      </c>
      <c r="BY105" s="206">
        <f>SUMIFS(領用表!$L:$L,領用表!$E:$E,$B105,領用表!$B:$B,$BW$2&amp;BY$2)</f>
        <v/>
      </c>
      <c r="BZ105" s="206">
        <f>SUMIFS(領用表!$L:$L,領用表!$E:$E,$B105,領用表!$B:$B,$BW$2&amp;BZ$2)</f>
        <v/>
      </c>
      <c r="CA105" s="206">
        <f>SUMIFS(領用表!$L:$L,領用表!$E:$E,$B105,領用表!$B:$B,$BW$2&amp;CA$2)</f>
        <v/>
      </c>
      <c r="CB105" s="208">
        <f>SUMIFS(領用表!$L:$L,領用表!$A:$A,CB$2,領用表!$E:$E,B105)</f>
        <v/>
      </c>
      <c r="CC105" s="206">
        <f>SUMIFS(領用表!$L:$L,領用表!$E:$E,$B105,領用表!$B:$B,CB$2&amp;CC$2)</f>
        <v/>
      </c>
      <c r="CD105" s="206">
        <f>SUMIFS(領用表!$L:$L,領用表!$E:$E,$B105,領用表!$B:$B,$CB$2&amp;CD$2)</f>
        <v/>
      </c>
      <c r="CE105" s="206">
        <f>SUMIFS(領用表!$L:$L,領用表!$E:$E,$B105,領用表!$B:$B,$CB$2&amp;CE$2)</f>
        <v/>
      </c>
      <c r="CF105" s="206">
        <f>SUMIFS(領用表!$L:$L,領用表!$E:$E,$B105,領用表!$B:$B,$CB$2&amp;CF$2)</f>
        <v/>
      </c>
      <c r="CG105" s="208">
        <f>SUMIFS(領用表!$L:$L,領用表!$A:$A,CG$2,領用表!$E:$E,B105)</f>
        <v/>
      </c>
      <c r="CH105" s="206">
        <f>SUMIFS(領用表!$L:$L,領用表!$E:$E,$B105,領用表!$B:$B,CG$2&amp;CH$2)</f>
        <v/>
      </c>
      <c r="CI105" s="206">
        <f>SUMIFS(領用表!$L:$L,領用表!$E:$E,$B105,領用表!$B:$B,CG$2&amp;CI$2)</f>
        <v/>
      </c>
      <c r="CJ105" s="206">
        <f>SUMIFS(領用表!$L:$L,領用表!$E:$E,$B105,領用表!$B:$B,CG$2&amp;CJ$2)</f>
        <v/>
      </c>
      <c r="CK105" s="206">
        <f>SUMIFS(領用表!$L:$L,領用表!$E:$E,$B105,領用表!$B:$B,$CG$2&amp;CK$2)</f>
        <v/>
      </c>
      <c r="CL105" s="207">
        <f>SUM(AX105,AY105,AZ105,BA105,BB105,BC105,BH105,BM105,BR105,BW105,CB105,CG105)</f>
        <v/>
      </c>
      <c r="CM105" s="207">
        <f>AVERAGE(AX105,AY105,AZ105,BA105,BB105,BC105,BH105,BM105,BR105,BW105,CB105,CG105)</f>
        <v/>
      </c>
      <c r="CN105" s="208">
        <f>SUMIFS(領用表!$L:$L,領用表!$A:$A,CN$2,領用表!$E:$E,B105)</f>
        <v/>
      </c>
      <c r="CO105" s="206">
        <f>SUMIFS(領用表!$L:$L,領用表!$E:$E,$B105,領用表!$B:$B,CN$2&amp;CO$2)</f>
        <v/>
      </c>
      <c r="CP105" s="206">
        <f>SUMIFS(領用表!$L:$L,領用表!$E:$E,$B105,領用表!$B:$B,$CN$2&amp;CP$2)</f>
        <v/>
      </c>
      <c r="CQ105" s="206">
        <f>SUMIFS(領用表!$L:$L,領用表!$E:$E,$B105,領用表!$B:$B,$CN$2&amp;CQ$2)</f>
        <v/>
      </c>
      <c r="CR105" s="206">
        <f>SUMIFS(領用表!$L:$L,領用表!$E:$E,$B105,領用表!$B:$B,$CN$2&amp;CR$2)</f>
        <v/>
      </c>
      <c r="CS105" s="208">
        <f>SUMIFS(領用表!$L:$L,領用表!$A:$A,CS$2,領用表!$E:$E,B105)</f>
        <v/>
      </c>
      <c r="CT105" s="206">
        <f>SUMIFS(領用表!$L:$L,領用表!$E:$E,$B105,領用表!$B:$B,CS$2&amp;CT$2)</f>
        <v/>
      </c>
      <c r="CU105" s="206">
        <f>SUMIFS(領用表!$L:$L,領用表!$E:$E,$B105,領用表!$B:$B,$CS$2&amp;CU$2)</f>
        <v/>
      </c>
      <c r="CV105" s="206">
        <f>SUMIFS(領用表!$L:$L,領用表!$E:$E,$B105,領用表!$B:$B,$CS$2&amp;CV$2)</f>
        <v/>
      </c>
      <c r="CW105" s="206">
        <f>SUMIFS(領用表!$L:$L,領用表!$E:$E,$B105,領用表!$B:$B,$CS$2&amp;CW$2)</f>
        <v/>
      </c>
      <c r="CX105" s="206">
        <f>SUMIFS(領用表!$L:$L,領用表!$E:$E,$B105,領用表!$B:$B,$CS$2&amp;CX$2)</f>
        <v/>
      </c>
      <c r="CY105" s="208">
        <f>SUMIFS(領用表!$L:$L,領用表!$A:$A,CY$2,領用表!$E:$E,B105)</f>
        <v/>
      </c>
      <c r="CZ105" s="206">
        <f>SUMIFS(領用表!$L:$L,領用表!$E:$E,$B105,領用表!$B:$B,CY$2&amp;CZ$2)</f>
        <v/>
      </c>
      <c r="DA105" s="206">
        <f>SUMIFS(領用表!$L:$L,領用表!$E:$E,$B105,領用表!$B:$B,$CY$2&amp;DA$2)</f>
        <v/>
      </c>
      <c r="DB105" s="206">
        <f>SUMIFS(領用表!$L:$L,領用表!$E:$E,$B105,領用表!$B:$B,$CY$2&amp;DB$2)</f>
        <v/>
      </c>
      <c r="DC105" s="206">
        <f>SUMIFS(領用表!$L:$L,領用表!$E:$E,$B105,領用表!$B:$B,$CY$2&amp;DC$2)</f>
        <v/>
      </c>
      <c r="DD105" s="206">
        <f>SUMIFS(領用表!$L:$L,領用表!$E:$E,$B105,領用表!$B:$B,$CY$2&amp;DD$2)</f>
        <v/>
      </c>
      <c r="DE105" s="208">
        <f>SUMIFS(領用表!$L:$L,領用表!$A:$A,DE$2,領用表!$E:$E,B105)</f>
        <v/>
      </c>
      <c r="DF105" s="206">
        <f>SUMIFS(領用表!$L:$L,領用表!$E:$E,$B105,領用表!$B:$B,DE$2&amp;DF$2)</f>
        <v/>
      </c>
      <c r="DG105" s="206">
        <f>SUMIFS(領用表!$L:$L,領用表!$E:$E,$B105,領用表!$B:$B,$DE$2&amp;DG$2)</f>
        <v/>
      </c>
      <c r="DH105" s="206">
        <f>SUMIFS(領用表!$L:$L,領用表!$E:$E,$B105,領用表!$B:$B,$DE$2&amp;DH$2)</f>
        <v/>
      </c>
      <c r="DI105" s="206">
        <f>SUMIFS(領用表!$L:$L,領用表!$E:$E,$B105,領用表!$B:$B,$DE$2&amp;DI$2)</f>
        <v/>
      </c>
      <c r="DJ105" s="206">
        <f>SUMIFS(領用表!$L:$L,領用表!$E:$E,$B105,領用表!$B:$B,$DE$2&amp;DJ$2)</f>
        <v/>
      </c>
      <c r="DK105" s="208">
        <f>SUMIFS(領用表!$L:$L,領用表!$A:$A,DK$2,領用表!$E:$E,$B105)</f>
        <v/>
      </c>
      <c r="DL105" s="206">
        <f>SUMIFS(領用表!$L:$L,領用表!$E:$E,$B105,領用表!$B:$B,DK$2&amp;DL$2)</f>
        <v/>
      </c>
      <c r="DM105" s="206">
        <f>SUMIFS(領用表!$L:$L,領用表!$E:$E,$B105,領用表!$B:$B,$DK$2&amp;DM$2)</f>
        <v/>
      </c>
      <c r="DN105" s="206">
        <f>SUMIFS(領用表!$L:$L,領用表!$E:$E,$B105,領用表!$B:$B,$DK$2&amp;DN$2)</f>
        <v/>
      </c>
      <c r="DO105" s="206">
        <f>SUMIFS(領用表!$L:$L,領用表!$E:$E,$B105,領用表!$B:$B,$DK$2&amp;DO$2)</f>
        <v/>
      </c>
      <c r="DP105" s="206">
        <f>SUMIFS(領用表!$L:$L,領用表!$E:$E,$B105,領用表!$B:$B,$DK$2&amp;DP$2)</f>
        <v/>
      </c>
      <c r="DQ105" s="208" t="n"/>
      <c r="DR105" s="206" t="n"/>
      <c r="DS105" s="206" t="n"/>
      <c r="DT105" s="206" t="n"/>
      <c r="DU105" s="206" t="n"/>
      <c r="DV105" s="206" t="n"/>
      <c r="DW105" s="206">
        <f>SUM(CN105,CS105,CY105,DE105,DK105,DQ105)</f>
        <v/>
      </c>
      <c r="DX105" s="206">
        <f>AVERAGEA(CN105,CS105,CY105,DE105,DK105,DQ105)</f>
        <v/>
      </c>
      <c r="DY105" s="206">
        <f>SUM(DZ105:EC105)</f>
        <v/>
      </c>
      <c r="DZ105" s="206" t="n">
        <v>3</v>
      </c>
      <c r="EA105" s="206" t="n">
        <v>0</v>
      </c>
      <c r="EB105" s="206" t="n">
        <v>2</v>
      </c>
      <c r="EC105" s="206" t="n">
        <v>0</v>
      </c>
      <c r="ED105" s="258" t="n">
        <v>20</v>
      </c>
      <c r="EE105" s="283" t="n"/>
      <c r="EF105" s="283" t="n"/>
      <c r="EG105" s="283" t="n"/>
      <c r="EH105" s="136" t="n"/>
      <c r="EI105" s="136" t="n"/>
      <c r="EJ105" s="118">
        <f>IFERROR(VLOOKUP(A105,站前4樓!A:BF,57,0),0)</f>
        <v/>
      </c>
      <c r="EK105" s="213">
        <f>IFERROR(VLOOKUP(A105,站前11樓!A:BE,57,0),0)</f>
        <v/>
      </c>
      <c r="EL105" s="118">
        <f>IFERROR(VLOOKUP(A105,忠孝7樓!A:N,57,0),0)</f>
        <v/>
      </c>
      <c r="EM105" s="118">
        <f>IFERROR(VLOOKUP(A105,忠孝國際醫學3樓!A:L,57,0),0)</f>
        <v/>
      </c>
      <c r="EN105" s="118">
        <f>SUM(ED105:EG105)</f>
        <v/>
      </c>
    </row>
    <row r="106" ht="15.75" customFormat="1" customHeight="1" s="118" thickBot="1">
      <c r="A106" s="304" t="inlineStr">
        <is>
          <t>MB3ME090009A</t>
        </is>
      </c>
      <c r="B106" s="305" t="n">
        <v>6120021</v>
      </c>
      <c r="C106" s="136" t="inlineStr">
        <is>
          <t>(Vit C)(抗壞血酸/諾貝爾)20ml</t>
        </is>
      </c>
      <c r="D106" s="285" t="n">
        <v>50</v>
      </c>
      <c r="E106" s="198" t="inlineStr">
        <is>
          <t>PCS</t>
        </is>
      </c>
      <c r="F106" s="225">
        <f>SUMIF(站前4樓!B:B,B106,站前4樓!F:F)</f>
        <v/>
      </c>
      <c r="G106" s="225">
        <f>SUMIF(站前11樓!B:B,B106,站前11樓!F:F)</f>
        <v/>
      </c>
      <c r="H106" s="225">
        <f>SUMIF(忠孝7樓!B:B,B106,忠孝7樓!G:G)</f>
        <v/>
      </c>
      <c r="I106" s="225">
        <f>SUMIF(忠孝國際醫學3樓!B:B,B106,忠孝國際醫學3樓!G:G)</f>
        <v/>
      </c>
      <c r="J106" s="225">
        <f>SUMIF(忠孝健康7樓!B:B,B106,忠孝健康7樓!G:G)</f>
        <v/>
      </c>
      <c r="K106" s="283" t="n"/>
      <c r="L106" s="283" t="n"/>
      <c r="M106" s="283" t="n"/>
      <c r="N106" s="283" t="n"/>
      <c r="O106" s="283" t="n"/>
      <c r="P106" s="283" t="n"/>
      <c r="Q106" s="283" t="n"/>
      <c r="R106" s="283" t="n"/>
      <c r="S106" s="283" t="n"/>
      <c r="T106" s="283" t="n"/>
      <c r="U106" s="283" t="n"/>
      <c r="V106" s="283" t="n"/>
      <c r="W106" s="283" t="n"/>
      <c r="X106" s="283" t="n"/>
      <c r="Y106" s="283" t="n"/>
      <c r="Z106" s="283" t="n"/>
      <c r="AA106" s="283" t="n"/>
      <c r="AB106" s="283" t="n"/>
      <c r="AC106" s="283" t="n"/>
      <c r="AD106" s="283" t="n"/>
      <c r="AE106" s="283" t="n"/>
      <c r="AF106" s="283" t="n"/>
      <c r="AG106" s="283" t="n"/>
      <c r="AH106" s="283" t="n"/>
      <c r="AI106" s="283" t="n"/>
      <c r="AJ106" s="201" t="n"/>
      <c r="AK106" s="201" t="n"/>
      <c r="AL106" s="201" t="n"/>
      <c r="AM106" s="201" t="n"/>
      <c r="AN106" s="201" t="n"/>
      <c r="AO106" s="201" t="n"/>
      <c r="AP106" s="201" t="n"/>
      <c r="AQ106" s="201" t="n">
        <v>0</v>
      </c>
      <c r="AR106" s="201" t="n">
        <v>0</v>
      </c>
      <c r="AS106" s="201" t="n">
        <v>0</v>
      </c>
      <c r="AT106" s="201" t="n">
        <v>0</v>
      </c>
      <c r="AU106" s="201" t="n">
        <v>0</v>
      </c>
      <c r="AV106" s="283">
        <f>SUM(AJ106:AU106)</f>
        <v/>
      </c>
      <c r="AW106" s="286">
        <f>AV106/12</f>
        <v/>
      </c>
      <c r="AX106" s="201" t="n">
        <v>0</v>
      </c>
      <c r="AY106" s="201" t="n">
        <v>0</v>
      </c>
      <c r="AZ106" s="201" t="n">
        <v>14</v>
      </c>
      <c r="BA106" s="201" t="n">
        <v>35</v>
      </c>
      <c r="BB106" s="201">
        <f>10+68</f>
        <v/>
      </c>
      <c r="BC106" s="203">
        <f>SUMIFS(領用表!$L:$L,領用表!$A:$A,BC$2,領用表!$E:$E,B106)</f>
        <v/>
      </c>
      <c r="BD106" s="287">
        <f>SUMIFS(領用表!$L:$L,領用表!$E:$E,$B106,領用表!$B:$B,BC$2&amp;BD$2)</f>
        <v/>
      </c>
      <c r="BE106" s="287">
        <f>SUMIFS(領用表!$L:$L,領用表!$E:$E,$B106,領用表!$B:$B,$BC$2&amp;BE$2)</f>
        <v/>
      </c>
      <c r="BF106" s="287">
        <f>SUMIFS(領用表!$L:$L,領用表!$E:$E,$B106,領用表!$B:$B,$BC$2&amp;BF$2)</f>
        <v/>
      </c>
      <c r="BG106" s="206">
        <f>SUMIFS(領用表!$L:$L,領用表!$E:$E,$B106,領用表!$B:$B,$BC$2&amp;BG$2)</f>
        <v/>
      </c>
      <c r="BH106" s="203">
        <f>SUMIFS(領用表!$L:$L,領用表!$A:$A,BH$2,領用表!$E:$E,B106)</f>
        <v/>
      </c>
      <c r="BI106" s="260">
        <f>SUMIFS(領用表!$L:$L,領用表!$E:$E,$B106,領用表!$B:$B,BH$2&amp;BI$2)</f>
        <v/>
      </c>
      <c r="BJ106" s="260">
        <f>SUMIFS(領用表!$L:$L,領用表!$E:$E,$B106,領用表!$B:$B,$BH$2&amp;BJ$2)</f>
        <v/>
      </c>
      <c r="BK106" s="260">
        <f>SUMIFS(領用表!$L:$L,領用表!$E:$E,$B106,領用表!$B:$B,$BH$2&amp;BK$2)</f>
        <v/>
      </c>
      <c r="BL106" s="260">
        <f>SUMIFS(領用表!$L:$L,領用表!$E:$E,$B106,領用表!$B:$B,$BH$2&amp;BL$2)</f>
        <v/>
      </c>
      <c r="BM106" s="203">
        <f>SUMIFS(領用表!$L:$L,領用表!$A:$A,BM$2,領用表!$E:$E,B106)</f>
        <v/>
      </c>
      <c r="BN106" s="206">
        <f>SUMIFS(領用表!$L:$L,領用表!$E:$E,$B106,領用表!$B:$B,BM$2&amp;BN$2)</f>
        <v/>
      </c>
      <c r="BO106" s="206">
        <f>SUMIFS(領用表!$L:$L,領用表!$E:$E,$B106,領用表!$B:$B,$BM$2&amp;BO$2)</f>
        <v/>
      </c>
      <c r="BP106" s="288">
        <f>SUMIFS(領用表!$L:$L,領用表!$E:$E,$B106,領用表!$B:$B,$BM$2&amp;BP$2)</f>
        <v/>
      </c>
      <c r="BQ106" s="287">
        <f>SUMIFS(領用表!$L:$L,領用表!$E:$E,$B106,領用表!$B:$B,$BM$2&amp;BQ$2)</f>
        <v/>
      </c>
      <c r="BR106" s="203">
        <f>SUMIFS(領用表!$L:$L,領用表!$A:$A,BR$2,領用表!$E:$E,B106)</f>
        <v/>
      </c>
      <c r="BS106" s="288">
        <f>SUMIFS(領用表!$L:$L,領用表!$E:$E,$B106,領用表!$B:$B,BR$2&amp;BS$2)</f>
        <v/>
      </c>
      <c r="BT106" s="288">
        <f>SUMIFS(領用表!$L:$L,領用表!$E:$E,$B106,領用表!$B:$B,$BR$2&amp;BT$2)</f>
        <v/>
      </c>
      <c r="BU106" s="288">
        <f>SUMIFS(領用表!$L:$L,領用表!$E:$E,$B106,領用表!$B:$B,$BR$2&amp;BU$2)</f>
        <v/>
      </c>
      <c r="BV106" s="287">
        <f>SUMIFS(領用表!$L:$L,領用表!$E:$E,$B106,領用表!$B:$B,$BR$2&amp;BV$2)</f>
        <v/>
      </c>
      <c r="BW106" s="208">
        <f>SUMIFS(領用表!$L:$L,領用表!$A:$A,BW$2,領用表!$E:$E,B106)</f>
        <v/>
      </c>
      <c r="BX106" s="206">
        <f>SUMIFS(領用表!$L:$L,領用表!$E:$E,$B106,領用表!$B:$B,BW$2&amp;BX$2)</f>
        <v/>
      </c>
      <c r="BY106" s="206">
        <f>SUMIFS(領用表!$L:$L,領用表!$E:$E,$B106,領用表!$B:$B,$BW$2&amp;BY$2)</f>
        <v/>
      </c>
      <c r="BZ106" s="206">
        <f>SUMIFS(領用表!$L:$L,領用表!$E:$E,$B106,領用表!$B:$B,$BW$2&amp;BZ$2)</f>
        <v/>
      </c>
      <c r="CA106" s="206">
        <f>SUMIFS(領用表!$L:$L,領用表!$E:$E,$B106,領用表!$B:$B,$BW$2&amp;CA$2)</f>
        <v/>
      </c>
      <c r="CB106" s="208">
        <f>SUMIFS(領用表!$L:$L,領用表!$A:$A,CB$2,領用表!$E:$E,B106)</f>
        <v/>
      </c>
      <c r="CC106" s="206">
        <f>SUMIFS(領用表!$L:$L,領用表!$E:$E,$B106,領用表!$B:$B,CB$2&amp;CC$2)</f>
        <v/>
      </c>
      <c r="CD106" s="206">
        <f>SUMIFS(領用表!$L:$L,領用表!$E:$E,$B106,領用表!$B:$B,$CB$2&amp;CD$2)</f>
        <v/>
      </c>
      <c r="CE106" s="206">
        <f>SUMIFS(領用表!$L:$L,領用表!$E:$E,$B106,領用表!$B:$B,$CB$2&amp;CE$2)</f>
        <v/>
      </c>
      <c r="CF106" s="206">
        <f>SUMIFS(領用表!$L:$L,領用表!$E:$E,$B106,領用表!$B:$B,$CB$2&amp;CF$2)</f>
        <v/>
      </c>
      <c r="CG106" s="208">
        <f>SUMIFS(領用表!$L:$L,領用表!$A:$A,CG$2,領用表!$E:$E,B106)</f>
        <v/>
      </c>
      <c r="CH106" s="206">
        <f>SUMIFS(領用表!$L:$L,領用表!$E:$E,$B106,領用表!$B:$B,CG$2&amp;CH$2)</f>
        <v/>
      </c>
      <c r="CI106" s="206">
        <f>SUMIFS(領用表!$L:$L,領用表!$E:$E,$B106,領用表!$B:$B,CG$2&amp;CI$2)</f>
        <v/>
      </c>
      <c r="CJ106" s="206">
        <f>SUMIFS(領用表!$L:$L,領用表!$E:$E,$B106,領用表!$B:$B,CG$2&amp;CJ$2)</f>
        <v/>
      </c>
      <c r="CK106" s="206">
        <f>SUMIFS(領用表!$L:$L,領用表!$E:$E,$B106,領用表!$B:$B,$CG$2&amp;CK$2)</f>
        <v/>
      </c>
      <c r="CL106" s="207">
        <f>SUM(AX106,AY106,AZ106,BA106,BB106,BC106,BH106,BM106,BR106,BW106,CB106,CG106)</f>
        <v/>
      </c>
      <c r="CM106" s="207">
        <f>AVERAGE(AX106,AY106,AZ106,BA106,BB106,BC106,BH106,BM106,BR106,BW106,CB106,CG106)</f>
        <v/>
      </c>
      <c r="CN106" s="208">
        <f>SUMIFS(領用表!$L:$L,領用表!$A:$A,CN$2,領用表!$E:$E,B106)</f>
        <v/>
      </c>
      <c r="CO106" s="206">
        <f>SUMIFS(領用表!$L:$L,領用表!$E:$E,$B106,領用表!$B:$B,CN$2&amp;CO$2)</f>
        <v/>
      </c>
      <c r="CP106" s="206">
        <f>SUMIFS(領用表!$L:$L,領用表!$E:$E,$B106,領用表!$B:$B,$CN$2&amp;CP$2)</f>
        <v/>
      </c>
      <c r="CQ106" s="206">
        <f>SUMIFS(領用表!$L:$L,領用表!$E:$E,$B106,領用表!$B:$B,$CN$2&amp;CQ$2)</f>
        <v/>
      </c>
      <c r="CR106" s="206">
        <f>SUMIFS(領用表!$L:$L,領用表!$E:$E,$B106,領用表!$B:$B,$CN$2&amp;CR$2)</f>
        <v/>
      </c>
      <c r="CS106" s="208">
        <f>SUMIFS(領用表!$L:$L,領用表!$A:$A,CS$2,領用表!$E:$E,B106)</f>
        <v/>
      </c>
      <c r="CT106" s="206">
        <f>SUMIFS(領用表!$L:$L,領用表!$E:$E,$B106,領用表!$B:$B,CS$2&amp;CT$2)</f>
        <v/>
      </c>
      <c r="CU106" s="206">
        <f>SUMIFS(領用表!$L:$L,領用表!$E:$E,$B106,領用表!$B:$B,$CS$2&amp;CU$2)</f>
        <v/>
      </c>
      <c r="CV106" s="206">
        <f>SUMIFS(領用表!$L:$L,領用表!$E:$E,$B106,領用表!$B:$B,$CS$2&amp;CV$2)</f>
        <v/>
      </c>
      <c r="CW106" s="206">
        <f>SUMIFS(領用表!$L:$L,領用表!$E:$E,$B106,領用表!$B:$B,$CS$2&amp;CW$2)</f>
        <v/>
      </c>
      <c r="CX106" s="206">
        <f>SUMIFS(領用表!$L:$L,領用表!$E:$E,$B106,領用表!$B:$B,$CS$2&amp;CX$2)</f>
        <v/>
      </c>
      <c r="CY106" s="208">
        <f>SUMIFS(領用表!$L:$L,領用表!$A:$A,CY$2,領用表!$E:$E,B106)</f>
        <v/>
      </c>
      <c r="CZ106" s="206">
        <f>SUMIFS(領用表!$L:$L,領用表!$E:$E,$B106,領用表!$B:$B,CY$2&amp;CZ$2)</f>
        <v/>
      </c>
      <c r="DA106" s="206">
        <f>SUMIFS(領用表!$L:$L,領用表!$E:$E,$B106,領用表!$B:$B,$CY$2&amp;DA$2)</f>
        <v/>
      </c>
      <c r="DB106" s="206">
        <f>SUMIFS(領用表!$L:$L,領用表!$E:$E,$B106,領用表!$B:$B,$CY$2&amp;DB$2)</f>
        <v/>
      </c>
      <c r="DC106" s="206">
        <f>SUMIFS(領用表!$L:$L,領用表!$E:$E,$B106,領用表!$B:$B,$CY$2&amp;DC$2)</f>
        <v/>
      </c>
      <c r="DD106" s="206">
        <f>SUMIFS(領用表!$L:$L,領用表!$E:$E,$B106,領用表!$B:$B,$CY$2&amp;DD$2)</f>
        <v/>
      </c>
      <c r="DE106" s="208">
        <f>SUMIFS(領用表!$L:$L,領用表!$A:$A,DE$2,領用表!$E:$E,B106)</f>
        <v/>
      </c>
      <c r="DF106" s="206">
        <f>SUMIFS(領用表!$L:$L,領用表!$E:$E,$B106,領用表!$B:$B,DE$2&amp;DF$2)</f>
        <v/>
      </c>
      <c r="DG106" s="206">
        <f>SUMIFS(領用表!$L:$L,領用表!$E:$E,$B106,領用表!$B:$B,$DE$2&amp;DG$2)</f>
        <v/>
      </c>
      <c r="DH106" s="206">
        <f>SUMIFS(領用表!$L:$L,領用表!$E:$E,$B106,領用表!$B:$B,$DE$2&amp;DH$2)</f>
        <v/>
      </c>
      <c r="DI106" s="206">
        <f>SUMIFS(領用表!$L:$L,領用表!$E:$E,$B106,領用表!$B:$B,$DE$2&amp;DI$2)</f>
        <v/>
      </c>
      <c r="DJ106" s="206">
        <f>SUMIFS(領用表!$L:$L,領用表!$E:$E,$B106,領用表!$B:$B,$DE$2&amp;DJ$2)</f>
        <v/>
      </c>
      <c r="DK106" s="208">
        <f>SUMIFS(領用表!$L:$L,領用表!$A:$A,DK$2,領用表!$E:$E,$B106)</f>
        <v/>
      </c>
      <c r="DL106" s="206">
        <f>SUMIFS(領用表!$L:$L,領用表!$E:$E,$B106,領用表!$B:$B,DK$2&amp;DL$2)</f>
        <v/>
      </c>
      <c r="DM106" s="206">
        <f>SUMIFS(領用表!$L:$L,領用表!$E:$E,$B106,領用表!$B:$B,$DK$2&amp;DM$2)</f>
        <v/>
      </c>
      <c r="DN106" s="206">
        <f>SUMIFS(領用表!$L:$L,領用表!$E:$E,$B106,領用表!$B:$B,$DK$2&amp;DN$2)</f>
        <v/>
      </c>
      <c r="DO106" s="206">
        <f>SUMIFS(領用表!$L:$L,領用表!$E:$E,$B106,領用表!$B:$B,$DK$2&amp;DO$2)</f>
        <v/>
      </c>
      <c r="DP106" s="206">
        <f>SUMIFS(領用表!$L:$L,領用表!$E:$E,$B106,領用表!$B:$B,$DK$2&amp;DP$2)</f>
        <v/>
      </c>
      <c r="DQ106" s="208" t="n">
        <v>126</v>
      </c>
      <c r="DR106" s="206" t="n">
        <v>46</v>
      </c>
      <c r="DS106" s="206" t="n">
        <v>13</v>
      </c>
      <c r="DT106" s="206" t="n">
        <v>52</v>
      </c>
      <c r="DU106" s="206" t="n">
        <v>4</v>
      </c>
      <c r="DV106" s="206" t="n">
        <v>11</v>
      </c>
      <c r="DW106" s="206">
        <f>SUM(CN106,CS106,CY106,DE106,DK106,DQ106)</f>
        <v/>
      </c>
      <c r="DX106" s="206">
        <f>AVERAGEA(CN106,CS106,CY106,DE106,DK106,DQ106)</f>
        <v/>
      </c>
      <c r="DY106" s="206">
        <f>SUM(DZ106:EC106)</f>
        <v/>
      </c>
      <c r="DZ106" s="206" t="n">
        <v>0</v>
      </c>
      <c r="EA106" s="206" t="n">
        <v>0</v>
      </c>
      <c r="EB106" s="206" t="n">
        <v>0</v>
      </c>
      <c r="EC106" s="206" t="n">
        <v>0</v>
      </c>
      <c r="ED106" s="258" t="n">
        <v>20</v>
      </c>
      <c r="EE106" s="283" t="n"/>
      <c r="EF106" s="252" t="inlineStr">
        <is>
          <t>50-10/22</t>
        </is>
      </c>
      <c r="EG106" s="283" t="n"/>
      <c r="EH106" s="136" t="n"/>
      <c r="EI106" s="289" t="n"/>
      <c r="EJ106" s="118">
        <f>IFERROR(VLOOKUP(A106,站前4樓!A:BF,57,0),0)</f>
        <v/>
      </c>
      <c r="EK106" s="213">
        <f>IFERROR(VLOOKUP(A106,站前11樓!A:BE,57,0),0)</f>
        <v/>
      </c>
      <c r="EL106" s="118">
        <f>IFERROR(VLOOKUP(A106,忠孝7樓!A:N,57,0),0)</f>
        <v/>
      </c>
      <c r="EM106" s="118">
        <f>IFERROR(VLOOKUP(A106,忠孝國際醫學3樓!A:L,57,0),0)</f>
        <v/>
      </c>
      <c r="EN106" s="118">
        <f>SUM(ED106:EG106)</f>
        <v/>
      </c>
    </row>
    <row r="107" ht="15.75" customFormat="1" customHeight="1" s="118" thickBot="1">
      <c r="A107" s="306" t="inlineStr">
        <is>
          <t>MB3ME090010A</t>
        </is>
      </c>
      <c r="B107" s="118" t="n">
        <v>6120020</v>
      </c>
      <c r="C107" s="135" t="inlineStr">
        <is>
          <t>抗壞血酸 2ml(維他命C)</t>
        </is>
      </c>
      <c r="D107" s="285" t="n">
        <v>100</v>
      </c>
      <c r="E107" s="198" t="inlineStr">
        <is>
          <t>PCS</t>
        </is>
      </c>
      <c r="F107" s="225">
        <f>SUMIF(站前4樓!B:B,B107,站前4樓!F:F)</f>
        <v/>
      </c>
      <c r="G107" s="225">
        <f>SUMIF(站前11樓!B:B,B107,站前11樓!F:F)</f>
        <v/>
      </c>
      <c r="H107" s="225">
        <f>SUMIF(忠孝7樓!B:B,B107,忠孝7樓!G:G)</f>
        <v/>
      </c>
      <c r="I107" s="225">
        <f>SUMIF(忠孝國際醫學3樓!B:B,B107,忠孝國際醫學3樓!G:G)</f>
        <v/>
      </c>
      <c r="J107" s="225">
        <f>SUMIF(忠孝健康7樓!B:B,B107,忠孝健康7樓!G:G)</f>
        <v/>
      </c>
      <c r="K107" s="283" t="n"/>
      <c r="L107" s="283" t="n"/>
      <c r="M107" s="283" t="n"/>
      <c r="N107" s="283" t="n"/>
      <c r="O107" s="283" t="n"/>
      <c r="P107" s="283" t="n"/>
      <c r="Q107" s="283" t="n"/>
      <c r="R107" s="283" t="n"/>
      <c r="S107" s="283" t="n"/>
      <c r="T107" s="283" t="n"/>
      <c r="U107" s="283" t="n"/>
      <c r="V107" s="283" t="n"/>
      <c r="W107" s="283" t="n"/>
      <c r="X107" s="283" t="n"/>
      <c r="Y107" s="283" t="n"/>
      <c r="Z107" s="283" t="n"/>
      <c r="AA107" s="283" t="n"/>
      <c r="AB107" s="283" t="n"/>
      <c r="AC107" s="283" t="n"/>
      <c r="AD107" s="283" t="n"/>
      <c r="AE107" s="283" t="n"/>
      <c r="AF107" s="283" t="n"/>
      <c r="AG107" s="283" t="n"/>
      <c r="AH107" s="283" t="n"/>
      <c r="AI107" s="283" t="n"/>
      <c r="AJ107" s="201" t="n"/>
      <c r="AK107" s="201" t="n"/>
      <c r="AL107" s="201" t="n"/>
      <c r="AM107" s="201" t="n"/>
      <c r="AN107" s="201" t="n"/>
      <c r="AO107" s="201" t="n"/>
      <c r="AP107" s="201" t="n"/>
      <c r="AQ107" s="201" t="n"/>
      <c r="AR107" s="201" t="n"/>
      <c r="AS107" s="201" t="n"/>
      <c r="AT107" s="201" t="n"/>
      <c r="AU107" s="201" t="n"/>
      <c r="AV107" s="283">
        <f>SUM(AJ107:AU107)</f>
        <v/>
      </c>
      <c r="AW107" s="286">
        <f>AV107/12</f>
        <v/>
      </c>
      <c r="AX107" s="201" t="n">
        <v>0</v>
      </c>
      <c r="AY107" s="201" t="n">
        <v>0</v>
      </c>
      <c r="AZ107" s="201" t="n">
        <v>81</v>
      </c>
      <c r="BA107" s="201" t="n">
        <v>17</v>
      </c>
      <c r="BB107" s="201" t="n">
        <v>11</v>
      </c>
      <c r="BC107" s="203">
        <f>SUMIFS(領用表!$L:$L,領用表!$A:$A,BC$2,領用表!$E:$E,B107)</f>
        <v/>
      </c>
      <c r="BD107" s="287">
        <f>SUMIFS(領用表!$L:$L,領用表!$E:$E,$B107,領用表!$B:$B,BC$2&amp;BD$2)</f>
        <v/>
      </c>
      <c r="BE107" s="287">
        <f>SUMIFS(領用表!$L:$L,領用表!$E:$E,$B107,領用表!$B:$B,$BC$2&amp;BE$2)</f>
        <v/>
      </c>
      <c r="BF107" s="287">
        <f>SUMIFS(領用表!$L:$L,領用表!$E:$E,$B107,領用表!$B:$B,$BC$2&amp;BF$2)</f>
        <v/>
      </c>
      <c r="BG107" s="206">
        <f>SUMIFS(領用表!$L:$L,領用表!$E:$E,$B107,領用表!$B:$B,$BC$2&amp;BG$2)</f>
        <v/>
      </c>
      <c r="BH107" s="203">
        <f>SUMIFS(領用表!$L:$L,領用表!$A:$A,BH$2,領用表!$E:$E,B107)</f>
        <v/>
      </c>
      <c r="BI107" s="260">
        <f>SUMIFS(領用表!$L:$L,領用表!$E:$E,$B107,領用表!$B:$B,BH$2&amp;BI$2)</f>
        <v/>
      </c>
      <c r="BJ107" s="260">
        <f>SUMIFS(領用表!$L:$L,領用表!$E:$E,$B107,領用表!$B:$B,$BH$2&amp;BJ$2)</f>
        <v/>
      </c>
      <c r="BK107" s="260">
        <f>SUMIFS(領用表!$L:$L,領用表!$E:$E,$B107,領用表!$B:$B,$BH$2&amp;BK$2)</f>
        <v/>
      </c>
      <c r="BL107" s="260">
        <f>SUMIFS(領用表!$L:$L,領用表!$E:$E,$B107,領用表!$B:$B,$BH$2&amp;BL$2)</f>
        <v/>
      </c>
      <c r="BM107" s="203">
        <f>SUMIFS(領用表!$L:$L,領用表!$A:$A,BM$2,領用表!$E:$E,B107)</f>
        <v/>
      </c>
      <c r="BN107" s="206">
        <f>SUMIFS(領用表!$L:$L,領用表!$E:$E,$B107,領用表!$B:$B,BM$2&amp;BN$2)</f>
        <v/>
      </c>
      <c r="BO107" s="206">
        <f>SUMIFS(領用表!$L:$L,領用表!$E:$E,$B107,領用表!$B:$B,$BM$2&amp;BO$2)</f>
        <v/>
      </c>
      <c r="BP107" s="288">
        <f>SUMIFS(領用表!$L:$L,領用表!$E:$E,$B107,領用表!$B:$B,$BM$2&amp;BP$2)</f>
        <v/>
      </c>
      <c r="BQ107" s="287">
        <f>SUMIFS(領用表!$L:$L,領用表!$E:$E,$B107,領用表!$B:$B,$BM$2&amp;BQ$2)</f>
        <v/>
      </c>
      <c r="BR107" s="203">
        <f>SUMIFS(領用表!$L:$L,領用表!$A:$A,BR$2,領用表!$E:$E,B107)</f>
        <v/>
      </c>
      <c r="BS107" s="288">
        <f>SUMIFS(領用表!$L:$L,領用表!$E:$E,$B107,領用表!$B:$B,BR$2&amp;BS$2)</f>
        <v/>
      </c>
      <c r="BT107" s="288">
        <f>SUMIFS(領用表!$L:$L,領用表!$E:$E,$B107,領用表!$B:$B,$BR$2&amp;BT$2)</f>
        <v/>
      </c>
      <c r="BU107" s="288">
        <f>SUMIFS(領用表!$L:$L,領用表!$E:$E,$B107,領用表!$B:$B,$BR$2&amp;BU$2)</f>
        <v/>
      </c>
      <c r="BV107" s="287">
        <f>SUMIFS(領用表!$L:$L,領用表!$E:$E,$B107,領用表!$B:$B,$BR$2&amp;BV$2)</f>
        <v/>
      </c>
      <c r="BW107" s="208">
        <f>SUMIFS(領用表!$L:$L,領用表!$A:$A,BW$2,領用表!$E:$E,B107)</f>
        <v/>
      </c>
      <c r="BX107" s="206">
        <f>SUMIFS(領用表!$L:$L,領用表!$E:$E,$B107,領用表!$B:$B,BW$2&amp;BX$2)</f>
        <v/>
      </c>
      <c r="BY107" s="206">
        <f>SUMIFS(領用表!$L:$L,領用表!$E:$E,$B107,領用表!$B:$B,$BW$2&amp;BY$2)</f>
        <v/>
      </c>
      <c r="BZ107" s="206">
        <f>SUMIFS(領用表!$L:$L,領用表!$E:$E,$B107,領用表!$B:$B,$BW$2&amp;BZ$2)</f>
        <v/>
      </c>
      <c r="CA107" s="206">
        <f>SUMIFS(領用表!$L:$L,領用表!$E:$E,$B107,領用表!$B:$B,$BW$2&amp;CA$2)</f>
        <v/>
      </c>
      <c r="CB107" s="208">
        <f>SUMIFS(領用表!$L:$L,領用表!$A:$A,CB$2,領用表!$E:$E,B107)</f>
        <v/>
      </c>
      <c r="CC107" s="206">
        <f>SUMIFS(領用表!$L:$L,領用表!$E:$E,$B107,領用表!$B:$B,CB$2&amp;CC$2)</f>
        <v/>
      </c>
      <c r="CD107" s="206">
        <f>SUMIFS(領用表!$L:$L,領用表!$E:$E,$B107,領用表!$B:$B,$CB$2&amp;CD$2)</f>
        <v/>
      </c>
      <c r="CE107" s="206">
        <f>SUMIFS(領用表!$L:$L,領用表!$E:$E,$B107,領用表!$B:$B,$CB$2&amp;CE$2)</f>
        <v/>
      </c>
      <c r="CF107" s="206">
        <f>SUMIFS(領用表!$L:$L,領用表!$E:$E,$B107,領用表!$B:$B,$CB$2&amp;CF$2)</f>
        <v/>
      </c>
      <c r="CG107" s="208">
        <f>SUMIFS(領用表!$L:$L,領用表!$A:$A,CG$2,領用表!$E:$E,B107)</f>
        <v/>
      </c>
      <c r="CH107" s="206">
        <f>SUMIFS(領用表!$L:$L,領用表!$E:$E,$B107,領用表!$B:$B,CG$2&amp;CH$2)</f>
        <v/>
      </c>
      <c r="CI107" s="206">
        <f>SUMIFS(領用表!$L:$L,領用表!$E:$E,$B107,領用表!$B:$B,CG$2&amp;CI$2)</f>
        <v/>
      </c>
      <c r="CJ107" s="206">
        <f>SUMIFS(領用表!$L:$L,領用表!$E:$E,$B107,領用表!$B:$B,CG$2&amp;CJ$2)</f>
        <v/>
      </c>
      <c r="CK107" s="206">
        <f>SUMIFS(領用表!$L:$L,領用表!$E:$E,$B107,領用表!$B:$B,$CG$2&amp;CK$2)</f>
        <v/>
      </c>
      <c r="CL107" s="207">
        <f>SUM(AX107,AY107,AZ107,BA107,BB107,BC107,BH107,BM107,BR107,BW107,CB107,CG107)</f>
        <v/>
      </c>
      <c r="CM107" s="207">
        <f>AVERAGE(AX107,AY107,AZ107,BA107,BB107,BC107,BH107,BM107,BR107,BW107,CB107,CG107)</f>
        <v/>
      </c>
      <c r="CN107" s="208">
        <f>SUMIFS(領用表!$L:$L,領用表!$A:$A,CN$2,領用表!$E:$E,B107)</f>
        <v/>
      </c>
      <c r="CO107" s="206">
        <f>SUMIFS(領用表!$L:$L,領用表!$E:$E,$B107,領用表!$B:$B,CN$2&amp;CO$2)</f>
        <v/>
      </c>
      <c r="CP107" s="206">
        <f>SUMIFS(領用表!$L:$L,領用表!$E:$E,$B107,領用表!$B:$B,$CN$2&amp;CP$2)</f>
        <v/>
      </c>
      <c r="CQ107" s="206">
        <f>SUMIFS(領用表!$L:$L,領用表!$E:$E,$B107,領用表!$B:$B,$CN$2&amp;CQ$2)</f>
        <v/>
      </c>
      <c r="CR107" s="206">
        <f>SUMIFS(領用表!$L:$L,領用表!$E:$E,$B107,領用表!$B:$B,$CN$2&amp;CR$2)</f>
        <v/>
      </c>
      <c r="CS107" s="208">
        <f>SUMIFS(領用表!$L:$L,領用表!$A:$A,CS$2,領用表!$E:$E,B107)</f>
        <v/>
      </c>
      <c r="CT107" s="206">
        <f>SUMIFS(領用表!$L:$L,領用表!$E:$E,$B107,領用表!$B:$B,CS$2&amp;CT$2)</f>
        <v/>
      </c>
      <c r="CU107" s="206">
        <f>SUMIFS(領用表!$L:$L,領用表!$E:$E,$B107,領用表!$B:$B,$CS$2&amp;CU$2)</f>
        <v/>
      </c>
      <c r="CV107" s="206">
        <f>SUMIFS(領用表!$L:$L,領用表!$E:$E,$B107,領用表!$B:$B,$CS$2&amp;CV$2)</f>
        <v/>
      </c>
      <c r="CW107" s="206">
        <f>SUMIFS(領用表!$L:$L,領用表!$E:$E,$B107,領用表!$B:$B,$CS$2&amp;CW$2)</f>
        <v/>
      </c>
      <c r="CX107" s="206">
        <f>SUMIFS(領用表!$L:$L,領用表!$E:$E,$B107,領用表!$B:$B,$CS$2&amp;CX$2)</f>
        <v/>
      </c>
      <c r="CY107" s="208">
        <f>SUMIFS(領用表!$L:$L,領用表!$A:$A,CY$2,領用表!$E:$E,B107)</f>
        <v/>
      </c>
      <c r="CZ107" s="206">
        <f>SUMIFS(領用表!$L:$L,領用表!$E:$E,$B107,領用表!$B:$B,CY$2&amp;CZ$2)</f>
        <v/>
      </c>
      <c r="DA107" s="206">
        <f>SUMIFS(領用表!$L:$L,領用表!$E:$E,$B107,領用表!$B:$B,$CY$2&amp;DA$2)</f>
        <v/>
      </c>
      <c r="DB107" s="206">
        <f>SUMIFS(領用表!$L:$L,領用表!$E:$E,$B107,領用表!$B:$B,$CY$2&amp;DB$2)</f>
        <v/>
      </c>
      <c r="DC107" s="206">
        <f>SUMIFS(領用表!$L:$L,領用表!$E:$E,$B107,領用表!$B:$B,$CY$2&amp;DC$2)</f>
        <v/>
      </c>
      <c r="DD107" s="206">
        <f>SUMIFS(領用表!$L:$L,領用表!$E:$E,$B107,領用表!$B:$B,$CY$2&amp;DD$2)</f>
        <v/>
      </c>
      <c r="DE107" s="208">
        <f>SUMIFS(領用表!$L:$L,領用表!$A:$A,DE$2,領用表!$E:$E,B107)</f>
        <v/>
      </c>
      <c r="DF107" s="206">
        <f>SUMIFS(領用表!$L:$L,領用表!$E:$E,$B107,領用表!$B:$B,DE$2&amp;DF$2)</f>
        <v/>
      </c>
      <c r="DG107" s="206">
        <f>SUMIFS(領用表!$L:$L,領用表!$E:$E,$B107,領用表!$B:$B,$DE$2&amp;DG$2)</f>
        <v/>
      </c>
      <c r="DH107" s="206">
        <f>SUMIFS(領用表!$L:$L,領用表!$E:$E,$B107,領用表!$B:$B,$DE$2&amp;DH$2)</f>
        <v/>
      </c>
      <c r="DI107" s="206">
        <f>SUMIFS(領用表!$L:$L,領用表!$E:$E,$B107,領用表!$B:$B,$DE$2&amp;DI$2)</f>
        <v/>
      </c>
      <c r="DJ107" s="206">
        <f>SUMIFS(領用表!$L:$L,領用表!$E:$E,$B107,領用表!$B:$B,$DE$2&amp;DJ$2)</f>
        <v/>
      </c>
      <c r="DK107" s="208">
        <f>SUMIFS(領用表!$L:$L,領用表!$A:$A,DK$2,領用表!$E:$E,$B107)</f>
        <v/>
      </c>
      <c r="DL107" s="206">
        <f>SUMIFS(領用表!$L:$L,領用表!$E:$E,$B107,領用表!$B:$B,DK$2&amp;DL$2)</f>
        <v/>
      </c>
      <c r="DM107" s="206">
        <f>SUMIFS(領用表!$L:$L,領用表!$E:$E,$B107,領用表!$B:$B,$DK$2&amp;DM$2)</f>
        <v/>
      </c>
      <c r="DN107" s="206">
        <f>SUMIFS(領用表!$L:$L,領用表!$E:$E,$B107,領用表!$B:$B,$DK$2&amp;DN$2)</f>
        <v/>
      </c>
      <c r="DO107" s="206">
        <f>SUMIFS(領用表!$L:$L,領用表!$E:$E,$B107,領用表!$B:$B,$DK$2&amp;DO$2)</f>
        <v/>
      </c>
      <c r="DP107" s="206">
        <f>SUMIFS(領用表!$L:$L,領用表!$E:$E,$B107,領用表!$B:$B,$DK$2&amp;DP$2)</f>
        <v/>
      </c>
      <c r="DQ107" s="208" t="n">
        <v>15</v>
      </c>
      <c r="DR107" s="206" t="n">
        <v>7</v>
      </c>
      <c r="DS107" s="206" t="n"/>
      <c r="DT107" s="206" t="n">
        <v>6</v>
      </c>
      <c r="DU107" s="206" t="n"/>
      <c r="DV107" s="206" t="n">
        <v>2</v>
      </c>
      <c r="DW107" s="206">
        <f>SUM(CN107,CS107,CY107,DE107,DK107,DQ107)</f>
        <v/>
      </c>
      <c r="DX107" s="206">
        <f>AVERAGEA(CN107,CS107,CY107,DE107,DK107,DQ107)</f>
        <v/>
      </c>
      <c r="DY107" s="206">
        <f>SUM(DZ107:EC107)</f>
        <v/>
      </c>
      <c r="DZ107" s="206" t="n">
        <v>0</v>
      </c>
      <c r="EA107" s="206" t="n">
        <v>0</v>
      </c>
      <c r="EB107" s="206" t="n">
        <v>0</v>
      </c>
      <c r="EC107" s="206" t="n">
        <v>0</v>
      </c>
      <c r="ED107" s="258" t="n"/>
      <c r="EE107" s="283" t="n"/>
      <c r="EF107" s="252" t="inlineStr">
        <is>
          <t>100-10/22</t>
        </is>
      </c>
      <c r="EG107" s="283" t="inlineStr">
        <is>
          <t>200-10/22</t>
        </is>
      </c>
      <c r="EH107" s="136" t="n"/>
      <c r="EI107" s="136" t="n"/>
      <c r="EJ107" s="118">
        <f>IFERROR(VLOOKUP(A107,站前4樓!A:BF,57,0),0)</f>
        <v/>
      </c>
      <c r="EK107" s="213">
        <f>IFERROR(VLOOKUP(A107,站前11樓!A:BE,57,0),0)</f>
        <v/>
      </c>
      <c r="EL107" s="118">
        <f>IFERROR(VLOOKUP(A107,忠孝7樓!A:N,57,0),0)</f>
        <v/>
      </c>
      <c r="EM107" s="118">
        <f>IFERROR(VLOOKUP(A107,忠孝國際醫學3樓!A:L,57,0),0)</f>
        <v/>
      </c>
      <c r="EN107" s="118">
        <f>SUM(ED107:EG107)</f>
        <v/>
      </c>
    </row>
    <row r="108" ht="15.75" customFormat="1" customHeight="1" s="118" thickBot="1">
      <c r="A108" s="306" t="inlineStr">
        <is>
          <t>MB3ME090011A</t>
        </is>
      </c>
      <c r="B108" s="118" t="n">
        <v>6120006</v>
      </c>
      <c r="C108" s="136" t="inlineStr">
        <is>
          <t>B12 愛壽命注射液 2ml</t>
        </is>
      </c>
      <c r="D108" s="285" t="n">
        <v>100</v>
      </c>
      <c r="E108" s="198" t="inlineStr">
        <is>
          <t>PCS</t>
        </is>
      </c>
      <c r="F108" s="225">
        <f>SUMIF(站前4樓!B:B,B108,站前4樓!F:F)</f>
        <v/>
      </c>
      <c r="G108" s="225">
        <f>SUMIF(站前11樓!B:B,B108,站前11樓!F:F)</f>
        <v/>
      </c>
      <c r="H108" s="225">
        <f>SUMIF(忠孝7樓!B:B,B108,忠孝7樓!G:G)</f>
        <v/>
      </c>
      <c r="I108" s="225">
        <f>SUMIF(忠孝國際醫學3樓!B:B,B108,忠孝國際醫學3樓!G:G)</f>
        <v/>
      </c>
      <c r="J108" s="225">
        <f>SUMIF(忠孝健康7樓!B:B,B108,忠孝健康7樓!G:G)</f>
        <v/>
      </c>
      <c r="K108" s="283" t="n"/>
      <c r="L108" s="283" t="n"/>
      <c r="M108" s="283" t="n"/>
      <c r="N108" s="283" t="n"/>
      <c r="O108" s="283" t="n"/>
      <c r="P108" s="283" t="n"/>
      <c r="Q108" s="283" t="n"/>
      <c r="R108" s="283" t="n"/>
      <c r="S108" s="283" t="n"/>
      <c r="T108" s="283" t="n"/>
      <c r="U108" s="283" t="n"/>
      <c r="V108" s="283" t="n"/>
      <c r="W108" s="283" t="n"/>
      <c r="X108" s="283" t="n"/>
      <c r="Y108" s="283" t="n"/>
      <c r="Z108" s="283" t="n"/>
      <c r="AA108" s="283" t="n"/>
      <c r="AB108" s="283" t="n"/>
      <c r="AC108" s="283" t="n"/>
      <c r="AD108" s="283" t="n"/>
      <c r="AE108" s="283" t="n"/>
      <c r="AF108" s="283" t="n"/>
      <c r="AG108" s="283" t="n"/>
      <c r="AH108" s="283" t="n"/>
      <c r="AI108" s="283" t="n"/>
      <c r="AJ108" s="201" t="n"/>
      <c r="AK108" s="201" t="n"/>
      <c r="AL108" s="201" t="n"/>
      <c r="AM108" s="201" t="n"/>
      <c r="AN108" s="201" t="n"/>
      <c r="AO108" s="201" t="n"/>
      <c r="AP108" s="201" t="n"/>
      <c r="AQ108" s="201" t="n">
        <v>0</v>
      </c>
      <c r="AR108" s="201" t="n">
        <v>0</v>
      </c>
      <c r="AS108" s="201" t="n">
        <v>0</v>
      </c>
      <c r="AT108" s="201" t="n">
        <v>0</v>
      </c>
      <c r="AU108" s="201" t="n">
        <v>0</v>
      </c>
      <c r="AV108" s="283">
        <f>SUM(AJ108:AU108)</f>
        <v/>
      </c>
      <c r="AW108" s="286">
        <f>AV108/12</f>
        <v/>
      </c>
      <c r="AX108" s="201" t="n">
        <v>0</v>
      </c>
      <c r="AY108" s="201" t="n">
        <v>0</v>
      </c>
      <c r="AZ108" s="201" t="n">
        <v>246</v>
      </c>
      <c r="BA108" s="201" t="n">
        <v>227</v>
      </c>
      <c r="BB108" s="201">
        <f>7+223</f>
        <v/>
      </c>
      <c r="BC108" s="203">
        <f>SUMIFS(領用表!$L:$L,領用表!$A:$A,BC$2,領用表!$E:$E,B108)</f>
        <v/>
      </c>
      <c r="BD108" s="287">
        <f>SUMIFS(領用表!$L:$L,領用表!$E:$E,$B108,領用表!$B:$B,BC$2&amp;BD$2)</f>
        <v/>
      </c>
      <c r="BE108" s="287">
        <f>SUMIFS(領用表!$L:$L,領用表!$E:$E,$B108,領用表!$B:$B,$BC$2&amp;BE$2)</f>
        <v/>
      </c>
      <c r="BF108" s="287">
        <f>SUMIFS(領用表!$L:$L,領用表!$E:$E,$B108,領用表!$B:$B,$BC$2&amp;BF$2)</f>
        <v/>
      </c>
      <c r="BG108" s="206">
        <f>SUMIFS(領用表!$L:$L,領用表!$E:$E,$B108,領用表!$B:$B,$BC$2&amp;BG$2)</f>
        <v/>
      </c>
      <c r="BH108" s="203">
        <f>SUMIFS(領用表!$L:$L,領用表!$A:$A,BH$2,領用表!$E:$E,B108)</f>
        <v/>
      </c>
      <c r="BI108" s="260">
        <f>SUMIFS(領用表!$L:$L,領用表!$E:$E,$B108,領用表!$B:$B,BH$2&amp;BI$2)</f>
        <v/>
      </c>
      <c r="BJ108" s="260">
        <f>SUMIFS(領用表!$L:$L,領用表!$E:$E,$B108,領用表!$B:$B,$BH$2&amp;BJ$2)</f>
        <v/>
      </c>
      <c r="BK108" s="260">
        <f>SUMIFS(領用表!$L:$L,領用表!$E:$E,$B108,領用表!$B:$B,$BH$2&amp;BK$2)</f>
        <v/>
      </c>
      <c r="BL108" s="260">
        <f>SUMIFS(領用表!$L:$L,領用表!$E:$E,$B108,領用表!$B:$B,$BH$2&amp;BL$2)</f>
        <v/>
      </c>
      <c r="BM108" s="203">
        <f>SUMIFS(領用表!$L:$L,領用表!$A:$A,BM$2,領用表!$E:$E,B108)</f>
        <v/>
      </c>
      <c r="BN108" s="206">
        <f>SUMIFS(領用表!$L:$L,領用表!$E:$E,$B108,領用表!$B:$B,BM$2&amp;BN$2)</f>
        <v/>
      </c>
      <c r="BO108" s="206">
        <f>SUMIFS(領用表!$L:$L,領用表!$E:$E,$B108,領用表!$B:$B,$BM$2&amp;BO$2)</f>
        <v/>
      </c>
      <c r="BP108" s="288">
        <f>SUMIFS(領用表!$L:$L,領用表!$E:$E,$B108,領用表!$B:$B,$BM$2&amp;BP$2)</f>
        <v/>
      </c>
      <c r="BQ108" s="287">
        <f>SUMIFS(領用表!$L:$L,領用表!$E:$E,$B108,領用表!$B:$B,$BM$2&amp;BQ$2)</f>
        <v/>
      </c>
      <c r="BR108" s="203">
        <f>SUMIFS(領用表!$L:$L,領用表!$A:$A,BR$2,領用表!$E:$E,B108)</f>
        <v/>
      </c>
      <c r="BS108" s="288">
        <f>SUMIFS(領用表!$L:$L,領用表!$E:$E,$B108,領用表!$B:$B,BR$2&amp;BS$2)</f>
        <v/>
      </c>
      <c r="BT108" s="288">
        <f>SUMIFS(領用表!$L:$L,領用表!$E:$E,$B108,領用表!$B:$B,$BR$2&amp;BT$2)</f>
        <v/>
      </c>
      <c r="BU108" s="288">
        <f>SUMIFS(領用表!$L:$L,領用表!$E:$E,$B108,領用表!$B:$B,$BR$2&amp;BU$2)</f>
        <v/>
      </c>
      <c r="BV108" s="287">
        <f>SUMIFS(領用表!$L:$L,領用表!$E:$E,$B108,領用表!$B:$B,$BR$2&amp;BV$2)</f>
        <v/>
      </c>
      <c r="BW108" s="208">
        <f>SUMIFS(領用表!$L:$L,領用表!$A:$A,BW$2,領用表!$E:$E,B108)</f>
        <v/>
      </c>
      <c r="BX108" s="206">
        <f>SUMIFS(領用表!$L:$L,領用表!$E:$E,$B108,領用表!$B:$B,BW$2&amp;BX$2)</f>
        <v/>
      </c>
      <c r="BY108" s="206">
        <f>SUMIFS(領用表!$L:$L,領用表!$E:$E,$B108,領用表!$B:$B,$BW$2&amp;BY$2)</f>
        <v/>
      </c>
      <c r="BZ108" s="206">
        <f>SUMIFS(領用表!$L:$L,領用表!$E:$E,$B108,領用表!$B:$B,$BW$2&amp;BZ$2)</f>
        <v/>
      </c>
      <c r="CA108" s="206">
        <f>SUMIFS(領用表!$L:$L,領用表!$E:$E,$B108,領用表!$B:$B,$BW$2&amp;CA$2)</f>
        <v/>
      </c>
      <c r="CB108" s="208">
        <f>SUMIFS(領用表!$L:$L,領用表!$A:$A,CB$2,領用表!$E:$E,B108)</f>
        <v/>
      </c>
      <c r="CC108" s="206">
        <f>SUMIFS(領用表!$L:$L,領用表!$E:$E,$B108,領用表!$B:$B,CB$2&amp;CC$2)</f>
        <v/>
      </c>
      <c r="CD108" s="206">
        <f>SUMIFS(領用表!$L:$L,領用表!$E:$E,$B108,領用表!$B:$B,$CB$2&amp;CD$2)</f>
        <v/>
      </c>
      <c r="CE108" s="206">
        <f>SUMIFS(領用表!$L:$L,領用表!$E:$E,$B108,領用表!$B:$B,$CB$2&amp;CE$2)</f>
        <v/>
      </c>
      <c r="CF108" s="206">
        <f>SUMIFS(領用表!$L:$L,領用表!$E:$E,$B108,領用表!$B:$B,$CB$2&amp;CF$2)</f>
        <v/>
      </c>
      <c r="CG108" s="208">
        <f>SUMIFS(領用表!$L:$L,領用表!$A:$A,CG$2,領用表!$E:$E,B108)</f>
        <v/>
      </c>
      <c r="CH108" s="206">
        <f>SUMIFS(領用表!$L:$L,領用表!$E:$E,$B108,領用表!$B:$B,CG$2&amp;CH$2)</f>
        <v/>
      </c>
      <c r="CI108" s="206">
        <f>SUMIFS(領用表!$L:$L,領用表!$E:$E,$B108,領用表!$B:$B,CG$2&amp;CI$2)</f>
        <v/>
      </c>
      <c r="CJ108" s="206">
        <f>SUMIFS(領用表!$L:$L,領用表!$E:$E,$B108,領用表!$B:$B,CG$2&amp;CJ$2)</f>
        <v/>
      </c>
      <c r="CK108" s="206">
        <f>SUMIFS(領用表!$L:$L,領用表!$E:$E,$B108,領用表!$B:$B,$CG$2&amp;CK$2)</f>
        <v/>
      </c>
      <c r="CL108" s="207">
        <f>SUM(AX108,AY108,AZ108,BA108,BB108,BC108,BH108,BM108,BR108,BW108,CB108,CG108)</f>
        <v/>
      </c>
      <c r="CM108" s="207">
        <f>AVERAGE(AX108,AY108,AZ108,BA108,BB108,BC108,BH108,BM108,BR108,BW108,CB108,CG108)</f>
        <v/>
      </c>
      <c r="CN108" s="208">
        <f>SUMIFS(領用表!$L:$L,領用表!$A:$A,CN$2,領用表!$E:$E,B108)</f>
        <v/>
      </c>
      <c r="CO108" s="206">
        <f>SUMIFS(領用表!$L:$L,領用表!$E:$E,$B108,領用表!$B:$B,CN$2&amp;CO$2)</f>
        <v/>
      </c>
      <c r="CP108" s="206">
        <f>SUMIFS(領用表!$L:$L,領用表!$E:$E,$B108,領用表!$B:$B,$CN$2&amp;CP$2)</f>
        <v/>
      </c>
      <c r="CQ108" s="206">
        <f>SUMIFS(領用表!$L:$L,領用表!$E:$E,$B108,領用表!$B:$B,$CN$2&amp;CQ$2)</f>
        <v/>
      </c>
      <c r="CR108" s="206">
        <f>SUMIFS(領用表!$L:$L,領用表!$E:$E,$B108,領用表!$B:$B,$CN$2&amp;CR$2)</f>
        <v/>
      </c>
      <c r="CS108" s="208">
        <f>SUMIFS(領用表!$L:$L,領用表!$A:$A,CS$2,領用表!$E:$E,B108)</f>
        <v/>
      </c>
      <c r="CT108" s="206">
        <f>SUMIFS(領用表!$L:$L,領用表!$E:$E,$B108,領用表!$B:$B,CS$2&amp;CT$2)</f>
        <v/>
      </c>
      <c r="CU108" s="206">
        <f>SUMIFS(領用表!$L:$L,領用表!$E:$E,$B108,領用表!$B:$B,$CS$2&amp;CU$2)</f>
        <v/>
      </c>
      <c r="CV108" s="206">
        <f>SUMIFS(領用表!$L:$L,領用表!$E:$E,$B108,領用表!$B:$B,$CS$2&amp;CV$2)</f>
        <v/>
      </c>
      <c r="CW108" s="206">
        <f>SUMIFS(領用表!$L:$L,領用表!$E:$E,$B108,領用表!$B:$B,$CS$2&amp;CW$2)</f>
        <v/>
      </c>
      <c r="CX108" s="206">
        <f>SUMIFS(領用表!$L:$L,領用表!$E:$E,$B108,領用表!$B:$B,$CS$2&amp;CX$2)</f>
        <v/>
      </c>
      <c r="CY108" s="208">
        <f>SUMIFS(領用表!$L:$L,領用表!$A:$A,CY$2,領用表!$E:$E,B108)</f>
        <v/>
      </c>
      <c r="CZ108" s="206">
        <f>SUMIFS(領用表!$L:$L,領用表!$E:$E,$B108,領用表!$B:$B,CY$2&amp;CZ$2)</f>
        <v/>
      </c>
      <c r="DA108" s="206">
        <f>SUMIFS(領用表!$L:$L,領用表!$E:$E,$B108,領用表!$B:$B,$CY$2&amp;DA$2)</f>
        <v/>
      </c>
      <c r="DB108" s="206">
        <f>SUMIFS(領用表!$L:$L,領用表!$E:$E,$B108,領用表!$B:$B,$CY$2&amp;DB$2)</f>
        <v/>
      </c>
      <c r="DC108" s="206">
        <f>SUMIFS(領用表!$L:$L,領用表!$E:$E,$B108,領用表!$B:$B,$CY$2&amp;DC$2)</f>
        <v/>
      </c>
      <c r="DD108" s="206">
        <f>SUMIFS(領用表!$L:$L,領用表!$E:$E,$B108,領用表!$B:$B,$CY$2&amp;DD$2)</f>
        <v/>
      </c>
      <c r="DE108" s="208">
        <f>SUMIFS(領用表!$L:$L,領用表!$A:$A,DE$2,領用表!$E:$E,B108)</f>
        <v/>
      </c>
      <c r="DF108" s="206">
        <f>SUMIFS(領用表!$L:$L,領用表!$E:$E,$B108,領用表!$B:$B,DE$2&amp;DF$2)</f>
        <v/>
      </c>
      <c r="DG108" s="206">
        <f>SUMIFS(領用表!$L:$L,領用表!$E:$E,$B108,領用表!$B:$B,$DE$2&amp;DG$2)</f>
        <v/>
      </c>
      <c r="DH108" s="206">
        <f>SUMIFS(領用表!$L:$L,領用表!$E:$E,$B108,領用表!$B:$B,$DE$2&amp;DH$2)</f>
        <v/>
      </c>
      <c r="DI108" s="206">
        <f>SUMIFS(領用表!$L:$L,領用表!$E:$E,$B108,領用表!$B:$B,$DE$2&amp;DI$2)</f>
        <v/>
      </c>
      <c r="DJ108" s="206">
        <f>SUMIFS(領用表!$L:$L,領用表!$E:$E,$B108,領用表!$B:$B,$DE$2&amp;DJ$2)</f>
        <v/>
      </c>
      <c r="DK108" s="208">
        <f>SUMIFS(領用表!$L:$L,領用表!$A:$A,DK$2,領用表!$E:$E,$B108)</f>
        <v/>
      </c>
      <c r="DL108" s="206">
        <f>SUMIFS(領用表!$L:$L,領用表!$E:$E,$B108,領用表!$B:$B,DK$2&amp;DL$2)</f>
        <v/>
      </c>
      <c r="DM108" s="206">
        <f>SUMIFS(領用表!$L:$L,領用表!$E:$E,$B108,領用表!$B:$B,$DK$2&amp;DM$2)</f>
        <v/>
      </c>
      <c r="DN108" s="206">
        <f>SUMIFS(領用表!$L:$L,領用表!$E:$E,$B108,領用表!$B:$B,$DK$2&amp;DN$2)</f>
        <v/>
      </c>
      <c r="DO108" s="206">
        <f>SUMIFS(領用表!$L:$L,領用表!$E:$E,$B108,領用表!$B:$B,$DK$2&amp;DO$2)</f>
        <v/>
      </c>
      <c r="DP108" s="206">
        <f>SUMIFS(領用表!$L:$L,領用表!$E:$E,$B108,領用表!$B:$B,$DK$2&amp;DP$2)</f>
        <v/>
      </c>
      <c r="DQ108" s="208" t="n">
        <v>177</v>
      </c>
      <c r="DR108" s="206" t="n">
        <v>5</v>
      </c>
      <c r="DS108" s="206" t="n">
        <v>59</v>
      </c>
      <c r="DT108" s="206" t="n">
        <v>15</v>
      </c>
      <c r="DU108" s="206" t="n">
        <v>97</v>
      </c>
      <c r="DV108" s="206" t="n">
        <v>1</v>
      </c>
      <c r="DW108" s="206">
        <f>SUM(CN108,CS108,CY108,DE108,DK108,DQ108)</f>
        <v/>
      </c>
      <c r="DX108" s="206">
        <f>AVERAGEA(CN108,CS108,CY108,DE108,DK108,DQ108)</f>
        <v/>
      </c>
      <c r="DY108" s="206">
        <f>SUM(DZ108:EC108)</f>
        <v/>
      </c>
      <c r="DZ108" s="206" t="n">
        <v>0</v>
      </c>
      <c r="EA108" s="206" t="n">
        <v>0</v>
      </c>
      <c r="EB108" s="206" t="n">
        <v>0</v>
      </c>
      <c r="EC108" s="206" t="n">
        <v>0</v>
      </c>
      <c r="ED108" s="258" t="n">
        <v>20</v>
      </c>
      <c r="EE108" s="283" t="n"/>
      <c r="EF108" s="283" t="inlineStr">
        <is>
          <t>300-10/22</t>
        </is>
      </c>
      <c r="EG108" s="283" t="inlineStr">
        <is>
          <t>400-10/22</t>
        </is>
      </c>
      <c r="EH108" s="136" t="n"/>
      <c r="EI108" s="289" t="n"/>
      <c r="EJ108" s="118">
        <f>IFERROR(VLOOKUP(A108,站前4樓!A:BF,57,0),0)</f>
        <v/>
      </c>
      <c r="EK108" s="213">
        <f>IFERROR(VLOOKUP(A108,站前11樓!A:BE,57,0),0)</f>
        <v/>
      </c>
      <c r="EL108" s="118">
        <f>IFERROR(VLOOKUP(A108,忠孝7樓!A:N,57,0),0)</f>
        <v/>
      </c>
      <c r="EM108" s="118">
        <f>IFERROR(VLOOKUP(A108,忠孝國際醫學3樓!A:L,57,0),0)</f>
        <v/>
      </c>
      <c r="EN108" s="118">
        <f>SUM(ED108:EG108)</f>
        <v/>
      </c>
    </row>
    <row r="109" ht="15.75" customFormat="1" customHeight="1" s="118" thickBot="1">
      <c r="A109" s="306" t="inlineStr">
        <is>
          <t>MB3ME090012A</t>
        </is>
      </c>
      <c r="B109" s="118" t="n">
        <v>6120009</v>
      </c>
      <c r="C109" s="136" t="inlineStr">
        <is>
          <t>B1 硫胺明 2ml</t>
        </is>
      </c>
      <c r="D109" s="285" t="n">
        <v>100</v>
      </c>
      <c r="E109" s="198" t="inlineStr">
        <is>
          <t>PCS</t>
        </is>
      </c>
      <c r="F109" s="225">
        <f>SUMIF(站前4樓!B:B,B109,站前4樓!F:F)</f>
        <v/>
      </c>
      <c r="G109" s="225">
        <f>SUMIF(站前11樓!B:B,B109,站前11樓!F:F)</f>
        <v/>
      </c>
      <c r="H109" s="225">
        <f>SUMIF(忠孝7樓!B:B,B109,忠孝7樓!G:G)</f>
        <v/>
      </c>
      <c r="I109" s="225">
        <f>SUMIF(忠孝國際醫學3樓!B:B,B109,忠孝國際醫學3樓!G:G)</f>
        <v/>
      </c>
      <c r="J109" s="225">
        <f>SUMIF(忠孝健康7樓!B:B,B109,忠孝健康7樓!G:G)</f>
        <v/>
      </c>
      <c r="K109" s="283" t="n"/>
      <c r="L109" s="283" t="n"/>
      <c r="M109" s="283" t="n"/>
      <c r="N109" s="283" t="n"/>
      <c r="O109" s="283" t="n"/>
      <c r="P109" s="283" t="n"/>
      <c r="Q109" s="283" t="n"/>
      <c r="R109" s="283" t="n"/>
      <c r="S109" s="283" t="n"/>
      <c r="T109" s="283" t="n"/>
      <c r="U109" s="283" t="n"/>
      <c r="V109" s="283" t="n"/>
      <c r="W109" s="283" t="n"/>
      <c r="X109" s="283" t="n"/>
      <c r="Y109" s="283" t="n"/>
      <c r="Z109" s="283" t="n"/>
      <c r="AA109" s="283" t="n"/>
      <c r="AB109" s="283" t="n"/>
      <c r="AC109" s="283" t="n"/>
      <c r="AD109" s="283" t="n"/>
      <c r="AE109" s="283" t="n"/>
      <c r="AF109" s="283" t="n"/>
      <c r="AG109" s="283" t="n"/>
      <c r="AH109" s="283" t="n"/>
      <c r="AI109" s="283" t="n"/>
      <c r="AJ109" s="201" t="n"/>
      <c r="AK109" s="201" t="n"/>
      <c r="AL109" s="201" t="n"/>
      <c r="AM109" s="201" t="n"/>
      <c r="AN109" s="201" t="n"/>
      <c r="AO109" s="201" t="n"/>
      <c r="AP109" s="201" t="n"/>
      <c r="AQ109" s="201" t="n">
        <v>0</v>
      </c>
      <c r="AR109" s="201" t="n">
        <v>0</v>
      </c>
      <c r="AS109" s="201" t="n">
        <v>0</v>
      </c>
      <c r="AT109" s="201" t="n">
        <v>0</v>
      </c>
      <c r="AU109" s="201" t="n">
        <v>0</v>
      </c>
      <c r="AV109" s="283">
        <f>SUM(AJ109:AU109)</f>
        <v/>
      </c>
      <c r="AW109" s="286">
        <f>AV109/12</f>
        <v/>
      </c>
      <c r="AX109" s="201" t="n">
        <v>0</v>
      </c>
      <c r="AY109" s="201" t="n">
        <v>0</v>
      </c>
      <c r="AZ109" s="201" t="n">
        <v>10</v>
      </c>
      <c r="BA109" s="201" t="n">
        <v>9</v>
      </c>
      <c r="BB109" s="201">
        <f>0+2</f>
        <v/>
      </c>
      <c r="BC109" s="203">
        <f>SUMIFS(領用表!$L:$L,領用表!$A:$A,BC$2,領用表!$E:$E,B109)</f>
        <v/>
      </c>
      <c r="BD109" s="287">
        <f>SUMIFS(領用表!$L:$L,領用表!$E:$E,$B109,領用表!$B:$B,BC$2&amp;BD$2)</f>
        <v/>
      </c>
      <c r="BE109" s="287">
        <f>SUMIFS(領用表!$L:$L,領用表!$E:$E,$B109,領用表!$B:$B,$BC$2&amp;BE$2)</f>
        <v/>
      </c>
      <c r="BF109" s="287">
        <f>SUMIFS(領用表!$L:$L,領用表!$E:$E,$B109,領用表!$B:$B,$BC$2&amp;BF$2)</f>
        <v/>
      </c>
      <c r="BG109" s="206">
        <f>SUMIFS(領用表!$L:$L,領用表!$E:$E,$B109,領用表!$B:$B,$BC$2&amp;BG$2)</f>
        <v/>
      </c>
      <c r="BH109" s="203">
        <f>SUMIFS(領用表!$L:$L,領用表!$A:$A,BH$2,領用表!$E:$E,B109)</f>
        <v/>
      </c>
      <c r="BI109" s="260">
        <f>SUMIFS(領用表!$L:$L,領用表!$E:$E,$B109,領用表!$B:$B,BH$2&amp;BI$2)</f>
        <v/>
      </c>
      <c r="BJ109" s="260">
        <f>SUMIFS(領用表!$L:$L,領用表!$E:$E,$B109,領用表!$B:$B,$BH$2&amp;BJ$2)</f>
        <v/>
      </c>
      <c r="BK109" s="260">
        <f>SUMIFS(領用表!$L:$L,領用表!$E:$E,$B109,領用表!$B:$B,$BH$2&amp;BK$2)</f>
        <v/>
      </c>
      <c r="BL109" s="260">
        <f>SUMIFS(領用表!$L:$L,領用表!$E:$E,$B109,領用表!$B:$B,$BH$2&amp;BL$2)</f>
        <v/>
      </c>
      <c r="BM109" s="203">
        <f>SUMIFS(領用表!$L:$L,領用表!$A:$A,BM$2,領用表!$E:$E,B109)</f>
        <v/>
      </c>
      <c r="BN109" s="206">
        <f>SUMIFS(領用表!$L:$L,領用表!$E:$E,$B109,領用表!$B:$B,BM$2&amp;BN$2)</f>
        <v/>
      </c>
      <c r="BO109" s="206">
        <f>SUMIFS(領用表!$L:$L,領用表!$E:$E,$B109,領用表!$B:$B,$BM$2&amp;BO$2)</f>
        <v/>
      </c>
      <c r="BP109" s="288">
        <f>SUMIFS(領用表!$L:$L,領用表!$E:$E,$B109,領用表!$B:$B,$BM$2&amp;BP$2)</f>
        <v/>
      </c>
      <c r="BQ109" s="287">
        <f>SUMIFS(領用表!$L:$L,領用表!$E:$E,$B109,領用表!$B:$B,$BM$2&amp;BQ$2)</f>
        <v/>
      </c>
      <c r="BR109" s="203">
        <f>SUMIFS(領用表!$L:$L,領用表!$A:$A,BR$2,領用表!$E:$E,B109)</f>
        <v/>
      </c>
      <c r="BS109" s="288">
        <f>SUMIFS(領用表!$L:$L,領用表!$E:$E,$B109,領用表!$B:$B,BR$2&amp;BS$2)</f>
        <v/>
      </c>
      <c r="BT109" s="288">
        <f>SUMIFS(領用表!$L:$L,領用表!$E:$E,$B109,領用表!$B:$B,$BR$2&amp;BT$2)</f>
        <v/>
      </c>
      <c r="BU109" s="288">
        <f>SUMIFS(領用表!$L:$L,領用表!$E:$E,$B109,領用表!$B:$B,$BR$2&amp;BU$2)</f>
        <v/>
      </c>
      <c r="BV109" s="287">
        <f>SUMIFS(領用表!$L:$L,領用表!$E:$E,$B109,領用表!$B:$B,$BR$2&amp;BV$2)</f>
        <v/>
      </c>
      <c r="BW109" s="208">
        <f>SUMIFS(領用表!$L:$L,領用表!$A:$A,BW$2,領用表!$E:$E,B109)</f>
        <v/>
      </c>
      <c r="BX109" s="206">
        <f>SUMIFS(領用表!$L:$L,領用表!$E:$E,$B109,領用表!$B:$B,BW$2&amp;BX$2)</f>
        <v/>
      </c>
      <c r="BY109" s="206">
        <f>SUMIFS(領用表!$L:$L,領用表!$E:$E,$B109,領用表!$B:$B,$BW$2&amp;BY$2)</f>
        <v/>
      </c>
      <c r="BZ109" s="206">
        <f>SUMIFS(領用表!$L:$L,領用表!$E:$E,$B109,領用表!$B:$B,$BW$2&amp;BZ$2)</f>
        <v/>
      </c>
      <c r="CA109" s="206">
        <f>SUMIFS(領用表!$L:$L,領用表!$E:$E,$B109,領用表!$B:$B,$BW$2&amp;CA$2)</f>
        <v/>
      </c>
      <c r="CB109" s="208">
        <f>SUMIFS(領用表!$L:$L,領用表!$A:$A,CB$2,領用表!$E:$E,B109)</f>
        <v/>
      </c>
      <c r="CC109" s="206">
        <f>SUMIFS(領用表!$L:$L,領用表!$E:$E,$B109,領用表!$B:$B,CB$2&amp;CC$2)</f>
        <v/>
      </c>
      <c r="CD109" s="206">
        <f>SUMIFS(領用表!$L:$L,領用表!$E:$E,$B109,領用表!$B:$B,$CB$2&amp;CD$2)</f>
        <v/>
      </c>
      <c r="CE109" s="206">
        <f>SUMIFS(領用表!$L:$L,領用表!$E:$E,$B109,領用表!$B:$B,$CB$2&amp;CE$2)</f>
        <v/>
      </c>
      <c r="CF109" s="206">
        <f>SUMIFS(領用表!$L:$L,領用表!$E:$E,$B109,領用表!$B:$B,$CB$2&amp;CF$2)</f>
        <v/>
      </c>
      <c r="CG109" s="208">
        <f>SUMIFS(領用表!$L:$L,領用表!$A:$A,CG$2,領用表!$E:$E,B109)</f>
        <v/>
      </c>
      <c r="CH109" s="206">
        <f>SUMIFS(領用表!$L:$L,領用表!$E:$E,$B109,領用表!$B:$B,CG$2&amp;CH$2)</f>
        <v/>
      </c>
      <c r="CI109" s="206">
        <f>SUMIFS(領用表!$L:$L,領用表!$E:$E,$B109,領用表!$B:$B,CG$2&amp;CI$2)</f>
        <v/>
      </c>
      <c r="CJ109" s="206">
        <f>SUMIFS(領用表!$L:$L,領用表!$E:$E,$B109,領用表!$B:$B,CG$2&amp;CJ$2)</f>
        <v/>
      </c>
      <c r="CK109" s="206">
        <f>SUMIFS(領用表!$L:$L,領用表!$E:$E,$B109,領用表!$B:$B,$CG$2&amp;CK$2)</f>
        <v/>
      </c>
      <c r="CL109" s="207">
        <f>SUM(AX109,AY109,AZ109,BA109,BB109,BC109,BH109,BM109,BR109,BW109,CB109,CG109)</f>
        <v/>
      </c>
      <c r="CM109" s="207">
        <f>AVERAGE(AX109,AY109,AZ109,BA109,BB109,BC109,BH109,BM109,BR109,BW109,CB109,CG109)</f>
        <v/>
      </c>
      <c r="CN109" s="208">
        <f>SUMIFS(領用表!$L:$L,領用表!$A:$A,CN$2,領用表!$E:$E,B109)</f>
        <v/>
      </c>
      <c r="CO109" s="206">
        <f>SUMIFS(領用表!$L:$L,領用表!$E:$E,$B109,領用表!$B:$B,CN$2&amp;CO$2)</f>
        <v/>
      </c>
      <c r="CP109" s="206">
        <f>SUMIFS(領用表!$L:$L,領用表!$E:$E,$B109,領用表!$B:$B,$CN$2&amp;CP$2)</f>
        <v/>
      </c>
      <c r="CQ109" s="206">
        <f>SUMIFS(領用表!$L:$L,領用表!$E:$E,$B109,領用表!$B:$B,$CN$2&amp;CQ$2)</f>
        <v/>
      </c>
      <c r="CR109" s="206">
        <f>SUMIFS(領用表!$L:$L,領用表!$E:$E,$B109,領用表!$B:$B,$CN$2&amp;CR$2)</f>
        <v/>
      </c>
      <c r="CS109" s="208">
        <f>SUMIFS(領用表!$L:$L,領用表!$A:$A,CS$2,領用表!$E:$E,B109)</f>
        <v/>
      </c>
      <c r="CT109" s="206">
        <f>SUMIFS(領用表!$L:$L,領用表!$E:$E,$B109,領用表!$B:$B,CS$2&amp;CT$2)</f>
        <v/>
      </c>
      <c r="CU109" s="206">
        <f>SUMIFS(領用表!$L:$L,領用表!$E:$E,$B109,領用表!$B:$B,$CS$2&amp;CU$2)</f>
        <v/>
      </c>
      <c r="CV109" s="206">
        <f>SUMIFS(領用表!$L:$L,領用表!$E:$E,$B109,領用表!$B:$B,$CS$2&amp;CV$2)</f>
        <v/>
      </c>
      <c r="CW109" s="206">
        <f>SUMIFS(領用表!$L:$L,領用表!$E:$E,$B109,領用表!$B:$B,$CS$2&amp;CW$2)</f>
        <v/>
      </c>
      <c r="CX109" s="206">
        <f>SUMIFS(領用表!$L:$L,領用表!$E:$E,$B109,領用表!$B:$B,$CS$2&amp;CX$2)</f>
        <v/>
      </c>
      <c r="CY109" s="208">
        <f>SUMIFS(領用表!$L:$L,領用表!$A:$A,CY$2,領用表!$E:$E,B109)</f>
        <v/>
      </c>
      <c r="CZ109" s="206">
        <f>SUMIFS(領用表!$L:$L,領用表!$E:$E,$B109,領用表!$B:$B,CY$2&amp;CZ$2)</f>
        <v/>
      </c>
      <c r="DA109" s="206">
        <f>SUMIFS(領用表!$L:$L,領用表!$E:$E,$B109,領用表!$B:$B,$CY$2&amp;DA$2)</f>
        <v/>
      </c>
      <c r="DB109" s="206">
        <f>SUMIFS(領用表!$L:$L,領用表!$E:$E,$B109,領用表!$B:$B,$CY$2&amp;DB$2)</f>
        <v/>
      </c>
      <c r="DC109" s="206">
        <f>SUMIFS(領用表!$L:$L,領用表!$E:$E,$B109,領用表!$B:$B,$CY$2&amp;DC$2)</f>
        <v/>
      </c>
      <c r="DD109" s="206">
        <f>SUMIFS(領用表!$L:$L,領用表!$E:$E,$B109,領用表!$B:$B,$CY$2&amp;DD$2)</f>
        <v/>
      </c>
      <c r="DE109" s="208">
        <f>SUMIFS(領用表!$L:$L,領用表!$A:$A,DE$2,領用表!$E:$E,B109)</f>
        <v/>
      </c>
      <c r="DF109" s="206">
        <f>SUMIFS(領用表!$L:$L,領用表!$E:$E,$B109,領用表!$B:$B,DE$2&amp;DF$2)</f>
        <v/>
      </c>
      <c r="DG109" s="206">
        <f>SUMIFS(領用表!$L:$L,領用表!$E:$E,$B109,領用表!$B:$B,$DE$2&amp;DG$2)</f>
        <v/>
      </c>
      <c r="DH109" s="206">
        <f>SUMIFS(領用表!$L:$L,領用表!$E:$E,$B109,領用表!$B:$B,$DE$2&amp;DH$2)</f>
        <v/>
      </c>
      <c r="DI109" s="206">
        <f>SUMIFS(領用表!$L:$L,領用表!$E:$E,$B109,領用表!$B:$B,$DE$2&amp;DI$2)</f>
        <v/>
      </c>
      <c r="DJ109" s="206">
        <f>SUMIFS(領用表!$L:$L,領用表!$E:$E,$B109,領用表!$B:$B,$DE$2&amp;DJ$2)</f>
        <v/>
      </c>
      <c r="DK109" s="208">
        <f>SUMIFS(領用表!$L:$L,領用表!$A:$A,DK$2,領用表!$E:$E,$B109)</f>
        <v/>
      </c>
      <c r="DL109" s="206">
        <f>SUMIFS(領用表!$L:$L,領用表!$E:$E,$B109,領用表!$B:$B,DK$2&amp;DL$2)</f>
        <v/>
      </c>
      <c r="DM109" s="206">
        <f>SUMIFS(領用表!$L:$L,領用表!$E:$E,$B109,領用表!$B:$B,$DK$2&amp;DM$2)</f>
        <v/>
      </c>
      <c r="DN109" s="206">
        <f>SUMIFS(領用表!$L:$L,領用表!$E:$E,$B109,領用表!$B:$B,$DK$2&amp;DN$2)</f>
        <v/>
      </c>
      <c r="DO109" s="206">
        <f>SUMIFS(領用表!$L:$L,領用表!$E:$E,$B109,領用表!$B:$B,$DK$2&amp;DO$2)</f>
        <v/>
      </c>
      <c r="DP109" s="206">
        <f>SUMIFS(領用表!$L:$L,領用表!$E:$E,$B109,領用表!$B:$B,$DK$2&amp;DP$2)</f>
        <v/>
      </c>
      <c r="DQ109" s="208" t="n">
        <v>7</v>
      </c>
      <c r="DR109" s="206" t="n"/>
      <c r="DS109" s="206" t="n">
        <v>5</v>
      </c>
      <c r="DT109" s="206" t="n"/>
      <c r="DU109" s="206" t="n">
        <v>2</v>
      </c>
      <c r="DV109" s="206" t="n"/>
      <c r="DW109" s="206">
        <f>SUM(CN109,CS109,CY109,DE109,DK109,DQ109)</f>
        <v/>
      </c>
      <c r="DX109" s="206">
        <f>AVERAGEA(CN109,CS109,CY109,DE109,DK109,DQ109)</f>
        <v/>
      </c>
      <c r="DY109" s="206">
        <f>SUM(DZ109:EC109)</f>
        <v/>
      </c>
      <c r="DZ109" s="206" t="n">
        <v>0</v>
      </c>
      <c r="EA109" s="206" t="n">
        <v>0</v>
      </c>
      <c r="EB109" s="206" t="n">
        <v>0</v>
      </c>
      <c r="EC109" s="206" t="n">
        <v>0</v>
      </c>
      <c r="ED109" s="258" t="n">
        <v>20</v>
      </c>
      <c r="EE109" s="283" t="n"/>
      <c r="EF109" s="283" t="n"/>
      <c r="EG109" s="283" t="n"/>
      <c r="EH109" s="136" t="n"/>
      <c r="EI109" s="289" t="n"/>
      <c r="EJ109" s="118">
        <f>IFERROR(VLOOKUP(A109,站前4樓!A:BF,57,0),0)</f>
        <v/>
      </c>
      <c r="EK109" s="213">
        <f>IFERROR(VLOOKUP(A109,站前11樓!A:BE,57,0),0)</f>
        <v/>
      </c>
      <c r="EL109" s="118">
        <f>IFERROR(VLOOKUP(A109,忠孝7樓!A:N,57,0),0)</f>
        <v/>
      </c>
      <c r="EM109" s="118">
        <f>IFERROR(VLOOKUP(A109,忠孝國際醫學3樓!A:L,57,0),0)</f>
        <v/>
      </c>
      <c r="EN109" s="118">
        <f>SUM(ED109:EG109)</f>
        <v/>
      </c>
    </row>
    <row r="110" ht="15.75" customFormat="1" customHeight="1" s="118" thickBot="1">
      <c r="A110" s="306" t="inlineStr">
        <is>
          <t>MB3ME090013A</t>
        </is>
      </c>
      <c r="B110" s="118" t="n">
        <v>6120010</v>
      </c>
      <c r="C110" s="136" t="inlineStr">
        <is>
          <t>B6 維他命乙6注射液 5毫克/毫升 2ml</t>
        </is>
      </c>
      <c r="D110" s="285" t="n">
        <v>100</v>
      </c>
      <c r="E110" s="198" t="inlineStr">
        <is>
          <t>PCS</t>
        </is>
      </c>
      <c r="F110" s="225">
        <f>SUMIF(站前4樓!B:B,B110,站前4樓!F:F)</f>
        <v/>
      </c>
      <c r="G110" s="225">
        <f>SUMIF(站前11樓!B:B,B110,站前11樓!F:F)</f>
        <v/>
      </c>
      <c r="H110" s="225">
        <f>SUMIF(忠孝7樓!B:B,B110,忠孝7樓!G:G)</f>
        <v/>
      </c>
      <c r="I110" s="225">
        <f>SUMIF(忠孝國際醫學3樓!B:B,B110,忠孝國際醫學3樓!G:G)</f>
        <v/>
      </c>
      <c r="J110" s="225">
        <f>SUMIF(忠孝健康7樓!B:B,B110,忠孝健康7樓!G:G)</f>
        <v/>
      </c>
      <c r="K110" s="283" t="n"/>
      <c r="L110" s="283" t="n"/>
      <c r="M110" s="283" t="n"/>
      <c r="N110" s="283" t="n"/>
      <c r="O110" s="283" t="n"/>
      <c r="P110" s="283" t="n"/>
      <c r="Q110" s="283" t="n"/>
      <c r="R110" s="283" t="n"/>
      <c r="S110" s="283" t="n"/>
      <c r="T110" s="283" t="n"/>
      <c r="U110" s="283" t="n"/>
      <c r="V110" s="283" t="n"/>
      <c r="W110" s="283" t="n"/>
      <c r="X110" s="283" t="n"/>
      <c r="Y110" s="283" t="n"/>
      <c r="Z110" s="283" t="n"/>
      <c r="AA110" s="283" t="n"/>
      <c r="AB110" s="283" t="n"/>
      <c r="AC110" s="283" t="n"/>
      <c r="AD110" s="283" t="n"/>
      <c r="AE110" s="283" t="n"/>
      <c r="AF110" s="283" t="n"/>
      <c r="AG110" s="283" t="n"/>
      <c r="AH110" s="283" t="n"/>
      <c r="AI110" s="283" t="n"/>
      <c r="AJ110" s="201" t="n"/>
      <c r="AK110" s="201" t="n"/>
      <c r="AL110" s="201" t="n"/>
      <c r="AM110" s="201" t="n"/>
      <c r="AN110" s="201" t="n"/>
      <c r="AO110" s="201" t="n"/>
      <c r="AP110" s="201" t="n"/>
      <c r="AQ110" s="201" t="n">
        <v>0</v>
      </c>
      <c r="AR110" s="201" t="n">
        <v>0</v>
      </c>
      <c r="AS110" s="201" t="n">
        <v>0</v>
      </c>
      <c r="AT110" s="201" t="n">
        <v>0</v>
      </c>
      <c r="AU110" s="201" t="n">
        <v>0</v>
      </c>
      <c r="AV110" s="283">
        <f>SUM(AJ110:AU110)</f>
        <v/>
      </c>
      <c r="AW110" s="286">
        <f>AV110/12</f>
        <v/>
      </c>
      <c r="AX110" s="201" t="n">
        <v>0</v>
      </c>
      <c r="AY110" s="201" t="n">
        <v>0</v>
      </c>
      <c r="AZ110" s="201" t="n">
        <v>10</v>
      </c>
      <c r="BA110" s="201" t="n">
        <v>9</v>
      </c>
      <c r="BB110" s="201">
        <f>0+2</f>
        <v/>
      </c>
      <c r="BC110" s="203">
        <f>SUMIFS(領用表!$L:$L,領用表!$A:$A,BC$2,領用表!$E:$E,B110)</f>
        <v/>
      </c>
      <c r="BD110" s="287">
        <f>SUMIFS(領用表!$L:$L,領用表!$E:$E,$B110,領用表!$B:$B,BC$2&amp;BD$2)</f>
        <v/>
      </c>
      <c r="BE110" s="287">
        <f>SUMIFS(領用表!$L:$L,領用表!$E:$E,$B110,領用表!$B:$B,$BC$2&amp;BE$2)</f>
        <v/>
      </c>
      <c r="BF110" s="287">
        <f>SUMIFS(領用表!$L:$L,領用表!$E:$E,$B110,領用表!$B:$B,$BC$2&amp;BF$2)</f>
        <v/>
      </c>
      <c r="BG110" s="206">
        <f>SUMIFS(領用表!$L:$L,領用表!$E:$E,$B110,領用表!$B:$B,$BC$2&amp;BG$2)</f>
        <v/>
      </c>
      <c r="BH110" s="203">
        <f>SUMIFS(領用表!$L:$L,領用表!$A:$A,BH$2,領用表!$E:$E,B110)</f>
        <v/>
      </c>
      <c r="BI110" s="260">
        <f>SUMIFS(領用表!$L:$L,領用表!$E:$E,$B110,領用表!$B:$B,BH$2&amp;BI$2)</f>
        <v/>
      </c>
      <c r="BJ110" s="260">
        <f>SUMIFS(領用表!$L:$L,領用表!$E:$E,$B110,領用表!$B:$B,$BH$2&amp;BJ$2)</f>
        <v/>
      </c>
      <c r="BK110" s="260">
        <f>SUMIFS(領用表!$L:$L,領用表!$E:$E,$B110,領用表!$B:$B,$BH$2&amp;BK$2)</f>
        <v/>
      </c>
      <c r="BL110" s="260">
        <f>SUMIFS(領用表!$L:$L,領用表!$E:$E,$B110,領用表!$B:$B,$BH$2&amp;BL$2)</f>
        <v/>
      </c>
      <c r="BM110" s="203">
        <f>SUMIFS(領用表!$L:$L,領用表!$A:$A,BM$2,領用表!$E:$E,B110)</f>
        <v/>
      </c>
      <c r="BN110" s="206">
        <f>SUMIFS(領用表!$L:$L,領用表!$E:$E,$B110,領用表!$B:$B,BM$2&amp;BN$2)</f>
        <v/>
      </c>
      <c r="BO110" s="206">
        <f>SUMIFS(領用表!$L:$L,領用表!$E:$E,$B110,領用表!$B:$B,$BM$2&amp;BO$2)</f>
        <v/>
      </c>
      <c r="BP110" s="288">
        <f>SUMIFS(領用表!$L:$L,領用表!$E:$E,$B110,領用表!$B:$B,$BM$2&amp;BP$2)</f>
        <v/>
      </c>
      <c r="BQ110" s="287">
        <f>SUMIFS(領用表!$L:$L,領用表!$E:$E,$B110,領用表!$B:$B,$BM$2&amp;BQ$2)</f>
        <v/>
      </c>
      <c r="BR110" s="203">
        <f>SUMIFS(領用表!$L:$L,領用表!$A:$A,BR$2,領用表!$E:$E,B110)</f>
        <v/>
      </c>
      <c r="BS110" s="288">
        <f>SUMIFS(領用表!$L:$L,領用表!$E:$E,$B110,領用表!$B:$B,BR$2&amp;BS$2)</f>
        <v/>
      </c>
      <c r="BT110" s="288">
        <f>SUMIFS(領用表!$L:$L,領用表!$E:$E,$B110,領用表!$B:$B,$BR$2&amp;BT$2)</f>
        <v/>
      </c>
      <c r="BU110" s="288">
        <f>SUMIFS(領用表!$L:$L,領用表!$E:$E,$B110,領用表!$B:$B,$BR$2&amp;BU$2)</f>
        <v/>
      </c>
      <c r="BV110" s="287">
        <f>SUMIFS(領用表!$L:$L,領用表!$E:$E,$B110,領用表!$B:$B,$BR$2&amp;BV$2)</f>
        <v/>
      </c>
      <c r="BW110" s="208">
        <f>SUMIFS(領用表!$L:$L,領用表!$A:$A,BW$2,領用表!$E:$E,B110)</f>
        <v/>
      </c>
      <c r="BX110" s="206">
        <f>SUMIFS(領用表!$L:$L,領用表!$E:$E,$B110,領用表!$B:$B,BW$2&amp;BX$2)</f>
        <v/>
      </c>
      <c r="BY110" s="206">
        <f>SUMIFS(領用表!$L:$L,領用表!$E:$E,$B110,領用表!$B:$B,$BW$2&amp;BY$2)</f>
        <v/>
      </c>
      <c r="BZ110" s="206">
        <f>SUMIFS(領用表!$L:$L,領用表!$E:$E,$B110,領用表!$B:$B,$BW$2&amp;BZ$2)</f>
        <v/>
      </c>
      <c r="CA110" s="206">
        <f>SUMIFS(領用表!$L:$L,領用表!$E:$E,$B110,領用表!$B:$B,$BW$2&amp;CA$2)</f>
        <v/>
      </c>
      <c r="CB110" s="208">
        <f>SUMIFS(領用表!$L:$L,領用表!$A:$A,CB$2,領用表!$E:$E,B110)</f>
        <v/>
      </c>
      <c r="CC110" s="206">
        <f>SUMIFS(領用表!$L:$L,領用表!$E:$E,$B110,領用表!$B:$B,CB$2&amp;CC$2)</f>
        <v/>
      </c>
      <c r="CD110" s="206">
        <f>SUMIFS(領用表!$L:$L,領用表!$E:$E,$B110,領用表!$B:$B,$CB$2&amp;CD$2)</f>
        <v/>
      </c>
      <c r="CE110" s="206">
        <f>SUMIFS(領用表!$L:$L,領用表!$E:$E,$B110,領用表!$B:$B,$CB$2&amp;CE$2)</f>
        <v/>
      </c>
      <c r="CF110" s="206">
        <f>SUMIFS(領用表!$L:$L,領用表!$E:$E,$B110,領用表!$B:$B,$CB$2&amp;CF$2)</f>
        <v/>
      </c>
      <c r="CG110" s="208">
        <f>SUMIFS(領用表!$L:$L,領用表!$A:$A,CG$2,領用表!$E:$E,B110)</f>
        <v/>
      </c>
      <c r="CH110" s="206">
        <f>SUMIFS(領用表!$L:$L,領用表!$E:$E,$B110,領用表!$B:$B,CG$2&amp;CH$2)</f>
        <v/>
      </c>
      <c r="CI110" s="206">
        <f>SUMIFS(領用表!$L:$L,領用表!$E:$E,$B110,領用表!$B:$B,CG$2&amp;CI$2)</f>
        <v/>
      </c>
      <c r="CJ110" s="206">
        <f>SUMIFS(領用表!$L:$L,領用表!$E:$E,$B110,領用表!$B:$B,CG$2&amp;CJ$2)</f>
        <v/>
      </c>
      <c r="CK110" s="206">
        <f>SUMIFS(領用表!$L:$L,領用表!$E:$E,$B110,領用表!$B:$B,$CG$2&amp;CK$2)</f>
        <v/>
      </c>
      <c r="CL110" s="207">
        <f>SUM(AX110,AY110,AZ110,BA110,BB110,BC110,BH110,BM110,BR110,BW110,CB110,CG110)</f>
        <v/>
      </c>
      <c r="CM110" s="207">
        <f>AVERAGE(AX110,AY110,AZ110,BA110,BB110,BC110,BH110,BM110,BR110,BW110,CB110,CG110)</f>
        <v/>
      </c>
      <c r="CN110" s="208">
        <f>SUMIFS(領用表!$L:$L,領用表!$A:$A,CN$2,領用表!$E:$E,B110)</f>
        <v/>
      </c>
      <c r="CO110" s="206">
        <f>SUMIFS(領用表!$L:$L,領用表!$E:$E,$B110,領用表!$B:$B,CN$2&amp;CO$2)</f>
        <v/>
      </c>
      <c r="CP110" s="206">
        <f>SUMIFS(領用表!$L:$L,領用表!$E:$E,$B110,領用表!$B:$B,$CN$2&amp;CP$2)</f>
        <v/>
      </c>
      <c r="CQ110" s="206">
        <f>SUMIFS(領用表!$L:$L,領用表!$E:$E,$B110,領用表!$B:$B,$CN$2&amp;CQ$2)</f>
        <v/>
      </c>
      <c r="CR110" s="206">
        <f>SUMIFS(領用表!$L:$L,領用表!$E:$E,$B110,領用表!$B:$B,$CN$2&amp;CR$2)</f>
        <v/>
      </c>
      <c r="CS110" s="208">
        <f>SUMIFS(領用表!$L:$L,領用表!$A:$A,CS$2,領用表!$E:$E,B110)</f>
        <v/>
      </c>
      <c r="CT110" s="206">
        <f>SUMIFS(領用表!$L:$L,領用表!$E:$E,$B110,領用表!$B:$B,CS$2&amp;CT$2)</f>
        <v/>
      </c>
      <c r="CU110" s="206">
        <f>SUMIFS(領用表!$L:$L,領用表!$E:$E,$B110,領用表!$B:$B,$CS$2&amp;CU$2)</f>
        <v/>
      </c>
      <c r="CV110" s="206">
        <f>SUMIFS(領用表!$L:$L,領用表!$E:$E,$B110,領用表!$B:$B,$CS$2&amp;CV$2)</f>
        <v/>
      </c>
      <c r="CW110" s="206">
        <f>SUMIFS(領用表!$L:$L,領用表!$E:$E,$B110,領用表!$B:$B,$CS$2&amp;CW$2)</f>
        <v/>
      </c>
      <c r="CX110" s="206">
        <f>SUMIFS(領用表!$L:$L,領用表!$E:$E,$B110,領用表!$B:$B,$CS$2&amp;CX$2)</f>
        <v/>
      </c>
      <c r="CY110" s="208">
        <f>SUMIFS(領用表!$L:$L,領用表!$A:$A,CY$2,領用表!$E:$E,B110)</f>
        <v/>
      </c>
      <c r="CZ110" s="206">
        <f>SUMIFS(領用表!$L:$L,領用表!$E:$E,$B110,領用表!$B:$B,CY$2&amp;CZ$2)</f>
        <v/>
      </c>
      <c r="DA110" s="206">
        <f>SUMIFS(領用表!$L:$L,領用表!$E:$E,$B110,領用表!$B:$B,$CY$2&amp;DA$2)</f>
        <v/>
      </c>
      <c r="DB110" s="206">
        <f>SUMIFS(領用表!$L:$L,領用表!$E:$E,$B110,領用表!$B:$B,$CY$2&amp;DB$2)</f>
        <v/>
      </c>
      <c r="DC110" s="206">
        <f>SUMIFS(領用表!$L:$L,領用表!$E:$E,$B110,領用表!$B:$B,$CY$2&amp;DC$2)</f>
        <v/>
      </c>
      <c r="DD110" s="206">
        <f>SUMIFS(領用表!$L:$L,領用表!$E:$E,$B110,領用表!$B:$B,$CY$2&amp;DD$2)</f>
        <v/>
      </c>
      <c r="DE110" s="208">
        <f>SUMIFS(領用表!$L:$L,領用表!$A:$A,DE$2,領用表!$E:$E,B110)</f>
        <v/>
      </c>
      <c r="DF110" s="206">
        <f>SUMIFS(領用表!$L:$L,領用表!$E:$E,$B110,領用表!$B:$B,DE$2&amp;DF$2)</f>
        <v/>
      </c>
      <c r="DG110" s="206">
        <f>SUMIFS(領用表!$L:$L,領用表!$E:$E,$B110,領用表!$B:$B,$DE$2&amp;DG$2)</f>
        <v/>
      </c>
      <c r="DH110" s="206">
        <f>SUMIFS(領用表!$L:$L,領用表!$E:$E,$B110,領用表!$B:$B,$DE$2&amp;DH$2)</f>
        <v/>
      </c>
      <c r="DI110" s="206">
        <f>SUMIFS(領用表!$L:$L,領用表!$E:$E,$B110,領用表!$B:$B,$DE$2&amp;DI$2)</f>
        <v/>
      </c>
      <c r="DJ110" s="206">
        <f>SUMIFS(領用表!$L:$L,領用表!$E:$E,$B110,領用表!$B:$B,$DE$2&amp;DJ$2)</f>
        <v/>
      </c>
      <c r="DK110" s="208">
        <f>SUMIFS(領用表!$L:$L,領用表!$A:$A,DK$2,領用表!$E:$E,$B110)</f>
        <v/>
      </c>
      <c r="DL110" s="206">
        <f>SUMIFS(領用表!$L:$L,領用表!$E:$E,$B110,領用表!$B:$B,DK$2&amp;DL$2)</f>
        <v/>
      </c>
      <c r="DM110" s="206">
        <f>SUMIFS(領用表!$L:$L,領用表!$E:$E,$B110,領用表!$B:$B,$DK$2&amp;DM$2)</f>
        <v/>
      </c>
      <c r="DN110" s="206">
        <f>SUMIFS(領用表!$L:$L,領用表!$E:$E,$B110,領用表!$B:$B,$DK$2&amp;DN$2)</f>
        <v/>
      </c>
      <c r="DO110" s="206">
        <f>SUMIFS(領用表!$L:$L,領用表!$E:$E,$B110,領用表!$B:$B,$DK$2&amp;DO$2)</f>
        <v/>
      </c>
      <c r="DP110" s="206">
        <f>SUMIFS(領用表!$L:$L,領用表!$E:$E,$B110,領用表!$B:$B,$DK$2&amp;DP$2)</f>
        <v/>
      </c>
      <c r="DQ110" s="208" t="n">
        <v>7</v>
      </c>
      <c r="DR110" s="206" t="n"/>
      <c r="DS110" s="206" t="n">
        <v>5</v>
      </c>
      <c r="DT110" s="206" t="n"/>
      <c r="DU110" s="206" t="n">
        <v>2</v>
      </c>
      <c r="DV110" s="206" t="n"/>
      <c r="DW110" s="206">
        <f>SUM(CN110,CS110,CY110,DE110,DK110,DQ110)</f>
        <v/>
      </c>
      <c r="DX110" s="206">
        <f>AVERAGEA(CN110,CS110,CY110,DE110,DK110,DQ110)</f>
        <v/>
      </c>
      <c r="DY110" s="206">
        <f>SUM(DZ110:EC110)</f>
        <v/>
      </c>
      <c r="DZ110" s="206" t="n">
        <v>0</v>
      </c>
      <c r="EA110" s="206" t="n">
        <v>0</v>
      </c>
      <c r="EB110" s="206" t="n">
        <v>0</v>
      </c>
      <c r="EC110" s="206" t="n">
        <v>0</v>
      </c>
      <c r="ED110" s="258" t="n">
        <v>20</v>
      </c>
      <c r="EE110" s="283" t="n"/>
      <c r="EF110" s="283" t="n"/>
      <c r="EG110" s="283" t="n"/>
      <c r="EH110" s="136" t="n"/>
      <c r="EI110" s="289" t="n"/>
      <c r="EJ110" s="118">
        <f>IFERROR(VLOOKUP(A110,站前4樓!A:BF,57,0),0)</f>
        <v/>
      </c>
      <c r="EK110" s="213">
        <f>IFERROR(VLOOKUP(A110,站前11樓!A:BE,57,0),0)</f>
        <v/>
      </c>
      <c r="EL110" s="118">
        <f>IFERROR(VLOOKUP(A110,忠孝7樓!A:N,57,0),0)</f>
        <v/>
      </c>
      <c r="EM110" s="118">
        <f>IFERROR(VLOOKUP(A110,忠孝國際醫學3樓!A:L,57,0),0)</f>
        <v/>
      </c>
      <c r="EN110" s="118">
        <f>SUM(ED110:EG110)</f>
        <v/>
      </c>
    </row>
    <row r="111" ht="15.75" customFormat="1" customHeight="1" s="118" thickBot="1">
      <c r="A111" s="306" t="inlineStr">
        <is>
          <t>MB3ME090014A</t>
        </is>
      </c>
      <c r="B111" s="118" t="n">
        <v>6120015</v>
      </c>
      <c r="C111" s="136" t="inlineStr">
        <is>
          <t>B群 淘能美 2ml</t>
        </is>
      </c>
      <c r="D111" s="307" t="n"/>
      <c r="E111" s="198" t="inlineStr">
        <is>
          <t>PCS</t>
        </is>
      </c>
      <c r="F111" s="225">
        <f>SUMIF(站前4樓!B:B,B111,站前4樓!F:F)</f>
        <v/>
      </c>
      <c r="G111" s="225">
        <f>SUMIF(站前11樓!B:B,B111,站前11樓!F:F)</f>
        <v/>
      </c>
      <c r="H111" s="225">
        <f>SUMIF(忠孝7樓!B:B,B111,忠孝7樓!G:G)</f>
        <v/>
      </c>
      <c r="I111" s="225">
        <f>SUMIF(忠孝國際醫學3樓!B:B,B111,忠孝國際醫學3樓!G:G)</f>
        <v/>
      </c>
      <c r="J111" s="225">
        <f>SUMIF(忠孝健康7樓!B:B,B111,忠孝健康7樓!G:G)</f>
        <v/>
      </c>
      <c r="K111" s="283" t="n"/>
      <c r="L111" s="283" t="n"/>
      <c r="M111" s="283" t="n"/>
      <c r="N111" s="283" t="n"/>
      <c r="O111" s="283" t="n"/>
      <c r="P111" s="283" t="n"/>
      <c r="Q111" s="283" t="n"/>
      <c r="R111" s="283" t="n"/>
      <c r="S111" s="283" t="n"/>
      <c r="T111" s="283" t="n"/>
      <c r="U111" s="283" t="n"/>
      <c r="V111" s="283" t="n"/>
      <c r="W111" s="283" t="n"/>
      <c r="X111" s="283" t="n"/>
      <c r="Y111" s="283" t="n"/>
      <c r="Z111" s="283" t="n"/>
      <c r="AA111" s="283" t="n"/>
      <c r="AB111" s="283" t="n"/>
      <c r="AC111" s="283" t="n"/>
      <c r="AD111" s="283" t="n"/>
      <c r="AE111" s="283" t="n"/>
      <c r="AF111" s="283" t="n"/>
      <c r="AG111" s="283" t="n"/>
      <c r="AH111" s="283" t="n"/>
      <c r="AI111" s="283" t="n"/>
      <c r="AJ111" s="201" t="n"/>
      <c r="AK111" s="201" t="n"/>
      <c r="AL111" s="201" t="n"/>
      <c r="AM111" s="201" t="n"/>
      <c r="AN111" s="201" t="n"/>
      <c r="AO111" s="201" t="n"/>
      <c r="AP111" s="201" t="n"/>
      <c r="AQ111" s="201" t="n">
        <v>0</v>
      </c>
      <c r="AR111" s="201" t="n">
        <v>0</v>
      </c>
      <c r="AS111" s="201" t="n">
        <v>0</v>
      </c>
      <c r="AT111" s="201" t="n">
        <v>0</v>
      </c>
      <c r="AU111" s="201" t="n">
        <v>0</v>
      </c>
      <c r="AV111" s="283">
        <f>SUM(AJ111:AU111)</f>
        <v/>
      </c>
      <c r="AW111" s="286">
        <f>AV111/12</f>
        <v/>
      </c>
      <c r="AX111" s="201" t="n">
        <v>0</v>
      </c>
      <c r="AY111" s="201" t="n">
        <v>0</v>
      </c>
      <c r="AZ111" s="201" t="n">
        <v>10</v>
      </c>
      <c r="BA111" s="201" t="n">
        <v>32</v>
      </c>
      <c r="BB111" s="201">
        <f>76+7</f>
        <v/>
      </c>
      <c r="BC111" s="203">
        <f>SUMIFS(領用表!$L:$L,領用表!$A:$A,BC$2,領用表!$E:$E,B111)</f>
        <v/>
      </c>
      <c r="BD111" s="287">
        <f>SUMIFS(領用表!$L:$L,領用表!$E:$E,$B111,領用表!$B:$B,BC$2&amp;BD$2)</f>
        <v/>
      </c>
      <c r="BE111" s="287">
        <f>SUMIFS(領用表!$L:$L,領用表!$E:$E,$B111,領用表!$B:$B,$BC$2&amp;BE$2)</f>
        <v/>
      </c>
      <c r="BF111" s="287">
        <f>SUMIFS(領用表!$L:$L,領用表!$E:$E,$B111,領用表!$B:$B,$BC$2&amp;BF$2)</f>
        <v/>
      </c>
      <c r="BG111" s="206">
        <f>SUMIFS(領用表!$L:$L,領用表!$E:$E,$B111,領用表!$B:$B,$BC$2&amp;BG$2)</f>
        <v/>
      </c>
      <c r="BH111" s="203">
        <f>SUMIFS(領用表!$L:$L,領用表!$A:$A,BH$2,領用表!$E:$E,B111)</f>
        <v/>
      </c>
      <c r="BI111" s="260">
        <f>SUMIFS(領用表!$L:$L,領用表!$E:$E,$B111,領用表!$B:$B,BH$2&amp;BI$2)</f>
        <v/>
      </c>
      <c r="BJ111" s="260">
        <f>SUMIFS(領用表!$L:$L,領用表!$E:$E,$B111,領用表!$B:$B,$BH$2&amp;BJ$2)</f>
        <v/>
      </c>
      <c r="BK111" s="260">
        <f>SUMIFS(領用表!$L:$L,領用表!$E:$E,$B111,領用表!$B:$B,$BH$2&amp;BK$2)</f>
        <v/>
      </c>
      <c r="BL111" s="260">
        <f>SUMIFS(領用表!$L:$L,領用表!$E:$E,$B111,領用表!$B:$B,$BH$2&amp;BL$2)</f>
        <v/>
      </c>
      <c r="BM111" s="203">
        <f>SUMIFS(領用表!$L:$L,領用表!$A:$A,BM$2,領用表!$E:$E,B111)</f>
        <v/>
      </c>
      <c r="BN111" s="206">
        <f>SUMIFS(領用表!$L:$L,領用表!$E:$E,$B111,領用表!$B:$B,BM$2&amp;BN$2)</f>
        <v/>
      </c>
      <c r="BO111" s="206">
        <f>SUMIFS(領用表!$L:$L,領用表!$E:$E,$B111,領用表!$B:$B,$BM$2&amp;BO$2)</f>
        <v/>
      </c>
      <c r="BP111" s="288">
        <f>SUMIFS(領用表!$L:$L,領用表!$E:$E,$B111,領用表!$B:$B,$BM$2&amp;BP$2)</f>
        <v/>
      </c>
      <c r="BQ111" s="287">
        <f>SUMIFS(領用表!$L:$L,領用表!$E:$E,$B111,領用表!$B:$B,$BM$2&amp;BQ$2)</f>
        <v/>
      </c>
      <c r="BR111" s="203">
        <f>SUMIFS(領用表!$L:$L,領用表!$A:$A,BR$2,領用表!$E:$E,B111)</f>
        <v/>
      </c>
      <c r="BS111" s="288">
        <f>SUMIFS(領用表!$L:$L,領用表!$E:$E,$B111,領用表!$B:$B,BR$2&amp;BS$2)</f>
        <v/>
      </c>
      <c r="BT111" s="288">
        <f>SUMIFS(領用表!$L:$L,領用表!$E:$E,$B111,領用表!$B:$B,$BR$2&amp;BT$2)</f>
        <v/>
      </c>
      <c r="BU111" s="288">
        <f>SUMIFS(領用表!$L:$L,領用表!$E:$E,$B111,領用表!$B:$B,$BR$2&amp;BU$2)</f>
        <v/>
      </c>
      <c r="BV111" s="287">
        <f>SUMIFS(領用表!$L:$L,領用表!$E:$E,$B111,領用表!$B:$B,$BR$2&amp;BV$2)</f>
        <v/>
      </c>
      <c r="BW111" s="208">
        <f>SUMIFS(領用表!$L:$L,領用表!$A:$A,BW$2,領用表!$E:$E,B111)</f>
        <v/>
      </c>
      <c r="BX111" s="206">
        <f>SUMIFS(領用表!$L:$L,領用表!$E:$E,$B111,領用表!$B:$B,BW$2&amp;BX$2)</f>
        <v/>
      </c>
      <c r="BY111" s="206">
        <f>SUMIFS(領用表!$L:$L,領用表!$E:$E,$B111,領用表!$B:$B,$BW$2&amp;BY$2)</f>
        <v/>
      </c>
      <c r="BZ111" s="206">
        <f>SUMIFS(領用表!$L:$L,領用表!$E:$E,$B111,領用表!$B:$B,$BW$2&amp;BZ$2)</f>
        <v/>
      </c>
      <c r="CA111" s="206">
        <f>SUMIFS(領用表!$L:$L,領用表!$E:$E,$B111,領用表!$B:$B,$BW$2&amp;CA$2)</f>
        <v/>
      </c>
      <c r="CB111" s="208">
        <f>SUMIFS(領用表!$L:$L,領用表!$A:$A,CB$2,領用表!$E:$E,B111)</f>
        <v/>
      </c>
      <c r="CC111" s="206">
        <f>SUMIFS(領用表!$L:$L,領用表!$E:$E,$B111,領用表!$B:$B,CB$2&amp;CC$2)</f>
        <v/>
      </c>
      <c r="CD111" s="206">
        <f>SUMIFS(領用表!$L:$L,領用表!$E:$E,$B111,領用表!$B:$B,$CB$2&amp;CD$2)</f>
        <v/>
      </c>
      <c r="CE111" s="206">
        <f>SUMIFS(領用表!$L:$L,領用表!$E:$E,$B111,領用表!$B:$B,$CB$2&amp;CE$2)</f>
        <v/>
      </c>
      <c r="CF111" s="206">
        <f>SUMIFS(領用表!$L:$L,領用表!$E:$E,$B111,領用表!$B:$B,$CB$2&amp;CF$2)</f>
        <v/>
      </c>
      <c r="CG111" s="208">
        <f>SUMIFS(領用表!$L:$L,領用表!$A:$A,CG$2,領用表!$E:$E,B111)</f>
        <v/>
      </c>
      <c r="CH111" s="206">
        <f>SUMIFS(領用表!$L:$L,領用表!$E:$E,$B111,領用表!$B:$B,CG$2&amp;CH$2)</f>
        <v/>
      </c>
      <c r="CI111" s="206">
        <f>SUMIFS(領用表!$L:$L,領用表!$E:$E,$B111,領用表!$B:$B,CG$2&amp;CI$2)</f>
        <v/>
      </c>
      <c r="CJ111" s="206">
        <f>SUMIFS(領用表!$L:$L,領用表!$E:$E,$B111,領用表!$B:$B,CG$2&amp;CJ$2)</f>
        <v/>
      </c>
      <c r="CK111" s="206">
        <f>SUMIFS(領用表!$L:$L,領用表!$E:$E,$B111,領用表!$B:$B,$CG$2&amp;CK$2)</f>
        <v/>
      </c>
      <c r="CL111" s="207">
        <f>SUM(AX111,AY111,AZ111,BA111,BB111,BC111,BH111,BM111,BR111,BW111,CB111,CG111)</f>
        <v/>
      </c>
      <c r="CM111" s="207">
        <f>AVERAGE(AX111,AY111,AZ111,BA111,BB111,BC111,BH111,BM111,BR111,BW111,CB111,CG111)</f>
        <v/>
      </c>
      <c r="CN111" s="208">
        <f>SUMIFS(領用表!$L:$L,領用表!$A:$A,CN$2,領用表!$E:$E,B111)</f>
        <v/>
      </c>
      <c r="CO111" s="206">
        <f>SUMIFS(領用表!$L:$L,領用表!$E:$E,$B111,領用表!$B:$B,CN$2&amp;CO$2)</f>
        <v/>
      </c>
      <c r="CP111" s="206">
        <f>SUMIFS(領用表!$L:$L,領用表!$E:$E,$B111,領用表!$B:$B,$CN$2&amp;CP$2)</f>
        <v/>
      </c>
      <c r="CQ111" s="206">
        <f>SUMIFS(領用表!$L:$L,領用表!$E:$E,$B111,領用表!$B:$B,$CN$2&amp;CQ$2)</f>
        <v/>
      </c>
      <c r="CR111" s="206">
        <f>SUMIFS(領用表!$L:$L,領用表!$E:$E,$B111,領用表!$B:$B,$CN$2&amp;CR$2)</f>
        <v/>
      </c>
      <c r="CS111" s="208">
        <f>SUMIFS(領用表!$L:$L,領用表!$A:$A,CS$2,領用表!$E:$E,B111)</f>
        <v/>
      </c>
      <c r="CT111" s="206">
        <f>SUMIFS(領用表!$L:$L,領用表!$E:$E,$B111,領用表!$B:$B,CS$2&amp;CT$2)</f>
        <v/>
      </c>
      <c r="CU111" s="206">
        <f>SUMIFS(領用表!$L:$L,領用表!$E:$E,$B111,領用表!$B:$B,$CS$2&amp;CU$2)</f>
        <v/>
      </c>
      <c r="CV111" s="206">
        <f>SUMIFS(領用表!$L:$L,領用表!$E:$E,$B111,領用表!$B:$B,$CS$2&amp;CV$2)</f>
        <v/>
      </c>
      <c r="CW111" s="206">
        <f>SUMIFS(領用表!$L:$L,領用表!$E:$E,$B111,領用表!$B:$B,$CS$2&amp;CW$2)</f>
        <v/>
      </c>
      <c r="CX111" s="206">
        <f>SUMIFS(領用表!$L:$L,領用表!$E:$E,$B111,領用表!$B:$B,$CS$2&amp;CX$2)</f>
        <v/>
      </c>
      <c r="CY111" s="208">
        <f>SUMIFS(領用表!$L:$L,領用表!$A:$A,CY$2,領用表!$E:$E,B111)</f>
        <v/>
      </c>
      <c r="CZ111" s="206">
        <f>SUMIFS(領用表!$L:$L,領用表!$E:$E,$B111,領用表!$B:$B,CY$2&amp;CZ$2)</f>
        <v/>
      </c>
      <c r="DA111" s="206">
        <f>SUMIFS(領用表!$L:$L,領用表!$E:$E,$B111,領用表!$B:$B,$CY$2&amp;DA$2)</f>
        <v/>
      </c>
      <c r="DB111" s="206">
        <f>SUMIFS(領用表!$L:$L,領用表!$E:$E,$B111,領用表!$B:$B,$CY$2&amp;DB$2)</f>
        <v/>
      </c>
      <c r="DC111" s="206">
        <f>SUMIFS(領用表!$L:$L,領用表!$E:$E,$B111,領用表!$B:$B,$CY$2&amp;DC$2)</f>
        <v/>
      </c>
      <c r="DD111" s="206">
        <f>SUMIFS(領用表!$L:$L,領用表!$E:$E,$B111,領用表!$B:$B,$CY$2&amp;DD$2)</f>
        <v/>
      </c>
      <c r="DE111" s="208">
        <f>SUMIFS(領用表!$L:$L,領用表!$A:$A,DE$2,領用表!$E:$E,B111)</f>
        <v/>
      </c>
      <c r="DF111" s="206">
        <f>SUMIFS(領用表!$L:$L,領用表!$E:$E,$B111,領用表!$B:$B,DE$2&amp;DF$2)</f>
        <v/>
      </c>
      <c r="DG111" s="206">
        <f>SUMIFS(領用表!$L:$L,領用表!$E:$E,$B111,領用表!$B:$B,$DE$2&amp;DG$2)</f>
        <v/>
      </c>
      <c r="DH111" s="206">
        <f>SUMIFS(領用表!$L:$L,領用表!$E:$E,$B111,領用表!$B:$B,$DE$2&amp;DH$2)</f>
        <v/>
      </c>
      <c r="DI111" s="206">
        <f>SUMIFS(領用表!$L:$L,領用表!$E:$E,$B111,領用表!$B:$B,$DE$2&amp;DI$2)</f>
        <v/>
      </c>
      <c r="DJ111" s="206">
        <f>SUMIFS(領用表!$L:$L,領用表!$E:$E,$B111,領用表!$B:$B,$DE$2&amp;DJ$2)</f>
        <v/>
      </c>
      <c r="DK111" s="208">
        <f>SUMIFS(領用表!$L:$L,領用表!$A:$A,DK$2,領用表!$E:$E,$B111)</f>
        <v/>
      </c>
      <c r="DL111" s="206">
        <f>SUMIFS(領用表!$L:$L,領用表!$E:$E,$B111,領用表!$B:$B,DK$2&amp;DL$2)</f>
        <v/>
      </c>
      <c r="DM111" s="206">
        <f>SUMIFS(領用表!$L:$L,領用表!$E:$E,$B111,領用表!$B:$B,$DK$2&amp;DM$2)</f>
        <v/>
      </c>
      <c r="DN111" s="206">
        <f>SUMIFS(領用表!$L:$L,領用表!$E:$E,$B111,領用表!$B:$B,$DK$2&amp;DN$2)</f>
        <v/>
      </c>
      <c r="DO111" s="206">
        <f>SUMIFS(領用表!$L:$L,領用表!$E:$E,$B111,領用表!$B:$B,$DK$2&amp;DO$2)</f>
        <v/>
      </c>
      <c r="DP111" s="206">
        <f>SUMIFS(領用表!$L:$L,領用表!$E:$E,$B111,領用表!$B:$B,$DK$2&amp;DP$2)</f>
        <v/>
      </c>
      <c r="DQ111" s="208" t="n">
        <v>106</v>
      </c>
      <c r="DR111" s="206" t="n">
        <v>36</v>
      </c>
      <c r="DS111" s="206" t="n">
        <v>12</v>
      </c>
      <c r="DT111" s="206" t="n">
        <v>45</v>
      </c>
      <c r="DU111" s="206" t="n">
        <v>2</v>
      </c>
      <c r="DV111" s="206" t="n">
        <v>11</v>
      </c>
      <c r="DW111" s="206">
        <f>SUM(CN111,CS111,CY111,DE111,DK111,DQ111)</f>
        <v/>
      </c>
      <c r="DX111" s="206">
        <f>AVERAGEA(CN111,CS111,CY111,DE111,DK111,DQ111)</f>
        <v/>
      </c>
      <c r="DY111" s="206">
        <f>SUM(DZ111:EC111)</f>
        <v/>
      </c>
      <c r="DZ111" s="206" t="n">
        <v>0</v>
      </c>
      <c r="EA111" s="206" t="n">
        <v>0</v>
      </c>
      <c r="EB111" s="206" t="n">
        <v>0</v>
      </c>
      <c r="EC111" s="206" t="n">
        <v>0</v>
      </c>
      <c r="ED111" s="258" t="n">
        <v>20</v>
      </c>
      <c r="EE111" s="283" t="n"/>
      <c r="EF111" s="252" t="inlineStr">
        <is>
          <t>100-10/22</t>
        </is>
      </c>
      <c r="EG111" s="283" t="n"/>
      <c r="EH111" s="136" t="n"/>
      <c r="EI111" s="289" t="n"/>
      <c r="EJ111" s="118">
        <f>IFERROR(VLOOKUP(A111,站前4樓!A:BF,57,0),0)</f>
        <v/>
      </c>
      <c r="EK111" s="213">
        <f>IFERROR(VLOOKUP(A111,站前11樓!A:BE,57,0),0)</f>
        <v/>
      </c>
      <c r="EL111" s="118">
        <f>IFERROR(VLOOKUP(A111,忠孝7樓!A:N,57,0),0)</f>
        <v/>
      </c>
      <c r="EM111" s="118">
        <f>IFERROR(VLOOKUP(A111,忠孝國際醫學3樓!A:L,57,0),0)</f>
        <v/>
      </c>
      <c r="EN111" s="118">
        <f>SUM(ED111:EG111)</f>
        <v/>
      </c>
    </row>
    <row r="112" ht="15.75" customFormat="1" customHeight="1" s="128" thickBot="1">
      <c r="A112" s="308" t="inlineStr">
        <is>
          <t>MB3ME090038A</t>
        </is>
      </c>
      <c r="B112" s="230" t="n">
        <v>6120037</v>
      </c>
      <c r="C112" s="309" t="inlineStr">
        <is>
          <t>(B群) 美久奧林 20ml/支</t>
        </is>
      </c>
      <c r="D112" s="310" t="n"/>
      <c r="E112" s="311" t="n"/>
      <c r="F112" s="312">
        <f>SUMIF(站前4樓!B:B,B112,站前4樓!F:F)</f>
        <v/>
      </c>
      <c r="G112" s="312">
        <f>SUMIF(站前11樓!B:B,B112,站前11樓!F:F)</f>
        <v/>
      </c>
      <c r="H112" s="312">
        <f>SUMIF(忠孝7樓!B:B,B112,忠孝7樓!G:G)</f>
        <v/>
      </c>
      <c r="I112" s="312">
        <f>SUMIF(忠孝國際醫學3樓!B:B,B112,忠孝國際醫學3樓!G:G)</f>
        <v/>
      </c>
      <c r="J112" s="312">
        <f>SUMIF(忠孝健康7樓!B:B,B112,忠孝健康7樓!G:G)</f>
        <v/>
      </c>
      <c r="K112" s="313" t="n"/>
      <c r="L112" s="313" t="n"/>
      <c r="M112" s="313" t="n"/>
      <c r="N112" s="313" t="n"/>
      <c r="O112" s="313" t="n"/>
      <c r="P112" s="313" t="n"/>
      <c r="Q112" s="313" t="n"/>
      <c r="R112" s="313" t="n"/>
      <c r="S112" s="313" t="n"/>
      <c r="T112" s="313" t="n"/>
      <c r="U112" s="313" t="n"/>
      <c r="V112" s="313" t="n"/>
      <c r="W112" s="313" t="n"/>
      <c r="X112" s="313" t="n"/>
      <c r="Y112" s="313" t="n"/>
      <c r="Z112" s="313" t="n"/>
      <c r="AA112" s="313" t="n"/>
      <c r="AB112" s="313" t="n"/>
      <c r="AC112" s="313" t="n"/>
      <c r="AD112" s="313" t="n"/>
      <c r="AE112" s="313" t="n"/>
      <c r="AF112" s="313" t="n"/>
      <c r="AG112" s="313" t="n"/>
      <c r="AH112" s="313" t="n"/>
      <c r="AI112" s="313" t="n"/>
      <c r="AJ112" s="237" t="n"/>
      <c r="AK112" s="237" t="n"/>
      <c r="AL112" s="237" t="n"/>
      <c r="AM112" s="237" t="n"/>
      <c r="AN112" s="237" t="n"/>
      <c r="AO112" s="237" t="n"/>
      <c r="AP112" s="237" t="n"/>
      <c r="AQ112" s="237" t="n"/>
      <c r="AR112" s="237" t="n"/>
      <c r="AS112" s="237" t="n"/>
      <c r="AT112" s="237" t="n"/>
      <c r="AU112" s="237" t="n"/>
      <c r="AV112" s="313" t="n"/>
      <c r="AW112" s="314" t="n"/>
      <c r="AX112" s="237" t="n"/>
      <c r="AY112" s="237" t="n"/>
      <c r="AZ112" s="237" t="n"/>
      <c r="BA112" s="237" t="n"/>
      <c r="BB112" s="237" t="n"/>
      <c r="BC112" s="239" t="n"/>
      <c r="BD112" s="315" t="n"/>
      <c r="BE112" s="315" t="n"/>
      <c r="BF112" s="315" t="n"/>
      <c r="BG112" s="242" t="n"/>
      <c r="BH112" s="239">
        <f>SUMIFS(領用表!$L:$L,領用表!$A:$A,BH$2,領用表!$E:$E,B112)</f>
        <v/>
      </c>
      <c r="BI112" s="316">
        <f>SUMIFS(領用表!$L:$L,領用表!$E:$E,$B112,領用表!$B:$B,BH$2&amp;BI$2)</f>
        <v/>
      </c>
      <c r="BJ112" s="316">
        <f>SUMIFS(領用表!$L:$L,領用表!$E:$E,$B112,領用表!$B:$B,$BH$2&amp;BJ$2)</f>
        <v/>
      </c>
      <c r="BK112" s="316">
        <f>SUMIFS(領用表!$L:$L,領用表!$E:$E,$B112,領用表!$B:$B,$BH$2&amp;BK$2)</f>
        <v/>
      </c>
      <c r="BL112" s="316">
        <f>SUMIFS(領用表!$L:$L,領用表!$E:$E,$B112,領用表!$B:$B,$BH$2&amp;BL$2)</f>
        <v/>
      </c>
      <c r="BM112" s="239">
        <f>SUMIFS(領用表!$L:$L,領用表!$A:$A,BM$2,領用表!$E:$E,B112)</f>
        <v/>
      </c>
      <c r="BN112" s="242">
        <f>SUMIFS(領用表!$L:$L,領用表!$E:$E,$B112,領用表!$B:$B,BM$2&amp;BN$2)</f>
        <v/>
      </c>
      <c r="BO112" s="242">
        <f>SUMIFS(領用表!$L:$L,領用表!$E:$E,$B112,領用表!$B:$B,$BM$2&amp;BO$2)</f>
        <v/>
      </c>
      <c r="BP112" s="317">
        <f>SUMIFS(領用表!$L:$L,領用表!$E:$E,$B112,領用表!$B:$B,$BM$2&amp;BP$2)</f>
        <v/>
      </c>
      <c r="BQ112" s="315">
        <f>SUMIFS(領用表!$L:$L,領用表!$E:$E,$B112,領用表!$B:$B,$BM$2&amp;BQ$2)</f>
        <v/>
      </c>
      <c r="BR112" s="239">
        <f>SUMIFS(領用表!$L:$L,領用表!$A:$A,BR$2,領用表!$E:$E,B112)</f>
        <v/>
      </c>
      <c r="BS112" s="317">
        <f>SUMIFS(領用表!$L:$L,領用表!$E:$E,$B112,領用表!$B:$B,BR$2&amp;BS$2)</f>
        <v/>
      </c>
      <c r="BT112" s="317">
        <f>SUMIFS(領用表!$L:$L,領用表!$E:$E,$B112,領用表!$B:$B,$BR$2&amp;BT$2)</f>
        <v/>
      </c>
      <c r="BU112" s="317">
        <f>SUMIFS(領用表!$L:$L,領用表!$E:$E,$B112,領用表!$B:$B,$BR$2&amp;BU$2)</f>
        <v/>
      </c>
      <c r="BV112" s="315">
        <f>SUMIFS(領用表!$L:$L,領用表!$E:$E,$B112,領用表!$B:$B,$BR$2&amp;BV$2)</f>
        <v/>
      </c>
      <c r="BW112" s="243">
        <f>SUMIFS(領用表!$L:$L,領用表!$A:$A,BW$2,領用表!$E:$E,B112)</f>
        <v/>
      </c>
      <c r="BX112" s="242">
        <f>SUMIFS(領用表!$L:$L,領用表!$E:$E,$B112,領用表!$B:$B,BW$2&amp;BX$2)</f>
        <v/>
      </c>
      <c r="BY112" s="242">
        <f>SUMIFS(領用表!$L:$L,領用表!$E:$E,$B112,領用表!$B:$B,$BW$2&amp;BY$2)</f>
        <v/>
      </c>
      <c r="BZ112" s="242">
        <f>SUMIFS(領用表!$L:$L,領用表!$E:$E,$B112,領用表!$B:$B,$BW$2&amp;BZ$2)</f>
        <v/>
      </c>
      <c r="CA112" s="242">
        <f>SUMIFS(領用表!$L:$L,領用表!$E:$E,$B112,領用表!$B:$B,$BW$2&amp;CA$2)</f>
        <v/>
      </c>
      <c r="CB112" s="243">
        <f>SUMIFS(領用表!$L:$L,領用表!$A:$A,CB$2,領用表!$E:$E,B112)</f>
        <v/>
      </c>
      <c r="CC112" s="242" t="n"/>
      <c r="CD112" s="242" t="n"/>
      <c r="CE112" s="242" t="n"/>
      <c r="CF112" s="242" t="n"/>
      <c r="CG112" s="243">
        <f>SUMIFS(領用表!$L:$L,領用表!$A:$A,CG$2,領用表!$E:$E,B112)</f>
        <v/>
      </c>
      <c r="CH112" s="242">
        <f>SUMIFS(領用表!$L:$L,領用表!$E:$E,$B112,領用表!$B:$B,CG$2&amp;CH$2)</f>
        <v/>
      </c>
      <c r="CI112" s="242">
        <f>SUMIFS(領用表!$L:$L,領用表!$E:$E,$B112,領用表!$B:$B,CG$2&amp;CI$2)</f>
        <v/>
      </c>
      <c r="CJ112" s="242">
        <f>SUMIFS(領用表!$L:$L,領用表!$E:$E,$B112,領用表!$B:$B,CG$2&amp;CJ$2)</f>
        <v/>
      </c>
      <c r="CK112" s="242">
        <f>SUMIFS(領用表!$L:$L,領用表!$E:$E,$B112,領用表!$B:$B,$CG$2&amp;CK$2)</f>
        <v/>
      </c>
      <c r="CL112" s="244">
        <f>SUM(AX112,AY112,AZ112,BA112,BB112,BC112,BH112,BM112,BR112,BW112,CB112,CG112)</f>
        <v/>
      </c>
      <c r="CM112" s="244">
        <f>AVERAGE(AX112,AY112,AZ112,BA112,BB112,BC112,BH112,BM112,BR112,BW112,CB112,CG112)</f>
        <v/>
      </c>
      <c r="CN112" s="243">
        <f>SUMIFS(領用表!$L:$L,領用表!$A:$A,CN$2,領用表!$E:$E,B112)</f>
        <v/>
      </c>
      <c r="CO112" s="242">
        <f>SUMIFS(領用表!$L:$L,領用表!$E:$E,$B112,領用表!$B:$B,CN$2&amp;CO$2)</f>
        <v/>
      </c>
      <c r="CP112" s="242">
        <f>SUMIFS(領用表!$L:$L,領用表!$E:$E,$B112,領用表!$B:$B,$CN$2&amp;CP$2)</f>
        <v/>
      </c>
      <c r="CQ112" s="242">
        <f>SUMIFS(領用表!$L:$L,領用表!$E:$E,$B112,領用表!$B:$B,$CN$2&amp;CQ$2)</f>
        <v/>
      </c>
      <c r="CR112" s="242">
        <f>SUMIFS(領用表!$L:$L,領用表!$E:$E,$B112,領用表!$B:$B,$CN$2&amp;CR$2)</f>
        <v/>
      </c>
      <c r="CS112" s="243">
        <f>SUMIFS(領用表!$L:$L,領用表!$A:$A,CS$2,領用表!$E:$E,B112)</f>
        <v/>
      </c>
      <c r="CT112" s="243">
        <f>SUMIFS(領用表!$L:$L,領用表!$E:$E,$B112,領用表!$B:$B,CS$2&amp;CT$2)</f>
        <v/>
      </c>
      <c r="CU112" s="243">
        <f>SUMIFS(領用表!$L:$L,領用表!$E:$E,$B112,領用表!$B:$B,$CS$2&amp;CU$2)</f>
        <v/>
      </c>
      <c r="CV112" s="243">
        <f>SUMIFS(領用表!$L:$L,領用表!$E:$E,$B112,領用表!$B:$B,$CS$2&amp;CV$2)</f>
        <v/>
      </c>
      <c r="CW112" s="243">
        <f>SUMIFS(領用表!$L:$L,領用表!$E:$E,$B112,領用表!$B:$B,$CS$2&amp;CW$2)</f>
        <v/>
      </c>
      <c r="CX112" s="243">
        <f>SUMIFS(領用表!$L:$L,領用表!$E:$E,$B112,領用表!$B:$B,$CS$2&amp;CX$2)</f>
        <v/>
      </c>
      <c r="CY112" s="243">
        <f>SUMIFS(領用表!$L:$L,領用表!$A:$A,CY$2,領用表!$E:$E,B112)</f>
        <v/>
      </c>
      <c r="CZ112" s="242">
        <f>SUMIFS(領用表!$L:$L,領用表!$E:$E,$B112,領用表!$B:$B,CY$2&amp;CZ$2)</f>
        <v/>
      </c>
      <c r="DA112" s="242">
        <f>SUMIFS(領用表!$L:$L,領用表!$E:$E,$B112,領用表!$B:$B,$CY$2&amp;DA$2)</f>
        <v/>
      </c>
      <c r="DB112" s="242">
        <f>SUMIFS(領用表!$L:$L,領用表!$E:$E,$B112,領用表!$B:$B,$CY$2&amp;DB$2)</f>
        <v/>
      </c>
      <c r="DC112" s="242">
        <f>SUMIFS(領用表!$L:$L,領用表!$E:$E,$B112,領用表!$B:$B,$CY$2&amp;DC$2)</f>
        <v/>
      </c>
      <c r="DD112" s="242">
        <f>SUMIFS(領用表!$L:$L,領用表!$E:$E,$B112,領用表!$B:$B,$CY$2&amp;DD$2)</f>
        <v/>
      </c>
      <c r="DE112" s="243">
        <f>SUMIFS(領用表!$L:$L,領用表!$A:$A,DE$2,領用表!$E:$E,B112)</f>
        <v/>
      </c>
      <c r="DF112" s="242">
        <f>SUMIFS(領用表!$L:$L,領用表!$E:$E,$B112,領用表!$B:$B,DE$2&amp;DF$2)</f>
        <v/>
      </c>
      <c r="DG112" s="242">
        <f>SUMIFS(領用表!$L:$L,領用表!$E:$E,$B112,領用表!$B:$B,$DE$2&amp;DG$2)</f>
        <v/>
      </c>
      <c r="DH112" s="242">
        <f>SUMIFS(領用表!$L:$L,領用表!$E:$E,$B112,領用表!$B:$B,$DE$2&amp;DH$2)</f>
        <v/>
      </c>
      <c r="DI112" s="242">
        <f>SUMIFS(領用表!$L:$L,領用表!$E:$E,$B112,領用表!$B:$B,$DE$2&amp;DI$2)</f>
        <v/>
      </c>
      <c r="DJ112" s="242">
        <f>SUMIFS(領用表!$L:$L,領用表!$E:$E,$B112,領用表!$B:$B,$DE$2&amp;DJ$2)</f>
        <v/>
      </c>
      <c r="DK112" s="243">
        <f>SUMIFS(領用表!$L:$L,領用表!$A:$A,DK$2,領用表!$E:$E,$B112)</f>
        <v/>
      </c>
      <c r="DL112" s="242">
        <f>SUMIFS(領用表!$L:$L,領用表!$E:$E,$B112,領用表!$B:$B,DK$2&amp;DL$2)</f>
        <v/>
      </c>
      <c r="DM112" s="242">
        <f>SUMIFS(領用表!$L:$L,領用表!$E:$E,$B112,領用表!$B:$B,$DK$2&amp;DM$2)</f>
        <v/>
      </c>
      <c r="DN112" s="242">
        <f>SUMIFS(領用表!$L:$L,領用表!$E:$E,$B112,領用表!$B:$B,$DK$2&amp;DN$2)</f>
        <v/>
      </c>
      <c r="DO112" s="242">
        <f>SUMIFS(領用表!$L:$L,領用表!$E:$E,$B112,領用表!$B:$B,$DK$2&amp;DO$2)</f>
        <v/>
      </c>
      <c r="DP112" s="242">
        <f>SUMIFS(領用表!$L:$L,領用表!$E:$E,$B112,領用表!$B:$B,$DK$2&amp;DP$2)</f>
        <v/>
      </c>
      <c r="DQ112" s="243" t="n">
        <v>1</v>
      </c>
      <c r="DR112" s="242" t="n"/>
      <c r="DS112" s="242" t="n">
        <v>1</v>
      </c>
      <c r="DT112" s="242" t="n"/>
      <c r="DU112" s="242" t="n"/>
      <c r="DV112" s="242" t="n"/>
      <c r="DW112" s="242">
        <f>SUM(CN112,CS112,CY112,DE112,DK112,DQ112)</f>
        <v/>
      </c>
      <c r="DX112" s="242">
        <f>AVERAGEA(CN112,CS112,CY112,DE112,DK112,DQ112)</f>
        <v/>
      </c>
      <c r="DY112" s="242">
        <f>SUM(DZ112:EC112)</f>
        <v/>
      </c>
      <c r="DZ112" s="242" t="n">
        <v>0</v>
      </c>
      <c r="EA112" s="242" t="n">
        <v>0</v>
      </c>
      <c r="EB112" s="242" t="n">
        <v>0</v>
      </c>
      <c r="EC112" s="242" t="n">
        <v>0</v>
      </c>
      <c r="ED112" s="318" t="n"/>
      <c r="EE112" s="313" t="n"/>
      <c r="EF112" s="319" t="n"/>
      <c r="EG112" s="313" t="n"/>
      <c r="EH112" s="248" t="n"/>
      <c r="EI112" s="248" t="n"/>
      <c r="EK112" s="250" t="n"/>
    </row>
    <row r="113" ht="15.75" customFormat="1" customHeight="1" s="128" thickBot="1">
      <c r="A113" s="308" t="inlineStr">
        <is>
          <t>MB3ME090039A</t>
        </is>
      </c>
      <c r="B113" s="230" t="n">
        <v>6120038</v>
      </c>
      <c r="C113" s="309" t="inlineStr">
        <is>
          <t>(Vit C+B) 維他補舒Vitaplex 20ml/支</t>
        </is>
      </c>
      <c r="D113" s="310" t="n"/>
      <c r="E113" s="311" t="n"/>
      <c r="F113" s="312">
        <f>SUMIF(站前4樓!B:B,B113,站前4樓!F:F)</f>
        <v/>
      </c>
      <c r="G113" s="312">
        <f>SUMIF(站前11樓!B:B,B113,站前11樓!F:F)</f>
        <v/>
      </c>
      <c r="H113" s="312">
        <f>SUMIF(忠孝7樓!B:B,B113,忠孝7樓!G:G)</f>
        <v/>
      </c>
      <c r="I113" s="312">
        <f>SUMIF(忠孝國際醫學3樓!B:B,B113,忠孝國際醫學3樓!G:G)</f>
        <v/>
      </c>
      <c r="J113" s="312">
        <f>SUMIF(忠孝健康7樓!B:B,B113,忠孝健康7樓!G:G)</f>
        <v/>
      </c>
      <c r="K113" s="313" t="n"/>
      <c r="L113" s="313" t="n"/>
      <c r="M113" s="313" t="n"/>
      <c r="N113" s="313" t="n"/>
      <c r="O113" s="313" t="n"/>
      <c r="P113" s="313" t="n"/>
      <c r="Q113" s="313" t="n"/>
      <c r="R113" s="313" t="n"/>
      <c r="S113" s="313" t="n"/>
      <c r="T113" s="313" t="n"/>
      <c r="U113" s="313" t="n"/>
      <c r="V113" s="313" t="n"/>
      <c r="W113" s="313" t="n"/>
      <c r="X113" s="313" t="n"/>
      <c r="Y113" s="313" t="n"/>
      <c r="Z113" s="313" t="n"/>
      <c r="AA113" s="313" t="n"/>
      <c r="AB113" s="313" t="n"/>
      <c r="AC113" s="313" t="n"/>
      <c r="AD113" s="313" t="n"/>
      <c r="AE113" s="313" t="n"/>
      <c r="AF113" s="313" t="n"/>
      <c r="AG113" s="313" t="n"/>
      <c r="AH113" s="313" t="n"/>
      <c r="AI113" s="313" t="n"/>
      <c r="AJ113" s="237" t="n"/>
      <c r="AK113" s="237" t="n"/>
      <c r="AL113" s="237" t="n"/>
      <c r="AM113" s="237" t="n"/>
      <c r="AN113" s="237" t="n"/>
      <c r="AO113" s="237" t="n"/>
      <c r="AP113" s="237" t="n"/>
      <c r="AQ113" s="237" t="n"/>
      <c r="AR113" s="237" t="n"/>
      <c r="AS113" s="237" t="n"/>
      <c r="AT113" s="237" t="n"/>
      <c r="AU113" s="237" t="n"/>
      <c r="AV113" s="313" t="n"/>
      <c r="AW113" s="314" t="n"/>
      <c r="AX113" s="237" t="n"/>
      <c r="AY113" s="237" t="n"/>
      <c r="AZ113" s="237" t="n"/>
      <c r="BA113" s="237" t="n"/>
      <c r="BB113" s="237" t="n"/>
      <c r="BC113" s="239" t="n"/>
      <c r="BD113" s="315" t="n"/>
      <c r="BE113" s="315" t="n"/>
      <c r="BF113" s="315" t="n"/>
      <c r="BG113" s="242" t="n"/>
      <c r="BH113" s="239">
        <f>SUMIFS(領用表!$L:$L,領用表!$A:$A,BH$2,領用表!$E:$E,B113)</f>
        <v/>
      </c>
      <c r="BI113" s="316">
        <f>SUMIFS(領用表!$L:$L,領用表!$E:$E,$B113,領用表!$B:$B,BH$2&amp;BI$2)</f>
        <v/>
      </c>
      <c r="BJ113" s="316">
        <f>SUMIFS(領用表!$L:$L,領用表!$E:$E,$B113,領用表!$B:$B,$BH$2&amp;BJ$2)</f>
        <v/>
      </c>
      <c r="BK113" s="316">
        <f>SUMIFS(領用表!$L:$L,領用表!$E:$E,$B113,領用表!$B:$B,$BH$2&amp;BK$2)</f>
        <v/>
      </c>
      <c r="BL113" s="316">
        <f>SUMIFS(領用表!$L:$L,領用表!$E:$E,$B113,領用表!$B:$B,$BH$2&amp;BL$2)</f>
        <v/>
      </c>
      <c r="BM113" s="239">
        <f>SUMIFS(領用表!$L:$L,領用表!$A:$A,BM$2,領用表!$E:$E,B113)</f>
        <v/>
      </c>
      <c r="BN113" s="242">
        <f>SUMIFS(領用表!$L:$L,領用表!$E:$E,$B113,領用表!$B:$B,BM$2&amp;BN$2)</f>
        <v/>
      </c>
      <c r="BO113" s="242">
        <f>SUMIFS(領用表!$L:$L,領用表!$E:$E,$B113,領用表!$B:$B,$BM$2&amp;BO$2)</f>
        <v/>
      </c>
      <c r="BP113" s="317">
        <f>SUMIFS(領用表!$L:$L,領用表!$E:$E,$B113,領用表!$B:$B,$BM$2&amp;BP$2)</f>
        <v/>
      </c>
      <c r="BQ113" s="315">
        <f>SUMIFS(領用表!$L:$L,領用表!$E:$E,$B113,領用表!$B:$B,$BM$2&amp;BQ$2)</f>
        <v/>
      </c>
      <c r="BR113" s="239">
        <f>SUMIFS(領用表!$L:$L,領用表!$A:$A,BR$2,領用表!$E:$E,B113)</f>
        <v/>
      </c>
      <c r="BS113" s="317">
        <f>SUMIFS(領用表!$L:$L,領用表!$E:$E,$B113,領用表!$B:$B,BR$2&amp;BS$2)</f>
        <v/>
      </c>
      <c r="BT113" s="317">
        <f>SUMIFS(領用表!$L:$L,領用表!$E:$E,$B113,領用表!$B:$B,$BR$2&amp;BT$2)</f>
        <v/>
      </c>
      <c r="BU113" s="317">
        <f>SUMIFS(領用表!$L:$L,領用表!$E:$E,$B113,領用表!$B:$B,$BR$2&amp;BU$2)</f>
        <v/>
      </c>
      <c r="BV113" s="315">
        <f>SUMIFS(領用表!$L:$L,領用表!$E:$E,$B113,領用表!$B:$B,$BR$2&amp;BV$2)</f>
        <v/>
      </c>
      <c r="BW113" s="243">
        <f>SUMIFS(領用表!$L:$L,領用表!$A:$A,BW$2,領用表!$E:$E,B113)</f>
        <v/>
      </c>
      <c r="BX113" s="242">
        <f>SUMIFS(領用表!$L:$L,領用表!$E:$E,$B113,領用表!$B:$B,BW$2&amp;BX$2)</f>
        <v/>
      </c>
      <c r="BY113" s="242">
        <f>SUMIFS(領用表!$L:$L,領用表!$E:$E,$B113,領用表!$B:$B,$BW$2&amp;BY$2)</f>
        <v/>
      </c>
      <c r="BZ113" s="242">
        <f>SUMIFS(領用表!$L:$L,領用表!$E:$E,$B113,領用表!$B:$B,$BW$2&amp;BZ$2)</f>
        <v/>
      </c>
      <c r="CA113" s="242">
        <f>SUMIFS(領用表!$L:$L,領用表!$E:$E,$B113,領用表!$B:$B,$BW$2&amp;CA$2)</f>
        <v/>
      </c>
      <c r="CB113" s="243">
        <f>SUMIFS(領用表!$L:$L,領用表!$A:$A,CB$2,領用表!$E:$E,B113)</f>
        <v/>
      </c>
      <c r="CC113" s="242" t="n"/>
      <c r="CD113" s="242" t="n"/>
      <c r="CE113" s="242" t="n"/>
      <c r="CF113" s="242" t="n"/>
      <c r="CG113" s="243">
        <f>SUMIFS(領用表!$L:$L,領用表!$A:$A,CG$2,領用表!$E:$E,B113)</f>
        <v/>
      </c>
      <c r="CH113" s="242">
        <f>SUMIFS(領用表!$L:$L,領用表!$E:$E,$B113,領用表!$B:$B,CG$2&amp;CH$2)</f>
        <v/>
      </c>
      <c r="CI113" s="242">
        <f>SUMIFS(領用表!$L:$L,領用表!$E:$E,$B113,領用表!$B:$B,CG$2&amp;CI$2)</f>
        <v/>
      </c>
      <c r="CJ113" s="242">
        <f>SUMIFS(領用表!$L:$L,領用表!$E:$E,$B113,領用表!$B:$B,CG$2&amp;CJ$2)</f>
        <v/>
      </c>
      <c r="CK113" s="242">
        <f>SUMIFS(領用表!$L:$L,領用表!$E:$E,$B113,領用表!$B:$B,$CG$2&amp;CK$2)</f>
        <v/>
      </c>
      <c r="CL113" s="244">
        <f>SUM(AX113,AY113,AZ113,BA113,BB113,BC113,BH113,BM113,BR113,BW113,CB113,CG113)</f>
        <v/>
      </c>
      <c r="CM113" s="244">
        <f>AVERAGE(AX113,AY113,AZ113,BA113,BB113,BC113,BH113,BM113,BR113,BW113,CB113,CG113)</f>
        <v/>
      </c>
      <c r="CN113" s="243">
        <f>SUMIFS(領用表!$L:$L,領用表!$A:$A,CN$2,領用表!$E:$E,B113)</f>
        <v/>
      </c>
      <c r="CO113" s="242">
        <f>SUMIFS(領用表!$L:$L,領用表!$E:$E,$B113,領用表!$B:$B,CN$2&amp;CO$2)</f>
        <v/>
      </c>
      <c r="CP113" s="242">
        <f>SUMIFS(領用表!$L:$L,領用表!$E:$E,$B113,領用表!$B:$B,$CN$2&amp;CP$2)</f>
        <v/>
      </c>
      <c r="CQ113" s="242">
        <f>SUMIFS(領用表!$L:$L,領用表!$E:$E,$B113,領用表!$B:$B,$CN$2&amp;CQ$2)</f>
        <v/>
      </c>
      <c r="CR113" s="242">
        <f>SUMIFS(領用表!$L:$L,領用表!$E:$E,$B113,領用表!$B:$B,$CN$2&amp;CR$2)</f>
        <v/>
      </c>
      <c r="CS113" s="243">
        <f>SUMIFS(領用表!$L:$L,領用表!$A:$A,CS$2,領用表!$E:$E,B113)</f>
        <v/>
      </c>
      <c r="CT113" s="243">
        <f>SUMIFS(領用表!$L:$L,領用表!$E:$E,$B113,領用表!$B:$B,CS$2&amp;CT$2)</f>
        <v/>
      </c>
      <c r="CU113" s="243">
        <f>SUMIFS(領用表!$L:$L,領用表!$E:$E,$B113,領用表!$B:$B,$CS$2&amp;CU$2)</f>
        <v/>
      </c>
      <c r="CV113" s="243">
        <f>SUMIFS(領用表!$L:$L,領用表!$E:$E,$B113,領用表!$B:$B,$CS$2&amp;CV$2)</f>
        <v/>
      </c>
      <c r="CW113" s="243">
        <f>SUMIFS(領用表!$L:$L,領用表!$E:$E,$B113,領用表!$B:$B,$CS$2&amp;CW$2)</f>
        <v/>
      </c>
      <c r="CX113" s="243">
        <f>SUMIFS(領用表!$L:$L,領用表!$E:$E,$B113,領用表!$B:$B,$CS$2&amp;CX$2)</f>
        <v/>
      </c>
      <c r="CY113" s="243">
        <f>SUMIFS(領用表!$L:$L,領用表!$A:$A,CY$2,領用表!$E:$E,B113)</f>
        <v/>
      </c>
      <c r="CZ113" s="242">
        <f>SUMIFS(領用表!$L:$L,領用表!$E:$E,$B113,領用表!$B:$B,CY$2&amp;CZ$2)</f>
        <v/>
      </c>
      <c r="DA113" s="242">
        <f>SUMIFS(領用表!$L:$L,領用表!$E:$E,$B113,領用表!$B:$B,$CY$2&amp;DA$2)</f>
        <v/>
      </c>
      <c r="DB113" s="242">
        <f>SUMIFS(領用表!$L:$L,領用表!$E:$E,$B113,領用表!$B:$B,$CY$2&amp;DB$2)</f>
        <v/>
      </c>
      <c r="DC113" s="242">
        <f>SUMIFS(領用表!$L:$L,領用表!$E:$E,$B113,領用表!$B:$B,$CY$2&amp;DC$2)</f>
        <v/>
      </c>
      <c r="DD113" s="242">
        <f>SUMIFS(領用表!$L:$L,領用表!$E:$E,$B113,領用表!$B:$B,$CY$2&amp;DD$2)</f>
        <v/>
      </c>
      <c r="DE113" s="243">
        <f>SUMIFS(領用表!$L:$L,領用表!$A:$A,DE$2,領用表!$E:$E,B113)</f>
        <v/>
      </c>
      <c r="DF113" s="242">
        <f>SUMIFS(領用表!$L:$L,領用表!$E:$E,$B113,領用表!$B:$B,DE$2&amp;DF$2)</f>
        <v/>
      </c>
      <c r="DG113" s="242">
        <f>SUMIFS(領用表!$L:$L,領用表!$E:$E,$B113,領用表!$B:$B,$DE$2&amp;DG$2)</f>
        <v/>
      </c>
      <c r="DH113" s="242">
        <f>SUMIFS(領用表!$L:$L,領用表!$E:$E,$B113,領用表!$B:$B,$DE$2&amp;DH$2)</f>
        <v/>
      </c>
      <c r="DI113" s="242">
        <f>SUMIFS(領用表!$L:$L,領用表!$E:$E,$B113,領用表!$B:$B,$DE$2&amp;DI$2)</f>
        <v/>
      </c>
      <c r="DJ113" s="242">
        <f>SUMIFS(領用表!$L:$L,領用表!$E:$E,$B113,領用表!$B:$B,$DE$2&amp;DJ$2)</f>
        <v/>
      </c>
      <c r="DK113" s="243">
        <f>SUMIFS(領用表!$L:$L,領用表!$A:$A,DK$2,領用表!$E:$E,$B113)</f>
        <v/>
      </c>
      <c r="DL113" s="242">
        <f>SUMIFS(領用表!$L:$L,領用表!$E:$E,$B113,領用表!$B:$B,DK$2&amp;DL$2)</f>
        <v/>
      </c>
      <c r="DM113" s="242">
        <f>SUMIFS(領用表!$L:$L,領用表!$E:$E,$B113,領用表!$B:$B,$DK$2&amp;DM$2)</f>
        <v/>
      </c>
      <c r="DN113" s="242">
        <f>SUMIFS(領用表!$L:$L,領用表!$E:$E,$B113,領用表!$B:$B,$DK$2&amp;DN$2)</f>
        <v/>
      </c>
      <c r="DO113" s="242">
        <f>SUMIFS(領用表!$L:$L,領用表!$E:$E,$B113,領用表!$B:$B,$DK$2&amp;DO$2)</f>
        <v/>
      </c>
      <c r="DP113" s="242">
        <f>SUMIFS(領用表!$L:$L,領用表!$E:$E,$B113,領用表!$B:$B,$DK$2&amp;DP$2)</f>
        <v/>
      </c>
      <c r="DQ113" s="243" t="n"/>
      <c r="DR113" s="242" t="n"/>
      <c r="DS113" s="242" t="n"/>
      <c r="DT113" s="242" t="n"/>
      <c r="DU113" s="242" t="n"/>
      <c r="DV113" s="242" t="n"/>
      <c r="DW113" s="242">
        <f>SUM(CN113,CS113,CY113,DE113,DK113,DQ113)</f>
        <v/>
      </c>
      <c r="DX113" s="242">
        <f>AVERAGEA(CN113,CS113,CY113,DE113,DK113,DQ113)</f>
        <v/>
      </c>
      <c r="DY113" s="242">
        <f>SUM(DZ113:EC113)</f>
        <v/>
      </c>
      <c r="DZ113" s="242" t="n">
        <v>0</v>
      </c>
      <c r="EA113" s="242" t="n">
        <v>0</v>
      </c>
      <c r="EB113" s="242" t="n">
        <v>0</v>
      </c>
      <c r="EC113" s="242" t="n">
        <v>0</v>
      </c>
      <c r="ED113" s="318" t="n"/>
      <c r="EE113" s="313" t="n"/>
      <c r="EF113" s="319" t="n"/>
      <c r="EG113" s="313" t="n"/>
      <c r="EH113" s="248" t="n"/>
      <c r="EI113" s="248" t="n"/>
      <c r="EK113" s="250" t="n"/>
    </row>
    <row r="114" ht="15.75" customFormat="1" customHeight="1" s="118" thickBot="1">
      <c r="A114" s="320" t="inlineStr">
        <is>
          <t>MB3ME090015A</t>
        </is>
      </c>
      <c r="B114" s="118" t="n">
        <v>6120016</v>
      </c>
      <c r="C114" s="118" t="inlineStr">
        <is>
          <t>(榖胱肝肽) 克樂達養200mg (20ml/瓶)</t>
        </is>
      </c>
      <c r="D114" s="307" t="n"/>
      <c r="E114" s="198" t="inlineStr">
        <is>
          <t>PCS</t>
        </is>
      </c>
      <c r="F114" s="225">
        <f>SUMIF(站前4樓!B:B,B114,站前4樓!F:F)</f>
        <v/>
      </c>
      <c r="G114" s="225">
        <f>SUMIF(站前11樓!B:B,B114,站前11樓!F:F)</f>
        <v/>
      </c>
      <c r="H114" s="225">
        <f>SUMIF(忠孝7樓!B:B,B114,忠孝7樓!G:G)</f>
        <v/>
      </c>
      <c r="I114" s="225">
        <f>SUMIF(忠孝國際醫學3樓!B:B,B114,忠孝國際醫學3樓!G:G)</f>
        <v/>
      </c>
      <c r="J114" s="225">
        <f>SUMIF(忠孝健康7樓!B:B,B114,忠孝健康7樓!G:G)</f>
        <v/>
      </c>
      <c r="K114" s="283" t="n"/>
      <c r="L114" s="283" t="n"/>
      <c r="M114" s="283" t="n"/>
      <c r="N114" s="283" t="n"/>
      <c r="O114" s="283" t="n"/>
      <c r="P114" s="283" t="n"/>
      <c r="Q114" s="283" t="n"/>
      <c r="R114" s="283" t="n"/>
      <c r="S114" s="283" t="n"/>
      <c r="T114" s="283" t="n"/>
      <c r="U114" s="283" t="n"/>
      <c r="V114" s="283" t="n"/>
      <c r="W114" s="283" t="n"/>
      <c r="X114" s="283" t="n"/>
      <c r="Y114" s="283" t="n"/>
      <c r="Z114" s="283" t="n"/>
      <c r="AA114" s="283" t="n"/>
      <c r="AB114" s="283" t="n"/>
      <c r="AC114" s="283" t="n"/>
      <c r="AD114" s="283" t="n"/>
      <c r="AE114" s="283" t="n"/>
      <c r="AF114" s="283" t="n"/>
      <c r="AG114" s="283" t="n"/>
      <c r="AH114" s="283" t="n"/>
      <c r="AI114" s="283" t="n"/>
      <c r="AJ114" s="201" t="n"/>
      <c r="AK114" s="201" t="n"/>
      <c r="AL114" s="201" t="n"/>
      <c r="AM114" s="201" t="n"/>
      <c r="AN114" s="201" t="n"/>
      <c r="AO114" s="201" t="n"/>
      <c r="AP114" s="201" t="n"/>
      <c r="AQ114" s="201" t="n">
        <v>0</v>
      </c>
      <c r="AR114" s="201" t="n">
        <v>0</v>
      </c>
      <c r="AS114" s="201" t="n">
        <v>0</v>
      </c>
      <c r="AT114" s="201" t="n">
        <v>0</v>
      </c>
      <c r="AU114" s="201" t="n">
        <v>0</v>
      </c>
      <c r="AV114" s="283">
        <f>SUM(AJ114:AU114)</f>
        <v/>
      </c>
      <c r="AW114" s="286">
        <f>AV114/12</f>
        <v/>
      </c>
      <c r="AX114" s="201" t="n">
        <v>0</v>
      </c>
      <c r="AY114" s="201" t="n">
        <v>0</v>
      </c>
      <c r="AZ114" s="201" t="n">
        <v>10</v>
      </c>
      <c r="BA114" s="201" t="n">
        <v>94</v>
      </c>
      <c r="BB114" s="201">
        <f>21+57</f>
        <v/>
      </c>
      <c r="BC114" s="203">
        <f>SUMIFS(領用表!$L:$L,領用表!$A:$A,BC$2,領用表!$E:$E,B114)</f>
        <v/>
      </c>
      <c r="BD114" s="287">
        <f>SUMIFS(領用表!$L:$L,領用表!$E:$E,$B114,領用表!$B:$B,BC$2&amp;BD$2)</f>
        <v/>
      </c>
      <c r="BE114" s="287">
        <f>SUMIFS(領用表!$L:$L,領用表!$E:$E,$B114,領用表!$B:$B,$BC$2&amp;BE$2)</f>
        <v/>
      </c>
      <c r="BF114" s="287">
        <f>SUMIFS(領用表!$L:$L,領用表!$E:$E,$B114,領用表!$B:$B,$BC$2&amp;BF$2)</f>
        <v/>
      </c>
      <c r="BG114" s="206">
        <f>SUMIFS(領用表!$L:$L,領用表!$E:$E,$B114,領用表!$B:$B,$BC$2&amp;BG$2)</f>
        <v/>
      </c>
      <c r="BH114" s="203">
        <f>SUMIFS(領用表!$L:$L,領用表!$A:$A,BH$2,領用表!$E:$E,B114)</f>
        <v/>
      </c>
      <c r="BI114" s="260">
        <f>SUMIFS(領用表!$L:$L,領用表!$E:$E,$B114,領用表!$B:$B,BH$2&amp;BI$2)</f>
        <v/>
      </c>
      <c r="BJ114" s="260">
        <f>SUMIFS(領用表!$L:$L,領用表!$E:$E,$B114,領用表!$B:$B,$BH$2&amp;BJ$2)</f>
        <v/>
      </c>
      <c r="BK114" s="260">
        <f>SUMIFS(領用表!$L:$L,領用表!$E:$E,$B114,領用表!$B:$B,$BH$2&amp;BK$2)</f>
        <v/>
      </c>
      <c r="BL114" s="260">
        <f>SUMIFS(領用表!$L:$L,領用表!$E:$E,$B114,領用表!$B:$B,$BH$2&amp;BL$2)</f>
        <v/>
      </c>
      <c r="BM114" s="203">
        <f>SUMIFS(領用表!$L:$L,領用表!$A:$A,BM$2,領用表!$E:$E,B114)</f>
        <v/>
      </c>
      <c r="BN114" s="206">
        <f>SUMIFS(領用表!$L:$L,領用表!$E:$E,$B114,領用表!$B:$B,BM$2&amp;BN$2)</f>
        <v/>
      </c>
      <c r="BO114" s="206">
        <f>SUMIFS(領用表!$L:$L,領用表!$E:$E,$B114,領用表!$B:$B,$BM$2&amp;BO$2)</f>
        <v/>
      </c>
      <c r="BP114" s="288">
        <f>SUMIFS(領用表!$L:$L,領用表!$E:$E,$B114,領用表!$B:$B,$BM$2&amp;BP$2)</f>
        <v/>
      </c>
      <c r="BQ114" s="287">
        <f>SUMIFS(領用表!$L:$L,領用表!$E:$E,$B114,領用表!$B:$B,$BM$2&amp;BQ$2)</f>
        <v/>
      </c>
      <c r="BR114" s="203">
        <f>SUMIFS(領用表!$L:$L,領用表!$A:$A,BR$2,領用表!$E:$E,B114)</f>
        <v/>
      </c>
      <c r="BS114" s="288">
        <f>SUMIFS(領用表!$L:$L,領用表!$E:$E,$B114,領用表!$B:$B,BR$2&amp;BS$2)</f>
        <v/>
      </c>
      <c r="BT114" s="288">
        <f>SUMIFS(領用表!$L:$L,領用表!$E:$E,$B114,領用表!$B:$B,$BR$2&amp;BT$2)</f>
        <v/>
      </c>
      <c r="BU114" s="288">
        <f>SUMIFS(領用表!$L:$L,領用表!$E:$E,$B114,領用表!$B:$B,$BR$2&amp;BU$2)</f>
        <v/>
      </c>
      <c r="BV114" s="287">
        <f>SUMIFS(領用表!$L:$L,領用表!$E:$E,$B114,領用表!$B:$B,$BR$2&amp;BV$2)</f>
        <v/>
      </c>
      <c r="BW114" s="208">
        <f>SUMIFS(領用表!$L:$L,領用表!$A:$A,BW$2,領用表!$E:$E,B114)</f>
        <v/>
      </c>
      <c r="BX114" s="206">
        <f>SUMIFS(領用表!$L:$L,領用表!$E:$E,$B114,領用表!$B:$B,BW$2&amp;BX$2)</f>
        <v/>
      </c>
      <c r="BY114" s="206">
        <f>SUMIFS(領用表!$L:$L,領用表!$E:$E,$B114,領用表!$B:$B,$BW$2&amp;BY$2)</f>
        <v/>
      </c>
      <c r="BZ114" s="206">
        <f>SUMIFS(領用表!$L:$L,領用表!$E:$E,$B114,領用表!$B:$B,$BW$2&amp;BZ$2)</f>
        <v/>
      </c>
      <c r="CA114" s="206">
        <f>SUMIFS(領用表!$L:$L,領用表!$E:$E,$B114,領用表!$B:$B,$BW$2&amp;CA$2)</f>
        <v/>
      </c>
      <c r="CB114" s="208">
        <f>SUMIFS(領用表!$L:$L,領用表!$A:$A,CB$2,領用表!$E:$E,B114)</f>
        <v/>
      </c>
      <c r="CC114" s="206">
        <f>SUMIFS(領用表!$L:$L,領用表!$E:$E,$B114,領用表!$B:$B,CB$2&amp;CC$2)</f>
        <v/>
      </c>
      <c r="CD114" s="206">
        <f>SUMIFS(領用表!$L:$L,領用表!$E:$E,$B114,領用表!$B:$B,$CB$2&amp;CD$2)</f>
        <v/>
      </c>
      <c r="CE114" s="206">
        <f>SUMIFS(領用表!$L:$L,領用表!$E:$E,$B114,領用表!$B:$B,$CB$2&amp;CE$2)</f>
        <v/>
      </c>
      <c r="CF114" s="206">
        <f>SUMIFS(領用表!$L:$L,領用表!$E:$E,$B114,領用表!$B:$B,$CB$2&amp;CF$2)</f>
        <v/>
      </c>
      <c r="CG114" s="208">
        <f>SUMIFS(領用表!$L:$L,領用表!$A:$A,CG$2,領用表!$E:$E,B114)</f>
        <v/>
      </c>
      <c r="CH114" s="206">
        <f>SUMIFS(領用表!$L:$L,領用表!$E:$E,$B114,領用表!$B:$B,CG$2&amp;CH$2)</f>
        <v/>
      </c>
      <c r="CI114" s="206">
        <f>SUMIFS(領用表!$L:$L,領用表!$E:$E,$B114,領用表!$B:$B,CG$2&amp;CI$2)</f>
        <v/>
      </c>
      <c r="CJ114" s="206">
        <f>SUMIFS(領用表!$L:$L,領用表!$E:$E,$B114,領用表!$B:$B,CG$2&amp;CJ$2)</f>
        <v/>
      </c>
      <c r="CK114" s="206">
        <f>SUMIFS(領用表!$L:$L,領用表!$E:$E,$B114,領用表!$B:$B,$CG$2&amp;CK$2)</f>
        <v/>
      </c>
      <c r="CL114" s="207">
        <f>SUM(AX114,AY114,AZ114,BA114,BB114,BC114,BH114,BM114,BR114,BW114,CB114,CG114)</f>
        <v/>
      </c>
      <c r="CM114" s="207">
        <f>AVERAGE(AX114,AY114,AZ114,BA114,BB114,BC114,BH114,BM114,BR114,BW114,CB114,CG114)</f>
        <v/>
      </c>
      <c r="CN114" s="208">
        <f>SUMIFS(領用表!$L:$L,領用表!$A:$A,CN$2,領用表!$E:$E,B114)</f>
        <v/>
      </c>
      <c r="CO114" s="206">
        <f>SUMIFS(領用表!$L:$L,領用表!$E:$E,$B114,領用表!$B:$B,CN$2&amp;CO$2)</f>
        <v/>
      </c>
      <c r="CP114" s="206">
        <f>SUMIFS(領用表!$L:$L,領用表!$E:$E,$B114,領用表!$B:$B,$CN$2&amp;CP$2)</f>
        <v/>
      </c>
      <c r="CQ114" s="206">
        <f>SUMIFS(領用表!$L:$L,領用表!$E:$E,$B114,領用表!$B:$B,$CN$2&amp;CQ$2)</f>
        <v/>
      </c>
      <c r="CR114" s="206">
        <f>SUMIFS(領用表!$L:$L,領用表!$E:$E,$B114,領用表!$B:$B,$CN$2&amp;CR$2)</f>
        <v/>
      </c>
      <c r="CS114" s="208">
        <f>SUMIFS(領用表!$L:$L,領用表!$A:$A,CS$2,領用表!$E:$E,B114)</f>
        <v/>
      </c>
      <c r="CT114" s="206">
        <f>SUMIFS(領用表!$L:$L,領用表!$E:$E,$B114,領用表!$B:$B,CS$2&amp;CT$2)</f>
        <v/>
      </c>
      <c r="CU114" s="206">
        <f>SUMIFS(領用表!$L:$L,領用表!$E:$E,$B114,領用表!$B:$B,$CS$2&amp;CU$2)</f>
        <v/>
      </c>
      <c r="CV114" s="206">
        <f>SUMIFS(領用表!$L:$L,領用表!$E:$E,$B114,領用表!$B:$B,$CS$2&amp;CV$2)</f>
        <v/>
      </c>
      <c r="CW114" s="206">
        <f>SUMIFS(領用表!$L:$L,領用表!$E:$E,$B114,領用表!$B:$B,$CS$2&amp;CW$2)</f>
        <v/>
      </c>
      <c r="CX114" s="206">
        <f>SUMIFS(領用表!$L:$L,領用表!$E:$E,$B114,領用表!$B:$B,$CS$2&amp;CX$2)</f>
        <v/>
      </c>
      <c r="CY114" s="208">
        <f>SUMIFS(領用表!$L:$L,領用表!$A:$A,CY$2,領用表!$E:$E,B114)</f>
        <v/>
      </c>
      <c r="CZ114" s="206">
        <f>SUMIFS(領用表!$L:$L,領用表!$E:$E,$B114,領用表!$B:$B,CY$2&amp;CZ$2)</f>
        <v/>
      </c>
      <c r="DA114" s="206">
        <f>SUMIFS(領用表!$L:$L,領用表!$E:$E,$B114,領用表!$B:$B,$CY$2&amp;DA$2)</f>
        <v/>
      </c>
      <c r="DB114" s="206">
        <f>SUMIFS(領用表!$L:$L,領用表!$E:$E,$B114,領用表!$B:$B,$CY$2&amp;DB$2)</f>
        <v/>
      </c>
      <c r="DC114" s="206">
        <f>SUMIFS(領用表!$L:$L,領用表!$E:$E,$B114,領用表!$B:$B,$CY$2&amp;DC$2)</f>
        <v/>
      </c>
      <c r="DD114" s="206">
        <f>SUMIFS(領用表!$L:$L,領用表!$E:$E,$B114,領用表!$B:$B,$CY$2&amp;DD$2)</f>
        <v/>
      </c>
      <c r="DE114" s="208">
        <f>SUMIFS(領用表!$L:$L,領用表!$A:$A,DE$2,領用表!$E:$E,B114)</f>
        <v/>
      </c>
      <c r="DF114" s="206">
        <f>SUMIFS(領用表!$L:$L,領用表!$E:$E,$B114,領用表!$B:$B,DE$2&amp;DF$2)</f>
        <v/>
      </c>
      <c r="DG114" s="206">
        <f>SUMIFS(領用表!$L:$L,領用表!$E:$E,$B114,領用表!$B:$B,$DE$2&amp;DG$2)</f>
        <v/>
      </c>
      <c r="DH114" s="206">
        <f>SUMIFS(領用表!$L:$L,領用表!$E:$E,$B114,領用表!$B:$B,$DE$2&amp;DH$2)</f>
        <v/>
      </c>
      <c r="DI114" s="206">
        <f>SUMIFS(領用表!$L:$L,領用表!$E:$E,$B114,領用表!$B:$B,$DE$2&amp;DI$2)</f>
        <v/>
      </c>
      <c r="DJ114" s="206">
        <f>SUMIFS(領用表!$L:$L,領用表!$E:$E,$B114,領用表!$B:$B,$DE$2&amp;DJ$2)</f>
        <v/>
      </c>
      <c r="DK114" s="208">
        <f>SUMIFS(領用表!$L:$L,領用表!$A:$A,DK$2,領用表!$E:$E,$B114)</f>
        <v/>
      </c>
      <c r="DL114" s="206">
        <f>SUMIFS(領用表!$L:$L,領用表!$E:$E,$B114,領用表!$B:$B,DK$2&amp;DL$2)</f>
        <v/>
      </c>
      <c r="DM114" s="206">
        <f>SUMIFS(領用表!$L:$L,領用表!$E:$E,$B114,領用表!$B:$B,$DK$2&amp;DM$2)</f>
        <v/>
      </c>
      <c r="DN114" s="206">
        <f>SUMIFS(領用表!$L:$L,領用表!$E:$E,$B114,領用表!$B:$B,$DK$2&amp;DN$2)</f>
        <v/>
      </c>
      <c r="DO114" s="206">
        <f>SUMIFS(領用表!$L:$L,領用表!$E:$E,$B114,領用表!$B:$B,$DK$2&amp;DO$2)</f>
        <v/>
      </c>
      <c r="DP114" s="206">
        <f>SUMIFS(領用表!$L:$L,領用表!$E:$E,$B114,領用表!$B:$B,$DK$2&amp;DP$2)</f>
        <v/>
      </c>
      <c r="DQ114" s="208" t="n">
        <v>104</v>
      </c>
      <c r="DR114" s="206" t="n">
        <v>36</v>
      </c>
      <c r="DS114" s="206" t="n">
        <v>12</v>
      </c>
      <c r="DT114" s="206" t="n">
        <v>43</v>
      </c>
      <c r="DU114" s="206" t="n">
        <v>2</v>
      </c>
      <c r="DV114" s="206" t="n">
        <v>11</v>
      </c>
      <c r="DW114" s="206">
        <f>SUM(CN114,CS114,CY114,DE114,DK114,DQ114)</f>
        <v/>
      </c>
      <c r="DX114" s="206">
        <f>AVERAGEA(CN114,CS114,CY114,DE114,DK114,DQ114)</f>
        <v/>
      </c>
      <c r="DY114" s="206">
        <f>SUM(DZ114:EC114)</f>
        <v/>
      </c>
      <c r="DZ114" s="206" t="n">
        <v>0</v>
      </c>
      <c r="EA114" s="206" t="n">
        <v>0</v>
      </c>
      <c r="EB114" s="206" t="n">
        <v>0</v>
      </c>
      <c r="EC114" s="206" t="n">
        <v>0</v>
      </c>
      <c r="ED114" s="258" t="n">
        <v>20</v>
      </c>
      <c r="EE114" s="283" t="n"/>
      <c r="EF114" s="252" t="inlineStr">
        <is>
          <t>200-10/21</t>
        </is>
      </c>
      <c r="EG114" s="283" t="inlineStr">
        <is>
          <t>1000-10/21</t>
        </is>
      </c>
      <c r="EH114" s="136" t="n"/>
      <c r="EI114" s="289" t="n"/>
      <c r="EJ114" s="118">
        <f>IFERROR(VLOOKUP(A114,站前4樓!A:BF,57,0),0)</f>
        <v/>
      </c>
      <c r="EK114" s="213">
        <f>IFERROR(VLOOKUP(A114,站前11樓!A:BE,57,0),0)</f>
        <v/>
      </c>
      <c r="EL114" s="118">
        <f>IFERROR(VLOOKUP(A114,忠孝7樓!A:N,57,0),0)</f>
        <v/>
      </c>
      <c r="EM114" s="118">
        <f>IFERROR(VLOOKUP(A114,忠孝國際醫學3樓!A:L,57,0),0)</f>
        <v/>
      </c>
      <c r="EN114" s="118">
        <f>SUM(ED114:EG114)</f>
        <v/>
      </c>
    </row>
    <row r="115" ht="15.75" customFormat="1" customHeight="1" s="118">
      <c r="A115" s="306" t="inlineStr">
        <is>
          <t>MB3ME090016A</t>
        </is>
      </c>
      <c r="B115" s="118" t="n">
        <v>6120022</v>
      </c>
      <c r="C115" s="136" t="inlineStr">
        <is>
          <t>(銀杏) 循必利Gingo注射液0.84毫克/毫升 5ml</t>
        </is>
      </c>
      <c r="D115" s="307" t="n"/>
      <c r="E115" s="198" t="inlineStr">
        <is>
          <t>PCS</t>
        </is>
      </c>
      <c r="F115" s="225">
        <f>SUMIF(站前4樓!B:B,B115,站前4樓!F:F)</f>
        <v/>
      </c>
      <c r="G115" s="225">
        <f>SUMIF(站前11樓!B:B,B115,站前11樓!F:F)</f>
        <v/>
      </c>
      <c r="H115" s="225">
        <f>SUMIF(忠孝7樓!B:B,B115,忠孝7樓!G:G)</f>
        <v/>
      </c>
      <c r="I115" s="225">
        <f>SUMIF(忠孝國際醫學3樓!B:B,B115,忠孝國際醫學3樓!G:G)</f>
        <v/>
      </c>
      <c r="J115" s="225">
        <f>SUMIF(忠孝健康7樓!B:B,B115,忠孝健康7樓!G:G)</f>
        <v/>
      </c>
      <c r="K115" s="283" t="n"/>
      <c r="L115" s="283" t="n"/>
      <c r="M115" s="283" t="n"/>
      <c r="N115" s="283" t="n"/>
      <c r="O115" s="283" t="n"/>
      <c r="P115" s="283" t="n"/>
      <c r="Q115" s="283" t="n"/>
      <c r="R115" s="283" t="n"/>
      <c r="S115" s="283" t="n"/>
      <c r="T115" s="283" t="n"/>
      <c r="U115" s="283" t="n"/>
      <c r="V115" s="283" t="n"/>
      <c r="W115" s="283" t="n"/>
      <c r="X115" s="283" t="n"/>
      <c r="Y115" s="283" t="n"/>
      <c r="Z115" s="283" t="n"/>
      <c r="AA115" s="283" t="n"/>
      <c r="AB115" s="283" t="n"/>
      <c r="AC115" s="283" t="n"/>
      <c r="AD115" s="283" t="n"/>
      <c r="AE115" s="283" t="n"/>
      <c r="AF115" s="283" t="n"/>
      <c r="AG115" s="283" t="n"/>
      <c r="AH115" s="283" t="n"/>
      <c r="AI115" s="283" t="n"/>
      <c r="AJ115" s="201" t="n"/>
      <c r="AK115" s="201" t="n"/>
      <c r="AL115" s="201" t="n"/>
      <c r="AM115" s="201" t="n"/>
      <c r="AN115" s="201" t="n"/>
      <c r="AO115" s="201" t="n"/>
      <c r="AP115" s="201" t="n"/>
      <c r="AQ115" s="201" t="n">
        <v>0</v>
      </c>
      <c r="AR115" s="201" t="n">
        <v>0</v>
      </c>
      <c r="AS115" s="201" t="n">
        <v>0</v>
      </c>
      <c r="AT115" s="201" t="n">
        <v>0</v>
      </c>
      <c r="AU115" s="201" t="n">
        <v>0</v>
      </c>
      <c r="AV115" s="283">
        <f>SUM(AJ115:AU115)</f>
        <v/>
      </c>
      <c r="AW115" s="286">
        <f>AV115/12</f>
        <v/>
      </c>
      <c r="AX115" s="201" t="n">
        <v>0</v>
      </c>
      <c r="AY115" s="201" t="n">
        <v>0</v>
      </c>
      <c r="AZ115" s="201" t="n">
        <v>2</v>
      </c>
      <c r="BA115" s="201" t="n">
        <v>10</v>
      </c>
      <c r="BB115" s="201" t="n">
        <v>0</v>
      </c>
      <c r="BC115" s="203">
        <f>SUMIFS(領用表!$L:$L,領用表!$A:$A,BC$2,領用表!$E:$E,B115)</f>
        <v/>
      </c>
      <c r="BD115" s="287">
        <f>SUMIFS(領用表!$L:$L,領用表!$E:$E,$B115,領用表!$B:$B,BC$2&amp;BD$2)</f>
        <v/>
      </c>
      <c r="BE115" s="287">
        <f>SUMIFS(領用表!$L:$L,領用表!$E:$E,$B115,領用表!$B:$B,$BC$2&amp;BE$2)</f>
        <v/>
      </c>
      <c r="BF115" s="287">
        <f>SUMIFS(領用表!$L:$L,領用表!$E:$E,$B115,領用表!$B:$B,$BC$2&amp;BF$2)</f>
        <v/>
      </c>
      <c r="BG115" s="206">
        <f>SUMIFS(領用表!$L:$L,領用表!$E:$E,$B115,領用表!$B:$B,$BC$2&amp;BG$2)</f>
        <v/>
      </c>
      <c r="BH115" s="203">
        <f>SUMIFS(領用表!$L:$L,領用表!$A:$A,BH$2,領用表!$E:$E,B115)</f>
        <v/>
      </c>
      <c r="BI115" s="260">
        <f>SUMIFS(領用表!$L:$L,領用表!$E:$E,$B115,領用表!$B:$B,BH$2&amp;BI$2)</f>
        <v/>
      </c>
      <c r="BJ115" s="260">
        <f>SUMIFS(領用表!$L:$L,領用表!$E:$E,$B115,領用表!$B:$B,$BH$2&amp;BJ$2)</f>
        <v/>
      </c>
      <c r="BK115" s="260">
        <f>SUMIFS(領用表!$L:$L,領用表!$E:$E,$B115,領用表!$B:$B,$BH$2&amp;BK$2)</f>
        <v/>
      </c>
      <c r="BL115" s="260">
        <f>SUMIFS(領用表!$L:$L,領用表!$E:$E,$B115,領用表!$B:$B,$BH$2&amp;BL$2)</f>
        <v/>
      </c>
      <c r="BM115" s="203">
        <f>SUMIFS(領用表!$L:$L,領用表!$A:$A,BM$2,領用表!$E:$E,B115)</f>
        <v/>
      </c>
      <c r="BN115" s="206">
        <f>SUMIFS(領用表!$L:$L,領用表!$E:$E,$B115,領用表!$B:$B,BM$2&amp;BN$2)</f>
        <v/>
      </c>
      <c r="BO115" s="206">
        <f>SUMIFS(領用表!$L:$L,領用表!$E:$E,$B115,領用表!$B:$B,$BM$2&amp;BO$2)</f>
        <v/>
      </c>
      <c r="BP115" s="288">
        <f>SUMIFS(領用表!$L:$L,領用表!$E:$E,$B115,領用表!$B:$B,$BM$2&amp;BP$2)</f>
        <v/>
      </c>
      <c r="BQ115" s="287">
        <f>SUMIFS(領用表!$L:$L,領用表!$E:$E,$B115,領用表!$B:$B,$BM$2&amp;BQ$2)</f>
        <v/>
      </c>
      <c r="BR115" s="203">
        <f>SUMIFS(領用表!$L:$L,領用表!$A:$A,BR$2,領用表!$E:$E,B115)</f>
        <v/>
      </c>
      <c r="BS115" s="288">
        <f>SUMIFS(領用表!$L:$L,領用表!$E:$E,$B115,領用表!$B:$B,BR$2&amp;BS$2)</f>
        <v/>
      </c>
      <c r="BT115" s="288">
        <f>SUMIFS(領用表!$L:$L,領用表!$E:$E,$B115,領用表!$B:$B,$BR$2&amp;BT$2)</f>
        <v/>
      </c>
      <c r="BU115" s="288">
        <f>SUMIFS(領用表!$L:$L,領用表!$E:$E,$B115,領用表!$B:$B,$BR$2&amp;BU$2)</f>
        <v/>
      </c>
      <c r="BV115" s="287">
        <f>SUMIFS(領用表!$L:$L,領用表!$E:$E,$B115,領用表!$B:$B,$BR$2&amp;BV$2)</f>
        <v/>
      </c>
      <c r="BW115" s="208">
        <f>SUMIFS(領用表!$L:$L,領用表!$A:$A,BW$2,領用表!$E:$E,B115)</f>
        <v/>
      </c>
      <c r="BX115" s="206">
        <f>SUMIFS(領用表!$L:$L,領用表!$E:$E,$B115,領用表!$B:$B,BW$2&amp;BX$2)</f>
        <v/>
      </c>
      <c r="BY115" s="206">
        <f>SUMIFS(領用表!$L:$L,領用表!$E:$E,$B115,領用表!$B:$B,$BW$2&amp;BY$2)</f>
        <v/>
      </c>
      <c r="BZ115" s="206">
        <f>SUMIFS(領用表!$L:$L,領用表!$E:$E,$B115,領用表!$B:$B,$BW$2&amp;BZ$2)</f>
        <v/>
      </c>
      <c r="CA115" s="206">
        <f>SUMIFS(領用表!$L:$L,領用表!$E:$E,$B115,領用表!$B:$B,$BW$2&amp;CA$2)</f>
        <v/>
      </c>
      <c r="CB115" s="208">
        <f>SUMIFS(領用表!$L:$L,領用表!$A:$A,CB$2,領用表!$E:$E,B115)</f>
        <v/>
      </c>
      <c r="CC115" s="206">
        <f>SUMIFS(領用表!$L:$L,領用表!$E:$E,$B115,領用表!$B:$B,CB$2&amp;CC$2)</f>
        <v/>
      </c>
      <c r="CD115" s="206">
        <f>SUMIFS(領用表!$L:$L,領用表!$E:$E,$B115,領用表!$B:$B,$CB$2&amp;CD$2)</f>
        <v/>
      </c>
      <c r="CE115" s="206">
        <f>SUMIFS(領用表!$L:$L,領用表!$E:$E,$B115,領用表!$B:$B,$CB$2&amp;CE$2)</f>
        <v/>
      </c>
      <c r="CF115" s="206">
        <f>SUMIFS(領用表!$L:$L,領用表!$E:$E,$B115,領用表!$B:$B,$CB$2&amp;CF$2)</f>
        <v/>
      </c>
      <c r="CG115" s="208">
        <f>SUMIFS(領用表!$L:$L,領用表!$A:$A,CG$2,領用表!$E:$E,B115)</f>
        <v/>
      </c>
      <c r="CH115" s="206">
        <f>SUMIFS(領用表!$L:$L,領用表!$E:$E,$B115,領用表!$B:$B,CG$2&amp;CH$2)</f>
        <v/>
      </c>
      <c r="CI115" s="206">
        <f>SUMIFS(領用表!$L:$L,領用表!$E:$E,$B115,領用表!$B:$B,CG$2&amp;CI$2)</f>
        <v/>
      </c>
      <c r="CJ115" s="206">
        <f>SUMIFS(領用表!$L:$L,領用表!$E:$E,$B115,領用表!$B:$B,CG$2&amp;CJ$2)</f>
        <v/>
      </c>
      <c r="CK115" s="206">
        <f>SUMIFS(領用表!$L:$L,領用表!$E:$E,$B115,領用表!$B:$B,$CG$2&amp;CK$2)</f>
        <v/>
      </c>
      <c r="CL115" s="207">
        <f>SUM(AX115,AY115,AZ115,BA115,BB115,BC115,BH115,BM115,BR115,BW115,CB115,CG115)</f>
        <v/>
      </c>
      <c r="CM115" s="207">
        <f>AVERAGE(AX115,AY115,AZ115,BA115,BB115,BC115,BH115,BM115,BR115,BW115,CB115,CG115)</f>
        <v/>
      </c>
      <c r="CN115" s="208">
        <f>SUMIFS(領用表!$L:$L,領用表!$A:$A,CN$2,領用表!$E:$E,B115)</f>
        <v/>
      </c>
      <c r="CO115" s="206">
        <f>SUMIFS(領用表!$L:$L,領用表!$E:$E,$B115,領用表!$B:$B,CN$2&amp;CO$2)</f>
        <v/>
      </c>
      <c r="CP115" s="206">
        <f>SUMIFS(領用表!$L:$L,領用表!$E:$E,$B115,領用表!$B:$B,$CN$2&amp;CP$2)</f>
        <v/>
      </c>
      <c r="CQ115" s="206">
        <f>SUMIFS(領用表!$L:$L,領用表!$E:$E,$B115,領用表!$B:$B,$CN$2&amp;CQ$2)</f>
        <v/>
      </c>
      <c r="CR115" s="206">
        <f>SUMIFS(領用表!$L:$L,領用表!$E:$E,$B115,領用表!$B:$B,$CN$2&amp;CR$2)</f>
        <v/>
      </c>
      <c r="CS115" s="208">
        <f>SUMIFS(領用表!$L:$L,領用表!$A:$A,CS$2,領用表!$E:$E,B115)</f>
        <v/>
      </c>
      <c r="CT115" s="206">
        <f>SUMIFS(領用表!$L:$L,領用表!$E:$E,$B115,領用表!$B:$B,CS$2&amp;CT$2)</f>
        <v/>
      </c>
      <c r="CU115" s="206">
        <f>SUMIFS(領用表!$L:$L,領用表!$E:$E,$B115,領用表!$B:$B,$CS$2&amp;CU$2)</f>
        <v/>
      </c>
      <c r="CV115" s="206">
        <f>SUMIFS(領用表!$L:$L,領用表!$E:$E,$B115,領用表!$B:$B,$CS$2&amp;CV$2)</f>
        <v/>
      </c>
      <c r="CW115" s="206">
        <f>SUMIFS(領用表!$L:$L,領用表!$E:$E,$B115,領用表!$B:$B,$CS$2&amp;CW$2)</f>
        <v/>
      </c>
      <c r="CX115" s="206">
        <f>SUMIFS(領用表!$L:$L,領用表!$E:$E,$B115,領用表!$B:$B,$CS$2&amp;CX$2)</f>
        <v/>
      </c>
      <c r="CY115" s="208">
        <f>SUMIFS(領用表!$L:$L,領用表!$A:$A,CY$2,領用表!$E:$E,B115)</f>
        <v/>
      </c>
      <c r="CZ115" s="206">
        <f>SUMIFS(領用表!$L:$L,領用表!$E:$E,$B115,領用表!$B:$B,CY$2&amp;CZ$2)</f>
        <v/>
      </c>
      <c r="DA115" s="206">
        <f>SUMIFS(領用表!$L:$L,領用表!$E:$E,$B115,領用表!$B:$B,$CY$2&amp;DA$2)</f>
        <v/>
      </c>
      <c r="DB115" s="206">
        <f>SUMIFS(領用表!$L:$L,領用表!$E:$E,$B115,領用表!$B:$B,$CY$2&amp;DB$2)</f>
        <v/>
      </c>
      <c r="DC115" s="206">
        <f>SUMIFS(領用表!$L:$L,領用表!$E:$E,$B115,領用表!$B:$B,$CY$2&amp;DC$2)</f>
        <v/>
      </c>
      <c r="DD115" s="206">
        <f>SUMIFS(領用表!$L:$L,領用表!$E:$E,$B115,領用表!$B:$B,$CY$2&amp;DD$2)</f>
        <v/>
      </c>
      <c r="DE115" s="208">
        <f>SUMIFS(領用表!$L:$L,領用表!$A:$A,DE$2,領用表!$E:$E,B115)</f>
        <v/>
      </c>
      <c r="DF115" s="206">
        <f>SUMIFS(領用表!$L:$L,領用表!$E:$E,$B115,領用表!$B:$B,DE$2&amp;DF$2)</f>
        <v/>
      </c>
      <c r="DG115" s="206">
        <f>SUMIFS(領用表!$L:$L,領用表!$E:$E,$B115,領用表!$B:$B,$DE$2&amp;DG$2)</f>
        <v/>
      </c>
      <c r="DH115" s="206">
        <f>SUMIFS(領用表!$L:$L,領用表!$E:$E,$B115,領用表!$B:$B,$DE$2&amp;DH$2)</f>
        <v/>
      </c>
      <c r="DI115" s="206">
        <f>SUMIFS(領用表!$L:$L,領用表!$E:$E,$B115,領用表!$B:$B,$DE$2&amp;DI$2)</f>
        <v/>
      </c>
      <c r="DJ115" s="206">
        <f>SUMIFS(領用表!$L:$L,領用表!$E:$E,$B115,領用表!$B:$B,$DE$2&amp;DJ$2)</f>
        <v/>
      </c>
      <c r="DK115" s="208">
        <f>SUMIFS(領用表!$L:$L,領用表!$A:$A,DK$2,領用表!$E:$E,$B115)</f>
        <v/>
      </c>
      <c r="DL115" s="206">
        <f>SUMIFS(領用表!$L:$L,領用表!$E:$E,$B115,領用表!$B:$B,DK$2&amp;DL$2)</f>
        <v/>
      </c>
      <c r="DM115" s="206">
        <f>SUMIFS(領用表!$L:$L,領用表!$E:$E,$B115,領用表!$B:$B,$DK$2&amp;DM$2)</f>
        <v/>
      </c>
      <c r="DN115" s="206">
        <f>SUMIFS(領用表!$L:$L,領用表!$E:$E,$B115,領用表!$B:$B,$DK$2&amp;DN$2)</f>
        <v/>
      </c>
      <c r="DO115" s="206">
        <f>SUMIFS(領用表!$L:$L,領用表!$E:$E,$B115,領用表!$B:$B,$DK$2&amp;DO$2)</f>
        <v/>
      </c>
      <c r="DP115" s="206">
        <f>SUMIFS(領用表!$L:$L,領用表!$E:$E,$B115,領用表!$B:$B,$DK$2&amp;DP$2)</f>
        <v/>
      </c>
      <c r="DQ115" s="208" t="n">
        <v>2</v>
      </c>
      <c r="DR115" s="206" t="n"/>
      <c r="DS115" s="206" t="n"/>
      <c r="DT115" s="206" t="n">
        <v>2</v>
      </c>
      <c r="DU115" s="206" t="n"/>
      <c r="DV115" s="206" t="n"/>
      <c r="DW115" s="206">
        <f>SUM(CN115,CS115,CY115,DE115,DK115,DQ115)</f>
        <v/>
      </c>
      <c r="DX115" s="206">
        <f>AVERAGEA(CN115,CS115,CY115,DE115,DK115,DQ115)</f>
        <v/>
      </c>
      <c r="DY115" s="206">
        <f>SUM(DZ115:EC115)</f>
        <v/>
      </c>
      <c r="DZ115" s="206" t="n">
        <v>0</v>
      </c>
      <c r="EA115" s="206" t="n">
        <v>0</v>
      </c>
      <c r="EB115" s="206" t="n">
        <v>0</v>
      </c>
      <c r="EC115" s="206" t="n">
        <v>0</v>
      </c>
      <c r="ED115" s="258" t="n">
        <v>20</v>
      </c>
      <c r="EE115" s="283" t="n"/>
      <c r="EF115" s="283" t="n"/>
      <c r="EG115" s="283" t="n"/>
      <c r="EH115" s="136" t="n"/>
      <c r="EI115" s="289" t="n"/>
      <c r="EJ115" s="118">
        <f>IFERROR(VLOOKUP(A115,站前4樓!A:BF,57,0),0)</f>
        <v/>
      </c>
      <c r="EK115" s="213">
        <f>IFERROR(VLOOKUP(A115,站前11樓!A:BE,57,0),0)</f>
        <v/>
      </c>
      <c r="EL115" s="118">
        <f>IFERROR(VLOOKUP(A115,忠孝7樓!A:N,57,0),0)</f>
        <v/>
      </c>
      <c r="EM115" s="118">
        <f>IFERROR(VLOOKUP(A115,忠孝國際醫學3樓!A:L,57,0),0)</f>
        <v/>
      </c>
      <c r="EN115" s="118">
        <f>SUM(ED115:EG115)</f>
        <v/>
      </c>
    </row>
    <row r="116" ht="15.75" customFormat="1" customHeight="1" s="118" thickBot="1">
      <c r="A116" s="321" t="inlineStr">
        <is>
          <t>MB3ME090023A</t>
        </is>
      </c>
      <c r="B116" s="118" t="n">
        <v>6120018</v>
      </c>
      <c r="C116" s="118" t="inlineStr">
        <is>
          <t>(傳明酸) 止血明 5ml/支</t>
        </is>
      </c>
      <c r="D116" s="307" t="n"/>
      <c r="E116" s="198" t="inlineStr">
        <is>
          <t>PCS</t>
        </is>
      </c>
      <c r="F116" s="225">
        <f>SUMIF(站前4樓!B:B,B116,站前4樓!F:F)</f>
        <v/>
      </c>
      <c r="G116" s="225">
        <f>SUMIF(站前11樓!B:B,B116,站前11樓!F:F)</f>
        <v/>
      </c>
      <c r="H116" s="225">
        <f>SUMIF(忠孝7樓!B:B,B116,忠孝7樓!G:G)</f>
        <v/>
      </c>
      <c r="I116" s="225">
        <f>SUMIF(忠孝國際醫學3樓!B:B,B116,忠孝國際醫學3樓!G:G)</f>
        <v/>
      </c>
      <c r="J116" s="225">
        <f>SUMIF(忠孝健康7樓!B:B,B116,忠孝健康7樓!G:G)</f>
        <v/>
      </c>
      <c r="K116" s="283" t="n"/>
      <c r="L116" s="283" t="n"/>
      <c r="M116" s="283" t="n"/>
      <c r="N116" s="283" t="n"/>
      <c r="O116" s="283" t="n"/>
      <c r="P116" s="283" t="n"/>
      <c r="Q116" s="283" t="n"/>
      <c r="R116" s="283" t="n"/>
      <c r="S116" s="283" t="n"/>
      <c r="T116" s="283" t="n"/>
      <c r="U116" s="283" t="n"/>
      <c r="V116" s="283" t="n"/>
      <c r="W116" s="283" t="n"/>
      <c r="X116" s="283" t="n"/>
      <c r="Y116" s="283" t="n"/>
      <c r="Z116" s="283" t="n"/>
      <c r="AA116" s="283" t="n"/>
      <c r="AB116" s="283" t="n"/>
      <c r="AC116" s="283" t="n"/>
      <c r="AD116" s="283" t="n"/>
      <c r="AE116" s="283" t="n"/>
      <c r="AF116" s="283" t="n"/>
      <c r="AG116" s="283" t="n"/>
      <c r="AH116" s="283" t="n"/>
      <c r="AI116" s="283" t="n"/>
      <c r="AJ116" s="201" t="n"/>
      <c r="AK116" s="201" t="n"/>
      <c r="AL116" s="201" t="n"/>
      <c r="AM116" s="201" t="n"/>
      <c r="AN116" s="201" t="n"/>
      <c r="AO116" s="201" t="n"/>
      <c r="AP116" s="201" t="n"/>
      <c r="AQ116" s="201" t="n">
        <v>0</v>
      </c>
      <c r="AR116" s="201" t="n">
        <v>0</v>
      </c>
      <c r="AS116" s="201" t="n">
        <v>0</v>
      </c>
      <c r="AT116" s="201" t="n">
        <v>0</v>
      </c>
      <c r="AU116" s="201" t="n">
        <v>0</v>
      </c>
      <c r="AV116" s="283">
        <f>SUM(AJ116:AU116)</f>
        <v/>
      </c>
      <c r="AW116" s="286">
        <f>AV116/12</f>
        <v/>
      </c>
      <c r="AX116" s="201" t="n">
        <v>0</v>
      </c>
      <c r="AY116" s="201" t="n">
        <v>0</v>
      </c>
      <c r="AZ116" s="201" t="n">
        <v>17</v>
      </c>
      <c r="BA116" s="201" t="n">
        <v>13</v>
      </c>
      <c r="BB116" s="201" t="n">
        <v>9</v>
      </c>
      <c r="BC116" s="203">
        <f>SUMIFS(領用表!$L:$L,領用表!$A:$A,BC$2,領用表!$E:$E,B116)</f>
        <v/>
      </c>
      <c r="BD116" s="287">
        <f>SUMIFS(領用表!$L:$L,領用表!$E:$E,$B116,領用表!$B:$B,BC$2&amp;BD$2)</f>
        <v/>
      </c>
      <c r="BE116" s="287">
        <f>SUMIFS(領用表!$L:$L,領用表!$E:$E,$B116,領用表!$B:$B,$BC$2&amp;BE$2)</f>
        <v/>
      </c>
      <c r="BF116" s="287">
        <f>SUMIFS(領用表!$L:$L,領用表!$E:$E,$B116,領用表!$B:$B,$BC$2&amp;BF$2)</f>
        <v/>
      </c>
      <c r="BG116" s="206">
        <f>SUMIFS(領用表!$L:$L,領用表!$E:$E,$B116,領用表!$B:$B,$BC$2&amp;BG$2)</f>
        <v/>
      </c>
      <c r="BH116" s="203">
        <f>SUMIFS(領用表!$L:$L,領用表!$A:$A,BH$2,領用表!$E:$E,B116)</f>
        <v/>
      </c>
      <c r="BI116" s="260">
        <f>SUMIFS(領用表!$L:$L,領用表!$E:$E,$B116,領用表!$B:$B,BH$2&amp;BI$2)</f>
        <v/>
      </c>
      <c r="BJ116" s="260">
        <f>SUMIFS(領用表!$L:$L,領用表!$E:$E,$B116,領用表!$B:$B,$BH$2&amp;BJ$2)</f>
        <v/>
      </c>
      <c r="BK116" s="260">
        <f>SUMIFS(領用表!$L:$L,領用表!$E:$E,$B116,領用表!$B:$B,$BH$2&amp;BK$2)</f>
        <v/>
      </c>
      <c r="BL116" s="260">
        <f>SUMIFS(領用表!$L:$L,領用表!$E:$E,$B116,領用表!$B:$B,$BH$2&amp;BL$2)</f>
        <v/>
      </c>
      <c r="BM116" s="203">
        <f>SUMIFS(領用表!$L:$L,領用表!$A:$A,BM$2,領用表!$E:$E,B116)</f>
        <v/>
      </c>
      <c r="BN116" s="206">
        <f>SUMIFS(領用表!$L:$L,領用表!$E:$E,$B116,領用表!$B:$B,BM$2&amp;BN$2)</f>
        <v/>
      </c>
      <c r="BO116" s="206">
        <f>SUMIFS(領用表!$L:$L,領用表!$E:$E,$B116,領用表!$B:$B,$BM$2&amp;BO$2)</f>
        <v/>
      </c>
      <c r="BP116" s="288">
        <f>SUMIFS(領用表!$L:$L,領用表!$E:$E,$B116,領用表!$B:$B,$BM$2&amp;BP$2)</f>
        <v/>
      </c>
      <c r="BQ116" s="287">
        <f>SUMIFS(領用表!$L:$L,領用表!$E:$E,$B116,領用表!$B:$B,$BM$2&amp;BQ$2)</f>
        <v/>
      </c>
      <c r="BR116" s="203">
        <f>SUMIFS(領用表!$L:$L,領用表!$A:$A,BR$2,領用表!$E:$E,B116)</f>
        <v/>
      </c>
      <c r="BS116" s="288">
        <f>SUMIFS(領用表!$L:$L,領用表!$E:$E,$B116,領用表!$B:$B,BR$2&amp;BS$2)</f>
        <v/>
      </c>
      <c r="BT116" s="288">
        <f>SUMIFS(領用表!$L:$L,領用表!$E:$E,$B116,領用表!$B:$B,$BR$2&amp;BT$2)</f>
        <v/>
      </c>
      <c r="BU116" s="288">
        <f>SUMIFS(領用表!$L:$L,領用表!$E:$E,$B116,領用表!$B:$B,$BR$2&amp;BU$2)</f>
        <v/>
      </c>
      <c r="BV116" s="287">
        <f>SUMIFS(領用表!$L:$L,領用表!$E:$E,$B116,領用表!$B:$B,$BR$2&amp;BV$2)</f>
        <v/>
      </c>
      <c r="BW116" s="208">
        <f>SUMIFS(領用表!$L:$L,領用表!$A:$A,BW$2,領用表!$E:$E,B116)</f>
        <v/>
      </c>
      <c r="BX116" s="206">
        <f>SUMIFS(領用表!$L:$L,領用表!$E:$E,$B116,領用表!$B:$B,BW$2&amp;BX$2)</f>
        <v/>
      </c>
      <c r="BY116" s="206">
        <f>SUMIFS(領用表!$L:$L,領用表!$E:$E,$B116,領用表!$B:$B,$BW$2&amp;BY$2)</f>
        <v/>
      </c>
      <c r="BZ116" s="206">
        <f>SUMIFS(領用表!$L:$L,領用表!$E:$E,$B116,領用表!$B:$B,$BW$2&amp;BZ$2)</f>
        <v/>
      </c>
      <c r="CA116" s="206">
        <f>SUMIFS(領用表!$L:$L,領用表!$E:$E,$B116,領用表!$B:$B,$BW$2&amp;CA$2)</f>
        <v/>
      </c>
      <c r="CB116" s="208">
        <f>SUMIFS(領用表!$L:$L,領用表!$A:$A,CB$2,領用表!$E:$E,B116)</f>
        <v/>
      </c>
      <c r="CC116" s="206">
        <f>SUMIFS(領用表!$L:$L,領用表!$E:$E,$B116,領用表!$B:$B,CB$2&amp;CC$2)</f>
        <v/>
      </c>
      <c r="CD116" s="206">
        <f>SUMIFS(領用表!$L:$L,領用表!$E:$E,$B116,領用表!$B:$B,$CB$2&amp;CD$2)</f>
        <v/>
      </c>
      <c r="CE116" s="206">
        <f>SUMIFS(領用表!$L:$L,領用表!$E:$E,$B116,領用表!$B:$B,$CB$2&amp;CE$2)</f>
        <v/>
      </c>
      <c r="CF116" s="206">
        <f>SUMIFS(領用表!$L:$L,領用表!$E:$E,$B116,領用表!$B:$B,$CB$2&amp;CF$2)</f>
        <v/>
      </c>
      <c r="CG116" s="208">
        <f>SUMIFS(領用表!$L:$L,領用表!$A:$A,CG$2,領用表!$E:$E,B116)</f>
        <v/>
      </c>
      <c r="CH116" s="206">
        <f>SUMIFS(領用表!$L:$L,領用表!$E:$E,$B116,領用表!$B:$B,CG$2&amp;CH$2)</f>
        <v/>
      </c>
      <c r="CI116" s="206">
        <f>SUMIFS(領用表!$L:$L,領用表!$E:$E,$B116,領用表!$B:$B,CG$2&amp;CI$2)</f>
        <v/>
      </c>
      <c r="CJ116" s="206">
        <f>SUMIFS(領用表!$L:$L,領用表!$E:$E,$B116,領用表!$B:$B,CG$2&amp;CJ$2)</f>
        <v/>
      </c>
      <c r="CK116" s="206">
        <f>SUMIFS(領用表!$L:$L,領用表!$E:$E,$B116,領用表!$B:$B,$CG$2&amp;CK$2)</f>
        <v/>
      </c>
      <c r="CL116" s="207">
        <f>SUM(AX116,AY116,AZ116,BA116,BB116,BC116,BH116,BM116,BR116,BW116,CB116,CG116)</f>
        <v/>
      </c>
      <c r="CM116" s="207">
        <f>AVERAGE(AX116,AY116,AZ116,BA116,BB116,BC116,BH116,BM116,BR116,BW116,CB116,CG116)</f>
        <v/>
      </c>
      <c r="CN116" s="208">
        <f>SUMIFS(領用表!$L:$L,領用表!$A:$A,CN$2,領用表!$E:$E,B116)</f>
        <v/>
      </c>
      <c r="CO116" s="206">
        <f>SUMIFS(領用表!$L:$L,領用表!$E:$E,$B116,領用表!$B:$B,CN$2&amp;CO$2)</f>
        <v/>
      </c>
      <c r="CP116" s="206">
        <f>SUMIFS(領用表!$L:$L,領用表!$E:$E,$B116,領用表!$B:$B,$CN$2&amp;CP$2)</f>
        <v/>
      </c>
      <c r="CQ116" s="206">
        <f>SUMIFS(領用表!$L:$L,領用表!$E:$E,$B116,領用表!$B:$B,$CN$2&amp;CQ$2)</f>
        <v/>
      </c>
      <c r="CR116" s="206">
        <f>SUMIFS(領用表!$L:$L,領用表!$E:$E,$B116,領用表!$B:$B,$CN$2&amp;CR$2)</f>
        <v/>
      </c>
      <c r="CS116" s="208">
        <f>SUMIFS(領用表!$L:$L,領用表!$A:$A,CS$2,領用表!$E:$E,B116)</f>
        <v/>
      </c>
      <c r="CT116" s="206">
        <f>SUMIFS(領用表!$L:$L,領用表!$E:$E,$B116,領用表!$B:$B,CS$2&amp;CT$2)</f>
        <v/>
      </c>
      <c r="CU116" s="206">
        <f>SUMIFS(領用表!$L:$L,領用表!$E:$E,$B116,領用表!$B:$B,$CS$2&amp;CU$2)</f>
        <v/>
      </c>
      <c r="CV116" s="206">
        <f>SUMIFS(領用表!$L:$L,領用表!$E:$E,$B116,領用表!$B:$B,$CS$2&amp;CV$2)</f>
        <v/>
      </c>
      <c r="CW116" s="206">
        <f>SUMIFS(領用表!$L:$L,領用表!$E:$E,$B116,領用表!$B:$B,$CS$2&amp;CW$2)</f>
        <v/>
      </c>
      <c r="CX116" s="206">
        <f>SUMIFS(領用表!$L:$L,領用表!$E:$E,$B116,領用表!$B:$B,$CS$2&amp;CX$2)</f>
        <v/>
      </c>
      <c r="CY116" s="208">
        <f>SUMIFS(領用表!$L:$L,領用表!$A:$A,CY$2,領用表!$E:$E,B116)</f>
        <v/>
      </c>
      <c r="CZ116" s="206">
        <f>SUMIFS(領用表!$L:$L,領用表!$E:$E,$B116,領用表!$B:$B,CY$2&amp;CZ$2)</f>
        <v/>
      </c>
      <c r="DA116" s="206">
        <f>SUMIFS(領用表!$L:$L,領用表!$E:$E,$B116,領用表!$B:$B,$CY$2&amp;DA$2)</f>
        <v/>
      </c>
      <c r="DB116" s="206">
        <f>SUMIFS(領用表!$L:$L,領用表!$E:$E,$B116,領用表!$B:$B,$CY$2&amp;DB$2)</f>
        <v/>
      </c>
      <c r="DC116" s="206">
        <f>SUMIFS(領用表!$L:$L,領用表!$E:$E,$B116,領用表!$B:$B,$CY$2&amp;DC$2)</f>
        <v/>
      </c>
      <c r="DD116" s="206">
        <f>SUMIFS(領用表!$L:$L,領用表!$E:$E,$B116,領用表!$B:$B,$CY$2&amp;DD$2)</f>
        <v/>
      </c>
      <c r="DE116" s="208">
        <f>SUMIFS(領用表!$L:$L,領用表!$A:$A,DE$2,領用表!$E:$E,B116)</f>
        <v/>
      </c>
      <c r="DF116" s="206">
        <f>SUMIFS(領用表!$L:$L,領用表!$E:$E,$B116,領用表!$B:$B,DE$2&amp;DF$2)</f>
        <v/>
      </c>
      <c r="DG116" s="206">
        <f>SUMIFS(領用表!$L:$L,領用表!$E:$E,$B116,領用表!$B:$B,$DE$2&amp;DG$2)</f>
        <v/>
      </c>
      <c r="DH116" s="206">
        <f>SUMIFS(領用表!$L:$L,領用表!$E:$E,$B116,領用表!$B:$B,$DE$2&amp;DH$2)</f>
        <v/>
      </c>
      <c r="DI116" s="206">
        <f>SUMIFS(領用表!$L:$L,領用表!$E:$E,$B116,領用表!$B:$B,$DE$2&amp;DI$2)</f>
        <v/>
      </c>
      <c r="DJ116" s="206">
        <f>SUMIFS(領用表!$L:$L,領用表!$E:$E,$B116,領用表!$B:$B,$DE$2&amp;DJ$2)</f>
        <v/>
      </c>
      <c r="DK116" s="208">
        <f>SUMIFS(領用表!$L:$L,領用表!$A:$A,DK$2,領用表!$E:$E,$B116)</f>
        <v/>
      </c>
      <c r="DL116" s="206">
        <f>SUMIFS(領用表!$L:$L,領用表!$E:$E,$B116,領用表!$B:$B,DK$2&amp;DL$2)</f>
        <v/>
      </c>
      <c r="DM116" s="206">
        <f>SUMIFS(領用表!$L:$L,領用表!$E:$E,$B116,領用表!$B:$B,$DK$2&amp;DM$2)</f>
        <v/>
      </c>
      <c r="DN116" s="206">
        <f>SUMIFS(領用表!$L:$L,領用表!$E:$E,$B116,領用表!$B:$B,$DK$2&amp;DN$2)</f>
        <v/>
      </c>
      <c r="DO116" s="206">
        <f>SUMIFS(領用表!$L:$L,領用表!$E:$E,$B116,領用表!$B:$B,$DK$2&amp;DO$2)</f>
        <v/>
      </c>
      <c r="DP116" s="206">
        <f>SUMIFS(領用表!$L:$L,領用表!$E:$E,$B116,領用表!$B:$B,$DK$2&amp;DP$2)</f>
        <v/>
      </c>
      <c r="DQ116" s="208" t="n">
        <v>113</v>
      </c>
      <c r="DR116" s="206" t="n">
        <v>34</v>
      </c>
      <c r="DS116" s="206" t="n"/>
      <c r="DT116" s="206" t="n">
        <v>54</v>
      </c>
      <c r="DU116" s="206" t="n"/>
      <c r="DV116" s="206" t="n">
        <v>25</v>
      </c>
      <c r="DW116" s="206">
        <f>SUM(CN116,CS116,CY116,DE116,DK116,DQ116)</f>
        <v/>
      </c>
      <c r="DX116" s="206">
        <f>AVERAGEA(CN116,CS116,CY116,DE116,DK116,DQ116)</f>
        <v/>
      </c>
      <c r="DY116" s="206">
        <f>SUM(DZ116:EC116)</f>
        <v/>
      </c>
      <c r="DZ116" s="206" t="n">
        <v>0</v>
      </c>
      <c r="EA116" s="206" t="n">
        <v>0</v>
      </c>
      <c r="EB116" s="206" t="n">
        <v>0</v>
      </c>
      <c r="EC116" s="206" t="n">
        <v>0</v>
      </c>
      <c r="ED116" s="258" t="n">
        <v>20</v>
      </c>
      <c r="EE116" s="283" t="n"/>
      <c r="EF116" s="252" t="inlineStr">
        <is>
          <t>100-10/24</t>
        </is>
      </c>
      <c r="EG116" s="283" t="n"/>
      <c r="EH116" s="136" t="n"/>
      <c r="EI116" s="289" t="n"/>
      <c r="EJ116" s="118">
        <f>IFERROR(VLOOKUP(A116,站前4樓!A:BF,57,0),0)</f>
        <v/>
      </c>
      <c r="EK116" s="213">
        <f>IFERROR(VLOOKUP(A116,站前11樓!A:BE,57,0),0)</f>
        <v/>
      </c>
      <c r="EL116" s="118">
        <f>IFERROR(VLOOKUP(A116,忠孝7樓!A:N,57,0),0)</f>
        <v/>
      </c>
      <c r="EM116" s="118">
        <f>IFERROR(VLOOKUP(A116,忠孝國際醫學3樓!A:L,57,0),0)</f>
        <v/>
      </c>
      <c r="EN116" s="118">
        <f>SUM(ED116:EG116)</f>
        <v/>
      </c>
    </row>
    <row r="117" ht="15.75" customFormat="1" customHeight="1" s="118" thickBot="1">
      <c r="A117" s="320" t="inlineStr">
        <is>
          <t>MB3ME090022A</t>
        </is>
      </c>
      <c r="B117" s="118" t="n">
        <v>6120027</v>
      </c>
      <c r="C117" s="136" t="inlineStr">
        <is>
          <t>硫皙酸</t>
        </is>
      </c>
      <c r="D117" s="307" t="n"/>
      <c r="E117" s="198" t="inlineStr">
        <is>
          <t>PCS</t>
        </is>
      </c>
      <c r="F117" s="225">
        <f>SUMIF(站前4樓!B:B,B117,站前4樓!F:F)</f>
        <v/>
      </c>
      <c r="G117" s="225">
        <f>SUMIF(站前11樓!B:B,B117,站前11樓!F:F)</f>
        <v/>
      </c>
      <c r="H117" s="225">
        <f>SUMIF(忠孝7樓!B:B,B117,忠孝7樓!G:G)</f>
        <v/>
      </c>
      <c r="I117" s="225">
        <f>SUMIF(忠孝國際醫學3樓!B:B,B117,忠孝國際醫學3樓!G:G)</f>
        <v/>
      </c>
      <c r="J117" s="225">
        <f>SUMIF(忠孝健康7樓!B:B,B117,忠孝健康7樓!G:G)</f>
        <v/>
      </c>
      <c r="K117" s="283" t="n"/>
      <c r="L117" s="283" t="n"/>
      <c r="M117" s="283" t="n"/>
      <c r="N117" s="283" t="n"/>
      <c r="O117" s="283" t="n"/>
      <c r="P117" s="283" t="n"/>
      <c r="Q117" s="283" t="n"/>
      <c r="R117" s="283" t="n"/>
      <c r="S117" s="283" t="n"/>
      <c r="T117" s="283" t="n"/>
      <c r="U117" s="283" t="n"/>
      <c r="V117" s="283" t="n"/>
      <c r="W117" s="283" t="n"/>
      <c r="X117" s="283" t="n"/>
      <c r="Y117" s="283" t="n"/>
      <c r="Z117" s="283" t="n"/>
      <c r="AA117" s="283" t="n"/>
      <c r="AB117" s="283" t="n"/>
      <c r="AC117" s="283" t="n"/>
      <c r="AD117" s="283" t="n"/>
      <c r="AE117" s="283" t="n"/>
      <c r="AF117" s="283" t="n"/>
      <c r="AG117" s="283" t="n"/>
      <c r="AH117" s="283" t="n"/>
      <c r="AI117" s="283" t="n"/>
      <c r="AJ117" s="201" t="n"/>
      <c r="AK117" s="201" t="n"/>
      <c r="AL117" s="201" t="n"/>
      <c r="AM117" s="201" t="n"/>
      <c r="AN117" s="201" t="n"/>
      <c r="AO117" s="201" t="n"/>
      <c r="AP117" s="201" t="n"/>
      <c r="AQ117" s="201" t="n"/>
      <c r="AR117" s="201" t="n"/>
      <c r="AS117" s="201" t="n"/>
      <c r="AT117" s="201" t="n"/>
      <c r="AU117" s="201" t="n">
        <v>0</v>
      </c>
      <c r="AV117" s="283">
        <f>SUM(AJ117:AU117)</f>
        <v/>
      </c>
      <c r="AW117" s="286">
        <f>AV117/12</f>
        <v/>
      </c>
      <c r="AX117" s="201" t="n">
        <v>0</v>
      </c>
      <c r="AY117" s="201" t="n">
        <v>0</v>
      </c>
      <c r="AZ117" s="201" t="n">
        <v>12</v>
      </c>
      <c r="BA117" s="201" t="n">
        <v>0</v>
      </c>
      <c r="BB117" s="201" t="n">
        <v>0</v>
      </c>
      <c r="BC117" s="203">
        <f>SUMIFS(領用表!$L:$L,領用表!$A:$A,BC$2,領用表!$E:$E,B117)</f>
        <v/>
      </c>
      <c r="BD117" s="287">
        <f>SUMIFS(領用表!$L:$L,領用表!$E:$E,$B117,領用表!$B:$B,BC$2&amp;BD$2)</f>
        <v/>
      </c>
      <c r="BE117" s="287">
        <f>SUMIFS(領用表!$L:$L,領用表!$E:$E,$B117,領用表!$B:$B,$BC$2&amp;BE$2)</f>
        <v/>
      </c>
      <c r="BF117" s="287">
        <f>SUMIFS(領用表!$L:$L,領用表!$E:$E,$B117,領用表!$B:$B,$BC$2&amp;BF$2)</f>
        <v/>
      </c>
      <c r="BG117" s="206">
        <f>SUMIFS(領用表!$L:$L,領用表!$E:$E,$B117,領用表!$B:$B,$BC$2&amp;BG$2)</f>
        <v/>
      </c>
      <c r="BH117" s="203">
        <f>SUMIFS(領用表!$L:$L,領用表!$A:$A,BH$2,領用表!$E:$E,B117)</f>
        <v/>
      </c>
      <c r="BI117" s="260">
        <f>SUMIFS(領用表!$L:$L,領用表!$E:$E,$B117,領用表!$B:$B,BH$2&amp;BI$2)</f>
        <v/>
      </c>
      <c r="BJ117" s="260">
        <f>SUMIFS(領用表!$L:$L,領用表!$E:$E,$B117,領用表!$B:$B,$BH$2&amp;BJ$2)</f>
        <v/>
      </c>
      <c r="BK117" s="260">
        <f>SUMIFS(領用表!$L:$L,領用表!$E:$E,$B117,領用表!$B:$B,$BH$2&amp;BK$2)</f>
        <v/>
      </c>
      <c r="BL117" s="260">
        <f>SUMIFS(領用表!$L:$L,領用表!$E:$E,$B117,領用表!$B:$B,$BH$2&amp;BL$2)</f>
        <v/>
      </c>
      <c r="BM117" s="203">
        <f>SUMIFS(領用表!$L:$L,領用表!$A:$A,BM$2,領用表!$E:$E,B117)</f>
        <v/>
      </c>
      <c r="BN117" s="206">
        <f>SUMIFS(領用表!$L:$L,領用表!$E:$E,$B117,領用表!$B:$B,BM$2&amp;BN$2)</f>
        <v/>
      </c>
      <c r="BO117" s="206">
        <f>SUMIFS(領用表!$L:$L,領用表!$E:$E,$B117,領用表!$B:$B,$BM$2&amp;BO$2)</f>
        <v/>
      </c>
      <c r="BP117" s="288">
        <f>SUMIFS(領用表!$L:$L,領用表!$E:$E,$B117,領用表!$B:$B,$BM$2&amp;BP$2)</f>
        <v/>
      </c>
      <c r="BQ117" s="287">
        <f>SUMIFS(領用表!$L:$L,領用表!$E:$E,$B117,領用表!$B:$B,$BM$2&amp;BQ$2)</f>
        <v/>
      </c>
      <c r="BR117" s="203">
        <f>SUMIFS(領用表!$L:$L,領用表!$A:$A,BR$2,領用表!$E:$E,B117)</f>
        <v/>
      </c>
      <c r="BS117" s="288">
        <f>SUMIFS(領用表!$L:$L,領用表!$E:$E,$B117,領用表!$B:$B,BR$2&amp;BS$2)</f>
        <v/>
      </c>
      <c r="BT117" s="288">
        <f>SUMIFS(領用表!$L:$L,領用表!$E:$E,$B117,領用表!$B:$B,$BR$2&amp;BT$2)</f>
        <v/>
      </c>
      <c r="BU117" s="288">
        <f>SUMIFS(領用表!$L:$L,領用表!$E:$E,$B117,領用表!$B:$B,$BR$2&amp;BU$2)</f>
        <v/>
      </c>
      <c r="BV117" s="287">
        <f>SUMIFS(領用表!$L:$L,領用表!$E:$E,$B117,領用表!$B:$B,$BR$2&amp;BV$2)</f>
        <v/>
      </c>
      <c r="BW117" s="208">
        <f>SUMIFS(領用表!$L:$L,領用表!$A:$A,BW$2,領用表!$E:$E,B117)</f>
        <v/>
      </c>
      <c r="BX117" s="206">
        <f>SUMIFS(領用表!$L:$L,領用表!$E:$E,$B117,領用表!$B:$B,BW$2&amp;BX$2)</f>
        <v/>
      </c>
      <c r="BY117" s="206">
        <f>SUMIFS(領用表!$L:$L,領用表!$E:$E,$B117,領用表!$B:$B,$BW$2&amp;BY$2)</f>
        <v/>
      </c>
      <c r="BZ117" s="206">
        <f>SUMIFS(領用表!$L:$L,領用表!$E:$E,$B117,領用表!$B:$B,$BW$2&amp;BZ$2)</f>
        <v/>
      </c>
      <c r="CA117" s="206">
        <f>SUMIFS(領用表!$L:$L,領用表!$E:$E,$B117,領用表!$B:$B,$BW$2&amp;CA$2)</f>
        <v/>
      </c>
      <c r="CB117" s="208">
        <f>SUMIFS(領用表!$L:$L,領用表!$A:$A,CB$2,領用表!$E:$E,B117)</f>
        <v/>
      </c>
      <c r="CC117" s="206">
        <f>SUMIFS(領用表!$L:$L,領用表!$E:$E,$B117,領用表!$B:$B,CB$2&amp;CC$2)</f>
        <v/>
      </c>
      <c r="CD117" s="206">
        <f>SUMIFS(領用表!$L:$L,領用表!$E:$E,$B117,領用表!$B:$B,$CB$2&amp;CD$2)</f>
        <v/>
      </c>
      <c r="CE117" s="206">
        <f>SUMIFS(領用表!$L:$L,領用表!$E:$E,$B117,領用表!$B:$B,$CB$2&amp;CE$2)</f>
        <v/>
      </c>
      <c r="CF117" s="206">
        <f>SUMIFS(領用表!$L:$L,領用表!$E:$E,$B117,領用表!$B:$B,$CB$2&amp;CF$2)</f>
        <v/>
      </c>
      <c r="CG117" s="208">
        <f>SUMIFS(領用表!$L:$L,領用表!$A:$A,CG$2,領用表!$E:$E,B117)</f>
        <v/>
      </c>
      <c r="CH117" s="206">
        <f>SUMIFS(領用表!$L:$L,領用表!$E:$E,$B117,領用表!$B:$B,CG$2&amp;CH$2)</f>
        <v/>
      </c>
      <c r="CI117" s="206">
        <f>SUMIFS(領用表!$L:$L,領用表!$E:$E,$B117,領用表!$B:$B,CG$2&amp;CI$2)</f>
        <v/>
      </c>
      <c r="CJ117" s="206">
        <f>SUMIFS(領用表!$L:$L,領用表!$E:$E,$B117,領用表!$B:$B,CG$2&amp;CJ$2)</f>
        <v/>
      </c>
      <c r="CK117" s="206">
        <f>SUMIFS(領用表!$L:$L,領用表!$E:$E,$B117,領用表!$B:$B,$CG$2&amp;CK$2)</f>
        <v/>
      </c>
      <c r="CL117" s="207">
        <f>SUM(AX117,AY117,AZ117,BA117,BB117,BC117,BH117,BM117,BR117,BW117,CB117,CG117)</f>
        <v/>
      </c>
      <c r="CM117" s="207">
        <f>AVERAGE(AX117,AY117,AZ117,BA117,BB117,BC117,BH117,BM117,BR117,BW117,CB117,CG117)</f>
        <v/>
      </c>
      <c r="CN117" s="208">
        <f>SUMIFS(領用表!$L:$L,領用表!$A:$A,CN$2,領用表!$E:$E,B117)</f>
        <v/>
      </c>
      <c r="CO117" s="206">
        <f>SUMIFS(領用表!$L:$L,領用表!$E:$E,$B117,領用表!$B:$B,CN$2&amp;CO$2)</f>
        <v/>
      </c>
      <c r="CP117" s="206">
        <f>SUMIFS(領用表!$L:$L,領用表!$E:$E,$B117,領用表!$B:$B,$CN$2&amp;CP$2)</f>
        <v/>
      </c>
      <c r="CQ117" s="206">
        <f>SUMIFS(領用表!$L:$L,領用表!$E:$E,$B117,領用表!$B:$B,$CN$2&amp;CQ$2)</f>
        <v/>
      </c>
      <c r="CR117" s="206">
        <f>SUMIFS(領用表!$L:$L,領用表!$E:$E,$B117,領用表!$B:$B,$CN$2&amp;CR$2)</f>
        <v/>
      </c>
      <c r="CS117" s="208">
        <f>SUMIFS(領用表!$L:$L,領用表!$A:$A,CS$2,領用表!$E:$E,B117)</f>
        <v/>
      </c>
      <c r="CT117" s="206">
        <f>SUMIFS(領用表!$L:$L,領用表!$E:$E,$B117,領用表!$B:$B,CS$2&amp;CT$2)</f>
        <v/>
      </c>
      <c r="CU117" s="206">
        <f>SUMIFS(領用表!$L:$L,領用表!$E:$E,$B117,領用表!$B:$B,$CS$2&amp;CU$2)</f>
        <v/>
      </c>
      <c r="CV117" s="206">
        <f>SUMIFS(領用表!$L:$L,領用表!$E:$E,$B117,領用表!$B:$B,$CS$2&amp;CV$2)</f>
        <v/>
      </c>
      <c r="CW117" s="206">
        <f>SUMIFS(領用表!$L:$L,領用表!$E:$E,$B117,領用表!$B:$B,$CS$2&amp;CW$2)</f>
        <v/>
      </c>
      <c r="CX117" s="206">
        <f>SUMIFS(領用表!$L:$L,領用表!$E:$E,$B117,領用表!$B:$B,$CS$2&amp;CX$2)</f>
        <v/>
      </c>
      <c r="CY117" s="208">
        <f>SUMIFS(領用表!$L:$L,領用表!$A:$A,CY$2,領用表!$E:$E,B117)</f>
        <v/>
      </c>
      <c r="CZ117" s="206">
        <f>SUMIFS(領用表!$L:$L,領用表!$E:$E,$B117,領用表!$B:$B,CY$2&amp;CZ$2)</f>
        <v/>
      </c>
      <c r="DA117" s="206">
        <f>SUMIFS(領用表!$L:$L,領用表!$E:$E,$B117,領用表!$B:$B,$CY$2&amp;DA$2)</f>
        <v/>
      </c>
      <c r="DB117" s="206">
        <f>SUMIFS(領用表!$L:$L,領用表!$E:$E,$B117,領用表!$B:$B,$CY$2&amp;DB$2)</f>
        <v/>
      </c>
      <c r="DC117" s="206">
        <f>SUMIFS(領用表!$L:$L,領用表!$E:$E,$B117,領用表!$B:$B,$CY$2&amp;DC$2)</f>
        <v/>
      </c>
      <c r="DD117" s="206">
        <f>SUMIFS(領用表!$L:$L,領用表!$E:$E,$B117,領用表!$B:$B,$CY$2&amp;DD$2)</f>
        <v/>
      </c>
      <c r="DE117" s="208">
        <f>SUMIFS(領用表!$L:$L,領用表!$A:$A,DE$2,領用表!$E:$E,B117)</f>
        <v/>
      </c>
      <c r="DF117" s="206">
        <f>SUMIFS(領用表!$L:$L,領用表!$E:$E,$B117,領用表!$B:$B,DE$2&amp;DF$2)</f>
        <v/>
      </c>
      <c r="DG117" s="206">
        <f>SUMIFS(領用表!$L:$L,領用表!$E:$E,$B117,領用表!$B:$B,$DE$2&amp;DG$2)</f>
        <v/>
      </c>
      <c r="DH117" s="206">
        <f>SUMIFS(領用表!$L:$L,領用表!$E:$E,$B117,領用表!$B:$B,$DE$2&amp;DH$2)</f>
        <v/>
      </c>
      <c r="DI117" s="206">
        <f>SUMIFS(領用表!$L:$L,領用表!$E:$E,$B117,領用表!$B:$B,$DE$2&amp;DI$2)</f>
        <v/>
      </c>
      <c r="DJ117" s="206">
        <f>SUMIFS(領用表!$L:$L,領用表!$E:$E,$B117,領用表!$B:$B,$DE$2&amp;DJ$2)</f>
        <v/>
      </c>
      <c r="DK117" s="208">
        <f>SUMIFS(領用表!$L:$L,領用表!$A:$A,DK$2,領用表!$E:$E,$B117)</f>
        <v/>
      </c>
      <c r="DL117" s="206">
        <f>SUMIFS(領用表!$L:$L,領用表!$E:$E,$B117,領用表!$B:$B,DK$2&amp;DL$2)</f>
        <v/>
      </c>
      <c r="DM117" s="206">
        <f>SUMIFS(領用表!$L:$L,領用表!$E:$E,$B117,領用表!$B:$B,$DK$2&amp;DM$2)</f>
        <v/>
      </c>
      <c r="DN117" s="206">
        <f>SUMIFS(領用表!$L:$L,領用表!$E:$E,$B117,領用表!$B:$B,$DK$2&amp;DN$2)</f>
        <v/>
      </c>
      <c r="DO117" s="206">
        <f>SUMIFS(領用表!$L:$L,領用表!$E:$E,$B117,領用表!$B:$B,$DK$2&amp;DO$2)</f>
        <v/>
      </c>
      <c r="DP117" s="206">
        <f>SUMIFS(領用表!$L:$L,領用表!$E:$E,$B117,領用表!$B:$B,$DK$2&amp;DP$2)</f>
        <v/>
      </c>
      <c r="DQ117" s="208" t="n"/>
      <c r="DR117" s="206" t="n"/>
      <c r="DS117" s="206" t="n"/>
      <c r="DT117" s="206" t="n"/>
      <c r="DU117" s="206" t="n"/>
      <c r="DV117" s="206" t="n"/>
      <c r="DW117" s="206">
        <f>SUM(CN117,CS117,CY117,DE117,DK117,DQ117)</f>
        <v/>
      </c>
      <c r="DX117" s="206">
        <f>AVERAGEA(CN117,CS117,CY117,DE117,DK117,DQ117)</f>
        <v/>
      </c>
      <c r="DY117" s="206">
        <f>SUM(DZ117:EC117)</f>
        <v/>
      </c>
      <c r="DZ117" s="206" t="n">
        <v>0</v>
      </c>
      <c r="EA117" s="206" t="n">
        <v>0</v>
      </c>
      <c r="EB117" s="206" t="n">
        <v>0</v>
      </c>
      <c r="EC117" s="206" t="n">
        <v>0</v>
      </c>
      <c r="ED117" s="258" t="n">
        <v>20</v>
      </c>
      <c r="EE117" s="283" t="n"/>
      <c r="EF117" s="283" t="n"/>
      <c r="EG117" s="252" t="n"/>
      <c r="EH117" s="136" t="n"/>
      <c r="EI117" s="289" t="n"/>
      <c r="EJ117" s="118">
        <f>IFERROR(VLOOKUP(A117,站前4樓!A:BF,57,0),0)</f>
        <v/>
      </c>
      <c r="EK117" s="213">
        <f>IFERROR(VLOOKUP(A117,站前11樓!A:BE,57,0),0)</f>
        <v/>
      </c>
      <c r="EL117" s="118">
        <f>IFERROR(VLOOKUP(A117,忠孝7樓!A:N,57,0),0)</f>
        <v/>
      </c>
      <c r="EM117" s="118">
        <f>IFERROR(VLOOKUP(A117,忠孝國際醫學3樓!A:L,57,0),0)</f>
        <v/>
      </c>
      <c r="EN117" s="118">
        <f>SUM(ED117:EG117)</f>
        <v/>
      </c>
    </row>
    <row r="118" ht="15.75" customFormat="1" customHeight="1" s="118" thickBot="1">
      <c r="A118" s="320" t="inlineStr">
        <is>
          <t>MB3ME090025A</t>
        </is>
      </c>
      <c r="B118" s="118" t="n">
        <v>6120017</v>
      </c>
      <c r="C118" s="118" t="inlineStr">
        <is>
          <t>保肝 5ml/支 (保肝=硫辛酸=硫皙酸)</t>
        </is>
      </c>
      <c r="D118" s="307" t="n"/>
      <c r="E118" s="198" t="inlineStr">
        <is>
          <t>PCS</t>
        </is>
      </c>
      <c r="F118" s="225">
        <f>SUMIF(站前4樓!B:B,B118,站前4樓!F:F)</f>
        <v/>
      </c>
      <c r="G118" s="225">
        <f>SUMIF(站前11樓!B:B,B118,站前11樓!F:F)</f>
        <v/>
      </c>
      <c r="H118" s="225">
        <f>SUMIF(忠孝7樓!B:B,B118,忠孝7樓!G:G)</f>
        <v/>
      </c>
      <c r="I118" s="225">
        <f>SUMIF(忠孝國際醫學3樓!B:B,B118,忠孝國際醫學3樓!G:G)</f>
        <v/>
      </c>
      <c r="J118" s="225">
        <f>SUMIF(忠孝健康7樓!B:B,B118,忠孝健康7樓!G:G)</f>
        <v/>
      </c>
      <c r="K118" s="283" t="n"/>
      <c r="L118" s="283" t="n"/>
      <c r="M118" s="283" t="n"/>
      <c r="N118" s="283" t="n"/>
      <c r="O118" s="283" t="n"/>
      <c r="P118" s="283" t="n"/>
      <c r="Q118" s="283" t="n"/>
      <c r="R118" s="283" t="n"/>
      <c r="S118" s="283" t="n"/>
      <c r="T118" s="283" t="n"/>
      <c r="U118" s="283" t="n"/>
      <c r="V118" s="283" t="n"/>
      <c r="W118" s="283" t="n"/>
      <c r="X118" s="283" t="n"/>
      <c r="Y118" s="283" t="n"/>
      <c r="Z118" s="283" t="n"/>
      <c r="AA118" s="283" t="n"/>
      <c r="AB118" s="283" t="n"/>
      <c r="AC118" s="283" t="n"/>
      <c r="AD118" s="283" t="n"/>
      <c r="AE118" s="283" t="n"/>
      <c r="AF118" s="283" t="n"/>
      <c r="AG118" s="283" t="n"/>
      <c r="AH118" s="283" t="n"/>
      <c r="AI118" s="283" t="n"/>
      <c r="AJ118" s="201" t="n"/>
      <c r="AK118" s="201" t="n"/>
      <c r="AL118" s="201" t="n"/>
      <c r="AM118" s="201" t="n"/>
      <c r="AN118" s="201" t="n"/>
      <c r="AO118" s="201" t="n"/>
      <c r="AP118" s="201" t="n"/>
      <c r="AQ118" s="201" t="n">
        <v>0</v>
      </c>
      <c r="AR118" s="201" t="n">
        <v>0</v>
      </c>
      <c r="AS118" s="201" t="n">
        <v>0</v>
      </c>
      <c r="AT118" s="201" t="n">
        <v>0</v>
      </c>
      <c r="AU118" s="201" t="n">
        <v>0</v>
      </c>
      <c r="AV118" s="283">
        <f>SUM(AJ118:AU118)</f>
        <v/>
      </c>
      <c r="AW118" s="286">
        <f>AV118/12</f>
        <v/>
      </c>
      <c r="AX118" s="201" t="n">
        <v>0</v>
      </c>
      <c r="AY118" s="201" t="n">
        <v>0</v>
      </c>
      <c r="AZ118" s="201" t="n">
        <v>0</v>
      </c>
      <c r="BA118" s="201" t="n">
        <v>1</v>
      </c>
      <c r="BB118" s="201">
        <f>0+3</f>
        <v/>
      </c>
      <c r="BC118" s="203">
        <f>SUMIFS(領用表!$L:$L,領用表!$A:$A,BC$2,領用表!$E:$E,B118)</f>
        <v/>
      </c>
      <c r="BD118" s="287">
        <f>SUMIFS(領用表!$L:$L,領用表!$E:$E,$B118,領用表!$B:$B,BC$2&amp;BD$2)</f>
        <v/>
      </c>
      <c r="BE118" s="287">
        <f>SUMIFS(領用表!$L:$L,領用表!$E:$E,$B118,領用表!$B:$B,$BC$2&amp;BE$2)</f>
        <v/>
      </c>
      <c r="BF118" s="287">
        <f>SUMIFS(領用表!$L:$L,領用表!$E:$E,$B118,領用表!$B:$B,$BC$2&amp;BF$2)</f>
        <v/>
      </c>
      <c r="BG118" s="206">
        <f>SUMIFS(領用表!$L:$L,領用表!$E:$E,$B118,領用表!$B:$B,$BC$2&amp;BG$2)</f>
        <v/>
      </c>
      <c r="BH118" s="203">
        <f>SUMIFS(領用表!$L:$L,領用表!$A:$A,BH$2,領用表!$E:$E,B118)</f>
        <v/>
      </c>
      <c r="BI118" s="260">
        <f>SUMIFS(領用表!$L:$L,領用表!$E:$E,$B118,領用表!$B:$B,BH$2&amp;BI$2)</f>
        <v/>
      </c>
      <c r="BJ118" s="260">
        <f>SUMIFS(領用表!$L:$L,領用表!$E:$E,$B118,領用表!$B:$B,$BH$2&amp;BJ$2)</f>
        <v/>
      </c>
      <c r="BK118" s="260">
        <f>SUMIFS(領用表!$L:$L,領用表!$E:$E,$B118,領用表!$B:$B,$BH$2&amp;BK$2)</f>
        <v/>
      </c>
      <c r="BL118" s="260">
        <f>SUMIFS(領用表!$L:$L,領用表!$E:$E,$B118,領用表!$B:$B,$BH$2&amp;BL$2)</f>
        <v/>
      </c>
      <c r="BM118" s="203">
        <f>SUMIFS(領用表!$L:$L,領用表!$A:$A,BM$2,領用表!$E:$E,B118)</f>
        <v/>
      </c>
      <c r="BN118" s="206">
        <f>SUMIFS(領用表!$L:$L,領用表!$E:$E,$B118,領用表!$B:$B,BM$2&amp;BN$2)</f>
        <v/>
      </c>
      <c r="BO118" s="206">
        <f>SUMIFS(領用表!$L:$L,領用表!$E:$E,$B118,領用表!$B:$B,$BM$2&amp;BO$2)</f>
        <v/>
      </c>
      <c r="BP118" s="288">
        <f>SUMIFS(領用表!$L:$L,領用表!$E:$E,$B118,領用表!$B:$B,$BM$2&amp;BP$2)</f>
        <v/>
      </c>
      <c r="BQ118" s="287">
        <f>SUMIFS(領用表!$L:$L,領用表!$E:$E,$B118,領用表!$B:$B,$BM$2&amp;BQ$2)</f>
        <v/>
      </c>
      <c r="BR118" s="203">
        <f>SUMIFS(領用表!$L:$L,領用表!$A:$A,BR$2,領用表!$E:$E,B118)</f>
        <v/>
      </c>
      <c r="BS118" s="288">
        <f>SUMIFS(領用表!$L:$L,領用表!$E:$E,$B118,領用表!$B:$B,BR$2&amp;BS$2)</f>
        <v/>
      </c>
      <c r="BT118" s="288">
        <f>SUMIFS(領用表!$L:$L,領用表!$E:$E,$B118,領用表!$B:$B,$BR$2&amp;BT$2)</f>
        <v/>
      </c>
      <c r="BU118" s="288">
        <f>SUMIFS(領用表!$L:$L,領用表!$E:$E,$B118,領用表!$B:$B,$BR$2&amp;BU$2)</f>
        <v/>
      </c>
      <c r="BV118" s="287">
        <f>SUMIFS(領用表!$L:$L,領用表!$E:$E,$B118,領用表!$B:$B,$BR$2&amp;BV$2)</f>
        <v/>
      </c>
      <c r="BW118" s="208">
        <f>SUMIFS(領用表!$L:$L,領用表!$A:$A,BW$2,領用表!$E:$E,B118)</f>
        <v/>
      </c>
      <c r="BX118" s="206">
        <f>SUMIFS(領用表!$L:$L,領用表!$E:$E,$B118,領用表!$B:$B,BW$2&amp;BX$2)</f>
        <v/>
      </c>
      <c r="BY118" s="206">
        <f>SUMIFS(領用表!$L:$L,領用表!$E:$E,$B118,領用表!$B:$B,$BW$2&amp;BY$2)</f>
        <v/>
      </c>
      <c r="BZ118" s="206">
        <f>SUMIFS(領用表!$L:$L,領用表!$E:$E,$B118,領用表!$B:$B,$BW$2&amp;BZ$2)</f>
        <v/>
      </c>
      <c r="CA118" s="206">
        <f>SUMIFS(領用表!$L:$L,領用表!$E:$E,$B118,領用表!$B:$B,$BW$2&amp;CA$2)</f>
        <v/>
      </c>
      <c r="CB118" s="208">
        <f>SUMIFS(領用表!$L:$L,領用表!$A:$A,CB$2,領用表!$E:$E,B118)</f>
        <v/>
      </c>
      <c r="CC118" s="206">
        <f>SUMIFS(領用表!$L:$L,領用表!$E:$E,$B118,領用表!$B:$B,CB$2&amp;CC$2)</f>
        <v/>
      </c>
      <c r="CD118" s="206">
        <f>SUMIFS(領用表!$L:$L,領用表!$E:$E,$B118,領用表!$B:$B,$CB$2&amp;CD$2)</f>
        <v/>
      </c>
      <c r="CE118" s="206">
        <f>SUMIFS(領用表!$L:$L,領用表!$E:$E,$B118,領用表!$B:$B,$CB$2&amp;CE$2)</f>
        <v/>
      </c>
      <c r="CF118" s="206">
        <f>SUMIFS(領用表!$L:$L,領用表!$E:$E,$B118,領用表!$B:$B,$CB$2&amp;CF$2)</f>
        <v/>
      </c>
      <c r="CG118" s="208">
        <f>SUMIFS(領用表!$L:$L,領用表!$A:$A,CG$2,領用表!$E:$E,B118)</f>
        <v/>
      </c>
      <c r="CH118" s="206">
        <f>SUMIFS(領用表!$L:$L,領用表!$E:$E,$B118,領用表!$B:$B,CG$2&amp;CH$2)</f>
        <v/>
      </c>
      <c r="CI118" s="206">
        <f>SUMIFS(領用表!$L:$L,領用表!$E:$E,$B118,領用表!$B:$B,CG$2&amp;CI$2)</f>
        <v/>
      </c>
      <c r="CJ118" s="206">
        <f>SUMIFS(領用表!$L:$L,領用表!$E:$E,$B118,領用表!$B:$B,CG$2&amp;CJ$2)</f>
        <v/>
      </c>
      <c r="CK118" s="206">
        <f>SUMIFS(領用表!$L:$L,領用表!$E:$E,$B118,領用表!$B:$B,$CG$2&amp;CK$2)</f>
        <v/>
      </c>
      <c r="CL118" s="207">
        <f>SUM(AX118,AY118,AZ118,BA118,BB118,BC118,BH118,BM118,BR118,BW118,CB118,CG118)</f>
        <v/>
      </c>
      <c r="CM118" s="207">
        <f>AVERAGE(AX118,AY118,AZ118,BA118,BB118,BC118,BH118,BM118,BR118,BW118,CB118,CG118)</f>
        <v/>
      </c>
      <c r="CN118" s="208">
        <f>SUMIFS(領用表!$L:$L,領用表!$A:$A,CN$2,領用表!$E:$E,B118)</f>
        <v/>
      </c>
      <c r="CO118" s="206">
        <f>SUMIFS(領用表!$L:$L,領用表!$E:$E,$B118,領用表!$B:$B,CN$2&amp;CO$2)</f>
        <v/>
      </c>
      <c r="CP118" s="206">
        <f>SUMIFS(領用表!$L:$L,領用表!$E:$E,$B118,領用表!$B:$B,$CN$2&amp;CP$2)</f>
        <v/>
      </c>
      <c r="CQ118" s="206">
        <f>SUMIFS(領用表!$L:$L,領用表!$E:$E,$B118,領用表!$B:$B,$CN$2&amp;CQ$2)</f>
        <v/>
      </c>
      <c r="CR118" s="206">
        <f>SUMIFS(領用表!$L:$L,領用表!$E:$E,$B118,領用表!$B:$B,$CN$2&amp;CR$2)</f>
        <v/>
      </c>
      <c r="CS118" s="208">
        <f>SUMIFS(領用表!$L:$L,領用表!$A:$A,CS$2,領用表!$E:$E,B118)</f>
        <v/>
      </c>
      <c r="CT118" s="206">
        <f>SUMIFS(領用表!$L:$L,領用表!$E:$E,$B118,領用表!$B:$B,CS$2&amp;CT$2)</f>
        <v/>
      </c>
      <c r="CU118" s="206">
        <f>SUMIFS(領用表!$L:$L,領用表!$E:$E,$B118,領用表!$B:$B,$CS$2&amp;CU$2)</f>
        <v/>
      </c>
      <c r="CV118" s="206">
        <f>SUMIFS(領用表!$L:$L,領用表!$E:$E,$B118,領用表!$B:$B,$CS$2&amp;CV$2)</f>
        <v/>
      </c>
      <c r="CW118" s="206">
        <f>SUMIFS(領用表!$L:$L,領用表!$E:$E,$B118,領用表!$B:$B,$CS$2&amp;CW$2)</f>
        <v/>
      </c>
      <c r="CX118" s="206">
        <f>SUMIFS(領用表!$L:$L,領用表!$E:$E,$B118,領用表!$B:$B,$CS$2&amp;CX$2)</f>
        <v/>
      </c>
      <c r="CY118" s="208">
        <f>SUMIFS(領用表!$L:$L,領用表!$A:$A,CY$2,領用表!$E:$E,B118)</f>
        <v/>
      </c>
      <c r="CZ118" s="206">
        <f>SUMIFS(領用表!$L:$L,領用表!$E:$E,$B118,領用表!$B:$B,CY$2&amp;CZ$2)</f>
        <v/>
      </c>
      <c r="DA118" s="206">
        <f>SUMIFS(領用表!$L:$L,領用表!$E:$E,$B118,領用表!$B:$B,$CY$2&amp;DA$2)</f>
        <v/>
      </c>
      <c r="DB118" s="206">
        <f>SUMIFS(領用表!$L:$L,領用表!$E:$E,$B118,領用表!$B:$B,$CY$2&amp;DB$2)</f>
        <v/>
      </c>
      <c r="DC118" s="206">
        <f>SUMIFS(領用表!$L:$L,領用表!$E:$E,$B118,領用表!$B:$B,$CY$2&amp;DC$2)</f>
        <v/>
      </c>
      <c r="DD118" s="206">
        <f>SUMIFS(領用表!$L:$L,領用表!$E:$E,$B118,領用表!$B:$B,$CY$2&amp;DD$2)</f>
        <v/>
      </c>
      <c r="DE118" s="208">
        <f>SUMIFS(領用表!$L:$L,領用表!$A:$A,DE$2,領用表!$E:$E,B118)</f>
        <v/>
      </c>
      <c r="DF118" s="206">
        <f>SUMIFS(領用表!$L:$L,領用表!$E:$E,$B118,領用表!$B:$B,DE$2&amp;DF$2)</f>
        <v/>
      </c>
      <c r="DG118" s="206">
        <f>SUMIFS(領用表!$L:$L,領用表!$E:$E,$B118,領用表!$B:$B,$DE$2&amp;DG$2)</f>
        <v/>
      </c>
      <c r="DH118" s="206">
        <f>SUMIFS(領用表!$L:$L,領用表!$E:$E,$B118,領用表!$B:$B,$DE$2&amp;DH$2)</f>
        <v/>
      </c>
      <c r="DI118" s="206">
        <f>SUMIFS(領用表!$L:$L,領用表!$E:$E,$B118,領用表!$B:$B,$DE$2&amp;DI$2)</f>
        <v/>
      </c>
      <c r="DJ118" s="206">
        <f>SUMIFS(領用表!$L:$L,領用表!$E:$E,$B118,領用表!$B:$B,$DE$2&amp;DJ$2)</f>
        <v/>
      </c>
      <c r="DK118" s="208">
        <f>SUMIFS(領用表!$L:$L,領用表!$A:$A,DK$2,領用表!$E:$E,$B118)</f>
        <v/>
      </c>
      <c r="DL118" s="206">
        <f>SUMIFS(領用表!$L:$L,領用表!$E:$E,$B118,領用表!$B:$B,DK$2&amp;DL$2)</f>
        <v/>
      </c>
      <c r="DM118" s="206">
        <f>SUMIFS(領用表!$L:$L,領用表!$E:$E,$B118,領用表!$B:$B,$DK$2&amp;DM$2)</f>
        <v/>
      </c>
      <c r="DN118" s="206">
        <f>SUMIFS(領用表!$L:$L,領用表!$E:$E,$B118,領用表!$B:$B,$DK$2&amp;DN$2)</f>
        <v/>
      </c>
      <c r="DO118" s="206">
        <f>SUMIFS(領用表!$L:$L,領用表!$E:$E,$B118,領用表!$B:$B,$DK$2&amp;DO$2)</f>
        <v/>
      </c>
      <c r="DP118" s="206">
        <f>SUMIFS(領用表!$L:$L,領用表!$E:$E,$B118,領用表!$B:$B,$DK$2&amp;DP$2)</f>
        <v/>
      </c>
      <c r="DQ118" s="208" t="n">
        <v>2</v>
      </c>
      <c r="DR118" s="206" t="n"/>
      <c r="DS118" s="206" t="n">
        <v>1</v>
      </c>
      <c r="DT118" s="206" t="n">
        <v>1</v>
      </c>
      <c r="DU118" s="206" t="n"/>
      <c r="DV118" s="206" t="n"/>
      <c r="DW118" s="206">
        <f>SUM(CN118,CS118,CY118,DE118,DK118,DQ118)</f>
        <v/>
      </c>
      <c r="DX118" s="206">
        <f>AVERAGEA(CN118,CS118,CY118,DE118,DK118,DQ118)</f>
        <v/>
      </c>
      <c r="DY118" s="206">
        <f>SUM(DZ118:EC118)</f>
        <v/>
      </c>
      <c r="DZ118" s="206" t="n">
        <v>0</v>
      </c>
      <c r="EA118" s="206" t="n">
        <v>0</v>
      </c>
      <c r="EB118" s="206" t="n">
        <v>0</v>
      </c>
      <c r="EC118" s="206" t="n">
        <v>0</v>
      </c>
      <c r="ED118" s="258" t="n">
        <v>20</v>
      </c>
      <c r="EE118" s="283" t="n"/>
      <c r="EF118" s="283" t="n"/>
      <c r="EG118" s="283" t="n"/>
      <c r="EH118" s="136" t="n"/>
      <c r="EI118" s="289" t="n"/>
      <c r="EJ118" s="118">
        <f>IFERROR(VLOOKUP(A118,站前4樓!A:BF,57,0),0)</f>
        <v/>
      </c>
      <c r="EK118" s="213">
        <f>IFERROR(VLOOKUP(A118,站前11樓!A:BE,57,0),0)</f>
        <v/>
      </c>
      <c r="EL118" s="118">
        <f>IFERROR(VLOOKUP(A118,忠孝7樓!A:N,57,0),0)</f>
        <v/>
      </c>
      <c r="EM118" s="118">
        <f>IFERROR(VLOOKUP(A118,忠孝國際醫學3樓!A:L,57,0),0)</f>
        <v/>
      </c>
      <c r="EN118" s="118">
        <f>SUM(ED118:EG118)</f>
        <v/>
      </c>
    </row>
    <row r="119" ht="15.75" customFormat="1" customHeight="1" s="118" thickBot="1">
      <c r="A119" s="320" t="inlineStr">
        <is>
          <t>MB3ME090027A</t>
        </is>
      </c>
      <c r="B119" s="118" t="n">
        <v>6120007</v>
      </c>
      <c r="C119" s="136" t="inlineStr">
        <is>
          <t>硫酸鋅</t>
        </is>
      </c>
      <c r="D119" s="307" t="n">
        <v>100</v>
      </c>
      <c r="E119" s="198" t="inlineStr">
        <is>
          <t>PCS</t>
        </is>
      </c>
      <c r="F119" s="225">
        <f>SUMIF(站前4樓!B:B,B119,站前4樓!F:F)</f>
        <v/>
      </c>
      <c r="G119" s="225">
        <f>SUMIF(站前11樓!B:B,B119,站前11樓!F:F)</f>
        <v/>
      </c>
      <c r="H119" s="225">
        <f>SUMIF(忠孝7樓!B:B,B119,忠孝7樓!G:G)</f>
        <v/>
      </c>
      <c r="I119" s="225">
        <f>SUMIF(忠孝國際醫學3樓!B:B,B119,忠孝國際醫學3樓!G:G)</f>
        <v/>
      </c>
      <c r="J119" s="225">
        <f>SUMIF(忠孝健康7樓!B:B,B119,忠孝健康7樓!G:G)</f>
        <v/>
      </c>
      <c r="K119" s="283" t="n"/>
      <c r="L119" s="283" t="n"/>
      <c r="M119" s="283" t="n"/>
      <c r="N119" s="283" t="n"/>
      <c r="O119" s="283" t="n"/>
      <c r="P119" s="283" t="n"/>
      <c r="Q119" s="283" t="n"/>
      <c r="R119" s="283" t="n"/>
      <c r="S119" s="283" t="n"/>
      <c r="T119" s="283" t="n"/>
      <c r="U119" s="283" t="n"/>
      <c r="V119" s="283" t="n"/>
      <c r="W119" s="283" t="n"/>
      <c r="X119" s="283" t="n"/>
      <c r="Y119" s="283" t="n"/>
      <c r="Z119" s="283" t="n"/>
      <c r="AA119" s="283" t="n"/>
      <c r="AB119" s="283" t="n"/>
      <c r="AC119" s="283" t="n"/>
      <c r="AD119" s="283" t="n"/>
      <c r="AE119" s="283" t="n"/>
      <c r="AF119" s="283" t="n"/>
      <c r="AG119" s="283" t="n"/>
      <c r="AH119" s="283" t="n"/>
      <c r="AI119" s="283" t="n"/>
      <c r="AJ119" s="201" t="n"/>
      <c r="AK119" s="201" t="n"/>
      <c r="AL119" s="201" t="n"/>
      <c r="AM119" s="201" t="n"/>
      <c r="AN119" s="201" t="n"/>
      <c r="AO119" s="201" t="n"/>
      <c r="AP119" s="201" t="n"/>
      <c r="AQ119" s="201" t="n">
        <v>0</v>
      </c>
      <c r="AR119" s="201" t="n">
        <v>0</v>
      </c>
      <c r="AS119" s="201" t="n">
        <v>0</v>
      </c>
      <c r="AT119" s="201" t="n">
        <v>0</v>
      </c>
      <c r="AU119" s="201" t="n">
        <v>0</v>
      </c>
      <c r="AV119" s="283">
        <f>SUM(AJ119:AU119)</f>
        <v/>
      </c>
      <c r="AW119" s="286">
        <f>AV119/12</f>
        <v/>
      </c>
      <c r="AX119" s="201" t="n">
        <v>0</v>
      </c>
      <c r="AY119" s="201" t="n">
        <v>0</v>
      </c>
      <c r="AZ119" s="201" t="n">
        <v>1</v>
      </c>
      <c r="BA119" s="201" t="n">
        <v>13</v>
      </c>
      <c r="BB119" s="201" t="n">
        <v>2</v>
      </c>
      <c r="BC119" s="203">
        <f>SUMIFS(領用表!$L:$L,領用表!$A:$A,BC$2,領用表!$E:$E,B119)</f>
        <v/>
      </c>
      <c r="BD119" s="287">
        <f>SUMIFS(領用表!$L:$L,領用表!$E:$E,$B119,領用表!$B:$B,BC$2&amp;BD$2)</f>
        <v/>
      </c>
      <c r="BE119" s="287">
        <f>SUMIFS(領用表!$L:$L,領用表!$E:$E,$B119,領用表!$B:$B,$BC$2&amp;BE$2)</f>
        <v/>
      </c>
      <c r="BF119" s="287">
        <f>SUMIFS(領用表!$L:$L,領用表!$E:$E,$B119,領用表!$B:$B,$BC$2&amp;BF$2)</f>
        <v/>
      </c>
      <c r="BG119" s="206">
        <f>SUMIFS(領用表!$L:$L,領用表!$E:$E,$B119,領用表!$B:$B,$BC$2&amp;BG$2)</f>
        <v/>
      </c>
      <c r="BH119" s="203">
        <f>SUMIFS(領用表!$L:$L,領用表!$A:$A,BH$2,領用表!$E:$E,B119)</f>
        <v/>
      </c>
      <c r="BI119" s="260">
        <f>SUMIFS(領用表!$L:$L,領用表!$E:$E,$B119,領用表!$B:$B,BH$2&amp;BI$2)</f>
        <v/>
      </c>
      <c r="BJ119" s="260">
        <f>SUMIFS(領用表!$L:$L,領用表!$E:$E,$B119,領用表!$B:$B,$BH$2&amp;BJ$2)</f>
        <v/>
      </c>
      <c r="BK119" s="260">
        <f>SUMIFS(領用表!$L:$L,領用表!$E:$E,$B119,領用表!$B:$B,$BH$2&amp;BK$2)</f>
        <v/>
      </c>
      <c r="BL119" s="260">
        <f>SUMIFS(領用表!$L:$L,領用表!$E:$E,$B119,領用表!$B:$B,$BH$2&amp;BL$2)</f>
        <v/>
      </c>
      <c r="BM119" s="203">
        <f>SUMIFS(領用表!$L:$L,領用表!$A:$A,BM$2,領用表!$E:$E,B119)</f>
        <v/>
      </c>
      <c r="BN119" s="206">
        <f>SUMIFS(領用表!$L:$L,領用表!$E:$E,$B119,領用表!$B:$B,BM$2&amp;BN$2)</f>
        <v/>
      </c>
      <c r="BO119" s="206">
        <f>SUMIFS(領用表!$L:$L,領用表!$E:$E,$B119,領用表!$B:$B,$BM$2&amp;BO$2)</f>
        <v/>
      </c>
      <c r="BP119" s="288">
        <f>SUMIFS(領用表!$L:$L,領用表!$E:$E,$B119,領用表!$B:$B,$BM$2&amp;BP$2)</f>
        <v/>
      </c>
      <c r="BQ119" s="287">
        <f>SUMIFS(領用表!$L:$L,領用表!$E:$E,$B119,領用表!$B:$B,$BM$2&amp;BQ$2)</f>
        <v/>
      </c>
      <c r="BR119" s="203">
        <f>SUMIFS(領用表!$L:$L,領用表!$A:$A,BR$2,領用表!$E:$E,B119)</f>
        <v/>
      </c>
      <c r="BS119" s="288">
        <f>SUMIFS(領用表!$L:$L,領用表!$E:$E,$B119,領用表!$B:$B,BR$2&amp;BS$2)</f>
        <v/>
      </c>
      <c r="BT119" s="288">
        <f>SUMIFS(領用表!$L:$L,領用表!$E:$E,$B119,領用表!$B:$B,$BR$2&amp;BT$2)</f>
        <v/>
      </c>
      <c r="BU119" s="288">
        <f>SUMIFS(領用表!$L:$L,領用表!$E:$E,$B119,領用表!$B:$B,$BR$2&amp;BU$2)</f>
        <v/>
      </c>
      <c r="BV119" s="287">
        <f>SUMIFS(領用表!$L:$L,領用表!$E:$E,$B119,領用表!$B:$B,$BR$2&amp;BV$2)</f>
        <v/>
      </c>
      <c r="BW119" s="208">
        <f>SUMIFS(領用表!$L:$L,領用表!$A:$A,BW$2,領用表!$E:$E,B119)</f>
        <v/>
      </c>
      <c r="BX119" s="206">
        <f>SUMIFS(領用表!$L:$L,領用表!$E:$E,$B119,領用表!$B:$B,BW$2&amp;BX$2)</f>
        <v/>
      </c>
      <c r="BY119" s="206">
        <f>SUMIFS(領用表!$L:$L,領用表!$E:$E,$B119,領用表!$B:$B,$BW$2&amp;BY$2)</f>
        <v/>
      </c>
      <c r="BZ119" s="206">
        <f>SUMIFS(領用表!$L:$L,領用表!$E:$E,$B119,領用表!$B:$B,$BW$2&amp;BZ$2)</f>
        <v/>
      </c>
      <c r="CA119" s="206">
        <f>SUMIFS(領用表!$L:$L,領用表!$E:$E,$B119,領用表!$B:$B,$BW$2&amp;CA$2)</f>
        <v/>
      </c>
      <c r="CB119" s="208">
        <f>SUMIFS(領用表!$L:$L,領用表!$A:$A,CB$2,領用表!$E:$E,B119)</f>
        <v/>
      </c>
      <c r="CC119" s="206">
        <f>SUMIFS(領用表!$L:$L,領用表!$E:$E,$B119,領用表!$B:$B,CB$2&amp;CC$2)</f>
        <v/>
      </c>
      <c r="CD119" s="206">
        <f>SUMIFS(領用表!$L:$L,領用表!$E:$E,$B119,領用表!$B:$B,$CB$2&amp;CD$2)</f>
        <v/>
      </c>
      <c r="CE119" s="206">
        <f>SUMIFS(領用表!$L:$L,領用表!$E:$E,$B119,領用表!$B:$B,$CB$2&amp;CE$2)</f>
        <v/>
      </c>
      <c r="CF119" s="206">
        <f>SUMIFS(領用表!$L:$L,領用表!$E:$E,$B119,領用表!$B:$B,$CB$2&amp;CF$2)</f>
        <v/>
      </c>
      <c r="CG119" s="208">
        <f>SUMIFS(領用表!$L:$L,領用表!$A:$A,CG$2,領用表!$E:$E,B119)</f>
        <v/>
      </c>
      <c r="CH119" s="206">
        <f>SUMIFS(領用表!$L:$L,領用表!$E:$E,$B119,領用表!$B:$B,CG$2&amp;CH$2)</f>
        <v/>
      </c>
      <c r="CI119" s="206">
        <f>SUMIFS(領用表!$L:$L,領用表!$E:$E,$B119,領用表!$B:$B,CG$2&amp;CI$2)</f>
        <v/>
      </c>
      <c r="CJ119" s="206">
        <f>SUMIFS(領用表!$L:$L,領用表!$E:$E,$B119,領用表!$B:$B,CG$2&amp;CJ$2)</f>
        <v/>
      </c>
      <c r="CK119" s="206">
        <f>SUMIFS(領用表!$L:$L,領用表!$E:$E,$B119,領用表!$B:$B,$CG$2&amp;CK$2)</f>
        <v/>
      </c>
      <c r="CL119" s="207">
        <f>SUM(AX119,AY119,AZ119,BA119,BB119,BC119,BH119,BM119,BR119,BW119,CB119,CG119)</f>
        <v/>
      </c>
      <c r="CM119" s="207">
        <f>AVERAGE(AX119,AY119,AZ119,BA119,BB119,BC119,BH119,BM119,BR119,BW119,CB119,CG119)</f>
        <v/>
      </c>
      <c r="CN119" s="208">
        <f>SUMIFS(領用表!$L:$L,領用表!$A:$A,CN$2,領用表!$E:$E,B119)</f>
        <v/>
      </c>
      <c r="CO119" s="206">
        <f>SUMIFS(領用表!$L:$L,領用表!$E:$E,$B119,領用表!$B:$B,CN$2&amp;CO$2)</f>
        <v/>
      </c>
      <c r="CP119" s="206">
        <f>SUMIFS(領用表!$L:$L,領用表!$E:$E,$B119,領用表!$B:$B,$CN$2&amp;CP$2)</f>
        <v/>
      </c>
      <c r="CQ119" s="206">
        <f>SUMIFS(領用表!$L:$L,領用表!$E:$E,$B119,領用表!$B:$B,$CN$2&amp;CQ$2)</f>
        <v/>
      </c>
      <c r="CR119" s="206">
        <f>SUMIFS(領用表!$L:$L,領用表!$E:$E,$B119,領用表!$B:$B,$CN$2&amp;CR$2)</f>
        <v/>
      </c>
      <c r="CS119" s="208">
        <f>SUMIFS(領用表!$L:$L,領用表!$A:$A,CS$2,領用表!$E:$E,B119)</f>
        <v/>
      </c>
      <c r="CT119" s="206">
        <f>SUMIFS(領用表!$L:$L,領用表!$E:$E,$B119,領用表!$B:$B,CS$2&amp;CT$2)</f>
        <v/>
      </c>
      <c r="CU119" s="206">
        <f>SUMIFS(領用表!$L:$L,領用表!$E:$E,$B119,領用表!$B:$B,$CS$2&amp;CU$2)</f>
        <v/>
      </c>
      <c r="CV119" s="206">
        <f>SUMIFS(領用表!$L:$L,領用表!$E:$E,$B119,領用表!$B:$B,$CS$2&amp;CV$2)</f>
        <v/>
      </c>
      <c r="CW119" s="206">
        <f>SUMIFS(領用表!$L:$L,領用表!$E:$E,$B119,領用表!$B:$B,$CS$2&amp;CW$2)</f>
        <v/>
      </c>
      <c r="CX119" s="206">
        <f>SUMIFS(領用表!$L:$L,領用表!$E:$E,$B119,領用表!$B:$B,$CS$2&amp;CX$2)</f>
        <v/>
      </c>
      <c r="CY119" s="208">
        <f>SUMIFS(領用表!$L:$L,領用表!$A:$A,CY$2,領用表!$E:$E,B119)</f>
        <v/>
      </c>
      <c r="CZ119" s="206">
        <f>SUMIFS(領用表!$L:$L,領用表!$E:$E,$B119,領用表!$B:$B,CY$2&amp;CZ$2)</f>
        <v/>
      </c>
      <c r="DA119" s="206">
        <f>SUMIFS(領用表!$L:$L,領用表!$E:$E,$B119,領用表!$B:$B,$CY$2&amp;DA$2)</f>
        <v/>
      </c>
      <c r="DB119" s="206">
        <f>SUMIFS(領用表!$L:$L,領用表!$E:$E,$B119,領用表!$B:$B,$CY$2&amp;DB$2)</f>
        <v/>
      </c>
      <c r="DC119" s="206">
        <f>SUMIFS(領用表!$L:$L,領用表!$E:$E,$B119,領用表!$B:$B,$CY$2&amp;DC$2)</f>
        <v/>
      </c>
      <c r="DD119" s="206">
        <f>SUMIFS(領用表!$L:$L,領用表!$E:$E,$B119,領用表!$B:$B,$CY$2&amp;DD$2)</f>
        <v/>
      </c>
      <c r="DE119" s="208">
        <f>SUMIFS(領用表!$L:$L,領用表!$A:$A,DE$2,領用表!$E:$E,B119)</f>
        <v/>
      </c>
      <c r="DF119" s="206">
        <f>SUMIFS(領用表!$L:$L,領用表!$E:$E,$B119,領用表!$B:$B,DE$2&amp;DF$2)</f>
        <v/>
      </c>
      <c r="DG119" s="206">
        <f>SUMIFS(領用表!$L:$L,領用表!$E:$E,$B119,領用表!$B:$B,$DE$2&amp;DG$2)</f>
        <v/>
      </c>
      <c r="DH119" s="206">
        <f>SUMIFS(領用表!$L:$L,領用表!$E:$E,$B119,領用表!$B:$B,$DE$2&amp;DH$2)</f>
        <v/>
      </c>
      <c r="DI119" s="206">
        <f>SUMIFS(領用表!$L:$L,領用表!$E:$E,$B119,領用表!$B:$B,$DE$2&amp;DI$2)</f>
        <v/>
      </c>
      <c r="DJ119" s="206">
        <f>SUMIFS(領用表!$L:$L,領用表!$E:$E,$B119,領用表!$B:$B,$DE$2&amp;DJ$2)</f>
        <v/>
      </c>
      <c r="DK119" s="208">
        <f>SUMIFS(領用表!$L:$L,領用表!$A:$A,DK$2,領用表!$E:$E,$B119)</f>
        <v/>
      </c>
      <c r="DL119" s="206">
        <f>SUMIFS(領用表!$L:$L,領用表!$E:$E,$B119,領用表!$B:$B,DK$2&amp;DL$2)</f>
        <v/>
      </c>
      <c r="DM119" s="206">
        <f>SUMIFS(領用表!$L:$L,領用表!$E:$E,$B119,領用表!$B:$B,$DK$2&amp;DM$2)</f>
        <v/>
      </c>
      <c r="DN119" s="206">
        <f>SUMIFS(領用表!$L:$L,領用表!$E:$E,$B119,領用表!$B:$B,$DK$2&amp;DN$2)</f>
        <v/>
      </c>
      <c r="DO119" s="206">
        <f>SUMIFS(領用表!$L:$L,領用表!$E:$E,$B119,領用表!$B:$B,$DK$2&amp;DO$2)</f>
        <v/>
      </c>
      <c r="DP119" s="206">
        <f>SUMIFS(領用表!$L:$L,領用表!$E:$E,$B119,領用表!$B:$B,$DK$2&amp;DP$2)</f>
        <v/>
      </c>
      <c r="DQ119" s="208" t="n">
        <v>14</v>
      </c>
      <c r="DR119" s="206" t="n"/>
      <c r="DS119" s="206" t="n">
        <v>5</v>
      </c>
      <c r="DT119" s="206" t="n">
        <v>5</v>
      </c>
      <c r="DU119" s="206" t="n">
        <v>4</v>
      </c>
      <c r="DV119" s="206" t="n"/>
      <c r="DW119" s="206">
        <f>SUM(CN119,CS119,CY119,DE119,DK119,DQ119)</f>
        <v/>
      </c>
      <c r="DX119" s="206">
        <f>AVERAGEA(CN119,CS119,CY119,DE119,DK119,DQ119)</f>
        <v/>
      </c>
      <c r="DY119" s="206">
        <f>SUM(DZ119:EC119)</f>
        <v/>
      </c>
      <c r="DZ119" s="206" t="n">
        <v>0</v>
      </c>
      <c r="EA119" s="206" t="n">
        <v>0</v>
      </c>
      <c r="EB119" s="206" t="n">
        <v>0</v>
      </c>
      <c r="EC119" s="206" t="n">
        <v>0</v>
      </c>
      <c r="ED119" s="258" t="n">
        <v>20</v>
      </c>
      <c r="EE119" s="283" t="n"/>
      <c r="EF119" s="283" t="n"/>
      <c r="EG119" s="283" t="n"/>
      <c r="EH119" s="136" t="n"/>
      <c r="EI119" s="289" t="n"/>
      <c r="EJ119" s="118">
        <f>IFERROR(VLOOKUP(A119,站前4樓!A:BF,57,0),0)</f>
        <v/>
      </c>
      <c r="EK119" s="213">
        <f>IFERROR(VLOOKUP(A119,站前11樓!A:BE,57,0),0)</f>
        <v/>
      </c>
      <c r="EL119" s="118">
        <f>IFERROR(VLOOKUP(A119,忠孝7樓!A:N,57,0),0)</f>
        <v/>
      </c>
      <c r="EM119" s="118">
        <f>IFERROR(VLOOKUP(A119,忠孝國際醫學3樓!A:L,57,0),0)</f>
        <v/>
      </c>
      <c r="EN119" s="118">
        <f>SUM(ED119:EG119)</f>
        <v/>
      </c>
    </row>
    <row r="120" ht="15.75" customFormat="1" customHeight="1" s="118" thickBot="1">
      <c r="A120" s="320" t="inlineStr">
        <is>
          <t>MB3ME090028A</t>
        </is>
      </c>
      <c r="B120" s="118" t="n">
        <v>6120008</v>
      </c>
      <c r="C120" s="136" t="inlineStr">
        <is>
          <t>硫酸鎂</t>
        </is>
      </c>
      <c r="D120" s="307" t="n">
        <v>100</v>
      </c>
      <c r="E120" s="198" t="inlineStr">
        <is>
          <t>PCS</t>
        </is>
      </c>
      <c r="F120" s="225">
        <f>SUMIF(站前4樓!B:B,B120,站前4樓!F:F)</f>
        <v/>
      </c>
      <c r="G120" s="225">
        <f>SUMIF(站前11樓!B:B,B120,站前11樓!F:F)</f>
        <v/>
      </c>
      <c r="H120" s="225">
        <f>SUMIF(忠孝7樓!B:B,B120,忠孝7樓!G:G)</f>
        <v/>
      </c>
      <c r="I120" s="225">
        <f>SUMIF(忠孝國際醫學3樓!B:B,B120,忠孝國際醫學3樓!G:G)</f>
        <v/>
      </c>
      <c r="J120" s="225">
        <f>SUMIF(忠孝健康7樓!B:B,B120,忠孝健康7樓!G:G)</f>
        <v/>
      </c>
      <c r="K120" s="283" t="n"/>
      <c r="L120" s="283" t="n"/>
      <c r="M120" s="283" t="n"/>
      <c r="N120" s="283" t="n"/>
      <c r="O120" s="283" t="n"/>
      <c r="P120" s="283" t="n"/>
      <c r="Q120" s="283" t="n"/>
      <c r="R120" s="283" t="n"/>
      <c r="S120" s="283" t="n"/>
      <c r="T120" s="283" t="n"/>
      <c r="U120" s="283" t="n"/>
      <c r="V120" s="283" t="n"/>
      <c r="W120" s="283" t="n"/>
      <c r="X120" s="283" t="n"/>
      <c r="Y120" s="283" t="n"/>
      <c r="Z120" s="283" t="n"/>
      <c r="AA120" s="283" t="n"/>
      <c r="AB120" s="283" t="n"/>
      <c r="AC120" s="283" t="n"/>
      <c r="AD120" s="283" t="n"/>
      <c r="AE120" s="283" t="n"/>
      <c r="AF120" s="283" t="n"/>
      <c r="AG120" s="283" t="n"/>
      <c r="AH120" s="283" t="n"/>
      <c r="AI120" s="283" t="n"/>
      <c r="AJ120" s="201" t="n"/>
      <c r="AK120" s="201" t="n"/>
      <c r="AL120" s="201" t="n"/>
      <c r="AM120" s="201" t="n"/>
      <c r="AN120" s="201" t="n"/>
      <c r="AO120" s="201" t="n"/>
      <c r="AP120" s="201" t="n"/>
      <c r="AQ120" s="201" t="n">
        <v>0</v>
      </c>
      <c r="AR120" s="201" t="n">
        <v>0</v>
      </c>
      <c r="AS120" s="201" t="n">
        <v>0</v>
      </c>
      <c r="AT120" s="201" t="n">
        <v>0</v>
      </c>
      <c r="AU120" s="201" t="n">
        <v>0</v>
      </c>
      <c r="AV120" s="283">
        <f>SUM(AJ120:AU120)</f>
        <v/>
      </c>
      <c r="AW120" s="286">
        <f>AV120/12</f>
        <v/>
      </c>
      <c r="AX120" s="201" t="n">
        <v>0</v>
      </c>
      <c r="AY120" s="201" t="n">
        <v>0</v>
      </c>
      <c r="AZ120" s="201" t="n">
        <v>1</v>
      </c>
      <c r="BA120" s="201" t="n">
        <v>3</v>
      </c>
      <c r="BB120" s="201" t="n">
        <v>0</v>
      </c>
      <c r="BC120" s="203">
        <f>SUMIFS(領用表!$L:$L,領用表!$A:$A,BC$2,領用表!$E:$E,B120)</f>
        <v/>
      </c>
      <c r="BD120" s="287">
        <f>SUMIFS(領用表!$L:$L,領用表!$E:$E,$B120,領用表!$B:$B,BC$2&amp;BD$2)</f>
        <v/>
      </c>
      <c r="BE120" s="287">
        <f>SUMIFS(領用表!$L:$L,領用表!$E:$E,$B120,領用表!$B:$B,$BC$2&amp;BE$2)</f>
        <v/>
      </c>
      <c r="BF120" s="287">
        <f>SUMIFS(領用表!$L:$L,領用表!$E:$E,$B120,領用表!$B:$B,$BC$2&amp;BF$2)</f>
        <v/>
      </c>
      <c r="BG120" s="206">
        <f>SUMIFS(領用表!$L:$L,領用表!$E:$E,$B120,領用表!$B:$B,$BC$2&amp;BG$2)</f>
        <v/>
      </c>
      <c r="BH120" s="203">
        <f>SUMIFS(領用表!$L:$L,領用表!$A:$A,BH$2,領用表!$E:$E,B120)</f>
        <v/>
      </c>
      <c r="BI120" s="260">
        <f>SUMIFS(領用表!$L:$L,領用表!$E:$E,$B120,領用表!$B:$B,BH$2&amp;BI$2)</f>
        <v/>
      </c>
      <c r="BJ120" s="260">
        <f>SUMIFS(領用表!$L:$L,領用表!$E:$E,$B120,領用表!$B:$B,$BH$2&amp;BJ$2)</f>
        <v/>
      </c>
      <c r="BK120" s="260">
        <f>SUMIFS(領用表!$L:$L,領用表!$E:$E,$B120,領用表!$B:$B,$BH$2&amp;BK$2)</f>
        <v/>
      </c>
      <c r="BL120" s="260">
        <f>SUMIFS(領用表!$L:$L,領用表!$E:$E,$B120,領用表!$B:$B,$BH$2&amp;BL$2)</f>
        <v/>
      </c>
      <c r="BM120" s="203">
        <f>SUMIFS(領用表!$L:$L,領用表!$A:$A,BM$2,領用表!$E:$E,B120)</f>
        <v/>
      </c>
      <c r="BN120" s="206">
        <f>SUMIFS(領用表!$L:$L,領用表!$E:$E,$B120,領用表!$B:$B,BM$2&amp;BN$2)</f>
        <v/>
      </c>
      <c r="BO120" s="206">
        <f>SUMIFS(領用表!$L:$L,領用表!$E:$E,$B120,領用表!$B:$B,$BM$2&amp;BO$2)</f>
        <v/>
      </c>
      <c r="BP120" s="288">
        <f>SUMIFS(領用表!$L:$L,領用表!$E:$E,$B120,領用表!$B:$B,$BM$2&amp;BP$2)</f>
        <v/>
      </c>
      <c r="BQ120" s="287">
        <f>SUMIFS(領用表!$L:$L,領用表!$E:$E,$B120,領用表!$B:$B,$BM$2&amp;BQ$2)</f>
        <v/>
      </c>
      <c r="BR120" s="203">
        <f>SUMIFS(領用表!$L:$L,領用表!$A:$A,BR$2,領用表!$E:$E,B120)</f>
        <v/>
      </c>
      <c r="BS120" s="288">
        <f>SUMIFS(領用表!$L:$L,領用表!$E:$E,$B120,領用表!$B:$B,BR$2&amp;BS$2)</f>
        <v/>
      </c>
      <c r="BT120" s="288">
        <f>SUMIFS(領用表!$L:$L,領用表!$E:$E,$B120,領用表!$B:$B,$BR$2&amp;BT$2)</f>
        <v/>
      </c>
      <c r="BU120" s="288">
        <f>SUMIFS(領用表!$L:$L,領用表!$E:$E,$B120,領用表!$B:$B,$BR$2&amp;BU$2)</f>
        <v/>
      </c>
      <c r="BV120" s="287">
        <f>SUMIFS(領用表!$L:$L,領用表!$E:$E,$B120,領用表!$B:$B,$BR$2&amp;BV$2)</f>
        <v/>
      </c>
      <c r="BW120" s="208">
        <f>SUMIFS(領用表!$L:$L,領用表!$A:$A,BW$2,領用表!$E:$E,B120)</f>
        <v/>
      </c>
      <c r="BX120" s="206">
        <f>SUMIFS(領用表!$L:$L,領用表!$E:$E,$B120,領用表!$B:$B,BW$2&amp;BX$2)</f>
        <v/>
      </c>
      <c r="BY120" s="206">
        <f>SUMIFS(領用表!$L:$L,領用表!$E:$E,$B120,領用表!$B:$B,$BW$2&amp;BY$2)</f>
        <v/>
      </c>
      <c r="BZ120" s="206">
        <f>SUMIFS(領用表!$L:$L,領用表!$E:$E,$B120,領用表!$B:$B,$BW$2&amp;BZ$2)</f>
        <v/>
      </c>
      <c r="CA120" s="206">
        <f>SUMIFS(領用表!$L:$L,領用表!$E:$E,$B120,領用表!$B:$B,$BW$2&amp;CA$2)</f>
        <v/>
      </c>
      <c r="CB120" s="208">
        <f>SUMIFS(領用表!$L:$L,領用表!$A:$A,CB$2,領用表!$E:$E,B120)</f>
        <v/>
      </c>
      <c r="CC120" s="206">
        <f>SUMIFS(領用表!$L:$L,領用表!$E:$E,$B120,領用表!$B:$B,CB$2&amp;CC$2)</f>
        <v/>
      </c>
      <c r="CD120" s="206">
        <f>SUMIFS(領用表!$L:$L,領用表!$E:$E,$B120,領用表!$B:$B,$CB$2&amp;CD$2)</f>
        <v/>
      </c>
      <c r="CE120" s="206">
        <f>SUMIFS(領用表!$L:$L,領用表!$E:$E,$B120,領用表!$B:$B,$CB$2&amp;CE$2)</f>
        <v/>
      </c>
      <c r="CF120" s="206">
        <f>SUMIFS(領用表!$L:$L,領用表!$E:$E,$B120,領用表!$B:$B,$CB$2&amp;CF$2)</f>
        <v/>
      </c>
      <c r="CG120" s="208">
        <f>SUMIFS(領用表!$L:$L,領用表!$A:$A,CG$2,領用表!$E:$E,B120)</f>
        <v/>
      </c>
      <c r="CH120" s="206">
        <f>SUMIFS(領用表!$L:$L,領用表!$E:$E,$B120,領用表!$B:$B,CG$2&amp;CH$2)</f>
        <v/>
      </c>
      <c r="CI120" s="206">
        <f>SUMIFS(領用表!$L:$L,領用表!$E:$E,$B120,領用表!$B:$B,CG$2&amp;CI$2)</f>
        <v/>
      </c>
      <c r="CJ120" s="206">
        <f>SUMIFS(領用表!$L:$L,領用表!$E:$E,$B120,領用表!$B:$B,CG$2&amp;CJ$2)</f>
        <v/>
      </c>
      <c r="CK120" s="206">
        <f>SUMIFS(領用表!$L:$L,領用表!$E:$E,$B120,領用表!$B:$B,$CG$2&amp;CK$2)</f>
        <v/>
      </c>
      <c r="CL120" s="207">
        <f>SUM(AX120,AY120,AZ120,BA120,BB120,BC120,BH120,BM120,BR120,BW120,CB120,CG120)</f>
        <v/>
      </c>
      <c r="CM120" s="207">
        <f>AVERAGE(AX120,AY120,AZ120,BA120,BB120,BC120,BH120,BM120,BR120,BW120,CB120,CG120)</f>
        <v/>
      </c>
      <c r="CN120" s="208">
        <f>SUMIFS(領用表!$L:$L,領用表!$A:$A,CN$2,領用表!$E:$E,B120)</f>
        <v/>
      </c>
      <c r="CO120" s="206">
        <f>SUMIFS(領用表!$L:$L,領用表!$E:$E,$B120,領用表!$B:$B,CN$2&amp;CO$2)</f>
        <v/>
      </c>
      <c r="CP120" s="206">
        <f>SUMIFS(領用表!$L:$L,領用表!$E:$E,$B120,領用表!$B:$B,$CN$2&amp;CP$2)</f>
        <v/>
      </c>
      <c r="CQ120" s="206">
        <f>SUMIFS(領用表!$L:$L,領用表!$E:$E,$B120,領用表!$B:$B,$CN$2&amp;CQ$2)</f>
        <v/>
      </c>
      <c r="CR120" s="206">
        <f>SUMIFS(領用表!$L:$L,領用表!$E:$E,$B120,領用表!$B:$B,$CN$2&amp;CR$2)</f>
        <v/>
      </c>
      <c r="CS120" s="208">
        <f>SUMIFS(領用表!$L:$L,領用表!$A:$A,CS$2,領用表!$E:$E,B120)</f>
        <v/>
      </c>
      <c r="CT120" s="206">
        <f>SUMIFS(領用表!$L:$L,領用表!$E:$E,$B120,領用表!$B:$B,CS$2&amp;CT$2)</f>
        <v/>
      </c>
      <c r="CU120" s="206">
        <f>SUMIFS(領用表!$L:$L,領用表!$E:$E,$B120,領用表!$B:$B,$CS$2&amp;CU$2)</f>
        <v/>
      </c>
      <c r="CV120" s="206">
        <f>SUMIFS(領用表!$L:$L,領用表!$E:$E,$B120,領用表!$B:$B,$CS$2&amp;CV$2)</f>
        <v/>
      </c>
      <c r="CW120" s="206">
        <f>SUMIFS(領用表!$L:$L,領用表!$E:$E,$B120,領用表!$B:$B,$CS$2&amp;CW$2)</f>
        <v/>
      </c>
      <c r="CX120" s="206">
        <f>SUMIFS(領用表!$L:$L,領用表!$E:$E,$B120,領用表!$B:$B,$CS$2&amp;CX$2)</f>
        <v/>
      </c>
      <c r="CY120" s="208">
        <f>SUMIFS(領用表!$L:$L,領用表!$A:$A,CY$2,領用表!$E:$E,B120)</f>
        <v/>
      </c>
      <c r="CZ120" s="206">
        <f>SUMIFS(領用表!$L:$L,領用表!$E:$E,$B120,領用表!$B:$B,CY$2&amp;CZ$2)</f>
        <v/>
      </c>
      <c r="DA120" s="206">
        <f>SUMIFS(領用表!$L:$L,領用表!$E:$E,$B120,領用表!$B:$B,$CY$2&amp;DA$2)</f>
        <v/>
      </c>
      <c r="DB120" s="206">
        <f>SUMIFS(領用表!$L:$L,領用表!$E:$E,$B120,領用表!$B:$B,$CY$2&amp;DB$2)</f>
        <v/>
      </c>
      <c r="DC120" s="206">
        <f>SUMIFS(領用表!$L:$L,領用表!$E:$E,$B120,領用表!$B:$B,$CY$2&amp;DC$2)</f>
        <v/>
      </c>
      <c r="DD120" s="206">
        <f>SUMIFS(領用表!$L:$L,領用表!$E:$E,$B120,領用表!$B:$B,$CY$2&amp;DD$2)</f>
        <v/>
      </c>
      <c r="DE120" s="208">
        <f>SUMIFS(領用表!$L:$L,領用表!$A:$A,DE$2,領用表!$E:$E,B120)</f>
        <v/>
      </c>
      <c r="DF120" s="206">
        <f>SUMIFS(領用表!$L:$L,領用表!$E:$E,$B120,領用表!$B:$B,DE$2&amp;DF$2)</f>
        <v/>
      </c>
      <c r="DG120" s="206">
        <f>SUMIFS(領用表!$L:$L,領用表!$E:$E,$B120,領用表!$B:$B,$DE$2&amp;DG$2)</f>
        <v/>
      </c>
      <c r="DH120" s="206">
        <f>SUMIFS(領用表!$L:$L,領用表!$E:$E,$B120,領用表!$B:$B,$DE$2&amp;DH$2)</f>
        <v/>
      </c>
      <c r="DI120" s="206">
        <f>SUMIFS(領用表!$L:$L,領用表!$E:$E,$B120,領用表!$B:$B,$DE$2&amp;DI$2)</f>
        <v/>
      </c>
      <c r="DJ120" s="206">
        <f>SUMIFS(領用表!$L:$L,領用表!$E:$E,$B120,領用表!$B:$B,$DE$2&amp;DJ$2)</f>
        <v/>
      </c>
      <c r="DK120" s="208">
        <f>SUMIFS(領用表!$L:$L,領用表!$A:$A,DK$2,領用表!$E:$E,$B120)</f>
        <v/>
      </c>
      <c r="DL120" s="206">
        <f>SUMIFS(領用表!$L:$L,領用表!$E:$E,$B120,領用表!$B:$B,DK$2&amp;DL$2)</f>
        <v/>
      </c>
      <c r="DM120" s="206">
        <f>SUMIFS(領用表!$L:$L,領用表!$E:$E,$B120,領用表!$B:$B,$DK$2&amp;DM$2)</f>
        <v/>
      </c>
      <c r="DN120" s="206">
        <f>SUMIFS(領用表!$L:$L,領用表!$E:$E,$B120,領用表!$B:$B,$DK$2&amp;DN$2)</f>
        <v/>
      </c>
      <c r="DO120" s="206">
        <f>SUMIFS(領用表!$L:$L,領用表!$E:$E,$B120,領用表!$B:$B,$DK$2&amp;DO$2)</f>
        <v/>
      </c>
      <c r="DP120" s="206">
        <f>SUMIFS(領用表!$L:$L,領用表!$E:$E,$B120,領用表!$B:$B,$DK$2&amp;DP$2)</f>
        <v/>
      </c>
      <c r="DQ120" s="208" t="n">
        <v>2</v>
      </c>
      <c r="DR120" s="206" t="n"/>
      <c r="DS120" s="206" t="n"/>
      <c r="DT120" s="206" t="n"/>
      <c r="DU120" s="206" t="n">
        <v>2</v>
      </c>
      <c r="DV120" s="206" t="n"/>
      <c r="DW120" s="206">
        <f>SUM(CN120,CS120,CY120,DE120,DK120,DQ120)</f>
        <v/>
      </c>
      <c r="DX120" s="206">
        <f>AVERAGEA(CN120,CS120,CY120,DE120,DK120,DQ120)</f>
        <v/>
      </c>
      <c r="DY120" s="206">
        <f>SUM(DZ120:EC120)</f>
        <v/>
      </c>
      <c r="DZ120" s="206" t="n">
        <v>0</v>
      </c>
      <c r="EA120" s="206" t="n">
        <v>0</v>
      </c>
      <c r="EB120" s="206" t="n">
        <v>0</v>
      </c>
      <c r="EC120" s="206" t="n">
        <v>0</v>
      </c>
      <c r="ED120" s="258" t="n">
        <v>20</v>
      </c>
      <c r="EE120" s="283" t="n"/>
      <c r="EF120" s="283" t="n"/>
      <c r="EG120" s="283" t="n"/>
      <c r="EH120" s="136" t="n"/>
      <c r="EI120" s="289" t="n"/>
      <c r="EJ120" s="118">
        <f>IFERROR(VLOOKUP(A120,站前4樓!A:BF,57,0),0)</f>
        <v/>
      </c>
      <c r="EK120" s="213">
        <f>IFERROR(VLOOKUP(A120,站前11樓!A:BE,57,0),0)</f>
        <v/>
      </c>
      <c r="EL120" s="118">
        <f>IFERROR(VLOOKUP(A120,忠孝7樓!A:N,57,0),0)</f>
        <v/>
      </c>
      <c r="EM120" s="118">
        <f>IFERROR(VLOOKUP(A120,忠孝國際醫學3樓!A:L,57,0),0)</f>
        <v/>
      </c>
      <c r="EN120" s="118">
        <f>SUM(ED120:EG120)</f>
        <v/>
      </c>
    </row>
    <row r="121" ht="15.75" customFormat="1" customHeight="1" s="118" thickBot="1">
      <c r="A121" s="320" t="inlineStr">
        <is>
          <t>MB3ME090024A</t>
        </is>
      </c>
      <c r="B121" s="118" t="n">
        <v>6120011</v>
      </c>
      <c r="C121" s="136" t="inlineStr">
        <is>
          <t>西寧特(硒)</t>
        </is>
      </c>
      <c r="D121" s="307" t="n">
        <v>10</v>
      </c>
      <c r="E121" s="198" t="inlineStr">
        <is>
          <t>PCS</t>
        </is>
      </c>
      <c r="F121" s="225">
        <f>SUMIF(站前4樓!B:B,B121,站前4樓!F:F)</f>
        <v/>
      </c>
      <c r="G121" s="225">
        <f>SUMIF(站前11樓!B:B,B121,站前11樓!F:F)</f>
        <v/>
      </c>
      <c r="H121" s="225">
        <f>SUMIF(忠孝7樓!B:B,B121,忠孝7樓!G:G)</f>
        <v/>
      </c>
      <c r="I121" s="225">
        <f>SUMIF(忠孝國際醫學3樓!B:B,B121,忠孝國際醫學3樓!G:G)</f>
        <v/>
      </c>
      <c r="J121" s="225">
        <f>SUMIF(忠孝健康7樓!B:B,B121,忠孝健康7樓!G:G)</f>
        <v/>
      </c>
      <c r="K121" s="283" t="n"/>
      <c r="L121" s="283" t="n"/>
      <c r="M121" s="283" t="n"/>
      <c r="N121" s="283" t="n"/>
      <c r="O121" s="283" t="n"/>
      <c r="P121" s="283" t="n"/>
      <c r="Q121" s="283" t="n"/>
      <c r="R121" s="283" t="n"/>
      <c r="S121" s="283" t="n"/>
      <c r="T121" s="283" t="n"/>
      <c r="U121" s="283" t="n"/>
      <c r="V121" s="283" t="n"/>
      <c r="W121" s="283" t="n"/>
      <c r="X121" s="283" t="n"/>
      <c r="Y121" s="283" t="n"/>
      <c r="Z121" s="283" t="n"/>
      <c r="AA121" s="283" t="n"/>
      <c r="AB121" s="283" t="n"/>
      <c r="AC121" s="283" t="n"/>
      <c r="AD121" s="283" t="n"/>
      <c r="AE121" s="283" t="n"/>
      <c r="AF121" s="283" t="n"/>
      <c r="AG121" s="283" t="n"/>
      <c r="AH121" s="283" t="n"/>
      <c r="AI121" s="283" t="n"/>
      <c r="AJ121" s="201" t="n"/>
      <c r="AK121" s="201" t="n"/>
      <c r="AL121" s="201" t="n"/>
      <c r="AM121" s="201" t="n"/>
      <c r="AN121" s="201" t="n"/>
      <c r="AO121" s="201" t="n"/>
      <c r="AP121" s="201" t="n"/>
      <c r="AQ121" s="201" t="n">
        <v>0</v>
      </c>
      <c r="AR121" s="201" t="n">
        <v>0</v>
      </c>
      <c r="AS121" s="201" t="n">
        <v>0</v>
      </c>
      <c r="AT121" s="201" t="n">
        <v>0</v>
      </c>
      <c r="AU121" s="201" t="n">
        <v>0</v>
      </c>
      <c r="AV121" s="283">
        <f>SUM(AJ121:AU121)</f>
        <v/>
      </c>
      <c r="AW121" s="286">
        <f>AV121/12</f>
        <v/>
      </c>
      <c r="AX121" s="201" t="n">
        <v>0</v>
      </c>
      <c r="AY121" s="201" t="n">
        <v>0</v>
      </c>
      <c r="AZ121" s="201" t="n">
        <v>2</v>
      </c>
      <c r="BA121" s="201" t="n">
        <v>12</v>
      </c>
      <c r="BB121" s="201">
        <f>0+2</f>
        <v/>
      </c>
      <c r="BC121" s="203">
        <f>SUMIFS(領用表!$L:$L,領用表!$A:$A,BC$2,領用表!$E:$E,B121)</f>
        <v/>
      </c>
      <c r="BD121" s="287">
        <f>SUMIFS(領用表!$L:$L,領用表!$E:$E,$B121,領用表!$B:$B,BC$2&amp;BD$2)</f>
        <v/>
      </c>
      <c r="BE121" s="287">
        <f>SUMIFS(領用表!$L:$L,領用表!$E:$E,$B121,領用表!$B:$B,$BC$2&amp;BE$2)</f>
        <v/>
      </c>
      <c r="BF121" s="287">
        <f>SUMIFS(領用表!$L:$L,領用表!$E:$E,$B121,領用表!$B:$B,$BC$2&amp;BF$2)</f>
        <v/>
      </c>
      <c r="BG121" s="206">
        <f>SUMIFS(領用表!$L:$L,領用表!$E:$E,$B121,領用表!$B:$B,$BC$2&amp;BG$2)</f>
        <v/>
      </c>
      <c r="BH121" s="203">
        <f>SUMIFS(領用表!$L:$L,領用表!$A:$A,BH$2,領用表!$E:$E,B121)</f>
        <v/>
      </c>
      <c r="BI121" s="260">
        <f>SUMIFS(領用表!$L:$L,領用表!$E:$E,$B121,領用表!$B:$B,BH$2&amp;BI$2)</f>
        <v/>
      </c>
      <c r="BJ121" s="260">
        <f>SUMIFS(領用表!$L:$L,領用表!$E:$E,$B121,領用表!$B:$B,$BH$2&amp;BJ$2)</f>
        <v/>
      </c>
      <c r="BK121" s="260">
        <f>SUMIFS(領用表!$L:$L,領用表!$E:$E,$B121,領用表!$B:$B,$BH$2&amp;BK$2)</f>
        <v/>
      </c>
      <c r="BL121" s="260">
        <f>SUMIFS(領用表!$L:$L,領用表!$E:$E,$B121,領用表!$B:$B,$BH$2&amp;BL$2)</f>
        <v/>
      </c>
      <c r="BM121" s="203">
        <f>SUMIFS(領用表!$L:$L,領用表!$A:$A,BM$2,領用表!$E:$E,B121)</f>
        <v/>
      </c>
      <c r="BN121" s="206">
        <f>SUMIFS(領用表!$L:$L,領用表!$E:$E,$B121,領用表!$B:$B,BM$2&amp;BN$2)</f>
        <v/>
      </c>
      <c r="BO121" s="206">
        <f>SUMIFS(領用表!$L:$L,領用表!$E:$E,$B121,領用表!$B:$B,$BM$2&amp;BO$2)</f>
        <v/>
      </c>
      <c r="BP121" s="288">
        <f>SUMIFS(領用表!$L:$L,領用表!$E:$E,$B121,領用表!$B:$B,$BM$2&amp;BP$2)</f>
        <v/>
      </c>
      <c r="BQ121" s="287">
        <f>SUMIFS(領用表!$L:$L,領用表!$E:$E,$B121,領用表!$B:$B,$BM$2&amp;BQ$2)</f>
        <v/>
      </c>
      <c r="BR121" s="203">
        <f>SUMIFS(領用表!$L:$L,領用表!$A:$A,BR$2,領用表!$E:$E,B121)</f>
        <v/>
      </c>
      <c r="BS121" s="288">
        <f>SUMIFS(領用表!$L:$L,領用表!$E:$E,$B121,領用表!$B:$B,BR$2&amp;BS$2)</f>
        <v/>
      </c>
      <c r="BT121" s="288">
        <f>SUMIFS(領用表!$L:$L,領用表!$E:$E,$B121,領用表!$B:$B,$BR$2&amp;BT$2)</f>
        <v/>
      </c>
      <c r="BU121" s="288">
        <f>SUMIFS(領用表!$L:$L,領用表!$E:$E,$B121,領用表!$B:$B,$BR$2&amp;BU$2)</f>
        <v/>
      </c>
      <c r="BV121" s="287">
        <f>SUMIFS(領用表!$L:$L,領用表!$E:$E,$B121,領用表!$B:$B,$BR$2&amp;BV$2)</f>
        <v/>
      </c>
      <c r="BW121" s="208">
        <f>SUMIFS(領用表!$L:$L,領用表!$A:$A,BW$2,領用表!$E:$E,B121)</f>
        <v/>
      </c>
      <c r="BX121" s="206">
        <f>SUMIFS(領用表!$L:$L,領用表!$E:$E,$B121,領用表!$B:$B,BW$2&amp;BX$2)</f>
        <v/>
      </c>
      <c r="BY121" s="206">
        <f>SUMIFS(領用表!$L:$L,領用表!$E:$E,$B121,領用表!$B:$B,$BW$2&amp;BY$2)</f>
        <v/>
      </c>
      <c r="BZ121" s="206">
        <f>SUMIFS(領用表!$L:$L,領用表!$E:$E,$B121,領用表!$B:$B,$BW$2&amp;BZ$2)</f>
        <v/>
      </c>
      <c r="CA121" s="206">
        <f>SUMIFS(領用表!$L:$L,領用表!$E:$E,$B121,領用表!$B:$B,$BW$2&amp;CA$2)</f>
        <v/>
      </c>
      <c r="CB121" s="208">
        <f>SUMIFS(領用表!$L:$L,領用表!$A:$A,CB$2,領用表!$E:$E,B121)</f>
        <v/>
      </c>
      <c r="CC121" s="206">
        <f>SUMIFS(領用表!$L:$L,領用表!$E:$E,$B121,領用表!$B:$B,CB$2&amp;CC$2)</f>
        <v/>
      </c>
      <c r="CD121" s="206">
        <f>SUMIFS(領用表!$L:$L,領用表!$E:$E,$B121,領用表!$B:$B,$CB$2&amp;CD$2)</f>
        <v/>
      </c>
      <c r="CE121" s="206">
        <f>SUMIFS(領用表!$L:$L,領用表!$E:$E,$B121,領用表!$B:$B,$CB$2&amp;CE$2)</f>
        <v/>
      </c>
      <c r="CF121" s="206">
        <f>SUMIFS(領用表!$L:$L,領用表!$E:$E,$B121,領用表!$B:$B,$CB$2&amp;CF$2)</f>
        <v/>
      </c>
      <c r="CG121" s="208">
        <f>SUMIFS(領用表!$L:$L,領用表!$A:$A,CG$2,領用表!$E:$E,B121)</f>
        <v/>
      </c>
      <c r="CH121" s="206">
        <f>SUMIFS(領用表!$L:$L,領用表!$E:$E,$B121,領用表!$B:$B,CG$2&amp;CH$2)</f>
        <v/>
      </c>
      <c r="CI121" s="206">
        <f>SUMIFS(領用表!$L:$L,領用表!$E:$E,$B121,領用表!$B:$B,CG$2&amp;CI$2)</f>
        <v/>
      </c>
      <c r="CJ121" s="206">
        <f>SUMIFS(領用表!$L:$L,領用表!$E:$E,$B121,領用表!$B:$B,CG$2&amp;CJ$2)</f>
        <v/>
      </c>
      <c r="CK121" s="206">
        <f>SUMIFS(領用表!$L:$L,領用表!$E:$E,$B121,領用表!$B:$B,$CG$2&amp;CK$2)</f>
        <v/>
      </c>
      <c r="CL121" s="207">
        <f>SUM(AX121,AY121,AZ121,BA121,BB121,BC121,BH121,BM121,BR121,BW121,CB121,CG121)</f>
        <v/>
      </c>
      <c r="CM121" s="207">
        <f>AVERAGE(AX121,AY121,AZ121,BA121,BB121,BC121,BH121,BM121,BR121,BW121,CB121,CG121)</f>
        <v/>
      </c>
      <c r="CN121" s="208">
        <f>SUMIFS(領用表!$L:$L,領用表!$A:$A,CN$2,領用表!$E:$E,B121)</f>
        <v/>
      </c>
      <c r="CO121" s="206">
        <f>SUMIFS(領用表!$L:$L,領用表!$E:$E,$B121,領用表!$B:$B,CN$2&amp;CO$2)</f>
        <v/>
      </c>
      <c r="CP121" s="206">
        <f>SUMIFS(領用表!$L:$L,領用表!$E:$E,$B121,領用表!$B:$B,$CN$2&amp;CP$2)</f>
        <v/>
      </c>
      <c r="CQ121" s="206">
        <f>SUMIFS(領用表!$L:$L,領用表!$E:$E,$B121,領用表!$B:$B,$CN$2&amp;CQ$2)</f>
        <v/>
      </c>
      <c r="CR121" s="206">
        <f>SUMIFS(領用表!$L:$L,領用表!$E:$E,$B121,領用表!$B:$B,$CN$2&amp;CR$2)</f>
        <v/>
      </c>
      <c r="CS121" s="208">
        <f>SUMIFS(領用表!$L:$L,領用表!$A:$A,CS$2,領用表!$E:$E,B121)</f>
        <v/>
      </c>
      <c r="CT121" s="206">
        <f>SUMIFS(領用表!$L:$L,領用表!$E:$E,$B121,領用表!$B:$B,CS$2&amp;CT$2)</f>
        <v/>
      </c>
      <c r="CU121" s="206">
        <f>SUMIFS(領用表!$L:$L,領用表!$E:$E,$B121,領用表!$B:$B,$CS$2&amp;CU$2)</f>
        <v/>
      </c>
      <c r="CV121" s="206">
        <f>SUMIFS(領用表!$L:$L,領用表!$E:$E,$B121,領用表!$B:$B,$CS$2&amp;CV$2)</f>
        <v/>
      </c>
      <c r="CW121" s="206">
        <f>SUMIFS(領用表!$L:$L,領用表!$E:$E,$B121,領用表!$B:$B,$CS$2&amp;CW$2)</f>
        <v/>
      </c>
      <c r="CX121" s="206">
        <f>SUMIFS(領用表!$L:$L,領用表!$E:$E,$B121,領用表!$B:$B,$CS$2&amp;CX$2)</f>
        <v/>
      </c>
      <c r="CY121" s="208">
        <f>SUMIFS(領用表!$L:$L,領用表!$A:$A,CY$2,領用表!$E:$E,B121)</f>
        <v/>
      </c>
      <c r="CZ121" s="206">
        <f>SUMIFS(領用表!$L:$L,領用表!$E:$E,$B121,領用表!$B:$B,CY$2&amp;CZ$2)</f>
        <v/>
      </c>
      <c r="DA121" s="206">
        <f>SUMIFS(領用表!$L:$L,領用表!$E:$E,$B121,領用表!$B:$B,$CY$2&amp;DA$2)</f>
        <v/>
      </c>
      <c r="DB121" s="206">
        <f>SUMIFS(領用表!$L:$L,領用表!$E:$E,$B121,領用表!$B:$B,$CY$2&amp;DB$2)</f>
        <v/>
      </c>
      <c r="DC121" s="206">
        <f>SUMIFS(領用表!$L:$L,領用表!$E:$E,$B121,領用表!$B:$B,$CY$2&amp;DC$2)</f>
        <v/>
      </c>
      <c r="DD121" s="206">
        <f>SUMIFS(領用表!$L:$L,領用表!$E:$E,$B121,領用表!$B:$B,$CY$2&amp;DD$2)</f>
        <v/>
      </c>
      <c r="DE121" s="208">
        <f>SUMIFS(領用表!$L:$L,領用表!$A:$A,DE$2,領用表!$E:$E,B121)</f>
        <v/>
      </c>
      <c r="DF121" s="206">
        <f>SUMIFS(領用表!$L:$L,領用表!$E:$E,$B121,領用表!$B:$B,DE$2&amp;DF$2)</f>
        <v/>
      </c>
      <c r="DG121" s="206">
        <f>SUMIFS(領用表!$L:$L,領用表!$E:$E,$B121,領用表!$B:$B,$DE$2&amp;DG$2)</f>
        <v/>
      </c>
      <c r="DH121" s="206">
        <f>SUMIFS(領用表!$L:$L,領用表!$E:$E,$B121,領用表!$B:$B,$DE$2&amp;DH$2)</f>
        <v/>
      </c>
      <c r="DI121" s="206">
        <f>SUMIFS(領用表!$L:$L,領用表!$E:$E,$B121,領用表!$B:$B,$DE$2&amp;DI$2)</f>
        <v/>
      </c>
      <c r="DJ121" s="206">
        <f>SUMIFS(領用表!$L:$L,領用表!$E:$E,$B121,領用表!$B:$B,$DE$2&amp;DJ$2)</f>
        <v/>
      </c>
      <c r="DK121" s="208">
        <f>SUMIFS(領用表!$L:$L,領用表!$A:$A,DK$2,領用表!$E:$E,$B121)</f>
        <v/>
      </c>
      <c r="DL121" s="206">
        <f>SUMIFS(領用表!$L:$L,領用表!$E:$E,$B121,領用表!$B:$B,DK$2&amp;DL$2)</f>
        <v/>
      </c>
      <c r="DM121" s="206">
        <f>SUMIFS(領用表!$L:$L,領用表!$E:$E,$B121,領用表!$B:$B,$DK$2&amp;DM$2)</f>
        <v/>
      </c>
      <c r="DN121" s="206">
        <f>SUMIFS(領用表!$L:$L,領用表!$E:$E,$B121,領用表!$B:$B,$DK$2&amp;DN$2)</f>
        <v/>
      </c>
      <c r="DO121" s="206">
        <f>SUMIFS(領用表!$L:$L,領用表!$E:$E,$B121,領用表!$B:$B,$DK$2&amp;DO$2)</f>
        <v/>
      </c>
      <c r="DP121" s="206">
        <f>SUMIFS(領用表!$L:$L,領用表!$E:$E,$B121,領用表!$B:$B,$DK$2&amp;DP$2)</f>
        <v/>
      </c>
      <c r="DQ121" s="208" t="n">
        <v>5</v>
      </c>
      <c r="DR121" s="206" t="n"/>
      <c r="DS121" s="206" t="n">
        <v>1</v>
      </c>
      <c r="DT121" s="206" t="n"/>
      <c r="DU121" s="206" t="n">
        <v>4</v>
      </c>
      <c r="DV121" s="206" t="n"/>
      <c r="DW121" s="206">
        <f>SUM(CN121,CS121,CY121,DE121,DK121,DQ121)</f>
        <v/>
      </c>
      <c r="DX121" s="206">
        <f>AVERAGEA(CN121,CS121,CY121,DE121,DK121,DQ121)</f>
        <v/>
      </c>
      <c r="DY121" s="206">
        <f>SUM(DZ121:EC121)</f>
        <v/>
      </c>
      <c r="DZ121" s="206" t="n">
        <v>0</v>
      </c>
      <c r="EA121" s="206" t="n">
        <v>0</v>
      </c>
      <c r="EB121" s="206" t="n">
        <v>0</v>
      </c>
      <c r="EC121" s="206" t="n">
        <v>0</v>
      </c>
      <c r="ED121" s="258" t="n">
        <v>20</v>
      </c>
      <c r="EE121" s="283" t="n"/>
      <c r="EF121" s="283" t="inlineStr">
        <is>
          <t>20-10/22</t>
        </is>
      </c>
      <c r="EG121" s="283" t="n"/>
      <c r="EH121" s="136" t="n"/>
      <c r="EI121" s="289" t="n"/>
      <c r="EJ121" s="118">
        <f>IFERROR(VLOOKUP(A121,站前4樓!A:BF,57,0),0)</f>
        <v/>
      </c>
      <c r="EK121" s="213">
        <f>IFERROR(VLOOKUP(A121,站前11樓!A:BE,57,0),0)</f>
        <v/>
      </c>
      <c r="EL121" s="118">
        <f>IFERROR(VLOOKUP(A121,忠孝7樓!A:N,57,0),0)</f>
        <v/>
      </c>
      <c r="EM121" s="118">
        <f>IFERROR(VLOOKUP(A121,忠孝國際醫學3樓!A:L,57,0),0)</f>
        <v/>
      </c>
      <c r="EN121" s="118">
        <f>SUM(ED121:EG121)</f>
        <v/>
      </c>
    </row>
    <row r="122" ht="15.75" customFormat="1" customHeight="1" s="118" thickBot="1">
      <c r="A122" s="320" t="inlineStr">
        <is>
          <t>MB3ME090030A</t>
        </is>
      </c>
      <c r="B122" s="118" t="n">
        <v>6120030</v>
      </c>
      <c r="C122" s="136" t="inlineStr">
        <is>
          <t>克多炎 1ml</t>
        </is>
      </c>
      <c r="D122" s="285" t="n"/>
      <c r="E122" s="198" t="inlineStr">
        <is>
          <t>PCS</t>
        </is>
      </c>
      <c r="F122" s="225">
        <f>SUMIF(站前4樓!B:B,B122,站前4樓!F:F)</f>
        <v/>
      </c>
      <c r="G122" s="225">
        <f>SUMIF(站前11樓!B:B,B122,站前11樓!F:F)</f>
        <v/>
      </c>
      <c r="H122" s="225">
        <f>SUMIF(忠孝7樓!B:B,B122,忠孝7樓!G:G)</f>
        <v/>
      </c>
      <c r="I122" s="225">
        <f>SUMIF(忠孝國際醫學3樓!B:B,B122,忠孝國際醫學3樓!G:G)</f>
        <v/>
      </c>
      <c r="J122" s="225">
        <f>SUMIF(忠孝健康7樓!B:B,B122,忠孝健康7樓!G:G)</f>
        <v/>
      </c>
      <c r="K122" s="283" t="n"/>
      <c r="L122" s="283" t="n"/>
      <c r="M122" s="283" t="n"/>
      <c r="N122" s="283" t="n"/>
      <c r="O122" s="283" t="n"/>
      <c r="P122" s="283" t="n"/>
      <c r="Q122" s="283" t="n"/>
      <c r="R122" s="283" t="n"/>
      <c r="S122" s="283" t="n"/>
      <c r="T122" s="283" t="n"/>
      <c r="U122" s="283" t="n"/>
      <c r="V122" s="283" t="n"/>
      <c r="W122" s="283" t="n"/>
      <c r="X122" s="283" t="n"/>
      <c r="Y122" s="283" t="n"/>
      <c r="Z122" s="283" t="n"/>
      <c r="AA122" s="283" t="n"/>
      <c r="AB122" s="283" t="n"/>
      <c r="AC122" s="283" t="n"/>
      <c r="AD122" s="283" t="n"/>
      <c r="AE122" s="283" t="n"/>
      <c r="AF122" s="283" t="n"/>
      <c r="AG122" s="283" t="n"/>
      <c r="AH122" s="283" t="n"/>
      <c r="AI122" s="283" t="n"/>
      <c r="AJ122" s="201" t="n"/>
      <c r="AK122" s="201" t="n"/>
      <c r="AL122" s="201" t="n"/>
      <c r="AM122" s="201" t="n"/>
      <c r="AN122" s="201" t="n"/>
      <c r="AO122" s="201" t="n"/>
      <c r="AP122" s="201" t="n"/>
      <c r="AQ122" s="201" t="n"/>
      <c r="AR122" s="201" t="n"/>
      <c r="AS122" s="201" t="n"/>
      <c r="AT122" s="201" t="n"/>
      <c r="AU122" s="201" t="n"/>
      <c r="AV122" s="283">
        <f>SUM(AJ122:AU122)</f>
        <v/>
      </c>
      <c r="AW122" s="286">
        <f>AV122/12</f>
        <v/>
      </c>
      <c r="AX122" s="201" t="n">
        <v>0</v>
      </c>
      <c r="AY122" s="201" t="n">
        <v>0</v>
      </c>
      <c r="AZ122" s="201" t="n">
        <v>0</v>
      </c>
      <c r="BA122" s="201" t="n">
        <v>18</v>
      </c>
      <c r="BB122" s="201" t="n">
        <v>1</v>
      </c>
      <c r="BC122" s="203">
        <f>SUMIFS(領用表!$L:$L,領用表!$A:$A,BC$2,領用表!$E:$E,B122)</f>
        <v/>
      </c>
      <c r="BD122" s="287">
        <f>SUMIFS(領用表!$L:$L,領用表!$E:$E,$B122,領用表!$B:$B,BC$2&amp;BD$2)</f>
        <v/>
      </c>
      <c r="BE122" s="287">
        <f>SUMIFS(領用表!$L:$L,領用表!$E:$E,$B122,領用表!$B:$B,$BC$2&amp;BE$2)</f>
        <v/>
      </c>
      <c r="BF122" s="287">
        <f>SUMIFS(領用表!$L:$L,領用表!$E:$E,$B122,領用表!$B:$B,$BC$2&amp;BF$2)</f>
        <v/>
      </c>
      <c r="BG122" s="206">
        <f>SUMIFS(領用表!$L:$L,領用表!$E:$E,$B122,領用表!$B:$B,$BC$2&amp;BG$2)</f>
        <v/>
      </c>
      <c r="BH122" s="203">
        <f>SUMIFS(領用表!$L:$L,領用表!$A:$A,BH$2,領用表!$E:$E,B122)</f>
        <v/>
      </c>
      <c r="BI122" s="260">
        <f>SUMIFS(領用表!$L:$L,領用表!$E:$E,$B122,領用表!$B:$B,BH$2&amp;BI$2)</f>
        <v/>
      </c>
      <c r="BJ122" s="260">
        <f>SUMIFS(領用表!$L:$L,領用表!$E:$E,$B122,領用表!$B:$B,$BH$2&amp;BJ$2)</f>
        <v/>
      </c>
      <c r="BK122" s="260">
        <f>SUMIFS(領用表!$L:$L,領用表!$E:$E,$B122,領用表!$B:$B,$BH$2&amp;BK$2)</f>
        <v/>
      </c>
      <c r="BL122" s="260">
        <f>SUMIFS(領用表!$L:$L,領用表!$E:$E,$B122,領用表!$B:$B,$BH$2&amp;BL$2)</f>
        <v/>
      </c>
      <c r="BM122" s="203">
        <f>SUMIFS(領用表!$L:$L,領用表!$A:$A,BM$2,領用表!$E:$E,B122)</f>
        <v/>
      </c>
      <c r="BN122" s="206">
        <f>SUMIFS(領用表!$L:$L,領用表!$E:$E,$B122,領用表!$B:$B,BM$2&amp;BN$2)</f>
        <v/>
      </c>
      <c r="BO122" s="206">
        <f>SUMIFS(領用表!$L:$L,領用表!$E:$E,$B122,領用表!$B:$B,$BM$2&amp;BO$2)</f>
        <v/>
      </c>
      <c r="BP122" s="288">
        <f>SUMIFS(領用表!$L:$L,領用表!$E:$E,$B122,領用表!$B:$B,$BM$2&amp;BP$2)</f>
        <v/>
      </c>
      <c r="BQ122" s="287">
        <f>SUMIFS(領用表!$L:$L,領用表!$E:$E,$B122,領用表!$B:$B,$BM$2&amp;BQ$2)</f>
        <v/>
      </c>
      <c r="BR122" s="203">
        <f>SUMIFS(領用表!$L:$L,領用表!$A:$A,BR$2,領用表!$E:$E,B122)</f>
        <v/>
      </c>
      <c r="BS122" s="288">
        <f>SUMIFS(領用表!$L:$L,領用表!$E:$E,$B122,領用表!$B:$B,BR$2&amp;BS$2)</f>
        <v/>
      </c>
      <c r="BT122" s="288">
        <f>SUMIFS(領用表!$L:$L,領用表!$E:$E,$B122,領用表!$B:$B,$BR$2&amp;BT$2)</f>
        <v/>
      </c>
      <c r="BU122" s="288">
        <f>SUMIFS(領用表!$L:$L,領用表!$E:$E,$B122,領用表!$B:$B,$BR$2&amp;BU$2)</f>
        <v/>
      </c>
      <c r="BV122" s="287">
        <f>SUMIFS(領用表!$L:$L,領用表!$E:$E,$B122,領用表!$B:$B,$BR$2&amp;BV$2)</f>
        <v/>
      </c>
      <c r="BW122" s="208">
        <f>SUMIFS(領用表!$L:$L,領用表!$A:$A,BW$2,領用表!$E:$E,B122)</f>
        <v/>
      </c>
      <c r="BX122" s="206">
        <f>SUMIFS(領用表!$L:$L,領用表!$E:$E,$B122,領用表!$B:$B,BW$2&amp;BX$2)</f>
        <v/>
      </c>
      <c r="BY122" s="206">
        <f>SUMIFS(領用表!$L:$L,領用表!$E:$E,$B122,領用表!$B:$B,$BW$2&amp;BY$2)</f>
        <v/>
      </c>
      <c r="BZ122" s="206">
        <f>SUMIFS(領用表!$L:$L,領用表!$E:$E,$B122,領用表!$B:$B,$BW$2&amp;BZ$2)</f>
        <v/>
      </c>
      <c r="CA122" s="206">
        <f>SUMIFS(領用表!$L:$L,領用表!$E:$E,$B122,領用表!$B:$B,$BW$2&amp;CA$2)</f>
        <v/>
      </c>
      <c r="CB122" s="208">
        <f>SUMIFS(領用表!$L:$L,領用表!$A:$A,CB$2,領用表!$E:$E,B122)</f>
        <v/>
      </c>
      <c r="CC122" s="206">
        <f>SUMIFS(領用表!$L:$L,領用表!$E:$E,$B122,領用表!$B:$B,CB$2&amp;CC$2)</f>
        <v/>
      </c>
      <c r="CD122" s="206">
        <f>SUMIFS(領用表!$L:$L,領用表!$E:$E,$B122,領用表!$B:$B,$CB$2&amp;CD$2)</f>
        <v/>
      </c>
      <c r="CE122" s="206">
        <f>SUMIFS(領用表!$L:$L,領用表!$E:$E,$B122,領用表!$B:$B,$CB$2&amp;CE$2)</f>
        <v/>
      </c>
      <c r="CF122" s="206">
        <f>SUMIFS(領用表!$L:$L,領用表!$E:$E,$B122,領用表!$B:$B,$CB$2&amp;CF$2)</f>
        <v/>
      </c>
      <c r="CG122" s="208">
        <f>SUMIFS(領用表!$L:$L,領用表!$A:$A,CG$2,領用表!$E:$E,B122)</f>
        <v/>
      </c>
      <c r="CH122" s="206">
        <f>SUMIFS(領用表!$L:$L,領用表!$E:$E,$B122,領用表!$B:$B,CG$2&amp;CH$2)</f>
        <v/>
      </c>
      <c r="CI122" s="206">
        <f>SUMIFS(領用表!$L:$L,領用表!$E:$E,$B122,領用表!$B:$B,CG$2&amp;CI$2)</f>
        <v/>
      </c>
      <c r="CJ122" s="206">
        <f>SUMIFS(領用表!$L:$L,領用表!$E:$E,$B122,領用表!$B:$B,CG$2&amp;CJ$2)</f>
        <v/>
      </c>
      <c r="CK122" s="206">
        <f>SUMIFS(領用表!$L:$L,領用表!$E:$E,$B122,領用表!$B:$B,$CG$2&amp;CK$2)</f>
        <v/>
      </c>
      <c r="CL122" s="207">
        <f>SUM(AX122,AY122,AZ122,BA122,BB122,BC122,BH122,BM122,BR122,BW122,CB122,CG122)</f>
        <v/>
      </c>
      <c r="CM122" s="207">
        <f>AVERAGE(AX122,AY122,AZ122,BA122,BB122,BC122,BH122,BM122,BR122,BW122,CB122,CG122)</f>
        <v/>
      </c>
      <c r="CN122" s="208">
        <f>SUMIFS(領用表!$L:$L,領用表!$A:$A,CN$2,領用表!$E:$E,B122)</f>
        <v/>
      </c>
      <c r="CO122" s="206">
        <f>SUMIFS(領用表!$L:$L,領用表!$E:$E,$B122,領用表!$B:$B,CN$2&amp;CO$2)</f>
        <v/>
      </c>
      <c r="CP122" s="206">
        <f>SUMIFS(領用表!$L:$L,領用表!$E:$E,$B122,領用表!$B:$B,$CN$2&amp;CP$2)</f>
        <v/>
      </c>
      <c r="CQ122" s="206">
        <f>SUMIFS(領用表!$L:$L,領用表!$E:$E,$B122,領用表!$B:$B,$CN$2&amp;CQ$2)</f>
        <v/>
      </c>
      <c r="CR122" s="206">
        <f>SUMIFS(領用表!$L:$L,領用表!$E:$E,$B122,領用表!$B:$B,$CN$2&amp;CR$2)</f>
        <v/>
      </c>
      <c r="CS122" s="208">
        <f>SUMIFS(領用表!$L:$L,領用表!$A:$A,CS$2,領用表!$E:$E,B122)</f>
        <v/>
      </c>
      <c r="CT122" s="206">
        <f>SUMIFS(領用表!$L:$L,領用表!$E:$E,$B122,領用表!$B:$B,CS$2&amp;CT$2)</f>
        <v/>
      </c>
      <c r="CU122" s="206">
        <f>SUMIFS(領用表!$L:$L,領用表!$E:$E,$B122,領用表!$B:$B,$CS$2&amp;CU$2)</f>
        <v/>
      </c>
      <c r="CV122" s="206">
        <f>SUMIFS(領用表!$L:$L,領用表!$E:$E,$B122,領用表!$B:$B,$CS$2&amp;CV$2)</f>
        <v/>
      </c>
      <c r="CW122" s="206">
        <f>SUMIFS(領用表!$L:$L,領用表!$E:$E,$B122,領用表!$B:$B,$CS$2&amp;CW$2)</f>
        <v/>
      </c>
      <c r="CX122" s="206">
        <f>SUMIFS(領用表!$L:$L,領用表!$E:$E,$B122,領用表!$B:$B,$CS$2&amp;CX$2)</f>
        <v/>
      </c>
      <c r="CY122" s="208">
        <f>SUMIFS(領用表!$L:$L,領用表!$A:$A,CY$2,領用表!$E:$E,B122)</f>
        <v/>
      </c>
      <c r="CZ122" s="206">
        <f>SUMIFS(領用表!$L:$L,領用表!$E:$E,$B122,領用表!$B:$B,CY$2&amp;CZ$2)</f>
        <v/>
      </c>
      <c r="DA122" s="206">
        <f>SUMIFS(領用表!$L:$L,領用表!$E:$E,$B122,領用表!$B:$B,$CY$2&amp;DA$2)</f>
        <v/>
      </c>
      <c r="DB122" s="206">
        <f>SUMIFS(領用表!$L:$L,領用表!$E:$E,$B122,領用表!$B:$B,$CY$2&amp;DB$2)</f>
        <v/>
      </c>
      <c r="DC122" s="206">
        <f>SUMIFS(領用表!$L:$L,領用表!$E:$E,$B122,領用表!$B:$B,$CY$2&amp;DC$2)</f>
        <v/>
      </c>
      <c r="DD122" s="206">
        <f>SUMIFS(領用表!$L:$L,領用表!$E:$E,$B122,領用表!$B:$B,$CY$2&amp;DD$2)</f>
        <v/>
      </c>
      <c r="DE122" s="208">
        <f>SUMIFS(領用表!$L:$L,領用表!$A:$A,DE$2,領用表!$E:$E,B122)</f>
        <v/>
      </c>
      <c r="DF122" s="206">
        <f>SUMIFS(領用表!$L:$L,領用表!$E:$E,$B122,領用表!$B:$B,DE$2&amp;DF$2)</f>
        <v/>
      </c>
      <c r="DG122" s="206">
        <f>SUMIFS(領用表!$L:$L,領用表!$E:$E,$B122,領用表!$B:$B,$DE$2&amp;DG$2)</f>
        <v/>
      </c>
      <c r="DH122" s="206">
        <f>SUMIFS(領用表!$L:$L,領用表!$E:$E,$B122,領用表!$B:$B,$DE$2&amp;DH$2)</f>
        <v/>
      </c>
      <c r="DI122" s="206">
        <f>SUMIFS(領用表!$L:$L,領用表!$E:$E,$B122,領用表!$B:$B,$DE$2&amp;DI$2)</f>
        <v/>
      </c>
      <c r="DJ122" s="206">
        <f>SUMIFS(領用表!$L:$L,領用表!$E:$E,$B122,領用表!$B:$B,$DE$2&amp;DJ$2)</f>
        <v/>
      </c>
      <c r="DK122" s="208">
        <f>SUMIFS(領用表!$L:$L,領用表!$A:$A,DK$2,領用表!$E:$E,$B122)</f>
        <v/>
      </c>
      <c r="DL122" s="206">
        <f>SUMIFS(領用表!$L:$L,領用表!$E:$E,$B122,領用表!$B:$B,DK$2&amp;DL$2)</f>
        <v/>
      </c>
      <c r="DM122" s="206">
        <f>SUMIFS(領用表!$L:$L,領用表!$E:$E,$B122,領用表!$B:$B,$DK$2&amp;DM$2)</f>
        <v/>
      </c>
      <c r="DN122" s="206">
        <f>SUMIFS(領用表!$L:$L,領用表!$E:$E,$B122,領用表!$B:$B,$DK$2&amp;DN$2)</f>
        <v/>
      </c>
      <c r="DO122" s="206">
        <f>SUMIFS(領用表!$L:$L,領用表!$E:$E,$B122,領用表!$B:$B,$DK$2&amp;DO$2)</f>
        <v/>
      </c>
      <c r="DP122" s="206">
        <f>SUMIFS(領用表!$L:$L,領用表!$E:$E,$B122,領用表!$B:$B,$DK$2&amp;DP$2)</f>
        <v/>
      </c>
      <c r="DQ122" s="208" t="n"/>
      <c r="DR122" s="206" t="n"/>
      <c r="DS122" s="206" t="n"/>
      <c r="DT122" s="206" t="n"/>
      <c r="DU122" s="206" t="n"/>
      <c r="DV122" s="206" t="n"/>
      <c r="DW122" s="206">
        <f>SUM(CN122,CS122,CY122,DE122,DK122,DQ122)</f>
        <v/>
      </c>
      <c r="DX122" s="206">
        <f>AVERAGEA(CN122,CS122,CY122,DE122,DK122,DQ122)</f>
        <v/>
      </c>
      <c r="DY122" s="206">
        <f>SUM(DZ122:EC122)</f>
        <v/>
      </c>
      <c r="DZ122" s="206" t="n">
        <v>0</v>
      </c>
      <c r="EA122" s="206" t="n">
        <v>0</v>
      </c>
      <c r="EB122" s="206" t="n">
        <v>0</v>
      </c>
      <c r="EC122" s="206" t="n">
        <v>0</v>
      </c>
      <c r="ED122" s="258" t="n"/>
      <c r="EE122" s="283" t="n"/>
      <c r="EF122" s="283" t="n"/>
      <c r="EG122" s="283" t="n"/>
      <c r="EH122" s="136" t="n"/>
      <c r="EI122" s="136" t="n"/>
      <c r="EJ122" s="118">
        <f>IFERROR(VLOOKUP(A122,站前4樓!A:BF,57,0),0)</f>
        <v/>
      </c>
      <c r="EK122" s="213">
        <f>IFERROR(VLOOKUP(A122,站前11樓!A:BE,57,0),0)</f>
        <v/>
      </c>
      <c r="EL122" s="118">
        <f>IFERROR(VLOOKUP(A122,忠孝7樓!A:N,57,0),0)</f>
        <v/>
      </c>
      <c r="EM122" s="118">
        <f>IFERROR(VLOOKUP(A122,忠孝國際醫學3樓!A:L,57,0),0)</f>
        <v/>
      </c>
      <c r="EN122" s="118">
        <f>SUM(ED122:EG122)</f>
        <v/>
      </c>
    </row>
    <row r="123" ht="15.75" customFormat="1" customHeight="1" s="118" thickBot="1">
      <c r="A123" s="320" t="inlineStr">
        <is>
          <t>MB3ME090018A</t>
        </is>
      </c>
      <c r="B123" s="118" t="n">
        <v>6120023</v>
      </c>
      <c r="C123" s="322" t="inlineStr">
        <is>
          <t>(麻藥)利卡因注射液20mg (20ml/支)</t>
        </is>
      </c>
      <c r="D123" s="285" t="n"/>
      <c r="E123" s="198" t="inlineStr">
        <is>
          <t>PCS</t>
        </is>
      </c>
      <c r="F123" s="225">
        <f>SUMIF(站前4樓!B:B,B123,站前4樓!F:F)</f>
        <v/>
      </c>
      <c r="G123" s="225">
        <f>SUMIF(站前11樓!B:B,B123,站前11樓!F:F)</f>
        <v/>
      </c>
      <c r="H123" s="225">
        <f>SUMIF(忠孝7樓!B:B,B123,忠孝7樓!G:G)</f>
        <v/>
      </c>
      <c r="I123" s="225">
        <f>SUMIF(忠孝國際醫學3樓!B:B,B123,忠孝國際醫學3樓!G:G)</f>
        <v/>
      </c>
      <c r="J123" s="225">
        <f>SUMIF(忠孝健康7樓!B:B,B123,忠孝健康7樓!G:G)</f>
        <v/>
      </c>
      <c r="K123" s="283" t="n"/>
      <c r="L123" s="283" t="n"/>
      <c r="M123" s="283" t="n"/>
      <c r="N123" s="283" t="n"/>
      <c r="O123" s="283" t="n"/>
      <c r="P123" s="283" t="n"/>
      <c r="Q123" s="283" t="n"/>
      <c r="R123" s="283" t="n"/>
      <c r="S123" s="283" t="n"/>
      <c r="T123" s="283" t="n"/>
      <c r="U123" s="283" t="n"/>
      <c r="V123" s="283" t="n"/>
      <c r="W123" s="283" t="n"/>
      <c r="X123" s="283" t="n"/>
      <c r="Y123" s="283" t="n"/>
      <c r="Z123" s="283" t="n"/>
      <c r="AA123" s="283" t="n"/>
      <c r="AB123" s="283" t="n"/>
      <c r="AC123" s="283" t="n"/>
      <c r="AD123" s="283" t="n"/>
      <c r="AE123" s="283" t="n"/>
      <c r="AF123" s="283" t="n"/>
      <c r="AG123" s="283" t="n"/>
      <c r="AH123" s="283" t="n"/>
      <c r="AI123" s="283" t="n"/>
      <c r="AJ123" s="201" t="n"/>
      <c r="AK123" s="201" t="n"/>
      <c r="AL123" s="201" t="n"/>
      <c r="AM123" s="201" t="n"/>
      <c r="AN123" s="201" t="n"/>
      <c r="AO123" s="201" t="n"/>
      <c r="AP123" s="201" t="n"/>
      <c r="AQ123" s="201" t="n"/>
      <c r="AR123" s="201" t="n"/>
      <c r="AS123" s="201" t="n"/>
      <c r="AT123" s="201" t="n"/>
      <c r="AU123" s="201" t="n"/>
      <c r="AV123" s="283">
        <f>SUM(AJ123:AU123)</f>
        <v/>
      </c>
      <c r="AW123" s="286">
        <f>AV123/12</f>
        <v/>
      </c>
      <c r="AX123" s="201" t="n">
        <v>0</v>
      </c>
      <c r="AY123" s="201" t="n">
        <v>0</v>
      </c>
      <c r="AZ123" s="201" t="n">
        <v>2</v>
      </c>
      <c r="BA123" s="201" t="n">
        <v>3</v>
      </c>
      <c r="BB123" s="201" t="n">
        <v>6</v>
      </c>
      <c r="BC123" s="203">
        <f>SUMIFS(領用表!$L:$L,領用表!$A:$A,BC$2,領用表!$E:$E,B123)</f>
        <v/>
      </c>
      <c r="BD123" s="287">
        <f>SUMIFS(領用表!$L:$L,領用表!$E:$E,$B123,領用表!$B:$B,BC$2&amp;BD$2)</f>
        <v/>
      </c>
      <c r="BE123" s="287">
        <f>SUMIFS(領用表!$L:$L,領用表!$E:$E,$B123,領用表!$B:$B,$BC$2&amp;BE$2)</f>
        <v/>
      </c>
      <c r="BF123" s="287">
        <f>SUMIFS(領用表!$L:$L,領用表!$E:$E,$B123,領用表!$B:$B,$BC$2&amp;BF$2)</f>
        <v/>
      </c>
      <c r="BG123" s="206">
        <f>SUMIFS(領用表!$L:$L,領用表!$E:$E,$B123,領用表!$B:$B,$BC$2&amp;BG$2)</f>
        <v/>
      </c>
      <c r="BH123" s="203">
        <f>SUMIFS(領用表!$L:$L,領用表!$A:$A,BH$2,領用表!$E:$E,B123)</f>
        <v/>
      </c>
      <c r="BI123" s="260">
        <f>SUMIFS(領用表!$L:$L,領用表!$E:$E,$B123,領用表!$B:$B,BH$2&amp;BI$2)</f>
        <v/>
      </c>
      <c r="BJ123" s="260">
        <f>SUMIFS(領用表!$L:$L,領用表!$E:$E,$B123,領用表!$B:$B,$BH$2&amp;BJ$2)</f>
        <v/>
      </c>
      <c r="BK123" s="260">
        <f>SUMIFS(領用表!$L:$L,領用表!$E:$E,$B123,領用表!$B:$B,$BH$2&amp;BK$2)</f>
        <v/>
      </c>
      <c r="BL123" s="260">
        <f>SUMIFS(領用表!$L:$L,領用表!$E:$E,$B123,領用表!$B:$B,$BH$2&amp;BL$2)</f>
        <v/>
      </c>
      <c r="BM123" s="203">
        <f>SUMIFS(領用表!$L:$L,領用表!$A:$A,BM$2,領用表!$E:$E,B123)</f>
        <v/>
      </c>
      <c r="BN123" s="206">
        <f>SUMIFS(領用表!$L:$L,領用表!$E:$E,$B123,領用表!$B:$B,BM$2&amp;BN$2)</f>
        <v/>
      </c>
      <c r="BO123" s="206">
        <f>SUMIFS(領用表!$L:$L,領用表!$E:$E,$B123,領用表!$B:$B,$BM$2&amp;BO$2)</f>
        <v/>
      </c>
      <c r="BP123" s="288">
        <f>SUMIFS(領用表!$L:$L,領用表!$E:$E,$B123,領用表!$B:$B,$BM$2&amp;BP$2)</f>
        <v/>
      </c>
      <c r="BQ123" s="287">
        <f>SUMIFS(領用表!$L:$L,領用表!$E:$E,$B123,領用表!$B:$B,$BM$2&amp;BQ$2)</f>
        <v/>
      </c>
      <c r="BR123" s="203">
        <f>SUMIFS(領用表!$L:$L,領用表!$A:$A,BR$2,領用表!$E:$E,B123)</f>
        <v/>
      </c>
      <c r="BS123" s="288">
        <f>SUMIFS(領用表!$L:$L,領用表!$E:$E,$B123,領用表!$B:$B,BR$2&amp;BS$2)</f>
        <v/>
      </c>
      <c r="BT123" s="288">
        <f>SUMIFS(領用表!$L:$L,領用表!$E:$E,$B123,領用表!$B:$B,$BR$2&amp;BT$2)</f>
        <v/>
      </c>
      <c r="BU123" s="288">
        <f>SUMIFS(領用表!$L:$L,領用表!$E:$E,$B123,領用表!$B:$B,$BR$2&amp;BU$2)</f>
        <v/>
      </c>
      <c r="BV123" s="287">
        <f>SUMIFS(領用表!$L:$L,領用表!$E:$E,$B123,領用表!$B:$B,$BR$2&amp;BV$2)</f>
        <v/>
      </c>
      <c r="BW123" s="208">
        <f>SUMIFS(領用表!$L:$L,領用表!$A:$A,BW$2,領用表!$E:$E,B123)</f>
        <v/>
      </c>
      <c r="BX123" s="206">
        <f>SUMIFS(領用表!$L:$L,領用表!$E:$E,$B123,領用表!$B:$B,BW$2&amp;BX$2)</f>
        <v/>
      </c>
      <c r="BY123" s="206">
        <f>SUMIFS(領用表!$L:$L,領用表!$E:$E,$B123,領用表!$B:$B,$BW$2&amp;BY$2)</f>
        <v/>
      </c>
      <c r="BZ123" s="206">
        <f>SUMIFS(領用表!$L:$L,領用表!$E:$E,$B123,領用表!$B:$B,$BW$2&amp;BZ$2)</f>
        <v/>
      </c>
      <c r="CA123" s="206">
        <f>SUMIFS(領用表!$L:$L,領用表!$E:$E,$B123,領用表!$B:$B,$BW$2&amp;CA$2)</f>
        <v/>
      </c>
      <c r="CB123" s="208">
        <f>SUMIFS(領用表!$L:$L,領用表!$A:$A,CB$2,領用表!$E:$E,B123)</f>
        <v/>
      </c>
      <c r="CC123" s="206">
        <f>SUMIFS(領用表!$L:$L,領用表!$E:$E,$B123,領用表!$B:$B,CB$2&amp;CC$2)</f>
        <v/>
      </c>
      <c r="CD123" s="206">
        <f>SUMIFS(領用表!$L:$L,領用表!$E:$E,$B123,領用表!$B:$B,$CB$2&amp;CD$2)</f>
        <v/>
      </c>
      <c r="CE123" s="206">
        <f>SUMIFS(領用表!$L:$L,領用表!$E:$E,$B123,領用表!$B:$B,$CB$2&amp;CE$2)</f>
        <v/>
      </c>
      <c r="CF123" s="206">
        <f>SUMIFS(領用表!$L:$L,領用表!$E:$E,$B123,領用表!$B:$B,$CB$2&amp;CF$2)</f>
        <v/>
      </c>
      <c r="CG123" s="208">
        <f>SUMIFS(領用表!$L:$L,領用表!$A:$A,CG$2,領用表!$E:$E,B123)</f>
        <v/>
      </c>
      <c r="CH123" s="206">
        <f>SUMIFS(領用表!$L:$L,領用表!$E:$E,$B123,領用表!$B:$B,CG$2&amp;CH$2)</f>
        <v/>
      </c>
      <c r="CI123" s="206">
        <f>SUMIFS(領用表!$L:$L,領用表!$E:$E,$B123,領用表!$B:$B,CG$2&amp;CI$2)</f>
        <v/>
      </c>
      <c r="CJ123" s="206">
        <f>SUMIFS(領用表!$L:$L,領用表!$E:$E,$B123,領用表!$B:$B,CG$2&amp;CJ$2)</f>
        <v/>
      </c>
      <c r="CK123" s="206">
        <f>SUMIFS(領用表!$L:$L,領用表!$E:$E,$B123,領用表!$B:$B,$CG$2&amp;CK$2)</f>
        <v/>
      </c>
      <c r="CL123" s="207">
        <f>SUM(AX123,AY123,AZ123,BA123,BB123,BC123,BH123,BM123,BR123,BW123,CB123,CG123)</f>
        <v/>
      </c>
      <c r="CM123" s="207">
        <f>AVERAGE(AX123,AY123,AZ123,BA123,BB123,BC123,BH123,BM123,BR123,BW123,CB123,CG123)</f>
        <v/>
      </c>
      <c r="CN123" s="208">
        <f>SUMIFS(領用表!$L:$L,領用表!$A:$A,CN$2,領用表!$E:$E,B123)</f>
        <v/>
      </c>
      <c r="CO123" s="206">
        <f>SUMIFS(領用表!$L:$L,領用表!$E:$E,$B123,領用表!$B:$B,CN$2&amp;CO$2)</f>
        <v/>
      </c>
      <c r="CP123" s="206">
        <f>SUMIFS(領用表!$L:$L,領用表!$E:$E,$B123,領用表!$B:$B,$CN$2&amp;CP$2)</f>
        <v/>
      </c>
      <c r="CQ123" s="206">
        <f>SUMIFS(領用表!$L:$L,領用表!$E:$E,$B123,領用表!$B:$B,$CN$2&amp;CQ$2)</f>
        <v/>
      </c>
      <c r="CR123" s="206">
        <f>SUMIFS(領用表!$L:$L,領用表!$E:$E,$B123,領用表!$B:$B,$CN$2&amp;CR$2)</f>
        <v/>
      </c>
      <c r="CS123" s="208">
        <f>SUMIFS(領用表!$L:$L,領用表!$A:$A,CS$2,領用表!$E:$E,B123)</f>
        <v/>
      </c>
      <c r="CT123" s="206">
        <f>SUMIFS(領用表!$L:$L,領用表!$E:$E,$B123,領用表!$B:$B,CS$2&amp;CT$2)</f>
        <v/>
      </c>
      <c r="CU123" s="206">
        <f>SUMIFS(領用表!$L:$L,領用表!$E:$E,$B123,領用表!$B:$B,$CS$2&amp;CU$2)</f>
        <v/>
      </c>
      <c r="CV123" s="206">
        <f>SUMIFS(領用表!$L:$L,領用表!$E:$E,$B123,領用表!$B:$B,$CS$2&amp;CV$2)</f>
        <v/>
      </c>
      <c r="CW123" s="206">
        <f>SUMIFS(領用表!$L:$L,領用表!$E:$E,$B123,領用表!$B:$B,$CS$2&amp;CW$2)</f>
        <v/>
      </c>
      <c r="CX123" s="206">
        <f>SUMIFS(領用表!$L:$L,領用表!$E:$E,$B123,領用表!$B:$B,$CS$2&amp;CX$2)</f>
        <v/>
      </c>
      <c r="CY123" s="208">
        <f>SUMIFS(領用表!$L:$L,領用表!$A:$A,CY$2,領用表!$E:$E,B123)</f>
        <v/>
      </c>
      <c r="CZ123" s="206">
        <f>SUMIFS(領用表!$L:$L,領用表!$E:$E,$B123,領用表!$B:$B,CY$2&amp;CZ$2)</f>
        <v/>
      </c>
      <c r="DA123" s="206">
        <f>SUMIFS(領用表!$L:$L,領用表!$E:$E,$B123,領用表!$B:$B,$CY$2&amp;DA$2)</f>
        <v/>
      </c>
      <c r="DB123" s="206">
        <f>SUMIFS(領用表!$L:$L,領用表!$E:$E,$B123,領用表!$B:$B,$CY$2&amp;DB$2)</f>
        <v/>
      </c>
      <c r="DC123" s="206">
        <f>SUMIFS(領用表!$L:$L,領用表!$E:$E,$B123,領用表!$B:$B,$CY$2&amp;DC$2)</f>
        <v/>
      </c>
      <c r="DD123" s="206">
        <f>SUMIFS(領用表!$L:$L,領用表!$E:$E,$B123,領用表!$B:$B,$CY$2&amp;DD$2)</f>
        <v/>
      </c>
      <c r="DE123" s="208">
        <f>SUMIFS(領用表!$L:$L,領用表!$A:$A,DE$2,領用表!$E:$E,B123)</f>
        <v/>
      </c>
      <c r="DF123" s="206">
        <f>SUMIFS(領用表!$L:$L,領用表!$E:$E,$B123,領用表!$B:$B,DE$2&amp;DF$2)</f>
        <v/>
      </c>
      <c r="DG123" s="206">
        <f>SUMIFS(領用表!$L:$L,領用表!$E:$E,$B123,領用表!$B:$B,$DE$2&amp;DG$2)</f>
        <v/>
      </c>
      <c r="DH123" s="206">
        <f>SUMIFS(領用表!$L:$L,領用表!$E:$E,$B123,領用表!$B:$B,$DE$2&amp;DH$2)</f>
        <v/>
      </c>
      <c r="DI123" s="206">
        <f>SUMIFS(領用表!$L:$L,領用表!$E:$E,$B123,領用表!$B:$B,$DE$2&amp;DI$2)</f>
        <v/>
      </c>
      <c r="DJ123" s="206">
        <f>SUMIFS(領用表!$L:$L,領用表!$E:$E,$B123,領用表!$B:$B,$DE$2&amp;DJ$2)</f>
        <v/>
      </c>
      <c r="DK123" s="208">
        <f>SUMIFS(領用表!$L:$L,領用表!$A:$A,DK$2,領用表!$E:$E,$B123)</f>
        <v/>
      </c>
      <c r="DL123" s="206">
        <f>SUMIFS(領用表!$L:$L,領用表!$E:$E,$B123,領用表!$B:$B,DK$2&amp;DL$2)</f>
        <v/>
      </c>
      <c r="DM123" s="206">
        <f>SUMIFS(領用表!$L:$L,領用表!$E:$E,$B123,領用表!$B:$B,$DK$2&amp;DM$2)</f>
        <v/>
      </c>
      <c r="DN123" s="206">
        <f>SUMIFS(領用表!$L:$L,領用表!$E:$E,$B123,領用表!$B:$B,$DK$2&amp;DN$2)</f>
        <v/>
      </c>
      <c r="DO123" s="206">
        <f>SUMIFS(領用表!$L:$L,領用表!$E:$E,$B123,領用表!$B:$B,$DK$2&amp;DO$2)</f>
        <v/>
      </c>
      <c r="DP123" s="206">
        <f>SUMIFS(領用表!$L:$L,領用表!$E:$E,$B123,領用表!$B:$B,$DK$2&amp;DP$2)</f>
        <v/>
      </c>
      <c r="DQ123" s="208" t="n"/>
      <c r="DR123" s="206" t="n"/>
      <c r="DS123" s="206" t="n"/>
      <c r="DT123" s="206" t="n"/>
      <c r="DU123" s="206" t="n"/>
      <c r="DV123" s="206" t="n"/>
      <c r="DW123" s="206">
        <f>SUM(CN123,CS123,CY123,DE123,DK123,DQ123)</f>
        <v/>
      </c>
      <c r="DX123" s="206">
        <f>AVERAGEA(CN123,CS123,CY123,DE123,DK123,DQ123)</f>
        <v/>
      </c>
      <c r="DY123" s="206">
        <f>SUM(DZ123:EC123)</f>
        <v/>
      </c>
      <c r="DZ123" s="206" t="n">
        <v>0</v>
      </c>
      <c r="EA123" s="206" t="n">
        <v>0</v>
      </c>
      <c r="EB123" s="206" t="n">
        <v>0</v>
      </c>
      <c r="EC123" s="206" t="n">
        <v>0</v>
      </c>
      <c r="ED123" s="258" t="n"/>
      <c r="EE123" s="283" t="n"/>
      <c r="EF123" s="283" t="n"/>
      <c r="EG123" s="283" t="n"/>
      <c r="EH123" s="136" t="n"/>
      <c r="EI123" s="136" t="n"/>
      <c r="EJ123" s="118">
        <f>IFERROR(VLOOKUP(A123,站前4樓!A:BF,57,0),0)</f>
        <v/>
      </c>
      <c r="EK123" s="213">
        <f>IFERROR(VLOOKUP(A123,站前11樓!A:BE,57,0),0)</f>
        <v/>
      </c>
      <c r="EL123" s="118">
        <f>IFERROR(VLOOKUP(A123,忠孝7樓!A:N,57,0),0)</f>
        <v/>
      </c>
      <c r="EM123" s="118">
        <f>IFERROR(VLOOKUP(A123,忠孝國際醫學3樓!A:L,57,0),0)</f>
        <v/>
      </c>
      <c r="EN123" s="118">
        <f>SUM(ED123:EG123)</f>
        <v/>
      </c>
    </row>
    <row r="124" ht="15.75" customFormat="1" customHeight="1" s="118" thickBot="1">
      <c r="A124" s="320" t="inlineStr">
        <is>
          <t>MB3ME090019A</t>
        </is>
      </c>
      <c r="B124" s="118" t="n">
        <v>6120024</v>
      </c>
      <c r="C124" s="323" t="inlineStr">
        <is>
          <t>(麻藥)利都卡因 注射液2% 20ml/支</t>
        </is>
      </c>
      <c r="D124" s="285" t="n"/>
      <c r="E124" s="198" t="inlineStr">
        <is>
          <t>PCS</t>
        </is>
      </c>
      <c r="F124" s="225">
        <f>SUMIF(站前4樓!B:B,B124,站前4樓!F:F)</f>
        <v/>
      </c>
      <c r="G124" s="225">
        <f>SUMIF(站前11樓!B:B,B124,站前11樓!F:F)</f>
        <v/>
      </c>
      <c r="H124" s="225">
        <f>SUMIF(忠孝7樓!B:B,B124,忠孝7樓!G:G)</f>
        <v/>
      </c>
      <c r="I124" s="225">
        <f>SUMIF(忠孝國際醫學3樓!B:B,B124,忠孝國際醫學3樓!G:G)</f>
        <v/>
      </c>
      <c r="J124" s="225">
        <f>SUMIF(忠孝健康7樓!B:B,B124,忠孝健康7樓!G:G)</f>
        <v/>
      </c>
      <c r="K124" s="283" t="n"/>
      <c r="L124" s="283" t="n"/>
      <c r="M124" s="283" t="n"/>
      <c r="N124" s="283" t="n"/>
      <c r="O124" s="283" t="n"/>
      <c r="P124" s="283" t="n"/>
      <c r="Q124" s="283" t="n"/>
      <c r="R124" s="283" t="n"/>
      <c r="S124" s="283" t="n"/>
      <c r="T124" s="283" t="n"/>
      <c r="U124" s="283" t="n"/>
      <c r="V124" s="283" t="n"/>
      <c r="W124" s="283" t="n"/>
      <c r="X124" s="283" t="n"/>
      <c r="Y124" s="283" t="n"/>
      <c r="Z124" s="283" t="n"/>
      <c r="AA124" s="283" t="n"/>
      <c r="AB124" s="283" t="n"/>
      <c r="AC124" s="283" t="n"/>
      <c r="AD124" s="283" t="n"/>
      <c r="AE124" s="283" t="n"/>
      <c r="AF124" s="283" t="n"/>
      <c r="AG124" s="283" t="n"/>
      <c r="AH124" s="283" t="n"/>
      <c r="AI124" s="283" t="n"/>
      <c r="AJ124" s="201" t="n"/>
      <c r="AK124" s="201" t="n"/>
      <c r="AL124" s="201" t="n"/>
      <c r="AM124" s="201" t="n"/>
      <c r="AN124" s="201" t="n"/>
      <c r="AO124" s="201" t="n"/>
      <c r="AP124" s="201" t="n"/>
      <c r="AQ124" s="201" t="n"/>
      <c r="AR124" s="201" t="n"/>
      <c r="AS124" s="201" t="n"/>
      <c r="AT124" s="201" t="n"/>
      <c r="AU124" s="201" t="n"/>
      <c r="AV124" s="283">
        <f>SUM(AJ124:AU124)</f>
        <v/>
      </c>
      <c r="AW124" s="286">
        <f>AV124/12</f>
        <v/>
      </c>
      <c r="AX124" s="201" t="n">
        <v>0</v>
      </c>
      <c r="AY124" s="201" t="n">
        <v>0</v>
      </c>
      <c r="AZ124" s="201" t="n">
        <v>2</v>
      </c>
      <c r="BA124" s="201" t="n">
        <v>4</v>
      </c>
      <c r="BB124" s="201" t="n">
        <v>2</v>
      </c>
      <c r="BC124" s="203">
        <f>SUMIFS(領用表!$L:$L,領用表!$A:$A,BC$2,領用表!$E:$E,B124)</f>
        <v/>
      </c>
      <c r="BD124" s="287">
        <f>SUMIFS(領用表!$L:$L,領用表!$E:$E,$B124,領用表!$B:$B,BC$2&amp;BD$2)</f>
        <v/>
      </c>
      <c r="BE124" s="287">
        <f>SUMIFS(領用表!$L:$L,領用表!$E:$E,$B124,領用表!$B:$B,$BC$2&amp;BE$2)</f>
        <v/>
      </c>
      <c r="BF124" s="287">
        <f>SUMIFS(領用表!$L:$L,領用表!$E:$E,$B124,領用表!$B:$B,$BC$2&amp;BF$2)</f>
        <v/>
      </c>
      <c r="BG124" s="206">
        <f>SUMIFS(領用表!$L:$L,領用表!$E:$E,$B124,領用表!$B:$B,$BC$2&amp;BG$2)</f>
        <v/>
      </c>
      <c r="BH124" s="203">
        <f>SUMIFS(領用表!$L:$L,領用表!$A:$A,BH$2,領用表!$E:$E,B124)</f>
        <v/>
      </c>
      <c r="BI124" s="260">
        <f>SUMIFS(領用表!$L:$L,領用表!$E:$E,$B124,領用表!$B:$B,BH$2&amp;BI$2)</f>
        <v/>
      </c>
      <c r="BJ124" s="260">
        <f>SUMIFS(領用表!$L:$L,領用表!$E:$E,$B124,領用表!$B:$B,$BH$2&amp;BJ$2)</f>
        <v/>
      </c>
      <c r="BK124" s="260">
        <f>SUMIFS(領用表!$L:$L,領用表!$E:$E,$B124,領用表!$B:$B,$BH$2&amp;BK$2)</f>
        <v/>
      </c>
      <c r="BL124" s="260">
        <f>SUMIFS(領用表!$L:$L,領用表!$E:$E,$B124,領用表!$B:$B,$BH$2&amp;BL$2)</f>
        <v/>
      </c>
      <c r="BM124" s="203">
        <f>SUMIFS(領用表!$L:$L,領用表!$A:$A,BM$2,領用表!$E:$E,B124)</f>
        <v/>
      </c>
      <c r="BN124" s="206">
        <f>SUMIFS(領用表!$L:$L,領用表!$E:$E,$B124,領用表!$B:$B,BM$2&amp;BN$2)</f>
        <v/>
      </c>
      <c r="BO124" s="206">
        <f>SUMIFS(領用表!$L:$L,領用表!$E:$E,$B124,領用表!$B:$B,$BM$2&amp;BO$2)</f>
        <v/>
      </c>
      <c r="BP124" s="288">
        <f>SUMIFS(領用表!$L:$L,領用表!$E:$E,$B124,領用表!$B:$B,$BM$2&amp;BP$2)</f>
        <v/>
      </c>
      <c r="BQ124" s="287">
        <f>SUMIFS(領用表!$L:$L,領用表!$E:$E,$B124,領用表!$B:$B,$BM$2&amp;BQ$2)</f>
        <v/>
      </c>
      <c r="BR124" s="203">
        <f>SUMIFS(領用表!$L:$L,領用表!$A:$A,BR$2,領用表!$E:$E,B124)</f>
        <v/>
      </c>
      <c r="BS124" s="288">
        <f>SUMIFS(領用表!$L:$L,領用表!$E:$E,$B124,領用表!$B:$B,BR$2&amp;BS$2)</f>
        <v/>
      </c>
      <c r="BT124" s="288">
        <f>SUMIFS(領用表!$L:$L,領用表!$E:$E,$B124,領用表!$B:$B,$BR$2&amp;BT$2)</f>
        <v/>
      </c>
      <c r="BU124" s="288">
        <f>SUMIFS(領用表!$L:$L,領用表!$E:$E,$B124,領用表!$B:$B,$BR$2&amp;BU$2)</f>
        <v/>
      </c>
      <c r="BV124" s="287">
        <f>SUMIFS(領用表!$L:$L,領用表!$E:$E,$B124,領用表!$B:$B,$BR$2&amp;BV$2)</f>
        <v/>
      </c>
      <c r="BW124" s="208">
        <f>SUMIFS(領用表!$L:$L,領用表!$A:$A,BW$2,領用表!$E:$E,B124)</f>
        <v/>
      </c>
      <c r="BX124" s="206">
        <f>SUMIFS(領用表!$L:$L,領用表!$E:$E,$B124,領用表!$B:$B,BW$2&amp;BX$2)</f>
        <v/>
      </c>
      <c r="BY124" s="206">
        <f>SUMIFS(領用表!$L:$L,領用表!$E:$E,$B124,領用表!$B:$B,$BW$2&amp;BY$2)</f>
        <v/>
      </c>
      <c r="BZ124" s="206">
        <f>SUMIFS(領用表!$L:$L,領用表!$E:$E,$B124,領用表!$B:$B,$BW$2&amp;BZ$2)</f>
        <v/>
      </c>
      <c r="CA124" s="206">
        <f>SUMIFS(領用表!$L:$L,領用表!$E:$E,$B124,領用表!$B:$B,$BW$2&amp;CA$2)</f>
        <v/>
      </c>
      <c r="CB124" s="208">
        <f>SUMIFS(領用表!$L:$L,領用表!$A:$A,CB$2,領用表!$E:$E,B124)</f>
        <v/>
      </c>
      <c r="CC124" s="206">
        <f>SUMIFS(領用表!$L:$L,領用表!$E:$E,$B124,領用表!$B:$B,CB$2&amp;CC$2)</f>
        <v/>
      </c>
      <c r="CD124" s="206">
        <f>SUMIFS(領用表!$L:$L,領用表!$E:$E,$B124,領用表!$B:$B,$CB$2&amp;CD$2)</f>
        <v/>
      </c>
      <c r="CE124" s="206">
        <f>SUMIFS(領用表!$L:$L,領用表!$E:$E,$B124,領用表!$B:$B,$CB$2&amp;CE$2)</f>
        <v/>
      </c>
      <c r="CF124" s="206">
        <f>SUMIFS(領用表!$L:$L,領用表!$E:$E,$B124,領用表!$B:$B,$CB$2&amp;CF$2)</f>
        <v/>
      </c>
      <c r="CG124" s="208">
        <f>SUMIFS(領用表!$L:$L,領用表!$A:$A,CG$2,領用表!$E:$E,B124)</f>
        <v/>
      </c>
      <c r="CH124" s="206">
        <f>SUMIFS(領用表!$L:$L,領用表!$E:$E,$B124,領用表!$B:$B,CG$2&amp;CH$2)</f>
        <v/>
      </c>
      <c r="CI124" s="206">
        <f>SUMIFS(領用表!$L:$L,領用表!$E:$E,$B124,領用表!$B:$B,CG$2&amp;CI$2)</f>
        <v/>
      </c>
      <c r="CJ124" s="206">
        <f>SUMIFS(領用表!$L:$L,領用表!$E:$E,$B124,領用表!$B:$B,CG$2&amp;CJ$2)</f>
        <v/>
      </c>
      <c r="CK124" s="206">
        <f>SUMIFS(領用表!$L:$L,領用表!$E:$E,$B124,領用表!$B:$B,$CG$2&amp;CK$2)</f>
        <v/>
      </c>
      <c r="CL124" s="207">
        <f>SUM(AX124,AY124,AZ124,BA124,BB124,BC124,BH124,BM124,BR124,BW124,CB124,CG124)</f>
        <v/>
      </c>
      <c r="CM124" s="207">
        <f>AVERAGE(AX124,AY124,AZ124,BA124,BB124,BC124,BH124,BM124,BR124,BW124,CB124,CG124)</f>
        <v/>
      </c>
      <c r="CN124" s="208">
        <f>SUMIFS(領用表!$L:$L,領用表!$A:$A,CN$2,領用表!$E:$E,B124)</f>
        <v/>
      </c>
      <c r="CO124" s="206">
        <f>SUMIFS(領用表!$L:$L,領用表!$E:$E,$B124,領用表!$B:$B,CN$2&amp;CO$2)</f>
        <v/>
      </c>
      <c r="CP124" s="206">
        <f>SUMIFS(領用表!$L:$L,領用表!$E:$E,$B124,領用表!$B:$B,$CN$2&amp;CP$2)</f>
        <v/>
      </c>
      <c r="CQ124" s="206">
        <f>SUMIFS(領用表!$L:$L,領用表!$E:$E,$B124,領用表!$B:$B,$CN$2&amp;CQ$2)</f>
        <v/>
      </c>
      <c r="CR124" s="206">
        <f>SUMIFS(領用表!$L:$L,領用表!$E:$E,$B124,領用表!$B:$B,$CN$2&amp;CR$2)</f>
        <v/>
      </c>
      <c r="CS124" s="208">
        <f>SUMIFS(領用表!$L:$L,領用表!$A:$A,CS$2,領用表!$E:$E,B124)</f>
        <v/>
      </c>
      <c r="CT124" s="206">
        <f>SUMIFS(領用表!$L:$L,領用表!$E:$E,$B124,領用表!$B:$B,CS$2&amp;CT$2)</f>
        <v/>
      </c>
      <c r="CU124" s="206">
        <f>SUMIFS(領用表!$L:$L,領用表!$E:$E,$B124,領用表!$B:$B,$CS$2&amp;CU$2)</f>
        <v/>
      </c>
      <c r="CV124" s="206">
        <f>SUMIFS(領用表!$L:$L,領用表!$E:$E,$B124,領用表!$B:$B,$CS$2&amp;CV$2)</f>
        <v/>
      </c>
      <c r="CW124" s="206">
        <f>SUMIFS(領用表!$L:$L,領用表!$E:$E,$B124,領用表!$B:$B,$CS$2&amp;CW$2)</f>
        <v/>
      </c>
      <c r="CX124" s="206">
        <f>SUMIFS(領用表!$L:$L,領用表!$E:$E,$B124,領用表!$B:$B,$CS$2&amp;CX$2)</f>
        <v/>
      </c>
      <c r="CY124" s="208">
        <f>SUMIFS(領用表!$L:$L,領用表!$A:$A,CY$2,領用表!$E:$E,B124)</f>
        <v/>
      </c>
      <c r="CZ124" s="206">
        <f>SUMIFS(領用表!$L:$L,領用表!$E:$E,$B124,領用表!$B:$B,CY$2&amp;CZ$2)</f>
        <v/>
      </c>
      <c r="DA124" s="206">
        <f>SUMIFS(領用表!$L:$L,領用表!$E:$E,$B124,領用表!$B:$B,$CY$2&amp;DA$2)</f>
        <v/>
      </c>
      <c r="DB124" s="206">
        <f>SUMIFS(領用表!$L:$L,領用表!$E:$E,$B124,領用表!$B:$B,$CY$2&amp;DB$2)</f>
        <v/>
      </c>
      <c r="DC124" s="206">
        <f>SUMIFS(領用表!$L:$L,領用表!$E:$E,$B124,領用表!$B:$B,$CY$2&amp;DC$2)</f>
        <v/>
      </c>
      <c r="DD124" s="206">
        <f>SUMIFS(領用表!$L:$L,領用表!$E:$E,$B124,領用表!$B:$B,$CY$2&amp;DD$2)</f>
        <v/>
      </c>
      <c r="DE124" s="208">
        <f>SUMIFS(領用表!$L:$L,領用表!$A:$A,DE$2,領用表!$E:$E,B124)</f>
        <v/>
      </c>
      <c r="DF124" s="206">
        <f>SUMIFS(領用表!$L:$L,領用表!$E:$E,$B124,領用表!$B:$B,DE$2&amp;DF$2)</f>
        <v/>
      </c>
      <c r="DG124" s="206">
        <f>SUMIFS(領用表!$L:$L,領用表!$E:$E,$B124,領用表!$B:$B,$DE$2&amp;DG$2)</f>
        <v/>
      </c>
      <c r="DH124" s="206">
        <f>SUMIFS(領用表!$L:$L,領用表!$E:$E,$B124,領用表!$B:$B,$DE$2&amp;DH$2)</f>
        <v/>
      </c>
      <c r="DI124" s="206">
        <f>SUMIFS(領用表!$L:$L,領用表!$E:$E,$B124,領用表!$B:$B,$DE$2&amp;DI$2)</f>
        <v/>
      </c>
      <c r="DJ124" s="206">
        <f>SUMIFS(領用表!$L:$L,領用表!$E:$E,$B124,領用表!$B:$B,$DE$2&amp;DJ$2)</f>
        <v/>
      </c>
      <c r="DK124" s="208">
        <f>SUMIFS(領用表!$L:$L,領用表!$A:$A,DK$2,領用表!$E:$E,$B124)</f>
        <v/>
      </c>
      <c r="DL124" s="206">
        <f>SUMIFS(領用表!$L:$L,領用表!$E:$E,$B124,領用表!$B:$B,DK$2&amp;DL$2)</f>
        <v/>
      </c>
      <c r="DM124" s="206">
        <f>SUMIFS(領用表!$L:$L,領用表!$E:$E,$B124,領用表!$B:$B,$DK$2&amp;DM$2)</f>
        <v/>
      </c>
      <c r="DN124" s="206">
        <f>SUMIFS(領用表!$L:$L,領用表!$E:$E,$B124,領用表!$B:$B,$DK$2&amp;DN$2)</f>
        <v/>
      </c>
      <c r="DO124" s="206">
        <f>SUMIFS(領用表!$L:$L,領用表!$E:$E,$B124,領用表!$B:$B,$DK$2&amp;DO$2)</f>
        <v/>
      </c>
      <c r="DP124" s="206">
        <f>SUMIFS(領用表!$L:$L,領用表!$E:$E,$B124,領用表!$B:$B,$DK$2&amp;DP$2)</f>
        <v/>
      </c>
      <c r="DQ124" s="208" t="n"/>
      <c r="DR124" s="206" t="n"/>
      <c r="DS124" s="206" t="n"/>
      <c r="DT124" s="206" t="n"/>
      <c r="DU124" s="206" t="n"/>
      <c r="DV124" s="206" t="n"/>
      <c r="DW124" s="206">
        <f>SUM(CN124,CS124,CY124,DE124,DK124,DQ124)</f>
        <v/>
      </c>
      <c r="DX124" s="206">
        <f>AVERAGEA(CN124,CS124,CY124,DE124,DK124,DQ124)</f>
        <v/>
      </c>
      <c r="DY124" s="206">
        <f>SUM(DZ124:EC124)</f>
        <v/>
      </c>
      <c r="DZ124" s="206" t="n">
        <v>0</v>
      </c>
      <c r="EA124" s="206" t="n">
        <v>0</v>
      </c>
      <c r="EB124" s="206" t="n">
        <v>0</v>
      </c>
      <c r="EC124" s="206" t="n">
        <v>0</v>
      </c>
      <c r="ED124" s="258" t="n"/>
      <c r="EE124" s="283" t="n"/>
      <c r="EF124" s="283" t="n"/>
      <c r="EG124" s="283" t="n"/>
      <c r="EH124" s="136" t="n"/>
      <c r="EI124" s="136" t="n"/>
      <c r="EJ124" s="118">
        <f>IFERROR(VLOOKUP(A124,站前4樓!A:BF,57,0),0)</f>
        <v/>
      </c>
      <c r="EK124" s="213">
        <f>IFERROR(VLOOKUP(A124,站前11樓!A:BE,57,0),0)</f>
        <v/>
      </c>
      <c r="EL124" s="118">
        <f>IFERROR(VLOOKUP(A124,忠孝7樓!A:N,57,0),0)</f>
        <v/>
      </c>
      <c r="EM124" s="118">
        <f>IFERROR(VLOOKUP(A124,忠孝國際醫學3樓!A:L,57,0),0)</f>
        <v/>
      </c>
      <c r="EN124" s="118">
        <f>SUM(ED124:EG124)</f>
        <v/>
      </c>
    </row>
    <row r="125" ht="15.75" customFormat="1" customHeight="1" s="118" thickBot="1">
      <c r="A125" s="320" t="inlineStr">
        <is>
          <t>MB3ME090020A</t>
        </is>
      </c>
      <c r="B125" s="118" t="n">
        <v>6120025</v>
      </c>
      <c r="C125" s="323" t="inlineStr">
        <is>
          <t>(麻藥)利度膚寧(含epinephrine) 20ml/支</t>
        </is>
      </c>
      <c r="D125" s="285" t="n"/>
      <c r="E125" s="198" t="inlineStr">
        <is>
          <t>PCS</t>
        </is>
      </c>
      <c r="F125" s="225">
        <f>SUMIF(站前4樓!B:B,B125,站前4樓!F:F)</f>
        <v/>
      </c>
      <c r="G125" s="225">
        <f>SUMIF(站前11樓!B:B,B125,站前11樓!F:F)</f>
        <v/>
      </c>
      <c r="H125" s="225">
        <f>SUMIF(忠孝7樓!B:B,B125,忠孝7樓!G:G)</f>
        <v/>
      </c>
      <c r="I125" s="225">
        <f>SUMIF(忠孝國際醫學3樓!B:B,B125,忠孝國際醫學3樓!G:G)</f>
        <v/>
      </c>
      <c r="J125" s="225">
        <f>SUMIF(忠孝健康7樓!B:B,B125,忠孝健康7樓!G:G)</f>
        <v/>
      </c>
      <c r="K125" s="283" t="n"/>
      <c r="L125" s="283" t="n"/>
      <c r="M125" s="283" t="n"/>
      <c r="N125" s="283" t="n"/>
      <c r="O125" s="283" t="n"/>
      <c r="P125" s="283" t="n"/>
      <c r="Q125" s="283" t="n"/>
      <c r="R125" s="283" t="n"/>
      <c r="S125" s="283" t="n"/>
      <c r="T125" s="283" t="n"/>
      <c r="U125" s="283" t="n"/>
      <c r="V125" s="283" t="n"/>
      <c r="W125" s="283" t="n"/>
      <c r="X125" s="283" t="n"/>
      <c r="Y125" s="283" t="n"/>
      <c r="Z125" s="283" t="n"/>
      <c r="AA125" s="283" t="n"/>
      <c r="AB125" s="283" t="n"/>
      <c r="AC125" s="283" t="n"/>
      <c r="AD125" s="283" t="n"/>
      <c r="AE125" s="283" t="n"/>
      <c r="AF125" s="283" t="n"/>
      <c r="AG125" s="283" t="n"/>
      <c r="AH125" s="283" t="n"/>
      <c r="AI125" s="283" t="n"/>
      <c r="AJ125" s="201" t="n"/>
      <c r="AK125" s="201" t="n"/>
      <c r="AL125" s="201" t="n"/>
      <c r="AM125" s="201" t="n"/>
      <c r="AN125" s="201" t="n"/>
      <c r="AO125" s="201" t="n"/>
      <c r="AP125" s="201" t="n"/>
      <c r="AQ125" s="201" t="n"/>
      <c r="AR125" s="201" t="n"/>
      <c r="AS125" s="201" t="n"/>
      <c r="AT125" s="201" t="n"/>
      <c r="AU125" s="201" t="n"/>
      <c r="AV125" s="283">
        <f>SUM(AJ125:AU125)</f>
        <v/>
      </c>
      <c r="AW125" s="286">
        <f>AV125/12</f>
        <v/>
      </c>
      <c r="AX125" s="201" t="n">
        <v>0</v>
      </c>
      <c r="AY125" s="201" t="n">
        <v>0</v>
      </c>
      <c r="AZ125" s="201" t="n">
        <v>0</v>
      </c>
      <c r="BA125" s="201" t="n">
        <v>1</v>
      </c>
      <c r="BB125" s="201" t="n">
        <v>1</v>
      </c>
      <c r="BC125" s="203">
        <f>SUMIFS(領用表!$L:$L,領用表!$A:$A,BC$2,領用表!$E:$E,B125)</f>
        <v/>
      </c>
      <c r="BD125" s="287">
        <f>SUMIFS(領用表!$L:$L,領用表!$E:$E,$B125,領用表!$B:$B,BC$2&amp;BD$2)</f>
        <v/>
      </c>
      <c r="BE125" s="287">
        <f>SUMIFS(領用表!$L:$L,領用表!$E:$E,$B125,領用表!$B:$B,$BC$2&amp;BE$2)</f>
        <v/>
      </c>
      <c r="BF125" s="287">
        <f>SUMIFS(領用表!$L:$L,領用表!$E:$E,$B125,領用表!$B:$B,$BC$2&amp;BF$2)</f>
        <v/>
      </c>
      <c r="BG125" s="206">
        <f>SUMIFS(領用表!$L:$L,領用表!$E:$E,$B125,領用表!$B:$B,$BC$2&amp;BG$2)</f>
        <v/>
      </c>
      <c r="BH125" s="203">
        <f>SUMIFS(領用表!$L:$L,領用表!$A:$A,BH$2,領用表!$E:$E,B125)</f>
        <v/>
      </c>
      <c r="BI125" s="260">
        <f>SUMIFS(領用表!$L:$L,領用表!$E:$E,$B125,領用表!$B:$B,BH$2&amp;BI$2)</f>
        <v/>
      </c>
      <c r="BJ125" s="260">
        <f>SUMIFS(領用表!$L:$L,領用表!$E:$E,$B125,領用表!$B:$B,$BH$2&amp;BJ$2)</f>
        <v/>
      </c>
      <c r="BK125" s="260">
        <f>SUMIFS(領用表!$L:$L,領用表!$E:$E,$B125,領用表!$B:$B,$BH$2&amp;BK$2)</f>
        <v/>
      </c>
      <c r="BL125" s="260">
        <f>SUMIFS(領用表!$L:$L,領用表!$E:$E,$B125,領用表!$B:$B,$BH$2&amp;BL$2)</f>
        <v/>
      </c>
      <c r="BM125" s="203">
        <f>SUMIFS(領用表!$L:$L,領用表!$A:$A,BM$2,領用表!$E:$E,B125)</f>
        <v/>
      </c>
      <c r="BN125" s="206">
        <f>SUMIFS(領用表!$L:$L,領用表!$E:$E,$B125,領用表!$B:$B,BM$2&amp;BN$2)</f>
        <v/>
      </c>
      <c r="BO125" s="206">
        <f>SUMIFS(領用表!$L:$L,領用表!$E:$E,$B125,領用表!$B:$B,$BM$2&amp;BO$2)</f>
        <v/>
      </c>
      <c r="BP125" s="288">
        <f>SUMIFS(領用表!$L:$L,領用表!$E:$E,$B125,領用表!$B:$B,$BM$2&amp;BP$2)</f>
        <v/>
      </c>
      <c r="BQ125" s="287">
        <f>SUMIFS(領用表!$L:$L,領用表!$E:$E,$B125,領用表!$B:$B,$BM$2&amp;BQ$2)</f>
        <v/>
      </c>
      <c r="BR125" s="203">
        <f>SUMIFS(領用表!$L:$L,領用表!$A:$A,BR$2,領用表!$E:$E,B125)</f>
        <v/>
      </c>
      <c r="BS125" s="288">
        <f>SUMIFS(領用表!$L:$L,領用表!$E:$E,$B125,領用表!$B:$B,BR$2&amp;BS$2)</f>
        <v/>
      </c>
      <c r="BT125" s="288">
        <f>SUMIFS(領用表!$L:$L,領用表!$E:$E,$B125,領用表!$B:$B,$BR$2&amp;BT$2)</f>
        <v/>
      </c>
      <c r="BU125" s="288">
        <f>SUMIFS(領用表!$L:$L,領用表!$E:$E,$B125,領用表!$B:$B,$BR$2&amp;BU$2)</f>
        <v/>
      </c>
      <c r="BV125" s="287">
        <f>SUMIFS(領用表!$L:$L,領用表!$E:$E,$B125,領用表!$B:$B,$BR$2&amp;BV$2)</f>
        <v/>
      </c>
      <c r="BW125" s="208">
        <f>SUMIFS(領用表!$L:$L,領用表!$A:$A,BW$2,領用表!$E:$E,B125)</f>
        <v/>
      </c>
      <c r="BX125" s="206">
        <f>SUMIFS(領用表!$L:$L,領用表!$E:$E,$B125,領用表!$B:$B,BW$2&amp;BX$2)</f>
        <v/>
      </c>
      <c r="BY125" s="206">
        <f>SUMIFS(領用表!$L:$L,領用表!$E:$E,$B125,領用表!$B:$B,$BW$2&amp;BY$2)</f>
        <v/>
      </c>
      <c r="BZ125" s="206">
        <f>SUMIFS(領用表!$L:$L,領用表!$E:$E,$B125,領用表!$B:$B,$BW$2&amp;BZ$2)</f>
        <v/>
      </c>
      <c r="CA125" s="206">
        <f>SUMIFS(領用表!$L:$L,領用表!$E:$E,$B125,領用表!$B:$B,$BW$2&amp;CA$2)</f>
        <v/>
      </c>
      <c r="CB125" s="208">
        <f>SUMIFS(領用表!$L:$L,領用表!$A:$A,CB$2,領用表!$E:$E,B125)</f>
        <v/>
      </c>
      <c r="CC125" s="206">
        <f>SUMIFS(領用表!$L:$L,領用表!$E:$E,$B125,領用表!$B:$B,CB$2&amp;CC$2)</f>
        <v/>
      </c>
      <c r="CD125" s="206">
        <f>SUMIFS(領用表!$L:$L,領用表!$E:$E,$B125,領用表!$B:$B,$CB$2&amp;CD$2)</f>
        <v/>
      </c>
      <c r="CE125" s="206">
        <f>SUMIFS(領用表!$L:$L,領用表!$E:$E,$B125,領用表!$B:$B,$CB$2&amp;CE$2)</f>
        <v/>
      </c>
      <c r="CF125" s="206">
        <f>SUMIFS(領用表!$L:$L,領用表!$E:$E,$B125,領用表!$B:$B,$CB$2&amp;CF$2)</f>
        <v/>
      </c>
      <c r="CG125" s="208">
        <f>SUMIFS(領用表!$L:$L,領用表!$A:$A,CG$2,領用表!$E:$E,B125)</f>
        <v/>
      </c>
      <c r="CH125" s="206">
        <f>SUMIFS(領用表!$L:$L,領用表!$E:$E,$B125,領用表!$B:$B,CG$2&amp;CH$2)</f>
        <v/>
      </c>
      <c r="CI125" s="206">
        <f>SUMIFS(領用表!$L:$L,領用表!$E:$E,$B125,領用表!$B:$B,CG$2&amp;CI$2)</f>
        <v/>
      </c>
      <c r="CJ125" s="206">
        <f>SUMIFS(領用表!$L:$L,領用表!$E:$E,$B125,領用表!$B:$B,CG$2&amp;CJ$2)</f>
        <v/>
      </c>
      <c r="CK125" s="206">
        <f>SUMIFS(領用表!$L:$L,領用表!$E:$E,$B125,領用表!$B:$B,$CG$2&amp;CK$2)</f>
        <v/>
      </c>
      <c r="CL125" s="207">
        <f>SUM(AX125,AY125,AZ125,BA125,BB125,BC125,BH125,BM125,BR125,BW125,CB125,CG125)</f>
        <v/>
      </c>
      <c r="CM125" s="207">
        <f>AVERAGE(AX125,AY125,AZ125,BA125,BB125,BC125,BH125,BM125,BR125,BW125,CB125,CG125)</f>
        <v/>
      </c>
      <c r="CN125" s="208">
        <f>SUMIFS(領用表!$L:$L,領用表!$A:$A,CN$2,領用表!$E:$E,B125)</f>
        <v/>
      </c>
      <c r="CO125" s="206">
        <f>SUMIFS(領用表!$L:$L,領用表!$E:$E,$B125,領用表!$B:$B,CN$2&amp;CO$2)</f>
        <v/>
      </c>
      <c r="CP125" s="206">
        <f>SUMIFS(領用表!$L:$L,領用表!$E:$E,$B125,領用表!$B:$B,$CN$2&amp;CP$2)</f>
        <v/>
      </c>
      <c r="CQ125" s="206">
        <f>SUMIFS(領用表!$L:$L,領用表!$E:$E,$B125,領用表!$B:$B,$CN$2&amp;CQ$2)</f>
        <v/>
      </c>
      <c r="CR125" s="206">
        <f>SUMIFS(領用表!$L:$L,領用表!$E:$E,$B125,領用表!$B:$B,$CN$2&amp;CR$2)</f>
        <v/>
      </c>
      <c r="CS125" s="208">
        <f>SUMIFS(領用表!$L:$L,領用表!$A:$A,CS$2,領用表!$E:$E,B125)</f>
        <v/>
      </c>
      <c r="CT125" s="206">
        <f>SUMIFS(領用表!$L:$L,領用表!$E:$E,$B125,領用表!$B:$B,CS$2&amp;CT$2)</f>
        <v/>
      </c>
      <c r="CU125" s="206">
        <f>SUMIFS(領用表!$L:$L,領用表!$E:$E,$B125,領用表!$B:$B,$CS$2&amp;CU$2)</f>
        <v/>
      </c>
      <c r="CV125" s="206">
        <f>SUMIFS(領用表!$L:$L,領用表!$E:$E,$B125,領用表!$B:$B,$CS$2&amp;CV$2)</f>
        <v/>
      </c>
      <c r="CW125" s="206">
        <f>SUMIFS(領用表!$L:$L,領用表!$E:$E,$B125,領用表!$B:$B,$CS$2&amp;CW$2)</f>
        <v/>
      </c>
      <c r="CX125" s="206">
        <f>SUMIFS(領用表!$L:$L,領用表!$E:$E,$B125,領用表!$B:$B,$CS$2&amp;CX$2)</f>
        <v/>
      </c>
      <c r="CY125" s="208">
        <f>SUMIFS(領用表!$L:$L,領用表!$A:$A,CY$2,領用表!$E:$E,B125)</f>
        <v/>
      </c>
      <c r="CZ125" s="206">
        <f>SUMIFS(領用表!$L:$L,領用表!$E:$E,$B125,領用表!$B:$B,CY$2&amp;CZ$2)</f>
        <v/>
      </c>
      <c r="DA125" s="206">
        <f>SUMIFS(領用表!$L:$L,領用表!$E:$E,$B125,領用表!$B:$B,$CY$2&amp;DA$2)</f>
        <v/>
      </c>
      <c r="DB125" s="206">
        <f>SUMIFS(領用表!$L:$L,領用表!$E:$E,$B125,領用表!$B:$B,$CY$2&amp;DB$2)</f>
        <v/>
      </c>
      <c r="DC125" s="206">
        <f>SUMIFS(領用表!$L:$L,領用表!$E:$E,$B125,領用表!$B:$B,$CY$2&amp;DC$2)</f>
        <v/>
      </c>
      <c r="DD125" s="206">
        <f>SUMIFS(領用表!$L:$L,領用表!$E:$E,$B125,領用表!$B:$B,$CY$2&amp;DD$2)</f>
        <v/>
      </c>
      <c r="DE125" s="208">
        <f>SUMIFS(領用表!$L:$L,領用表!$A:$A,DE$2,領用表!$E:$E,B125)</f>
        <v/>
      </c>
      <c r="DF125" s="206">
        <f>SUMIFS(領用表!$L:$L,領用表!$E:$E,$B125,領用表!$B:$B,DE$2&amp;DF$2)</f>
        <v/>
      </c>
      <c r="DG125" s="206">
        <f>SUMIFS(領用表!$L:$L,領用表!$E:$E,$B125,領用表!$B:$B,$DE$2&amp;DG$2)</f>
        <v/>
      </c>
      <c r="DH125" s="206">
        <f>SUMIFS(領用表!$L:$L,領用表!$E:$E,$B125,領用表!$B:$B,$DE$2&amp;DH$2)</f>
        <v/>
      </c>
      <c r="DI125" s="206">
        <f>SUMIFS(領用表!$L:$L,領用表!$E:$E,$B125,領用表!$B:$B,$DE$2&amp;DI$2)</f>
        <v/>
      </c>
      <c r="DJ125" s="206">
        <f>SUMIFS(領用表!$L:$L,領用表!$E:$E,$B125,領用表!$B:$B,$DE$2&amp;DJ$2)</f>
        <v/>
      </c>
      <c r="DK125" s="208">
        <f>SUMIFS(領用表!$L:$L,領用表!$A:$A,DK$2,領用表!$E:$E,$B125)</f>
        <v/>
      </c>
      <c r="DL125" s="206">
        <f>SUMIFS(領用表!$L:$L,領用表!$E:$E,$B125,領用表!$B:$B,DK$2&amp;DL$2)</f>
        <v/>
      </c>
      <c r="DM125" s="206">
        <f>SUMIFS(領用表!$L:$L,領用表!$E:$E,$B125,領用表!$B:$B,$DK$2&amp;DM$2)</f>
        <v/>
      </c>
      <c r="DN125" s="206">
        <f>SUMIFS(領用表!$L:$L,領用表!$E:$E,$B125,領用表!$B:$B,$DK$2&amp;DN$2)</f>
        <v/>
      </c>
      <c r="DO125" s="206">
        <f>SUMIFS(領用表!$L:$L,領用表!$E:$E,$B125,領用表!$B:$B,$DK$2&amp;DO$2)</f>
        <v/>
      </c>
      <c r="DP125" s="206">
        <f>SUMIFS(領用表!$L:$L,領用表!$E:$E,$B125,領用表!$B:$B,$DK$2&amp;DP$2)</f>
        <v/>
      </c>
      <c r="DQ125" s="208" t="n"/>
      <c r="DR125" s="206" t="n"/>
      <c r="DS125" s="206" t="n"/>
      <c r="DT125" s="206" t="n"/>
      <c r="DU125" s="206" t="n"/>
      <c r="DV125" s="206" t="n"/>
      <c r="DW125" s="206">
        <f>SUM(CN125,CS125,CY125,DE125,DK125,DQ125)</f>
        <v/>
      </c>
      <c r="DX125" s="206">
        <f>AVERAGEA(CN125,CS125,CY125,DE125,DK125,DQ125)</f>
        <v/>
      </c>
      <c r="DY125" s="206">
        <f>SUM(DZ125:EC125)</f>
        <v/>
      </c>
      <c r="DZ125" s="206" t="n">
        <v>0</v>
      </c>
      <c r="EA125" s="206" t="n">
        <v>0</v>
      </c>
      <c r="EB125" s="206" t="n">
        <v>0</v>
      </c>
      <c r="EC125" s="206" t="n">
        <v>0</v>
      </c>
      <c r="ED125" s="258" t="n"/>
      <c r="EE125" s="283" t="n"/>
      <c r="EF125" s="283" t="n"/>
      <c r="EG125" s="283" t="n"/>
      <c r="EH125" s="136" t="n"/>
      <c r="EI125" s="136" t="n"/>
      <c r="EJ125" s="118">
        <f>IFERROR(VLOOKUP(A125,站前4樓!A:BF,57,0),0)</f>
        <v/>
      </c>
      <c r="EK125" s="213">
        <f>IFERROR(VLOOKUP(A125,站前11樓!A:BE,57,0),0)</f>
        <v/>
      </c>
      <c r="EL125" s="118">
        <f>IFERROR(VLOOKUP(A125,忠孝7樓!A:N,57,0),0)</f>
        <v/>
      </c>
      <c r="EM125" s="118">
        <f>IFERROR(VLOOKUP(A125,忠孝國際醫學3樓!A:L,57,0),0)</f>
        <v/>
      </c>
      <c r="EN125" s="118">
        <f>SUM(ED125:EG125)</f>
        <v/>
      </c>
    </row>
    <row r="126" ht="15.75" customFormat="1" customHeight="1" s="118" thickBot="1">
      <c r="A126" s="324" t="inlineStr">
        <is>
          <t>MB3ME090021A</t>
        </is>
      </c>
      <c r="B126" s="325" t="n">
        <v>6120026</v>
      </c>
      <c r="C126" s="136" t="inlineStr">
        <is>
          <t>可特1ml</t>
        </is>
      </c>
      <c r="D126" s="285" t="n"/>
      <c r="E126" s="198" t="inlineStr">
        <is>
          <t>PCS</t>
        </is>
      </c>
      <c r="F126" s="225">
        <f>SUMIF(站前4樓!B:B,B126,站前4樓!F:F)</f>
        <v/>
      </c>
      <c r="G126" s="225">
        <f>SUMIF(站前11樓!B:B,B126,站前11樓!F:F)</f>
        <v/>
      </c>
      <c r="H126" s="225">
        <f>SUMIF(忠孝7樓!B:B,B126,忠孝7樓!G:G)</f>
        <v/>
      </c>
      <c r="I126" s="225">
        <f>SUMIF(忠孝國際醫學3樓!B:B,B126,忠孝國際醫學3樓!G:G)</f>
        <v/>
      </c>
      <c r="J126" s="225">
        <f>SUMIF(忠孝健康7樓!B:B,B126,忠孝健康7樓!G:G)</f>
        <v/>
      </c>
      <c r="K126" s="283" t="n"/>
      <c r="L126" s="283" t="n"/>
      <c r="M126" s="283" t="n"/>
      <c r="N126" s="283" t="n"/>
      <c r="O126" s="283" t="n"/>
      <c r="P126" s="283" t="n"/>
      <c r="Q126" s="283" t="n"/>
      <c r="R126" s="283" t="n"/>
      <c r="S126" s="283" t="n"/>
      <c r="T126" s="283" t="n"/>
      <c r="U126" s="283" t="n"/>
      <c r="V126" s="283" t="n"/>
      <c r="W126" s="283" t="n"/>
      <c r="X126" s="283" t="n"/>
      <c r="Y126" s="283" t="n"/>
      <c r="Z126" s="283" t="n"/>
      <c r="AA126" s="283" t="n"/>
      <c r="AB126" s="283" t="n"/>
      <c r="AC126" s="283" t="n"/>
      <c r="AD126" s="283" t="n"/>
      <c r="AE126" s="283" t="n"/>
      <c r="AF126" s="283" t="n"/>
      <c r="AG126" s="283" t="n"/>
      <c r="AH126" s="283" t="n"/>
      <c r="AI126" s="283" t="n"/>
      <c r="AJ126" s="201" t="n"/>
      <c r="AK126" s="201" t="n"/>
      <c r="AL126" s="201" t="n"/>
      <c r="AM126" s="201" t="n"/>
      <c r="AN126" s="201" t="n"/>
      <c r="AO126" s="201" t="n"/>
      <c r="AP126" s="201" t="n"/>
      <c r="AQ126" s="201" t="n"/>
      <c r="AR126" s="201" t="n"/>
      <c r="AS126" s="201" t="n"/>
      <c r="AT126" s="201" t="n"/>
      <c r="AU126" s="201" t="n"/>
      <c r="AV126" s="283">
        <f>SUM(AJ126:AU126)</f>
        <v/>
      </c>
      <c r="AW126" s="286">
        <f>AV126/12</f>
        <v/>
      </c>
      <c r="AX126" s="201" t="n">
        <v>0</v>
      </c>
      <c r="AY126" s="201" t="n">
        <v>0</v>
      </c>
      <c r="AZ126" s="201" t="n">
        <v>0</v>
      </c>
      <c r="BA126" s="201" t="n">
        <v>0</v>
      </c>
      <c r="BB126" s="201" t="n">
        <v>0</v>
      </c>
      <c r="BC126" s="203">
        <f>SUMIFS(領用表!$L:$L,領用表!$A:$A,BC$2,領用表!$E:$E,B126)</f>
        <v/>
      </c>
      <c r="BD126" s="287">
        <f>SUMIFS(領用表!$L:$L,領用表!$E:$E,$B126,領用表!$B:$B,BC$2&amp;BD$2)</f>
        <v/>
      </c>
      <c r="BE126" s="287">
        <f>SUMIFS(領用表!$L:$L,領用表!$E:$E,$B126,領用表!$B:$B,$BC$2&amp;BE$2)</f>
        <v/>
      </c>
      <c r="BF126" s="287">
        <f>SUMIFS(領用表!$L:$L,領用表!$E:$E,$B126,領用表!$B:$B,$BC$2&amp;BF$2)</f>
        <v/>
      </c>
      <c r="BG126" s="206">
        <f>SUMIFS(領用表!$L:$L,領用表!$E:$E,$B126,領用表!$B:$B,$BC$2&amp;BG$2)</f>
        <v/>
      </c>
      <c r="BH126" s="203">
        <f>SUMIFS(領用表!$L:$L,領用表!$A:$A,BH$2,領用表!$E:$E,B126)</f>
        <v/>
      </c>
      <c r="BI126" s="260">
        <f>SUMIFS(領用表!$L:$L,領用表!$E:$E,$B126,領用表!$B:$B,BH$2&amp;BI$2)</f>
        <v/>
      </c>
      <c r="BJ126" s="260">
        <f>SUMIFS(領用表!$L:$L,領用表!$E:$E,$B126,領用表!$B:$B,$BH$2&amp;BJ$2)</f>
        <v/>
      </c>
      <c r="BK126" s="260">
        <f>SUMIFS(領用表!$L:$L,領用表!$E:$E,$B126,領用表!$B:$B,$BH$2&amp;BK$2)</f>
        <v/>
      </c>
      <c r="BL126" s="260">
        <f>SUMIFS(領用表!$L:$L,領用表!$E:$E,$B126,領用表!$B:$B,$BH$2&amp;BL$2)</f>
        <v/>
      </c>
      <c r="BM126" s="203">
        <f>SUMIFS(領用表!$L:$L,領用表!$A:$A,BM$2,領用表!$E:$E,B126)</f>
        <v/>
      </c>
      <c r="BN126" s="206">
        <f>SUMIFS(領用表!$L:$L,領用表!$E:$E,$B126,領用表!$B:$B,BM$2&amp;BN$2)</f>
        <v/>
      </c>
      <c r="BO126" s="206">
        <f>SUMIFS(領用表!$L:$L,領用表!$E:$E,$B126,領用表!$B:$B,$BM$2&amp;BO$2)</f>
        <v/>
      </c>
      <c r="BP126" s="288">
        <f>SUMIFS(領用表!$L:$L,領用表!$E:$E,$B126,領用表!$B:$B,$BM$2&amp;BP$2)</f>
        <v/>
      </c>
      <c r="BQ126" s="287">
        <f>SUMIFS(領用表!$L:$L,領用表!$E:$E,$B126,領用表!$B:$B,$BM$2&amp;BQ$2)</f>
        <v/>
      </c>
      <c r="BR126" s="203">
        <f>SUMIFS(領用表!$L:$L,領用表!$A:$A,BR$2,領用表!$E:$E,B126)</f>
        <v/>
      </c>
      <c r="BS126" s="288">
        <f>SUMIFS(領用表!$L:$L,領用表!$E:$E,$B126,領用表!$B:$B,BR$2&amp;BS$2)</f>
        <v/>
      </c>
      <c r="BT126" s="288">
        <f>SUMIFS(領用表!$L:$L,領用表!$E:$E,$B126,領用表!$B:$B,$BR$2&amp;BT$2)</f>
        <v/>
      </c>
      <c r="BU126" s="288">
        <f>SUMIFS(領用表!$L:$L,領用表!$E:$E,$B126,領用表!$B:$B,$BR$2&amp;BU$2)</f>
        <v/>
      </c>
      <c r="BV126" s="287">
        <f>SUMIFS(領用表!$L:$L,領用表!$E:$E,$B126,領用表!$B:$B,$BR$2&amp;BV$2)</f>
        <v/>
      </c>
      <c r="BW126" s="208">
        <f>SUMIFS(領用表!$L:$L,領用表!$A:$A,BW$2,領用表!$E:$E,B126)</f>
        <v/>
      </c>
      <c r="BX126" s="206">
        <f>SUMIFS(領用表!$L:$L,領用表!$E:$E,$B126,領用表!$B:$B,BW$2&amp;BX$2)</f>
        <v/>
      </c>
      <c r="BY126" s="206">
        <f>SUMIFS(領用表!$L:$L,領用表!$E:$E,$B126,領用表!$B:$B,$BW$2&amp;BY$2)</f>
        <v/>
      </c>
      <c r="BZ126" s="206">
        <f>SUMIFS(領用表!$L:$L,領用表!$E:$E,$B126,領用表!$B:$B,$BW$2&amp;BZ$2)</f>
        <v/>
      </c>
      <c r="CA126" s="206">
        <f>SUMIFS(領用表!$L:$L,領用表!$E:$E,$B126,領用表!$B:$B,$BW$2&amp;CA$2)</f>
        <v/>
      </c>
      <c r="CB126" s="208">
        <f>SUMIFS(領用表!$L:$L,領用表!$A:$A,CB$2,領用表!$E:$E,B126)</f>
        <v/>
      </c>
      <c r="CC126" s="206">
        <f>SUMIFS(領用表!$L:$L,領用表!$E:$E,$B126,領用表!$B:$B,CB$2&amp;CC$2)</f>
        <v/>
      </c>
      <c r="CD126" s="206">
        <f>SUMIFS(領用表!$L:$L,領用表!$E:$E,$B126,領用表!$B:$B,$CB$2&amp;CD$2)</f>
        <v/>
      </c>
      <c r="CE126" s="206">
        <f>SUMIFS(領用表!$L:$L,領用表!$E:$E,$B126,領用表!$B:$B,$CB$2&amp;CE$2)</f>
        <v/>
      </c>
      <c r="CF126" s="206">
        <f>SUMIFS(領用表!$L:$L,領用表!$E:$E,$B126,領用表!$B:$B,$CB$2&amp;CF$2)</f>
        <v/>
      </c>
      <c r="CG126" s="208">
        <f>SUMIFS(領用表!$L:$L,領用表!$A:$A,CG$2,領用表!$E:$E,B126)</f>
        <v/>
      </c>
      <c r="CH126" s="206">
        <f>SUMIFS(領用表!$L:$L,領用表!$E:$E,$B126,領用表!$B:$B,CG$2&amp;CH$2)</f>
        <v/>
      </c>
      <c r="CI126" s="206">
        <f>SUMIFS(領用表!$L:$L,領用表!$E:$E,$B126,領用表!$B:$B,CG$2&amp;CI$2)</f>
        <v/>
      </c>
      <c r="CJ126" s="206">
        <f>SUMIFS(領用表!$L:$L,領用表!$E:$E,$B126,領用表!$B:$B,CG$2&amp;CJ$2)</f>
        <v/>
      </c>
      <c r="CK126" s="206">
        <f>SUMIFS(領用表!$L:$L,領用表!$E:$E,$B126,領用表!$B:$B,$CG$2&amp;CK$2)</f>
        <v/>
      </c>
      <c r="CL126" s="207">
        <f>SUM(AX126,AY126,AZ126,BA126,BB126,BC126,BH126,BM126,BR126,BW126,CB126,CG126)</f>
        <v/>
      </c>
      <c r="CM126" s="207">
        <f>AVERAGE(AX126,AY126,AZ126,BA126,BB126,BC126,BH126,BM126,BR126,BW126,CB126,CG126)</f>
        <v/>
      </c>
      <c r="CN126" s="208">
        <f>SUMIFS(領用表!$L:$L,領用表!$A:$A,CN$2,領用表!$E:$E,B126)</f>
        <v/>
      </c>
      <c r="CO126" s="206">
        <f>SUMIFS(領用表!$L:$L,領用表!$E:$E,$B126,領用表!$B:$B,CN$2&amp;CO$2)</f>
        <v/>
      </c>
      <c r="CP126" s="206">
        <f>SUMIFS(領用表!$L:$L,領用表!$E:$E,$B126,領用表!$B:$B,$CN$2&amp;CP$2)</f>
        <v/>
      </c>
      <c r="CQ126" s="206">
        <f>SUMIFS(領用表!$L:$L,領用表!$E:$E,$B126,領用表!$B:$B,$CN$2&amp;CQ$2)</f>
        <v/>
      </c>
      <c r="CR126" s="206">
        <f>SUMIFS(領用表!$L:$L,領用表!$E:$E,$B126,領用表!$B:$B,$CN$2&amp;CR$2)</f>
        <v/>
      </c>
      <c r="CS126" s="208">
        <f>SUMIFS(領用表!$L:$L,領用表!$A:$A,CS$2,領用表!$E:$E,B126)</f>
        <v/>
      </c>
      <c r="CT126" s="206">
        <f>SUMIFS(領用表!$L:$L,領用表!$E:$E,$B126,領用表!$B:$B,CS$2&amp;CT$2)</f>
        <v/>
      </c>
      <c r="CU126" s="206">
        <f>SUMIFS(領用表!$L:$L,領用表!$E:$E,$B126,領用表!$B:$B,$CS$2&amp;CU$2)</f>
        <v/>
      </c>
      <c r="CV126" s="206">
        <f>SUMIFS(領用表!$L:$L,領用表!$E:$E,$B126,領用表!$B:$B,$CS$2&amp;CV$2)</f>
        <v/>
      </c>
      <c r="CW126" s="206">
        <f>SUMIFS(領用表!$L:$L,領用表!$E:$E,$B126,領用表!$B:$B,$CS$2&amp;CW$2)</f>
        <v/>
      </c>
      <c r="CX126" s="206">
        <f>SUMIFS(領用表!$L:$L,領用表!$E:$E,$B126,領用表!$B:$B,$CS$2&amp;CX$2)</f>
        <v/>
      </c>
      <c r="CY126" s="208">
        <f>SUMIFS(領用表!$L:$L,領用表!$A:$A,CY$2,領用表!$E:$E,B126)</f>
        <v/>
      </c>
      <c r="CZ126" s="206">
        <f>SUMIFS(領用表!$L:$L,領用表!$E:$E,$B126,領用表!$B:$B,CY$2&amp;CZ$2)</f>
        <v/>
      </c>
      <c r="DA126" s="206">
        <f>SUMIFS(領用表!$L:$L,領用表!$E:$E,$B126,領用表!$B:$B,$CY$2&amp;DA$2)</f>
        <v/>
      </c>
      <c r="DB126" s="206">
        <f>SUMIFS(領用表!$L:$L,領用表!$E:$E,$B126,領用表!$B:$B,$CY$2&amp;DB$2)</f>
        <v/>
      </c>
      <c r="DC126" s="206">
        <f>SUMIFS(領用表!$L:$L,領用表!$E:$E,$B126,領用表!$B:$B,$CY$2&amp;DC$2)</f>
        <v/>
      </c>
      <c r="DD126" s="206">
        <f>SUMIFS(領用表!$L:$L,領用表!$E:$E,$B126,領用表!$B:$B,$CY$2&amp;DD$2)</f>
        <v/>
      </c>
      <c r="DE126" s="208">
        <f>SUMIFS(領用表!$L:$L,領用表!$A:$A,DE$2,領用表!$E:$E,B126)</f>
        <v/>
      </c>
      <c r="DF126" s="206">
        <f>SUMIFS(領用表!$L:$L,領用表!$E:$E,$B126,領用表!$B:$B,DE$2&amp;DF$2)</f>
        <v/>
      </c>
      <c r="DG126" s="206">
        <f>SUMIFS(領用表!$L:$L,領用表!$E:$E,$B126,領用表!$B:$B,$DE$2&amp;DG$2)</f>
        <v/>
      </c>
      <c r="DH126" s="206">
        <f>SUMIFS(領用表!$L:$L,領用表!$E:$E,$B126,領用表!$B:$B,$DE$2&amp;DH$2)</f>
        <v/>
      </c>
      <c r="DI126" s="206">
        <f>SUMIFS(領用表!$L:$L,領用表!$E:$E,$B126,領用表!$B:$B,$DE$2&amp;DI$2)</f>
        <v/>
      </c>
      <c r="DJ126" s="206">
        <f>SUMIFS(領用表!$L:$L,領用表!$E:$E,$B126,領用表!$B:$B,$DE$2&amp;DJ$2)</f>
        <v/>
      </c>
      <c r="DK126" s="208">
        <f>SUMIFS(領用表!$L:$L,領用表!$A:$A,DK$2,領用表!$E:$E,$B126)</f>
        <v/>
      </c>
      <c r="DL126" s="206">
        <f>SUMIFS(領用表!$L:$L,領用表!$E:$E,$B126,領用表!$B:$B,DK$2&amp;DL$2)</f>
        <v/>
      </c>
      <c r="DM126" s="206">
        <f>SUMIFS(領用表!$L:$L,領用表!$E:$E,$B126,領用表!$B:$B,$DK$2&amp;DM$2)</f>
        <v/>
      </c>
      <c r="DN126" s="206">
        <f>SUMIFS(領用表!$L:$L,領用表!$E:$E,$B126,領用表!$B:$B,$DK$2&amp;DN$2)</f>
        <v/>
      </c>
      <c r="DO126" s="206">
        <f>SUMIFS(領用表!$L:$L,領用表!$E:$E,$B126,領用表!$B:$B,$DK$2&amp;DO$2)</f>
        <v/>
      </c>
      <c r="DP126" s="206">
        <f>SUMIFS(領用表!$L:$L,領用表!$E:$E,$B126,領用表!$B:$B,$DK$2&amp;DP$2)</f>
        <v/>
      </c>
      <c r="DQ126" s="208" t="n"/>
      <c r="DR126" s="206" t="n"/>
      <c r="DS126" s="206" t="n"/>
      <c r="DT126" s="206" t="n"/>
      <c r="DU126" s="206" t="n"/>
      <c r="DV126" s="206" t="n"/>
      <c r="DW126" s="206">
        <f>SUM(CN126,CS126,CY126,DE126,DK126,DQ126)</f>
        <v/>
      </c>
      <c r="DX126" s="206">
        <f>AVERAGEA(CN126,CS126,CY126,DE126,DK126,DQ126)</f>
        <v/>
      </c>
      <c r="DY126" s="206">
        <f>SUM(DZ126:EC126)</f>
        <v/>
      </c>
      <c r="DZ126" s="206" t="n">
        <v>0</v>
      </c>
      <c r="EA126" s="206" t="n">
        <v>0</v>
      </c>
      <c r="EB126" s="206" t="n">
        <v>0</v>
      </c>
      <c r="EC126" s="206" t="n">
        <v>0</v>
      </c>
      <c r="ED126" s="258" t="n"/>
      <c r="EE126" s="283" t="n"/>
      <c r="EF126" s="283" t="n"/>
      <c r="EG126" s="283" t="n"/>
      <c r="EH126" s="136" t="n"/>
      <c r="EI126" s="136" t="n"/>
      <c r="EJ126" s="118">
        <f>IFERROR(VLOOKUP(A126,站前4樓!A:BF,57,0),0)</f>
        <v/>
      </c>
      <c r="EK126" s="213">
        <f>IFERROR(VLOOKUP(A126,站前11樓!A:BE,57,0),0)</f>
        <v/>
      </c>
      <c r="EL126" s="118">
        <f>IFERROR(VLOOKUP(A126,忠孝7樓!A:N,57,0),0)</f>
        <v/>
      </c>
      <c r="EM126" s="118">
        <f>IFERROR(VLOOKUP(A126,忠孝國際醫學3樓!A:L,57,0),0)</f>
        <v/>
      </c>
      <c r="EN126" s="118">
        <f>SUM(ED126:EG126)</f>
        <v/>
      </c>
    </row>
    <row r="127" ht="15.75" customFormat="1" customHeight="1" s="118" thickBot="1">
      <c r="A127" s="324" t="inlineStr">
        <is>
          <t>MB3ME090026A</t>
        </is>
      </c>
      <c r="B127" s="325" t="n">
        <v>6120028</v>
      </c>
      <c r="C127" s="136" t="inlineStr">
        <is>
          <t>治敏健 20ml</t>
        </is>
      </c>
      <c r="D127" s="285" t="n"/>
      <c r="E127" s="198" t="inlineStr">
        <is>
          <t>PCS</t>
        </is>
      </c>
      <c r="F127" s="225">
        <f>SUMIF(站前4樓!B:B,B127,站前4樓!F:F)</f>
        <v/>
      </c>
      <c r="G127" s="225">
        <f>SUMIF(站前11樓!B:B,B127,站前11樓!F:F)</f>
        <v/>
      </c>
      <c r="H127" s="225">
        <f>SUMIF(忠孝7樓!B:B,B127,忠孝7樓!G:G)</f>
        <v/>
      </c>
      <c r="I127" s="225">
        <f>SUMIF(忠孝國際醫學3樓!B:B,B127,忠孝國際醫學3樓!G:G)</f>
        <v/>
      </c>
      <c r="J127" s="225">
        <f>SUMIF(忠孝健康7樓!B:B,B127,忠孝健康7樓!G:G)</f>
        <v/>
      </c>
      <c r="K127" s="283" t="n"/>
      <c r="L127" s="283" t="n"/>
      <c r="M127" s="283" t="n"/>
      <c r="N127" s="283" t="n"/>
      <c r="O127" s="283" t="n"/>
      <c r="P127" s="283" t="n"/>
      <c r="Q127" s="283" t="n"/>
      <c r="R127" s="283" t="n"/>
      <c r="S127" s="283" t="n"/>
      <c r="T127" s="283" t="n"/>
      <c r="U127" s="283" t="n"/>
      <c r="V127" s="283" t="n"/>
      <c r="W127" s="283" t="n"/>
      <c r="X127" s="283" t="n"/>
      <c r="Y127" s="283" t="n"/>
      <c r="Z127" s="283" t="n"/>
      <c r="AA127" s="283" t="n"/>
      <c r="AB127" s="283" t="n"/>
      <c r="AC127" s="283" t="n"/>
      <c r="AD127" s="283" t="n"/>
      <c r="AE127" s="283" t="n"/>
      <c r="AF127" s="283" t="n"/>
      <c r="AG127" s="283" t="n"/>
      <c r="AH127" s="283" t="n"/>
      <c r="AI127" s="283" t="n"/>
      <c r="AJ127" s="201" t="n"/>
      <c r="AK127" s="201" t="n"/>
      <c r="AL127" s="201" t="n"/>
      <c r="AM127" s="201" t="n"/>
      <c r="AN127" s="201" t="n"/>
      <c r="AO127" s="201" t="n"/>
      <c r="AP127" s="201" t="n"/>
      <c r="AQ127" s="201" t="n"/>
      <c r="AR127" s="201" t="n"/>
      <c r="AS127" s="201" t="n"/>
      <c r="AT127" s="201" t="n"/>
      <c r="AU127" s="201" t="n"/>
      <c r="AV127" s="283">
        <f>SUM(AJ127:AU127)</f>
        <v/>
      </c>
      <c r="AW127" s="286">
        <f>AV127/12</f>
        <v/>
      </c>
      <c r="AX127" s="201" t="n">
        <v>0</v>
      </c>
      <c r="AY127" s="201" t="n">
        <v>0</v>
      </c>
      <c r="AZ127" s="201" t="n">
        <v>15</v>
      </c>
      <c r="BA127" s="201" t="n">
        <v>0</v>
      </c>
      <c r="BB127" s="201">
        <f>0+2</f>
        <v/>
      </c>
      <c r="BC127" s="203">
        <f>SUMIFS(領用表!$L:$L,領用表!$A:$A,BC$2,領用表!$E:$E,B127)</f>
        <v/>
      </c>
      <c r="BD127" s="287">
        <f>SUMIFS(領用表!$L:$L,領用表!$E:$E,$B127,領用表!$B:$B,BC$2&amp;BD$2)</f>
        <v/>
      </c>
      <c r="BE127" s="287">
        <f>SUMIFS(領用表!$L:$L,領用表!$E:$E,$B127,領用表!$B:$B,$BC$2&amp;BE$2)</f>
        <v/>
      </c>
      <c r="BF127" s="287">
        <f>SUMIFS(領用表!$L:$L,領用表!$E:$E,$B127,領用表!$B:$B,$BC$2&amp;BF$2)</f>
        <v/>
      </c>
      <c r="BG127" s="206">
        <f>SUMIFS(領用表!$L:$L,領用表!$E:$E,$B127,領用表!$B:$B,$BC$2&amp;BG$2)</f>
        <v/>
      </c>
      <c r="BH127" s="203">
        <f>SUMIFS(領用表!$L:$L,領用表!$A:$A,BH$2,領用表!$E:$E,B127)</f>
        <v/>
      </c>
      <c r="BI127" s="260">
        <f>SUMIFS(領用表!$L:$L,領用表!$E:$E,$B127,領用表!$B:$B,BH$2&amp;BI$2)</f>
        <v/>
      </c>
      <c r="BJ127" s="260">
        <f>SUMIFS(領用表!$L:$L,領用表!$E:$E,$B127,領用表!$B:$B,$BH$2&amp;BJ$2)</f>
        <v/>
      </c>
      <c r="BK127" s="260">
        <f>SUMIFS(領用表!$L:$L,領用表!$E:$E,$B127,領用表!$B:$B,$BH$2&amp;BK$2)</f>
        <v/>
      </c>
      <c r="BL127" s="260">
        <f>SUMIFS(領用表!$L:$L,領用表!$E:$E,$B127,領用表!$B:$B,$BH$2&amp;BL$2)</f>
        <v/>
      </c>
      <c r="BM127" s="203">
        <f>SUMIFS(領用表!$L:$L,領用表!$A:$A,BM$2,領用表!$E:$E,B127)</f>
        <v/>
      </c>
      <c r="BN127" s="206">
        <f>SUMIFS(領用表!$L:$L,領用表!$E:$E,$B127,領用表!$B:$B,BM$2&amp;BN$2)</f>
        <v/>
      </c>
      <c r="BO127" s="206">
        <f>SUMIFS(領用表!$L:$L,領用表!$E:$E,$B127,領用表!$B:$B,$BM$2&amp;BO$2)</f>
        <v/>
      </c>
      <c r="BP127" s="288">
        <f>SUMIFS(領用表!$L:$L,領用表!$E:$E,$B127,領用表!$B:$B,$BM$2&amp;BP$2)</f>
        <v/>
      </c>
      <c r="BQ127" s="287">
        <f>SUMIFS(領用表!$L:$L,領用表!$E:$E,$B127,領用表!$B:$B,$BM$2&amp;BQ$2)</f>
        <v/>
      </c>
      <c r="BR127" s="203">
        <f>SUMIFS(領用表!$L:$L,領用表!$A:$A,BR$2,領用表!$E:$E,B127)</f>
        <v/>
      </c>
      <c r="BS127" s="288">
        <f>SUMIFS(領用表!$L:$L,領用表!$E:$E,$B127,領用表!$B:$B,BR$2&amp;BS$2)</f>
        <v/>
      </c>
      <c r="BT127" s="288">
        <f>SUMIFS(領用表!$L:$L,領用表!$E:$E,$B127,領用表!$B:$B,$BR$2&amp;BT$2)</f>
        <v/>
      </c>
      <c r="BU127" s="288">
        <f>SUMIFS(領用表!$L:$L,領用表!$E:$E,$B127,領用表!$B:$B,$BR$2&amp;BU$2)</f>
        <v/>
      </c>
      <c r="BV127" s="287">
        <f>SUMIFS(領用表!$L:$L,領用表!$E:$E,$B127,領用表!$B:$B,$BR$2&amp;BV$2)</f>
        <v/>
      </c>
      <c r="BW127" s="208">
        <f>SUMIFS(領用表!$L:$L,領用表!$A:$A,BW$2,領用表!$E:$E,B127)</f>
        <v/>
      </c>
      <c r="BX127" s="206">
        <f>SUMIFS(領用表!$L:$L,領用表!$E:$E,$B127,領用表!$B:$B,BW$2&amp;BX$2)</f>
        <v/>
      </c>
      <c r="BY127" s="206">
        <f>SUMIFS(領用表!$L:$L,領用表!$E:$E,$B127,領用表!$B:$B,$BW$2&amp;BY$2)</f>
        <v/>
      </c>
      <c r="BZ127" s="206">
        <f>SUMIFS(領用表!$L:$L,領用表!$E:$E,$B127,領用表!$B:$B,$BW$2&amp;BZ$2)</f>
        <v/>
      </c>
      <c r="CA127" s="206">
        <f>SUMIFS(領用表!$L:$L,領用表!$E:$E,$B127,領用表!$B:$B,$BW$2&amp;CA$2)</f>
        <v/>
      </c>
      <c r="CB127" s="208">
        <f>SUMIFS(領用表!$L:$L,領用表!$A:$A,CB$2,領用表!$E:$E,B127)</f>
        <v/>
      </c>
      <c r="CC127" s="206">
        <f>SUMIFS(領用表!$L:$L,領用表!$E:$E,$B127,領用表!$B:$B,CB$2&amp;CC$2)</f>
        <v/>
      </c>
      <c r="CD127" s="206">
        <f>SUMIFS(領用表!$L:$L,領用表!$E:$E,$B127,領用表!$B:$B,$CB$2&amp;CD$2)</f>
        <v/>
      </c>
      <c r="CE127" s="206">
        <f>SUMIFS(領用表!$L:$L,領用表!$E:$E,$B127,領用表!$B:$B,$CB$2&amp;CE$2)</f>
        <v/>
      </c>
      <c r="CF127" s="206">
        <f>SUMIFS(領用表!$L:$L,領用表!$E:$E,$B127,領用表!$B:$B,$CB$2&amp;CF$2)</f>
        <v/>
      </c>
      <c r="CG127" s="208">
        <f>SUMIFS(領用表!$L:$L,領用表!$A:$A,CG$2,領用表!$E:$E,B127)</f>
        <v/>
      </c>
      <c r="CH127" s="206">
        <f>SUMIFS(領用表!$L:$L,領用表!$E:$E,$B127,領用表!$B:$B,CG$2&amp;CH$2)</f>
        <v/>
      </c>
      <c r="CI127" s="206">
        <f>SUMIFS(領用表!$L:$L,領用表!$E:$E,$B127,領用表!$B:$B,CG$2&amp;CI$2)</f>
        <v/>
      </c>
      <c r="CJ127" s="206">
        <f>SUMIFS(領用表!$L:$L,領用表!$E:$E,$B127,領用表!$B:$B,CG$2&amp;CJ$2)</f>
        <v/>
      </c>
      <c r="CK127" s="206">
        <f>SUMIFS(領用表!$L:$L,領用表!$E:$E,$B127,領用表!$B:$B,$CG$2&amp;CK$2)</f>
        <v/>
      </c>
      <c r="CL127" s="207">
        <f>SUM(AX127,AY127,AZ127,BA127,BB127,BC127,BH127,BM127,BR127,BW127,CB127,CG127)</f>
        <v/>
      </c>
      <c r="CM127" s="207">
        <f>AVERAGE(AX127,AY127,AZ127,BA127,BB127,BC127,BH127,BM127,BR127,BW127,CB127,CG127)</f>
        <v/>
      </c>
      <c r="CN127" s="208">
        <f>SUMIFS(領用表!$L:$L,領用表!$A:$A,CN$2,領用表!$E:$E,B127)</f>
        <v/>
      </c>
      <c r="CO127" s="206">
        <f>SUMIFS(領用表!$L:$L,領用表!$E:$E,$B127,領用表!$B:$B,CN$2&amp;CO$2)</f>
        <v/>
      </c>
      <c r="CP127" s="206">
        <f>SUMIFS(領用表!$L:$L,領用表!$E:$E,$B127,領用表!$B:$B,$CN$2&amp;CP$2)</f>
        <v/>
      </c>
      <c r="CQ127" s="206">
        <f>SUMIFS(領用表!$L:$L,領用表!$E:$E,$B127,領用表!$B:$B,$CN$2&amp;CQ$2)</f>
        <v/>
      </c>
      <c r="CR127" s="206">
        <f>SUMIFS(領用表!$L:$L,領用表!$E:$E,$B127,領用表!$B:$B,$CN$2&amp;CR$2)</f>
        <v/>
      </c>
      <c r="CS127" s="208">
        <f>SUMIFS(領用表!$L:$L,領用表!$A:$A,CS$2,領用表!$E:$E,B127)</f>
        <v/>
      </c>
      <c r="CT127" s="206">
        <f>SUMIFS(領用表!$L:$L,領用表!$E:$E,$B127,領用表!$B:$B,CS$2&amp;CT$2)</f>
        <v/>
      </c>
      <c r="CU127" s="206">
        <f>SUMIFS(領用表!$L:$L,領用表!$E:$E,$B127,領用表!$B:$B,$CS$2&amp;CU$2)</f>
        <v/>
      </c>
      <c r="CV127" s="206">
        <f>SUMIFS(領用表!$L:$L,領用表!$E:$E,$B127,領用表!$B:$B,$CS$2&amp;CV$2)</f>
        <v/>
      </c>
      <c r="CW127" s="206">
        <f>SUMIFS(領用表!$L:$L,領用表!$E:$E,$B127,領用表!$B:$B,$CS$2&amp;CW$2)</f>
        <v/>
      </c>
      <c r="CX127" s="206">
        <f>SUMIFS(領用表!$L:$L,領用表!$E:$E,$B127,領用表!$B:$B,$CS$2&amp;CX$2)</f>
        <v/>
      </c>
      <c r="CY127" s="208">
        <f>SUMIFS(領用表!$L:$L,領用表!$A:$A,CY$2,領用表!$E:$E,B127)</f>
        <v/>
      </c>
      <c r="CZ127" s="206">
        <f>SUMIFS(領用表!$L:$L,領用表!$E:$E,$B127,領用表!$B:$B,CY$2&amp;CZ$2)</f>
        <v/>
      </c>
      <c r="DA127" s="206">
        <f>SUMIFS(領用表!$L:$L,領用表!$E:$E,$B127,領用表!$B:$B,$CY$2&amp;DA$2)</f>
        <v/>
      </c>
      <c r="DB127" s="206">
        <f>SUMIFS(領用表!$L:$L,領用表!$E:$E,$B127,領用表!$B:$B,$CY$2&amp;DB$2)</f>
        <v/>
      </c>
      <c r="DC127" s="206">
        <f>SUMIFS(領用表!$L:$L,領用表!$E:$E,$B127,領用表!$B:$B,$CY$2&amp;DC$2)</f>
        <v/>
      </c>
      <c r="DD127" s="206">
        <f>SUMIFS(領用表!$L:$L,領用表!$E:$E,$B127,領用表!$B:$B,$CY$2&amp;DD$2)</f>
        <v/>
      </c>
      <c r="DE127" s="208">
        <f>SUMIFS(領用表!$L:$L,領用表!$A:$A,DE$2,領用表!$E:$E,B127)</f>
        <v/>
      </c>
      <c r="DF127" s="206">
        <f>SUMIFS(領用表!$L:$L,領用表!$E:$E,$B127,領用表!$B:$B,DE$2&amp;DF$2)</f>
        <v/>
      </c>
      <c r="DG127" s="206">
        <f>SUMIFS(領用表!$L:$L,領用表!$E:$E,$B127,領用表!$B:$B,$DE$2&amp;DG$2)</f>
        <v/>
      </c>
      <c r="DH127" s="206">
        <f>SUMIFS(領用表!$L:$L,領用表!$E:$E,$B127,領用表!$B:$B,$DE$2&amp;DH$2)</f>
        <v/>
      </c>
      <c r="DI127" s="206">
        <f>SUMIFS(領用表!$L:$L,領用表!$E:$E,$B127,領用表!$B:$B,$DE$2&amp;DI$2)</f>
        <v/>
      </c>
      <c r="DJ127" s="206">
        <f>SUMIFS(領用表!$L:$L,領用表!$E:$E,$B127,領用表!$B:$B,$DE$2&amp;DJ$2)</f>
        <v/>
      </c>
      <c r="DK127" s="208">
        <f>SUMIFS(領用表!$L:$L,領用表!$A:$A,DK$2,領用表!$E:$E,$B127)</f>
        <v/>
      </c>
      <c r="DL127" s="206">
        <f>SUMIFS(領用表!$L:$L,領用表!$E:$E,$B127,領用表!$B:$B,DK$2&amp;DL$2)</f>
        <v/>
      </c>
      <c r="DM127" s="206">
        <f>SUMIFS(領用表!$L:$L,領用表!$E:$E,$B127,領用表!$B:$B,$DK$2&amp;DM$2)</f>
        <v/>
      </c>
      <c r="DN127" s="206">
        <f>SUMIFS(領用表!$L:$L,領用表!$E:$E,$B127,領用表!$B:$B,$DK$2&amp;DN$2)</f>
        <v/>
      </c>
      <c r="DO127" s="206">
        <f>SUMIFS(領用表!$L:$L,領用表!$E:$E,$B127,領用表!$B:$B,$DK$2&amp;DO$2)</f>
        <v/>
      </c>
      <c r="DP127" s="206">
        <f>SUMIFS(領用表!$L:$L,領用表!$E:$E,$B127,領用表!$B:$B,$DK$2&amp;DP$2)</f>
        <v/>
      </c>
      <c r="DQ127" s="208" t="n"/>
      <c r="DR127" s="206" t="n"/>
      <c r="DS127" s="206" t="n"/>
      <c r="DT127" s="206" t="n"/>
      <c r="DU127" s="206" t="n"/>
      <c r="DV127" s="206" t="n"/>
      <c r="DW127" s="206">
        <f>SUM(CN127,CS127,CY127,DE127,DK127,DQ127)</f>
        <v/>
      </c>
      <c r="DX127" s="206">
        <f>AVERAGEA(CN127,CS127,CY127,DE127,DK127,DQ127)</f>
        <v/>
      </c>
      <c r="DY127" s="206">
        <f>SUM(DZ127:EC127)</f>
        <v/>
      </c>
      <c r="DZ127" s="206" t="n">
        <v>0</v>
      </c>
      <c r="EA127" s="206" t="n">
        <v>0</v>
      </c>
      <c r="EB127" s="206" t="n">
        <v>0</v>
      </c>
      <c r="EC127" s="206" t="n">
        <v>0</v>
      </c>
      <c r="ED127" s="258" t="n"/>
      <c r="EE127" s="283" t="n"/>
      <c r="EF127" s="283" t="n"/>
      <c r="EG127" s="283" t="n"/>
      <c r="EH127" s="136" t="n"/>
      <c r="EI127" s="136" t="n"/>
      <c r="EJ127" s="118">
        <f>IFERROR(VLOOKUP(A127,站前4樓!A:BF,57,0),0)</f>
        <v/>
      </c>
      <c r="EK127" s="213">
        <f>IFERROR(VLOOKUP(A127,站前11樓!A:BE,57,0),0)</f>
        <v/>
      </c>
      <c r="EL127" s="118">
        <f>IFERROR(VLOOKUP(A127,忠孝7樓!A:N,57,0),0)</f>
        <v/>
      </c>
      <c r="EM127" s="118">
        <f>IFERROR(VLOOKUP(A127,忠孝國際醫學3樓!A:L,57,0),0)</f>
        <v/>
      </c>
      <c r="EN127" s="118">
        <f>SUM(ED127:EG127)</f>
        <v/>
      </c>
    </row>
    <row r="128" ht="15.75" customFormat="1" customHeight="1" s="118" thickBot="1">
      <c r="A128" s="324" t="inlineStr">
        <is>
          <t>MB3ME090029A</t>
        </is>
      </c>
      <c r="B128" s="325" t="n">
        <v>6120029</v>
      </c>
      <c r="C128" s="136" t="inlineStr">
        <is>
          <t>鹽酸二苯胺明 1ml</t>
        </is>
      </c>
      <c r="D128" s="285" t="n"/>
      <c r="E128" s="198" t="inlineStr">
        <is>
          <t>PCS</t>
        </is>
      </c>
      <c r="F128" s="225">
        <f>SUMIF(站前4樓!B:B,B128,站前4樓!F:F)</f>
        <v/>
      </c>
      <c r="G128" s="225">
        <f>SUMIF(站前11樓!B:B,B128,站前11樓!F:F)</f>
        <v/>
      </c>
      <c r="H128" s="225">
        <f>SUMIF(忠孝7樓!B:B,B128,忠孝7樓!G:G)</f>
        <v/>
      </c>
      <c r="I128" s="225">
        <f>SUMIF(忠孝國際醫學3樓!B:B,B128,忠孝國際醫學3樓!G:G)</f>
        <v/>
      </c>
      <c r="J128" s="225">
        <f>SUMIF(忠孝健康7樓!B:B,B128,忠孝健康7樓!G:G)</f>
        <v/>
      </c>
      <c r="K128" s="283" t="n"/>
      <c r="L128" s="283" t="n"/>
      <c r="M128" s="283" t="n"/>
      <c r="N128" s="283" t="n"/>
      <c r="O128" s="283" t="n"/>
      <c r="P128" s="283" t="n"/>
      <c r="Q128" s="283" t="n"/>
      <c r="R128" s="283" t="n"/>
      <c r="S128" s="283" t="n"/>
      <c r="T128" s="283" t="n"/>
      <c r="U128" s="283" t="n"/>
      <c r="V128" s="283" t="n"/>
      <c r="W128" s="283" t="n"/>
      <c r="X128" s="283" t="n"/>
      <c r="Y128" s="283" t="n"/>
      <c r="Z128" s="283" t="n"/>
      <c r="AA128" s="283" t="n"/>
      <c r="AB128" s="283" t="n"/>
      <c r="AC128" s="283" t="n"/>
      <c r="AD128" s="283" t="n"/>
      <c r="AE128" s="283" t="n"/>
      <c r="AF128" s="283" t="n"/>
      <c r="AG128" s="283" t="n"/>
      <c r="AH128" s="283" t="n"/>
      <c r="AI128" s="283" t="n"/>
      <c r="AJ128" s="201" t="n"/>
      <c r="AK128" s="201" t="n"/>
      <c r="AL128" s="201" t="n"/>
      <c r="AM128" s="201" t="n"/>
      <c r="AN128" s="201" t="n"/>
      <c r="AO128" s="201" t="n"/>
      <c r="AP128" s="201" t="n"/>
      <c r="AQ128" s="201" t="n"/>
      <c r="AR128" s="201" t="n"/>
      <c r="AS128" s="201" t="n"/>
      <c r="AT128" s="201" t="n"/>
      <c r="AU128" s="201" t="n"/>
      <c r="AV128" s="283">
        <f>SUM(AJ128:AU128)</f>
        <v/>
      </c>
      <c r="AW128" s="286">
        <f>AV128/12</f>
        <v/>
      </c>
      <c r="AX128" s="201" t="n">
        <v>0</v>
      </c>
      <c r="AY128" s="201" t="n">
        <v>0</v>
      </c>
      <c r="AZ128" s="201" t="n">
        <v>8</v>
      </c>
      <c r="BA128" s="201" t="n">
        <v>0</v>
      </c>
      <c r="BB128" s="201" t="n">
        <v>3</v>
      </c>
      <c r="BC128" s="203">
        <f>SUMIFS(領用表!$L:$L,領用表!$A:$A,BC$2,領用表!$E:$E,B128)</f>
        <v/>
      </c>
      <c r="BD128" s="287">
        <f>SUMIFS(領用表!$L:$L,領用表!$E:$E,$B128,領用表!$B:$B,BC$2&amp;BD$2)</f>
        <v/>
      </c>
      <c r="BE128" s="287">
        <f>SUMIFS(領用表!$L:$L,領用表!$E:$E,$B128,領用表!$B:$B,$BC$2&amp;BE$2)</f>
        <v/>
      </c>
      <c r="BF128" s="287">
        <f>SUMIFS(領用表!$L:$L,領用表!$E:$E,$B128,領用表!$B:$B,$BC$2&amp;BF$2)</f>
        <v/>
      </c>
      <c r="BG128" s="206">
        <f>SUMIFS(領用表!$L:$L,領用表!$E:$E,$B128,領用表!$B:$B,$BC$2&amp;BG$2)</f>
        <v/>
      </c>
      <c r="BH128" s="203">
        <f>SUMIFS(領用表!$L:$L,領用表!$A:$A,BH$2,領用表!$E:$E,B128)</f>
        <v/>
      </c>
      <c r="BI128" s="260">
        <f>SUMIFS(領用表!$L:$L,領用表!$E:$E,$B128,領用表!$B:$B,BH$2&amp;BI$2)</f>
        <v/>
      </c>
      <c r="BJ128" s="260">
        <f>SUMIFS(領用表!$L:$L,領用表!$E:$E,$B128,領用表!$B:$B,$BH$2&amp;BJ$2)</f>
        <v/>
      </c>
      <c r="BK128" s="260">
        <f>SUMIFS(領用表!$L:$L,領用表!$E:$E,$B128,領用表!$B:$B,$BH$2&amp;BK$2)</f>
        <v/>
      </c>
      <c r="BL128" s="260">
        <f>SUMIFS(領用表!$L:$L,領用表!$E:$E,$B128,領用表!$B:$B,$BH$2&amp;BL$2)</f>
        <v/>
      </c>
      <c r="BM128" s="203">
        <f>SUMIFS(領用表!$L:$L,領用表!$A:$A,BM$2,領用表!$E:$E,B128)</f>
        <v/>
      </c>
      <c r="BN128" s="206">
        <f>SUMIFS(領用表!$L:$L,領用表!$E:$E,$B128,領用表!$B:$B,BM$2&amp;BN$2)</f>
        <v/>
      </c>
      <c r="BO128" s="206">
        <f>SUMIFS(領用表!$L:$L,領用表!$E:$E,$B128,領用表!$B:$B,$BM$2&amp;BO$2)</f>
        <v/>
      </c>
      <c r="BP128" s="288">
        <f>SUMIFS(領用表!$L:$L,領用表!$E:$E,$B128,領用表!$B:$B,$BM$2&amp;BP$2)</f>
        <v/>
      </c>
      <c r="BQ128" s="287">
        <f>SUMIFS(領用表!$L:$L,領用表!$E:$E,$B128,領用表!$B:$B,$BM$2&amp;BQ$2)</f>
        <v/>
      </c>
      <c r="BR128" s="203">
        <f>SUMIFS(領用表!$L:$L,領用表!$A:$A,BR$2,領用表!$E:$E,B128)</f>
        <v/>
      </c>
      <c r="BS128" s="288">
        <f>SUMIFS(領用表!$L:$L,領用表!$E:$E,$B128,領用表!$B:$B,BR$2&amp;BS$2)</f>
        <v/>
      </c>
      <c r="BT128" s="288">
        <f>SUMIFS(領用表!$L:$L,領用表!$E:$E,$B128,領用表!$B:$B,$BR$2&amp;BT$2)</f>
        <v/>
      </c>
      <c r="BU128" s="288">
        <f>SUMIFS(領用表!$L:$L,領用表!$E:$E,$B128,領用表!$B:$B,$BR$2&amp;BU$2)</f>
        <v/>
      </c>
      <c r="BV128" s="287">
        <f>SUMIFS(領用表!$L:$L,領用表!$E:$E,$B128,領用表!$B:$B,$BR$2&amp;BV$2)</f>
        <v/>
      </c>
      <c r="BW128" s="208">
        <f>SUMIFS(領用表!$L:$L,領用表!$A:$A,BW$2,領用表!$E:$E,B128)</f>
        <v/>
      </c>
      <c r="BX128" s="206">
        <f>SUMIFS(領用表!$L:$L,領用表!$E:$E,$B128,領用表!$B:$B,BW$2&amp;BX$2)</f>
        <v/>
      </c>
      <c r="BY128" s="206">
        <f>SUMIFS(領用表!$L:$L,領用表!$E:$E,$B128,領用表!$B:$B,$BW$2&amp;BY$2)</f>
        <v/>
      </c>
      <c r="BZ128" s="206">
        <f>SUMIFS(領用表!$L:$L,領用表!$E:$E,$B128,領用表!$B:$B,$BW$2&amp;BZ$2)</f>
        <v/>
      </c>
      <c r="CA128" s="206">
        <f>SUMIFS(領用表!$L:$L,領用表!$E:$E,$B128,領用表!$B:$B,$BW$2&amp;CA$2)</f>
        <v/>
      </c>
      <c r="CB128" s="208">
        <f>SUMIFS(領用表!$L:$L,領用表!$A:$A,CB$2,領用表!$E:$E,B128)</f>
        <v/>
      </c>
      <c r="CC128" s="206">
        <f>SUMIFS(領用表!$L:$L,領用表!$E:$E,$B128,領用表!$B:$B,CB$2&amp;CC$2)</f>
        <v/>
      </c>
      <c r="CD128" s="206">
        <f>SUMIFS(領用表!$L:$L,領用表!$E:$E,$B128,領用表!$B:$B,$CB$2&amp;CD$2)</f>
        <v/>
      </c>
      <c r="CE128" s="206">
        <f>SUMIFS(領用表!$L:$L,領用表!$E:$E,$B128,領用表!$B:$B,$CB$2&amp;CE$2)</f>
        <v/>
      </c>
      <c r="CF128" s="206">
        <f>SUMIFS(領用表!$L:$L,領用表!$E:$E,$B128,領用表!$B:$B,$CB$2&amp;CF$2)</f>
        <v/>
      </c>
      <c r="CG128" s="208">
        <f>SUMIFS(領用表!$L:$L,領用表!$A:$A,CG$2,領用表!$E:$E,B128)</f>
        <v/>
      </c>
      <c r="CH128" s="206">
        <f>SUMIFS(領用表!$L:$L,領用表!$E:$E,$B128,領用表!$B:$B,CG$2&amp;CH$2)</f>
        <v/>
      </c>
      <c r="CI128" s="206">
        <f>SUMIFS(領用表!$L:$L,領用表!$E:$E,$B128,領用表!$B:$B,CG$2&amp;CI$2)</f>
        <v/>
      </c>
      <c r="CJ128" s="206">
        <f>SUMIFS(領用表!$L:$L,領用表!$E:$E,$B128,領用表!$B:$B,CG$2&amp;CJ$2)</f>
        <v/>
      </c>
      <c r="CK128" s="206">
        <f>SUMIFS(領用表!$L:$L,領用表!$E:$E,$B128,領用表!$B:$B,$CG$2&amp;CK$2)</f>
        <v/>
      </c>
      <c r="CL128" s="207">
        <f>SUM(AX128,AY128,AZ128,BA128,BB128,BC128,BH128,BM128,BR128,BW128,CB128,CG128)</f>
        <v/>
      </c>
      <c r="CM128" s="207">
        <f>AVERAGE(AX128,AY128,AZ128,BA128,BB128,BC128,BH128,BM128,BR128,BW128,CB128,CG128)</f>
        <v/>
      </c>
      <c r="CN128" s="208">
        <f>SUMIFS(領用表!$L:$L,領用表!$A:$A,CN$2,領用表!$E:$E,B128)</f>
        <v/>
      </c>
      <c r="CO128" s="206">
        <f>SUMIFS(領用表!$L:$L,領用表!$E:$E,$B128,領用表!$B:$B,CN$2&amp;CO$2)</f>
        <v/>
      </c>
      <c r="CP128" s="206">
        <f>SUMIFS(領用表!$L:$L,領用表!$E:$E,$B128,領用表!$B:$B,$CN$2&amp;CP$2)</f>
        <v/>
      </c>
      <c r="CQ128" s="206">
        <f>SUMIFS(領用表!$L:$L,領用表!$E:$E,$B128,領用表!$B:$B,$CN$2&amp;CQ$2)</f>
        <v/>
      </c>
      <c r="CR128" s="206">
        <f>SUMIFS(領用表!$L:$L,領用表!$E:$E,$B128,領用表!$B:$B,$CN$2&amp;CR$2)</f>
        <v/>
      </c>
      <c r="CS128" s="208">
        <f>SUMIFS(領用表!$L:$L,領用表!$A:$A,CS$2,領用表!$E:$E,B128)</f>
        <v/>
      </c>
      <c r="CT128" s="206">
        <f>SUMIFS(領用表!$L:$L,領用表!$E:$E,$B128,領用表!$B:$B,CS$2&amp;CT$2)</f>
        <v/>
      </c>
      <c r="CU128" s="206">
        <f>SUMIFS(領用表!$L:$L,領用表!$E:$E,$B128,領用表!$B:$B,$CS$2&amp;CU$2)</f>
        <v/>
      </c>
      <c r="CV128" s="206">
        <f>SUMIFS(領用表!$L:$L,領用表!$E:$E,$B128,領用表!$B:$B,$CS$2&amp;CV$2)</f>
        <v/>
      </c>
      <c r="CW128" s="206">
        <f>SUMIFS(領用表!$L:$L,領用表!$E:$E,$B128,領用表!$B:$B,$CS$2&amp;CW$2)</f>
        <v/>
      </c>
      <c r="CX128" s="206">
        <f>SUMIFS(領用表!$L:$L,領用表!$E:$E,$B128,領用表!$B:$B,$CS$2&amp;CX$2)</f>
        <v/>
      </c>
      <c r="CY128" s="208">
        <f>SUMIFS(領用表!$L:$L,領用表!$A:$A,CY$2,領用表!$E:$E,B128)</f>
        <v/>
      </c>
      <c r="CZ128" s="206">
        <f>SUMIFS(領用表!$L:$L,領用表!$E:$E,$B128,領用表!$B:$B,CY$2&amp;CZ$2)</f>
        <v/>
      </c>
      <c r="DA128" s="206">
        <f>SUMIFS(領用表!$L:$L,領用表!$E:$E,$B128,領用表!$B:$B,$CY$2&amp;DA$2)</f>
        <v/>
      </c>
      <c r="DB128" s="206">
        <f>SUMIFS(領用表!$L:$L,領用表!$E:$E,$B128,領用表!$B:$B,$CY$2&amp;DB$2)</f>
        <v/>
      </c>
      <c r="DC128" s="206">
        <f>SUMIFS(領用表!$L:$L,領用表!$E:$E,$B128,領用表!$B:$B,$CY$2&amp;DC$2)</f>
        <v/>
      </c>
      <c r="DD128" s="206">
        <f>SUMIFS(領用表!$L:$L,領用表!$E:$E,$B128,領用表!$B:$B,$CY$2&amp;DD$2)</f>
        <v/>
      </c>
      <c r="DE128" s="208">
        <f>SUMIFS(領用表!$L:$L,領用表!$A:$A,DE$2,領用表!$E:$E,B128)</f>
        <v/>
      </c>
      <c r="DF128" s="206">
        <f>SUMIFS(領用表!$L:$L,領用表!$E:$E,$B128,領用表!$B:$B,DE$2&amp;DF$2)</f>
        <v/>
      </c>
      <c r="DG128" s="206">
        <f>SUMIFS(領用表!$L:$L,領用表!$E:$E,$B128,領用表!$B:$B,$DE$2&amp;DG$2)</f>
        <v/>
      </c>
      <c r="DH128" s="206">
        <f>SUMIFS(領用表!$L:$L,領用表!$E:$E,$B128,領用表!$B:$B,$DE$2&amp;DH$2)</f>
        <v/>
      </c>
      <c r="DI128" s="206">
        <f>SUMIFS(領用表!$L:$L,領用表!$E:$E,$B128,領用表!$B:$B,$DE$2&amp;DI$2)</f>
        <v/>
      </c>
      <c r="DJ128" s="206">
        <f>SUMIFS(領用表!$L:$L,領用表!$E:$E,$B128,領用表!$B:$B,$DE$2&amp;DJ$2)</f>
        <v/>
      </c>
      <c r="DK128" s="208">
        <f>SUMIFS(領用表!$L:$L,領用表!$A:$A,DK$2,領用表!$E:$E,$B128)</f>
        <v/>
      </c>
      <c r="DL128" s="206">
        <f>SUMIFS(領用表!$L:$L,領用表!$E:$E,$B128,領用表!$B:$B,DK$2&amp;DL$2)</f>
        <v/>
      </c>
      <c r="DM128" s="206">
        <f>SUMIFS(領用表!$L:$L,領用表!$E:$E,$B128,領用表!$B:$B,$DK$2&amp;DM$2)</f>
        <v/>
      </c>
      <c r="DN128" s="206">
        <f>SUMIFS(領用表!$L:$L,領用表!$E:$E,$B128,領用表!$B:$B,$DK$2&amp;DN$2)</f>
        <v/>
      </c>
      <c r="DO128" s="206">
        <f>SUMIFS(領用表!$L:$L,領用表!$E:$E,$B128,領用表!$B:$B,$DK$2&amp;DO$2)</f>
        <v/>
      </c>
      <c r="DP128" s="206">
        <f>SUMIFS(領用表!$L:$L,領用表!$E:$E,$B128,領用表!$B:$B,$DK$2&amp;DP$2)</f>
        <v/>
      </c>
      <c r="DQ128" s="208" t="n"/>
      <c r="DR128" s="206" t="n"/>
      <c r="DS128" s="206" t="n"/>
      <c r="DT128" s="206" t="n"/>
      <c r="DU128" s="206" t="n"/>
      <c r="DV128" s="206" t="n"/>
      <c r="DW128" s="206">
        <f>SUM(CN128,CS128,CY128,DE128,DK128,DQ128)</f>
        <v/>
      </c>
      <c r="DX128" s="206">
        <f>AVERAGEA(CN128,CS128,CY128,DE128,DK128,DQ128)</f>
        <v/>
      </c>
      <c r="DY128" s="206">
        <f>SUM(DZ128:EC128)</f>
        <v/>
      </c>
      <c r="DZ128" s="206" t="n">
        <v>0</v>
      </c>
      <c r="EA128" s="206" t="n">
        <v>0</v>
      </c>
      <c r="EB128" s="206" t="n">
        <v>0</v>
      </c>
      <c r="EC128" s="206" t="n">
        <v>0</v>
      </c>
      <c r="ED128" s="258" t="n"/>
      <c r="EE128" s="283" t="n"/>
      <c r="EF128" s="283" t="n"/>
      <c r="EG128" s="283" t="inlineStr">
        <is>
          <t>10-10/22</t>
        </is>
      </c>
      <c r="EH128" s="136" t="n"/>
      <c r="EI128" s="136" t="n"/>
      <c r="EJ128" s="118">
        <f>IFERROR(VLOOKUP(A128,站前4樓!A:BF,57,0),0)</f>
        <v/>
      </c>
      <c r="EK128" s="213">
        <f>IFERROR(VLOOKUP(A128,站前11樓!A:BE,57,0),0)</f>
        <v/>
      </c>
      <c r="EL128" s="118">
        <f>IFERROR(VLOOKUP(A128,忠孝7樓!A:N,57,0),0)</f>
        <v/>
      </c>
      <c r="EM128" s="118">
        <f>IFERROR(VLOOKUP(A128,忠孝國際醫學3樓!A:L,57,0),0)</f>
        <v/>
      </c>
      <c r="EN128" s="118">
        <f>SUM(ED128:EG128)</f>
        <v/>
      </c>
    </row>
    <row r="129" ht="15.75" customFormat="1" customHeight="1" s="118" thickBot="1">
      <c r="A129" s="326" t="inlineStr">
        <is>
          <t>MB3ME090031A</t>
        </is>
      </c>
      <c r="B129" s="327" t="n">
        <v>6120031</v>
      </c>
      <c r="C129" s="136" t="inlineStr">
        <is>
          <t>菲碧茵 2ml</t>
        </is>
      </c>
      <c r="D129" s="285" t="n"/>
      <c r="E129" s="198" t="inlineStr">
        <is>
          <t>PCS</t>
        </is>
      </c>
      <c r="F129" s="225">
        <f>SUMIF(站前4樓!B:B,B129,站前4樓!F:F)</f>
        <v/>
      </c>
      <c r="G129" s="225">
        <f>SUMIF(站前11樓!B:B,B129,站前11樓!F:F)</f>
        <v/>
      </c>
      <c r="H129" s="225">
        <f>SUMIF(忠孝7樓!B:B,B129,忠孝7樓!G:G)</f>
        <v/>
      </c>
      <c r="I129" s="225">
        <f>SUMIF(忠孝國際醫學3樓!B:B,B129,忠孝國際醫學3樓!G:G)</f>
        <v/>
      </c>
      <c r="J129" s="225">
        <f>SUMIF(忠孝健康7樓!B:B,B129,忠孝健康7樓!G:G)</f>
        <v/>
      </c>
      <c r="K129" s="283" t="n"/>
      <c r="L129" s="283" t="n"/>
      <c r="M129" s="283" t="n"/>
      <c r="N129" s="283" t="n"/>
      <c r="O129" s="283" t="n"/>
      <c r="P129" s="283" t="n"/>
      <c r="Q129" s="283" t="n"/>
      <c r="R129" s="283" t="n"/>
      <c r="S129" s="283" t="n"/>
      <c r="T129" s="283" t="n"/>
      <c r="U129" s="283" t="n"/>
      <c r="V129" s="283" t="n"/>
      <c r="W129" s="283" t="n"/>
      <c r="X129" s="283" t="n"/>
      <c r="Y129" s="283" t="n"/>
      <c r="Z129" s="283" t="n"/>
      <c r="AA129" s="283" t="n"/>
      <c r="AB129" s="283" t="n"/>
      <c r="AC129" s="283" t="n"/>
      <c r="AD129" s="283" t="n"/>
      <c r="AE129" s="283" t="n"/>
      <c r="AF129" s="283" t="n"/>
      <c r="AG129" s="283" t="n"/>
      <c r="AH129" s="283" t="n"/>
      <c r="AI129" s="283" t="n"/>
      <c r="AJ129" s="201" t="n"/>
      <c r="AK129" s="201" t="n"/>
      <c r="AL129" s="201" t="n"/>
      <c r="AM129" s="201" t="n"/>
      <c r="AN129" s="201" t="n"/>
      <c r="AO129" s="201" t="n"/>
      <c r="AP129" s="201" t="n"/>
      <c r="AQ129" s="201" t="n"/>
      <c r="AR129" s="201" t="n"/>
      <c r="AS129" s="201" t="n"/>
      <c r="AT129" s="201" t="n"/>
      <c r="AU129" s="201" t="n"/>
      <c r="AV129" s="283">
        <f>SUM(AJ129:AU129)</f>
        <v/>
      </c>
      <c r="AW129" s="286">
        <f>AV129/12</f>
        <v/>
      </c>
      <c r="AX129" s="201" t="n">
        <v>0</v>
      </c>
      <c r="AY129" s="201" t="n">
        <v>0</v>
      </c>
      <c r="AZ129" s="201" t="n">
        <v>11</v>
      </c>
      <c r="BA129" s="201" t="n">
        <v>6</v>
      </c>
      <c r="BB129" s="201" t="n">
        <v>0</v>
      </c>
      <c r="BC129" s="203">
        <f>SUMIFS(領用表!$L:$L,領用表!$A:$A,BC$2,領用表!$E:$E,B129)</f>
        <v/>
      </c>
      <c r="BD129" s="287">
        <f>SUMIFS(領用表!$L:$L,領用表!$E:$E,$B129,領用表!$B:$B,BC$2&amp;BD$2)</f>
        <v/>
      </c>
      <c r="BE129" s="287">
        <f>SUMIFS(領用表!$L:$L,領用表!$E:$E,$B129,領用表!$B:$B,$BC$2&amp;BE$2)</f>
        <v/>
      </c>
      <c r="BF129" s="287">
        <f>SUMIFS(領用表!$L:$L,領用表!$E:$E,$B129,領用表!$B:$B,$BC$2&amp;BF$2)</f>
        <v/>
      </c>
      <c r="BG129" s="206">
        <f>SUMIFS(領用表!$L:$L,領用表!$E:$E,$B129,領用表!$B:$B,$BC$2&amp;BG$2)</f>
        <v/>
      </c>
      <c r="BH129" s="203">
        <f>SUMIFS(領用表!$L:$L,領用表!$A:$A,BH$2,領用表!$E:$E,B129)</f>
        <v/>
      </c>
      <c r="BI129" s="260">
        <f>SUMIFS(領用表!$L:$L,領用表!$E:$E,$B129,領用表!$B:$B,BH$2&amp;BI$2)</f>
        <v/>
      </c>
      <c r="BJ129" s="260">
        <f>SUMIFS(領用表!$L:$L,領用表!$E:$E,$B129,領用表!$B:$B,$BH$2&amp;BJ$2)</f>
        <v/>
      </c>
      <c r="BK129" s="260">
        <f>SUMIFS(領用表!$L:$L,領用表!$E:$E,$B129,領用表!$B:$B,$BH$2&amp;BK$2)</f>
        <v/>
      </c>
      <c r="BL129" s="260">
        <f>SUMIFS(領用表!$L:$L,領用表!$E:$E,$B129,領用表!$B:$B,$BH$2&amp;BL$2)</f>
        <v/>
      </c>
      <c r="BM129" s="203">
        <f>SUMIFS(領用表!$L:$L,領用表!$A:$A,BM$2,領用表!$E:$E,B129)</f>
        <v/>
      </c>
      <c r="BN129" s="206">
        <f>SUMIFS(領用表!$L:$L,領用表!$E:$E,$B129,領用表!$B:$B,BM$2&amp;BN$2)</f>
        <v/>
      </c>
      <c r="BO129" s="206">
        <f>SUMIFS(領用表!$L:$L,領用表!$E:$E,$B129,領用表!$B:$B,$BM$2&amp;BO$2)</f>
        <v/>
      </c>
      <c r="BP129" s="288">
        <f>SUMIFS(領用表!$L:$L,領用表!$E:$E,$B129,領用表!$B:$B,$BM$2&amp;BP$2)</f>
        <v/>
      </c>
      <c r="BQ129" s="287">
        <f>SUMIFS(領用表!$L:$L,領用表!$E:$E,$B129,領用表!$B:$B,$BM$2&amp;BQ$2)</f>
        <v/>
      </c>
      <c r="BR129" s="203">
        <f>SUMIFS(領用表!$L:$L,領用表!$A:$A,BR$2,領用表!$E:$E,B129)</f>
        <v/>
      </c>
      <c r="BS129" s="288">
        <f>SUMIFS(領用表!$L:$L,領用表!$E:$E,$B129,領用表!$B:$B,BR$2&amp;BS$2)</f>
        <v/>
      </c>
      <c r="BT129" s="288">
        <f>SUMIFS(領用表!$L:$L,領用表!$E:$E,$B129,領用表!$B:$B,$BR$2&amp;BT$2)</f>
        <v/>
      </c>
      <c r="BU129" s="288">
        <f>SUMIFS(領用表!$L:$L,領用表!$E:$E,$B129,領用表!$B:$B,$BR$2&amp;BU$2)</f>
        <v/>
      </c>
      <c r="BV129" s="287">
        <f>SUMIFS(領用表!$L:$L,領用表!$E:$E,$B129,領用表!$B:$B,$BR$2&amp;BV$2)</f>
        <v/>
      </c>
      <c r="BW129" s="208">
        <f>SUMIFS(領用表!$L:$L,領用表!$A:$A,BW$2,領用表!$E:$E,B129)</f>
        <v/>
      </c>
      <c r="BX129" s="206">
        <f>SUMIFS(領用表!$L:$L,領用表!$E:$E,$B129,領用表!$B:$B,BW$2&amp;BX$2)</f>
        <v/>
      </c>
      <c r="BY129" s="206">
        <f>SUMIFS(領用表!$L:$L,領用表!$E:$E,$B129,領用表!$B:$B,$BW$2&amp;BY$2)</f>
        <v/>
      </c>
      <c r="BZ129" s="206">
        <f>SUMIFS(領用表!$L:$L,領用表!$E:$E,$B129,領用表!$B:$B,$BW$2&amp;BZ$2)</f>
        <v/>
      </c>
      <c r="CA129" s="206">
        <f>SUMIFS(領用表!$L:$L,領用表!$E:$E,$B129,領用表!$B:$B,$BW$2&amp;CA$2)</f>
        <v/>
      </c>
      <c r="CB129" s="208">
        <f>SUMIFS(領用表!$L:$L,領用表!$A:$A,CB$2,領用表!$E:$E,B129)</f>
        <v/>
      </c>
      <c r="CC129" s="206">
        <f>SUMIFS(領用表!$L:$L,領用表!$E:$E,$B129,領用表!$B:$B,CB$2&amp;CC$2)</f>
        <v/>
      </c>
      <c r="CD129" s="206">
        <f>SUMIFS(領用表!$L:$L,領用表!$E:$E,$B129,領用表!$B:$B,$CB$2&amp;CD$2)</f>
        <v/>
      </c>
      <c r="CE129" s="206">
        <f>SUMIFS(領用表!$L:$L,領用表!$E:$E,$B129,領用表!$B:$B,$CB$2&amp;CE$2)</f>
        <v/>
      </c>
      <c r="CF129" s="206">
        <f>SUMIFS(領用表!$L:$L,領用表!$E:$E,$B129,領用表!$B:$B,$CB$2&amp;CF$2)</f>
        <v/>
      </c>
      <c r="CG129" s="208">
        <f>SUMIFS(領用表!$L:$L,領用表!$A:$A,CG$2,領用表!$E:$E,B129)</f>
        <v/>
      </c>
      <c r="CH129" s="206">
        <f>SUMIFS(領用表!$L:$L,領用表!$E:$E,$B129,領用表!$B:$B,CG$2&amp;CH$2)</f>
        <v/>
      </c>
      <c r="CI129" s="206">
        <f>SUMIFS(領用表!$L:$L,領用表!$E:$E,$B129,領用表!$B:$B,CG$2&amp;CI$2)</f>
        <v/>
      </c>
      <c r="CJ129" s="206">
        <f>SUMIFS(領用表!$L:$L,領用表!$E:$E,$B129,領用表!$B:$B,CG$2&amp;CJ$2)</f>
        <v/>
      </c>
      <c r="CK129" s="206">
        <f>SUMIFS(領用表!$L:$L,領用表!$E:$E,$B129,領用表!$B:$B,$CG$2&amp;CK$2)</f>
        <v/>
      </c>
      <c r="CL129" s="207">
        <f>SUM(AX129,AY129,AZ129,BA129,BB129,BC129,BH129,BM129,BR129,BW129,CB129,CG129)</f>
        <v/>
      </c>
      <c r="CM129" s="207">
        <f>AVERAGE(AX129,AY129,AZ129,BA129,BB129,BC129,BH129,BM129,BR129,BW129,CB129,CG129)</f>
        <v/>
      </c>
      <c r="CN129" s="208">
        <f>SUMIFS(領用表!$L:$L,領用表!$A:$A,CN$2,領用表!$E:$E,B129)</f>
        <v/>
      </c>
      <c r="CO129" s="206">
        <f>SUMIFS(領用表!$L:$L,領用表!$E:$E,$B129,領用表!$B:$B,CN$2&amp;CO$2)</f>
        <v/>
      </c>
      <c r="CP129" s="206">
        <f>SUMIFS(領用表!$L:$L,領用表!$E:$E,$B129,領用表!$B:$B,$CN$2&amp;CP$2)</f>
        <v/>
      </c>
      <c r="CQ129" s="206">
        <f>SUMIFS(領用表!$L:$L,領用表!$E:$E,$B129,領用表!$B:$B,$CN$2&amp;CQ$2)</f>
        <v/>
      </c>
      <c r="CR129" s="206">
        <f>SUMIFS(領用表!$L:$L,領用表!$E:$E,$B129,領用表!$B:$B,$CN$2&amp;CR$2)</f>
        <v/>
      </c>
      <c r="CS129" s="208">
        <f>SUMIFS(領用表!$L:$L,領用表!$A:$A,CS$2,領用表!$E:$E,B129)</f>
        <v/>
      </c>
      <c r="CT129" s="206">
        <f>SUMIFS(領用表!$L:$L,領用表!$E:$E,$B129,領用表!$B:$B,CS$2&amp;CT$2)</f>
        <v/>
      </c>
      <c r="CU129" s="206">
        <f>SUMIFS(領用表!$L:$L,領用表!$E:$E,$B129,領用表!$B:$B,$CS$2&amp;CU$2)</f>
        <v/>
      </c>
      <c r="CV129" s="206">
        <f>SUMIFS(領用表!$L:$L,領用表!$E:$E,$B129,領用表!$B:$B,$CS$2&amp;CV$2)</f>
        <v/>
      </c>
      <c r="CW129" s="206">
        <f>SUMIFS(領用表!$L:$L,領用表!$E:$E,$B129,領用表!$B:$B,$CS$2&amp;CW$2)</f>
        <v/>
      </c>
      <c r="CX129" s="206">
        <f>SUMIFS(領用表!$L:$L,領用表!$E:$E,$B129,領用表!$B:$B,$CS$2&amp;CX$2)</f>
        <v/>
      </c>
      <c r="CY129" s="208">
        <f>SUMIFS(領用表!$L:$L,領用表!$A:$A,CY$2,領用表!$E:$E,B129)</f>
        <v/>
      </c>
      <c r="CZ129" s="206">
        <f>SUMIFS(領用表!$L:$L,領用表!$E:$E,$B129,領用表!$B:$B,CY$2&amp;CZ$2)</f>
        <v/>
      </c>
      <c r="DA129" s="206">
        <f>SUMIFS(領用表!$L:$L,領用表!$E:$E,$B129,領用表!$B:$B,$CY$2&amp;DA$2)</f>
        <v/>
      </c>
      <c r="DB129" s="206">
        <f>SUMIFS(領用表!$L:$L,領用表!$E:$E,$B129,領用表!$B:$B,$CY$2&amp;DB$2)</f>
        <v/>
      </c>
      <c r="DC129" s="206">
        <f>SUMIFS(領用表!$L:$L,領用表!$E:$E,$B129,領用表!$B:$B,$CY$2&amp;DC$2)</f>
        <v/>
      </c>
      <c r="DD129" s="206">
        <f>SUMIFS(領用表!$L:$L,領用表!$E:$E,$B129,領用表!$B:$B,$CY$2&amp;DD$2)</f>
        <v/>
      </c>
      <c r="DE129" s="208">
        <f>SUMIFS(領用表!$L:$L,領用表!$A:$A,DE$2,領用表!$E:$E,B129)</f>
        <v/>
      </c>
      <c r="DF129" s="206">
        <f>SUMIFS(領用表!$L:$L,領用表!$E:$E,$B129,領用表!$B:$B,DE$2&amp;DF$2)</f>
        <v/>
      </c>
      <c r="DG129" s="206">
        <f>SUMIFS(領用表!$L:$L,領用表!$E:$E,$B129,領用表!$B:$B,$DE$2&amp;DG$2)</f>
        <v/>
      </c>
      <c r="DH129" s="206">
        <f>SUMIFS(領用表!$L:$L,領用表!$E:$E,$B129,領用表!$B:$B,$DE$2&amp;DH$2)</f>
        <v/>
      </c>
      <c r="DI129" s="206">
        <f>SUMIFS(領用表!$L:$L,領用表!$E:$E,$B129,領用表!$B:$B,$DE$2&amp;DI$2)</f>
        <v/>
      </c>
      <c r="DJ129" s="206">
        <f>SUMIFS(領用表!$L:$L,領用表!$E:$E,$B129,領用表!$B:$B,$DE$2&amp;DJ$2)</f>
        <v/>
      </c>
      <c r="DK129" s="208">
        <f>SUMIFS(領用表!$L:$L,領用表!$A:$A,DK$2,領用表!$E:$E,$B129)</f>
        <v/>
      </c>
      <c r="DL129" s="206">
        <f>SUMIFS(領用表!$L:$L,領用表!$E:$E,$B129,領用表!$B:$B,DK$2&amp;DL$2)</f>
        <v/>
      </c>
      <c r="DM129" s="206">
        <f>SUMIFS(領用表!$L:$L,領用表!$E:$E,$B129,領用表!$B:$B,$DK$2&amp;DM$2)</f>
        <v/>
      </c>
      <c r="DN129" s="206">
        <f>SUMIFS(領用表!$L:$L,領用表!$E:$E,$B129,領用表!$B:$B,$DK$2&amp;DN$2)</f>
        <v/>
      </c>
      <c r="DO129" s="206">
        <f>SUMIFS(領用表!$L:$L,領用表!$E:$E,$B129,領用表!$B:$B,$DK$2&amp;DO$2)</f>
        <v/>
      </c>
      <c r="DP129" s="206">
        <f>SUMIFS(領用表!$L:$L,領用表!$E:$E,$B129,領用表!$B:$B,$DK$2&amp;DP$2)</f>
        <v/>
      </c>
      <c r="DQ129" s="208" t="n"/>
      <c r="DR129" s="206" t="n"/>
      <c r="DS129" s="206" t="n"/>
      <c r="DT129" s="206" t="n"/>
      <c r="DU129" s="206" t="n"/>
      <c r="DV129" s="206" t="n"/>
      <c r="DW129" s="206">
        <f>SUM(CN129,CS129,CY129,DE129,DK129,DQ129)</f>
        <v/>
      </c>
      <c r="DX129" s="206">
        <f>AVERAGEA(CN129,CS129,CY129,DE129,DK129,DQ129)</f>
        <v/>
      </c>
      <c r="DY129" s="206">
        <f>SUM(DZ129:EC129)</f>
        <v/>
      </c>
      <c r="DZ129" s="206" t="n">
        <v>0</v>
      </c>
      <c r="EA129" s="206" t="n">
        <v>0</v>
      </c>
      <c r="EB129" s="206" t="n">
        <v>0</v>
      </c>
      <c r="EC129" s="206" t="n">
        <v>0</v>
      </c>
      <c r="ED129" s="258" t="n"/>
      <c r="EE129" s="283" t="n"/>
      <c r="EF129" s="283" t="n"/>
      <c r="EG129" s="283" t="n"/>
      <c r="EH129" s="136" t="n"/>
      <c r="EI129" s="136" t="n"/>
      <c r="EJ129" s="118">
        <f>IFERROR(VLOOKUP(A129,站前4樓!A:BF,57,0),0)</f>
        <v/>
      </c>
      <c r="EK129" s="213">
        <f>IFERROR(VLOOKUP(A129,站前11樓!A:BE,57,0),0)</f>
        <v/>
      </c>
      <c r="EL129" s="118">
        <f>IFERROR(VLOOKUP(A129,忠孝7樓!A:N,57,0),0)</f>
        <v/>
      </c>
      <c r="EM129" s="118">
        <f>IFERROR(VLOOKUP(A129,忠孝國際醫學3樓!A:L,57,0),0)</f>
        <v/>
      </c>
      <c r="EN129" s="118">
        <f>SUM(ED129:EG129)</f>
        <v/>
      </c>
    </row>
    <row r="130" ht="15.75" customFormat="1" customHeight="1" s="118" thickBot="1">
      <c r="A130" s="324" t="inlineStr">
        <is>
          <t>MB3ME090032A</t>
        </is>
      </c>
      <c r="B130" s="325" t="n">
        <v>6120032</v>
      </c>
      <c r="C130" s="136" t="inlineStr">
        <is>
          <t>(急救用藥)鹽酸副腎素 1ml/支</t>
        </is>
      </c>
      <c r="D130" s="285" t="n"/>
      <c r="E130" s="198" t="inlineStr">
        <is>
          <t>PCS</t>
        </is>
      </c>
      <c r="F130" s="225">
        <f>SUMIF(站前4樓!B:B,B130,站前4樓!F:F)</f>
        <v/>
      </c>
      <c r="G130" s="225">
        <f>SUMIF(站前11樓!B:B,B130,站前11樓!F:F)</f>
        <v/>
      </c>
      <c r="H130" s="225">
        <f>SUMIF(忠孝7樓!B:B,B130,忠孝7樓!G:G)</f>
        <v/>
      </c>
      <c r="I130" s="225">
        <f>SUMIF(忠孝國際醫學3樓!B:B,B130,忠孝國際醫學3樓!G:G)</f>
        <v/>
      </c>
      <c r="J130" s="225">
        <f>SUMIF(忠孝健康7樓!B:B,B130,忠孝健康7樓!G:G)</f>
        <v/>
      </c>
      <c r="K130" s="283" t="n"/>
      <c r="L130" s="283" t="n"/>
      <c r="M130" s="283" t="n"/>
      <c r="N130" s="283" t="n"/>
      <c r="O130" s="283" t="n"/>
      <c r="P130" s="283" t="n"/>
      <c r="Q130" s="283" t="n"/>
      <c r="R130" s="283" t="n"/>
      <c r="S130" s="283" t="n"/>
      <c r="T130" s="283" t="n"/>
      <c r="U130" s="283" t="n"/>
      <c r="V130" s="283" t="n"/>
      <c r="W130" s="283" t="n"/>
      <c r="X130" s="283" t="n"/>
      <c r="Y130" s="283" t="n"/>
      <c r="Z130" s="283" t="n"/>
      <c r="AA130" s="283" t="n"/>
      <c r="AB130" s="283" t="n"/>
      <c r="AC130" s="283" t="n"/>
      <c r="AD130" s="283" t="n"/>
      <c r="AE130" s="283" t="n"/>
      <c r="AF130" s="283" t="n"/>
      <c r="AG130" s="283" t="n"/>
      <c r="AH130" s="283" t="n"/>
      <c r="AI130" s="283" t="n"/>
      <c r="AJ130" s="201" t="n"/>
      <c r="AK130" s="201" t="n"/>
      <c r="AL130" s="201" t="n"/>
      <c r="AM130" s="201" t="n"/>
      <c r="AN130" s="201" t="n"/>
      <c r="AO130" s="201" t="n"/>
      <c r="AP130" s="201" t="n"/>
      <c r="AQ130" s="201" t="n"/>
      <c r="AR130" s="201" t="n"/>
      <c r="AS130" s="201" t="n"/>
      <c r="AT130" s="201" t="n"/>
      <c r="AU130" s="201" t="n"/>
      <c r="AV130" s="283">
        <f>SUM(AJ130:AU130)</f>
        <v/>
      </c>
      <c r="AW130" s="286">
        <f>AV130/12</f>
        <v/>
      </c>
      <c r="AX130" s="201" t="n">
        <v>0</v>
      </c>
      <c r="AY130" s="201" t="n">
        <v>0</v>
      </c>
      <c r="AZ130" s="201" t="n">
        <v>0</v>
      </c>
      <c r="BA130" s="201" t="n">
        <v>0</v>
      </c>
      <c r="BB130" s="201" t="n">
        <v>0</v>
      </c>
      <c r="BC130" s="203">
        <f>SUMIFS(領用表!$L:$L,領用表!$A:$A,BC$2,領用表!$E:$E,B130)</f>
        <v/>
      </c>
      <c r="BD130" s="287">
        <f>SUMIFS(領用表!$L:$L,領用表!$E:$E,$B130,領用表!$B:$B,BC$2&amp;BD$2)</f>
        <v/>
      </c>
      <c r="BE130" s="287">
        <f>SUMIFS(領用表!$L:$L,領用表!$E:$E,$B130,領用表!$B:$B,$BC$2&amp;BE$2)</f>
        <v/>
      </c>
      <c r="BF130" s="287">
        <f>SUMIFS(領用表!$L:$L,領用表!$E:$E,$B130,領用表!$B:$B,$BC$2&amp;BF$2)</f>
        <v/>
      </c>
      <c r="BG130" s="206">
        <f>SUMIFS(領用表!$L:$L,領用表!$E:$E,$B130,領用表!$B:$B,$BC$2&amp;BG$2)</f>
        <v/>
      </c>
      <c r="BH130" s="203">
        <f>SUMIFS(領用表!$L:$L,領用表!$A:$A,BH$2,領用表!$E:$E,B130)</f>
        <v/>
      </c>
      <c r="BI130" s="260">
        <f>SUMIFS(領用表!$L:$L,領用表!$E:$E,$B130,領用表!$B:$B,BH$2&amp;BI$2)</f>
        <v/>
      </c>
      <c r="BJ130" s="260">
        <f>SUMIFS(領用表!$L:$L,領用表!$E:$E,$B130,領用表!$B:$B,$BH$2&amp;BJ$2)</f>
        <v/>
      </c>
      <c r="BK130" s="260">
        <f>SUMIFS(領用表!$L:$L,領用表!$E:$E,$B130,領用表!$B:$B,$BH$2&amp;BK$2)</f>
        <v/>
      </c>
      <c r="BL130" s="260">
        <f>SUMIFS(領用表!$L:$L,領用表!$E:$E,$B130,領用表!$B:$B,$BH$2&amp;BL$2)</f>
        <v/>
      </c>
      <c r="BM130" s="203">
        <f>SUMIFS(領用表!$L:$L,領用表!$A:$A,BM$2,領用表!$E:$E,B130)</f>
        <v/>
      </c>
      <c r="BN130" s="206">
        <f>SUMIFS(領用表!$L:$L,領用表!$E:$E,$B130,領用表!$B:$B,BM$2&amp;BN$2)</f>
        <v/>
      </c>
      <c r="BO130" s="206">
        <f>SUMIFS(領用表!$L:$L,領用表!$E:$E,$B130,領用表!$B:$B,$BM$2&amp;BO$2)</f>
        <v/>
      </c>
      <c r="BP130" s="288">
        <f>SUMIFS(領用表!$L:$L,領用表!$E:$E,$B130,領用表!$B:$B,$BM$2&amp;BP$2)</f>
        <v/>
      </c>
      <c r="BQ130" s="287">
        <f>SUMIFS(領用表!$L:$L,領用表!$E:$E,$B130,領用表!$B:$B,$BM$2&amp;BQ$2)</f>
        <v/>
      </c>
      <c r="BR130" s="203">
        <f>SUMIFS(領用表!$L:$L,領用表!$A:$A,BR$2,領用表!$E:$E,B130)</f>
        <v/>
      </c>
      <c r="BS130" s="288">
        <f>SUMIFS(領用表!$L:$L,領用表!$E:$E,$B130,領用表!$B:$B,BR$2&amp;BS$2)</f>
        <v/>
      </c>
      <c r="BT130" s="288">
        <f>SUMIFS(領用表!$L:$L,領用表!$E:$E,$B130,領用表!$B:$B,$BR$2&amp;BT$2)</f>
        <v/>
      </c>
      <c r="BU130" s="288">
        <f>SUMIFS(領用表!$L:$L,領用表!$E:$E,$B130,領用表!$B:$B,$BR$2&amp;BU$2)</f>
        <v/>
      </c>
      <c r="BV130" s="287">
        <f>SUMIFS(領用表!$L:$L,領用表!$E:$E,$B130,領用表!$B:$B,$BR$2&amp;BV$2)</f>
        <v/>
      </c>
      <c r="BW130" s="208">
        <f>SUMIFS(領用表!$L:$L,領用表!$A:$A,BW$2,領用表!$E:$E,B130)</f>
        <v/>
      </c>
      <c r="BX130" s="206">
        <f>SUMIFS(領用表!$L:$L,領用表!$E:$E,$B130,領用表!$B:$B,BW$2&amp;BX$2)</f>
        <v/>
      </c>
      <c r="BY130" s="206">
        <f>SUMIFS(領用表!$L:$L,領用表!$E:$E,$B130,領用表!$B:$B,$BW$2&amp;BY$2)</f>
        <v/>
      </c>
      <c r="BZ130" s="206">
        <f>SUMIFS(領用表!$L:$L,領用表!$E:$E,$B130,領用表!$B:$B,$BW$2&amp;BZ$2)</f>
        <v/>
      </c>
      <c r="CA130" s="206">
        <f>SUMIFS(領用表!$L:$L,領用表!$E:$E,$B130,領用表!$B:$B,$BW$2&amp;CA$2)</f>
        <v/>
      </c>
      <c r="CB130" s="208">
        <f>SUMIFS(領用表!$L:$L,領用表!$A:$A,CB$2,領用表!$E:$E,B130)</f>
        <v/>
      </c>
      <c r="CC130" s="206">
        <f>SUMIFS(領用表!$L:$L,領用表!$E:$E,$B130,領用表!$B:$B,CB$2&amp;CC$2)</f>
        <v/>
      </c>
      <c r="CD130" s="206">
        <f>SUMIFS(領用表!$L:$L,領用表!$E:$E,$B130,領用表!$B:$B,$CB$2&amp;CD$2)</f>
        <v/>
      </c>
      <c r="CE130" s="206">
        <f>SUMIFS(領用表!$L:$L,領用表!$E:$E,$B130,領用表!$B:$B,$CB$2&amp;CE$2)</f>
        <v/>
      </c>
      <c r="CF130" s="206">
        <f>SUMIFS(領用表!$L:$L,領用表!$E:$E,$B130,領用表!$B:$B,$CB$2&amp;CF$2)</f>
        <v/>
      </c>
      <c r="CG130" s="208">
        <f>SUMIFS(領用表!$L:$L,領用表!$A:$A,CG$2,領用表!$E:$E,B130)</f>
        <v/>
      </c>
      <c r="CH130" s="206">
        <f>SUMIFS(領用表!$L:$L,領用表!$E:$E,$B130,領用表!$B:$B,CG$2&amp;CH$2)</f>
        <v/>
      </c>
      <c r="CI130" s="206">
        <f>SUMIFS(領用表!$L:$L,領用表!$E:$E,$B130,領用表!$B:$B,CG$2&amp;CI$2)</f>
        <v/>
      </c>
      <c r="CJ130" s="206">
        <f>SUMIFS(領用表!$L:$L,領用表!$E:$E,$B130,領用表!$B:$B,CG$2&amp;CJ$2)</f>
        <v/>
      </c>
      <c r="CK130" s="206">
        <f>SUMIFS(領用表!$L:$L,領用表!$E:$E,$B130,領用表!$B:$B,$CG$2&amp;CK$2)</f>
        <v/>
      </c>
      <c r="CL130" s="207">
        <f>SUM(AX130,AY130,AZ130,BA130,BB130,BC130,BH130,BM130,BR130,BW130,CB130,CG130)</f>
        <v/>
      </c>
      <c r="CM130" s="207">
        <f>AVERAGE(AX130,AY130,AZ130,BA130,BB130,BC130,BH130,BM130,BR130,BW130,CB130,CG130)</f>
        <v/>
      </c>
      <c r="CN130" s="208">
        <f>SUMIFS(領用表!$L:$L,領用表!$A:$A,CN$2,領用表!$E:$E,B130)</f>
        <v/>
      </c>
      <c r="CO130" s="206">
        <f>SUMIFS(領用表!$L:$L,領用表!$E:$E,$B130,領用表!$B:$B,CN$2&amp;CO$2)</f>
        <v/>
      </c>
      <c r="CP130" s="206">
        <f>SUMIFS(領用表!$L:$L,領用表!$E:$E,$B130,領用表!$B:$B,$CN$2&amp;CP$2)</f>
        <v/>
      </c>
      <c r="CQ130" s="206">
        <f>SUMIFS(領用表!$L:$L,領用表!$E:$E,$B130,領用表!$B:$B,$CN$2&amp;CQ$2)</f>
        <v/>
      </c>
      <c r="CR130" s="206">
        <f>SUMIFS(領用表!$L:$L,領用表!$E:$E,$B130,領用表!$B:$B,$CN$2&amp;CR$2)</f>
        <v/>
      </c>
      <c r="CS130" s="208">
        <f>SUMIFS(領用表!$L:$L,領用表!$A:$A,CS$2,領用表!$E:$E,B130)</f>
        <v/>
      </c>
      <c r="CT130" s="206">
        <f>SUMIFS(領用表!$L:$L,領用表!$E:$E,$B130,領用表!$B:$B,CS$2&amp;CT$2)</f>
        <v/>
      </c>
      <c r="CU130" s="206">
        <f>SUMIFS(領用表!$L:$L,領用表!$E:$E,$B130,領用表!$B:$B,$CS$2&amp;CU$2)</f>
        <v/>
      </c>
      <c r="CV130" s="206">
        <f>SUMIFS(領用表!$L:$L,領用表!$E:$E,$B130,領用表!$B:$B,$CS$2&amp;CV$2)</f>
        <v/>
      </c>
      <c r="CW130" s="206">
        <f>SUMIFS(領用表!$L:$L,領用表!$E:$E,$B130,領用表!$B:$B,$CS$2&amp;CW$2)</f>
        <v/>
      </c>
      <c r="CX130" s="206">
        <f>SUMIFS(領用表!$L:$L,領用表!$E:$E,$B130,領用表!$B:$B,$CS$2&amp;CX$2)</f>
        <v/>
      </c>
      <c r="CY130" s="208">
        <f>SUMIFS(領用表!$L:$L,領用表!$A:$A,CY$2,領用表!$E:$E,B130)</f>
        <v/>
      </c>
      <c r="CZ130" s="206">
        <f>SUMIFS(領用表!$L:$L,領用表!$E:$E,$B130,領用表!$B:$B,CY$2&amp;CZ$2)</f>
        <v/>
      </c>
      <c r="DA130" s="206">
        <f>SUMIFS(領用表!$L:$L,領用表!$E:$E,$B130,領用表!$B:$B,$CY$2&amp;DA$2)</f>
        <v/>
      </c>
      <c r="DB130" s="206">
        <f>SUMIFS(領用表!$L:$L,領用表!$E:$E,$B130,領用表!$B:$B,$CY$2&amp;DB$2)</f>
        <v/>
      </c>
      <c r="DC130" s="206">
        <f>SUMIFS(領用表!$L:$L,領用表!$E:$E,$B130,領用表!$B:$B,$CY$2&amp;DC$2)</f>
        <v/>
      </c>
      <c r="DD130" s="206">
        <f>SUMIFS(領用表!$L:$L,領用表!$E:$E,$B130,領用表!$B:$B,$CY$2&amp;DD$2)</f>
        <v/>
      </c>
      <c r="DE130" s="208">
        <f>SUMIFS(領用表!$L:$L,領用表!$A:$A,DE$2,領用表!$E:$E,B130)</f>
        <v/>
      </c>
      <c r="DF130" s="206">
        <f>SUMIFS(領用表!$L:$L,領用表!$E:$E,$B130,領用表!$B:$B,DE$2&amp;DF$2)</f>
        <v/>
      </c>
      <c r="DG130" s="206">
        <f>SUMIFS(領用表!$L:$L,領用表!$E:$E,$B130,領用表!$B:$B,$DE$2&amp;DG$2)</f>
        <v/>
      </c>
      <c r="DH130" s="206">
        <f>SUMIFS(領用表!$L:$L,領用表!$E:$E,$B130,領用表!$B:$B,$DE$2&amp;DH$2)</f>
        <v/>
      </c>
      <c r="DI130" s="206">
        <f>SUMIFS(領用表!$L:$L,領用表!$E:$E,$B130,領用表!$B:$B,$DE$2&amp;DI$2)</f>
        <v/>
      </c>
      <c r="DJ130" s="206">
        <f>SUMIFS(領用表!$L:$L,領用表!$E:$E,$B130,領用表!$B:$B,$DE$2&amp;DJ$2)</f>
        <v/>
      </c>
      <c r="DK130" s="208">
        <f>SUMIFS(領用表!$L:$L,領用表!$A:$A,DK$2,領用表!$E:$E,$B130)</f>
        <v/>
      </c>
      <c r="DL130" s="206">
        <f>SUMIFS(領用表!$L:$L,領用表!$E:$E,$B130,領用表!$B:$B,DK$2&amp;DL$2)</f>
        <v/>
      </c>
      <c r="DM130" s="206">
        <f>SUMIFS(領用表!$L:$L,領用表!$E:$E,$B130,領用表!$B:$B,$DK$2&amp;DM$2)</f>
        <v/>
      </c>
      <c r="DN130" s="206">
        <f>SUMIFS(領用表!$L:$L,領用表!$E:$E,$B130,領用表!$B:$B,$DK$2&amp;DN$2)</f>
        <v/>
      </c>
      <c r="DO130" s="206">
        <f>SUMIFS(領用表!$L:$L,領用表!$E:$E,$B130,領用表!$B:$B,$DK$2&amp;DO$2)</f>
        <v/>
      </c>
      <c r="DP130" s="206">
        <f>SUMIFS(領用表!$L:$L,領用表!$E:$E,$B130,領用表!$B:$B,$DK$2&amp;DP$2)</f>
        <v/>
      </c>
      <c r="DQ130" s="208" t="n"/>
      <c r="DR130" s="206" t="n"/>
      <c r="DS130" s="206" t="n"/>
      <c r="DT130" s="206" t="n"/>
      <c r="DU130" s="206" t="n"/>
      <c r="DV130" s="206" t="n"/>
      <c r="DW130" s="206">
        <f>SUM(CN130,CS130,CY130,DE130,DK130,DQ130)</f>
        <v/>
      </c>
      <c r="DX130" s="206">
        <f>AVERAGEA(CN130,CS130,CY130,DE130,DK130,DQ130)</f>
        <v/>
      </c>
      <c r="DY130" s="206">
        <f>SUM(DZ130:EC130)</f>
        <v/>
      </c>
      <c r="DZ130" s="206" t="n">
        <v>0</v>
      </c>
      <c r="EA130" s="206" t="n">
        <v>0</v>
      </c>
      <c r="EB130" s="206" t="n">
        <v>0</v>
      </c>
      <c r="EC130" s="206" t="n">
        <v>0</v>
      </c>
      <c r="ED130" s="258" t="n"/>
      <c r="EE130" s="283" t="n"/>
      <c r="EF130" s="283" t="n"/>
      <c r="EG130" s="283" t="n"/>
      <c r="EH130" s="136" t="n"/>
      <c r="EI130" s="136" t="n"/>
      <c r="EJ130" s="118">
        <f>IFERROR(VLOOKUP(A130,站前4樓!A:BF,57,0),0)</f>
        <v/>
      </c>
      <c r="EK130" s="213">
        <f>IFERROR(VLOOKUP(A130,站前11樓!A:BE,57,0),0)</f>
        <v/>
      </c>
      <c r="EL130" s="118">
        <f>IFERROR(VLOOKUP(A130,忠孝7樓!A:N,57,0),0)</f>
        <v/>
      </c>
      <c r="EM130" s="118">
        <f>IFERROR(VLOOKUP(A130,忠孝國際醫學3樓!A:L,57,0),0)</f>
        <v/>
      </c>
      <c r="EN130" s="118">
        <f>SUM(ED130:EG130)</f>
        <v/>
      </c>
    </row>
    <row r="131" ht="15.75" customFormat="1" customHeight="1" s="118" thickBot="1">
      <c r="A131" s="320" t="inlineStr">
        <is>
          <t>MB3ME090033A</t>
        </is>
      </c>
      <c r="B131" s="325" t="n">
        <v>6120019</v>
      </c>
      <c r="C131" s="136" t="inlineStr">
        <is>
          <t>信可得</t>
        </is>
      </c>
      <c r="D131" s="285" t="n"/>
      <c r="E131" s="198" t="inlineStr">
        <is>
          <t>PCS</t>
        </is>
      </c>
      <c r="F131" s="225">
        <f>SUMIF(站前4樓!B:B,B131,站前4樓!F:F)</f>
        <v/>
      </c>
      <c r="G131" s="225">
        <f>SUMIF(站前11樓!B:B,B131,站前11樓!F:F)</f>
        <v/>
      </c>
      <c r="H131" s="225">
        <f>SUMIF(忠孝7樓!B:B,B131,忠孝7樓!G:G)</f>
        <v/>
      </c>
      <c r="I131" s="225">
        <f>SUMIF(忠孝國際醫學3樓!B:B,B131,忠孝國際醫學3樓!G:G)</f>
        <v/>
      </c>
      <c r="J131" s="225">
        <f>SUMIF(忠孝健康7樓!B:B,B131,忠孝健康7樓!G:G)</f>
        <v/>
      </c>
      <c r="K131" s="283" t="n"/>
      <c r="L131" s="283" t="n"/>
      <c r="M131" s="283" t="n"/>
      <c r="N131" s="283" t="n"/>
      <c r="O131" s="283" t="n"/>
      <c r="P131" s="283" t="n"/>
      <c r="Q131" s="283" t="n"/>
      <c r="R131" s="283" t="n"/>
      <c r="S131" s="283" t="n"/>
      <c r="T131" s="283" t="n"/>
      <c r="U131" s="283" t="n"/>
      <c r="V131" s="283" t="n"/>
      <c r="W131" s="283" t="n"/>
      <c r="X131" s="283" t="n"/>
      <c r="Y131" s="283" t="n"/>
      <c r="Z131" s="283" t="n"/>
      <c r="AA131" s="283" t="n"/>
      <c r="AB131" s="283" t="n"/>
      <c r="AC131" s="283" t="n"/>
      <c r="AD131" s="283" t="n"/>
      <c r="AE131" s="283" t="n"/>
      <c r="AF131" s="283" t="n"/>
      <c r="AG131" s="283" t="n"/>
      <c r="AH131" s="283" t="n"/>
      <c r="AI131" s="283" t="n"/>
      <c r="AJ131" s="201" t="n"/>
      <c r="AK131" s="201" t="n"/>
      <c r="AL131" s="201" t="n"/>
      <c r="AM131" s="201" t="n"/>
      <c r="AN131" s="201" t="n"/>
      <c r="AO131" s="201" t="n"/>
      <c r="AP131" s="201" t="n"/>
      <c r="AQ131" s="201" t="n"/>
      <c r="AR131" s="201" t="n"/>
      <c r="AS131" s="201" t="n"/>
      <c r="AT131" s="201" t="n"/>
      <c r="AU131" s="201" t="n"/>
      <c r="AV131" s="283">
        <f>SUM(AJ131:AU131)</f>
        <v/>
      </c>
      <c r="AW131" s="286">
        <f>AV131/12</f>
        <v/>
      </c>
      <c r="AX131" s="201" t="n">
        <v>0</v>
      </c>
      <c r="AY131" s="201" t="n">
        <v>0</v>
      </c>
      <c r="AZ131" s="201" t="n">
        <v>0</v>
      </c>
      <c r="BA131" s="201" t="n">
        <v>0</v>
      </c>
      <c r="BB131" s="201" t="n">
        <v>5</v>
      </c>
      <c r="BC131" s="203">
        <f>SUMIFS(領用表!$L:$L,領用表!$A:$A,BC$2,領用表!$E:$E,B131)</f>
        <v/>
      </c>
      <c r="BD131" s="287">
        <f>SUMIFS(領用表!$L:$L,領用表!$E:$E,$B131,領用表!$B:$B,BC$2&amp;BD$2)</f>
        <v/>
      </c>
      <c r="BE131" s="287">
        <f>SUMIFS(領用表!$L:$L,領用表!$E:$E,$B131,領用表!$B:$B,$BC$2&amp;BE$2)</f>
        <v/>
      </c>
      <c r="BF131" s="287">
        <f>SUMIFS(領用表!$L:$L,領用表!$E:$E,$B131,領用表!$B:$B,$BC$2&amp;BF$2)</f>
        <v/>
      </c>
      <c r="BG131" s="206">
        <f>SUMIFS(領用表!$L:$L,領用表!$E:$E,$B131,領用表!$B:$B,$BC$2&amp;BG$2)</f>
        <v/>
      </c>
      <c r="BH131" s="203">
        <f>SUMIFS(領用表!$L:$L,領用表!$A:$A,BH$2,領用表!$E:$E,B131)</f>
        <v/>
      </c>
      <c r="BI131" s="260">
        <f>SUMIFS(領用表!$L:$L,領用表!$E:$E,$B131,領用表!$B:$B,BH$2&amp;BI$2)</f>
        <v/>
      </c>
      <c r="BJ131" s="260">
        <f>SUMIFS(領用表!$L:$L,領用表!$E:$E,$B131,領用表!$B:$B,$BH$2&amp;BJ$2)</f>
        <v/>
      </c>
      <c r="BK131" s="260">
        <f>SUMIFS(領用表!$L:$L,領用表!$E:$E,$B131,領用表!$B:$B,$BH$2&amp;BK$2)</f>
        <v/>
      </c>
      <c r="BL131" s="260">
        <f>SUMIFS(領用表!$L:$L,領用表!$E:$E,$B131,領用表!$B:$B,$BH$2&amp;BL$2)</f>
        <v/>
      </c>
      <c r="BM131" s="203">
        <f>SUMIFS(領用表!$L:$L,領用表!$A:$A,BM$2,領用表!$E:$E,B131)</f>
        <v/>
      </c>
      <c r="BN131" s="206">
        <f>SUMIFS(領用表!$L:$L,領用表!$E:$E,$B131,領用表!$B:$B,BM$2&amp;BN$2)</f>
        <v/>
      </c>
      <c r="BO131" s="206">
        <f>SUMIFS(領用表!$L:$L,領用表!$E:$E,$B131,領用表!$B:$B,$BM$2&amp;BO$2)</f>
        <v/>
      </c>
      <c r="BP131" s="288">
        <f>SUMIFS(領用表!$L:$L,領用表!$E:$E,$B131,領用表!$B:$B,$BM$2&amp;BP$2)</f>
        <v/>
      </c>
      <c r="BQ131" s="287">
        <f>SUMIFS(領用表!$L:$L,領用表!$E:$E,$B131,領用表!$B:$B,$BM$2&amp;BQ$2)</f>
        <v/>
      </c>
      <c r="BR131" s="203">
        <f>SUMIFS(領用表!$L:$L,領用表!$A:$A,BR$2,領用表!$E:$E,B131)</f>
        <v/>
      </c>
      <c r="BS131" s="288">
        <f>SUMIFS(領用表!$L:$L,領用表!$E:$E,$B131,領用表!$B:$B,BR$2&amp;BS$2)</f>
        <v/>
      </c>
      <c r="BT131" s="288">
        <f>SUMIFS(領用表!$L:$L,領用表!$E:$E,$B131,領用表!$B:$B,$BR$2&amp;BT$2)</f>
        <v/>
      </c>
      <c r="BU131" s="288">
        <f>SUMIFS(領用表!$L:$L,領用表!$E:$E,$B131,領用表!$B:$B,$BR$2&amp;BU$2)</f>
        <v/>
      </c>
      <c r="BV131" s="287">
        <f>SUMIFS(領用表!$L:$L,領用表!$E:$E,$B131,領用表!$B:$B,$BR$2&amp;BV$2)</f>
        <v/>
      </c>
      <c r="BW131" s="208">
        <f>SUMIFS(領用表!$L:$L,領用表!$A:$A,BW$2,領用表!$E:$E,B131)</f>
        <v/>
      </c>
      <c r="BX131" s="206">
        <f>SUMIFS(領用表!$L:$L,領用表!$E:$E,$B131,領用表!$B:$B,BW$2&amp;BX$2)</f>
        <v/>
      </c>
      <c r="BY131" s="206">
        <f>SUMIFS(領用表!$L:$L,領用表!$E:$E,$B131,領用表!$B:$B,$BW$2&amp;BY$2)</f>
        <v/>
      </c>
      <c r="BZ131" s="206">
        <f>SUMIFS(領用表!$L:$L,領用表!$E:$E,$B131,領用表!$B:$B,$BW$2&amp;BZ$2)</f>
        <v/>
      </c>
      <c r="CA131" s="206">
        <f>SUMIFS(領用表!$L:$L,領用表!$E:$E,$B131,領用表!$B:$B,$BW$2&amp;CA$2)</f>
        <v/>
      </c>
      <c r="CB131" s="208">
        <f>SUMIFS(領用表!$L:$L,領用表!$A:$A,CB$2,領用表!$E:$E,B131)</f>
        <v/>
      </c>
      <c r="CC131" s="206">
        <f>SUMIFS(領用表!$L:$L,領用表!$E:$E,$B131,領用表!$B:$B,CB$2&amp;CC$2)</f>
        <v/>
      </c>
      <c r="CD131" s="206">
        <f>SUMIFS(領用表!$L:$L,領用表!$E:$E,$B131,領用表!$B:$B,$CB$2&amp;CD$2)</f>
        <v/>
      </c>
      <c r="CE131" s="206">
        <f>SUMIFS(領用表!$L:$L,領用表!$E:$E,$B131,領用表!$B:$B,$CB$2&amp;CE$2)</f>
        <v/>
      </c>
      <c r="CF131" s="206">
        <f>SUMIFS(領用表!$L:$L,領用表!$E:$E,$B131,領用表!$B:$B,$CB$2&amp;CF$2)</f>
        <v/>
      </c>
      <c r="CG131" s="208">
        <f>SUMIFS(領用表!$L:$L,領用表!$A:$A,CG$2,領用表!$E:$E,B131)</f>
        <v/>
      </c>
      <c r="CH131" s="206">
        <f>SUMIFS(領用表!$L:$L,領用表!$E:$E,$B131,領用表!$B:$B,CG$2&amp;CH$2)</f>
        <v/>
      </c>
      <c r="CI131" s="206">
        <f>SUMIFS(領用表!$L:$L,領用表!$E:$E,$B131,領用表!$B:$B,CG$2&amp;CI$2)</f>
        <v/>
      </c>
      <c r="CJ131" s="206">
        <f>SUMIFS(領用表!$L:$L,領用表!$E:$E,$B131,領用表!$B:$B,CG$2&amp;CJ$2)</f>
        <v/>
      </c>
      <c r="CK131" s="206">
        <f>SUMIFS(領用表!$L:$L,領用表!$E:$E,$B131,領用表!$B:$B,$CG$2&amp;CK$2)</f>
        <v/>
      </c>
      <c r="CL131" s="207">
        <f>SUM(AX131,AY131,AZ131,BA131,BB131,BC131,BH131,BM131,BR131,BW131,CB131,CG131)</f>
        <v/>
      </c>
      <c r="CM131" s="207">
        <f>AVERAGE(AX131,AY131,AZ131,BA131,BB131,BC131,BH131,BM131,BR131,BW131,CB131,CG131)</f>
        <v/>
      </c>
      <c r="CN131" s="208">
        <f>SUMIFS(領用表!$L:$L,領用表!$A:$A,CN$2,領用表!$E:$E,B131)</f>
        <v/>
      </c>
      <c r="CO131" s="206">
        <f>SUMIFS(領用表!$L:$L,領用表!$E:$E,$B131,領用表!$B:$B,CN$2&amp;CO$2)</f>
        <v/>
      </c>
      <c r="CP131" s="206">
        <f>SUMIFS(領用表!$L:$L,領用表!$E:$E,$B131,領用表!$B:$B,$CN$2&amp;CP$2)</f>
        <v/>
      </c>
      <c r="CQ131" s="206">
        <f>SUMIFS(領用表!$L:$L,領用表!$E:$E,$B131,領用表!$B:$B,$CN$2&amp;CQ$2)</f>
        <v/>
      </c>
      <c r="CR131" s="206">
        <f>SUMIFS(領用表!$L:$L,領用表!$E:$E,$B131,領用表!$B:$B,$CN$2&amp;CR$2)</f>
        <v/>
      </c>
      <c r="CS131" s="208">
        <f>SUMIFS(領用表!$L:$L,領用表!$A:$A,CS$2,領用表!$E:$E,B131)</f>
        <v/>
      </c>
      <c r="CT131" s="206">
        <f>SUMIFS(領用表!$L:$L,領用表!$E:$E,$B131,領用表!$B:$B,CS$2&amp;CT$2)</f>
        <v/>
      </c>
      <c r="CU131" s="206">
        <f>SUMIFS(領用表!$L:$L,領用表!$E:$E,$B131,領用表!$B:$B,$CS$2&amp;CU$2)</f>
        <v/>
      </c>
      <c r="CV131" s="206">
        <f>SUMIFS(領用表!$L:$L,領用表!$E:$E,$B131,領用表!$B:$B,$CS$2&amp;CV$2)</f>
        <v/>
      </c>
      <c r="CW131" s="206">
        <f>SUMIFS(領用表!$L:$L,領用表!$E:$E,$B131,領用表!$B:$B,$CS$2&amp;CW$2)</f>
        <v/>
      </c>
      <c r="CX131" s="206">
        <f>SUMIFS(領用表!$L:$L,領用表!$E:$E,$B131,領用表!$B:$B,$CS$2&amp;CX$2)</f>
        <v/>
      </c>
      <c r="CY131" s="208">
        <f>SUMIFS(領用表!$L:$L,領用表!$A:$A,CY$2,領用表!$E:$E,B131)</f>
        <v/>
      </c>
      <c r="CZ131" s="206">
        <f>SUMIFS(領用表!$L:$L,領用表!$E:$E,$B131,領用表!$B:$B,CY$2&amp;CZ$2)</f>
        <v/>
      </c>
      <c r="DA131" s="206">
        <f>SUMIFS(領用表!$L:$L,領用表!$E:$E,$B131,領用表!$B:$B,$CY$2&amp;DA$2)</f>
        <v/>
      </c>
      <c r="DB131" s="206">
        <f>SUMIFS(領用表!$L:$L,領用表!$E:$E,$B131,領用表!$B:$B,$CY$2&amp;DB$2)</f>
        <v/>
      </c>
      <c r="DC131" s="206">
        <f>SUMIFS(領用表!$L:$L,領用表!$E:$E,$B131,領用表!$B:$B,$CY$2&amp;DC$2)</f>
        <v/>
      </c>
      <c r="DD131" s="206">
        <f>SUMIFS(領用表!$L:$L,領用表!$E:$E,$B131,領用表!$B:$B,$CY$2&amp;DD$2)</f>
        <v/>
      </c>
      <c r="DE131" s="208">
        <f>SUMIFS(領用表!$L:$L,領用表!$A:$A,DE$2,領用表!$E:$E,B131)</f>
        <v/>
      </c>
      <c r="DF131" s="206">
        <f>SUMIFS(領用表!$L:$L,領用表!$E:$E,$B131,領用表!$B:$B,DE$2&amp;DF$2)</f>
        <v/>
      </c>
      <c r="DG131" s="206">
        <f>SUMIFS(領用表!$L:$L,領用表!$E:$E,$B131,領用表!$B:$B,$DE$2&amp;DG$2)</f>
        <v/>
      </c>
      <c r="DH131" s="206">
        <f>SUMIFS(領用表!$L:$L,領用表!$E:$E,$B131,領用表!$B:$B,$DE$2&amp;DH$2)</f>
        <v/>
      </c>
      <c r="DI131" s="206">
        <f>SUMIFS(領用表!$L:$L,領用表!$E:$E,$B131,領用表!$B:$B,$DE$2&amp;DI$2)</f>
        <v/>
      </c>
      <c r="DJ131" s="206">
        <f>SUMIFS(領用表!$L:$L,領用表!$E:$E,$B131,領用表!$B:$B,$DE$2&amp;DJ$2)</f>
        <v/>
      </c>
      <c r="DK131" s="208">
        <f>SUMIFS(領用表!$L:$L,領用表!$A:$A,DK$2,領用表!$E:$E,$B131)</f>
        <v/>
      </c>
      <c r="DL131" s="206">
        <f>SUMIFS(領用表!$L:$L,領用表!$E:$E,$B131,領用表!$B:$B,DK$2&amp;DL$2)</f>
        <v/>
      </c>
      <c r="DM131" s="206">
        <f>SUMIFS(領用表!$L:$L,領用表!$E:$E,$B131,領用表!$B:$B,$DK$2&amp;DM$2)</f>
        <v/>
      </c>
      <c r="DN131" s="206">
        <f>SUMIFS(領用表!$L:$L,領用表!$E:$E,$B131,領用表!$B:$B,$DK$2&amp;DN$2)</f>
        <v/>
      </c>
      <c r="DO131" s="206">
        <f>SUMIFS(領用表!$L:$L,領用表!$E:$E,$B131,領用表!$B:$B,$DK$2&amp;DO$2)</f>
        <v/>
      </c>
      <c r="DP131" s="206">
        <f>SUMIFS(領用表!$L:$L,領用表!$E:$E,$B131,領用表!$B:$B,$DK$2&amp;DP$2)</f>
        <v/>
      </c>
      <c r="DQ131" s="208" t="n"/>
      <c r="DR131" s="206" t="n"/>
      <c r="DS131" s="206" t="n"/>
      <c r="DT131" s="206" t="n"/>
      <c r="DU131" s="206" t="n"/>
      <c r="DV131" s="206" t="n"/>
      <c r="DW131" s="206">
        <f>SUM(CN131,CS131,CY131,DE131,DK131,DQ131)</f>
        <v/>
      </c>
      <c r="DX131" s="206">
        <f>AVERAGEA(CN131,CS131,CY131,DE131,DK131,DQ131)</f>
        <v/>
      </c>
      <c r="DY131" s="206">
        <f>SUM(DZ131:EC131)</f>
        <v/>
      </c>
      <c r="DZ131" s="206" t="n">
        <v>0</v>
      </c>
      <c r="EA131" s="206" t="n">
        <v>0</v>
      </c>
      <c r="EB131" s="206" t="n">
        <v>0</v>
      </c>
      <c r="EC131" s="206" t="n">
        <v>0</v>
      </c>
      <c r="ED131" s="258" t="n"/>
      <c r="EE131" s="283" t="n"/>
      <c r="EF131" s="283" t="n"/>
      <c r="EG131" s="283" t="n"/>
      <c r="EH131" s="136" t="n"/>
      <c r="EI131" s="136" t="n"/>
      <c r="EJ131" s="118">
        <f>IFERROR(VLOOKUP(A131,站前4樓!A:BF,57,0),0)</f>
        <v/>
      </c>
      <c r="EK131" s="213">
        <f>IFERROR(VLOOKUP(A131,站前11樓!A:BE,57,0),0)</f>
        <v/>
      </c>
      <c r="EL131" s="118">
        <f>IFERROR(VLOOKUP(A131,忠孝7樓!A:N,57,0),0)</f>
        <v/>
      </c>
      <c r="EM131" s="118">
        <f>IFERROR(VLOOKUP(A131,忠孝國際醫學3樓!A:L,57,0),0)</f>
        <v/>
      </c>
      <c r="EN131" s="118">
        <f>SUM(ED131:EG131)</f>
        <v/>
      </c>
    </row>
    <row r="132" ht="15.75" customFormat="1" customHeight="1" s="118" thickBot="1">
      <c r="A132" s="320" t="inlineStr">
        <is>
          <t>MB3ME090034A</t>
        </is>
      </c>
      <c r="B132" s="325" t="n">
        <v>6120033</v>
      </c>
      <c r="C132" s="136" t="inlineStr">
        <is>
          <t>去氧氫化腎上腺皮質素</t>
        </is>
      </c>
      <c r="D132" s="285" t="n"/>
      <c r="E132" s="198" t="inlineStr">
        <is>
          <t>PCS</t>
        </is>
      </c>
      <c r="F132" s="225">
        <f>SUMIF(站前4樓!B:B,B132,站前4樓!F:F)</f>
        <v/>
      </c>
      <c r="G132" s="225">
        <f>SUMIF(站前11樓!B:B,B132,站前11樓!F:F)</f>
        <v/>
      </c>
      <c r="H132" s="225">
        <f>SUMIF(忠孝7樓!B:B,B132,忠孝7樓!G:G)</f>
        <v/>
      </c>
      <c r="I132" s="225">
        <f>SUMIF(忠孝國際醫學3樓!B:B,B132,忠孝國際醫學3樓!G:G)</f>
        <v/>
      </c>
      <c r="J132" s="225">
        <f>SUMIF(忠孝健康7樓!B:B,B132,忠孝健康7樓!G:G)</f>
        <v/>
      </c>
      <c r="K132" s="283" t="n"/>
      <c r="L132" s="283" t="n"/>
      <c r="M132" s="283" t="n"/>
      <c r="N132" s="283" t="n"/>
      <c r="O132" s="283" t="n"/>
      <c r="P132" s="283" t="n"/>
      <c r="Q132" s="283" t="n"/>
      <c r="R132" s="283" t="n"/>
      <c r="S132" s="283" t="n"/>
      <c r="T132" s="283" t="n"/>
      <c r="U132" s="283" t="n"/>
      <c r="V132" s="283" t="n"/>
      <c r="W132" s="283" t="n"/>
      <c r="X132" s="283" t="n"/>
      <c r="Y132" s="283" t="n"/>
      <c r="Z132" s="283" t="n"/>
      <c r="AA132" s="283" t="n"/>
      <c r="AB132" s="283" t="n"/>
      <c r="AC132" s="283" t="n"/>
      <c r="AD132" s="283" t="n"/>
      <c r="AE132" s="283" t="n"/>
      <c r="AF132" s="283" t="n"/>
      <c r="AG132" s="283" t="n"/>
      <c r="AH132" s="283" t="n"/>
      <c r="AI132" s="283" t="n"/>
      <c r="AJ132" s="201" t="n"/>
      <c r="AK132" s="201" t="n"/>
      <c r="AL132" s="201" t="n"/>
      <c r="AM132" s="201" t="n"/>
      <c r="AN132" s="201" t="n"/>
      <c r="AO132" s="201" t="n"/>
      <c r="AP132" s="201" t="n"/>
      <c r="AQ132" s="201" t="n"/>
      <c r="AR132" s="201" t="n"/>
      <c r="AS132" s="201" t="n"/>
      <c r="AT132" s="201" t="n"/>
      <c r="AU132" s="201" t="n"/>
      <c r="AV132" s="283">
        <f>SUM(AJ132:AU132)</f>
        <v/>
      </c>
      <c r="AW132" s="286">
        <f>AV132/12</f>
        <v/>
      </c>
      <c r="AX132" s="201" t="n">
        <v>0</v>
      </c>
      <c r="AY132" s="201" t="n">
        <v>0</v>
      </c>
      <c r="AZ132" s="201" t="n">
        <v>0</v>
      </c>
      <c r="BA132" s="201" t="n">
        <v>0</v>
      </c>
      <c r="BB132" s="201" t="n">
        <v>0</v>
      </c>
      <c r="BC132" s="203">
        <f>SUMIFS(領用表!$L:$L,領用表!$A:$A,BC$2,領用表!$E:$E,B132)</f>
        <v/>
      </c>
      <c r="BD132" s="287">
        <f>SUMIFS(領用表!$L:$L,領用表!$E:$E,$B132,領用表!$B:$B,BC$2&amp;BD$2)</f>
        <v/>
      </c>
      <c r="BE132" s="287">
        <f>SUMIFS(領用表!$L:$L,領用表!$E:$E,$B132,領用表!$B:$B,$BC$2&amp;BE$2)</f>
        <v/>
      </c>
      <c r="BF132" s="287">
        <f>SUMIFS(領用表!$L:$L,領用表!$E:$E,$B132,領用表!$B:$B,$BC$2&amp;BF$2)</f>
        <v/>
      </c>
      <c r="BG132" s="206">
        <f>SUMIFS(領用表!$L:$L,領用表!$E:$E,$B132,領用表!$B:$B,$BC$2&amp;BG$2)</f>
        <v/>
      </c>
      <c r="BH132" s="203">
        <f>SUMIFS(領用表!$L:$L,領用表!$A:$A,BH$2,領用表!$E:$E,B132)</f>
        <v/>
      </c>
      <c r="BI132" s="260">
        <f>SUMIFS(領用表!$L:$L,領用表!$E:$E,$B132,領用表!$B:$B,BH$2&amp;BI$2)</f>
        <v/>
      </c>
      <c r="BJ132" s="260">
        <f>SUMIFS(領用表!$L:$L,領用表!$E:$E,$B132,領用表!$B:$B,$BH$2&amp;BJ$2)</f>
        <v/>
      </c>
      <c r="BK132" s="260">
        <f>SUMIFS(領用表!$L:$L,領用表!$E:$E,$B132,領用表!$B:$B,$BH$2&amp;BK$2)</f>
        <v/>
      </c>
      <c r="BL132" s="260">
        <f>SUMIFS(領用表!$L:$L,領用表!$E:$E,$B132,領用表!$B:$B,$BH$2&amp;BL$2)</f>
        <v/>
      </c>
      <c r="BM132" s="203">
        <f>SUMIFS(領用表!$L:$L,領用表!$A:$A,BM$2,領用表!$E:$E,B132)</f>
        <v/>
      </c>
      <c r="BN132" s="206">
        <f>SUMIFS(領用表!$L:$L,領用表!$E:$E,$B132,領用表!$B:$B,BM$2&amp;BN$2)</f>
        <v/>
      </c>
      <c r="BO132" s="206">
        <f>SUMIFS(領用表!$L:$L,領用表!$E:$E,$B132,領用表!$B:$B,$BM$2&amp;BO$2)</f>
        <v/>
      </c>
      <c r="BP132" s="288">
        <f>SUMIFS(領用表!$L:$L,領用表!$E:$E,$B132,領用表!$B:$B,$BM$2&amp;BP$2)</f>
        <v/>
      </c>
      <c r="BQ132" s="287">
        <f>SUMIFS(領用表!$L:$L,領用表!$E:$E,$B132,領用表!$B:$B,$BM$2&amp;BQ$2)</f>
        <v/>
      </c>
      <c r="BR132" s="203">
        <f>SUMIFS(領用表!$L:$L,領用表!$A:$A,BR$2,領用表!$E:$E,B132)</f>
        <v/>
      </c>
      <c r="BS132" s="288">
        <f>SUMIFS(領用表!$L:$L,領用表!$E:$E,$B132,領用表!$B:$B,BR$2&amp;BS$2)</f>
        <v/>
      </c>
      <c r="BT132" s="288">
        <f>SUMIFS(領用表!$L:$L,領用表!$E:$E,$B132,領用表!$B:$B,$BR$2&amp;BT$2)</f>
        <v/>
      </c>
      <c r="BU132" s="288">
        <f>SUMIFS(領用表!$L:$L,領用表!$E:$E,$B132,領用表!$B:$B,$BR$2&amp;BU$2)</f>
        <v/>
      </c>
      <c r="BV132" s="287">
        <f>SUMIFS(領用表!$L:$L,領用表!$E:$E,$B132,領用表!$B:$B,$BR$2&amp;BV$2)</f>
        <v/>
      </c>
      <c r="BW132" s="208">
        <f>SUMIFS(領用表!$L:$L,領用表!$A:$A,BW$2,領用表!$E:$E,B132)</f>
        <v/>
      </c>
      <c r="BX132" s="206">
        <f>SUMIFS(領用表!$L:$L,領用表!$E:$E,$B132,領用表!$B:$B,BW$2&amp;BX$2)</f>
        <v/>
      </c>
      <c r="BY132" s="206">
        <f>SUMIFS(領用表!$L:$L,領用表!$E:$E,$B132,領用表!$B:$B,$BW$2&amp;BY$2)</f>
        <v/>
      </c>
      <c r="BZ132" s="206">
        <f>SUMIFS(領用表!$L:$L,領用表!$E:$E,$B132,領用表!$B:$B,$BW$2&amp;BZ$2)</f>
        <v/>
      </c>
      <c r="CA132" s="206">
        <f>SUMIFS(領用表!$L:$L,領用表!$E:$E,$B132,領用表!$B:$B,$BW$2&amp;CA$2)</f>
        <v/>
      </c>
      <c r="CB132" s="208">
        <f>SUMIFS(領用表!$L:$L,領用表!$A:$A,CB$2,領用表!$E:$E,B132)</f>
        <v/>
      </c>
      <c r="CC132" s="206">
        <f>SUMIFS(領用表!$L:$L,領用表!$E:$E,$B132,領用表!$B:$B,CB$2&amp;CC$2)</f>
        <v/>
      </c>
      <c r="CD132" s="206">
        <f>SUMIFS(領用表!$L:$L,領用表!$E:$E,$B132,領用表!$B:$B,$CB$2&amp;CD$2)</f>
        <v/>
      </c>
      <c r="CE132" s="206">
        <f>SUMIFS(領用表!$L:$L,領用表!$E:$E,$B132,領用表!$B:$B,$CB$2&amp;CE$2)</f>
        <v/>
      </c>
      <c r="CF132" s="206">
        <f>SUMIFS(領用表!$L:$L,領用表!$E:$E,$B132,領用表!$B:$B,$CB$2&amp;CF$2)</f>
        <v/>
      </c>
      <c r="CG132" s="208">
        <f>SUMIFS(領用表!$L:$L,領用表!$A:$A,CG$2,領用表!$E:$E,B132)</f>
        <v/>
      </c>
      <c r="CH132" s="206">
        <f>SUMIFS(領用表!$L:$L,領用表!$E:$E,$B132,領用表!$B:$B,CG$2&amp;CH$2)</f>
        <v/>
      </c>
      <c r="CI132" s="206">
        <f>SUMIFS(領用表!$L:$L,領用表!$E:$E,$B132,領用表!$B:$B,CG$2&amp;CI$2)</f>
        <v/>
      </c>
      <c r="CJ132" s="206">
        <f>SUMIFS(領用表!$L:$L,領用表!$E:$E,$B132,領用表!$B:$B,CG$2&amp;CJ$2)</f>
        <v/>
      </c>
      <c r="CK132" s="206">
        <f>SUMIFS(領用表!$L:$L,領用表!$E:$E,$B132,領用表!$B:$B,$CG$2&amp;CK$2)</f>
        <v/>
      </c>
      <c r="CL132" s="207">
        <f>SUM(AX132,AY132,AZ132,BA132,BB132,BC132,BH132,BM132,BR132,BW132,CB132,CG132)</f>
        <v/>
      </c>
      <c r="CM132" s="207">
        <f>AVERAGE(AX132,AY132,AZ132,BA132,BB132,BC132,BH132,BM132,BR132,BW132,CB132,CG132)</f>
        <v/>
      </c>
      <c r="CN132" s="208">
        <f>SUMIFS(領用表!$L:$L,領用表!$A:$A,CN$2,領用表!$E:$E,B132)</f>
        <v/>
      </c>
      <c r="CO132" s="206">
        <f>SUMIFS(領用表!$L:$L,領用表!$E:$E,$B132,領用表!$B:$B,CN$2&amp;CO$2)</f>
        <v/>
      </c>
      <c r="CP132" s="206">
        <f>SUMIFS(領用表!$L:$L,領用表!$E:$E,$B132,領用表!$B:$B,$CN$2&amp;CP$2)</f>
        <v/>
      </c>
      <c r="CQ132" s="206">
        <f>SUMIFS(領用表!$L:$L,領用表!$E:$E,$B132,領用表!$B:$B,$CN$2&amp;CQ$2)</f>
        <v/>
      </c>
      <c r="CR132" s="206">
        <f>SUMIFS(領用表!$L:$L,領用表!$E:$E,$B132,領用表!$B:$B,$CN$2&amp;CR$2)</f>
        <v/>
      </c>
      <c r="CS132" s="208">
        <f>SUMIFS(領用表!$L:$L,領用表!$A:$A,CS$2,領用表!$E:$E,B132)</f>
        <v/>
      </c>
      <c r="CT132" s="206">
        <f>SUMIFS(領用表!$L:$L,領用表!$E:$E,$B132,領用表!$B:$B,CS$2&amp;CT$2)</f>
        <v/>
      </c>
      <c r="CU132" s="206">
        <f>SUMIFS(領用表!$L:$L,領用表!$E:$E,$B132,領用表!$B:$B,$CS$2&amp;CU$2)</f>
        <v/>
      </c>
      <c r="CV132" s="206">
        <f>SUMIFS(領用表!$L:$L,領用表!$E:$E,$B132,領用表!$B:$B,$CS$2&amp;CV$2)</f>
        <v/>
      </c>
      <c r="CW132" s="206">
        <f>SUMIFS(領用表!$L:$L,領用表!$E:$E,$B132,領用表!$B:$B,$CS$2&amp;CW$2)</f>
        <v/>
      </c>
      <c r="CX132" s="206">
        <f>SUMIFS(領用表!$L:$L,領用表!$E:$E,$B132,領用表!$B:$B,$CS$2&amp;CX$2)</f>
        <v/>
      </c>
      <c r="CY132" s="208">
        <f>SUMIFS(領用表!$L:$L,領用表!$A:$A,CY$2,領用表!$E:$E,B132)</f>
        <v/>
      </c>
      <c r="CZ132" s="206">
        <f>SUMIFS(領用表!$L:$L,領用表!$E:$E,$B132,領用表!$B:$B,CY$2&amp;CZ$2)</f>
        <v/>
      </c>
      <c r="DA132" s="206">
        <f>SUMIFS(領用表!$L:$L,領用表!$E:$E,$B132,領用表!$B:$B,$CY$2&amp;DA$2)</f>
        <v/>
      </c>
      <c r="DB132" s="206">
        <f>SUMIFS(領用表!$L:$L,領用表!$E:$E,$B132,領用表!$B:$B,$CY$2&amp;DB$2)</f>
        <v/>
      </c>
      <c r="DC132" s="206">
        <f>SUMIFS(領用表!$L:$L,領用表!$E:$E,$B132,領用表!$B:$B,$CY$2&amp;DC$2)</f>
        <v/>
      </c>
      <c r="DD132" s="206">
        <f>SUMIFS(領用表!$L:$L,領用表!$E:$E,$B132,領用表!$B:$B,$CY$2&amp;DD$2)</f>
        <v/>
      </c>
      <c r="DE132" s="208">
        <f>SUMIFS(領用表!$L:$L,領用表!$A:$A,DE$2,領用表!$E:$E,B132)</f>
        <v/>
      </c>
      <c r="DF132" s="206">
        <f>SUMIFS(領用表!$L:$L,領用表!$E:$E,$B132,領用表!$B:$B,DE$2&amp;DF$2)</f>
        <v/>
      </c>
      <c r="DG132" s="206">
        <f>SUMIFS(領用表!$L:$L,領用表!$E:$E,$B132,領用表!$B:$B,$DE$2&amp;DG$2)</f>
        <v/>
      </c>
      <c r="DH132" s="206">
        <f>SUMIFS(領用表!$L:$L,領用表!$E:$E,$B132,領用表!$B:$B,$DE$2&amp;DH$2)</f>
        <v/>
      </c>
      <c r="DI132" s="206">
        <f>SUMIFS(領用表!$L:$L,領用表!$E:$E,$B132,領用表!$B:$B,$DE$2&amp;DI$2)</f>
        <v/>
      </c>
      <c r="DJ132" s="206">
        <f>SUMIFS(領用表!$L:$L,領用表!$E:$E,$B132,領用表!$B:$B,$DE$2&amp;DJ$2)</f>
        <v/>
      </c>
      <c r="DK132" s="208">
        <f>SUMIFS(領用表!$L:$L,領用表!$A:$A,DK$2,領用表!$E:$E,$B132)</f>
        <v/>
      </c>
      <c r="DL132" s="206">
        <f>SUMIFS(領用表!$L:$L,領用表!$E:$E,$B132,領用表!$B:$B,DK$2&amp;DL$2)</f>
        <v/>
      </c>
      <c r="DM132" s="206">
        <f>SUMIFS(領用表!$L:$L,領用表!$E:$E,$B132,領用表!$B:$B,$DK$2&amp;DM$2)</f>
        <v/>
      </c>
      <c r="DN132" s="206">
        <f>SUMIFS(領用表!$L:$L,領用表!$E:$E,$B132,領用表!$B:$B,$DK$2&amp;DN$2)</f>
        <v/>
      </c>
      <c r="DO132" s="206">
        <f>SUMIFS(領用表!$L:$L,領用表!$E:$E,$B132,領用表!$B:$B,$DK$2&amp;DO$2)</f>
        <v/>
      </c>
      <c r="DP132" s="206">
        <f>SUMIFS(領用表!$L:$L,領用表!$E:$E,$B132,領用表!$B:$B,$DK$2&amp;DP$2)</f>
        <v/>
      </c>
      <c r="DQ132" s="208" t="n"/>
      <c r="DR132" s="206" t="n"/>
      <c r="DS132" s="206" t="n"/>
      <c r="DT132" s="206" t="n"/>
      <c r="DU132" s="206" t="n"/>
      <c r="DV132" s="206" t="n"/>
      <c r="DW132" s="206">
        <f>SUM(CN132,CS132,CY132,DE132,DK132,DQ132)</f>
        <v/>
      </c>
      <c r="DX132" s="206">
        <f>AVERAGEA(CN132,CS132,CY132,DE132,DK132,DQ132)</f>
        <v/>
      </c>
      <c r="DY132" s="206">
        <f>SUM(DZ132:EC132)</f>
        <v/>
      </c>
      <c r="DZ132" s="206" t="n">
        <v>0</v>
      </c>
      <c r="EA132" s="206" t="n">
        <v>0</v>
      </c>
      <c r="EB132" s="206" t="n">
        <v>0</v>
      </c>
      <c r="EC132" s="206" t="n">
        <v>0</v>
      </c>
      <c r="ED132" s="258" t="n"/>
      <c r="EE132" s="283" t="n"/>
      <c r="EF132" s="283" t="n"/>
      <c r="EG132" s="283" t="n"/>
      <c r="EH132" s="136" t="n"/>
      <c r="EI132" s="136" t="n"/>
      <c r="EJ132" s="118">
        <f>IFERROR(VLOOKUP(A132,站前4樓!A:BF,57,0),0)</f>
        <v/>
      </c>
      <c r="EK132" s="213">
        <f>IFERROR(VLOOKUP(A132,站前11樓!A:BE,57,0),0)</f>
        <v/>
      </c>
      <c r="EL132" s="118">
        <f>IFERROR(VLOOKUP(A132,忠孝7樓!A:N,57,0),0)</f>
        <v/>
      </c>
      <c r="EM132" s="118">
        <f>IFERROR(VLOOKUP(A132,忠孝國際醫學3樓!A:L,57,0),0)</f>
        <v/>
      </c>
      <c r="EN132" s="118">
        <f>SUM(ED132:EG132)</f>
        <v/>
      </c>
    </row>
    <row r="133" ht="15.75" customFormat="1" customHeight="1" s="118" thickBot="1">
      <c r="A133" s="324" t="inlineStr">
        <is>
          <t>MB3ME090035A</t>
        </is>
      </c>
      <c r="B133" s="325" t="n">
        <v>6130001</v>
      </c>
      <c r="C133" s="136" t="inlineStr">
        <is>
          <t>降解酶</t>
        </is>
      </c>
      <c r="D133" s="285" t="n"/>
      <c r="E133" s="198" t="inlineStr">
        <is>
          <t>PCS</t>
        </is>
      </c>
      <c r="F133" s="225">
        <f>SUMIF(站前4樓!B:B,B133,站前4樓!F:F)</f>
        <v/>
      </c>
      <c r="G133" s="225">
        <f>SUMIF(站前11樓!B:B,B133,站前11樓!F:F)</f>
        <v/>
      </c>
      <c r="H133" s="225">
        <f>SUMIF(忠孝7樓!B:B,B133,忠孝7樓!G:G)</f>
        <v/>
      </c>
      <c r="I133" s="225">
        <f>SUMIF(忠孝國際醫學3樓!B:B,B133,忠孝國際醫學3樓!G:G)</f>
        <v/>
      </c>
      <c r="J133" s="225">
        <f>SUMIF(忠孝健康7樓!B:B,B133,忠孝健康7樓!G:G)</f>
        <v/>
      </c>
      <c r="K133" s="283" t="n"/>
      <c r="L133" s="283" t="n"/>
      <c r="M133" s="283" t="n"/>
      <c r="N133" s="283" t="n"/>
      <c r="O133" s="283" t="n"/>
      <c r="P133" s="283" t="n"/>
      <c r="Q133" s="283" t="n"/>
      <c r="R133" s="283" t="n"/>
      <c r="S133" s="283" t="n"/>
      <c r="T133" s="283" t="n"/>
      <c r="U133" s="283" t="n"/>
      <c r="V133" s="283" t="n"/>
      <c r="W133" s="283" t="n"/>
      <c r="X133" s="283" t="n"/>
      <c r="Y133" s="283" t="n"/>
      <c r="Z133" s="283" t="n"/>
      <c r="AA133" s="283" t="n"/>
      <c r="AB133" s="283" t="n"/>
      <c r="AC133" s="283" t="n"/>
      <c r="AD133" s="283" t="n"/>
      <c r="AE133" s="283" t="n"/>
      <c r="AF133" s="283" t="n"/>
      <c r="AG133" s="283" t="n"/>
      <c r="AH133" s="283" t="n"/>
      <c r="AI133" s="283" t="n"/>
      <c r="AJ133" s="201" t="n"/>
      <c r="AK133" s="201" t="n"/>
      <c r="AL133" s="201" t="n"/>
      <c r="AM133" s="201" t="n"/>
      <c r="AN133" s="201" t="n"/>
      <c r="AO133" s="201" t="n"/>
      <c r="AP133" s="201" t="n"/>
      <c r="AQ133" s="201" t="n"/>
      <c r="AR133" s="201" t="n"/>
      <c r="AS133" s="201" t="n"/>
      <c r="AT133" s="201" t="n"/>
      <c r="AU133" s="201" t="n"/>
      <c r="AV133" s="283">
        <f>SUM(AJ133:AU133)</f>
        <v/>
      </c>
      <c r="AW133" s="286">
        <f>AV133/12</f>
        <v/>
      </c>
      <c r="AX133" s="201" t="n">
        <v>0</v>
      </c>
      <c r="AY133" s="201" t="n">
        <v>0</v>
      </c>
      <c r="AZ133" s="201" t="n">
        <v>0</v>
      </c>
      <c r="BA133" s="201" t="n">
        <v>0</v>
      </c>
      <c r="BB133" s="201" t="n">
        <v>5</v>
      </c>
      <c r="BC133" s="203">
        <f>SUMIFS(領用表!$L:$L,領用表!$A:$A,BC$2,領用表!$E:$E,B133)</f>
        <v/>
      </c>
      <c r="BD133" s="287">
        <f>SUMIFS(領用表!$L:$L,領用表!$E:$E,$B133,領用表!$B:$B,BC$2&amp;BD$2)</f>
        <v/>
      </c>
      <c r="BE133" s="287">
        <f>SUMIFS(領用表!$L:$L,領用表!$E:$E,$B133,領用表!$B:$B,$BC$2&amp;BE$2)</f>
        <v/>
      </c>
      <c r="BF133" s="287">
        <f>SUMIFS(領用表!$L:$L,領用表!$E:$E,$B133,領用表!$B:$B,$BC$2&amp;BF$2)</f>
        <v/>
      </c>
      <c r="BG133" s="206">
        <f>SUMIFS(領用表!$L:$L,領用表!$E:$E,$B133,領用表!$B:$B,$BC$2&amp;BG$2)</f>
        <v/>
      </c>
      <c r="BH133" s="203">
        <f>SUMIFS(領用表!$L:$L,領用表!$A:$A,BH$2,領用表!$E:$E,B133)</f>
        <v/>
      </c>
      <c r="BI133" s="260">
        <f>SUMIFS(領用表!$L:$L,領用表!$E:$E,$B133,領用表!$B:$B,BH$2&amp;BI$2)</f>
        <v/>
      </c>
      <c r="BJ133" s="260">
        <f>SUMIFS(領用表!$L:$L,領用表!$E:$E,$B133,領用表!$B:$B,$BH$2&amp;BJ$2)</f>
        <v/>
      </c>
      <c r="BK133" s="260">
        <f>SUMIFS(領用表!$L:$L,領用表!$E:$E,$B133,領用表!$B:$B,$BH$2&amp;BK$2)</f>
        <v/>
      </c>
      <c r="BL133" s="260">
        <f>SUMIFS(領用表!$L:$L,領用表!$E:$E,$B133,領用表!$B:$B,$BH$2&amp;BL$2)</f>
        <v/>
      </c>
      <c r="BM133" s="203">
        <f>SUMIFS(領用表!$L:$L,領用表!$A:$A,BM$2,領用表!$E:$E,B133)</f>
        <v/>
      </c>
      <c r="BN133" s="206">
        <f>SUMIFS(領用表!$L:$L,領用表!$E:$E,$B133,領用表!$B:$B,BM$2&amp;BN$2)</f>
        <v/>
      </c>
      <c r="BO133" s="206">
        <f>SUMIFS(領用表!$L:$L,領用表!$E:$E,$B133,領用表!$B:$B,$BM$2&amp;BO$2)</f>
        <v/>
      </c>
      <c r="BP133" s="288">
        <f>SUMIFS(領用表!$L:$L,領用表!$E:$E,$B133,領用表!$B:$B,$BM$2&amp;BP$2)</f>
        <v/>
      </c>
      <c r="BQ133" s="287">
        <f>SUMIFS(領用表!$L:$L,領用表!$E:$E,$B133,領用表!$B:$B,$BM$2&amp;BQ$2)</f>
        <v/>
      </c>
      <c r="BR133" s="203">
        <f>SUMIFS(領用表!$L:$L,領用表!$A:$A,BR$2,領用表!$E:$E,B133)</f>
        <v/>
      </c>
      <c r="BS133" s="288">
        <f>SUMIFS(領用表!$L:$L,領用表!$E:$E,$B133,領用表!$B:$B,BR$2&amp;BS$2)</f>
        <v/>
      </c>
      <c r="BT133" s="288">
        <f>SUMIFS(領用表!$L:$L,領用表!$E:$E,$B133,領用表!$B:$B,$BR$2&amp;BT$2)</f>
        <v/>
      </c>
      <c r="BU133" s="288">
        <f>SUMIFS(領用表!$L:$L,領用表!$E:$E,$B133,領用表!$B:$B,$BR$2&amp;BU$2)</f>
        <v/>
      </c>
      <c r="BV133" s="287">
        <f>SUMIFS(領用表!$L:$L,領用表!$E:$E,$B133,領用表!$B:$B,$BR$2&amp;BV$2)</f>
        <v/>
      </c>
      <c r="BW133" s="208">
        <f>SUMIFS(領用表!$L:$L,領用表!$A:$A,BW$2,領用表!$E:$E,B133)</f>
        <v/>
      </c>
      <c r="BX133" s="206">
        <f>SUMIFS(領用表!$L:$L,領用表!$E:$E,$B133,領用表!$B:$B,BW$2&amp;BX$2)</f>
        <v/>
      </c>
      <c r="BY133" s="206">
        <f>SUMIFS(領用表!$L:$L,領用表!$E:$E,$B133,領用表!$B:$B,$BW$2&amp;BY$2)</f>
        <v/>
      </c>
      <c r="BZ133" s="206">
        <f>SUMIFS(領用表!$L:$L,領用表!$E:$E,$B133,領用表!$B:$B,$BW$2&amp;BZ$2)</f>
        <v/>
      </c>
      <c r="CA133" s="206">
        <f>SUMIFS(領用表!$L:$L,領用表!$E:$E,$B133,領用表!$B:$B,$BW$2&amp;CA$2)</f>
        <v/>
      </c>
      <c r="CB133" s="208">
        <f>SUMIFS(領用表!$L:$L,領用表!$A:$A,CB$2,領用表!$E:$E,B133)</f>
        <v/>
      </c>
      <c r="CC133" s="206">
        <f>SUMIFS(領用表!$L:$L,領用表!$E:$E,$B133,領用表!$B:$B,CB$2&amp;CC$2)</f>
        <v/>
      </c>
      <c r="CD133" s="206">
        <f>SUMIFS(領用表!$L:$L,領用表!$E:$E,$B133,領用表!$B:$B,$CB$2&amp;CD$2)</f>
        <v/>
      </c>
      <c r="CE133" s="206">
        <f>SUMIFS(領用表!$L:$L,領用表!$E:$E,$B133,領用表!$B:$B,$CB$2&amp;CE$2)</f>
        <v/>
      </c>
      <c r="CF133" s="206">
        <f>SUMIFS(領用表!$L:$L,領用表!$E:$E,$B133,領用表!$B:$B,$CB$2&amp;CF$2)</f>
        <v/>
      </c>
      <c r="CG133" s="208">
        <f>SUMIFS(領用表!$L:$L,領用表!$A:$A,CG$2,領用表!$E:$E,B133)</f>
        <v/>
      </c>
      <c r="CH133" s="206">
        <f>SUMIFS(領用表!$L:$L,領用表!$E:$E,$B133,領用表!$B:$B,CG$2&amp;CH$2)</f>
        <v/>
      </c>
      <c r="CI133" s="206">
        <f>SUMIFS(領用表!$L:$L,領用表!$E:$E,$B133,領用表!$B:$B,CG$2&amp;CI$2)</f>
        <v/>
      </c>
      <c r="CJ133" s="206">
        <f>SUMIFS(領用表!$L:$L,領用表!$E:$E,$B133,領用表!$B:$B,CG$2&amp;CJ$2)</f>
        <v/>
      </c>
      <c r="CK133" s="206">
        <f>SUMIFS(領用表!$L:$L,領用表!$E:$E,$B133,領用表!$B:$B,$CG$2&amp;CK$2)</f>
        <v/>
      </c>
      <c r="CL133" s="207">
        <f>SUM(AX133,AY133,AZ133,BA133,BB133,BC133,BH133,BM133,BR133,BW133,CB133,CG133)</f>
        <v/>
      </c>
      <c r="CM133" s="207">
        <f>AVERAGE(AX133,AY133,AZ133,BA133,BB133,BC133,BH133,BM133,BR133,BW133,CB133,CG133)</f>
        <v/>
      </c>
      <c r="CN133" s="208">
        <f>SUMIFS(領用表!$L:$L,領用表!$A:$A,CN$2,領用表!$E:$E,B133)</f>
        <v/>
      </c>
      <c r="CO133" s="206">
        <f>SUMIFS(領用表!$L:$L,領用表!$E:$E,$B133,領用表!$B:$B,CN$2&amp;CO$2)</f>
        <v/>
      </c>
      <c r="CP133" s="206">
        <f>SUMIFS(領用表!$L:$L,領用表!$E:$E,$B133,領用表!$B:$B,$CN$2&amp;CP$2)</f>
        <v/>
      </c>
      <c r="CQ133" s="206">
        <f>SUMIFS(領用表!$L:$L,領用表!$E:$E,$B133,領用表!$B:$B,$CN$2&amp;CQ$2)</f>
        <v/>
      </c>
      <c r="CR133" s="206">
        <f>SUMIFS(領用表!$L:$L,領用表!$E:$E,$B133,領用表!$B:$B,$CN$2&amp;CR$2)</f>
        <v/>
      </c>
      <c r="CS133" s="208">
        <f>SUMIFS(領用表!$L:$L,領用表!$A:$A,CS$2,領用表!$E:$E,B133)</f>
        <v/>
      </c>
      <c r="CT133" s="206">
        <f>SUMIFS(領用表!$L:$L,領用表!$E:$E,$B133,領用表!$B:$B,CS$2&amp;CT$2)</f>
        <v/>
      </c>
      <c r="CU133" s="206">
        <f>SUMIFS(領用表!$L:$L,領用表!$E:$E,$B133,領用表!$B:$B,$CS$2&amp;CU$2)</f>
        <v/>
      </c>
      <c r="CV133" s="206">
        <f>SUMIFS(領用表!$L:$L,領用表!$E:$E,$B133,領用表!$B:$B,$CS$2&amp;CV$2)</f>
        <v/>
      </c>
      <c r="CW133" s="206">
        <f>SUMIFS(領用表!$L:$L,領用表!$E:$E,$B133,領用表!$B:$B,$CS$2&amp;CW$2)</f>
        <v/>
      </c>
      <c r="CX133" s="206">
        <f>SUMIFS(領用表!$L:$L,領用表!$E:$E,$B133,領用表!$B:$B,$CS$2&amp;CX$2)</f>
        <v/>
      </c>
      <c r="CY133" s="208">
        <f>SUMIFS(領用表!$L:$L,領用表!$A:$A,CY$2,領用表!$E:$E,B133)</f>
        <v/>
      </c>
      <c r="CZ133" s="206">
        <f>SUMIFS(領用表!$L:$L,領用表!$E:$E,$B133,領用表!$B:$B,CY$2&amp;CZ$2)</f>
        <v/>
      </c>
      <c r="DA133" s="206">
        <f>SUMIFS(領用表!$L:$L,領用表!$E:$E,$B133,領用表!$B:$B,$CY$2&amp;DA$2)</f>
        <v/>
      </c>
      <c r="DB133" s="206">
        <f>SUMIFS(領用表!$L:$L,領用表!$E:$E,$B133,領用表!$B:$B,$CY$2&amp;DB$2)</f>
        <v/>
      </c>
      <c r="DC133" s="206">
        <f>SUMIFS(領用表!$L:$L,領用表!$E:$E,$B133,領用表!$B:$B,$CY$2&amp;DC$2)</f>
        <v/>
      </c>
      <c r="DD133" s="206">
        <f>SUMIFS(領用表!$L:$L,領用表!$E:$E,$B133,領用表!$B:$B,$CY$2&amp;DD$2)</f>
        <v/>
      </c>
      <c r="DE133" s="208">
        <f>SUMIFS(領用表!$L:$L,領用表!$A:$A,DE$2,領用表!$E:$E,B133)</f>
        <v/>
      </c>
      <c r="DF133" s="206">
        <f>SUMIFS(領用表!$L:$L,領用表!$E:$E,$B133,領用表!$B:$B,DE$2&amp;DF$2)</f>
        <v/>
      </c>
      <c r="DG133" s="206">
        <f>SUMIFS(領用表!$L:$L,領用表!$E:$E,$B133,領用表!$B:$B,$DE$2&amp;DG$2)</f>
        <v/>
      </c>
      <c r="DH133" s="206">
        <f>SUMIFS(領用表!$L:$L,領用表!$E:$E,$B133,領用表!$B:$B,$DE$2&amp;DH$2)</f>
        <v/>
      </c>
      <c r="DI133" s="206">
        <f>SUMIFS(領用表!$L:$L,領用表!$E:$E,$B133,領用表!$B:$B,$DE$2&amp;DI$2)</f>
        <v/>
      </c>
      <c r="DJ133" s="206">
        <f>SUMIFS(領用表!$L:$L,領用表!$E:$E,$B133,領用表!$B:$B,$DE$2&amp;DJ$2)</f>
        <v/>
      </c>
      <c r="DK133" s="208">
        <f>SUMIFS(領用表!$L:$L,領用表!$A:$A,DK$2,領用表!$E:$E,$B133)</f>
        <v/>
      </c>
      <c r="DL133" s="206">
        <f>SUMIFS(領用表!$L:$L,領用表!$E:$E,$B133,領用表!$B:$B,DK$2&amp;DL$2)</f>
        <v/>
      </c>
      <c r="DM133" s="206">
        <f>SUMIFS(領用表!$L:$L,領用表!$E:$E,$B133,領用表!$B:$B,$DK$2&amp;DM$2)</f>
        <v/>
      </c>
      <c r="DN133" s="206">
        <f>SUMIFS(領用表!$L:$L,領用表!$E:$E,$B133,領用表!$B:$B,$DK$2&amp;DN$2)</f>
        <v/>
      </c>
      <c r="DO133" s="206">
        <f>SUMIFS(領用表!$L:$L,領用表!$E:$E,$B133,領用表!$B:$B,$DK$2&amp;DO$2)</f>
        <v/>
      </c>
      <c r="DP133" s="206">
        <f>SUMIFS(領用表!$L:$L,領用表!$E:$E,$B133,領用表!$B:$B,$DK$2&amp;DP$2)</f>
        <v/>
      </c>
      <c r="DQ133" s="208" t="n"/>
      <c r="DR133" s="206" t="n"/>
      <c r="DS133" s="206" t="n"/>
      <c r="DT133" s="206" t="n"/>
      <c r="DU133" s="206" t="n"/>
      <c r="DV133" s="206" t="n"/>
      <c r="DW133" s="206">
        <f>SUM(CN133,CS133,CY133,DE133,DK133,DQ133)</f>
        <v/>
      </c>
      <c r="DX133" s="206">
        <f>AVERAGEA(CN133,CS133,CY133,DE133,DK133,DQ133)</f>
        <v/>
      </c>
      <c r="DY133" s="206">
        <f>SUM(DZ133:EC133)</f>
        <v/>
      </c>
      <c r="DZ133" s="206" t="n">
        <v>0</v>
      </c>
      <c r="EA133" s="206" t="n">
        <v>0</v>
      </c>
      <c r="EB133" s="206" t="n">
        <v>0</v>
      </c>
      <c r="EC133" s="206" t="n">
        <v>0</v>
      </c>
      <c r="ED133" s="258" t="n"/>
      <c r="EE133" s="283" t="n"/>
      <c r="EF133" s="283" t="n"/>
      <c r="EG133" s="283" t="n"/>
      <c r="EH133" s="136" t="n"/>
      <c r="EI133" s="136" t="n"/>
      <c r="EJ133" s="118">
        <f>IFERROR(VLOOKUP(A133,站前4樓!A:BF,57,0),0)</f>
        <v/>
      </c>
      <c r="EK133" s="213">
        <f>IFERROR(VLOOKUP(A133,站前11樓!A:BE,57,0),0)</f>
        <v/>
      </c>
      <c r="EL133" s="118">
        <f>IFERROR(VLOOKUP(A133,忠孝7樓!A:N,57,0),0)</f>
        <v/>
      </c>
      <c r="EM133" s="118">
        <f>IFERROR(VLOOKUP(A133,忠孝國際醫學3樓!A:L,57,0),0)</f>
        <v/>
      </c>
      <c r="EN133" s="118">
        <f>SUM(ED133:EG133)</f>
        <v/>
      </c>
    </row>
    <row r="134" ht="15.75" customFormat="1" customHeight="1" s="118" thickBot="1">
      <c r="A134" s="324" t="inlineStr">
        <is>
          <t>MB3ME090040A</t>
        </is>
      </c>
      <c r="B134" s="325" t="n">
        <v>6120042</v>
      </c>
      <c r="C134" s="136" t="inlineStr">
        <is>
          <t>(類固醇)修克托懸濁Shincort 1ml/支</t>
        </is>
      </c>
      <c r="D134" s="285" t="n"/>
      <c r="E134" s="198" t="n"/>
      <c r="F134" s="225">
        <f>SUMIF(站前4樓!B:B,B134,站前4樓!F:F)</f>
        <v/>
      </c>
      <c r="G134" s="225">
        <f>SUMIF(站前11樓!B:B,B134,站前11樓!F:F)</f>
        <v/>
      </c>
      <c r="H134" s="225">
        <f>SUMIF(忠孝7樓!B:B,B134,忠孝7樓!G:G)</f>
        <v/>
      </c>
      <c r="I134" s="225">
        <f>SUMIF(忠孝國際醫學3樓!B:B,B134,忠孝國際醫學3樓!G:G)</f>
        <v/>
      </c>
      <c r="J134" s="225">
        <f>SUMIF(忠孝健康7樓!B:B,B134,忠孝健康7樓!G:G)</f>
        <v/>
      </c>
      <c r="K134" s="283" t="n"/>
      <c r="L134" s="283" t="n"/>
      <c r="M134" s="283" t="n"/>
      <c r="N134" s="283" t="n"/>
      <c r="O134" s="283" t="n"/>
      <c r="P134" s="283" t="n"/>
      <c r="Q134" s="283" t="n"/>
      <c r="R134" s="283" t="n"/>
      <c r="S134" s="283" t="n"/>
      <c r="T134" s="283" t="n"/>
      <c r="U134" s="283" t="n"/>
      <c r="V134" s="283" t="n"/>
      <c r="W134" s="283" t="n"/>
      <c r="X134" s="283" t="n"/>
      <c r="Y134" s="283" t="n"/>
      <c r="Z134" s="283" t="n"/>
      <c r="AA134" s="283" t="n"/>
      <c r="AB134" s="283" t="n"/>
      <c r="AC134" s="283" t="n"/>
      <c r="AD134" s="283" t="n"/>
      <c r="AE134" s="283" t="n"/>
      <c r="AF134" s="283" t="n"/>
      <c r="AG134" s="283" t="n"/>
      <c r="AH134" s="283" t="n"/>
      <c r="AI134" s="283" t="n"/>
      <c r="AJ134" s="201" t="n"/>
      <c r="AK134" s="201" t="n"/>
      <c r="AL134" s="201" t="n"/>
      <c r="AM134" s="201" t="n"/>
      <c r="AN134" s="201" t="n"/>
      <c r="AO134" s="201" t="n"/>
      <c r="AP134" s="201" t="n"/>
      <c r="AQ134" s="201" t="n"/>
      <c r="AR134" s="201" t="n"/>
      <c r="AS134" s="201" t="n"/>
      <c r="AT134" s="201" t="n"/>
      <c r="AU134" s="201" t="n"/>
      <c r="AV134" s="283" t="n"/>
      <c r="AW134" s="286" t="n"/>
      <c r="AX134" s="201" t="n"/>
      <c r="AY134" s="201" t="n"/>
      <c r="AZ134" s="201" t="n"/>
      <c r="BA134" s="201" t="n"/>
      <c r="BB134" s="201" t="n"/>
      <c r="BC134" s="203" t="n"/>
      <c r="BD134" s="287" t="n"/>
      <c r="BE134" s="287" t="n"/>
      <c r="BF134" s="287" t="n"/>
      <c r="BG134" s="206" t="n"/>
      <c r="BH134" s="203">
        <f>SUMIFS(領用表!$L:$L,領用表!$A:$A,BH$2,領用表!$E:$E,B134)</f>
        <v/>
      </c>
      <c r="BI134" s="260">
        <f>SUMIFS(領用表!$L:$L,領用表!$E:$E,$B134,領用表!$B:$B,BH$2&amp;BI$2)</f>
        <v/>
      </c>
      <c r="BJ134" s="260">
        <f>SUMIFS(領用表!$L:$L,領用表!$E:$E,$B134,領用表!$B:$B,$BH$2&amp;BJ$2)</f>
        <v/>
      </c>
      <c r="BK134" s="260">
        <f>SUMIFS(領用表!$L:$L,領用表!$E:$E,$B134,領用表!$B:$B,$BH$2&amp;BK$2)</f>
        <v/>
      </c>
      <c r="BL134" s="260">
        <f>SUMIFS(領用表!$L:$L,領用表!$E:$E,$B134,領用表!$B:$B,$BH$2&amp;BL$2)</f>
        <v/>
      </c>
      <c r="BM134" s="203">
        <f>SUMIFS(領用表!$L:$L,領用表!$A:$A,BM$2,領用表!$E:$E,B134)</f>
        <v/>
      </c>
      <c r="BN134" s="206" t="n"/>
      <c r="BO134" s="206" t="n"/>
      <c r="BP134" s="288" t="n"/>
      <c r="BQ134" s="287" t="n"/>
      <c r="BR134" s="203">
        <f>SUMIFS(領用表!$L:$L,領用表!$A:$A,BR$2,領用表!$E:$E,B134)</f>
        <v/>
      </c>
      <c r="BS134" s="288">
        <f>SUMIFS(領用表!$L:$L,領用表!$E:$E,$B134,領用表!$B:$B,BR$2&amp;BS$2)</f>
        <v/>
      </c>
      <c r="BT134" s="288">
        <f>SUMIFS(領用表!$L:$L,領用表!$E:$E,$B134,領用表!$B:$B,$BR$2&amp;BT$2)</f>
        <v/>
      </c>
      <c r="BU134" s="288">
        <f>SUMIFS(領用表!$L:$L,領用表!$E:$E,$B134,領用表!$B:$B,$BR$2&amp;BU$2)</f>
        <v/>
      </c>
      <c r="BV134" s="287">
        <f>SUMIFS(領用表!$L:$L,領用表!$E:$E,$B134,領用表!$B:$B,$BR$2&amp;BV$2)</f>
        <v/>
      </c>
      <c r="BW134" s="208">
        <f>SUMIFS(領用表!$L:$L,領用表!$A:$A,BW$2,領用表!$E:$E,B134)</f>
        <v/>
      </c>
      <c r="BX134" s="206">
        <f>SUMIFS(領用表!$L:$L,領用表!$E:$E,$B134,領用表!$B:$B,BW$2&amp;BX$2)</f>
        <v/>
      </c>
      <c r="BY134" s="206">
        <f>SUMIFS(領用表!$L:$L,領用表!$E:$E,$B134,領用表!$B:$B,$BW$2&amp;BY$2)</f>
        <v/>
      </c>
      <c r="BZ134" s="206">
        <f>SUMIFS(領用表!$L:$L,領用表!$E:$E,$B134,領用表!$B:$B,$BW$2&amp;BZ$2)</f>
        <v/>
      </c>
      <c r="CA134" s="206">
        <f>SUMIFS(領用表!$L:$L,領用表!$E:$E,$B134,領用表!$B:$B,$BW$2&amp;CA$2)</f>
        <v/>
      </c>
      <c r="CB134" s="208">
        <f>SUMIFS(領用表!$L:$L,領用表!$A:$A,CB$2,領用表!$E:$E,B134)</f>
        <v/>
      </c>
      <c r="CC134" s="206">
        <f>SUMIFS(領用表!$L:$L,領用表!$E:$E,$B134,領用表!$B:$B,CB$2&amp;CC$2)</f>
        <v/>
      </c>
      <c r="CD134" s="206">
        <f>SUMIFS(領用表!$L:$L,領用表!$E:$E,$B134,領用表!$B:$B,$CB$2&amp;CD$2)</f>
        <v/>
      </c>
      <c r="CE134" s="206">
        <f>SUMIFS(領用表!$L:$L,領用表!$E:$E,$B134,領用表!$B:$B,$CB$2&amp;CE$2)</f>
        <v/>
      </c>
      <c r="CF134" s="206">
        <f>SUMIFS(領用表!$L:$L,領用表!$E:$E,$B134,領用表!$B:$B,$CB$2&amp;CF$2)</f>
        <v/>
      </c>
      <c r="CG134" s="208">
        <f>SUMIFS(領用表!$L:$L,領用表!$A:$A,CG$2,領用表!$E:$E,B134)</f>
        <v/>
      </c>
      <c r="CH134" s="206" t="n"/>
      <c r="CI134" s="206" t="n"/>
      <c r="CJ134" s="206" t="n"/>
      <c r="CK134" s="206" t="n"/>
      <c r="CL134" s="207">
        <f>SUM(AX134,AY134,AZ134,BA134,BB134,BC134,BH134,BM134,BR134,BW134,CB134,CG134)</f>
        <v/>
      </c>
      <c r="CM134" s="207">
        <f>AVERAGE(AX134,AY134,AZ134,BA134,BB134,BC134,BH134,BM134,BR134,BW134,CB134,CG134)</f>
        <v/>
      </c>
      <c r="CN134" s="208">
        <f>SUMIFS(領用表!$L:$L,領用表!$A:$A,CN$2,領用表!$E:$E,B134)</f>
        <v/>
      </c>
      <c r="CO134" s="206">
        <f>SUMIFS(領用表!$L:$L,領用表!$E:$E,$B134,領用表!$B:$B,CN$2&amp;CO$2)</f>
        <v/>
      </c>
      <c r="CP134" s="206">
        <f>SUMIFS(領用表!$L:$L,領用表!$E:$E,$B134,領用表!$B:$B,$CN$2&amp;CP$2)</f>
        <v/>
      </c>
      <c r="CQ134" s="206">
        <f>SUMIFS(領用表!$L:$L,領用表!$E:$E,$B134,領用表!$B:$B,$CN$2&amp;CQ$2)</f>
        <v/>
      </c>
      <c r="CR134" s="206">
        <f>SUMIFS(領用表!$L:$L,領用表!$E:$E,$B134,領用表!$B:$B,$CN$2&amp;CR$2)</f>
        <v/>
      </c>
      <c r="CS134" s="208">
        <f>SUMIFS(領用表!$L:$L,領用表!$A:$A,CS$2,領用表!$E:$E,B134)</f>
        <v/>
      </c>
      <c r="CT134" s="206">
        <f>SUMIFS(領用表!$L:$L,領用表!$E:$E,$B134,領用表!$B:$B,CS$2&amp;CT$2)</f>
        <v/>
      </c>
      <c r="CU134" s="206">
        <f>SUMIFS(領用表!$L:$L,領用表!$E:$E,$B134,領用表!$B:$B,$CS$2&amp;CU$2)</f>
        <v/>
      </c>
      <c r="CV134" s="206">
        <f>SUMIFS(領用表!$L:$L,領用表!$E:$E,$B134,領用表!$B:$B,$CS$2&amp;CV$2)</f>
        <v/>
      </c>
      <c r="CW134" s="206">
        <f>SUMIFS(領用表!$L:$L,領用表!$E:$E,$B134,領用表!$B:$B,$CS$2&amp;CW$2)</f>
        <v/>
      </c>
      <c r="CX134" s="206">
        <f>SUMIFS(領用表!$L:$L,領用表!$E:$E,$B134,領用表!$B:$B,$CS$2&amp;CX$2)</f>
        <v/>
      </c>
      <c r="CY134" s="208">
        <f>SUMIFS(領用表!$L:$L,領用表!$A:$A,CY$2,領用表!$E:$E,B134)</f>
        <v/>
      </c>
      <c r="CZ134" s="206">
        <f>SUMIFS(領用表!$L:$L,領用表!$E:$E,$B134,領用表!$B:$B,CY$2&amp;CZ$2)</f>
        <v/>
      </c>
      <c r="DA134" s="206">
        <f>SUMIFS(領用表!$L:$L,領用表!$E:$E,$B134,領用表!$B:$B,$CY$2&amp;DA$2)</f>
        <v/>
      </c>
      <c r="DB134" s="206">
        <f>SUMIFS(領用表!$L:$L,領用表!$E:$E,$B134,領用表!$B:$B,$CY$2&amp;DB$2)</f>
        <v/>
      </c>
      <c r="DC134" s="206">
        <f>SUMIFS(領用表!$L:$L,領用表!$E:$E,$B134,領用表!$B:$B,$CY$2&amp;DC$2)</f>
        <v/>
      </c>
      <c r="DD134" s="206">
        <f>SUMIFS(領用表!$L:$L,領用表!$E:$E,$B134,領用表!$B:$B,$CY$2&amp;DD$2)</f>
        <v/>
      </c>
      <c r="DE134" s="208">
        <f>SUMIFS(領用表!$L:$L,領用表!$A:$A,DE$2,領用表!$E:$E,B134)</f>
        <v/>
      </c>
      <c r="DF134" s="206">
        <f>SUMIFS(領用表!$L:$L,領用表!$E:$E,$B134,領用表!$B:$B,DE$2&amp;DF$2)</f>
        <v/>
      </c>
      <c r="DG134" s="206">
        <f>SUMIFS(領用表!$L:$L,領用表!$E:$E,$B134,領用表!$B:$B,$DE$2&amp;DG$2)</f>
        <v/>
      </c>
      <c r="DH134" s="206">
        <f>SUMIFS(領用表!$L:$L,領用表!$E:$E,$B134,領用表!$B:$B,$DE$2&amp;DH$2)</f>
        <v/>
      </c>
      <c r="DI134" s="206">
        <f>SUMIFS(領用表!$L:$L,領用表!$E:$E,$B134,領用表!$B:$B,$DE$2&amp;DI$2)</f>
        <v/>
      </c>
      <c r="DJ134" s="206">
        <f>SUMIFS(領用表!$L:$L,領用表!$E:$E,$B134,領用表!$B:$B,$DE$2&amp;DJ$2)</f>
        <v/>
      </c>
      <c r="DK134" s="208">
        <f>SUMIFS(領用表!$L:$L,領用表!$A:$A,DK$2,領用表!$E:$E,$B134)</f>
        <v/>
      </c>
      <c r="DL134" s="206">
        <f>SUMIFS(領用表!$L:$L,領用表!$E:$E,$B134,領用表!$B:$B,DK$2&amp;DL$2)</f>
        <v/>
      </c>
      <c r="DM134" s="206">
        <f>SUMIFS(領用表!$L:$L,領用表!$E:$E,$B134,領用表!$B:$B,$DK$2&amp;DM$2)</f>
        <v/>
      </c>
      <c r="DN134" s="206">
        <f>SUMIFS(領用表!$L:$L,領用表!$E:$E,$B134,領用表!$B:$B,$DK$2&amp;DN$2)</f>
        <v/>
      </c>
      <c r="DO134" s="206">
        <f>SUMIFS(領用表!$L:$L,領用表!$E:$E,$B134,領用表!$B:$B,$DK$2&amp;DO$2)</f>
        <v/>
      </c>
      <c r="DP134" s="206">
        <f>SUMIFS(領用表!$L:$L,領用表!$E:$E,$B134,領用表!$B:$B,$DK$2&amp;DP$2)</f>
        <v/>
      </c>
      <c r="DQ134" s="208" t="n"/>
      <c r="DR134" s="206" t="n"/>
      <c r="DS134" s="206" t="n"/>
      <c r="DT134" s="206" t="n"/>
      <c r="DU134" s="206" t="n"/>
      <c r="DV134" s="206" t="n"/>
      <c r="DW134" s="206">
        <f>SUM(CN134,CS134,CY134,DE134,DK134,DQ134)</f>
        <v/>
      </c>
      <c r="DX134" s="206">
        <f>AVERAGEA(CN134,CS134,CY134,DE134,DK134,DQ134)</f>
        <v/>
      </c>
      <c r="DY134" s="206">
        <f>SUM(DZ134:EC134)</f>
        <v/>
      </c>
      <c r="DZ134" s="206" t="n">
        <v>0</v>
      </c>
      <c r="EA134" s="206" t="n">
        <v>0</v>
      </c>
      <c r="EB134" s="206" t="n">
        <v>0</v>
      </c>
      <c r="EC134" s="206" t="n">
        <v>0</v>
      </c>
      <c r="ED134" s="258" t="n"/>
      <c r="EE134" s="283" t="n"/>
      <c r="EF134" s="283" t="n"/>
      <c r="EG134" s="283" t="n"/>
      <c r="EH134" s="136" t="n"/>
      <c r="EI134" s="136" t="n"/>
      <c r="EK134" s="213" t="n"/>
    </row>
    <row r="135" ht="15.75" customFormat="1" customHeight="1" s="118" thickBot="1">
      <c r="A135" s="320" t="inlineStr">
        <is>
          <t>MB3ME090041A</t>
        </is>
      </c>
      <c r="B135" s="325" t="n">
        <v>6120043</v>
      </c>
      <c r="C135" s="136" t="inlineStr">
        <is>
          <t>(抗組織胺)力克樂 1ml/支</t>
        </is>
      </c>
      <c r="D135" s="285" t="n"/>
      <c r="E135" s="198" t="n"/>
      <c r="F135" s="225">
        <f>SUMIF(站前4樓!B:B,B135,站前4樓!F:F)</f>
        <v/>
      </c>
      <c r="G135" s="225">
        <f>SUMIF(站前11樓!B:B,B135,站前11樓!F:F)</f>
        <v/>
      </c>
      <c r="H135" s="225">
        <f>SUMIF(忠孝7樓!B:B,B135,忠孝7樓!G:G)</f>
        <v/>
      </c>
      <c r="I135" s="225">
        <f>SUMIF(忠孝國際醫學3樓!B:B,B135,忠孝國際醫學3樓!G:G)</f>
        <v/>
      </c>
      <c r="J135" s="225">
        <f>SUMIF(忠孝健康7樓!B:B,B135,忠孝健康7樓!G:G)</f>
        <v/>
      </c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  <c r="Y135" s="283" t="n"/>
      <c r="Z135" s="283" t="n"/>
      <c r="AA135" s="283" t="n"/>
      <c r="AB135" s="283" t="n"/>
      <c r="AC135" s="283" t="n"/>
      <c r="AD135" s="283" t="n"/>
      <c r="AE135" s="283" t="n"/>
      <c r="AF135" s="283" t="n"/>
      <c r="AG135" s="283" t="n"/>
      <c r="AH135" s="283" t="n"/>
      <c r="AI135" s="283" t="n"/>
      <c r="AJ135" s="201" t="n"/>
      <c r="AK135" s="201" t="n"/>
      <c r="AL135" s="201" t="n"/>
      <c r="AM135" s="201" t="n"/>
      <c r="AN135" s="201" t="n"/>
      <c r="AO135" s="201" t="n"/>
      <c r="AP135" s="201" t="n"/>
      <c r="AQ135" s="201" t="n"/>
      <c r="AR135" s="201" t="n"/>
      <c r="AS135" s="201" t="n"/>
      <c r="AT135" s="201" t="n"/>
      <c r="AU135" s="201" t="n"/>
      <c r="AV135" s="283" t="n"/>
      <c r="AW135" s="286" t="n"/>
      <c r="AX135" s="201" t="n"/>
      <c r="AY135" s="201" t="n"/>
      <c r="AZ135" s="201" t="n"/>
      <c r="BA135" s="201" t="n"/>
      <c r="BB135" s="201" t="n"/>
      <c r="BC135" s="203" t="n"/>
      <c r="BD135" s="287" t="n"/>
      <c r="BE135" s="287" t="n"/>
      <c r="BF135" s="287" t="n"/>
      <c r="BG135" s="206" t="n"/>
      <c r="BH135" s="203">
        <f>SUMIFS(領用表!$L:$L,領用表!$A:$A,BH$2,領用表!$E:$E,B135)</f>
        <v/>
      </c>
      <c r="BI135" s="260">
        <f>SUMIFS(領用表!$L:$L,領用表!$E:$E,$B135,領用表!$B:$B,BH$2&amp;BI$2)</f>
        <v/>
      </c>
      <c r="BJ135" s="260">
        <f>SUMIFS(領用表!$L:$L,領用表!$E:$E,$B135,領用表!$B:$B,$BH$2&amp;BJ$2)</f>
        <v/>
      </c>
      <c r="BK135" s="260">
        <f>SUMIFS(領用表!$L:$L,領用表!$E:$E,$B135,領用表!$B:$B,$BH$2&amp;BK$2)</f>
        <v/>
      </c>
      <c r="BL135" s="260">
        <f>SUMIFS(領用表!$L:$L,領用表!$E:$E,$B135,領用表!$B:$B,$BH$2&amp;BL$2)</f>
        <v/>
      </c>
      <c r="BM135" s="203">
        <f>SUMIFS(領用表!$L:$L,領用表!$A:$A,BM$2,領用表!$E:$E,B135)</f>
        <v/>
      </c>
      <c r="BN135" s="206" t="n"/>
      <c r="BO135" s="206" t="n"/>
      <c r="BP135" s="288" t="n"/>
      <c r="BQ135" s="287" t="n"/>
      <c r="BR135" s="203">
        <f>SUMIFS(領用表!$L:$L,領用表!$A:$A,BR$2,領用表!$E:$E,B135)</f>
        <v/>
      </c>
      <c r="BS135" s="288">
        <f>SUMIFS(領用表!$L:$L,領用表!$E:$E,$B135,領用表!$B:$B,BR$2&amp;BS$2)</f>
        <v/>
      </c>
      <c r="BT135" s="288">
        <f>SUMIFS(領用表!$L:$L,領用表!$E:$E,$B135,領用表!$B:$B,$BR$2&amp;BT$2)</f>
        <v/>
      </c>
      <c r="BU135" s="288">
        <f>SUMIFS(領用表!$L:$L,領用表!$E:$E,$B135,領用表!$B:$B,$BR$2&amp;BU$2)</f>
        <v/>
      </c>
      <c r="BV135" s="287">
        <f>SUMIFS(領用表!$L:$L,領用表!$E:$E,$B135,領用表!$B:$B,$BR$2&amp;BV$2)</f>
        <v/>
      </c>
      <c r="BW135" s="208">
        <f>SUMIFS(領用表!$L:$L,領用表!$A:$A,BW$2,領用表!$E:$E,B135)</f>
        <v/>
      </c>
      <c r="BX135" s="206">
        <f>SUMIFS(領用表!$L:$L,領用表!$E:$E,$B135,領用表!$B:$B,BW$2&amp;BX$2)</f>
        <v/>
      </c>
      <c r="BY135" s="206">
        <f>SUMIFS(領用表!$L:$L,領用表!$E:$E,$B135,領用表!$B:$B,$BW$2&amp;BY$2)</f>
        <v/>
      </c>
      <c r="BZ135" s="206">
        <f>SUMIFS(領用表!$L:$L,領用表!$E:$E,$B135,領用表!$B:$B,$BW$2&amp;BZ$2)</f>
        <v/>
      </c>
      <c r="CA135" s="206">
        <f>SUMIFS(領用表!$L:$L,領用表!$E:$E,$B135,領用表!$B:$B,$BW$2&amp;CA$2)</f>
        <v/>
      </c>
      <c r="CB135" s="208">
        <f>SUMIFS(領用表!$L:$L,領用表!$A:$A,CB$2,領用表!$E:$E,B135)</f>
        <v/>
      </c>
      <c r="CC135" s="206">
        <f>SUMIFS(領用表!$L:$L,領用表!$E:$E,$B135,領用表!$B:$B,CB$2&amp;CC$2)</f>
        <v/>
      </c>
      <c r="CD135" s="206">
        <f>SUMIFS(領用表!$L:$L,領用表!$E:$E,$B135,領用表!$B:$B,$CB$2&amp;CD$2)</f>
        <v/>
      </c>
      <c r="CE135" s="206">
        <f>SUMIFS(領用表!$L:$L,領用表!$E:$E,$B135,領用表!$B:$B,$CB$2&amp;CE$2)</f>
        <v/>
      </c>
      <c r="CF135" s="206">
        <f>SUMIFS(領用表!$L:$L,領用表!$E:$E,$B135,領用表!$B:$B,$CB$2&amp;CF$2)</f>
        <v/>
      </c>
      <c r="CG135" s="208">
        <f>SUMIFS(領用表!$L:$L,領用表!$A:$A,CG$2,領用表!$E:$E,B135)</f>
        <v/>
      </c>
      <c r="CH135" s="206" t="n"/>
      <c r="CI135" s="206" t="n"/>
      <c r="CJ135" s="206" t="n"/>
      <c r="CK135" s="206" t="n"/>
      <c r="CL135" s="207">
        <f>SUM(AX135,AY135,AZ135,BA135,BB135,BC135,BH135,BM135,BR135,BW135,CB135,CG135)</f>
        <v/>
      </c>
      <c r="CM135" s="207">
        <f>AVERAGE(AX135,AY135,AZ135,BA135,BB135,BC135,BH135,BM135,BR135,BW135,CB135,CG135)</f>
        <v/>
      </c>
      <c r="CN135" s="208">
        <f>SUMIFS(領用表!$L:$L,領用表!$A:$A,CN$2,領用表!$E:$E,B135)</f>
        <v/>
      </c>
      <c r="CO135" s="206">
        <f>SUMIFS(領用表!$L:$L,領用表!$E:$E,$B135,領用表!$B:$B,CN$2&amp;CO$2)</f>
        <v/>
      </c>
      <c r="CP135" s="206">
        <f>SUMIFS(領用表!$L:$L,領用表!$E:$E,$B135,領用表!$B:$B,$CN$2&amp;CP$2)</f>
        <v/>
      </c>
      <c r="CQ135" s="206">
        <f>SUMIFS(領用表!$L:$L,領用表!$E:$E,$B135,領用表!$B:$B,$CN$2&amp;CQ$2)</f>
        <v/>
      </c>
      <c r="CR135" s="206">
        <f>SUMIFS(領用表!$L:$L,領用表!$E:$E,$B135,領用表!$B:$B,$CN$2&amp;CR$2)</f>
        <v/>
      </c>
      <c r="CS135" s="208">
        <f>SUMIFS(領用表!$L:$L,領用表!$A:$A,CS$2,領用表!$E:$E,B135)</f>
        <v/>
      </c>
      <c r="CT135" s="206">
        <f>SUMIFS(領用表!$L:$L,領用表!$E:$E,$B135,領用表!$B:$B,CS$2&amp;CT$2)</f>
        <v/>
      </c>
      <c r="CU135" s="206">
        <f>SUMIFS(領用表!$L:$L,領用表!$E:$E,$B135,領用表!$B:$B,$CS$2&amp;CU$2)</f>
        <v/>
      </c>
      <c r="CV135" s="206">
        <f>SUMIFS(領用表!$L:$L,領用表!$E:$E,$B135,領用表!$B:$B,$CS$2&amp;CV$2)</f>
        <v/>
      </c>
      <c r="CW135" s="206">
        <f>SUMIFS(領用表!$L:$L,領用表!$E:$E,$B135,領用表!$B:$B,$CS$2&amp;CW$2)</f>
        <v/>
      </c>
      <c r="CX135" s="206">
        <f>SUMIFS(領用表!$L:$L,領用表!$E:$E,$B135,領用表!$B:$B,$CS$2&amp;CX$2)</f>
        <v/>
      </c>
      <c r="CY135" s="208">
        <f>SUMIFS(領用表!$L:$L,領用表!$A:$A,CY$2,領用表!$E:$E,B135)</f>
        <v/>
      </c>
      <c r="CZ135" s="206">
        <f>SUMIFS(領用表!$L:$L,領用表!$E:$E,$B135,領用表!$B:$B,CY$2&amp;CZ$2)</f>
        <v/>
      </c>
      <c r="DA135" s="206">
        <f>SUMIFS(領用表!$L:$L,領用表!$E:$E,$B135,領用表!$B:$B,$CY$2&amp;DA$2)</f>
        <v/>
      </c>
      <c r="DB135" s="206">
        <f>SUMIFS(領用表!$L:$L,領用表!$E:$E,$B135,領用表!$B:$B,$CY$2&amp;DB$2)</f>
        <v/>
      </c>
      <c r="DC135" s="206">
        <f>SUMIFS(領用表!$L:$L,領用表!$E:$E,$B135,領用表!$B:$B,$CY$2&amp;DC$2)</f>
        <v/>
      </c>
      <c r="DD135" s="206">
        <f>SUMIFS(領用表!$L:$L,領用表!$E:$E,$B135,領用表!$B:$B,$CY$2&amp;DD$2)</f>
        <v/>
      </c>
      <c r="DE135" s="208">
        <f>SUMIFS(領用表!$L:$L,領用表!$A:$A,DE$2,領用表!$E:$E,B135)</f>
        <v/>
      </c>
      <c r="DF135" s="206">
        <f>SUMIFS(領用表!$L:$L,領用表!$E:$E,$B135,領用表!$B:$B,DE$2&amp;DF$2)</f>
        <v/>
      </c>
      <c r="DG135" s="206">
        <f>SUMIFS(領用表!$L:$L,領用表!$E:$E,$B135,領用表!$B:$B,$DE$2&amp;DG$2)</f>
        <v/>
      </c>
      <c r="DH135" s="206">
        <f>SUMIFS(領用表!$L:$L,領用表!$E:$E,$B135,領用表!$B:$B,$DE$2&amp;DH$2)</f>
        <v/>
      </c>
      <c r="DI135" s="206">
        <f>SUMIFS(領用表!$L:$L,領用表!$E:$E,$B135,領用表!$B:$B,$DE$2&amp;DI$2)</f>
        <v/>
      </c>
      <c r="DJ135" s="206">
        <f>SUMIFS(領用表!$L:$L,領用表!$E:$E,$B135,領用表!$B:$B,$DE$2&amp;DJ$2)</f>
        <v/>
      </c>
      <c r="DK135" s="208">
        <f>SUMIFS(領用表!$L:$L,領用表!$A:$A,DK$2,領用表!$E:$E,$B135)</f>
        <v/>
      </c>
      <c r="DL135" s="206">
        <f>SUMIFS(領用表!$L:$L,領用表!$E:$E,$B135,領用表!$B:$B,DK$2&amp;DL$2)</f>
        <v/>
      </c>
      <c r="DM135" s="206">
        <f>SUMIFS(領用表!$L:$L,領用表!$E:$E,$B135,領用表!$B:$B,$DK$2&amp;DM$2)</f>
        <v/>
      </c>
      <c r="DN135" s="206">
        <f>SUMIFS(領用表!$L:$L,領用表!$E:$E,$B135,領用表!$B:$B,$DK$2&amp;DN$2)</f>
        <v/>
      </c>
      <c r="DO135" s="206">
        <f>SUMIFS(領用表!$L:$L,領用表!$E:$E,$B135,領用表!$B:$B,$DK$2&amp;DO$2)</f>
        <v/>
      </c>
      <c r="DP135" s="206">
        <f>SUMIFS(領用表!$L:$L,領用表!$E:$E,$B135,領用表!$B:$B,$DK$2&amp;DP$2)</f>
        <v/>
      </c>
      <c r="DQ135" s="208" t="n"/>
      <c r="DR135" s="206" t="n"/>
      <c r="DS135" s="206" t="n"/>
      <c r="DT135" s="206" t="n"/>
      <c r="DU135" s="206" t="n"/>
      <c r="DV135" s="206" t="n"/>
      <c r="DW135" s="206">
        <f>SUM(CN135,CS135,CY135,DE135,DK135,DQ135)</f>
        <v/>
      </c>
      <c r="DX135" s="206">
        <f>AVERAGEA(CN135,CS135,CY135,DE135,DK135,DQ135)</f>
        <v/>
      </c>
      <c r="DY135" s="206">
        <f>SUM(DZ135:EC135)</f>
        <v/>
      </c>
      <c r="DZ135" s="206" t="n">
        <v>0</v>
      </c>
      <c r="EA135" s="206" t="n">
        <v>0</v>
      </c>
      <c r="EB135" s="206" t="n">
        <v>0</v>
      </c>
      <c r="EC135" s="206" t="n">
        <v>0</v>
      </c>
      <c r="ED135" s="258" t="n"/>
      <c r="EE135" s="283" t="n"/>
      <c r="EF135" s="283" t="n"/>
      <c r="EG135" s="283" t="n"/>
      <c r="EH135" s="136" t="n"/>
      <c r="EI135" s="136" t="n"/>
      <c r="EK135" s="213" t="n"/>
    </row>
    <row r="136" ht="15.75" customFormat="1" customHeight="1" s="128" thickBot="1">
      <c r="A136" s="308" t="inlineStr">
        <is>
          <t>MB3ME090042A</t>
        </is>
      </c>
      <c r="B136" s="230" t="n">
        <v>6120044</v>
      </c>
      <c r="C136" s="328" t="inlineStr">
        <is>
          <t>舒疼消熱1ml/支</t>
        </is>
      </c>
      <c r="D136" s="310" t="n"/>
      <c r="E136" s="311" t="n"/>
      <c r="F136" s="312">
        <f>SUMIF(站前4樓!B:B,B136,站前4樓!F:F)</f>
        <v/>
      </c>
      <c r="G136" s="312">
        <f>SUMIF(站前11樓!B:B,B136,站前11樓!F:F)</f>
        <v/>
      </c>
      <c r="H136" s="312">
        <f>SUMIF(忠孝7樓!B:B,B136,忠孝7樓!G:G)</f>
        <v/>
      </c>
      <c r="I136" s="312">
        <f>SUMIF(忠孝國際醫學3樓!B:B,B136,忠孝國際醫學3樓!G:G)</f>
        <v/>
      </c>
      <c r="J136" s="312">
        <f>SUMIF(忠孝健康7樓!B:B,B136,忠孝健康7樓!G:G)</f>
        <v/>
      </c>
      <c r="K136" s="313" t="n"/>
      <c r="L136" s="313" t="n"/>
      <c r="M136" s="313" t="n"/>
      <c r="N136" s="313" t="n"/>
      <c r="O136" s="313" t="n"/>
      <c r="P136" s="313" t="n"/>
      <c r="Q136" s="313" t="n"/>
      <c r="R136" s="313" t="n"/>
      <c r="S136" s="313" t="n"/>
      <c r="T136" s="313" t="n"/>
      <c r="U136" s="313" t="n"/>
      <c r="V136" s="313" t="n"/>
      <c r="W136" s="313" t="n"/>
      <c r="X136" s="313" t="n"/>
      <c r="Y136" s="313" t="n"/>
      <c r="Z136" s="313" t="n"/>
      <c r="AA136" s="313" t="n"/>
      <c r="AB136" s="313" t="n"/>
      <c r="AC136" s="313" t="n"/>
      <c r="AD136" s="313" t="n"/>
      <c r="AE136" s="313" t="n"/>
      <c r="AF136" s="313" t="n"/>
      <c r="AG136" s="313" t="n"/>
      <c r="AH136" s="313" t="n"/>
      <c r="AI136" s="313" t="n"/>
      <c r="AJ136" s="237" t="n"/>
      <c r="AK136" s="237" t="n"/>
      <c r="AL136" s="237" t="n"/>
      <c r="AM136" s="237" t="n"/>
      <c r="AN136" s="237" t="n"/>
      <c r="AO136" s="237" t="n"/>
      <c r="AP136" s="237" t="n"/>
      <c r="AQ136" s="237" t="n"/>
      <c r="AR136" s="237" t="n"/>
      <c r="AS136" s="237" t="n"/>
      <c r="AT136" s="237" t="n"/>
      <c r="AU136" s="237" t="n"/>
      <c r="AV136" s="313" t="n"/>
      <c r="AW136" s="314" t="n"/>
      <c r="AX136" s="237" t="n"/>
      <c r="AY136" s="237" t="n"/>
      <c r="AZ136" s="237" t="n"/>
      <c r="BA136" s="237" t="n"/>
      <c r="BB136" s="237" t="n"/>
      <c r="BC136" s="239" t="n"/>
      <c r="BD136" s="315" t="n"/>
      <c r="BE136" s="315" t="n"/>
      <c r="BF136" s="315" t="n"/>
      <c r="BG136" s="242" t="n"/>
      <c r="BH136" s="239">
        <f>SUMIFS(領用表!$L:$L,領用表!$A:$A,BH$2,領用表!$E:$E,B136)</f>
        <v/>
      </c>
      <c r="BI136" s="316">
        <f>SUMIFS(領用表!$L:$L,領用表!$E:$E,$B136,領用表!$B:$B,BH$2&amp;BI$2)</f>
        <v/>
      </c>
      <c r="BJ136" s="316">
        <f>SUMIFS(領用表!$L:$L,領用表!$E:$E,$B136,領用表!$B:$B,$BH$2&amp;BJ$2)</f>
        <v/>
      </c>
      <c r="BK136" s="316">
        <f>SUMIFS(領用表!$L:$L,領用表!$E:$E,$B136,領用表!$B:$B,$BH$2&amp;BK$2)</f>
        <v/>
      </c>
      <c r="BL136" s="316">
        <f>SUMIFS(領用表!$L:$L,領用表!$E:$E,$B136,領用表!$B:$B,$BH$2&amp;BL$2)</f>
        <v/>
      </c>
      <c r="BM136" s="239">
        <f>SUMIFS(領用表!$L:$L,領用表!$A:$A,BM$2,領用表!$E:$E,B136)</f>
        <v/>
      </c>
      <c r="BN136" s="242" t="n"/>
      <c r="BO136" s="242" t="n"/>
      <c r="BP136" s="317" t="n"/>
      <c r="BQ136" s="315" t="n"/>
      <c r="BR136" s="239">
        <f>SUMIFS(領用表!$L:$L,領用表!$A:$A,BR$2,領用表!$E:$E,B136)</f>
        <v/>
      </c>
      <c r="BS136" s="317">
        <f>SUMIFS(領用表!$L:$L,領用表!$E:$E,$B136,領用表!$B:$B,BR$2&amp;BS$2)</f>
        <v/>
      </c>
      <c r="BT136" s="317">
        <f>SUMIFS(領用表!$L:$L,領用表!$E:$E,$B136,領用表!$B:$B,$BR$2&amp;BT$2)</f>
        <v/>
      </c>
      <c r="BU136" s="317">
        <f>SUMIFS(領用表!$L:$L,領用表!$E:$E,$B136,領用表!$B:$B,$BR$2&amp;BU$2)</f>
        <v/>
      </c>
      <c r="BV136" s="315">
        <f>SUMIFS(領用表!$L:$L,領用表!$E:$E,$B136,領用表!$B:$B,$BR$2&amp;BV$2)</f>
        <v/>
      </c>
      <c r="BW136" s="243">
        <f>SUMIFS(領用表!$L:$L,領用表!$A:$A,BW$2,領用表!$E:$E,B136)</f>
        <v/>
      </c>
      <c r="BX136" s="242">
        <f>SUMIFS(領用表!$L:$L,領用表!$E:$E,$B136,領用表!$B:$B,BW$2&amp;BX$2)</f>
        <v/>
      </c>
      <c r="BY136" s="242">
        <f>SUMIFS(領用表!$L:$L,領用表!$E:$E,$B136,領用表!$B:$B,$BW$2&amp;BY$2)</f>
        <v/>
      </c>
      <c r="BZ136" s="242">
        <f>SUMIFS(領用表!$L:$L,領用表!$E:$E,$B136,領用表!$B:$B,$BW$2&amp;BZ$2)</f>
        <v/>
      </c>
      <c r="CA136" s="242">
        <f>SUMIFS(領用表!$L:$L,領用表!$E:$E,$B136,領用表!$B:$B,$BW$2&amp;CA$2)</f>
        <v/>
      </c>
      <c r="CB136" s="243">
        <f>SUMIFS(領用表!$L:$L,領用表!$A:$A,CB$2,領用表!$E:$E,B136)</f>
        <v/>
      </c>
      <c r="CC136" s="242">
        <f>SUMIFS(領用表!$L:$L,領用表!$E:$E,$B136,領用表!$B:$B,CB$2&amp;CC$2)</f>
        <v/>
      </c>
      <c r="CD136" s="242">
        <f>SUMIFS(領用表!$L:$L,領用表!$E:$E,$B136,領用表!$B:$B,$CB$2&amp;CD$2)</f>
        <v/>
      </c>
      <c r="CE136" s="242">
        <f>SUMIFS(領用表!$L:$L,領用表!$E:$E,$B136,領用表!$B:$B,$CB$2&amp;CE$2)</f>
        <v/>
      </c>
      <c r="CF136" s="242">
        <f>SUMIFS(領用表!$L:$L,領用表!$E:$E,$B136,領用表!$B:$B,$CB$2&amp;CF$2)</f>
        <v/>
      </c>
      <c r="CG136" s="243">
        <f>SUMIFS(領用表!$L:$L,領用表!$A:$A,CG$2,領用表!$E:$E,B136)</f>
        <v/>
      </c>
      <c r="CH136" s="242" t="n"/>
      <c r="CI136" s="242" t="n"/>
      <c r="CJ136" s="242" t="n"/>
      <c r="CK136" s="242" t="n"/>
      <c r="CL136" s="244">
        <f>SUM(AX136,AY136,AZ136,BA136,BB136,BC136,BH136,BM136,BR136,BW136,CB136,CG136)</f>
        <v/>
      </c>
      <c r="CM136" s="244">
        <f>AVERAGE(AX136,AY136,AZ136,BA136,BB136,BC136,BH136,BM136,BR136,BW136,CB136,CG136)</f>
        <v/>
      </c>
      <c r="CN136" s="243">
        <f>SUMIFS(領用表!$L:$L,領用表!$A:$A,CN$2,領用表!$E:$E,B136)</f>
        <v/>
      </c>
      <c r="CO136" s="242">
        <f>SUMIFS(領用表!$L:$L,領用表!$E:$E,$B136,領用表!$B:$B,CN$2&amp;CO$2)</f>
        <v/>
      </c>
      <c r="CP136" s="242">
        <f>SUMIFS(領用表!$L:$L,領用表!$E:$E,$B136,領用表!$B:$B,$CN$2&amp;CP$2)</f>
        <v/>
      </c>
      <c r="CQ136" s="242">
        <f>SUMIFS(領用表!$L:$L,領用表!$E:$E,$B136,領用表!$B:$B,$CN$2&amp;CQ$2)</f>
        <v/>
      </c>
      <c r="CR136" s="242">
        <f>SUMIFS(領用表!$L:$L,領用表!$E:$E,$B136,領用表!$B:$B,$CN$2&amp;CR$2)</f>
        <v/>
      </c>
      <c r="CS136" s="243">
        <f>SUMIFS(領用表!$L:$L,領用表!$A:$A,CS$2,領用表!$E:$E,B136)</f>
        <v/>
      </c>
      <c r="CT136" s="243">
        <f>SUMIFS(領用表!$L:$L,領用表!$E:$E,$B136,領用表!$B:$B,CS$2&amp;CT$2)</f>
        <v/>
      </c>
      <c r="CU136" s="243">
        <f>SUMIFS(領用表!$L:$L,領用表!$E:$E,$B136,領用表!$B:$B,$CS$2&amp;CU$2)</f>
        <v/>
      </c>
      <c r="CV136" s="243">
        <f>SUMIFS(領用表!$L:$L,領用表!$E:$E,$B136,領用表!$B:$B,$CS$2&amp;CV$2)</f>
        <v/>
      </c>
      <c r="CW136" s="243">
        <f>SUMIFS(領用表!$L:$L,領用表!$E:$E,$B136,領用表!$B:$B,$CS$2&amp;CW$2)</f>
        <v/>
      </c>
      <c r="CX136" s="243">
        <f>SUMIFS(領用表!$L:$L,領用表!$E:$E,$B136,領用表!$B:$B,$CS$2&amp;CX$2)</f>
        <v/>
      </c>
      <c r="CY136" s="243">
        <f>SUMIFS(領用表!$L:$L,領用表!$A:$A,CY$2,領用表!$E:$E,B136)</f>
        <v/>
      </c>
      <c r="CZ136" s="242">
        <f>SUMIFS(領用表!$L:$L,領用表!$E:$E,$B136,領用表!$B:$B,CY$2&amp;CZ$2)</f>
        <v/>
      </c>
      <c r="DA136" s="242">
        <f>SUMIFS(領用表!$L:$L,領用表!$E:$E,$B136,領用表!$B:$B,$CY$2&amp;DA$2)</f>
        <v/>
      </c>
      <c r="DB136" s="242">
        <f>SUMIFS(領用表!$L:$L,領用表!$E:$E,$B136,領用表!$B:$B,$CY$2&amp;DB$2)</f>
        <v/>
      </c>
      <c r="DC136" s="242">
        <f>SUMIFS(領用表!$L:$L,領用表!$E:$E,$B136,領用表!$B:$B,$CY$2&amp;DC$2)</f>
        <v/>
      </c>
      <c r="DD136" s="242">
        <f>SUMIFS(領用表!$L:$L,領用表!$E:$E,$B136,領用表!$B:$B,$CY$2&amp;DD$2)</f>
        <v/>
      </c>
      <c r="DE136" s="243">
        <f>SUMIFS(領用表!$L:$L,領用表!$A:$A,DE$2,領用表!$E:$E,B136)</f>
        <v/>
      </c>
      <c r="DF136" s="242">
        <f>SUMIFS(領用表!$L:$L,領用表!$E:$E,$B136,領用表!$B:$B,DE$2&amp;DF$2)</f>
        <v/>
      </c>
      <c r="DG136" s="242">
        <f>SUMIFS(領用表!$L:$L,領用表!$E:$E,$B136,領用表!$B:$B,$DE$2&amp;DG$2)</f>
        <v/>
      </c>
      <c r="DH136" s="242">
        <f>SUMIFS(領用表!$L:$L,領用表!$E:$E,$B136,領用表!$B:$B,$DE$2&amp;DH$2)</f>
        <v/>
      </c>
      <c r="DI136" s="242">
        <f>SUMIFS(領用表!$L:$L,領用表!$E:$E,$B136,領用表!$B:$B,$DE$2&amp;DI$2)</f>
        <v/>
      </c>
      <c r="DJ136" s="242">
        <f>SUMIFS(領用表!$L:$L,領用表!$E:$E,$B136,領用表!$B:$B,$DE$2&amp;DJ$2)</f>
        <v/>
      </c>
      <c r="DK136" s="243">
        <f>SUMIFS(領用表!$L:$L,領用表!$A:$A,DK$2,領用表!$E:$E,$B136)</f>
        <v/>
      </c>
      <c r="DL136" s="242">
        <f>SUMIFS(領用表!$L:$L,領用表!$E:$E,$B136,領用表!$B:$B,DK$2&amp;DL$2)</f>
        <v/>
      </c>
      <c r="DM136" s="242">
        <f>SUMIFS(領用表!$L:$L,領用表!$E:$E,$B136,領用表!$B:$B,$DK$2&amp;DM$2)</f>
        <v/>
      </c>
      <c r="DN136" s="242">
        <f>SUMIFS(領用表!$L:$L,領用表!$E:$E,$B136,領用表!$B:$B,$DK$2&amp;DN$2)</f>
        <v/>
      </c>
      <c r="DO136" s="242">
        <f>SUMIFS(領用表!$L:$L,領用表!$E:$E,$B136,領用表!$B:$B,$DK$2&amp;DO$2)</f>
        <v/>
      </c>
      <c r="DP136" s="242">
        <f>SUMIFS(領用表!$L:$L,領用表!$E:$E,$B136,領用表!$B:$B,$DK$2&amp;DP$2)</f>
        <v/>
      </c>
      <c r="DQ136" s="243" t="n"/>
      <c r="DR136" s="242" t="n"/>
      <c r="DS136" s="242" t="n"/>
      <c r="DT136" s="242" t="n"/>
      <c r="DU136" s="242" t="n"/>
      <c r="DV136" s="242" t="n"/>
      <c r="DW136" s="242">
        <f>SUM(CN136,CS136,CY136,DE136,DK136,DQ136)</f>
        <v/>
      </c>
      <c r="DX136" s="242">
        <f>AVERAGEA(CN136,CS136,CY136,DE136,DK136,DQ136)</f>
        <v/>
      </c>
      <c r="DY136" s="242">
        <f>SUM(DZ136:EC136)</f>
        <v/>
      </c>
      <c r="DZ136" s="242" t="n">
        <v>0</v>
      </c>
      <c r="EA136" s="242" t="n">
        <v>0</v>
      </c>
      <c r="EB136" s="242" t="n">
        <v>0</v>
      </c>
      <c r="EC136" s="242" t="n">
        <v>0</v>
      </c>
      <c r="ED136" s="318" t="n"/>
      <c r="EE136" s="313" t="n"/>
      <c r="EF136" s="313" t="n"/>
      <c r="EG136" s="313" t="n"/>
      <c r="EH136" s="248" t="n"/>
      <c r="EI136" s="248" t="n"/>
      <c r="EK136" s="250" t="n"/>
    </row>
    <row r="137" ht="15.75" customFormat="1" customHeight="1" s="118">
      <c r="A137" s="136" t="n"/>
      <c r="C137" s="136" t="inlineStr">
        <is>
          <t>痘痘貼 60入/盒</t>
        </is>
      </c>
      <c r="D137" s="285" t="n">
        <v>60</v>
      </c>
      <c r="E137" s="198" t="inlineStr">
        <is>
          <t>PCS</t>
        </is>
      </c>
      <c r="F137" s="225">
        <f>SUMIF(站前4樓!B:B,B137,站前4樓!F:F)</f>
        <v/>
      </c>
      <c r="G137" s="225">
        <f>SUMIF(站前11樓!B:B,B137,站前11樓!F:F)</f>
        <v/>
      </c>
      <c r="H137" s="225">
        <f>SUMIF(忠孝7樓!B:B,B137,忠孝7樓!G:G)</f>
        <v/>
      </c>
      <c r="I137" s="225">
        <f>SUMIF(忠孝國際醫學3樓!B:B,B137,忠孝國際醫學3樓!G:G)</f>
        <v/>
      </c>
      <c r="J137" s="225">
        <f>SUMIF(忠孝健康7樓!B:B,B137,忠孝健康7樓!G:G)</f>
        <v/>
      </c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  <c r="Y137" s="283" t="n"/>
      <c r="Z137" s="283" t="n"/>
      <c r="AA137" s="283" t="n"/>
      <c r="AB137" s="283" t="n"/>
      <c r="AC137" s="283" t="n"/>
      <c r="AD137" s="283" t="n"/>
      <c r="AE137" s="283" t="n"/>
      <c r="AF137" s="283" t="n"/>
      <c r="AG137" s="283" t="n"/>
      <c r="AH137" s="283" t="n"/>
      <c r="AI137" s="283" t="n"/>
      <c r="AJ137" s="201" t="n"/>
      <c r="AK137" s="201" t="n"/>
      <c r="AL137" s="201" t="n"/>
      <c r="AM137" s="201" t="n"/>
      <c r="AN137" s="201" t="n"/>
      <c r="AO137" s="201" t="n"/>
      <c r="AP137" s="201" t="n"/>
      <c r="AQ137" s="201" t="n"/>
      <c r="AR137" s="201" t="n"/>
      <c r="AS137" s="201" t="n"/>
      <c r="AT137" s="201" t="n"/>
      <c r="AU137" s="201" t="n"/>
      <c r="AV137" s="283">
        <f>SUM(AJ137:AU137)</f>
        <v/>
      </c>
      <c r="AW137" s="286">
        <f>AV137/12</f>
        <v/>
      </c>
      <c r="AX137" s="201" t="n">
        <v>0</v>
      </c>
      <c r="AY137" s="201" t="n">
        <v>0</v>
      </c>
      <c r="AZ137" s="201" t="n">
        <v>2</v>
      </c>
      <c r="BA137" s="201" t="n">
        <v>3</v>
      </c>
      <c r="BB137" s="201" t="n">
        <v>1</v>
      </c>
      <c r="BC137" s="203">
        <f>SUMIFS(領用表!$L:$L,領用表!$A:$A,BC$2,領用表!$E:$E,B137)</f>
        <v/>
      </c>
      <c r="BD137" s="287">
        <f>SUMIFS(領用表!$L:$L,領用表!$E:$E,$B137,領用表!$B:$B,BC$2&amp;BD$2)</f>
        <v/>
      </c>
      <c r="BE137" s="287">
        <f>SUMIFS(領用表!$L:$L,領用表!$E:$E,$B137,領用表!$B:$B,$BC$2&amp;BE$2)</f>
        <v/>
      </c>
      <c r="BF137" s="287">
        <f>SUMIFS(領用表!$L:$L,領用表!$E:$E,$B137,領用表!$B:$B,$BC$2&amp;BF$2)</f>
        <v/>
      </c>
      <c r="BG137" s="206">
        <f>SUMIFS(領用表!$L:$L,領用表!$E:$E,$B137,領用表!$B:$B,$BC$2&amp;BG$2)</f>
        <v/>
      </c>
      <c r="BH137" s="203">
        <f>SUMIFS(領用表!$L:$L,領用表!$A:$A,BH$2,領用表!$E:$E,B137)</f>
        <v/>
      </c>
      <c r="BI137" s="260">
        <f>SUMIFS(領用表!$L:$L,領用表!$E:$E,$B137,領用表!$B:$B,BH$2&amp;BI$2)</f>
        <v/>
      </c>
      <c r="BJ137" s="260">
        <f>SUMIFS(領用表!$L:$L,領用表!$E:$E,$B137,領用表!$B:$B,$BH$2&amp;BJ$2)</f>
        <v/>
      </c>
      <c r="BK137" s="260">
        <f>SUMIFS(領用表!$L:$L,領用表!$E:$E,$B137,領用表!$B:$B,$BH$2&amp;BK$2)</f>
        <v/>
      </c>
      <c r="BL137" s="260">
        <f>SUMIFS(領用表!$L:$L,領用表!$E:$E,$B137,領用表!$B:$B,$BH$2&amp;BL$2)</f>
        <v/>
      </c>
      <c r="BM137" s="203">
        <f>SUMIFS(領用表!$L:$L,領用表!$A:$A,BM$2,領用表!$E:$E,B137)</f>
        <v/>
      </c>
      <c r="BN137" s="206">
        <f>SUMIFS(領用表!$L:$L,領用表!$E:$E,$B137,領用表!$B:$B,BM$2&amp;BN$2)</f>
        <v/>
      </c>
      <c r="BO137" s="206">
        <f>SUMIFS(領用表!$L:$L,領用表!$E:$E,$B137,領用表!$B:$B,$BM$2&amp;BO$2)</f>
        <v/>
      </c>
      <c r="BP137" s="288">
        <f>SUMIFS(領用表!$L:$L,領用表!$E:$E,$B137,領用表!$B:$B,$BM$2&amp;BP$2)</f>
        <v/>
      </c>
      <c r="BQ137" s="287">
        <f>SUMIFS(領用表!$L:$L,領用表!$E:$E,$B137,領用表!$B:$B,$BM$2&amp;BQ$2)</f>
        <v/>
      </c>
      <c r="BR137" s="203">
        <f>SUMIFS(領用表!$L:$L,領用表!$A:$A,BR$2,領用表!$E:$E,B137)</f>
        <v/>
      </c>
      <c r="BS137" s="288">
        <f>SUMIFS(領用表!$L:$L,領用表!$E:$E,$B137,領用表!$B:$B,BR$2&amp;BS$2)</f>
        <v/>
      </c>
      <c r="BT137" s="288">
        <f>SUMIFS(領用表!$L:$L,領用表!$E:$E,$B137,領用表!$B:$B,$BR$2&amp;BT$2)</f>
        <v/>
      </c>
      <c r="BU137" s="288">
        <f>SUMIFS(領用表!$L:$L,領用表!$E:$E,$B137,領用表!$B:$B,$BR$2&amp;BU$2)</f>
        <v/>
      </c>
      <c r="BV137" s="287">
        <f>SUMIFS(領用表!$L:$L,領用表!$E:$E,$B137,領用表!$B:$B,$BR$2&amp;BV$2)</f>
        <v/>
      </c>
      <c r="BW137" s="208">
        <f>SUMIFS(領用表!$L:$L,領用表!$A:$A,BW$2,領用表!$E:$E,B137)</f>
        <v/>
      </c>
      <c r="BX137" s="206">
        <f>SUMIFS(領用表!$L:$L,領用表!$E:$E,$B137,領用表!$B:$B,BW$2&amp;BX$2)</f>
        <v/>
      </c>
      <c r="BY137" s="206">
        <f>SUMIFS(領用表!$L:$L,領用表!$E:$E,$B137,領用表!$B:$B,$BW$2&amp;BY$2)</f>
        <v/>
      </c>
      <c r="BZ137" s="206">
        <f>SUMIFS(領用表!$L:$L,領用表!$E:$E,$B137,領用表!$B:$B,$BW$2&amp;BZ$2)</f>
        <v/>
      </c>
      <c r="CA137" s="206">
        <f>SUMIFS(領用表!$L:$L,領用表!$E:$E,$B137,領用表!$B:$B,$BW$2&amp;CA$2)</f>
        <v/>
      </c>
      <c r="CB137" s="208">
        <f>SUMIFS(領用表!$L:$L,領用表!$A:$A,CB$2,領用表!$E:$E,B137)</f>
        <v/>
      </c>
      <c r="CC137" s="206">
        <f>SUMIFS(領用表!$L:$L,領用表!$E:$E,$B137,領用表!$B:$B,CB$2&amp;CC$2)</f>
        <v/>
      </c>
      <c r="CD137" s="206">
        <f>SUMIFS(領用表!$L:$L,領用表!$E:$E,$B137,領用表!$B:$B,$CB$2&amp;CD$2)</f>
        <v/>
      </c>
      <c r="CE137" s="206">
        <f>SUMIFS(領用表!$L:$L,領用表!$E:$E,$B137,領用表!$B:$B,$CB$2&amp;CE$2)</f>
        <v/>
      </c>
      <c r="CF137" s="206">
        <f>SUMIFS(領用表!$L:$L,領用表!$E:$E,$B137,領用表!$B:$B,$CB$2&amp;CF$2)</f>
        <v/>
      </c>
      <c r="CG137" s="208">
        <f>SUMIFS(領用表!$L:$L,領用表!$A:$A,CG$2,領用表!$E:$E,B137)</f>
        <v/>
      </c>
      <c r="CH137" s="206">
        <f>SUMIFS(領用表!$L:$L,領用表!$E:$E,$B137,領用表!$B:$B,CG$2&amp;CH$2)</f>
        <v/>
      </c>
      <c r="CI137" s="206">
        <f>SUMIFS(領用表!$L:$L,領用表!$E:$E,$B137,領用表!$B:$B,CG$2&amp;CI$2)</f>
        <v/>
      </c>
      <c r="CJ137" s="206">
        <f>SUMIFS(領用表!$L:$L,領用表!$E:$E,$B137,領用表!$B:$B,CG$2&amp;CJ$2)</f>
        <v/>
      </c>
      <c r="CK137" s="206">
        <f>SUMIFS(領用表!$L:$L,領用表!$E:$E,$B137,領用表!$B:$B,$CG$2&amp;CK$2)</f>
        <v/>
      </c>
      <c r="CL137" s="207">
        <f>SUM(AX137,AY137,AZ137,BA137,BB137,BC137,BH137,BM137,BR137,BW137,CB137,CG137)</f>
        <v/>
      </c>
      <c r="CM137" s="207">
        <f>AVERAGE(AX137,AY137,AZ137,BA137,BB137,BC137,BH137,BM137,BR137,BW137,CB137,CG137)</f>
        <v/>
      </c>
      <c r="CN137" s="208">
        <f>SUMIFS(領用表!$L:$L,領用表!$A:$A,CN$2,領用表!$E:$E,B137)</f>
        <v/>
      </c>
      <c r="CO137" s="206">
        <f>SUMIFS(領用表!$L:$L,領用表!$E:$E,$B137,領用表!$B:$B,CN$2&amp;CO$2)</f>
        <v/>
      </c>
      <c r="CP137" s="206">
        <f>SUMIFS(領用表!$L:$L,領用表!$E:$E,$B137,領用表!$B:$B,$CN$2&amp;CP$2)</f>
        <v/>
      </c>
      <c r="CQ137" s="206">
        <f>SUMIFS(領用表!$L:$L,領用表!$E:$E,$B137,領用表!$B:$B,$CN$2&amp;CQ$2)</f>
        <v/>
      </c>
      <c r="CR137" s="206">
        <f>SUMIFS(領用表!$L:$L,領用表!$E:$E,$B137,領用表!$B:$B,$CN$2&amp;CR$2)</f>
        <v/>
      </c>
      <c r="CS137" s="208">
        <f>SUMIFS(領用表!$L:$L,領用表!$A:$A,CS$2,領用表!$E:$E,B137)</f>
        <v/>
      </c>
      <c r="CT137" s="206">
        <f>SUMIFS(領用表!$L:$L,領用表!$E:$E,$B137,領用表!$B:$B,CS$2&amp;CT$2)</f>
        <v/>
      </c>
      <c r="CU137" s="206">
        <f>SUMIFS(領用表!$L:$L,領用表!$E:$E,$B137,領用表!$B:$B,$CS$2&amp;CU$2)</f>
        <v/>
      </c>
      <c r="CV137" s="206">
        <f>SUMIFS(領用表!$L:$L,領用表!$E:$E,$B137,領用表!$B:$B,$CS$2&amp;CV$2)</f>
        <v/>
      </c>
      <c r="CW137" s="206">
        <f>SUMIFS(領用表!$L:$L,領用表!$E:$E,$B137,領用表!$B:$B,$CS$2&amp;CW$2)</f>
        <v/>
      </c>
      <c r="CX137" s="206">
        <f>SUMIFS(領用表!$L:$L,領用表!$E:$E,$B137,領用表!$B:$B,$CS$2&amp;CX$2)</f>
        <v/>
      </c>
      <c r="CY137" s="208">
        <f>SUMIFS(領用表!$L:$L,領用表!$A:$A,CY$2,領用表!$E:$E,B137)</f>
        <v/>
      </c>
      <c r="CZ137" s="206">
        <f>SUMIFS(領用表!$L:$L,領用表!$E:$E,$B137,領用表!$B:$B,CY$2&amp;CZ$2)</f>
        <v/>
      </c>
      <c r="DA137" s="206">
        <f>SUMIFS(領用表!$L:$L,領用表!$E:$E,$B137,領用表!$B:$B,$CY$2&amp;DA$2)</f>
        <v/>
      </c>
      <c r="DB137" s="206">
        <f>SUMIFS(領用表!$L:$L,領用表!$E:$E,$B137,領用表!$B:$B,$CY$2&amp;DB$2)</f>
        <v/>
      </c>
      <c r="DC137" s="206">
        <f>SUMIFS(領用表!$L:$L,領用表!$E:$E,$B137,領用表!$B:$B,$CY$2&amp;DC$2)</f>
        <v/>
      </c>
      <c r="DD137" s="206">
        <f>SUMIFS(領用表!$L:$L,領用表!$E:$E,$B137,領用表!$B:$B,$CY$2&amp;DD$2)</f>
        <v/>
      </c>
      <c r="DE137" s="208">
        <f>SUMIFS(領用表!$L:$L,領用表!$A:$A,DE$2,領用表!$E:$E,B137)</f>
        <v/>
      </c>
      <c r="DF137" s="206">
        <f>SUMIFS(領用表!$L:$L,領用表!$E:$E,$B137,領用表!$B:$B,DE$2&amp;DF$2)</f>
        <v/>
      </c>
      <c r="DG137" s="206">
        <f>SUMIFS(領用表!$L:$L,領用表!$E:$E,$B137,領用表!$B:$B,$DE$2&amp;DG$2)</f>
        <v/>
      </c>
      <c r="DH137" s="206">
        <f>SUMIFS(領用表!$L:$L,領用表!$E:$E,$B137,領用表!$B:$B,$DE$2&amp;DH$2)</f>
        <v/>
      </c>
      <c r="DI137" s="206">
        <f>SUMIFS(領用表!$L:$L,領用表!$E:$E,$B137,領用表!$B:$B,$DE$2&amp;DI$2)</f>
        <v/>
      </c>
      <c r="DJ137" s="206">
        <f>SUMIFS(領用表!$L:$L,領用表!$E:$E,$B137,領用表!$B:$B,$DE$2&amp;DJ$2)</f>
        <v/>
      </c>
      <c r="DK137" s="208">
        <f>SUMIFS(領用表!$L:$L,領用表!$A:$A,DK$2,領用表!$E:$E,$B137)</f>
        <v/>
      </c>
      <c r="DL137" s="206">
        <f>SUMIFS(領用表!$L:$L,領用表!$E:$E,$B137,領用表!$B:$B,DK$2&amp;DL$2)</f>
        <v/>
      </c>
      <c r="DM137" s="206">
        <f>SUMIFS(領用表!$L:$L,領用表!$E:$E,$B137,領用表!$B:$B,$DK$2&amp;DM$2)</f>
        <v/>
      </c>
      <c r="DN137" s="206">
        <f>SUMIFS(領用表!$L:$L,領用表!$E:$E,$B137,領用表!$B:$B,$DK$2&amp;DN$2)</f>
        <v/>
      </c>
      <c r="DO137" s="206">
        <f>SUMIFS(領用表!$L:$L,領用表!$E:$E,$B137,領用表!$B:$B,$DK$2&amp;DO$2)</f>
        <v/>
      </c>
      <c r="DP137" s="206">
        <f>SUMIFS(領用表!$L:$L,領用表!$E:$E,$B137,領用表!$B:$B,$DK$2&amp;DP$2)</f>
        <v/>
      </c>
      <c r="DQ137" s="208" t="n"/>
      <c r="DR137" s="206" t="n"/>
      <c r="DS137" s="206" t="n"/>
      <c r="DT137" s="206" t="n"/>
      <c r="DU137" s="206" t="n"/>
      <c r="DV137" s="206" t="n"/>
      <c r="DW137" s="206">
        <f>SUM(CN137,CS137,CY137,DE137,DK137,DQ137)</f>
        <v/>
      </c>
      <c r="DX137" s="206">
        <f>AVERAGEA(CN137,CS137,CY137,DE137,DK137,DQ137)</f>
        <v/>
      </c>
      <c r="DY137" s="206">
        <f>SUM(DZ137:EC137)</f>
        <v/>
      </c>
      <c r="DZ137" s="206" t="n">
        <v>0</v>
      </c>
      <c r="EA137" s="206" t="n">
        <v>0</v>
      </c>
      <c r="EB137" s="206" t="n">
        <v>0</v>
      </c>
      <c r="EC137" s="206" t="n">
        <v>0</v>
      </c>
      <c r="ED137" s="258" t="n"/>
      <c r="EE137" s="283" t="n"/>
      <c r="EF137" s="283" t="n"/>
      <c r="EG137" s="283" t="n"/>
      <c r="EH137" s="136" t="n"/>
      <c r="EI137" s="136" t="n"/>
      <c r="EJ137" s="118">
        <f>IFERROR(VLOOKUP(A137,站前4樓!A:BF,57,0),0)</f>
        <v/>
      </c>
      <c r="EK137" s="213">
        <f>IFERROR(VLOOKUP(A137,站前11樓!A:BE,57,0),0)</f>
        <v/>
      </c>
      <c r="EL137" s="118">
        <f>IFERROR(VLOOKUP(A137,忠孝7樓!A:N,57,0),0)</f>
        <v/>
      </c>
      <c r="EM137" s="118">
        <f>IFERROR(VLOOKUP(A137,忠孝國際醫學3樓!A:L,57,0),0)</f>
        <v/>
      </c>
      <c r="EN137" s="118">
        <f>SUM(ED137:EG137)</f>
        <v/>
      </c>
    </row>
    <row r="138" ht="15.75" customFormat="1" customHeight="1" s="118">
      <c r="A138" s="136" t="n"/>
      <c r="C138" s="136" t="inlineStr">
        <is>
          <t>(售完不進)滾針1.0mm</t>
        </is>
      </c>
      <c r="D138" s="285" t="n"/>
      <c r="E138" s="198" t="inlineStr">
        <is>
          <t>支</t>
        </is>
      </c>
      <c r="F138" s="225">
        <f>SUMIF(站前4樓!B:B,B138,站前4樓!F:F)</f>
        <v/>
      </c>
      <c r="G138" s="225">
        <f>SUMIF(站前11樓!B:B,B138,站前11樓!F:F)</f>
        <v/>
      </c>
      <c r="H138" s="225">
        <f>SUMIF(忠孝7樓!B:B,B138,忠孝7樓!G:G)</f>
        <v/>
      </c>
      <c r="I138" s="225">
        <f>SUMIF(忠孝國際醫學3樓!B:B,B138,忠孝國際醫學3樓!G:G)</f>
        <v/>
      </c>
      <c r="J138" s="225">
        <f>SUMIF(忠孝健康7樓!B:B,B138,忠孝健康7樓!G:G)</f>
        <v/>
      </c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  <c r="Y138" s="283" t="n"/>
      <c r="Z138" s="283" t="n"/>
      <c r="AA138" s="283" t="n"/>
      <c r="AB138" s="283" t="n"/>
      <c r="AC138" s="283" t="n"/>
      <c r="AD138" s="283" t="n"/>
      <c r="AE138" s="283" t="n"/>
      <c r="AF138" s="283" t="n"/>
      <c r="AG138" s="283" t="n"/>
      <c r="AH138" s="283" t="n"/>
      <c r="AI138" s="283" t="n"/>
      <c r="AJ138" s="201" t="n">
        <v>1</v>
      </c>
      <c r="AK138" s="201" t="n">
        <v>0</v>
      </c>
      <c r="AL138" s="201" t="n">
        <v>1</v>
      </c>
      <c r="AM138" s="201" t="n">
        <v>0</v>
      </c>
      <c r="AN138" s="201" t="n">
        <v>0</v>
      </c>
      <c r="AO138" s="201" t="n">
        <v>0</v>
      </c>
      <c r="AP138" s="201" t="n"/>
      <c r="AQ138" s="201" t="n">
        <v>0</v>
      </c>
      <c r="AR138" s="201" t="n">
        <v>0</v>
      </c>
      <c r="AS138" s="201" t="n">
        <v>0</v>
      </c>
      <c r="AT138" s="201" t="n">
        <v>0</v>
      </c>
      <c r="AU138" s="201" t="n">
        <v>0</v>
      </c>
      <c r="AV138" s="283">
        <f>SUM(AJ138:AU138)</f>
        <v/>
      </c>
      <c r="AW138" s="286">
        <f>AV138/12</f>
        <v/>
      </c>
      <c r="AX138" s="201" t="n">
        <v>0</v>
      </c>
      <c r="AY138" s="201" t="n">
        <v>0</v>
      </c>
      <c r="AZ138" s="201" t="n">
        <v>0</v>
      </c>
      <c r="BA138" s="201" t="n">
        <v>0</v>
      </c>
      <c r="BB138" s="201" t="n">
        <v>2</v>
      </c>
      <c r="BC138" s="203">
        <f>SUMIFS(領用表!$L:$L,領用表!$A:$A,BC$2,領用表!$E:$E,B138)</f>
        <v/>
      </c>
      <c r="BD138" s="287">
        <f>SUMIFS(領用表!$L:$L,領用表!$E:$E,$B138,領用表!$B:$B,BC$2&amp;BD$2)</f>
        <v/>
      </c>
      <c r="BE138" s="287">
        <f>SUMIFS(領用表!$L:$L,領用表!$E:$E,$B138,領用表!$B:$B,$BC$2&amp;BE$2)</f>
        <v/>
      </c>
      <c r="BF138" s="287">
        <f>SUMIFS(領用表!$L:$L,領用表!$E:$E,$B138,領用表!$B:$B,$BC$2&amp;BF$2)</f>
        <v/>
      </c>
      <c r="BG138" s="206">
        <f>SUMIFS(領用表!$L:$L,領用表!$E:$E,$B138,領用表!$B:$B,$BC$2&amp;BG$2)</f>
        <v/>
      </c>
      <c r="BH138" s="203">
        <f>SUMIFS(領用表!$L:$L,領用表!$A:$A,BH$2,領用表!$E:$E,B138)</f>
        <v/>
      </c>
      <c r="BI138" s="260">
        <f>SUMIFS(領用表!$L:$L,領用表!$E:$E,$B138,領用表!$B:$B,BH$2&amp;BI$2)</f>
        <v/>
      </c>
      <c r="BJ138" s="260">
        <f>SUMIFS(領用表!$L:$L,領用表!$E:$E,$B138,領用表!$B:$B,$BH$2&amp;BJ$2)</f>
        <v/>
      </c>
      <c r="BK138" s="260">
        <f>SUMIFS(領用表!$L:$L,領用表!$E:$E,$B138,領用表!$B:$B,$BH$2&amp;BK$2)</f>
        <v/>
      </c>
      <c r="BL138" s="260">
        <f>SUMIFS(領用表!$L:$L,領用表!$E:$E,$B138,領用表!$B:$B,$BH$2&amp;BL$2)</f>
        <v/>
      </c>
      <c r="BM138" s="203">
        <f>SUMIFS(領用表!$L:$L,領用表!$A:$A,BM$2,領用表!$E:$E,B138)</f>
        <v/>
      </c>
      <c r="BN138" s="206">
        <f>SUMIFS(領用表!$L:$L,領用表!$E:$E,$B138,領用表!$B:$B,BM$2&amp;BN$2)</f>
        <v/>
      </c>
      <c r="BO138" s="206">
        <f>SUMIFS(領用表!$L:$L,領用表!$E:$E,$B138,領用表!$B:$B,$BM$2&amp;BO$2)</f>
        <v/>
      </c>
      <c r="BP138" s="288">
        <f>SUMIFS(領用表!$L:$L,領用表!$E:$E,$B138,領用表!$B:$B,$BM$2&amp;BP$2)</f>
        <v/>
      </c>
      <c r="BQ138" s="287">
        <f>SUMIFS(領用表!$L:$L,領用表!$E:$E,$B138,領用表!$B:$B,$BM$2&amp;BQ$2)</f>
        <v/>
      </c>
      <c r="BR138" s="203">
        <f>SUMIFS(領用表!$L:$L,領用表!$A:$A,BR$2,領用表!$E:$E,B138)</f>
        <v/>
      </c>
      <c r="BS138" s="288">
        <f>SUMIFS(領用表!$L:$L,領用表!$E:$E,$B138,領用表!$B:$B,BR$2&amp;BS$2)</f>
        <v/>
      </c>
      <c r="BT138" s="288">
        <f>SUMIFS(領用表!$L:$L,領用表!$E:$E,$B138,領用表!$B:$B,$BR$2&amp;BT$2)</f>
        <v/>
      </c>
      <c r="BU138" s="288">
        <f>SUMIFS(領用表!$L:$L,領用表!$E:$E,$B138,領用表!$B:$B,$BR$2&amp;BU$2)</f>
        <v/>
      </c>
      <c r="BV138" s="287">
        <f>SUMIFS(領用表!$L:$L,領用表!$E:$E,$B138,領用表!$B:$B,$BR$2&amp;BV$2)</f>
        <v/>
      </c>
      <c r="BW138" s="208">
        <f>SUMIFS(領用表!$L:$L,領用表!$A:$A,BW$2,領用表!$E:$E,B138)</f>
        <v/>
      </c>
      <c r="BX138" s="206">
        <f>SUMIFS(領用表!$L:$L,領用表!$E:$E,$B138,領用表!$B:$B,BW$2&amp;BX$2)</f>
        <v/>
      </c>
      <c r="BY138" s="206">
        <f>SUMIFS(領用表!$L:$L,領用表!$E:$E,$B138,領用表!$B:$B,$BW$2&amp;BY$2)</f>
        <v/>
      </c>
      <c r="BZ138" s="206">
        <f>SUMIFS(領用表!$L:$L,領用表!$E:$E,$B138,領用表!$B:$B,$BW$2&amp;BZ$2)</f>
        <v/>
      </c>
      <c r="CA138" s="206">
        <f>SUMIFS(領用表!$L:$L,領用表!$E:$E,$B138,領用表!$B:$B,$BW$2&amp;CA$2)</f>
        <v/>
      </c>
      <c r="CB138" s="208">
        <f>SUMIFS(領用表!$L:$L,領用表!$A:$A,CB$2,領用表!$E:$E,B138)</f>
        <v/>
      </c>
      <c r="CC138" s="206">
        <f>SUMIFS(領用表!$L:$L,領用表!$E:$E,$B138,領用表!$B:$B,CB$2&amp;CC$2)</f>
        <v/>
      </c>
      <c r="CD138" s="206">
        <f>SUMIFS(領用表!$L:$L,領用表!$E:$E,$B138,領用表!$B:$B,$CB$2&amp;CD$2)</f>
        <v/>
      </c>
      <c r="CE138" s="206">
        <f>SUMIFS(領用表!$L:$L,領用表!$E:$E,$B138,領用表!$B:$B,$CB$2&amp;CE$2)</f>
        <v/>
      </c>
      <c r="CF138" s="206">
        <f>SUMIFS(領用表!$L:$L,領用表!$E:$E,$B138,領用表!$B:$B,$CB$2&amp;CF$2)</f>
        <v/>
      </c>
      <c r="CG138" s="208">
        <f>SUMIFS(領用表!$L:$L,領用表!$A:$A,CG$2,領用表!$E:$E,B138)</f>
        <v/>
      </c>
      <c r="CH138" s="206">
        <f>SUMIFS(領用表!$L:$L,領用表!$E:$E,$B138,領用表!$B:$B,CG$2&amp;CH$2)</f>
        <v/>
      </c>
      <c r="CI138" s="206">
        <f>SUMIFS(領用表!$L:$L,領用表!$E:$E,$B138,領用表!$B:$B,CG$2&amp;CI$2)</f>
        <v/>
      </c>
      <c r="CJ138" s="206">
        <f>SUMIFS(領用表!$L:$L,領用表!$E:$E,$B138,領用表!$B:$B,CG$2&amp;CJ$2)</f>
        <v/>
      </c>
      <c r="CK138" s="206">
        <f>SUMIFS(領用表!$L:$L,領用表!$E:$E,$B138,領用表!$B:$B,$CG$2&amp;CK$2)</f>
        <v/>
      </c>
      <c r="CL138" s="207">
        <f>SUM(AX138,AY138,AZ138,BA138,BB138,BC138,BH138,BM138,BR138,BW138,CB138,CG138)</f>
        <v/>
      </c>
      <c r="CM138" s="207">
        <f>AVERAGE(AX138,AY138,AZ138,BA138,BB138,BC138,BH138,BM138,BR138,BW138,CB138,CG138)</f>
        <v/>
      </c>
      <c r="CN138" s="208">
        <f>SUMIFS(領用表!$L:$L,領用表!$A:$A,CN$2,領用表!$E:$E,B138)</f>
        <v/>
      </c>
      <c r="CO138" s="206">
        <f>SUMIFS(領用表!$L:$L,領用表!$E:$E,$B138,領用表!$B:$B,CN$2&amp;CO$2)</f>
        <v/>
      </c>
      <c r="CP138" s="206">
        <f>SUMIFS(領用表!$L:$L,領用表!$E:$E,$B138,領用表!$B:$B,$CN$2&amp;CP$2)</f>
        <v/>
      </c>
      <c r="CQ138" s="206">
        <f>SUMIFS(領用表!$L:$L,領用表!$E:$E,$B138,領用表!$B:$B,$CN$2&amp;CQ$2)</f>
        <v/>
      </c>
      <c r="CR138" s="206">
        <f>SUMIFS(領用表!$L:$L,領用表!$E:$E,$B138,領用表!$B:$B,$CN$2&amp;CR$2)</f>
        <v/>
      </c>
      <c r="CS138" s="208">
        <f>SUMIFS(領用表!$L:$L,領用表!$A:$A,CS$2,領用表!$E:$E,B138)</f>
        <v/>
      </c>
      <c r="CT138" s="206">
        <f>SUMIFS(領用表!$L:$L,領用表!$E:$E,$B138,領用表!$B:$B,CS$2&amp;CT$2)</f>
        <v/>
      </c>
      <c r="CU138" s="206">
        <f>SUMIFS(領用表!$L:$L,領用表!$E:$E,$B138,領用表!$B:$B,$CS$2&amp;CU$2)</f>
        <v/>
      </c>
      <c r="CV138" s="206">
        <f>SUMIFS(領用表!$L:$L,領用表!$E:$E,$B138,領用表!$B:$B,$CS$2&amp;CV$2)</f>
        <v/>
      </c>
      <c r="CW138" s="206">
        <f>SUMIFS(領用表!$L:$L,領用表!$E:$E,$B138,領用表!$B:$B,$CS$2&amp;CW$2)</f>
        <v/>
      </c>
      <c r="CX138" s="206">
        <f>SUMIFS(領用表!$L:$L,領用表!$E:$E,$B138,領用表!$B:$B,$CS$2&amp;CX$2)</f>
        <v/>
      </c>
      <c r="CY138" s="208">
        <f>SUMIFS(領用表!$L:$L,領用表!$A:$A,CY$2,領用表!$E:$E,B138)</f>
        <v/>
      </c>
      <c r="CZ138" s="206">
        <f>SUMIFS(領用表!$L:$L,領用表!$E:$E,$B138,領用表!$B:$B,CY$2&amp;CZ$2)</f>
        <v/>
      </c>
      <c r="DA138" s="206">
        <f>SUMIFS(領用表!$L:$L,領用表!$E:$E,$B138,領用表!$B:$B,$CY$2&amp;DA$2)</f>
        <v/>
      </c>
      <c r="DB138" s="206">
        <f>SUMIFS(領用表!$L:$L,領用表!$E:$E,$B138,領用表!$B:$B,$CY$2&amp;DB$2)</f>
        <v/>
      </c>
      <c r="DC138" s="206">
        <f>SUMIFS(領用表!$L:$L,領用表!$E:$E,$B138,領用表!$B:$B,$CY$2&amp;DC$2)</f>
        <v/>
      </c>
      <c r="DD138" s="206">
        <f>SUMIFS(領用表!$L:$L,領用表!$E:$E,$B138,領用表!$B:$B,$CY$2&amp;DD$2)</f>
        <v/>
      </c>
      <c r="DE138" s="208">
        <f>SUMIFS(領用表!$L:$L,領用表!$A:$A,DE$2,領用表!$E:$E,B138)</f>
        <v/>
      </c>
      <c r="DF138" s="206">
        <f>SUMIFS(領用表!$L:$L,領用表!$E:$E,$B138,領用表!$B:$B,DE$2&amp;DF$2)</f>
        <v/>
      </c>
      <c r="DG138" s="206">
        <f>SUMIFS(領用表!$L:$L,領用表!$E:$E,$B138,領用表!$B:$B,$DE$2&amp;DG$2)</f>
        <v/>
      </c>
      <c r="DH138" s="206">
        <f>SUMIFS(領用表!$L:$L,領用表!$E:$E,$B138,領用表!$B:$B,$DE$2&amp;DH$2)</f>
        <v/>
      </c>
      <c r="DI138" s="206">
        <f>SUMIFS(領用表!$L:$L,領用表!$E:$E,$B138,領用表!$B:$B,$DE$2&amp;DI$2)</f>
        <v/>
      </c>
      <c r="DJ138" s="206">
        <f>SUMIFS(領用表!$L:$L,領用表!$E:$E,$B138,領用表!$B:$B,$DE$2&amp;DJ$2)</f>
        <v/>
      </c>
      <c r="DK138" s="208">
        <f>SUMIFS(領用表!$L:$L,領用表!$A:$A,DK$2,領用表!$E:$E,$B138)</f>
        <v/>
      </c>
      <c r="DL138" s="206">
        <f>SUMIFS(領用表!$L:$L,領用表!$E:$E,$B138,領用表!$B:$B,DK$2&amp;DL$2)</f>
        <v/>
      </c>
      <c r="DM138" s="206">
        <f>SUMIFS(領用表!$L:$L,領用表!$E:$E,$B138,領用表!$B:$B,$DK$2&amp;DM$2)</f>
        <v/>
      </c>
      <c r="DN138" s="206">
        <f>SUMIFS(領用表!$L:$L,領用表!$E:$E,$B138,領用表!$B:$B,$DK$2&amp;DN$2)</f>
        <v/>
      </c>
      <c r="DO138" s="206">
        <f>SUMIFS(領用表!$L:$L,領用表!$E:$E,$B138,領用表!$B:$B,$DK$2&amp;DO$2)</f>
        <v/>
      </c>
      <c r="DP138" s="206">
        <f>SUMIFS(領用表!$L:$L,領用表!$E:$E,$B138,領用表!$B:$B,$DK$2&amp;DP$2)</f>
        <v/>
      </c>
      <c r="DQ138" s="208" t="n"/>
      <c r="DR138" s="206" t="n"/>
      <c r="DS138" s="206" t="n"/>
      <c r="DT138" s="206" t="n"/>
      <c r="DU138" s="206" t="n"/>
      <c r="DV138" s="206" t="n"/>
      <c r="DW138" s="206">
        <f>SUM(CN138,CS138,CY138,DE138,DK138,DQ138)</f>
        <v/>
      </c>
      <c r="DX138" s="206">
        <f>AVERAGEA(CN138,CS138,CY138,DE138,DK138,DQ138)</f>
        <v/>
      </c>
      <c r="DY138" s="206">
        <f>SUM(DZ138:EC138)</f>
        <v/>
      </c>
      <c r="DZ138" s="206" t="n">
        <v>0</v>
      </c>
      <c r="EA138" s="206" t="n">
        <v>0</v>
      </c>
      <c r="EB138" s="206" t="n">
        <v>0</v>
      </c>
      <c r="EC138" s="206" t="n">
        <v>0</v>
      </c>
      <c r="ED138" s="258" t="n">
        <v>0</v>
      </c>
      <c r="EE138" s="283" t="n"/>
      <c r="EF138" s="283" t="n"/>
      <c r="EG138" s="283" t="n"/>
      <c r="EH138" s="136" t="n"/>
      <c r="EI138" s="136" t="n"/>
      <c r="EJ138" s="118">
        <f>IFERROR(VLOOKUP(A138,站前4樓!A:BF,57,0),0)</f>
        <v/>
      </c>
      <c r="EK138" s="213">
        <f>IFERROR(VLOOKUP(A138,站前11樓!A:BE,57,0),0)</f>
        <v/>
      </c>
      <c r="EL138" s="118">
        <f>IFERROR(VLOOKUP(A138,忠孝7樓!A:N,57,0),0)</f>
        <v/>
      </c>
      <c r="EM138" s="118">
        <f>IFERROR(VLOOKUP(A138,忠孝國際醫學3樓!A:L,57,0),0)</f>
        <v/>
      </c>
      <c r="EN138" s="118">
        <f>SUM(ED138:EG138)</f>
        <v/>
      </c>
    </row>
    <row r="139" ht="15.75" customFormat="1" customHeight="1" s="118">
      <c r="A139" s="136" t="n"/>
      <c r="C139" s="136" t="inlineStr">
        <is>
          <t>(售完不進)滾針1.5mm</t>
        </is>
      </c>
      <c r="D139" s="285" t="n"/>
      <c r="E139" s="198" t="inlineStr">
        <is>
          <t>支</t>
        </is>
      </c>
      <c r="F139" s="225">
        <f>SUMIF(站前4樓!B:B,B139,站前4樓!F:F)</f>
        <v/>
      </c>
      <c r="G139" s="225">
        <f>SUMIF(站前11樓!B:B,B139,站前11樓!F:F)</f>
        <v/>
      </c>
      <c r="H139" s="225">
        <f>SUMIF(忠孝7樓!B:B,B139,忠孝7樓!G:G)</f>
        <v/>
      </c>
      <c r="I139" s="225">
        <f>SUMIF(忠孝國際醫學3樓!B:B,B139,忠孝國際醫學3樓!G:G)</f>
        <v/>
      </c>
      <c r="J139" s="225">
        <f>SUMIF(忠孝健康7樓!B:B,B139,忠孝健康7樓!G:G)</f>
        <v/>
      </c>
      <c r="K139" s="283" t="n"/>
      <c r="L139" s="283" t="n"/>
      <c r="M139" s="283" t="n"/>
      <c r="N139" s="283" t="n"/>
      <c r="O139" s="283" t="n"/>
      <c r="P139" s="283" t="n"/>
      <c r="Q139" s="283" t="n"/>
      <c r="R139" s="283" t="n"/>
      <c r="S139" s="283" t="n"/>
      <c r="T139" s="283" t="n"/>
      <c r="U139" s="283" t="n"/>
      <c r="V139" s="283" t="n"/>
      <c r="W139" s="283" t="n"/>
      <c r="X139" s="283" t="n"/>
      <c r="Y139" s="283" t="n"/>
      <c r="Z139" s="283" t="n"/>
      <c r="AA139" s="283" t="n"/>
      <c r="AB139" s="283" t="n"/>
      <c r="AC139" s="283" t="n"/>
      <c r="AD139" s="283" t="n"/>
      <c r="AE139" s="283" t="n"/>
      <c r="AF139" s="283" t="n"/>
      <c r="AG139" s="283" t="n"/>
      <c r="AH139" s="283" t="n"/>
      <c r="AI139" s="283" t="n"/>
      <c r="AJ139" s="201" t="n">
        <v>4</v>
      </c>
      <c r="AK139" s="201" t="n">
        <v>2</v>
      </c>
      <c r="AL139" s="201" t="n">
        <v>0</v>
      </c>
      <c r="AM139" s="201" t="n">
        <v>0</v>
      </c>
      <c r="AN139" s="201" t="n">
        <v>0</v>
      </c>
      <c r="AO139" s="201" t="n">
        <v>0</v>
      </c>
      <c r="AP139" s="201" t="n"/>
      <c r="AQ139" s="201" t="n">
        <v>0</v>
      </c>
      <c r="AR139" s="201" t="n">
        <v>0</v>
      </c>
      <c r="AS139" s="201" t="n">
        <v>0</v>
      </c>
      <c r="AT139" s="201" t="n">
        <v>0</v>
      </c>
      <c r="AU139" s="201" t="n">
        <v>0</v>
      </c>
      <c r="AV139" s="283">
        <f>SUM(AJ139:AU139)</f>
        <v/>
      </c>
      <c r="AW139" s="286">
        <f>AV139/12</f>
        <v/>
      </c>
      <c r="AX139" s="201" t="n">
        <v>0</v>
      </c>
      <c r="AY139" s="201" t="n">
        <v>0</v>
      </c>
      <c r="AZ139" s="201" t="n">
        <v>0</v>
      </c>
      <c r="BA139" s="201" t="n">
        <v>0</v>
      </c>
      <c r="BB139" s="201" t="n">
        <v>0</v>
      </c>
      <c r="BC139" s="203">
        <f>SUMIFS(領用表!$L:$L,領用表!$A:$A,BC$2,領用表!$E:$E,B139)</f>
        <v/>
      </c>
      <c r="BD139" s="287">
        <f>SUMIFS(領用表!$L:$L,領用表!$E:$E,$B139,領用表!$B:$B,BC$2&amp;BD$2)</f>
        <v/>
      </c>
      <c r="BE139" s="287">
        <f>SUMIFS(領用表!$L:$L,領用表!$E:$E,$B139,領用表!$B:$B,$BC$2&amp;BE$2)</f>
        <v/>
      </c>
      <c r="BF139" s="287">
        <f>SUMIFS(領用表!$L:$L,領用表!$E:$E,$B139,領用表!$B:$B,$BC$2&amp;BF$2)</f>
        <v/>
      </c>
      <c r="BG139" s="206">
        <f>SUMIFS(領用表!$L:$L,領用表!$E:$E,$B139,領用表!$B:$B,$BC$2&amp;BG$2)</f>
        <v/>
      </c>
      <c r="BH139" s="203">
        <f>SUMIFS(領用表!$L:$L,領用表!$A:$A,BH$2,領用表!$E:$E,B139)</f>
        <v/>
      </c>
      <c r="BI139" s="260">
        <f>SUMIFS(領用表!$L:$L,領用表!$E:$E,$B139,領用表!$B:$B,BH$2&amp;BI$2)</f>
        <v/>
      </c>
      <c r="BJ139" s="260">
        <f>SUMIFS(領用表!$L:$L,領用表!$E:$E,$B139,領用表!$B:$B,$BH$2&amp;BJ$2)</f>
        <v/>
      </c>
      <c r="BK139" s="260">
        <f>SUMIFS(領用表!$L:$L,領用表!$E:$E,$B139,領用表!$B:$B,$BH$2&amp;BK$2)</f>
        <v/>
      </c>
      <c r="BL139" s="260">
        <f>SUMIFS(領用表!$L:$L,領用表!$E:$E,$B139,領用表!$B:$B,$BH$2&amp;BL$2)</f>
        <v/>
      </c>
      <c r="BM139" s="203">
        <f>SUMIFS(領用表!$L:$L,領用表!$A:$A,BM$2,領用表!$E:$E,B139)</f>
        <v/>
      </c>
      <c r="BN139" s="206">
        <f>SUMIFS(領用表!$L:$L,領用表!$E:$E,$B139,領用表!$B:$B,BM$2&amp;BN$2)</f>
        <v/>
      </c>
      <c r="BO139" s="206">
        <f>SUMIFS(領用表!$L:$L,領用表!$E:$E,$B139,領用表!$B:$B,$BM$2&amp;BO$2)</f>
        <v/>
      </c>
      <c r="BP139" s="288">
        <f>SUMIFS(領用表!$L:$L,領用表!$E:$E,$B139,領用表!$B:$B,$BM$2&amp;BP$2)</f>
        <v/>
      </c>
      <c r="BQ139" s="287">
        <f>SUMIFS(領用表!$L:$L,領用表!$E:$E,$B139,領用表!$B:$B,$BM$2&amp;BQ$2)</f>
        <v/>
      </c>
      <c r="BR139" s="203">
        <f>SUMIFS(領用表!$L:$L,領用表!$A:$A,BR$2,領用表!$E:$E,B139)</f>
        <v/>
      </c>
      <c r="BS139" s="288">
        <f>SUMIFS(領用表!$L:$L,領用表!$E:$E,$B139,領用表!$B:$B,BR$2&amp;BS$2)</f>
        <v/>
      </c>
      <c r="BT139" s="288">
        <f>SUMIFS(領用表!$L:$L,領用表!$E:$E,$B139,領用表!$B:$B,$BR$2&amp;BT$2)</f>
        <v/>
      </c>
      <c r="BU139" s="288">
        <f>SUMIFS(領用表!$L:$L,領用表!$E:$E,$B139,領用表!$B:$B,$BR$2&amp;BU$2)</f>
        <v/>
      </c>
      <c r="BV139" s="287">
        <f>SUMIFS(領用表!$L:$L,領用表!$E:$E,$B139,領用表!$B:$B,$BR$2&amp;BV$2)</f>
        <v/>
      </c>
      <c r="BW139" s="208">
        <f>SUMIFS(領用表!$L:$L,領用表!$A:$A,BW$2,領用表!$E:$E,B139)</f>
        <v/>
      </c>
      <c r="BX139" s="206">
        <f>SUMIFS(領用表!$L:$L,領用表!$E:$E,$B139,領用表!$B:$B,BW$2&amp;BX$2)</f>
        <v/>
      </c>
      <c r="BY139" s="206">
        <f>SUMIFS(領用表!$L:$L,領用表!$E:$E,$B139,領用表!$B:$B,$BW$2&amp;BY$2)</f>
        <v/>
      </c>
      <c r="BZ139" s="206">
        <f>SUMIFS(領用表!$L:$L,領用表!$E:$E,$B139,領用表!$B:$B,$BW$2&amp;BZ$2)</f>
        <v/>
      </c>
      <c r="CA139" s="206">
        <f>SUMIFS(領用表!$L:$L,領用表!$E:$E,$B139,領用表!$B:$B,$BW$2&amp;CA$2)</f>
        <v/>
      </c>
      <c r="CB139" s="208">
        <f>SUMIFS(領用表!$L:$L,領用表!$A:$A,CB$2,領用表!$E:$E,B139)</f>
        <v/>
      </c>
      <c r="CC139" s="206">
        <f>SUMIFS(領用表!$L:$L,領用表!$E:$E,$B139,領用表!$B:$B,CB$2&amp;CC$2)</f>
        <v/>
      </c>
      <c r="CD139" s="206">
        <f>SUMIFS(領用表!$L:$L,領用表!$E:$E,$B139,領用表!$B:$B,$CB$2&amp;CD$2)</f>
        <v/>
      </c>
      <c r="CE139" s="206">
        <f>SUMIFS(領用表!$L:$L,領用表!$E:$E,$B139,領用表!$B:$B,$CB$2&amp;CE$2)</f>
        <v/>
      </c>
      <c r="CF139" s="206">
        <f>SUMIFS(領用表!$L:$L,領用表!$E:$E,$B139,領用表!$B:$B,$CB$2&amp;CF$2)</f>
        <v/>
      </c>
      <c r="CG139" s="208">
        <f>SUMIFS(領用表!$L:$L,領用表!$A:$A,CG$2,領用表!$E:$E,B139)</f>
        <v/>
      </c>
      <c r="CH139" s="206">
        <f>SUMIFS(領用表!$L:$L,領用表!$E:$E,$B139,領用表!$B:$B,CG$2&amp;CH$2)</f>
        <v/>
      </c>
      <c r="CI139" s="206">
        <f>SUMIFS(領用表!$L:$L,領用表!$E:$E,$B139,領用表!$B:$B,CG$2&amp;CI$2)</f>
        <v/>
      </c>
      <c r="CJ139" s="206">
        <f>SUMIFS(領用表!$L:$L,領用表!$E:$E,$B139,領用表!$B:$B,CG$2&amp;CJ$2)</f>
        <v/>
      </c>
      <c r="CK139" s="206">
        <f>SUMIFS(領用表!$L:$L,領用表!$E:$E,$B139,領用表!$B:$B,$CG$2&amp;CK$2)</f>
        <v/>
      </c>
      <c r="CL139" s="207">
        <f>SUM(AX139,AY139,AZ139,BA139,BB139,BC139,BH139,BM139,BR139,BW139,CB139,CG139)</f>
        <v/>
      </c>
      <c r="CM139" s="207">
        <f>AVERAGE(AX139,AY139,AZ139,BA139,BB139,BC139,BH139,BM139,BR139,BW139,CB139,CG139)</f>
        <v/>
      </c>
      <c r="CN139" s="208">
        <f>SUMIFS(領用表!$L:$L,領用表!$A:$A,CN$2,領用表!$E:$E,B139)</f>
        <v/>
      </c>
      <c r="CO139" s="206">
        <f>SUMIFS(領用表!$L:$L,領用表!$E:$E,$B139,領用表!$B:$B,CN$2&amp;CO$2)</f>
        <v/>
      </c>
      <c r="CP139" s="206">
        <f>SUMIFS(領用表!$L:$L,領用表!$E:$E,$B139,領用表!$B:$B,$CN$2&amp;CP$2)</f>
        <v/>
      </c>
      <c r="CQ139" s="206">
        <f>SUMIFS(領用表!$L:$L,領用表!$E:$E,$B139,領用表!$B:$B,$CN$2&amp;CQ$2)</f>
        <v/>
      </c>
      <c r="CR139" s="206">
        <f>SUMIFS(領用表!$L:$L,領用表!$E:$E,$B139,領用表!$B:$B,$CN$2&amp;CR$2)</f>
        <v/>
      </c>
      <c r="CS139" s="208">
        <f>SUMIFS(領用表!$L:$L,領用表!$A:$A,CS$2,領用表!$E:$E,B139)</f>
        <v/>
      </c>
      <c r="CT139" s="206">
        <f>SUMIFS(領用表!$L:$L,領用表!$E:$E,$B139,領用表!$B:$B,CS$2&amp;CT$2)</f>
        <v/>
      </c>
      <c r="CU139" s="206">
        <f>SUMIFS(領用表!$L:$L,領用表!$E:$E,$B139,領用表!$B:$B,$CS$2&amp;CU$2)</f>
        <v/>
      </c>
      <c r="CV139" s="206">
        <f>SUMIFS(領用表!$L:$L,領用表!$E:$E,$B139,領用表!$B:$B,$CS$2&amp;CV$2)</f>
        <v/>
      </c>
      <c r="CW139" s="206">
        <f>SUMIFS(領用表!$L:$L,領用表!$E:$E,$B139,領用表!$B:$B,$CS$2&amp;CW$2)</f>
        <v/>
      </c>
      <c r="CX139" s="206">
        <f>SUMIFS(領用表!$L:$L,領用表!$E:$E,$B139,領用表!$B:$B,$CS$2&amp;CX$2)</f>
        <v/>
      </c>
      <c r="CY139" s="208">
        <f>SUMIFS(領用表!$L:$L,領用表!$A:$A,CY$2,領用表!$E:$E,B139)</f>
        <v/>
      </c>
      <c r="CZ139" s="206">
        <f>SUMIFS(領用表!$L:$L,領用表!$E:$E,$B139,領用表!$B:$B,CY$2&amp;CZ$2)</f>
        <v/>
      </c>
      <c r="DA139" s="206">
        <f>SUMIFS(領用表!$L:$L,領用表!$E:$E,$B139,領用表!$B:$B,$CY$2&amp;DA$2)</f>
        <v/>
      </c>
      <c r="DB139" s="206">
        <f>SUMIFS(領用表!$L:$L,領用表!$E:$E,$B139,領用表!$B:$B,$CY$2&amp;DB$2)</f>
        <v/>
      </c>
      <c r="DC139" s="206">
        <f>SUMIFS(領用表!$L:$L,領用表!$E:$E,$B139,領用表!$B:$B,$CY$2&amp;DC$2)</f>
        <v/>
      </c>
      <c r="DD139" s="206">
        <f>SUMIFS(領用表!$L:$L,領用表!$E:$E,$B139,領用表!$B:$B,$CY$2&amp;DD$2)</f>
        <v/>
      </c>
      <c r="DE139" s="208">
        <f>SUMIFS(領用表!$L:$L,領用表!$A:$A,DE$2,領用表!$E:$E,B139)</f>
        <v/>
      </c>
      <c r="DF139" s="206">
        <f>SUMIFS(領用表!$L:$L,領用表!$E:$E,$B139,領用表!$B:$B,DE$2&amp;DF$2)</f>
        <v/>
      </c>
      <c r="DG139" s="206">
        <f>SUMIFS(領用表!$L:$L,領用表!$E:$E,$B139,領用表!$B:$B,$DE$2&amp;DG$2)</f>
        <v/>
      </c>
      <c r="DH139" s="206">
        <f>SUMIFS(領用表!$L:$L,領用表!$E:$E,$B139,領用表!$B:$B,$DE$2&amp;DH$2)</f>
        <v/>
      </c>
      <c r="DI139" s="206">
        <f>SUMIFS(領用表!$L:$L,領用表!$E:$E,$B139,領用表!$B:$B,$DE$2&amp;DI$2)</f>
        <v/>
      </c>
      <c r="DJ139" s="206">
        <f>SUMIFS(領用表!$L:$L,領用表!$E:$E,$B139,領用表!$B:$B,$DE$2&amp;DJ$2)</f>
        <v/>
      </c>
      <c r="DK139" s="208">
        <f>SUMIFS(領用表!$L:$L,領用表!$A:$A,DK$2,領用表!$E:$E,$B139)</f>
        <v/>
      </c>
      <c r="DL139" s="206">
        <f>SUMIFS(領用表!$L:$L,領用表!$E:$E,$B139,領用表!$B:$B,DK$2&amp;DL$2)</f>
        <v/>
      </c>
      <c r="DM139" s="206">
        <f>SUMIFS(領用表!$L:$L,領用表!$E:$E,$B139,領用表!$B:$B,$DK$2&amp;DM$2)</f>
        <v/>
      </c>
      <c r="DN139" s="206">
        <f>SUMIFS(領用表!$L:$L,領用表!$E:$E,$B139,領用表!$B:$B,$DK$2&amp;DN$2)</f>
        <v/>
      </c>
      <c r="DO139" s="206">
        <f>SUMIFS(領用表!$L:$L,領用表!$E:$E,$B139,領用表!$B:$B,$DK$2&amp;DO$2)</f>
        <v/>
      </c>
      <c r="DP139" s="206">
        <f>SUMIFS(領用表!$L:$L,領用表!$E:$E,$B139,領用表!$B:$B,$DK$2&amp;DP$2)</f>
        <v/>
      </c>
      <c r="DQ139" s="208" t="n"/>
      <c r="DR139" s="206" t="n"/>
      <c r="DS139" s="206" t="n"/>
      <c r="DT139" s="206" t="n"/>
      <c r="DU139" s="206" t="n"/>
      <c r="DV139" s="206" t="n"/>
      <c r="DW139" s="206">
        <f>SUM(CN139,CS139,CY139,DE139,DK139,DQ139)</f>
        <v/>
      </c>
      <c r="DX139" s="206">
        <f>AVERAGEA(CN139,CS139,CY139,DE139,DK139,DQ139)</f>
        <v/>
      </c>
      <c r="DY139" s="206">
        <f>SUM(DZ139:EC139)</f>
        <v/>
      </c>
      <c r="DZ139" s="206" t="n">
        <v>0</v>
      </c>
      <c r="EA139" s="206" t="n">
        <v>0</v>
      </c>
      <c r="EB139" s="206" t="n">
        <v>0</v>
      </c>
      <c r="EC139" s="206" t="n">
        <v>0</v>
      </c>
      <c r="ED139" s="258" t="n">
        <v>0</v>
      </c>
      <c r="EE139" s="283" t="n"/>
      <c r="EF139" s="283" t="n"/>
      <c r="EG139" s="283" t="n"/>
      <c r="EH139" s="136" t="n"/>
      <c r="EI139" s="136" t="n"/>
      <c r="EJ139" s="118">
        <f>IFERROR(VLOOKUP(A139,站前4樓!A:BF,57,0),0)</f>
        <v/>
      </c>
      <c r="EK139" s="213">
        <f>IFERROR(VLOOKUP(A139,站前11樓!A:BE,57,0),0)</f>
        <v/>
      </c>
      <c r="EL139" s="118">
        <f>IFERROR(VLOOKUP(A139,忠孝7樓!A:N,57,0),0)</f>
        <v/>
      </c>
      <c r="EM139" s="118">
        <f>IFERROR(VLOOKUP(A139,忠孝國際醫學3樓!A:L,57,0),0)</f>
        <v/>
      </c>
      <c r="EN139" s="118">
        <f>SUM(ED139:EG139)</f>
        <v/>
      </c>
    </row>
    <row r="140" ht="15.75" customFormat="1" customHeight="1" s="118">
      <c r="A140" s="136" t="n"/>
      <c r="C140" s="136" t="inlineStr">
        <is>
          <t>(售完不進)滾針2.0mm</t>
        </is>
      </c>
      <c r="D140" s="285" t="n"/>
      <c r="E140" s="198" t="inlineStr">
        <is>
          <t>支</t>
        </is>
      </c>
      <c r="F140" s="225">
        <f>SUMIF(站前4樓!B:B,B140,站前4樓!F:F)</f>
        <v/>
      </c>
      <c r="G140" s="225">
        <f>SUMIF(站前11樓!B:B,B140,站前11樓!F:F)</f>
        <v/>
      </c>
      <c r="H140" s="225">
        <f>SUMIF(忠孝7樓!B:B,B140,忠孝7樓!G:G)</f>
        <v/>
      </c>
      <c r="I140" s="225">
        <f>SUMIF(忠孝國際醫學3樓!B:B,B140,忠孝國際醫學3樓!G:G)</f>
        <v/>
      </c>
      <c r="J140" s="225">
        <f>SUMIF(忠孝健康7樓!B:B,B140,忠孝健康7樓!G:G)</f>
        <v/>
      </c>
      <c r="K140" s="283" t="n"/>
      <c r="L140" s="283" t="n"/>
      <c r="M140" s="283" t="n"/>
      <c r="N140" s="283" t="n"/>
      <c r="O140" s="283" t="n"/>
      <c r="P140" s="283" t="n"/>
      <c r="Q140" s="283" t="n"/>
      <c r="R140" s="283" t="n"/>
      <c r="S140" s="283" t="n"/>
      <c r="T140" s="283" t="n"/>
      <c r="U140" s="283" t="n"/>
      <c r="V140" s="283" t="n"/>
      <c r="W140" s="283" t="n"/>
      <c r="X140" s="283" t="n"/>
      <c r="Y140" s="283" t="n"/>
      <c r="Z140" s="283" t="n"/>
      <c r="AA140" s="283" t="n"/>
      <c r="AB140" s="283" t="n"/>
      <c r="AC140" s="283" t="n"/>
      <c r="AD140" s="283" t="n"/>
      <c r="AE140" s="283" t="n"/>
      <c r="AF140" s="283" t="n"/>
      <c r="AG140" s="283" t="n"/>
      <c r="AH140" s="283" t="n"/>
      <c r="AI140" s="283" t="n"/>
      <c r="AJ140" s="201" t="n">
        <v>1</v>
      </c>
      <c r="AK140" s="201" t="n">
        <v>2</v>
      </c>
      <c r="AL140" s="201" t="n">
        <v>0</v>
      </c>
      <c r="AM140" s="201" t="n">
        <v>0</v>
      </c>
      <c r="AN140" s="201" t="n">
        <v>0</v>
      </c>
      <c r="AO140" s="201" t="n">
        <v>0</v>
      </c>
      <c r="AP140" s="201" t="n"/>
      <c r="AQ140" s="201" t="n">
        <v>0</v>
      </c>
      <c r="AR140" s="201" t="n">
        <v>0</v>
      </c>
      <c r="AS140" s="201" t="n">
        <v>0</v>
      </c>
      <c r="AT140" s="201" t="n">
        <v>0</v>
      </c>
      <c r="AU140" s="201" t="n">
        <v>0</v>
      </c>
      <c r="AV140" s="283">
        <f>SUM(AJ140:AU140)</f>
        <v/>
      </c>
      <c r="AW140" s="286">
        <f>AV140/12</f>
        <v/>
      </c>
      <c r="AX140" s="201" t="n">
        <v>0</v>
      </c>
      <c r="AY140" s="201" t="n">
        <v>0</v>
      </c>
      <c r="AZ140" s="201" t="n">
        <v>0</v>
      </c>
      <c r="BA140" s="201" t="n">
        <v>0</v>
      </c>
      <c r="BB140" s="201" t="n">
        <v>0</v>
      </c>
      <c r="BC140" s="203">
        <f>SUMIFS(領用表!$L:$L,領用表!$A:$A,BC$2,領用表!$E:$E,B140)</f>
        <v/>
      </c>
      <c r="BD140" s="287">
        <f>SUMIFS(領用表!$L:$L,領用表!$E:$E,$B140,領用表!$B:$B,BC$2&amp;BD$2)</f>
        <v/>
      </c>
      <c r="BE140" s="287">
        <f>SUMIFS(領用表!$L:$L,領用表!$E:$E,$B140,領用表!$B:$B,$BC$2&amp;BE$2)</f>
        <v/>
      </c>
      <c r="BF140" s="287">
        <f>SUMIFS(領用表!$L:$L,領用表!$E:$E,$B140,領用表!$B:$B,$BC$2&amp;BF$2)</f>
        <v/>
      </c>
      <c r="BG140" s="206">
        <f>SUMIFS(領用表!$L:$L,領用表!$E:$E,$B140,領用表!$B:$B,$BC$2&amp;BG$2)</f>
        <v/>
      </c>
      <c r="BH140" s="203">
        <f>SUMIFS(領用表!$L:$L,領用表!$A:$A,BH$2,領用表!$E:$E,B140)</f>
        <v/>
      </c>
      <c r="BI140" s="260">
        <f>SUMIFS(領用表!$L:$L,領用表!$E:$E,$B140,領用表!$B:$B,BH$2&amp;BI$2)</f>
        <v/>
      </c>
      <c r="BJ140" s="260">
        <f>SUMIFS(領用表!$L:$L,領用表!$E:$E,$B140,領用表!$B:$B,$BH$2&amp;BJ$2)</f>
        <v/>
      </c>
      <c r="BK140" s="260">
        <f>SUMIFS(領用表!$L:$L,領用表!$E:$E,$B140,領用表!$B:$B,$BH$2&amp;BK$2)</f>
        <v/>
      </c>
      <c r="BL140" s="260">
        <f>SUMIFS(領用表!$L:$L,領用表!$E:$E,$B140,領用表!$B:$B,$BH$2&amp;BL$2)</f>
        <v/>
      </c>
      <c r="BM140" s="203">
        <f>SUMIFS(領用表!$L:$L,領用表!$A:$A,BM$2,領用表!$E:$E,B140)</f>
        <v/>
      </c>
      <c r="BN140" s="206">
        <f>SUMIFS(領用表!$L:$L,領用表!$E:$E,$B140,領用表!$B:$B,BM$2&amp;BN$2)</f>
        <v/>
      </c>
      <c r="BO140" s="206">
        <f>SUMIFS(領用表!$L:$L,領用表!$E:$E,$B140,領用表!$B:$B,$BM$2&amp;BO$2)</f>
        <v/>
      </c>
      <c r="BP140" s="288">
        <f>SUMIFS(領用表!$L:$L,領用表!$E:$E,$B140,領用表!$B:$B,$BM$2&amp;BP$2)</f>
        <v/>
      </c>
      <c r="BQ140" s="287">
        <f>SUMIFS(領用表!$L:$L,領用表!$E:$E,$B140,領用表!$B:$B,$BM$2&amp;BQ$2)</f>
        <v/>
      </c>
      <c r="BR140" s="203">
        <f>SUMIFS(領用表!$L:$L,領用表!$A:$A,BR$2,領用表!$E:$E,B140)</f>
        <v/>
      </c>
      <c r="BS140" s="288">
        <f>SUMIFS(領用表!$L:$L,領用表!$E:$E,$B140,領用表!$B:$B,BR$2&amp;BS$2)</f>
        <v/>
      </c>
      <c r="BT140" s="288">
        <f>SUMIFS(領用表!$L:$L,領用表!$E:$E,$B140,領用表!$B:$B,$BR$2&amp;BT$2)</f>
        <v/>
      </c>
      <c r="BU140" s="288">
        <f>SUMIFS(領用表!$L:$L,領用表!$E:$E,$B140,領用表!$B:$B,$BR$2&amp;BU$2)</f>
        <v/>
      </c>
      <c r="BV140" s="287">
        <f>SUMIFS(領用表!$L:$L,領用表!$E:$E,$B140,領用表!$B:$B,$BR$2&amp;BV$2)</f>
        <v/>
      </c>
      <c r="BW140" s="208">
        <f>SUMIFS(領用表!$L:$L,領用表!$A:$A,BW$2,領用表!$E:$E,B140)</f>
        <v/>
      </c>
      <c r="BX140" s="206">
        <f>SUMIFS(領用表!$L:$L,領用表!$E:$E,$B140,領用表!$B:$B,BW$2&amp;BX$2)</f>
        <v/>
      </c>
      <c r="BY140" s="206">
        <f>SUMIFS(領用表!$L:$L,領用表!$E:$E,$B140,領用表!$B:$B,$BW$2&amp;BY$2)</f>
        <v/>
      </c>
      <c r="BZ140" s="206">
        <f>SUMIFS(領用表!$L:$L,領用表!$E:$E,$B140,領用表!$B:$B,$BW$2&amp;BZ$2)</f>
        <v/>
      </c>
      <c r="CA140" s="206">
        <f>SUMIFS(領用表!$L:$L,領用表!$E:$E,$B140,領用表!$B:$B,$BW$2&amp;CA$2)</f>
        <v/>
      </c>
      <c r="CB140" s="208">
        <f>SUMIFS(領用表!$L:$L,領用表!$A:$A,CB$2,領用表!$E:$E,B140)</f>
        <v/>
      </c>
      <c r="CC140" s="206">
        <f>SUMIFS(領用表!$L:$L,領用表!$E:$E,$B140,領用表!$B:$B,CB$2&amp;CC$2)</f>
        <v/>
      </c>
      <c r="CD140" s="206">
        <f>SUMIFS(領用表!$L:$L,領用表!$E:$E,$B140,領用表!$B:$B,$CB$2&amp;CD$2)</f>
        <v/>
      </c>
      <c r="CE140" s="206">
        <f>SUMIFS(領用表!$L:$L,領用表!$E:$E,$B140,領用表!$B:$B,$CB$2&amp;CE$2)</f>
        <v/>
      </c>
      <c r="CF140" s="206">
        <f>SUMIFS(領用表!$L:$L,領用表!$E:$E,$B140,領用表!$B:$B,$CB$2&amp;CF$2)</f>
        <v/>
      </c>
      <c r="CG140" s="208">
        <f>SUMIFS(領用表!$L:$L,領用表!$A:$A,CG$2,領用表!$E:$E,B140)</f>
        <v/>
      </c>
      <c r="CH140" s="206">
        <f>SUMIFS(領用表!$L:$L,領用表!$E:$E,$B140,領用表!$B:$B,CG$2&amp;CH$2)</f>
        <v/>
      </c>
      <c r="CI140" s="206">
        <f>SUMIFS(領用表!$L:$L,領用表!$E:$E,$B140,領用表!$B:$B,CG$2&amp;CI$2)</f>
        <v/>
      </c>
      <c r="CJ140" s="206">
        <f>SUMIFS(領用表!$L:$L,領用表!$E:$E,$B140,領用表!$B:$B,CG$2&amp;CJ$2)</f>
        <v/>
      </c>
      <c r="CK140" s="206">
        <f>SUMIFS(領用表!$L:$L,領用表!$E:$E,$B140,領用表!$B:$B,$CG$2&amp;CK$2)</f>
        <v/>
      </c>
      <c r="CL140" s="207">
        <f>SUM(AX140,AY140,AZ140,BA140,BB140,BC140,BH140,BM140,BR140,BW140,CB140,CG140)</f>
        <v/>
      </c>
      <c r="CM140" s="207">
        <f>AVERAGE(AX140,AY140,AZ140,BA140,BB140,BC140,BH140,BM140,BR140,BW140,CB140,CG140)</f>
        <v/>
      </c>
      <c r="CN140" s="208">
        <f>SUMIFS(領用表!$L:$L,領用表!$A:$A,CN$2,領用表!$E:$E,B140)</f>
        <v/>
      </c>
      <c r="CO140" s="206">
        <f>SUMIFS(領用表!$L:$L,領用表!$E:$E,$B140,領用表!$B:$B,CN$2&amp;CO$2)</f>
        <v/>
      </c>
      <c r="CP140" s="206">
        <f>SUMIFS(領用表!$L:$L,領用表!$E:$E,$B140,領用表!$B:$B,$CN$2&amp;CP$2)</f>
        <v/>
      </c>
      <c r="CQ140" s="206">
        <f>SUMIFS(領用表!$L:$L,領用表!$E:$E,$B140,領用表!$B:$B,$CN$2&amp;CQ$2)</f>
        <v/>
      </c>
      <c r="CR140" s="206">
        <f>SUMIFS(領用表!$L:$L,領用表!$E:$E,$B140,領用表!$B:$B,$CN$2&amp;CR$2)</f>
        <v/>
      </c>
      <c r="CS140" s="208">
        <f>SUMIFS(領用表!$L:$L,領用表!$A:$A,CS$2,領用表!$E:$E,B140)</f>
        <v/>
      </c>
      <c r="CT140" s="206">
        <f>SUMIFS(領用表!$L:$L,領用表!$E:$E,$B140,領用表!$B:$B,CS$2&amp;CT$2)</f>
        <v/>
      </c>
      <c r="CU140" s="206">
        <f>SUMIFS(領用表!$L:$L,領用表!$E:$E,$B140,領用表!$B:$B,$CS$2&amp;CU$2)</f>
        <v/>
      </c>
      <c r="CV140" s="206">
        <f>SUMIFS(領用表!$L:$L,領用表!$E:$E,$B140,領用表!$B:$B,$CS$2&amp;CV$2)</f>
        <v/>
      </c>
      <c r="CW140" s="206">
        <f>SUMIFS(領用表!$L:$L,領用表!$E:$E,$B140,領用表!$B:$B,$CS$2&amp;CW$2)</f>
        <v/>
      </c>
      <c r="CX140" s="206">
        <f>SUMIFS(領用表!$L:$L,領用表!$E:$E,$B140,領用表!$B:$B,$CS$2&amp;CX$2)</f>
        <v/>
      </c>
      <c r="CY140" s="208">
        <f>SUMIFS(領用表!$L:$L,領用表!$A:$A,CY$2,領用表!$E:$E,B140)</f>
        <v/>
      </c>
      <c r="CZ140" s="206">
        <f>SUMIFS(領用表!$L:$L,領用表!$E:$E,$B140,領用表!$B:$B,CY$2&amp;CZ$2)</f>
        <v/>
      </c>
      <c r="DA140" s="206">
        <f>SUMIFS(領用表!$L:$L,領用表!$E:$E,$B140,領用表!$B:$B,$CY$2&amp;DA$2)</f>
        <v/>
      </c>
      <c r="DB140" s="206">
        <f>SUMIFS(領用表!$L:$L,領用表!$E:$E,$B140,領用表!$B:$B,$CY$2&amp;DB$2)</f>
        <v/>
      </c>
      <c r="DC140" s="206">
        <f>SUMIFS(領用表!$L:$L,領用表!$E:$E,$B140,領用表!$B:$B,$CY$2&amp;DC$2)</f>
        <v/>
      </c>
      <c r="DD140" s="206">
        <f>SUMIFS(領用表!$L:$L,領用表!$E:$E,$B140,領用表!$B:$B,$CY$2&amp;DD$2)</f>
        <v/>
      </c>
      <c r="DE140" s="208">
        <f>SUMIFS(領用表!$L:$L,領用表!$A:$A,DE$2,領用表!$E:$E,B140)</f>
        <v/>
      </c>
      <c r="DF140" s="206">
        <f>SUMIFS(領用表!$L:$L,領用表!$E:$E,$B140,領用表!$B:$B,DE$2&amp;DF$2)</f>
        <v/>
      </c>
      <c r="DG140" s="206">
        <f>SUMIFS(領用表!$L:$L,領用表!$E:$E,$B140,領用表!$B:$B,$DE$2&amp;DG$2)</f>
        <v/>
      </c>
      <c r="DH140" s="206">
        <f>SUMIFS(領用表!$L:$L,領用表!$E:$E,$B140,領用表!$B:$B,$DE$2&amp;DH$2)</f>
        <v/>
      </c>
      <c r="DI140" s="206">
        <f>SUMIFS(領用表!$L:$L,領用表!$E:$E,$B140,領用表!$B:$B,$DE$2&amp;DI$2)</f>
        <v/>
      </c>
      <c r="DJ140" s="206">
        <f>SUMIFS(領用表!$L:$L,領用表!$E:$E,$B140,領用表!$B:$B,$DE$2&amp;DJ$2)</f>
        <v/>
      </c>
      <c r="DK140" s="208">
        <f>SUMIFS(領用表!$L:$L,領用表!$A:$A,DK$2,領用表!$E:$E,$B140)</f>
        <v/>
      </c>
      <c r="DL140" s="206">
        <f>SUMIFS(領用表!$L:$L,領用表!$E:$E,$B140,領用表!$B:$B,DK$2&amp;DL$2)</f>
        <v/>
      </c>
      <c r="DM140" s="206">
        <f>SUMIFS(領用表!$L:$L,領用表!$E:$E,$B140,領用表!$B:$B,$DK$2&amp;DM$2)</f>
        <v/>
      </c>
      <c r="DN140" s="206">
        <f>SUMIFS(領用表!$L:$L,領用表!$E:$E,$B140,領用表!$B:$B,$DK$2&amp;DN$2)</f>
        <v/>
      </c>
      <c r="DO140" s="206">
        <f>SUMIFS(領用表!$L:$L,領用表!$E:$E,$B140,領用表!$B:$B,$DK$2&amp;DO$2)</f>
        <v/>
      </c>
      <c r="DP140" s="206">
        <f>SUMIFS(領用表!$L:$L,領用表!$E:$E,$B140,領用表!$B:$B,$DK$2&amp;DP$2)</f>
        <v/>
      </c>
      <c r="DQ140" s="208" t="n"/>
      <c r="DR140" s="206" t="n"/>
      <c r="DS140" s="206" t="n"/>
      <c r="DT140" s="206" t="n"/>
      <c r="DU140" s="206" t="n"/>
      <c r="DV140" s="206" t="n"/>
      <c r="DW140" s="206">
        <f>SUM(CN140,CS140,CY140,DE140,DK140,DQ140)</f>
        <v/>
      </c>
      <c r="DX140" s="206">
        <f>AVERAGEA(CN140,CS140,CY140,DE140,DK140,DQ140)</f>
        <v/>
      </c>
      <c r="DY140" s="206">
        <f>SUM(DZ140:EC140)</f>
        <v/>
      </c>
      <c r="DZ140" s="206" t="n">
        <v>0</v>
      </c>
      <c r="EA140" s="206" t="n">
        <v>0</v>
      </c>
      <c r="EB140" s="206" t="n">
        <v>0</v>
      </c>
      <c r="EC140" s="206" t="n">
        <v>0</v>
      </c>
      <c r="ED140" s="258" t="n">
        <v>0</v>
      </c>
      <c r="EE140" s="283" t="n"/>
      <c r="EF140" s="283" t="n"/>
      <c r="EG140" s="283" t="n"/>
      <c r="EH140" s="136" t="n"/>
      <c r="EI140" s="136" t="n"/>
      <c r="EJ140" s="118">
        <f>IFERROR(VLOOKUP(A140,站前4樓!A:BF,57,0),0)</f>
        <v/>
      </c>
      <c r="EK140" s="213">
        <f>IFERROR(VLOOKUP(A140,站前11樓!A:BE,57,0),0)</f>
        <v/>
      </c>
      <c r="EL140" s="118">
        <f>IFERROR(VLOOKUP(A140,忠孝7樓!A:N,57,0),0)</f>
        <v/>
      </c>
      <c r="EM140" s="118">
        <f>IFERROR(VLOOKUP(A140,忠孝國際醫學3樓!A:L,57,0),0)</f>
        <v/>
      </c>
      <c r="EN140" s="118">
        <f>SUM(ED140:EG140)</f>
        <v/>
      </c>
    </row>
    <row r="141" ht="15.75" customFormat="1" customHeight="1" s="118">
      <c r="A141" s="136" t="n"/>
      <c r="C141" s="136" t="inlineStr">
        <is>
          <t>鈍針_27G</t>
        </is>
      </c>
      <c r="D141" s="285" t="n"/>
      <c r="E141" s="198" t="inlineStr">
        <is>
          <t>支</t>
        </is>
      </c>
      <c r="F141" s="225">
        <f>SUMIF(站前4樓!B:B,B141,站前4樓!F:F)</f>
        <v/>
      </c>
      <c r="G141" s="225">
        <f>SUMIF(站前11樓!B:B,B141,站前11樓!F:F)</f>
        <v/>
      </c>
      <c r="H141" s="225">
        <f>SUMIF(忠孝7樓!B:B,B141,忠孝7樓!G:G)</f>
        <v/>
      </c>
      <c r="I141" s="225">
        <f>SUMIF(忠孝國際醫學3樓!B:B,B141,忠孝國際醫學3樓!G:G)</f>
        <v/>
      </c>
      <c r="J141" s="225">
        <f>SUMIF(忠孝健康7樓!B:B,B141,忠孝健康7樓!G:G)</f>
        <v/>
      </c>
      <c r="K141" s="283" t="n"/>
      <c r="L141" s="283" t="n"/>
      <c r="M141" s="283" t="n"/>
      <c r="N141" s="283" t="n"/>
      <c r="O141" s="283" t="n"/>
      <c r="P141" s="283" t="n"/>
      <c r="Q141" s="283" t="n"/>
      <c r="R141" s="283" t="n"/>
      <c r="S141" s="283" t="n"/>
      <c r="T141" s="283" t="n"/>
      <c r="U141" s="283" t="n"/>
      <c r="V141" s="283" t="n"/>
      <c r="W141" s="283" t="n"/>
      <c r="X141" s="283" t="n"/>
      <c r="Y141" s="283" t="n"/>
      <c r="Z141" s="283" t="n"/>
      <c r="AA141" s="283" t="n"/>
      <c r="AB141" s="283" t="n"/>
      <c r="AC141" s="283" t="n"/>
      <c r="AD141" s="283" t="n"/>
      <c r="AE141" s="283" t="n"/>
      <c r="AF141" s="283" t="n"/>
      <c r="AG141" s="283" t="n"/>
      <c r="AH141" s="283" t="n"/>
      <c r="AI141" s="283" t="n"/>
      <c r="AJ141" s="201" t="n"/>
      <c r="AK141" s="201" t="n"/>
      <c r="AL141" s="201" t="n"/>
      <c r="AM141" s="201" t="n"/>
      <c r="AN141" s="201" t="n"/>
      <c r="AO141" s="201" t="n"/>
      <c r="AP141" s="201" t="n"/>
      <c r="AQ141" s="201" t="n"/>
      <c r="AR141" s="201" t="n"/>
      <c r="AS141" s="201" t="n"/>
      <c r="AT141" s="201" t="n"/>
      <c r="AU141" s="201" t="n"/>
      <c r="AV141" s="283" t="n"/>
      <c r="AW141" s="286" t="n"/>
      <c r="AX141" s="201" t="n"/>
      <c r="AY141" s="201" t="n"/>
      <c r="AZ141" s="201" t="n"/>
      <c r="BA141" s="201" t="n">
        <v>0</v>
      </c>
      <c r="BB141" s="201" t="n">
        <v>0</v>
      </c>
      <c r="BC141" s="295">
        <f>SUMIFS(領用表!$L:$L,領用表!$A:$A,BC$2,領用表!$E:$E,B141)</f>
        <v/>
      </c>
      <c r="BD141" s="287">
        <f>SUMIFS(領用表!$L:$L,領用表!$E:$E,$B141,領用表!$B:$B,BC$2&amp;BD$2)</f>
        <v/>
      </c>
      <c r="BE141" s="287">
        <f>SUMIFS(領用表!$L:$L,領用表!$E:$E,$B141,領用表!$B:$B,$BC$2&amp;BE$2)</f>
        <v/>
      </c>
      <c r="BF141" s="287">
        <f>SUMIFS(領用表!$L:$L,領用表!$E:$E,$B141,領用表!$B:$B,$BC$2&amp;BF$2)</f>
        <v/>
      </c>
      <c r="BG141" s="206">
        <f>SUMIFS(領用表!$L:$L,領用表!$E:$E,$B141,領用表!$B:$B,$BC$2&amp;BG$2)</f>
        <v/>
      </c>
      <c r="BH141" s="203">
        <f>SUMIFS(領用表!$L:$L,領用表!$A:$A,BH$2,領用表!$E:$E,B141)</f>
        <v/>
      </c>
      <c r="BI141" s="260">
        <f>SUMIFS(領用表!$L:$L,領用表!$E:$E,$B141,領用表!$B:$B,BH$2&amp;BI$2)</f>
        <v/>
      </c>
      <c r="BJ141" s="260">
        <f>SUMIFS(領用表!$L:$L,領用表!$E:$E,$B141,領用表!$B:$B,$BH$2&amp;BJ$2)</f>
        <v/>
      </c>
      <c r="BK141" s="260">
        <f>SUMIFS(領用表!$L:$L,領用表!$E:$E,$B141,領用表!$B:$B,$BH$2&amp;BK$2)</f>
        <v/>
      </c>
      <c r="BL141" s="260">
        <f>SUMIFS(領用表!$L:$L,領用表!$E:$E,$B141,領用表!$B:$B,$BH$2&amp;BL$2)</f>
        <v/>
      </c>
      <c r="BM141" s="203">
        <f>SUMIFS(領用表!$L:$L,領用表!$A:$A,BM$2,領用表!$E:$E,B141)</f>
        <v/>
      </c>
      <c r="BN141" s="206">
        <f>SUMIFS(領用表!$L:$L,領用表!$E:$E,$B141,領用表!$B:$B,BM$2&amp;BN$2)</f>
        <v/>
      </c>
      <c r="BO141" s="206">
        <f>SUMIFS(領用表!$L:$L,領用表!$E:$E,$B141,領用表!$B:$B,$BM$2&amp;BO$2)</f>
        <v/>
      </c>
      <c r="BP141" s="288">
        <f>SUMIFS(領用表!$L:$L,領用表!$E:$E,$B141,領用表!$B:$B,$BM$2&amp;BP$2)</f>
        <v/>
      </c>
      <c r="BQ141" s="287">
        <f>SUMIFS(領用表!$L:$L,領用表!$E:$E,$B141,領用表!$B:$B,$BM$2&amp;BQ$2)</f>
        <v/>
      </c>
      <c r="BR141" s="203">
        <f>SUMIFS(領用表!$L:$L,領用表!$A:$A,BR$2,領用表!$E:$E,B141)</f>
        <v/>
      </c>
      <c r="BS141" s="288">
        <f>SUMIFS(領用表!$L:$L,領用表!$E:$E,$B141,領用表!$B:$B,BR$2&amp;BS$2)</f>
        <v/>
      </c>
      <c r="BT141" s="288">
        <f>SUMIFS(領用表!$L:$L,領用表!$E:$E,$B141,領用表!$B:$B,$BR$2&amp;BT$2)</f>
        <v/>
      </c>
      <c r="BU141" s="288">
        <f>SUMIFS(領用表!$L:$L,領用表!$E:$E,$B141,領用表!$B:$B,$BR$2&amp;BU$2)</f>
        <v/>
      </c>
      <c r="BV141" s="287">
        <f>SUMIFS(領用表!$L:$L,領用表!$E:$E,$B141,領用表!$B:$B,$BR$2&amp;BV$2)</f>
        <v/>
      </c>
      <c r="BW141" s="208">
        <f>SUMIFS(領用表!$L:$L,領用表!$A:$A,BW$2,領用表!$E:$E,B141)</f>
        <v/>
      </c>
      <c r="BX141" s="206">
        <f>SUMIFS(領用表!$L:$L,領用表!$E:$E,$B141,領用表!$B:$B,BW$2&amp;BX$2)</f>
        <v/>
      </c>
      <c r="BY141" s="206">
        <f>SUMIFS(領用表!$L:$L,領用表!$E:$E,$B141,領用表!$B:$B,$BW$2&amp;BY$2)</f>
        <v/>
      </c>
      <c r="BZ141" s="206">
        <f>SUMIFS(領用表!$L:$L,領用表!$E:$E,$B141,領用表!$B:$B,$BW$2&amp;BZ$2)</f>
        <v/>
      </c>
      <c r="CA141" s="206">
        <f>SUMIFS(領用表!$L:$L,領用表!$E:$E,$B141,領用表!$B:$B,$BW$2&amp;CA$2)</f>
        <v/>
      </c>
      <c r="CB141" s="208">
        <f>SUMIFS(領用表!$L:$L,領用表!$A:$A,CB$2,領用表!$E:$E,B141)</f>
        <v/>
      </c>
      <c r="CC141" s="206">
        <f>SUMIFS(領用表!$L:$L,領用表!$E:$E,$B141,領用表!$B:$B,CB$2&amp;CC$2)</f>
        <v/>
      </c>
      <c r="CD141" s="206">
        <f>SUMIFS(領用表!$L:$L,領用表!$E:$E,$B141,領用表!$B:$B,$CB$2&amp;CD$2)</f>
        <v/>
      </c>
      <c r="CE141" s="206">
        <f>SUMIFS(領用表!$L:$L,領用表!$E:$E,$B141,領用表!$B:$B,$CB$2&amp;CE$2)</f>
        <v/>
      </c>
      <c r="CF141" s="206">
        <f>SUMIFS(領用表!$L:$L,領用表!$E:$E,$B141,領用表!$B:$B,$CB$2&amp;CF$2)</f>
        <v/>
      </c>
      <c r="CG141" s="208">
        <f>SUMIFS(領用表!$L:$L,領用表!$A:$A,CG$2,領用表!$E:$E,B141)</f>
        <v/>
      </c>
      <c r="CH141" s="206">
        <f>SUMIFS(領用表!$L:$L,領用表!$E:$E,$B141,領用表!$B:$B,CG$2&amp;CH$2)</f>
        <v/>
      </c>
      <c r="CI141" s="206">
        <f>SUMIFS(領用表!$L:$L,領用表!$E:$E,$B141,領用表!$B:$B,CG$2&amp;CI$2)</f>
        <v/>
      </c>
      <c r="CJ141" s="206">
        <f>SUMIFS(領用表!$L:$L,領用表!$E:$E,$B141,領用表!$B:$B,CG$2&amp;CJ$2)</f>
        <v/>
      </c>
      <c r="CK141" s="206">
        <f>SUMIFS(領用表!$L:$L,領用表!$E:$E,$B141,領用表!$B:$B,$CG$2&amp;CK$2)</f>
        <v/>
      </c>
      <c r="CL141" s="207">
        <f>SUM(AX141,AY141,AZ141,BA141,BB141,BC141,BH141,BM141,BR141,BW141,CB141,CG141)</f>
        <v/>
      </c>
      <c r="CM141" s="207">
        <f>AVERAGE(AX141,AY141,AZ141,BA141,BB141,BC141,BH141,BM141,BR141,BW141,CB141,CG141)</f>
        <v/>
      </c>
      <c r="CN141" s="208">
        <f>SUMIFS(領用表!$L:$L,領用表!$A:$A,CN$2,領用表!$E:$E,B141)</f>
        <v/>
      </c>
      <c r="CO141" s="206">
        <f>SUMIFS(領用表!$L:$L,領用表!$E:$E,$B141,領用表!$B:$B,CN$2&amp;CO$2)</f>
        <v/>
      </c>
      <c r="CP141" s="206">
        <f>SUMIFS(領用表!$L:$L,領用表!$E:$E,$B141,領用表!$B:$B,$CN$2&amp;CP$2)</f>
        <v/>
      </c>
      <c r="CQ141" s="206">
        <f>SUMIFS(領用表!$L:$L,領用表!$E:$E,$B141,領用表!$B:$B,$CN$2&amp;CQ$2)</f>
        <v/>
      </c>
      <c r="CR141" s="206">
        <f>SUMIFS(領用表!$L:$L,領用表!$E:$E,$B141,領用表!$B:$B,$CN$2&amp;CR$2)</f>
        <v/>
      </c>
      <c r="CS141" s="208">
        <f>SUMIFS(領用表!$L:$L,領用表!$A:$A,CS$2,領用表!$E:$E,B141)</f>
        <v/>
      </c>
      <c r="CT141" s="206">
        <f>SUMIFS(領用表!$L:$L,領用表!$E:$E,$B141,領用表!$B:$B,CS$2&amp;CT$2)</f>
        <v/>
      </c>
      <c r="CU141" s="206">
        <f>SUMIFS(領用表!$L:$L,領用表!$E:$E,$B141,領用表!$B:$B,$CS$2&amp;CU$2)</f>
        <v/>
      </c>
      <c r="CV141" s="206">
        <f>SUMIFS(領用表!$L:$L,領用表!$E:$E,$B141,領用表!$B:$B,$CS$2&amp;CV$2)</f>
        <v/>
      </c>
      <c r="CW141" s="206">
        <f>SUMIFS(領用表!$L:$L,領用表!$E:$E,$B141,領用表!$B:$B,$CS$2&amp;CW$2)</f>
        <v/>
      </c>
      <c r="CX141" s="206">
        <f>SUMIFS(領用表!$L:$L,領用表!$E:$E,$B141,領用表!$B:$B,$CS$2&amp;CX$2)</f>
        <v/>
      </c>
      <c r="CY141" s="208">
        <f>SUMIFS(領用表!$L:$L,領用表!$A:$A,CY$2,領用表!$E:$E,B141)</f>
        <v/>
      </c>
      <c r="CZ141" s="206">
        <f>SUMIFS(領用表!$L:$L,領用表!$E:$E,$B141,領用表!$B:$B,CY$2&amp;CZ$2)</f>
        <v/>
      </c>
      <c r="DA141" s="206">
        <f>SUMIFS(領用表!$L:$L,領用表!$E:$E,$B141,領用表!$B:$B,$CY$2&amp;DA$2)</f>
        <v/>
      </c>
      <c r="DB141" s="206">
        <f>SUMIFS(領用表!$L:$L,領用表!$E:$E,$B141,領用表!$B:$B,$CY$2&amp;DB$2)</f>
        <v/>
      </c>
      <c r="DC141" s="206">
        <f>SUMIFS(領用表!$L:$L,領用表!$E:$E,$B141,領用表!$B:$B,$CY$2&amp;DC$2)</f>
        <v/>
      </c>
      <c r="DD141" s="206">
        <f>SUMIFS(領用表!$L:$L,領用表!$E:$E,$B141,領用表!$B:$B,$CY$2&amp;DD$2)</f>
        <v/>
      </c>
      <c r="DE141" s="208">
        <f>SUMIFS(領用表!$L:$L,領用表!$A:$A,DE$2,領用表!$E:$E,B141)</f>
        <v/>
      </c>
      <c r="DF141" s="206">
        <f>SUMIFS(領用表!$L:$L,領用表!$E:$E,$B141,領用表!$B:$B,DE$2&amp;DF$2)</f>
        <v/>
      </c>
      <c r="DG141" s="206">
        <f>SUMIFS(領用表!$L:$L,領用表!$E:$E,$B141,領用表!$B:$B,$DE$2&amp;DG$2)</f>
        <v/>
      </c>
      <c r="DH141" s="206">
        <f>SUMIFS(領用表!$L:$L,領用表!$E:$E,$B141,領用表!$B:$B,$DE$2&amp;DH$2)</f>
        <v/>
      </c>
      <c r="DI141" s="206">
        <f>SUMIFS(領用表!$L:$L,領用表!$E:$E,$B141,領用表!$B:$B,$DE$2&amp;DI$2)</f>
        <v/>
      </c>
      <c r="DJ141" s="206">
        <f>SUMIFS(領用表!$L:$L,領用表!$E:$E,$B141,領用表!$B:$B,$DE$2&amp;DJ$2)</f>
        <v/>
      </c>
      <c r="DK141" s="208">
        <f>SUMIFS(領用表!$L:$L,領用表!$A:$A,DK$2,領用表!$E:$E,$B141)</f>
        <v/>
      </c>
      <c r="DL141" s="206">
        <f>SUMIFS(領用表!$L:$L,領用表!$E:$E,$B141,領用表!$B:$B,DK$2&amp;DL$2)</f>
        <v/>
      </c>
      <c r="DM141" s="206">
        <f>SUMIFS(領用表!$L:$L,領用表!$E:$E,$B141,領用表!$B:$B,$DK$2&amp;DM$2)</f>
        <v/>
      </c>
      <c r="DN141" s="206">
        <f>SUMIFS(領用表!$L:$L,領用表!$E:$E,$B141,領用表!$B:$B,$DK$2&amp;DN$2)</f>
        <v/>
      </c>
      <c r="DO141" s="206">
        <f>SUMIFS(領用表!$L:$L,領用表!$E:$E,$B141,領用表!$B:$B,$DK$2&amp;DO$2)</f>
        <v/>
      </c>
      <c r="DP141" s="206">
        <f>SUMIFS(領用表!$L:$L,領用表!$E:$E,$B141,領用表!$B:$B,$DK$2&amp;DP$2)</f>
        <v/>
      </c>
      <c r="DQ141" s="208" t="n"/>
      <c r="DR141" s="206" t="n"/>
      <c r="DS141" s="206" t="n"/>
      <c r="DT141" s="206" t="n"/>
      <c r="DU141" s="206" t="n"/>
      <c r="DV141" s="206" t="n"/>
      <c r="DW141" s="206">
        <f>SUM(CN141,CS141,CY141,DE141,DK141,DQ141)</f>
        <v/>
      </c>
      <c r="DX141" s="206">
        <f>AVERAGEA(CN141,CS141,CY141,DE141,DK141,DQ141)</f>
        <v/>
      </c>
      <c r="DY141" s="206">
        <f>SUM(DZ141:EC141)</f>
        <v/>
      </c>
      <c r="DZ141" s="206" t="n">
        <v>0</v>
      </c>
      <c r="EA141" s="206" t="n">
        <v>0</v>
      </c>
      <c r="EB141" s="206" t="n">
        <v>0</v>
      </c>
      <c r="EC141" s="206" t="n">
        <v>0</v>
      </c>
      <c r="ED141" s="258" t="n"/>
      <c r="EE141" s="283" t="n"/>
      <c r="EF141" s="283" t="n"/>
      <c r="EG141" s="283" t="n"/>
      <c r="EH141" s="136" t="n"/>
      <c r="EI141" s="136" t="n"/>
      <c r="EJ141" s="118">
        <f>IFERROR(VLOOKUP(A141,站前4樓!A:BF,57,0),0)</f>
        <v/>
      </c>
      <c r="EK141" s="213">
        <f>IFERROR(VLOOKUP(A141,站前11樓!A:BE,57,0),0)</f>
        <v/>
      </c>
      <c r="EL141" s="118">
        <f>IFERROR(VLOOKUP(A141,忠孝7樓!A:N,57,0),0)</f>
        <v/>
      </c>
      <c r="EM141" s="118">
        <f>IFERROR(VLOOKUP(A141,忠孝國際醫學3樓!A:L,57,0),0)</f>
        <v/>
      </c>
      <c r="EN141" s="118">
        <f>SUM(ED141:EG141)</f>
        <v/>
      </c>
    </row>
    <row r="142" ht="15.75" customFormat="1" customHeight="1" s="118">
      <c r="A142" s="136" t="n"/>
      <c r="C142" s="136" t="inlineStr">
        <is>
          <t>寶寶針_32G 2mm</t>
        </is>
      </c>
      <c r="D142" s="285" t="n"/>
      <c r="E142" s="198" t="inlineStr">
        <is>
          <t>支</t>
        </is>
      </c>
      <c r="F142" s="225">
        <f>SUMIF(站前4樓!B:B,B142,站前4樓!F:F)</f>
        <v/>
      </c>
      <c r="G142" s="225">
        <f>SUMIF(站前11樓!B:B,B142,站前11樓!F:F)</f>
        <v/>
      </c>
      <c r="H142" s="225">
        <f>SUMIF(忠孝7樓!B:B,B142,忠孝7樓!G:G)</f>
        <v/>
      </c>
      <c r="I142" s="225">
        <f>SUMIF(忠孝國際醫學3樓!B:B,B142,忠孝國際醫學3樓!G:G)</f>
        <v/>
      </c>
      <c r="J142" s="225">
        <f>SUMIF(忠孝健康7樓!B:B,B142,忠孝健康7樓!G:G)</f>
        <v/>
      </c>
      <c r="K142" s="283" t="n"/>
      <c r="L142" s="283" t="n"/>
      <c r="M142" s="283" t="n"/>
      <c r="N142" s="283" t="n"/>
      <c r="O142" s="283" t="n"/>
      <c r="P142" s="283" t="n"/>
      <c r="Q142" s="283" t="n"/>
      <c r="R142" s="283" t="n"/>
      <c r="S142" s="283" t="n"/>
      <c r="T142" s="283" t="n"/>
      <c r="U142" s="283" t="n"/>
      <c r="V142" s="283" t="n"/>
      <c r="W142" s="283" t="n"/>
      <c r="X142" s="283" t="n"/>
      <c r="Y142" s="283" t="n"/>
      <c r="Z142" s="283" t="n"/>
      <c r="AA142" s="283" t="n"/>
      <c r="AB142" s="283" t="n"/>
      <c r="AC142" s="283" t="n"/>
      <c r="AD142" s="283" t="n"/>
      <c r="AE142" s="283" t="n"/>
      <c r="AF142" s="283" t="n"/>
      <c r="AG142" s="283" t="n"/>
      <c r="AH142" s="283" t="n"/>
      <c r="AI142" s="283" t="n"/>
      <c r="AJ142" s="201" t="n"/>
      <c r="AK142" s="201" t="n"/>
      <c r="AL142" s="201" t="n"/>
      <c r="AM142" s="201" t="n"/>
      <c r="AN142" s="201" t="n"/>
      <c r="AO142" s="201" t="n"/>
      <c r="AP142" s="201" t="n"/>
      <c r="AQ142" s="201" t="n"/>
      <c r="AR142" s="201" t="n"/>
      <c r="AS142" s="201" t="n"/>
      <c r="AT142" s="201" t="n"/>
      <c r="AU142" s="201" t="n"/>
      <c r="AV142" s="283" t="n"/>
      <c r="AW142" s="286" t="n"/>
      <c r="AX142" s="201" t="n"/>
      <c r="AY142" s="201" t="n"/>
      <c r="AZ142" s="201" t="n"/>
      <c r="BA142" s="201" t="n">
        <v>0</v>
      </c>
      <c r="BB142" s="201" t="n">
        <v>0</v>
      </c>
      <c r="BC142" s="203">
        <f>SUMIFS(領用表!$L:$L,領用表!$A:$A,BC$2,領用表!$E:$E,B142)</f>
        <v/>
      </c>
      <c r="BD142" s="287">
        <f>SUMIFS(領用表!$L:$L,領用表!$E:$E,$B142,領用表!$B:$B,BC$2&amp;BD$2)</f>
        <v/>
      </c>
      <c r="BE142" s="287">
        <f>SUMIFS(領用表!$L:$L,領用表!$E:$E,$B142,領用表!$B:$B,$BC$2&amp;BE$2)</f>
        <v/>
      </c>
      <c r="BF142" s="287">
        <f>SUMIFS(領用表!$L:$L,領用表!$E:$E,$B142,領用表!$B:$B,$BC$2&amp;BF$2)</f>
        <v/>
      </c>
      <c r="BG142" s="206">
        <f>SUMIFS(領用表!$L:$L,領用表!$E:$E,$B142,領用表!$B:$B,$BC$2&amp;BG$2)</f>
        <v/>
      </c>
      <c r="BH142" s="203">
        <f>SUMIFS(領用表!$L:$L,領用表!$A:$A,BH$2,領用表!$E:$E,B142)</f>
        <v/>
      </c>
      <c r="BI142" s="260">
        <f>SUMIFS(領用表!$L:$L,領用表!$E:$E,$B142,領用表!$B:$B,BH$2&amp;BI$2)</f>
        <v/>
      </c>
      <c r="BJ142" s="260">
        <f>SUMIFS(領用表!$L:$L,領用表!$E:$E,$B142,領用表!$B:$B,$BH$2&amp;BJ$2)</f>
        <v/>
      </c>
      <c r="BK142" s="260">
        <f>SUMIFS(領用表!$L:$L,領用表!$E:$E,$B142,領用表!$B:$B,$BH$2&amp;BK$2)</f>
        <v/>
      </c>
      <c r="BL142" s="260">
        <f>SUMIFS(領用表!$L:$L,領用表!$E:$E,$B142,領用表!$B:$B,$BH$2&amp;BL$2)</f>
        <v/>
      </c>
      <c r="BM142" s="203">
        <f>SUMIFS(領用表!$L:$L,領用表!$A:$A,BM$2,領用表!$E:$E,B142)</f>
        <v/>
      </c>
      <c r="BN142" s="206">
        <f>SUMIFS(領用表!$L:$L,領用表!$E:$E,$B142,領用表!$B:$B,BM$2&amp;BN$2)</f>
        <v/>
      </c>
      <c r="BO142" s="206">
        <f>SUMIFS(領用表!$L:$L,領用表!$E:$E,$B142,領用表!$B:$B,$BM$2&amp;BO$2)</f>
        <v/>
      </c>
      <c r="BP142" s="288">
        <f>SUMIFS(領用表!$L:$L,領用表!$E:$E,$B142,領用表!$B:$B,$BM$2&amp;BP$2)</f>
        <v/>
      </c>
      <c r="BQ142" s="287">
        <f>SUMIFS(領用表!$L:$L,領用表!$E:$E,$B142,領用表!$B:$B,$BM$2&amp;BQ$2)</f>
        <v/>
      </c>
      <c r="BR142" s="203">
        <f>SUMIFS(領用表!$L:$L,領用表!$A:$A,BR$2,領用表!$E:$E,B142)</f>
        <v/>
      </c>
      <c r="BS142" s="288">
        <f>SUMIFS(領用表!$L:$L,領用表!$E:$E,$B142,領用表!$B:$B,BR$2&amp;BS$2)</f>
        <v/>
      </c>
      <c r="BT142" s="288">
        <f>SUMIFS(領用表!$L:$L,領用表!$E:$E,$B142,領用表!$B:$B,$BR$2&amp;BT$2)</f>
        <v/>
      </c>
      <c r="BU142" s="288">
        <f>SUMIFS(領用表!$L:$L,領用表!$E:$E,$B142,領用表!$B:$B,$BR$2&amp;BU$2)</f>
        <v/>
      </c>
      <c r="BV142" s="287">
        <f>SUMIFS(領用表!$L:$L,領用表!$E:$E,$B142,領用表!$B:$B,$BR$2&amp;BV$2)</f>
        <v/>
      </c>
      <c r="BW142" s="208">
        <f>SUMIFS(領用表!$L:$L,領用表!$A:$A,BW$2,領用表!$E:$E,B142)</f>
        <v/>
      </c>
      <c r="BX142" s="206">
        <f>SUMIFS(領用表!$L:$L,領用表!$E:$E,$B142,領用表!$B:$B,BW$2&amp;BX$2)</f>
        <v/>
      </c>
      <c r="BY142" s="206">
        <f>SUMIFS(領用表!$L:$L,領用表!$E:$E,$B142,領用表!$B:$B,$BW$2&amp;BY$2)</f>
        <v/>
      </c>
      <c r="BZ142" s="206">
        <f>SUMIFS(領用表!$L:$L,領用表!$E:$E,$B142,領用表!$B:$B,$BW$2&amp;BZ$2)</f>
        <v/>
      </c>
      <c r="CA142" s="206">
        <f>SUMIFS(領用表!$L:$L,領用表!$E:$E,$B142,領用表!$B:$B,$BW$2&amp;CA$2)</f>
        <v/>
      </c>
      <c r="CB142" s="208">
        <f>SUMIFS(領用表!$L:$L,領用表!$A:$A,CB$2,領用表!$E:$E,B142)</f>
        <v/>
      </c>
      <c r="CC142" s="206">
        <f>SUMIFS(領用表!$L:$L,領用表!$E:$E,$B142,領用表!$B:$B,CB$2&amp;CC$2)</f>
        <v/>
      </c>
      <c r="CD142" s="206">
        <f>SUMIFS(領用表!$L:$L,領用表!$E:$E,$B142,領用表!$B:$B,$CB$2&amp;CD$2)</f>
        <v/>
      </c>
      <c r="CE142" s="206">
        <f>SUMIFS(領用表!$L:$L,領用表!$E:$E,$B142,領用表!$B:$B,$CB$2&amp;CE$2)</f>
        <v/>
      </c>
      <c r="CF142" s="206">
        <f>SUMIFS(領用表!$L:$L,領用表!$E:$E,$B142,領用表!$B:$B,$CB$2&amp;CF$2)</f>
        <v/>
      </c>
      <c r="CG142" s="208">
        <f>SUMIFS(領用表!$L:$L,領用表!$A:$A,CG$2,領用表!$E:$E,B142)</f>
        <v/>
      </c>
      <c r="CH142" s="206">
        <f>SUMIFS(領用表!$L:$L,領用表!$E:$E,$B142,領用表!$B:$B,CG$2&amp;CH$2)</f>
        <v/>
      </c>
      <c r="CI142" s="206">
        <f>SUMIFS(領用表!$L:$L,領用表!$E:$E,$B142,領用表!$B:$B,CG$2&amp;CI$2)</f>
        <v/>
      </c>
      <c r="CJ142" s="206">
        <f>SUMIFS(領用表!$L:$L,領用表!$E:$E,$B142,領用表!$B:$B,CG$2&amp;CJ$2)</f>
        <v/>
      </c>
      <c r="CK142" s="206">
        <f>SUMIFS(領用表!$L:$L,領用表!$E:$E,$B142,領用表!$B:$B,$CG$2&amp;CK$2)</f>
        <v/>
      </c>
      <c r="CL142" s="207">
        <f>SUM(AX142,AY142,AZ142,BA142,BB142,BC142,BH142,BM142,BR142,BW142,CB142,CG142)</f>
        <v/>
      </c>
      <c r="CM142" s="207">
        <f>AVERAGE(AX142,AY142,AZ142,BA142,BB142,BC142,BH142,BM142,BR142,BW142,CB142,CG142)</f>
        <v/>
      </c>
      <c r="CN142" s="208">
        <f>SUMIFS(領用表!$L:$L,領用表!$A:$A,CN$2,領用表!$E:$E,B142)</f>
        <v/>
      </c>
      <c r="CO142" s="206">
        <f>SUMIFS(領用表!$L:$L,領用表!$E:$E,$B142,領用表!$B:$B,CN$2&amp;CO$2)</f>
        <v/>
      </c>
      <c r="CP142" s="206">
        <f>SUMIFS(領用表!$L:$L,領用表!$E:$E,$B142,領用表!$B:$B,$CN$2&amp;CP$2)</f>
        <v/>
      </c>
      <c r="CQ142" s="206">
        <f>SUMIFS(領用表!$L:$L,領用表!$E:$E,$B142,領用表!$B:$B,$CN$2&amp;CQ$2)</f>
        <v/>
      </c>
      <c r="CR142" s="206">
        <f>SUMIFS(領用表!$L:$L,領用表!$E:$E,$B142,領用表!$B:$B,$CN$2&amp;CR$2)</f>
        <v/>
      </c>
      <c r="CS142" s="208">
        <f>SUMIFS(領用表!$L:$L,領用表!$A:$A,CS$2,領用表!$E:$E,B142)</f>
        <v/>
      </c>
      <c r="CT142" s="206">
        <f>SUMIFS(領用表!$L:$L,領用表!$E:$E,$B142,領用表!$B:$B,CS$2&amp;CT$2)</f>
        <v/>
      </c>
      <c r="CU142" s="206">
        <f>SUMIFS(領用表!$L:$L,領用表!$E:$E,$B142,領用表!$B:$B,$CS$2&amp;CU$2)</f>
        <v/>
      </c>
      <c r="CV142" s="206">
        <f>SUMIFS(領用表!$L:$L,領用表!$E:$E,$B142,領用表!$B:$B,$CS$2&amp;CV$2)</f>
        <v/>
      </c>
      <c r="CW142" s="206">
        <f>SUMIFS(領用表!$L:$L,領用表!$E:$E,$B142,領用表!$B:$B,$CS$2&amp;CW$2)</f>
        <v/>
      </c>
      <c r="CX142" s="206">
        <f>SUMIFS(領用表!$L:$L,領用表!$E:$E,$B142,領用表!$B:$B,$CS$2&amp;CX$2)</f>
        <v/>
      </c>
      <c r="CY142" s="208">
        <f>SUMIFS(領用表!$L:$L,領用表!$A:$A,CY$2,領用表!$E:$E,B142)</f>
        <v/>
      </c>
      <c r="CZ142" s="206">
        <f>SUMIFS(領用表!$L:$L,領用表!$E:$E,$B142,領用表!$B:$B,CY$2&amp;CZ$2)</f>
        <v/>
      </c>
      <c r="DA142" s="206">
        <f>SUMIFS(領用表!$L:$L,領用表!$E:$E,$B142,領用表!$B:$B,$CY$2&amp;DA$2)</f>
        <v/>
      </c>
      <c r="DB142" s="206">
        <f>SUMIFS(領用表!$L:$L,領用表!$E:$E,$B142,領用表!$B:$B,$CY$2&amp;DB$2)</f>
        <v/>
      </c>
      <c r="DC142" s="206">
        <f>SUMIFS(領用表!$L:$L,領用表!$E:$E,$B142,領用表!$B:$B,$CY$2&amp;DC$2)</f>
        <v/>
      </c>
      <c r="DD142" s="206">
        <f>SUMIFS(領用表!$L:$L,領用表!$E:$E,$B142,領用表!$B:$B,$CY$2&amp;DD$2)</f>
        <v/>
      </c>
      <c r="DE142" s="208">
        <f>SUMIFS(領用表!$L:$L,領用表!$A:$A,DE$2,領用表!$E:$E,B142)</f>
        <v/>
      </c>
      <c r="DF142" s="206">
        <f>SUMIFS(領用表!$L:$L,領用表!$E:$E,$B142,領用表!$B:$B,DE$2&amp;DF$2)</f>
        <v/>
      </c>
      <c r="DG142" s="206">
        <f>SUMIFS(領用表!$L:$L,領用表!$E:$E,$B142,領用表!$B:$B,$DE$2&amp;DG$2)</f>
        <v/>
      </c>
      <c r="DH142" s="206">
        <f>SUMIFS(領用表!$L:$L,領用表!$E:$E,$B142,領用表!$B:$B,$DE$2&amp;DH$2)</f>
        <v/>
      </c>
      <c r="DI142" s="206">
        <f>SUMIFS(領用表!$L:$L,領用表!$E:$E,$B142,領用表!$B:$B,$DE$2&amp;DI$2)</f>
        <v/>
      </c>
      <c r="DJ142" s="206">
        <f>SUMIFS(領用表!$L:$L,領用表!$E:$E,$B142,領用表!$B:$B,$DE$2&amp;DJ$2)</f>
        <v/>
      </c>
      <c r="DK142" s="208">
        <f>SUMIFS(領用表!$L:$L,領用表!$A:$A,DK$2,領用表!$E:$E,$B142)</f>
        <v/>
      </c>
      <c r="DL142" s="206">
        <f>SUMIFS(領用表!$L:$L,領用表!$E:$E,$B142,領用表!$B:$B,DK$2&amp;DL$2)</f>
        <v/>
      </c>
      <c r="DM142" s="206">
        <f>SUMIFS(領用表!$L:$L,領用表!$E:$E,$B142,領用表!$B:$B,$DK$2&amp;DM$2)</f>
        <v/>
      </c>
      <c r="DN142" s="206">
        <f>SUMIFS(領用表!$L:$L,領用表!$E:$E,$B142,領用表!$B:$B,$DK$2&amp;DN$2)</f>
        <v/>
      </c>
      <c r="DO142" s="206">
        <f>SUMIFS(領用表!$L:$L,領用表!$E:$E,$B142,領用表!$B:$B,$DK$2&amp;DO$2)</f>
        <v/>
      </c>
      <c r="DP142" s="206">
        <f>SUMIFS(領用表!$L:$L,領用表!$E:$E,$B142,領用表!$B:$B,$DK$2&amp;DP$2)</f>
        <v/>
      </c>
      <c r="DQ142" s="208" t="n"/>
      <c r="DR142" s="206" t="n"/>
      <c r="DS142" s="206" t="n"/>
      <c r="DT142" s="206" t="n"/>
      <c r="DU142" s="206" t="n"/>
      <c r="DV142" s="206" t="n"/>
      <c r="DW142" s="206">
        <f>SUM(CN142,CS142,CY142,DE142,DK142,DQ142)</f>
        <v/>
      </c>
      <c r="DX142" s="206">
        <f>AVERAGEA(CN142,CS142,CY142,DE142,DK142,DQ142)</f>
        <v/>
      </c>
      <c r="DY142" s="206">
        <f>SUM(DZ142:EC142)</f>
        <v/>
      </c>
      <c r="DZ142" s="206" t="n">
        <v>0</v>
      </c>
      <c r="EA142" s="206" t="n">
        <v>0</v>
      </c>
      <c r="EB142" s="206" t="n">
        <v>0</v>
      </c>
      <c r="EC142" s="206" t="n">
        <v>0</v>
      </c>
      <c r="ED142" s="258" t="n"/>
      <c r="EE142" s="283" t="n"/>
      <c r="EF142" s="283" t="n"/>
      <c r="EG142" s="283" t="n"/>
      <c r="EH142" s="136" t="n"/>
      <c r="EI142" s="136" t="n"/>
      <c r="EJ142" s="118">
        <f>IFERROR(VLOOKUP(A142,站前4樓!A:BF,57,0),0)</f>
        <v/>
      </c>
      <c r="EK142" s="213">
        <f>IFERROR(VLOOKUP(A142,站前11樓!A:BE,57,0),0)</f>
        <v/>
      </c>
      <c r="EL142" s="118">
        <f>IFERROR(VLOOKUP(A142,忠孝7樓!A:N,57,0),0)</f>
        <v/>
      </c>
      <c r="EM142" s="118">
        <f>IFERROR(VLOOKUP(A142,忠孝國際醫學3樓!A:L,57,0),0)</f>
        <v/>
      </c>
      <c r="EN142" s="118">
        <f>SUM(ED142:EG142)</f>
        <v/>
      </c>
    </row>
    <row r="143" ht="15.75" customFormat="1" customHeight="1" s="118">
      <c r="A143" s="136" t="n"/>
      <c r="C143" s="136" t="inlineStr">
        <is>
          <t>寶寶針_32G 4mm</t>
        </is>
      </c>
      <c r="D143" s="285" t="n"/>
      <c r="E143" s="198" t="inlineStr">
        <is>
          <t>支</t>
        </is>
      </c>
      <c r="F143" s="225">
        <f>SUMIF(站前4樓!B:B,B143,站前4樓!F:F)</f>
        <v/>
      </c>
      <c r="G143" s="225">
        <f>SUMIF(站前11樓!B:B,B143,站前11樓!F:F)</f>
        <v/>
      </c>
      <c r="H143" s="225">
        <f>SUMIF(忠孝7樓!B:B,B143,忠孝7樓!G:G)</f>
        <v/>
      </c>
      <c r="I143" s="225">
        <f>SUMIF(忠孝國際醫學3樓!B:B,B143,忠孝國際醫學3樓!G:G)</f>
        <v/>
      </c>
      <c r="J143" s="225">
        <f>SUMIF(忠孝健康7樓!B:B,B143,忠孝健康7樓!G:G)</f>
        <v/>
      </c>
      <c r="K143" s="283" t="n"/>
      <c r="L143" s="283" t="n"/>
      <c r="M143" s="283" t="n"/>
      <c r="N143" s="283" t="n"/>
      <c r="O143" s="283" t="n"/>
      <c r="P143" s="283" t="n"/>
      <c r="Q143" s="283" t="n"/>
      <c r="R143" s="283" t="n"/>
      <c r="S143" s="283" t="n"/>
      <c r="T143" s="283" t="n"/>
      <c r="U143" s="283" t="n"/>
      <c r="V143" s="283" t="n"/>
      <c r="W143" s="283" t="n"/>
      <c r="X143" s="283" t="n"/>
      <c r="Y143" s="283" t="n"/>
      <c r="Z143" s="283" t="n"/>
      <c r="AA143" s="283" t="n"/>
      <c r="AB143" s="283" t="n"/>
      <c r="AC143" s="283" t="n"/>
      <c r="AD143" s="283" t="n"/>
      <c r="AE143" s="283" t="n"/>
      <c r="AF143" s="283" t="n"/>
      <c r="AG143" s="283" t="n"/>
      <c r="AH143" s="283" t="n"/>
      <c r="AI143" s="283" t="n"/>
      <c r="AJ143" s="201" t="n"/>
      <c r="AK143" s="201" t="n"/>
      <c r="AL143" s="201" t="n"/>
      <c r="AM143" s="201" t="n"/>
      <c r="AN143" s="201" t="n"/>
      <c r="AO143" s="201" t="n"/>
      <c r="AP143" s="201" t="n"/>
      <c r="AQ143" s="201" t="n"/>
      <c r="AR143" s="201" t="n"/>
      <c r="AS143" s="201" t="n"/>
      <c r="AT143" s="201" t="n"/>
      <c r="AU143" s="201" t="n"/>
      <c r="AV143" s="283" t="n"/>
      <c r="AW143" s="286" t="n"/>
      <c r="AX143" s="201" t="n"/>
      <c r="AY143" s="201" t="n"/>
      <c r="AZ143" s="201" t="n"/>
      <c r="BA143" s="201" t="n">
        <v>0</v>
      </c>
      <c r="BB143" s="201" t="n">
        <v>0</v>
      </c>
      <c r="BC143" s="203">
        <f>SUMIFS(領用表!$L:$L,領用表!$A:$A,BC$2,領用表!$E:$E,B143)</f>
        <v/>
      </c>
      <c r="BD143" s="287">
        <f>SUMIFS(領用表!$L:$L,領用表!$E:$E,$B143,領用表!$B:$B,BC$2&amp;BD$2)</f>
        <v/>
      </c>
      <c r="BE143" s="287">
        <f>SUMIFS(領用表!$L:$L,領用表!$E:$E,$B143,領用表!$B:$B,$BC$2&amp;BE$2)</f>
        <v/>
      </c>
      <c r="BF143" s="287">
        <f>SUMIFS(領用表!$L:$L,領用表!$E:$E,$B143,領用表!$B:$B,$BC$2&amp;BF$2)</f>
        <v/>
      </c>
      <c r="BG143" s="206">
        <f>SUMIFS(領用表!$L:$L,領用表!$E:$E,$B143,領用表!$B:$B,$BC$2&amp;BG$2)</f>
        <v/>
      </c>
      <c r="BH143" s="203">
        <f>SUMIFS(領用表!$L:$L,領用表!$A:$A,BH$2,領用表!$E:$E,B143)</f>
        <v/>
      </c>
      <c r="BI143" s="260">
        <f>SUMIFS(領用表!$L:$L,領用表!$E:$E,$B143,領用表!$B:$B,BH$2&amp;BI$2)</f>
        <v/>
      </c>
      <c r="BJ143" s="260">
        <f>SUMIFS(領用表!$L:$L,領用表!$E:$E,$B143,領用表!$B:$B,$BH$2&amp;BJ$2)</f>
        <v/>
      </c>
      <c r="BK143" s="260">
        <f>SUMIFS(領用表!$L:$L,領用表!$E:$E,$B143,領用表!$B:$B,$BH$2&amp;BK$2)</f>
        <v/>
      </c>
      <c r="BL143" s="260">
        <f>SUMIFS(領用表!$L:$L,領用表!$E:$E,$B143,領用表!$B:$B,$BH$2&amp;BL$2)</f>
        <v/>
      </c>
      <c r="BM143" s="203">
        <f>SUMIFS(領用表!$L:$L,領用表!$A:$A,BM$2,領用表!$E:$E,B143)</f>
        <v/>
      </c>
      <c r="BN143" s="206">
        <f>SUMIFS(領用表!$L:$L,領用表!$E:$E,$B143,領用表!$B:$B,BM$2&amp;BN$2)</f>
        <v/>
      </c>
      <c r="BO143" s="206">
        <f>SUMIFS(領用表!$L:$L,領用表!$E:$E,$B143,領用表!$B:$B,$BM$2&amp;BO$2)</f>
        <v/>
      </c>
      <c r="BP143" s="288">
        <f>SUMIFS(領用表!$L:$L,領用表!$E:$E,$B143,領用表!$B:$B,$BM$2&amp;BP$2)</f>
        <v/>
      </c>
      <c r="BQ143" s="287">
        <f>SUMIFS(領用表!$L:$L,領用表!$E:$E,$B143,領用表!$B:$B,$BM$2&amp;BQ$2)</f>
        <v/>
      </c>
      <c r="BR143" s="203">
        <f>SUMIFS(領用表!$L:$L,領用表!$A:$A,BR$2,領用表!$E:$E,B143)</f>
        <v/>
      </c>
      <c r="BS143" s="288">
        <f>SUMIFS(領用表!$L:$L,領用表!$E:$E,$B143,領用表!$B:$B,BR$2&amp;BS$2)</f>
        <v/>
      </c>
      <c r="BT143" s="288">
        <f>SUMIFS(領用表!$L:$L,領用表!$E:$E,$B143,領用表!$B:$B,$BR$2&amp;BT$2)</f>
        <v/>
      </c>
      <c r="BU143" s="288">
        <f>SUMIFS(領用表!$L:$L,領用表!$E:$E,$B143,領用表!$B:$B,$BR$2&amp;BU$2)</f>
        <v/>
      </c>
      <c r="BV143" s="287">
        <f>SUMIFS(領用表!$L:$L,領用表!$E:$E,$B143,領用表!$B:$B,$BR$2&amp;BV$2)</f>
        <v/>
      </c>
      <c r="BW143" s="208">
        <f>SUMIFS(領用表!$L:$L,領用表!$A:$A,BW$2,領用表!$E:$E,B143)</f>
        <v/>
      </c>
      <c r="BX143" s="206">
        <f>SUMIFS(領用表!$L:$L,領用表!$E:$E,$B143,領用表!$B:$B,BW$2&amp;BX$2)</f>
        <v/>
      </c>
      <c r="BY143" s="206">
        <f>SUMIFS(領用表!$L:$L,領用表!$E:$E,$B143,領用表!$B:$B,$BW$2&amp;BY$2)</f>
        <v/>
      </c>
      <c r="BZ143" s="206">
        <f>SUMIFS(領用表!$L:$L,領用表!$E:$E,$B143,領用表!$B:$B,$BW$2&amp;BZ$2)</f>
        <v/>
      </c>
      <c r="CA143" s="206">
        <f>SUMIFS(領用表!$L:$L,領用表!$E:$E,$B143,領用表!$B:$B,$BW$2&amp;CA$2)</f>
        <v/>
      </c>
      <c r="CB143" s="208">
        <f>SUMIFS(領用表!$L:$L,領用表!$A:$A,CB$2,領用表!$E:$E,B143)</f>
        <v/>
      </c>
      <c r="CC143" s="206">
        <f>SUMIFS(領用表!$L:$L,領用表!$E:$E,$B143,領用表!$B:$B,CB$2&amp;CC$2)</f>
        <v/>
      </c>
      <c r="CD143" s="206">
        <f>SUMIFS(領用表!$L:$L,領用表!$E:$E,$B143,領用表!$B:$B,$CB$2&amp;CD$2)</f>
        <v/>
      </c>
      <c r="CE143" s="206">
        <f>SUMIFS(領用表!$L:$L,領用表!$E:$E,$B143,領用表!$B:$B,$CB$2&amp;CE$2)</f>
        <v/>
      </c>
      <c r="CF143" s="206">
        <f>SUMIFS(領用表!$L:$L,領用表!$E:$E,$B143,領用表!$B:$B,$CB$2&amp;CF$2)</f>
        <v/>
      </c>
      <c r="CG143" s="208">
        <f>SUMIFS(領用表!$L:$L,領用表!$A:$A,CG$2,領用表!$E:$E,B143)</f>
        <v/>
      </c>
      <c r="CH143" s="206">
        <f>SUMIFS(領用表!$L:$L,領用表!$E:$E,$B143,領用表!$B:$B,CG$2&amp;CH$2)</f>
        <v/>
      </c>
      <c r="CI143" s="206">
        <f>SUMIFS(領用表!$L:$L,領用表!$E:$E,$B143,領用表!$B:$B,CG$2&amp;CI$2)</f>
        <v/>
      </c>
      <c r="CJ143" s="206">
        <f>SUMIFS(領用表!$L:$L,領用表!$E:$E,$B143,領用表!$B:$B,CG$2&amp;CJ$2)</f>
        <v/>
      </c>
      <c r="CK143" s="206">
        <f>SUMIFS(領用表!$L:$L,領用表!$E:$E,$B143,領用表!$B:$B,$CG$2&amp;CK$2)</f>
        <v/>
      </c>
      <c r="CL143" s="207">
        <f>SUM(AX143,AY143,AZ143,BA143,BB143,BC143,BH143,BM143,BR143,BW143,CB143,CG143)</f>
        <v/>
      </c>
      <c r="CM143" s="207">
        <f>AVERAGE(AX143,AY143,AZ143,BA143,BB143,BC143,BH143,BM143,BR143,BW143,CB143,CG143)</f>
        <v/>
      </c>
      <c r="CN143" s="208">
        <f>SUMIFS(領用表!$L:$L,領用表!$A:$A,CN$2,領用表!$E:$E,B143)</f>
        <v/>
      </c>
      <c r="CO143" s="206">
        <f>SUMIFS(領用表!$L:$L,領用表!$E:$E,$B143,領用表!$B:$B,CN$2&amp;CO$2)</f>
        <v/>
      </c>
      <c r="CP143" s="206">
        <f>SUMIFS(領用表!$L:$L,領用表!$E:$E,$B143,領用表!$B:$B,$CN$2&amp;CP$2)</f>
        <v/>
      </c>
      <c r="CQ143" s="206">
        <f>SUMIFS(領用表!$L:$L,領用表!$E:$E,$B143,領用表!$B:$B,$CN$2&amp;CQ$2)</f>
        <v/>
      </c>
      <c r="CR143" s="206">
        <f>SUMIFS(領用表!$L:$L,領用表!$E:$E,$B143,領用表!$B:$B,$CN$2&amp;CR$2)</f>
        <v/>
      </c>
      <c r="CS143" s="208">
        <f>SUMIFS(領用表!$L:$L,領用表!$A:$A,CS$2,領用表!$E:$E,B143)</f>
        <v/>
      </c>
      <c r="CT143" s="206">
        <f>SUMIFS(領用表!$L:$L,領用表!$E:$E,$B143,領用表!$B:$B,CS$2&amp;CT$2)</f>
        <v/>
      </c>
      <c r="CU143" s="206">
        <f>SUMIFS(領用表!$L:$L,領用表!$E:$E,$B143,領用表!$B:$B,$CS$2&amp;CU$2)</f>
        <v/>
      </c>
      <c r="CV143" s="206">
        <f>SUMIFS(領用表!$L:$L,領用表!$E:$E,$B143,領用表!$B:$B,$CS$2&amp;CV$2)</f>
        <v/>
      </c>
      <c r="CW143" s="206">
        <f>SUMIFS(領用表!$L:$L,領用表!$E:$E,$B143,領用表!$B:$B,$CS$2&amp;CW$2)</f>
        <v/>
      </c>
      <c r="CX143" s="206">
        <f>SUMIFS(領用表!$L:$L,領用表!$E:$E,$B143,領用表!$B:$B,$CS$2&amp;CX$2)</f>
        <v/>
      </c>
      <c r="CY143" s="208">
        <f>SUMIFS(領用表!$L:$L,領用表!$A:$A,CY$2,領用表!$E:$E,B143)</f>
        <v/>
      </c>
      <c r="CZ143" s="206">
        <f>SUMIFS(領用表!$L:$L,領用表!$E:$E,$B143,領用表!$B:$B,CY$2&amp;CZ$2)</f>
        <v/>
      </c>
      <c r="DA143" s="206">
        <f>SUMIFS(領用表!$L:$L,領用表!$E:$E,$B143,領用表!$B:$B,$CY$2&amp;DA$2)</f>
        <v/>
      </c>
      <c r="DB143" s="206">
        <f>SUMIFS(領用表!$L:$L,領用表!$E:$E,$B143,領用表!$B:$B,$CY$2&amp;DB$2)</f>
        <v/>
      </c>
      <c r="DC143" s="206">
        <f>SUMIFS(領用表!$L:$L,領用表!$E:$E,$B143,領用表!$B:$B,$CY$2&amp;DC$2)</f>
        <v/>
      </c>
      <c r="DD143" s="206">
        <f>SUMIFS(領用表!$L:$L,領用表!$E:$E,$B143,領用表!$B:$B,$CY$2&amp;DD$2)</f>
        <v/>
      </c>
      <c r="DE143" s="208">
        <f>SUMIFS(領用表!$L:$L,領用表!$A:$A,DE$2,領用表!$E:$E,B143)</f>
        <v/>
      </c>
      <c r="DF143" s="206">
        <f>SUMIFS(領用表!$L:$L,領用表!$E:$E,$B143,領用表!$B:$B,DE$2&amp;DF$2)</f>
        <v/>
      </c>
      <c r="DG143" s="206">
        <f>SUMIFS(領用表!$L:$L,領用表!$E:$E,$B143,領用表!$B:$B,$DE$2&amp;DG$2)</f>
        <v/>
      </c>
      <c r="DH143" s="206">
        <f>SUMIFS(領用表!$L:$L,領用表!$E:$E,$B143,領用表!$B:$B,$DE$2&amp;DH$2)</f>
        <v/>
      </c>
      <c r="DI143" s="206">
        <f>SUMIFS(領用表!$L:$L,領用表!$E:$E,$B143,領用表!$B:$B,$DE$2&amp;DI$2)</f>
        <v/>
      </c>
      <c r="DJ143" s="206">
        <f>SUMIFS(領用表!$L:$L,領用表!$E:$E,$B143,領用表!$B:$B,$DE$2&amp;DJ$2)</f>
        <v/>
      </c>
      <c r="DK143" s="208">
        <f>SUMIFS(領用表!$L:$L,領用表!$A:$A,DK$2,領用表!$E:$E,$B143)</f>
        <v/>
      </c>
      <c r="DL143" s="206">
        <f>SUMIFS(領用表!$L:$L,領用表!$E:$E,$B143,領用表!$B:$B,DK$2&amp;DL$2)</f>
        <v/>
      </c>
      <c r="DM143" s="206">
        <f>SUMIFS(領用表!$L:$L,領用表!$E:$E,$B143,領用表!$B:$B,$DK$2&amp;DM$2)</f>
        <v/>
      </c>
      <c r="DN143" s="206">
        <f>SUMIFS(領用表!$L:$L,領用表!$E:$E,$B143,領用表!$B:$B,$DK$2&amp;DN$2)</f>
        <v/>
      </c>
      <c r="DO143" s="206">
        <f>SUMIFS(領用表!$L:$L,領用表!$E:$E,$B143,領用表!$B:$B,$DK$2&amp;DO$2)</f>
        <v/>
      </c>
      <c r="DP143" s="206">
        <f>SUMIFS(領用表!$L:$L,領用表!$E:$E,$B143,領用表!$B:$B,$DK$2&amp;DP$2)</f>
        <v/>
      </c>
      <c r="DQ143" s="208" t="n"/>
      <c r="DR143" s="206" t="n"/>
      <c r="DS143" s="206" t="n"/>
      <c r="DT143" s="206" t="n"/>
      <c r="DU143" s="206" t="n"/>
      <c r="DV143" s="206" t="n"/>
      <c r="DW143" s="206">
        <f>SUM(CN143,CS143,CY143,DE143,DK143,DQ143)</f>
        <v/>
      </c>
      <c r="DX143" s="206">
        <f>AVERAGEA(CN143,CS143,CY143,DE143,DK143,DQ143)</f>
        <v/>
      </c>
      <c r="DY143" s="206">
        <f>SUM(DZ143:EC143)</f>
        <v/>
      </c>
      <c r="DZ143" s="206" t="n">
        <v>0</v>
      </c>
      <c r="EA143" s="206" t="n">
        <v>0</v>
      </c>
      <c r="EB143" s="206" t="n">
        <v>0</v>
      </c>
      <c r="EC143" s="206" t="n">
        <v>0</v>
      </c>
      <c r="ED143" s="258" t="n"/>
      <c r="EE143" s="283" t="n"/>
      <c r="EF143" s="283" t="n"/>
      <c r="EG143" s="283" t="n"/>
      <c r="EH143" s="136" t="n"/>
      <c r="EI143" s="136" t="n"/>
      <c r="EJ143" s="118">
        <f>IFERROR(VLOOKUP(A143,站前4樓!A:BF,57,0),0)</f>
        <v/>
      </c>
      <c r="EK143" s="213">
        <f>IFERROR(VLOOKUP(A143,站前11樓!A:BE,57,0),0)</f>
        <v/>
      </c>
      <c r="EL143" s="118">
        <f>IFERROR(VLOOKUP(A143,忠孝7樓!A:N,57,0),0)</f>
        <v/>
      </c>
      <c r="EM143" s="118">
        <f>IFERROR(VLOOKUP(A143,忠孝國際醫學3樓!A:L,57,0),0)</f>
        <v/>
      </c>
      <c r="EN143" s="118">
        <f>SUM(ED143:EG143)</f>
        <v/>
      </c>
    </row>
    <row r="144" ht="15.75" customFormat="1" customHeight="1" s="118">
      <c r="A144" s="136" t="n"/>
      <c r="C144" s="136" t="inlineStr">
        <is>
          <t>寶寶針_33G 4mm</t>
        </is>
      </c>
      <c r="D144" s="285" t="n"/>
      <c r="E144" s="198" t="inlineStr">
        <is>
          <t>支</t>
        </is>
      </c>
      <c r="F144" s="225">
        <f>SUMIF(站前4樓!B:B,B144,站前4樓!F:F)</f>
        <v/>
      </c>
      <c r="G144" s="225">
        <f>SUMIF(站前11樓!B:B,B144,站前11樓!F:F)</f>
        <v/>
      </c>
      <c r="H144" s="225">
        <f>SUMIF(忠孝7樓!B:B,B144,忠孝7樓!G:G)</f>
        <v/>
      </c>
      <c r="I144" s="225">
        <f>SUMIF(忠孝國際醫學3樓!B:B,B144,忠孝國際醫學3樓!G:G)</f>
        <v/>
      </c>
      <c r="J144" s="225">
        <f>SUMIF(忠孝健康7樓!B:B,B144,忠孝健康7樓!G:G)</f>
        <v/>
      </c>
      <c r="K144" s="283" t="n"/>
      <c r="L144" s="283" t="n"/>
      <c r="M144" s="283" t="n"/>
      <c r="N144" s="283" t="n"/>
      <c r="O144" s="283" t="n"/>
      <c r="P144" s="283" t="n"/>
      <c r="Q144" s="283" t="n"/>
      <c r="R144" s="283" t="n"/>
      <c r="S144" s="283" t="n"/>
      <c r="T144" s="283" t="n"/>
      <c r="U144" s="283" t="n"/>
      <c r="V144" s="283" t="n"/>
      <c r="W144" s="283" t="n"/>
      <c r="X144" s="283" t="n"/>
      <c r="Y144" s="283" t="n"/>
      <c r="Z144" s="283" t="n"/>
      <c r="AA144" s="283" t="n"/>
      <c r="AB144" s="283" t="n"/>
      <c r="AC144" s="283" t="n"/>
      <c r="AD144" s="283" t="n"/>
      <c r="AE144" s="283" t="n"/>
      <c r="AF144" s="283" t="n"/>
      <c r="AG144" s="283" t="n"/>
      <c r="AH144" s="283" t="n"/>
      <c r="AI144" s="283" t="n"/>
      <c r="AJ144" s="201" t="n"/>
      <c r="AK144" s="201" t="n"/>
      <c r="AL144" s="201" t="n"/>
      <c r="AM144" s="201" t="n"/>
      <c r="AN144" s="201" t="n"/>
      <c r="AO144" s="201" t="n"/>
      <c r="AP144" s="201" t="n"/>
      <c r="AQ144" s="201" t="n"/>
      <c r="AR144" s="201" t="n"/>
      <c r="AS144" s="201" t="n"/>
      <c r="AT144" s="201" t="n"/>
      <c r="AU144" s="201" t="n"/>
      <c r="AV144" s="283" t="n"/>
      <c r="AW144" s="286" t="n"/>
      <c r="AX144" s="201" t="n"/>
      <c r="AY144" s="201" t="n"/>
      <c r="AZ144" s="201" t="n"/>
      <c r="BA144" s="201" t="n">
        <v>0</v>
      </c>
      <c r="BB144" s="201" t="n">
        <v>0</v>
      </c>
      <c r="BC144" s="203">
        <f>SUMIFS(領用表!$L:$L,領用表!$A:$A,BC$2,領用表!$E:$E,B144)</f>
        <v/>
      </c>
      <c r="BD144" s="287">
        <f>SUMIFS(領用表!$L:$L,領用表!$E:$E,$B144,領用表!$B:$B,BC$2&amp;BD$2)</f>
        <v/>
      </c>
      <c r="BE144" s="287">
        <f>SUMIFS(領用表!$L:$L,領用表!$E:$E,$B144,領用表!$B:$B,$BC$2&amp;BE$2)</f>
        <v/>
      </c>
      <c r="BF144" s="287">
        <f>SUMIFS(領用表!$L:$L,領用表!$E:$E,$B144,領用表!$B:$B,$BC$2&amp;BF$2)</f>
        <v/>
      </c>
      <c r="BG144" s="206">
        <f>SUMIFS(領用表!$L:$L,領用表!$E:$E,$B144,領用表!$B:$B,$BC$2&amp;BG$2)</f>
        <v/>
      </c>
      <c r="BH144" s="203">
        <f>SUMIFS(領用表!$L:$L,領用表!$A:$A,BH$2,領用表!$E:$E,B144)</f>
        <v/>
      </c>
      <c r="BI144" s="260">
        <f>SUMIFS(領用表!$L:$L,領用表!$E:$E,$B144,領用表!$B:$B,BH$2&amp;BI$2)</f>
        <v/>
      </c>
      <c r="BJ144" s="260">
        <f>SUMIFS(領用表!$L:$L,領用表!$E:$E,$B144,領用表!$B:$B,$BH$2&amp;BJ$2)</f>
        <v/>
      </c>
      <c r="BK144" s="260">
        <f>SUMIFS(領用表!$L:$L,領用表!$E:$E,$B144,領用表!$B:$B,$BH$2&amp;BK$2)</f>
        <v/>
      </c>
      <c r="BL144" s="260">
        <f>SUMIFS(領用表!$L:$L,領用表!$E:$E,$B144,領用表!$B:$B,$BH$2&amp;BL$2)</f>
        <v/>
      </c>
      <c r="BM144" s="203">
        <f>SUMIFS(領用表!$L:$L,領用表!$A:$A,BM$2,領用表!$E:$E,B144)</f>
        <v/>
      </c>
      <c r="BN144" s="206">
        <f>SUMIFS(領用表!$L:$L,領用表!$E:$E,$B144,領用表!$B:$B,BM$2&amp;BN$2)</f>
        <v/>
      </c>
      <c r="BO144" s="206">
        <f>SUMIFS(領用表!$L:$L,領用表!$E:$E,$B144,領用表!$B:$B,$BM$2&amp;BO$2)</f>
        <v/>
      </c>
      <c r="BP144" s="288">
        <f>SUMIFS(領用表!$L:$L,領用表!$E:$E,$B144,領用表!$B:$B,$BM$2&amp;BP$2)</f>
        <v/>
      </c>
      <c r="BQ144" s="287">
        <f>SUMIFS(領用表!$L:$L,領用表!$E:$E,$B144,領用表!$B:$B,$BM$2&amp;BQ$2)</f>
        <v/>
      </c>
      <c r="BR144" s="203">
        <f>SUMIFS(領用表!$L:$L,領用表!$A:$A,BR$2,領用表!$E:$E,B144)</f>
        <v/>
      </c>
      <c r="BS144" s="288">
        <f>SUMIFS(領用表!$L:$L,領用表!$E:$E,$B144,領用表!$B:$B,BR$2&amp;BS$2)</f>
        <v/>
      </c>
      <c r="BT144" s="288">
        <f>SUMIFS(領用表!$L:$L,領用表!$E:$E,$B144,領用表!$B:$B,$BR$2&amp;BT$2)</f>
        <v/>
      </c>
      <c r="BU144" s="288">
        <f>SUMIFS(領用表!$L:$L,領用表!$E:$E,$B144,領用表!$B:$B,$BR$2&amp;BU$2)</f>
        <v/>
      </c>
      <c r="BV144" s="287">
        <f>SUMIFS(領用表!$L:$L,領用表!$E:$E,$B144,領用表!$B:$B,$BR$2&amp;BV$2)</f>
        <v/>
      </c>
      <c r="BW144" s="208">
        <f>SUMIFS(領用表!$L:$L,領用表!$A:$A,BW$2,領用表!$E:$E,B144)</f>
        <v/>
      </c>
      <c r="BX144" s="206">
        <f>SUMIFS(領用表!$L:$L,領用表!$E:$E,$B144,領用表!$B:$B,BW$2&amp;BX$2)</f>
        <v/>
      </c>
      <c r="BY144" s="206">
        <f>SUMIFS(領用表!$L:$L,領用表!$E:$E,$B144,領用表!$B:$B,$BW$2&amp;BY$2)</f>
        <v/>
      </c>
      <c r="BZ144" s="206">
        <f>SUMIFS(領用表!$L:$L,領用表!$E:$E,$B144,領用表!$B:$B,$BW$2&amp;BZ$2)</f>
        <v/>
      </c>
      <c r="CA144" s="206">
        <f>SUMIFS(領用表!$L:$L,領用表!$E:$E,$B144,領用表!$B:$B,$BW$2&amp;CA$2)</f>
        <v/>
      </c>
      <c r="CB144" s="208">
        <f>SUMIFS(領用表!$L:$L,領用表!$A:$A,CB$2,領用表!$E:$E,B144)</f>
        <v/>
      </c>
      <c r="CC144" s="206">
        <f>SUMIFS(領用表!$L:$L,領用表!$E:$E,$B144,領用表!$B:$B,CB$2&amp;CC$2)</f>
        <v/>
      </c>
      <c r="CD144" s="206">
        <f>SUMIFS(領用表!$L:$L,領用表!$E:$E,$B144,領用表!$B:$B,$CB$2&amp;CD$2)</f>
        <v/>
      </c>
      <c r="CE144" s="206">
        <f>SUMIFS(領用表!$L:$L,領用表!$E:$E,$B144,領用表!$B:$B,$CB$2&amp;CE$2)</f>
        <v/>
      </c>
      <c r="CF144" s="206">
        <f>SUMIFS(領用表!$L:$L,領用表!$E:$E,$B144,領用表!$B:$B,$CB$2&amp;CF$2)</f>
        <v/>
      </c>
      <c r="CG144" s="208">
        <f>SUMIFS(領用表!$L:$L,領用表!$A:$A,CG$2,領用表!$E:$E,B144)</f>
        <v/>
      </c>
      <c r="CH144" s="206">
        <f>SUMIFS(領用表!$L:$L,領用表!$E:$E,$B144,領用表!$B:$B,CG$2&amp;CH$2)</f>
        <v/>
      </c>
      <c r="CI144" s="206">
        <f>SUMIFS(領用表!$L:$L,領用表!$E:$E,$B144,領用表!$B:$B,CG$2&amp;CI$2)</f>
        <v/>
      </c>
      <c r="CJ144" s="206">
        <f>SUMIFS(領用表!$L:$L,領用表!$E:$E,$B144,領用表!$B:$B,CG$2&amp;CJ$2)</f>
        <v/>
      </c>
      <c r="CK144" s="206">
        <f>SUMIFS(領用表!$L:$L,領用表!$E:$E,$B144,領用表!$B:$B,$CG$2&amp;CK$2)</f>
        <v/>
      </c>
      <c r="CL144" s="207">
        <f>SUM(AX144,AY144,AZ144,BA144,BB144,BC144,BH144,BM144,BR144,BW144,CB144,CG144)</f>
        <v/>
      </c>
      <c r="CM144" s="207">
        <f>AVERAGE(AX144,AY144,AZ144,BA144,BB144,BC144,BH144,BM144,BR144,BW144,CB144,CG144)</f>
        <v/>
      </c>
      <c r="CN144" s="208">
        <f>SUMIFS(領用表!$L:$L,領用表!$A:$A,CN$2,領用表!$E:$E,B144)</f>
        <v/>
      </c>
      <c r="CO144" s="206">
        <f>SUMIFS(領用表!$L:$L,領用表!$E:$E,$B144,領用表!$B:$B,CN$2&amp;CO$2)</f>
        <v/>
      </c>
      <c r="CP144" s="206">
        <f>SUMIFS(領用表!$L:$L,領用表!$E:$E,$B144,領用表!$B:$B,$CN$2&amp;CP$2)</f>
        <v/>
      </c>
      <c r="CQ144" s="206">
        <f>SUMIFS(領用表!$L:$L,領用表!$E:$E,$B144,領用表!$B:$B,$CN$2&amp;CQ$2)</f>
        <v/>
      </c>
      <c r="CR144" s="206">
        <f>SUMIFS(領用表!$L:$L,領用表!$E:$E,$B144,領用表!$B:$B,$CN$2&amp;CR$2)</f>
        <v/>
      </c>
      <c r="CS144" s="208">
        <f>SUMIFS(領用表!$L:$L,領用表!$A:$A,CS$2,領用表!$E:$E,B144)</f>
        <v/>
      </c>
      <c r="CT144" s="206">
        <f>SUMIFS(領用表!$L:$L,領用表!$E:$E,$B144,領用表!$B:$B,CS$2&amp;CT$2)</f>
        <v/>
      </c>
      <c r="CU144" s="206">
        <f>SUMIFS(領用表!$L:$L,領用表!$E:$E,$B144,領用表!$B:$B,$CS$2&amp;CU$2)</f>
        <v/>
      </c>
      <c r="CV144" s="206">
        <f>SUMIFS(領用表!$L:$L,領用表!$E:$E,$B144,領用表!$B:$B,$CS$2&amp;CV$2)</f>
        <v/>
      </c>
      <c r="CW144" s="206">
        <f>SUMIFS(領用表!$L:$L,領用表!$E:$E,$B144,領用表!$B:$B,$CS$2&amp;CW$2)</f>
        <v/>
      </c>
      <c r="CX144" s="206">
        <f>SUMIFS(領用表!$L:$L,領用表!$E:$E,$B144,領用表!$B:$B,$CS$2&amp;CX$2)</f>
        <v/>
      </c>
      <c r="CY144" s="208">
        <f>SUMIFS(領用表!$L:$L,領用表!$A:$A,CY$2,領用表!$E:$E,B144)</f>
        <v/>
      </c>
      <c r="CZ144" s="206">
        <f>SUMIFS(領用表!$L:$L,領用表!$E:$E,$B144,領用表!$B:$B,CY$2&amp;CZ$2)</f>
        <v/>
      </c>
      <c r="DA144" s="206">
        <f>SUMIFS(領用表!$L:$L,領用表!$E:$E,$B144,領用表!$B:$B,$CY$2&amp;DA$2)</f>
        <v/>
      </c>
      <c r="DB144" s="206">
        <f>SUMIFS(領用表!$L:$L,領用表!$E:$E,$B144,領用表!$B:$B,$CY$2&amp;DB$2)</f>
        <v/>
      </c>
      <c r="DC144" s="206">
        <f>SUMIFS(領用表!$L:$L,領用表!$E:$E,$B144,領用表!$B:$B,$CY$2&amp;DC$2)</f>
        <v/>
      </c>
      <c r="DD144" s="206">
        <f>SUMIFS(領用表!$L:$L,領用表!$E:$E,$B144,領用表!$B:$B,$CY$2&amp;DD$2)</f>
        <v/>
      </c>
      <c r="DE144" s="208">
        <f>SUMIFS(領用表!$L:$L,領用表!$A:$A,DE$2,領用表!$E:$E,B144)</f>
        <v/>
      </c>
      <c r="DF144" s="206">
        <f>SUMIFS(領用表!$L:$L,領用表!$E:$E,$B144,領用表!$B:$B,DE$2&amp;DF$2)</f>
        <v/>
      </c>
      <c r="DG144" s="206">
        <f>SUMIFS(領用表!$L:$L,領用表!$E:$E,$B144,領用表!$B:$B,$DE$2&amp;DG$2)</f>
        <v/>
      </c>
      <c r="DH144" s="206">
        <f>SUMIFS(領用表!$L:$L,領用表!$E:$E,$B144,領用表!$B:$B,$DE$2&amp;DH$2)</f>
        <v/>
      </c>
      <c r="DI144" s="206">
        <f>SUMIFS(領用表!$L:$L,領用表!$E:$E,$B144,領用表!$B:$B,$DE$2&amp;DI$2)</f>
        <v/>
      </c>
      <c r="DJ144" s="206">
        <f>SUMIFS(領用表!$L:$L,領用表!$E:$E,$B144,領用表!$B:$B,$DE$2&amp;DJ$2)</f>
        <v/>
      </c>
      <c r="DK144" s="208">
        <f>SUMIFS(領用表!$L:$L,領用表!$A:$A,DK$2,領用表!$E:$E,$B144)</f>
        <v/>
      </c>
      <c r="DL144" s="206">
        <f>SUMIFS(領用表!$L:$L,領用表!$E:$E,$B144,領用表!$B:$B,DK$2&amp;DL$2)</f>
        <v/>
      </c>
      <c r="DM144" s="206">
        <f>SUMIFS(領用表!$L:$L,領用表!$E:$E,$B144,領用表!$B:$B,$DK$2&amp;DM$2)</f>
        <v/>
      </c>
      <c r="DN144" s="206">
        <f>SUMIFS(領用表!$L:$L,領用表!$E:$E,$B144,領用表!$B:$B,$DK$2&amp;DN$2)</f>
        <v/>
      </c>
      <c r="DO144" s="206">
        <f>SUMIFS(領用表!$L:$L,領用表!$E:$E,$B144,領用表!$B:$B,$DK$2&amp;DO$2)</f>
        <v/>
      </c>
      <c r="DP144" s="206">
        <f>SUMIFS(領用表!$L:$L,領用表!$E:$E,$B144,領用表!$B:$B,$DK$2&amp;DP$2)</f>
        <v/>
      </c>
      <c r="DQ144" s="208" t="n"/>
      <c r="DR144" s="206" t="n"/>
      <c r="DS144" s="206" t="n"/>
      <c r="DT144" s="206" t="n"/>
      <c r="DU144" s="206" t="n"/>
      <c r="DV144" s="206" t="n"/>
      <c r="DW144" s="206">
        <f>SUM(CN144,CS144,CY144,DE144,DK144,DQ144)</f>
        <v/>
      </c>
      <c r="DX144" s="206">
        <f>AVERAGEA(CN144,CS144,CY144,DE144,DK144,DQ144)</f>
        <v/>
      </c>
      <c r="DY144" s="206">
        <f>SUM(DZ144:EC144)</f>
        <v/>
      </c>
      <c r="DZ144" s="206" t="n">
        <v>0</v>
      </c>
      <c r="EA144" s="206" t="n">
        <v>0</v>
      </c>
      <c r="EB144" s="206" t="n">
        <v>0</v>
      </c>
      <c r="EC144" s="206" t="n">
        <v>0</v>
      </c>
      <c r="ED144" s="258" t="n"/>
      <c r="EE144" s="283" t="n"/>
      <c r="EF144" s="283" t="n"/>
      <c r="EG144" s="283" t="n"/>
      <c r="EH144" s="136" t="n"/>
      <c r="EI144" s="136" t="n"/>
      <c r="EJ144" s="118">
        <f>IFERROR(VLOOKUP(A144,站前4樓!A:BF,57,0),0)</f>
        <v/>
      </c>
      <c r="EK144" s="213">
        <f>IFERROR(VLOOKUP(A144,站前11樓!A:BE,57,0),0)</f>
        <v/>
      </c>
      <c r="EL144" s="118">
        <f>IFERROR(VLOOKUP(A144,忠孝7樓!A:N,57,0),0)</f>
        <v/>
      </c>
      <c r="EM144" s="118">
        <f>IFERROR(VLOOKUP(A144,忠孝國際醫學3樓!A:L,57,0),0)</f>
        <v/>
      </c>
      <c r="EN144" s="118">
        <f>SUM(ED144:EG144)</f>
        <v/>
      </c>
    </row>
    <row r="145" ht="15.75" customFormat="1" customHeight="1" s="118">
      <c r="A145" s="136" t="n"/>
      <c r="B145" s="136" t="n"/>
      <c r="C145" s="136" t="n"/>
      <c r="D145" s="307" t="n"/>
      <c r="E145" s="198" t="n"/>
      <c r="F145" s="225">
        <f>SUMIF(站前4樓!B:B,B145,站前4樓!F:F)</f>
        <v/>
      </c>
      <c r="G145" s="225">
        <f>SUMIF(站前11樓!B:B,B145,站前11樓!F:F)</f>
        <v/>
      </c>
      <c r="H145" s="225">
        <f>SUMIF(忠孝7樓!B:B,B145,忠孝7樓!G:G)</f>
        <v/>
      </c>
      <c r="I145" s="225">
        <f>SUMIF(忠孝國際醫學3樓!B:B,B145,忠孝國際醫學3樓!G:G)</f>
        <v/>
      </c>
      <c r="J145" s="225">
        <f>SUMIF(忠孝健康7樓!B:B,B145,忠孝健康7樓!G:G)</f>
        <v/>
      </c>
      <c r="K145" s="283" t="n"/>
      <c r="L145" s="283" t="n"/>
      <c r="M145" s="283" t="n"/>
      <c r="N145" s="283" t="n"/>
      <c r="O145" s="283" t="n"/>
      <c r="P145" s="283" t="n"/>
      <c r="Q145" s="283" t="n"/>
      <c r="R145" s="283" t="n"/>
      <c r="S145" s="283" t="n"/>
      <c r="T145" s="283" t="n"/>
      <c r="U145" s="283" t="n"/>
      <c r="V145" s="283" t="n"/>
      <c r="W145" s="283" t="n"/>
      <c r="X145" s="283" t="n"/>
      <c r="Y145" s="283" t="n"/>
      <c r="Z145" s="283" t="n"/>
      <c r="AA145" s="283" t="n"/>
      <c r="AB145" s="283" t="n"/>
      <c r="AC145" s="283" t="n"/>
      <c r="AD145" s="283" t="n"/>
      <c r="AE145" s="283" t="n"/>
      <c r="AF145" s="283" t="n"/>
      <c r="AG145" s="283" t="n"/>
      <c r="AH145" s="283" t="n"/>
      <c r="AI145" s="283" t="n"/>
      <c r="AJ145" s="283" t="n"/>
      <c r="AK145" s="283" t="n"/>
      <c r="AL145" s="283" t="n"/>
      <c r="AM145" s="283" t="n"/>
      <c r="AN145" s="283" t="n"/>
      <c r="AO145" s="283" t="n"/>
      <c r="AP145" s="283" t="n"/>
      <c r="AQ145" s="201" t="n"/>
      <c r="AR145" s="201" t="n"/>
      <c r="AS145" s="201" t="n"/>
      <c r="AT145" s="283" t="n"/>
      <c r="AU145" s="283" t="n"/>
      <c r="AV145" s="283" t="n"/>
      <c r="AW145" s="283" t="n"/>
      <c r="AX145" s="283" t="n"/>
      <c r="AY145" s="283" t="n"/>
      <c r="AZ145" s="283" t="n"/>
      <c r="BA145" s="201" t="n"/>
      <c r="BB145" s="201" t="n"/>
      <c r="BC145" s="203">
        <f>SUMIFS(領用表!$L:$L,領用表!$A:$A,BC$2,領用表!$E:$E,B145)</f>
        <v/>
      </c>
      <c r="BD145" s="287">
        <f>SUMIFS(領用表!$L:$L,領用表!$E:$E,$B145,領用表!$B:$B,BC$2&amp;BD$2)</f>
        <v/>
      </c>
      <c r="BE145" s="287">
        <f>SUMIFS(領用表!$L:$L,領用表!$E:$E,$B145,領用表!$B:$B,$BC$2&amp;BE$2)</f>
        <v/>
      </c>
      <c r="BF145" s="287">
        <f>SUMIFS(領用表!$L:$L,領用表!$E:$E,$B145,領用表!$B:$B,$BC$2&amp;BF$2)</f>
        <v/>
      </c>
      <c r="BG145" s="206">
        <f>SUMIFS(領用表!$L:$L,領用表!$E:$E,$B145,領用表!$B:$B,$BC$2&amp;BG$2)</f>
        <v/>
      </c>
      <c r="BH145" s="203">
        <f>SUMIFS(領用表!$L:$L,領用表!$A:$A,BH$2,領用表!$E:$E,B145)</f>
        <v/>
      </c>
      <c r="BI145" s="260">
        <f>SUMIFS(領用表!$L:$L,領用表!$E:$E,$B145,領用表!$B:$B,BH$2&amp;BI$2)</f>
        <v/>
      </c>
      <c r="BJ145" s="260">
        <f>SUMIFS(領用表!$L:$L,領用表!$E:$E,$B145,領用表!$B:$B,$BH$2&amp;BJ$2)</f>
        <v/>
      </c>
      <c r="BK145" s="260">
        <f>SUMIFS(領用表!$L:$L,領用表!$E:$E,$B145,領用表!$B:$B,$BH$2&amp;BK$2)</f>
        <v/>
      </c>
      <c r="BL145" s="260">
        <f>SUMIFS(領用表!$L:$L,領用表!$E:$E,$B145,領用表!$B:$B,$BH$2&amp;BL$2)</f>
        <v/>
      </c>
      <c r="BM145" s="203">
        <f>SUMIFS(領用表!$L:$L,領用表!$A:$A,BM$2,領用表!$E:$E,B145)</f>
        <v/>
      </c>
      <c r="BN145" s="206">
        <f>SUMIFS(領用表!$L:$L,領用表!$E:$E,$B145,領用表!$B:$B,BM$2&amp;BN$2)</f>
        <v/>
      </c>
      <c r="BO145" s="206">
        <f>SUMIFS(領用表!$L:$L,領用表!$E:$E,$B145,領用表!$B:$B,$BM$2&amp;BO$2)</f>
        <v/>
      </c>
      <c r="BP145" s="288">
        <f>SUMIFS(領用表!$L:$L,領用表!$E:$E,$B145,領用表!$B:$B,$BM$2&amp;BP$2)</f>
        <v/>
      </c>
      <c r="BQ145" s="287">
        <f>SUMIFS(領用表!$L:$L,領用表!$E:$E,$B145,領用表!$B:$B,$BM$2&amp;BQ$2)</f>
        <v/>
      </c>
      <c r="BR145" s="203">
        <f>SUMIFS(領用表!$L:$L,領用表!$A:$A,BR$2,領用表!$E:$E,B145)</f>
        <v/>
      </c>
      <c r="BS145" s="329">
        <f>SUMIFS(領用表!$L:$L,領用表!$E:$E,$B145,領用表!$B:$B,BR$2&amp;BS$2)</f>
        <v/>
      </c>
      <c r="BT145" s="329">
        <f>SUMIFS(領用表!$L:$L,領用表!$E:$E,$B145,領用表!$B:$B,$BR$2&amp;BT$2)</f>
        <v/>
      </c>
      <c r="BU145" s="329">
        <f>SUMIFS(領用表!$L:$L,領用表!$E:$E,$B145,領用表!$B:$B,$BR$2&amp;BU$2)</f>
        <v/>
      </c>
      <c r="BV145" s="296">
        <f>SUMIFS(領用表!$L:$L,領用表!$E:$E,$B145,領用表!$B:$B,$BR$2&amp;BV$2)</f>
        <v/>
      </c>
      <c r="BW145" s="208">
        <f>SUMIFS(領用表!$L:$L,領用表!$A:$A,BW$2,領用表!$E:$E,B145)</f>
        <v/>
      </c>
      <c r="BX145" s="329">
        <f>SUMIFS(領用表!$L:$L,領用表!$E:$E,$B145,領用表!$B:$B,BW$2&amp;BX$2)</f>
        <v/>
      </c>
      <c r="BY145" s="329">
        <f>SUMIFS(領用表!$L:$L,領用表!$E:$E,$B145,領用表!$B:$B,$BW$2&amp;BY$2)</f>
        <v/>
      </c>
      <c r="BZ145" s="329">
        <f>SUMIFS(領用表!$L:$L,領用表!$E:$E,$B145,領用表!$B:$B,$BW$2&amp;BZ$2)</f>
        <v/>
      </c>
      <c r="CA145" s="329">
        <f>SUMIFS(領用表!$L:$L,領用表!$E:$E,$B145,領用表!$B:$B,$BW$2&amp;CA$2)</f>
        <v/>
      </c>
      <c r="CB145" s="208">
        <f>SUMIFS(領用表!$L:$L,領用表!$A:$A,CB$2,領用表!$E:$E,B145)</f>
        <v/>
      </c>
      <c r="CC145" s="329">
        <f>SUMIFS(領用表!$L:$L,領用表!$E:$E,$B145,領用表!$B:$B,CB$2&amp;CC$2)</f>
        <v/>
      </c>
      <c r="CD145" s="329">
        <f>SUMIFS(領用表!$L:$L,領用表!$E:$E,$B145,領用表!$B:$B,$CB$2&amp;CD$2)</f>
        <v/>
      </c>
      <c r="CE145" s="329">
        <f>SUMIFS(領用表!$L:$L,領用表!$E:$E,$B145,領用表!$B:$B,$CB$2&amp;CE$2)</f>
        <v/>
      </c>
      <c r="CF145" s="329">
        <f>SUMIFS(領用表!$L:$L,領用表!$E:$E,$B145,領用表!$B:$B,$CB$2&amp;CF$2)</f>
        <v/>
      </c>
      <c r="CG145" s="208">
        <f>SUMIFS(領用表!$L:$L,領用表!$A:$A,CG$2,領用表!$E:$E,B145)</f>
        <v/>
      </c>
      <c r="CH145" s="206">
        <f>SUMIFS(領用表!$L:$L,領用表!$E:$E,$B145,領用表!$B:$B,CG$2&amp;CH$2)</f>
        <v/>
      </c>
      <c r="CI145" s="206">
        <f>SUMIFS(領用表!$L:$L,領用表!$E:$E,$B145,領用表!$B:$B,CG$2&amp;CI$2)</f>
        <v/>
      </c>
      <c r="CJ145" s="206">
        <f>SUMIFS(領用表!$L:$L,領用表!$E:$E,$B145,領用表!$B:$B,CG$2&amp;CJ$2)</f>
        <v/>
      </c>
      <c r="CK145" s="206">
        <f>SUMIFS(領用表!$L:$L,領用表!$E:$E,$B145,領用表!$B:$B,$CG$2&amp;CK$2)</f>
        <v/>
      </c>
      <c r="CL145" s="207">
        <f>SUM(AX145,AY145,AZ145,BA145,BB145,BC145,BH145,BM145,BR145,BW145,CB145,CG145)</f>
        <v/>
      </c>
      <c r="CM145" s="207">
        <f>AVERAGE(AX145,AY145,AZ145,BA145,BB145,BC145,BH145,BM145,BR145,BW145,CB145,CG145)</f>
        <v/>
      </c>
      <c r="CN145" s="208">
        <f>SUMIFS(領用表!$L:$L,領用表!$A:$A,CN$2,領用表!$E:$E,B145)</f>
        <v/>
      </c>
      <c r="CO145" s="206">
        <f>SUMIFS(領用表!$L:$L,領用表!$E:$E,$B145,領用表!$B:$B,CN$2&amp;CO$2)</f>
        <v/>
      </c>
      <c r="CP145" s="206">
        <f>SUMIFS(領用表!$L:$L,領用表!$E:$E,$B145,領用表!$B:$B,$CN$2&amp;CP$2)</f>
        <v/>
      </c>
      <c r="CQ145" s="206">
        <f>SUMIFS(領用表!$L:$L,領用表!$E:$E,$B145,領用表!$B:$B,$CN$2&amp;CQ$2)</f>
        <v/>
      </c>
      <c r="CR145" s="206">
        <f>SUMIFS(領用表!$L:$L,領用表!$E:$E,$B145,領用表!$B:$B,$CN$2&amp;CR$2)</f>
        <v/>
      </c>
      <c r="CS145" s="208">
        <f>SUMIFS(領用表!$L:$L,領用表!$A:$A,CS$2,領用表!$E:$E,B145)</f>
        <v/>
      </c>
      <c r="CT145" s="206">
        <f>SUMIFS(領用表!$L:$L,領用表!$E:$E,$B145,領用表!$B:$B,CS$2&amp;CT$2)</f>
        <v/>
      </c>
      <c r="CU145" s="206">
        <f>SUMIFS(領用表!$L:$L,領用表!$E:$E,$B145,領用表!$B:$B,$CS$2&amp;CU$2)</f>
        <v/>
      </c>
      <c r="CV145" s="206">
        <f>SUMIFS(領用表!$L:$L,領用表!$E:$E,$B145,領用表!$B:$B,$CS$2&amp;CV$2)</f>
        <v/>
      </c>
      <c r="CW145" s="206">
        <f>SUMIFS(領用表!$L:$L,領用表!$E:$E,$B145,領用表!$B:$B,$CS$2&amp;CW$2)</f>
        <v/>
      </c>
      <c r="CX145" s="206">
        <f>SUMIFS(領用表!$L:$L,領用表!$E:$E,$B145,領用表!$B:$B,$CS$2&amp;CX$2)</f>
        <v/>
      </c>
      <c r="CY145" s="208">
        <f>SUMIFS(領用表!$L:$L,領用表!$A:$A,CY$2,領用表!$E:$E,B145)</f>
        <v/>
      </c>
      <c r="CZ145" s="206">
        <f>SUMIFS(領用表!$L:$L,領用表!$E:$E,$B145,領用表!$B:$B,CY$2&amp;CZ$2)</f>
        <v/>
      </c>
      <c r="DA145" s="206">
        <f>SUMIFS(領用表!$L:$L,領用表!$E:$E,$B145,領用表!$B:$B,$CY$2&amp;DA$2)</f>
        <v/>
      </c>
      <c r="DB145" s="206">
        <f>SUMIFS(領用表!$L:$L,領用表!$E:$E,$B145,領用表!$B:$B,$CY$2&amp;DB$2)</f>
        <v/>
      </c>
      <c r="DC145" s="206">
        <f>SUMIFS(領用表!$L:$L,領用表!$E:$E,$B145,領用表!$B:$B,$CY$2&amp;DC$2)</f>
        <v/>
      </c>
      <c r="DD145" s="206">
        <f>SUMIFS(領用表!$L:$L,領用表!$E:$E,$B145,領用表!$B:$B,$CY$2&amp;DD$2)</f>
        <v/>
      </c>
      <c r="DE145" s="208">
        <f>SUMIFS(領用表!$L:$L,領用表!$A:$A,DE$2,領用表!$E:$E,B145)</f>
        <v/>
      </c>
      <c r="DF145" s="206">
        <f>SUMIFS(領用表!$L:$L,領用表!$E:$E,$B145,領用表!$B:$B,DE$2&amp;DF$2)</f>
        <v/>
      </c>
      <c r="DG145" s="206">
        <f>SUMIFS(領用表!$L:$L,領用表!$E:$E,$B145,領用表!$B:$B,$DE$2&amp;DG$2)</f>
        <v/>
      </c>
      <c r="DH145" s="206">
        <f>SUMIFS(領用表!$L:$L,領用表!$E:$E,$B145,領用表!$B:$B,$DE$2&amp;DH$2)</f>
        <v/>
      </c>
      <c r="DI145" s="206">
        <f>SUMIFS(領用表!$L:$L,領用表!$E:$E,$B145,領用表!$B:$B,$DE$2&amp;DI$2)</f>
        <v/>
      </c>
      <c r="DJ145" s="206">
        <f>SUMIFS(領用表!$L:$L,領用表!$E:$E,$B145,領用表!$B:$B,$DE$2&amp;DJ$2)</f>
        <v/>
      </c>
      <c r="DK145" s="208">
        <f>SUMIFS(領用表!$L:$L,領用表!$A:$A,DK$2,領用表!$E:$E,$B145)</f>
        <v/>
      </c>
      <c r="DL145" s="206">
        <f>SUMIFS(領用表!$L:$L,領用表!$E:$E,$B145,領用表!$B:$B,DK$2&amp;DL$2)</f>
        <v/>
      </c>
      <c r="DM145" s="206">
        <f>SUMIFS(領用表!$L:$L,領用表!$E:$E,$B145,領用表!$B:$B,$DK$2&amp;DM$2)</f>
        <v/>
      </c>
      <c r="DN145" s="206">
        <f>SUMIFS(領用表!$L:$L,領用表!$E:$E,$B145,領用表!$B:$B,$DK$2&amp;DN$2)</f>
        <v/>
      </c>
      <c r="DO145" s="206">
        <f>SUMIFS(領用表!$L:$L,領用表!$E:$E,$B145,領用表!$B:$B,$DK$2&amp;DO$2)</f>
        <v/>
      </c>
      <c r="DP145" s="206">
        <f>SUMIFS(領用表!$L:$L,領用表!$E:$E,$B145,領用表!$B:$B,$DK$2&amp;DP$2)</f>
        <v/>
      </c>
      <c r="DQ145" s="208" t="n"/>
      <c r="DR145" s="206" t="n"/>
      <c r="DS145" s="206" t="n"/>
      <c r="DT145" s="206" t="n"/>
      <c r="DU145" s="206" t="n"/>
      <c r="DV145" s="206" t="n"/>
      <c r="DW145" s="206">
        <f>SUM(CN145,CS145,CY145,DE145,DK145,DQ145)</f>
        <v/>
      </c>
      <c r="DX145" s="206">
        <f>AVERAGEA(CN145,CS145,CY145,DE145,DK145,DQ145)</f>
        <v/>
      </c>
      <c r="DY145" s="206">
        <f>SUM(DZ145:EC145)</f>
        <v/>
      </c>
      <c r="DZ145" s="206" t="n">
        <v>0</v>
      </c>
      <c r="EA145" s="206" t="n">
        <v>0</v>
      </c>
      <c r="EB145" s="206" t="n">
        <v>0</v>
      </c>
      <c r="EC145" s="206" t="n">
        <v>0</v>
      </c>
      <c r="ED145" s="258" t="n"/>
      <c r="EE145" s="283" t="n"/>
      <c r="EF145" s="283" t="n"/>
      <c r="EG145" s="283" t="n"/>
      <c r="EH145" s="136" t="n"/>
      <c r="EI145" s="136" t="n"/>
      <c r="EJ145" s="118">
        <f>IFERROR(VLOOKUP(A145,站前4樓!A:BF,57,0),0)</f>
        <v/>
      </c>
      <c r="EK145" s="213">
        <f>IFERROR(VLOOKUP(A145,站前11樓!A:BE,57,0),0)</f>
        <v/>
      </c>
      <c r="EL145" s="118">
        <f>IFERROR(VLOOKUP(A145,忠孝7樓!A:N,57,0),0)</f>
        <v/>
      </c>
      <c r="EM145" s="118">
        <f>IFERROR(VLOOKUP(A145,忠孝國際醫學3樓!A:L,57,0),0)</f>
        <v/>
      </c>
      <c r="EN145" s="118">
        <f>SUM(ED145:EG145)</f>
        <v/>
      </c>
    </row>
    <row r="146" ht="15.75" customFormat="1" customHeight="1" s="118">
      <c r="A146" s="136" t="inlineStr">
        <is>
          <t>D99AA100001T</t>
        </is>
      </c>
      <c r="B146" s="118" t="n">
        <v>6090001</v>
      </c>
      <c r="C146" s="136" t="inlineStr">
        <is>
          <t>藍銅胜肽舒緩凍膜 180mL(從深坑廠出貨)-</t>
        </is>
      </c>
      <c r="D146" s="285" t="n"/>
      <c r="E146" s="198" t="inlineStr">
        <is>
          <t>PCS</t>
        </is>
      </c>
      <c r="F146" s="225">
        <f>SUMIF(站前4樓!B:B,B146,站前4樓!F:F)</f>
        <v/>
      </c>
      <c r="G146" s="225">
        <f>SUMIF(站前11樓!B:B,B146,站前11樓!F:F)</f>
        <v/>
      </c>
      <c r="H146" s="225">
        <f>SUMIF(忠孝7樓!B:B,B146,忠孝7樓!G:G)</f>
        <v/>
      </c>
      <c r="I146" s="225">
        <f>SUMIF(忠孝國際醫學3樓!B:B,B146,忠孝國際醫學3樓!G:G)</f>
        <v/>
      </c>
      <c r="J146" s="225">
        <f>SUMIF(忠孝健康7樓!B:B,B146,忠孝健康7樓!G:G)</f>
        <v/>
      </c>
      <c r="K146" s="283" t="n"/>
      <c r="L146" s="283" t="n"/>
      <c r="M146" s="283" t="n"/>
      <c r="N146" s="283" t="n"/>
      <c r="O146" s="283" t="n"/>
      <c r="P146" s="283" t="n"/>
      <c r="Q146" s="283" t="n"/>
      <c r="R146" s="283" t="n"/>
      <c r="S146" s="283" t="n"/>
      <c r="T146" s="283" t="n"/>
      <c r="U146" s="283" t="n"/>
      <c r="V146" s="283" t="n"/>
      <c r="W146" s="283" t="n"/>
      <c r="X146" s="283" t="n"/>
      <c r="Y146" s="283" t="n"/>
      <c r="Z146" s="283" t="n"/>
      <c r="AA146" s="283" t="n"/>
      <c r="AB146" s="283" t="n"/>
      <c r="AC146" s="283" t="n"/>
      <c r="AD146" s="283" t="n"/>
      <c r="AE146" s="283" t="n"/>
      <c r="AF146" s="283" t="n"/>
      <c r="AG146" s="283" t="n"/>
      <c r="AH146" s="283" t="n"/>
      <c r="AI146" s="283" t="n"/>
      <c r="AJ146" s="201" t="n"/>
      <c r="AK146" s="201" t="n"/>
      <c r="AL146" s="201" t="n"/>
      <c r="AM146" s="201" t="n"/>
      <c r="AN146" s="201" t="n"/>
      <c r="AO146" s="201" t="n"/>
      <c r="AP146" s="201" t="n"/>
      <c r="AQ146" s="201" t="n">
        <v>0</v>
      </c>
      <c r="AR146" s="201" t="n">
        <v>0</v>
      </c>
      <c r="AS146" s="201" t="n">
        <v>57</v>
      </c>
      <c r="AT146" s="201" t="n">
        <v>30</v>
      </c>
      <c r="AU146" s="201" t="n">
        <v>120</v>
      </c>
      <c r="AV146" s="283">
        <f>SUM(AJ146:AU146)</f>
        <v/>
      </c>
      <c r="AW146" s="286">
        <f>AV146/12</f>
        <v/>
      </c>
      <c r="AX146" s="201" t="n">
        <v>0</v>
      </c>
      <c r="AY146" s="201" t="n">
        <v>0</v>
      </c>
      <c r="AZ146" s="201" t="n">
        <v>60</v>
      </c>
      <c r="BA146" s="201" t="n">
        <v>32</v>
      </c>
      <c r="BB146" s="201" t="n">
        <v>20</v>
      </c>
      <c r="BC146" s="203">
        <f>SUMIFS(領用表!$L:$L,領用表!$A:$A,BC$2,領用表!$E:$E,B146)</f>
        <v/>
      </c>
      <c r="BD146" s="296">
        <f>SUMIFS(領用表!$L:$L,領用表!$E:$E,$B146,領用表!$B:$B,BC$2&amp;BD$2)</f>
        <v/>
      </c>
      <c r="BE146" s="296">
        <f>SUMIFS(領用表!$L:$L,領用表!$E:$E,$B146,領用表!$B:$B,$BC$2&amp;BE$2)</f>
        <v/>
      </c>
      <c r="BF146" s="296">
        <f>SUMIFS(領用表!$L:$L,領用表!$E:$E,$B146,領用表!$B:$B,$BC$2&amp;BF$2)</f>
        <v/>
      </c>
      <c r="BG146" s="296">
        <f>SUMIFS(領用表!$L:$L,領用表!$E:$E,$B146,領用表!$B:$B,$BC$2&amp;BG$2)</f>
        <v/>
      </c>
      <c r="BH146" s="203">
        <f>SUMIFS(領用表!$L:$L,領用表!$A:$A,BH$2,領用表!$E:$E,B146)</f>
        <v/>
      </c>
      <c r="BI146" s="260">
        <f>SUMIFS(領用表!$L:$L,領用表!$E:$E,$B146,領用表!$B:$B,BH$2&amp;BI$2)</f>
        <v/>
      </c>
      <c r="BJ146" s="260">
        <f>SUMIFS(領用表!$L:$L,領用表!$E:$E,$B146,領用表!$B:$B,$BH$2&amp;BJ$2)</f>
        <v/>
      </c>
      <c r="BK146" s="260">
        <f>SUMIFS(領用表!$L:$L,領用表!$E:$E,$B146,領用表!$B:$B,$BH$2&amp;BK$2)</f>
        <v/>
      </c>
      <c r="BL146" s="260">
        <f>SUMIFS(領用表!$L:$L,領用表!$E:$E,$B146,領用表!$B:$B,$BH$2&amp;BL$2)</f>
        <v/>
      </c>
      <c r="BM146" s="203">
        <f>SUMIFS(領用表!$L:$L,領用表!$A:$A,BM$2,領用表!$E:$E,B146)</f>
        <v/>
      </c>
      <c r="BN146" s="206">
        <f>SUMIFS(領用表!$L:$L,領用表!$E:$E,$B146,領用表!$B:$B,BM$2&amp;BN$2)</f>
        <v/>
      </c>
      <c r="BO146" s="206">
        <f>SUMIFS(領用表!$L:$L,領用表!$E:$E,$B146,領用表!$B:$B,$BM$2&amp;BO$2)</f>
        <v/>
      </c>
      <c r="BP146" s="288">
        <f>SUMIFS(領用表!$L:$L,領用表!$E:$E,$B146,領用表!$B:$B,$BM$2&amp;BP$2)</f>
        <v/>
      </c>
      <c r="BQ146" s="287">
        <f>SUMIFS(領用表!$L:$L,領用表!$E:$E,$B146,領用表!$B:$B,$BM$2&amp;BQ$2)</f>
        <v/>
      </c>
      <c r="BR146" s="203">
        <f>SUMIFS(領用表!$L:$L,領用表!$A:$A,BR$2,領用表!$E:$E,B146)</f>
        <v/>
      </c>
      <c r="BS146" s="297">
        <f>SUMIFS(領用表!$L:$L,領用表!$E:$E,$B146,領用表!$B:$B,BR$2&amp;BS$2)</f>
        <v/>
      </c>
      <c r="BT146" s="206">
        <f>SUMIFS(領用表!$L:$L,領用表!$E:$E,$B146,領用表!$B:$B,$BR$2&amp;BT$2)</f>
        <v/>
      </c>
      <c r="BU146" s="297">
        <f>SUMIFS(領用表!$L:$L,領用表!$E:$E,$B146,領用表!$B:$B,$BR$2&amp;BU$2)</f>
        <v/>
      </c>
      <c r="BV146" s="206">
        <f>SUMIFS(領用表!$L:$L,領用表!$E:$E,$B146,領用表!$B:$B,$BR$2&amp;BV$2)</f>
        <v/>
      </c>
      <c r="BW146" s="208">
        <f>SUMIFS(領用表!$L:$L,領用表!$A:$A,BW$2,領用表!$E:$E,B146)</f>
        <v/>
      </c>
      <c r="BX146" s="206">
        <f>SUMIFS(領用表!$L:$L,領用表!$E:$E,$B146,領用表!$B:$B,BW$2&amp;BX$2)</f>
        <v/>
      </c>
      <c r="BY146" s="206">
        <f>SUMIFS(領用表!$L:$L,領用表!$E:$E,$B146,領用表!$B:$B,$BW$2&amp;BY$2)</f>
        <v/>
      </c>
      <c r="BZ146" s="206">
        <f>SUMIFS(領用表!$L:$L,領用表!$E:$E,$B146,領用表!$B:$B,$BW$2&amp;BZ$2)</f>
        <v/>
      </c>
      <c r="CA146" s="206">
        <f>SUMIFS(領用表!$L:$L,領用表!$E:$E,$B146,領用表!$B:$B,$BW$2&amp;CA$2)</f>
        <v/>
      </c>
      <c r="CB146" s="208">
        <f>SUMIFS(領用表!$L:$L,領用表!$A:$A,CB$2,領用表!$E:$E,B146)</f>
        <v/>
      </c>
      <c r="CC146" s="206">
        <f>SUMIFS(領用表!$L:$L,領用表!$E:$E,$B146,領用表!$B:$B,CB$2&amp;CC$2)</f>
        <v/>
      </c>
      <c r="CD146" s="206">
        <f>SUMIFS(領用表!$L:$L,領用表!$E:$E,$B146,領用表!$B:$B,$CB$2&amp;CD$2)</f>
        <v/>
      </c>
      <c r="CE146" s="206">
        <f>SUMIFS(領用表!$L:$L,領用表!$E:$E,$B146,領用表!$B:$B,$CB$2&amp;CE$2)</f>
        <v/>
      </c>
      <c r="CF146" s="206">
        <f>SUMIFS(領用表!$L:$L,領用表!$E:$E,$B146,領用表!$B:$B,$CB$2&amp;CF$2)</f>
        <v/>
      </c>
      <c r="CG146" s="208">
        <f>SUMIFS(領用表!$L:$L,領用表!$A:$A,CG$2,領用表!$E:$E,B146)</f>
        <v/>
      </c>
      <c r="CH146" s="206">
        <f>SUMIFS(領用表!$L:$L,領用表!$E:$E,$B146,領用表!$B:$B,CG$2&amp;CH$2)</f>
        <v/>
      </c>
      <c r="CI146" s="206">
        <f>SUMIFS(領用表!$L:$L,領用表!$E:$E,$B146,領用表!$B:$B,CG$2&amp;CI$2)</f>
        <v/>
      </c>
      <c r="CJ146" s="206">
        <f>SUMIFS(領用表!$L:$L,領用表!$E:$E,$B146,領用表!$B:$B,CG$2&amp;CJ$2)</f>
        <v/>
      </c>
      <c r="CK146" s="206">
        <f>SUMIFS(領用表!$L:$L,領用表!$E:$E,$B146,領用表!$B:$B,$CG$2&amp;CK$2)</f>
        <v/>
      </c>
      <c r="CL146" s="207">
        <f>SUM(AX146,AY146,AZ146,BA146,BB146,BC146,BH146,BM146,BR146,BW146,CB146,CG146)</f>
        <v/>
      </c>
      <c r="CM146" s="207">
        <f>AVERAGE(AX146,AY146,AZ146,BA146,BB146,BC146,BH146,BM146,BR146,BW146,CB146,CG146)</f>
        <v/>
      </c>
      <c r="CN146" s="208">
        <f>SUMIFS(領用表!$L:$L,領用表!$A:$A,CN$2,領用表!$E:$E,B146)</f>
        <v/>
      </c>
      <c r="CO146" s="206">
        <f>SUMIFS(領用表!$L:$L,領用表!$E:$E,$B146,領用表!$B:$B,CN$2&amp;CO$2)</f>
        <v/>
      </c>
      <c r="CP146" s="206">
        <f>SUMIFS(領用表!$L:$L,領用表!$E:$E,$B146,領用表!$B:$B,$CN$2&amp;CP$2)</f>
        <v/>
      </c>
      <c r="CQ146" s="206">
        <f>SUMIFS(領用表!$L:$L,領用表!$E:$E,$B146,領用表!$B:$B,$CN$2&amp;CQ$2)</f>
        <v/>
      </c>
      <c r="CR146" s="206">
        <f>SUMIFS(領用表!$L:$L,領用表!$E:$E,$B146,領用表!$B:$B,$CN$2&amp;CR$2)</f>
        <v/>
      </c>
      <c r="CS146" s="208">
        <f>SUMIFS(領用表!$L:$L,領用表!$A:$A,CS$2,領用表!$E:$E,B146)</f>
        <v/>
      </c>
      <c r="CT146" s="206">
        <f>SUMIFS(領用表!$L:$L,領用表!$E:$E,$B146,領用表!$B:$B,CS$2&amp;CT$2)</f>
        <v/>
      </c>
      <c r="CU146" s="206">
        <f>SUMIFS(領用表!$L:$L,領用表!$E:$E,$B146,領用表!$B:$B,$CS$2&amp;CU$2)</f>
        <v/>
      </c>
      <c r="CV146" s="206">
        <f>SUMIFS(領用表!$L:$L,領用表!$E:$E,$B146,領用表!$B:$B,$CS$2&amp;CV$2)</f>
        <v/>
      </c>
      <c r="CW146" s="206">
        <f>SUMIFS(領用表!$L:$L,領用表!$E:$E,$B146,領用表!$B:$B,$CS$2&amp;CW$2)</f>
        <v/>
      </c>
      <c r="CX146" s="206">
        <f>SUMIFS(領用表!$L:$L,領用表!$E:$E,$B146,領用表!$B:$B,$CS$2&amp;CX$2)</f>
        <v/>
      </c>
      <c r="CY146" s="208">
        <f>SUMIFS(領用表!$L:$L,領用表!$A:$A,CY$2,領用表!$E:$E,B146)</f>
        <v/>
      </c>
      <c r="CZ146" s="206">
        <f>SUMIFS(領用表!$L:$L,領用表!$E:$E,$B146,領用表!$B:$B,CY$2&amp;CZ$2)</f>
        <v/>
      </c>
      <c r="DA146" s="206">
        <f>SUMIFS(領用表!$L:$L,領用表!$E:$E,$B146,領用表!$B:$B,$CY$2&amp;DA$2)</f>
        <v/>
      </c>
      <c r="DB146" s="206">
        <f>SUMIFS(領用表!$L:$L,領用表!$E:$E,$B146,領用表!$B:$B,$CY$2&amp;DB$2)</f>
        <v/>
      </c>
      <c r="DC146" s="206">
        <f>SUMIFS(領用表!$L:$L,領用表!$E:$E,$B146,領用表!$B:$B,$CY$2&amp;DC$2)</f>
        <v/>
      </c>
      <c r="DD146" s="206">
        <f>SUMIFS(領用表!$L:$L,領用表!$E:$E,$B146,領用表!$B:$B,$CY$2&amp;DD$2)</f>
        <v/>
      </c>
      <c r="DE146" s="208">
        <f>SUMIFS(領用表!$L:$L,領用表!$A:$A,DE$2,領用表!$E:$E,B146)</f>
        <v/>
      </c>
      <c r="DF146" s="206">
        <f>SUMIFS(領用表!$L:$L,領用表!$E:$E,$B146,領用表!$B:$B,DE$2&amp;DF$2)</f>
        <v/>
      </c>
      <c r="DG146" s="206">
        <f>SUMIFS(領用表!$L:$L,領用表!$E:$E,$B146,領用表!$B:$B,$DE$2&amp;DG$2)</f>
        <v/>
      </c>
      <c r="DH146" s="206">
        <f>SUMIFS(領用表!$L:$L,領用表!$E:$E,$B146,領用表!$B:$B,$DE$2&amp;DH$2)</f>
        <v/>
      </c>
      <c r="DI146" s="206">
        <f>SUMIFS(領用表!$L:$L,領用表!$E:$E,$B146,領用表!$B:$B,$DE$2&amp;DI$2)</f>
        <v/>
      </c>
      <c r="DJ146" s="206">
        <f>SUMIFS(領用表!$L:$L,領用表!$E:$E,$B146,領用表!$B:$B,$DE$2&amp;DJ$2)</f>
        <v/>
      </c>
      <c r="DK146" s="208">
        <f>SUMIFS(領用表!$L:$L,領用表!$A:$A,DK$2,領用表!$E:$E,$B146)</f>
        <v/>
      </c>
      <c r="DL146" s="206">
        <f>SUMIFS(領用表!$L:$L,領用表!$E:$E,$B146,領用表!$B:$B,DK$2&amp;DL$2)</f>
        <v/>
      </c>
      <c r="DM146" s="206">
        <f>SUMIFS(領用表!$L:$L,領用表!$E:$E,$B146,領用表!$B:$B,$DK$2&amp;DM$2)</f>
        <v/>
      </c>
      <c r="DN146" s="206">
        <f>SUMIFS(領用表!$L:$L,領用表!$E:$E,$B146,領用表!$B:$B,$DK$2&amp;DN$2)</f>
        <v/>
      </c>
      <c r="DO146" s="206">
        <f>SUMIFS(領用表!$L:$L,領用表!$E:$E,$B146,領用表!$B:$B,$DK$2&amp;DO$2)</f>
        <v/>
      </c>
      <c r="DP146" s="206">
        <f>SUMIFS(領用表!$L:$L,領用表!$E:$E,$B146,領用表!$B:$B,$DK$2&amp;DP$2)</f>
        <v/>
      </c>
      <c r="DQ146" s="208" t="n"/>
      <c r="DR146" s="206" t="n"/>
      <c r="DS146" s="206" t="n"/>
      <c r="DT146" s="206" t="n"/>
      <c r="DU146" s="206" t="n"/>
      <c r="DV146" s="206" t="n"/>
      <c r="DW146" s="206">
        <f>SUM(CN146,CS146,CY146,DE146,DK146,DQ146)</f>
        <v/>
      </c>
      <c r="DX146" s="206">
        <f>AVERAGEA(CN146,CS146,CY146,DE146,DK146,DQ146)</f>
        <v/>
      </c>
      <c r="DY146" s="206">
        <f>SUM(DZ146:EC146)</f>
        <v/>
      </c>
      <c r="DZ146" s="206" t="n">
        <v>0</v>
      </c>
      <c r="EA146" s="206" t="n">
        <v>0</v>
      </c>
      <c r="EB146" s="206" t="n">
        <v>0</v>
      </c>
      <c r="EC146" s="206" t="n">
        <v>0</v>
      </c>
      <c r="ED146" s="258" t="n"/>
      <c r="EE146" s="252" t="n"/>
      <c r="EF146" s="252" t="n"/>
      <c r="EG146" s="252" t="n"/>
      <c r="EH146" s="136" t="inlineStr">
        <is>
          <t>專用料1kg可生產180pcs</t>
        </is>
      </c>
      <c r="EI146" s="136" t="n"/>
      <c r="EJ146" s="118">
        <f>IFERROR(VLOOKUP(A146,站前4樓!A:BF,57,0),0)</f>
        <v/>
      </c>
      <c r="EK146" s="213">
        <f>IFERROR(VLOOKUP(A146,站前11樓!A:BE,57,0),0)</f>
        <v/>
      </c>
      <c r="EL146" s="118">
        <f>IFERROR(VLOOKUP(A146,忠孝7樓!A:N,57,0),0)</f>
        <v/>
      </c>
      <c r="EM146" s="118">
        <f>IFERROR(VLOOKUP(A146,忠孝國際醫學3樓!A:L,57,0),0)</f>
        <v/>
      </c>
      <c r="EN146" s="118">
        <f>SUM(ED146:EG146)</f>
        <v/>
      </c>
    </row>
    <row r="147" ht="15.75" customFormat="1" customHeight="1" s="118">
      <c r="A147" s="118" t="inlineStr">
        <is>
          <t>D99AA050002T</t>
        </is>
      </c>
      <c r="B147" s="118" t="n">
        <v>6050006</v>
      </c>
      <c r="C147" s="136" t="inlineStr">
        <is>
          <t>舒緩修護精萃 180mL(從深坑廠出貨)</t>
        </is>
      </c>
      <c r="D147" s="285" t="n"/>
      <c r="E147" s="198" t="inlineStr">
        <is>
          <t>PCS</t>
        </is>
      </c>
      <c r="F147" s="225">
        <f>SUMIF(站前4樓!B:B,B147,站前4樓!F:F)</f>
        <v/>
      </c>
      <c r="G147" s="225">
        <f>SUMIF(站前11樓!B:B,B147,站前11樓!F:F)</f>
        <v/>
      </c>
      <c r="H147" s="225">
        <f>SUMIF(忠孝7樓!B:B,B147,忠孝7樓!G:G)</f>
        <v/>
      </c>
      <c r="I147" s="225">
        <f>SUMIF(忠孝國際醫學3樓!B:B,B147,忠孝國際醫學3樓!G:G)</f>
        <v/>
      </c>
      <c r="J147" s="408">
        <f>SUMIF(忠孝健康7樓!B:B,B147,忠孝健康7樓!G:G)</f>
        <v/>
      </c>
      <c r="AU147" s="201" t="n">
        <v>10</v>
      </c>
      <c r="AV147" s="347" t="inlineStr">
        <is>
          <t>-</t>
        </is>
      </c>
      <c r="AW147" s="347" t="inlineStr">
        <is>
          <t>-</t>
        </is>
      </c>
      <c r="AX147" s="201" t="n">
        <v>0</v>
      </c>
      <c r="AY147" s="201" t="n">
        <v>0</v>
      </c>
      <c r="AZ147" s="201" t="n">
        <v>0</v>
      </c>
      <c r="BA147" s="201" t="n">
        <v>12</v>
      </c>
      <c r="BB147" s="201" t="n">
        <v>20</v>
      </c>
      <c r="BC147" s="203">
        <f>SUMIFS(領用表!$L:$L,領用表!$A:$A,BC$2,領用表!$E:$E,B147)</f>
        <v/>
      </c>
      <c r="BD147" s="296">
        <f>SUMIFS(領用表!$L:$L,領用表!$E:$E,$B147,領用表!$B:$B,BC$2&amp;BD$2)</f>
        <v/>
      </c>
      <c r="BE147" s="330">
        <f>SUMIFS(領用表!$L:$L,領用表!$E:$E,$B147,領用表!$B:$B,$BC$2&amp;BE$2)</f>
        <v/>
      </c>
      <c r="BF147" s="330">
        <f>SUMIFS(領用表!$L:$L,領用表!$E:$E,$B147,領用表!$B:$B,$BC$2&amp;BF$2)</f>
        <v/>
      </c>
      <c r="BG147" s="330">
        <f>SUMIFS(領用表!$L:$L,領用表!$E:$E,$B147,領用表!$B:$B,$BC$2&amp;BG$2)</f>
        <v/>
      </c>
      <c r="BH147" s="203">
        <f>SUMIFS(領用表!$L:$L,領用表!$A:$A,BH$2,領用表!$E:$E,B147)</f>
        <v/>
      </c>
      <c r="BI147" s="260">
        <f>SUMIFS(領用表!$L:$L,領用表!$E:$E,$B147,領用表!$B:$B,BH$2&amp;BI$2)</f>
        <v/>
      </c>
      <c r="BJ147" s="260">
        <f>SUMIFS(領用表!$L:$L,領用表!$E:$E,$B147,領用表!$B:$B,$BH$2&amp;BJ$2)</f>
        <v/>
      </c>
      <c r="BK147" s="260">
        <f>SUMIFS(領用表!$L:$L,領用表!$E:$E,$B147,領用表!$B:$B,$BH$2&amp;BK$2)</f>
        <v/>
      </c>
      <c r="BL147" s="260">
        <f>SUMIFS(領用表!$L:$L,領用表!$E:$E,$B147,領用表!$B:$B,$BH$2&amp;BL$2)</f>
        <v/>
      </c>
      <c r="BM147" s="203">
        <f>SUMIFS(領用表!$L:$L,領用表!$A:$A,BM$2,領用表!$E:$E,B147)</f>
        <v/>
      </c>
      <c r="BN147" s="331">
        <f>SUMIFS(領用表!$L:$L,領用表!$E:$E,$B147,領用表!$B:$B,BM$2&amp;BN$2)</f>
        <v/>
      </c>
      <c r="BO147" s="331">
        <f>SUMIFS(領用表!$L:$L,領用表!$E:$E,$B147,領用表!$B:$B,$BM$2&amp;BO$2)</f>
        <v/>
      </c>
      <c r="BP147" s="288">
        <f>SUMIFS(領用表!$L:$L,領用表!$E:$E,$B147,領用表!$B:$B,$BM$2&amp;BP$2)</f>
        <v/>
      </c>
      <c r="BQ147" s="287">
        <f>SUMIFS(領用表!$L:$L,領用表!$E:$E,$B147,領用表!$B:$B,$BM$2&amp;BQ$2)</f>
        <v/>
      </c>
      <c r="BR147" s="203">
        <f>SUMIFS(領用表!$L:$L,領用表!$A:$A,BR$2,領用表!$E:$E,B147)</f>
        <v/>
      </c>
      <c r="BS147" s="288">
        <f>SUMIFS(領用表!$L:$L,領用表!$E:$E,$B147,領用表!$B:$B,BR$2&amp;BS$2)</f>
        <v/>
      </c>
      <c r="BT147" s="288">
        <f>SUMIFS(領用表!$L:$L,領用表!$E:$E,$B147,領用表!$B:$B,$BR$2&amp;BT$2)</f>
        <v/>
      </c>
      <c r="BU147" s="288">
        <f>SUMIFS(領用表!$L:$L,領用表!$E:$E,$B147,領用表!$B:$B,$BR$2&amp;BU$2)</f>
        <v/>
      </c>
      <c r="BV147" s="287">
        <f>SUMIFS(領用表!$L:$L,領用表!$E:$E,$B147,領用表!$B:$B,$BR$2&amp;BV$2)</f>
        <v/>
      </c>
      <c r="BW147" s="208">
        <f>SUMIFS(領用表!$L:$L,領用表!$A:$A,BW$2,領用表!$E:$E,B147)</f>
        <v/>
      </c>
      <c r="BX147" s="331">
        <f>SUMIFS(領用表!$L:$L,領用表!$E:$E,$B147,領用表!$B:$B,BW$2&amp;BX$2)</f>
        <v/>
      </c>
      <c r="BY147" s="331">
        <f>SUMIFS(領用表!$L:$L,領用表!$E:$E,$B147,領用表!$B:$B,$BW$2&amp;BY$2)</f>
        <v/>
      </c>
      <c r="BZ147" s="331">
        <f>SUMIFS(領用表!$L:$L,領用表!$E:$E,$B147,領用表!$B:$B,$BW$2&amp;BZ$2)</f>
        <v/>
      </c>
      <c r="CA147" s="331">
        <f>SUMIFS(領用表!$L:$L,領用表!$E:$E,$B147,領用表!$B:$B,$BW$2&amp;CA$2)</f>
        <v/>
      </c>
      <c r="CB147" s="208">
        <f>SUMIFS(領用表!$L:$L,領用表!$A:$A,CB$2,領用表!$E:$E,B147)</f>
        <v/>
      </c>
      <c r="CC147" s="331">
        <f>SUMIFS(領用表!$L:$L,領用表!$E:$E,$B147,領用表!$B:$B,CB$2&amp;CC$2)</f>
        <v/>
      </c>
      <c r="CD147" s="331">
        <f>SUMIFS(領用表!$L:$L,領用表!$E:$E,$B147,領用表!$B:$B,$CB$2&amp;CD$2)</f>
        <v/>
      </c>
      <c r="CE147" s="331">
        <f>SUMIFS(領用表!$L:$L,領用表!$E:$E,$B147,領用表!$B:$B,$CB$2&amp;CE$2)</f>
        <v/>
      </c>
      <c r="CF147" s="331">
        <f>SUMIFS(領用表!$L:$L,領用表!$E:$E,$B147,領用表!$B:$B,$CB$2&amp;CF$2)</f>
        <v/>
      </c>
      <c r="CG147" s="332">
        <f>SUMIFS(領用表!$L:$L,領用表!$A:$A,CG$2,領用表!$E:$E,B147)</f>
        <v/>
      </c>
      <c r="CH147" s="331">
        <f>SUMIFS(領用表!$L:$L,領用表!$E:$E,$B147,領用表!$B:$B,CG$2&amp;CH$2)</f>
        <v/>
      </c>
      <c r="CI147" s="331">
        <f>SUMIFS(領用表!$L:$L,領用表!$E:$E,$B147,領用表!$B:$B,CG$2&amp;CI$2)</f>
        <v/>
      </c>
      <c r="CJ147" s="331">
        <f>SUMIFS(領用表!$L:$L,領用表!$E:$E,$B147,領用表!$B:$B,CG$2&amp;CJ$2)</f>
        <v/>
      </c>
      <c r="CK147" s="331">
        <f>SUMIFS(領用表!$L:$L,領用表!$E:$E,$B147,領用表!$B:$B,$CG$2&amp;CK$2)</f>
        <v/>
      </c>
      <c r="CL147" s="207">
        <f>SUM(AX147,AY147,AZ147,BA147,BB147,BC147,BH147,BM147,BR147,BW147,CB147,CG147)</f>
        <v/>
      </c>
      <c r="CM147" s="207">
        <f>AVERAGE(AX147,AY147,AZ147,BA147,BB147,BC147,BH147,BM147,BR147,BW147,CB147,CG147)</f>
        <v/>
      </c>
      <c r="CN147" s="208">
        <f>SUMIFS(領用表!$L:$L,領用表!$A:$A,CN$2,領用表!$E:$E,B147)</f>
        <v/>
      </c>
      <c r="CO147" s="206">
        <f>SUMIFS(領用表!$L:$L,領用表!$E:$E,$B147,領用表!$B:$B,CN$2&amp;CO$2)</f>
        <v/>
      </c>
      <c r="CP147" s="206">
        <f>SUMIFS(領用表!$L:$L,領用表!$E:$E,$B147,領用表!$B:$B,$CN$2&amp;CP$2)</f>
        <v/>
      </c>
      <c r="CQ147" s="206">
        <f>SUMIFS(領用表!$L:$L,領用表!$E:$E,$B147,領用表!$B:$B,$CN$2&amp;CQ$2)</f>
        <v/>
      </c>
      <c r="CR147" s="206">
        <f>SUMIFS(領用表!$L:$L,領用表!$E:$E,$B147,領用表!$B:$B,$CN$2&amp;CR$2)</f>
        <v/>
      </c>
      <c r="CS147" s="208">
        <f>SUMIFS(領用表!$L:$L,領用表!$A:$A,CS$2,領用表!$E:$E,B147)</f>
        <v/>
      </c>
      <c r="CT147" s="206">
        <f>SUMIFS(領用表!$L:$L,領用表!$E:$E,$B147,領用表!$B:$B,CS$2&amp;CT$2)</f>
        <v/>
      </c>
      <c r="CU147" s="206">
        <f>SUMIFS(領用表!$L:$L,領用表!$E:$E,$B147,領用表!$B:$B,$CS$2&amp;CU$2)</f>
        <v/>
      </c>
      <c r="CV147" s="206">
        <f>SUMIFS(領用表!$L:$L,領用表!$E:$E,$B147,領用表!$B:$B,$CS$2&amp;CV$2)</f>
        <v/>
      </c>
      <c r="CW147" s="206">
        <f>SUMIFS(領用表!$L:$L,領用表!$E:$E,$B147,領用表!$B:$B,$CS$2&amp;CW$2)</f>
        <v/>
      </c>
      <c r="CX147" s="206">
        <f>SUMIFS(領用表!$L:$L,領用表!$E:$E,$B147,領用表!$B:$B,$CS$2&amp;CX$2)</f>
        <v/>
      </c>
      <c r="CY147" s="208">
        <f>SUMIFS(領用表!$L:$L,領用表!$A:$A,CY$2,領用表!$E:$E,B147)</f>
        <v/>
      </c>
      <c r="CZ147" s="331">
        <f>SUMIFS(領用表!$L:$L,領用表!$E:$E,$B147,領用表!$B:$B,CY$2&amp;CZ$2)</f>
        <v/>
      </c>
      <c r="DA147" s="331">
        <f>SUMIFS(領用表!$L:$L,領用表!$E:$E,$B147,領用表!$B:$B,$CY$2&amp;DA$2)</f>
        <v/>
      </c>
      <c r="DB147" s="331">
        <f>SUMIFS(領用表!$L:$L,領用表!$E:$E,$B147,領用表!$B:$B,$CY$2&amp;DB$2)</f>
        <v/>
      </c>
      <c r="DC147" s="331">
        <f>SUMIFS(領用表!$L:$L,領用表!$E:$E,$B147,領用表!$B:$B,$CY$2&amp;DC$2)</f>
        <v/>
      </c>
      <c r="DD147" s="331">
        <f>SUMIFS(領用表!$L:$L,領用表!$E:$E,$B147,領用表!$B:$B,$CY$2&amp;DD$2)</f>
        <v/>
      </c>
      <c r="DE147" s="208">
        <f>SUMIFS(領用表!$L:$L,領用表!$A:$A,DE$2,領用表!$E:$E,B147)</f>
        <v/>
      </c>
      <c r="DF147" s="331">
        <f>SUMIFS(領用表!$L:$L,領用表!$E:$E,$B147,領用表!$B:$B,DE$2&amp;DF$2)</f>
        <v/>
      </c>
      <c r="DG147" s="331">
        <f>SUMIFS(領用表!$L:$L,領用表!$E:$E,$B147,領用表!$B:$B,$DE$2&amp;DG$2)</f>
        <v/>
      </c>
      <c r="DH147" s="331">
        <f>SUMIFS(領用表!$L:$L,領用表!$E:$E,$B147,領用表!$B:$B,$DE$2&amp;DH$2)</f>
        <v/>
      </c>
      <c r="DI147" s="331">
        <f>SUMIFS(領用表!$L:$L,領用表!$E:$E,$B147,領用表!$B:$B,$DE$2&amp;DI$2)</f>
        <v/>
      </c>
      <c r="DJ147" s="331">
        <f>SUMIFS(領用表!$L:$L,領用表!$E:$E,$B147,領用表!$B:$B,$DE$2&amp;DJ$2)</f>
        <v/>
      </c>
      <c r="DK147" s="208">
        <f>SUMIFS(領用表!$L:$L,領用表!$A:$A,DK$2,領用表!$E:$E,$B147)</f>
        <v/>
      </c>
      <c r="DL147" s="331">
        <f>SUMIFS(領用表!$L:$L,領用表!$E:$E,$B147,領用表!$B:$B,DK$2&amp;DL$2)</f>
        <v/>
      </c>
      <c r="DM147" s="331">
        <f>SUMIFS(領用表!$L:$L,領用表!$E:$E,$B147,領用表!$B:$B,$DK$2&amp;DM$2)</f>
        <v/>
      </c>
      <c r="DN147" s="331">
        <f>SUMIFS(領用表!$L:$L,領用表!$E:$E,$B147,領用表!$B:$B,$DK$2&amp;DN$2)</f>
        <v/>
      </c>
      <c r="DO147" s="331">
        <f>SUMIFS(領用表!$L:$L,領用表!$E:$E,$B147,領用表!$B:$B,$DK$2&amp;DO$2)</f>
        <v/>
      </c>
      <c r="DP147" s="331">
        <f>SUMIFS(領用表!$L:$L,領用表!$E:$E,$B147,領用表!$B:$B,$DK$2&amp;DP$2)</f>
        <v/>
      </c>
      <c r="DQ147" s="208" t="n"/>
      <c r="DR147" s="331" t="n"/>
      <c r="DS147" s="331" t="n"/>
      <c r="DT147" s="331" t="n"/>
      <c r="DU147" s="331" t="n"/>
      <c r="DV147" s="331" t="n"/>
      <c r="DW147" s="331">
        <f>SUM(CN147,CS147,CY147,DE147,DK147,DQ147)</f>
        <v/>
      </c>
      <c r="DX147" s="331">
        <f>AVERAGEA(CN147,CS147,CY147,DE147,DK147,DQ147)</f>
        <v/>
      </c>
      <c r="DY147" s="331">
        <f>SUM(DZ147:EC147)</f>
        <v/>
      </c>
      <c r="DZ147" s="331" t="n">
        <v>0</v>
      </c>
      <c r="EA147" s="331" t="n">
        <v>0</v>
      </c>
      <c r="EB147" s="331" t="n">
        <v>0</v>
      </c>
      <c r="EC147" s="331" t="n">
        <v>0</v>
      </c>
      <c r="ED147" s="305" t="n"/>
      <c r="EE147" s="333" t="n"/>
      <c r="EF147" s="252" t="n"/>
      <c r="EG147" s="252" t="n"/>
      <c r="EJ147" s="118">
        <f>IFERROR(VLOOKUP(A147,站前4樓!A:BF,57,0),0)</f>
        <v/>
      </c>
      <c r="EK147" s="213">
        <f>IFERROR(VLOOKUP(A147,站前11樓!A:BE,57,0),0)</f>
        <v/>
      </c>
      <c r="EL147" s="118">
        <f>IFERROR(VLOOKUP(A147,忠孝7樓!A:N,57,0),0)</f>
        <v/>
      </c>
      <c r="EM147" s="118">
        <f>IFERROR(VLOOKUP(A147,忠孝國際醫學3樓!A:L,57,0),0)</f>
        <v/>
      </c>
      <c r="EN147" s="118">
        <f>SUM(ED147:EG147)</f>
        <v/>
      </c>
    </row>
    <row r="148" ht="15.75" customFormat="1" customHeight="1" s="118">
      <c r="A148" s="136" t="inlineStr">
        <is>
          <t>DN1AA050044T</t>
        </is>
      </c>
      <c r="C148" s="136" t="inlineStr">
        <is>
          <t>舒緩修護精萃 30mL(2023年版)</t>
        </is>
      </c>
      <c r="D148" s="285" t="n"/>
      <c r="E148" s="198" t="inlineStr">
        <is>
          <t>PCS</t>
        </is>
      </c>
      <c r="F148" s="225">
        <f>SUMIF(站前4樓!B:B,B148,站前4樓!F:F)</f>
        <v/>
      </c>
      <c r="G148" s="225">
        <f>SUMIF(站前11樓!B:B,B148,站前11樓!F:F)</f>
        <v/>
      </c>
      <c r="H148" s="225">
        <f>SUMIF(忠孝7樓!B:B,B148,忠孝7樓!G:G)</f>
        <v/>
      </c>
      <c r="I148" s="225">
        <f>SUMIF(忠孝國際醫學3樓!B:B,B148,忠孝國際醫學3樓!G:G)</f>
        <v/>
      </c>
      <c r="J148" s="225">
        <f>SUMIF(忠孝健康7樓!B:B,B148,忠孝健康7樓!G:G)</f>
        <v/>
      </c>
      <c r="K148" s="283" t="n"/>
      <c r="L148" s="283" t="n"/>
      <c r="M148" s="283" t="n"/>
      <c r="N148" s="283" t="n"/>
      <c r="O148" s="283" t="n"/>
      <c r="P148" s="283" t="n"/>
      <c r="Q148" s="283" t="n"/>
      <c r="R148" s="283" t="n"/>
      <c r="S148" s="283" t="n"/>
      <c r="T148" s="283" t="n"/>
      <c r="U148" s="283" t="n"/>
      <c r="V148" s="283" t="n"/>
      <c r="W148" s="283" t="n"/>
      <c r="X148" s="283" t="n"/>
      <c r="Y148" s="283" t="n"/>
      <c r="Z148" s="283" t="n"/>
      <c r="AA148" s="283" t="n"/>
      <c r="AB148" s="283" t="n"/>
      <c r="AC148" s="283" t="n"/>
      <c r="AD148" s="283" t="n"/>
      <c r="AE148" s="283" t="n"/>
      <c r="AF148" s="283" t="n"/>
      <c r="AG148" s="283" t="n"/>
      <c r="AH148" s="283" t="n"/>
      <c r="AI148" s="283" t="n"/>
      <c r="AJ148" s="201" t="n"/>
      <c r="AK148" s="201" t="n"/>
      <c r="AL148" s="201" t="n"/>
      <c r="AM148" s="201" t="n"/>
      <c r="AN148" s="292" t="n"/>
      <c r="AO148" s="334" t="n">
        <v>30</v>
      </c>
      <c r="AP148" s="201" t="n"/>
      <c r="AQ148" s="201" t="n">
        <v>20</v>
      </c>
      <c r="AR148" s="201" t="n">
        <v>10</v>
      </c>
      <c r="AS148" s="201" t="n">
        <v>15</v>
      </c>
      <c r="AT148" s="201" t="n">
        <v>20</v>
      </c>
      <c r="AU148" s="201" t="n">
        <v>60</v>
      </c>
      <c r="AV148" s="283">
        <f>SUM(AJ148:AU148)</f>
        <v/>
      </c>
      <c r="AW148" s="286">
        <f>AV148/12</f>
        <v/>
      </c>
      <c r="AX148" s="201" t="n">
        <v>65</v>
      </c>
      <c r="AY148" s="201" t="n">
        <v>24</v>
      </c>
      <c r="AZ148" s="347" t="inlineStr">
        <is>
          <t>-</t>
        </is>
      </c>
      <c r="BA148" s="347" t="inlineStr">
        <is>
          <t>-</t>
        </is>
      </c>
      <c r="BB148" s="347" t="inlineStr">
        <is>
          <t>-</t>
        </is>
      </c>
      <c r="BC148" s="203">
        <f>SUMIFS(領用表!$L:$L,領用表!$A:$A,BC$2,領用表!$E:$E,B148)</f>
        <v/>
      </c>
      <c r="BD148" s="330">
        <f>SUMIFS(領用表!$L:$L,領用表!$E:$E,$B148,領用表!$B:$B,BC$2&amp;BD$2)</f>
        <v/>
      </c>
      <c r="BE148" s="330">
        <f>SUMIFS(領用表!$L:$L,領用表!$E:$E,$B148,領用表!$B:$B,$BC$2&amp;BE$2)</f>
        <v/>
      </c>
      <c r="BF148" s="330">
        <f>SUMIFS(領用表!$L:$L,領用表!$E:$E,$B148,領用表!$B:$B,$BC$2&amp;BF$2)</f>
        <v/>
      </c>
      <c r="BG148" s="330">
        <f>SUMIFS(領用表!$L:$L,領用表!$E:$E,$B148,領用表!$B:$B,$BC$2&amp;BG$2)</f>
        <v/>
      </c>
      <c r="BH148" s="203">
        <f>SUMIFS(領用表!$L:$L,領用表!$A:$A,BH$2,領用表!$E:$E,B148)</f>
        <v/>
      </c>
      <c r="BI148" s="260">
        <f>SUMIFS(領用表!$L:$L,領用表!$E:$E,$B148,領用表!$B:$B,BH$2&amp;BI$2)</f>
        <v/>
      </c>
      <c r="BJ148" s="260">
        <f>SUMIFS(領用表!$L:$L,領用表!$E:$E,$B148,領用表!$B:$B,$BH$2&amp;BJ$2)</f>
        <v/>
      </c>
      <c r="BK148" s="260">
        <f>SUMIFS(領用表!$L:$L,領用表!$E:$E,$B148,領用表!$B:$B,$BH$2&amp;BK$2)</f>
        <v/>
      </c>
      <c r="BL148" s="260">
        <f>SUMIFS(領用表!$L:$L,領用表!$E:$E,$B148,領用表!$B:$B,$BH$2&amp;BL$2)</f>
        <v/>
      </c>
      <c r="BM148" s="203">
        <f>SUMIFS(領用表!$L:$L,領用表!$A:$A,BM$2,領用表!$E:$E,B148)</f>
        <v/>
      </c>
      <c r="BN148" s="331">
        <f>SUMIFS(領用表!$L:$L,領用表!$E:$E,$B148,領用表!$B:$B,BM$2&amp;BN$2)</f>
        <v/>
      </c>
      <c r="BO148" s="331">
        <f>SUMIFS(領用表!$L:$L,領用表!$E:$E,$B148,領用表!$B:$B,$BM$2&amp;BO$2)</f>
        <v/>
      </c>
      <c r="BP148" s="288">
        <f>SUMIFS(領用表!$L:$L,領用表!$E:$E,$B148,領用表!$B:$B,$BM$2&amp;BP$2)</f>
        <v/>
      </c>
      <c r="BQ148" s="287">
        <f>SUMIFS(領用表!$L:$L,領用表!$E:$E,$B148,領用表!$B:$B,$BM$2&amp;BQ$2)</f>
        <v/>
      </c>
      <c r="BR148" s="203">
        <f>SUMIFS(領用表!$L:$L,領用表!$A:$A,BR$2,領用表!$E:$E,B148)</f>
        <v/>
      </c>
      <c r="BS148" s="288">
        <f>SUMIFS(領用表!$L:$L,領用表!$E:$E,$B148,領用表!$B:$B,BR$2&amp;BS$2)</f>
        <v/>
      </c>
      <c r="BT148" s="288">
        <f>SUMIFS(領用表!$L:$L,領用表!$E:$E,$B148,領用表!$B:$B,$BR$2&amp;BT$2)</f>
        <v/>
      </c>
      <c r="BU148" s="288">
        <f>SUMIFS(領用表!$L:$L,領用表!$E:$E,$B148,領用表!$B:$B,$BR$2&amp;BU$2)</f>
        <v/>
      </c>
      <c r="BV148" s="287">
        <f>SUMIFS(領用表!$L:$L,領用表!$E:$E,$B148,領用表!$B:$B,$BR$2&amp;BV$2)</f>
        <v/>
      </c>
      <c r="BW148" s="208">
        <f>SUMIFS(領用表!$L:$L,領用表!$A:$A,BW$2,領用表!$E:$E,B148)</f>
        <v/>
      </c>
      <c r="BX148" s="331">
        <f>SUMIFS(領用表!$L:$L,領用表!$E:$E,$B148,領用表!$B:$B,BW$2&amp;BX$2)</f>
        <v/>
      </c>
      <c r="BY148" s="331">
        <f>SUMIFS(領用表!$L:$L,領用表!$E:$E,$B148,領用表!$B:$B,$BW$2&amp;BY$2)</f>
        <v/>
      </c>
      <c r="BZ148" s="331">
        <f>SUMIFS(領用表!$L:$L,領用表!$E:$E,$B148,領用表!$B:$B,$BW$2&amp;BZ$2)</f>
        <v/>
      </c>
      <c r="CA148" s="331">
        <f>SUMIFS(領用表!$L:$L,領用表!$E:$E,$B148,領用表!$B:$B,$BW$2&amp;CA$2)</f>
        <v/>
      </c>
      <c r="CB148" s="208">
        <f>SUMIFS(領用表!$L:$L,領用表!$A:$A,CB$2,領用表!$E:$E,B148)</f>
        <v/>
      </c>
      <c r="CC148" s="331">
        <f>SUMIFS(領用表!$L:$L,領用表!$E:$E,$B148,領用表!$B:$B,CB$2&amp;CC$2)</f>
        <v/>
      </c>
      <c r="CD148" s="331">
        <f>SUMIFS(領用表!$L:$L,領用表!$E:$E,$B148,領用表!$B:$B,$CB$2&amp;CD$2)</f>
        <v/>
      </c>
      <c r="CE148" s="331">
        <f>SUMIFS(領用表!$L:$L,領用表!$E:$E,$B148,領用表!$B:$B,$CB$2&amp;CE$2)</f>
        <v/>
      </c>
      <c r="CF148" s="331">
        <f>SUMIFS(領用表!$L:$L,領用表!$E:$E,$B148,領用表!$B:$B,$CB$2&amp;CF$2)</f>
        <v/>
      </c>
      <c r="CG148" s="332">
        <f>SUMIFS(領用表!$L:$L,領用表!$A:$A,CG$2,領用表!$E:$E,B148)</f>
        <v/>
      </c>
      <c r="CH148" s="331">
        <f>SUMIFS(領用表!$L:$L,領用表!$E:$E,$B148,領用表!$B:$B,CG$2&amp;CH$2)</f>
        <v/>
      </c>
      <c r="CI148" s="331">
        <f>SUMIFS(領用表!$L:$L,領用表!$E:$E,$B148,領用表!$B:$B,CG$2&amp;CI$2)</f>
        <v/>
      </c>
      <c r="CJ148" s="331">
        <f>SUMIFS(領用表!$L:$L,領用表!$E:$E,$B148,領用表!$B:$B,CG$2&amp;CJ$2)</f>
        <v/>
      </c>
      <c r="CK148" s="331">
        <f>SUMIFS(領用表!$L:$L,領用表!$E:$E,$B148,領用表!$B:$B,$CG$2&amp;CK$2)</f>
        <v/>
      </c>
      <c r="CL148" s="207">
        <f>SUM(AX148,AY148,AZ148,BA148,BB148,BC148,BH148,BM148,BR148,BW148,CB148,CG148)</f>
        <v/>
      </c>
      <c r="CM148" s="207">
        <f>AVERAGE(AX148,AY148,AZ148,BA148,BB148,BC148,BH148,BM148,BR148,BW148,CB148,CG148)</f>
        <v/>
      </c>
      <c r="CN148" s="208">
        <f>SUMIFS(領用表!$L:$L,領用表!$A:$A,CN$2,領用表!$E:$E,B148)</f>
        <v/>
      </c>
      <c r="CO148" s="206">
        <f>SUMIFS(領用表!$L:$L,領用表!$E:$E,$B148,領用表!$B:$B,CN$2&amp;CO$2)</f>
        <v/>
      </c>
      <c r="CP148" s="206">
        <f>SUMIFS(領用表!$L:$L,領用表!$E:$E,$B148,領用表!$B:$B,$CN$2&amp;CP$2)</f>
        <v/>
      </c>
      <c r="CQ148" s="206">
        <f>SUMIFS(領用表!$L:$L,領用表!$E:$E,$B148,領用表!$B:$B,$CN$2&amp;CQ$2)</f>
        <v/>
      </c>
      <c r="CR148" s="331">
        <f>SUMIFS(領用表!$L:$L,領用表!$E:$E,$B148,領用表!$B:$B,$CN$2&amp;CR$2)</f>
        <v/>
      </c>
      <c r="CS148" s="208">
        <f>SUMIFS(領用表!$L:$L,領用表!$A:$A,CS$2,領用表!$E:$E,B148)</f>
        <v/>
      </c>
      <c r="CT148" s="206">
        <f>SUMIFS(領用表!$L:$L,領用表!$E:$E,$B148,領用表!$B:$B,CS$2&amp;CT$2)</f>
        <v/>
      </c>
      <c r="CU148" s="206">
        <f>SUMIFS(領用表!$L:$L,領用表!$E:$E,$B148,領用表!$B:$B,$CS$2&amp;CU$2)</f>
        <v/>
      </c>
      <c r="CV148" s="206">
        <f>SUMIFS(領用表!$L:$L,領用表!$E:$E,$B148,領用表!$B:$B,$CS$2&amp;CV$2)</f>
        <v/>
      </c>
      <c r="CW148" s="206">
        <f>SUMIFS(領用表!$L:$L,領用表!$E:$E,$B148,領用表!$B:$B,$CS$2&amp;CW$2)</f>
        <v/>
      </c>
      <c r="CX148" s="206">
        <f>SUMIFS(領用表!$L:$L,領用表!$E:$E,$B148,領用表!$B:$B,$CS$2&amp;CX$2)</f>
        <v/>
      </c>
      <c r="CY148" s="208">
        <f>SUMIFS(領用表!$L:$L,領用表!$A:$A,CY$2,領用表!$E:$E,B148)</f>
        <v/>
      </c>
      <c r="CZ148" s="331">
        <f>SUMIFS(領用表!$L:$L,領用表!$E:$E,$B148,領用表!$B:$B,CY$2&amp;CZ$2)</f>
        <v/>
      </c>
      <c r="DA148" s="331">
        <f>SUMIFS(領用表!$L:$L,領用表!$E:$E,$B148,領用表!$B:$B,$CY$2&amp;DA$2)</f>
        <v/>
      </c>
      <c r="DB148" s="331">
        <f>SUMIFS(領用表!$L:$L,領用表!$E:$E,$B148,領用表!$B:$B,$CY$2&amp;DB$2)</f>
        <v/>
      </c>
      <c r="DC148" s="331">
        <f>SUMIFS(領用表!$L:$L,領用表!$E:$E,$B148,領用表!$B:$B,$CY$2&amp;DC$2)</f>
        <v/>
      </c>
      <c r="DD148" s="331">
        <f>SUMIFS(領用表!$L:$L,領用表!$E:$E,$B148,領用表!$B:$B,$CY$2&amp;DD$2)</f>
        <v/>
      </c>
      <c r="DE148" s="208">
        <f>SUMIFS(領用表!$L:$L,領用表!$A:$A,DE$2,領用表!$E:$E,B148)</f>
        <v/>
      </c>
      <c r="DF148" s="331">
        <f>SUMIFS(領用表!$L:$L,領用表!$E:$E,$B148,領用表!$B:$B,DE$2&amp;DF$2)</f>
        <v/>
      </c>
      <c r="DG148" s="331">
        <f>SUMIFS(領用表!$L:$L,領用表!$E:$E,$B148,領用表!$B:$B,$DE$2&amp;DG$2)</f>
        <v/>
      </c>
      <c r="DH148" s="331">
        <f>SUMIFS(領用表!$L:$L,領用表!$E:$E,$B148,領用表!$B:$B,$DE$2&amp;DH$2)</f>
        <v/>
      </c>
      <c r="DI148" s="331">
        <f>SUMIFS(領用表!$L:$L,領用表!$E:$E,$B148,領用表!$B:$B,$DE$2&amp;DI$2)</f>
        <v/>
      </c>
      <c r="DJ148" s="331">
        <f>SUMIFS(領用表!$L:$L,領用表!$E:$E,$B148,領用表!$B:$B,$DE$2&amp;DJ$2)</f>
        <v/>
      </c>
      <c r="DK148" s="208">
        <f>SUMIFS(領用表!$L:$L,領用表!$A:$A,DK$2,領用表!$E:$E,$B148)</f>
        <v/>
      </c>
      <c r="DL148" s="331">
        <f>SUMIFS(領用表!$L:$L,領用表!$E:$E,$B148,領用表!$B:$B,DK$2&amp;DL$2)</f>
        <v/>
      </c>
      <c r="DM148" s="331">
        <f>SUMIFS(領用表!$L:$L,領用表!$E:$E,$B148,領用表!$B:$B,$DK$2&amp;DM$2)</f>
        <v/>
      </c>
      <c r="DN148" s="331">
        <f>SUMIFS(領用表!$L:$L,領用表!$E:$E,$B148,領用表!$B:$B,$DK$2&amp;DN$2)</f>
        <v/>
      </c>
      <c r="DO148" s="331">
        <f>SUMIFS(領用表!$L:$L,領用表!$E:$E,$B148,領用表!$B:$B,$DK$2&amp;DO$2)</f>
        <v/>
      </c>
      <c r="DP148" s="331">
        <f>SUMIFS(領用表!$L:$L,領用表!$E:$E,$B148,領用表!$B:$B,$DK$2&amp;DP$2)</f>
        <v/>
      </c>
      <c r="DQ148" s="208" t="n"/>
      <c r="DR148" s="331" t="n"/>
      <c r="DS148" s="331" t="n"/>
      <c r="DT148" s="331" t="n"/>
      <c r="DU148" s="331" t="n"/>
      <c r="DV148" s="331" t="n"/>
      <c r="DW148" s="331">
        <f>SUM(CN148,CS148,CY148,DE148,DK148,DQ148)</f>
        <v/>
      </c>
      <c r="DX148" s="331">
        <f>AVERAGEA(CN148,CS148,CY148,DE148,DK148,DQ148)</f>
        <v/>
      </c>
      <c r="DY148" s="331">
        <f>SUM(DZ148:EC148)</f>
        <v/>
      </c>
      <c r="DZ148" s="331" t="n">
        <v>0</v>
      </c>
      <c r="EA148" s="331" t="n">
        <v>0</v>
      </c>
      <c r="EB148" s="331" t="n">
        <v>0</v>
      </c>
      <c r="EC148" s="331" t="n">
        <v>0</v>
      </c>
      <c r="ED148" s="258" t="n"/>
      <c r="EE148" s="283" t="n"/>
      <c r="EF148" s="252" t="n"/>
      <c r="EG148" s="252" t="n"/>
      <c r="EH148" s="136" t="n"/>
      <c r="EI148" s="136" t="n"/>
      <c r="EJ148" s="118">
        <f>IFERROR(VLOOKUP(A148,站前4樓!A:BF,57,0),0)</f>
        <v/>
      </c>
      <c r="EK148" s="213">
        <f>IFERROR(VLOOKUP(A148,站前11樓!A:BE,57,0),0)</f>
        <v/>
      </c>
      <c r="EL148" s="118">
        <f>IFERROR(VLOOKUP(A148,忠孝7樓!A:N,57,0),0)</f>
        <v/>
      </c>
      <c r="EM148" s="118">
        <f>IFERROR(VLOOKUP(A148,忠孝國際醫學3樓!A:L,57,0),0)</f>
        <v/>
      </c>
      <c r="EN148" s="118">
        <f>SUM(ED148:EG148)</f>
        <v/>
      </c>
    </row>
    <row r="149" ht="15.75" customFormat="1" customHeight="1" s="118">
      <c r="A149" s="136" t="inlineStr">
        <is>
          <t>DN1AA050043T</t>
        </is>
      </c>
      <c r="B149" s="118" t="n">
        <v>6050005</v>
      </c>
      <c r="C149" s="136" t="inlineStr">
        <is>
          <t>肌本修護甦活精華 30mL (2023年版)</t>
        </is>
      </c>
      <c r="D149" s="285" t="n"/>
      <c r="E149" s="198" t="inlineStr">
        <is>
          <t>PCS</t>
        </is>
      </c>
      <c r="F149" s="225">
        <f>SUMIF(站前4樓!B:B,B149,站前4樓!F:F)</f>
        <v/>
      </c>
      <c r="G149" s="225">
        <f>SUMIF(站前11樓!B:B,B149,站前11樓!F:F)</f>
        <v/>
      </c>
      <c r="H149" s="225">
        <f>SUMIF(忠孝7樓!B:B,B149,忠孝7樓!G:G)</f>
        <v/>
      </c>
      <c r="I149" s="225">
        <f>SUMIF(忠孝國際醫學3樓!B:B,B149,忠孝國際醫學3樓!G:G)</f>
        <v/>
      </c>
      <c r="J149" s="408">
        <f>SUMIF(忠孝健康7樓!B:B,B149,忠孝健康7樓!G:G)</f>
        <v/>
      </c>
      <c r="AJ149" s="348" t="n"/>
      <c r="AK149" s="348" t="n"/>
      <c r="AL149" s="348" t="n"/>
      <c r="AM149" s="348" t="n"/>
      <c r="AN149" s="348" t="n"/>
      <c r="AO149" s="348" t="n"/>
      <c r="AP149" s="348" t="n"/>
      <c r="AQ149" s="201" t="n">
        <v>0</v>
      </c>
      <c r="AR149" s="201" t="n">
        <v>0</v>
      </c>
      <c r="AS149" s="201" t="n">
        <v>0</v>
      </c>
      <c r="AT149" s="201" t="n">
        <v>0</v>
      </c>
      <c r="AU149" s="201" t="n">
        <v>0</v>
      </c>
      <c r="AV149" s="283">
        <f>SUM(AJ149:AU149)</f>
        <v/>
      </c>
      <c r="AW149" s="286">
        <f>AV149/12</f>
        <v/>
      </c>
      <c r="AX149" s="201" t="n">
        <v>0</v>
      </c>
      <c r="AY149" s="201" t="n">
        <v>72</v>
      </c>
      <c r="AZ149" s="201" t="n">
        <v>0</v>
      </c>
      <c r="BA149" s="283" t="n">
        <v>0</v>
      </c>
      <c r="BB149" s="283" t="n">
        <v>0</v>
      </c>
      <c r="BC149" s="203">
        <f>SUMIFS(領用表!$L:$L,領用表!$A:$A,BC$2,領用表!$E:$E,B149)</f>
        <v/>
      </c>
      <c r="BD149" s="296">
        <f>SUMIFS(領用表!$L:$L,領用表!$E:$E,$B149,領用表!$B:$B,BC$2&amp;BD$2)</f>
        <v/>
      </c>
      <c r="BE149" s="296">
        <f>SUMIFS(領用表!$L:$L,領用表!$E:$E,$B149,領用表!$B:$B,$BC$2&amp;BE$2)</f>
        <v/>
      </c>
      <c r="BF149" s="296">
        <f>SUMIFS(領用表!$L:$L,領用表!$E:$E,$B149,領用表!$B:$B,$BC$2&amp;BF$2)</f>
        <v/>
      </c>
      <c r="BG149" s="296">
        <f>SUMIFS(領用表!$L:$L,領用表!$E:$E,$B149,領用表!$B:$B,$BC$2&amp;BG$2)</f>
        <v/>
      </c>
      <c r="BH149" s="203">
        <f>SUMIFS(領用表!$L:$L,領用表!$A:$A,BH$2,領用表!$E:$E,B149)</f>
        <v/>
      </c>
      <c r="BI149" s="260">
        <f>SUMIFS(領用表!$L:$L,領用表!$E:$E,$B149,領用表!$B:$B,BH$2&amp;BI$2)</f>
        <v/>
      </c>
      <c r="BJ149" s="260">
        <f>SUMIFS(領用表!$L:$L,領用表!$E:$E,$B149,領用表!$B:$B,$BH$2&amp;BJ$2)</f>
        <v/>
      </c>
      <c r="BK149" s="260">
        <f>SUMIFS(領用表!$L:$L,領用表!$E:$E,$B149,領用表!$B:$B,$BH$2&amp;BK$2)</f>
        <v/>
      </c>
      <c r="BL149" s="260">
        <f>SUMIFS(領用表!$L:$L,領用表!$E:$E,$B149,領用表!$B:$B,$BH$2&amp;BL$2)</f>
        <v/>
      </c>
      <c r="BM149" s="203">
        <f>SUMIFS(領用表!$L:$L,領用表!$A:$A,BM$2,領用表!$E:$E,B149)</f>
        <v/>
      </c>
      <c r="BN149" s="206">
        <f>SUMIFS(領用表!$L:$L,領用表!$E:$E,$B149,領用表!$B:$B,BM$2&amp;BN$2)</f>
        <v/>
      </c>
      <c r="BO149" s="206">
        <f>SUMIFS(領用表!$L:$L,領用表!$E:$E,$B149,領用表!$B:$B,$BM$2&amp;BO$2)</f>
        <v/>
      </c>
      <c r="BP149" s="288">
        <f>SUMIFS(領用表!$L:$L,領用表!$E:$E,$B149,領用表!$B:$B,$BM$2&amp;BP$2)</f>
        <v/>
      </c>
      <c r="BQ149" s="287">
        <f>SUMIFS(領用表!$L:$L,領用表!$E:$E,$B149,領用表!$B:$B,$BM$2&amp;BQ$2)</f>
        <v/>
      </c>
      <c r="BR149" s="203">
        <f>SUMIFS(領用表!$L:$L,領用表!$A:$A,BR$2,領用表!$E:$E,B149)</f>
        <v/>
      </c>
      <c r="BS149" s="288">
        <f>SUMIFS(領用表!$L:$L,領用表!$E:$E,$B149,領用表!$B:$B,BR$2&amp;BS$2)</f>
        <v/>
      </c>
      <c r="BT149" s="288">
        <f>SUMIFS(領用表!$L:$L,領用表!$E:$E,$B149,領用表!$B:$B,$BR$2&amp;BT$2)</f>
        <v/>
      </c>
      <c r="BU149" s="288">
        <f>SUMIFS(領用表!$L:$L,領用表!$E:$E,$B149,領用表!$B:$B,$BR$2&amp;BU$2)</f>
        <v/>
      </c>
      <c r="BV149" s="287">
        <f>SUMIFS(領用表!$L:$L,領用表!$E:$E,$B149,領用表!$B:$B,$BR$2&amp;BV$2)</f>
        <v/>
      </c>
      <c r="BW149" s="208">
        <f>SUMIFS(領用表!$L:$L,領用表!$A:$A,BW$2,領用表!$E:$E,B149)</f>
        <v/>
      </c>
      <c r="BX149" s="206">
        <f>SUMIFS(領用表!$L:$L,領用表!$E:$E,$B149,領用表!$B:$B,BW$2&amp;BX$2)</f>
        <v/>
      </c>
      <c r="BY149" s="206">
        <f>SUMIFS(領用表!$L:$L,領用表!$E:$E,$B149,領用表!$B:$B,$BW$2&amp;BY$2)</f>
        <v/>
      </c>
      <c r="BZ149" s="206">
        <f>SUMIFS(領用表!$L:$L,領用表!$E:$E,$B149,領用表!$B:$B,$BW$2&amp;BZ$2)</f>
        <v/>
      </c>
      <c r="CA149" s="206">
        <f>SUMIFS(領用表!$L:$L,領用表!$E:$E,$B149,領用表!$B:$B,$BW$2&amp;CA$2)</f>
        <v/>
      </c>
      <c r="CB149" s="208">
        <f>SUMIFS(領用表!$L:$L,領用表!$A:$A,CB$2,領用表!$E:$E,B149)</f>
        <v/>
      </c>
      <c r="CC149" s="206">
        <f>SUMIFS(領用表!$L:$L,領用表!$E:$E,$B149,領用表!$B:$B,CB$2&amp;CC$2)</f>
        <v/>
      </c>
      <c r="CD149" s="206">
        <f>SUMIFS(領用表!$L:$L,領用表!$E:$E,$B149,領用表!$B:$B,$CB$2&amp;CD$2)</f>
        <v/>
      </c>
      <c r="CE149" s="206">
        <f>SUMIFS(領用表!$L:$L,領用表!$E:$E,$B149,領用表!$B:$B,$CB$2&amp;CE$2)</f>
        <v/>
      </c>
      <c r="CF149" s="206">
        <f>SUMIFS(領用表!$L:$L,領用表!$E:$E,$B149,領用表!$B:$B,$CB$2&amp;CF$2)</f>
        <v/>
      </c>
      <c r="CG149" s="208">
        <f>SUMIFS(領用表!$L:$L,領用表!$A:$A,CG$2,領用表!$E:$E,B149)</f>
        <v/>
      </c>
      <c r="CH149" s="206">
        <f>SUMIFS(領用表!$L:$L,領用表!$E:$E,$B149,領用表!$B:$B,CG$2&amp;CH$2)</f>
        <v/>
      </c>
      <c r="CI149" s="206">
        <f>SUMIFS(領用表!$L:$L,領用表!$E:$E,$B149,領用表!$B:$B,CG$2&amp;CI$2)</f>
        <v/>
      </c>
      <c r="CJ149" s="206">
        <f>SUMIFS(領用表!$L:$L,領用表!$E:$E,$B149,領用表!$B:$B,CG$2&amp;CJ$2)</f>
        <v/>
      </c>
      <c r="CK149" s="206">
        <f>SUMIFS(領用表!$L:$L,領用表!$E:$E,$B149,領用表!$B:$B,$CG$2&amp;CK$2)</f>
        <v/>
      </c>
      <c r="CL149" s="207">
        <f>SUM(AX149,AY149,AZ149,BA149,BB149,BC149,BH149,BM149,BR149,BW149,CB149,CG149)</f>
        <v/>
      </c>
      <c r="CM149" s="207">
        <f>AVERAGE(AX149,AY149,AZ149,BA149,BB149,BC149,BH149,BM149,BR149,BW149,CB149,CG149)</f>
        <v/>
      </c>
      <c r="CN149" s="208">
        <f>SUMIFS(領用表!$L:$L,領用表!$A:$A,CN$2,領用表!$E:$E,B149)</f>
        <v/>
      </c>
      <c r="CO149" s="206">
        <f>SUMIFS(領用表!$L:$L,領用表!$E:$E,$B149,領用表!$B:$B,CN$2&amp;CO$2)</f>
        <v/>
      </c>
      <c r="CP149" s="206">
        <f>SUMIFS(領用表!$L:$L,領用表!$E:$E,$B149,領用表!$B:$B,$CN$2&amp;CP$2)</f>
        <v/>
      </c>
      <c r="CQ149" s="206">
        <f>SUMIFS(領用表!$L:$L,領用表!$E:$E,$B149,領用表!$B:$B,$CN$2&amp;CQ$2)</f>
        <v/>
      </c>
      <c r="CR149" s="206">
        <f>SUMIFS(領用表!$L:$L,領用表!$E:$E,$B149,領用表!$B:$B,$CN$2&amp;CR$2)</f>
        <v/>
      </c>
      <c r="CS149" s="208">
        <f>SUMIFS(領用表!$L:$L,領用表!$A:$A,CS$2,領用表!$E:$E,B149)</f>
        <v/>
      </c>
      <c r="CT149" s="206">
        <f>SUMIFS(領用表!$L:$L,領用表!$E:$E,$B149,領用表!$B:$B,CS$2&amp;CT$2)</f>
        <v/>
      </c>
      <c r="CU149" s="206">
        <f>SUMIFS(領用表!$L:$L,領用表!$E:$E,$B149,領用表!$B:$B,$CS$2&amp;CU$2)</f>
        <v/>
      </c>
      <c r="CV149" s="206">
        <f>SUMIFS(領用表!$L:$L,領用表!$E:$E,$B149,領用表!$B:$B,$CS$2&amp;CV$2)</f>
        <v/>
      </c>
      <c r="CW149" s="206">
        <f>SUMIFS(領用表!$L:$L,領用表!$E:$E,$B149,領用表!$B:$B,$CS$2&amp;CW$2)</f>
        <v/>
      </c>
      <c r="CX149" s="206">
        <f>SUMIFS(領用表!$L:$L,領用表!$E:$E,$B149,領用表!$B:$B,$CS$2&amp;CX$2)</f>
        <v/>
      </c>
      <c r="CY149" s="208">
        <f>SUMIFS(領用表!$L:$L,領用表!$A:$A,CY$2,領用表!$E:$E,B149)</f>
        <v/>
      </c>
      <c r="CZ149" s="206">
        <f>SUMIFS(領用表!$L:$L,領用表!$E:$E,$B149,領用表!$B:$B,CY$2&amp;CZ$2)</f>
        <v/>
      </c>
      <c r="DA149" s="206">
        <f>SUMIFS(領用表!$L:$L,領用表!$E:$E,$B149,領用表!$B:$B,$CY$2&amp;DA$2)</f>
        <v/>
      </c>
      <c r="DB149" s="206">
        <f>SUMIFS(領用表!$L:$L,領用表!$E:$E,$B149,領用表!$B:$B,$CY$2&amp;DB$2)</f>
        <v/>
      </c>
      <c r="DC149" s="206">
        <f>SUMIFS(領用表!$L:$L,領用表!$E:$E,$B149,領用表!$B:$B,$CY$2&amp;DC$2)</f>
        <v/>
      </c>
      <c r="DD149" s="206">
        <f>SUMIFS(領用表!$L:$L,領用表!$E:$E,$B149,領用表!$B:$B,$CY$2&amp;DD$2)</f>
        <v/>
      </c>
      <c r="DE149" s="208">
        <f>SUMIFS(領用表!$L:$L,領用表!$A:$A,DE$2,領用表!$E:$E,B149)</f>
        <v/>
      </c>
      <c r="DF149" s="206">
        <f>SUMIFS(領用表!$L:$L,領用表!$E:$E,$B149,領用表!$B:$B,DE$2&amp;DF$2)</f>
        <v/>
      </c>
      <c r="DG149" s="206">
        <f>SUMIFS(領用表!$L:$L,領用表!$E:$E,$B149,領用表!$B:$B,$DE$2&amp;DG$2)</f>
        <v/>
      </c>
      <c r="DH149" s="206">
        <f>SUMIFS(領用表!$L:$L,領用表!$E:$E,$B149,領用表!$B:$B,$DE$2&amp;DH$2)</f>
        <v/>
      </c>
      <c r="DI149" s="206">
        <f>SUMIFS(領用表!$L:$L,領用表!$E:$E,$B149,領用表!$B:$B,$DE$2&amp;DI$2)</f>
        <v/>
      </c>
      <c r="DJ149" s="206">
        <f>SUMIFS(領用表!$L:$L,領用表!$E:$E,$B149,領用表!$B:$B,$DE$2&amp;DJ$2)</f>
        <v/>
      </c>
      <c r="DK149" s="208">
        <f>SUMIFS(領用表!$L:$L,領用表!$A:$A,DK$2,領用表!$E:$E,$B149)</f>
        <v/>
      </c>
      <c r="DL149" s="206">
        <f>SUMIFS(領用表!$L:$L,領用表!$E:$E,$B149,領用表!$B:$B,DK$2&amp;DL$2)</f>
        <v/>
      </c>
      <c r="DM149" s="206">
        <f>SUMIFS(領用表!$L:$L,領用表!$E:$E,$B149,領用表!$B:$B,$DK$2&amp;DM$2)</f>
        <v/>
      </c>
      <c r="DN149" s="206">
        <f>SUMIFS(領用表!$L:$L,領用表!$E:$E,$B149,領用表!$B:$B,$DK$2&amp;DN$2)</f>
        <v/>
      </c>
      <c r="DO149" s="206">
        <f>SUMIFS(領用表!$L:$L,領用表!$E:$E,$B149,領用表!$B:$B,$DK$2&amp;DO$2)</f>
        <v/>
      </c>
      <c r="DP149" s="206">
        <f>SUMIFS(領用表!$L:$L,領用表!$E:$E,$B149,領用表!$B:$B,$DK$2&amp;DP$2)</f>
        <v/>
      </c>
      <c r="DQ149" s="208" t="n"/>
      <c r="DR149" s="206" t="n"/>
      <c r="DS149" s="206" t="n"/>
      <c r="DT149" s="206" t="n"/>
      <c r="DU149" s="206" t="n"/>
      <c r="DV149" s="206" t="n"/>
      <c r="DW149" s="206">
        <f>SUM(CN149,CS149,CY149,DE149,DK149,DQ149)</f>
        <v/>
      </c>
      <c r="DX149" s="206">
        <f>AVERAGEA(CN149,CS149,CY149,DE149,DK149,DQ149)</f>
        <v/>
      </c>
      <c r="DY149" s="206">
        <f>SUM(DZ149:EC149)</f>
        <v/>
      </c>
      <c r="DZ149" s="206" t="n">
        <v>0</v>
      </c>
      <c r="EA149" s="206" t="n">
        <v>0</v>
      </c>
      <c r="EB149" s="206" t="n">
        <v>0</v>
      </c>
      <c r="EC149" s="206" t="n">
        <v>0</v>
      </c>
      <c r="ED149" s="258" t="n"/>
      <c r="EE149" s="283" t="n"/>
      <c r="EF149" s="252" t="n"/>
      <c r="EG149" s="252" t="n"/>
      <c r="EJ149" s="118">
        <f>IFERROR(VLOOKUP(A149,站前4樓!A:BF,57,0),0)</f>
        <v/>
      </c>
      <c r="EK149" s="213">
        <f>IFERROR(VLOOKUP(A149,站前11樓!A:BE,57,0),0)</f>
        <v/>
      </c>
      <c r="EL149" s="118">
        <f>IFERROR(VLOOKUP(A149,忠孝7樓!A:N,57,0),0)</f>
        <v/>
      </c>
      <c r="EM149" s="118">
        <f>IFERROR(VLOOKUP(A149,忠孝國際醫學3樓!A:L,57,0),0)</f>
        <v/>
      </c>
      <c r="EN149" s="118">
        <f>SUM(ED149:EG149)</f>
        <v/>
      </c>
    </row>
    <row r="150" ht="15.75" customFormat="1" customHeight="1" s="118">
      <c r="A150" s="136" t="inlineStr">
        <is>
          <t>DN1AA090015T</t>
        </is>
      </c>
      <c r="B150" s="118" t="n">
        <v>1080002</v>
      </c>
      <c r="C150" s="136" t="inlineStr">
        <is>
          <t>神經醯胺水漾保濕面膜/ 30ml</t>
        </is>
      </c>
      <c r="D150" s="285" t="n"/>
      <c r="E150" s="198" t="inlineStr">
        <is>
          <t>PCS</t>
        </is>
      </c>
      <c r="F150" s="225">
        <f>SUMIF(站前4樓!B:B,B150,站前4樓!F:F)</f>
        <v/>
      </c>
      <c r="G150" s="225">
        <f>SUMIF(站前11樓!B:B,B150,站前11樓!F:F)</f>
        <v/>
      </c>
      <c r="H150" s="225">
        <f>SUMIF(忠孝7樓!B:B,B150,忠孝7樓!G:G)</f>
        <v/>
      </c>
      <c r="I150" s="225">
        <f>SUMIF(忠孝國際醫學3樓!B:B,B150,忠孝國際醫學3樓!G:G)</f>
        <v/>
      </c>
      <c r="J150" s="225">
        <f>SUMIF(忠孝健康7樓!B:B,B150,忠孝健康7樓!G:G)</f>
        <v/>
      </c>
      <c r="K150" s="283" t="n"/>
      <c r="L150" s="283" t="n"/>
      <c r="M150" s="283" t="n"/>
      <c r="N150" s="283" t="n"/>
      <c r="O150" s="283" t="n"/>
      <c r="P150" s="283" t="n"/>
      <c r="Q150" s="283" t="n"/>
      <c r="R150" s="283" t="n"/>
      <c r="S150" s="283" t="n"/>
      <c r="T150" s="283" t="n"/>
      <c r="U150" s="283" t="n"/>
      <c r="V150" s="283" t="n"/>
      <c r="W150" s="283" t="n"/>
      <c r="X150" s="283" t="n"/>
      <c r="Y150" s="283" t="n"/>
      <c r="Z150" s="283" t="n"/>
      <c r="AA150" s="283" t="n"/>
      <c r="AB150" s="283" t="n"/>
      <c r="AC150" s="283" t="n"/>
      <c r="AD150" s="283" t="n"/>
      <c r="AE150" s="283" t="n"/>
      <c r="AF150" s="283" t="n"/>
      <c r="AG150" s="283" t="n"/>
      <c r="AH150" s="283" t="n"/>
      <c r="AI150" s="283" t="n"/>
      <c r="AJ150" s="201" t="n"/>
      <c r="AK150" s="201" t="n"/>
      <c r="AL150" s="201" t="n"/>
      <c r="AM150" s="201" t="n"/>
      <c r="AN150" s="201" t="n"/>
      <c r="AO150" s="201" t="n"/>
      <c r="AP150" s="201" t="n"/>
      <c r="AQ150" s="201" t="n">
        <v>800</v>
      </c>
      <c r="AR150" s="201" t="n">
        <v>800</v>
      </c>
      <c r="AS150" s="201" t="n">
        <v>800</v>
      </c>
      <c r="AT150" s="201" t="n">
        <v>3200</v>
      </c>
      <c r="AU150" s="201" t="n">
        <v>4800</v>
      </c>
      <c r="AV150" s="283">
        <f>SUM(AJ150:AU150)</f>
        <v/>
      </c>
      <c r="AW150" s="286">
        <f>AV150/12</f>
        <v/>
      </c>
      <c r="AX150" s="201" t="n">
        <v>4649</v>
      </c>
      <c r="AY150" s="201" t="n">
        <v>2263</v>
      </c>
      <c r="AZ150" s="201" t="n">
        <v>3200</v>
      </c>
      <c r="BA150" s="201" t="n">
        <v>3777</v>
      </c>
      <c r="BB150" s="201" t="n">
        <v>0</v>
      </c>
      <c r="BC150" s="203">
        <f>SUMIFS(領用表!$L:$L,領用表!$A:$A,BC$2,領用表!$E:$E,B150)</f>
        <v/>
      </c>
      <c r="BD150" s="296">
        <f>SUMIFS(領用表!$L:$L,領用表!$E:$E,$B150,領用表!$B:$B,BC$2&amp;BD$2)</f>
        <v/>
      </c>
      <c r="BE150" s="296">
        <f>SUMIFS(領用表!$L:$L,領用表!$E:$E,$B150,領用表!$B:$B,$BC$2&amp;BE$2)</f>
        <v/>
      </c>
      <c r="BF150" s="296">
        <f>SUMIFS(領用表!$L:$L,領用表!$E:$E,$B150,領用表!$B:$B,$BC$2&amp;BF$2)</f>
        <v/>
      </c>
      <c r="BG150" s="296">
        <f>SUMIFS(領用表!$L:$L,領用表!$E:$E,$B150,領用表!$B:$B,$BC$2&amp;BG$2)</f>
        <v/>
      </c>
      <c r="BH150" s="203">
        <f>SUMIFS(領用表!$L:$L,領用表!$A:$A,BH$2,領用表!$E:$E,B150)</f>
        <v/>
      </c>
      <c r="BI150" s="260">
        <f>SUMIFS(領用表!$L:$L,領用表!$E:$E,$B150,領用表!$B:$B,BH$2&amp;BI$2)</f>
        <v/>
      </c>
      <c r="BJ150" s="260">
        <f>SUMIFS(領用表!$L:$L,領用表!$E:$E,$B150,領用表!$B:$B,$BH$2&amp;BJ$2)</f>
        <v/>
      </c>
      <c r="BK150" s="260">
        <f>SUMIFS(領用表!$L:$L,領用表!$E:$E,$B150,領用表!$B:$B,$BH$2&amp;BK$2)</f>
        <v/>
      </c>
      <c r="BL150" s="260">
        <f>SUMIFS(領用表!$L:$L,領用表!$E:$E,$B150,領用表!$B:$B,$BH$2&amp;BL$2)</f>
        <v/>
      </c>
      <c r="BM150" s="203">
        <f>SUMIFS(領用表!$L:$L,領用表!$A:$A,BM$2,領用表!$E:$E,B150)</f>
        <v/>
      </c>
      <c r="BN150" s="206">
        <f>SUMIFS(領用表!$L:$L,領用表!$E:$E,$B150,領用表!$B:$B,BM$2&amp;BN$2)</f>
        <v/>
      </c>
      <c r="BO150" s="206">
        <f>SUMIFS(領用表!$L:$L,領用表!$E:$E,$B150,領用表!$B:$B,$BM$2&amp;BO$2)</f>
        <v/>
      </c>
      <c r="BP150" s="288">
        <f>SUMIFS(領用表!$L:$L,領用表!$E:$E,$B150,領用表!$B:$B,$BM$2&amp;BP$2)</f>
        <v/>
      </c>
      <c r="BQ150" s="287">
        <f>SUMIFS(領用表!$L:$L,領用表!$E:$E,$B150,領用表!$B:$B,$BM$2&amp;BQ$2)</f>
        <v/>
      </c>
      <c r="BR150" s="203">
        <f>SUMIFS(領用表!$L:$L,領用表!$A:$A,BR$2,領用表!$E:$E,B150)</f>
        <v/>
      </c>
      <c r="BS150" s="288">
        <f>SUMIFS(領用表!$L:$L,領用表!$E:$E,$B150,領用表!$B:$B,BR$2&amp;BS$2)</f>
        <v/>
      </c>
      <c r="BT150" s="288">
        <f>SUMIFS(領用表!$L:$L,領用表!$E:$E,$B150,領用表!$B:$B,$BR$2&amp;BT$2)</f>
        <v/>
      </c>
      <c r="BU150" s="288">
        <f>SUMIFS(領用表!$L:$L,領用表!$E:$E,$B150,領用表!$B:$B,$BR$2&amp;BU$2)</f>
        <v/>
      </c>
      <c r="BV150" s="287">
        <f>SUMIFS(領用表!$L:$L,領用表!$E:$E,$B150,領用表!$B:$B,$BR$2&amp;BV$2)</f>
        <v/>
      </c>
      <c r="BW150" s="208">
        <f>SUMIFS(領用表!$L:$L,領用表!$A:$A,BW$2,領用表!$E:$E,B150)</f>
        <v/>
      </c>
      <c r="BX150" s="296">
        <f>SUMIFS(領用表!$L:$L,領用表!$E:$E,$B150,領用表!$B:$B,BW$2&amp;BX$2)</f>
        <v/>
      </c>
      <c r="BY150" s="296">
        <f>SUMIFS(領用表!$L:$L,領用表!$E:$E,$B150,領用表!$B:$B,$BW$2&amp;BY$2)</f>
        <v/>
      </c>
      <c r="BZ150" s="296">
        <f>SUMIFS(領用表!$L:$L,領用表!$E:$E,$B150,領用表!$B:$B,$BW$2&amp;BZ$2)</f>
        <v/>
      </c>
      <c r="CA150" s="296">
        <f>SUMIFS(領用表!$L:$L,領用表!$E:$E,$B150,領用表!$B:$B,$BW$2&amp;CA$2)</f>
        <v/>
      </c>
      <c r="CB150" s="208">
        <f>SUMIFS(領用表!$L:$L,領用表!$A:$A,CB$2,領用表!$E:$E,B150)</f>
        <v/>
      </c>
      <c r="CC150" s="296">
        <f>SUMIFS(領用表!$L:$L,領用表!$E:$E,$B150,領用表!$B:$B,CB$2&amp;CC$2)</f>
        <v/>
      </c>
      <c r="CD150" s="296">
        <f>SUMIFS(領用表!$L:$L,領用表!$E:$E,$B150,領用表!$B:$B,$CB$2&amp;CD$2)</f>
        <v/>
      </c>
      <c r="CE150" s="296">
        <f>SUMIFS(領用表!$L:$L,領用表!$E:$E,$B150,領用表!$B:$B,$CB$2&amp;CE$2)</f>
        <v/>
      </c>
      <c r="CF150" s="296">
        <f>SUMIFS(領用表!$L:$L,領用表!$E:$E,$B150,領用表!$B:$B,$CB$2&amp;CF$2)</f>
        <v/>
      </c>
      <c r="CG150" s="335">
        <f>SUMIFS(領用表!$L:$L,領用表!$A:$A,CG$2,領用表!$E:$E,B150)</f>
        <v/>
      </c>
      <c r="CH150" s="296">
        <f>SUMIFS(領用表!$L:$L,領用表!$E:$E,$B150,領用表!$B:$B,CG$2&amp;CH$2)</f>
        <v/>
      </c>
      <c r="CI150" s="296">
        <f>SUMIFS(領用表!$L:$L,領用表!$E:$E,$B150,領用表!$B:$B,CG$2&amp;CI$2)</f>
        <v/>
      </c>
      <c r="CJ150" s="296">
        <f>SUMIFS(領用表!$L:$L,領用表!$E:$E,$B150,領用表!$B:$B,CG$2&amp;CJ$2)</f>
        <v/>
      </c>
      <c r="CK150" s="296">
        <f>SUMIFS(領用表!$L:$L,領用表!$E:$E,$B150,領用表!$B:$B,$CG$2&amp;CK$2)</f>
        <v/>
      </c>
      <c r="CL150" s="207">
        <f>SUM(AX150,AY150,AZ150,BA150,BB150,BC150,BH150,BM150,BR150,BW150,CB150,CG150)</f>
        <v/>
      </c>
      <c r="CM150" s="207">
        <f>AVERAGE(AX150,AY150,AZ150,BA150,BB150,BC150,BH150,BM150,BR150,BW150,CB150,CG150)</f>
        <v/>
      </c>
      <c r="CN150" s="208">
        <f>SUMIFS(領用表!$L:$L,領用表!$A:$A,CN$2,領用表!$E:$E,B150)</f>
        <v/>
      </c>
      <c r="CO150" s="206">
        <f>SUMIFS(領用表!$L:$L,領用表!$E:$E,$B150,領用表!$B:$B,CN$2&amp;CO$2)</f>
        <v/>
      </c>
      <c r="CP150" s="206">
        <f>SUMIFS(領用表!$L:$L,領用表!$E:$E,$B150,領用表!$B:$B,$CN$2&amp;CP$2)</f>
        <v/>
      </c>
      <c r="CQ150" s="206">
        <f>SUMIFS(領用表!$L:$L,領用表!$E:$E,$B150,領用表!$B:$B,$CN$2&amp;CQ$2)</f>
        <v/>
      </c>
      <c r="CR150" s="296">
        <f>SUMIFS(領用表!$L:$L,領用表!$E:$E,$B150,領用表!$B:$B,$CN$2&amp;CR$2)</f>
        <v/>
      </c>
      <c r="CS150" s="208">
        <f>SUMIFS(領用表!$L:$L,領用表!$A:$A,CS$2,領用表!$E:$E,B150)</f>
        <v/>
      </c>
      <c r="CT150" s="206">
        <f>SUMIFS(領用表!$L:$L,領用表!$E:$E,$B150,領用表!$B:$B,CS$2&amp;CT$2)</f>
        <v/>
      </c>
      <c r="CU150" s="206">
        <f>SUMIFS(領用表!$L:$L,領用表!$E:$E,$B150,領用表!$B:$B,$CS$2&amp;CU$2)</f>
        <v/>
      </c>
      <c r="CV150" s="206">
        <f>SUMIFS(領用表!$L:$L,領用表!$E:$E,$B150,領用表!$B:$B,$CS$2&amp;CV$2)</f>
        <v/>
      </c>
      <c r="CW150" s="206">
        <f>SUMIFS(領用表!$L:$L,領用表!$E:$E,$B150,領用表!$B:$B,$CS$2&amp;CW$2)</f>
        <v/>
      </c>
      <c r="CX150" s="206">
        <f>SUMIFS(領用表!$L:$L,領用表!$E:$E,$B150,領用表!$B:$B,$CS$2&amp;CX$2)</f>
        <v/>
      </c>
      <c r="CY150" s="208">
        <f>SUMIFS(領用表!$L:$L,領用表!$A:$A,CY$2,領用表!$E:$E,B150)</f>
        <v/>
      </c>
      <c r="CZ150" s="296">
        <f>SUMIFS(領用表!$L:$L,領用表!$E:$E,$B150,領用表!$B:$B,CY$2&amp;CZ$2)</f>
        <v/>
      </c>
      <c r="DA150" s="296">
        <f>SUMIFS(領用表!$L:$L,領用表!$E:$E,$B150,領用表!$B:$B,$CY$2&amp;DA$2)</f>
        <v/>
      </c>
      <c r="DB150" s="296">
        <f>SUMIFS(領用表!$L:$L,領用表!$E:$E,$B150,領用表!$B:$B,$CY$2&amp;DB$2)</f>
        <v/>
      </c>
      <c r="DC150" s="296">
        <f>SUMIFS(領用表!$L:$L,領用表!$E:$E,$B150,領用表!$B:$B,$CY$2&amp;DC$2)</f>
        <v/>
      </c>
      <c r="DD150" s="296">
        <f>SUMIFS(領用表!$L:$L,領用表!$E:$E,$B150,領用表!$B:$B,$CY$2&amp;DD$2)</f>
        <v/>
      </c>
      <c r="DE150" s="208">
        <f>SUMIFS(領用表!$L:$L,領用表!$A:$A,DE$2,領用表!$E:$E,B150)</f>
        <v/>
      </c>
      <c r="DF150" s="296">
        <f>SUMIFS(領用表!$L:$L,領用表!$E:$E,$B150,領用表!$B:$B,DE$2&amp;DF$2)</f>
        <v/>
      </c>
      <c r="DG150" s="296">
        <f>SUMIFS(領用表!$L:$L,領用表!$E:$E,$B150,領用表!$B:$B,$DE$2&amp;DG$2)</f>
        <v/>
      </c>
      <c r="DH150" s="296">
        <f>SUMIFS(領用表!$L:$L,領用表!$E:$E,$B150,領用表!$B:$B,$DE$2&amp;DH$2)</f>
        <v/>
      </c>
      <c r="DI150" s="296">
        <f>SUMIFS(領用表!$L:$L,領用表!$E:$E,$B150,領用表!$B:$B,$DE$2&amp;DI$2)</f>
        <v/>
      </c>
      <c r="DJ150" s="296">
        <f>SUMIFS(領用表!$L:$L,領用表!$E:$E,$B150,領用表!$B:$B,$DE$2&amp;DJ$2)</f>
        <v/>
      </c>
      <c r="DK150" s="208">
        <f>SUMIFS(領用表!$L:$L,領用表!$A:$A,DK$2,領用表!$E:$E,$B150)</f>
        <v/>
      </c>
      <c r="DL150" s="296">
        <f>SUMIFS(領用表!$L:$L,領用表!$E:$E,$B150,領用表!$B:$B,DK$2&amp;DL$2)</f>
        <v/>
      </c>
      <c r="DM150" s="296">
        <f>SUMIFS(領用表!$L:$L,領用表!$E:$E,$B150,領用表!$B:$B,$DK$2&amp;DM$2)</f>
        <v/>
      </c>
      <c r="DN150" s="296">
        <f>SUMIFS(領用表!$L:$L,領用表!$E:$E,$B150,領用表!$B:$B,$DK$2&amp;DN$2)</f>
        <v/>
      </c>
      <c r="DO150" s="296">
        <f>SUMIFS(領用表!$L:$L,領用表!$E:$E,$B150,領用表!$B:$B,$DK$2&amp;DO$2)</f>
        <v/>
      </c>
      <c r="DP150" s="296">
        <f>SUMIFS(領用表!$L:$L,領用表!$E:$E,$B150,領用表!$B:$B,$DK$2&amp;DP$2)</f>
        <v/>
      </c>
      <c r="DQ150" s="208" t="n"/>
      <c r="DR150" s="296" t="n"/>
      <c r="DS150" s="296" t="n"/>
      <c r="DT150" s="296" t="n"/>
      <c r="DU150" s="296" t="n"/>
      <c r="DV150" s="296" t="n"/>
      <c r="DW150" s="296">
        <f>SUM(CN150,CS150,CY150,DE150,DK150,DQ150)</f>
        <v/>
      </c>
      <c r="DX150" s="296">
        <f>AVERAGEA(CN150,CS150,CY150,DE150,DK150,DQ150)</f>
        <v/>
      </c>
      <c r="DY150" s="296">
        <f>SUM(DZ150:EC150)</f>
        <v/>
      </c>
      <c r="DZ150" s="296" t="n">
        <v>0</v>
      </c>
      <c r="EA150" s="296" t="n">
        <v>0</v>
      </c>
      <c r="EB150" s="296" t="n">
        <v>0</v>
      </c>
      <c r="EC150" s="296" t="n">
        <v>0</v>
      </c>
      <c r="ED150" s="258" t="n"/>
      <c r="EE150" s="283" t="n"/>
      <c r="EF150" s="252" t="n"/>
      <c r="EG150" s="252" t="n"/>
      <c r="EH150" s="136" t="n"/>
      <c r="EI150" s="136" t="n"/>
      <c r="EJ150" s="118">
        <f>IFERROR(VLOOKUP(A150,站前4樓!A:BF,57,0),0)</f>
        <v/>
      </c>
      <c r="EK150" s="213">
        <f>IFERROR(VLOOKUP(A150,站前11樓!A:BE,57,0),0)</f>
        <v/>
      </c>
      <c r="EL150" s="118">
        <f>IFERROR(VLOOKUP(A150,忠孝7樓!A:N,57,0),0)</f>
        <v/>
      </c>
      <c r="EM150" s="118">
        <f>IFERROR(VLOOKUP(A150,忠孝國際醫學3樓!A:L,57,0),0)</f>
        <v/>
      </c>
      <c r="EN150" s="118">
        <f>SUM(ED150:EG150)</f>
        <v/>
      </c>
    </row>
    <row r="151" ht="15.75" customFormat="1" customHeight="1" s="118">
      <c r="A151" s="136" t="inlineStr">
        <is>
          <t>DN1AA090011T</t>
        </is>
      </c>
      <c r="B151" s="118" t="n">
        <v>1080006</v>
      </c>
      <c r="C151" s="136" t="inlineStr">
        <is>
          <t>肌因抗老修護微導膜 25ml (2015年版)</t>
        </is>
      </c>
      <c r="D151" s="285" t="n"/>
      <c r="E151" s="198" t="inlineStr">
        <is>
          <t>PCS</t>
        </is>
      </c>
      <c r="F151" s="225">
        <f>SUMIF(站前4樓!B:B,B151,站前4樓!F:F)</f>
        <v/>
      </c>
      <c r="G151" s="225">
        <f>SUMIF(站前11樓!B:B,B151,站前11樓!F:F)</f>
        <v/>
      </c>
      <c r="H151" s="225">
        <f>SUMIF(忠孝7樓!B:B,B151,忠孝7樓!G:G)</f>
        <v/>
      </c>
      <c r="I151" s="225">
        <f>SUMIF(忠孝國際醫學3樓!B:B,B151,忠孝國際醫學3樓!G:G)</f>
        <v/>
      </c>
      <c r="J151" s="408">
        <f>SUMIF(忠孝健康7樓!B:B,B151,忠孝健康7樓!G:G)</f>
        <v/>
      </c>
      <c r="AJ151" s="348" t="n"/>
      <c r="AK151" s="348" t="n"/>
      <c r="AL151" s="348" t="n"/>
      <c r="AM151" s="348" t="n"/>
      <c r="AN151" s="348" t="n"/>
      <c r="AO151" s="348" t="n"/>
      <c r="AP151" s="348" t="n"/>
      <c r="AQ151" s="201" t="n">
        <v>0</v>
      </c>
      <c r="AR151" s="201" t="n">
        <v>0</v>
      </c>
      <c r="AS151" s="201" t="n">
        <v>0</v>
      </c>
      <c r="AT151" s="201" t="n">
        <v>50</v>
      </c>
      <c r="AU151" s="201" t="n">
        <v>0</v>
      </c>
      <c r="AV151" s="283">
        <f>SUM(AJ151:AU151)</f>
        <v/>
      </c>
      <c r="AW151" s="286">
        <f>AV151/12</f>
        <v/>
      </c>
      <c r="AX151" s="201" t="n">
        <v>0</v>
      </c>
      <c r="AY151" s="201" t="n">
        <v>4620</v>
      </c>
      <c r="AZ151" s="201" t="n">
        <v>0</v>
      </c>
      <c r="BA151" s="201" t="n">
        <v>0</v>
      </c>
      <c r="BB151" s="201" t="n">
        <v>6400</v>
      </c>
      <c r="BC151" s="203">
        <f>SUMIFS(領用表!$L:$L,領用表!$A:$A,BC$2,領用表!$E:$E,B151)</f>
        <v/>
      </c>
      <c r="BD151" s="296">
        <f>SUMIFS(領用表!$L:$L,領用表!$E:$E,$B151,領用表!$B:$B,BC$2&amp;BD$2)</f>
        <v/>
      </c>
      <c r="BE151" s="296">
        <f>SUMIFS(領用表!$L:$L,領用表!$E:$E,$B151,領用表!$B:$B,$BC$2&amp;BE$2)</f>
        <v/>
      </c>
      <c r="BF151" s="296">
        <f>SUMIFS(領用表!$L:$L,領用表!$E:$E,$B151,領用表!$B:$B,$BC$2&amp;BF$2)</f>
        <v/>
      </c>
      <c r="BG151" s="296">
        <f>SUMIFS(領用表!$L:$L,領用表!$E:$E,$B151,領用表!$B:$B,$BC$2&amp;BG$2)</f>
        <v/>
      </c>
      <c r="BH151" s="203">
        <f>SUMIFS(領用表!$L:$L,領用表!$A:$A,BH$2,領用表!$E:$E,B151)</f>
        <v/>
      </c>
      <c r="BI151" s="260">
        <f>SUMIFS(領用表!$L:$L,領用表!$E:$E,$B151,領用表!$B:$B,BH$2&amp;BI$2)</f>
        <v/>
      </c>
      <c r="BJ151" s="260">
        <f>SUMIFS(領用表!$L:$L,領用表!$E:$E,$B151,領用表!$B:$B,$BH$2&amp;BJ$2)</f>
        <v/>
      </c>
      <c r="BK151" s="260">
        <f>SUMIFS(領用表!$L:$L,領用表!$E:$E,$B151,領用表!$B:$B,$BH$2&amp;BK$2)</f>
        <v/>
      </c>
      <c r="BL151" s="260">
        <f>SUMIFS(領用表!$L:$L,領用表!$E:$E,$B151,領用表!$B:$B,$BH$2&amp;BL$2)</f>
        <v/>
      </c>
      <c r="BM151" s="203">
        <f>SUMIFS(領用表!$L:$L,領用表!$A:$A,BM$2,領用表!$E:$E,B151)</f>
        <v/>
      </c>
      <c r="BN151" s="206">
        <f>SUMIFS(領用表!$L:$L,領用表!$E:$E,$B151,領用表!$B:$B,BM$2&amp;BN$2)</f>
        <v/>
      </c>
      <c r="BO151" s="206">
        <f>SUMIFS(領用表!$L:$L,領用表!$E:$E,$B151,領用表!$B:$B,$BM$2&amp;BO$2)</f>
        <v/>
      </c>
      <c r="BP151" s="288">
        <f>SUMIFS(領用表!$L:$L,領用表!$E:$E,$B151,領用表!$B:$B,$BM$2&amp;BP$2)</f>
        <v/>
      </c>
      <c r="BQ151" s="287">
        <f>SUMIFS(領用表!$L:$L,領用表!$E:$E,$B151,領用表!$B:$B,$BM$2&amp;BQ$2)</f>
        <v/>
      </c>
      <c r="BR151" s="203">
        <f>SUMIFS(領用表!$L:$L,領用表!$A:$A,BR$2,領用表!$E:$E,B151)</f>
        <v/>
      </c>
      <c r="BS151" s="288">
        <f>SUMIFS(領用表!$L:$L,領用表!$E:$E,$B151,領用表!$B:$B,BR$2&amp;BS$2)</f>
        <v/>
      </c>
      <c r="BT151" s="288">
        <f>SUMIFS(領用表!$L:$L,領用表!$E:$E,$B151,領用表!$B:$B,$BR$2&amp;BT$2)</f>
        <v/>
      </c>
      <c r="BU151" s="288">
        <f>SUMIFS(領用表!$L:$L,領用表!$E:$E,$B151,領用表!$B:$B,$BR$2&amp;BU$2)</f>
        <v/>
      </c>
      <c r="BV151" s="287">
        <f>SUMIFS(領用表!$L:$L,領用表!$E:$E,$B151,領用表!$B:$B,$BR$2&amp;BV$2)</f>
        <v/>
      </c>
      <c r="BW151" s="208">
        <f>SUMIFS(領用表!$L:$L,領用表!$A:$A,BW$2,領用表!$E:$E,B151)</f>
        <v/>
      </c>
      <c r="BX151" s="296">
        <f>SUMIFS(領用表!$L:$L,領用表!$E:$E,$B151,領用表!$B:$B,BW$2&amp;BX$2)</f>
        <v/>
      </c>
      <c r="BY151" s="296">
        <f>SUMIFS(領用表!$L:$L,領用表!$E:$E,$B151,領用表!$B:$B,$BW$2&amp;BY$2)</f>
        <v/>
      </c>
      <c r="BZ151" s="296">
        <f>SUMIFS(領用表!$L:$L,領用表!$E:$E,$B151,領用表!$B:$B,$BW$2&amp;BZ$2)</f>
        <v/>
      </c>
      <c r="CA151" s="296">
        <f>SUMIFS(領用表!$L:$L,領用表!$E:$E,$B151,領用表!$B:$B,$BW$2&amp;CA$2)</f>
        <v/>
      </c>
      <c r="CB151" s="208">
        <f>SUMIFS(領用表!$L:$L,領用表!$A:$A,CB$2,領用表!$E:$E,B151)</f>
        <v/>
      </c>
      <c r="CC151" s="296">
        <f>SUMIFS(領用表!$L:$L,領用表!$E:$E,$B151,領用表!$B:$B,CB$2&amp;CC$2)</f>
        <v/>
      </c>
      <c r="CD151" s="296">
        <f>SUMIFS(領用表!$L:$L,領用表!$E:$E,$B151,領用表!$B:$B,$CB$2&amp;CD$2)</f>
        <v/>
      </c>
      <c r="CE151" s="296">
        <f>SUMIFS(領用表!$L:$L,領用表!$E:$E,$B151,領用表!$B:$B,$CB$2&amp;CE$2)</f>
        <v/>
      </c>
      <c r="CF151" s="296">
        <f>SUMIFS(領用表!$L:$L,領用表!$E:$E,$B151,領用表!$B:$B,$CB$2&amp;CF$2)</f>
        <v/>
      </c>
      <c r="CG151" s="335">
        <f>SUMIFS(領用表!$L:$L,領用表!$A:$A,CG$2,領用表!$E:$E,B151)</f>
        <v/>
      </c>
      <c r="CH151" s="296">
        <f>SUMIFS(領用表!$L:$L,領用表!$E:$E,$B151,領用表!$B:$B,CG$2&amp;CH$2)</f>
        <v/>
      </c>
      <c r="CI151" s="296">
        <f>SUMIFS(領用表!$L:$L,領用表!$E:$E,$B151,領用表!$B:$B,CG$2&amp;CI$2)</f>
        <v/>
      </c>
      <c r="CJ151" s="296">
        <f>SUMIFS(領用表!$L:$L,領用表!$E:$E,$B151,領用表!$B:$B,CG$2&amp;CJ$2)</f>
        <v/>
      </c>
      <c r="CK151" s="296">
        <f>SUMIFS(領用表!$L:$L,領用表!$E:$E,$B151,領用表!$B:$B,$CG$2&amp;CK$2)</f>
        <v/>
      </c>
      <c r="CL151" s="207">
        <f>SUM(AX151,AY151,AZ151,BA151,BB151,BC151,BH151,BM151,BR151,BW151,CB151,CG151)</f>
        <v/>
      </c>
      <c r="CM151" s="207">
        <f>AVERAGE(AX151,AY151,AZ151,BA151,BB151,BC151,BH151,BM151,BR151,BW151,CB151,CG151)</f>
        <v/>
      </c>
      <c r="CN151" s="208">
        <f>SUMIFS(領用表!$L:$L,領用表!$A:$A,CN$2,領用表!$E:$E,B151)</f>
        <v/>
      </c>
      <c r="CO151" s="206">
        <f>SUMIFS(領用表!$L:$L,領用表!$E:$E,$B151,領用表!$B:$B,CN$2&amp;CO$2)</f>
        <v/>
      </c>
      <c r="CP151" s="206">
        <f>SUMIFS(領用表!$L:$L,領用表!$E:$E,$B151,領用表!$B:$B,$CN$2&amp;CP$2)</f>
        <v/>
      </c>
      <c r="CQ151" s="206">
        <f>SUMIFS(領用表!$L:$L,領用表!$E:$E,$B151,領用表!$B:$B,$CN$2&amp;CQ$2)</f>
        <v/>
      </c>
      <c r="CR151" s="296">
        <f>SUMIFS(領用表!$L:$L,領用表!$E:$E,$B151,領用表!$B:$B,$CN$2&amp;CR$2)</f>
        <v/>
      </c>
      <c r="CS151" s="208">
        <f>SUMIFS(領用表!$L:$L,領用表!$A:$A,CS$2,領用表!$E:$E,B151)</f>
        <v/>
      </c>
      <c r="CT151" s="206">
        <f>SUMIFS(領用表!$L:$L,領用表!$E:$E,$B151,領用表!$B:$B,CS$2&amp;CT$2)</f>
        <v/>
      </c>
      <c r="CU151" s="206">
        <f>SUMIFS(領用表!$L:$L,領用表!$E:$E,$B151,領用表!$B:$B,$CS$2&amp;CU$2)</f>
        <v/>
      </c>
      <c r="CV151" s="206">
        <f>SUMIFS(領用表!$L:$L,領用表!$E:$E,$B151,領用表!$B:$B,$CS$2&amp;CV$2)</f>
        <v/>
      </c>
      <c r="CW151" s="206">
        <f>SUMIFS(領用表!$L:$L,領用表!$E:$E,$B151,領用表!$B:$B,$CS$2&amp;CW$2)</f>
        <v/>
      </c>
      <c r="CX151" s="206">
        <f>SUMIFS(領用表!$L:$L,領用表!$E:$E,$B151,領用表!$B:$B,$CS$2&amp;CX$2)</f>
        <v/>
      </c>
      <c r="CY151" s="208">
        <f>SUMIFS(領用表!$L:$L,領用表!$A:$A,CY$2,領用表!$E:$E,B151)</f>
        <v/>
      </c>
      <c r="CZ151" s="296">
        <f>SUMIFS(領用表!$L:$L,領用表!$E:$E,$B151,領用表!$B:$B,CY$2&amp;CZ$2)</f>
        <v/>
      </c>
      <c r="DA151" s="296">
        <f>SUMIFS(領用表!$L:$L,領用表!$E:$E,$B151,領用表!$B:$B,$CY$2&amp;DA$2)</f>
        <v/>
      </c>
      <c r="DB151" s="296">
        <f>SUMIFS(領用表!$L:$L,領用表!$E:$E,$B151,領用表!$B:$B,$CY$2&amp;DB$2)</f>
        <v/>
      </c>
      <c r="DC151" s="296">
        <f>SUMIFS(領用表!$L:$L,領用表!$E:$E,$B151,領用表!$B:$B,$CY$2&amp;DC$2)</f>
        <v/>
      </c>
      <c r="DD151" s="296">
        <f>SUMIFS(領用表!$L:$L,領用表!$E:$E,$B151,領用表!$B:$B,$CY$2&amp;DD$2)</f>
        <v/>
      </c>
      <c r="DE151" s="208">
        <f>SUMIFS(領用表!$L:$L,領用表!$A:$A,DE$2,領用表!$E:$E,B151)</f>
        <v/>
      </c>
      <c r="DF151" s="296">
        <f>SUMIFS(領用表!$L:$L,領用表!$E:$E,$B151,領用表!$B:$B,DE$2&amp;DF$2)</f>
        <v/>
      </c>
      <c r="DG151" s="296">
        <f>SUMIFS(領用表!$L:$L,領用表!$E:$E,$B151,領用表!$B:$B,$DE$2&amp;DG$2)</f>
        <v/>
      </c>
      <c r="DH151" s="296">
        <f>SUMIFS(領用表!$L:$L,領用表!$E:$E,$B151,領用表!$B:$B,$DE$2&amp;DH$2)</f>
        <v/>
      </c>
      <c r="DI151" s="296">
        <f>SUMIFS(領用表!$L:$L,領用表!$E:$E,$B151,領用表!$B:$B,$DE$2&amp;DI$2)</f>
        <v/>
      </c>
      <c r="DJ151" s="296">
        <f>SUMIFS(領用表!$L:$L,領用表!$E:$E,$B151,領用表!$B:$B,$DE$2&amp;DJ$2)</f>
        <v/>
      </c>
      <c r="DK151" s="208">
        <f>SUMIFS(領用表!$L:$L,領用表!$A:$A,DK$2,領用表!$E:$E,$B151)</f>
        <v/>
      </c>
      <c r="DL151" s="296">
        <f>SUMIFS(領用表!$L:$L,領用表!$E:$E,$B151,領用表!$B:$B,DK$2&amp;DL$2)</f>
        <v/>
      </c>
      <c r="DM151" s="296">
        <f>SUMIFS(領用表!$L:$L,領用表!$E:$E,$B151,領用表!$B:$B,$DK$2&amp;DM$2)</f>
        <v/>
      </c>
      <c r="DN151" s="296">
        <f>SUMIFS(領用表!$L:$L,領用表!$E:$E,$B151,領用表!$B:$B,$DK$2&amp;DN$2)</f>
        <v/>
      </c>
      <c r="DO151" s="296">
        <f>SUMIFS(領用表!$L:$L,領用表!$E:$E,$B151,領用表!$B:$B,$DK$2&amp;DO$2)</f>
        <v/>
      </c>
      <c r="DP151" s="296">
        <f>SUMIFS(領用表!$L:$L,領用表!$E:$E,$B151,領用表!$B:$B,$DK$2&amp;DP$2)</f>
        <v/>
      </c>
      <c r="DQ151" s="208" t="n"/>
      <c r="DR151" s="296" t="n"/>
      <c r="DS151" s="296" t="n"/>
      <c r="DT151" s="296" t="n"/>
      <c r="DU151" s="296" t="n"/>
      <c r="DV151" s="296" t="n"/>
      <c r="DW151" s="296">
        <f>SUM(CN151,CS151,CY151,DE151,DK151,DQ151)</f>
        <v/>
      </c>
      <c r="DX151" s="296">
        <f>AVERAGEA(CN151,CS151,CY151,DE151,DK151,DQ151)</f>
        <v/>
      </c>
      <c r="DY151" s="296">
        <f>SUM(DZ151:EC151)</f>
        <v/>
      </c>
      <c r="DZ151" s="296" t="n">
        <v>0</v>
      </c>
      <c r="EA151" s="296" t="n">
        <v>0</v>
      </c>
      <c r="EB151" s="296" t="n">
        <v>0</v>
      </c>
      <c r="EC151" s="296" t="n">
        <v>0</v>
      </c>
      <c r="ED151" s="258" t="n"/>
      <c r="EE151" s="283" t="n"/>
      <c r="EF151" s="252" t="n"/>
      <c r="EG151" s="252" t="n"/>
      <c r="EJ151" s="118">
        <f>IFERROR(VLOOKUP(A151,站前4樓!A:BF,57,0),0)</f>
        <v/>
      </c>
      <c r="EK151" s="213">
        <f>IFERROR(VLOOKUP(A151,站前11樓!A:BE,57,0),0)</f>
        <v/>
      </c>
      <c r="EL151" s="118">
        <f>IFERROR(VLOOKUP(A151,忠孝7樓!A:N,57,0),0)</f>
        <v/>
      </c>
      <c r="EM151" s="118">
        <f>IFERROR(VLOOKUP(A151,忠孝國際醫學3樓!A:L,57,0),0)</f>
        <v/>
      </c>
      <c r="EN151" s="118">
        <f>SUM(ED151:EG151)</f>
        <v/>
      </c>
    </row>
    <row r="152" ht="15.75" customFormat="1" customHeight="1" s="118">
      <c r="A152" s="136" t="inlineStr">
        <is>
          <t>DL1AA090023T</t>
        </is>
      </c>
      <c r="C152" s="136" t="inlineStr">
        <is>
          <t>海洋紅藻面膜 30ml</t>
        </is>
      </c>
      <c r="D152" s="285" t="n"/>
      <c r="E152" s="198" t="inlineStr">
        <is>
          <t>PCS</t>
        </is>
      </c>
      <c r="F152" s="225">
        <f>SUMIF(站前4樓!B:B,B152,站前4樓!F:F)</f>
        <v/>
      </c>
      <c r="G152" s="225">
        <f>SUMIF(站前11樓!B:B,B152,站前11樓!F:F)</f>
        <v/>
      </c>
      <c r="H152" s="225">
        <f>SUMIF(忠孝7樓!B:B,B152,忠孝7樓!G:G)</f>
        <v/>
      </c>
      <c r="I152" s="225">
        <f>SUMIF(忠孝國際醫學3樓!B:B,B152,忠孝國際醫學3樓!G:G)</f>
        <v/>
      </c>
      <c r="J152" s="408">
        <f>SUMIF(忠孝健康7樓!B:B,B152,忠孝健康7樓!G:G)</f>
        <v/>
      </c>
      <c r="AJ152" s="348" t="n"/>
      <c r="AK152" s="348" t="n"/>
      <c r="AL152" s="348" t="n"/>
      <c r="AM152" s="348" t="n"/>
      <c r="AN152" s="348" t="n"/>
      <c r="AO152" s="348" t="n"/>
      <c r="AP152" s="348" t="n"/>
      <c r="AQ152" s="201" t="n"/>
      <c r="AR152" s="201" t="n"/>
      <c r="AS152" s="201" t="n"/>
      <c r="AT152" s="201" t="n"/>
      <c r="AU152" s="201" t="n"/>
      <c r="AV152" s="283" t="n"/>
      <c r="AW152" s="286" t="n"/>
      <c r="AX152" s="201" t="n"/>
      <c r="AY152" s="201" t="n"/>
      <c r="AZ152" s="201" t="n"/>
      <c r="BA152" s="201" t="n"/>
      <c r="BB152" s="201" t="n"/>
      <c r="BC152" s="203">
        <f>SUMIFS(領用表!$L:$L,領用表!$A:$A,BC$2,領用表!$E:$E,B152)</f>
        <v/>
      </c>
      <c r="BD152" s="296">
        <f>SUMIFS(領用表!$L:$L,領用表!$E:$E,$B152,領用表!$B:$B,BC$2&amp;BD$2)</f>
        <v/>
      </c>
      <c r="BE152" s="330">
        <f>SUMIFS(領用表!$L:$L,領用表!$E:$E,$B152,領用表!$B:$B,$BC$2&amp;BE$2)</f>
        <v/>
      </c>
      <c r="BF152" s="330">
        <f>SUMIFS(領用表!$L:$L,領用表!$E:$E,$B152,領用表!$B:$B,$BC$2&amp;BF$2)</f>
        <v/>
      </c>
      <c r="BG152" s="330">
        <f>SUMIFS(領用表!$L:$L,領用表!$E:$E,$B152,領用表!$B:$B,$BC$2&amp;BG$2)</f>
        <v/>
      </c>
      <c r="BH152" s="203">
        <f>SUMIFS(領用表!$L:$L,領用表!$A:$A,BH$2,領用表!$E:$E,B152)</f>
        <v/>
      </c>
      <c r="BI152" s="260">
        <f>SUMIFS(領用表!$L:$L,領用表!$E:$E,$B152,領用表!$B:$B,BH$2&amp;BI$2)</f>
        <v/>
      </c>
      <c r="BJ152" s="260">
        <f>SUMIFS(領用表!$L:$L,領用表!$E:$E,$B152,領用表!$B:$B,$BH$2&amp;BJ$2)</f>
        <v/>
      </c>
      <c r="BK152" s="260">
        <f>SUMIFS(領用表!$L:$L,領用表!$E:$E,$B152,領用表!$B:$B,$BH$2&amp;BK$2)</f>
        <v/>
      </c>
      <c r="BL152" s="260">
        <f>SUMIFS(領用表!$L:$L,領用表!$E:$E,$B152,領用表!$B:$B,$BH$2&amp;BL$2)</f>
        <v/>
      </c>
      <c r="BM152" s="203">
        <f>SUMIFS(領用表!$L:$L,領用表!$A:$A,BM$2,領用表!$E:$E,B152)</f>
        <v/>
      </c>
      <c r="BN152" s="331">
        <f>SUMIFS(領用表!$L:$L,領用表!$E:$E,$B152,領用表!$B:$B,BM$2&amp;BN$2)</f>
        <v/>
      </c>
      <c r="BO152" s="331">
        <f>SUMIFS(領用表!$L:$L,領用表!$E:$E,$B152,領用表!$B:$B,$BM$2&amp;BO$2)</f>
        <v/>
      </c>
      <c r="BP152" s="288">
        <f>SUMIFS(領用表!$L:$L,領用表!$E:$E,$B152,領用表!$B:$B,$BM$2&amp;BP$2)</f>
        <v/>
      </c>
      <c r="BQ152" s="287">
        <f>SUMIFS(領用表!$L:$L,領用表!$E:$E,$B152,領用表!$B:$B,$BM$2&amp;BQ$2)</f>
        <v/>
      </c>
      <c r="BR152" s="203">
        <f>SUMIFS(領用表!$L:$L,領用表!$A:$A,BR$2,領用表!$E:$E,B152)</f>
        <v/>
      </c>
      <c r="BS152" s="288">
        <f>SUMIFS(領用表!$L:$L,領用表!$E:$E,$B152,領用表!$B:$B,BR$2&amp;BS$2)</f>
        <v/>
      </c>
      <c r="BT152" s="288">
        <f>SUMIFS(領用表!$L:$L,領用表!$E:$E,$B152,領用表!$B:$B,$BR$2&amp;BT$2)</f>
        <v/>
      </c>
      <c r="BU152" s="288">
        <f>SUMIFS(領用表!$L:$L,領用表!$E:$E,$B152,領用表!$B:$B,$BR$2&amp;BU$2)</f>
        <v/>
      </c>
      <c r="BV152" s="287">
        <f>SUMIFS(領用表!$L:$L,領用表!$E:$E,$B152,領用表!$B:$B,$BR$2&amp;BV$2)</f>
        <v/>
      </c>
      <c r="BW152" s="208">
        <f>SUMIFS(領用表!$L:$L,領用表!$A:$A,BW$2,領用表!$E:$E,B152)</f>
        <v/>
      </c>
      <c r="BX152" s="296">
        <f>SUMIFS(領用表!$L:$L,領用表!$E:$E,$B152,領用表!$B:$B,BW$2&amp;BX$2)</f>
        <v/>
      </c>
      <c r="BY152" s="296">
        <f>SUMIFS(領用表!$L:$L,領用表!$E:$E,$B152,領用表!$B:$B,$BW$2&amp;BY$2)</f>
        <v/>
      </c>
      <c r="BZ152" s="296">
        <f>SUMIFS(領用表!$L:$L,領用表!$E:$E,$B152,領用表!$B:$B,$BW$2&amp;BZ$2)</f>
        <v/>
      </c>
      <c r="CA152" s="296">
        <f>SUMIFS(領用表!$L:$L,領用表!$E:$E,$B152,領用表!$B:$B,$BW$2&amp;CA$2)</f>
        <v/>
      </c>
      <c r="CB152" s="208">
        <f>SUMIFS(領用表!$L:$L,領用表!$A:$A,CB$2,領用表!$E:$E,B152)</f>
        <v/>
      </c>
      <c r="CC152" s="296">
        <f>SUMIFS(領用表!$L:$L,領用表!$E:$E,$B152,領用表!$B:$B,CB$2&amp;CC$2)</f>
        <v/>
      </c>
      <c r="CD152" s="296">
        <f>SUMIFS(領用表!$L:$L,領用表!$E:$E,$B152,領用表!$B:$B,$CB$2&amp;CD$2)</f>
        <v/>
      </c>
      <c r="CE152" s="296">
        <f>SUMIFS(領用表!$L:$L,領用表!$E:$E,$B152,領用表!$B:$B,$CB$2&amp;CE$2)</f>
        <v/>
      </c>
      <c r="CF152" s="296">
        <f>SUMIFS(領用表!$L:$L,領用表!$E:$E,$B152,領用表!$B:$B,$CB$2&amp;CF$2)</f>
        <v/>
      </c>
      <c r="CG152" s="335">
        <f>SUMIFS(領用表!$L:$L,領用表!$A:$A,CG$2,領用表!$E:$E,B152)</f>
        <v/>
      </c>
      <c r="CH152" s="296">
        <f>SUMIFS(領用表!$L:$L,領用表!$E:$E,$B152,領用表!$B:$B,CG$2&amp;CH$2)</f>
        <v/>
      </c>
      <c r="CI152" s="296">
        <f>SUMIFS(領用表!$L:$L,領用表!$E:$E,$B152,領用表!$B:$B,CG$2&amp;CI$2)</f>
        <v/>
      </c>
      <c r="CJ152" s="296">
        <f>SUMIFS(領用表!$L:$L,領用表!$E:$E,$B152,領用表!$B:$B,CG$2&amp;CJ$2)</f>
        <v/>
      </c>
      <c r="CK152" s="296">
        <f>SUMIFS(領用表!$L:$L,領用表!$E:$E,$B152,領用表!$B:$B,$CG$2&amp;CK$2)</f>
        <v/>
      </c>
      <c r="CL152" s="207">
        <f>SUM(AX152,AY152,AZ152,BA152,BB152,BC152,BH152,BM152,BR152,BW152,CB152,CG152)</f>
        <v/>
      </c>
      <c r="CM152" s="207">
        <f>AVERAGE(AX152,AY152,AZ152,BA152,BB152,BC152,BH152,BM152,BR152,BW152,CB152,CG152)</f>
        <v/>
      </c>
      <c r="CN152" s="208">
        <f>SUMIFS(領用表!$L:$L,領用表!$A:$A,CN$2,領用表!$E:$E,B152)</f>
        <v/>
      </c>
      <c r="CO152" s="206">
        <f>SUMIFS(領用表!$L:$L,領用表!$E:$E,$B152,領用表!$B:$B,CN$2&amp;CO$2)</f>
        <v/>
      </c>
      <c r="CP152" s="206">
        <f>SUMIFS(領用表!$L:$L,領用表!$E:$E,$B152,領用表!$B:$B,$CN$2&amp;CP$2)</f>
        <v/>
      </c>
      <c r="CQ152" s="206">
        <f>SUMIFS(領用表!$L:$L,領用表!$E:$E,$B152,領用表!$B:$B,$CN$2&amp;CQ$2)</f>
        <v/>
      </c>
      <c r="CR152" s="296">
        <f>SUMIFS(領用表!$L:$L,領用表!$E:$E,$B152,領用表!$B:$B,$CN$2&amp;CR$2)</f>
        <v/>
      </c>
      <c r="CS152" s="208">
        <f>SUMIFS(領用表!$L:$L,領用表!$A:$A,CS$2,領用表!$E:$E,B152)</f>
        <v/>
      </c>
      <c r="CT152" s="206">
        <f>SUMIFS(領用表!$L:$L,領用表!$E:$E,$B152,領用表!$B:$B,CS$2&amp;CT$2)</f>
        <v/>
      </c>
      <c r="CU152" s="206">
        <f>SUMIFS(領用表!$L:$L,領用表!$E:$E,$B152,領用表!$B:$B,$CS$2&amp;CU$2)</f>
        <v/>
      </c>
      <c r="CV152" s="206">
        <f>SUMIFS(領用表!$L:$L,領用表!$E:$E,$B152,領用表!$B:$B,$CS$2&amp;CV$2)</f>
        <v/>
      </c>
      <c r="CW152" s="206">
        <f>SUMIFS(領用表!$L:$L,領用表!$E:$E,$B152,領用表!$B:$B,$CS$2&amp;CW$2)</f>
        <v/>
      </c>
      <c r="CX152" s="206">
        <f>SUMIFS(領用表!$L:$L,領用表!$E:$E,$B152,領用表!$B:$B,$CS$2&amp;CX$2)</f>
        <v/>
      </c>
      <c r="CY152" s="208">
        <f>SUMIFS(領用表!$L:$L,領用表!$A:$A,CY$2,領用表!$E:$E,B152)</f>
        <v/>
      </c>
      <c r="CZ152" s="296">
        <f>SUMIFS(領用表!$L:$L,領用表!$E:$E,$B152,領用表!$B:$B,CY$2&amp;CZ$2)</f>
        <v/>
      </c>
      <c r="DA152" s="296">
        <f>SUMIFS(領用表!$L:$L,領用表!$E:$E,$B152,領用表!$B:$B,$CY$2&amp;DA$2)</f>
        <v/>
      </c>
      <c r="DB152" s="296">
        <f>SUMIFS(領用表!$L:$L,領用表!$E:$E,$B152,領用表!$B:$B,$CY$2&amp;DB$2)</f>
        <v/>
      </c>
      <c r="DC152" s="296">
        <f>SUMIFS(領用表!$L:$L,領用表!$E:$E,$B152,領用表!$B:$B,$CY$2&amp;DC$2)</f>
        <v/>
      </c>
      <c r="DD152" s="296">
        <f>SUMIFS(領用表!$L:$L,領用表!$E:$E,$B152,領用表!$B:$B,$CY$2&amp;DD$2)</f>
        <v/>
      </c>
      <c r="DE152" s="208">
        <f>SUMIFS(領用表!$L:$L,領用表!$A:$A,DE$2,領用表!$E:$E,B152)</f>
        <v/>
      </c>
      <c r="DF152" s="296">
        <f>SUMIFS(領用表!$L:$L,領用表!$E:$E,$B152,領用表!$B:$B,DE$2&amp;DF$2)</f>
        <v/>
      </c>
      <c r="DG152" s="296">
        <f>SUMIFS(領用表!$L:$L,領用表!$E:$E,$B152,領用表!$B:$B,$DE$2&amp;DG$2)</f>
        <v/>
      </c>
      <c r="DH152" s="296">
        <f>SUMIFS(領用表!$L:$L,領用表!$E:$E,$B152,領用表!$B:$B,$DE$2&amp;DH$2)</f>
        <v/>
      </c>
      <c r="DI152" s="296">
        <f>SUMIFS(領用表!$L:$L,領用表!$E:$E,$B152,領用表!$B:$B,$DE$2&amp;DI$2)</f>
        <v/>
      </c>
      <c r="DJ152" s="296">
        <f>SUMIFS(領用表!$L:$L,領用表!$E:$E,$B152,領用表!$B:$B,$DE$2&amp;DJ$2)</f>
        <v/>
      </c>
      <c r="DK152" s="208">
        <f>SUMIFS(領用表!$L:$L,領用表!$A:$A,DK$2,領用表!$E:$E,$B152)</f>
        <v/>
      </c>
      <c r="DL152" s="296">
        <f>SUMIFS(領用表!$L:$L,領用表!$E:$E,$B152,領用表!$B:$B,DK$2&amp;DL$2)</f>
        <v/>
      </c>
      <c r="DM152" s="296">
        <f>SUMIFS(領用表!$L:$L,領用表!$E:$E,$B152,領用表!$B:$B,$DK$2&amp;DM$2)</f>
        <v/>
      </c>
      <c r="DN152" s="296">
        <f>SUMIFS(領用表!$L:$L,領用表!$E:$E,$B152,領用表!$B:$B,$DK$2&amp;DN$2)</f>
        <v/>
      </c>
      <c r="DO152" s="296">
        <f>SUMIFS(領用表!$L:$L,領用表!$E:$E,$B152,領用表!$B:$B,$DK$2&amp;DO$2)</f>
        <v/>
      </c>
      <c r="DP152" s="296">
        <f>SUMIFS(領用表!$L:$L,領用表!$E:$E,$B152,領用表!$B:$B,$DK$2&amp;DP$2)</f>
        <v/>
      </c>
      <c r="DQ152" s="208" t="n"/>
      <c r="DR152" s="296" t="n"/>
      <c r="DS152" s="296" t="n"/>
      <c r="DT152" s="296" t="n"/>
      <c r="DU152" s="296" t="n"/>
      <c r="DV152" s="296" t="n"/>
      <c r="DW152" s="296">
        <f>SUM(CN152,CS152,CY152,DE152,DK152,DQ152)</f>
        <v/>
      </c>
      <c r="DX152" s="296">
        <f>AVERAGEA(CN152,CS152,CY152,DE152,DK152,DQ152)</f>
        <v/>
      </c>
      <c r="DY152" s="296">
        <f>SUM(DZ152:EC152)</f>
        <v/>
      </c>
      <c r="DZ152" s="296" t="n">
        <v>0</v>
      </c>
      <c r="EA152" s="296" t="n">
        <v>0</v>
      </c>
      <c r="EB152" s="296" t="n">
        <v>0</v>
      </c>
      <c r="EC152" s="296" t="n">
        <v>0</v>
      </c>
      <c r="ED152" s="258" t="n"/>
      <c r="EE152" s="283" t="n"/>
      <c r="EF152" s="252" t="n"/>
      <c r="EG152" s="252" t="n"/>
      <c r="EJ152" s="118">
        <f>IFERROR(VLOOKUP(A152,站前4樓!A:BF,57,0),0)</f>
        <v/>
      </c>
      <c r="EK152" s="213">
        <f>IFERROR(VLOOKUP(A152,站前11樓!A:BE,57,0),0)</f>
        <v/>
      </c>
      <c r="EL152" s="118">
        <f>IFERROR(VLOOKUP(A152,忠孝7樓!A:N,57,0),0)</f>
        <v/>
      </c>
      <c r="EM152" s="118">
        <f>IFERROR(VLOOKUP(A152,忠孝國際醫學3樓!A:L,57,0),0)</f>
        <v/>
      </c>
      <c r="EN152" s="118">
        <f>SUM(ED152:EG152)</f>
        <v/>
      </c>
    </row>
    <row r="153" ht="15.75" customFormat="1" customHeight="1" s="118">
      <c r="A153" s="136" t="inlineStr">
        <is>
          <t>DE1AA090013T</t>
        </is>
      </c>
      <c r="B153" s="118" t="n">
        <v>6080005</v>
      </c>
      <c r="C153" s="136" t="inlineStr">
        <is>
          <t>玻尿酸恆潤保濕面膜 30mL</t>
        </is>
      </c>
      <c r="D153" s="285" t="n"/>
      <c r="E153" s="198" t="inlineStr">
        <is>
          <t>PCS</t>
        </is>
      </c>
      <c r="F153" s="225">
        <f>SUMIF(站前4樓!B:B,B153,站前4樓!F:F)</f>
        <v/>
      </c>
      <c r="G153" s="225">
        <f>SUMIF(站前11樓!B:B,B153,站前11樓!F:F)</f>
        <v/>
      </c>
      <c r="H153" s="225">
        <f>SUMIF(忠孝7樓!B:B,B153,忠孝7樓!G:G)</f>
        <v/>
      </c>
      <c r="I153" s="225">
        <f>SUMIF(忠孝國際醫學3樓!B:B,B153,忠孝國際醫學3樓!G:G)</f>
        <v/>
      </c>
      <c r="J153" s="408">
        <f>SUMIF(忠孝健康7樓!B:B,B153,忠孝健康7樓!G:G)</f>
        <v/>
      </c>
      <c r="AJ153" s="348" t="n"/>
      <c r="AK153" s="348" t="n"/>
      <c r="AL153" s="348" t="n"/>
      <c r="AM153" s="348" t="n"/>
      <c r="AN153" s="348" t="n"/>
      <c r="AO153" s="348" t="n"/>
      <c r="AP153" s="348" t="n"/>
      <c r="AQ153" s="201" t="n"/>
      <c r="AR153" s="201" t="n"/>
      <c r="AS153" s="201" t="n"/>
      <c r="AT153" s="201" t="n"/>
      <c r="AU153" s="201" t="n"/>
      <c r="AV153" s="283" t="n">
        <v>0</v>
      </c>
      <c r="AW153" s="286" t="n">
        <v>0</v>
      </c>
      <c r="AX153" s="201" t="n">
        <v>0</v>
      </c>
      <c r="AY153" s="201" t="n">
        <v>0</v>
      </c>
      <c r="AZ153" s="201" t="n">
        <v>0</v>
      </c>
      <c r="BA153" s="201" t="n">
        <v>2400</v>
      </c>
      <c r="BB153" s="201" t="n">
        <v>0</v>
      </c>
      <c r="BC153" s="203">
        <f>SUMIFS(領用表!$L:$L,領用表!$A:$A,BC$2,領用表!$E:$E,B153)</f>
        <v/>
      </c>
      <c r="BD153" s="296">
        <f>SUMIFS(領用表!$L:$L,領用表!$E:$E,$B153,領用表!$B:$B,BC$2&amp;BD$2)</f>
        <v/>
      </c>
      <c r="BE153" s="330">
        <f>SUMIFS(領用表!$L:$L,領用表!$E:$E,$B153,領用表!$B:$B,$BC$2&amp;BE$2)</f>
        <v/>
      </c>
      <c r="BF153" s="330">
        <f>SUMIFS(領用表!$L:$L,領用表!$E:$E,$B153,領用表!$B:$B,$BC$2&amp;BF$2)</f>
        <v/>
      </c>
      <c r="BG153" s="330">
        <f>SUMIFS(領用表!$L:$L,領用表!$E:$E,$B153,領用表!$B:$B,$BC$2&amp;BG$2)</f>
        <v/>
      </c>
      <c r="BH153" s="203">
        <f>SUMIFS(領用表!$L:$L,領用表!$A:$A,BH$2,領用表!$E:$E,B153)</f>
        <v/>
      </c>
      <c r="BI153" s="260">
        <f>SUMIFS(領用表!$L:$L,領用表!$E:$E,$B153,領用表!$B:$B,BH$2&amp;BI$2)</f>
        <v/>
      </c>
      <c r="BJ153" s="260">
        <f>SUMIFS(領用表!$L:$L,領用表!$E:$E,$B153,領用表!$B:$B,$BH$2&amp;BJ$2)</f>
        <v/>
      </c>
      <c r="BK153" s="260">
        <f>SUMIFS(領用表!$L:$L,領用表!$E:$E,$B153,領用表!$B:$B,$BH$2&amp;BK$2)</f>
        <v/>
      </c>
      <c r="BL153" s="260">
        <f>SUMIFS(領用表!$L:$L,領用表!$E:$E,$B153,領用表!$B:$B,$BH$2&amp;BL$2)</f>
        <v/>
      </c>
      <c r="BM153" s="203">
        <f>SUMIFS(領用表!$L:$L,領用表!$A:$A,BM$2,領用表!$E:$E,B153)</f>
        <v/>
      </c>
      <c r="BN153" s="331">
        <f>SUMIFS(領用表!$L:$L,領用表!$E:$E,$B153,領用表!$B:$B,BM$2&amp;BN$2)</f>
        <v/>
      </c>
      <c r="BO153" s="331">
        <f>SUMIFS(領用表!$L:$L,領用表!$E:$E,$B153,領用表!$B:$B,$BM$2&amp;BO$2)</f>
        <v/>
      </c>
      <c r="BP153" s="288">
        <f>SUMIFS(領用表!$L:$L,領用表!$E:$E,$B153,領用表!$B:$B,$BM$2&amp;BP$2)</f>
        <v/>
      </c>
      <c r="BQ153" s="287">
        <f>SUMIFS(領用表!$L:$L,領用表!$E:$E,$B153,領用表!$B:$B,$BM$2&amp;BQ$2)</f>
        <v/>
      </c>
      <c r="BR153" s="203">
        <f>SUMIFS(領用表!$L:$L,領用表!$A:$A,BR$2,領用表!$E:$E,B153)</f>
        <v/>
      </c>
      <c r="BS153" s="288">
        <f>SUMIFS(領用表!$L:$L,領用表!$E:$E,$B153,領用表!$B:$B,BR$2&amp;BS$2)</f>
        <v/>
      </c>
      <c r="BT153" s="288">
        <f>SUMIFS(領用表!$L:$L,領用表!$E:$E,$B153,領用表!$B:$B,$BR$2&amp;BT$2)</f>
        <v/>
      </c>
      <c r="BU153" s="288">
        <f>SUMIFS(領用表!$L:$L,領用表!$E:$E,$B153,領用表!$B:$B,$BR$2&amp;BU$2)</f>
        <v/>
      </c>
      <c r="BV153" s="287">
        <f>SUMIFS(領用表!$L:$L,領用表!$E:$E,$B153,領用表!$B:$B,$BR$2&amp;BV$2)</f>
        <v/>
      </c>
      <c r="BW153" s="208">
        <f>SUMIFS(領用表!$L:$L,領用表!$A:$A,BW$2,領用表!$E:$E,B153)</f>
        <v/>
      </c>
      <c r="BX153" s="296">
        <f>SUMIFS(領用表!$L:$L,領用表!$E:$E,$B153,領用表!$B:$B,BW$2&amp;BX$2)</f>
        <v/>
      </c>
      <c r="BY153" s="296">
        <f>SUMIFS(領用表!$L:$L,領用表!$E:$E,$B153,領用表!$B:$B,$BW$2&amp;BY$2)</f>
        <v/>
      </c>
      <c r="BZ153" s="296">
        <f>SUMIFS(領用表!$L:$L,領用表!$E:$E,$B153,領用表!$B:$B,$BW$2&amp;BZ$2)</f>
        <v/>
      </c>
      <c r="CA153" s="296">
        <f>SUMIFS(領用表!$L:$L,領用表!$E:$E,$B153,領用表!$B:$B,$BW$2&amp;CA$2)</f>
        <v/>
      </c>
      <c r="CB153" s="208">
        <f>SUMIFS(領用表!$L:$L,領用表!$A:$A,CB$2,領用表!$E:$E,B153)</f>
        <v/>
      </c>
      <c r="CC153" s="296">
        <f>SUMIFS(領用表!$L:$L,領用表!$E:$E,$B153,領用表!$B:$B,CB$2&amp;CC$2)</f>
        <v/>
      </c>
      <c r="CD153" s="296">
        <f>SUMIFS(領用表!$L:$L,領用表!$E:$E,$B153,領用表!$B:$B,$CB$2&amp;CD$2)</f>
        <v/>
      </c>
      <c r="CE153" s="296">
        <f>SUMIFS(領用表!$L:$L,領用表!$E:$E,$B153,領用表!$B:$B,$CB$2&amp;CE$2)</f>
        <v/>
      </c>
      <c r="CF153" s="296">
        <f>SUMIFS(領用表!$L:$L,領用表!$E:$E,$B153,領用表!$B:$B,$CB$2&amp;CF$2)</f>
        <v/>
      </c>
      <c r="CG153" s="335">
        <f>SUMIFS(領用表!$L:$L,領用表!$A:$A,CG$2,領用表!$E:$E,B153)</f>
        <v/>
      </c>
      <c r="CH153" s="296">
        <f>SUMIFS(領用表!$L:$L,領用表!$E:$E,$B153,領用表!$B:$B,CG$2&amp;CH$2)</f>
        <v/>
      </c>
      <c r="CI153" s="296">
        <f>SUMIFS(領用表!$L:$L,領用表!$E:$E,$B153,領用表!$B:$B,CG$2&amp;CI$2)</f>
        <v/>
      </c>
      <c r="CJ153" s="296">
        <f>SUMIFS(領用表!$L:$L,領用表!$E:$E,$B153,領用表!$B:$B,CG$2&amp;CJ$2)</f>
        <v/>
      </c>
      <c r="CK153" s="296">
        <f>SUMIFS(領用表!$L:$L,領用表!$E:$E,$B153,領用表!$B:$B,$CG$2&amp;CK$2)</f>
        <v/>
      </c>
      <c r="CL153" s="207">
        <f>SUM(AX153,AY153,AZ153,BA153,BB153,BC153,BH153,BM153,BR153,BW153,CB153,CG153)</f>
        <v/>
      </c>
      <c r="CM153" s="207">
        <f>AVERAGE(AX153,AY153,AZ153,BA153,BB153,BC153,BH153,BM153,BR153,BW153,CB153,CG153)</f>
        <v/>
      </c>
      <c r="CN153" s="208">
        <f>SUMIFS(領用表!$L:$L,領用表!$A:$A,CN$2,領用表!$E:$E,B153)</f>
        <v/>
      </c>
      <c r="CO153" s="206">
        <f>SUMIFS(領用表!$L:$L,領用表!$E:$E,$B153,領用表!$B:$B,CN$2&amp;CO$2)</f>
        <v/>
      </c>
      <c r="CP153" s="206">
        <f>SUMIFS(領用表!$L:$L,領用表!$E:$E,$B153,領用表!$B:$B,$CN$2&amp;CP$2)</f>
        <v/>
      </c>
      <c r="CQ153" s="206">
        <f>SUMIFS(領用表!$L:$L,領用表!$E:$E,$B153,領用表!$B:$B,$CN$2&amp;CQ$2)</f>
        <v/>
      </c>
      <c r="CR153" s="296">
        <f>SUMIFS(領用表!$L:$L,領用表!$E:$E,$B153,領用表!$B:$B,$CN$2&amp;CR$2)</f>
        <v/>
      </c>
      <c r="CS153" s="208">
        <f>SUMIFS(領用表!$L:$L,領用表!$A:$A,CS$2,領用表!$E:$E,B153)</f>
        <v/>
      </c>
      <c r="CT153" s="206">
        <f>SUMIFS(領用表!$L:$L,領用表!$E:$E,$B153,領用表!$B:$B,CS$2&amp;CT$2)</f>
        <v/>
      </c>
      <c r="CU153" s="206">
        <f>SUMIFS(領用表!$L:$L,領用表!$E:$E,$B153,領用表!$B:$B,$CS$2&amp;CU$2)</f>
        <v/>
      </c>
      <c r="CV153" s="206">
        <f>SUMIFS(領用表!$L:$L,領用表!$E:$E,$B153,領用表!$B:$B,$CS$2&amp;CV$2)</f>
        <v/>
      </c>
      <c r="CW153" s="206">
        <f>SUMIFS(領用表!$L:$L,領用表!$E:$E,$B153,領用表!$B:$B,$CS$2&amp;CW$2)</f>
        <v/>
      </c>
      <c r="CX153" s="206">
        <f>SUMIFS(領用表!$L:$L,領用表!$E:$E,$B153,領用表!$B:$B,$CS$2&amp;CX$2)</f>
        <v/>
      </c>
      <c r="CY153" s="208">
        <f>SUMIFS(領用表!$L:$L,領用表!$A:$A,CY$2,領用表!$E:$E,B153)</f>
        <v/>
      </c>
      <c r="CZ153" s="296">
        <f>SUMIFS(領用表!$L:$L,領用表!$E:$E,$B153,領用表!$B:$B,CY$2&amp;CZ$2)</f>
        <v/>
      </c>
      <c r="DA153" s="296">
        <f>SUMIFS(領用表!$L:$L,領用表!$E:$E,$B153,領用表!$B:$B,$CY$2&amp;DA$2)</f>
        <v/>
      </c>
      <c r="DB153" s="296">
        <f>SUMIFS(領用表!$L:$L,領用表!$E:$E,$B153,領用表!$B:$B,$CY$2&amp;DB$2)</f>
        <v/>
      </c>
      <c r="DC153" s="296">
        <f>SUMIFS(領用表!$L:$L,領用表!$E:$E,$B153,領用表!$B:$B,$CY$2&amp;DC$2)</f>
        <v/>
      </c>
      <c r="DD153" s="296">
        <f>SUMIFS(領用表!$L:$L,領用表!$E:$E,$B153,領用表!$B:$B,$CY$2&amp;DD$2)</f>
        <v/>
      </c>
      <c r="DE153" s="208">
        <f>SUMIFS(領用表!$L:$L,領用表!$A:$A,DE$2,領用表!$E:$E,B153)</f>
        <v/>
      </c>
      <c r="DF153" s="296">
        <f>SUMIFS(領用表!$L:$L,領用表!$E:$E,$B153,領用表!$B:$B,DE$2&amp;DF$2)</f>
        <v/>
      </c>
      <c r="DG153" s="296">
        <f>SUMIFS(領用表!$L:$L,領用表!$E:$E,$B153,領用表!$B:$B,$DE$2&amp;DG$2)</f>
        <v/>
      </c>
      <c r="DH153" s="296">
        <f>SUMIFS(領用表!$L:$L,領用表!$E:$E,$B153,領用表!$B:$B,$DE$2&amp;DH$2)</f>
        <v/>
      </c>
      <c r="DI153" s="296">
        <f>SUMIFS(領用表!$L:$L,領用表!$E:$E,$B153,領用表!$B:$B,$DE$2&amp;DI$2)</f>
        <v/>
      </c>
      <c r="DJ153" s="296">
        <f>SUMIFS(領用表!$L:$L,領用表!$E:$E,$B153,領用表!$B:$B,$DE$2&amp;DJ$2)</f>
        <v/>
      </c>
      <c r="DK153" s="208">
        <f>SUMIFS(領用表!$L:$L,領用表!$A:$A,DK$2,領用表!$E:$E,$B153)</f>
        <v/>
      </c>
      <c r="DL153" s="296">
        <f>SUMIFS(領用表!$L:$L,領用表!$E:$E,$B153,領用表!$B:$B,DK$2&amp;DL$2)</f>
        <v/>
      </c>
      <c r="DM153" s="296">
        <f>SUMIFS(領用表!$L:$L,領用表!$E:$E,$B153,領用表!$B:$B,$DK$2&amp;DM$2)</f>
        <v/>
      </c>
      <c r="DN153" s="296">
        <f>SUMIFS(領用表!$L:$L,領用表!$E:$E,$B153,領用表!$B:$B,$DK$2&amp;DN$2)</f>
        <v/>
      </c>
      <c r="DO153" s="296">
        <f>SUMIFS(領用表!$L:$L,領用表!$E:$E,$B153,領用表!$B:$B,$DK$2&amp;DO$2)</f>
        <v/>
      </c>
      <c r="DP153" s="296">
        <f>SUMIFS(領用表!$L:$L,領用表!$E:$E,$B153,領用表!$B:$B,$DK$2&amp;DP$2)</f>
        <v/>
      </c>
      <c r="DQ153" s="208" t="n"/>
      <c r="DR153" s="296" t="n"/>
      <c r="DS153" s="296" t="n"/>
      <c r="DT153" s="296" t="n"/>
      <c r="DU153" s="296" t="n"/>
      <c r="DV153" s="296" t="n"/>
      <c r="DW153" s="296">
        <f>SUM(CN153,CS153,CY153,DE153,DK153,DQ153)</f>
        <v/>
      </c>
      <c r="DX153" s="296">
        <f>AVERAGEA(CN153,CS153,CY153,DE153,DK153,DQ153)</f>
        <v/>
      </c>
      <c r="DY153" s="296">
        <f>SUM(DZ153:EC153)</f>
        <v/>
      </c>
      <c r="DZ153" s="296" t="n">
        <v>0</v>
      </c>
      <c r="EA153" s="296" t="n">
        <v>0</v>
      </c>
      <c r="EB153" s="296" t="n">
        <v>0</v>
      </c>
      <c r="EC153" s="296" t="n">
        <v>0</v>
      </c>
      <c r="ED153" s="258" t="n"/>
      <c r="EE153" s="283" t="n"/>
      <c r="EF153" s="336" t="n"/>
      <c r="EG153" s="252" t="n"/>
      <c r="EJ153" s="118">
        <f>IFERROR(VLOOKUP(A153,站前4樓!A:BF,57,0),0)</f>
        <v/>
      </c>
      <c r="EK153" s="213">
        <f>IFERROR(VLOOKUP(A153,站前11樓!A:BE,57,0),0)</f>
        <v/>
      </c>
      <c r="EL153" s="118">
        <f>IFERROR(VLOOKUP(A153,忠孝7樓!A:N,57,0),0)</f>
        <v/>
      </c>
      <c r="EM153" s="118">
        <f>IFERROR(VLOOKUP(A153,忠孝國際醫學3樓!A:L,57,0),0)</f>
        <v/>
      </c>
      <c r="EN153" s="118">
        <f>SUM(ED153:EG153)</f>
        <v/>
      </c>
    </row>
    <row r="154" ht="15.75" customFormat="1" customHeight="1" s="118">
      <c r="A154" s="136" t="inlineStr">
        <is>
          <t>DL1AA090025T</t>
        </is>
      </c>
      <c r="B154" s="118" t="n">
        <v>6080007</v>
      </c>
      <c r="C154" s="136" t="inlineStr">
        <is>
          <t>海洋膠原蛋白面膜 30ml</t>
        </is>
      </c>
      <c r="D154" s="285" t="n"/>
      <c r="E154" s="198" t="inlineStr">
        <is>
          <t>PCS</t>
        </is>
      </c>
      <c r="F154" s="225">
        <f>SUMIF(站前4樓!B:B,B154,站前4樓!F:F)</f>
        <v/>
      </c>
      <c r="G154" s="225">
        <f>SUMIF(站前11樓!B:B,B154,站前11樓!F:F)</f>
        <v/>
      </c>
      <c r="H154" s="225">
        <f>SUMIF(忠孝7樓!B:B,B154,忠孝7樓!G:G)</f>
        <v/>
      </c>
      <c r="I154" s="225">
        <f>SUMIF(忠孝國際醫學3樓!B:B,B154,忠孝國際醫學3樓!G:G)</f>
        <v/>
      </c>
      <c r="J154" s="408">
        <f>SUMIF(忠孝健康7樓!B:B,B154,忠孝健康7樓!G:G)</f>
        <v/>
      </c>
      <c r="K154" s="333" t="n"/>
      <c r="L154" s="333" t="n"/>
      <c r="M154" s="333" t="n"/>
      <c r="N154" s="333" t="n"/>
      <c r="O154" s="333" t="n"/>
      <c r="P154" s="333" t="n"/>
      <c r="Q154" s="333" t="n"/>
      <c r="R154" s="333" t="n"/>
      <c r="S154" s="333" t="n"/>
      <c r="T154" s="333" t="n"/>
      <c r="U154" s="333" t="n"/>
      <c r="V154" s="333" t="n"/>
      <c r="W154" s="333" t="n"/>
      <c r="X154" s="333" t="n"/>
      <c r="Y154" s="333" t="n"/>
      <c r="Z154" s="333" t="n"/>
      <c r="AA154" s="333" t="n"/>
      <c r="AB154" s="333" t="n"/>
      <c r="AC154" s="333" t="n"/>
      <c r="AD154" s="333" t="n"/>
      <c r="AE154" s="333" t="n"/>
      <c r="AF154" s="333" t="n"/>
      <c r="AG154" s="333" t="n"/>
      <c r="AH154" s="333" t="n"/>
      <c r="AI154" s="333" t="n"/>
      <c r="AJ154" s="292" t="n"/>
      <c r="AK154" s="292" t="n"/>
      <c r="AL154" s="292" t="n"/>
      <c r="AM154" s="292" t="n"/>
      <c r="AN154" s="292" t="n"/>
      <c r="AO154" s="292" t="n"/>
      <c r="AP154" s="292" t="n"/>
      <c r="AQ154" s="201" t="n"/>
      <c r="AR154" s="201" t="n"/>
      <c r="AS154" s="201" t="n"/>
      <c r="AT154" s="201" t="n"/>
      <c r="AU154" s="201" t="n"/>
      <c r="AV154" s="283" t="n"/>
      <c r="AW154" s="286" t="n"/>
      <c r="AX154" s="201" t="n"/>
      <c r="AY154" s="201" t="n"/>
      <c r="AZ154" s="201" t="n"/>
      <c r="BA154" s="201" t="n"/>
      <c r="BB154" s="201" t="n"/>
      <c r="BC154" s="203">
        <f>SUMIFS(領用表!$L:$L,領用表!$A:$A,BC$2,領用表!$E:$E,B154)</f>
        <v/>
      </c>
      <c r="BD154" s="296">
        <f>SUMIFS(領用表!$L:$L,領用表!$E:$E,$B154,領用表!$B:$B,BC$2&amp;BD$2)</f>
        <v/>
      </c>
      <c r="BE154" s="330">
        <f>SUMIFS(領用表!$L:$L,領用表!$E:$E,$B154,領用表!$B:$B,$BC$2&amp;BE$2)</f>
        <v/>
      </c>
      <c r="BF154" s="330">
        <f>SUMIFS(領用表!$L:$L,領用表!$E:$E,$B154,領用表!$B:$B,$BC$2&amp;BF$2)</f>
        <v/>
      </c>
      <c r="BG154" s="330">
        <f>SUMIFS(領用表!$L:$L,領用表!$E:$E,$B154,領用表!$B:$B,$BC$2&amp;BG$2)</f>
        <v/>
      </c>
      <c r="BH154" s="203">
        <f>SUMIFS(領用表!$L:$L,領用表!$A:$A,BH$2,領用表!$E:$E,B154)</f>
        <v/>
      </c>
      <c r="BI154" s="260">
        <f>SUMIFS(領用表!$L:$L,領用表!$E:$E,$B154,領用表!$B:$B,BH$2&amp;BI$2)</f>
        <v/>
      </c>
      <c r="BJ154" s="260">
        <f>SUMIFS(領用表!$L:$L,領用表!$E:$E,$B154,領用表!$B:$B,$BH$2&amp;BJ$2)</f>
        <v/>
      </c>
      <c r="BK154" s="260">
        <f>SUMIFS(領用表!$L:$L,領用表!$E:$E,$B154,領用表!$B:$B,$BH$2&amp;BK$2)</f>
        <v/>
      </c>
      <c r="BL154" s="260">
        <f>SUMIFS(領用表!$L:$L,領用表!$E:$E,$B154,領用表!$B:$B,$BH$2&amp;BL$2)</f>
        <v/>
      </c>
      <c r="BM154" s="203">
        <f>SUMIFS(領用表!$L:$L,領用表!$A:$A,BM$2,領用表!$E:$E,B154)</f>
        <v/>
      </c>
      <c r="BN154" s="331">
        <f>SUMIFS(領用表!$L:$L,領用表!$E:$E,$B154,領用表!$B:$B,BM$2&amp;BN$2)</f>
        <v/>
      </c>
      <c r="BO154" s="331">
        <f>SUMIFS(領用表!$L:$L,領用表!$E:$E,$B154,領用表!$B:$B,$BM$2&amp;BO$2)</f>
        <v/>
      </c>
      <c r="BP154" s="288">
        <f>SUMIFS(領用表!$L:$L,領用表!$E:$E,$B154,領用表!$B:$B,$BM$2&amp;BP$2)</f>
        <v/>
      </c>
      <c r="BQ154" s="287">
        <f>SUMIFS(領用表!$L:$L,領用表!$E:$E,$B154,領用表!$B:$B,$BM$2&amp;BQ$2)</f>
        <v/>
      </c>
      <c r="BR154" s="203">
        <f>SUMIFS(領用表!$L:$L,領用表!$A:$A,BR$2,領用表!$E:$E,B154)</f>
        <v/>
      </c>
      <c r="BS154" s="288">
        <f>SUMIFS(領用表!$L:$L,領用表!$E:$E,$B154,領用表!$B:$B,BR$2&amp;BS$2)</f>
        <v/>
      </c>
      <c r="BT154" s="288">
        <f>SUMIFS(領用表!$L:$L,領用表!$E:$E,$B154,領用表!$B:$B,$BR$2&amp;BT$2)</f>
        <v/>
      </c>
      <c r="BU154" s="288">
        <f>SUMIFS(領用表!$L:$L,領用表!$E:$E,$B154,領用表!$B:$B,$BR$2&amp;BU$2)</f>
        <v/>
      </c>
      <c r="BV154" s="287">
        <f>SUMIFS(領用表!$L:$L,領用表!$E:$E,$B154,領用表!$B:$B,$BR$2&amp;BV$2)</f>
        <v/>
      </c>
      <c r="BW154" s="208">
        <f>SUMIFS(領用表!$L:$L,領用表!$A:$A,BW$2,領用表!$E:$E,B154)</f>
        <v/>
      </c>
      <c r="BX154" s="296">
        <f>SUMIFS(領用表!$L:$L,領用表!$E:$E,$B154,領用表!$B:$B,BW$2&amp;BX$2)</f>
        <v/>
      </c>
      <c r="BY154" s="296">
        <f>SUMIFS(領用表!$L:$L,領用表!$E:$E,$B154,領用表!$B:$B,$BW$2&amp;BY$2)</f>
        <v/>
      </c>
      <c r="BZ154" s="296">
        <f>SUMIFS(領用表!$L:$L,領用表!$E:$E,$B154,領用表!$B:$B,$BW$2&amp;BZ$2)</f>
        <v/>
      </c>
      <c r="CA154" s="296">
        <f>SUMIFS(領用表!$L:$L,領用表!$E:$E,$B154,領用表!$B:$B,$BW$2&amp;CA$2)</f>
        <v/>
      </c>
      <c r="CB154" s="208">
        <f>SUMIFS(領用表!$L:$L,領用表!$A:$A,CB$2,領用表!$E:$E,B154)</f>
        <v/>
      </c>
      <c r="CC154" s="296">
        <f>SUMIFS(領用表!$L:$L,領用表!$E:$E,$B154,領用表!$B:$B,CB$2&amp;CC$2)</f>
        <v/>
      </c>
      <c r="CD154" s="296">
        <f>SUMIFS(領用表!$L:$L,領用表!$E:$E,$B154,領用表!$B:$B,$CB$2&amp;CD$2)</f>
        <v/>
      </c>
      <c r="CE154" s="296">
        <f>SUMIFS(領用表!$L:$L,領用表!$E:$E,$B154,領用表!$B:$B,$CB$2&amp;CE$2)</f>
        <v/>
      </c>
      <c r="CF154" s="296">
        <f>SUMIFS(領用表!$L:$L,領用表!$E:$E,$B154,領用表!$B:$B,$CB$2&amp;CF$2)</f>
        <v/>
      </c>
      <c r="CG154" s="335">
        <f>SUMIFS(領用表!$L:$L,領用表!$A:$A,CG$2,領用表!$E:$E,B154)</f>
        <v/>
      </c>
      <c r="CH154" s="296">
        <f>SUMIFS(領用表!$L:$L,領用表!$E:$E,$B154,領用表!$B:$B,CG$2&amp;CH$2)</f>
        <v/>
      </c>
      <c r="CI154" s="296">
        <f>SUMIFS(領用表!$L:$L,領用表!$E:$E,$B154,領用表!$B:$B,CG$2&amp;CI$2)</f>
        <v/>
      </c>
      <c r="CJ154" s="296">
        <f>SUMIFS(領用表!$L:$L,領用表!$E:$E,$B154,領用表!$B:$B,CG$2&amp;CJ$2)</f>
        <v/>
      </c>
      <c r="CK154" s="296">
        <f>SUMIFS(領用表!$L:$L,領用表!$E:$E,$B154,領用表!$B:$B,$CG$2&amp;CK$2)</f>
        <v/>
      </c>
      <c r="CL154" s="207">
        <f>SUM(AX154,AY154,AZ154,BA154,BB154,BC154,BH154,BM154,BR154,BW154,CB154,CG154)</f>
        <v/>
      </c>
      <c r="CM154" s="207">
        <f>AVERAGE(AX154,AY154,AZ154,BA154,BB154,BC154,BH154,BM154,BR154,BW154,CB154,CG154)</f>
        <v/>
      </c>
      <c r="CN154" s="208">
        <f>SUMIFS(領用表!$L:$L,領用表!$A:$A,CN$2,領用表!$E:$E,B154)</f>
        <v/>
      </c>
      <c r="CO154" s="206">
        <f>SUMIFS(領用表!$L:$L,領用表!$E:$E,$B154,領用表!$B:$B,CN$2&amp;CO$2)</f>
        <v/>
      </c>
      <c r="CP154" s="206">
        <f>SUMIFS(領用表!$L:$L,領用表!$E:$E,$B154,領用表!$B:$B,$CN$2&amp;CP$2)</f>
        <v/>
      </c>
      <c r="CQ154" s="206">
        <f>SUMIFS(領用表!$L:$L,領用表!$E:$E,$B154,領用表!$B:$B,$CN$2&amp;CQ$2)</f>
        <v/>
      </c>
      <c r="CR154" s="296">
        <f>SUMIFS(領用表!$L:$L,領用表!$E:$E,$B154,領用表!$B:$B,$CN$2&amp;CR$2)</f>
        <v/>
      </c>
      <c r="CS154" s="208">
        <f>SUMIFS(領用表!$L:$L,領用表!$A:$A,CS$2,領用表!$E:$E,B154)</f>
        <v/>
      </c>
      <c r="CT154" s="206">
        <f>SUMIFS(領用表!$L:$L,領用表!$E:$E,$B154,領用表!$B:$B,CS$2&amp;CT$2)</f>
        <v/>
      </c>
      <c r="CU154" s="206">
        <f>SUMIFS(領用表!$L:$L,領用表!$E:$E,$B154,領用表!$B:$B,$CS$2&amp;CU$2)</f>
        <v/>
      </c>
      <c r="CV154" s="206">
        <f>SUMIFS(領用表!$L:$L,領用表!$E:$E,$B154,領用表!$B:$B,$CS$2&amp;CV$2)</f>
        <v/>
      </c>
      <c r="CW154" s="206">
        <f>SUMIFS(領用表!$L:$L,領用表!$E:$E,$B154,領用表!$B:$B,$CS$2&amp;CW$2)</f>
        <v/>
      </c>
      <c r="CX154" s="206">
        <f>SUMIFS(領用表!$L:$L,領用表!$E:$E,$B154,領用表!$B:$B,$CS$2&amp;CX$2)</f>
        <v/>
      </c>
      <c r="CY154" s="208">
        <f>SUMIFS(領用表!$L:$L,領用表!$A:$A,CY$2,領用表!$E:$E,B154)</f>
        <v/>
      </c>
      <c r="CZ154" s="296">
        <f>SUMIFS(領用表!$L:$L,領用表!$E:$E,$B154,領用表!$B:$B,CY$2&amp;CZ$2)</f>
        <v/>
      </c>
      <c r="DA154" s="296">
        <f>SUMIFS(領用表!$L:$L,領用表!$E:$E,$B154,領用表!$B:$B,$CY$2&amp;DA$2)</f>
        <v/>
      </c>
      <c r="DB154" s="296">
        <f>SUMIFS(領用表!$L:$L,領用表!$E:$E,$B154,領用表!$B:$B,$CY$2&amp;DB$2)</f>
        <v/>
      </c>
      <c r="DC154" s="296">
        <f>SUMIFS(領用表!$L:$L,領用表!$E:$E,$B154,領用表!$B:$B,$CY$2&amp;DC$2)</f>
        <v/>
      </c>
      <c r="DD154" s="296">
        <f>SUMIFS(領用表!$L:$L,領用表!$E:$E,$B154,領用表!$B:$B,$CY$2&amp;DD$2)</f>
        <v/>
      </c>
      <c r="DE154" s="208">
        <f>SUMIFS(領用表!$L:$L,領用表!$A:$A,DE$2,領用表!$E:$E,B154)</f>
        <v/>
      </c>
      <c r="DF154" s="296">
        <f>SUMIFS(領用表!$L:$L,領用表!$E:$E,$B154,領用表!$B:$B,DE$2&amp;DF$2)</f>
        <v/>
      </c>
      <c r="DG154" s="296">
        <f>SUMIFS(領用表!$L:$L,領用表!$E:$E,$B154,領用表!$B:$B,$DE$2&amp;DG$2)</f>
        <v/>
      </c>
      <c r="DH154" s="296">
        <f>SUMIFS(領用表!$L:$L,領用表!$E:$E,$B154,領用表!$B:$B,$DE$2&amp;DH$2)</f>
        <v/>
      </c>
      <c r="DI154" s="296">
        <f>SUMIFS(領用表!$L:$L,領用表!$E:$E,$B154,領用表!$B:$B,$DE$2&amp;DI$2)</f>
        <v/>
      </c>
      <c r="DJ154" s="296">
        <f>SUMIFS(領用表!$L:$L,領用表!$E:$E,$B154,領用表!$B:$B,$DE$2&amp;DJ$2)</f>
        <v/>
      </c>
      <c r="DK154" s="208">
        <f>SUMIFS(領用表!$L:$L,領用表!$A:$A,DK$2,領用表!$E:$E,$B154)</f>
        <v/>
      </c>
      <c r="DL154" s="296">
        <f>SUMIFS(領用表!$L:$L,領用表!$E:$E,$B154,領用表!$B:$B,DK$2&amp;DL$2)</f>
        <v/>
      </c>
      <c r="DM154" s="296">
        <f>SUMIFS(領用表!$L:$L,領用表!$E:$E,$B154,領用表!$B:$B,$DK$2&amp;DM$2)</f>
        <v/>
      </c>
      <c r="DN154" s="296">
        <f>SUMIFS(領用表!$L:$L,領用表!$E:$E,$B154,領用表!$B:$B,$DK$2&amp;DN$2)</f>
        <v/>
      </c>
      <c r="DO154" s="296">
        <f>SUMIFS(領用表!$L:$L,領用表!$E:$E,$B154,領用表!$B:$B,$DK$2&amp;DO$2)</f>
        <v/>
      </c>
      <c r="DP154" s="296">
        <f>SUMIFS(領用表!$L:$L,領用表!$E:$E,$B154,領用表!$B:$B,$DK$2&amp;DP$2)</f>
        <v/>
      </c>
      <c r="DQ154" s="208" t="n"/>
      <c r="DR154" s="296" t="n"/>
      <c r="DS154" s="296" t="n"/>
      <c r="DT154" s="296" t="n"/>
      <c r="DU154" s="296" t="n"/>
      <c r="DV154" s="296" t="n"/>
      <c r="DW154" s="296">
        <f>SUM(CN154,CS154,CY154,DE154,DK154,DQ154)</f>
        <v/>
      </c>
      <c r="DX154" s="296">
        <f>AVERAGEA(CN154,CS154,CY154,DE154,DK154,DQ154)</f>
        <v/>
      </c>
      <c r="DY154" s="296">
        <f>SUM(DZ154:EC154)</f>
        <v/>
      </c>
      <c r="DZ154" s="296" t="n">
        <v>0</v>
      </c>
      <c r="EA154" s="296" t="n">
        <v>0</v>
      </c>
      <c r="EB154" s="296" t="n">
        <v>0</v>
      </c>
      <c r="EC154" s="296" t="n">
        <v>0</v>
      </c>
      <c r="ED154" s="258" t="n"/>
      <c r="EE154" s="283" t="n"/>
      <c r="EF154" s="252" t="n"/>
      <c r="EG154" s="252" t="n"/>
      <c r="EJ154" s="118">
        <f>IFERROR(VLOOKUP(A154,站前4樓!A:BF,57,0),0)</f>
        <v/>
      </c>
      <c r="EK154" s="213">
        <f>IFERROR(VLOOKUP(A154,站前11樓!A:BE,57,0),0)</f>
        <v/>
      </c>
      <c r="EL154" s="118">
        <f>IFERROR(VLOOKUP(A154,忠孝7樓!A:N,57,0),0)</f>
        <v/>
      </c>
      <c r="EM154" s="118">
        <f>IFERROR(VLOOKUP(A154,忠孝國際醫學3樓!A:L,57,0),0)</f>
        <v/>
      </c>
      <c r="EN154" s="118">
        <f>SUM(ED154:EG154)</f>
        <v/>
      </c>
    </row>
    <row r="155" ht="15.75" customFormat="1" customHeight="1" s="118">
      <c r="A155" s="136" t="inlineStr">
        <is>
          <t>DE1AB090012T</t>
        </is>
      </c>
      <c r="B155" s="14" t="n">
        <v>6080008</v>
      </c>
      <c r="C155" s="136" t="inlineStr">
        <is>
          <t>多肽睛澈修護眼膜 10mL(鈦灰)</t>
        </is>
      </c>
      <c r="D155" s="285" t="n"/>
      <c r="E155" s="198" t="inlineStr">
        <is>
          <t>PCS</t>
        </is>
      </c>
      <c r="F155" s="225">
        <f>SUMIF(站前4樓!B:B,B155,站前4樓!F:F)</f>
        <v/>
      </c>
      <c r="G155" s="225">
        <f>SUMIF(站前11樓!B:B,B155,站前11樓!F:F)</f>
        <v/>
      </c>
      <c r="H155" s="225">
        <f>SUMIF(忠孝7樓!B:B,B155,忠孝7樓!G:G)</f>
        <v/>
      </c>
      <c r="I155" s="225">
        <f>SUMIF(忠孝國際醫學3樓!B:B,B155,忠孝國際醫學3樓!G:G)</f>
        <v/>
      </c>
      <c r="J155" s="408">
        <f>SUMIF(忠孝健康7樓!B:B,B155,忠孝健康7樓!G:G)</f>
        <v/>
      </c>
      <c r="K155" s="333" t="n"/>
      <c r="L155" s="333" t="n"/>
      <c r="M155" s="333" t="n"/>
      <c r="N155" s="333" t="n"/>
      <c r="O155" s="333" t="n"/>
      <c r="P155" s="333" t="n"/>
      <c r="Q155" s="333" t="n"/>
      <c r="R155" s="333" t="n"/>
      <c r="S155" s="333" t="n"/>
      <c r="T155" s="333" t="n"/>
      <c r="U155" s="333" t="n"/>
      <c r="V155" s="333" t="n"/>
      <c r="W155" s="333" t="n"/>
      <c r="X155" s="333" t="n"/>
      <c r="Y155" s="333" t="n"/>
      <c r="Z155" s="333" t="n"/>
      <c r="AA155" s="333" t="n"/>
      <c r="AB155" s="333" t="n"/>
      <c r="AC155" s="333" t="n"/>
      <c r="AD155" s="333" t="n"/>
      <c r="AE155" s="333" t="n"/>
      <c r="AF155" s="333" t="n"/>
      <c r="AG155" s="333" t="n"/>
      <c r="AH155" s="333" t="n"/>
      <c r="AI155" s="333" t="n"/>
      <c r="AJ155" s="292" t="n"/>
      <c r="AK155" s="292" t="n"/>
      <c r="AL155" s="292" t="n"/>
      <c r="AM155" s="292" t="n"/>
      <c r="AN155" s="292" t="n"/>
      <c r="AO155" s="292" t="n"/>
      <c r="AP155" s="292" t="n"/>
      <c r="AQ155" s="201" t="n"/>
      <c r="AR155" s="201" t="n"/>
      <c r="AS155" s="201" t="n"/>
      <c r="AT155" s="201" t="n"/>
      <c r="AU155" s="201" t="n"/>
      <c r="AV155" s="283" t="n"/>
      <c r="AW155" s="286" t="n"/>
      <c r="AX155" s="201" t="n"/>
      <c r="AY155" s="201" t="n"/>
      <c r="AZ155" s="201" t="n"/>
      <c r="BA155" s="201" t="n"/>
      <c r="BB155" s="201" t="n"/>
      <c r="BC155" s="203">
        <f>SUMIFS(領用表!$L:$L,領用表!$A:$A,BC$2,領用表!$E:$E,B155)</f>
        <v/>
      </c>
      <c r="BD155" s="296">
        <f>SUMIFS(領用表!$L:$L,領用表!$E:$E,$B155,領用表!$B:$B,BC$2&amp;BD$2)</f>
        <v/>
      </c>
      <c r="BE155" s="330">
        <f>SUMIFS(領用表!$L:$L,領用表!$E:$E,$B155,領用表!$B:$B,$BC$2&amp;BE$2)</f>
        <v/>
      </c>
      <c r="BF155" s="330">
        <f>SUMIFS(領用表!$L:$L,領用表!$E:$E,$B155,領用表!$B:$B,$BC$2&amp;BF$2)</f>
        <v/>
      </c>
      <c r="BG155" s="330">
        <f>SUMIFS(領用表!$L:$L,領用表!$E:$E,$B155,領用表!$B:$B,$BC$2&amp;BG$2)</f>
        <v/>
      </c>
      <c r="BH155" s="203">
        <f>SUMIFS(領用表!$L:$L,領用表!$A:$A,BH$2,領用表!$E:$E,B155)</f>
        <v/>
      </c>
      <c r="BI155" s="260">
        <f>SUMIFS(領用表!$L:$L,領用表!$E:$E,$B155,領用表!$B:$B,BH$2&amp;BI$2)</f>
        <v/>
      </c>
      <c r="BJ155" s="260">
        <f>SUMIFS(領用表!$L:$L,領用表!$E:$E,$B155,領用表!$B:$B,$BH$2&amp;BJ$2)</f>
        <v/>
      </c>
      <c r="BK155" s="260">
        <f>SUMIFS(領用表!$L:$L,領用表!$E:$E,$B155,領用表!$B:$B,$BH$2&amp;BK$2)</f>
        <v/>
      </c>
      <c r="BL155" s="260">
        <f>SUMIFS(領用表!$L:$L,領用表!$E:$E,$B155,領用表!$B:$B,$BH$2&amp;BL$2)</f>
        <v/>
      </c>
      <c r="BM155" s="203">
        <f>SUMIFS(領用表!$L:$L,領用表!$A:$A,BM$2,領用表!$E:$E,B155)</f>
        <v/>
      </c>
      <c r="BN155" s="331">
        <f>SUMIFS(領用表!$L:$L,領用表!$E:$E,$B155,領用表!$B:$B,BM$2&amp;BN$2)</f>
        <v/>
      </c>
      <c r="BO155" s="331">
        <f>SUMIFS(領用表!$L:$L,領用表!$E:$E,$B155,領用表!$B:$B,$BM$2&amp;BO$2)</f>
        <v/>
      </c>
      <c r="BP155" s="288">
        <f>SUMIFS(領用表!$L:$L,領用表!$E:$E,$B155,領用表!$B:$B,$BM$2&amp;BP$2)</f>
        <v/>
      </c>
      <c r="BQ155" s="287">
        <f>SUMIFS(領用表!$L:$L,領用表!$E:$E,$B155,領用表!$B:$B,$BM$2&amp;BQ$2)</f>
        <v/>
      </c>
      <c r="BR155" s="203">
        <f>SUMIFS(領用表!$L:$L,領用表!$A:$A,BR$2,領用表!$E:$E,B155)</f>
        <v/>
      </c>
      <c r="BS155" s="288">
        <f>SUMIFS(領用表!$L:$L,領用表!$E:$E,$B155,領用表!$B:$B,BR$2&amp;BS$2)</f>
        <v/>
      </c>
      <c r="BT155" s="288">
        <f>SUMIFS(領用表!$L:$L,領用表!$E:$E,$B155,領用表!$B:$B,$BR$2&amp;BT$2)</f>
        <v/>
      </c>
      <c r="BU155" s="288">
        <f>SUMIFS(領用表!$L:$L,領用表!$E:$E,$B155,領用表!$B:$B,$BR$2&amp;BU$2)</f>
        <v/>
      </c>
      <c r="BV155" s="287">
        <f>SUMIFS(領用表!$L:$L,領用表!$E:$E,$B155,領用表!$B:$B,$BR$2&amp;BV$2)</f>
        <v/>
      </c>
      <c r="BW155" s="208">
        <f>SUMIFS(領用表!$L:$L,領用表!$A:$A,BW$2,領用表!$E:$E,B155)</f>
        <v/>
      </c>
      <c r="BX155" s="296">
        <f>SUMIFS(領用表!$L:$L,領用表!$E:$E,$B155,領用表!$B:$B,BW$2&amp;BX$2)</f>
        <v/>
      </c>
      <c r="BY155" s="296">
        <f>SUMIFS(領用表!$L:$L,領用表!$E:$E,$B155,領用表!$B:$B,$BW$2&amp;BY$2)</f>
        <v/>
      </c>
      <c r="BZ155" s="296">
        <f>SUMIFS(領用表!$L:$L,領用表!$E:$E,$B155,領用表!$B:$B,$BW$2&amp;BZ$2)</f>
        <v/>
      </c>
      <c r="CA155" s="296">
        <f>SUMIFS(領用表!$L:$L,領用表!$E:$E,$B155,領用表!$B:$B,$BW$2&amp;CA$2)</f>
        <v/>
      </c>
      <c r="CB155" s="208">
        <f>SUMIFS(領用表!$L:$L,領用表!$A:$A,CB$2,領用表!$E:$E,B155)</f>
        <v/>
      </c>
      <c r="CC155" s="296">
        <f>SUMIFS(領用表!$L:$L,領用表!$E:$E,$B155,領用表!$B:$B,CB$2&amp;CC$2)</f>
        <v/>
      </c>
      <c r="CD155" s="296">
        <f>SUMIFS(領用表!$L:$L,領用表!$E:$E,$B155,領用表!$B:$B,$CB$2&amp;CD$2)</f>
        <v/>
      </c>
      <c r="CE155" s="296">
        <f>SUMIFS(領用表!$L:$L,領用表!$E:$E,$B155,領用表!$B:$B,$CB$2&amp;CE$2)</f>
        <v/>
      </c>
      <c r="CF155" s="296">
        <f>SUMIFS(領用表!$L:$L,領用表!$E:$E,$B155,領用表!$B:$B,$CB$2&amp;CF$2)</f>
        <v/>
      </c>
      <c r="CG155" s="335">
        <f>SUMIFS(領用表!$L:$L,領用表!$A:$A,CG$2,領用表!$E:$E,B155)</f>
        <v/>
      </c>
      <c r="CH155" s="296">
        <f>SUMIFS(領用表!$L:$L,領用表!$E:$E,$B155,領用表!$B:$B,CG$2&amp;CH$2)</f>
        <v/>
      </c>
      <c r="CI155" s="296">
        <f>SUMIFS(領用表!$L:$L,領用表!$E:$E,$B155,領用表!$B:$B,CG$2&amp;CI$2)</f>
        <v/>
      </c>
      <c r="CJ155" s="296">
        <f>SUMIFS(領用表!$L:$L,領用表!$E:$E,$B155,領用表!$B:$B,CG$2&amp;CJ$2)</f>
        <v/>
      </c>
      <c r="CK155" s="296">
        <f>SUMIFS(領用表!$L:$L,領用表!$E:$E,$B155,領用表!$B:$B,$CG$2&amp;CK$2)</f>
        <v/>
      </c>
      <c r="CL155" s="207">
        <f>SUM(AX155,AY155,AZ155,BA155,BB155,BC155,BH155,BM155,BR155,BW155,CB155,CG155)</f>
        <v/>
      </c>
      <c r="CM155" s="207">
        <f>AVERAGE(AX155,AY155,AZ155,BA155,BB155,BC155,BH155,BM155,BR155,BW155,CB155,CG155)</f>
        <v/>
      </c>
      <c r="CN155" s="208">
        <f>SUMIFS(領用表!$L:$L,領用表!$A:$A,CN$2,領用表!$E:$E,B155)</f>
        <v/>
      </c>
      <c r="CO155" s="206">
        <f>SUMIFS(領用表!$L:$L,領用表!$E:$E,$B155,領用表!$B:$B,CN$2&amp;CO$2)</f>
        <v/>
      </c>
      <c r="CP155" s="206">
        <f>SUMIFS(領用表!$L:$L,領用表!$E:$E,$B155,領用表!$B:$B,$CN$2&amp;CP$2)</f>
        <v/>
      </c>
      <c r="CQ155" s="206">
        <f>SUMIFS(領用表!$L:$L,領用表!$E:$E,$B155,領用表!$B:$B,$CN$2&amp;CQ$2)</f>
        <v/>
      </c>
      <c r="CR155" s="296">
        <f>SUMIFS(領用表!$L:$L,領用表!$E:$E,$B155,領用表!$B:$B,$CN$2&amp;CR$2)</f>
        <v/>
      </c>
      <c r="CS155" s="208">
        <f>SUMIFS(領用表!$L:$L,領用表!$A:$A,CS$2,領用表!$E:$E,B155)</f>
        <v/>
      </c>
      <c r="CT155" s="206">
        <f>SUMIFS(領用表!$L:$L,領用表!$E:$E,$B155,領用表!$B:$B,CS$2&amp;CT$2)</f>
        <v/>
      </c>
      <c r="CU155" s="206">
        <f>SUMIFS(領用表!$L:$L,領用表!$E:$E,$B155,領用表!$B:$B,$CS$2&amp;CU$2)</f>
        <v/>
      </c>
      <c r="CV155" s="206">
        <f>SUMIFS(領用表!$L:$L,領用表!$E:$E,$B155,領用表!$B:$B,$CS$2&amp;CV$2)</f>
        <v/>
      </c>
      <c r="CW155" s="206">
        <f>SUMIFS(領用表!$L:$L,領用表!$E:$E,$B155,領用表!$B:$B,$CS$2&amp;CW$2)</f>
        <v/>
      </c>
      <c r="CX155" s="206">
        <f>SUMIFS(領用表!$L:$L,領用表!$E:$E,$B155,領用表!$B:$B,$CS$2&amp;CX$2)</f>
        <v/>
      </c>
      <c r="CY155" s="208">
        <f>SUMIFS(領用表!$L:$L,領用表!$A:$A,CY$2,領用表!$E:$E,B155)</f>
        <v/>
      </c>
      <c r="CZ155" s="296">
        <f>SUMIFS(領用表!$L:$L,領用表!$E:$E,$B155,領用表!$B:$B,CY$2&amp;CZ$2)</f>
        <v/>
      </c>
      <c r="DA155" s="296">
        <f>SUMIFS(領用表!$L:$L,領用表!$E:$E,$B155,領用表!$B:$B,$CY$2&amp;DA$2)</f>
        <v/>
      </c>
      <c r="DB155" s="296">
        <f>SUMIFS(領用表!$L:$L,領用表!$E:$E,$B155,領用表!$B:$B,$CY$2&amp;DB$2)</f>
        <v/>
      </c>
      <c r="DC155" s="296">
        <f>SUMIFS(領用表!$L:$L,領用表!$E:$E,$B155,領用表!$B:$B,$CY$2&amp;DC$2)</f>
        <v/>
      </c>
      <c r="DD155" s="296">
        <f>SUMIFS(領用表!$L:$L,領用表!$E:$E,$B155,領用表!$B:$B,$CY$2&amp;DD$2)</f>
        <v/>
      </c>
      <c r="DE155" s="208">
        <f>SUMIFS(領用表!$L:$L,領用表!$A:$A,DE$2,領用表!$E:$E,B155)</f>
        <v/>
      </c>
      <c r="DF155" s="296">
        <f>SUMIFS(領用表!$L:$L,領用表!$E:$E,$B155,領用表!$B:$B,DE$2&amp;DF$2)</f>
        <v/>
      </c>
      <c r="DG155" s="296">
        <f>SUMIFS(領用表!$L:$L,領用表!$E:$E,$B155,領用表!$B:$B,$DE$2&amp;DG$2)</f>
        <v/>
      </c>
      <c r="DH155" s="296">
        <f>SUMIFS(領用表!$L:$L,領用表!$E:$E,$B155,領用表!$B:$B,$DE$2&amp;DH$2)</f>
        <v/>
      </c>
      <c r="DI155" s="296">
        <f>SUMIFS(領用表!$L:$L,領用表!$E:$E,$B155,領用表!$B:$B,$DE$2&amp;DI$2)</f>
        <v/>
      </c>
      <c r="DJ155" s="296">
        <f>SUMIFS(領用表!$L:$L,領用表!$E:$E,$B155,領用表!$B:$B,$DE$2&amp;DJ$2)</f>
        <v/>
      </c>
      <c r="DK155" s="208">
        <f>SUMIFS(領用表!$L:$L,領用表!$A:$A,DK$2,領用表!$E:$E,$B155)</f>
        <v/>
      </c>
      <c r="DL155" s="296">
        <f>SUMIFS(領用表!$L:$L,領用表!$E:$E,$B155,領用表!$B:$B,DK$2&amp;DL$2)</f>
        <v/>
      </c>
      <c r="DM155" s="296">
        <f>SUMIFS(領用表!$L:$L,領用表!$E:$E,$B155,領用表!$B:$B,$DK$2&amp;DM$2)</f>
        <v/>
      </c>
      <c r="DN155" s="296">
        <f>SUMIFS(領用表!$L:$L,領用表!$E:$E,$B155,領用表!$B:$B,$DK$2&amp;DN$2)</f>
        <v/>
      </c>
      <c r="DO155" s="296">
        <f>SUMIFS(領用表!$L:$L,領用表!$E:$E,$B155,領用表!$B:$B,$DK$2&amp;DO$2)</f>
        <v/>
      </c>
      <c r="DP155" s="296">
        <f>SUMIFS(領用表!$L:$L,領用表!$E:$E,$B155,領用表!$B:$B,$DK$2&amp;DP$2)</f>
        <v/>
      </c>
      <c r="DQ155" s="208" t="n"/>
      <c r="DR155" s="296" t="n"/>
      <c r="DS155" s="296" t="n"/>
      <c r="DT155" s="296" t="n"/>
      <c r="DU155" s="296" t="n"/>
      <c r="DV155" s="296" t="n"/>
      <c r="DW155" s="296">
        <f>SUM(CN155,CS155,CY155,DE155,DK155,DQ155)</f>
        <v/>
      </c>
      <c r="DX155" s="296">
        <f>AVERAGEA(CN155,CS155,CY155,DE155,DK155,DQ155)</f>
        <v/>
      </c>
      <c r="DY155" s="296">
        <f>SUM(DZ155:EC155)</f>
        <v/>
      </c>
      <c r="DZ155" s="296" t="n">
        <v>0</v>
      </c>
      <c r="EA155" s="296" t="n">
        <v>0</v>
      </c>
      <c r="EB155" s="296" t="n">
        <v>0</v>
      </c>
      <c r="EC155" s="296" t="n">
        <v>0</v>
      </c>
      <c r="ED155" s="258" t="n"/>
      <c r="EE155" s="283" t="n"/>
      <c r="EF155" s="252" t="inlineStr">
        <is>
          <t>4000(10/22)</t>
        </is>
      </c>
      <c r="EG155" s="252" t="n"/>
      <c r="EJ155" s="118">
        <f>IFERROR(VLOOKUP(A155,站前4樓!A:BF,57,0),0)</f>
        <v/>
      </c>
      <c r="EK155" s="213">
        <f>IFERROR(VLOOKUP(A155,站前11樓!A:BE,57,0),0)</f>
        <v/>
      </c>
      <c r="EL155" s="118">
        <f>IFERROR(VLOOKUP(A155,忠孝7樓!A:N,57,0),0)</f>
        <v/>
      </c>
      <c r="EM155" s="118">
        <f>IFERROR(VLOOKUP(A155,忠孝國際醫學3樓!A:L,57,0),0)</f>
        <v/>
      </c>
      <c r="EN155" s="118">
        <f>SUM(ED155:EG155)</f>
        <v/>
      </c>
    </row>
    <row r="156" ht="15.75" customFormat="1" customHeight="1" s="118">
      <c r="A156" s="136" t="inlineStr">
        <is>
          <t>DN1AA050029T</t>
        </is>
      </c>
      <c r="B156" s="118" t="n">
        <v>1050001</v>
      </c>
      <c r="C156" s="136" t="inlineStr">
        <is>
          <t>優菌防護精華安瓶 6ml(10入)</t>
        </is>
      </c>
      <c r="D156" s="285" t="n"/>
      <c r="E156" s="198" t="inlineStr">
        <is>
          <t>PCS</t>
        </is>
      </c>
      <c r="F156" s="225">
        <f>SUMIF(站前4樓!B:B,B156,站前4樓!F:F)</f>
        <v/>
      </c>
      <c r="G156" s="225">
        <f>SUMIF(站前11樓!B:B,B156,站前11樓!F:F)</f>
        <v/>
      </c>
      <c r="H156" s="225">
        <f>SUMIF(忠孝7樓!B:B,B156,忠孝7樓!G:G)</f>
        <v/>
      </c>
      <c r="I156" s="225">
        <f>SUMIF(忠孝國際醫學3樓!B:B,B156,忠孝國際醫學3樓!G:G)</f>
        <v/>
      </c>
      <c r="J156" s="225">
        <f>SUMIF(忠孝健康7樓!B:B,B156,忠孝健康7樓!G:G)</f>
        <v/>
      </c>
      <c r="K156" s="283" t="n"/>
      <c r="L156" s="283" t="n"/>
      <c r="M156" s="283" t="n"/>
      <c r="N156" s="283" t="n"/>
      <c r="O156" s="283" t="n"/>
      <c r="P156" s="283" t="n"/>
      <c r="Q156" s="283" t="n"/>
      <c r="R156" s="283" t="n"/>
      <c r="S156" s="283" t="n"/>
      <c r="T156" s="283" t="n"/>
      <c r="U156" s="283" t="n"/>
      <c r="V156" s="283" t="n"/>
      <c r="W156" s="283" t="n"/>
      <c r="X156" s="283" t="n"/>
      <c r="Y156" s="283" t="n"/>
      <c r="Z156" s="283" t="n"/>
      <c r="AA156" s="283" t="n"/>
      <c r="AB156" s="283" t="n"/>
      <c r="AC156" s="283" t="n"/>
      <c r="AD156" s="283" t="n"/>
      <c r="AE156" s="283" t="n"/>
      <c r="AF156" s="283" t="n"/>
      <c r="AG156" s="283" t="n"/>
      <c r="AH156" s="283" t="n"/>
      <c r="AI156" s="283" t="n"/>
      <c r="AJ156" s="201" t="n"/>
      <c r="AK156" s="201" t="n"/>
      <c r="AL156" s="201" t="n"/>
      <c r="AM156" s="201" t="n"/>
      <c r="AN156" s="201" t="n"/>
      <c r="AO156" s="201" t="n"/>
      <c r="AP156" s="201" t="n"/>
      <c r="AQ156" s="201" t="n">
        <v>0</v>
      </c>
      <c r="AR156" s="201" t="n">
        <v>0</v>
      </c>
      <c r="AS156" s="201" t="n">
        <v>0</v>
      </c>
      <c r="AT156" s="201" t="n">
        <v>0</v>
      </c>
      <c r="AU156" s="201" t="n">
        <v>0</v>
      </c>
      <c r="AV156" s="283">
        <f>SUM(AJ156:AU156)</f>
        <v/>
      </c>
      <c r="AW156" s="286">
        <f>AV156/12</f>
        <v/>
      </c>
      <c r="AX156" s="201" t="n">
        <v>0</v>
      </c>
      <c r="AY156" s="201" t="n">
        <v>0</v>
      </c>
      <c r="AZ156" s="201" t="n">
        <v>0</v>
      </c>
      <c r="BA156" s="201" t="n">
        <v>48</v>
      </c>
      <c r="BB156" s="201" t="n">
        <v>24</v>
      </c>
      <c r="BC156" s="203">
        <f>SUMIFS(領用表!$L:$L,領用表!$A:$A,BC$2,領用表!$E:$E,B156)</f>
        <v/>
      </c>
      <c r="BD156" s="296">
        <f>SUMIFS(領用表!$L:$L,領用表!$E:$E,$B156,領用表!$B:$B,BC$2&amp;BD$2)</f>
        <v/>
      </c>
      <c r="BE156" s="296">
        <f>SUMIFS(領用表!$L:$L,領用表!$E:$E,$B156,領用表!$B:$B,$BC$2&amp;BE$2)</f>
        <v/>
      </c>
      <c r="BF156" s="296">
        <f>SUMIFS(領用表!$L:$L,領用表!$E:$E,$B156,領用表!$B:$B,$BC$2&amp;BF$2)</f>
        <v/>
      </c>
      <c r="BG156" s="296">
        <f>SUMIFS(領用表!$L:$L,領用表!$E:$E,$B156,領用表!$B:$B,$BC$2&amp;BG$2)</f>
        <v/>
      </c>
      <c r="BH156" s="203">
        <f>SUMIFS(領用表!$L:$L,領用表!$A:$A,BH$2,領用表!$E:$E,B156)</f>
        <v/>
      </c>
      <c r="BI156" s="260">
        <f>SUMIFS(領用表!$L:$L,領用表!$E:$E,$B156,領用表!$B:$B,BH$2&amp;BI$2)</f>
        <v/>
      </c>
      <c r="BJ156" s="260">
        <f>SUMIFS(領用表!$L:$L,領用表!$E:$E,$B156,領用表!$B:$B,$BH$2&amp;BJ$2)</f>
        <v/>
      </c>
      <c r="BK156" s="260">
        <f>SUMIFS(領用表!$L:$L,領用表!$E:$E,$B156,領用表!$B:$B,$BH$2&amp;BK$2)</f>
        <v/>
      </c>
      <c r="BL156" s="260">
        <f>SUMIFS(領用表!$L:$L,領用表!$E:$E,$B156,領用表!$B:$B,$BH$2&amp;BL$2)</f>
        <v/>
      </c>
      <c r="BM156" s="203">
        <f>SUMIFS(領用表!$L:$L,領用表!$A:$A,BM$2,領用表!$E:$E,B156)</f>
        <v/>
      </c>
      <c r="BN156" s="206">
        <f>SUMIFS(領用表!$L:$L,領用表!$E:$E,$B156,領用表!$B:$B,BM$2&amp;BN$2)</f>
        <v/>
      </c>
      <c r="BO156" s="206">
        <f>SUMIFS(領用表!$L:$L,領用表!$E:$E,$B156,領用表!$B:$B,$BM$2&amp;BO$2)</f>
        <v/>
      </c>
      <c r="BP156" s="288">
        <f>SUMIFS(領用表!$L:$L,領用表!$E:$E,$B156,領用表!$B:$B,$BM$2&amp;BP$2)</f>
        <v/>
      </c>
      <c r="BQ156" s="287">
        <f>SUMIFS(領用表!$L:$L,領用表!$E:$E,$B156,領用表!$B:$B,$BM$2&amp;BQ$2)</f>
        <v/>
      </c>
      <c r="BR156" s="203">
        <f>SUMIFS(領用表!$L:$L,領用表!$A:$A,BR$2,領用表!$E:$E,B156)</f>
        <v/>
      </c>
      <c r="BS156" s="288">
        <f>SUMIFS(領用表!$L:$L,領用表!$E:$E,$B156,領用表!$B:$B,BR$2&amp;BS$2)</f>
        <v/>
      </c>
      <c r="BT156" s="288">
        <f>SUMIFS(領用表!$L:$L,領用表!$E:$E,$B156,領用表!$B:$B,$BR$2&amp;BT$2)</f>
        <v/>
      </c>
      <c r="BU156" s="288">
        <f>SUMIFS(領用表!$L:$L,領用表!$E:$E,$B156,領用表!$B:$B,$BR$2&amp;BU$2)</f>
        <v/>
      </c>
      <c r="BV156" s="287">
        <f>SUMIFS(領用表!$L:$L,領用表!$E:$E,$B156,領用表!$B:$B,$BR$2&amp;BV$2)</f>
        <v/>
      </c>
      <c r="BW156" s="208">
        <f>SUMIFS(領用表!$L:$L,領用表!$A:$A,BW$2,領用表!$E:$E,B156)</f>
        <v/>
      </c>
      <c r="BX156" s="296">
        <f>SUMIFS(領用表!$L:$L,領用表!$E:$E,$B156,領用表!$B:$B,BW$2&amp;BX$2)</f>
        <v/>
      </c>
      <c r="BY156" s="296">
        <f>SUMIFS(領用表!$L:$L,領用表!$E:$E,$B156,領用表!$B:$B,$BW$2&amp;BY$2)</f>
        <v/>
      </c>
      <c r="BZ156" s="296">
        <f>SUMIFS(領用表!$L:$L,領用表!$E:$E,$B156,領用表!$B:$B,$BW$2&amp;BZ$2)</f>
        <v/>
      </c>
      <c r="CA156" s="296">
        <f>SUMIFS(領用表!$L:$L,領用表!$E:$E,$B156,領用表!$B:$B,$BW$2&amp;CA$2)</f>
        <v/>
      </c>
      <c r="CB156" s="208">
        <f>SUMIFS(領用表!$L:$L,領用表!$A:$A,CB$2,領用表!$E:$E,B156)</f>
        <v/>
      </c>
      <c r="CC156" s="296">
        <f>SUMIFS(領用表!$L:$L,領用表!$E:$E,$B156,領用表!$B:$B,CB$2&amp;CC$2)</f>
        <v/>
      </c>
      <c r="CD156" s="296">
        <f>SUMIFS(領用表!$L:$L,領用表!$E:$E,$B156,領用表!$B:$B,$CB$2&amp;CD$2)</f>
        <v/>
      </c>
      <c r="CE156" s="296">
        <f>SUMIFS(領用表!$L:$L,領用表!$E:$E,$B156,領用表!$B:$B,$CB$2&amp;CE$2)</f>
        <v/>
      </c>
      <c r="CF156" s="296">
        <f>SUMIFS(領用表!$L:$L,領用表!$E:$E,$B156,領用表!$B:$B,$CB$2&amp;CF$2)</f>
        <v/>
      </c>
      <c r="CG156" s="335">
        <f>SUMIFS(領用表!$L:$L,領用表!$A:$A,CG$2,領用表!$E:$E,B156)</f>
        <v/>
      </c>
      <c r="CH156" s="296">
        <f>SUMIFS(領用表!$L:$L,領用表!$E:$E,$B156,領用表!$B:$B,CG$2&amp;CH$2)</f>
        <v/>
      </c>
      <c r="CI156" s="296">
        <f>SUMIFS(領用表!$L:$L,領用表!$E:$E,$B156,領用表!$B:$B,CG$2&amp;CI$2)</f>
        <v/>
      </c>
      <c r="CJ156" s="296">
        <f>SUMIFS(領用表!$L:$L,領用表!$E:$E,$B156,領用表!$B:$B,CG$2&amp;CJ$2)</f>
        <v/>
      </c>
      <c r="CK156" s="296">
        <f>SUMIFS(領用表!$L:$L,領用表!$E:$E,$B156,領用表!$B:$B,$CG$2&amp;CK$2)</f>
        <v/>
      </c>
      <c r="CL156" s="207">
        <f>SUM(AX156,AY156,AZ156,BA156,BB156,BC156,BH156,BM156,BR156,BW156,CB156,CG156)</f>
        <v/>
      </c>
      <c r="CM156" s="207">
        <f>AVERAGE(AX156,AY156,AZ156,BA156,BB156,BC156,BH156,BM156,BR156,BW156,CB156,CG156)</f>
        <v/>
      </c>
      <c r="CN156" s="208">
        <f>SUMIFS(領用表!$L:$L,領用表!$A:$A,CN$2,領用表!$E:$E,B156)</f>
        <v/>
      </c>
      <c r="CO156" s="206">
        <f>SUMIFS(領用表!$L:$L,領用表!$E:$E,$B156,領用表!$B:$B,CN$2&amp;CO$2)</f>
        <v/>
      </c>
      <c r="CP156" s="206">
        <f>SUMIFS(領用表!$L:$L,領用表!$E:$E,$B156,領用表!$B:$B,$CN$2&amp;CP$2)</f>
        <v/>
      </c>
      <c r="CQ156" s="206">
        <f>SUMIFS(領用表!$L:$L,領用表!$E:$E,$B156,領用表!$B:$B,$CN$2&amp;CQ$2)</f>
        <v/>
      </c>
      <c r="CR156" s="296">
        <f>SUMIFS(領用表!$L:$L,領用表!$E:$E,$B156,領用表!$B:$B,$CN$2&amp;CR$2)</f>
        <v/>
      </c>
      <c r="CS156" s="208">
        <f>SUMIFS(領用表!$L:$L,領用表!$A:$A,CS$2,領用表!$E:$E,B156)</f>
        <v/>
      </c>
      <c r="CT156" s="206">
        <f>SUMIFS(領用表!$L:$L,領用表!$E:$E,$B156,領用表!$B:$B,CS$2&amp;CT$2)</f>
        <v/>
      </c>
      <c r="CU156" s="206">
        <f>SUMIFS(領用表!$L:$L,領用表!$E:$E,$B156,領用表!$B:$B,$CS$2&amp;CU$2)</f>
        <v/>
      </c>
      <c r="CV156" s="206">
        <f>SUMIFS(領用表!$L:$L,領用表!$E:$E,$B156,領用表!$B:$B,$CS$2&amp;CV$2)</f>
        <v/>
      </c>
      <c r="CW156" s="206">
        <f>SUMIFS(領用表!$L:$L,領用表!$E:$E,$B156,領用表!$B:$B,$CS$2&amp;CW$2)</f>
        <v/>
      </c>
      <c r="CX156" s="206">
        <f>SUMIFS(領用表!$L:$L,領用表!$E:$E,$B156,領用表!$B:$B,$CS$2&amp;CX$2)</f>
        <v/>
      </c>
      <c r="CY156" s="208">
        <f>SUMIFS(領用表!$L:$L,領用表!$A:$A,CY$2,領用表!$E:$E,B156)</f>
        <v/>
      </c>
      <c r="CZ156" s="296">
        <f>SUMIFS(領用表!$L:$L,領用表!$E:$E,$B156,領用表!$B:$B,CY$2&amp;CZ$2)</f>
        <v/>
      </c>
      <c r="DA156" s="296">
        <f>SUMIFS(領用表!$L:$L,領用表!$E:$E,$B156,領用表!$B:$B,$CY$2&amp;DA$2)</f>
        <v/>
      </c>
      <c r="DB156" s="296">
        <f>SUMIFS(領用表!$L:$L,領用表!$E:$E,$B156,領用表!$B:$B,$CY$2&amp;DB$2)</f>
        <v/>
      </c>
      <c r="DC156" s="296">
        <f>SUMIFS(領用表!$L:$L,領用表!$E:$E,$B156,領用表!$B:$B,$CY$2&amp;DC$2)</f>
        <v/>
      </c>
      <c r="DD156" s="296">
        <f>SUMIFS(領用表!$L:$L,領用表!$E:$E,$B156,領用表!$B:$B,$CY$2&amp;DD$2)</f>
        <v/>
      </c>
      <c r="DE156" s="208">
        <f>SUMIFS(領用表!$L:$L,領用表!$A:$A,DE$2,領用表!$E:$E,B156)</f>
        <v/>
      </c>
      <c r="DF156" s="296">
        <f>SUMIFS(領用表!$L:$L,領用表!$E:$E,$B156,領用表!$B:$B,DE$2&amp;DF$2)</f>
        <v/>
      </c>
      <c r="DG156" s="296">
        <f>SUMIFS(領用表!$L:$L,領用表!$E:$E,$B156,領用表!$B:$B,$DE$2&amp;DG$2)</f>
        <v/>
      </c>
      <c r="DH156" s="296">
        <f>SUMIFS(領用表!$L:$L,領用表!$E:$E,$B156,領用表!$B:$B,$DE$2&amp;DH$2)</f>
        <v/>
      </c>
      <c r="DI156" s="296">
        <f>SUMIFS(領用表!$L:$L,領用表!$E:$E,$B156,領用表!$B:$B,$DE$2&amp;DI$2)</f>
        <v/>
      </c>
      <c r="DJ156" s="296">
        <f>SUMIFS(領用表!$L:$L,領用表!$E:$E,$B156,領用表!$B:$B,$DE$2&amp;DJ$2)</f>
        <v/>
      </c>
      <c r="DK156" s="208">
        <f>SUMIFS(領用表!$L:$L,領用表!$A:$A,DK$2,領用表!$E:$E,$B156)</f>
        <v/>
      </c>
      <c r="DL156" s="296">
        <f>SUMIFS(領用表!$L:$L,領用表!$E:$E,$B156,領用表!$B:$B,DK$2&amp;DL$2)</f>
        <v/>
      </c>
      <c r="DM156" s="296">
        <f>SUMIFS(領用表!$L:$L,領用表!$E:$E,$B156,領用表!$B:$B,$DK$2&amp;DM$2)</f>
        <v/>
      </c>
      <c r="DN156" s="296">
        <f>SUMIFS(領用表!$L:$L,領用表!$E:$E,$B156,領用表!$B:$B,$DK$2&amp;DN$2)</f>
        <v/>
      </c>
      <c r="DO156" s="296">
        <f>SUMIFS(領用表!$L:$L,領用表!$E:$E,$B156,領用表!$B:$B,$DK$2&amp;DO$2)</f>
        <v/>
      </c>
      <c r="DP156" s="296">
        <f>SUMIFS(領用表!$L:$L,領用表!$E:$E,$B156,領用表!$B:$B,$DK$2&amp;DP$2)</f>
        <v/>
      </c>
      <c r="DQ156" s="208" t="n"/>
      <c r="DR156" s="296" t="n"/>
      <c r="DS156" s="296" t="n"/>
      <c r="DT156" s="296" t="n"/>
      <c r="DU156" s="296" t="n"/>
      <c r="DV156" s="296" t="n"/>
      <c r="DW156" s="296">
        <f>SUM(CN156,CS156,CY156,DE156,DK156,DQ156)</f>
        <v/>
      </c>
      <c r="DX156" s="296">
        <f>AVERAGEA(CN156,CS156,CY156,DE156,DK156,DQ156)</f>
        <v/>
      </c>
      <c r="DY156" s="296">
        <f>SUM(DZ156:EC156)</f>
        <v/>
      </c>
      <c r="DZ156" s="296" t="n">
        <v>0</v>
      </c>
      <c r="EA156" s="296" t="n">
        <v>0</v>
      </c>
      <c r="EB156" s="296" t="n">
        <v>0</v>
      </c>
      <c r="EC156" s="296" t="n">
        <v>0</v>
      </c>
      <c r="ED156" s="258" t="n"/>
      <c r="EE156" s="283" t="n"/>
      <c r="EF156" s="252" t="n"/>
      <c r="EG156" s="252" t="n"/>
      <c r="EH156" s="136" t="n"/>
      <c r="EI156" s="136" t="n"/>
      <c r="EJ156" s="118">
        <f>IFERROR(VLOOKUP(A156,站前4樓!A:BF,57,0),0)</f>
        <v/>
      </c>
      <c r="EK156" s="213">
        <f>IFERROR(VLOOKUP(A156,站前11樓!A:BE,57,0),0)</f>
        <v/>
      </c>
      <c r="EL156" s="118">
        <f>IFERROR(VLOOKUP(A156,忠孝7樓!A:N,57,0),0)</f>
        <v/>
      </c>
      <c r="EM156" s="118">
        <f>IFERROR(VLOOKUP(A156,忠孝國際醫學3樓!A:L,57,0),0)</f>
        <v/>
      </c>
      <c r="EN156" s="118">
        <f>SUM(ED156:EG156)</f>
        <v/>
      </c>
    </row>
    <row r="157" ht="15.75" customFormat="1" customHeight="1" s="118">
      <c r="A157" s="136" t="inlineStr">
        <is>
          <t>DN1AA050030T</t>
        </is>
      </c>
      <c r="B157" s="118" t="n">
        <v>1050002</v>
      </c>
      <c r="C157" s="136" t="inlineStr">
        <is>
          <t>優菌防護安瓶精華 6ml</t>
        </is>
      </c>
      <c r="D157" s="285" t="n"/>
      <c r="E157" s="198" t="inlineStr">
        <is>
          <t>PCS</t>
        </is>
      </c>
      <c r="F157" s="225">
        <f>SUMIF(站前4樓!B:B,B157,站前4樓!F:F)</f>
        <v/>
      </c>
      <c r="G157" s="225">
        <f>SUMIF(站前11樓!B:B,B157,站前11樓!F:F)</f>
        <v/>
      </c>
      <c r="H157" s="225">
        <f>SUMIF(忠孝7樓!B:B,B157,忠孝7樓!G:G)</f>
        <v/>
      </c>
      <c r="I157" s="225">
        <f>SUMIF(忠孝國際醫學3樓!B:B,B157,忠孝國際醫學3樓!G:G)</f>
        <v/>
      </c>
      <c r="J157" s="225">
        <f>SUMIF(忠孝健康7樓!B:B,B157,忠孝健康7樓!G:G)</f>
        <v/>
      </c>
      <c r="K157" s="283" t="n"/>
      <c r="L157" s="283" t="n"/>
      <c r="M157" s="283" t="n"/>
      <c r="N157" s="283" t="n"/>
      <c r="O157" s="283" t="n"/>
      <c r="P157" s="283" t="n"/>
      <c r="Q157" s="283" t="n"/>
      <c r="R157" s="283" t="n"/>
      <c r="S157" s="283" t="n"/>
      <c r="T157" s="283" t="n"/>
      <c r="U157" s="283" t="n"/>
      <c r="V157" s="283" t="n"/>
      <c r="W157" s="283" t="n"/>
      <c r="X157" s="283" t="n"/>
      <c r="Y157" s="283" t="n"/>
      <c r="Z157" s="283" t="n"/>
      <c r="AA157" s="283" t="n"/>
      <c r="AB157" s="283" t="n"/>
      <c r="AC157" s="283" t="n"/>
      <c r="AD157" s="283" t="n"/>
      <c r="AE157" s="283" t="n"/>
      <c r="AF157" s="283" t="n"/>
      <c r="AG157" s="283" t="n"/>
      <c r="AH157" s="283" t="n"/>
      <c r="AI157" s="283" t="n"/>
      <c r="AJ157" s="201" t="n"/>
      <c r="AK157" s="201" t="n"/>
      <c r="AL157" s="201" t="n"/>
      <c r="AM157" s="201" t="n"/>
      <c r="AN157" s="201" t="n"/>
      <c r="AO157" s="201" t="n"/>
      <c r="AP157" s="201" t="n"/>
      <c r="AQ157" s="201" t="n">
        <v>0</v>
      </c>
      <c r="AR157" s="201" t="n">
        <v>0</v>
      </c>
      <c r="AS157" s="201" t="n">
        <v>0</v>
      </c>
      <c r="AT157" s="201" t="n">
        <v>0</v>
      </c>
      <c r="AU157" s="201" t="n">
        <v>0</v>
      </c>
      <c r="AV157" s="283">
        <f>SUM(AJ157:AU157)</f>
        <v/>
      </c>
      <c r="AW157" s="286">
        <f>AV157/12</f>
        <v/>
      </c>
      <c r="AX157" s="201" t="n">
        <v>0</v>
      </c>
      <c r="AY157" s="201" t="n">
        <v>0</v>
      </c>
      <c r="AZ157" s="201" t="n">
        <v>0</v>
      </c>
      <c r="BA157" s="201" t="n">
        <v>0</v>
      </c>
      <c r="BB157" s="201" t="n">
        <v>0</v>
      </c>
      <c r="BC157" s="203">
        <f>SUMIFS(領用表!$L:$L,領用表!$A:$A,BC$2,領用表!$E:$E,B157)</f>
        <v/>
      </c>
      <c r="BD157" s="296">
        <f>SUMIFS(領用表!$L:$L,領用表!$E:$E,$B157,領用表!$B:$B,BC$2&amp;BD$2)</f>
        <v/>
      </c>
      <c r="BE157" s="296">
        <f>SUMIFS(領用表!$L:$L,領用表!$E:$E,$B157,領用表!$B:$B,$BC$2&amp;BE$2)</f>
        <v/>
      </c>
      <c r="BF157" s="296">
        <f>SUMIFS(領用表!$L:$L,領用表!$E:$E,$B157,領用表!$B:$B,$BC$2&amp;BF$2)</f>
        <v/>
      </c>
      <c r="BG157" s="296">
        <f>SUMIFS(領用表!$L:$L,領用表!$E:$E,$B157,領用表!$B:$B,$BC$2&amp;BG$2)</f>
        <v/>
      </c>
      <c r="BH157" s="203">
        <f>SUMIFS(領用表!$L:$L,領用表!$A:$A,BH$2,領用表!$E:$E,B157)</f>
        <v/>
      </c>
      <c r="BI157" s="260">
        <f>SUMIFS(領用表!$L:$L,領用表!$E:$E,$B157,領用表!$B:$B,BH$2&amp;BI$2)</f>
        <v/>
      </c>
      <c r="BJ157" s="260">
        <f>SUMIFS(領用表!$L:$L,領用表!$E:$E,$B157,領用表!$B:$B,$BH$2&amp;BJ$2)</f>
        <v/>
      </c>
      <c r="BK157" s="260">
        <f>SUMIFS(領用表!$L:$L,領用表!$E:$E,$B157,領用表!$B:$B,$BH$2&amp;BK$2)</f>
        <v/>
      </c>
      <c r="BL157" s="260">
        <f>SUMIFS(領用表!$L:$L,領用表!$E:$E,$B157,領用表!$B:$B,$BH$2&amp;BL$2)</f>
        <v/>
      </c>
      <c r="BM157" s="203">
        <f>SUMIFS(領用表!$L:$L,領用表!$A:$A,BM$2,領用表!$E:$E,B157)</f>
        <v/>
      </c>
      <c r="BN157" s="206">
        <f>SUMIFS(領用表!$L:$L,領用表!$E:$E,$B157,領用表!$B:$B,BM$2&amp;BN$2)</f>
        <v/>
      </c>
      <c r="BO157" s="206">
        <f>SUMIFS(領用表!$L:$L,領用表!$E:$E,$B157,領用表!$B:$B,$BM$2&amp;BO$2)</f>
        <v/>
      </c>
      <c r="BP157" s="288">
        <f>SUMIFS(領用表!$L:$L,領用表!$E:$E,$B157,領用表!$B:$B,$BM$2&amp;BP$2)</f>
        <v/>
      </c>
      <c r="BQ157" s="287">
        <f>SUMIFS(領用表!$L:$L,領用表!$E:$E,$B157,領用表!$B:$B,$BM$2&amp;BQ$2)</f>
        <v/>
      </c>
      <c r="BR157" s="203">
        <f>SUMIFS(領用表!$L:$L,領用表!$A:$A,BR$2,領用表!$E:$E,B157)</f>
        <v/>
      </c>
      <c r="BS157" s="288">
        <f>SUMIFS(領用表!$L:$L,領用表!$E:$E,$B157,領用表!$B:$B,BR$2&amp;BS$2)</f>
        <v/>
      </c>
      <c r="BT157" s="288">
        <f>SUMIFS(領用表!$L:$L,領用表!$E:$E,$B157,領用表!$B:$B,$BR$2&amp;BT$2)</f>
        <v/>
      </c>
      <c r="BU157" s="288">
        <f>SUMIFS(領用表!$L:$L,領用表!$E:$E,$B157,領用表!$B:$B,$BR$2&amp;BU$2)</f>
        <v/>
      </c>
      <c r="BV157" s="287">
        <f>SUMIFS(領用表!$L:$L,領用表!$E:$E,$B157,領用表!$B:$B,$BR$2&amp;BV$2)</f>
        <v/>
      </c>
      <c r="BW157" s="208">
        <f>SUMIFS(領用表!$L:$L,領用表!$A:$A,BW$2,領用表!$E:$E,B157)</f>
        <v/>
      </c>
      <c r="BX157" s="296">
        <f>SUMIFS(領用表!$L:$L,領用表!$E:$E,$B157,領用表!$B:$B,BW$2&amp;BX$2)</f>
        <v/>
      </c>
      <c r="BY157" s="296">
        <f>SUMIFS(領用表!$L:$L,領用表!$E:$E,$B157,領用表!$B:$B,$BW$2&amp;BY$2)</f>
        <v/>
      </c>
      <c r="BZ157" s="296">
        <f>SUMIFS(領用表!$L:$L,領用表!$E:$E,$B157,領用表!$B:$B,$BW$2&amp;BZ$2)</f>
        <v/>
      </c>
      <c r="CA157" s="296">
        <f>SUMIFS(領用表!$L:$L,領用表!$E:$E,$B157,領用表!$B:$B,$BW$2&amp;CA$2)</f>
        <v/>
      </c>
      <c r="CB157" s="208">
        <f>SUMIFS(領用表!$L:$L,領用表!$A:$A,CB$2,領用表!$E:$E,B157)</f>
        <v/>
      </c>
      <c r="CC157" s="296">
        <f>SUMIFS(領用表!$L:$L,領用表!$E:$E,$B157,領用表!$B:$B,CB$2&amp;CC$2)</f>
        <v/>
      </c>
      <c r="CD157" s="296">
        <f>SUMIFS(領用表!$L:$L,領用表!$E:$E,$B157,領用表!$B:$B,$CB$2&amp;CD$2)</f>
        <v/>
      </c>
      <c r="CE157" s="296">
        <f>SUMIFS(領用表!$L:$L,領用表!$E:$E,$B157,領用表!$B:$B,$CB$2&amp;CE$2)</f>
        <v/>
      </c>
      <c r="CF157" s="296">
        <f>SUMIFS(領用表!$L:$L,領用表!$E:$E,$B157,領用表!$B:$B,$CB$2&amp;CF$2)</f>
        <v/>
      </c>
      <c r="CG157" s="335">
        <f>SUMIFS(領用表!$L:$L,領用表!$A:$A,CG$2,領用表!$E:$E,B157)</f>
        <v/>
      </c>
      <c r="CH157" s="296">
        <f>SUMIFS(領用表!$L:$L,領用表!$E:$E,$B157,領用表!$B:$B,CG$2&amp;CH$2)</f>
        <v/>
      </c>
      <c r="CI157" s="296">
        <f>SUMIFS(領用表!$L:$L,領用表!$E:$E,$B157,領用表!$B:$B,CG$2&amp;CI$2)</f>
        <v/>
      </c>
      <c r="CJ157" s="296">
        <f>SUMIFS(領用表!$L:$L,領用表!$E:$E,$B157,領用表!$B:$B,CG$2&amp;CJ$2)</f>
        <v/>
      </c>
      <c r="CK157" s="296">
        <f>SUMIFS(領用表!$L:$L,領用表!$E:$E,$B157,領用表!$B:$B,$CG$2&amp;CK$2)</f>
        <v/>
      </c>
      <c r="CL157" s="207">
        <f>SUM(AX157,AY157,AZ157,BA157,BB157,BC157,BH157,BM157,BR157,BW157,CB157,CG157)</f>
        <v/>
      </c>
      <c r="CM157" s="207">
        <f>AVERAGE(AX157,AY157,AZ157,BA157,BB157,BC157,BH157,BM157,BR157,BW157,CB157,CG157)</f>
        <v/>
      </c>
      <c r="CN157" s="208">
        <f>SUMIFS(領用表!$L:$L,領用表!$A:$A,CN$2,領用表!$E:$E,B157)</f>
        <v/>
      </c>
      <c r="CO157" s="206">
        <f>SUMIFS(領用表!$L:$L,領用表!$E:$E,$B157,領用表!$B:$B,CN$2&amp;CO$2)</f>
        <v/>
      </c>
      <c r="CP157" s="206">
        <f>SUMIFS(領用表!$L:$L,領用表!$E:$E,$B157,領用表!$B:$B,$CN$2&amp;CP$2)</f>
        <v/>
      </c>
      <c r="CQ157" s="206">
        <f>SUMIFS(領用表!$L:$L,領用表!$E:$E,$B157,領用表!$B:$B,$CN$2&amp;CQ$2)</f>
        <v/>
      </c>
      <c r="CR157" s="296">
        <f>SUMIFS(領用表!$L:$L,領用表!$E:$E,$B157,領用表!$B:$B,$CN$2&amp;CR$2)</f>
        <v/>
      </c>
      <c r="CS157" s="208">
        <f>SUMIFS(領用表!$L:$L,領用表!$A:$A,CS$2,領用表!$E:$E,B157)</f>
        <v/>
      </c>
      <c r="CT157" s="206">
        <f>SUMIFS(領用表!$L:$L,領用表!$E:$E,$B157,領用表!$B:$B,CS$2&amp;CT$2)</f>
        <v/>
      </c>
      <c r="CU157" s="206">
        <f>SUMIFS(領用表!$L:$L,領用表!$E:$E,$B157,領用表!$B:$B,$CS$2&amp;CU$2)</f>
        <v/>
      </c>
      <c r="CV157" s="206">
        <f>SUMIFS(領用表!$L:$L,領用表!$E:$E,$B157,領用表!$B:$B,$CS$2&amp;CV$2)</f>
        <v/>
      </c>
      <c r="CW157" s="206">
        <f>SUMIFS(領用表!$L:$L,領用表!$E:$E,$B157,領用表!$B:$B,$CS$2&amp;CW$2)</f>
        <v/>
      </c>
      <c r="CX157" s="206">
        <f>SUMIFS(領用表!$L:$L,領用表!$E:$E,$B157,領用表!$B:$B,$CS$2&amp;CX$2)</f>
        <v/>
      </c>
      <c r="CY157" s="208">
        <f>SUMIFS(領用表!$L:$L,領用表!$A:$A,CY$2,領用表!$E:$E,B157)</f>
        <v/>
      </c>
      <c r="CZ157" s="296">
        <f>SUMIFS(領用表!$L:$L,領用表!$E:$E,$B157,領用表!$B:$B,CY$2&amp;CZ$2)</f>
        <v/>
      </c>
      <c r="DA157" s="296">
        <f>SUMIFS(領用表!$L:$L,領用表!$E:$E,$B157,領用表!$B:$B,$CY$2&amp;DA$2)</f>
        <v/>
      </c>
      <c r="DB157" s="296">
        <f>SUMIFS(領用表!$L:$L,領用表!$E:$E,$B157,領用表!$B:$B,$CY$2&amp;DB$2)</f>
        <v/>
      </c>
      <c r="DC157" s="296">
        <f>SUMIFS(領用表!$L:$L,領用表!$E:$E,$B157,領用表!$B:$B,$CY$2&amp;DC$2)</f>
        <v/>
      </c>
      <c r="DD157" s="296">
        <f>SUMIFS(領用表!$L:$L,領用表!$E:$E,$B157,領用表!$B:$B,$CY$2&amp;DD$2)</f>
        <v/>
      </c>
      <c r="DE157" s="208">
        <f>SUMIFS(領用表!$L:$L,領用表!$A:$A,DE$2,領用表!$E:$E,B157)</f>
        <v/>
      </c>
      <c r="DF157" s="296">
        <f>SUMIFS(領用表!$L:$L,領用表!$E:$E,$B157,領用表!$B:$B,DE$2&amp;DF$2)</f>
        <v/>
      </c>
      <c r="DG157" s="296">
        <f>SUMIFS(領用表!$L:$L,領用表!$E:$E,$B157,領用表!$B:$B,$DE$2&amp;DG$2)</f>
        <v/>
      </c>
      <c r="DH157" s="296">
        <f>SUMIFS(領用表!$L:$L,領用表!$E:$E,$B157,領用表!$B:$B,$DE$2&amp;DH$2)</f>
        <v/>
      </c>
      <c r="DI157" s="296">
        <f>SUMIFS(領用表!$L:$L,領用表!$E:$E,$B157,領用表!$B:$B,$DE$2&amp;DI$2)</f>
        <v/>
      </c>
      <c r="DJ157" s="296">
        <f>SUMIFS(領用表!$L:$L,領用表!$E:$E,$B157,領用表!$B:$B,$DE$2&amp;DJ$2)</f>
        <v/>
      </c>
      <c r="DK157" s="208">
        <f>SUMIFS(領用表!$L:$L,領用表!$A:$A,DK$2,領用表!$E:$E,$B157)</f>
        <v/>
      </c>
      <c r="DL157" s="296">
        <f>SUMIFS(領用表!$L:$L,領用表!$E:$E,$B157,領用表!$B:$B,DK$2&amp;DL$2)</f>
        <v/>
      </c>
      <c r="DM157" s="296">
        <f>SUMIFS(領用表!$L:$L,領用表!$E:$E,$B157,領用表!$B:$B,$DK$2&amp;DM$2)</f>
        <v/>
      </c>
      <c r="DN157" s="296">
        <f>SUMIFS(領用表!$L:$L,領用表!$E:$E,$B157,領用表!$B:$B,$DK$2&amp;DN$2)</f>
        <v/>
      </c>
      <c r="DO157" s="296">
        <f>SUMIFS(領用表!$L:$L,領用表!$E:$E,$B157,領用表!$B:$B,$DK$2&amp;DO$2)</f>
        <v/>
      </c>
      <c r="DP157" s="296">
        <f>SUMIFS(領用表!$L:$L,領用表!$E:$E,$B157,領用表!$B:$B,$DK$2&amp;DP$2)</f>
        <v/>
      </c>
      <c r="DQ157" s="208" t="n"/>
      <c r="DR157" s="296" t="n"/>
      <c r="DS157" s="296" t="n"/>
      <c r="DT157" s="296" t="n"/>
      <c r="DU157" s="296" t="n"/>
      <c r="DV157" s="296" t="n"/>
      <c r="DW157" s="296">
        <f>SUM(CN157,CS157,CY157,DE157,DK157,DQ157)</f>
        <v/>
      </c>
      <c r="DX157" s="296">
        <f>AVERAGEA(CN157,CS157,CY157,DE157,DK157,DQ157)</f>
        <v/>
      </c>
      <c r="DY157" s="296">
        <f>SUM(DZ157:EC157)</f>
        <v/>
      </c>
      <c r="DZ157" s="296" t="n">
        <v>0</v>
      </c>
      <c r="EA157" s="296" t="n">
        <v>0</v>
      </c>
      <c r="EB157" s="296" t="n">
        <v>0</v>
      </c>
      <c r="EC157" s="296" t="n">
        <v>0</v>
      </c>
      <c r="ED157" s="258" t="n"/>
      <c r="EE157" s="283" t="n"/>
      <c r="EF157" s="252" t="n"/>
      <c r="EG157" s="252" t="n"/>
      <c r="EH157" s="136" t="n"/>
      <c r="EI157" s="136" t="n"/>
      <c r="EJ157" s="118">
        <f>IFERROR(VLOOKUP(A157,站前4樓!A:BF,57,0),0)</f>
        <v/>
      </c>
      <c r="EK157" s="213">
        <f>IFERROR(VLOOKUP(A157,站前11樓!A:BE,57,0),0)</f>
        <v/>
      </c>
      <c r="EL157" s="118">
        <f>IFERROR(VLOOKUP(A157,忠孝7樓!A:N,57,0),0)</f>
        <v/>
      </c>
      <c r="EM157" s="118">
        <f>IFERROR(VLOOKUP(A157,忠孝國際醫學3樓!A:L,57,0),0)</f>
        <v/>
      </c>
      <c r="EN157" s="118">
        <f>SUM(ED157:EG157)</f>
        <v/>
      </c>
    </row>
    <row r="158" ht="15.75" customFormat="1" customHeight="1" s="118">
      <c r="A158" s="136" t="inlineStr">
        <is>
          <t>DN1AA050041T</t>
        </is>
      </c>
      <c r="B158" s="118" t="n">
        <v>1050003</v>
      </c>
      <c r="C158" s="136" t="inlineStr">
        <is>
          <t>冰原天神草彈力超導精華 6mL(玫瑰金)</t>
        </is>
      </c>
      <c r="D158" s="285" t="n"/>
      <c r="E158" s="198" t="inlineStr">
        <is>
          <t>PCS</t>
        </is>
      </c>
      <c r="F158" s="225">
        <f>SUMIF(站前4樓!B:B,B158,站前4樓!F:F)</f>
        <v/>
      </c>
      <c r="G158" s="225">
        <f>SUMIF(站前11樓!B:B,B158,站前11樓!F:F)</f>
        <v/>
      </c>
      <c r="H158" s="225">
        <f>SUMIF(忠孝7樓!B:B,B158,忠孝7樓!G:G)</f>
        <v/>
      </c>
      <c r="I158" s="225">
        <f>SUMIF(忠孝國際醫學3樓!B:B,B158,忠孝國際醫學3樓!G:G)</f>
        <v/>
      </c>
      <c r="J158" s="225">
        <f>SUMIF(忠孝健康7樓!B:B,B158,忠孝健康7樓!G:G)</f>
        <v/>
      </c>
      <c r="K158" s="283" t="n"/>
      <c r="L158" s="283" t="n"/>
      <c r="M158" s="283" t="n"/>
      <c r="N158" s="283" t="n"/>
      <c r="O158" s="283" t="n"/>
      <c r="P158" s="283" t="n"/>
      <c r="Q158" s="283" t="n"/>
      <c r="R158" s="283" t="n"/>
      <c r="S158" s="283" t="n"/>
      <c r="T158" s="283" t="n"/>
      <c r="U158" s="283" t="n"/>
      <c r="V158" s="283" t="n"/>
      <c r="W158" s="283" t="n"/>
      <c r="X158" s="283" t="n"/>
      <c r="Y158" s="283" t="n"/>
      <c r="Z158" s="283" t="n"/>
      <c r="AA158" s="283" t="n"/>
      <c r="AB158" s="283" t="n"/>
      <c r="AC158" s="283" t="n"/>
      <c r="AD158" s="283" t="n"/>
      <c r="AE158" s="283" t="n"/>
      <c r="AF158" s="283" t="n"/>
      <c r="AG158" s="283" t="n"/>
      <c r="AH158" s="283" t="n"/>
      <c r="AI158" s="283" t="n"/>
      <c r="AJ158" s="201" t="n"/>
      <c r="AK158" s="201" t="n"/>
      <c r="AL158" s="201" t="n"/>
      <c r="AM158" s="201" t="n"/>
      <c r="AN158" s="201" t="n"/>
      <c r="AO158" s="201" t="n"/>
      <c r="AP158" s="201" t="n"/>
      <c r="AQ158" s="201" t="n">
        <v>0</v>
      </c>
      <c r="AR158" s="201" t="n">
        <v>0</v>
      </c>
      <c r="AS158" s="201" t="n">
        <v>0</v>
      </c>
      <c r="AT158" s="201" t="n">
        <v>0</v>
      </c>
      <c r="AU158" s="201" t="n">
        <v>0</v>
      </c>
      <c r="AV158" s="283">
        <f>SUM(AJ158:AU158)</f>
        <v/>
      </c>
      <c r="AW158" s="286">
        <f>AV158/12</f>
        <v/>
      </c>
      <c r="AX158" s="201" t="n">
        <v>0</v>
      </c>
      <c r="AY158" s="201" t="n">
        <v>0</v>
      </c>
      <c r="AZ158" s="201" t="n">
        <v>0</v>
      </c>
      <c r="BA158" s="201" t="n">
        <v>0</v>
      </c>
      <c r="BB158" s="201" t="n">
        <v>0</v>
      </c>
      <c r="BC158" s="203">
        <f>SUMIFS(領用表!$L:$L,領用表!$A:$A,BC$2,領用表!$E:$E,B158)</f>
        <v/>
      </c>
      <c r="BD158" s="296">
        <f>SUMIFS(領用表!$L:$L,領用表!$E:$E,$B158,領用表!$B:$B,BC$2&amp;BD$2)</f>
        <v/>
      </c>
      <c r="BE158" s="296">
        <f>SUMIFS(領用表!$L:$L,領用表!$E:$E,$B158,領用表!$B:$B,$BC$2&amp;BE$2)</f>
        <v/>
      </c>
      <c r="BF158" s="296">
        <f>SUMIFS(領用表!$L:$L,領用表!$E:$E,$B158,領用表!$B:$B,$BC$2&amp;BF$2)</f>
        <v/>
      </c>
      <c r="BG158" s="296">
        <f>SUMIFS(領用表!$L:$L,領用表!$E:$E,$B158,領用表!$B:$B,$BC$2&amp;BG$2)</f>
        <v/>
      </c>
      <c r="BH158" s="203">
        <f>SUMIFS(領用表!$L:$L,領用表!$A:$A,BH$2,領用表!$E:$E,B158)</f>
        <v/>
      </c>
      <c r="BI158" s="260">
        <f>SUMIFS(領用表!$L:$L,領用表!$E:$E,$B158,領用表!$B:$B,BH$2&amp;BI$2)</f>
        <v/>
      </c>
      <c r="BJ158" s="260">
        <f>SUMIFS(領用表!$L:$L,領用表!$E:$E,$B158,領用表!$B:$B,$BH$2&amp;BJ$2)</f>
        <v/>
      </c>
      <c r="BK158" s="260">
        <f>SUMIFS(領用表!$L:$L,領用表!$E:$E,$B158,領用表!$B:$B,$BH$2&amp;BK$2)</f>
        <v/>
      </c>
      <c r="BL158" s="260">
        <f>SUMIFS(領用表!$L:$L,領用表!$E:$E,$B158,領用表!$B:$B,$BH$2&amp;BL$2)</f>
        <v/>
      </c>
      <c r="BM158" s="203">
        <f>SUMIFS(領用表!$L:$L,領用表!$A:$A,BM$2,領用表!$E:$E,B158)</f>
        <v/>
      </c>
      <c r="BN158" s="206">
        <f>SUMIFS(領用表!$L:$L,領用表!$E:$E,$B158,領用表!$B:$B,BM$2&amp;BN$2)</f>
        <v/>
      </c>
      <c r="BO158" s="206">
        <f>SUMIFS(領用表!$L:$L,領用表!$E:$E,$B158,領用表!$B:$B,$BM$2&amp;BO$2)</f>
        <v/>
      </c>
      <c r="BP158" s="288">
        <f>SUMIFS(領用表!$L:$L,領用表!$E:$E,$B158,領用表!$B:$B,$BM$2&amp;BP$2)</f>
        <v/>
      </c>
      <c r="BQ158" s="287">
        <f>SUMIFS(領用表!$L:$L,領用表!$E:$E,$B158,領用表!$B:$B,$BM$2&amp;BQ$2)</f>
        <v/>
      </c>
      <c r="BR158" s="203">
        <f>SUMIFS(領用表!$L:$L,領用表!$A:$A,BR$2,領用表!$E:$E,B158)</f>
        <v/>
      </c>
      <c r="BS158" s="288">
        <f>SUMIFS(領用表!$L:$L,領用表!$E:$E,$B158,領用表!$B:$B,BR$2&amp;BS$2)</f>
        <v/>
      </c>
      <c r="BT158" s="288">
        <f>SUMIFS(領用表!$L:$L,領用表!$E:$E,$B158,領用表!$B:$B,$BR$2&amp;BT$2)</f>
        <v/>
      </c>
      <c r="BU158" s="288">
        <f>SUMIFS(領用表!$L:$L,領用表!$E:$E,$B158,領用表!$B:$B,$BR$2&amp;BU$2)</f>
        <v/>
      </c>
      <c r="BV158" s="287">
        <f>SUMIFS(領用表!$L:$L,領用表!$E:$E,$B158,領用表!$B:$B,$BR$2&amp;BV$2)</f>
        <v/>
      </c>
      <c r="BW158" s="208">
        <f>SUMIFS(領用表!$L:$L,領用表!$A:$A,BW$2,領用表!$E:$E,B158)</f>
        <v/>
      </c>
      <c r="BX158" s="296">
        <f>SUMIFS(領用表!$L:$L,領用表!$E:$E,$B158,領用表!$B:$B,BW$2&amp;BX$2)</f>
        <v/>
      </c>
      <c r="BY158" s="296">
        <f>SUMIFS(領用表!$L:$L,領用表!$E:$E,$B158,領用表!$B:$B,$BW$2&amp;BY$2)</f>
        <v/>
      </c>
      <c r="BZ158" s="296">
        <f>SUMIFS(領用表!$L:$L,領用表!$E:$E,$B158,領用表!$B:$B,$BW$2&amp;BZ$2)</f>
        <v/>
      </c>
      <c r="CA158" s="296">
        <f>SUMIFS(領用表!$L:$L,領用表!$E:$E,$B158,領用表!$B:$B,$BW$2&amp;CA$2)</f>
        <v/>
      </c>
      <c r="CB158" s="208">
        <f>SUMIFS(領用表!$L:$L,領用表!$A:$A,CB$2,領用表!$E:$E,B158)</f>
        <v/>
      </c>
      <c r="CC158" s="296">
        <f>SUMIFS(領用表!$L:$L,領用表!$E:$E,$B158,領用表!$B:$B,CB$2&amp;CC$2)</f>
        <v/>
      </c>
      <c r="CD158" s="296">
        <f>SUMIFS(領用表!$L:$L,領用表!$E:$E,$B158,領用表!$B:$B,$CB$2&amp;CD$2)</f>
        <v/>
      </c>
      <c r="CE158" s="296">
        <f>SUMIFS(領用表!$L:$L,領用表!$E:$E,$B158,領用表!$B:$B,$CB$2&amp;CE$2)</f>
        <v/>
      </c>
      <c r="CF158" s="296">
        <f>SUMIFS(領用表!$L:$L,領用表!$E:$E,$B158,領用表!$B:$B,$CB$2&amp;CF$2)</f>
        <v/>
      </c>
      <c r="CG158" s="335">
        <f>SUMIFS(領用表!$L:$L,領用表!$A:$A,CG$2,領用表!$E:$E,B158)</f>
        <v/>
      </c>
      <c r="CH158" s="296">
        <f>SUMIFS(領用表!$L:$L,領用表!$E:$E,$B158,領用表!$B:$B,CG$2&amp;CH$2)</f>
        <v/>
      </c>
      <c r="CI158" s="296">
        <f>SUMIFS(領用表!$L:$L,領用表!$E:$E,$B158,領用表!$B:$B,CG$2&amp;CI$2)</f>
        <v/>
      </c>
      <c r="CJ158" s="296">
        <f>SUMIFS(領用表!$L:$L,領用表!$E:$E,$B158,領用表!$B:$B,CG$2&amp;CJ$2)</f>
        <v/>
      </c>
      <c r="CK158" s="296">
        <f>SUMIFS(領用表!$L:$L,領用表!$E:$E,$B158,領用表!$B:$B,$CG$2&amp;CK$2)</f>
        <v/>
      </c>
      <c r="CL158" s="207">
        <f>SUM(AX158,AY158,AZ158,BA158,BB158,BC158,BH158,BM158,BR158,BW158,CB158,CG158)</f>
        <v/>
      </c>
      <c r="CM158" s="207">
        <f>AVERAGE(AX158,AY158,AZ158,BA158,BB158,BC158,BH158,BM158,BR158,BW158,CB158,CG158)</f>
        <v/>
      </c>
      <c r="CN158" s="208">
        <f>SUMIFS(領用表!$L:$L,領用表!$A:$A,CN$2,領用表!$E:$E,B158)</f>
        <v/>
      </c>
      <c r="CO158" s="206">
        <f>SUMIFS(領用表!$L:$L,領用表!$E:$E,$B158,領用表!$B:$B,CN$2&amp;CO$2)</f>
        <v/>
      </c>
      <c r="CP158" s="206">
        <f>SUMIFS(領用表!$L:$L,領用表!$E:$E,$B158,領用表!$B:$B,$CN$2&amp;CP$2)</f>
        <v/>
      </c>
      <c r="CQ158" s="206">
        <f>SUMIFS(領用表!$L:$L,領用表!$E:$E,$B158,領用表!$B:$B,$CN$2&amp;CQ$2)</f>
        <v/>
      </c>
      <c r="CR158" s="296">
        <f>SUMIFS(領用表!$L:$L,領用表!$E:$E,$B158,領用表!$B:$B,$CN$2&amp;CR$2)</f>
        <v/>
      </c>
      <c r="CS158" s="208">
        <f>SUMIFS(領用表!$L:$L,領用表!$A:$A,CS$2,領用表!$E:$E,B158)</f>
        <v/>
      </c>
      <c r="CT158" s="206">
        <f>SUMIFS(領用表!$L:$L,領用表!$E:$E,$B158,領用表!$B:$B,CS$2&amp;CT$2)</f>
        <v/>
      </c>
      <c r="CU158" s="206">
        <f>SUMIFS(領用表!$L:$L,領用表!$E:$E,$B158,領用表!$B:$B,$CS$2&amp;CU$2)</f>
        <v/>
      </c>
      <c r="CV158" s="206">
        <f>SUMIFS(領用表!$L:$L,領用表!$E:$E,$B158,領用表!$B:$B,$CS$2&amp;CV$2)</f>
        <v/>
      </c>
      <c r="CW158" s="206">
        <f>SUMIFS(領用表!$L:$L,領用表!$E:$E,$B158,領用表!$B:$B,$CS$2&amp;CW$2)</f>
        <v/>
      </c>
      <c r="CX158" s="206">
        <f>SUMIFS(領用表!$L:$L,領用表!$E:$E,$B158,領用表!$B:$B,$CS$2&amp;CX$2)</f>
        <v/>
      </c>
      <c r="CY158" s="208">
        <f>SUMIFS(領用表!$L:$L,領用表!$A:$A,CY$2,領用表!$E:$E,B158)</f>
        <v/>
      </c>
      <c r="CZ158" s="296">
        <f>SUMIFS(領用表!$L:$L,領用表!$E:$E,$B158,領用表!$B:$B,CY$2&amp;CZ$2)</f>
        <v/>
      </c>
      <c r="DA158" s="296">
        <f>SUMIFS(領用表!$L:$L,領用表!$E:$E,$B158,領用表!$B:$B,$CY$2&amp;DA$2)</f>
        <v/>
      </c>
      <c r="DB158" s="296">
        <f>SUMIFS(領用表!$L:$L,領用表!$E:$E,$B158,領用表!$B:$B,$CY$2&amp;DB$2)</f>
        <v/>
      </c>
      <c r="DC158" s="296">
        <f>SUMIFS(領用表!$L:$L,領用表!$E:$E,$B158,領用表!$B:$B,$CY$2&amp;DC$2)</f>
        <v/>
      </c>
      <c r="DD158" s="296">
        <f>SUMIFS(領用表!$L:$L,領用表!$E:$E,$B158,領用表!$B:$B,$CY$2&amp;DD$2)</f>
        <v/>
      </c>
      <c r="DE158" s="208">
        <f>SUMIFS(領用表!$L:$L,領用表!$A:$A,DE$2,領用表!$E:$E,B158)</f>
        <v/>
      </c>
      <c r="DF158" s="296">
        <f>SUMIFS(領用表!$L:$L,領用表!$E:$E,$B158,領用表!$B:$B,DE$2&amp;DF$2)</f>
        <v/>
      </c>
      <c r="DG158" s="296">
        <f>SUMIFS(領用表!$L:$L,領用表!$E:$E,$B158,領用表!$B:$B,$DE$2&amp;DG$2)</f>
        <v/>
      </c>
      <c r="DH158" s="296">
        <f>SUMIFS(領用表!$L:$L,領用表!$E:$E,$B158,領用表!$B:$B,$DE$2&amp;DH$2)</f>
        <v/>
      </c>
      <c r="DI158" s="296">
        <f>SUMIFS(領用表!$L:$L,領用表!$E:$E,$B158,領用表!$B:$B,$DE$2&amp;DI$2)</f>
        <v/>
      </c>
      <c r="DJ158" s="296">
        <f>SUMIFS(領用表!$L:$L,領用表!$E:$E,$B158,領用表!$B:$B,$DE$2&amp;DJ$2)</f>
        <v/>
      </c>
      <c r="DK158" s="208">
        <f>SUMIFS(領用表!$L:$L,領用表!$A:$A,DK$2,領用表!$E:$E,$B158)</f>
        <v/>
      </c>
      <c r="DL158" s="296">
        <f>SUMIFS(領用表!$L:$L,領用表!$E:$E,$B158,領用表!$B:$B,DK$2&amp;DL$2)</f>
        <v/>
      </c>
      <c r="DM158" s="296">
        <f>SUMIFS(領用表!$L:$L,領用表!$E:$E,$B158,領用表!$B:$B,$DK$2&amp;DM$2)</f>
        <v/>
      </c>
      <c r="DN158" s="296">
        <f>SUMIFS(領用表!$L:$L,領用表!$E:$E,$B158,領用表!$B:$B,$DK$2&amp;DN$2)</f>
        <v/>
      </c>
      <c r="DO158" s="296">
        <f>SUMIFS(領用表!$L:$L,領用表!$E:$E,$B158,領用表!$B:$B,$DK$2&amp;DO$2)</f>
        <v/>
      </c>
      <c r="DP158" s="296">
        <f>SUMIFS(領用表!$L:$L,領用表!$E:$E,$B158,領用表!$B:$B,$DK$2&amp;DP$2)</f>
        <v/>
      </c>
      <c r="DQ158" s="208" t="n"/>
      <c r="DR158" s="296" t="n"/>
      <c r="DS158" s="296" t="n"/>
      <c r="DT158" s="296" t="n"/>
      <c r="DU158" s="296" t="n"/>
      <c r="DV158" s="296" t="n"/>
      <c r="DW158" s="296">
        <f>SUM(CN158,CS158,CY158,DE158,DK158,DQ158)</f>
        <v/>
      </c>
      <c r="DX158" s="296">
        <f>AVERAGEA(CN158,CS158,CY158,DE158,DK158,DQ158)</f>
        <v/>
      </c>
      <c r="DY158" s="296">
        <f>SUM(DZ158:EC158)</f>
        <v/>
      </c>
      <c r="DZ158" s="296" t="n">
        <v>0</v>
      </c>
      <c r="EA158" s="296" t="n">
        <v>0</v>
      </c>
      <c r="EB158" s="296" t="n">
        <v>0</v>
      </c>
      <c r="EC158" s="296" t="n">
        <v>0</v>
      </c>
      <c r="ED158" s="258" t="n"/>
      <c r="EE158" s="283" t="n"/>
      <c r="EF158" s="252" t="n"/>
      <c r="EG158" s="252" t="n"/>
      <c r="EH158" s="136" t="n"/>
      <c r="EI158" s="136" t="n"/>
      <c r="EJ158" s="118">
        <f>IFERROR(VLOOKUP(A158,站前4樓!A:BF,57,0),0)</f>
        <v/>
      </c>
      <c r="EK158" s="213">
        <f>IFERROR(VLOOKUP(A158,站前11樓!A:BE,57,0),0)</f>
        <v/>
      </c>
      <c r="EL158" s="118">
        <f>IFERROR(VLOOKUP(A158,忠孝7樓!A:N,57,0),0)</f>
        <v/>
      </c>
      <c r="EM158" s="118">
        <f>IFERROR(VLOOKUP(A158,忠孝國際醫學3樓!A:L,57,0),0)</f>
        <v/>
      </c>
      <c r="EN158" s="118">
        <f>SUM(ED158:EG158)</f>
        <v/>
      </c>
    </row>
    <row r="159" ht="15" customFormat="1" customHeight="1" s="118">
      <c r="A159" s="136" t="inlineStr">
        <is>
          <t>DL1AA050016T</t>
        </is>
      </c>
      <c r="B159" s="118" t="n">
        <v>6050008</v>
      </c>
      <c r="C159" s="136" t="inlineStr">
        <is>
          <t>花神臻秘玫瑰舒膚安瓶 6ml(含紙套)</t>
        </is>
      </c>
      <c r="D159" s="285" t="n"/>
      <c r="E159" s="198" t="inlineStr">
        <is>
          <t>PCS</t>
        </is>
      </c>
      <c r="F159" s="225">
        <f>SUMIF(站前4樓!B:B,B159,站前4樓!F:F)</f>
        <v/>
      </c>
      <c r="G159" s="225">
        <f>SUMIF(站前11樓!B:B,B159,站前11樓!F:F)</f>
        <v/>
      </c>
      <c r="H159" s="225">
        <f>SUMIF(忠孝7樓!B:B,B159,忠孝7樓!G:G)</f>
        <v/>
      </c>
      <c r="I159" s="225">
        <f>SUMIF(忠孝國際醫學3樓!B:B,B159,忠孝國際醫學3樓!G:G)</f>
        <v/>
      </c>
      <c r="J159" s="225">
        <f>SUMIF(忠孝健康7樓!B:B,B159,忠孝健康7樓!G:G)</f>
        <v/>
      </c>
      <c r="K159" s="283" t="n"/>
      <c r="L159" s="283" t="n"/>
      <c r="M159" s="283" t="n"/>
      <c r="N159" s="283" t="n"/>
      <c r="O159" s="283" t="n"/>
      <c r="P159" s="283" t="n"/>
      <c r="Q159" s="283" t="n"/>
      <c r="R159" s="283" t="n"/>
      <c r="S159" s="283" t="n"/>
      <c r="T159" s="283" t="n"/>
      <c r="U159" s="283" t="n"/>
      <c r="V159" s="283" t="n"/>
      <c r="W159" s="283" t="n"/>
      <c r="X159" s="283" t="n"/>
      <c r="Y159" s="283" t="n"/>
      <c r="Z159" s="283" t="n"/>
      <c r="AA159" s="283" t="n"/>
      <c r="AB159" s="283" t="n"/>
      <c r="AC159" s="283" t="n"/>
      <c r="AD159" s="283" t="n"/>
      <c r="AE159" s="283" t="n"/>
      <c r="AF159" s="283" t="n"/>
      <c r="AG159" s="283" t="n"/>
      <c r="AH159" s="283" t="n"/>
      <c r="AI159" s="283" t="n"/>
      <c r="AJ159" s="201" t="n"/>
      <c r="AK159" s="201" t="n"/>
      <c r="AL159" s="201" t="n"/>
      <c r="AM159" s="201" t="n"/>
      <c r="AN159" s="201" t="n"/>
      <c r="AO159" s="201" t="n"/>
      <c r="AP159" s="201" t="n"/>
      <c r="AQ159" s="201" t="n"/>
      <c r="AR159" s="201" t="n"/>
      <c r="AS159" s="201" t="n"/>
      <c r="AT159" s="201" t="n"/>
      <c r="AU159" s="201" t="n"/>
      <c r="AV159" s="283" t="n"/>
      <c r="AW159" s="286" t="n"/>
      <c r="AX159" s="201" t="n"/>
      <c r="AY159" s="201" t="n"/>
      <c r="AZ159" s="201" t="n"/>
      <c r="BA159" s="201" t="n"/>
      <c r="BB159" s="201" t="n"/>
      <c r="BC159" s="203">
        <f>SUMIFS(領用表!$L:$L,領用表!$A:$A,BC$2,領用表!$E:$E,B159)</f>
        <v/>
      </c>
      <c r="BD159" s="296">
        <f>SUMIFS(領用表!$L:$L,領用表!$E:$E,$B159,領用表!$B:$B,BC$2&amp;BD$2)</f>
        <v/>
      </c>
      <c r="BE159" s="296">
        <f>SUMIFS(領用表!$L:$L,領用表!$E:$E,$B159,領用表!$B:$B,$BC$2&amp;BE$2)</f>
        <v/>
      </c>
      <c r="BF159" s="296">
        <f>SUMIFS(領用表!$L:$L,領用表!$E:$E,$B159,領用表!$B:$B,$BC$2&amp;BF$2)</f>
        <v/>
      </c>
      <c r="BG159" s="296">
        <f>SUMIFS(領用表!$L:$L,領用表!$E:$E,$B159,領用表!$B:$B,$BC$2&amp;BG$2)</f>
        <v/>
      </c>
      <c r="BH159" s="203">
        <f>SUMIFS(領用表!$L:$L,領用表!$A:$A,BH$2,領用表!$E:$E,B159)</f>
        <v/>
      </c>
      <c r="BI159" s="260">
        <f>SUMIFS(領用表!$L:$L,領用表!$E:$E,$B159,領用表!$B:$B,BH$2&amp;BI$2)</f>
        <v/>
      </c>
      <c r="BJ159" s="260">
        <f>SUMIFS(領用表!$L:$L,領用表!$E:$E,$B159,領用表!$B:$B,$BH$2&amp;BJ$2)</f>
        <v/>
      </c>
      <c r="BK159" s="260">
        <f>SUMIFS(領用表!$L:$L,領用表!$E:$E,$B159,領用表!$B:$B,$BH$2&amp;BK$2)</f>
        <v/>
      </c>
      <c r="BL159" s="260">
        <f>SUMIFS(領用表!$L:$L,領用表!$E:$E,$B159,領用表!$B:$B,$BH$2&amp;BL$2)</f>
        <v/>
      </c>
      <c r="BM159" s="203">
        <f>SUMIFS(領用表!$L:$L,領用表!$A:$A,BM$2,領用表!$E:$E,B159)</f>
        <v/>
      </c>
      <c r="BN159" s="206">
        <f>SUMIFS(領用表!$L:$L,領用表!$E:$E,$B159,領用表!$B:$B,BM$2&amp;BN$2)</f>
        <v/>
      </c>
      <c r="BO159" s="206">
        <f>SUMIFS(領用表!$L:$L,領用表!$E:$E,$B159,領用表!$B:$B,$BM$2&amp;BO$2)</f>
        <v/>
      </c>
      <c r="BP159" s="288">
        <f>SUMIFS(領用表!$L:$L,領用表!$E:$E,$B159,領用表!$B:$B,$BM$2&amp;BP$2)</f>
        <v/>
      </c>
      <c r="BQ159" s="287">
        <f>SUMIFS(領用表!$L:$L,領用表!$E:$E,$B159,領用表!$B:$B,$BM$2&amp;BQ$2)</f>
        <v/>
      </c>
      <c r="BR159" s="203">
        <f>SUMIFS(領用表!$L:$L,領用表!$A:$A,BR$2,領用表!$E:$E,B159)</f>
        <v/>
      </c>
      <c r="BS159" s="288">
        <f>SUMIFS(領用表!$L:$L,領用表!$E:$E,$B159,領用表!$B:$B,BR$2&amp;BS$2)</f>
        <v/>
      </c>
      <c r="BT159" s="288">
        <f>SUMIFS(領用表!$L:$L,領用表!$E:$E,$B159,領用表!$B:$B,$BR$2&amp;BT$2)</f>
        <v/>
      </c>
      <c r="BU159" s="288">
        <f>SUMIFS(領用表!$L:$L,領用表!$E:$E,$B159,領用表!$B:$B,$BR$2&amp;BU$2)</f>
        <v/>
      </c>
      <c r="BV159" s="287">
        <f>SUMIFS(領用表!$L:$L,領用表!$E:$E,$B159,領用表!$B:$B,$BR$2&amp;BV$2)</f>
        <v/>
      </c>
      <c r="BW159" s="208">
        <f>SUMIFS(領用表!$L:$L,領用表!$A:$A,BW$2,領用表!$E:$E,B159)</f>
        <v/>
      </c>
      <c r="BX159" s="206">
        <f>SUMIFS(領用表!$L:$L,領用表!$E:$E,$B159,領用表!$B:$B,BW$2&amp;BX$2)</f>
        <v/>
      </c>
      <c r="BY159" s="206">
        <f>SUMIFS(領用表!$L:$L,領用表!$E:$E,$B159,領用表!$B:$B,$BW$2&amp;BY$2)</f>
        <v/>
      </c>
      <c r="BZ159" s="206">
        <f>SUMIFS(領用表!$L:$L,領用表!$E:$E,$B159,領用表!$B:$B,$BW$2&amp;BZ$2)</f>
        <v/>
      </c>
      <c r="CA159" s="206">
        <f>SUMIFS(領用表!$L:$L,領用表!$E:$E,$B159,領用表!$B:$B,$BW$2&amp;CA$2)</f>
        <v/>
      </c>
      <c r="CB159" s="208">
        <f>SUMIFS(領用表!$L:$L,領用表!$A:$A,CB$2,領用表!$E:$E,B159)</f>
        <v/>
      </c>
      <c r="CC159" s="206">
        <f>SUMIFS(領用表!$L:$L,領用表!$E:$E,$B159,領用表!$B:$B,CB$2&amp;CC$2)</f>
        <v/>
      </c>
      <c r="CD159" s="206">
        <f>SUMIFS(領用表!$L:$L,領用表!$E:$E,$B159,領用表!$B:$B,$CB$2&amp;CD$2)</f>
        <v/>
      </c>
      <c r="CE159" s="206">
        <f>SUMIFS(領用表!$L:$L,領用表!$E:$E,$B159,領用表!$B:$B,$CB$2&amp;CE$2)</f>
        <v/>
      </c>
      <c r="CF159" s="206">
        <f>SUMIFS(領用表!$L:$L,領用表!$E:$E,$B159,領用表!$B:$B,$CB$2&amp;CF$2)</f>
        <v/>
      </c>
      <c r="CG159" s="208">
        <f>SUMIFS(領用表!$L:$L,領用表!$A:$A,CG$2,領用表!$E:$E,B159)</f>
        <v/>
      </c>
      <c r="CH159" s="206">
        <f>SUMIFS(領用表!$L:$L,領用表!$E:$E,$B159,領用表!$B:$B,CG$2&amp;CH$2)</f>
        <v/>
      </c>
      <c r="CI159" s="206">
        <f>SUMIFS(領用表!$L:$L,領用表!$E:$E,$B159,領用表!$B:$B,CG$2&amp;CI$2)</f>
        <v/>
      </c>
      <c r="CJ159" s="206">
        <f>SUMIFS(領用表!$L:$L,領用表!$E:$E,$B159,領用表!$B:$B,CG$2&amp;CJ$2)</f>
        <v/>
      </c>
      <c r="CK159" s="206">
        <f>SUMIFS(領用表!$L:$L,領用表!$E:$E,$B159,領用表!$B:$B,$CG$2&amp;CK$2)</f>
        <v/>
      </c>
      <c r="CL159" s="207">
        <f>SUM(AX159,AY159,AZ159,BA159,BB159,BC159,BH159,BM159,BR159,BW159,CB159,CG159)</f>
        <v/>
      </c>
      <c r="CM159" s="207">
        <f>AVERAGE(AX159,AY159,AZ159,BA159,BB159,BC159,BH159,BM159,BR159,BW159,CB159,CG159)</f>
        <v/>
      </c>
      <c r="CN159" s="208">
        <f>SUMIFS(領用表!$L:$L,領用表!$A:$A,CN$2,領用表!$E:$E,B159)</f>
        <v/>
      </c>
      <c r="CO159" s="206">
        <f>SUMIFS(領用表!$L:$L,領用表!$E:$E,$B159,領用表!$B:$B,CN$2&amp;CO$2)</f>
        <v/>
      </c>
      <c r="CP159" s="206">
        <f>SUMIFS(領用表!$L:$L,領用表!$E:$E,$B159,領用表!$B:$B,$CN$2&amp;CP$2)</f>
        <v/>
      </c>
      <c r="CQ159" s="206">
        <f>SUMIFS(領用表!$L:$L,領用表!$E:$E,$B159,領用表!$B:$B,$CN$2&amp;CQ$2)</f>
        <v/>
      </c>
      <c r="CR159" s="206">
        <f>SUMIFS(領用表!$L:$L,領用表!$E:$E,$B159,領用表!$B:$B,$CN$2&amp;CR$2)</f>
        <v/>
      </c>
      <c r="CS159" s="208">
        <f>SUMIFS(領用表!$L:$L,領用表!$A:$A,CS$2,領用表!$E:$E,B159)</f>
        <v/>
      </c>
      <c r="CT159" s="206">
        <f>SUMIFS(領用表!$L:$L,領用表!$E:$E,$B159,領用表!$B:$B,CS$2&amp;CT$2)</f>
        <v/>
      </c>
      <c r="CU159" s="206">
        <f>SUMIFS(領用表!$L:$L,領用表!$E:$E,$B159,領用表!$B:$B,$CS$2&amp;CU$2)</f>
        <v/>
      </c>
      <c r="CV159" s="206">
        <f>SUMIFS(領用表!$L:$L,領用表!$E:$E,$B159,領用表!$B:$B,$CS$2&amp;CV$2)</f>
        <v/>
      </c>
      <c r="CW159" s="206">
        <f>SUMIFS(領用表!$L:$L,領用表!$E:$E,$B159,領用表!$B:$B,$CS$2&amp;CW$2)</f>
        <v/>
      </c>
      <c r="CX159" s="206">
        <f>SUMIFS(領用表!$L:$L,領用表!$E:$E,$B159,領用表!$B:$B,$CS$2&amp;CX$2)</f>
        <v/>
      </c>
      <c r="CY159" s="208">
        <f>SUMIFS(領用表!$L:$L,領用表!$A:$A,CY$2,領用表!$E:$E,B159)</f>
        <v/>
      </c>
      <c r="CZ159" s="206">
        <f>SUMIFS(領用表!$L:$L,領用表!$E:$E,$B159,領用表!$B:$B,CY$2&amp;CZ$2)</f>
        <v/>
      </c>
      <c r="DA159" s="206">
        <f>SUMIFS(領用表!$L:$L,領用表!$E:$E,$B159,領用表!$B:$B,$CY$2&amp;DA$2)</f>
        <v/>
      </c>
      <c r="DB159" s="206">
        <f>SUMIFS(領用表!$L:$L,領用表!$E:$E,$B159,領用表!$B:$B,$CY$2&amp;DB$2)</f>
        <v/>
      </c>
      <c r="DC159" s="206">
        <f>SUMIFS(領用表!$L:$L,領用表!$E:$E,$B159,領用表!$B:$B,$CY$2&amp;DC$2)</f>
        <v/>
      </c>
      <c r="DD159" s="206">
        <f>SUMIFS(領用表!$L:$L,領用表!$E:$E,$B159,領用表!$B:$B,$CY$2&amp;DD$2)</f>
        <v/>
      </c>
      <c r="DE159" s="208">
        <f>SUMIFS(領用表!$L:$L,領用表!$A:$A,DE$2,領用表!$E:$E,B159)</f>
        <v/>
      </c>
      <c r="DF159" s="206">
        <f>SUMIFS(領用表!$L:$L,領用表!$E:$E,$B159,領用表!$B:$B,DE$2&amp;DF$2)</f>
        <v/>
      </c>
      <c r="DG159" s="206">
        <f>SUMIFS(領用表!$L:$L,領用表!$E:$E,$B159,領用表!$B:$B,$DE$2&amp;DG$2)</f>
        <v/>
      </c>
      <c r="DH159" s="206">
        <f>SUMIFS(領用表!$L:$L,領用表!$E:$E,$B159,領用表!$B:$B,$DE$2&amp;DH$2)</f>
        <v/>
      </c>
      <c r="DI159" s="206">
        <f>SUMIFS(領用表!$L:$L,領用表!$E:$E,$B159,領用表!$B:$B,$DE$2&amp;DI$2)</f>
        <v/>
      </c>
      <c r="DJ159" s="206">
        <f>SUMIFS(領用表!$L:$L,領用表!$E:$E,$B159,領用表!$B:$B,$DE$2&amp;DJ$2)</f>
        <v/>
      </c>
      <c r="DK159" s="208">
        <f>SUMIFS(領用表!$L:$L,領用表!$A:$A,DK$2,領用表!$E:$E,$B159)</f>
        <v/>
      </c>
      <c r="DL159" s="206">
        <f>SUMIFS(領用表!$L:$L,領用表!$E:$E,$B159,領用表!$B:$B,DK$2&amp;DL$2)</f>
        <v/>
      </c>
      <c r="DM159" s="206">
        <f>SUMIFS(領用表!$L:$L,領用表!$E:$E,$B159,領用表!$B:$B,$DK$2&amp;DM$2)</f>
        <v/>
      </c>
      <c r="DN159" s="206">
        <f>SUMIFS(領用表!$L:$L,領用表!$E:$E,$B159,領用表!$B:$B,$DK$2&amp;DN$2)</f>
        <v/>
      </c>
      <c r="DO159" s="206">
        <f>SUMIFS(領用表!$L:$L,領用表!$E:$E,$B159,領用表!$B:$B,$DK$2&amp;DO$2)</f>
        <v/>
      </c>
      <c r="DP159" s="206">
        <f>SUMIFS(領用表!$L:$L,領用表!$E:$E,$B159,領用表!$B:$B,$DK$2&amp;DP$2)</f>
        <v/>
      </c>
      <c r="DQ159" s="208" t="n"/>
      <c r="DR159" s="206" t="n"/>
      <c r="DS159" s="206" t="n"/>
      <c r="DT159" s="206" t="n"/>
      <c r="DU159" s="206" t="n"/>
      <c r="DV159" s="206" t="n"/>
      <c r="DW159" s="206">
        <f>SUM(CN159,CS159,CY159,DE159,DK159,DQ159)</f>
        <v/>
      </c>
      <c r="DX159" s="206">
        <f>AVERAGEA(CN159,CS159,CY159,DE159,DK159,DQ159)</f>
        <v/>
      </c>
      <c r="DY159" s="206">
        <f>SUM(DZ159:EC159)</f>
        <v/>
      </c>
      <c r="DZ159" s="206" t="n">
        <v>0</v>
      </c>
      <c r="EA159" s="206" t="n">
        <v>0</v>
      </c>
      <c r="EB159" s="206" t="n">
        <v>0</v>
      </c>
      <c r="EC159" s="206" t="n">
        <v>0</v>
      </c>
      <c r="ED159" s="258" t="n"/>
      <c r="EE159" s="283" t="n"/>
      <c r="EF159" s="252" t="n"/>
      <c r="EG159" s="252" t="inlineStr">
        <is>
          <t>288(10/22)</t>
        </is>
      </c>
      <c r="EH159" s="136" t="n"/>
      <c r="EI159" s="136" t="n"/>
      <c r="EJ159" s="118">
        <f>IFERROR(VLOOKUP(A159,站前4樓!A:BF,57,0),0)</f>
        <v/>
      </c>
      <c r="EK159" s="213">
        <f>IFERROR(VLOOKUP(A159,站前11樓!A:BE,57,0),0)</f>
        <v/>
      </c>
      <c r="EL159" s="118">
        <f>IFERROR(VLOOKUP(A159,忠孝7樓!A:N,57,0),0)</f>
        <v/>
      </c>
      <c r="EM159" s="118">
        <f>IFERROR(VLOOKUP(A159,忠孝國際醫學3樓!A:L,57,0),0)</f>
        <v/>
      </c>
      <c r="EN159" s="118">
        <f>SUM(ED159:EG159)</f>
        <v/>
      </c>
    </row>
    <row r="160" ht="15" customFormat="1" customHeight="1" s="118">
      <c r="A160" s="136" t="inlineStr">
        <is>
          <t>DN1AA060002T</t>
        </is>
      </c>
      <c r="B160" s="118" t="n">
        <v>1060001</v>
      </c>
      <c r="C160" s="136" t="inlineStr">
        <is>
          <t>金采賦活保濕精華霜 100ml</t>
        </is>
      </c>
      <c r="D160" s="285" t="n"/>
      <c r="E160" s="198" t="inlineStr">
        <is>
          <t>PCS</t>
        </is>
      </c>
      <c r="F160" s="225">
        <f>SUMIF(站前4樓!B:B,B160,站前4樓!F:F)</f>
        <v/>
      </c>
      <c r="G160" s="225">
        <f>SUMIF(站前11樓!B:B,B160,站前11樓!F:F)</f>
        <v/>
      </c>
      <c r="H160" s="225">
        <f>SUMIF(忠孝7樓!B:B,B160,忠孝7樓!G:G)</f>
        <v/>
      </c>
      <c r="I160" s="225">
        <f>SUMIF(忠孝國際醫學3樓!B:B,B160,忠孝國際醫學3樓!G:G)</f>
        <v/>
      </c>
      <c r="J160" s="225">
        <f>SUMIF(忠孝健康7樓!B:B,B160,忠孝健康7樓!G:G)</f>
        <v/>
      </c>
      <c r="K160" s="283" t="n"/>
      <c r="L160" s="283" t="n"/>
      <c r="M160" s="283" t="n"/>
      <c r="N160" s="283" t="n"/>
      <c r="O160" s="283" t="n"/>
      <c r="P160" s="283" t="n"/>
      <c r="Q160" s="283" t="n"/>
      <c r="R160" s="283" t="n"/>
      <c r="S160" s="283" t="n"/>
      <c r="T160" s="283" t="n"/>
      <c r="U160" s="283" t="n"/>
      <c r="V160" s="283" t="n"/>
      <c r="W160" s="283" t="n"/>
      <c r="X160" s="283" t="n"/>
      <c r="Y160" s="283" t="n"/>
      <c r="Z160" s="283" t="n"/>
      <c r="AA160" s="283" t="n"/>
      <c r="AB160" s="283" t="n"/>
      <c r="AC160" s="283" t="n"/>
      <c r="AD160" s="283" t="n"/>
      <c r="AE160" s="283" t="n"/>
      <c r="AF160" s="283" t="n"/>
      <c r="AG160" s="283" t="n"/>
      <c r="AH160" s="283" t="n"/>
      <c r="AI160" s="283" t="n"/>
      <c r="AJ160" s="201" t="n"/>
      <c r="AK160" s="201" t="n"/>
      <c r="AL160" s="201" t="n"/>
      <c r="AM160" s="201" t="n"/>
      <c r="AN160" s="201" t="n"/>
      <c r="AO160" s="201" t="n"/>
      <c r="AP160" s="201" t="n"/>
      <c r="AQ160" s="201" t="n"/>
      <c r="AR160" s="201" t="n"/>
      <c r="AS160" s="201" t="n"/>
      <c r="AT160" s="201" t="n"/>
      <c r="AU160" s="201" t="n"/>
      <c r="AV160" s="283">
        <f>SUM(AJ160:AU160)</f>
        <v/>
      </c>
      <c r="AW160" s="286">
        <f>AV160/12</f>
        <v/>
      </c>
      <c r="AX160" s="201" t="n">
        <v>10</v>
      </c>
      <c r="AY160" s="201" t="n">
        <v>16</v>
      </c>
      <c r="AZ160" s="201" t="n">
        <v>10</v>
      </c>
      <c r="BA160" s="201" t="n">
        <v>20</v>
      </c>
      <c r="BB160" s="201" t="n">
        <v>20</v>
      </c>
      <c r="BC160" s="203">
        <f>SUMIFS(領用表!$L:$L,領用表!$A:$A,BC$2,領用表!$E:$E,B160)</f>
        <v/>
      </c>
      <c r="BD160" s="296">
        <f>SUMIFS(領用表!$L:$L,領用表!$E:$E,$B160,領用表!$B:$B,BC$2&amp;BD$2)</f>
        <v/>
      </c>
      <c r="BE160" s="296">
        <f>SUMIFS(領用表!$L:$L,領用表!$E:$E,$B160,領用表!$B:$B,$BC$2&amp;BE$2)</f>
        <v/>
      </c>
      <c r="BF160" s="296">
        <f>SUMIFS(領用表!$L:$L,領用表!$E:$E,$B160,領用表!$B:$B,$BC$2&amp;BF$2)</f>
        <v/>
      </c>
      <c r="BG160" s="296">
        <f>SUMIFS(領用表!$L:$L,領用表!$E:$E,$B160,領用表!$B:$B,$BC$2&amp;BG$2)</f>
        <v/>
      </c>
      <c r="BH160" s="203">
        <f>SUMIFS(領用表!$L:$L,領用表!$A:$A,BH$2,領用表!$E:$E,B160)</f>
        <v/>
      </c>
      <c r="BI160" s="260">
        <f>SUMIFS(領用表!$L:$L,領用表!$E:$E,$B160,領用表!$B:$B,BH$2&amp;BI$2)</f>
        <v/>
      </c>
      <c r="BJ160" s="260">
        <f>SUMIFS(領用表!$L:$L,領用表!$E:$E,$B160,領用表!$B:$B,$BH$2&amp;BJ$2)</f>
        <v/>
      </c>
      <c r="BK160" s="260">
        <f>SUMIFS(領用表!$L:$L,領用表!$E:$E,$B160,領用表!$B:$B,$BH$2&amp;BK$2)</f>
        <v/>
      </c>
      <c r="BL160" s="260">
        <f>SUMIFS(領用表!$L:$L,領用表!$E:$E,$B160,領用表!$B:$B,$BH$2&amp;BL$2)</f>
        <v/>
      </c>
      <c r="BM160" s="203">
        <f>SUMIFS(領用表!$L:$L,領用表!$A:$A,BM$2,領用表!$E:$E,B160)</f>
        <v/>
      </c>
      <c r="BN160" s="206">
        <f>SUMIFS(領用表!$L:$L,領用表!$E:$E,$B160,領用表!$B:$B,BM$2&amp;BN$2)</f>
        <v/>
      </c>
      <c r="BO160" s="206">
        <f>SUMIFS(領用表!$L:$L,領用表!$E:$E,$B160,領用表!$B:$B,$BM$2&amp;BO$2)</f>
        <v/>
      </c>
      <c r="BP160" s="288">
        <f>SUMIFS(領用表!$L:$L,領用表!$E:$E,$B160,領用表!$B:$B,$BM$2&amp;BP$2)</f>
        <v/>
      </c>
      <c r="BQ160" s="287">
        <f>SUMIFS(領用表!$L:$L,領用表!$E:$E,$B160,領用表!$B:$B,$BM$2&amp;BQ$2)</f>
        <v/>
      </c>
      <c r="BR160" s="203">
        <f>SUMIFS(領用表!$L:$L,領用表!$A:$A,BR$2,領用表!$E:$E,B160)</f>
        <v/>
      </c>
      <c r="BS160" s="288">
        <f>SUMIFS(領用表!$L:$L,領用表!$E:$E,$B160,領用表!$B:$B,BR$2&amp;BS$2)</f>
        <v/>
      </c>
      <c r="BT160" s="288">
        <f>SUMIFS(領用表!$L:$L,領用表!$E:$E,$B160,領用表!$B:$B,$BR$2&amp;BT$2)</f>
        <v/>
      </c>
      <c r="BU160" s="288">
        <f>SUMIFS(領用表!$L:$L,領用表!$E:$E,$B160,領用表!$B:$B,$BR$2&amp;BU$2)</f>
        <v/>
      </c>
      <c r="BV160" s="287">
        <f>SUMIFS(領用表!$L:$L,領用表!$E:$E,$B160,領用表!$B:$B,$BR$2&amp;BV$2)</f>
        <v/>
      </c>
      <c r="BW160" s="208">
        <f>SUMIFS(領用表!$L:$L,領用表!$A:$A,BW$2,領用表!$E:$E,B160)</f>
        <v/>
      </c>
      <c r="BX160" s="206">
        <f>SUMIFS(領用表!$L:$L,領用表!$E:$E,$B160,領用表!$B:$B,BW$2&amp;BX$2)</f>
        <v/>
      </c>
      <c r="BY160" s="206">
        <f>SUMIFS(領用表!$L:$L,領用表!$E:$E,$B160,領用表!$B:$B,$BW$2&amp;BY$2)</f>
        <v/>
      </c>
      <c r="BZ160" s="206">
        <f>SUMIFS(領用表!$L:$L,領用表!$E:$E,$B160,領用表!$B:$B,$BW$2&amp;BZ$2)</f>
        <v/>
      </c>
      <c r="CA160" s="206">
        <f>SUMIFS(領用表!$L:$L,領用表!$E:$E,$B160,領用表!$B:$B,$BW$2&amp;CA$2)</f>
        <v/>
      </c>
      <c r="CB160" s="208">
        <f>SUMIFS(領用表!$L:$L,領用表!$A:$A,CB$2,領用表!$E:$E,B160)</f>
        <v/>
      </c>
      <c r="CC160" s="206">
        <f>SUMIFS(領用表!$L:$L,領用表!$E:$E,$B160,領用表!$B:$B,CB$2&amp;CC$2)</f>
        <v/>
      </c>
      <c r="CD160" s="206">
        <f>SUMIFS(領用表!$L:$L,領用表!$E:$E,$B160,領用表!$B:$B,$CB$2&amp;CD$2)</f>
        <v/>
      </c>
      <c r="CE160" s="206">
        <f>SUMIFS(領用表!$L:$L,領用表!$E:$E,$B160,領用表!$B:$B,$CB$2&amp;CE$2)</f>
        <v/>
      </c>
      <c r="CF160" s="206">
        <f>SUMIFS(領用表!$L:$L,領用表!$E:$E,$B160,領用表!$B:$B,$CB$2&amp;CF$2)</f>
        <v/>
      </c>
      <c r="CG160" s="208">
        <f>SUMIFS(領用表!$L:$L,領用表!$A:$A,CG$2,領用表!$E:$E,B160)</f>
        <v/>
      </c>
      <c r="CH160" s="206">
        <f>SUMIFS(領用表!$L:$L,領用表!$E:$E,$B160,領用表!$B:$B,CG$2&amp;CH$2)</f>
        <v/>
      </c>
      <c r="CI160" s="206">
        <f>SUMIFS(領用表!$L:$L,領用表!$E:$E,$B160,領用表!$B:$B,CG$2&amp;CI$2)</f>
        <v/>
      </c>
      <c r="CJ160" s="206">
        <f>SUMIFS(領用表!$L:$L,領用表!$E:$E,$B160,領用表!$B:$B,CG$2&amp;CJ$2)</f>
        <v/>
      </c>
      <c r="CK160" s="206">
        <f>SUMIFS(領用表!$L:$L,領用表!$E:$E,$B160,領用表!$B:$B,$CG$2&amp;CK$2)</f>
        <v/>
      </c>
      <c r="CL160" s="207">
        <f>SUM(AX160,AY160,AZ160,BA160,BB160,BC160,BH160,BM160,BR160,BW160,CB160,CG160)</f>
        <v/>
      </c>
      <c r="CM160" s="207">
        <f>AVERAGE(AX160,AY160,AZ160,BA160,BB160,BC160,BH160,BM160,BR160,BW160,CB160,CG160)</f>
        <v/>
      </c>
      <c r="CN160" s="208">
        <f>SUMIFS(領用表!$L:$L,領用表!$A:$A,CN$2,領用表!$E:$E,B160)</f>
        <v/>
      </c>
      <c r="CO160" s="206">
        <f>SUMIFS(領用表!$L:$L,領用表!$E:$E,$B160,領用表!$B:$B,CN$2&amp;CO$2)</f>
        <v/>
      </c>
      <c r="CP160" s="206">
        <f>SUMIFS(領用表!$L:$L,領用表!$E:$E,$B160,領用表!$B:$B,$CN$2&amp;CP$2)</f>
        <v/>
      </c>
      <c r="CQ160" s="206">
        <f>SUMIFS(領用表!$L:$L,領用表!$E:$E,$B160,領用表!$B:$B,$CN$2&amp;CQ$2)</f>
        <v/>
      </c>
      <c r="CR160" s="206">
        <f>SUMIFS(領用表!$L:$L,領用表!$E:$E,$B160,領用表!$B:$B,$CN$2&amp;CR$2)</f>
        <v/>
      </c>
      <c r="CS160" s="208">
        <f>SUMIFS(領用表!$L:$L,領用表!$A:$A,CS$2,領用表!$E:$E,B160)</f>
        <v/>
      </c>
      <c r="CT160" s="206">
        <f>SUMIFS(領用表!$L:$L,領用表!$E:$E,$B160,領用表!$B:$B,CS$2&amp;CT$2)</f>
        <v/>
      </c>
      <c r="CU160" s="206">
        <f>SUMIFS(領用表!$L:$L,領用表!$E:$E,$B160,領用表!$B:$B,$CS$2&amp;CU$2)</f>
        <v/>
      </c>
      <c r="CV160" s="206">
        <f>SUMIFS(領用表!$L:$L,領用表!$E:$E,$B160,領用表!$B:$B,$CS$2&amp;CV$2)</f>
        <v/>
      </c>
      <c r="CW160" s="206">
        <f>SUMIFS(領用表!$L:$L,領用表!$E:$E,$B160,領用表!$B:$B,$CS$2&amp;CW$2)</f>
        <v/>
      </c>
      <c r="CX160" s="206">
        <f>SUMIFS(領用表!$L:$L,領用表!$E:$E,$B160,領用表!$B:$B,$CS$2&amp;CX$2)</f>
        <v/>
      </c>
      <c r="CY160" s="208">
        <f>SUMIFS(領用表!$L:$L,領用表!$A:$A,CY$2,領用表!$E:$E,B160)</f>
        <v/>
      </c>
      <c r="CZ160" s="206">
        <f>SUMIFS(領用表!$L:$L,領用表!$E:$E,$B160,領用表!$B:$B,CY$2&amp;CZ$2)</f>
        <v/>
      </c>
      <c r="DA160" s="206">
        <f>SUMIFS(領用表!$L:$L,領用表!$E:$E,$B160,領用表!$B:$B,$CY$2&amp;DA$2)</f>
        <v/>
      </c>
      <c r="DB160" s="206">
        <f>SUMIFS(領用表!$L:$L,領用表!$E:$E,$B160,領用表!$B:$B,$CY$2&amp;DB$2)</f>
        <v/>
      </c>
      <c r="DC160" s="206">
        <f>SUMIFS(領用表!$L:$L,領用表!$E:$E,$B160,領用表!$B:$B,$CY$2&amp;DC$2)</f>
        <v/>
      </c>
      <c r="DD160" s="206">
        <f>SUMIFS(領用表!$L:$L,領用表!$E:$E,$B160,領用表!$B:$B,$CY$2&amp;DD$2)</f>
        <v/>
      </c>
      <c r="DE160" s="208">
        <f>SUMIFS(領用表!$L:$L,領用表!$A:$A,DE$2,領用表!$E:$E,B160)</f>
        <v/>
      </c>
      <c r="DF160" s="206">
        <f>SUMIFS(領用表!$L:$L,領用表!$E:$E,$B160,領用表!$B:$B,DE$2&amp;DF$2)</f>
        <v/>
      </c>
      <c r="DG160" s="206">
        <f>SUMIFS(領用表!$L:$L,領用表!$E:$E,$B160,領用表!$B:$B,$DE$2&amp;DG$2)</f>
        <v/>
      </c>
      <c r="DH160" s="206">
        <f>SUMIFS(領用表!$L:$L,領用表!$E:$E,$B160,領用表!$B:$B,$DE$2&amp;DH$2)</f>
        <v/>
      </c>
      <c r="DI160" s="206">
        <f>SUMIFS(領用表!$L:$L,領用表!$E:$E,$B160,領用表!$B:$B,$DE$2&amp;DI$2)</f>
        <v/>
      </c>
      <c r="DJ160" s="206">
        <f>SUMIFS(領用表!$L:$L,領用表!$E:$E,$B160,領用表!$B:$B,$DE$2&amp;DJ$2)</f>
        <v/>
      </c>
      <c r="DK160" s="208">
        <f>SUMIFS(領用表!$L:$L,領用表!$A:$A,DK$2,領用表!$E:$E,$B160)</f>
        <v/>
      </c>
      <c r="DL160" s="206">
        <f>SUMIFS(領用表!$L:$L,領用表!$E:$E,$B160,領用表!$B:$B,DK$2&amp;DL$2)</f>
        <v/>
      </c>
      <c r="DM160" s="206">
        <f>SUMIFS(領用表!$L:$L,領用表!$E:$E,$B160,領用表!$B:$B,$DK$2&amp;DM$2)</f>
        <v/>
      </c>
      <c r="DN160" s="206">
        <f>SUMIFS(領用表!$L:$L,領用表!$E:$E,$B160,領用表!$B:$B,$DK$2&amp;DN$2)</f>
        <v/>
      </c>
      <c r="DO160" s="206">
        <f>SUMIFS(領用表!$L:$L,領用表!$E:$E,$B160,領用表!$B:$B,$DK$2&amp;DO$2)</f>
        <v/>
      </c>
      <c r="DP160" s="206">
        <f>SUMIFS(領用表!$L:$L,領用表!$E:$E,$B160,領用表!$B:$B,$DK$2&amp;DP$2)</f>
        <v/>
      </c>
      <c r="DQ160" s="208" t="n"/>
      <c r="DR160" s="206" t="n"/>
      <c r="DS160" s="206" t="n"/>
      <c r="DT160" s="206" t="n"/>
      <c r="DU160" s="206" t="n"/>
      <c r="DV160" s="206" t="n"/>
      <c r="DW160" s="206">
        <f>SUM(CN160,CS160,CY160,DE160,DK160,DQ160)</f>
        <v/>
      </c>
      <c r="DX160" s="206">
        <f>AVERAGEA(CN160,CS160,CY160,DE160,DK160,DQ160)</f>
        <v/>
      </c>
      <c r="DY160" s="206">
        <f>SUM(DZ160:EC160)</f>
        <v/>
      </c>
      <c r="DZ160" s="206" t="n">
        <v>0</v>
      </c>
      <c r="EA160" s="206" t="n">
        <v>0</v>
      </c>
      <c r="EB160" s="206" t="n">
        <v>0</v>
      </c>
      <c r="EC160" s="206" t="n">
        <v>0</v>
      </c>
      <c r="ED160" s="258" t="n"/>
      <c r="EE160" s="283" t="n"/>
      <c r="EF160" s="252" t="n"/>
      <c r="EG160" s="252" t="n"/>
      <c r="EH160" s="136" t="n"/>
      <c r="EI160" s="136" t="n"/>
      <c r="EJ160" s="118">
        <f>IFERROR(VLOOKUP(A160,站前4樓!A:BF,57,0),0)</f>
        <v/>
      </c>
      <c r="EK160" s="213">
        <f>IFERROR(VLOOKUP(A160,站前11樓!A:BE,57,0),0)</f>
        <v/>
      </c>
      <c r="EL160" s="118">
        <f>IFERROR(VLOOKUP(A160,忠孝7樓!A:N,57,0),0)</f>
        <v/>
      </c>
      <c r="EM160" s="118">
        <f>IFERROR(VLOOKUP(A160,忠孝國際醫學3樓!A:L,57,0),0)</f>
        <v/>
      </c>
      <c r="EN160" s="118">
        <f>SUM(ED160:EG160)</f>
        <v/>
      </c>
    </row>
    <row r="161" ht="15" customFormat="1" customHeight="1" s="118">
      <c r="A161" s="136" t="inlineStr">
        <is>
          <t>DN1AA060004T</t>
        </is>
      </c>
      <c r="B161" s="118" t="n">
        <v>6070002</v>
      </c>
      <c r="C161" s="136" t="inlineStr">
        <is>
          <t>金采賦活保濕精華霜 30ml</t>
        </is>
      </c>
      <c r="D161" s="285" t="n"/>
      <c r="E161" s="198" t="inlineStr">
        <is>
          <t>PCS</t>
        </is>
      </c>
      <c r="F161" s="225">
        <f>SUMIF(站前4樓!B:B,B161,站前4樓!F:F)</f>
        <v/>
      </c>
      <c r="G161" s="225">
        <f>SUMIF(站前11樓!B:B,B161,站前11樓!F:F)</f>
        <v/>
      </c>
      <c r="H161" s="225">
        <f>SUMIF(忠孝7樓!B:B,B161,忠孝7樓!G:G)</f>
        <v/>
      </c>
      <c r="I161" s="225">
        <f>SUMIF(忠孝國際醫學3樓!B:B,B161,忠孝國際醫學3樓!G:G)</f>
        <v/>
      </c>
      <c r="J161" s="225">
        <f>SUMIF(忠孝健康7樓!B:B,B161,忠孝健康7樓!G:G)</f>
        <v/>
      </c>
      <c r="K161" s="283" t="n"/>
      <c r="L161" s="283" t="n"/>
      <c r="M161" s="283" t="n"/>
      <c r="N161" s="283" t="n"/>
      <c r="O161" s="283" t="n"/>
      <c r="P161" s="283" t="n"/>
      <c r="Q161" s="283" t="n"/>
      <c r="R161" s="283" t="n"/>
      <c r="S161" s="283" t="n"/>
      <c r="T161" s="283" t="n"/>
      <c r="U161" s="283" t="n"/>
      <c r="V161" s="283" t="n"/>
      <c r="W161" s="283" t="n"/>
      <c r="X161" s="283" t="n"/>
      <c r="Y161" s="283" t="n"/>
      <c r="Z161" s="283" t="n"/>
      <c r="AA161" s="283" t="n"/>
      <c r="AB161" s="283" t="n"/>
      <c r="AC161" s="283" t="n"/>
      <c r="AD161" s="283" t="n"/>
      <c r="AE161" s="283" t="n"/>
      <c r="AF161" s="283" t="n"/>
      <c r="AG161" s="283" t="n"/>
      <c r="AH161" s="283" t="n"/>
      <c r="AI161" s="283" t="n"/>
      <c r="AJ161" s="201" t="n"/>
      <c r="AK161" s="201" t="n"/>
      <c r="AL161" s="201" t="n"/>
      <c r="AM161" s="201" t="n"/>
      <c r="AN161" s="201" t="n"/>
      <c r="AO161" s="201" t="n"/>
      <c r="AP161" s="201" t="n"/>
      <c r="AQ161" s="201" t="n"/>
      <c r="AR161" s="201" t="n"/>
      <c r="AS161" s="201" t="n"/>
      <c r="AT161" s="201" t="n"/>
      <c r="AU161" s="201" t="n"/>
      <c r="AV161" s="347" t="inlineStr">
        <is>
          <t>-</t>
        </is>
      </c>
      <c r="AW161" s="347" t="inlineStr">
        <is>
          <t>-</t>
        </is>
      </c>
      <c r="AX161" s="347" t="inlineStr">
        <is>
          <t>-</t>
        </is>
      </c>
      <c r="AY161" s="347" t="inlineStr">
        <is>
          <t>-</t>
        </is>
      </c>
      <c r="AZ161" s="347" t="inlineStr">
        <is>
          <t>-</t>
        </is>
      </c>
      <c r="BA161" s="347" t="inlineStr">
        <is>
          <t>-</t>
        </is>
      </c>
      <c r="BB161" s="201" t="n">
        <v>60</v>
      </c>
      <c r="BC161" s="203">
        <f>SUMIFS(領用表!$L:$L,領用表!$A:$A,BC$2,領用表!$E:$E,B161)</f>
        <v/>
      </c>
      <c r="BD161" s="296">
        <f>SUMIFS(領用表!$L:$L,領用表!$E:$E,$B161,領用表!$B:$B,BC$2&amp;BD$2)</f>
        <v/>
      </c>
      <c r="BE161" s="296">
        <f>SUMIFS(領用表!$L:$L,領用表!$E:$E,$B161,領用表!$B:$B,$BC$2&amp;BE$2)</f>
        <v/>
      </c>
      <c r="BF161" s="296">
        <f>SUMIFS(領用表!$L:$L,領用表!$E:$E,$B161,領用表!$B:$B,$BC$2&amp;BF$2)</f>
        <v/>
      </c>
      <c r="BG161" s="296">
        <f>SUMIFS(領用表!$L:$L,領用表!$E:$E,$B161,領用表!$B:$B,$BC$2&amp;BG$2)</f>
        <v/>
      </c>
      <c r="BH161" s="203">
        <f>SUMIFS(領用表!$L:$L,領用表!$A:$A,BH$2,領用表!$E:$E,B161)</f>
        <v/>
      </c>
      <c r="BI161" s="260">
        <f>SUMIFS(領用表!$L:$L,領用表!$E:$E,$B161,領用表!$B:$B,BH$2&amp;BI$2)</f>
        <v/>
      </c>
      <c r="BJ161" s="260">
        <f>SUMIFS(領用表!$L:$L,領用表!$E:$E,$B161,領用表!$B:$B,$BH$2&amp;BJ$2)</f>
        <v/>
      </c>
      <c r="BK161" s="260">
        <f>SUMIFS(領用表!$L:$L,領用表!$E:$E,$B161,領用表!$B:$B,$BH$2&amp;BK$2)</f>
        <v/>
      </c>
      <c r="BL161" s="260">
        <f>SUMIFS(領用表!$L:$L,領用表!$E:$E,$B161,領用表!$B:$B,$BH$2&amp;BL$2)</f>
        <v/>
      </c>
      <c r="BM161" s="203">
        <f>SUMIFS(領用表!$L:$L,領用表!$A:$A,BM$2,領用表!$E:$E,B161)</f>
        <v/>
      </c>
      <c r="BN161" s="206">
        <f>SUMIFS(領用表!$L:$L,領用表!$E:$E,$B161,領用表!$B:$B,BM$2&amp;BN$2)</f>
        <v/>
      </c>
      <c r="BO161" s="206">
        <f>SUMIFS(領用表!$L:$L,領用表!$E:$E,$B161,領用表!$B:$B,$BM$2&amp;BO$2)</f>
        <v/>
      </c>
      <c r="BP161" s="288">
        <f>SUMIFS(領用表!$L:$L,領用表!$E:$E,$B161,領用表!$B:$B,$BM$2&amp;BP$2)</f>
        <v/>
      </c>
      <c r="BQ161" s="287">
        <f>SUMIFS(領用表!$L:$L,領用表!$E:$E,$B161,領用表!$B:$B,$BM$2&amp;BQ$2)</f>
        <v/>
      </c>
      <c r="BR161" s="203">
        <f>SUMIFS(領用表!$L:$L,領用表!$A:$A,BR$2,領用表!$E:$E,B161)</f>
        <v/>
      </c>
      <c r="BS161" s="260">
        <f>SUMIFS(領用表!$L:$L,領用表!$E:$E,$B161,領用表!$B:$B,BR$2&amp;BS$2)</f>
        <v/>
      </c>
      <c r="BT161" s="260">
        <f>SUMIFS(領用表!$L:$L,領用表!$E:$E,$B161,領用表!$B:$B,$BR$2&amp;BT$2)</f>
        <v/>
      </c>
      <c r="BU161" s="260">
        <f>SUMIFS(領用表!$L:$L,領用表!$E:$E,$B161,領用表!$B:$B,$BR$2&amp;BU$2)</f>
        <v/>
      </c>
      <c r="BV161" s="220">
        <f>SUMIFS(領用表!$L:$L,領用表!$E:$E,$B161,領用表!$B:$B,$BR$2&amp;BV$2)</f>
        <v/>
      </c>
      <c r="BW161" s="208">
        <f>SUMIFS(領用表!$L:$L,領用表!$A:$A,BW$2,領用表!$E:$E,B161)</f>
        <v/>
      </c>
      <c r="BX161" s="206">
        <f>SUMIFS(領用表!$L:$L,領用表!$E:$E,$B161,領用表!$B:$B,BW$2&amp;BX$2)</f>
        <v/>
      </c>
      <c r="BY161" s="206">
        <f>SUMIFS(領用表!$L:$L,領用表!$E:$E,$B161,領用表!$B:$B,$BW$2&amp;BY$2)</f>
        <v/>
      </c>
      <c r="BZ161" s="206">
        <f>SUMIFS(領用表!$L:$L,領用表!$E:$E,$B161,領用表!$B:$B,$BW$2&amp;BZ$2)</f>
        <v/>
      </c>
      <c r="CA161" s="206">
        <f>SUMIFS(領用表!$L:$L,領用表!$E:$E,$B161,領用表!$B:$B,$BW$2&amp;CA$2)</f>
        <v/>
      </c>
      <c r="CB161" s="208">
        <f>SUMIFS(領用表!$L:$L,領用表!$A:$A,CB$2,領用表!$E:$E,B161)</f>
        <v/>
      </c>
      <c r="CC161" s="206">
        <f>SUMIFS(領用表!$L:$L,領用表!$E:$E,$B161,領用表!$B:$B,CB$2&amp;CC$2)</f>
        <v/>
      </c>
      <c r="CD161" s="206">
        <f>SUMIFS(領用表!$L:$L,領用表!$E:$E,$B161,領用表!$B:$B,$CB$2&amp;CD$2)</f>
        <v/>
      </c>
      <c r="CE161" s="206">
        <f>SUMIFS(領用表!$L:$L,領用表!$E:$E,$B161,領用表!$B:$B,$CB$2&amp;CE$2)</f>
        <v/>
      </c>
      <c r="CF161" s="206">
        <f>SUMIFS(領用表!$L:$L,領用表!$E:$E,$B161,領用表!$B:$B,$CB$2&amp;CF$2)</f>
        <v/>
      </c>
      <c r="CG161" s="208">
        <f>SUMIFS(領用表!$L:$L,領用表!$A:$A,CG$2,領用表!$E:$E,B161)</f>
        <v/>
      </c>
      <c r="CH161" s="206">
        <f>SUMIFS(領用表!$L:$L,領用表!$E:$E,$B161,領用表!$B:$B,CG$2&amp;CH$2)</f>
        <v/>
      </c>
      <c r="CI161" s="206">
        <f>SUMIFS(領用表!$L:$L,領用表!$E:$E,$B161,領用表!$B:$B,CG$2&amp;CI$2)</f>
        <v/>
      </c>
      <c r="CJ161" s="206">
        <f>SUMIFS(領用表!$L:$L,領用表!$E:$E,$B161,領用表!$B:$B,CG$2&amp;CJ$2)</f>
        <v/>
      </c>
      <c r="CK161" s="206">
        <f>SUMIFS(領用表!$L:$L,領用表!$E:$E,$B161,領用表!$B:$B,$CG$2&amp;CK$2)</f>
        <v/>
      </c>
      <c r="CL161" s="207">
        <f>SUM(AX161,AY161,AZ161,BA161,BB161,BC161,BH161,BM161,BR161,BW161,CB161,CG161)</f>
        <v/>
      </c>
      <c r="CM161" s="207">
        <f>AVERAGE(AX161,AY161,AZ161,BA161,BB161,BC161,BH161,BM161,BR161,BW161,CB161,CG161)</f>
        <v/>
      </c>
      <c r="CN161" s="208">
        <f>SUMIFS(領用表!$L:$L,領用表!$A:$A,CN$2,領用表!$E:$E,B161)</f>
        <v/>
      </c>
      <c r="CO161" s="206">
        <f>SUMIFS(領用表!$L:$L,領用表!$E:$E,$B161,領用表!$B:$B,CN$2&amp;CO$2)</f>
        <v/>
      </c>
      <c r="CP161" s="206">
        <f>SUMIFS(領用表!$L:$L,領用表!$E:$E,$B161,領用表!$B:$B,$CN$2&amp;CP$2)</f>
        <v/>
      </c>
      <c r="CQ161" s="206">
        <f>SUMIFS(領用表!$L:$L,領用表!$E:$E,$B161,領用表!$B:$B,$CN$2&amp;CQ$2)</f>
        <v/>
      </c>
      <c r="CR161" s="206">
        <f>SUMIFS(領用表!$L:$L,領用表!$E:$E,$B161,領用表!$B:$B,$CN$2&amp;CR$2)</f>
        <v/>
      </c>
      <c r="CS161" s="208">
        <f>SUMIFS(領用表!$L:$L,領用表!$A:$A,CS$2,領用表!$E:$E,B161)</f>
        <v/>
      </c>
      <c r="CT161" s="206">
        <f>SUMIFS(領用表!$L:$L,領用表!$E:$E,$B161,領用表!$B:$B,CS$2&amp;CT$2)</f>
        <v/>
      </c>
      <c r="CU161" s="206">
        <f>SUMIFS(領用表!$L:$L,領用表!$E:$E,$B161,領用表!$B:$B,$CS$2&amp;CU$2)</f>
        <v/>
      </c>
      <c r="CV161" s="206">
        <f>SUMIFS(領用表!$L:$L,領用表!$E:$E,$B161,領用表!$B:$B,$CS$2&amp;CV$2)</f>
        <v/>
      </c>
      <c r="CW161" s="206">
        <f>SUMIFS(領用表!$L:$L,領用表!$E:$E,$B161,領用表!$B:$B,$CS$2&amp;CW$2)</f>
        <v/>
      </c>
      <c r="CX161" s="206">
        <f>SUMIFS(領用表!$L:$L,領用表!$E:$E,$B161,領用表!$B:$B,$CS$2&amp;CX$2)</f>
        <v/>
      </c>
      <c r="CY161" s="208">
        <f>SUMIFS(領用表!$L:$L,領用表!$A:$A,CY$2,領用表!$E:$E,B161)</f>
        <v/>
      </c>
      <c r="CZ161" s="331">
        <f>SUMIFS(領用表!$L:$L,領用表!$E:$E,$B161,領用表!$B:$B,CY$2&amp;CZ$2)</f>
        <v/>
      </c>
      <c r="DA161" s="331">
        <f>SUMIFS(領用表!$L:$L,領用表!$E:$E,$B161,領用表!$B:$B,$CY$2&amp;DA$2)</f>
        <v/>
      </c>
      <c r="DB161" s="331">
        <f>SUMIFS(領用表!$L:$L,領用表!$E:$E,$B161,領用表!$B:$B,$CY$2&amp;DB$2)</f>
        <v/>
      </c>
      <c r="DC161" s="331">
        <f>SUMIFS(領用表!$L:$L,領用表!$E:$E,$B161,領用表!$B:$B,$CY$2&amp;DC$2)</f>
        <v/>
      </c>
      <c r="DD161" s="331">
        <f>SUMIFS(領用表!$L:$L,領用表!$E:$E,$B161,領用表!$B:$B,$CY$2&amp;DD$2)</f>
        <v/>
      </c>
      <c r="DE161" s="208">
        <f>SUMIFS(領用表!$L:$L,領用表!$A:$A,DE$2,領用表!$E:$E,B161)</f>
        <v/>
      </c>
      <c r="DF161" s="331">
        <f>SUMIFS(領用表!$L:$L,領用表!$E:$E,$B161,領用表!$B:$B,DE$2&amp;DF$2)</f>
        <v/>
      </c>
      <c r="DG161" s="331">
        <f>SUMIFS(領用表!$L:$L,領用表!$E:$E,$B161,領用表!$B:$B,$DE$2&amp;DG$2)</f>
        <v/>
      </c>
      <c r="DH161" s="331">
        <f>SUMIFS(領用表!$L:$L,領用表!$E:$E,$B161,領用表!$B:$B,$DE$2&amp;DH$2)</f>
        <v/>
      </c>
      <c r="DI161" s="331">
        <f>SUMIFS(領用表!$L:$L,領用表!$E:$E,$B161,領用表!$B:$B,$DE$2&amp;DI$2)</f>
        <v/>
      </c>
      <c r="DJ161" s="331">
        <f>SUMIFS(領用表!$L:$L,領用表!$E:$E,$B161,領用表!$B:$B,$DE$2&amp;DJ$2)</f>
        <v/>
      </c>
      <c r="DK161" s="208">
        <f>SUMIFS(領用表!$L:$L,領用表!$A:$A,DK$2,領用表!$E:$E,$B161)</f>
        <v/>
      </c>
      <c r="DL161" s="331">
        <f>SUMIFS(領用表!$L:$L,領用表!$E:$E,$B161,領用表!$B:$B,DK$2&amp;DL$2)</f>
        <v/>
      </c>
      <c r="DM161" s="331">
        <f>SUMIFS(領用表!$L:$L,領用表!$E:$E,$B161,領用表!$B:$B,$DK$2&amp;DM$2)</f>
        <v/>
      </c>
      <c r="DN161" s="331">
        <f>SUMIFS(領用表!$L:$L,領用表!$E:$E,$B161,領用表!$B:$B,$DK$2&amp;DN$2)</f>
        <v/>
      </c>
      <c r="DO161" s="331">
        <f>SUMIFS(領用表!$L:$L,領用表!$E:$E,$B161,領用表!$B:$B,$DK$2&amp;DO$2)</f>
        <v/>
      </c>
      <c r="DP161" s="331">
        <f>SUMIFS(領用表!$L:$L,領用表!$E:$E,$B161,領用表!$B:$B,$DK$2&amp;DP$2)</f>
        <v/>
      </c>
      <c r="DQ161" s="208" t="n"/>
      <c r="DR161" s="331" t="n"/>
      <c r="DS161" s="331" t="n"/>
      <c r="DT161" s="331" t="n"/>
      <c r="DU161" s="331" t="n"/>
      <c r="DV161" s="331" t="n"/>
      <c r="DW161" s="331">
        <f>SUM(CN161,CS161,CY161,DE161,DK161,DQ161)</f>
        <v/>
      </c>
      <c r="DX161" s="331">
        <f>AVERAGEA(CN161,CS161,CY161,DE161,DK161,DQ161)</f>
        <v/>
      </c>
      <c r="DY161" s="331">
        <f>SUM(DZ161:EC161)</f>
        <v/>
      </c>
      <c r="DZ161" s="331" t="n">
        <v>0</v>
      </c>
      <c r="EA161" s="331" t="n">
        <v>0</v>
      </c>
      <c r="EB161" s="331" t="n">
        <v>0</v>
      </c>
      <c r="EC161" s="331" t="n">
        <v>0</v>
      </c>
      <c r="ED161" s="338" t="n"/>
      <c r="EE161" s="333" t="n"/>
      <c r="EF161" s="252" t="n"/>
      <c r="EG161" s="252" t="n"/>
      <c r="EH161" s="136" t="n"/>
      <c r="EI161" s="136" t="n"/>
      <c r="EJ161" s="118">
        <f>IFERROR(VLOOKUP(A161,站前4樓!A:BF,57,0),0)</f>
        <v/>
      </c>
      <c r="EK161" s="213">
        <f>IFERROR(VLOOKUP(A161,站前11樓!A:BE,57,0),0)</f>
        <v/>
      </c>
      <c r="EL161" s="118">
        <f>IFERROR(VLOOKUP(A161,忠孝7樓!A:N,57,0),0)</f>
        <v/>
      </c>
      <c r="EM161" s="118">
        <f>IFERROR(VLOOKUP(A161,忠孝國際醫學3樓!A:L,57,0),0)</f>
        <v/>
      </c>
      <c r="EN161" s="118">
        <f>SUM(ED161:EG161)</f>
        <v/>
      </c>
    </row>
    <row r="162" ht="15" customFormat="1" customHeight="1" s="118">
      <c r="A162" s="136" t="inlineStr">
        <is>
          <t>DE1AA050039T</t>
        </is>
      </c>
      <c r="B162" s="118" t="n">
        <v>6050009</v>
      </c>
      <c r="C162" s="136" t="inlineStr">
        <is>
          <t>緊緻新生彈力精華 10ml</t>
        </is>
      </c>
      <c r="D162" s="285" t="n"/>
      <c r="E162" s="198" t="inlineStr">
        <is>
          <t>PCS</t>
        </is>
      </c>
      <c r="F162" s="225">
        <f>SUMIF(站前4樓!B:B,B162,站前4樓!F:F)</f>
        <v/>
      </c>
      <c r="G162" s="225">
        <f>SUMIF(站前11樓!B:B,B162,站前11樓!F:F)</f>
        <v/>
      </c>
      <c r="H162" s="225">
        <f>SUMIF(忠孝7樓!B:B,B162,忠孝7樓!G:G)</f>
        <v/>
      </c>
      <c r="I162" s="225">
        <f>SUMIF(忠孝國際醫學3樓!B:B,B162,忠孝國際醫學3樓!G:G)</f>
        <v/>
      </c>
      <c r="J162" s="225">
        <f>SUMIF(忠孝健康7樓!B:B,B162,忠孝健康7樓!G:G)</f>
        <v/>
      </c>
      <c r="K162" s="283" t="n"/>
      <c r="L162" s="283" t="n"/>
      <c r="M162" s="283" t="n"/>
      <c r="N162" s="283" t="n"/>
      <c r="O162" s="283" t="n"/>
      <c r="P162" s="283" t="n"/>
      <c r="Q162" s="283" t="n"/>
      <c r="R162" s="283" t="n"/>
      <c r="S162" s="283" t="n"/>
      <c r="T162" s="283" t="n"/>
      <c r="U162" s="283" t="n"/>
      <c r="V162" s="283" t="n"/>
      <c r="W162" s="283" t="n"/>
      <c r="X162" s="283" t="n"/>
      <c r="Y162" s="283" t="n"/>
      <c r="Z162" s="283" t="n"/>
      <c r="AA162" s="283" t="n"/>
      <c r="AB162" s="283" t="n"/>
      <c r="AC162" s="283" t="n"/>
      <c r="AD162" s="283" t="n"/>
      <c r="AE162" s="283" t="n"/>
      <c r="AF162" s="283" t="n"/>
      <c r="AG162" s="283" t="n"/>
      <c r="AH162" s="283" t="n"/>
      <c r="AI162" s="283" t="n"/>
      <c r="AJ162" s="201" t="n"/>
      <c r="AK162" s="201" t="n"/>
      <c r="AL162" s="201" t="n"/>
      <c r="AM162" s="201" t="n"/>
      <c r="AN162" s="201" t="n"/>
      <c r="AO162" s="201" t="n"/>
      <c r="AP162" s="201" t="n"/>
      <c r="AQ162" s="201" t="n"/>
      <c r="AR162" s="201" t="n"/>
      <c r="AS162" s="201" t="n"/>
      <c r="AT162" s="201" t="n"/>
      <c r="AU162" s="201" t="n"/>
      <c r="AV162" s="333" t="n"/>
      <c r="AW162" s="337" t="n"/>
      <c r="AX162" s="292" t="n"/>
      <c r="AY162" s="292" t="n"/>
      <c r="AZ162" s="292" t="n"/>
      <c r="BA162" s="292" t="n"/>
      <c r="BB162" s="201" t="n"/>
      <c r="BC162" s="203">
        <f>SUMIFS(領用表!$L:$L,領用表!$A:$A,BC$2,領用表!$E:$E,B162)</f>
        <v/>
      </c>
      <c r="BD162" s="296">
        <f>SUMIFS(領用表!$L:$L,領用表!$E:$E,$B162,領用表!$B:$B,BC$2&amp;BD$2)</f>
        <v/>
      </c>
      <c r="BE162" s="296">
        <f>SUMIFS(領用表!$L:$L,領用表!$E:$E,$B162,領用表!$B:$B,$BC$2&amp;BE$2)</f>
        <v/>
      </c>
      <c r="BF162" s="296">
        <f>SUMIFS(領用表!$L:$L,領用表!$E:$E,$B162,領用表!$B:$B,$BC$2&amp;BF$2)</f>
        <v/>
      </c>
      <c r="BG162" s="296">
        <f>SUMIFS(領用表!$L:$L,領用表!$E:$E,$B162,領用表!$B:$B,$BC$2&amp;BG$2)</f>
        <v/>
      </c>
      <c r="BH162" s="203">
        <f>SUMIFS(領用表!$L:$L,領用表!$A:$A,BH$2,領用表!$E:$E,B162)</f>
        <v/>
      </c>
      <c r="BI162" s="260">
        <f>SUMIFS(領用表!$L:$L,領用表!$E:$E,$B162,領用表!$B:$B,BH$2&amp;BI$2)</f>
        <v/>
      </c>
      <c r="BJ162" s="260">
        <f>SUMIFS(領用表!$L:$L,領用表!$E:$E,$B162,領用表!$B:$B,$BH$2&amp;BJ$2)</f>
        <v/>
      </c>
      <c r="BK162" s="260">
        <f>SUMIFS(領用表!$L:$L,領用表!$E:$E,$B162,領用表!$B:$B,$BH$2&amp;BK$2)</f>
        <v/>
      </c>
      <c r="BL162" s="260">
        <f>SUMIFS(領用表!$L:$L,領用表!$E:$E,$B162,領用表!$B:$B,$BH$2&amp;BL$2)</f>
        <v/>
      </c>
      <c r="BM162" s="203">
        <f>SUMIFS(領用表!$L:$L,領用表!$A:$A,BM$2,領用表!$E:$E,B162)</f>
        <v/>
      </c>
      <c r="BN162" s="206">
        <f>SUMIFS(領用表!$L:$L,領用表!$E:$E,$B162,領用表!$B:$B,BM$2&amp;BN$2)</f>
        <v/>
      </c>
      <c r="BO162" s="206">
        <f>SUMIFS(領用表!$L:$L,領用表!$E:$E,$B162,領用表!$B:$B,$BM$2&amp;BO$2)</f>
        <v/>
      </c>
      <c r="BP162" s="288">
        <f>SUMIFS(領用表!$L:$L,領用表!$E:$E,$B162,領用表!$B:$B,$BM$2&amp;BP$2)</f>
        <v/>
      </c>
      <c r="BQ162" s="287">
        <f>SUMIFS(領用表!$L:$L,領用表!$E:$E,$B162,領用表!$B:$B,$BM$2&amp;BQ$2)</f>
        <v/>
      </c>
      <c r="BR162" s="203">
        <f>SUMIFS(領用表!$L:$L,領用表!$A:$A,BR$2,領用表!$E:$E,B162)</f>
        <v/>
      </c>
      <c r="BS162" s="260">
        <f>SUMIFS(領用表!$L:$L,領用表!$E:$E,$B162,領用表!$B:$B,BR$2&amp;BS$2)</f>
        <v/>
      </c>
      <c r="BT162" s="260">
        <f>SUMIFS(領用表!$L:$L,領用表!$E:$E,$B162,領用表!$B:$B,$BR$2&amp;BT$2)</f>
        <v/>
      </c>
      <c r="BU162" s="260">
        <f>SUMIFS(領用表!$L:$L,領用表!$E:$E,$B162,領用表!$B:$B,$BR$2&amp;BU$2)</f>
        <v/>
      </c>
      <c r="BV162" s="220">
        <f>SUMIFS(領用表!$L:$L,領用表!$E:$E,$B162,領用表!$B:$B,$BR$2&amp;BV$2)</f>
        <v/>
      </c>
      <c r="BW162" s="208">
        <f>SUMIFS(領用表!$L:$L,領用表!$A:$A,BW$2,領用表!$E:$E,B162)</f>
        <v/>
      </c>
      <c r="BX162" s="206">
        <f>SUMIFS(領用表!$L:$L,領用表!$E:$E,$B162,領用表!$B:$B,BW$2&amp;BX$2)</f>
        <v/>
      </c>
      <c r="BY162" s="206">
        <f>SUMIFS(領用表!$L:$L,領用表!$E:$E,$B162,領用表!$B:$B,$BW$2&amp;BY$2)</f>
        <v/>
      </c>
      <c r="BZ162" s="206">
        <f>SUMIFS(領用表!$L:$L,領用表!$E:$E,$B162,領用表!$B:$B,$BW$2&amp;BZ$2)</f>
        <v/>
      </c>
      <c r="CA162" s="206">
        <f>SUMIFS(領用表!$L:$L,領用表!$E:$E,$B162,領用表!$B:$B,$BW$2&amp;CA$2)</f>
        <v/>
      </c>
      <c r="CB162" s="208">
        <f>SUMIFS(領用表!$L:$L,領用表!$A:$A,CB$2,領用表!$E:$E,B162)</f>
        <v/>
      </c>
      <c r="CC162" s="206">
        <f>SUMIFS(領用表!$L:$L,領用表!$E:$E,$B162,領用表!$B:$B,CB$2&amp;CC$2)</f>
        <v/>
      </c>
      <c r="CD162" s="206">
        <f>SUMIFS(領用表!$L:$L,領用表!$E:$E,$B162,領用表!$B:$B,$CB$2&amp;CD$2)</f>
        <v/>
      </c>
      <c r="CE162" s="206">
        <f>SUMIFS(領用表!$L:$L,領用表!$E:$E,$B162,領用表!$B:$B,$CB$2&amp;CE$2)</f>
        <v/>
      </c>
      <c r="CF162" s="206">
        <f>SUMIFS(領用表!$L:$L,領用表!$E:$E,$B162,領用表!$B:$B,$CB$2&amp;CF$2)</f>
        <v/>
      </c>
      <c r="CG162" s="208">
        <f>SUMIFS(領用表!$L:$L,領用表!$A:$A,CG$2,領用表!$E:$E,B162)</f>
        <v/>
      </c>
      <c r="CH162" s="206">
        <f>SUMIFS(領用表!$L:$L,領用表!$E:$E,$B162,領用表!$B:$B,CG$2&amp;CH$2)</f>
        <v/>
      </c>
      <c r="CI162" s="206">
        <f>SUMIFS(領用表!$L:$L,領用表!$E:$E,$B162,領用表!$B:$B,CG$2&amp;CI$2)</f>
        <v/>
      </c>
      <c r="CJ162" s="206">
        <f>SUMIFS(領用表!$L:$L,領用表!$E:$E,$B162,領用表!$B:$B,CG$2&amp;CJ$2)</f>
        <v/>
      </c>
      <c r="CK162" s="206">
        <f>SUMIFS(領用表!$L:$L,領用表!$E:$E,$B162,領用表!$B:$B,$CG$2&amp;CK$2)</f>
        <v/>
      </c>
      <c r="CL162" s="207">
        <f>SUM(AX162,AY162,AZ162,BA162,BB162,BC162,BH162,BM162,BR162,BW162,CB162,CG162)</f>
        <v/>
      </c>
      <c r="CM162" s="207">
        <f>AVERAGE(AX162,AY162,AZ162,BA162,BB162,BC162,BH162,BM162,BR162,BW162,CB162,CG162)</f>
        <v/>
      </c>
      <c r="CN162" s="208">
        <f>SUMIFS(領用表!$L:$L,領用表!$A:$A,CN$2,領用表!$E:$E,B162)</f>
        <v/>
      </c>
      <c r="CO162" s="206">
        <f>SUMIFS(領用表!$L:$L,領用表!$E:$E,$B162,領用表!$B:$B,CN$2&amp;CO$2)</f>
        <v/>
      </c>
      <c r="CP162" s="206">
        <f>SUMIFS(領用表!$L:$L,領用表!$E:$E,$B162,領用表!$B:$B,$CN$2&amp;CP$2)</f>
        <v/>
      </c>
      <c r="CQ162" s="206">
        <f>SUMIFS(領用表!$L:$L,領用表!$E:$E,$B162,領用表!$B:$B,$CN$2&amp;CQ$2)</f>
        <v/>
      </c>
      <c r="CR162" s="206">
        <f>SUMIFS(領用表!$L:$L,領用表!$E:$E,$B162,領用表!$B:$B,$CN$2&amp;CR$2)</f>
        <v/>
      </c>
      <c r="CS162" s="208">
        <f>SUMIFS(領用表!$L:$L,領用表!$A:$A,CS$2,領用表!$E:$E,B162)</f>
        <v/>
      </c>
      <c r="CT162" s="206">
        <f>SUMIFS(領用表!$L:$L,領用表!$E:$E,$B162,領用表!$B:$B,CS$2&amp;CT$2)</f>
        <v/>
      </c>
      <c r="CU162" s="206">
        <f>SUMIFS(領用表!$L:$L,領用表!$E:$E,$B162,領用表!$B:$B,$CS$2&amp;CU$2)</f>
        <v/>
      </c>
      <c r="CV162" s="206">
        <f>SUMIFS(領用表!$L:$L,領用表!$E:$E,$B162,領用表!$B:$B,$CS$2&amp;CV$2)</f>
        <v/>
      </c>
      <c r="CW162" s="206">
        <f>SUMIFS(領用表!$L:$L,領用表!$E:$E,$B162,領用表!$B:$B,$CS$2&amp;CW$2)</f>
        <v/>
      </c>
      <c r="CX162" s="206">
        <f>SUMIFS(領用表!$L:$L,領用表!$E:$E,$B162,領用表!$B:$B,$CS$2&amp;CX$2)</f>
        <v/>
      </c>
      <c r="CY162" s="208">
        <f>SUMIFS(領用表!$L:$L,領用表!$A:$A,CY$2,領用表!$E:$E,B162)</f>
        <v/>
      </c>
      <c r="CZ162" s="331">
        <f>SUMIFS(領用表!$L:$L,領用表!$E:$E,$B162,領用表!$B:$B,CY$2&amp;CZ$2)</f>
        <v/>
      </c>
      <c r="DA162" s="331">
        <f>SUMIFS(領用表!$L:$L,領用表!$E:$E,$B162,領用表!$B:$B,$CY$2&amp;DA$2)</f>
        <v/>
      </c>
      <c r="DB162" s="331">
        <f>SUMIFS(領用表!$L:$L,領用表!$E:$E,$B162,領用表!$B:$B,$CY$2&amp;DB$2)</f>
        <v/>
      </c>
      <c r="DC162" s="331">
        <f>SUMIFS(領用表!$L:$L,領用表!$E:$E,$B162,領用表!$B:$B,$CY$2&amp;DC$2)</f>
        <v/>
      </c>
      <c r="DD162" s="331">
        <f>SUMIFS(領用表!$L:$L,領用表!$E:$E,$B162,領用表!$B:$B,$CY$2&amp;DD$2)</f>
        <v/>
      </c>
      <c r="DE162" s="208">
        <f>SUMIFS(領用表!$L:$L,領用表!$A:$A,DE$2,領用表!$E:$E,B162)</f>
        <v/>
      </c>
      <c r="DF162" s="331">
        <f>SUMIFS(領用表!$L:$L,領用表!$E:$E,$B162,領用表!$B:$B,DE$2&amp;DF$2)</f>
        <v/>
      </c>
      <c r="DG162" s="331">
        <f>SUMIFS(領用表!$L:$L,領用表!$E:$E,$B162,領用表!$B:$B,$DE$2&amp;DG$2)</f>
        <v/>
      </c>
      <c r="DH162" s="331">
        <f>SUMIFS(領用表!$L:$L,領用表!$E:$E,$B162,領用表!$B:$B,$DE$2&amp;DH$2)</f>
        <v/>
      </c>
      <c r="DI162" s="331">
        <f>SUMIFS(領用表!$L:$L,領用表!$E:$E,$B162,領用表!$B:$B,$DE$2&amp;DI$2)</f>
        <v/>
      </c>
      <c r="DJ162" s="331">
        <f>SUMIFS(領用表!$L:$L,領用表!$E:$E,$B162,領用表!$B:$B,$DE$2&amp;DJ$2)</f>
        <v/>
      </c>
      <c r="DK162" s="208">
        <f>SUMIFS(領用表!$L:$L,領用表!$A:$A,DK$2,領用表!$E:$E,$B162)</f>
        <v/>
      </c>
      <c r="DL162" s="331">
        <f>SUMIFS(領用表!$L:$L,領用表!$E:$E,$B162,領用表!$B:$B,DK$2&amp;DL$2)</f>
        <v/>
      </c>
      <c r="DM162" s="331">
        <f>SUMIFS(領用表!$L:$L,領用表!$E:$E,$B162,領用表!$B:$B,$DK$2&amp;DM$2)</f>
        <v/>
      </c>
      <c r="DN162" s="331">
        <f>SUMIFS(領用表!$L:$L,領用表!$E:$E,$B162,領用表!$B:$B,$DK$2&amp;DN$2)</f>
        <v/>
      </c>
      <c r="DO162" s="331">
        <f>SUMIFS(領用表!$L:$L,領用表!$E:$E,$B162,領用表!$B:$B,$DK$2&amp;DO$2)</f>
        <v/>
      </c>
      <c r="DP162" s="331">
        <f>SUMIFS(領用表!$L:$L,領用表!$E:$E,$B162,領用表!$B:$B,$DK$2&amp;DP$2)</f>
        <v/>
      </c>
      <c r="DQ162" s="208" t="n"/>
      <c r="DR162" s="331" t="n"/>
      <c r="DS162" s="331" t="n"/>
      <c r="DT162" s="331" t="n"/>
      <c r="DU162" s="331" t="n"/>
      <c r="DV162" s="331" t="n"/>
      <c r="DW162" s="331">
        <f>SUM(CN162,CS162,CY162,DE162,DK162,DQ162)</f>
        <v/>
      </c>
      <c r="DX162" s="331">
        <f>AVERAGEA(CN162,CS162,CY162,DE162,DK162,DQ162)</f>
        <v/>
      </c>
      <c r="DY162" s="331">
        <f>SUM(DZ162:EC162)</f>
        <v/>
      </c>
      <c r="DZ162" s="331" t="n">
        <v>0</v>
      </c>
      <c r="EA162" s="331" t="n">
        <v>0</v>
      </c>
      <c r="EB162" s="331" t="n">
        <v>0</v>
      </c>
      <c r="EC162" s="331" t="n">
        <v>0</v>
      </c>
      <c r="ED162" s="338" t="n"/>
      <c r="EE162" s="333" t="n"/>
      <c r="EF162" s="252" t="inlineStr">
        <is>
          <t>576(10/22)</t>
        </is>
      </c>
      <c r="EG162" s="252" t="n"/>
      <c r="EH162" s="136" t="n"/>
      <c r="EI162" s="136" t="n"/>
      <c r="EJ162" s="118">
        <f>IFERROR(VLOOKUP(A162,站前4樓!A:BF,57,0),0)</f>
        <v/>
      </c>
      <c r="EK162" s="213">
        <f>IFERROR(VLOOKUP(A162,站前11樓!A:BE,57,0),0)</f>
        <v/>
      </c>
      <c r="EL162" s="118">
        <f>IFERROR(VLOOKUP(A162,忠孝7樓!A:N,57,0),0)</f>
        <v/>
      </c>
      <c r="EM162" s="118">
        <f>IFERROR(VLOOKUP(A162,忠孝國際醫學3樓!A:L,57,0),0)</f>
        <v/>
      </c>
      <c r="EN162" s="118">
        <f>SUM(ED162:EG162)</f>
        <v/>
      </c>
    </row>
    <row r="163" ht="15" customFormat="1" customHeight="1" s="118">
      <c r="A163" s="136" t="inlineStr">
        <is>
          <t>DE1AA090014T</t>
        </is>
      </c>
      <c r="C163" s="136" t="inlineStr">
        <is>
          <t>緊緻抗皺彈力面膜 30mL</t>
        </is>
      </c>
      <c r="D163" s="285" t="n"/>
      <c r="E163" s="198" t="inlineStr">
        <is>
          <t>PCS</t>
        </is>
      </c>
      <c r="F163" s="225">
        <f>SUMIF(站前4樓!B:B,B163,站前4樓!F:F)</f>
        <v/>
      </c>
      <c r="G163" s="225">
        <f>SUMIF(站前11樓!B:B,B163,站前11樓!F:F)</f>
        <v/>
      </c>
      <c r="H163" s="225">
        <f>SUMIF(忠孝7樓!B:B,B163,忠孝7樓!G:G)</f>
        <v/>
      </c>
      <c r="I163" s="225">
        <f>SUMIF(忠孝國際醫學3樓!B:B,B163,忠孝國際醫學3樓!G:G)</f>
        <v/>
      </c>
      <c r="J163" s="225">
        <f>SUMIF(忠孝健康7樓!B:B,B163,忠孝健康7樓!G:G)</f>
        <v/>
      </c>
      <c r="K163" s="283" t="n"/>
      <c r="L163" s="283" t="n"/>
      <c r="M163" s="283" t="n"/>
      <c r="N163" s="283" t="n"/>
      <c r="O163" s="283" t="n"/>
      <c r="P163" s="283" t="n"/>
      <c r="Q163" s="283" t="n"/>
      <c r="R163" s="283" t="n"/>
      <c r="S163" s="283" t="n"/>
      <c r="T163" s="283" t="n"/>
      <c r="U163" s="283" t="n"/>
      <c r="V163" s="283" t="n"/>
      <c r="W163" s="283" t="n"/>
      <c r="X163" s="283" t="n"/>
      <c r="Y163" s="283" t="n"/>
      <c r="Z163" s="283" t="n"/>
      <c r="AA163" s="283" t="n"/>
      <c r="AB163" s="283" t="n"/>
      <c r="AC163" s="283" t="n"/>
      <c r="AD163" s="283" t="n"/>
      <c r="AE163" s="283" t="n"/>
      <c r="AF163" s="283" t="n"/>
      <c r="AG163" s="283" t="n"/>
      <c r="AH163" s="283" t="n"/>
      <c r="AI163" s="283" t="n"/>
      <c r="AJ163" s="201" t="n"/>
      <c r="AK163" s="201" t="n"/>
      <c r="AL163" s="201" t="n"/>
      <c r="AM163" s="201" t="n"/>
      <c r="AN163" s="201" t="n"/>
      <c r="AO163" s="201" t="n"/>
      <c r="AP163" s="201" t="n"/>
      <c r="AQ163" s="201" t="n"/>
      <c r="AR163" s="201" t="n"/>
      <c r="AS163" s="201" t="n"/>
      <c r="AT163" s="201" t="n"/>
      <c r="AU163" s="201" t="n"/>
      <c r="AV163" s="333" t="n"/>
      <c r="AW163" s="337" t="n"/>
      <c r="AX163" s="292" t="n"/>
      <c r="AY163" s="292" t="n"/>
      <c r="AZ163" s="292" t="n"/>
      <c r="BA163" s="292" t="n"/>
      <c r="BB163" s="201" t="n"/>
      <c r="BC163" s="203">
        <f>SUMIFS(領用表!$L:$L,領用表!$A:$A,BC$2,領用表!$E:$E,B163)</f>
        <v/>
      </c>
      <c r="BD163" s="296">
        <f>SUMIFS(領用表!$L:$L,領用表!$E:$E,$B163,領用表!$B:$B,BC$2&amp;BD$2)</f>
        <v/>
      </c>
      <c r="BE163" s="296">
        <f>SUMIFS(領用表!$L:$L,領用表!$E:$E,$B163,領用表!$B:$B,$BC$2&amp;BE$2)</f>
        <v/>
      </c>
      <c r="BF163" s="296">
        <f>SUMIFS(領用表!$L:$L,領用表!$E:$E,$B163,領用表!$B:$B,$BC$2&amp;BF$2)</f>
        <v/>
      </c>
      <c r="BG163" s="296">
        <f>SUMIFS(領用表!$L:$L,領用表!$E:$E,$B163,領用表!$B:$B,$BC$2&amp;BG$2)</f>
        <v/>
      </c>
      <c r="BH163" s="203">
        <f>SUMIFS(領用表!$L:$L,領用表!$A:$A,BH$2,領用表!$E:$E,B163)</f>
        <v/>
      </c>
      <c r="BI163" s="260">
        <f>SUMIFS(領用表!$L:$L,領用表!$E:$E,$B163,領用表!$B:$B,BH$2&amp;BI$2)</f>
        <v/>
      </c>
      <c r="BJ163" s="260">
        <f>SUMIFS(領用表!$L:$L,領用表!$E:$E,$B163,領用表!$B:$B,$BH$2&amp;BJ$2)</f>
        <v/>
      </c>
      <c r="BK163" s="260">
        <f>SUMIFS(領用表!$L:$L,領用表!$E:$E,$B163,領用表!$B:$B,$BH$2&amp;BK$2)</f>
        <v/>
      </c>
      <c r="BL163" s="260">
        <f>SUMIFS(領用表!$L:$L,領用表!$E:$E,$B163,領用表!$B:$B,$BH$2&amp;BL$2)</f>
        <v/>
      </c>
      <c r="BM163" s="203">
        <f>SUMIFS(領用表!$L:$L,領用表!$A:$A,BM$2,領用表!$E:$E,B163)</f>
        <v/>
      </c>
      <c r="BN163" s="206">
        <f>SUMIFS(領用表!$L:$L,領用表!$E:$E,$B163,領用表!$B:$B,BM$2&amp;BN$2)</f>
        <v/>
      </c>
      <c r="BO163" s="206">
        <f>SUMIFS(領用表!$L:$L,領用表!$E:$E,$B163,領用表!$B:$B,$BM$2&amp;BO$2)</f>
        <v/>
      </c>
      <c r="BP163" s="288">
        <f>SUMIFS(領用表!$L:$L,領用表!$E:$E,$B163,領用表!$B:$B,$BM$2&amp;BP$2)</f>
        <v/>
      </c>
      <c r="BQ163" s="287">
        <f>SUMIFS(領用表!$L:$L,領用表!$E:$E,$B163,領用表!$B:$B,$BM$2&amp;BQ$2)</f>
        <v/>
      </c>
      <c r="BR163" s="203">
        <f>SUMIFS(領用表!$L:$L,領用表!$A:$A,BR$2,領用表!$E:$E,B163)</f>
        <v/>
      </c>
      <c r="BS163" s="260">
        <f>SUMIFS(領用表!$L:$L,領用表!$E:$E,$B163,領用表!$B:$B,BR$2&amp;BS$2)</f>
        <v/>
      </c>
      <c r="BT163" s="260">
        <f>SUMIFS(領用表!$L:$L,領用表!$E:$E,$B163,領用表!$B:$B,$BR$2&amp;BT$2)</f>
        <v/>
      </c>
      <c r="BU163" s="260">
        <f>SUMIFS(領用表!$L:$L,領用表!$E:$E,$B163,領用表!$B:$B,$BR$2&amp;BU$2)</f>
        <v/>
      </c>
      <c r="BV163" s="220">
        <f>SUMIFS(領用表!$L:$L,領用表!$E:$E,$B163,領用表!$B:$B,$BR$2&amp;BV$2)</f>
        <v/>
      </c>
      <c r="BW163" s="208">
        <f>SUMIFS(領用表!$L:$L,領用表!$A:$A,BW$2,領用表!$E:$E,B163)</f>
        <v/>
      </c>
      <c r="BX163" s="206">
        <f>SUMIFS(領用表!$L:$L,領用表!$E:$E,$B163,領用表!$B:$B,BW$2&amp;BX$2)</f>
        <v/>
      </c>
      <c r="BY163" s="206">
        <f>SUMIFS(領用表!$L:$L,領用表!$E:$E,$B163,領用表!$B:$B,$BW$2&amp;BY$2)</f>
        <v/>
      </c>
      <c r="BZ163" s="206">
        <f>SUMIFS(領用表!$L:$L,領用表!$E:$E,$B163,領用表!$B:$B,$BW$2&amp;BZ$2)</f>
        <v/>
      </c>
      <c r="CA163" s="206">
        <f>SUMIFS(領用表!$L:$L,領用表!$E:$E,$B163,領用表!$B:$B,$BW$2&amp;CA$2)</f>
        <v/>
      </c>
      <c r="CB163" s="208">
        <f>SUMIFS(領用表!$L:$L,領用表!$A:$A,CB$2,領用表!$E:$E,B163)</f>
        <v/>
      </c>
      <c r="CC163" s="206">
        <f>SUMIFS(領用表!$L:$L,領用表!$E:$E,$B163,領用表!$B:$B,CB$2&amp;CC$2)</f>
        <v/>
      </c>
      <c r="CD163" s="206">
        <f>SUMIFS(領用表!$L:$L,領用表!$E:$E,$B163,領用表!$B:$B,$CB$2&amp;CD$2)</f>
        <v/>
      </c>
      <c r="CE163" s="206">
        <f>SUMIFS(領用表!$L:$L,領用表!$E:$E,$B163,領用表!$B:$B,$CB$2&amp;CE$2)</f>
        <v/>
      </c>
      <c r="CF163" s="206">
        <f>SUMIFS(領用表!$L:$L,領用表!$E:$E,$B163,領用表!$B:$B,$CB$2&amp;CF$2)</f>
        <v/>
      </c>
      <c r="CG163" s="208">
        <f>SUMIFS(領用表!$L:$L,領用表!$A:$A,CG$2,領用表!$E:$E,B163)</f>
        <v/>
      </c>
      <c r="CH163" s="206">
        <f>SUMIFS(領用表!$L:$L,領用表!$E:$E,$B163,領用表!$B:$B,CG$2&amp;CH$2)</f>
        <v/>
      </c>
      <c r="CI163" s="206">
        <f>SUMIFS(領用表!$L:$L,領用表!$E:$E,$B163,領用表!$B:$B,CG$2&amp;CI$2)</f>
        <v/>
      </c>
      <c r="CJ163" s="206">
        <f>SUMIFS(領用表!$L:$L,領用表!$E:$E,$B163,領用表!$B:$B,CG$2&amp;CJ$2)</f>
        <v/>
      </c>
      <c r="CK163" s="206">
        <f>SUMIFS(領用表!$L:$L,領用表!$E:$E,$B163,領用表!$B:$B,$CG$2&amp;CK$2)</f>
        <v/>
      </c>
      <c r="CL163" s="207">
        <f>SUM(AX163,AY163,AZ163,BA163,BB163,BC163,BH163,BM163,BR163,BW163,CB163,CG163)</f>
        <v/>
      </c>
      <c r="CM163" s="207">
        <f>AVERAGE(AX163,AY163,AZ163,BA163,BB163,BC163,BH163,BM163,BR163,BW163,CB163,CG163)</f>
        <v/>
      </c>
      <c r="CN163" s="208">
        <f>SUMIFS(領用表!$L:$L,領用表!$A:$A,CN$2,領用表!$E:$E,B163)</f>
        <v/>
      </c>
      <c r="CO163" s="206">
        <f>SUMIFS(領用表!$L:$L,領用表!$E:$E,$B163,領用表!$B:$B,CN$2&amp;CO$2)</f>
        <v/>
      </c>
      <c r="CP163" s="206">
        <f>SUMIFS(領用表!$L:$L,領用表!$E:$E,$B163,領用表!$B:$B,$CN$2&amp;CP$2)</f>
        <v/>
      </c>
      <c r="CQ163" s="206">
        <f>SUMIFS(領用表!$L:$L,領用表!$E:$E,$B163,領用表!$B:$B,$CN$2&amp;CQ$2)</f>
        <v/>
      </c>
      <c r="CR163" s="206">
        <f>SUMIFS(領用表!$L:$L,領用表!$E:$E,$B163,領用表!$B:$B,$CN$2&amp;CR$2)</f>
        <v/>
      </c>
      <c r="CS163" s="208">
        <f>SUMIFS(領用表!$L:$L,領用表!$A:$A,CS$2,領用表!$E:$E,B163)</f>
        <v/>
      </c>
      <c r="CT163" s="206">
        <f>SUMIFS(領用表!$L:$L,領用表!$E:$E,$B163,領用表!$B:$B,CS$2&amp;CT$2)</f>
        <v/>
      </c>
      <c r="CU163" s="206">
        <f>SUMIFS(領用表!$L:$L,領用表!$E:$E,$B163,領用表!$B:$B,$CS$2&amp;CU$2)</f>
        <v/>
      </c>
      <c r="CV163" s="206">
        <f>SUMIFS(領用表!$L:$L,領用表!$E:$E,$B163,領用表!$B:$B,$CS$2&amp;CV$2)</f>
        <v/>
      </c>
      <c r="CW163" s="206">
        <f>SUMIFS(領用表!$L:$L,領用表!$E:$E,$B163,領用表!$B:$B,$CS$2&amp;CW$2)</f>
        <v/>
      </c>
      <c r="CX163" s="206">
        <f>SUMIFS(領用表!$L:$L,領用表!$E:$E,$B163,領用表!$B:$B,$CS$2&amp;CX$2)</f>
        <v/>
      </c>
      <c r="CY163" s="208">
        <f>SUMIFS(領用表!$L:$L,領用表!$A:$A,CY$2,領用表!$E:$E,B163)</f>
        <v/>
      </c>
      <c r="CZ163" s="331">
        <f>SUMIFS(領用表!$L:$L,領用表!$E:$E,$B163,領用表!$B:$B,CY$2&amp;CZ$2)</f>
        <v/>
      </c>
      <c r="DA163" s="331">
        <f>SUMIFS(領用表!$L:$L,領用表!$E:$E,$B163,領用表!$B:$B,$CY$2&amp;DA$2)</f>
        <v/>
      </c>
      <c r="DB163" s="331">
        <f>SUMIFS(領用表!$L:$L,領用表!$E:$E,$B163,領用表!$B:$B,$CY$2&amp;DB$2)</f>
        <v/>
      </c>
      <c r="DC163" s="331">
        <f>SUMIFS(領用表!$L:$L,領用表!$E:$E,$B163,領用表!$B:$B,$CY$2&amp;DC$2)</f>
        <v/>
      </c>
      <c r="DD163" s="331">
        <f>SUMIFS(領用表!$L:$L,領用表!$E:$E,$B163,領用表!$B:$B,$CY$2&amp;DD$2)</f>
        <v/>
      </c>
      <c r="DE163" s="208">
        <f>SUMIFS(領用表!$L:$L,領用表!$A:$A,DE$2,領用表!$E:$E,B163)</f>
        <v/>
      </c>
      <c r="DF163" s="331">
        <f>SUMIFS(領用表!$L:$L,領用表!$E:$E,$B163,領用表!$B:$B,DE$2&amp;DF$2)</f>
        <v/>
      </c>
      <c r="DG163" s="331">
        <f>SUMIFS(領用表!$L:$L,領用表!$E:$E,$B163,領用表!$B:$B,$DE$2&amp;DG$2)</f>
        <v/>
      </c>
      <c r="DH163" s="331">
        <f>SUMIFS(領用表!$L:$L,領用表!$E:$E,$B163,領用表!$B:$B,$DE$2&amp;DH$2)</f>
        <v/>
      </c>
      <c r="DI163" s="331">
        <f>SUMIFS(領用表!$L:$L,領用表!$E:$E,$B163,領用表!$B:$B,$DE$2&amp;DI$2)</f>
        <v/>
      </c>
      <c r="DJ163" s="331">
        <f>SUMIFS(領用表!$L:$L,領用表!$E:$E,$B163,領用表!$B:$B,$DE$2&amp;DJ$2)</f>
        <v/>
      </c>
      <c r="DK163" s="208">
        <f>SUMIFS(領用表!$L:$L,領用表!$A:$A,DK$2,領用表!$E:$E,$B163)</f>
        <v/>
      </c>
      <c r="DL163" s="331">
        <f>SUMIFS(領用表!$L:$L,領用表!$E:$E,$B163,領用表!$B:$B,DK$2&amp;DL$2)</f>
        <v/>
      </c>
      <c r="DM163" s="331">
        <f>SUMIFS(領用表!$L:$L,領用表!$E:$E,$B163,領用表!$B:$B,$DK$2&amp;DM$2)</f>
        <v/>
      </c>
      <c r="DN163" s="331">
        <f>SUMIFS(領用表!$L:$L,領用表!$E:$E,$B163,領用表!$B:$B,$DK$2&amp;DN$2)</f>
        <v/>
      </c>
      <c r="DO163" s="331">
        <f>SUMIFS(領用表!$L:$L,領用表!$E:$E,$B163,領用表!$B:$B,$DK$2&amp;DO$2)</f>
        <v/>
      </c>
      <c r="DP163" s="331">
        <f>SUMIFS(領用表!$L:$L,領用表!$E:$E,$B163,領用表!$B:$B,$DK$2&amp;DP$2)</f>
        <v/>
      </c>
      <c r="DQ163" s="208" t="n"/>
      <c r="DR163" s="331" t="n"/>
      <c r="DS163" s="331" t="n"/>
      <c r="DT163" s="331" t="n"/>
      <c r="DU163" s="331" t="n"/>
      <c r="DV163" s="331" t="n"/>
      <c r="DW163" s="331">
        <f>SUM(CN163,CS163,CY163,DE163,DK163,DQ163)</f>
        <v/>
      </c>
      <c r="DX163" s="331">
        <f>AVERAGEA(CN163,CS163,CY163,DE163,DK163,DQ163)</f>
        <v/>
      </c>
      <c r="DY163" s="331">
        <f>SUM(DZ163:EC163)</f>
        <v/>
      </c>
      <c r="DZ163" s="331" t="n">
        <v>0</v>
      </c>
      <c r="EA163" s="331" t="n">
        <v>0</v>
      </c>
      <c r="EB163" s="331" t="n">
        <v>0</v>
      </c>
      <c r="EC163" s="331" t="n">
        <v>0</v>
      </c>
      <c r="ED163" s="338" t="n"/>
      <c r="EE163" s="333" t="n"/>
      <c r="EF163" s="252" t="inlineStr">
        <is>
          <t>600(10/22)</t>
        </is>
      </c>
      <c r="EG163" s="252" t="n"/>
      <c r="EH163" s="136" t="n"/>
      <c r="EI163" s="136" t="n"/>
      <c r="EJ163" s="118">
        <f>IFERROR(VLOOKUP(A163,站前4樓!A:BF,57,0),0)</f>
        <v/>
      </c>
      <c r="EK163" s="213">
        <f>IFERROR(VLOOKUP(A163,站前11樓!A:BE,57,0),0)</f>
        <v/>
      </c>
      <c r="EL163" s="118">
        <f>IFERROR(VLOOKUP(A163,忠孝7樓!A:N,57,0),0)</f>
        <v/>
      </c>
      <c r="EM163" s="118">
        <f>IFERROR(VLOOKUP(A163,忠孝國際醫學3樓!A:L,57,0),0)</f>
        <v/>
      </c>
      <c r="EN163" s="118">
        <f>SUM(ED163:EG163)</f>
        <v/>
      </c>
    </row>
    <row r="164" ht="15" customFormat="1" customHeight="1" s="118">
      <c r="A164" s="136" t="inlineStr">
        <is>
          <t>TN1AA060003T</t>
        </is>
      </c>
      <c r="B164" s="118" t="n">
        <v>6060001</v>
      </c>
      <c r="C164" s="136" t="inlineStr">
        <is>
          <t>試用-金采賦活保濕精華霜 100ml</t>
        </is>
      </c>
      <c r="D164" s="285" t="n"/>
      <c r="E164" s="198" t="inlineStr">
        <is>
          <t>PCS</t>
        </is>
      </c>
      <c r="F164" s="225">
        <f>SUMIF(站前4樓!B:B,B164,站前4樓!F:F)</f>
        <v/>
      </c>
      <c r="G164" s="225">
        <f>SUMIF(站前11樓!B:B,B164,站前11樓!F:F)</f>
        <v/>
      </c>
      <c r="H164" s="225">
        <f>SUMIF(忠孝7樓!B:B,B164,忠孝7樓!G:G)</f>
        <v/>
      </c>
      <c r="I164" s="225">
        <f>SUMIF(忠孝國際醫學3樓!B:B,B164,忠孝國際醫學3樓!G:G)</f>
        <v/>
      </c>
      <c r="J164" s="225">
        <f>SUMIF(忠孝健康7樓!B:B,B164,忠孝健康7樓!G:G)</f>
        <v/>
      </c>
      <c r="K164" s="283" t="n"/>
      <c r="L164" s="283" t="n"/>
      <c r="M164" s="283" t="n"/>
      <c r="N164" s="283" t="n"/>
      <c r="O164" s="283" t="n"/>
      <c r="P164" s="283" t="n"/>
      <c r="Q164" s="283" t="n"/>
      <c r="R164" s="283" t="n"/>
      <c r="S164" s="283" t="n"/>
      <c r="T164" s="283" t="n"/>
      <c r="U164" s="283" t="n"/>
      <c r="V164" s="283" t="n"/>
      <c r="W164" s="283" t="n"/>
      <c r="X164" s="283" t="n"/>
      <c r="Y164" s="283" t="n"/>
      <c r="Z164" s="283" t="n"/>
      <c r="AA164" s="283" t="n"/>
      <c r="AB164" s="283" t="n"/>
      <c r="AC164" s="283" t="n"/>
      <c r="AD164" s="283" t="n"/>
      <c r="AE164" s="283" t="n"/>
      <c r="AF164" s="283" t="n"/>
      <c r="AG164" s="283" t="n"/>
      <c r="AH164" s="283" t="n"/>
      <c r="AI164" s="283" t="n"/>
      <c r="AJ164" s="201" t="n"/>
      <c r="AK164" s="201" t="n"/>
      <c r="AL164" s="201" t="n"/>
      <c r="AM164" s="201" t="n"/>
      <c r="AN164" s="201" t="n"/>
      <c r="AO164" s="201" t="n"/>
      <c r="AP164" s="201" t="n"/>
      <c r="AQ164" s="201" t="n">
        <v>5</v>
      </c>
      <c r="AR164" s="201" t="n">
        <v>0</v>
      </c>
      <c r="AS164" s="201" t="n">
        <v>5</v>
      </c>
      <c r="AT164" s="201" t="n">
        <v>7</v>
      </c>
      <c r="AU164" s="201" t="n">
        <v>0</v>
      </c>
      <c r="AV164" s="283">
        <f>SUM(AJ164:AU164)</f>
        <v/>
      </c>
      <c r="AW164" s="286">
        <f>AV164/12</f>
        <v/>
      </c>
      <c r="AX164" s="201" t="n">
        <v>10</v>
      </c>
      <c r="AY164" s="201" t="n">
        <v>16</v>
      </c>
      <c r="AZ164" s="201" t="n">
        <v>10</v>
      </c>
      <c r="BA164" s="201" t="n">
        <v>0</v>
      </c>
      <c r="BB164" s="201" t="n">
        <v>0</v>
      </c>
      <c r="BC164" s="203">
        <f>SUMIFS(領用表!$L:$L,領用表!$A:$A,BC$2,領用表!$E:$E,B164)</f>
        <v/>
      </c>
      <c r="BD164" s="296">
        <f>SUMIFS(領用表!$L:$L,領用表!$E:$E,$B164,領用表!$B:$B,BC$2&amp;BD$2)</f>
        <v/>
      </c>
      <c r="BE164" s="296">
        <f>SUMIFS(領用表!$L:$L,領用表!$E:$E,$B164,領用表!$B:$B,$BC$2&amp;BE$2)</f>
        <v/>
      </c>
      <c r="BF164" s="296">
        <f>SUMIFS(領用表!$L:$L,領用表!$E:$E,$B164,領用表!$B:$B,$BC$2&amp;BF$2)</f>
        <v/>
      </c>
      <c r="BG164" s="296">
        <f>SUMIFS(領用表!$L:$L,領用表!$E:$E,$B164,領用表!$B:$B,$BC$2&amp;BG$2)</f>
        <v/>
      </c>
      <c r="BH164" s="203">
        <f>SUMIFS(領用表!$L:$L,領用表!$A:$A,BH$2,領用表!$E:$E,B164)</f>
        <v/>
      </c>
      <c r="BI164" s="260">
        <f>SUMIFS(領用表!$L:$L,領用表!$E:$E,$B164,領用表!$B:$B,BH$2&amp;BI$2)</f>
        <v/>
      </c>
      <c r="BJ164" s="260">
        <f>SUMIFS(領用表!$L:$L,領用表!$E:$E,$B164,領用表!$B:$B,$BH$2&amp;BJ$2)</f>
        <v/>
      </c>
      <c r="BK164" s="260">
        <f>SUMIFS(領用表!$L:$L,領用表!$E:$E,$B164,領用表!$B:$B,$BH$2&amp;BK$2)</f>
        <v/>
      </c>
      <c r="BL164" s="260">
        <f>SUMIFS(領用表!$L:$L,領用表!$E:$E,$B164,領用表!$B:$B,$BH$2&amp;BL$2)</f>
        <v/>
      </c>
      <c r="BM164" s="203">
        <f>SUMIFS(領用表!$L:$L,領用表!$A:$A,BM$2,領用表!$E:$E,B164)</f>
        <v/>
      </c>
      <c r="BN164" s="206">
        <f>SUMIFS(領用表!$L:$L,領用表!$E:$E,$B164,領用表!$B:$B,BM$2&amp;BN$2)</f>
        <v/>
      </c>
      <c r="BO164" s="206">
        <f>SUMIFS(領用表!$L:$L,領用表!$E:$E,$B164,領用表!$B:$B,$BM$2&amp;BO$2)</f>
        <v/>
      </c>
      <c r="BP164" s="288">
        <f>SUMIFS(領用表!$L:$L,領用表!$E:$E,$B164,領用表!$B:$B,$BM$2&amp;BP$2)</f>
        <v/>
      </c>
      <c r="BQ164" s="287">
        <f>SUMIFS(領用表!$L:$L,領用表!$E:$E,$B164,領用表!$B:$B,$BM$2&amp;BQ$2)</f>
        <v/>
      </c>
      <c r="BR164" s="203">
        <f>SUMIFS(領用表!$L:$L,領用表!$A:$A,BR$2,領用表!$E:$E,B164)</f>
        <v/>
      </c>
      <c r="BS164" s="260">
        <f>SUMIFS(領用表!$L:$L,領用表!$E:$E,$B164,領用表!$B:$B,BR$2&amp;BS$2)</f>
        <v/>
      </c>
      <c r="BT164" s="260">
        <f>SUMIFS(領用表!$L:$L,領用表!$E:$E,$B164,領用表!$B:$B,$BR$2&amp;BT$2)</f>
        <v/>
      </c>
      <c r="BU164" s="260">
        <f>SUMIFS(領用表!$L:$L,領用表!$E:$E,$B164,領用表!$B:$B,$BR$2&amp;BU$2)</f>
        <v/>
      </c>
      <c r="BV164" s="220">
        <f>SUMIFS(領用表!$L:$L,領用表!$E:$E,$B164,領用表!$B:$B,$BR$2&amp;BV$2)</f>
        <v/>
      </c>
      <c r="BW164" s="208">
        <f>SUMIFS(領用表!$L:$L,領用表!$A:$A,BW$2,領用表!$E:$E,B164)</f>
        <v/>
      </c>
      <c r="BX164" s="206">
        <f>SUMIFS(領用表!$L:$L,領用表!$E:$E,$B164,領用表!$B:$B,BW$2&amp;BX$2)</f>
        <v/>
      </c>
      <c r="BY164" s="206">
        <f>SUMIFS(領用表!$L:$L,領用表!$E:$E,$B164,領用表!$B:$B,$BW$2&amp;BY$2)</f>
        <v/>
      </c>
      <c r="BZ164" s="206">
        <f>SUMIFS(領用表!$L:$L,領用表!$E:$E,$B164,領用表!$B:$B,$BW$2&amp;BZ$2)</f>
        <v/>
      </c>
      <c r="CA164" s="206">
        <f>SUMIFS(領用表!$L:$L,領用表!$E:$E,$B164,領用表!$B:$B,$BW$2&amp;CA$2)</f>
        <v/>
      </c>
      <c r="CB164" s="208">
        <f>SUMIFS(領用表!$L:$L,領用表!$A:$A,CB$2,領用表!$E:$E,B164)</f>
        <v/>
      </c>
      <c r="CC164" s="206">
        <f>SUMIFS(領用表!$L:$L,領用表!$E:$E,$B164,領用表!$B:$B,CB$2&amp;CC$2)</f>
        <v/>
      </c>
      <c r="CD164" s="206">
        <f>SUMIFS(領用表!$L:$L,領用表!$E:$E,$B164,領用表!$B:$B,$CB$2&amp;CD$2)</f>
        <v/>
      </c>
      <c r="CE164" s="206">
        <f>SUMIFS(領用表!$L:$L,領用表!$E:$E,$B164,領用表!$B:$B,$CB$2&amp;CE$2)</f>
        <v/>
      </c>
      <c r="CF164" s="206">
        <f>SUMIFS(領用表!$L:$L,領用表!$E:$E,$B164,領用表!$B:$B,$CB$2&amp;CF$2)</f>
        <v/>
      </c>
      <c r="CG164" s="208">
        <f>SUMIFS(領用表!$L:$L,領用表!$A:$A,CG$2,領用表!$E:$E,B164)</f>
        <v/>
      </c>
      <c r="CH164" s="206">
        <f>SUMIFS(領用表!$L:$L,領用表!$E:$E,$B164,領用表!$B:$B,CG$2&amp;CH$2)</f>
        <v/>
      </c>
      <c r="CI164" s="206">
        <f>SUMIFS(領用表!$L:$L,領用表!$E:$E,$B164,領用表!$B:$B,CG$2&amp;CI$2)</f>
        <v/>
      </c>
      <c r="CJ164" s="206">
        <f>SUMIFS(領用表!$L:$L,領用表!$E:$E,$B164,領用表!$B:$B,CG$2&amp;CJ$2)</f>
        <v/>
      </c>
      <c r="CK164" s="206">
        <f>SUMIFS(領用表!$L:$L,領用表!$E:$E,$B164,領用表!$B:$B,$CG$2&amp;CK$2)</f>
        <v/>
      </c>
      <c r="CL164" s="207">
        <f>SUM(AX164,AY164,AZ164,BA164,BB164,BC164,BH164,BM164,BR164,BW164,CB164,CG164)</f>
        <v/>
      </c>
      <c r="CM164" s="207">
        <f>AVERAGE(AX164,AY164,AZ164,BA164,BB164,BC164,BH164,BM164,BR164,BW164,CB164,CG164)</f>
        <v/>
      </c>
      <c r="CN164" s="208">
        <f>SUMIFS(領用表!$L:$L,領用表!$A:$A,CN$2,領用表!$E:$E,B164)</f>
        <v/>
      </c>
      <c r="CO164" s="206">
        <f>SUMIFS(領用表!$L:$L,領用表!$E:$E,$B164,領用表!$B:$B,CN$2&amp;CO$2)</f>
        <v/>
      </c>
      <c r="CP164" s="206">
        <f>SUMIFS(領用表!$L:$L,領用表!$E:$E,$B164,領用表!$B:$B,$CN$2&amp;CP$2)</f>
        <v/>
      </c>
      <c r="CQ164" s="206">
        <f>SUMIFS(領用表!$L:$L,領用表!$E:$E,$B164,領用表!$B:$B,$CN$2&amp;CQ$2)</f>
        <v/>
      </c>
      <c r="CR164" s="206">
        <f>SUMIFS(領用表!$L:$L,領用表!$E:$E,$B164,領用表!$B:$B,$CN$2&amp;CR$2)</f>
        <v/>
      </c>
      <c r="CS164" s="208">
        <f>SUMIFS(領用表!$L:$L,領用表!$A:$A,CS$2,領用表!$E:$E,B164)</f>
        <v/>
      </c>
      <c r="CT164" s="206">
        <f>SUMIFS(領用表!$L:$L,領用表!$E:$E,$B164,領用表!$B:$B,CS$2&amp;CT$2)</f>
        <v/>
      </c>
      <c r="CU164" s="206">
        <f>SUMIFS(領用表!$L:$L,領用表!$E:$E,$B164,領用表!$B:$B,$CS$2&amp;CU$2)</f>
        <v/>
      </c>
      <c r="CV164" s="206">
        <f>SUMIFS(領用表!$L:$L,領用表!$E:$E,$B164,領用表!$B:$B,$CS$2&amp;CV$2)</f>
        <v/>
      </c>
      <c r="CW164" s="206">
        <f>SUMIFS(領用表!$L:$L,領用表!$E:$E,$B164,領用表!$B:$B,$CS$2&amp;CW$2)</f>
        <v/>
      </c>
      <c r="CX164" s="206">
        <f>SUMIFS(領用表!$L:$L,領用表!$E:$E,$B164,領用表!$B:$B,$CS$2&amp;CX$2)</f>
        <v/>
      </c>
      <c r="CY164" s="208">
        <f>SUMIFS(領用表!$L:$L,領用表!$A:$A,CY$2,領用表!$E:$E,B164)</f>
        <v/>
      </c>
      <c r="CZ164" s="206">
        <f>SUMIFS(領用表!$L:$L,領用表!$E:$E,$B164,領用表!$B:$B,CY$2&amp;CZ$2)</f>
        <v/>
      </c>
      <c r="DA164" s="206">
        <f>SUMIFS(領用表!$L:$L,領用表!$E:$E,$B164,領用表!$B:$B,$CY$2&amp;DA$2)</f>
        <v/>
      </c>
      <c r="DB164" s="206">
        <f>SUMIFS(領用表!$L:$L,領用表!$E:$E,$B164,領用表!$B:$B,$CY$2&amp;DB$2)</f>
        <v/>
      </c>
      <c r="DC164" s="206">
        <f>SUMIFS(領用表!$L:$L,領用表!$E:$E,$B164,領用表!$B:$B,$CY$2&amp;DC$2)</f>
        <v/>
      </c>
      <c r="DD164" s="206">
        <f>SUMIFS(領用表!$L:$L,領用表!$E:$E,$B164,領用表!$B:$B,$CY$2&amp;DD$2)</f>
        <v/>
      </c>
      <c r="DE164" s="208">
        <f>SUMIFS(領用表!$L:$L,領用表!$A:$A,DE$2,領用表!$E:$E,B164)</f>
        <v/>
      </c>
      <c r="DF164" s="206">
        <f>SUMIFS(領用表!$L:$L,領用表!$E:$E,$B164,領用表!$B:$B,DE$2&amp;DF$2)</f>
        <v/>
      </c>
      <c r="DG164" s="206">
        <f>SUMIFS(領用表!$L:$L,領用表!$E:$E,$B164,領用表!$B:$B,$DE$2&amp;DG$2)</f>
        <v/>
      </c>
      <c r="DH164" s="206">
        <f>SUMIFS(領用表!$L:$L,領用表!$E:$E,$B164,領用表!$B:$B,$DE$2&amp;DH$2)</f>
        <v/>
      </c>
      <c r="DI164" s="206">
        <f>SUMIFS(領用表!$L:$L,領用表!$E:$E,$B164,領用表!$B:$B,$DE$2&amp;DI$2)</f>
        <v/>
      </c>
      <c r="DJ164" s="206">
        <f>SUMIFS(領用表!$L:$L,領用表!$E:$E,$B164,領用表!$B:$B,$DE$2&amp;DJ$2)</f>
        <v/>
      </c>
      <c r="DK164" s="208">
        <f>SUMIFS(領用表!$L:$L,領用表!$A:$A,DK$2,領用表!$E:$E,$B164)</f>
        <v/>
      </c>
      <c r="DL164" s="206">
        <f>SUMIFS(領用表!$L:$L,領用表!$E:$E,$B164,領用表!$B:$B,DK$2&amp;DL$2)</f>
        <v/>
      </c>
      <c r="DM164" s="206">
        <f>SUMIFS(領用表!$L:$L,領用表!$E:$E,$B164,領用表!$B:$B,$DK$2&amp;DM$2)</f>
        <v/>
      </c>
      <c r="DN164" s="206">
        <f>SUMIFS(領用表!$L:$L,領用表!$E:$E,$B164,領用表!$B:$B,$DK$2&amp;DN$2)</f>
        <v/>
      </c>
      <c r="DO164" s="206">
        <f>SUMIFS(領用表!$L:$L,領用表!$E:$E,$B164,領用表!$B:$B,$DK$2&amp;DO$2)</f>
        <v/>
      </c>
      <c r="DP164" s="206">
        <f>SUMIFS(領用表!$L:$L,領用表!$E:$E,$B164,領用表!$B:$B,$DK$2&amp;DP$2)</f>
        <v/>
      </c>
      <c r="DQ164" s="208" t="n"/>
      <c r="DR164" s="206" t="n"/>
      <c r="DS164" s="206" t="n"/>
      <c r="DT164" s="206" t="n"/>
      <c r="DU164" s="206" t="n"/>
      <c r="DV164" s="206" t="n"/>
      <c r="DW164" s="206">
        <f>SUM(CN164,CS164,CY164,DE164,DK164,DQ164)</f>
        <v/>
      </c>
      <c r="DX164" s="206">
        <f>AVERAGEA(CN164,CS164,CY164,DE164,DK164,DQ164)</f>
        <v/>
      </c>
      <c r="DY164" s="206">
        <f>SUM(DZ164:EC164)</f>
        <v/>
      </c>
      <c r="DZ164" s="206" t="n">
        <v>0</v>
      </c>
      <c r="EA164" s="206" t="n">
        <v>0</v>
      </c>
      <c r="EB164" s="206" t="n">
        <v>0</v>
      </c>
      <c r="EC164" s="206" t="n">
        <v>0</v>
      </c>
      <c r="ED164" s="258" t="n"/>
      <c r="EE164" s="283" t="n"/>
      <c r="EF164" s="252" t="inlineStr">
        <is>
          <t>16(10/22)</t>
        </is>
      </c>
      <c r="EG164" s="252" t="n"/>
      <c r="EH164" s="136" t="n"/>
      <c r="EI164" s="136" t="n"/>
      <c r="EJ164" s="118">
        <f>IFERROR(VLOOKUP(A164,站前4樓!A:BF,57,0),0)</f>
        <v/>
      </c>
      <c r="EK164" s="213">
        <f>IFERROR(VLOOKUP(A164,站前11樓!A:BE,57,0),0)</f>
        <v/>
      </c>
      <c r="EL164" s="118">
        <f>IFERROR(VLOOKUP(A164,忠孝7樓!A:N,57,0),0)</f>
        <v/>
      </c>
      <c r="EM164" s="118">
        <f>IFERROR(VLOOKUP(A164,忠孝國際醫學3樓!A:L,57,0),0)</f>
        <v/>
      </c>
      <c r="EN164" s="118">
        <f>SUM(ED164:EG164)</f>
        <v/>
      </c>
    </row>
    <row r="165" ht="15.75" customFormat="1" customHeight="1" s="118">
      <c r="A165" s="136" t="inlineStr">
        <is>
          <t>DN1AA200005T</t>
        </is>
      </c>
      <c r="C165" s="136" t="inlineStr">
        <is>
          <t>無瑕清透防護霜 30mL(潤色)</t>
        </is>
      </c>
      <c r="D165" s="285" t="n"/>
      <c r="E165" s="198" t="inlineStr">
        <is>
          <t>PCS</t>
        </is>
      </c>
      <c r="F165" s="225">
        <f>SUMIF(站前4樓!B:B,B165,站前4樓!F:F)</f>
        <v/>
      </c>
      <c r="G165" s="225">
        <f>SUMIF(站前11樓!B:B,B165,站前11樓!F:F)</f>
        <v/>
      </c>
      <c r="H165" s="225">
        <f>SUMIF(忠孝7樓!B:B,B165,忠孝7樓!G:G)</f>
        <v/>
      </c>
      <c r="I165" s="225">
        <f>SUMIF(忠孝國際醫學3樓!B:B,B165,忠孝國際醫學3樓!G:G)</f>
        <v/>
      </c>
      <c r="J165" s="225">
        <f>SUMIF(忠孝健康7樓!B:B,B165,忠孝健康7樓!G:G)</f>
        <v/>
      </c>
      <c r="K165" s="283" t="n"/>
      <c r="L165" s="283" t="n"/>
      <c r="M165" s="283" t="n"/>
      <c r="N165" s="283" t="n"/>
      <c r="O165" s="283" t="n"/>
      <c r="P165" s="283" t="n"/>
      <c r="Q165" s="283" t="n"/>
      <c r="R165" s="283" t="n"/>
      <c r="S165" s="283" t="n"/>
      <c r="T165" s="283" t="n"/>
      <c r="U165" s="283" t="n"/>
      <c r="V165" s="283" t="n"/>
      <c r="W165" s="283" t="n"/>
      <c r="X165" s="283" t="n"/>
      <c r="Y165" s="283" t="n"/>
      <c r="Z165" s="283" t="n"/>
      <c r="AA165" s="283" t="n"/>
      <c r="AB165" s="283" t="n"/>
      <c r="AC165" s="283" t="n"/>
      <c r="AD165" s="283" t="n"/>
      <c r="AE165" s="283" t="n"/>
      <c r="AF165" s="283" t="n"/>
      <c r="AG165" s="283" t="n"/>
      <c r="AH165" s="283" t="n"/>
      <c r="AI165" s="283" t="n"/>
      <c r="AJ165" s="201" t="n"/>
      <c r="AK165" s="201" t="n"/>
      <c r="AL165" s="201" t="n"/>
      <c r="AM165" s="201" t="n"/>
      <c r="AN165" s="201" t="n"/>
      <c r="AO165" s="201" t="n"/>
      <c r="AP165" s="201" t="n"/>
      <c r="AQ165" s="201" t="n">
        <v>0</v>
      </c>
      <c r="AR165" s="201" t="n">
        <v>0</v>
      </c>
      <c r="AS165" s="201" t="n">
        <v>0</v>
      </c>
      <c r="AT165" s="201" t="n">
        <v>0</v>
      </c>
      <c r="AU165" s="201" t="n">
        <v>0</v>
      </c>
      <c r="AV165" s="283">
        <f>SUM(AJ165:AU165)</f>
        <v/>
      </c>
      <c r="AW165" s="286">
        <f>AV165/12</f>
        <v/>
      </c>
      <c r="AX165" s="201" t="n">
        <v>0</v>
      </c>
      <c r="AY165" s="201" t="n">
        <v>80</v>
      </c>
      <c r="AZ165" s="201" t="n">
        <v>0</v>
      </c>
      <c r="BA165" s="201" t="n">
        <v>0</v>
      </c>
      <c r="BB165" s="201" t="n">
        <v>0</v>
      </c>
      <c r="BC165" s="203">
        <f>SUMIFS(領用表!$L:$L,領用表!$A:$A,BC$2,領用表!$E:$E,B165)</f>
        <v/>
      </c>
      <c r="BD165" s="296">
        <f>SUMIFS(領用表!$L:$L,領用表!$E:$E,$B165,領用表!$B:$B,BC$2&amp;BD$2)</f>
        <v/>
      </c>
      <c r="BE165" s="296">
        <f>SUMIFS(領用表!$L:$L,領用表!$E:$E,$B165,領用表!$B:$B,$BC$2&amp;BE$2)</f>
        <v/>
      </c>
      <c r="BF165" s="296">
        <f>SUMIFS(領用表!$L:$L,領用表!$E:$E,$B165,領用表!$B:$B,$BC$2&amp;BF$2)</f>
        <v/>
      </c>
      <c r="BG165" s="296">
        <f>SUMIFS(領用表!$L:$L,領用表!$E:$E,$B165,領用表!$B:$B,$BC$2&amp;BG$2)</f>
        <v/>
      </c>
      <c r="BH165" s="203">
        <f>SUMIFS(領用表!$L:$L,領用表!$A:$A,BH$2,領用表!$E:$E,B165)</f>
        <v/>
      </c>
      <c r="BI165" s="260">
        <f>SUMIFS(領用表!$L:$L,領用表!$E:$E,$B165,領用表!$B:$B,BH$2&amp;BI$2)</f>
        <v/>
      </c>
      <c r="BJ165" s="260">
        <f>SUMIFS(領用表!$L:$L,領用表!$E:$E,$B165,領用表!$B:$B,$BH$2&amp;BJ$2)</f>
        <v/>
      </c>
      <c r="BK165" s="260">
        <f>SUMIFS(領用表!$L:$L,領用表!$E:$E,$B165,領用表!$B:$B,$BH$2&amp;BK$2)</f>
        <v/>
      </c>
      <c r="BL165" s="260">
        <f>SUMIFS(領用表!$L:$L,領用表!$E:$E,$B165,領用表!$B:$B,$BH$2&amp;BL$2)</f>
        <v/>
      </c>
      <c r="BM165" s="203">
        <f>SUMIFS(領用表!$L:$L,領用表!$A:$A,BM$2,領用表!$E:$E,B165)</f>
        <v/>
      </c>
      <c r="BN165" s="206">
        <f>SUMIFS(領用表!$L:$L,領用表!$E:$E,$B165,領用表!$B:$B,BM$2&amp;BN$2)</f>
        <v/>
      </c>
      <c r="BO165" s="206">
        <f>SUMIFS(領用表!$L:$L,領用表!$E:$E,$B165,領用表!$B:$B,$BM$2&amp;BO$2)</f>
        <v/>
      </c>
      <c r="BP165" s="288">
        <f>SUMIFS(領用表!$L:$L,領用表!$E:$E,$B165,領用表!$B:$B,$BM$2&amp;BP$2)</f>
        <v/>
      </c>
      <c r="BQ165" s="287">
        <f>SUMIFS(領用表!$L:$L,領用表!$E:$E,$B165,領用表!$B:$B,$BM$2&amp;BQ$2)</f>
        <v/>
      </c>
      <c r="BR165" s="203">
        <f>SUMIFS(領用表!$L:$L,領用表!$A:$A,BR$2,領用表!$E:$E,B165)</f>
        <v/>
      </c>
      <c r="BS165" s="260">
        <f>SUMIFS(領用表!$L:$L,領用表!$E:$E,$B165,領用表!$B:$B,BR$2&amp;BS$2)</f>
        <v/>
      </c>
      <c r="BT165" s="260">
        <f>SUMIFS(領用表!$L:$L,領用表!$E:$E,$B165,領用表!$B:$B,$BR$2&amp;BT$2)</f>
        <v/>
      </c>
      <c r="BU165" s="260">
        <f>SUMIFS(領用表!$L:$L,領用表!$E:$E,$B165,領用表!$B:$B,$BR$2&amp;BU$2)</f>
        <v/>
      </c>
      <c r="BV165" s="220">
        <f>SUMIFS(領用表!$L:$L,領用表!$E:$E,$B165,領用表!$B:$B,$BR$2&amp;BV$2)</f>
        <v/>
      </c>
      <c r="BW165" s="208">
        <f>SUMIFS(領用表!$L:$L,領用表!$A:$A,BW$2,領用表!$E:$E,B165)</f>
        <v/>
      </c>
      <c r="BX165" s="296">
        <f>SUMIFS(領用表!$L:$L,領用表!$E:$E,$B165,領用表!$B:$B,BW$2&amp;BX$2)</f>
        <v/>
      </c>
      <c r="BY165" s="296">
        <f>SUMIFS(領用表!$L:$L,領用表!$E:$E,$B165,領用表!$B:$B,$BW$2&amp;BY$2)</f>
        <v/>
      </c>
      <c r="BZ165" s="296">
        <f>SUMIFS(領用表!$L:$L,領用表!$E:$E,$B165,領用表!$B:$B,$BW$2&amp;BZ$2)</f>
        <v/>
      </c>
      <c r="CA165" s="296">
        <f>SUMIFS(領用表!$L:$L,領用表!$E:$E,$B165,領用表!$B:$B,$BW$2&amp;CA$2)</f>
        <v/>
      </c>
      <c r="CB165" s="208">
        <f>SUMIFS(領用表!$L:$L,領用表!$A:$A,CB$2,領用表!$E:$E,B165)</f>
        <v/>
      </c>
      <c r="CC165" s="296">
        <f>SUMIFS(領用表!$L:$L,領用表!$E:$E,$B165,領用表!$B:$B,CB$2&amp;CC$2)</f>
        <v/>
      </c>
      <c r="CD165" s="296">
        <f>SUMIFS(領用表!$L:$L,領用表!$E:$E,$B165,領用表!$B:$B,$CB$2&amp;CD$2)</f>
        <v/>
      </c>
      <c r="CE165" s="296">
        <f>SUMIFS(領用表!$L:$L,領用表!$E:$E,$B165,領用表!$B:$B,$CB$2&amp;CE$2)</f>
        <v/>
      </c>
      <c r="CF165" s="296">
        <f>SUMIFS(領用表!$L:$L,領用表!$E:$E,$B165,領用表!$B:$B,$CB$2&amp;CF$2)</f>
        <v/>
      </c>
      <c r="CG165" s="335">
        <f>SUMIFS(領用表!$L:$L,領用表!$A:$A,CG$2,領用表!$E:$E,B165)</f>
        <v/>
      </c>
      <c r="CH165" s="296">
        <f>SUMIFS(領用表!$L:$L,領用表!$E:$E,$B165,領用表!$B:$B,CG$2&amp;CH$2)</f>
        <v/>
      </c>
      <c r="CI165" s="296">
        <f>SUMIFS(領用表!$L:$L,領用表!$E:$E,$B165,領用表!$B:$B,CG$2&amp;CI$2)</f>
        <v/>
      </c>
      <c r="CJ165" s="296">
        <f>SUMIFS(領用表!$L:$L,領用表!$E:$E,$B165,領用表!$B:$B,CG$2&amp;CJ$2)</f>
        <v/>
      </c>
      <c r="CK165" s="296">
        <f>SUMIFS(領用表!$L:$L,領用表!$E:$E,$B165,領用表!$B:$B,$CG$2&amp;CK$2)</f>
        <v/>
      </c>
      <c r="CL165" s="207">
        <f>SUM(AX165,AY165,AZ165,BA165,BB165,BC165,BH165,BM165,BR165,BW165,CB165,CG165)</f>
        <v/>
      </c>
      <c r="CM165" s="207">
        <f>AVERAGE(AX165,AY165,AZ165,BA165,BB165,BC165,BH165,BM165,BR165,BW165,CB165,CG165)</f>
        <v/>
      </c>
      <c r="CN165" s="208">
        <f>SUMIFS(領用表!$L:$L,領用表!$A:$A,CN$2,領用表!$E:$E,B165)</f>
        <v/>
      </c>
      <c r="CO165" s="206">
        <f>SUMIFS(領用表!$L:$L,領用表!$E:$E,$B165,領用表!$B:$B,CN$2&amp;CO$2)</f>
        <v/>
      </c>
      <c r="CP165" s="206">
        <f>SUMIFS(領用表!$L:$L,領用表!$E:$E,$B165,領用表!$B:$B,$CN$2&amp;CP$2)</f>
        <v/>
      </c>
      <c r="CQ165" s="206">
        <f>SUMIFS(領用表!$L:$L,領用表!$E:$E,$B165,領用表!$B:$B,$CN$2&amp;CQ$2)</f>
        <v/>
      </c>
      <c r="CR165" s="296">
        <f>SUMIFS(領用表!$L:$L,領用表!$E:$E,$B165,領用表!$B:$B,$CN$2&amp;CR$2)</f>
        <v/>
      </c>
      <c r="CS165" s="208">
        <f>SUMIFS(領用表!$L:$L,領用表!$A:$A,CS$2,領用表!$E:$E,B165)</f>
        <v/>
      </c>
      <c r="CT165" s="206">
        <f>SUMIFS(領用表!$L:$L,領用表!$E:$E,$B165,領用表!$B:$B,CS$2&amp;CT$2)</f>
        <v/>
      </c>
      <c r="CU165" s="206">
        <f>SUMIFS(領用表!$L:$L,領用表!$E:$E,$B165,領用表!$B:$B,$CS$2&amp;CU$2)</f>
        <v/>
      </c>
      <c r="CV165" s="206">
        <f>SUMIFS(領用表!$L:$L,領用表!$E:$E,$B165,領用表!$B:$B,$CS$2&amp;CV$2)</f>
        <v/>
      </c>
      <c r="CW165" s="206">
        <f>SUMIFS(領用表!$L:$L,領用表!$E:$E,$B165,領用表!$B:$B,$CS$2&amp;CW$2)</f>
        <v/>
      </c>
      <c r="CX165" s="206">
        <f>SUMIFS(領用表!$L:$L,領用表!$E:$E,$B165,領用表!$B:$B,$CS$2&amp;CX$2)</f>
        <v/>
      </c>
      <c r="CY165" s="208">
        <f>SUMIFS(領用表!$L:$L,領用表!$A:$A,CY$2,領用表!$E:$E,B165)</f>
        <v/>
      </c>
      <c r="CZ165" s="296">
        <f>SUMIFS(領用表!$L:$L,領用表!$E:$E,$B165,領用表!$B:$B,CY$2&amp;CZ$2)</f>
        <v/>
      </c>
      <c r="DA165" s="296">
        <f>SUMIFS(領用表!$L:$L,領用表!$E:$E,$B165,領用表!$B:$B,$CY$2&amp;DA$2)</f>
        <v/>
      </c>
      <c r="DB165" s="296">
        <f>SUMIFS(領用表!$L:$L,領用表!$E:$E,$B165,領用表!$B:$B,$CY$2&amp;DB$2)</f>
        <v/>
      </c>
      <c r="DC165" s="296">
        <f>SUMIFS(領用表!$L:$L,領用表!$E:$E,$B165,領用表!$B:$B,$CY$2&amp;DC$2)</f>
        <v/>
      </c>
      <c r="DD165" s="296">
        <f>SUMIFS(領用表!$L:$L,領用表!$E:$E,$B165,領用表!$B:$B,$CY$2&amp;DD$2)</f>
        <v/>
      </c>
      <c r="DE165" s="208">
        <f>SUMIFS(領用表!$L:$L,領用表!$A:$A,DE$2,領用表!$E:$E,B165)</f>
        <v/>
      </c>
      <c r="DF165" s="296">
        <f>SUMIFS(領用表!$L:$L,領用表!$E:$E,$B165,領用表!$B:$B,DE$2&amp;DF$2)</f>
        <v/>
      </c>
      <c r="DG165" s="296">
        <f>SUMIFS(領用表!$L:$L,領用表!$E:$E,$B165,領用表!$B:$B,$DE$2&amp;DG$2)</f>
        <v/>
      </c>
      <c r="DH165" s="296">
        <f>SUMIFS(領用表!$L:$L,領用表!$E:$E,$B165,領用表!$B:$B,$DE$2&amp;DH$2)</f>
        <v/>
      </c>
      <c r="DI165" s="296">
        <f>SUMIFS(領用表!$L:$L,領用表!$E:$E,$B165,領用表!$B:$B,$DE$2&amp;DI$2)</f>
        <v/>
      </c>
      <c r="DJ165" s="296">
        <f>SUMIFS(領用表!$L:$L,領用表!$E:$E,$B165,領用表!$B:$B,$DE$2&amp;DJ$2)</f>
        <v/>
      </c>
      <c r="DK165" s="208">
        <f>SUMIFS(領用表!$L:$L,領用表!$A:$A,DK$2,領用表!$E:$E,$B165)</f>
        <v/>
      </c>
      <c r="DL165" s="296">
        <f>SUMIFS(領用表!$L:$L,領用表!$E:$E,$B165,領用表!$B:$B,DK$2&amp;DL$2)</f>
        <v/>
      </c>
      <c r="DM165" s="296">
        <f>SUMIFS(領用表!$L:$L,領用表!$E:$E,$B165,領用表!$B:$B,$DK$2&amp;DM$2)</f>
        <v/>
      </c>
      <c r="DN165" s="296">
        <f>SUMIFS(領用表!$L:$L,領用表!$E:$E,$B165,領用表!$B:$B,$DK$2&amp;DN$2)</f>
        <v/>
      </c>
      <c r="DO165" s="296">
        <f>SUMIFS(領用表!$L:$L,領用表!$E:$E,$B165,領用表!$B:$B,$DK$2&amp;DO$2)</f>
        <v/>
      </c>
      <c r="DP165" s="296">
        <f>SUMIFS(領用表!$L:$L,領用表!$E:$E,$B165,領用表!$B:$B,$DK$2&amp;DP$2)</f>
        <v/>
      </c>
      <c r="DQ165" s="208" t="n"/>
      <c r="DR165" s="296" t="n"/>
      <c r="DS165" s="296" t="n"/>
      <c r="DT165" s="296" t="n"/>
      <c r="DU165" s="296" t="n"/>
      <c r="DV165" s="296" t="n"/>
      <c r="DW165" s="296">
        <f>SUM(CN165,CS165,CY165,DE165,DK165,DQ165)</f>
        <v/>
      </c>
      <c r="DX165" s="296">
        <f>AVERAGEA(CN165,CS165,CY165,DE165,DK165,DQ165)</f>
        <v/>
      </c>
      <c r="DY165" s="296">
        <f>SUM(DZ165:EC165)</f>
        <v/>
      </c>
      <c r="DZ165" s="296" t="n">
        <v>0</v>
      </c>
      <c r="EA165" s="296" t="n">
        <v>0</v>
      </c>
      <c r="EB165" s="296" t="n">
        <v>0</v>
      </c>
      <c r="EC165" s="296" t="n">
        <v>0</v>
      </c>
      <c r="ED165" s="258" t="n"/>
      <c r="EE165" s="283" t="n"/>
      <c r="EF165" s="252" t="n"/>
      <c r="EG165" s="252" t="n"/>
      <c r="EH165" s="136" t="n"/>
      <c r="EI165" s="136" t="n"/>
      <c r="EJ165" s="118">
        <f>IFERROR(VLOOKUP(A165,站前4樓!A:BF,57,0),0)</f>
        <v/>
      </c>
      <c r="EK165" s="213">
        <f>IFERROR(VLOOKUP(A165,站前11樓!A:BE,57,0),0)</f>
        <v/>
      </c>
      <c r="EL165" s="118">
        <f>IFERROR(VLOOKUP(A165,忠孝7樓!A:N,57,0),0)</f>
        <v/>
      </c>
      <c r="EM165" s="118">
        <f>IFERROR(VLOOKUP(A165,忠孝國際醫學3樓!A:L,57,0),0)</f>
        <v/>
      </c>
      <c r="EN165" s="118">
        <f>SUM(ED165:EG165)</f>
        <v/>
      </c>
    </row>
    <row r="166" ht="15.75" customFormat="1" customHeight="1" s="118">
      <c r="A166" s="136" t="inlineStr">
        <is>
          <t>DN1AA030002T</t>
        </is>
      </c>
      <c r="C166" s="136" t="inlineStr">
        <is>
          <t>亮采金球去角質凝膠 100ml (2015年版)</t>
        </is>
      </c>
      <c r="D166" s="285" t="n"/>
      <c r="E166" s="198" t="inlineStr">
        <is>
          <t>PCS</t>
        </is>
      </c>
      <c r="F166" s="225">
        <f>SUMIF(站前4樓!B:B,B166,站前4樓!F:F)</f>
        <v/>
      </c>
      <c r="G166" s="225">
        <f>SUMIF(站前11樓!B:B,B166,站前11樓!F:F)</f>
        <v/>
      </c>
      <c r="H166" s="225">
        <f>SUMIF(忠孝7樓!B:B,B166,忠孝7樓!G:G)</f>
        <v/>
      </c>
      <c r="I166" s="225">
        <f>SUMIF(忠孝國際醫學3樓!B:B,B166,忠孝國際醫學3樓!G:G)</f>
        <v/>
      </c>
      <c r="J166" s="408">
        <f>SUMIF(忠孝健康7樓!B:B,B166,忠孝健康7樓!G:G)</f>
        <v/>
      </c>
      <c r="AJ166" s="348" t="n"/>
      <c r="AK166" s="348" t="n"/>
      <c r="AL166" s="348" t="n"/>
      <c r="AM166" s="348" t="n"/>
      <c r="AN166" s="348" t="n"/>
      <c r="AO166" s="348" t="n"/>
      <c r="AP166" s="348" t="n"/>
      <c r="AQ166" s="201" t="n">
        <v>0</v>
      </c>
      <c r="AR166" s="201" t="n">
        <v>0</v>
      </c>
      <c r="AS166" s="201" t="n">
        <v>0</v>
      </c>
      <c r="AT166" s="201" t="n">
        <v>0</v>
      </c>
      <c r="AU166" s="201" t="n">
        <v>0</v>
      </c>
      <c r="AV166" s="283">
        <f>SUM(AJ166:AU166)</f>
        <v/>
      </c>
      <c r="AW166" s="286">
        <f>AV166/12</f>
        <v/>
      </c>
      <c r="AX166" s="201" t="n">
        <v>0</v>
      </c>
      <c r="AY166" s="201" t="n">
        <v>0</v>
      </c>
      <c r="AZ166" s="201" t="n">
        <v>0</v>
      </c>
      <c r="BA166" s="201" t="n">
        <v>0</v>
      </c>
      <c r="BB166" s="201" t="n">
        <v>0</v>
      </c>
      <c r="BC166" s="203">
        <f>SUMIFS(領用表!$L:$L,領用表!$A:$A,BC$2,領用表!$E:$E,B166)</f>
        <v/>
      </c>
      <c r="BD166" s="296">
        <f>SUMIFS(領用表!$L:$L,領用表!$E:$E,$B166,領用表!$B:$B,BC$2&amp;BD$2)</f>
        <v/>
      </c>
      <c r="BE166" s="296">
        <f>SUMIFS(領用表!$L:$L,領用表!$E:$E,$B166,領用表!$B:$B,$BC$2&amp;BE$2)</f>
        <v/>
      </c>
      <c r="BF166" s="296">
        <f>SUMIFS(領用表!$L:$L,領用表!$E:$E,$B166,領用表!$B:$B,$BC$2&amp;BF$2)</f>
        <v/>
      </c>
      <c r="BG166" s="296">
        <f>SUMIFS(領用表!$L:$L,領用表!$E:$E,$B166,領用表!$B:$B,$BC$2&amp;BG$2)</f>
        <v/>
      </c>
      <c r="BH166" s="203">
        <f>SUMIFS(領用表!$L:$L,領用表!$A:$A,BH$2,領用表!$E:$E,B166)</f>
        <v/>
      </c>
      <c r="BI166" s="260">
        <f>SUMIFS(領用表!$L:$L,領用表!$E:$E,$B166,領用表!$B:$B,BH$2&amp;BI$2)</f>
        <v/>
      </c>
      <c r="BJ166" s="260">
        <f>SUMIFS(領用表!$L:$L,領用表!$E:$E,$B166,領用表!$B:$B,$BH$2&amp;BJ$2)</f>
        <v/>
      </c>
      <c r="BK166" s="260">
        <f>SUMIFS(領用表!$L:$L,領用表!$E:$E,$B166,領用表!$B:$B,$BH$2&amp;BK$2)</f>
        <v/>
      </c>
      <c r="BL166" s="260">
        <f>SUMIFS(領用表!$L:$L,領用表!$E:$E,$B166,領用表!$B:$B,$BH$2&amp;BL$2)</f>
        <v/>
      </c>
      <c r="BM166" s="203">
        <f>SUMIFS(領用表!$L:$L,領用表!$A:$A,BM$2,領用表!$E:$E,B166)</f>
        <v/>
      </c>
      <c r="BN166" s="206">
        <f>SUMIFS(領用表!$L:$L,領用表!$E:$E,$B166,領用表!$B:$B,BM$2&amp;BN$2)</f>
        <v/>
      </c>
      <c r="BO166" s="206">
        <f>SUMIFS(領用表!$L:$L,領用表!$E:$E,$B166,領用表!$B:$B,$BM$2&amp;BO$2)</f>
        <v/>
      </c>
      <c r="BP166" s="288">
        <f>SUMIFS(領用表!$L:$L,領用表!$E:$E,$B166,領用表!$B:$B,$BM$2&amp;BP$2)</f>
        <v/>
      </c>
      <c r="BQ166" s="287">
        <f>SUMIFS(領用表!$L:$L,領用表!$E:$E,$B166,領用表!$B:$B,$BM$2&amp;BQ$2)</f>
        <v/>
      </c>
      <c r="BR166" s="203">
        <f>SUMIFS(領用表!$L:$L,領用表!$A:$A,BR$2,領用表!$E:$E,B166)</f>
        <v/>
      </c>
      <c r="BS166" s="260">
        <f>SUMIFS(領用表!$L:$L,領用表!$E:$E,$B166,領用表!$B:$B,BR$2&amp;BS$2)</f>
        <v/>
      </c>
      <c r="BT166" s="260">
        <f>SUMIFS(領用表!$L:$L,領用表!$E:$E,$B166,領用表!$B:$B,$BR$2&amp;BT$2)</f>
        <v/>
      </c>
      <c r="BU166" s="260">
        <f>SUMIFS(領用表!$L:$L,領用表!$E:$E,$B166,領用表!$B:$B,$BR$2&amp;BU$2)</f>
        <v/>
      </c>
      <c r="BV166" s="220">
        <f>SUMIFS(領用表!$L:$L,領用表!$E:$E,$B166,領用表!$B:$B,$BR$2&amp;BV$2)</f>
        <v/>
      </c>
      <c r="BW166" s="208">
        <f>SUMIFS(領用表!$L:$L,領用表!$A:$A,BW$2,領用表!$E:$E,B166)</f>
        <v/>
      </c>
      <c r="BX166" s="296">
        <f>SUMIFS(領用表!$L:$L,領用表!$E:$E,$B166,領用表!$B:$B,BW$2&amp;BX$2)</f>
        <v/>
      </c>
      <c r="BY166" s="296">
        <f>SUMIFS(領用表!$L:$L,領用表!$E:$E,$B166,領用表!$B:$B,$BW$2&amp;BY$2)</f>
        <v/>
      </c>
      <c r="BZ166" s="296">
        <f>SUMIFS(領用表!$L:$L,領用表!$E:$E,$B166,領用表!$B:$B,$BW$2&amp;BZ$2)</f>
        <v/>
      </c>
      <c r="CA166" s="296">
        <f>SUMIFS(領用表!$L:$L,領用表!$E:$E,$B166,領用表!$B:$B,$BW$2&amp;CA$2)</f>
        <v/>
      </c>
      <c r="CB166" s="208">
        <f>SUMIFS(領用表!$L:$L,領用表!$A:$A,CB$2,領用表!$E:$E,B166)</f>
        <v/>
      </c>
      <c r="CC166" s="296">
        <f>SUMIFS(領用表!$L:$L,領用表!$E:$E,$B166,領用表!$B:$B,CB$2&amp;CC$2)</f>
        <v/>
      </c>
      <c r="CD166" s="296">
        <f>SUMIFS(領用表!$L:$L,領用表!$E:$E,$B166,領用表!$B:$B,$CB$2&amp;CD$2)</f>
        <v/>
      </c>
      <c r="CE166" s="296">
        <f>SUMIFS(領用表!$L:$L,領用表!$E:$E,$B166,領用表!$B:$B,$CB$2&amp;CE$2)</f>
        <v/>
      </c>
      <c r="CF166" s="296">
        <f>SUMIFS(領用表!$L:$L,領用表!$E:$E,$B166,領用表!$B:$B,$CB$2&amp;CF$2)</f>
        <v/>
      </c>
      <c r="CG166" s="335">
        <f>SUMIFS(領用表!$L:$L,領用表!$A:$A,CG$2,領用表!$E:$E,B166)</f>
        <v/>
      </c>
      <c r="CH166" s="339">
        <f>SUMIFS(領用表!$L:$L,領用表!$E:$E,$B166,領用表!$B:$B,CG$2&amp;CH$2)</f>
        <v/>
      </c>
      <c r="CI166" s="339">
        <f>SUMIFS(領用表!$L:$L,領用表!$E:$E,$B166,領用表!$B:$B,CG$2&amp;CI$2)</f>
        <v/>
      </c>
      <c r="CJ166" s="339">
        <f>SUMIFS(領用表!$L:$L,領用表!$E:$E,$B166,領用表!$B:$B,CG$2&amp;CJ$2)</f>
        <v/>
      </c>
      <c r="CK166" s="339">
        <f>SUMIFS(領用表!$L:$L,領用表!$E:$E,$B166,領用表!$B:$B,$CG$2&amp;CK$2)</f>
        <v/>
      </c>
      <c r="CL166" s="207">
        <f>SUM(AX166,AY166,AZ166,BA166,BB166,BC166,BH166,BM166,BR166,BW166,CB166,CG166)</f>
        <v/>
      </c>
      <c r="CM166" s="207">
        <f>AVERAGE(AX166,AY166,AZ166,BA166,BB166,BC166,BH166,BM166,BR166,BW166,CB166,CG166)</f>
        <v/>
      </c>
      <c r="CN166" s="208">
        <f>SUMIFS(領用表!$L:$L,領用表!$A:$A,CN$2,領用表!$E:$E,B166)</f>
        <v/>
      </c>
      <c r="CO166" s="206">
        <f>SUMIFS(領用表!$L:$L,領用表!$E:$E,$B166,領用表!$B:$B,CN$2&amp;CO$2)</f>
        <v/>
      </c>
      <c r="CP166" s="206">
        <f>SUMIFS(領用表!$L:$L,領用表!$E:$E,$B166,領用表!$B:$B,$CN$2&amp;CP$2)</f>
        <v/>
      </c>
      <c r="CQ166" s="206">
        <f>SUMIFS(領用表!$L:$L,領用表!$E:$E,$B166,領用表!$B:$B,$CN$2&amp;CQ$2)</f>
        <v/>
      </c>
      <c r="CR166" s="339">
        <f>SUMIFS(領用表!$L:$L,領用表!$E:$E,$B166,領用表!$B:$B,$CN$2&amp;CR$2)</f>
        <v/>
      </c>
      <c r="CS166" s="208">
        <f>SUMIFS(領用表!$L:$L,領用表!$A:$A,CS$2,領用表!$E:$E,B166)</f>
        <v/>
      </c>
      <c r="CT166" s="206">
        <f>SUMIFS(領用表!$L:$L,領用表!$E:$E,$B166,領用表!$B:$B,CS$2&amp;CT$2)</f>
        <v/>
      </c>
      <c r="CU166" s="206">
        <f>SUMIFS(領用表!$L:$L,領用表!$E:$E,$B166,領用表!$B:$B,$CS$2&amp;CU$2)</f>
        <v/>
      </c>
      <c r="CV166" s="206">
        <f>SUMIFS(領用表!$L:$L,領用表!$E:$E,$B166,領用表!$B:$B,$CS$2&amp;CV$2)</f>
        <v/>
      </c>
      <c r="CW166" s="206">
        <f>SUMIFS(領用表!$L:$L,領用表!$E:$E,$B166,領用表!$B:$B,$CS$2&amp;CW$2)</f>
        <v/>
      </c>
      <c r="CX166" s="206">
        <f>SUMIFS(領用表!$L:$L,領用表!$E:$E,$B166,領用表!$B:$B,$CS$2&amp;CX$2)</f>
        <v/>
      </c>
      <c r="CY166" s="208">
        <f>SUMIFS(領用表!$L:$L,領用表!$A:$A,CY$2,領用表!$E:$E,B166)</f>
        <v/>
      </c>
      <c r="CZ166" s="339">
        <f>SUMIFS(領用表!$L:$L,領用表!$E:$E,$B166,領用表!$B:$B,CY$2&amp;CZ$2)</f>
        <v/>
      </c>
      <c r="DA166" s="339">
        <f>SUMIFS(領用表!$L:$L,領用表!$E:$E,$B166,領用表!$B:$B,$CY$2&amp;DA$2)</f>
        <v/>
      </c>
      <c r="DB166" s="339">
        <f>SUMIFS(領用表!$L:$L,領用表!$E:$E,$B166,領用表!$B:$B,$CY$2&amp;DB$2)</f>
        <v/>
      </c>
      <c r="DC166" s="339">
        <f>SUMIFS(領用表!$L:$L,領用表!$E:$E,$B166,領用表!$B:$B,$CY$2&amp;DC$2)</f>
        <v/>
      </c>
      <c r="DD166" s="339">
        <f>SUMIFS(領用表!$L:$L,領用表!$E:$E,$B166,領用表!$B:$B,$CY$2&amp;DD$2)</f>
        <v/>
      </c>
      <c r="DE166" s="208">
        <f>SUMIFS(領用表!$L:$L,領用表!$A:$A,DE$2,領用表!$E:$E,B166)</f>
        <v/>
      </c>
      <c r="DF166" s="339">
        <f>SUMIFS(領用表!$L:$L,領用表!$E:$E,$B166,領用表!$B:$B,DE$2&amp;DF$2)</f>
        <v/>
      </c>
      <c r="DG166" s="339">
        <f>SUMIFS(領用表!$L:$L,領用表!$E:$E,$B166,領用表!$B:$B,$DE$2&amp;DG$2)</f>
        <v/>
      </c>
      <c r="DH166" s="339">
        <f>SUMIFS(領用表!$L:$L,領用表!$E:$E,$B166,領用表!$B:$B,$DE$2&amp;DH$2)</f>
        <v/>
      </c>
      <c r="DI166" s="339">
        <f>SUMIFS(領用表!$L:$L,領用表!$E:$E,$B166,領用表!$B:$B,$DE$2&amp;DI$2)</f>
        <v/>
      </c>
      <c r="DJ166" s="339">
        <f>SUMIFS(領用表!$L:$L,領用表!$E:$E,$B166,領用表!$B:$B,$DE$2&amp;DJ$2)</f>
        <v/>
      </c>
      <c r="DK166" s="208">
        <f>SUMIFS(領用表!$L:$L,領用表!$A:$A,DK$2,領用表!$E:$E,$B166)</f>
        <v/>
      </c>
      <c r="DL166" s="296">
        <f>SUMIFS(領用表!$L:$L,領用表!$E:$E,$B166,領用表!$B:$B,DK$2&amp;DL$2)</f>
        <v/>
      </c>
      <c r="DM166" s="296">
        <f>SUMIFS(領用表!$L:$L,領用表!$E:$E,$B166,領用表!$B:$B,$DK$2&amp;DM$2)</f>
        <v/>
      </c>
      <c r="DN166" s="296">
        <f>SUMIFS(領用表!$L:$L,領用表!$E:$E,$B166,領用表!$B:$B,$DK$2&amp;DN$2)</f>
        <v/>
      </c>
      <c r="DO166" s="296">
        <f>SUMIFS(領用表!$L:$L,領用表!$E:$E,$B166,領用表!$B:$B,$DK$2&amp;DO$2)</f>
        <v/>
      </c>
      <c r="DP166" s="296">
        <f>SUMIFS(領用表!$L:$L,領用表!$E:$E,$B166,領用表!$B:$B,$DK$2&amp;DP$2)</f>
        <v/>
      </c>
      <c r="DQ166" s="208" t="n"/>
      <c r="DR166" s="296" t="n"/>
      <c r="DS166" s="296" t="n"/>
      <c r="DT166" s="296" t="n"/>
      <c r="DU166" s="296" t="n"/>
      <c r="DV166" s="296" t="n"/>
      <c r="DW166" s="331">
        <f>SUM(CN166,CS166,CY166,DE166,DK166,DQ166)</f>
        <v/>
      </c>
      <c r="DX166" s="331">
        <f>AVERAGEA(CN166,CS166,CY166,DE166,DK166,DQ166)</f>
        <v/>
      </c>
      <c r="DY166" s="331">
        <f>SUM(DZ166:EC166)</f>
        <v/>
      </c>
      <c r="DZ166" s="339" t="n">
        <v>0</v>
      </c>
      <c r="EA166" s="339" t="n">
        <v>0</v>
      </c>
      <c r="EB166" s="339" t="n">
        <v>0</v>
      </c>
      <c r="EC166" s="339" t="n">
        <v>0</v>
      </c>
      <c r="ED166" s="258" t="n"/>
      <c r="EE166" s="340" t="n"/>
      <c r="EF166" s="341" t="n"/>
      <c r="EG166" s="341" t="n"/>
      <c r="EJ166" s="118">
        <f>IFERROR(VLOOKUP(A166,站前4樓!A:BF,57,0),0)</f>
        <v/>
      </c>
      <c r="EK166" s="213">
        <f>IFERROR(VLOOKUP(A166,站前11樓!A:BE,57,0),0)</f>
        <v/>
      </c>
      <c r="EL166" s="118">
        <f>IFERROR(VLOOKUP(A166,忠孝7樓!A:N,57,0),0)</f>
        <v/>
      </c>
      <c r="EM166" s="118">
        <f>IFERROR(VLOOKUP(A166,忠孝國際醫學3樓!A:L,57,0),0)</f>
        <v/>
      </c>
      <c r="EN166" s="118">
        <f>SUM(ED166:EG166)</f>
        <v/>
      </c>
    </row>
    <row r="167" ht="15.75" customFormat="1" customHeight="1" s="118">
      <c r="A167" s="136" t="inlineStr">
        <is>
          <t>DN1AA040011T</t>
        </is>
      </c>
      <c r="C167" s="136" t="inlineStr">
        <is>
          <t>金采極緻晶凍凝露 125ml(升級)</t>
        </is>
      </c>
      <c r="D167" s="285" t="n"/>
      <c r="E167" s="198" t="inlineStr">
        <is>
          <t>PCS</t>
        </is>
      </c>
      <c r="F167" s="225">
        <f>SUMIF(站前4樓!B:B,B167,站前4樓!F:F)</f>
        <v/>
      </c>
      <c r="G167" s="225">
        <f>SUMIF(站前11樓!B:B,B167,站前11樓!F:F)</f>
        <v/>
      </c>
      <c r="H167" s="225">
        <f>SUMIF(忠孝7樓!B:B,B167,忠孝7樓!G:G)</f>
        <v/>
      </c>
      <c r="I167" s="225">
        <f>SUMIF(忠孝國際醫學3樓!B:B,B167,忠孝國際醫學3樓!G:G)</f>
        <v/>
      </c>
      <c r="J167" s="408">
        <f>SUMIF(忠孝健康7樓!B:B,B167,忠孝健康7樓!G:G)</f>
        <v/>
      </c>
      <c r="K167" s="333" t="n"/>
      <c r="L167" s="333" t="n"/>
      <c r="M167" s="333" t="n"/>
      <c r="N167" s="333" t="n"/>
      <c r="O167" s="333" t="n"/>
      <c r="P167" s="333" t="n"/>
      <c r="Q167" s="333" t="n"/>
      <c r="R167" s="333" t="n"/>
      <c r="S167" s="333" t="n"/>
      <c r="T167" s="333" t="n"/>
      <c r="U167" s="333" t="n"/>
      <c r="V167" s="333" t="n"/>
      <c r="W167" s="333" t="n"/>
      <c r="X167" s="333" t="n"/>
      <c r="Y167" s="333" t="n"/>
      <c r="Z167" s="333" t="n"/>
      <c r="AA167" s="333" t="n"/>
      <c r="AB167" s="333" t="n"/>
      <c r="AC167" s="333" t="n"/>
      <c r="AD167" s="333" t="n"/>
      <c r="AE167" s="333" t="n"/>
      <c r="AF167" s="333" t="n"/>
      <c r="AG167" s="333" t="n"/>
      <c r="AH167" s="333" t="n"/>
      <c r="AI167" s="333" t="n"/>
      <c r="AJ167" s="292" t="n"/>
      <c r="AK167" s="292" t="n"/>
      <c r="AL167" s="292" t="n"/>
      <c r="AM167" s="292" t="n"/>
      <c r="AN167" s="292" t="n"/>
      <c r="AO167" s="292" t="n"/>
      <c r="AP167" s="292" t="n"/>
      <c r="AQ167" s="201" t="n">
        <v>0</v>
      </c>
      <c r="AR167" s="201" t="n">
        <v>0</v>
      </c>
      <c r="AS167" s="201" t="n">
        <v>0</v>
      </c>
      <c r="AT167" s="201" t="n">
        <v>0</v>
      </c>
      <c r="AU167" s="201" t="n">
        <v>0</v>
      </c>
      <c r="AV167" s="283">
        <f>SUM(AJ167:AU167)</f>
        <v/>
      </c>
      <c r="AW167" s="286">
        <f>AV167/12</f>
        <v/>
      </c>
      <c r="AX167" s="201" t="n">
        <v>0</v>
      </c>
      <c r="AY167" s="201" t="n">
        <v>0</v>
      </c>
      <c r="AZ167" s="201" t="n">
        <v>0</v>
      </c>
      <c r="BA167" s="201" t="n">
        <v>0</v>
      </c>
      <c r="BB167" s="201" t="n">
        <v>0</v>
      </c>
      <c r="BC167" s="203">
        <f>SUMIFS(領用表!$L:$L,領用表!$A:$A,BC$2,領用表!$E:$E,B167)</f>
        <v/>
      </c>
      <c r="BD167" s="296">
        <f>SUMIFS(領用表!$L:$L,領用表!$E:$E,$B167,領用表!$B:$B,BC$2&amp;BD$2)</f>
        <v/>
      </c>
      <c r="BE167" s="296">
        <f>SUMIFS(領用表!$L:$L,領用表!$E:$E,$B167,領用表!$B:$B,$BC$2&amp;BE$2)</f>
        <v/>
      </c>
      <c r="BF167" s="296">
        <f>SUMIFS(領用表!$L:$L,領用表!$E:$E,$B167,領用表!$B:$B,$BC$2&amp;BF$2)</f>
        <v/>
      </c>
      <c r="BG167" s="296">
        <f>SUMIFS(領用表!$L:$L,領用表!$E:$E,$B167,領用表!$B:$B,$BC$2&amp;BG$2)</f>
        <v/>
      </c>
      <c r="BH167" s="203">
        <f>SUMIFS(領用表!$L:$L,領用表!$A:$A,BH$2,領用表!$E:$E,B167)</f>
        <v/>
      </c>
      <c r="BI167" s="260">
        <f>SUMIFS(領用表!$L:$L,領用表!$E:$E,$B167,領用表!$B:$B,BH$2&amp;BI$2)</f>
        <v/>
      </c>
      <c r="BJ167" s="260">
        <f>SUMIFS(領用表!$L:$L,領用表!$E:$E,$B167,領用表!$B:$B,$BH$2&amp;BJ$2)</f>
        <v/>
      </c>
      <c r="BK167" s="260">
        <f>SUMIFS(領用表!$L:$L,領用表!$E:$E,$B167,領用表!$B:$B,$BH$2&amp;BK$2)</f>
        <v/>
      </c>
      <c r="BL167" s="260">
        <f>SUMIFS(領用表!$L:$L,領用表!$E:$E,$B167,領用表!$B:$B,$BH$2&amp;BL$2)</f>
        <v/>
      </c>
      <c r="BM167" s="203">
        <f>SUMIFS(領用表!$L:$L,領用表!$A:$A,BM$2,領用表!$E:$E,B167)</f>
        <v/>
      </c>
      <c r="BN167" s="206">
        <f>SUMIFS(領用表!$L:$L,領用表!$E:$E,$B167,領用表!$B:$B,BM$2&amp;BN$2)</f>
        <v/>
      </c>
      <c r="BO167" s="206">
        <f>SUMIFS(領用表!$L:$L,領用表!$E:$E,$B167,領用表!$B:$B,$BM$2&amp;BO$2)</f>
        <v/>
      </c>
      <c r="BP167" s="288">
        <f>SUMIFS(領用表!$L:$L,領用表!$E:$E,$B167,領用表!$B:$B,$BM$2&amp;BP$2)</f>
        <v/>
      </c>
      <c r="BQ167" s="287">
        <f>SUMIFS(領用表!$L:$L,領用表!$E:$E,$B167,領用表!$B:$B,$BM$2&amp;BQ$2)</f>
        <v/>
      </c>
      <c r="BR167" s="203">
        <f>SUMIFS(領用表!$L:$L,領用表!$A:$A,BR$2,領用表!$E:$E,B167)</f>
        <v/>
      </c>
      <c r="BS167" s="260">
        <f>SUMIFS(領用表!$L:$L,領用表!$E:$E,$B167,領用表!$B:$B,BR$2&amp;BS$2)</f>
        <v/>
      </c>
      <c r="BT167" s="260">
        <f>SUMIFS(領用表!$L:$L,領用表!$E:$E,$B167,領用表!$B:$B,$BR$2&amp;BT$2)</f>
        <v/>
      </c>
      <c r="BU167" s="260">
        <f>SUMIFS(領用表!$L:$L,領用表!$E:$E,$B167,領用表!$B:$B,$BR$2&amp;BU$2)</f>
        <v/>
      </c>
      <c r="BV167" s="220">
        <f>SUMIFS(領用表!$L:$L,領用表!$E:$E,$B167,領用表!$B:$B,$BR$2&amp;BV$2)</f>
        <v/>
      </c>
      <c r="BW167" s="208">
        <f>SUMIFS(領用表!$L:$L,領用表!$A:$A,BW$2,領用表!$E:$E,B167)</f>
        <v/>
      </c>
      <c r="BX167" s="296">
        <f>SUMIFS(領用表!$L:$L,領用表!$E:$E,$B167,領用表!$B:$B,BW$2&amp;BX$2)</f>
        <v/>
      </c>
      <c r="BY167" s="296">
        <f>SUMIFS(領用表!$L:$L,領用表!$E:$E,$B167,領用表!$B:$B,$BW$2&amp;BY$2)</f>
        <v/>
      </c>
      <c r="BZ167" s="296">
        <f>SUMIFS(領用表!$L:$L,領用表!$E:$E,$B167,領用表!$B:$B,$BW$2&amp;BZ$2)</f>
        <v/>
      </c>
      <c r="CA167" s="296">
        <f>SUMIFS(領用表!$L:$L,領用表!$E:$E,$B167,領用表!$B:$B,$BW$2&amp;CA$2)</f>
        <v/>
      </c>
      <c r="CB167" s="208">
        <f>SUMIFS(領用表!$L:$L,領用表!$A:$A,CB$2,領用表!$E:$E,B167)</f>
        <v/>
      </c>
      <c r="CC167" s="296">
        <f>SUMIFS(領用表!$L:$L,領用表!$E:$E,$B167,領用表!$B:$B,CB$2&amp;CC$2)</f>
        <v/>
      </c>
      <c r="CD167" s="296">
        <f>SUMIFS(領用表!$L:$L,領用表!$E:$E,$B167,領用表!$B:$B,$CB$2&amp;CD$2)</f>
        <v/>
      </c>
      <c r="CE167" s="296">
        <f>SUMIFS(領用表!$L:$L,領用表!$E:$E,$B167,領用表!$B:$B,$CB$2&amp;CE$2)</f>
        <v/>
      </c>
      <c r="CF167" s="296">
        <f>SUMIFS(領用表!$L:$L,領用表!$E:$E,$B167,領用表!$B:$B,$CB$2&amp;CF$2)</f>
        <v/>
      </c>
      <c r="CG167" s="335">
        <f>SUMIFS(領用表!$L:$L,領用表!$A:$A,CG$2,領用表!$E:$E,B167)</f>
        <v/>
      </c>
      <c r="CH167" s="339">
        <f>SUMIFS(領用表!$L:$L,領用表!$E:$E,$B167,領用表!$B:$B,CG$2&amp;CH$2)</f>
        <v/>
      </c>
      <c r="CI167" s="339">
        <f>SUMIFS(領用表!$L:$L,領用表!$E:$E,$B167,領用表!$B:$B,CG$2&amp;CI$2)</f>
        <v/>
      </c>
      <c r="CJ167" s="339">
        <f>SUMIFS(領用表!$L:$L,領用表!$E:$E,$B167,領用表!$B:$B,CG$2&amp;CJ$2)</f>
        <v/>
      </c>
      <c r="CK167" s="339">
        <f>SUMIFS(領用表!$L:$L,領用表!$E:$E,$B167,領用表!$B:$B,$CG$2&amp;CK$2)</f>
        <v/>
      </c>
      <c r="CL167" s="207">
        <f>SUM(AX167,AY167,AZ167,BA167,BB167,BC167,BH167,BM167,BR167,BW167,CB167,CG167)</f>
        <v/>
      </c>
      <c r="CM167" s="207">
        <f>AVERAGE(AX167,AY167,AZ167,BA167,BB167,BC167,BH167,BM167,BR167,BW167,CB167,CG167)</f>
        <v/>
      </c>
      <c r="CN167" s="208">
        <f>SUMIFS(領用表!$L:$L,領用表!$A:$A,CN$2,領用表!$E:$E,B167)</f>
        <v/>
      </c>
      <c r="CO167" s="206">
        <f>SUMIFS(領用表!$L:$L,領用表!$E:$E,$B167,領用表!$B:$B,CN$2&amp;CO$2)</f>
        <v/>
      </c>
      <c r="CP167" s="206">
        <f>SUMIFS(領用表!$L:$L,領用表!$E:$E,$B167,領用表!$B:$B,$CN$2&amp;CP$2)</f>
        <v/>
      </c>
      <c r="CQ167" s="206">
        <f>SUMIFS(領用表!$L:$L,領用表!$E:$E,$B167,領用表!$B:$B,$CN$2&amp;CQ$2)</f>
        <v/>
      </c>
      <c r="CR167" s="339">
        <f>SUMIFS(領用表!$L:$L,領用表!$E:$E,$B167,領用表!$B:$B,$CN$2&amp;CR$2)</f>
        <v/>
      </c>
      <c r="CS167" s="208">
        <f>SUMIFS(領用表!$L:$L,領用表!$A:$A,CS$2,領用表!$E:$E,B167)</f>
        <v/>
      </c>
      <c r="CT167" s="206">
        <f>SUMIFS(領用表!$L:$L,領用表!$E:$E,$B167,領用表!$B:$B,CS$2&amp;CT$2)</f>
        <v/>
      </c>
      <c r="CU167" s="206">
        <f>SUMIFS(領用表!$L:$L,領用表!$E:$E,$B167,領用表!$B:$B,$CS$2&amp;CU$2)</f>
        <v/>
      </c>
      <c r="CV167" s="206">
        <f>SUMIFS(領用表!$L:$L,領用表!$E:$E,$B167,領用表!$B:$B,$CS$2&amp;CV$2)</f>
        <v/>
      </c>
      <c r="CW167" s="206">
        <f>SUMIFS(領用表!$L:$L,領用表!$E:$E,$B167,領用表!$B:$B,$CS$2&amp;CW$2)</f>
        <v/>
      </c>
      <c r="CX167" s="206">
        <f>SUMIFS(領用表!$L:$L,領用表!$E:$E,$B167,領用表!$B:$B,$CS$2&amp;CX$2)</f>
        <v/>
      </c>
      <c r="CY167" s="208">
        <f>SUMIFS(領用表!$L:$L,領用表!$A:$A,CY$2,領用表!$E:$E,B167)</f>
        <v/>
      </c>
      <c r="CZ167" s="339">
        <f>SUMIFS(領用表!$L:$L,領用表!$E:$E,$B167,領用表!$B:$B,CY$2&amp;CZ$2)</f>
        <v/>
      </c>
      <c r="DA167" s="339">
        <f>SUMIFS(領用表!$L:$L,領用表!$E:$E,$B167,領用表!$B:$B,$CY$2&amp;DA$2)</f>
        <v/>
      </c>
      <c r="DB167" s="339">
        <f>SUMIFS(領用表!$L:$L,領用表!$E:$E,$B167,領用表!$B:$B,$CY$2&amp;DB$2)</f>
        <v/>
      </c>
      <c r="DC167" s="339">
        <f>SUMIFS(領用表!$L:$L,領用表!$E:$E,$B167,領用表!$B:$B,$CY$2&amp;DC$2)</f>
        <v/>
      </c>
      <c r="DD167" s="339">
        <f>SUMIFS(領用表!$L:$L,領用表!$E:$E,$B167,領用表!$B:$B,$CY$2&amp;DD$2)</f>
        <v/>
      </c>
      <c r="DE167" s="208">
        <f>SUMIFS(領用表!$L:$L,領用表!$A:$A,DE$2,領用表!$E:$E,B167)</f>
        <v/>
      </c>
      <c r="DF167" s="339">
        <f>SUMIFS(領用表!$L:$L,領用表!$E:$E,$B167,領用表!$B:$B,DE$2&amp;DF$2)</f>
        <v/>
      </c>
      <c r="DG167" s="339">
        <f>SUMIFS(領用表!$L:$L,領用表!$E:$E,$B167,領用表!$B:$B,$DE$2&amp;DG$2)</f>
        <v/>
      </c>
      <c r="DH167" s="339">
        <f>SUMIFS(領用表!$L:$L,領用表!$E:$E,$B167,領用表!$B:$B,$DE$2&amp;DH$2)</f>
        <v/>
      </c>
      <c r="DI167" s="339">
        <f>SUMIFS(領用表!$L:$L,領用表!$E:$E,$B167,領用表!$B:$B,$DE$2&amp;DI$2)</f>
        <v/>
      </c>
      <c r="DJ167" s="339">
        <f>SUMIFS(領用表!$L:$L,領用表!$E:$E,$B167,領用表!$B:$B,$DE$2&amp;DJ$2)</f>
        <v/>
      </c>
      <c r="DK167" s="208">
        <f>SUMIFS(領用表!$L:$L,領用表!$A:$A,DK$2,領用表!$E:$E,$B167)</f>
        <v/>
      </c>
      <c r="DL167" s="296">
        <f>SUMIFS(領用表!$L:$L,領用表!$E:$E,$B167,領用表!$B:$B,DK$2&amp;DL$2)</f>
        <v/>
      </c>
      <c r="DM167" s="296">
        <f>SUMIFS(領用表!$L:$L,領用表!$E:$E,$B167,領用表!$B:$B,$DK$2&amp;DM$2)</f>
        <v/>
      </c>
      <c r="DN167" s="296">
        <f>SUMIFS(領用表!$L:$L,領用表!$E:$E,$B167,領用表!$B:$B,$DK$2&amp;DN$2)</f>
        <v/>
      </c>
      <c r="DO167" s="296">
        <f>SUMIFS(領用表!$L:$L,領用表!$E:$E,$B167,領用表!$B:$B,$DK$2&amp;DO$2)</f>
        <v/>
      </c>
      <c r="DP167" s="296">
        <f>SUMIFS(領用表!$L:$L,領用表!$E:$E,$B167,領用表!$B:$B,$DK$2&amp;DP$2)</f>
        <v/>
      </c>
      <c r="DQ167" s="208" t="n"/>
      <c r="DR167" s="296" t="n"/>
      <c r="DS167" s="296" t="n"/>
      <c r="DT167" s="296" t="n"/>
      <c r="DU167" s="296" t="n"/>
      <c r="DV167" s="296" t="n"/>
      <c r="DW167" s="331">
        <f>SUM(CN167,CS167,CY167,DE167,DK167,DQ167)</f>
        <v/>
      </c>
      <c r="DX167" s="331">
        <f>AVERAGEA(CN167,CS167,CY167,DE167,DK167,DQ167)</f>
        <v/>
      </c>
      <c r="DY167" s="331">
        <f>SUM(DZ167:EC167)</f>
        <v/>
      </c>
      <c r="DZ167" s="339" t="n">
        <v>0</v>
      </c>
      <c r="EA167" s="339" t="n">
        <v>0</v>
      </c>
      <c r="EB167" s="339" t="n">
        <v>0</v>
      </c>
      <c r="EC167" s="339" t="n">
        <v>0</v>
      </c>
      <c r="ED167" s="258" t="n"/>
      <c r="EE167" s="340" t="n"/>
      <c r="EF167" s="341" t="n"/>
      <c r="EG167" s="341" t="n"/>
      <c r="EJ167" s="118">
        <f>IFERROR(VLOOKUP(A167,站前4樓!A:BF,57,0),0)</f>
        <v/>
      </c>
      <c r="EK167" s="213">
        <f>IFERROR(VLOOKUP(A167,站前11樓!A:BE,57,0),0)</f>
        <v/>
      </c>
      <c r="EL167" s="118">
        <f>IFERROR(VLOOKUP(A167,忠孝7樓!A:N,57,0),0)</f>
        <v/>
      </c>
      <c r="EM167" s="118">
        <f>IFERROR(VLOOKUP(A167,忠孝國際醫學3樓!A:L,57,0),0)</f>
        <v/>
      </c>
      <c r="EN167" s="118">
        <f>SUM(ED167:EG167)</f>
        <v/>
      </c>
    </row>
    <row r="168" ht="15.75" customFormat="1" customHeight="1" s="118">
      <c r="A168" s="136" t="inlineStr">
        <is>
          <t>TN1AA050032T</t>
        </is>
      </c>
      <c r="C168" s="136" t="inlineStr">
        <is>
          <t>試用-優菌防護安瓶精華 50ml</t>
        </is>
      </c>
      <c r="D168" s="285" t="n"/>
      <c r="E168" s="198" t="inlineStr">
        <is>
          <t>PCS</t>
        </is>
      </c>
      <c r="F168" s="225">
        <f>SUMIF(站前4樓!B:B,B168,站前4樓!F:F)</f>
        <v/>
      </c>
      <c r="G168" s="225">
        <f>SUMIF(站前11樓!B:B,B168,站前11樓!F:F)</f>
        <v/>
      </c>
      <c r="H168" s="225">
        <f>SUMIF(忠孝7樓!B:B,B168,忠孝7樓!G:G)</f>
        <v/>
      </c>
      <c r="I168" s="225">
        <f>SUMIF(忠孝國際醫學3樓!B:B,B168,忠孝國際醫學3樓!G:G)</f>
        <v/>
      </c>
      <c r="J168" s="225">
        <f>SUMIF(忠孝健康7樓!B:B,B168,忠孝健康7樓!G:G)</f>
        <v/>
      </c>
      <c r="K168" s="283" t="n"/>
      <c r="L168" s="283" t="n"/>
      <c r="M168" s="283" t="n"/>
      <c r="N168" s="283" t="n"/>
      <c r="O168" s="283" t="n"/>
      <c r="P168" s="283" t="n"/>
      <c r="Q168" s="283" t="n"/>
      <c r="R168" s="283" t="n"/>
      <c r="S168" s="283" t="n"/>
      <c r="T168" s="283" t="n"/>
      <c r="U168" s="283" t="n"/>
      <c r="V168" s="283" t="n"/>
      <c r="W168" s="283" t="n"/>
      <c r="X168" s="283" t="n"/>
      <c r="Y168" s="283" t="n"/>
      <c r="Z168" s="283" t="n"/>
      <c r="AA168" s="283" t="n"/>
      <c r="AB168" s="283" t="n"/>
      <c r="AC168" s="283" t="n"/>
      <c r="AD168" s="283" t="n"/>
      <c r="AE168" s="283" t="n"/>
      <c r="AF168" s="283" t="n"/>
      <c r="AG168" s="283" t="n"/>
      <c r="AH168" s="283" t="n"/>
      <c r="AI168" s="283" t="n"/>
      <c r="AJ168" s="201" t="n"/>
      <c r="AK168" s="201" t="n"/>
      <c r="AL168" s="201" t="n"/>
      <c r="AM168" s="201" t="n"/>
      <c r="AN168" s="201" t="n"/>
      <c r="AO168" s="201" t="n"/>
      <c r="AP168" s="201" t="n"/>
      <c r="AQ168" s="201" t="n">
        <v>10</v>
      </c>
      <c r="AR168" s="201" t="n">
        <v>0</v>
      </c>
      <c r="AS168" s="201" t="n">
        <v>0</v>
      </c>
      <c r="AT168" s="201" t="n">
        <v>0</v>
      </c>
      <c r="AU168" s="201" t="n">
        <v>0</v>
      </c>
      <c r="AV168" s="283">
        <f>SUM(AJ168:AU168)</f>
        <v/>
      </c>
      <c r="AW168" s="286">
        <f>AV168/12</f>
        <v/>
      </c>
      <c r="AX168" s="201" t="n">
        <v>0</v>
      </c>
      <c r="AY168" s="201" t="n">
        <v>0</v>
      </c>
      <c r="AZ168" s="201" t="n">
        <v>0</v>
      </c>
      <c r="BA168" s="201" t="n">
        <v>0</v>
      </c>
      <c r="BB168" s="201" t="n">
        <v>0</v>
      </c>
      <c r="BC168" s="203">
        <f>SUMIFS(領用表!$L:$L,領用表!$A:$A,BC$2,領用表!$E:$E,B168)</f>
        <v/>
      </c>
      <c r="BD168" s="296">
        <f>SUMIFS(領用表!$L:$L,領用表!$E:$E,$B168,領用表!$B:$B,BC$2&amp;BD$2)</f>
        <v/>
      </c>
      <c r="BE168" s="296">
        <f>SUMIFS(領用表!$L:$L,領用表!$E:$E,$B168,領用表!$B:$B,$BC$2&amp;BE$2)</f>
        <v/>
      </c>
      <c r="BF168" s="296">
        <f>SUMIFS(領用表!$L:$L,領用表!$E:$E,$B168,領用表!$B:$B,$BC$2&amp;BF$2)</f>
        <v/>
      </c>
      <c r="BG168" s="296">
        <f>SUMIFS(領用表!$L:$L,領用表!$E:$E,$B168,領用表!$B:$B,$BC$2&amp;BG$2)</f>
        <v/>
      </c>
      <c r="BH168" s="203">
        <f>SUMIFS(領用表!$L:$L,領用表!$A:$A,BH$2,領用表!$E:$E,B168)</f>
        <v/>
      </c>
      <c r="BI168" s="260">
        <f>SUMIFS(領用表!$L:$L,領用表!$E:$E,$B168,領用表!$B:$B,BH$2&amp;BI$2)</f>
        <v/>
      </c>
      <c r="BJ168" s="260">
        <f>SUMIFS(領用表!$L:$L,領用表!$E:$E,$B168,領用表!$B:$B,$BH$2&amp;BJ$2)</f>
        <v/>
      </c>
      <c r="BK168" s="260">
        <f>SUMIFS(領用表!$L:$L,領用表!$E:$E,$B168,領用表!$B:$B,$BH$2&amp;BK$2)</f>
        <v/>
      </c>
      <c r="BL168" s="260">
        <f>SUMIFS(領用表!$L:$L,領用表!$E:$E,$B168,領用表!$B:$B,$BH$2&amp;BL$2)</f>
        <v/>
      </c>
      <c r="BM168" s="203">
        <f>SUMIFS(領用表!$L:$L,領用表!$A:$A,BM$2,領用表!$E:$E,B168)</f>
        <v/>
      </c>
      <c r="BN168" s="206">
        <f>SUMIFS(領用表!$L:$L,領用表!$E:$E,$B168,領用表!$B:$B,BM$2&amp;BN$2)</f>
        <v/>
      </c>
      <c r="BO168" s="206">
        <f>SUMIFS(領用表!$L:$L,領用表!$E:$E,$B168,領用表!$B:$B,$BM$2&amp;BO$2)</f>
        <v/>
      </c>
      <c r="BP168" s="288">
        <f>SUMIFS(領用表!$L:$L,領用表!$E:$E,$B168,領用表!$B:$B,$BM$2&amp;BP$2)</f>
        <v/>
      </c>
      <c r="BQ168" s="287">
        <f>SUMIFS(領用表!$L:$L,領用表!$E:$E,$B168,領用表!$B:$B,$BM$2&amp;BQ$2)</f>
        <v/>
      </c>
      <c r="BR168" s="203">
        <f>SUMIFS(領用表!$L:$L,領用表!$A:$A,BR$2,領用表!$E:$E,B168)</f>
        <v/>
      </c>
      <c r="BS168" s="260">
        <f>SUMIFS(領用表!$L:$L,領用表!$E:$E,$B168,領用表!$B:$B,BR$2&amp;BS$2)</f>
        <v/>
      </c>
      <c r="BT168" s="260">
        <f>SUMIFS(領用表!$L:$L,領用表!$E:$E,$B168,領用表!$B:$B,$BR$2&amp;BT$2)</f>
        <v/>
      </c>
      <c r="BU168" s="260">
        <f>SUMIFS(領用表!$L:$L,領用表!$E:$E,$B168,領用表!$B:$B,$BR$2&amp;BU$2)</f>
        <v/>
      </c>
      <c r="BV168" s="220">
        <f>SUMIFS(領用表!$L:$L,領用表!$E:$E,$B168,領用表!$B:$B,$BR$2&amp;BV$2)</f>
        <v/>
      </c>
      <c r="BW168" s="208">
        <f>SUMIFS(領用表!$L:$L,領用表!$A:$A,BW$2,領用表!$E:$E,B168)</f>
        <v/>
      </c>
      <c r="BX168" s="296">
        <f>SUMIFS(領用表!$L:$L,領用表!$E:$E,$B168,領用表!$B:$B,BW$2&amp;BX$2)</f>
        <v/>
      </c>
      <c r="BY168" s="296">
        <f>SUMIFS(領用表!$L:$L,領用表!$E:$E,$B168,領用表!$B:$B,$BW$2&amp;BY$2)</f>
        <v/>
      </c>
      <c r="BZ168" s="296">
        <f>SUMIFS(領用表!$L:$L,領用表!$E:$E,$B168,領用表!$B:$B,$BW$2&amp;BZ$2)</f>
        <v/>
      </c>
      <c r="CA168" s="296">
        <f>SUMIFS(領用表!$L:$L,領用表!$E:$E,$B168,領用表!$B:$B,$BW$2&amp;CA$2)</f>
        <v/>
      </c>
      <c r="CB168" s="208">
        <f>SUMIFS(領用表!$L:$L,領用表!$A:$A,CB$2,領用表!$E:$E,B168)</f>
        <v/>
      </c>
      <c r="CC168" s="296">
        <f>SUMIFS(領用表!$L:$L,領用表!$E:$E,$B168,領用表!$B:$B,CB$2&amp;CC$2)</f>
        <v/>
      </c>
      <c r="CD168" s="296">
        <f>SUMIFS(領用表!$L:$L,領用表!$E:$E,$B168,領用表!$B:$B,$CB$2&amp;CD$2)</f>
        <v/>
      </c>
      <c r="CE168" s="296">
        <f>SUMIFS(領用表!$L:$L,領用表!$E:$E,$B168,領用表!$B:$B,$CB$2&amp;CE$2)</f>
        <v/>
      </c>
      <c r="CF168" s="296">
        <f>SUMIFS(領用表!$L:$L,領用表!$E:$E,$B168,領用表!$B:$B,$CB$2&amp;CF$2)</f>
        <v/>
      </c>
      <c r="CG168" s="335">
        <f>SUMIFS(領用表!$L:$L,領用表!$A:$A,CG$2,領用表!$E:$E,B168)</f>
        <v/>
      </c>
      <c r="CH168" s="339">
        <f>SUMIFS(領用表!$L:$L,領用表!$E:$E,$B168,領用表!$B:$B,CG$2&amp;CH$2)</f>
        <v/>
      </c>
      <c r="CI168" s="339">
        <f>SUMIFS(領用表!$L:$L,領用表!$E:$E,$B168,領用表!$B:$B,CG$2&amp;CI$2)</f>
        <v/>
      </c>
      <c r="CJ168" s="339">
        <f>SUMIFS(領用表!$L:$L,領用表!$E:$E,$B168,領用表!$B:$B,CG$2&amp;CJ$2)</f>
        <v/>
      </c>
      <c r="CK168" s="339">
        <f>SUMIFS(領用表!$L:$L,領用表!$E:$E,$B168,領用表!$B:$B,$CG$2&amp;CK$2)</f>
        <v/>
      </c>
      <c r="CL168" s="207">
        <f>SUM(AX168,AY168,AZ168,BA168,BB168,BC168,BH168,BM168,BR168,BW168,CB168,CG168)</f>
        <v/>
      </c>
      <c r="CM168" s="207">
        <f>AVERAGE(AX168,AY168,AZ168,BA168,BB168,BC168,BH168,BM168,BR168,BW168,CB168,CG168)</f>
        <v/>
      </c>
      <c r="CN168" s="208">
        <f>SUMIFS(領用表!$L:$L,領用表!$A:$A,CN$2,領用表!$E:$E,B168)</f>
        <v/>
      </c>
      <c r="CO168" s="206">
        <f>SUMIFS(領用表!$L:$L,領用表!$E:$E,$B168,領用表!$B:$B,CN$2&amp;CO$2)</f>
        <v/>
      </c>
      <c r="CP168" s="206">
        <f>SUMIFS(領用表!$L:$L,領用表!$E:$E,$B168,領用表!$B:$B,$CN$2&amp;CP$2)</f>
        <v/>
      </c>
      <c r="CQ168" s="206">
        <f>SUMIFS(領用表!$L:$L,領用表!$E:$E,$B168,領用表!$B:$B,$CN$2&amp;CQ$2)</f>
        <v/>
      </c>
      <c r="CR168" s="339">
        <f>SUMIFS(領用表!$L:$L,領用表!$E:$E,$B168,領用表!$B:$B,$CN$2&amp;CR$2)</f>
        <v/>
      </c>
      <c r="CS168" s="208">
        <f>SUMIFS(領用表!$L:$L,領用表!$A:$A,CS$2,領用表!$E:$E,B168)</f>
        <v/>
      </c>
      <c r="CT168" s="206">
        <f>SUMIFS(領用表!$L:$L,領用表!$E:$E,$B168,領用表!$B:$B,CS$2&amp;CT$2)</f>
        <v/>
      </c>
      <c r="CU168" s="206">
        <f>SUMIFS(領用表!$L:$L,領用表!$E:$E,$B168,領用表!$B:$B,$CS$2&amp;CU$2)</f>
        <v/>
      </c>
      <c r="CV168" s="206">
        <f>SUMIFS(領用表!$L:$L,領用表!$E:$E,$B168,領用表!$B:$B,$CS$2&amp;CV$2)</f>
        <v/>
      </c>
      <c r="CW168" s="206">
        <f>SUMIFS(領用表!$L:$L,領用表!$E:$E,$B168,領用表!$B:$B,$CS$2&amp;CW$2)</f>
        <v/>
      </c>
      <c r="CX168" s="206">
        <f>SUMIFS(領用表!$L:$L,領用表!$E:$E,$B168,領用表!$B:$B,$CS$2&amp;CX$2)</f>
        <v/>
      </c>
      <c r="CY168" s="208">
        <f>SUMIFS(領用表!$L:$L,領用表!$A:$A,CY$2,領用表!$E:$E,B168)</f>
        <v/>
      </c>
      <c r="CZ168" s="339">
        <f>SUMIFS(領用表!$L:$L,領用表!$E:$E,$B168,領用表!$B:$B,CY$2&amp;CZ$2)</f>
        <v/>
      </c>
      <c r="DA168" s="339">
        <f>SUMIFS(領用表!$L:$L,領用表!$E:$E,$B168,領用表!$B:$B,$CY$2&amp;DA$2)</f>
        <v/>
      </c>
      <c r="DB168" s="339">
        <f>SUMIFS(領用表!$L:$L,領用表!$E:$E,$B168,領用表!$B:$B,$CY$2&amp;DB$2)</f>
        <v/>
      </c>
      <c r="DC168" s="339">
        <f>SUMIFS(領用表!$L:$L,領用表!$E:$E,$B168,領用表!$B:$B,$CY$2&amp;DC$2)</f>
        <v/>
      </c>
      <c r="DD168" s="339">
        <f>SUMIFS(領用表!$L:$L,領用表!$E:$E,$B168,領用表!$B:$B,$CY$2&amp;DD$2)</f>
        <v/>
      </c>
      <c r="DE168" s="208">
        <f>SUMIFS(領用表!$L:$L,領用表!$A:$A,DE$2,領用表!$E:$E,B168)</f>
        <v/>
      </c>
      <c r="DF168" s="339">
        <f>SUMIFS(領用表!$L:$L,領用表!$E:$E,$B168,領用表!$B:$B,DE$2&amp;DF$2)</f>
        <v/>
      </c>
      <c r="DG168" s="339">
        <f>SUMIFS(領用表!$L:$L,領用表!$E:$E,$B168,領用表!$B:$B,$DE$2&amp;DG$2)</f>
        <v/>
      </c>
      <c r="DH168" s="339">
        <f>SUMIFS(領用表!$L:$L,領用表!$E:$E,$B168,領用表!$B:$B,$DE$2&amp;DH$2)</f>
        <v/>
      </c>
      <c r="DI168" s="339">
        <f>SUMIFS(領用表!$L:$L,領用表!$E:$E,$B168,領用表!$B:$B,$DE$2&amp;DI$2)</f>
        <v/>
      </c>
      <c r="DJ168" s="339">
        <f>SUMIFS(領用表!$L:$L,領用表!$E:$E,$B168,領用表!$B:$B,$DE$2&amp;DJ$2)</f>
        <v/>
      </c>
      <c r="DK168" s="208">
        <f>SUMIFS(領用表!$L:$L,領用表!$A:$A,DK$2,領用表!$E:$E,$B168)</f>
        <v/>
      </c>
      <c r="DL168" s="296">
        <f>SUMIFS(領用表!$L:$L,領用表!$E:$E,$B168,領用表!$B:$B,DK$2&amp;DL$2)</f>
        <v/>
      </c>
      <c r="DM168" s="296">
        <f>SUMIFS(領用表!$L:$L,領用表!$E:$E,$B168,領用表!$B:$B,$DK$2&amp;DM$2)</f>
        <v/>
      </c>
      <c r="DN168" s="296">
        <f>SUMIFS(領用表!$L:$L,領用表!$E:$E,$B168,領用表!$B:$B,$DK$2&amp;DN$2)</f>
        <v/>
      </c>
      <c r="DO168" s="296">
        <f>SUMIFS(領用表!$L:$L,領用表!$E:$E,$B168,領用表!$B:$B,$DK$2&amp;DO$2)</f>
        <v/>
      </c>
      <c r="DP168" s="296">
        <f>SUMIFS(領用表!$L:$L,領用表!$E:$E,$B168,領用表!$B:$B,$DK$2&amp;DP$2)</f>
        <v/>
      </c>
      <c r="DQ168" s="208" t="n"/>
      <c r="DR168" s="296" t="n"/>
      <c r="DS168" s="296" t="n"/>
      <c r="DT168" s="296" t="n"/>
      <c r="DU168" s="296" t="n"/>
      <c r="DV168" s="296" t="n"/>
      <c r="DW168" s="331">
        <f>SUM(CN168,CS168,CY168,DE168,DK168,DQ168)</f>
        <v/>
      </c>
      <c r="DX168" s="331">
        <f>AVERAGEA(CN168,CS168,CY168,DE168,DK168,DQ168)</f>
        <v/>
      </c>
      <c r="DY168" s="331">
        <f>SUM(DZ168:EC168)</f>
        <v/>
      </c>
      <c r="DZ168" s="339" t="n">
        <v>0</v>
      </c>
      <c r="EA168" s="339" t="n">
        <v>0</v>
      </c>
      <c r="EB168" s="339" t="n">
        <v>0</v>
      </c>
      <c r="EC168" s="339" t="n">
        <v>0</v>
      </c>
      <c r="ED168" s="258" t="n"/>
      <c r="EE168" s="340" t="n"/>
      <c r="EF168" s="341" t="n"/>
      <c r="EG168" s="341" t="n"/>
      <c r="EH168" s="136" t="n"/>
      <c r="EI168" s="136" t="n"/>
      <c r="EJ168" s="118">
        <f>IFERROR(VLOOKUP(A168,站前4樓!A:BF,57,0),0)</f>
        <v/>
      </c>
      <c r="EK168" s="213">
        <f>IFERROR(VLOOKUP(A168,站前11樓!A:BE,57,0),0)</f>
        <v/>
      </c>
      <c r="EL168" s="118">
        <f>IFERROR(VLOOKUP(A168,忠孝7樓!A:N,57,0),0)</f>
        <v/>
      </c>
      <c r="EM168" s="118">
        <f>IFERROR(VLOOKUP(A168,忠孝國際醫學3樓!A:L,57,0),0)</f>
        <v/>
      </c>
      <c r="EN168" s="118">
        <f>SUM(ED168:EG168)</f>
        <v/>
      </c>
    </row>
    <row r="169" ht="15.75" customFormat="1" customHeight="1" s="118">
      <c r="A169" s="136" t="inlineStr">
        <is>
          <t>TN1AA050029T</t>
        </is>
      </c>
      <c r="B169" s="118" t="n">
        <v>6050007</v>
      </c>
      <c r="C169" s="136" t="inlineStr">
        <is>
          <t>試用-冰原天神草彈力超導精華 50mL</t>
        </is>
      </c>
      <c r="D169" s="285" t="n"/>
      <c r="E169" s="198" t="inlineStr">
        <is>
          <t>PCS</t>
        </is>
      </c>
      <c r="F169" s="225">
        <f>SUMIF(站前4樓!B:B,B169,站前4樓!F:F)</f>
        <v/>
      </c>
      <c r="G169" s="225">
        <f>SUMIF(站前11樓!B:B,B169,站前11樓!F:F)</f>
        <v/>
      </c>
      <c r="H169" s="225">
        <f>SUMIF(忠孝7樓!B:B,B169,忠孝7樓!G:G)</f>
        <v/>
      </c>
      <c r="I169" s="225">
        <f>SUMIF(忠孝國際醫學3樓!B:B,B169,忠孝國際醫學3樓!G:G)</f>
        <v/>
      </c>
      <c r="J169" s="225">
        <f>SUMIF(忠孝健康7樓!B:B,B169,忠孝健康7樓!G:G)</f>
        <v/>
      </c>
      <c r="K169" s="283" t="n"/>
      <c r="L169" s="283" t="n"/>
      <c r="M169" s="283" t="n"/>
      <c r="N169" s="283" t="n"/>
      <c r="O169" s="283" t="n"/>
      <c r="P169" s="283" t="n"/>
      <c r="Q169" s="283" t="n"/>
      <c r="R169" s="283" t="n"/>
      <c r="S169" s="283" t="n"/>
      <c r="T169" s="283" t="n"/>
      <c r="U169" s="283" t="n"/>
      <c r="V169" s="283" t="n"/>
      <c r="W169" s="283" t="n"/>
      <c r="X169" s="283" t="n"/>
      <c r="Y169" s="283" t="n"/>
      <c r="Z169" s="283" t="n"/>
      <c r="AA169" s="283" t="n"/>
      <c r="AB169" s="283" t="n"/>
      <c r="AC169" s="283" t="n"/>
      <c r="AD169" s="283" t="n"/>
      <c r="AE169" s="283" t="n"/>
      <c r="AF169" s="283" t="n"/>
      <c r="AG169" s="283" t="n"/>
      <c r="AH169" s="283" t="n"/>
      <c r="AI169" s="283" t="n"/>
      <c r="AJ169" s="201" t="n"/>
      <c r="AK169" s="201" t="n"/>
      <c r="AL169" s="201" t="n"/>
      <c r="AM169" s="201" t="n"/>
      <c r="AN169" s="201" t="n"/>
      <c r="AO169" s="201" t="n"/>
      <c r="AP169" s="201" t="n"/>
      <c r="AQ169" s="201" t="n">
        <v>0</v>
      </c>
      <c r="AR169" s="201" t="n">
        <v>0</v>
      </c>
      <c r="AS169" s="201" t="n">
        <v>10</v>
      </c>
      <c r="AT169" s="201" t="n">
        <v>0</v>
      </c>
      <c r="AU169" s="201" t="n">
        <v>0</v>
      </c>
      <c r="AV169" s="283">
        <f>SUM(AJ169:AU169)</f>
        <v/>
      </c>
      <c r="AW169" s="286">
        <f>AV169/12</f>
        <v/>
      </c>
      <c r="AX169" s="201" t="n">
        <v>0</v>
      </c>
      <c r="AY169" s="201" t="n">
        <v>0</v>
      </c>
      <c r="AZ169" s="201" t="n">
        <v>0</v>
      </c>
      <c r="BA169" s="201" t="n">
        <v>0</v>
      </c>
      <c r="BB169" s="201" t="n">
        <v>0</v>
      </c>
      <c r="BC169" s="203">
        <f>SUMIFS(領用表!$L:$L,領用表!$A:$A,BC$2,領用表!$E:$E,B169)</f>
        <v/>
      </c>
      <c r="BD169" s="296">
        <f>SUMIFS(領用表!$L:$L,領用表!$E:$E,$B169,領用表!$B:$B,BC$2&amp;BD$2)</f>
        <v/>
      </c>
      <c r="BE169" s="296">
        <f>SUMIFS(領用表!$L:$L,領用表!$E:$E,$B169,領用表!$B:$B,$BC$2&amp;BE$2)</f>
        <v/>
      </c>
      <c r="BF169" s="296">
        <f>SUMIFS(領用表!$L:$L,領用表!$E:$E,$B169,領用表!$B:$B,$BC$2&amp;BF$2)</f>
        <v/>
      </c>
      <c r="BG169" s="296">
        <f>SUMIFS(領用表!$L:$L,領用表!$E:$E,$B169,領用表!$B:$B,$BC$2&amp;BG$2)</f>
        <v/>
      </c>
      <c r="BH169" s="203">
        <f>SUMIFS(領用表!$L:$L,領用表!$A:$A,BH$2,領用表!$E:$E,B169)</f>
        <v/>
      </c>
      <c r="BI169" s="260">
        <f>SUMIFS(領用表!$L:$L,領用表!$E:$E,$B169,領用表!$B:$B,BH$2&amp;BI$2)</f>
        <v/>
      </c>
      <c r="BJ169" s="260">
        <f>SUMIFS(領用表!$L:$L,領用表!$E:$E,$B169,領用表!$B:$B,$BH$2&amp;BJ$2)</f>
        <v/>
      </c>
      <c r="BK169" s="260">
        <f>SUMIFS(領用表!$L:$L,領用表!$E:$E,$B169,領用表!$B:$B,$BH$2&amp;BK$2)</f>
        <v/>
      </c>
      <c r="BL169" s="260">
        <f>SUMIFS(領用表!$L:$L,領用表!$E:$E,$B169,領用表!$B:$B,$BH$2&amp;BL$2)</f>
        <v/>
      </c>
      <c r="BM169" s="203">
        <f>SUMIFS(領用表!$L:$L,領用表!$A:$A,BM$2,領用表!$E:$E,B169)</f>
        <v/>
      </c>
      <c r="BN169" s="206">
        <f>SUMIFS(領用表!$L:$L,領用表!$E:$E,$B169,領用表!$B:$B,BM$2&amp;BN$2)</f>
        <v/>
      </c>
      <c r="BO169" s="206">
        <f>SUMIFS(領用表!$L:$L,領用表!$E:$E,$B169,領用表!$B:$B,$BM$2&amp;BO$2)</f>
        <v/>
      </c>
      <c r="BP169" s="288">
        <f>SUMIFS(領用表!$L:$L,領用表!$E:$E,$B169,領用表!$B:$B,$BM$2&amp;BP$2)</f>
        <v/>
      </c>
      <c r="BQ169" s="287">
        <f>SUMIFS(領用表!$L:$L,領用表!$E:$E,$B169,領用表!$B:$B,$BM$2&amp;BQ$2)</f>
        <v/>
      </c>
      <c r="BR169" s="203">
        <f>SUMIFS(領用表!$L:$L,領用表!$A:$A,BR$2,領用表!$E:$E,B169)</f>
        <v/>
      </c>
      <c r="BS169" s="260">
        <f>SUMIFS(領用表!$L:$L,領用表!$E:$E,$B169,領用表!$B:$B,BR$2&amp;BS$2)</f>
        <v/>
      </c>
      <c r="BT169" s="260">
        <f>SUMIFS(領用表!$L:$L,領用表!$E:$E,$B169,領用表!$B:$B,$BR$2&amp;BT$2)</f>
        <v/>
      </c>
      <c r="BU169" s="260">
        <f>SUMIFS(領用表!$L:$L,領用表!$E:$E,$B169,領用表!$B:$B,$BR$2&amp;BU$2)</f>
        <v/>
      </c>
      <c r="BV169" s="220">
        <f>SUMIFS(領用表!$L:$L,領用表!$E:$E,$B169,領用表!$B:$B,$BR$2&amp;BV$2)</f>
        <v/>
      </c>
      <c r="BW169" s="208">
        <f>SUMIFS(領用表!$L:$L,領用表!$A:$A,BW$2,領用表!$E:$E,B169)</f>
        <v/>
      </c>
      <c r="BX169" s="296">
        <f>SUMIFS(領用表!$L:$L,領用表!$E:$E,$B169,領用表!$B:$B,BW$2&amp;BX$2)</f>
        <v/>
      </c>
      <c r="BY169" s="296">
        <f>SUMIFS(領用表!$L:$L,領用表!$E:$E,$B169,領用表!$B:$B,$BW$2&amp;BY$2)</f>
        <v/>
      </c>
      <c r="BZ169" s="296">
        <f>SUMIFS(領用表!$L:$L,領用表!$E:$E,$B169,領用表!$B:$B,$BW$2&amp;BZ$2)</f>
        <v/>
      </c>
      <c r="CA169" s="296">
        <f>SUMIFS(領用表!$L:$L,領用表!$E:$E,$B169,領用表!$B:$B,$BW$2&amp;CA$2)</f>
        <v/>
      </c>
      <c r="CB169" s="208">
        <f>SUMIFS(領用表!$L:$L,領用表!$A:$A,CB$2,領用表!$E:$E,B169)</f>
        <v/>
      </c>
      <c r="CC169" s="296">
        <f>SUMIFS(領用表!$L:$L,領用表!$E:$E,$B169,領用表!$B:$B,CB$2&amp;CC$2)</f>
        <v/>
      </c>
      <c r="CD169" s="296">
        <f>SUMIFS(領用表!$L:$L,領用表!$E:$E,$B169,領用表!$B:$B,$CB$2&amp;CD$2)</f>
        <v/>
      </c>
      <c r="CE169" s="296">
        <f>SUMIFS(領用表!$L:$L,領用表!$E:$E,$B169,領用表!$B:$B,$CB$2&amp;CE$2)</f>
        <v/>
      </c>
      <c r="CF169" s="296">
        <f>SUMIFS(領用表!$L:$L,領用表!$E:$E,$B169,領用表!$B:$B,$CB$2&amp;CF$2)</f>
        <v/>
      </c>
      <c r="CG169" s="335">
        <f>SUMIFS(領用表!$L:$L,領用表!$A:$A,CG$2,領用表!$E:$E,B169)</f>
        <v/>
      </c>
      <c r="CH169" s="339">
        <f>SUMIFS(領用表!$L:$L,領用表!$E:$E,$B169,領用表!$B:$B,CG$2&amp;CH$2)</f>
        <v/>
      </c>
      <c r="CI169" s="339">
        <f>SUMIFS(領用表!$L:$L,領用表!$E:$E,$B169,領用表!$B:$B,CG$2&amp;CI$2)</f>
        <v/>
      </c>
      <c r="CJ169" s="339">
        <f>SUMIFS(領用表!$L:$L,領用表!$E:$E,$B169,領用表!$B:$B,CG$2&amp;CJ$2)</f>
        <v/>
      </c>
      <c r="CK169" s="339">
        <f>SUMIFS(領用表!$L:$L,領用表!$E:$E,$B169,領用表!$B:$B,$CG$2&amp;CK$2)</f>
        <v/>
      </c>
      <c r="CL169" s="207">
        <f>SUM(AX169,AY169,AZ169,BA169,BB169,BC169,BH169,BM169,BR169,BW169,CB169,CG169)</f>
        <v/>
      </c>
      <c r="CM169" s="207">
        <f>AVERAGE(AX169,AY169,AZ169,BA169,BB169,BC169,BH169,BM169,BR169,BW169,CB169,CG169)</f>
        <v/>
      </c>
      <c r="CN169" s="208">
        <f>SUMIFS(領用表!$L:$L,領用表!$A:$A,CN$2,領用表!$E:$E,B169)</f>
        <v/>
      </c>
      <c r="CO169" s="206">
        <f>SUMIFS(領用表!$L:$L,領用表!$E:$E,$B169,領用表!$B:$B,CN$2&amp;CO$2)</f>
        <v/>
      </c>
      <c r="CP169" s="206">
        <f>SUMIFS(領用表!$L:$L,領用表!$E:$E,$B169,領用表!$B:$B,$CN$2&amp;CP$2)</f>
        <v/>
      </c>
      <c r="CQ169" s="206">
        <f>SUMIFS(領用表!$L:$L,領用表!$E:$E,$B169,領用表!$B:$B,$CN$2&amp;CQ$2)</f>
        <v/>
      </c>
      <c r="CR169" s="339">
        <f>SUMIFS(領用表!$L:$L,領用表!$E:$E,$B169,領用表!$B:$B,$CN$2&amp;CR$2)</f>
        <v/>
      </c>
      <c r="CS169" s="208">
        <f>SUMIFS(領用表!$L:$L,領用表!$A:$A,CS$2,領用表!$E:$E,B169)</f>
        <v/>
      </c>
      <c r="CT169" s="206">
        <f>SUMIFS(領用表!$L:$L,領用表!$E:$E,$B169,領用表!$B:$B,CS$2&amp;CT$2)</f>
        <v/>
      </c>
      <c r="CU169" s="206">
        <f>SUMIFS(領用表!$L:$L,領用表!$E:$E,$B169,領用表!$B:$B,$CS$2&amp;CU$2)</f>
        <v/>
      </c>
      <c r="CV169" s="206">
        <f>SUMIFS(領用表!$L:$L,領用表!$E:$E,$B169,領用表!$B:$B,$CS$2&amp;CV$2)</f>
        <v/>
      </c>
      <c r="CW169" s="206">
        <f>SUMIFS(領用表!$L:$L,領用表!$E:$E,$B169,領用表!$B:$B,$CS$2&amp;CW$2)</f>
        <v/>
      </c>
      <c r="CX169" s="206">
        <f>SUMIFS(領用表!$L:$L,領用表!$E:$E,$B169,領用表!$B:$B,$CS$2&amp;CX$2)</f>
        <v/>
      </c>
      <c r="CY169" s="208">
        <f>SUMIFS(領用表!$L:$L,領用表!$A:$A,CY$2,領用表!$E:$E,B169)</f>
        <v/>
      </c>
      <c r="CZ169" s="339">
        <f>SUMIFS(領用表!$L:$L,領用表!$E:$E,$B169,領用表!$B:$B,CY$2&amp;CZ$2)</f>
        <v/>
      </c>
      <c r="DA169" s="339">
        <f>SUMIFS(領用表!$L:$L,領用表!$E:$E,$B169,領用表!$B:$B,$CY$2&amp;DA$2)</f>
        <v/>
      </c>
      <c r="DB169" s="339">
        <f>SUMIFS(領用表!$L:$L,領用表!$E:$E,$B169,領用表!$B:$B,$CY$2&amp;DB$2)</f>
        <v/>
      </c>
      <c r="DC169" s="339">
        <f>SUMIFS(領用表!$L:$L,領用表!$E:$E,$B169,領用表!$B:$B,$CY$2&amp;DC$2)</f>
        <v/>
      </c>
      <c r="DD169" s="339">
        <f>SUMIFS(領用表!$L:$L,領用表!$E:$E,$B169,領用表!$B:$B,$CY$2&amp;DD$2)</f>
        <v/>
      </c>
      <c r="DE169" s="208">
        <f>SUMIFS(領用表!$L:$L,領用表!$A:$A,DE$2,領用表!$E:$E,B169)</f>
        <v/>
      </c>
      <c r="DF169" s="339">
        <f>SUMIFS(領用表!$L:$L,領用表!$E:$E,$B169,領用表!$B:$B,DE$2&amp;DF$2)</f>
        <v/>
      </c>
      <c r="DG169" s="339">
        <f>SUMIFS(領用表!$L:$L,領用表!$E:$E,$B169,領用表!$B:$B,$DE$2&amp;DG$2)</f>
        <v/>
      </c>
      <c r="DH169" s="339">
        <f>SUMIFS(領用表!$L:$L,領用表!$E:$E,$B169,領用表!$B:$B,$DE$2&amp;DH$2)</f>
        <v/>
      </c>
      <c r="DI169" s="339">
        <f>SUMIFS(領用表!$L:$L,領用表!$E:$E,$B169,領用表!$B:$B,$DE$2&amp;DI$2)</f>
        <v/>
      </c>
      <c r="DJ169" s="339">
        <f>SUMIFS(領用表!$L:$L,領用表!$E:$E,$B169,領用表!$B:$B,$DE$2&amp;DJ$2)</f>
        <v/>
      </c>
      <c r="DK169" s="208">
        <f>SUMIFS(領用表!$L:$L,領用表!$A:$A,DK$2,領用表!$E:$E,$B169)</f>
        <v/>
      </c>
      <c r="DL169" s="296">
        <f>SUMIFS(領用表!$L:$L,領用表!$E:$E,$B169,領用表!$B:$B,DK$2&amp;DL$2)</f>
        <v/>
      </c>
      <c r="DM169" s="296">
        <f>SUMIFS(領用表!$L:$L,領用表!$E:$E,$B169,領用表!$B:$B,$DK$2&amp;DM$2)</f>
        <v/>
      </c>
      <c r="DN169" s="296">
        <f>SUMIFS(領用表!$L:$L,領用表!$E:$E,$B169,領用表!$B:$B,$DK$2&amp;DN$2)</f>
        <v/>
      </c>
      <c r="DO169" s="296">
        <f>SUMIFS(領用表!$L:$L,領用表!$E:$E,$B169,領用表!$B:$B,$DK$2&amp;DO$2)</f>
        <v/>
      </c>
      <c r="DP169" s="296">
        <f>SUMIFS(領用表!$L:$L,領用表!$E:$E,$B169,領用表!$B:$B,$DK$2&amp;DP$2)</f>
        <v/>
      </c>
      <c r="DQ169" s="208" t="n"/>
      <c r="DR169" s="296" t="n"/>
      <c r="DS169" s="296" t="n"/>
      <c r="DT169" s="296" t="n"/>
      <c r="DU169" s="296" t="n"/>
      <c r="DV169" s="296" t="n"/>
      <c r="DW169" s="331">
        <f>SUM(CN169,CS169,CY169,DE169,DK169,DQ169)</f>
        <v/>
      </c>
      <c r="DX169" s="331">
        <f>AVERAGEA(CN169,CS169,CY169,DE169,DK169,DQ169)</f>
        <v/>
      </c>
      <c r="DY169" s="331">
        <f>SUM(DZ169:EC169)</f>
        <v/>
      </c>
      <c r="DZ169" s="339" t="n">
        <v>0</v>
      </c>
      <c r="EA169" s="339" t="n">
        <v>0</v>
      </c>
      <c r="EB169" s="339" t="n">
        <v>0</v>
      </c>
      <c r="EC169" s="339" t="n">
        <v>0</v>
      </c>
      <c r="ED169" s="258" t="n"/>
      <c r="EE169" s="340" t="n"/>
      <c r="EF169" s="341" t="n"/>
      <c r="EG169" s="341" t="n"/>
      <c r="EH169" s="136" t="n"/>
      <c r="EI169" s="136" t="n"/>
      <c r="EJ169" s="118">
        <f>IFERROR(VLOOKUP(A169,站前4樓!A:BF,57,0),0)</f>
        <v/>
      </c>
      <c r="EK169" s="213">
        <f>IFERROR(VLOOKUP(A169,站前11樓!A:BE,57,0),0)</f>
        <v/>
      </c>
      <c r="EL169" s="118">
        <f>IFERROR(VLOOKUP(A169,忠孝7樓!A:N,57,0),0)</f>
        <v/>
      </c>
      <c r="EM169" s="118">
        <f>IFERROR(VLOOKUP(A169,忠孝國際醫學3樓!A:L,57,0),0)</f>
        <v/>
      </c>
      <c r="EN169" s="118">
        <f>SUM(ED169:EG169)</f>
        <v/>
      </c>
    </row>
    <row r="170" ht="15.75" customFormat="1" customHeight="1" s="118">
      <c r="A170" s="136" t="inlineStr">
        <is>
          <t>TN1AA200006T</t>
        </is>
      </c>
      <c r="B170" s="118" t="n">
        <v>6230002</v>
      </c>
      <c r="C170" s="136" t="inlineStr">
        <is>
          <t>試用-無瑕清透防護霜 30mL(潤色)</t>
        </is>
      </c>
      <c r="D170" s="285" t="n"/>
      <c r="E170" s="198" t="inlineStr">
        <is>
          <t>PCS</t>
        </is>
      </c>
      <c r="F170" s="225">
        <f>SUMIF(站前4樓!B:B,B170,站前4樓!F:F)</f>
        <v/>
      </c>
      <c r="G170" s="225">
        <f>SUMIF(站前11樓!B:B,B170,站前11樓!F:F)</f>
        <v/>
      </c>
      <c r="H170" s="225">
        <f>SUMIF(忠孝7樓!B:B,B170,忠孝7樓!G:G)</f>
        <v/>
      </c>
      <c r="I170" s="225">
        <f>SUMIF(忠孝國際醫學3樓!B:B,B170,忠孝國際醫學3樓!G:G)</f>
        <v/>
      </c>
      <c r="J170" s="225">
        <f>SUMIF(忠孝健康7樓!B:B,B170,忠孝健康7樓!G:G)</f>
        <v/>
      </c>
      <c r="K170" s="283" t="n"/>
      <c r="L170" s="283" t="n"/>
      <c r="M170" s="283" t="n"/>
      <c r="N170" s="283" t="n"/>
      <c r="O170" s="283" t="n"/>
      <c r="P170" s="283" t="n"/>
      <c r="Q170" s="283" t="n"/>
      <c r="R170" s="283" t="n"/>
      <c r="S170" s="283" t="n"/>
      <c r="T170" s="283" t="n"/>
      <c r="U170" s="283" t="n"/>
      <c r="V170" s="283" t="n"/>
      <c r="W170" s="283" t="n"/>
      <c r="X170" s="283" t="n"/>
      <c r="Y170" s="283" t="n"/>
      <c r="Z170" s="283" t="n"/>
      <c r="AA170" s="283" t="n"/>
      <c r="AB170" s="283" t="n"/>
      <c r="AC170" s="283" t="n"/>
      <c r="AD170" s="283" t="n"/>
      <c r="AE170" s="283" t="n"/>
      <c r="AF170" s="283" t="n"/>
      <c r="AG170" s="283" t="n"/>
      <c r="AH170" s="283" t="n"/>
      <c r="AI170" s="283" t="n"/>
      <c r="AJ170" s="201" t="n"/>
      <c r="AK170" s="201" t="n"/>
      <c r="AL170" s="201" t="n"/>
      <c r="AM170" s="201" t="n"/>
      <c r="AN170" s="201" t="n"/>
      <c r="AO170" s="201" t="n"/>
      <c r="AP170" s="201" t="n"/>
      <c r="AQ170" s="201" t="n">
        <v>0</v>
      </c>
      <c r="AR170" s="201" t="n">
        <v>10</v>
      </c>
      <c r="AS170" s="201" t="n">
        <v>20</v>
      </c>
      <c r="AT170" s="201" t="n">
        <v>0</v>
      </c>
      <c r="AU170" s="201" t="n">
        <v>0</v>
      </c>
      <c r="AV170" s="283">
        <f>SUM(AJ170:AU170)</f>
        <v/>
      </c>
      <c r="AW170" s="286">
        <f>AV170/12</f>
        <v/>
      </c>
      <c r="AX170" s="201" t="n">
        <v>0</v>
      </c>
      <c r="AY170" s="201" t="n">
        <v>0</v>
      </c>
      <c r="AZ170" s="201" t="n">
        <v>0</v>
      </c>
      <c r="BA170" s="201" t="n">
        <v>0</v>
      </c>
      <c r="BB170" s="201" t="n">
        <v>0</v>
      </c>
      <c r="BC170" s="203">
        <f>SUMIFS(領用表!$L:$L,領用表!$A:$A,BC$2,領用表!$E:$E,B170)</f>
        <v/>
      </c>
      <c r="BD170" s="296">
        <f>SUMIFS(領用表!$L:$L,領用表!$E:$E,$B170,領用表!$B:$B,BC$2&amp;BD$2)</f>
        <v/>
      </c>
      <c r="BE170" s="296">
        <f>SUMIFS(領用表!$L:$L,領用表!$E:$E,$B170,領用表!$B:$B,$BC$2&amp;BE$2)</f>
        <v/>
      </c>
      <c r="BF170" s="296">
        <f>SUMIFS(領用表!$L:$L,領用表!$E:$E,$B170,領用表!$B:$B,$BC$2&amp;BF$2)</f>
        <v/>
      </c>
      <c r="BG170" s="296">
        <f>SUMIFS(領用表!$L:$L,領用表!$E:$E,$B170,領用表!$B:$B,$BC$2&amp;BG$2)</f>
        <v/>
      </c>
      <c r="BH170" s="203">
        <f>SUMIFS(領用表!$L:$L,領用表!$A:$A,BH$2,領用表!$E:$E,B170)</f>
        <v/>
      </c>
      <c r="BI170" s="260">
        <f>SUMIFS(領用表!$L:$L,領用表!$E:$E,$B170,領用表!$B:$B,BH$2&amp;BI$2)</f>
        <v/>
      </c>
      <c r="BJ170" s="260">
        <f>SUMIFS(領用表!$L:$L,領用表!$E:$E,$B170,領用表!$B:$B,$BH$2&amp;BJ$2)</f>
        <v/>
      </c>
      <c r="BK170" s="260">
        <f>SUMIFS(領用表!$L:$L,領用表!$E:$E,$B170,領用表!$B:$B,$BH$2&amp;BK$2)</f>
        <v/>
      </c>
      <c r="BL170" s="260">
        <f>SUMIFS(領用表!$L:$L,領用表!$E:$E,$B170,領用表!$B:$B,$BH$2&amp;BL$2)</f>
        <v/>
      </c>
      <c r="BM170" s="203">
        <f>SUMIFS(領用表!$L:$L,領用表!$A:$A,BM$2,領用表!$E:$E,B170)</f>
        <v/>
      </c>
      <c r="BN170" s="206">
        <f>SUMIFS(領用表!$L:$L,領用表!$E:$E,$B170,領用表!$B:$B,BM$2&amp;BN$2)</f>
        <v/>
      </c>
      <c r="BO170" s="206">
        <f>SUMIFS(領用表!$L:$L,領用表!$E:$E,$B170,領用表!$B:$B,$BM$2&amp;BO$2)</f>
        <v/>
      </c>
      <c r="BP170" s="288">
        <f>SUMIFS(領用表!$L:$L,領用表!$E:$E,$B170,領用表!$B:$B,$BM$2&amp;BP$2)</f>
        <v/>
      </c>
      <c r="BQ170" s="287">
        <f>SUMIFS(領用表!$L:$L,領用表!$E:$E,$B170,領用表!$B:$B,$BM$2&amp;BQ$2)</f>
        <v/>
      </c>
      <c r="BR170" s="203">
        <f>SUMIFS(領用表!$L:$L,領用表!$A:$A,BR$2,領用表!$E:$E,B170)</f>
        <v/>
      </c>
      <c r="BS170" s="260">
        <f>SUMIFS(領用表!$L:$L,領用表!$E:$E,$B170,領用表!$B:$B,BR$2&amp;BS$2)</f>
        <v/>
      </c>
      <c r="BT170" s="260">
        <f>SUMIFS(領用表!$L:$L,領用表!$E:$E,$B170,領用表!$B:$B,$BR$2&amp;BT$2)</f>
        <v/>
      </c>
      <c r="BU170" s="260">
        <f>SUMIFS(領用表!$L:$L,領用表!$E:$E,$B170,領用表!$B:$B,$BR$2&amp;BU$2)</f>
        <v/>
      </c>
      <c r="BV170" s="220">
        <f>SUMIFS(領用表!$L:$L,領用表!$E:$E,$B170,領用表!$B:$B,$BR$2&amp;BV$2)</f>
        <v/>
      </c>
      <c r="BW170" s="208">
        <f>SUMIFS(領用表!$L:$L,領用表!$A:$A,BW$2,領用表!$E:$E,B170)</f>
        <v/>
      </c>
      <c r="BX170" s="296">
        <f>SUMIFS(領用表!$L:$L,領用表!$E:$E,$B170,領用表!$B:$B,BW$2&amp;BX$2)</f>
        <v/>
      </c>
      <c r="BY170" s="296">
        <f>SUMIFS(領用表!$L:$L,領用表!$E:$E,$B170,領用表!$B:$B,$BW$2&amp;BY$2)</f>
        <v/>
      </c>
      <c r="BZ170" s="296">
        <f>SUMIFS(領用表!$L:$L,領用表!$E:$E,$B170,領用表!$B:$B,$BW$2&amp;BZ$2)</f>
        <v/>
      </c>
      <c r="CA170" s="296">
        <f>SUMIFS(領用表!$L:$L,領用表!$E:$E,$B170,領用表!$B:$B,$BW$2&amp;CA$2)</f>
        <v/>
      </c>
      <c r="CB170" s="208">
        <f>SUMIFS(領用表!$L:$L,領用表!$A:$A,CB$2,領用表!$E:$E,B170)</f>
        <v/>
      </c>
      <c r="CC170" s="296">
        <f>SUMIFS(領用表!$L:$L,領用表!$E:$E,$B170,領用表!$B:$B,CB$2&amp;CC$2)</f>
        <v/>
      </c>
      <c r="CD170" s="296">
        <f>SUMIFS(領用表!$L:$L,領用表!$E:$E,$B170,領用表!$B:$B,$CB$2&amp;CD$2)</f>
        <v/>
      </c>
      <c r="CE170" s="296">
        <f>SUMIFS(領用表!$L:$L,領用表!$E:$E,$B170,領用表!$B:$B,$CB$2&amp;CE$2)</f>
        <v/>
      </c>
      <c r="CF170" s="296">
        <f>SUMIFS(領用表!$L:$L,領用表!$E:$E,$B170,領用表!$B:$B,$CB$2&amp;CF$2)</f>
        <v/>
      </c>
      <c r="CG170" s="335">
        <f>SUMIFS(領用表!$L:$L,領用表!$A:$A,CG$2,領用表!$E:$E,B170)</f>
        <v/>
      </c>
      <c r="CH170" s="296">
        <f>SUMIFS(領用表!$L:$L,領用表!$E:$E,$B170,領用表!$B:$B,CG$2&amp;CH$2)</f>
        <v/>
      </c>
      <c r="CI170" s="296">
        <f>SUMIFS(領用表!$L:$L,領用表!$E:$E,$B170,領用表!$B:$B,CG$2&amp;CI$2)</f>
        <v/>
      </c>
      <c r="CJ170" s="296">
        <f>SUMIFS(領用表!$L:$L,領用表!$E:$E,$B170,領用表!$B:$B,CG$2&amp;CJ$2)</f>
        <v/>
      </c>
      <c r="CK170" s="296">
        <f>SUMIFS(領用表!$L:$L,領用表!$E:$E,$B170,領用表!$B:$B,$CG$2&amp;CK$2)</f>
        <v/>
      </c>
      <c r="CL170" s="207">
        <f>SUM(AX170,AY170,AZ170,BA170,BB170,BC170,BH170,BM170,BR170,BW170,CB170,CG170)</f>
        <v/>
      </c>
      <c r="CM170" s="207">
        <f>AVERAGE(AX170,AY170,AZ170,BA170,BB170,BC170,BH170,BM170,BR170,BW170,CB170,CG170)</f>
        <v/>
      </c>
      <c r="CN170" s="208">
        <f>SUMIFS(領用表!$L:$L,領用表!$A:$A,CN$2,領用表!$E:$E,B170)</f>
        <v/>
      </c>
      <c r="CO170" s="206">
        <f>SUMIFS(領用表!$L:$L,領用表!$E:$E,$B170,領用表!$B:$B,CN$2&amp;CO$2)</f>
        <v/>
      </c>
      <c r="CP170" s="206">
        <f>SUMIFS(領用表!$L:$L,領用表!$E:$E,$B170,領用表!$B:$B,$CN$2&amp;CP$2)</f>
        <v/>
      </c>
      <c r="CQ170" s="206">
        <f>SUMIFS(領用表!$L:$L,領用表!$E:$E,$B170,領用表!$B:$B,$CN$2&amp;CQ$2)</f>
        <v/>
      </c>
      <c r="CR170" s="296">
        <f>SUMIFS(領用表!$L:$L,領用表!$E:$E,$B170,領用表!$B:$B,$CN$2&amp;CR$2)</f>
        <v/>
      </c>
      <c r="CS170" s="208">
        <f>SUMIFS(領用表!$L:$L,領用表!$A:$A,CS$2,領用表!$E:$E,B170)</f>
        <v/>
      </c>
      <c r="CT170" s="206">
        <f>SUMIFS(領用表!$L:$L,領用表!$E:$E,$B170,領用表!$B:$B,CS$2&amp;CT$2)</f>
        <v/>
      </c>
      <c r="CU170" s="206">
        <f>SUMIFS(領用表!$L:$L,領用表!$E:$E,$B170,領用表!$B:$B,$CS$2&amp;CU$2)</f>
        <v/>
      </c>
      <c r="CV170" s="206">
        <f>SUMIFS(領用表!$L:$L,領用表!$E:$E,$B170,領用表!$B:$B,$CS$2&amp;CV$2)</f>
        <v/>
      </c>
      <c r="CW170" s="206">
        <f>SUMIFS(領用表!$L:$L,領用表!$E:$E,$B170,領用表!$B:$B,$CS$2&amp;CW$2)</f>
        <v/>
      </c>
      <c r="CX170" s="206">
        <f>SUMIFS(領用表!$L:$L,領用表!$E:$E,$B170,領用表!$B:$B,$CS$2&amp;CX$2)</f>
        <v/>
      </c>
      <c r="CY170" s="208">
        <f>SUMIFS(領用表!$L:$L,領用表!$A:$A,CY$2,領用表!$E:$E,B170)</f>
        <v/>
      </c>
      <c r="CZ170" s="296">
        <f>SUMIFS(領用表!$L:$L,領用表!$E:$E,$B170,領用表!$B:$B,CY$2&amp;CZ$2)</f>
        <v/>
      </c>
      <c r="DA170" s="296">
        <f>SUMIFS(領用表!$L:$L,領用表!$E:$E,$B170,領用表!$B:$B,$CY$2&amp;DA$2)</f>
        <v/>
      </c>
      <c r="DB170" s="296">
        <f>SUMIFS(領用表!$L:$L,領用表!$E:$E,$B170,領用表!$B:$B,$CY$2&amp;DB$2)</f>
        <v/>
      </c>
      <c r="DC170" s="296">
        <f>SUMIFS(領用表!$L:$L,領用表!$E:$E,$B170,領用表!$B:$B,$CY$2&amp;DC$2)</f>
        <v/>
      </c>
      <c r="DD170" s="296">
        <f>SUMIFS(領用表!$L:$L,領用表!$E:$E,$B170,領用表!$B:$B,$CY$2&amp;DD$2)</f>
        <v/>
      </c>
      <c r="DE170" s="208">
        <f>SUMIFS(領用表!$L:$L,領用表!$A:$A,DE$2,領用表!$E:$E,B170)</f>
        <v/>
      </c>
      <c r="DF170" s="296">
        <f>SUMIFS(領用表!$L:$L,領用表!$E:$E,$B170,領用表!$B:$B,DE$2&amp;DF$2)</f>
        <v/>
      </c>
      <c r="DG170" s="296">
        <f>SUMIFS(領用表!$L:$L,領用表!$E:$E,$B170,領用表!$B:$B,$DE$2&amp;DG$2)</f>
        <v/>
      </c>
      <c r="DH170" s="296">
        <f>SUMIFS(領用表!$L:$L,領用表!$E:$E,$B170,領用表!$B:$B,$DE$2&amp;DH$2)</f>
        <v/>
      </c>
      <c r="DI170" s="296">
        <f>SUMIFS(領用表!$L:$L,領用表!$E:$E,$B170,領用表!$B:$B,$DE$2&amp;DI$2)</f>
        <v/>
      </c>
      <c r="DJ170" s="296">
        <f>SUMIFS(領用表!$L:$L,領用表!$E:$E,$B170,領用表!$B:$B,$DE$2&amp;DJ$2)</f>
        <v/>
      </c>
      <c r="DK170" s="208">
        <f>SUMIFS(領用表!$L:$L,領用表!$A:$A,DK$2,領用表!$E:$E,$B170)</f>
        <v/>
      </c>
      <c r="DL170" s="296">
        <f>SUMIFS(領用表!$L:$L,領用表!$E:$E,$B170,領用表!$B:$B,DK$2&amp;DL$2)</f>
        <v/>
      </c>
      <c r="DM170" s="296">
        <f>SUMIFS(領用表!$L:$L,領用表!$E:$E,$B170,領用表!$B:$B,$DK$2&amp;DM$2)</f>
        <v/>
      </c>
      <c r="DN170" s="296">
        <f>SUMIFS(領用表!$L:$L,領用表!$E:$E,$B170,領用表!$B:$B,$DK$2&amp;DN$2)</f>
        <v/>
      </c>
      <c r="DO170" s="296">
        <f>SUMIFS(領用表!$L:$L,領用表!$E:$E,$B170,領用表!$B:$B,$DK$2&amp;DO$2)</f>
        <v/>
      </c>
      <c r="DP170" s="296">
        <f>SUMIFS(領用表!$L:$L,領用表!$E:$E,$B170,領用表!$B:$B,$DK$2&amp;DP$2)</f>
        <v/>
      </c>
      <c r="DQ170" s="208" t="n">
        <v>15</v>
      </c>
      <c r="DR170" s="296" t="n"/>
      <c r="DS170" s="296" t="n"/>
      <c r="DT170" s="296" t="n">
        <v>15</v>
      </c>
      <c r="DU170" s="296" t="n"/>
      <c r="DV170" s="296" t="n"/>
      <c r="DW170" s="296">
        <f>SUM(CN170,CS170,CY170,DE170,DK170,DQ170)</f>
        <v/>
      </c>
      <c r="DX170" s="296">
        <f>AVERAGEA(CN170,CS170,CY170,DE170,DK170,DQ170)</f>
        <v/>
      </c>
      <c r="DY170" s="296">
        <f>SUM(DZ170:EC170)</f>
        <v/>
      </c>
      <c r="DZ170" s="296" t="n">
        <v>0</v>
      </c>
      <c r="EA170" s="296" t="n">
        <v>0</v>
      </c>
      <c r="EB170" s="296" t="n">
        <v>0</v>
      </c>
      <c r="EC170" s="296" t="n">
        <v>0</v>
      </c>
      <c r="ED170" s="258" t="n"/>
      <c r="EE170" s="340" t="n"/>
      <c r="EF170" s="341" t="n"/>
      <c r="EG170" s="341" t="n"/>
      <c r="EH170" s="136" t="n"/>
      <c r="EI170" s="136" t="n"/>
      <c r="EJ170" s="118">
        <f>IFERROR(VLOOKUP(A170,站前4樓!A:BF,57,0),0)</f>
        <v/>
      </c>
      <c r="EK170" s="213">
        <f>IFERROR(VLOOKUP(A170,站前11樓!A:BE,57,0),0)</f>
        <v/>
      </c>
      <c r="EL170" s="118">
        <f>IFERROR(VLOOKUP(A170,忠孝7樓!A:N,57,0),0)</f>
        <v/>
      </c>
      <c r="EM170" s="118">
        <f>IFERROR(VLOOKUP(A170,忠孝國際醫學3樓!A:L,57,0),0)</f>
        <v/>
      </c>
      <c r="EN170" s="118">
        <f>SUM(ED170:EG170)</f>
        <v/>
      </c>
    </row>
    <row r="171" ht="15.75" customFormat="1" customHeight="1" s="118">
      <c r="A171" s="136" t="inlineStr">
        <is>
          <t>TN1AA020004T</t>
        </is>
      </c>
      <c r="C171" s="136" t="inlineStr">
        <is>
          <t>試用-超微纖深層淨膚乳100ml</t>
        </is>
      </c>
      <c r="D171" s="285" t="n"/>
      <c r="E171" s="198" t="inlineStr">
        <is>
          <t>PCS</t>
        </is>
      </c>
      <c r="F171" s="225">
        <f>SUMIF(站前4樓!B:B,B171,站前4樓!F:F)</f>
        <v/>
      </c>
      <c r="G171" s="225">
        <f>SUMIF(站前11樓!B:B,B171,站前11樓!F:F)</f>
        <v/>
      </c>
      <c r="H171" s="225">
        <f>SUMIF(忠孝7樓!B:B,B171,忠孝7樓!G:G)</f>
        <v/>
      </c>
      <c r="I171" s="225">
        <f>SUMIF(忠孝國際醫學3樓!B:B,B171,忠孝國際醫學3樓!G:G)</f>
        <v/>
      </c>
      <c r="J171" s="225">
        <f>SUMIF(忠孝健康7樓!B:B,B171,忠孝健康7樓!G:G)</f>
        <v/>
      </c>
      <c r="K171" s="283" t="n"/>
      <c r="L171" s="283" t="n"/>
      <c r="M171" s="283" t="n"/>
      <c r="N171" s="283" t="n"/>
      <c r="O171" s="283" t="n"/>
      <c r="P171" s="283" t="n"/>
      <c r="Q171" s="283" t="n"/>
      <c r="R171" s="283" t="n"/>
      <c r="S171" s="283" t="n"/>
      <c r="T171" s="283" t="n"/>
      <c r="U171" s="283" t="n"/>
      <c r="V171" s="283" t="n"/>
      <c r="W171" s="283" t="n"/>
      <c r="X171" s="283" t="n"/>
      <c r="Y171" s="283" t="n"/>
      <c r="Z171" s="283" t="n"/>
      <c r="AA171" s="283" t="n"/>
      <c r="AB171" s="283" t="n"/>
      <c r="AC171" s="283" t="n"/>
      <c r="AD171" s="283" t="n"/>
      <c r="AE171" s="283" t="n"/>
      <c r="AF171" s="283" t="n"/>
      <c r="AG171" s="283" t="n"/>
      <c r="AH171" s="283" t="n"/>
      <c r="AI171" s="283" t="n"/>
      <c r="AJ171" s="201" t="n"/>
      <c r="AK171" s="201" t="n"/>
      <c r="AL171" s="201" t="n"/>
      <c r="AM171" s="201" t="n"/>
      <c r="AN171" s="201" t="n"/>
      <c r="AO171" s="201" t="n"/>
      <c r="AP171" s="201" t="n"/>
      <c r="AQ171" s="201" t="n">
        <v>0</v>
      </c>
      <c r="AR171" s="201" t="n">
        <v>0</v>
      </c>
      <c r="AS171" s="201" t="n">
        <v>0</v>
      </c>
      <c r="AT171" s="201" t="n">
        <v>0</v>
      </c>
      <c r="AU171" s="201" t="n">
        <v>10</v>
      </c>
      <c r="AV171" s="283">
        <f>SUM(AJ171:AU171)</f>
        <v/>
      </c>
      <c r="AW171" s="286">
        <f>AV171/12</f>
        <v/>
      </c>
      <c r="AX171" s="201" t="n">
        <v>10</v>
      </c>
      <c r="AY171" s="201" t="n">
        <v>37</v>
      </c>
      <c r="AZ171" s="201" t="n">
        <v>0</v>
      </c>
      <c r="BA171" s="201" t="n">
        <v>0</v>
      </c>
      <c r="BB171" s="201" t="n">
        <v>0</v>
      </c>
      <c r="BC171" s="203">
        <f>SUMIFS(領用表!$L:$L,領用表!$A:$A,BC$2,領用表!$E:$E,B171)</f>
        <v/>
      </c>
      <c r="BD171" s="296">
        <f>SUMIFS(領用表!$L:$L,領用表!$E:$E,$B171,領用表!$B:$B,BC$2&amp;BD$2)</f>
        <v/>
      </c>
      <c r="BE171" s="296">
        <f>SUMIFS(領用表!$L:$L,領用表!$E:$E,$B171,領用表!$B:$B,$BC$2&amp;BE$2)</f>
        <v/>
      </c>
      <c r="BF171" s="296">
        <f>SUMIFS(領用表!$L:$L,領用表!$E:$E,$B171,領用表!$B:$B,$BC$2&amp;BF$2)</f>
        <v/>
      </c>
      <c r="BG171" s="296">
        <f>SUMIFS(領用表!$L:$L,領用表!$E:$E,$B171,領用表!$B:$B,$BC$2&amp;BG$2)</f>
        <v/>
      </c>
      <c r="BH171" s="203">
        <f>SUMIFS(領用表!$L:$L,領用表!$A:$A,BH$2,領用表!$E:$E,B171)</f>
        <v/>
      </c>
      <c r="BI171" s="260">
        <f>SUMIFS(領用表!$L:$L,領用表!$E:$E,$B171,領用表!$B:$B,BH$2&amp;BI$2)</f>
        <v/>
      </c>
      <c r="BJ171" s="260">
        <f>SUMIFS(領用表!$L:$L,領用表!$E:$E,$B171,領用表!$B:$B,$BH$2&amp;BJ$2)</f>
        <v/>
      </c>
      <c r="BK171" s="260">
        <f>SUMIFS(領用表!$L:$L,領用表!$E:$E,$B171,領用表!$B:$B,$BH$2&amp;BK$2)</f>
        <v/>
      </c>
      <c r="BL171" s="260">
        <f>SUMIFS(領用表!$L:$L,領用表!$E:$E,$B171,領用表!$B:$B,$BH$2&amp;BL$2)</f>
        <v/>
      </c>
      <c r="BM171" s="203">
        <f>SUMIFS(領用表!$L:$L,領用表!$A:$A,BM$2,領用表!$E:$E,B171)</f>
        <v/>
      </c>
      <c r="BN171" s="206">
        <f>SUMIFS(領用表!$L:$L,領用表!$E:$E,$B171,領用表!$B:$B,BM$2&amp;BN$2)</f>
        <v/>
      </c>
      <c r="BO171" s="206">
        <f>SUMIFS(領用表!$L:$L,領用表!$E:$E,$B171,領用表!$B:$B,$BM$2&amp;BO$2)</f>
        <v/>
      </c>
      <c r="BP171" s="288">
        <f>SUMIFS(領用表!$L:$L,領用表!$E:$E,$B171,領用表!$B:$B,$BM$2&amp;BP$2)</f>
        <v/>
      </c>
      <c r="BQ171" s="287">
        <f>SUMIFS(領用表!$L:$L,領用表!$E:$E,$B171,領用表!$B:$B,$BM$2&amp;BQ$2)</f>
        <v/>
      </c>
      <c r="BR171" s="203">
        <f>SUMIFS(領用表!$L:$L,領用表!$A:$A,BR$2,領用表!$E:$E,B171)</f>
        <v/>
      </c>
      <c r="BS171" s="260">
        <f>SUMIFS(領用表!$L:$L,領用表!$E:$E,$B171,領用表!$B:$B,BR$2&amp;BS$2)</f>
        <v/>
      </c>
      <c r="BT171" s="260">
        <f>SUMIFS(領用表!$L:$L,領用表!$E:$E,$B171,領用表!$B:$B,$BR$2&amp;BT$2)</f>
        <v/>
      </c>
      <c r="BU171" s="260">
        <f>SUMIFS(領用表!$L:$L,領用表!$E:$E,$B171,領用表!$B:$B,$BR$2&amp;BU$2)</f>
        <v/>
      </c>
      <c r="BV171" s="220">
        <f>SUMIFS(領用表!$L:$L,領用表!$E:$E,$B171,領用表!$B:$B,$BR$2&amp;BV$2)</f>
        <v/>
      </c>
      <c r="BW171" s="208">
        <f>SUMIFS(領用表!$L:$L,領用表!$A:$A,BW$2,領用表!$E:$E,B171)</f>
        <v/>
      </c>
      <c r="BX171" s="296">
        <f>SUMIFS(領用表!$L:$L,領用表!$E:$E,$B171,領用表!$B:$B,BW$2&amp;BX$2)</f>
        <v/>
      </c>
      <c r="BY171" s="296">
        <f>SUMIFS(領用表!$L:$L,領用表!$E:$E,$B171,領用表!$B:$B,$BW$2&amp;BY$2)</f>
        <v/>
      </c>
      <c r="BZ171" s="296">
        <f>SUMIFS(領用表!$L:$L,領用表!$E:$E,$B171,領用表!$B:$B,$BW$2&amp;BZ$2)</f>
        <v/>
      </c>
      <c r="CA171" s="296">
        <f>SUMIFS(領用表!$L:$L,領用表!$E:$E,$B171,領用表!$B:$B,$BW$2&amp;CA$2)</f>
        <v/>
      </c>
      <c r="CB171" s="208">
        <f>SUMIFS(領用表!$L:$L,領用表!$A:$A,CB$2,領用表!$E:$E,B171)</f>
        <v/>
      </c>
      <c r="CC171" s="296">
        <f>SUMIFS(領用表!$L:$L,領用表!$E:$E,$B171,領用表!$B:$B,CB$2&amp;CC$2)</f>
        <v/>
      </c>
      <c r="CD171" s="296">
        <f>SUMIFS(領用表!$L:$L,領用表!$E:$E,$B171,領用表!$B:$B,$CB$2&amp;CD$2)</f>
        <v/>
      </c>
      <c r="CE171" s="296">
        <f>SUMIFS(領用表!$L:$L,領用表!$E:$E,$B171,領用表!$B:$B,$CB$2&amp;CE$2)</f>
        <v/>
      </c>
      <c r="CF171" s="296">
        <f>SUMIFS(領用表!$L:$L,領用表!$E:$E,$B171,領用表!$B:$B,$CB$2&amp;CF$2)</f>
        <v/>
      </c>
      <c r="CG171" s="335">
        <f>SUMIFS(領用表!$L:$L,領用表!$A:$A,CG$2,領用表!$E:$E,B171)</f>
        <v/>
      </c>
      <c r="CH171" s="296">
        <f>SUMIFS(領用表!$L:$L,領用表!$E:$E,$B171,領用表!$B:$B,CG$2&amp;CH$2)</f>
        <v/>
      </c>
      <c r="CI171" s="296">
        <f>SUMIFS(領用表!$L:$L,領用表!$E:$E,$B171,領用表!$B:$B,CG$2&amp;CI$2)</f>
        <v/>
      </c>
      <c r="CJ171" s="296">
        <f>SUMIFS(領用表!$L:$L,領用表!$E:$E,$B171,領用表!$B:$B,CG$2&amp;CJ$2)</f>
        <v/>
      </c>
      <c r="CK171" s="296">
        <f>SUMIFS(領用表!$L:$L,領用表!$E:$E,$B171,領用表!$B:$B,$CG$2&amp;CK$2)</f>
        <v/>
      </c>
      <c r="CL171" s="207">
        <f>SUM(AX171,AY171,AZ171,BA171,BB171,BC171,BH171,BM171,BR171,BW171,CB171,CG171)</f>
        <v/>
      </c>
      <c r="CM171" s="207">
        <f>AVERAGE(AX171,AY171,AZ171,BA171,BB171,BC171,BH171,BM171,BR171,BW171,CB171,CG171)</f>
        <v/>
      </c>
      <c r="CN171" s="208">
        <f>SUMIFS(領用表!$L:$L,領用表!$A:$A,CN$2,領用表!$E:$E,B171)</f>
        <v/>
      </c>
      <c r="CO171" s="206">
        <f>SUMIFS(領用表!$L:$L,領用表!$E:$E,$B171,領用表!$B:$B,CN$2&amp;CO$2)</f>
        <v/>
      </c>
      <c r="CP171" s="206">
        <f>SUMIFS(領用表!$L:$L,領用表!$E:$E,$B171,領用表!$B:$B,$CN$2&amp;CP$2)</f>
        <v/>
      </c>
      <c r="CQ171" s="206">
        <f>SUMIFS(領用表!$L:$L,領用表!$E:$E,$B171,領用表!$B:$B,$CN$2&amp;CQ$2)</f>
        <v/>
      </c>
      <c r="CR171" s="296">
        <f>SUMIFS(領用表!$L:$L,領用表!$E:$E,$B171,領用表!$B:$B,$CN$2&amp;CR$2)</f>
        <v/>
      </c>
      <c r="CS171" s="208">
        <f>SUMIFS(領用表!$L:$L,領用表!$A:$A,CS$2,領用表!$E:$E,B171)</f>
        <v/>
      </c>
      <c r="CT171" s="206">
        <f>SUMIFS(領用表!$L:$L,領用表!$E:$E,$B171,領用表!$B:$B,CS$2&amp;CT$2)</f>
        <v/>
      </c>
      <c r="CU171" s="206">
        <f>SUMIFS(領用表!$L:$L,領用表!$E:$E,$B171,領用表!$B:$B,$CS$2&amp;CU$2)</f>
        <v/>
      </c>
      <c r="CV171" s="206">
        <f>SUMIFS(領用表!$L:$L,領用表!$E:$E,$B171,領用表!$B:$B,$CS$2&amp;CV$2)</f>
        <v/>
      </c>
      <c r="CW171" s="206">
        <f>SUMIFS(領用表!$L:$L,領用表!$E:$E,$B171,領用表!$B:$B,$CS$2&amp;CW$2)</f>
        <v/>
      </c>
      <c r="CX171" s="206">
        <f>SUMIFS(領用表!$L:$L,領用表!$E:$E,$B171,領用表!$B:$B,$CS$2&amp;CX$2)</f>
        <v/>
      </c>
      <c r="CY171" s="208">
        <f>SUMIFS(領用表!$L:$L,領用表!$A:$A,CY$2,領用表!$E:$E,B171)</f>
        <v/>
      </c>
      <c r="CZ171" s="296">
        <f>SUMIFS(領用表!$L:$L,領用表!$E:$E,$B171,領用表!$B:$B,CY$2&amp;CZ$2)</f>
        <v/>
      </c>
      <c r="DA171" s="296">
        <f>SUMIFS(領用表!$L:$L,領用表!$E:$E,$B171,領用表!$B:$B,$CY$2&amp;DA$2)</f>
        <v/>
      </c>
      <c r="DB171" s="296">
        <f>SUMIFS(領用表!$L:$L,領用表!$E:$E,$B171,領用表!$B:$B,$CY$2&amp;DB$2)</f>
        <v/>
      </c>
      <c r="DC171" s="296">
        <f>SUMIFS(領用表!$L:$L,領用表!$E:$E,$B171,領用表!$B:$B,$CY$2&amp;DC$2)</f>
        <v/>
      </c>
      <c r="DD171" s="296">
        <f>SUMIFS(領用表!$L:$L,領用表!$E:$E,$B171,領用表!$B:$B,$CY$2&amp;DD$2)</f>
        <v/>
      </c>
      <c r="DE171" s="208">
        <f>SUMIFS(領用表!$L:$L,領用表!$A:$A,DE$2,領用表!$E:$E,B171)</f>
        <v/>
      </c>
      <c r="DF171" s="296">
        <f>SUMIFS(領用表!$L:$L,領用表!$E:$E,$B171,領用表!$B:$B,DE$2&amp;DF$2)</f>
        <v/>
      </c>
      <c r="DG171" s="296">
        <f>SUMIFS(領用表!$L:$L,領用表!$E:$E,$B171,領用表!$B:$B,$DE$2&amp;DG$2)</f>
        <v/>
      </c>
      <c r="DH171" s="296">
        <f>SUMIFS(領用表!$L:$L,領用表!$E:$E,$B171,領用表!$B:$B,$DE$2&amp;DH$2)</f>
        <v/>
      </c>
      <c r="DI171" s="296">
        <f>SUMIFS(領用表!$L:$L,領用表!$E:$E,$B171,領用表!$B:$B,$DE$2&amp;DI$2)</f>
        <v/>
      </c>
      <c r="DJ171" s="296">
        <f>SUMIFS(領用表!$L:$L,領用表!$E:$E,$B171,領用表!$B:$B,$DE$2&amp;DJ$2)</f>
        <v/>
      </c>
      <c r="DK171" s="208">
        <f>SUMIFS(領用表!$L:$L,領用表!$A:$A,DK$2,領用表!$E:$E,$B171)</f>
        <v/>
      </c>
      <c r="DL171" s="296">
        <f>SUMIFS(領用表!$L:$L,領用表!$E:$E,$B171,領用表!$B:$B,DK$2&amp;DL$2)</f>
        <v/>
      </c>
      <c r="DM171" s="296">
        <f>SUMIFS(領用表!$L:$L,領用表!$E:$E,$B171,領用表!$B:$B,$DK$2&amp;DM$2)</f>
        <v/>
      </c>
      <c r="DN171" s="296">
        <f>SUMIFS(領用表!$L:$L,領用表!$E:$E,$B171,領用表!$B:$B,$DK$2&amp;DN$2)</f>
        <v/>
      </c>
      <c r="DO171" s="296">
        <f>SUMIFS(領用表!$L:$L,領用表!$E:$E,$B171,領用表!$B:$B,$DK$2&amp;DO$2)</f>
        <v/>
      </c>
      <c r="DP171" s="296">
        <f>SUMIFS(領用表!$L:$L,領用表!$E:$E,$B171,領用表!$B:$B,$DK$2&amp;DP$2)</f>
        <v/>
      </c>
      <c r="DQ171" s="208" t="n"/>
      <c r="DR171" s="296" t="n"/>
      <c r="DS171" s="296" t="n"/>
      <c r="DT171" s="296" t="n"/>
      <c r="DU171" s="296" t="n"/>
      <c r="DV171" s="296" t="n"/>
      <c r="DW171" s="296">
        <f>SUM(CN171,CS171,CY171,DE171,DK171,DQ171)</f>
        <v/>
      </c>
      <c r="DX171" s="296">
        <f>AVERAGEA(CN171,CS171,CY171,DE171,DK171,DQ171)</f>
        <v/>
      </c>
      <c r="DY171" s="296">
        <f>SUM(DZ171:EC171)</f>
        <v/>
      </c>
      <c r="DZ171" s="296" t="n">
        <v>0</v>
      </c>
      <c r="EA171" s="296" t="n">
        <v>0</v>
      </c>
      <c r="EB171" s="296" t="n">
        <v>0</v>
      </c>
      <c r="EC171" s="296" t="n">
        <v>0</v>
      </c>
      <c r="ED171" s="258" t="n"/>
      <c r="EE171" s="340" t="n"/>
      <c r="EF171" s="340" t="n"/>
      <c r="EG171" s="340" t="n"/>
      <c r="EH171" s="136" t="n"/>
      <c r="EI171" s="136" t="n"/>
      <c r="EJ171" s="118">
        <f>IFERROR(VLOOKUP(A171,站前4樓!A:BF,57,0),0)</f>
        <v/>
      </c>
      <c r="EK171" s="213">
        <f>IFERROR(VLOOKUP(A171,站前11樓!A:BE,57,0),0)</f>
        <v/>
      </c>
      <c r="EL171" s="118">
        <f>IFERROR(VLOOKUP(A171,忠孝7樓!A:N,57,0),0)</f>
        <v/>
      </c>
      <c r="EM171" s="118">
        <f>IFERROR(VLOOKUP(A171,忠孝國際醫學3樓!A:L,57,0),0)</f>
        <v/>
      </c>
      <c r="EN171" s="118">
        <f>SUM(ED171:EG171)</f>
        <v/>
      </c>
    </row>
    <row r="172" ht="15.75" customFormat="1" customHeight="1" s="118">
      <c r="A172" s="136" t="inlineStr">
        <is>
          <t>FN1AA060003T</t>
        </is>
      </c>
      <c r="B172" s="118" t="n">
        <v>6060002</v>
      </c>
      <c r="C172" s="136" t="inlineStr">
        <is>
          <t>試用包-金采賦活保濕精華霜 2mL(尖嘴單劑包)</t>
        </is>
      </c>
      <c r="D172" s="285" t="n"/>
      <c r="E172" s="198" t="inlineStr">
        <is>
          <t>PCS</t>
        </is>
      </c>
      <c r="F172" s="225">
        <f>SUMIF(站前4樓!B:B,B172,站前4樓!F:F)</f>
        <v/>
      </c>
      <c r="G172" s="225">
        <f>SUMIF(站前11樓!B:B,B172,站前11樓!F:F)</f>
        <v/>
      </c>
      <c r="H172" s="225">
        <f>SUMIF(忠孝7樓!B:B,B172,忠孝7樓!G:G)</f>
        <v/>
      </c>
      <c r="I172" s="225">
        <f>SUMIF(忠孝國際醫學3樓!B:B,B172,忠孝國際醫學3樓!G:G)</f>
        <v/>
      </c>
      <c r="J172" s="225">
        <f>SUMIF(忠孝健康7樓!B:B,B172,忠孝健康7樓!G:G)</f>
        <v/>
      </c>
      <c r="K172" s="283" t="n"/>
      <c r="L172" s="283" t="n"/>
      <c r="M172" s="283" t="n"/>
      <c r="N172" s="283" t="n"/>
      <c r="O172" s="283" t="n"/>
      <c r="P172" s="283" t="n"/>
      <c r="Q172" s="283" t="n"/>
      <c r="R172" s="283" t="n"/>
      <c r="S172" s="283" t="n"/>
      <c r="T172" s="283" t="n"/>
      <c r="U172" s="283" t="n"/>
      <c r="V172" s="283" t="n"/>
      <c r="W172" s="283" t="n"/>
      <c r="X172" s="283" t="n"/>
      <c r="Y172" s="283" t="n"/>
      <c r="Z172" s="283" t="n"/>
      <c r="AA172" s="283" t="n"/>
      <c r="AB172" s="283" t="n"/>
      <c r="AC172" s="283" t="n"/>
      <c r="AD172" s="283" t="n"/>
      <c r="AE172" s="283" t="n"/>
      <c r="AF172" s="283" t="n"/>
      <c r="AG172" s="283" t="n"/>
      <c r="AH172" s="283" t="n"/>
      <c r="AI172" s="283" t="n"/>
      <c r="AJ172" s="201" t="n"/>
      <c r="AK172" s="201" t="n"/>
      <c r="AL172" s="201" t="n"/>
      <c r="AM172" s="201" t="n"/>
      <c r="AN172" s="201" t="n"/>
      <c r="AO172" s="201" t="n"/>
      <c r="AP172" s="201" t="n"/>
      <c r="AQ172" s="201" t="n">
        <v>0</v>
      </c>
      <c r="AR172" s="201" t="n">
        <v>0</v>
      </c>
      <c r="AS172" s="201" t="n">
        <v>0</v>
      </c>
      <c r="AT172" s="201" t="n">
        <v>800</v>
      </c>
      <c r="AU172" s="201" t="n">
        <v>200</v>
      </c>
      <c r="AV172" s="283">
        <f>SUM(AJ172:AU172)</f>
        <v/>
      </c>
      <c r="AW172" s="286">
        <f>AV172/12</f>
        <v/>
      </c>
      <c r="AX172" s="201" t="n">
        <v>0</v>
      </c>
      <c r="AY172" s="201" t="n">
        <v>0</v>
      </c>
      <c r="AZ172" s="201" t="n">
        <v>200</v>
      </c>
      <c r="BA172" s="201" t="n">
        <v>0</v>
      </c>
      <c r="BB172" s="201" t="n">
        <v>0</v>
      </c>
      <c r="BC172" s="203">
        <f>SUMIFS(領用表!$L:$L,領用表!$A:$A,BC$2,領用表!$E:$E,B172)</f>
        <v/>
      </c>
      <c r="BD172" s="296">
        <f>SUMIFS(領用表!$L:$L,領用表!$E:$E,$B172,領用表!$B:$B,BC$2&amp;BD$2)</f>
        <v/>
      </c>
      <c r="BE172" s="296">
        <f>SUMIFS(領用表!$L:$L,領用表!$E:$E,$B172,領用表!$B:$B,$BC$2&amp;BE$2)</f>
        <v/>
      </c>
      <c r="BF172" s="296">
        <f>SUMIFS(領用表!$L:$L,領用表!$E:$E,$B172,領用表!$B:$B,$BC$2&amp;BF$2)</f>
        <v/>
      </c>
      <c r="BG172" s="296">
        <f>SUMIFS(領用表!$L:$L,領用表!$E:$E,$B172,領用表!$B:$B,$BC$2&amp;BG$2)</f>
        <v/>
      </c>
      <c r="BH172" s="203">
        <f>SUMIFS(領用表!$L:$L,領用表!$A:$A,BH$2,領用表!$E:$E,B172)</f>
        <v/>
      </c>
      <c r="BI172" s="260">
        <f>SUMIFS(領用表!$L:$L,領用表!$E:$E,$B172,領用表!$B:$B,BH$2&amp;BI$2)</f>
        <v/>
      </c>
      <c r="BJ172" s="260">
        <f>SUMIFS(領用表!$L:$L,領用表!$E:$E,$B172,領用表!$B:$B,$BH$2&amp;BJ$2)</f>
        <v/>
      </c>
      <c r="BK172" s="260">
        <f>SUMIFS(領用表!$L:$L,領用表!$E:$E,$B172,領用表!$B:$B,$BH$2&amp;BK$2)</f>
        <v/>
      </c>
      <c r="BL172" s="260">
        <f>SUMIFS(領用表!$L:$L,領用表!$E:$E,$B172,領用表!$B:$B,$BH$2&amp;BL$2)</f>
        <v/>
      </c>
      <c r="BM172" s="203">
        <f>SUMIFS(領用表!$L:$L,領用表!$A:$A,BM$2,領用表!$E:$E,B172)</f>
        <v/>
      </c>
      <c r="BN172" s="206">
        <f>SUMIFS(領用表!$L:$L,領用表!$E:$E,$B172,領用表!$B:$B,BM$2&amp;BN$2)</f>
        <v/>
      </c>
      <c r="BO172" s="206">
        <f>SUMIFS(領用表!$L:$L,領用表!$E:$E,$B172,領用表!$B:$B,$BM$2&amp;BO$2)</f>
        <v/>
      </c>
      <c r="BP172" s="288">
        <f>SUMIFS(領用表!$L:$L,領用表!$E:$E,$B172,領用表!$B:$B,$BM$2&amp;BP$2)</f>
        <v/>
      </c>
      <c r="BQ172" s="287">
        <f>SUMIFS(領用表!$L:$L,領用表!$E:$E,$B172,領用表!$B:$B,$BM$2&amp;BQ$2)</f>
        <v/>
      </c>
      <c r="BR172" s="203">
        <f>SUMIFS(領用表!$L:$L,領用表!$A:$A,BR$2,領用表!$E:$E,B172)</f>
        <v/>
      </c>
      <c r="BS172" s="260">
        <f>SUMIFS(領用表!$L:$L,領用表!$E:$E,$B172,領用表!$B:$B,BR$2&amp;BS$2)</f>
        <v/>
      </c>
      <c r="BT172" s="260">
        <f>SUMIFS(領用表!$L:$L,領用表!$E:$E,$B172,領用表!$B:$B,$BR$2&amp;BT$2)</f>
        <v/>
      </c>
      <c r="BU172" s="260">
        <f>SUMIFS(領用表!$L:$L,領用表!$E:$E,$B172,領用表!$B:$B,$BR$2&amp;BU$2)</f>
        <v/>
      </c>
      <c r="BV172" s="220">
        <f>SUMIFS(領用表!$L:$L,領用表!$E:$E,$B172,領用表!$B:$B,$BR$2&amp;BV$2)</f>
        <v/>
      </c>
      <c r="BW172" s="208">
        <f>SUMIFS(領用表!$L:$L,領用表!$A:$A,BW$2,領用表!$E:$E,B172)</f>
        <v/>
      </c>
      <c r="BX172" s="296">
        <f>SUMIFS(領用表!$L:$L,領用表!$E:$E,$B172,領用表!$B:$B,BW$2&amp;BX$2)</f>
        <v/>
      </c>
      <c r="BY172" s="296">
        <f>SUMIFS(領用表!$L:$L,領用表!$E:$E,$B172,領用表!$B:$B,$BW$2&amp;BY$2)</f>
        <v/>
      </c>
      <c r="BZ172" s="296">
        <f>SUMIFS(領用表!$L:$L,領用表!$E:$E,$B172,領用表!$B:$B,$BW$2&amp;BZ$2)</f>
        <v/>
      </c>
      <c r="CA172" s="296">
        <f>SUMIFS(領用表!$L:$L,領用表!$E:$E,$B172,領用表!$B:$B,$BW$2&amp;CA$2)</f>
        <v/>
      </c>
      <c r="CB172" s="208">
        <f>SUMIFS(領用表!$L:$L,領用表!$A:$A,CB$2,領用表!$E:$E,B172)</f>
        <v/>
      </c>
      <c r="CC172" s="296">
        <f>SUMIFS(領用表!$L:$L,領用表!$E:$E,$B172,領用表!$B:$B,CB$2&amp;CC$2)</f>
        <v/>
      </c>
      <c r="CD172" s="296">
        <f>SUMIFS(領用表!$L:$L,領用表!$E:$E,$B172,領用表!$B:$B,$CB$2&amp;CD$2)</f>
        <v/>
      </c>
      <c r="CE172" s="296">
        <f>SUMIFS(領用表!$L:$L,領用表!$E:$E,$B172,領用表!$B:$B,$CB$2&amp;CE$2)</f>
        <v/>
      </c>
      <c r="CF172" s="296">
        <f>SUMIFS(領用表!$L:$L,領用表!$E:$E,$B172,領用表!$B:$B,$CB$2&amp;CF$2)</f>
        <v/>
      </c>
      <c r="CG172" s="335">
        <f>SUMIFS(領用表!$L:$L,領用表!$A:$A,CG$2,領用表!$E:$E,B172)</f>
        <v/>
      </c>
      <c r="CH172" s="296">
        <f>SUMIFS(領用表!$L:$L,領用表!$E:$E,$B172,領用表!$B:$B,CG$2&amp;CH$2)</f>
        <v/>
      </c>
      <c r="CI172" s="296">
        <f>SUMIFS(領用表!$L:$L,領用表!$E:$E,$B172,領用表!$B:$B,CG$2&amp;CI$2)</f>
        <v/>
      </c>
      <c r="CJ172" s="296">
        <f>SUMIFS(領用表!$L:$L,領用表!$E:$E,$B172,領用表!$B:$B,CG$2&amp;CJ$2)</f>
        <v/>
      </c>
      <c r="CK172" s="296">
        <f>SUMIFS(領用表!$L:$L,領用表!$E:$E,$B172,領用表!$B:$B,$CG$2&amp;CK$2)</f>
        <v/>
      </c>
      <c r="CL172" s="207">
        <f>SUM(AX172,AY172,AZ172,BA172,BB172,BC172,BH172,BM172,BR172,BW172,CB172,CG172)</f>
        <v/>
      </c>
      <c r="CM172" s="207">
        <f>AVERAGE(AX172,AY172,AZ172,BA172,BB172,BC172,BH172,BM172,BR172,BW172,CB172,CG172)</f>
        <v/>
      </c>
      <c r="CN172" s="208">
        <f>SUMIFS(領用表!$L:$L,領用表!$A:$A,CN$2,領用表!$E:$E,B172)</f>
        <v/>
      </c>
      <c r="CO172" s="206">
        <f>SUMIFS(領用表!$L:$L,領用表!$E:$E,$B172,領用表!$B:$B,CN$2&amp;CO$2)</f>
        <v/>
      </c>
      <c r="CP172" s="206">
        <f>SUMIFS(領用表!$L:$L,領用表!$E:$E,$B172,領用表!$B:$B,$CN$2&amp;CP$2)</f>
        <v/>
      </c>
      <c r="CQ172" s="206">
        <f>SUMIFS(領用表!$L:$L,領用表!$E:$E,$B172,領用表!$B:$B,$CN$2&amp;CQ$2)</f>
        <v/>
      </c>
      <c r="CR172" s="296">
        <f>SUMIFS(領用表!$L:$L,領用表!$E:$E,$B172,領用表!$B:$B,$CN$2&amp;CR$2)</f>
        <v/>
      </c>
      <c r="CS172" s="208">
        <f>SUMIFS(領用表!$L:$L,領用表!$A:$A,CS$2,領用表!$E:$E,B172)</f>
        <v/>
      </c>
      <c r="CT172" s="206">
        <f>SUMIFS(領用表!$L:$L,領用表!$E:$E,$B172,領用表!$B:$B,CS$2&amp;CT$2)</f>
        <v/>
      </c>
      <c r="CU172" s="206">
        <f>SUMIFS(領用表!$L:$L,領用表!$E:$E,$B172,領用表!$B:$B,$CS$2&amp;CU$2)</f>
        <v/>
      </c>
      <c r="CV172" s="206">
        <f>SUMIFS(領用表!$L:$L,領用表!$E:$E,$B172,領用表!$B:$B,$CS$2&amp;CV$2)</f>
        <v/>
      </c>
      <c r="CW172" s="206">
        <f>SUMIFS(領用表!$L:$L,領用表!$E:$E,$B172,領用表!$B:$B,$CS$2&amp;CW$2)</f>
        <v/>
      </c>
      <c r="CX172" s="206">
        <f>SUMIFS(領用表!$L:$L,領用表!$E:$E,$B172,領用表!$B:$B,$CS$2&amp;CX$2)</f>
        <v/>
      </c>
      <c r="CY172" s="208">
        <f>SUMIFS(領用表!$L:$L,領用表!$A:$A,CY$2,領用表!$E:$E,B172)</f>
        <v/>
      </c>
      <c r="CZ172" s="296">
        <f>SUMIFS(領用表!$L:$L,領用表!$E:$E,$B172,領用表!$B:$B,CY$2&amp;CZ$2)</f>
        <v/>
      </c>
      <c r="DA172" s="296">
        <f>SUMIFS(領用表!$L:$L,領用表!$E:$E,$B172,領用表!$B:$B,$CY$2&amp;DA$2)</f>
        <v/>
      </c>
      <c r="DB172" s="296">
        <f>SUMIFS(領用表!$L:$L,領用表!$E:$E,$B172,領用表!$B:$B,$CY$2&amp;DB$2)</f>
        <v/>
      </c>
      <c r="DC172" s="296">
        <f>SUMIFS(領用表!$L:$L,領用表!$E:$E,$B172,領用表!$B:$B,$CY$2&amp;DC$2)</f>
        <v/>
      </c>
      <c r="DD172" s="296">
        <f>SUMIFS(領用表!$L:$L,領用表!$E:$E,$B172,領用表!$B:$B,$CY$2&amp;DD$2)</f>
        <v/>
      </c>
      <c r="DE172" s="208">
        <f>SUMIFS(領用表!$L:$L,領用表!$A:$A,DE$2,領用表!$E:$E,B172)</f>
        <v/>
      </c>
      <c r="DF172" s="296">
        <f>SUMIFS(領用表!$L:$L,領用表!$E:$E,$B172,領用表!$B:$B,DE$2&amp;DF$2)</f>
        <v/>
      </c>
      <c r="DG172" s="296">
        <f>SUMIFS(領用表!$L:$L,領用表!$E:$E,$B172,領用表!$B:$B,$DE$2&amp;DG$2)</f>
        <v/>
      </c>
      <c r="DH172" s="296">
        <f>SUMIFS(領用表!$L:$L,領用表!$E:$E,$B172,領用表!$B:$B,$DE$2&amp;DH$2)</f>
        <v/>
      </c>
      <c r="DI172" s="296">
        <f>SUMIFS(領用表!$L:$L,領用表!$E:$E,$B172,領用表!$B:$B,$DE$2&amp;DI$2)</f>
        <v/>
      </c>
      <c r="DJ172" s="296">
        <f>SUMIFS(領用表!$L:$L,領用表!$E:$E,$B172,領用表!$B:$B,$DE$2&amp;DJ$2)</f>
        <v/>
      </c>
      <c r="DK172" s="208">
        <f>SUMIFS(領用表!$L:$L,領用表!$A:$A,DK$2,領用表!$E:$E,$B172)</f>
        <v/>
      </c>
      <c r="DL172" s="296">
        <f>SUMIFS(領用表!$L:$L,領用表!$E:$E,$B172,領用表!$B:$B,DK$2&amp;DL$2)</f>
        <v/>
      </c>
      <c r="DM172" s="296">
        <f>SUMIFS(領用表!$L:$L,領用表!$E:$E,$B172,領用表!$B:$B,$DK$2&amp;DM$2)</f>
        <v/>
      </c>
      <c r="DN172" s="296">
        <f>SUMIFS(領用表!$L:$L,領用表!$E:$E,$B172,領用表!$B:$B,$DK$2&amp;DN$2)</f>
        <v/>
      </c>
      <c r="DO172" s="296">
        <f>SUMIFS(領用表!$L:$L,領用表!$E:$E,$B172,領用表!$B:$B,$DK$2&amp;DO$2)</f>
        <v/>
      </c>
      <c r="DP172" s="296">
        <f>SUMIFS(領用表!$L:$L,領用表!$E:$E,$B172,領用表!$B:$B,$DK$2&amp;DP$2)</f>
        <v/>
      </c>
      <c r="DQ172" s="208" t="n"/>
      <c r="DR172" s="296" t="n"/>
      <c r="DS172" s="296" t="n"/>
      <c r="DT172" s="296" t="n"/>
      <c r="DU172" s="296" t="n"/>
      <c r="DV172" s="296" t="n"/>
      <c r="DW172" s="296">
        <f>SUM(CN172,CS172,CY172,DE172,DK172,DQ172)</f>
        <v/>
      </c>
      <c r="DX172" s="296">
        <f>AVERAGEA(CN172,CS172,CY172,DE172,DK172,DQ172)</f>
        <v/>
      </c>
      <c r="DY172" s="296">
        <f>SUM(DZ172:EC172)</f>
        <v/>
      </c>
      <c r="DZ172" s="296" t="n">
        <v>0</v>
      </c>
      <c r="EA172" s="296" t="n">
        <v>0</v>
      </c>
      <c r="EB172" s="296" t="n">
        <v>0</v>
      </c>
      <c r="EC172" s="296" t="n">
        <v>0</v>
      </c>
      <c r="ED172" s="258" t="n"/>
      <c r="EE172" s="340" t="n"/>
      <c r="EF172" s="340" t="n"/>
      <c r="EG172" s="340" t="n"/>
      <c r="EH172" s="136" t="n"/>
      <c r="EI172" s="136" t="n"/>
      <c r="EJ172" s="118">
        <f>IFERROR(VLOOKUP(A172,站前4樓!A:BF,57,0),0)</f>
        <v/>
      </c>
      <c r="EK172" s="213">
        <f>IFERROR(VLOOKUP(A172,站前11樓!A:BE,57,0),0)</f>
        <v/>
      </c>
      <c r="EL172" s="118">
        <f>IFERROR(VLOOKUP(A172,忠孝7樓!A:N,57,0),0)</f>
        <v/>
      </c>
      <c r="EM172" s="118">
        <f>IFERROR(VLOOKUP(A172,忠孝國際醫學3樓!A:L,57,0),0)</f>
        <v/>
      </c>
      <c r="EN172" s="118">
        <f>SUM(ED172:EG172)</f>
        <v/>
      </c>
    </row>
    <row r="173" ht="15.75" customFormat="1" customHeight="1" s="118">
      <c r="A173" s="136" t="inlineStr">
        <is>
          <t>FN1AA200006T</t>
        </is>
      </c>
      <c r="B173" s="118" t="n">
        <v>6230001</v>
      </c>
      <c r="C173" s="136" t="inlineStr">
        <is>
          <t>試用包-無瑕清透防護霜 2ml(尖嘴單劑包)</t>
        </is>
      </c>
      <c r="D173" s="285" t="n"/>
      <c r="E173" s="198" t="inlineStr">
        <is>
          <t>PCS</t>
        </is>
      </c>
      <c r="F173" s="225">
        <f>SUMIF(站前4樓!B:B,B173,站前4樓!F:F)</f>
        <v/>
      </c>
      <c r="G173" s="225">
        <f>SUMIF(站前11樓!B:B,B173,站前11樓!F:F)</f>
        <v/>
      </c>
      <c r="H173" s="225">
        <f>SUMIF(忠孝7樓!B:B,B173,忠孝7樓!G:G)</f>
        <v/>
      </c>
      <c r="I173" s="225">
        <f>SUMIF(忠孝國際醫學3樓!B:B,B173,忠孝國際醫學3樓!G:G)</f>
        <v/>
      </c>
      <c r="J173" s="225">
        <f>SUMIF(忠孝健康7樓!B:B,B173,忠孝健康7樓!G:G)</f>
        <v/>
      </c>
      <c r="AJ173" s="348" t="n"/>
      <c r="AK173" s="348" t="n"/>
      <c r="AL173" s="348" t="n"/>
      <c r="AM173" s="348" t="n"/>
      <c r="AN173" s="348" t="n"/>
      <c r="AO173" s="348" t="n"/>
      <c r="AP173" s="348" t="n"/>
      <c r="AQ173" s="201" t="n">
        <v>0</v>
      </c>
      <c r="AR173" s="201" t="n">
        <v>0</v>
      </c>
      <c r="AS173" s="201" t="n">
        <v>0</v>
      </c>
      <c r="AT173" s="201" t="n">
        <v>800</v>
      </c>
      <c r="AU173" s="201" t="n">
        <v>200</v>
      </c>
      <c r="AV173" s="283">
        <f>SUM(AJ173:AU173)</f>
        <v/>
      </c>
      <c r="AW173" s="286">
        <f>AV173/12</f>
        <v/>
      </c>
      <c r="AX173" s="201" t="n">
        <v>0</v>
      </c>
      <c r="AY173" s="201" t="n">
        <v>0</v>
      </c>
      <c r="AZ173" s="201" t="n">
        <v>200</v>
      </c>
      <c r="BA173" s="201" t="n">
        <v>0</v>
      </c>
      <c r="BB173" s="201" t="n">
        <v>0</v>
      </c>
      <c r="BC173" s="203">
        <f>SUMIFS(領用表!$L:$L,領用表!$A:$A,BC$2,領用表!$E:$E,B173)</f>
        <v/>
      </c>
      <c r="BD173" s="296">
        <f>SUMIFS(領用表!$L:$L,領用表!$E:$E,$B173,領用表!$B:$B,BC$2&amp;BD$2)</f>
        <v/>
      </c>
      <c r="BE173" s="296">
        <f>SUMIFS(領用表!$L:$L,領用表!$E:$E,$B173,領用表!$B:$B,$BC$2&amp;BE$2)</f>
        <v/>
      </c>
      <c r="BF173" s="296">
        <f>SUMIFS(領用表!$L:$L,領用表!$E:$E,$B173,領用表!$B:$B,$BC$2&amp;BF$2)</f>
        <v/>
      </c>
      <c r="BG173" s="296">
        <f>SUMIFS(領用表!$L:$L,領用表!$E:$E,$B173,領用表!$B:$B,$BC$2&amp;BG$2)</f>
        <v/>
      </c>
      <c r="BH173" s="203">
        <f>SUMIFS(領用表!$L:$L,領用表!$A:$A,BH$2,領用表!$E:$E,B173)</f>
        <v/>
      </c>
      <c r="BI173" s="260">
        <f>SUMIFS(領用表!$L:$L,領用表!$E:$E,$B173,領用表!$B:$B,BH$2&amp;BI$2)</f>
        <v/>
      </c>
      <c r="BJ173" s="260">
        <f>SUMIFS(領用表!$L:$L,領用表!$E:$E,$B173,領用表!$B:$B,$BH$2&amp;BJ$2)</f>
        <v/>
      </c>
      <c r="BK173" s="260">
        <f>SUMIFS(領用表!$L:$L,領用表!$E:$E,$B173,領用表!$B:$B,$BH$2&amp;BK$2)</f>
        <v/>
      </c>
      <c r="BL173" s="260">
        <f>SUMIFS(領用表!$L:$L,領用表!$E:$E,$B173,領用表!$B:$B,$BH$2&amp;BL$2)</f>
        <v/>
      </c>
      <c r="BM173" s="203">
        <f>SUMIFS(領用表!$L:$L,領用表!$A:$A,BM$2,領用表!$E:$E,B173)</f>
        <v/>
      </c>
      <c r="BN173" s="206">
        <f>SUMIFS(領用表!$L:$L,領用表!$E:$E,$B173,領用表!$B:$B,BM$2&amp;BN$2)</f>
        <v/>
      </c>
      <c r="BO173" s="206">
        <f>SUMIFS(領用表!$L:$L,領用表!$E:$E,$B173,領用表!$B:$B,$BM$2&amp;BO$2)</f>
        <v/>
      </c>
      <c r="BP173" s="288">
        <f>SUMIFS(領用表!$L:$L,領用表!$E:$E,$B173,領用表!$B:$B,$BM$2&amp;BP$2)</f>
        <v/>
      </c>
      <c r="BQ173" s="287">
        <f>SUMIFS(領用表!$L:$L,領用表!$E:$E,$B173,領用表!$B:$B,$BM$2&amp;BQ$2)</f>
        <v/>
      </c>
      <c r="BR173" s="203">
        <f>SUMIFS(領用表!$L:$L,領用表!$A:$A,BR$2,領用表!$E:$E,B173)</f>
        <v/>
      </c>
      <c r="BS173" s="260">
        <f>SUMIFS(領用表!$L:$L,領用表!$E:$E,$B173,領用表!$B:$B,BR$2&amp;BS$2)</f>
        <v/>
      </c>
      <c r="BT173" s="260">
        <f>SUMIFS(領用表!$L:$L,領用表!$E:$E,$B173,領用表!$B:$B,$BR$2&amp;BT$2)</f>
        <v/>
      </c>
      <c r="BU173" s="260">
        <f>SUMIFS(領用表!$L:$L,領用表!$E:$E,$B173,領用表!$B:$B,$BR$2&amp;BU$2)</f>
        <v/>
      </c>
      <c r="BV173" s="220">
        <f>SUMIFS(領用表!$L:$L,領用表!$E:$E,$B173,領用表!$B:$B,$BR$2&amp;BV$2)</f>
        <v/>
      </c>
      <c r="BW173" s="208">
        <f>SUMIFS(領用表!$L:$L,領用表!$A:$A,BW$2,領用表!$E:$E,B173)</f>
        <v/>
      </c>
      <c r="BX173" s="296">
        <f>SUMIFS(領用表!$L:$L,領用表!$E:$E,$B173,領用表!$B:$B,BW$2&amp;BX$2)</f>
        <v/>
      </c>
      <c r="BY173" s="296">
        <f>SUMIFS(領用表!$L:$L,領用表!$E:$E,$B173,領用表!$B:$B,$BW$2&amp;BY$2)</f>
        <v/>
      </c>
      <c r="BZ173" s="296">
        <f>SUMIFS(領用表!$L:$L,領用表!$E:$E,$B173,領用表!$B:$B,$BW$2&amp;BZ$2)</f>
        <v/>
      </c>
      <c r="CA173" s="296">
        <f>SUMIFS(領用表!$L:$L,領用表!$E:$E,$B173,領用表!$B:$B,$BW$2&amp;CA$2)</f>
        <v/>
      </c>
      <c r="CB173" s="208">
        <f>SUMIFS(領用表!$L:$L,領用表!$A:$A,CB$2,領用表!$E:$E,B173)</f>
        <v/>
      </c>
      <c r="CC173" s="296">
        <f>SUMIFS(領用表!$L:$L,領用表!$E:$E,$B173,領用表!$B:$B,CB$2&amp;CC$2)</f>
        <v/>
      </c>
      <c r="CD173" s="296">
        <f>SUMIFS(領用表!$L:$L,領用表!$E:$E,$B173,領用表!$B:$B,$CB$2&amp;CD$2)</f>
        <v/>
      </c>
      <c r="CE173" s="296">
        <f>SUMIFS(領用表!$L:$L,領用表!$E:$E,$B173,領用表!$B:$B,$CB$2&amp;CE$2)</f>
        <v/>
      </c>
      <c r="CF173" s="296">
        <f>SUMIFS(領用表!$L:$L,領用表!$E:$E,$B173,領用表!$B:$B,$CB$2&amp;CF$2)</f>
        <v/>
      </c>
      <c r="CG173" s="335">
        <f>SUMIFS(領用表!$L:$L,領用表!$A:$A,CG$2,領用表!$E:$E,B173)</f>
        <v/>
      </c>
      <c r="CH173" s="296">
        <f>SUMIFS(領用表!$L:$L,領用表!$E:$E,$B173,領用表!$B:$B,CG$2&amp;CH$2)</f>
        <v/>
      </c>
      <c r="CI173" s="296">
        <f>SUMIFS(領用表!$L:$L,領用表!$E:$E,$B173,領用表!$B:$B,CG$2&amp;CI$2)</f>
        <v/>
      </c>
      <c r="CJ173" s="296">
        <f>SUMIFS(領用表!$L:$L,領用表!$E:$E,$B173,領用表!$B:$B,CG$2&amp;CJ$2)</f>
        <v/>
      </c>
      <c r="CK173" s="296">
        <f>SUMIFS(領用表!$L:$L,領用表!$E:$E,$B173,領用表!$B:$B,$CG$2&amp;CK$2)</f>
        <v/>
      </c>
      <c r="CL173" s="207">
        <f>SUM(AX173,AY173,AZ173,BA173,BB173,BC173,BH173,BM173,BR173,BW173,CB173,CG173)</f>
        <v/>
      </c>
      <c r="CM173" s="207">
        <f>AVERAGE(AX173,AY173,AZ173,BA173,BB173,BC173,BH173,BM173,BR173,BW173,CB173,CG173)</f>
        <v/>
      </c>
      <c r="CN173" s="208">
        <f>SUMIFS(領用表!$L:$L,領用表!$A:$A,CN$2,領用表!$E:$E,B173)</f>
        <v/>
      </c>
      <c r="CO173" s="206">
        <f>SUMIFS(領用表!$L:$L,領用表!$E:$E,$B173,領用表!$B:$B,CN$2&amp;CO$2)</f>
        <v/>
      </c>
      <c r="CP173" s="206">
        <f>SUMIFS(領用表!$L:$L,領用表!$E:$E,$B173,領用表!$B:$B,$CN$2&amp;CP$2)</f>
        <v/>
      </c>
      <c r="CQ173" s="206">
        <f>SUMIFS(領用表!$L:$L,領用表!$E:$E,$B173,領用表!$B:$B,$CN$2&amp;CQ$2)</f>
        <v/>
      </c>
      <c r="CR173" s="296">
        <f>SUMIFS(領用表!$L:$L,領用表!$E:$E,$B173,領用表!$B:$B,$CN$2&amp;CR$2)</f>
        <v/>
      </c>
      <c r="CS173" s="208">
        <f>SUMIFS(領用表!$L:$L,領用表!$A:$A,CS$2,領用表!$E:$E,B173)</f>
        <v/>
      </c>
      <c r="CT173" s="206">
        <f>SUMIFS(領用表!$L:$L,領用表!$E:$E,$B173,領用表!$B:$B,CS$2&amp;CT$2)</f>
        <v/>
      </c>
      <c r="CU173" s="206">
        <f>SUMIFS(領用表!$L:$L,領用表!$E:$E,$B173,領用表!$B:$B,$CS$2&amp;CU$2)</f>
        <v/>
      </c>
      <c r="CV173" s="206">
        <f>SUMIFS(領用表!$L:$L,領用表!$E:$E,$B173,領用表!$B:$B,$CS$2&amp;CV$2)</f>
        <v/>
      </c>
      <c r="CW173" s="206">
        <f>SUMIFS(領用表!$L:$L,領用表!$E:$E,$B173,領用表!$B:$B,$CS$2&amp;CW$2)</f>
        <v/>
      </c>
      <c r="CX173" s="206">
        <f>SUMIFS(領用表!$L:$L,領用表!$E:$E,$B173,領用表!$B:$B,$CS$2&amp;CX$2)</f>
        <v/>
      </c>
      <c r="CY173" s="208">
        <f>SUMIFS(領用表!$L:$L,領用表!$A:$A,CY$2,領用表!$E:$E,B173)</f>
        <v/>
      </c>
      <c r="CZ173" s="296">
        <f>SUMIFS(領用表!$L:$L,領用表!$E:$E,$B173,領用表!$B:$B,CY$2&amp;CZ$2)</f>
        <v/>
      </c>
      <c r="DA173" s="296">
        <f>SUMIFS(領用表!$L:$L,領用表!$E:$E,$B173,領用表!$B:$B,$CY$2&amp;DA$2)</f>
        <v/>
      </c>
      <c r="DB173" s="296">
        <f>SUMIFS(領用表!$L:$L,領用表!$E:$E,$B173,領用表!$B:$B,$CY$2&amp;DB$2)</f>
        <v/>
      </c>
      <c r="DC173" s="296">
        <f>SUMIFS(領用表!$L:$L,領用表!$E:$E,$B173,領用表!$B:$B,$CY$2&amp;DC$2)</f>
        <v/>
      </c>
      <c r="DD173" s="296">
        <f>SUMIFS(領用表!$L:$L,領用表!$E:$E,$B173,領用表!$B:$B,$CY$2&amp;DD$2)</f>
        <v/>
      </c>
      <c r="DE173" s="208">
        <f>SUMIFS(領用表!$L:$L,領用表!$A:$A,DE$2,領用表!$E:$E,B173)</f>
        <v/>
      </c>
      <c r="DF173" s="296">
        <f>SUMIFS(領用表!$L:$L,領用表!$E:$E,$B173,領用表!$B:$B,DE$2&amp;DF$2)</f>
        <v/>
      </c>
      <c r="DG173" s="296">
        <f>SUMIFS(領用表!$L:$L,領用表!$E:$E,$B173,領用表!$B:$B,$DE$2&amp;DG$2)</f>
        <v/>
      </c>
      <c r="DH173" s="296">
        <f>SUMIFS(領用表!$L:$L,領用表!$E:$E,$B173,領用表!$B:$B,$DE$2&amp;DH$2)</f>
        <v/>
      </c>
      <c r="DI173" s="296">
        <f>SUMIFS(領用表!$L:$L,領用表!$E:$E,$B173,領用表!$B:$B,$DE$2&amp;DI$2)</f>
        <v/>
      </c>
      <c r="DJ173" s="296">
        <f>SUMIFS(領用表!$L:$L,領用表!$E:$E,$B173,領用表!$B:$B,$DE$2&amp;DJ$2)</f>
        <v/>
      </c>
      <c r="DK173" s="208">
        <f>SUMIFS(領用表!$L:$L,領用表!$A:$A,DK$2,領用表!$E:$E,$B173)</f>
        <v/>
      </c>
      <c r="DL173" s="296">
        <f>SUMIFS(領用表!$L:$L,領用表!$E:$E,$B173,領用表!$B:$B,DK$2&amp;DL$2)</f>
        <v/>
      </c>
      <c r="DM173" s="296">
        <f>SUMIFS(領用表!$L:$L,領用表!$E:$E,$B173,領用表!$B:$B,$DK$2&amp;DM$2)</f>
        <v/>
      </c>
      <c r="DN173" s="296">
        <f>SUMIFS(領用表!$L:$L,領用表!$E:$E,$B173,領用表!$B:$B,$DK$2&amp;DN$2)</f>
        <v/>
      </c>
      <c r="DO173" s="296">
        <f>SUMIFS(領用表!$L:$L,領用表!$E:$E,$B173,領用表!$B:$B,$DK$2&amp;DO$2)</f>
        <v/>
      </c>
      <c r="DP173" s="296">
        <f>SUMIFS(領用表!$L:$L,領用表!$E:$E,$B173,領用表!$B:$B,$DK$2&amp;DP$2)</f>
        <v/>
      </c>
      <c r="DQ173" s="208" t="n"/>
      <c r="DR173" s="296" t="n"/>
      <c r="DS173" s="296" t="n"/>
      <c r="DT173" s="296" t="n"/>
      <c r="DU173" s="296" t="n"/>
      <c r="DV173" s="296" t="n"/>
      <c r="DW173" s="296">
        <f>SUM(CN173,CS173,CY173,DE173,DK173,DQ173)</f>
        <v/>
      </c>
      <c r="DX173" s="296">
        <f>AVERAGEA(CN173,CS173,CY173,DE173,DK173,DQ173)</f>
        <v/>
      </c>
      <c r="DY173" s="296">
        <f>SUM(DZ173:EC173)</f>
        <v/>
      </c>
      <c r="DZ173" s="296" t="n">
        <v>0</v>
      </c>
      <c r="EA173" s="296" t="n">
        <v>0</v>
      </c>
      <c r="EB173" s="296" t="n">
        <v>0</v>
      </c>
      <c r="EC173" s="296" t="n">
        <v>0</v>
      </c>
      <c r="ED173" s="258" t="n"/>
      <c r="EE173" s="340" t="n"/>
      <c r="EF173" s="340" t="n"/>
      <c r="EG173" s="340" t="n"/>
      <c r="EJ173" s="118">
        <f>IFERROR(VLOOKUP(A173,站前4樓!A:BF,57,0),0)</f>
        <v/>
      </c>
      <c r="EK173" s="213">
        <f>IFERROR(VLOOKUP(A173,站前11樓!A:BE,57,0),0)</f>
        <v/>
      </c>
      <c r="EL173" s="118">
        <f>IFERROR(VLOOKUP(A173,忠孝7樓!A:N,57,0),0)</f>
        <v/>
      </c>
      <c r="EM173" s="118">
        <f>IFERROR(VLOOKUP(A173,忠孝國際醫學3樓!A:L,57,0),0)</f>
        <v/>
      </c>
      <c r="EN173" s="118">
        <f>SUM(ED173:EG173)</f>
        <v/>
      </c>
    </row>
    <row r="174" ht="15.75" customFormat="1" customHeight="1" s="118">
      <c r="A174" s="136" t="inlineStr">
        <is>
          <t>TN1AA070012T</t>
        </is>
      </c>
      <c r="B174" s="118" t="n">
        <v>6070001</v>
      </c>
      <c r="C174" s="136" t="inlineStr">
        <is>
          <t>試用-365抗皺緊緻精質乳霜50ml(2016年版)</t>
        </is>
      </c>
      <c r="D174" s="285" t="n"/>
      <c r="E174" s="198" t="inlineStr">
        <is>
          <t>PCS</t>
        </is>
      </c>
      <c r="F174" s="225">
        <f>SUMIF(站前4樓!B:B,B174,站前4樓!F:F)</f>
        <v/>
      </c>
      <c r="G174" s="225">
        <f>SUMIF(站前11樓!B:B,B174,站前11樓!F:F)</f>
        <v/>
      </c>
      <c r="H174" s="225">
        <f>SUMIF(忠孝7樓!B:B,B174,忠孝7樓!G:G)</f>
        <v/>
      </c>
      <c r="I174" s="225">
        <f>SUMIF(忠孝國際醫學3樓!B:B,B174,忠孝國際醫學3樓!G:G)</f>
        <v/>
      </c>
      <c r="J174" s="225">
        <f>SUMIF(忠孝健康7樓!B:B,B174,忠孝健康7樓!G:G)</f>
        <v/>
      </c>
      <c r="AJ174" s="348" t="n"/>
      <c r="AK174" s="348" t="n"/>
      <c r="AL174" s="348" t="n"/>
      <c r="AM174" s="348" t="n"/>
      <c r="AN174" s="348" t="n"/>
      <c r="AO174" s="348" t="n"/>
      <c r="AP174" s="348" t="n"/>
      <c r="AQ174" s="201" t="n">
        <v>0</v>
      </c>
      <c r="AR174" s="201" t="n">
        <v>0</v>
      </c>
      <c r="AS174" s="201" t="n">
        <v>0</v>
      </c>
      <c r="AT174" s="201" t="n">
        <v>5</v>
      </c>
      <c r="AU174" s="201" t="n">
        <v>0</v>
      </c>
      <c r="AV174" s="283">
        <f>SUM(AJ174:AU174)</f>
        <v/>
      </c>
      <c r="AW174" s="286">
        <f>AV174/12</f>
        <v/>
      </c>
      <c r="AX174" s="201" t="n">
        <v>0</v>
      </c>
      <c r="AY174" s="201" t="n">
        <v>6</v>
      </c>
      <c r="AZ174" s="201" t="n">
        <v>0</v>
      </c>
      <c r="BA174" s="201" t="n">
        <v>0</v>
      </c>
      <c r="BB174" s="201" t="n">
        <v>0</v>
      </c>
      <c r="BC174" s="203">
        <f>SUMIFS(領用表!$L:$L,領用表!$A:$A,BC$2,領用表!$E:$E,B174)</f>
        <v/>
      </c>
      <c r="BD174" s="296">
        <f>SUMIFS(領用表!$L:$L,領用表!$E:$E,$B174,領用表!$B:$B,BC$2&amp;BD$2)</f>
        <v/>
      </c>
      <c r="BE174" s="296">
        <f>SUMIFS(領用表!$L:$L,領用表!$E:$E,$B174,領用表!$B:$B,$BC$2&amp;BE$2)</f>
        <v/>
      </c>
      <c r="BF174" s="296">
        <f>SUMIFS(領用表!$L:$L,領用表!$E:$E,$B174,領用表!$B:$B,$BC$2&amp;BF$2)</f>
        <v/>
      </c>
      <c r="BG174" s="296">
        <f>SUMIFS(領用表!$L:$L,領用表!$E:$E,$B174,領用表!$B:$B,$BC$2&amp;BG$2)</f>
        <v/>
      </c>
      <c r="BH174" s="203">
        <f>SUMIFS(領用表!$L:$L,領用表!$A:$A,BH$2,領用表!$E:$E,B174)</f>
        <v/>
      </c>
      <c r="BI174" s="260">
        <f>SUMIFS(領用表!$L:$L,領用表!$E:$E,$B174,領用表!$B:$B,BH$2&amp;BI$2)</f>
        <v/>
      </c>
      <c r="BJ174" s="260">
        <f>SUMIFS(領用表!$L:$L,領用表!$E:$E,$B174,領用表!$B:$B,$BH$2&amp;BJ$2)</f>
        <v/>
      </c>
      <c r="BK174" s="260">
        <f>SUMIFS(領用表!$L:$L,領用表!$E:$E,$B174,領用表!$B:$B,$BH$2&amp;BK$2)</f>
        <v/>
      </c>
      <c r="BL174" s="260">
        <f>SUMIFS(領用表!$L:$L,領用表!$E:$E,$B174,領用表!$B:$B,$BH$2&amp;BL$2)</f>
        <v/>
      </c>
      <c r="BM174" s="203">
        <f>SUMIFS(領用表!$L:$L,領用表!$A:$A,BM$2,領用表!$E:$E,B174)</f>
        <v/>
      </c>
      <c r="BN174" s="206">
        <f>SUMIFS(領用表!$L:$L,領用表!$E:$E,$B174,領用表!$B:$B,BM$2&amp;BN$2)</f>
        <v/>
      </c>
      <c r="BO174" s="206">
        <f>SUMIFS(領用表!$L:$L,領用表!$E:$E,$B174,領用表!$B:$B,$BM$2&amp;BO$2)</f>
        <v/>
      </c>
      <c r="BP174" s="288">
        <f>SUMIFS(領用表!$L:$L,領用表!$E:$E,$B174,領用表!$B:$B,$BM$2&amp;BP$2)</f>
        <v/>
      </c>
      <c r="BQ174" s="287">
        <f>SUMIFS(領用表!$L:$L,領用表!$E:$E,$B174,領用表!$B:$B,$BM$2&amp;BQ$2)</f>
        <v/>
      </c>
      <c r="BR174" s="203">
        <f>SUMIFS(領用表!$L:$L,領用表!$A:$A,BR$2,領用表!$E:$E,B174)</f>
        <v/>
      </c>
      <c r="BS174" s="260">
        <f>SUMIFS(領用表!$L:$L,領用表!$E:$E,$B174,領用表!$B:$B,BR$2&amp;BS$2)</f>
        <v/>
      </c>
      <c r="BT174" s="260">
        <f>SUMIFS(領用表!$L:$L,領用表!$E:$E,$B174,領用表!$B:$B,$BR$2&amp;BT$2)</f>
        <v/>
      </c>
      <c r="BU174" s="260">
        <f>SUMIFS(領用表!$L:$L,領用表!$E:$E,$B174,領用表!$B:$B,$BR$2&amp;BU$2)</f>
        <v/>
      </c>
      <c r="BV174" s="220">
        <f>SUMIFS(領用表!$L:$L,領用表!$E:$E,$B174,領用表!$B:$B,$BR$2&amp;BV$2)</f>
        <v/>
      </c>
      <c r="BW174" s="208">
        <f>SUMIFS(領用表!$L:$L,領用表!$A:$A,BW$2,領用表!$E:$E,B174)</f>
        <v/>
      </c>
      <c r="BX174" s="296">
        <f>SUMIFS(領用表!$L:$L,領用表!$E:$E,$B174,領用表!$B:$B,BW$2&amp;BX$2)</f>
        <v/>
      </c>
      <c r="BY174" s="296">
        <f>SUMIFS(領用表!$L:$L,領用表!$E:$E,$B174,領用表!$B:$B,$BW$2&amp;BY$2)</f>
        <v/>
      </c>
      <c r="BZ174" s="296">
        <f>SUMIFS(領用表!$L:$L,領用表!$E:$E,$B174,領用表!$B:$B,$BW$2&amp;BZ$2)</f>
        <v/>
      </c>
      <c r="CA174" s="296">
        <f>SUMIFS(領用表!$L:$L,領用表!$E:$E,$B174,領用表!$B:$B,$BW$2&amp;CA$2)</f>
        <v/>
      </c>
      <c r="CB174" s="208">
        <f>SUMIFS(領用表!$L:$L,領用表!$A:$A,CB$2,領用表!$E:$E,B174)</f>
        <v/>
      </c>
      <c r="CC174" s="296">
        <f>SUMIFS(領用表!$L:$L,領用表!$E:$E,$B174,領用表!$B:$B,CB$2&amp;CC$2)</f>
        <v/>
      </c>
      <c r="CD174" s="296">
        <f>SUMIFS(領用表!$L:$L,領用表!$E:$E,$B174,領用表!$B:$B,$CB$2&amp;CD$2)</f>
        <v/>
      </c>
      <c r="CE174" s="296">
        <f>SUMIFS(領用表!$L:$L,領用表!$E:$E,$B174,領用表!$B:$B,$CB$2&amp;CE$2)</f>
        <v/>
      </c>
      <c r="CF174" s="296">
        <f>SUMIFS(領用表!$L:$L,領用表!$E:$E,$B174,領用表!$B:$B,$CB$2&amp;CF$2)</f>
        <v/>
      </c>
      <c r="CG174" s="335">
        <f>SUMIFS(領用表!$L:$L,領用表!$A:$A,CG$2,領用表!$E:$E,B174)</f>
        <v/>
      </c>
      <c r="CH174" s="296">
        <f>SUMIFS(領用表!$L:$L,領用表!$E:$E,$B174,領用表!$B:$B,CG$2&amp;CH$2)</f>
        <v/>
      </c>
      <c r="CI174" s="296">
        <f>SUMIFS(領用表!$L:$L,領用表!$E:$E,$B174,領用表!$B:$B,CG$2&amp;CI$2)</f>
        <v/>
      </c>
      <c r="CJ174" s="296">
        <f>SUMIFS(領用表!$L:$L,領用表!$E:$E,$B174,領用表!$B:$B,CG$2&amp;CJ$2)</f>
        <v/>
      </c>
      <c r="CK174" s="296">
        <f>SUMIFS(領用表!$L:$L,領用表!$E:$E,$B174,領用表!$B:$B,$CG$2&amp;CK$2)</f>
        <v/>
      </c>
      <c r="CL174" s="207">
        <f>SUM(AX174,AY174,AZ174,BA174,BB174,BC174,BH174,BM174,BR174,BW174,CB174,CG174)</f>
        <v/>
      </c>
      <c r="CM174" s="207">
        <f>AVERAGE(AX174,AY174,AZ174,BA174,BB174,BC174,BH174,BM174,BR174,BW174,CB174,CG174)</f>
        <v/>
      </c>
      <c r="CN174" s="208">
        <f>SUMIFS(領用表!$L:$L,領用表!$A:$A,CN$2,領用表!$E:$E,B174)</f>
        <v/>
      </c>
      <c r="CO174" s="206">
        <f>SUMIFS(領用表!$L:$L,領用表!$E:$E,$B174,領用表!$B:$B,CN$2&amp;CO$2)</f>
        <v/>
      </c>
      <c r="CP174" s="206">
        <f>SUMIFS(領用表!$L:$L,領用表!$E:$E,$B174,領用表!$B:$B,$CN$2&amp;CP$2)</f>
        <v/>
      </c>
      <c r="CQ174" s="206">
        <f>SUMIFS(領用表!$L:$L,領用表!$E:$E,$B174,領用表!$B:$B,$CN$2&amp;CQ$2)</f>
        <v/>
      </c>
      <c r="CR174" s="296">
        <f>SUMIFS(領用表!$L:$L,領用表!$E:$E,$B174,領用表!$B:$B,$CN$2&amp;CR$2)</f>
        <v/>
      </c>
      <c r="CS174" s="208">
        <f>SUMIFS(領用表!$L:$L,領用表!$A:$A,CS$2,領用表!$E:$E,B174)</f>
        <v/>
      </c>
      <c r="CT174" s="206">
        <f>SUMIFS(領用表!$L:$L,領用表!$E:$E,$B174,領用表!$B:$B,CS$2&amp;CT$2)</f>
        <v/>
      </c>
      <c r="CU174" s="206">
        <f>SUMIFS(領用表!$L:$L,領用表!$E:$E,$B174,領用表!$B:$B,$CS$2&amp;CU$2)</f>
        <v/>
      </c>
      <c r="CV174" s="206">
        <f>SUMIFS(領用表!$L:$L,領用表!$E:$E,$B174,領用表!$B:$B,$CS$2&amp;CV$2)</f>
        <v/>
      </c>
      <c r="CW174" s="206">
        <f>SUMIFS(領用表!$L:$L,領用表!$E:$E,$B174,領用表!$B:$B,$CS$2&amp;CW$2)</f>
        <v/>
      </c>
      <c r="CX174" s="206">
        <f>SUMIFS(領用表!$L:$L,領用表!$E:$E,$B174,領用表!$B:$B,$CS$2&amp;CX$2)</f>
        <v/>
      </c>
      <c r="CY174" s="208">
        <f>SUMIFS(領用表!$L:$L,領用表!$A:$A,CY$2,領用表!$E:$E,B174)</f>
        <v/>
      </c>
      <c r="CZ174" s="296">
        <f>SUMIFS(領用表!$L:$L,領用表!$E:$E,$B174,領用表!$B:$B,CY$2&amp;CZ$2)</f>
        <v/>
      </c>
      <c r="DA174" s="296">
        <f>SUMIFS(領用表!$L:$L,領用表!$E:$E,$B174,領用表!$B:$B,$CY$2&amp;DA$2)</f>
        <v/>
      </c>
      <c r="DB174" s="296">
        <f>SUMIFS(領用表!$L:$L,領用表!$E:$E,$B174,領用表!$B:$B,$CY$2&amp;DB$2)</f>
        <v/>
      </c>
      <c r="DC174" s="296">
        <f>SUMIFS(領用表!$L:$L,領用表!$E:$E,$B174,領用表!$B:$B,$CY$2&amp;DC$2)</f>
        <v/>
      </c>
      <c r="DD174" s="296">
        <f>SUMIFS(領用表!$L:$L,領用表!$E:$E,$B174,領用表!$B:$B,$CY$2&amp;DD$2)</f>
        <v/>
      </c>
      <c r="DE174" s="208">
        <f>SUMIFS(領用表!$L:$L,領用表!$A:$A,DE$2,領用表!$E:$E,B174)</f>
        <v/>
      </c>
      <c r="DF174" s="296">
        <f>SUMIFS(領用表!$L:$L,領用表!$E:$E,$B174,領用表!$B:$B,DE$2&amp;DF$2)</f>
        <v/>
      </c>
      <c r="DG174" s="296">
        <f>SUMIFS(領用表!$L:$L,領用表!$E:$E,$B174,領用表!$B:$B,$DE$2&amp;DG$2)</f>
        <v/>
      </c>
      <c r="DH174" s="296">
        <f>SUMIFS(領用表!$L:$L,領用表!$E:$E,$B174,領用表!$B:$B,$DE$2&amp;DH$2)</f>
        <v/>
      </c>
      <c r="DI174" s="296">
        <f>SUMIFS(領用表!$L:$L,領用表!$E:$E,$B174,領用表!$B:$B,$DE$2&amp;DI$2)</f>
        <v/>
      </c>
      <c r="DJ174" s="296">
        <f>SUMIFS(領用表!$L:$L,領用表!$E:$E,$B174,領用表!$B:$B,$DE$2&amp;DJ$2)</f>
        <v/>
      </c>
      <c r="DK174" s="208">
        <f>SUMIFS(領用表!$L:$L,領用表!$A:$A,DK$2,領用表!$E:$E,$B174)</f>
        <v/>
      </c>
      <c r="DL174" s="296">
        <f>SUMIFS(領用表!$L:$L,領用表!$E:$E,$B174,領用表!$B:$B,DK$2&amp;DL$2)</f>
        <v/>
      </c>
      <c r="DM174" s="296">
        <f>SUMIFS(領用表!$L:$L,領用表!$E:$E,$B174,領用表!$B:$B,$DK$2&amp;DM$2)</f>
        <v/>
      </c>
      <c r="DN174" s="296">
        <f>SUMIFS(領用表!$L:$L,領用表!$E:$E,$B174,領用表!$B:$B,$DK$2&amp;DN$2)</f>
        <v/>
      </c>
      <c r="DO174" s="296">
        <f>SUMIFS(領用表!$L:$L,領用表!$E:$E,$B174,領用表!$B:$B,$DK$2&amp;DO$2)</f>
        <v/>
      </c>
      <c r="DP174" s="296">
        <f>SUMIFS(領用表!$L:$L,領用表!$E:$E,$B174,領用表!$B:$B,$DK$2&amp;DP$2)</f>
        <v/>
      </c>
      <c r="DQ174" s="208" t="n"/>
      <c r="DR174" s="296" t="n"/>
      <c r="DS174" s="296" t="n"/>
      <c r="DT174" s="296" t="n"/>
      <c r="DU174" s="296" t="n"/>
      <c r="DV174" s="296" t="n"/>
      <c r="DW174" s="296">
        <f>SUM(CN174,CS174,CY174,DE174,DK174,DQ174)</f>
        <v/>
      </c>
      <c r="DX174" s="296">
        <f>AVERAGEA(CN174,CS174,CY174,DE174,DK174,DQ174)</f>
        <v/>
      </c>
      <c r="DY174" s="296">
        <f>SUM(DZ174:EC174)</f>
        <v/>
      </c>
      <c r="DZ174" s="296" t="n">
        <v>0</v>
      </c>
      <c r="EA174" s="296" t="n">
        <v>0</v>
      </c>
      <c r="EB174" s="296" t="n">
        <v>0</v>
      </c>
      <c r="EC174" s="296" t="n">
        <v>0</v>
      </c>
      <c r="ED174" s="258" t="n"/>
      <c r="EE174" s="340" t="n"/>
      <c r="EF174" s="340" t="n"/>
      <c r="EG174" s="340" t="n"/>
      <c r="EJ174" s="118">
        <f>IFERROR(VLOOKUP(A174,站前4樓!A:BF,57,0),0)</f>
        <v/>
      </c>
      <c r="EK174" s="213">
        <f>IFERROR(VLOOKUP(A174,站前11樓!A:BE,57,0),0)</f>
        <v/>
      </c>
      <c r="EL174" s="118">
        <f>IFERROR(VLOOKUP(A174,忠孝7樓!A:N,57,0),0)</f>
        <v/>
      </c>
      <c r="EM174" s="118">
        <f>IFERROR(VLOOKUP(A174,忠孝國際醫學3樓!A:L,57,0),0)</f>
        <v/>
      </c>
      <c r="EN174" s="118">
        <f>SUM(ED174:EG174)</f>
        <v/>
      </c>
    </row>
    <row r="175" ht="15.75" customFormat="1" customHeight="1" s="118">
      <c r="A175" s="136" t="inlineStr">
        <is>
          <t>DL1GA000071T</t>
        </is>
      </c>
      <c r="C175" s="136" t="inlineStr">
        <is>
          <t>新纖有酵蔬果酵素飲50ml(15入)停產</t>
        </is>
      </c>
      <c r="D175" s="285" t="n"/>
      <c r="E175" s="198" t="inlineStr">
        <is>
          <t>PCS</t>
        </is>
      </c>
      <c r="F175" s="225">
        <f>SUMIF(站前4樓!B:B,B175,站前4樓!F:F)</f>
        <v/>
      </c>
      <c r="G175" s="225">
        <f>SUMIF(站前11樓!B:B,B175,站前11樓!F:F)</f>
        <v/>
      </c>
      <c r="H175" s="225">
        <f>SUMIF(忠孝7樓!B:B,B175,忠孝7樓!G:G)</f>
        <v/>
      </c>
      <c r="I175" s="225">
        <f>SUMIF(忠孝國際醫學3樓!B:B,B175,忠孝國際醫學3樓!G:G)</f>
        <v/>
      </c>
      <c r="J175" s="225">
        <f>SUMIF(忠孝健康7樓!B:B,B175,忠孝健康7樓!G:G)</f>
        <v/>
      </c>
      <c r="AJ175" s="348" t="n"/>
      <c r="AK175" s="348" t="n"/>
      <c r="AL175" s="348" t="n"/>
      <c r="AM175" s="348" t="n"/>
      <c r="AN175" s="348" t="n"/>
      <c r="AO175" s="348" t="n"/>
      <c r="AP175" s="348" t="n"/>
      <c r="AQ175" s="201" t="n">
        <v>0</v>
      </c>
      <c r="AR175" s="201">
        <f>171/15</f>
        <v/>
      </c>
      <c r="AS175" s="201" t="n">
        <v>0</v>
      </c>
      <c r="AT175" s="201" t="n">
        <v>45</v>
      </c>
      <c r="AU175" s="201" t="n">
        <v>108</v>
      </c>
      <c r="AV175" s="283">
        <f>SUM(AJ175:AU175)</f>
        <v/>
      </c>
      <c r="AW175" s="286">
        <f>AV175/12</f>
        <v/>
      </c>
      <c r="AX175" s="201" t="n">
        <v>45</v>
      </c>
      <c r="AY175" s="201" t="n">
        <v>36</v>
      </c>
      <c r="AZ175" s="201" t="n">
        <v>0</v>
      </c>
      <c r="BA175" s="201" t="n">
        <v>0</v>
      </c>
      <c r="BB175" s="201" t="n">
        <v>0</v>
      </c>
      <c r="BC175" s="203">
        <f>SUMIFS(領用表!$L:$L,領用表!$A:$A,BC$2,領用表!$E:$E,B175)</f>
        <v/>
      </c>
      <c r="BD175" s="296">
        <f>SUMIFS(領用表!$L:$L,領用表!$E:$E,$B175,領用表!$B:$B,BC$2&amp;BD$2)</f>
        <v/>
      </c>
      <c r="BE175" s="296">
        <f>SUMIFS(領用表!$L:$L,領用表!$E:$E,$B175,領用表!$B:$B,$BC$2&amp;BE$2)</f>
        <v/>
      </c>
      <c r="BF175" s="296">
        <f>SUMIFS(領用表!$L:$L,領用表!$E:$E,$B175,領用表!$B:$B,$BC$2&amp;BF$2)</f>
        <v/>
      </c>
      <c r="BG175" s="296">
        <f>SUMIFS(領用表!$L:$L,領用表!$E:$E,$B175,領用表!$B:$B,$BC$2&amp;BG$2)</f>
        <v/>
      </c>
      <c r="BH175" s="203">
        <f>SUMIFS(領用表!$L:$L,領用表!$A:$A,BH$2,領用表!$E:$E,B175)</f>
        <v/>
      </c>
      <c r="BI175" s="260">
        <f>SUMIFS(領用表!$L:$L,領用表!$E:$E,$B175,領用表!$B:$B,BH$2&amp;BI$2)</f>
        <v/>
      </c>
      <c r="BJ175" s="260">
        <f>SUMIFS(領用表!$L:$L,領用表!$E:$E,$B175,領用表!$B:$B,$BH$2&amp;BJ$2)</f>
        <v/>
      </c>
      <c r="BK175" s="260">
        <f>SUMIFS(領用表!$L:$L,領用表!$E:$E,$B175,領用表!$B:$B,$BH$2&amp;BK$2)</f>
        <v/>
      </c>
      <c r="BL175" s="260">
        <f>SUMIFS(領用表!$L:$L,領用表!$E:$E,$B175,領用表!$B:$B,$BH$2&amp;BL$2)</f>
        <v/>
      </c>
      <c r="BM175" s="203">
        <f>SUMIFS(領用表!$L:$L,領用表!$A:$A,BM$2,領用表!$E:$E,B175)</f>
        <v/>
      </c>
      <c r="BN175" s="206">
        <f>SUMIFS(領用表!$L:$L,領用表!$E:$E,$B175,領用表!$B:$B,BM$2&amp;BN$2)</f>
        <v/>
      </c>
      <c r="BO175" s="206">
        <f>SUMIFS(領用表!$L:$L,領用表!$E:$E,$B175,領用表!$B:$B,$BM$2&amp;BO$2)</f>
        <v/>
      </c>
      <c r="BP175" s="288">
        <f>SUMIFS(領用表!$L:$L,領用表!$E:$E,$B175,領用表!$B:$B,$BM$2&amp;BP$2)</f>
        <v/>
      </c>
      <c r="BQ175" s="287">
        <f>SUMIFS(領用表!$L:$L,領用表!$E:$E,$B175,領用表!$B:$B,$BM$2&amp;BQ$2)</f>
        <v/>
      </c>
      <c r="BR175" s="203">
        <f>SUMIFS(領用表!$L:$L,領用表!$A:$A,BR$2,領用表!$E:$E,B175)</f>
        <v/>
      </c>
      <c r="BS175" s="260">
        <f>SUMIFS(領用表!$L:$L,領用表!$E:$E,$B175,領用表!$B:$B,BR$2&amp;BS$2)</f>
        <v/>
      </c>
      <c r="BT175" s="260">
        <f>SUMIFS(領用表!$L:$L,領用表!$E:$E,$B175,領用表!$B:$B,$BR$2&amp;BT$2)</f>
        <v/>
      </c>
      <c r="BU175" s="260">
        <f>SUMIFS(領用表!$L:$L,領用表!$E:$E,$B175,領用表!$B:$B,$BR$2&amp;BU$2)</f>
        <v/>
      </c>
      <c r="BV175" s="220">
        <f>SUMIFS(領用表!$L:$L,領用表!$E:$E,$B175,領用表!$B:$B,$BR$2&amp;BV$2)</f>
        <v/>
      </c>
      <c r="BW175" s="208">
        <f>SUMIFS(領用表!$L:$L,領用表!$A:$A,BW$2,領用表!$E:$E,B175)</f>
        <v/>
      </c>
      <c r="BX175" s="206">
        <f>SUMIFS(領用表!$L:$L,領用表!$E:$E,$B175,領用表!$B:$B,BW$2&amp;BX$2)</f>
        <v/>
      </c>
      <c r="BY175" s="206">
        <f>SUMIFS(領用表!$L:$L,領用表!$E:$E,$B175,領用表!$B:$B,$BW$2&amp;BY$2)</f>
        <v/>
      </c>
      <c r="BZ175" s="206">
        <f>SUMIFS(領用表!$L:$L,領用表!$E:$E,$B175,領用表!$B:$B,$BW$2&amp;BZ$2)</f>
        <v/>
      </c>
      <c r="CA175" s="206">
        <f>SUMIFS(領用表!$L:$L,領用表!$E:$E,$B175,領用表!$B:$B,$BW$2&amp;CA$2)</f>
        <v/>
      </c>
      <c r="CB175" s="208">
        <f>SUMIFS(領用表!$L:$L,領用表!$A:$A,CB$2,領用表!$E:$E,B175)</f>
        <v/>
      </c>
      <c r="CC175" s="206">
        <f>SUMIFS(領用表!$L:$L,領用表!$E:$E,$B175,領用表!$B:$B,CB$2&amp;CC$2)</f>
        <v/>
      </c>
      <c r="CD175" s="206">
        <f>SUMIFS(領用表!$L:$L,領用表!$E:$E,$B175,領用表!$B:$B,$CB$2&amp;CD$2)</f>
        <v/>
      </c>
      <c r="CE175" s="206">
        <f>SUMIFS(領用表!$L:$L,領用表!$E:$E,$B175,領用表!$B:$B,$CB$2&amp;CE$2)</f>
        <v/>
      </c>
      <c r="CF175" s="206">
        <f>SUMIFS(領用表!$L:$L,領用表!$E:$E,$B175,領用表!$B:$B,$CB$2&amp;CF$2)</f>
        <v/>
      </c>
      <c r="CG175" s="208">
        <f>SUMIFS(領用表!$L:$L,領用表!$A:$A,CG$2,領用表!$E:$E,B175)</f>
        <v/>
      </c>
      <c r="CH175" s="296">
        <f>SUMIFS(領用表!$L:$L,領用表!$E:$E,$B175,領用表!$B:$B,CG$2&amp;CH$2)</f>
        <v/>
      </c>
      <c r="CI175" s="296">
        <f>SUMIFS(領用表!$L:$L,領用表!$E:$E,$B175,領用表!$B:$B,CG$2&amp;CI$2)</f>
        <v/>
      </c>
      <c r="CJ175" s="296">
        <f>SUMIFS(領用表!$L:$L,領用表!$E:$E,$B175,領用表!$B:$B,CG$2&amp;CJ$2)</f>
        <v/>
      </c>
      <c r="CK175" s="296">
        <f>SUMIFS(領用表!$L:$L,領用表!$E:$E,$B175,領用表!$B:$B,$CG$2&amp;CK$2)</f>
        <v/>
      </c>
      <c r="CL175" s="207">
        <f>SUM(AX175,AY175,AZ175,BA175,BB175,BC175,BH175,BM175,BR175,BW175,CB175,CG175)</f>
        <v/>
      </c>
      <c r="CM175" s="207">
        <f>AVERAGE(AX175,AY175,AZ175,BA175,BB175,BC175,BH175,BM175,BR175,BW175,CB175,CG175)</f>
        <v/>
      </c>
      <c r="CN175" s="208">
        <f>SUMIFS(領用表!$L:$L,領用表!$A:$A,CN$2,領用表!$E:$E,B175)</f>
        <v/>
      </c>
      <c r="CO175" s="206">
        <f>SUMIFS(領用表!$L:$L,領用表!$E:$E,$B175,領用表!$B:$B,CN$2&amp;CO$2)</f>
        <v/>
      </c>
      <c r="CP175" s="206">
        <f>SUMIFS(領用表!$L:$L,領用表!$E:$E,$B175,領用表!$B:$B,$CN$2&amp;CP$2)</f>
        <v/>
      </c>
      <c r="CQ175" s="206">
        <f>SUMIFS(領用表!$L:$L,領用表!$E:$E,$B175,領用表!$B:$B,$CN$2&amp;CQ$2)</f>
        <v/>
      </c>
      <c r="CR175" s="296">
        <f>SUMIFS(領用表!$L:$L,領用表!$E:$E,$B175,領用表!$B:$B,$CN$2&amp;CR$2)</f>
        <v/>
      </c>
      <c r="CS175" s="208">
        <f>SUMIFS(領用表!$L:$L,領用表!$A:$A,CS$2,領用表!$E:$E,B175)</f>
        <v/>
      </c>
      <c r="CT175" s="206">
        <f>SUMIFS(領用表!$L:$L,領用表!$E:$E,$B175,領用表!$B:$B,CS$2&amp;CT$2)</f>
        <v/>
      </c>
      <c r="CU175" s="206">
        <f>SUMIFS(領用表!$L:$L,領用表!$E:$E,$B175,領用表!$B:$B,$CS$2&amp;CU$2)</f>
        <v/>
      </c>
      <c r="CV175" s="206">
        <f>SUMIFS(領用表!$L:$L,領用表!$E:$E,$B175,領用表!$B:$B,$CS$2&amp;CV$2)</f>
        <v/>
      </c>
      <c r="CW175" s="206">
        <f>SUMIFS(領用表!$L:$L,領用表!$E:$E,$B175,領用表!$B:$B,$CS$2&amp;CW$2)</f>
        <v/>
      </c>
      <c r="CX175" s="206">
        <f>SUMIFS(領用表!$L:$L,領用表!$E:$E,$B175,領用表!$B:$B,$CS$2&amp;CX$2)</f>
        <v/>
      </c>
      <c r="CY175" s="208">
        <f>SUMIFS(領用表!$L:$L,領用表!$A:$A,CY$2,領用表!$E:$E,B175)</f>
        <v/>
      </c>
      <c r="CZ175" s="296">
        <f>SUMIFS(領用表!$L:$L,領用表!$E:$E,$B175,領用表!$B:$B,CY$2&amp;CZ$2)</f>
        <v/>
      </c>
      <c r="DA175" s="296">
        <f>SUMIFS(領用表!$L:$L,領用表!$E:$E,$B175,領用表!$B:$B,$CY$2&amp;DA$2)</f>
        <v/>
      </c>
      <c r="DB175" s="296">
        <f>SUMIFS(領用表!$L:$L,領用表!$E:$E,$B175,領用表!$B:$B,$CY$2&amp;DB$2)</f>
        <v/>
      </c>
      <c r="DC175" s="296">
        <f>SUMIFS(領用表!$L:$L,領用表!$E:$E,$B175,領用表!$B:$B,$CY$2&amp;DC$2)</f>
        <v/>
      </c>
      <c r="DD175" s="296">
        <f>SUMIFS(領用表!$L:$L,領用表!$E:$E,$B175,領用表!$B:$B,$CY$2&amp;DD$2)</f>
        <v/>
      </c>
      <c r="DE175" s="208">
        <f>SUMIFS(領用表!$L:$L,領用表!$A:$A,DE$2,領用表!$E:$E,B175)</f>
        <v/>
      </c>
      <c r="DF175" s="296">
        <f>SUMIFS(領用表!$L:$L,領用表!$E:$E,$B175,領用表!$B:$B,DE$2&amp;DF$2)</f>
        <v/>
      </c>
      <c r="DG175" s="296">
        <f>SUMIFS(領用表!$L:$L,領用表!$E:$E,$B175,領用表!$B:$B,$DE$2&amp;DG$2)</f>
        <v/>
      </c>
      <c r="DH175" s="296">
        <f>SUMIFS(領用表!$L:$L,領用表!$E:$E,$B175,領用表!$B:$B,$DE$2&amp;DH$2)</f>
        <v/>
      </c>
      <c r="DI175" s="296">
        <f>SUMIFS(領用表!$L:$L,領用表!$E:$E,$B175,領用表!$B:$B,$DE$2&amp;DI$2)</f>
        <v/>
      </c>
      <c r="DJ175" s="296">
        <f>SUMIFS(領用表!$L:$L,領用表!$E:$E,$B175,領用表!$B:$B,$DE$2&amp;DJ$2)</f>
        <v/>
      </c>
      <c r="DK175" s="208">
        <f>SUMIFS(領用表!$L:$L,領用表!$A:$A,DK$2,領用表!$E:$E,$B175)</f>
        <v/>
      </c>
      <c r="DL175" s="296">
        <f>SUMIFS(領用表!$L:$L,領用表!$E:$E,$B175,領用表!$B:$B,DK$2&amp;DL$2)</f>
        <v/>
      </c>
      <c r="DM175" s="296">
        <f>SUMIFS(領用表!$L:$L,領用表!$E:$E,$B175,領用表!$B:$B,$DK$2&amp;DM$2)</f>
        <v/>
      </c>
      <c r="DN175" s="296">
        <f>SUMIFS(領用表!$L:$L,領用表!$E:$E,$B175,領用表!$B:$B,$DK$2&amp;DN$2)</f>
        <v/>
      </c>
      <c r="DO175" s="296">
        <f>SUMIFS(領用表!$L:$L,領用表!$E:$E,$B175,領用表!$B:$B,$DK$2&amp;DO$2)</f>
        <v/>
      </c>
      <c r="DP175" s="296">
        <f>SUMIFS(領用表!$L:$L,領用表!$E:$E,$B175,領用表!$B:$B,$DK$2&amp;DP$2)</f>
        <v/>
      </c>
      <c r="DQ175" s="208" t="n"/>
      <c r="DR175" s="296" t="n"/>
      <c r="DS175" s="296" t="n"/>
      <c r="DT175" s="296" t="n"/>
      <c r="DU175" s="296" t="n"/>
      <c r="DV175" s="296" t="n"/>
      <c r="DW175" s="296">
        <f>SUM(CN175,CS175,CY175,DE175,DK175,DQ175)</f>
        <v/>
      </c>
      <c r="DX175" s="296">
        <f>AVERAGEA(CN175,CS175,CY175,DE175,DK175,DQ175)</f>
        <v/>
      </c>
      <c r="DY175" s="296">
        <f>SUM(DZ175:EC175)</f>
        <v/>
      </c>
      <c r="DZ175" s="296" t="n">
        <v>0</v>
      </c>
      <c r="EA175" s="296" t="n">
        <v>0</v>
      </c>
      <c r="EB175" s="296" t="n">
        <v>0</v>
      </c>
      <c r="EC175" s="296" t="n">
        <v>0</v>
      </c>
      <c r="ED175" s="258" t="n"/>
      <c r="EE175" s="340" t="n"/>
      <c r="EF175" s="340" t="n"/>
      <c r="EG175" s="340" t="n"/>
      <c r="EJ175" s="118">
        <f>IFERROR(VLOOKUP(A175,站前4樓!A:BF,57,0),0)</f>
        <v/>
      </c>
      <c r="EK175" s="213">
        <f>IFERROR(VLOOKUP(A175,站前11樓!A:BE,57,0),0)</f>
        <v/>
      </c>
      <c r="EL175" s="118">
        <f>IFERROR(VLOOKUP(A175,忠孝7樓!A:N,57,0),0)</f>
        <v/>
      </c>
      <c r="EM175" s="118">
        <f>IFERROR(VLOOKUP(A175,忠孝國際醫學3樓!A:L,57,0),0)</f>
        <v/>
      </c>
      <c r="EN175" s="118">
        <f>SUM(ED175:EG175)</f>
        <v/>
      </c>
    </row>
    <row r="176" ht="15.75" customFormat="1" customHeight="1" s="118">
      <c r="A176" s="136" t="inlineStr">
        <is>
          <t>DL1GA000066T</t>
        </is>
      </c>
      <c r="C176" s="136" t="inlineStr">
        <is>
          <t>青春機密膠原飲 60ml(10入)停產</t>
        </is>
      </c>
      <c r="D176" s="285" t="n"/>
      <c r="E176" s="198" t="inlineStr">
        <is>
          <t>PCS</t>
        </is>
      </c>
      <c r="F176" s="225">
        <f>SUMIF(站前4樓!B:B,B176,站前4樓!F:F)</f>
        <v/>
      </c>
      <c r="G176" s="225">
        <f>SUMIF(站前11樓!B:B,B176,站前11樓!F:F)</f>
        <v/>
      </c>
      <c r="H176" s="225">
        <f>SUMIF(忠孝7樓!B:B,B176,忠孝7樓!G:G)</f>
        <v/>
      </c>
      <c r="I176" s="225">
        <f>SUMIF(忠孝國際醫學3樓!B:B,B176,忠孝國際醫學3樓!G:G)</f>
        <v/>
      </c>
      <c r="J176" s="225">
        <f>SUMIF(忠孝健康7樓!B:B,B176,忠孝健康7樓!G:G)</f>
        <v/>
      </c>
      <c r="AJ176" s="348" t="n"/>
      <c r="AK176" s="348" t="n"/>
      <c r="AL176" s="348" t="n"/>
      <c r="AM176" s="348" t="n"/>
      <c r="AN176" s="348" t="n"/>
      <c r="AO176" s="348" t="n"/>
      <c r="AP176" s="348" t="n"/>
      <c r="AQ176" s="201" t="n">
        <v>0</v>
      </c>
      <c r="AR176" s="201" t="n">
        <v>0</v>
      </c>
      <c r="AS176" s="201" t="n">
        <v>0</v>
      </c>
      <c r="AT176" s="201" t="n">
        <v>6</v>
      </c>
      <c r="AU176" s="201" t="n">
        <v>0</v>
      </c>
      <c r="AV176" s="283">
        <f>SUM(AJ176:AU176)</f>
        <v/>
      </c>
      <c r="AW176" s="286">
        <f>AV176/12</f>
        <v/>
      </c>
      <c r="AX176" s="201" t="n">
        <v>19</v>
      </c>
      <c r="AY176" s="201" t="n">
        <v>0</v>
      </c>
      <c r="AZ176" s="201" t="n">
        <v>0</v>
      </c>
      <c r="BA176" s="201" t="n">
        <v>0</v>
      </c>
      <c r="BB176" s="201" t="n">
        <v>0</v>
      </c>
      <c r="BC176" s="203">
        <f>SUMIFS(領用表!$L:$L,領用表!$A:$A,BC$2,領用表!$E:$E,B176)</f>
        <v/>
      </c>
      <c r="BD176" s="296">
        <f>SUMIFS(領用表!$L:$L,領用表!$E:$E,$B176,領用表!$B:$B,BC$2&amp;BD$2)</f>
        <v/>
      </c>
      <c r="BE176" s="296">
        <f>SUMIFS(領用表!$L:$L,領用表!$E:$E,$B176,領用表!$B:$B,$BC$2&amp;BE$2)</f>
        <v/>
      </c>
      <c r="BF176" s="296">
        <f>SUMIFS(領用表!$L:$L,領用表!$E:$E,$B176,領用表!$B:$B,$BC$2&amp;BF$2)</f>
        <v/>
      </c>
      <c r="BG176" s="296">
        <f>SUMIFS(領用表!$L:$L,領用表!$E:$E,$B176,領用表!$B:$B,$BC$2&amp;BG$2)</f>
        <v/>
      </c>
      <c r="BH176" s="203">
        <f>SUMIFS(領用表!$L:$L,領用表!$A:$A,BH$2,領用表!$E:$E,B176)</f>
        <v/>
      </c>
      <c r="BI176" s="260">
        <f>SUMIFS(領用表!$L:$L,領用表!$E:$E,$B176,領用表!$B:$B,BH$2&amp;BI$2)</f>
        <v/>
      </c>
      <c r="BJ176" s="260">
        <f>SUMIFS(領用表!$L:$L,領用表!$E:$E,$B176,領用表!$B:$B,$BH$2&amp;BJ$2)</f>
        <v/>
      </c>
      <c r="BK176" s="260">
        <f>SUMIFS(領用表!$L:$L,領用表!$E:$E,$B176,領用表!$B:$B,$BH$2&amp;BK$2)</f>
        <v/>
      </c>
      <c r="BL176" s="260">
        <f>SUMIFS(領用表!$L:$L,領用表!$E:$E,$B176,領用表!$B:$B,$BH$2&amp;BL$2)</f>
        <v/>
      </c>
      <c r="BM176" s="203">
        <f>SUMIFS(領用表!$L:$L,領用表!$A:$A,BM$2,領用表!$E:$E,B176)</f>
        <v/>
      </c>
      <c r="BN176" s="206">
        <f>SUMIFS(領用表!$L:$L,領用表!$E:$E,$B176,領用表!$B:$B,BM$2&amp;BN$2)</f>
        <v/>
      </c>
      <c r="BO176" s="206">
        <f>SUMIFS(領用表!$L:$L,領用表!$E:$E,$B176,領用表!$B:$B,$BM$2&amp;BO$2)</f>
        <v/>
      </c>
      <c r="BP176" s="288">
        <f>SUMIFS(領用表!$L:$L,領用表!$E:$E,$B176,領用表!$B:$B,$BM$2&amp;BP$2)</f>
        <v/>
      </c>
      <c r="BQ176" s="287">
        <f>SUMIFS(領用表!$L:$L,領用表!$E:$E,$B176,領用表!$B:$B,$BM$2&amp;BQ$2)</f>
        <v/>
      </c>
      <c r="BR176" s="203">
        <f>SUMIFS(領用表!$L:$L,領用表!$A:$A,BR$2,領用表!$E:$E,B176)</f>
        <v/>
      </c>
      <c r="BS176" s="260">
        <f>SUMIFS(領用表!$L:$L,領用表!$E:$E,$B176,領用表!$B:$B,BR$2&amp;BS$2)</f>
        <v/>
      </c>
      <c r="BT176" s="260">
        <f>SUMIFS(領用表!$L:$L,領用表!$E:$E,$B176,領用表!$B:$B,$BR$2&amp;BT$2)</f>
        <v/>
      </c>
      <c r="BU176" s="260">
        <f>SUMIFS(領用表!$L:$L,領用表!$E:$E,$B176,領用表!$B:$B,$BR$2&amp;BU$2)</f>
        <v/>
      </c>
      <c r="BV176" s="220">
        <f>SUMIFS(領用表!$L:$L,領用表!$E:$E,$B176,領用表!$B:$B,$BR$2&amp;BV$2)</f>
        <v/>
      </c>
      <c r="BW176" s="208">
        <f>SUMIFS(領用表!$L:$L,領用表!$A:$A,BW$2,領用表!$E:$E,B176)</f>
        <v/>
      </c>
      <c r="BX176" s="206">
        <f>SUMIFS(領用表!$L:$L,領用表!$E:$E,$B176,領用表!$B:$B,BW$2&amp;BX$2)</f>
        <v/>
      </c>
      <c r="BY176" s="206">
        <f>SUMIFS(領用表!$L:$L,領用表!$E:$E,$B176,領用表!$B:$B,$BW$2&amp;BY$2)</f>
        <v/>
      </c>
      <c r="BZ176" s="206">
        <f>SUMIFS(領用表!$L:$L,領用表!$E:$E,$B176,領用表!$B:$B,$BW$2&amp;BZ$2)</f>
        <v/>
      </c>
      <c r="CA176" s="206">
        <f>SUMIFS(領用表!$L:$L,領用表!$E:$E,$B176,領用表!$B:$B,$BW$2&amp;CA$2)</f>
        <v/>
      </c>
      <c r="CB176" s="208">
        <f>SUMIFS(領用表!$L:$L,領用表!$A:$A,CB$2,領用表!$E:$E,B176)</f>
        <v/>
      </c>
      <c r="CC176" s="206">
        <f>SUMIFS(領用表!$L:$L,領用表!$E:$E,$B176,領用表!$B:$B,CB$2&amp;CC$2)</f>
        <v/>
      </c>
      <c r="CD176" s="206">
        <f>SUMIFS(領用表!$L:$L,領用表!$E:$E,$B176,領用表!$B:$B,$CB$2&amp;CD$2)</f>
        <v/>
      </c>
      <c r="CE176" s="206">
        <f>SUMIFS(領用表!$L:$L,領用表!$E:$E,$B176,領用表!$B:$B,$CB$2&amp;CE$2)</f>
        <v/>
      </c>
      <c r="CF176" s="206">
        <f>SUMIFS(領用表!$L:$L,領用表!$E:$E,$B176,領用表!$B:$B,$CB$2&amp;CF$2)</f>
        <v/>
      </c>
      <c r="CG176" s="208">
        <f>SUMIFS(領用表!$L:$L,領用表!$A:$A,CG$2,領用表!$E:$E,B176)</f>
        <v/>
      </c>
      <c r="CH176" s="296">
        <f>SUMIFS(領用表!$L:$L,領用表!$E:$E,$B176,領用表!$B:$B,CG$2&amp;CH$2)</f>
        <v/>
      </c>
      <c r="CI176" s="296">
        <f>SUMIFS(領用表!$L:$L,領用表!$E:$E,$B176,領用表!$B:$B,CG$2&amp;CI$2)</f>
        <v/>
      </c>
      <c r="CJ176" s="296">
        <f>SUMIFS(領用表!$L:$L,領用表!$E:$E,$B176,領用表!$B:$B,CG$2&amp;CJ$2)</f>
        <v/>
      </c>
      <c r="CK176" s="296">
        <f>SUMIFS(領用表!$L:$L,領用表!$E:$E,$B176,領用表!$B:$B,$CG$2&amp;CK$2)</f>
        <v/>
      </c>
      <c r="CL176" s="207">
        <f>SUM(AX176,AY176,AZ176,BA176,BB176,BC176,BH176,BM176,BR176,BW176,CB176,CG176)</f>
        <v/>
      </c>
      <c r="CM176" s="207">
        <f>AVERAGE(AX176,AY176,AZ176,BA176,BB176,BC176,BH176,BM176,BR176,BW176,CB176,CG176)</f>
        <v/>
      </c>
      <c r="CN176" s="208">
        <f>SUMIFS(領用表!$L:$L,領用表!$A:$A,CN$2,領用表!$E:$E,B176)</f>
        <v/>
      </c>
      <c r="CO176" s="206">
        <f>SUMIFS(領用表!$L:$L,領用表!$E:$E,$B176,領用表!$B:$B,CN$2&amp;CO$2)</f>
        <v/>
      </c>
      <c r="CP176" s="206">
        <f>SUMIFS(領用表!$L:$L,領用表!$E:$E,$B176,領用表!$B:$B,$CN$2&amp;CP$2)</f>
        <v/>
      </c>
      <c r="CQ176" s="206">
        <f>SUMIFS(領用表!$L:$L,領用表!$E:$E,$B176,領用表!$B:$B,$CN$2&amp;CQ$2)</f>
        <v/>
      </c>
      <c r="CR176" s="296">
        <f>SUMIFS(領用表!$L:$L,領用表!$E:$E,$B176,領用表!$B:$B,$CN$2&amp;CR$2)</f>
        <v/>
      </c>
      <c r="CS176" s="208">
        <f>SUMIFS(領用表!$L:$L,領用表!$A:$A,CS$2,領用表!$E:$E,B176)</f>
        <v/>
      </c>
      <c r="CT176" s="206">
        <f>SUMIFS(領用表!$L:$L,領用表!$E:$E,$B176,領用表!$B:$B,CS$2&amp;CT$2)</f>
        <v/>
      </c>
      <c r="CU176" s="206">
        <f>SUMIFS(領用表!$L:$L,領用表!$E:$E,$B176,領用表!$B:$B,$CS$2&amp;CU$2)</f>
        <v/>
      </c>
      <c r="CV176" s="206">
        <f>SUMIFS(領用表!$L:$L,領用表!$E:$E,$B176,領用表!$B:$B,$CS$2&amp;CV$2)</f>
        <v/>
      </c>
      <c r="CW176" s="206">
        <f>SUMIFS(領用表!$L:$L,領用表!$E:$E,$B176,領用表!$B:$B,$CS$2&amp;CW$2)</f>
        <v/>
      </c>
      <c r="CX176" s="206">
        <f>SUMIFS(領用表!$L:$L,領用表!$E:$E,$B176,領用表!$B:$B,$CS$2&amp;CX$2)</f>
        <v/>
      </c>
      <c r="CY176" s="208">
        <f>SUMIFS(領用表!$L:$L,領用表!$A:$A,CY$2,領用表!$E:$E,B176)</f>
        <v/>
      </c>
      <c r="CZ176" s="296">
        <f>SUMIFS(領用表!$L:$L,領用表!$E:$E,$B176,領用表!$B:$B,CY$2&amp;CZ$2)</f>
        <v/>
      </c>
      <c r="DA176" s="296">
        <f>SUMIFS(領用表!$L:$L,領用表!$E:$E,$B176,領用表!$B:$B,$CY$2&amp;DA$2)</f>
        <v/>
      </c>
      <c r="DB176" s="296">
        <f>SUMIFS(領用表!$L:$L,領用表!$E:$E,$B176,領用表!$B:$B,$CY$2&amp;DB$2)</f>
        <v/>
      </c>
      <c r="DC176" s="296">
        <f>SUMIFS(領用表!$L:$L,領用表!$E:$E,$B176,領用表!$B:$B,$CY$2&amp;DC$2)</f>
        <v/>
      </c>
      <c r="DD176" s="296">
        <f>SUMIFS(領用表!$L:$L,領用表!$E:$E,$B176,領用表!$B:$B,$CY$2&amp;DD$2)</f>
        <v/>
      </c>
      <c r="DE176" s="208">
        <f>SUMIFS(領用表!$L:$L,領用表!$A:$A,DE$2,領用表!$E:$E,B176)</f>
        <v/>
      </c>
      <c r="DF176" s="296">
        <f>SUMIFS(領用表!$L:$L,領用表!$E:$E,$B176,領用表!$B:$B,DE$2&amp;DF$2)</f>
        <v/>
      </c>
      <c r="DG176" s="296">
        <f>SUMIFS(領用表!$L:$L,領用表!$E:$E,$B176,領用表!$B:$B,$DE$2&amp;DG$2)</f>
        <v/>
      </c>
      <c r="DH176" s="296">
        <f>SUMIFS(領用表!$L:$L,領用表!$E:$E,$B176,領用表!$B:$B,$DE$2&amp;DH$2)</f>
        <v/>
      </c>
      <c r="DI176" s="296">
        <f>SUMIFS(領用表!$L:$L,領用表!$E:$E,$B176,領用表!$B:$B,$DE$2&amp;DI$2)</f>
        <v/>
      </c>
      <c r="DJ176" s="296">
        <f>SUMIFS(領用表!$L:$L,領用表!$E:$E,$B176,領用表!$B:$B,$DE$2&amp;DJ$2)</f>
        <v/>
      </c>
      <c r="DK176" s="208">
        <f>SUMIFS(領用表!$L:$L,領用表!$A:$A,DK$2,領用表!$E:$E,$B176)</f>
        <v/>
      </c>
      <c r="DL176" s="296">
        <f>SUMIFS(領用表!$L:$L,領用表!$E:$E,$B176,領用表!$B:$B,DK$2&amp;DL$2)</f>
        <v/>
      </c>
      <c r="DM176" s="296">
        <f>SUMIFS(領用表!$L:$L,領用表!$E:$E,$B176,領用表!$B:$B,$DK$2&amp;DM$2)</f>
        <v/>
      </c>
      <c r="DN176" s="296">
        <f>SUMIFS(領用表!$L:$L,領用表!$E:$E,$B176,領用表!$B:$B,$DK$2&amp;DN$2)</f>
        <v/>
      </c>
      <c r="DO176" s="296">
        <f>SUMIFS(領用表!$L:$L,領用表!$E:$E,$B176,領用表!$B:$B,$DK$2&amp;DO$2)</f>
        <v/>
      </c>
      <c r="DP176" s="296">
        <f>SUMIFS(領用表!$L:$L,領用表!$E:$E,$B176,領用表!$B:$B,$DK$2&amp;DP$2)</f>
        <v/>
      </c>
      <c r="DQ176" s="208" t="n"/>
      <c r="DR176" s="296" t="n"/>
      <c r="DS176" s="296" t="n"/>
      <c r="DT176" s="296" t="n"/>
      <c r="DU176" s="296" t="n"/>
      <c r="DV176" s="296" t="n"/>
      <c r="DW176" s="296">
        <f>SUM(CN176,CS176,CY176,DE176,DK176,DQ176)</f>
        <v/>
      </c>
      <c r="DX176" s="296">
        <f>AVERAGEA(CN176,CS176,CY176,DE176,DK176,DQ176)</f>
        <v/>
      </c>
      <c r="DY176" s="296">
        <f>SUM(DZ176:EC176)</f>
        <v/>
      </c>
      <c r="DZ176" s="296" t="n">
        <v>0</v>
      </c>
      <c r="EA176" s="296" t="n">
        <v>0</v>
      </c>
      <c r="EB176" s="296" t="n">
        <v>0</v>
      </c>
      <c r="EC176" s="296" t="n">
        <v>0</v>
      </c>
      <c r="ED176" s="258" t="n"/>
      <c r="EE176" s="340" t="n"/>
      <c r="EF176" s="340" t="n"/>
      <c r="EG176" s="340" t="n"/>
      <c r="EJ176" s="118">
        <f>IFERROR(VLOOKUP(A176,站前4樓!A:BF,57,0),0)</f>
        <v/>
      </c>
      <c r="EK176" s="213">
        <f>IFERROR(VLOOKUP(A176,站前11樓!A:BE,57,0),0)</f>
        <v/>
      </c>
      <c r="EL176" s="118">
        <f>IFERROR(VLOOKUP(A176,忠孝7樓!A:N,57,0),0)</f>
        <v/>
      </c>
      <c r="EM176" s="118">
        <f>IFERROR(VLOOKUP(A176,忠孝國際醫學3樓!A:L,57,0),0)</f>
        <v/>
      </c>
      <c r="EN176" s="118">
        <f>SUM(ED176:EG176)</f>
        <v/>
      </c>
    </row>
    <row r="177" ht="15.75" customFormat="1" customHeight="1" s="118">
      <c r="A177" s="136" t="inlineStr">
        <is>
          <t>DA1GD000017T</t>
        </is>
      </c>
      <c r="C177" s="136" t="inlineStr">
        <is>
          <t>R3 愛益菌 56盒/箱</t>
        </is>
      </c>
      <c r="D177" s="285" t="n"/>
      <c r="E177" s="198" t="inlineStr">
        <is>
          <t>PCS</t>
        </is>
      </c>
      <c r="F177" s="225">
        <f>SUMIF(站前4樓!B:B,B177,站前4樓!F:F)</f>
        <v/>
      </c>
      <c r="G177" s="225">
        <f>SUMIF(站前11樓!B:B,B177,站前11樓!F:F)</f>
        <v/>
      </c>
      <c r="H177" s="225">
        <f>SUMIF(忠孝7樓!B:B,B177,忠孝7樓!G:G)</f>
        <v/>
      </c>
      <c r="I177" s="225">
        <f>SUMIF(忠孝國際醫學3樓!B:B,B177,忠孝國際醫學3樓!G:G)</f>
        <v/>
      </c>
      <c r="J177" s="225">
        <f>SUMIF(忠孝健康7樓!B:B,B177,忠孝健康7樓!G:G)</f>
        <v/>
      </c>
      <c r="AU177" s="201" t="n">
        <v>0</v>
      </c>
      <c r="AV177" s="347" t="n">
        <v>0</v>
      </c>
      <c r="AW177" s="347" t="n">
        <v>0</v>
      </c>
      <c r="AX177" s="201" t="n">
        <v>280</v>
      </c>
      <c r="AY177" s="201" t="n">
        <v>840</v>
      </c>
      <c r="AZ177" s="201" t="n">
        <v>584</v>
      </c>
      <c r="BA177" s="201" t="n">
        <v>120</v>
      </c>
      <c r="BB177" s="201" t="n">
        <v>0</v>
      </c>
      <c r="BC177" s="203">
        <f>SUMIFS(領用表!$L:$L,領用表!$A:$A,BC$2,領用表!$E:$E,B177)</f>
        <v/>
      </c>
      <c r="BD177" s="296">
        <f>SUMIFS(領用表!$L:$L,領用表!$E:$E,$B177,領用表!$B:$B,BC$2&amp;BD$2)</f>
        <v/>
      </c>
      <c r="BE177" s="296">
        <f>SUMIFS(領用表!$L:$L,領用表!$E:$E,$B177,領用表!$B:$B,$BC$2&amp;BE$2)</f>
        <v/>
      </c>
      <c r="BF177" s="296">
        <f>SUMIFS(領用表!$L:$L,領用表!$E:$E,$B177,領用表!$B:$B,$BC$2&amp;BF$2)</f>
        <v/>
      </c>
      <c r="BG177" s="296">
        <f>SUMIFS(領用表!$L:$L,領用表!$E:$E,$B177,領用表!$B:$B,$BC$2&amp;BG$2)</f>
        <v/>
      </c>
      <c r="BH177" s="203">
        <f>SUMIFS(領用表!$L:$L,領用表!$A:$A,BH$2,領用表!$E:$E,B177)</f>
        <v/>
      </c>
      <c r="BI177" s="260">
        <f>SUMIFS(領用表!$L:$L,領用表!$E:$E,$B177,領用表!$B:$B,BH$2&amp;BI$2)</f>
        <v/>
      </c>
      <c r="BJ177" s="260">
        <f>SUMIFS(領用表!$L:$L,領用表!$E:$E,$B177,領用表!$B:$B,$BH$2&amp;BJ$2)</f>
        <v/>
      </c>
      <c r="BK177" s="260">
        <f>SUMIFS(領用表!$L:$L,領用表!$E:$E,$B177,領用表!$B:$B,$BH$2&amp;BK$2)</f>
        <v/>
      </c>
      <c r="BL177" s="260">
        <f>SUMIFS(領用表!$L:$L,領用表!$E:$E,$B177,領用表!$B:$B,$BH$2&amp;BL$2)</f>
        <v/>
      </c>
      <c r="BM177" s="203">
        <f>SUMIFS(領用表!$L:$L,領用表!$A:$A,BM$2,領用表!$E:$E,B177)</f>
        <v/>
      </c>
      <c r="BN177" s="206">
        <f>SUMIFS(領用表!$L:$L,領用表!$E:$E,$B177,領用表!$B:$B,BM$2&amp;BN$2)</f>
        <v/>
      </c>
      <c r="BO177" s="206">
        <f>SUMIFS(領用表!$L:$L,領用表!$E:$E,$B177,領用表!$B:$B,$BM$2&amp;BO$2)</f>
        <v/>
      </c>
      <c r="BP177" s="288">
        <f>SUMIFS(領用表!$L:$L,領用表!$E:$E,$B177,領用表!$B:$B,$BM$2&amp;BP$2)</f>
        <v/>
      </c>
      <c r="BQ177" s="287">
        <f>SUMIFS(領用表!$L:$L,領用表!$E:$E,$B177,領用表!$B:$B,$BM$2&amp;BQ$2)</f>
        <v/>
      </c>
      <c r="BR177" s="203">
        <f>SUMIFS(領用表!$L:$L,領用表!$A:$A,BR$2,領用表!$E:$E,B177)</f>
        <v/>
      </c>
      <c r="BS177" s="260">
        <f>SUMIFS(領用表!$L:$L,領用表!$E:$E,$B177,領用表!$B:$B,BR$2&amp;BS$2)</f>
        <v/>
      </c>
      <c r="BT177" s="260">
        <f>SUMIFS(領用表!$L:$L,領用表!$E:$E,$B177,領用表!$B:$B,$BR$2&amp;BT$2)</f>
        <v/>
      </c>
      <c r="BU177" s="260">
        <f>SUMIFS(領用表!$L:$L,領用表!$E:$E,$B177,領用表!$B:$B,$BR$2&amp;BU$2)</f>
        <v/>
      </c>
      <c r="BV177" s="220">
        <f>SUMIFS(領用表!$L:$L,領用表!$E:$E,$B177,領用表!$B:$B,$BR$2&amp;BV$2)</f>
        <v/>
      </c>
      <c r="BW177" s="208">
        <f>SUMIFS(領用表!$L:$L,領用表!$A:$A,BW$2,領用表!$E:$E,B177)</f>
        <v/>
      </c>
      <c r="BX177" s="296">
        <f>SUMIFS(領用表!$L:$L,領用表!$E:$E,$B177,領用表!$B:$B,BW$2&amp;BX$2)</f>
        <v/>
      </c>
      <c r="BY177" s="296">
        <f>SUMIFS(領用表!$L:$L,領用表!$E:$E,$B177,領用表!$B:$B,$BW$2&amp;BY$2)</f>
        <v/>
      </c>
      <c r="BZ177" s="296">
        <f>SUMIFS(領用表!$L:$L,領用表!$E:$E,$B177,領用表!$B:$B,$BW$2&amp;BZ$2)</f>
        <v/>
      </c>
      <c r="CA177" s="296">
        <f>SUMIFS(領用表!$L:$L,領用表!$E:$E,$B177,領用表!$B:$B,$BW$2&amp;CA$2)</f>
        <v/>
      </c>
      <c r="CB177" s="208">
        <f>SUMIFS(領用表!$L:$L,領用表!$A:$A,CB$2,領用表!$E:$E,B177)</f>
        <v/>
      </c>
      <c r="CC177" s="296">
        <f>SUMIFS(領用表!$L:$L,領用表!$E:$E,$B177,領用表!$B:$B,CB$2&amp;CC$2)</f>
        <v/>
      </c>
      <c r="CD177" s="296">
        <f>SUMIFS(領用表!$L:$L,領用表!$E:$E,$B177,領用表!$B:$B,$CB$2&amp;CD$2)</f>
        <v/>
      </c>
      <c r="CE177" s="296">
        <f>SUMIFS(領用表!$L:$L,領用表!$E:$E,$B177,領用表!$B:$B,$CB$2&amp;CE$2)</f>
        <v/>
      </c>
      <c r="CF177" s="296">
        <f>SUMIFS(領用表!$L:$L,領用表!$E:$E,$B177,領用表!$B:$B,$CB$2&amp;CF$2)</f>
        <v/>
      </c>
      <c r="CG177" s="335">
        <f>SUMIFS(領用表!$L:$L,領用表!$A:$A,CG$2,領用表!$E:$E,B177)</f>
        <v/>
      </c>
      <c r="CH177" s="296">
        <f>SUMIFS(領用表!$L:$L,領用表!$E:$E,$B177,領用表!$B:$B,CG$2&amp;CH$2)</f>
        <v/>
      </c>
      <c r="CI177" s="296">
        <f>SUMIFS(領用表!$L:$L,領用表!$E:$E,$B177,領用表!$B:$B,CG$2&amp;CI$2)</f>
        <v/>
      </c>
      <c r="CJ177" s="296">
        <f>SUMIFS(領用表!$L:$L,領用表!$E:$E,$B177,領用表!$B:$B,CG$2&amp;CJ$2)</f>
        <v/>
      </c>
      <c r="CK177" s="296">
        <f>SUMIFS(領用表!$L:$L,領用表!$E:$E,$B177,領用表!$B:$B,$CG$2&amp;CK$2)</f>
        <v/>
      </c>
      <c r="CL177" s="207">
        <f>SUM(AX177,AY177,AZ177,BA177,BB177,BC177,BH177,BM177,BR177,BW177,CB177,CG177)</f>
        <v/>
      </c>
      <c r="CM177" s="207">
        <f>AVERAGE(AX177,AY177,AZ177,BA177,BB177,BC177,BH177,BM177,BR177,BW177,CB177,CG177)</f>
        <v/>
      </c>
      <c r="CN177" s="208">
        <f>SUMIFS(領用表!$L:$L,領用表!$A:$A,CN$2,領用表!$E:$E,B177)</f>
        <v/>
      </c>
      <c r="CO177" s="206">
        <f>SUMIFS(領用表!$L:$L,領用表!$E:$E,$B177,領用表!$B:$B,CN$2&amp;CO$2)</f>
        <v/>
      </c>
      <c r="CP177" s="206">
        <f>SUMIFS(領用表!$L:$L,領用表!$E:$E,$B177,領用表!$B:$B,$CN$2&amp;CP$2)</f>
        <v/>
      </c>
      <c r="CQ177" s="206">
        <f>SUMIFS(領用表!$L:$L,領用表!$E:$E,$B177,領用表!$B:$B,$CN$2&amp;CQ$2)</f>
        <v/>
      </c>
      <c r="CR177" s="296">
        <f>SUMIFS(領用表!$L:$L,領用表!$E:$E,$B177,領用表!$B:$B,$CN$2&amp;CR$2)</f>
        <v/>
      </c>
      <c r="CS177" s="208">
        <f>SUMIFS(領用表!$L:$L,領用表!$A:$A,CS$2,領用表!$E:$E,B177)</f>
        <v/>
      </c>
      <c r="CT177" s="206">
        <f>SUMIFS(領用表!$L:$L,領用表!$E:$E,$B177,領用表!$B:$B,CS$2&amp;CT$2)</f>
        <v/>
      </c>
      <c r="CU177" s="206">
        <f>SUMIFS(領用表!$L:$L,領用表!$E:$E,$B177,領用表!$B:$B,$CS$2&amp;CU$2)</f>
        <v/>
      </c>
      <c r="CV177" s="206">
        <f>SUMIFS(領用表!$L:$L,領用表!$E:$E,$B177,領用表!$B:$B,$CS$2&amp;CV$2)</f>
        <v/>
      </c>
      <c r="CW177" s="206">
        <f>SUMIFS(領用表!$L:$L,領用表!$E:$E,$B177,領用表!$B:$B,$CS$2&amp;CW$2)</f>
        <v/>
      </c>
      <c r="CX177" s="206">
        <f>SUMIFS(領用表!$L:$L,領用表!$E:$E,$B177,領用表!$B:$B,$CS$2&amp;CX$2)</f>
        <v/>
      </c>
      <c r="CY177" s="208">
        <f>SUMIFS(領用表!$L:$L,領用表!$A:$A,CY$2,領用表!$E:$E,B177)</f>
        <v/>
      </c>
      <c r="CZ177" s="296">
        <f>SUMIFS(領用表!$L:$L,領用表!$E:$E,$B177,領用表!$B:$B,CY$2&amp;CZ$2)</f>
        <v/>
      </c>
      <c r="DA177" s="296">
        <f>SUMIFS(領用表!$L:$L,領用表!$E:$E,$B177,領用表!$B:$B,$CY$2&amp;DA$2)</f>
        <v/>
      </c>
      <c r="DB177" s="296">
        <f>SUMIFS(領用表!$L:$L,領用表!$E:$E,$B177,領用表!$B:$B,$CY$2&amp;DB$2)</f>
        <v/>
      </c>
      <c r="DC177" s="296">
        <f>SUMIFS(領用表!$L:$L,領用表!$E:$E,$B177,領用表!$B:$B,$CY$2&amp;DC$2)</f>
        <v/>
      </c>
      <c r="DD177" s="296">
        <f>SUMIFS(領用表!$L:$L,領用表!$E:$E,$B177,領用表!$B:$B,$CY$2&amp;DD$2)</f>
        <v/>
      </c>
      <c r="DE177" s="208">
        <f>SUMIFS(領用表!$L:$L,領用表!$A:$A,DE$2,領用表!$E:$E,B177)</f>
        <v/>
      </c>
      <c r="DF177" s="296">
        <f>SUMIFS(領用表!$L:$L,領用表!$E:$E,$B177,領用表!$B:$B,DE$2&amp;DF$2)</f>
        <v/>
      </c>
      <c r="DG177" s="296">
        <f>SUMIFS(領用表!$L:$L,領用表!$E:$E,$B177,領用表!$B:$B,$DE$2&amp;DG$2)</f>
        <v/>
      </c>
      <c r="DH177" s="296">
        <f>SUMIFS(領用表!$L:$L,領用表!$E:$E,$B177,領用表!$B:$B,$DE$2&amp;DH$2)</f>
        <v/>
      </c>
      <c r="DI177" s="296">
        <f>SUMIFS(領用表!$L:$L,領用表!$E:$E,$B177,領用表!$B:$B,$DE$2&amp;DI$2)</f>
        <v/>
      </c>
      <c r="DJ177" s="296">
        <f>SUMIFS(領用表!$L:$L,領用表!$E:$E,$B177,領用表!$B:$B,$DE$2&amp;DJ$2)</f>
        <v/>
      </c>
      <c r="DK177" s="208">
        <f>SUMIFS(領用表!$L:$L,領用表!$A:$A,DK$2,領用表!$E:$E,$B177)</f>
        <v/>
      </c>
      <c r="DL177" s="296">
        <f>SUMIFS(領用表!$L:$L,領用表!$E:$E,$B177,領用表!$B:$B,DK$2&amp;DL$2)</f>
        <v/>
      </c>
      <c r="DM177" s="296">
        <f>SUMIFS(領用表!$L:$L,領用表!$E:$E,$B177,領用表!$B:$B,$DK$2&amp;DM$2)</f>
        <v/>
      </c>
      <c r="DN177" s="296">
        <f>SUMIFS(領用表!$L:$L,領用表!$E:$E,$B177,領用表!$B:$B,$DK$2&amp;DN$2)</f>
        <v/>
      </c>
      <c r="DO177" s="296">
        <f>SUMIFS(領用表!$L:$L,領用表!$E:$E,$B177,領用表!$B:$B,$DK$2&amp;DO$2)</f>
        <v/>
      </c>
      <c r="DP177" s="296">
        <f>SUMIFS(領用表!$L:$L,領用表!$E:$E,$B177,領用表!$B:$B,$DK$2&amp;DP$2)</f>
        <v/>
      </c>
      <c r="DQ177" s="208" t="n"/>
      <c r="DR177" s="296" t="n"/>
      <c r="DS177" s="296" t="n"/>
      <c r="DT177" s="296" t="n"/>
      <c r="DU177" s="296" t="n"/>
      <c r="DV177" s="296" t="n"/>
      <c r="DW177" s="296">
        <f>SUM(CN177,CS177,CY177,DE177,DK177,DQ177)</f>
        <v/>
      </c>
      <c r="DX177" s="296">
        <f>AVERAGEA(CN177,CS177,CY177,DE177,DK177,DQ177)</f>
        <v/>
      </c>
      <c r="DY177" s="296">
        <f>SUM(DZ177:EC177)</f>
        <v/>
      </c>
      <c r="DZ177" s="296" t="n">
        <v>0</v>
      </c>
      <c r="EA177" s="296" t="n">
        <v>0</v>
      </c>
      <c r="EB177" s="296" t="n">
        <v>0</v>
      </c>
      <c r="EC177" s="296" t="n">
        <v>0</v>
      </c>
      <c r="ED177" s="258" t="n"/>
      <c r="EE177" s="340" t="n"/>
      <c r="EF177" s="340" t="n"/>
      <c r="EG177" s="340" t="n"/>
      <c r="EJ177" s="118">
        <f>IFERROR(VLOOKUP(A177,站前4樓!A:BF,57,0),0)</f>
        <v/>
      </c>
      <c r="EK177" s="213">
        <f>IFERROR(VLOOKUP(A177,站前11樓!A:BE,57,0),0)</f>
        <v/>
      </c>
      <c r="EL177" s="118">
        <f>IFERROR(VLOOKUP(A177,忠孝7樓!A:N,57,0),0)</f>
        <v/>
      </c>
      <c r="EM177" s="118">
        <f>IFERROR(VLOOKUP(A177,忠孝國際醫學3樓!A:L,57,0),0)</f>
        <v/>
      </c>
      <c r="EN177" s="118">
        <f>SUM(ED177:EG177)</f>
        <v/>
      </c>
    </row>
    <row r="178" ht="15.75" customFormat="1" customHeight="1" s="118">
      <c r="A178" s="136" t="inlineStr">
        <is>
          <t>DN1AA090023T</t>
        </is>
      </c>
      <c r="C178" s="136" t="inlineStr">
        <is>
          <t>金采肌效生物纖維面膜 30mL</t>
        </is>
      </c>
      <c r="D178" s="285" t="n"/>
      <c r="E178" s="198" t="inlineStr">
        <is>
          <t>PCS</t>
        </is>
      </c>
      <c r="F178" s="225">
        <f>SUMIF(站前4樓!B:B,B178,站前4樓!F:F)</f>
        <v/>
      </c>
      <c r="G178" s="225">
        <f>SUMIF(站前11樓!B:B,B178,站前11樓!F:F)</f>
        <v/>
      </c>
      <c r="H178" s="225">
        <f>SUMIF(忠孝7樓!B:B,B178,忠孝7樓!G:G)</f>
        <v/>
      </c>
      <c r="I178" s="225">
        <f>SUMIF(忠孝國際醫學3樓!B:B,B178,忠孝國際醫學3樓!G:G)</f>
        <v/>
      </c>
      <c r="J178" s="225">
        <f>SUMIF(忠孝健康7樓!B:B,B178,忠孝健康7樓!G:G)</f>
        <v/>
      </c>
      <c r="AU178" s="201" t="n">
        <v>0</v>
      </c>
      <c r="AV178" s="347" t="n">
        <v>0</v>
      </c>
      <c r="AW178" s="347" t="n">
        <v>0</v>
      </c>
      <c r="AX178" s="201" t="n">
        <v>95</v>
      </c>
      <c r="AY178" s="201" t="n">
        <v>0</v>
      </c>
      <c r="AZ178" s="201" t="n">
        <v>0</v>
      </c>
      <c r="BA178" s="201" t="n">
        <v>0</v>
      </c>
      <c r="BB178" s="201" t="n">
        <v>0</v>
      </c>
      <c r="BC178" s="203">
        <f>SUMIFS(領用表!$L:$L,領用表!$A:$A,BC$2,領用表!$E:$E,B178)</f>
        <v/>
      </c>
      <c r="BD178" s="296">
        <f>SUMIFS(領用表!$L:$L,領用表!$E:$E,$B178,領用表!$B:$B,BC$2&amp;BD$2)</f>
        <v/>
      </c>
      <c r="BE178" s="296">
        <f>SUMIFS(領用表!$L:$L,領用表!$E:$E,$B178,領用表!$B:$B,$BC$2&amp;BE$2)</f>
        <v/>
      </c>
      <c r="BF178" s="296">
        <f>SUMIFS(領用表!$L:$L,領用表!$E:$E,$B178,領用表!$B:$B,$BC$2&amp;BF$2)</f>
        <v/>
      </c>
      <c r="BG178" s="296">
        <f>SUMIFS(領用表!$L:$L,領用表!$E:$E,$B178,領用表!$B:$B,$BC$2&amp;BG$2)</f>
        <v/>
      </c>
      <c r="BH178" s="203">
        <f>SUMIFS(領用表!$L:$L,領用表!$A:$A,BH$2,領用表!$E:$E,B178)</f>
        <v/>
      </c>
      <c r="BI178" s="260">
        <f>SUMIFS(領用表!$L:$L,領用表!$E:$E,$B178,領用表!$B:$B,BH$2&amp;BI$2)</f>
        <v/>
      </c>
      <c r="BJ178" s="260">
        <f>SUMIFS(領用表!$L:$L,領用表!$E:$E,$B178,領用表!$B:$B,$BH$2&amp;BJ$2)</f>
        <v/>
      </c>
      <c r="BK178" s="260">
        <f>SUMIFS(領用表!$L:$L,領用表!$E:$E,$B178,領用表!$B:$B,$BH$2&amp;BK$2)</f>
        <v/>
      </c>
      <c r="BL178" s="260">
        <f>SUMIFS(領用表!$L:$L,領用表!$E:$E,$B178,領用表!$B:$B,$BH$2&amp;BL$2)</f>
        <v/>
      </c>
      <c r="BM178" s="203">
        <f>SUMIFS(領用表!$L:$L,領用表!$A:$A,BM$2,領用表!$E:$E,B178)</f>
        <v/>
      </c>
      <c r="BN178" s="206">
        <f>SUMIFS(領用表!$L:$L,領用表!$E:$E,$B178,領用表!$B:$B,BM$2&amp;BN$2)</f>
        <v/>
      </c>
      <c r="BO178" s="206">
        <f>SUMIFS(領用表!$L:$L,領用表!$E:$E,$B178,領用表!$B:$B,$BM$2&amp;BO$2)</f>
        <v/>
      </c>
      <c r="BP178" s="288">
        <f>SUMIFS(領用表!$L:$L,領用表!$E:$E,$B178,領用表!$B:$B,$BM$2&amp;BP$2)</f>
        <v/>
      </c>
      <c r="BQ178" s="287">
        <f>SUMIFS(領用表!$L:$L,領用表!$E:$E,$B178,領用表!$B:$B,$BM$2&amp;BQ$2)</f>
        <v/>
      </c>
      <c r="BR178" s="203">
        <f>SUMIFS(領用表!$L:$L,領用表!$A:$A,BR$2,領用表!$E:$E,B178)</f>
        <v/>
      </c>
      <c r="BS178" s="260">
        <f>SUMIFS(領用表!$L:$L,領用表!$E:$E,$B178,領用表!$B:$B,BR$2&amp;BS$2)</f>
        <v/>
      </c>
      <c r="BT178" s="260">
        <f>SUMIFS(領用表!$L:$L,領用表!$E:$E,$B178,領用表!$B:$B,$BR$2&amp;BT$2)</f>
        <v/>
      </c>
      <c r="BU178" s="260">
        <f>SUMIFS(領用表!$L:$L,領用表!$E:$E,$B178,領用表!$B:$B,$BR$2&amp;BU$2)</f>
        <v/>
      </c>
      <c r="BV178" s="220">
        <f>SUMIFS(領用表!$L:$L,領用表!$E:$E,$B178,領用表!$B:$B,$BR$2&amp;BV$2)</f>
        <v/>
      </c>
      <c r="BW178" s="208">
        <f>SUMIFS(領用表!$L:$L,領用表!$A:$A,BW$2,領用表!$E:$E,B178)</f>
        <v/>
      </c>
      <c r="BX178" s="296">
        <f>SUMIFS(領用表!$L:$L,領用表!$E:$E,$B178,領用表!$B:$B,BW$2&amp;BX$2)</f>
        <v/>
      </c>
      <c r="BY178" s="296">
        <f>SUMIFS(領用表!$L:$L,領用表!$E:$E,$B178,領用表!$B:$B,$BW$2&amp;BY$2)</f>
        <v/>
      </c>
      <c r="BZ178" s="296">
        <f>SUMIFS(領用表!$L:$L,領用表!$E:$E,$B178,領用表!$B:$B,$BW$2&amp;BZ$2)</f>
        <v/>
      </c>
      <c r="CA178" s="296">
        <f>SUMIFS(領用表!$L:$L,領用表!$E:$E,$B178,領用表!$B:$B,$BW$2&amp;CA$2)</f>
        <v/>
      </c>
      <c r="CB178" s="208">
        <f>SUMIFS(領用表!$L:$L,領用表!$A:$A,CB$2,領用表!$E:$E,B178)</f>
        <v/>
      </c>
      <c r="CC178" s="296">
        <f>SUMIFS(領用表!$L:$L,領用表!$E:$E,$B178,領用表!$B:$B,CB$2&amp;CC$2)</f>
        <v/>
      </c>
      <c r="CD178" s="296">
        <f>SUMIFS(領用表!$L:$L,領用表!$E:$E,$B178,領用表!$B:$B,$CB$2&amp;CD$2)</f>
        <v/>
      </c>
      <c r="CE178" s="296">
        <f>SUMIFS(領用表!$L:$L,領用表!$E:$E,$B178,領用表!$B:$B,$CB$2&amp;CE$2)</f>
        <v/>
      </c>
      <c r="CF178" s="296">
        <f>SUMIFS(領用表!$L:$L,領用表!$E:$E,$B178,領用表!$B:$B,$CB$2&amp;CF$2)</f>
        <v/>
      </c>
      <c r="CG178" s="335">
        <f>SUMIFS(領用表!$L:$L,領用表!$A:$A,CG$2,領用表!$E:$E,B178)</f>
        <v/>
      </c>
      <c r="CH178" s="296">
        <f>SUMIFS(領用表!$L:$L,領用表!$E:$E,$B178,領用表!$B:$B,CG$2&amp;CH$2)</f>
        <v/>
      </c>
      <c r="CI178" s="296">
        <f>SUMIFS(領用表!$L:$L,領用表!$E:$E,$B178,領用表!$B:$B,CG$2&amp;CI$2)</f>
        <v/>
      </c>
      <c r="CJ178" s="296">
        <f>SUMIFS(領用表!$L:$L,領用表!$E:$E,$B178,領用表!$B:$B,CG$2&amp;CJ$2)</f>
        <v/>
      </c>
      <c r="CK178" s="296">
        <f>SUMIFS(領用表!$L:$L,領用表!$E:$E,$B178,領用表!$B:$B,$CG$2&amp;CK$2)</f>
        <v/>
      </c>
      <c r="CL178" s="207">
        <f>SUM(AX178,AY178,AZ178,BA178,BB178,BC178,BH178,BM178,BR178,BW178,CB178,CG178)</f>
        <v/>
      </c>
      <c r="CM178" s="207">
        <f>AVERAGE(AX178,AY178,AZ178,BA178,BB178,BC178,BH178,BM178,BR178,BW178,CB178,CG178)</f>
        <v/>
      </c>
      <c r="CN178" s="208">
        <f>SUMIFS(領用表!$L:$L,領用表!$A:$A,CN$2,領用表!$E:$E,B178)</f>
        <v/>
      </c>
      <c r="CO178" s="206">
        <f>SUMIFS(領用表!$L:$L,領用表!$E:$E,$B178,領用表!$B:$B,CN$2&amp;CO$2)</f>
        <v/>
      </c>
      <c r="CP178" s="206">
        <f>SUMIFS(領用表!$L:$L,領用表!$E:$E,$B178,領用表!$B:$B,$CN$2&amp;CP$2)</f>
        <v/>
      </c>
      <c r="CQ178" s="206">
        <f>SUMIFS(領用表!$L:$L,領用表!$E:$E,$B178,領用表!$B:$B,$CN$2&amp;CQ$2)</f>
        <v/>
      </c>
      <c r="CR178" s="296">
        <f>SUMIFS(領用表!$L:$L,領用表!$E:$E,$B178,領用表!$B:$B,$CN$2&amp;CR$2)</f>
        <v/>
      </c>
      <c r="CS178" s="208">
        <f>SUMIFS(領用表!$L:$L,領用表!$A:$A,CS$2,領用表!$E:$E,B178)</f>
        <v/>
      </c>
      <c r="CT178" s="206">
        <f>SUMIFS(領用表!$L:$L,領用表!$E:$E,$B178,領用表!$B:$B,CS$2&amp;CT$2)</f>
        <v/>
      </c>
      <c r="CU178" s="206">
        <f>SUMIFS(領用表!$L:$L,領用表!$E:$E,$B178,領用表!$B:$B,$CS$2&amp;CU$2)</f>
        <v/>
      </c>
      <c r="CV178" s="206">
        <f>SUMIFS(領用表!$L:$L,領用表!$E:$E,$B178,領用表!$B:$B,$CS$2&amp;CV$2)</f>
        <v/>
      </c>
      <c r="CW178" s="206">
        <f>SUMIFS(領用表!$L:$L,領用表!$E:$E,$B178,領用表!$B:$B,$CS$2&amp;CW$2)</f>
        <v/>
      </c>
      <c r="CX178" s="206">
        <f>SUMIFS(領用表!$L:$L,領用表!$E:$E,$B178,領用表!$B:$B,$CS$2&amp;CX$2)</f>
        <v/>
      </c>
      <c r="CY178" s="208">
        <f>SUMIFS(領用表!$L:$L,領用表!$A:$A,CY$2,領用表!$E:$E,B178)</f>
        <v/>
      </c>
      <c r="CZ178" s="296">
        <f>SUMIFS(領用表!$L:$L,領用表!$E:$E,$B178,領用表!$B:$B,CY$2&amp;CZ$2)</f>
        <v/>
      </c>
      <c r="DA178" s="296">
        <f>SUMIFS(領用表!$L:$L,領用表!$E:$E,$B178,領用表!$B:$B,$CY$2&amp;DA$2)</f>
        <v/>
      </c>
      <c r="DB178" s="296">
        <f>SUMIFS(領用表!$L:$L,領用表!$E:$E,$B178,領用表!$B:$B,$CY$2&amp;DB$2)</f>
        <v/>
      </c>
      <c r="DC178" s="296">
        <f>SUMIFS(領用表!$L:$L,領用表!$E:$E,$B178,領用表!$B:$B,$CY$2&amp;DC$2)</f>
        <v/>
      </c>
      <c r="DD178" s="296">
        <f>SUMIFS(領用表!$L:$L,領用表!$E:$E,$B178,領用表!$B:$B,$CY$2&amp;DD$2)</f>
        <v/>
      </c>
      <c r="DE178" s="208">
        <f>SUMIFS(領用表!$L:$L,領用表!$A:$A,DE$2,領用表!$E:$E,B178)</f>
        <v/>
      </c>
      <c r="DF178" s="296">
        <f>SUMIFS(領用表!$L:$L,領用表!$E:$E,$B178,領用表!$B:$B,DE$2&amp;DF$2)</f>
        <v/>
      </c>
      <c r="DG178" s="296">
        <f>SUMIFS(領用表!$L:$L,領用表!$E:$E,$B178,領用表!$B:$B,$DE$2&amp;DG$2)</f>
        <v/>
      </c>
      <c r="DH178" s="296">
        <f>SUMIFS(領用表!$L:$L,領用表!$E:$E,$B178,領用表!$B:$B,$DE$2&amp;DH$2)</f>
        <v/>
      </c>
      <c r="DI178" s="296">
        <f>SUMIFS(領用表!$L:$L,領用表!$E:$E,$B178,領用表!$B:$B,$DE$2&amp;DI$2)</f>
        <v/>
      </c>
      <c r="DJ178" s="296">
        <f>SUMIFS(領用表!$L:$L,領用表!$E:$E,$B178,領用表!$B:$B,$DE$2&amp;DJ$2)</f>
        <v/>
      </c>
      <c r="DK178" s="208">
        <f>SUMIFS(領用表!$L:$L,領用表!$A:$A,DK$2,領用表!$E:$E,$B178)</f>
        <v/>
      </c>
      <c r="DL178" s="296">
        <f>SUMIFS(領用表!$L:$L,領用表!$E:$E,$B178,領用表!$B:$B,DK$2&amp;DL$2)</f>
        <v/>
      </c>
      <c r="DM178" s="296">
        <f>SUMIFS(領用表!$L:$L,領用表!$E:$E,$B178,領用表!$B:$B,$DK$2&amp;DM$2)</f>
        <v/>
      </c>
      <c r="DN178" s="296">
        <f>SUMIFS(領用表!$L:$L,領用表!$E:$E,$B178,領用表!$B:$B,$DK$2&amp;DN$2)</f>
        <v/>
      </c>
      <c r="DO178" s="296">
        <f>SUMIFS(領用表!$L:$L,領用表!$E:$E,$B178,領用表!$B:$B,$DK$2&amp;DO$2)</f>
        <v/>
      </c>
      <c r="DP178" s="296">
        <f>SUMIFS(領用表!$L:$L,領用表!$E:$E,$B178,領用表!$B:$B,$DK$2&amp;DP$2)</f>
        <v/>
      </c>
      <c r="DQ178" s="208" t="n"/>
      <c r="DR178" s="296" t="n"/>
      <c r="DS178" s="296" t="n"/>
      <c r="DT178" s="296" t="n"/>
      <c r="DU178" s="296" t="n"/>
      <c r="DV178" s="296" t="n"/>
      <c r="DW178" s="296">
        <f>SUM(CN178,CS178,CY178,DE178,DK178,DQ178)</f>
        <v/>
      </c>
      <c r="DX178" s="296">
        <f>AVERAGEA(CN178,CS178,CY178,DE178,DK178,DQ178)</f>
        <v/>
      </c>
      <c r="DY178" s="296">
        <f>SUM(DZ178:EC178)</f>
        <v/>
      </c>
      <c r="DZ178" s="296" t="n">
        <v>0</v>
      </c>
      <c r="EA178" s="296" t="n">
        <v>0</v>
      </c>
      <c r="EB178" s="296" t="n">
        <v>0</v>
      </c>
      <c r="EC178" s="296" t="n">
        <v>0</v>
      </c>
      <c r="ED178" s="258" t="n"/>
      <c r="EE178" s="340" t="n"/>
      <c r="EF178" s="340" t="n"/>
      <c r="EG178" s="340" t="n"/>
      <c r="EJ178" s="118">
        <f>IFERROR(VLOOKUP(A178,站前4樓!A:BF,57,0),0)</f>
        <v/>
      </c>
      <c r="EK178" s="213">
        <f>IFERROR(VLOOKUP(A178,站前11樓!A:BE,57,0),0)</f>
        <v/>
      </c>
      <c r="EL178" s="118">
        <f>IFERROR(VLOOKUP(A178,忠孝7樓!A:N,57,0),0)</f>
        <v/>
      </c>
      <c r="EM178" s="118">
        <f>IFERROR(VLOOKUP(A178,忠孝國際醫學3樓!A:L,57,0),0)</f>
        <v/>
      </c>
      <c r="EN178" s="118">
        <f>SUM(ED178:EG178)</f>
        <v/>
      </c>
    </row>
    <row r="179" ht="15.75" customFormat="1" customHeight="1" s="118">
      <c r="A179" s="136" t="inlineStr">
        <is>
          <t>DL1GD0100001T</t>
        </is>
      </c>
      <c r="C179" s="136" t="inlineStr">
        <is>
          <t>甜睡美膠原6g(30入)(繁體版) 24盒/箱</t>
        </is>
      </c>
      <c r="D179" s="285" t="n"/>
      <c r="E179" s="198" t="inlineStr">
        <is>
          <t>PCS</t>
        </is>
      </c>
      <c r="F179" s="225">
        <f>SUMIF(站前4樓!B:B,B179,站前4樓!F:F)</f>
        <v/>
      </c>
      <c r="G179" s="225">
        <f>SUMIF(站前11樓!B:B,B179,站前11樓!F:F)</f>
        <v/>
      </c>
      <c r="H179" s="225">
        <f>SUMIF(忠孝7樓!B:B,B179,忠孝7樓!G:G)</f>
        <v/>
      </c>
      <c r="I179" s="225">
        <f>SUMIF(忠孝國際醫學3樓!B:B,B179,忠孝國際醫學3樓!G:G)</f>
        <v/>
      </c>
      <c r="J179" s="225">
        <f>SUMIF(忠孝健康7樓!B:B,B179,忠孝健康7樓!G:G)</f>
        <v/>
      </c>
      <c r="AU179" s="201" t="n">
        <v>0</v>
      </c>
      <c r="AV179" s="347" t="n">
        <v>0</v>
      </c>
      <c r="AW179" s="347" t="n">
        <v>0</v>
      </c>
      <c r="AX179" s="201" t="n">
        <v>240</v>
      </c>
      <c r="AY179" s="201" t="n">
        <v>192</v>
      </c>
      <c r="AZ179" s="201" t="n">
        <v>48</v>
      </c>
      <c r="BA179" s="201" t="n">
        <v>0</v>
      </c>
      <c r="BB179" s="201" t="n">
        <v>0</v>
      </c>
      <c r="BC179" s="203">
        <f>SUMIFS(領用表!$L:$L,領用表!$A:$A,BC$2,領用表!$E:$E,B179)</f>
        <v/>
      </c>
      <c r="BD179" s="296">
        <f>SUMIFS(領用表!$L:$L,領用表!$E:$E,$B179,領用表!$B:$B,BC$2&amp;BD$2)</f>
        <v/>
      </c>
      <c r="BE179" s="296">
        <f>SUMIFS(領用表!$L:$L,領用表!$E:$E,$B179,領用表!$B:$B,$BC$2&amp;BE$2)</f>
        <v/>
      </c>
      <c r="BF179" s="296">
        <f>SUMIFS(領用表!$L:$L,領用表!$E:$E,$B179,領用表!$B:$B,$BC$2&amp;BF$2)</f>
        <v/>
      </c>
      <c r="BG179" s="296">
        <f>SUMIFS(領用表!$L:$L,領用表!$E:$E,$B179,領用表!$B:$B,$BC$2&amp;BG$2)</f>
        <v/>
      </c>
      <c r="BH179" s="203">
        <f>SUMIFS(領用表!$L:$L,領用表!$A:$A,BH$2,領用表!$E:$E,B179)</f>
        <v/>
      </c>
      <c r="BI179" s="260">
        <f>SUMIFS(領用表!$L:$L,領用表!$E:$E,$B179,領用表!$B:$B,BH$2&amp;BI$2)</f>
        <v/>
      </c>
      <c r="BJ179" s="260">
        <f>SUMIFS(領用表!$L:$L,領用表!$E:$E,$B179,領用表!$B:$B,$BH$2&amp;BJ$2)</f>
        <v/>
      </c>
      <c r="BK179" s="260">
        <f>SUMIFS(領用表!$L:$L,領用表!$E:$E,$B179,領用表!$B:$B,$BH$2&amp;BK$2)</f>
        <v/>
      </c>
      <c r="BL179" s="260">
        <f>SUMIFS(領用表!$L:$L,領用表!$E:$E,$B179,領用表!$B:$B,$BH$2&amp;BL$2)</f>
        <v/>
      </c>
      <c r="BM179" s="203">
        <f>SUMIFS(領用表!$L:$L,領用表!$A:$A,BM$2,領用表!$E:$E,B179)</f>
        <v/>
      </c>
      <c r="BN179" s="206">
        <f>SUMIFS(領用表!$L:$L,領用表!$E:$E,$B179,領用表!$B:$B,BM$2&amp;BN$2)</f>
        <v/>
      </c>
      <c r="BO179" s="206">
        <f>SUMIFS(領用表!$L:$L,領用表!$E:$E,$B179,領用表!$B:$B,$BM$2&amp;BO$2)</f>
        <v/>
      </c>
      <c r="BP179" s="288">
        <f>SUMIFS(領用表!$L:$L,領用表!$E:$E,$B179,領用表!$B:$B,$BM$2&amp;BP$2)</f>
        <v/>
      </c>
      <c r="BQ179" s="287">
        <f>SUMIFS(領用表!$L:$L,領用表!$E:$E,$B179,領用表!$B:$B,$BM$2&amp;BQ$2)</f>
        <v/>
      </c>
      <c r="BR179" s="203">
        <f>SUMIFS(領用表!$L:$L,領用表!$A:$A,BR$2,領用表!$E:$E,B179)</f>
        <v/>
      </c>
      <c r="BS179" s="260">
        <f>SUMIFS(領用表!$L:$L,領用表!$E:$E,$B179,領用表!$B:$B,BR$2&amp;BS$2)</f>
        <v/>
      </c>
      <c r="BT179" s="260">
        <f>SUMIFS(領用表!$L:$L,領用表!$E:$E,$B179,領用表!$B:$B,$BR$2&amp;BT$2)</f>
        <v/>
      </c>
      <c r="BU179" s="260">
        <f>SUMIFS(領用表!$L:$L,領用表!$E:$E,$B179,領用表!$B:$B,$BR$2&amp;BU$2)</f>
        <v/>
      </c>
      <c r="BV179" s="220">
        <f>SUMIFS(領用表!$L:$L,領用表!$E:$E,$B179,領用表!$B:$B,$BR$2&amp;BV$2)</f>
        <v/>
      </c>
      <c r="BW179" s="208">
        <f>SUMIFS(領用表!$L:$L,領用表!$A:$A,BW$2,領用表!$E:$E,B179)</f>
        <v/>
      </c>
      <c r="BX179" s="296">
        <f>SUMIFS(領用表!$L:$L,領用表!$E:$E,$B179,領用表!$B:$B,BW$2&amp;BX$2)</f>
        <v/>
      </c>
      <c r="BY179" s="296">
        <f>SUMIFS(領用表!$L:$L,領用表!$E:$E,$B179,領用表!$B:$B,$BW$2&amp;BY$2)</f>
        <v/>
      </c>
      <c r="BZ179" s="296">
        <f>SUMIFS(領用表!$L:$L,領用表!$E:$E,$B179,領用表!$B:$B,$BW$2&amp;BZ$2)</f>
        <v/>
      </c>
      <c r="CA179" s="296">
        <f>SUMIFS(領用表!$L:$L,領用表!$E:$E,$B179,領用表!$B:$B,$BW$2&amp;CA$2)</f>
        <v/>
      </c>
      <c r="CB179" s="208">
        <f>SUMIFS(領用表!$L:$L,領用表!$A:$A,CB$2,領用表!$E:$E,B179)</f>
        <v/>
      </c>
      <c r="CC179" s="296">
        <f>SUMIFS(領用表!$L:$L,領用表!$E:$E,$B179,領用表!$B:$B,CB$2&amp;CC$2)</f>
        <v/>
      </c>
      <c r="CD179" s="296">
        <f>SUMIFS(領用表!$L:$L,領用表!$E:$E,$B179,領用表!$B:$B,$CB$2&amp;CD$2)</f>
        <v/>
      </c>
      <c r="CE179" s="296">
        <f>SUMIFS(領用表!$L:$L,領用表!$E:$E,$B179,領用表!$B:$B,$CB$2&amp;CE$2)</f>
        <v/>
      </c>
      <c r="CF179" s="296">
        <f>SUMIFS(領用表!$L:$L,領用表!$E:$E,$B179,領用表!$B:$B,$CB$2&amp;CF$2)</f>
        <v/>
      </c>
      <c r="CG179" s="335">
        <f>SUMIFS(領用表!$L:$L,領用表!$A:$A,CG$2,領用表!$E:$E,B179)</f>
        <v/>
      </c>
      <c r="CH179" s="296">
        <f>SUMIFS(領用表!$L:$L,領用表!$E:$E,$B179,領用表!$B:$B,CG$2&amp;CH$2)</f>
        <v/>
      </c>
      <c r="CI179" s="296">
        <f>SUMIFS(領用表!$L:$L,領用表!$E:$E,$B179,領用表!$B:$B,CG$2&amp;CI$2)</f>
        <v/>
      </c>
      <c r="CJ179" s="296">
        <f>SUMIFS(領用表!$L:$L,領用表!$E:$E,$B179,領用表!$B:$B,CG$2&amp;CJ$2)</f>
        <v/>
      </c>
      <c r="CK179" s="296">
        <f>SUMIFS(領用表!$L:$L,領用表!$E:$E,$B179,領用表!$B:$B,$CG$2&amp;CK$2)</f>
        <v/>
      </c>
      <c r="CL179" s="207">
        <f>SUM(AX179,AY179,AZ179,BA179,BB179,BC179,BH179,BM179,BR179,BW179,CB179,CG179)</f>
        <v/>
      </c>
      <c r="CM179" s="207">
        <f>AVERAGE(AX179,AY179,AZ179,BA179,BB179,BC179,BH179,BM179,BR179,BW179,CB179,CG179)</f>
        <v/>
      </c>
      <c r="CN179" s="208">
        <f>SUMIFS(領用表!$L:$L,領用表!$A:$A,CN$2,領用表!$E:$E,B179)</f>
        <v/>
      </c>
      <c r="CO179" s="206">
        <f>SUMIFS(領用表!$L:$L,領用表!$E:$E,$B179,領用表!$B:$B,CN$2&amp;CO$2)</f>
        <v/>
      </c>
      <c r="CP179" s="206">
        <f>SUMIFS(領用表!$L:$L,領用表!$E:$E,$B179,領用表!$B:$B,$CN$2&amp;CP$2)</f>
        <v/>
      </c>
      <c r="CQ179" s="206">
        <f>SUMIFS(領用表!$L:$L,領用表!$E:$E,$B179,領用表!$B:$B,$CN$2&amp;CQ$2)</f>
        <v/>
      </c>
      <c r="CR179" s="296">
        <f>SUMIFS(領用表!$L:$L,領用表!$E:$E,$B179,領用表!$B:$B,$CN$2&amp;CR$2)</f>
        <v/>
      </c>
      <c r="CS179" s="208">
        <f>SUMIFS(領用表!$L:$L,領用表!$A:$A,CS$2,領用表!$E:$E,B179)</f>
        <v/>
      </c>
      <c r="CT179" s="206">
        <f>SUMIFS(領用表!$L:$L,領用表!$E:$E,$B179,領用表!$B:$B,CS$2&amp;CT$2)</f>
        <v/>
      </c>
      <c r="CU179" s="206">
        <f>SUMIFS(領用表!$L:$L,領用表!$E:$E,$B179,領用表!$B:$B,$CS$2&amp;CU$2)</f>
        <v/>
      </c>
      <c r="CV179" s="206">
        <f>SUMIFS(領用表!$L:$L,領用表!$E:$E,$B179,領用表!$B:$B,$CS$2&amp;CV$2)</f>
        <v/>
      </c>
      <c r="CW179" s="206">
        <f>SUMIFS(領用表!$L:$L,領用表!$E:$E,$B179,領用表!$B:$B,$CS$2&amp;CW$2)</f>
        <v/>
      </c>
      <c r="CX179" s="206">
        <f>SUMIFS(領用表!$L:$L,領用表!$E:$E,$B179,領用表!$B:$B,$CS$2&amp;CX$2)</f>
        <v/>
      </c>
      <c r="CY179" s="208">
        <f>SUMIFS(領用表!$L:$L,領用表!$A:$A,CY$2,領用表!$E:$E,B179)</f>
        <v/>
      </c>
      <c r="CZ179" s="296">
        <f>SUMIFS(領用表!$L:$L,領用表!$E:$E,$B179,領用表!$B:$B,CY$2&amp;CZ$2)</f>
        <v/>
      </c>
      <c r="DA179" s="296">
        <f>SUMIFS(領用表!$L:$L,領用表!$E:$E,$B179,領用表!$B:$B,$CY$2&amp;DA$2)</f>
        <v/>
      </c>
      <c r="DB179" s="296">
        <f>SUMIFS(領用表!$L:$L,領用表!$E:$E,$B179,領用表!$B:$B,$CY$2&amp;DB$2)</f>
        <v/>
      </c>
      <c r="DC179" s="296">
        <f>SUMIFS(領用表!$L:$L,領用表!$E:$E,$B179,領用表!$B:$B,$CY$2&amp;DC$2)</f>
        <v/>
      </c>
      <c r="DD179" s="296">
        <f>SUMIFS(領用表!$L:$L,領用表!$E:$E,$B179,領用表!$B:$B,$CY$2&amp;DD$2)</f>
        <v/>
      </c>
      <c r="DE179" s="208">
        <f>SUMIFS(領用表!$L:$L,領用表!$A:$A,DE$2,領用表!$E:$E,B179)</f>
        <v/>
      </c>
      <c r="DF179" s="296">
        <f>SUMIFS(領用表!$L:$L,領用表!$E:$E,$B179,領用表!$B:$B,DE$2&amp;DF$2)</f>
        <v/>
      </c>
      <c r="DG179" s="296">
        <f>SUMIFS(領用表!$L:$L,領用表!$E:$E,$B179,領用表!$B:$B,$DE$2&amp;DG$2)</f>
        <v/>
      </c>
      <c r="DH179" s="296">
        <f>SUMIFS(領用表!$L:$L,領用表!$E:$E,$B179,領用表!$B:$B,$DE$2&amp;DH$2)</f>
        <v/>
      </c>
      <c r="DI179" s="296">
        <f>SUMIFS(領用表!$L:$L,領用表!$E:$E,$B179,領用表!$B:$B,$DE$2&amp;DI$2)</f>
        <v/>
      </c>
      <c r="DJ179" s="296">
        <f>SUMIFS(領用表!$L:$L,領用表!$E:$E,$B179,領用表!$B:$B,$DE$2&amp;DJ$2)</f>
        <v/>
      </c>
      <c r="DK179" s="208">
        <f>SUMIFS(領用表!$L:$L,領用表!$A:$A,DK$2,領用表!$E:$E,$B179)</f>
        <v/>
      </c>
      <c r="DL179" s="296">
        <f>SUMIFS(領用表!$L:$L,領用表!$E:$E,$B179,領用表!$B:$B,DK$2&amp;DL$2)</f>
        <v/>
      </c>
      <c r="DM179" s="296">
        <f>SUMIFS(領用表!$L:$L,領用表!$E:$E,$B179,領用表!$B:$B,$DK$2&amp;DM$2)</f>
        <v/>
      </c>
      <c r="DN179" s="296">
        <f>SUMIFS(領用表!$L:$L,領用表!$E:$E,$B179,領用表!$B:$B,$DK$2&amp;DN$2)</f>
        <v/>
      </c>
      <c r="DO179" s="296">
        <f>SUMIFS(領用表!$L:$L,領用表!$E:$E,$B179,領用表!$B:$B,$DK$2&amp;DO$2)</f>
        <v/>
      </c>
      <c r="DP179" s="296">
        <f>SUMIFS(領用表!$L:$L,領用表!$E:$E,$B179,領用表!$B:$B,$DK$2&amp;DP$2)</f>
        <v/>
      </c>
      <c r="DQ179" s="208" t="n"/>
      <c r="DR179" s="296" t="n"/>
      <c r="DS179" s="296" t="n"/>
      <c r="DT179" s="296" t="n"/>
      <c r="DU179" s="296" t="n"/>
      <c r="DV179" s="296" t="n"/>
      <c r="DW179" s="296">
        <f>SUM(CN179,CS179,CY179,DE179,DK179,DQ179)</f>
        <v/>
      </c>
      <c r="DX179" s="296">
        <f>AVERAGEA(CN179,CS179,CY179,DE179,DK179,DQ179)</f>
        <v/>
      </c>
      <c r="DY179" s="296">
        <f>SUM(DZ179:EC179)</f>
        <v/>
      </c>
      <c r="DZ179" s="296" t="n">
        <v>0</v>
      </c>
      <c r="EA179" s="296" t="n">
        <v>0</v>
      </c>
      <c r="EB179" s="296" t="n">
        <v>0</v>
      </c>
      <c r="EC179" s="296" t="n">
        <v>0</v>
      </c>
      <c r="ED179" s="258" t="n"/>
      <c r="EE179" s="340" t="n"/>
      <c r="EF179" s="340" t="n"/>
      <c r="EG179" s="340" t="n"/>
      <c r="EJ179" s="118">
        <f>IFERROR(VLOOKUP(A179,站前4樓!A:BF,57,0),0)</f>
        <v/>
      </c>
      <c r="EK179" s="213">
        <f>IFERROR(VLOOKUP(A179,站前11樓!A:BE,57,0),0)</f>
        <v/>
      </c>
      <c r="EL179" s="118">
        <f>IFERROR(VLOOKUP(A179,忠孝7樓!A:N,57,0),0)</f>
        <v/>
      </c>
      <c r="EM179" s="118">
        <f>IFERROR(VLOOKUP(A179,忠孝國際醫學3樓!A:L,57,0),0)</f>
        <v/>
      </c>
      <c r="EN179" s="118">
        <f>SUM(ED179:EG179)</f>
        <v/>
      </c>
    </row>
    <row r="180" ht="15.75" customFormat="1" customHeight="1" s="118">
      <c r="A180" s="136" t="inlineStr">
        <is>
          <t>DE1AA020008T</t>
        </is>
      </c>
      <c r="C180" s="136" t="inlineStr">
        <is>
          <t>鑽石光感潔膚乳 100ml</t>
        </is>
      </c>
      <c r="D180" s="285" t="n"/>
      <c r="E180" s="198" t="inlineStr">
        <is>
          <t>PCS</t>
        </is>
      </c>
      <c r="F180" s="225">
        <f>SUMIF(站前4樓!B:B,B180,站前4樓!F:F)</f>
        <v/>
      </c>
      <c r="G180" s="225">
        <f>SUMIF(站前11樓!B:B,B180,站前11樓!F:F)</f>
        <v/>
      </c>
      <c r="H180" s="225">
        <f>SUMIF(忠孝7樓!B:B,B180,忠孝7樓!G:G)</f>
        <v/>
      </c>
      <c r="I180" s="225">
        <f>SUMIF(忠孝國際醫學3樓!B:B,B180,忠孝國際醫學3樓!G:G)</f>
        <v/>
      </c>
      <c r="J180" s="225">
        <f>SUMIF(忠孝健康7樓!B:B,B180,忠孝健康7樓!G:G)</f>
        <v/>
      </c>
      <c r="AU180" s="201" t="n">
        <v>0</v>
      </c>
      <c r="AV180" s="347" t="n">
        <v>0</v>
      </c>
      <c r="AW180" s="347" t="n">
        <v>0</v>
      </c>
      <c r="AX180" s="201" t="n">
        <v>0</v>
      </c>
      <c r="AY180" s="201" t="n">
        <v>0</v>
      </c>
      <c r="AZ180" s="201" t="n">
        <v>10</v>
      </c>
      <c r="BA180" s="201" t="n">
        <v>0</v>
      </c>
      <c r="BB180" s="201" t="n">
        <v>40</v>
      </c>
      <c r="BC180" s="203">
        <f>SUMIFS(領用表!$L:$L,領用表!$A:$A,BC$2,領用表!$E:$E,B180)</f>
        <v/>
      </c>
      <c r="BD180" s="296">
        <f>SUMIFS(領用表!$L:$L,領用表!$E:$E,$B180,領用表!$B:$B,BC$2&amp;BD$2)</f>
        <v/>
      </c>
      <c r="BE180" s="296">
        <f>SUMIFS(領用表!$L:$L,領用表!$E:$E,$B180,領用表!$B:$B,$BC$2&amp;BE$2)</f>
        <v/>
      </c>
      <c r="BF180" s="296">
        <f>SUMIFS(領用表!$L:$L,領用表!$E:$E,$B180,領用表!$B:$B,$BC$2&amp;BF$2)</f>
        <v/>
      </c>
      <c r="BG180" s="296">
        <f>SUMIFS(領用表!$L:$L,領用表!$E:$E,$B180,領用表!$B:$B,$BC$2&amp;BG$2)</f>
        <v/>
      </c>
      <c r="BH180" s="203">
        <f>SUMIFS(領用表!$L:$L,領用表!$A:$A,BH$2,領用表!$E:$E,B180)</f>
        <v/>
      </c>
      <c r="BI180" s="260">
        <f>SUMIFS(領用表!$L:$L,領用表!$E:$E,$B180,領用表!$B:$B,BH$2&amp;BI$2)</f>
        <v/>
      </c>
      <c r="BJ180" s="260">
        <f>SUMIFS(領用表!$L:$L,領用表!$E:$E,$B180,領用表!$B:$B,$BH$2&amp;BJ$2)</f>
        <v/>
      </c>
      <c r="BK180" s="260">
        <f>SUMIFS(領用表!$L:$L,領用表!$E:$E,$B180,領用表!$B:$B,$BH$2&amp;BK$2)</f>
        <v/>
      </c>
      <c r="BL180" s="260">
        <f>SUMIFS(領用表!$L:$L,領用表!$E:$E,$B180,領用表!$B:$B,$BH$2&amp;BL$2)</f>
        <v/>
      </c>
      <c r="BM180" s="203">
        <f>SUMIFS(領用表!$L:$L,領用表!$A:$A,BM$2,領用表!$E:$E,B180)</f>
        <v/>
      </c>
      <c r="BN180" s="206">
        <f>SUMIFS(領用表!$L:$L,領用表!$E:$E,$B180,領用表!$B:$B,BM$2&amp;BN$2)</f>
        <v/>
      </c>
      <c r="BO180" s="206">
        <f>SUMIFS(領用表!$L:$L,領用表!$E:$E,$B180,領用表!$B:$B,$BM$2&amp;BO$2)</f>
        <v/>
      </c>
      <c r="BP180" s="288">
        <f>SUMIFS(領用表!$L:$L,領用表!$E:$E,$B180,領用表!$B:$B,$BM$2&amp;BP$2)</f>
        <v/>
      </c>
      <c r="BQ180" s="287">
        <f>SUMIFS(領用表!$L:$L,領用表!$E:$E,$B180,領用表!$B:$B,$BM$2&amp;BQ$2)</f>
        <v/>
      </c>
      <c r="BR180" s="203">
        <f>SUMIFS(領用表!$L:$L,領用表!$A:$A,BR$2,領用表!$E:$E,B180)</f>
        <v/>
      </c>
      <c r="BS180" s="260">
        <f>SUMIFS(領用表!$L:$L,領用表!$E:$E,$B180,領用表!$B:$B,BR$2&amp;BS$2)</f>
        <v/>
      </c>
      <c r="BT180" s="260">
        <f>SUMIFS(領用表!$L:$L,領用表!$E:$E,$B180,領用表!$B:$B,$BR$2&amp;BT$2)</f>
        <v/>
      </c>
      <c r="BU180" s="260">
        <f>SUMIFS(領用表!$L:$L,領用表!$E:$E,$B180,領用表!$B:$B,$BR$2&amp;BU$2)</f>
        <v/>
      </c>
      <c r="BV180" s="220">
        <f>SUMIFS(領用表!$L:$L,領用表!$E:$E,$B180,領用表!$B:$B,$BR$2&amp;BV$2)</f>
        <v/>
      </c>
      <c r="BW180" s="208">
        <f>SUMIFS(領用表!$L:$L,領用表!$A:$A,BW$2,領用表!$E:$E,B180)</f>
        <v/>
      </c>
      <c r="BX180" s="296">
        <f>SUMIFS(領用表!$L:$L,領用表!$E:$E,$B180,領用表!$B:$B,BW$2&amp;BX$2)</f>
        <v/>
      </c>
      <c r="BY180" s="296">
        <f>SUMIFS(領用表!$L:$L,領用表!$E:$E,$B180,領用表!$B:$B,$BW$2&amp;BY$2)</f>
        <v/>
      </c>
      <c r="BZ180" s="296">
        <f>SUMIFS(領用表!$L:$L,領用表!$E:$E,$B180,領用表!$B:$B,$BW$2&amp;BZ$2)</f>
        <v/>
      </c>
      <c r="CA180" s="296">
        <f>SUMIFS(領用表!$L:$L,領用表!$E:$E,$B180,領用表!$B:$B,$BW$2&amp;CA$2)</f>
        <v/>
      </c>
      <c r="CB180" s="208">
        <f>SUMIFS(領用表!$L:$L,領用表!$A:$A,CB$2,領用表!$E:$E,B180)</f>
        <v/>
      </c>
      <c r="CC180" s="296">
        <f>SUMIFS(領用表!$L:$L,領用表!$E:$E,$B180,領用表!$B:$B,CB$2&amp;CC$2)</f>
        <v/>
      </c>
      <c r="CD180" s="296">
        <f>SUMIFS(領用表!$L:$L,領用表!$E:$E,$B180,領用表!$B:$B,$CB$2&amp;CD$2)</f>
        <v/>
      </c>
      <c r="CE180" s="296">
        <f>SUMIFS(領用表!$L:$L,領用表!$E:$E,$B180,領用表!$B:$B,$CB$2&amp;CE$2)</f>
        <v/>
      </c>
      <c r="CF180" s="296">
        <f>SUMIFS(領用表!$L:$L,領用表!$E:$E,$B180,領用表!$B:$B,$CB$2&amp;CF$2)</f>
        <v/>
      </c>
      <c r="CG180" s="335">
        <f>SUMIFS(領用表!$L:$L,領用表!$A:$A,CG$2,領用表!$E:$E,B180)</f>
        <v/>
      </c>
      <c r="CH180" s="296">
        <f>SUMIFS(領用表!$L:$L,領用表!$E:$E,$B180,領用表!$B:$B,CG$2&amp;CH$2)</f>
        <v/>
      </c>
      <c r="CI180" s="296">
        <f>SUMIFS(領用表!$L:$L,領用表!$E:$E,$B180,領用表!$B:$B,CG$2&amp;CI$2)</f>
        <v/>
      </c>
      <c r="CJ180" s="296">
        <f>SUMIFS(領用表!$L:$L,領用表!$E:$E,$B180,領用表!$B:$B,CG$2&amp;CJ$2)</f>
        <v/>
      </c>
      <c r="CK180" s="296">
        <f>SUMIFS(領用表!$L:$L,領用表!$E:$E,$B180,領用表!$B:$B,$CG$2&amp;CK$2)</f>
        <v/>
      </c>
      <c r="CL180" s="207">
        <f>SUM(AX180,AY180,AZ180,BA180,BB180,BC180,BH180,BM180,BR180,BW180,CB180,CG180)</f>
        <v/>
      </c>
      <c r="CM180" s="207">
        <f>AVERAGE(AX180,AY180,AZ180,BA180,BB180,BC180,BH180,BM180,BR180,BW180,CB180,CG180)</f>
        <v/>
      </c>
      <c r="CN180" s="208">
        <f>SUMIFS(領用表!$L:$L,領用表!$A:$A,CN$2,領用表!$E:$E,B180)</f>
        <v/>
      </c>
      <c r="CO180" s="206">
        <f>SUMIFS(領用表!$L:$L,領用表!$E:$E,$B180,領用表!$B:$B,CN$2&amp;CO$2)</f>
        <v/>
      </c>
      <c r="CP180" s="206">
        <f>SUMIFS(領用表!$L:$L,領用表!$E:$E,$B180,領用表!$B:$B,$CN$2&amp;CP$2)</f>
        <v/>
      </c>
      <c r="CQ180" s="206">
        <f>SUMIFS(領用表!$L:$L,領用表!$E:$E,$B180,領用表!$B:$B,$CN$2&amp;CQ$2)</f>
        <v/>
      </c>
      <c r="CR180" s="296">
        <f>SUMIFS(領用表!$L:$L,領用表!$E:$E,$B180,領用表!$B:$B,$CN$2&amp;CR$2)</f>
        <v/>
      </c>
      <c r="CS180" s="208">
        <f>SUMIFS(領用表!$L:$L,領用表!$A:$A,CS$2,領用表!$E:$E,B180)</f>
        <v/>
      </c>
      <c r="CT180" s="206">
        <f>SUMIFS(領用表!$L:$L,領用表!$E:$E,$B180,領用表!$B:$B,CS$2&amp;CT$2)</f>
        <v/>
      </c>
      <c r="CU180" s="206">
        <f>SUMIFS(領用表!$L:$L,領用表!$E:$E,$B180,領用表!$B:$B,$CS$2&amp;CU$2)</f>
        <v/>
      </c>
      <c r="CV180" s="206">
        <f>SUMIFS(領用表!$L:$L,領用表!$E:$E,$B180,領用表!$B:$B,$CS$2&amp;CV$2)</f>
        <v/>
      </c>
      <c r="CW180" s="206">
        <f>SUMIFS(領用表!$L:$L,領用表!$E:$E,$B180,領用表!$B:$B,$CS$2&amp;CW$2)</f>
        <v/>
      </c>
      <c r="CX180" s="206">
        <f>SUMIFS(領用表!$L:$L,領用表!$E:$E,$B180,領用表!$B:$B,$CS$2&amp;CX$2)</f>
        <v/>
      </c>
      <c r="CY180" s="208">
        <f>SUMIFS(領用表!$L:$L,領用表!$A:$A,CY$2,領用表!$E:$E,B180)</f>
        <v/>
      </c>
      <c r="CZ180" s="296">
        <f>SUMIFS(領用表!$L:$L,領用表!$E:$E,$B180,領用表!$B:$B,CY$2&amp;CZ$2)</f>
        <v/>
      </c>
      <c r="DA180" s="296">
        <f>SUMIFS(領用表!$L:$L,領用表!$E:$E,$B180,領用表!$B:$B,$CY$2&amp;DA$2)</f>
        <v/>
      </c>
      <c r="DB180" s="296">
        <f>SUMIFS(領用表!$L:$L,領用表!$E:$E,$B180,領用表!$B:$B,$CY$2&amp;DB$2)</f>
        <v/>
      </c>
      <c r="DC180" s="296">
        <f>SUMIFS(領用表!$L:$L,領用表!$E:$E,$B180,領用表!$B:$B,$CY$2&amp;DC$2)</f>
        <v/>
      </c>
      <c r="DD180" s="296">
        <f>SUMIFS(領用表!$L:$L,領用表!$E:$E,$B180,領用表!$B:$B,$CY$2&amp;DD$2)</f>
        <v/>
      </c>
      <c r="DE180" s="208">
        <f>SUMIFS(領用表!$L:$L,領用表!$A:$A,DE$2,領用表!$E:$E,B180)</f>
        <v/>
      </c>
      <c r="DF180" s="296">
        <f>SUMIFS(領用表!$L:$L,領用表!$E:$E,$B180,領用表!$B:$B,DE$2&amp;DF$2)</f>
        <v/>
      </c>
      <c r="DG180" s="296">
        <f>SUMIFS(領用表!$L:$L,領用表!$E:$E,$B180,領用表!$B:$B,$DE$2&amp;DG$2)</f>
        <v/>
      </c>
      <c r="DH180" s="296">
        <f>SUMIFS(領用表!$L:$L,領用表!$E:$E,$B180,領用表!$B:$B,$DE$2&amp;DH$2)</f>
        <v/>
      </c>
      <c r="DI180" s="296">
        <f>SUMIFS(領用表!$L:$L,領用表!$E:$E,$B180,領用表!$B:$B,$DE$2&amp;DI$2)</f>
        <v/>
      </c>
      <c r="DJ180" s="296">
        <f>SUMIFS(領用表!$L:$L,領用表!$E:$E,$B180,領用表!$B:$B,$DE$2&amp;DJ$2)</f>
        <v/>
      </c>
      <c r="DK180" s="208">
        <f>SUMIFS(領用表!$L:$L,領用表!$A:$A,DK$2,領用表!$E:$E,$B180)</f>
        <v/>
      </c>
      <c r="DL180" s="296">
        <f>SUMIFS(領用表!$L:$L,領用表!$E:$E,$B180,領用表!$B:$B,DK$2&amp;DL$2)</f>
        <v/>
      </c>
      <c r="DM180" s="296">
        <f>SUMIFS(領用表!$L:$L,領用表!$E:$E,$B180,領用表!$B:$B,$DK$2&amp;DM$2)</f>
        <v/>
      </c>
      <c r="DN180" s="296">
        <f>SUMIFS(領用表!$L:$L,領用表!$E:$E,$B180,領用表!$B:$B,$DK$2&amp;DN$2)</f>
        <v/>
      </c>
      <c r="DO180" s="296">
        <f>SUMIFS(領用表!$L:$L,領用表!$E:$E,$B180,領用表!$B:$B,$DK$2&amp;DO$2)</f>
        <v/>
      </c>
      <c r="DP180" s="296">
        <f>SUMIFS(領用表!$L:$L,領用表!$E:$E,$B180,領用表!$B:$B,$DK$2&amp;DP$2)</f>
        <v/>
      </c>
      <c r="DQ180" s="208" t="n"/>
      <c r="DR180" s="296" t="n"/>
      <c r="DS180" s="296" t="n"/>
      <c r="DT180" s="296" t="n"/>
      <c r="DU180" s="296" t="n"/>
      <c r="DV180" s="296" t="n"/>
      <c r="DW180" s="330">
        <f>SUM(CN180,CS180,CY180,DE180,DK180,DQ180)</f>
        <v/>
      </c>
      <c r="DX180" s="330">
        <f>AVERAGEA(CN180,CS180,CY180,DE180,DK180,DQ180)</f>
        <v/>
      </c>
      <c r="DY180" s="330">
        <f>SUM(DZ180:EC180)</f>
        <v/>
      </c>
      <c r="DZ180" s="330" t="n">
        <v>0</v>
      </c>
      <c r="EA180" s="330" t="n">
        <v>0</v>
      </c>
      <c r="EB180" s="330" t="n">
        <v>0</v>
      </c>
      <c r="EC180" s="330" t="n">
        <v>0</v>
      </c>
      <c r="ED180" s="338" t="n"/>
      <c r="EE180" s="342" t="n"/>
      <c r="EF180" s="343" t="n"/>
      <c r="EG180" s="343" t="n"/>
      <c r="EJ180" s="118">
        <f>IFERROR(VLOOKUP(A180,站前4樓!A:BF,57,0),0)</f>
        <v/>
      </c>
      <c r="EK180" s="213">
        <f>IFERROR(VLOOKUP(A180,站前11樓!A:BE,57,0),0)</f>
        <v/>
      </c>
      <c r="EL180" s="118">
        <f>IFERROR(VLOOKUP(A180,忠孝7樓!A:N,57,0),0)</f>
        <v/>
      </c>
      <c r="EM180" s="118">
        <f>IFERROR(VLOOKUP(A180,忠孝國際醫學3樓!A:L,57,0),0)</f>
        <v/>
      </c>
      <c r="EN180" s="118">
        <f>SUM(ED180:EG180)</f>
        <v/>
      </c>
    </row>
    <row r="181" ht="15.75" customFormat="1" customHeight="1" s="118">
      <c r="A181" s="136" t="inlineStr">
        <is>
          <t>TE1AA020007T</t>
        </is>
      </c>
      <c r="B181" s="118" t="n">
        <v>6020002</v>
      </c>
      <c r="C181" s="136" t="inlineStr">
        <is>
          <t>試用-鑽石光感潔膚乳 100ml</t>
        </is>
      </c>
      <c r="D181" s="285" t="n"/>
      <c r="E181" s="198" t="inlineStr">
        <is>
          <t>PCS</t>
        </is>
      </c>
      <c r="F181" s="225">
        <f>SUMIF(站前4樓!B:B,B181,站前4樓!F:F)</f>
        <v/>
      </c>
      <c r="G181" s="225">
        <f>SUMIF(站前11樓!B:B,B181,站前11樓!F:F)</f>
        <v/>
      </c>
      <c r="H181" s="225">
        <f>SUMIF(忠孝7樓!B:B,B181,忠孝7樓!G:G)</f>
        <v/>
      </c>
      <c r="I181" s="225">
        <f>SUMIF(忠孝國際醫學3樓!B:B,B181,忠孝國際醫學3樓!G:G)</f>
        <v/>
      </c>
      <c r="J181" s="225">
        <f>SUMIF(忠孝健康7樓!B:B,B181,忠孝健康7樓!G:G)</f>
        <v/>
      </c>
      <c r="AU181" s="201" t="n"/>
      <c r="AV181" s="347" t="n"/>
      <c r="AW181" s="347" t="n"/>
      <c r="AX181" s="201" t="n"/>
      <c r="AY181" s="201" t="n"/>
      <c r="AZ181" s="201" t="n"/>
      <c r="BA181" s="201" t="n"/>
      <c r="BB181" s="201" t="n"/>
      <c r="BC181" s="203">
        <f>SUMIFS(領用表!$L:$L,領用表!$A:$A,BC$2,領用表!$E:$E,B181)</f>
        <v/>
      </c>
      <c r="BD181" s="296">
        <f>SUMIFS(領用表!$L:$L,領用表!$E:$E,$B181,領用表!$B:$B,BC$2&amp;BD$2)</f>
        <v/>
      </c>
      <c r="BE181" s="296">
        <f>SUMIFS(領用表!$L:$L,領用表!$E:$E,$B181,領用表!$B:$B,$BC$2&amp;BE$2)</f>
        <v/>
      </c>
      <c r="BF181" s="296">
        <f>SUMIFS(領用表!$L:$L,領用表!$E:$E,$B181,領用表!$B:$B,$BC$2&amp;BF$2)</f>
        <v/>
      </c>
      <c r="BG181" s="296">
        <f>SUMIFS(領用表!$L:$L,領用表!$E:$E,$B181,領用表!$B:$B,$BC$2&amp;BG$2)</f>
        <v/>
      </c>
      <c r="BH181" s="203">
        <f>SUMIFS(領用表!$L:$L,領用表!$A:$A,BH$2,領用表!$E:$E,B181)</f>
        <v/>
      </c>
      <c r="BI181" s="260">
        <f>SUMIFS(領用表!$L:$L,領用表!$E:$E,$B181,領用表!$B:$B,BH$2&amp;BI$2)</f>
        <v/>
      </c>
      <c r="BJ181" s="260">
        <f>SUMIFS(領用表!$L:$L,領用表!$E:$E,$B181,領用表!$B:$B,$BH$2&amp;BJ$2)</f>
        <v/>
      </c>
      <c r="BK181" s="260">
        <f>SUMIFS(領用表!$L:$L,領用表!$E:$E,$B181,領用表!$B:$B,$BH$2&amp;BK$2)</f>
        <v/>
      </c>
      <c r="BL181" s="260">
        <f>SUMIFS(領用表!$L:$L,領用表!$E:$E,$B181,領用表!$B:$B,$BH$2&amp;BL$2)</f>
        <v/>
      </c>
      <c r="BM181" s="203">
        <f>SUMIFS(領用表!$L:$L,領用表!$A:$A,BM$2,領用表!$E:$E,B181)</f>
        <v/>
      </c>
      <c r="BN181" s="206">
        <f>SUMIFS(領用表!$L:$L,領用表!$E:$E,$B181,領用表!$B:$B,BM$2&amp;BN$2)</f>
        <v/>
      </c>
      <c r="BO181" s="206">
        <f>SUMIFS(領用表!$L:$L,領用表!$E:$E,$B181,領用表!$B:$B,$BM$2&amp;BO$2)</f>
        <v/>
      </c>
      <c r="BP181" s="288">
        <f>SUMIFS(領用表!$L:$L,領用表!$E:$E,$B181,領用表!$B:$B,$BM$2&amp;BP$2)</f>
        <v/>
      </c>
      <c r="BQ181" s="287">
        <f>SUMIFS(領用表!$L:$L,領用表!$E:$E,$B181,領用表!$B:$B,$BM$2&amp;BQ$2)</f>
        <v/>
      </c>
      <c r="BR181" s="203">
        <f>SUMIFS(領用表!$L:$L,領用表!$A:$A,BR$2,領用表!$E:$E,B181)</f>
        <v/>
      </c>
      <c r="BS181" s="260">
        <f>SUMIFS(領用表!$L:$L,領用表!$E:$E,$B181,領用表!$B:$B,BR$2&amp;BS$2)</f>
        <v/>
      </c>
      <c r="BT181" s="260">
        <f>SUMIFS(領用表!$L:$L,領用表!$E:$E,$B181,領用表!$B:$B,$BR$2&amp;BT$2)</f>
        <v/>
      </c>
      <c r="BU181" s="260">
        <f>SUMIFS(領用表!$L:$L,領用表!$E:$E,$B181,領用表!$B:$B,$BR$2&amp;BU$2)</f>
        <v/>
      </c>
      <c r="BV181" s="220">
        <f>SUMIFS(領用表!$L:$L,領用表!$E:$E,$B181,領用表!$B:$B,$BR$2&amp;BV$2)</f>
        <v/>
      </c>
      <c r="BW181" s="208">
        <f>SUMIFS(領用表!$L:$L,領用表!$A:$A,BW$2,領用表!$E:$E,B181)</f>
        <v/>
      </c>
      <c r="BX181" s="296">
        <f>SUMIFS(領用表!$L:$L,領用表!$E:$E,$B181,領用表!$B:$B,BW$2&amp;BX$2)</f>
        <v/>
      </c>
      <c r="BY181" s="296">
        <f>SUMIFS(領用表!$L:$L,領用表!$E:$E,$B181,領用表!$B:$B,$BW$2&amp;BY$2)</f>
        <v/>
      </c>
      <c r="BZ181" s="296">
        <f>SUMIFS(領用表!$L:$L,領用表!$E:$E,$B181,領用表!$B:$B,$BW$2&amp;BZ$2)</f>
        <v/>
      </c>
      <c r="CA181" s="296">
        <f>SUMIFS(領用表!$L:$L,領用表!$E:$E,$B181,領用表!$B:$B,$BW$2&amp;CA$2)</f>
        <v/>
      </c>
      <c r="CB181" s="208">
        <f>SUMIFS(領用表!$L:$L,領用表!$A:$A,CB$2,領用表!$E:$E,B181)</f>
        <v/>
      </c>
      <c r="CC181" s="296">
        <f>SUMIFS(領用表!$L:$L,領用表!$E:$E,$B181,領用表!$B:$B,CB$2&amp;CC$2)</f>
        <v/>
      </c>
      <c r="CD181" s="296">
        <f>SUMIFS(領用表!$L:$L,領用表!$E:$E,$B181,領用表!$B:$B,$CB$2&amp;CD$2)</f>
        <v/>
      </c>
      <c r="CE181" s="296">
        <f>SUMIFS(領用表!$L:$L,領用表!$E:$E,$B181,領用表!$B:$B,$CB$2&amp;CE$2)</f>
        <v/>
      </c>
      <c r="CF181" s="296">
        <f>SUMIFS(領用表!$L:$L,領用表!$E:$E,$B181,領用表!$B:$B,$CB$2&amp;CF$2)</f>
        <v/>
      </c>
      <c r="CG181" s="335">
        <f>SUMIFS(領用表!$L:$L,領用表!$A:$A,CG$2,領用表!$E:$E,B181)</f>
        <v/>
      </c>
      <c r="CH181" s="296">
        <f>SUMIFS(領用表!$L:$L,領用表!$E:$E,$B181,領用表!$B:$B,CG$2&amp;CH$2)</f>
        <v/>
      </c>
      <c r="CI181" s="296">
        <f>SUMIFS(領用表!$L:$L,領用表!$E:$E,$B181,領用表!$B:$B,CG$2&amp;CI$2)</f>
        <v/>
      </c>
      <c r="CJ181" s="296">
        <f>SUMIFS(領用表!$L:$L,領用表!$E:$E,$B181,領用表!$B:$B,CG$2&amp;CJ$2)</f>
        <v/>
      </c>
      <c r="CK181" s="296">
        <f>SUMIFS(領用表!$L:$L,領用表!$E:$E,$B181,領用表!$B:$B,$CG$2&amp;CK$2)</f>
        <v/>
      </c>
      <c r="CL181" s="207">
        <f>SUM(AX181,AY181,AZ181,BA181,BB181,BC181,BH181,BM181,BR181,BW181,CB181,CG181)</f>
        <v/>
      </c>
      <c r="CM181" s="207">
        <f>AVERAGE(AX181,AY181,AZ181,BA181,BB181,BC181,BH181,BM181,BR181,BW181,CB181,CG181)</f>
        <v/>
      </c>
      <c r="CN181" s="208">
        <f>SUMIFS(領用表!$L:$L,領用表!$A:$A,CN$2,領用表!$E:$E,B181)</f>
        <v/>
      </c>
      <c r="CO181" s="206">
        <f>SUMIFS(領用表!$L:$L,領用表!$E:$E,$B181,領用表!$B:$B,CN$2&amp;CO$2)</f>
        <v/>
      </c>
      <c r="CP181" s="206">
        <f>SUMIFS(領用表!$L:$L,領用表!$E:$E,$B181,領用表!$B:$B,$CN$2&amp;CP$2)</f>
        <v/>
      </c>
      <c r="CQ181" s="206">
        <f>SUMIFS(領用表!$L:$L,領用表!$E:$E,$B181,領用表!$B:$B,$CN$2&amp;CQ$2)</f>
        <v/>
      </c>
      <c r="CR181" s="296">
        <f>SUMIFS(領用表!$L:$L,領用表!$E:$E,$B181,領用表!$B:$B,$CN$2&amp;CR$2)</f>
        <v/>
      </c>
      <c r="CS181" s="208">
        <f>SUMIFS(領用表!$L:$L,領用表!$A:$A,CS$2,領用表!$E:$E,B181)</f>
        <v/>
      </c>
      <c r="CT181" s="206">
        <f>SUMIFS(領用表!$L:$L,領用表!$E:$E,$B181,領用表!$B:$B,CS$2&amp;CT$2)</f>
        <v/>
      </c>
      <c r="CU181" s="206">
        <f>SUMIFS(領用表!$L:$L,領用表!$E:$E,$B181,領用表!$B:$B,$CS$2&amp;CU$2)</f>
        <v/>
      </c>
      <c r="CV181" s="206">
        <f>SUMIFS(領用表!$L:$L,領用表!$E:$E,$B181,領用表!$B:$B,$CS$2&amp;CV$2)</f>
        <v/>
      </c>
      <c r="CW181" s="206">
        <f>SUMIFS(領用表!$L:$L,領用表!$E:$E,$B181,領用表!$B:$B,$CS$2&amp;CW$2)</f>
        <v/>
      </c>
      <c r="CX181" s="206">
        <f>SUMIFS(領用表!$L:$L,領用表!$E:$E,$B181,領用表!$B:$B,$CS$2&amp;CX$2)</f>
        <v/>
      </c>
      <c r="CY181" s="208">
        <f>SUMIFS(領用表!$L:$L,領用表!$A:$A,CY$2,領用表!$E:$E,B181)</f>
        <v/>
      </c>
      <c r="CZ181" s="296">
        <f>SUMIFS(領用表!$L:$L,領用表!$E:$E,$B181,領用表!$B:$B,CY$2&amp;CZ$2)</f>
        <v/>
      </c>
      <c r="DA181" s="296">
        <f>SUMIFS(領用表!$L:$L,領用表!$E:$E,$B181,領用表!$B:$B,$CY$2&amp;DA$2)</f>
        <v/>
      </c>
      <c r="DB181" s="296">
        <f>SUMIFS(領用表!$L:$L,領用表!$E:$E,$B181,領用表!$B:$B,$CY$2&amp;DB$2)</f>
        <v/>
      </c>
      <c r="DC181" s="296">
        <f>SUMIFS(領用表!$L:$L,領用表!$E:$E,$B181,領用表!$B:$B,$CY$2&amp;DC$2)</f>
        <v/>
      </c>
      <c r="DD181" s="296">
        <f>SUMIFS(領用表!$L:$L,領用表!$E:$E,$B181,領用表!$B:$B,$CY$2&amp;DD$2)</f>
        <v/>
      </c>
      <c r="DE181" s="208">
        <f>SUMIFS(領用表!$L:$L,領用表!$A:$A,DE$2,領用表!$E:$E,B181)</f>
        <v/>
      </c>
      <c r="DF181" s="296">
        <f>SUMIFS(領用表!$L:$L,領用表!$E:$E,$B181,領用表!$B:$B,DE$2&amp;DF$2)</f>
        <v/>
      </c>
      <c r="DG181" s="296">
        <f>SUMIFS(領用表!$L:$L,領用表!$E:$E,$B181,領用表!$B:$B,$DE$2&amp;DG$2)</f>
        <v/>
      </c>
      <c r="DH181" s="296">
        <f>SUMIFS(領用表!$L:$L,領用表!$E:$E,$B181,領用表!$B:$B,$DE$2&amp;DH$2)</f>
        <v/>
      </c>
      <c r="DI181" s="296">
        <f>SUMIFS(領用表!$L:$L,領用表!$E:$E,$B181,領用表!$B:$B,$DE$2&amp;DI$2)</f>
        <v/>
      </c>
      <c r="DJ181" s="296">
        <f>SUMIFS(領用表!$L:$L,領用表!$E:$E,$B181,領用表!$B:$B,$DE$2&amp;DJ$2)</f>
        <v/>
      </c>
      <c r="DK181" s="208">
        <f>SUMIFS(領用表!$L:$L,領用表!$A:$A,DK$2,領用表!$E:$E,$B181)</f>
        <v/>
      </c>
      <c r="DL181" s="296">
        <f>SUMIFS(領用表!$L:$L,領用表!$E:$E,$B181,領用表!$B:$B,DK$2&amp;DL$2)</f>
        <v/>
      </c>
      <c r="DM181" s="296">
        <f>SUMIFS(領用表!$L:$L,領用表!$E:$E,$B181,領用表!$B:$B,$DK$2&amp;DM$2)</f>
        <v/>
      </c>
      <c r="DN181" s="296">
        <f>SUMIFS(領用表!$L:$L,領用表!$E:$E,$B181,領用表!$B:$B,$DK$2&amp;DN$2)</f>
        <v/>
      </c>
      <c r="DO181" s="296">
        <f>SUMIFS(領用表!$L:$L,領用表!$E:$E,$B181,領用表!$B:$B,$DK$2&amp;DO$2)</f>
        <v/>
      </c>
      <c r="DP181" s="296">
        <f>SUMIFS(領用表!$L:$L,領用表!$E:$E,$B181,領用表!$B:$B,$DK$2&amp;DP$2)</f>
        <v/>
      </c>
      <c r="DQ181" s="208" t="n"/>
      <c r="DR181" s="296" t="n"/>
      <c r="DS181" s="296" t="n"/>
      <c r="DT181" s="296" t="n"/>
      <c r="DU181" s="296" t="n"/>
      <c r="DV181" s="296" t="n"/>
      <c r="DW181" s="330">
        <f>SUM(CN181,CS181,CY181,DE181,DK181,DQ181)</f>
        <v/>
      </c>
      <c r="DX181" s="330">
        <f>AVERAGEA(CN181,CS181,CY181,DE181,DK181,DQ181)</f>
        <v/>
      </c>
      <c r="DY181" s="330">
        <f>SUM(DZ181:EC181)</f>
        <v/>
      </c>
      <c r="DZ181" s="330" t="n">
        <v>0</v>
      </c>
      <c r="EA181" s="330" t="n">
        <v>0</v>
      </c>
      <c r="EB181" s="330" t="n">
        <v>0</v>
      </c>
      <c r="EC181" s="330" t="n">
        <v>0</v>
      </c>
      <c r="ED181" s="338" t="n"/>
      <c r="EE181" s="342" t="n"/>
      <c r="EF181" s="340" t="n"/>
      <c r="EG181" s="340" t="n"/>
      <c r="EJ181" s="118">
        <f>IFERROR(VLOOKUP(A181,站前4樓!A:BF,57,0),0)</f>
        <v/>
      </c>
      <c r="EK181" s="213">
        <f>IFERROR(VLOOKUP(A181,站前11樓!A:BE,57,0),0)</f>
        <v/>
      </c>
      <c r="EL181" s="118">
        <f>IFERROR(VLOOKUP(A181,忠孝7樓!A:N,57,0),0)</f>
        <v/>
      </c>
      <c r="EM181" s="118">
        <f>IFERROR(VLOOKUP(A181,忠孝國際醫學3樓!A:L,57,0),0)</f>
        <v/>
      </c>
      <c r="EN181" s="118">
        <f>SUM(ED181:EG181)</f>
        <v/>
      </c>
    </row>
    <row r="182" ht="15.75" customFormat="1" customHeight="1" s="118">
      <c r="A182" s="136" t="inlineStr">
        <is>
          <t>DN1AB090006T</t>
        </is>
      </c>
      <c r="B182" s="118" t="n">
        <v>1080005</v>
      </c>
      <c r="C182" s="136" t="inlineStr">
        <is>
          <t>明眸撫紋水嫩眼膜 10mL(玫瑰金)</t>
        </is>
      </c>
      <c r="D182" s="285" t="n"/>
      <c r="E182" s="198" t="inlineStr">
        <is>
          <t>PCS</t>
        </is>
      </c>
      <c r="F182" s="225">
        <f>SUMIF(站前4樓!B:B,B182,站前4樓!F:F)</f>
        <v/>
      </c>
      <c r="G182" s="225">
        <f>SUMIF(站前11樓!B:B,B182,站前11樓!F:F)</f>
        <v/>
      </c>
      <c r="H182" s="225">
        <f>SUMIF(忠孝7樓!B:B,B182,忠孝7樓!G:G)</f>
        <v/>
      </c>
      <c r="I182" s="225">
        <f>SUMIF(忠孝國際醫學3樓!B:B,B182,忠孝國際醫學3樓!G:G)</f>
        <v/>
      </c>
      <c r="J182" s="225">
        <f>SUMIF(忠孝健康7樓!B:B,B182,忠孝健康7樓!G:G)</f>
        <v/>
      </c>
      <c r="AJ182" s="348" t="n"/>
      <c r="AK182" s="348" t="n"/>
      <c r="AL182" s="348" t="n"/>
      <c r="AM182" s="348" t="n"/>
      <c r="AN182" s="348" t="n"/>
      <c r="AO182" s="348" t="n"/>
      <c r="AP182" s="348" t="n"/>
      <c r="AQ182" s="201" t="n">
        <v>0</v>
      </c>
      <c r="AR182" s="201" t="n">
        <v>800</v>
      </c>
      <c r="AS182" s="201" t="n">
        <v>0</v>
      </c>
      <c r="AT182" s="201" t="n">
        <v>1000</v>
      </c>
      <c r="AU182" s="201" t="n">
        <v>800</v>
      </c>
      <c r="AV182" s="283">
        <f>SUM(AJ182:AU182)</f>
        <v/>
      </c>
      <c r="AW182" s="286">
        <f>AV182/12</f>
        <v/>
      </c>
      <c r="AX182" s="201" t="n">
        <v>1400</v>
      </c>
      <c r="AY182" s="201" t="n">
        <v>2700</v>
      </c>
      <c r="AZ182" s="201" t="n">
        <v>1200</v>
      </c>
      <c r="BA182" s="201" t="n">
        <v>1200</v>
      </c>
      <c r="BB182" s="201" t="n">
        <v>0</v>
      </c>
      <c r="BC182" s="203">
        <f>SUMIFS(領用表!$L:$L,領用表!$A:$A,BC$2,領用表!$E:$E,B182)</f>
        <v/>
      </c>
      <c r="BD182" s="296">
        <f>SUMIFS(領用表!$L:$L,領用表!$E:$E,$B182,領用表!$B:$B,BC$2&amp;BD$2)</f>
        <v/>
      </c>
      <c r="BE182" s="330">
        <f>SUMIFS(領用表!$L:$L,領用表!$E:$E,$B182,領用表!$B:$B,$BC$2&amp;BE$2)</f>
        <v/>
      </c>
      <c r="BF182" s="330">
        <f>SUMIFS(領用表!$L:$L,領用表!$E:$E,$B182,領用表!$B:$B,$BC$2&amp;BF$2)</f>
        <v/>
      </c>
      <c r="BG182" s="330">
        <f>SUMIFS(領用表!$L:$L,領用表!$E:$E,$B182,領用表!$B:$B,$BC$2&amp;BG$2)</f>
        <v/>
      </c>
      <c r="BH182" s="203">
        <f>SUMIFS(領用表!$L:$L,領用表!$A:$A,BH$2,領用表!$E:$E,B182)</f>
        <v/>
      </c>
      <c r="BI182" s="260">
        <f>SUMIFS(領用表!$L:$L,領用表!$E:$E,$B182,領用表!$B:$B,BH$2&amp;BI$2)</f>
        <v/>
      </c>
      <c r="BJ182" s="260">
        <f>SUMIFS(領用表!$L:$L,領用表!$E:$E,$B182,領用表!$B:$B,$BH$2&amp;BJ$2)</f>
        <v/>
      </c>
      <c r="BK182" s="260">
        <f>SUMIFS(領用表!$L:$L,領用表!$E:$E,$B182,領用表!$B:$B,$BH$2&amp;BK$2)</f>
        <v/>
      </c>
      <c r="BL182" s="260">
        <f>SUMIFS(領用表!$L:$L,領用表!$E:$E,$B182,領用表!$B:$B,$BH$2&amp;BL$2)</f>
        <v/>
      </c>
      <c r="BM182" s="203">
        <f>SUMIFS(領用表!$L:$L,領用表!$A:$A,BM$2,領用表!$E:$E,B182)</f>
        <v/>
      </c>
      <c r="BN182" s="331">
        <f>SUMIFS(領用表!$L:$L,領用表!$E:$E,$B182,領用表!$B:$B,BM$2&amp;BN$2)</f>
        <v/>
      </c>
      <c r="BO182" s="331">
        <f>SUMIFS(領用表!$L:$L,領用表!$E:$E,$B182,領用表!$B:$B,$BM$2&amp;BO$2)</f>
        <v/>
      </c>
      <c r="BP182" s="288">
        <f>SUMIFS(領用表!$L:$L,領用表!$E:$E,$B182,領用表!$B:$B,$BM$2&amp;BP$2)</f>
        <v/>
      </c>
      <c r="BQ182" s="287">
        <f>SUMIFS(領用表!$L:$L,領用表!$E:$E,$B182,領用表!$B:$B,$BM$2&amp;BQ$2)</f>
        <v/>
      </c>
      <c r="BR182" s="203">
        <f>SUMIFS(領用表!$L:$L,領用表!$A:$A,BR$2,領用表!$E:$E,B182)</f>
        <v/>
      </c>
      <c r="BS182" s="260">
        <f>SUMIFS(領用表!$L:$L,領用表!$E:$E,$B182,領用表!$B:$B,BR$2&amp;BS$2)</f>
        <v/>
      </c>
      <c r="BT182" s="260">
        <f>SUMIFS(領用表!$L:$L,領用表!$E:$E,$B182,領用表!$B:$B,$BR$2&amp;BT$2)</f>
        <v/>
      </c>
      <c r="BU182" s="260">
        <f>SUMIFS(領用表!$L:$L,領用表!$E:$E,$B182,領用表!$B:$B,$BR$2&amp;BU$2)</f>
        <v/>
      </c>
      <c r="BV182" s="220">
        <f>SUMIFS(領用表!$L:$L,領用表!$E:$E,$B182,領用表!$B:$B,$BR$2&amp;BV$2)</f>
        <v/>
      </c>
      <c r="BW182" s="208">
        <f>SUMIFS(領用表!$L:$L,領用表!$A:$A,BW$2,領用表!$E:$E,B182)</f>
        <v/>
      </c>
      <c r="BX182" s="331">
        <f>SUMIFS(領用表!$L:$L,領用表!$E:$E,$B182,領用表!$B:$B,BW$2&amp;BX$2)</f>
        <v/>
      </c>
      <c r="BY182" s="331">
        <f>SUMIFS(領用表!$L:$L,領用表!$E:$E,$B182,領用表!$B:$B,$BW$2&amp;BY$2)</f>
        <v/>
      </c>
      <c r="BZ182" s="331">
        <f>SUMIFS(領用表!$L:$L,領用表!$E:$E,$B182,領用表!$B:$B,$BW$2&amp;BZ$2)</f>
        <v/>
      </c>
      <c r="CA182" s="331">
        <f>SUMIFS(領用表!$L:$L,領用表!$E:$E,$B182,領用表!$B:$B,$BW$2&amp;CA$2)</f>
        <v/>
      </c>
      <c r="CB182" s="208">
        <f>SUMIFS(領用表!$L:$L,領用表!$A:$A,CB$2,領用表!$E:$E,B182)</f>
        <v/>
      </c>
      <c r="CC182" s="331">
        <f>SUMIFS(領用表!$L:$L,領用表!$E:$E,$B182,領用表!$B:$B,CB$2&amp;CC$2)</f>
        <v/>
      </c>
      <c r="CD182" s="331">
        <f>SUMIFS(領用表!$L:$L,領用表!$E:$E,$B182,領用表!$B:$B,$CB$2&amp;CD$2)</f>
        <v/>
      </c>
      <c r="CE182" s="331">
        <f>SUMIFS(領用表!$L:$L,領用表!$E:$E,$B182,領用表!$B:$B,$CB$2&amp;CE$2)</f>
        <v/>
      </c>
      <c r="CF182" s="331">
        <f>SUMIFS(領用表!$L:$L,領用表!$E:$E,$B182,領用表!$B:$B,$CB$2&amp;CF$2)</f>
        <v/>
      </c>
      <c r="CG182" s="332">
        <f>SUMIFS(領用表!$L:$L,領用表!$A:$A,CG$2,領用表!$E:$E,B182)</f>
        <v/>
      </c>
      <c r="CH182" s="296">
        <f>SUMIFS(領用表!$L:$L,領用表!$E:$E,$B182,領用表!$B:$B,CG$2&amp;CH$2)</f>
        <v/>
      </c>
      <c r="CI182" s="296">
        <f>SUMIFS(領用表!$L:$L,領用表!$E:$E,$B182,領用表!$B:$B,CG$2&amp;CI$2)</f>
        <v/>
      </c>
      <c r="CJ182" s="296">
        <f>SUMIFS(領用表!$L:$L,領用表!$E:$E,$B182,領用表!$B:$B,CG$2&amp;CJ$2)</f>
        <v/>
      </c>
      <c r="CK182" s="296">
        <f>SUMIFS(領用表!$L:$L,領用表!$E:$E,$B182,領用表!$B:$B,$CG$2&amp;CK$2)</f>
        <v/>
      </c>
      <c r="CL182" s="207">
        <f>SUM(AX182,AY182,AZ182,BA182,BB182,BC182,BH182,BM182,BR182,BW182,CB182,CG182)</f>
        <v/>
      </c>
      <c r="CM182" s="207">
        <f>AVERAGE(AX182,AY182,AZ182,BA182,BB182,BC182,BH182,BM182,BR182,BW182,CB182,CG182)</f>
        <v/>
      </c>
      <c r="CN182" s="208">
        <f>SUMIFS(領用表!$L:$L,領用表!$A:$A,CN$2,領用表!$E:$E,B182)</f>
        <v/>
      </c>
      <c r="CO182" s="206">
        <f>SUMIFS(領用表!$L:$L,領用表!$E:$E,$B182,領用表!$B:$B,CN$2&amp;CO$2)</f>
        <v/>
      </c>
      <c r="CP182" s="206">
        <f>SUMIFS(領用表!$L:$L,領用表!$E:$E,$B182,領用表!$B:$B,$CN$2&amp;CP$2)</f>
        <v/>
      </c>
      <c r="CQ182" s="206">
        <f>SUMIFS(領用表!$L:$L,領用表!$E:$E,$B182,領用表!$B:$B,$CN$2&amp;CQ$2)</f>
        <v/>
      </c>
      <c r="CR182" s="296">
        <f>SUMIFS(領用表!$L:$L,領用表!$E:$E,$B182,領用表!$B:$B,$CN$2&amp;CR$2)</f>
        <v/>
      </c>
      <c r="CS182" s="208">
        <f>SUMIFS(領用表!$L:$L,領用表!$A:$A,CS$2,領用表!$E:$E,B182)</f>
        <v/>
      </c>
      <c r="CT182" s="206">
        <f>SUMIFS(領用表!$L:$L,領用表!$E:$E,$B182,領用表!$B:$B,CS$2&amp;CT$2)</f>
        <v/>
      </c>
      <c r="CU182" s="206">
        <f>SUMIFS(領用表!$L:$L,領用表!$E:$E,$B182,領用表!$B:$B,$CS$2&amp;CU$2)</f>
        <v/>
      </c>
      <c r="CV182" s="206">
        <f>SUMIFS(領用表!$L:$L,領用表!$E:$E,$B182,領用表!$B:$B,$CS$2&amp;CV$2)</f>
        <v/>
      </c>
      <c r="CW182" s="206">
        <f>SUMIFS(領用表!$L:$L,領用表!$E:$E,$B182,領用表!$B:$B,$CS$2&amp;CW$2)</f>
        <v/>
      </c>
      <c r="CX182" s="206">
        <f>SUMIFS(領用表!$L:$L,領用表!$E:$E,$B182,領用表!$B:$B,$CS$2&amp;CX$2)</f>
        <v/>
      </c>
      <c r="CY182" s="208">
        <f>SUMIFS(領用表!$L:$L,領用表!$A:$A,CY$2,領用表!$E:$E,B182)</f>
        <v/>
      </c>
      <c r="CZ182" s="296">
        <f>SUMIFS(領用表!$L:$L,領用表!$E:$E,$B182,領用表!$B:$B,CY$2&amp;CZ$2)</f>
        <v/>
      </c>
      <c r="DA182" s="296">
        <f>SUMIFS(領用表!$L:$L,領用表!$E:$E,$B182,領用表!$B:$B,$CY$2&amp;DA$2)</f>
        <v/>
      </c>
      <c r="DB182" s="296">
        <f>SUMIFS(領用表!$L:$L,領用表!$E:$E,$B182,領用表!$B:$B,$CY$2&amp;DB$2)</f>
        <v/>
      </c>
      <c r="DC182" s="296">
        <f>SUMIFS(領用表!$L:$L,領用表!$E:$E,$B182,領用表!$B:$B,$CY$2&amp;DC$2)</f>
        <v/>
      </c>
      <c r="DD182" s="296">
        <f>SUMIFS(領用表!$L:$L,領用表!$E:$E,$B182,領用表!$B:$B,$CY$2&amp;DD$2)</f>
        <v/>
      </c>
      <c r="DE182" s="208">
        <f>SUMIFS(領用表!$L:$L,領用表!$A:$A,DE$2,領用表!$E:$E,B182)</f>
        <v/>
      </c>
      <c r="DF182" s="296">
        <f>SUMIFS(領用表!$L:$L,領用表!$E:$E,$B182,領用表!$B:$B,DE$2&amp;DF$2)</f>
        <v/>
      </c>
      <c r="DG182" s="296">
        <f>SUMIFS(領用表!$L:$L,領用表!$E:$E,$B182,領用表!$B:$B,$DE$2&amp;DG$2)</f>
        <v/>
      </c>
      <c r="DH182" s="296">
        <f>SUMIFS(領用表!$L:$L,領用表!$E:$E,$B182,領用表!$B:$B,$DE$2&amp;DH$2)</f>
        <v/>
      </c>
      <c r="DI182" s="296">
        <f>SUMIFS(領用表!$L:$L,領用表!$E:$E,$B182,領用表!$B:$B,$DE$2&amp;DI$2)</f>
        <v/>
      </c>
      <c r="DJ182" s="296">
        <f>SUMIFS(領用表!$L:$L,領用表!$E:$E,$B182,領用表!$B:$B,$DE$2&amp;DJ$2)</f>
        <v/>
      </c>
      <c r="DK182" s="208">
        <f>SUMIFS(領用表!$L:$L,領用表!$A:$A,DK$2,領用表!$E:$E,$B182)</f>
        <v/>
      </c>
      <c r="DL182" s="296">
        <f>SUMIFS(領用表!$L:$L,領用表!$E:$E,$B182,領用表!$B:$B,DK$2&amp;DL$2)</f>
        <v/>
      </c>
      <c r="DM182" s="296">
        <f>SUMIFS(領用表!$L:$L,領用表!$E:$E,$B182,領用表!$B:$B,$DK$2&amp;DM$2)</f>
        <v/>
      </c>
      <c r="DN182" s="296">
        <f>SUMIFS(領用表!$L:$L,領用表!$E:$E,$B182,領用表!$B:$B,$DK$2&amp;DN$2)</f>
        <v/>
      </c>
      <c r="DO182" s="296">
        <f>SUMIFS(領用表!$L:$L,領用表!$E:$E,$B182,領用表!$B:$B,$DK$2&amp;DO$2)</f>
        <v/>
      </c>
      <c r="DP182" s="296">
        <f>SUMIFS(領用表!$L:$L,領用表!$E:$E,$B182,領用表!$B:$B,$DK$2&amp;DP$2)</f>
        <v/>
      </c>
      <c r="DQ182" s="208" t="n"/>
      <c r="DR182" s="296" t="n"/>
      <c r="DS182" s="296" t="n"/>
      <c r="DT182" s="296" t="n"/>
      <c r="DU182" s="296" t="n"/>
      <c r="DV182" s="296" t="n"/>
      <c r="DW182" s="296">
        <f>SUM(CN182,CS182,CY182,DE182,DK182,DQ182)</f>
        <v/>
      </c>
      <c r="DX182" s="296">
        <f>AVERAGEA(CN182,CS182,CY182,DE182,DK182,DQ182)</f>
        <v/>
      </c>
      <c r="DY182" s="296">
        <f>SUM(DZ182:EC182)</f>
        <v/>
      </c>
      <c r="DZ182" s="296" t="n">
        <v>0</v>
      </c>
      <c r="EA182" s="296" t="n">
        <v>0</v>
      </c>
      <c r="EB182" s="296" t="n">
        <v>0</v>
      </c>
      <c r="EC182" s="296" t="n">
        <v>0</v>
      </c>
      <c r="ED182" s="258" t="n"/>
      <c r="EE182" s="340" t="n"/>
      <c r="EF182" s="340" t="n"/>
      <c r="EG182" s="340" t="n"/>
      <c r="EJ182" s="118">
        <f>IFERROR(VLOOKUP(A182,站前4樓!A:BF,57,0),0)</f>
        <v/>
      </c>
      <c r="EK182" s="213">
        <f>IFERROR(VLOOKUP(A182,站前11樓!A:BE,57,0),0)</f>
        <v/>
      </c>
      <c r="EL182" s="118">
        <f>IFERROR(VLOOKUP(A182,忠孝7樓!A:N,57,0),0)</f>
        <v/>
      </c>
      <c r="EM182" s="118">
        <f>IFERROR(VLOOKUP(A182,忠孝國際醫學3樓!A:L,57,0),0)</f>
        <v/>
      </c>
      <c r="EN182" s="118">
        <f>SUM(ED182:EG182)</f>
        <v/>
      </c>
    </row>
    <row r="183" ht="15.75" customFormat="1" customHeight="1" s="118">
      <c r="A183" s="136" t="inlineStr">
        <is>
          <t>DE1AB090013T</t>
        </is>
      </c>
      <c r="B183" s="118" t="n">
        <v>1080008</v>
      </c>
      <c r="C183" s="136" t="inlineStr">
        <is>
          <t>藍金活酵能量舒壓眼膜 8mL(白)</t>
        </is>
      </c>
      <c r="D183" s="285" t="n"/>
      <c r="E183" s="198" t="inlineStr">
        <is>
          <t>PCS</t>
        </is>
      </c>
      <c r="F183" s="225">
        <f>SUMIF(站前4樓!B:B,B183,站前4樓!F:F)</f>
        <v/>
      </c>
      <c r="G183" s="225">
        <f>SUMIF(站前11樓!B:B,B183,站前11樓!F:F)</f>
        <v/>
      </c>
      <c r="H183" s="225">
        <f>SUMIF(忠孝7樓!B:B,B183,忠孝7樓!G:G)</f>
        <v/>
      </c>
      <c r="I183" s="225">
        <f>SUMIF(忠孝國際醫學3樓!B:B,B183,忠孝國際醫學3樓!G:G)</f>
        <v/>
      </c>
      <c r="J183" s="225">
        <f>SUMIF(忠孝健康7樓!B:B,B183,忠孝健康7樓!G:G)</f>
        <v/>
      </c>
      <c r="AU183" s="201" t="n"/>
      <c r="AV183" s="347" t="n"/>
      <c r="AW183" s="347" t="n"/>
      <c r="AX183" s="201" t="n"/>
      <c r="AY183" s="201" t="n"/>
      <c r="AZ183" s="201" t="n"/>
      <c r="BA183" s="201" t="n"/>
      <c r="BB183" s="201" t="n"/>
      <c r="BC183" s="203">
        <f>SUMIFS(領用表!$L:$L,領用表!$A:$A,BC$2,領用表!$E:$E,B183)</f>
        <v/>
      </c>
      <c r="BD183" s="296">
        <f>SUMIFS(領用表!$L:$L,領用表!$E:$E,$B183,領用表!$B:$B,BC$2&amp;BD$2)</f>
        <v/>
      </c>
      <c r="BE183" s="296">
        <f>SUMIFS(領用表!$L:$L,領用表!$E:$E,$B183,領用表!$B:$B,$BC$2&amp;BE$2)</f>
        <v/>
      </c>
      <c r="BF183" s="296">
        <f>SUMIFS(領用表!$L:$L,領用表!$E:$E,$B183,領用表!$B:$B,$BC$2&amp;BF$2)</f>
        <v/>
      </c>
      <c r="BG183" s="296">
        <f>SUMIFS(領用表!$L:$L,領用表!$E:$E,$B183,領用表!$B:$B,$BC$2&amp;BG$2)</f>
        <v/>
      </c>
      <c r="BH183" s="203">
        <f>SUMIFS(領用表!$L:$L,領用表!$A:$A,BH$2,領用表!$E:$E,B183)</f>
        <v/>
      </c>
      <c r="BI183" s="260">
        <f>SUMIFS(領用表!$L:$L,領用表!$E:$E,$B183,領用表!$B:$B,BH$2&amp;BI$2)</f>
        <v/>
      </c>
      <c r="BJ183" s="260">
        <f>SUMIFS(領用表!$L:$L,領用表!$E:$E,$B183,領用表!$B:$B,$BH$2&amp;BJ$2)</f>
        <v/>
      </c>
      <c r="BK183" s="260">
        <f>SUMIFS(領用表!$L:$L,領用表!$E:$E,$B183,領用表!$B:$B,$BH$2&amp;BK$2)</f>
        <v/>
      </c>
      <c r="BL183" s="260">
        <f>SUMIFS(領用表!$L:$L,領用表!$E:$E,$B183,領用表!$B:$B,$BH$2&amp;BL$2)</f>
        <v/>
      </c>
      <c r="BM183" s="203">
        <f>SUMIFS(領用表!$L:$L,領用表!$A:$A,BM$2,領用表!$E:$E,B183)</f>
        <v/>
      </c>
      <c r="BN183" s="206">
        <f>SUMIFS(領用表!$L:$L,領用表!$E:$E,$B183,領用表!$B:$B,BM$2&amp;BN$2)</f>
        <v/>
      </c>
      <c r="BO183" s="206">
        <f>SUMIFS(領用表!$L:$L,領用表!$E:$E,$B183,領用表!$B:$B,$BM$2&amp;BO$2)</f>
        <v/>
      </c>
      <c r="BP183" s="288">
        <f>SUMIFS(領用表!$L:$L,領用表!$E:$E,$B183,領用表!$B:$B,$BM$2&amp;BP$2)</f>
        <v/>
      </c>
      <c r="BQ183" s="287">
        <f>SUMIFS(領用表!$L:$L,領用表!$E:$E,$B183,領用表!$B:$B,$BM$2&amp;BQ$2)</f>
        <v/>
      </c>
      <c r="BR183" s="203">
        <f>SUMIFS(領用表!$L:$L,領用表!$A:$A,BR$2,領用表!$E:$E,B183)</f>
        <v/>
      </c>
      <c r="BS183" s="260">
        <f>SUMIFS(領用表!$L:$L,領用表!$E:$E,$B183,領用表!$B:$B,BR$2&amp;BS$2)</f>
        <v/>
      </c>
      <c r="BT183" s="260">
        <f>SUMIFS(領用表!$L:$L,領用表!$E:$E,$B183,領用表!$B:$B,$BR$2&amp;BT$2)</f>
        <v/>
      </c>
      <c r="BU183" s="260">
        <f>SUMIFS(領用表!$L:$L,領用表!$E:$E,$B183,領用表!$B:$B,$BR$2&amp;BU$2)</f>
        <v/>
      </c>
      <c r="BV183" s="220">
        <f>SUMIFS(領用表!$L:$L,領用表!$E:$E,$B183,領用表!$B:$B,$BR$2&amp;BV$2)</f>
        <v/>
      </c>
      <c r="BW183" s="208">
        <f>SUMIFS(領用表!$L:$L,領用表!$A:$A,BW$2,領用表!$E:$E,B183)</f>
        <v/>
      </c>
      <c r="BX183" s="296">
        <f>SUMIFS(領用表!$L:$L,領用表!$E:$E,$B183,領用表!$B:$B,BW$2&amp;BX$2)</f>
        <v/>
      </c>
      <c r="BY183" s="296">
        <f>SUMIFS(領用表!$L:$L,領用表!$E:$E,$B183,領用表!$B:$B,$BW$2&amp;BY$2)</f>
        <v/>
      </c>
      <c r="BZ183" s="296">
        <f>SUMIFS(領用表!$L:$L,領用表!$E:$E,$B183,領用表!$B:$B,$BW$2&amp;BZ$2)</f>
        <v/>
      </c>
      <c r="CA183" s="296">
        <f>SUMIFS(領用表!$L:$L,領用表!$E:$E,$B183,領用表!$B:$B,$BW$2&amp;CA$2)</f>
        <v/>
      </c>
      <c r="CB183" s="208">
        <f>SUMIFS(領用表!$L:$L,領用表!$A:$A,CB$2,領用表!$E:$E,B183)</f>
        <v/>
      </c>
      <c r="CC183" s="296">
        <f>SUMIFS(領用表!$L:$L,領用表!$E:$E,$B183,領用表!$B:$B,CB$2&amp;CC$2)</f>
        <v/>
      </c>
      <c r="CD183" s="296">
        <f>SUMIFS(領用表!$L:$L,領用表!$E:$E,$B183,領用表!$B:$B,$CB$2&amp;CD$2)</f>
        <v/>
      </c>
      <c r="CE183" s="296">
        <f>SUMIFS(領用表!$L:$L,領用表!$E:$E,$B183,領用表!$B:$B,$CB$2&amp;CE$2)</f>
        <v/>
      </c>
      <c r="CF183" s="296">
        <f>SUMIFS(領用表!$L:$L,領用表!$E:$E,$B183,領用表!$B:$B,$CB$2&amp;CF$2)</f>
        <v/>
      </c>
      <c r="CG183" s="335">
        <f>SUMIFS(領用表!$L:$L,領用表!$A:$A,CG$2,領用表!$E:$E,B183)</f>
        <v/>
      </c>
      <c r="CH183" s="296">
        <f>SUMIFS(領用表!$L:$L,領用表!$E:$E,$B183,領用表!$B:$B,CG$2&amp;CH$2)</f>
        <v/>
      </c>
      <c r="CI183" s="296">
        <f>SUMIFS(領用表!$L:$L,領用表!$E:$E,$B183,領用表!$B:$B,CG$2&amp;CI$2)</f>
        <v/>
      </c>
      <c r="CJ183" s="296">
        <f>SUMIFS(領用表!$L:$L,領用表!$E:$E,$B183,領用表!$B:$B,CG$2&amp;CJ$2)</f>
        <v/>
      </c>
      <c r="CK183" s="296">
        <f>SUMIFS(領用表!$L:$L,領用表!$E:$E,$B183,領用表!$B:$B,$CG$2&amp;CK$2)</f>
        <v/>
      </c>
      <c r="CL183" s="207">
        <f>SUM(AX183,AY183,AZ183,BA183,BB183,BC183,BH183,BM183,BR183,BW183,CB183,CG183)</f>
        <v/>
      </c>
      <c r="CM183" s="207">
        <f>AVERAGE(AX183,AY183,AZ183,BA183,BB183,BC183,BH183,BM183,BR183,BW183,CB183,CG183)</f>
        <v/>
      </c>
      <c r="CN183" s="208">
        <f>SUMIFS(領用表!$L:$L,領用表!$A:$A,CN$2,領用表!$E:$E,B183)</f>
        <v/>
      </c>
      <c r="CO183" s="206">
        <f>SUMIFS(領用表!$L:$L,領用表!$E:$E,$B183,領用表!$B:$B,CN$2&amp;CO$2)</f>
        <v/>
      </c>
      <c r="CP183" s="206">
        <f>SUMIFS(領用表!$L:$L,領用表!$E:$E,$B183,領用表!$B:$B,$CN$2&amp;CP$2)</f>
        <v/>
      </c>
      <c r="CQ183" s="206">
        <f>SUMIFS(領用表!$L:$L,領用表!$E:$E,$B183,領用表!$B:$B,$CN$2&amp;CQ$2)</f>
        <v/>
      </c>
      <c r="CR183" s="296">
        <f>SUMIFS(領用表!$L:$L,領用表!$E:$E,$B183,領用表!$B:$B,$CN$2&amp;CR$2)</f>
        <v/>
      </c>
      <c r="CS183" s="208">
        <f>SUMIFS(領用表!$L:$L,領用表!$A:$A,CS$2,領用表!$E:$E,B183)</f>
        <v/>
      </c>
      <c r="CT183" s="206">
        <f>SUMIFS(領用表!$L:$L,領用表!$E:$E,$B183,領用表!$B:$B,CS$2&amp;CT$2)</f>
        <v/>
      </c>
      <c r="CU183" s="206">
        <f>SUMIFS(領用表!$L:$L,領用表!$E:$E,$B183,領用表!$B:$B,$CS$2&amp;CU$2)</f>
        <v/>
      </c>
      <c r="CV183" s="206">
        <f>SUMIFS(領用表!$L:$L,領用表!$E:$E,$B183,領用表!$B:$B,$CS$2&amp;CV$2)</f>
        <v/>
      </c>
      <c r="CW183" s="206">
        <f>SUMIFS(領用表!$L:$L,領用表!$E:$E,$B183,領用表!$B:$B,$CS$2&amp;CW$2)</f>
        <v/>
      </c>
      <c r="CX183" s="206">
        <f>SUMIFS(領用表!$L:$L,領用表!$E:$E,$B183,領用表!$B:$B,$CS$2&amp;CX$2)</f>
        <v/>
      </c>
      <c r="CY183" s="208">
        <f>SUMIFS(領用表!$L:$L,領用表!$A:$A,CY$2,領用表!$E:$E,B183)</f>
        <v/>
      </c>
      <c r="CZ183" s="296">
        <f>SUMIFS(領用表!$L:$L,領用表!$E:$E,$B183,領用表!$B:$B,CY$2&amp;CZ$2)</f>
        <v/>
      </c>
      <c r="DA183" s="296">
        <f>SUMIFS(領用表!$L:$L,領用表!$E:$E,$B183,領用表!$B:$B,$CY$2&amp;DA$2)</f>
        <v/>
      </c>
      <c r="DB183" s="296">
        <f>SUMIFS(領用表!$L:$L,領用表!$E:$E,$B183,領用表!$B:$B,$CY$2&amp;DB$2)</f>
        <v/>
      </c>
      <c r="DC183" s="296">
        <f>SUMIFS(領用表!$L:$L,領用表!$E:$E,$B183,領用表!$B:$B,$CY$2&amp;DC$2)</f>
        <v/>
      </c>
      <c r="DD183" s="296">
        <f>SUMIFS(領用表!$L:$L,領用表!$E:$E,$B183,領用表!$B:$B,$CY$2&amp;DD$2)</f>
        <v/>
      </c>
      <c r="DE183" s="208">
        <f>SUMIFS(領用表!$L:$L,領用表!$A:$A,DE$2,領用表!$E:$E,B183)</f>
        <v/>
      </c>
      <c r="DF183" s="296">
        <f>SUMIFS(領用表!$L:$L,領用表!$E:$E,$B183,領用表!$B:$B,DE$2&amp;DF$2)</f>
        <v/>
      </c>
      <c r="DG183" s="296">
        <f>SUMIFS(領用表!$L:$L,領用表!$E:$E,$B183,領用表!$B:$B,$DE$2&amp;DG$2)</f>
        <v/>
      </c>
      <c r="DH183" s="296">
        <f>SUMIFS(領用表!$L:$L,領用表!$E:$E,$B183,領用表!$B:$B,$DE$2&amp;DH$2)</f>
        <v/>
      </c>
      <c r="DI183" s="296">
        <f>SUMIFS(領用表!$L:$L,領用表!$E:$E,$B183,領用表!$B:$B,$DE$2&amp;DI$2)</f>
        <v/>
      </c>
      <c r="DJ183" s="296">
        <f>SUMIFS(領用表!$L:$L,領用表!$E:$E,$B183,領用表!$B:$B,$DE$2&amp;DJ$2)</f>
        <v/>
      </c>
      <c r="DK183" s="208">
        <f>SUMIFS(領用表!$L:$L,領用表!$A:$A,DK$2,領用表!$E:$E,$B183)</f>
        <v/>
      </c>
      <c r="DL183" s="296">
        <f>SUMIFS(領用表!$L:$L,領用表!$E:$E,$B183,領用表!$B:$B,DK$2&amp;DL$2)</f>
        <v/>
      </c>
      <c r="DM183" s="296">
        <f>SUMIFS(領用表!$L:$L,領用表!$E:$E,$B183,領用表!$B:$B,$DK$2&amp;DM$2)</f>
        <v/>
      </c>
      <c r="DN183" s="296">
        <f>SUMIFS(領用表!$L:$L,領用表!$E:$E,$B183,領用表!$B:$B,$DK$2&amp;DN$2)</f>
        <v/>
      </c>
      <c r="DO183" s="296">
        <f>SUMIFS(領用表!$L:$L,領用表!$E:$E,$B183,領用表!$B:$B,$DK$2&amp;DO$2)</f>
        <v/>
      </c>
      <c r="DP183" s="296">
        <f>SUMIFS(領用表!$L:$L,領用表!$E:$E,$B183,領用表!$B:$B,$DK$2&amp;DP$2)</f>
        <v/>
      </c>
      <c r="DQ183" s="208" t="n"/>
      <c r="DR183" s="296" t="n"/>
      <c r="DS183" s="296" t="n"/>
      <c r="DT183" s="296" t="n"/>
      <c r="DU183" s="296" t="n"/>
      <c r="DV183" s="296" t="n"/>
      <c r="DW183" s="330">
        <f>SUM(CN183,CS183,CY183,DE183,DK183,DQ183)</f>
        <v/>
      </c>
      <c r="DX183" s="330">
        <f>AVERAGEA(CN183,CS183,CY183,DE183,DK183,DQ183)</f>
        <v/>
      </c>
      <c r="DY183" s="330">
        <f>SUM(DZ183:EC183)</f>
        <v/>
      </c>
      <c r="DZ183" s="330" t="n">
        <v>0</v>
      </c>
      <c r="EA183" s="330" t="n">
        <v>0</v>
      </c>
      <c r="EB183" s="330" t="n">
        <v>0</v>
      </c>
      <c r="EC183" s="330" t="n">
        <v>0</v>
      </c>
      <c r="ED183" s="338" t="n"/>
      <c r="EE183" s="342" t="n"/>
      <c r="EF183" s="340" t="n"/>
      <c r="EG183" s="340" t="n"/>
      <c r="EJ183" s="118">
        <f>IFERROR(VLOOKUP(A183,站前4樓!A:BF,57,0),0)</f>
        <v/>
      </c>
      <c r="EK183" s="213">
        <f>IFERROR(VLOOKUP(A183,站前11樓!A:BE,57,0),0)</f>
        <v/>
      </c>
      <c r="EL183" s="118">
        <f>IFERROR(VLOOKUP(A183,忠孝7樓!A:N,57,0),0)</f>
        <v/>
      </c>
      <c r="EM183" s="118">
        <f>IFERROR(VLOOKUP(A183,忠孝國際醫學3樓!A:L,57,0),0)</f>
        <v/>
      </c>
      <c r="EN183" s="118">
        <f>SUM(ED183:EG183)</f>
        <v/>
      </c>
    </row>
    <row r="184" ht="15.75" customFormat="1" customHeight="1" s="118">
      <c r="A184" s="136" t="inlineStr">
        <is>
          <t>FE1AA200004T</t>
        </is>
      </c>
      <c r="B184" s="118" t="n">
        <v>6230003</v>
      </c>
      <c r="C184" s="136" t="inlineStr">
        <is>
          <t>試用包-光燦輕感防曬隔離乳 2mL(尖嘴單劑包)</t>
        </is>
      </c>
      <c r="D184" s="285" t="n"/>
      <c r="E184" s="198" t="inlineStr">
        <is>
          <t>PCS</t>
        </is>
      </c>
      <c r="F184" s="225">
        <f>SUMIF(站前4樓!B:B,B184,站前4樓!F:F)</f>
        <v/>
      </c>
      <c r="G184" s="225">
        <f>SUMIF(站前11樓!B:B,B184,站前11樓!F:F)</f>
        <v/>
      </c>
      <c r="H184" s="225">
        <f>SUMIF(忠孝7樓!B:B,B184,忠孝7樓!G:G)</f>
        <v/>
      </c>
      <c r="I184" s="225">
        <f>SUMIF(忠孝國際醫學3樓!B:B,B184,忠孝國際醫學3樓!G:G)</f>
        <v/>
      </c>
      <c r="J184" s="225">
        <f>SUMIF(忠孝健康7樓!B:B,B184,忠孝健康7樓!G:G)</f>
        <v/>
      </c>
      <c r="AU184" s="201" t="n"/>
      <c r="AV184" s="347" t="n"/>
      <c r="AW184" s="347" t="n"/>
      <c r="AX184" s="201" t="n"/>
      <c r="AY184" s="201" t="n"/>
      <c r="AZ184" s="201" t="n"/>
      <c r="BA184" s="201" t="n"/>
      <c r="BB184" s="201" t="n"/>
      <c r="BC184" s="203">
        <f>SUMIFS(領用表!$L:$L,領用表!$A:$A,BC$2,領用表!$E:$E,B184)</f>
        <v/>
      </c>
      <c r="BD184" s="296">
        <f>SUMIFS(領用表!$L:$L,領用表!$E:$E,$B184,領用表!$B:$B,BC$2&amp;BD$2)</f>
        <v/>
      </c>
      <c r="BE184" s="296">
        <f>SUMIFS(領用表!$L:$L,領用表!$E:$E,$B184,領用表!$B:$B,$BC$2&amp;BE$2)</f>
        <v/>
      </c>
      <c r="BF184" s="296">
        <f>SUMIFS(領用表!$L:$L,領用表!$E:$E,$B184,領用表!$B:$B,$BC$2&amp;BF$2)</f>
        <v/>
      </c>
      <c r="BG184" s="296">
        <f>SUMIFS(領用表!$L:$L,領用表!$E:$E,$B184,領用表!$B:$B,$BC$2&amp;BG$2)</f>
        <v/>
      </c>
      <c r="BH184" s="203">
        <f>SUMIFS(領用表!$L:$L,領用表!$A:$A,BH$2,領用表!$E:$E,B184)</f>
        <v/>
      </c>
      <c r="BI184" s="260">
        <f>SUMIFS(領用表!$L:$L,領用表!$E:$E,$B184,領用表!$B:$B,BH$2&amp;BI$2)</f>
        <v/>
      </c>
      <c r="BJ184" s="260">
        <f>SUMIFS(領用表!$L:$L,領用表!$E:$E,$B184,領用表!$B:$B,$BH$2&amp;BJ$2)</f>
        <v/>
      </c>
      <c r="BK184" s="260">
        <f>SUMIFS(領用表!$L:$L,領用表!$E:$E,$B184,領用表!$B:$B,$BH$2&amp;BK$2)</f>
        <v/>
      </c>
      <c r="BL184" s="260">
        <f>SUMIFS(領用表!$L:$L,領用表!$E:$E,$B184,領用表!$B:$B,$BH$2&amp;BL$2)</f>
        <v/>
      </c>
      <c r="BM184" s="203">
        <f>SUMIFS(領用表!$L:$L,領用表!$A:$A,BM$2,領用表!$E:$E,B184)</f>
        <v/>
      </c>
      <c r="BN184" s="206">
        <f>SUMIFS(領用表!$L:$L,領用表!$E:$E,$B184,領用表!$B:$B,BM$2&amp;BN$2)</f>
        <v/>
      </c>
      <c r="BO184" s="206">
        <f>SUMIFS(領用表!$L:$L,領用表!$E:$E,$B184,領用表!$B:$B,$BM$2&amp;BO$2)</f>
        <v/>
      </c>
      <c r="BP184" s="288">
        <f>SUMIFS(領用表!$L:$L,領用表!$E:$E,$B184,領用表!$B:$B,$BM$2&amp;BP$2)</f>
        <v/>
      </c>
      <c r="BQ184" s="287">
        <f>SUMIFS(領用表!$L:$L,領用表!$E:$E,$B184,領用表!$B:$B,$BM$2&amp;BQ$2)</f>
        <v/>
      </c>
      <c r="BR184" s="203">
        <f>SUMIFS(領用表!$L:$L,領用表!$A:$A,BR$2,領用表!$E:$E,B184)</f>
        <v/>
      </c>
      <c r="BS184" s="260">
        <f>SUMIFS(領用表!$L:$L,領用表!$E:$E,$B184,領用表!$B:$B,BR$2&amp;BS$2)</f>
        <v/>
      </c>
      <c r="BT184" s="260">
        <f>SUMIFS(領用表!$L:$L,領用表!$E:$E,$B184,領用表!$B:$B,$BR$2&amp;BT$2)</f>
        <v/>
      </c>
      <c r="BU184" s="260">
        <f>SUMIFS(領用表!$L:$L,領用表!$E:$E,$B184,領用表!$B:$B,$BR$2&amp;BU$2)</f>
        <v/>
      </c>
      <c r="BV184" s="220">
        <f>SUMIFS(領用表!$L:$L,領用表!$E:$E,$B184,領用表!$B:$B,$BR$2&amp;BV$2)</f>
        <v/>
      </c>
      <c r="BW184" s="208">
        <f>SUMIFS(領用表!$L:$L,領用表!$A:$A,BW$2,領用表!$E:$E,B184)</f>
        <v/>
      </c>
      <c r="BX184" s="296">
        <f>SUMIFS(領用表!$L:$L,領用表!$E:$E,$B184,領用表!$B:$B,BW$2&amp;BX$2)</f>
        <v/>
      </c>
      <c r="BY184" s="296">
        <f>SUMIFS(領用表!$L:$L,領用表!$E:$E,$B184,領用表!$B:$B,$BW$2&amp;BY$2)</f>
        <v/>
      </c>
      <c r="BZ184" s="296">
        <f>SUMIFS(領用表!$L:$L,領用表!$E:$E,$B184,領用表!$B:$B,$BW$2&amp;BZ$2)</f>
        <v/>
      </c>
      <c r="CA184" s="296">
        <f>SUMIFS(領用表!$L:$L,領用表!$E:$E,$B184,領用表!$B:$B,$BW$2&amp;CA$2)</f>
        <v/>
      </c>
      <c r="CB184" s="208">
        <f>SUMIFS(領用表!$L:$L,領用表!$A:$A,CB$2,領用表!$E:$E,B184)</f>
        <v/>
      </c>
      <c r="CC184" s="296">
        <f>SUMIFS(領用表!$L:$L,領用表!$E:$E,$B184,領用表!$B:$B,CB$2&amp;CC$2)</f>
        <v/>
      </c>
      <c r="CD184" s="296">
        <f>SUMIFS(領用表!$L:$L,領用表!$E:$E,$B184,領用表!$B:$B,$CB$2&amp;CD$2)</f>
        <v/>
      </c>
      <c r="CE184" s="296">
        <f>SUMIFS(領用表!$L:$L,領用表!$E:$E,$B184,領用表!$B:$B,$CB$2&amp;CE$2)</f>
        <v/>
      </c>
      <c r="CF184" s="296">
        <f>SUMIFS(領用表!$L:$L,領用表!$E:$E,$B184,領用表!$B:$B,$CB$2&amp;CF$2)</f>
        <v/>
      </c>
      <c r="CG184" s="335">
        <f>SUMIFS(領用表!$L:$L,領用表!$A:$A,CG$2,領用表!$E:$E,B184)</f>
        <v/>
      </c>
      <c r="CH184" s="296">
        <f>SUMIFS(領用表!$L:$L,領用表!$E:$E,$B184,領用表!$B:$B,CG$2&amp;CH$2)</f>
        <v/>
      </c>
      <c r="CI184" s="296">
        <f>SUMIFS(領用表!$L:$L,領用表!$E:$E,$B184,領用表!$B:$B,CG$2&amp;CI$2)</f>
        <v/>
      </c>
      <c r="CJ184" s="296">
        <f>SUMIFS(領用表!$L:$L,領用表!$E:$E,$B184,領用表!$B:$B,CG$2&amp;CJ$2)</f>
        <v/>
      </c>
      <c r="CK184" s="296">
        <f>SUMIFS(領用表!$L:$L,領用表!$E:$E,$B184,領用表!$B:$B,$CG$2&amp;CK$2)</f>
        <v/>
      </c>
      <c r="CL184" s="207">
        <f>SUM(AX184,AY184,AZ184,BA184,BB184,BC184,BH184,BM184,BR184,BW184,CB184,CG184)</f>
        <v/>
      </c>
      <c r="CM184" s="207">
        <f>AVERAGE(AX184,AY184,AZ184,BA184,BB184,BC184,BH184,BM184,BR184,BW184,CB184,CG184)</f>
        <v/>
      </c>
      <c r="CN184" s="208">
        <f>SUMIFS(領用表!$L:$L,領用表!$A:$A,CN$2,領用表!$E:$E,B184)</f>
        <v/>
      </c>
      <c r="CO184" s="206">
        <f>SUMIFS(領用表!$L:$L,領用表!$E:$E,$B184,領用表!$B:$B,CN$2&amp;CO$2)</f>
        <v/>
      </c>
      <c r="CP184" s="206">
        <f>SUMIFS(領用表!$L:$L,領用表!$E:$E,$B184,領用表!$B:$B,$CN$2&amp;CP$2)</f>
        <v/>
      </c>
      <c r="CQ184" s="206">
        <f>SUMIFS(領用表!$L:$L,領用表!$E:$E,$B184,領用表!$B:$B,$CN$2&amp;CQ$2)</f>
        <v/>
      </c>
      <c r="CR184" s="296">
        <f>SUMIFS(領用表!$L:$L,領用表!$E:$E,$B184,領用表!$B:$B,$CN$2&amp;CR$2)</f>
        <v/>
      </c>
      <c r="CS184" s="208">
        <f>SUMIFS(領用表!$L:$L,領用表!$A:$A,CS$2,領用表!$E:$E,B184)</f>
        <v/>
      </c>
      <c r="CT184" s="206">
        <f>SUMIFS(領用表!$L:$L,領用表!$E:$E,$B184,領用表!$B:$B,CS$2&amp;CT$2)</f>
        <v/>
      </c>
      <c r="CU184" s="206">
        <f>SUMIFS(領用表!$L:$L,領用表!$E:$E,$B184,領用表!$B:$B,$CS$2&amp;CU$2)</f>
        <v/>
      </c>
      <c r="CV184" s="206">
        <f>SUMIFS(領用表!$L:$L,領用表!$E:$E,$B184,領用表!$B:$B,$CS$2&amp;CV$2)</f>
        <v/>
      </c>
      <c r="CW184" s="206">
        <f>SUMIFS(領用表!$L:$L,領用表!$E:$E,$B184,領用表!$B:$B,$CS$2&amp;CW$2)</f>
        <v/>
      </c>
      <c r="CX184" s="206">
        <f>SUMIFS(領用表!$L:$L,領用表!$E:$E,$B184,領用表!$B:$B,$CS$2&amp;CX$2)</f>
        <v/>
      </c>
      <c r="CY184" s="208">
        <f>SUMIFS(領用表!$L:$L,領用表!$A:$A,CY$2,領用表!$E:$E,B184)</f>
        <v/>
      </c>
      <c r="CZ184" s="296">
        <f>SUMIFS(領用表!$L:$L,領用表!$E:$E,$B184,領用表!$B:$B,CY$2&amp;CZ$2)</f>
        <v/>
      </c>
      <c r="DA184" s="296">
        <f>SUMIFS(領用表!$L:$L,領用表!$E:$E,$B184,領用表!$B:$B,$CY$2&amp;DA$2)</f>
        <v/>
      </c>
      <c r="DB184" s="296">
        <f>SUMIFS(領用表!$L:$L,領用表!$E:$E,$B184,領用表!$B:$B,$CY$2&amp;DB$2)</f>
        <v/>
      </c>
      <c r="DC184" s="296">
        <f>SUMIFS(領用表!$L:$L,領用表!$E:$E,$B184,領用表!$B:$B,$CY$2&amp;DC$2)</f>
        <v/>
      </c>
      <c r="DD184" s="296">
        <f>SUMIFS(領用表!$L:$L,領用表!$E:$E,$B184,領用表!$B:$B,$CY$2&amp;DD$2)</f>
        <v/>
      </c>
      <c r="DE184" s="208">
        <f>SUMIFS(領用表!$L:$L,領用表!$A:$A,DE$2,領用表!$E:$E,B184)</f>
        <v/>
      </c>
      <c r="DF184" s="296">
        <f>SUMIFS(領用表!$L:$L,領用表!$E:$E,$B184,領用表!$B:$B,DE$2&amp;DF$2)</f>
        <v/>
      </c>
      <c r="DG184" s="296">
        <f>SUMIFS(領用表!$L:$L,領用表!$E:$E,$B184,領用表!$B:$B,$DE$2&amp;DG$2)</f>
        <v/>
      </c>
      <c r="DH184" s="296">
        <f>SUMIFS(領用表!$L:$L,領用表!$E:$E,$B184,領用表!$B:$B,$DE$2&amp;DH$2)</f>
        <v/>
      </c>
      <c r="DI184" s="296">
        <f>SUMIFS(領用表!$L:$L,領用表!$E:$E,$B184,領用表!$B:$B,$DE$2&amp;DI$2)</f>
        <v/>
      </c>
      <c r="DJ184" s="296">
        <f>SUMIFS(領用表!$L:$L,領用表!$E:$E,$B184,領用表!$B:$B,$DE$2&amp;DJ$2)</f>
        <v/>
      </c>
      <c r="DK184" s="208">
        <f>SUMIFS(領用表!$L:$L,領用表!$A:$A,DK$2,領用表!$E:$E,$B184)</f>
        <v/>
      </c>
      <c r="DL184" s="296">
        <f>SUMIFS(領用表!$L:$L,領用表!$E:$E,$B184,領用表!$B:$B,DK$2&amp;DL$2)</f>
        <v/>
      </c>
      <c r="DM184" s="296">
        <f>SUMIFS(領用表!$L:$L,領用表!$E:$E,$B184,領用表!$B:$B,$DK$2&amp;DM$2)</f>
        <v/>
      </c>
      <c r="DN184" s="296">
        <f>SUMIFS(領用表!$L:$L,領用表!$E:$E,$B184,領用表!$B:$B,$DK$2&amp;DN$2)</f>
        <v/>
      </c>
      <c r="DO184" s="296">
        <f>SUMIFS(領用表!$L:$L,領用表!$E:$E,$B184,領用表!$B:$B,$DK$2&amp;DO$2)</f>
        <v/>
      </c>
      <c r="DP184" s="296">
        <f>SUMIFS(領用表!$L:$L,領用表!$E:$E,$B184,領用表!$B:$B,$DK$2&amp;DP$2)</f>
        <v/>
      </c>
      <c r="DQ184" s="208" t="n"/>
      <c r="DR184" s="296" t="n"/>
      <c r="DS184" s="296" t="n"/>
      <c r="DT184" s="296" t="n"/>
      <c r="DU184" s="296" t="n"/>
      <c r="DV184" s="296" t="n"/>
      <c r="DW184" s="330">
        <f>SUM(CN184,CS184,CY184,DE184,DK184,DQ184)</f>
        <v/>
      </c>
      <c r="DX184" s="330">
        <f>AVERAGEA(CN184,CS184,CY184,DE184,DK184,DQ184)</f>
        <v/>
      </c>
      <c r="DY184" s="330">
        <f>SUM(DZ184:EC184)</f>
        <v/>
      </c>
      <c r="DZ184" s="330" t="n">
        <v>0</v>
      </c>
      <c r="EA184" s="330" t="n">
        <v>0</v>
      </c>
      <c r="EB184" s="330" t="n">
        <v>0</v>
      </c>
      <c r="EC184" s="330" t="n">
        <v>0</v>
      </c>
      <c r="ED184" s="338" t="n"/>
      <c r="EE184" s="342" t="n"/>
      <c r="EF184" s="341" t="n"/>
      <c r="EG184" s="343" t="n"/>
      <c r="EJ184" s="118">
        <f>IFERROR(VLOOKUP(A184,站前4樓!A:BF,57,0),0)</f>
        <v/>
      </c>
      <c r="EK184" s="213">
        <f>IFERROR(VLOOKUP(A184,站前11樓!A:BE,57,0),0)</f>
        <v/>
      </c>
      <c r="EL184" s="118">
        <f>IFERROR(VLOOKUP(A184,忠孝7樓!A:N,57,0),0)</f>
        <v/>
      </c>
      <c r="EM184" s="118">
        <f>IFERROR(VLOOKUP(A184,忠孝國際醫學3樓!A:L,57,0),0)</f>
        <v/>
      </c>
      <c r="EN184" s="118">
        <f>SUM(ED184:EG184)</f>
        <v/>
      </c>
    </row>
    <row r="185" ht="15.75" customFormat="1" customHeight="1" s="118">
      <c r="A185" s="136" t="inlineStr">
        <is>
          <t>FE1AA060003T</t>
        </is>
      </c>
      <c r="C185" s="136" t="inlineStr">
        <is>
          <t>試用包-富勒烯煥齡賦活水凝乳 2mL(尖嘴單劑包)</t>
        </is>
      </c>
      <c r="D185" s="285" t="n"/>
      <c r="E185" s="198" t="inlineStr">
        <is>
          <t>PCS</t>
        </is>
      </c>
      <c r="F185" s="225">
        <f>SUMIF(站前4樓!B:B,B185,站前4樓!F:F)</f>
        <v/>
      </c>
      <c r="G185" s="225">
        <f>SUMIF(站前11樓!B:B,B185,站前11樓!F:F)</f>
        <v/>
      </c>
      <c r="H185" s="225">
        <f>SUMIF(忠孝7樓!B:B,B185,忠孝7樓!G:G)</f>
        <v/>
      </c>
      <c r="I185" s="225">
        <f>SUMIF(忠孝國際醫學3樓!B:B,B185,忠孝國際醫學3樓!G:G)</f>
        <v/>
      </c>
      <c r="J185" s="225">
        <f>SUMIF(忠孝健康7樓!B:B,B185,忠孝健康7樓!G:G)</f>
        <v/>
      </c>
      <c r="AU185" s="201" t="n"/>
      <c r="AV185" s="347" t="n"/>
      <c r="AW185" s="347" t="n"/>
      <c r="AX185" s="201" t="n"/>
      <c r="AY185" s="201" t="n"/>
      <c r="AZ185" s="201" t="n"/>
      <c r="BA185" s="201" t="n"/>
      <c r="BB185" s="201" t="n"/>
      <c r="BC185" s="203">
        <f>SUMIFS(領用表!$L:$L,領用表!$A:$A,BC$2,領用表!$E:$E,B185)</f>
        <v/>
      </c>
      <c r="BD185" s="296">
        <f>SUMIFS(領用表!$L:$L,領用表!$E:$E,$B185,領用表!$B:$B,BC$2&amp;BD$2)</f>
        <v/>
      </c>
      <c r="BE185" s="296">
        <f>SUMIFS(領用表!$L:$L,領用表!$E:$E,$B185,領用表!$B:$B,$BC$2&amp;BE$2)</f>
        <v/>
      </c>
      <c r="BF185" s="296">
        <f>SUMIFS(領用表!$L:$L,領用表!$E:$E,$B185,領用表!$B:$B,$BC$2&amp;BF$2)</f>
        <v/>
      </c>
      <c r="BG185" s="296">
        <f>SUMIFS(領用表!$L:$L,領用表!$E:$E,$B185,領用表!$B:$B,$BC$2&amp;BG$2)</f>
        <v/>
      </c>
      <c r="BH185" s="203">
        <f>SUMIFS(領用表!$L:$L,領用表!$A:$A,BH$2,領用表!$E:$E,B185)</f>
        <v/>
      </c>
      <c r="BI185" s="260">
        <f>SUMIFS(領用表!$L:$L,領用表!$E:$E,$B185,領用表!$B:$B,BH$2&amp;BI$2)</f>
        <v/>
      </c>
      <c r="BJ185" s="260">
        <f>SUMIFS(領用表!$L:$L,領用表!$E:$E,$B185,領用表!$B:$B,$BH$2&amp;BJ$2)</f>
        <v/>
      </c>
      <c r="BK185" s="260">
        <f>SUMIFS(領用表!$L:$L,領用表!$E:$E,$B185,領用表!$B:$B,$BH$2&amp;BK$2)</f>
        <v/>
      </c>
      <c r="BL185" s="260">
        <f>SUMIFS(領用表!$L:$L,領用表!$E:$E,$B185,領用表!$B:$B,$BH$2&amp;BL$2)</f>
        <v/>
      </c>
      <c r="BM185" s="203">
        <f>SUMIFS(領用表!$L:$L,領用表!$A:$A,BM$2,領用表!$E:$E,B185)</f>
        <v/>
      </c>
      <c r="BN185" s="206">
        <f>SUMIFS(領用表!$L:$L,領用表!$E:$E,$B185,領用表!$B:$B,BM$2&amp;BN$2)</f>
        <v/>
      </c>
      <c r="BO185" s="206">
        <f>SUMIFS(領用表!$L:$L,領用表!$E:$E,$B185,領用表!$B:$B,$BM$2&amp;BO$2)</f>
        <v/>
      </c>
      <c r="BP185" s="288">
        <f>SUMIFS(領用表!$L:$L,領用表!$E:$E,$B185,領用表!$B:$B,$BM$2&amp;BP$2)</f>
        <v/>
      </c>
      <c r="BQ185" s="287">
        <f>SUMIFS(領用表!$L:$L,領用表!$E:$E,$B185,領用表!$B:$B,$BM$2&amp;BQ$2)</f>
        <v/>
      </c>
      <c r="BR185" s="203">
        <f>SUMIFS(領用表!$L:$L,領用表!$A:$A,BR$2,領用表!$E:$E,B185)</f>
        <v/>
      </c>
      <c r="BS185" s="260">
        <f>SUMIFS(領用表!$L:$L,領用表!$E:$E,$B185,領用表!$B:$B,BR$2&amp;BS$2)</f>
        <v/>
      </c>
      <c r="BT185" s="260">
        <f>SUMIFS(領用表!$L:$L,領用表!$E:$E,$B185,領用表!$B:$B,$BR$2&amp;BT$2)</f>
        <v/>
      </c>
      <c r="BU185" s="260">
        <f>SUMIFS(領用表!$L:$L,領用表!$E:$E,$B185,領用表!$B:$B,$BR$2&amp;BU$2)</f>
        <v/>
      </c>
      <c r="BV185" s="220">
        <f>SUMIFS(領用表!$L:$L,領用表!$E:$E,$B185,領用表!$B:$B,$BR$2&amp;BV$2)</f>
        <v/>
      </c>
      <c r="BW185" s="208">
        <f>SUMIFS(領用表!$L:$L,領用表!$A:$A,BW$2,領用表!$E:$E,B185)</f>
        <v/>
      </c>
      <c r="BX185" s="296">
        <f>SUMIFS(領用表!$L:$L,領用表!$E:$E,$B185,領用表!$B:$B,BW$2&amp;BX$2)</f>
        <v/>
      </c>
      <c r="BY185" s="296">
        <f>SUMIFS(領用表!$L:$L,領用表!$E:$E,$B185,領用表!$B:$B,$BW$2&amp;BY$2)</f>
        <v/>
      </c>
      <c r="BZ185" s="296">
        <f>SUMIFS(領用表!$L:$L,領用表!$E:$E,$B185,領用表!$B:$B,$BW$2&amp;BZ$2)</f>
        <v/>
      </c>
      <c r="CA185" s="296">
        <f>SUMIFS(領用表!$L:$L,領用表!$E:$E,$B185,領用表!$B:$B,$BW$2&amp;CA$2)</f>
        <v/>
      </c>
      <c r="CB185" s="208">
        <f>SUMIFS(領用表!$L:$L,領用表!$A:$A,CB$2,領用表!$E:$E,B185)</f>
        <v/>
      </c>
      <c r="CC185" s="296">
        <f>SUMIFS(領用表!$L:$L,領用表!$E:$E,$B185,領用表!$B:$B,CB$2&amp;CC$2)</f>
        <v/>
      </c>
      <c r="CD185" s="296">
        <f>SUMIFS(領用表!$L:$L,領用表!$E:$E,$B185,領用表!$B:$B,$CB$2&amp;CD$2)</f>
        <v/>
      </c>
      <c r="CE185" s="296">
        <f>SUMIFS(領用表!$L:$L,領用表!$E:$E,$B185,領用表!$B:$B,$CB$2&amp;CE$2)</f>
        <v/>
      </c>
      <c r="CF185" s="296">
        <f>SUMIFS(領用表!$L:$L,領用表!$E:$E,$B185,領用表!$B:$B,$CB$2&amp;CF$2)</f>
        <v/>
      </c>
      <c r="CG185" s="335">
        <f>SUMIFS(領用表!$L:$L,領用表!$A:$A,CG$2,領用表!$E:$E,B185)</f>
        <v/>
      </c>
      <c r="CH185" s="296">
        <f>SUMIFS(領用表!$L:$L,領用表!$E:$E,$B185,領用表!$B:$B,CG$2&amp;CH$2)</f>
        <v/>
      </c>
      <c r="CI185" s="296">
        <f>SUMIFS(領用表!$L:$L,領用表!$E:$E,$B185,領用表!$B:$B,CG$2&amp;CI$2)</f>
        <v/>
      </c>
      <c r="CJ185" s="296">
        <f>SUMIFS(領用表!$L:$L,領用表!$E:$E,$B185,領用表!$B:$B,CG$2&amp;CJ$2)</f>
        <v/>
      </c>
      <c r="CK185" s="296">
        <f>SUMIFS(領用表!$L:$L,領用表!$E:$E,$B185,領用表!$B:$B,$CG$2&amp;CK$2)</f>
        <v/>
      </c>
      <c r="CL185" s="207">
        <f>SUM(AX185,AY185,AZ185,BA185,BB185,BC185,BH185,BM185,BR185,BW185,CB185,CG185)</f>
        <v/>
      </c>
      <c r="CM185" s="207">
        <f>AVERAGE(AX185,AY185,AZ185,BA185,BB185,BC185,BH185,BM185,BR185,BW185,CB185,CG185)</f>
        <v/>
      </c>
      <c r="CN185" s="208">
        <f>SUMIFS(領用表!$L:$L,領用表!$A:$A,CN$2,領用表!$E:$E,B185)</f>
        <v/>
      </c>
      <c r="CO185" s="206">
        <f>SUMIFS(領用表!$L:$L,領用表!$E:$E,$B185,領用表!$B:$B,CN$2&amp;CO$2)</f>
        <v/>
      </c>
      <c r="CP185" s="206">
        <f>SUMIFS(領用表!$L:$L,領用表!$E:$E,$B185,領用表!$B:$B,$CN$2&amp;CP$2)</f>
        <v/>
      </c>
      <c r="CQ185" s="206">
        <f>SUMIFS(領用表!$L:$L,領用表!$E:$E,$B185,領用表!$B:$B,$CN$2&amp;CQ$2)</f>
        <v/>
      </c>
      <c r="CR185" s="296">
        <f>SUMIFS(領用表!$L:$L,領用表!$E:$E,$B185,領用表!$B:$B,$CN$2&amp;CR$2)</f>
        <v/>
      </c>
      <c r="CS185" s="208">
        <f>SUMIFS(領用表!$L:$L,領用表!$A:$A,CS$2,領用表!$E:$E,B185)</f>
        <v/>
      </c>
      <c r="CT185" s="206">
        <f>SUMIFS(領用表!$L:$L,領用表!$E:$E,$B185,領用表!$B:$B,CS$2&amp;CT$2)</f>
        <v/>
      </c>
      <c r="CU185" s="206">
        <f>SUMIFS(領用表!$L:$L,領用表!$E:$E,$B185,領用表!$B:$B,$CS$2&amp;CU$2)</f>
        <v/>
      </c>
      <c r="CV185" s="206">
        <f>SUMIFS(領用表!$L:$L,領用表!$E:$E,$B185,領用表!$B:$B,$CS$2&amp;CV$2)</f>
        <v/>
      </c>
      <c r="CW185" s="206">
        <f>SUMIFS(領用表!$L:$L,領用表!$E:$E,$B185,領用表!$B:$B,$CS$2&amp;CW$2)</f>
        <v/>
      </c>
      <c r="CX185" s="206">
        <f>SUMIFS(領用表!$L:$L,領用表!$E:$E,$B185,領用表!$B:$B,$CS$2&amp;CX$2)</f>
        <v/>
      </c>
      <c r="CY185" s="208">
        <f>SUMIFS(領用表!$L:$L,領用表!$A:$A,CY$2,領用表!$E:$E,B185)</f>
        <v/>
      </c>
      <c r="CZ185" s="296">
        <f>SUMIFS(領用表!$L:$L,領用表!$E:$E,$B185,領用表!$B:$B,CY$2&amp;CZ$2)</f>
        <v/>
      </c>
      <c r="DA185" s="296">
        <f>SUMIFS(領用表!$L:$L,領用表!$E:$E,$B185,領用表!$B:$B,$CY$2&amp;DA$2)</f>
        <v/>
      </c>
      <c r="DB185" s="296">
        <f>SUMIFS(領用表!$L:$L,領用表!$E:$E,$B185,領用表!$B:$B,$CY$2&amp;DB$2)</f>
        <v/>
      </c>
      <c r="DC185" s="296">
        <f>SUMIFS(領用表!$L:$L,領用表!$E:$E,$B185,領用表!$B:$B,$CY$2&amp;DC$2)</f>
        <v/>
      </c>
      <c r="DD185" s="296">
        <f>SUMIFS(領用表!$L:$L,領用表!$E:$E,$B185,領用表!$B:$B,$CY$2&amp;DD$2)</f>
        <v/>
      </c>
      <c r="DE185" s="208">
        <f>SUMIFS(領用表!$L:$L,領用表!$A:$A,DE$2,領用表!$E:$E,B185)</f>
        <v/>
      </c>
      <c r="DF185" s="296">
        <f>SUMIFS(領用表!$L:$L,領用表!$E:$E,$B185,領用表!$B:$B,DE$2&amp;DF$2)</f>
        <v/>
      </c>
      <c r="DG185" s="296">
        <f>SUMIFS(領用表!$L:$L,領用表!$E:$E,$B185,領用表!$B:$B,$DE$2&amp;DG$2)</f>
        <v/>
      </c>
      <c r="DH185" s="296">
        <f>SUMIFS(領用表!$L:$L,領用表!$E:$E,$B185,領用表!$B:$B,$DE$2&amp;DH$2)</f>
        <v/>
      </c>
      <c r="DI185" s="296">
        <f>SUMIFS(領用表!$L:$L,領用表!$E:$E,$B185,領用表!$B:$B,$DE$2&amp;DI$2)</f>
        <v/>
      </c>
      <c r="DJ185" s="296">
        <f>SUMIFS(領用表!$L:$L,領用表!$E:$E,$B185,領用表!$B:$B,$DE$2&amp;DJ$2)</f>
        <v/>
      </c>
      <c r="DK185" s="208">
        <f>SUMIFS(領用表!$L:$L,領用表!$A:$A,DK$2,領用表!$E:$E,$B185)</f>
        <v/>
      </c>
      <c r="DL185" s="296">
        <f>SUMIFS(領用表!$L:$L,領用表!$E:$E,$B185,領用表!$B:$B,DK$2&amp;DL$2)</f>
        <v/>
      </c>
      <c r="DM185" s="296">
        <f>SUMIFS(領用表!$L:$L,領用表!$E:$E,$B185,領用表!$B:$B,$CY$2&amp;DM$2)</f>
        <v/>
      </c>
      <c r="DN185" s="296">
        <f>SUMIFS(領用表!$L:$L,領用表!$E:$E,$B185,領用表!$B:$B,$DK$2&amp;DN$2)</f>
        <v/>
      </c>
      <c r="DO185" s="296">
        <f>SUMIFS(領用表!$L:$L,領用表!$E:$E,$B185,領用表!$B:$B,$DK$2&amp;DO$2)</f>
        <v/>
      </c>
      <c r="DP185" s="296">
        <f>SUMIFS(領用表!$L:$L,領用表!$E:$E,$B185,領用表!$B:$B,$DK$2&amp;DP$2)</f>
        <v/>
      </c>
      <c r="DQ185" s="208" t="n"/>
      <c r="DR185" s="296" t="n"/>
      <c r="DS185" s="296" t="n"/>
      <c r="DT185" s="296" t="n"/>
      <c r="DU185" s="296" t="n"/>
      <c r="DV185" s="296" t="n"/>
      <c r="DW185" s="330">
        <f>SUM(CN185,CS185,CY185,DE185,DK185,DQ185)</f>
        <v/>
      </c>
      <c r="DX185" s="330">
        <f>AVERAGEA(CN185,CS185,CY185,DE185,DK185,DQ185)</f>
        <v/>
      </c>
      <c r="DY185" s="330">
        <f>SUM(DZ185:EC185)</f>
        <v/>
      </c>
      <c r="DZ185" s="330" t="n">
        <v>0</v>
      </c>
      <c r="EA185" s="330" t="n">
        <v>0</v>
      </c>
      <c r="EB185" s="330" t="n">
        <v>0</v>
      </c>
      <c r="EC185" s="330" t="n">
        <v>0</v>
      </c>
      <c r="ED185" s="338" t="n"/>
      <c r="EE185" s="342" t="n"/>
      <c r="EF185" s="340" t="n"/>
      <c r="EG185" s="340" t="n"/>
      <c r="EJ185" s="118">
        <f>IFERROR(VLOOKUP(A185,站前4樓!A:BF,57,0),0)</f>
        <v/>
      </c>
      <c r="EK185" s="213">
        <f>IFERROR(VLOOKUP(A185,站前11樓!A:BE,57,0),0)</f>
        <v/>
      </c>
      <c r="EL185" s="118">
        <f>IFERROR(VLOOKUP(A185,忠孝7樓!A:N,57,0),0)</f>
        <v/>
      </c>
      <c r="EM185" s="118">
        <f>IFERROR(VLOOKUP(A185,忠孝國際醫學3樓!A:L,57,0),0)</f>
        <v/>
      </c>
      <c r="EN185" s="118">
        <f>SUM(ED185:EG185)</f>
        <v/>
      </c>
    </row>
    <row r="186" ht="15.75" customFormat="1" customHeight="1" s="118">
      <c r="A186" s="136" t="inlineStr">
        <is>
          <t>FL1AA030002T</t>
        </is>
      </c>
      <c r="C186" s="136" t="inlineStr">
        <is>
          <t>試用包 - 水盈潤去角質凝膠 3mL</t>
        </is>
      </c>
      <c r="D186" s="285" t="n"/>
      <c r="E186" s="198" t="inlineStr">
        <is>
          <t>PCS</t>
        </is>
      </c>
      <c r="F186" s="225">
        <f>SUMIF(站前4樓!B:B,B186,站前4樓!F:F)</f>
        <v/>
      </c>
      <c r="G186" s="225">
        <f>SUMIF(站前11樓!B:B,B186,站前11樓!F:F)</f>
        <v/>
      </c>
      <c r="H186" s="225">
        <f>SUMIF(忠孝7樓!B:B,B186,忠孝7樓!G:G)</f>
        <v/>
      </c>
      <c r="I186" s="225">
        <f>SUMIF(忠孝國際醫學3樓!B:B,B186,忠孝國際醫學3樓!G:G)</f>
        <v/>
      </c>
      <c r="J186" s="225">
        <f>SUMIF(忠孝健康7樓!B:B,B186,忠孝健康7樓!G:G)</f>
        <v/>
      </c>
      <c r="AU186" s="201" t="n"/>
      <c r="AV186" s="347" t="n"/>
      <c r="AW186" s="347" t="n"/>
      <c r="AX186" s="201" t="n"/>
      <c r="AY186" s="201" t="n"/>
      <c r="AZ186" s="201" t="n"/>
      <c r="BA186" s="201" t="n"/>
      <c r="BB186" s="201" t="n"/>
      <c r="BC186" s="203">
        <f>SUMIFS(領用表!$L:$L,領用表!$A:$A,BC$2,領用表!$E:$E,B186)</f>
        <v/>
      </c>
      <c r="BD186" s="296">
        <f>SUMIFS(領用表!$L:$L,領用表!$E:$E,$B186,領用表!$B:$B,BC$2&amp;BD$2)</f>
        <v/>
      </c>
      <c r="BE186" s="296">
        <f>SUMIFS(領用表!$L:$L,領用表!$E:$E,$B186,領用表!$B:$B,$BC$2&amp;BE$2)</f>
        <v/>
      </c>
      <c r="BF186" s="296">
        <f>SUMIFS(領用表!$L:$L,領用表!$E:$E,$B186,領用表!$B:$B,$BC$2&amp;BF$2)</f>
        <v/>
      </c>
      <c r="BG186" s="296">
        <f>SUMIFS(領用表!$L:$L,領用表!$E:$E,$B186,領用表!$B:$B,$BC$2&amp;BG$2)</f>
        <v/>
      </c>
      <c r="BH186" s="203">
        <f>SUMIFS(領用表!$L:$L,領用表!$A:$A,BH$2,領用表!$E:$E,B186)</f>
        <v/>
      </c>
      <c r="BI186" s="260">
        <f>SUMIFS(領用表!$L:$L,領用表!$E:$E,$B186,領用表!$B:$B,BH$2&amp;BI$2)</f>
        <v/>
      </c>
      <c r="BJ186" s="260">
        <f>SUMIFS(領用表!$L:$L,領用表!$E:$E,$B186,領用表!$B:$B,$BH$2&amp;BJ$2)</f>
        <v/>
      </c>
      <c r="BK186" s="260">
        <f>SUMIFS(領用表!$L:$L,領用表!$E:$E,$B186,領用表!$B:$B,$BH$2&amp;BK$2)</f>
        <v/>
      </c>
      <c r="BL186" s="260">
        <f>SUMIFS(領用表!$L:$L,領用表!$E:$E,$B186,領用表!$B:$B,$BH$2&amp;BL$2)</f>
        <v/>
      </c>
      <c r="BM186" s="203">
        <f>SUMIFS(領用表!$L:$L,領用表!$A:$A,BM$2,領用表!$E:$E,B186)</f>
        <v/>
      </c>
      <c r="BN186" s="206">
        <f>SUMIFS(領用表!$L:$L,領用表!$E:$E,$B186,領用表!$B:$B,BM$2&amp;BN$2)</f>
        <v/>
      </c>
      <c r="BO186" s="206">
        <f>SUMIFS(領用表!$L:$L,領用表!$E:$E,$B186,領用表!$B:$B,$BM$2&amp;BO$2)</f>
        <v/>
      </c>
      <c r="BP186" s="288">
        <f>SUMIFS(領用表!$L:$L,領用表!$E:$E,$B186,領用表!$B:$B,$BM$2&amp;BP$2)</f>
        <v/>
      </c>
      <c r="BQ186" s="287">
        <f>SUMIFS(領用表!$L:$L,領用表!$E:$E,$B186,領用表!$B:$B,$BM$2&amp;BQ$2)</f>
        <v/>
      </c>
      <c r="BR186" s="203">
        <f>SUMIFS(領用表!$L:$L,領用表!$A:$A,BR$2,領用表!$E:$E,B186)</f>
        <v/>
      </c>
      <c r="BS186" s="260">
        <f>SUMIFS(領用表!$L:$L,領用表!$E:$E,$B186,領用表!$B:$B,BR$2&amp;BS$2)</f>
        <v/>
      </c>
      <c r="BT186" s="260">
        <f>SUMIFS(領用表!$L:$L,領用表!$E:$E,$B186,領用表!$B:$B,$BR$2&amp;BT$2)</f>
        <v/>
      </c>
      <c r="BU186" s="260">
        <f>SUMIFS(領用表!$L:$L,領用表!$E:$E,$B186,領用表!$B:$B,$BR$2&amp;BU$2)</f>
        <v/>
      </c>
      <c r="BV186" s="220">
        <f>SUMIFS(領用表!$L:$L,領用表!$E:$E,$B186,領用表!$B:$B,$BR$2&amp;BV$2)</f>
        <v/>
      </c>
      <c r="BW186" s="208">
        <f>SUMIFS(領用表!$L:$L,領用表!$A:$A,BW$2,領用表!$E:$E,B186)</f>
        <v/>
      </c>
      <c r="BX186" s="296">
        <f>SUMIFS(領用表!$L:$L,領用表!$E:$E,$B186,領用表!$B:$B,BW$2&amp;BX$2)</f>
        <v/>
      </c>
      <c r="BY186" s="296">
        <f>SUMIFS(領用表!$L:$L,領用表!$E:$E,$B186,領用表!$B:$B,$BW$2&amp;BY$2)</f>
        <v/>
      </c>
      <c r="BZ186" s="296">
        <f>SUMIFS(領用表!$L:$L,領用表!$E:$E,$B186,領用表!$B:$B,$BW$2&amp;BZ$2)</f>
        <v/>
      </c>
      <c r="CA186" s="296">
        <f>SUMIFS(領用表!$L:$L,領用表!$E:$E,$B186,領用表!$B:$B,$BW$2&amp;CA$2)</f>
        <v/>
      </c>
      <c r="CB186" s="208">
        <f>SUMIFS(領用表!$L:$L,領用表!$A:$A,CB$2,領用表!$E:$E,B186)</f>
        <v/>
      </c>
      <c r="CC186" s="296">
        <f>SUMIFS(領用表!$L:$L,領用表!$E:$E,$B186,領用表!$B:$B,CB$2&amp;CC$2)</f>
        <v/>
      </c>
      <c r="CD186" s="296">
        <f>SUMIFS(領用表!$L:$L,領用表!$E:$E,$B186,領用表!$B:$B,$CB$2&amp;CD$2)</f>
        <v/>
      </c>
      <c r="CE186" s="296">
        <f>SUMIFS(領用表!$L:$L,領用表!$E:$E,$B186,領用表!$B:$B,$CB$2&amp;CE$2)</f>
        <v/>
      </c>
      <c r="CF186" s="296">
        <f>SUMIFS(領用表!$L:$L,領用表!$E:$E,$B186,領用表!$B:$B,$CB$2&amp;CF$2)</f>
        <v/>
      </c>
      <c r="CG186" s="335">
        <f>SUMIFS(領用表!$L:$L,領用表!$A:$A,CG$2,領用表!$E:$E,B186)</f>
        <v/>
      </c>
      <c r="CH186" s="296">
        <f>SUMIFS(領用表!$L:$L,領用表!$E:$E,$B186,領用表!$B:$B,CG$2&amp;CH$2)</f>
        <v/>
      </c>
      <c r="CI186" s="296">
        <f>SUMIFS(領用表!$L:$L,領用表!$E:$E,$B186,領用表!$B:$B,CG$2&amp;CI$2)</f>
        <v/>
      </c>
      <c r="CJ186" s="296">
        <f>SUMIFS(領用表!$L:$L,領用表!$E:$E,$B186,領用表!$B:$B,CG$2&amp;CJ$2)</f>
        <v/>
      </c>
      <c r="CK186" s="296">
        <f>SUMIFS(領用表!$L:$L,領用表!$E:$E,$B186,領用表!$B:$B,$CG$2&amp;CK$2)</f>
        <v/>
      </c>
      <c r="CL186" s="207">
        <f>SUM(AX186,AY186,AZ186,BA186,BB186,BC186,BH186,BM186,BR186,BW186,CB186,CG186)</f>
        <v/>
      </c>
      <c r="CM186" s="207">
        <f>AVERAGE(AX186,AY186,AZ186,BA186,BB186,BC186,BH186,BM186,BR186,BW186,CB186,CG186)</f>
        <v/>
      </c>
      <c r="CN186" s="208">
        <f>SUMIFS(領用表!$L:$L,領用表!$A:$A,CN$2,領用表!$E:$E,B186)</f>
        <v/>
      </c>
      <c r="CO186" s="206">
        <f>SUMIFS(領用表!$L:$L,領用表!$E:$E,$B186,領用表!$B:$B,CN$2&amp;CO$2)</f>
        <v/>
      </c>
      <c r="CP186" s="206">
        <f>SUMIFS(領用表!$L:$L,領用表!$E:$E,$B186,領用表!$B:$B,$CN$2&amp;CP$2)</f>
        <v/>
      </c>
      <c r="CQ186" s="206">
        <f>SUMIFS(領用表!$L:$L,領用表!$E:$E,$B186,領用表!$B:$B,$CN$2&amp;CQ$2)</f>
        <v/>
      </c>
      <c r="CR186" s="296">
        <f>SUMIFS(領用表!$L:$L,領用表!$E:$E,$B186,領用表!$B:$B,$CN$2&amp;CR$2)</f>
        <v/>
      </c>
      <c r="CS186" s="208">
        <f>SUMIFS(領用表!$L:$L,領用表!$A:$A,CS$2,領用表!$E:$E,B186)</f>
        <v/>
      </c>
      <c r="CT186" s="206">
        <f>SUMIFS(領用表!$L:$L,領用表!$E:$E,$B186,領用表!$B:$B,CS$2&amp;CT$2)</f>
        <v/>
      </c>
      <c r="CU186" s="206">
        <f>SUMIFS(領用表!$L:$L,領用表!$E:$E,$B186,領用表!$B:$B,$CS$2&amp;CU$2)</f>
        <v/>
      </c>
      <c r="CV186" s="206">
        <f>SUMIFS(領用表!$L:$L,領用表!$E:$E,$B186,領用表!$B:$B,$CS$2&amp;CV$2)</f>
        <v/>
      </c>
      <c r="CW186" s="206">
        <f>SUMIFS(領用表!$L:$L,領用表!$E:$E,$B186,領用表!$B:$B,$CS$2&amp;CW$2)</f>
        <v/>
      </c>
      <c r="CX186" s="206">
        <f>SUMIFS(領用表!$L:$L,領用表!$E:$E,$B186,領用表!$B:$B,$CS$2&amp;CX$2)</f>
        <v/>
      </c>
      <c r="CY186" s="208">
        <f>SUMIFS(領用表!$L:$L,領用表!$A:$A,CY$2,領用表!$E:$E,B186)</f>
        <v/>
      </c>
      <c r="CZ186" s="296">
        <f>SUMIFS(領用表!$L:$L,領用表!$E:$E,$B186,領用表!$B:$B,CY$2&amp;CZ$2)</f>
        <v/>
      </c>
      <c r="DA186" s="296">
        <f>SUMIFS(領用表!$L:$L,領用表!$E:$E,$B186,領用表!$B:$B,$CY$2&amp;DA$2)</f>
        <v/>
      </c>
      <c r="DB186" s="296">
        <f>SUMIFS(領用表!$L:$L,領用表!$E:$E,$B186,領用表!$B:$B,$CY$2&amp;DB$2)</f>
        <v/>
      </c>
      <c r="DC186" s="296">
        <f>SUMIFS(領用表!$L:$L,領用表!$E:$E,$B186,領用表!$B:$B,$CY$2&amp;DC$2)</f>
        <v/>
      </c>
      <c r="DD186" s="296">
        <f>SUMIFS(領用表!$L:$L,領用表!$E:$E,$B186,領用表!$B:$B,$CY$2&amp;DD$2)</f>
        <v/>
      </c>
      <c r="DE186" s="208">
        <f>SUMIFS(領用表!$L:$L,領用表!$A:$A,DE$2,領用表!$E:$E,B186)</f>
        <v/>
      </c>
      <c r="DF186" s="296">
        <f>SUMIFS(領用表!$L:$L,領用表!$E:$E,$B186,領用表!$B:$B,DE$2&amp;DF$2)</f>
        <v/>
      </c>
      <c r="DG186" s="296">
        <f>SUMIFS(領用表!$L:$L,領用表!$E:$E,$B186,領用表!$B:$B,$DE$2&amp;DG$2)</f>
        <v/>
      </c>
      <c r="DH186" s="296">
        <f>SUMIFS(領用表!$L:$L,領用表!$E:$E,$B186,領用表!$B:$B,$DE$2&amp;DH$2)</f>
        <v/>
      </c>
      <c r="DI186" s="296">
        <f>SUMIFS(領用表!$L:$L,領用表!$E:$E,$B186,領用表!$B:$B,$DE$2&amp;DI$2)</f>
        <v/>
      </c>
      <c r="DJ186" s="296">
        <f>SUMIFS(領用表!$L:$L,領用表!$E:$E,$B186,領用表!$B:$B,$DE$2&amp;DJ$2)</f>
        <v/>
      </c>
      <c r="DK186" s="208">
        <f>SUMIFS(領用表!$L:$L,領用表!$A:$A,DK$2,領用表!$E:$E,$B186)</f>
        <v/>
      </c>
      <c r="DL186" s="296">
        <f>SUMIFS(領用表!$L:$L,領用表!$E:$E,$B186,領用表!$B:$B,DK$2&amp;DL$2)</f>
        <v/>
      </c>
      <c r="DM186" s="296">
        <f>SUMIFS(領用表!$L:$L,領用表!$E:$E,$B186,領用表!$B:$B,$CY$2&amp;DM$2)</f>
        <v/>
      </c>
      <c r="DN186" s="296">
        <f>SUMIFS(領用表!$L:$L,領用表!$E:$E,$B186,領用表!$B:$B,$DK$2&amp;DN$2)</f>
        <v/>
      </c>
      <c r="DO186" s="296">
        <f>SUMIFS(領用表!$L:$L,領用表!$E:$E,$B186,領用表!$B:$B,$DK$2&amp;DO$2)</f>
        <v/>
      </c>
      <c r="DP186" s="296">
        <f>SUMIFS(領用表!$L:$L,領用表!$E:$E,$B186,領用表!$B:$B,$DK$2&amp;DP$2)</f>
        <v/>
      </c>
      <c r="DQ186" s="208" t="n"/>
      <c r="DR186" s="296" t="n"/>
      <c r="DS186" s="296" t="n"/>
      <c r="DT186" s="296" t="n"/>
      <c r="DU186" s="296" t="n"/>
      <c r="DV186" s="296" t="n"/>
      <c r="DW186" s="330">
        <f>SUM(CN186,CS186,CY186,DE186,DK186,DQ186)</f>
        <v/>
      </c>
      <c r="DX186" s="330">
        <f>AVERAGEA(CN186,CS186,CY186,DE186,DK186,DQ186)</f>
        <v/>
      </c>
      <c r="DY186" s="330">
        <f>SUM(DZ186:EC186)</f>
        <v/>
      </c>
      <c r="DZ186" s="330" t="n">
        <v>0</v>
      </c>
      <c r="EA186" s="330" t="n">
        <v>0</v>
      </c>
      <c r="EB186" s="330" t="n">
        <v>0</v>
      </c>
      <c r="EC186" s="330" t="n">
        <v>0</v>
      </c>
      <c r="ED186" s="338" t="n"/>
      <c r="EE186" s="342" t="n"/>
      <c r="EF186" s="340" t="n"/>
      <c r="EG186" s="340" t="n"/>
      <c r="EJ186" s="118">
        <f>IFERROR(VLOOKUP(A186,站前4樓!A:BF,57,0),0)</f>
        <v/>
      </c>
      <c r="EK186" s="213">
        <f>IFERROR(VLOOKUP(A186,站前11樓!A:BE,57,0),0)</f>
        <v/>
      </c>
      <c r="EL186" s="118">
        <f>IFERROR(VLOOKUP(A186,忠孝7樓!A:N,57,0),0)</f>
        <v/>
      </c>
      <c r="EM186" s="118">
        <f>IFERROR(VLOOKUP(A186,忠孝國際醫學3樓!A:L,57,0),0)</f>
        <v/>
      </c>
      <c r="EN186" s="118">
        <f>SUM(ED186:EG186)</f>
        <v/>
      </c>
    </row>
    <row r="187" ht="15.75" customFormat="1" customHeight="1" s="118">
      <c r="A187" s="136" t="inlineStr">
        <is>
          <t>FL1AA060007T</t>
        </is>
      </c>
      <c r="C187" s="136" t="inlineStr">
        <is>
          <t>試用包-花神臻秘玫瑰肌密晶凝霜 2mL(含紙卡)</t>
        </is>
      </c>
      <c r="D187" s="285" t="n"/>
      <c r="E187" s="198" t="inlineStr">
        <is>
          <t>PCS</t>
        </is>
      </c>
      <c r="F187" s="225">
        <f>SUMIF(站前4樓!B:B,B187,站前4樓!F:F)</f>
        <v/>
      </c>
      <c r="G187" s="225">
        <f>SUMIF(站前11樓!B:B,B187,站前11樓!F:F)</f>
        <v/>
      </c>
      <c r="H187" s="225">
        <f>SUMIF(忠孝7樓!B:B,B187,忠孝7樓!G:G)</f>
        <v/>
      </c>
      <c r="I187" s="225">
        <f>SUMIF(忠孝國際醫學3樓!B:B,B187,忠孝國際醫學3樓!G:G)</f>
        <v/>
      </c>
      <c r="J187" s="225">
        <f>SUMIF(忠孝健康7樓!B:B,B187,忠孝健康7樓!G:G)</f>
        <v/>
      </c>
      <c r="AU187" s="201" t="n"/>
      <c r="AV187" s="347" t="n"/>
      <c r="AW187" s="347" t="n"/>
      <c r="AX187" s="201" t="n"/>
      <c r="AY187" s="201" t="n"/>
      <c r="AZ187" s="201" t="n"/>
      <c r="BA187" s="201" t="n"/>
      <c r="BB187" s="201" t="n"/>
      <c r="BC187" s="203">
        <f>SUMIFS(領用表!$L:$L,領用表!$A:$A,BC$2,領用表!$E:$E,B187)</f>
        <v/>
      </c>
      <c r="BD187" s="296">
        <f>SUMIFS(領用表!$L:$L,領用表!$E:$E,$B187,領用表!$B:$B,BC$2&amp;BD$2)</f>
        <v/>
      </c>
      <c r="BE187" s="296">
        <f>SUMIFS(領用表!$L:$L,領用表!$E:$E,$B187,領用表!$B:$B,$BC$2&amp;BE$2)</f>
        <v/>
      </c>
      <c r="BF187" s="296">
        <f>SUMIFS(領用表!$L:$L,領用表!$E:$E,$B187,領用表!$B:$B,$BC$2&amp;BF$2)</f>
        <v/>
      </c>
      <c r="BG187" s="296">
        <f>SUMIFS(領用表!$L:$L,領用表!$E:$E,$B187,領用表!$B:$B,$BC$2&amp;BG$2)</f>
        <v/>
      </c>
      <c r="BH187" s="203">
        <f>SUMIFS(領用表!$L:$L,領用表!$A:$A,BH$2,領用表!$E:$E,B187)</f>
        <v/>
      </c>
      <c r="BI187" s="260">
        <f>SUMIFS(領用表!$L:$L,領用表!$E:$E,$B187,領用表!$B:$B,BH$2&amp;BI$2)</f>
        <v/>
      </c>
      <c r="BJ187" s="260">
        <f>SUMIFS(領用表!$L:$L,領用表!$E:$E,$B187,領用表!$B:$B,$BH$2&amp;BJ$2)</f>
        <v/>
      </c>
      <c r="BK187" s="260">
        <f>SUMIFS(領用表!$L:$L,領用表!$E:$E,$B187,領用表!$B:$B,$BH$2&amp;BK$2)</f>
        <v/>
      </c>
      <c r="BL187" s="260">
        <f>SUMIFS(領用表!$L:$L,領用表!$E:$E,$B187,領用表!$B:$B,$BH$2&amp;BL$2)</f>
        <v/>
      </c>
      <c r="BM187" s="203">
        <f>SUMIFS(領用表!$L:$L,領用表!$A:$A,BM$2,領用表!$E:$E,B187)</f>
        <v/>
      </c>
      <c r="BN187" s="206">
        <f>SUMIFS(領用表!$L:$L,領用表!$E:$E,$B187,領用表!$B:$B,BM$2&amp;BN$2)</f>
        <v/>
      </c>
      <c r="BO187" s="206">
        <f>SUMIFS(領用表!$L:$L,領用表!$E:$E,$B187,領用表!$B:$B,$BM$2&amp;BO$2)</f>
        <v/>
      </c>
      <c r="BP187" s="288">
        <f>SUMIFS(領用表!$L:$L,領用表!$E:$E,$B187,領用表!$B:$B,$BM$2&amp;BP$2)</f>
        <v/>
      </c>
      <c r="BQ187" s="287">
        <f>SUMIFS(領用表!$L:$L,領用表!$E:$E,$B187,領用表!$B:$B,$BM$2&amp;BQ$2)</f>
        <v/>
      </c>
      <c r="BR187" s="203">
        <f>SUMIFS(領用表!$L:$L,領用表!$A:$A,BR$2,領用表!$E:$E,B187)</f>
        <v/>
      </c>
      <c r="BS187" s="260">
        <f>SUMIFS(領用表!$L:$L,領用表!$E:$E,$B187,領用表!$B:$B,BR$2&amp;BS$2)</f>
        <v/>
      </c>
      <c r="BT187" s="260">
        <f>SUMIFS(領用表!$L:$L,領用表!$E:$E,$B187,領用表!$B:$B,$BR$2&amp;BT$2)</f>
        <v/>
      </c>
      <c r="BU187" s="260">
        <f>SUMIFS(領用表!$L:$L,領用表!$E:$E,$B187,領用表!$B:$B,$BR$2&amp;BU$2)</f>
        <v/>
      </c>
      <c r="BV187" s="220">
        <f>SUMIFS(領用表!$L:$L,領用表!$E:$E,$B187,領用表!$B:$B,$BR$2&amp;BV$2)</f>
        <v/>
      </c>
      <c r="BW187" s="208">
        <f>SUMIFS(領用表!$L:$L,領用表!$A:$A,BW$2,領用表!$E:$E,B187)</f>
        <v/>
      </c>
      <c r="BX187" s="296">
        <f>SUMIFS(領用表!$L:$L,領用表!$E:$E,$B187,領用表!$B:$B,BW$2&amp;BX$2)</f>
        <v/>
      </c>
      <c r="BY187" s="296">
        <f>SUMIFS(領用表!$L:$L,領用表!$E:$E,$B187,領用表!$B:$B,$BW$2&amp;BY$2)</f>
        <v/>
      </c>
      <c r="BZ187" s="296">
        <f>SUMIFS(領用表!$L:$L,領用表!$E:$E,$B187,領用表!$B:$B,$BW$2&amp;BZ$2)</f>
        <v/>
      </c>
      <c r="CA187" s="296">
        <f>SUMIFS(領用表!$L:$L,領用表!$E:$E,$B187,領用表!$B:$B,$BW$2&amp;CA$2)</f>
        <v/>
      </c>
      <c r="CB187" s="208">
        <f>SUMIFS(領用表!$L:$L,領用表!$A:$A,CB$2,領用表!$E:$E,B187)</f>
        <v/>
      </c>
      <c r="CC187" s="296">
        <f>SUMIFS(領用表!$L:$L,領用表!$E:$E,$B187,領用表!$B:$B,CB$2&amp;CC$2)</f>
        <v/>
      </c>
      <c r="CD187" s="296">
        <f>SUMIFS(領用表!$L:$L,領用表!$E:$E,$B187,領用表!$B:$B,$CB$2&amp;CD$2)</f>
        <v/>
      </c>
      <c r="CE187" s="296">
        <f>SUMIFS(領用表!$L:$L,領用表!$E:$E,$B187,領用表!$B:$B,$CB$2&amp;CE$2)</f>
        <v/>
      </c>
      <c r="CF187" s="296">
        <f>SUMIFS(領用表!$L:$L,領用表!$E:$E,$B187,領用表!$B:$B,$CB$2&amp;CF$2)</f>
        <v/>
      </c>
      <c r="CG187" s="335">
        <f>SUMIFS(領用表!$L:$L,領用表!$A:$A,CG$2,領用表!$E:$E,B187)</f>
        <v/>
      </c>
      <c r="CH187" s="296">
        <f>SUMIFS(領用表!$L:$L,領用表!$E:$E,$B187,領用表!$B:$B,CG$2&amp;CH$2)</f>
        <v/>
      </c>
      <c r="CI187" s="296">
        <f>SUMIFS(領用表!$L:$L,領用表!$E:$E,$B187,領用表!$B:$B,CG$2&amp;CI$2)</f>
        <v/>
      </c>
      <c r="CJ187" s="296">
        <f>SUMIFS(領用表!$L:$L,領用表!$E:$E,$B187,領用表!$B:$B,CG$2&amp;CJ$2)</f>
        <v/>
      </c>
      <c r="CK187" s="296">
        <f>SUMIFS(領用表!$L:$L,領用表!$E:$E,$B187,領用表!$B:$B,$CG$2&amp;CK$2)</f>
        <v/>
      </c>
      <c r="CL187" s="207">
        <f>SUM(AX187,AY187,AZ187,BA187,BB187,BC187,BH187,BM187,BR187,BW187,CB187,CG187)</f>
        <v/>
      </c>
      <c r="CM187" s="207">
        <f>AVERAGE(AX187,AY187,AZ187,BA187,BB187,BC187,BH187,BM187,BR187,BW187,CB187,CG187)</f>
        <v/>
      </c>
      <c r="CN187" s="208">
        <f>SUMIFS(領用表!$L:$L,領用表!$A:$A,CN$2,領用表!$E:$E,B187)</f>
        <v/>
      </c>
      <c r="CO187" s="206">
        <f>SUMIFS(領用表!$L:$L,領用表!$E:$E,$B187,領用表!$B:$B,CN$2&amp;CO$2)</f>
        <v/>
      </c>
      <c r="CP187" s="206">
        <f>SUMIFS(領用表!$L:$L,領用表!$E:$E,$B187,領用表!$B:$B,$CN$2&amp;CP$2)</f>
        <v/>
      </c>
      <c r="CQ187" s="206">
        <f>SUMIFS(領用表!$L:$L,領用表!$E:$E,$B187,領用表!$B:$B,$CN$2&amp;CQ$2)</f>
        <v/>
      </c>
      <c r="CR187" s="296">
        <f>SUMIFS(領用表!$L:$L,領用表!$E:$E,$B187,領用表!$B:$B,$CN$2&amp;CR$2)</f>
        <v/>
      </c>
      <c r="CS187" s="208">
        <f>SUMIFS(領用表!$L:$L,領用表!$A:$A,CS$2,領用表!$E:$E,B187)</f>
        <v/>
      </c>
      <c r="CT187" s="206">
        <f>SUMIFS(領用表!$L:$L,領用表!$E:$E,$B187,領用表!$B:$B,CS$2&amp;CT$2)</f>
        <v/>
      </c>
      <c r="CU187" s="206">
        <f>SUMIFS(領用表!$L:$L,領用表!$E:$E,$B187,領用表!$B:$B,$CS$2&amp;CU$2)</f>
        <v/>
      </c>
      <c r="CV187" s="206">
        <f>SUMIFS(領用表!$L:$L,領用表!$E:$E,$B187,領用表!$B:$B,$CS$2&amp;CV$2)</f>
        <v/>
      </c>
      <c r="CW187" s="206">
        <f>SUMIFS(領用表!$L:$L,領用表!$E:$E,$B187,領用表!$B:$B,$CS$2&amp;CW$2)</f>
        <v/>
      </c>
      <c r="CX187" s="206">
        <f>SUMIFS(領用表!$L:$L,領用表!$E:$E,$B187,領用表!$B:$B,$CS$2&amp;CX$2)</f>
        <v/>
      </c>
      <c r="CY187" s="208">
        <f>SUMIFS(領用表!$L:$L,領用表!$A:$A,CY$2,領用表!$E:$E,B187)</f>
        <v/>
      </c>
      <c r="CZ187" s="296">
        <f>SUMIFS(領用表!$L:$L,領用表!$E:$E,$B187,領用表!$B:$B,CY$2&amp;CZ$2)</f>
        <v/>
      </c>
      <c r="DA187" s="296">
        <f>SUMIFS(領用表!$L:$L,領用表!$E:$E,$B187,領用表!$B:$B,$CY$2&amp;DA$2)</f>
        <v/>
      </c>
      <c r="DB187" s="296">
        <f>SUMIFS(領用表!$L:$L,領用表!$E:$E,$B187,領用表!$B:$B,$CY$2&amp;DB$2)</f>
        <v/>
      </c>
      <c r="DC187" s="296">
        <f>SUMIFS(領用表!$L:$L,領用表!$E:$E,$B187,領用表!$B:$B,$CY$2&amp;DC$2)</f>
        <v/>
      </c>
      <c r="DD187" s="296">
        <f>SUMIFS(領用表!$L:$L,領用表!$E:$E,$B187,領用表!$B:$B,$CY$2&amp;DD$2)</f>
        <v/>
      </c>
      <c r="DE187" s="208">
        <f>SUMIFS(領用表!$L:$L,領用表!$A:$A,DE$2,領用表!$E:$E,B187)</f>
        <v/>
      </c>
      <c r="DF187" s="296">
        <f>SUMIFS(領用表!$L:$L,領用表!$E:$E,$B187,領用表!$B:$B,DE$2&amp;DF$2)</f>
        <v/>
      </c>
      <c r="DG187" s="296">
        <f>SUMIFS(領用表!$L:$L,領用表!$E:$E,$B187,領用表!$B:$B,$DE$2&amp;DG$2)</f>
        <v/>
      </c>
      <c r="DH187" s="296">
        <f>SUMIFS(領用表!$L:$L,領用表!$E:$E,$B187,領用表!$B:$B,$DE$2&amp;DH$2)</f>
        <v/>
      </c>
      <c r="DI187" s="296">
        <f>SUMIFS(領用表!$L:$L,領用表!$E:$E,$B187,領用表!$B:$B,$DE$2&amp;DI$2)</f>
        <v/>
      </c>
      <c r="DJ187" s="296">
        <f>SUMIFS(領用表!$L:$L,領用表!$E:$E,$B187,領用表!$B:$B,$DE$2&amp;DJ$2)</f>
        <v/>
      </c>
      <c r="DK187" s="208">
        <f>SUMIFS(領用表!$L:$L,領用表!$A:$A,DK$2,領用表!$E:$E,$B187)</f>
        <v/>
      </c>
      <c r="DL187" s="296">
        <f>SUMIFS(領用表!$L:$L,領用表!$E:$E,$B187,領用表!$B:$B,DK$2&amp;DL$2)</f>
        <v/>
      </c>
      <c r="DM187" s="296">
        <f>SUMIFS(領用表!$L:$L,領用表!$E:$E,$B187,領用表!$B:$B,$CY$2&amp;DM$2)</f>
        <v/>
      </c>
      <c r="DN187" s="296">
        <f>SUMIFS(領用表!$L:$L,領用表!$E:$E,$B187,領用表!$B:$B,$DK$2&amp;DN$2)</f>
        <v/>
      </c>
      <c r="DO187" s="296">
        <f>SUMIFS(領用表!$L:$L,領用表!$E:$E,$B187,領用表!$B:$B,$DK$2&amp;DO$2)</f>
        <v/>
      </c>
      <c r="DP187" s="296">
        <f>SUMIFS(領用表!$L:$L,領用表!$E:$E,$B187,領用表!$B:$B,$DK$2&amp;DP$2)</f>
        <v/>
      </c>
      <c r="DQ187" s="208" t="n"/>
      <c r="DR187" s="296" t="n"/>
      <c r="DS187" s="296" t="n"/>
      <c r="DT187" s="296" t="n"/>
      <c r="DU187" s="296" t="n"/>
      <c r="DV187" s="296" t="n"/>
      <c r="DW187" s="330">
        <f>SUM(CN187,CS187,CY187,DE187,DK187,DQ187)</f>
        <v/>
      </c>
      <c r="DX187" s="330">
        <f>AVERAGEA(CN187,CS187,CY187,DE187,DK187,DQ187)</f>
        <v/>
      </c>
      <c r="DY187" s="330">
        <f>SUM(DZ187:EC187)</f>
        <v/>
      </c>
      <c r="DZ187" s="330" t="n">
        <v>0</v>
      </c>
      <c r="EA187" s="330" t="n">
        <v>0</v>
      </c>
      <c r="EB187" s="330" t="n">
        <v>0</v>
      </c>
      <c r="EC187" s="330" t="n">
        <v>0</v>
      </c>
      <c r="ED187" s="338" t="n"/>
      <c r="EE187" s="342" t="n"/>
      <c r="EF187" s="340" t="n"/>
      <c r="EG187" s="340" t="n"/>
      <c r="EJ187" s="118">
        <f>IFERROR(VLOOKUP(A187,站前4樓!A:BF,57,0),0)</f>
        <v/>
      </c>
      <c r="EK187" s="213">
        <f>IFERROR(VLOOKUP(A187,站前11樓!A:BE,57,0),0)</f>
        <v/>
      </c>
      <c r="EL187" s="118">
        <f>IFERROR(VLOOKUP(A187,忠孝7樓!A:N,57,0),0)</f>
        <v/>
      </c>
      <c r="EM187" s="118">
        <f>IFERROR(VLOOKUP(A187,忠孝國際醫學3樓!A:L,57,0),0)</f>
        <v/>
      </c>
      <c r="EN187" s="118">
        <f>SUM(ED187:EG187)</f>
        <v/>
      </c>
    </row>
    <row r="188" ht="16.5" customFormat="1" customHeight="1" s="118">
      <c r="A188" s="136" t="inlineStr">
        <is>
          <t>DL1GD000020T</t>
        </is>
      </c>
      <c r="B188" s="14" t="n">
        <v>6100003</v>
      </c>
      <c r="C188" s="136" t="inlineStr">
        <is>
          <t>暢護菌益康粉包 3g(30入)(繁體版)</t>
        </is>
      </c>
      <c r="D188" s="285" t="n"/>
      <c r="E188" s="198" t="inlineStr">
        <is>
          <t>PCS</t>
        </is>
      </c>
      <c r="F188" s="225">
        <f>SUMIF(站前4樓!B:B,B188,站前4樓!F:F)</f>
        <v/>
      </c>
      <c r="G188" s="225">
        <f>SUMIF(站前11樓!B:B,B188,站前11樓!F:F)</f>
        <v/>
      </c>
      <c r="H188" s="225">
        <f>SUMIF(忠孝7樓!B:B,B188,忠孝7樓!G:G)</f>
        <v/>
      </c>
      <c r="I188" s="225">
        <f>SUMIF(忠孝國際醫學3樓!B:B,B188,忠孝國際醫學3樓!G:G)</f>
        <v/>
      </c>
      <c r="J188" s="225">
        <f>SUMIF(忠孝健康7樓!B:B,B188,忠孝健康7樓!G:G)</f>
        <v/>
      </c>
      <c r="AJ188" s="348" t="n"/>
      <c r="AK188" s="348" t="n"/>
      <c r="AL188" s="348" t="n"/>
      <c r="AM188" s="348" t="n"/>
      <c r="AN188" s="348" t="n"/>
      <c r="AO188" s="348" t="n"/>
      <c r="AP188" s="348" t="n"/>
      <c r="AQ188" s="201" t="n">
        <v>0</v>
      </c>
      <c r="AR188" s="201" t="n">
        <v>0</v>
      </c>
      <c r="AS188" s="201" t="n">
        <v>0</v>
      </c>
      <c r="AT188" s="201" t="n">
        <v>0</v>
      </c>
      <c r="AU188" s="201" t="n">
        <v>18</v>
      </c>
      <c r="AV188" s="283">
        <f>SUM(AJ188:AU188)</f>
        <v/>
      </c>
      <c r="AW188" s="286">
        <f>AV188/12</f>
        <v/>
      </c>
      <c r="AX188" s="201" t="n">
        <v>18</v>
      </c>
      <c r="AY188" s="201" t="n">
        <v>0</v>
      </c>
      <c r="AZ188" s="201" t="n">
        <v>0</v>
      </c>
      <c r="BA188" s="201" t="n">
        <v>360</v>
      </c>
      <c r="BB188" s="201" t="n">
        <v>0</v>
      </c>
      <c r="BC188" s="203">
        <f>SUMIFS(領用表!$L:$L,領用表!$A:$A,BC$2,領用表!$E:$E,B188)</f>
        <v/>
      </c>
      <c r="BD188" s="296">
        <f>SUMIFS(領用表!$L:$L,領用表!$E:$E,$B188,領用表!$B:$B,BC$2&amp;BD$2)</f>
        <v/>
      </c>
      <c r="BE188" s="296">
        <f>SUMIFS(領用表!$L:$L,領用表!$E:$E,$B188,領用表!$B:$B,$BC$2&amp;BE$2)</f>
        <v/>
      </c>
      <c r="BF188" s="296">
        <f>SUMIFS(領用表!$L:$L,領用表!$E:$E,$B188,領用表!$B:$B,$BC$2&amp;BF$2)</f>
        <v/>
      </c>
      <c r="BG188" s="296">
        <f>SUMIFS(領用表!$L:$L,領用表!$E:$E,$B188,領用表!$B:$B,$BC$2&amp;BG$2)</f>
        <v/>
      </c>
      <c r="BH188" s="203">
        <f>SUMIFS(領用表!$L:$L,領用表!$A:$A,BH$2,領用表!$E:$E,B188)</f>
        <v/>
      </c>
      <c r="BI188" s="260">
        <f>SUMIFS(領用表!$L:$L,領用表!$E:$E,$B188,領用表!$B:$B,BH$2&amp;BI$2)</f>
        <v/>
      </c>
      <c r="BJ188" s="260">
        <f>SUMIFS(領用表!$L:$L,領用表!$E:$E,$B188,領用表!$B:$B,$BH$2&amp;BJ$2)</f>
        <v/>
      </c>
      <c r="BK188" s="260">
        <f>SUMIFS(領用表!$L:$L,領用表!$E:$E,$B188,領用表!$B:$B,$BH$2&amp;BK$2)</f>
        <v/>
      </c>
      <c r="BL188" s="260">
        <f>SUMIFS(領用表!$L:$L,領用表!$E:$E,$B188,領用表!$B:$B,$BH$2&amp;BL$2)</f>
        <v/>
      </c>
      <c r="BM188" s="203">
        <f>SUMIFS(領用表!$L:$L,領用表!$A:$A,BM$2,領用表!$E:$E,B188)</f>
        <v/>
      </c>
      <c r="BN188" s="331">
        <f>SUMIFS(領用表!$L:$L,領用表!$E:$E,$B188,領用表!$B:$B,BM$2&amp;BN$2)</f>
        <v/>
      </c>
      <c r="BO188" s="331">
        <f>SUMIFS(領用表!$L:$L,領用表!$E:$E,$B188,領用表!$B:$B,$BM$2&amp;BO$2)</f>
        <v/>
      </c>
      <c r="BP188" s="288">
        <f>SUMIFS(領用表!$L:$L,領用表!$E:$E,$B188,領用表!$B:$B,$BM$2&amp;BP$2)</f>
        <v/>
      </c>
      <c r="BQ188" s="287">
        <f>SUMIFS(領用表!$L:$L,領用表!$E:$E,$B188,領用表!$B:$B,$BM$2&amp;BQ$2)</f>
        <v/>
      </c>
      <c r="BR188" s="203">
        <f>SUMIFS(領用表!$L:$L,領用表!$A:$A,BR$2,領用表!$E:$E,B188)</f>
        <v/>
      </c>
      <c r="BS188" s="260">
        <f>SUMIFS(領用表!$L:$L,領用表!$E:$E,$B188,領用表!$B:$B,BR$2&amp;BS$2)</f>
        <v/>
      </c>
      <c r="BT188" s="260">
        <f>SUMIFS(領用表!$L:$L,領用表!$E:$E,$B188,領用表!$B:$B,$BR$2&amp;BT$2)</f>
        <v/>
      </c>
      <c r="BU188" s="260">
        <f>SUMIFS(領用表!$L:$L,領用表!$E:$E,$B188,領用表!$B:$B,$BR$2&amp;BU$2)</f>
        <v/>
      </c>
      <c r="BV188" s="220">
        <f>SUMIFS(領用表!$L:$L,領用表!$E:$E,$B188,領用表!$B:$B,$BR$2&amp;BV$2)</f>
        <v/>
      </c>
      <c r="BW188" s="208">
        <f>SUMIFS(領用表!$L:$L,領用表!$A:$A,BW$2,領用表!$E:$E,B188)</f>
        <v/>
      </c>
      <c r="BX188" s="331">
        <f>SUMIFS(領用表!$L:$L,領用表!$E:$E,$B188,領用表!$B:$B,BW$2&amp;BX$2)</f>
        <v/>
      </c>
      <c r="BY188" s="331">
        <f>SUMIFS(領用表!$L:$L,領用表!$E:$E,$B188,領用表!$B:$B,$BW$2&amp;BY$2)</f>
        <v/>
      </c>
      <c r="BZ188" s="331">
        <f>SUMIFS(領用表!$L:$L,領用表!$E:$E,$B188,領用表!$B:$B,$BW$2&amp;BZ$2)</f>
        <v/>
      </c>
      <c r="CA188" s="331">
        <f>SUMIFS(領用表!$L:$L,領用表!$E:$E,$B188,領用表!$B:$B,$BW$2&amp;CA$2)</f>
        <v/>
      </c>
      <c r="CB188" s="208">
        <f>SUMIFS(領用表!$L:$L,領用表!$A:$A,CB$2,領用表!$E:$E,B188)</f>
        <v/>
      </c>
      <c r="CC188" s="344">
        <f>SUMIFS(領用表!$L:$L,領用表!$E:$E,$B188,領用表!$B:$B,CB$2&amp;CC$2)</f>
        <v/>
      </c>
      <c r="CD188" s="344">
        <f>SUMIFS(領用表!$L:$L,領用表!$E:$E,$B188,領用表!$B:$B,$CB$2&amp;CD$2)</f>
        <v/>
      </c>
      <c r="CE188" s="344">
        <f>SUMIFS(領用表!$L:$L,領用表!$E:$E,$B188,領用表!$B:$B,$CB$2&amp;CE$2)</f>
        <v/>
      </c>
      <c r="CF188" s="344">
        <f>SUMIFS(領用表!$L:$L,領用表!$E:$E,$B188,領用表!$B:$B,$CB$2&amp;CF$2)</f>
        <v/>
      </c>
      <c r="CG188" s="332">
        <f>SUMIFS(領用表!$L:$L,領用表!$A:$A,CG$2,領用表!$E:$E,B188)</f>
        <v/>
      </c>
      <c r="CH188" s="296">
        <f>SUMIFS(領用表!$L:$L,領用表!$E:$E,$B188,領用表!$B:$B,CG$2&amp;CH$2)</f>
        <v/>
      </c>
      <c r="CI188" s="296">
        <f>SUMIFS(領用表!$L:$L,領用表!$E:$E,$B188,領用表!$B:$B,CG$2&amp;CI$2)</f>
        <v/>
      </c>
      <c r="CJ188" s="296">
        <f>SUMIFS(領用表!$L:$L,領用表!$E:$E,$B188,領用表!$B:$B,CG$2&amp;CJ$2)</f>
        <v/>
      </c>
      <c r="CK188" s="296">
        <f>SUMIFS(領用表!$L:$L,領用表!$E:$E,$B188,領用表!$B:$B,$CG$2&amp;CK$2)</f>
        <v/>
      </c>
      <c r="CL188" s="207">
        <f>SUM(AX188,AY188,AZ188,BA188,BB188,BC188,BH188,BM188,BR188,BW188,CB188,CG188)</f>
        <v/>
      </c>
      <c r="CM188" s="207">
        <f>AVERAGE(AX188,AY188,AZ188,BA188,BB188,BC188,BH188,BM188,BR188,BW188,CB188,CG188)</f>
        <v/>
      </c>
      <c r="CN188" s="208">
        <f>SUMIFS(領用表!$L:$L,領用表!$A:$A,CN$2,領用表!$E:$E,B188)</f>
        <v/>
      </c>
      <c r="CO188" s="206">
        <f>SUMIFS(領用表!$L:$L,領用表!$E:$E,$B188,領用表!$B:$B,CN$2&amp;CO$2)</f>
        <v/>
      </c>
      <c r="CP188" s="206">
        <f>SUMIFS(領用表!$L:$L,領用表!$E:$E,$B188,領用表!$B:$B,$CN$2&amp;CP$2)</f>
        <v/>
      </c>
      <c r="CQ188" s="206">
        <f>SUMIFS(領用表!$L:$L,領用表!$E:$E,$B188,領用表!$B:$B,$CN$2&amp;CQ$2)</f>
        <v/>
      </c>
      <c r="CR188" s="296">
        <f>SUMIFS(領用表!$L:$L,領用表!$E:$E,$B188,領用表!$B:$B,$CN$2&amp;CR$2)</f>
        <v/>
      </c>
      <c r="CS188" s="208">
        <f>SUMIFS(領用表!$L:$L,領用表!$A:$A,CS$2,領用表!$E:$E,B188)</f>
        <v/>
      </c>
      <c r="CT188" s="206">
        <f>SUMIFS(領用表!$L:$L,領用表!$E:$E,$B188,領用表!$B:$B,CS$2&amp;CT$2)</f>
        <v/>
      </c>
      <c r="CU188" s="206">
        <f>SUMIFS(領用表!$L:$L,領用表!$E:$E,$B188,領用表!$B:$B,$CS$2&amp;CU$2)</f>
        <v/>
      </c>
      <c r="CV188" s="206">
        <f>SUMIFS(領用表!$L:$L,領用表!$E:$E,$B188,領用表!$B:$B,$CS$2&amp;CV$2)</f>
        <v/>
      </c>
      <c r="CW188" s="206">
        <f>SUMIFS(領用表!$L:$L,領用表!$E:$E,$B188,領用表!$B:$B,$CS$2&amp;CW$2)</f>
        <v/>
      </c>
      <c r="CX188" s="206">
        <f>SUMIFS(領用表!$L:$L,領用表!$E:$E,$B188,領用表!$B:$B,$CS$2&amp;CX$2)</f>
        <v/>
      </c>
      <c r="CY188" s="208">
        <f>SUMIFS(領用表!$L:$L,領用表!$A:$A,CY$2,領用表!$E:$E,B188)</f>
        <v/>
      </c>
      <c r="CZ188" s="296">
        <f>SUMIFS(領用表!$L:$L,領用表!$E:$E,$B188,領用表!$B:$B,CY$2&amp;CZ$2)</f>
        <v/>
      </c>
      <c r="DA188" s="296">
        <f>SUMIFS(領用表!$L:$L,領用表!$E:$E,$B188,領用表!$B:$B,$CY$2&amp;DA$2)</f>
        <v/>
      </c>
      <c r="DB188" s="296">
        <f>SUMIFS(領用表!$L:$L,領用表!$E:$E,$B188,領用表!$B:$B,$CY$2&amp;DB$2)</f>
        <v/>
      </c>
      <c r="DC188" s="296">
        <f>SUMIFS(領用表!$L:$L,領用表!$E:$E,$B188,領用表!$B:$B,$CY$2&amp;DC$2)</f>
        <v/>
      </c>
      <c r="DD188" s="296">
        <f>SUMIFS(領用表!$L:$L,領用表!$E:$E,$B188,領用表!$B:$B,$CY$2&amp;DD$2)</f>
        <v/>
      </c>
      <c r="DE188" s="208">
        <f>SUMIFS(領用表!$L:$L,領用表!$A:$A,DE$2,領用表!$E:$E,B188)</f>
        <v/>
      </c>
      <c r="DF188" s="296">
        <f>SUMIFS(領用表!$L:$L,領用表!$E:$E,$B188,領用表!$B:$B,DE$2&amp;DF$2)</f>
        <v/>
      </c>
      <c r="DG188" s="296">
        <f>SUMIFS(領用表!$L:$L,領用表!$E:$E,$B188,領用表!$B:$B,$DE$2&amp;DG$2)</f>
        <v/>
      </c>
      <c r="DH188" s="296">
        <f>SUMIFS(領用表!$L:$L,領用表!$E:$E,$B188,領用表!$B:$B,$DE$2&amp;DH$2)</f>
        <v/>
      </c>
      <c r="DI188" s="296">
        <f>SUMIFS(領用表!$L:$L,領用表!$E:$E,$B188,領用表!$B:$B,$DE$2&amp;DI$2)</f>
        <v/>
      </c>
      <c r="DJ188" s="296">
        <f>SUMIFS(領用表!$L:$L,領用表!$E:$E,$B188,領用表!$B:$B,$DE$2&amp;DJ$2)</f>
        <v/>
      </c>
      <c r="DK188" s="208">
        <f>SUMIFS(領用表!$L:$L,領用表!$A:$A,DK$2,領用表!$E:$E,$B188)</f>
        <v/>
      </c>
      <c r="DL188" s="296">
        <f>SUMIFS(領用表!$L:$L,領用表!$E:$E,$B188,領用表!$B:$B,DK$2&amp;DL$2)</f>
        <v/>
      </c>
      <c r="DM188" s="296">
        <f>SUMIFS(領用表!$L:$L,領用表!$E:$E,$B188,領用表!$B:$B,$CY$2&amp;DM$2)</f>
        <v/>
      </c>
      <c r="DN188" s="296">
        <f>SUMIFS(領用表!$L:$L,領用表!$E:$E,$B188,領用表!$B:$B,$DK$2&amp;DN$2)</f>
        <v/>
      </c>
      <c r="DO188" s="296">
        <f>SUMIFS(領用表!$L:$L,領用表!$E:$E,$B188,領用表!$B:$B,$DK$2&amp;DO$2)</f>
        <v/>
      </c>
      <c r="DP188" s="296">
        <f>SUMIFS(領用表!$L:$L,領用表!$E:$E,$B188,領用表!$B:$B,$DK$2&amp;DP$2)</f>
        <v/>
      </c>
      <c r="DQ188" s="208" t="n"/>
      <c r="DR188" s="296" t="n"/>
      <c r="DS188" s="296" t="n"/>
      <c r="DT188" s="296" t="n"/>
      <c r="DU188" s="296" t="n"/>
      <c r="DV188" s="296" t="n"/>
      <c r="DW188" s="296">
        <f>SUM(CN188,CS188,CY188,DE188,DK188,DQ188)</f>
        <v/>
      </c>
      <c r="DX188" s="296">
        <f>AVERAGEA(CN188,CS188,CY188,DE188,DK188,DQ188)</f>
        <v/>
      </c>
      <c r="DY188" s="296">
        <f>SUM(DZ188:EC188)</f>
        <v/>
      </c>
      <c r="DZ188" s="296" t="n">
        <v>0</v>
      </c>
      <c r="EA188" s="296" t="n">
        <v>0</v>
      </c>
      <c r="EB188" s="296" t="n">
        <v>0</v>
      </c>
      <c r="EC188" s="296" t="n">
        <v>0</v>
      </c>
      <c r="ED188" s="258" t="n"/>
      <c r="EE188" s="340" t="n"/>
      <c r="EF188" s="340" t="n"/>
      <c r="EG188" s="340" t="n"/>
      <c r="EJ188" s="118">
        <f>IFERROR(VLOOKUP(A188,站前4樓!A:BF,57,0),0)</f>
        <v/>
      </c>
      <c r="EK188" s="213">
        <f>IFERROR(VLOOKUP(A188,站前11樓!A:BE,57,0),0)</f>
        <v/>
      </c>
      <c r="EL188" s="118">
        <f>IFERROR(VLOOKUP(A188,忠孝7樓!A:N,57,0),0)</f>
        <v/>
      </c>
      <c r="EM188" s="118">
        <f>IFERROR(VLOOKUP(A188,忠孝國際醫學3樓!A:L,57,0),0)</f>
        <v/>
      </c>
      <c r="EN188" s="118">
        <f>SUM(ED188:EG188)</f>
        <v/>
      </c>
    </row>
    <row r="189" ht="14.25" customFormat="1" customHeight="1" s="118">
      <c r="A189" s="136" t="inlineStr">
        <is>
          <t>TL1BK130005T</t>
        </is>
      </c>
      <c r="C189" s="136" t="inlineStr">
        <is>
          <t>試用-日出朝陽按摩油 200ml</t>
        </is>
      </c>
      <c r="D189" s="285" t="n"/>
      <c r="E189" s="198" t="inlineStr">
        <is>
          <t>PCS</t>
        </is>
      </c>
      <c r="F189" s="225">
        <f>SUMIF(站前4樓!B:B,B189,站前4樓!F:F)</f>
        <v/>
      </c>
      <c r="G189" s="225">
        <f>SUMIF(站前11樓!B:B,B189,站前11樓!F:F)</f>
        <v/>
      </c>
      <c r="H189" s="225">
        <f>SUMIF(忠孝7樓!B:B,B189,忠孝7樓!G:G)</f>
        <v/>
      </c>
      <c r="I189" s="225">
        <f>SUMIF(忠孝國際醫學3樓!B:B,B189,忠孝國際醫學3樓!G:G)</f>
        <v/>
      </c>
      <c r="J189" s="225">
        <f>SUMIF(忠孝健康7樓!B:B,B189,忠孝健康7樓!G:G)</f>
        <v/>
      </c>
      <c r="AU189" s="201" t="n">
        <v>0</v>
      </c>
      <c r="AV189" s="347" t="n">
        <v>0</v>
      </c>
      <c r="AW189" s="347" t="n">
        <v>0</v>
      </c>
      <c r="AX189" s="201" t="n">
        <v>0</v>
      </c>
      <c r="AY189" s="201" t="n">
        <v>0</v>
      </c>
      <c r="AZ189" s="201" t="n">
        <v>54</v>
      </c>
      <c r="BA189" s="201" t="n">
        <v>0</v>
      </c>
      <c r="BB189" s="201" t="n">
        <v>0</v>
      </c>
      <c r="BC189" s="203">
        <f>SUMIFS(領用表!$L:$L,領用表!$A:$A,BC$2,領用表!$E:$E,B189)</f>
        <v/>
      </c>
      <c r="BD189" s="296">
        <f>SUMIFS(領用表!$L:$L,領用表!$E:$E,$B189,領用表!$B:$B,BC$2&amp;BD$2)</f>
        <v/>
      </c>
      <c r="BE189" s="296">
        <f>SUMIFS(領用表!$L:$L,領用表!$E:$E,$B189,領用表!$B:$B,$BC$2&amp;BE$2)</f>
        <v/>
      </c>
      <c r="BF189" s="296">
        <f>SUMIFS(領用表!$L:$L,領用表!$E:$E,$B189,領用表!$B:$B,$BC$2&amp;BF$2)</f>
        <v/>
      </c>
      <c r="BG189" s="296">
        <f>SUMIFS(領用表!$L:$L,領用表!$E:$E,$B189,領用表!$B:$B,$BC$2&amp;BG$2)</f>
        <v/>
      </c>
      <c r="BH189" s="203">
        <f>SUMIFS(領用表!$L:$L,領用表!$A:$A,BH$2,領用表!$E:$E,B189)</f>
        <v/>
      </c>
      <c r="BI189" s="260">
        <f>SUMIFS(領用表!$L:$L,領用表!$E:$E,$B189,領用表!$B:$B,BH$2&amp;BI$2)</f>
        <v/>
      </c>
      <c r="BJ189" s="260">
        <f>SUMIFS(領用表!$L:$L,領用表!$E:$E,$B189,領用表!$B:$B,$BH$2&amp;BJ$2)</f>
        <v/>
      </c>
      <c r="BK189" s="260">
        <f>SUMIFS(領用表!$L:$L,領用表!$E:$E,$B189,領用表!$B:$B,$BH$2&amp;BK$2)</f>
        <v/>
      </c>
      <c r="BL189" s="260">
        <f>SUMIFS(領用表!$L:$L,領用表!$E:$E,$B189,領用表!$B:$B,$BH$2&amp;BL$2)</f>
        <v/>
      </c>
      <c r="BM189" s="203">
        <f>SUMIFS(領用表!$L:$L,領用表!$A:$A,BM$2,領用表!$E:$E,B189)</f>
        <v/>
      </c>
      <c r="BN189" s="331">
        <f>SUMIFS(領用表!$L:$L,領用表!$E:$E,$B189,領用表!$B:$B,BM$2&amp;BN$2)</f>
        <v/>
      </c>
      <c r="BO189" s="331">
        <f>SUMIFS(領用表!$L:$L,領用表!$E:$E,$B189,領用表!$B:$B,$BM$2&amp;BO$2)</f>
        <v/>
      </c>
      <c r="BP189" s="288">
        <f>SUMIFS(領用表!$L:$L,領用表!$E:$E,$B189,領用表!$B:$B,$BM$2&amp;BP$2)</f>
        <v/>
      </c>
      <c r="BQ189" s="287">
        <f>SUMIFS(領用表!$L:$L,領用表!$E:$E,$B189,領用表!$B:$B,$BM$2&amp;BQ$2)</f>
        <v/>
      </c>
      <c r="BR189" s="203">
        <f>SUMIFS(領用表!$L:$L,領用表!$A:$A,BR$2,領用表!$E:$E,B189)</f>
        <v/>
      </c>
      <c r="BS189" s="260">
        <f>SUMIFS(領用表!$L:$L,領用表!$E:$E,$B189,領用表!$B:$B,BR$2&amp;BS$2)</f>
        <v/>
      </c>
      <c r="BT189" s="260">
        <f>SUMIFS(領用表!$L:$L,領用表!$E:$E,$B189,領用表!$B:$B,$BR$2&amp;BT$2)</f>
        <v/>
      </c>
      <c r="BU189" s="260">
        <f>SUMIFS(領用表!$L:$L,領用表!$E:$E,$B189,領用表!$B:$B,$BR$2&amp;BU$2)</f>
        <v/>
      </c>
      <c r="BV189" s="220">
        <f>SUMIFS(領用表!$L:$L,領用表!$E:$E,$B189,領用表!$B:$B,$BR$2&amp;BV$2)</f>
        <v/>
      </c>
      <c r="BW189" s="208">
        <f>SUMIFS(領用表!$L:$L,領用表!$A:$A,BW$2,領用表!$E:$E,B189)</f>
        <v/>
      </c>
      <c r="BX189" s="296">
        <f>SUMIFS(領用表!$L:$L,領用表!$E:$E,$B189,領用表!$B:$B,BW$2&amp;BX$2)</f>
        <v/>
      </c>
      <c r="BY189" s="296">
        <f>SUMIFS(領用表!$L:$L,領用表!$E:$E,$B189,領用表!$B:$B,$BW$2&amp;BY$2)</f>
        <v/>
      </c>
      <c r="BZ189" s="296">
        <f>SUMIFS(領用表!$L:$L,領用表!$E:$E,$B189,領用表!$B:$B,$BW$2&amp;BZ$2)</f>
        <v/>
      </c>
      <c r="CA189" s="296">
        <f>SUMIFS(領用表!$L:$L,領用表!$E:$E,$B189,領用表!$B:$B,$BW$2&amp;CA$2)</f>
        <v/>
      </c>
      <c r="CB189" s="208">
        <f>SUMIFS(領用表!$L:$L,領用表!$A:$A,CB$2,領用表!$E:$E,B189)</f>
        <v/>
      </c>
      <c r="CC189" s="339">
        <f>SUMIFS(領用表!$L:$L,領用表!$E:$E,$B189,領用表!$B:$B,CB$2&amp;CC$2)</f>
        <v/>
      </c>
      <c r="CD189" s="339">
        <f>SUMIFS(領用表!$L:$L,領用表!$E:$E,$B189,領用表!$B:$B,$CB$2&amp;CD$2)</f>
        <v/>
      </c>
      <c r="CE189" s="339">
        <f>SUMIFS(領用表!$L:$L,領用表!$E:$E,$B189,領用表!$B:$B,$CB$2&amp;CE$2)</f>
        <v/>
      </c>
      <c r="CF189" s="339">
        <f>SUMIFS(領用表!$L:$L,領用表!$E:$E,$B189,領用表!$B:$B,$CB$2&amp;CF$2)</f>
        <v/>
      </c>
      <c r="CG189" s="335">
        <f>SUMIFS(領用表!$L:$L,領用表!$A:$A,CG$2,領用表!$E:$E,B189)</f>
        <v/>
      </c>
      <c r="CH189" s="296">
        <f>SUMIFS(領用表!$L:$L,領用表!$E:$E,$B189,領用表!$B:$B,CG$2&amp;CH$2)</f>
        <v/>
      </c>
      <c r="CI189" s="296">
        <f>SUMIFS(領用表!$L:$L,領用表!$E:$E,$B189,領用表!$B:$B,CG$2&amp;CI$2)</f>
        <v/>
      </c>
      <c r="CJ189" s="296">
        <f>SUMIFS(領用表!$L:$L,領用表!$E:$E,$B189,領用表!$B:$B,CG$2&amp;CJ$2)</f>
        <v/>
      </c>
      <c r="CK189" s="296">
        <f>SUMIFS(領用表!$L:$L,領用表!$E:$E,$B189,領用表!$B:$B,$CG$2&amp;CK$2)</f>
        <v/>
      </c>
      <c r="CL189" s="207">
        <f>SUM(AX189,AY189,AZ189,BA189,BB189,BC189,BH189,BM189,BR189,BW189,CB189,CG189)</f>
        <v/>
      </c>
      <c r="CM189" s="207">
        <f>AVERAGE(AX189,AY189,AZ189,BA189,BB189,BC189,BH189,BM189,BR189,BW189,CB189,CG189)</f>
        <v/>
      </c>
      <c r="CN189" s="208">
        <f>SUMIFS(領用表!$L:$L,領用表!$A:$A,CN$2,領用表!$E:$E,B189)</f>
        <v/>
      </c>
      <c r="CO189" s="206">
        <f>SUMIFS(領用表!$L:$L,領用表!$E:$E,$B189,領用表!$B:$B,CN$2&amp;CO$2)</f>
        <v/>
      </c>
      <c r="CP189" s="206">
        <f>SUMIFS(領用表!$L:$L,領用表!$E:$E,$B189,領用表!$B:$B,$CN$2&amp;CP$2)</f>
        <v/>
      </c>
      <c r="CQ189" s="206">
        <f>SUMIFS(領用表!$L:$L,領用表!$E:$E,$B189,領用表!$B:$B,$CN$2&amp;CQ$2)</f>
        <v/>
      </c>
      <c r="CR189" s="296">
        <f>SUMIFS(領用表!$L:$L,領用表!$E:$E,$B189,領用表!$B:$B,$CN$2&amp;CR$2)</f>
        <v/>
      </c>
      <c r="CS189" s="208">
        <f>SUMIFS(領用表!$L:$L,領用表!$A:$A,CS$2,領用表!$E:$E,B189)</f>
        <v/>
      </c>
      <c r="CT189" s="206">
        <f>SUMIFS(領用表!$L:$L,領用表!$E:$E,$B189,領用表!$B:$B,CS$2&amp;CT$2)</f>
        <v/>
      </c>
      <c r="CU189" s="206">
        <f>SUMIFS(領用表!$L:$L,領用表!$E:$E,$B189,領用表!$B:$B,$CS$2&amp;CU$2)</f>
        <v/>
      </c>
      <c r="CV189" s="206">
        <f>SUMIFS(領用表!$L:$L,領用表!$E:$E,$B189,領用表!$B:$B,$CS$2&amp;CV$2)</f>
        <v/>
      </c>
      <c r="CW189" s="206">
        <f>SUMIFS(領用表!$L:$L,領用表!$E:$E,$B189,領用表!$B:$B,$CS$2&amp;CW$2)</f>
        <v/>
      </c>
      <c r="CX189" s="206">
        <f>SUMIFS(領用表!$L:$L,領用表!$E:$E,$B189,領用表!$B:$B,$CS$2&amp;CX$2)</f>
        <v/>
      </c>
      <c r="CY189" s="208">
        <f>SUMIFS(領用表!$L:$L,領用表!$A:$A,CY$2,領用表!$E:$E,B189)</f>
        <v/>
      </c>
      <c r="CZ189" s="296">
        <f>SUMIFS(領用表!$L:$L,領用表!$E:$E,$B189,領用表!$B:$B,CY$2&amp;CZ$2)</f>
        <v/>
      </c>
      <c r="DA189" s="296">
        <f>SUMIFS(領用表!$L:$L,領用表!$E:$E,$B189,領用表!$B:$B,$CY$2&amp;DA$2)</f>
        <v/>
      </c>
      <c r="DB189" s="296">
        <f>SUMIFS(領用表!$L:$L,領用表!$E:$E,$B189,領用表!$B:$B,$CY$2&amp;DB$2)</f>
        <v/>
      </c>
      <c r="DC189" s="296">
        <f>SUMIFS(領用表!$L:$L,領用表!$E:$E,$B189,領用表!$B:$B,$CY$2&amp;DC$2)</f>
        <v/>
      </c>
      <c r="DD189" s="296">
        <f>SUMIFS(領用表!$L:$L,領用表!$E:$E,$B189,領用表!$B:$B,$CY$2&amp;DD$2)</f>
        <v/>
      </c>
      <c r="DE189" s="208">
        <f>SUMIFS(領用表!$L:$L,領用表!$A:$A,DE$2,領用表!$E:$E,B189)</f>
        <v/>
      </c>
      <c r="DF189" s="296">
        <f>SUMIFS(領用表!$L:$L,領用表!$E:$E,$B189,領用表!$B:$B,DE$2&amp;DF$2)</f>
        <v/>
      </c>
      <c r="DG189" s="296">
        <f>SUMIFS(領用表!$L:$L,領用表!$E:$E,$B189,領用表!$B:$B,$DE$2&amp;DG$2)</f>
        <v/>
      </c>
      <c r="DH189" s="296">
        <f>SUMIFS(領用表!$L:$L,領用表!$E:$E,$B189,領用表!$B:$B,$DE$2&amp;DH$2)</f>
        <v/>
      </c>
      <c r="DI189" s="296">
        <f>SUMIFS(領用表!$L:$L,領用表!$E:$E,$B189,領用表!$B:$B,$DE$2&amp;DI$2)</f>
        <v/>
      </c>
      <c r="DJ189" s="296">
        <f>SUMIFS(領用表!$L:$L,領用表!$E:$E,$B189,領用表!$B:$B,$DE$2&amp;DJ$2)</f>
        <v/>
      </c>
      <c r="DK189" s="208">
        <f>SUMIFS(領用表!$L:$L,領用表!$A:$A,DK$2,領用表!$E:$E,$B189)</f>
        <v/>
      </c>
      <c r="DL189" s="296">
        <f>SUMIFS(領用表!$L:$L,領用表!$E:$E,$B189,領用表!$B:$B,DK$2&amp;DL$2)</f>
        <v/>
      </c>
      <c r="DM189" s="296">
        <f>SUMIFS(領用表!$L:$L,領用表!$E:$E,$B189,領用表!$B:$B,$CY$2&amp;DM$2)</f>
        <v/>
      </c>
      <c r="DN189" s="296">
        <f>SUMIFS(領用表!$L:$L,領用表!$E:$E,$B189,領用表!$B:$B,$DK$2&amp;DN$2)</f>
        <v/>
      </c>
      <c r="DO189" s="296">
        <f>SUMIFS(領用表!$L:$L,領用表!$E:$E,$B189,領用表!$B:$B,$DK$2&amp;DO$2)</f>
        <v/>
      </c>
      <c r="DP189" s="296">
        <f>SUMIFS(領用表!$L:$L,領用表!$E:$E,$B189,領用表!$B:$B,$DK$2&amp;DP$2)</f>
        <v/>
      </c>
      <c r="DQ189" s="208" t="n"/>
      <c r="DR189" s="296" t="n"/>
      <c r="DS189" s="296" t="n"/>
      <c r="DT189" s="296" t="n"/>
      <c r="DU189" s="296" t="n"/>
      <c r="DV189" s="296" t="n"/>
      <c r="DW189" s="330">
        <f>SUM(CN189,CS189,CY189,DE189,DK189,DQ189)</f>
        <v/>
      </c>
      <c r="DX189" s="330">
        <f>AVERAGEA(CN189,CS189,CY189,DE189,DK189,DQ189)</f>
        <v/>
      </c>
      <c r="DY189" s="330">
        <f>SUM(DZ189:EC189)</f>
        <v/>
      </c>
      <c r="DZ189" s="330" t="n">
        <v>0</v>
      </c>
      <c r="EA189" s="330" t="n">
        <v>0</v>
      </c>
      <c r="EB189" s="330" t="n">
        <v>0</v>
      </c>
      <c r="EC189" s="330" t="n">
        <v>0</v>
      </c>
      <c r="ED189" s="338" t="n"/>
      <c r="EE189" s="342" t="n"/>
      <c r="EF189" s="341" t="n"/>
      <c r="EG189" s="340" t="n"/>
      <c r="EJ189" s="118">
        <f>IFERROR(VLOOKUP(A189,站前4樓!A:BF,57,0),0)</f>
        <v/>
      </c>
      <c r="EK189" s="213">
        <f>IFERROR(VLOOKUP(A189,站前11樓!A:BE,57,0),0)</f>
        <v/>
      </c>
      <c r="EL189" s="118">
        <f>IFERROR(VLOOKUP(A189,忠孝7樓!A:N,57,0),0)</f>
        <v/>
      </c>
      <c r="EM189" s="118">
        <f>IFERROR(VLOOKUP(A189,忠孝國際醫學3樓!A:L,57,0),0)</f>
        <v/>
      </c>
      <c r="EN189" s="118">
        <f>SUM(ED189:EG189)</f>
        <v/>
      </c>
    </row>
    <row r="190" ht="15" customFormat="1" customHeight="1" s="118">
      <c r="A190" s="136" t="inlineStr">
        <is>
          <t>DL1BE070001T</t>
        </is>
      </c>
      <c r="C190" s="136" t="inlineStr">
        <is>
          <t>天使漫步腿部舒緩霜 250mL</t>
        </is>
      </c>
      <c r="D190" s="285" t="n"/>
      <c r="E190" s="198" t="inlineStr">
        <is>
          <t>PCS</t>
        </is>
      </c>
      <c r="F190" s="225">
        <f>SUMIF(站前4樓!B:B,B190,站前4樓!F:F)</f>
        <v/>
      </c>
      <c r="G190" s="225">
        <f>SUMIF(站前11樓!B:B,B190,站前11樓!F:F)</f>
        <v/>
      </c>
      <c r="H190" s="225">
        <f>SUMIF(忠孝7樓!B:B,B190,忠孝7樓!G:G)</f>
        <v/>
      </c>
      <c r="I190" s="225">
        <f>SUMIF(忠孝國際醫學3樓!B:B,B190,忠孝國際醫學3樓!G:G)</f>
        <v/>
      </c>
      <c r="J190" s="225">
        <f>SUMIF(忠孝健康7樓!B:B,B190,忠孝健康7樓!G:G)</f>
        <v/>
      </c>
      <c r="AV190" s="347" t="inlineStr">
        <is>
          <t>-</t>
        </is>
      </c>
      <c r="AW190" s="347" t="inlineStr">
        <is>
          <t>-</t>
        </is>
      </c>
      <c r="AX190" s="347" t="inlineStr">
        <is>
          <t>-</t>
        </is>
      </c>
      <c r="AY190" s="347" t="inlineStr">
        <is>
          <t>-</t>
        </is>
      </c>
      <c r="AZ190" s="347" t="inlineStr">
        <is>
          <t>-</t>
        </is>
      </c>
      <c r="BA190" s="347" t="inlineStr">
        <is>
          <t>-</t>
        </is>
      </c>
      <c r="BB190" s="292" t="n">
        <v>72</v>
      </c>
      <c r="BC190" s="203">
        <f>SUMIFS(領用表!$L:$L,領用表!$A:$A,BC$2,領用表!$E:$E,B190)</f>
        <v/>
      </c>
      <c r="BD190" s="296">
        <f>SUMIFS(領用表!$L:$L,領用表!$E:$E,$B190,領用表!$B:$B,BC$2&amp;BD$2)</f>
        <v/>
      </c>
      <c r="BE190" s="296">
        <f>SUMIFS(領用表!$L:$L,領用表!$E:$E,$B190,領用表!$B:$B,$BC$2&amp;BE$2)</f>
        <v/>
      </c>
      <c r="BF190" s="296">
        <f>SUMIFS(領用表!$L:$L,領用表!$E:$E,$B190,領用表!$B:$B,$BC$2&amp;BF$2)</f>
        <v/>
      </c>
      <c r="BG190" s="296">
        <f>SUMIFS(領用表!$L:$L,領用表!$E:$E,$B190,領用表!$B:$B,$BC$2&amp;BG$2)</f>
        <v/>
      </c>
      <c r="BH190" s="203">
        <f>SUMIFS(領用表!$L:$L,領用表!$A:$A,BH$2,領用表!$E:$E,B190)</f>
        <v/>
      </c>
      <c r="BI190" s="260">
        <f>SUMIFS(領用表!$L:$L,領用表!$E:$E,$B190,領用表!$B:$B,BH$2&amp;BI$2)</f>
        <v/>
      </c>
      <c r="BJ190" s="260">
        <f>SUMIFS(領用表!$L:$L,領用表!$E:$E,$B190,領用表!$B:$B,$BH$2&amp;BJ$2)</f>
        <v/>
      </c>
      <c r="BK190" s="260">
        <f>SUMIFS(領用表!$L:$L,領用表!$E:$E,$B190,領用表!$B:$B,$BH$2&amp;BK$2)</f>
        <v/>
      </c>
      <c r="BL190" s="260">
        <f>SUMIFS(領用表!$L:$L,領用表!$E:$E,$B190,領用表!$B:$B,$BH$2&amp;BL$2)</f>
        <v/>
      </c>
      <c r="BM190" s="203">
        <f>SUMIFS(領用表!$L:$L,領用表!$A:$A,BM$2,領用表!$E:$E,B190)</f>
        <v/>
      </c>
      <c r="BN190" s="331">
        <f>SUMIFS(領用表!$L:$L,領用表!$E:$E,$B190,領用表!$B:$B,BM$2&amp;BN$2)</f>
        <v/>
      </c>
      <c r="BO190" s="331">
        <f>SUMIFS(領用表!$L:$L,領用表!$E:$E,$B190,領用表!$B:$B,$BM$2&amp;BO$2)</f>
        <v/>
      </c>
      <c r="BP190" s="288">
        <f>SUMIFS(領用表!$L:$L,領用表!$E:$E,$B190,領用表!$B:$B,$BM$2&amp;BP$2)</f>
        <v/>
      </c>
      <c r="BQ190" s="287">
        <f>SUMIFS(領用表!$L:$L,領用表!$E:$E,$B190,領用表!$B:$B,$BM$2&amp;BQ$2)</f>
        <v/>
      </c>
      <c r="BR190" s="203">
        <f>SUMIFS(領用表!$L:$L,領用表!$A:$A,BR$2,領用表!$E:$E,B190)</f>
        <v/>
      </c>
      <c r="BS190" s="260">
        <f>SUMIFS(領用表!$L:$L,領用表!$E:$E,$B190,領用表!$B:$B,BR$2&amp;BS$2)</f>
        <v/>
      </c>
      <c r="BT190" s="260">
        <f>SUMIFS(領用表!$L:$L,領用表!$E:$E,$B190,領用表!$B:$B,$BR$2&amp;BT$2)</f>
        <v/>
      </c>
      <c r="BU190" s="260">
        <f>SUMIFS(領用表!$L:$L,領用表!$E:$E,$B190,領用表!$B:$B,$BR$2&amp;BU$2)</f>
        <v/>
      </c>
      <c r="BV190" s="220">
        <f>SUMIFS(領用表!$L:$L,領用表!$E:$E,$B190,領用表!$B:$B,$BR$2&amp;BV$2)</f>
        <v/>
      </c>
      <c r="BW190" s="208">
        <f>SUMIFS(領用表!$L:$L,領用表!$A:$A,BW$2,領用表!$E:$E,B190)</f>
        <v/>
      </c>
      <c r="BX190" s="296">
        <f>SUMIFS(領用表!$L:$L,領用表!$E:$E,$B190,領用表!$B:$B,BW$2&amp;BX$2)</f>
        <v/>
      </c>
      <c r="BY190" s="296">
        <f>SUMIFS(領用表!$L:$L,領用表!$E:$E,$B190,領用表!$B:$B,$BW$2&amp;BY$2)</f>
        <v/>
      </c>
      <c r="BZ190" s="296">
        <f>SUMIFS(領用表!$L:$L,領用表!$E:$E,$B190,領用表!$B:$B,$BW$2&amp;BZ$2)</f>
        <v/>
      </c>
      <c r="CA190" s="296">
        <f>SUMIFS(領用表!$L:$L,領用表!$E:$E,$B190,領用表!$B:$B,$BW$2&amp;CA$2)</f>
        <v/>
      </c>
      <c r="CB190" s="208">
        <f>SUMIFS(領用表!$L:$L,領用表!$A:$A,CB$2,領用表!$E:$E,B190)</f>
        <v/>
      </c>
      <c r="CC190" s="296">
        <f>SUMIFS(領用表!$L:$L,領用表!$E:$E,$B190,領用表!$B:$B,CB$2&amp;CC$2)</f>
        <v/>
      </c>
      <c r="CD190" s="296">
        <f>SUMIFS(領用表!$L:$L,領用表!$E:$E,$B190,領用表!$B:$B,$CB$2&amp;CD$2)</f>
        <v/>
      </c>
      <c r="CE190" s="296">
        <f>SUMIFS(領用表!$L:$L,領用表!$E:$E,$B190,領用表!$B:$B,$CB$2&amp;CE$2)</f>
        <v/>
      </c>
      <c r="CF190" s="296">
        <f>SUMIFS(領用表!$L:$L,領用表!$E:$E,$B190,領用表!$B:$B,$CB$2&amp;CF$2)</f>
        <v/>
      </c>
      <c r="CG190" s="335">
        <f>SUMIFS(領用表!$L:$L,領用表!$A:$A,CG$2,領用表!$E:$E,B190)</f>
        <v/>
      </c>
      <c r="CH190" s="296">
        <f>SUMIFS(領用表!$L:$L,領用表!$E:$E,$B190,領用表!$B:$B,CG$2&amp;CH$2)</f>
        <v/>
      </c>
      <c r="CI190" s="296">
        <f>SUMIFS(領用表!$L:$L,領用表!$E:$E,$B190,領用表!$B:$B,CG$2&amp;CI$2)</f>
        <v/>
      </c>
      <c r="CJ190" s="296">
        <f>SUMIFS(領用表!$L:$L,領用表!$E:$E,$B190,領用表!$B:$B,CG$2&amp;CJ$2)</f>
        <v/>
      </c>
      <c r="CK190" s="296">
        <f>SUMIFS(領用表!$L:$L,領用表!$E:$E,$B190,領用表!$B:$B,$CG$2&amp;CK$2)</f>
        <v/>
      </c>
      <c r="CL190" s="197">
        <f>SUM(AX190,AY190,AZ190,BA190,BB190,BC190,BH190,BM190,BR190,BW190,CB190,CG190)</f>
        <v/>
      </c>
      <c r="CM190" s="207">
        <f>AVERAGE(AX190,AY190,AZ190,BA190,BB190,BC190,BH190,BM190,BR190,BW190,CB190,CG190)</f>
        <v/>
      </c>
      <c r="CN190" s="208">
        <f>SUMIFS(領用表!$L:$L,領用表!$A:$A,CN$2,領用表!$E:$E,B190)</f>
        <v/>
      </c>
      <c r="CO190" s="206">
        <f>SUMIFS(領用表!$L:$L,領用表!$E:$E,$B190,領用表!$B:$B,CN$2&amp;CO$2)</f>
        <v/>
      </c>
      <c r="CP190" s="206">
        <f>SUMIFS(領用表!$L:$L,領用表!$E:$E,$B190,領用表!$B:$B,$CN$2&amp;CP$2)</f>
        <v/>
      </c>
      <c r="CQ190" s="206">
        <f>SUMIFS(領用表!$L:$L,領用表!$E:$E,$B190,領用表!$B:$B,$CN$2&amp;CQ$2)</f>
        <v/>
      </c>
      <c r="CR190" s="296">
        <f>SUMIFS(領用表!$L:$L,領用表!$E:$E,$B190,領用表!$B:$B,$CN$2&amp;CR$2)</f>
        <v/>
      </c>
      <c r="CS190" s="208">
        <f>SUMIFS(領用表!$L:$L,領用表!$A:$A,CS$2,領用表!$E:$E,B190)</f>
        <v/>
      </c>
      <c r="CT190" s="206">
        <f>SUMIFS(領用表!$L:$L,領用表!$E:$E,$B190,領用表!$B:$B,CS$2&amp;CT$2)</f>
        <v/>
      </c>
      <c r="CU190" s="206">
        <f>SUMIFS(領用表!$L:$L,領用表!$E:$E,$B190,領用表!$B:$B,$CS$2&amp;CU$2)</f>
        <v/>
      </c>
      <c r="CV190" s="206">
        <f>SUMIFS(領用表!$L:$L,領用表!$E:$E,$B190,領用表!$B:$B,$CS$2&amp;CV$2)</f>
        <v/>
      </c>
      <c r="CW190" s="206">
        <f>SUMIFS(領用表!$L:$L,領用表!$E:$E,$B190,領用表!$B:$B,$CS$2&amp;CW$2)</f>
        <v/>
      </c>
      <c r="CX190" s="206">
        <f>SUMIFS(領用表!$L:$L,領用表!$E:$E,$B190,領用表!$B:$B,$CS$2&amp;CX$2)</f>
        <v/>
      </c>
      <c r="CY190" s="208">
        <f>SUMIFS(領用表!$L:$L,領用表!$A:$A,CY$2,領用表!$E:$E,B190)</f>
        <v/>
      </c>
      <c r="CZ190" s="296">
        <f>SUMIFS(領用表!$L:$L,領用表!$E:$E,$B190,領用表!$B:$B,CY$2&amp;CZ$2)</f>
        <v/>
      </c>
      <c r="DA190" s="296">
        <f>SUMIFS(領用表!$L:$L,領用表!$E:$E,$B190,領用表!$B:$B,$CY$2&amp;DA$2)</f>
        <v/>
      </c>
      <c r="DB190" s="296">
        <f>SUMIFS(領用表!$L:$L,領用表!$E:$E,$B190,領用表!$B:$B,$CY$2&amp;DB$2)</f>
        <v/>
      </c>
      <c r="DC190" s="296">
        <f>SUMIFS(領用表!$L:$L,領用表!$E:$E,$B190,領用表!$B:$B,$CY$2&amp;DC$2)</f>
        <v/>
      </c>
      <c r="DD190" s="296">
        <f>SUMIFS(領用表!$L:$L,領用表!$E:$E,$B190,領用表!$B:$B,$CY$2&amp;DD$2)</f>
        <v/>
      </c>
      <c r="DE190" s="208">
        <f>SUMIFS(領用表!$L:$L,領用表!$A:$A,DE$2,領用表!$E:$E,B190)</f>
        <v/>
      </c>
      <c r="DF190" s="296">
        <f>SUMIFS(領用表!$L:$L,領用表!$E:$E,$B190,領用表!$B:$B,DE$2&amp;DF$2)</f>
        <v/>
      </c>
      <c r="DG190" s="296">
        <f>SUMIFS(領用表!$L:$L,領用表!$E:$E,$B190,領用表!$B:$B,$DE$2&amp;DG$2)</f>
        <v/>
      </c>
      <c r="DH190" s="296">
        <f>SUMIFS(領用表!$L:$L,領用表!$E:$E,$B190,領用表!$B:$B,$DE$2&amp;DH$2)</f>
        <v/>
      </c>
      <c r="DI190" s="296">
        <f>SUMIFS(領用表!$L:$L,領用表!$E:$E,$B190,領用表!$B:$B,$DE$2&amp;DI$2)</f>
        <v/>
      </c>
      <c r="DJ190" s="296">
        <f>SUMIFS(領用表!$L:$L,領用表!$E:$E,$B190,領用表!$B:$B,$DE$2&amp;DJ$2)</f>
        <v/>
      </c>
      <c r="DK190" s="208">
        <f>SUMIFS(領用表!$L:$L,領用表!$A:$A,DK$2,領用表!$E:$E,$B190)</f>
        <v/>
      </c>
      <c r="DL190" s="296">
        <f>SUMIFS(領用表!$L:$L,領用表!$E:$E,$B190,領用表!$B:$B,DK$2&amp;DL$2)</f>
        <v/>
      </c>
      <c r="DM190" s="296">
        <f>SUMIFS(領用表!$L:$L,領用表!$E:$E,$B190,領用表!$B:$B,$CY$2&amp;DM$2)</f>
        <v/>
      </c>
      <c r="DN190" s="296">
        <f>SUMIFS(領用表!$L:$L,領用表!$E:$E,$B190,領用表!$B:$B,$DK$2&amp;DN$2)</f>
        <v/>
      </c>
      <c r="DO190" s="296">
        <f>SUMIFS(領用表!$L:$L,領用表!$E:$E,$B190,領用表!$B:$B,$DK$2&amp;DO$2)</f>
        <v/>
      </c>
      <c r="DP190" s="296">
        <f>SUMIFS(領用表!$L:$L,領用表!$E:$E,$B190,領用表!$B:$B,$DK$2&amp;DP$2)</f>
        <v/>
      </c>
      <c r="DQ190" s="208" t="n"/>
      <c r="DR190" s="296" t="n"/>
      <c r="DS190" s="296" t="n"/>
      <c r="DT190" s="296" t="n"/>
      <c r="DU190" s="296" t="n"/>
      <c r="DV190" s="296" t="n"/>
      <c r="DW190" s="330">
        <f>SUM(CN190,CS190,CY190,DE190,DK190,DQ190)</f>
        <v/>
      </c>
      <c r="DX190" s="330">
        <f>AVERAGEA(CN190,CS190,CY190,DE190,DK190,DQ190)</f>
        <v/>
      </c>
      <c r="DY190" s="330">
        <f>SUM(DZ190:EC190)</f>
        <v/>
      </c>
      <c r="DZ190" s="330" t="n">
        <v>0</v>
      </c>
      <c r="EA190" s="330" t="n">
        <v>0</v>
      </c>
      <c r="EB190" s="330" t="n">
        <v>0</v>
      </c>
      <c r="EC190" s="330" t="n">
        <v>0</v>
      </c>
      <c r="ED190" s="305" t="n"/>
      <c r="EE190" s="342" t="n"/>
      <c r="EF190" s="340" t="n"/>
      <c r="EG190" s="340" t="n"/>
      <c r="EJ190" s="118">
        <f>IFERROR(VLOOKUP(A190,站前4樓!A:BF,57,0),0)</f>
        <v/>
      </c>
      <c r="EK190" s="213">
        <f>IFERROR(VLOOKUP(A190,站前11樓!A:BE,57,0),0)</f>
        <v/>
      </c>
      <c r="EL190" s="118">
        <f>IFERROR(VLOOKUP(A190,忠孝7樓!A:N,57,0),0)</f>
        <v/>
      </c>
      <c r="EM190" s="118">
        <f>IFERROR(VLOOKUP(A190,忠孝國際醫學3樓!A:L,57,0),0)</f>
        <v/>
      </c>
      <c r="EN190" s="118">
        <f>SUM(ED190:EG190)</f>
        <v/>
      </c>
    </row>
    <row r="191" ht="15" customFormat="1" customHeight="1" s="118">
      <c r="A191" s="136" t="inlineStr">
        <is>
          <t>DE1AB050005T</t>
        </is>
      </c>
      <c r="C191" s="136" t="inlineStr">
        <is>
          <t>防護肌密眼部修護精華</t>
        </is>
      </c>
      <c r="D191" s="285" t="n"/>
      <c r="E191" s="198" t="inlineStr">
        <is>
          <t>PCS</t>
        </is>
      </c>
      <c r="F191" s="225">
        <f>SUMIF(站前4樓!B:B,B191,站前4樓!F:F)</f>
        <v/>
      </c>
      <c r="G191" s="225">
        <f>SUMIF(站前11樓!B:B,B191,站前11樓!F:F)</f>
        <v/>
      </c>
      <c r="H191" s="225">
        <f>SUMIF(忠孝7樓!B:B,B191,忠孝7樓!G:G)</f>
        <v/>
      </c>
      <c r="I191" s="225">
        <f>SUMIF(忠孝國際醫學3樓!B:B,B191,忠孝國際醫學3樓!G:G)</f>
        <v/>
      </c>
      <c r="J191" s="225">
        <f>SUMIF(忠孝健康7樓!B:B,B191,忠孝健康7樓!G:G)</f>
        <v/>
      </c>
      <c r="AV191" s="347" t="inlineStr">
        <is>
          <t>-</t>
        </is>
      </c>
      <c r="AW191" s="347" t="inlineStr">
        <is>
          <t>-</t>
        </is>
      </c>
      <c r="AX191" s="347" t="inlineStr">
        <is>
          <t>-</t>
        </is>
      </c>
      <c r="AY191" s="347" t="inlineStr">
        <is>
          <t>-</t>
        </is>
      </c>
      <c r="AZ191" s="347" t="inlineStr">
        <is>
          <t>-</t>
        </is>
      </c>
      <c r="BA191" s="347" t="inlineStr">
        <is>
          <t>-</t>
        </is>
      </c>
      <c r="BC191" s="203">
        <f>SUMIFS(領用表!$L:$L,領用表!$A:$A,BC$2,領用表!$E:$E,B191)</f>
        <v/>
      </c>
      <c r="BD191" s="296">
        <f>SUMIFS(領用表!$L:$L,領用表!$E:$E,$B191,領用表!$B:$B,BC$2&amp;BD$2)</f>
        <v/>
      </c>
      <c r="BE191" s="296">
        <f>SUMIFS(領用表!$L:$L,領用表!$E:$E,$B191,領用表!$B:$B,$BC$2&amp;BE$2)</f>
        <v/>
      </c>
      <c r="BF191" s="296">
        <f>SUMIFS(領用表!$L:$L,領用表!$E:$E,$B191,領用表!$B:$B,$BC$2&amp;BF$2)</f>
        <v/>
      </c>
      <c r="BG191" s="296">
        <f>SUMIFS(領用表!$L:$L,領用表!$E:$E,$B191,領用表!$B:$B,$BC$2&amp;BG$2)</f>
        <v/>
      </c>
      <c r="BH191" s="203">
        <f>SUMIFS(領用表!$L:$L,領用表!$A:$A,BH$2,領用表!$E:$E,B191)</f>
        <v/>
      </c>
      <c r="BI191" s="260">
        <f>SUMIFS(領用表!$L:$L,領用表!$E:$E,$B191,領用表!$B:$B,BH$2&amp;BI$2)</f>
        <v/>
      </c>
      <c r="BJ191" s="260">
        <f>SUMIFS(領用表!$L:$L,領用表!$E:$E,$B191,領用表!$B:$B,$BH$2&amp;BJ$2)</f>
        <v/>
      </c>
      <c r="BK191" s="260">
        <f>SUMIFS(領用表!$L:$L,領用表!$E:$E,$B191,領用表!$B:$B,$BH$2&amp;BK$2)</f>
        <v/>
      </c>
      <c r="BL191" s="260">
        <f>SUMIFS(領用表!$L:$L,領用表!$E:$E,$B191,領用表!$B:$B,$BH$2&amp;BL$2)</f>
        <v/>
      </c>
      <c r="BM191" s="203">
        <f>SUMIFS(領用表!$L:$L,領用表!$A:$A,BM$2,領用表!$E:$E,B191)</f>
        <v/>
      </c>
      <c r="BN191" s="331">
        <f>SUMIFS(領用表!$L:$L,領用表!$E:$E,$B191,領用表!$B:$B,BM$2&amp;BN$2)</f>
        <v/>
      </c>
      <c r="BO191" s="331">
        <f>SUMIFS(領用表!$L:$L,領用表!$E:$E,$B191,領用表!$B:$B,$BM$2&amp;BO$2)</f>
        <v/>
      </c>
      <c r="BP191" s="288">
        <f>SUMIFS(領用表!$L:$L,領用表!$E:$E,$B191,領用表!$B:$B,$BM$2&amp;BP$2)</f>
        <v/>
      </c>
      <c r="BQ191" s="287">
        <f>SUMIFS(領用表!$L:$L,領用表!$E:$E,$B191,領用表!$B:$B,$BM$2&amp;BQ$2)</f>
        <v/>
      </c>
      <c r="BR191" s="203">
        <f>SUMIFS(領用表!$L:$L,領用表!$A:$A,BR$2,領用表!$E:$E,B191)</f>
        <v/>
      </c>
      <c r="BS191" s="260">
        <f>SUMIFS(領用表!$L:$L,領用表!$E:$E,$B191,領用表!$B:$B,BR$2&amp;BS$2)</f>
        <v/>
      </c>
      <c r="BT191" s="260">
        <f>SUMIFS(領用表!$L:$L,領用表!$E:$E,$B191,領用表!$B:$B,$BR$2&amp;BT$2)</f>
        <v/>
      </c>
      <c r="BU191" s="260">
        <f>SUMIFS(領用表!$L:$L,領用表!$E:$E,$B191,領用表!$B:$B,$BR$2&amp;BU$2)</f>
        <v/>
      </c>
      <c r="BV191" s="220">
        <f>SUMIFS(領用表!$L:$L,領用表!$E:$E,$B191,領用表!$B:$B,$BR$2&amp;BV$2)</f>
        <v/>
      </c>
      <c r="BW191" s="208">
        <f>SUMIFS(領用表!$L:$L,領用表!$A:$A,BW$2,領用表!$E:$E,B191)</f>
        <v/>
      </c>
      <c r="BX191" s="296">
        <f>SUMIFS(領用表!$L:$L,領用表!$E:$E,$B191,領用表!$B:$B,BW$2&amp;BX$2)</f>
        <v/>
      </c>
      <c r="BY191" s="296">
        <f>SUMIFS(領用表!$L:$L,領用表!$E:$E,$B191,領用表!$B:$B,$BW$2&amp;BY$2)</f>
        <v/>
      </c>
      <c r="BZ191" s="296">
        <f>SUMIFS(領用表!$L:$L,領用表!$E:$E,$B191,領用表!$B:$B,$BW$2&amp;BZ$2)</f>
        <v/>
      </c>
      <c r="CA191" s="296">
        <f>SUMIFS(領用表!$L:$L,領用表!$E:$E,$B191,領用表!$B:$B,$BW$2&amp;CA$2)</f>
        <v/>
      </c>
      <c r="CB191" s="208">
        <f>SUMIFS(領用表!$L:$L,領用表!$A:$A,CB$2,領用表!$E:$E,B191)</f>
        <v/>
      </c>
      <c r="CC191" s="296">
        <f>SUMIFS(領用表!$L:$L,領用表!$E:$E,$B191,領用表!$B:$B,CB$2&amp;CC$2)</f>
        <v/>
      </c>
      <c r="CD191" s="296">
        <f>SUMIFS(領用表!$L:$L,領用表!$E:$E,$B191,領用表!$B:$B,$CB$2&amp;CD$2)</f>
        <v/>
      </c>
      <c r="CE191" s="296">
        <f>SUMIFS(領用表!$L:$L,領用表!$E:$E,$B191,領用表!$B:$B,$CB$2&amp;CE$2)</f>
        <v/>
      </c>
      <c r="CF191" s="296">
        <f>SUMIFS(領用表!$L:$L,領用表!$E:$E,$B191,領用表!$B:$B,$CB$2&amp;CF$2)</f>
        <v/>
      </c>
      <c r="CG191" s="335">
        <f>SUMIFS(領用表!$L:$L,領用表!$A:$A,CG$2,領用表!$E:$E,B191)</f>
        <v/>
      </c>
      <c r="CH191" s="296">
        <f>SUMIFS(領用表!$L:$L,領用表!$E:$E,$B191,領用表!$B:$B,CG$2&amp;CH$2)</f>
        <v/>
      </c>
      <c r="CI191" s="296">
        <f>SUMIFS(領用表!$L:$L,領用表!$E:$E,$B191,領用表!$B:$B,CG$2&amp;CI$2)</f>
        <v/>
      </c>
      <c r="CJ191" s="296">
        <f>SUMIFS(領用表!$L:$L,領用表!$E:$E,$B191,領用表!$B:$B,CG$2&amp;CJ$2)</f>
        <v/>
      </c>
      <c r="CK191" s="296">
        <f>SUMIFS(領用表!$L:$L,領用表!$E:$E,$B191,領用表!$B:$B,$CG$2&amp;CK$2)</f>
        <v/>
      </c>
      <c r="CL191" s="207">
        <f>SUM(AX191,AY191,AZ191,BA191,BB191,BC191,BH191,BM191,BR191,BW191,CB191,CG191)</f>
        <v/>
      </c>
      <c r="CM191" s="207">
        <f>AVERAGE(AX191,AY191,AZ191,BA191,BB191,BC191,BH191,BM191,BR191,BW191,CB191,CG191)</f>
        <v/>
      </c>
      <c r="CN191" s="208">
        <f>SUMIFS(領用表!$L:$L,領用表!$A:$A,CN$2,領用表!$E:$E,B191)</f>
        <v/>
      </c>
      <c r="CO191" s="206">
        <f>SUMIFS(領用表!$L:$L,領用表!$E:$E,$B191,領用表!$B:$B,CN$2&amp;CO$2)</f>
        <v/>
      </c>
      <c r="CP191" s="206">
        <f>SUMIFS(領用表!$L:$L,領用表!$E:$E,$B191,領用表!$B:$B,$CN$2&amp;CP$2)</f>
        <v/>
      </c>
      <c r="CQ191" s="206">
        <f>SUMIFS(領用表!$L:$L,領用表!$E:$E,$B191,領用表!$B:$B,$CN$2&amp;CQ$2)</f>
        <v/>
      </c>
      <c r="CR191" s="296">
        <f>SUMIFS(領用表!$L:$L,領用表!$E:$E,$B191,領用表!$B:$B,$CN$2&amp;CR$2)</f>
        <v/>
      </c>
      <c r="CS191" s="208">
        <f>SUMIFS(領用表!$L:$L,領用表!$A:$A,CS$2,領用表!$E:$E,B191)</f>
        <v/>
      </c>
      <c r="CT191" s="206">
        <f>SUMIFS(領用表!$L:$L,領用表!$E:$E,$B191,領用表!$B:$B,CS$2&amp;CT$2)</f>
        <v/>
      </c>
      <c r="CU191" s="206">
        <f>SUMIFS(領用表!$L:$L,領用表!$E:$E,$B191,領用表!$B:$B,$CS$2&amp;CU$2)</f>
        <v/>
      </c>
      <c r="CV191" s="206">
        <f>SUMIFS(領用表!$L:$L,領用表!$E:$E,$B191,領用表!$B:$B,$CS$2&amp;CV$2)</f>
        <v/>
      </c>
      <c r="CW191" s="206">
        <f>SUMIFS(領用表!$L:$L,領用表!$E:$E,$B191,領用表!$B:$B,$CS$2&amp;CW$2)</f>
        <v/>
      </c>
      <c r="CX191" s="206">
        <f>SUMIFS(領用表!$L:$L,領用表!$E:$E,$B191,領用表!$B:$B,$CS$2&amp;CX$2)</f>
        <v/>
      </c>
      <c r="CY191" s="208">
        <f>SUMIFS(領用表!$L:$L,領用表!$A:$A,CY$2,領用表!$E:$E,B191)</f>
        <v/>
      </c>
      <c r="CZ191" s="296">
        <f>SUMIFS(領用表!$L:$L,領用表!$E:$E,$B191,領用表!$B:$B,CY$2&amp;CZ$2)</f>
        <v/>
      </c>
      <c r="DA191" s="296">
        <f>SUMIFS(領用表!$L:$L,領用表!$E:$E,$B191,領用表!$B:$B,$CY$2&amp;DA$2)</f>
        <v/>
      </c>
      <c r="DB191" s="296">
        <f>SUMIFS(領用表!$L:$L,領用表!$E:$E,$B191,領用表!$B:$B,$CY$2&amp;DB$2)</f>
        <v/>
      </c>
      <c r="DC191" s="296">
        <f>SUMIFS(領用表!$L:$L,領用表!$E:$E,$B191,領用表!$B:$B,$CY$2&amp;DC$2)</f>
        <v/>
      </c>
      <c r="DD191" s="296">
        <f>SUMIFS(領用表!$L:$L,領用表!$E:$E,$B191,領用表!$B:$B,$CY$2&amp;DD$2)</f>
        <v/>
      </c>
      <c r="DE191" s="208">
        <f>SUMIFS(領用表!$L:$L,領用表!$A:$A,DE$2,領用表!$E:$E,B191)</f>
        <v/>
      </c>
      <c r="DF191" s="296">
        <f>SUMIFS(領用表!$L:$L,領用表!$E:$E,$B191,領用表!$B:$B,DE$2&amp;DF$2)</f>
        <v/>
      </c>
      <c r="DG191" s="296">
        <f>SUMIFS(領用表!$L:$L,領用表!$E:$E,$B191,領用表!$B:$B,$DE$2&amp;DG$2)</f>
        <v/>
      </c>
      <c r="DH191" s="296">
        <f>SUMIFS(領用表!$L:$L,領用表!$E:$E,$B191,領用表!$B:$B,$DE$2&amp;DH$2)</f>
        <v/>
      </c>
      <c r="DI191" s="296">
        <f>SUMIFS(領用表!$L:$L,領用表!$E:$E,$B191,領用表!$B:$B,$DE$2&amp;DI$2)</f>
        <v/>
      </c>
      <c r="DJ191" s="296">
        <f>SUMIFS(領用表!$L:$L,領用表!$E:$E,$B191,領用表!$B:$B,$DE$2&amp;DJ$2)</f>
        <v/>
      </c>
      <c r="DK191" s="208">
        <f>SUMIFS(領用表!$L:$L,領用表!$A:$A,DK$2,領用表!$E:$E,$B191)</f>
        <v/>
      </c>
      <c r="DL191" s="296">
        <f>SUMIFS(領用表!$L:$L,領用表!$E:$E,$B191,領用表!$B:$B,DK$2&amp;DL$2)</f>
        <v/>
      </c>
      <c r="DM191" s="296">
        <f>SUMIFS(領用表!$L:$L,領用表!$E:$E,$B191,領用表!$B:$B,$CY$2&amp;DM$2)</f>
        <v/>
      </c>
      <c r="DN191" s="296">
        <f>SUMIFS(領用表!$L:$L,領用表!$E:$E,$B191,領用表!$B:$B,$DK$2&amp;DN$2)</f>
        <v/>
      </c>
      <c r="DO191" s="296">
        <f>SUMIFS(領用表!$L:$L,領用表!$E:$E,$B191,領用表!$B:$B,$DK$2&amp;DO$2)</f>
        <v/>
      </c>
      <c r="DP191" s="296">
        <f>SUMIFS(領用表!$L:$L,領用表!$E:$E,$B191,領用表!$B:$B,$DK$2&amp;DP$2)</f>
        <v/>
      </c>
      <c r="DQ191" s="208" t="n"/>
      <c r="DR191" s="296" t="n"/>
      <c r="DS191" s="296" t="n"/>
      <c r="DT191" s="296" t="n"/>
      <c r="DU191" s="296" t="n"/>
      <c r="DV191" s="296" t="n"/>
      <c r="DW191" s="330">
        <f>SUM(CN191,CS191,CY191,DE191,DK191,DQ191)</f>
        <v/>
      </c>
      <c r="DX191" s="330">
        <f>AVERAGEA(CN191,CS191,CY191,DE191,DK191,DQ191)</f>
        <v/>
      </c>
      <c r="DY191" s="330">
        <f>SUM(DZ191:EC191)</f>
        <v/>
      </c>
      <c r="DZ191" s="330" t="n">
        <v>0</v>
      </c>
      <c r="EA191" s="330" t="n">
        <v>0</v>
      </c>
      <c r="EB191" s="330" t="n">
        <v>0</v>
      </c>
      <c r="EC191" s="330" t="n">
        <v>0</v>
      </c>
      <c r="ED191" s="305" t="n"/>
      <c r="EE191" s="342" t="n"/>
      <c r="EF191" s="340" t="n"/>
      <c r="EG191" s="340" t="n"/>
      <c r="EJ191" s="118">
        <f>IFERROR(VLOOKUP(A191,站前4樓!A:BF,57,0),0)</f>
        <v/>
      </c>
      <c r="EK191" s="213">
        <f>IFERROR(VLOOKUP(A191,站前11樓!A:BE,57,0),0)</f>
        <v/>
      </c>
      <c r="EL191" s="118">
        <f>IFERROR(VLOOKUP(A191,忠孝7樓!A:N,57,0),0)</f>
        <v/>
      </c>
      <c r="EM191" s="118">
        <f>IFERROR(VLOOKUP(A191,忠孝國際醫學3樓!A:L,57,0),0)</f>
        <v/>
      </c>
      <c r="EN191" s="118">
        <f>SUM(ED191:EG191)</f>
        <v/>
      </c>
    </row>
    <row r="192" ht="15" customFormat="1" customHeight="1" s="118">
      <c r="A192" s="136" t="inlineStr">
        <is>
          <t>D99GA010001T</t>
        </is>
      </c>
      <c r="C192" s="136" t="inlineStr">
        <is>
          <t>新纖有酵蔬果酵素飲50ml(15入)(繁體版)/盒</t>
        </is>
      </c>
      <c r="D192" s="285" t="n"/>
      <c r="E192" s="198" t="inlineStr">
        <is>
          <t>PCS</t>
        </is>
      </c>
      <c r="F192" s="225">
        <f>SUMIF(站前4樓!B:B,B192,站前4樓!F:F)</f>
        <v/>
      </c>
      <c r="G192" s="225">
        <f>SUMIF(站前11樓!B:B,B192,站前11樓!F:F)</f>
        <v/>
      </c>
      <c r="H192" s="225">
        <f>SUMIF(忠孝7樓!B:B,B192,忠孝7樓!G:G)</f>
        <v/>
      </c>
      <c r="I192" s="225">
        <f>SUMIF(忠孝國際醫學3樓!B:B,B192,忠孝國際醫學3樓!G:G)</f>
        <v/>
      </c>
      <c r="J192" s="225">
        <f>SUMIF(忠孝健康7樓!B:B,B192,忠孝健康7樓!G:G)</f>
        <v/>
      </c>
      <c r="BC192" s="203">
        <f>SUMIFS(領用表!$L:$L,領用表!$A:$A,BC$2,領用表!$E:$E,B192)</f>
        <v/>
      </c>
      <c r="BD192" s="296">
        <f>SUMIFS(領用表!$L:$L,領用表!$E:$E,$B192,領用表!$B:$B,BC$2&amp;BD$2)</f>
        <v/>
      </c>
      <c r="BE192" s="296">
        <f>SUMIFS(領用表!$L:$L,領用表!$E:$E,$B192,領用表!$B:$B,$BC$2&amp;BE$2)</f>
        <v/>
      </c>
      <c r="BF192" s="296">
        <f>SUMIFS(領用表!$L:$L,領用表!$E:$E,$B192,領用表!$B:$B,$BC$2&amp;BF$2)</f>
        <v/>
      </c>
      <c r="BG192" s="296">
        <f>SUMIFS(領用表!$L:$L,領用表!$E:$E,$B192,領用表!$B:$B,$BC$2&amp;BG$2)</f>
        <v/>
      </c>
      <c r="BH192" s="203">
        <f>SUMIFS(領用表!$L:$L,領用表!$A:$A,BH$2,領用表!$E:$E,B192)</f>
        <v/>
      </c>
      <c r="BI192" s="260">
        <f>SUMIFS(領用表!$L:$L,領用表!$E:$E,$B192,領用表!$B:$B,BH$2&amp;BI$2)</f>
        <v/>
      </c>
      <c r="BJ192" s="260">
        <f>SUMIFS(領用表!$L:$L,領用表!$E:$E,$B192,領用表!$B:$B,$BH$2&amp;BJ$2)</f>
        <v/>
      </c>
      <c r="BK192" s="260">
        <f>SUMIFS(領用表!$L:$L,領用表!$E:$E,$B192,領用表!$B:$B,$BH$2&amp;BK$2)</f>
        <v/>
      </c>
      <c r="BL192" s="260">
        <f>SUMIFS(領用表!$L:$L,領用表!$E:$E,$B192,領用表!$B:$B,$BH$2&amp;BL$2)</f>
        <v/>
      </c>
      <c r="BM192" s="203">
        <f>SUMIFS(領用表!$L:$L,領用表!$A:$A,BM$2,領用表!$E:$E,B192)</f>
        <v/>
      </c>
      <c r="BN192" s="206">
        <f>SUMIFS(領用表!$L:$L,領用表!$E:$E,$B192,領用表!$B:$B,BM$2&amp;BN$2)</f>
        <v/>
      </c>
      <c r="BO192" s="206">
        <f>SUMIFS(領用表!$L:$L,領用表!$E:$E,$B192,領用表!$B:$B,$BM$2&amp;BO$2)</f>
        <v/>
      </c>
      <c r="BP192" s="288">
        <f>SUMIFS(領用表!$L:$L,領用表!$E:$E,$B192,領用表!$B:$B,$BM$2&amp;BP$2)</f>
        <v/>
      </c>
      <c r="BQ192" s="287">
        <f>SUMIFS(領用表!$L:$L,領用表!$E:$E,$B192,領用表!$B:$B,$BM$2&amp;BQ$2)</f>
        <v/>
      </c>
      <c r="BR192" s="203">
        <f>SUMIFS(領用表!$L:$L,領用表!$A:$A,BR$2,領用表!$E:$E,B192)</f>
        <v/>
      </c>
      <c r="BS192" s="260">
        <f>SUMIFS(領用表!$L:$L,領用表!$E:$E,$B192,領用表!$B:$B,BR$2&amp;BS$2)</f>
        <v/>
      </c>
      <c r="BT192" s="260">
        <f>SUMIFS(領用表!$L:$L,領用表!$E:$E,$B192,領用表!$B:$B,$BR$2&amp;BT$2)</f>
        <v/>
      </c>
      <c r="BU192" s="260">
        <f>SUMIFS(領用表!$L:$L,領用表!$E:$E,$B192,領用表!$B:$B,$BR$2&amp;BU$2)</f>
        <v/>
      </c>
      <c r="BV192" s="220">
        <f>SUMIFS(領用表!$L:$L,領用表!$E:$E,$B192,領用表!$B:$B,$BR$2&amp;BV$2)</f>
        <v/>
      </c>
      <c r="BW192" s="208">
        <f>SUMIFS(領用表!$L:$L,領用表!$A:$A,BW$2,領用表!$E:$E,B192)</f>
        <v/>
      </c>
      <c r="BX192" s="296">
        <f>SUMIFS(領用表!$L:$L,領用表!$E:$E,$B192,領用表!$B:$B,BW$2&amp;BX$2)</f>
        <v/>
      </c>
      <c r="BY192" s="296">
        <f>SUMIFS(領用表!$L:$L,領用表!$E:$E,$B192,領用表!$B:$B,$BW$2&amp;BY$2)</f>
        <v/>
      </c>
      <c r="BZ192" s="296">
        <f>SUMIFS(領用表!$L:$L,領用表!$E:$E,$B192,領用表!$B:$B,$BW$2&amp;BZ$2)</f>
        <v/>
      </c>
      <c r="CA192" s="296">
        <f>SUMIFS(領用表!$L:$L,領用表!$E:$E,$B192,領用表!$B:$B,$BW$2&amp;CA$2)</f>
        <v/>
      </c>
      <c r="CB192" s="208">
        <f>SUMIFS(領用表!$L:$L,領用表!$A:$A,CB$2,領用表!$E:$E,B192)</f>
        <v/>
      </c>
      <c r="CC192" s="296">
        <f>SUMIFS(領用表!$L:$L,領用表!$E:$E,$B192,領用表!$B:$B,CB$2&amp;CC$2)</f>
        <v/>
      </c>
      <c r="CD192" s="296">
        <f>SUMIFS(領用表!$L:$L,領用表!$E:$E,$B192,領用表!$B:$B,$CB$2&amp;CD$2)</f>
        <v/>
      </c>
      <c r="CE192" s="296">
        <f>SUMIFS(領用表!$L:$L,領用表!$E:$E,$B192,領用表!$B:$B,$CB$2&amp;CE$2)</f>
        <v/>
      </c>
      <c r="CF192" s="296">
        <f>SUMIFS(領用表!$L:$L,領用表!$E:$E,$B192,領用表!$B:$B,$CB$2&amp;CF$2)</f>
        <v/>
      </c>
      <c r="CG192" s="335">
        <f>SUMIFS(領用表!$L:$L,領用表!$A:$A,CG$2,領用表!$E:$E,B192)</f>
        <v/>
      </c>
      <c r="CH192" s="296">
        <f>SUMIFS(領用表!$L:$L,領用表!$E:$E,$B192,領用表!$B:$B,CG$2&amp;CH$2)</f>
        <v/>
      </c>
      <c r="CI192" s="296">
        <f>SUMIFS(領用表!$L:$L,領用表!$E:$E,$B192,領用表!$B:$B,CG$2&amp;CI$2)</f>
        <v/>
      </c>
      <c r="CJ192" s="296">
        <f>SUMIFS(領用表!$L:$L,領用表!$E:$E,$B192,領用表!$B:$B,CG$2&amp;CJ$2)</f>
        <v/>
      </c>
      <c r="CK192" s="296">
        <f>SUMIFS(領用表!$L:$L,領用表!$E:$E,$B192,領用表!$B:$B,$CG$2&amp;CK$2)</f>
        <v/>
      </c>
      <c r="CL192" s="207">
        <f>SUM(AX192,AY192,AZ192,BA192,BB192,BC192,BH192,BM192,BR192,BW192,CB192,CG192)</f>
        <v/>
      </c>
      <c r="CM192" s="207">
        <f>AVERAGE(AX192,AY192,AZ192,BA192,BB192,BC192,BH192,BM192,BR192,BW192,CB192,CG192)</f>
        <v/>
      </c>
      <c r="CN192" s="208">
        <f>SUMIFS(領用表!$L:$L,領用表!$A:$A,CN$2,領用表!$E:$E,B192)</f>
        <v/>
      </c>
      <c r="CO192" s="206">
        <f>SUMIFS(領用表!$L:$L,領用表!$E:$E,$B192,領用表!$B:$B,CN$2&amp;CO$2)</f>
        <v/>
      </c>
      <c r="CP192" s="206">
        <f>SUMIFS(領用表!$L:$L,領用表!$E:$E,$B192,領用表!$B:$B,$CN$2&amp;CP$2)</f>
        <v/>
      </c>
      <c r="CQ192" s="206">
        <f>SUMIFS(領用表!$L:$L,領用表!$E:$E,$B192,領用表!$B:$B,$CN$2&amp;CQ$2)</f>
        <v/>
      </c>
      <c r="CR192" s="296">
        <f>SUMIFS(領用表!$L:$L,領用表!$E:$E,$B192,領用表!$B:$B,$CN$2&amp;CR$2)</f>
        <v/>
      </c>
      <c r="CS192" s="208">
        <f>SUMIFS(領用表!$L:$L,領用表!$A:$A,CS$2,領用表!$E:$E,B192)</f>
        <v/>
      </c>
      <c r="CT192" s="206">
        <f>SUMIFS(領用表!$L:$L,領用表!$E:$E,$B192,領用表!$B:$B,CS$2&amp;CT$2)</f>
        <v/>
      </c>
      <c r="CU192" s="206">
        <f>SUMIFS(領用表!$L:$L,領用表!$E:$E,$B192,領用表!$B:$B,$CS$2&amp;CU$2)</f>
        <v/>
      </c>
      <c r="CV192" s="206">
        <f>SUMIFS(領用表!$L:$L,領用表!$E:$E,$B192,領用表!$B:$B,$CS$2&amp;CV$2)</f>
        <v/>
      </c>
      <c r="CW192" s="206">
        <f>SUMIFS(領用表!$L:$L,領用表!$E:$E,$B192,領用表!$B:$B,$CS$2&amp;CW$2)</f>
        <v/>
      </c>
      <c r="CX192" s="206">
        <f>SUMIFS(領用表!$L:$L,領用表!$E:$E,$B192,領用表!$B:$B,$CS$2&amp;CX$2)</f>
        <v/>
      </c>
      <c r="CY192" s="208">
        <f>SUMIFS(領用表!$L:$L,領用表!$A:$A,CY$2,領用表!$E:$E,B192)</f>
        <v/>
      </c>
      <c r="CZ192" s="296">
        <f>SUMIFS(領用表!$L:$L,領用表!$E:$E,$B192,領用表!$B:$B,CY$2&amp;CZ$2)</f>
        <v/>
      </c>
      <c r="DA192" s="296">
        <f>SUMIFS(領用表!$L:$L,領用表!$E:$E,$B192,領用表!$B:$B,$CY$2&amp;DA$2)</f>
        <v/>
      </c>
      <c r="DB192" s="296">
        <f>SUMIFS(領用表!$L:$L,領用表!$E:$E,$B192,領用表!$B:$B,$CY$2&amp;DB$2)</f>
        <v/>
      </c>
      <c r="DC192" s="296">
        <f>SUMIFS(領用表!$L:$L,領用表!$E:$E,$B192,領用表!$B:$B,$CY$2&amp;DC$2)</f>
        <v/>
      </c>
      <c r="DD192" s="296">
        <f>SUMIFS(領用表!$L:$L,領用表!$E:$E,$B192,領用表!$B:$B,$CY$2&amp;DD$2)</f>
        <v/>
      </c>
      <c r="DE192" s="208">
        <f>SUMIFS(領用表!$L:$L,領用表!$A:$A,DE$2,領用表!$E:$E,B192)</f>
        <v/>
      </c>
      <c r="DF192" s="296">
        <f>SUMIFS(領用表!$L:$L,領用表!$E:$E,$B192,領用表!$B:$B,DE$2&amp;DF$2)</f>
        <v/>
      </c>
      <c r="DG192" s="296">
        <f>SUMIFS(領用表!$L:$L,領用表!$E:$E,$B192,領用表!$B:$B,$DE$2&amp;DG$2)</f>
        <v/>
      </c>
      <c r="DH192" s="296">
        <f>SUMIFS(領用表!$L:$L,領用表!$E:$E,$B192,領用表!$B:$B,$DE$2&amp;DH$2)</f>
        <v/>
      </c>
      <c r="DI192" s="296">
        <f>SUMIFS(領用表!$L:$L,領用表!$E:$E,$B192,領用表!$B:$B,$DE$2&amp;DI$2)</f>
        <v/>
      </c>
      <c r="DJ192" s="296">
        <f>SUMIFS(領用表!$L:$L,領用表!$E:$E,$B192,領用表!$B:$B,$DE$2&amp;DJ$2)</f>
        <v/>
      </c>
      <c r="DK192" s="208">
        <f>SUMIFS(領用表!$L:$L,領用表!$A:$A,DK$2,領用表!$E:$E,$B192)</f>
        <v/>
      </c>
      <c r="DL192" s="296">
        <f>SUMIFS(領用表!$L:$L,領用表!$E:$E,$B192,領用表!$B:$B,DK$2&amp;DL$2)</f>
        <v/>
      </c>
      <c r="DM192" s="296">
        <f>SUMIFS(領用表!$L:$L,領用表!$E:$E,$B192,領用表!$B:$B,$CY$2&amp;DM$2)</f>
        <v/>
      </c>
      <c r="DN192" s="296">
        <f>SUMIFS(領用表!$L:$L,領用表!$E:$E,$B192,領用表!$B:$B,$DK$2&amp;DN$2)</f>
        <v/>
      </c>
      <c r="DO192" s="296">
        <f>SUMIFS(領用表!$L:$L,領用表!$E:$E,$B192,領用表!$B:$B,$DK$2&amp;DO$2)</f>
        <v/>
      </c>
      <c r="DP192" s="296">
        <f>SUMIFS(領用表!$L:$L,領用表!$E:$E,$B192,領用表!$B:$B,$DK$2&amp;DP$2)</f>
        <v/>
      </c>
      <c r="DQ192" s="208" t="n"/>
      <c r="DR192" s="296" t="n"/>
      <c r="DS192" s="296" t="n"/>
      <c r="DT192" s="296" t="n"/>
      <c r="DU192" s="296" t="n"/>
      <c r="DV192" s="296" t="n"/>
      <c r="DW192" s="330">
        <f>SUM(CN192,CS192,CY192,DE192,DK192,DQ192)</f>
        <v/>
      </c>
      <c r="DX192" s="330">
        <f>AVERAGEA(CN192,CS192,CY192,DE192,DK192,DQ192)</f>
        <v/>
      </c>
      <c r="DY192" s="330">
        <f>SUM(DZ192:EC192)</f>
        <v/>
      </c>
      <c r="DZ192" s="330" t="n">
        <v>0</v>
      </c>
      <c r="EA192" s="330" t="n">
        <v>0</v>
      </c>
      <c r="EB192" s="330" t="n">
        <v>0</v>
      </c>
      <c r="EC192" s="330" t="n">
        <v>0</v>
      </c>
      <c r="ED192" s="305" t="n"/>
      <c r="EE192" s="342" t="n"/>
      <c r="EF192" s="341" t="n"/>
      <c r="EG192" s="341" t="inlineStr">
        <is>
          <t>20(10/22)</t>
        </is>
      </c>
      <c r="EJ192" s="118">
        <f>IFERROR(VLOOKUP(A192,站前4樓!A:BF,57,0),0)</f>
        <v/>
      </c>
      <c r="EK192" s="213">
        <f>IFERROR(VLOOKUP(A192,站前11樓!A:BE,57,0),0)</f>
        <v/>
      </c>
      <c r="EL192" s="118">
        <f>IFERROR(VLOOKUP(A192,忠孝7樓!A:N,57,0),0)</f>
        <v/>
      </c>
      <c r="EM192" s="118">
        <f>IFERROR(VLOOKUP(A192,忠孝國際醫學3樓!A:L,57,0),0)</f>
        <v/>
      </c>
      <c r="EN192" s="118">
        <f>SUM(ED192:EG192)</f>
        <v/>
      </c>
    </row>
    <row r="193" ht="15" customFormat="1" customHeight="1" s="118">
      <c r="A193" s="136" t="inlineStr">
        <is>
          <t>DL1GD010001T</t>
        </is>
      </c>
      <c r="C193" s="136" t="inlineStr">
        <is>
          <t>暢護菌益康粉包 3g(30入)(繁體版)</t>
        </is>
      </c>
      <c r="D193" s="285" t="n"/>
      <c r="E193" s="198" t="inlineStr">
        <is>
          <t>PCS</t>
        </is>
      </c>
      <c r="F193" s="225">
        <f>SUMIF(站前4樓!B:B,B193,站前4樓!F:F)</f>
        <v/>
      </c>
      <c r="G193" s="225">
        <f>SUMIF(站前11樓!B:B,B193,站前11樓!F:F)</f>
        <v/>
      </c>
      <c r="H193" s="225">
        <f>SUMIF(忠孝7樓!B:B,B193,忠孝7樓!G:G)</f>
        <v/>
      </c>
      <c r="I193" s="225">
        <f>SUMIF(忠孝國際醫學3樓!B:B,B193,忠孝國際醫學3樓!G:G)</f>
        <v/>
      </c>
      <c r="J193" s="225">
        <f>SUMIF(忠孝健康7樓!B:B,B193,忠孝健康7樓!G:G)</f>
        <v/>
      </c>
      <c r="BC193" s="203">
        <f>SUMIFS(領用表!$L:$L,領用表!$A:$A,BC$2,領用表!$E:$E,B193)</f>
        <v/>
      </c>
      <c r="BD193" s="296">
        <f>SUMIFS(領用表!$L:$L,領用表!$E:$E,$B193,領用表!$B:$B,BC$2&amp;BD$2)</f>
        <v/>
      </c>
      <c r="BE193" s="296">
        <f>SUMIFS(領用表!$L:$L,領用表!$E:$E,$B193,領用表!$B:$B,$BC$2&amp;BE$2)</f>
        <v/>
      </c>
      <c r="BF193" s="296">
        <f>SUMIFS(領用表!$L:$L,領用表!$E:$E,$B193,領用表!$B:$B,$BC$2&amp;BF$2)</f>
        <v/>
      </c>
      <c r="BG193" s="296">
        <f>SUMIFS(領用表!$L:$L,領用表!$E:$E,$B193,領用表!$B:$B,$BC$2&amp;BG$2)</f>
        <v/>
      </c>
      <c r="BH193" s="203">
        <f>SUMIFS(領用表!$L:$L,領用表!$A:$A,BH$2,領用表!$E:$E,B193)</f>
        <v/>
      </c>
      <c r="BI193" s="260">
        <f>SUMIFS(領用表!$L:$L,領用表!$E:$E,$B193,領用表!$B:$B,BH$2&amp;BI$2)</f>
        <v/>
      </c>
      <c r="BJ193" s="260">
        <f>SUMIFS(領用表!$L:$L,領用表!$E:$E,$B193,領用表!$B:$B,$BH$2&amp;BJ$2)</f>
        <v/>
      </c>
      <c r="BK193" s="260">
        <f>SUMIFS(領用表!$L:$L,領用表!$E:$E,$B193,領用表!$B:$B,$BH$2&amp;BK$2)</f>
        <v/>
      </c>
      <c r="BL193" s="260">
        <f>SUMIFS(領用表!$L:$L,領用表!$E:$E,$B193,領用表!$B:$B,$BH$2&amp;BL$2)</f>
        <v/>
      </c>
      <c r="BM193" s="203">
        <f>SUMIFS(領用表!$L:$L,領用表!$A:$A,BM$2,領用表!$E:$E,B193)</f>
        <v/>
      </c>
      <c r="BN193" s="206">
        <f>SUMIFS(領用表!$L:$L,領用表!$E:$E,$B193,領用表!$B:$B,BM$2&amp;BN$2)</f>
        <v/>
      </c>
      <c r="BO193" s="206">
        <f>SUMIFS(領用表!$L:$L,領用表!$E:$E,$B193,領用表!$B:$B,$BM$2&amp;BO$2)</f>
        <v/>
      </c>
      <c r="BP193" s="288">
        <f>SUMIFS(領用表!$L:$L,領用表!$E:$E,$B193,領用表!$B:$B,$BM$2&amp;BP$2)</f>
        <v/>
      </c>
      <c r="BQ193" s="287">
        <f>SUMIFS(領用表!$L:$L,領用表!$E:$E,$B193,領用表!$B:$B,$BM$2&amp;BQ$2)</f>
        <v/>
      </c>
      <c r="BR193" s="203">
        <f>SUMIFS(領用表!$L:$L,領用表!$A:$A,BR$2,領用表!$E:$E,B193)</f>
        <v/>
      </c>
      <c r="BS193" s="260">
        <f>SUMIFS(領用表!$L:$L,領用表!$E:$E,$B193,領用表!$B:$B,BR$2&amp;BS$2)</f>
        <v/>
      </c>
      <c r="BT193" s="260">
        <f>SUMIFS(領用表!$L:$L,領用表!$E:$E,$B193,領用表!$B:$B,$BR$2&amp;BT$2)</f>
        <v/>
      </c>
      <c r="BU193" s="260">
        <f>SUMIFS(領用表!$L:$L,領用表!$E:$E,$B193,領用表!$B:$B,$BR$2&amp;BU$2)</f>
        <v/>
      </c>
      <c r="BV193" s="220">
        <f>SUMIFS(領用表!$L:$L,領用表!$E:$E,$B193,領用表!$B:$B,$BR$2&amp;BV$2)</f>
        <v/>
      </c>
      <c r="BW193" s="208">
        <f>SUMIFS(領用表!$L:$L,領用表!$A:$A,BW$2,領用表!$E:$E,B193)</f>
        <v/>
      </c>
      <c r="BX193" s="296">
        <f>SUMIFS(領用表!$L:$L,領用表!$E:$E,$B193,領用表!$B:$B,BW$2&amp;BX$2)</f>
        <v/>
      </c>
      <c r="BY193" s="296">
        <f>SUMIFS(領用表!$L:$L,領用表!$E:$E,$B193,領用表!$B:$B,$BW$2&amp;BY$2)</f>
        <v/>
      </c>
      <c r="BZ193" s="296">
        <f>SUMIFS(領用表!$L:$L,領用表!$E:$E,$B193,領用表!$B:$B,$BW$2&amp;BZ$2)</f>
        <v/>
      </c>
      <c r="CA193" s="296">
        <f>SUMIFS(領用表!$L:$L,領用表!$E:$E,$B193,領用表!$B:$B,$BW$2&amp;CA$2)</f>
        <v/>
      </c>
      <c r="CB193" s="208">
        <f>SUMIFS(領用表!$L:$L,領用表!$A:$A,CB$2,領用表!$E:$E,B193)</f>
        <v/>
      </c>
      <c r="CC193" s="296">
        <f>SUMIFS(領用表!$L:$L,領用表!$E:$E,$B193,領用表!$B:$B,CB$2&amp;CC$2)</f>
        <v/>
      </c>
      <c r="CD193" s="296">
        <f>SUMIFS(領用表!$L:$L,領用表!$E:$E,$B193,領用表!$B:$B,$CB$2&amp;CD$2)</f>
        <v/>
      </c>
      <c r="CE193" s="296">
        <f>SUMIFS(領用表!$L:$L,領用表!$E:$E,$B193,領用表!$B:$B,$CB$2&amp;CE$2)</f>
        <v/>
      </c>
      <c r="CF193" s="296">
        <f>SUMIFS(領用表!$L:$L,領用表!$E:$E,$B193,領用表!$B:$B,$CB$2&amp;CF$2)</f>
        <v/>
      </c>
      <c r="CG193" s="335">
        <f>SUMIFS(領用表!$L:$L,領用表!$A:$A,CG$2,領用表!$E:$E,B193)</f>
        <v/>
      </c>
      <c r="CH193" s="296">
        <f>SUMIFS(領用表!$L:$L,領用表!$E:$E,$B193,領用表!$B:$B,CG$2&amp;CH$2)</f>
        <v/>
      </c>
      <c r="CI193" s="296">
        <f>SUMIFS(領用表!$L:$L,領用表!$E:$E,$B193,領用表!$B:$B,CG$2&amp;CI$2)</f>
        <v/>
      </c>
      <c r="CJ193" s="296">
        <f>SUMIFS(領用表!$L:$L,領用表!$E:$E,$B193,領用表!$B:$B,CG$2&amp;CJ$2)</f>
        <v/>
      </c>
      <c r="CK193" s="296">
        <f>SUMIFS(領用表!$L:$L,領用表!$E:$E,$B193,領用表!$B:$B,$CG$2&amp;CK$2)</f>
        <v/>
      </c>
      <c r="CL193" s="207">
        <f>SUM(AX193,AY193,AZ193,BA193,BB193,BC193,BH193,BM193,BR193,BW193,CB193,CG193)</f>
        <v/>
      </c>
      <c r="CM193" s="207">
        <f>AVERAGE(AX193,AY193,AZ193,BA193,BB193,BC193,BH193,BM193,BR193,BW193,CB193,CG193)</f>
        <v/>
      </c>
      <c r="CN193" s="208">
        <f>SUMIFS(領用表!$L:$L,領用表!$A:$A,CN$2,領用表!$E:$E,B193)</f>
        <v/>
      </c>
      <c r="CO193" s="206">
        <f>SUMIFS(領用表!$L:$L,領用表!$E:$E,$B193,領用表!$B:$B,CN$2&amp;CO$2)</f>
        <v/>
      </c>
      <c r="CP193" s="206">
        <f>SUMIFS(領用表!$L:$L,領用表!$E:$E,$B193,領用表!$B:$B,$CN$2&amp;CP$2)</f>
        <v/>
      </c>
      <c r="CQ193" s="206">
        <f>SUMIFS(領用表!$L:$L,領用表!$E:$E,$B193,領用表!$B:$B,$CN$2&amp;CQ$2)</f>
        <v/>
      </c>
      <c r="CR193" s="296">
        <f>SUMIFS(領用表!$L:$L,領用表!$E:$E,$B193,領用表!$B:$B,$CN$2&amp;CR$2)</f>
        <v/>
      </c>
      <c r="CS193" s="208">
        <f>SUMIFS(領用表!$L:$L,領用表!$A:$A,CS$2,領用表!$E:$E,B193)</f>
        <v/>
      </c>
      <c r="CT193" s="206">
        <f>SUMIFS(領用表!$L:$L,領用表!$E:$E,$B193,領用表!$B:$B,CS$2&amp;CT$2)</f>
        <v/>
      </c>
      <c r="CU193" s="206">
        <f>SUMIFS(領用表!$L:$L,領用表!$E:$E,$B193,領用表!$B:$B,$CS$2&amp;CU$2)</f>
        <v/>
      </c>
      <c r="CV193" s="206">
        <f>SUMIFS(領用表!$L:$L,領用表!$E:$E,$B193,領用表!$B:$B,$CS$2&amp;CV$2)</f>
        <v/>
      </c>
      <c r="CW193" s="206">
        <f>SUMIFS(領用表!$L:$L,領用表!$E:$E,$B193,領用表!$B:$B,$CS$2&amp;CW$2)</f>
        <v/>
      </c>
      <c r="CX193" s="206">
        <f>SUMIFS(領用表!$L:$L,領用表!$E:$E,$B193,領用表!$B:$B,$CS$2&amp;CX$2)</f>
        <v/>
      </c>
      <c r="CY193" s="208">
        <f>SUMIFS(領用表!$L:$L,領用表!$A:$A,CY$2,領用表!$E:$E,B193)</f>
        <v/>
      </c>
      <c r="CZ193" s="296">
        <f>SUMIFS(領用表!$L:$L,領用表!$E:$E,$B193,領用表!$B:$B,CY$2&amp;CZ$2)</f>
        <v/>
      </c>
      <c r="DA193" s="296">
        <f>SUMIFS(領用表!$L:$L,領用表!$E:$E,$B193,領用表!$B:$B,$CY$2&amp;DA$2)</f>
        <v/>
      </c>
      <c r="DB193" s="296">
        <f>SUMIFS(領用表!$L:$L,領用表!$E:$E,$B193,領用表!$B:$B,$CY$2&amp;DB$2)</f>
        <v/>
      </c>
      <c r="DC193" s="296">
        <f>SUMIFS(領用表!$L:$L,領用表!$E:$E,$B193,領用表!$B:$B,$CY$2&amp;DC$2)</f>
        <v/>
      </c>
      <c r="DD193" s="296">
        <f>SUMIFS(領用表!$L:$L,領用表!$E:$E,$B193,領用表!$B:$B,$CY$2&amp;DD$2)</f>
        <v/>
      </c>
      <c r="DE193" s="208">
        <f>SUMIFS(領用表!$L:$L,領用表!$A:$A,DE$2,領用表!$E:$E,B193)</f>
        <v/>
      </c>
      <c r="DF193" s="296">
        <f>SUMIFS(領用表!$L:$L,領用表!$E:$E,$B193,領用表!$B:$B,DE$2&amp;DF$2)</f>
        <v/>
      </c>
      <c r="DG193" s="296">
        <f>SUMIFS(領用表!$L:$L,領用表!$E:$E,$B193,領用表!$B:$B,$DE$2&amp;DG$2)</f>
        <v/>
      </c>
      <c r="DH193" s="296">
        <f>SUMIFS(領用表!$L:$L,領用表!$E:$E,$B193,領用表!$B:$B,$DE$2&amp;DH$2)</f>
        <v/>
      </c>
      <c r="DI193" s="296">
        <f>SUMIFS(領用表!$L:$L,領用表!$E:$E,$B193,領用表!$B:$B,$DE$2&amp;DI$2)</f>
        <v/>
      </c>
      <c r="DJ193" s="296">
        <f>SUMIFS(領用表!$L:$L,領用表!$E:$E,$B193,領用表!$B:$B,$DE$2&amp;DJ$2)</f>
        <v/>
      </c>
      <c r="DK193" s="208">
        <f>SUMIFS(領用表!$L:$L,領用表!$A:$A,DK$2,領用表!$E:$E,$B193)</f>
        <v/>
      </c>
      <c r="DL193" s="296">
        <f>SUMIFS(領用表!$L:$L,領用表!$E:$E,$B193,領用表!$B:$B,DK$2&amp;DL$2)</f>
        <v/>
      </c>
      <c r="DM193" s="296">
        <f>SUMIFS(領用表!$L:$L,領用表!$E:$E,$B193,領用表!$B:$B,$CY$2&amp;DM$2)</f>
        <v/>
      </c>
      <c r="DN193" s="296">
        <f>SUMIFS(領用表!$L:$L,領用表!$E:$E,$B193,領用表!$B:$B,$DK$2&amp;DN$2)</f>
        <v/>
      </c>
      <c r="DO193" s="296">
        <f>SUMIFS(領用表!$L:$L,領用表!$E:$E,$B193,領用表!$B:$B,$DK$2&amp;DO$2)</f>
        <v/>
      </c>
      <c r="DP193" s="296">
        <f>SUMIFS(領用表!$L:$L,領用表!$E:$E,$B193,領用表!$B:$B,$DK$2&amp;DP$2)</f>
        <v/>
      </c>
      <c r="DQ193" s="208" t="n"/>
      <c r="DR193" s="296" t="n"/>
      <c r="DS193" s="296" t="n"/>
      <c r="DT193" s="296" t="n"/>
      <c r="DU193" s="296" t="n"/>
      <c r="DV193" s="296" t="n"/>
      <c r="DW193" s="330">
        <f>SUM(CN193,CS193,CY193,DE193,DK193,DQ193)</f>
        <v/>
      </c>
      <c r="DX193" s="330">
        <f>AVERAGEA(CN193,CS193,CY193,DE193,DK193,DQ193)</f>
        <v/>
      </c>
      <c r="DY193" s="330">
        <f>SUM(DZ193:EC193)</f>
        <v/>
      </c>
      <c r="DZ193" s="330" t="n">
        <v>0</v>
      </c>
      <c r="EA193" s="330" t="n">
        <v>0</v>
      </c>
      <c r="EB193" s="330" t="n">
        <v>0</v>
      </c>
      <c r="EC193" s="330" t="n">
        <v>0</v>
      </c>
      <c r="ED193" s="305" t="n"/>
      <c r="EE193" s="342" t="n"/>
      <c r="EF193" s="341" t="n"/>
      <c r="EG193" s="341" t="inlineStr">
        <is>
          <t>15(10/22)</t>
        </is>
      </c>
      <c r="EJ193" s="118">
        <f>IFERROR(VLOOKUP(A193,站前4樓!A:BF,57,0),0)</f>
        <v/>
      </c>
      <c r="EK193" s="213">
        <f>IFERROR(VLOOKUP(A193,站前11樓!A:BE,57,0),0)</f>
        <v/>
      </c>
      <c r="EL193" s="118">
        <f>IFERROR(VLOOKUP(A193,忠孝7樓!A:N,57,0),0)</f>
        <v/>
      </c>
      <c r="EM193" s="118">
        <f>IFERROR(VLOOKUP(A193,忠孝國際醫學3樓!A:L,57,0),0)</f>
        <v/>
      </c>
      <c r="EN193" s="118">
        <f>SUM(ED193:EG193)</f>
        <v/>
      </c>
    </row>
    <row r="194" ht="15" customFormat="1" customHeight="1" s="118">
      <c r="A194" s="136" t="inlineStr">
        <is>
          <t>MAX06M1A0001</t>
        </is>
      </c>
      <c r="C194" s="136" t="inlineStr">
        <is>
          <t>MIKOBEAUTE-提袋-S/22cm W*8cm D*18cm H</t>
        </is>
      </c>
      <c r="D194" s="285" t="n"/>
      <c r="E194" s="198" t="inlineStr">
        <is>
          <t>PCS</t>
        </is>
      </c>
      <c r="F194" s="225">
        <f>SUMIF(站前4樓!B:B,B194,站前4樓!F:F)</f>
        <v/>
      </c>
      <c r="G194" s="225">
        <f>SUMIF(站前11樓!B:B,B194,站前11樓!F:F)</f>
        <v/>
      </c>
      <c r="H194" s="225">
        <f>SUMIF(忠孝7樓!B:B,B194,忠孝7樓!G:G)</f>
        <v/>
      </c>
      <c r="I194" s="225">
        <f>SUMIF(忠孝國際醫學3樓!B:B,B194,忠孝國際醫學3樓!G:G)</f>
        <v/>
      </c>
      <c r="J194" s="225">
        <f>SUMIF(忠孝健康7樓!B:B,B194,忠孝健康7樓!G:G)</f>
        <v/>
      </c>
      <c r="BC194" s="203">
        <f>SUMIFS(領用表!$L:$L,領用表!$A:$A,BC$2,領用表!$E:$E,B194)</f>
        <v/>
      </c>
      <c r="BD194" s="296">
        <f>SUMIFS(領用表!$L:$L,領用表!$E:$E,$B194,領用表!$B:$B,BC$2&amp;BD$2)</f>
        <v/>
      </c>
      <c r="BE194" s="296">
        <f>SUMIFS(領用表!$L:$L,領用表!$E:$E,$B194,領用表!$B:$B,$BC$2&amp;BE$2)</f>
        <v/>
      </c>
      <c r="BF194" s="296">
        <f>SUMIFS(領用表!$L:$L,領用表!$E:$E,$B194,領用表!$B:$B,$BC$2&amp;BF$2)</f>
        <v/>
      </c>
      <c r="BG194" s="296">
        <f>SUMIFS(領用表!$L:$L,領用表!$E:$E,$B194,領用表!$B:$B,$BC$2&amp;BG$2)</f>
        <v/>
      </c>
      <c r="BH194" s="203">
        <f>SUMIFS(領用表!$L:$L,領用表!$A:$A,BH$2,領用表!$E:$E,B194)</f>
        <v/>
      </c>
      <c r="BI194" s="260">
        <f>SUMIFS(領用表!$L:$L,領用表!$E:$E,$B194,領用表!$B:$B,BH$2&amp;BI$2)</f>
        <v/>
      </c>
      <c r="BJ194" s="260">
        <f>SUMIFS(領用表!$L:$L,領用表!$E:$E,$B194,領用表!$B:$B,$BH$2&amp;BJ$2)</f>
        <v/>
      </c>
      <c r="BK194" s="260">
        <f>SUMIFS(領用表!$L:$L,領用表!$E:$E,$B194,領用表!$B:$B,$BH$2&amp;BK$2)</f>
        <v/>
      </c>
      <c r="BL194" s="260">
        <f>SUMIFS(領用表!$L:$L,領用表!$E:$E,$B194,領用表!$B:$B,$BH$2&amp;BL$2)</f>
        <v/>
      </c>
      <c r="BM194" s="203">
        <f>SUMIFS(領用表!$L:$L,領用表!$A:$A,BM$2,領用表!$E:$E,B194)</f>
        <v/>
      </c>
      <c r="BN194" s="206">
        <f>SUMIFS(領用表!$L:$L,領用表!$E:$E,$B194,領用表!$B:$B,BM$2&amp;BN$2)</f>
        <v/>
      </c>
      <c r="BO194" s="206">
        <f>SUMIFS(領用表!$L:$L,領用表!$E:$E,$B194,領用表!$B:$B,$BM$2&amp;BO$2)</f>
        <v/>
      </c>
      <c r="BP194" s="288">
        <f>SUMIFS(領用表!$L:$L,領用表!$E:$E,$B194,領用表!$B:$B,$BM$2&amp;BP$2)</f>
        <v/>
      </c>
      <c r="BQ194" s="287">
        <f>SUMIFS(領用表!$L:$L,領用表!$E:$E,$B194,領用表!$B:$B,$BM$2&amp;BQ$2)</f>
        <v/>
      </c>
      <c r="BR194" s="203">
        <f>SUMIFS(領用表!$L:$L,領用表!$A:$A,BR$2,領用表!$E:$E,B194)</f>
        <v/>
      </c>
      <c r="BS194" s="260">
        <f>SUMIFS(領用表!$L:$L,領用表!$E:$E,$B194,領用表!$B:$B,BR$2&amp;BS$2)</f>
        <v/>
      </c>
      <c r="BT194" s="260">
        <f>SUMIFS(領用表!$L:$L,領用表!$E:$E,$B194,領用表!$B:$B,$BR$2&amp;BT$2)</f>
        <v/>
      </c>
      <c r="BU194" s="260">
        <f>SUMIFS(領用表!$L:$L,領用表!$E:$E,$B194,領用表!$B:$B,$BR$2&amp;BU$2)</f>
        <v/>
      </c>
      <c r="BV194" s="220">
        <f>SUMIFS(領用表!$L:$L,領用表!$E:$E,$B194,領用表!$B:$B,$BR$2&amp;BV$2)</f>
        <v/>
      </c>
      <c r="BW194" s="208">
        <f>SUMIFS(領用表!$L:$L,領用表!$A:$A,BW$2,領用表!$E:$E,B194)</f>
        <v/>
      </c>
      <c r="BX194" s="296">
        <f>SUMIFS(領用表!$L:$L,領用表!$E:$E,$B194,領用表!$B:$B,BW$2&amp;BX$2)</f>
        <v/>
      </c>
      <c r="BY194" s="296">
        <f>SUMIFS(領用表!$L:$L,領用表!$E:$E,$B194,領用表!$B:$B,$BW$2&amp;BY$2)</f>
        <v/>
      </c>
      <c r="BZ194" s="296">
        <f>SUMIFS(領用表!$L:$L,領用表!$E:$E,$B194,領用表!$B:$B,$BW$2&amp;BZ$2)</f>
        <v/>
      </c>
      <c r="CA194" s="296">
        <f>SUMIFS(領用表!$L:$L,領用表!$E:$E,$B194,領用表!$B:$B,$BW$2&amp;CA$2)</f>
        <v/>
      </c>
      <c r="CB194" s="208">
        <f>SUMIFS(領用表!$L:$L,領用表!$A:$A,CB$2,領用表!$E:$E,B194)</f>
        <v/>
      </c>
      <c r="CC194" s="296">
        <f>SUMIFS(領用表!$L:$L,領用表!$E:$E,$B194,領用表!$B:$B,CB$2&amp;CC$2)</f>
        <v/>
      </c>
      <c r="CD194" s="296">
        <f>SUMIFS(領用表!$L:$L,領用表!$E:$E,$B194,領用表!$B:$B,$CB$2&amp;CD$2)</f>
        <v/>
      </c>
      <c r="CE194" s="296">
        <f>SUMIFS(領用表!$L:$L,領用表!$E:$E,$B194,領用表!$B:$B,$CB$2&amp;CE$2)</f>
        <v/>
      </c>
      <c r="CF194" s="296">
        <f>SUMIFS(領用表!$L:$L,領用表!$E:$E,$B194,領用表!$B:$B,$CB$2&amp;CF$2)</f>
        <v/>
      </c>
      <c r="CG194" s="335">
        <f>SUMIFS(領用表!$L:$L,領用表!$A:$A,CG$2,領用表!$E:$E,B194)</f>
        <v/>
      </c>
      <c r="CH194" s="296">
        <f>SUMIFS(領用表!$L:$L,領用表!$E:$E,$B194,領用表!$B:$B,CG$2&amp;CH$2)</f>
        <v/>
      </c>
      <c r="CI194" s="296">
        <f>SUMIFS(領用表!$L:$L,領用表!$E:$E,$B194,領用表!$B:$B,CG$2&amp;CI$2)</f>
        <v/>
      </c>
      <c r="CJ194" s="296">
        <f>SUMIFS(領用表!$L:$L,領用表!$E:$E,$B194,領用表!$B:$B,CG$2&amp;CJ$2)</f>
        <v/>
      </c>
      <c r="CK194" s="296">
        <f>SUMIFS(領用表!$L:$L,領用表!$E:$E,$B194,領用表!$B:$B,$CG$2&amp;CK$2)</f>
        <v/>
      </c>
      <c r="CL194" s="207">
        <f>SUM(AX194,AY194,AZ194,BA194,BB194,BC194,BH194,BM194,BR194,BW194,CB194,CG194)</f>
        <v/>
      </c>
      <c r="CM194" s="207">
        <f>AVERAGE(AX194,AY194,AZ194,BA194,BB194,BC194,BH194,BM194,BR194,BW194,CB194,CG194)</f>
        <v/>
      </c>
      <c r="CN194" s="208">
        <f>SUMIFS(領用表!$L:$L,領用表!$A:$A,CN$2,領用表!$E:$E,B194)</f>
        <v/>
      </c>
      <c r="CO194" s="206">
        <f>SUMIFS(領用表!$L:$L,領用表!$E:$E,$B194,領用表!$B:$B,CN$2&amp;CO$2)</f>
        <v/>
      </c>
      <c r="CP194" s="206">
        <f>SUMIFS(領用表!$L:$L,領用表!$E:$E,$B194,領用表!$B:$B,$CN$2&amp;CP$2)</f>
        <v/>
      </c>
      <c r="CQ194" s="206">
        <f>SUMIFS(領用表!$L:$L,領用表!$E:$E,$B194,領用表!$B:$B,$CN$2&amp;CQ$2)</f>
        <v/>
      </c>
      <c r="CR194" s="296">
        <f>SUMIFS(領用表!$L:$L,領用表!$E:$E,$B194,領用表!$B:$B,$CN$2&amp;CR$2)</f>
        <v/>
      </c>
      <c r="CS194" s="208">
        <f>SUMIFS(領用表!$L:$L,領用表!$A:$A,CS$2,領用表!$E:$E,B194)</f>
        <v/>
      </c>
      <c r="CT194" s="206">
        <f>SUMIFS(領用表!$L:$L,領用表!$E:$E,$B194,領用表!$B:$B,CS$2&amp;CT$2)</f>
        <v/>
      </c>
      <c r="CU194" s="206">
        <f>SUMIFS(領用表!$L:$L,領用表!$E:$E,$B194,領用表!$B:$B,$CS$2&amp;CU$2)</f>
        <v/>
      </c>
      <c r="CV194" s="206">
        <f>SUMIFS(領用表!$L:$L,領用表!$E:$E,$B194,領用表!$B:$B,$CS$2&amp;CV$2)</f>
        <v/>
      </c>
      <c r="CW194" s="206">
        <f>SUMIFS(領用表!$L:$L,領用表!$E:$E,$B194,領用表!$B:$B,$CS$2&amp;CW$2)</f>
        <v/>
      </c>
      <c r="CX194" s="206">
        <f>SUMIFS(領用表!$L:$L,領用表!$E:$E,$B194,領用表!$B:$B,$CS$2&amp;CX$2)</f>
        <v/>
      </c>
      <c r="CY194" s="208">
        <f>SUMIFS(領用表!$L:$L,領用表!$A:$A,CY$2,領用表!$E:$E,B194)</f>
        <v/>
      </c>
      <c r="CZ194" s="296">
        <f>SUMIFS(領用表!$L:$L,領用表!$E:$E,$B194,領用表!$B:$B,CY$2&amp;CZ$2)</f>
        <v/>
      </c>
      <c r="DA194" s="296">
        <f>SUMIFS(領用表!$L:$L,領用表!$E:$E,$B194,領用表!$B:$B,$CY$2&amp;DA$2)</f>
        <v/>
      </c>
      <c r="DB194" s="296">
        <f>SUMIFS(領用表!$L:$L,領用表!$E:$E,$B194,領用表!$B:$B,$CY$2&amp;DB$2)</f>
        <v/>
      </c>
      <c r="DC194" s="296">
        <f>SUMIFS(領用表!$L:$L,領用表!$E:$E,$B194,領用表!$B:$B,$CY$2&amp;DC$2)</f>
        <v/>
      </c>
      <c r="DD194" s="296">
        <f>SUMIFS(領用表!$L:$L,領用表!$E:$E,$B194,領用表!$B:$B,$CY$2&amp;DD$2)</f>
        <v/>
      </c>
      <c r="DE194" s="208">
        <f>SUMIFS(領用表!$L:$L,領用表!$A:$A,DE$2,領用表!$E:$E,B194)</f>
        <v/>
      </c>
      <c r="DF194" s="296">
        <f>SUMIFS(領用表!$L:$L,領用表!$E:$E,$B194,領用表!$B:$B,DE$2&amp;DF$2)</f>
        <v/>
      </c>
      <c r="DG194" s="296">
        <f>SUMIFS(領用表!$L:$L,領用表!$E:$E,$B194,領用表!$B:$B,$DE$2&amp;DG$2)</f>
        <v/>
      </c>
      <c r="DH194" s="296">
        <f>SUMIFS(領用表!$L:$L,領用表!$E:$E,$B194,領用表!$B:$B,$DE$2&amp;DH$2)</f>
        <v/>
      </c>
      <c r="DI194" s="296">
        <f>SUMIFS(領用表!$L:$L,領用表!$E:$E,$B194,領用表!$B:$B,$DE$2&amp;DI$2)</f>
        <v/>
      </c>
      <c r="DJ194" s="296">
        <f>SUMIFS(領用表!$L:$L,領用表!$E:$E,$B194,領用表!$B:$B,$DE$2&amp;DJ$2)</f>
        <v/>
      </c>
      <c r="DK194" s="208">
        <f>SUMIFS(領用表!$L:$L,領用表!$A:$A,DK$2,領用表!$E:$E,$B194)</f>
        <v/>
      </c>
      <c r="DL194" s="296">
        <f>SUMIFS(領用表!$L:$L,領用表!$E:$E,$B194,領用表!$B:$B,DK$2&amp;DL$2)</f>
        <v/>
      </c>
      <c r="DM194" s="296">
        <f>SUMIFS(領用表!$L:$L,領用表!$E:$E,$B194,領用表!$B:$B,$CY$2&amp;DM$2)</f>
        <v/>
      </c>
      <c r="DN194" s="296">
        <f>SUMIFS(領用表!$L:$L,領用表!$E:$E,$B194,領用表!$B:$B,$DK$2&amp;DN$2)</f>
        <v/>
      </c>
      <c r="DO194" s="296">
        <f>SUMIFS(領用表!$L:$L,領用表!$E:$E,$B194,領用表!$B:$B,$DK$2&amp;DO$2)</f>
        <v/>
      </c>
      <c r="DP194" s="296">
        <f>SUMIFS(領用表!$L:$L,領用表!$E:$E,$B194,領用表!$B:$B,$DK$2&amp;DP$2)</f>
        <v/>
      </c>
      <c r="DQ194" s="208" t="n"/>
      <c r="DR194" s="296" t="n"/>
      <c r="DS194" s="296" t="n"/>
      <c r="DT194" s="296" t="n"/>
      <c r="DU194" s="296" t="n"/>
      <c r="DV194" s="296" t="n"/>
      <c r="DW194" s="330">
        <f>SUM(CN194,CS194,CY194,DE194,DK194,DQ194)</f>
        <v/>
      </c>
      <c r="DX194" s="330">
        <f>AVERAGEA(CN194,CS194,CY194,DE194,DK194,DQ194)</f>
        <v/>
      </c>
      <c r="DY194" s="330">
        <f>SUM(DZ194:EC194)</f>
        <v/>
      </c>
      <c r="DZ194" s="330" t="n">
        <v>0</v>
      </c>
      <c r="EA194" s="330" t="n">
        <v>0</v>
      </c>
      <c r="EB194" s="330" t="n">
        <v>0</v>
      </c>
      <c r="EC194" s="330" t="n">
        <v>0</v>
      </c>
      <c r="ED194" s="305" t="n"/>
      <c r="EE194" s="342" t="n"/>
      <c r="EF194" s="341" t="n"/>
      <c r="EG194" s="341" t="n"/>
      <c r="EJ194" s="118">
        <f>IFERROR(VLOOKUP(A194,站前4樓!A:BF,57,0),0)</f>
        <v/>
      </c>
      <c r="EK194" s="213">
        <f>IFERROR(VLOOKUP(A194,站前11樓!A:BE,57,0),0)</f>
        <v/>
      </c>
      <c r="EL194" s="118">
        <f>IFERROR(VLOOKUP(A194,忠孝7樓!A:N,57,0),0)</f>
        <v/>
      </c>
      <c r="EM194" s="118">
        <f>IFERROR(VLOOKUP(A194,忠孝國際醫學3樓!A:L,57,0),0)</f>
        <v/>
      </c>
      <c r="EN194" s="118">
        <f>SUM(ED194:EG194)</f>
        <v/>
      </c>
    </row>
    <row r="195" ht="15" customFormat="1" customHeight="1" s="118">
      <c r="A195" s="136" t="inlineStr">
        <is>
          <t>MAX06M1A0005</t>
        </is>
      </c>
      <c r="C195" s="136" t="inlineStr">
        <is>
          <t>MIKOBEAUTE-提袋-M/29cm W*11cm D*24cm H(2023.4)</t>
        </is>
      </c>
      <c r="D195" s="285" t="n"/>
      <c r="E195" s="198" t="inlineStr">
        <is>
          <t>PCS</t>
        </is>
      </c>
      <c r="F195" s="225">
        <f>SUMIF(站前4樓!B:B,B195,站前4樓!F:F)</f>
        <v/>
      </c>
      <c r="G195" s="225">
        <f>SUMIF(站前11樓!B:B,B195,站前11樓!F:F)</f>
        <v/>
      </c>
      <c r="H195" s="225">
        <f>SUMIF(忠孝7樓!B:B,B195,忠孝7樓!G:G)</f>
        <v/>
      </c>
      <c r="I195" s="225">
        <f>SUMIF(忠孝國際醫學3樓!B:B,B195,忠孝國際醫學3樓!G:G)</f>
        <v/>
      </c>
      <c r="J195" s="225">
        <f>SUMIF(忠孝健康7樓!B:B,B195,忠孝健康7樓!G:G)</f>
        <v/>
      </c>
      <c r="BC195" s="203">
        <f>SUMIFS(領用表!$L:$L,領用表!$A:$A,BC$2,領用表!$E:$E,B195)</f>
        <v/>
      </c>
      <c r="BD195" s="296">
        <f>SUMIFS(領用表!$L:$L,領用表!$E:$E,$B195,領用表!$B:$B,BC$2&amp;BD$2)</f>
        <v/>
      </c>
      <c r="BE195" s="296">
        <f>SUMIFS(領用表!$L:$L,領用表!$E:$E,$B195,領用表!$B:$B,$BC$2&amp;BE$2)</f>
        <v/>
      </c>
      <c r="BF195" s="296">
        <f>SUMIFS(領用表!$L:$L,領用表!$E:$E,$B195,領用表!$B:$B,$BC$2&amp;BF$2)</f>
        <v/>
      </c>
      <c r="BG195" s="296">
        <f>SUMIFS(領用表!$L:$L,領用表!$E:$E,$B195,領用表!$B:$B,$BC$2&amp;BG$2)</f>
        <v/>
      </c>
      <c r="BH195" s="203">
        <f>SUMIFS(領用表!$L:$L,領用表!$A:$A,BH$2,領用表!$E:$E,B195)</f>
        <v/>
      </c>
      <c r="BI195" s="260">
        <f>SUMIFS(領用表!$L:$L,領用表!$E:$E,$B195,領用表!$B:$B,BH$2&amp;BI$2)</f>
        <v/>
      </c>
      <c r="BJ195" s="260">
        <f>SUMIFS(領用表!$L:$L,領用表!$E:$E,$B195,領用表!$B:$B,$BH$2&amp;BJ$2)</f>
        <v/>
      </c>
      <c r="BK195" s="260">
        <f>SUMIFS(領用表!$L:$L,領用表!$E:$E,$B195,領用表!$B:$B,$BH$2&amp;BK$2)</f>
        <v/>
      </c>
      <c r="BL195" s="260">
        <f>SUMIFS(領用表!$L:$L,領用表!$E:$E,$B195,領用表!$B:$B,$BH$2&amp;BL$2)</f>
        <v/>
      </c>
      <c r="BM195" s="203">
        <f>SUMIFS(領用表!$L:$L,領用表!$A:$A,BM$2,領用表!$E:$E,B195)</f>
        <v/>
      </c>
      <c r="BN195" s="206">
        <f>SUMIFS(領用表!$L:$L,領用表!$E:$E,$B195,領用表!$B:$B,BM$2&amp;BN$2)</f>
        <v/>
      </c>
      <c r="BO195" s="206">
        <f>SUMIFS(領用表!$L:$L,領用表!$E:$E,$B195,領用表!$B:$B,$BM$2&amp;BO$2)</f>
        <v/>
      </c>
      <c r="BP195" s="288">
        <f>SUMIFS(領用表!$L:$L,領用表!$E:$E,$B195,領用表!$B:$B,$BM$2&amp;BP$2)</f>
        <v/>
      </c>
      <c r="BQ195" s="287">
        <f>SUMIFS(領用表!$L:$L,領用表!$E:$E,$B195,領用表!$B:$B,$BM$2&amp;BQ$2)</f>
        <v/>
      </c>
      <c r="BR195" s="203">
        <f>SUMIFS(領用表!$L:$L,領用表!$A:$A,BR$2,領用表!$E:$E,B195)</f>
        <v/>
      </c>
      <c r="BS195" s="260">
        <f>SUMIFS(領用表!$L:$L,領用表!$E:$E,$B195,領用表!$B:$B,BR$2&amp;BS$2)</f>
        <v/>
      </c>
      <c r="BT195" s="260">
        <f>SUMIFS(領用表!$L:$L,領用表!$E:$E,$B195,領用表!$B:$B,$BR$2&amp;BT$2)</f>
        <v/>
      </c>
      <c r="BU195" s="260">
        <f>SUMIFS(領用表!$L:$L,領用表!$E:$E,$B195,領用表!$B:$B,$BR$2&amp;BU$2)</f>
        <v/>
      </c>
      <c r="BV195" s="220">
        <f>SUMIFS(領用表!$L:$L,領用表!$E:$E,$B195,領用表!$B:$B,$BR$2&amp;BV$2)</f>
        <v/>
      </c>
      <c r="BW195" s="208">
        <f>SUMIFS(領用表!$L:$L,領用表!$A:$A,BW$2,領用表!$E:$E,B195)</f>
        <v/>
      </c>
      <c r="BX195" s="296">
        <f>SUMIFS(領用表!$L:$L,領用表!$E:$E,$B195,領用表!$B:$B,BW$2&amp;BX$2)</f>
        <v/>
      </c>
      <c r="BY195" s="296">
        <f>SUMIFS(領用表!$L:$L,領用表!$E:$E,$B195,領用表!$B:$B,$BW$2&amp;BY$2)</f>
        <v/>
      </c>
      <c r="BZ195" s="296">
        <f>SUMIFS(領用表!$L:$L,領用表!$E:$E,$B195,領用表!$B:$B,$BW$2&amp;BZ$2)</f>
        <v/>
      </c>
      <c r="CA195" s="296">
        <f>SUMIFS(領用表!$L:$L,領用表!$E:$E,$B195,領用表!$B:$B,$BW$2&amp;CA$2)</f>
        <v/>
      </c>
      <c r="CB195" s="208">
        <f>SUMIFS(領用表!$L:$L,領用表!$A:$A,CB$2,領用表!$E:$E,B195)</f>
        <v/>
      </c>
      <c r="CC195" s="296">
        <f>SUMIFS(領用表!$L:$L,領用表!$E:$E,$B195,領用表!$B:$B,CB$2&amp;CC$2)</f>
        <v/>
      </c>
      <c r="CD195" s="296">
        <f>SUMIFS(領用表!$L:$L,領用表!$E:$E,$B195,領用表!$B:$B,$CB$2&amp;CD$2)</f>
        <v/>
      </c>
      <c r="CE195" s="296">
        <f>SUMIFS(領用表!$L:$L,領用表!$E:$E,$B195,領用表!$B:$B,$CB$2&amp;CE$2)</f>
        <v/>
      </c>
      <c r="CF195" s="296">
        <f>SUMIFS(領用表!$L:$L,領用表!$E:$E,$B195,領用表!$B:$B,$CB$2&amp;CF$2)</f>
        <v/>
      </c>
      <c r="CG195" s="335">
        <f>SUMIFS(領用表!$L:$L,領用表!$A:$A,CG$2,領用表!$E:$E,B195)</f>
        <v/>
      </c>
      <c r="CH195" s="296">
        <f>SUMIFS(領用表!$L:$L,領用表!$E:$E,$B195,領用表!$B:$B,CG$2&amp;CH$2)</f>
        <v/>
      </c>
      <c r="CI195" s="296">
        <f>SUMIFS(領用表!$L:$L,領用表!$E:$E,$B195,領用表!$B:$B,CG$2&amp;CI$2)</f>
        <v/>
      </c>
      <c r="CJ195" s="296">
        <f>SUMIFS(領用表!$L:$L,領用表!$E:$E,$B195,領用表!$B:$B,CG$2&amp;CJ$2)</f>
        <v/>
      </c>
      <c r="CK195" s="296">
        <f>SUMIFS(領用表!$L:$L,領用表!$E:$E,$B195,領用表!$B:$B,$CG$2&amp;CK$2)</f>
        <v/>
      </c>
      <c r="CL195" s="207">
        <f>SUM(AX195,AY195,AZ195,BA195,BB195,BC195,BH195,BM195,BR195,BW195,CB195,CG195)</f>
        <v/>
      </c>
      <c r="CM195" s="207">
        <f>AVERAGE(AX195,AY195,AZ195,BA195,BB195,BC195,BH195,BM195,BR195,BW195,CB195,CG195)</f>
        <v/>
      </c>
      <c r="CN195" s="208">
        <f>SUMIFS(領用表!$L:$L,領用表!$A:$A,CN$2,領用表!$E:$E,B195)</f>
        <v/>
      </c>
      <c r="CO195" s="206">
        <f>SUMIFS(領用表!$L:$L,領用表!$E:$E,$B195,領用表!$B:$B,CN$2&amp;CO$2)</f>
        <v/>
      </c>
      <c r="CP195" s="206">
        <f>SUMIFS(領用表!$L:$L,領用表!$E:$E,$B195,領用表!$B:$B,$CN$2&amp;CP$2)</f>
        <v/>
      </c>
      <c r="CQ195" s="206">
        <f>SUMIFS(領用表!$L:$L,領用表!$E:$E,$B195,領用表!$B:$B,$CN$2&amp;CQ$2)</f>
        <v/>
      </c>
      <c r="CR195" s="296">
        <f>SUMIFS(領用表!$L:$L,領用表!$E:$E,$B195,領用表!$B:$B,$CN$2&amp;CR$2)</f>
        <v/>
      </c>
      <c r="CS195" s="208">
        <f>SUMIFS(領用表!$L:$L,領用表!$A:$A,CS$2,領用表!$E:$E,B195)</f>
        <v/>
      </c>
      <c r="CT195" s="206">
        <f>SUMIFS(領用表!$L:$L,領用表!$E:$E,$B195,領用表!$B:$B,CS$2&amp;CT$2)</f>
        <v/>
      </c>
      <c r="CU195" s="206">
        <f>SUMIFS(領用表!$L:$L,領用表!$E:$E,$B195,領用表!$B:$B,$CS$2&amp;CU$2)</f>
        <v/>
      </c>
      <c r="CV195" s="206">
        <f>SUMIFS(領用表!$L:$L,領用表!$E:$E,$B195,領用表!$B:$B,$CS$2&amp;CV$2)</f>
        <v/>
      </c>
      <c r="CW195" s="206">
        <f>SUMIFS(領用表!$L:$L,領用表!$E:$E,$B195,領用表!$B:$B,$CS$2&amp;CW$2)</f>
        <v/>
      </c>
      <c r="CX195" s="206">
        <f>SUMIFS(領用表!$L:$L,領用表!$E:$E,$B195,領用表!$B:$B,$CS$2&amp;CX$2)</f>
        <v/>
      </c>
      <c r="CY195" s="208">
        <f>SUMIFS(領用表!$L:$L,領用表!$A:$A,CY$2,領用表!$E:$E,B195)</f>
        <v/>
      </c>
      <c r="CZ195" s="296">
        <f>SUMIFS(領用表!$L:$L,領用表!$E:$E,$B195,領用表!$B:$B,CY$2&amp;CZ$2)</f>
        <v/>
      </c>
      <c r="DA195" s="296">
        <f>SUMIFS(領用表!$L:$L,領用表!$E:$E,$B195,領用表!$B:$B,$CY$2&amp;DA$2)</f>
        <v/>
      </c>
      <c r="DB195" s="296">
        <f>SUMIFS(領用表!$L:$L,領用表!$E:$E,$B195,領用表!$B:$B,$CY$2&amp;DB$2)</f>
        <v/>
      </c>
      <c r="DC195" s="296">
        <f>SUMIFS(領用表!$L:$L,領用表!$E:$E,$B195,領用表!$B:$B,$CY$2&amp;DC$2)</f>
        <v/>
      </c>
      <c r="DD195" s="296">
        <f>SUMIFS(領用表!$L:$L,領用表!$E:$E,$B195,領用表!$B:$B,$CY$2&amp;DD$2)</f>
        <v/>
      </c>
      <c r="DE195" s="208">
        <f>SUMIFS(領用表!$L:$L,領用表!$A:$A,DE$2,領用表!$E:$E,B195)</f>
        <v/>
      </c>
      <c r="DF195" s="296">
        <f>SUMIFS(領用表!$L:$L,領用表!$E:$E,$B195,領用表!$B:$B,DE$2&amp;DF$2)</f>
        <v/>
      </c>
      <c r="DG195" s="296">
        <f>SUMIFS(領用表!$L:$L,領用表!$E:$E,$B195,領用表!$B:$B,$DE$2&amp;DG$2)</f>
        <v/>
      </c>
      <c r="DH195" s="296">
        <f>SUMIFS(領用表!$L:$L,領用表!$E:$E,$B195,領用表!$B:$B,$DE$2&amp;DH$2)</f>
        <v/>
      </c>
      <c r="DI195" s="296">
        <f>SUMIFS(領用表!$L:$L,領用表!$E:$E,$B195,領用表!$B:$B,$DE$2&amp;DI$2)</f>
        <v/>
      </c>
      <c r="DJ195" s="296">
        <f>SUMIFS(領用表!$L:$L,領用表!$E:$E,$B195,領用表!$B:$B,$DE$2&amp;DJ$2)</f>
        <v/>
      </c>
      <c r="DK195" s="208">
        <f>SUMIFS(領用表!$L:$L,領用表!$A:$A,DK$2,領用表!$E:$E,$B195)</f>
        <v/>
      </c>
      <c r="DL195" s="296">
        <f>SUMIFS(領用表!$L:$L,領用表!$E:$E,$B195,領用表!$B:$B,DK$2&amp;DL$2)</f>
        <v/>
      </c>
      <c r="DM195" s="296">
        <f>SUMIFS(領用表!$L:$L,領用表!$E:$E,$B195,領用表!$B:$B,$CY$2&amp;DM$2)</f>
        <v/>
      </c>
      <c r="DN195" s="296">
        <f>SUMIFS(領用表!$L:$L,領用表!$E:$E,$B195,領用表!$B:$B,$DK$2&amp;DN$2)</f>
        <v/>
      </c>
      <c r="DO195" s="296">
        <f>SUMIFS(領用表!$L:$L,領用表!$E:$E,$B195,領用表!$B:$B,$DK$2&amp;DO$2)</f>
        <v/>
      </c>
      <c r="DP195" s="296">
        <f>SUMIFS(領用表!$L:$L,領用表!$E:$E,$B195,領用表!$B:$B,$DK$2&amp;DP$2)</f>
        <v/>
      </c>
      <c r="DQ195" s="208" t="n"/>
      <c r="DR195" s="296" t="n"/>
      <c r="DS195" s="296" t="n"/>
      <c r="DT195" s="296" t="n"/>
      <c r="DU195" s="296" t="n"/>
      <c r="DV195" s="296" t="n"/>
      <c r="DW195" s="330">
        <f>SUM(CN195,CS195,CY195,DE195,DK195,DQ195)</f>
        <v/>
      </c>
      <c r="DX195" s="330">
        <f>AVERAGEA(CN195,CS195,CY195,DE195,DK195,DQ195)</f>
        <v/>
      </c>
      <c r="DY195" s="330">
        <f>SUM(DZ195:EC195)</f>
        <v/>
      </c>
      <c r="DZ195" s="330" t="n">
        <v>0</v>
      </c>
      <c r="EA195" s="330" t="n">
        <v>0</v>
      </c>
      <c r="EB195" s="330" t="n">
        <v>0</v>
      </c>
      <c r="EC195" s="330" t="n">
        <v>0</v>
      </c>
      <c r="ED195" s="305" t="n"/>
      <c r="EE195" s="342" t="n"/>
      <c r="EF195" s="341" t="n"/>
      <c r="EG195" s="341" t="n"/>
      <c r="EJ195" s="118">
        <f>IFERROR(VLOOKUP(A195,站前4樓!A:BF,57,0),0)</f>
        <v/>
      </c>
      <c r="EK195" s="213">
        <f>IFERROR(VLOOKUP(A195,站前11樓!A:BE,57,0),0)</f>
        <v/>
      </c>
      <c r="EL195" s="118">
        <f>IFERROR(VLOOKUP(A195,忠孝7樓!A:N,57,0),0)</f>
        <v/>
      </c>
      <c r="EM195" s="118">
        <f>IFERROR(VLOOKUP(A195,忠孝國際醫學3樓!A:L,57,0),0)</f>
        <v/>
      </c>
      <c r="EN195" s="118">
        <f>SUM(ED195:EG195)</f>
        <v/>
      </c>
    </row>
    <row r="196">
      <c r="B196" s="118" t="n">
        <v>6080011</v>
      </c>
      <c r="C196" s="136" t="inlineStr">
        <is>
          <t>(V)水梨面膜 30ml</t>
        </is>
      </c>
      <c r="D196" s="11" t="n"/>
      <c r="E196" s="198" t="inlineStr">
        <is>
          <t>PCS</t>
        </is>
      </c>
      <c r="F196" s="225">
        <f>SUMIF(站前4樓!B:B,B196,站前4樓!F:F)</f>
        <v/>
      </c>
      <c r="G196" s="225">
        <f>SUMIF(站前11樓!B:B,B196,站前11樓!F:F)</f>
        <v/>
      </c>
      <c r="H196" s="225">
        <f>SUMIF(忠孝7樓!B:B,B196,忠孝7樓!G:G)</f>
        <v/>
      </c>
      <c r="I196" s="225">
        <f>SUMIF(忠孝國際醫學3樓!B:B,B196,忠孝國際醫學3樓!G:G)</f>
        <v/>
      </c>
      <c r="J196" s="225">
        <f>SUMIF(忠孝健康7樓!B:B,B196,忠孝健康7樓!G:G)</f>
        <v/>
      </c>
      <c r="BD196" s="11" t="n"/>
      <c r="BE196" s="11" t="n"/>
      <c r="BF196" s="11" t="n"/>
      <c r="BG196" s="11" t="n"/>
      <c r="BK196" s="11" t="n"/>
      <c r="BL196" s="11" t="n"/>
      <c r="BP196" s="12" t="n"/>
      <c r="BQ196" s="400" t="n"/>
      <c r="CB196" s="180" t="n"/>
      <c r="CC196" s="180" t="n"/>
      <c r="CD196" s="180" t="n"/>
      <c r="CE196" s="180" t="n"/>
      <c r="CF196" s="180" t="n"/>
      <c r="CG196" s="180" t="n"/>
      <c r="CH196" s="180" t="n"/>
      <c r="CI196" s="180" t="n"/>
      <c r="CJ196" s="180" t="n"/>
      <c r="CK196" s="180" t="n"/>
      <c r="CN196" s="208">
        <f>SUMIFS(領用表!$L:$L,領用表!$A:$A,CN$2,領用表!$E:$E,B196)</f>
        <v/>
      </c>
      <c r="CO196" s="206">
        <f>SUMIFS(領用表!$L:$L,領用表!$E:$E,$B196,領用表!$B:$B,CN$2&amp;CO$2)</f>
        <v/>
      </c>
      <c r="CP196" s="206">
        <f>SUMIFS(領用表!$L:$L,領用表!$E:$E,$B196,領用表!$B:$B,$CN$2&amp;CP$2)</f>
        <v/>
      </c>
      <c r="CQ196" s="206">
        <f>SUMIFS(領用表!$L:$L,領用表!$E:$E,$B196,領用表!$B:$B,$CN$2&amp;CQ$2)</f>
        <v/>
      </c>
      <c r="CR196" s="296">
        <f>SUMIFS(領用表!$L:$L,領用表!$E:$E,$B196,領用表!$B:$B,$CN$2&amp;CR$2)</f>
        <v/>
      </c>
      <c r="CS196" s="208">
        <f>SUMIFS(領用表!$L:$L,領用表!$A:$A,CS$2,領用表!$E:$E,B196)</f>
        <v/>
      </c>
      <c r="CT196" s="180" t="n"/>
      <c r="CU196" s="180" t="n"/>
      <c r="CV196" s="180" t="n"/>
      <c r="CW196" s="180" t="n"/>
      <c r="CX196" s="180" t="n"/>
      <c r="CY196" s="208">
        <f>SUMIFS(領用表!$L:$L,領用表!$A:$A,CY$2,領用表!$E:$E,B196)</f>
        <v/>
      </c>
      <c r="CZ196" s="296">
        <f>SUMIFS(領用表!$L:$L,領用表!$E:$E,$B196,領用表!$B:$B,CY$2&amp;CZ$2)</f>
        <v/>
      </c>
      <c r="DA196" s="296">
        <f>SUMIFS(領用表!$L:$L,領用表!$E:$E,$B196,領用表!$B:$B,$CY$2&amp;DA$2)</f>
        <v/>
      </c>
      <c r="DB196" s="296">
        <f>SUMIFS(領用表!$L:$L,領用表!$E:$E,$B196,領用表!$B:$B,$CY$2&amp;DB$2)</f>
        <v/>
      </c>
      <c r="DC196" s="296">
        <f>SUMIFS(領用表!$L:$L,領用表!$E:$E,$B196,領用表!$B:$B,$CY$2&amp;DC$2)</f>
        <v/>
      </c>
      <c r="DD196" s="296">
        <f>SUMIFS(領用表!$L:$L,領用表!$E:$E,$B196,領用表!$B:$B,$CY$2&amp;DD$2)</f>
        <v/>
      </c>
      <c r="DE196" s="208">
        <f>SUMIFS(領用表!$L:$L,領用表!$A:$A,DE$2,領用表!$E:$E,B196)</f>
        <v/>
      </c>
      <c r="DF196" s="296">
        <f>SUMIFS(領用表!$L:$L,領用表!$E:$E,$B196,領用表!$B:$B,DE$2&amp;DF$2)</f>
        <v/>
      </c>
      <c r="DG196" s="296">
        <f>SUMIFS(領用表!$L:$L,領用表!$E:$E,$B196,領用表!$B:$B,$DE$2&amp;DG$2)</f>
        <v/>
      </c>
      <c r="DH196" s="296">
        <f>SUMIFS(領用表!$L:$L,領用表!$E:$E,$B196,領用表!$B:$B,$DE$2&amp;DH$2)</f>
        <v/>
      </c>
      <c r="DI196" s="296">
        <f>SUMIFS(領用表!$L:$L,領用表!$E:$E,$B196,領用表!$B:$B,$DE$2&amp;DI$2)</f>
        <v/>
      </c>
      <c r="DJ196" s="296">
        <f>SUMIFS(領用表!$L:$L,領用表!$E:$E,$B196,領用表!$B:$B,$DE$2&amp;DJ$2)</f>
        <v/>
      </c>
      <c r="DK196" s="208">
        <f>SUMIFS(領用表!$L:$L,領用表!$A:$A,DK$2,領用表!$E:$E,$B196)</f>
        <v/>
      </c>
      <c r="DL196" s="296">
        <f>SUMIFS(領用表!$L:$L,領用表!$E:$E,$B196,領用表!$B:$B,DK$2&amp;DL$2)</f>
        <v/>
      </c>
      <c r="DM196" s="296">
        <f>SUMIFS(領用表!$L:$L,領用表!$E:$E,$B196,領用表!$B:$B,$CY$2&amp;DM$2)</f>
        <v/>
      </c>
      <c r="DN196" s="296">
        <f>SUMIFS(領用表!$L:$L,領用表!$E:$E,$B196,領用表!$B:$B,$DK$2&amp;DN$2)</f>
        <v/>
      </c>
      <c r="DO196" s="296">
        <f>SUMIFS(領用表!$L:$L,領用表!$E:$E,$B196,領用表!$B:$B,$DK$2&amp;DO$2)</f>
        <v/>
      </c>
      <c r="DP196" s="296">
        <f>SUMIFS(領用表!$L:$L,領用表!$E:$E,$B196,領用表!$B:$B,$DK$2&amp;DP$2)</f>
        <v/>
      </c>
      <c r="DQ196" s="208" t="n"/>
      <c r="DR196" s="296" t="n"/>
      <c r="DS196" s="296" t="n"/>
      <c r="DT196" s="296" t="n"/>
      <c r="DU196" s="296" t="n"/>
      <c r="DV196" s="296" t="n"/>
      <c r="DW196" s="330">
        <f>SUM(CN196,CS196,CY196,DE196,DK196,DQ196)</f>
        <v/>
      </c>
      <c r="DX196" s="412">
        <f>AVERAGEA(CN196,CS196,CY196,DE196,DK196,DQ196)</f>
        <v/>
      </c>
      <c r="DY196" s="330">
        <f>SUM(DZ196:EC196)</f>
        <v/>
      </c>
      <c r="DZ196" s="180" t="n"/>
      <c r="EA196" s="180" t="n"/>
      <c r="EB196" s="180" t="n"/>
      <c r="EC196" s="180" t="n"/>
    </row>
    <row r="197">
      <c r="B197" s="118" t="n">
        <v>6080012</v>
      </c>
      <c r="C197" s="136" t="inlineStr">
        <is>
          <t>(V)小玉西瓜面膜 30ml</t>
        </is>
      </c>
      <c r="D197" s="11" t="n"/>
      <c r="E197" s="79" t="inlineStr">
        <is>
          <t>PCS</t>
        </is>
      </c>
      <c r="F197" s="225">
        <f>SUMIF(站前4樓!B:B,B197,站前4樓!F:F)</f>
        <v/>
      </c>
      <c r="G197" s="225">
        <f>SUMIF(站前11樓!B:B,B197,站前11樓!F:F)</f>
        <v/>
      </c>
      <c r="H197" s="225">
        <f>SUMIF(忠孝7樓!B:B,B197,忠孝7樓!G:G)</f>
        <v/>
      </c>
      <c r="I197" s="225">
        <f>SUMIF(忠孝國際醫學3樓!B:B,B197,忠孝國際醫學3樓!G:G)</f>
        <v/>
      </c>
      <c r="J197" s="225">
        <f>SUMIF(忠孝健康7樓!B:B,B197,忠孝健康7樓!G:G)</f>
        <v/>
      </c>
      <c r="BD197" s="11" t="n"/>
      <c r="BE197" s="11" t="n"/>
      <c r="BF197" s="11" t="n"/>
      <c r="BG197" s="11" t="n"/>
      <c r="BK197" s="11" t="n"/>
      <c r="BL197" s="11" t="n"/>
      <c r="BP197" s="12" t="n"/>
      <c r="BQ197" s="400" t="n"/>
      <c r="CN197" s="208">
        <f>SUMIFS(領用表!$L:$L,領用表!$A:$A,CN$2,領用表!$E:$E,B197)</f>
        <v/>
      </c>
      <c r="CO197" s="206">
        <f>SUMIFS(領用表!$L:$L,領用表!$E:$E,$B197,領用表!$B:$B,CN$2&amp;CO$2)</f>
        <v/>
      </c>
      <c r="CP197" s="206">
        <f>SUMIFS(領用表!$L:$L,領用表!$E:$E,$B197,領用表!$B:$B,$CN$2&amp;CP$2)</f>
        <v/>
      </c>
      <c r="CQ197" s="206">
        <f>SUMIFS(領用表!$L:$L,領用表!$E:$E,$B197,領用表!$B:$B,$CN$2&amp;CQ$2)</f>
        <v/>
      </c>
      <c r="CR197" s="296">
        <f>SUMIFS(領用表!$L:$L,領用表!$E:$E,$B197,領用表!$B:$B,$CN$2&amp;CR$2)</f>
        <v/>
      </c>
      <c r="CS197" s="208">
        <f>SUMIFS(領用表!$L:$L,領用表!$A:$A,CS$2,領用表!$E:$E,B197)</f>
        <v/>
      </c>
      <c r="CY197" s="208">
        <f>SUMIFS(領用表!$L:$L,領用表!$A:$A,CY$2,領用表!$E:$E,B197)</f>
        <v/>
      </c>
      <c r="CZ197" s="296">
        <f>SUMIFS(領用表!$L:$L,領用表!$E:$E,$B197,領用表!$B:$B,CY$2&amp;CZ$2)</f>
        <v/>
      </c>
      <c r="DA197" s="296">
        <f>SUMIFS(領用表!$L:$L,領用表!$E:$E,$B197,領用表!$B:$B,$CY$2&amp;DA$2)</f>
        <v/>
      </c>
      <c r="DB197" s="296">
        <f>SUMIFS(領用表!$L:$L,領用表!$E:$E,$B197,領用表!$B:$B,$CY$2&amp;DB$2)</f>
        <v/>
      </c>
      <c r="DC197" s="296">
        <f>SUMIFS(領用表!$L:$L,領用表!$E:$E,$B197,領用表!$B:$B,$CY$2&amp;DC$2)</f>
        <v/>
      </c>
      <c r="DD197" s="296">
        <f>SUMIFS(領用表!$L:$L,領用表!$E:$E,$B197,領用表!$B:$B,$CY$2&amp;DD$2)</f>
        <v/>
      </c>
      <c r="DE197" s="208">
        <f>SUMIFS(領用表!$L:$L,領用表!$A:$A,DE$2,領用表!$E:$E,B197)</f>
        <v/>
      </c>
      <c r="DF197" s="296">
        <f>SUMIFS(領用表!$L:$L,領用表!$E:$E,$B197,領用表!$B:$B,DE$2&amp;DF$2)</f>
        <v/>
      </c>
      <c r="DG197" s="296">
        <f>SUMIFS(領用表!$L:$L,領用表!$E:$E,$B197,領用表!$B:$B,$DE$2&amp;DG$2)</f>
        <v/>
      </c>
      <c r="DH197" s="296">
        <f>SUMIFS(領用表!$L:$L,領用表!$E:$E,$B197,領用表!$B:$B,$DE$2&amp;DH$2)</f>
        <v/>
      </c>
      <c r="DI197" s="296">
        <f>SUMIFS(領用表!$L:$L,領用表!$E:$E,$B197,領用表!$B:$B,$DE$2&amp;DI$2)</f>
        <v/>
      </c>
      <c r="DJ197" s="296">
        <f>SUMIFS(領用表!$L:$L,領用表!$E:$E,$B197,領用表!$B:$B,$DE$2&amp;DJ$2)</f>
        <v/>
      </c>
      <c r="DK197" s="208">
        <f>SUMIFS(領用表!$L:$L,領用表!$A:$A,DK$2,領用表!$E:$E,$B197)</f>
        <v/>
      </c>
      <c r="DL197" s="296">
        <f>SUMIFS(領用表!$L:$L,領用表!$E:$E,$B197,領用表!$B:$B,DK$2&amp;DL$2)</f>
        <v/>
      </c>
      <c r="DM197" s="296">
        <f>SUMIFS(領用表!$L:$L,領用表!$E:$E,$B197,領用表!$B:$B,$CY$2&amp;DM$2)</f>
        <v/>
      </c>
      <c r="DN197" s="296">
        <f>SUMIFS(領用表!$L:$L,領用表!$E:$E,$B197,領用表!$B:$B,$DK$2&amp;DN$2)</f>
        <v/>
      </c>
      <c r="DO197" s="296">
        <f>SUMIFS(領用表!$L:$L,領用表!$E:$E,$B197,領用表!$B:$B,$DK$2&amp;DO$2)</f>
        <v/>
      </c>
      <c r="DP197" s="296">
        <f>SUMIFS(領用表!$L:$L,領用表!$E:$E,$B197,領用表!$B:$B,$DK$2&amp;DP$2)</f>
        <v/>
      </c>
      <c r="DQ197" s="208" t="n"/>
      <c r="DR197" s="296" t="n"/>
      <c r="DS197" s="296" t="n"/>
      <c r="DT197" s="296" t="n"/>
      <c r="DU197" s="296" t="n"/>
      <c r="DV197" s="296" t="n"/>
      <c r="DW197" s="330">
        <f>SUM(CN197,CS197,CY197,DE197,DK197,DQ197)</f>
        <v/>
      </c>
      <c r="DX197" s="412">
        <f>AVERAGEA(CN197,CS197,CY197,DE197,DK197,DQ197)</f>
        <v/>
      </c>
      <c r="DY197" s="330">
        <f>SUM(DZ197:EC197)</f>
        <v/>
      </c>
    </row>
    <row r="198">
      <c r="B198" s="118" t="inlineStr">
        <is>
          <t>6190001</t>
        </is>
      </c>
      <c r="C198" s="136" t="inlineStr">
        <is>
          <t>PLT生長因子凍晶製備/ 瓶</t>
        </is>
      </c>
      <c r="D198" s="11" t="n"/>
      <c r="E198" s="79" t="n"/>
      <c r="F198" s="225">
        <f>SUMIF(站前4樓!B:B,B198,站前4樓!F:F)</f>
        <v/>
      </c>
      <c r="G198" s="225">
        <f>SUMIF(站前11樓!B:B,B198,站前11樓!F:F)</f>
        <v/>
      </c>
      <c r="H198" s="225">
        <f>SUMIF(忠孝7樓!B:B,B198,忠孝7樓!G:G)</f>
        <v/>
      </c>
      <c r="I198" s="225">
        <f>SUMIF(忠孝國際醫學3樓!B:B,B198,忠孝國際醫學3樓!G:G)</f>
        <v/>
      </c>
      <c r="J198" s="225">
        <f>SUMIF(忠孝健康7樓!B:B,B198,忠孝健康7樓!G:G)</f>
        <v/>
      </c>
      <c r="BD198" s="11" t="n"/>
      <c r="BE198" s="11" t="n"/>
      <c r="BF198" s="11" t="n"/>
      <c r="BG198" s="11" t="n"/>
      <c r="BK198" s="11" t="n"/>
      <c r="BL198" s="11" t="n"/>
      <c r="BP198" s="12" t="n"/>
      <c r="BQ198" s="400" t="n"/>
      <c r="CN198" s="208">
        <f>SUMIFS(領用表!$L:$L,領用表!$A:$A,CN$2,領用表!$E:$E,B198)</f>
        <v/>
      </c>
      <c r="CO198" s="206">
        <f>SUMIFS(領用表!$L:$L,領用表!$E:$E,$B198,領用表!$B:$B,CN$2&amp;CO$2)</f>
        <v/>
      </c>
      <c r="CP198" s="206">
        <f>SUMIFS(領用表!$L:$L,領用表!$E:$E,$B198,領用表!$B:$B,$CN$2&amp;CP$2)</f>
        <v/>
      </c>
      <c r="CQ198" s="206">
        <f>SUMIFS(領用表!$L:$L,領用表!$E:$E,$B198,領用表!$B:$B,$CN$2&amp;CQ$2)</f>
        <v/>
      </c>
      <c r="CR198" s="296">
        <f>SUMIFS(領用表!$L:$L,領用表!$E:$E,$B198,領用表!$B:$B,$CN$2&amp;CR$2)</f>
        <v/>
      </c>
      <c r="CS198" s="208">
        <f>SUMIFS(領用表!$L:$L,領用表!$A:$A,CS$2,領用表!$E:$E,B198)</f>
        <v/>
      </c>
      <c r="CY198" s="208">
        <f>SUMIFS(領用表!$L:$L,領用表!$A:$A,CY$2,領用表!$E:$E,B198)</f>
        <v/>
      </c>
      <c r="CZ198" s="296">
        <f>SUMIFS(領用表!$L:$L,領用表!$E:$E,$B198,領用表!$B:$B,CY$2&amp;CZ$2)</f>
        <v/>
      </c>
      <c r="DA198" s="296">
        <f>SUMIFS(領用表!$L:$L,領用表!$E:$E,$B198,領用表!$B:$B,$CY$2&amp;DA$2)</f>
        <v/>
      </c>
      <c r="DB198" s="296">
        <f>SUMIFS(領用表!$L:$L,領用表!$E:$E,$B198,領用表!$B:$B,$CY$2&amp;DB$2)</f>
        <v/>
      </c>
      <c r="DC198" s="296">
        <f>SUMIFS(領用表!$L:$L,領用表!$E:$E,$B198,領用表!$B:$B,$CY$2&amp;DC$2)</f>
        <v/>
      </c>
      <c r="DD198" s="296">
        <f>SUMIFS(領用表!$L:$L,領用表!$E:$E,$B198,領用表!$B:$B,$CY$2&amp;DD$2)</f>
        <v/>
      </c>
      <c r="DE198" s="208">
        <f>SUMIFS(領用表!$L:$L,領用表!$A:$A,DE$2,領用表!$E:$E,B198)</f>
        <v/>
      </c>
      <c r="DF198" s="296">
        <f>SUMIFS(領用表!$L:$L,領用表!$E:$E,$B198,領用表!$B:$B,DE$2&amp;DF$2)</f>
        <v/>
      </c>
      <c r="DG198" s="296">
        <f>SUMIFS(領用表!$L:$L,領用表!$E:$E,$B198,領用表!$B:$B,$DE$2&amp;DG$2)</f>
        <v/>
      </c>
      <c r="DH198" s="296">
        <f>SUMIFS(領用表!$L:$L,領用表!$E:$E,$B198,領用表!$B:$B,$DE$2&amp;DH$2)</f>
        <v/>
      </c>
      <c r="DI198" s="296">
        <f>SUMIFS(領用表!$L:$L,領用表!$E:$E,$B198,領用表!$B:$B,$DE$2&amp;DI$2)</f>
        <v/>
      </c>
      <c r="DJ198" s="296">
        <f>SUMIFS(領用表!$L:$L,領用表!$E:$E,$B198,領用表!$B:$B,$DE$2&amp;DJ$2)</f>
        <v/>
      </c>
      <c r="DK198" s="208">
        <f>SUMIFS(領用表!$L:$L,領用表!$A:$A,DK$2,領用表!$E:$E,$B198)</f>
        <v/>
      </c>
      <c r="DL198" s="296">
        <f>SUMIFS(領用表!$L:$L,領用表!$E:$E,$B198,領用表!$B:$B,DK$2&amp;DL$2)</f>
        <v/>
      </c>
      <c r="DM198" s="296">
        <f>SUMIFS(領用表!$L:$L,領用表!$E:$E,$B198,領用表!$B:$B,$CY$2&amp;DM$2)</f>
        <v/>
      </c>
      <c r="DN198" s="296">
        <f>SUMIFS(領用表!$L:$L,領用表!$E:$E,$B198,領用表!$B:$B,$DK$2&amp;DN$2)</f>
        <v/>
      </c>
      <c r="DO198" s="296">
        <f>SUMIFS(領用表!$L:$L,領用表!$E:$E,$B198,領用表!$B:$B,$DK$2&amp;DO$2)</f>
        <v/>
      </c>
      <c r="DP198" s="296">
        <f>SUMIFS(領用表!$L:$L,領用表!$E:$E,$B198,領用表!$B:$B,$DK$2&amp;DP$2)</f>
        <v/>
      </c>
      <c r="DQ198" s="208" t="n">
        <v>3</v>
      </c>
      <c r="DR198" s="296" t="n">
        <v>1</v>
      </c>
      <c r="DS198" s="296" t="n"/>
      <c r="DT198" s="296" t="n">
        <v>2</v>
      </c>
      <c r="DU198" s="296" t="n"/>
      <c r="DV198" s="296" t="n"/>
      <c r="DW198" s="330">
        <f>SUM(CN198,CS198,CY198,DE198,DK198,DQ198)</f>
        <v/>
      </c>
      <c r="DX198" s="412">
        <f>AVERAGEA(CN198,CS198,CY198,DE198,DK198,DQ198)</f>
        <v/>
      </c>
      <c r="DY198" s="330">
        <f>SUM(DZ198:EC198)</f>
        <v/>
      </c>
    </row>
    <row r="199">
      <c r="B199" s="118" t="inlineStr">
        <is>
          <t>6110181</t>
        </is>
      </c>
      <c r="C199" s="136" t="inlineStr">
        <is>
          <t>需自選沙貨進行手動扣庫</t>
        </is>
      </c>
      <c r="D199" s="11" t="n"/>
      <c r="E199" s="79" t="n"/>
      <c r="F199" s="225">
        <f>SUMIF(站前4樓!B:B,B199,站前4樓!F:F)</f>
        <v/>
      </c>
      <c r="G199" s="225">
        <f>SUMIF(站前11樓!B:B,B199,站前11樓!F:F)</f>
        <v/>
      </c>
      <c r="H199" s="225">
        <f>SUMIF(忠孝7樓!B:B,B199,忠孝7樓!G:G)</f>
        <v/>
      </c>
      <c r="I199" s="225">
        <f>SUMIF(忠孝國際醫學3樓!B:B,B199,忠孝國際醫學3樓!G:G)</f>
        <v/>
      </c>
      <c r="J199" s="225">
        <f>SUMIF(忠孝健康7樓!B:B,B199,忠孝健康7樓!G:G)</f>
        <v/>
      </c>
      <c r="BD199" s="11" t="n"/>
      <c r="BE199" s="11" t="n"/>
      <c r="BF199" s="11" t="n"/>
      <c r="BG199" s="11" t="n"/>
      <c r="BK199" s="11" t="n"/>
      <c r="BL199" s="11" t="n"/>
      <c r="BP199" s="12" t="n"/>
      <c r="BQ199" s="400" t="n"/>
      <c r="CN199" s="208">
        <f>SUMIFS(領用表!$L:$L,領用表!$A:$A,CN$2,領用表!$E:$E,B199)</f>
        <v/>
      </c>
      <c r="CO199" s="206">
        <f>SUMIFS(領用表!$L:$L,領用表!$E:$E,$B199,領用表!$B:$B,CN$2&amp;CO$2)</f>
        <v/>
      </c>
      <c r="CP199" s="206">
        <f>SUMIFS(領用表!$L:$L,領用表!$E:$E,$B199,領用表!$B:$B,$CN$2&amp;CP$2)</f>
        <v/>
      </c>
      <c r="CQ199" s="206">
        <f>SUMIFS(領用表!$L:$L,領用表!$E:$E,$B199,領用表!$B:$B,$CN$2&amp;CQ$2)</f>
        <v/>
      </c>
      <c r="CR199" s="296">
        <f>SUMIFS(領用表!$L:$L,領用表!$E:$E,$B199,領用表!$B:$B,$CN$2&amp;CR$2)</f>
        <v/>
      </c>
      <c r="CS199" s="208">
        <f>SUMIFS(領用表!$L:$L,領用表!$A:$A,CS$2,領用表!$E:$E,B199)</f>
        <v/>
      </c>
      <c r="CY199" s="208">
        <f>SUMIFS(領用表!$L:$L,領用表!$A:$A,CY$2,領用表!$E:$E,B199)</f>
        <v/>
      </c>
      <c r="CZ199" s="296">
        <f>SUMIFS(領用表!$L:$L,領用表!$E:$E,$B199,領用表!$B:$B,CY$2&amp;CZ$2)</f>
        <v/>
      </c>
      <c r="DA199" s="296">
        <f>SUMIFS(領用表!$L:$L,領用表!$E:$E,$B199,領用表!$B:$B,$CY$2&amp;DA$2)</f>
        <v/>
      </c>
      <c r="DB199" s="296">
        <f>SUMIFS(領用表!$L:$L,領用表!$E:$E,$B199,領用表!$B:$B,$CY$2&amp;DB$2)</f>
        <v/>
      </c>
      <c r="DC199" s="296">
        <f>SUMIFS(領用表!$L:$L,領用表!$E:$E,$B199,領用表!$B:$B,$CY$2&amp;DC$2)</f>
        <v/>
      </c>
      <c r="DD199" s="296">
        <f>SUMIFS(領用表!$L:$L,領用表!$E:$E,$B199,領用表!$B:$B,$CY$2&amp;DD$2)</f>
        <v/>
      </c>
      <c r="DE199" s="208">
        <f>SUMIFS(領用表!$L:$L,領用表!$A:$A,DE$2,領用表!$E:$E,B199)</f>
        <v/>
      </c>
      <c r="DF199" s="296">
        <f>SUMIFS(領用表!$L:$L,領用表!$E:$E,$B199,領用表!$B:$B,DE$2&amp;DF$2)</f>
        <v/>
      </c>
      <c r="DG199" s="296">
        <f>SUMIFS(領用表!$L:$L,領用表!$E:$E,$B199,領用表!$B:$B,$DE$2&amp;DG$2)</f>
        <v/>
      </c>
      <c r="DH199" s="296">
        <f>SUMIFS(領用表!$L:$L,領用表!$E:$E,$B199,領用表!$B:$B,$DE$2&amp;DH$2)</f>
        <v/>
      </c>
      <c r="DI199" s="296">
        <f>SUMIFS(領用表!$L:$L,領用表!$E:$E,$B199,領用表!$B:$B,$DE$2&amp;DI$2)</f>
        <v/>
      </c>
      <c r="DJ199" s="296">
        <f>SUMIFS(領用表!$L:$L,領用表!$E:$E,$B199,領用表!$B:$B,$DE$2&amp;DJ$2)</f>
        <v/>
      </c>
      <c r="DK199" s="208">
        <f>SUMIFS(領用表!$L:$L,領用表!$A:$A,DK$2,領用表!$E:$E,$B199)</f>
        <v/>
      </c>
      <c r="DL199" s="296">
        <f>SUMIFS(領用表!$L:$L,領用表!$E:$E,$B199,領用表!$B:$B,DK$2&amp;DL$2)</f>
        <v/>
      </c>
      <c r="DM199" s="296">
        <f>SUMIFS(領用表!$L:$L,領用表!$E:$E,$B199,領用表!$B:$B,$CY$2&amp;DM$2)</f>
        <v/>
      </c>
      <c r="DN199" s="296">
        <f>SUMIFS(領用表!$L:$L,領用表!$E:$E,$B199,領用表!$B:$B,$DK$2&amp;DN$2)</f>
        <v/>
      </c>
      <c r="DO199" s="296">
        <f>SUMIFS(領用表!$L:$L,領用表!$E:$E,$B199,領用表!$B:$B,$DK$2&amp;DO$2)</f>
        <v/>
      </c>
      <c r="DP199" s="296">
        <f>SUMIFS(領用表!$L:$L,領用表!$E:$E,$B199,領用表!$B:$B,$DK$2&amp;DP$2)</f>
        <v/>
      </c>
      <c r="DQ199" s="208" t="n">
        <v>1</v>
      </c>
      <c r="DR199" s="296" t="n"/>
      <c r="DS199" s="296" t="n"/>
      <c r="DT199" s="296" t="n">
        <v>1</v>
      </c>
      <c r="DU199" s="296" t="n"/>
      <c r="DV199" s="296" t="n"/>
      <c r="DW199" s="330">
        <f>SUM(CN199,CS199,CY199,DE199,DK199,DQ199)</f>
        <v/>
      </c>
      <c r="DX199" s="412">
        <f>AVERAGEA(CN199,CS199,CY199,DE199,DK199,DQ199)</f>
        <v/>
      </c>
      <c r="DY199" s="330">
        <f>SUM(DZ199:EC199)</f>
        <v/>
      </c>
    </row>
    <row r="200">
      <c r="D200" s="11" t="n"/>
      <c r="E200" s="79" t="n"/>
      <c r="F200" s="85" t="n"/>
      <c r="G200" s="85" t="n"/>
      <c r="H200" s="85" t="n"/>
      <c r="I200" s="85" t="n"/>
      <c r="J200" s="85" t="n"/>
      <c r="BD200" s="11" t="n"/>
      <c r="BE200" s="11" t="n"/>
      <c r="BF200" s="11" t="n"/>
      <c r="BG200" s="11" t="n"/>
      <c r="BK200" s="11" t="n"/>
      <c r="BL200" s="11" t="n"/>
      <c r="BP200" s="12" t="n"/>
      <c r="BQ200" s="400" t="n"/>
      <c r="DK200" s="180">
        <f>DK199-DL199-DM199-DN199-DO199-DP199</f>
        <v/>
      </c>
      <c r="DQ200" s="180" t="n"/>
    </row>
    <row r="201">
      <c r="D201" s="11" t="n"/>
      <c r="E201" s="79" t="n"/>
      <c r="F201" s="85" t="n"/>
      <c r="G201" s="85" t="n"/>
      <c r="H201" s="85" t="n"/>
      <c r="I201" s="85" t="n"/>
      <c r="J201" s="85" t="n"/>
      <c r="BD201" s="11" t="n"/>
      <c r="BE201" s="11" t="n"/>
      <c r="BF201" s="11" t="n"/>
      <c r="BG201" s="11" t="n"/>
      <c r="BK201" s="11" t="n"/>
      <c r="BL201" s="11" t="n"/>
      <c r="BP201" s="12" t="n"/>
      <c r="BQ201" s="400" t="n"/>
    </row>
    <row r="202">
      <c r="D202" s="11" t="n"/>
      <c r="E202" s="79" t="n"/>
      <c r="F202" s="85" t="n"/>
      <c r="G202" s="85" t="n"/>
      <c r="H202" s="85" t="n"/>
      <c r="I202" s="85" t="n"/>
      <c r="J202" s="85" t="n"/>
      <c r="BD202" s="11" t="n"/>
      <c r="BE202" s="11" t="n"/>
      <c r="BF202" s="11" t="n"/>
      <c r="BG202" s="11" t="n"/>
      <c r="BK202" s="11" t="n"/>
      <c r="BL202" s="11" t="n"/>
      <c r="BP202" s="12" t="n"/>
      <c r="BQ202" s="400" t="n"/>
    </row>
    <row r="203">
      <c r="D203" s="11" t="n"/>
      <c r="E203" s="79" t="n"/>
      <c r="F203" s="85" t="n"/>
      <c r="G203" s="85" t="n"/>
      <c r="H203" s="85" t="n"/>
      <c r="I203" s="85" t="n"/>
      <c r="J203" s="85" t="n"/>
      <c r="BD203" s="11" t="n"/>
      <c r="BE203" s="11" t="n"/>
      <c r="BF203" s="11" t="n"/>
      <c r="BG203" s="11" t="n"/>
      <c r="BK203" s="11" t="n"/>
      <c r="BL203" s="11" t="n"/>
      <c r="BP203" s="12" t="n"/>
      <c r="BQ203" s="400" t="n"/>
    </row>
    <row r="204">
      <c r="D204" s="11" t="n"/>
      <c r="E204" s="79" t="n"/>
      <c r="F204" s="85" t="n"/>
      <c r="G204" s="85" t="n"/>
      <c r="H204" s="85" t="n"/>
      <c r="I204" s="85" t="n"/>
      <c r="J204" s="85" t="n"/>
      <c r="BD204" s="11" t="n"/>
      <c r="BE204" s="11" t="n"/>
      <c r="BF204" s="11" t="n"/>
      <c r="BG204" s="11" t="n"/>
      <c r="BK204" s="11" t="n"/>
      <c r="BL204" s="11" t="n"/>
      <c r="BP204" s="12" t="n"/>
      <c r="BQ204" s="400" t="n"/>
    </row>
    <row r="205">
      <c r="D205" s="11" t="n"/>
      <c r="E205" s="79" t="n"/>
      <c r="F205" s="85" t="n"/>
      <c r="G205" s="85" t="n"/>
      <c r="H205" s="85" t="n"/>
      <c r="I205" s="85" t="n"/>
      <c r="J205" s="85" t="n"/>
      <c r="BD205" s="11" t="n"/>
      <c r="BE205" s="11" t="n"/>
      <c r="BF205" s="11" t="n"/>
      <c r="BG205" s="11" t="n"/>
      <c r="BK205" s="11" t="n"/>
      <c r="BL205" s="11" t="n"/>
      <c r="BP205" s="12" t="n"/>
      <c r="BQ205" s="400" t="n"/>
    </row>
    <row r="206">
      <c r="D206" s="11" t="n"/>
      <c r="E206" s="79" t="n"/>
      <c r="F206" s="85" t="n"/>
      <c r="G206" s="85" t="n"/>
      <c r="H206" s="85" t="n"/>
      <c r="I206" s="85" t="n"/>
      <c r="J206" s="85" t="n"/>
      <c r="BD206" s="11" t="n"/>
      <c r="BE206" s="11" t="n"/>
      <c r="BF206" s="11" t="n"/>
      <c r="BG206" s="11" t="n"/>
      <c r="BK206" s="11" t="n"/>
      <c r="BL206" s="11" t="n"/>
      <c r="BP206" s="12" t="n"/>
      <c r="BQ206" s="400" t="n"/>
    </row>
    <row r="207">
      <c r="D207" s="11" t="n"/>
      <c r="E207" s="86" t="n"/>
      <c r="F207" s="85" t="n"/>
      <c r="G207" s="85" t="n"/>
      <c r="H207" s="85" t="n"/>
      <c r="I207" s="85" t="n"/>
      <c r="J207" s="85" t="n"/>
      <c r="BD207" s="11" t="n"/>
      <c r="BE207" s="11" t="n"/>
      <c r="BF207" s="11" t="n"/>
      <c r="BG207" s="11" t="n"/>
      <c r="BK207" s="11" t="n"/>
      <c r="BL207" s="11" t="n"/>
      <c r="BP207" s="12" t="n"/>
      <c r="BQ207" s="400" t="n"/>
    </row>
    <row r="208">
      <c r="D208" s="11" t="n"/>
      <c r="E208" s="86" t="n"/>
      <c r="F208" s="85" t="n"/>
      <c r="G208" s="85" t="n"/>
      <c r="H208" s="85" t="n"/>
      <c r="I208" s="85" t="n"/>
      <c r="J208" s="85" t="n"/>
      <c r="BD208" s="11" t="n"/>
      <c r="BE208" s="11" t="n"/>
      <c r="BF208" s="11" t="n"/>
      <c r="BG208" s="11" t="n"/>
      <c r="BK208" s="11" t="n"/>
      <c r="BL208" s="11" t="n"/>
      <c r="BP208" s="12" t="n"/>
      <c r="BQ208" s="400" t="n"/>
    </row>
    <row r="209">
      <c r="D209" s="11" t="n"/>
      <c r="E209" s="86" t="n"/>
      <c r="F209" s="85" t="n"/>
      <c r="G209" s="85" t="n"/>
      <c r="H209" s="85" t="n"/>
      <c r="I209" s="85" t="n"/>
      <c r="J209" s="85" t="n"/>
      <c r="BD209" s="11" t="n"/>
      <c r="BE209" s="11" t="n"/>
      <c r="BF209" s="11" t="n"/>
      <c r="BG209" s="11" t="n"/>
      <c r="BK209" s="11" t="n"/>
      <c r="BL209" s="11" t="n"/>
      <c r="BP209" s="12" t="n"/>
      <c r="BQ209" s="400" t="n"/>
    </row>
    <row r="210">
      <c r="D210" s="11" t="n"/>
      <c r="E210" s="86" t="n"/>
      <c r="F210" s="85" t="n"/>
      <c r="G210" s="85" t="n"/>
      <c r="H210" s="85" t="n"/>
      <c r="I210" s="85" t="n"/>
      <c r="J210" s="85" t="n"/>
      <c r="BD210" s="11" t="n"/>
      <c r="BE210" s="11" t="n"/>
      <c r="BF210" s="11" t="n"/>
      <c r="BG210" s="11" t="n"/>
      <c r="BK210" s="11" t="n"/>
      <c r="BL210" s="11" t="n"/>
      <c r="BP210" s="12" t="n"/>
      <c r="BQ210" s="400" t="n"/>
    </row>
    <row r="211">
      <c r="D211" s="11" t="n"/>
      <c r="E211" s="86" t="n"/>
      <c r="F211" s="85" t="n"/>
      <c r="G211" s="85" t="n"/>
      <c r="H211" s="85" t="n"/>
      <c r="I211" s="85" t="n"/>
      <c r="J211" s="85" t="n"/>
      <c r="BD211" s="11" t="n"/>
      <c r="BE211" s="11" t="n"/>
      <c r="BF211" s="11" t="n"/>
      <c r="BG211" s="11" t="n"/>
      <c r="BK211" s="11" t="n"/>
      <c r="BL211" s="11" t="n"/>
      <c r="BP211" s="12" t="n"/>
      <c r="BQ211" s="400" t="n"/>
    </row>
    <row r="212">
      <c r="D212" s="11" t="n"/>
      <c r="E212" s="86" t="n"/>
      <c r="F212" s="85" t="n"/>
      <c r="G212" s="85" t="n"/>
      <c r="H212" s="85" t="n"/>
      <c r="I212" s="85" t="n"/>
      <c r="J212" s="85" t="n"/>
      <c r="BD212" s="11" t="n"/>
      <c r="BE212" s="11" t="n"/>
      <c r="BF212" s="11" t="n"/>
      <c r="BG212" s="11" t="n"/>
      <c r="BK212" s="11" t="n"/>
      <c r="BL212" s="11" t="n"/>
      <c r="BP212" s="12" t="n"/>
      <c r="BQ212" s="400" t="n"/>
    </row>
    <row r="213">
      <c r="D213" s="11" t="n"/>
      <c r="E213" s="86" t="n"/>
      <c r="F213" s="85" t="n"/>
      <c r="G213" s="85" t="n"/>
      <c r="H213" s="85" t="n"/>
      <c r="I213" s="85" t="n"/>
      <c r="J213" s="85" t="n"/>
      <c r="BD213" s="11" t="n"/>
      <c r="BE213" s="11" t="n"/>
      <c r="BF213" s="11" t="n"/>
      <c r="BG213" s="11" t="n"/>
      <c r="BK213" s="11" t="n"/>
      <c r="BL213" s="11" t="n"/>
      <c r="BP213" s="12" t="n"/>
      <c r="BQ213" s="400" t="n"/>
    </row>
    <row r="214">
      <c r="D214" s="11" t="n"/>
      <c r="E214" s="86" t="n"/>
      <c r="F214" s="85" t="n"/>
      <c r="G214" s="85" t="n"/>
      <c r="H214" s="85" t="n"/>
      <c r="I214" s="85" t="n"/>
      <c r="J214" s="85" t="n"/>
      <c r="BD214" s="11" t="n"/>
      <c r="BE214" s="11" t="n"/>
      <c r="BF214" s="11" t="n"/>
      <c r="BG214" s="11" t="n"/>
      <c r="BK214" s="11" t="n"/>
      <c r="BL214" s="11" t="n"/>
      <c r="BP214" s="12" t="n"/>
      <c r="BQ214" s="400" t="n"/>
    </row>
    <row r="215">
      <c r="D215" s="11" t="n"/>
      <c r="E215" s="86" t="n"/>
      <c r="F215" s="85" t="n"/>
      <c r="G215" s="85" t="n"/>
      <c r="H215" s="85" t="n"/>
      <c r="I215" s="85" t="n"/>
      <c r="J215" s="85" t="n"/>
      <c r="BD215" s="11" t="n"/>
      <c r="BE215" s="11" t="n"/>
      <c r="BF215" s="11" t="n"/>
      <c r="BG215" s="11" t="n"/>
      <c r="BK215" s="11" t="n"/>
      <c r="BL215" s="11" t="n"/>
      <c r="BP215" s="12" t="n"/>
      <c r="BQ215" s="400" t="n"/>
    </row>
    <row r="216">
      <c r="D216" s="11" t="n"/>
      <c r="E216" s="86" t="n"/>
      <c r="F216" s="85" t="n"/>
      <c r="G216" s="85" t="n"/>
      <c r="H216" s="85" t="n"/>
      <c r="I216" s="85" t="n"/>
      <c r="J216" s="85" t="n"/>
      <c r="BD216" s="11" t="n"/>
      <c r="BE216" s="11" t="n"/>
      <c r="BF216" s="11" t="n"/>
      <c r="BG216" s="11" t="n"/>
      <c r="BK216" s="11" t="n"/>
      <c r="BL216" s="11" t="n"/>
      <c r="BP216" s="12" t="n"/>
      <c r="BQ216" s="400" t="n"/>
    </row>
    <row r="217">
      <c r="D217" s="11" t="n"/>
      <c r="E217" s="86" t="n"/>
      <c r="F217" s="85" t="n"/>
      <c r="G217" s="85" t="n"/>
      <c r="H217" s="85" t="n"/>
      <c r="I217" s="85" t="n"/>
      <c r="J217" s="85" t="n"/>
      <c r="BD217" s="11" t="n"/>
      <c r="BE217" s="11" t="n"/>
      <c r="BF217" s="11" t="n"/>
      <c r="BG217" s="11" t="n"/>
      <c r="BK217" s="11" t="n"/>
      <c r="BL217" s="11" t="n"/>
      <c r="BP217" s="12" t="n"/>
      <c r="BQ217" s="400" t="n"/>
    </row>
    <row r="218">
      <c r="D218" s="11" t="n"/>
      <c r="E218" s="86" t="n"/>
      <c r="F218" s="85" t="n"/>
      <c r="G218" s="85" t="n"/>
      <c r="H218" s="85" t="n"/>
      <c r="I218" s="85" t="n"/>
      <c r="J218" s="85" t="n"/>
      <c r="BD218" s="11" t="n"/>
      <c r="BE218" s="11" t="n"/>
      <c r="BF218" s="11" t="n"/>
      <c r="BG218" s="11" t="n"/>
      <c r="BK218" s="11" t="n"/>
      <c r="BL218" s="11" t="n"/>
      <c r="BP218" s="12" t="n"/>
      <c r="BQ218" s="400" t="n"/>
    </row>
    <row r="219">
      <c r="D219" s="11" t="n"/>
      <c r="E219" s="86" t="n"/>
      <c r="F219" s="85" t="n"/>
      <c r="G219" s="85" t="n"/>
      <c r="H219" s="85" t="n"/>
      <c r="I219" s="85" t="n"/>
      <c r="J219" s="85" t="n"/>
      <c r="BD219" s="11" t="n"/>
      <c r="BE219" s="11" t="n"/>
      <c r="BF219" s="11" t="n"/>
      <c r="BG219" s="11" t="n"/>
      <c r="BK219" s="11" t="n"/>
      <c r="BL219" s="11" t="n"/>
      <c r="BP219" s="12" t="n"/>
      <c r="BQ219" s="400" t="n"/>
    </row>
    <row r="220">
      <c r="D220" s="11" t="n"/>
      <c r="E220" s="86" t="n"/>
      <c r="F220" s="85" t="n"/>
      <c r="G220" s="85" t="n"/>
      <c r="H220" s="85" t="n"/>
      <c r="I220" s="85" t="n"/>
      <c r="J220" s="85" t="n"/>
      <c r="BD220" s="11" t="n"/>
      <c r="BE220" s="11" t="n"/>
      <c r="BF220" s="11" t="n"/>
      <c r="BG220" s="11" t="n"/>
      <c r="BK220" s="11" t="n"/>
      <c r="BL220" s="11" t="n"/>
      <c r="BP220" s="12" t="n"/>
      <c r="BQ220" s="400" t="n"/>
    </row>
    <row r="221">
      <c r="D221" s="11" t="n"/>
      <c r="E221" s="86" t="n"/>
      <c r="F221" s="85" t="n"/>
      <c r="G221" s="85" t="n"/>
      <c r="H221" s="85" t="n"/>
      <c r="I221" s="85" t="n"/>
      <c r="J221" s="85" t="n"/>
      <c r="BD221" s="11" t="n"/>
      <c r="BE221" s="11" t="n"/>
      <c r="BF221" s="11" t="n"/>
      <c r="BG221" s="11" t="n"/>
      <c r="BK221" s="11" t="n"/>
      <c r="BL221" s="11" t="n"/>
      <c r="BP221" s="12" t="n"/>
      <c r="BQ221" s="400" t="n"/>
    </row>
    <row r="222">
      <c r="D222" s="11" t="n"/>
      <c r="E222" s="86" t="n"/>
      <c r="F222" s="85" t="n"/>
      <c r="G222" s="85" t="n"/>
      <c r="H222" s="85" t="n"/>
      <c r="I222" s="85" t="n"/>
      <c r="J222" s="85" t="n"/>
      <c r="BD222" s="11" t="n"/>
      <c r="BE222" s="11" t="n"/>
      <c r="BF222" s="11" t="n"/>
      <c r="BG222" s="11" t="n"/>
      <c r="BK222" s="11" t="n"/>
      <c r="BL222" s="11" t="n"/>
      <c r="BP222" s="12" t="n"/>
      <c r="BQ222" s="400" t="n"/>
    </row>
    <row r="223">
      <c r="D223" s="11" t="n"/>
      <c r="E223" s="86" t="n"/>
      <c r="F223" s="85" t="n"/>
      <c r="G223" s="85" t="n"/>
      <c r="H223" s="85" t="n"/>
      <c r="I223" s="85" t="n"/>
      <c r="J223" s="85" t="n"/>
      <c r="BD223" s="11" t="n"/>
      <c r="BE223" s="11" t="n"/>
      <c r="BF223" s="11" t="n"/>
      <c r="BG223" s="11" t="n"/>
      <c r="BK223" s="11" t="n"/>
      <c r="BL223" s="11" t="n"/>
      <c r="BP223" s="12" t="n"/>
      <c r="BQ223" s="400" t="n"/>
    </row>
    <row r="224">
      <c r="D224" s="11" t="n"/>
      <c r="E224" s="86" t="n"/>
      <c r="F224" s="85" t="n"/>
      <c r="G224" s="85" t="n"/>
      <c r="H224" s="85" t="n"/>
      <c r="I224" s="85" t="n"/>
      <c r="J224" s="85" t="n"/>
      <c r="BD224" s="11" t="n"/>
      <c r="BE224" s="11" t="n"/>
      <c r="BF224" s="11" t="n"/>
      <c r="BG224" s="11" t="n"/>
      <c r="BK224" s="11" t="n"/>
      <c r="BL224" s="11" t="n"/>
      <c r="BP224" s="12" t="n"/>
      <c r="BQ224" s="400" t="n"/>
    </row>
    <row r="225">
      <c r="D225" s="11" t="n"/>
      <c r="E225" s="86" t="n"/>
      <c r="F225" s="85" t="n"/>
      <c r="G225" s="85" t="n"/>
      <c r="H225" s="85" t="n"/>
      <c r="I225" s="85" t="n"/>
      <c r="J225" s="85" t="n"/>
      <c r="BD225" s="11" t="n"/>
      <c r="BE225" s="11" t="n"/>
      <c r="BF225" s="11" t="n"/>
      <c r="BG225" s="11" t="n"/>
      <c r="BK225" s="11" t="n"/>
      <c r="BL225" s="11" t="n"/>
      <c r="BP225" s="12" t="n"/>
      <c r="BQ225" s="400" t="n"/>
    </row>
    <row r="226">
      <c r="D226" s="11" t="n"/>
      <c r="E226" s="86" t="n"/>
      <c r="F226" s="85" t="n"/>
      <c r="G226" s="85" t="n"/>
      <c r="H226" s="85" t="n"/>
      <c r="I226" s="85" t="n"/>
      <c r="J226" s="85" t="n"/>
      <c r="BD226" s="11" t="n"/>
      <c r="BE226" s="11" t="n"/>
      <c r="BF226" s="11" t="n"/>
      <c r="BG226" s="11" t="n"/>
      <c r="BK226" s="11" t="n"/>
      <c r="BL226" s="11" t="n"/>
      <c r="BP226" s="12" t="n"/>
      <c r="BQ226" s="400" t="n"/>
    </row>
    <row r="227">
      <c r="D227" s="11" t="n"/>
      <c r="E227" s="86" t="n"/>
      <c r="F227" s="85" t="n"/>
      <c r="G227" s="85" t="n"/>
      <c r="H227" s="85" t="n"/>
      <c r="I227" s="85" t="n"/>
      <c r="J227" s="85" t="n"/>
      <c r="BD227" s="11" t="n"/>
      <c r="BE227" s="11" t="n"/>
      <c r="BF227" s="11" t="n"/>
      <c r="BG227" s="11" t="n"/>
      <c r="BK227" s="11" t="n"/>
      <c r="BL227" s="11" t="n"/>
      <c r="BP227" s="12" t="n"/>
      <c r="BQ227" s="400" t="n"/>
    </row>
    <row r="228">
      <c r="D228" s="11" t="n"/>
      <c r="E228" s="86" t="n"/>
      <c r="F228" s="85" t="n"/>
      <c r="G228" s="85" t="n"/>
      <c r="H228" s="85" t="n"/>
      <c r="I228" s="85" t="n"/>
      <c r="J228" s="85" t="n"/>
      <c r="BD228" s="11" t="n"/>
      <c r="BE228" s="11" t="n"/>
      <c r="BF228" s="11" t="n"/>
      <c r="BG228" s="11" t="n"/>
      <c r="BK228" s="11" t="n"/>
      <c r="BL228" s="11" t="n"/>
      <c r="BP228" s="12" t="n"/>
      <c r="BQ228" s="400" t="n"/>
    </row>
    <row r="229">
      <c r="D229" s="11" t="n"/>
      <c r="E229" s="86" t="n"/>
      <c r="F229" s="85" t="n"/>
      <c r="G229" s="85" t="n"/>
      <c r="H229" s="85" t="n"/>
      <c r="I229" s="85" t="n"/>
      <c r="J229" s="85" t="n"/>
      <c r="BD229" s="11" t="n"/>
      <c r="BE229" s="11" t="n"/>
      <c r="BF229" s="11" t="n"/>
      <c r="BG229" s="11" t="n"/>
      <c r="BK229" s="11" t="n"/>
      <c r="BL229" s="11" t="n"/>
      <c r="BP229" s="12" t="n"/>
      <c r="BQ229" s="400" t="n"/>
    </row>
    <row r="230">
      <c r="D230" s="11" t="n"/>
      <c r="E230" s="86" t="n"/>
      <c r="F230" s="85" t="n"/>
      <c r="G230" s="85" t="n"/>
      <c r="H230" s="85" t="n"/>
      <c r="I230" s="85" t="n"/>
      <c r="J230" s="85" t="n"/>
      <c r="BD230" s="11" t="n"/>
      <c r="BE230" s="11" t="n"/>
      <c r="BF230" s="11" t="n"/>
      <c r="BG230" s="11" t="n"/>
      <c r="BK230" s="11" t="n"/>
      <c r="BL230" s="11" t="n"/>
      <c r="BP230" s="12" t="n"/>
      <c r="BQ230" s="400" t="n"/>
    </row>
    <row r="231">
      <c r="D231" s="11" t="n"/>
      <c r="E231" s="86" t="n"/>
      <c r="F231" s="85" t="n"/>
      <c r="G231" s="85" t="n"/>
      <c r="H231" s="85" t="n"/>
      <c r="I231" s="85" t="n"/>
      <c r="J231" s="85" t="n"/>
      <c r="BD231" s="11" t="n"/>
      <c r="BE231" s="11" t="n"/>
      <c r="BF231" s="11" t="n"/>
      <c r="BG231" s="11" t="n"/>
      <c r="BK231" s="11" t="n"/>
      <c r="BL231" s="11" t="n"/>
      <c r="BP231" s="12" t="n"/>
      <c r="BQ231" s="400" t="n"/>
    </row>
    <row r="232">
      <c r="D232" s="11" t="n"/>
      <c r="E232" s="86" t="n"/>
      <c r="F232" s="85" t="n"/>
      <c r="G232" s="85" t="n"/>
      <c r="H232" s="85" t="n"/>
      <c r="I232" s="85" t="n"/>
      <c r="J232" s="85" t="n"/>
      <c r="BD232" s="11" t="n"/>
      <c r="BE232" s="11" t="n"/>
      <c r="BF232" s="11" t="n"/>
      <c r="BG232" s="11" t="n"/>
      <c r="BK232" s="11" t="n"/>
      <c r="BL232" s="11" t="n"/>
      <c r="BP232" s="12" t="n"/>
      <c r="BQ232" s="400" t="n"/>
    </row>
    <row r="233">
      <c r="D233" s="11" t="n"/>
      <c r="E233" s="86" t="n"/>
      <c r="F233" s="85" t="n"/>
      <c r="G233" s="85" t="n"/>
      <c r="H233" s="85" t="n"/>
      <c r="I233" s="85" t="n"/>
      <c r="J233" s="85" t="n"/>
      <c r="BD233" s="11" t="n"/>
      <c r="BE233" s="11" t="n"/>
      <c r="BF233" s="11" t="n"/>
      <c r="BG233" s="11" t="n"/>
      <c r="BK233" s="11" t="n"/>
      <c r="BL233" s="11" t="n"/>
      <c r="BP233" s="12" t="n"/>
      <c r="BQ233" s="400" t="n"/>
    </row>
    <row r="234">
      <c r="D234" s="11" t="n"/>
      <c r="E234" s="86" t="n"/>
      <c r="F234" s="85" t="n"/>
      <c r="G234" s="85" t="n"/>
      <c r="H234" s="85" t="n"/>
      <c r="I234" s="85" t="n"/>
      <c r="J234" s="85" t="n"/>
      <c r="BD234" s="11" t="n"/>
      <c r="BE234" s="11" t="n"/>
      <c r="BF234" s="11" t="n"/>
      <c r="BG234" s="11" t="n"/>
      <c r="BK234" s="11" t="n"/>
      <c r="BL234" s="11" t="n"/>
      <c r="BP234" s="12" t="n"/>
      <c r="BQ234" s="400" t="n"/>
    </row>
    <row r="235">
      <c r="D235" s="11" t="n"/>
      <c r="E235" s="86" t="n"/>
      <c r="F235" s="85" t="n"/>
      <c r="G235" s="85" t="n"/>
      <c r="H235" s="85" t="n"/>
      <c r="I235" s="85" t="n"/>
      <c r="J235" s="85" t="n"/>
      <c r="BD235" s="11" t="n"/>
      <c r="BE235" s="11" t="n"/>
      <c r="BF235" s="11" t="n"/>
      <c r="BG235" s="11" t="n"/>
      <c r="BK235" s="11" t="n"/>
      <c r="BL235" s="11" t="n"/>
      <c r="BP235" s="12" t="n"/>
      <c r="BQ235" s="400" t="n"/>
    </row>
    <row r="236">
      <c r="D236" s="11" t="n"/>
      <c r="E236" s="86" t="n"/>
      <c r="F236" s="85" t="n"/>
      <c r="G236" s="85" t="n"/>
      <c r="H236" s="85" t="n"/>
      <c r="I236" s="85" t="n"/>
      <c r="J236" s="85" t="n"/>
      <c r="BD236" s="11" t="n"/>
      <c r="BE236" s="11" t="n"/>
      <c r="BF236" s="11" t="n"/>
      <c r="BG236" s="11" t="n"/>
      <c r="BK236" s="11" t="n"/>
      <c r="BL236" s="11" t="n"/>
      <c r="BP236" s="12" t="n"/>
      <c r="BQ236" s="400" t="n"/>
    </row>
    <row r="237">
      <c r="D237" s="11" t="n"/>
      <c r="E237" s="86" t="n"/>
      <c r="F237" s="85" t="n"/>
      <c r="G237" s="85" t="n"/>
      <c r="H237" s="85" t="n"/>
      <c r="I237" s="85" t="n"/>
      <c r="J237" s="85" t="n"/>
      <c r="BD237" s="11" t="n"/>
      <c r="BE237" s="11" t="n"/>
      <c r="BF237" s="11" t="n"/>
      <c r="BG237" s="11" t="n"/>
      <c r="BK237" s="11" t="n"/>
      <c r="BL237" s="11" t="n"/>
      <c r="BP237" s="12" t="n"/>
      <c r="BQ237" s="400" t="n"/>
    </row>
    <row r="238">
      <c r="D238" s="11" t="n"/>
      <c r="E238" s="86" t="n"/>
      <c r="F238" s="85" t="n"/>
      <c r="G238" s="85" t="n"/>
      <c r="H238" s="85" t="n"/>
      <c r="I238" s="85" t="n"/>
      <c r="J238" s="85" t="n"/>
      <c r="BD238" s="11" t="n"/>
      <c r="BE238" s="11" t="n"/>
      <c r="BF238" s="11" t="n"/>
      <c r="BG238" s="11" t="n"/>
      <c r="BK238" s="11" t="n"/>
      <c r="BL238" s="11" t="n"/>
      <c r="BP238" s="12" t="n"/>
      <c r="BQ238" s="400" t="n"/>
    </row>
    <row r="239">
      <c r="D239" s="11" t="n"/>
      <c r="E239" s="86" t="n"/>
      <c r="F239" s="85" t="n"/>
      <c r="G239" s="85" t="n"/>
      <c r="H239" s="85" t="n"/>
      <c r="I239" s="85" t="n"/>
      <c r="J239" s="85" t="n"/>
      <c r="BD239" s="11" t="n"/>
      <c r="BE239" s="11" t="n"/>
      <c r="BF239" s="11" t="n"/>
      <c r="BG239" s="11" t="n"/>
      <c r="BK239" s="11" t="n"/>
      <c r="BL239" s="11" t="n"/>
      <c r="BP239" s="12" t="n"/>
      <c r="BQ239" s="400" t="n"/>
    </row>
    <row r="240">
      <c r="D240" s="11" t="n"/>
      <c r="E240" s="86" t="n"/>
      <c r="F240" s="85" t="n"/>
      <c r="G240" s="85" t="n"/>
      <c r="H240" s="85" t="n"/>
      <c r="I240" s="85" t="n"/>
      <c r="J240" s="85" t="n"/>
      <c r="BD240" s="11" t="n"/>
      <c r="BE240" s="11" t="n"/>
      <c r="BF240" s="11" t="n"/>
      <c r="BG240" s="11" t="n"/>
      <c r="BK240" s="11" t="n"/>
      <c r="BL240" s="11" t="n"/>
      <c r="BP240" s="12" t="n"/>
      <c r="BQ240" s="400" t="n"/>
    </row>
    <row r="241">
      <c r="D241" s="11" t="n"/>
      <c r="E241" s="86" t="n"/>
      <c r="F241" s="85" t="n"/>
      <c r="G241" s="85" t="n"/>
      <c r="H241" s="85" t="n"/>
      <c r="I241" s="85" t="n"/>
      <c r="J241" s="85" t="n"/>
      <c r="BD241" s="11" t="n"/>
      <c r="BE241" s="11" t="n"/>
      <c r="BF241" s="11" t="n"/>
      <c r="BG241" s="11" t="n"/>
      <c r="BK241" s="11" t="n"/>
      <c r="BL241" s="11" t="n"/>
      <c r="BP241" s="12" t="n"/>
      <c r="BQ241" s="400" t="n"/>
    </row>
    <row r="242">
      <c r="D242" s="11" t="n"/>
      <c r="E242" s="86" t="n"/>
      <c r="F242" s="85" t="n"/>
      <c r="G242" s="85" t="n"/>
      <c r="H242" s="85" t="n"/>
      <c r="I242" s="85" t="n"/>
      <c r="J242" s="85" t="n"/>
      <c r="BD242" s="11" t="n"/>
      <c r="BE242" s="11" t="n"/>
      <c r="BF242" s="11" t="n"/>
      <c r="BG242" s="11" t="n"/>
      <c r="BK242" s="11" t="n"/>
      <c r="BL242" s="11" t="n"/>
      <c r="BP242" s="12" t="n"/>
      <c r="BQ242" s="400" t="n"/>
    </row>
    <row r="243">
      <c r="D243" s="11" t="n"/>
      <c r="E243" s="86" t="n"/>
      <c r="F243" s="85" t="n"/>
      <c r="G243" s="85" t="n"/>
      <c r="H243" s="85" t="n"/>
      <c r="I243" s="85" t="n"/>
      <c r="J243" s="85" t="n"/>
      <c r="BD243" s="11" t="n"/>
      <c r="BE243" s="11" t="n"/>
      <c r="BF243" s="11" t="n"/>
      <c r="BG243" s="11" t="n"/>
      <c r="BK243" s="11" t="n"/>
      <c r="BL243" s="11" t="n"/>
      <c r="BP243" s="12" t="n"/>
      <c r="BQ243" s="400" t="n"/>
    </row>
    <row r="244">
      <c r="D244" s="11" t="n"/>
      <c r="E244" s="86" t="n"/>
      <c r="F244" s="85" t="n"/>
      <c r="G244" s="85" t="n"/>
      <c r="H244" s="85" t="n"/>
      <c r="I244" s="85" t="n"/>
      <c r="J244" s="85" t="n"/>
      <c r="BD244" s="11" t="n"/>
      <c r="BE244" s="11" t="n"/>
      <c r="BF244" s="11" t="n"/>
      <c r="BG244" s="11" t="n"/>
      <c r="BK244" s="11" t="n"/>
      <c r="BL244" s="11" t="n"/>
      <c r="BP244" s="12" t="n"/>
      <c r="BQ244" s="400" t="n"/>
    </row>
    <row r="245">
      <c r="D245" s="11" t="n"/>
      <c r="E245" s="86" t="n"/>
      <c r="F245" s="85" t="n"/>
      <c r="G245" s="85" t="n"/>
      <c r="H245" s="85" t="n"/>
      <c r="I245" s="85" t="n"/>
      <c r="J245" s="85" t="n"/>
      <c r="BD245" s="11" t="n"/>
      <c r="BE245" s="11" t="n"/>
      <c r="BF245" s="11" t="n"/>
      <c r="BG245" s="11" t="n"/>
      <c r="BK245" s="11" t="n"/>
      <c r="BL245" s="11" t="n"/>
      <c r="BP245" s="12" t="n"/>
      <c r="BQ245" s="400" t="n"/>
    </row>
    <row r="246">
      <c r="D246" s="11" t="n"/>
      <c r="E246" s="86" t="n"/>
      <c r="F246" s="85" t="n"/>
      <c r="G246" s="85" t="n"/>
      <c r="H246" s="85" t="n"/>
      <c r="I246" s="85" t="n"/>
      <c r="J246" s="85" t="n"/>
      <c r="BD246" s="11" t="n"/>
      <c r="BE246" s="11" t="n"/>
      <c r="BF246" s="11" t="n"/>
      <c r="BG246" s="11" t="n"/>
      <c r="BK246" s="11" t="n"/>
      <c r="BL246" s="11" t="n"/>
      <c r="BP246" s="12" t="n"/>
      <c r="BQ246" s="400" t="n"/>
    </row>
    <row r="247">
      <c r="D247" s="11" t="n"/>
      <c r="E247" s="86" t="n"/>
      <c r="F247" s="85" t="n"/>
      <c r="G247" s="85" t="n"/>
      <c r="H247" s="85" t="n"/>
      <c r="I247" s="85" t="n"/>
      <c r="J247" s="85" t="n"/>
      <c r="BD247" s="11" t="n"/>
      <c r="BE247" s="11" t="n"/>
      <c r="BF247" s="11" t="n"/>
      <c r="BG247" s="11" t="n"/>
      <c r="BK247" s="11" t="n"/>
      <c r="BL247" s="11" t="n"/>
      <c r="BP247" s="12" t="n"/>
      <c r="BQ247" s="400" t="n"/>
    </row>
    <row r="248">
      <c r="D248" s="11" t="n"/>
      <c r="E248" s="86" t="n"/>
      <c r="F248" s="85" t="n"/>
      <c r="G248" s="85" t="n"/>
      <c r="H248" s="85" t="n"/>
      <c r="I248" s="85" t="n"/>
      <c r="J248" s="85" t="n"/>
      <c r="BD248" s="11" t="n"/>
      <c r="BE248" s="11" t="n"/>
      <c r="BF248" s="11" t="n"/>
      <c r="BG248" s="11" t="n"/>
      <c r="BK248" s="11" t="n"/>
      <c r="BL248" s="11" t="n"/>
      <c r="BP248" s="12" t="n"/>
      <c r="BQ248" s="400" t="n"/>
    </row>
    <row r="249">
      <c r="D249" s="11" t="n"/>
      <c r="E249" s="86" t="n"/>
      <c r="F249" s="85" t="n"/>
      <c r="G249" s="85" t="n"/>
      <c r="H249" s="85" t="n"/>
      <c r="I249" s="85" t="n"/>
      <c r="J249" s="85" t="n"/>
      <c r="BD249" s="11" t="n"/>
      <c r="BE249" s="11" t="n"/>
      <c r="BF249" s="11" t="n"/>
      <c r="BG249" s="11" t="n"/>
      <c r="BK249" s="11" t="n"/>
      <c r="BL249" s="11" t="n"/>
      <c r="BP249" s="12" t="n"/>
      <c r="BQ249" s="400" t="n"/>
    </row>
    <row r="250">
      <c r="D250" s="11" t="n"/>
      <c r="E250" s="86" t="n"/>
      <c r="F250" s="85" t="n"/>
      <c r="G250" s="85" t="n"/>
      <c r="H250" s="85" t="n"/>
      <c r="I250" s="85" t="n"/>
      <c r="J250" s="85" t="n"/>
      <c r="BD250" s="11" t="n"/>
      <c r="BE250" s="11" t="n"/>
      <c r="BF250" s="11" t="n"/>
      <c r="BG250" s="11" t="n"/>
      <c r="BK250" s="11" t="n"/>
      <c r="BL250" s="11" t="n"/>
      <c r="BP250" s="12" t="n"/>
      <c r="BQ250" s="400" t="n"/>
    </row>
    <row r="251">
      <c r="D251" s="11" t="n"/>
      <c r="E251" s="86" t="n"/>
      <c r="F251" s="85" t="n"/>
      <c r="G251" s="85" t="n"/>
      <c r="H251" s="85" t="n"/>
      <c r="I251" s="85" t="n"/>
      <c r="J251" s="85" t="n"/>
      <c r="BD251" s="11" t="n"/>
      <c r="BE251" s="11" t="n"/>
      <c r="BF251" s="11" t="n"/>
      <c r="BG251" s="11" t="n"/>
      <c r="BK251" s="11" t="n"/>
      <c r="BL251" s="11" t="n"/>
      <c r="BP251" s="12" t="n"/>
      <c r="BQ251" s="400" t="n"/>
    </row>
    <row r="252">
      <c r="D252" s="11" t="n"/>
      <c r="E252" s="86" t="n"/>
      <c r="F252" s="85" t="n"/>
      <c r="G252" s="85" t="n"/>
      <c r="H252" s="85" t="n"/>
      <c r="I252" s="85" t="n"/>
      <c r="J252" s="85" t="n"/>
      <c r="BD252" s="11" t="n"/>
      <c r="BE252" s="11" t="n"/>
      <c r="BF252" s="11" t="n"/>
      <c r="BG252" s="11" t="n"/>
      <c r="BK252" s="11" t="n"/>
      <c r="BL252" s="11" t="n"/>
      <c r="BP252" s="12" t="n"/>
      <c r="BQ252" s="400" t="n"/>
    </row>
    <row r="253">
      <c r="D253" s="11" t="n"/>
      <c r="E253" s="86" t="n"/>
      <c r="F253" s="85" t="n"/>
      <c r="G253" s="85" t="n"/>
      <c r="H253" s="85" t="n"/>
      <c r="I253" s="85" t="n"/>
      <c r="J253" s="85" t="n"/>
      <c r="BD253" s="11" t="n"/>
      <c r="BE253" s="11" t="n"/>
      <c r="BF253" s="11" t="n"/>
      <c r="BG253" s="11" t="n"/>
      <c r="BK253" s="11" t="n"/>
      <c r="BL253" s="11" t="n"/>
      <c r="BP253" s="12" t="n"/>
      <c r="BQ253" s="400" t="n"/>
    </row>
    <row r="254">
      <c r="D254" s="11" t="n"/>
      <c r="E254" s="86" t="n"/>
      <c r="F254" s="85" t="n"/>
      <c r="G254" s="85" t="n"/>
      <c r="H254" s="85" t="n"/>
      <c r="I254" s="85" t="n"/>
      <c r="J254" s="85" t="n"/>
      <c r="BD254" s="11" t="n"/>
      <c r="BE254" s="11" t="n"/>
      <c r="BF254" s="11" t="n"/>
      <c r="BG254" s="11" t="n"/>
      <c r="BK254" s="11" t="n"/>
      <c r="BL254" s="11" t="n"/>
      <c r="BP254" s="12" t="n"/>
      <c r="BQ254" s="400" t="n"/>
    </row>
    <row r="255">
      <c r="D255" s="11" t="n"/>
      <c r="E255" s="86" t="n"/>
      <c r="F255" s="85" t="n"/>
      <c r="G255" s="85" t="n"/>
      <c r="H255" s="85" t="n"/>
      <c r="I255" s="85" t="n"/>
      <c r="J255" s="85" t="n"/>
      <c r="BD255" s="11" t="n"/>
      <c r="BE255" s="11" t="n"/>
      <c r="BF255" s="11" t="n"/>
      <c r="BG255" s="11" t="n"/>
      <c r="BK255" s="11" t="n"/>
      <c r="BL255" s="11" t="n"/>
      <c r="BP255" s="12" t="n"/>
      <c r="BQ255" s="400" t="n"/>
    </row>
    <row r="256">
      <c r="D256" s="11" t="n"/>
      <c r="E256" s="86" t="n"/>
      <c r="F256" s="85" t="n"/>
      <c r="G256" s="85" t="n"/>
      <c r="H256" s="85" t="n"/>
      <c r="I256" s="85" t="n"/>
      <c r="J256" s="85" t="n"/>
      <c r="BD256" s="11" t="n"/>
      <c r="BE256" s="11" t="n"/>
      <c r="BF256" s="11" t="n"/>
      <c r="BG256" s="11" t="n"/>
      <c r="BK256" s="11" t="n"/>
      <c r="BL256" s="11" t="n"/>
      <c r="BP256" s="12" t="n"/>
      <c r="BQ256" s="400" t="n"/>
    </row>
    <row r="257">
      <c r="D257" s="11" t="n"/>
      <c r="E257" s="86" t="n"/>
      <c r="F257" s="85" t="n"/>
      <c r="G257" s="85" t="n"/>
      <c r="H257" s="85" t="n"/>
      <c r="I257" s="85" t="n"/>
      <c r="J257" s="85" t="n"/>
      <c r="BD257" s="11" t="n"/>
      <c r="BE257" s="11" t="n"/>
      <c r="BF257" s="11" t="n"/>
      <c r="BG257" s="11" t="n"/>
      <c r="BK257" s="11" t="n"/>
      <c r="BL257" s="11" t="n"/>
      <c r="BP257" s="12" t="n"/>
      <c r="BQ257" s="400" t="n"/>
    </row>
    <row r="258">
      <c r="D258" s="11" t="n"/>
      <c r="E258" s="86" t="n"/>
      <c r="F258" s="85" t="n"/>
      <c r="G258" s="85" t="n"/>
      <c r="H258" s="85" t="n"/>
      <c r="I258" s="85" t="n"/>
      <c r="J258" s="85" t="n"/>
      <c r="BD258" s="11" t="n"/>
      <c r="BE258" s="11" t="n"/>
      <c r="BF258" s="11" t="n"/>
      <c r="BG258" s="11" t="n"/>
      <c r="BK258" s="11" t="n"/>
      <c r="BL258" s="11" t="n"/>
      <c r="BP258" s="12" t="n"/>
      <c r="BQ258" s="400" t="n"/>
    </row>
    <row r="259">
      <c r="D259" s="11" t="n"/>
      <c r="E259" s="86" t="n"/>
      <c r="F259" s="85" t="n"/>
      <c r="G259" s="85" t="n"/>
      <c r="H259" s="85" t="n"/>
      <c r="I259" s="85" t="n"/>
      <c r="J259" s="85" t="n"/>
      <c r="BD259" s="11" t="n"/>
      <c r="BE259" s="11" t="n"/>
      <c r="BF259" s="11" t="n"/>
      <c r="BG259" s="11" t="n"/>
      <c r="BK259" s="11" t="n"/>
      <c r="BL259" s="11" t="n"/>
      <c r="BP259" s="12" t="n"/>
      <c r="BQ259" s="400" t="n"/>
    </row>
    <row r="260">
      <c r="D260" s="11" t="n"/>
      <c r="E260" s="86" t="n"/>
      <c r="F260" s="85" t="n"/>
      <c r="G260" s="85" t="n"/>
      <c r="H260" s="85" t="n"/>
      <c r="I260" s="85" t="n"/>
      <c r="J260" s="85" t="n"/>
      <c r="BD260" s="11" t="n"/>
      <c r="BE260" s="11" t="n"/>
      <c r="BF260" s="11" t="n"/>
      <c r="BG260" s="11" t="n"/>
      <c r="BK260" s="11" t="n"/>
      <c r="BL260" s="11" t="n"/>
      <c r="BP260" s="12" t="n"/>
      <c r="BQ260" s="400" t="n"/>
    </row>
    <row r="261">
      <c r="D261" s="11" t="n"/>
      <c r="E261" s="86" t="n"/>
      <c r="F261" s="85" t="n"/>
      <c r="G261" s="85" t="n"/>
      <c r="H261" s="85" t="n"/>
      <c r="I261" s="85" t="n"/>
      <c r="J261" s="85" t="n"/>
      <c r="BD261" s="11" t="n"/>
      <c r="BE261" s="11" t="n"/>
      <c r="BF261" s="11" t="n"/>
      <c r="BG261" s="11" t="n"/>
      <c r="BK261" s="11" t="n"/>
      <c r="BL261" s="11" t="n"/>
      <c r="BP261" s="12" t="n"/>
      <c r="BQ261" s="400" t="n"/>
    </row>
    <row r="262">
      <c r="D262" s="11" t="n"/>
      <c r="E262" s="86" t="n"/>
      <c r="F262" s="85" t="n"/>
      <c r="G262" s="85" t="n"/>
      <c r="H262" s="85" t="n"/>
      <c r="I262" s="85" t="n"/>
      <c r="J262" s="85" t="n"/>
      <c r="BD262" s="11" t="n"/>
      <c r="BE262" s="11" t="n"/>
      <c r="BF262" s="11" t="n"/>
      <c r="BG262" s="11" t="n"/>
      <c r="BK262" s="11" t="n"/>
      <c r="BL262" s="11" t="n"/>
      <c r="BP262" s="12" t="n"/>
      <c r="BQ262" s="400" t="n"/>
    </row>
    <row r="263">
      <c r="D263" s="11" t="n"/>
      <c r="E263" s="86" t="n"/>
      <c r="F263" s="85" t="n"/>
      <c r="G263" s="85" t="n"/>
      <c r="H263" s="85" t="n"/>
      <c r="I263" s="85" t="n"/>
      <c r="J263" s="85" t="n"/>
      <c r="BD263" s="11" t="n"/>
      <c r="BE263" s="11" t="n"/>
      <c r="BF263" s="11" t="n"/>
      <c r="BG263" s="11" t="n"/>
      <c r="BK263" s="11" t="n"/>
      <c r="BL263" s="11" t="n"/>
      <c r="BP263" s="12" t="n"/>
      <c r="BQ263" s="400" t="n"/>
    </row>
    <row r="264">
      <c r="D264" s="11" t="n"/>
      <c r="E264" s="86" t="n"/>
      <c r="F264" s="85" t="n"/>
      <c r="G264" s="85" t="n"/>
      <c r="H264" s="85" t="n"/>
      <c r="I264" s="85" t="n"/>
      <c r="J264" s="85" t="n"/>
      <c r="BD264" s="11" t="n"/>
      <c r="BE264" s="11" t="n"/>
      <c r="BF264" s="11" t="n"/>
      <c r="BG264" s="11" t="n"/>
      <c r="BK264" s="11" t="n"/>
      <c r="BL264" s="11" t="n"/>
      <c r="BP264" s="12" t="n"/>
      <c r="BQ264" s="400" t="n"/>
    </row>
    <row r="265">
      <c r="D265" s="11" t="n"/>
      <c r="E265" s="86" t="n"/>
      <c r="F265" s="85" t="n"/>
      <c r="G265" s="85" t="n"/>
      <c r="H265" s="85" t="n"/>
      <c r="I265" s="85" t="n"/>
      <c r="J265" s="85" t="n"/>
      <c r="BD265" s="11" t="n"/>
      <c r="BE265" s="11" t="n"/>
      <c r="BF265" s="11" t="n"/>
      <c r="BG265" s="11" t="n"/>
      <c r="BK265" s="11" t="n"/>
      <c r="BL265" s="11" t="n"/>
      <c r="BP265" s="12" t="n"/>
      <c r="BQ265" s="400" t="n"/>
    </row>
    <row r="266">
      <c r="D266" s="11" t="n"/>
      <c r="E266" s="86" t="n"/>
      <c r="F266" s="85" t="n"/>
      <c r="G266" s="85" t="n"/>
      <c r="H266" s="85" t="n"/>
      <c r="I266" s="85" t="n"/>
      <c r="J266" s="85" t="n"/>
      <c r="BD266" s="11" t="n"/>
      <c r="BE266" s="11" t="n"/>
      <c r="BF266" s="11" t="n"/>
      <c r="BG266" s="11" t="n"/>
      <c r="BK266" s="11" t="n"/>
      <c r="BL266" s="11" t="n"/>
      <c r="BP266" s="12" t="n"/>
      <c r="BQ266" s="400" t="n"/>
    </row>
    <row r="267">
      <c r="D267" s="11" t="n"/>
      <c r="E267" s="86" t="n"/>
      <c r="F267" s="85" t="n"/>
      <c r="G267" s="85" t="n"/>
      <c r="H267" s="85" t="n"/>
      <c r="I267" s="85" t="n"/>
      <c r="J267" s="85" t="n"/>
      <c r="BD267" s="11" t="n"/>
      <c r="BE267" s="11" t="n"/>
      <c r="BF267" s="11" t="n"/>
      <c r="BG267" s="11" t="n"/>
      <c r="BK267" s="11" t="n"/>
      <c r="BL267" s="11" t="n"/>
      <c r="BP267" s="12" t="n"/>
      <c r="BQ267" s="400" t="n"/>
    </row>
    <row r="268">
      <c r="D268" s="11" t="n"/>
      <c r="E268" s="86" t="n"/>
      <c r="F268" s="85" t="n"/>
      <c r="G268" s="85" t="n"/>
      <c r="H268" s="85" t="n"/>
      <c r="I268" s="85" t="n"/>
      <c r="J268" s="85" t="n"/>
      <c r="BD268" s="11" t="n"/>
      <c r="BE268" s="11" t="n"/>
      <c r="BF268" s="11" t="n"/>
      <c r="BG268" s="11" t="n"/>
      <c r="BK268" s="11" t="n"/>
      <c r="BL268" s="11" t="n"/>
      <c r="BP268" s="12" t="n"/>
      <c r="BQ268" s="400" t="n"/>
    </row>
    <row r="269">
      <c r="D269" s="11" t="n"/>
      <c r="E269" s="86" t="n"/>
      <c r="F269" s="85" t="n"/>
      <c r="G269" s="85" t="n"/>
      <c r="H269" s="85" t="n"/>
      <c r="I269" s="85" t="n"/>
      <c r="J269" s="85" t="n"/>
      <c r="BD269" s="11" t="n"/>
      <c r="BE269" s="11" t="n"/>
      <c r="BF269" s="11" t="n"/>
      <c r="BG269" s="11" t="n"/>
      <c r="BK269" s="11" t="n"/>
      <c r="BL269" s="11" t="n"/>
      <c r="BP269" s="12" t="n"/>
      <c r="BQ269" s="400" t="n"/>
    </row>
    <row r="270">
      <c r="D270" s="11" t="n"/>
      <c r="E270" s="86" t="n"/>
      <c r="F270" s="85" t="n"/>
      <c r="G270" s="85" t="n"/>
      <c r="H270" s="85" t="n"/>
      <c r="I270" s="85" t="n"/>
      <c r="J270" s="85" t="n"/>
      <c r="BD270" s="11" t="n"/>
      <c r="BE270" s="11" t="n"/>
      <c r="BF270" s="11" t="n"/>
      <c r="BG270" s="11" t="n"/>
      <c r="BK270" s="11" t="n"/>
      <c r="BL270" s="11" t="n"/>
      <c r="BP270" s="12" t="n"/>
      <c r="BQ270" s="400" t="n"/>
    </row>
    <row r="271">
      <c r="D271" s="11" t="n"/>
      <c r="E271" s="86" t="n"/>
      <c r="F271" s="85" t="n"/>
      <c r="G271" s="85" t="n"/>
      <c r="H271" s="85" t="n"/>
      <c r="I271" s="85" t="n"/>
      <c r="J271" s="85" t="n"/>
      <c r="BD271" s="11" t="n"/>
      <c r="BE271" s="11" t="n"/>
      <c r="BF271" s="11" t="n"/>
      <c r="BG271" s="11" t="n"/>
      <c r="BK271" s="11" t="n"/>
      <c r="BL271" s="11" t="n"/>
      <c r="BP271" s="12" t="n"/>
      <c r="BQ271" s="400" t="n"/>
    </row>
    <row r="272">
      <c r="D272" s="11" t="n"/>
      <c r="E272" s="86" t="n"/>
      <c r="F272" s="85" t="n"/>
      <c r="G272" s="85" t="n"/>
      <c r="H272" s="85" t="n"/>
      <c r="I272" s="85" t="n"/>
      <c r="J272" s="85" t="n"/>
      <c r="BD272" s="11" t="n"/>
      <c r="BE272" s="11" t="n"/>
      <c r="BF272" s="11" t="n"/>
      <c r="BG272" s="11" t="n"/>
      <c r="BK272" s="11" t="n"/>
      <c r="BL272" s="11" t="n"/>
      <c r="BP272" s="12" t="n"/>
      <c r="BQ272" s="400" t="n"/>
    </row>
    <row r="273">
      <c r="D273" s="11" t="n"/>
      <c r="E273" s="86" t="n"/>
      <c r="F273" s="85" t="n"/>
      <c r="G273" s="85" t="n"/>
      <c r="H273" s="85" t="n"/>
      <c r="I273" s="85" t="n"/>
      <c r="J273" s="85" t="n"/>
      <c r="BD273" s="11" t="n"/>
      <c r="BE273" s="11" t="n"/>
      <c r="BF273" s="11" t="n"/>
      <c r="BG273" s="11" t="n"/>
      <c r="BK273" s="11" t="n"/>
      <c r="BL273" s="11" t="n"/>
      <c r="BP273" s="12" t="n"/>
      <c r="BQ273" s="400" t="n"/>
    </row>
    <row r="274">
      <c r="D274" s="11" t="n"/>
      <c r="E274" s="86" t="n"/>
      <c r="F274" s="85" t="n"/>
      <c r="G274" s="85" t="n"/>
      <c r="H274" s="85" t="n"/>
      <c r="I274" s="85" t="n"/>
      <c r="J274" s="85" t="n"/>
      <c r="BD274" s="11" t="n"/>
      <c r="BE274" s="11" t="n"/>
      <c r="BF274" s="11" t="n"/>
      <c r="BG274" s="11" t="n"/>
      <c r="BK274" s="11" t="n"/>
      <c r="BL274" s="11" t="n"/>
      <c r="BP274" s="12" t="n"/>
      <c r="BQ274" s="400" t="n"/>
    </row>
    <row r="275">
      <c r="D275" s="11" t="n"/>
      <c r="E275" s="86" t="n"/>
      <c r="F275" s="85" t="n"/>
      <c r="G275" s="85" t="n"/>
      <c r="H275" s="85" t="n"/>
      <c r="I275" s="85" t="n"/>
      <c r="J275" s="85" t="n"/>
      <c r="BD275" s="11" t="n"/>
      <c r="BE275" s="11" t="n"/>
      <c r="BF275" s="11" t="n"/>
      <c r="BG275" s="11" t="n"/>
      <c r="BK275" s="11" t="n"/>
      <c r="BL275" s="11" t="n"/>
      <c r="BP275" s="12" t="n"/>
      <c r="BQ275" s="400" t="n"/>
    </row>
    <row r="276">
      <c r="D276" s="11" t="n"/>
      <c r="E276" s="86" t="n"/>
      <c r="F276" s="85" t="n"/>
      <c r="G276" s="85" t="n"/>
      <c r="H276" s="85" t="n"/>
      <c r="I276" s="85" t="n"/>
      <c r="J276" s="85" t="n"/>
      <c r="BD276" s="11" t="n"/>
      <c r="BE276" s="11" t="n"/>
      <c r="BF276" s="11" t="n"/>
      <c r="BG276" s="11" t="n"/>
      <c r="BK276" s="11" t="n"/>
      <c r="BL276" s="11" t="n"/>
      <c r="BP276" s="12" t="n"/>
      <c r="BQ276" s="400" t="n"/>
    </row>
    <row r="277">
      <c r="D277" s="11" t="n"/>
      <c r="E277" s="86" t="n"/>
      <c r="F277" s="85" t="n"/>
      <c r="G277" s="85" t="n"/>
      <c r="H277" s="85" t="n"/>
      <c r="I277" s="85" t="n"/>
      <c r="J277" s="85" t="n"/>
      <c r="BD277" s="11" t="n"/>
      <c r="BE277" s="11" t="n"/>
      <c r="BF277" s="11" t="n"/>
      <c r="BG277" s="11" t="n"/>
      <c r="BK277" s="11" t="n"/>
      <c r="BL277" s="11" t="n"/>
      <c r="BP277" s="12" t="n"/>
      <c r="BQ277" s="400" t="n"/>
    </row>
    <row r="278">
      <c r="D278" s="11" t="n"/>
      <c r="E278" s="86" t="n"/>
      <c r="F278" s="85" t="n"/>
      <c r="G278" s="85" t="n"/>
      <c r="H278" s="85" t="n"/>
      <c r="I278" s="85" t="n"/>
      <c r="J278" s="85" t="n"/>
      <c r="BD278" s="11" t="n"/>
      <c r="BE278" s="11" t="n"/>
      <c r="BF278" s="11" t="n"/>
      <c r="BG278" s="11" t="n"/>
      <c r="BK278" s="11" t="n"/>
      <c r="BL278" s="11" t="n"/>
      <c r="BP278" s="12" t="n"/>
      <c r="BQ278" s="400" t="n"/>
    </row>
    <row r="279">
      <c r="D279" s="11" t="n"/>
      <c r="E279" s="86" t="n"/>
      <c r="F279" s="85" t="n"/>
      <c r="G279" s="85" t="n"/>
      <c r="H279" s="85" t="n"/>
      <c r="I279" s="85" t="n"/>
      <c r="J279" s="85" t="n"/>
      <c r="BD279" s="11" t="n"/>
      <c r="BE279" s="11" t="n"/>
      <c r="BF279" s="11" t="n"/>
      <c r="BG279" s="11" t="n"/>
      <c r="BK279" s="11" t="n"/>
      <c r="BL279" s="11" t="n"/>
      <c r="BP279" s="12" t="n"/>
      <c r="BQ279" s="400" t="n"/>
    </row>
    <row r="280">
      <c r="D280" s="11" t="n"/>
      <c r="E280" s="86" t="n"/>
      <c r="F280" s="85" t="n"/>
      <c r="G280" s="85" t="n"/>
      <c r="H280" s="85" t="n"/>
      <c r="I280" s="85" t="n"/>
      <c r="J280" s="85" t="n"/>
      <c r="BD280" s="11" t="n"/>
      <c r="BE280" s="11" t="n"/>
      <c r="BF280" s="11" t="n"/>
      <c r="BG280" s="11" t="n"/>
      <c r="BK280" s="11" t="n"/>
      <c r="BL280" s="11" t="n"/>
      <c r="BP280" s="12" t="n"/>
      <c r="BQ280" s="400" t="n"/>
    </row>
    <row r="281">
      <c r="D281" s="11" t="n"/>
      <c r="E281" s="86" t="n"/>
      <c r="F281" s="85" t="n"/>
      <c r="G281" s="85" t="n"/>
      <c r="H281" s="85" t="n"/>
      <c r="I281" s="85" t="n"/>
      <c r="J281" s="85" t="n"/>
      <c r="BD281" s="11" t="n"/>
      <c r="BE281" s="11" t="n"/>
      <c r="BF281" s="11" t="n"/>
      <c r="BG281" s="11" t="n"/>
      <c r="BK281" s="11" t="n"/>
      <c r="BL281" s="11" t="n"/>
      <c r="BP281" s="12" t="n"/>
      <c r="BQ281" s="400" t="n"/>
    </row>
    <row r="282">
      <c r="D282" s="11" t="n"/>
      <c r="E282" s="86" t="n"/>
      <c r="F282" s="85" t="n"/>
      <c r="G282" s="85" t="n"/>
      <c r="H282" s="85" t="n"/>
      <c r="I282" s="85" t="n"/>
      <c r="J282" s="85" t="n"/>
      <c r="BD282" s="11" t="n"/>
      <c r="BE282" s="11" t="n"/>
      <c r="BF282" s="11" t="n"/>
      <c r="BG282" s="11" t="n"/>
      <c r="BK282" s="11" t="n"/>
      <c r="BL282" s="11" t="n"/>
      <c r="BP282" s="12" t="n"/>
      <c r="BQ282" s="400" t="n"/>
    </row>
    <row r="283">
      <c r="D283" s="11" t="n"/>
      <c r="E283" s="86" t="n"/>
      <c r="F283" s="85" t="n"/>
      <c r="G283" s="85" t="n"/>
      <c r="H283" s="85" t="n"/>
      <c r="I283" s="85" t="n"/>
      <c r="J283" s="85" t="n"/>
      <c r="BD283" s="11" t="n"/>
      <c r="BE283" s="11" t="n"/>
      <c r="BF283" s="11" t="n"/>
      <c r="BG283" s="11" t="n"/>
      <c r="BK283" s="11" t="n"/>
      <c r="BL283" s="11" t="n"/>
      <c r="BP283" s="12" t="n"/>
      <c r="BQ283" s="400" t="n"/>
    </row>
    <row r="284">
      <c r="D284" s="11" t="n"/>
      <c r="E284" s="86" t="n"/>
      <c r="F284" s="85" t="n"/>
      <c r="G284" s="85" t="n"/>
      <c r="H284" s="85" t="n"/>
      <c r="I284" s="85" t="n"/>
      <c r="J284" s="85" t="n"/>
      <c r="BD284" s="11" t="n"/>
      <c r="BE284" s="11" t="n"/>
      <c r="BF284" s="11" t="n"/>
      <c r="BG284" s="11" t="n"/>
      <c r="BK284" s="11" t="n"/>
      <c r="BL284" s="11" t="n"/>
      <c r="BP284" s="12" t="n"/>
      <c r="BQ284" s="400" t="n"/>
    </row>
    <row r="285">
      <c r="D285" s="11" t="n"/>
      <c r="E285" s="86" t="n"/>
      <c r="F285" s="85" t="n"/>
      <c r="G285" s="85" t="n"/>
      <c r="H285" s="85" t="n"/>
      <c r="I285" s="85" t="n"/>
      <c r="J285" s="85" t="n"/>
      <c r="BD285" s="11" t="n"/>
      <c r="BE285" s="11" t="n"/>
      <c r="BF285" s="11" t="n"/>
      <c r="BG285" s="11" t="n"/>
      <c r="BK285" s="11" t="n"/>
      <c r="BL285" s="11" t="n"/>
      <c r="BP285" s="12" t="n"/>
      <c r="BQ285" s="400" t="n"/>
    </row>
    <row r="286">
      <c r="D286" s="11" t="n"/>
      <c r="E286" s="86" t="n"/>
      <c r="F286" s="85" t="n"/>
      <c r="G286" s="85" t="n"/>
      <c r="H286" s="85" t="n"/>
      <c r="I286" s="85" t="n"/>
      <c r="J286" s="85" t="n"/>
      <c r="BD286" s="11" t="n"/>
      <c r="BE286" s="11" t="n"/>
      <c r="BF286" s="11" t="n"/>
      <c r="BG286" s="11" t="n"/>
      <c r="BK286" s="11" t="n"/>
      <c r="BL286" s="11" t="n"/>
      <c r="BP286" s="12" t="n"/>
      <c r="BQ286" s="400" t="n"/>
    </row>
    <row r="287">
      <c r="D287" s="11" t="n"/>
      <c r="E287" s="86" t="n"/>
      <c r="F287" s="85" t="n"/>
      <c r="G287" s="85" t="n"/>
      <c r="H287" s="85" t="n"/>
      <c r="I287" s="85" t="n"/>
      <c r="J287" s="85" t="n"/>
      <c r="BD287" s="11" t="n"/>
      <c r="BE287" s="11" t="n"/>
      <c r="BF287" s="11" t="n"/>
      <c r="BG287" s="11" t="n"/>
      <c r="BK287" s="11" t="n"/>
      <c r="BL287" s="11" t="n"/>
      <c r="BP287" s="12" t="n"/>
      <c r="BQ287" s="400" t="n"/>
    </row>
    <row r="288">
      <c r="D288" s="11" t="n"/>
      <c r="E288" s="86" t="n"/>
      <c r="F288" s="85" t="n"/>
      <c r="G288" s="85" t="n"/>
      <c r="H288" s="85" t="n"/>
      <c r="I288" s="85" t="n"/>
      <c r="J288" s="85" t="n"/>
      <c r="BD288" s="11" t="n"/>
      <c r="BE288" s="11" t="n"/>
      <c r="BF288" s="11" t="n"/>
      <c r="BG288" s="11" t="n"/>
      <c r="BK288" s="11" t="n"/>
      <c r="BL288" s="11" t="n"/>
      <c r="BP288" s="12" t="n"/>
      <c r="BQ288" s="400" t="n"/>
    </row>
    <row r="289">
      <c r="D289" s="11" t="n"/>
      <c r="E289" s="86" t="n"/>
      <c r="F289" s="85" t="n"/>
      <c r="G289" s="85" t="n"/>
      <c r="H289" s="85" t="n"/>
      <c r="I289" s="85" t="n"/>
      <c r="J289" s="85" t="n"/>
      <c r="BD289" s="11" t="n"/>
      <c r="BE289" s="11" t="n"/>
      <c r="BF289" s="11" t="n"/>
      <c r="BG289" s="11" t="n"/>
      <c r="BK289" s="11" t="n"/>
      <c r="BL289" s="11" t="n"/>
      <c r="BP289" s="12" t="n"/>
      <c r="BQ289" s="400" t="n"/>
    </row>
    <row r="290">
      <c r="D290" s="11" t="n"/>
      <c r="E290" s="86" t="n"/>
      <c r="F290" s="85" t="n"/>
      <c r="G290" s="85" t="n"/>
      <c r="H290" s="85" t="n"/>
      <c r="I290" s="85" t="n"/>
      <c r="J290" s="85" t="n"/>
      <c r="BD290" s="11" t="n"/>
      <c r="BE290" s="11" t="n"/>
      <c r="BF290" s="11" t="n"/>
      <c r="BG290" s="11" t="n"/>
      <c r="BK290" s="11" t="n"/>
      <c r="BL290" s="11" t="n"/>
      <c r="BP290" s="12" t="n"/>
      <c r="BQ290" s="400" t="n"/>
    </row>
    <row r="291">
      <c r="D291" s="11" t="n"/>
      <c r="E291" s="86" t="n"/>
      <c r="F291" s="85" t="n"/>
      <c r="G291" s="85" t="n"/>
      <c r="H291" s="85" t="n"/>
      <c r="I291" s="85" t="n"/>
      <c r="J291" s="85" t="n"/>
      <c r="BD291" s="11" t="n"/>
      <c r="BE291" s="11" t="n"/>
      <c r="BF291" s="11" t="n"/>
      <c r="BG291" s="11" t="n"/>
      <c r="BK291" s="11" t="n"/>
      <c r="BL291" s="11" t="n"/>
      <c r="BP291" s="12" t="n"/>
      <c r="BQ291" s="400" t="n"/>
    </row>
    <row r="292">
      <c r="D292" s="11" t="n"/>
      <c r="E292" s="86" t="n"/>
      <c r="F292" s="85" t="n"/>
      <c r="G292" s="85" t="n"/>
      <c r="H292" s="85" t="n"/>
      <c r="I292" s="85" t="n"/>
      <c r="J292" s="85" t="n"/>
      <c r="BD292" s="11" t="n"/>
      <c r="BE292" s="11" t="n"/>
      <c r="BF292" s="11" t="n"/>
      <c r="BG292" s="11" t="n"/>
      <c r="BK292" s="11" t="n"/>
      <c r="BL292" s="11" t="n"/>
      <c r="BP292" s="12" t="n"/>
      <c r="BQ292" s="400" t="n"/>
    </row>
    <row r="293">
      <c r="D293" s="11" t="n"/>
      <c r="E293" s="86" t="n"/>
      <c r="F293" s="85" t="n"/>
      <c r="G293" s="85" t="n"/>
      <c r="H293" s="85" t="n"/>
      <c r="I293" s="85" t="n"/>
      <c r="J293" s="85" t="n"/>
      <c r="BD293" s="11" t="n"/>
      <c r="BE293" s="11" t="n"/>
      <c r="BF293" s="11" t="n"/>
      <c r="BG293" s="11" t="n"/>
      <c r="BK293" s="11" t="n"/>
      <c r="BL293" s="11" t="n"/>
      <c r="BP293" s="12" t="n"/>
      <c r="BQ293" s="400" t="n"/>
    </row>
    <row r="294">
      <c r="D294" s="11" t="n"/>
      <c r="E294" s="86" t="n"/>
      <c r="F294" s="85" t="n"/>
      <c r="G294" s="85" t="n"/>
      <c r="H294" s="85" t="n"/>
      <c r="I294" s="85" t="n"/>
      <c r="J294" s="85" t="n"/>
      <c r="BD294" s="11" t="n"/>
      <c r="BE294" s="11" t="n"/>
      <c r="BF294" s="11" t="n"/>
      <c r="BG294" s="11" t="n"/>
      <c r="BK294" s="11" t="n"/>
      <c r="BL294" s="11" t="n"/>
      <c r="BP294" s="12" t="n"/>
      <c r="BQ294" s="400" t="n"/>
    </row>
    <row r="295">
      <c r="D295" s="11" t="n"/>
      <c r="E295" s="86" t="n"/>
      <c r="F295" s="85" t="n"/>
      <c r="G295" s="85" t="n"/>
      <c r="H295" s="85" t="n"/>
      <c r="I295" s="85" t="n"/>
      <c r="J295" s="85" t="n"/>
      <c r="BD295" s="11" t="n"/>
      <c r="BE295" s="11" t="n"/>
      <c r="BF295" s="11" t="n"/>
      <c r="BG295" s="11" t="n"/>
      <c r="BK295" s="11" t="n"/>
      <c r="BL295" s="11" t="n"/>
      <c r="BP295" s="12" t="n"/>
      <c r="BQ295" s="400" t="n"/>
    </row>
    <row r="296">
      <c r="D296" s="11" t="n"/>
      <c r="E296" s="86" t="n"/>
      <c r="F296" s="85" t="n"/>
      <c r="G296" s="85" t="n"/>
      <c r="H296" s="85" t="n"/>
      <c r="I296" s="85" t="n"/>
      <c r="J296" s="85" t="n"/>
      <c r="BD296" s="11" t="n"/>
      <c r="BE296" s="11" t="n"/>
      <c r="BF296" s="11" t="n"/>
      <c r="BG296" s="11" t="n"/>
      <c r="BK296" s="11" t="n"/>
      <c r="BL296" s="11" t="n"/>
      <c r="BP296" s="12" t="n"/>
      <c r="BQ296" s="400" t="n"/>
    </row>
    <row r="297">
      <c r="D297" s="11" t="n"/>
      <c r="E297" s="86" t="n"/>
      <c r="F297" s="85" t="n"/>
      <c r="G297" s="85" t="n"/>
      <c r="H297" s="85" t="n"/>
      <c r="I297" s="85" t="n"/>
      <c r="J297" s="85" t="n"/>
      <c r="BD297" s="11" t="n"/>
      <c r="BE297" s="11" t="n"/>
      <c r="BF297" s="11" t="n"/>
      <c r="BG297" s="11" t="n"/>
      <c r="BK297" s="11" t="n"/>
      <c r="BL297" s="11" t="n"/>
      <c r="BP297" s="12" t="n"/>
      <c r="BQ297" s="400" t="n"/>
    </row>
    <row r="298">
      <c r="D298" s="11" t="n"/>
      <c r="E298" s="86" t="n"/>
      <c r="F298" s="85" t="n"/>
      <c r="G298" s="85" t="n"/>
      <c r="H298" s="85" t="n"/>
      <c r="I298" s="85" t="n"/>
      <c r="J298" s="85" t="n"/>
      <c r="BD298" s="11" t="n"/>
      <c r="BE298" s="11" t="n"/>
      <c r="BF298" s="11" t="n"/>
      <c r="BG298" s="11" t="n"/>
      <c r="BK298" s="11" t="n"/>
      <c r="BL298" s="11" t="n"/>
      <c r="BP298" s="12" t="n"/>
      <c r="BQ298" s="400" t="n"/>
    </row>
    <row r="299">
      <c r="D299" s="11" t="n"/>
      <c r="E299" s="86" t="n"/>
      <c r="F299" s="85" t="n"/>
      <c r="G299" s="85" t="n"/>
      <c r="H299" s="85" t="n"/>
      <c r="I299" s="85" t="n"/>
      <c r="J299" s="85" t="n"/>
      <c r="BD299" s="11" t="n"/>
      <c r="BE299" s="11" t="n"/>
      <c r="BF299" s="11" t="n"/>
      <c r="BG299" s="11" t="n"/>
      <c r="BK299" s="11" t="n"/>
      <c r="BL299" s="11" t="n"/>
      <c r="BP299" s="12" t="n"/>
      <c r="BQ299" s="400" t="n"/>
    </row>
    <row r="300">
      <c r="D300" s="11" t="n"/>
      <c r="E300" s="86" t="n"/>
      <c r="F300" s="85" t="n"/>
      <c r="G300" s="85" t="n"/>
      <c r="H300" s="85" t="n"/>
      <c r="I300" s="85" t="n"/>
      <c r="J300" s="85" t="n"/>
      <c r="BD300" s="11" t="n"/>
      <c r="BE300" s="11" t="n"/>
      <c r="BF300" s="11" t="n"/>
      <c r="BG300" s="11" t="n"/>
      <c r="BK300" s="11" t="n"/>
      <c r="BL300" s="11" t="n"/>
      <c r="BP300" s="12" t="n"/>
      <c r="BQ300" s="400" t="n"/>
    </row>
    <row r="301">
      <c r="D301" s="11" t="n"/>
      <c r="E301" s="86" t="n"/>
      <c r="F301" s="85" t="n"/>
      <c r="G301" s="85" t="n"/>
      <c r="H301" s="85" t="n"/>
      <c r="I301" s="85" t="n"/>
      <c r="J301" s="85" t="n"/>
      <c r="BD301" s="11" t="n"/>
      <c r="BE301" s="11" t="n"/>
      <c r="BF301" s="11" t="n"/>
      <c r="BG301" s="11" t="n"/>
      <c r="BK301" s="11" t="n"/>
      <c r="BL301" s="11" t="n"/>
      <c r="BP301" s="12" t="n"/>
      <c r="BQ301" s="400" t="n"/>
    </row>
    <row r="302">
      <c r="D302" s="11" t="n"/>
      <c r="E302" s="86" t="n"/>
      <c r="F302" s="85" t="n"/>
      <c r="G302" s="85" t="n"/>
      <c r="H302" s="85" t="n"/>
      <c r="I302" s="85" t="n"/>
      <c r="J302" s="85" t="n"/>
      <c r="BD302" s="11" t="n"/>
      <c r="BE302" s="11" t="n"/>
      <c r="BF302" s="11" t="n"/>
      <c r="BG302" s="11" t="n"/>
      <c r="BK302" s="11" t="n"/>
      <c r="BL302" s="11" t="n"/>
      <c r="BP302" s="12" t="n"/>
      <c r="BQ302" s="400" t="n"/>
    </row>
    <row r="303">
      <c r="D303" s="11" t="n"/>
      <c r="E303" s="86" t="n"/>
      <c r="F303" s="85" t="n"/>
      <c r="G303" s="85" t="n"/>
      <c r="H303" s="85" t="n"/>
      <c r="I303" s="85" t="n"/>
      <c r="J303" s="85" t="n"/>
      <c r="BD303" s="11" t="n"/>
      <c r="BE303" s="11" t="n"/>
      <c r="BF303" s="11" t="n"/>
      <c r="BG303" s="11" t="n"/>
      <c r="BK303" s="11" t="n"/>
      <c r="BL303" s="11" t="n"/>
      <c r="BP303" s="12" t="n"/>
      <c r="BQ303" s="400" t="n"/>
    </row>
    <row r="304">
      <c r="D304" s="11" t="n"/>
      <c r="E304" s="86" t="n"/>
      <c r="F304" s="85" t="n"/>
      <c r="G304" s="85" t="n"/>
      <c r="H304" s="85" t="n"/>
      <c r="I304" s="85" t="n"/>
      <c r="J304" s="85" t="n"/>
      <c r="BD304" s="11" t="n"/>
      <c r="BE304" s="11" t="n"/>
      <c r="BF304" s="11" t="n"/>
      <c r="BG304" s="11" t="n"/>
      <c r="BK304" s="11" t="n"/>
      <c r="BL304" s="11" t="n"/>
      <c r="BP304" s="12" t="n"/>
      <c r="BQ304" s="400" t="n"/>
    </row>
    <row r="305">
      <c r="D305" s="11" t="n"/>
      <c r="E305" s="86" t="n"/>
      <c r="F305" s="85" t="n"/>
      <c r="G305" s="85" t="n"/>
      <c r="H305" s="85" t="n"/>
      <c r="I305" s="85" t="n"/>
      <c r="J305" s="85" t="n"/>
      <c r="BD305" s="11" t="n"/>
      <c r="BE305" s="11" t="n"/>
      <c r="BF305" s="11" t="n"/>
      <c r="BG305" s="11" t="n"/>
      <c r="BK305" s="11" t="n"/>
      <c r="BL305" s="11" t="n"/>
      <c r="BP305" s="12" t="n"/>
      <c r="BQ305" s="400" t="n"/>
    </row>
    <row r="306">
      <c r="D306" s="11" t="n"/>
      <c r="E306" s="86" t="n"/>
      <c r="F306" s="85" t="n"/>
      <c r="G306" s="85" t="n"/>
      <c r="H306" s="85" t="n"/>
      <c r="I306" s="85" t="n"/>
      <c r="J306" s="85" t="n"/>
      <c r="BD306" s="11" t="n"/>
      <c r="BE306" s="11" t="n"/>
      <c r="BF306" s="11" t="n"/>
      <c r="BG306" s="11" t="n"/>
      <c r="BK306" s="11" t="n"/>
      <c r="BL306" s="11" t="n"/>
      <c r="BP306" s="12" t="n"/>
      <c r="BQ306" s="400" t="n"/>
    </row>
    <row r="307">
      <c r="D307" s="11" t="n"/>
      <c r="E307" s="86" t="n"/>
      <c r="F307" s="85" t="n"/>
      <c r="G307" s="85" t="n"/>
      <c r="H307" s="85" t="n"/>
      <c r="I307" s="85" t="n"/>
      <c r="J307" s="85" t="n"/>
      <c r="BD307" s="11" t="n"/>
      <c r="BE307" s="11" t="n"/>
      <c r="BF307" s="11" t="n"/>
      <c r="BG307" s="11" t="n"/>
      <c r="BK307" s="11" t="n"/>
      <c r="BL307" s="11" t="n"/>
      <c r="BP307" s="12" t="n"/>
      <c r="BQ307" s="400" t="n"/>
    </row>
    <row r="308">
      <c r="D308" s="11" t="n"/>
      <c r="E308" s="86" t="n"/>
      <c r="F308" s="85" t="n"/>
      <c r="G308" s="85" t="n"/>
      <c r="H308" s="85" t="n"/>
      <c r="I308" s="85" t="n"/>
      <c r="J308" s="85" t="n"/>
      <c r="BD308" s="11" t="n"/>
      <c r="BE308" s="11" t="n"/>
      <c r="BF308" s="11" t="n"/>
      <c r="BG308" s="11" t="n"/>
      <c r="BK308" s="11" t="n"/>
      <c r="BL308" s="11" t="n"/>
      <c r="BP308" s="12" t="n"/>
      <c r="BQ308" s="400" t="n"/>
    </row>
    <row r="309">
      <c r="D309" s="11" t="n"/>
      <c r="E309" s="86" t="n"/>
      <c r="F309" s="85" t="n"/>
      <c r="G309" s="85" t="n"/>
      <c r="H309" s="85" t="n"/>
      <c r="I309" s="85" t="n"/>
      <c r="J309" s="85" t="n"/>
      <c r="BD309" s="11" t="n"/>
      <c r="BE309" s="11" t="n"/>
      <c r="BF309" s="11" t="n"/>
      <c r="BG309" s="11" t="n"/>
      <c r="BK309" s="11" t="n"/>
      <c r="BL309" s="11" t="n"/>
      <c r="BP309" s="12" t="n"/>
      <c r="BQ309" s="400" t="n"/>
    </row>
    <row r="310">
      <c r="D310" s="11" t="n"/>
      <c r="E310" s="86" t="n"/>
      <c r="F310" s="85" t="n"/>
      <c r="G310" s="85" t="n"/>
      <c r="H310" s="85" t="n"/>
      <c r="I310" s="85" t="n"/>
      <c r="J310" s="85" t="n"/>
      <c r="BD310" s="11" t="n"/>
      <c r="BE310" s="11" t="n"/>
      <c r="BF310" s="11" t="n"/>
      <c r="BG310" s="11" t="n"/>
      <c r="BK310" s="11" t="n"/>
      <c r="BL310" s="11" t="n"/>
      <c r="BP310" s="12" t="n"/>
      <c r="BQ310" s="400" t="n"/>
    </row>
    <row r="311">
      <c r="D311" s="11" t="n"/>
      <c r="E311" s="86" t="n"/>
      <c r="F311" s="85" t="n"/>
      <c r="G311" s="85" t="n"/>
      <c r="H311" s="85" t="n"/>
      <c r="I311" s="85" t="n"/>
      <c r="J311" s="85" t="n"/>
      <c r="BD311" s="11" t="n"/>
      <c r="BE311" s="11" t="n"/>
      <c r="BF311" s="11" t="n"/>
      <c r="BG311" s="11" t="n"/>
      <c r="BK311" s="11" t="n"/>
      <c r="BL311" s="11" t="n"/>
      <c r="BP311" s="12" t="n"/>
      <c r="BQ311" s="400" t="n"/>
    </row>
    <row r="312">
      <c r="D312" s="11" t="n"/>
      <c r="E312" s="86" t="n"/>
      <c r="F312" s="85" t="n"/>
      <c r="G312" s="85" t="n"/>
      <c r="H312" s="85" t="n"/>
      <c r="I312" s="85" t="n"/>
      <c r="J312" s="85" t="n"/>
      <c r="BD312" s="11" t="n"/>
      <c r="BE312" s="11" t="n"/>
      <c r="BF312" s="11" t="n"/>
      <c r="BG312" s="11" t="n"/>
      <c r="BK312" s="11" t="n"/>
      <c r="BL312" s="11" t="n"/>
      <c r="BP312" s="12" t="n"/>
      <c r="BQ312" s="400" t="n"/>
    </row>
    <row r="313">
      <c r="D313" s="11" t="n"/>
      <c r="E313" s="86" t="n"/>
      <c r="F313" s="85" t="n"/>
      <c r="G313" s="85" t="n"/>
      <c r="H313" s="85" t="n"/>
      <c r="I313" s="85" t="n"/>
      <c r="J313" s="85" t="n"/>
      <c r="BD313" s="11" t="n"/>
      <c r="BE313" s="11" t="n"/>
      <c r="BF313" s="11" t="n"/>
      <c r="BG313" s="11" t="n"/>
      <c r="BK313" s="11" t="n"/>
      <c r="BL313" s="11" t="n"/>
      <c r="BP313" s="12" t="n"/>
      <c r="BQ313" s="400" t="n"/>
    </row>
    <row r="314">
      <c r="D314" s="11" t="n"/>
      <c r="E314" s="86" t="n"/>
      <c r="F314" s="85" t="n"/>
      <c r="G314" s="85" t="n"/>
      <c r="H314" s="85" t="n"/>
      <c r="I314" s="85" t="n"/>
      <c r="J314" s="85" t="n"/>
      <c r="BD314" s="11" t="n"/>
      <c r="BE314" s="11" t="n"/>
      <c r="BF314" s="11" t="n"/>
      <c r="BG314" s="11" t="n"/>
      <c r="BK314" s="11" t="n"/>
      <c r="BL314" s="11" t="n"/>
      <c r="BP314" s="12" t="n"/>
      <c r="BQ314" s="400" t="n"/>
    </row>
    <row r="315">
      <c r="D315" s="11" t="n"/>
      <c r="E315" s="86" t="n"/>
      <c r="F315" s="85" t="n"/>
      <c r="G315" s="85" t="n"/>
      <c r="H315" s="85" t="n"/>
      <c r="I315" s="85" t="n"/>
      <c r="J315" s="85" t="n"/>
      <c r="BD315" s="11" t="n"/>
      <c r="BE315" s="11" t="n"/>
      <c r="BF315" s="11" t="n"/>
      <c r="BG315" s="11" t="n"/>
      <c r="BK315" s="11" t="n"/>
      <c r="BL315" s="11" t="n"/>
      <c r="BP315" s="12" t="n"/>
      <c r="BQ315" s="400" t="n"/>
    </row>
    <row r="316">
      <c r="D316" s="11" t="n"/>
      <c r="E316" s="86" t="n"/>
      <c r="F316" s="85" t="n"/>
      <c r="G316" s="85" t="n"/>
      <c r="H316" s="85" t="n"/>
      <c r="I316" s="85" t="n"/>
      <c r="J316" s="85" t="n"/>
      <c r="BD316" s="11" t="n"/>
      <c r="BE316" s="11" t="n"/>
      <c r="BF316" s="11" t="n"/>
      <c r="BG316" s="11" t="n"/>
      <c r="BK316" s="11" t="n"/>
      <c r="BL316" s="11" t="n"/>
      <c r="BP316" s="12" t="n"/>
      <c r="BQ316" s="400" t="n"/>
    </row>
    <row r="317">
      <c r="D317" s="11" t="n"/>
      <c r="E317" s="86" t="n"/>
      <c r="F317" s="85" t="n"/>
      <c r="G317" s="85" t="n"/>
      <c r="H317" s="85" t="n"/>
      <c r="I317" s="85" t="n"/>
      <c r="J317" s="85" t="n"/>
      <c r="BD317" s="11" t="n"/>
      <c r="BE317" s="11" t="n"/>
      <c r="BF317" s="11" t="n"/>
      <c r="BG317" s="11" t="n"/>
      <c r="BK317" s="11" t="n"/>
      <c r="BL317" s="11" t="n"/>
      <c r="BP317" s="12" t="n"/>
      <c r="BQ317" s="400" t="n"/>
    </row>
    <row r="318">
      <c r="D318" s="11" t="n"/>
      <c r="E318" s="86" t="n"/>
      <c r="F318" s="85" t="n"/>
      <c r="G318" s="85" t="n"/>
      <c r="H318" s="85" t="n"/>
      <c r="I318" s="85" t="n"/>
      <c r="J318" s="85" t="n"/>
      <c r="BD318" s="11" t="n"/>
      <c r="BE318" s="11" t="n"/>
      <c r="BF318" s="11" t="n"/>
      <c r="BG318" s="11" t="n"/>
      <c r="BK318" s="11" t="n"/>
      <c r="BL318" s="11" t="n"/>
      <c r="BP318" s="12" t="n"/>
      <c r="BQ318" s="400" t="n"/>
    </row>
    <row r="319">
      <c r="D319" s="11" t="n"/>
      <c r="E319" s="86" t="n"/>
      <c r="F319" s="85" t="n"/>
      <c r="G319" s="85" t="n"/>
      <c r="H319" s="85" t="n"/>
      <c r="I319" s="85" t="n"/>
      <c r="J319" s="85" t="n"/>
      <c r="BD319" s="11" t="n"/>
      <c r="BE319" s="11" t="n"/>
      <c r="BF319" s="11" t="n"/>
      <c r="BG319" s="11" t="n"/>
      <c r="BK319" s="11" t="n"/>
      <c r="BL319" s="11" t="n"/>
      <c r="BP319" s="12" t="n"/>
      <c r="BQ319" s="400" t="n"/>
    </row>
    <row r="320">
      <c r="D320" s="11" t="n"/>
      <c r="E320" s="86" t="n"/>
      <c r="F320" s="85" t="n"/>
      <c r="G320" s="85" t="n"/>
      <c r="H320" s="85" t="n"/>
      <c r="I320" s="85" t="n"/>
      <c r="J320" s="85" t="n"/>
      <c r="BD320" s="11" t="n"/>
      <c r="BE320" s="11" t="n"/>
      <c r="BF320" s="11" t="n"/>
      <c r="BG320" s="11" t="n"/>
      <c r="BK320" s="11" t="n"/>
      <c r="BL320" s="11" t="n"/>
      <c r="BP320" s="12" t="n"/>
      <c r="BQ320" s="400" t="n"/>
    </row>
    <row r="321">
      <c r="D321" s="11" t="n"/>
      <c r="E321" s="86" t="n"/>
      <c r="F321" s="85" t="n"/>
      <c r="G321" s="85" t="n"/>
      <c r="H321" s="85" t="n"/>
      <c r="I321" s="85" t="n"/>
      <c r="J321" s="85" t="n"/>
      <c r="BD321" s="11" t="n"/>
      <c r="BE321" s="11" t="n"/>
      <c r="BF321" s="11" t="n"/>
      <c r="BG321" s="11" t="n"/>
      <c r="BK321" s="11" t="n"/>
      <c r="BL321" s="11" t="n"/>
      <c r="BP321" s="12" t="n"/>
      <c r="BQ321" s="400" t="n"/>
    </row>
    <row r="322">
      <c r="D322" s="11" t="n"/>
      <c r="E322" s="86" t="n"/>
      <c r="F322" s="85" t="n"/>
      <c r="G322" s="85" t="n"/>
      <c r="H322" s="85" t="n"/>
      <c r="I322" s="85" t="n"/>
      <c r="J322" s="85" t="n"/>
      <c r="BD322" s="11" t="n"/>
      <c r="BE322" s="11" t="n"/>
      <c r="BF322" s="11" t="n"/>
      <c r="BG322" s="11" t="n"/>
      <c r="BK322" s="11" t="n"/>
      <c r="BL322" s="11" t="n"/>
      <c r="BP322" s="12" t="n"/>
      <c r="BQ322" s="400" t="n"/>
    </row>
    <row r="323">
      <c r="D323" s="11" t="n"/>
      <c r="E323" s="86" t="n"/>
      <c r="F323" s="85" t="n"/>
      <c r="G323" s="85" t="n"/>
      <c r="H323" s="85" t="n"/>
      <c r="I323" s="85" t="n"/>
      <c r="J323" s="85" t="n"/>
      <c r="BD323" s="11" t="n"/>
      <c r="BE323" s="11" t="n"/>
      <c r="BF323" s="11" t="n"/>
      <c r="BG323" s="11" t="n"/>
      <c r="BK323" s="11" t="n"/>
      <c r="BL323" s="11" t="n"/>
      <c r="BP323" s="12" t="n"/>
      <c r="BQ323" s="400" t="n"/>
    </row>
    <row r="324">
      <c r="D324" s="11" t="n"/>
      <c r="E324" s="86" t="n"/>
      <c r="F324" s="85" t="n"/>
      <c r="G324" s="85" t="n"/>
      <c r="H324" s="85" t="n"/>
      <c r="I324" s="85" t="n"/>
      <c r="J324" s="85" t="n"/>
      <c r="BD324" s="11" t="n"/>
      <c r="BE324" s="11" t="n"/>
      <c r="BF324" s="11" t="n"/>
      <c r="BG324" s="11" t="n"/>
      <c r="BK324" s="11" t="n"/>
      <c r="BL324" s="11" t="n"/>
      <c r="BP324" s="12" t="n"/>
      <c r="BQ324" s="400" t="n"/>
    </row>
    <row r="325">
      <c r="D325" s="11" t="n"/>
      <c r="E325" s="86" t="n"/>
      <c r="F325" s="85" t="n"/>
      <c r="G325" s="85" t="n"/>
      <c r="H325" s="85" t="n"/>
      <c r="I325" s="85" t="n"/>
      <c r="J325" s="85" t="n"/>
      <c r="BD325" s="11" t="n"/>
      <c r="BE325" s="11" t="n"/>
      <c r="BF325" s="11" t="n"/>
      <c r="BG325" s="11" t="n"/>
      <c r="BK325" s="11" t="n"/>
      <c r="BL325" s="11" t="n"/>
      <c r="BP325" s="12" t="n"/>
      <c r="BQ325" s="400" t="n"/>
    </row>
    <row r="326">
      <c r="D326" s="11" t="n"/>
      <c r="E326" s="86" t="n"/>
      <c r="F326" s="85" t="n"/>
      <c r="G326" s="85" t="n"/>
      <c r="H326" s="85" t="n"/>
      <c r="I326" s="85" t="n"/>
      <c r="J326" s="85" t="n"/>
      <c r="BD326" s="11" t="n"/>
      <c r="BE326" s="11" t="n"/>
      <c r="BF326" s="11" t="n"/>
      <c r="BG326" s="11" t="n"/>
      <c r="BK326" s="11" t="n"/>
      <c r="BL326" s="11" t="n"/>
      <c r="BP326" s="12" t="n"/>
      <c r="BQ326" s="400" t="n"/>
    </row>
    <row r="327">
      <c r="D327" s="11" t="n"/>
      <c r="E327" s="86" t="n"/>
      <c r="F327" s="85" t="n"/>
      <c r="G327" s="85" t="n"/>
      <c r="H327" s="85" t="n"/>
      <c r="I327" s="85" t="n"/>
      <c r="J327" s="85" t="n"/>
      <c r="BD327" s="11" t="n"/>
      <c r="BE327" s="11" t="n"/>
      <c r="BF327" s="11" t="n"/>
      <c r="BG327" s="11" t="n"/>
      <c r="BK327" s="11" t="n"/>
      <c r="BL327" s="11" t="n"/>
      <c r="BP327" s="12" t="n"/>
      <c r="BQ327" s="400" t="n"/>
    </row>
    <row r="328">
      <c r="D328" s="11" t="n"/>
      <c r="E328" s="86" t="n"/>
      <c r="F328" s="85" t="n"/>
      <c r="G328" s="85" t="n"/>
      <c r="H328" s="85" t="n"/>
      <c r="I328" s="85" t="n"/>
      <c r="J328" s="85" t="n"/>
      <c r="BD328" s="11" t="n"/>
      <c r="BE328" s="11" t="n"/>
      <c r="BF328" s="11" t="n"/>
      <c r="BG328" s="11" t="n"/>
      <c r="BK328" s="11" t="n"/>
      <c r="BL328" s="11" t="n"/>
      <c r="BP328" s="12" t="n"/>
      <c r="BQ328" s="400" t="n"/>
    </row>
    <row r="329">
      <c r="D329" s="11" t="n"/>
      <c r="E329" s="86" t="n"/>
      <c r="F329" s="85" t="n"/>
      <c r="G329" s="85" t="n"/>
      <c r="H329" s="85" t="n"/>
      <c r="I329" s="85" t="n"/>
      <c r="J329" s="85" t="n"/>
      <c r="BD329" s="11" t="n"/>
      <c r="BE329" s="11" t="n"/>
      <c r="BF329" s="11" t="n"/>
      <c r="BG329" s="11" t="n"/>
      <c r="BK329" s="11" t="n"/>
      <c r="BL329" s="11" t="n"/>
      <c r="BP329" s="12" t="n"/>
      <c r="BQ329" s="400" t="n"/>
    </row>
    <row r="330">
      <c r="D330" s="11" t="n"/>
      <c r="E330" s="86" t="n"/>
      <c r="F330" s="85" t="n"/>
      <c r="G330" s="85" t="n"/>
      <c r="H330" s="85" t="n"/>
      <c r="I330" s="85" t="n"/>
      <c r="J330" s="85" t="n"/>
      <c r="BD330" s="11" t="n"/>
      <c r="BE330" s="11" t="n"/>
      <c r="BF330" s="11" t="n"/>
      <c r="BG330" s="11" t="n"/>
      <c r="BK330" s="11" t="n"/>
      <c r="BL330" s="11" t="n"/>
      <c r="BP330" s="12" t="n"/>
      <c r="BQ330" s="400" t="n"/>
    </row>
    <row r="331">
      <c r="D331" s="11" t="n"/>
      <c r="E331" s="86" t="n"/>
      <c r="F331" s="85" t="n"/>
      <c r="G331" s="85" t="n"/>
      <c r="H331" s="85" t="n"/>
      <c r="I331" s="85" t="n"/>
      <c r="J331" s="85" t="n"/>
      <c r="BD331" s="11" t="n"/>
      <c r="BE331" s="11" t="n"/>
      <c r="BF331" s="11" t="n"/>
      <c r="BG331" s="11" t="n"/>
      <c r="BK331" s="11" t="n"/>
      <c r="BL331" s="11" t="n"/>
      <c r="BP331" s="12" t="n"/>
      <c r="BQ331" s="400" t="n"/>
    </row>
    <row r="332">
      <c r="D332" s="11" t="n"/>
      <c r="E332" s="86" t="n"/>
      <c r="F332" s="85" t="n"/>
      <c r="G332" s="85" t="n"/>
      <c r="H332" s="85" t="n"/>
      <c r="I332" s="85" t="n"/>
      <c r="J332" s="85" t="n"/>
      <c r="BD332" s="11" t="n"/>
      <c r="BE332" s="11" t="n"/>
      <c r="BF332" s="11" t="n"/>
      <c r="BG332" s="11" t="n"/>
      <c r="BK332" s="11" t="n"/>
      <c r="BL332" s="11" t="n"/>
      <c r="BP332" s="12" t="n"/>
      <c r="BQ332" s="400" t="n"/>
    </row>
    <row r="333">
      <c r="D333" s="11" t="n"/>
      <c r="E333" s="86" t="n"/>
      <c r="F333" s="85" t="n"/>
      <c r="G333" s="85" t="n"/>
      <c r="H333" s="85" t="n"/>
      <c r="I333" s="85" t="n"/>
      <c r="J333" s="85" t="n"/>
      <c r="BD333" s="11" t="n"/>
      <c r="BE333" s="11" t="n"/>
      <c r="BF333" s="11" t="n"/>
      <c r="BG333" s="11" t="n"/>
      <c r="BK333" s="11" t="n"/>
      <c r="BL333" s="11" t="n"/>
      <c r="BP333" s="12" t="n"/>
      <c r="BQ333" s="400" t="n"/>
    </row>
    <row r="334">
      <c r="D334" s="11" t="n"/>
      <c r="E334" s="86" t="n"/>
      <c r="F334" s="85" t="n"/>
      <c r="G334" s="85" t="n"/>
      <c r="H334" s="85" t="n"/>
      <c r="I334" s="85" t="n"/>
      <c r="J334" s="85" t="n"/>
      <c r="BD334" s="11" t="n"/>
      <c r="BE334" s="11" t="n"/>
      <c r="BF334" s="11" t="n"/>
      <c r="BG334" s="11" t="n"/>
      <c r="BK334" s="11" t="n"/>
      <c r="BL334" s="11" t="n"/>
      <c r="BP334" s="12" t="n"/>
      <c r="BQ334" s="400" t="n"/>
    </row>
    <row r="335">
      <c r="D335" s="11" t="n"/>
      <c r="E335" s="86" t="n"/>
      <c r="F335" s="85" t="n"/>
      <c r="G335" s="85" t="n"/>
      <c r="H335" s="85" t="n"/>
      <c r="I335" s="85" t="n"/>
      <c r="J335" s="85" t="n"/>
      <c r="BD335" s="11" t="n"/>
      <c r="BE335" s="11" t="n"/>
      <c r="BF335" s="11" t="n"/>
      <c r="BG335" s="11" t="n"/>
      <c r="BK335" s="11" t="n"/>
      <c r="BL335" s="11" t="n"/>
      <c r="BP335" s="12" t="n"/>
      <c r="BQ335" s="400" t="n"/>
    </row>
    <row r="336">
      <c r="D336" s="11" t="n"/>
      <c r="E336" s="86" t="n"/>
      <c r="F336" s="85" t="n"/>
      <c r="G336" s="85" t="n"/>
      <c r="H336" s="85" t="n"/>
      <c r="I336" s="85" t="n"/>
      <c r="J336" s="85" t="n"/>
      <c r="BD336" s="11" t="n"/>
      <c r="BE336" s="11" t="n"/>
      <c r="BF336" s="11" t="n"/>
      <c r="BG336" s="11" t="n"/>
      <c r="BK336" s="11" t="n"/>
      <c r="BL336" s="11" t="n"/>
      <c r="BP336" s="12" t="n"/>
      <c r="BQ336" s="400" t="n"/>
    </row>
    <row r="337">
      <c r="D337" s="11" t="n"/>
      <c r="E337" s="86" t="n"/>
      <c r="F337" s="85" t="n"/>
      <c r="G337" s="85" t="n"/>
      <c r="H337" s="85" t="n"/>
      <c r="I337" s="85" t="n"/>
      <c r="J337" s="85" t="n"/>
      <c r="BD337" s="11" t="n"/>
      <c r="BE337" s="11" t="n"/>
      <c r="BF337" s="11" t="n"/>
      <c r="BG337" s="11" t="n"/>
      <c r="BK337" s="11" t="n"/>
      <c r="BL337" s="11" t="n"/>
      <c r="BP337" s="12" t="n"/>
      <c r="BQ337" s="400" t="n"/>
    </row>
    <row r="338">
      <c r="D338" s="11" t="n"/>
      <c r="E338" s="86" t="n"/>
      <c r="F338" s="85" t="n"/>
      <c r="G338" s="85" t="n"/>
      <c r="H338" s="85" t="n"/>
      <c r="I338" s="85" t="n"/>
      <c r="J338" s="85" t="n"/>
      <c r="BD338" s="11" t="n"/>
      <c r="BE338" s="11" t="n"/>
      <c r="BF338" s="11" t="n"/>
      <c r="BG338" s="11" t="n"/>
      <c r="BK338" s="11" t="n"/>
      <c r="BL338" s="11" t="n"/>
      <c r="BP338" s="12" t="n"/>
      <c r="BQ338" s="400" t="n"/>
    </row>
    <row r="339">
      <c r="D339" s="11" t="n"/>
      <c r="E339" s="86" t="n"/>
      <c r="F339" s="85" t="n"/>
      <c r="G339" s="85" t="n"/>
      <c r="H339" s="85" t="n"/>
      <c r="I339" s="85" t="n"/>
      <c r="J339" s="85" t="n"/>
      <c r="BD339" s="11" t="n"/>
      <c r="BE339" s="11" t="n"/>
      <c r="BF339" s="11" t="n"/>
      <c r="BG339" s="11" t="n"/>
      <c r="BK339" s="11" t="n"/>
      <c r="BL339" s="11" t="n"/>
      <c r="BP339" s="12" t="n"/>
      <c r="BQ339" s="400" t="n"/>
    </row>
    <row r="340">
      <c r="D340" s="11" t="n"/>
      <c r="E340" s="86" t="n"/>
      <c r="F340" s="85" t="n"/>
      <c r="G340" s="85" t="n"/>
      <c r="H340" s="85" t="n"/>
      <c r="I340" s="85" t="n"/>
      <c r="J340" s="85" t="n"/>
      <c r="BD340" s="11" t="n"/>
      <c r="BE340" s="11" t="n"/>
      <c r="BF340" s="11" t="n"/>
      <c r="BG340" s="11" t="n"/>
      <c r="BK340" s="11" t="n"/>
      <c r="BL340" s="11" t="n"/>
      <c r="BP340" s="12" t="n"/>
      <c r="BQ340" s="400" t="n"/>
    </row>
    <row r="341">
      <c r="D341" s="11" t="n"/>
      <c r="E341" s="86" t="n"/>
      <c r="F341" s="85" t="n"/>
      <c r="G341" s="85" t="n"/>
      <c r="H341" s="85" t="n"/>
      <c r="I341" s="85" t="n"/>
      <c r="J341" s="85" t="n"/>
      <c r="BD341" s="11" t="n"/>
      <c r="BE341" s="11" t="n"/>
      <c r="BF341" s="11" t="n"/>
      <c r="BG341" s="11" t="n"/>
      <c r="BK341" s="11" t="n"/>
      <c r="BL341" s="11" t="n"/>
      <c r="BP341" s="12" t="n"/>
      <c r="BQ341" s="400" t="n"/>
    </row>
    <row r="342">
      <c r="D342" s="11" t="n"/>
      <c r="E342" s="86" t="n"/>
      <c r="F342" s="85" t="n"/>
      <c r="G342" s="85" t="n"/>
      <c r="H342" s="85" t="n"/>
      <c r="I342" s="85" t="n"/>
      <c r="J342" s="85" t="n"/>
      <c r="BD342" s="11" t="n"/>
      <c r="BE342" s="11" t="n"/>
      <c r="BF342" s="11" t="n"/>
      <c r="BG342" s="11" t="n"/>
      <c r="BK342" s="11" t="n"/>
      <c r="BL342" s="11" t="n"/>
      <c r="BP342" s="12" t="n"/>
      <c r="BQ342" s="400" t="n"/>
    </row>
    <row r="343">
      <c r="D343" s="11" t="n"/>
      <c r="E343" s="86" t="n"/>
      <c r="F343" s="85" t="n"/>
      <c r="G343" s="85" t="n"/>
      <c r="H343" s="85" t="n"/>
      <c r="I343" s="85" t="n"/>
      <c r="J343" s="85" t="n"/>
      <c r="BD343" s="11" t="n"/>
      <c r="BE343" s="11" t="n"/>
      <c r="BF343" s="11" t="n"/>
      <c r="BG343" s="11" t="n"/>
      <c r="BK343" s="11" t="n"/>
      <c r="BL343" s="11" t="n"/>
      <c r="BP343" s="12" t="n"/>
      <c r="BQ343" s="400" t="n"/>
    </row>
    <row r="344">
      <c r="D344" s="11" t="n"/>
      <c r="E344" s="86" t="n"/>
      <c r="F344" s="85" t="n"/>
      <c r="G344" s="85" t="n"/>
      <c r="H344" s="85" t="n"/>
      <c r="I344" s="85" t="n"/>
      <c r="J344" s="85" t="n"/>
      <c r="BD344" s="11" t="n"/>
      <c r="BE344" s="11" t="n"/>
      <c r="BF344" s="11" t="n"/>
      <c r="BG344" s="11" t="n"/>
      <c r="BK344" s="11" t="n"/>
      <c r="BL344" s="11" t="n"/>
      <c r="BP344" s="12" t="n"/>
      <c r="BQ344" s="400" t="n"/>
    </row>
    <row r="345">
      <c r="D345" s="11" t="n"/>
      <c r="E345" s="86" t="n"/>
      <c r="F345" s="85" t="n"/>
      <c r="G345" s="85" t="n"/>
      <c r="H345" s="85" t="n"/>
      <c r="I345" s="85" t="n"/>
      <c r="J345" s="85" t="n"/>
      <c r="BD345" s="11" t="n"/>
      <c r="BE345" s="11" t="n"/>
      <c r="BF345" s="11" t="n"/>
      <c r="BG345" s="11" t="n"/>
      <c r="BK345" s="11" t="n"/>
      <c r="BL345" s="11" t="n"/>
      <c r="BP345" s="12" t="n"/>
      <c r="BQ345" s="400" t="n"/>
    </row>
    <row r="346">
      <c r="D346" s="11" t="n"/>
      <c r="E346" s="86" t="n"/>
      <c r="F346" s="85" t="n"/>
      <c r="G346" s="85" t="n"/>
      <c r="H346" s="85" t="n"/>
      <c r="I346" s="85" t="n"/>
      <c r="J346" s="85" t="n"/>
      <c r="BD346" s="11" t="n"/>
      <c r="BE346" s="11" t="n"/>
      <c r="BF346" s="11" t="n"/>
      <c r="BG346" s="11" t="n"/>
      <c r="BK346" s="11" t="n"/>
      <c r="BL346" s="11" t="n"/>
      <c r="BP346" s="12" t="n"/>
      <c r="BQ346" s="400" t="n"/>
    </row>
    <row r="347">
      <c r="D347" s="11" t="n"/>
      <c r="E347" s="86" t="n"/>
      <c r="F347" s="85" t="n"/>
      <c r="G347" s="85" t="n"/>
      <c r="H347" s="85" t="n"/>
      <c r="I347" s="85" t="n"/>
      <c r="J347" s="85" t="n"/>
      <c r="BD347" s="11" t="n"/>
      <c r="BE347" s="11" t="n"/>
      <c r="BF347" s="11" t="n"/>
      <c r="BG347" s="11" t="n"/>
      <c r="BK347" s="11" t="n"/>
      <c r="BL347" s="11" t="n"/>
      <c r="BP347" s="12" t="n"/>
      <c r="BQ347" s="400" t="n"/>
    </row>
    <row r="348">
      <c r="D348" s="11" t="n"/>
      <c r="E348" s="86" t="n"/>
      <c r="F348" s="85" t="n"/>
      <c r="G348" s="85" t="n"/>
      <c r="H348" s="85" t="n"/>
      <c r="I348" s="85" t="n"/>
      <c r="J348" s="85" t="n"/>
      <c r="BD348" s="11" t="n"/>
      <c r="BE348" s="11" t="n"/>
      <c r="BF348" s="11" t="n"/>
      <c r="BG348" s="11" t="n"/>
      <c r="BK348" s="11" t="n"/>
      <c r="BL348" s="11" t="n"/>
      <c r="BP348" s="12" t="n"/>
      <c r="BQ348" s="400" t="n"/>
    </row>
    <row r="349">
      <c r="D349" s="11" t="n"/>
      <c r="E349" s="86" t="n"/>
      <c r="F349" s="85" t="n"/>
      <c r="G349" s="85" t="n"/>
      <c r="H349" s="85" t="n"/>
      <c r="I349" s="85" t="n"/>
      <c r="J349" s="85" t="n"/>
      <c r="BD349" s="11" t="n"/>
      <c r="BE349" s="11" t="n"/>
      <c r="BF349" s="11" t="n"/>
      <c r="BG349" s="11" t="n"/>
      <c r="BK349" s="11" t="n"/>
      <c r="BL349" s="11" t="n"/>
      <c r="BP349" s="12" t="n"/>
      <c r="BQ349" s="400" t="n"/>
    </row>
    <row r="350">
      <c r="D350" s="11" t="n"/>
      <c r="E350" s="86" t="n"/>
      <c r="F350" s="85" t="n"/>
      <c r="G350" s="85" t="n"/>
      <c r="H350" s="85" t="n"/>
      <c r="I350" s="85" t="n"/>
      <c r="J350" s="85" t="n"/>
      <c r="BD350" s="11" t="n"/>
      <c r="BE350" s="11" t="n"/>
      <c r="BF350" s="11" t="n"/>
      <c r="BG350" s="11" t="n"/>
      <c r="BK350" s="11" t="n"/>
      <c r="BL350" s="11" t="n"/>
      <c r="BP350" s="12" t="n"/>
      <c r="BQ350" s="400" t="n"/>
    </row>
    <row r="351">
      <c r="D351" s="11" t="n"/>
      <c r="E351" s="86" t="n"/>
      <c r="F351" s="85" t="n"/>
      <c r="G351" s="85" t="n"/>
      <c r="H351" s="85" t="n"/>
      <c r="I351" s="85" t="n"/>
      <c r="J351" s="85" t="n"/>
      <c r="BD351" s="11" t="n"/>
      <c r="BE351" s="11" t="n"/>
      <c r="BF351" s="11" t="n"/>
      <c r="BG351" s="11" t="n"/>
      <c r="BK351" s="11" t="n"/>
      <c r="BL351" s="11" t="n"/>
      <c r="BP351" s="12" t="n"/>
      <c r="BQ351" s="400" t="n"/>
    </row>
    <row r="352">
      <c r="D352" s="11" t="n"/>
      <c r="E352" s="86" t="n"/>
      <c r="F352" s="85" t="n"/>
      <c r="G352" s="85" t="n"/>
      <c r="H352" s="85" t="n"/>
      <c r="I352" s="85" t="n"/>
      <c r="J352" s="85" t="n"/>
      <c r="BD352" s="11" t="n"/>
      <c r="BE352" s="11" t="n"/>
      <c r="BF352" s="11" t="n"/>
      <c r="BG352" s="11" t="n"/>
      <c r="BK352" s="11" t="n"/>
      <c r="BL352" s="11" t="n"/>
      <c r="BP352" s="12" t="n"/>
      <c r="BQ352" s="400" t="n"/>
    </row>
    <row r="353">
      <c r="D353" s="11" t="n"/>
      <c r="E353" s="86" t="n"/>
      <c r="F353" s="85" t="n"/>
      <c r="G353" s="85" t="n"/>
      <c r="H353" s="85" t="n"/>
      <c r="I353" s="85" t="n"/>
      <c r="J353" s="85" t="n"/>
      <c r="BD353" s="11" t="n"/>
      <c r="BE353" s="11" t="n"/>
      <c r="BF353" s="11" t="n"/>
      <c r="BG353" s="11" t="n"/>
      <c r="BK353" s="11" t="n"/>
      <c r="BL353" s="11" t="n"/>
      <c r="BP353" s="12" t="n"/>
      <c r="BQ353" s="400" t="n"/>
    </row>
    <row r="354">
      <c r="D354" s="11" t="n"/>
      <c r="E354" s="86" t="n"/>
      <c r="F354" s="85" t="n"/>
      <c r="G354" s="85" t="n"/>
      <c r="H354" s="85" t="n"/>
      <c r="I354" s="85" t="n"/>
      <c r="J354" s="85" t="n"/>
      <c r="BD354" s="11" t="n"/>
      <c r="BE354" s="11" t="n"/>
      <c r="BF354" s="11" t="n"/>
      <c r="BG354" s="11" t="n"/>
      <c r="BK354" s="11" t="n"/>
      <c r="BL354" s="11" t="n"/>
      <c r="BP354" s="12" t="n"/>
      <c r="BQ354" s="400" t="n"/>
    </row>
    <row r="355">
      <c r="D355" s="11" t="n"/>
      <c r="E355" s="86" t="n"/>
      <c r="F355" s="85" t="n"/>
      <c r="G355" s="85" t="n"/>
      <c r="H355" s="85" t="n"/>
      <c r="I355" s="85" t="n"/>
      <c r="J355" s="85" t="n"/>
      <c r="BD355" s="11" t="n"/>
      <c r="BE355" s="11" t="n"/>
      <c r="BF355" s="11" t="n"/>
      <c r="BG355" s="11" t="n"/>
      <c r="BK355" s="11" t="n"/>
      <c r="BL355" s="11" t="n"/>
      <c r="BP355" s="12" t="n"/>
      <c r="BQ355" s="400" t="n"/>
    </row>
    <row r="356">
      <c r="D356" s="11" t="n"/>
      <c r="E356" s="86" t="n"/>
      <c r="F356" s="85" t="n"/>
      <c r="G356" s="85" t="n"/>
      <c r="H356" s="85" t="n"/>
      <c r="I356" s="85" t="n"/>
      <c r="J356" s="85" t="n"/>
      <c r="BD356" s="11" t="n"/>
      <c r="BE356" s="11" t="n"/>
      <c r="BF356" s="11" t="n"/>
      <c r="BG356" s="11" t="n"/>
      <c r="BK356" s="11" t="n"/>
      <c r="BL356" s="11" t="n"/>
      <c r="BP356" s="12" t="n"/>
      <c r="BQ356" s="400" t="n"/>
    </row>
    <row r="357">
      <c r="D357" s="11" t="n"/>
      <c r="E357" s="86" t="n"/>
      <c r="F357" s="85" t="n"/>
      <c r="G357" s="85" t="n"/>
      <c r="H357" s="85" t="n"/>
      <c r="I357" s="85" t="n"/>
      <c r="J357" s="85" t="n"/>
      <c r="BD357" s="11" t="n"/>
      <c r="BE357" s="11" t="n"/>
      <c r="BF357" s="11" t="n"/>
      <c r="BG357" s="11" t="n"/>
      <c r="BK357" s="11" t="n"/>
      <c r="BL357" s="11" t="n"/>
      <c r="BP357" s="12" t="n"/>
      <c r="BQ357" s="400" t="n"/>
    </row>
    <row r="358">
      <c r="D358" s="11" t="n"/>
      <c r="E358" s="86" t="n"/>
      <c r="F358" s="85" t="n"/>
      <c r="G358" s="85" t="n"/>
      <c r="H358" s="85" t="n"/>
      <c r="I358" s="85" t="n"/>
      <c r="J358" s="85" t="n"/>
      <c r="BD358" s="11" t="n"/>
      <c r="BE358" s="11" t="n"/>
      <c r="BF358" s="11" t="n"/>
      <c r="BG358" s="11" t="n"/>
      <c r="BK358" s="11" t="n"/>
      <c r="BL358" s="11" t="n"/>
      <c r="BP358" s="12" t="n"/>
      <c r="BQ358" s="400" t="n"/>
    </row>
    <row r="359">
      <c r="D359" s="11" t="n"/>
      <c r="E359" s="86" t="n"/>
      <c r="F359" s="85" t="n"/>
      <c r="G359" s="85" t="n"/>
      <c r="H359" s="85" t="n"/>
      <c r="I359" s="85" t="n"/>
      <c r="J359" s="85" t="n"/>
      <c r="BD359" s="11" t="n"/>
      <c r="BE359" s="11" t="n"/>
      <c r="BF359" s="11" t="n"/>
      <c r="BG359" s="11" t="n"/>
      <c r="BK359" s="11" t="n"/>
      <c r="BL359" s="11" t="n"/>
      <c r="BP359" s="12" t="n"/>
      <c r="BQ359" s="400" t="n"/>
    </row>
    <row r="360">
      <c r="D360" s="11" t="n"/>
      <c r="E360" s="86" t="n"/>
      <c r="F360" s="85" t="n"/>
      <c r="G360" s="85" t="n"/>
      <c r="H360" s="85" t="n"/>
      <c r="I360" s="85" t="n"/>
      <c r="J360" s="85" t="n"/>
      <c r="BD360" s="11" t="n"/>
      <c r="BE360" s="11" t="n"/>
      <c r="BF360" s="11" t="n"/>
      <c r="BG360" s="11" t="n"/>
      <c r="BK360" s="11" t="n"/>
      <c r="BL360" s="11" t="n"/>
      <c r="BP360" s="12" t="n"/>
      <c r="BQ360" s="400" t="n"/>
    </row>
    <row r="361">
      <c r="D361" s="11" t="n"/>
      <c r="E361" s="86" t="n"/>
      <c r="F361" s="85" t="n"/>
      <c r="G361" s="85" t="n"/>
      <c r="H361" s="85" t="n"/>
      <c r="I361" s="85" t="n"/>
      <c r="J361" s="85" t="n"/>
      <c r="BD361" s="11" t="n"/>
      <c r="BE361" s="11" t="n"/>
      <c r="BF361" s="11" t="n"/>
      <c r="BG361" s="11" t="n"/>
      <c r="BK361" s="11" t="n"/>
      <c r="BL361" s="11" t="n"/>
      <c r="BP361" s="12" t="n"/>
      <c r="BQ361" s="400" t="n"/>
    </row>
    <row r="362">
      <c r="D362" s="11" t="n"/>
      <c r="E362" s="86" t="n"/>
      <c r="F362" s="85" t="n"/>
      <c r="G362" s="85" t="n"/>
      <c r="H362" s="85" t="n"/>
      <c r="I362" s="85" t="n"/>
      <c r="J362" s="85" t="n"/>
      <c r="BD362" s="11" t="n"/>
      <c r="BE362" s="11" t="n"/>
      <c r="BF362" s="11" t="n"/>
      <c r="BG362" s="11" t="n"/>
      <c r="BK362" s="11" t="n"/>
      <c r="BL362" s="11" t="n"/>
      <c r="BP362" s="12" t="n"/>
      <c r="BQ362" s="400" t="n"/>
    </row>
    <row r="363">
      <c r="D363" s="11" t="n"/>
      <c r="E363" s="86" t="n"/>
      <c r="F363" s="85" t="n"/>
      <c r="G363" s="85" t="n"/>
      <c r="H363" s="85" t="n"/>
      <c r="I363" s="85" t="n"/>
      <c r="J363" s="85" t="n"/>
      <c r="BD363" s="11" t="n"/>
      <c r="BE363" s="11" t="n"/>
      <c r="BF363" s="11" t="n"/>
      <c r="BG363" s="11" t="n"/>
      <c r="BK363" s="11" t="n"/>
      <c r="BL363" s="11" t="n"/>
      <c r="BP363" s="12" t="n"/>
      <c r="BQ363" s="400" t="n"/>
    </row>
    <row r="364">
      <c r="D364" s="11" t="n"/>
      <c r="E364" s="86" t="n"/>
      <c r="F364" s="85" t="n"/>
      <c r="G364" s="85" t="n"/>
      <c r="H364" s="85" t="n"/>
      <c r="I364" s="85" t="n"/>
      <c r="J364" s="85" t="n"/>
      <c r="BD364" s="11" t="n"/>
      <c r="BE364" s="11" t="n"/>
      <c r="BF364" s="11" t="n"/>
      <c r="BG364" s="11" t="n"/>
      <c r="BK364" s="11" t="n"/>
      <c r="BL364" s="11" t="n"/>
      <c r="BP364" s="12" t="n"/>
      <c r="BQ364" s="400" t="n"/>
    </row>
    <row r="365">
      <c r="D365" s="11" t="n"/>
      <c r="E365" s="86" t="n"/>
      <c r="F365" s="85" t="n"/>
      <c r="G365" s="85" t="n"/>
      <c r="H365" s="85" t="n"/>
      <c r="I365" s="85" t="n"/>
      <c r="J365" s="85" t="n"/>
      <c r="BD365" s="11" t="n"/>
      <c r="BE365" s="11" t="n"/>
      <c r="BF365" s="11" t="n"/>
      <c r="BG365" s="11" t="n"/>
      <c r="BK365" s="11" t="n"/>
      <c r="BL365" s="11" t="n"/>
      <c r="BP365" s="12" t="n"/>
      <c r="BQ365" s="400" t="n"/>
    </row>
    <row r="366">
      <c r="D366" s="11" t="n"/>
      <c r="E366" s="86" t="n"/>
      <c r="F366" s="85" t="n"/>
      <c r="G366" s="85" t="n"/>
      <c r="H366" s="85" t="n"/>
      <c r="I366" s="85" t="n"/>
      <c r="J366" s="85" t="n"/>
      <c r="BD366" s="11" t="n"/>
      <c r="BE366" s="11" t="n"/>
      <c r="BF366" s="11" t="n"/>
      <c r="BG366" s="11" t="n"/>
      <c r="BK366" s="11" t="n"/>
      <c r="BL366" s="11" t="n"/>
      <c r="BP366" s="12" t="n"/>
      <c r="BQ366" s="400" t="n"/>
    </row>
    <row r="367">
      <c r="D367" s="11" t="n"/>
      <c r="E367" s="86" t="n"/>
      <c r="F367" s="85" t="n"/>
      <c r="G367" s="85" t="n"/>
      <c r="H367" s="85" t="n"/>
      <c r="I367" s="85" t="n"/>
      <c r="J367" s="85" t="n"/>
      <c r="BD367" s="11" t="n"/>
      <c r="BE367" s="11" t="n"/>
      <c r="BF367" s="11" t="n"/>
      <c r="BG367" s="11" t="n"/>
      <c r="BK367" s="11" t="n"/>
      <c r="BL367" s="11" t="n"/>
      <c r="BP367" s="12" t="n"/>
      <c r="BQ367" s="400" t="n"/>
    </row>
    <row r="368">
      <c r="D368" s="11" t="n"/>
      <c r="E368" s="86" t="n"/>
      <c r="F368" s="85" t="n"/>
      <c r="G368" s="85" t="n"/>
      <c r="H368" s="85" t="n"/>
      <c r="I368" s="85" t="n"/>
      <c r="J368" s="85" t="n"/>
      <c r="BD368" s="11" t="n"/>
      <c r="BE368" s="11" t="n"/>
      <c r="BF368" s="11" t="n"/>
      <c r="BG368" s="11" t="n"/>
      <c r="BK368" s="11" t="n"/>
      <c r="BL368" s="11" t="n"/>
      <c r="BP368" s="12" t="n"/>
      <c r="BQ368" s="400" t="n"/>
    </row>
    <row r="369">
      <c r="D369" s="11" t="n"/>
      <c r="E369" s="86" t="n"/>
      <c r="F369" s="85" t="n"/>
      <c r="G369" s="85" t="n"/>
      <c r="H369" s="85" t="n"/>
      <c r="I369" s="85" t="n"/>
      <c r="J369" s="85" t="n"/>
      <c r="BD369" s="11" t="n"/>
      <c r="BE369" s="11" t="n"/>
      <c r="BF369" s="11" t="n"/>
      <c r="BG369" s="11" t="n"/>
      <c r="BK369" s="11" t="n"/>
      <c r="BL369" s="11" t="n"/>
      <c r="BP369" s="12" t="n"/>
      <c r="BQ369" s="400" t="n"/>
    </row>
    <row r="370">
      <c r="D370" s="11" t="n"/>
      <c r="E370" s="86" t="n"/>
      <c r="F370" s="85" t="n"/>
      <c r="G370" s="85" t="n"/>
      <c r="H370" s="85" t="n"/>
      <c r="I370" s="85" t="n"/>
      <c r="J370" s="85" t="n"/>
      <c r="BD370" s="11" t="n"/>
      <c r="BE370" s="11" t="n"/>
      <c r="BF370" s="11" t="n"/>
      <c r="BG370" s="11" t="n"/>
      <c r="BK370" s="11" t="n"/>
      <c r="BL370" s="11" t="n"/>
      <c r="BP370" s="12" t="n"/>
      <c r="BQ370" s="400" t="n"/>
    </row>
    <row r="371">
      <c r="D371" s="11" t="n"/>
      <c r="E371" s="86" t="n"/>
      <c r="F371" s="85" t="n"/>
      <c r="G371" s="85" t="n"/>
      <c r="H371" s="85" t="n"/>
      <c r="I371" s="85" t="n"/>
      <c r="J371" s="85" t="n"/>
      <c r="BD371" s="11" t="n"/>
      <c r="BE371" s="11" t="n"/>
      <c r="BF371" s="11" t="n"/>
      <c r="BG371" s="11" t="n"/>
      <c r="BK371" s="11" t="n"/>
      <c r="BL371" s="11" t="n"/>
      <c r="BP371" s="12" t="n"/>
      <c r="BQ371" s="400" t="n"/>
    </row>
    <row r="372">
      <c r="D372" s="11" t="n"/>
      <c r="E372" s="86" t="n"/>
      <c r="F372" s="85" t="n"/>
      <c r="G372" s="85" t="n"/>
      <c r="H372" s="85" t="n"/>
      <c r="I372" s="85" t="n"/>
      <c r="J372" s="85" t="n"/>
      <c r="BD372" s="11" t="n"/>
      <c r="BE372" s="11" t="n"/>
      <c r="BF372" s="11" t="n"/>
      <c r="BG372" s="11" t="n"/>
      <c r="BK372" s="11" t="n"/>
      <c r="BL372" s="11" t="n"/>
      <c r="BP372" s="12" t="n"/>
      <c r="BQ372" s="400" t="n"/>
    </row>
    <row r="373">
      <c r="D373" s="11" t="n"/>
      <c r="E373" s="86" t="n"/>
      <c r="F373" s="85" t="n"/>
      <c r="G373" s="85" t="n"/>
      <c r="H373" s="85" t="n"/>
      <c r="I373" s="85" t="n"/>
      <c r="J373" s="85" t="n"/>
      <c r="BD373" s="11" t="n"/>
      <c r="BE373" s="11" t="n"/>
      <c r="BF373" s="11" t="n"/>
      <c r="BG373" s="11" t="n"/>
      <c r="BK373" s="11" t="n"/>
      <c r="BL373" s="11" t="n"/>
      <c r="BP373" s="12" t="n"/>
      <c r="BQ373" s="400" t="n"/>
    </row>
    <row r="374">
      <c r="D374" s="11" t="n"/>
      <c r="E374" s="86" t="n"/>
      <c r="F374" s="85" t="n"/>
      <c r="G374" s="85" t="n"/>
      <c r="H374" s="85" t="n"/>
      <c r="I374" s="85" t="n"/>
      <c r="J374" s="85" t="n"/>
      <c r="BD374" s="11" t="n"/>
      <c r="BE374" s="11" t="n"/>
      <c r="BF374" s="11" t="n"/>
      <c r="BG374" s="11" t="n"/>
      <c r="BK374" s="11" t="n"/>
      <c r="BL374" s="11" t="n"/>
      <c r="BP374" s="12" t="n"/>
      <c r="BQ374" s="400" t="n"/>
    </row>
    <row r="375">
      <c r="D375" s="11" t="n"/>
      <c r="E375" s="86" t="n"/>
      <c r="F375" s="85" t="n"/>
      <c r="G375" s="85" t="n"/>
      <c r="H375" s="85" t="n"/>
      <c r="I375" s="85" t="n"/>
      <c r="J375" s="85" t="n"/>
      <c r="BD375" s="11" t="n"/>
      <c r="BE375" s="11" t="n"/>
      <c r="BF375" s="11" t="n"/>
      <c r="BG375" s="11" t="n"/>
      <c r="BK375" s="11" t="n"/>
      <c r="BL375" s="11" t="n"/>
      <c r="BP375" s="12" t="n"/>
      <c r="BQ375" s="400" t="n"/>
    </row>
    <row r="376">
      <c r="D376" s="11" t="n"/>
      <c r="E376" s="86" t="n"/>
      <c r="F376" s="85" t="n"/>
      <c r="G376" s="85" t="n"/>
      <c r="H376" s="85" t="n"/>
      <c r="I376" s="85" t="n"/>
      <c r="J376" s="85" t="n"/>
      <c r="BD376" s="11" t="n"/>
      <c r="BE376" s="11" t="n"/>
      <c r="BF376" s="11" t="n"/>
      <c r="BG376" s="11" t="n"/>
      <c r="BK376" s="11" t="n"/>
      <c r="BL376" s="11" t="n"/>
      <c r="BP376" s="12" t="n"/>
      <c r="BQ376" s="400" t="n"/>
    </row>
    <row r="377">
      <c r="D377" s="11" t="n"/>
      <c r="E377" s="86" t="n"/>
      <c r="F377" s="85" t="n"/>
      <c r="G377" s="85" t="n"/>
      <c r="H377" s="85" t="n"/>
      <c r="I377" s="85" t="n"/>
      <c r="J377" s="85" t="n"/>
      <c r="BD377" s="11" t="n"/>
      <c r="BE377" s="11" t="n"/>
      <c r="BF377" s="11" t="n"/>
      <c r="BG377" s="11" t="n"/>
      <c r="BK377" s="11" t="n"/>
      <c r="BL377" s="11" t="n"/>
      <c r="BP377" s="12" t="n"/>
      <c r="BQ377" s="400" t="n"/>
    </row>
    <row r="378">
      <c r="D378" s="11" t="n"/>
      <c r="E378" s="86" t="n"/>
      <c r="F378" s="85" t="n"/>
      <c r="G378" s="85" t="n"/>
      <c r="H378" s="85" t="n"/>
      <c r="I378" s="85" t="n"/>
      <c r="J378" s="85" t="n"/>
      <c r="BD378" s="11" t="n"/>
      <c r="BE378" s="11" t="n"/>
      <c r="BF378" s="11" t="n"/>
      <c r="BG378" s="11" t="n"/>
      <c r="BK378" s="11" t="n"/>
      <c r="BL378" s="11" t="n"/>
      <c r="BP378" s="12" t="n"/>
      <c r="BQ378" s="400" t="n"/>
    </row>
    <row r="379">
      <c r="D379" s="11" t="n"/>
      <c r="E379" s="86" t="n"/>
      <c r="F379" s="85" t="n"/>
      <c r="G379" s="85" t="n"/>
      <c r="H379" s="85" t="n"/>
      <c r="I379" s="85" t="n"/>
      <c r="J379" s="85" t="n"/>
      <c r="BD379" s="11" t="n"/>
      <c r="BE379" s="11" t="n"/>
      <c r="BF379" s="11" t="n"/>
      <c r="BG379" s="11" t="n"/>
      <c r="BK379" s="11" t="n"/>
      <c r="BL379" s="11" t="n"/>
      <c r="BP379" s="12" t="n"/>
      <c r="BQ379" s="400" t="n"/>
    </row>
    <row r="380">
      <c r="D380" s="11" t="n"/>
      <c r="E380" s="86" t="n"/>
      <c r="F380" s="85" t="n"/>
      <c r="G380" s="85" t="n"/>
      <c r="H380" s="85" t="n"/>
      <c r="I380" s="85" t="n"/>
      <c r="J380" s="85" t="n"/>
      <c r="BD380" s="11" t="n"/>
      <c r="BE380" s="11" t="n"/>
      <c r="BF380" s="11" t="n"/>
      <c r="BG380" s="11" t="n"/>
      <c r="BK380" s="11" t="n"/>
      <c r="BL380" s="11" t="n"/>
      <c r="BP380" s="12" t="n"/>
      <c r="BQ380" s="400" t="n"/>
    </row>
    <row r="381">
      <c r="D381" s="11" t="n"/>
      <c r="E381" s="86" t="n"/>
      <c r="F381" s="85" t="n"/>
      <c r="G381" s="85" t="n"/>
      <c r="H381" s="85" t="n"/>
      <c r="I381" s="85" t="n"/>
      <c r="J381" s="85" t="n"/>
      <c r="BD381" s="11" t="n"/>
      <c r="BE381" s="11" t="n"/>
      <c r="BF381" s="11" t="n"/>
      <c r="BG381" s="11" t="n"/>
      <c r="BK381" s="11" t="n"/>
      <c r="BL381" s="11" t="n"/>
      <c r="BP381" s="12" t="n"/>
      <c r="BQ381" s="400" t="n"/>
    </row>
    <row r="382">
      <c r="D382" s="11" t="n"/>
      <c r="E382" s="86" t="n"/>
      <c r="F382" s="85" t="n"/>
      <c r="G382" s="85" t="n"/>
      <c r="H382" s="85" t="n"/>
      <c r="I382" s="85" t="n"/>
      <c r="J382" s="85" t="n"/>
      <c r="BD382" s="11" t="n"/>
      <c r="BE382" s="11" t="n"/>
      <c r="BF382" s="11" t="n"/>
      <c r="BG382" s="11" t="n"/>
      <c r="BK382" s="11" t="n"/>
      <c r="BL382" s="11" t="n"/>
      <c r="BP382" s="12" t="n"/>
      <c r="BQ382" s="400" t="n"/>
    </row>
    <row r="383">
      <c r="D383" s="11" t="n"/>
      <c r="E383" s="86" t="n"/>
      <c r="F383" s="85" t="n"/>
      <c r="G383" s="85" t="n"/>
      <c r="H383" s="85" t="n"/>
      <c r="I383" s="85" t="n"/>
      <c r="J383" s="85" t="n"/>
      <c r="BD383" s="11" t="n"/>
      <c r="BE383" s="11" t="n"/>
      <c r="BF383" s="11" t="n"/>
      <c r="BG383" s="11" t="n"/>
      <c r="BK383" s="11" t="n"/>
      <c r="BL383" s="11" t="n"/>
      <c r="BP383" s="12" t="n"/>
      <c r="BQ383" s="400" t="n"/>
    </row>
    <row r="384">
      <c r="D384" s="11" t="n"/>
      <c r="E384" s="86" t="n"/>
      <c r="F384" s="85" t="n"/>
      <c r="G384" s="85" t="n"/>
      <c r="H384" s="85" t="n"/>
      <c r="I384" s="85" t="n"/>
      <c r="J384" s="85" t="n"/>
      <c r="BD384" s="11" t="n"/>
      <c r="BE384" s="11" t="n"/>
      <c r="BF384" s="11" t="n"/>
      <c r="BG384" s="11" t="n"/>
      <c r="BK384" s="11" t="n"/>
      <c r="BL384" s="11" t="n"/>
      <c r="BP384" s="12" t="n"/>
      <c r="BQ384" s="400" t="n"/>
    </row>
    <row r="385">
      <c r="D385" s="11" t="n"/>
      <c r="E385" s="86" t="n"/>
      <c r="F385" s="85" t="n"/>
      <c r="G385" s="85" t="n"/>
      <c r="H385" s="85" t="n"/>
      <c r="I385" s="85" t="n"/>
      <c r="J385" s="85" t="n"/>
      <c r="BD385" s="11" t="n"/>
      <c r="BE385" s="11" t="n"/>
      <c r="BF385" s="11" t="n"/>
      <c r="BG385" s="11" t="n"/>
      <c r="BK385" s="11" t="n"/>
      <c r="BL385" s="11" t="n"/>
      <c r="BP385" s="12" t="n"/>
      <c r="BQ385" s="400" t="n"/>
    </row>
    <row r="386">
      <c r="D386" s="11" t="n"/>
      <c r="E386" s="86" t="n"/>
      <c r="F386" s="85" t="n"/>
      <c r="G386" s="85" t="n"/>
      <c r="H386" s="85" t="n"/>
      <c r="I386" s="85" t="n"/>
      <c r="J386" s="85" t="n"/>
      <c r="BD386" s="11" t="n"/>
      <c r="BE386" s="11" t="n"/>
      <c r="BF386" s="11" t="n"/>
      <c r="BG386" s="11" t="n"/>
      <c r="BK386" s="11" t="n"/>
      <c r="BL386" s="11" t="n"/>
      <c r="BP386" s="12" t="n"/>
      <c r="BQ386" s="400" t="n"/>
    </row>
    <row r="387">
      <c r="D387" s="11" t="n"/>
      <c r="E387" s="86" t="n"/>
      <c r="F387" s="85" t="n"/>
      <c r="G387" s="85" t="n"/>
      <c r="H387" s="85" t="n"/>
      <c r="I387" s="85" t="n"/>
      <c r="J387" s="85" t="n"/>
      <c r="BD387" s="11" t="n"/>
      <c r="BE387" s="11" t="n"/>
      <c r="BF387" s="11" t="n"/>
      <c r="BG387" s="11" t="n"/>
      <c r="BK387" s="11" t="n"/>
      <c r="BL387" s="11" t="n"/>
      <c r="BP387" s="12" t="n"/>
      <c r="BQ387" s="400" t="n"/>
    </row>
    <row r="388">
      <c r="D388" s="11" t="n"/>
      <c r="E388" s="86" t="n"/>
      <c r="F388" s="85" t="n"/>
      <c r="G388" s="85" t="n"/>
      <c r="H388" s="85" t="n"/>
      <c r="I388" s="85" t="n"/>
      <c r="J388" s="85" t="n"/>
      <c r="BD388" s="11" t="n"/>
      <c r="BE388" s="11" t="n"/>
      <c r="BF388" s="11" t="n"/>
      <c r="BG388" s="11" t="n"/>
      <c r="BK388" s="11" t="n"/>
      <c r="BL388" s="11" t="n"/>
      <c r="BP388" s="12" t="n"/>
      <c r="BQ388" s="400" t="n"/>
    </row>
    <row r="389">
      <c r="D389" s="11" t="n"/>
      <c r="E389" s="86" t="n"/>
      <c r="F389" s="85" t="n"/>
      <c r="G389" s="85" t="n"/>
      <c r="H389" s="85" t="n"/>
      <c r="I389" s="85" t="n"/>
      <c r="J389" s="85" t="n"/>
      <c r="BD389" s="11" t="n"/>
      <c r="BE389" s="11" t="n"/>
      <c r="BF389" s="11" t="n"/>
      <c r="BG389" s="11" t="n"/>
      <c r="BK389" s="11" t="n"/>
      <c r="BL389" s="11" t="n"/>
      <c r="BP389" s="12" t="n"/>
      <c r="BQ389" s="400" t="n"/>
    </row>
    <row r="390">
      <c r="D390" s="11" t="n"/>
      <c r="E390" s="86" t="n"/>
      <c r="F390" s="85" t="n"/>
      <c r="G390" s="85" t="n"/>
      <c r="H390" s="85" t="n"/>
      <c r="I390" s="85" t="n"/>
      <c r="J390" s="85" t="n"/>
      <c r="BD390" s="11" t="n"/>
      <c r="BE390" s="11" t="n"/>
      <c r="BF390" s="11" t="n"/>
      <c r="BG390" s="11" t="n"/>
      <c r="BK390" s="11" t="n"/>
      <c r="BL390" s="11" t="n"/>
      <c r="BP390" s="12" t="n"/>
      <c r="BQ390" s="400" t="n"/>
    </row>
    <row r="391">
      <c r="D391" s="11" t="n"/>
      <c r="E391" s="86" t="n"/>
      <c r="F391" s="85" t="n"/>
      <c r="G391" s="85" t="n"/>
      <c r="H391" s="85" t="n"/>
      <c r="I391" s="85" t="n"/>
      <c r="J391" s="85" t="n"/>
      <c r="BD391" s="11" t="n"/>
      <c r="BE391" s="11" t="n"/>
      <c r="BF391" s="11" t="n"/>
      <c r="BG391" s="11" t="n"/>
      <c r="BK391" s="11" t="n"/>
      <c r="BL391" s="11" t="n"/>
      <c r="BP391" s="12" t="n"/>
      <c r="BQ391" s="400" t="n"/>
    </row>
    <row r="392">
      <c r="D392" s="11" t="n"/>
      <c r="E392" s="86" t="n"/>
      <c r="F392" s="85" t="n"/>
      <c r="G392" s="85" t="n"/>
      <c r="H392" s="85" t="n"/>
      <c r="I392" s="85" t="n"/>
      <c r="J392" s="85" t="n"/>
      <c r="BD392" s="11" t="n"/>
      <c r="BE392" s="11" t="n"/>
      <c r="BF392" s="11" t="n"/>
      <c r="BG392" s="11" t="n"/>
      <c r="BK392" s="11" t="n"/>
      <c r="BL392" s="11" t="n"/>
      <c r="BP392" s="12" t="n"/>
      <c r="BQ392" s="400" t="n"/>
    </row>
    <row r="393">
      <c r="D393" s="11" t="n"/>
      <c r="E393" s="86" t="n"/>
      <c r="F393" s="85" t="n"/>
      <c r="G393" s="85" t="n"/>
      <c r="H393" s="85" t="n"/>
      <c r="I393" s="85" t="n"/>
      <c r="J393" s="85" t="n"/>
      <c r="BD393" s="11" t="n"/>
      <c r="BE393" s="11" t="n"/>
      <c r="BF393" s="11" t="n"/>
      <c r="BG393" s="11" t="n"/>
      <c r="BK393" s="11" t="n"/>
      <c r="BL393" s="11" t="n"/>
      <c r="BP393" s="12" t="n"/>
      <c r="BQ393" s="400" t="n"/>
    </row>
    <row r="394">
      <c r="D394" s="11" t="n"/>
      <c r="E394" s="86" t="n"/>
      <c r="F394" s="85" t="n"/>
      <c r="G394" s="85" t="n"/>
      <c r="H394" s="85" t="n"/>
      <c r="I394" s="85" t="n"/>
      <c r="J394" s="85" t="n"/>
      <c r="BD394" s="11" t="n"/>
      <c r="BE394" s="11" t="n"/>
      <c r="BF394" s="11" t="n"/>
      <c r="BG394" s="11" t="n"/>
      <c r="BK394" s="11" t="n"/>
      <c r="BL394" s="11" t="n"/>
      <c r="BP394" s="12" t="n"/>
      <c r="BQ394" s="400" t="n"/>
    </row>
    <row r="395">
      <c r="D395" s="11" t="n"/>
      <c r="E395" s="86" t="n"/>
      <c r="F395" s="85" t="n"/>
      <c r="G395" s="85" t="n"/>
      <c r="H395" s="85" t="n"/>
      <c r="I395" s="85" t="n"/>
      <c r="J395" s="85" t="n"/>
      <c r="BD395" s="11" t="n"/>
      <c r="BE395" s="11" t="n"/>
      <c r="BF395" s="11" t="n"/>
      <c r="BG395" s="11" t="n"/>
      <c r="BK395" s="11" t="n"/>
      <c r="BL395" s="11" t="n"/>
      <c r="BP395" s="12" t="n"/>
      <c r="BQ395" s="400" t="n"/>
    </row>
    <row r="396">
      <c r="D396" s="11" t="n"/>
      <c r="E396" s="86" t="n"/>
      <c r="F396" s="85" t="n"/>
      <c r="G396" s="85" t="n"/>
      <c r="H396" s="85" t="n"/>
      <c r="I396" s="85" t="n"/>
      <c r="J396" s="85" t="n"/>
      <c r="BD396" s="11" t="n"/>
      <c r="BE396" s="11" t="n"/>
      <c r="BF396" s="11" t="n"/>
      <c r="BG396" s="11" t="n"/>
      <c r="BK396" s="11" t="n"/>
      <c r="BL396" s="11" t="n"/>
      <c r="BP396" s="12" t="n"/>
      <c r="BQ396" s="400" t="n"/>
    </row>
    <row r="397">
      <c r="D397" s="11" t="n"/>
      <c r="E397" s="86" t="n"/>
      <c r="F397" s="85" t="n"/>
      <c r="G397" s="85" t="n"/>
      <c r="H397" s="85" t="n"/>
      <c r="I397" s="85" t="n"/>
      <c r="J397" s="85" t="n"/>
      <c r="BD397" s="11" t="n"/>
      <c r="BE397" s="11" t="n"/>
      <c r="BF397" s="11" t="n"/>
      <c r="BG397" s="11" t="n"/>
      <c r="BK397" s="11" t="n"/>
      <c r="BL397" s="11" t="n"/>
      <c r="BP397" s="12" t="n"/>
      <c r="BQ397" s="400" t="n"/>
    </row>
    <row r="398">
      <c r="D398" s="11" t="n"/>
      <c r="E398" s="86" t="n"/>
      <c r="F398" s="85" t="n"/>
      <c r="G398" s="85" t="n"/>
      <c r="H398" s="85" t="n"/>
      <c r="I398" s="85" t="n"/>
      <c r="J398" s="85" t="n"/>
      <c r="BD398" s="11" t="n"/>
      <c r="BE398" s="11" t="n"/>
      <c r="BF398" s="11" t="n"/>
      <c r="BG398" s="11" t="n"/>
      <c r="BK398" s="11" t="n"/>
      <c r="BL398" s="11" t="n"/>
      <c r="BP398" s="12" t="n"/>
      <c r="BQ398" s="400" t="n"/>
    </row>
    <row r="399">
      <c r="D399" s="11" t="n"/>
      <c r="E399" s="86" t="n"/>
      <c r="F399" s="85" t="n"/>
      <c r="G399" s="85" t="n"/>
      <c r="H399" s="85" t="n"/>
      <c r="I399" s="85" t="n"/>
      <c r="J399" s="85" t="n"/>
      <c r="BD399" s="11" t="n"/>
      <c r="BE399" s="11" t="n"/>
      <c r="BF399" s="11" t="n"/>
      <c r="BG399" s="11" t="n"/>
      <c r="BK399" s="11" t="n"/>
      <c r="BL399" s="11" t="n"/>
      <c r="BP399" s="12" t="n"/>
      <c r="BQ399" s="400" t="n"/>
    </row>
    <row r="400">
      <c r="D400" s="11" t="n"/>
      <c r="E400" s="86" t="n"/>
      <c r="F400" s="85" t="n"/>
      <c r="G400" s="85" t="n"/>
      <c r="H400" s="85" t="n"/>
      <c r="I400" s="85" t="n"/>
      <c r="J400" s="85" t="n"/>
      <c r="BD400" s="11" t="n"/>
      <c r="BE400" s="11" t="n"/>
      <c r="BF400" s="11" t="n"/>
      <c r="BG400" s="11" t="n"/>
      <c r="BK400" s="11" t="n"/>
      <c r="BL400" s="11" t="n"/>
      <c r="BP400" s="12" t="n"/>
      <c r="BQ400" s="400" t="n"/>
    </row>
    <row r="401">
      <c r="D401" s="11" t="n"/>
      <c r="E401" s="86" t="n"/>
      <c r="F401" s="85" t="n"/>
      <c r="G401" s="85" t="n"/>
      <c r="H401" s="85" t="n"/>
      <c r="I401" s="85" t="n"/>
      <c r="J401" s="85" t="n"/>
      <c r="BD401" s="11" t="n"/>
      <c r="BE401" s="11" t="n"/>
      <c r="BF401" s="11" t="n"/>
      <c r="BG401" s="11" t="n"/>
      <c r="BK401" s="11" t="n"/>
      <c r="BL401" s="11" t="n"/>
      <c r="BP401" s="12" t="n"/>
      <c r="BQ401" s="400" t="n"/>
    </row>
    <row r="402">
      <c r="D402" s="11" t="n"/>
      <c r="E402" s="86" t="n"/>
      <c r="F402" s="85" t="n"/>
      <c r="G402" s="85" t="n"/>
      <c r="H402" s="85" t="n"/>
      <c r="I402" s="85" t="n"/>
      <c r="J402" s="85" t="n"/>
      <c r="BD402" s="11" t="n"/>
      <c r="BE402" s="11" t="n"/>
      <c r="BF402" s="11" t="n"/>
      <c r="BG402" s="11" t="n"/>
      <c r="BK402" s="11" t="n"/>
      <c r="BL402" s="11" t="n"/>
      <c r="BP402" s="12" t="n"/>
      <c r="BQ402" s="400" t="n"/>
    </row>
    <row r="403">
      <c r="D403" s="11" t="n"/>
      <c r="E403" s="86" t="n"/>
      <c r="F403" s="85" t="n"/>
      <c r="G403" s="85" t="n"/>
      <c r="H403" s="85" t="n"/>
      <c r="I403" s="85" t="n"/>
      <c r="J403" s="85" t="n"/>
      <c r="BD403" s="11" t="n"/>
      <c r="BE403" s="11" t="n"/>
      <c r="BF403" s="11" t="n"/>
      <c r="BG403" s="11" t="n"/>
      <c r="BK403" s="11" t="n"/>
      <c r="BL403" s="11" t="n"/>
      <c r="BP403" s="12" t="n"/>
      <c r="BQ403" s="400" t="n"/>
    </row>
    <row r="404">
      <c r="D404" s="11" t="n"/>
      <c r="E404" s="86" t="n"/>
      <c r="F404" s="85" t="n"/>
      <c r="G404" s="85" t="n"/>
      <c r="H404" s="85" t="n"/>
      <c r="I404" s="85" t="n"/>
      <c r="J404" s="85" t="n"/>
      <c r="BD404" s="11" t="n"/>
      <c r="BE404" s="11" t="n"/>
      <c r="BF404" s="11" t="n"/>
      <c r="BG404" s="11" t="n"/>
      <c r="BK404" s="11" t="n"/>
      <c r="BL404" s="11" t="n"/>
      <c r="BP404" s="12" t="n"/>
      <c r="BQ404" s="400" t="n"/>
    </row>
    <row r="405">
      <c r="D405" s="11" t="n"/>
      <c r="E405" s="86" t="n"/>
      <c r="F405" s="85" t="n"/>
      <c r="G405" s="85" t="n"/>
      <c r="H405" s="85" t="n"/>
      <c r="I405" s="85" t="n"/>
      <c r="J405" s="85" t="n"/>
      <c r="BD405" s="11" t="n"/>
      <c r="BE405" s="11" t="n"/>
      <c r="BF405" s="11" t="n"/>
      <c r="BG405" s="11" t="n"/>
      <c r="BK405" s="11" t="n"/>
      <c r="BL405" s="11" t="n"/>
      <c r="BP405" s="12" t="n"/>
      <c r="BQ405" s="400" t="n"/>
    </row>
    <row r="406">
      <c r="D406" s="11" t="n"/>
      <c r="E406" s="86" t="n"/>
      <c r="F406" s="85" t="n"/>
      <c r="G406" s="85" t="n"/>
      <c r="H406" s="85" t="n"/>
      <c r="I406" s="85" t="n"/>
      <c r="J406" s="85" t="n"/>
      <c r="BD406" s="11" t="n"/>
      <c r="BE406" s="11" t="n"/>
      <c r="BF406" s="11" t="n"/>
      <c r="BG406" s="11" t="n"/>
      <c r="BK406" s="11" t="n"/>
      <c r="BL406" s="11" t="n"/>
      <c r="BP406" s="12" t="n"/>
      <c r="BQ406" s="400" t="n"/>
    </row>
    <row r="407">
      <c r="D407" s="11" t="n"/>
      <c r="E407" s="86" t="n"/>
      <c r="F407" s="85" t="n"/>
      <c r="G407" s="85" t="n"/>
      <c r="H407" s="85" t="n"/>
      <c r="I407" s="85" t="n"/>
      <c r="J407" s="85" t="n"/>
      <c r="BD407" s="11" t="n"/>
      <c r="BE407" s="11" t="n"/>
      <c r="BF407" s="11" t="n"/>
      <c r="BG407" s="11" t="n"/>
      <c r="BK407" s="11" t="n"/>
      <c r="BL407" s="11" t="n"/>
      <c r="BP407" s="12" t="n"/>
      <c r="BQ407" s="400" t="n"/>
    </row>
    <row r="408">
      <c r="D408" s="11" t="n"/>
      <c r="E408" s="86" t="n"/>
      <c r="F408" s="85" t="n"/>
      <c r="G408" s="85" t="n"/>
      <c r="H408" s="85" t="n"/>
      <c r="I408" s="85" t="n"/>
      <c r="J408" s="85" t="n"/>
      <c r="BD408" s="11" t="n"/>
      <c r="BE408" s="11" t="n"/>
      <c r="BF408" s="11" t="n"/>
      <c r="BG408" s="11" t="n"/>
      <c r="BK408" s="11" t="n"/>
      <c r="BL408" s="11" t="n"/>
      <c r="BP408" s="12" t="n"/>
      <c r="BQ408" s="400" t="n"/>
    </row>
    <row r="409">
      <c r="D409" s="11" t="n"/>
      <c r="E409" s="86" t="n"/>
      <c r="F409" s="85" t="n"/>
      <c r="G409" s="85" t="n"/>
      <c r="H409" s="85" t="n"/>
      <c r="I409" s="85" t="n"/>
      <c r="J409" s="85" t="n"/>
      <c r="BD409" s="11" t="n"/>
      <c r="BE409" s="11" t="n"/>
      <c r="BF409" s="11" t="n"/>
      <c r="BG409" s="11" t="n"/>
      <c r="BK409" s="11" t="n"/>
      <c r="BL409" s="11" t="n"/>
      <c r="BP409" s="12" t="n"/>
      <c r="BQ409" s="400" t="n"/>
    </row>
    <row r="410">
      <c r="D410" s="11" t="n"/>
      <c r="E410" s="86" t="n"/>
      <c r="F410" s="85" t="n"/>
      <c r="G410" s="85" t="n"/>
      <c r="H410" s="85" t="n"/>
      <c r="I410" s="85" t="n"/>
      <c r="J410" s="85" t="n"/>
      <c r="BD410" s="11" t="n"/>
      <c r="BE410" s="11" t="n"/>
      <c r="BF410" s="11" t="n"/>
      <c r="BG410" s="11" t="n"/>
      <c r="BK410" s="11" t="n"/>
      <c r="BL410" s="11" t="n"/>
      <c r="BP410" s="12" t="n"/>
      <c r="BQ410" s="400" t="n"/>
    </row>
    <row r="411">
      <c r="D411" s="11" t="n"/>
      <c r="E411" s="86" t="n"/>
      <c r="F411" s="85" t="n"/>
      <c r="G411" s="85" t="n"/>
      <c r="H411" s="85" t="n"/>
      <c r="I411" s="85" t="n"/>
      <c r="J411" s="85" t="n"/>
      <c r="BD411" s="11" t="n"/>
      <c r="BE411" s="11" t="n"/>
      <c r="BF411" s="11" t="n"/>
      <c r="BG411" s="11" t="n"/>
      <c r="BK411" s="11" t="n"/>
      <c r="BL411" s="11" t="n"/>
      <c r="BP411" s="12" t="n"/>
      <c r="BQ411" s="400" t="n"/>
    </row>
    <row r="412">
      <c r="D412" s="11" t="n"/>
      <c r="E412" s="86" t="n"/>
      <c r="F412" s="85" t="n"/>
      <c r="G412" s="85" t="n"/>
      <c r="H412" s="85" t="n"/>
      <c r="I412" s="85" t="n"/>
      <c r="J412" s="85" t="n"/>
      <c r="BD412" s="11" t="n"/>
      <c r="BE412" s="11" t="n"/>
      <c r="BF412" s="11" t="n"/>
      <c r="BG412" s="11" t="n"/>
      <c r="BK412" s="11" t="n"/>
      <c r="BL412" s="11" t="n"/>
      <c r="BP412" s="12" t="n"/>
      <c r="BQ412" s="400" t="n"/>
    </row>
    <row r="413">
      <c r="D413" s="11" t="n"/>
      <c r="E413" s="86" t="n"/>
      <c r="F413" s="85" t="n"/>
      <c r="G413" s="85" t="n"/>
      <c r="H413" s="85" t="n"/>
      <c r="I413" s="85" t="n"/>
      <c r="J413" s="85" t="n"/>
      <c r="BD413" s="11" t="n"/>
      <c r="BE413" s="11" t="n"/>
      <c r="BF413" s="11" t="n"/>
      <c r="BG413" s="11" t="n"/>
      <c r="BK413" s="11" t="n"/>
      <c r="BL413" s="11" t="n"/>
      <c r="BP413" s="12" t="n"/>
      <c r="BQ413" s="400" t="n"/>
    </row>
    <row r="414">
      <c r="D414" s="11" t="n"/>
      <c r="E414" s="86" t="n"/>
      <c r="F414" s="85" t="n"/>
      <c r="G414" s="85" t="n"/>
      <c r="H414" s="85" t="n"/>
      <c r="I414" s="85" t="n"/>
      <c r="J414" s="85" t="n"/>
      <c r="BD414" s="11" t="n"/>
      <c r="BE414" s="11" t="n"/>
      <c r="BF414" s="11" t="n"/>
      <c r="BG414" s="11" t="n"/>
      <c r="BK414" s="11" t="n"/>
      <c r="BL414" s="11" t="n"/>
      <c r="BP414" s="12" t="n"/>
      <c r="BQ414" s="400" t="n"/>
    </row>
    <row r="415">
      <c r="D415" s="11" t="n"/>
      <c r="E415" s="86" t="n"/>
      <c r="F415" s="85" t="n"/>
      <c r="G415" s="85" t="n"/>
      <c r="H415" s="85" t="n"/>
      <c r="I415" s="85" t="n"/>
      <c r="J415" s="85" t="n"/>
      <c r="BD415" s="11" t="n"/>
      <c r="BE415" s="11" t="n"/>
      <c r="BF415" s="11" t="n"/>
      <c r="BG415" s="11" t="n"/>
      <c r="BK415" s="11" t="n"/>
      <c r="BL415" s="11" t="n"/>
      <c r="BP415" s="12" t="n"/>
      <c r="BQ415" s="400" t="n"/>
    </row>
    <row r="416">
      <c r="D416" s="11" t="n"/>
      <c r="E416" s="86" t="n"/>
      <c r="F416" s="85" t="n"/>
      <c r="G416" s="85" t="n"/>
      <c r="H416" s="85" t="n"/>
      <c r="I416" s="85" t="n"/>
      <c r="J416" s="85" t="n"/>
      <c r="BD416" s="11" t="n"/>
      <c r="BE416" s="11" t="n"/>
      <c r="BF416" s="11" t="n"/>
      <c r="BG416" s="11" t="n"/>
      <c r="BK416" s="11" t="n"/>
      <c r="BL416" s="11" t="n"/>
      <c r="BP416" s="12" t="n"/>
      <c r="BQ416" s="400" t="n"/>
    </row>
    <row r="417">
      <c r="D417" s="11" t="n"/>
      <c r="E417" s="86" t="n"/>
      <c r="F417" s="85" t="n"/>
      <c r="G417" s="85" t="n"/>
      <c r="H417" s="85" t="n"/>
      <c r="I417" s="85" t="n"/>
      <c r="J417" s="85" t="n"/>
      <c r="BD417" s="11" t="n"/>
      <c r="BE417" s="11" t="n"/>
      <c r="BF417" s="11" t="n"/>
      <c r="BG417" s="11" t="n"/>
      <c r="BK417" s="11" t="n"/>
      <c r="BL417" s="11" t="n"/>
      <c r="BP417" s="12" t="n"/>
      <c r="BQ417" s="400" t="n"/>
    </row>
    <row r="418">
      <c r="D418" s="11" t="n"/>
      <c r="E418" s="86" t="n"/>
      <c r="F418" s="85" t="n"/>
      <c r="G418" s="85" t="n"/>
      <c r="H418" s="85" t="n"/>
      <c r="I418" s="85" t="n"/>
      <c r="J418" s="85" t="n"/>
      <c r="BD418" s="11" t="n"/>
      <c r="BE418" s="11" t="n"/>
      <c r="BF418" s="11" t="n"/>
      <c r="BG418" s="11" t="n"/>
      <c r="BK418" s="11" t="n"/>
      <c r="BL418" s="11" t="n"/>
      <c r="BP418" s="12" t="n"/>
      <c r="BQ418" s="400" t="n"/>
    </row>
    <row r="419">
      <c r="D419" s="11" t="n"/>
      <c r="E419" s="86" t="n"/>
      <c r="F419" s="85" t="n"/>
      <c r="G419" s="85" t="n"/>
      <c r="H419" s="85" t="n"/>
      <c r="I419" s="85" t="n"/>
      <c r="J419" s="85" t="n"/>
      <c r="BD419" s="11" t="n"/>
      <c r="BE419" s="11" t="n"/>
      <c r="BF419" s="11" t="n"/>
      <c r="BG419" s="11" t="n"/>
      <c r="BK419" s="11" t="n"/>
      <c r="BL419" s="11" t="n"/>
      <c r="BP419" s="12" t="n"/>
      <c r="BQ419" s="400" t="n"/>
    </row>
    <row r="420">
      <c r="D420" s="11" t="n"/>
      <c r="E420" s="86" t="n"/>
      <c r="F420" s="85" t="n"/>
      <c r="G420" s="85" t="n"/>
      <c r="H420" s="85" t="n"/>
      <c r="I420" s="85" t="n"/>
      <c r="J420" s="85" t="n"/>
      <c r="BD420" s="11" t="n"/>
      <c r="BE420" s="11" t="n"/>
      <c r="BF420" s="11" t="n"/>
      <c r="BG420" s="11" t="n"/>
      <c r="BK420" s="11" t="n"/>
      <c r="BL420" s="11" t="n"/>
      <c r="BP420" s="12" t="n"/>
      <c r="BQ420" s="400" t="n"/>
    </row>
    <row r="421">
      <c r="D421" s="11" t="n"/>
      <c r="E421" s="86" t="n"/>
      <c r="F421" s="85" t="n"/>
      <c r="G421" s="85" t="n"/>
      <c r="H421" s="85" t="n"/>
      <c r="I421" s="85" t="n"/>
      <c r="J421" s="85" t="n"/>
      <c r="BD421" s="11" t="n"/>
      <c r="BE421" s="11" t="n"/>
      <c r="BF421" s="11" t="n"/>
      <c r="BG421" s="11" t="n"/>
      <c r="BK421" s="11" t="n"/>
      <c r="BL421" s="11" t="n"/>
      <c r="BP421" s="12" t="n"/>
      <c r="BQ421" s="400" t="n"/>
    </row>
    <row r="422">
      <c r="D422" s="11" t="n"/>
      <c r="E422" s="86" t="n"/>
      <c r="F422" s="85" t="n"/>
      <c r="G422" s="85" t="n"/>
      <c r="H422" s="85" t="n"/>
      <c r="I422" s="85" t="n"/>
      <c r="J422" s="85" t="n"/>
      <c r="BD422" s="11" t="n"/>
      <c r="BE422" s="11" t="n"/>
      <c r="BF422" s="11" t="n"/>
      <c r="BG422" s="11" t="n"/>
      <c r="BK422" s="11" t="n"/>
      <c r="BL422" s="11" t="n"/>
      <c r="BP422" s="12" t="n"/>
      <c r="BQ422" s="400" t="n"/>
    </row>
    <row r="423">
      <c r="D423" s="11" t="n"/>
      <c r="E423" s="86" t="n"/>
      <c r="F423" s="85" t="n"/>
      <c r="G423" s="85" t="n"/>
      <c r="H423" s="85" t="n"/>
      <c r="I423" s="85" t="n"/>
      <c r="J423" s="85" t="n"/>
      <c r="BD423" s="11" t="n"/>
      <c r="BE423" s="11" t="n"/>
      <c r="BF423" s="11" t="n"/>
      <c r="BG423" s="11" t="n"/>
      <c r="BK423" s="11" t="n"/>
      <c r="BL423" s="11" t="n"/>
      <c r="BP423" s="12" t="n"/>
      <c r="BQ423" s="400" t="n"/>
    </row>
    <row r="424">
      <c r="D424" s="11" t="n"/>
      <c r="E424" s="86" t="n"/>
      <c r="F424" s="85" t="n"/>
      <c r="G424" s="85" t="n"/>
      <c r="H424" s="85" t="n"/>
      <c r="I424" s="85" t="n"/>
      <c r="J424" s="85" t="n"/>
      <c r="BD424" s="11" t="n"/>
      <c r="BE424" s="11" t="n"/>
      <c r="BF424" s="11" t="n"/>
      <c r="BG424" s="11" t="n"/>
      <c r="BK424" s="11" t="n"/>
      <c r="BL424" s="11" t="n"/>
      <c r="BP424" s="12" t="n"/>
      <c r="BQ424" s="400" t="n"/>
    </row>
    <row r="425">
      <c r="D425" s="11" t="n"/>
      <c r="E425" s="86" t="n"/>
      <c r="F425" s="85" t="n"/>
      <c r="G425" s="85" t="n"/>
      <c r="H425" s="85" t="n"/>
      <c r="I425" s="85" t="n"/>
      <c r="J425" s="85" t="n"/>
      <c r="BD425" s="11" t="n"/>
      <c r="BE425" s="11" t="n"/>
      <c r="BF425" s="11" t="n"/>
      <c r="BG425" s="11" t="n"/>
      <c r="BK425" s="11" t="n"/>
      <c r="BL425" s="11" t="n"/>
      <c r="BP425" s="12" t="n"/>
      <c r="BQ425" s="400" t="n"/>
    </row>
    <row r="426">
      <c r="D426" s="11" t="n"/>
      <c r="E426" s="86" t="n"/>
      <c r="F426" s="85" t="n"/>
      <c r="G426" s="85" t="n"/>
      <c r="H426" s="85" t="n"/>
      <c r="I426" s="85" t="n"/>
      <c r="J426" s="85" t="n"/>
      <c r="BD426" s="11" t="n"/>
      <c r="BE426" s="11" t="n"/>
      <c r="BF426" s="11" t="n"/>
      <c r="BG426" s="11" t="n"/>
      <c r="BK426" s="11" t="n"/>
      <c r="BL426" s="11" t="n"/>
      <c r="BP426" s="12" t="n"/>
      <c r="BQ426" s="400" t="n"/>
    </row>
    <row r="427">
      <c r="D427" s="11" t="n"/>
      <c r="E427" s="86" t="n"/>
      <c r="F427" s="85" t="n"/>
      <c r="G427" s="85" t="n"/>
      <c r="H427" s="85" t="n"/>
      <c r="I427" s="85" t="n"/>
      <c r="J427" s="85" t="n"/>
      <c r="BD427" s="11" t="n"/>
      <c r="BE427" s="11" t="n"/>
      <c r="BF427" s="11" t="n"/>
      <c r="BG427" s="11" t="n"/>
      <c r="BK427" s="11" t="n"/>
      <c r="BL427" s="11" t="n"/>
      <c r="BP427" s="12" t="n"/>
      <c r="BQ427" s="400" t="n"/>
    </row>
    <row r="428">
      <c r="D428" s="11" t="n"/>
      <c r="E428" s="86" t="n"/>
      <c r="F428" s="85" t="n"/>
      <c r="G428" s="85" t="n"/>
      <c r="H428" s="85" t="n"/>
      <c r="I428" s="85" t="n"/>
      <c r="J428" s="85" t="n"/>
      <c r="BD428" s="11" t="n"/>
      <c r="BE428" s="11" t="n"/>
      <c r="BF428" s="11" t="n"/>
      <c r="BG428" s="11" t="n"/>
      <c r="BK428" s="11" t="n"/>
      <c r="BL428" s="11" t="n"/>
      <c r="BP428" s="12" t="n"/>
      <c r="BQ428" s="400" t="n"/>
    </row>
    <row r="429">
      <c r="D429" s="11" t="n"/>
      <c r="E429" s="86" t="n"/>
      <c r="F429" s="85" t="n"/>
      <c r="G429" s="85" t="n"/>
      <c r="H429" s="85" t="n"/>
      <c r="I429" s="85" t="n"/>
      <c r="J429" s="85" t="n"/>
      <c r="BD429" s="11" t="n"/>
      <c r="BE429" s="11" t="n"/>
      <c r="BF429" s="11" t="n"/>
      <c r="BG429" s="11" t="n"/>
      <c r="BK429" s="11" t="n"/>
      <c r="BL429" s="11" t="n"/>
      <c r="BP429" s="12" t="n"/>
      <c r="BQ429" s="400" t="n"/>
    </row>
    <row r="430">
      <c r="D430" s="11" t="n"/>
      <c r="E430" s="86" t="n"/>
      <c r="F430" s="85" t="n"/>
      <c r="G430" s="85" t="n"/>
      <c r="H430" s="85" t="n"/>
      <c r="I430" s="85" t="n"/>
      <c r="J430" s="85" t="n"/>
      <c r="BD430" s="11" t="n"/>
      <c r="BE430" s="11" t="n"/>
      <c r="BF430" s="11" t="n"/>
      <c r="BG430" s="11" t="n"/>
      <c r="BK430" s="11" t="n"/>
      <c r="BL430" s="11" t="n"/>
      <c r="BP430" s="12" t="n"/>
      <c r="BQ430" s="400" t="n"/>
    </row>
    <row r="431">
      <c r="D431" s="11" t="n"/>
      <c r="E431" s="86" t="n"/>
      <c r="F431" s="85" t="n"/>
      <c r="G431" s="85" t="n"/>
      <c r="H431" s="85" t="n"/>
      <c r="I431" s="85" t="n"/>
      <c r="J431" s="85" t="n"/>
      <c r="BD431" s="11" t="n"/>
      <c r="BE431" s="11" t="n"/>
      <c r="BF431" s="11" t="n"/>
      <c r="BG431" s="11" t="n"/>
      <c r="BK431" s="11" t="n"/>
      <c r="BL431" s="11" t="n"/>
      <c r="BP431" s="12" t="n"/>
      <c r="BQ431" s="400" t="n"/>
    </row>
    <row r="432">
      <c r="D432" s="11" t="n"/>
      <c r="E432" s="86" t="n"/>
      <c r="F432" s="85" t="n"/>
      <c r="G432" s="85" t="n"/>
      <c r="H432" s="85" t="n"/>
      <c r="I432" s="85" t="n"/>
      <c r="J432" s="85" t="n"/>
      <c r="BD432" s="11" t="n"/>
      <c r="BE432" s="11" t="n"/>
      <c r="BF432" s="11" t="n"/>
      <c r="BG432" s="11" t="n"/>
      <c r="BK432" s="11" t="n"/>
      <c r="BL432" s="11" t="n"/>
      <c r="BP432" s="12" t="n"/>
      <c r="BQ432" s="400" t="n"/>
    </row>
    <row r="433">
      <c r="D433" s="11" t="n"/>
      <c r="E433" s="86" t="n"/>
      <c r="F433" s="85" t="n"/>
      <c r="G433" s="85" t="n"/>
      <c r="H433" s="85" t="n"/>
      <c r="I433" s="85" t="n"/>
      <c r="J433" s="85" t="n"/>
      <c r="BD433" s="11" t="n"/>
      <c r="BE433" s="11" t="n"/>
      <c r="BF433" s="11" t="n"/>
      <c r="BG433" s="11" t="n"/>
      <c r="BK433" s="11" t="n"/>
      <c r="BL433" s="11" t="n"/>
      <c r="BP433" s="12" t="n"/>
      <c r="BQ433" s="400" t="n"/>
    </row>
    <row r="434">
      <c r="D434" s="11" t="n"/>
      <c r="E434" s="86" t="n"/>
      <c r="F434" s="85" t="n"/>
      <c r="G434" s="85" t="n"/>
      <c r="H434" s="85" t="n"/>
      <c r="I434" s="85" t="n"/>
      <c r="J434" s="85" t="n"/>
      <c r="BD434" s="11" t="n"/>
      <c r="BE434" s="11" t="n"/>
      <c r="BF434" s="11" t="n"/>
      <c r="BG434" s="11" t="n"/>
      <c r="BK434" s="11" t="n"/>
      <c r="BL434" s="11" t="n"/>
      <c r="BP434" s="12" t="n"/>
      <c r="BQ434" s="400" t="n"/>
    </row>
    <row r="435">
      <c r="D435" s="11" t="n"/>
      <c r="E435" s="86" t="n"/>
      <c r="F435" s="85" t="n"/>
      <c r="G435" s="85" t="n"/>
      <c r="H435" s="85" t="n"/>
      <c r="I435" s="85" t="n"/>
      <c r="J435" s="85" t="n"/>
      <c r="BD435" s="11" t="n"/>
      <c r="BE435" s="11" t="n"/>
      <c r="BF435" s="11" t="n"/>
      <c r="BG435" s="11" t="n"/>
      <c r="BK435" s="11" t="n"/>
      <c r="BL435" s="11" t="n"/>
      <c r="BP435" s="12" t="n"/>
      <c r="BQ435" s="400" t="n"/>
    </row>
    <row r="436">
      <c r="D436" s="11" t="n"/>
      <c r="E436" s="86" t="n"/>
      <c r="F436" s="85" t="n"/>
      <c r="G436" s="85" t="n"/>
      <c r="H436" s="85" t="n"/>
      <c r="I436" s="85" t="n"/>
      <c r="J436" s="85" t="n"/>
      <c r="BD436" s="11" t="n"/>
      <c r="BE436" s="11" t="n"/>
      <c r="BF436" s="11" t="n"/>
      <c r="BG436" s="11" t="n"/>
      <c r="BK436" s="11" t="n"/>
      <c r="BL436" s="11" t="n"/>
      <c r="BP436" s="12" t="n"/>
      <c r="BQ436" s="400" t="n"/>
    </row>
    <row r="437">
      <c r="D437" s="11" t="n"/>
      <c r="E437" s="86" t="n"/>
      <c r="F437" s="85" t="n"/>
      <c r="G437" s="85" t="n"/>
      <c r="H437" s="85" t="n"/>
      <c r="I437" s="85" t="n"/>
      <c r="J437" s="85" t="n"/>
      <c r="BD437" s="11" t="n"/>
      <c r="BE437" s="11" t="n"/>
      <c r="BF437" s="11" t="n"/>
      <c r="BG437" s="11" t="n"/>
      <c r="BK437" s="11" t="n"/>
      <c r="BL437" s="11" t="n"/>
      <c r="BP437" s="12" t="n"/>
      <c r="BQ437" s="400" t="n"/>
    </row>
    <row r="438">
      <c r="D438" s="11" t="n"/>
      <c r="E438" s="86" t="n"/>
      <c r="F438" s="85" t="n"/>
      <c r="G438" s="85" t="n"/>
      <c r="H438" s="85" t="n"/>
      <c r="I438" s="85" t="n"/>
      <c r="J438" s="85" t="n"/>
      <c r="BD438" s="11" t="n"/>
      <c r="BE438" s="11" t="n"/>
      <c r="BF438" s="11" t="n"/>
      <c r="BG438" s="11" t="n"/>
      <c r="BK438" s="11" t="n"/>
      <c r="BL438" s="11" t="n"/>
      <c r="BP438" s="12" t="n"/>
      <c r="BQ438" s="400" t="n"/>
    </row>
    <row r="439">
      <c r="D439" s="11" t="n"/>
      <c r="E439" s="86" t="n"/>
      <c r="F439" s="85" t="n"/>
      <c r="G439" s="85" t="n"/>
      <c r="H439" s="85" t="n"/>
      <c r="I439" s="85" t="n"/>
      <c r="J439" s="85" t="n"/>
      <c r="BD439" s="11" t="n"/>
      <c r="BE439" s="11" t="n"/>
      <c r="BF439" s="11" t="n"/>
      <c r="BG439" s="11" t="n"/>
      <c r="BK439" s="11" t="n"/>
      <c r="BL439" s="11" t="n"/>
      <c r="BP439" s="12" t="n"/>
      <c r="BQ439" s="400" t="n"/>
    </row>
    <row r="440">
      <c r="D440" s="11" t="n"/>
      <c r="E440" s="86" t="n"/>
      <c r="F440" s="85" t="n"/>
      <c r="G440" s="85" t="n"/>
      <c r="H440" s="85" t="n"/>
      <c r="I440" s="85" t="n"/>
      <c r="J440" s="85" t="n"/>
      <c r="BD440" s="11" t="n"/>
      <c r="BE440" s="11" t="n"/>
      <c r="BF440" s="11" t="n"/>
      <c r="BG440" s="11" t="n"/>
      <c r="BK440" s="11" t="n"/>
      <c r="BL440" s="11" t="n"/>
      <c r="BP440" s="12" t="n"/>
      <c r="BQ440" s="400" t="n"/>
    </row>
    <row r="441">
      <c r="D441" s="11" t="n"/>
      <c r="E441" s="86" t="n"/>
      <c r="F441" s="85" t="n"/>
      <c r="G441" s="85" t="n"/>
      <c r="H441" s="85" t="n"/>
      <c r="I441" s="85" t="n"/>
      <c r="J441" s="85" t="n"/>
      <c r="BD441" s="11" t="n"/>
      <c r="BE441" s="11" t="n"/>
      <c r="BF441" s="11" t="n"/>
      <c r="BG441" s="11" t="n"/>
      <c r="BK441" s="11" t="n"/>
      <c r="BL441" s="11" t="n"/>
      <c r="BP441" s="12" t="n"/>
      <c r="BQ441" s="400" t="n"/>
    </row>
    <row r="442">
      <c r="D442" s="11" t="n"/>
      <c r="E442" s="86" t="n"/>
      <c r="F442" s="85" t="n"/>
      <c r="G442" s="85" t="n"/>
      <c r="H442" s="85" t="n"/>
      <c r="I442" s="85" t="n"/>
      <c r="J442" s="85" t="n"/>
      <c r="BD442" s="11" t="n"/>
      <c r="BE442" s="11" t="n"/>
      <c r="BF442" s="11" t="n"/>
      <c r="BG442" s="11" t="n"/>
      <c r="BK442" s="11" t="n"/>
      <c r="BL442" s="11" t="n"/>
      <c r="BP442" s="12" t="n"/>
      <c r="BQ442" s="400" t="n"/>
    </row>
    <row r="443">
      <c r="D443" s="11" t="n"/>
      <c r="E443" s="86" t="n"/>
      <c r="F443" s="85" t="n"/>
      <c r="G443" s="85" t="n"/>
      <c r="H443" s="85" t="n"/>
      <c r="I443" s="85" t="n"/>
      <c r="J443" s="85" t="n"/>
      <c r="BD443" s="11" t="n"/>
      <c r="BE443" s="11" t="n"/>
      <c r="BF443" s="11" t="n"/>
      <c r="BG443" s="11" t="n"/>
      <c r="BK443" s="11" t="n"/>
      <c r="BL443" s="11" t="n"/>
      <c r="BP443" s="12" t="n"/>
      <c r="BQ443" s="400" t="n"/>
    </row>
    <row r="444">
      <c r="D444" s="11" t="n"/>
      <c r="E444" s="86" t="n"/>
      <c r="F444" s="85" t="n"/>
      <c r="G444" s="85" t="n"/>
      <c r="H444" s="85" t="n"/>
      <c r="I444" s="85" t="n"/>
      <c r="J444" s="85" t="n"/>
      <c r="BD444" s="11" t="n"/>
      <c r="BE444" s="11" t="n"/>
      <c r="BF444" s="11" t="n"/>
      <c r="BG444" s="11" t="n"/>
      <c r="BK444" s="11" t="n"/>
      <c r="BL444" s="11" t="n"/>
      <c r="BP444" s="12" t="n"/>
      <c r="BQ444" s="400" t="n"/>
    </row>
    <row r="445">
      <c r="D445" s="11" t="n"/>
      <c r="E445" s="86" t="n"/>
      <c r="F445" s="85" t="n"/>
      <c r="G445" s="85" t="n"/>
      <c r="H445" s="85" t="n"/>
      <c r="I445" s="85" t="n"/>
      <c r="J445" s="85" t="n"/>
      <c r="BD445" s="11" t="n"/>
      <c r="BE445" s="11" t="n"/>
      <c r="BF445" s="11" t="n"/>
      <c r="BG445" s="11" t="n"/>
      <c r="BK445" s="11" t="n"/>
      <c r="BL445" s="11" t="n"/>
      <c r="BP445" s="12" t="n"/>
      <c r="BQ445" s="400" t="n"/>
    </row>
    <row r="446">
      <c r="D446" s="11" t="n"/>
      <c r="E446" s="86" t="n"/>
      <c r="F446" s="85" t="n"/>
      <c r="G446" s="85" t="n"/>
      <c r="H446" s="85" t="n"/>
      <c r="I446" s="85" t="n"/>
      <c r="J446" s="85" t="n"/>
      <c r="BD446" s="11" t="n"/>
      <c r="BE446" s="11" t="n"/>
      <c r="BF446" s="11" t="n"/>
      <c r="BG446" s="11" t="n"/>
      <c r="BK446" s="11" t="n"/>
      <c r="BL446" s="11" t="n"/>
      <c r="BP446" s="12" t="n"/>
      <c r="BQ446" s="400" t="n"/>
    </row>
    <row r="447">
      <c r="D447" s="11" t="n"/>
      <c r="E447" s="86" t="n"/>
      <c r="F447" s="85" t="n"/>
      <c r="G447" s="85" t="n"/>
      <c r="H447" s="85" t="n"/>
      <c r="I447" s="85" t="n"/>
      <c r="J447" s="85" t="n"/>
      <c r="BD447" s="11" t="n"/>
      <c r="BE447" s="11" t="n"/>
      <c r="BF447" s="11" t="n"/>
      <c r="BG447" s="11" t="n"/>
      <c r="BK447" s="11" t="n"/>
      <c r="BL447" s="11" t="n"/>
      <c r="BP447" s="12" t="n"/>
      <c r="BQ447" s="400" t="n"/>
    </row>
    <row r="448">
      <c r="D448" s="11" t="n"/>
      <c r="E448" s="86" t="n"/>
      <c r="F448" s="85" t="n"/>
      <c r="G448" s="85" t="n"/>
      <c r="H448" s="85" t="n"/>
      <c r="I448" s="85" t="n"/>
      <c r="J448" s="85" t="n"/>
      <c r="BD448" s="11" t="n"/>
      <c r="BE448" s="11" t="n"/>
      <c r="BF448" s="11" t="n"/>
      <c r="BG448" s="11" t="n"/>
      <c r="BK448" s="11" t="n"/>
      <c r="BL448" s="11" t="n"/>
      <c r="BP448" s="12" t="n"/>
      <c r="BQ448" s="400" t="n"/>
    </row>
    <row r="449">
      <c r="D449" s="11" t="n"/>
      <c r="E449" s="86" t="n"/>
      <c r="F449" s="85" t="n"/>
      <c r="G449" s="85" t="n"/>
      <c r="H449" s="85" t="n"/>
      <c r="I449" s="85" t="n"/>
      <c r="J449" s="85" t="n"/>
      <c r="BD449" s="11" t="n"/>
      <c r="BE449" s="11" t="n"/>
      <c r="BF449" s="11" t="n"/>
      <c r="BG449" s="11" t="n"/>
      <c r="BK449" s="11" t="n"/>
      <c r="BL449" s="11" t="n"/>
      <c r="BP449" s="12" t="n"/>
      <c r="BQ449" s="400" t="n"/>
    </row>
    <row r="450">
      <c r="D450" s="11" t="n"/>
      <c r="E450" s="86" t="n"/>
      <c r="F450" s="85" t="n"/>
      <c r="G450" s="85" t="n"/>
      <c r="H450" s="85" t="n"/>
      <c r="I450" s="85" t="n"/>
      <c r="J450" s="85" t="n"/>
      <c r="BD450" s="11" t="n"/>
      <c r="BE450" s="11" t="n"/>
      <c r="BF450" s="11" t="n"/>
      <c r="BG450" s="11" t="n"/>
      <c r="BK450" s="11" t="n"/>
      <c r="BL450" s="11" t="n"/>
      <c r="BP450" s="12" t="n"/>
      <c r="BQ450" s="400" t="n"/>
    </row>
    <row r="451">
      <c r="D451" s="11" t="n"/>
      <c r="E451" s="86" t="n"/>
      <c r="F451" s="85" t="n"/>
      <c r="G451" s="85" t="n"/>
      <c r="H451" s="85" t="n"/>
      <c r="I451" s="85" t="n"/>
      <c r="J451" s="85" t="n"/>
      <c r="BD451" s="11" t="n"/>
      <c r="BE451" s="11" t="n"/>
      <c r="BF451" s="11" t="n"/>
      <c r="BG451" s="11" t="n"/>
      <c r="BK451" s="11" t="n"/>
      <c r="BL451" s="11" t="n"/>
      <c r="BP451" s="12" t="n"/>
      <c r="BQ451" s="400" t="n"/>
    </row>
    <row r="452">
      <c r="D452" s="11" t="n"/>
      <c r="E452" s="86" t="n"/>
      <c r="F452" s="85" t="n"/>
      <c r="G452" s="85" t="n"/>
      <c r="H452" s="85" t="n"/>
      <c r="I452" s="85" t="n"/>
      <c r="J452" s="85" t="n"/>
      <c r="BD452" s="11" t="n"/>
      <c r="BE452" s="11" t="n"/>
      <c r="BF452" s="11" t="n"/>
      <c r="BG452" s="11" t="n"/>
      <c r="BK452" s="11" t="n"/>
      <c r="BL452" s="11" t="n"/>
      <c r="BP452" s="12" t="n"/>
      <c r="BQ452" s="400" t="n"/>
    </row>
    <row r="453">
      <c r="D453" s="11" t="n"/>
      <c r="E453" s="86" t="n"/>
      <c r="F453" s="85" t="n"/>
      <c r="G453" s="85" t="n"/>
      <c r="H453" s="85" t="n"/>
      <c r="I453" s="85" t="n"/>
      <c r="J453" s="85" t="n"/>
      <c r="BD453" s="11" t="n"/>
      <c r="BE453" s="11" t="n"/>
      <c r="BF453" s="11" t="n"/>
      <c r="BG453" s="11" t="n"/>
      <c r="BK453" s="11" t="n"/>
      <c r="BL453" s="11" t="n"/>
      <c r="BP453" s="12" t="n"/>
      <c r="BQ453" s="400" t="n"/>
    </row>
    <row r="454">
      <c r="D454" s="11" t="n"/>
      <c r="E454" s="86" t="n"/>
      <c r="F454" s="85" t="n"/>
      <c r="G454" s="85" t="n"/>
      <c r="H454" s="85" t="n"/>
      <c r="I454" s="85" t="n"/>
      <c r="J454" s="85" t="n"/>
      <c r="BD454" s="11" t="n"/>
      <c r="BE454" s="11" t="n"/>
      <c r="BF454" s="11" t="n"/>
      <c r="BG454" s="11" t="n"/>
      <c r="BK454" s="11" t="n"/>
      <c r="BL454" s="11" t="n"/>
      <c r="BP454" s="12" t="n"/>
      <c r="BQ454" s="400" t="n"/>
    </row>
    <row r="455">
      <c r="D455" s="11" t="n"/>
      <c r="E455" s="86" t="n"/>
      <c r="F455" s="85" t="n"/>
      <c r="G455" s="85" t="n"/>
      <c r="H455" s="85" t="n"/>
      <c r="I455" s="85" t="n"/>
      <c r="J455" s="85" t="n"/>
      <c r="BD455" s="11" t="n"/>
      <c r="BE455" s="11" t="n"/>
      <c r="BF455" s="11" t="n"/>
      <c r="BG455" s="11" t="n"/>
      <c r="BK455" s="11" t="n"/>
      <c r="BL455" s="11" t="n"/>
      <c r="BP455" s="12" t="n"/>
      <c r="BQ455" s="400" t="n"/>
    </row>
    <row r="456">
      <c r="D456" s="11" t="n"/>
      <c r="E456" s="86" t="n"/>
      <c r="F456" s="85" t="n"/>
      <c r="G456" s="85" t="n"/>
      <c r="H456" s="85" t="n"/>
      <c r="I456" s="85" t="n"/>
      <c r="J456" s="85" t="n"/>
      <c r="BD456" s="11" t="n"/>
      <c r="BE456" s="11" t="n"/>
      <c r="BF456" s="11" t="n"/>
      <c r="BG456" s="11" t="n"/>
      <c r="BK456" s="11" t="n"/>
      <c r="BL456" s="11" t="n"/>
      <c r="BP456" s="12" t="n"/>
      <c r="BQ456" s="400" t="n"/>
    </row>
    <row r="457">
      <c r="D457" s="11" t="n"/>
      <c r="E457" s="86" t="n"/>
      <c r="F457" s="85" t="n"/>
      <c r="G457" s="85" t="n"/>
      <c r="H457" s="85" t="n"/>
      <c r="I457" s="85" t="n"/>
      <c r="J457" s="85" t="n"/>
      <c r="BD457" s="11" t="n"/>
      <c r="BE457" s="11" t="n"/>
      <c r="BF457" s="11" t="n"/>
      <c r="BG457" s="11" t="n"/>
      <c r="BK457" s="11" t="n"/>
      <c r="BL457" s="11" t="n"/>
      <c r="BP457" s="12" t="n"/>
      <c r="BQ457" s="400" t="n"/>
    </row>
    <row r="458">
      <c r="D458" s="11" t="n"/>
      <c r="E458" s="86" t="n"/>
      <c r="F458" s="85" t="n"/>
      <c r="G458" s="85" t="n"/>
      <c r="H458" s="85" t="n"/>
      <c r="I458" s="85" t="n"/>
      <c r="J458" s="85" t="n"/>
      <c r="BD458" s="11" t="n"/>
      <c r="BE458" s="11" t="n"/>
      <c r="BF458" s="11" t="n"/>
      <c r="BG458" s="11" t="n"/>
      <c r="BK458" s="11" t="n"/>
      <c r="BL458" s="11" t="n"/>
      <c r="BP458" s="12" t="n"/>
      <c r="BQ458" s="400" t="n"/>
    </row>
    <row r="459">
      <c r="D459" s="11" t="n"/>
      <c r="E459" s="86" t="n"/>
      <c r="F459" s="85" t="n"/>
      <c r="G459" s="85" t="n"/>
      <c r="H459" s="85" t="n"/>
      <c r="I459" s="85" t="n"/>
      <c r="J459" s="85" t="n"/>
      <c r="BD459" s="11" t="n"/>
      <c r="BE459" s="11" t="n"/>
      <c r="BF459" s="11" t="n"/>
      <c r="BG459" s="11" t="n"/>
      <c r="BK459" s="11" t="n"/>
      <c r="BL459" s="11" t="n"/>
      <c r="BP459" s="12" t="n"/>
      <c r="BQ459" s="400" t="n"/>
    </row>
    <row r="460">
      <c r="D460" s="11" t="n"/>
      <c r="E460" s="86" t="n"/>
      <c r="F460" s="85" t="n"/>
      <c r="G460" s="85" t="n"/>
      <c r="H460" s="85" t="n"/>
      <c r="I460" s="85" t="n"/>
      <c r="J460" s="85" t="n"/>
      <c r="BD460" s="11" t="n"/>
      <c r="BE460" s="11" t="n"/>
      <c r="BF460" s="11" t="n"/>
      <c r="BG460" s="11" t="n"/>
      <c r="BK460" s="11" t="n"/>
      <c r="BL460" s="11" t="n"/>
      <c r="BP460" s="12" t="n"/>
      <c r="BQ460" s="400" t="n"/>
    </row>
    <row r="461">
      <c r="D461" s="11" t="n"/>
      <c r="E461" s="86" t="n"/>
      <c r="F461" s="85" t="n"/>
      <c r="G461" s="85" t="n"/>
      <c r="H461" s="85" t="n"/>
      <c r="I461" s="85" t="n"/>
      <c r="J461" s="85" t="n"/>
      <c r="BD461" s="11" t="n"/>
      <c r="BE461" s="11" t="n"/>
      <c r="BF461" s="11" t="n"/>
      <c r="BG461" s="11" t="n"/>
      <c r="BK461" s="11" t="n"/>
      <c r="BL461" s="11" t="n"/>
      <c r="BP461" s="12" t="n"/>
      <c r="BQ461" s="400" t="n"/>
    </row>
    <row r="462">
      <c r="D462" s="11" t="n"/>
      <c r="E462" s="86" t="n"/>
      <c r="F462" s="85" t="n"/>
      <c r="G462" s="85" t="n"/>
      <c r="H462" s="85" t="n"/>
      <c r="I462" s="85" t="n"/>
      <c r="J462" s="85" t="n"/>
      <c r="BD462" s="11" t="n"/>
      <c r="BE462" s="11" t="n"/>
      <c r="BF462" s="11" t="n"/>
      <c r="BG462" s="11" t="n"/>
      <c r="BK462" s="11" t="n"/>
      <c r="BL462" s="11" t="n"/>
      <c r="BP462" s="12" t="n"/>
      <c r="BQ462" s="400" t="n"/>
    </row>
    <row r="463">
      <c r="D463" s="11" t="n"/>
      <c r="E463" s="86" t="n"/>
      <c r="F463" s="85" t="n"/>
      <c r="G463" s="85" t="n"/>
      <c r="H463" s="85" t="n"/>
      <c r="I463" s="85" t="n"/>
      <c r="J463" s="85" t="n"/>
      <c r="BD463" s="11" t="n"/>
      <c r="BE463" s="11" t="n"/>
      <c r="BF463" s="11" t="n"/>
      <c r="BG463" s="11" t="n"/>
      <c r="BK463" s="11" t="n"/>
      <c r="BL463" s="11" t="n"/>
      <c r="BP463" s="12" t="n"/>
      <c r="BQ463" s="400" t="n"/>
    </row>
    <row r="464">
      <c r="D464" s="11" t="n"/>
      <c r="E464" s="86" t="n"/>
      <c r="F464" s="85" t="n"/>
      <c r="G464" s="85" t="n"/>
      <c r="H464" s="85" t="n"/>
      <c r="I464" s="85" t="n"/>
      <c r="J464" s="85" t="n"/>
      <c r="BD464" s="11" t="n"/>
      <c r="BE464" s="11" t="n"/>
      <c r="BF464" s="11" t="n"/>
      <c r="BG464" s="11" t="n"/>
      <c r="BK464" s="11" t="n"/>
      <c r="BL464" s="11" t="n"/>
      <c r="BP464" s="12" t="n"/>
      <c r="BQ464" s="400" t="n"/>
    </row>
    <row r="465">
      <c r="D465" s="11" t="n"/>
      <c r="E465" s="86" t="n"/>
      <c r="F465" s="85" t="n"/>
      <c r="G465" s="85" t="n"/>
      <c r="H465" s="85" t="n"/>
      <c r="I465" s="85" t="n"/>
      <c r="J465" s="85" t="n"/>
      <c r="BD465" s="11" t="n"/>
      <c r="BE465" s="11" t="n"/>
      <c r="BF465" s="11" t="n"/>
      <c r="BG465" s="11" t="n"/>
      <c r="BK465" s="11" t="n"/>
      <c r="BL465" s="11" t="n"/>
      <c r="BP465" s="12" t="n"/>
      <c r="BQ465" s="400" t="n"/>
    </row>
    <row r="466">
      <c r="D466" s="11" t="n"/>
      <c r="E466" s="86" t="n"/>
      <c r="F466" s="85" t="n"/>
      <c r="G466" s="85" t="n"/>
      <c r="H466" s="85" t="n"/>
      <c r="I466" s="85" t="n"/>
      <c r="J466" s="85" t="n"/>
      <c r="BD466" s="11" t="n"/>
      <c r="BE466" s="11" t="n"/>
      <c r="BF466" s="11" t="n"/>
      <c r="BG466" s="11" t="n"/>
      <c r="BK466" s="11" t="n"/>
      <c r="BL466" s="11" t="n"/>
      <c r="BP466" s="12" t="n"/>
      <c r="BQ466" s="400" t="n"/>
    </row>
    <row r="467">
      <c r="D467" s="11" t="n"/>
      <c r="E467" s="86" t="n"/>
      <c r="F467" s="85" t="n"/>
      <c r="G467" s="85" t="n"/>
      <c r="H467" s="85" t="n"/>
      <c r="I467" s="85" t="n"/>
      <c r="J467" s="85" t="n"/>
      <c r="BD467" s="11" t="n"/>
      <c r="BE467" s="11" t="n"/>
      <c r="BF467" s="11" t="n"/>
      <c r="BG467" s="11" t="n"/>
      <c r="BK467" s="11" t="n"/>
      <c r="BL467" s="11" t="n"/>
      <c r="BP467" s="12" t="n"/>
      <c r="BQ467" s="400" t="n"/>
    </row>
    <row r="468">
      <c r="D468" s="11" t="n"/>
      <c r="E468" s="86" t="n"/>
      <c r="F468" s="85" t="n"/>
      <c r="G468" s="85" t="n"/>
      <c r="H468" s="85" t="n"/>
      <c r="I468" s="85" t="n"/>
      <c r="J468" s="85" t="n"/>
      <c r="BD468" s="11" t="n"/>
      <c r="BE468" s="11" t="n"/>
      <c r="BF468" s="11" t="n"/>
      <c r="BG468" s="11" t="n"/>
      <c r="BK468" s="11" t="n"/>
      <c r="BL468" s="11" t="n"/>
      <c r="BP468" s="12" t="n"/>
      <c r="BQ468" s="400" t="n"/>
    </row>
    <row r="469">
      <c r="D469" s="11" t="n"/>
      <c r="E469" s="86" t="n"/>
      <c r="F469" s="85" t="n"/>
      <c r="G469" s="85" t="n"/>
      <c r="H469" s="85" t="n"/>
      <c r="I469" s="85" t="n"/>
      <c r="J469" s="85" t="n"/>
      <c r="BD469" s="11" t="n"/>
      <c r="BE469" s="11" t="n"/>
      <c r="BF469" s="11" t="n"/>
      <c r="BG469" s="11" t="n"/>
      <c r="BK469" s="11" t="n"/>
      <c r="BL469" s="11" t="n"/>
      <c r="BP469" s="12" t="n"/>
      <c r="BQ469" s="400" t="n"/>
    </row>
    <row r="470">
      <c r="D470" s="11" t="n"/>
      <c r="E470" s="86" t="n"/>
      <c r="F470" s="85" t="n"/>
      <c r="G470" s="85" t="n"/>
      <c r="H470" s="85" t="n"/>
      <c r="I470" s="85" t="n"/>
      <c r="J470" s="85" t="n"/>
      <c r="BD470" s="11" t="n"/>
      <c r="BE470" s="11" t="n"/>
      <c r="BF470" s="11" t="n"/>
      <c r="BG470" s="11" t="n"/>
      <c r="BK470" s="11" t="n"/>
      <c r="BL470" s="11" t="n"/>
      <c r="BP470" s="12" t="n"/>
      <c r="BQ470" s="400" t="n"/>
    </row>
    <row r="471">
      <c r="D471" s="11" t="n"/>
      <c r="E471" s="86" t="n"/>
      <c r="F471" s="85" t="n"/>
      <c r="G471" s="85" t="n"/>
      <c r="H471" s="85" t="n"/>
      <c r="I471" s="85" t="n"/>
      <c r="J471" s="85" t="n"/>
      <c r="BD471" s="11" t="n"/>
      <c r="BE471" s="11" t="n"/>
      <c r="BF471" s="11" t="n"/>
      <c r="BG471" s="11" t="n"/>
      <c r="BK471" s="11" t="n"/>
      <c r="BL471" s="11" t="n"/>
      <c r="BP471" s="12" t="n"/>
      <c r="BQ471" s="400" t="n"/>
    </row>
    <row r="472">
      <c r="D472" s="11" t="n"/>
      <c r="E472" s="86" t="n"/>
      <c r="F472" s="85" t="n"/>
      <c r="G472" s="85" t="n"/>
      <c r="H472" s="85" t="n"/>
      <c r="I472" s="85" t="n"/>
      <c r="J472" s="85" t="n"/>
      <c r="BD472" s="11" t="n"/>
      <c r="BE472" s="11" t="n"/>
      <c r="BF472" s="11" t="n"/>
      <c r="BG472" s="11" t="n"/>
      <c r="BK472" s="11" t="n"/>
      <c r="BL472" s="11" t="n"/>
      <c r="BP472" s="12" t="n"/>
      <c r="BQ472" s="400" t="n"/>
    </row>
    <row r="473">
      <c r="D473" s="11" t="n"/>
      <c r="E473" s="86" t="n"/>
      <c r="F473" s="85" t="n"/>
      <c r="G473" s="85" t="n"/>
      <c r="H473" s="85" t="n"/>
      <c r="I473" s="85" t="n"/>
      <c r="J473" s="85" t="n"/>
      <c r="BD473" s="11" t="n"/>
      <c r="BE473" s="11" t="n"/>
      <c r="BF473" s="11" t="n"/>
      <c r="BG473" s="11" t="n"/>
      <c r="BK473" s="11" t="n"/>
      <c r="BL473" s="11" t="n"/>
      <c r="BP473" s="12" t="n"/>
      <c r="BQ473" s="400" t="n"/>
    </row>
    <row r="474">
      <c r="D474" s="11" t="n"/>
      <c r="E474" s="86" t="n"/>
      <c r="F474" s="85" t="n"/>
      <c r="G474" s="85" t="n"/>
      <c r="H474" s="85" t="n"/>
      <c r="I474" s="85" t="n"/>
      <c r="J474" s="85" t="n"/>
      <c r="BD474" s="11" t="n"/>
      <c r="BE474" s="11" t="n"/>
      <c r="BF474" s="11" t="n"/>
      <c r="BG474" s="11" t="n"/>
      <c r="BK474" s="11" t="n"/>
      <c r="BL474" s="11" t="n"/>
      <c r="BP474" s="12" t="n"/>
      <c r="BQ474" s="400" t="n"/>
    </row>
    <row r="475">
      <c r="D475" s="11" t="n"/>
      <c r="E475" s="86" t="n"/>
      <c r="F475" s="85" t="n"/>
      <c r="G475" s="85" t="n"/>
      <c r="H475" s="85" t="n"/>
      <c r="I475" s="85" t="n"/>
      <c r="J475" s="85" t="n"/>
      <c r="BD475" s="11" t="n"/>
      <c r="BE475" s="11" t="n"/>
      <c r="BF475" s="11" t="n"/>
      <c r="BG475" s="11" t="n"/>
      <c r="BK475" s="11" t="n"/>
      <c r="BL475" s="11" t="n"/>
      <c r="BP475" s="12" t="n"/>
      <c r="BQ475" s="400" t="n"/>
    </row>
    <row r="476">
      <c r="D476" s="11" t="n"/>
      <c r="E476" s="86" t="n"/>
      <c r="F476" s="85" t="n"/>
      <c r="G476" s="85" t="n"/>
      <c r="H476" s="85" t="n"/>
      <c r="I476" s="85" t="n"/>
      <c r="J476" s="85" t="n"/>
      <c r="BD476" s="11" t="n"/>
      <c r="BE476" s="11" t="n"/>
      <c r="BF476" s="11" t="n"/>
      <c r="BG476" s="11" t="n"/>
      <c r="BK476" s="11" t="n"/>
      <c r="BL476" s="11" t="n"/>
      <c r="BP476" s="12" t="n"/>
      <c r="BQ476" s="400" t="n"/>
    </row>
    <row r="477">
      <c r="D477" s="11" t="n"/>
      <c r="E477" s="86" t="n"/>
      <c r="F477" s="85" t="n"/>
      <c r="G477" s="85" t="n"/>
      <c r="H477" s="85" t="n"/>
      <c r="I477" s="85" t="n"/>
      <c r="J477" s="85" t="n"/>
      <c r="BD477" s="11" t="n"/>
      <c r="BE477" s="11" t="n"/>
      <c r="BF477" s="11" t="n"/>
      <c r="BG477" s="11" t="n"/>
      <c r="BK477" s="11" t="n"/>
      <c r="BL477" s="11" t="n"/>
      <c r="BP477" s="12" t="n"/>
      <c r="BQ477" s="400" t="n"/>
    </row>
    <row r="478">
      <c r="D478" s="11" t="n"/>
      <c r="E478" s="86" t="n"/>
      <c r="F478" s="85" t="n"/>
      <c r="G478" s="85" t="n"/>
      <c r="H478" s="85" t="n"/>
      <c r="I478" s="85" t="n"/>
      <c r="J478" s="85" t="n"/>
      <c r="BD478" s="11" t="n"/>
      <c r="BE478" s="11" t="n"/>
      <c r="BF478" s="11" t="n"/>
      <c r="BG478" s="11" t="n"/>
      <c r="BK478" s="11" t="n"/>
      <c r="BL478" s="11" t="n"/>
      <c r="BP478" s="12" t="n"/>
      <c r="BQ478" s="400" t="n"/>
    </row>
    <row r="479">
      <c r="D479" s="11" t="n"/>
      <c r="E479" s="86" t="n"/>
      <c r="F479" s="85" t="n"/>
      <c r="G479" s="85" t="n"/>
      <c r="H479" s="85" t="n"/>
      <c r="I479" s="85" t="n"/>
      <c r="J479" s="85" t="n"/>
      <c r="BD479" s="11" t="n"/>
      <c r="BE479" s="11" t="n"/>
      <c r="BF479" s="11" t="n"/>
      <c r="BG479" s="11" t="n"/>
      <c r="BK479" s="11" t="n"/>
      <c r="BL479" s="11" t="n"/>
      <c r="BP479" s="12" t="n"/>
      <c r="BQ479" s="400" t="n"/>
    </row>
    <row r="480">
      <c r="D480" s="11" t="n"/>
      <c r="E480" s="86" t="n"/>
      <c r="F480" s="85" t="n"/>
      <c r="G480" s="85" t="n"/>
      <c r="H480" s="85" t="n"/>
      <c r="I480" s="85" t="n"/>
      <c r="J480" s="85" t="n"/>
      <c r="BD480" s="11" t="n"/>
      <c r="BE480" s="11" t="n"/>
      <c r="BF480" s="11" t="n"/>
      <c r="BG480" s="11" t="n"/>
      <c r="BK480" s="11" t="n"/>
      <c r="BL480" s="11" t="n"/>
      <c r="BP480" s="12" t="n"/>
      <c r="BQ480" s="400" t="n"/>
    </row>
    <row r="481">
      <c r="D481" s="11" t="n"/>
      <c r="E481" s="86" t="n"/>
      <c r="F481" s="85" t="n"/>
      <c r="G481" s="85" t="n"/>
      <c r="H481" s="85" t="n"/>
      <c r="I481" s="85" t="n"/>
      <c r="J481" s="85" t="n"/>
      <c r="BD481" s="11" t="n"/>
      <c r="BE481" s="11" t="n"/>
      <c r="BF481" s="11" t="n"/>
      <c r="BG481" s="11" t="n"/>
      <c r="BK481" s="11" t="n"/>
      <c r="BL481" s="11" t="n"/>
      <c r="BP481" s="12" t="n"/>
      <c r="BQ481" s="400" t="n"/>
    </row>
    <row r="482">
      <c r="D482" s="11" t="n"/>
      <c r="E482" s="86" t="n"/>
      <c r="F482" s="85" t="n"/>
      <c r="G482" s="85" t="n"/>
      <c r="H482" s="85" t="n"/>
      <c r="I482" s="85" t="n"/>
      <c r="J482" s="85" t="n"/>
      <c r="BD482" s="11" t="n"/>
      <c r="BE482" s="11" t="n"/>
      <c r="BF482" s="11" t="n"/>
      <c r="BG482" s="11" t="n"/>
      <c r="BK482" s="11" t="n"/>
      <c r="BL482" s="11" t="n"/>
      <c r="BP482" s="12" t="n"/>
      <c r="BQ482" s="400" t="n"/>
    </row>
    <row r="483">
      <c r="D483" s="11" t="n"/>
      <c r="E483" s="86" t="n"/>
      <c r="F483" s="85" t="n"/>
      <c r="G483" s="85" t="n"/>
      <c r="H483" s="85" t="n"/>
      <c r="I483" s="85" t="n"/>
      <c r="J483" s="85" t="n"/>
      <c r="BD483" s="11" t="n"/>
      <c r="BE483" s="11" t="n"/>
      <c r="BF483" s="11" t="n"/>
      <c r="BG483" s="11" t="n"/>
      <c r="BK483" s="11" t="n"/>
      <c r="BL483" s="11" t="n"/>
      <c r="BP483" s="12" t="n"/>
      <c r="BQ483" s="400" t="n"/>
    </row>
    <row r="484">
      <c r="D484" s="11" t="n"/>
      <c r="E484" s="86" t="n"/>
      <c r="F484" s="85" t="n"/>
      <c r="G484" s="85" t="n"/>
      <c r="H484" s="85" t="n"/>
      <c r="I484" s="85" t="n"/>
      <c r="J484" s="85" t="n"/>
      <c r="BD484" s="11" t="n"/>
      <c r="BE484" s="11" t="n"/>
      <c r="BF484" s="11" t="n"/>
      <c r="BG484" s="11" t="n"/>
      <c r="BK484" s="11" t="n"/>
      <c r="BL484" s="11" t="n"/>
      <c r="BP484" s="12" t="n"/>
      <c r="BQ484" s="400" t="n"/>
    </row>
    <row r="485">
      <c r="D485" s="11" t="n"/>
      <c r="E485" s="86" t="n"/>
      <c r="F485" s="85" t="n"/>
      <c r="G485" s="85" t="n"/>
      <c r="H485" s="85" t="n"/>
      <c r="I485" s="85" t="n"/>
      <c r="J485" s="85" t="n"/>
      <c r="BD485" s="11" t="n"/>
      <c r="BE485" s="11" t="n"/>
      <c r="BF485" s="11" t="n"/>
      <c r="BG485" s="11" t="n"/>
      <c r="BK485" s="11" t="n"/>
      <c r="BL485" s="11" t="n"/>
      <c r="BP485" s="12" t="n"/>
      <c r="BQ485" s="400" t="n"/>
    </row>
    <row r="486">
      <c r="D486" s="11" t="n"/>
      <c r="E486" s="86" t="n"/>
      <c r="F486" s="85" t="n"/>
      <c r="G486" s="85" t="n"/>
      <c r="H486" s="85" t="n"/>
      <c r="I486" s="85" t="n"/>
      <c r="J486" s="85" t="n"/>
      <c r="BD486" s="11" t="n"/>
      <c r="BE486" s="11" t="n"/>
      <c r="BF486" s="11" t="n"/>
      <c r="BG486" s="11" t="n"/>
      <c r="BK486" s="11" t="n"/>
      <c r="BL486" s="11" t="n"/>
      <c r="BP486" s="12" t="n"/>
      <c r="BQ486" s="400" t="n"/>
    </row>
    <row r="487">
      <c r="D487" s="11" t="n"/>
      <c r="E487" s="86" t="n"/>
      <c r="F487" s="85" t="n"/>
      <c r="G487" s="85" t="n"/>
      <c r="H487" s="85" t="n"/>
      <c r="I487" s="85" t="n"/>
      <c r="J487" s="85" t="n"/>
      <c r="BD487" s="11" t="n"/>
      <c r="BE487" s="11" t="n"/>
      <c r="BF487" s="11" t="n"/>
      <c r="BG487" s="11" t="n"/>
      <c r="BK487" s="11" t="n"/>
      <c r="BL487" s="11" t="n"/>
      <c r="BP487" s="12" t="n"/>
      <c r="BQ487" s="400" t="n"/>
    </row>
    <row r="488">
      <c r="D488" s="11" t="n"/>
      <c r="E488" s="86" t="n"/>
      <c r="F488" s="85" t="n"/>
      <c r="G488" s="85" t="n"/>
      <c r="H488" s="85" t="n"/>
      <c r="I488" s="85" t="n"/>
      <c r="J488" s="85" t="n"/>
      <c r="BD488" s="11" t="n"/>
      <c r="BE488" s="11" t="n"/>
      <c r="BF488" s="11" t="n"/>
      <c r="BG488" s="11" t="n"/>
      <c r="BK488" s="11" t="n"/>
      <c r="BL488" s="11" t="n"/>
      <c r="BP488" s="12" t="n"/>
      <c r="BQ488" s="400" t="n"/>
    </row>
    <row r="489">
      <c r="D489" s="11" t="n"/>
      <c r="E489" s="86" t="n"/>
      <c r="F489" s="85" t="n"/>
      <c r="G489" s="85" t="n"/>
      <c r="H489" s="85" t="n"/>
      <c r="I489" s="85" t="n"/>
      <c r="J489" s="85" t="n"/>
      <c r="BD489" s="11" t="n"/>
      <c r="BE489" s="11" t="n"/>
      <c r="BF489" s="11" t="n"/>
      <c r="BG489" s="11" t="n"/>
      <c r="BK489" s="11" t="n"/>
      <c r="BL489" s="11" t="n"/>
      <c r="BP489" s="12" t="n"/>
      <c r="BQ489" s="400" t="n"/>
    </row>
    <row r="490">
      <c r="D490" s="11" t="n"/>
      <c r="E490" s="86" t="n"/>
      <c r="F490" s="85" t="n"/>
      <c r="G490" s="85" t="n"/>
      <c r="H490" s="85" t="n"/>
      <c r="I490" s="85" t="n"/>
      <c r="J490" s="85" t="n"/>
      <c r="BD490" s="11" t="n"/>
      <c r="BE490" s="11" t="n"/>
      <c r="BF490" s="11" t="n"/>
      <c r="BG490" s="11" t="n"/>
      <c r="BK490" s="11" t="n"/>
      <c r="BL490" s="11" t="n"/>
      <c r="BP490" s="12" t="n"/>
      <c r="BQ490" s="400" t="n"/>
    </row>
    <row r="491">
      <c r="D491" s="11" t="n"/>
      <c r="E491" s="86" t="n"/>
      <c r="F491" s="85" t="n"/>
      <c r="G491" s="85" t="n"/>
      <c r="H491" s="85" t="n"/>
      <c r="I491" s="85" t="n"/>
      <c r="J491" s="85" t="n"/>
      <c r="BD491" s="11" t="n"/>
      <c r="BE491" s="11" t="n"/>
      <c r="BF491" s="11" t="n"/>
      <c r="BG491" s="11" t="n"/>
      <c r="BK491" s="11" t="n"/>
      <c r="BL491" s="11" t="n"/>
      <c r="BP491" s="12" t="n"/>
      <c r="BQ491" s="400" t="n"/>
    </row>
    <row r="492">
      <c r="D492" s="11" t="n"/>
      <c r="E492" s="86" t="n"/>
      <c r="F492" s="85" t="n"/>
      <c r="G492" s="85" t="n"/>
      <c r="H492" s="85" t="n"/>
      <c r="I492" s="85" t="n"/>
      <c r="J492" s="85" t="n"/>
      <c r="BD492" s="11" t="n"/>
      <c r="BE492" s="11" t="n"/>
      <c r="BF492" s="11" t="n"/>
      <c r="BG492" s="11" t="n"/>
      <c r="BK492" s="11" t="n"/>
      <c r="BL492" s="11" t="n"/>
      <c r="BP492" s="12" t="n"/>
      <c r="BQ492" s="400" t="n"/>
    </row>
    <row r="493">
      <c r="D493" s="11" t="n"/>
      <c r="E493" s="86" t="n"/>
      <c r="F493" s="85" t="n"/>
      <c r="G493" s="85" t="n"/>
      <c r="H493" s="85" t="n"/>
      <c r="I493" s="85" t="n"/>
      <c r="J493" s="85" t="n"/>
      <c r="BD493" s="11" t="n"/>
      <c r="BE493" s="11" t="n"/>
      <c r="BF493" s="11" t="n"/>
      <c r="BG493" s="11" t="n"/>
      <c r="BK493" s="11" t="n"/>
      <c r="BL493" s="11" t="n"/>
      <c r="BP493" s="12" t="n"/>
      <c r="BQ493" s="400" t="n"/>
    </row>
    <row r="494">
      <c r="D494" s="11" t="n"/>
      <c r="E494" s="86" t="n"/>
      <c r="F494" s="85" t="n"/>
      <c r="G494" s="85" t="n"/>
      <c r="H494" s="85" t="n"/>
      <c r="I494" s="85" t="n"/>
      <c r="J494" s="85" t="n"/>
      <c r="BD494" s="11" t="n"/>
      <c r="BE494" s="11" t="n"/>
      <c r="BF494" s="11" t="n"/>
      <c r="BG494" s="11" t="n"/>
      <c r="BK494" s="11" t="n"/>
      <c r="BL494" s="11" t="n"/>
      <c r="BP494" s="12" t="n"/>
      <c r="BQ494" s="400" t="n"/>
    </row>
    <row r="495">
      <c r="D495" s="11" t="n"/>
      <c r="E495" s="86" t="n"/>
      <c r="F495" s="85" t="n"/>
      <c r="G495" s="85" t="n"/>
      <c r="H495" s="85" t="n"/>
      <c r="I495" s="85" t="n"/>
      <c r="J495" s="85" t="n"/>
      <c r="BD495" s="11" t="n"/>
      <c r="BE495" s="11" t="n"/>
      <c r="BF495" s="11" t="n"/>
      <c r="BG495" s="11" t="n"/>
      <c r="BK495" s="11" t="n"/>
      <c r="BL495" s="11" t="n"/>
      <c r="BP495" s="12" t="n"/>
      <c r="BQ495" s="400" t="n"/>
    </row>
    <row r="496">
      <c r="D496" s="11" t="n"/>
      <c r="E496" s="86" t="n"/>
      <c r="F496" s="85" t="n"/>
      <c r="G496" s="85" t="n"/>
      <c r="H496" s="85" t="n"/>
      <c r="I496" s="85" t="n"/>
      <c r="J496" s="85" t="n"/>
      <c r="BD496" s="11" t="n"/>
      <c r="BE496" s="11" t="n"/>
      <c r="BF496" s="11" t="n"/>
      <c r="BG496" s="11" t="n"/>
      <c r="BK496" s="11" t="n"/>
      <c r="BL496" s="11" t="n"/>
      <c r="BP496" s="12" t="n"/>
      <c r="BQ496" s="400" t="n"/>
    </row>
    <row r="497">
      <c r="D497" s="11" t="n"/>
      <c r="E497" s="86" t="n"/>
      <c r="F497" s="85" t="n"/>
      <c r="G497" s="85" t="n"/>
      <c r="H497" s="85" t="n"/>
      <c r="I497" s="85" t="n"/>
      <c r="J497" s="85" t="n"/>
      <c r="BD497" s="11" t="n"/>
      <c r="BE497" s="11" t="n"/>
      <c r="BF497" s="11" t="n"/>
      <c r="BG497" s="11" t="n"/>
      <c r="BK497" s="11" t="n"/>
      <c r="BL497" s="11" t="n"/>
      <c r="BP497" s="12" t="n"/>
      <c r="BQ497" s="400" t="n"/>
    </row>
    <row r="498">
      <c r="D498" s="11" t="n"/>
      <c r="E498" s="86" t="n"/>
      <c r="F498" s="85" t="n"/>
      <c r="G498" s="85" t="n"/>
      <c r="H498" s="85" t="n"/>
      <c r="I498" s="85" t="n"/>
      <c r="J498" s="85" t="n"/>
      <c r="BD498" s="11" t="n"/>
      <c r="BE498" s="11" t="n"/>
      <c r="BF498" s="11" t="n"/>
      <c r="BG498" s="11" t="n"/>
      <c r="BK498" s="11" t="n"/>
      <c r="BL498" s="11" t="n"/>
      <c r="BP498" s="12" t="n"/>
      <c r="BQ498" s="400" t="n"/>
    </row>
    <row r="499">
      <c r="D499" s="11" t="n"/>
      <c r="E499" s="86" t="n"/>
      <c r="F499" s="85" t="n"/>
      <c r="G499" s="85" t="n"/>
      <c r="H499" s="85" t="n"/>
      <c r="I499" s="85" t="n"/>
      <c r="J499" s="85" t="n"/>
      <c r="BD499" s="11" t="n"/>
      <c r="BE499" s="11" t="n"/>
      <c r="BF499" s="11" t="n"/>
      <c r="BG499" s="11" t="n"/>
      <c r="BK499" s="11" t="n"/>
      <c r="BL499" s="11" t="n"/>
      <c r="BP499" s="12" t="n"/>
      <c r="BQ499" s="400" t="n"/>
    </row>
    <row r="500">
      <c r="D500" s="11" t="n"/>
      <c r="E500" s="86" t="n"/>
      <c r="F500" s="85" t="n"/>
      <c r="G500" s="85" t="n"/>
      <c r="H500" s="85" t="n"/>
      <c r="I500" s="85" t="n"/>
      <c r="J500" s="85" t="n"/>
      <c r="BD500" s="11" t="n"/>
      <c r="BE500" s="11" t="n"/>
      <c r="BF500" s="11" t="n"/>
      <c r="BG500" s="11" t="n"/>
      <c r="BK500" s="11" t="n"/>
      <c r="BL500" s="11" t="n"/>
      <c r="BP500" s="12" t="n"/>
      <c r="BQ500" s="400" t="n"/>
    </row>
    <row r="501">
      <c r="D501" s="11" t="n"/>
      <c r="E501" s="86" t="n"/>
      <c r="F501" s="85" t="n"/>
      <c r="G501" s="85" t="n"/>
      <c r="H501" s="85" t="n"/>
      <c r="I501" s="85" t="n"/>
      <c r="J501" s="85" t="n"/>
      <c r="BD501" s="11" t="n"/>
      <c r="BE501" s="11" t="n"/>
      <c r="BF501" s="11" t="n"/>
      <c r="BG501" s="11" t="n"/>
      <c r="BK501" s="11" t="n"/>
      <c r="BL501" s="11" t="n"/>
      <c r="BP501" s="12" t="n"/>
      <c r="BQ501" s="400" t="n"/>
    </row>
    <row r="502">
      <c r="D502" s="11" t="n"/>
      <c r="E502" s="86" t="n"/>
      <c r="F502" s="85" t="n"/>
      <c r="G502" s="85" t="n"/>
      <c r="H502" s="85" t="n"/>
      <c r="I502" s="85" t="n"/>
      <c r="J502" s="85" t="n"/>
      <c r="BD502" s="11" t="n"/>
      <c r="BE502" s="11" t="n"/>
      <c r="BF502" s="11" t="n"/>
      <c r="BG502" s="11" t="n"/>
      <c r="BK502" s="11" t="n"/>
      <c r="BL502" s="11" t="n"/>
      <c r="BP502" s="12" t="n"/>
      <c r="BQ502" s="400" t="n"/>
    </row>
    <row r="503">
      <c r="D503" s="11" t="n"/>
      <c r="E503" s="86" t="n"/>
      <c r="F503" s="85" t="n"/>
      <c r="G503" s="85" t="n"/>
      <c r="H503" s="85" t="n"/>
      <c r="I503" s="85" t="n"/>
      <c r="J503" s="85" t="n"/>
      <c r="BD503" s="11" t="n"/>
      <c r="BE503" s="11" t="n"/>
      <c r="BF503" s="11" t="n"/>
      <c r="BG503" s="11" t="n"/>
      <c r="BK503" s="11" t="n"/>
      <c r="BL503" s="11" t="n"/>
      <c r="BP503" s="12" t="n"/>
      <c r="BQ503" s="400" t="n"/>
    </row>
    <row r="504">
      <c r="D504" s="11" t="n"/>
      <c r="E504" s="86" t="n"/>
      <c r="F504" s="85" t="n"/>
      <c r="G504" s="85" t="n"/>
      <c r="H504" s="85" t="n"/>
      <c r="I504" s="85" t="n"/>
      <c r="J504" s="85" t="n"/>
      <c r="BD504" s="11" t="n"/>
      <c r="BE504" s="11" t="n"/>
      <c r="BF504" s="11" t="n"/>
      <c r="BG504" s="11" t="n"/>
      <c r="BK504" s="11" t="n"/>
      <c r="BL504" s="11" t="n"/>
      <c r="BP504" s="12" t="n"/>
      <c r="BQ504" s="400" t="n"/>
    </row>
    <row r="505">
      <c r="D505" s="11" t="n"/>
      <c r="E505" s="86" t="n"/>
      <c r="F505" s="85" t="n"/>
      <c r="G505" s="85" t="n"/>
      <c r="H505" s="85" t="n"/>
      <c r="I505" s="85" t="n"/>
      <c r="J505" s="85" t="n"/>
      <c r="BD505" s="11" t="n"/>
      <c r="BE505" s="11" t="n"/>
      <c r="BF505" s="11" t="n"/>
      <c r="BG505" s="11" t="n"/>
      <c r="BK505" s="11" t="n"/>
      <c r="BL505" s="11" t="n"/>
      <c r="BP505" s="12" t="n"/>
      <c r="BQ505" s="400" t="n"/>
    </row>
    <row r="506">
      <c r="D506" s="11" t="n"/>
      <c r="E506" s="86" t="n"/>
      <c r="F506" s="85" t="n"/>
      <c r="G506" s="85" t="n"/>
      <c r="H506" s="85" t="n"/>
      <c r="I506" s="85" t="n"/>
      <c r="J506" s="85" t="n"/>
      <c r="BD506" s="11" t="n"/>
      <c r="BE506" s="11" t="n"/>
      <c r="BF506" s="11" t="n"/>
      <c r="BG506" s="11" t="n"/>
      <c r="BK506" s="11" t="n"/>
      <c r="BL506" s="11" t="n"/>
      <c r="BP506" s="12" t="n"/>
      <c r="BQ506" s="400" t="n"/>
    </row>
    <row r="507">
      <c r="D507" s="11" t="n"/>
      <c r="E507" s="86" t="n"/>
      <c r="F507" s="85" t="n"/>
      <c r="G507" s="85" t="n"/>
      <c r="H507" s="85" t="n"/>
      <c r="I507" s="85" t="n"/>
      <c r="J507" s="85" t="n"/>
      <c r="BD507" s="11" t="n"/>
      <c r="BE507" s="11" t="n"/>
      <c r="BF507" s="11" t="n"/>
      <c r="BG507" s="11" t="n"/>
      <c r="BK507" s="11" t="n"/>
      <c r="BL507" s="11" t="n"/>
      <c r="BP507" s="12" t="n"/>
      <c r="BQ507" s="400" t="n"/>
    </row>
    <row r="508">
      <c r="D508" s="11" t="n"/>
      <c r="E508" s="86" t="n"/>
      <c r="F508" s="85" t="n"/>
      <c r="G508" s="85" t="n"/>
      <c r="H508" s="85" t="n"/>
      <c r="I508" s="85" t="n"/>
      <c r="J508" s="85" t="n"/>
      <c r="BD508" s="11" t="n"/>
      <c r="BE508" s="11" t="n"/>
      <c r="BF508" s="11" t="n"/>
      <c r="BG508" s="11" t="n"/>
      <c r="BK508" s="11" t="n"/>
      <c r="BL508" s="11" t="n"/>
      <c r="BP508" s="12" t="n"/>
      <c r="BQ508" s="400" t="n"/>
    </row>
    <row r="509">
      <c r="D509" s="11" t="n"/>
      <c r="E509" s="86" t="n"/>
      <c r="F509" s="85" t="n"/>
      <c r="G509" s="85" t="n"/>
      <c r="H509" s="85" t="n"/>
      <c r="I509" s="85" t="n"/>
      <c r="J509" s="85" t="n"/>
      <c r="BD509" s="11" t="n"/>
      <c r="BE509" s="11" t="n"/>
      <c r="BF509" s="11" t="n"/>
      <c r="BG509" s="11" t="n"/>
      <c r="BK509" s="11" t="n"/>
      <c r="BL509" s="11" t="n"/>
      <c r="BP509" s="12" t="n"/>
      <c r="BQ509" s="400" t="n"/>
    </row>
    <row r="510">
      <c r="D510" s="11" t="n"/>
      <c r="E510" s="86" t="n"/>
      <c r="F510" s="85" t="n"/>
      <c r="G510" s="85" t="n"/>
      <c r="H510" s="85" t="n"/>
      <c r="I510" s="85" t="n"/>
      <c r="J510" s="85" t="n"/>
      <c r="BD510" s="11" t="n"/>
      <c r="BE510" s="11" t="n"/>
      <c r="BF510" s="11" t="n"/>
      <c r="BG510" s="11" t="n"/>
      <c r="BK510" s="11" t="n"/>
      <c r="BL510" s="11" t="n"/>
      <c r="BP510" s="12" t="n"/>
      <c r="BQ510" s="400" t="n"/>
    </row>
    <row r="511">
      <c r="D511" s="11" t="n"/>
      <c r="E511" s="86" t="n"/>
      <c r="F511" s="85" t="n"/>
      <c r="G511" s="85" t="n"/>
      <c r="H511" s="85" t="n"/>
      <c r="I511" s="85" t="n"/>
      <c r="J511" s="85" t="n"/>
      <c r="BD511" s="11" t="n"/>
      <c r="BE511" s="11" t="n"/>
      <c r="BF511" s="11" t="n"/>
      <c r="BG511" s="11" t="n"/>
      <c r="BK511" s="11" t="n"/>
      <c r="BL511" s="11" t="n"/>
      <c r="BP511" s="12" t="n"/>
      <c r="BQ511" s="400" t="n"/>
    </row>
    <row r="512">
      <c r="D512" s="11" t="n"/>
      <c r="E512" s="86" t="n"/>
      <c r="F512" s="85" t="n"/>
      <c r="G512" s="85" t="n"/>
      <c r="H512" s="85" t="n"/>
      <c r="I512" s="85" t="n"/>
      <c r="J512" s="85" t="n"/>
      <c r="BD512" s="11" t="n"/>
      <c r="BE512" s="11" t="n"/>
      <c r="BF512" s="11" t="n"/>
      <c r="BG512" s="11" t="n"/>
      <c r="BK512" s="11" t="n"/>
      <c r="BL512" s="11" t="n"/>
      <c r="BP512" s="12" t="n"/>
      <c r="BQ512" s="400" t="n"/>
    </row>
    <row r="513">
      <c r="D513" s="11" t="n"/>
      <c r="E513" s="86" t="n"/>
      <c r="F513" s="85" t="n"/>
      <c r="G513" s="85" t="n"/>
      <c r="H513" s="85" t="n"/>
      <c r="I513" s="85" t="n"/>
      <c r="J513" s="85" t="n"/>
      <c r="BD513" s="11" t="n"/>
      <c r="BE513" s="11" t="n"/>
      <c r="BF513" s="11" t="n"/>
      <c r="BG513" s="11" t="n"/>
      <c r="BK513" s="11" t="n"/>
      <c r="BL513" s="11" t="n"/>
      <c r="BP513" s="12" t="n"/>
      <c r="BQ513" s="400" t="n"/>
    </row>
    <row r="514">
      <c r="D514" s="11" t="n"/>
      <c r="E514" s="86" t="n"/>
      <c r="F514" s="85" t="n"/>
      <c r="G514" s="85" t="n"/>
      <c r="H514" s="85" t="n"/>
      <c r="I514" s="85" t="n"/>
      <c r="J514" s="85" t="n"/>
      <c r="BD514" s="11" t="n"/>
      <c r="BE514" s="11" t="n"/>
      <c r="BF514" s="11" t="n"/>
      <c r="BG514" s="11" t="n"/>
      <c r="BK514" s="11" t="n"/>
      <c r="BL514" s="11" t="n"/>
      <c r="BP514" s="12" t="n"/>
      <c r="BQ514" s="400" t="n"/>
    </row>
    <row r="515">
      <c r="D515" s="11" t="n"/>
      <c r="E515" s="86" t="n"/>
      <c r="F515" s="85" t="n"/>
      <c r="G515" s="85" t="n"/>
      <c r="H515" s="85" t="n"/>
      <c r="I515" s="85" t="n"/>
      <c r="J515" s="85" t="n"/>
      <c r="BD515" s="11" t="n"/>
      <c r="BE515" s="11" t="n"/>
      <c r="BF515" s="11" t="n"/>
      <c r="BG515" s="11" t="n"/>
      <c r="BK515" s="11" t="n"/>
      <c r="BL515" s="11" t="n"/>
      <c r="BP515" s="12" t="n"/>
      <c r="BQ515" s="400" t="n"/>
    </row>
    <row r="516">
      <c r="D516" s="11" t="n"/>
      <c r="E516" s="86" t="n"/>
      <c r="F516" s="85" t="n"/>
      <c r="G516" s="85" t="n"/>
      <c r="H516" s="85" t="n"/>
      <c r="I516" s="85" t="n"/>
      <c r="J516" s="85" t="n"/>
      <c r="BD516" s="11" t="n"/>
      <c r="BE516" s="11" t="n"/>
      <c r="BF516" s="11" t="n"/>
      <c r="BG516" s="11" t="n"/>
      <c r="BK516" s="11" t="n"/>
      <c r="BL516" s="11" t="n"/>
      <c r="BP516" s="12" t="n"/>
      <c r="BQ516" s="400" t="n"/>
    </row>
    <row r="517">
      <c r="D517" s="11" t="n"/>
      <c r="E517" s="86" t="n"/>
      <c r="F517" s="85" t="n"/>
      <c r="G517" s="85" t="n"/>
      <c r="H517" s="85" t="n"/>
      <c r="I517" s="85" t="n"/>
      <c r="J517" s="85" t="n"/>
      <c r="BD517" s="11" t="n"/>
      <c r="BE517" s="11" t="n"/>
      <c r="BF517" s="11" t="n"/>
      <c r="BG517" s="11" t="n"/>
      <c r="BK517" s="11" t="n"/>
      <c r="BL517" s="11" t="n"/>
      <c r="BP517" s="12" t="n"/>
      <c r="BQ517" s="400" t="n"/>
    </row>
    <row r="518">
      <c r="D518" s="11" t="n"/>
      <c r="E518" s="86" t="n"/>
      <c r="F518" s="85" t="n"/>
      <c r="G518" s="85" t="n"/>
      <c r="H518" s="85" t="n"/>
      <c r="I518" s="85" t="n"/>
      <c r="J518" s="85" t="n"/>
      <c r="BD518" s="11" t="n"/>
      <c r="BE518" s="11" t="n"/>
      <c r="BF518" s="11" t="n"/>
      <c r="BG518" s="11" t="n"/>
      <c r="BK518" s="11" t="n"/>
      <c r="BL518" s="11" t="n"/>
      <c r="BP518" s="12" t="n"/>
      <c r="BQ518" s="400" t="n"/>
    </row>
    <row r="519">
      <c r="D519" s="11" t="n"/>
      <c r="E519" s="86" t="n"/>
      <c r="F519" s="85" t="n"/>
      <c r="G519" s="85" t="n"/>
      <c r="H519" s="85" t="n"/>
      <c r="I519" s="85" t="n"/>
      <c r="J519" s="85" t="n"/>
      <c r="BD519" s="11" t="n"/>
      <c r="BE519" s="11" t="n"/>
      <c r="BF519" s="11" t="n"/>
      <c r="BG519" s="11" t="n"/>
      <c r="BK519" s="11" t="n"/>
      <c r="BL519" s="11" t="n"/>
      <c r="BP519" s="12" t="n"/>
      <c r="BQ519" s="400" t="n"/>
    </row>
    <row r="520">
      <c r="D520" s="11" t="n"/>
      <c r="E520" s="86" t="n"/>
      <c r="F520" s="85" t="n"/>
      <c r="G520" s="85" t="n"/>
      <c r="H520" s="85" t="n"/>
      <c r="I520" s="85" t="n"/>
      <c r="J520" s="85" t="n"/>
      <c r="BD520" s="11" t="n"/>
      <c r="BE520" s="11" t="n"/>
      <c r="BF520" s="11" t="n"/>
      <c r="BG520" s="11" t="n"/>
      <c r="BK520" s="11" t="n"/>
      <c r="BL520" s="11" t="n"/>
      <c r="BP520" s="12" t="n"/>
      <c r="BQ520" s="400" t="n"/>
    </row>
    <row r="521">
      <c r="D521" s="11" t="n"/>
      <c r="E521" s="86" t="n"/>
      <c r="F521" s="85" t="n"/>
      <c r="G521" s="85" t="n"/>
      <c r="H521" s="85" t="n"/>
      <c r="I521" s="85" t="n"/>
      <c r="J521" s="85" t="n"/>
      <c r="BD521" s="11" t="n"/>
      <c r="BE521" s="11" t="n"/>
      <c r="BF521" s="11" t="n"/>
      <c r="BG521" s="11" t="n"/>
      <c r="BK521" s="11" t="n"/>
      <c r="BL521" s="11" t="n"/>
      <c r="BP521" s="12" t="n"/>
      <c r="BQ521" s="400" t="n"/>
    </row>
    <row r="522">
      <c r="D522" s="11" t="n"/>
      <c r="E522" s="86" t="n"/>
      <c r="F522" s="85" t="n"/>
      <c r="G522" s="85" t="n"/>
      <c r="H522" s="85" t="n"/>
      <c r="I522" s="85" t="n"/>
      <c r="J522" s="85" t="n"/>
      <c r="BD522" s="11" t="n"/>
      <c r="BE522" s="11" t="n"/>
      <c r="BF522" s="11" t="n"/>
      <c r="BG522" s="11" t="n"/>
      <c r="BK522" s="11" t="n"/>
      <c r="BL522" s="11" t="n"/>
      <c r="BP522" s="12" t="n"/>
      <c r="BQ522" s="400" t="n"/>
    </row>
    <row r="523">
      <c r="D523" s="11" t="n"/>
      <c r="E523" s="86" t="n"/>
      <c r="F523" s="85" t="n"/>
      <c r="G523" s="85" t="n"/>
      <c r="H523" s="85" t="n"/>
      <c r="I523" s="85" t="n"/>
      <c r="J523" s="85" t="n"/>
      <c r="BD523" s="11" t="n"/>
      <c r="BE523" s="11" t="n"/>
      <c r="BF523" s="11" t="n"/>
      <c r="BG523" s="11" t="n"/>
      <c r="BK523" s="11" t="n"/>
      <c r="BL523" s="11" t="n"/>
      <c r="BP523" s="12" t="n"/>
      <c r="BQ523" s="400" t="n"/>
    </row>
    <row r="524">
      <c r="D524" s="11" t="n"/>
      <c r="E524" s="86" t="n"/>
      <c r="F524" s="85" t="n"/>
      <c r="G524" s="85" t="n"/>
      <c r="H524" s="85" t="n"/>
      <c r="I524" s="85" t="n"/>
      <c r="J524" s="85" t="n"/>
      <c r="BD524" s="11" t="n"/>
      <c r="BE524" s="11" t="n"/>
      <c r="BF524" s="11" t="n"/>
      <c r="BG524" s="11" t="n"/>
      <c r="BK524" s="11" t="n"/>
      <c r="BL524" s="11" t="n"/>
      <c r="BP524" s="12" t="n"/>
      <c r="BQ524" s="400" t="n"/>
    </row>
    <row r="525">
      <c r="D525" s="11" t="n"/>
      <c r="E525" s="86" t="n"/>
      <c r="F525" s="85" t="n"/>
      <c r="G525" s="85" t="n"/>
      <c r="H525" s="85" t="n"/>
      <c r="I525" s="85" t="n"/>
      <c r="J525" s="85" t="n"/>
      <c r="BD525" s="11" t="n"/>
      <c r="BE525" s="11" t="n"/>
      <c r="BF525" s="11" t="n"/>
      <c r="BG525" s="11" t="n"/>
      <c r="BK525" s="11" t="n"/>
      <c r="BL525" s="11" t="n"/>
      <c r="BP525" s="12" t="n"/>
      <c r="BQ525" s="400" t="n"/>
    </row>
    <row r="526">
      <c r="D526" s="11" t="n"/>
      <c r="E526" s="86" t="n"/>
      <c r="F526" s="85" t="n"/>
      <c r="G526" s="85" t="n"/>
      <c r="H526" s="85" t="n"/>
      <c r="I526" s="85" t="n"/>
      <c r="J526" s="85" t="n"/>
      <c r="BD526" s="11" t="n"/>
      <c r="BE526" s="11" t="n"/>
      <c r="BF526" s="11" t="n"/>
      <c r="BG526" s="11" t="n"/>
      <c r="BK526" s="11" t="n"/>
      <c r="BL526" s="11" t="n"/>
      <c r="BP526" s="12" t="n"/>
      <c r="BQ526" s="400" t="n"/>
    </row>
    <row r="527">
      <c r="D527" s="11" t="n"/>
      <c r="E527" s="86" t="n"/>
      <c r="F527" s="85" t="n"/>
      <c r="G527" s="85" t="n"/>
      <c r="H527" s="85" t="n"/>
      <c r="I527" s="85" t="n"/>
      <c r="J527" s="85" t="n"/>
      <c r="BD527" s="11" t="n"/>
      <c r="BE527" s="11" t="n"/>
      <c r="BF527" s="11" t="n"/>
      <c r="BG527" s="11" t="n"/>
      <c r="BK527" s="11" t="n"/>
      <c r="BL527" s="11" t="n"/>
      <c r="BP527" s="12" t="n"/>
      <c r="BQ527" s="400" t="n"/>
    </row>
    <row r="528">
      <c r="D528" s="11" t="n"/>
      <c r="E528" s="86" t="n"/>
      <c r="F528" s="85" t="n"/>
      <c r="G528" s="85" t="n"/>
      <c r="H528" s="85" t="n"/>
      <c r="I528" s="85" t="n"/>
      <c r="J528" s="85" t="n"/>
      <c r="BD528" s="11" t="n"/>
      <c r="BE528" s="11" t="n"/>
      <c r="BF528" s="11" t="n"/>
      <c r="BG528" s="11" t="n"/>
      <c r="BK528" s="11" t="n"/>
      <c r="BL528" s="11" t="n"/>
      <c r="BP528" s="12" t="n"/>
      <c r="BQ528" s="400" t="n"/>
    </row>
    <row r="529">
      <c r="D529" s="11" t="n"/>
      <c r="E529" s="86" t="n"/>
      <c r="F529" s="85" t="n"/>
      <c r="G529" s="85" t="n"/>
      <c r="H529" s="85" t="n"/>
      <c r="I529" s="85" t="n"/>
      <c r="J529" s="85" t="n"/>
      <c r="BD529" s="11" t="n"/>
      <c r="BE529" s="11" t="n"/>
      <c r="BF529" s="11" t="n"/>
      <c r="BG529" s="11" t="n"/>
      <c r="BK529" s="11" t="n"/>
      <c r="BL529" s="11" t="n"/>
      <c r="BP529" s="12" t="n"/>
      <c r="BQ529" s="400" t="n"/>
    </row>
    <row r="530">
      <c r="D530" s="11" t="n"/>
      <c r="E530" s="86" t="n"/>
      <c r="F530" s="85" t="n"/>
      <c r="G530" s="85" t="n"/>
      <c r="H530" s="85" t="n"/>
      <c r="I530" s="85" t="n"/>
      <c r="J530" s="85" t="n"/>
      <c r="BD530" s="11" t="n"/>
      <c r="BE530" s="11" t="n"/>
      <c r="BF530" s="11" t="n"/>
      <c r="BG530" s="11" t="n"/>
      <c r="BK530" s="11" t="n"/>
      <c r="BL530" s="11" t="n"/>
      <c r="BP530" s="12" t="n"/>
      <c r="BQ530" s="400" t="n"/>
    </row>
    <row r="531">
      <c r="D531" s="11" t="n"/>
      <c r="E531" s="86" t="n"/>
      <c r="F531" s="85" t="n"/>
      <c r="G531" s="85" t="n"/>
      <c r="H531" s="85" t="n"/>
      <c r="I531" s="85" t="n"/>
      <c r="J531" s="85" t="n"/>
      <c r="BD531" s="11" t="n"/>
      <c r="BE531" s="11" t="n"/>
      <c r="BF531" s="11" t="n"/>
      <c r="BG531" s="11" t="n"/>
      <c r="BK531" s="11" t="n"/>
      <c r="BL531" s="11" t="n"/>
      <c r="BP531" s="12" t="n"/>
      <c r="BQ531" s="400" t="n"/>
    </row>
    <row r="532">
      <c r="D532" s="11" t="n"/>
      <c r="E532" s="86" t="n"/>
      <c r="F532" s="85" t="n"/>
      <c r="G532" s="85" t="n"/>
      <c r="H532" s="85" t="n"/>
      <c r="I532" s="85" t="n"/>
      <c r="J532" s="85" t="n"/>
      <c r="BD532" s="11" t="n"/>
      <c r="BE532" s="11" t="n"/>
      <c r="BF532" s="11" t="n"/>
      <c r="BG532" s="11" t="n"/>
      <c r="BK532" s="11" t="n"/>
      <c r="BL532" s="11" t="n"/>
      <c r="BP532" s="12" t="n"/>
      <c r="BQ532" s="400" t="n"/>
    </row>
    <row r="533">
      <c r="D533" s="11" t="n"/>
      <c r="E533" s="86" t="n"/>
      <c r="F533" s="85" t="n"/>
      <c r="G533" s="85" t="n"/>
      <c r="H533" s="85" t="n"/>
      <c r="I533" s="85" t="n"/>
      <c r="J533" s="85" t="n"/>
      <c r="BD533" s="11" t="n"/>
      <c r="BE533" s="11" t="n"/>
      <c r="BF533" s="11" t="n"/>
      <c r="BG533" s="11" t="n"/>
      <c r="BK533" s="11" t="n"/>
      <c r="BL533" s="11" t="n"/>
      <c r="BP533" s="12" t="n"/>
      <c r="BQ533" s="400" t="n"/>
    </row>
    <row r="534">
      <c r="D534" s="11" t="n"/>
      <c r="E534" s="86" t="n"/>
      <c r="F534" s="85" t="n"/>
      <c r="G534" s="85" t="n"/>
      <c r="H534" s="85" t="n"/>
      <c r="I534" s="85" t="n"/>
      <c r="J534" s="85" t="n"/>
      <c r="BD534" s="11" t="n"/>
      <c r="BE534" s="11" t="n"/>
      <c r="BF534" s="11" t="n"/>
      <c r="BG534" s="11" t="n"/>
      <c r="BK534" s="11" t="n"/>
      <c r="BL534" s="11" t="n"/>
      <c r="BP534" s="12" t="n"/>
      <c r="BQ534" s="400" t="n"/>
    </row>
    <row r="535">
      <c r="D535" s="11" t="n"/>
      <c r="E535" s="86" t="n"/>
      <c r="F535" s="85" t="n"/>
      <c r="G535" s="85" t="n"/>
      <c r="H535" s="85" t="n"/>
      <c r="I535" s="85" t="n"/>
      <c r="J535" s="85" t="n"/>
      <c r="BD535" s="11" t="n"/>
      <c r="BE535" s="11" t="n"/>
      <c r="BF535" s="11" t="n"/>
      <c r="BG535" s="11" t="n"/>
      <c r="BK535" s="11" t="n"/>
      <c r="BL535" s="11" t="n"/>
      <c r="BP535" s="12" t="n"/>
      <c r="BQ535" s="400" t="n"/>
    </row>
    <row r="536">
      <c r="D536" s="11" t="n"/>
      <c r="E536" s="86" t="n"/>
      <c r="F536" s="85" t="n"/>
      <c r="G536" s="85" t="n"/>
      <c r="H536" s="85" t="n"/>
      <c r="I536" s="85" t="n"/>
      <c r="J536" s="85" t="n"/>
      <c r="BD536" s="11" t="n"/>
      <c r="BE536" s="11" t="n"/>
      <c r="BF536" s="11" t="n"/>
      <c r="BG536" s="11" t="n"/>
      <c r="BK536" s="11" t="n"/>
      <c r="BL536" s="11" t="n"/>
      <c r="BP536" s="12" t="n"/>
      <c r="BQ536" s="400" t="n"/>
    </row>
    <row r="537">
      <c r="D537" s="11" t="n"/>
      <c r="E537" s="86" t="n"/>
      <c r="F537" s="85" t="n"/>
      <c r="G537" s="85" t="n"/>
      <c r="H537" s="85" t="n"/>
      <c r="I537" s="85" t="n"/>
      <c r="J537" s="85" t="n"/>
      <c r="BD537" s="11" t="n"/>
      <c r="BE537" s="11" t="n"/>
      <c r="BF537" s="11" t="n"/>
      <c r="BG537" s="11" t="n"/>
      <c r="BK537" s="11" t="n"/>
      <c r="BL537" s="11" t="n"/>
      <c r="BP537" s="12" t="n"/>
      <c r="BQ537" s="400" t="n"/>
    </row>
    <row r="538">
      <c r="D538" s="11" t="n"/>
      <c r="E538" s="86" t="n"/>
      <c r="F538" s="85" t="n"/>
      <c r="G538" s="85" t="n"/>
      <c r="H538" s="85" t="n"/>
      <c r="I538" s="85" t="n"/>
      <c r="J538" s="85" t="n"/>
      <c r="BD538" s="11" t="n"/>
      <c r="BE538" s="11" t="n"/>
      <c r="BF538" s="11" t="n"/>
      <c r="BG538" s="11" t="n"/>
      <c r="BK538" s="11" t="n"/>
      <c r="BL538" s="11" t="n"/>
      <c r="BP538" s="12" t="n"/>
      <c r="BQ538" s="400" t="n"/>
    </row>
    <row r="539">
      <c r="D539" s="11" t="n"/>
      <c r="E539" s="86" t="n"/>
      <c r="F539" s="85" t="n"/>
      <c r="G539" s="85" t="n"/>
      <c r="H539" s="85" t="n"/>
      <c r="I539" s="85" t="n"/>
      <c r="J539" s="85" t="n"/>
      <c r="BD539" s="11" t="n"/>
      <c r="BE539" s="11" t="n"/>
      <c r="BF539" s="11" t="n"/>
      <c r="BG539" s="11" t="n"/>
      <c r="BK539" s="11" t="n"/>
      <c r="BL539" s="11" t="n"/>
      <c r="BP539" s="12" t="n"/>
      <c r="BQ539" s="400" t="n"/>
    </row>
    <row r="540">
      <c r="D540" s="11" t="n"/>
      <c r="E540" s="86" t="n"/>
      <c r="F540" s="85" t="n"/>
      <c r="G540" s="85" t="n"/>
      <c r="H540" s="85" t="n"/>
      <c r="I540" s="85" t="n"/>
      <c r="J540" s="85" t="n"/>
      <c r="BD540" s="11" t="n"/>
      <c r="BE540" s="11" t="n"/>
      <c r="BF540" s="11" t="n"/>
      <c r="BG540" s="11" t="n"/>
      <c r="BK540" s="11" t="n"/>
      <c r="BL540" s="11" t="n"/>
      <c r="BP540" s="12" t="n"/>
      <c r="BQ540" s="400" t="n"/>
    </row>
    <row r="541">
      <c r="D541" s="11" t="n"/>
      <c r="E541" s="86" t="n"/>
      <c r="F541" s="85" t="n"/>
      <c r="G541" s="85" t="n"/>
      <c r="H541" s="85" t="n"/>
      <c r="I541" s="85" t="n"/>
      <c r="J541" s="85" t="n"/>
      <c r="BD541" s="11" t="n"/>
      <c r="BE541" s="11" t="n"/>
      <c r="BF541" s="11" t="n"/>
      <c r="BG541" s="11" t="n"/>
      <c r="BK541" s="11" t="n"/>
      <c r="BL541" s="11" t="n"/>
      <c r="BP541" s="12" t="n"/>
      <c r="BQ541" s="400" t="n"/>
    </row>
    <row r="542">
      <c r="D542" s="11" t="n"/>
      <c r="E542" s="86" t="n"/>
      <c r="F542" s="85" t="n"/>
      <c r="G542" s="85" t="n"/>
      <c r="H542" s="85" t="n"/>
      <c r="I542" s="85" t="n"/>
      <c r="J542" s="85" t="n"/>
      <c r="BD542" s="11" t="n"/>
      <c r="BE542" s="11" t="n"/>
      <c r="BF542" s="11" t="n"/>
      <c r="BG542" s="11" t="n"/>
      <c r="BK542" s="11" t="n"/>
      <c r="BL542" s="11" t="n"/>
      <c r="BP542" s="12" t="n"/>
      <c r="BQ542" s="400" t="n"/>
    </row>
    <row r="543">
      <c r="D543" s="11" t="n"/>
      <c r="E543" s="86" t="n"/>
      <c r="F543" s="85" t="n"/>
      <c r="G543" s="85" t="n"/>
      <c r="H543" s="85" t="n"/>
      <c r="I543" s="85" t="n"/>
      <c r="J543" s="85" t="n"/>
      <c r="BD543" s="11" t="n"/>
      <c r="BE543" s="11" t="n"/>
      <c r="BF543" s="11" t="n"/>
      <c r="BG543" s="11" t="n"/>
      <c r="BK543" s="11" t="n"/>
      <c r="BL543" s="11" t="n"/>
      <c r="BP543" s="12" t="n"/>
      <c r="BQ543" s="400" t="n"/>
    </row>
    <row r="544">
      <c r="D544" s="11" t="n"/>
      <c r="E544" s="86" t="n"/>
      <c r="F544" s="85" t="n"/>
      <c r="G544" s="85" t="n"/>
      <c r="H544" s="85" t="n"/>
      <c r="I544" s="85" t="n"/>
      <c r="J544" s="85" t="n"/>
      <c r="BD544" s="11" t="n"/>
      <c r="BE544" s="11" t="n"/>
      <c r="BF544" s="11" t="n"/>
      <c r="BG544" s="11" t="n"/>
      <c r="BK544" s="11" t="n"/>
      <c r="BL544" s="11" t="n"/>
      <c r="BP544" s="12" t="n"/>
      <c r="BQ544" s="400" t="n"/>
    </row>
    <row r="545">
      <c r="D545" s="11" t="n"/>
      <c r="E545" s="86" t="n"/>
      <c r="F545" s="85" t="n"/>
      <c r="G545" s="85" t="n"/>
      <c r="H545" s="85" t="n"/>
      <c r="I545" s="85" t="n"/>
      <c r="J545" s="85" t="n"/>
      <c r="BD545" s="11" t="n"/>
      <c r="BE545" s="11" t="n"/>
      <c r="BF545" s="11" t="n"/>
      <c r="BG545" s="11" t="n"/>
      <c r="BK545" s="11" t="n"/>
      <c r="BL545" s="11" t="n"/>
      <c r="BP545" s="12" t="n"/>
      <c r="BQ545" s="400" t="n"/>
    </row>
    <row r="546">
      <c r="D546" s="11" t="n"/>
      <c r="E546" s="86" t="n"/>
      <c r="F546" s="85" t="n"/>
      <c r="G546" s="85" t="n"/>
      <c r="H546" s="85" t="n"/>
      <c r="I546" s="85" t="n"/>
      <c r="J546" s="85" t="n"/>
      <c r="BD546" s="11" t="n"/>
      <c r="BE546" s="11" t="n"/>
      <c r="BF546" s="11" t="n"/>
      <c r="BG546" s="11" t="n"/>
      <c r="BK546" s="11" t="n"/>
      <c r="BL546" s="11" t="n"/>
      <c r="BP546" s="12" t="n"/>
      <c r="BQ546" s="400" t="n"/>
    </row>
    <row r="547">
      <c r="D547" s="11" t="n"/>
      <c r="E547" s="86" t="n"/>
      <c r="F547" s="85" t="n"/>
      <c r="G547" s="85" t="n"/>
      <c r="H547" s="85" t="n"/>
      <c r="I547" s="85" t="n"/>
      <c r="J547" s="85" t="n"/>
      <c r="BD547" s="11" t="n"/>
      <c r="BE547" s="11" t="n"/>
      <c r="BF547" s="11" t="n"/>
      <c r="BG547" s="11" t="n"/>
      <c r="BK547" s="11" t="n"/>
      <c r="BL547" s="11" t="n"/>
      <c r="BP547" s="12" t="n"/>
      <c r="BQ547" s="400" t="n"/>
    </row>
    <row r="548">
      <c r="D548" s="11" t="n"/>
      <c r="E548" s="86" t="n"/>
      <c r="F548" s="85" t="n"/>
      <c r="G548" s="85" t="n"/>
      <c r="H548" s="85" t="n"/>
      <c r="I548" s="85" t="n"/>
      <c r="J548" s="85" t="n"/>
      <c r="BD548" s="11" t="n"/>
      <c r="BE548" s="11" t="n"/>
      <c r="BF548" s="11" t="n"/>
      <c r="BG548" s="11" t="n"/>
      <c r="BK548" s="11" t="n"/>
      <c r="BL548" s="11" t="n"/>
      <c r="BP548" s="12" t="n"/>
      <c r="BQ548" s="400" t="n"/>
    </row>
    <row r="549">
      <c r="D549" s="11" t="n"/>
      <c r="E549" s="86" t="n"/>
      <c r="F549" s="85" t="n"/>
      <c r="G549" s="85" t="n"/>
      <c r="H549" s="85" t="n"/>
      <c r="I549" s="85" t="n"/>
      <c r="J549" s="85" t="n"/>
      <c r="BD549" s="11" t="n"/>
      <c r="BE549" s="11" t="n"/>
      <c r="BF549" s="11" t="n"/>
      <c r="BG549" s="11" t="n"/>
      <c r="BK549" s="11" t="n"/>
      <c r="BL549" s="11" t="n"/>
      <c r="BP549" s="12" t="n"/>
      <c r="BQ549" s="400" t="n"/>
    </row>
    <row r="550">
      <c r="D550" s="11" t="n"/>
      <c r="E550" s="86" t="n"/>
      <c r="F550" s="85" t="n"/>
      <c r="G550" s="85" t="n"/>
      <c r="H550" s="85" t="n"/>
      <c r="I550" s="85" t="n"/>
      <c r="J550" s="85" t="n"/>
      <c r="BD550" s="11" t="n"/>
      <c r="BE550" s="11" t="n"/>
      <c r="BF550" s="11" t="n"/>
      <c r="BG550" s="11" t="n"/>
      <c r="BK550" s="11" t="n"/>
      <c r="BL550" s="11" t="n"/>
      <c r="BP550" s="12" t="n"/>
      <c r="BQ550" s="400" t="n"/>
    </row>
    <row r="551">
      <c r="D551" s="11" t="n"/>
      <c r="E551" s="86" t="n"/>
      <c r="F551" s="85" t="n"/>
      <c r="G551" s="85" t="n"/>
      <c r="H551" s="85" t="n"/>
      <c r="I551" s="85" t="n"/>
      <c r="J551" s="85" t="n"/>
      <c r="BD551" s="11" t="n"/>
      <c r="BE551" s="11" t="n"/>
      <c r="BF551" s="11" t="n"/>
      <c r="BG551" s="11" t="n"/>
      <c r="BK551" s="11" t="n"/>
      <c r="BL551" s="11" t="n"/>
      <c r="BP551" s="12" t="n"/>
      <c r="BQ551" s="400" t="n"/>
    </row>
    <row r="552">
      <c r="D552" s="11" t="n"/>
      <c r="E552" s="86" t="n"/>
      <c r="F552" s="85" t="n"/>
      <c r="G552" s="85" t="n"/>
      <c r="H552" s="85" t="n"/>
      <c r="I552" s="85" t="n"/>
      <c r="J552" s="85" t="n"/>
      <c r="BD552" s="11" t="n"/>
      <c r="BE552" s="11" t="n"/>
      <c r="BF552" s="11" t="n"/>
      <c r="BG552" s="11" t="n"/>
      <c r="BK552" s="11" t="n"/>
      <c r="BL552" s="11" t="n"/>
      <c r="BP552" s="12" t="n"/>
      <c r="BQ552" s="400" t="n"/>
    </row>
    <row r="553">
      <c r="D553" s="11" t="n"/>
      <c r="E553" s="86" t="n"/>
      <c r="F553" s="85" t="n"/>
      <c r="G553" s="85" t="n"/>
      <c r="H553" s="85" t="n"/>
      <c r="I553" s="85" t="n"/>
      <c r="J553" s="85" t="n"/>
      <c r="BD553" s="11" t="n"/>
      <c r="BE553" s="11" t="n"/>
      <c r="BF553" s="11" t="n"/>
      <c r="BG553" s="11" t="n"/>
      <c r="BK553" s="11" t="n"/>
      <c r="BL553" s="11" t="n"/>
      <c r="BP553" s="12" t="n"/>
      <c r="BQ553" s="400" t="n"/>
    </row>
    <row r="554">
      <c r="D554" s="11" t="n"/>
      <c r="E554" s="86" t="n"/>
      <c r="F554" s="85" t="n"/>
      <c r="G554" s="85" t="n"/>
      <c r="H554" s="85" t="n"/>
      <c r="I554" s="85" t="n"/>
      <c r="J554" s="85" t="n"/>
      <c r="BD554" s="11" t="n"/>
      <c r="BE554" s="11" t="n"/>
      <c r="BF554" s="11" t="n"/>
      <c r="BG554" s="11" t="n"/>
      <c r="BK554" s="11" t="n"/>
      <c r="BL554" s="11" t="n"/>
      <c r="BP554" s="12" t="n"/>
      <c r="BQ554" s="400" t="n"/>
    </row>
    <row r="555">
      <c r="D555" s="11" t="n"/>
      <c r="E555" s="86" t="n"/>
      <c r="F555" s="85" t="n"/>
      <c r="G555" s="85" t="n"/>
      <c r="H555" s="85" t="n"/>
      <c r="I555" s="85" t="n"/>
      <c r="J555" s="85" t="n"/>
      <c r="BD555" s="11" t="n"/>
      <c r="BE555" s="11" t="n"/>
      <c r="BF555" s="11" t="n"/>
      <c r="BG555" s="11" t="n"/>
      <c r="BK555" s="11" t="n"/>
      <c r="BL555" s="11" t="n"/>
      <c r="BP555" s="12" t="n"/>
      <c r="BQ555" s="400" t="n"/>
    </row>
    <row r="556">
      <c r="D556" s="11" t="n"/>
      <c r="E556" s="86" t="n"/>
      <c r="F556" s="85" t="n"/>
      <c r="G556" s="85" t="n"/>
      <c r="H556" s="85" t="n"/>
      <c r="I556" s="85" t="n"/>
      <c r="J556" s="85" t="n"/>
      <c r="BD556" s="11" t="n"/>
      <c r="BE556" s="11" t="n"/>
      <c r="BF556" s="11" t="n"/>
      <c r="BG556" s="11" t="n"/>
      <c r="BK556" s="11" t="n"/>
      <c r="BL556" s="11" t="n"/>
      <c r="BP556" s="12" t="n"/>
      <c r="BQ556" s="400" t="n"/>
    </row>
    <row r="557">
      <c r="D557" s="11" t="n"/>
      <c r="E557" s="86" t="n"/>
      <c r="F557" s="85" t="n"/>
      <c r="G557" s="85" t="n"/>
      <c r="H557" s="85" t="n"/>
      <c r="I557" s="85" t="n"/>
      <c r="J557" s="85" t="n"/>
      <c r="BD557" s="11" t="n"/>
      <c r="BE557" s="11" t="n"/>
      <c r="BF557" s="11" t="n"/>
      <c r="BG557" s="11" t="n"/>
      <c r="BK557" s="11" t="n"/>
      <c r="BL557" s="11" t="n"/>
      <c r="BP557" s="12" t="n"/>
      <c r="BQ557" s="400" t="n"/>
    </row>
    <row r="558">
      <c r="D558" s="11" t="n"/>
      <c r="E558" s="86" t="n"/>
      <c r="F558" s="85" t="n"/>
      <c r="G558" s="85" t="n"/>
      <c r="H558" s="85" t="n"/>
      <c r="I558" s="85" t="n"/>
      <c r="J558" s="85" t="n"/>
      <c r="BD558" s="11" t="n"/>
      <c r="BE558" s="11" t="n"/>
      <c r="BF558" s="11" t="n"/>
      <c r="BG558" s="11" t="n"/>
      <c r="BK558" s="11" t="n"/>
      <c r="BL558" s="11" t="n"/>
      <c r="BP558" s="12" t="n"/>
      <c r="BQ558" s="400" t="n"/>
    </row>
    <row r="559">
      <c r="D559" s="11" t="n"/>
      <c r="E559" s="86" t="n"/>
      <c r="F559" s="85" t="n"/>
      <c r="G559" s="85" t="n"/>
      <c r="H559" s="85" t="n"/>
      <c r="I559" s="85" t="n"/>
      <c r="J559" s="85" t="n"/>
      <c r="BD559" s="11" t="n"/>
      <c r="BE559" s="11" t="n"/>
      <c r="BF559" s="11" t="n"/>
      <c r="BG559" s="11" t="n"/>
      <c r="BK559" s="11" t="n"/>
      <c r="BL559" s="11" t="n"/>
      <c r="BP559" s="12" t="n"/>
      <c r="BQ559" s="400" t="n"/>
    </row>
    <row r="560">
      <c r="D560" s="11" t="n"/>
      <c r="E560" s="86" t="n"/>
      <c r="F560" s="85" t="n"/>
      <c r="G560" s="85" t="n"/>
      <c r="H560" s="85" t="n"/>
      <c r="I560" s="85" t="n"/>
      <c r="J560" s="85" t="n"/>
      <c r="BD560" s="11" t="n"/>
      <c r="BE560" s="11" t="n"/>
      <c r="BF560" s="11" t="n"/>
      <c r="BG560" s="11" t="n"/>
      <c r="BK560" s="11" t="n"/>
      <c r="BL560" s="11" t="n"/>
      <c r="BP560" s="12" t="n"/>
      <c r="BQ560" s="400" t="n"/>
    </row>
    <row r="561">
      <c r="D561" s="11" t="n"/>
      <c r="E561" s="86" t="n"/>
      <c r="F561" s="85" t="n"/>
      <c r="G561" s="85" t="n"/>
      <c r="H561" s="85" t="n"/>
      <c r="I561" s="85" t="n"/>
      <c r="J561" s="85" t="n"/>
      <c r="BD561" s="11" t="n"/>
      <c r="BE561" s="11" t="n"/>
      <c r="BF561" s="11" t="n"/>
      <c r="BG561" s="11" t="n"/>
      <c r="BK561" s="11" t="n"/>
      <c r="BL561" s="11" t="n"/>
      <c r="BP561" s="12" t="n"/>
      <c r="BQ561" s="400" t="n"/>
    </row>
    <row r="562">
      <c r="D562" s="11" t="n"/>
      <c r="E562" s="86" t="n"/>
      <c r="F562" s="85" t="n"/>
      <c r="G562" s="85" t="n"/>
      <c r="H562" s="85" t="n"/>
      <c r="I562" s="85" t="n"/>
      <c r="J562" s="85" t="n"/>
      <c r="BD562" s="11" t="n"/>
      <c r="BE562" s="11" t="n"/>
      <c r="BF562" s="11" t="n"/>
      <c r="BG562" s="11" t="n"/>
      <c r="BK562" s="11" t="n"/>
      <c r="BL562" s="11" t="n"/>
      <c r="BP562" s="12" t="n"/>
      <c r="BQ562" s="400" t="n"/>
    </row>
    <row r="563">
      <c r="D563" s="11" t="n"/>
      <c r="E563" s="86" t="n"/>
      <c r="F563" s="85" t="n"/>
      <c r="G563" s="85" t="n"/>
      <c r="H563" s="85" t="n"/>
      <c r="I563" s="85" t="n"/>
      <c r="J563" s="85" t="n"/>
      <c r="BD563" s="11" t="n"/>
      <c r="BE563" s="11" t="n"/>
      <c r="BF563" s="11" t="n"/>
      <c r="BG563" s="11" t="n"/>
      <c r="BK563" s="11" t="n"/>
      <c r="BL563" s="11" t="n"/>
      <c r="BP563" s="12" t="n"/>
      <c r="BQ563" s="400" t="n"/>
    </row>
    <row r="564">
      <c r="D564" s="11" t="n"/>
      <c r="E564" s="86" t="n"/>
      <c r="F564" s="85" t="n"/>
      <c r="G564" s="85" t="n"/>
      <c r="H564" s="85" t="n"/>
      <c r="I564" s="85" t="n"/>
      <c r="J564" s="85" t="n"/>
      <c r="BD564" s="11" t="n"/>
      <c r="BE564" s="11" t="n"/>
      <c r="BF564" s="11" t="n"/>
      <c r="BG564" s="11" t="n"/>
      <c r="BK564" s="11" t="n"/>
      <c r="BL564" s="11" t="n"/>
      <c r="BP564" s="12" t="n"/>
      <c r="BQ564" s="400" t="n"/>
    </row>
    <row r="565">
      <c r="D565" s="11" t="n"/>
      <c r="E565" s="86" t="n"/>
      <c r="F565" s="85" t="n"/>
      <c r="G565" s="85" t="n"/>
      <c r="H565" s="85" t="n"/>
      <c r="I565" s="85" t="n"/>
      <c r="J565" s="85" t="n"/>
      <c r="BD565" s="11" t="n"/>
      <c r="BE565" s="11" t="n"/>
      <c r="BF565" s="11" t="n"/>
      <c r="BG565" s="11" t="n"/>
      <c r="BK565" s="11" t="n"/>
      <c r="BL565" s="11" t="n"/>
      <c r="BP565" s="12" t="n"/>
      <c r="BQ565" s="400" t="n"/>
    </row>
    <row r="566">
      <c r="D566" s="11" t="n"/>
      <c r="E566" s="86" t="n"/>
      <c r="F566" s="85" t="n"/>
      <c r="G566" s="85" t="n"/>
      <c r="H566" s="85" t="n"/>
      <c r="I566" s="85" t="n"/>
      <c r="J566" s="85" t="n"/>
      <c r="BD566" s="11" t="n"/>
      <c r="BE566" s="11" t="n"/>
      <c r="BF566" s="11" t="n"/>
      <c r="BG566" s="11" t="n"/>
      <c r="BK566" s="11" t="n"/>
      <c r="BL566" s="11" t="n"/>
      <c r="BP566" s="12" t="n"/>
      <c r="BQ566" s="400" t="n"/>
    </row>
    <row r="567">
      <c r="D567" s="11" t="n"/>
      <c r="E567" s="86" t="n"/>
      <c r="F567" s="85" t="n"/>
      <c r="G567" s="85" t="n"/>
      <c r="H567" s="85" t="n"/>
      <c r="I567" s="85" t="n"/>
      <c r="J567" s="85" t="n"/>
      <c r="BD567" s="11" t="n"/>
      <c r="BE567" s="11" t="n"/>
      <c r="BF567" s="11" t="n"/>
      <c r="BG567" s="11" t="n"/>
      <c r="BK567" s="11" t="n"/>
      <c r="BL567" s="11" t="n"/>
      <c r="BP567" s="12" t="n"/>
      <c r="BQ567" s="400" t="n"/>
    </row>
    <row r="568">
      <c r="D568" s="11" t="n"/>
      <c r="E568" s="86" t="n"/>
      <c r="F568" s="85" t="n"/>
      <c r="G568" s="85" t="n"/>
      <c r="H568" s="85" t="n"/>
      <c r="I568" s="85" t="n"/>
      <c r="J568" s="85" t="n"/>
      <c r="BD568" s="11" t="n"/>
      <c r="BE568" s="11" t="n"/>
      <c r="BF568" s="11" t="n"/>
      <c r="BG568" s="11" t="n"/>
      <c r="BK568" s="11" t="n"/>
      <c r="BL568" s="11" t="n"/>
      <c r="BP568" s="12" t="n"/>
      <c r="BQ568" s="400" t="n"/>
    </row>
    <row r="569">
      <c r="D569" s="11" t="n"/>
      <c r="E569" s="86" t="n"/>
      <c r="F569" s="85" t="n"/>
      <c r="G569" s="85" t="n"/>
      <c r="H569" s="85" t="n"/>
      <c r="I569" s="85" t="n"/>
      <c r="J569" s="85" t="n"/>
      <c r="BD569" s="11" t="n"/>
      <c r="BE569" s="11" t="n"/>
      <c r="BF569" s="11" t="n"/>
      <c r="BG569" s="11" t="n"/>
      <c r="BK569" s="11" t="n"/>
      <c r="BL569" s="11" t="n"/>
      <c r="BP569" s="12" t="n"/>
      <c r="BQ569" s="400" t="n"/>
    </row>
    <row r="570">
      <c r="D570" s="11" t="n"/>
      <c r="E570" s="86" t="n"/>
      <c r="F570" s="85" t="n"/>
      <c r="G570" s="85" t="n"/>
      <c r="H570" s="85" t="n"/>
      <c r="I570" s="85" t="n"/>
      <c r="J570" s="85" t="n"/>
      <c r="BD570" s="11" t="n"/>
      <c r="BE570" s="11" t="n"/>
      <c r="BF570" s="11" t="n"/>
      <c r="BG570" s="11" t="n"/>
      <c r="BK570" s="11" t="n"/>
      <c r="BL570" s="11" t="n"/>
      <c r="BP570" s="12" t="n"/>
      <c r="BQ570" s="400" t="n"/>
    </row>
    <row r="571">
      <c r="D571" s="11" t="n"/>
      <c r="E571" s="86" t="n"/>
      <c r="F571" s="85" t="n"/>
      <c r="G571" s="85" t="n"/>
      <c r="H571" s="85" t="n"/>
      <c r="I571" s="85" t="n"/>
      <c r="J571" s="85" t="n"/>
      <c r="BD571" s="11" t="n"/>
      <c r="BE571" s="11" t="n"/>
      <c r="BF571" s="11" t="n"/>
      <c r="BG571" s="11" t="n"/>
      <c r="BK571" s="11" t="n"/>
      <c r="BL571" s="11" t="n"/>
      <c r="BP571" s="12" t="n"/>
      <c r="BQ571" s="400" t="n"/>
    </row>
    <row r="572">
      <c r="D572" s="11" t="n"/>
      <c r="E572" s="86" t="n"/>
      <c r="F572" s="85" t="n"/>
      <c r="G572" s="85" t="n"/>
      <c r="H572" s="85" t="n"/>
      <c r="I572" s="85" t="n"/>
      <c r="J572" s="85" t="n"/>
      <c r="BD572" s="11" t="n"/>
      <c r="BE572" s="11" t="n"/>
      <c r="BF572" s="11" t="n"/>
      <c r="BG572" s="11" t="n"/>
      <c r="BK572" s="11" t="n"/>
      <c r="BL572" s="11" t="n"/>
      <c r="BP572" s="12" t="n"/>
      <c r="BQ572" s="400" t="n"/>
    </row>
    <row r="573">
      <c r="D573" s="11" t="n"/>
      <c r="E573" s="86" t="n"/>
      <c r="F573" s="85" t="n"/>
      <c r="G573" s="85" t="n"/>
      <c r="H573" s="85" t="n"/>
      <c r="I573" s="85" t="n"/>
      <c r="J573" s="85" t="n"/>
      <c r="BD573" s="11" t="n"/>
      <c r="BE573" s="11" t="n"/>
      <c r="BF573" s="11" t="n"/>
      <c r="BG573" s="11" t="n"/>
      <c r="BK573" s="11" t="n"/>
      <c r="BL573" s="11" t="n"/>
      <c r="BP573" s="12" t="n"/>
      <c r="BQ573" s="400" t="n"/>
    </row>
    <row r="574">
      <c r="D574" s="11" t="n"/>
      <c r="E574" s="86" t="n"/>
      <c r="F574" s="85" t="n"/>
      <c r="G574" s="85" t="n"/>
      <c r="H574" s="85" t="n"/>
      <c r="I574" s="85" t="n"/>
      <c r="J574" s="85" t="n"/>
      <c r="BD574" s="11" t="n"/>
      <c r="BE574" s="11" t="n"/>
      <c r="BF574" s="11" t="n"/>
      <c r="BG574" s="11" t="n"/>
      <c r="BK574" s="11" t="n"/>
      <c r="BL574" s="11" t="n"/>
      <c r="BP574" s="12" t="n"/>
      <c r="BQ574" s="400" t="n"/>
    </row>
    <row r="575">
      <c r="D575" s="11" t="n"/>
      <c r="E575" s="86" t="n"/>
      <c r="F575" s="85" t="n"/>
      <c r="G575" s="85" t="n"/>
      <c r="H575" s="85" t="n"/>
      <c r="I575" s="85" t="n"/>
      <c r="J575" s="85" t="n"/>
      <c r="BD575" s="11" t="n"/>
      <c r="BE575" s="11" t="n"/>
      <c r="BF575" s="11" t="n"/>
      <c r="BG575" s="11" t="n"/>
      <c r="BK575" s="11" t="n"/>
      <c r="BL575" s="11" t="n"/>
      <c r="BP575" s="12" t="n"/>
      <c r="BQ575" s="400" t="n"/>
    </row>
    <row r="576">
      <c r="D576" s="11" t="n"/>
      <c r="E576" s="86" t="n"/>
      <c r="F576" s="85" t="n"/>
      <c r="G576" s="85" t="n"/>
      <c r="H576" s="85" t="n"/>
      <c r="I576" s="85" t="n"/>
      <c r="J576" s="85" t="n"/>
      <c r="BD576" s="11" t="n"/>
      <c r="BE576" s="11" t="n"/>
      <c r="BF576" s="11" t="n"/>
      <c r="BG576" s="11" t="n"/>
      <c r="BK576" s="11" t="n"/>
      <c r="BL576" s="11" t="n"/>
      <c r="BP576" s="12" t="n"/>
      <c r="BQ576" s="400" t="n"/>
    </row>
    <row r="577">
      <c r="D577" s="11" t="n"/>
      <c r="E577" s="86" t="n"/>
      <c r="F577" s="85" t="n"/>
      <c r="G577" s="85" t="n"/>
      <c r="H577" s="85" t="n"/>
      <c r="I577" s="85" t="n"/>
      <c r="J577" s="85" t="n"/>
      <c r="BD577" s="11" t="n"/>
      <c r="BE577" s="11" t="n"/>
      <c r="BF577" s="11" t="n"/>
      <c r="BG577" s="11" t="n"/>
      <c r="BK577" s="11" t="n"/>
      <c r="BL577" s="11" t="n"/>
      <c r="BP577" s="12" t="n"/>
      <c r="BQ577" s="400" t="n"/>
    </row>
    <row r="578">
      <c r="D578" s="11" t="n"/>
      <c r="E578" s="86" t="n"/>
      <c r="F578" s="85" t="n"/>
      <c r="G578" s="85" t="n"/>
      <c r="H578" s="85" t="n"/>
      <c r="I578" s="85" t="n"/>
      <c r="J578" s="85" t="n"/>
      <c r="BD578" s="11" t="n"/>
      <c r="BE578" s="11" t="n"/>
      <c r="BF578" s="11" t="n"/>
      <c r="BG578" s="11" t="n"/>
      <c r="BK578" s="11" t="n"/>
      <c r="BL578" s="11" t="n"/>
      <c r="BP578" s="12" t="n"/>
      <c r="BQ578" s="400" t="n"/>
    </row>
    <row r="579">
      <c r="D579" s="11" t="n"/>
      <c r="E579" s="86" t="n"/>
      <c r="F579" s="85" t="n"/>
      <c r="G579" s="85" t="n"/>
      <c r="H579" s="85" t="n"/>
      <c r="I579" s="85" t="n"/>
      <c r="J579" s="85" t="n"/>
      <c r="BD579" s="11" t="n"/>
      <c r="BE579" s="11" t="n"/>
      <c r="BF579" s="11" t="n"/>
      <c r="BG579" s="11" t="n"/>
      <c r="BK579" s="11" t="n"/>
      <c r="BL579" s="11" t="n"/>
      <c r="BP579" s="12" t="n"/>
      <c r="BQ579" s="400" t="n"/>
    </row>
    <row r="580">
      <c r="D580" s="11" t="n"/>
      <c r="E580" s="86" t="n"/>
      <c r="F580" s="85" t="n"/>
      <c r="G580" s="85" t="n"/>
      <c r="H580" s="85" t="n"/>
      <c r="I580" s="85" t="n"/>
      <c r="J580" s="85" t="n"/>
      <c r="BD580" s="11" t="n"/>
      <c r="BE580" s="11" t="n"/>
      <c r="BF580" s="11" t="n"/>
      <c r="BG580" s="11" t="n"/>
      <c r="BK580" s="11" t="n"/>
      <c r="BL580" s="11" t="n"/>
      <c r="BP580" s="12" t="n"/>
      <c r="BQ580" s="400" t="n"/>
    </row>
    <row r="581">
      <c r="D581" s="11" t="n"/>
      <c r="E581" s="86" t="n"/>
      <c r="F581" s="85" t="n"/>
      <c r="G581" s="85" t="n"/>
      <c r="H581" s="85" t="n"/>
      <c r="I581" s="85" t="n"/>
      <c r="J581" s="85" t="n"/>
      <c r="BD581" s="11" t="n"/>
      <c r="BE581" s="11" t="n"/>
      <c r="BF581" s="11" t="n"/>
      <c r="BG581" s="11" t="n"/>
      <c r="BK581" s="11" t="n"/>
      <c r="BL581" s="11" t="n"/>
      <c r="BP581" s="12" t="n"/>
      <c r="BQ581" s="400" t="n"/>
    </row>
    <row r="582">
      <c r="D582" s="11" t="n"/>
      <c r="E582" s="86" t="n"/>
      <c r="F582" s="85" t="n"/>
      <c r="G582" s="85" t="n"/>
      <c r="H582" s="85" t="n"/>
      <c r="I582" s="85" t="n"/>
      <c r="J582" s="85" t="n"/>
      <c r="BD582" s="11" t="n"/>
      <c r="BE582" s="11" t="n"/>
      <c r="BF582" s="11" t="n"/>
      <c r="BG582" s="11" t="n"/>
      <c r="BK582" s="11" t="n"/>
      <c r="BL582" s="11" t="n"/>
      <c r="BP582" s="12" t="n"/>
      <c r="BQ582" s="400" t="n"/>
    </row>
    <row r="583">
      <c r="D583" s="11" t="n"/>
      <c r="E583" s="86" t="n"/>
      <c r="F583" s="85" t="n"/>
      <c r="G583" s="85" t="n"/>
      <c r="H583" s="85" t="n"/>
      <c r="I583" s="85" t="n"/>
      <c r="J583" s="85" t="n"/>
      <c r="BD583" s="11" t="n"/>
      <c r="BE583" s="11" t="n"/>
      <c r="BF583" s="11" t="n"/>
      <c r="BG583" s="11" t="n"/>
      <c r="BK583" s="11" t="n"/>
      <c r="BL583" s="11" t="n"/>
      <c r="BP583" s="12" t="n"/>
      <c r="BQ583" s="400" t="n"/>
    </row>
    <row r="584">
      <c r="D584" s="11" t="n"/>
      <c r="E584" s="86" t="n"/>
      <c r="F584" s="85" t="n"/>
      <c r="G584" s="85" t="n"/>
      <c r="H584" s="85" t="n"/>
      <c r="I584" s="85" t="n"/>
      <c r="J584" s="85" t="n"/>
      <c r="BD584" s="11" t="n"/>
      <c r="BE584" s="11" t="n"/>
      <c r="BF584" s="11" t="n"/>
      <c r="BG584" s="11" t="n"/>
      <c r="BK584" s="11" t="n"/>
      <c r="BL584" s="11" t="n"/>
      <c r="BP584" s="12" t="n"/>
      <c r="BQ584" s="400" t="n"/>
    </row>
    <row r="585">
      <c r="D585" s="11" t="n"/>
      <c r="E585" s="86" t="n"/>
      <c r="F585" s="85" t="n"/>
      <c r="G585" s="85" t="n"/>
      <c r="H585" s="85" t="n"/>
      <c r="I585" s="85" t="n"/>
      <c r="J585" s="85" t="n"/>
      <c r="BD585" s="11" t="n"/>
      <c r="BE585" s="11" t="n"/>
      <c r="BF585" s="11" t="n"/>
      <c r="BG585" s="11" t="n"/>
      <c r="BK585" s="11" t="n"/>
      <c r="BL585" s="11" t="n"/>
      <c r="BP585" s="12" t="n"/>
      <c r="BQ585" s="400" t="n"/>
    </row>
    <row r="586">
      <c r="D586" s="11" t="n"/>
      <c r="E586" s="86" t="n"/>
      <c r="F586" s="85" t="n"/>
      <c r="G586" s="85" t="n"/>
      <c r="H586" s="85" t="n"/>
      <c r="I586" s="85" t="n"/>
      <c r="J586" s="85" t="n"/>
      <c r="BD586" s="11" t="n"/>
      <c r="BE586" s="11" t="n"/>
      <c r="BF586" s="11" t="n"/>
      <c r="BG586" s="11" t="n"/>
      <c r="BK586" s="11" t="n"/>
      <c r="BL586" s="11" t="n"/>
      <c r="BP586" s="12" t="n"/>
      <c r="BQ586" s="400" t="n"/>
    </row>
    <row r="587">
      <c r="D587" s="11" t="n"/>
      <c r="E587" s="86" t="n"/>
      <c r="F587" s="85" t="n"/>
      <c r="G587" s="85" t="n"/>
      <c r="H587" s="85" t="n"/>
      <c r="I587" s="85" t="n"/>
      <c r="J587" s="85" t="n"/>
      <c r="BD587" s="11" t="n"/>
      <c r="BE587" s="11" t="n"/>
      <c r="BF587" s="11" t="n"/>
      <c r="BG587" s="11" t="n"/>
      <c r="BK587" s="11" t="n"/>
      <c r="BL587" s="11" t="n"/>
      <c r="BP587" s="12" t="n"/>
      <c r="BQ587" s="400" t="n"/>
    </row>
    <row r="588">
      <c r="D588" s="11" t="n"/>
      <c r="E588" s="86" t="n"/>
      <c r="F588" s="85" t="n"/>
      <c r="G588" s="85" t="n"/>
      <c r="H588" s="85" t="n"/>
      <c r="I588" s="85" t="n"/>
      <c r="J588" s="85" t="n"/>
      <c r="BD588" s="11" t="n"/>
      <c r="BE588" s="11" t="n"/>
      <c r="BF588" s="11" t="n"/>
      <c r="BG588" s="11" t="n"/>
      <c r="BK588" s="11" t="n"/>
      <c r="BL588" s="11" t="n"/>
      <c r="BP588" s="12" t="n"/>
      <c r="BQ588" s="400" t="n"/>
    </row>
    <row r="589">
      <c r="D589" s="11" t="n"/>
      <c r="E589" s="86" t="n"/>
      <c r="F589" s="85" t="n"/>
      <c r="G589" s="85" t="n"/>
      <c r="H589" s="85" t="n"/>
      <c r="I589" s="85" t="n"/>
      <c r="J589" s="85" t="n"/>
      <c r="BD589" s="11" t="n"/>
      <c r="BE589" s="11" t="n"/>
      <c r="BF589" s="11" t="n"/>
      <c r="BG589" s="11" t="n"/>
      <c r="BK589" s="11" t="n"/>
      <c r="BL589" s="11" t="n"/>
      <c r="BP589" s="12" t="n"/>
      <c r="BQ589" s="400" t="n"/>
    </row>
    <row r="590">
      <c r="D590" s="11" t="n"/>
      <c r="E590" s="86" t="n"/>
      <c r="F590" s="85" t="n"/>
      <c r="G590" s="85" t="n"/>
      <c r="H590" s="85" t="n"/>
      <c r="I590" s="85" t="n"/>
      <c r="J590" s="85" t="n"/>
      <c r="BD590" s="11" t="n"/>
      <c r="BE590" s="11" t="n"/>
      <c r="BF590" s="11" t="n"/>
      <c r="BG590" s="11" t="n"/>
      <c r="BK590" s="11" t="n"/>
      <c r="BL590" s="11" t="n"/>
      <c r="BP590" s="12" t="n"/>
      <c r="BQ590" s="400" t="n"/>
    </row>
    <row r="591">
      <c r="D591" s="11" t="n"/>
      <c r="E591" s="86" t="n"/>
      <c r="F591" s="85" t="n"/>
      <c r="G591" s="85" t="n"/>
      <c r="H591" s="85" t="n"/>
      <c r="I591" s="85" t="n"/>
      <c r="J591" s="85" t="n"/>
      <c r="BD591" s="11" t="n"/>
      <c r="BE591" s="11" t="n"/>
      <c r="BF591" s="11" t="n"/>
      <c r="BG591" s="11" t="n"/>
      <c r="BK591" s="11" t="n"/>
      <c r="BL591" s="11" t="n"/>
      <c r="BP591" s="12" t="n"/>
      <c r="BQ591" s="400" t="n"/>
    </row>
    <row r="592">
      <c r="D592" s="11" t="n"/>
      <c r="E592" s="86" t="n"/>
      <c r="F592" s="85" t="n"/>
      <c r="G592" s="85" t="n"/>
      <c r="H592" s="85" t="n"/>
      <c r="I592" s="85" t="n"/>
      <c r="J592" s="85" t="n"/>
      <c r="BD592" s="11" t="n"/>
      <c r="BE592" s="11" t="n"/>
      <c r="BF592" s="11" t="n"/>
      <c r="BG592" s="11" t="n"/>
      <c r="BK592" s="11" t="n"/>
      <c r="BL592" s="11" t="n"/>
      <c r="BP592" s="12" t="n"/>
      <c r="BQ592" s="400" t="n"/>
    </row>
    <row r="593">
      <c r="D593" s="11" t="n"/>
      <c r="E593" s="86" t="n"/>
      <c r="F593" s="85" t="n"/>
      <c r="G593" s="85" t="n"/>
      <c r="H593" s="85" t="n"/>
      <c r="I593" s="85" t="n"/>
      <c r="J593" s="85" t="n"/>
      <c r="BD593" s="11" t="n"/>
      <c r="BE593" s="11" t="n"/>
      <c r="BF593" s="11" t="n"/>
      <c r="BG593" s="11" t="n"/>
      <c r="BK593" s="11" t="n"/>
      <c r="BL593" s="11" t="n"/>
      <c r="BP593" s="12" t="n"/>
      <c r="BQ593" s="400" t="n"/>
    </row>
    <row r="594">
      <c r="D594" s="11" t="n"/>
      <c r="E594" s="86" t="n"/>
      <c r="F594" s="85" t="n"/>
      <c r="G594" s="85" t="n"/>
      <c r="H594" s="85" t="n"/>
      <c r="I594" s="85" t="n"/>
      <c r="J594" s="85" t="n"/>
      <c r="BD594" s="11" t="n"/>
      <c r="BE594" s="11" t="n"/>
      <c r="BF594" s="11" t="n"/>
      <c r="BG594" s="11" t="n"/>
      <c r="BK594" s="11" t="n"/>
      <c r="BL594" s="11" t="n"/>
      <c r="BP594" s="12" t="n"/>
      <c r="BQ594" s="400" t="n"/>
    </row>
    <row r="595">
      <c r="D595" s="11" t="n"/>
      <c r="E595" s="86" t="n"/>
      <c r="F595" s="85" t="n"/>
      <c r="G595" s="85" t="n"/>
      <c r="H595" s="85" t="n"/>
      <c r="I595" s="85" t="n"/>
      <c r="J595" s="85" t="n"/>
      <c r="BD595" s="11" t="n"/>
      <c r="BE595" s="11" t="n"/>
      <c r="BF595" s="11" t="n"/>
      <c r="BG595" s="11" t="n"/>
      <c r="BK595" s="11" t="n"/>
      <c r="BL595" s="11" t="n"/>
      <c r="BP595" s="12" t="n"/>
      <c r="BQ595" s="400" t="n"/>
    </row>
    <row r="596">
      <c r="D596" s="11" t="n"/>
      <c r="E596" s="86" t="n"/>
      <c r="F596" s="85" t="n"/>
      <c r="G596" s="85" t="n"/>
      <c r="H596" s="85" t="n"/>
      <c r="I596" s="85" t="n"/>
      <c r="J596" s="85" t="n"/>
      <c r="BD596" s="11" t="n"/>
      <c r="BE596" s="11" t="n"/>
      <c r="BF596" s="11" t="n"/>
      <c r="BG596" s="11" t="n"/>
      <c r="BK596" s="11" t="n"/>
      <c r="BL596" s="11" t="n"/>
      <c r="BP596" s="12" t="n"/>
      <c r="BQ596" s="400" t="n"/>
    </row>
    <row r="597">
      <c r="D597" s="11" t="n"/>
      <c r="E597" s="86" t="n"/>
      <c r="F597" s="85" t="n"/>
      <c r="G597" s="85" t="n"/>
      <c r="H597" s="85" t="n"/>
      <c r="I597" s="85" t="n"/>
      <c r="J597" s="85" t="n"/>
      <c r="BD597" s="11" t="n"/>
      <c r="BE597" s="11" t="n"/>
      <c r="BF597" s="11" t="n"/>
      <c r="BG597" s="11" t="n"/>
      <c r="BK597" s="11" t="n"/>
      <c r="BL597" s="11" t="n"/>
      <c r="BP597" s="12" t="n"/>
      <c r="BQ597" s="400" t="n"/>
    </row>
    <row r="598">
      <c r="D598" s="11" t="n"/>
      <c r="E598" s="86" t="n"/>
      <c r="F598" s="85" t="n"/>
      <c r="G598" s="85" t="n"/>
      <c r="H598" s="85" t="n"/>
      <c r="I598" s="85" t="n"/>
      <c r="J598" s="85" t="n"/>
      <c r="BD598" s="11" t="n"/>
      <c r="BE598" s="11" t="n"/>
      <c r="BF598" s="11" t="n"/>
      <c r="BG598" s="11" t="n"/>
      <c r="BK598" s="11" t="n"/>
      <c r="BL598" s="11" t="n"/>
      <c r="BP598" s="12" t="n"/>
      <c r="BQ598" s="400" t="n"/>
    </row>
    <row r="599">
      <c r="D599" s="11" t="n"/>
      <c r="E599" s="86" t="n"/>
      <c r="F599" s="85" t="n"/>
      <c r="G599" s="85" t="n"/>
      <c r="H599" s="85" t="n"/>
      <c r="I599" s="85" t="n"/>
      <c r="J599" s="85" t="n"/>
      <c r="BD599" s="11" t="n"/>
      <c r="BE599" s="11" t="n"/>
      <c r="BF599" s="11" t="n"/>
      <c r="BG599" s="11" t="n"/>
      <c r="BK599" s="11" t="n"/>
      <c r="BL599" s="11" t="n"/>
      <c r="BP599" s="12" t="n"/>
      <c r="BQ599" s="400" t="n"/>
    </row>
    <row r="600">
      <c r="D600" s="11" t="n"/>
      <c r="E600" s="86" t="n"/>
      <c r="F600" s="85" t="n"/>
      <c r="G600" s="85" t="n"/>
      <c r="H600" s="85" t="n"/>
      <c r="I600" s="85" t="n"/>
      <c r="J600" s="85" t="n"/>
      <c r="BD600" s="11" t="n"/>
      <c r="BE600" s="11" t="n"/>
      <c r="BF600" s="11" t="n"/>
      <c r="BG600" s="11" t="n"/>
      <c r="BK600" s="11" t="n"/>
      <c r="BL600" s="11" t="n"/>
      <c r="BP600" s="12" t="n"/>
      <c r="BQ600" s="400" t="n"/>
    </row>
    <row r="601">
      <c r="D601" s="11" t="n"/>
      <c r="E601" s="86" t="n"/>
      <c r="F601" s="85" t="n"/>
      <c r="G601" s="85" t="n"/>
      <c r="H601" s="85" t="n"/>
      <c r="I601" s="85" t="n"/>
      <c r="J601" s="85" t="n"/>
      <c r="BD601" s="11" t="n"/>
      <c r="BE601" s="11" t="n"/>
      <c r="BF601" s="11" t="n"/>
      <c r="BG601" s="11" t="n"/>
      <c r="BK601" s="11" t="n"/>
      <c r="BL601" s="11" t="n"/>
      <c r="BP601" s="12" t="n"/>
      <c r="BQ601" s="400" t="n"/>
    </row>
    <row r="602">
      <c r="D602" s="11" t="n"/>
      <c r="E602" s="86" t="n"/>
      <c r="F602" s="85" t="n"/>
      <c r="G602" s="85" t="n"/>
      <c r="H602" s="85" t="n"/>
      <c r="I602" s="85" t="n"/>
      <c r="J602" s="85" t="n"/>
      <c r="BD602" s="11" t="n"/>
      <c r="BE602" s="11" t="n"/>
      <c r="BF602" s="11" t="n"/>
      <c r="BG602" s="11" t="n"/>
      <c r="BK602" s="11" t="n"/>
      <c r="BL602" s="11" t="n"/>
      <c r="BP602" s="12" t="n"/>
      <c r="BQ602" s="400" t="n"/>
    </row>
    <row r="603">
      <c r="D603" s="11" t="n"/>
      <c r="E603" s="86" t="n"/>
      <c r="F603" s="85" t="n"/>
      <c r="G603" s="85" t="n"/>
      <c r="H603" s="85" t="n"/>
      <c r="I603" s="85" t="n"/>
      <c r="J603" s="85" t="n"/>
      <c r="BD603" s="11" t="n"/>
      <c r="BE603" s="11" t="n"/>
      <c r="BF603" s="11" t="n"/>
      <c r="BG603" s="11" t="n"/>
      <c r="BK603" s="11" t="n"/>
      <c r="BL603" s="11" t="n"/>
      <c r="BP603" s="12" t="n"/>
      <c r="BQ603" s="400" t="n"/>
    </row>
    <row r="604">
      <c r="D604" s="11" t="n"/>
      <c r="E604" s="86" t="n"/>
      <c r="F604" s="85" t="n"/>
      <c r="G604" s="85" t="n"/>
      <c r="H604" s="85" t="n"/>
      <c r="I604" s="85" t="n"/>
      <c r="J604" s="85" t="n"/>
      <c r="BD604" s="11" t="n"/>
      <c r="BE604" s="11" t="n"/>
      <c r="BF604" s="11" t="n"/>
      <c r="BG604" s="11" t="n"/>
      <c r="BK604" s="11" t="n"/>
      <c r="BL604" s="11" t="n"/>
      <c r="BP604" s="12" t="n"/>
      <c r="BQ604" s="400" t="n"/>
    </row>
    <row r="605">
      <c r="D605" s="11" t="n"/>
      <c r="E605" s="86" t="n"/>
      <c r="F605" s="85" t="n"/>
      <c r="G605" s="85" t="n"/>
      <c r="H605" s="85" t="n"/>
      <c r="I605" s="85" t="n"/>
      <c r="J605" s="85" t="n"/>
      <c r="BD605" s="11" t="n"/>
      <c r="BE605" s="11" t="n"/>
      <c r="BF605" s="11" t="n"/>
      <c r="BG605" s="11" t="n"/>
      <c r="BK605" s="11" t="n"/>
      <c r="BL605" s="11" t="n"/>
      <c r="BP605" s="12" t="n"/>
      <c r="BQ605" s="400" t="n"/>
    </row>
    <row r="606">
      <c r="D606" s="11" t="n"/>
      <c r="E606" s="86" t="n"/>
      <c r="F606" s="85" t="n"/>
      <c r="G606" s="85" t="n"/>
      <c r="H606" s="85" t="n"/>
      <c r="I606" s="85" t="n"/>
      <c r="J606" s="85" t="n"/>
      <c r="BD606" s="11" t="n"/>
      <c r="BE606" s="11" t="n"/>
      <c r="BF606" s="11" t="n"/>
      <c r="BG606" s="11" t="n"/>
      <c r="BK606" s="11" t="n"/>
      <c r="BL606" s="11" t="n"/>
      <c r="BP606" s="12" t="n"/>
      <c r="BQ606" s="400" t="n"/>
    </row>
    <row r="607">
      <c r="D607" s="11" t="n"/>
      <c r="E607" s="86" t="n"/>
      <c r="F607" s="85" t="n"/>
      <c r="G607" s="85" t="n"/>
      <c r="H607" s="85" t="n"/>
      <c r="I607" s="85" t="n"/>
      <c r="J607" s="85" t="n"/>
      <c r="BD607" s="11" t="n"/>
      <c r="BE607" s="11" t="n"/>
      <c r="BF607" s="11" t="n"/>
      <c r="BG607" s="11" t="n"/>
      <c r="BK607" s="11" t="n"/>
      <c r="BL607" s="11" t="n"/>
      <c r="BP607" s="12" t="n"/>
      <c r="BQ607" s="400" t="n"/>
    </row>
    <row r="608">
      <c r="D608" s="11" t="n"/>
      <c r="E608" s="86" t="n"/>
      <c r="F608" s="85" t="n"/>
      <c r="G608" s="85" t="n"/>
      <c r="H608" s="85" t="n"/>
      <c r="I608" s="85" t="n"/>
      <c r="J608" s="85" t="n"/>
      <c r="BD608" s="11" t="n"/>
      <c r="BE608" s="11" t="n"/>
      <c r="BF608" s="11" t="n"/>
      <c r="BG608" s="11" t="n"/>
      <c r="BK608" s="11" t="n"/>
      <c r="BL608" s="11" t="n"/>
      <c r="BP608" s="12" t="n"/>
      <c r="BQ608" s="400" t="n"/>
    </row>
    <row r="609">
      <c r="D609" s="11" t="n"/>
      <c r="E609" s="86" t="n"/>
      <c r="F609" s="85" t="n"/>
      <c r="G609" s="85" t="n"/>
      <c r="H609" s="85" t="n"/>
      <c r="I609" s="85" t="n"/>
      <c r="J609" s="85" t="n"/>
      <c r="BD609" s="11" t="n"/>
      <c r="BE609" s="11" t="n"/>
      <c r="BF609" s="11" t="n"/>
      <c r="BG609" s="11" t="n"/>
      <c r="BK609" s="11" t="n"/>
      <c r="BL609" s="11" t="n"/>
      <c r="BP609" s="12" t="n"/>
      <c r="BQ609" s="400" t="n"/>
    </row>
    <row r="610">
      <c r="D610" s="11" t="n"/>
      <c r="E610" s="86" t="n"/>
      <c r="F610" s="85" t="n"/>
      <c r="G610" s="85" t="n"/>
      <c r="H610" s="85" t="n"/>
      <c r="I610" s="85" t="n"/>
      <c r="J610" s="85" t="n"/>
      <c r="BD610" s="11" t="n"/>
      <c r="BE610" s="11" t="n"/>
      <c r="BF610" s="11" t="n"/>
      <c r="BG610" s="11" t="n"/>
      <c r="BK610" s="11" t="n"/>
      <c r="BL610" s="11" t="n"/>
      <c r="BP610" s="12" t="n"/>
      <c r="BQ610" s="400" t="n"/>
    </row>
    <row r="611">
      <c r="D611" s="11" t="n"/>
      <c r="E611" s="86" t="n"/>
      <c r="F611" s="85" t="n"/>
      <c r="G611" s="85" t="n"/>
      <c r="H611" s="85" t="n"/>
      <c r="I611" s="85" t="n"/>
      <c r="J611" s="85" t="n"/>
      <c r="BD611" s="11" t="n"/>
      <c r="BE611" s="11" t="n"/>
      <c r="BF611" s="11" t="n"/>
      <c r="BG611" s="11" t="n"/>
      <c r="BK611" s="11" t="n"/>
      <c r="BL611" s="11" t="n"/>
      <c r="BP611" s="12" t="n"/>
      <c r="BQ611" s="400" t="n"/>
    </row>
    <row r="612">
      <c r="D612" s="11" t="n"/>
      <c r="E612" s="86" t="n"/>
      <c r="F612" s="85" t="n"/>
      <c r="G612" s="85" t="n"/>
      <c r="H612" s="85" t="n"/>
      <c r="I612" s="85" t="n"/>
      <c r="J612" s="85" t="n"/>
      <c r="BD612" s="11" t="n"/>
      <c r="BE612" s="11" t="n"/>
      <c r="BF612" s="11" t="n"/>
      <c r="BG612" s="11" t="n"/>
      <c r="BK612" s="11" t="n"/>
      <c r="BL612" s="11" t="n"/>
      <c r="BP612" s="12" t="n"/>
      <c r="BQ612" s="400" t="n"/>
    </row>
    <row r="613">
      <c r="D613" s="11" t="n"/>
      <c r="E613" s="86" t="n"/>
      <c r="F613" s="85" t="n"/>
      <c r="G613" s="85" t="n"/>
      <c r="H613" s="85" t="n"/>
      <c r="I613" s="85" t="n"/>
      <c r="J613" s="85" t="n"/>
      <c r="BD613" s="11" t="n"/>
      <c r="BE613" s="11" t="n"/>
      <c r="BF613" s="11" t="n"/>
      <c r="BG613" s="11" t="n"/>
      <c r="BK613" s="11" t="n"/>
      <c r="BL613" s="11" t="n"/>
      <c r="BP613" s="12" t="n"/>
      <c r="BQ613" s="400" t="n"/>
    </row>
    <row r="614">
      <c r="D614" s="11" t="n"/>
      <c r="E614" s="86" t="n"/>
      <c r="F614" s="85" t="n"/>
      <c r="G614" s="85" t="n"/>
      <c r="H614" s="85" t="n"/>
      <c r="I614" s="85" t="n"/>
      <c r="J614" s="85" t="n"/>
      <c r="BD614" s="11" t="n"/>
      <c r="BE614" s="11" t="n"/>
      <c r="BF614" s="11" t="n"/>
      <c r="BG614" s="11" t="n"/>
      <c r="BK614" s="11" t="n"/>
      <c r="BL614" s="11" t="n"/>
      <c r="BP614" s="12" t="n"/>
      <c r="BQ614" s="400" t="n"/>
    </row>
    <row r="615">
      <c r="D615" s="11" t="n"/>
      <c r="E615" s="86" t="n"/>
      <c r="F615" s="85" t="n"/>
      <c r="G615" s="85" t="n"/>
      <c r="H615" s="85" t="n"/>
      <c r="I615" s="85" t="n"/>
      <c r="J615" s="85" t="n"/>
      <c r="BD615" s="11" t="n"/>
      <c r="BE615" s="11" t="n"/>
      <c r="BF615" s="11" t="n"/>
      <c r="BG615" s="11" t="n"/>
      <c r="BK615" s="11" t="n"/>
      <c r="BL615" s="11" t="n"/>
      <c r="BP615" s="12" t="n"/>
      <c r="BQ615" s="400" t="n"/>
    </row>
    <row r="616">
      <c r="D616" s="11" t="n"/>
      <c r="E616" s="86" t="n"/>
      <c r="F616" s="85" t="n"/>
      <c r="G616" s="85" t="n"/>
      <c r="H616" s="85" t="n"/>
      <c r="I616" s="85" t="n"/>
      <c r="J616" s="85" t="n"/>
      <c r="BD616" s="11" t="n"/>
      <c r="BE616" s="11" t="n"/>
      <c r="BF616" s="11" t="n"/>
      <c r="BG616" s="11" t="n"/>
      <c r="BK616" s="11" t="n"/>
      <c r="BL616" s="11" t="n"/>
      <c r="BP616" s="12" t="n"/>
      <c r="BQ616" s="400" t="n"/>
    </row>
    <row r="617">
      <c r="D617" s="11" t="n"/>
      <c r="E617" s="86" t="n"/>
      <c r="F617" s="85" t="n"/>
      <c r="G617" s="85" t="n"/>
      <c r="H617" s="85" t="n"/>
      <c r="I617" s="85" t="n"/>
      <c r="J617" s="85" t="n"/>
      <c r="BD617" s="11" t="n"/>
      <c r="BE617" s="11" t="n"/>
      <c r="BF617" s="11" t="n"/>
      <c r="BG617" s="11" t="n"/>
      <c r="BK617" s="11" t="n"/>
      <c r="BL617" s="11" t="n"/>
      <c r="BP617" s="12" t="n"/>
      <c r="BQ617" s="400" t="n"/>
    </row>
    <row r="618">
      <c r="D618" s="11" t="n"/>
      <c r="E618" s="86" t="n"/>
      <c r="F618" s="85" t="n"/>
      <c r="G618" s="85" t="n"/>
      <c r="H618" s="85" t="n"/>
      <c r="I618" s="85" t="n"/>
      <c r="J618" s="85" t="n"/>
      <c r="BD618" s="11" t="n"/>
      <c r="BE618" s="11" t="n"/>
      <c r="BF618" s="11" t="n"/>
      <c r="BG618" s="11" t="n"/>
      <c r="BK618" s="11" t="n"/>
      <c r="BL618" s="11" t="n"/>
      <c r="BP618" s="12" t="n"/>
      <c r="BQ618" s="400" t="n"/>
    </row>
    <row r="619">
      <c r="D619" s="11" t="n"/>
      <c r="E619" s="86" t="n"/>
      <c r="F619" s="85" t="n"/>
      <c r="G619" s="85" t="n"/>
      <c r="H619" s="85" t="n"/>
      <c r="I619" s="85" t="n"/>
      <c r="J619" s="85" t="n"/>
      <c r="BD619" s="11" t="n"/>
      <c r="BE619" s="11" t="n"/>
      <c r="BF619" s="11" t="n"/>
      <c r="BG619" s="11" t="n"/>
      <c r="BK619" s="11" t="n"/>
      <c r="BL619" s="11" t="n"/>
      <c r="BP619" s="12" t="n"/>
      <c r="BQ619" s="400" t="n"/>
    </row>
    <row r="620">
      <c r="D620" s="11" t="n"/>
      <c r="E620" s="86" t="n"/>
      <c r="F620" s="85" t="n"/>
      <c r="G620" s="85" t="n"/>
      <c r="H620" s="85" t="n"/>
      <c r="I620" s="85" t="n"/>
      <c r="J620" s="85" t="n"/>
      <c r="BD620" s="11" t="n"/>
      <c r="BE620" s="11" t="n"/>
      <c r="BF620" s="11" t="n"/>
      <c r="BG620" s="11" t="n"/>
      <c r="BK620" s="11" t="n"/>
      <c r="BL620" s="11" t="n"/>
      <c r="BP620" s="12" t="n"/>
      <c r="BQ620" s="400" t="n"/>
    </row>
    <row r="621">
      <c r="D621" s="11" t="n"/>
      <c r="E621" s="86" t="n"/>
      <c r="F621" s="85" t="n"/>
      <c r="G621" s="85" t="n"/>
      <c r="H621" s="85" t="n"/>
      <c r="I621" s="85" t="n"/>
      <c r="J621" s="85" t="n"/>
      <c r="BD621" s="11" t="n"/>
      <c r="BE621" s="11" t="n"/>
      <c r="BF621" s="11" t="n"/>
      <c r="BG621" s="11" t="n"/>
      <c r="BK621" s="11" t="n"/>
      <c r="BL621" s="11" t="n"/>
      <c r="BP621" s="12" t="n"/>
      <c r="BQ621" s="400" t="n"/>
    </row>
    <row r="622">
      <c r="D622" s="11" t="n"/>
      <c r="E622" s="86" t="n"/>
      <c r="F622" s="85" t="n"/>
      <c r="G622" s="85" t="n"/>
      <c r="H622" s="85" t="n"/>
      <c r="I622" s="85" t="n"/>
      <c r="J622" s="85" t="n"/>
      <c r="BD622" s="11" t="n"/>
      <c r="BE622" s="11" t="n"/>
      <c r="BF622" s="11" t="n"/>
      <c r="BG622" s="11" t="n"/>
      <c r="BK622" s="11" t="n"/>
      <c r="BL622" s="11" t="n"/>
      <c r="BP622" s="12" t="n"/>
      <c r="BQ622" s="400" t="n"/>
    </row>
    <row r="623">
      <c r="D623" s="11" t="n"/>
      <c r="E623" s="86" t="n"/>
      <c r="F623" s="85" t="n"/>
      <c r="G623" s="85" t="n"/>
      <c r="H623" s="85" t="n"/>
      <c r="I623" s="85" t="n"/>
      <c r="J623" s="85" t="n"/>
      <c r="BD623" s="11" t="n"/>
      <c r="BE623" s="11" t="n"/>
      <c r="BF623" s="11" t="n"/>
      <c r="BG623" s="11" t="n"/>
      <c r="BK623" s="11" t="n"/>
      <c r="BL623" s="11" t="n"/>
      <c r="BP623" s="12" t="n"/>
      <c r="BQ623" s="400" t="n"/>
    </row>
    <row r="624">
      <c r="D624" s="11" t="n"/>
      <c r="E624" s="86" t="n"/>
      <c r="F624" s="85" t="n"/>
      <c r="G624" s="85" t="n"/>
      <c r="H624" s="85" t="n"/>
      <c r="I624" s="85" t="n"/>
      <c r="J624" s="85" t="n"/>
      <c r="BD624" s="11" t="n"/>
      <c r="BE624" s="11" t="n"/>
      <c r="BF624" s="11" t="n"/>
      <c r="BG624" s="11" t="n"/>
      <c r="BK624" s="11" t="n"/>
      <c r="BL624" s="11" t="n"/>
      <c r="BP624" s="12" t="n"/>
      <c r="BQ624" s="400" t="n"/>
    </row>
    <row r="625">
      <c r="D625" s="11" t="n"/>
      <c r="E625" s="86" t="n"/>
      <c r="F625" s="85" t="n"/>
      <c r="G625" s="85" t="n"/>
      <c r="H625" s="85" t="n"/>
      <c r="I625" s="85" t="n"/>
      <c r="J625" s="85" t="n"/>
      <c r="BD625" s="11" t="n"/>
      <c r="BE625" s="11" t="n"/>
      <c r="BF625" s="11" t="n"/>
      <c r="BG625" s="11" t="n"/>
      <c r="BK625" s="11" t="n"/>
      <c r="BL625" s="11" t="n"/>
      <c r="BP625" s="12" t="n"/>
      <c r="BQ625" s="400" t="n"/>
    </row>
    <row r="626">
      <c r="D626" s="11" t="n"/>
      <c r="E626" s="86" t="n"/>
      <c r="F626" s="85" t="n"/>
      <c r="G626" s="85" t="n"/>
      <c r="H626" s="85" t="n"/>
      <c r="I626" s="85" t="n"/>
      <c r="J626" s="85" t="n"/>
      <c r="BD626" s="11" t="n"/>
      <c r="BE626" s="11" t="n"/>
      <c r="BF626" s="11" t="n"/>
      <c r="BG626" s="11" t="n"/>
      <c r="BK626" s="11" t="n"/>
      <c r="BL626" s="11" t="n"/>
      <c r="BP626" s="12" t="n"/>
      <c r="BQ626" s="400" t="n"/>
    </row>
    <row r="627">
      <c r="D627" s="11" t="n"/>
      <c r="E627" s="86" t="n"/>
      <c r="F627" s="85" t="n"/>
      <c r="G627" s="85" t="n"/>
      <c r="H627" s="85" t="n"/>
      <c r="I627" s="85" t="n"/>
      <c r="J627" s="85" t="n"/>
      <c r="BD627" s="11" t="n"/>
      <c r="BE627" s="11" t="n"/>
      <c r="BF627" s="11" t="n"/>
      <c r="BG627" s="11" t="n"/>
      <c r="BK627" s="11" t="n"/>
      <c r="BL627" s="11" t="n"/>
      <c r="BP627" s="12" t="n"/>
      <c r="BQ627" s="400" t="n"/>
    </row>
    <row r="628">
      <c r="D628" s="11" t="n"/>
      <c r="E628" s="86" t="n"/>
      <c r="F628" s="85" t="n"/>
      <c r="G628" s="85" t="n"/>
      <c r="H628" s="85" t="n"/>
      <c r="I628" s="85" t="n"/>
      <c r="J628" s="85" t="n"/>
      <c r="BD628" s="11" t="n"/>
      <c r="BE628" s="11" t="n"/>
      <c r="BF628" s="11" t="n"/>
      <c r="BG628" s="11" t="n"/>
      <c r="BK628" s="11" t="n"/>
      <c r="BL628" s="11" t="n"/>
      <c r="BP628" s="12" t="n"/>
      <c r="BQ628" s="400" t="n"/>
    </row>
    <row r="629">
      <c r="D629" s="11" t="n"/>
      <c r="E629" s="86" t="n"/>
      <c r="F629" s="85" t="n"/>
      <c r="G629" s="85" t="n"/>
      <c r="H629" s="85" t="n"/>
      <c r="I629" s="85" t="n"/>
      <c r="J629" s="85" t="n"/>
      <c r="BD629" s="11" t="n"/>
      <c r="BE629" s="11" t="n"/>
      <c r="BF629" s="11" t="n"/>
      <c r="BG629" s="11" t="n"/>
      <c r="BK629" s="11" t="n"/>
      <c r="BL629" s="11" t="n"/>
      <c r="BP629" s="12" t="n"/>
      <c r="BQ629" s="400" t="n"/>
    </row>
    <row r="630">
      <c r="D630" s="11" t="n"/>
      <c r="E630" s="86" t="n"/>
      <c r="F630" s="85" t="n"/>
      <c r="G630" s="85" t="n"/>
      <c r="H630" s="85" t="n"/>
      <c r="I630" s="85" t="n"/>
      <c r="J630" s="85" t="n"/>
      <c r="BD630" s="11" t="n"/>
      <c r="BE630" s="11" t="n"/>
      <c r="BF630" s="11" t="n"/>
      <c r="BG630" s="11" t="n"/>
      <c r="BK630" s="11" t="n"/>
      <c r="BL630" s="11" t="n"/>
      <c r="BP630" s="12" t="n"/>
      <c r="BQ630" s="400" t="n"/>
    </row>
    <row r="631">
      <c r="D631" s="11" t="n"/>
      <c r="E631" s="86" t="n"/>
      <c r="F631" s="85" t="n"/>
      <c r="G631" s="85" t="n"/>
      <c r="H631" s="85" t="n"/>
      <c r="I631" s="85" t="n"/>
      <c r="J631" s="85" t="n"/>
      <c r="BD631" s="11" t="n"/>
      <c r="BE631" s="11" t="n"/>
      <c r="BF631" s="11" t="n"/>
      <c r="BG631" s="11" t="n"/>
      <c r="BK631" s="11" t="n"/>
      <c r="BL631" s="11" t="n"/>
      <c r="BP631" s="12" t="n"/>
      <c r="BQ631" s="400" t="n"/>
    </row>
    <row r="632">
      <c r="D632" s="11" t="n"/>
      <c r="E632" s="86" t="n"/>
      <c r="F632" s="85" t="n"/>
      <c r="G632" s="85" t="n"/>
      <c r="H632" s="85" t="n"/>
      <c r="I632" s="85" t="n"/>
      <c r="J632" s="85" t="n"/>
      <c r="BD632" s="11" t="n"/>
      <c r="BE632" s="11" t="n"/>
      <c r="BF632" s="11" t="n"/>
      <c r="BG632" s="11" t="n"/>
      <c r="BK632" s="11" t="n"/>
      <c r="BL632" s="11" t="n"/>
      <c r="BP632" s="12" t="n"/>
      <c r="BQ632" s="400" t="n"/>
    </row>
    <row r="633">
      <c r="D633" s="11" t="n"/>
      <c r="E633" s="86" t="n"/>
      <c r="F633" s="85" t="n"/>
      <c r="G633" s="85" t="n"/>
      <c r="H633" s="85" t="n"/>
      <c r="I633" s="85" t="n"/>
      <c r="J633" s="85" t="n"/>
      <c r="BD633" s="11" t="n"/>
      <c r="BE633" s="11" t="n"/>
      <c r="BF633" s="11" t="n"/>
      <c r="BG633" s="11" t="n"/>
      <c r="BK633" s="11" t="n"/>
      <c r="BL633" s="11" t="n"/>
      <c r="BP633" s="12" t="n"/>
      <c r="BQ633" s="400" t="n"/>
    </row>
    <row r="634">
      <c r="D634" s="11" t="n"/>
      <c r="E634" s="86" t="n"/>
      <c r="F634" s="85" t="n"/>
      <c r="G634" s="85" t="n"/>
      <c r="H634" s="85" t="n"/>
      <c r="I634" s="85" t="n"/>
      <c r="J634" s="85" t="n"/>
      <c r="BD634" s="11" t="n"/>
      <c r="BE634" s="11" t="n"/>
      <c r="BF634" s="11" t="n"/>
      <c r="BG634" s="11" t="n"/>
      <c r="BK634" s="11" t="n"/>
      <c r="BL634" s="11" t="n"/>
      <c r="BP634" s="12" t="n"/>
      <c r="BQ634" s="400" t="n"/>
    </row>
    <row r="635">
      <c r="D635" s="11" t="n"/>
      <c r="E635" s="86" t="n"/>
      <c r="F635" s="85" t="n"/>
      <c r="G635" s="85" t="n"/>
      <c r="H635" s="85" t="n"/>
      <c r="I635" s="85" t="n"/>
      <c r="J635" s="85" t="n"/>
      <c r="BD635" s="11" t="n"/>
      <c r="BE635" s="11" t="n"/>
      <c r="BF635" s="11" t="n"/>
      <c r="BG635" s="11" t="n"/>
      <c r="BK635" s="11" t="n"/>
      <c r="BL635" s="11" t="n"/>
      <c r="BP635" s="12" t="n"/>
      <c r="BQ635" s="400" t="n"/>
    </row>
    <row r="636">
      <c r="D636" s="11" t="n"/>
      <c r="E636" s="86" t="n"/>
      <c r="F636" s="85" t="n"/>
      <c r="G636" s="85" t="n"/>
      <c r="H636" s="85" t="n"/>
      <c r="I636" s="85" t="n"/>
      <c r="J636" s="85" t="n"/>
      <c r="BD636" s="11" t="n"/>
      <c r="BE636" s="11" t="n"/>
      <c r="BF636" s="11" t="n"/>
      <c r="BG636" s="11" t="n"/>
      <c r="BK636" s="11" t="n"/>
      <c r="BL636" s="11" t="n"/>
      <c r="BP636" s="12" t="n"/>
      <c r="BQ636" s="400" t="n"/>
    </row>
    <row r="637">
      <c r="D637" s="11" t="n"/>
      <c r="E637" s="86" t="n"/>
      <c r="F637" s="85" t="n"/>
      <c r="G637" s="85" t="n"/>
      <c r="H637" s="85" t="n"/>
      <c r="I637" s="85" t="n"/>
      <c r="J637" s="85" t="n"/>
      <c r="BD637" s="11" t="n"/>
      <c r="BE637" s="11" t="n"/>
      <c r="BF637" s="11" t="n"/>
      <c r="BG637" s="11" t="n"/>
      <c r="BK637" s="11" t="n"/>
      <c r="BL637" s="11" t="n"/>
      <c r="BP637" s="12" t="n"/>
      <c r="BQ637" s="400" t="n"/>
    </row>
    <row r="638">
      <c r="D638" s="11" t="n"/>
      <c r="E638" s="86" t="n"/>
      <c r="F638" s="85" t="n"/>
      <c r="G638" s="85" t="n"/>
      <c r="H638" s="85" t="n"/>
      <c r="I638" s="85" t="n"/>
      <c r="J638" s="85" t="n"/>
      <c r="BD638" s="11" t="n"/>
      <c r="BE638" s="11" t="n"/>
      <c r="BF638" s="11" t="n"/>
      <c r="BG638" s="11" t="n"/>
      <c r="BK638" s="11" t="n"/>
      <c r="BL638" s="11" t="n"/>
      <c r="BP638" s="12" t="n"/>
      <c r="BQ638" s="400" t="n"/>
    </row>
    <row r="639">
      <c r="D639" s="11" t="n"/>
      <c r="E639" s="86" t="n"/>
      <c r="F639" s="85" t="n"/>
      <c r="G639" s="85" t="n"/>
      <c r="H639" s="85" t="n"/>
      <c r="I639" s="85" t="n"/>
      <c r="J639" s="85" t="n"/>
      <c r="BD639" s="11" t="n"/>
      <c r="BE639" s="11" t="n"/>
      <c r="BF639" s="11" t="n"/>
      <c r="BG639" s="11" t="n"/>
      <c r="BK639" s="11" t="n"/>
      <c r="BL639" s="11" t="n"/>
      <c r="BP639" s="12" t="n"/>
      <c r="BQ639" s="400" t="n"/>
    </row>
    <row r="640">
      <c r="D640" s="11" t="n"/>
      <c r="E640" s="86" t="n"/>
      <c r="F640" s="85" t="n"/>
      <c r="G640" s="85" t="n"/>
      <c r="H640" s="85" t="n"/>
      <c r="I640" s="85" t="n"/>
      <c r="J640" s="85" t="n"/>
      <c r="BD640" s="11" t="n"/>
      <c r="BE640" s="11" t="n"/>
      <c r="BF640" s="11" t="n"/>
      <c r="BG640" s="11" t="n"/>
      <c r="BK640" s="11" t="n"/>
      <c r="BL640" s="11" t="n"/>
      <c r="BP640" s="12" t="n"/>
      <c r="BQ640" s="400" t="n"/>
    </row>
    <row r="641">
      <c r="D641" s="11" t="n"/>
      <c r="E641" s="86" t="n"/>
      <c r="F641" s="85" t="n"/>
      <c r="G641" s="85" t="n"/>
      <c r="H641" s="85" t="n"/>
      <c r="I641" s="85" t="n"/>
      <c r="J641" s="85" t="n"/>
      <c r="BD641" s="11" t="n"/>
      <c r="BE641" s="11" t="n"/>
      <c r="BF641" s="11" t="n"/>
      <c r="BG641" s="11" t="n"/>
      <c r="BK641" s="11" t="n"/>
      <c r="BL641" s="11" t="n"/>
      <c r="BP641" s="12" t="n"/>
      <c r="BQ641" s="400" t="n"/>
    </row>
    <row r="642">
      <c r="D642" s="11" t="n"/>
      <c r="E642" s="86" t="n"/>
      <c r="F642" s="85" t="n"/>
      <c r="G642" s="85" t="n"/>
      <c r="H642" s="85" t="n"/>
      <c r="I642" s="85" t="n"/>
      <c r="J642" s="85" t="n"/>
      <c r="BD642" s="11" t="n"/>
      <c r="BE642" s="11" t="n"/>
      <c r="BF642" s="11" t="n"/>
      <c r="BG642" s="11" t="n"/>
      <c r="BK642" s="11" t="n"/>
      <c r="BL642" s="11" t="n"/>
      <c r="BP642" s="12" t="n"/>
      <c r="BQ642" s="400" t="n"/>
    </row>
    <row r="643">
      <c r="D643" s="11" t="n"/>
      <c r="E643" s="86" t="n"/>
      <c r="F643" s="85" t="n"/>
      <c r="G643" s="85" t="n"/>
      <c r="H643" s="85" t="n"/>
      <c r="I643" s="85" t="n"/>
      <c r="J643" s="85" t="n"/>
      <c r="BD643" s="11" t="n"/>
      <c r="BE643" s="11" t="n"/>
      <c r="BF643" s="11" t="n"/>
      <c r="BG643" s="11" t="n"/>
      <c r="BK643" s="11" t="n"/>
      <c r="BL643" s="11" t="n"/>
      <c r="BP643" s="12" t="n"/>
      <c r="BQ643" s="400" t="n"/>
    </row>
    <row r="644">
      <c r="D644" s="11" t="n"/>
      <c r="E644" s="86" t="n"/>
      <c r="F644" s="85" t="n"/>
      <c r="G644" s="85" t="n"/>
      <c r="H644" s="85" t="n"/>
      <c r="I644" s="85" t="n"/>
      <c r="J644" s="85" t="n"/>
      <c r="BD644" s="11" t="n"/>
      <c r="BE644" s="11" t="n"/>
      <c r="BF644" s="11" t="n"/>
      <c r="BG644" s="11" t="n"/>
      <c r="BK644" s="11" t="n"/>
      <c r="BL644" s="11" t="n"/>
      <c r="BP644" s="12" t="n"/>
      <c r="BQ644" s="400" t="n"/>
    </row>
    <row r="645">
      <c r="D645" s="11" t="n"/>
      <c r="E645" s="86" t="n"/>
      <c r="F645" s="85" t="n"/>
      <c r="G645" s="85" t="n"/>
      <c r="H645" s="85" t="n"/>
      <c r="I645" s="85" t="n"/>
      <c r="J645" s="85" t="n"/>
      <c r="BD645" s="11" t="n"/>
      <c r="BE645" s="11" t="n"/>
      <c r="BF645" s="11" t="n"/>
      <c r="BG645" s="11" t="n"/>
      <c r="BK645" s="11" t="n"/>
      <c r="BL645" s="11" t="n"/>
      <c r="BP645" s="12" t="n"/>
      <c r="BQ645" s="400" t="n"/>
    </row>
    <row r="646">
      <c r="D646" s="11" t="n"/>
      <c r="E646" s="86" t="n"/>
      <c r="F646" s="85" t="n"/>
      <c r="G646" s="85" t="n"/>
      <c r="H646" s="85" t="n"/>
      <c r="I646" s="85" t="n"/>
      <c r="J646" s="85" t="n"/>
      <c r="BD646" s="11" t="n"/>
      <c r="BE646" s="11" t="n"/>
      <c r="BF646" s="11" t="n"/>
      <c r="BG646" s="11" t="n"/>
      <c r="BK646" s="11" t="n"/>
      <c r="BL646" s="11" t="n"/>
      <c r="BP646" s="12" t="n"/>
      <c r="BQ646" s="400" t="n"/>
    </row>
    <row r="647">
      <c r="D647" s="11" t="n"/>
      <c r="E647" s="86" t="n"/>
      <c r="F647" s="85" t="n"/>
      <c r="G647" s="85" t="n"/>
      <c r="H647" s="85" t="n"/>
      <c r="I647" s="85" t="n"/>
      <c r="J647" s="85" t="n"/>
      <c r="BD647" s="11" t="n"/>
      <c r="BE647" s="11" t="n"/>
      <c r="BF647" s="11" t="n"/>
      <c r="BG647" s="11" t="n"/>
      <c r="BK647" s="11" t="n"/>
      <c r="BL647" s="11" t="n"/>
      <c r="BP647" s="12" t="n"/>
      <c r="BQ647" s="400" t="n"/>
    </row>
    <row r="648">
      <c r="D648" s="11" t="n"/>
      <c r="E648" s="86" t="n"/>
      <c r="F648" s="85" t="n"/>
      <c r="G648" s="85" t="n"/>
      <c r="H648" s="85" t="n"/>
      <c r="I648" s="85" t="n"/>
      <c r="J648" s="85" t="n"/>
      <c r="BD648" s="11" t="n"/>
      <c r="BE648" s="11" t="n"/>
      <c r="BF648" s="11" t="n"/>
      <c r="BG648" s="11" t="n"/>
      <c r="BK648" s="11" t="n"/>
      <c r="BL648" s="11" t="n"/>
      <c r="BP648" s="12" t="n"/>
      <c r="BQ648" s="400" t="n"/>
    </row>
    <row r="649">
      <c r="D649" s="11" t="n"/>
      <c r="E649" s="86" t="n"/>
      <c r="F649" s="85" t="n"/>
      <c r="G649" s="85" t="n"/>
      <c r="H649" s="85" t="n"/>
      <c r="I649" s="85" t="n"/>
      <c r="J649" s="85" t="n"/>
      <c r="BD649" s="11" t="n"/>
      <c r="BE649" s="11" t="n"/>
      <c r="BF649" s="11" t="n"/>
      <c r="BG649" s="11" t="n"/>
      <c r="BK649" s="11" t="n"/>
      <c r="BL649" s="11" t="n"/>
      <c r="BP649" s="12" t="n"/>
      <c r="BQ649" s="400" t="n"/>
    </row>
    <row r="650">
      <c r="D650" s="11" t="n"/>
      <c r="E650" s="86" t="n"/>
      <c r="F650" s="85" t="n"/>
      <c r="G650" s="85" t="n"/>
      <c r="H650" s="85" t="n"/>
      <c r="I650" s="85" t="n"/>
      <c r="J650" s="85" t="n"/>
      <c r="BD650" s="11" t="n"/>
      <c r="BE650" s="11" t="n"/>
      <c r="BF650" s="11" t="n"/>
      <c r="BG650" s="11" t="n"/>
      <c r="BK650" s="11" t="n"/>
      <c r="BL650" s="11" t="n"/>
      <c r="BP650" s="12" t="n"/>
      <c r="BQ650" s="400" t="n"/>
    </row>
    <row r="651">
      <c r="D651" s="11" t="n"/>
      <c r="E651" s="86" t="n"/>
      <c r="F651" s="85" t="n"/>
      <c r="G651" s="85" t="n"/>
      <c r="H651" s="85" t="n"/>
      <c r="I651" s="85" t="n"/>
      <c r="J651" s="85" t="n"/>
      <c r="BD651" s="11" t="n"/>
      <c r="BE651" s="11" t="n"/>
      <c r="BF651" s="11" t="n"/>
      <c r="BG651" s="11" t="n"/>
      <c r="BK651" s="11" t="n"/>
      <c r="BL651" s="11" t="n"/>
      <c r="BP651" s="12" t="n"/>
      <c r="BQ651" s="400" t="n"/>
    </row>
    <row r="652">
      <c r="D652" s="11" t="n"/>
      <c r="E652" s="86" t="n"/>
      <c r="F652" s="85" t="n"/>
      <c r="G652" s="85" t="n"/>
      <c r="H652" s="85" t="n"/>
      <c r="I652" s="85" t="n"/>
      <c r="J652" s="85" t="n"/>
      <c r="BD652" s="11" t="n"/>
      <c r="BE652" s="11" t="n"/>
      <c r="BF652" s="11" t="n"/>
      <c r="BG652" s="11" t="n"/>
      <c r="BK652" s="11" t="n"/>
      <c r="BL652" s="11" t="n"/>
      <c r="BP652" s="12" t="n"/>
      <c r="BQ652" s="400" t="n"/>
    </row>
    <row r="653">
      <c r="D653" s="11" t="n"/>
      <c r="E653" s="86" t="n"/>
      <c r="F653" s="85" t="n"/>
      <c r="G653" s="85" t="n"/>
      <c r="H653" s="85" t="n"/>
      <c r="I653" s="85" t="n"/>
      <c r="J653" s="85" t="n"/>
      <c r="BD653" s="11" t="n"/>
      <c r="BE653" s="11" t="n"/>
      <c r="BF653" s="11" t="n"/>
      <c r="BG653" s="11" t="n"/>
      <c r="BK653" s="11" t="n"/>
      <c r="BL653" s="11" t="n"/>
      <c r="BP653" s="12" t="n"/>
      <c r="BQ653" s="400" t="n"/>
    </row>
    <row r="654">
      <c r="D654" s="11" t="n"/>
      <c r="E654" s="86" t="n"/>
      <c r="F654" s="85" t="n"/>
      <c r="G654" s="85" t="n"/>
      <c r="H654" s="85" t="n"/>
      <c r="I654" s="85" t="n"/>
      <c r="J654" s="85" t="n"/>
      <c r="BD654" s="11" t="n"/>
      <c r="BE654" s="11" t="n"/>
      <c r="BF654" s="11" t="n"/>
      <c r="BG654" s="11" t="n"/>
      <c r="BK654" s="11" t="n"/>
      <c r="BL654" s="11" t="n"/>
      <c r="BP654" s="12" t="n"/>
      <c r="BQ654" s="400" t="n"/>
    </row>
    <row r="655">
      <c r="D655" s="11" t="n"/>
      <c r="E655" s="86" t="n"/>
      <c r="F655" s="85" t="n"/>
      <c r="G655" s="85" t="n"/>
      <c r="H655" s="85" t="n"/>
      <c r="I655" s="85" t="n"/>
      <c r="J655" s="85" t="n"/>
      <c r="BD655" s="11" t="n"/>
      <c r="BE655" s="11" t="n"/>
      <c r="BF655" s="11" t="n"/>
      <c r="BG655" s="11" t="n"/>
      <c r="BK655" s="11" t="n"/>
      <c r="BL655" s="11" t="n"/>
      <c r="BP655" s="12" t="n"/>
      <c r="BQ655" s="400" t="n"/>
    </row>
    <row r="656">
      <c r="D656" s="11" t="n"/>
      <c r="E656" s="86" t="n"/>
      <c r="F656" s="85" t="n"/>
      <c r="G656" s="85" t="n"/>
      <c r="H656" s="85" t="n"/>
      <c r="I656" s="85" t="n"/>
      <c r="J656" s="85" t="n"/>
      <c r="BD656" s="11" t="n"/>
      <c r="BE656" s="11" t="n"/>
      <c r="BF656" s="11" t="n"/>
      <c r="BG656" s="11" t="n"/>
      <c r="BK656" s="11" t="n"/>
      <c r="BL656" s="11" t="n"/>
      <c r="BP656" s="12" t="n"/>
      <c r="BQ656" s="400" t="n"/>
    </row>
    <row r="657">
      <c r="D657" s="11" t="n"/>
      <c r="E657" s="86" t="n"/>
      <c r="F657" s="85" t="n"/>
      <c r="G657" s="85" t="n"/>
      <c r="H657" s="85" t="n"/>
      <c r="I657" s="85" t="n"/>
      <c r="J657" s="85" t="n"/>
      <c r="BD657" s="11" t="n"/>
      <c r="BE657" s="11" t="n"/>
      <c r="BF657" s="11" t="n"/>
      <c r="BG657" s="11" t="n"/>
      <c r="BK657" s="11" t="n"/>
      <c r="BL657" s="11" t="n"/>
      <c r="BP657" s="12" t="n"/>
      <c r="BQ657" s="400" t="n"/>
    </row>
    <row r="658">
      <c r="D658" s="11" t="n"/>
      <c r="E658" s="86" t="n"/>
      <c r="F658" s="85" t="n"/>
      <c r="G658" s="85" t="n"/>
      <c r="H658" s="85" t="n"/>
      <c r="I658" s="85" t="n"/>
      <c r="J658" s="85" t="n"/>
      <c r="BD658" s="11" t="n"/>
      <c r="BE658" s="11" t="n"/>
      <c r="BF658" s="11" t="n"/>
      <c r="BG658" s="11" t="n"/>
      <c r="BK658" s="11" t="n"/>
      <c r="BL658" s="11" t="n"/>
      <c r="BP658" s="12" t="n"/>
      <c r="BQ658" s="400" t="n"/>
    </row>
    <row r="659">
      <c r="D659" s="11" t="n"/>
      <c r="E659" s="86" t="n"/>
      <c r="F659" s="85" t="n"/>
      <c r="G659" s="85" t="n"/>
      <c r="H659" s="85" t="n"/>
      <c r="I659" s="85" t="n"/>
      <c r="J659" s="85" t="n"/>
      <c r="BD659" s="11" t="n"/>
      <c r="BE659" s="11" t="n"/>
      <c r="BF659" s="11" t="n"/>
      <c r="BG659" s="11" t="n"/>
      <c r="BK659" s="11" t="n"/>
      <c r="BL659" s="11" t="n"/>
      <c r="BP659" s="12" t="n"/>
      <c r="BQ659" s="400" t="n"/>
    </row>
    <row r="660">
      <c r="D660" s="11" t="n"/>
      <c r="E660" s="86" t="n"/>
      <c r="F660" s="85" t="n"/>
      <c r="G660" s="85" t="n"/>
      <c r="H660" s="85" t="n"/>
      <c r="I660" s="85" t="n"/>
      <c r="J660" s="85" t="n"/>
      <c r="BD660" s="11" t="n"/>
      <c r="BE660" s="11" t="n"/>
      <c r="BF660" s="11" t="n"/>
      <c r="BG660" s="11" t="n"/>
      <c r="BK660" s="11" t="n"/>
      <c r="BL660" s="11" t="n"/>
      <c r="BP660" s="12" t="n"/>
      <c r="BQ660" s="400" t="n"/>
    </row>
    <row r="661">
      <c r="D661" s="11" t="n"/>
      <c r="E661" s="86" t="n"/>
      <c r="F661" s="85" t="n"/>
      <c r="G661" s="85" t="n"/>
      <c r="H661" s="85" t="n"/>
      <c r="I661" s="85" t="n"/>
      <c r="J661" s="85" t="n"/>
      <c r="BD661" s="11" t="n"/>
      <c r="BE661" s="11" t="n"/>
      <c r="BF661" s="11" t="n"/>
      <c r="BG661" s="11" t="n"/>
      <c r="BK661" s="11" t="n"/>
      <c r="BL661" s="11" t="n"/>
      <c r="BP661" s="12" t="n"/>
      <c r="BQ661" s="400" t="n"/>
    </row>
    <row r="662">
      <c r="D662" s="11" t="n"/>
      <c r="E662" s="86" t="n"/>
      <c r="F662" s="85" t="n"/>
      <c r="G662" s="85" t="n"/>
      <c r="H662" s="85" t="n"/>
      <c r="I662" s="85" t="n"/>
      <c r="J662" s="85" t="n"/>
      <c r="BD662" s="11" t="n"/>
      <c r="BE662" s="11" t="n"/>
      <c r="BF662" s="11" t="n"/>
      <c r="BG662" s="11" t="n"/>
      <c r="BK662" s="11" t="n"/>
      <c r="BL662" s="11" t="n"/>
      <c r="BP662" s="12" t="n"/>
      <c r="BQ662" s="400" t="n"/>
    </row>
    <row r="663">
      <c r="D663" s="11" t="n"/>
      <c r="E663" s="86" t="n"/>
      <c r="F663" s="85" t="n"/>
      <c r="G663" s="85" t="n"/>
      <c r="H663" s="85" t="n"/>
      <c r="I663" s="85" t="n"/>
      <c r="J663" s="85" t="n"/>
      <c r="BD663" s="11" t="n"/>
      <c r="BE663" s="11" t="n"/>
      <c r="BF663" s="11" t="n"/>
      <c r="BG663" s="11" t="n"/>
      <c r="BK663" s="11" t="n"/>
      <c r="BL663" s="11" t="n"/>
      <c r="BP663" s="12" t="n"/>
      <c r="BQ663" s="400" t="n"/>
    </row>
    <row r="664">
      <c r="D664" s="11" t="n"/>
      <c r="E664" s="86" t="n"/>
      <c r="F664" s="85" t="n"/>
      <c r="G664" s="85" t="n"/>
      <c r="H664" s="85" t="n"/>
      <c r="I664" s="85" t="n"/>
      <c r="J664" s="85" t="n"/>
      <c r="BD664" s="11" t="n"/>
      <c r="BE664" s="11" t="n"/>
      <c r="BF664" s="11" t="n"/>
      <c r="BG664" s="11" t="n"/>
      <c r="BK664" s="11" t="n"/>
      <c r="BL664" s="11" t="n"/>
      <c r="BP664" s="12" t="n"/>
      <c r="BQ664" s="400" t="n"/>
    </row>
    <row r="665">
      <c r="D665" s="11" t="n"/>
      <c r="E665" s="86" t="n"/>
      <c r="F665" s="85" t="n"/>
      <c r="G665" s="85" t="n"/>
      <c r="H665" s="85" t="n"/>
      <c r="I665" s="85" t="n"/>
      <c r="J665" s="85" t="n"/>
      <c r="BD665" s="11" t="n"/>
      <c r="BE665" s="11" t="n"/>
      <c r="BF665" s="11" t="n"/>
      <c r="BG665" s="11" t="n"/>
      <c r="BK665" s="11" t="n"/>
      <c r="BL665" s="11" t="n"/>
      <c r="BP665" s="12" t="n"/>
      <c r="BQ665" s="400" t="n"/>
    </row>
    <row r="666">
      <c r="D666" s="11" t="n"/>
      <c r="E666" s="86" t="n"/>
      <c r="F666" s="85" t="n"/>
      <c r="G666" s="85" t="n"/>
      <c r="H666" s="85" t="n"/>
      <c r="I666" s="85" t="n"/>
      <c r="J666" s="85" t="n"/>
      <c r="BD666" s="11" t="n"/>
      <c r="BE666" s="11" t="n"/>
      <c r="BF666" s="11" t="n"/>
      <c r="BG666" s="11" t="n"/>
      <c r="BK666" s="11" t="n"/>
      <c r="BL666" s="11" t="n"/>
      <c r="BP666" s="12" t="n"/>
      <c r="BQ666" s="400" t="n"/>
    </row>
    <row r="667">
      <c r="D667" s="11" t="n"/>
      <c r="E667" s="86" t="n"/>
      <c r="F667" s="85" t="n"/>
      <c r="G667" s="85" t="n"/>
      <c r="H667" s="85" t="n"/>
      <c r="I667" s="85" t="n"/>
      <c r="J667" s="85" t="n"/>
      <c r="BD667" s="11" t="n"/>
      <c r="BE667" s="11" t="n"/>
      <c r="BF667" s="11" t="n"/>
      <c r="BG667" s="11" t="n"/>
      <c r="BK667" s="11" t="n"/>
      <c r="BL667" s="11" t="n"/>
      <c r="BP667" s="12" t="n"/>
      <c r="BQ667" s="400" t="n"/>
    </row>
    <row r="668">
      <c r="D668" s="11" t="n"/>
      <c r="E668" s="86" t="n"/>
      <c r="F668" s="85" t="n"/>
      <c r="G668" s="85" t="n"/>
      <c r="H668" s="85" t="n"/>
      <c r="I668" s="85" t="n"/>
      <c r="J668" s="85" t="n"/>
      <c r="BD668" s="11" t="n"/>
      <c r="BE668" s="11" t="n"/>
      <c r="BF668" s="11" t="n"/>
      <c r="BG668" s="11" t="n"/>
      <c r="BK668" s="11" t="n"/>
      <c r="BL668" s="11" t="n"/>
      <c r="BP668" s="12" t="n"/>
      <c r="BQ668" s="400" t="n"/>
    </row>
    <row r="669">
      <c r="D669" s="11" t="n"/>
      <c r="E669" s="86" t="n"/>
      <c r="F669" s="85" t="n"/>
      <c r="G669" s="85" t="n"/>
      <c r="H669" s="85" t="n"/>
      <c r="I669" s="85" t="n"/>
      <c r="J669" s="85" t="n"/>
      <c r="BD669" s="11" t="n"/>
      <c r="BE669" s="11" t="n"/>
      <c r="BF669" s="11" t="n"/>
      <c r="BG669" s="11" t="n"/>
      <c r="BK669" s="11" t="n"/>
      <c r="BL669" s="11" t="n"/>
      <c r="BP669" s="12" t="n"/>
      <c r="BQ669" s="400" t="n"/>
    </row>
    <row r="670">
      <c r="D670" s="11" t="n"/>
      <c r="E670" s="86" t="n"/>
      <c r="F670" s="85" t="n"/>
      <c r="G670" s="85" t="n"/>
      <c r="H670" s="85" t="n"/>
      <c r="I670" s="85" t="n"/>
      <c r="J670" s="85" t="n"/>
      <c r="BD670" s="11" t="n"/>
      <c r="BE670" s="11" t="n"/>
      <c r="BF670" s="11" t="n"/>
      <c r="BG670" s="11" t="n"/>
      <c r="BK670" s="11" t="n"/>
      <c r="BL670" s="11" t="n"/>
      <c r="BP670" s="12" t="n"/>
      <c r="BQ670" s="400" t="n"/>
    </row>
    <row r="671">
      <c r="D671" s="11" t="n"/>
      <c r="E671" s="86" t="n"/>
      <c r="F671" s="85" t="n"/>
      <c r="G671" s="85" t="n"/>
      <c r="H671" s="85" t="n"/>
      <c r="I671" s="85" t="n"/>
      <c r="J671" s="85" t="n"/>
      <c r="BD671" s="11" t="n"/>
      <c r="BE671" s="11" t="n"/>
      <c r="BF671" s="11" t="n"/>
      <c r="BG671" s="11" t="n"/>
      <c r="BK671" s="11" t="n"/>
      <c r="BL671" s="11" t="n"/>
      <c r="BP671" s="12" t="n"/>
      <c r="BQ671" s="400" t="n"/>
    </row>
    <row r="672">
      <c r="D672" s="11" t="n"/>
      <c r="E672" s="86" t="n"/>
      <c r="F672" s="85" t="n"/>
      <c r="G672" s="85" t="n"/>
      <c r="H672" s="85" t="n"/>
      <c r="I672" s="85" t="n"/>
      <c r="J672" s="85" t="n"/>
      <c r="BD672" s="11" t="n"/>
      <c r="BE672" s="11" t="n"/>
      <c r="BF672" s="11" t="n"/>
      <c r="BG672" s="11" t="n"/>
      <c r="BK672" s="11" t="n"/>
      <c r="BL672" s="11" t="n"/>
      <c r="BP672" s="12" t="n"/>
      <c r="BQ672" s="400" t="n"/>
    </row>
    <row r="673">
      <c r="D673" s="11" t="n"/>
      <c r="E673" s="86" t="n"/>
      <c r="F673" s="85" t="n"/>
      <c r="G673" s="85" t="n"/>
      <c r="H673" s="85" t="n"/>
      <c r="I673" s="85" t="n"/>
      <c r="J673" s="85" t="n"/>
      <c r="BD673" s="11" t="n"/>
      <c r="BE673" s="11" t="n"/>
      <c r="BF673" s="11" t="n"/>
      <c r="BG673" s="11" t="n"/>
      <c r="BK673" s="11" t="n"/>
      <c r="BL673" s="11" t="n"/>
      <c r="BP673" s="12" t="n"/>
      <c r="BQ673" s="400" t="n"/>
    </row>
    <row r="674">
      <c r="D674" s="11" t="n"/>
      <c r="E674" s="86" t="n"/>
      <c r="F674" s="85" t="n"/>
      <c r="G674" s="85" t="n"/>
      <c r="H674" s="85" t="n"/>
      <c r="I674" s="85" t="n"/>
      <c r="J674" s="85" t="n"/>
      <c r="BD674" s="11" t="n"/>
      <c r="BE674" s="11" t="n"/>
      <c r="BF674" s="11" t="n"/>
      <c r="BG674" s="11" t="n"/>
      <c r="BK674" s="11" t="n"/>
      <c r="BL674" s="11" t="n"/>
      <c r="BP674" s="12" t="n"/>
      <c r="BQ674" s="400" t="n"/>
    </row>
    <row r="675">
      <c r="D675" s="11" t="n"/>
      <c r="E675" s="86" t="n"/>
      <c r="F675" s="85" t="n"/>
      <c r="G675" s="85" t="n"/>
      <c r="H675" s="85" t="n"/>
      <c r="I675" s="85" t="n"/>
      <c r="J675" s="85" t="n"/>
      <c r="BD675" s="11" t="n"/>
      <c r="BE675" s="11" t="n"/>
      <c r="BF675" s="11" t="n"/>
      <c r="BG675" s="11" t="n"/>
      <c r="BK675" s="11" t="n"/>
      <c r="BL675" s="11" t="n"/>
      <c r="BP675" s="12" t="n"/>
      <c r="BQ675" s="400" t="n"/>
    </row>
    <row r="676">
      <c r="D676" s="11" t="n"/>
      <c r="E676" s="86" t="n"/>
      <c r="F676" s="85" t="n"/>
      <c r="G676" s="85" t="n"/>
      <c r="H676" s="85" t="n"/>
      <c r="I676" s="85" t="n"/>
      <c r="J676" s="85" t="n"/>
      <c r="BD676" s="11" t="n"/>
      <c r="BE676" s="11" t="n"/>
      <c r="BF676" s="11" t="n"/>
      <c r="BG676" s="11" t="n"/>
      <c r="BK676" s="11" t="n"/>
      <c r="BL676" s="11" t="n"/>
      <c r="BP676" s="12" t="n"/>
      <c r="BQ676" s="400" t="n"/>
    </row>
    <row r="677">
      <c r="D677" s="11" t="n"/>
      <c r="E677" s="86" t="n"/>
      <c r="F677" s="85" t="n"/>
      <c r="G677" s="85" t="n"/>
      <c r="H677" s="85" t="n"/>
      <c r="I677" s="85" t="n"/>
      <c r="J677" s="85" t="n"/>
      <c r="BD677" s="11" t="n"/>
      <c r="BE677" s="11" t="n"/>
      <c r="BF677" s="11" t="n"/>
      <c r="BG677" s="11" t="n"/>
      <c r="BK677" s="11" t="n"/>
      <c r="BL677" s="11" t="n"/>
      <c r="BP677" s="12" t="n"/>
      <c r="BQ677" s="400" t="n"/>
    </row>
    <row r="678">
      <c r="D678" s="11" t="n"/>
      <c r="E678" s="86" t="n"/>
      <c r="F678" s="85" t="n"/>
      <c r="G678" s="85" t="n"/>
      <c r="H678" s="85" t="n"/>
      <c r="I678" s="85" t="n"/>
      <c r="J678" s="85" t="n"/>
      <c r="BD678" s="11" t="n"/>
      <c r="BE678" s="11" t="n"/>
      <c r="BF678" s="11" t="n"/>
      <c r="BG678" s="11" t="n"/>
      <c r="BK678" s="11" t="n"/>
      <c r="BL678" s="11" t="n"/>
      <c r="BP678" s="12" t="n"/>
      <c r="BQ678" s="400" t="n"/>
    </row>
    <row r="679">
      <c r="D679" s="11" t="n"/>
      <c r="E679" s="86" t="n"/>
      <c r="F679" s="85" t="n"/>
      <c r="G679" s="85" t="n"/>
      <c r="H679" s="85" t="n"/>
      <c r="I679" s="85" t="n"/>
      <c r="J679" s="85" t="n"/>
      <c r="BD679" s="11" t="n"/>
      <c r="BE679" s="11" t="n"/>
      <c r="BF679" s="11" t="n"/>
      <c r="BG679" s="11" t="n"/>
      <c r="BK679" s="11" t="n"/>
      <c r="BL679" s="11" t="n"/>
      <c r="BP679" s="12" t="n"/>
      <c r="BQ679" s="400" t="n"/>
    </row>
    <row r="680">
      <c r="D680" s="11" t="n"/>
      <c r="E680" s="86" t="n"/>
      <c r="F680" s="85" t="n"/>
      <c r="G680" s="85" t="n"/>
      <c r="H680" s="85" t="n"/>
      <c r="I680" s="85" t="n"/>
      <c r="J680" s="85" t="n"/>
      <c r="BD680" s="11" t="n"/>
      <c r="BE680" s="11" t="n"/>
      <c r="BF680" s="11" t="n"/>
      <c r="BG680" s="11" t="n"/>
      <c r="BK680" s="11" t="n"/>
      <c r="BL680" s="11" t="n"/>
      <c r="BP680" s="12" t="n"/>
      <c r="BQ680" s="400" t="n"/>
    </row>
    <row r="681">
      <c r="D681" s="11" t="n"/>
      <c r="E681" s="86" t="n"/>
      <c r="F681" s="85" t="n"/>
      <c r="G681" s="85" t="n"/>
      <c r="H681" s="85" t="n"/>
      <c r="I681" s="85" t="n"/>
      <c r="J681" s="85" t="n"/>
      <c r="BD681" s="11" t="n"/>
      <c r="BE681" s="11" t="n"/>
      <c r="BF681" s="11" t="n"/>
      <c r="BG681" s="11" t="n"/>
      <c r="BK681" s="11" t="n"/>
      <c r="BL681" s="11" t="n"/>
      <c r="BP681" s="12" t="n"/>
      <c r="BQ681" s="400" t="n"/>
    </row>
    <row r="682">
      <c r="D682" s="11" t="n"/>
      <c r="E682" s="86" t="n"/>
      <c r="F682" s="85" t="n"/>
      <c r="G682" s="85" t="n"/>
      <c r="H682" s="85" t="n"/>
      <c r="I682" s="85" t="n"/>
      <c r="J682" s="85" t="n"/>
      <c r="BD682" s="11" t="n"/>
      <c r="BE682" s="11" t="n"/>
      <c r="BF682" s="11" t="n"/>
      <c r="BG682" s="11" t="n"/>
      <c r="BK682" s="11" t="n"/>
      <c r="BL682" s="11" t="n"/>
      <c r="BP682" s="12" t="n"/>
      <c r="BQ682" s="400" t="n"/>
    </row>
    <row r="683">
      <c r="D683" s="11" t="n"/>
      <c r="E683" s="86" t="n"/>
      <c r="F683" s="85" t="n"/>
      <c r="G683" s="85" t="n"/>
      <c r="H683" s="85" t="n"/>
      <c r="I683" s="85" t="n"/>
      <c r="J683" s="85" t="n"/>
      <c r="BD683" s="11" t="n"/>
      <c r="BE683" s="11" t="n"/>
      <c r="BF683" s="11" t="n"/>
      <c r="BG683" s="11" t="n"/>
      <c r="BK683" s="11" t="n"/>
      <c r="BL683" s="11" t="n"/>
      <c r="BP683" s="12" t="n"/>
      <c r="BQ683" s="400" t="n"/>
    </row>
    <row r="684">
      <c r="D684" s="11" t="n"/>
      <c r="E684" s="86" t="n"/>
      <c r="F684" s="85" t="n"/>
      <c r="G684" s="85" t="n"/>
      <c r="H684" s="85" t="n"/>
      <c r="I684" s="85" t="n"/>
      <c r="J684" s="85" t="n"/>
      <c r="BD684" s="11" t="n"/>
      <c r="BE684" s="11" t="n"/>
      <c r="BF684" s="11" t="n"/>
      <c r="BG684" s="11" t="n"/>
      <c r="BK684" s="11" t="n"/>
      <c r="BL684" s="11" t="n"/>
      <c r="BP684" s="12" t="n"/>
      <c r="BQ684" s="400" t="n"/>
    </row>
    <row r="685">
      <c r="D685" s="11" t="n"/>
      <c r="E685" s="86" t="n"/>
      <c r="F685" s="85" t="n"/>
      <c r="G685" s="85" t="n"/>
      <c r="H685" s="85" t="n"/>
      <c r="I685" s="85" t="n"/>
      <c r="J685" s="85" t="n"/>
      <c r="BD685" s="11" t="n"/>
      <c r="BE685" s="11" t="n"/>
      <c r="BF685" s="11" t="n"/>
      <c r="BG685" s="11" t="n"/>
      <c r="BK685" s="11" t="n"/>
      <c r="BL685" s="11" t="n"/>
      <c r="BP685" s="12" t="n"/>
      <c r="BQ685" s="400" t="n"/>
    </row>
    <row r="686">
      <c r="D686" s="11" t="n"/>
      <c r="E686" s="86" t="n"/>
      <c r="F686" s="85" t="n"/>
      <c r="G686" s="85" t="n"/>
      <c r="H686" s="85" t="n"/>
      <c r="I686" s="85" t="n"/>
      <c r="J686" s="85" t="n"/>
      <c r="BD686" s="11" t="n"/>
      <c r="BE686" s="11" t="n"/>
      <c r="BF686" s="11" t="n"/>
      <c r="BG686" s="11" t="n"/>
      <c r="BK686" s="11" t="n"/>
      <c r="BL686" s="11" t="n"/>
      <c r="BP686" s="12" t="n"/>
      <c r="BQ686" s="400" t="n"/>
    </row>
    <row r="687">
      <c r="D687" s="11" t="n"/>
      <c r="E687" s="86" t="n"/>
      <c r="F687" s="85" t="n"/>
      <c r="G687" s="85" t="n"/>
      <c r="H687" s="85" t="n"/>
      <c r="I687" s="85" t="n"/>
      <c r="J687" s="85" t="n"/>
      <c r="BD687" s="11" t="n"/>
      <c r="BE687" s="11" t="n"/>
      <c r="BF687" s="11" t="n"/>
      <c r="BG687" s="11" t="n"/>
      <c r="BK687" s="11" t="n"/>
      <c r="BL687" s="11" t="n"/>
      <c r="BP687" s="12" t="n"/>
      <c r="BQ687" s="400" t="n"/>
    </row>
    <row r="688">
      <c r="D688" s="11" t="n"/>
      <c r="E688" s="86" t="n"/>
      <c r="F688" s="85" t="n"/>
      <c r="G688" s="85" t="n"/>
      <c r="H688" s="85" t="n"/>
      <c r="I688" s="85" t="n"/>
      <c r="J688" s="85" t="n"/>
      <c r="BD688" s="11" t="n"/>
      <c r="BE688" s="11" t="n"/>
      <c r="BF688" s="11" t="n"/>
      <c r="BG688" s="11" t="n"/>
      <c r="BK688" s="11" t="n"/>
      <c r="BL688" s="11" t="n"/>
      <c r="BP688" s="12" t="n"/>
      <c r="BQ688" s="400" t="n"/>
    </row>
    <row r="689">
      <c r="D689" s="11" t="n"/>
      <c r="E689" s="86" t="n"/>
      <c r="F689" s="85" t="n"/>
      <c r="G689" s="85" t="n"/>
      <c r="H689" s="85" t="n"/>
      <c r="I689" s="85" t="n"/>
      <c r="J689" s="85" t="n"/>
      <c r="BD689" s="11" t="n"/>
      <c r="BE689" s="11" t="n"/>
      <c r="BF689" s="11" t="n"/>
      <c r="BG689" s="11" t="n"/>
      <c r="BK689" s="11" t="n"/>
      <c r="BL689" s="11" t="n"/>
      <c r="BP689" s="12" t="n"/>
      <c r="BQ689" s="400" t="n"/>
    </row>
    <row r="690">
      <c r="D690" s="11" t="n"/>
      <c r="E690" s="86" t="n"/>
      <c r="F690" s="85" t="n"/>
      <c r="G690" s="85" t="n"/>
      <c r="H690" s="85" t="n"/>
      <c r="I690" s="85" t="n"/>
      <c r="J690" s="85" t="n"/>
      <c r="BD690" s="11" t="n"/>
      <c r="BE690" s="11" t="n"/>
      <c r="BF690" s="11" t="n"/>
      <c r="BG690" s="11" t="n"/>
      <c r="BK690" s="11" t="n"/>
      <c r="BL690" s="11" t="n"/>
      <c r="BP690" s="12" t="n"/>
      <c r="BQ690" s="400" t="n"/>
    </row>
    <row r="691">
      <c r="D691" s="11" t="n"/>
      <c r="E691" s="86" t="n"/>
      <c r="F691" s="85" t="n"/>
      <c r="G691" s="85" t="n"/>
      <c r="H691" s="85" t="n"/>
      <c r="I691" s="85" t="n"/>
      <c r="J691" s="85" t="n"/>
      <c r="BD691" s="11" t="n"/>
      <c r="BE691" s="11" t="n"/>
      <c r="BF691" s="11" t="n"/>
      <c r="BG691" s="11" t="n"/>
      <c r="BK691" s="11" t="n"/>
      <c r="BL691" s="11" t="n"/>
      <c r="BP691" s="12" t="n"/>
      <c r="BQ691" s="400" t="n"/>
    </row>
    <row r="692">
      <c r="D692" s="11" t="n"/>
      <c r="E692" s="86" t="n"/>
      <c r="F692" s="85" t="n"/>
      <c r="G692" s="85" t="n"/>
      <c r="H692" s="85" t="n"/>
      <c r="I692" s="85" t="n"/>
      <c r="J692" s="85" t="n"/>
      <c r="BD692" s="11" t="n"/>
      <c r="BE692" s="11" t="n"/>
      <c r="BF692" s="11" t="n"/>
      <c r="BG692" s="11" t="n"/>
      <c r="BK692" s="11" t="n"/>
      <c r="BL692" s="11" t="n"/>
      <c r="BP692" s="12" t="n"/>
      <c r="BQ692" s="400" t="n"/>
    </row>
    <row r="693">
      <c r="D693" s="11" t="n"/>
      <c r="E693" s="86" t="n"/>
      <c r="F693" s="85" t="n"/>
      <c r="G693" s="85" t="n"/>
      <c r="H693" s="85" t="n"/>
      <c r="I693" s="85" t="n"/>
      <c r="J693" s="85" t="n"/>
      <c r="BD693" s="11" t="n"/>
      <c r="BE693" s="11" t="n"/>
      <c r="BF693" s="11" t="n"/>
      <c r="BG693" s="11" t="n"/>
      <c r="BK693" s="11" t="n"/>
      <c r="BL693" s="11" t="n"/>
      <c r="BP693" s="12" t="n"/>
      <c r="BQ693" s="400" t="n"/>
    </row>
    <row r="694">
      <c r="D694" s="11" t="n"/>
      <c r="E694" s="86" t="n"/>
      <c r="F694" s="85" t="n"/>
      <c r="G694" s="85" t="n"/>
      <c r="H694" s="85" t="n"/>
      <c r="I694" s="85" t="n"/>
      <c r="J694" s="85" t="n"/>
      <c r="BD694" s="11" t="n"/>
      <c r="BE694" s="11" t="n"/>
      <c r="BF694" s="11" t="n"/>
      <c r="BG694" s="11" t="n"/>
      <c r="BK694" s="11" t="n"/>
      <c r="BL694" s="11" t="n"/>
      <c r="BP694" s="12" t="n"/>
      <c r="BQ694" s="400" t="n"/>
    </row>
    <row r="695">
      <c r="D695" s="11" t="n"/>
      <c r="E695" s="86" t="n"/>
      <c r="F695" s="85" t="n"/>
      <c r="G695" s="85" t="n"/>
      <c r="H695" s="85" t="n"/>
      <c r="I695" s="85" t="n"/>
      <c r="J695" s="85" t="n"/>
      <c r="BD695" s="11" t="n"/>
      <c r="BE695" s="11" t="n"/>
      <c r="BF695" s="11" t="n"/>
      <c r="BG695" s="11" t="n"/>
      <c r="BK695" s="11" t="n"/>
      <c r="BL695" s="11" t="n"/>
      <c r="BP695" s="12" t="n"/>
      <c r="BQ695" s="400" t="n"/>
    </row>
    <row r="696">
      <c r="D696" s="11" t="n"/>
      <c r="E696" s="86" t="n"/>
      <c r="F696" s="85" t="n"/>
      <c r="G696" s="85" t="n"/>
      <c r="H696" s="85" t="n"/>
      <c r="I696" s="85" t="n"/>
      <c r="J696" s="85" t="n"/>
      <c r="BD696" s="11" t="n"/>
      <c r="BE696" s="11" t="n"/>
      <c r="BF696" s="11" t="n"/>
      <c r="BG696" s="11" t="n"/>
      <c r="BK696" s="11" t="n"/>
      <c r="BL696" s="11" t="n"/>
      <c r="BP696" s="12" t="n"/>
      <c r="BQ696" s="400" t="n"/>
    </row>
    <row r="697">
      <c r="D697" s="11" t="n"/>
      <c r="E697" s="86" t="n"/>
      <c r="F697" s="85" t="n"/>
      <c r="G697" s="85" t="n"/>
      <c r="H697" s="85" t="n"/>
      <c r="I697" s="85" t="n"/>
      <c r="J697" s="85" t="n"/>
      <c r="BD697" s="11" t="n"/>
      <c r="BE697" s="11" t="n"/>
      <c r="BF697" s="11" t="n"/>
      <c r="BG697" s="11" t="n"/>
      <c r="BK697" s="11" t="n"/>
      <c r="BL697" s="11" t="n"/>
      <c r="BP697" s="12" t="n"/>
      <c r="BQ697" s="400" t="n"/>
    </row>
    <row r="698">
      <c r="D698" s="11" t="n"/>
      <c r="E698" s="86" t="n"/>
      <c r="F698" s="85" t="n"/>
      <c r="G698" s="85" t="n"/>
      <c r="H698" s="85" t="n"/>
      <c r="I698" s="85" t="n"/>
      <c r="J698" s="85" t="n"/>
      <c r="BD698" s="11" t="n"/>
      <c r="BE698" s="11" t="n"/>
      <c r="BF698" s="11" t="n"/>
      <c r="BG698" s="11" t="n"/>
      <c r="BK698" s="11" t="n"/>
      <c r="BL698" s="11" t="n"/>
      <c r="BP698" s="12" t="n"/>
      <c r="BQ698" s="400" t="n"/>
    </row>
    <row r="699">
      <c r="D699" s="11" t="n"/>
      <c r="E699" s="86" t="n"/>
      <c r="F699" s="85" t="n"/>
      <c r="G699" s="85" t="n"/>
      <c r="H699" s="85" t="n"/>
      <c r="I699" s="85" t="n"/>
      <c r="J699" s="85" t="n"/>
      <c r="BD699" s="11" t="n"/>
      <c r="BE699" s="11" t="n"/>
      <c r="BF699" s="11" t="n"/>
      <c r="BG699" s="11" t="n"/>
      <c r="BK699" s="11" t="n"/>
      <c r="BL699" s="11" t="n"/>
      <c r="BP699" s="12" t="n"/>
      <c r="BQ699" s="400" t="n"/>
    </row>
    <row r="700">
      <c r="D700" s="11" t="n"/>
      <c r="E700" s="86" t="n"/>
      <c r="F700" s="85" t="n"/>
      <c r="G700" s="85" t="n"/>
      <c r="H700" s="85" t="n"/>
      <c r="I700" s="85" t="n"/>
      <c r="J700" s="85" t="n"/>
      <c r="BD700" s="11" t="n"/>
      <c r="BE700" s="11" t="n"/>
      <c r="BF700" s="11" t="n"/>
      <c r="BG700" s="11" t="n"/>
      <c r="BK700" s="11" t="n"/>
      <c r="BL700" s="11" t="n"/>
      <c r="BP700" s="12" t="n"/>
      <c r="BQ700" s="400" t="n"/>
    </row>
    <row r="701">
      <c r="D701" s="11" t="n"/>
      <c r="E701" s="86" t="n"/>
      <c r="F701" s="85" t="n"/>
      <c r="G701" s="85" t="n"/>
      <c r="H701" s="85" t="n"/>
      <c r="I701" s="85" t="n"/>
      <c r="J701" s="85" t="n"/>
      <c r="BD701" s="11" t="n"/>
      <c r="BE701" s="11" t="n"/>
      <c r="BF701" s="11" t="n"/>
      <c r="BG701" s="11" t="n"/>
      <c r="BK701" s="11" t="n"/>
      <c r="BL701" s="11" t="n"/>
      <c r="BP701" s="12" t="n"/>
      <c r="BQ701" s="400" t="n"/>
    </row>
    <row r="702">
      <c r="D702" s="11" t="n"/>
      <c r="E702" s="86" t="n"/>
      <c r="F702" s="85" t="n"/>
      <c r="G702" s="85" t="n"/>
      <c r="H702" s="85" t="n"/>
      <c r="I702" s="85" t="n"/>
      <c r="J702" s="85" t="n"/>
      <c r="BD702" s="11" t="n"/>
      <c r="BE702" s="11" t="n"/>
      <c r="BF702" s="11" t="n"/>
      <c r="BG702" s="11" t="n"/>
      <c r="BK702" s="11" t="n"/>
      <c r="BL702" s="11" t="n"/>
      <c r="BP702" s="12" t="n"/>
      <c r="BQ702" s="400" t="n"/>
    </row>
    <row r="703">
      <c r="D703" s="11" t="n"/>
      <c r="E703" s="86" t="n"/>
      <c r="F703" s="85" t="n"/>
      <c r="G703" s="85" t="n"/>
      <c r="H703" s="85" t="n"/>
      <c r="I703" s="85" t="n"/>
      <c r="J703" s="85" t="n"/>
      <c r="BD703" s="11" t="n"/>
      <c r="BE703" s="11" t="n"/>
      <c r="BF703" s="11" t="n"/>
      <c r="BG703" s="11" t="n"/>
      <c r="BK703" s="11" t="n"/>
      <c r="BL703" s="11" t="n"/>
      <c r="BP703" s="12" t="n"/>
      <c r="BQ703" s="400" t="n"/>
    </row>
    <row r="704">
      <c r="D704" s="11" t="n"/>
      <c r="E704" s="86" t="n"/>
      <c r="F704" s="85" t="n"/>
      <c r="G704" s="85" t="n"/>
      <c r="H704" s="85" t="n"/>
      <c r="I704" s="85" t="n"/>
      <c r="J704" s="85" t="n"/>
      <c r="BD704" s="11" t="n"/>
      <c r="BE704" s="11" t="n"/>
      <c r="BF704" s="11" t="n"/>
      <c r="BG704" s="11" t="n"/>
      <c r="BK704" s="11" t="n"/>
      <c r="BL704" s="11" t="n"/>
      <c r="BP704" s="12" t="n"/>
      <c r="BQ704" s="400" t="n"/>
    </row>
    <row r="705">
      <c r="D705" s="11" t="n"/>
      <c r="E705" s="86" t="n"/>
      <c r="F705" s="85" t="n"/>
      <c r="G705" s="85" t="n"/>
      <c r="H705" s="85" t="n"/>
      <c r="I705" s="85" t="n"/>
      <c r="J705" s="85" t="n"/>
      <c r="BD705" s="11" t="n"/>
      <c r="BE705" s="11" t="n"/>
      <c r="BF705" s="11" t="n"/>
      <c r="BG705" s="11" t="n"/>
      <c r="BK705" s="11" t="n"/>
      <c r="BL705" s="11" t="n"/>
      <c r="BP705" s="12" t="n"/>
      <c r="BQ705" s="400" t="n"/>
    </row>
    <row r="706">
      <c r="D706" s="11" t="n"/>
      <c r="E706" s="86" t="n"/>
      <c r="F706" s="85" t="n"/>
      <c r="G706" s="85" t="n"/>
      <c r="H706" s="85" t="n"/>
      <c r="I706" s="85" t="n"/>
      <c r="J706" s="85" t="n"/>
      <c r="BD706" s="11" t="n"/>
      <c r="BE706" s="11" t="n"/>
      <c r="BF706" s="11" t="n"/>
      <c r="BG706" s="11" t="n"/>
      <c r="BK706" s="11" t="n"/>
      <c r="BL706" s="11" t="n"/>
      <c r="BP706" s="12" t="n"/>
      <c r="BQ706" s="400" t="n"/>
    </row>
    <row r="707">
      <c r="D707" s="11" t="n"/>
      <c r="E707" s="86" t="n"/>
      <c r="F707" s="85" t="n"/>
      <c r="G707" s="85" t="n"/>
      <c r="H707" s="85" t="n"/>
      <c r="I707" s="85" t="n"/>
      <c r="J707" s="85" t="n"/>
      <c r="BD707" s="11" t="n"/>
      <c r="BE707" s="11" t="n"/>
      <c r="BF707" s="11" t="n"/>
      <c r="BG707" s="11" t="n"/>
      <c r="BK707" s="11" t="n"/>
      <c r="BL707" s="11" t="n"/>
      <c r="BP707" s="12" t="n"/>
      <c r="BQ707" s="400" t="n"/>
    </row>
    <row r="708">
      <c r="D708" s="11" t="n"/>
      <c r="E708" s="86" t="n"/>
      <c r="F708" s="85" t="n"/>
      <c r="G708" s="85" t="n"/>
      <c r="H708" s="85" t="n"/>
      <c r="I708" s="85" t="n"/>
      <c r="J708" s="85" t="n"/>
      <c r="BD708" s="11" t="n"/>
      <c r="BE708" s="11" t="n"/>
      <c r="BF708" s="11" t="n"/>
      <c r="BG708" s="11" t="n"/>
      <c r="BK708" s="11" t="n"/>
      <c r="BL708" s="11" t="n"/>
      <c r="BP708" s="12" t="n"/>
      <c r="BQ708" s="400" t="n"/>
    </row>
    <row r="709">
      <c r="D709" s="11" t="n"/>
      <c r="E709" s="86" t="n"/>
      <c r="F709" s="85" t="n"/>
      <c r="G709" s="85" t="n"/>
      <c r="H709" s="85" t="n"/>
      <c r="I709" s="85" t="n"/>
      <c r="J709" s="85" t="n"/>
      <c r="BD709" s="11" t="n"/>
      <c r="BE709" s="11" t="n"/>
      <c r="BF709" s="11" t="n"/>
      <c r="BG709" s="11" t="n"/>
      <c r="BK709" s="11" t="n"/>
      <c r="BL709" s="11" t="n"/>
      <c r="BP709" s="12" t="n"/>
      <c r="BQ709" s="400" t="n"/>
    </row>
    <row r="710">
      <c r="D710" s="11" t="n"/>
      <c r="E710" s="86" t="n"/>
      <c r="F710" s="85" t="n"/>
      <c r="G710" s="85" t="n"/>
      <c r="H710" s="85" t="n"/>
      <c r="I710" s="85" t="n"/>
      <c r="J710" s="85" t="n"/>
      <c r="BD710" s="11" t="n"/>
      <c r="BE710" s="11" t="n"/>
      <c r="BF710" s="11" t="n"/>
      <c r="BG710" s="11" t="n"/>
      <c r="BK710" s="11" t="n"/>
      <c r="BL710" s="11" t="n"/>
      <c r="BP710" s="12" t="n"/>
      <c r="BQ710" s="400" t="n"/>
    </row>
    <row r="711">
      <c r="D711" s="11" t="n"/>
      <c r="E711" s="86" t="n"/>
      <c r="F711" s="85" t="n"/>
      <c r="G711" s="85" t="n"/>
      <c r="H711" s="85" t="n"/>
      <c r="I711" s="85" t="n"/>
      <c r="J711" s="85" t="n"/>
      <c r="BD711" s="11" t="n"/>
      <c r="BE711" s="11" t="n"/>
      <c r="BF711" s="11" t="n"/>
      <c r="BG711" s="11" t="n"/>
      <c r="BK711" s="11" t="n"/>
      <c r="BL711" s="11" t="n"/>
      <c r="BP711" s="12" t="n"/>
      <c r="BQ711" s="400" t="n"/>
    </row>
    <row r="712">
      <c r="D712" s="11" t="n"/>
      <c r="E712" s="86" t="n"/>
      <c r="F712" s="85" t="n"/>
      <c r="G712" s="85" t="n"/>
      <c r="H712" s="85" t="n"/>
      <c r="I712" s="85" t="n"/>
      <c r="J712" s="85" t="n"/>
      <c r="BD712" s="11" t="n"/>
      <c r="BE712" s="11" t="n"/>
      <c r="BF712" s="11" t="n"/>
      <c r="BG712" s="11" t="n"/>
      <c r="BK712" s="11" t="n"/>
      <c r="BL712" s="11" t="n"/>
      <c r="BP712" s="12" t="n"/>
      <c r="BQ712" s="400" t="n"/>
    </row>
    <row r="713">
      <c r="D713" s="11" t="n"/>
      <c r="E713" s="86" t="n"/>
      <c r="F713" s="85" t="n"/>
      <c r="G713" s="85" t="n"/>
      <c r="H713" s="85" t="n"/>
      <c r="I713" s="85" t="n"/>
      <c r="J713" s="85" t="n"/>
      <c r="BD713" s="11" t="n"/>
      <c r="BE713" s="11" t="n"/>
      <c r="BF713" s="11" t="n"/>
      <c r="BG713" s="11" t="n"/>
      <c r="BK713" s="11" t="n"/>
      <c r="BL713" s="11" t="n"/>
      <c r="BP713" s="12" t="n"/>
      <c r="BQ713" s="400" t="n"/>
    </row>
    <row r="714">
      <c r="D714" s="11" t="n"/>
      <c r="E714" s="86" t="n"/>
      <c r="F714" s="85" t="n"/>
      <c r="G714" s="85" t="n"/>
      <c r="H714" s="85" t="n"/>
      <c r="I714" s="85" t="n"/>
      <c r="J714" s="85" t="n"/>
      <c r="BD714" s="11" t="n"/>
      <c r="BE714" s="11" t="n"/>
      <c r="BF714" s="11" t="n"/>
      <c r="BG714" s="11" t="n"/>
      <c r="BK714" s="11" t="n"/>
      <c r="BL714" s="11" t="n"/>
      <c r="BP714" s="12" t="n"/>
      <c r="BQ714" s="400" t="n"/>
    </row>
    <row r="715">
      <c r="D715" s="11" t="n"/>
      <c r="E715" s="86" t="n"/>
      <c r="F715" s="85" t="n"/>
      <c r="G715" s="85" t="n"/>
      <c r="H715" s="85" t="n"/>
      <c r="I715" s="85" t="n"/>
      <c r="J715" s="85" t="n"/>
      <c r="BD715" s="11" t="n"/>
      <c r="BE715" s="11" t="n"/>
      <c r="BF715" s="11" t="n"/>
      <c r="BG715" s="11" t="n"/>
      <c r="BK715" s="11" t="n"/>
      <c r="BL715" s="11" t="n"/>
      <c r="BP715" s="12" t="n"/>
      <c r="BQ715" s="400" t="n"/>
    </row>
    <row r="716">
      <c r="D716" s="11" t="n"/>
      <c r="E716" s="86" t="n"/>
      <c r="F716" s="85" t="n"/>
      <c r="G716" s="85" t="n"/>
      <c r="H716" s="85" t="n"/>
      <c r="I716" s="85" t="n"/>
      <c r="J716" s="85" t="n"/>
      <c r="BD716" s="11" t="n"/>
      <c r="BE716" s="11" t="n"/>
      <c r="BF716" s="11" t="n"/>
      <c r="BG716" s="11" t="n"/>
      <c r="BK716" s="11" t="n"/>
      <c r="BL716" s="11" t="n"/>
      <c r="BP716" s="12" t="n"/>
      <c r="BQ716" s="400" t="n"/>
    </row>
    <row r="717">
      <c r="D717" s="11" t="n"/>
      <c r="E717" s="86" t="n"/>
      <c r="F717" s="85" t="n"/>
      <c r="G717" s="85" t="n"/>
      <c r="H717" s="85" t="n"/>
      <c r="I717" s="85" t="n"/>
      <c r="J717" s="85" t="n"/>
      <c r="BD717" s="11" t="n"/>
      <c r="BE717" s="11" t="n"/>
      <c r="BF717" s="11" t="n"/>
      <c r="BG717" s="11" t="n"/>
      <c r="BK717" s="11" t="n"/>
      <c r="BL717" s="11" t="n"/>
      <c r="BP717" s="12" t="n"/>
      <c r="BQ717" s="400" t="n"/>
    </row>
    <row r="718">
      <c r="D718" s="11" t="n"/>
      <c r="E718" s="86" t="n"/>
      <c r="F718" s="85" t="n"/>
      <c r="G718" s="85" t="n"/>
      <c r="H718" s="85" t="n"/>
      <c r="I718" s="85" t="n"/>
      <c r="J718" s="85" t="n"/>
      <c r="BD718" s="11" t="n"/>
      <c r="BE718" s="11" t="n"/>
      <c r="BF718" s="11" t="n"/>
      <c r="BG718" s="11" t="n"/>
      <c r="BK718" s="11" t="n"/>
      <c r="BL718" s="11" t="n"/>
      <c r="BP718" s="12" t="n"/>
      <c r="BQ718" s="400" t="n"/>
    </row>
    <row r="719">
      <c r="D719" s="11" t="n"/>
      <c r="E719" s="86" t="n"/>
      <c r="F719" s="85" t="n"/>
      <c r="G719" s="85" t="n"/>
      <c r="H719" s="85" t="n"/>
      <c r="I719" s="85" t="n"/>
      <c r="J719" s="85" t="n"/>
      <c r="BD719" s="11" t="n"/>
      <c r="BE719" s="11" t="n"/>
      <c r="BF719" s="11" t="n"/>
      <c r="BG719" s="11" t="n"/>
      <c r="BK719" s="11" t="n"/>
      <c r="BL719" s="11" t="n"/>
      <c r="BP719" s="12" t="n"/>
      <c r="BQ719" s="400" t="n"/>
    </row>
    <row r="720">
      <c r="D720" s="11" t="n"/>
      <c r="E720" s="86" t="n"/>
      <c r="F720" s="85" t="n"/>
      <c r="G720" s="85" t="n"/>
      <c r="H720" s="85" t="n"/>
      <c r="I720" s="85" t="n"/>
      <c r="J720" s="85" t="n"/>
      <c r="BD720" s="11" t="n"/>
      <c r="BE720" s="11" t="n"/>
      <c r="BF720" s="11" t="n"/>
      <c r="BG720" s="11" t="n"/>
      <c r="BK720" s="11" t="n"/>
      <c r="BL720" s="11" t="n"/>
      <c r="BP720" s="12" t="n"/>
      <c r="BQ720" s="400" t="n"/>
    </row>
    <row r="721">
      <c r="D721" s="11" t="n"/>
      <c r="E721" s="86" t="n"/>
      <c r="F721" s="85" t="n"/>
      <c r="G721" s="85" t="n"/>
      <c r="H721" s="85" t="n"/>
      <c r="I721" s="85" t="n"/>
      <c r="J721" s="85" t="n"/>
      <c r="BD721" s="11" t="n"/>
      <c r="BE721" s="11" t="n"/>
      <c r="BF721" s="11" t="n"/>
      <c r="BG721" s="11" t="n"/>
      <c r="BK721" s="11" t="n"/>
      <c r="BL721" s="11" t="n"/>
      <c r="BP721" s="12" t="n"/>
      <c r="BQ721" s="400" t="n"/>
    </row>
    <row r="722">
      <c r="D722" s="11" t="n"/>
      <c r="E722" s="86" t="n"/>
      <c r="F722" s="85" t="n"/>
      <c r="G722" s="85" t="n"/>
      <c r="H722" s="85" t="n"/>
      <c r="I722" s="85" t="n"/>
      <c r="J722" s="85" t="n"/>
      <c r="BD722" s="11" t="n"/>
      <c r="BE722" s="11" t="n"/>
      <c r="BF722" s="11" t="n"/>
      <c r="BG722" s="11" t="n"/>
      <c r="BK722" s="11" t="n"/>
      <c r="BL722" s="11" t="n"/>
      <c r="BP722" s="12" t="n"/>
      <c r="BQ722" s="400" t="n"/>
    </row>
    <row r="723">
      <c r="D723" s="11" t="n"/>
      <c r="E723" s="86" t="n"/>
      <c r="F723" s="85" t="n"/>
      <c r="G723" s="85" t="n"/>
      <c r="H723" s="85" t="n"/>
      <c r="I723" s="85" t="n"/>
      <c r="J723" s="85" t="n"/>
      <c r="BD723" s="11" t="n"/>
      <c r="BE723" s="11" t="n"/>
      <c r="BF723" s="11" t="n"/>
      <c r="BG723" s="11" t="n"/>
      <c r="BK723" s="11" t="n"/>
      <c r="BL723" s="11" t="n"/>
      <c r="BP723" s="12" t="n"/>
      <c r="BQ723" s="400" t="n"/>
    </row>
    <row r="724">
      <c r="D724" s="11" t="n"/>
      <c r="E724" s="86" t="n"/>
      <c r="F724" s="85" t="n"/>
      <c r="G724" s="85" t="n"/>
      <c r="H724" s="85" t="n"/>
      <c r="I724" s="85" t="n"/>
      <c r="J724" s="85" t="n"/>
      <c r="BD724" s="11" t="n"/>
      <c r="BE724" s="11" t="n"/>
      <c r="BF724" s="11" t="n"/>
      <c r="BG724" s="11" t="n"/>
      <c r="BK724" s="11" t="n"/>
      <c r="BL724" s="11" t="n"/>
      <c r="BP724" s="12" t="n"/>
      <c r="BQ724" s="400" t="n"/>
    </row>
    <row r="725">
      <c r="D725" s="11" t="n"/>
      <c r="E725" s="86" t="n"/>
      <c r="F725" s="85" t="n"/>
      <c r="G725" s="85" t="n"/>
      <c r="H725" s="85" t="n"/>
      <c r="I725" s="85" t="n"/>
      <c r="J725" s="85" t="n"/>
      <c r="BD725" s="11" t="n"/>
      <c r="BE725" s="11" t="n"/>
      <c r="BF725" s="11" t="n"/>
      <c r="BG725" s="11" t="n"/>
      <c r="BK725" s="11" t="n"/>
      <c r="BL725" s="11" t="n"/>
      <c r="BP725" s="12" t="n"/>
      <c r="BQ725" s="400" t="n"/>
    </row>
    <row r="726">
      <c r="D726" s="11" t="n"/>
      <c r="E726" s="86" t="n"/>
      <c r="F726" s="85" t="n"/>
      <c r="G726" s="85" t="n"/>
      <c r="H726" s="85" t="n"/>
      <c r="I726" s="85" t="n"/>
      <c r="J726" s="85" t="n"/>
      <c r="BD726" s="11" t="n"/>
      <c r="BE726" s="11" t="n"/>
      <c r="BF726" s="11" t="n"/>
      <c r="BG726" s="11" t="n"/>
      <c r="BK726" s="11" t="n"/>
      <c r="BL726" s="11" t="n"/>
      <c r="BP726" s="12" t="n"/>
      <c r="BQ726" s="400" t="n"/>
    </row>
    <row r="727">
      <c r="D727" s="11" t="n"/>
      <c r="E727" s="86" t="n"/>
      <c r="F727" s="85" t="n"/>
      <c r="G727" s="85" t="n"/>
      <c r="H727" s="85" t="n"/>
      <c r="I727" s="85" t="n"/>
      <c r="J727" s="85" t="n"/>
      <c r="BD727" s="11" t="n"/>
      <c r="BE727" s="11" t="n"/>
      <c r="BF727" s="11" t="n"/>
      <c r="BG727" s="11" t="n"/>
      <c r="BK727" s="11" t="n"/>
      <c r="BL727" s="11" t="n"/>
      <c r="BP727" s="12" t="n"/>
      <c r="BQ727" s="400" t="n"/>
    </row>
    <row r="728">
      <c r="D728" s="11" t="n"/>
      <c r="E728" s="86" t="n"/>
      <c r="F728" s="85" t="n"/>
      <c r="G728" s="85" t="n"/>
      <c r="H728" s="85" t="n"/>
      <c r="I728" s="85" t="n"/>
      <c r="J728" s="85" t="n"/>
      <c r="BD728" s="11" t="n"/>
      <c r="BE728" s="11" t="n"/>
      <c r="BF728" s="11" t="n"/>
      <c r="BG728" s="11" t="n"/>
      <c r="BK728" s="11" t="n"/>
      <c r="BL728" s="11" t="n"/>
      <c r="BP728" s="12" t="n"/>
      <c r="BQ728" s="400" t="n"/>
    </row>
    <row r="729">
      <c r="D729" s="11" t="n"/>
      <c r="E729" s="86" t="n"/>
      <c r="F729" s="85" t="n"/>
      <c r="G729" s="85" t="n"/>
      <c r="H729" s="85" t="n"/>
      <c r="I729" s="85" t="n"/>
      <c r="J729" s="85" t="n"/>
      <c r="BD729" s="11" t="n"/>
      <c r="BE729" s="11" t="n"/>
      <c r="BF729" s="11" t="n"/>
      <c r="BG729" s="11" t="n"/>
      <c r="BK729" s="11" t="n"/>
      <c r="BL729" s="11" t="n"/>
      <c r="BP729" s="12" t="n"/>
      <c r="BQ729" s="400" t="n"/>
    </row>
    <row r="730">
      <c r="D730" s="11" t="n"/>
      <c r="E730" s="86" t="n"/>
      <c r="F730" s="85" t="n"/>
      <c r="G730" s="85" t="n"/>
      <c r="H730" s="85" t="n"/>
      <c r="I730" s="85" t="n"/>
      <c r="J730" s="85" t="n"/>
      <c r="BD730" s="11" t="n"/>
      <c r="BE730" s="11" t="n"/>
      <c r="BF730" s="11" t="n"/>
      <c r="BG730" s="11" t="n"/>
      <c r="BK730" s="11" t="n"/>
      <c r="BL730" s="11" t="n"/>
      <c r="BP730" s="12" t="n"/>
      <c r="BQ730" s="400" t="n"/>
    </row>
    <row r="731">
      <c r="D731" s="11" t="n"/>
      <c r="E731" s="86" t="n"/>
      <c r="F731" s="85" t="n"/>
      <c r="G731" s="85" t="n"/>
      <c r="H731" s="85" t="n"/>
      <c r="I731" s="85" t="n"/>
      <c r="J731" s="85" t="n"/>
      <c r="BD731" s="11" t="n"/>
      <c r="BE731" s="11" t="n"/>
      <c r="BF731" s="11" t="n"/>
      <c r="BG731" s="11" t="n"/>
      <c r="BK731" s="11" t="n"/>
      <c r="BL731" s="11" t="n"/>
      <c r="BP731" s="12" t="n"/>
      <c r="BQ731" s="400" t="n"/>
    </row>
    <row r="732">
      <c r="D732" s="11" t="n"/>
      <c r="E732" s="86" t="n"/>
      <c r="F732" s="85" t="n"/>
      <c r="G732" s="85" t="n"/>
      <c r="H732" s="85" t="n"/>
      <c r="I732" s="85" t="n"/>
      <c r="J732" s="85" t="n"/>
      <c r="BD732" s="11" t="n"/>
      <c r="BE732" s="11" t="n"/>
      <c r="BF732" s="11" t="n"/>
      <c r="BG732" s="11" t="n"/>
      <c r="BK732" s="11" t="n"/>
      <c r="BL732" s="11" t="n"/>
      <c r="BP732" s="12" t="n"/>
      <c r="BQ732" s="400" t="n"/>
    </row>
    <row r="733">
      <c r="D733" s="11" t="n"/>
      <c r="E733" s="86" t="n"/>
      <c r="F733" s="85" t="n"/>
      <c r="G733" s="85" t="n"/>
      <c r="H733" s="85" t="n"/>
      <c r="I733" s="85" t="n"/>
      <c r="J733" s="85" t="n"/>
      <c r="BD733" s="11" t="n"/>
      <c r="BE733" s="11" t="n"/>
      <c r="BF733" s="11" t="n"/>
      <c r="BG733" s="11" t="n"/>
      <c r="BK733" s="11" t="n"/>
      <c r="BL733" s="11" t="n"/>
      <c r="BP733" s="12" t="n"/>
      <c r="BQ733" s="400" t="n"/>
    </row>
    <row r="734">
      <c r="D734" s="11" t="n"/>
      <c r="E734" s="86" t="n"/>
      <c r="F734" s="85" t="n"/>
      <c r="G734" s="85" t="n"/>
      <c r="H734" s="85" t="n"/>
      <c r="I734" s="85" t="n"/>
      <c r="J734" s="85" t="n"/>
      <c r="BD734" s="11" t="n"/>
      <c r="BE734" s="11" t="n"/>
      <c r="BF734" s="11" t="n"/>
      <c r="BG734" s="11" t="n"/>
      <c r="BK734" s="11" t="n"/>
      <c r="BL734" s="11" t="n"/>
      <c r="BP734" s="12" t="n"/>
      <c r="BQ734" s="400" t="n"/>
    </row>
    <row r="735">
      <c r="D735" s="11" t="n"/>
      <c r="E735" s="86" t="n"/>
      <c r="F735" s="85" t="n"/>
      <c r="G735" s="85" t="n"/>
      <c r="H735" s="85" t="n"/>
      <c r="I735" s="85" t="n"/>
      <c r="J735" s="85" t="n"/>
      <c r="BD735" s="11" t="n"/>
      <c r="BE735" s="11" t="n"/>
      <c r="BF735" s="11" t="n"/>
      <c r="BG735" s="11" t="n"/>
      <c r="BK735" s="11" t="n"/>
      <c r="BL735" s="11" t="n"/>
      <c r="BP735" s="12" t="n"/>
      <c r="BQ735" s="400" t="n"/>
    </row>
    <row r="736">
      <c r="D736" s="11" t="n"/>
      <c r="E736" s="86" t="n"/>
      <c r="F736" s="85" t="n"/>
      <c r="G736" s="85" t="n"/>
      <c r="H736" s="85" t="n"/>
      <c r="I736" s="85" t="n"/>
      <c r="J736" s="85" t="n"/>
      <c r="BD736" s="11" t="n"/>
      <c r="BE736" s="11" t="n"/>
      <c r="BF736" s="11" t="n"/>
      <c r="BG736" s="11" t="n"/>
      <c r="BK736" s="11" t="n"/>
      <c r="BL736" s="11" t="n"/>
      <c r="BP736" s="12" t="n"/>
      <c r="BQ736" s="400" t="n"/>
    </row>
    <row r="737">
      <c r="D737" s="11" t="n"/>
      <c r="E737" s="86" t="n"/>
      <c r="F737" s="85" t="n"/>
      <c r="G737" s="85" t="n"/>
      <c r="H737" s="85" t="n"/>
      <c r="I737" s="85" t="n"/>
      <c r="J737" s="85" t="n"/>
      <c r="BD737" s="11" t="n"/>
      <c r="BE737" s="11" t="n"/>
      <c r="BF737" s="11" t="n"/>
      <c r="BG737" s="11" t="n"/>
      <c r="BK737" s="11" t="n"/>
      <c r="BL737" s="11" t="n"/>
      <c r="BP737" s="12" t="n"/>
      <c r="BQ737" s="400" t="n"/>
    </row>
    <row r="738">
      <c r="D738" s="11" t="n"/>
      <c r="E738" s="86" t="n"/>
      <c r="F738" s="85" t="n"/>
      <c r="G738" s="85" t="n"/>
      <c r="H738" s="85" t="n"/>
      <c r="I738" s="85" t="n"/>
      <c r="J738" s="85" t="n"/>
      <c r="BD738" s="11" t="n"/>
      <c r="BE738" s="11" t="n"/>
      <c r="BF738" s="11" t="n"/>
      <c r="BG738" s="11" t="n"/>
      <c r="BK738" s="11" t="n"/>
      <c r="BL738" s="11" t="n"/>
      <c r="BP738" s="12" t="n"/>
      <c r="BQ738" s="400" t="n"/>
    </row>
    <row r="739">
      <c r="D739" s="11" t="n"/>
      <c r="E739" s="86" t="n"/>
      <c r="F739" s="85" t="n"/>
      <c r="G739" s="85" t="n"/>
      <c r="H739" s="85" t="n"/>
      <c r="I739" s="85" t="n"/>
      <c r="J739" s="85" t="n"/>
      <c r="BD739" s="11" t="n"/>
      <c r="BE739" s="11" t="n"/>
      <c r="BF739" s="11" t="n"/>
      <c r="BG739" s="11" t="n"/>
      <c r="BK739" s="11" t="n"/>
      <c r="BL739" s="11" t="n"/>
      <c r="BP739" s="12" t="n"/>
      <c r="BQ739" s="400" t="n"/>
    </row>
    <row r="740">
      <c r="D740" s="11" t="n"/>
      <c r="E740" s="86" t="n"/>
      <c r="F740" s="85" t="n"/>
      <c r="G740" s="85" t="n"/>
      <c r="H740" s="85" t="n"/>
      <c r="I740" s="85" t="n"/>
      <c r="J740" s="85" t="n"/>
      <c r="BD740" s="11" t="n"/>
      <c r="BE740" s="11" t="n"/>
      <c r="BF740" s="11" t="n"/>
      <c r="BG740" s="11" t="n"/>
      <c r="BK740" s="11" t="n"/>
      <c r="BL740" s="11" t="n"/>
      <c r="BP740" s="12" t="n"/>
      <c r="BQ740" s="400" t="n"/>
    </row>
    <row r="741">
      <c r="D741" s="11" t="n"/>
      <c r="E741" s="86" t="n"/>
      <c r="F741" s="85" t="n"/>
      <c r="G741" s="85" t="n"/>
      <c r="H741" s="85" t="n"/>
      <c r="I741" s="85" t="n"/>
      <c r="J741" s="85" t="n"/>
      <c r="BD741" s="11" t="n"/>
      <c r="BE741" s="11" t="n"/>
      <c r="BF741" s="11" t="n"/>
      <c r="BG741" s="11" t="n"/>
      <c r="BK741" s="11" t="n"/>
      <c r="BL741" s="11" t="n"/>
      <c r="BP741" s="12" t="n"/>
      <c r="BQ741" s="400" t="n"/>
    </row>
    <row r="742">
      <c r="D742" s="11" t="n"/>
      <c r="E742" s="86" t="n"/>
      <c r="F742" s="85" t="n"/>
      <c r="G742" s="85" t="n"/>
      <c r="H742" s="85" t="n"/>
      <c r="I742" s="85" t="n"/>
      <c r="J742" s="85" t="n"/>
      <c r="BD742" s="11" t="n"/>
      <c r="BE742" s="11" t="n"/>
      <c r="BF742" s="11" t="n"/>
      <c r="BG742" s="11" t="n"/>
      <c r="BK742" s="11" t="n"/>
      <c r="BL742" s="11" t="n"/>
      <c r="BP742" s="12" t="n"/>
      <c r="BQ742" s="400" t="n"/>
    </row>
    <row r="743">
      <c r="D743" s="11" t="n"/>
      <c r="E743" s="86" t="n"/>
      <c r="F743" s="85" t="n"/>
      <c r="G743" s="85" t="n"/>
      <c r="H743" s="85" t="n"/>
      <c r="I743" s="85" t="n"/>
      <c r="J743" s="85" t="n"/>
      <c r="BD743" s="11" t="n"/>
      <c r="BE743" s="11" t="n"/>
      <c r="BF743" s="11" t="n"/>
      <c r="BG743" s="11" t="n"/>
      <c r="BK743" s="11" t="n"/>
      <c r="BL743" s="11" t="n"/>
      <c r="BP743" s="12" t="n"/>
      <c r="BQ743" s="400" t="n"/>
    </row>
    <row r="744">
      <c r="D744" s="11" t="n"/>
      <c r="E744" s="86" t="n"/>
      <c r="F744" s="85" t="n"/>
      <c r="G744" s="85" t="n"/>
      <c r="H744" s="85" t="n"/>
      <c r="I744" s="85" t="n"/>
      <c r="J744" s="85" t="n"/>
      <c r="BD744" s="11" t="n"/>
      <c r="BE744" s="11" t="n"/>
      <c r="BF744" s="11" t="n"/>
      <c r="BG744" s="11" t="n"/>
      <c r="BK744" s="11" t="n"/>
      <c r="BL744" s="11" t="n"/>
      <c r="BP744" s="12" t="n"/>
      <c r="BQ744" s="400" t="n"/>
    </row>
    <row r="745">
      <c r="D745" s="11" t="n"/>
      <c r="E745" s="86" t="n"/>
      <c r="F745" s="85" t="n"/>
      <c r="G745" s="85" t="n"/>
      <c r="H745" s="85" t="n"/>
      <c r="I745" s="85" t="n"/>
      <c r="J745" s="85" t="n"/>
      <c r="BD745" s="11" t="n"/>
      <c r="BE745" s="11" t="n"/>
      <c r="BF745" s="11" t="n"/>
      <c r="BG745" s="11" t="n"/>
      <c r="BK745" s="11" t="n"/>
      <c r="BL745" s="11" t="n"/>
      <c r="BP745" s="12" t="n"/>
      <c r="BQ745" s="400" t="n"/>
    </row>
    <row r="746">
      <c r="D746" s="11" t="n"/>
      <c r="E746" s="86" t="n"/>
      <c r="F746" s="85" t="n"/>
      <c r="G746" s="85" t="n"/>
      <c r="H746" s="85" t="n"/>
      <c r="I746" s="85" t="n"/>
      <c r="J746" s="85" t="n"/>
      <c r="BD746" s="11" t="n"/>
      <c r="BE746" s="11" t="n"/>
      <c r="BF746" s="11" t="n"/>
      <c r="BG746" s="11" t="n"/>
      <c r="BK746" s="11" t="n"/>
      <c r="BL746" s="11" t="n"/>
      <c r="BP746" s="12" t="n"/>
      <c r="BQ746" s="400" t="n"/>
    </row>
    <row r="747">
      <c r="D747" s="11" t="n"/>
      <c r="E747" s="86" t="n"/>
      <c r="F747" s="85" t="n"/>
      <c r="G747" s="85" t="n"/>
      <c r="H747" s="85" t="n"/>
      <c r="I747" s="85" t="n"/>
      <c r="J747" s="85" t="n"/>
      <c r="BD747" s="11" t="n"/>
      <c r="BE747" s="11" t="n"/>
      <c r="BF747" s="11" t="n"/>
      <c r="BG747" s="11" t="n"/>
      <c r="BK747" s="11" t="n"/>
      <c r="BL747" s="11" t="n"/>
      <c r="BP747" s="12" t="n"/>
      <c r="BQ747" s="400" t="n"/>
    </row>
    <row r="748">
      <c r="D748" s="11" t="n"/>
      <c r="E748" s="86" t="n"/>
      <c r="F748" s="85" t="n"/>
      <c r="G748" s="85" t="n"/>
      <c r="H748" s="85" t="n"/>
      <c r="I748" s="85" t="n"/>
      <c r="J748" s="85" t="n"/>
      <c r="BD748" s="11" t="n"/>
      <c r="BE748" s="11" t="n"/>
      <c r="BF748" s="11" t="n"/>
      <c r="BG748" s="11" t="n"/>
      <c r="BK748" s="11" t="n"/>
      <c r="BL748" s="11" t="n"/>
      <c r="BP748" s="12" t="n"/>
      <c r="BQ748" s="400" t="n"/>
    </row>
    <row r="749">
      <c r="D749" s="11" t="n"/>
      <c r="E749" s="86" t="n"/>
      <c r="F749" s="85" t="n"/>
      <c r="G749" s="85" t="n"/>
      <c r="H749" s="85" t="n"/>
      <c r="I749" s="85" t="n"/>
      <c r="J749" s="85" t="n"/>
      <c r="BD749" s="11" t="n"/>
      <c r="BE749" s="11" t="n"/>
      <c r="BF749" s="11" t="n"/>
      <c r="BG749" s="11" t="n"/>
      <c r="BK749" s="11" t="n"/>
      <c r="BL749" s="11" t="n"/>
      <c r="BP749" s="12" t="n"/>
      <c r="BQ749" s="400" t="n"/>
    </row>
    <row r="750">
      <c r="D750" s="11" t="n"/>
      <c r="E750" s="86" t="n"/>
      <c r="F750" s="85" t="n"/>
      <c r="G750" s="85" t="n"/>
      <c r="H750" s="85" t="n"/>
      <c r="I750" s="85" t="n"/>
      <c r="J750" s="85" t="n"/>
      <c r="BD750" s="11" t="n"/>
      <c r="BE750" s="11" t="n"/>
      <c r="BF750" s="11" t="n"/>
      <c r="BG750" s="11" t="n"/>
      <c r="BK750" s="11" t="n"/>
      <c r="BL750" s="11" t="n"/>
      <c r="BP750" s="12" t="n"/>
      <c r="BQ750" s="400" t="n"/>
    </row>
    <row r="751">
      <c r="D751" s="11" t="n"/>
      <c r="E751" s="86" t="n"/>
      <c r="F751" s="85" t="n"/>
      <c r="G751" s="85" t="n"/>
      <c r="H751" s="85" t="n"/>
      <c r="I751" s="85" t="n"/>
      <c r="J751" s="85" t="n"/>
      <c r="BD751" s="11" t="n"/>
      <c r="BE751" s="11" t="n"/>
      <c r="BF751" s="11" t="n"/>
      <c r="BG751" s="11" t="n"/>
      <c r="BK751" s="11" t="n"/>
      <c r="BL751" s="11" t="n"/>
      <c r="BP751" s="12" t="n"/>
      <c r="BQ751" s="400" t="n"/>
    </row>
    <row r="752">
      <c r="D752" s="11" t="n"/>
      <c r="E752" s="86" t="n"/>
      <c r="F752" s="85" t="n"/>
      <c r="G752" s="85" t="n"/>
      <c r="H752" s="85" t="n"/>
      <c r="I752" s="85" t="n"/>
      <c r="J752" s="85" t="n"/>
      <c r="BD752" s="11" t="n"/>
      <c r="BE752" s="11" t="n"/>
      <c r="BF752" s="11" t="n"/>
      <c r="BG752" s="11" t="n"/>
      <c r="BK752" s="11" t="n"/>
      <c r="BL752" s="11" t="n"/>
      <c r="BP752" s="12" t="n"/>
      <c r="BQ752" s="400" t="n"/>
    </row>
    <row r="753">
      <c r="D753" s="11" t="n"/>
      <c r="E753" s="86" t="n"/>
      <c r="F753" s="85" t="n"/>
      <c r="G753" s="85" t="n"/>
      <c r="H753" s="85" t="n"/>
      <c r="I753" s="85" t="n"/>
      <c r="J753" s="85" t="n"/>
      <c r="BD753" s="11" t="n"/>
      <c r="BE753" s="11" t="n"/>
      <c r="BF753" s="11" t="n"/>
      <c r="BG753" s="11" t="n"/>
      <c r="BK753" s="11" t="n"/>
      <c r="BL753" s="11" t="n"/>
      <c r="BP753" s="12" t="n"/>
      <c r="BQ753" s="400" t="n"/>
    </row>
    <row r="754">
      <c r="D754" s="11" t="n"/>
      <c r="E754" s="86" t="n"/>
      <c r="F754" s="85" t="n"/>
      <c r="G754" s="85" t="n"/>
      <c r="H754" s="85" t="n"/>
      <c r="I754" s="85" t="n"/>
      <c r="J754" s="85" t="n"/>
      <c r="BD754" s="11" t="n"/>
      <c r="BE754" s="11" t="n"/>
      <c r="BF754" s="11" t="n"/>
      <c r="BG754" s="11" t="n"/>
      <c r="BK754" s="11" t="n"/>
      <c r="BL754" s="11" t="n"/>
      <c r="BP754" s="12" t="n"/>
      <c r="BQ754" s="400" t="n"/>
    </row>
    <row r="755">
      <c r="D755" s="11" t="n"/>
      <c r="E755" s="86" t="n"/>
      <c r="F755" s="85" t="n"/>
      <c r="G755" s="85" t="n"/>
      <c r="H755" s="85" t="n"/>
      <c r="I755" s="85" t="n"/>
      <c r="J755" s="85" t="n"/>
      <c r="BD755" s="11" t="n"/>
      <c r="BE755" s="11" t="n"/>
      <c r="BF755" s="11" t="n"/>
      <c r="BG755" s="11" t="n"/>
      <c r="BK755" s="11" t="n"/>
      <c r="BL755" s="11" t="n"/>
      <c r="BP755" s="12" t="n"/>
      <c r="BQ755" s="400" t="n"/>
    </row>
    <row r="756">
      <c r="D756" s="11" t="n"/>
      <c r="E756" s="86" t="n"/>
      <c r="F756" s="85" t="n"/>
      <c r="G756" s="85" t="n"/>
      <c r="H756" s="85" t="n"/>
      <c r="I756" s="85" t="n"/>
      <c r="J756" s="85" t="n"/>
      <c r="BD756" s="11" t="n"/>
      <c r="BE756" s="11" t="n"/>
      <c r="BF756" s="11" t="n"/>
      <c r="BG756" s="11" t="n"/>
      <c r="BK756" s="11" t="n"/>
      <c r="BL756" s="11" t="n"/>
      <c r="BP756" s="12" t="n"/>
      <c r="BQ756" s="400" t="n"/>
    </row>
    <row r="757">
      <c r="D757" s="11" t="n"/>
      <c r="E757" s="86" t="n"/>
      <c r="F757" s="85" t="n"/>
      <c r="G757" s="85" t="n"/>
      <c r="H757" s="85" t="n"/>
      <c r="I757" s="85" t="n"/>
      <c r="J757" s="85" t="n"/>
      <c r="BD757" s="11" t="n"/>
      <c r="BE757" s="11" t="n"/>
      <c r="BF757" s="11" t="n"/>
      <c r="BG757" s="11" t="n"/>
      <c r="BK757" s="11" t="n"/>
      <c r="BL757" s="11" t="n"/>
      <c r="BP757" s="12" t="n"/>
      <c r="BQ757" s="400" t="n"/>
    </row>
    <row r="758">
      <c r="D758" s="11" t="n"/>
      <c r="E758" s="86" t="n"/>
      <c r="F758" s="85" t="n"/>
      <c r="G758" s="85" t="n"/>
      <c r="H758" s="85" t="n"/>
      <c r="I758" s="85" t="n"/>
      <c r="J758" s="85" t="n"/>
      <c r="BD758" s="11" t="n"/>
      <c r="BE758" s="11" t="n"/>
      <c r="BF758" s="11" t="n"/>
      <c r="BG758" s="11" t="n"/>
      <c r="BK758" s="11" t="n"/>
      <c r="BL758" s="11" t="n"/>
      <c r="BP758" s="12" t="n"/>
      <c r="BQ758" s="400" t="n"/>
    </row>
    <row r="759">
      <c r="D759" s="11" t="n"/>
      <c r="E759" s="86" t="n"/>
      <c r="F759" s="85" t="n"/>
      <c r="G759" s="85" t="n"/>
      <c r="H759" s="85" t="n"/>
      <c r="I759" s="85" t="n"/>
      <c r="J759" s="85" t="n"/>
      <c r="BD759" s="11" t="n"/>
      <c r="BE759" s="11" t="n"/>
      <c r="BF759" s="11" t="n"/>
      <c r="BG759" s="11" t="n"/>
      <c r="BK759" s="11" t="n"/>
      <c r="BL759" s="11" t="n"/>
      <c r="BP759" s="12" t="n"/>
      <c r="BQ759" s="400" t="n"/>
    </row>
    <row r="760">
      <c r="D760" s="11" t="n"/>
      <c r="E760" s="86" t="n"/>
      <c r="F760" s="85" t="n"/>
      <c r="G760" s="85" t="n"/>
      <c r="H760" s="85" t="n"/>
      <c r="I760" s="85" t="n"/>
      <c r="J760" s="85" t="n"/>
      <c r="BD760" s="11" t="n"/>
      <c r="BE760" s="11" t="n"/>
      <c r="BF760" s="11" t="n"/>
      <c r="BG760" s="11" t="n"/>
      <c r="BK760" s="11" t="n"/>
      <c r="BL760" s="11" t="n"/>
      <c r="BP760" s="12" t="n"/>
      <c r="BQ760" s="400" t="n"/>
    </row>
    <row r="761">
      <c r="D761" s="11" t="n"/>
      <c r="E761" s="86" t="n"/>
      <c r="F761" s="85" t="n"/>
      <c r="G761" s="85" t="n"/>
      <c r="H761" s="85" t="n"/>
      <c r="I761" s="85" t="n"/>
      <c r="J761" s="85" t="n"/>
      <c r="BD761" s="11" t="n"/>
      <c r="BE761" s="11" t="n"/>
      <c r="BF761" s="11" t="n"/>
      <c r="BG761" s="11" t="n"/>
      <c r="BK761" s="11" t="n"/>
      <c r="BL761" s="11" t="n"/>
      <c r="BP761" s="12" t="n"/>
      <c r="BQ761" s="400" t="n"/>
    </row>
    <row r="762">
      <c r="D762" s="11" t="n"/>
      <c r="E762" s="86" t="n"/>
      <c r="F762" s="85" t="n"/>
      <c r="G762" s="85" t="n"/>
      <c r="H762" s="85" t="n"/>
      <c r="I762" s="85" t="n"/>
      <c r="J762" s="85" t="n"/>
      <c r="BD762" s="11" t="n"/>
      <c r="BE762" s="11" t="n"/>
      <c r="BF762" s="11" t="n"/>
      <c r="BG762" s="11" t="n"/>
      <c r="BK762" s="11" t="n"/>
      <c r="BL762" s="11" t="n"/>
      <c r="BP762" s="12" t="n"/>
      <c r="BQ762" s="400" t="n"/>
    </row>
    <row r="763">
      <c r="D763" s="11" t="n"/>
      <c r="E763" s="86" t="n"/>
      <c r="F763" s="85" t="n"/>
      <c r="G763" s="85" t="n"/>
      <c r="H763" s="85" t="n"/>
      <c r="I763" s="85" t="n"/>
      <c r="J763" s="85" t="n"/>
      <c r="BD763" s="11" t="n"/>
      <c r="BE763" s="11" t="n"/>
      <c r="BF763" s="11" t="n"/>
      <c r="BG763" s="11" t="n"/>
      <c r="BK763" s="11" t="n"/>
      <c r="BL763" s="11" t="n"/>
      <c r="BP763" s="12" t="n"/>
      <c r="BQ763" s="400" t="n"/>
    </row>
    <row r="764">
      <c r="D764" s="11" t="n"/>
      <c r="E764" s="86" t="n"/>
      <c r="F764" s="85" t="n"/>
      <c r="G764" s="85" t="n"/>
      <c r="H764" s="85" t="n"/>
      <c r="I764" s="85" t="n"/>
      <c r="J764" s="85" t="n"/>
      <c r="BD764" s="11" t="n"/>
      <c r="BE764" s="11" t="n"/>
      <c r="BF764" s="11" t="n"/>
      <c r="BG764" s="11" t="n"/>
      <c r="BK764" s="11" t="n"/>
      <c r="BL764" s="11" t="n"/>
      <c r="BP764" s="12" t="n"/>
      <c r="BQ764" s="400" t="n"/>
    </row>
    <row r="765">
      <c r="D765" s="11" t="n"/>
      <c r="E765" s="86" t="n"/>
      <c r="F765" s="85" t="n"/>
      <c r="G765" s="85" t="n"/>
      <c r="H765" s="85" t="n"/>
      <c r="I765" s="85" t="n"/>
      <c r="J765" s="85" t="n"/>
      <c r="BD765" s="11" t="n"/>
      <c r="BE765" s="11" t="n"/>
      <c r="BF765" s="11" t="n"/>
      <c r="BG765" s="11" t="n"/>
      <c r="BK765" s="11" t="n"/>
      <c r="BL765" s="11" t="n"/>
      <c r="BP765" s="12" t="n"/>
      <c r="BQ765" s="400" t="n"/>
    </row>
    <row r="766">
      <c r="D766" s="11" t="n"/>
      <c r="E766" s="86" t="n"/>
      <c r="F766" s="85" t="n"/>
      <c r="G766" s="85" t="n"/>
      <c r="H766" s="85" t="n"/>
      <c r="I766" s="85" t="n"/>
      <c r="J766" s="85" t="n"/>
      <c r="BD766" s="11" t="n"/>
      <c r="BE766" s="11" t="n"/>
      <c r="BF766" s="11" t="n"/>
      <c r="BG766" s="11" t="n"/>
      <c r="BK766" s="11" t="n"/>
      <c r="BL766" s="11" t="n"/>
      <c r="BP766" s="12" t="n"/>
      <c r="BQ766" s="400" t="n"/>
    </row>
    <row r="767">
      <c r="D767" s="11" t="n"/>
      <c r="E767" s="86" t="n"/>
      <c r="F767" s="85" t="n"/>
      <c r="G767" s="85" t="n"/>
      <c r="H767" s="85" t="n"/>
      <c r="I767" s="85" t="n"/>
      <c r="J767" s="85" t="n"/>
      <c r="BD767" s="11" t="n"/>
      <c r="BE767" s="11" t="n"/>
      <c r="BF767" s="11" t="n"/>
      <c r="BG767" s="11" t="n"/>
      <c r="BK767" s="11" t="n"/>
      <c r="BL767" s="11" t="n"/>
      <c r="BP767" s="12" t="n"/>
      <c r="BQ767" s="400" t="n"/>
    </row>
    <row r="768">
      <c r="D768" s="11" t="n"/>
      <c r="E768" s="86" t="n"/>
      <c r="F768" s="85" t="n"/>
      <c r="G768" s="85" t="n"/>
      <c r="H768" s="85" t="n"/>
      <c r="I768" s="85" t="n"/>
      <c r="J768" s="85" t="n"/>
      <c r="BD768" s="11" t="n"/>
      <c r="BE768" s="11" t="n"/>
      <c r="BF768" s="11" t="n"/>
      <c r="BG768" s="11" t="n"/>
      <c r="BK768" s="11" t="n"/>
      <c r="BL768" s="11" t="n"/>
      <c r="BP768" s="12" t="n"/>
      <c r="BQ768" s="400" t="n"/>
    </row>
    <row r="769">
      <c r="D769" s="11" t="n"/>
      <c r="E769" s="86" t="n"/>
      <c r="F769" s="85" t="n"/>
      <c r="G769" s="85" t="n"/>
      <c r="H769" s="85" t="n"/>
      <c r="I769" s="85" t="n"/>
      <c r="J769" s="85" t="n"/>
      <c r="BD769" s="11" t="n"/>
      <c r="BE769" s="11" t="n"/>
      <c r="BF769" s="11" t="n"/>
      <c r="BG769" s="11" t="n"/>
      <c r="BK769" s="11" t="n"/>
      <c r="BL769" s="11" t="n"/>
      <c r="BP769" s="12" t="n"/>
      <c r="BQ769" s="400" t="n"/>
    </row>
    <row r="770">
      <c r="D770" s="11" t="n"/>
      <c r="E770" s="86" t="n"/>
      <c r="F770" s="85" t="n"/>
      <c r="G770" s="85" t="n"/>
      <c r="H770" s="85" t="n"/>
      <c r="I770" s="85" t="n"/>
      <c r="J770" s="85" t="n"/>
      <c r="BD770" s="11" t="n"/>
      <c r="BE770" s="11" t="n"/>
      <c r="BF770" s="11" t="n"/>
      <c r="BG770" s="11" t="n"/>
      <c r="BK770" s="11" t="n"/>
      <c r="BL770" s="11" t="n"/>
      <c r="BP770" s="12" t="n"/>
      <c r="BQ770" s="400" t="n"/>
    </row>
    <row r="771">
      <c r="D771" s="11" t="n"/>
      <c r="E771" s="86" t="n"/>
      <c r="F771" s="85" t="n"/>
      <c r="G771" s="85" t="n"/>
      <c r="H771" s="85" t="n"/>
      <c r="I771" s="85" t="n"/>
      <c r="J771" s="85" t="n"/>
      <c r="BD771" s="11" t="n"/>
      <c r="BE771" s="11" t="n"/>
      <c r="BF771" s="11" t="n"/>
      <c r="BG771" s="11" t="n"/>
      <c r="BK771" s="11" t="n"/>
      <c r="BL771" s="11" t="n"/>
      <c r="BP771" s="12" t="n"/>
      <c r="BQ771" s="400" t="n"/>
    </row>
    <row r="772">
      <c r="D772" s="11" t="n"/>
      <c r="E772" s="86" t="n"/>
      <c r="F772" s="85" t="n"/>
      <c r="G772" s="85" t="n"/>
      <c r="H772" s="85" t="n"/>
      <c r="I772" s="85" t="n"/>
      <c r="J772" s="85" t="n"/>
      <c r="BD772" s="11" t="n"/>
      <c r="BE772" s="11" t="n"/>
      <c r="BF772" s="11" t="n"/>
      <c r="BG772" s="11" t="n"/>
      <c r="BK772" s="11" t="n"/>
      <c r="BL772" s="11" t="n"/>
      <c r="BP772" s="12" t="n"/>
      <c r="BQ772" s="400" t="n"/>
    </row>
    <row r="773">
      <c r="D773" s="11" t="n"/>
      <c r="E773" s="86" t="n"/>
      <c r="F773" s="85" t="n"/>
      <c r="G773" s="85" t="n"/>
      <c r="H773" s="85" t="n"/>
      <c r="I773" s="85" t="n"/>
      <c r="J773" s="85" t="n"/>
      <c r="BD773" s="11" t="n"/>
      <c r="BE773" s="11" t="n"/>
      <c r="BF773" s="11" t="n"/>
      <c r="BG773" s="11" t="n"/>
      <c r="BK773" s="11" t="n"/>
      <c r="BL773" s="11" t="n"/>
      <c r="BP773" s="12" t="n"/>
      <c r="BQ773" s="400" t="n"/>
    </row>
    <row r="774">
      <c r="D774" s="11" t="n"/>
      <c r="E774" s="86" t="n"/>
      <c r="F774" s="85" t="n"/>
      <c r="G774" s="85" t="n"/>
      <c r="H774" s="85" t="n"/>
      <c r="I774" s="85" t="n"/>
      <c r="J774" s="85" t="n"/>
      <c r="BD774" s="11" t="n"/>
      <c r="BE774" s="11" t="n"/>
      <c r="BF774" s="11" t="n"/>
      <c r="BG774" s="11" t="n"/>
      <c r="BK774" s="11" t="n"/>
      <c r="BL774" s="11" t="n"/>
      <c r="BP774" s="12" t="n"/>
      <c r="BQ774" s="400" t="n"/>
    </row>
    <row r="775">
      <c r="D775" s="11" t="n"/>
      <c r="E775" s="86" t="n"/>
      <c r="F775" s="85" t="n"/>
      <c r="G775" s="85" t="n"/>
      <c r="H775" s="85" t="n"/>
      <c r="I775" s="85" t="n"/>
      <c r="J775" s="85" t="n"/>
      <c r="BD775" s="11" t="n"/>
      <c r="BE775" s="11" t="n"/>
      <c r="BF775" s="11" t="n"/>
      <c r="BG775" s="11" t="n"/>
      <c r="BK775" s="11" t="n"/>
      <c r="BL775" s="11" t="n"/>
      <c r="BP775" s="12" t="n"/>
      <c r="BQ775" s="400" t="n"/>
    </row>
    <row r="776">
      <c r="D776" s="11" t="n"/>
      <c r="E776" s="86" t="n"/>
      <c r="F776" s="85" t="n"/>
      <c r="G776" s="85" t="n"/>
      <c r="H776" s="85" t="n"/>
      <c r="I776" s="85" t="n"/>
      <c r="J776" s="85" t="n"/>
      <c r="BD776" s="11" t="n"/>
      <c r="BE776" s="11" t="n"/>
      <c r="BF776" s="11" t="n"/>
      <c r="BG776" s="11" t="n"/>
      <c r="BK776" s="11" t="n"/>
      <c r="BL776" s="11" t="n"/>
      <c r="BP776" s="12" t="n"/>
      <c r="BQ776" s="400" t="n"/>
    </row>
    <row r="777">
      <c r="D777" s="11" t="n"/>
      <c r="E777" s="86" t="n"/>
      <c r="F777" s="85" t="n"/>
      <c r="G777" s="85" t="n"/>
      <c r="H777" s="85" t="n"/>
      <c r="I777" s="85" t="n"/>
      <c r="J777" s="85" t="n"/>
      <c r="BD777" s="11" t="n"/>
      <c r="BE777" s="11" t="n"/>
      <c r="BF777" s="11" t="n"/>
      <c r="BG777" s="11" t="n"/>
      <c r="BK777" s="11" t="n"/>
      <c r="BL777" s="11" t="n"/>
      <c r="BP777" s="12" t="n"/>
      <c r="BQ777" s="400" t="n"/>
    </row>
    <row r="778">
      <c r="D778" s="11" t="n"/>
      <c r="E778" s="86" t="n"/>
      <c r="F778" s="85" t="n"/>
      <c r="G778" s="85" t="n"/>
      <c r="H778" s="85" t="n"/>
      <c r="I778" s="85" t="n"/>
      <c r="J778" s="85" t="n"/>
      <c r="BD778" s="11" t="n"/>
      <c r="BE778" s="11" t="n"/>
      <c r="BF778" s="11" t="n"/>
      <c r="BG778" s="11" t="n"/>
      <c r="BK778" s="11" t="n"/>
      <c r="BL778" s="11" t="n"/>
      <c r="BP778" s="12" t="n"/>
      <c r="BQ778" s="400" t="n"/>
    </row>
    <row r="779">
      <c r="D779" s="11" t="n"/>
      <c r="E779" s="86" t="n"/>
      <c r="F779" s="85" t="n"/>
      <c r="G779" s="85" t="n"/>
      <c r="H779" s="85" t="n"/>
      <c r="I779" s="85" t="n"/>
      <c r="J779" s="85" t="n"/>
      <c r="BD779" s="11" t="n"/>
      <c r="BE779" s="11" t="n"/>
      <c r="BF779" s="11" t="n"/>
      <c r="BG779" s="11" t="n"/>
      <c r="BK779" s="11" t="n"/>
      <c r="BL779" s="11" t="n"/>
      <c r="BP779" s="12" t="n"/>
      <c r="BQ779" s="400" t="n"/>
    </row>
    <row r="780">
      <c r="D780" s="11" t="n"/>
      <c r="E780" s="86" t="n"/>
      <c r="F780" s="85" t="n"/>
      <c r="G780" s="85" t="n"/>
      <c r="H780" s="85" t="n"/>
      <c r="I780" s="85" t="n"/>
      <c r="J780" s="85" t="n"/>
      <c r="BD780" s="11" t="n"/>
      <c r="BE780" s="11" t="n"/>
      <c r="BF780" s="11" t="n"/>
      <c r="BG780" s="11" t="n"/>
      <c r="BK780" s="11" t="n"/>
      <c r="BL780" s="11" t="n"/>
      <c r="BP780" s="12" t="n"/>
      <c r="BQ780" s="400" t="n"/>
    </row>
    <row r="781">
      <c r="D781" s="11" t="n"/>
      <c r="E781" s="86" t="n"/>
      <c r="F781" s="85" t="n"/>
      <c r="G781" s="85" t="n"/>
      <c r="H781" s="85" t="n"/>
      <c r="I781" s="85" t="n"/>
      <c r="J781" s="85" t="n"/>
      <c r="BD781" s="11" t="n"/>
      <c r="BE781" s="11" t="n"/>
      <c r="BF781" s="11" t="n"/>
      <c r="BG781" s="11" t="n"/>
      <c r="BK781" s="11" t="n"/>
      <c r="BL781" s="11" t="n"/>
      <c r="BP781" s="12" t="n"/>
      <c r="BQ781" s="400" t="n"/>
    </row>
    <row r="782">
      <c r="D782" s="11" t="n"/>
      <c r="E782" s="86" t="n"/>
      <c r="F782" s="85" t="n"/>
      <c r="G782" s="85" t="n"/>
      <c r="H782" s="85" t="n"/>
      <c r="I782" s="85" t="n"/>
      <c r="J782" s="85" t="n"/>
      <c r="BD782" s="11" t="n"/>
      <c r="BE782" s="11" t="n"/>
      <c r="BF782" s="11" t="n"/>
      <c r="BG782" s="11" t="n"/>
      <c r="BK782" s="11" t="n"/>
      <c r="BL782" s="11" t="n"/>
      <c r="BP782" s="12" t="n"/>
      <c r="BQ782" s="400" t="n"/>
    </row>
    <row r="783">
      <c r="D783" s="11" t="n"/>
      <c r="E783" s="86" t="n"/>
      <c r="F783" s="85" t="n"/>
      <c r="G783" s="85" t="n"/>
      <c r="H783" s="85" t="n"/>
      <c r="I783" s="85" t="n"/>
      <c r="J783" s="85" t="n"/>
      <c r="BD783" s="11" t="n"/>
      <c r="BE783" s="11" t="n"/>
      <c r="BF783" s="11" t="n"/>
      <c r="BG783" s="11" t="n"/>
      <c r="BK783" s="11" t="n"/>
      <c r="BL783" s="11" t="n"/>
      <c r="BP783" s="12" t="n"/>
      <c r="BQ783" s="400" t="n"/>
    </row>
    <row r="784">
      <c r="D784" s="11" t="n"/>
      <c r="E784" s="86" t="n"/>
      <c r="F784" s="85" t="n"/>
      <c r="G784" s="85" t="n"/>
      <c r="H784" s="85" t="n"/>
      <c r="I784" s="85" t="n"/>
      <c r="J784" s="85" t="n"/>
      <c r="BD784" s="11" t="n"/>
      <c r="BE784" s="11" t="n"/>
      <c r="BF784" s="11" t="n"/>
      <c r="BG784" s="11" t="n"/>
      <c r="BK784" s="11" t="n"/>
      <c r="BL784" s="11" t="n"/>
      <c r="BP784" s="12" t="n"/>
      <c r="BQ784" s="400" t="n"/>
    </row>
    <row r="785">
      <c r="D785" s="11" t="n"/>
      <c r="E785" s="86" t="n"/>
      <c r="F785" s="85" t="n"/>
      <c r="G785" s="85" t="n"/>
      <c r="H785" s="85" t="n"/>
      <c r="I785" s="85" t="n"/>
      <c r="J785" s="85" t="n"/>
      <c r="BD785" s="11" t="n"/>
      <c r="BE785" s="11" t="n"/>
      <c r="BF785" s="11" t="n"/>
      <c r="BG785" s="11" t="n"/>
      <c r="BK785" s="11" t="n"/>
      <c r="BL785" s="11" t="n"/>
      <c r="BP785" s="12" t="n"/>
      <c r="BQ785" s="400" t="n"/>
    </row>
    <row r="786">
      <c r="D786" s="11" t="n"/>
      <c r="E786" s="86" t="n"/>
      <c r="F786" s="85" t="n"/>
      <c r="G786" s="85" t="n"/>
      <c r="H786" s="85" t="n"/>
      <c r="I786" s="85" t="n"/>
      <c r="J786" s="85" t="n"/>
      <c r="BD786" s="11" t="n"/>
      <c r="BE786" s="11" t="n"/>
      <c r="BF786" s="11" t="n"/>
      <c r="BG786" s="11" t="n"/>
      <c r="BK786" s="11" t="n"/>
      <c r="BL786" s="11" t="n"/>
      <c r="BP786" s="12" t="n"/>
      <c r="BQ786" s="400" t="n"/>
    </row>
    <row r="787">
      <c r="D787" s="11" t="n"/>
      <c r="E787" s="86" t="n"/>
      <c r="F787" s="85" t="n"/>
      <c r="G787" s="85" t="n"/>
      <c r="H787" s="85" t="n"/>
      <c r="I787" s="85" t="n"/>
      <c r="J787" s="85" t="n"/>
      <c r="BD787" s="11" t="n"/>
      <c r="BE787" s="11" t="n"/>
      <c r="BF787" s="11" t="n"/>
      <c r="BG787" s="11" t="n"/>
      <c r="BK787" s="11" t="n"/>
      <c r="BL787" s="11" t="n"/>
      <c r="BP787" s="12" t="n"/>
      <c r="BQ787" s="400" t="n"/>
    </row>
    <row r="788">
      <c r="D788" s="11" t="n"/>
      <c r="E788" s="86" t="n"/>
      <c r="F788" s="85" t="n"/>
      <c r="G788" s="85" t="n"/>
      <c r="H788" s="85" t="n"/>
      <c r="I788" s="85" t="n"/>
      <c r="J788" s="85" t="n"/>
      <c r="BD788" s="11" t="n"/>
      <c r="BE788" s="11" t="n"/>
      <c r="BF788" s="11" t="n"/>
      <c r="BG788" s="11" t="n"/>
      <c r="BK788" s="11" t="n"/>
      <c r="BL788" s="11" t="n"/>
      <c r="BP788" s="12" t="n"/>
      <c r="BQ788" s="400" t="n"/>
    </row>
    <row r="789">
      <c r="D789" s="11" t="n"/>
      <c r="E789" s="86" t="n"/>
      <c r="F789" s="85" t="n"/>
      <c r="G789" s="85" t="n"/>
      <c r="H789" s="85" t="n"/>
      <c r="I789" s="85" t="n"/>
      <c r="J789" s="85" t="n"/>
      <c r="BD789" s="11" t="n"/>
      <c r="BE789" s="11" t="n"/>
      <c r="BF789" s="11" t="n"/>
      <c r="BG789" s="11" t="n"/>
      <c r="BK789" s="11" t="n"/>
      <c r="BL789" s="11" t="n"/>
      <c r="BP789" s="12" t="n"/>
      <c r="BQ789" s="400" t="n"/>
    </row>
    <row r="790">
      <c r="D790" s="11" t="n"/>
      <c r="E790" s="86" t="n"/>
      <c r="F790" s="85" t="n"/>
      <c r="G790" s="85" t="n"/>
      <c r="H790" s="85" t="n"/>
      <c r="I790" s="85" t="n"/>
      <c r="J790" s="85" t="n"/>
      <c r="BD790" s="11" t="n"/>
      <c r="BE790" s="11" t="n"/>
      <c r="BF790" s="11" t="n"/>
      <c r="BG790" s="11" t="n"/>
      <c r="BK790" s="11" t="n"/>
      <c r="BL790" s="11" t="n"/>
      <c r="BP790" s="12" t="n"/>
      <c r="BQ790" s="400" t="n"/>
    </row>
    <row r="791">
      <c r="D791" s="11" t="n"/>
      <c r="E791" s="86" t="n"/>
      <c r="F791" s="85" t="n"/>
      <c r="G791" s="85" t="n"/>
      <c r="H791" s="85" t="n"/>
      <c r="I791" s="85" t="n"/>
      <c r="J791" s="85" t="n"/>
      <c r="BD791" s="11" t="n"/>
      <c r="BE791" s="11" t="n"/>
      <c r="BF791" s="11" t="n"/>
      <c r="BG791" s="11" t="n"/>
      <c r="BK791" s="11" t="n"/>
      <c r="BL791" s="11" t="n"/>
      <c r="BP791" s="12" t="n"/>
      <c r="BQ791" s="400" t="n"/>
    </row>
    <row r="792">
      <c r="D792" s="11" t="n"/>
      <c r="E792" s="86" t="n"/>
      <c r="F792" s="85" t="n"/>
      <c r="G792" s="85" t="n"/>
      <c r="H792" s="85" t="n"/>
      <c r="I792" s="85" t="n"/>
      <c r="J792" s="85" t="n"/>
      <c r="BD792" s="11" t="n"/>
      <c r="BE792" s="11" t="n"/>
      <c r="BF792" s="11" t="n"/>
      <c r="BG792" s="11" t="n"/>
      <c r="BK792" s="11" t="n"/>
      <c r="BL792" s="11" t="n"/>
      <c r="BP792" s="12" t="n"/>
      <c r="BQ792" s="400" t="n"/>
    </row>
    <row r="793">
      <c r="D793" s="11" t="n"/>
      <c r="E793" s="86" t="n"/>
      <c r="F793" s="85" t="n"/>
      <c r="G793" s="85" t="n"/>
      <c r="H793" s="85" t="n"/>
      <c r="I793" s="85" t="n"/>
      <c r="J793" s="85" t="n"/>
      <c r="BD793" s="11" t="n"/>
      <c r="BE793" s="11" t="n"/>
      <c r="BF793" s="11" t="n"/>
      <c r="BG793" s="11" t="n"/>
      <c r="BK793" s="11" t="n"/>
      <c r="BL793" s="11" t="n"/>
      <c r="BP793" s="12" t="n"/>
      <c r="BQ793" s="400" t="n"/>
    </row>
    <row r="794">
      <c r="D794" s="11" t="n"/>
      <c r="E794" s="86" t="n"/>
      <c r="F794" s="85" t="n"/>
      <c r="G794" s="85" t="n"/>
      <c r="H794" s="85" t="n"/>
      <c r="I794" s="85" t="n"/>
      <c r="J794" s="85" t="n"/>
      <c r="BD794" s="11" t="n"/>
      <c r="BE794" s="11" t="n"/>
      <c r="BF794" s="11" t="n"/>
      <c r="BG794" s="11" t="n"/>
      <c r="BK794" s="11" t="n"/>
      <c r="BL794" s="11" t="n"/>
      <c r="BP794" s="12" t="n"/>
      <c r="BQ794" s="400" t="n"/>
    </row>
    <row r="795">
      <c r="D795" s="11" t="n"/>
      <c r="E795" s="86" t="n"/>
      <c r="F795" s="85" t="n"/>
      <c r="G795" s="85" t="n"/>
      <c r="H795" s="85" t="n"/>
      <c r="I795" s="85" t="n"/>
      <c r="J795" s="85" t="n"/>
      <c r="BD795" s="11" t="n"/>
      <c r="BE795" s="11" t="n"/>
      <c r="BF795" s="11" t="n"/>
      <c r="BG795" s="11" t="n"/>
      <c r="BK795" s="11" t="n"/>
      <c r="BL795" s="11" t="n"/>
      <c r="BP795" s="12" t="n"/>
      <c r="BQ795" s="400" t="n"/>
    </row>
    <row r="796">
      <c r="D796" s="11" t="n"/>
      <c r="E796" s="86" t="n"/>
      <c r="F796" s="85" t="n"/>
      <c r="G796" s="85" t="n"/>
      <c r="H796" s="85" t="n"/>
      <c r="I796" s="85" t="n"/>
      <c r="J796" s="85" t="n"/>
      <c r="BD796" s="11" t="n"/>
      <c r="BE796" s="11" t="n"/>
      <c r="BF796" s="11" t="n"/>
      <c r="BG796" s="11" t="n"/>
      <c r="BK796" s="11" t="n"/>
      <c r="BL796" s="11" t="n"/>
      <c r="BP796" s="12" t="n"/>
      <c r="BQ796" s="400" t="n"/>
    </row>
    <row r="797">
      <c r="D797" s="11" t="n"/>
      <c r="E797" s="86" t="n"/>
      <c r="F797" s="85" t="n"/>
      <c r="G797" s="85" t="n"/>
      <c r="H797" s="85" t="n"/>
      <c r="I797" s="85" t="n"/>
      <c r="J797" s="85" t="n"/>
      <c r="BD797" s="11" t="n"/>
      <c r="BE797" s="11" t="n"/>
      <c r="BF797" s="11" t="n"/>
      <c r="BG797" s="11" t="n"/>
      <c r="BK797" s="11" t="n"/>
      <c r="BL797" s="11" t="n"/>
      <c r="BP797" s="12" t="n"/>
      <c r="BQ797" s="400" t="n"/>
    </row>
    <row r="798">
      <c r="D798" s="11" t="n"/>
      <c r="E798" s="86" t="n"/>
      <c r="F798" s="85" t="n"/>
      <c r="G798" s="85" t="n"/>
      <c r="H798" s="85" t="n"/>
      <c r="I798" s="85" t="n"/>
      <c r="J798" s="85" t="n"/>
      <c r="BD798" s="11" t="n"/>
      <c r="BE798" s="11" t="n"/>
      <c r="BF798" s="11" t="n"/>
      <c r="BG798" s="11" t="n"/>
      <c r="BK798" s="11" t="n"/>
      <c r="BL798" s="11" t="n"/>
      <c r="BP798" s="12" t="n"/>
      <c r="BQ798" s="400" t="n"/>
    </row>
    <row r="799">
      <c r="D799" s="11" t="n"/>
      <c r="E799" s="86" t="n"/>
      <c r="F799" s="85" t="n"/>
      <c r="G799" s="85" t="n"/>
      <c r="H799" s="85" t="n"/>
      <c r="I799" s="85" t="n"/>
      <c r="J799" s="85" t="n"/>
      <c r="BD799" s="11" t="n"/>
      <c r="BE799" s="11" t="n"/>
      <c r="BF799" s="11" t="n"/>
      <c r="BG799" s="11" t="n"/>
      <c r="BK799" s="11" t="n"/>
      <c r="BL799" s="11" t="n"/>
      <c r="BP799" s="12" t="n"/>
      <c r="BQ799" s="400" t="n"/>
    </row>
    <row r="800">
      <c r="D800" s="11" t="n"/>
      <c r="E800" s="86" t="n"/>
      <c r="F800" s="85" t="n"/>
      <c r="G800" s="85" t="n"/>
      <c r="H800" s="85" t="n"/>
      <c r="I800" s="85" t="n"/>
      <c r="J800" s="85" t="n"/>
      <c r="BD800" s="11" t="n"/>
      <c r="BE800" s="11" t="n"/>
      <c r="BF800" s="11" t="n"/>
      <c r="BG800" s="11" t="n"/>
      <c r="BK800" s="11" t="n"/>
      <c r="BL800" s="11" t="n"/>
      <c r="BP800" s="12" t="n"/>
      <c r="BQ800" s="400" t="n"/>
    </row>
    <row r="801">
      <c r="D801" s="11" t="n"/>
      <c r="E801" s="86" t="n"/>
      <c r="F801" s="85" t="n"/>
      <c r="G801" s="85" t="n"/>
      <c r="H801" s="85" t="n"/>
      <c r="I801" s="85" t="n"/>
      <c r="J801" s="85" t="n"/>
      <c r="BD801" s="11" t="n"/>
      <c r="BE801" s="11" t="n"/>
      <c r="BF801" s="11" t="n"/>
      <c r="BG801" s="11" t="n"/>
      <c r="BK801" s="11" t="n"/>
      <c r="BL801" s="11" t="n"/>
      <c r="BP801" s="12" t="n"/>
      <c r="BQ801" s="400" t="n"/>
    </row>
    <row r="802">
      <c r="D802" s="11" t="n"/>
      <c r="E802" s="86" t="n"/>
      <c r="F802" s="85" t="n"/>
      <c r="G802" s="85" t="n"/>
      <c r="H802" s="85" t="n"/>
      <c r="I802" s="85" t="n"/>
      <c r="J802" s="85" t="n"/>
      <c r="BD802" s="11" t="n"/>
      <c r="BE802" s="11" t="n"/>
      <c r="BF802" s="11" t="n"/>
      <c r="BG802" s="11" t="n"/>
      <c r="BK802" s="11" t="n"/>
      <c r="BL802" s="11" t="n"/>
      <c r="BP802" s="12" t="n"/>
      <c r="BQ802" s="400" t="n"/>
    </row>
    <row r="803">
      <c r="D803" s="11" t="n"/>
      <c r="E803" s="86" t="n"/>
      <c r="F803" s="85" t="n"/>
      <c r="G803" s="85" t="n"/>
      <c r="H803" s="85" t="n"/>
      <c r="I803" s="85" t="n"/>
      <c r="J803" s="85" t="n"/>
      <c r="BD803" s="11" t="n"/>
      <c r="BE803" s="11" t="n"/>
      <c r="BF803" s="11" t="n"/>
      <c r="BG803" s="11" t="n"/>
      <c r="BK803" s="11" t="n"/>
      <c r="BL803" s="11" t="n"/>
      <c r="BP803" s="12" t="n"/>
      <c r="BQ803" s="400" t="n"/>
    </row>
    <row r="804">
      <c r="D804" s="11" t="n"/>
      <c r="E804" s="86" t="n"/>
      <c r="F804" s="85" t="n"/>
      <c r="G804" s="85" t="n"/>
      <c r="H804" s="85" t="n"/>
      <c r="I804" s="85" t="n"/>
      <c r="J804" s="85" t="n"/>
      <c r="BD804" s="11" t="n"/>
      <c r="BE804" s="11" t="n"/>
      <c r="BF804" s="11" t="n"/>
      <c r="BG804" s="11" t="n"/>
      <c r="BK804" s="11" t="n"/>
      <c r="BL804" s="11" t="n"/>
      <c r="BP804" s="12" t="n"/>
      <c r="BQ804" s="400" t="n"/>
    </row>
    <row r="805">
      <c r="D805" s="11" t="n"/>
      <c r="E805" s="86" t="n"/>
      <c r="F805" s="85" t="n"/>
      <c r="G805" s="85" t="n"/>
      <c r="H805" s="85" t="n"/>
      <c r="I805" s="85" t="n"/>
      <c r="J805" s="85" t="n"/>
      <c r="BD805" s="11" t="n"/>
      <c r="BE805" s="11" t="n"/>
      <c r="BF805" s="11" t="n"/>
      <c r="BG805" s="11" t="n"/>
      <c r="BK805" s="11" t="n"/>
      <c r="BL805" s="11" t="n"/>
      <c r="BP805" s="12" t="n"/>
      <c r="BQ805" s="400" t="n"/>
    </row>
    <row r="806">
      <c r="D806" s="11" t="n"/>
      <c r="E806" s="86" t="n"/>
      <c r="F806" s="85" t="n"/>
      <c r="G806" s="85" t="n"/>
      <c r="H806" s="85" t="n"/>
      <c r="I806" s="85" t="n"/>
      <c r="J806" s="85" t="n"/>
      <c r="BD806" s="11" t="n"/>
      <c r="BE806" s="11" t="n"/>
      <c r="BF806" s="11" t="n"/>
      <c r="BG806" s="11" t="n"/>
      <c r="BK806" s="11" t="n"/>
      <c r="BL806" s="11" t="n"/>
      <c r="BP806" s="12" t="n"/>
      <c r="BQ806" s="400" t="n"/>
    </row>
    <row r="807">
      <c r="D807" s="11" t="n"/>
      <c r="E807" s="86" t="n"/>
      <c r="F807" s="85" t="n"/>
      <c r="G807" s="85" t="n"/>
      <c r="H807" s="85" t="n"/>
      <c r="I807" s="85" t="n"/>
      <c r="J807" s="85" t="n"/>
      <c r="BD807" s="11" t="n"/>
      <c r="BE807" s="11" t="n"/>
      <c r="BF807" s="11" t="n"/>
      <c r="BG807" s="11" t="n"/>
      <c r="BK807" s="11" t="n"/>
      <c r="BL807" s="11" t="n"/>
      <c r="BP807" s="12" t="n"/>
      <c r="BQ807" s="400" t="n"/>
    </row>
    <row r="808">
      <c r="D808" s="11" t="n"/>
      <c r="E808" s="86" t="n"/>
      <c r="F808" s="85" t="n"/>
      <c r="G808" s="85" t="n"/>
      <c r="H808" s="85" t="n"/>
      <c r="I808" s="85" t="n"/>
      <c r="J808" s="85" t="n"/>
      <c r="BD808" s="11" t="n"/>
      <c r="BE808" s="11" t="n"/>
      <c r="BF808" s="11" t="n"/>
      <c r="BG808" s="11" t="n"/>
      <c r="BK808" s="11" t="n"/>
      <c r="BL808" s="11" t="n"/>
      <c r="BP808" s="12" t="n"/>
      <c r="BQ808" s="400" t="n"/>
    </row>
    <row r="809">
      <c r="D809" s="11" t="n"/>
      <c r="E809" s="86" t="n"/>
      <c r="F809" s="85" t="n"/>
      <c r="G809" s="85" t="n"/>
      <c r="H809" s="85" t="n"/>
      <c r="I809" s="85" t="n"/>
      <c r="J809" s="85" t="n"/>
      <c r="BD809" s="11" t="n"/>
      <c r="BE809" s="11" t="n"/>
      <c r="BF809" s="11" t="n"/>
      <c r="BG809" s="11" t="n"/>
      <c r="BK809" s="11" t="n"/>
      <c r="BL809" s="11" t="n"/>
      <c r="BP809" s="12" t="n"/>
      <c r="BQ809" s="400" t="n"/>
    </row>
    <row r="810">
      <c r="D810" s="11" t="n"/>
      <c r="E810" s="86" t="n"/>
      <c r="F810" s="85" t="n"/>
      <c r="G810" s="85" t="n"/>
      <c r="H810" s="85" t="n"/>
      <c r="I810" s="85" t="n"/>
      <c r="J810" s="85" t="n"/>
      <c r="BD810" s="11" t="n"/>
      <c r="BE810" s="11" t="n"/>
      <c r="BF810" s="11" t="n"/>
      <c r="BG810" s="11" t="n"/>
      <c r="BK810" s="11" t="n"/>
      <c r="BL810" s="11" t="n"/>
      <c r="BP810" s="12" t="n"/>
      <c r="BQ810" s="400" t="n"/>
    </row>
    <row r="811">
      <c r="D811" s="11" t="n"/>
      <c r="E811" s="86" t="n"/>
      <c r="F811" s="85" t="n"/>
      <c r="G811" s="85" t="n"/>
      <c r="H811" s="85" t="n"/>
      <c r="I811" s="85" t="n"/>
      <c r="J811" s="85" t="n"/>
      <c r="BD811" s="11" t="n"/>
      <c r="BE811" s="11" t="n"/>
      <c r="BF811" s="11" t="n"/>
      <c r="BG811" s="11" t="n"/>
      <c r="BK811" s="11" t="n"/>
      <c r="BL811" s="11" t="n"/>
      <c r="BP811" s="12" t="n"/>
      <c r="BQ811" s="400" t="n"/>
    </row>
    <row r="812">
      <c r="D812" s="11" t="n"/>
      <c r="E812" s="86" t="n"/>
      <c r="F812" s="85" t="n"/>
      <c r="G812" s="85" t="n"/>
      <c r="H812" s="85" t="n"/>
      <c r="I812" s="85" t="n"/>
      <c r="J812" s="85" t="n"/>
      <c r="BD812" s="11" t="n"/>
      <c r="BE812" s="11" t="n"/>
      <c r="BF812" s="11" t="n"/>
      <c r="BG812" s="11" t="n"/>
      <c r="BK812" s="11" t="n"/>
      <c r="BL812" s="11" t="n"/>
      <c r="BP812" s="12" t="n"/>
      <c r="BQ812" s="400" t="n"/>
    </row>
    <row r="813">
      <c r="D813" s="11" t="n"/>
      <c r="E813" s="86" t="n"/>
      <c r="F813" s="85" t="n"/>
      <c r="G813" s="85" t="n"/>
      <c r="H813" s="85" t="n"/>
      <c r="I813" s="85" t="n"/>
      <c r="J813" s="85" t="n"/>
      <c r="BD813" s="11" t="n"/>
      <c r="BE813" s="11" t="n"/>
      <c r="BF813" s="11" t="n"/>
      <c r="BG813" s="11" t="n"/>
      <c r="BK813" s="11" t="n"/>
      <c r="BL813" s="11" t="n"/>
      <c r="BP813" s="12" t="n"/>
      <c r="BQ813" s="400" t="n"/>
    </row>
    <row r="814">
      <c r="D814" s="11" t="n"/>
      <c r="E814" s="86" t="n"/>
      <c r="F814" s="85" t="n"/>
      <c r="G814" s="85" t="n"/>
      <c r="H814" s="85" t="n"/>
      <c r="I814" s="85" t="n"/>
      <c r="J814" s="85" t="n"/>
      <c r="BD814" s="11" t="n"/>
      <c r="BE814" s="11" t="n"/>
      <c r="BF814" s="11" t="n"/>
      <c r="BG814" s="11" t="n"/>
      <c r="BK814" s="11" t="n"/>
      <c r="BL814" s="11" t="n"/>
      <c r="BP814" s="12" t="n"/>
      <c r="BQ814" s="400" t="n"/>
    </row>
    <row r="815">
      <c r="D815" s="11" t="n"/>
      <c r="E815" s="86" t="n"/>
      <c r="F815" s="85" t="n"/>
      <c r="G815" s="85" t="n"/>
      <c r="H815" s="85" t="n"/>
      <c r="I815" s="85" t="n"/>
      <c r="J815" s="85" t="n"/>
      <c r="BD815" s="11" t="n"/>
      <c r="BE815" s="11" t="n"/>
      <c r="BF815" s="11" t="n"/>
      <c r="BG815" s="11" t="n"/>
      <c r="BK815" s="11" t="n"/>
      <c r="BL815" s="11" t="n"/>
      <c r="BP815" s="12" t="n"/>
      <c r="BQ815" s="400" t="n"/>
    </row>
    <row r="816">
      <c r="D816" s="11" t="n"/>
      <c r="E816" s="86" t="n"/>
      <c r="F816" s="85" t="n"/>
      <c r="G816" s="85" t="n"/>
      <c r="H816" s="85" t="n"/>
      <c r="I816" s="85" t="n"/>
      <c r="J816" s="85" t="n"/>
      <c r="BD816" s="11" t="n"/>
      <c r="BE816" s="11" t="n"/>
      <c r="BF816" s="11" t="n"/>
      <c r="BG816" s="11" t="n"/>
      <c r="BK816" s="11" t="n"/>
      <c r="BL816" s="11" t="n"/>
      <c r="BP816" s="12" t="n"/>
      <c r="BQ816" s="400" t="n"/>
    </row>
    <row r="817">
      <c r="D817" s="11" t="n"/>
      <c r="E817" s="86" t="n"/>
      <c r="F817" s="85" t="n"/>
      <c r="G817" s="85" t="n"/>
      <c r="H817" s="85" t="n"/>
      <c r="I817" s="85" t="n"/>
      <c r="J817" s="85" t="n"/>
      <c r="BD817" s="11" t="n"/>
      <c r="BE817" s="11" t="n"/>
      <c r="BF817" s="11" t="n"/>
      <c r="BG817" s="11" t="n"/>
      <c r="BK817" s="11" t="n"/>
      <c r="BL817" s="11" t="n"/>
      <c r="BP817" s="12" t="n"/>
      <c r="BQ817" s="400" t="n"/>
    </row>
    <row r="818">
      <c r="D818" s="11" t="n"/>
      <c r="E818" s="86" t="n"/>
      <c r="F818" s="85" t="n"/>
      <c r="G818" s="85" t="n"/>
      <c r="H818" s="85" t="n"/>
      <c r="I818" s="85" t="n"/>
      <c r="J818" s="85" t="n"/>
      <c r="BD818" s="11" t="n"/>
      <c r="BE818" s="11" t="n"/>
      <c r="BF818" s="11" t="n"/>
      <c r="BG818" s="11" t="n"/>
      <c r="BK818" s="11" t="n"/>
      <c r="BL818" s="11" t="n"/>
      <c r="BP818" s="12" t="n"/>
      <c r="BQ818" s="400" t="n"/>
    </row>
    <row r="819">
      <c r="D819" s="11" t="n"/>
      <c r="E819" s="86" t="n"/>
      <c r="F819" s="85" t="n"/>
      <c r="G819" s="85" t="n"/>
      <c r="H819" s="85" t="n"/>
      <c r="I819" s="85" t="n"/>
      <c r="J819" s="85" t="n"/>
      <c r="BD819" s="11" t="n"/>
      <c r="BE819" s="11" t="n"/>
      <c r="BF819" s="11" t="n"/>
      <c r="BG819" s="11" t="n"/>
      <c r="BK819" s="11" t="n"/>
      <c r="BL819" s="11" t="n"/>
      <c r="BP819" s="12" t="n"/>
      <c r="BQ819" s="400" t="n"/>
    </row>
    <row r="820">
      <c r="D820" s="11" t="n"/>
      <c r="E820" s="86" t="n"/>
      <c r="F820" s="85" t="n"/>
      <c r="G820" s="85" t="n"/>
      <c r="H820" s="85" t="n"/>
      <c r="I820" s="85" t="n"/>
      <c r="J820" s="85" t="n"/>
      <c r="BD820" s="11" t="n"/>
      <c r="BE820" s="11" t="n"/>
      <c r="BF820" s="11" t="n"/>
      <c r="BG820" s="11" t="n"/>
      <c r="BK820" s="11" t="n"/>
      <c r="BL820" s="11" t="n"/>
      <c r="BP820" s="12" t="n"/>
      <c r="BQ820" s="400" t="n"/>
    </row>
    <row r="821">
      <c r="D821" s="11" t="n"/>
      <c r="E821" s="86" t="n"/>
      <c r="F821" s="85" t="n"/>
      <c r="G821" s="85" t="n"/>
      <c r="H821" s="85" t="n"/>
      <c r="I821" s="85" t="n"/>
      <c r="J821" s="85" t="n"/>
      <c r="BD821" s="11" t="n"/>
      <c r="BE821" s="11" t="n"/>
      <c r="BF821" s="11" t="n"/>
      <c r="BG821" s="11" t="n"/>
      <c r="BK821" s="11" t="n"/>
      <c r="BL821" s="11" t="n"/>
      <c r="BP821" s="12" t="n"/>
      <c r="BQ821" s="400" t="n"/>
    </row>
    <row r="822">
      <c r="D822" s="11" t="n"/>
      <c r="E822" s="86" t="n"/>
      <c r="F822" s="85" t="n"/>
      <c r="G822" s="85" t="n"/>
      <c r="H822" s="85" t="n"/>
      <c r="I822" s="85" t="n"/>
      <c r="J822" s="85" t="n"/>
      <c r="BD822" s="11" t="n"/>
      <c r="BE822" s="11" t="n"/>
      <c r="BF822" s="11" t="n"/>
      <c r="BG822" s="11" t="n"/>
      <c r="BK822" s="11" t="n"/>
      <c r="BL822" s="11" t="n"/>
      <c r="BP822" s="12" t="n"/>
      <c r="BQ822" s="400" t="n"/>
    </row>
    <row r="823">
      <c r="D823" s="11" t="n"/>
      <c r="E823" s="86" t="n"/>
      <c r="F823" s="85" t="n"/>
      <c r="G823" s="85" t="n"/>
      <c r="H823" s="85" t="n"/>
      <c r="I823" s="85" t="n"/>
      <c r="J823" s="85" t="n"/>
      <c r="BD823" s="11" t="n"/>
      <c r="BE823" s="11" t="n"/>
      <c r="BF823" s="11" t="n"/>
      <c r="BG823" s="11" t="n"/>
      <c r="BK823" s="11" t="n"/>
      <c r="BL823" s="11" t="n"/>
      <c r="BP823" s="12" t="n"/>
      <c r="BQ823" s="400" t="n"/>
    </row>
    <row r="824">
      <c r="D824" s="11" t="n"/>
      <c r="E824" s="86" t="n"/>
      <c r="F824" s="85" t="n"/>
      <c r="G824" s="85" t="n"/>
      <c r="H824" s="85" t="n"/>
      <c r="I824" s="85" t="n"/>
      <c r="J824" s="85" t="n"/>
      <c r="BD824" s="11" t="n"/>
      <c r="BE824" s="11" t="n"/>
      <c r="BF824" s="11" t="n"/>
      <c r="BG824" s="11" t="n"/>
      <c r="BK824" s="11" t="n"/>
      <c r="BL824" s="11" t="n"/>
      <c r="BP824" s="12" t="n"/>
      <c r="BQ824" s="400" t="n"/>
    </row>
    <row r="825">
      <c r="D825" s="11" t="n"/>
      <c r="E825" s="86" t="n"/>
      <c r="F825" s="85" t="n"/>
      <c r="G825" s="85" t="n"/>
      <c r="H825" s="85" t="n"/>
      <c r="I825" s="85" t="n"/>
      <c r="J825" s="85" t="n"/>
      <c r="BD825" s="11" t="n"/>
      <c r="BE825" s="11" t="n"/>
      <c r="BF825" s="11" t="n"/>
      <c r="BG825" s="11" t="n"/>
      <c r="BK825" s="11" t="n"/>
      <c r="BL825" s="11" t="n"/>
      <c r="BP825" s="12" t="n"/>
      <c r="BQ825" s="400" t="n"/>
    </row>
    <row r="826">
      <c r="D826" s="11" t="n"/>
      <c r="E826" s="86" t="n"/>
      <c r="F826" s="85" t="n"/>
      <c r="G826" s="85" t="n"/>
      <c r="H826" s="85" t="n"/>
      <c r="I826" s="85" t="n"/>
      <c r="J826" s="85" t="n"/>
      <c r="BD826" s="11" t="n"/>
      <c r="BE826" s="11" t="n"/>
      <c r="BF826" s="11" t="n"/>
      <c r="BG826" s="11" t="n"/>
      <c r="BK826" s="11" t="n"/>
      <c r="BL826" s="11" t="n"/>
      <c r="BP826" s="12" t="n"/>
      <c r="BQ826" s="400" t="n"/>
    </row>
    <row r="827">
      <c r="D827" s="11" t="n"/>
      <c r="E827" s="86" t="n"/>
      <c r="F827" s="85" t="n"/>
      <c r="G827" s="85" t="n"/>
      <c r="H827" s="85" t="n"/>
      <c r="I827" s="85" t="n"/>
      <c r="J827" s="85" t="n"/>
      <c r="BD827" s="11" t="n"/>
      <c r="BE827" s="11" t="n"/>
      <c r="BF827" s="11" t="n"/>
      <c r="BG827" s="11" t="n"/>
      <c r="BK827" s="11" t="n"/>
      <c r="BL827" s="11" t="n"/>
      <c r="BP827" s="12" t="n"/>
      <c r="BQ827" s="400" t="n"/>
    </row>
    <row r="828">
      <c r="D828" s="11" t="n"/>
      <c r="E828" s="86" t="n"/>
      <c r="F828" s="85" t="n"/>
      <c r="G828" s="85" t="n"/>
      <c r="H828" s="85" t="n"/>
      <c r="I828" s="85" t="n"/>
      <c r="J828" s="85" t="n"/>
      <c r="BD828" s="11" t="n"/>
      <c r="BE828" s="11" t="n"/>
      <c r="BF828" s="11" t="n"/>
      <c r="BG828" s="11" t="n"/>
      <c r="BK828" s="11" t="n"/>
      <c r="BL828" s="11" t="n"/>
      <c r="BP828" s="12" t="n"/>
      <c r="BQ828" s="400" t="n"/>
    </row>
    <row r="829">
      <c r="D829" s="11" t="n"/>
      <c r="E829" s="86" t="n"/>
      <c r="F829" s="85" t="n"/>
      <c r="G829" s="85" t="n"/>
      <c r="H829" s="85" t="n"/>
      <c r="I829" s="85" t="n"/>
      <c r="J829" s="85" t="n"/>
      <c r="BD829" s="11" t="n"/>
      <c r="BE829" s="11" t="n"/>
      <c r="BF829" s="11" t="n"/>
      <c r="BG829" s="11" t="n"/>
      <c r="BK829" s="11" t="n"/>
      <c r="BL829" s="11" t="n"/>
      <c r="BP829" s="12" t="n"/>
      <c r="BQ829" s="400" t="n"/>
    </row>
    <row r="830">
      <c r="D830" s="11" t="n"/>
      <c r="E830" s="86" t="n"/>
      <c r="F830" s="85" t="n"/>
      <c r="G830" s="85" t="n"/>
      <c r="H830" s="85" t="n"/>
      <c r="I830" s="85" t="n"/>
      <c r="J830" s="85" t="n"/>
      <c r="BD830" s="11" t="n"/>
      <c r="BE830" s="11" t="n"/>
      <c r="BF830" s="11" t="n"/>
      <c r="BG830" s="11" t="n"/>
      <c r="BK830" s="11" t="n"/>
      <c r="BL830" s="11" t="n"/>
      <c r="BP830" s="12" t="n"/>
      <c r="BQ830" s="400" t="n"/>
    </row>
    <row r="831">
      <c r="D831" s="11" t="n"/>
      <c r="E831" s="86" t="n"/>
      <c r="F831" s="85" t="n"/>
      <c r="G831" s="85" t="n"/>
      <c r="H831" s="85" t="n"/>
      <c r="I831" s="85" t="n"/>
      <c r="J831" s="85" t="n"/>
      <c r="BD831" s="11" t="n"/>
      <c r="BE831" s="11" t="n"/>
      <c r="BF831" s="11" t="n"/>
      <c r="BG831" s="11" t="n"/>
      <c r="BK831" s="11" t="n"/>
      <c r="BL831" s="11" t="n"/>
      <c r="BP831" s="12" t="n"/>
      <c r="BQ831" s="400" t="n"/>
    </row>
    <row r="832">
      <c r="D832" s="11" t="n"/>
      <c r="E832" s="86" t="n"/>
      <c r="F832" s="85" t="n"/>
      <c r="G832" s="85" t="n"/>
      <c r="H832" s="85" t="n"/>
      <c r="I832" s="85" t="n"/>
      <c r="J832" s="85" t="n"/>
      <c r="BD832" s="11" t="n"/>
      <c r="BE832" s="11" t="n"/>
      <c r="BF832" s="11" t="n"/>
      <c r="BG832" s="11" t="n"/>
      <c r="BK832" s="11" t="n"/>
      <c r="BL832" s="11" t="n"/>
      <c r="BP832" s="12" t="n"/>
      <c r="BQ832" s="400" t="n"/>
    </row>
    <row r="833">
      <c r="D833" s="11" t="n"/>
      <c r="E833" s="86" t="n"/>
      <c r="F833" s="85" t="n"/>
      <c r="G833" s="85" t="n"/>
      <c r="H833" s="85" t="n"/>
      <c r="I833" s="85" t="n"/>
      <c r="J833" s="85" t="n"/>
      <c r="BD833" s="11" t="n"/>
      <c r="BE833" s="11" t="n"/>
      <c r="BF833" s="11" t="n"/>
      <c r="BG833" s="11" t="n"/>
      <c r="BK833" s="11" t="n"/>
      <c r="BL833" s="11" t="n"/>
      <c r="BP833" s="12" t="n"/>
      <c r="BQ833" s="400" t="n"/>
    </row>
    <row r="834">
      <c r="D834" s="11" t="n"/>
      <c r="E834" s="86" t="n"/>
      <c r="F834" s="85" t="n"/>
      <c r="G834" s="85" t="n"/>
      <c r="H834" s="85" t="n"/>
      <c r="I834" s="85" t="n"/>
      <c r="J834" s="85" t="n"/>
      <c r="BD834" s="11" t="n"/>
      <c r="BE834" s="11" t="n"/>
      <c r="BF834" s="11" t="n"/>
      <c r="BG834" s="11" t="n"/>
      <c r="BK834" s="11" t="n"/>
      <c r="BL834" s="11" t="n"/>
      <c r="BP834" s="12" t="n"/>
      <c r="BQ834" s="400" t="n"/>
    </row>
    <row r="835">
      <c r="D835" s="11" t="n"/>
      <c r="E835" s="86" t="n"/>
      <c r="F835" s="85" t="n"/>
      <c r="G835" s="85" t="n"/>
      <c r="H835" s="85" t="n"/>
      <c r="I835" s="85" t="n"/>
      <c r="J835" s="85" t="n"/>
      <c r="BD835" s="11" t="n"/>
      <c r="BE835" s="11" t="n"/>
      <c r="BF835" s="11" t="n"/>
      <c r="BG835" s="11" t="n"/>
      <c r="BK835" s="11" t="n"/>
      <c r="BL835" s="11" t="n"/>
      <c r="BP835" s="12" t="n"/>
      <c r="BQ835" s="400" t="n"/>
    </row>
    <row r="836">
      <c r="D836" s="11" t="n"/>
      <c r="E836" s="86" t="n"/>
      <c r="F836" s="85" t="n"/>
      <c r="G836" s="85" t="n"/>
      <c r="H836" s="85" t="n"/>
      <c r="I836" s="85" t="n"/>
      <c r="J836" s="85" t="n"/>
      <c r="BD836" s="11" t="n"/>
      <c r="BE836" s="11" t="n"/>
      <c r="BF836" s="11" t="n"/>
      <c r="BG836" s="11" t="n"/>
      <c r="BK836" s="11" t="n"/>
      <c r="BL836" s="11" t="n"/>
      <c r="BP836" s="12" t="n"/>
      <c r="BQ836" s="400" t="n"/>
    </row>
    <row r="837">
      <c r="D837" s="11" t="n"/>
      <c r="E837" s="86" t="n"/>
      <c r="F837" s="85" t="n"/>
      <c r="G837" s="85" t="n"/>
      <c r="H837" s="85" t="n"/>
      <c r="I837" s="85" t="n"/>
      <c r="J837" s="85" t="n"/>
      <c r="BD837" s="11" t="n"/>
      <c r="BE837" s="11" t="n"/>
      <c r="BF837" s="11" t="n"/>
      <c r="BG837" s="11" t="n"/>
      <c r="BK837" s="11" t="n"/>
      <c r="BL837" s="11" t="n"/>
      <c r="BP837" s="12" t="n"/>
      <c r="BQ837" s="400" t="n"/>
    </row>
    <row r="838">
      <c r="D838" s="11" t="n"/>
      <c r="E838" s="86" t="n"/>
      <c r="F838" s="85" t="n"/>
      <c r="G838" s="85" t="n"/>
      <c r="H838" s="85" t="n"/>
      <c r="I838" s="85" t="n"/>
      <c r="J838" s="85" t="n"/>
      <c r="BD838" s="11" t="n"/>
      <c r="BE838" s="11" t="n"/>
      <c r="BF838" s="11" t="n"/>
      <c r="BG838" s="11" t="n"/>
      <c r="BK838" s="11" t="n"/>
      <c r="BL838" s="11" t="n"/>
      <c r="BP838" s="12" t="n"/>
      <c r="BQ838" s="400" t="n"/>
    </row>
    <row r="839">
      <c r="D839" s="11" t="n"/>
      <c r="E839" s="86" t="n"/>
      <c r="F839" s="85" t="n"/>
      <c r="G839" s="85" t="n"/>
      <c r="H839" s="85" t="n"/>
      <c r="I839" s="85" t="n"/>
      <c r="J839" s="85" t="n"/>
      <c r="BD839" s="11" t="n"/>
      <c r="BE839" s="11" t="n"/>
      <c r="BF839" s="11" t="n"/>
      <c r="BG839" s="11" t="n"/>
      <c r="BK839" s="11" t="n"/>
      <c r="BL839" s="11" t="n"/>
      <c r="BP839" s="12" t="n"/>
      <c r="BQ839" s="400" t="n"/>
    </row>
    <row r="840">
      <c r="D840" s="11" t="n"/>
      <c r="E840" s="86" t="n"/>
      <c r="F840" s="85" t="n"/>
      <c r="G840" s="85" t="n"/>
      <c r="H840" s="85" t="n"/>
      <c r="I840" s="85" t="n"/>
      <c r="J840" s="85" t="n"/>
      <c r="BD840" s="11" t="n"/>
      <c r="BE840" s="11" t="n"/>
      <c r="BF840" s="11" t="n"/>
      <c r="BG840" s="11" t="n"/>
      <c r="BK840" s="11" t="n"/>
      <c r="BL840" s="11" t="n"/>
      <c r="BP840" s="12" t="n"/>
      <c r="BQ840" s="400" t="n"/>
    </row>
    <row r="841">
      <c r="D841" s="11" t="n"/>
      <c r="E841" s="86" t="n"/>
      <c r="F841" s="85" t="n"/>
      <c r="G841" s="85" t="n"/>
      <c r="H841" s="85" t="n"/>
      <c r="I841" s="85" t="n"/>
      <c r="J841" s="85" t="n"/>
      <c r="BD841" s="11" t="n"/>
      <c r="BE841" s="11" t="n"/>
      <c r="BF841" s="11" t="n"/>
      <c r="BG841" s="11" t="n"/>
      <c r="BK841" s="11" t="n"/>
      <c r="BL841" s="11" t="n"/>
      <c r="BP841" s="12" t="n"/>
      <c r="BQ841" s="400" t="n"/>
    </row>
    <row r="842">
      <c r="D842" s="11" t="n"/>
      <c r="E842" s="86" t="n"/>
      <c r="F842" s="85" t="n"/>
      <c r="G842" s="85" t="n"/>
      <c r="H842" s="85" t="n"/>
      <c r="I842" s="85" t="n"/>
      <c r="J842" s="85" t="n"/>
      <c r="BD842" s="11" t="n"/>
      <c r="BE842" s="11" t="n"/>
      <c r="BF842" s="11" t="n"/>
      <c r="BG842" s="11" t="n"/>
      <c r="BK842" s="11" t="n"/>
      <c r="BL842" s="11" t="n"/>
      <c r="BP842" s="12" t="n"/>
      <c r="BQ842" s="400" t="n"/>
    </row>
    <row r="843">
      <c r="D843" s="11" t="n"/>
      <c r="E843" s="86" t="n"/>
      <c r="F843" s="85" t="n"/>
      <c r="G843" s="85" t="n"/>
      <c r="H843" s="85" t="n"/>
      <c r="I843" s="85" t="n"/>
      <c r="J843" s="85" t="n"/>
      <c r="BD843" s="11" t="n"/>
      <c r="BE843" s="11" t="n"/>
      <c r="BF843" s="11" t="n"/>
      <c r="BG843" s="11" t="n"/>
      <c r="BK843" s="11" t="n"/>
      <c r="BL843" s="11" t="n"/>
      <c r="BP843" s="12" t="n"/>
      <c r="BQ843" s="400" t="n"/>
    </row>
    <row r="844">
      <c r="D844" s="11" t="n"/>
      <c r="E844" s="86" t="n"/>
      <c r="F844" s="85" t="n"/>
      <c r="G844" s="85" t="n"/>
      <c r="H844" s="85" t="n"/>
      <c r="I844" s="85" t="n"/>
      <c r="J844" s="85" t="n"/>
      <c r="BD844" s="11" t="n"/>
      <c r="BE844" s="11" t="n"/>
      <c r="BF844" s="11" t="n"/>
      <c r="BG844" s="11" t="n"/>
      <c r="BK844" s="11" t="n"/>
      <c r="BL844" s="11" t="n"/>
      <c r="BP844" s="12" t="n"/>
      <c r="BQ844" s="400" t="n"/>
    </row>
    <row r="845">
      <c r="D845" s="11" t="n"/>
      <c r="E845" s="86" t="n"/>
      <c r="F845" s="85" t="n"/>
      <c r="G845" s="85" t="n"/>
      <c r="H845" s="85" t="n"/>
      <c r="I845" s="85" t="n"/>
      <c r="J845" s="85" t="n"/>
      <c r="BD845" s="11" t="n"/>
      <c r="BE845" s="11" t="n"/>
      <c r="BF845" s="11" t="n"/>
      <c r="BG845" s="11" t="n"/>
      <c r="BK845" s="11" t="n"/>
      <c r="BL845" s="11" t="n"/>
      <c r="BP845" s="12" t="n"/>
      <c r="BQ845" s="400" t="n"/>
    </row>
    <row r="846">
      <c r="D846" s="11" t="n"/>
      <c r="E846" s="86" t="n"/>
      <c r="F846" s="85" t="n"/>
      <c r="G846" s="85" t="n"/>
      <c r="H846" s="85" t="n"/>
      <c r="I846" s="85" t="n"/>
      <c r="J846" s="85" t="n"/>
      <c r="BD846" s="11" t="n"/>
      <c r="BE846" s="11" t="n"/>
      <c r="BF846" s="11" t="n"/>
      <c r="BG846" s="11" t="n"/>
      <c r="BK846" s="11" t="n"/>
      <c r="BL846" s="11" t="n"/>
      <c r="BP846" s="12" t="n"/>
      <c r="BQ846" s="400" t="n"/>
    </row>
    <row r="847">
      <c r="D847" s="11" t="n"/>
      <c r="E847" s="86" t="n"/>
      <c r="F847" s="85" t="n"/>
      <c r="G847" s="85" t="n"/>
      <c r="H847" s="85" t="n"/>
      <c r="I847" s="85" t="n"/>
      <c r="J847" s="85" t="n"/>
      <c r="BD847" s="11" t="n"/>
      <c r="BE847" s="11" t="n"/>
      <c r="BF847" s="11" t="n"/>
      <c r="BG847" s="11" t="n"/>
      <c r="BK847" s="11" t="n"/>
      <c r="BL847" s="11" t="n"/>
      <c r="BP847" s="12" t="n"/>
      <c r="BQ847" s="400" t="n"/>
    </row>
    <row r="848">
      <c r="D848" s="11" t="n"/>
      <c r="E848" s="86" t="n"/>
      <c r="F848" s="85" t="n"/>
      <c r="G848" s="85" t="n"/>
      <c r="H848" s="85" t="n"/>
      <c r="I848" s="85" t="n"/>
      <c r="J848" s="85" t="n"/>
      <c r="BD848" s="11" t="n"/>
      <c r="BE848" s="11" t="n"/>
      <c r="BF848" s="11" t="n"/>
      <c r="BG848" s="11" t="n"/>
      <c r="BK848" s="11" t="n"/>
      <c r="BL848" s="11" t="n"/>
      <c r="BP848" s="12" t="n"/>
      <c r="BQ848" s="400" t="n"/>
    </row>
    <row r="849">
      <c r="D849" s="11" t="n"/>
      <c r="E849" s="86" t="n"/>
      <c r="F849" s="85" t="n"/>
      <c r="G849" s="85" t="n"/>
      <c r="H849" s="85" t="n"/>
      <c r="I849" s="85" t="n"/>
      <c r="J849" s="85" t="n"/>
      <c r="BD849" s="11" t="n"/>
      <c r="BE849" s="11" t="n"/>
      <c r="BF849" s="11" t="n"/>
      <c r="BG849" s="11" t="n"/>
      <c r="BK849" s="11" t="n"/>
      <c r="BL849" s="11" t="n"/>
      <c r="BP849" s="12" t="n"/>
      <c r="BQ849" s="400" t="n"/>
    </row>
    <row r="850">
      <c r="D850" s="11" t="n"/>
      <c r="E850" s="86" t="n"/>
      <c r="F850" s="85" t="n"/>
      <c r="G850" s="85" t="n"/>
      <c r="H850" s="85" t="n"/>
      <c r="I850" s="85" t="n"/>
      <c r="J850" s="85" t="n"/>
      <c r="BD850" s="11" t="n"/>
      <c r="BE850" s="11" t="n"/>
      <c r="BF850" s="11" t="n"/>
      <c r="BG850" s="11" t="n"/>
      <c r="BK850" s="11" t="n"/>
      <c r="BL850" s="11" t="n"/>
      <c r="BP850" s="12" t="n"/>
      <c r="BQ850" s="400" t="n"/>
    </row>
    <row r="851">
      <c r="D851" s="11" t="n"/>
      <c r="E851" s="86" t="n"/>
      <c r="F851" s="85" t="n"/>
      <c r="G851" s="85" t="n"/>
      <c r="H851" s="85" t="n"/>
      <c r="I851" s="85" t="n"/>
      <c r="J851" s="85" t="n"/>
      <c r="BD851" s="11" t="n"/>
      <c r="BE851" s="11" t="n"/>
      <c r="BF851" s="11" t="n"/>
      <c r="BG851" s="11" t="n"/>
      <c r="BK851" s="11" t="n"/>
      <c r="BL851" s="11" t="n"/>
      <c r="BP851" s="12" t="n"/>
      <c r="BQ851" s="400" t="n"/>
    </row>
    <row r="852">
      <c r="D852" s="11" t="n"/>
      <c r="E852" s="86" t="n"/>
      <c r="F852" s="85" t="n"/>
      <c r="G852" s="85" t="n"/>
      <c r="H852" s="85" t="n"/>
      <c r="I852" s="85" t="n"/>
      <c r="J852" s="85" t="n"/>
      <c r="BD852" s="11" t="n"/>
      <c r="BE852" s="11" t="n"/>
      <c r="BF852" s="11" t="n"/>
      <c r="BG852" s="11" t="n"/>
      <c r="BK852" s="11" t="n"/>
      <c r="BL852" s="11" t="n"/>
      <c r="BP852" s="12" t="n"/>
      <c r="BQ852" s="400" t="n"/>
    </row>
    <row r="853">
      <c r="D853" s="11" t="n"/>
      <c r="E853" s="86" t="n"/>
      <c r="F853" s="85" t="n"/>
      <c r="G853" s="85" t="n"/>
      <c r="H853" s="85" t="n"/>
      <c r="I853" s="85" t="n"/>
      <c r="J853" s="85" t="n"/>
      <c r="BD853" s="11" t="n"/>
      <c r="BE853" s="11" t="n"/>
      <c r="BF853" s="11" t="n"/>
      <c r="BG853" s="11" t="n"/>
      <c r="BK853" s="11" t="n"/>
      <c r="BL853" s="11" t="n"/>
      <c r="BP853" s="12" t="n"/>
      <c r="BQ853" s="400" t="n"/>
    </row>
    <row r="854">
      <c r="D854" s="11" t="n"/>
      <c r="E854" s="86" t="n"/>
      <c r="F854" s="85" t="n"/>
      <c r="G854" s="85" t="n"/>
      <c r="H854" s="85" t="n"/>
      <c r="I854" s="85" t="n"/>
      <c r="J854" s="85" t="n"/>
      <c r="BD854" s="11" t="n"/>
      <c r="BE854" s="11" t="n"/>
      <c r="BF854" s="11" t="n"/>
      <c r="BG854" s="11" t="n"/>
      <c r="BK854" s="11" t="n"/>
      <c r="BL854" s="11" t="n"/>
      <c r="BP854" s="12" t="n"/>
      <c r="BQ854" s="400" t="n"/>
    </row>
    <row r="855">
      <c r="D855" s="11" t="n"/>
      <c r="E855" s="86" t="n"/>
      <c r="F855" s="85" t="n"/>
      <c r="G855" s="85" t="n"/>
      <c r="H855" s="85" t="n"/>
      <c r="I855" s="85" t="n"/>
      <c r="J855" s="85" t="n"/>
      <c r="BD855" s="11" t="n"/>
      <c r="BE855" s="11" t="n"/>
      <c r="BF855" s="11" t="n"/>
      <c r="BG855" s="11" t="n"/>
      <c r="BK855" s="11" t="n"/>
      <c r="BL855" s="11" t="n"/>
      <c r="BP855" s="12" t="n"/>
      <c r="BQ855" s="400" t="n"/>
    </row>
    <row r="856">
      <c r="D856" s="11" t="n"/>
      <c r="E856" s="86" t="n"/>
      <c r="F856" s="85" t="n"/>
      <c r="G856" s="85" t="n"/>
      <c r="H856" s="85" t="n"/>
      <c r="I856" s="85" t="n"/>
      <c r="J856" s="85" t="n"/>
      <c r="BD856" s="11" t="n"/>
      <c r="BE856" s="11" t="n"/>
      <c r="BF856" s="11" t="n"/>
      <c r="BG856" s="11" t="n"/>
      <c r="BK856" s="11" t="n"/>
      <c r="BL856" s="11" t="n"/>
      <c r="BP856" s="12" t="n"/>
      <c r="BQ856" s="400" t="n"/>
    </row>
    <row r="857">
      <c r="D857" s="11" t="n"/>
      <c r="E857" s="86" t="n"/>
      <c r="F857" s="85" t="n"/>
      <c r="G857" s="85" t="n"/>
      <c r="H857" s="85" t="n"/>
      <c r="I857" s="85" t="n"/>
      <c r="J857" s="85" t="n"/>
      <c r="BD857" s="11" t="n"/>
      <c r="BE857" s="11" t="n"/>
      <c r="BF857" s="11" t="n"/>
      <c r="BG857" s="11" t="n"/>
      <c r="BK857" s="11" t="n"/>
      <c r="BL857" s="11" t="n"/>
      <c r="BP857" s="12" t="n"/>
      <c r="BQ857" s="400" t="n"/>
    </row>
    <row r="858">
      <c r="D858" s="11" t="n"/>
      <c r="E858" s="86" t="n"/>
      <c r="F858" s="85" t="n"/>
      <c r="G858" s="85" t="n"/>
      <c r="H858" s="85" t="n"/>
      <c r="I858" s="85" t="n"/>
      <c r="J858" s="85" t="n"/>
      <c r="BD858" s="11" t="n"/>
      <c r="BE858" s="11" t="n"/>
      <c r="BF858" s="11" t="n"/>
      <c r="BG858" s="11" t="n"/>
      <c r="BK858" s="11" t="n"/>
      <c r="BL858" s="11" t="n"/>
      <c r="BP858" s="12" t="n"/>
      <c r="BQ858" s="400" t="n"/>
    </row>
    <row r="859">
      <c r="D859" s="11" t="n"/>
      <c r="E859" s="86" t="n"/>
      <c r="F859" s="85" t="n"/>
      <c r="G859" s="85" t="n"/>
      <c r="H859" s="85" t="n"/>
      <c r="I859" s="85" t="n"/>
      <c r="J859" s="85" t="n"/>
      <c r="BD859" s="11" t="n"/>
      <c r="BE859" s="11" t="n"/>
      <c r="BF859" s="11" t="n"/>
      <c r="BG859" s="11" t="n"/>
      <c r="BK859" s="11" t="n"/>
      <c r="BL859" s="11" t="n"/>
      <c r="BP859" s="12" t="n"/>
      <c r="BQ859" s="400" t="n"/>
    </row>
    <row r="860">
      <c r="D860" s="11" t="n"/>
      <c r="E860" s="86" t="n"/>
      <c r="F860" s="85" t="n"/>
      <c r="G860" s="85" t="n"/>
      <c r="H860" s="85" t="n"/>
      <c r="I860" s="85" t="n"/>
      <c r="J860" s="85" t="n"/>
      <c r="BD860" s="11" t="n"/>
      <c r="BE860" s="11" t="n"/>
      <c r="BF860" s="11" t="n"/>
      <c r="BG860" s="11" t="n"/>
      <c r="BK860" s="11" t="n"/>
      <c r="BL860" s="11" t="n"/>
      <c r="BP860" s="12" t="n"/>
      <c r="BQ860" s="400" t="n"/>
    </row>
    <row r="861">
      <c r="D861" s="11" t="n"/>
      <c r="E861" s="86" t="n"/>
      <c r="F861" s="85" t="n"/>
      <c r="G861" s="85" t="n"/>
      <c r="H861" s="85" t="n"/>
      <c r="I861" s="85" t="n"/>
      <c r="J861" s="85" t="n"/>
      <c r="BD861" s="11" t="n"/>
      <c r="BE861" s="11" t="n"/>
      <c r="BF861" s="11" t="n"/>
      <c r="BG861" s="11" t="n"/>
      <c r="BK861" s="11" t="n"/>
      <c r="BL861" s="11" t="n"/>
      <c r="BP861" s="12" t="n"/>
      <c r="BQ861" s="400" t="n"/>
    </row>
    <row r="862">
      <c r="D862" s="11" t="n"/>
      <c r="E862" s="86" t="n"/>
      <c r="F862" s="85" t="n"/>
      <c r="G862" s="85" t="n"/>
      <c r="H862" s="85" t="n"/>
      <c r="I862" s="85" t="n"/>
      <c r="J862" s="85" t="n"/>
      <c r="BD862" s="11" t="n"/>
      <c r="BE862" s="11" t="n"/>
      <c r="BF862" s="11" t="n"/>
      <c r="BG862" s="11" t="n"/>
      <c r="BK862" s="11" t="n"/>
      <c r="BL862" s="11" t="n"/>
      <c r="BP862" s="12" t="n"/>
      <c r="BQ862" s="400" t="n"/>
    </row>
    <row r="863">
      <c r="D863" s="11" t="n"/>
      <c r="E863" s="86" t="n"/>
      <c r="F863" s="85" t="n"/>
      <c r="G863" s="85" t="n"/>
      <c r="H863" s="85" t="n"/>
      <c r="I863" s="85" t="n"/>
      <c r="J863" s="85" t="n"/>
      <c r="BD863" s="11" t="n"/>
      <c r="BE863" s="11" t="n"/>
      <c r="BF863" s="11" t="n"/>
      <c r="BG863" s="11" t="n"/>
      <c r="BK863" s="11" t="n"/>
      <c r="BL863" s="11" t="n"/>
      <c r="BP863" s="12" t="n"/>
      <c r="BQ863" s="400" t="n"/>
    </row>
    <row r="864">
      <c r="D864" s="11" t="n"/>
      <c r="E864" s="86" t="n"/>
      <c r="F864" s="85" t="n"/>
      <c r="G864" s="85" t="n"/>
      <c r="H864" s="85" t="n"/>
      <c r="I864" s="85" t="n"/>
      <c r="J864" s="85" t="n"/>
      <c r="BD864" s="11" t="n"/>
      <c r="BE864" s="11" t="n"/>
      <c r="BF864" s="11" t="n"/>
      <c r="BG864" s="11" t="n"/>
      <c r="BK864" s="11" t="n"/>
      <c r="BL864" s="11" t="n"/>
      <c r="BP864" s="12" t="n"/>
      <c r="BQ864" s="400" t="n"/>
    </row>
    <row r="865">
      <c r="D865" s="11" t="n"/>
      <c r="E865" s="86" t="n"/>
      <c r="F865" s="85" t="n"/>
      <c r="G865" s="85" t="n"/>
      <c r="H865" s="85" t="n"/>
      <c r="I865" s="85" t="n"/>
      <c r="J865" s="85" t="n"/>
      <c r="BD865" s="11" t="n"/>
      <c r="BE865" s="11" t="n"/>
      <c r="BF865" s="11" t="n"/>
      <c r="BG865" s="11" t="n"/>
      <c r="BK865" s="11" t="n"/>
      <c r="BL865" s="11" t="n"/>
      <c r="BP865" s="12" t="n"/>
      <c r="BQ865" s="400" t="n"/>
    </row>
    <row r="866">
      <c r="D866" s="11" t="n"/>
      <c r="E866" s="86" t="n"/>
      <c r="F866" s="85" t="n"/>
      <c r="G866" s="85" t="n"/>
      <c r="H866" s="85" t="n"/>
      <c r="I866" s="85" t="n"/>
      <c r="J866" s="85" t="n"/>
      <c r="BD866" s="11" t="n"/>
      <c r="BE866" s="11" t="n"/>
      <c r="BF866" s="11" t="n"/>
      <c r="BG866" s="11" t="n"/>
      <c r="BK866" s="11" t="n"/>
      <c r="BL866" s="11" t="n"/>
      <c r="BP866" s="12" t="n"/>
      <c r="BQ866" s="400" t="n"/>
    </row>
    <row r="867">
      <c r="D867" s="11" t="n"/>
      <c r="E867" s="86" t="n"/>
      <c r="F867" s="85" t="n"/>
      <c r="G867" s="85" t="n"/>
      <c r="H867" s="85" t="n"/>
      <c r="I867" s="85" t="n"/>
      <c r="J867" s="85" t="n"/>
      <c r="BD867" s="11" t="n"/>
      <c r="BE867" s="11" t="n"/>
      <c r="BF867" s="11" t="n"/>
      <c r="BG867" s="11" t="n"/>
      <c r="BK867" s="11" t="n"/>
      <c r="BL867" s="11" t="n"/>
      <c r="BP867" s="12" t="n"/>
      <c r="BQ867" s="400" t="n"/>
    </row>
    <row r="868">
      <c r="D868" s="11" t="n"/>
      <c r="E868" s="86" t="n"/>
      <c r="F868" s="85" t="n"/>
      <c r="G868" s="85" t="n"/>
      <c r="H868" s="85" t="n"/>
      <c r="I868" s="85" t="n"/>
      <c r="J868" s="85" t="n"/>
      <c r="BD868" s="11" t="n"/>
      <c r="BE868" s="11" t="n"/>
      <c r="BF868" s="11" t="n"/>
      <c r="BG868" s="11" t="n"/>
      <c r="BK868" s="11" t="n"/>
      <c r="BL868" s="11" t="n"/>
      <c r="BP868" s="12" t="n"/>
      <c r="BQ868" s="400" t="n"/>
    </row>
    <row r="869">
      <c r="D869" s="11" t="n"/>
      <c r="E869" s="86" t="n"/>
      <c r="F869" s="85" t="n"/>
      <c r="G869" s="85" t="n"/>
      <c r="H869" s="85" t="n"/>
      <c r="I869" s="85" t="n"/>
      <c r="J869" s="85" t="n"/>
      <c r="BD869" s="11" t="n"/>
      <c r="BE869" s="11" t="n"/>
      <c r="BF869" s="11" t="n"/>
      <c r="BG869" s="11" t="n"/>
      <c r="BK869" s="11" t="n"/>
      <c r="BL869" s="11" t="n"/>
      <c r="BP869" s="12" t="n"/>
      <c r="BQ869" s="400" t="n"/>
    </row>
    <row r="870">
      <c r="D870" s="11" t="n"/>
      <c r="E870" s="86" t="n"/>
      <c r="F870" s="85" t="n"/>
      <c r="G870" s="85" t="n"/>
      <c r="H870" s="85" t="n"/>
      <c r="I870" s="85" t="n"/>
      <c r="J870" s="85" t="n"/>
      <c r="BD870" s="11" t="n"/>
      <c r="BE870" s="11" t="n"/>
      <c r="BF870" s="11" t="n"/>
      <c r="BG870" s="11" t="n"/>
      <c r="BK870" s="11" t="n"/>
      <c r="BL870" s="11" t="n"/>
      <c r="BP870" s="12" t="n"/>
      <c r="BQ870" s="400" t="n"/>
    </row>
    <row r="871">
      <c r="D871" s="11" t="n"/>
      <c r="E871" s="86" t="n"/>
      <c r="F871" s="85" t="n"/>
      <c r="G871" s="85" t="n"/>
      <c r="H871" s="85" t="n"/>
      <c r="I871" s="85" t="n"/>
      <c r="J871" s="85" t="n"/>
      <c r="BD871" s="11" t="n"/>
      <c r="BE871" s="11" t="n"/>
      <c r="BF871" s="11" t="n"/>
      <c r="BG871" s="11" t="n"/>
      <c r="BK871" s="11" t="n"/>
      <c r="BL871" s="11" t="n"/>
      <c r="BP871" s="12" t="n"/>
      <c r="BQ871" s="400" t="n"/>
    </row>
    <row r="872">
      <c r="D872" s="11" t="n"/>
      <c r="E872" s="86" t="n"/>
      <c r="F872" s="85" t="n"/>
      <c r="G872" s="85" t="n"/>
      <c r="H872" s="85" t="n"/>
      <c r="I872" s="85" t="n"/>
      <c r="J872" s="85" t="n"/>
      <c r="BD872" s="11" t="n"/>
      <c r="BE872" s="11" t="n"/>
      <c r="BF872" s="11" t="n"/>
      <c r="BG872" s="11" t="n"/>
      <c r="BK872" s="11" t="n"/>
      <c r="BL872" s="11" t="n"/>
      <c r="BP872" s="12" t="n"/>
      <c r="BQ872" s="400" t="n"/>
    </row>
    <row r="873">
      <c r="D873" s="11" t="n"/>
      <c r="E873" s="86" t="n"/>
      <c r="F873" s="85" t="n"/>
      <c r="G873" s="85" t="n"/>
      <c r="H873" s="85" t="n"/>
      <c r="I873" s="85" t="n"/>
      <c r="J873" s="85" t="n"/>
      <c r="BD873" s="11" t="n"/>
      <c r="BE873" s="11" t="n"/>
      <c r="BF873" s="11" t="n"/>
      <c r="BG873" s="11" t="n"/>
      <c r="BK873" s="11" t="n"/>
      <c r="BL873" s="11" t="n"/>
      <c r="BP873" s="12" t="n"/>
      <c r="BQ873" s="400" t="n"/>
    </row>
    <row r="874">
      <c r="D874" s="11" t="n"/>
      <c r="E874" s="86" t="n"/>
      <c r="F874" s="85" t="n"/>
      <c r="G874" s="85" t="n"/>
      <c r="H874" s="85" t="n"/>
      <c r="I874" s="85" t="n"/>
      <c r="J874" s="85" t="n"/>
      <c r="BD874" s="11" t="n"/>
      <c r="BE874" s="11" t="n"/>
      <c r="BF874" s="11" t="n"/>
      <c r="BG874" s="11" t="n"/>
      <c r="BK874" s="11" t="n"/>
      <c r="BL874" s="11" t="n"/>
      <c r="BP874" s="12" t="n"/>
      <c r="BQ874" s="400" t="n"/>
    </row>
    <row r="875">
      <c r="D875" s="11" t="n"/>
      <c r="E875" s="86" t="n"/>
      <c r="F875" s="85" t="n"/>
      <c r="G875" s="85" t="n"/>
      <c r="H875" s="85" t="n"/>
      <c r="I875" s="85" t="n"/>
      <c r="J875" s="85" t="n"/>
      <c r="BD875" s="11" t="n"/>
      <c r="BE875" s="11" t="n"/>
      <c r="BF875" s="11" t="n"/>
      <c r="BG875" s="11" t="n"/>
      <c r="BK875" s="11" t="n"/>
      <c r="BL875" s="11" t="n"/>
      <c r="BP875" s="12" t="n"/>
      <c r="BQ875" s="400" t="n"/>
    </row>
    <row r="876">
      <c r="D876" s="11" t="n"/>
      <c r="E876" s="86" t="n"/>
      <c r="F876" s="85" t="n"/>
      <c r="G876" s="85" t="n"/>
      <c r="H876" s="85" t="n"/>
      <c r="I876" s="85" t="n"/>
      <c r="J876" s="85" t="n"/>
      <c r="BD876" s="11" t="n"/>
      <c r="BE876" s="11" t="n"/>
      <c r="BF876" s="11" t="n"/>
      <c r="BG876" s="11" t="n"/>
      <c r="BK876" s="11" t="n"/>
      <c r="BL876" s="11" t="n"/>
      <c r="BP876" s="12" t="n"/>
      <c r="BQ876" s="400" t="n"/>
    </row>
    <row r="877">
      <c r="D877" s="11" t="n"/>
      <c r="E877" s="86" t="n"/>
      <c r="F877" s="85" t="n"/>
      <c r="G877" s="85" t="n"/>
      <c r="H877" s="85" t="n"/>
      <c r="I877" s="85" t="n"/>
      <c r="J877" s="85" t="n"/>
      <c r="BD877" s="11" t="n"/>
      <c r="BE877" s="11" t="n"/>
      <c r="BF877" s="11" t="n"/>
      <c r="BG877" s="11" t="n"/>
      <c r="BK877" s="11" t="n"/>
      <c r="BL877" s="11" t="n"/>
      <c r="BP877" s="12" t="n"/>
      <c r="BQ877" s="400" t="n"/>
    </row>
    <row r="878">
      <c r="D878" s="11" t="n"/>
      <c r="E878" s="86" t="n"/>
      <c r="F878" s="85" t="n"/>
      <c r="G878" s="85" t="n"/>
      <c r="H878" s="85" t="n"/>
      <c r="I878" s="85" t="n"/>
      <c r="J878" s="85" t="n"/>
      <c r="BD878" s="11" t="n"/>
      <c r="BE878" s="11" t="n"/>
      <c r="BF878" s="11" t="n"/>
      <c r="BG878" s="11" t="n"/>
      <c r="BK878" s="11" t="n"/>
      <c r="BL878" s="11" t="n"/>
      <c r="BP878" s="12" t="n"/>
      <c r="BQ878" s="400" t="n"/>
    </row>
    <row r="879">
      <c r="D879" s="11" t="n"/>
      <c r="E879" s="86" t="n"/>
      <c r="F879" s="85" t="n"/>
      <c r="G879" s="85" t="n"/>
      <c r="H879" s="85" t="n"/>
      <c r="I879" s="85" t="n"/>
      <c r="J879" s="85" t="n"/>
      <c r="BD879" s="11" t="n"/>
      <c r="BE879" s="11" t="n"/>
      <c r="BF879" s="11" t="n"/>
      <c r="BG879" s="11" t="n"/>
      <c r="BK879" s="11" t="n"/>
      <c r="BL879" s="11" t="n"/>
      <c r="BP879" s="12" t="n"/>
      <c r="BQ879" s="400" t="n"/>
    </row>
    <row r="880">
      <c r="D880" s="11" t="n"/>
      <c r="E880" s="86" t="n"/>
      <c r="F880" s="85" t="n"/>
      <c r="G880" s="85" t="n"/>
      <c r="H880" s="85" t="n"/>
      <c r="I880" s="85" t="n"/>
      <c r="J880" s="85" t="n"/>
      <c r="BD880" s="11" t="n"/>
      <c r="BE880" s="11" t="n"/>
      <c r="BF880" s="11" t="n"/>
      <c r="BG880" s="11" t="n"/>
      <c r="BK880" s="11" t="n"/>
      <c r="BL880" s="11" t="n"/>
      <c r="BP880" s="12" t="n"/>
      <c r="BQ880" s="400" t="n"/>
    </row>
    <row r="881">
      <c r="D881" s="11" t="n"/>
      <c r="E881" s="86" t="n"/>
      <c r="F881" s="85" t="n"/>
      <c r="G881" s="85" t="n"/>
      <c r="H881" s="85" t="n"/>
      <c r="I881" s="85" t="n"/>
      <c r="J881" s="85" t="n"/>
      <c r="BD881" s="11" t="n"/>
      <c r="BE881" s="11" t="n"/>
      <c r="BF881" s="11" t="n"/>
      <c r="BG881" s="11" t="n"/>
      <c r="BK881" s="11" t="n"/>
      <c r="BL881" s="11" t="n"/>
      <c r="BP881" s="12" t="n"/>
      <c r="BQ881" s="400" t="n"/>
    </row>
    <row r="882">
      <c r="D882" s="11" t="n"/>
      <c r="E882" s="86" t="n"/>
      <c r="F882" s="85" t="n"/>
      <c r="G882" s="85" t="n"/>
      <c r="H882" s="85" t="n"/>
      <c r="I882" s="85" t="n"/>
      <c r="J882" s="85" t="n"/>
      <c r="BD882" s="11" t="n"/>
      <c r="BE882" s="11" t="n"/>
      <c r="BF882" s="11" t="n"/>
      <c r="BG882" s="11" t="n"/>
      <c r="BK882" s="11" t="n"/>
      <c r="BL882" s="11" t="n"/>
      <c r="BP882" s="12" t="n"/>
      <c r="BQ882" s="400" t="n"/>
    </row>
    <row r="883">
      <c r="D883" s="11" t="n"/>
      <c r="E883" s="86" t="n"/>
      <c r="F883" s="85" t="n"/>
      <c r="G883" s="85" t="n"/>
      <c r="H883" s="85" t="n"/>
      <c r="I883" s="85" t="n"/>
      <c r="J883" s="85" t="n"/>
      <c r="BD883" s="11" t="n"/>
      <c r="BE883" s="11" t="n"/>
      <c r="BF883" s="11" t="n"/>
      <c r="BG883" s="11" t="n"/>
      <c r="BK883" s="11" t="n"/>
      <c r="BL883" s="11" t="n"/>
      <c r="BP883" s="12" t="n"/>
      <c r="BQ883" s="400" t="n"/>
    </row>
    <row r="884">
      <c r="D884" s="11" t="n"/>
      <c r="E884" s="86" t="n"/>
      <c r="F884" s="85" t="n"/>
      <c r="G884" s="85" t="n"/>
      <c r="H884" s="85" t="n"/>
      <c r="I884" s="85" t="n"/>
      <c r="J884" s="85" t="n"/>
      <c r="BD884" s="11" t="n"/>
      <c r="BE884" s="11" t="n"/>
      <c r="BF884" s="11" t="n"/>
      <c r="BG884" s="11" t="n"/>
      <c r="BK884" s="11" t="n"/>
      <c r="BL884" s="11" t="n"/>
      <c r="BP884" s="12" t="n"/>
      <c r="BQ884" s="400" t="n"/>
    </row>
    <row r="885">
      <c r="D885" s="11" t="n"/>
      <c r="E885" s="86" t="n"/>
      <c r="F885" s="85" t="n"/>
      <c r="G885" s="85" t="n"/>
      <c r="H885" s="85" t="n"/>
      <c r="I885" s="85" t="n"/>
      <c r="J885" s="85" t="n"/>
      <c r="BD885" s="11" t="n"/>
      <c r="BE885" s="11" t="n"/>
      <c r="BF885" s="11" t="n"/>
      <c r="BG885" s="11" t="n"/>
      <c r="BK885" s="11" t="n"/>
      <c r="BL885" s="11" t="n"/>
      <c r="BP885" s="12" t="n"/>
      <c r="BQ885" s="400" t="n"/>
    </row>
    <row r="886">
      <c r="D886" s="11" t="n"/>
      <c r="E886" s="86" t="n"/>
      <c r="F886" s="85" t="n"/>
      <c r="G886" s="85" t="n"/>
      <c r="H886" s="85" t="n"/>
      <c r="I886" s="85" t="n"/>
      <c r="J886" s="85" t="n"/>
      <c r="BD886" s="11" t="n"/>
      <c r="BE886" s="11" t="n"/>
      <c r="BF886" s="11" t="n"/>
      <c r="BG886" s="11" t="n"/>
      <c r="BK886" s="11" t="n"/>
      <c r="BL886" s="11" t="n"/>
      <c r="BP886" s="12" t="n"/>
      <c r="BQ886" s="400" t="n"/>
    </row>
    <row r="887">
      <c r="D887" s="11" t="n"/>
      <c r="E887" s="86" t="n"/>
      <c r="F887" s="85" t="n"/>
      <c r="G887" s="85" t="n"/>
      <c r="H887" s="85" t="n"/>
      <c r="I887" s="85" t="n"/>
      <c r="J887" s="85" t="n"/>
      <c r="BD887" s="11" t="n"/>
      <c r="BE887" s="11" t="n"/>
      <c r="BF887" s="11" t="n"/>
      <c r="BG887" s="11" t="n"/>
      <c r="BK887" s="11" t="n"/>
      <c r="BL887" s="11" t="n"/>
      <c r="BP887" s="12" t="n"/>
      <c r="BQ887" s="400" t="n"/>
    </row>
    <row r="888">
      <c r="D888" s="11" t="n"/>
      <c r="E888" s="86" t="n"/>
      <c r="F888" s="85" t="n"/>
      <c r="G888" s="85" t="n"/>
      <c r="H888" s="85" t="n"/>
      <c r="I888" s="85" t="n"/>
      <c r="J888" s="85" t="n"/>
      <c r="BD888" s="11" t="n"/>
      <c r="BE888" s="11" t="n"/>
      <c r="BF888" s="11" t="n"/>
      <c r="BG888" s="11" t="n"/>
      <c r="BK888" s="11" t="n"/>
      <c r="BL888" s="11" t="n"/>
      <c r="BP888" s="12" t="n"/>
      <c r="BQ888" s="400" t="n"/>
    </row>
    <row r="889">
      <c r="D889" s="11" t="n"/>
      <c r="E889" s="86" t="n"/>
      <c r="F889" s="85" t="n"/>
      <c r="G889" s="85" t="n"/>
      <c r="H889" s="85" t="n"/>
      <c r="I889" s="85" t="n"/>
      <c r="J889" s="85" t="n"/>
      <c r="BD889" s="11" t="n"/>
      <c r="BE889" s="11" t="n"/>
      <c r="BF889" s="11" t="n"/>
      <c r="BG889" s="11" t="n"/>
      <c r="BK889" s="11" t="n"/>
      <c r="BL889" s="11" t="n"/>
      <c r="BP889" s="12" t="n"/>
      <c r="BQ889" s="400" t="n"/>
    </row>
    <row r="890">
      <c r="D890" s="11" t="n"/>
      <c r="E890" s="86" t="n"/>
      <c r="F890" s="85" t="n"/>
      <c r="G890" s="85" t="n"/>
      <c r="H890" s="85" t="n"/>
      <c r="I890" s="85" t="n"/>
      <c r="J890" s="85" t="n"/>
      <c r="BD890" s="11" t="n"/>
      <c r="BE890" s="11" t="n"/>
      <c r="BF890" s="11" t="n"/>
      <c r="BG890" s="11" t="n"/>
      <c r="BK890" s="11" t="n"/>
      <c r="BL890" s="11" t="n"/>
      <c r="BP890" s="12" t="n"/>
      <c r="BQ890" s="400" t="n"/>
    </row>
    <row r="891">
      <c r="D891" s="11" t="n"/>
      <c r="E891" s="86" t="n"/>
      <c r="F891" s="85" t="n"/>
      <c r="G891" s="85" t="n"/>
      <c r="H891" s="85" t="n"/>
      <c r="I891" s="85" t="n"/>
      <c r="J891" s="85" t="n"/>
      <c r="BD891" s="11" t="n"/>
      <c r="BE891" s="11" t="n"/>
      <c r="BF891" s="11" t="n"/>
      <c r="BG891" s="11" t="n"/>
      <c r="BK891" s="11" t="n"/>
      <c r="BL891" s="11" t="n"/>
      <c r="BP891" s="12" t="n"/>
      <c r="BQ891" s="400" t="n"/>
    </row>
    <row r="892">
      <c r="D892" s="11" t="n"/>
      <c r="E892" s="86" t="n"/>
      <c r="F892" s="85" t="n"/>
      <c r="G892" s="85" t="n"/>
      <c r="H892" s="85" t="n"/>
      <c r="I892" s="85" t="n"/>
      <c r="J892" s="85" t="n"/>
      <c r="BD892" s="11" t="n"/>
      <c r="BE892" s="11" t="n"/>
      <c r="BF892" s="11" t="n"/>
      <c r="BG892" s="11" t="n"/>
      <c r="BK892" s="11" t="n"/>
      <c r="BL892" s="11" t="n"/>
      <c r="BP892" s="12" t="n"/>
      <c r="BQ892" s="400" t="n"/>
    </row>
    <row r="893">
      <c r="D893" s="11" t="n"/>
      <c r="E893" s="86" t="n"/>
      <c r="F893" s="85" t="n"/>
      <c r="G893" s="85" t="n"/>
      <c r="H893" s="85" t="n"/>
      <c r="I893" s="85" t="n"/>
      <c r="J893" s="85" t="n"/>
      <c r="BD893" s="11" t="n"/>
      <c r="BE893" s="11" t="n"/>
      <c r="BF893" s="11" t="n"/>
      <c r="BG893" s="11" t="n"/>
      <c r="BK893" s="11" t="n"/>
      <c r="BL893" s="11" t="n"/>
      <c r="BP893" s="12" t="n"/>
      <c r="BQ893" s="400" t="n"/>
    </row>
    <row r="894">
      <c r="D894" s="11" t="n"/>
      <c r="E894" s="86" t="n"/>
      <c r="F894" s="85" t="n"/>
      <c r="G894" s="85" t="n"/>
      <c r="H894" s="85" t="n"/>
      <c r="I894" s="85" t="n"/>
      <c r="J894" s="85" t="n"/>
      <c r="BD894" s="11" t="n"/>
      <c r="BE894" s="11" t="n"/>
      <c r="BF894" s="11" t="n"/>
      <c r="BG894" s="11" t="n"/>
      <c r="BK894" s="11" t="n"/>
      <c r="BL894" s="11" t="n"/>
      <c r="BP894" s="12" t="n"/>
      <c r="BQ894" s="400" t="n"/>
    </row>
    <row r="895">
      <c r="D895" s="11" t="n"/>
      <c r="E895" s="86" t="n"/>
      <c r="F895" s="85" t="n"/>
      <c r="G895" s="85" t="n"/>
      <c r="H895" s="85" t="n"/>
      <c r="I895" s="85" t="n"/>
      <c r="J895" s="85" t="n"/>
      <c r="BD895" s="11" t="n"/>
      <c r="BE895" s="11" t="n"/>
      <c r="BF895" s="11" t="n"/>
      <c r="BG895" s="11" t="n"/>
      <c r="BK895" s="11" t="n"/>
      <c r="BL895" s="11" t="n"/>
      <c r="BP895" s="12" t="n"/>
      <c r="BQ895" s="400" t="n"/>
    </row>
    <row r="896">
      <c r="D896" s="11" t="n"/>
      <c r="E896" s="86" t="n"/>
      <c r="F896" s="85" t="n"/>
      <c r="G896" s="85" t="n"/>
      <c r="H896" s="85" t="n"/>
      <c r="I896" s="85" t="n"/>
      <c r="J896" s="85" t="n"/>
      <c r="BD896" s="11" t="n"/>
      <c r="BE896" s="11" t="n"/>
      <c r="BF896" s="11" t="n"/>
      <c r="BG896" s="11" t="n"/>
      <c r="BK896" s="11" t="n"/>
      <c r="BL896" s="11" t="n"/>
      <c r="BP896" s="12" t="n"/>
      <c r="BQ896" s="400" t="n"/>
    </row>
    <row r="897">
      <c r="D897" s="11" t="n"/>
      <c r="E897" s="86" t="n"/>
      <c r="F897" s="85" t="n"/>
      <c r="G897" s="85" t="n"/>
      <c r="H897" s="85" t="n"/>
      <c r="I897" s="85" t="n"/>
      <c r="J897" s="85" t="n"/>
      <c r="BD897" s="11" t="n"/>
      <c r="BE897" s="11" t="n"/>
      <c r="BF897" s="11" t="n"/>
      <c r="BG897" s="11" t="n"/>
      <c r="BK897" s="11" t="n"/>
      <c r="BL897" s="11" t="n"/>
      <c r="BP897" s="12" t="n"/>
      <c r="BQ897" s="400" t="n"/>
    </row>
    <row r="898">
      <c r="D898" s="11" t="n"/>
      <c r="E898" s="86" t="n"/>
      <c r="F898" s="85" t="n"/>
      <c r="G898" s="85" t="n"/>
      <c r="H898" s="85" t="n"/>
      <c r="I898" s="85" t="n"/>
      <c r="J898" s="85" t="n"/>
      <c r="BD898" s="11" t="n"/>
      <c r="BE898" s="11" t="n"/>
      <c r="BF898" s="11" t="n"/>
      <c r="BG898" s="11" t="n"/>
      <c r="BK898" s="11" t="n"/>
      <c r="BL898" s="11" t="n"/>
      <c r="BP898" s="12" t="n"/>
      <c r="BQ898" s="400" t="n"/>
    </row>
    <row r="899">
      <c r="D899" s="11" t="n"/>
      <c r="E899" s="86" t="n"/>
      <c r="F899" s="85" t="n"/>
      <c r="G899" s="85" t="n"/>
      <c r="H899" s="85" t="n"/>
      <c r="I899" s="85" t="n"/>
      <c r="J899" s="85" t="n"/>
      <c r="BD899" s="11" t="n"/>
      <c r="BE899" s="11" t="n"/>
      <c r="BF899" s="11" t="n"/>
      <c r="BG899" s="11" t="n"/>
      <c r="BK899" s="11" t="n"/>
      <c r="BL899" s="11" t="n"/>
      <c r="BP899" s="12" t="n"/>
      <c r="BQ899" s="400" t="n"/>
    </row>
    <row r="900">
      <c r="D900" s="11" t="n"/>
      <c r="E900" s="86" t="n"/>
      <c r="F900" s="85" t="n"/>
      <c r="G900" s="85" t="n"/>
      <c r="H900" s="85" t="n"/>
      <c r="I900" s="85" t="n"/>
      <c r="J900" s="85" t="n"/>
      <c r="BD900" s="11" t="n"/>
      <c r="BE900" s="11" t="n"/>
      <c r="BF900" s="11" t="n"/>
      <c r="BG900" s="11" t="n"/>
      <c r="BK900" s="11" t="n"/>
      <c r="BL900" s="11" t="n"/>
      <c r="BP900" s="12" t="n"/>
      <c r="BQ900" s="400" t="n"/>
    </row>
    <row r="901">
      <c r="D901" s="11" t="n"/>
      <c r="E901" s="86" t="n"/>
      <c r="F901" s="85" t="n"/>
      <c r="G901" s="85" t="n"/>
      <c r="H901" s="85" t="n"/>
      <c r="I901" s="85" t="n"/>
      <c r="J901" s="85" t="n"/>
      <c r="BD901" s="11" t="n"/>
      <c r="BE901" s="11" t="n"/>
      <c r="BF901" s="11" t="n"/>
      <c r="BG901" s="11" t="n"/>
      <c r="BK901" s="11" t="n"/>
      <c r="BL901" s="11" t="n"/>
      <c r="BP901" s="12" t="n"/>
      <c r="BQ901" s="400" t="n"/>
    </row>
    <row r="902">
      <c r="D902" s="11" t="n"/>
      <c r="E902" s="86" t="n"/>
      <c r="F902" s="85" t="n"/>
      <c r="G902" s="85" t="n"/>
      <c r="H902" s="85" t="n"/>
      <c r="I902" s="85" t="n"/>
      <c r="J902" s="85" t="n"/>
      <c r="BD902" s="11" t="n"/>
      <c r="BE902" s="11" t="n"/>
      <c r="BF902" s="11" t="n"/>
      <c r="BG902" s="11" t="n"/>
      <c r="BK902" s="11" t="n"/>
      <c r="BL902" s="11" t="n"/>
      <c r="BP902" s="12" t="n"/>
      <c r="BQ902" s="400" t="n"/>
    </row>
    <row r="903">
      <c r="D903" s="11" t="n"/>
      <c r="E903" s="86" t="n"/>
      <c r="F903" s="85" t="n"/>
      <c r="G903" s="85" t="n"/>
      <c r="H903" s="85" t="n"/>
      <c r="I903" s="85" t="n"/>
      <c r="J903" s="85" t="n"/>
      <c r="BD903" s="11" t="n"/>
      <c r="BE903" s="11" t="n"/>
      <c r="BF903" s="11" t="n"/>
      <c r="BG903" s="11" t="n"/>
      <c r="BK903" s="11" t="n"/>
      <c r="BL903" s="11" t="n"/>
      <c r="BP903" s="12" t="n"/>
      <c r="BQ903" s="400" t="n"/>
    </row>
    <row r="904">
      <c r="D904" s="11" t="n"/>
      <c r="E904" s="86" t="n"/>
      <c r="F904" s="85" t="n"/>
      <c r="G904" s="85" t="n"/>
      <c r="H904" s="85" t="n"/>
      <c r="I904" s="85" t="n"/>
      <c r="J904" s="85" t="n"/>
      <c r="BD904" s="11" t="n"/>
      <c r="BE904" s="11" t="n"/>
      <c r="BF904" s="11" t="n"/>
      <c r="BG904" s="11" t="n"/>
      <c r="BK904" s="11" t="n"/>
      <c r="BL904" s="11" t="n"/>
      <c r="BP904" s="12" t="n"/>
      <c r="BQ904" s="400" t="n"/>
    </row>
    <row r="905">
      <c r="D905" s="11" t="n"/>
      <c r="E905" s="86" t="n"/>
      <c r="F905" s="85" t="n"/>
      <c r="G905" s="85" t="n"/>
      <c r="H905" s="85" t="n"/>
      <c r="I905" s="85" t="n"/>
      <c r="J905" s="85" t="n"/>
      <c r="BD905" s="11" t="n"/>
      <c r="BE905" s="11" t="n"/>
      <c r="BF905" s="11" t="n"/>
      <c r="BG905" s="11" t="n"/>
      <c r="BK905" s="11" t="n"/>
      <c r="BL905" s="11" t="n"/>
      <c r="BP905" s="12" t="n"/>
      <c r="BQ905" s="400" t="n"/>
    </row>
    <row r="906">
      <c r="D906" s="11" t="n"/>
      <c r="E906" s="86" t="n"/>
      <c r="F906" s="85" t="n"/>
      <c r="G906" s="85" t="n"/>
      <c r="H906" s="85" t="n"/>
      <c r="I906" s="85" t="n"/>
      <c r="J906" s="85" t="n"/>
      <c r="BD906" s="11" t="n"/>
      <c r="BE906" s="11" t="n"/>
      <c r="BF906" s="11" t="n"/>
      <c r="BG906" s="11" t="n"/>
      <c r="BK906" s="11" t="n"/>
      <c r="BL906" s="11" t="n"/>
      <c r="BP906" s="12" t="n"/>
      <c r="BQ906" s="400" t="n"/>
    </row>
    <row r="907">
      <c r="D907" s="11" t="n"/>
      <c r="E907" s="86" t="n"/>
      <c r="F907" s="85" t="n"/>
      <c r="G907" s="85" t="n"/>
      <c r="H907" s="85" t="n"/>
      <c r="I907" s="85" t="n"/>
      <c r="J907" s="85" t="n"/>
      <c r="BD907" s="11" t="n"/>
      <c r="BE907" s="11" t="n"/>
      <c r="BF907" s="11" t="n"/>
      <c r="BG907" s="11" t="n"/>
      <c r="BK907" s="11" t="n"/>
      <c r="BL907" s="11" t="n"/>
      <c r="BP907" s="12" t="n"/>
      <c r="BQ907" s="400" t="n"/>
    </row>
    <row r="908">
      <c r="D908" s="11" t="n"/>
      <c r="E908" s="86" t="n"/>
      <c r="F908" s="85" t="n"/>
      <c r="G908" s="85" t="n"/>
      <c r="H908" s="85" t="n"/>
      <c r="I908" s="85" t="n"/>
      <c r="J908" s="85" t="n"/>
      <c r="BD908" s="11" t="n"/>
      <c r="BE908" s="11" t="n"/>
      <c r="BF908" s="11" t="n"/>
      <c r="BG908" s="11" t="n"/>
      <c r="BK908" s="11" t="n"/>
      <c r="BL908" s="11" t="n"/>
      <c r="BP908" s="12" t="n"/>
      <c r="BQ908" s="400" t="n"/>
    </row>
    <row r="909">
      <c r="D909" s="11" t="n"/>
      <c r="E909" s="86" t="n"/>
      <c r="F909" s="85" t="n"/>
      <c r="G909" s="85" t="n"/>
      <c r="H909" s="85" t="n"/>
      <c r="I909" s="85" t="n"/>
      <c r="J909" s="85" t="n"/>
      <c r="BD909" s="11" t="n"/>
      <c r="BE909" s="11" t="n"/>
      <c r="BF909" s="11" t="n"/>
      <c r="BG909" s="11" t="n"/>
      <c r="BK909" s="11" t="n"/>
      <c r="BL909" s="11" t="n"/>
      <c r="BP909" s="12" t="n"/>
      <c r="BQ909" s="400" t="n"/>
    </row>
    <row r="910">
      <c r="D910" s="11" t="n"/>
      <c r="E910" s="86" t="n"/>
      <c r="F910" s="85" t="n"/>
      <c r="G910" s="85" t="n"/>
      <c r="H910" s="85" t="n"/>
      <c r="I910" s="85" t="n"/>
      <c r="J910" s="85" t="n"/>
      <c r="BD910" s="11" t="n"/>
      <c r="BE910" s="11" t="n"/>
      <c r="BF910" s="11" t="n"/>
      <c r="BG910" s="11" t="n"/>
      <c r="BK910" s="11" t="n"/>
      <c r="BL910" s="11" t="n"/>
      <c r="BP910" s="12" t="n"/>
      <c r="BQ910" s="400" t="n"/>
    </row>
    <row r="911">
      <c r="D911" s="11" t="n"/>
      <c r="E911" s="86" t="n"/>
      <c r="F911" s="85" t="n"/>
      <c r="G911" s="85" t="n"/>
      <c r="H911" s="85" t="n"/>
      <c r="I911" s="85" t="n"/>
      <c r="J911" s="85" t="n"/>
      <c r="BD911" s="11" t="n"/>
      <c r="BE911" s="11" t="n"/>
      <c r="BF911" s="11" t="n"/>
      <c r="BG911" s="11" t="n"/>
      <c r="BK911" s="11" t="n"/>
      <c r="BL911" s="11" t="n"/>
      <c r="BP911" s="12" t="n"/>
      <c r="BQ911" s="400" t="n"/>
    </row>
    <row r="912">
      <c r="D912" s="11" t="n"/>
      <c r="E912" s="86" t="n"/>
      <c r="F912" s="85" t="n"/>
      <c r="G912" s="85" t="n"/>
      <c r="H912" s="85" t="n"/>
      <c r="I912" s="85" t="n"/>
      <c r="J912" s="85" t="n"/>
      <c r="BD912" s="11" t="n"/>
      <c r="BE912" s="11" t="n"/>
      <c r="BF912" s="11" t="n"/>
      <c r="BG912" s="11" t="n"/>
      <c r="BK912" s="11" t="n"/>
      <c r="BL912" s="11" t="n"/>
      <c r="BP912" s="12" t="n"/>
      <c r="BQ912" s="400" t="n"/>
    </row>
    <row r="913">
      <c r="D913" s="11" t="n"/>
      <c r="E913" s="86" t="n"/>
      <c r="F913" s="85" t="n"/>
      <c r="G913" s="85" t="n"/>
      <c r="H913" s="85" t="n"/>
      <c r="I913" s="85" t="n"/>
      <c r="J913" s="85" t="n"/>
      <c r="BD913" s="11" t="n"/>
      <c r="BE913" s="11" t="n"/>
      <c r="BF913" s="11" t="n"/>
      <c r="BG913" s="11" t="n"/>
      <c r="BK913" s="11" t="n"/>
      <c r="BL913" s="11" t="n"/>
      <c r="BP913" s="12" t="n"/>
      <c r="BQ913" s="400" t="n"/>
    </row>
    <row r="914">
      <c r="D914" s="11" t="n"/>
      <c r="E914" s="86" t="n"/>
      <c r="F914" s="85" t="n"/>
      <c r="G914" s="85" t="n"/>
      <c r="H914" s="85" t="n"/>
      <c r="I914" s="85" t="n"/>
      <c r="J914" s="85" t="n"/>
      <c r="BD914" s="11" t="n"/>
      <c r="BE914" s="11" t="n"/>
      <c r="BF914" s="11" t="n"/>
      <c r="BG914" s="11" t="n"/>
      <c r="BK914" s="11" t="n"/>
      <c r="BL914" s="11" t="n"/>
      <c r="BP914" s="12" t="n"/>
      <c r="BQ914" s="400" t="n"/>
    </row>
    <row r="915">
      <c r="D915" s="11" t="n"/>
      <c r="E915" s="86" t="n"/>
      <c r="F915" s="85" t="n"/>
      <c r="G915" s="85" t="n"/>
      <c r="H915" s="85" t="n"/>
      <c r="I915" s="85" t="n"/>
      <c r="J915" s="85" t="n"/>
      <c r="BD915" s="11" t="n"/>
      <c r="BE915" s="11" t="n"/>
      <c r="BF915" s="11" t="n"/>
      <c r="BG915" s="11" t="n"/>
      <c r="BK915" s="11" t="n"/>
      <c r="BL915" s="11" t="n"/>
      <c r="BP915" s="12" t="n"/>
      <c r="BQ915" s="400" t="n"/>
    </row>
    <row r="916">
      <c r="D916" s="11" t="n"/>
      <c r="E916" s="86" t="n"/>
      <c r="F916" s="85" t="n"/>
      <c r="G916" s="85" t="n"/>
      <c r="H916" s="85" t="n"/>
      <c r="I916" s="85" t="n"/>
      <c r="J916" s="85" t="n"/>
      <c r="BD916" s="11" t="n"/>
      <c r="BE916" s="11" t="n"/>
      <c r="BF916" s="11" t="n"/>
      <c r="BG916" s="11" t="n"/>
      <c r="BK916" s="11" t="n"/>
      <c r="BL916" s="11" t="n"/>
      <c r="BP916" s="12" t="n"/>
      <c r="BQ916" s="400" t="n"/>
    </row>
    <row r="917">
      <c r="D917" s="11" t="n"/>
      <c r="E917" s="86" t="n"/>
      <c r="F917" s="85" t="n"/>
      <c r="G917" s="85" t="n"/>
      <c r="H917" s="85" t="n"/>
      <c r="I917" s="85" t="n"/>
      <c r="J917" s="85" t="n"/>
      <c r="BD917" s="11" t="n"/>
      <c r="BE917" s="11" t="n"/>
      <c r="BF917" s="11" t="n"/>
      <c r="BG917" s="11" t="n"/>
      <c r="BK917" s="11" t="n"/>
      <c r="BL917" s="11" t="n"/>
      <c r="BP917" s="12" t="n"/>
      <c r="BQ917" s="400" t="n"/>
    </row>
    <row r="918">
      <c r="D918" s="11" t="n"/>
      <c r="E918" s="86" t="n"/>
      <c r="F918" s="85" t="n"/>
      <c r="G918" s="85" t="n"/>
      <c r="H918" s="85" t="n"/>
      <c r="I918" s="85" t="n"/>
      <c r="J918" s="85" t="n"/>
      <c r="BD918" s="11" t="n"/>
      <c r="BE918" s="11" t="n"/>
      <c r="BF918" s="11" t="n"/>
      <c r="BG918" s="11" t="n"/>
      <c r="BK918" s="11" t="n"/>
      <c r="BL918" s="11" t="n"/>
      <c r="BP918" s="12" t="n"/>
      <c r="BQ918" s="400" t="n"/>
    </row>
    <row r="919">
      <c r="D919" s="11" t="n"/>
      <c r="E919" s="86" t="n"/>
      <c r="F919" s="85" t="n"/>
      <c r="G919" s="85" t="n"/>
      <c r="H919" s="85" t="n"/>
      <c r="I919" s="85" t="n"/>
      <c r="J919" s="85" t="n"/>
      <c r="BD919" s="11" t="n"/>
      <c r="BE919" s="11" t="n"/>
      <c r="BF919" s="11" t="n"/>
      <c r="BG919" s="11" t="n"/>
      <c r="BK919" s="11" t="n"/>
      <c r="BL919" s="11" t="n"/>
      <c r="BP919" s="12" t="n"/>
      <c r="BQ919" s="400" t="n"/>
    </row>
    <row r="920">
      <c r="D920" s="11" t="n"/>
      <c r="E920" s="86" t="n"/>
      <c r="F920" s="85" t="n"/>
      <c r="G920" s="85" t="n"/>
      <c r="H920" s="85" t="n"/>
      <c r="I920" s="85" t="n"/>
      <c r="J920" s="85" t="n"/>
      <c r="BD920" s="11" t="n"/>
      <c r="BE920" s="11" t="n"/>
      <c r="BF920" s="11" t="n"/>
      <c r="BG920" s="11" t="n"/>
      <c r="BK920" s="11" t="n"/>
      <c r="BL920" s="11" t="n"/>
      <c r="BP920" s="12" t="n"/>
      <c r="BQ920" s="400" t="n"/>
    </row>
    <row r="921">
      <c r="D921" s="11" t="n"/>
      <c r="E921" s="86" t="n"/>
      <c r="F921" s="85" t="n"/>
      <c r="G921" s="85" t="n"/>
      <c r="H921" s="85" t="n"/>
      <c r="I921" s="85" t="n"/>
      <c r="J921" s="85" t="n"/>
      <c r="BD921" s="11" t="n"/>
      <c r="BE921" s="11" t="n"/>
      <c r="BF921" s="11" t="n"/>
      <c r="BG921" s="11" t="n"/>
      <c r="BK921" s="11" t="n"/>
      <c r="BL921" s="11" t="n"/>
      <c r="BP921" s="12" t="n"/>
      <c r="BQ921" s="400" t="n"/>
    </row>
    <row r="922">
      <c r="D922" s="11" t="n"/>
      <c r="E922" s="86" t="n"/>
      <c r="F922" s="85" t="n"/>
      <c r="G922" s="85" t="n"/>
      <c r="H922" s="85" t="n"/>
      <c r="I922" s="85" t="n"/>
      <c r="J922" s="85" t="n"/>
      <c r="BD922" s="11" t="n"/>
      <c r="BE922" s="11" t="n"/>
      <c r="BF922" s="11" t="n"/>
      <c r="BG922" s="11" t="n"/>
      <c r="BK922" s="11" t="n"/>
      <c r="BL922" s="11" t="n"/>
      <c r="BP922" s="12" t="n"/>
      <c r="BQ922" s="400" t="n"/>
    </row>
    <row r="923">
      <c r="D923" s="11" t="n"/>
      <c r="E923" s="86" t="n"/>
      <c r="F923" s="85" t="n"/>
      <c r="G923" s="85" t="n"/>
      <c r="H923" s="85" t="n"/>
      <c r="I923" s="85" t="n"/>
      <c r="J923" s="85" t="n"/>
      <c r="BD923" s="11" t="n"/>
      <c r="BE923" s="11" t="n"/>
      <c r="BF923" s="11" t="n"/>
      <c r="BG923" s="11" t="n"/>
      <c r="BK923" s="11" t="n"/>
      <c r="BL923" s="11" t="n"/>
      <c r="BP923" s="12" t="n"/>
      <c r="BQ923" s="400" t="n"/>
    </row>
    <row r="924">
      <c r="D924" s="11" t="n"/>
      <c r="E924" s="86" t="n"/>
      <c r="F924" s="85" t="n"/>
      <c r="G924" s="85" t="n"/>
      <c r="H924" s="85" t="n"/>
      <c r="I924" s="85" t="n"/>
      <c r="J924" s="85" t="n"/>
      <c r="BD924" s="11" t="n"/>
      <c r="BE924" s="11" t="n"/>
      <c r="BF924" s="11" t="n"/>
      <c r="BG924" s="11" t="n"/>
      <c r="BK924" s="11" t="n"/>
      <c r="BL924" s="11" t="n"/>
      <c r="BP924" s="12" t="n"/>
      <c r="BQ924" s="400" t="n"/>
    </row>
    <row r="925">
      <c r="D925" s="11" t="n"/>
      <c r="E925" s="86" t="n"/>
      <c r="F925" s="85" t="n"/>
      <c r="G925" s="85" t="n"/>
      <c r="H925" s="85" t="n"/>
      <c r="I925" s="85" t="n"/>
      <c r="J925" s="85" t="n"/>
      <c r="BD925" s="11" t="n"/>
      <c r="BE925" s="11" t="n"/>
      <c r="BF925" s="11" t="n"/>
      <c r="BG925" s="11" t="n"/>
      <c r="BK925" s="11" t="n"/>
      <c r="BL925" s="11" t="n"/>
      <c r="BP925" s="12" t="n"/>
      <c r="BQ925" s="400" t="n"/>
    </row>
    <row r="926">
      <c r="D926" s="11" t="n"/>
      <c r="E926" s="86" t="n"/>
      <c r="F926" s="85" t="n"/>
      <c r="G926" s="85" t="n"/>
      <c r="H926" s="85" t="n"/>
      <c r="I926" s="85" t="n"/>
      <c r="J926" s="85" t="n"/>
      <c r="BD926" s="11" t="n"/>
      <c r="BE926" s="11" t="n"/>
      <c r="BF926" s="11" t="n"/>
      <c r="BG926" s="11" t="n"/>
      <c r="BK926" s="11" t="n"/>
      <c r="BL926" s="11" t="n"/>
      <c r="BP926" s="12" t="n"/>
      <c r="BQ926" s="400" t="n"/>
    </row>
    <row r="927">
      <c r="D927" s="11" t="n"/>
      <c r="E927" s="86" t="n"/>
      <c r="F927" s="85" t="n"/>
      <c r="G927" s="85" t="n"/>
      <c r="H927" s="85" t="n"/>
      <c r="I927" s="85" t="n"/>
      <c r="J927" s="85" t="n"/>
      <c r="BD927" s="11" t="n"/>
      <c r="BE927" s="11" t="n"/>
      <c r="BF927" s="11" t="n"/>
      <c r="BG927" s="11" t="n"/>
      <c r="BK927" s="11" t="n"/>
      <c r="BL927" s="11" t="n"/>
      <c r="BP927" s="12" t="n"/>
      <c r="BQ927" s="400" t="n"/>
    </row>
    <row r="928">
      <c r="D928" s="11" t="n"/>
      <c r="E928" s="86" t="n"/>
      <c r="F928" s="85" t="n"/>
      <c r="G928" s="85" t="n"/>
      <c r="H928" s="85" t="n"/>
      <c r="I928" s="85" t="n"/>
      <c r="J928" s="85" t="n"/>
      <c r="BD928" s="11" t="n"/>
      <c r="BE928" s="11" t="n"/>
      <c r="BF928" s="11" t="n"/>
      <c r="BG928" s="11" t="n"/>
      <c r="BK928" s="11" t="n"/>
      <c r="BL928" s="11" t="n"/>
      <c r="BP928" s="12" t="n"/>
      <c r="BQ928" s="400" t="n"/>
    </row>
    <row r="929">
      <c r="D929" s="11" t="n"/>
      <c r="E929" s="86" t="n"/>
      <c r="F929" s="85" t="n"/>
      <c r="G929" s="85" t="n"/>
      <c r="H929" s="85" t="n"/>
      <c r="I929" s="85" t="n"/>
      <c r="J929" s="85" t="n"/>
      <c r="BD929" s="11" t="n"/>
      <c r="BE929" s="11" t="n"/>
      <c r="BF929" s="11" t="n"/>
      <c r="BG929" s="11" t="n"/>
      <c r="BK929" s="11" t="n"/>
      <c r="BL929" s="11" t="n"/>
      <c r="BP929" s="12" t="n"/>
      <c r="BQ929" s="400" t="n"/>
    </row>
    <row r="930">
      <c r="D930" s="11" t="n"/>
      <c r="E930" s="86" t="n"/>
      <c r="F930" s="85" t="n"/>
      <c r="G930" s="85" t="n"/>
      <c r="H930" s="85" t="n"/>
      <c r="I930" s="85" t="n"/>
      <c r="J930" s="85" t="n"/>
      <c r="BD930" s="11" t="n"/>
      <c r="BE930" s="11" t="n"/>
      <c r="BF930" s="11" t="n"/>
      <c r="BG930" s="11" t="n"/>
      <c r="BK930" s="11" t="n"/>
      <c r="BL930" s="11" t="n"/>
      <c r="BP930" s="12" t="n"/>
      <c r="BQ930" s="400" t="n"/>
    </row>
    <row r="931">
      <c r="D931" s="11" t="n"/>
      <c r="E931" s="86" t="n"/>
      <c r="F931" s="85" t="n"/>
      <c r="G931" s="85" t="n"/>
      <c r="H931" s="85" t="n"/>
      <c r="I931" s="85" t="n"/>
      <c r="J931" s="85" t="n"/>
      <c r="BD931" s="11" t="n"/>
      <c r="BE931" s="11" t="n"/>
      <c r="BF931" s="11" t="n"/>
      <c r="BG931" s="11" t="n"/>
      <c r="BK931" s="11" t="n"/>
      <c r="BL931" s="11" t="n"/>
      <c r="BP931" s="12" t="n"/>
      <c r="BQ931" s="400" t="n"/>
    </row>
    <row r="932">
      <c r="D932" s="11" t="n"/>
      <c r="E932" s="86" t="n"/>
      <c r="F932" s="85" t="n"/>
      <c r="G932" s="85" t="n"/>
      <c r="H932" s="85" t="n"/>
      <c r="I932" s="85" t="n"/>
      <c r="J932" s="85" t="n"/>
      <c r="BD932" s="11" t="n"/>
      <c r="BE932" s="11" t="n"/>
      <c r="BF932" s="11" t="n"/>
      <c r="BG932" s="11" t="n"/>
      <c r="BK932" s="11" t="n"/>
      <c r="BL932" s="11" t="n"/>
      <c r="BP932" s="12" t="n"/>
      <c r="BQ932" s="400" t="n"/>
    </row>
    <row r="933">
      <c r="D933" s="11" t="n"/>
      <c r="E933" s="86" t="n"/>
      <c r="F933" s="85" t="n"/>
      <c r="G933" s="85" t="n"/>
      <c r="H933" s="85" t="n"/>
      <c r="I933" s="85" t="n"/>
      <c r="J933" s="85" t="n"/>
      <c r="BD933" s="11" t="n"/>
      <c r="BE933" s="11" t="n"/>
      <c r="BF933" s="11" t="n"/>
      <c r="BG933" s="11" t="n"/>
      <c r="BK933" s="11" t="n"/>
      <c r="BL933" s="11" t="n"/>
      <c r="BP933" s="12" t="n"/>
      <c r="BQ933" s="400" t="n"/>
    </row>
    <row r="934">
      <c r="D934" s="11" t="n"/>
      <c r="E934" s="86" t="n"/>
      <c r="F934" s="85" t="n"/>
      <c r="G934" s="85" t="n"/>
      <c r="H934" s="85" t="n"/>
      <c r="I934" s="85" t="n"/>
      <c r="J934" s="85" t="n"/>
      <c r="BD934" s="11" t="n"/>
      <c r="BE934" s="11" t="n"/>
      <c r="BF934" s="11" t="n"/>
      <c r="BG934" s="11" t="n"/>
      <c r="BK934" s="11" t="n"/>
      <c r="BL934" s="11" t="n"/>
      <c r="BP934" s="12" t="n"/>
      <c r="BQ934" s="400" t="n"/>
    </row>
    <row r="935">
      <c r="D935" s="11" t="n"/>
      <c r="E935" s="86" t="n"/>
      <c r="F935" s="85" t="n"/>
      <c r="G935" s="85" t="n"/>
      <c r="H935" s="85" t="n"/>
      <c r="I935" s="85" t="n"/>
      <c r="J935" s="85" t="n"/>
      <c r="BD935" s="11" t="n"/>
      <c r="BE935" s="11" t="n"/>
      <c r="BF935" s="11" t="n"/>
      <c r="BG935" s="11" t="n"/>
      <c r="BK935" s="11" t="n"/>
      <c r="BL935" s="11" t="n"/>
      <c r="BP935" s="12" t="n"/>
      <c r="BQ935" s="400" t="n"/>
    </row>
    <row r="936">
      <c r="D936" s="11" t="n"/>
      <c r="E936" s="86" t="n"/>
      <c r="F936" s="85" t="n"/>
      <c r="G936" s="85" t="n"/>
      <c r="H936" s="85" t="n"/>
      <c r="I936" s="85" t="n"/>
      <c r="J936" s="85" t="n"/>
      <c r="BD936" s="11" t="n"/>
      <c r="BE936" s="11" t="n"/>
      <c r="BF936" s="11" t="n"/>
      <c r="BG936" s="11" t="n"/>
      <c r="BK936" s="11" t="n"/>
      <c r="BL936" s="11" t="n"/>
      <c r="BP936" s="12" t="n"/>
      <c r="BQ936" s="400" t="n"/>
    </row>
    <row r="937">
      <c r="D937" s="11" t="n"/>
      <c r="E937" s="86" t="n"/>
      <c r="F937" s="85" t="n"/>
      <c r="G937" s="85" t="n"/>
      <c r="H937" s="85" t="n"/>
      <c r="I937" s="85" t="n"/>
      <c r="J937" s="85" t="n"/>
      <c r="BD937" s="11" t="n"/>
      <c r="BE937" s="11" t="n"/>
      <c r="BF937" s="11" t="n"/>
      <c r="BG937" s="11" t="n"/>
      <c r="BK937" s="11" t="n"/>
      <c r="BL937" s="11" t="n"/>
      <c r="BP937" s="12" t="n"/>
      <c r="BQ937" s="400" t="n"/>
    </row>
    <row r="938">
      <c r="D938" s="11" t="n"/>
      <c r="E938" s="86" t="n"/>
      <c r="F938" s="85" t="n"/>
      <c r="G938" s="85" t="n"/>
      <c r="H938" s="85" t="n"/>
      <c r="I938" s="85" t="n"/>
      <c r="J938" s="85" t="n"/>
      <c r="BD938" s="11" t="n"/>
      <c r="BE938" s="11" t="n"/>
      <c r="BF938" s="11" t="n"/>
      <c r="BG938" s="11" t="n"/>
      <c r="BK938" s="11" t="n"/>
      <c r="BL938" s="11" t="n"/>
      <c r="BP938" s="12" t="n"/>
      <c r="BQ938" s="400" t="n"/>
    </row>
    <row r="939">
      <c r="D939" s="11" t="n"/>
      <c r="E939" s="86" t="n"/>
      <c r="F939" s="85" t="n"/>
      <c r="G939" s="85" t="n"/>
      <c r="H939" s="85" t="n"/>
      <c r="I939" s="85" t="n"/>
      <c r="J939" s="85" t="n"/>
      <c r="BD939" s="11" t="n"/>
      <c r="BE939" s="11" t="n"/>
      <c r="BF939" s="11" t="n"/>
      <c r="BG939" s="11" t="n"/>
      <c r="BK939" s="11" t="n"/>
      <c r="BL939" s="11" t="n"/>
      <c r="BP939" s="12" t="n"/>
      <c r="BQ939" s="400" t="n"/>
    </row>
    <row r="940">
      <c r="D940" s="11" t="n"/>
      <c r="E940" s="86" t="n"/>
      <c r="F940" s="85" t="n"/>
      <c r="G940" s="85" t="n"/>
      <c r="H940" s="85" t="n"/>
      <c r="I940" s="85" t="n"/>
      <c r="J940" s="85" t="n"/>
      <c r="BD940" s="11" t="n"/>
      <c r="BE940" s="11" t="n"/>
      <c r="BF940" s="11" t="n"/>
      <c r="BG940" s="11" t="n"/>
      <c r="BK940" s="11" t="n"/>
      <c r="BL940" s="11" t="n"/>
      <c r="BP940" s="12" t="n"/>
      <c r="BQ940" s="400" t="n"/>
    </row>
    <row r="941">
      <c r="D941" s="11" t="n"/>
      <c r="E941" s="86" t="n"/>
      <c r="F941" s="85" t="n"/>
      <c r="G941" s="85" t="n"/>
      <c r="H941" s="85" t="n"/>
      <c r="I941" s="85" t="n"/>
      <c r="J941" s="85" t="n"/>
      <c r="BD941" s="11" t="n"/>
      <c r="BE941" s="11" t="n"/>
      <c r="BF941" s="11" t="n"/>
      <c r="BG941" s="11" t="n"/>
      <c r="BK941" s="11" t="n"/>
      <c r="BL941" s="11" t="n"/>
      <c r="BP941" s="12" t="n"/>
      <c r="BQ941" s="400" t="n"/>
    </row>
    <row r="942">
      <c r="D942" s="11" t="n"/>
      <c r="E942" s="86" t="n"/>
      <c r="F942" s="85" t="n"/>
      <c r="G942" s="85" t="n"/>
      <c r="H942" s="85" t="n"/>
      <c r="I942" s="85" t="n"/>
      <c r="J942" s="85" t="n"/>
      <c r="BD942" s="11" t="n"/>
      <c r="BE942" s="11" t="n"/>
      <c r="BF942" s="11" t="n"/>
      <c r="BG942" s="11" t="n"/>
      <c r="BK942" s="11" t="n"/>
      <c r="BL942" s="11" t="n"/>
      <c r="BP942" s="12" t="n"/>
      <c r="BQ942" s="400" t="n"/>
    </row>
    <row r="943">
      <c r="D943" s="11" t="n"/>
      <c r="E943" s="86" t="n"/>
      <c r="F943" s="85" t="n"/>
      <c r="G943" s="85" t="n"/>
      <c r="H943" s="85" t="n"/>
      <c r="I943" s="85" t="n"/>
      <c r="J943" s="85" t="n"/>
      <c r="BD943" s="11" t="n"/>
      <c r="BE943" s="11" t="n"/>
      <c r="BF943" s="11" t="n"/>
      <c r="BG943" s="11" t="n"/>
      <c r="BK943" s="11" t="n"/>
      <c r="BL943" s="11" t="n"/>
      <c r="BP943" s="12" t="n"/>
      <c r="BQ943" s="400" t="n"/>
    </row>
    <row r="944">
      <c r="D944" s="11" t="n"/>
      <c r="E944" s="86" t="n"/>
      <c r="F944" s="85" t="n"/>
      <c r="G944" s="85" t="n"/>
      <c r="H944" s="85" t="n"/>
      <c r="I944" s="85" t="n"/>
      <c r="J944" s="85" t="n"/>
      <c r="BD944" s="11" t="n"/>
      <c r="BE944" s="11" t="n"/>
      <c r="BF944" s="11" t="n"/>
      <c r="BG944" s="11" t="n"/>
      <c r="BK944" s="11" t="n"/>
      <c r="BL944" s="11" t="n"/>
      <c r="BP944" s="12" t="n"/>
      <c r="BQ944" s="400" t="n"/>
    </row>
    <row r="945">
      <c r="D945" s="11" t="n"/>
      <c r="E945" s="86" t="n"/>
      <c r="F945" s="85" t="n"/>
      <c r="G945" s="85" t="n"/>
      <c r="H945" s="85" t="n"/>
      <c r="I945" s="85" t="n"/>
      <c r="J945" s="85" t="n"/>
      <c r="BD945" s="11" t="n"/>
      <c r="BE945" s="11" t="n"/>
      <c r="BF945" s="11" t="n"/>
      <c r="BG945" s="11" t="n"/>
      <c r="BK945" s="11" t="n"/>
      <c r="BL945" s="11" t="n"/>
      <c r="BP945" s="12" t="n"/>
      <c r="BQ945" s="400" t="n"/>
    </row>
    <row r="946">
      <c r="D946" s="11" t="n"/>
      <c r="E946" s="86" t="n"/>
      <c r="F946" s="85" t="n"/>
      <c r="G946" s="85" t="n"/>
      <c r="H946" s="85" t="n"/>
      <c r="I946" s="85" t="n"/>
      <c r="J946" s="85" t="n"/>
      <c r="BD946" s="11" t="n"/>
      <c r="BE946" s="11" t="n"/>
      <c r="BF946" s="11" t="n"/>
      <c r="BG946" s="11" t="n"/>
      <c r="BK946" s="11" t="n"/>
      <c r="BL946" s="11" t="n"/>
      <c r="BP946" s="12" t="n"/>
      <c r="BQ946" s="400" t="n"/>
    </row>
    <row r="947">
      <c r="D947" s="11" t="n"/>
      <c r="E947" s="86" t="n"/>
      <c r="F947" s="85" t="n"/>
      <c r="G947" s="85" t="n"/>
      <c r="H947" s="85" t="n"/>
      <c r="I947" s="85" t="n"/>
      <c r="J947" s="85" t="n"/>
      <c r="BD947" s="11" t="n"/>
      <c r="BE947" s="11" t="n"/>
      <c r="BF947" s="11" t="n"/>
      <c r="BG947" s="11" t="n"/>
      <c r="BK947" s="11" t="n"/>
      <c r="BL947" s="11" t="n"/>
      <c r="BP947" s="12" t="n"/>
      <c r="BQ947" s="400" t="n"/>
    </row>
    <row r="948">
      <c r="D948" s="11" t="n"/>
      <c r="E948" s="86" t="n"/>
      <c r="F948" s="85" t="n"/>
      <c r="G948" s="85" t="n"/>
      <c r="H948" s="85" t="n"/>
      <c r="I948" s="85" t="n"/>
      <c r="J948" s="85" t="n"/>
      <c r="BD948" s="11" t="n"/>
      <c r="BE948" s="11" t="n"/>
      <c r="BF948" s="11" t="n"/>
      <c r="BG948" s="11" t="n"/>
      <c r="BK948" s="11" t="n"/>
      <c r="BL948" s="11" t="n"/>
      <c r="BP948" s="12" t="n"/>
      <c r="BQ948" s="400" t="n"/>
    </row>
    <row r="949">
      <c r="D949" s="11" t="n"/>
      <c r="E949" s="86" t="n"/>
      <c r="F949" s="85" t="n"/>
      <c r="G949" s="85" t="n"/>
      <c r="H949" s="85" t="n"/>
      <c r="I949" s="85" t="n"/>
      <c r="J949" s="85" t="n"/>
      <c r="BD949" s="11" t="n"/>
      <c r="BE949" s="11" t="n"/>
      <c r="BF949" s="11" t="n"/>
      <c r="BG949" s="11" t="n"/>
      <c r="BK949" s="11" t="n"/>
      <c r="BL949" s="11" t="n"/>
      <c r="BP949" s="12" t="n"/>
      <c r="BQ949" s="400" t="n"/>
    </row>
    <row r="950">
      <c r="D950" s="11" t="n"/>
      <c r="E950" s="86" t="n"/>
      <c r="F950" s="85" t="n"/>
      <c r="G950" s="85" t="n"/>
      <c r="H950" s="85" t="n"/>
      <c r="I950" s="85" t="n"/>
      <c r="J950" s="85" t="n"/>
      <c r="BD950" s="11" t="n"/>
      <c r="BE950" s="11" t="n"/>
      <c r="BF950" s="11" t="n"/>
      <c r="BG950" s="11" t="n"/>
      <c r="BK950" s="11" t="n"/>
      <c r="BL950" s="11" t="n"/>
      <c r="BP950" s="12" t="n"/>
      <c r="BQ950" s="400" t="n"/>
    </row>
    <row r="951">
      <c r="D951" s="11" t="n"/>
      <c r="E951" s="86" t="n"/>
      <c r="F951" s="85" t="n"/>
      <c r="G951" s="85" t="n"/>
      <c r="H951" s="85" t="n"/>
      <c r="I951" s="85" t="n"/>
      <c r="J951" s="85" t="n"/>
      <c r="BD951" s="11" t="n"/>
      <c r="BE951" s="11" t="n"/>
      <c r="BF951" s="11" t="n"/>
      <c r="BG951" s="11" t="n"/>
      <c r="BK951" s="11" t="n"/>
      <c r="BL951" s="11" t="n"/>
      <c r="BP951" s="12" t="n"/>
      <c r="BQ951" s="400" t="n"/>
    </row>
    <row r="952">
      <c r="D952" s="11" t="n"/>
      <c r="E952" s="86" t="n"/>
      <c r="F952" s="85" t="n"/>
      <c r="G952" s="85" t="n"/>
      <c r="H952" s="85" t="n"/>
      <c r="I952" s="85" t="n"/>
      <c r="J952" s="85" t="n"/>
      <c r="BD952" s="11" t="n"/>
      <c r="BE952" s="11" t="n"/>
      <c r="BF952" s="11" t="n"/>
      <c r="BG952" s="11" t="n"/>
      <c r="BK952" s="11" t="n"/>
      <c r="BL952" s="11" t="n"/>
      <c r="BP952" s="12" t="n"/>
      <c r="BQ952" s="400" t="n"/>
    </row>
    <row r="953">
      <c r="D953" s="11" t="n"/>
      <c r="E953" s="86" t="n"/>
      <c r="F953" s="85" t="n"/>
      <c r="G953" s="85" t="n"/>
      <c r="H953" s="85" t="n"/>
      <c r="I953" s="85" t="n"/>
      <c r="J953" s="85" t="n"/>
      <c r="BD953" s="11" t="n"/>
      <c r="BE953" s="11" t="n"/>
      <c r="BF953" s="11" t="n"/>
      <c r="BG953" s="11" t="n"/>
      <c r="BK953" s="11" t="n"/>
      <c r="BL953" s="11" t="n"/>
      <c r="BP953" s="12" t="n"/>
      <c r="BQ953" s="400" t="n"/>
    </row>
    <row r="954">
      <c r="D954" s="11" t="n"/>
      <c r="E954" s="86" t="n"/>
      <c r="F954" s="85" t="n"/>
      <c r="G954" s="85" t="n"/>
      <c r="H954" s="85" t="n"/>
      <c r="I954" s="85" t="n"/>
      <c r="J954" s="85" t="n"/>
      <c r="BD954" s="11" t="n"/>
      <c r="BE954" s="11" t="n"/>
      <c r="BF954" s="11" t="n"/>
      <c r="BG954" s="11" t="n"/>
      <c r="BK954" s="11" t="n"/>
      <c r="BL954" s="11" t="n"/>
      <c r="BP954" s="12" t="n"/>
      <c r="BQ954" s="400" t="n"/>
    </row>
    <row r="955">
      <c r="D955" s="11" t="n"/>
      <c r="E955" s="86" t="n"/>
      <c r="F955" s="85" t="n"/>
      <c r="G955" s="85" t="n"/>
      <c r="H955" s="85" t="n"/>
      <c r="I955" s="85" t="n"/>
      <c r="J955" s="85" t="n"/>
      <c r="BD955" s="11" t="n"/>
      <c r="BE955" s="11" t="n"/>
      <c r="BF955" s="11" t="n"/>
      <c r="BG955" s="11" t="n"/>
      <c r="BK955" s="11" t="n"/>
      <c r="BL955" s="11" t="n"/>
      <c r="BP955" s="12" t="n"/>
      <c r="BQ955" s="400" t="n"/>
    </row>
    <row r="956">
      <c r="D956" s="11" t="n"/>
      <c r="E956" s="86" t="n"/>
      <c r="F956" s="85" t="n"/>
      <c r="G956" s="85" t="n"/>
      <c r="H956" s="85" t="n"/>
      <c r="I956" s="85" t="n"/>
      <c r="J956" s="85" t="n"/>
      <c r="BD956" s="11" t="n"/>
      <c r="BE956" s="11" t="n"/>
      <c r="BF956" s="11" t="n"/>
      <c r="BG956" s="11" t="n"/>
      <c r="BK956" s="11" t="n"/>
      <c r="BL956" s="11" t="n"/>
      <c r="BP956" s="12" t="n"/>
      <c r="BQ956" s="400" t="n"/>
    </row>
    <row r="957">
      <c r="D957" s="11" t="n"/>
      <c r="E957" s="86" t="n"/>
      <c r="F957" s="85" t="n"/>
      <c r="G957" s="85" t="n"/>
      <c r="H957" s="85" t="n"/>
      <c r="I957" s="85" t="n"/>
      <c r="J957" s="85" t="n"/>
      <c r="BD957" s="11" t="n"/>
      <c r="BE957" s="11" t="n"/>
      <c r="BF957" s="11" t="n"/>
      <c r="BG957" s="11" t="n"/>
      <c r="BK957" s="11" t="n"/>
      <c r="BL957" s="11" t="n"/>
      <c r="BP957" s="12" t="n"/>
      <c r="BQ957" s="400" t="n"/>
    </row>
    <row r="958">
      <c r="D958" s="11" t="n"/>
      <c r="E958" s="86" t="n"/>
      <c r="F958" s="85" t="n"/>
      <c r="G958" s="85" t="n"/>
      <c r="H958" s="85" t="n"/>
      <c r="I958" s="85" t="n"/>
      <c r="J958" s="85" t="n"/>
      <c r="BD958" s="11" t="n"/>
      <c r="BE958" s="11" t="n"/>
      <c r="BF958" s="11" t="n"/>
      <c r="BG958" s="11" t="n"/>
      <c r="BK958" s="11" t="n"/>
      <c r="BL958" s="11" t="n"/>
      <c r="BP958" s="12" t="n"/>
      <c r="BQ958" s="400" t="n"/>
    </row>
    <row r="959">
      <c r="D959" s="11" t="n"/>
      <c r="E959" s="86" t="n"/>
      <c r="F959" s="85" t="n"/>
      <c r="G959" s="85" t="n"/>
      <c r="H959" s="85" t="n"/>
      <c r="I959" s="85" t="n"/>
      <c r="J959" s="85" t="n"/>
      <c r="BD959" s="11" t="n"/>
      <c r="BE959" s="11" t="n"/>
      <c r="BF959" s="11" t="n"/>
      <c r="BG959" s="11" t="n"/>
      <c r="BK959" s="11" t="n"/>
      <c r="BL959" s="11" t="n"/>
      <c r="BP959" s="12" t="n"/>
      <c r="BQ959" s="400" t="n"/>
    </row>
    <row r="960">
      <c r="D960" s="11" t="n"/>
      <c r="E960" s="86" t="n"/>
      <c r="F960" s="85" t="n"/>
      <c r="G960" s="85" t="n"/>
      <c r="H960" s="85" t="n"/>
      <c r="I960" s="85" t="n"/>
      <c r="J960" s="85" t="n"/>
      <c r="BD960" s="11" t="n"/>
      <c r="BE960" s="11" t="n"/>
      <c r="BF960" s="11" t="n"/>
      <c r="BG960" s="11" t="n"/>
      <c r="BK960" s="11" t="n"/>
      <c r="BL960" s="11" t="n"/>
      <c r="BP960" s="12" t="n"/>
      <c r="BQ960" s="400" t="n"/>
    </row>
    <row r="961">
      <c r="D961" s="11" t="n"/>
      <c r="E961" s="86" t="n"/>
      <c r="F961" s="85" t="n"/>
      <c r="G961" s="85" t="n"/>
      <c r="H961" s="85" t="n"/>
      <c r="I961" s="85" t="n"/>
      <c r="J961" s="85" t="n"/>
      <c r="BD961" s="11" t="n"/>
      <c r="BE961" s="11" t="n"/>
      <c r="BF961" s="11" t="n"/>
      <c r="BG961" s="11" t="n"/>
      <c r="BK961" s="11" t="n"/>
      <c r="BL961" s="11" t="n"/>
      <c r="BP961" s="12" t="n"/>
      <c r="BQ961" s="400" t="n"/>
    </row>
    <row r="962">
      <c r="D962" s="11" t="n"/>
      <c r="E962" s="86" t="n"/>
      <c r="F962" s="85" t="n"/>
      <c r="G962" s="85" t="n"/>
      <c r="H962" s="85" t="n"/>
      <c r="I962" s="85" t="n"/>
      <c r="J962" s="85" t="n"/>
      <c r="BD962" s="11" t="n"/>
      <c r="BE962" s="11" t="n"/>
      <c r="BF962" s="11" t="n"/>
      <c r="BG962" s="11" t="n"/>
      <c r="BK962" s="11" t="n"/>
      <c r="BL962" s="11" t="n"/>
      <c r="BP962" s="12" t="n"/>
      <c r="BQ962" s="400" t="n"/>
    </row>
    <row r="963">
      <c r="D963" s="11" t="n"/>
      <c r="E963" s="86" t="n"/>
      <c r="F963" s="85" t="n"/>
      <c r="G963" s="85" t="n"/>
      <c r="H963" s="85" t="n"/>
      <c r="I963" s="85" t="n"/>
      <c r="J963" s="85" t="n"/>
      <c r="BD963" s="11" t="n"/>
      <c r="BE963" s="11" t="n"/>
      <c r="BF963" s="11" t="n"/>
      <c r="BG963" s="11" t="n"/>
      <c r="BK963" s="11" t="n"/>
      <c r="BL963" s="11" t="n"/>
      <c r="BP963" s="12" t="n"/>
      <c r="BQ963" s="400" t="n"/>
    </row>
    <row r="964">
      <c r="D964" s="11" t="n"/>
      <c r="E964" s="86" t="n"/>
      <c r="F964" s="85" t="n"/>
      <c r="G964" s="85" t="n"/>
      <c r="H964" s="85" t="n"/>
      <c r="I964" s="85" t="n"/>
      <c r="J964" s="85" t="n"/>
      <c r="BD964" s="11" t="n"/>
      <c r="BE964" s="11" t="n"/>
      <c r="BF964" s="11" t="n"/>
      <c r="BG964" s="11" t="n"/>
      <c r="BK964" s="11" t="n"/>
      <c r="BL964" s="11" t="n"/>
      <c r="BP964" s="12" t="n"/>
      <c r="BQ964" s="400" t="n"/>
    </row>
    <row r="965">
      <c r="D965" s="11" t="n"/>
      <c r="E965" s="86" t="n"/>
      <c r="F965" s="85" t="n"/>
      <c r="G965" s="85" t="n"/>
      <c r="H965" s="85" t="n"/>
      <c r="I965" s="85" t="n"/>
      <c r="J965" s="85" t="n"/>
      <c r="BD965" s="11" t="n"/>
      <c r="BE965" s="11" t="n"/>
      <c r="BF965" s="11" t="n"/>
      <c r="BG965" s="11" t="n"/>
      <c r="BK965" s="11" t="n"/>
      <c r="BL965" s="11" t="n"/>
      <c r="BP965" s="12" t="n"/>
      <c r="BQ965" s="400" t="n"/>
    </row>
    <row r="966">
      <c r="D966" s="11" t="n"/>
      <c r="E966" s="86" t="n"/>
      <c r="F966" s="85" t="n"/>
      <c r="G966" s="85" t="n"/>
      <c r="H966" s="85" t="n"/>
      <c r="I966" s="85" t="n"/>
      <c r="J966" s="85" t="n"/>
      <c r="BD966" s="11" t="n"/>
      <c r="BE966" s="11" t="n"/>
      <c r="BF966" s="11" t="n"/>
      <c r="BG966" s="11" t="n"/>
      <c r="BK966" s="11" t="n"/>
      <c r="BL966" s="11" t="n"/>
      <c r="BP966" s="12" t="n"/>
      <c r="BQ966" s="400" t="n"/>
    </row>
    <row r="967">
      <c r="D967" s="11" t="n"/>
      <c r="E967" s="86" t="n"/>
      <c r="F967" s="85" t="n"/>
      <c r="G967" s="85" t="n"/>
      <c r="H967" s="85" t="n"/>
      <c r="I967" s="85" t="n"/>
      <c r="J967" s="85" t="n"/>
      <c r="BD967" s="11" t="n"/>
      <c r="BE967" s="11" t="n"/>
      <c r="BF967" s="11" t="n"/>
      <c r="BG967" s="11" t="n"/>
      <c r="BK967" s="11" t="n"/>
      <c r="BL967" s="11" t="n"/>
      <c r="BP967" s="12" t="n"/>
      <c r="BQ967" s="400" t="n"/>
    </row>
    <row r="968">
      <c r="D968" s="11" t="n"/>
      <c r="E968" s="86" t="n"/>
      <c r="F968" s="85" t="n"/>
      <c r="G968" s="85" t="n"/>
      <c r="H968" s="85" t="n"/>
      <c r="I968" s="85" t="n"/>
      <c r="J968" s="85" t="n"/>
      <c r="BD968" s="11" t="n"/>
      <c r="BE968" s="11" t="n"/>
      <c r="BF968" s="11" t="n"/>
      <c r="BG968" s="11" t="n"/>
      <c r="BK968" s="11" t="n"/>
      <c r="BL968" s="11" t="n"/>
      <c r="BP968" s="12" t="n"/>
      <c r="BQ968" s="400" t="n"/>
    </row>
    <row r="969">
      <c r="D969" s="11" t="n"/>
      <c r="E969" s="86" t="n"/>
      <c r="F969" s="85" t="n"/>
      <c r="G969" s="85" t="n"/>
      <c r="H969" s="85" t="n"/>
      <c r="I969" s="85" t="n"/>
      <c r="J969" s="85" t="n"/>
      <c r="BD969" s="11" t="n"/>
      <c r="BE969" s="11" t="n"/>
      <c r="BF969" s="11" t="n"/>
      <c r="BG969" s="11" t="n"/>
      <c r="BK969" s="11" t="n"/>
      <c r="BL969" s="11" t="n"/>
      <c r="BP969" s="12" t="n"/>
      <c r="BQ969" s="400" t="n"/>
    </row>
    <row r="970">
      <c r="D970" s="11" t="n"/>
      <c r="E970" s="86" t="n"/>
      <c r="F970" s="85" t="n"/>
      <c r="G970" s="85" t="n"/>
      <c r="H970" s="85" t="n"/>
      <c r="I970" s="85" t="n"/>
      <c r="J970" s="85" t="n"/>
      <c r="BD970" s="11" t="n"/>
      <c r="BE970" s="11" t="n"/>
      <c r="BF970" s="11" t="n"/>
      <c r="BG970" s="11" t="n"/>
      <c r="BK970" s="11" t="n"/>
      <c r="BL970" s="11" t="n"/>
      <c r="BP970" s="12" t="n"/>
      <c r="BQ970" s="400" t="n"/>
    </row>
    <row r="971">
      <c r="D971" s="11" t="n"/>
      <c r="E971" s="86" t="n"/>
      <c r="F971" s="85" t="n"/>
      <c r="G971" s="85" t="n"/>
      <c r="H971" s="85" t="n"/>
      <c r="I971" s="85" t="n"/>
      <c r="J971" s="85" t="n"/>
      <c r="BD971" s="11" t="n"/>
      <c r="BE971" s="11" t="n"/>
      <c r="BF971" s="11" t="n"/>
      <c r="BG971" s="11" t="n"/>
      <c r="BK971" s="11" t="n"/>
      <c r="BL971" s="11" t="n"/>
      <c r="BP971" s="12" t="n"/>
      <c r="BQ971" s="400" t="n"/>
    </row>
    <row r="972">
      <c r="D972" s="11" t="n"/>
      <c r="E972" s="86" t="n"/>
      <c r="F972" s="85" t="n"/>
      <c r="G972" s="85" t="n"/>
      <c r="H972" s="85" t="n"/>
      <c r="I972" s="85" t="n"/>
      <c r="J972" s="85" t="n"/>
      <c r="BD972" s="11" t="n"/>
      <c r="BE972" s="11" t="n"/>
      <c r="BF972" s="11" t="n"/>
      <c r="BG972" s="11" t="n"/>
      <c r="BK972" s="11" t="n"/>
      <c r="BL972" s="11" t="n"/>
      <c r="BP972" s="12" t="n"/>
      <c r="BQ972" s="400" t="n"/>
    </row>
    <row r="973">
      <c r="D973" s="11" t="n"/>
      <c r="E973" s="86" t="n"/>
      <c r="F973" s="85" t="n"/>
      <c r="G973" s="85" t="n"/>
      <c r="H973" s="85" t="n"/>
      <c r="I973" s="85" t="n"/>
      <c r="J973" s="85" t="n"/>
      <c r="BD973" s="11" t="n"/>
      <c r="BE973" s="11" t="n"/>
      <c r="BF973" s="11" t="n"/>
      <c r="BG973" s="11" t="n"/>
      <c r="BK973" s="11" t="n"/>
      <c r="BL973" s="11" t="n"/>
      <c r="BP973" s="12" t="n"/>
      <c r="BQ973" s="400" t="n"/>
    </row>
    <row r="974">
      <c r="D974" s="11" t="n"/>
      <c r="E974" s="86" t="n"/>
      <c r="F974" s="85" t="n"/>
      <c r="G974" s="85" t="n"/>
      <c r="H974" s="85" t="n"/>
      <c r="I974" s="85" t="n"/>
      <c r="J974" s="85" t="n"/>
      <c r="BD974" s="11" t="n"/>
      <c r="BE974" s="11" t="n"/>
      <c r="BF974" s="11" t="n"/>
      <c r="BG974" s="11" t="n"/>
      <c r="BK974" s="11" t="n"/>
      <c r="BL974" s="11" t="n"/>
      <c r="BP974" s="12" t="n"/>
      <c r="BQ974" s="400" t="n"/>
    </row>
    <row r="975">
      <c r="D975" s="11" t="n"/>
      <c r="E975" s="86" t="n"/>
      <c r="F975" s="85" t="n"/>
      <c r="G975" s="85" t="n"/>
      <c r="H975" s="85" t="n"/>
      <c r="I975" s="85" t="n"/>
      <c r="J975" s="85" t="n"/>
      <c r="BD975" s="11" t="n"/>
      <c r="BE975" s="11" t="n"/>
      <c r="BF975" s="11" t="n"/>
      <c r="BG975" s="11" t="n"/>
      <c r="BK975" s="11" t="n"/>
      <c r="BL975" s="11" t="n"/>
      <c r="BP975" s="12" t="n"/>
      <c r="BQ975" s="400" t="n"/>
    </row>
    <row r="976">
      <c r="D976" s="11" t="n"/>
      <c r="E976" s="86" t="n"/>
      <c r="F976" s="85" t="n"/>
      <c r="G976" s="85" t="n"/>
      <c r="H976" s="85" t="n"/>
      <c r="I976" s="85" t="n"/>
      <c r="J976" s="85" t="n"/>
      <c r="BD976" s="11" t="n"/>
      <c r="BE976" s="11" t="n"/>
      <c r="BF976" s="11" t="n"/>
      <c r="BG976" s="11" t="n"/>
      <c r="BK976" s="11" t="n"/>
      <c r="BL976" s="11" t="n"/>
      <c r="BP976" s="12" t="n"/>
      <c r="BQ976" s="400" t="n"/>
    </row>
    <row r="977">
      <c r="D977" s="11" t="n"/>
      <c r="E977" s="86" t="n"/>
      <c r="F977" s="85" t="n"/>
      <c r="G977" s="85" t="n"/>
      <c r="H977" s="85" t="n"/>
      <c r="I977" s="85" t="n"/>
      <c r="J977" s="85" t="n"/>
      <c r="BD977" s="11" t="n"/>
      <c r="BE977" s="11" t="n"/>
      <c r="BF977" s="11" t="n"/>
      <c r="BG977" s="11" t="n"/>
      <c r="BK977" s="11" t="n"/>
      <c r="BL977" s="11" t="n"/>
      <c r="BP977" s="12" t="n"/>
      <c r="BQ977" s="400" t="n"/>
    </row>
    <row r="978">
      <c r="D978" s="11" t="n"/>
      <c r="E978" s="86" t="n"/>
      <c r="F978" s="85" t="n"/>
      <c r="G978" s="85" t="n"/>
      <c r="H978" s="85" t="n"/>
      <c r="I978" s="85" t="n"/>
      <c r="J978" s="85" t="n"/>
      <c r="BD978" s="11" t="n"/>
      <c r="BE978" s="11" t="n"/>
      <c r="BF978" s="11" t="n"/>
      <c r="BG978" s="11" t="n"/>
      <c r="BK978" s="11" t="n"/>
      <c r="BL978" s="11" t="n"/>
      <c r="BP978" s="12" t="n"/>
      <c r="BQ978" s="400" t="n"/>
    </row>
    <row r="979">
      <c r="D979" s="11" t="n"/>
      <c r="E979" s="86" t="n"/>
      <c r="F979" s="85" t="n"/>
      <c r="G979" s="85" t="n"/>
      <c r="H979" s="85" t="n"/>
      <c r="I979" s="85" t="n"/>
      <c r="J979" s="85" t="n"/>
      <c r="BD979" s="11" t="n"/>
      <c r="BE979" s="11" t="n"/>
      <c r="BF979" s="11" t="n"/>
      <c r="BG979" s="11" t="n"/>
      <c r="BK979" s="11" t="n"/>
      <c r="BL979" s="11" t="n"/>
      <c r="BP979" s="12" t="n"/>
      <c r="BQ979" s="400" t="n"/>
    </row>
    <row r="980">
      <c r="D980" s="11" t="n"/>
      <c r="E980" s="86" t="n"/>
      <c r="F980" s="85" t="n"/>
      <c r="G980" s="85" t="n"/>
      <c r="H980" s="85" t="n"/>
      <c r="I980" s="85" t="n"/>
      <c r="J980" s="85" t="n"/>
      <c r="BD980" s="11" t="n"/>
      <c r="BE980" s="11" t="n"/>
      <c r="BF980" s="11" t="n"/>
      <c r="BG980" s="11" t="n"/>
      <c r="BK980" s="11" t="n"/>
      <c r="BL980" s="11" t="n"/>
      <c r="BP980" s="12" t="n"/>
      <c r="BQ980" s="400" t="n"/>
    </row>
    <row r="981">
      <c r="D981" s="11" t="n"/>
      <c r="E981" s="86" t="n"/>
      <c r="F981" s="85" t="n"/>
      <c r="G981" s="85" t="n"/>
      <c r="H981" s="85" t="n"/>
      <c r="I981" s="85" t="n"/>
      <c r="J981" s="85" t="n"/>
      <c r="BD981" s="11" t="n"/>
      <c r="BE981" s="11" t="n"/>
      <c r="BF981" s="11" t="n"/>
      <c r="BG981" s="11" t="n"/>
      <c r="BK981" s="11" t="n"/>
      <c r="BL981" s="11" t="n"/>
      <c r="BP981" s="12" t="n"/>
      <c r="BQ981" s="400" t="n"/>
    </row>
    <row r="982">
      <c r="D982" s="11" t="n"/>
      <c r="E982" s="86" t="n"/>
      <c r="F982" s="85" t="n"/>
      <c r="G982" s="85" t="n"/>
      <c r="H982" s="85" t="n"/>
      <c r="I982" s="85" t="n"/>
      <c r="J982" s="85" t="n"/>
      <c r="BD982" s="11" t="n"/>
      <c r="BE982" s="11" t="n"/>
      <c r="BF982" s="11" t="n"/>
      <c r="BG982" s="11" t="n"/>
      <c r="BK982" s="11" t="n"/>
      <c r="BL982" s="11" t="n"/>
      <c r="BP982" s="12" t="n"/>
      <c r="BQ982" s="400" t="n"/>
    </row>
    <row r="983">
      <c r="D983" s="11" t="n"/>
      <c r="E983" s="86" t="n"/>
      <c r="F983" s="85" t="n"/>
      <c r="G983" s="85" t="n"/>
      <c r="H983" s="85" t="n"/>
      <c r="I983" s="85" t="n"/>
      <c r="J983" s="85" t="n"/>
      <c r="BD983" s="11" t="n"/>
      <c r="BE983" s="11" t="n"/>
      <c r="BF983" s="11" t="n"/>
      <c r="BG983" s="11" t="n"/>
      <c r="BK983" s="11" t="n"/>
      <c r="BL983" s="11" t="n"/>
      <c r="BP983" s="12" t="n"/>
      <c r="BQ983" s="400" t="n"/>
    </row>
    <row r="984">
      <c r="D984" s="11" t="n"/>
      <c r="E984" s="86" t="n"/>
      <c r="F984" s="85" t="n"/>
      <c r="G984" s="85" t="n"/>
      <c r="H984" s="85" t="n"/>
      <c r="I984" s="85" t="n"/>
      <c r="J984" s="85" t="n"/>
      <c r="BD984" s="11" t="n"/>
      <c r="BE984" s="11" t="n"/>
      <c r="BF984" s="11" t="n"/>
      <c r="BG984" s="11" t="n"/>
      <c r="BK984" s="11" t="n"/>
      <c r="BL984" s="11" t="n"/>
      <c r="BP984" s="12" t="n"/>
      <c r="BQ984" s="400" t="n"/>
    </row>
    <row r="985">
      <c r="D985" s="11" t="n"/>
      <c r="E985" s="86" t="n"/>
      <c r="F985" s="85" t="n"/>
      <c r="G985" s="85" t="n"/>
      <c r="H985" s="85" t="n"/>
      <c r="I985" s="85" t="n"/>
      <c r="J985" s="85" t="n"/>
      <c r="BD985" s="11" t="n"/>
      <c r="BE985" s="11" t="n"/>
      <c r="BF985" s="11" t="n"/>
      <c r="BG985" s="11" t="n"/>
      <c r="BK985" s="11" t="n"/>
      <c r="BL985" s="11" t="n"/>
      <c r="BP985" s="12" t="n"/>
      <c r="BQ985" s="400" t="n"/>
    </row>
    <row r="986">
      <c r="D986" s="11" t="n"/>
      <c r="E986" s="86" t="n"/>
      <c r="F986" s="85" t="n"/>
      <c r="G986" s="85" t="n"/>
      <c r="H986" s="85" t="n"/>
      <c r="I986" s="85" t="n"/>
      <c r="J986" s="85" t="n"/>
      <c r="BD986" s="11" t="n"/>
      <c r="BE986" s="11" t="n"/>
      <c r="BF986" s="11" t="n"/>
      <c r="BG986" s="11" t="n"/>
      <c r="BK986" s="11" t="n"/>
      <c r="BL986" s="11" t="n"/>
      <c r="BP986" s="12" t="n"/>
      <c r="BQ986" s="400" t="n"/>
    </row>
    <row r="987">
      <c r="D987" s="11" t="n"/>
      <c r="E987" s="86" t="n"/>
      <c r="F987" s="85" t="n"/>
      <c r="G987" s="85" t="n"/>
      <c r="H987" s="85" t="n"/>
      <c r="I987" s="85" t="n"/>
      <c r="J987" s="85" t="n"/>
      <c r="BD987" s="11" t="n"/>
      <c r="BE987" s="11" t="n"/>
      <c r="BF987" s="11" t="n"/>
      <c r="BG987" s="11" t="n"/>
      <c r="BK987" s="11" t="n"/>
      <c r="BL987" s="11" t="n"/>
      <c r="BP987" s="12" t="n"/>
      <c r="BQ987" s="400" t="n"/>
    </row>
    <row r="988">
      <c r="D988" s="11" t="n"/>
      <c r="E988" s="86" t="n"/>
      <c r="F988" s="85" t="n"/>
      <c r="G988" s="85" t="n"/>
      <c r="H988" s="85" t="n"/>
      <c r="I988" s="85" t="n"/>
      <c r="J988" s="85" t="n"/>
      <c r="BD988" s="11" t="n"/>
      <c r="BE988" s="11" t="n"/>
      <c r="BF988" s="11" t="n"/>
      <c r="BG988" s="11" t="n"/>
      <c r="BK988" s="11" t="n"/>
      <c r="BL988" s="11" t="n"/>
      <c r="BP988" s="12" t="n"/>
      <c r="BQ988" s="400" t="n"/>
    </row>
    <row r="989">
      <c r="D989" s="11" t="n"/>
      <c r="E989" s="86" t="n"/>
      <c r="F989" s="85" t="n"/>
      <c r="G989" s="85" t="n"/>
      <c r="H989" s="85" t="n"/>
      <c r="I989" s="85" t="n"/>
      <c r="J989" s="85" t="n"/>
      <c r="BD989" s="11" t="n"/>
      <c r="BE989" s="11" t="n"/>
      <c r="BF989" s="11" t="n"/>
      <c r="BG989" s="11" t="n"/>
      <c r="BK989" s="11" t="n"/>
      <c r="BL989" s="11" t="n"/>
      <c r="BP989" s="12" t="n"/>
      <c r="BQ989" s="400" t="n"/>
    </row>
    <row r="990">
      <c r="D990" s="11" t="n"/>
      <c r="E990" s="86" t="n"/>
      <c r="F990" s="85" t="n"/>
      <c r="G990" s="85" t="n"/>
      <c r="H990" s="85" t="n"/>
      <c r="I990" s="85" t="n"/>
      <c r="J990" s="85" t="n"/>
      <c r="BD990" s="11" t="n"/>
      <c r="BE990" s="11" t="n"/>
      <c r="BF990" s="11" t="n"/>
      <c r="BG990" s="11" t="n"/>
      <c r="BK990" s="11" t="n"/>
      <c r="BL990" s="11" t="n"/>
      <c r="BP990" s="12" t="n"/>
      <c r="BQ990" s="400" t="n"/>
    </row>
    <row r="991">
      <c r="D991" s="11" t="n"/>
      <c r="E991" s="86" t="n"/>
      <c r="F991" s="85" t="n"/>
      <c r="G991" s="85" t="n"/>
      <c r="H991" s="85" t="n"/>
      <c r="I991" s="85" t="n"/>
      <c r="J991" s="85" t="n"/>
      <c r="BD991" s="11" t="n"/>
      <c r="BE991" s="11" t="n"/>
      <c r="BF991" s="11" t="n"/>
      <c r="BG991" s="11" t="n"/>
      <c r="BK991" s="11" t="n"/>
      <c r="BL991" s="11" t="n"/>
      <c r="BP991" s="12" t="n"/>
      <c r="BQ991" s="400" t="n"/>
    </row>
    <row r="992">
      <c r="D992" s="11" t="n"/>
      <c r="E992" s="86" t="n"/>
      <c r="F992" s="85" t="n"/>
      <c r="G992" s="85" t="n"/>
      <c r="H992" s="85" t="n"/>
      <c r="I992" s="85" t="n"/>
      <c r="J992" s="85" t="n"/>
      <c r="BD992" s="11" t="n"/>
      <c r="BE992" s="11" t="n"/>
      <c r="BF992" s="11" t="n"/>
      <c r="BG992" s="11" t="n"/>
      <c r="BK992" s="11" t="n"/>
      <c r="BL992" s="11" t="n"/>
      <c r="BP992" s="12" t="n"/>
      <c r="BQ992" s="400" t="n"/>
    </row>
    <row r="993">
      <c r="D993" s="11" t="n"/>
      <c r="E993" s="86" t="n"/>
      <c r="F993" s="85" t="n"/>
      <c r="G993" s="85" t="n"/>
      <c r="H993" s="85" t="n"/>
      <c r="I993" s="85" t="n"/>
      <c r="J993" s="85" t="n"/>
      <c r="BD993" s="11" t="n"/>
      <c r="BE993" s="11" t="n"/>
      <c r="BF993" s="11" t="n"/>
      <c r="BG993" s="11" t="n"/>
      <c r="BK993" s="11" t="n"/>
      <c r="BL993" s="11" t="n"/>
      <c r="BP993" s="12" t="n"/>
      <c r="BQ993" s="400" t="n"/>
    </row>
    <row r="994">
      <c r="D994" s="11" t="n"/>
      <c r="E994" s="86" t="n"/>
      <c r="F994" s="85" t="n"/>
      <c r="G994" s="85" t="n"/>
      <c r="H994" s="85" t="n"/>
      <c r="I994" s="85" t="n"/>
      <c r="J994" s="85" t="n"/>
      <c r="BD994" s="11" t="n"/>
      <c r="BE994" s="11" t="n"/>
      <c r="BF994" s="11" t="n"/>
      <c r="BG994" s="11" t="n"/>
      <c r="BK994" s="11" t="n"/>
      <c r="BL994" s="11" t="n"/>
      <c r="BP994" s="12" t="n"/>
      <c r="BQ994" s="400" t="n"/>
    </row>
    <row r="995">
      <c r="D995" s="11" t="n"/>
      <c r="E995" s="86" t="n"/>
      <c r="F995" s="85" t="n"/>
      <c r="G995" s="85" t="n"/>
      <c r="H995" s="85" t="n"/>
      <c r="I995" s="85" t="n"/>
      <c r="J995" s="85" t="n"/>
      <c r="BD995" s="11" t="n"/>
      <c r="BE995" s="11" t="n"/>
      <c r="BF995" s="11" t="n"/>
      <c r="BG995" s="11" t="n"/>
      <c r="BK995" s="11" t="n"/>
      <c r="BL995" s="11" t="n"/>
      <c r="BP995" s="12" t="n"/>
      <c r="BQ995" s="400" t="n"/>
    </row>
    <row r="996">
      <c r="D996" s="11" t="n"/>
      <c r="E996" s="86" t="n"/>
      <c r="F996" s="85" t="n"/>
      <c r="G996" s="85" t="n"/>
      <c r="H996" s="85" t="n"/>
      <c r="I996" s="85" t="n"/>
      <c r="J996" s="85" t="n"/>
      <c r="BD996" s="11" t="n"/>
      <c r="BE996" s="11" t="n"/>
      <c r="BF996" s="11" t="n"/>
      <c r="BG996" s="11" t="n"/>
      <c r="BK996" s="11" t="n"/>
      <c r="BL996" s="11" t="n"/>
      <c r="BP996" s="12" t="n"/>
      <c r="BQ996" s="400" t="n"/>
    </row>
    <row r="997">
      <c r="D997" s="11" t="n"/>
      <c r="E997" s="86" t="n"/>
      <c r="F997" s="85" t="n"/>
      <c r="G997" s="85" t="n"/>
      <c r="H997" s="85" t="n"/>
      <c r="I997" s="85" t="n"/>
      <c r="J997" s="85" t="n"/>
      <c r="BD997" s="11" t="n"/>
      <c r="BE997" s="11" t="n"/>
      <c r="BF997" s="11" t="n"/>
      <c r="BG997" s="11" t="n"/>
      <c r="BK997" s="11" t="n"/>
      <c r="BL997" s="11" t="n"/>
      <c r="BP997" s="12" t="n"/>
      <c r="BQ997" s="400" t="n"/>
    </row>
    <row r="998">
      <c r="D998" s="11" t="n"/>
      <c r="E998" s="86" t="n"/>
      <c r="F998" s="85" t="n"/>
      <c r="G998" s="85" t="n"/>
      <c r="H998" s="85" t="n"/>
      <c r="I998" s="85" t="n"/>
      <c r="J998" s="85" t="n"/>
      <c r="BD998" s="11" t="n"/>
      <c r="BE998" s="11" t="n"/>
      <c r="BF998" s="11" t="n"/>
      <c r="BG998" s="11" t="n"/>
      <c r="BK998" s="11" t="n"/>
      <c r="BL998" s="11" t="n"/>
      <c r="BP998" s="12" t="n"/>
      <c r="BQ998" s="400" t="n"/>
    </row>
    <row r="999">
      <c r="D999" s="11" t="n"/>
      <c r="E999" s="86" t="n"/>
      <c r="F999" s="85" t="n"/>
      <c r="G999" s="85" t="n"/>
      <c r="H999" s="85" t="n"/>
      <c r="I999" s="85" t="n"/>
      <c r="J999" s="85" t="n"/>
      <c r="BD999" s="11" t="n"/>
      <c r="BE999" s="11" t="n"/>
      <c r="BF999" s="11" t="n"/>
      <c r="BG999" s="11" t="n"/>
      <c r="BK999" s="11" t="n"/>
      <c r="BL999" s="11" t="n"/>
      <c r="BP999" s="12" t="n"/>
      <c r="BQ999" s="400" t="n"/>
    </row>
    <row r="1000">
      <c r="D1000" s="11" t="n"/>
      <c r="E1000" s="86" t="n"/>
      <c r="F1000" s="85" t="n"/>
      <c r="G1000" s="85" t="n"/>
      <c r="H1000" s="85" t="n"/>
      <c r="I1000" s="85" t="n"/>
      <c r="J1000" s="85" t="n"/>
      <c r="BD1000" s="11" t="n"/>
      <c r="BE1000" s="11" t="n"/>
      <c r="BF1000" s="11" t="n"/>
      <c r="BG1000" s="11" t="n"/>
      <c r="BK1000" s="11" t="n"/>
      <c r="BL1000" s="11" t="n"/>
      <c r="BP1000" s="12" t="n"/>
      <c r="BQ1000" s="400" t="n"/>
    </row>
    <row r="1001">
      <c r="D1001" s="11" t="n"/>
      <c r="E1001" s="86" t="n"/>
      <c r="F1001" s="85" t="n"/>
      <c r="G1001" s="85" t="n"/>
      <c r="H1001" s="85" t="n"/>
      <c r="I1001" s="85" t="n"/>
      <c r="J1001" s="85" t="n"/>
      <c r="BD1001" s="11" t="n"/>
      <c r="BE1001" s="11" t="n"/>
      <c r="BF1001" s="11" t="n"/>
      <c r="BG1001" s="11" t="n"/>
      <c r="BK1001" s="11" t="n"/>
      <c r="BL1001" s="11" t="n"/>
      <c r="BP1001" s="12" t="n"/>
      <c r="BQ1001" s="400" t="n"/>
    </row>
    <row r="1002">
      <c r="D1002" s="11" t="n"/>
      <c r="E1002" s="86" t="n"/>
      <c r="F1002" s="85" t="n"/>
      <c r="G1002" s="85" t="n"/>
      <c r="H1002" s="85" t="n"/>
      <c r="I1002" s="85" t="n"/>
      <c r="J1002" s="85" t="n"/>
      <c r="BD1002" s="11" t="n"/>
      <c r="BE1002" s="11" t="n"/>
      <c r="BF1002" s="11" t="n"/>
      <c r="BG1002" s="11" t="n"/>
      <c r="BK1002" s="11" t="n"/>
      <c r="BL1002" s="11" t="n"/>
      <c r="BP1002" s="12" t="n"/>
      <c r="BQ1002" s="400" t="n"/>
    </row>
    <row r="1003">
      <c r="D1003" s="11" t="n"/>
      <c r="E1003" s="86" t="n"/>
      <c r="F1003" s="85" t="n"/>
      <c r="G1003" s="85" t="n"/>
      <c r="H1003" s="85" t="n"/>
      <c r="I1003" s="85" t="n"/>
      <c r="J1003" s="85" t="n"/>
      <c r="BD1003" s="11" t="n"/>
      <c r="BE1003" s="11" t="n"/>
      <c r="BF1003" s="11" t="n"/>
      <c r="BG1003" s="11" t="n"/>
      <c r="BK1003" s="11" t="n"/>
      <c r="BL1003" s="11" t="n"/>
      <c r="BP1003" s="12" t="n"/>
      <c r="BQ1003" s="400" t="n"/>
    </row>
    <row r="1004">
      <c r="D1004" s="11" t="n"/>
      <c r="E1004" s="86" t="n"/>
      <c r="F1004" s="85" t="n"/>
      <c r="G1004" s="85" t="n"/>
      <c r="H1004" s="85" t="n"/>
      <c r="I1004" s="85" t="n"/>
      <c r="J1004" s="85" t="n"/>
      <c r="BD1004" s="11" t="n"/>
      <c r="BE1004" s="11" t="n"/>
      <c r="BF1004" s="11" t="n"/>
      <c r="BG1004" s="11" t="n"/>
      <c r="BK1004" s="11" t="n"/>
      <c r="BL1004" s="11" t="n"/>
      <c r="BP1004" s="12" t="n"/>
      <c r="BQ1004" s="400" t="n"/>
    </row>
    <row r="1005">
      <c r="D1005" s="11" t="n"/>
      <c r="E1005" s="86" t="n"/>
      <c r="F1005" s="85" t="n"/>
      <c r="G1005" s="85" t="n"/>
      <c r="H1005" s="85" t="n"/>
      <c r="I1005" s="85" t="n"/>
      <c r="J1005" s="85" t="n"/>
      <c r="BD1005" s="11" t="n"/>
      <c r="BE1005" s="11" t="n"/>
      <c r="BF1005" s="11" t="n"/>
      <c r="BG1005" s="11" t="n"/>
      <c r="BK1005" s="11" t="n"/>
      <c r="BL1005" s="11" t="n"/>
      <c r="BP1005" s="12" t="n"/>
      <c r="BQ1005" s="400" t="n"/>
    </row>
    <row r="1006">
      <c r="D1006" s="11" t="n"/>
      <c r="E1006" s="86" t="n"/>
      <c r="F1006" s="85" t="n"/>
      <c r="G1006" s="85" t="n"/>
      <c r="H1006" s="85" t="n"/>
      <c r="I1006" s="85" t="n"/>
      <c r="J1006" s="85" t="n"/>
      <c r="BD1006" s="11" t="n"/>
      <c r="BE1006" s="11" t="n"/>
      <c r="BF1006" s="11" t="n"/>
      <c r="BG1006" s="11" t="n"/>
      <c r="BK1006" s="11" t="n"/>
      <c r="BL1006" s="11" t="n"/>
      <c r="BP1006" s="12" t="n"/>
      <c r="BQ1006" s="400" t="n"/>
    </row>
    <row r="1007">
      <c r="D1007" s="11" t="n"/>
      <c r="E1007" s="86" t="n"/>
      <c r="F1007" s="85" t="n"/>
      <c r="G1007" s="85" t="n"/>
      <c r="H1007" s="85" t="n"/>
      <c r="I1007" s="85" t="n"/>
      <c r="J1007" s="85" t="n"/>
      <c r="BD1007" s="11" t="n"/>
      <c r="BE1007" s="11" t="n"/>
      <c r="BF1007" s="11" t="n"/>
      <c r="BG1007" s="11" t="n"/>
      <c r="BK1007" s="11" t="n"/>
      <c r="BL1007" s="11" t="n"/>
      <c r="BP1007" s="12" t="n"/>
      <c r="BQ1007" s="400" t="n"/>
    </row>
    <row r="1008">
      <c r="D1008" s="11" t="n"/>
      <c r="E1008" s="86" t="n"/>
      <c r="F1008" s="85" t="n"/>
      <c r="G1008" s="85" t="n"/>
      <c r="H1008" s="85" t="n"/>
      <c r="I1008" s="85" t="n"/>
      <c r="J1008" s="85" t="n"/>
      <c r="BD1008" s="11" t="n"/>
      <c r="BE1008" s="11" t="n"/>
      <c r="BF1008" s="11" t="n"/>
      <c r="BG1008" s="11" t="n"/>
      <c r="BK1008" s="11" t="n"/>
      <c r="BL1008" s="11" t="n"/>
      <c r="BP1008" s="12" t="n"/>
      <c r="BQ1008" s="400" t="n"/>
    </row>
    <row r="1009">
      <c r="D1009" s="11" t="n"/>
      <c r="E1009" s="86" t="n"/>
      <c r="F1009" s="85" t="n"/>
      <c r="G1009" s="85" t="n"/>
      <c r="H1009" s="85" t="n"/>
      <c r="I1009" s="85" t="n"/>
      <c r="J1009" s="85" t="n"/>
      <c r="BD1009" s="11" t="n"/>
      <c r="BE1009" s="11" t="n"/>
      <c r="BF1009" s="11" t="n"/>
      <c r="BG1009" s="11" t="n"/>
      <c r="BK1009" s="11" t="n"/>
      <c r="BL1009" s="11" t="n"/>
      <c r="BP1009" s="12" t="n"/>
      <c r="BQ1009" s="400" t="n"/>
    </row>
    <row r="1010">
      <c r="D1010" s="11" t="n"/>
      <c r="E1010" s="86" t="n"/>
      <c r="F1010" s="85" t="n"/>
      <c r="G1010" s="85" t="n"/>
      <c r="H1010" s="85" t="n"/>
      <c r="I1010" s="85" t="n"/>
      <c r="J1010" s="85" t="n"/>
      <c r="BD1010" s="11" t="n"/>
      <c r="BE1010" s="11" t="n"/>
      <c r="BF1010" s="11" t="n"/>
      <c r="BG1010" s="11" t="n"/>
      <c r="BK1010" s="11" t="n"/>
      <c r="BL1010" s="11" t="n"/>
      <c r="BP1010" s="12" t="n"/>
      <c r="BQ1010" s="400" t="n"/>
    </row>
    <row r="1011">
      <c r="D1011" s="11" t="n"/>
      <c r="E1011" s="86" t="n"/>
      <c r="F1011" s="85" t="n"/>
      <c r="G1011" s="85" t="n"/>
      <c r="H1011" s="85" t="n"/>
      <c r="I1011" s="85" t="n"/>
      <c r="J1011" s="85" t="n"/>
      <c r="BD1011" s="11" t="n"/>
      <c r="BE1011" s="11" t="n"/>
      <c r="BF1011" s="11" t="n"/>
      <c r="BG1011" s="11" t="n"/>
      <c r="BK1011" s="11" t="n"/>
      <c r="BL1011" s="11" t="n"/>
      <c r="BP1011" s="12" t="n"/>
      <c r="BQ1011" s="400" t="n"/>
    </row>
    <row r="1012">
      <c r="D1012" s="11" t="n"/>
      <c r="E1012" s="86" t="n"/>
      <c r="F1012" s="85" t="n"/>
      <c r="G1012" s="85" t="n"/>
      <c r="H1012" s="85" t="n"/>
      <c r="I1012" s="85" t="n"/>
      <c r="J1012" s="85" t="n"/>
      <c r="BD1012" s="11" t="n"/>
      <c r="BE1012" s="11" t="n"/>
      <c r="BF1012" s="11" t="n"/>
      <c r="BG1012" s="11" t="n"/>
      <c r="BK1012" s="11" t="n"/>
      <c r="BL1012" s="11" t="n"/>
      <c r="BP1012" s="12" t="n"/>
      <c r="BQ1012" s="400" t="n"/>
    </row>
    <row r="1013">
      <c r="D1013" s="11" t="n"/>
      <c r="E1013" s="86" t="n"/>
      <c r="F1013" s="85" t="n"/>
      <c r="G1013" s="85" t="n"/>
      <c r="H1013" s="85" t="n"/>
      <c r="I1013" s="85" t="n"/>
      <c r="J1013" s="85" t="n"/>
      <c r="BD1013" s="11" t="n"/>
      <c r="BE1013" s="11" t="n"/>
      <c r="BF1013" s="11" t="n"/>
      <c r="BG1013" s="11" t="n"/>
      <c r="BK1013" s="11" t="n"/>
      <c r="BL1013" s="11" t="n"/>
      <c r="BP1013" s="12" t="n"/>
      <c r="BQ1013" s="400" t="n"/>
    </row>
    <row r="1014">
      <c r="D1014" s="11" t="n"/>
      <c r="E1014" s="86" t="n"/>
      <c r="F1014" s="85" t="n"/>
      <c r="G1014" s="85" t="n"/>
      <c r="H1014" s="85" t="n"/>
      <c r="I1014" s="85" t="n"/>
      <c r="J1014" s="85" t="n"/>
      <c r="BD1014" s="11" t="n"/>
      <c r="BE1014" s="11" t="n"/>
      <c r="BF1014" s="11" t="n"/>
      <c r="BG1014" s="11" t="n"/>
      <c r="BK1014" s="11" t="n"/>
      <c r="BL1014" s="11" t="n"/>
      <c r="BP1014" s="12" t="n"/>
      <c r="BQ1014" s="400" t="n"/>
    </row>
    <row r="1015">
      <c r="D1015" s="11" t="n"/>
      <c r="E1015" s="86" t="n"/>
      <c r="F1015" s="85" t="n"/>
      <c r="G1015" s="85" t="n"/>
      <c r="H1015" s="85" t="n"/>
      <c r="I1015" s="85" t="n"/>
      <c r="J1015" s="85" t="n"/>
      <c r="BD1015" s="11" t="n"/>
      <c r="BE1015" s="11" t="n"/>
      <c r="BF1015" s="11" t="n"/>
      <c r="BG1015" s="11" t="n"/>
      <c r="BK1015" s="11" t="n"/>
      <c r="BL1015" s="11" t="n"/>
      <c r="BP1015" s="12" t="n"/>
      <c r="BQ1015" s="400" t="n"/>
    </row>
    <row r="1016">
      <c r="D1016" s="11" t="n"/>
      <c r="E1016" s="86" t="n"/>
      <c r="F1016" s="85" t="n"/>
      <c r="G1016" s="85" t="n"/>
      <c r="H1016" s="85" t="n"/>
      <c r="I1016" s="85" t="n"/>
      <c r="J1016" s="85" t="n"/>
      <c r="BD1016" s="11" t="n"/>
      <c r="BE1016" s="11" t="n"/>
      <c r="BF1016" s="11" t="n"/>
      <c r="BG1016" s="11" t="n"/>
      <c r="BK1016" s="11" t="n"/>
      <c r="BL1016" s="11" t="n"/>
      <c r="BP1016" s="12" t="n"/>
      <c r="BQ1016" s="400" t="n"/>
    </row>
    <row r="1017">
      <c r="D1017" s="11" t="n"/>
      <c r="E1017" s="86" t="n"/>
      <c r="F1017" s="85" t="n"/>
      <c r="G1017" s="85" t="n"/>
      <c r="H1017" s="85" t="n"/>
      <c r="I1017" s="85" t="n"/>
      <c r="J1017" s="85" t="n"/>
      <c r="BD1017" s="11" t="n"/>
      <c r="BE1017" s="11" t="n"/>
      <c r="BF1017" s="11" t="n"/>
      <c r="BG1017" s="11" t="n"/>
      <c r="BK1017" s="11" t="n"/>
      <c r="BL1017" s="11" t="n"/>
      <c r="BP1017" s="12" t="n"/>
      <c r="BQ1017" s="400" t="n"/>
    </row>
    <row r="1018">
      <c r="D1018" s="11" t="n"/>
      <c r="E1018" s="86" t="n"/>
      <c r="F1018" s="85" t="n"/>
      <c r="G1018" s="85" t="n"/>
      <c r="H1018" s="85" t="n"/>
      <c r="I1018" s="85" t="n"/>
      <c r="J1018" s="85" t="n"/>
      <c r="BD1018" s="11" t="n"/>
      <c r="BE1018" s="11" t="n"/>
      <c r="BF1018" s="11" t="n"/>
      <c r="BG1018" s="11" t="n"/>
      <c r="BK1018" s="11" t="n"/>
      <c r="BL1018" s="11" t="n"/>
      <c r="BP1018" s="12" t="n"/>
      <c r="BQ1018" s="400" t="n"/>
    </row>
    <row r="1019">
      <c r="D1019" s="11" t="n"/>
      <c r="E1019" s="86" t="n"/>
      <c r="F1019" s="85" t="n"/>
      <c r="G1019" s="85" t="n"/>
      <c r="H1019" s="85" t="n"/>
      <c r="I1019" s="85" t="n"/>
      <c r="J1019" s="85" t="n"/>
      <c r="BD1019" s="11" t="n"/>
      <c r="BE1019" s="11" t="n"/>
      <c r="BF1019" s="11" t="n"/>
      <c r="BG1019" s="11" t="n"/>
      <c r="BK1019" s="11" t="n"/>
      <c r="BL1019" s="11" t="n"/>
      <c r="BP1019" s="12" t="n"/>
      <c r="BQ1019" s="400" t="n"/>
    </row>
    <row r="1020">
      <c r="D1020" s="11" t="n"/>
      <c r="E1020" s="86" t="n"/>
      <c r="F1020" s="85" t="n"/>
      <c r="G1020" s="85" t="n"/>
      <c r="H1020" s="85" t="n"/>
      <c r="I1020" s="85" t="n"/>
      <c r="J1020" s="85" t="n"/>
      <c r="BD1020" s="11" t="n"/>
      <c r="BE1020" s="11" t="n"/>
      <c r="BF1020" s="11" t="n"/>
      <c r="BG1020" s="11" t="n"/>
      <c r="BK1020" s="11" t="n"/>
      <c r="BL1020" s="11" t="n"/>
      <c r="BP1020" s="12" t="n"/>
      <c r="BQ1020" s="400" t="n"/>
    </row>
    <row r="1021">
      <c r="D1021" s="11" t="n"/>
      <c r="E1021" s="86" t="n"/>
      <c r="F1021" s="85" t="n"/>
      <c r="G1021" s="85" t="n"/>
      <c r="H1021" s="85" t="n"/>
      <c r="I1021" s="85" t="n"/>
      <c r="J1021" s="85" t="n"/>
      <c r="BD1021" s="11" t="n"/>
      <c r="BE1021" s="11" t="n"/>
      <c r="BF1021" s="11" t="n"/>
      <c r="BG1021" s="11" t="n"/>
      <c r="BK1021" s="11" t="n"/>
      <c r="BL1021" s="11" t="n"/>
      <c r="BP1021" s="12" t="n"/>
      <c r="BQ1021" s="400" t="n"/>
    </row>
    <row r="1022">
      <c r="D1022" s="11" t="n"/>
      <c r="E1022" s="86" t="n"/>
      <c r="F1022" s="85" t="n"/>
      <c r="G1022" s="85" t="n"/>
      <c r="H1022" s="85" t="n"/>
      <c r="I1022" s="85" t="n"/>
      <c r="J1022" s="85" t="n"/>
      <c r="BD1022" s="11" t="n"/>
      <c r="BE1022" s="11" t="n"/>
      <c r="BF1022" s="11" t="n"/>
      <c r="BG1022" s="11" t="n"/>
      <c r="BK1022" s="11" t="n"/>
      <c r="BL1022" s="11" t="n"/>
      <c r="BP1022" s="12" t="n"/>
      <c r="BQ1022" s="400" t="n"/>
    </row>
    <row r="1023">
      <c r="D1023" s="11" t="n"/>
      <c r="E1023" s="86" t="n"/>
      <c r="F1023" s="85" t="n"/>
      <c r="G1023" s="85" t="n"/>
      <c r="H1023" s="85" t="n"/>
      <c r="I1023" s="85" t="n"/>
      <c r="J1023" s="85" t="n"/>
      <c r="BD1023" s="11" t="n"/>
      <c r="BE1023" s="11" t="n"/>
      <c r="BF1023" s="11" t="n"/>
      <c r="BG1023" s="11" t="n"/>
      <c r="BK1023" s="11" t="n"/>
      <c r="BL1023" s="11" t="n"/>
      <c r="BP1023" s="12" t="n"/>
      <c r="BQ1023" s="400" t="n"/>
    </row>
    <row r="1024">
      <c r="D1024" s="11" t="n"/>
      <c r="E1024" s="86" t="n"/>
      <c r="F1024" s="85" t="n"/>
      <c r="G1024" s="85" t="n"/>
      <c r="H1024" s="85" t="n"/>
      <c r="I1024" s="85" t="n"/>
      <c r="J1024" s="85" t="n"/>
      <c r="BD1024" s="11" t="n"/>
      <c r="BE1024" s="11" t="n"/>
      <c r="BF1024" s="11" t="n"/>
      <c r="BG1024" s="11" t="n"/>
      <c r="BK1024" s="11" t="n"/>
      <c r="BL1024" s="11" t="n"/>
      <c r="BP1024" s="12" t="n"/>
      <c r="BQ1024" s="400" t="n"/>
    </row>
    <row r="1025">
      <c r="D1025" s="11" t="n"/>
      <c r="E1025" s="86" t="n"/>
      <c r="F1025" s="85" t="n"/>
      <c r="G1025" s="85" t="n"/>
      <c r="H1025" s="85" t="n"/>
      <c r="I1025" s="85" t="n"/>
      <c r="J1025" s="85" t="n"/>
      <c r="BD1025" s="11" t="n"/>
      <c r="BE1025" s="11" t="n"/>
      <c r="BF1025" s="11" t="n"/>
      <c r="BG1025" s="11" t="n"/>
      <c r="BK1025" s="11" t="n"/>
      <c r="BL1025" s="11" t="n"/>
      <c r="BP1025" s="12" t="n"/>
      <c r="BQ1025" s="400" t="n"/>
    </row>
    <row r="1026">
      <c r="D1026" s="11" t="n"/>
      <c r="E1026" s="86" t="n"/>
      <c r="F1026" s="85" t="n"/>
      <c r="G1026" s="85" t="n"/>
      <c r="H1026" s="85" t="n"/>
      <c r="I1026" s="85" t="n"/>
      <c r="J1026" s="85" t="n"/>
      <c r="BD1026" s="11" t="n"/>
      <c r="BE1026" s="11" t="n"/>
      <c r="BF1026" s="11" t="n"/>
      <c r="BG1026" s="11" t="n"/>
      <c r="BK1026" s="11" t="n"/>
      <c r="BL1026" s="11" t="n"/>
      <c r="BP1026" s="12" t="n"/>
      <c r="BQ1026" s="400" t="n"/>
    </row>
    <row r="1027">
      <c r="D1027" s="11" t="n"/>
      <c r="E1027" s="86" t="n"/>
      <c r="F1027" s="85" t="n"/>
      <c r="G1027" s="85" t="n"/>
      <c r="H1027" s="85" t="n"/>
      <c r="I1027" s="85" t="n"/>
      <c r="J1027" s="85" t="n"/>
      <c r="BD1027" s="11" t="n"/>
      <c r="BE1027" s="11" t="n"/>
      <c r="BF1027" s="11" t="n"/>
      <c r="BG1027" s="11" t="n"/>
      <c r="BK1027" s="11" t="n"/>
      <c r="BL1027" s="11" t="n"/>
      <c r="BP1027" s="12" t="n"/>
      <c r="BQ1027" s="400" t="n"/>
    </row>
    <row r="1028">
      <c r="D1028" s="11" t="n"/>
      <c r="E1028" s="86" t="n"/>
      <c r="F1028" s="85" t="n"/>
      <c r="G1028" s="85" t="n"/>
      <c r="H1028" s="85" t="n"/>
      <c r="I1028" s="85" t="n"/>
      <c r="J1028" s="85" t="n"/>
      <c r="BD1028" s="11" t="n"/>
      <c r="BE1028" s="11" t="n"/>
      <c r="BF1028" s="11" t="n"/>
      <c r="BG1028" s="11" t="n"/>
      <c r="BK1028" s="11" t="n"/>
      <c r="BL1028" s="11" t="n"/>
      <c r="BP1028" s="12" t="n"/>
      <c r="BQ1028" s="400" t="n"/>
    </row>
    <row r="1029">
      <c r="D1029" s="11" t="n"/>
      <c r="E1029" s="86" t="n"/>
      <c r="F1029" s="85" t="n"/>
      <c r="G1029" s="85" t="n"/>
      <c r="H1029" s="85" t="n"/>
      <c r="I1029" s="85" t="n"/>
      <c r="J1029" s="85" t="n"/>
      <c r="BD1029" s="11" t="n"/>
      <c r="BE1029" s="11" t="n"/>
      <c r="BF1029" s="11" t="n"/>
      <c r="BG1029" s="11" t="n"/>
      <c r="BK1029" s="11" t="n"/>
      <c r="BL1029" s="11" t="n"/>
      <c r="BP1029" s="12" t="n"/>
      <c r="BQ1029" s="400" t="n"/>
    </row>
    <row r="1030">
      <c r="D1030" s="11" t="n"/>
      <c r="E1030" s="86" t="n"/>
      <c r="F1030" s="85" t="n"/>
      <c r="G1030" s="85" t="n"/>
      <c r="H1030" s="85" t="n"/>
      <c r="I1030" s="85" t="n"/>
      <c r="J1030" s="85" t="n"/>
      <c r="BD1030" s="11" t="n"/>
      <c r="BE1030" s="11" t="n"/>
      <c r="BF1030" s="11" t="n"/>
      <c r="BG1030" s="11" t="n"/>
      <c r="BK1030" s="11" t="n"/>
      <c r="BL1030" s="11" t="n"/>
      <c r="BP1030" s="12" t="n"/>
      <c r="BQ1030" s="400" t="n"/>
    </row>
    <row r="1031">
      <c r="D1031" s="11" t="n"/>
      <c r="E1031" s="86" t="n"/>
      <c r="F1031" s="85" t="n"/>
      <c r="G1031" s="85" t="n"/>
      <c r="H1031" s="85" t="n"/>
      <c r="I1031" s="85" t="n"/>
      <c r="J1031" s="85" t="n"/>
      <c r="BD1031" s="11" t="n"/>
      <c r="BE1031" s="11" t="n"/>
      <c r="BF1031" s="11" t="n"/>
      <c r="BG1031" s="11" t="n"/>
      <c r="BK1031" s="11" t="n"/>
      <c r="BL1031" s="11" t="n"/>
      <c r="BP1031" s="12" t="n"/>
      <c r="BQ1031" s="400" t="n"/>
    </row>
    <row r="1032">
      <c r="D1032" s="11" t="n"/>
      <c r="E1032" s="86" t="n"/>
      <c r="F1032" s="85" t="n"/>
      <c r="G1032" s="85" t="n"/>
      <c r="H1032" s="85" t="n"/>
      <c r="I1032" s="85" t="n"/>
      <c r="J1032" s="85" t="n"/>
      <c r="BD1032" s="11" t="n"/>
      <c r="BE1032" s="11" t="n"/>
      <c r="BF1032" s="11" t="n"/>
      <c r="BG1032" s="11" t="n"/>
      <c r="BK1032" s="11" t="n"/>
      <c r="BL1032" s="11" t="n"/>
      <c r="BP1032" s="12" t="n"/>
      <c r="BQ1032" s="400" t="n"/>
    </row>
    <row r="1033">
      <c r="D1033" s="11" t="n"/>
      <c r="E1033" s="86" t="n"/>
      <c r="F1033" s="85" t="n"/>
      <c r="G1033" s="85" t="n"/>
      <c r="H1033" s="85" t="n"/>
      <c r="I1033" s="85" t="n"/>
      <c r="J1033" s="85" t="n"/>
      <c r="BD1033" s="11" t="n"/>
      <c r="BE1033" s="11" t="n"/>
      <c r="BF1033" s="11" t="n"/>
      <c r="BG1033" s="11" t="n"/>
      <c r="BK1033" s="11" t="n"/>
      <c r="BL1033" s="11" t="n"/>
      <c r="BP1033" s="12" t="n"/>
      <c r="BQ1033" s="400" t="n"/>
    </row>
    <row r="1034">
      <c r="D1034" s="11" t="n"/>
      <c r="E1034" s="86" t="n"/>
      <c r="F1034" s="85" t="n"/>
      <c r="G1034" s="85" t="n"/>
      <c r="H1034" s="85" t="n"/>
      <c r="I1034" s="85" t="n"/>
      <c r="J1034" s="85" t="n"/>
      <c r="BD1034" s="11" t="n"/>
      <c r="BE1034" s="11" t="n"/>
      <c r="BF1034" s="11" t="n"/>
      <c r="BG1034" s="11" t="n"/>
      <c r="BK1034" s="11" t="n"/>
      <c r="BL1034" s="11" t="n"/>
      <c r="BP1034" s="12" t="n"/>
      <c r="BQ1034" s="400" t="n"/>
    </row>
    <row r="1035">
      <c r="D1035" s="11" t="n"/>
      <c r="E1035" s="86" t="n"/>
      <c r="F1035" s="85" t="n"/>
      <c r="G1035" s="85" t="n"/>
      <c r="H1035" s="85" t="n"/>
      <c r="I1035" s="85" t="n"/>
      <c r="J1035" s="85" t="n"/>
      <c r="BD1035" s="11" t="n"/>
      <c r="BE1035" s="11" t="n"/>
      <c r="BF1035" s="11" t="n"/>
      <c r="BG1035" s="11" t="n"/>
      <c r="BK1035" s="11" t="n"/>
      <c r="BL1035" s="11" t="n"/>
      <c r="BP1035" s="12" t="n"/>
      <c r="BQ1035" s="400" t="n"/>
    </row>
    <row r="1036">
      <c r="D1036" s="11" t="n"/>
      <c r="E1036" s="86" t="n"/>
      <c r="F1036" s="85" t="n"/>
      <c r="G1036" s="85" t="n"/>
      <c r="H1036" s="85" t="n"/>
      <c r="I1036" s="85" t="n"/>
      <c r="J1036" s="85" t="n"/>
      <c r="BD1036" s="11" t="n"/>
      <c r="BE1036" s="11" t="n"/>
      <c r="BF1036" s="11" t="n"/>
      <c r="BG1036" s="11" t="n"/>
      <c r="BK1036" s="11" t="n"/>
      <c r="BL1036" s="11" t="n"/>
      <c r="BP1036" s="12" t="n"/>
      <c r="BQ1036" s="400" t="n"/>
    </row>
    <row r="1037">
      <c r="D1037" s="11" t="n"/>
      <c r="E1037" s="86" t="n"/>
      <c r="F1037" s="85" t="n"/>
      <c r="G1037" s="85" t="n"/>
      <c r="H1037" s="85" t="n"/>
      <c r="I1037" s="85" t="n"/>
      <c r="J1037" s="85" t="n"/>
      <c r="BD1037" s="11" t="n"/>
      <c r="BE1037" s="11" t="n"/>
      <c r="BF1037" s="11" t="n"/>
      <c r="BG1037" s="11" t="n"/>
      <c r="BK1037" s="11" t="n"/>
      <c r="BL1037" s="11" t="n"/>
      <c r="BP1037" s="12" t="n"/>
      <c r="BQ1037" s="400" t="n"/>
    </row>
    <row r="1038">
      <c r="D1038" s="11" t="n"/>
      <c r="E1038" s="86" t="n"/>
      <c r="F1038" s="85" t="n"/>
      <c r="G1038" s="85" t="n"/>
      <c r="H1038" s="85" t="n"/>
      <c r="I1038" s="85" t="n"/>
      <c r="J1038" s="85" t="n"/>
      <c r="BD1038" s="11" t="n"/>
      <c r="BE1038" s="11" t="n"/>
      <c r="BF1038" s="11" t="n"/>
      <c r="BG1038" s="11" t="n"/>
      <c r="BK1038" s="11" t="n"/>
      <c r="BL1038" s="11" t="n"/>
      <c r="BP1038" s="12" t="n"/>
      <c r="BQ1038" s="400" t="n"/>
    </row>
    <row r="1039">
      <c r="D1039" s="11" t="n"/>
      <c r="E1039" s="86" t="n"/>
      <c r="F1039" s="85" t="n"/>
      <c r="G1039" s="85" t="n"/>
      <c r="H1039" s="85" t="n"/>
      <c r="I1039" s="85" t="n"/>
      <c r="J1039" s="85" t="n"/>
      <c r="BD1039" s="11" t="n"/>
      <c r="BE1039" s="11" t="n"/>
      <c r="BF1039" s="11" t="n"/>
      <c r="BG1039" s="11" t="n"/>
      <c r="BK1039" s="11" t="n"/>
      <c r="BL1039" s="11" t="n"/>
      <c r="BP1039" s="12" t="n"/>
      <c r="BQ1039" s="400" t="n"/>
    </row>
    <row r="1040">
      <c r="D1040" s="11" t="n"/>
      <c r="E1040" s="86" t="n"/>
      <c r="F1040" s="85" t="n"/>
      <c r="G1040" s="85" t="n"/>
      <c r="H1040" s="85" t="n"/>
      <c r="I1040" s="85" t="n"/>
      <c r="J1040" s="85" t="n"/>
      <c r="BD1040" s="11" t="n"/>
      <c r="BE1040" s="11" t="n"/>
      <c r="BF1040" s="11" t="n"/>
      <c r="BG1040" s="11" t="n"/>
      <c r="BK1040" s="11" t="n"/>
      <c r="BL1040" s="11" t="n"/>
      <c r="BP1040" s="12" t="n"/>
      <c r="BQ1040" s="400" t="n"/>
    </row>
    <row r="1041">
      <c r="D1041" s="11" t="n"/>
      <c r="E1041" s="86" t="n"/>
      <c r="F1041" s="85" t="n"/>
      <c r="G1041" s="85" t="n"/>
      <c r="H1041" s="85" t="n"/>
      <c r="I1041" s="85" t="n"/>
      <c r="J1041" s="85" t="n"/>
      <c r="BD1041" s="11" t="n"/>
      <c r="BE1041" s="11" t="n"/>
      <c r="BF1041" s="11" t="n"/>
      <c r="BG1041" s="11" t="n"/>
      <c r="BK1041" s="11" t="n"/>
      <c r="BL1041" s="11" t="n"/>
      <c r="BP1041" s="12" t="n"/>
      <c r="BQ1041" s="400" t="n"/>
    </row>
    <row r="1042">
      <c r="D1042" s="11" t="n"/>
      <c r="E1042" s="86" t="n"/>
      <c r="F1042" s="85" t="n"/>
      <c r="G1042" s="85" t="n"/>
      <c r="H1042" s="85" t="n"/>
      <c r="I1042" s="85" t="n"/>
      <c r="J1042" s="85" t="n"/>
      <c r="BD1042" s="11" t="n"/>
      <c r="BE1042" s="11" t="n"/>
      <c r="BF1042" s="11" t="n"/>
      <c r="BG1042" s="11" t="n"/>
      <c r="BK1042" s="11" t="n"/>
      <c r="BL1042" s="11" t="n"/>
      <c r="BP1042" s="12" t="n"/>
      <c r="BQ1042" s="400" t="n"/>
    </row>
    <row r="1043">
      <c r="D1043" s="11" t="n"/>
      <c r="E1043" s="86" t="n"/>
      <c r="F1043" s="85" t="n"/>
      <c r="G1043" s="85" t="n"/>
      <c r="H1043" s="85" t="n"/>
      <c r="I1043" s="85" t="n"/>
      <c r="J1043" s="85" t="n"/>
      <c r="BD1043" s="11" t="n"/>
      <c r="BE1043" s="11" t="n"/>
      <c r="BF1043" s="11" t="n"/>
      <c r="BG1043" s="11" t="n"/>
      <c r="BK1043" s="11" t="n"/>
      <c r="BL1043" s="11" t="n"/>
      <c r="BP1043" s="12" t="n"/>
      <c r="BQ1043" s="400" t="n"/>
    </row>
    <row r="1044">
      <c r="D1044" s="11" t="n"/>
      <c r="E1044" s="86" t="n"/>
      <c r="F1044" s="85" t="n"/>
      <c r="G1044" s="85" t="n"/>
      <c r="H1044" s="85" t="n"/>
      <c r="I1044" s="85" t="n"/>
      <c r="J1044" s="85" t="n"/>
      <c r="BD1044" s="11" t="n"/>
      <c r="BE1044" s="11" t="n"/>
      <c r="BF1044" s="11" t="n"/>
      <c r="BG1044" s="11" t="n"/>
      <c r="BK1044" s="11" t="n"/>
      <c r="BL1044" s="11" t="n"/>
      <c r="BP1044" s="12" t="n"/>
      <c r="BQ1044" s="400" t="n"/>
    </row>
    <row r="1045">
      <c r="D1045" s="11" t="n"/>
      <c r="E1045" s="86" t="n"/>
      <c r="F1045" s="85" t="n"/>
      <c r="G1045" s="85" t="n"/>
      <c r="H1045" s="85" t="n"/>
      <c r="I1045" s="85" t="n"/>
      <c r="J1045" s="85" t="n"/>
      <c r="BD1045" s="11" t="n"/>
      <c r="BE1045" s="11" t="n"/>
      <c r="BF1045" s="11" t="n"/>
      <c r="BG1045" s="11" t="n"/>
      <c r="BK1045" s="11" t="n"/>
      <c r="BL1045" s="11" t="n"/>
      <c r="BP1045" s="12" t="n"/>
      <c r="BQ1045" s="400" t="n"/>
    </row>
    <row r="1046">
      <c r="D1046" s="11" t="n"/>
      <c r="E1046" s="86" t="n"/>
      <c r="F1046" s="85" t="n"/>
      <c r="G1046" s="85" t="n"/>
      <c r="H1046" s="85" t="n"/>
      <c r="I1046" s="85" t="n"/>
      <c r="J1046" s="85" t="n"/>
      <c r="BD1046" s="11" t="n"/>
      <c r="BE1046" s="11" t="n"/>
      <c r="BF1046" s="11" t="n"/>
      <c r="BG1046" s="11" t="n"/>
      <c r="BK1046" s="11" t="n"/>
      <c r="BL1046" s="11" t="n"/>
      <c r="BP1046" s="12" t="n"/>
      <c r="BQ1046" s="400" t="n"/>
    </row>
    <row r="1047">
      <c r="D1047" s="11" t="n"/>
      <c r="E1047" s="86" t="n"/>
      <c r="F1047" s="85" t="n"/>
      <c r="G1047" s="85" t="n"/>
      <c r="H1047" s="85" t="n"/>
      <c r="I1047" s="85" t="n"/>
      <c r="J1047" s="85" t="n"/>
      <c r="BD1047" s="11" t="n"/>
      <c r="BE1047" s="11" t="n"/>
      <c r="BF1047" s="11" t="n"/>
      <c r="BG1047" s="11" t="n"/>
      <c r="BK1047" s="11" t="n"/>
      <c r="BL1047" s="11" t="n"/>
      <c r="BP1047" s="12" t="n"/>
      <c r="BQ1047" s="400" t="n"/>
    </row>
    <row r="1048">
      <c r="D1048" s="11" t="n"/>
      <c r="E1048" s="86" t="n"/>
      <c r="F1048" s="85" t="n"/>
      <c r="G1048" s="85" t="n"/>
      <c r="H1048" s="85" t="n"/>
      <c r="I1048" s="85" t="n"/>
      <c r="J1048" s="85" t="n"/>
      <c r="BD1048" s="11" t="n"/>
      <c r="BE1048" s="11" t="n"/>
      <c r="BF1048" s="11" t="n"/>
      <c r="BG1048" s="11" t="n"/>
      <c r="BK1048" s="11" t="n"/>
      <c r="BL1048" s="11" t="n"/>
      <c r="BP1048" s="12" t="n"/>
      <c r="BQ1048" s="400" t="n"/>
    </row>
    <row r="1049">
      <c r="D1049" s="11" t="n"/>
      <c r="E1049" s="86" t="n"/>
      <c r="F1049" s="85" t="n"/>
      <c r="G1049" s="85" t="n"/>
      <c r="H1049" s="85" t="n"/>
      <c r="I1049" s="85" t="n"/>
      <c r="J1049" s="85" t="n"/>
      <c r="BD1049" s="11" t="n"/>
      <c r="BE1049" s="11" t="n"/>
      <c r="BF1049" s="11" t="n"/>
      <c r="BG1049" s="11" t="n"/>
      <c r="BK1049" s="11" t="n"/>
      <c r="BL1049" s="11" t="n"/>
      <c r="BP1049" s="12" t="n"/>
      <c r="BQ1049" s="400" t="n"/>
    </row>
    <row r="1050">
      <c r="D1050" s="11" t="n"/>
      <c r="E1050" s="86" t="n"/>
      <c r="F1050" s="85" t="n"/>
      <c r="G1050" s="85" t="n"/>
      <c r="H1050" s="85" t="n"/>
      <c r="I1050" s="85" t="n"/>
      <c r="J1050" s="85" t="n"/>
      <c r="BD1050" s="11" t="n"/>
      <c r="BE1050" s="11" t="n"/>
      <c r="BF1050" s="11" t="n"/>
      <c r="BG1050" s="11" t="n"/>
      <c r="BK1050" s="11" t="n"/>
      <c r="BL1050" s="11" t="n"/>
      <c r="BP1050" s="12" t="n"/>
      <c r="BQ1050" s="400" t="n"/>
    </row>
    <row r="1051">
      <c r="D1051" s="11" t="n"/>
      <c r="E1051" s="86" t="n"/>
      <c r="F1051" s="85" t="n"/>
      <c r="G1051" s="85" t="n"/>
      <c r="H1051" s="85" t="n"/>
      <c r="I1051" s="85" t="n"/>
      <c r="J1051" s="85" t="n"/>
      <c r="BD1051" s="11" t="n"/>
      <c r="BE1051" s="11" t="n"/>
      <c r="BF1051" s="11" t="n"/>
      <c r="BG1051" s="11" t="n"/>
      <c r="BK1051" s="11" t="n"/>
      <c r="BL1051" s="11" t="n"/>
      <c r="BP1051" s="12" t="n"/>
      <c r="BQ1051" s="400" t="n"/>
    </row>
    <row r="1052">
      <c r="D1052" s="11" t="n"/>
      <c r="E1052" s="86" t="n"/>
      <c r="F1052" s="85" t="n"/>
      <c r="G1052" s="85" t="n"/>
      <c r="H1052" s="85" t="n"/>
      <c r="I1052" s="85" t="n"/>
      <c r="J1052" s="85" t="n"/>
      <c r="BD1052" s="11" t="n"/>
      <c r="BE1052" s="11" t="n"/>
      <c r="BF1052" s="11" t="n"/>
      <c r="BG1052" s="11" t="n"/>
      <c r="BK1052" s="11" t="n"/>
      <c r="BL1052" s="11" t="n"/>
      <c r="BP1052" s="12" t="n"/>
      <c r="BQ1052" s="400" t="n"/>
    </row>
    <row r="1053">
      <c r="D1053" s="11" t="n"/>
      <c r="E1053" s="86" t="n"/>
      <c r="F1053" s="85" t="n"/>
      <c r="G1053" s="85" t="n"/>
      <c r="H1053" s="85" t="n"/>
      <c r="I1053" s="85" t="n"/>
      <c r="J1053" s="85" t="n"/>
      <c r="BD1053" s="11" t="n"/>
      <c r="BE1053" s="11" t="n"/>
      <c r="BF1053" s="11" t="n"/>
      <c r="BG1053" s="11" t="n"/>
      <c r="BK1053" s="11" t="n"/>
      <c r="BL1053" s="11" t="n"/>
      <c r="BP1053" s="12" t="n"/>
      <c r="BQ1053" s="400" t="n"/>
    </row>
    <row r="1054">
      <c r="D1054" s="11" t="n"/>
      <c r="E1054" s="86" t="n"/>
      <c r="F1054" s="85" t="n"/>
      <c r="G1054" s="85" t="n"/>
      <c r="H1054" s="85" t="n"/>
      <c r="I1054" s="85" t="n"/>
      <c r="J1054" s="85" t="n"/>
      <c r="BD1054" s="11" t="n"/>
      <c r="BE1054" s="11" t="n"/>
      <c r="BF1054" s="11" t="n"/>
      <c r="BG1054" s="11" t="n"/>
      <c r="BK1054" s="11" t="n"/>
      <c r="BL1054" s="11" t="n"/>
      <c r="BP1054" s="12" t="n"/>
      <c r="BQ1054" s="400" t="n"/>
    </row>
    <row r="1055">
      <c r="D1055" s="11" t="n"/>
      <c r="E1055" s="86" t="n"/>
      <c r="F1055" s="85" t="n"/>
      <c r="G1055" s="85" t="n"/>
      <c r="H1055" s="85" t="n"/>
      <c r="I1055" s="85" t="n"/>
      <c r="J1055" s="85" t="n"/>
      <c r="BD1055" s="11" t="n"/>
      <c r="BE1055" s="11" t="n"/>
      <c r="BF1055" s="11" t="n"/>
      <c r="BG1055" s="11" t="n"/>
      <c r="BK1055" s="11" t="n"/>
      <c r="BL1055" s="11" t="n"/>
      <c r="BP1055" s="12" t="n"/>
      <c r="BQ1055" s="400" t="n"/>
    </row>
    <row r="1056">
      <c r="D1056" s="11" t="n"/>
      <c r="E1056" s="86" t="n"/>
      <c r="F1056" s="85" t="n"/>
      <c r="G1056" s="85" t="n"/>
      <c r="H1056" s="85" t="n"/>
      <c r="I1056" s="85" t="n"/>
      <c r="J1056" s="85" t="n"/>
      <c r="BD1056" s="11" t="n"/>
      <c r="BE1056" s="11" t="n"/>
      <c r="BF1056" s="11" t="n"/>
      <c r="BG1056" s="23" t="n"/>
      <c r="BK1056" s="11" t="n"/>
      <c r="BL1056" s="11" t="n"/>
      <c r="BP1056" s="12" t="n"/>
      <c r="BQ1056" s="400" t="n"/>
    </row>
  </sheetData>
  <mergeCells count="29">
    <mergeCell ref="CL2:CL3"/>
    <mergeCell ref="DY22:DY23"/>
    <mergeCell ref="DY28:DY29"/>
    <mergeCell ref="B2:B3"/>
    <mergeCell ref="AV2:AV3"/>
    <mergeCell ref="DY11:DY16"/>
    <mergeCell ref="D2:D3"/>
    <mergeCell ref="EF2:EG2"/>
    <mergeCell ref="EH2:EH3"/>
    <mergeCell ref="DW2:DW3"/>
    <mergeCell ref="EF1:EG1"/>
    <mergeCell ref="EI2:EI3"/>
    <mergeCell ref="F1:I1"/>
    <mergeCell ref="A2:A3"/>
    <mergeCell ref="C2:C3"/>
    <mergeCell ref="DY55:DY59"/>
    <mergeCell ref="E2:E3"/>
    <mergeCell ref="CM2:CM3"/>
    <mergeCell ref="F2:J2"/>
    <mergeCell ref="DY38:DY39"/>
    <mergeCell ref="DY63:DY64"/>
    <mergeCell ref="DX2:DX3"/>
    <mergeCell ref="DY40:DY41"/>
    <mergeCell ref="ED2:ED3"/>
    <mergeCell ref="AW2:AW3"/>
    <mergeCell ref="EE2:EE3"/>
    <mergeCell ref="DY65:DY71"/>
    <mergeCell ref="DY26:DY27"/>
    <mergeCell ref="DY51:DY54"/>
  </mergeCells>
  <conditionalFormatting sqref="A1:A36 A38:A77 A79:A105 A137:A1048576">
    <cfRule type="duplicateValues" priority="3" dxfId="0"/>
  </conditionalFormatting>
  <conditionalFormatting sqref="B197">
    <cfRule type="duplicateValues" priority="1" dxfId="0"/>
  </conditionalFormatting>
  <conditionalFormatting sqref="B1:B8 B11:B32 B35:B154 B156:B187 B189:B196 B198:B1048576">
    <cfRule type="duplicateValues" priority="2" dxfId="0"/>
  </conditionalFormatting>
  <printOptions horizontalCentered="1" gridLines="1"/>
  <pageMargins left="0.7" right="0.7" top="0.75" bottom="0.75" header="0" footer="0"/>
  <pageSetup orientation="landscape" paperSize="9" scale="28" fitToHeight="0" pageOrder="overThenDown" cellComments="atEn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FF00"/>
    <outlinePr summaryBelow="0" summaryRight="0"/>
    <pageSetUpPr fitToPage="1"/>
  </sheetPr>
  <dimension ref="A1:CE1060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F73" sqref="F73"/>
    </sheetView>
  </sheetViews>
  <sheetFormatPr baseColWidth="8" defaultColWidth="12.5703125" defaultRowHeight="15.75" customHeight="1"/>
  <cols>
    <col width="10.5703125" customWidth="1" style="453" min="1" max="1"/>
    <col width="11" customWidth="1" style="453" min="2" max="2"/>
    <col width="75.7109375" bestFit="1" customWidth="1" style="98" min="3" max="3"/>
    <col width="10.28515625" bestFit="1" customWidth="1" style="453" min="4" max="4"/>
    <col width="8.85546875" customWidth="1" style="453" min="5" max="5"/>
    <col width="12.28515625" customWidth="1" style="453" min="6" max="6"/>
    <col hidden="1" collapsed="1" width="10.7109375" customWidth="1" style="453" min="7" max="7"/>
    <col hidden="1" outlineLevel="1" style="453" min="8" max="44"/>
    <col hidden="1" style="453" min="45" max="46"/>
    <col hidden="1" width="8.28515625" customWidth="1" style="453" min="47" max="49"/>
    <col hidden="1" width="8.7109375" customWidth="1" style="453" min="50" max="50"/>
    <col hidden="1" width="9.42578125" customWidth="1" style="453" min="51" max="51"/>
    <col width="11.140625" customWidth="1" style="453" min="52" max="52"/>
    <col width="10.5703125" customWidth="1" style="453" min="53" max="53"/>
    <col width="9.85546875" customWidth="1" style="453" min="54" max="54"/>
    <col width="11.7109375" customWidth="1" style="453" min="55" max="55"/>
    <col width="12.140625" customWidth="1" style="453" min="56" max="58"/>
    <col width="11.42578125" customWidth="1" style="453" min="59" max="60"/>
    <col width="12.140625" customWidth="1" style="453" min="61" max="61"/>
    <col width="13" customWidth="1" style="453" min="62" max="62"/>
    <col width="13" customWidth="1" style="453" min="63" max="63"/>
    <col width="13" customWidth="1" style="453" min="64" max="64"/>
    <col width="12.140625" customWidth="1" style="453" min="65" max="65"/>
    <col collapsed="1" width="12.140625" customWidth="1" style="453" min="66" max="66"/>
    <col hidden="1" outlineLevel="1" width="13" customWidth="1" style="453" min="67" max="72"/>
    <col width="12.140625" customWidth="1" style="453" min="73" max="75"/>
    <col width="10.140625" customWidth="1" style="110" min="76" max="76"/>
    <col hidden="1" width="13.85546875" customWidth="1" style="453" min="77" max="77"/>
    <col width="15" customWidth="1" style="453" min="78" max="79"/>
    <col width="38.140625" customWidth="1" style="453" min="80" max="80"/>
    <col width="9.28515625" customWidth="1" style="453" min="82" max="83"/>
  </cols>
  <sheetData>
    <row r="1" ht="17.25" customHeight="1" s="453">
      <c r="A1" s="87" t="inlineStr">
        <is>
          <t>*自2025/1起調整為最小單位(發/點/支)</t>
        </is>
      </c>
      <c r="B1" s="87" t="n"/>
      <c r="C1" s="97" t="n"/>
      <c r="D1" s="1" t="n"/>
      <c r="E1" s="2" t="n"/>
      <c r="F1" s="452" t="n"/>
      <c r="H1" s="492" t="n"/>
      <c r="I1" s="492" t="n"/>
      <c r="J1" s="492" t="n"/>
      <c r="K1" s="492" t="n"/>
      <c r="L1" s="492" t="n"/>
      <c r="M1" s="492" t="n"/>
      <c r="N1" s="492" t="n"/>
      <c r="O1" s="492" t="n"/>
      <c r="P1" s="492" t="n"/>
      <c r="Q1" s="492" t="n"/>
      <c r="R1" s="492" t="n"/>
      <c r="S1" s="492" t="n"/>
      <c r="T1" s="492" t="n"/>
      <c r="U1" s="492" t="n"/>
      <c r="V1" s="492" t="n"/>
      <c r="W1" s="492" t="n"/>
      <c r="X1" s="492" t="n"/>
      <c r="Y1" s="492" t="n"/>
      <c r="Z1" s="492" t="n"/>
      <c r="AA1" s="492" t="n"/>
      <c r="AB1" s="492" t="n"/>
      <c r="AC1" s="492" t="n"/>
      <c r="AD1" s="492" t="n"/>
      <c r="AE1" s="492" t="n"/>
      <c r="AF1" s="492" t="n"/>
      <c r="AG1" s="492" t="n"/>
      <c r="AH1" s="492" t="n"/>
      <c r="AI1" s="492" t="n"/>
      <c r="AJ1" s="492" t="n"/>
      <c r="AK1" s="492" t="n"/>
      <c r="AL1" s="492" t="n"/>
      <c r="AM1" s="492" t="n"/>
      <c r="AN1" s="492" t="n"/>
      <c r="AO1" s="492" t="n"/>
      <c r="AP1" s="493" t="n"/>
      <c r="AQ1" s="493" t="n"/>
      <c r="AR1" s="493" t="n"/>
      <c r="AS1" s="6" t="n"/>
      <c r="AT1" s="6" t="n"/>
      <c r="AU1" s="493" t="n"/>
      <c r="AV1" s="493" t="n"/>
      <c r="AW1" s="494" t="n"/>
      <c r="AX1" s="8" t="inlineStr">
        <is>
          <t>Actual:填入買賣大表"耗療數量"</t>
        </is>
      </c>
      <c r="AY1" s="9" t="n"/>
      <c r="AZ1" s="10" t="n"/>
      <c r="BD1" s="6" t="n"/>
      <c r="BE1" s="6" t="n"/>
      <c r="BF1" s="6" t="n"/>
      <c r="BG1" s="6" t="n"/>
      <c r="BH1" s="6" t="n"/>
      <c r="BI1" s="12" t="inlineStr">
        <is>
          <t>站前4樓</t>
        </is>
      </c>
      <c r="BJ1" s="6" t="n"/>
      <c r="BK1" s="6" t="n"/>
      <c r="BL1" s="6" t="n"/>
      <c r="BM1" s="6" t="n"/>
      <c r="BN1" s="6" t="n"/>
      <c r="BO1" s="6" t="n"/>
      <c r="BP1" s="6" t="n"/>
      <c r="BQ1" s="6" t="n"/>
      <c r="BR1" s="6" t="n"/>
      <c r="BS1" s="6" t="n"/>
      <c r="BT1" s="6" t="n"/>
      <c r="BU1" s="6" t="n"/>
      <c r="BV1" s="6" t="n"/>
      <c r="BW1" s="6" t="n"/>
      <c r="BX1" s="99" t="n"/>
      <c r="BY1" s="452" t="n"/>
      <c r="BZ1" s="452" t="n"/>
      <c r="CB1" s="13" t="n"/>
      <c r="CC1" s="13" t="n"/>
      <c r="CD1" s="14" t="n"/>
      <c r="CE1" s="14" t="n"/>
    </row>
    <row r="2" ht="33" customFormat="1" customHeight="1" s="92">
      <c r="A2" s="495" t="inlineStr">
        <is>
          <t>料件編號 新</t>
        </is>
      </c>
      <c r="B2" s="496" t="n"/>
      <c r="C2" s="496" t="inlineStr">
        <is>
          <t>品名</t>
        </is>
      </c>
      <c r="D2" s="496" t="inlineStr">
        <is>
          <t>盒入數</t>
        </is>
      </c>
      <c r="E2" s="532" t="inlineStr">
        <is>
          <t>庫存
 單位</t>
        </is>
      </c>
      <c r="F2" s="449">
        <f>Summary!F2</f>
        <v/>
      </c>
      <c r="G2" s="500" t="n"/>
      <c r="H2" s="501" t="n">
        <v>44531</v>
      </c>
      <c r="I2" s="501" t="n">
        <v>44562</v>
      </c>
      <c r="J2" s="501" t="n">
        <v>44593</v>
      </c>
      <c r="K2" s="501" t="n">
        <v>44621</v>
      </c>
      <c r="L2" s="501" t="n">
        <v>44652</v>
      </c>
      <c r="M2" s="501" t="n">
        <v>44682</v>
      </c>
      <c r="N2" s="501" t="n">
        <v>44713</v>
      </c>
      <c r="O2" s="501" t="n">
        <v>44743</v>
      </c>
      <c r="P2" s="501" t="n">
        <v>44774</v>
      </c>
      <c r="Q2" s="501" t="n">
        <v>44805</v>
      </c>
      <c r="R2" s="501" t="n">
        <v>44835</v>
      </c>
      <c r="S2" s="501" t="n">
        <v>44866</v>
      </c>
      <c r="T2" s="501" t="n">
        <v>44896</v>
      </c>
      <c r="U2" s="501" t="n">
        <v>44927</v>
      </c>
      <c r="V2" s="501" t="n">
        <v>44958</v>
      </c>
      <c r="W2" s="501" t="n">
        <v>44986</v>
      </c>
      <c r="X2" s="501" t="n">
        <v>45017</v>
      </c>
      <c r="Y2" s="501" t="n">
        <v>45047</v>
      </c>
      <c r="Z2" s="501" t="n">
        <v>45078</v>
      </c>
      <c r="AA2" s="501" t="n">
        <v>45108</v>
      </c>
      <c r="AB2" s="501" t="n">
        <v>45139</v>
      </c>
      <c r="AC2" s="501" t="n">
        <v>45170</v>
      </c>
      <c r="AD2" s="501" t="n">
        <v>45200</v>
      </c>
      <c r="AE2" s="501" t="n">
        <v>45231</v>
      </c>
      <c r="AF2" s="501" t="n">
        <v>45261</v>
      </c>
      <c r="AG2" s="501" t="n">
        <v>45292</v>
      </c>
      <c r="AH2" s="501" t="n">
        <v>45323</v>
      </c>
      <c r="AI2" s="501" t="n">
        <v>45352</v>
      </c>
      <c r="AJ2" s="501" t="n">
        <v>45383</v>
      </c>
      <c r="AK2" s="501" t="n">
        <v>45413</v>
      </c>
      <c r="AL2" s="501" t="n">
        <v>45444</v>
      </c>
      <c r="AM2" s="501" t="n">
        <v>45474</v>
      </c>
      <c r="AN2" s="501" t="n">
        <v>45505</v>
      </c>
      <c r="AO2" s="501" t="n">
        <v>45536</v>
      </c>
      <c r="AP2" s="502" t="n">
        <v>45566</v>
      </c>
      <c r="AQ2" s="502" t="n">
        <v>45597</v>
      </c>
      <c r="AR2" s="502" t="n">
        <v>45627</v>
      </c>
      <c r="AS2" s="503" t="inlineStr">
        <is>
          <t>2024
總銷量
(盒裝)</t>
        </is>
      </c>
      <c r="AT2" s="503" t="inlineStr">
        <is>
          <t>2024
月均銷
(盒裝)</t>
        </is>
      </c>
      <c r="AU2" s="504" t="n">
        <v>45658</v>
      </c>
      <c r="AV2" s="504" t="n">
        <v>45689</v>
      </c>
      <c r="AW2" s="504" t="n">
        <v>45717</v>
      </c>
      <c r="AX2" s="504" t="n">
        <v>45748</v>
      </c>
      <c r="AY2" s="504" t="n">
        <v>45778</v>
      </c>
      <c r="AZ2" s="505" t="inlineStr">
        <is>
          <t>2025/06</t>
        </is>
      </c>
      <c r="BA2" s="505" t="inlineStr">
        <is>
          <t>2025/07</t>
        </is>
      </c>
      <c r="BB2" s="505" t="inlineStr">
        <is>
          <t>2025/08</t>
        </is>
      </c>
      <c r="BC2" s="505" t="inlineStr">
        <is>
          <t>2025/09</t>
        </is>
      </c>
      <c r="BD2" s="505" t="inlineStr">
        <is>
          <t>2025/10</t>
        </is>
      </c>
      <c r="BE2" s="505" t="inlineStr">
        <is>
          <t>2025/11</t>
        </is>
      </c>
      <c r="BF2" s="505" t="inlineStr">
        <is>
          <t>2025/12</t>
        </is>
      </c>
      <c r="BG2" s="507" t="inlineStr">
        <is>
          <t>2025
總銷量
(單支/條/點)</t>
        </is>
      </c>
      <c r="BH2" s="507" t="inlineStr">
        <is>
          <t>2025
月均銷
(單支/條/點)</t>
        </is>
      </c>
      <c r="BI2" s="505" t="inlineStr">
        <is>
          <t>2026/01</t>
        </is>
      </c>
      <c r="BJ2" s="505" t="inlineStr">
        <is>
          <t>2026/02</t>
        </is>
      </c>
      <c r="BK2" s="505" t="inlineStr">
        <is>
          <t>2026/03</t>
        </is>
      </c>
      <c r="BL2" s="505" t="inlineStr">
        <is>
          <t>2026/04</t>
        </is>
      </c>
      <c r="BM2" s="505" t="inlineStr">
        <is>
          <t>2026/05</t>
        </is>
      </c>
      <c r="BN2" s="505" t="inlineStr">
        <is>
          <t>2026/06</t>
        </is>
      </c>
      <c r="BO2" s="505" t="inlineStr">
        <is>
          <t>2026/07</t>
        </is>
      </c>
      <c r="BP2" s="505" t="inlineStr">
        <is>
          <t>2026/08</t>
        </is>
      </c>
      <c r="BQ2" s="505" t="inlineStr">
        <is>
          <t>2026/09</t>
        </is>
      </c>
      <c r="BR2" s="505" t="inlineStr">
        <is>
          <t>2026/10</t>
        </is>
      </c>
      <c r="BS2" s="505" t="inlineStr">
        <is>
          <t>2026/11</t>
        </is>
      </c>
      <c r="BT2" s="505" t="inlineStr">
        <is>
          <t>2026/12</t>
        </is>
      </c>
      <c r="BU2" s="507" t="inlineStr">
        <is>
          <t>2026
總銷量
(單支/條/點)</t>
        </is>
      </c>
      <c r="BV2" s="507" t="inlineStr">
        <is>
          <t>2026
月均銷
(單支/條/點)</t>
        </is>
      </c>
      <c r="BW2" s="505" t="inlineStr">
        <is>
          <t>2026/06</t>
        </is>
      </c>
      <c r="BX2" s="508" t="inlineStr">
        <is>
          <t>安庫</t>
        </is>
      </c>
      <c r="BY2" s="509" t="inlineStr">
        <is>
          <t>已簽約
寄庫數量</t>
        </is>
      </c>
      <c r="BZ2" s="509" t="inlineStr">
        <is>
          <t>10/17在途</t>
        </is>
      </c>
      <c r="CA2" s="500" t="n"/>
      <c r="CB2" s="510" t="inlineStr">
        <is>
          <t>備註</t>
        </is>
      </c>
      <c r="CC2" s="510" t="n"/>
      <c r="CD2" s="91" t="n"/>
      <c r="CE2" s="91" t="n"/>
    </row>
    <row r="3" ht="33" customFormat="1" customHeight="1" s="92">
      <c r="A3" s="511" t="n"/>
      <c r="B3" s="511" t="n"/>
      <c r="C3" s="511" t="n"/>
      <c r="D3" s="511" t="n"/>
      <c r="E3" s="511" t="n"/>
      <c r="F3" s="189" t="inlineStr">
        <is>
          <t>站前4樓
庫存</t>
        </is>
      </c>
      <c r="G3" s="93" t="inlineStr">
        <is>
          <t>忠孝庫存</t>
        </is>
      </c>
      <c r="H3" s="94" t="inlineStr">
        <is>
          <t>Actual</t>
        </is>
      </c>
      <c r="I3" s="94" t="inlineStr">
        <is>
          <t>Actual</t>
        </is>
      </c>
      <c r="J3" s="94" t="inlineStr">
        <is>
          <t>Actual</t>
        </is>
      </c>
      <c r="K3" s="94" t="inlineStr">
        <is>
          <t>Actual</t>
        </is>
      </c>
      <c r="L3" s="94" t="inlineStr">
        <is>
          <t>Actual</t>
        </is>
      </c>
      <c r="M3" s="94" t="inlineStr">
        <is>
          <t>Actual</t>
        </is>
      </c>
      <c r="N3" s="94" t="inlineStr">
        <is>
          <t>Actual</t>
        </is>
      </c>
      <c r="O3" s="94" t="inlineStr">
        <is>
          <t>Actual</t>
        </is>
      </c>
      <c r="P3" s="94" t="inlineStr">
        <is>
          <t>Actual</t>
        </is>
      </c>
      <c r="Q3" s="94" t="inlineStr">
        <is>
          <t>Actual</t>
        </is>
      </c>
      <c r="R3" s="94" t="inlineStr">
        <is>
          <t>Actual</t>
        </is>
      </c>
      <c r="S3" s="94" t="inlineStr">
        <is>
          <t>Actual</t>
        </is>
      </c>
      <c r="T3" s="94" t="inlineStr">
        <is>
          <t>Actual</t>
        </is>
      </c>
      <c r="U3" s="94" t="inlineStr">
        <is>
          <t>Actual</t>
        </is>
      </c>
      <c r="V3" s="94" t="inlineStr">
        <is>
          <t>Actual</t>
        </is>
      </c>
      <c r="W3" s="94" t="inlineStr">
        <is>
          <t>Actual</t>
        </is>
      </c>
      <c r="X3" s="94" t="inlineStr">
        <is>
          <t>Actual</t>
        </is>
      </c>
      <c r="Y3" s="94" t="inlineStr">
        <is>
          <t>Actual</t>
        </is>
      </c>
      <c r="Z3" s="94" t="inlineStr">
        <is>
          <t>Actual</t>
        </is>
      </c>
      <c r="AA3" s="94" t="inlineStr">
        <is>
          <t>Actual</t>
        </is>
      </c>
      <c r="AB3" s="94" t="inlineStr">
        <is>
          <t>Actual</t>
        </is>
      </c>
      <c r="AC3" s="94" t="inlineStr">
        <is>
          <t>Actual</t>
        </is>
      </c>
      <c r="AD3" s="94" t="inlineStr">
        <is>
          <t>Actual</t>
        </is>
      </c>
      <c r="AE3" s="94" t="inlineStr">
        <is>
          <t>Actual</t>
        </is>
      </c>
      <c r="AF3" s="94" t="inlineStr">
        <is>
          <t>Actual</t>
        </is>
      </c>
      <c r="AG3" s="94" t="inlineStr">
        <is>
          <t>Actual</t>
        </is>
      </c>
      <c r="AH3" s="94" t="inlineStr">
        <is>
          <t>Actual</t>
        </is>
      </c>
      <c r="AI3" s="94" t="inlineStr">
        <is>
          <t>Actual</t>
        </is>
      </c>
      <c r="AJ3" s="94" t="inlineStr">
        <is>
          <t>Actual</t>
        </is>
      </c>
      <c r="AK3" s="94" t="inlineStr">
        <is>
          <t>Actual</t>
        </is>
      </c>
      <c r="AL3" s="94" t="inlineStr">
        <is>
          <t>Actual</t>
        </is>
      </c>
      <c r="AM3" s="94" t="inlineStr">
        <is>
          <t>Actual</t>
        </is>
      </c>
      <c r="AN3" s="94" t="inlineStr">
        <is>
          <t>Actual</t>
        </is>
      </c>
      <c r="AO3" s="94" t="inlineStr">
        <is>
          <t>Actual</t>
        </is>
      </c>
      <c r="AP3" s="94" t="inlineStr">
        <is>
          <t>Actual</t>
        </is>
      </c>
      <c r="AQ3" s="94" t="inlineStr">
        <is>
          <t>Actual</t>
        </is>
      </c>
      <c r="AR3" s="94" t="inlineStr">
        <is>
          <t>Actual</t>
        </is>
      </c>
      <c r="AS3" s="511" t="n"/>
      <c r="AT3" s="511" t="n"/>
      <c r="AU3" s="95" t="inlineStr">
        <is>
          <t>Actual</t>
        </is>
      </c>
      <c r="AV3" s="95" t="inlineStr">
        <is>
          <t>Actual</t>
        </is>
      </c>
      <c r="AW3" s="95" t="inlineStr">
        <is>
          <t>Actual</t>
        </is>
      </c>
      <c r="AX3" s="95" t="inlineStr">
        <is>
          <t>Actual</t>
        </is>
      </c>
      <c r="AY3" s="95" t="inlineStr">
        <is>
          <t>Actual</t>
        </is>
      </c>
      <c r="AZ3" s="95" t="inlineStr">
        <is>
          <t>Actual</t>
        </is>
      </c>
      <c r="BA3" s="95" t="inlineStr">
        <is>
          <t>Actual</t>
        </is>
      </c>
      <c r="BB3" s="95" t="inlineStr">
        <is>
          <t>Actual</t>
        </is>
      </c>
      <c r="BC3" s="95" t="inlineStr">
        <is>
          <t>Actual</t>
        </is>
      </c>
      <c r="BD3" s="95" t="inlineStr">
        <is>
          <t>Actual</t>
        </is>
      </c>
      <c r="BE3" s="95" t="inlineStr">
        <is>
          <t>Actual</t>
        </is>
      </c>
      <c r="BF3" s="95" t="inlineStr">
        <is>
          <t>Actual</t>
        </is>
      </c>
      <c r="BG3" s="511" t="n"/>
      <c r="BH3" s="511" t="n"/>
      <c r="BI3" s="95" t="inlineStr">
        <is>
          <t>Actual</t>
        </is>
      </c>
      <c r="BJ3" s="95" t="inlineStr">
        <is>
          <t>Actual</t>
        </is>
      </c>
      <c r="BK3" s="95" t="inlineStr">
        <is>
          <t>Actual</t>
        </is>
      </c>
      <c r="BL3" s="95" t="inlineStr">
        <is>
          <t>Actual</t>
        </is>
      </c>
      <c r="BM3" s="95" t="inlineStr">
        <is>
          <t>Actual</t>
        </is>
      </c>
      <c r="BN3" s="95" t="inlineStr">
        <is>
          <t>Actual</t>
        </is>
      </c>
      <c r="BO3" s="95" t="inlineStr">
        <is>
          <t>Actual</t>
        </is>
      </c>
      <c r="BP3" s="95" t="inlineStr">
        <is>
          <t>Actual</t>
        </is>
      </c>
      <c r="BQ3" s="95" t="inlineStr">
        <is>
          <t>Actual</t>
        </is>
      </c>
      <c r="BR3" s="95" t="inlineStr">
        <is>
          <t>Actual</t>
        </is>
      </c>
      <c r="BS3" s="95" t="inlineStr">
        <is>
          <t>Actual</t>
        </is>
      </c>
      <c r="BT3" s="95" t="inlineStr">
        <is>
          <t>Actual</t>
        </is>
      </c>
      <c r="BU3" s="511" t="n"/>
      <c r="BV3" s="511" t="n"/>
      <c r="BW3" s="403" t="inlineStr">
        <is>
          <t>Forecast</t>
        </is>
      </c>
      <c r="BX3" s="511" t="n"/>
      <c r="BY3" s="511" t="n"/>
      <c r="BZ3" s="113" t="inlineStr">
        <is>
          <t>站前診所</t>
        </is>
      </c>
      <c r="CA3" s="113" t="inlineStr">
        <is>
          <t>忠孝診所</t>
        </is>
      </c>
      <c r="CB3" s="511" t="n"/>
      <c r="CC3" s="511" t="n"/>
      <c r="CD3" s="91" t="n"/>
      <c r="CE3" s="91" t="n"/>
    </row>
    <row r="4" ht="16.5" customFormat="1" customHeight="1" s="118">
      <c r="A4" s="136" t="inlineStr">
        <is>
          <t>MP1MA020019A</t>
        </is>
      </c>
      <c r="B4" s="118" t="n">
        <v>6150001</v>
      </c>
      <c r="C4" s="118" t="inlineStr">
        <is>
          <t>喬雅登豐麗緹玻尿酸植入物Voluma 1ml/ syringe(1支)</t>
        </is>
      </c>
      <c r="D4" s="197" t="n">
        <v>2</v>
      </c>
      <c r="E4" s="198" t="inlineStr">
        <is>
          <t>PCS</t>
        </is>
      </c>
      <c r="F4" s="349" t="n">
        <v>100</v>
      </c>
      <c r="G4" s="349" t="n"/>
      <c r="H4" s="200" t="n">
        <v>3</v>
      </c>
      <c r="I4" s="200" t="n">
        <v>3</v>
      </c>
      <c r="J4" s="200" t="n">
        <v>2</v>
      </c>
      <c r="K4" s="200" t="n">
        <v>5</v>
      </c>
      <c r="L4" s="200" t="n">
        <v>4</v>
      </c>
      <c r="M4" s="200" t="n">
        <v>6</v>
      </c>
      <c r="N4" s="200" t="n">
        <v>0</v>
      </c>
      <c r="O4" s="200" t="n">
        <v>0</v>
      </c>
      <c r="P4" s="200" t="n">
        <v>14</v>
      </c>
      <c r="Q4" s="200" t="n">
        <v>0</v>
      </c>
      <c r="R4" s="200" t="n">
        <v>6</v>
      </c>
      <c r="S4" s="200" t="n">
        <v>6</v>
      </c>
      <c r="T4" s="200" t="n">
        <v>20</v>
      </c>
      <c r="U4" s="200" t="n">
        <v>4</v>
      </c>
      <c r="V4" s="200" t="n">
        <v>3</v>
      </c>
      <c r="W4" s="200" t="n">
        <v>0</v>
      </c>
      <c r="X4" s="200" t="n">
        <v>2</v>
      </c>
      <c r="Y4" s="200" t="n">
        <v>1</v>
      </c>
      <c r="Z4" s="200" t="n">
        <v>9</v>
      </c>
      <c r="AA4" s="200" t="n">
        <v>16</v>
      </c>
      <c r="AB4" s="200" t="n">
        <v>2</v>
      </c>
      <c r="AC4" s="200" t="n">
        <v>3</v>
      </c>
      <c r="AD4" s="200" t="n">
        <v>3</v>
      </c>
      <c r="AE4" s="200" t="n">
        <v>2</v>
      </c>
      <c r="AF4" s="200" t="n">
        <v>6</v>
      </c>
      <c r="AG4" s="201" t="n">
        <v>7.5</v>
      </c>
      <c r="AH4" s="201" t="n">
        <v>6.5</v>
      </c>
      <c r="AI4" s="201" t="n">
        <v>11</v>
      </c>
      <c r="AJ4" s="201" t="n">
        <v>11.5</v>
      </c>
      <c r="AK4" s="201" t="n">
        <v>11.5</v>
      </c>
      <c r="AL4" s="201" t="n">
        <v>21</v>
      </c>
      <c r="AM4" s="201" t="n">
        <v>9.5</v>
      </c>
      <c r="AN4" s="201" t="n">
        <v>11</v>
      </c>
      <c r="AO4" s="201" t="n">
        <v>17</v>
      </c>
      <c r="AP4" s="201" t="n">
        <v>8.5</v>
      </c>
      <c r="AQ4" s="512" t="n">
        <v>19.5</v>
      </c>
      <c r="AR4" s="203" t="n">
        <v>18</v>
      </c>
      <c r="AS4" s="204">
        <f>SUM(AG4:AR4)</f>
        <v/>
      </c>
      <c r="AT4" s="513">
        <f>AS4/12</f>
        <v/>
      </c>
      <c r="AU4" s="203" t="n">
        <v>64</v>
      </c>
      <c r="AV4" s="203" t="n">
        <v>29</v>
      </c>
      <c r="AW4" s="203" t="n">
        <v>54</v>
      </c>
      <c r="AX4" s="203" t="n">
        <v>60</v>
      </c>
      <c r="AY4" s="203" t="n">
        <v>75</v>
      </c>
      <c r="AZ4" s="203">
        <f>SUMIFS(領用表!$L:$L,領用表!$E:$E,$B4,領用表!$B:$B,AZ$2&amp;$BI$1)</f>
        <v/>
      </c>
      <c r="BA4" s="203">
        <f>SUMIFS(領用表!$L:$L,領用表!$E:$E,$B4,領用表!$B:$B,BA$2&amp;$BI$1)</f>
        <v/>
      </c>
      <c r="BB4" s="203">
        <f>SUMIFS(領用表!$L:$L,領用表!$E:$E,$B4,領用表!$B:$B,BB$2&amp;$BI$1)</f>
        <v/>
      </c>
      <c r="BC4" s="203">
        <f>SUMIFS(領用表!$L:$L,領用表!$E:$E,$B4,領用表!$B:$B,BC$2&amp;$BI$1)</f>
        <v/>
      </c>
      <c r="BD4" s="208">
        <f>SUMIFS(領用表!$L:$L,領用表!$E:$E,$B4,領用表!$B:$B,BD$2&amp;$BI$1)</f>
        <v/>
      </c>
      <c r="BE4" s="208">
        <f>SUMIFS(領用表!$L:$L,領用表!$E:$E,$B4,領用表!$B:$B,BE$2&amp;$BI$1)</f>
        <v/>
      </c>
      <c r="BF4" s="208">
        <f>SUMIFS(領用表!$L:$L,領用表!$E:$E,$B4,領用表!$B:$B,BF$2&amp;$BI$1)</f>
        <v/>
      </c>
      <c r="BG4" s="207">
        <f>SUM(AU4,AV4,AW4,AX4,AY4,AZ4,BA4,BB4,BC4,BD4,BE4,BF4)</f>
        <v/>
      </c>
      <c r="BH4" s="207">
        <f>AVERAGE(AU4,AV4,AW4,AX4,AY4,AZ4,BA4,BB4,BC4,BD4,BE4,BF4)</f>
        <v/>
      </c>
      <c r="BI4" s="208">
        <f>SUMIFS(領用表!$L:$L,領用表!$E:$E,$B4,領用表!$B:$B,BI$2&amp;$BI$1)</f>
        <v/>
      </c>
      <c r="BJ4" s="208">
        <f>SUMIFS(領用表!$L:$L,領用表!$E:$E,$B4,領用表!$B:$B,BJ$2&amp;$BI$1)</f>
        <v/>
      </c>
      <c r="BK4" s="208">
        <f>SUMIFS(領用表!$L:$L,領用表!$E:$E,$B4,領用表!$B:$B,BK$2&amp;$BI$1)</f>
        <v/>
      </c>
      <c r="BL4" s="208">
        <f>SUMIFS(領用表!$L:$L,領用表!$E:$E,$B4,領用表!$B:$B,BL$2&amp;$BI$1)</f>
        <v/>
      </c>
      <c r="BM4" s="208">
        <f>SUMIFS(領用表!$L:$L,領用表!$E:$E,$B4,領用表!$B:$B,BM$2&amp;$BI$1)</f>
        <v/>
      </c>
      <c r="BN4" s="208" t="n">
        <v>42</v>
      </c>
      <c r="BO4" s="208">
        <f>SUMIFS(領用表!$L:$L,領用表!$E:$E,$B4,領用表!$B:$B,BO$2&amp;$BI$1)</f>
        <v/>
      </c>
      <c r="BP4" s="208">
        <f>SUMIFS(領用表!$L:$L,領用表!$E:$E,$B4,領用表!$B:$B,BP$2&amp;$BI$1)</f>
        <v/>
      </c>
      <c r="BQ4" s="208">
        <f>SUMIFS(領用表!$L:$L,領用表!$E:$E,$B4,領用表!$B:$B,BQ$2&amp;$BI$1)</f>
        <v/>
      </c>
      <c r="BR4" s="208">
        <f>SUMIFS(領用表!$L:$L,領用表!$E:$E,$B4,領用表!$B:$B,BR$2&amp;$BI$1)</f>
        <v/>
      </c>
      <c r="BS4" s="208">
        <f>SUMIFS(領用表!$L:$L,領用表!$E:$E,$B4,領用表!$B:$B,BS$2&amp;$BI$1)</f>
        <v/>
      </c>
      <c r="BT4" s="208">
        <f>SUMIFS(領用表!$L:$L,領用表!$E:$E,$B4,領用表!$B:$B,BT$2&amp;$BI$1)</f>
        <v/>
      </c>
      <c r="BU4" s="208">
        <f>SUM(BI4,BJ4,BK4,BL4,BM4,BN4)</f>
        <v/>
      </c>
      <c r="BV4" s="208">
        <f>AVERAGE(BI4,BJ4,BK4,BL4,BM4,BN4)</f>
        <v/>
      </c>
      <c r="BW4" s="208">
        <f>SUMIF(Summary!B:B,B4,Summary!DZ:DZ)</f>
        <v/>
      </c>
      <c r="BX4" s="209" t="n"/>
      <c r="BY4" s="210" t="n">
        <v>0</v>
      </c>
      <c r="BZ4" s="211" t="inlineStr">
        <is>
          <t>40盒(10/21)</t>
        </is>
      </c>
      <c r="CA4" s="211" t="inlineStr">
        <is>
          <t>10盒(10/21)</t>
        </is>
      </c>
      <c r="CB4" s="136" t="n"/>
      <c r="CC4" s="212" t="n"/>
      <c r="CE4" s="213" t="n"/>
    </row>
    <row r="5" ht="15.75" customFormat="1" customHeight="1" s="118">
      <c r="A5" s="136" t="inlineStr">
        <is>
          <t>MP1MA020020A</t>
        </is>
      </c>
      <c r="B5" s="118" t="n">
        <v>6150002</v>
      </c>
      <c r="C5" s="411" t="inlineStr">
        <is>
          <t>喬雅登夢蓓菈玻尿酸植入物Volbella 1ml/ syringe(1支)</t>
        </is>
      </c>
      <c r="D5" s="197" t="n">
        <v>2</v>
      </c>
      <c r="E5" s="198" t="inlineStr">
        <is>
          <t>PCS</t>
        </is>
      </c>
      <c r="F5" s="349" t="n">
        <v>4</v>
      </c>
      <c r="G5" s="349" t="n"/>
      <c r="H5" s="200" t="n">
        <v>0</v>
      </c>
      <c r="I5" s="200" t="n">
        <v>3</v>
      </c>
      <c r="J5" s="200" t="n">
        <v>0</v>
      </c>
      <c r="K5" s="200" t="n">
        <v>3</v>
      </c>
      <c r="L5" s="200" t="n">
        <v>0</v>
      </c>
      <c r="M5" s="200" t="n">
        <v>0</v>
      </c>
      <c r="N5" s="200" t="n">
        <v>0</v>
      </c>
      <c r="O5" s="200" t="n">
        <v>0</v>
      </c>
      <c r="P5" s="200" t="n">
        <v>3</v>
      </c>
      <c r="Q5" s="200" t="n">
        <v>0</v>
      </c>
      <c r="R5" s="200" t="n">
        <v>2</v>
      </c>
      <c r="S5" s="200" t="n">
        <v>0</v>
      </c>
      <c r="T5" s="200" t="n">
        <v>2</v>
      </c>
      <c r="U5" s="200" t="n">
        <v>5</v>
      </c>
      <c r="V5" s="200" t="n">
        <v>0</v>
      </c>
      <c r="W5" s="200" t="n">
        <v>0</v>
      </c>
      <c r="X5" s="200" t="n">
        <v>0</v>
      </c>
      <c r="Y5" s="200" t="n">
        <v>1</v>
      </c>
      <c r="Z5" s="200" t="n">
        <v>0</v>
      </c>
      <c r="AA5" s="200" t="n">
        <v>4</v>
      </c>
      <c r="AB5" s="200" t="n">
        <v>0</v>
      </c>
      <c r="AC5" s="200" t="n">
        <v>1</v>
      </c>
      <c r="AD5" s="200" t="n">
        <v>1</v>
      </c>
      <c r="AE5" s="200" t="n">
        <v>3</v>
      </c>
      <c r="AF5" s="200" t="n">
        <v>19</v>
      </c>
      <c r="AG5" s="201" t="n">
        <v>4.5</v>
      </c>
      <c r="AH5" s="201" t="n">
        <v>0.5</v>
      </c>
      <c r="AI5" s="201" t="n">
        <v>3.5</v>
      </c>
      <c r="AJ5" s="201" t="n">
        <v>0.5</v>
      </c>
      <c r="AK5" s="201" t="n">
        <v>3</v>
      </c>
      <c r="AL5" s="201" t="n">
        <v>5.5</v>
      </c>
      <c r="AM5" s="201" t="n">
        <v>4.5</v>
      </c>
      <c r="AN5" s="201" t="n">
        <v>3.5</v>
      </c>
      <c r="AO5" s="201" t="n">
        <v>1</v>
      </c>
      <c r="AP5" s="201" t="n">
        <v>1</v>
      </c>
      <c r="AQ5" s="512" t="n">
        <v>3</v>
      </c>
      <c r="AR5" s="203" t="n">
        <v>6</v>
      </c>
      <c r="AS5" s="204">
        <f>SUM(AG5:AR5)</f>
        <v/>
      </c>
      <c r="AT5" s="513">
        <f>AS5/12</f>
        <v/>
      </c>
      <c r="AU5" s="203" t="n">
        <v>11</v>
      </c>
      <c r="AV5" s="203" t="n">
        <v>2</v>
      </c>
      <c r="AW5" s="203" t="n">
        <v>1</v>
      </c>
      <c r="AX5" s="203" t="n">
        <v>9</v>
      </c>
      <c r="AY5" s="203" t="n">
        <v>3</v>
      </c>
      <c r="AZ5" s="203">
        <f>SUMIFS(領用表!$L:$L,領用表!$E:$E,$B5,領用表!$B:$B,AZ$2&amp;$BI$1)</f>
        <v/>
      </c>
      <c r="BA5" s="203">
        <f>SUMIFS(領用表!$L:$L,領用表!$E:$E,$B5,領用表!$B:$B,BA$2&amp;$BI$1)</f>
        <v/>
      </c>
      <c r="BB5" s="203">
        <f>SUMIFS(領用表!$L:$L,領用表!$E:$E,$B5,領用表!$B:$B,BB$2&amp;$BI$1)</f>
        <v/>
      </c>
      <c r="BC5" s="203">
        <f>SUMIFS(領用表!$L:$L,領用表!$E:$E,$B5,領用表!$B:$B,BC$2&amp;$BI$1)</f>
        <v/>
      </c>
      <c r="BD5" s="208">
        <f>SUMIFS(領用表!$L:$L,領用表!$E:$E,$B5,領用表!$B:$B,BD$2&amp;$BI$1)</f>
        <v/>
      </c>
      <c r="BE5" s="208">
        <f>SUMIFS(領用表!$L:$L,領用表!$E:$E,$B5,領用表!$B:$B,BE$2&amp;$BI$1)</f>
        <v/>
      </c>
      <c r="BF5" s="208">
        <f>SUMIFS(領用表!$L:$L,領用表!$E:$E,$B5,領用表!$B:$B,BF$2&amp;$BI$1)</f>
        <v/>
      </c>
      <c r="BG5" s="207">
        <f>SUM(AU5,AV5,AW5,AX5,AY5,AZ5,BA5,BB5,BC5,BD5,BE5,BF5)</f>
        <v/>
      </c>
      <c r="BH5" s="207">
        <f>AVERAGE(AU5,AV5,AW5,AX5,AY5,AZ5,BA5,BB5,BC5,BD5,BE5,BF5)</f>
        <v/>
      </c>
      <c r="BI5" s="208">
        <f>SUMIFS(領用表!$L:$L,領用表!$E:$E,$B5,領用表!$B:$B,BI$2&amp;$BI$1)</f>
        <v/>
      </c>
      <c r="BJ5" s="208">
        <f>SUMIFS(領用表!$L:$L,領用表!$E:$E,$B5,領用表!$B:$B,BJ$2&amp;$BI$1)</f>
        <v/>
      </c>
      <c r="BK5" s="208">
        <f>SUMIFS(領用表!$L:$L,領用表!$E:$E,$B5,領用表!$B:$B,BK$2&amp;$BI$1)</f>
        <v/>
      </c>
      <c r="BL5" s="208">
        <f>SUMIFS(領用表!$L:$L,領用表!$E:$E,$B5,領用表!$B:$B,BL$2&amp;$BI$1)</f>
        <v/>
      </c>
      <c r="BM5" s="208">
        <f>SUMIFS(領用表!$L:$L,領用表!$E:$E,$B5,領用表!$B:$B,BM$2&amp;$BI$1)</f>
        <v/>
      </c>
      <c r="BN5" s="208" t="n">
        <v>3</v>
      </c>
      <c r="BO5" s="208">
        <f>SUMIFS(領用表!$L:$L,領用表!$E:$E,$B5,領用表!$B:$B,BO$2&amp;$BI$1)</f>
        <v/>
      </c>
      <c r="BP5" s="208">
        <f>SUMIFS(領用表!$L:$L,領用表!$E:$E,$B5,領用表!$B:$B,BP$2&amp;$BI$1)</f>
        <v/>
      </c>
      <c r="BQ5" s="208">
        <f>SUMIFS(領用表!$L:$L,領用表!$E:$E,$B5,領用表!$B:$B,BQ$2&amp;$BI$1)</f>
        <v/>
      </c>
      <c r="BR5" s="208">
        <f>SUMIFS(領用表!$L:$L,領用表!$E:$E,$B5,領用表!$B:$B,BR$2&amp;$BI$1)</f>
        <v/>
      </c>
      <c r="BS5" s="208">
        <f>SUMIFS(領用表!$L:$L,領用表!$E:$E,$B5,領用表!$B:$B,BS$2&amp;$BI$1)</f>
        <v/>
      </c>
      <c r="BT5" s="208">
        <f>SUMIFS(領用表!$L:$L,領用表!$E:$E,$B5,領用表!$B:$B,BT$2&amp;$BI$1)</f>
        <v/>
      </c>
      <c r="BU5" s="208">
        <f>SUM(BI5,BJ5,BK5,BL5,BM5,BN5)</f>
        <v/>
      </c>
      <c r="BV5" s="208">
        <f>AVERAGE(BI5,BJ5,BK5,BL5,BM5,BN5)</f>
        <v/>
      </c>
      <c r="BW5" s="208">
        <f>SUMIF(Summary!B:B,B5,Summary!DZ:DZ)</f>
        <v/>
      </c>
      <c r="BX5" s="209" t="n"/>
      <c r="BY5" s="210" t="n">
        <v>0</v>
      </c>
      <c r="BZ5" s="211" t="n"/>
      <c r="CA5" s="211" t="inlineStr">
        <is>
          <t>10盒(10/21)</t>
        </is>
      </c>
      <c r="CB5" s="136" t="n"/>
      <c r="CC5" s="212" t="n"/>
      <c r="CE5" s="213" t="n"/>
    </row>
    <row r="6" ht="15.75" customFormat="1" customHeight="1" s="118">
      <c r="A6" s="136" t="inlineStr">
        <is>
          <t>MP1MA020021A</t>
        </is>
      </c>
      <c r="B6" s="118" t="n">
        <v>6150003</v>
      </c>
      <c r="C6" s="118" t="inlineStr">
        <is>
          <t>喬雅登豐麗緹玻尿酸植入物Volift 1ml/ syringe(1支)</t>
        </is>
      </c>
      <c r="D6" s="197" t="n">
        <v>2</v>
      </c>
      <c r="E6" s="198" t="inlineStr">
        <is>
          <t>PCS</t>
        </is>
      </c>
      <c r="F6" s="349" t="n">
        <v>4</v>
      </c>
      <c r="G6" s="349" t="n"/>
      <c r="H6" s="200" t="n">
        <v>1</v>
      </c>
      <c r="I6" s="200" t="n">
        <v>1</v>
      </c>
      <c r="J6" s="200" t="n">
        <v>0</v>
      </c>
      <c r="K6" s="200" t="n">
        <v>0</v>
      </c>
      <c r="L6" s="200" t="n">
        <v>2</v>
      </c>
      <c r="M6" s="200" t="n">
        <v>1</v>
      </c>
      <c r="N6" s="200" t="n">
        <v>0</v>
      </c>
      <c r="O6" s="200" t="n">
        <v>0</v>
      </c>
      <c r="P6" s="200" t="n">
        <v>2</v>
      </c>
      <c r="Q6" s="200" t="n">
        <v>0</v>
      </c>
      <c r="R6" s="200" t="n">
        <v>0</v>
      </c>
      <c r="S6" s="200" t="n">
        <v>1</v>
      </c>
      <c r="T6" s="200" t="n">
        <v>6</v>
      </c>
      <c r="U6" s="200" t="n">
        <v>3</v>
      </c>
      <c r="V6" s="200" t="n">
        <v>0</v>
      </c>
      <c r="W6" s="200" t="n">
        <v>0</v>
      </c>
      <c r="X6" s="200" t="n">
        <v>0</v>
      </c>
      <c r="Y6" s="200" t="n">
        <v>2</v>
      </c>
      <c r="Z6" s="200" t="n">
        <v>1</v>
      </c>
      <c r="AA6" s="200" t="n">
        <v>3</v>
      </c>
      <c r="AB6" s="200" t="n">
        <v>0</v>
      </c>
      <c r="AC6" s="200" t="n">
        <v>0</v>
      </c>
      <c r="AD6" s="200" t="n">
        <v>0</v>
      </c>
      <c r="AE6" s="200" t="n">
        <v>2</v>
      </c>
      <c r="AF6" s="200" t="n">
        <v>10</v>
      </c>
      <c r="AG6" s="201" t="n">
        <v>1</v>
      </c>
      <c r="AH6" s="201" t="n">
        <v>0</v>
      </c>
      <c r="AI6" s="201" t="n">
        <v>0.5</v>
      </c>
      <c r="AJ6" s="201" t="n">
        <v>0.5</v>
      </c>
      <c r="AK6" s="201" t="n">
        <v>0</v>
      </c>
      <c r="AL6" s="201" t="n">
        <v>2.5</v>
      </c>
      <c r="AM6" s="201" t="n">
        <v>0.5</v>
      </c>
      <c r="AN6" s="201" t="n">
        <v>0.5</v>
      </c>
      <c r="AO6" s="201" t="n">
        <v>7</v>
      </c>
      <c r="AP6" s="201" t="n">
        <v>10</v>
      </c>
      <c r="AQ6" s="512" t="n">
        <v>0.5</v>
      </c>
      <c r="AR6" s="203" t="n">
        <v>0</v>
      </c>
      <c r="AS6" s="204">
        <f>SUM(AG6:AR6)</f>
        <v/>
      </c>
      <c r="AT6" s="513">
        <f>AS6/12</f>
        <v/>
      </c>
      <c r="AU6" s="203" t="n">
        <v>1</v>
      </c>
      <c r="AV6" s="203" t="n">
        <v>0</v>
      </c>
      <c r="AW6" s="203" t="n">
        <v>0</v>
      </c>
      <c r="AX6" s="214" t="n">
        <v>1</v>
      </c>
      <c r="AY6" s="203" t="n">
        <v>6</v>
      </c>
      <c r="AZ6" s="203">
        <f>SUMIFS(領用表!$L:$L,領用表!$E:$E,$B6,領用表!$B:$B,AZ$2&amp;$BI$1)</f>
        <v/>
      </c>
      <c r="BA6" s="203">
        <f>SUMIFS(領用表!$L:$L,領用表!$E:$E,$B6,領用表!$B:$B,BA$2&amp;$BI$1)</f>
        <v/>
      </c>
      <c r="BB6" s="203">
        <f>SUMIFS(領用表!$L:$L,領用表!$E:$E,$B6,領用表!$B:$B,BB$2&amp;$BI$1)</f>
        <v/>
      </c>
      <c r="BC6" s="203">
        <f>SUMIFS(領用表!$L:$L,領用表!$E:$E,$B6,領用表!$B:$B,BC$2&amp;$BI$1)</f>
        <v/>
      </c>
      <c r="BD6" s="208">
        <f>SUMIFS(領用表!$L:$L,領用表!$E:$E,$B6,領用表!$B:$B,BD$2&amp;$BI$1)</f>
        <v/>
      </c>
      <c r="BE6" s="208">
        <f>SUMIFS(領用表!$L:$L,領用表!$E:$E,$B6,領用表!$B:$B,BE$2&amp;$BI$1)</f>
        <v/>
      </c>
      <c r="BF6" s="208">
        <f>SUMIFS(領用表!$L:$L,領用表!$E:$E,$B6,領用表!$B:$B,BF$2&amp;$BI$1)</f>
        <v/>
      </c>
      <c r="BG6" s="207">
        <f>SUM(AU6,AV6,AW6,AX6,AY6,AZ6,BA6,BB6,BC6,BD6,BE6,BF6)</f>
        <v/>
      </c>
      <c r="BH6" s="207">
        <f>AVERAGE(AU6,AV6,AW6,AX6,AY6,AZ6,BA6,BB6,BC6,BD6,BE6,BF6)</f>
        <v/>
      </c>
      <c r="BI6" s="208">
        <f>SUMIFS(領用表!$L:$L,領用表!$E:$E,$B6,領用表!$B:$B,BI$2&amp;$BI$1)</f>
        <v/>
      </c>
      <c r="BJ6" s="208">
        <f>SUMIFS(領用表!$L:$L,領用表!$E:$E,$B6,領用表!$B:$B,BJ$2&amp;$BI$1)</f>
        <v/>
      </c>
      <c r="BK6" s="208">
        <f>SUMIFS(領用表!$L:$L,領用表!$E:$E,$B6,領用表!$B:$B,BK$2&amp;$BI$1)</f>
        <v/>
      </c>
      <c r="BL6" s="208">
        <f>SUMIFS(領用表!$L:$L,領用表!$E:$E,$B6,領用表!$B:$B,BL$2&amp;$BI$1)</f>
        <v/>
      </c>
      <c r="BM6" s="208">
        <f>SUMIFS(領用表!$L:$L,領用表!$E:$E,$B6,領用表!$B:$B,BM$2&amp;$BI$1)</f>
        <v/>
      </c>
      <c r="BN6" s="208" t="n">
        <v>1</v>
      </c>
      <c r="BO6" s="208">
        <f>SUMIFS(領用表!$L:$L,領用表!$E:$E,$B6,領用表!$B:$B,BO$2&amp;$BI$1)</f>
        <v/>
      </c>
      <c r="BP6" s="208">
        <f>SUMIFS(領用表!$L:$L,領用表!$E:$E,$B6,領用表!$B:$B,BP$2&amp;$BI$1)</f>
        <v/>
      </c>
      <c r="BQ6" s="208">
        <f>SUMIFS(領用表!$L:$L,領用表!$E:$E,$B6,領用表!$B:$B,BQ$2&amp;$BI$1)</f>
        <v/>
      </c>
      <c r="BR6" s="208">
        <f>SUMIFS(領用表!$L:$L,領用表!$E:$E,$B6,領用表!$B:$B,BR$2&amp;$BI$1)</f>
        <v/>
      </c>
      <c r="BS6" s="208">
        <f>SUMIFS(領用表!$L:$L,領用表!$E:$E,$B6,領用表!$B:$B,BS$2&amp;$BI$1)</f>
        <v/>
      </c>
      <c r="BT6" s="208">
        <f>SUMIFS(領用表!$L:$L,領用表!$E:$E,$B6,領用表!$B:$B,BT$2&amp;$BI$1)</f>
        <v/>
      </c>
      <c r="BU6" s="208">
        <f>SUM(BI6,BJ6,BK6,BL6,BM6,BN6)</f>
        <v/>
      </c>
      <c r="BV6" s="208">
        <f>AVERAGE(BI6,BJ6,BK6,BL6,BM6,BN6)</f>
        <v/>
      </c>
      <c r="BW6" s="208">
        <f>SUMIF(Summary!B:B,B6,Summary!DZ:DZ)</f>
        <v/>
      </c>
      <c r="BX6" s="215" t="n"/>
      <c r="BY6" s="210" t="n">
        <v>0</v>
      </c>
      <c r="BZ6" s="211" t="n"/>
      <c r="CA6" s="211" t="n"/>
      <c r="CB6" s="136" t="n"/>
      <c r="CC6" s="212" t="n"/>
      <c r="CE6" s="213" t="n"/>
    </row>
    <row r="7" ht="15.75" customFormat="1" customHeight="1" s="118">
      <c r="A7" s="136" t="inlineStr">
        <is>
          <t>MP1MA020022A</t>
        </is>
      </c>
      <c r="B7" s="118" t="n">
        <v>6150004</v>
      </c>
      <c r="C7" s="118" t="inlineStr">
        <is>
          <t>喬雅登豐塑玻尿酸植入物Volux 1ml/ syringe(1支)</t>
        </is>
      </c>
      <c r="D7" s="197" t="n">
        <v>2</v>
      </c>
      <c r="E7" s="198" t="inlineStr">
        <is>
          <t>PCS</t>
        </is>
      </c>
      <c r="F7" s="349" t="n">
        <v>10</v>
      </c>
      <c r="G7" s="349" t="n"/>
      <c r="H7" s="200" t="n">
        <v>2</v>
      </c>
      <c r="I7" s="200" t="n">
        <v>2</v>
      </c>
      <c r="J7" s="200" t="n">
        <v>0</v>
      </c>
      <c r="K7" s="200" t="n">
        <v>2</v>
      </c>
      <c r="L7" s="200" t="n">
        <v>2</v>
      </c>
      <c r="M7" s="200" t="n">
        <v>2</v>
      </c>
      <c r="N7" s="200" t="n">
        <v>0</v>
      </c>
      <c r="O7" s="200" t="n">
        <v>0</v>
      </c>
      <c r="P7" s="200" t="n">
        <v>2</v>
      </c>
      <c r="Q7" s="200" t="n">
        <v>3</v>
      </c>
      <c r="R7" s="200" t="n">
        <v>0</v>
      </c>
      <c r="S7" s="200" t="n">
        <v>3</v>
      </c>
      <c r="T7" s="200" t="n">
        <v>1</v>
      </c>
      <c r="U7" s="200" t="n">
        <v>3</v>
      </c>
      <c r="V7" s="200" t="n">
        <v>4</v>
      </c>
      <c r="W7" s="200" t="n">
        <v>4</v>
      </c>
      <c r="X7" s="200" t="n">
        <v>5</v>
      </c>
      <c r="Y7" s="200" t="n">
        <v>1</v>
      </c>
      <c r="Z7" s="200" t="n">
        <v>4</v>
      </c>
      <c r="AA7" s="200" t="n">
        <v>8</v>
      </c>
      <c r="AB7" s="200" t="n">
        <v>1</v>
      </c>
      <c r="AC7" s="200" t="n">
        <v>2</v>
      </c>
      <c r="AD7" s="200" t="n">
        <v>5</v>
      </c>
      <c r="AE7" s="200" t="n">
        <v>1</v>
      </c>
      <c r="AF7" s="200" t="n">
        <v>3</v>
      </c>
      <c r="AG7" s="201" t="n">
        <v>2</v>
      </c>
      <c r="AH7" s="201" t="n">
        <v>0.5</v>
      </c>
      <c r="AI7" s="201" t="n">
        <v>1.5</v>
      </c>
      <c r="AJ7" s="201" t="n">
        <v>0.5</v>
      </c>
      <c r="AK7" s="201" t="n">
        <v>2.5</v>
      </c>
      <c r="AL7" s="201" t="n">
        <v>1.5</v>
      </c>
      <c r="AM7" s="201" t="n">
        <v>2.5</v>
      </c>
      <c r="AN7" s="201" t="n">
        <v>5.5</v>
      </c>
      <c r="AO7" s="201" t="n">
        <v>6</v>
      </c>
      <c r="AP7" s="201" t="n">
        <v>4</v>
      </c>
      <c r="AQ7" s="512" t="n">
        <v>2.5</v>
      </c>
      <c r="AR7" s="203" t="n">
        <v>1</v>
      </c>
      <c r="AS7" s="204">
        <f>SUM(AG7:AR7)</f>
        <v/>
      </c>
      <c r="AT7" s="513">
        <f>AS7/12</f>
        <v/>
      </c>
      <c r="AU7" s="203" t="n">
        <v>6</v>
      </c>
      <c r="AV7" s="203" t="n">
        <v>5</v>
      </c>
      <c r="AW7" s="203" t="n">
        <v>16</v>
      </c>
      <c r="AX7" s="203" t="n">
        <v>26</v>
      </c>
      <c r="AY7" s="203" t="n">
        <v>19</v>
      </c>
      <c r="AZ7" s="203">
        <f>SUMIFS(領用表!$L:$L,領用表!$E:$E,$B7,領用表!$B:$B,AZ$2&amp;$BI$1)</f>
        <v/>
      </c>
      <c r="BA7" s="203">
        <f>SUMIFS(領用表!$L:$L,領用表!$E:$E,$B7,領用表!$B:$B,BA$2&amp;$BI$1)</f>
        <v/>
      </c>
      <c r="BB7" s="203">
        <f>SUMIFS(領用表!$L:$L,領用表!$E:$E,$B7,領用表!$B:$B,BB$2&amp;$BI$1)</f>
        <v/>
      </c>
      <c r="BC7" s="203">
        <f>SUMIFS(領用表!$L:$L,領用表!$E:$E,$B7,領用表!$B:$B,BC$2&amp;$BI$1)</f>
        <v/>
      </c>
      <c r="BD7" s="208">
        <f>SUMIFS(領用表!$L:$L,領用表!$E:$E,$B7,領用表!$B:$B,BD$2&amp;$BI$1)</f>
        <v/>
      </c>
      <c r="BE7" s="208">
        <f>SUMIFS(領用表!$L:$L,領用表!$E:$E,$B7,領用表!$B:$B,BE$2&amp;$BI$1)</f>
        <v/>
      </c>
      <c r="BF7" s="208">
        <f>SUMIFS(領用表!$L:$L,領用表!$E:$E,$B7,領用表!$B:$B,BF$2&amp;$BI$1)</f>
        <v/>
      </c>
      <c r="BG7" s="207">
        <f>SUM(AU7,AV7,AW7,AX7,AY7,AZ7,BA7,BB7,BC7,BD7,BE7,BF7)</f>
        <v/>
      </c>
      <c r="BH7" s="207">
        <f>AVERAGE(AU7,AV7,AW7,AX7,AY7,AZ7,BA7,BB7,BC7,BD7,BE7,BF7)</f>
        <v/>
      </c>
      <c r="BI7" s="208">
        <f>SUMIFS(領用表!$L:$L,領用表!$E:$E,$B7,領用表!$B:$B,BI$2&amp;$BI$1)</f>
        <v/>
      </c>
      <c r="BJ7" s="208">
        <f>SUMIFS(領用表!$L:$L,領用表!$E:$E,$B7,領用表!$B:$B,BJ$2&amp;$BI$1)</f>
        <v/>
      </c>
      <c r="BK7" s="208">
        <f>SUMIFS(領用表!$L:$L,領用表!$E:$E,$B7,領用表!$B:$B,BK$2&amp;$BI$1)</f>
        <v/>
      </c>
      <c r="BL7" s="208">
        <f>SUMIFS(領用表!$L:$L,領用表!$E:$E,$B7,領用表!$B:$B,BL$2&amp;$BI$1)</f>
        <v/>
      </c>
      <c r="BM7" s="208">
        <f>SUMIFS(領用表!$L:$L,領用表!$E:$E,$B7,領用表!$B:$B,BM$2&amp;$BI$1)</f>
        <v/>
      </c>
      <c r="BN7" s="208" t="n">
        <v>3</v>
      </c>
      <c r="BO7" s="208">
        <f>SUMIFS(領用表!$L:$L,領用表!$E:$E,$B7,領用表!$B:$B,BO$2&amp;$BI$1)</f>
        <v/>
      </c>
      <c r="BP7" s="208">
        <f>SUMIFS(領用表!$L:$L,領用表!$E:$E,$B7,領用表!$B:$B,BP$2&amp;$BI$1)</f>
        <v/>
      </c>
      <c r="BQ7" s="208">
        <f>SUMIFS(領用表!$L:$L,領用表!$E:$E,$B7,領用表!$B:$B,BQ$2&amp;$BI$1)</f>
        <v/>
      </c>
      <c r="BR7" s="208">
        <f>SUMIFS(領用表!$L:$L,領用表!$E:$E,$B7,領用表!$B:$B,BR$2&amp;$BI$1)</f>
        <v/>
      </c>
      <c r="BS7" s="208">
        <f>SUMIFS(領用表!$L:$L,領用表!$E:$E,$B7,領用表!$B:$B,BS$2&amp;$BI$1)</f>
        <v/>
      </c>
      <c r="BT7" s="208">
        <f>SUMIFS(領用表!$L:$L,領用表!$E:$E,$B7,領用表!$B:$B,BT$2&amp;$BI$1)</f>
        <v/>
      </c>
      <c r="BU7" s="208">
        <f>SUM(BI7,BJ7,BK7,BL7,BM7,BN7)</f>
        <v/>
      </c>
      <c r="BV7" s="208">
        <f>AVERAGE(BI7,BJ7,BK7,BL7,BM7,BN7)</f>
        <v/>
      </c>
      <c r="BW7" s="208">
        <f>SUMIF(Summary!B:B,B7,Summary!DZ:DZ)</f>
        <v/>
      </c>
      <c r="BX7" s="215" t="n">
        <v>20</v>
      </c>
      <c r="BY7" s="210" t="n">
        <v>0</v>
      </c>
      <c r="BZ7" s="211" t="n"/>
      <c r="CA7" s="211" t="inlineStr">
        <is>
          <t>15盒(10/21)</t>
        </is>
      </c>
      <c r="CB7" s="136" t="n"/>
      <c r="CC7" s="212" t="n"/>
      <c r="CE7" s="213" t="n"/>
    </row>
    <row r="8" ht="15.75" customFormat="1" customHeight="1" s="118">
      <c r="A8" s="136" t="inlineStr">
        <is>
          <t>MP1MA020023A</t>
        </is>
      </c>
      <c r="B8" s="118" t="n">
        <v>6150005</v>
      </c>
      <c r="C8" s="118" t="inlineStr">
        <is>
          <t>喬雅登芙潤玻尿酸植入物Volite 1ml/ Syringe(1支)</t>
        </is>
      </c>
      <c r="D8" s="197" t="n">
        <v>2</v>
      </c>
      <c r="E8" s="198" t="inlineStr">
        <is>
          <t>PCS</t>
        </is>
      </c>
      <c r="F8" s="349" t="n"/>
      <c r="G8" s="349" t="n"/>
      <c r="H8" s="200" t="n">
        <v>0</v>
      </c>
      <c r="I8" s="200" t="n">
        <v>0</v>
      </c>
      <c r="J8" s="200" t="n">
        <v>0</v>
      </c>
      <c r="K8" s="200" t="n">
        <v>0</v>
      </c>
      <c r="L8" s="200" t="n">
        <v>0</v>
      </c>
      <c r="M8" s="200" t="n">
        <v>0</v>
      </c>
      <c r="N8" s="200" t="n">
        <v>3</v>
      </c>
      <c r="O8" s="200" t="n">
        <v>0</v>
      </c>
      <c r="P8" s="200" t="n">
        <v>0</v>
      </c>
      <c r="Q8" s="200" t="n">
        <v>0</v>
      </c>
      <c r="R8" s="200" t="n">
        <v>3</v>
      </c>
      <c r="S8" s="200" t="n">
        <v>2</v>
      </c>
      <c r="T8" s="200" t="n">
        <v>2</v>
      </c>
      <c r="U8" s="200" t="n">
        <v>1</v>
      </c>
      <c r="V8" s="200" t="n">
        <v>1</v>
      </c>
      <c r="W8" s="200" t="n">
        <v>0</v>
      </c>
      <c r="X8" s="200" t="n">
        <v>0</v>
      </c>
      <c r="Y8" s="200" t="n">
        <v>0</v>
      </c>
      <c r="Z8" s="200" t="n">
        <v>0</v>
      </c>
      <c r="AA8" s="200" t="n">
        <v>0</v>
      </c>
      <c r="AB8" s="200" t="n">
        <v>0</v>
      </c>
      <c r="AC8" s="200" t="n">
        <v>0</v>
      </c>
      <c r="AD8" s="200" t="n">
        <v>5</v>
      </c>
      <c r="AE8" s="200" t="n">
        <v>0</v>
      </c>
      <c r="AF8" s="200" t="n">
        <v>0</v>
      </c>
      <c r="AG8" s="201" t="n">
        <v>0.5</v>
      </c>
      <c r="AH8" s="201" t="n">
        <v>1.5</v>
      </c>
      <c r="AI8" s="201" t="n">
        <v>2</v>
      </c>
      <c r="AJ8" s="201" t="n">
        <v>2.5</v>
      </c>
      <c r="AK8" s="201" t="n">
        <v>2</v>
      </c>
      <c r="AL8" s="201" t="n">
        <v>5.5</v>
      </c>
      <c r="AM8" s="201" t="n">
        <v>2.5</v>
      </c>
      <c r="AN8" s="201" t="n">
        <v>7</v>
      </c>
      <c r="AO8" s="201" t="n">
        <v>2</v>
      </c>
      <c r="AP8" s="201" t="n">
        <v>1</v>
      </c>
      <c r="AQ8" s="512" t="n">
        <v>0.5</v>
      </c>
      <c r="AR8" s="203" t="n">
        <v>4</v>
      </c>
      <c r="AS8" s="204">
        <f>SUM(AG8:AR8)</f>
        <v/>
      </c>
      <c r="AT8" s="513">
        <f>AS8/12</f>
        <v/>
      </c>
      <c r="AU8" s="203" t="n">
        <v>2</v>
      </c>
      <c r="AV8" s="203" t="n">
        <v>3</v>
      </c>
      <c r="AW8" s="203" t="n">
        <v>6</v>
      </c>
      <c r="AX8" s="214" t="n">
        <v>2</v>
      </c>
      <c r="AY8" s="203" t="n">
        <v>3</v>
      </c>
      <c r="AZ8" s="203">
        <f>SUMIFS(領用表!$L:$L,領用表!$E:$E,$B8,領用表!$B:$B,AZ$2&amp;$BI$1)</f>
        <v/>
      </c>
      <c r="BA8" s="203">
        <f>SUMIFS(領用表!$L:$L,領用表!$E:$E,$B8,領用表!$B:$B,BA$2&amp;$BI$1)</f>
        <v/>
      </c>
      <c r="BB8" s="203">
        <f>SUMIFS(領用表!$L:$L,領用表!$E:$E,$B8,領用表!$B:$B,BB$2&amp;$BI$1)</f>
        <v/>
      </c>
      <c r="BC8" s="203">
        <f>SUMIFS(領用表!$L:$L,領用表!$E:$E,$B8,領用表!$B:$B,BC$2&amp;$BI$1)</f>
        <v/>
      </c>
      <c r="BD8" s="208">
        <f>SUMIFS(領用表!$L:$L,領用表!$E:$E,$B8,領用表!$B:$B,BD$2&amp;$BI$1)</f>
        <v/>
      </c>
      <c r="BE8" s="208">
        <f>SUMIFS(領用表!$L:$L,領用表!$E:$E,$B8,領用表!$B:$B,BE$2&amp;$BI$1)</f>
        <v/>
      </c>
      <c r="BF8" s="208">
        <f>SUMIFS(領用表!$L:$L,領用表!$E:$E,$B8,領用表!$B:$B,BF$2&amp;$BI$1)</f>
        <v/>
      </c>
      <c r="BG8" s="207">
        <f>SUM(AU8,AV8,AW8,AX8,AY8,AZ8,BA8,BB8,BC8,BD8,BE8,BF8)</f>
        <v/>
      </c>
      <c r="BH8" s="207">
        <f>AVERAGE(AU8,AV8,AW8,AX8,AY8,AZ8,BA8,BB8,BC8,BD8,BE8,BF8)</f>
        <v/>
      </c>
      <c r="BI8" s="208">
        <f>SUMIFS(領用表!$L:$L,領用表!$E:$E,$B8,領用表!$B:$B,BI$2&amp;$BI$1)</f>
        <v/>
      </c>
      <c r="BJ8" s="208">
        <f>SUMIFS(領用表!$L:$L,領用表!$E:$E,$B8,領用表!$B:$B,BJ$2&amp;$BI$1)</f>
        <v/>
      </c>
      <c r="BK8" s="208">
        <f>SUMIFS(領用表!$L:$L,領用表!$E:$E,$B8,領用表!$B:$B,BK$2&amp;$BI$1)</f>
        <v/>
      </c>
      <c r="BL8" s="208">
        <f>SUMIFS(領用表!$L:$L,領用表!$E:$E,$B8,領用表!$B:$B,BL$2&amp;$BI$1)</f>
        <v/>
      </c>
      <c r="BM8" s="208">
        <f>SUMIFS(領用表!$L:$L,領用表!$E:$E,$B8,領用表!$B:$B,BM$2&amp;$BI$1)</f>
        <v/>
      </c>
      <c r="BN8" s="208" t="n"/>
      <c r="BO8" s="208">
        <f>SUMIFS(領用表!$L:$L,領用表!$E:$E,$B8,領用表!$B:$B,BO$2&amp;$BI$1)</f>
        <v/>
      </c>
      <c r="BP8" s="208">
        <f>SUMIFS(領用表!$L:$L,領用表!$E:$E,$B8,領用表!$B:$B,BP$2&amp;$BI$1)</f>
        <v/>
      </c>
      <c r="BQ8" s="208">
        <f>SUMIFS(領用表!$L:$L,領用表!$E:$E,$B8,領用表!$B:$B,BQ$2&amp;$BI$1)</f>
        <v/>
      </c>
      <c r="BR8" s="208">
        <f>SUMIFS(領用表!$L:$L,領用表!$E:$E,$B8,領用表!$B:$B,BR$2&amp;$BI$1)</f>
        <v/>
      </c>
      <c r="BS8" s="208">
        <f>SUMIFS(領用表!$L:$L,領用表!$E:$E,$B8,領用表!$B:$B,BS$2&amp;$BI$1)</f>
        <v/>
      </c>
      <c r="BT8" s="208">
        <f>SUMIFS(領用表!$L:$L,領用表!$E:$E,$B8,領用表!$B:$B,BT$2&amp;$BI$1)</f>
        <v/>
      </c>
      <c r="BU8" s="208">
        <f>SUM(BI8,BJ8,BK8,BL8,BM8,BN8)</f>
        <v/>
      </c>
      <c r="BV8" s="208">
        <f>AVERAGE(BI8,BJ8,BK8,BL8,BM8,BN8)</f>
        <v/>
      </c>
      <c r="BW8" s="208">
        <f>SUMIF(Summary!B:B,B8,Summary!DZ:DZ)</f>
        <v/>
      </c>
      <c r="BX8" s="215" t="n">
        <v>3</v>
      </c>
      <c r="BY8" s="210" t="n">
        <v>0</v>
      </c>
      <c r="BZ8" s="211" t="n"/>
      <c r="CA8" s="211" t="n"/>
      <c r="CB8" s="136" t="n"/>
      <c r="CC8" s="212" t="n"/>
      <c r="CE8" s="213" t="n"/>
    </row>
    <row r="9" ht="15.75" customFormat="1" customHeight="1" s="118">
      <c r="A9" s="136" t="n"/>
      <c r="B9" s="118" t="n">
        <v>6150015</v>
      </c>
      <c r="C9" s="118" t="inlineStr">
        <is>
          <t>喬雅登絲漾膚玻尿酸植入物Skinvive 1ml/支</t>
        </is>
      </c>
      <c r="D9" s="197" t="n">
        <v>2</v>
      </c>
      <c r="E9" s="198" t="inlineStr">
        <is>
          <t>PCS</t>
        </is>
      </c>
      <c r="F9" s="349" t="n">
        <v>2</v>
      </c>
      <c r="G9" s="349" t="n"/>
      <c r="H9" s="200" t="n"/>
      <c r="I9" s="200" t="n"/>
      <c r="J9" s="200" t="n"/>
      <c r="K9" s="200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0" t="n"/>
      <c r="U9" s="200" t="n"/>
      <c r="V9" s="200" t="n"/>
      <c r="W9" s="200" t="n"/>
      <c r="X9" s="200" t="n"/>
      <c r="Y9" s="200" t="n"/>
      <c r="Z9" s="200" t="n"/>
      <c r="AA9" s="200" t="n"/>
      <c r="AB9" s="200" t="n"/>
      <c r="AC9" s="200" t="n"/>
      <c r="AD9" s="200" t="n"/>
      <c r="AE9" s="200" t="n"/>
      <c r="AF9" s="200" t="n"/>
      <c r="AG9" s="201" t="n"/>
      <c r="AH9" s="201" t="n"/>
      <c r="AI9" s="201" t="n"/>
      <c r="AJ9" s="201" t="n"/>
      <c r="AK9" s="201" t="n"/>
      <c r="AL9" s="201" t="n"/>
      <c r="AM9" s="201" t="n"/>
      <c r="AN9" s="201" t="n"/>
      <c r="AO9" s="201" t="n"/>
      <c r="AP9" s="201" t="n"/>
      <c r="AQ9" s="512" t="n"/>
      <c r="AR9" s="203" t="n"/>
      <c r="AS9" s="204" t="n"/>
      <c r="AT9" s="513" t="n"/>
      <c r="AU9" s="203" t="n"/>
      <c r="AV9" s="203" t="n"/>
      <c r="AW9" s="203" t="n"/>
      <c r="AX9" s="214" t="n"/>
      <c r="AY9" s="203" t="n"/>
      <c r="AZ9" s="203">
        <f>SUMIFS(領用表!$L:$L,領用表!$E:$E,$B9,領用表!$B:$B,AZ$2&amp;$BI$1)</f>
        <v/>
      </c>
      <c r="BA9" s="203">
        <f>SUMIFS(領用表!$L:$L,領用表!$E:$E,$B9,領用表!$B:$B,BA$2&amp;$BI$1)</f>
        <v/>
      </c>
      <c r="BB9" s="203">
        <f>SUMIFS(領用表!$L:$L,領用表!$E:$E,$B9,領用表!$B:$B,BB$2&amp;$BI$1)</f>
        <v/>
      </c>
      <c r="BC9" s="203">
        <f>SUMIFS(領用表!$L:$L,領用表!$E:$E,$B9,領用表!$B:$B,BC$2&amp;$BI$1)</f>
        <v/>
      </c>
      <c r="BD9" s="208">
        <f>SUMIFS(領用表!$L:$L,領用表!$E:$E,$B9,領用表!$B:$B,BD$2&amp;$BI$1)</f>
        <v/>
      </c>
      <c r="BE9" s="208">
        <f>SUMIFS(領用表!$L:$L,領用表!$E:$E,$B9,領用表!$B:$B,BE$2&amp;$BI$1)</f>
        <v/>
      </c>
      <c r="BF9" s="208">
        <f>SUMIFS(領用表!$L:$L,領用表!$E:$E,$B9,領用表!$B:$B,BF$2&amp;$BI$1)</f>
        <v/>
      </c>
      <c r="BG9" s="207">
        <f>SUM(AU9,AV9,AW9,AX9,AY9,AZ9,BA9,BB9,BC9,BD9,BE9,BF9)</f>
        <v/>
      </c>
      <c r="BH9" s="207">
        <f>AVERAGE(AU9,AV9,AW9,AX9,AY9,AZ9,BA9,BB9,BC9,BD9,BE9,BF9)</f>
        <v/>
      </c>
      <c r="BI9" s="208">
        <f>SUMIFS(領用表!$L:$L,領用表!$E:$E,$B9,領用表!$B:$B,BI$2&amp;$BI$1)</f>
        <v/>
      </c>
      <c r="BJ9" s="208">
        <f>SUMIFS(領用表!$L:$L,領用表!$E:$E,$B9,領用表!$B:$B,BJ$2&amp;$BI$1)</f>
        <v/>
      </c>
      <c r="BK9" s="208">
        <f>SUMIFS(領用表!$L:$L,領用表!$E:$E,$B9,領用表!$B:$B,BK$2&amp;$BI$1)</f>
        <v/>
      </c>
      <c r="BL9" s="208">
        <f>SUMIFS(領用表!$L:$L,領用表!$E:$E,$B9,領用表!$B:$B,BL$2&amp;$BI$1)</f>
        <v/>
      </c>
      <c r="BM9" s="208">
        <f>SUMIFS(領用表!$L:$L,領用表!$E:$E,$B9,領用表!$B:$B,BM$2&amp;$BI$1)</f>
        <v/>
      </c>
      <c r="BN9" s="208" t="n"/>
      <c r="BO9" s="208" t="n"/>
      <c r="BP9" s="208" t="n"/>
      <c r="BQ9" s="208" t="n"/>
      <c r="BR9" s="208" t="n"/>
      <c r="BS9" s="208" t="n"/>
      <c r="BT9" s="208" t="n"/>
      <c r="BU9" s="208">
        <f>SUM(BI9,BJ9,BK9,BL9,BM9,BN9)</f>
        <v/>
      </c>
      <c r="BV9" s="208">
        <f>AVERAGE(BI9,BJ9,BK9,BL9,BM9,BN9)</f>
        <v/>
      </c>
      <c r="BW9" s="208">
        <f>SUMIF(Summary!B:B,B9,Summary!DZ:DZ)</f>
        <v/>
      </c>
      <c r="BX9" s="215" t="n"/>
      <c r="BY9" s="464" t="n"/>
      <c r="BZ9" s="211" t="n"/>
      <c r="CA9" s="211" t="n"/>
      <c r="CB9" s="136" t="n"/>
      <c r="CC9" s="212" t="n"/>
      <c r="CE9" s="213" t="n"/>
    </row>
    <row r="10" ht="15.75" customFormat="1" customHeight="1" s="118">
      <c r="A10" s="136" t="n"/>
      <c r="B10" s="118" t="n">
        <v>6150016</v>
      </c>
      <c r="C10" s="432" t="inlineStr">
        <is>
          <t>彈力針(1支/盒)</t>
        </is>
      </c>
      <c r="D10" s="197" t="n">
        <v>1</v>
      </c>
      <c r="E10" s="198" t="inlineStr">
        <is>
          <t>PCS</t>
        </is>
      </c>
      <c r="F10" s="349" t="n">
        <v>10</v>
      </c>
      <c r="G10" s="349" t="n"/>
      <c r="H10" s="200" t="n"/>
      <c r="I10" s="200" t="n"/>
      <c r="J10" s="200" t="n"/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200" t="n"/>
      <c r="AF10" s="200" t="n"/>
      <c r="AG10" s="201" t="n"/>
      <c r="AH10" s="201" t="n"/>
      <c r="AI10" s="201" t="n"/>
      <c r="AJ10" s="201" t="n"/>
      <c r="AK10" s="201" t="n"/>
      <c r="AL10" s="201" t="n"/>
      <c r="AM10" s="201" t="n"/>
      <c r="AN10" s="201" t="n"/>
      <c r="AO10" s="201" t="n"/>
      <c r="AP10" s="201" t="n"/>
      <c r="AQ10" s="512" t="n"/>
      <c r="AR10" s="203" t="n"/>
      <c r="AS10" s="204" t="n"/>
      <c r="AT10" s="513" t="n"/>
      <c r="AU10" s="203" t="n"/>
      <c r="AV10" s="203" t="n"/>
      <c r="AW10" s="203" t="n"/>
      <c r="AX10" s="203" t="n"/>
      <c r="AY10" s="203" t="n"/>
      <c r="AZ10" s="203" t="n"/>
      <c r="BA10" s="203" t="n"/>
      <c r="BB10" s="203" t="n"/>
      <c r="BC10" s="203" t="n"/>
      <c r="BD10" s="208" t="n"/>
      <c r="BE10" s="208" t="n"/>
      <c r="BF10" s="208" t="n"/>
      <c r="BG10" s="207" t="n"/>
      <c r="BH10" s="207" t="n"/>
      <c r="BI10" s="208" t="n"/>
      <c r="BJ10" s="208" t="n"/>
      <c r="BK10" s="208" t="n"/>
      <c r="BL10" s="208" t="n"/>
      <c r="BM10" s="208">
        <f>SUMIFS(領用表!$L:$L,領用表!$E:$E,$B10,領用表!$B:$B,BM$2&amp;$BI$1)</f>
        <v/>
      </c>
      <c r="BN10" s="208" t="n"/>
      <c r="BO10" s="208" t="n"/>
      <c r="BP10" s="208" t="n"/>
      <c r="BQ10" s="208" t="n"/>
      <c r="BR10" s="208" t="n"/>
      <c r="BS10" s="208" t="n"/>
      <c r="BT10" s="208" t="n"/>
      <c r="BU10" s="208">
        <f>SUM(BI10,BJ10,BK10,BL10,BM10,BN10)</f>
        <v/>
      </c>
      <c r="BV10" s="208">
        <f>AVERAGE(BI10,BJ10,BK10,BL10,BM10,BN10)</f>
        <v/>
      </c>
      <c r="BW10" s="208" t="n"/>
      <c r="BX10" s="215" t="n"/>
      <c r="BY10" s="210" t="n"/>
      <c r="BZ10" s="211" t="n"/>
      <c r="CA10" s="211" t="n"/>
      <c r="CB10" s="136" t="n"/>
      <c r="CC10" s="212" t="n"/>
      <c r="CE10" s="213" t="n"/>
    </row>
    <row r="11" ht="15.75" customFormat="1" customHeight="1" s="118">
      <c r="A11" s="136" t="inlineStr">
        <is>
          <t>MP1MA010011A</t>
        </is>
      </c>
      <c r="B11" s="118" t="n">
        <v>6180015</v>
      </c>
      <c r="C11" s="118" t="inlineStr">
        <is>
          <t>MINT秘特拉提線EASY 42.4CM(1支)</t>
        </is>
      </c>
      <c r="D11" s="197" t="n">
        <v>2</v>
      </c>
      <c r="E11" s="198" t="inlineStr">
        <is>
          <t>PCS</t>
        </is>
      </c>
      <c r="F11" s="349" t="n">
        <v>2</v>
      </c>
      <c r="G11" s="349" t="n"/>
      <c r="H11" s="200" t="n">
        <v>0</v>
      </c>
      <c r="I11" s="200" t="n">
        <v>0</v>
      </c>
      <c r="J11" s="200" t="n">
        <v>0</v>
      </c>
      <c r="K11" s="200" t="n">
        <v>0</v>
      </c>
      <c r="L11" s="200" t="n">
        <v>0</v>
      </c>
      <c r="M11" s="200" t="n">
        <v>0</v>
      </c>
      <c r="N11" s="200" t="n">
        <v>0</v>
      </c>
      <c r="O11" s="200" t="n">
        <v>0</v>
      </c>
      <c r="P11" s="200" t="n">
        <v>0</v>
      </c>
      <c r="Q11" s="200" t="n">
        <v>0</v>
      </c>
      <c r="R11" s="200" t="n">
        <v>0</v>
      </c>
      <c r="S11" s="200" t="n">
        <v>0</v>
      </c>
      <c r="T11" s="200" t="n">
        <v>0</v>
      </c>
      <c r="U11" s="200" t="n">
        <v>0</v>
      </c>
      <c r="V11" s="200" t="n">
        <v>0</v>
      </c>
      <c r="W11" s="200" t="n">
        <v>0</v>
      </c>
      <c r="X11" s="200" t="n">
        <v>0</v>
      </c>
      <c r="Y11" s="200" t="n">
        <v>0</v>
      </c>
      <c r="Z11" s="200" t="n">
        <v>0</v>
      </c>
      <c r="AA11" s="200" t="n">
        <v>0</v>
      </c>
      <c r="AB11" s="200" t="n">
        <v>0</v>
      </c>
      <c r="AC11" s="200" t="n">
        <v>0</v>
      </c>
      <c r="AD11" s="200" t="n">
        <v>0</v>
      </c>
      <c r="AE11" s="200" t="n">
        <v>0</v>
      </c>
      <c r="AF11" s="200" t="n">
        <v>0</v>
      </c>
      <c r="AG11" s="201" t="n">
        <v>0</v>
      </c>
      <c r="AH11" s="201" t="n">
        <v>0</v>
      </c>
      <c r="AI11" s="201" t="n">
        <v>0</v>
      </c>
      <c r="AJ11" s="201" t="n">
        <v>2</v>
      </c>
      <c r="AK11" s="201" t="n">
        <v>0</v>
      </c>
      <c r="AL11" s="201" t="n">
        <v>0</v>
      </c>
      <c r="AM11" s="201" t="n">
        <v>0</v>
      </c>
      <c r="AN11" s="201" t="n">
        <v>0</v>
      </c>
      <c r="AO11" s="201" t="n">
        <v>1</v>
      </c>
      <c r="AP11" s="201" t="n">
        <v>0</v>
      </c>
      <c r="AQ11" s="512" t="n">
        <v>0</v>
      </c>
      <c r="AR11" s="203" t="n">
        <v>0</v>
      </c>
      <c r="AS11" s="204">
        <f>SUM(AG11:AR11)</f>
        <v/>
      </c>
      <c r="AT11" s="513">
        <f>AS11/12</f>
        <v/>
      </c>
      <c r="AU11" s="203" t="n">
        <v>0</v>
      </c>
      <c r="AV11" s="203" t="n">
        <v>0</v>
      </c>
      <c r="AW11" s="203" t="n">
        <v>2</v>
      </c>
      <c r="AX11" s="203" t="n">
        <v>0</v>
      </c>
      <c r="AY11" s="203" t="n">
        <v>2</v>
      </c>
      <c r="AZ11" s="203">
        <f>SUMIFS(領用表!$L:$L,領用表!$E:$E,$B11,領用表!$B:$B,AZ$2&amp;$BI$1)</f>
        <v/>
      </c>
      <c r="BA11" s="203">
        <f>SUMIFS(領用表!$L:$L,領用表!$E:$E,$B11,領用表!$B:$B,BA$2&amp;$BI$1)</f>
        <v/>
      </c>
      <c r="BB11" s="203">
        <f>SUMIFS(領用表!$L:$L,領用表!$E:$E,$B11,領用表!$B:$B,BB$2&amp;$BI$1)</f>
        <v/>
      </c>
      <c r="BC11" s="203">
        <f>SUMIFS(領用表!$L:$L,領用表!$E:$E,$B11,領用表!$B:$B,BC$2&amp;$BI$1)</f>
        <v/>
      </c>
      <c r="BD11" s="208">
        <f>SUMIFS(領用表!$L:$L,領用表!$E:$E,$B11,領用表!$B:$B,BD$2&amp;$BI$1)</f>
        <v/>
      </c>
      <c r="BE11" s="208">
        <f>SUMIFS(領用表!$L:$L,領用表!$E:$E,$B11,領用表!$B:$B,BE$2&amp;$BI$1)</f>
        <v/>
      </c>
      <c r="BF11" s="208">
        <f>SUMIFS(領用表!$L:$L,領用表!$E:$E,$B11,領用表!$B:$B,BF$2&amp;$BI$1)</f>
        <v/>
      </c>
      <c r="BG11" s="207">
        <f>SUM(AU11,AV11,AW11,AX11,AY11,AZ11,BA11,BB11,BC11,BD11,BE11,BF11)</f>
        <v/>
      </c>
      <c r="BH11" s="207">
        <f>AVERAGE(AU11,AV11,AW11,AX11,AY11,AZ11,BA11,BB11,BC11,BD11,BE11,BF11)</f>
        <v/>
      </c>
      <c r="BI11" s="208">
        <f>SUMIFS(領用表!$L:$L,領用表!$E:$E,$B11,領用表!$B:$B,BI$2&amp;$BI$1)</f>
        <v/>
      </c>
      <c r="BJ11" s="208">
        <f>SUMIFS(領用表!$L:$L,領用表!$E:$E,$B11,領用表!$B:$B,BJ$2&amp;$BI$1)</f>
        <v/>
      </c>
      <c r="BK11" s="208">
        <f>SUMIFS(領用表!$L:$L,領用表!$E:$E,$B11,領用表!$B:$B,BK$2&amp;$BI$1)</f>
        <v/>
      </c>
      <c r="BL11" s="208">
        <f>SUMIFS(領用表!$L:$L,領用表!$E:$E,$B11,領用表!$B:$B,BL$2&amp;$BI$1)</f>
        <v/>
      </c>
      <c r="BM11" s="208">
        <f>SUMIFS(領用表!$L:$L,領用表!$E:$E,$B11,領用表!$B:$B,BM$2&amp;$BI$1)</f>
        <v/>
      </c>
      <c r="BN11" s="208" t="n"/>
      <c r="BO11" s="208">
        <f>SUMIFS(領用表!$L:$L,領用表!$E:$E,$B11,領用表!$B:$B,BO$2&amp;$BI$1)</f>
        <v/>
      </c>
      <c r="BP11" s="208">
        <f>SUMIFS(領用表!$L:$L,領用表!$E:$E,$B11,領用表!$B:$B,BP$2&amp;$BI$1)</f>
        <v/>
      </c>
      <c r="BQ11" s="208">
        <f>SUMIFS(領用表!$L:$L,領用表!$E:$E,$B11,領用表!$B:$B,BQ$2&amp;$BI$1)</f>
        <v/>
      </c>
      <c r="BR11" s="208">
        <f>SUMIFS(領用表!$L:$L,領用表!$E:$E,$B11,領用表!$B:$B,BR$2&amp;$BI$1)</f>
        <v/>
      </c>
      <c r="BS11" s="208">
        <f>SUMIFS(領用表!$L:$L,領用表!$E:$E,$B11,領用表!$B:$B,BS$2&amp;$BI$1)</f>
        <v/>
      </c>
      <c r="BT11" s="208">
        <f>SUMIFS(領用表!$L:$L,領用表!$E:$E,$B11,領用表!$B:$B,BT$2&amp;$BI$1)</f>
        <v/>
      </c>
      <c r="BU11" s="208">
        <f>SUM(BI11,BJ11,BK11,BL11,BM11,BN11)</f>
        <v/>
      </c>
      <c r="BV11" s="208">
        <f>AVERAGE(BI11,BJ11,BK11,BL11,BM11,BN11)</f>
        <v/>
      </c>
      <c r="BW11" s="208">
        <f>SUMIF(Summary!B:B,B11,Summary!DZ:DZ)</f>
        <v/>
      </c>
      <c r="BX11" s="215" t="n">
        <v>5</v>
      </c>
      <c r="BY11" s="224" t="n"/>
      <c r="BZ11" s="211" t="n"/>
      <c r="CA11" s="211" t="n"/>
      <c r="CB11" s="136" t="n"/>
      <c r="CC11" s="212" t="n"/>
      <c r="CE11" s="213" t="n"/>
    </row>
    <row r="12" ht="15.75" customFormat="1" customHeight="1" s="118">
      <c r="A12" s="136" t="inlineStr">
        <is>
          <t>MP1MA010012A</t>
        </is>
      </c>
      <c r="B12" s="118" t="n">
        <v>6180005</v>
      </c>
      <c r="C12" s="118" t="inlineStr">
        <is>
          <t>MINT秘特拉提線FINE 18CM(1支)</t>
        </is>
      </c>
      <c r="D12" s="197" t="n">
        <v>20</v>
      </c>
      <c r="E12" s="198" t="inlineStr">
        <is>
          <t>PCS</t>
        </is>
      </c>
      <c r="F12" s="349" t="n">
        <v>0</v>
      </c>
      <c r="G12" s="349" t="n"/>
      <c r="H12" s="200" t="n">
        <v>0</v>
      </c>
      <c r="I12" s="200" t="n">
        <v>0</v>
      </c>
      <c r="J12" s="200" t="n">
        <v>0</v>
      </c>
      <c r="K12" s="200" t="n">
        <v>0</v>
      </c>
      <c r="L12" s="200" t="n">
        <v>0</v>
      </c>
      <c r="M12" s="200" t="n">
        <v>0</v>
      </c>
      <c r="N12" s="200" t="n">
        <v>0</v>
      </c>
      <c r="O12" s="200" t="n">
        <v>0</v>
      </c>
      <c r="P12" s="200" t="n">
        <v>0</v>
      </c>
      <c r="Q12" s="200" t="n">
        <v>0</v>
      </c>
      <c r="R12" s="200" t="n">
        <v>0</v>
      </c>
      <c r="S12" s="200" t="n">
        <v>0</v>
      </c>
      <c r="T12" s="200" t="n">
        <v>0</v>
      </c>
      <c r="U12" s="200" t="n">
        <v>0</v>
      </c>
      <c r="V12" s="200" t="n">
        <v>0</v>
      </c>
      <c r="W12" s="200" t="n">
        <v>0</v>
      </c>
      <c r="X12" s="200" t="n">
        <v>0</v>
      </c>
      <c r="Y12" s="200" t="n">
        <v>0</v>
      </c>
      <c r="Z12" s="200" t="n">
        <v>0</v>
      </c>
      <c r="AA12" s="200" t="n">
        <v>0</v>
      </c>
      <c r="AB12" s="200" t="n">
        <v>0</v>
      </c>
      <c r="AC12" s="200" t="n">
        <v>0</v>
      </c>
      <c r="AD12" s="200" t="n">
        <v>0</v>
      </c>
      <c r="AE12" s="200" t="n">
        <v>0</v>
      </c>
      <c r="AF12" s="200" t="n">
        <v>32</v>
      </c>
      <c r="AG12" s="201" t="n">
        <v>1.2</v>
      </c>
      <c r="AH12" s="201" t="n">
        <v>2.2</v>
      </c>
      <c r="AI12" s="201" t="n">
        <v>2.2</v>
      </c>
      <c r="AJ12" s="201" t="n">
        <v>1.6</v>
      </c>
      <c r="AK12" s="201" t="n">
        <v>3.4</v>
      </c>
      <c r="AL12" s="201" t="n">
        <v>2.2</v>
      </c>
      <c r="AM12" s="201" t="n">
        <v>0.4</v>
      </c>
      <c r="AN12" s="201" t="n">
        <v>0.6</v>
      </c>
      <c r="AO12" s="201" t="n">
        <v>0.4</v>
      </c>
      <c r="AP12" s="201" t="n">
        <v>0.2</v>
      </c>
      <c r="AQ12" s="512" t="n">
        <v>0.4</v>
      </c>
      <c r="AR12" s="203" t="n">
        <v>28</v>
      </c>
      <c r="AS12" s="204">
        <f>SUM(AG12:AR12)</f>
        <v/>
      </c>
      <c r="AT12" s="513">
        <f>AS12/12</f>
        <v/>
      </c>
      <c r="AU12" s="203" t="n">
        <v>0</v>
      </c>
      <c r="AV12" s="203" t="n">
        <v>8</v>
      </c>
      <c r="AW12" s="203" t="n">
        <v>0</v>
      </c>
      <c r="AX12" s="203" t="n">
        <v>0</v>
      </c>
      <c r="AY12" s="203" t="n">
        <v>0</v>
      </c>
      <c r="AZ12" s="203">
        <f>SUMIFS(領用表!$L:$L,領用表!$E:$E,$B12,領用表!$B:$B,AZ$2&amp;$BI$1)</f>
        <v/>
      </c>
      <c r="BA12" s="203">
        <f>SUMIFS(領用表!$L:$L,領用表!$E:$E,$B12,領用表!$B:$B,BA$2&amp;$BI$1)</f>
        <v/>
      </c>
      <c r="BB12" s="203">
        <f>SUMIFS(領用表!$L:$L,領用表!$E:$E,$B12,領用表!$B:$B,BB$2&amp;$BI$1)</f>
        <v/>
      </c>
      <c r="BC12" s="203">
        <f>SUMIFS(領用表!$L:$L,領用表!$E:$E,$B12,領用表!$B:$B,BC$2&amp;$BI$1)</f>
        <v/>
      </c>
      <c r="BD12" s="208">
        <f>SUMIFS(領用表!$L:$L,領用表!$E:$E,$B12,領用表!$B:$B,BD$2&amp;$BI$1)</f>
        <v/>
      </c>
      <c r="BE12" s="208">
        <f>SUMIFS(領用表!$L:$L,領用表!$E:$E,$B12,領用表!$B:$B,BE$2&amp;$BI$1)</f>
        <v/>
      </c>
      <c r="BF12" s="208">
        <f>SUMIFS(領用表!$L:$L,領用表!$E:$E,$B12,領用表!$B:$B,BF$2&amp;$BI$1)</f>
        <v/>
      </c>
      <c r="BG12" s="207">
        <f>SUM(AU12,AV12,AW12,AX12,AY12,AZ12,BA12,BB12,BC12,BD12,BE12,BF12)</f>
        <v/>
      </c>
      <c r="BH12" s="207">
        <f>AVERAGE(AU12,AV12,AW12,AX12,AY12,AZ12,BA12,BB12,BC12,BD12,BE12,BF12)</f>
        <v/>
      </c>
      <c r="BI12" s="208">
        <f>SUMIFS(領用表!$L:$L,領用表!$E:$E,$B12,領用表!$B:$B,BI$2&amp;$BI$1)</f>
        <v/>
      </c>
      <c r="BJ12" s="208">
        <f>SUMIFS(領用表!$L:$L,領用表!$E:$E,$B12,領用表!$B:$B,BJ$2&amp;$BI$1)</f>
        <v/>
      </c>
      <c r="BK12" s="208">
        <f>SUMIFS(領用表!$L:$L,領用表!$E:$E,$B12,領用表!$B:$B,BK$2&amp;$BI$1)</f>
        <v/>
      </c>
      <c r="BL12" s="208">
        <f>SUMIFS(領用表!$L:$L,領用表!$E:$E,$B12,領用表!$B:$B,BL$2&amp;$BI$1)</f>
        <v/>
      </c>
      <c r="BM12" s="208">
        <f>SUMIFS(領用表!$L:$L,領用表!$E:$E,$B12,領用表!$B:$B,BM$2&amp;$BI$1)</f>
        <v/>
      </c>
      <c r="BN12" s="208" t="n"/>
      <c r="BO12" s="208">
        <f>SUMIFS(領用表!$L:$L,領用表!$E:$E,$B12,領用表!$B:$B,BO$2&amp;$BI$1)</f>
        <v/>
      </c>
      <c r="BP12" s="208">
        <f>SUMIFS(領用表!$L:$L,領用表!$E:$E,$B12,領用表!$B:$B,BP$2&amp;$BI$1)</f>
        <v/>
      </c>
      <c r="BQ12" s="208">
        <f>SUMIFS(領用表!$L:$L,領用表!$E:$E,$B12,領用表!$B:$B,BQ$2&amp;$BI$1)</f>
        <v/>
      </c>
      <c r="BR12" s="208">
        <f>SUMIFS(領用表!$L:$L,領用表!$E:$E,$B12,領用表!$B:$B,BR$2&amp;$BI$1)</f>
        <v/>
      </c>
      <c r="BS12" s="208">
        <f>SUMIFS(領用表!$L:$L,領用表!$E:$E,$B12,領用表!$B:$B,BS$2&amp;$BI$1)</f>
        <v/>
      </c>
      <c r="BT12" s="208">
        <f>SUMIFS(領用表!$L:$L,領用表!$E:$E,$B12,領用表!$B:$B,BT$2&amp;$BI$1)</f>
        <v/>
      </c>
      <c r="BU12" s="208">
        <f>SUM(BI12,BJ12,BK12,BL12,BM12,BN12)</f>
        <v/>
      </c>
      <c r="BV12" s="208">
        <f>AVERAGE(BI12,BJ12,BK12,BL12,BM12,BN12)</f>
        <v/>
      </c>
      <c r="BW12" s="208">
        <f>SUMIF(Summary!B:B,B12,Summary!DZ:DZ)</f>
        <v/>
      </c>
      <c r="BX12" s="215" t="n">
        <v>5</v>
      </c>
      <c r="BY12" s="514" t="n"/>
      <c r="BZ12" s="211" t="n"/>
      <c r="CA12" s="211" t="n"/>
      <c r="CB12" s="136" t="n"/>
      <c r="CC12" s="212" t="n"/>
      <c r="CE12" s="213" t="n"/>
    </row>
    <row r="13" ht="15.75" customFormat="1" customHeight="1" s="118">
      <c r="A13" s="136" t="inlineStr">
        <is>
          <t>MP1MA010013A</t>
        </is>
      </c>
      <c r="B13" s="118" t="n">
        <v>6180013</v>
      </c>
      <c r="C13" s="118" t="inlineStr">
        <is>
          <t>MINT秘特拉提線FIX 18CM(1支)</t>
        </is>
      </c>
      <c r="D13" s="197" t="n">
        <v>20</v>
      </c>
      <c r="E13" s="198" t="inlineStr">
        <is>
          <t>PCS</t>
        </is>
      </c>
      <c r="F13" s="349" t="n">
        <v>24</v>
      </c>
      <c r="G13" s="349" t="n"/>
      <c r="H13" s="200" t="n">
        <v>0</v>
      </c>
      <c r="I13" s="200" t="n">
        <v>0</v>
      </c>
      <c r="J13" s="200" t="n">
        <v>0</v>
      </c>
      <c r="K13" s="200" t="n">
        <v>0</v>
      </c>
      <c r="L13" s="200" t="n">
        <v>0</v>
      </c>
      <c r="M13" s="200" t="n">
        <v>0</v>
      </c>
      <c r="N13" s="200" t="n">
        <v>0</v>
      </c>
      <c r="O13" s="200" t="n">
        <v>0</v>
      </c>
      <c r="P13" s="200" t="n">
        <v>0</v>
      </c>
      <c r="Q13" s="200" t="n">
        <v>0</v>
      </c>
      <c r="R13" s="200" t="n">
        <v>0</v>
      </c>
      <c r="S13" s="200" t="n">
        <v>0</v>
      </c>
      <c r="T13" s="200" t="n">
        <v>0</v>
      </c>
      <c r="U13" s="200" t="n">
        <v>0</v>
      </c>
      <c r="V13" s="200" t="n">
        <v>0</v>
      </c>
      <c r="W13" s="200" t="n">
        <v>0</v>
      </c>
      <c r="X13" s="200" t="n">
        <v>0</v>
      </c>
      <c r="Y13" s="200" t="n">
        <v>0</v>
      </c>
      <c r="Z13" s="200" t="n">
        <v>0</v>
      </c>
      <c r="AA13" s="200" t="n">
        <v>0</v>
      </c>
      <c r="AB13" s="200" t="n">
        <v>0</v>
      </c>
      <c r="AC13" s="200" t="n">
        <v>0</v>
      </c>
      <c r="AD13" s="200" t="n">
        <v>0</v>
      </c>
      <c r="AE13" s="200" t="n">
        <v>0</v>
      </c>
      <c r="AF13" s="200" t="n">
        <v>0</v>
      </c>
      <c r="AG13" s="201" t="n">
        <v>0</v>
      </c>
      <c r="AH13" s="201" t="n">
        <v>0</v>
      </c>
      <c r="AI13" s="201" t="n">
        <v>0</v>
      </c>
      <c r="AJ13" s="201" t="n">
        <v>0.4</v>
      </c>
      <c r="AK13" s="201" t="n">
        <v>0</v>
      </c>
      <c r="AL13" s="201" t="n">
        <v>0.4</v>
      </c>
      <c r="AM13" s="201" t="n">
        <v>0.2</v>
      </c>
      <c r="AN13" s="201" t="n">
        <v>0.8</v>
      </c>
      <c r="AO13" s="201" t="n">
        <v>0.2</v>
      </c>
      <c r="AP13" s="201" t="n">
        <v>0.6</v>
      </c>
      <c r="AQ13" s="512" t="n">
        <v>0</v>
      </c>
      <c r="AR13" s="203" t="n">
        <v>0</v>
      </c>
      <c r="AS13" s="204">
        <f>SUM(AG13:AR13)</f>
        <v/>
      </c>
      <c r="AT13" s="513">
        <f>AS13/12</f>
        <v/>
      </c>
      <c r="AU13" s="203" t="n">
        <v>23</v>
      </c>
      <c r="AV13" s="203" t="n">
        <v>0</v>
      </c>
      <c r="AW13" s="203" t="n">
        <v>0</v>
      </c>
      <c r="AX13" s="203" t="n">
        <v>0</v>
      </c>
      <c r="AY13" s="203" t="n">
        <v>8</v>
      </c>
      <c r="AZ13" s="203">
        <f>SUMIFS(領用表!$L:$L,領用表!$E:$E,$B13,領用表!$B:$B,AZ$2&amp;$BI$1)</f>
        <v/>
      </c>
      <c r="BA13" s="203">
        <f>SUMIFS(領用表!$L:$L,領用表!$E:$E,$B13,領用表!$B:$B,BA$2&amp;$BI$1)</f>
        <v/>
      </c>
      <c r="BB13" s="203">
        <f>SUMIFS(領用表!$L:$L,領用表!$E:$E,$B13,領用表!$B:$B,BB$2&amp;$BI$1)</f>
        <v/>
      </c>
      <c r="BC13" s="203">
        <f>SUMIFS(領用表!$L:$L,領用表!$E:$E,$B13,領用表!$B:$B,BC$2&amp;$BI$1)</f>
        <v/>
      </c>
      <c r="BD13" s="208">
        <f>SUMIFS(領用表!$L:$L,領用表!$E:$E,$B13,領用表!$B:$B,BD$2&amp;$BI$1)</f>
        <v/>
      </c>
      <c r="BE13" s="208">
        <f>SUMIFS(領用表!$L:$L,領用表!$E:$E,$B13,領用表!$B:$B,BE$2&amp;$BI$1)</f>
        <v/>
      </c>
      <c r="BF13" s="208">
        <f>SUMIFS(領用表!$L:$L,領用表!$E:$E,$B13,領用表!$B:$B,BF$2&amp;$BI$1)</f>
        <v/>
      </c>
      <c r="BG13" s="207">
        <f>SUM(AU13,AV13,AW13,AX13,AY13,AZ13,BA13,BB13,BC13,BD13,BE13,BF13)</f>
        <v/>
      </c>
      <c r="BH13" s="207">
        <f>AVERAGE(AU13,AV13,AW13,AX13,AY13,AZ13,BA13,BB13,BC13,BD13,BE13,BF13)</f>
        <v/>
      </c>
      <c r="BI13" s="208">
        <f>SUMIFS(領用表!$L:$L,領用表!$E:$E,$B13,領用表!$B:$B,BI$2&amp;$BI$1)</f>
        <v/>
      </c>
      <c r="BJ13" s="208">
        <f>SUMIFS(領用表!$L:$L,領用表!$E:$E,$B13,領用表!$B:$B,BJ$2&amp;$BI$1)</f>
        <v/>
      </c>
      <c r="BK13" s="208">
        <f>SUMIFS(領用表!$L:$L,領用表!$E:$E,$B13,領用表!$B:$B,BK$2&amp;$BI$1)</f>
        <v/>
      </c>
      <c r="BL13" s="208">
        <f>SUMIFS(領用表!$L:$L,領用表!$E:$E,$B13,領用表!$B:$B,BL$2&amp;$BI$1)</f>
        <v/>
      </c>
      <c r="BM13" s="208">
        <f>SUMIFS(領用表!$L:$L,領用表!$E:$E,$B13,領用表!$B:$B,BM$2&amp;$BI$1)</f>
        <v/>
      </c>
      <c r="BN13" s="208" t="n"/>
      <c r="BO13" s="208">
        <f>SUMIFS(領用表!$L:$L,領用表!$E:$E,$B13,領用表!$B:$B,BO$2&amp;$BI$1)</f>
        <v/>
      </c>
      <c r="BP13" s="208">
        <f>SUMIFS(領用表!$L:$L,領用表!$E:$E,$B13,領用表!$B:$B,BP$2&amp;$BI$1)</f>
        <v/>
      </c>
      <c r="BQ13" s="208">
        <f>SUMIFS(領用表!$L:$L,領用表!$E:$E,$B13,領用表!$B:$B,BQ$2&amp;$BI$1)</f>
        <v/>
      </c>
      <c r="BR13" s="208">
        <f>SUMIFS(領用表!$L:$L,領用表!$E:$E,$B13,領用表!$B:$B,BR$2&amp;$BI$1)</f>
        <v/>
      </c>
      <c r="BS13" s="208">
        <f>SUMIFS(領用表!$L:$L,領用表!$E:$E,$B13,領用表!$B:$B,BS$2&amp;$BI$1)</f>
        <v/>
      </c>
      <c r="BT13" s="208">
        <f>SUMIFS(領用表!$L:$L,領用表!$E:$E,$B13,領用表!$B:$B,BT$2&amp;$BI$1)</f>
        <v/>
      </c>
      <c r="BU13" s="208">
        <f>SUM(BI13,BJ13,BK13,BL13,BM13,BN13)</f>
        <v/>
      </c>
      <c r="BV13" s="208">
        <f>AVERAGE(BI13,BJ13,BK13,BL13,BM13,BN13)</f>
        <v/>
      </c>
      <c r="BW13" s="208">
        <f>SUMIF(Summary!B:B,B13,Summary!DZ:DZ)</f>
        <v/>
      </c>
      <c r="BX13" s="215" t="n">
        <v>8</v>
      </c>
      <c r="BY13" s="514" t="n"/>
      <c r="BZ13" s="211" t="n"/>
      <c r="CA13" s="211" t="n"/>
      <c r="CB13" s="136" t="n"/>
      <c r="CC13" s="212" t="n"/>
      <c r="CE13" s="213" t="n"/>
    </row>
    <row r="14" ht="15.75" customFormat="1" customHeight="1" s="118">
      <c r="A14" s="136" t="inlineStr">
        <is>
          <t>MP1MA010014A</t>
        </is>
      </c>
      <c r="B14" s="118" t="n">
        <v>6180007</v>
      </c>
      <c r="C14" s="118" t="inlineStr">
        <is>
          <t>MINT秘特拉提線PETIT 15CM(1支)</t>
        </is>
      </c>
      <c r="D14" s="197" t="n">
        <v>20</v>
      </c>
      <c r="E14" s="198" t="inlineStr">
        <is>
          <t>PCS</t>
        </is>
      </c>
      <c r="F14" s="349" t="n">
        <v>0</v>
      </c>
      <c r="G14" s="349" t="n"/>
      <c r="H14" s="200" t="n">
        <v>0</v>
      </c>
      <c r="I14" s="200" t="n">
        <v>0</v>
      </c>
      <c r="J14" s="200" t="n">
        <v>0</v>
      </c>
      <c r="K14" s="200" t="n">
        <v>0</v>
      </c>
      <c r="L14" s="200" t="n">
        <v>0</v>
      </c>
      <c r="M14" s="200" t="n">
        <v>0</v>
      </c>
      <c r="N14" s="200" t="n">
        <v>0</v>
      </c>
      <c r="O14" s="200" t="n">
        <v>0</v>
      </c>
      <c r="P14" s="200" t="n">
        <v>0</v>
      </c>
      <c r="Q14" s="200" t="n">
        <v>0</v>
      </c>
      <c r="R14" s="200" t="n">
        <v>0</v>
      </c>
      <c r="S14" s="200" t="n">
        <v>0</v>
      </c>
      <c r="T14" s="200" t="n">
        <v>0</v>
      </c>
      <c r="U14" s="200" t="n">
        <v>0</v>
      </c>
      <c r="V14" s="200" t="n">
        <v>0</v>
      </c>
      <c r="W14" s="200" t="n">
        <v>0</v>
      </c>
      <c r="X14" s="200" t="n">
        <v>0</v>
      </c>
      <c r="Y14" s="200" t="n">
        <v>0</v>
      </c>
      <c r="Z14" s="200" t="n">
        <v>0</v>
      </c>
      <c r="AA14" s="200" t="n">
        <v>0</v>
      </c>
      <c r="AB14" s="200" t="n">
        <v>0</v>
      </c>
      <c r="AC14" s="200" t="n">
        <v>0</v>
      </c>
      <c r="AD14" s="200" t="n">
        <v>0</v>
      </c>
      <c r="AE14" s="200" t="n">
        <v>0</v>
      </c>
      <c r="AF14" s="200" t="n">
        <v>0</v>
      </c>
      <c r="AG14" s="201" t="n">
        <v>0</v>
      </c>
      <c r="AH14" s="201" t="n">
        <v>0</v>
      </c>
      <c r="AI14" s="201" t="n">
        <v>1</v>
      </c>
      <c r="AJ14" s="201" t="n">
        <v>1.8</v>
      </c>
      <c r="AK14" s="201" t="n">
        <v>1.2</v>
      </c>
      <c r="AL14" s="201" t="n">
        <v>1.6</v>
      </c>
      <c r="AM14" s="201" t="n">
        <v>0.6</v>
      </c>
      <c r="AN14" s="201" t="n">
        <v>2.2</v>
      </c>
      <c r="AO14" s="201" t="n">
        <v>0.8</v>
      </c>
      <c r="AP14" s="201" t="n">
        <v>1.2</v>
      </c>
      <c r="AQ14" s="512" t="n">
        <v>0.6</v>
      </c>
      <c r="AR14" s="203" t="n">
        <v>24</v>
      </c>
      <c r="AS14" s="204">
        <f>SUM(AG14:AR14)</f>
        <v/>
      </c>
      <c r="AT14" s="513">
        <f>AS14/12</f>
        <v/>
      </c>
      <c r="AU14" s="203" t="n">
        <v>56</v>
      </c>
      <c r="AV14" s="203" t="n">
        <v>16</v>
      </c>
      <c r="AW14" s="203" t="n">
        <v>0</v>
      </c>
      <c r="AX14" s="203" t="n">
        <v>0</v>
      </c>
      <c r="AY14" s="203" t="n">
        <v>4</v>
      </c>
      <c r="AZ14" s="203">
        <f>SUMIFS(領用表!$L:$L,領用表!$E:$E,$B14,領用表!$B:$B,AZ$2&amp;$BI$1)</f>
        <v/>
      </c>
      <c r="BA14" s="203">
        <f>SUMIFS(領用表!$L:$L,領用表!$E:$E,$B14,領用表!$B:$B,BA$2&amp;$BI$1)</f>
        <v/>
      </c>
      <c r="BB14" s="203">
        <f>SUMIFS(領用表!$L:$L,領用表!$E:$E,$B14,領用表!$B:$B,BB$2&amp;$BI$1)</f>
        <v/>
      </c>
      <c r="BC14" s="203">
        <f>SUMIFS(領用表!$L:$L,領用表!$E:$E,$B14,領用表!$B:$B,BC$2&amp;$BI$1)</f>
        <v/>
      </c>
      <c r="BD14" s="208">
        <f>SUMIFS(領用表!$L:$L,領用表!$E:$E,$B14,領用表!$B:$B,BD$2&amp;$BI$1)</f>
        <v/>
      </c>
      <c r="BE14" s="208">
        <f>SUMIFS(領用表!$L:$L,領用表!$E:$E,$B14,領用表!$B:$B,BE$2&amp;$BI$1)</f>
        <v/>
      </c>
      <c r="BF14" s="208">
        <f>SUMIFS(領用表!$L:$L,領用表!$E:$E,$B14,領用表!$B:$B,BF$2&amp;$BI$1)</f>
        <v/>
      </c>
      <c r="BG14" s="207">
        <f>SUM(AU14,AV14,AW14,AX14,AY14,AZ14,BA14,BB14,BC14,BD14,BE14,BF14)</f>
        <v/>
      </c>
      <c r="BH14" s="207">
        <f>AVERAGE(AU14,AV14,AW14,AX14,AY14,AZ14,BA14,BB14,BC14,BD14,BE14,BF14)</f>
        <v/>
      </c>
      <c r="BI14" s="208">
        <f>SUMIFS(領用表!$L:$L,領用表!$E:$E,$B14,領用表!$B:$B,BI$2&amp;$BI$1)</f>
        <v/>
      </c>
      <c r="BJ14" s="208">
        <f>SUMIFS(領用表!$L:$L,領用表!$E:$E,$B14,領用表!$B:$B,BJ$2&amp;$BI$1)</f>
        <v/>
      </c>
      <c r="BK14" s="208">
        <f>SUMIFS(領用表!$L:$L,領用表!$E:$E,$B14,領用表!$B:$B,BK$2&amp;$BI$1)</f>
        <v/>
      </c>
      <c r="BL14" s="208">
        <f>SUMIFS(領用表!$L:$L,領用表!$E:$E,$B14,領用表!$B:$B,BL$2&amp;$BI$1)</f>
        <v/>
      </c>
      <c r="BM14" s="208">
        <f>SUMIFS(領用表!$L:$L,領用表!$E:$E,$B14,領用表!$B:$B,BM$2&amp;$BI$1)</f>
        <v/>
      </c>
      <c r="BN14" s="208" t="n"/>
      <c r="BO14" s="208">
        <f>SUMIFS(領用表!$L:$L,領用表!$E:$E,$B14,領用表!$B:$B,BO$2&amp;$BI$1)</f>
        <v/>
      </c>
      <c r="BP14" s="208">
        <f>SUMIFS(領用表!$L:$L,領用表!$E:$E,$B14,領用表!$B:$B,BP$2&amp;$BI$1)</f>
        <v/>
      </c>
      <c r="BQ14" s="208">
        <f>SUMIFS(領用表!$L:$L,領用表!$E:$E,$B14,領用表!$B:$B,BQ$2&amp;$BI$1)</f>
        <v/>
      </c>
      <c r="BR14" s="208">
        <f>SUMIFS(領用表!$L:$L,領用表!$E:$E,$B14,領用表!$B:$B,BR$2&amp;$BI$1)</f>
        <v/>
      </c>
      <c r="BS14" s="208">
        <f>SUMIFS(領用表!$L:$L,領用表!$E:$E,$B14,領用表!$B:$B,BS$2&amp;$BI$1)</f>
        <v/>
      </c>
      <c r="BT14" s="208">
        <f>SUMIFS(領用表!$L:$L,領用表!$E:$E,$B14,領用表!$B:$B,BT$2&amp;$BI$1)</f>
        <v/>
      </c>
      <c r="BU14" s="208">
        <f>SUM(BI14,BJ14,BK14,BL14,BM14,BN14)</f>
        <v/>
      </c>
      <c r="BV14" s="208">
        <f>AVERAGE(BI14,BJ14,BK14,BL14,BM14,BN14)</f>
        <v/>
      </c>
      <c r="BW14" s="208">
        <f>SUMIF(Summary!B:B,B14,Summary!DZ:DZ)</f>
        <v/>
      </c>
      <c r="BX14" s="215" t="n">
        <v>15</v>
      </c>
      <c r="BY14" s="514" t="n"/>
      <c r="BZ14" s="211" t="n"/>
      <c r="CA14" s="211" t="n"/>
      <c r="CB14" s="136" t="n"/>
      <c r="CC14" s="212" t="n"/>
      <c r="CE14" s="213" t="n"/>
    </row>
    <row r="15" ht="15.75" customFormat="1" customHeight="1" s="118">
      <c r="A15" s="136" t="inlineStr">
        <is>
          <t>MP1MA010015A</t>
        </is>
      </c>
      <c r="B15" s="118" t="n">
        <v>6180009</v>
      </c>
      <c r="C15" s="118" t="inlineStr">
        <is>
          <t>MINT秘特拉提線TIP 4CM(1支)</t>
        </is>
      </c>
      <c r="D15" s="197" t="n">
        <v>10</v>
      </c>
      <c r="E15" s="198" t="inlineStr">
        <is>
          <t>PCS</t>
        </is>
      </c>
      <c r="F15" s="349" t="n">
        <v>22</v>
      </c>
      <c r="G15" s="349" t="n"/>
      <c r="H15" s="200" t="n">
        <v>0</v>
      </c>
      <c r="I15" s="200" t="n">
        <v>0</v>
      </c>
      <c r="J15" s="200" t="n">
        <v>0</v>
      </c>
      <c r="K15" s="200" t="n">
        <v>0</v>
      </c>
      <c r="L15" s="200" t="n">
        <v>0</v>
      </c>
      <c r="M15" s="200" t="n">
        <v>0</v>
      </c>
      <c r="N15" s="200" t="n">
        <v>0</v>
      </c>
      <c r="O15" s="200" t="n">
        <v>0</v>
      </c>
      <c r="P15" s="200" t="n">
        <v>0</v>
      </c>
      <c r="Q15" s="200" t="n">
        <v>0</v>
      </c>
      <c r="R15" s="200" t="n">
        <v>0</v>
      </c>
      <c r="S15" s="200" t="n">
        <v>0</v>
      </c>
      <c r="T15" s="200" t="n">
        <v>0</v>
      </c>
      <c r="U15" s="200" t="n">
        <v>0</v>
      </c>
      <c r="V15" s="200" t="n">
        <v>0</v>
      </c>
      <c r="W15" s="200" t="n">
        <v>0</v>
      </c>
      <c r="X15" s="200" t="n">
        <v>0</v>
      </c>
      <c r="Y15" s="200" t="n">
        <v>0</v>
      </c>
      <c r="Z15" s="200" t="n">
        <v>0</v>
      </c>
      <c r="AA15" s="200" t="n">
        <v>0</v>
      </c>
      <c r="AB15" s="200" t="n">
        <v>0</v>
      </c>
      <c r="AC15" s="200" t="n">
        <v>0</v>
      </c>
      <c r="AD15" s="200" t="n">
        <v>0</v>
      </c>
      <c r="AE15" s="200" t="n">
        <v>0</v>
      </c>
      <c r="AF15" s="200" t="n">
        <v>0</v>
      </c>
      <c r="AG15" s="201" t="n">
        <v>0.4</v>
      </c>
      <c r="AH15" s="201" t="n">
        <v>0.2</v>
      </c>
      <c r="AI15" s="201" t="n">
        <v>0.8</v>
      </c>
      <c r="AJ15" s="201" t="n">
        <v>0.2</v>
      </c>
      <c r="AK15" s="201" t="n">
        <v>1.4</v>
      </c>
      <c r="AL15" s="201" t="n">
        <v>0.8</v>
      </c>
      <c r="AM15" s="201" t="n">
        <v>0.6</v>
      </c>
      <c r="AN15" s="201" t="n">
        <v>0.6</v>
      </c>
      <c r="AO15" s="201" t="n">
        <v>0.4</v>
      </c>
      <c r="AP15" s="201" t="n">
        <v>0.6</v>
      </c>
      <c r="AQ15" s="512" t="n">
        <v>0.6</v>
      </c>
      <c r="AR15" s="203" t="n">
        <v>0</v>
      </c>
      <c r="AS15" s="204">
        <f>SUM(AG15:AR15)</f>
        <v/>
      </c>
      <c r="AT15" s="513">
        <f>AS15/12</f>
        <v/>
      </c>
      <c r="AU15" s="203" t="n">
        <v>4</v>
      </c>
      <c r="AV15" s="203" t="n">
        <v>4</v>
      </c>
      <c r="AW15" s="203" t="n">
        <v>12</v>
      </c>
      <c r="AX15" s="203" t="n">
        <v>0</v>
      </c>
      <c r="AY15" s="203" t="n">
        <v>8</v>
      </c>
      <c r="AZ15" s="203">
        <f>SUMIFS(領用表!$L:$L,領用表!$E:$E,$B15,領用表!$B:$B,AZ$2&amp;$BI$1)</f>
        <v/>
      </c>
      <c r="BA15" s="203">
        <f>SUMIFS(領用表!$L:$L,領用表!$E:$E,$B15,領用表!$B:$B,BA$2&amp;$BI$1)</f>
        <v/>
      </c>
      <c r="BB15" s="203">
        <f>SUMIFS(領用表!$L:$L,領用表!$E:$E,$B15,領用表!$B:$B,BB$2&amp;$BI$1)</f>
        <v/>
      </c>
      <c r="BC15" s="203">
        <f>SUMIFS(領用表!$L:$L,領用表!$E:$E,$B15,領用表!$B:$B,BC$2&amp;$BI$1)</f>
        <v/>
      </c>
      <c r="BD15" s="208">
        <f>SUMIFS(領用表!$L:$L,領用表!$E:$E,$B15,領用表!$B:$B,BD$2&amp;$BI$1)</f>
        <v/>
      </c>
      <c r="BE15" s="208">
        <f>SUMIFS(領用表!$L:$L,領用表!$E:$E,$B15,領用表!$B:$B,BE$2&amp;$BI$1)</f>
        <v/>
      </c>
      <c r="BF15" s="208">
        <f>SUMIFS(領用表!$L:$L,領用表!$E:$E,$B15,領用表!$B:$B,BF$2&amp;$BI$1)</f>
        <v/>
      </c>
      <c r="BG15" s="207">
        <f>SUM(AU15,AV15,AW15,AX15,AY15,AZ15,BA15,BB15,BC15,BD15,BE15,BF15)</f>
        <v/>
      </c>
      <c r="BH15" s="207">
        <f>AVERAGE(AU15,AV15,AW15,AX15,AY15,AZ15,BA15,BB15,BC15,BD15,BE15,BF15)</f>
        <v/>
      </c>
      <c r="BI15" s="208">
        <f>SUMIFS(領用表!$L:$L,領用表!$E:$E,$B15,領用表!$B:$B,BI$2&amp;$BI$1)</f>
        <v/>
      </c>
      <c r="BJ15" s="208">
        <f>SUMIFS(領用表!$L:$L,領用表!$E:$E,$B15,領用表!$B:$B,BJ$2&amp;$BI$1)</f>
        <v/>
      </c>
      <c r="BK15" s="208">
        <f>SUMIFS(領用表!$L:$L,領用表!$E:$E,$B15,領用表!$B:$B,BK$2&amp;$BI$1)</f>
        <v/>
      </c>
      <c r="BL15" s="208">
        <f>SUMIFS(領用表!$L:$L,領用表!$E:$E,$B15,領用表!$B:$B,BL$2&amp;$BI$1)</f>
        <v/>
      </c>
      <c r="BM15" s="208">
        <f>SUMIFS(領用表!$L:$L,領用表!$E:$E,$B15,領用表!$B:$B,BM$2&amp;$BI$1)</f>
        <v/>
      </c>
      <c r="BN15" s="208" t="n"/>
      <c r="BO15" s="208">
        <f>SUMIFS(領用表!$L:$L,領用表!$E:$E,$B15,領用表!$B:$B,BO$2&amp;$BI$1)</f>
        <v/>
      </c>
      <c r="BP15" s="208">
        <f>SUMIFS(領用表!$L:$L,領用表!$E:$E,$B15,領用表!$B:$B,BP$2&amp;$BI$1)</f>
        <v/>
      </c>
      <c r="BQ15" s="208">
        <f>SUMIFS(領用表!$L:$L,領用表!$E:$E,$B15,領用表!$B:$B,BQ$2&amp;$BI$1)</f>
        <v/>
      </c>
      <c r="BR15" s="208">
        <f>SUMIFS(領用表!$L:$L,領用表!$E:$E,$B15,領用表!$B:$B,BR$2&amp;$BI$1)</f>
        <v/>
      </c>
      <c r="BS15" s="208">
        <f>SUMIFS(領用表!$L:$L,領用表!$E:$E,$B15,領用表!$B:$B,BS$2&amp;$BI$1)</f>
        <v/>
      </c>
      <c r="BT15" s="208">
        <f>SUMIFS(領用表!$L:$L,領用表!$E:$E,$B15,領用表!$B:$B,BT$2&amp;$BI$1)</f>
        <v/>
      </c>
      <c r="BU15" s="208">
        <f>SUM(BI15,BJ15,BK15,BL15,BM15,BN15)</f>
        <v/>
      </c>
      <c r="BV15" s="208">
        <f>AVERAGE(BI15,BJ15,BK15,BL15,BM15,BN15)</f>
        <v/>
      </c>
      <c r="BW15" s="208">
        <f>SUMIF(Summary!B:B,B15,Summary!DZ:DZ)</f>
        <v/>
      </c>
      <c r="BX15" s="215" t="n">
        <v>8</v>
      </c>
      <c r="BY15" s="514" t="n"/>
      <c r="BZ15" s="211" t="n"/>
      <c r="CA15" s="211" t="n"/>
      <c r="CB15" s="136" t="n"/>
      <c r="CC15" s="212" t="n"/>
      <c r="CE15" s="213" t="n"/>
    </row>
    <row r="16" ht="15.75" customFormat="1" customHeight="1" s="118">
      <c r="A16" s="136" t="inlineStr">
        <is>
          <t>MP1MA010016A</t>
        </is>
      </c>
      <c r="B16" s="118" t="n">
        <v>6180011</v>
      </c>
      <c r="C16" s="118" t="inlineStr">
        <is>
          <t>MINT秘特拉提線UP 9.5CM(1支)</t>
        </is>
      </c>
      <c r="D16" s="197" t="n">
        <v>10</v>
      </c>
      <c r="E16" s="198" t="inlineStr">
        <is>
          <t>PCS</t>
        </is>
      </c>
      <c r="F16" s="349" t="n">
        <v>16</v>
      </c>
      <c r="G16" s="349" t="n"/>
      <c r="H16" s="200" t="n">
        <v>0</v>
      </c>
      <c r="I16" s="200" t="n">
        <v>0</v>
      </c>
      <c r="J16" s="200" t="n">
        <v>0</v>
      </c>
      <c r="K16" s="200" t="n">
        <v>0</v>
      </c>
      <c r="L16" s="200" t="n">
        <v>0</v>
      </c>
      <c r="M16" s="200" t="n">
        <v>0</v>
      </c>
      <c r="N16" s="200" t="n">
        <v>0</v>
      </c>
      <c r="O16" s="200" t="n">
        <v>0</v>
      </c>
      <c r="P16" s="200" t="n">
        <v>0</v>
      </c>
      <c r="Q16" s="200" t="n">
        <v>0</v>
      </c>
      <c r="R16" s="200" t="n">
        <v>0</v>
      </c>
      <c r="S16" s="200" t="n">
        <v>0</v>
      </c>
      <c r="T16" s="200" t="n">
        <v>0</v>
      </c>
      <c r="U16" s="200" t="n">
        <v>0</v>
      </c>
      <c r="V16" s="200" t="n">
        <v>0</v>
      </c>
      <c r="W16" s="200" t="n">
        <v>0</v>
      </c>
      <c r="X16" s="200" t="n">
        <v>0</v>
      </c>
      <c r="Y16" s="200" t="n">
        <v>0</v>
      </c>
      <c r="Z16" s="200" t="n">
        <v>0</v>
      </c>
      <c r="AA16" s="200" t="n">
        <v>0</v>
      </c>
      <c r="AB16" s="200" t="n">
        <v>0</v>
      </c>
      <c r="AC16" s="200" t="n">
        <v>0</v>
      </c>
      <c r="AD16" s="200" t="n">
        <v>0</v>
      </c>
      <c r="AE16" s="200" t="n">
        <v>0</v>
      </c>
      <c r="AF16" s="200" t="n">
        <v>0</v>
      </c>
      <c r="AG16" s="201" t="n">
        <v>1.2</v>
      </c>
      <c r="AH16" s="201" t="n">
        <v>1.2</v>
      </c>
      <c r="AI16" s="201" t="n">
        <v>2.8</v>
      </c>
      <c r="AJ16" s="201" t="n">
        <v>0.8</v>
      </c>
      <c r="AK16" s="201" t="n">
        <v>4</v>
      </c>
      <c r="AL16" s="201" t="n">
        <v>1</v>
      </c>
      <c r="AM16" s="201" t="n">
        <v>1.2</v>
      </c>
      <c r="AN16" s="201" t="n">
        <v>0</v>
      </c>
      <c r="AO16" s="201" t="n">
        <v>0</v>
      </c>
      <c r="AP16" s="201" t="n">
        <v>0</v>
      </c>
      <c r="AQ16" s="512" t="n">
        <v>0</v>
      </c>
      <c r="AR16" s="203" t="n">
        <v>4</v>
      </c>
      <c r="AS16" s="204">
        <f>SUM(AG16:AR16)</f>
        <v/>
      </c>
      <c r="AT16" s="513">
        <f>AS16/12</f>
        <v/>
      </c>
      <c r="AU16" s="203" t="n">
        <v>12</v>
      </c>
      <c r="AV16" s="203" t="n">
        <v>0</v>
      </c>
      <c r="AW16" s="203" t="n">
        <v>40</v>
      </c>
      <c r="AX16" s="203" t="n">
        <v>4</v>
      </c>
      <c r="AY16" s="203" t="n">
        <v>16</v>
      </c>
      <c r="AZ16" s="203">
        <f>SUMIFS(領用表!$L:$L,領用表!$E:$E,$B16,領用表!$B:$B,AZ$2&amp;$BI$1)</f>
        <v/>
      </c>
      <c r="BA16" s="203">
        <f>SUMIFS(領用表!$L:$L,領用表!$E:$E,$B16,領用表!$B:$B,BA$2&amp;$BI$1)</f>
        <v/>
      </c>
      <c r="BB16" s="203">
        <f>SUMIFS(領用表!$L:$L,領用表!$E:$E,$B16,領用表!$B:$B,BB$2&amp;$BI$1)</f>
        <v/>
      </c>
      <c r="BC16" s="203">
        <f>SUMIFS(領用表!$L:$L,領用表!$E:$E,$B16,領用表!$B:$B,BC$2&amp;$BI$1)</f>
        <v/>
      </c>
      <c r="BD16" s="208">
        <f>SUMIFS(領用表!$L:$L,領用表!$E:$E,$B16,領用表!$B:$B,BD$2&amp;$BI$1)</f>
        <v/>
      </c>
      <c r="BE16" s="208">
        <f>SUMIFS(領用表!$L:$L,領用表!$E:$E,$B16,領用表!$B:$B,BE$2&amp;$BI$1)</f>
        <v/>
      </c>
      <c r="BF16" s="208">
        <f>SUMIFS(領用表!$L:$L,領用表!$E:$E,$B16,領用表!$B:$B,BF$2&amp;$BI$1)</f>
        <v/>
      </c>
      <c r="BG16" s="207">
        <f>SUM(AU16,AV16,AW16,AX16,AY16,AZ16,BA16,BB16,BC16,BD16,BE16,BF16)</f>
        <v/>
      </c>
      <c r="BH16" s="207">
        <f>AVERAGE(AU16,AV16,AW16,AX16,AY16,AZ16,BA16,BB16,BC16,BD16,BE16,BF16)</f>
        <v/>
      </c>
      <c r="BI16" s="208">
        <f>SUMIFS(領用表!$L:$L,領用表!$E:$E,$B16,領用表!$B:$B,BI$2&amp;$BI$1)</f>
        <v/>
      </c>
      <c r="BJ16" s="208">
        <f>SUMIFS(領用表!$L:$L,領用表!$E:$E,$B16,領用表!$B:$B,BJ$2&amp;$BI$1)</f>
        <v/>
      </c>
      <c r="BK16" s="208">
        <f>SUMIFS(領用表!$L:$L,領用表!$E:$E,$B16,領用表!$B:$B,BK$2&amp;$BI$1)</f>
        <v/>
      </c>
      <c r="BL16" s="208">
        <f>SUMIFS(領用表!$L:$L,領用表!$E:$E,$B16,領用表!$B:$B,BL$2&amp;$BI$1)</f>
        <v/>
      </c>
      <c r="BM16" s="208">
        <f>SUMIFS(領用表!$L:$L,領用表!$E:$E,$B16,領用表!$B:$B,BM$2&amp;$BI$1)</f>
        <v/>
      </c>
      <c r="BN16" s="208" t="n"/>
      <c r="BO16" s="208">
        <f>SUMIFS(領用表!$L:$L,領用表!$E:$E,$B16,領用表!$B:$B,BO$2&amp;$BI$1)</f>
        <v/>
      </c>
      <c r="BP16" s="208">
        <f>SUMIFS(領用表!$L:$L,領用表!$E:$E,$B16,領用表!$B:$B,BP$2&amp;$BI$1)</f>
        <v/>
      </c>
      <c r="BQ16" s="208">
        <f>SUMIFS(領用表!$L:$L,領用表!$E:$E,$B16,領用表!$B:$B,BQ$2&amp;$BI$1)</f>
        <v/>
      </c>
      <c r="BR16" s="208">
        <f>SUMIFS(領用表!$L:$L,領用表!$E:$E,$B16,領用表!$B:$B,BR$2&amp;$BI$1)</f>
        <v/>
      </c>
      <c r="BS16" s="208">
        <f>SUMIFS(領用表!$L:$L,領用表!$E:$E,$B16,領用表!$B:$B,BS$2&amp;$BI$1)</f>
        <v/>
      </c>
      <c r="BT16" s="208">
        <f>SUMIFS(領用表!$L:$L,領用表!$E:$E,$B16,領用表!$B:$B,BT$2&amp;$BI$1)</f>
        <v/>
      </c>
      <c r="BU16" s="208">
        <f>SUM(BI16,BJ16,BK16,BL16,BM16,BN16)</f>
        <v/>
      </c>
      <c r="BV16" s="208">
        <f>AVERAGE(BI16,BJ16,BK16,BL16,BM16,BN16)</f>
        <v/>
      </c>
      <c r="BW16" s="208">
        <f>SUMIF(Summary!B:B,B16,Summary!DZ:DZ)</f>
        <v/>
      </c>
      <c r="BX16" s="215" t="n">
        <v>16</v>
      </c>
      <c r="BY16" s="515" t="n"/>
      <c r="BZ16" s="211" t="n"/>
      <c r="CA16" s="211" t="n"/>
      <c r="CB16" s="136" t="n"/>
      <c r="CC16" s="136" t="n"/>
      <c r="CE16" s="213" t="n"/>
    </row>
    <row r="17" ht="15.75" customFormat="1" customHeight="1" s="118">
      <c r="A17" s="136" t="inlineStr">
        <is>
          <t>MP1MA070006A</t>
        </is>
      </c>
      <c r="B17" s="118" t="n">
        <v>6210001</v>
      </c>
      <c r="C17" s="411" t="inlineStr">
        <is>
          <t>水光針針頭/ 31G/ 9pin/ 1.0mm(1支)</t>
        </is>
      </c>
      <c r="D17" s="197" t="n">
        <v>20</v>
      </c>
      <c r="E17" s="198" t="inlineStr">
        <is>
          <t>PCS</t>
        </is>
      </c>
      <c r="F17" s="349" t="n">
        <v>15</v>
      </c>
      <c r="G17" s="349" t="n"/>
      <c r="H17" s="200" t="n">
        <v>0</v>
      </c>
      <c r="I17" s="200" t="n">
        <v>0</v>
      </c>
      <c r="J17" s="200" t="n">
        <v>0</v>
      </c>
      <c r="K17" s="200" t="n">
        <v>0</v>
      </c>
      <c r="L17" s="200" t="n">
        <v>0</v>
      </c>
      <c r="M17" s="200" t="n">
        <v>0</v>
      </c>
      <c r="N17" s="200" t="n">
        <v>0</v>
      </c>
      <c r="O17" s="200" t="n">
        <v>0</v>
      </c>
      <c r="P17" s="200" t="n">
        <v>0</v>
      </c>
      <c r="Q17" s="200" t="n">
        <v>0</v>
      </c>
      <c r="R17" s="200" t="n">
        <v>0</v>
      </c>
      <c r="S17" s="200" t="n">
        <v>0</v>
      </c>
      <c r="T17" s="200" t="n">
        <v>0</v>
      </c>
      <c r="U17" s="200" t="n">
        <v>0</v>
      </c>
      <c r="V17" s="200" t="n">
        <v>0</v>
      </c>
      <c r="W17" s="200" t="n">
        <v>0</v>
      </c>
      <c r="X17" s="200" t="n">
        <v>0</v>
      </c>
      <c r="Y17" s="200" t="n">
        <v>1</v>
      </c>
      <c r="Z17" s="200" t="n">
        <v>0</v>
      </c>
      <c r="AA17" s="200" t="n">
        <v>0</v>
      </c>
      <c r="AB17" s="200" t="n">
        <v>0</v>
      </c>
      <c r="AC17" s="200" t="n">
        <v>0</v>
      </c>
      <c r="AD17" s="200" t="n">
        <v>1</v>
      </c>
      <c r="AE17" s="200" t="n">
        <v>0</v>
      </c>
      <c r="AF17" s="200" t="n">
        <v>0</v>
      </c>
      <c r="AG17" s="201" t="n">
        <v>0.05</v>
      </c>
      <c r="AH17" s="201" t="n">
        <v>0.1</v>
      </c>
      <c r="AI17" s="201" t="n">
        <v>0.15</v>
      </c>
      <c r="AJ17" s="201" t="n">
        <v>0.15</v>
      </c>
      <c r="AK17" s="201" t="n">
        <v>0.05</v>
      </c>
      <c r="AL17" s="201" t="n">
        <v>0.35</v>
      </c>
      <c r="AM17" s="201" t="n">
        <v>0.65</v>
      </c>
      <c r="AN17" s="201" t="n">
        <v>1.2</v>
      </c>
      <c r="AO17" s="201" t="n">
        <v>0</v>
      </c>
      <c r="AP17" s="201" t="n">
        <v>0.3</v>
      </c>
      <c r="AQ17" s="512" t="n">
        <v>0</v>
      </c>
      <c r="AR17" s="203" t="n">
        <v>0</v>
      </c>
      <c r="AS17" s="204">
        <f>SUM(AG17:AR17)</f>
        <v/>
      </c>
      <c r="AT17" s="513">
        <f>AS17/12</f>
        <v/>
      </c>
      <c r="AU17" s="203" t="n">
        <v>6</v>
      </c>
      <c r="AV17" s="203" t="n">
        <v>1</v>
      </c>
      <c r="AW17" s="203" t="n">
        <v>7</v>
      </c>
      <c r="AX17" s="203" t="n">
        <v>10</v>
      </c>
      <c r="AY17" s="203" t="n">
        <v>0</v>
      </c>
      <c r="AZ17" s="203">
        <f>SUMIFS(領用表!$L:$L,領用表!$E:$E,$B17,領用表!$B:$B,AZ$2&amp;$BI$1)</f>
        <v/>
      </c>
      <c r="BA17" s="203">
        <f>SUMIFS(領用表!$L:$L,領用表!$E:$E,$B17,領用表!$B:$B,BA$2&amp;$BI$1)</f>
        <v/>
      </c>
      <c r="BB17" s="203">
        <f>SUMIFS(領用表!$L:$L,領用表!$E:$E,$B17,領用表!$B:$B,BB$2&amp;$BI$1)</f>
        <v/>
      </c>
      <c r="BC17" s="203">
        <f>SUMIFS(領用表!$L:$L,領用表!$E:$E,$B17,領用表!$B:$B,BC$2&amp;$BI$1)</f>
        <v/>
      </c>
      <c r="BD17" s="208">
        <f>SUMIFS(領用表!$L:$L,領用表!$E:$E,$B17,領用表!$B:$B,BD$2&amp;$BI$1)</f>
        <v/>
      </c>
      <c r="BE17" s="208">
        <f>SUMIFS(領用表!$L:$L,領用表!$E:$E,$B17,領用表!$B:$B,BE$2&amp;$BI$1)</f>
        <v/>
      </c>
      <c r="BF17" s="208">
        <f>SUMIFS(領用表!$L:$L,領用表!$E:$E,$B17,領用表!$B:$B,BF$2&amp;$BI$1)</f>
        <v/>
      </c>
      <c r="BG17" s="207">
        <f>SUM(AU17,AV17,AW17,AX17,AY17,AZ17,BA17,BB17,BC17,BD17,BE17,BF17)</f>
        <v/>
      </c>
      <c r="BH17" s="207">
        <f>AVERAGE(AU17,AV17,AW17,AX17,AY17,AZ17,BA17,BB17,BC17,BD17,BE17,BF17)</f>
        <v/>
      </c>
      <c r="BI17" s="208">
        <f>SUMIFS(領用表!$L:$L,領用表!$E:$E,$B17,領用表!$B:$B,BI$2&amp;$BI$1)</f>
        <v/>
      </c>
      <c r="BJ17" s="208">
        <f>SUMIFS(領用表!$L:$L,領用表!$E:$E,$B17,領用表!$B:$B,BJ$2&amp;$BI$1)</f>
        <v/>
      </c>
      <c r="BK17" s="208">
        <f>SUMIFS(領用表!$L:$L,領用表!$E:$E,$B17,領用表!$B:$B,BK$2&amp;$BI$1)</f>
        <v/>
      </c>
      <c r="BL17" s="208">
        <f>SUMIFS(領用表!$L:$L,領用表!$E:$E,$B17,領用表!$B:$B,BL$2&amp;$BI$1)</f>
        <v/>
      </c>
      <c r="BM17" s="208">
        <f>SUMIFS(領用表!$L:$L,領用表!$E:$E,$B17,領用表!$B:$B,BM$2&amp;$BI$1)</f>
        <v/>
      </c>
      <c r="BN17" s="208" t="n"/>
      <c r="BO17" s="208">
        <f>SUMIFS(領用表!$L:$L,領用表!$E:$E,$B17,領用表!$B:$B,BO$2&amp;$BI$1)</f>
        <v/>
      </c>
      <c r="BP17" s="208">
        <f>SUMIFS(領用表!$L:$L,領用表!$E:$E,$B17,領用表!$B:$B,BP$2&amp;$BI$1)</f>
        <v/>
      </c>
      <c r="BQ17" s="208">
        <f>SUMIFS(領用表!$L:$L,領用表!$E:$E,$B17,領用表!$B:$B,BQ$2&amp;$BI$1)</f>
        <v/>
      </c>
      <c r="BR17" s="208">
        <f>SUMIFS(領用表!$L:$L,領用表!$E:$E,$B17,領用表!$B:$B,BR$2&amp;$BI$1)</f>
        <v/>
      </c>
      <c r="BS17" s="208">
        <f>SUMIFS(領用表!$L:$L,領用表!$E:$E,$B17,領用表!$B:$B,BS$2&amp;$BI$1)</f>
        <v/>
      </c>
      <c r="BT17" s="208">
        <f>SUMIFS(領用表!$L:$L,領用表!$E:$E,$B17,領用表!$B:$B,BT$2&amp;$BI$1)</f>
        <v/>
      </c>
      <c r="BU17" s="208">
        <f>SUM(BI17,BJ17,BK17,BL17,BM17,BN17)</f>
        <v/>
      </c>
      <c r="BV17" s="208">
        <f>AVERAGE(BI17,BJ17,BK17,BL17,BM17,BN17)</f>
        <v/>
      </c>
      <c r="BW17" s="208">
        <f>SUMIF(Summary!B:B,B17,Summary!DZ:DZ)</f>
        <v/>
      </c>
      <c r="BX17" s="215" t="n">
        <v>5</v>
      </c>
      <c r="BY17" s="464" t="n"/>
      <c r="BZ17" s="211" t="n"/>
      <c r="CA17" s="211" t="n"/>
      <c r="CB17" s="136" t="n"/>
      <c r="CC17" s="212" t="n"/>
      <c r="CE17" s="213" t="n"/>
    </row>
    <row r="18" ht="15.75" customFormat="1" customHeight="1" s="118">
      <c r="A18" s="136" t="inlineStr">
        <is>
          <t>MP1MA070007A</t>
        </is>
      </c>
      <c r="B18" s="118" t="n">
        <v>6210002</v>
      </c>
      <c r="C18" s="118" t="inlineStr">
        <is>
          <t>水光針針頭/ 31G/ 9pin/ 1.2mm(1支)</t>
        </is>
      </c>
      <c r="D18" s="197" t="n">
        <v>20</v>
      </c>
      <c r="E18" s="198" t="inlineStr">
        <is>
          <t>PCS</t>
        </is>
      </c>
      <c r="F18" s="349" t="n">
        <v>106</v>
      </c>
      <c r="G18" s="349" t="n"/>
      <c r="H18" s="200" t="n">
        <v>0</v>
      </c>
      <c r="I18" s="200" t="n">
        <v>0</v>
      </c>
      <c r="J18" s="200" t="n">
        <v>0</v>
      </c>
      <c r="K18" s="200" t="n">
        <v>0</v>
      </c>
      <c r="L18" s="200" t="n">
        <v>0</v>
      </c>
      <c r="M18" s="200" t="n">
        <v>0</v>
      </c>
      <c r="N18" s="200" t="n">
        <v>0</v>
      </c>
      <c r="O18" s="200" t="n">
        <v>0</v>
      </c>
      <c r="P18" s="200" t="n">
        <v>0</v>
      </c>
      <c r="Q18" s="200" t="n">
        <v>0</v>
      </c>
      <c r="R18" s="200" t="n">
        <v>0</v>
      </c>
      <c r="S18" s="200" t="n">
        <v>0</v>
      </c>
      <c r="T18" s="200" t="n">
        <v>0</v>
      </c>
      <c r="U18" s="200" t="n">
        <v>0</v>
      </c>
      <c r="V18" s="200" t="n">
        <v>0</v>
      </c>
      <c r="W18" s="200" t="n">
        <v>0</v>
      </c>
      <c r="X18" s="200" t="n">
        <v>0</v>
      </c>
      <c r="Y18" s="200" t="n">
        <v>0</v>
      </c>
      <c r="Z18" s="200" t="n">
        <v>0</v>
      </c>
      <c r="AA18" s="200" t="n">
        <v>0</v>
      </c>
      <c r="AB18" s="200" t="n">
        <v>0</v>
      </c>
      <c r="AC18" s="200" t="n">
        <v>0</v>
      </c>
      <c r="AD18" s="200" t="n">
        <v>0</v>
      </c>
      <c r="AE18" s="200" t="n">
        <v>0</v>
      </c>
      <c r="AF18" s="200" t="n">
        <v>0</v>
      </c>
      <c r="AG18" s="201" t="n">
        <v>0</v>
      </c>
      <c r="AH18" s="201" t="n">
        <v>0</v>
      </c>
      <c r="AI18" s="201" t="n">
        <v>0</v>
      </c>
      <c r="AJ18" s="201" t="n">
        <v>0</v>
      </c>
      <c r="AK18" s="201" t="n">
        <v>0</v>
      </c>
      <c r="AL18" s="201" t="n">
        <v>0</v>
      </c>
      <c r="AM18" s="201" t="n">
        <v>0</v>
      </c>
      <c r="AN18" s="201" t="n">
        <v>0</v>
      </c>
      <c r="AO18" s="201" t="n">
        <v>0.9</v>
      </c>
      <c r="AP18" s="201" t="n">
        <v>1.1</v>
      </c>
      <c r="AQ18" s="512" t="n">
        <v>0.65</v>
      </c>
      <c r="AR18" s="203" t="n">
        <v>9</v>
      </c>
      <c r="AS18" s="204">
        <f>SUM(AG18:AR18)</f>
        <v/>
      </c>
      <c r="AT18" s="513">
        <f>AS18/12</f>
        <v/>
      </c>
      <c r="AU18" s="203" t="n">
        <v>22</v>
      </c>
      <c r="AV18" s="203" t="n">
        <v>36</v>
      </c>
      <c r="AW18" s="203" t="n">
        <v>35</v>
      </c>
      <c r="AX18" s="203" t="n">
        <v>26</v>
      </c>
      <c r="AY18" s="203" t="n">
        <v>17</v>
      </c>
      <c r="AZ18" s="203">
        <f>SUMIFS(領用表!$L:$L,領用表!$E:$E,$B18,領用表!$B:$B,AZ$2&amp;$BI$1)</f>
        <v/>
      </c>
      <c r="BA18" s="203">
        <f>SUMIFS(領用表!$L:$L,領用表!$E:$E,$B18,領用表!$B:$B,BA$2&amp;$BI$1)</f>
        <v/>
      </c>
      <c r="BB18" s="203">
        <f>SUMIFS(領用表!$L:$L,領用表!$E:$E,$B18,領用表!$B:$B,BB$2&amp;$BI$1)</f>
        <v/>
      </c>
      <c r="BC18" s="203">
        <f>SUMIFS(領用表!$L:$L,領用表!$E:$E,$B18,領用表!$B:$B,BC$2&amp;$BI$1)</f>
        <v/>
      </c>
      <c r="BD18" s="208">
        <f>SUMIFS(領用表!$L:$L,領用表!$E:$E,$B18,領用表!$B:$B,BD$2&amp;$BI$1)</f>
        <v/>
      </c>
      <c r="BE18" s="208">
        <f>SUMIFS(領用表!$L:$L,領用表!$E:$E,$B18,領用表!$B:$B,BE$2&amp;$BI$1)</f>
        <v/>
      </c>
      <c r="BF18" s="208">
        <f>SUMIFS(領用表!$L:$L,領用表!$E:$E,$B18,領用表!$B:$B,BF$2&amp;$BI$1)</f>
        <v/>
      </c>
      <c r="BG18" s="207">
        <f>SUM(AU18,AV18,AW18,AX18,AY18,AZ18,BA18,BB18,BC18,BD18,BE18,BF18)</f>
        <v/>
      </c>
      <c r="BH18" s="207">
        <f>AVERAGE(AU18,AV18,AW18,AX18,AY18,AZ18,BA18,BB18,BC18,BD18,BE18,BF18)</f>
        <v/>
      </c>
      <c r="BI18" s="208">
        <f>SUMIFS(領用表!$L:$L,領用表!$E:$E,$B18,領用表!$B:$B,BI$2&amp;$BI$1)</f>
        <v/>
      </c>
      <c r="BJ18" s="208">
        <f>SUMIFS(領用表!$L:$L,領用表!$E:$E,$B18,領用表!$B:$B,BJ$2&amp;$BI$1)</f>
        <v/>
      </c>
      <c r="BK18" s="208">
        <f>SUMIFS(領用表!$L:$L,領用表!$E:$E,$B18,領用表!$B:$B,BK$2&amp;$BI$1)</f>
        <v/>
      </c>
      <c r="BL18" s="208">
        <f>SUMIFS(領用表!$L:$L,領用表!$E:$E,$B18,領用表!$B:$B,BL$2&amp;$BI$1)</f>
        <v/>
      </c>
      <c r="BM18" s="208">
        <f>SUMIFS(領用表!$L:$L,領用表!$E:$E,$B18,領用表!$B:$B,BM$2&amp;$BI$1)</f>
        <v/>
      </c>
      <c r="BN18" s="208" t="n">
        <v>40</v>
      </c>
      <c r="BO18" s="208">
        <f>SUMIFS(領用表!$L:$L,領用表!$E:$E,$B18,領用表!$B:$B,BO$2&amp;$BI$1)</f>
        <v/>
      </c>
      <c r="BP18" s="208">
        <f>SUMIFS(領用表!$L:$L,領用表!$E:$E,$B18,領用表!$B:$B,BP$2&amp;$BI$1)</f>
        <v/>
      </c>
      <c r="BQ18" s="208">
        <f>SUMIFS(領用表!$L:$L,領用表!$E:$E,$B18,領用表!$B:$B,BQ$2&amp;$BI$1)</f>
        <v/>
      </c>
      <c r="BR18" s="208">
        <f>SUMIFS(領用表!$L:$L,領用表!$E:$E,$B18,領用表!$B:$B,BR$2&amp;$BI$1)</f>
        <v/>
      </c>
      <c r="BS18" s="208">
        <f>SUMIFS(領用表!$L:$L,領用表!$E:$E,$B18,領用表!$B:$B,BS$2&amp;$BI$1)</f>
        <v/>
      </c>
      <c r="BT18" s="208">
        <f>SUMIFS(領用表!$L:$L,領用表!$E:$E,$B18,領用表!$B:$B,BT$2&amp;$BI$1)</f>
        <v/>
      </c>
      <c r="BU18" s="208">
        <f>SUM(BI18,BJ18,BK18,BL18,BM18,BN18)</f>
        <v/>
      </c>
      <c r="BV18" s="208">
        <f>AVERAGE(BI18,BJ18,BK18,BL18,BM18,BN18)</f>
        <v/>
      </c>
      <c r="BW18" s="208">
        <f>SUMIF(Summary!B:B,B18,Summary!DZ:DZ)</f>
        <v/>
      </c>
      <c r="BX18" s="215" t="n">
        <v>35</v>
      </c>
      <c r="BY18" s="464" t="n"/>
      <c r="BZ18" s="211" t="inlineStr">
        <is>
          <t>4盒(10/21)</t>
        </is>
      </c>
      <c r="CA18" s="211" t="inlineStr">
        <is>
          <t>15盒(10/17)</t>
        </is>
      </c>
      <c r="CB18" s="136" t="n"/>
      <c r="CC18" s="136" t="n"/>
      <c r="CE18" s="213" t="n"/>
    </row>
    <row r="19" ht="15.75" customFormat="1" customHeight="1" s="118">
      <c r="A19" s="136" t="inlineStr">
        <is>
          <t>MP1MA070008A</t>
        </is>
      </c>
      <c r="B19" s="118" t="n">
        <v>6210003</v>
      </c>
      <c r="C19" s="411" t="inlineStr">
        <is>
          <t>水光針針頭/ 31G/ 9pin/ 1.5mm(1支)</t>
        </is>
      </c>
      <c r="D19" s="197" t="n">
        <v>20</v>
      </c>
      <c r="E19" s="198" t="inlineStr">
        <is>
          <t>PCS</t>
        </is>
      </c>
      <c r="F19" s="349" t="n">
        <v>14</v>
      </c>
      <c r="G19" s="349" t="n"/>
      <c r="H19" s="200" t="n">
        <v>0</v>
      </c>
      <c r="I19" s="200" t="n">
        <v>0</v>
      </c>
      <c r="J19" s="200" t="n">
        <v>0</v>
      </c>
      <c r="K19" s="200" t="n">
        <v>0</v>
      </c>
      <c r="L19" s="200" t="n">
        <v>0</v>
      </c>
      <c r="M19" s="200" t="n">
        <v>0</v>
      </c>
      <c r="N19" s="200" t="n">
        <v>0</v>
      </c>
      <c r="O19" s="200" t="n">
        <v>0</v>
      </c>
      <c r="P19" s="200" t="n">
        <v>0</v>
      </c>
      <c r="Q19" s="200" t="n">
        <v>0</v>
      </c>
      <c r="R19" s="200" t="n">
        <v>0</v>
      </c>
      <c r="S19" s="200" t="n">
        <v>0</v>
      </c>
      <c r="T19" s="200" t="n">
        <v>0</v>
      </c>
      <c r="U19" s="200" t="n">
        <v>0</v>
      </c>
      <c r="V19" s="200" t="n">
        <v>0</v>
      </c>
      <c r="W19" s="200" t="n">
        <v>0</v>
      </c>
      <c r="X19" s="200" t="n">
        <v>0</v>
      </c>
      <c r="Y19" s="200" t="n">
        <v>1</v>
      </c>
      <c r="Z19" s="200" t="n">
        <v>0</v>
      </c>
      <c r="AA19" s="200" t="n">
        <v>0</v>
      </c>
      <c r="AB19" s="200" t="n">
        <v>0</v>
      </c>
      <c r="AC19" s="200" t="n">
        <v>0</v>
      </c>
      <c r="AD19" s="200" t="n">
        <v>0</v>
      </c>
      <c r="AE19" s="200" t="n">
        <v>0</v>
      </c>
      <c r="AF19" s="200" t="n">
        <v>0</v>
      </c>
      <c r="AG19" s="201" t="n">
        <v>0.05</v>
      </c>
      <c r="AH19" s="201" t="n">
        <v>0.05</v>
      </c>
      <c r="AI19" s="201" t="n">
        <v>0</v>
      </c>
      <c r="AJ19" s="201" t="n">
        <v>0.15</v>
      </c>
      <c r="AK19" s="201" t="n">
        <v>0.05</v>
      </c>
      <c r="AL19" s="201" t="n">
        <v>0.2</v>
      </c>
      <c r="AM19" s="201" t="n">
        <v>0.25</v>
      </c>
      <c r="AN19" s="201" t="n">
        <v>1.7</v>
      </c>
      <c r="AO19" s="201" t="n">
        <v>0.35</v>
      </c>
      <c r="AP19" s="201" t="n">
        <v>0</v>
      </c>
      <c r="AQ19" s="512" t="n">
        <v>0.35</v>
      </c>
      <c r="AR19" s="203" t="n">
        <v>2</v>
      </c>
      <c r="AS19" s="204">
        <f>SUM(AG19:AR19)</f>
        <v/>
      </c>
      <c r="AT19" s="513">
        <f>AS19/12</f>
        <v/>
      </c>
      <c r="AU19" s="203" t="n">
        <v>4</v>
      </c>
      <c r="AV19" s="203" t="n">
        <v>3</v>
      </c>
      <c r="AW19" s="203" t="n">
        <v>5</v>
      </c>
      <c r="AX19" s="203" t="n">
        <v>13</v>
      </c>
      <c r="AY19" s="203" t="n">
        <v>8</v>
      </c>
      <c r="AZ19" s="203">
        <f>SUMIFS(領用表!$L:$L,領用表!$E:$E,$B19,領用表!$B:$B,AZ$2&amp;$BI$1)</f>
        <v/>
      </c>
      <c r="BA19" s="203">
        <f>SUMIFS(領用表!$L:$L,領用表!$E:$E,$B19,領用表!$B:$B,BA$2&amp;$BI$1)</f>
        <v/>
      </c>
      <c r="BB19" s="203">
        <f>SUMIFS(領用表!$L:$L,領用表!$E:$E,$B19,領用表!$B:$B,BB$2&amp;$BI$1)</f>
        <v/>
      </c>
      <c r="BC19" s="203">
        <f>SUMIFS(領用表!$L:$L,領用表!$E:$E,$B19,領用表!$B:$B,BC$2&amp;$BI$1)</f>
        <v/>
      </c>
      <c r="BD19" s="208">
        <f>SUMIFS(領用表!$L:$L,領用表!$E:$E,$B19,領用表!$B:$B,BD$2&amp;$BI$1)</f>
        <v/>
      </c>
      <c r="BE19" s="208">
        <f>SUMIFS(領用表!$L:$L,領用表!$E:$E,$B19,領用表!$B:$B,BE$2&amp;$BI$1)</f>
        <v/>
      </c>
      <c r="BF19" s="208">
        <f>SUMIFS(領用表!$L:$L,領用表!$E:$E,$B19,領用表!$B:$B,BF$2&amp;$BI$1)</f>
        <v/>
      </c>
      <c r="BG19" s="207">
        <f>SUM(AU19,AV19,AW19,AX19,AY19,AZ19,BA19,BB19,BC19,BD19,BE19,BF19)</f>
        <v/>
      </c>
      <c r="BH19" s="207">
        <f>AVERAGE(AU19,AV19,AW19,AX19,AY19,AZ19,BA19,BB19,BC19,BD19,BE19,BF19)</f>
        <v/>
      </c>
      <c r="BI19" s="208">
        <f>SUMIFS(領用表!$L:$L,領用表!$E:$E,$B19,領用表!$B:$B,BI$2&amp;$BI$1)</f>
        <v/>
      </c>
      <c r="BJ19" s="208">
        <f>SUMIFS(領用表!$L:$L,領用表!$E:$E,$B19,領用表!$B:$B,BJ$2&amp;$BI$1)</f>
        <v/>
      </c>
      <c r="BK19" s="208">
        <f>SUMIFS(領用表!$L:$L,領用表!$E:$E,$B19,領用表!$B:$B,BK$2&amp;$BI$1)</f>
        <v/>
      </c>
      <c r="BL19" s="208">
        <f>SUMIFS(領用表!$L:$L,領用表!$E:$E,$B19,領用表!$B:$B,BL$2&amp;$BI$1)</f>
        <v/>
      </c>
      <c r="BM19" s="208">
        <f>SUMIFS(領用表!$L:$L,領用表!$E:$E,$B19,領用表!$B:$B,BM$2&amp;$BI$1)</f>
        <v/>
      </c>
      <c r="BN19" s="208" t="n">
        <v>3</v>
      </c>
      <c r="BO19" s="208">
        <f>SUMIFS(領用表!$L:$L,領用表!$E:$E,$B19,領用表!$B:$B,BO$2&amp;$BI$1)</f>
        <v/>
      </c>
      <c r="BP19" s="208">
        <f>SUMIFS(領用表!$L:$L,領用表!$E:$E,$B19,領用表!$B:$B,BP$2&amp;$BI$1)</f>
        <v/>
      </c>
      <c r="BQ19" s="208">
        <f>SUMIFS(領用表!$L:$L,領用表!$E:$E,$B19,領用表!$B:$B,BQ$2&amp;$BI$1)</f>
        <v/>
      </c>
      <c r="BR19" s="208">
        <f>SUMIFS(領用表!$L:$L,領用表!$E:$E,$B19,領用表!$B:$B,BR$2&amp;$BI$1)</f>
        <v/>
      </c>
      <c r="BS19" s="208">
        <f>SUMIFS(領用表!$L:$L,領用表!$E:$E,$B19,領用表!$B:$B,BS$2&amp;$BI$1)</f>
        <v/>
      </c>
      <c r="BT19" s="208">
        <f>SUMIFS(領用表!$L:$L,領用表!$E:$E,$B19,領用表!$B:$B,BT$2&amp;$BI$1)</f>
        <v/>
      </c>
      <c r="BU19" s="208">
        <f>SUM(BI19,BJ19,BK19,BL19,BM19,BN19)</f>
        <v/>
      </c>
      <c r="BV19" s="208">
        <f>AVERAGE(BI19,BJ19,BK19,BL19,BM19,BN19)</f>
        <v/>
      </c>
      <c r="BW19" s="208">
        <f>SUMIF(Summary!B:B,B19,Summary!DZ:DZ)</f>
        <v/>
      </c>
      <c r="BX19" s="215" t="n">
        <v>25</v>
      </c>
      <c r="BY19" s="464" t="n"/>
      <c r="BZ19" s="211" t="inlineStr">
        <is>
          <t>1盒(10/21)</t>
        </is>
      </c>
      <c r="CA19" s="211" t="inlineStr">
        <is>
          <t>1盒(10/17)</t>
        </is>
      </c>
      <c r="CB19" s="136" t="n"/>
      <c r="CC19" s="212" t="n"/>
      <c r="CE19" s="213" t="n"/>
    </row>
    <row r="20" ht="15.75" customFormat="1" customHeight="1" s="118">
      <c r="A20" s="136" t="inlineStr">
        <is>
          <t>MP1MA070005A</t>
        </is>
      </c>
      <c r="B20" s="118" t="n">
        <v>6210005</v>
      </c>
      <c r="C20" s="428" t="inlineStr">
        <is>
          <t>水光針針頭/ 32G/ 9pin/ 1.0mm(1支)</t>
        </is>
      </c>
      <c r="D20" s="197" t="n">
        <v>20</v>
      </c>
      <c r="E20" s="198" t="inlineStr">
        <is>
          <t>PCS</t>
        </is>
      </c>
      <c r="F20" s="349" t="n">
        <v>7</v>
      </c>
      <c r="G20" s="349" t="n"/>
      <c r="H20" s="220" t="n"/>
      <c r="I20" s="220" t="n"/>
      <c r="J20" s="220" t="n"/>
      <c r="K20" s="220" t="n"/>
      <c r="L20" s="220" t="n"/>
      <c r="M20" s="220" t="n"/>
      <c r="N20" s="220" t="n"/>
      <c r="O20" s="220" t="n"/>
      <c r="P20" s="220" t="n"/>
      <c r="Q20" s="220" t="n"/>
      <c r="R20" s="220" t="n"/>
      <c r="S20" s="220" t="n"/>
      <c r="T20" s="220" t="n"/>
      <c r="U20" s="220" t="n"/>
      <c r="V20" s="220" t="n"/>
      <c r="W20" s="220" t="n"/>
      <c r="X20" s="220" t="n"/>
      <c r="Y20" s="220" t="n"/>
      <c r="Z20" s="220" t="n"/>
      <c r="AA20" s="220" t="n"/>
      <c r="AB20" s="220" t="n"/>
      <c r="AC20" s="220" t="n"/>
      <c r="AD20" s="220" t="n"/>
      <c r="AE20" s="220" t="n"/>
      <c r="AF20" s="220" t="n"/>
      <c r="AG20" s="221" t="n"/>
      <c r="AH20" s="221" t="n"/>
      <c r="AI20" s="221" t="n"/>
      <c r="AJ20" s="221" t="n"/>
      <c r="AK20" s="221" t="n"/>
      <c r="AL20" s="221" t="n"/>
      <c r="AM20" s="221" t="n"/>
      <c r="AN20" s="221" t="n">
        <v>0</v>
      </c>
      <c r="AO20" s="221" t="n">
        <v>0</v>
      </c>
      <c r="AP20" s="201" t="n">
        <v>0</v>
      </c>
      <c r="AQ20" s="512" t="n">
        <v>0</v>
      </c>
      <c r="AR20" s="203" t="n">
        <v>0</v>
      </c>
      <c r="AS20" s="204">
        <f>SUM(AG20:AR20)</f>
        <v/>
      </c>
      <c r="AT20" s="513">
        <f>AS20/12</f>
        <v/>
      </c>
      <c r="AU20" s="203" t="n">
        <v>0</v>
      </c>
      <c r="AV20" s="203" t="n">
        <v>63</v>
      </c>
      <c r="AW20" s="203" t="n">
        <v>1</v>
      </c>
      <c r="AX20" s="203" t="n">
        <v>3</v>
      </c>
      <c r="AY20" s="203" t="n">
        <v>3</v>
      </c>
      <c r="AZ20" s="203">
        <f>SUMIFS(領用表!$L:$L,領用表!$E:$E,$B20,領用表!$B:$B,AZ$2&amp;$BI$1)</f>
        <v/>
      </c>
      <c r="BA20" s="203">
        <f>SUMIFS(領用表!$L:$L,領用表!$E:$E,$B20,領用表!$B:$B,BA$2&amp;$BI$1)</f>
        <v/>
      </c>
      <c r="BB20" s="203">
        <f>SUMIFS(領用表!$L:$L,領用表!$E:$E,$B20,領用表!$B:$B,BB$2&amp;$BI$1)</f>
        <v/>
      </c>
      <c r="BC20" s="203">
        <f>SUMIFS(領用表!$L:$L,領用表!$E:$E,$B20,領用表!$B:$B,BC$2&amp;$BI$1)</f>
        <v/>
      </c>
      <c r="BD20" s="208">
        <f>SUMIFS(領用表!$L:$L,領用表!$E:$E,$B20,領用表!$B:$B,BD$2&amp;$BI$1)</f>
        <v/>
      </c>
      <c r="BE20" s="208">
        <f>SUMIFS(領用表!$L:$L,領用表!$E:$E,$B20,領用表!$B:$B,BE$2&amp;$BI$1)</f>
        <v/>
      </c>
      <c r="BF20" s="208">
        <f>SUMIFS(領用表!$L:$L,領用表!$E:$E,$B20,領用表!$B:$B,BF$2&amp;$BI$1)</f>
        <v/>
      </c>
      <c r="BG20" s="207">
        <f>SUM(AU20,AV20,AW20,AX20,AY20,AZ20,BA20,BB20,BC20,BD20,BE20,BF20)</f>
        <v/>
      </c>
      <c r="BH20" s="207">
        <f>AVERAGE(AU20,AV20,AW20,AX20,AY20,AZ20,BA20,BB20,BC20,BD20,BE20,BF20)</f>
        <v/>
      </c>
      <c r="BI20" s="208">
        <f>SUMIFS(領用表!$L:$L,領用表!$E:$E,$B20,領用表!$B:$B,BI$2&amp;$BI$1)</f>
        <v/>
      </c>
      <c r="BJ20" s="208">
        <f>SUMIFS(領用表!$L:$L,領用表!$E:$E,$B20,領用表!$B:$B,BJ$2&amp;$BI$1)</f>
        <v/>
      </c>
      <c r="BK20" s="208">
        <f>SUMIFS(領用表!$L:$L,領用表!$E:$E,$B20,領用表!$B:$B,BK$2&amp;$BI$1)</f>
        <v/>
      </c>
      <c r="BL20" s="208">
        <f>SUMIFS(領用表!$L:$L,領用表!$E:$E,$B20,領用表!$B:$B,BL$2&amp;$BI$1)</f>
        <v/>
      </c>
      <c r="BM20" s="208">
        <f>SUMIFS(領用表!$L:$L,領用表!$E:$E,$B20,領用表!$B:$B,BM$2&amp;$BI$1)</f>
        <v/>
      </c>
      <c r="BN20" s="208" t="n"/>
      <c r="BO20" s="208">
        <f>SUMIFS(領用表!$L:$L,領用表!$E:$E,$B20,領用表!$B:$B,BO$2&amp;$BI$1)</f>
        <v/>
      </c>
      <c r="BP20" s="208">
        <f>SUMIFS(領用表!$L:$L,領用表!$E:$E,$B20,領用表!$B:$B,BP$2&amp;$BI$1)</f>
        <v/>
      </c>
      <c r="BQ20" s="208">
        <f>SUMIFS(領用表!$L:$L,領用表!$E:$E,$B20,領用表!$B:$B,BQ$2&amp;$BI$1)</f>
        <v/>
      </c>
      <c r="BR20" s="208">
        <f>SUMIFS(領用表!$L:$L,領用表!$E:$E,$B20,領用表!$B:$B,BR$2&amp;$BI$1)</f>
        <v/>
      </c>
      <c r="BS20" s="208">
        <f>SUMIFS(領用表!$L:$L,領用表!$E:$E,$B20,領用表!$B:$B,BS$2&amp;$BI$1)</f>
        <v/>
      </c>
      <c r="BT20" s="208">
        <f>SUMIFS(領用表!$L:$L,領用表!$E:$E,$B20,領用表!$B:$B,BT$2&amp;$BI$1)</f>
        <v/>
      </c>
      <c r="BU20" s="208">
        <f>SUM(BI20,BJ20,BK20,BL20,BM20,BN20)</f>
        <v/>
      </c>
      <c r="BV20" s="208">
        <f>AVERAGE(BI20,BJ20,BK20,BL20,BM20,BN20)</f>
        <v/>
      </c>
      <c r="BW20" s="208">
        <f>SUMIF(Summary!B:B,B20,Summary!DZ:DZ)</f>
        <v/>
      </c>
      <c r="BX20" s="215" t="n">
        <v>10</v>
      </c>
      <c r="BY20" s="210" t="n"/>
      <c r="BZ20" s="211" t="n"/>
      <c r="CA20" s="211" t="n"/>
      <c r="CB20" s="222" t="n"/>
      <c r="CC20" s="223" t="n"/>
      <c r="CE20" s="213" t="n"/>
    </row>
    <row r="21" ht="15.75" customFormat="1" customHeight="1" s="118">
      <c r="A21" s="136" t="inlineStr">
        <is>
          <t>MM2MA070005A</t>
        </is>
      </c>
      <c r="B21" s="118" t="n">
        <v>6210008</v>
      </c>
      <c r="C21" s="428" t="inlineStr">
        <is>
          <t>得美微針筆 33G針頭(支)</t>
        </is>
      </c>
      <c r="D21" s="197" t="n">
        <v>33</v>
      </c>
      <c r="E21" s="198" t="inlineStr">
        <is>
          <t>PCS</t>
        </is>
      </c>
      <c r="F21" s="349" t="n">
        <v>34</v>
      </c>
      <c r="G21" s="349" t="n"/>
      <c r="H21" s="200" t="n"/>
      <c r="I21" s="200" t="n"/>
      <c r="J21" s="200" t="n"/>
      <c r="K21" s="200" t="n"/>
      <c r="L21" s="200" t="n"/>
      <c r="M21" s="200" t="n"/>
      <c r="N21" s="200" t="n"/>
      <c r="O21" s="200" t="n"/>
      <c r="P21" s="200" t="n"/>
      <c r="Q21" s="200" t="n"/>
      <c r="R21" s="200" t="n"/>
      <c r="S21" s="200" t="n"/>
      <c r="T21" s="200" t="n"/>
      <c r="U21" s="200" t="n"/>
      <c r="V21" s="200" t="n"/>
      <c r="W21" s="200" t="n"/>
      <c r="X21" s="200" t="n"/>
      <c r="Y21" s="200" t="n"/>
      <c r="Z21" s="200" t="n"/>
      <c r="AA21" s="200" t="n"/>
      <c r="AB21" s="200" t="n"/>
      <c r="AC21" s="200" t="n"/>
      <c r="AD21" s="200" t="n"/>
      <c r="AE21" s="200" t="n"/>
      <c r="AF21" s="200" t="n"/>
      <c r="AG21" s="201" t="n"/>
      <c r="AH21" s="201" t="n"/>
      <c r="AI21" s="201" t="n"/>
      <c r="AJ21" s="201" t="n"/>
      <c r="AK21" s="201" t="n"/>
      <c r="AL21" s="201" t="n"/>
      <c r="AM21" s="201" t="n"/>
      <c r="AN21" s="201" t="n"/>
      <c r="AO21" s="201" t="n"/>
      <c r="AP21" s="201" t="n"/>
      <c r="AQ21" s="512" t="n"/>
      <c r="AR21" s="203" t="n"/>
      <c r="AS21" s="204" t="n"/>
      <c r="AT21" s="513" t="n"/>
      <c r="AU21" s="203" t="n"/>
      <c r="AV21" s="203" t="n"/>
      <c r="AW21" s="203" t="n"/>
      <c r="AX21" s="203" t="n"/>
      <c r="AY21" s="203" t="n"/>
      <c r="AZ21" s="203">
        <f>SUMIFS(領用表!$L:$L,領用表!$E:$E,$B21,領用表!$B:$B,AZ$2&amp;$BI$1)</f>
        <v/>
      </c>
      <c r="BA21" s="203">
        <f>SUMIFS(領用表!$L:$L,領用表!$E:$E,$B21,領用表!$B:$B,BA$2&amp;$BI$1)</f>
        <v/>
      </c>
      <c r="BB21" s="203">
        <f>SUMIFS(領用表!$L:$L,領用表!$E:$E,$B21,領用表!$B:$B,BB$2&amp;$BI$1)</f>
        <v/>
      </c>
      <c r="BC21" s="203">
        <f>SUMIFS(領用表!$L:$L,領用表!$E:$E,$B21,領用表!$B:$B,BC$2&amp;$BI$1)</f>
        <v/>
      </c>
      <c r="BD21" s="208">
        <f>SUMIFS(領用表!$L:$L,領用表!$E:$E,$B21,領用表!$B:$B,BD$2&amp;$BI$1)</f>
        <v/>
      </c>
      <c r="BE21" s="208">
        <f>SUMIFS(領用表!$L:$L,領用表!$E:$E,$B21,領用表!$B:$B,BE$2&amp;$BI$1)</f>
        <v/>
      </c>
      <c r="BF21" s="208">
        <f>SUMIFS(領用表!$L:$L,領用表!$E:$E,$B21,領用表!$B:$B,BF$2&amp;$BI$1)</f>
        <v/>
      </c>
      <c r="BG21" s="207">
        <f>SUM(AU21,AV21,AW21,AX21,AY21,AZ21,BA21,BB21,BC21,BD21,BE21,BF21)</f>
        <v/>
      </c>
      <c r="BH21" s="207">
        <f>AVERAGE(AU21,AV21,AW21,AX21,AY21,AZ21,BA21,BB21,BC21,BD21,BE21,BF21)</f>
        <v/>
      </c>
      <c r="BI21" s="208">
        <f>SUMIFS(領用表!$L:$L,領用表!$E:$E,$B21,領用表!$B:$B,BI$2&amp;$BI$1)</f>
        <v/>
      </c>
      <c r="BJ21" s="208">
        <f>SUMIFS(領用表!$L:$L,領用表!$E:$E,$B21,領用表!$B:$B,BJ$2&amp;$BI$1)</f>
        <v/>
      </c>
      <c r="BK21" s="208">
        <f>SUMIFS(領用表!$L:$L,領用表!$E:$E,$B21,領用表!$B:$B,BK$2&amp;$BI$1)</f>
        <v/>
      </c>
      <c r="BL21" s="208">
        <f>SUMIFS(領用表!$L:$L,領用表!$E:$E,$B21,領用表!$B:$B,BL$2&amp;$BI$1)</f>
        <v/>
      </c>
      <c r="BM21" s="208">
        <f>SUMIFS(領用表!$L:$L,領用表!$E:$E,$B21,領用表!$B:$B,BM$2&amp;$BI$1)</f>
        <v/>
      </c>
      <c r="BN21" s="208" t="n">
        <v>1</v>
      </c>
      <c r="BO21" s="208">
        <f>SUMIFS(領用表!$L:$L,領用表!$E:$E,$B21,領用表!$B:$B,BO$2&amp;$BI$1)</f>
        <v/>
      </c>
      <c r="BP21" s="208">
        <f>SUMIFS(領用表!$L:$L,領用表!$E:$E,$B21,領用表!$B:$B,BP$2&amp;$BI$1)</f>
        <v/>
      </c>
      <c r="BQ21" s="208">
        <f>SUMIFS(領用表!$L:$L,領用表!$E:$E,$B21,領用表!$B:$B,BQ$2&amp;$BI$1)</f>
        <v/>
      </c>
      <c r="BR21" s="208">
        <f>SUMIFS(領用表!$L:$L,領用表!$E:$E,$B21,領用表!$B:$B,BR$2&amp;$BI$1)</f>
        <v/>
      </c>
      <c r="BS21" s="208">
        <f>SUMIFS(領用表!$L:$L,領用表!$E:$E,$B21,領用表!$B:$B,BS$2&amp;$BI$1)</f>
        <v/>
      </c>
      <c r="BT21" s="208">
        <f>SUMIFS(領用表!$L:$L,領用表!$E:$E,$B21,領用表!$B:$B,BT$2&amp;$BI$1)</f>
        <v/>
      </c>
      <c r="BU21" s="208">
        <f>SUM(BI21,BJ21,BK21,BL21,BM21,BN21)</f>
        <v/>
      </c>
      <c r="BV21" s="208">
        <f>AVERAGE(BI21,BJ21,BK21,BL21,BM21,BN21)</f>
        <v/>
      </c>
      <c r="BW21" s="208">
        <f>SUMIF(Summary!B:B,B21,Summary!DZ:DZ)</f>
        <v/>
      </c>
      <c r="BX21" s="215" t="n">
        <v>0</v>
      </c>
      <c r="BY21" s="224" t="inlineStr">
        <is>
          <t>726支</t>
        </is>
      </c>
      <c r="BZ21" s="211" t="n"/>
      <c r="CA21" s="211" t="n"/>
      <c r="CB21" s="136" t="n"/>
      <c r="CC21" s="212" t="n"/>
      <c r="CE21" s="213" t="n"/>
    </row>
    <row r="22" hidden="1" ht="15.75" customFormat="1" customHeight="1" s="118">
      <c r="A22" s="136" t="inlineStr">
        <is>
          <t>MP1MA020016A</t>
        </is>
      </c>
      <c r="B22" s="118" t="e">
        <v>#N/A</v>
      </c>
      <c r="C22" s="132" t="inlineStr">
        <is>
          <t>薇貝拉軟組織植入劑-小分子白童針 50mg</t>
        </is>
      </c>
      <c r="D22" s="350" t="n">
        <v>1</v>
      </c>
      <c r="E22" s="351" t="inlineStr">
        <is>
          <t>PCS</t>
        </is>
      </c>
      <c r="F22" s="349" t="n"/>
      <c r="G22" s="349" t="n"/>
      <c r="H22" s="352" t="n">
        <v>0</v>
      </c>
      <c r="I22" s="352" t="n">
        <v>0</v>
      </c>
      <c r="J22" s="352" t="n">
        <v>0</v>
      </c>
      <c r="K22" s="352" t="n">
        <v>0</v>
      </c>
      <c r="L22" s="352" t="n">
        <v>0</v>
      </c>
      <c r="M22" s="352" t="n">
        <v>0</v>
      </c>
      <c r="N22" s="352" t="n">
        <v>0</v>
      </c>
      <c r="O22" s="352" t="n">
        <v>0</v>
      </c>
      <c r="P22" s="352" t="n">
        <v>0</v>
      </c>
      <c r="Q22" s="352" t="n">
        <v>0</v>
      </c>
      <c r="R22" s="352" t="n">
        <v>0</v>
      </c>
      <c r="S22" s="352" t="n">
        <v>0</v>
      </c>
      <c r="T22" s="352" t="n">
        <v>0</v>
      </c>
      <c r="U22" s="352" t="n">
        <v>0</v>
      </c>
      <c r="V22" s="352" t="n">
        <v>0</v>
      </c>
      <c r="W22" s="352" t="n">
        <v>0</v>
      </c>
      <c r="X22" s="352" t="n">
        <v>0</v>
      </c>
      <c r="Y22" s="352" t="n">
        <v>0</v>
      </c>
      <c r="Z22" s="352" t="n">
        <v>0</v>
      </c>
      <c r="AA22" s="352" t="n">
        <v>0</v>
      </c>
      <c r="AB22" s="352" t="n">
        <v>0</v>
      </c>
      <c r="AC22" s="352" t="n">
        <v>0</v>
      </c>
      <c r="AD22" s="352" t="n">
        <v>0</v>
      </c>
      <c r="AE22" s="352" t="n">
        <v>0</v>
      </c>
      <c r="AF22" s="352" t="n">
        <v>0</v>
      </c>
      <c r="AG22" s="353" t="n">
        <v>0</v>
      </c>
      <c r="AH22" s="353" t="n">
        <v>0</v>
      </c>
      <c r="AI22" s="353" t="n">
        <v>0</v>
      </c>
      <c r="AJ22" s="353" t="n">
        <v>0</v>
      </c>
      <c r="AK22" s="353" t="n">
        <v>0</v>
      </c>
      <c r="AL22" s="353" t="n">
        <v>0</v>
      </c>
      <c r="AM22" s="353" t="n">
        <v>0</v>
      </c>
      <c r="AN22" s="353" t="n">
        <v>0</v>
      </c>
      <c r="AO22" s="353" t="n">
        <v>3</v>
      </c>
      <c r="AP22" s="353" t="n">
        <v>9</v>
      </c>
      <c r="AQ22" s="533" t="n">
        <v>9</v>
      </c>
      <c r="AR22" s="355" t="n">
        <v>16</v>
      </c>
      <c r="AS22" s="356">
        <f>SUM(AG22:AR22)</f>
        <v/>
      </c>
      <c r="AT22" s="534">
        <f>AS22/4</f>
        <v/>
      </c>
      <c r="AU22" s="355" t="n">
        <v>25</v>
      </c>
      <c r="AV22" s="355" t="n">
        <v>28</v>
      </c>
      <c r="AW22" s="355" t="n">
        <v>23</v>
      </c>
      <c r="AX22" s="355" t="n">
        <v>30</v>
      </c>
      <c r="AY22" s="355" t="n">
        <v>31</v>
      </c>
      <c r="AZ22" s="355">
        <f>SUMIFS(領用表!$L:$L,領用表!$E:$E,$B22,領用表!$B:$B,AZ$2&amp;$BI$1)</f>
        <v/>
      </c>
      <c r="BA22" s="355">
        <f>SUMIFS(領用表!$L:$L,領用表!$E:$E,$B22,領用表!$B:$B,BA$2&amp;$BI$1)</f>
        <v/>
      </c>
      <c r="BB22" s="355">
        <f>SUMIFS(領用表!$L:$L,領用表!$E:$E,$B22,領用表!$B:$B,BB$2&amp;$BI$1)</f>
        <v/>
      </c>
      <c r="BC22" s="355">
        <f>SUMIFS(領用表!$L:$L,領用表!$E:$E,$B22,領用表!$B:$B,BC$2&amp;$BI$1)</f>
        <v/>
      </c>
      <c r="BD22" s="208">
        <f>SUMIFS(領用表!$L:$L,領用表!$E:$E,$B22,領用表!$B:$B,BD$2&amp;$BI$1)</f>
        <v/>
      </c>
      <c r="BE22" s="208">
        <f>SUMIFS(領用表!$L:$L,領用表!$E:$E,$B22,領用表!$B:$B,BE$2&amp;$BI$1)</f>
        <v/>
      </c>
      <c r="BF22" s="208">
        <f>SUMIFS(領用表!$L:$L,領用表!$E:$E,$B22,領用表!$B:$B,BF$2&amp;$BI$1)</f>
        <v/>
      </c>
      <c r="BG22" s="358">
        <f>SUM(AU22,AV22,AW22,AX22,AY22,AZ22,BA22,BB22,BC22,BD22,BE22,BF22)</f>
        <v/>
      </c>
      <c r="BH22" s="358">
        <f>AVERAGE(AU22,AV22,AW22,AX22,AY22,AZ22,BA22,BB22,BC22,BD22,BE22,BF22)</f>
        <v/>
      </c>
      <c r="BI22" s="208">
        <f>SUMIFS(領用表!$L:$L,領用表!$E:$E,$B22,領用表!$B:$B,BI$2&amp;$BI$1)</f>
        <v/>
      </c>
      <c r="BJ22" s="208">
        <f>SUMIFS(領用表!$L:$L,領用表!$E:$E,$B22,領用表!$B:$B,BJ$2&amp;$BI$1)</f>
        <v/>
      </c>
      <c r="BK22" s="208">
        <f>SUMIFS(領用表!$L:$L,領用表!$E:$E,$B22,領用表!$B:$B,BK$2&amp;$BI$1)</f>
        <v/>
      </c>
      <c r="BL22" s="208">
        <f>SUMIFS(領用表!$L:$L,領用表!$E:$E,$B22,領用表!$B:$B,BL$2&amp;$BI$1)</f>
        <v/>
      </c>
      <c r="BM22" s="208">
        <f>SUMIFS(領用表!$L:$L,領用表!$E:$E,$B22,領用表!$B:$B,BM$2&amp;$BI$1)</f>
        <v/>
      </c>
      <c r="BN22" s="208">
        <f>SUMIFS(領用表!$L:$L,領用表!$E:$E,$B22,領用表!$B:$B,BN$2&amp;$BI$1)</f>
        <v/>
      </c>
      <c r="BO22" s="208">
        <f>SUMIFS(領用表!$L:$L,領用表!$E:$E,$B22,領用表!$B:$B,BO$2&amp;$BI$1)</f>
        <v/>
      </c>
      <c r="BP22" s="208">
        <f>SUMIFS(領用表!$L:$L,領用表!$E:$E,$B22,領用表!$B:$B,BP$2&amp;$BI$1)</f>
        <v/>
      </c>
      <c r="BQ22" s="208">
        <f>SUMIFS(領用表!$L:$L,領用表!$E:$E,$B22,領用表!$B:$B,BQ$2&amp;$BI$1)</f>
        <v/>
      </c>
      <c r="BR22" s="208">
        <f>SUMIFS(領用表!$L:$L,領用表!$E:$E,$B22,領用表!$B:$B,BR$2&amp;$BI$1)</f>
        <v/>
      </c>
      <c r="BS22" s="208">
        <f>SUMIFS(領用表!$L:$L,領用表!$E:$E,$B22,領用表!$B:$B,BS$2&amp;$BI$1)</f>
        <v/>
      </c>
      <c r="BT22" s="208">
        <f>SUMIFS(領用表!$L:$L,領用表!$E:$E,$B22,領用表!$B:$B,BT$2&amp;$BI$1)</f>
        <v/>
      </c>
      <c r="BU22" s="208">
        <f>SUM(BI22,BJ22,BK22,BL22,BM22,BN22)</f>
        <v/>
      </c>
      <c r="BV22" s="208">
        <f>AVERAGE(BI22,BJ22,BK22,BL22,BM22,BN22)</f>
        <v/>
      </c>
      <c r="BW22" s="208">
        <f>SUMIF(Summary!B:B,B22,Summary!DZ:DZ)</f>
        <v/>
      </c>
      <c r="BX22" s="359" t="n"/>
      <c r="BY22" s="224" t="n"/>
      <c r="BZ22" s="211" t="n"/>
      <c r="CA22" s="211" t="n"/>
      <c r="CB22" s="136" t="n"/>
      <c r="CC22" s="212" t="n"/>
      <c r="CE22" s="213" t="n"/>
    </row>
    <row r="23" hidden="1" ht="15" customFormat="1" customHeight="1" s="118">
      <c r="A23" s="136" t="inlineStr">
        <is>
          <t>MP1MA020017A</t>
        </is>
      </c>
      <c r="B23" s="118" t="e">
        <v>#N/A</v>
      </c>
      <c r="C23" s="132" t="inlineStr">
        <is>
          <t>薇貝拉軟組織植入劑-大分子黑童針 200mg</t>
        </is>
      </c>
      <c r="D23" s="350" t="n">
        <v>1</v>
      </c>
      <c r="E23" s="351" t="inlineStr">
        <is>
          <t>PCS</t>
        </is>
      </c>
      <c r="F23" s="349" t="n"/>
      <c r="G23" s="349" t="n"/>
      <c r="H23" s="352" t="n">
        <v>0</v>
      </c>
      <c r="I23" s="352" t="n">
        <v>0</v>
      </c>
      <c r="J23" s="352" t="n">
        <v>0</v>
      </c>
      <c r="K23" s="352" t="n">
        <v>0</v>
      </c>
      <c r="L23" s="352" t="n">
        <v>0</v>
      </c>
      <c r="M23" s="352" t="n">
        <v>0</v>
      </c>
      <c r="N23" s="352" t="n">
        <v>0</v>
      </c>
      <c r="O23" s="352" t="n">
        <v>0</v>
      </c>
      <c r="P23" s="352" t="n">
        <v>0</v>
      </c>
      <c r="Q23" s="352" t="n">
        <v>0</v>
      </c>
      <c r="R23" s="352" t="n">
        <v>0</v>
      </c>
      <c r="S23" s="352" t="n">
        <v>0</v>
      </c>
      <c r="T23" s="352" t="n">
        <v>0</v>
      </c>
      <c r="U23" s="352" t="n">
        <v>0</v>
      </c>
      <c r="V23" s="352" t="n">
        <v>0</v>
      </c>
      <c r="W23" s="352" t="n">
        <v>0</v>
      </c>
      <c r="X23" s="352" t="n">
        <v>0</v>
      </c>
      <c r="Y23" s="352" t="n">
        <v>0</v>
      </c>
      <c r="Z23" s="352" t="n">
        <v>0</v>
      </c>
      <c r="AA23" s="352" t="n">
        <v>0</v>
      </c>
      <c r="AB23" s="352" t="n">
        <v>0</v>
      </c>
      <c r="AC23" s="352" t="n">
        <v>0</v>
      </c>
      <c r="AD23" s="352" t="n">
        <v>0</v>
      </c>
      <c r="AE23" s="352" t="n">
        <v>0</v>
      </c>
      <c r="AF23" s="352" t="n">
        <v>0</v>
      </c>
      <c r="AG23" s="353" t="n">
        <v>0</v>
      </c>
      <c r="AH23" s="353" t="n">
        <v>0</v>
      </c>
      <c r="AI23" s="353" t="n">
        <v>0</v>
      </c>
      <c r="AJ23" s="353" t="n">
        <v>0</v>
      </c>
      <c r="AK23" s="353" t="n">
        <v>0</v>
      </c>
      <c r="AL23" s="353" t="n">
        <v>0</v>
      </c>
      <c r="AM23" s="353" t="n">
        <v>0</v>
      </c>
      <c r="AN23" s="353" t="n">
        <v>0</v>
      </c>
      <c r="AO23" s="353" t="n">
        <v>3</v>
      </c>
      <c r="AP23" s="353" t="n">
        <v>11</v>
      </c>
      <c r="AQ23" s="533" t="n">
        <v>15</v>
      </c>
      <c r="AR23" s="355" t="n">
        <v>15</v>
      </c>
      <c r="AS23" s="356">
        <f>SUM(AG23:AR23)</f>
        <v/>
      </c>
      <c r="AT23" s="534">
        <f>AS23/4</f>
        <v/>
      </c>
      <c r="AU23" s="355" t="n">
        <v>15</v>
      </c>
      <c r="AV23" s="355" t="n">
        <v>11</v>
      </c>
      <c r="AW23" s="355" t="n">
        <v>27</v>
      </c>
      <c r="AX23" s="355" t="n">
        <v>30</v>
      </c>
      <c r="AY23" s="355" t="n">
        <v>28</v>
      </c>
      <c r="AZ23" s="355">
        <f>SUMIFS(領用表!$L:$L,領用表!$E:$E,$B23,領用表!$B:$B,AZ$2&amp;$BI$1)</f>
        <v/>
      </c>
      <c r="BA23" s="355">
        <f>SUMIFS(領用表!$L:$L,領用表!$E:$E,$B23,領用表!$B:$B,BA$2&amp;$BI$1)</f>
        <v/>
      </c>
      <c r="BB23" s="355">
        <f>SUMIFS(領用表!$L:$L,領用表!$E:$E,$B23,領用表!$B:$B,BB$2&amp;$BI$1)</f>
        <v/>
      </c>
      <c r="BC23" s="355">
        <f>SUMIFS(領用表!$L:$L,領用表!$E:$E,$B23,領用表!$B:$B,BC$2&amp;$BI$1)</f>
        <v/>
      </c>
      <c r="BD23" s="208">
        <f>SUMIFS(領用表!$L:$L,領用表!$E:$E,$B23,領用表!$B:$B,BD$2&amp;$BI$1)</f>
        <v/>
      </c>
      <c r="BE23" s="208">
        <f>SUMIFS(領用表!$L:$L,領用表!$E:$E,$B23,領用表!$B:$B,BE$2&amp;$BI$1)</f>
        <v/>
      </c>
      <c r="BF23" s="208">
        <f>SUMIFS(領用表!$L:$L,領用表!$E:$E,$B23,領用表!$B:$B,BF$2&amp;$BI$1)</f>
        <v/>
      </c>
      <c r="BG23" s="358">
        <f>SUM(AU23,AV23,AW23,AX23,AY23,AZ23,BA23,BB23,BC23,BD23,BE23,BF23)</f>
        <v/>
      </c>
      <c r="BH23" s="358">
        <f>AVERAGE(AU23,AV23,AW23,AX23,AY23,AZ23,BA23,BB23,BC23,BD23,BE23,BF23)</f>
        <v/>
      </c>
      <c r="BI23" s="208">
        <f>SUMIFS(領用表!$L:$L,領用表!$E:$E,$B23,領用表!$B:$B,BI$2&amp;$BI$1)</f>
        <v/>
      </c>
      <c r="BJ23" s="208">
        <f>SUMIFS(領用表!$L:$L,領用表!$E:$E,$B23,領用表!$B:$B,BJ$2&amp;$BI$1)</f>
        <v/>
      </c>
      <c r="BK23" s="208">
        <f>SUMIFS(領用表!$L:$L,領用表!$E:$E,$B23,領用表!$B:$B,BK$2&amp;$BI$1)</f>
        <v/>
      </c>
      <c r="BL23" s="208">
        <f>SUMIFS(領用表!$L:$L,領用表!$E:$E,$B23,領用表!$B:$B,BL$2&amp;$BI$1)</f>
        <v/>
      </c>
      <c r="BM23" s="208">
        <f>SUMIFS(領用表!$L:$L,領用表!$E:$E,$B23,領用表!$B:$B,BM$2&amp;$BI$1)</f>
        <v/>
      </c>
      <c r="BN23" s="208">
        <f>SUMIFS(領用表!$L:$L,領用表!$E:$E,$B23,領用表!$B:$B,BN$2&amp;$BI$1)</f>
        <v/>
      </c>
      <c r="BO23" s="208">
        <f>SUMIFS(領用表!$L:$L,領用表!$E:$E,$B23,領用表!$B:$B,BO$2&amp;$BI$1)</f>
        <v/>
      </c>
      <c r="BP23" s="208">
        <f>SUMIFS(領用表!$L:$L,領用表!$E:$E,$B23,領用表!$B:$B,BP$2&amp;$BI$1)</f>
        <v/>
      </c>
      <c r="BQ23" s="208">
        <f>SUMIFS(領用表!$L:$L,領用表!$E:$E,$B23,領用表!$B:$B,BQ$2&amp;$BI$1)</f>
        <v/>
      </c>
      <c r="BR23" s="208">
        <f>SUMIFS(領用表!$L:$L,領用表!$E:$E,$B23,領用表!$B:$B,BR$2&amp;$BI$1)</f>
        <v/>
      </c>
      <c r="BS23" s="208">
        <f>SUMIFS(領用表!$L:$L,領用表!$E:$E,$B23,領用表!$B:$B,BS$2&amp;$BI$1)</f>
        <v/>
      </c>
      <c r="BT23" s="208">
        <f>SUMIFS(領用表!$L:$L,領用表!$E:$E,$B23,領用表!$B:$B,BT$2&amp;$BI$1)</f>
        <v/>
      </c>
      <c r="BU23" s="208">
        <f>SUM(BI23,BJ23,BK23,BL23,BM23,BN23)</f>
        <v/>
      </c>
      <c r="BV23" s="208">
        <f>AVERAGE(BI23,BJ23,BK23,BL23,BM23,BN23)</f>
        <v/>
      </c>
      <c r="BW23" s="208">
        <f>SUMIF(Summary!B:B,B23,Summary!DZ:DZ)</f>
        <v/>
      </c>
      <c r="BX23" s="359" t="n"/>
      <c r="BY23" s="515" t="n"/>
      <c r="BZ23" s="211" t="n"/>
      <c r="CA23" s="211" t="n"/>
      <c r="CB23" s="136" t="n"/>
      <c r="CC23" s="212" t="n"/>
      <c r="CE23" s="213" t="n"/>
    </row>
    <row r="24" ht="15.75" customFormat="1" customHeight="1" s="118">
      <c r="A24" s="136" t="inlineStr">
        <is>
          <t>MP1MA020032A</t>
        </is>
      </c>
      <c r="B24" s="118" t="n">
        <v>6160008</v>
      </c>
      <c r="C24" s="133" t="inlineStr">
        <is>
          <t>薇貝拉軟組織植入劑-小分子白童針(1cc)</t>
        </is>
      </c>
      <c r="D24" s="197" t="n">
        <v>6</v>
      </c>
      <c r="E24" s="198" t="inlineStr">
        <is>
          <t>ml</t>
        </is>
      </c>
      <c r="F24" s="349">
        <f>(D24*53)+0</f>
        <v/>
      </c>
      <c r="G24" s="349" t="n"/>
      <c r="H24" s="200" t="n"/>
      <c r="I24" s="200" t="n"/>
      <c r="J24" s="200" t="n"/>
      <c r="K24" s="200" t="n"/>
      <c r="L24" s="200" t="n"/>
      <c r="M24" s="200" t="n"/>
      <c r="N24" s="200" t="n"/>
      <c r="O24" s="200" t="n"/>
      <c r="P24" s="200" t="n"/>
      <c r="Q24" s="200" t="n"/>
      <c r="R24" s="200" t="n"/>
      <c r="S24" s="200" t="n"/>
      <c r="T24" s="200" t="n"/>
      <c r="U24" s="200" t="n"/>
      <c r="V24" s="200" t="n"/>
      <c r="W24" s="200" t="n"/>
      <c r="X24" s="200" t="n"/>
      <c r="Y24" s="200" t="n"/>
      <c r="Z24" s="200" t="n"/>
      <c r="AA24" s="200" t="n"/>
      <c r="AB24" s="200" t="n"/>
      <c r="AC24" s="200" t="n"/>
      <c r="AD24" s="200" t="n"/>
      <c r="AE24" s="200" t="n"/>
      <c r="AF24" s="200" t="n"/>
      <c r="AG24" s="200" t="n"/>
      <c r="AH24" s="200" t="n"/>
      <c r="AI24" s="200" t="n"/>
      <c r="AJ24" s="200" t="n"/>
      <c r="AK24" s="200" t="n"/>
      <c r="AL24" s="200" t="n"/>
      <c r="AM24" s="200" t="n"/>
      <c r="AN24" s="200" t="n"/>
      <c r="AO24" s="200" t="n"/>
      <c r="AP24" s="200" t="n"/>
      <c r="AQ24" s="200" t="n"/>
      <c r="AR24" s="200" t="n"/>
      <c r="AS24" s="204" t="n"/>
      <c r="AT24" s="204" t="n"/>
      <c r="AU24" s="204" t="n"/>
      <c r="AV24" s="204" t="n"/>
      <c r="AW24" s="204" t="n"/>
      <c r="AX24" s="203" t="n"/>
      <c r="AY24" s="203" t="n"/>
      <c r="AZ24" s="203">
        <f>SUMIFS(領用表!$L:$L,領用表!$E:$E,$B24,領用表!$B:$B,AZ$2&amp;$BI$1)</f>
        <v/>
      </c>
      <c r="BA24" s="203">
        <f>SUMIFS(領用表!$L:$L,領用表!$E:$E,$B24,領用表!$B:$B,BA$2&amp;$BI$1)</f>
        <v/>
      </c>
      <c r="BB24" s="203">
        <f>SUMIFS(領用表!$L:$L,領用表!$E:$E,$B24,領用表!$B:$B,BB$2&amp;$BI$1)</f>
        <v/>
      </c>
      <c r="BC24" s="203">
        <f>SUMIFS(領用表!$L:$L,領用表!$E:$E,$B24,領用表!$B:$B,BC$2&amp;$BI$1)</f>
        <v/>
      </c>
      <c r="BD24" s="208">
        <f>SUMIFS(領用表!$L:$L,領用表!$E:$E,$B24,領用表!$B:$B,BD$2&amp;$BI$1)</f>
        <v/>
      </c>
      <c r="BE24" s="208">
        <f>SUMIFS(領用表!$L:$L,領用表!$E:$E,$B24,領用表!$B:$B,BE$2&amp;$BI$1)</f>
        <v/>
      </c>
      <c r="BF24" s="208">
        <f>SUMIFS(領用表!$L:$L,領用表!$E:$E,$B24,領用表!$B:$B,BF$2&amp;$BI$1)</f>
        <v/>
      </c>
      <c r="BG24" s="207">
        <f>SUM(AU24,AV24,AW24,AX24,AY24,AZ24,BA24,BB24,BC24,BD24,BE24,BF24)</f>
        <v/>
      </c>
      <c r="BH24" s="207">
        <f>AVERAGE(AU24,AV24,AW24,AX24,AY24,AZ24,BA24,BB24,BC24,BD24,BE24,BF24)</f>
        <v/>
      </c>
      <c r="BI24" s="208">
        <f>SUMIFS(領用表!$L:$L,領用表!$E:$E,$B24,領用表!$B:$B,BI$2&amp;$BI$1)</f>
        <v/>
      </c>
      <c r="BJ24" s="208">
        <f>SUMIFS(領用表!$L:$L,領用表!$E:$E,$B24,領用表!$B:$B,BJ$2&amp;$BI$1)</f>
        <v/>
      </c>
      <c r="BK24" s="208">
        <f>SUMIFS(領用表!$L:$L,領用表!$E:$E,$B24,領用表!$B:$B,BK$2&amp;$BI$1)</f>
        <v/>
      </c>
      <c r="BL24" s="208">
        <f>SUMIFS(領用表!$L:$L,領用表!$E:$E,$B24,領用表!$B:$B,BL$2&amp;$BI$1)</f>
        <v/>
      </c>
      <c r="BM24" s="208">
        <f>SUMIFS(領用表!$L:$L,領用表!$E:$E,$B24,領用表!$B:$B,BM$2&amp;$BI$1)</f>
        <v/>
      </c>
      <c r="BN24" s="208" t="n">
        <v>25</v>
      </c>
      <c r="BO24" s="208">
        <f>SUMIFS(領用表!$L:$L,領用表!$E:$E,$B24,領用表!$B:$B,BO$2&amp;$BI$1)</f>
        <v/>
      </c>
      <c r="BP24" s="208">
        <f>SUMIFS(領用表!$L:$L,領用表!$E:$E,$B24,領用表!$B:$B,BP$2&amp;$BI$1)</f>
        <v/>
      </c>
      <c r="BQ24" s="208">
        <f>SUMIFS(領用表!$L:$L,領用表!$E:$E,$B24,領用表!$B:$B,BQ$2&amp;$BI$1)</f>
        <v/>
      </c>
      <c r="BR24" s="208">
        <f>SUMIFS(領用表!$L:$L,領用表!$E:$E,$B24,領用表!$B:$B,BR$2&amp;$BI$1)</f>
        <v/>
      </c>
      <c r="BS24" s="208">
        <f>SUMIFS(領用表!$L:$L,領用表!$E:$E,$B24,領用表!$B:$B,BS$2&amp;$BI$1)</f>
        <v/>
      </c>
      <c r="BT24" s="208">
        <f>SUMIFS(領用表!$L:$L,領用表!$E:$E,$B24,領用表!$B:$B,BT$2&amp;$BI$1)</f>
        <v/>
      </c>
      <c r="BU24" s="208">
        <f>SUM(BI24,BJ24,BK24,BL24,BM24,BN24)</f>
        <v/>
      </c>
      <c r="BV24" s="208">
        <f>AVERAGE(BI24,BJ24,BK24,BL24,BM24,BN24)</f>
        <v/>
      </c>
      <c r="BW24" s="208">
        <f>SUMIF(Summary!B:B,B24,Summary!DZ:DZ)</f>
        <v/>
      </c>
      <c r="BX24" s="215" t="n">
        <v>80</v>
      </c>
      <c r="BY24" s="210" t="n"/>
      <c r="BZ24" s="211" t="inlineStr">
        <is>
          <t>110瓶(10/21)</t>
        </is>
      </c>
      <c r="CA24" s="211" t="inlineStr">
        <is>
          <t>40瓶(10/17)</t>
        </is>
      </c>
      <c r="CB24" s="136" t="n"/>
      <c r="CC24" s="212" t="n"/>
      <c r="CE24" s="213" t="n"/>
    </row>
    <row r="25" ht="15.75" customFormat="1" customHeight="1" s="118">
      <c r="A25" s="136" t="inlineStr">
        <is>
          <t>MP1MA020033A</t>
        </is>
      </c>
      <c r="B25" s="118" t="n">
        <v>6160009</v>
      </c>
      <c r="C25" s="133" t="inlineStr">
        <is>
          <t>薇貝拉軟組織植入劑-大分子黑童針(1cc)</t>
        </is>
      </c>
      <c r="D25" s="197" t="n">
        <v>8</v>
      </c>
      <c r="E25" s="198" t="inlineStr">
        <is>
          <t>ml</t>
        </is>
      </c>
      <c r="F25" s="349">
        <f>(D25*14)+7</f>
        <v/>
      </c>
      <c r="G25" s="349" t="n"/>
      <c r="H25" s="200" t="n"/>
      <c r="I25" s="200" t="n"/>
      <c r="J25" s="200" t="n"/>
      <c r="K25" s="200" t="n"/>
      <c r="L25" s="200" t="n"/>
      <c r="M25" s="200" t="n"/>
      <c r="N25" s="200" t="n"/>
      <c r="O25" s="200" t="n"/>
      <c r="P25" s="200" t="n"/>
      <c r="Q25" s="200" t="n"/>
      <c r="R25" s="200" t="n"/>
      <c r="S25" s="200" t="n"/>
      <c r="T25" s="200" t="n"/>
      <c r="U25" s="200" t="n"/>
      <c r="V25" s="200" t="n"/>
      <c r="W25" s="200" t="n"/>
      <c r="X25" s="200" t="n"/>
      <c r="Y25" s="200" t="n"/>
      <c r="Z25" s="200" t="n"/>
      <c r="AA25" s="200" t="n"/>
      <c r="AB25" s="200" t="n"/>
      <c r="AC25" s="200" t="n"/>
      <c r="AD25" s="200" t="n"/>
      <c r="AE25" s="200" t="n"/>
      <c r="AF25" s="200" t="n"/>
      <c r="AG25" s="200" t="n"/>
      <c r="AH25" s="200" t="n"/>
      <c r="AI25" s="200" t="n"/>
      <c r="AJ25" s="200" t="n"/>
      <c r="AK25" s="200" t="n"/>
      <c r="AL25" s="200" t="n"/>
      <c r="AM25" s="200" t="n"/>
      <c r="AN25" s="200" t="n"/>
      <c r="AO25" s="200" t="n"/>
      <c r="AP25" s="200" t="n"/>
      <c r="AQ25" s="200" t="n"/>
      <c r="AR25" s="200" t="n"/>
      <c r="AS25" s="204" t="n"/>
      <c r="AT25" s="204" t="n"/>
      <c r="AU25" s="204" t="n"/>
      <c r="AV25" s="204" t="n"/>
      <c r="AW25" s="204" t="n"/>
      <c r="AX25" s="203" t="n"/>
      <c r="AY25" s="203" t="n"/>
      <c r="AZ25" s="203">
        <f>SUMIFS(領用表!$L:$L,領用表!$E:$E,$B25,領用表!$B:$B,AZ$2&amp;$BI$1)</f>
        <v/>
      </c>
      <c r="BA25" s="203">
        <f>SUMIFS(領用表!$L:$L,領用表!$E:$E,$B25,領用表!$B:$B,BA$2&amp;$BI$1)</f>
        <v/>
      </c>
      <c r="BB25" s="203">
        <f>SUMIFS(領用表!$L:$L,領用表!$E:$E,$B25,領用表!$B:$B,BB$2&amp;$BI$1)</f>
        <v/>
      </c>
      <c r="BC25" s="203">
        <f>SUMIFS(領用表!$L:$L,領用表!$E:$E,$B25,領用表!$B:$B,BC$2&amp;$BI$1)</f>
        <v/>
      </c>
      <c r="BD25" s="208">
        <f>SUMIFS(領用表!$L:$L,領用表!$E:$E,$B25,領用表!$B:$B,BD$2&amp;$BI$1)</f>
        <v/>
      </c>
      <c r="BE25" s="208">
        <f>SUMIFS(領用表!$L:$L,領用表!$E:$E,$B25,領用表!$B:$B,BE$2&amp;$BI$1)</f>
        <v/>
      </c>
      <c r="BF25" s="208">
        <f>SUMIFS(領用表!$L:$L,領用表!$E:$E,$B25,領用表!$B:$B,BF$2&amp;$BI$1)</f>
        <v/>
      </c>
      <c r="BG25" s="207">
        <f>SUM(AU25,AV25,AW25,AX25,AY25,AZ25,BA25,BB25,BC25,BD25,BE25,BF25)</f>
        <v/>
      </c>
      <c r="BH25" s="207">
        <f>AVERAGE(AU25,AV25,AW25,AX25,AY25,AZ25,BA25,BB25,BC25,BD25,BE25,BF25)</f>
        <v/>
      </c>
      <c r="BI25" s="208">
        <f>SUMIFS(領用表!$L:$L,領用表!$E:$E,$B25,領用表!$B:$B,BI$2&amp;$BI$1)</f>
        <v/>
      </c>
      <c r="BJ25" s="208">
        <f>SUMIFS(領用表!$L:$L,領用表!$E:$E,$B25,領用表!$B:$B,BJ$2&amp;$BI$1)</f>
        <v/>
      </c>
      <c r="BK25" s="208">
        <f>SUMIFS(領用表!$L:$L,領用表!$E:$E,$B25,領用表!$B:$B,BK$2&amp;$BI$1)</f>
        <v/>
      </c>
      <c r="BL25" s="208">
        <f>SUMIFS(領用表!$L:$L,領用表!$E:$E,$B25,領用表!$B:$B,BL$2&amp;$BI$1)</f>
        <v/>
      </c>
      <c r="BM25" s="208">
        <f>SUMIFS(領用表!$L:$L,領用表!$E:$E,$B25,領用表!$B:$B,BM$2&amp;$BI$1)</f>
        <v/>
      </c>
      <c r="BN25" s="208" t="n"/>
      <c r="BO25" s="208">
        <f>SUMIFS(領用表!$L:$L,領用表!$E:$E,$B25,領用表!$B:$B,BO$2&amp;$BI$1)</f>
        <v/>
      </c>
      <c r="BP25" s="208">
        <f>SUMIFS(領用表!$L:$L,領用表!$E:$E,$B25,領用表!$B:$B,BP$2&amp;$BI$1)</f>
        <v/>
      </c>
      <c r="BQ25" s="208">
        <f>SUMIFS(領用表!$L:$L,領用表!$E:$E,$B25,領用表!$B:$B,BQ$2&amp;$BI$1)</f>
        <v/>
      </c>
      <c r="BR25" s="208">
        <f>SUMIFS(領用表!$L:$L,領用表!$E:$E,$B25,領用表!$B:$B,BR$2&amp;$BI$1)</f>
        <v/>
      </c>
      <c r="BS25" s="208">
        <f>SUMIFS(領用表!$L:$L,領用表!$E:$E,$B25,領用表!$B:$B,BS$2&amp;$BI$1)</f>
        <v/>
      </c>
      <c r="BT25" s="208">
        <f>SUMIFS(領用表!$L:$L,領用表!$E:$E,$B25,領用表!$B:$B,BT$2&amp;$BI$1)</f>
        <v/>
      </c>
      <c r="BU25" s="208">
        <f>SUM(BI25,BJ25,BK25,BL25,BM25,BN25)</f>
        <v/>
      </c>
      <c r="BV25" s="208">
        <f>AVERAGE(BI25,BJ25,BK25,BL25,BM25,BN25)</f>
        <v/>
      </c>
      <c r="BW25" s="208">
        <f>SUMIF(Summary!B:B,B25,Summary!DZ:DZ)</f>
        <v/>
      </c>
      <c r="BX25" s="215" t="n">
        <v>70</v>
      </c>
      <c r="BY25" s="210" t="n"/>
      <c r="BZ25" s="211" t="inlineStr">
        <is>
          <t>40瓶(10/21)</t>
        </is>
      </c>
      <c r="CA25" s="211" t="inlineStr">
        <is>
          <t>10瓶(10/17)</t>
        </is>
      </c>
      <c r="CB25" s="136" t="n"/>
      <c r="CC25" s="212" t="n"/>
      <c r="CE25" s="213" t="n"/>
    </row>
    <row r="26" hidden="1" ht="15.75" customFormat="1" customHeight="1" s="118">
      <c r="A26" s="136" t="inlineStr">
        <is>
          <t>MP1MA020026A</t>
        </is>
      </c>
      <c r="B26" s="118" t="e">
        <v>#N/A</v>
      </c>
      <c r="C26" s="134" t="inlineStr">
        <is>
          <t>(喬雅露)芳蜜軟組織注射植入物-Juvelook 50mg</t>
        </is>
      </c>
      <c r="D26" s="350" t="n">
        <v>1</v>
      </c>
      <c r="E26" s="351" t="inlineStr">
        <is>
          <t>PCS</t>
        </is>
      </c>
      <c r="F26" s="349" t="n"/>
      <c r="G26" s="349" t="n"/>
      <c r="H26" s="352" t="n">
        <v>0</v>
      </c>
      <c r="I26" s="352" t="n">
        <v>0</v>
      </c>
      <c r="J26" s="352" t="n">
        <v>0</v>
      </c>
      <c r="K26" s="352" t="n">
        <v>0</v>
      </c>
      <c r="L26" s="352" t="n">
        <v>0</v>
      </c>
      <c r="M26" s="352" t="n">
        <v>0</v>
      </c>
      <c r="N26" s="352" t="n">
        <v>0</v>
      </c>
      <c r="O26" s="352" t="n">
        <v>0</v>
      </c>
      <c r="P26" s="352" t="n">
        <v>0</v>
      </c>
      <c r="Q26" s="352" t="n">
        <v>0</v>
      </c>
      <c r="R26" s="352" t="n">
        <v>0</v>
      </c>
      <c r="S26" s="352" t="n">
        <v>0</v>
      </c>
      <c r="T26" s="352" t="n">
        <v>0</v>
      </c>
      <c r="U26" s="352" t="n">
        <v>0</v>
      </c>
      <c r="V26" s="352" t="n">
        <v>0</v>
      </c>
      <c r="W26" s="352" t="n">
        <v>0</v>
      </c>
      <c r="X26" s="352" t="n">
        <v>0</v>
      </c>
      <c r="Y26" s="352" t="n">
        <v>0</v>
      </c>
      <c r="Z26" s="352" t="n">
        <v>0</v>
      </c>
      <c r="AA26" s="352" t="n">
        <v>0</v>
      </c>
      <c r="AB26" s="352" t="n">
        <v>0</v>
      </c>
      <c r="AC26" s="352" t="n">
        <v>0</v>
      </c>
      <c r="AD26" s="352" t="n">
        <v>0</v>
      </c>
      <c r="AE26" s="352" t="n">
        <v>0</v>
      </c>
      <c r="AF26" s="352" t="n">
        <v>0</v>
      </c>
      <c r="AG26" s="352" t="n">
        <v>0</v>
      </c>
      <c r="AH26" s="352" t="n">
        <v>0</v>
      </c>
      <c r="AI26" s="352" t="n">
        <v>0</v>
      </c>
      <c r="AJ26" s="352" t="n">
        <v>0</v>
      </c>
      <c r="AK26" s="352" t="n">
        <v>0</v>
      </c>
      <c r="AL26" s="352" t="n">
        <v>0</v>
      </c>
      <c r="AM26" s="352" t="n">
        <v>0</v>
      </c>
      <c r="AN26" s="352" t="n">
        <v>0</v>
      </c>
      <c r="AO26" s="352" t="n">
        <v>0</v>
      </c>
      <c r="AP26" s="352" t="n">
        <v>0</v>
      </c>
      <c r="AQ26" s="352" t="n">
        <v>0</v>
      </c>
      <c r="AR26" s="352" t="n">
        <v>0</v>
      </c>
      <c r="AS26" s="356" t="inlineStr">
        <is>
          <t>-</t>
        </is>
      </c>
      <c r="AT26" s="356" t="inlineStr">
        <is>
          <t>-</t>
        </is>
      </c>
      <c r="AU26" s="356" t="inlineStr">
        <is>
          <t>-</t>
        </is>
      </c>
      <c r="AV26" s="356" t="inlineStr">
        <is>
          <t>-</t>
        </is>
      </c>
      <c r="AW26" s="356" t="inlineStr">
        <is>
          <t>-</t>
        </is>
      </c>
      <c r="AX26" s="355" t="n">
        <v>0</v>
      </c>
      <c r="AY26" s="355" t="n">
        <v>0</v>
      </c>
      <c r="AZ26" s="355">
        <f>SUMIFS(領用表!$L:$L,領用表!$E:$E,$B26,領用表!$B:$B,AZ$2&amp;$BI$1)</f>
        <v/>
      </c>
      <c r="BA26" s="355">
        <f>SUMIFS(領用表!$L:$L,領用表!$E:$E,$B26,領用表!$B:$B,BA$2&amp;$BI$1)</f>
        <v/>
      </c>
      <c r="BB26" s="355">
        <f>SUMIFS(領用表!$L:$L,領用表!$E:$E,$B26,領用表!$B:$B,BB$2&amp;$BI$1)</f>
        <v/>
      </c>
      <c r="BC26" s="355">
        <f>SUMIFS(領用表!$L:$L,領用表!$E:$E,$B26,領用表!$B:$B,BC$2&amp;$BI$1)</f>
        <v/>
      </c>
      <c r="BD26" s="208">
        <f>SUMIFS(領用表!$L:$L,領用表!$E:$E,$B26,領用表!$B:$B,BD$2&amp;$BI$1)</f>
        <v/>
      </c>
      <c r="BE26" s="208">
        <f>SUMIFS(領用表!$L:$L,領用表!$E:$E,$B26,領用表!$B:$B,BE$2&amp;$BI$1)</f>
        <v/>
      </c>
      <c r="BF26" s="208">
        <f>SUMIFS(領用表!$L:$L,領用表!$E:$E,$B26,領用表!$B:$B,BF$2&amp;$BI$1)</f>
        <v/>
      </c>
      <c r="BG26" s="358">
        <f>SUM(AU26,AV26,AW26,AX26,AY26,AZ26,BA26,BB26,BC26,BD26,BE26,BF26)</f>
        <v/>
      </c>
      <c r="BH26" s="358">
        <f>AVERAGE(AU26,AV26,AW26,AX26,AY26,AZ26,BA26,BB26,BC26,BD26,BE26,BF26)</f>
        <v/>
      </c>
      <c r="BI26" s="208">
        <f>SUMIFS(領用表!$L:$L,領用表!$E:$E,$B26,領用表!$B:$B,BI$2&amp;$BI$1)</f>
        <v/>
      </c>
      <c r="BJ26" s="208">
        <f>SUMIFS(領用表!$L:$L,領用表!$E:$E,$B26,領用表!$B:$B,BJ$2&amp;$BI$1)</f>
        <v/>
      </c>
      <c r="BK26" s="208">
        <f>SUMIFS(領用表!$L:$L,領用表!$E:$E,$B26,領用表!$B:$B,BK$2&amp;$BI$1)</f>
        <v/>
      </c>
      <c r="BL26" s="208">
        <f>SUMIFS(領用表!$L:$L,領用表!$E:$E,$B26,領用表!$B:$B,BL$2&amp;$BI$1)</f>
        <v/>
      </c>
      <c r="BM26" s="208">
        <f>SUMIFS(領用表!$L:$L,領用表!$E:$E,$B26,領用表!$B:$B,BM$2&amp;$BI$1)</f>
        <v/>
      </c>
      <c r="BN26" s="208">
        <f>SUMIFS(領用表!$L:$L,領用表!$E:$E,$B26,領用表!$B:$B,BN$2&amp;$BI$1)</f>
        <v/>
      </c>
      <c r="BO26" s="208">
        <f>SUMIFS(領用表!$L:$L,領用表!$E:$E,$B26,領用表!$B:$B,BO$2&amp;$BI$1)</f>
        <v/>
      </c>
      <c r="BP26" s="208">
        <f>SUMIFS(領用表!$L:$L,領用表!$E:$E,$B26,領用表!$B:$B,BP$2&amp;$BI$1)</f>
        <v/>
      </c>
      <c r="BQ26" s="208">
        <f>SUMIFS(領用表!$L:$L,領用表!$E:$E,$B26,領用表!$B:$B,BQ$2&amp;$BI$1)</f>
        <v/>
      </c>
      <c r="BR26" s="208">
        <f>SUMIFS(領用表!$L:$L,領用表!$E:$E,$B26,領用表!$B:$B,BR$2&amp;$BI$1)</f>
        <v/>
      </c>
      <c r="BS26" s="208">
        <f>SUMIFS(領用表!$L:$L,領用表!$E:$E,$B26,領用表!$B:$B,BS$2&amp;$BI$1)</f>
        <v/>
      </c>
      <c r="BT26" s="208">
        <f>SUMIFS(領用表!$L:$L,領用表!$E:$E,$B26,領用表!$B:$B,BT$2&amp;$BI$1)</f>
        <v/>
      </c>
      <c r="BU26" s="208">
        <f>SUM(BI26,BJ26,BK26,BL26,BM26,BN26)</f>
        <v/>
      </c>
      <c r="BV26" s="208">
        <f>AVERAGE(BI26,BJ26,BK26,BL26,BM26,BN26)</f>
        <v/>
      </c>
      <c r="BW26" s="208">
        <f>SUMIF(Summary!B:B,B26,Summary!DZ:DZ)</f>
        <v/>
      </c>
      <c r="BX26" s="359" t="n"/>
      <c r="BY26" s="210" t="n"/>
      <c r="BZ26" s="211" t="n"/>
      <c r="CA26" s="211" t="n"/>
      <c r="CB26" s="136" t="inlineStr">
        <is>
          <t>叫貨單位「盒(10瓶)」</t>
        </is>
      </c>
      <c r="CC26" s="212" t="n"/>
      <c r="CE26" s="213" t="n"/>
    </row>
    <row r="27" hidden="1" ht="15.75" customFormat="1" customHeight="1" s="118">
      <c r="A27" s="136" t="inlineStr">
        <is>
          <t>MP1MA020027A</t>
        </is>
      </c>
      <c r="B27" s="118" t="e">
        <v>#N/A</v>
      </c>
      <c r="C27" s="134" t="inlineStr">
        <is>
          <t>(喬雅露)芳蜜軟組織注射植入物-Lenisna 200mg</t>
        </is>
      </c>
      <c r="D27" s="350" t="n">
        <v>1</v>
      </c>
      <c r="E27" s="351" t="inlineStr">
        <is>
          <t>PCS</t>
        </is>
      </c>
      <c r="F27" s="349" t="n"/>
      <c r="G27" s="349" t="n"/>
      <c r="H27" s="352" t="n">
        <v>0</v>
      </c>
      <c r="I27" s="352" t="n">
        <v>0</v>
      </c>
      <c r="J27" s="352" t="n">
        <v>0</v>
      </c>
      <c r="K27" s="352" t="n">
        <v>0</v>
      </c>
      <c r="L27" s="352" t="n">
        <v>0</v>
      </c>
      <c r="M27" s="352" t="n">
        <v>0</v>
      </c>
      <c r="N27" s="352" t="n">
        <v>0</v>
      </c>
      <c r="O27" s="352" t="n">
        <v>0</v>
      </c>
      <c r="P27" s="352" t="n">
        <v>0</v>
      </c>
      <c r="Q27" s="352" t="n">
        <v>0</v>
      </c>
      <c r="R27" s="352" t="n">
        <v>0</v>
      </c>
      <c r="S27" s="352" t="n">
        <v>0</v>
      </c>
      <c r="T27" s="352" t="n">
        <v>0</v>
      </c>
      <c r="U27" s="352" t="n">
        <v>0</v>
      </c>
      <c r="V27" s="352" t="n">
        <v>0</v>
      </c>
      <c r="W27" s="352" t="n">
        <v>0</v>
      </c>
      <c r="X27" s="352" t="n">
        <v>0</v>
      </c>
      <c r="Y27" s="352" t="n">
        <v>0</v>
      </c>
      <c r="Z27" s="352" t="n">
        <v>0</v>
      </c>
      <c r="AA27" s="352" t="n">
        <v>0</v>
      </c>
      <c r="AB27" s="352" t="n">
        <v>0</v>
      </c>
      <c r="AC27" s="352" t="n">
        <v>0</v>
      </c>
      <c r="AD27" s="352" t="n">
        <v>0</v>
      </c>
      <c r="AE27" s="352" t="n">
        <v>0</v>
      </c>
      <c r="AF27" s="352" t="n">
        <v>0</v>
      </c>
      <c r="AG27" s="352" t="n">
        <v>0</v>
      </c>
      <c r="AH27" s="352" t="n">
        <v>0</v>
      </c>
      <c r="AI27" s="352" t="n">
        <v>0</v>
      </c>
      <c r="AJ27" s="352" t="n">
        <v>0</v>
      </c>
      <c r="AK27" s="352" t="n">
        <v>0</v>
      </c>
      <c r="AL27" s="352" t="n">
        <v>0</v>
      </c>
      <c r="AM27" s="352" t="n">
        <v>0</v>
      </c>
      <c r="AN27" s="352" t="n">
        <v>0</v>
      </c>
      <c r="AO27" s="352" t="n">
        <v>0</v>
      </c>
      <c r="AP27" s="352" t="n">
        <v>0</v>
      </c>
      <c r="AQ27" s="352" t="n">
        <v>0</v>
      </c>
      <c r="AR27" s="352" t="n">
        <v>0</v>
      </c>
      <c r="AS27" s="356" t="inlineStr">
        <is>
          <t>-</t>
        </is>
      </c>
      <c r="AT27" s="356" t="inlineStr">
        <is>
          <t>-</t>
        </is>
      </c>
      <c r="AU27" s="356" t="inlineStr">
        <is>
          <t>-</t>
        </is>
      </c>
      <c r="AV27" s="356" t="inlineStr">
        <is>
          <t>-</t>
        </is>
      </c>
      <c r="AW27" s="356" t="inlineStr">
        <is>
          <t>-</t>
        </is>
      </c>
      <c r="AX27" s="355" t="n">
        <v>0</v>
      </c>
      <c r="AY27" s="355" t="n">
        <v>10</v>
      </c>
      <c r="AZ27" s="355">
        <f>SUMIFS(領用表!$L:$L,領用表!$E:$E,$B27,領用表!$B:$B,AZ$2&amp;$BI$1)</f>
        <v/>
      </c>
      <c r="BA27" s="355">
        <f>SUMIFS(領用表!$L:$L,領用表!$E:$E,$B27,領用表!$B:$B,BA$2&amp;$BI$1)</f>
        <v/>
      </c>
      <c r="BB27" s="355">
        <f>SUMIFS(領用表!$L:$L,領用表!$E:$E,$B27,領用表!$B:$B,BB$2&amp;$BI$1)</f>
        <v/>
      </c>
      <c r="BC27" s="355">
        <f>SUMIFS(領用表!$L:$L,領用表!$E:$E,$B27,領用表!$B:$B,BC$2&amp;$BI$1)</f>
        <v/>
      </c>
      <c r="BD27" s="208">
        <f>SUMIFS(領用表!$L:$L,領用表!$E:$E,$B27,領用表!$B:$B,BD$2&amp;$BI$1)</f>
        <v/>
      </c>
      <c r="BE27" s="208">
        <f>SUMIFS(領用表!$L:$L,領用表!$E:$E,$B27,領用表!$B:$B,BE$2&amp;$BI$1)</f>
        <v/>
      </c>
      <c r="BF27" s="208">
        <f>SUMIFS(領用表!$L:$L,領用表!$E:$E,$B27,領用表!$B:$B,BF$2&amp;$BI$1)</f>
        <v/>
      </c>
      <c r="BG27" s="358">
        <f>SUM(AU27,AV27,AW27,AX27,AY27,AZ27,BA27,BB27,BC27,BD27,BE27,BF27)</f>
        <v/>
      </c>
      <c r="BH27" s="358">
        <f>AVERAGE(AU27,AV27,AW27,AX27,AY27,AZ27,BA27,BB27,BC27,BD27,BE27,BF27)</f>
        <v/>
      </c>
      <c r="BI27" s="208">
        <f>SUMIFS(領用表!$L:$L,領用表!$E:$E,$B27,領用表!$B:$B,BI$2&amp;$BI$1)</f>
        <v/>
      </c>
      <c r="BJ27" s="208">
        <f>SUMIFS(領用表!$L:$L,領用表!$E:$E,$B27,領用表!$B:$B,BJ$2&amp;$BI$1)</f>
        <v/>
      </c>
      <c r="BK27" s="208">
        <f>SUMIFS(領用表!$L:$L,領用表!$E:$E,$B27,領用表!$B:$B,BK$2&amp;$BI$1)</f>
        <v/>
      </c>
      <c r="BL27" s="208">
        <f>SUMIFS(領用表!$L:$L,領用表!$E:$E,$B27,領用表!$B:$B,BL$2&amp;$BI$1)</f>
        <v/>
      </c>
      <c r="BM27" s="208">
        <f>SUMIFS(領用表!$L:$L,領用表!$E:$E,$B27,領用表!$B:$B,BM$2&amp;$BI$1)</f>
        <v/>
      </c>
      <c r="BN27" s="208">
        <f>SUMIFS(領用表!$L:$L,領用表!$E:$E,$B27,領用表!$B:$B,BN$2&amp;$BI$1)</f>
        <v/>
      </c>
      <c r="BO27" s="208">
        <f>SUMIFS(領用表!$L:$L,領用表!$E:$E,$B27,領用表!$B:$B,BO$2&amp;$BI$1)</f>
        <v/>
      </c>
      <c r="BP27" s="208">
        <f>SUMIFS(領用表!$L:$L,領用表!$E:$E,$B27,領用表!$B:$B,BP$2&amp;$BI$1)</f>
        <v/>
      </c>
      <c r="BQ27" s="208">
        <f>SUMIFS(領用表!$L:$L,領用表!$E:$E,$B27,領用表!$B:$B,BQ$2&amp;$BI$1)</f>
        <v/>
      </c>
      <c r="BR27" s="208">
        <f>SUMIFS(領用表!$L:$L,領用表!$E:$E,$B27,領用表!$B:$B,BR$2&amp;$BI$1)</f>
        <v/>
      </c>
      <c r="BS27" s="208">
        <f>SUMIFS(領用表!$L:$L,領用表!$E:$E,$B27,領用表!$B:$B,BS$2&amp;$BI$1)</f>
        <v/>
      </c>
      <c r="BT27" s="208">
        <f>SUMIFS(領用表!$L:$L,領用表!$E:$E,$B27,領用表!$B:$B,BT$2&amp;$BI$1)</f>
        <v/>
      </c>
      <c r="BU27" s="208">
        <f>SUM(BI27,BJ27,BK27,BL27,BM27,BN27)</f>
        <v/>
      </c>
      <c r="BV27" s="208">
        <f>AVERAGE(BI27,BJ27,BK27,BL27,BM27,BN27)</f>
        <v/>
      </c>
      <c r="BW27" s="208">
        <f>SUMIF(Summary!B:B,B27,Summary!DZ:DZ)</f>
        <v/>
      </c>
      <c r="BX27" s="359" t="n"/>
      <c r="BY27" s="515" t="n"/>
      <c r="BZ27" s="211" t="n"/>
      <c r="CA27" s="211" t="n"/>
      <c r="CB27" s="136" t="inlineStr">
        <is>
          <t>叫貨單位「盒(10瓶)」</t>
        </is>
      </c>
      <c r="CC27" s="212" t="n"/>
      <c r="CE27" s="213" t="n"/>
    </row>
    <row r="28" ht="15.75" customFormat="1" customHeight="1" s="118">
      <c r="A28" s="136" t="inlineStr">
        <is>
          <t>MP1MA020030A</t>
        </is>
      </c>
      <c r="B28" s="118" t="n">
        <v>6160011</v>
      </c>
      <c r="C28" s="133" t="inlineStr">
        <is>
          <t>(喬雅露)芳蜜軟組織注射植入物-Juvelook 50mg (1cc)</t>
        </is>
      </c>
      <c r="D28" s="197" t="n">
        <v>6</v>
      </c>
      <c r="E28" s="198" t="inlineStr">
        <is>
          <t>ml</t>
        </is>
      </c>
      <c r="F28" s="349">
        <f>(D28*25)+5</f>
        <v/>
      </c>
      <c r="G28" s="349" t="n"/>
      <c r="H28" s="200" t="n"/>
      <c r="I28" s="200" t="n"/>
      <c r="J28" s="200" t="n"/>
      <c r="K28" s="200" t="n"/>
      <c r="L28" s="200" t="n"/>
      <c r="M28" s="200" t="n"/>
      <c r="N28" s="200" t="n"/>
      <c r="O28" s="200" t="n"/>
      <c r="P28" s="200" t="n"/>
      <c r="Q28" s="200" t="n"/>
      <c r="R28" s="200" t="n"/>
      <c r="S28" s="200" t="n"/>
      <c r="T28" s="200" t="n"/>
      <c r="U28" s="200" t="n"/>
      <c r="V28" s="200" t="n"/>
      <c r="W28" s="200" t="n"/>
      <c r="X28" s="200" t="n"/>
      <c r="Y28" s="200" t="n"/>
      <c r="Z28" s="200" t="n"/>
      <c r="AA28" s="200" t="n"/>
      <c r="AB28" s="200" t="n"/>
      <c r="AC28" s="200" t="n"/>
      <c r="AD28" s="200" t="n"/>
      <c r="AE28" s="200" t="n"/>
      <c r="AF28" s="200" t="n"/>
      <c r="AG28" s="201" t="n"/>
      <c r="AH28" s="201" t="n"/>
      <c r="AI28" s="201" t="n"/>
      <c r="AJ28" s="201" t="n"/>
      <c r="AK28" s="201" t="n"/>
      <c r="AL28" s="201" t="n"/>
      <c r="AM28" s="201" t="n"/>
      <c r="AN28" s="201" t="n"/>
      <c r="AO28" s="201" t="n"/>
      <c r="AP28" s="201" t="n"/>
      <c r="AQ28" s="201" t="n"/>
      <c r="AR28" s="203" t="n"/>
      <c r="AS28" s="204" t="n"/>
      <c r="AT28" s="513" t="n"/>
      <c r="AU28" s="203" t="n"/>
      <c r="AV28" s="203" t="n"/>
      <c r="AW28" s="203" t="n"/>
      <c r="AX28" s="203" t="n"/>
      <c r="AY28" s="203" t="n"/>
      <c r="AZ28" s="203">
        <f>SUMIFS(領用表!$L:$L,領用表!$E:$E,$B28,領用表!$B:$B,AZ$2&amp;$BI$1)</f>
        <v/>
      </c>
      <c r="BA28" s="203">
        <f>SUMIFS(領用表!$L:$L,領用表!$E:$E,$B28,領用表!$B:$B,BA$2&amp;$BI$1)</f>
        <v/>
      </c>
      <c r="BB28" s="203">
        <f>SUMIFS(領用表!$L:$L,領用表!$E:$E,$B28,領用表!$B:$B,BB$2&amp;$BI$1)</f>
        <v/>
      </c>
      <c r="BC28" s="203">
        <f>SUMIFS(領用表!$L:$L,領用表!$E:$E,$B28,領用表!$B:$B,BC$2&amp;$BI$1)</f>
        <v/>
      </c>
      <c r="BD28" s="208">
        <f>SUMIFS(領用表!$L:$L,領用表!$E:$E,$B28,領用表!$B:$B,BD$2&amp;$BI$1)</f>
        <v/>
      </c>
      <c r="BE28" s="208">
        <f>SUMIFS(領用表!$L:$L,領用表!$E:$E,$B28,領用表!$B:$B,BE$2&amp;$BI$1)</f>
        <v/>
      </c>
      <c r="BF28" s="208">
        <f>SUMIFS(領用表!$L:$L,領用表!$E:$E,$B28,領用表!$B:$B,BF$2&amp;$BI$1)</f>
        <v/>
      </c>
      <c r="BG28" s="207">
        <f>SUM(AU28,AV28,AW28,AX28,AY28,AZ28,BA28,BB28,BC28,BD28,BE28,BF28)</f>
        <v/>
      </c>
      <c r="BH28" s="207">
        <f>AVERAGE(AU28,AV28,AW28,AX28,AY28,AZ28,BA28,BB28,BC28,BD28,BE28,BF28)</f>
        <v/>
      </c>
      <c r="BI28" s="208">
        <f>SUMIFS(領用表!$L:$L,領用表!$E:$E,$B28,領用表!$B:$B,BI$2&amp;$BI$1)</f>
        <v/>
      </c>
      <c r="BJ28" s="208">
        <f>SUMIFS(領用表!$L:$L,領用表!$E:$E,$B28,領用表!$B:$B,BJ$2&amp;$BI$1)</f>
        <v/>
      </c>
      <c r="BK28" s="208">
        <f>SUMIFS(領用表!$L:$L,領用表!$E:$E,$B28,領用表!$B:$B,BK$2&amp;$BI$1)</f>
        <v/>
      </c>
      <c r="BL28" s="208">
        <f>SUMIFS(領用表!$L:$L,領用表!$E:$E,$B28,領用表!$B:$B,BL$2&amp;$BI$1)</f>
        <v/>
      </c>
      <c r="BM28" s="208">
        <f>SUMIFS(領用表!$L:$L,領用表!$E:$E,$B28,領用表!$B:$B,BM$2&amp;$BI$1)</f>
        <v/>
      </c>
      <c r="BN28" s="208" t="n">
        <v>79</v>
      </c>
      <c r="BO28" s="208">
        <f>SUMIFS(領用表!$L:$L,領用表!$E:$E,$B28,領用表!$B:$B,BO$2&amp;$BI$1)</f>
        <v/>
      </c>
      <c r="BP28" s="208">
        <f>SUMIFS(領用表!$L:$L,領用表!$E:$E,$B28,領用表!$B:$B,BP$2&amp;$BI$1)</f>
        <v/>
      </c>
      <c r="BQ28" s="208">
        <f>SUMIFS(領用表!$L:$L,領用表!$E:$E,$B28,領用表!$B:$B,BQ$2&amp;$BI$1)</f>
        <v/>
      </c>
      <c r="BR28" s="208">
        <f>SUMIFS(領用表!$L:$L,領用表!$E:$E,$B28,領用表!$B:$B,BR$2&amp;$BI$1)</f>
        <v/>
      </c>
      <c r="BS28" s="208">
        <f>SUMIFS(領用表!$L:$L,領用表!$E:$E,$B28,領用表!$B:$B,BS$2&amp;$BI$1)</f>
        <v/>
      </c>
      <c r="BT28" s="208">
        <f>SUMIFS(領用表!$L:$L,領用表!$E:$E,$B28,領用表!$B:$B,BT$2&amp;$BI$1)</f>
        <v/>
      </c>
      <c r="BU28" s="208">
        <f>SUM(BI28,BJ28,BK28,BL28,BM28,BN28)</f>
        <v/>
      </c>
      <c r="BV28" s="208">
        <f>AVERAGE(BI28,BJ28,BK28,BL28,BM28,BN28)</f>
        <v/>
      </c>
      <c r="BW28" s="208">
        <f>SUMIF(Summary!B:B,B28,Summary!DZ:DZ)</f>
        <v/>
      </c>
      <c r="BX28" s="215" t="n">
        <v>250</v>
      </c>
      <c r="BY28" s="517" t="inlineStr">
        <is>
          <t>25 (出完改叫薇貝拉)</t>
        </is>
      </c>
      <c r="BZ28" s="211" t="inlineStr">
        <is>
          <t>10瓶(10/21)</t>
        </is>
      </c>
      <c r="CA28" s="211" t="n"/>
      <c r="CB28" s="136" t="inlineStr">
        <is>
          <t>叫貨單位「盒(10瓶)」</t>
        </is>
      </c>
      <c r="CC28" s="212" t="n"/>
      <c r="CE28" s="213" t="n"/>
    </row>
    <row r="29" ht="15.75" customFormat="1" customHeight="1" s="118">
      <c r="A29" s="136" t="inlineStr">
        <is>
          <t>MP1MA020031A</t>
        </is>
      </c>
      <c r="B29" s="118" t="n">
        <v>6160010</v>
      </c>
      <c r="C29" s="133" t="inlineStr">
        <is>
          <t>(喬雅露)芳蜜軟組織注射植入物-Lenisna 200mg(1cc)</t>
        </is>
      </c>
      <c r="D29" s="197" t="n">
        <v>8</v>
      </c>
      <c r="E29" s="198" t="inlineStr">
        <is>
          <t>ml</t>
        </is>
      </c>
      <c r="F29" s="349">
        <f>(D29*10)</f>
        <v/>
      </c>
      <c r="G29" s="349" t="n"/>
      <c r="H29" s="200" t="n"/>
      <c r="I29" s="200" t="n"/>
      <c r="J29" s="200" t="n"/>
      <c r="K29" s="200" t="n"/>
      <c r="L29" s="200" t="n"/>
      <c r="M29" s="200" t="n"/>
      <c r="N29" s="200" t="n"/>
      <c r="O29" s="200" t="n"/>
      <c r="P29" s="200" t="n"/>
      <c r="Q29" s="200" t="n"/>
      <c r="R29" s="200" t="n"/>
      <c r="S29" s="200" t="n"/>
      <c r="T29" s="200" t="n"/>
      <c r="U29" s="200" t="n"/>
      <c r="V29" s="200" t="n"/>
      <c r="W29" s="200" t="n"/>
      <c r="X29" s="200" t="n"/>
      <c r="Y29" s="200" t="n"/>
      <c r="Z29" s="200" t="n"/>
      <c r="AA29" s="200" t="n"/>
      <c r="AB29" s="200" t="n"/>
      <c r="AC29" s="200" t="n"/>
      <c r="AD29" s="200" t="n"/>
      <c r="AE29" s="200" t="n"/>
      <c r="AF29" s="200" t="n"/>
      <c r="AG29" s="201" t="n"/>
      <c r="AH29" s="201" t="n"/>
      <c r="AI29" s="201" t="n"/>
      <c r="AJ29" s="201" t="n"/>
      <c r="AK29" s="201" t="n"/>
      <c r="AL29" s="201" t="n"/>
      <c r="AM29" s="201" t="n"/>
      <c r="AN29" s="201" t="n"/>
      <c r="AO29" s="201" t="n"/>
      <c r="AP29" s="201" t="n"/>
      <c r="AQ29" s="201" t="n"/>
      <c r="AR29" s="203" t="n"/>
      <c r="AS29" s="204" t="n"/>
      <c r="AT29" s="513" t="n"/>
      <c r="AU29" s="203" t="n"/>
      <c r="AV29" s="203" t="n"/>
      <c r="AW29" s="203" t="n"/>
      <c r="AX29" s="203" t="n"/>
      <c r="AY29" s="203" t="n"/>
      <c r="AZ29" s="203">
        <f>SUMIFS(領用表!$L:$L,領用表!$E:$E,$B29,領用表!$B:$B,AZ$2&amp;$BI$1)</f>
        <v/>
      </c>
      <c r="BA29" s="203">
        <f>SUMIFS(領用表!$L:$L,領用表!$E:$E,$B29,領用表!$B:$B,BA$2&amp;$BI$1)</f>
        <v/>
      </c>
      <c r="BB29" s="203">
        <f>SUMIFS(領用表!$L:$L,領用表!$E:$E,$B29,領用表!$B:$B,BB$2&amp;$BI$1)</f>
        <v/>
      </c>
      <c r="BC29" s="203">
        <f>SUMIFS(領用表!$L:$L,領用表!$E:$E,$B29,領用表!$B:$B,BC$2&amp;$BI$1)</f>
        <v/>
      </c>
      <c r="BD29" s="208">
        <f>SUMIFS(領用表!$L:$L,領用表!$E:$E,$B29,領用表!$B:$B,BD$2&amp;$BI$1)</f>
        <v/>
      </c>
      <c r="BE29" s="208">
        <f>SUMIFS(領用表!$L:$L,領用表!$E:$E,$B29,領用表!$B:$B,BE$2&amp;$BI$1)</f>
        <v/>
      </c>
      <c r="BF29" s="208">
        <f>SUMIFS(領用表!$L:$L,領用表!$E:$E,$B29,領用表!$B:$B,BF$2&amp;$BI$1)</f>
        <v/>
      </c>
      <c r="BG29" s="207">
        <f>SUM(AU29,AV29,AW29,AX29,AY29,AZ29,BA29,BB29,BC29,BD29,BE29,BF29)</f>
        <v/>
      </c>
      <c r="BH29" s="207">
        <f>AVERAGE(AU29,AV29,AW29,AX29,AY29,AZ29,BA29,BB29,BC29,BD29,BE29,BF29)</f>
        <v/>
      </c>
      <c r="BI29" s="208">
        <f>SUMIFS(領用表!$L:$L,領用表!$E:$E,$B29,領用表!$B:$B,BI$2&amp;$BI$1)</f>
        <v/>
      </c>
      <c r="BJ29" s="208">
        <f>SUMIFS(領用表!$L:$L,領用表!$E:$E,$B29,領用表!$B:$B,BJ$2&amp;$BI$1)</f>
        <v/>
      </c>
      <c r="BK29" s="208">
        <f>SUMIFS(領用表!$L:$L,領用表!$E:$E,$B29,領用表!$B:$B,BK$2&amp;$BI$1)</f>
        <v/>
      </c>
      <c r="BL29" s="208">
        <f>SUMIFS(領用表!$L:$L,領用表!$E:$E,$B29,領用表!$B:$B,BL$2&amp;$BI$1)</f>
        <v/>
      </c>
      <c r="BM29" s="208">
        <f>SUMIFS(領用表!$L:$L,領用表!$E:$E,$B29,領用表!$B:$B,BM$2&amp;$BI$1)</f>
        <v/>
      </c>
      <c r="BN29" s="208" t="n"/>
      <c r="BO29" s="208">
        <f>SUMIFS(領用表!$L:$L,領用表!$E:$E,$B29,領用表!$B:$B,BO$2&amp;$BI$1)</f>
        <v/>
      </c>
      <c r="BP29" s="208">
        <f>SUMIFS(領用表!$L:$L,領用表!$E:$E,$B29,領用表!$B:$B,BP$2&amp;$BI$1)</f>
        <v/>
      </c>
      <c r="BQ29" s="208">
        <f>SUMIFS(領用表!$L:$L,領用表!$E:$E,$B29,領用表!$B:$B,BQ$2&amp;$BI$1)</f>
        <v/>
      </c>
      <c r="BR29" s="208">
        <f>SUMIFS(領用表!$L:$L,領用表!$E:$E,$B29,領用表!$B:$B,BR$2&amp;$BI$1)</f>
        <v/>
      </c>
      <c r="BS29" s="208">
        <f>SUMIFS(領用表!$L:$L,領用表!$E:$E,$B29,領用表!$B:$B,BS$2&amp;$BI$1)</f>
        <v/>
      </c>
      <c r="BT29" s="208">
        <f>SUMIFS(領用表!$L:$L,領用表!$E:$E,$B29,領用表!$B:$B,BT$2&amp;$BI$1)</f>
        <v/>
      </c>
      <c r="BU29" s="208">
        <f>SUM(BI29,BJ29,BK29,BL29,BM29,BN29)</f>
        <v/>
      </c>
      <c r="BV29" s="208">
        <f>AVERAGE(BI29,BJ29,BK29,BL29,BM29,BN29)</f>
        <v/>
      </c>
      <c r="BW29" s="208">
        <f>SUMIF(Summary!B:B,B29,Summary!DZ:DZ)</f>
        <v/>
      </c>
      <c r="BX29" s="215" t="n">
        <v>70</v>
      </c>
      <c r="BY29" s="515" t="n"/>
      <c r="BZ29" s="211" t="n"/>
      <c r="CA29" s="211" t="inlineStr">
        <is>
          <t>10瓶(10/21)</t>
        </is>
      </c>
      <c r="CB29" s="136" t="inlineStr">
        <is>
          <t>叫貨單位「盒(10瓶)」</t>
        </is>
      </c>
      <c r="CC29" s="212" t="n"/>
      <c r="CE29" s="213" t="n"/>
    </row>
    <row r="30" ht="15.75" customFormat="1" customHeight="1" s="118">
      <c r="A30" s="136" t="inlineStr">
        <is>
          <t>MP1MX080004A</t>
        </is>
      </c>
      <c r="B30" s="118" t="n">
        <v>6190002</v>
      </c>
      <c r="C30" s="118" t="inlineStr">
        <is>
          <t>PLT生長因子凍晶製備6入(單瓶)</t>
        </is>
      </c>
      <c r="D30" s="197" t="n">
        <v>6</v>
      </c>
      <c r="E30" s="198" t="inlineStr">
        <is>
          <t>BOT</t>
        </is>
      </c>
      <c r="F30" s="349" t="n">
        <v>39</v>
      </c>
      <c r="G30" s="349" t="n"/>
      <c r="H30" s="200" t="n"/>
      <c r="I30" s="200" t="n"/>
      <c r="J30" s="200" t="n"/>
      <c r="K30" s="200" t="n"/>
      <c r="L30" s="200" t="n"/>
      <c r="M30" s="200" t="n"/>
      <c r="N30" s="200" t="n"/>
      <c r="O30" s="200" t="n"/>
      <c r="P30" s="200" t="n"/>
      <c r="Q30" s="200" t="n"/>
      <c r="R30" s="200" t="n"/>
      <c r="S30" s="200" t="n"/>
      <c r="T30" s="200" t="n"/>
      <c r="U30" s="200" t="n"/>
      <c r="V30" s="200" t="n"/>
      <c r="W30" s="200" t="n"/>
      <c r="X30" s="200" t="n"/>
      <c r="Y30" s="200" t="n"/>
      <c r="Z30" s="200" t="n"/>
      <c r="AA30" s="200" t="n"/>
      <c r="AB30" s="200" t="n"/>
      <c r="AC30" s="200" t="n"/>
      <c r="AD30" s="200" t="n"/>
      <c r="AE30" s="200" t="n"/>
      <c r="AF30" s="200" t="n"/>
      <c r="AG30" s="201" t="n">
        <v>0</v>
      </c>
      <c r="AH30" s="201" t="n">
        <v>0</v>
      </c>
      <c r="AI30" s="201" t="n">
        <v>0</v>
      </c>
      <c r="AJ30" s="201" t="n">
        <v>2</v>
      </c>
      <c r="AK30" s="201" t="n">
        <v>1</v>
      </c>
      <c r="AL30" s="201" t="n">
        <v>0</v>
      </c>
      <c r="AM30" s="201" t="n">
        <v>3</v>
      </c>
      <c r="AN30" s="201" t="n">
        <v>1</v>
      </c>
      <c r="AO30" s="201" t="n">
        <v>0</v>
      </c>
      <c r="AP30" s="201" t="n">
        <v>0</v>
      </c>
      <c r="AQ30" s="201" t="n">
        <v>1</v>
      </c>
      <c r="AR30" s="203">
        <f>36/D30</f>
        <v/>
      </c>
      <c r="AS30" s="204">
        <f>SUM(AG30:AR30)</f>
        <v/>
      </c>
      <c r="AT30" s="513">
        <f>AS30/12</f>
        <v/>
      </c>
      <c r="AU30" s="203" t="n">
        <v>36</v>
      </c>
      <c r="AV30" s="203" t="n">
        <v>0</v>
      </c>
      <c r="AW30" s="203" t="n">
        <v>2</v>
      </c>
      <c r="AX30" s="203" t="n">
        <v>2</v>
      </c>
      <c r="AY30" s="203" t="n">
        <v>0</v>
      </c>
      <c r="AZ30" s="203">
        <f>SUMIFS(領用表!$L:$L,領用表!$E:$E,$B30,領用表!$B:$B,AZ$2&amp;$BI$1)</f>
        <v/>
      </c>
      <c r="BA30" s="203">
        <f>SUMIFS(領用表!$L:$L,領用表!$E:$E,$B30,領用表!$B:$B,BA$2&amp;$BI$1)</f>
        <v/>
      </c>
      <c r="BB30" s="203">
        <f>SUMIFS(領用表!$L:$L,領用表!$E:$E,$B30,領用表!$B:$B,BB$2&amp;$BI$1)</f>
        <v/>
      </c>
      <c r="BC30" s="203">
        <f>SUMIFS(領用表!$L:$L,領用表!$E:$E,$B30,領用表!$B:$B,BC$2&amp;$BI$1)</f>
        <v/>
      </c>
      <c r="BD30" s="208">
        <f>SUMIFS(領用表!$L:$L,領用表!$E:$E,$B30,領用表!$B:$B,BD$2&amp;$BI$1)</f>
        <v/>
      </c>
      <c r="BE30" s="208">
        <f>SUMIFS(領用表!$L:$L,領用表!$E:$E,$B30,領用表!$B:$B,BE$2&amp;$BI$1)</f>
        <v/>
      </c>
      <c r="BF30" s="208">
        <f>SUMIFS(領用表!$L:$L,領用表!$E:$E,$B30,領用表!$B:$B,BF$2&amp;$BI$1)</f>
        <v/>
      </c>
      <c r="BG30" s="207">
        <f>SUM(AU30,AV30,AW30,AX30,AY30,AZ30,BA30,BB30,BC30,BD30,BE30,BF30)</f>
        <v/>
      </c>
      <c r="BH30" s="207">
        <f>AVERAGE(AU30,AV30,AW30,AX30,AY30,AZ30,BA30,BB30,BC30,BD30,BE30,BF30)</f>
        <v/>
      </c>
      <c r="BI30" s="208">
        <f>SUMIFS(領用表!$L:$L,領用表!$E:$E,$B30,領用表!$B:$B,BI$2&amp;$BI$1)</f>
        <v/>
      </c>
      <c r="BJ30" s="208">
        <f>SUMIFS(領用表!$L:$L,領用表!$E:$E,$B30,領用表!$B:$B,BJ$2&amp;$BI$1)</f>
        <v/>
      </c>
      <c r="BK30" s="208">
        <f>SUMIFS(領用表!$L:$L,領用表!$E:$E,$B30,領用表!$B:$B,BK$2&amp;$BI$1)</f>
        <v/>
      </c>
      <c r="BL30" s="208">
        <f>SUMIFS(領用表!$L:$L,領用表!$E:$E,$B30,領用表!$B:$B,BL$2&amp;$BI$1)</f>
        <v/>
      </c>
      <c r="BM30" s="208">
        <f>SUMIFS(領用表!$L:$L,領用表!$E:$E,$B30,領用表!$B:$B,BM$2&amp;$BI$1)</f>
        <v/>
      </c>
      <c r="BN30" s="208" t="n"/>
      <c r="BO30" s="208">
        <f>SUMIFS(領用表!$L:$L,領用表!$E:$E,$B30,領用表!$B:$B,BO$2&amp;$BI$1)</f>
        <v/>
      </c>
      <c r="BP30" s="208">
        <f>SUMIFS(領用表!$L:$L,領用表!$E:$E,$B30,領用表!$B:$B,BP$2&amp;$BI$1)</f>
        <v/>
      </c>
      <c r="BQ30" s="208">
        <f>SUMIFS(領用表!$L:$L,領用表!$E:$E,$B30,領用表!$B:$B,BQ$2&amp;$BI$1)</f>
        <v/>
      </c>
      <c r="BR30" s="208">
        <f>SUMIFS(領用表!$L:$L,領用表!$E:$E,$B30,領用表!$B:$B,BR$2&amp;$BI$1)</f>
        <v/>
      </c>
      <c r="BS30" s="208">
        <f>SUMIFS(領用表!$L:$L,領用表!$E:$E,$B30,領用表!$B:$B,BS$2&amp;$BI$1)</f>
        <v/>
      </c>
      <c r="BT30" s="208">
        <f>SUMIFS(領用表!$L:$L,領用表!$E:$E,$B30,領用表!$B:$B,BT$2&amp;$BI$1)</f>
        <v/>
      </c>
      <c r="BU30" s="208">
        <f>SUM(BI30,BJ30,BK30,BL30,BM30,BN30)</f>
        <v/>
      </c>
      <c r="BV30" s="208">
        <f>AVERAGE(BI30,BJ30,BK30,BL30,BM30,BN30)</f>
        <v/>
      </c>
      <c r="BW30" s="208">
        <f>SUMIF(Summary!B:B,B30,Summary!DZ:DZ)</f>
        <v/>
      </c>
      <c r="BX30" s="215" t="n">
        <v>6</v>
      </c>
      <c r="BY30" s="210" t="n">
        <v>0</v>
      </c>
      <c r="BZ30" s="211" t="n"/>
      <c r="CA30" s="211" t="n"/>
      <c r="CB30" s="136" t="n"/>
      <c r="CC30" s="212" t="n"/>
      <c r="CE30" s="213" t="n"/>
    </row>
    <row r="31" ht="15.75" customFormat="1" customHeight="1" s="118">
      <c r="A31" s="136" t="inlineStr">
        <is>
          <t>MP1MX080005A</t>
        </is>
      </c>
      <c r="B31" s="118" t="n">
        <v>6190003</v>
      </c>
      <c r="C31" s="118" t="inlineStr">
        <is>
          <t>PLT生長因子凍晶製備10入(單瓶)</t>
        </is>
      </c>
      <c r="D31" s="197" t="n">
        <v>10</v>
      </c>
      <c r="E31" s="198" t="inlineStr">
        <is>
          <t>BOT</t>
        </is>
      </c>
      <c r="F31" s="349" t="n">
        <v>60</v>
      </c>
      <c r="G31" s="349" t="n"/>
      <c r="H31" s="200" t="n"/>
      <c r="I31" s="200" t="n"/>
      <c r="J31" s="200" t="n"/>
      <c r="K31" s="200" t="n"/>
      <c r="L31" s="200" t="n"/>
      <c r="M31" s="200" t="n"/>
      <c r="N31" s="200" t="n"/>
      <c r="O31" s="200" t="n"/>
      <c r="P31" s="200" t="n"/>
      <c r="Q31" s="200" t="n"/>
      <c r="R31" s="200" t="n"/>
      <c r="S31" s="200" t="n"/>
      <c r="T31" s="200" t="n"/>
      <c r="U31" s="200" t="n"/>
      <c r="V31" s="200" t="n"/>
      <c r="W31" s="200" t="n"/>
      <c r="X31" s="200" t="n"/>
      <c r="Y31" s="200" t="n"/>
      <c r="Z31" s="200" t="n"/>
      <c r="AA31" s="200" t="n"/>
      <c r="AB31" s="200" t="n"/>
      <c r="AC31" s="200" t="n"/>
      <c r="AD31" s="200" t="n"/>
      <c r="AE31" s="200" t="n"/>
      <c r="AF31" s="200" t="n"/>
      <c r="AG31" s="201" t="n">
        <v>0</v>
      </c>
      <c r="AH31" s="201" t="n">
        <v>0</v>
      </c>
      <c r="AI31" s="201" t="n">
        <v>0</v>
      </c>
      <c r="AJ31" s="201" t="n">
        <v>1</v>
      </c>
      <c r="AK31" s="201" t="n">
        <v>0</v>
      </c>
      <c r="AL31" s="201" t="n">
        <v>0</v>
      </c>
      <c r="AM31" s="201" t="n">
        <v>7</v>
      </c>
      <c r="AN31" s="201" t="n">
        <v>5</v>
      </c>
      <c r="AO31" s="201" t="n">
        <v>1</v>
      </c>
      <c r="AP31" s="201" t="n">
        <v>0</v>
      </c>
      <c r="AQ31" s="201" t="n">
        <v>0</v>
      </c>
      <c r="AR31" s="203">
        <f>10/D31</f>
        <v/>
      </c>
      <c r="AS31" s="204">
        <f>SUM(AG31:AR31)</f>
        <v/>
      </c>
      <c r="AT31" s="513">
        <f>AS31/12</f>
        <v/>
      </c>
      <c r="AU31" s="203" t="n">
        <v>10</v>
      </c>
      <c r="AV31" s="203" t="n">
        <v>20</v>
      </c>
      <c r="AW31" s="203" t="n">
        <v>12</v>
      </c>
      <c r="AX31" s="203" t="n">
        <v>2</v>
      </c>
      <c r="AY31" s="203" t="n">
        <v>4</v>
      </c>
      <c r="AZ31" s="203">
        <f>SUMIFS(領用表!$L:$L,領用表!$E:$E,$B31,領用表!$B:$B,AZ$2&amp;$BI$1)</f>
        <v/>
      </c>
      <c r="BA31" s="203">
        <f>SUMIFS(領用表!$L:$L,領用表!$E:$E,$B31,領用表!$B:$B,BA$2&amp;$BI$1)</f>
        <v/>
      </c>
      <c r="BB31" s="203">
        <f>SUMIFS(領用表!$L:$L,領用表!$E:$E,$B31,領用表!$B:$B,BB$2&amp;$BI$1)</f>
        <v/>
      </c>
      <c r="BC31" s="203">
        <f>SUMIFS(領用表!$L:$L,領用表!$E:$E,$B31,領用表!$B:$B,BC$2&amp;$BI$1)</f>
        <v/>
      </c>
      <c r="BD31" s="208">
        <f>SUMIFS(領用表!$L:$L,領用表!$E:$E,$B31,領用表!$B:$B,BD$2&amp;$BI$1)</f>
        <v/>
      </c>
      <c r="BE31" s="208">
        <f>SUMIFS(領用表!$L:$L,領用表!$E:$E,$B31,領用表!$B:$B,BE$2&amp;$BI$1)</f>
        <v/>
      </c>
      <c r="BF31" s="208">
        <f>SUMIFS(領用表!$L:$L,領用表!$E:$E,$B31,領用表!$B:$B,BF$2&amp;$BI$1)</f>
        <v/>
      </c>
      <c r="BG31" s="207">
        <f>SUM(AU31,AV31,AW31,AX31,AY31,AZ31,BA31,BB31,BC31,BD31,BE31,BF31)</f>
        <v/>
      </c>
      <c r="BH31" s="207">
        <f>AVERAGE(AU31,AV31,AW31,AX31,AY31,AZ31,BA31,BB31,BC31,BD31,BE31,BF31)</f>
        <v/>
      </c>
      <c r="BI31" s="208">
        <f>SUMIFS(領用表!$L:$L,領用表!$E:$E,$B31,領用表!$B:$B,BI$2&amp;$BI$1)</f>
        <v/>
      </c>
      <c r="BJ31" s="208">
        <f>SUMIFS(領用表!$L:$L,領用表!$E:$E,$B31,領用表!$B:$B,BJ$2&amp;$BI$1)</f>
        <v/>
      </c>
      <c r="BK31" s="208">
        <f>SUMIFS(領用表!$L:$L,領用表!$E:$E,$B31,領用表!$B:$B,BK$2&amp;$BI$1)</f>
        <v/>
      </c>
      <c r="BL31" s="208">
        <f>SUMIFS(領用表!$L:$L,領用表!$E:$E,$B31,領用表!$B:$B,BL$2&amp;$BI$1)</f>
        <v/>
      </c>
      <c r="BM31" s="208">
        <f>SUMIFS(領用表!$L:$L,領用表!$E:$E,$B31,領用表!$B:$B,BM$2&amp;$BI$1)</f>
        <v/>
      </c>
      <c r="BN31" s="208" t="n">
        <v>4</v>
      </c>
      <c r="BO31" s="208">
        <f>SUMIFS(領用表!$L:$L,領用表!$E:$E,$B31,領用表!$B:$B,BO$2&amp;$BI$1)</f>
        <v/>
      </c>
      <c r="BP31" s="208">
        <f>SUMIFS(領用表!$L:$L,領用表!$E:$E,$B31,領用表!$B:$B,BP$2&amp;$BI$1)</f>
        <v/>
      </c>
      <c r="BQ31" s="208">
        <f>SUMIFS(領用表!$L:$L,領用表!$E:$E,$B31,領用表!$B:$B,BQ$2&amp;$BI$1)</f>
        <v/>
      </c>
      <c r="BR31" s="208">
        <f>SUMIFS(領用表!$L:$L,領用表!$E:$E,$B31,領用表!$B:$B,BR$2&amp;$BI$1)</f>
        <v/>
      </c>
      <c r="BS31" s="208">
        <f>SUMIFS(領用表!$L:$L,領用表!$E:$E,$B31,領用表!$B:$B,BS$2&amp;$BI$1)</f>
        <v/>
      </c>
      <c r="BT31" s="208">
        <f>SUMIFS(領用表!$L:$L,領用表!$E:$E,$B31,領用表!$B:$B,BT$2&amp;$BI$1)</f>
        <v/>
      </c>
      <c r="BU31" s="208">
        <f>SUM(BI31,BJ31,BK31,BL31,BM31,BN31)</f>
        <v/>
      </c>
      <c r="BV31" s="208">
        <f>AVERAGE(BI31,BJ31,BK31,BL31,BM31,BN31)</f>
        <v/>
      </c>
      <c r="BW31" s="208">
        <f>SUMIF(Summary!B:B,B31,Summary!DZ:DZ)</f>
        <v/>
      </c>
      <c r="BX31" s="215" t="n">
        <v>8</v>
      </c>
      <c r="BY31" s="210" t="n">
        <v>0</v>
      </c>
      <c r="BZ31" s="211" t="n"/>
      <c r="CA31" s="211" t="n"/>
      <c r="CB31" s="136" t="n"/>
      <c r="CC31" s="212" t="n"/>
      <c r="CE31" s="213" t="n"/>
    </row>
    <row r="32" ht="15.75" customFormat="1" customHeight="1" s="118">
      <c r="A32" s="136" t="inlineStr">
        <is>
          <t>MP1MX080006A</t>
        </is>
      </c>
      <c r="B32" s="118" t="n">
        <v>6190004</v>
      </c>
      <c r="C32" s="118" t="inlineStr">
        <is>
          <t>PLT生長因子凍晶製備20入(單瓶)</t>
        </is>
      </c>
      <c r="D32" s="197" t="n">
        <v>20</v>
      </c>
      <c r="E32" s="198" t="inlineStr">
        <is>
          <t>BOT</t>
        </is>
      </c>
      <c r="F32" s="349" t="n">
        <v>176</v>
      </c>
      <c r="G32" s="349" t="n"/>
      <c r="H32" s="200" t="n"/>
      <c r="I32" s="200" t="n"/>
      <c r="J32" s="200" t="n"/>
      <c r="K32" s="200" t="n"/>
      <c r="L32" s="200" t="n"/>
      <c r="M32" s="200" t="n"/>
      <c r="N32" s="200" t="n"/>
      <c r="O32" s="200" t="n"/>
      <c r="P32" s="200" t="n"/>
      <c r="Q32" s="200" t="n"/>
      <c r="R32" s="200" t="n"/>
      <c r="S32" s="200" t="n"/>
      <c r="T32" s="200" t="n"/>
      <c r="U32" s="200" t="n"/>
      <c r="V32" s="200" t="n"/>
      <c r="W32" s="200" t="n"/>
      <c r="X32" s="200" t="n"/>
      <c r="Y32" s="200" t="n"/>
      <c r="Z32" s="200" t="n"/>
      <c r="AA32" s="200" t="n"/>
      <c r="AB32" s="200" t="n"/>
      <c r="AC32" s="200" t="n"/>
      <c r="AD32" s="200" t="n"/>
      <c r="AE32" s="200" t="n"/>
      <c r="AF32" s="200" t="n"/>
      <c r="AG32" s="201" t="n">
        <v>0</v>
      </c>
      <c r="AH32" s="201" t="n">
        <v>0</v>
      </c>
      <c r="AI32" s="201" t="n">
        <v>2</v>
      </c>
      <c r="AJ32" s="201" t="n">
        <v>0</v>
      </c>
      <c r="AK32" s="201" t="n">
        <v>1</v>
      </c>
      <c r="AL32" s="201" t="n">
        <v>6</v>
      </c>
      <c r="AM32" s="201" t="n">
        <v>2</v>
      </c>
      <c r="AN32" s="201" t="n">
        <v>6</v>
      </c>
      <c r="AO32" s="201" t="n">
        <v>6</v>
      </c>
      <c r="AP32" s="201" t="n">
        <v>6</v>
      </c>
      <c r="AQ32" s="201" t="n">
        <v>1</v>
      </c>
      <c r="AR32" s="203">
        <f>60/D32</f>
        <v/>
      </c>
      <c r="AS32" s="204">
        <f>SUM(AG32:AR32)</f>
        <v/>
      </c>
      <c r="AT32" s="513">
        <f>AS32/12</f>
        <v/>
      </c>
      <c r="AU32" s="203" t="inlineStr">
        <is>
          <t>-</t>
        </is>
      </c>
      <c r="AV32" s="203" t="n">
        <v>40</v>
      </c>
      <c r="AW32" s="203" t="n">
        <v>31</v>
      </c>
      <c r="AX32" s="203" t="n">
        <v>14</v>
      </c>
      <c r="AY32" s="203" t="n">
        <v>25</v>
      </c>
      <c r="AZ32" s="203">
        <f>SUMIFS(領用表!$L:$L,領用表!$E:$E,$B32,領用表!$B:$B,AZ$2&amp;$BI$1)</f>
        <v/>
      </c>
      <c r="BA32" s="203">
        <f>SUMIFS(領用表!$L:$L,領用表!$E:$E,$B32,領用表!$B:$B,BA$2&amp;$BI$1)</f>
        <v/>
      </c>
      <c r="BB32" s="203">
        <f>SUMIFS(領用表!$L:$L,領用表!$E:$E,$B32,領用表!$B:$B,BB$2&amp;$BI$1)</f>
        <v/>
      </c>
      <c r="BC32" s="203">
        <f>SUMIFS(領用表!$L:$L,領用表!$E:$E,$B32,領用表!$B:$B,BC$2&amp;$BI$1)</f>
        <v/>
      </c>
      <c r="BD32" s="208">
        <f>SUMIFS(領用表!$L:$L,領用表!$E:$E,$B32,領用表!$B:$B,BD$2&amp;$BI$1)</f>
        <v/>
      </c>
      <c r="BE32" s="208">
        <f>SUMIFS(領用表!$L:$L,領用表!$E:$E,$B32,領用表!$B:$B,BE$2&amp;$BI$1)</f>
        <v/>
      </c>
      <c r="BF32" s="208">
        <f>SUMIFS(領用表!$L:$L,領用表!$E:$E,$B32,領用表!$B:$B,BF$2&amp;$BI$1)</f>
        <v/>
      </c>
      <c r="BG32" s="207">
        <f>SUM(AU32,AV32,AW32,AX32,AY32,AZ32,BA32,BB32,BC32,BD32,BE32,BF32)</f>
        <v/>
      </c>
      <c r="BH32" s="207">
        <f>AVERAGE(AU32,AV32,AW32,AX32,AY32,AZ32,BA32,BB32,BC32,BD32,BE32,BF32)</f>
        <v/>
      </c>
      <c r="BI32" s="208">
        <f>SUMIFS(領用表!$L:$L,領用表!$E:$E,$B32,領用表!$B:$B,BI$2&amp;$BI$1)</f>
        <v/>
      </c>
      <c r="BJ32" s="208">
        <f>SUMIFS(領用表!$L:$L,領用表!$E:$E,$B32,領用表!$B:$B,BJ$2&amp;$BI$1)</f>
        <v/>
      </c>
      <c r="BK32" s="208">
        <f>SUMIFS(領用表!$L:$L,領用表!$E:$E,$B32,領用表!$B:$B,BK$2&amp;$BI$1)</f>
        <v/>
      </c>
      <c r="BL32" s="208">
        <f>SUMIFS(領用表!$L:$L,領用表!$E:$E,$B32,領用表!$B:$B,BL$2&amp;$BI$1)</f>
        <v/>
      </c>
      <c r="BM32" s="208">
        <f>SUMIFS(領用表!$L:$L,領用表!$E:$E,$B32,領用表!$B:$B,BM$2&amp;$BI$1)</f>
        <v/>
      </c>
      <c r="BN32" s="208" t="n">
        <v>6</v>
      </c>
      <c r="BO32" s="208">
        <f>SUMIFS(領用表!$L:$L,領用表!$E:$E,$B32,領用表!$B:$B,BO$2&amp;$BI$1)</f>
        <v/>
      </c>
      <c r="BP32" s="208">
        <f>SUMIFS(領用表!$L:$L,領用表!$E:$E,$B32,領用表!$B:$B,BP$2&amp;$BI$1)</f>
        <v/>
      </c>
      <c r="BQ32" s="208">
        <f>SUMIFS(領用表!$L:$L,領用表!$E:$E,$B32,領用表!$B:$B,BQ$2&amp;$BI$1)</f>
        <v/>
      </c>
      <c r="BR32" s="208">
        <f>SUMIFS(領用表!$L:$L,領用表!$E:$E,$B32,領用表!$B:$B,BR$2&amp;$BI$1)</f>
        <v/>
      </c>
      <c r="BS32" s="208">
        <f>SUMIFS(領用表!$L:$L,領用表!$E:$E,$B32,領用表!$B:$B,BS$2&amp;$BI$1)</f>
        <v/>
      </c>
      <c r="BT32" s="208">
        <f>SUMIFS(領用表!$L:$L,領用表!$E:$E,$B32,領用表!$B:$B,BT$2&amp;$BI$1)</f>
        <v/>
      </c>
      <c r="BU32" s="208">
        <f>SUM(BI32,BJ32,BK32,BL32,BM32,BN32)</f>
        <v/>
      </c>
      <c r="BV32" s="208">
        <f>AVERAGE(BI32,BJ32,BK32,BL32,BM32,BN32)</f>
        <v/>
      </c>
      <c r="BW32" s="208">
        <f>SUMIF(Summary!B:B,B32,Summary!DZ:DZ)</f>
        <v/>
      </c>
      <c r="BX32" s="215" t="n">
        <v>15</v>
      </c>
      <c r="BY32" s="210" t="n">
        <v>0</v>
      </c>
      <c r="BZ32" s="211" t="n"/>
      <c r="CA32" s="211" t="n"/>
      <c r="CB32" s="136" t="n"/>
      <c r="CC32" s="212" t="n"/>
      <c r="CE32" s="213" t="n"/>
    </row>
    <row r="33" ht="15.75" customFormat="1" customHeight="1" s="118">
      <c r="A33" s="136" t="n"/>
      <c r="B33" s="14" t="n">
        <v>6190006</v>
      </c>
      <c r="C33" s="118" t="inlineStr">
        <is>
          <t>ExoPower 泌力機泌凍晶 5mg</t>
        </is>
      </c>
      <c r="D33" s="197" t="n">
        <v>1</v>
      </c>
      <c r="E33" s="198" t="inlineStr">
        <is>
          <t>PCS</t>
        </is>
      </c>
      <c r="F33" s="349" t="n">
        <v>107</v>
      </c>
      <c r="G33" s="349" t="n"/>
      <c r="H33" s="200" t="n"/>
      <c r="I33" s="200" t="n"/>
      <c r="J33" s="200" t="n"/>
      <c r="K33" s="200" t="n"/>
      <c r="L33" s="200" t="n"/>
      <c r="M33" s="200" t="n"/>
      <c r="N33" s="200" t="n"/>
      <c r="O33" s="200" t="n"/>
      <c r="P33" s="200" t="n"/>
      <c r="Q33" s="200" t="n"/>
      <c r="R33" s="200" t="n"/>
      <c r="S33" s="200" t="n"/>
      <c r="T33" s="200" t="n"/>
      <c r="U33" s="200" t="n"/>
      <c r="V33" s="200" t="n"/>
      <c r="W33" s="200" t="n"/>
      <c r="X33" s="200" t="n"/>
      <c r="Y33" s="200" t="n"/>
      <c r="Z33" s="200" t="n"/>
      <c r="AA33" s="200" t="n"/>
      <c r="AB33" s="200" t="n"/>
      <c r="AC33" s="200" t="n"/>
      <c r="AD33" s="200" t="n"/>
      <c r="AE33" s="200" t="n"/>
      <c r="AF33" s="200" t="n"/>
      <c r="AG33" s="201" t="n"/>
      <c r="AH33" s="201" t="n"/>
      <c r="AI33" s="201" t="n"/>
      <c r="AJ33" s="201" t="n"/>
      <c r="AK33" s="201" t="n"/>
      <c r="AL33" s="201" t="n"/>
      <c r="AM33" s="201" t="n"/>
      <c r="AN33" s="201" t="n"/>
      <c r="AO33" s="201" t="n"/>
      <c r="AP33" s="201" t="n"/>
      <c r="AQ33" s="201" t="n"/>
      <c r="AR33" s="203" t="n"/>
      <c r="AS33" s="204" t="n"/>
      <c r="AT33" s="513" t="n"/>
      <c r="AU33" s="203" t="n"/>
      <c r="AV33" s="203" t="n"/>
      <c r="AW33" s="203" t="n"/>
      <c r="AX33" s="203" t="n"/>
      <c r="AY33" s="203" t="n"/>
      <c r="AZ33" s="203" t="n"/>
      <c r="BA33" s="203" t="n"/>
      <c r="BB33" s="203" t="n"/>
      <c r="BC33" s="203" t="n"/>
      <c r="BD33" s="208" t="n"/>
      <c r="BE33" s="208" t="n"/>
      <c r="BF33" s="208" t="n"/>
      <c r="BG33" s="207" t="n"/>
      <c r="BH33" s="207" t="n"/>
      <c r="BI33" s="208">
        <f>SUMIFS(領用表!$L:$L,領用表!$E:$E,$B33,領用表!$B:$B,BI$2&amp;$BI$1)</f>
        <v/>
      </c>
      <c r="BJ33" s="208">
        <f>SUMIFS(領用表!$L:$L,領用表!$E:$E,$B33,領用表!$B:$B,BJ$2&amp;$BI$1)</f>
        <v/>
      </c>
      <c r="BK33" s="208">
        <f>SUMIFS(領用表!$L:$L,領用表!$E:$E,$B33,領用表!$B:$B,BK$2&amp;$BI$1)</f>
        <v/>
      </c>
      <c r="BL33" s="208">
        <f>SUMIFS(領用表!$L:$L,領用表!$E:$E,$B33,領用表!$B:$B,BL$2&amp;$BI$1)</f>
        <v/>
      </c>
      <c r="BM33" s="208">
        <f>SUMIFS(領用表!$L:$L,領用表!$E:$E,$B33,領用表!$B:$B,BM$2&amp;$BI$1)</f>
        <v/>
      </c>
      <c r="BN33" s="208" t="n">
        <v>23</v>
      </c>
      <c r="BO33" s="208" t="n"/>
      <c r="BP33" s="208" t="n"/>
      <c r="BQ33" s="208" t="n"/>
      <c r="BR33" s="208" t="n"/>
      <c r="BS33" s="208" t="n"/>
      <c r="BT33" s="208" t="n"/>
      <c r="BU33" s="208">
        <f>SUM(BI33,BJ33,BK33,BL33,BM33,BN33)</f>
        <v/>
      </c>
      <c r="BV33" s="208">
        <f>AVERAGE(BI33,BJ33,BK33,BL33,BM33,BN33)</f>
        <v/>
      </c>
      <c r="BW33" s="208">
        <f>SUMIF(Summary!B:B,B33,Summary!DZ:DZ)</f>
        <v/>
      </c>
      <c r="BX33" s="215" t="n"/>
      <c r="BY33" s="210" t="n"/>
      <c r="BZ33" s="211" t="n"/>
      <c r="CA33" s="211" t="n"/>
      <c r="CB33" s="136" t="n"/>
      <c r="CC33" s="212" t="n"/>
      <c r="CE33" s="213" t="n"/>
    </row>
    <row r="34" ht="15.75" customFormat="1" customHeight="1" s="118">
      <c r="A34" s="136" t="n"/>
      <c r="B34" s="433" t="n">
        <v>6050010</v>
      </c>
      <c r="C34" s="14" t="inlineStr">
        <is>
          <t>ExoPower 機泌導入安瓶/ 6mL</t>
        </is>
      </c>
      <c r="D34" s="426" t="n">
        <v>1</v>
      </c>
      <c r="E34" s="17" t="inlineStr">
        <is>
          <t>PCS</t>
        </is>
      </c>
      <c r="F34" s="349" t="n">
        <v>99</v>
      </c>
      <c r="G34" s="349" t="n"/>
      <c r="H34" s="200" t="n"/>
      <c r="I34" s="200" t="n"/>
      <c r="J34" s="200" t="n"/>
      <c r="K34" s="200" t="n"/>
      <c r="L34" s="200" t="n"/>
      <c r="M34" s="200" t="n"/>
      <c r="N34" s="200" t="n"/>
      <c r="O34" s="200" t="n"/>
      <c r="P34" s="200" t="n"/>
      <c r="Q34" s="200" t="n"/>
      <c r="R34" s="200" t="n"/>
      <c r="S34" s="200" t="n"/>
      <c r="T34" s="200" t="n"/>
      <c r="U34" s="200" t="n"/>
      <c r="V34" s="200" t="n"/>
      <c r="W34" s="200" t="n"/>
      <c r="X34" s="200" t="n"/>
      <c r="Y34" s="200" t="n"/>
      <c r="Z34" s="200" t="n"/>
      <c r="AA34" s="200" t="n"/>
      <c r="AB34" s="200" t="n"/>
      <c r="AC34" s="200" t="n"/>
      <c r="AD34" s="200" t="n"/>
      <c r="AE34" s="200" t="n"/>
      <c r="AF34" s="200" t="n"/>
      <c r="AG34" s="201" t="n"/>
      <c r="AH34" s="201" t="n"/>
      <c r="AI34" s="201" t="n"/>
      <c r="AJ34" s="201" t="n"/>
      <c r="AK34" s="201" t="n"/>
      <c r="AL34" s="201" t="n"/>
      <c r="AM34" s="201" t="n"/>
      <c r="AN34" s="201" t="n"/>
      <c r="AO34" s="201" t="n"/>
      <c r="AP34" s="201" t="n"/>
      <c r="AQ34" s="201" t="n"/>
      <c r="AR34" s="203" t="n"/>
      <c r="AS34" s="204" t="n"/>
      <c r="AT34" s="513" t="n"/>
      <c r="AU34" s="203" t="n"/>
      <c r="AV34" s="203" t="n"/>
      <c r="AW34" s="203" t="n"/>
      <c r="AX34" s="203" t="n"/>
      <c r="AY34" s="203" t="n"/>
      <c r="AZ34" s="203" t="n"/>
      <c r="BA34" s="203" t="n"/>
      <c r="BB34" s="203" t="n"/>
      <c r="BC34" s="203" t="n"/>
      <c r="BD34" s="208" t="n"/>
      <c r="BE34" s="208" t="n"/>
      <c r="BF34" s="208" t="n"/>
      <c r="BG34" s="207" t="n"/>
      <c r="BH34" s="207" t="n"/>
      <c r="BI34" s="208" t="n"/>
      <c r="BJ34" s="208" t="n"/>
      <c r="BK34" s="208" t="n"/>
      <c r="BL34" s="208" t="n"/>
      <c r="BM34" s="208">
        <f>SUMIFS(領用表!$L:$L,領用表!$E:$E,$B34,領用表!$B:$B,BM$2&amp;$BI$1)</f>
        <v/>
      </c>
      <c r="BN34" s="208" t="n">
        <v>1</v>
      </c>
      <c r="BO34" s="208" t="n"/>
      <c r="BP34" s="208" t="n"/>
      <c r="BQ34" s="208" t="n"/>
      <c r="BR34" s="208" t="n"/>
      <c r="BS34" s="208" t="n"/>
      <c r="BT34" s="208" t="n"/>
      <c r="BU34" s="208">
        <f>SUM(BI34,BJ34,BK34,BL34,BM34,BN34)</f>
        <v/>
      </c>
      <c r="BV34" s="208">
        <f>AVERAGE(BI34,BJ34,BK34,BL34,BM34,BN34)</f>
        <v/>
      </c>
      <c r="BW34" s="208">
        <f>SUMIF(Summary!B:B,B34,Summary!DZ:DZ)</f>
        <v/>
      </c>
      <c r="BX34" s="215" t="n"/>
      <c r="BY34" s="210" t="n"/>
      <c r="BZ34" s="211" t="n"/>
      <c r="CA34" s="211" t="n"/>
      <c r="CB34" s="136" t="n"/>
      <c r="CC34" s="212" t="n"/>
      <c r="CE34" s="213" t="n"/>
    </row>
    <row r="35" ht="15.75" customFormat="1" customHeight="1" s="118">
      <c r="A35" s="136" t="inlineStr">
        <is>
          <t>MP1MA020009A</t>
        </is>
      </c>
      <c r="B35" s="118" t="n">
        <v>6160001</v>
      </c>
      <c r="C35" s="131" t="inlineStr">
        <is>
          <t>艾麗斯皮下填補劑 Aesthe Fill-200mg/ vial</t>
        </is>
      </c>
      <c r="D35" s="228" t="n">
        <v>1</v>
      </c>
      <c r="E35" s="198" t="inlineStr">
        <is>
          <t>PCS</t>
        </is>
      </c>
      <c r="F35" s="349" t="n">
        <v>11</v>
      </c>
      <c r="G35" s="349" t="n"/>
      <c r="H35" s="220" t="n">
        <v>0</v>
      </c>
      <c r="I35" s="220" t="n">
        <v>0.05</v>
      </c>
      <c r="J35" s="200" t="n">
        <v>1</v>
      </c>
      <c r="K35" s="200" t="n">
        <v>11</v>
      </c>
      <c r="L35" s="200" t="n">
        <v>12</v>
      </c>
      <c r="M35" s="200" t="n">
        <v>2</v>
      </c>
      <c r="N35" s="200" t="n">
        <v>2</v>
      </c>
      <c r="O35" s="200" t="n">
        <v>3</v>
      </c>
      <c r="P35" s="200" t="n">
        <v>2</v>
      </c>
      <c r="Q35" s="200" t="n">
        <v>0</v>
      </c>
      <c r="R35" s="200" t="n">
        <v>1</v>
      </c>
      <c r="S35" s="200" t="n">
        <v>1</v>
      </c>
      <c r="T35" s="200" t="n">
        <v>5</v>
      </c>
      <c r="U35" s="200" t="n">
        <v>2</v>
      </c>
      <c r="V35" s="200" t="n">
        <v>1</v>
      </c>
      <c r="W35" s="200" t="n">
        <v>0</v>
      </c>
      <c r="X35" s="200" t="n">
        <v>2</v>
      </c>
      <c r="Y35" s="200" t="n">
        <v>1</v>
      </c>
      <c r="Z35" s="200" t="n">
        <v>0</v>
      </c>
      <c r="AA35" s="200" t="n">
        <v>0</v>
      </c>
      <c r="AB35" s="200" t="n">
        <v>0</v>
      </c>
      <c r="AC35" s="200" t="n">
        <v>0</v>
      </c>
      <c r="AD35" s="200" t="n">
        <v>0</v>
      </c>
      <c r="AE35" s="200" t="n">
        <v>0</v>
      </c>
      <c r="AF35" s="200" t="n">
        <v>0</v>
      </c>
      <c r="AG35" s="201" t="n">
        <v>1</v>
      </c>
      <c r="AH35" s="201" t="n">
        <v>2</v>
      </c>
      <c r="AI35" s="201" t="n">
        <v>2</v>
      </c>
      <c r="AJ35" s="201" t="n">
        <v>7</v>
      </c>
      <c r="AK35" s="201" t="n">
        <v>4</v>
      </c>
      <c r="AL35" s="201" t="n">
        <v>4</v>
      </c>
      <c r="AM35" s="201" t="n">
        <v>4</v>
      </c>
      <c r="AN35" s="201" t="n">
        <v>9</v>
      </c>
      <c r="AO35" s="201" t="n">
        <v>5</v>
      </c>
      <c r="AP35" s="201" t="n">
        <v>3</v>
      </c>
      <c r="AQ35" s="512" t="n">
        <v>0</v>
      </c>
      <c r="AR35" s="203" t="n">
        <v>1</v>
      </c>
      <c r="AS35" s="204">
        <f>SUM(AG35:AR35)</f>
        <v/>
      </c>
      <c r="AT35" s="513">
        <f>AS35/12</f>
        <v/>
      </c>
      <c r="AU35" s="203" t="n">
        <v>5</v>
      </c>
      <c r="AV35" s="203" t="n">
        <v>3</v>
      </c>
      <c r="AW35" s="203" t="n">
        <v>0</v>
      </c>
      <c r="AX35" s="203" t="n">
        <v>0</v>
      </c>
      <c r="AY35" s="203" t="n">
        <v>0</v>
      </c>
      <c r="AZ35" s="203">
        <f>SUMIFS(領用表!$L:$L,領用表!$E:$E,$B35,領用表!$B:$B,AZ$2&amp;$BI$1)</f>
        <v/>
      </c>
      <c r="BA35" s="203">
        <f>SUMIFS(領用表!$L:$L,領用表!$E:$E,$B35,領用表!$B:$B,BA$2&amp;$BI$1)</f>
        <v/>
      </c>
      <c r="BB35" s="203">
        <f>SUMIFS(領用表!$L:$L,領用表!$E:$E,$B35,領用表!$B:$B,BB$2&amp;$BI$1)</f>
        <v/>
      </c>
      <c r="BC35" s="203">
        <f>SUMIFS(領用表!$L:$L,領用表!$E:$E,$B35,領用表!$B:$B,BC$2&amp;$BI$1)</f>
        <v/>
      </c>
      <c r="BD35" s="208">
        <f>SUMIFS(領用表!$L:$L,領用表!$E:$E,$B35,領用表!$B:$B,BD$2&amp;$BI$1)</f>
        <v/>
      </c>
      <c r="BE35" s="208">
        <f>SUMIFS(領用表!$L:$L,領用表!$E:$E,$B35,領用表!$B:$B,BE$2&amp;$BI$1)</f>
        <v/>
      </c>
      <c r="BF35" s="208">
        <f>SUMIFS(領用表!$L:$L,領用表!$E:$E,$B35,領用表!$B:$B,BF$2&amp;$BI$1)</f>
        <v/>
      </c>
      <c r="BG35" s="207">
        <f>SUM(AU35,AV35,AW35,AX35,AY35,AZ35,BA35,BB35,BC35,BD35,BE35,BF35)</f>
        <v/>
      </c>
      <c r="BH35" s="207">
        <f>AVERAGE(AU35,AV35,AW35,AX35,AY35,AZ35,BA35,BB35,BC35,BD35,BE35,BF35)</f>
        <v/>
      </c>
      <c r="BI35" s="208">
        <f>SUMIFS(領用表!$L:$L,領用表!$E:$E,$B35,領用表!$B:$B,BI$2&amp;$BI$1)</f>
        <v/>
      </c>
      <c r="BJ35" s="208">
        <f>SUMIFS(領用表!$L:$L,領用表!$E:$E,$B35,領用表!$B:$B,BJ$2&amp;$BI$1)</f>
        <v/>
      </c>
      <c r="BK35" s="208">
        <f>SUMIFS(領用表!$L:$L,領用表!$E:$E,$B35,領用表!$B:$B,BK$2&amp;$BI$1)</f>
        <v/>
      </c>
      <c r="BL35" s="208">
        <f>SUMIFS(領用表!$L:$L,領用表!$E:$E,$B35,領用表!$B:$B,BL$2&amp;$BI$1)</f>
        <v/>
      </c>
      <c r="BM35" s="208">
        <f>SUMIFS(領用表!$L:$L,領用表!$E:$E,$B35,領用表!$B:$B,BM$2&amp;$BI$1)</f>
        <v/>
      </c>
      <c r="BN35" s="208" t="n"/>
      <c r="BO35" s="208">
        <f>SUMIFS(領用表!$L:$L,領用表!$E:$E,$B35,領用表!$B:$B,BO$2&amp;$BI$1)</f>
        <v/>
      </c>
      <c r="BP35" s="208">
        <f>SUMIFS(領用表!$L:$L,領用表!$E:$E,$B35,領用表!$B:$B,BP$2&amp;$BI$1)</f>
        <v/>
      </c>
      <c r="BQ35" s="208">
        <f>SUMIFS(領用表!$L:$L,領用表!$E:$E,$B35,領用表!$B:$B,BQ$2&amp;$BI$1)</f>
        <v/>
      </c>
      <c r="BR35" s="208">
        <f>SUMIFS(領用表!$L:$L,領用表!$E:$E,$B35,領用表!$B:$B,BR$2&amp;$BI$1)</f>
        <v/>
      </c>
      <c r="BS35" s="208">
        <f>SUMIFS(領用表!$L:$L,領用表!$E:$E,$B35,領用表!$B:$B,BS$2&amp;$BI$1)</f>
        <v/>
      </c>
      <c r="BT35" s="208">
        <f>SUMIFS(領用表!$L:$L,領用表!$E:$E,$B35,領用表!$B:$B,BT$2&amp;$BI$1)</f>
        <v/>
      </c>
      <c r="BU35" s="208">
        <f>SUM(BI35,BJ35,BK35,BL35,BM35,BN35)</f>
        <v/>
      </c>
      <c r="BV35" s="208">
        <f>AVERAGE(BI35,BJ35,BK35,BL35,BM35,BN35)</f>
        <v/>
      </c>
      <c r="BW35" s="208">
        <f>SUMIF(Summary!B:B,B35,Summary!DZ:DZ)</f>
        <v/>
      </c>
      <c r="BX35" s="215" t="n">
        <v>3</v>
      </c>
      <c r="BY35" s="210" t="n"/>
      <c r="BZ35" s="211" t="n"/>
      <c r="CA35" s="211" t="n"/>
      <c r="CB35" s="136" t="n"/>
      <c r="CC35" s="212" t="n"/>
      <c r="CE35" s="213" t="n"/>
    </row>
    <row r="36" ht="15.75" customFormat="1" customHeight="1" s="118">
      <c r="A36" s="136" t="inlineStr">
        <is>
          <t>MP1MA020028A</t>
        </is>
      </c>
      <c r="B36" s="118" t="n">
        <v>6150012</v>
      </c>
      <c r="C36" s="131" t="inlineStr">
        <is>
          <t>膚美康 2.5cc/支</t>
        </is>
      </c>
      <c r="D36" s="228" t="n">
        <v>1</v>
      </c>
      <c r="E36" s="198" t="inlineStr">
        <is>
          <t>PCS</t>
        </is>
      </c>
      <c r="F36" s="349" t="n">
        <v>13</v>
      </c>
      <c r="G36" s="349" t="n"/>
      <c r="H36" s="200" t="n"/>
      <c r="I36" s="200" t="n"/>
      <c r="J36" s="200" t="n"/>
      <c r="K36" s="200" t="n"/>
      <c r="L36" s="200" t="n"/>
      <c r="M36" s="200" t="n"/>
      <c r="N36" s="200" t="n"/>
      <c r="O36" s="200" t="n"/>
      <c r="P36" s="200" t="n"/>
      <c r="Q36" s="200" t="n"/>
      <c r="R36" s="200" t="n"/>
      <c r="S36" s="200" t="n"/>
      <c r="T36" s="200" t="n"/>
      <c r="U36" s="200" t="n"/>
      <c r="V36" s="200" t="n"/>
      <c r="W36" s="200" t="n"/>
      <c r="X36" s="200" t="n"/>
      <c r="Y36" s="200" t="n"/>
      <c r="Z36" s="200" t="n"/>
      <c r="AA36" s="200" t="n"/>
      <c r="AB36" s="200" t="n"/>
      <c r="AC36" s="200" t="n"/>
      <c r="AD36" s="200" t="n"/>
      <c r="AE36" s="200" t="n"/>
      <c r="AF36" s="200" t="n"/>
      <c r="AG36" s="201" t="n"/>
      <c r="AH36" s="201" t="n"/>
      <c r="AI36" s="201" t="n"/>
      <c r="AJ36" s="201" t="n"/>
      <c r="AK36" s="201" t="n"/>
      <c r="AL36" s="201" t="n"/>
      <c r="AM36" s="201" t="n"/>
      <c r="AN36" s="201" t="n"/>
      <c r="AO36" s="201" t="n"/>
      <c r="AP36" s="201" t="n"/>
      <c r="AQ36" s="512" t="n"/>
      <c r="AR36" s="203" t="n"/>
      <c r="AS36" s="204" t="inlineStr">
        <is>
          <t>-</t>
        </is>
      </c>
      <c r="AT36" s="513" t="inlineStr">
        <is>
          <t>-</t>
        </is>
      </c>
      <c r="AU36" s="513" t="inlineStr">
        <is>
          <t>-</t>
        </is>
      </c>
      <c r="AV36" s="513" t="inlineStr">
        <is>
          <t>-</t>
        </is>
      </c>
      <c r="AW36" s="513" t="inlineStr">
        <is>
          <t>-</t>
        </is>
      </c>
      <c r="AX36" s="203" t="inlineStr">
        <is>
          <t>-</t>
        </is>
      </c>
      <c r="AY36" s="203" t="inlineStr">
        <is>
          <t>-</t>
        </is>
      </c>
      <c r="AZ36" s="203">
        <f>SUMIFS(領用表!$L:$L,領用表!$E:$E,$B36,領用表!$B:$B,AZ$2&amp;$BI$1)</f>
        <v/>
      </c>
      <c r="BA36" s="203">
        <f>SUMIFS(領用表!$L:$L,領用表!$E:$E,$B36,領用表!$B:$B,BA$2&amp;$BI$1)</f>
        <v/>
      </c>
      <c r="BB36" s="203">
        <f>SUMIFS(領用表!$L:$L,領用表!$E:$E,$B36,領用表!$B:$B,BB$2&amp;$BI$1)</f>
        <v/>
      </c>
      <c r="BC36" s="203">
        <f>SUMIFS(領用表!$L:$L,領用表!$E:$E,$B36,領用表!$B:$B,BC$2&amp;$BI$1)</f>
        <v/>
      </c>
      <c r="BD36" s="208">
        <f>SUMIFS(領用表!$L:$L,領用表!$E:$E,$B36,領用表!$B:$B,BD$2&amp;$BI$1)</f>
        <v/>
      </c>
      <c r="BE36" s="208">
        <f>SUMIFS(領用表!$L:$L,領用表!$E:$E,$B36,領用表!$B:$B,BE$2&amp;$BI$1)</f>
        <v/>
      </c>
      <c r="BF36" s="208">
        <f>SUMIFS(領用表!$L:$L,領用表!$E:$E,$B36,領用表!$B:$B,BF$2&amp;$BI$1)</f>
        <v/>
      </c>
      <c r="BG36" s="207">
        <f>SUM(AU36,AV36,AW36,AX36,AY36,AZ36,BA36,BB36,BC36,BD36,BE36,BF36)</f>
        <v/>
      </c>
      <c r="BH36" s="207">
        <f>AVERAGE(AU36,AV36,AW36,AX36,AY36,AZ36,BA36,BB36,BC36,BD36,BE36,BF36)</f>
        <v/>
      </c>
      <c r="BI36" s="208">
        <f>SUMIFS(領用表!$L:$L,領用表!$E:$E,$B36,領用表!$B:$B,BI$2&amp;$BI$1)</f>
        <v/>
      </c>
      <c r="BJ36" s="208">
        <f>SUMIFS(領用表!$L:$L,領用表!$E:$E,$B36,領用表!$B:$B,BJ$2&amp;$BI$1)</f>
        <v/>
      </c>
      <c r="BK36" s="208">
        <f>SUMIFS(領用表!$L:$L,領用表!$E:$E,$B36,領用表!$B:$B,BK$2&amp;$BI$1)</f>
        <v/>
      </c>
      <c r="BL36" s="208">
        <f>SUMIFS(領用表!$L:$L,領用表!$E:$E,$B36,領用表!$B:$B,BL$2&amp;$BI$1)</f>
        <v/>
      </c>
      <c r="BM36" s="208">
        <f>SUMIFS(領用表!$L:$L,領用表!$E:$E,$B36,領用表!$B:$B,BM$2&amp;$BI$1)</f>
        <v/>
      </c>
      <c r="BN36" s="208" t="n"/>
      <c r="BO36" s="208">
        <f>SUMIFS(領用表!$L:$L,領用表!$E:$E,$B36,領用表!$B:$B,BO$2&amp;$BI$1)</f>
        <v/>
      </c>
      <c r="BP36" s="208">
        <f>SUMIFS(領用表!$L:$L,領用表!$E:$E,$B36,領用表!$B:$B,BP$2&amp;$BI$1)</f>
        <v/>
      </c>
      <c r="BQ36" s="208">
        <f>SUMIFS(領用表!$L:$L,領用表!$E:$E,$B36,領用表!$B:$B,BQ$2&amp;$BI$1)</f>
        <v/>
      </c>
      <c r="BR36" s="208">
        <f>SUMIFS(領用表!$L:$L,領用表!$E:$E,$B36,領用表!$B:$B,BR$2&amp;$BI$1)</f>
        <v/>
      </c>
      <c r="BS36" s="208">
        <f>SUMIFS(領用表!$L:$L,領用表!$E:$E,$B36,領用表!$B:$B,BS$2&amp;$BI$1)</f>
        <v/>
      </c>
      <c r="BT36" s="208">
        <f>SUMIFS(領用表!$L:$L,領用表!$E:$E,$B36,領用表!$B:$B,BT$2&amp;$BI$1)</f>
        <v/>
      </c>
      <c r="BU36" s="208">
        <f>SUM(BI36,BJ36,BK36,BL36,BM36,BN36)</f>
        <v/>
      </c>
      <c r="BV36" s="208">
        <f>AVERAGE(BI36,BJ36,BK36,BL36,BM36,BN36)</f>
        <v/>
      </c>
      <c r="BW36" s="208">
        <f>SUMIF(Summary!B:B,B36,Summary!DZ:DZ)</f>
        <v/>
      </c>
      <c r="BX36" s="215" t="n">
        <v>0</v>
      </c>
      <c r="BY36" s="224" t="n"/>
      <c r="BZ36" s="211" t="n"/>
      <c r="CA36" s="211" t="n"/>
      <c r="CB36" s="136" t="n"/>
      <c r="CC36" s="212" t="n"/>
      <c r="CE36" s="213" t="n"/>
    </row>
    <row r="37" ht="15.75" customFormat="1" customHeight="1" s="118">
      <c r="A37" s="248" t="inlineStr">
        <is>
          <t>MP1MA020034A</t>
        </is>
      </c>
      <c r="B37" s="128" t="n">
        <v>6150014</v>
      </c>
      <c r="C37" s="398" t="inlineStr">
        <is>
          <t>膚美康(1c.c.)</t>
        </is>
      </c>
      <c r="D37" s="399" t="n">
        <v>2.5</v>
      </c>
      <c r="E37" s="311" t="inlineStr">
        <is>
          <t>c.c.</t>
        </is>
      </c>
      <c r="F37" s="535">
        <f>F36*D37</f>
        <v/>
      </c>
      <c r="G37" s="349" t="n"/>
      <c r="H37" s="200" t="n"/>
      <c r="I37" s="200" t="n"/>
      <c r="J37" s="200" t="n"/>
      <c r="K37" s="200" t="n"/>
      <c r="L37" s="200" t="n"/>
      <c r="M37" s="200" t="n"/>
      <c r="N37" s="200" t="n"/>
      <c r="O37" s="200" t="n"/>
      <c r="P37" s="200" t="n"/>
      <c r="Q37" s="200" t="n"/>
      <c r="R37" s="200" t="n"/>
      <c r="S37" s="200" t="n"/>
      <c r="T37" s="200" t="n"/>
      <c r="U37" s="200" t="n"/>
      <c r="V37" s="200" t="n"/>
      <c r="W37" s="200" t="n"/>
      <c r="X37" s="200" t="n"/>
      <c r="Y37" s="200" t="n"/>
      <c r="Z37" s="200" t="n"/>
      <c r="AA37" s="200" t="n"/>
      <c r="AB37" s="200" t="n"/>
      <c r="AC37" s="200" t="n"/>
      <c r="AD37" s="200" t="n"/>
      <c r="AE37" s="200" t="n"/>
      <c r="AF37" s="200" t="n"/>
      <c r="AG37" s="201" t="n"/>
      <c r="AH37" s="201" t="n"/>
      <c r="AI37" s="201" t="n"/>
      <c r="AJ37" s="201" t="n"/>
      <c r="AK37" s="201" t="n"/>
      <c r="AL37" s="201" t="n"/>
      <c r="AM37" s="201" t="n"/>
      <c r="AN37" s="201" t="n"/>
      <c r="AO37" s="201" t="n"/>
      <c r="AP37" s="201" t="n"/>
      <c r="AQ37" s="512" t="n"/>
      <c r="AR37" s="203" t="n"/>
      <c r="AS37" s="204" t="n"/>
      <c r="AT37" s="513" t="n"/>
      <c r="AU37" s="513" t="n"/>
      <c r="AV37" s="513" t="n"/>
      <c r="AW37" s="513" t="n"/>
      <c r="AX37" s="203" t="n"/>
      <c r="AY37" s="203" t="n"/>
      <c r="AZ37" s="203">
        <f>SUMIFS(領用表!$L:$L,領用表!$E:$E,$B37,領用表!$B:$B,AZ$2&amp;$BI$1)</f>
        <v/>
      </c>
      <c r="BA37" s="203">
        <f>SUMIFS(領用表!$L:$L,領用表!$E:$E,$B37,領用表!$B:$B,BA$2&amp;$BI$1)</f>
        <v/>
      </c>
      <c r="BB37" s="203">
        <f>SUMIFS(領用表!$L:$L,領用表!$E:$E,$B37,領用表!$B:$B,BB$2&amp;$BI$1)</f>
        <v/>
      </c>
      <c r="BC37" s="203">
        <f>SUMIFS(領用表!$L:$L,領用表!$E:$E,$B37,領用表!$B:$B,BC$2&amp;$BI$1)</f>
        <v/>
      </c>
      <c r="BD37" s="208">
        <f>SUMIFS(領用表!$L:$L,領用表!$E:$E,$B37,領用表!$B:$B,BD$2&amp;$BI$1)</f>
        <v/>
      </c>
      <c r="BE37" s="208">
        <f>SUMIFS(領用表!$L:$L,領用表!$E:$E,$B37,領用表!$B:$B,BE$2&amp;$BI$1)</f>
        <v/>
      </c>
      <c r="BF37" s="208">
        <f>SUMIFS(領用表!$L:$L,領用表!$E:$E,$B37,領用表!$B:$B,BF$2&amp;$BI$1)</f>
        <v/>
      </c>
      <c r="BG37" s="207">
        <f>SUM(AU37,AV37,AW37,AX37,AY37,AZ37,BA37,BB37,BC37,BD37,BE37,BF37)</f>
        <v/>
      </c>
      <c r="BH37" s="207">
        <f>AVERAGE(AU37,AV37,AW37,AX37,AY37,AZ37,BA37,BB37,BC37,BD37,BE37,BF37)</f>
        <v/>
      </c>
      <c r="BI37" s="208">
        <f>SUMIFS(領用表!$L:$L,領用表!$E:$E,$B37,領用表!$B:$B,BI$2&amp;$BI$1)</f>
        <v/>
      </c>
      <c r="BJ37" s="208">
        <f>SUMIFS(領用表!$L:$L,領用表!$E:$E,$B37,領用表!$B:$B,BJ$2&amp;$BI$1)</f>
        <v/>
      </c>
      <c r="BK37" s="208">
        <f>SUMIFS(領用表!$L:$L,領用表!$E:$E,$B37,領用表!$B:$B,BK$2&amp;$BI$1)</f>
        <v/>
      </c>
      <c r="BL37" s="208">
        <f>SUMIFS(領用表!$L:$L,領用表!$E:$E,$B37,領用表!$B:$B,BL$2&amp;$BI$1)</f>
        <v/>
      </c>
      <c r="BM37" s="208">
        <f>SUMIFS(領用表!$L:$L,領用表!$E:$E,$B37,領用表!$B:$B,BM$2&amp;$BI$1)</f>
        <v/>
      </c>
      <c r="BN37" s="208" t="n"/>
      <c r="BO37" s="208">
        <f>SUMIFS(領用表!$L:$L,領用表!$E:$E,$B37,領用表!$B:$B,BO$2&amp;$BI$1)</f>
        <v/>
      </c>
      <c r="BP37" s="208">
        <f>SUMIFS(領用表!$L:$L,領用表!$E:$E,$B37,領用表!$B:$B,BP$2&amp;$BI$1)</f>
        <v/>
      </c>
      <c r="BQ37" s="208">
        <f>SUMIFS(領用表!$L:$L,領用表!$E:$E,$B37,領用表!$B:$B,BQ$2&amp;$BI$1)</f>
        <v/>
      </c>
      <c r="BR37" s="208">
        <f>SUMIFS(領用表!$L:$L,領用表!$E:$E,$B37,領用表!$B:$B,BR$2&amp;$BI$1)</f>
        <v/>
      </c>
      <c r="BS37" s="208">
        <f>SUMIFS(領用表!$L:$L,領用表!$E:$E,$B37,領用表!$B:$B,BS$2&amp;$BI$1)</f>
        <v/>
      </c>
      <c r="BT37" s="208">
        <f>SUMIFS(領用表!$L:$L,領用表!$E:$E,$B37,領用表!$B:$B,BT$2&amp;$BI$1)</f>
        <v/>
      </c>
      <c r="BU37" s="208">
        <f>SUM(BI37,BJ37,BK37,BL37,BM37,BN37)</f>
        <v/>
      </c>
      <c r="BV37" s="208">
        <f>AVERAGE(BI37,BJ37,BK37,BL37,BM37,BN37)</f>
        <v/>
      </c>
      <c r="BW37" s="208">
        <f>SUMIF(Summary!B:B,B37,Summary!DZ:DZ)</f>
        <v/>
      </c>
      <c r="BX37" s="215" t="n">
        <v>0</v>
      </c>
      <c r="BY37" s="469" t="n"/>
      <c r="BZ37" s="211" t="n"/>
      <c r="CA37" s="211" t="n"/>
      <c r="CB37" s="136" t="n"/>
      <c r="CC37" s="212" t="n"/>
      <c r="CE37" s="213" t="n"/>
    </row>
    <row r="38" ht="15.75" customFormat="1" customHeight="1" s="118">
      <c r="A38" s="136" t="inlineStr">
        <is>
          <t>DP1AA050001E</t>
        </is>
      </c>
      <c r="B38" s="118" t="n">
        <v>6210006</v>
      </c>
      <c r="C38" s="131" t="inlineStr">
        <is>
          <t>麗珠蘭REJURAN Skin Booster修復水光</t>
        </is>
      </c>
      <c r="D38" s="228" t="n">
        <v>3</v>
      </c>
      <c r="E38" s="198" t="inlineStr">
        <is>
          <t>SET</t>
        </is>
      </c>
      <c r="F38" s="349" t="n">
        <v>9</v>
      </c>
      <c r="G38" s="360" t="n"/>
      <c r="H38" s="200" t="n"/>
      <c r="I38" s="200" t="n"/>
      <c r="J38" s="200" t="n"/>
      <c r="K38" s="200" t="n"/>
      <c r="L38" s="200" t="n"/>
      <c r="M38" s="200" t="n"/>
      <c r="N38" s="200" t="n"/>
      <c r="O38" s="200" t="n"/>
      <c r="P38" s="200" t="n"/>
      <c r="Q38" s="200" t="n"/>
      <c r="R38" s="200" t="n"/>
      <c r="S38" s="200" t="n"/>
      <c r="T38" s="200" t="n"/>
      <c r="U38" s="200" t="n"/>
      <c r="V38" s="200" t="n"/>
      <c r="W38" s="200" t="n"/>
      <c r="X38" s="200" t="n"/>
      <c r="Y38" s="200" t="n"/>
      <c r="Z38" s="200" t="n"/>
      <c r="AA38" s="200" t="n"/>
      <c r="AB38" s="200" t="n"/>
      <c r="AC38" s="200" t="n"/>
      <c r="AD38" s="200" t="n"/>
      <c r="AE38" s="200" t="n"/>
      <c r="AF38" s="200" t="n"/>
      <c r="AG38" s="201" t="n"/>
      <c r="AH38" s="201" t="n"/>
      <c r="AI38" s="201" t="n"/>
      <c r="AJ38" s="201" t="n"/>
      <c r="AK38" s="201" t="n"/>
      <c r="AL38" s="201" t="n"/>
      <c r="AM38" s="201" t="n"/>
      <c r="AN38" s="201" t="n"/>
      <c r="AO38" s="201" t="n"/>
      <c r="AP38" s="201" t="n"/>
      <c r="AQ38" s="512" t="n"/>
      <c r="AR38" s="203" t="n"/>
      <c r="AS38" s="204" t="inlineStr">
        <is>
          <t>-</t>
        </is>
      </c>
      <c r="AT38" s="204" t="inlineStr">
        <is>
          <t>-</t>
        </is>
      </c>
      <c r="AU38" s="204" t="inlineStr">
        <is>
          <t>-</t>
        </is>
      </c>
      <c r="AV38" s="204" t="inlineStr">
        <is>
          <t>-</t>
        </is>
      </c>
      <c r="AW38" s="204" t="inlineStr">
        <is>
          <t>-</t>
        </is>
      </c>
      <c r="AX38" s="204" t="inlineStr">
        <is>
          <t>-</t>
        </is>
      </c>
      <c r="AY38" s="204" t="inlineStr">
        <is>
          <t>-</t>
        </is>
      </c>
      <c r="AZ38" s="204">
        <f>SUMIFS(領用表!$L:$L,領用表!$E:$E,$B38,領用表!$B:$B,AZ$2&amp;$BI$1)</f>
        <v/>
      </c>
      <c r="BA38" s="203">
        <f>SUMIFS(領用表!$L:$L,領用表!$E:$E,$B38,領用表!$B:$B,BA$2&amp;$BI$1)</f>
        <v/>
      </c>
      <c r="BB38" s="203">
        <f>SUMIFS(領用表!$L:$L,領用表!$E:$E,$B38,領用表!$B:$B,BB$2&amp;$BI$1)</f>
        <v/>
      </c>
      <c r="BC38" s="203">
        <f>SUMIFS(領用表!$L:$L,領用表!$E:$E,$B38,領用表!$B:$B,BC$2&amp;$BI$1)</f>
        <v/>
      </c>
      <c r="BD38" s="208">
        <f>SUMIFS(領用表!$L:$L,領用表!$E:$E,$B38,領用表!$B:$B,BD$2&amp;$BI$1)</f>
        <v/>
      </c>
      <c r="BE38" s="208">
        <f>SUMIFS(領用表!$L:$L,領用表!$E:$E,$B38,領用表!$B:$B,BE$2&amp;$BI$1)</f>
        <v/>
      </c>
      <c r="BF38" s="208">
        <f>SUMIFS(領用表!$L:$L,領用表!$E:$E,$B38,領用表!$B:$B,BF$2&amp;$BI$1)</f>
        <v/>
      </c>
      <c r="BG38" s="207">
        <f>SUM(AU38,AV38,AW38,AX38,AY38,AZ38,BA38,BB38,BC38,BD38,BE38,BF38)</f>
        <v/>
      </c>
      <c r="BH38" s="207">
        <f>AVERAGE(AU38,AV38,AW38,AX38,AY38,AZ38,BA38,BB38,BC38,BD38,BE38,BF38)</f>
        <v/>
      </c>
      <c r="BI38" s="208">
        <f>SUMIFS(領用表!$L:$L,領用表!$E:$E,$B38,領用表!$B:$B,BI$2&amp;$BI$1)</f>
        <v/>
      </c>
      <c r="BJ38" s="208">
        <f>SUMIFS(領用表!$L:$L,領用表!$E:$E,$B38,領用表!$B:$B,BJ$2&amp;$BI$1)</f>
        <v/>
      </c>
      <c r="BK38" s="208">
        <f>SUMIFS(領用表!$L:$L,領用表!$E:$E,$B38,領用表!$B:$B,BK$2&amp;$BI$1)</f>
        <v/>
      </c>
      <c r="BL38" s="208">
        <f>SUMIFS(領用表!$L:$L,領用表!$E:$E,$B38,領用表!$B:$B,BL$2&amp;$BI$1)</f>
        <v/>
      </c>
      <c r="BM38" s="208">
        <f>SUMIFS(領用表!$L:$L,領用表!$E:$E,$B38,領用表!$B:$B,BM$2&amp;$BI$1)</f>
        <v/>
      </c>
      <c r="BN38" s="208" t="n">
        <v>1</v>
      </c>
      <c r="BO38" s="208">
        <f>SUMIFS(領用表!$L:$L,領用表!$E:$E,$B38,領用表!$B:$B,BO$2&amp;$BI$1)</f>
        <v/>
      </c>
      <c r="BP38" s="208">
        <f>SUMIFS(領用表!$L:$L,領用表!$E:$E,$B38,領用表!$B:$B,BP$2&amp;$BI$1)</f>
        <v/>
      </c>
      <c r="BQ38" s="208">
        <f>SUMIFS(領用表!$L:$L,領用表!$E:$E,$B38,領用表!$B:$B,BQ$2&amp;$BI$1)</f>
        <v/>
      </c>
      <c r="BR38" s="208">
        <f>SUMIFS(領用表!$L:$L,領用表!$E:$E,$B38,領用表!$B:$B,BR$2&amp;$BI$1)</f>
        <v/>
      </c>
      <c r="BS38" s="208">
        <f>SUMIFS(領用表!$L:$L,領用表!$E:$E,$B38,領用表!$B:$B,BS$2&amp;$BI$1)</f>
        <v/>
      </c>
      <c r="BT38" s="208">
        <f>SUMIFS(領用表!$L:$L,領用表!$E:$E,$B38,領用表!$B:$B,BT$2&amp;$BI$1)</f>
        <v/>
      </c>
      <c r="BU38" s="208">
        <f>SUM(BI38,BJ38,BK38,BL38,BM38,BN38)</f>
        <v/>
      </c>
      <c r="BV38" s="208">
        <f>AVERAGE(BI38,BJ38,BK38,BL38,BM38,BN38)</f>
        <v/>
      </c>
      <c r="BW38" s="208">
        <f>SUMIF(Summary!B:B,B38,Summary!DZ:DZ)</f>
        <v/>
      </c>
      <c r="BX38" s="215" t="n">
        <v>5</v>
      </c>
      <c r="BY38" s="224" t="n"/>
      <c r="BZ38" s="211" t="n"/>
      <c r="CA38" s="211" t="n"/>
      <c r="CB38" s="136" t="n"/>
      <c r="CC38" s="212" t="n"/>
      <c r="CE38" s="213" t="n"/>
    </row>
    <row r="39" ht="15.75" customFormat="1" customHeight="1" s="118">
      <c r="A39" s="136" t="inlineStr">
        <is>
          <t>DP1AA050002E</t>
        </is>
      </c>
      <c r="B39" s="118" t="n">
        <v>6210007</v>
      </c>
      <c r="C39" s="131" t="inlineStr">
        <is>
          <t>麗珠蘭REJURAN Tone-Up Booster白瓷水光</t>
        </is>
      </c>
      <c r="D39" s="228" t="n">
        <v>3</v>
      </c>
      <c r="E39" s="198" t="inlineStr">
        <is>
          <t>SET</t>
        </is>
      </c>
      <c r="F39" s="349" t="n">
        <v>21</v>
      </c>
      <c r="G39" s="360" t="n"/>
      <c r="H39" s="200" t="n"/>
      <c r="I39" s="200" t="n"/>
      <c r="J39" s="200" t="n"/>
      <c r="K39" s="200" t="n"/>
      <c r="L39" s="200" t="n"/>
      <c r="M39" s="200" t="n"/>
      <c r="N39" s="200" t="n"/>
      <c r="O39" s="200" t="n"/>
      <c r="P39" s="200" t="n"/>
      <c r="Q39" s="200" t="n"/>
      <c r="R39" s="200" t="n"/>
      <c r="S39" s="200" t="n"/>
      <c r="T39" s="200" t="n"/>
      <c r="U39" s="200" t="n"/>
      <c r="V39" s="200" t="n"/>
      <c r="W39" s="200" t="n"/>
      <c r="X39" s="200" t="n"/>
      <c r="Y39" s="200" t="n"/>
      <c r="Z39" s="200" t="n"/>
      <c r="AA39" s="200" t="n"/>
      <c r="AB39" s="200" t="n"/>
      <c r="AC39" s="200" t="n"/>
      <c r="AD39" s="200" t="n"/>
      <c r="AE39" s="200" t="n"/>
      <c r="AF39" s="200" t="n"/>
      <c r="AG39" s="201" t="n"/>
      <c r="AH39" s="201" t="n"/>
      <c r="AI39" s="201" t="n"/>
      <c r="AJ39" s="201" t="n"/>
      <c r="AK39" s="201" t="n"/>
      <c r="AL39" s="201" t="n"/>
      <c r="AM39" s="201" t="n"/>
      <c r="AN39" s="201" t="n"/>
      <c r="AO39" s="201" t="n"/>
      <c r="AP39" s="201" t="n"/>
      <c r="AQ39" s="512" t="n"/>
      <c r="AR39" s="203" t="n"/>
      <c r="AS39" s="204" t="inlineStr">
        <is>
          <t>-</t>
        </is>
      </c>
      <c r="AT39" s="204" t="inlineStr">
        <is>
          <t>-</t>
        </is>
      </c>
      <c r="AU39" s="204" t="inlineStr">
        <is>
          <t>-</t>
        </is>
      </c>
      <c r="AV39" s="204" t="inlineStr">
        <is>
          <t>-</t>
        </is>
      </c>
      <c r="AW39" s="204" t="inlineStr">
        <is>
          <t>-</t>
        </is>
      </c>
      <c r="AX39" s="204" t="inlineStr">
        <is>
          <t>-</t>
        </is>
      </c>
      <c r="AY39" s="204" t="inlineStr">
        <is>
          <t>-</t>
        </is>
      </c>
      <c r="AZ39" s="204">
        <f>SUMIFS(領用表!$L:$L,領用表!$E:$E,$B39,領用表!$B:$B,AZ$2&amp;$BI$1)</f>
        <v/>
      </c>
      <c r="BA39" s="203">
        <f>SUMIFS(領用表!$L:$L,領用表!$E:$E,$B39,領用表!$B:$B,BA$2&amp;$BI$1)</f>
        <v/>
      </c>
      <c r="BB39" s="203">
        <f>SUMIFS(領用表!$L:$L,領用表!$E:$E,$B39,領用表!$B:$B,BB$2&amp;$BI$1)</f>
        <v/>
      </c>
      <c r="BC39" s="203">
        <f>SUMIFS(領用表!$L:$L,領用表!$E:$E,$B39,領用表!$B:$B,BC$2&amp;$BI$1)</f>
        <v/>
      </c>
      <c r="BD39" s="208">
        <f>SUMIFS(領用表!$L:$L,領用表!$E:$E,$B39,領用表!$B:$B,BD$2&amp;$BI$1)</f>
        <v/>
      </c>
      <c r="BE39" s="208">
        <f>SUMIFS(領用表!$L:$L,領用表!$E:$E,$B39,領用表!$B:$B,BE$2&amp;$BI$1)</f>
        <v/>
      </c>
      <c r="BF39" s="208">
        <f>SUMIFS(領用表!$L:$L,領用表!$E:$E,$B39,領用表!$B:$B,BF$2&amp;$BI$1)</f>
        <v/>
      </c>
      <c r="BG39" s="207">
        <f>SUM(AU39,AV39,AW39,AX39,AY39,AZ39,BA39,BB39,BC39,BD39,BE39,BF39)</f>
        <v/>
      </c>
      <c r="BH39" s="207">
        <f>AVERAGE(AU39,AV39,AW39,AX39,AY39,AZ39,BA39,BB39,BC39,BD39,BE39,BF39)</f>
        <v/>
      </c>
      <c r="BI39" s="208">
        <f>SUMIFS(領用表!$L:$L,領用表!$E:$E,$B39,領用表!$B:$B,BI$2&amp;$BI$1)</f>
        <v/>
      </c>
      <c r="BJ39" s="208">
        <f>SUMIFS(領用表!$L:$L,領用表!$E:$E,$B39,領用表!$B:$B,BJ$2&amp;$BI$1)</f>
        <v/>
      </c>
      <c r="BK39" s="208">
        <f>SUMIFS(領用表!$L:$L,領用表!$E:$E,$B39,領用表!$B:$B,BK$2&amp;$BI$1)</f>
        <v/>
      </c>
      <c r="BL39" s="208">
        <f>SUMIFS(領用表!$L:$L,領用表!$E:$E,$B39,領用表!$B:$B,BL$2&amp;$BI$1)</f>
        <v/>
      </c>
      <c r="BM39" s="208">
        <f>SUMIFS(領用表!$L:$L,領用表!$E:$E,$B39,領用表!$B:$B,BM$2&amp;$BI$1)</f>
        <v/>
      </c>
      <c r="BN39" s="208" t="n"/>
      <c r="BO39" s="208">
        <f>SUMIFS(領用表!$L:$L,領用表!$E:$E,$B39,領用表!$B:$B,BO$2&amp;$BI$1)</f>
        <v/>
      </c>
      <c r="BP39" s="208">
        <f>SUMIFS(領用表!$L:$L,領用表!$E:$E,$B39,領用表!$B:$B,BP$2&amp;$BI$1)</f>
        <v/>
      </c>
      <c r="BQ39" s="208">
        <f>SUMIFS(領用表!$L:$L,領用表!$E:$E,$B39,領用表!$B:$B,BQ$2&amp;$BI$1)</f>
        <v/>
      </c>
      <c r="BR39" s="208">
        <f>SUMIFS(領用表!$L:$L,領用表!$E:$E,$B39,領用表!$B:$B,BR$2&amp;$BI$1)</f>
        <v/>
      </c>
      <c r="BS39" s="208">
        <f>SUMIFS(領用表!$L:$L,領用表!$E:$E,$B39,領用表!$B:$B,BS$2&amp;$BI$1)</f>
        <v/>
      </c>
      <c r="BT39" s="208">
        <f>SUMIFS(領用表!$L:$L,領用表!$E:$E,$B39,領用表!$B:$B,BT$2&amp;$BI$1)</f>
        <v/>
      </c>
      <c r="BU39" s="208">
        <f>SUM(BI39,BJ39,BK39,BL39,BM39,BN39)</f>
        <v/>
      </c>
      <c r="BV39" s="208">
        <f>AVERAGE(BI39,BJ39,BK39,BL39,BM39,BN39)</f>
        <v/>
      </c>
      <c r="BW39" s="208">
        <f>SUMIF(Summary!B:B,B39,Summary!DZ:DZ)</f>
        <v/>
      </c>
      <c r="BX39" s="215" t="n">
        <v>5</v>
      </c>
      <c r="BY39" s="515" t="n"/>
      <c r="BZ39" s="211" t="n"/>
      <c r="CA39" s="211" t="n"/>
      <c r="CB39" s="136" t="n"/>
      <c r="CC39" s="212" t="n"/>
      <c r="CE39" s="213" t="n"/>
    </row>
    <row r="40" ht="15.75" customFormat="1" customHeight="1" s="118">
      <c r="A40" s="136" t="inlineStr">
        <is>
          <t>MP1MA020014A</t>
        </is>
      </c>
      <c r="B40" s="118" t="n">
        <v>6150010</v>
      </c>
      <c r="C40" s="131" t="inlineStr">
        <is>
          <t>優美施豐潤 Neuramis Volume 1c.c/ 支</t>
        </is>
      </c>
      <c r="D40" s="228" t="n">
        <v>1</v>
      </c>
      <c r="E40" s="198" t="inlineStr">
        <is>
          <t>PCS</t>
        </is>
      </c>
      <c r="F40" s="349" t="n">
        <v>47</v>
      </c>
      <c r="G40" s="349" t="n">
        <v>43</v>
      </c>
      <c r="H40" s="349" t="n">
        <v>43</v>
      </c>
      <c r="I40" s="349" t="n">
        <v>43</v>
      </c>
      <c r="J40" s="349" t="n">
        <v>43</v>
      </c>
      <c r="K40" s="349" t="n">
        <v>43</v>
      </c>
      <c r="L40" s="349" t="n">
        <v>43</v>
      </c>
      <c r="M40" s="349" t="n">
        <v>43</v>
      </c>
      <c r="N40" s="349" t="n">
        <v>43</v>
      </c>
      <c r="O40" s="349" t="n">
        <v>43</v>
      </c>
      <c r="P40" s="349" t="n">
        <v>43</v>
      </c>
      <c r="Q40" s="349" t="n">
        <v>43</v>
      </c>
      <c r="R40" s="349" t="n">
        <v>43</v>
      </c>
      <c r="S40" s="349" t="n">
        <v>43</v>
      </c>
      <c r="T40" s="349" t="n">
        <v>43</v>
      </c>
      <c r="U40" s="349" t="n">
        <v>43</v>
      </c>
      <c r="V40" s="349" t="n">
        <v>43</v>
      </c>
      <c r="W40" s="349" t="n">
        <v>43</v>
      </c>
      <c r="X40" s="349" t="n">
        <v>43</v>
      </c>
      <c r="Y40" s="349" t="n">
        <v>43</v>
      </c>
      <c r="Z40" s="349" t="n">
        <v>43</v>
      </c>
      <c r="AA40" s="349" t="n">
        <v>43</v>
      </c>
      <c r="AB40" s="349" t="n">
        <v>43</v>
      </c>
      <c r="AC40" s="349" t="n">
        <v>43</v>
      </c>
      <c r="AD40" s="349" t="n">
        <v>43</v>
      </c>
      <c r="AE40" s="349" t="n">
        <v>43</v>
      </c>
      <c r="AF40" s="349" t="n">
        <v>43</v>
      </c>
      <c r="AG40" s="349" t="n">
        <v>43</v>
      </c>
      <c r="AH40" s="349" t="n">
        <v>43</v>
      </c>
      <c r="AI40" s="349" t="n">
        <v>43</v>
      </c>
      <c r="AJ40" s="349" t="n">
        <v>43</v>
      </c>
      <c r="AK40" s="349" t="n">
        <v>43</v>
      </c>
      <c r="AL40" s="349" t="n">
        <v>43</v>
      </c>
      <c r="AM40" s="349" t="n">
        <v>43</v>
      </c>
      <c r="AN40" s="349" t="n">
        <v>43</v>
      </c>
      <c r="AO40" s="349" t="n">
        <v>43</v>
      </c>
      <c r="AP40" s="349" t="n">
        <v>43</v>
      </c>
      <c r="AQ40" s="349" t="n">
        <v>43</v>
      </c>
      <c r="AR40" s="349" t="n">
        <v>43</v>
      </c>
      <c r="AS40" s="349" t="n">
        <v>43</v>
      </c>
      <c r="AT40" s="349" t="n">
        <v>43</v>
      </c>
      <c r="AU40" s="349" t="n">
        <v>43</v>
      </c>
      <c r="AV40" s="349" t="n">
        <v>43</v>
      </c>
      <c r="AW40" s="349" t="n">
        <v>43</v>
      </c>
      <c r="AX40" s="349" t="n">
        <v>43</v>
      </c>
      <c r="AY40" s="349" t="n">
        <v>43</v>
      </c>
      <c r="AZ40" s="203">
        <f>SUMIFS(領用表!$L:$L,領用表!$E:$E,$B40,領用表!$B:$B,AZ$2&amp;$BI$1)</f>
        <v/>
      </c>
      <c r="BA40" s="203">
        <f>SUMIFS(領用表!$L:$L,領用表!$E:$E,$B40,領用表!$B:$B,BA$2&amp;$BI$1)</f>
        <v/>
      </c>
      <c r="BB40" s="203">
        <f>SUMIFS(領用表!$L:$L,領用表!$E:$E,$B40,領用表!$B:$B,BB$2&amp;$BI$1)</f>
        <v/>
      </c>
      <c r="BC40" s="203">
        <f>SUMIFS(領用表!$L:$L,領用表!$E:$E,$B40,領用表!$B:$B,BC$2&amp;$BI$1)</f>
        <v/>
      </c>
      <c r="BD40" s="208">
        <f>SUMIFS(領用表!$L:$L,領用表!$E:$E,$B40,領用表!$B:$B,BD$2&amp;$BI$1)</f>
        <v/>
      </c>
      <c r="BE40" s="208">
        <f>SUMIFS(領用表!$L:$L,領用表!$E:$E,$B40,領用表!$B:$B,BE$2&amp;$BI$1)</f>
        <v/>
      </c>
      <c r="BF40" s="208">
        <f>SUMIFS(領用表!$L:$L,領用表!$E:$E,$B40,領用表!$B:$B,BF$2&amp;$BI$1)</f>
        <v/>
      </c>
      <c r="BG40" s="207">
        <f>SUM(AU40,AV40,AW40,AX40,AY40,AZ40,BA40,BB40,BC40,BD40,BE40,BF40)</f>
        <v/>
      </c>
      <c r="BH40" s="207">
        <f>AVERAGE(AU40,AV40,AW40,AX40,AY40,AZ40,BA40,BB40,BC40,BD40,BE40,BF40)</f>
        <v/>
      </c>
      <c r="BI40" s="208">
        <f>SUMIFS(領用表!$L:$L,領用表!$E:$E,$B40,領用表!$B:$B,BI$2&amp;$BI$1)</f>
        <v/>
      </c>
      <c r="BJ40" s="208">
        <f>SUMIFS(領用表!$L:$L,領用表!$E:$E,$B40,領用表!$B:$B,BJ$2&amp;$BI$1)</f>
        <v/>
      </c>
      <c r="BK40" s="208">
        <f>SUMIFS(領用表!$L:$L,領用表!$E:$E,$B40,領用表!$B:$B,BK$2&amp;$BI$1)</f>
        <v/>
      </c>
      <c r="BL40" s="208">
        <f>SUMIFS(領用表!$L:$L,領用表!$E:$E,$B40,領用表!$B:$B,BL$2&amp;$BI$1)</f>
        <v/>
      </c>
      <c r="BM40" s="208">
        <f>SUMIFS(領用表!$L:$L,領用表!$E:$E,$B40,領用表!$B:$B,BM$2&amp;$BI$1)</f>
        <v/>
      </c>
      <c r="BN40" s="208" t="n">
        <v>5</v>
      </c>
      <c r="BO40" s="208">
        <f>SUMIFS(領用表!$L:$L,領用表!$E:$E,$B40,領用表!$B:$B,BO$2&amp;$BI$1)</f>
        <v/>
      </c>
      <c r="BP40" s="208">
        <f>SUMIFS(領用表!$L:$L,領用表!$E:$E,$B40,領用表!$B:$B,BP$2&amp;$BI$1)</f>
        <v/>
      </c>
      <c r="BQ40" s="208">
        <f>SUMIFS(領用表!$L:$L,領用表!$E:$E,$B40,領用表!$B:$B,BQ$2&amp;$BI$1)</f>
        <v/>
      </c>
      <c r="BR40" s="208">
        <f>SUMIFS(領用表!$L:$L,領用表!$E:$E,$B40,領用表!$B:$B,BR$2&amp;$BI$1)</f>
        <v/>
      </c>
      <c r="BS40" s="208">
        <f>SUMIFS(領用表!$L:$L,領用表!$E:$E,$B40,領用表!$B:$B,BS$2&amp;$BI$1)</f>
        <v/>
      </c>
      <c r="BT40" s="208">
        <f>SUMIFS(領用表!$L:$L,領用表!$E:$E,$B40,領用表!$B:$B,BT$2&amp;$BI$1)</f>
        <v/>
      </c>
      <c r="BU40" s="208">
        <f>SUM(BI40,BJ40,BK40,BL40,BM40,BN40)</f>
        <v/>
      </c>
      <c r="BV40" s="208">
        <f>AVERAGE(BI40,BJ40,BK40,BL40,BM40,BN40)</f>
        <v/>
      </c>
      <c r="BW40" s="208">
        <f>SUMIF(Summary!B:B,B40,Summary!DZ:DZ)</f>
        <v/>
      </c>
      <c r="BX40" s="215" t="n">
        <v>60</v>
      </c>
      <c r="BY40" s="224" t="n"/>
      <c r="BZ40" s="211" t="inlineStr">
        <is>
          <t>35盒(10/21)</t>
        </is>
      </c>
      <c r="CA40" s="211" t="inlineStr">
        <is>
          <t>40盒(10/21)</t>
        </is>
      </c>
      <c r="CB40" s="136" t="n"/>
      <c r="CC40" s="212" t="n"/>
      <c r="CE40" s="213" t="n"/>
    </row>
    <row r="41" ht="15.75" customFormat="1" customHeight="1" s="118">
      <c r="A41" s="136" t="inlineStr">
        <is>
          <t>MP1MA020018A</t>
        </is>
      </c>
      <c r="B41" s="118" t="n">
        <v>6150011</v>
      </c>
      <c r="C41" s="131" t="inlineStr">
        <is>
          <t>優美施豐潤 Neuramis Deep Lidocaine 1c.c/ 支</t>
        </is>
      </c>
      <c r="D41" s="228" t="n">
        <v>1</v>
      </c>
      <c r="E41" s="198" t="inlineStr">
        <is>
          <t>PCS</t>
        </is>
      </c>
      <c r="F41" s="349" t="n">
        <v>5</v>
      </c>
      <c r="G41" s="349" t="n"/>
      <c r="H41" s="200" t="n">
        <v>0</v>
      </c>
      <c r="I41" s="200" t="n">
        <v>0</v>
      </c>
      <c r="J41" s="200" t="n">
        <v>0</v>
      </c>
      <c r="K41" s="200" t="n">
        <v>0</v>
      </c>
      <c r="L41" s="200" t="n">
        <v>0</v>
      </c>
      <c r="M41" s="200" t="n">
        <v>0</v>
      </c>
      <c r="N41" s="200" t="n">
        <v>0</v>
      </c>
      <c r="O41" s="200" t="n">
        <v>0</v>
      </c>
      <c r="P41" s="200" t="n">
        <v>0</v>
      </c>
      <c r="Q41" s="200" t="n">
        <v>0</v>
      </c>
      <c r="R41" s="200" t="n">
        <v>0</v>
      </c>
      <c r="S41" s="200" t="n">
        <v>0</v>
      </c>
      <c r="T41" s="200" t="n">
        <v>0</v>
      </c>
      <c r="U41" s="200" t="n">
        <v>0</v>
      </c>
      <c r="V41" s="200" t="n">
        <v>0</v>
      </c>
      <c r="W41" s="200" t="n">
        <v>0</v>
      </c>
      <c r="X41" s="200" t="n">
        <v>0</v>
      </c>
      <c r="Y41" s="200" t="n">
        <v>0</v>
      </c>
      <c r="Z41" s="200" t="n">
        <v>0</v>
      </c>
      <c r="AA41" s="200" t="n">
        <v>0</v>
      </c>
      <c r="AB41" s="200" t="n">
        <v>0</v>
      </c>
      <c r="AC41" s="200" t="n">
        <v>0</v>
      </c>
      <c r="AD41" s="200" t="n">
        <v>0</v>
      </c>
      <c r="AE41" s="200" t="n">
        <v>0</v>
      </c>
      <c r="AF41" s="200" t="n">
        <v>0</v>
      </c>
      <c r="AG41" s="201" t="n">
        <v>0</v>
      </c>
      <c r="AH41" s="201" t="n">
        <v>0</v>
      </c>
      <c r="AI41" s="201" t="n">
        <v>0</v>
      </c>
      <c r="AJ41" s="201" t="n">
        <v>0</v>
      </c>
      <c r="AK41" s="201" t="n">
        <v>0</v>
      </c>
      <c r="AL41" s="201" t="n">
        <v>0</v>
      </c>
      <c r="AM41" s="201" t="n">
        <v>0</v>
      </c>
      <c r="AN41" s="201" t="n">
        <v>0</v>
      </c>
      <c r="AO41" s="201" t="n">
        <v>0</v>
      </c>
      <c r="AP41" s="201" t="n">
        <v>0</v>
      </c>
      <c r="AQ41" s="512" t="n">
        <v>0</v>
      </c>
      <c r="AR41" s="203" t="n">
        <v>5.5</v>
      </c>
      <c r="AS41" s="204">
        <f>SUM(AG41:AR41)</f>
        <v/>
      </c>
      <c r="AT41" s="513">
        <f>AS41/12</f>
        <v/>
      </c>
      <c r="AU41" s="203" t="n">
        <v>2</v>
      </c>
      <c r="AV41" s="203" t="n">
        <v>5</v>
      </c>
      <c r="AW41" s="203" t="n">
        <v>4</v>
      </c>
      <c r="AX41" s="203" t="n">
        <v>18</v>
      </c>
      <c r="AY41" s="203" t="n">
        <v>9</v>
      </c>
      <c r="AZ41" s="203">
        <f>SUMIFS(領用表!$L:$L,領用表!$E:$E,$B41,領用表!$B:$B,AZ$2&amp;$BI$1)</f>
        <v/>
      </c>
      <c r="BA41" s="203">
        <f>SUMIFS(領用表!$L:$L,領用表!$E:$E,$B41,領用表!$B:$B,BA$2&amp;$BI$1)</f>
        <v/>
      </c>
      <c r="BB41" s="203">
        <f>SUMIFS(領用表!$L:$L,領用表!$E:$E,$B41,領用表!$B:$B,BB$2&amp;$BI$1)</f>
        <v/>
      </c>
      <c r="BC41" s="203">
        <f>SUMIFS(領用表!$L:$L,領用表!$E:$E,$B41,領用表!$B:$B,BC$2&amp;$BI$1)</f>
        <v/>
      </c>
      <c r="BD41" s="208">
        <f>SUMIFS(領用表!$L:$L,領用表!$E:$E,$B41,領用表!$B:$B,BD$2&amp;$BI$1)</f>
        <v/>
      </c>
      <c r="BE41" s="208">
        <f>SUMIFS(領用表!$L:$L,領用表!$E:$E,$B41,領用表!$B:$B,BE$2&amp;$BI$1)</f>
        <v/>
      </c>
      <c r="BF41" s="208">
        <f>SUMIFS(領用表!$L:$L,領用表!$E:$E,$B41,領用表!$B:$B,BF$2&amp;$BI$1)</f>
        <v/>
      </c>
      <c r="BG41" s="207">
        <f>SUM(AU41,AV41,AW41,AX41,AY41,AZ41,BA41,BB41,BC41,BD41,BE41,BF41)</f>
        <v/>
      </c>
      <c r="BH41" s="207">
        <f>AVERAGE(AU41,AV41,AW41,AX41,AY41,AZ41,BA41,BB41,BC41,BD41,BE41,BF41)</f>
        <v/>
      </c>
      <c r="BI41" s="208">
        <f>SUMIFS(領用表!$L:$L,領用表!$E:$E,$B41,領用表!$B:$B,BI$2&amp;$BI$1)</f>
        <v/>
      </c>
      <c r="BJ41" s="208">
        <f>SUMIFS(領用表!$L:$L,領用表!$E:$E,$B41,領用表!$B:$B,BJ$2&amp;$BI$1)</f>
        <v/>
      </c>
      <c r="BK41" s="208">
        <f>SUMIFS(領用表!$L:$L,領用表!$E:$E,$B41,領用表!$B:$B,BK$2&amp;$BI$1)</f>
        <v/>
      </c>
      <c r="BL41" s="208">
        <f>SUMIFS(領用表!$L:$L,領用表!$E:$E,$B41,領用表!$B:$B,BL$2&amp;$BI$1)</f>
        <v/>
      </c>
      <c r="BM41" s="208">
        <f>SUMIFS(領用表!$L:$L,領用表!$E:$E,$B41,領用表!$B:$B,BM$2&amp;$BI$1)</f>
        <v/>
      </c>
      <c r="BN41" s="208" t="n"/>
      <c r="BO41" s="208">
        <f>SUMIFS(領用表!$L:$L,領用表!$E:$E,$B41,領用表!$B:$B,BO$2&amp;$BI$1)</f>
        <v/>
      </c>
      <c r="BP41" s="208">
        <f>SUMIFS(領用表!$L:$L,領用表!$E:$E,$B41,領用表!$B:$B,BP$2&amp;$BI$1)</f>
        <v/>
      </c>
      <c r="BQ41" s="208">
        <f>SUMIFS(領用表!$L:$L,領用表!$E:$E,$B41,領用表!$B:$B,BQ$2&amp;$BI$1)</f>
        <v/>
      </c>
      <c r="BR41" s="208">
        <f>SUMIFS(領用表!$L:$L,領用表!$E:$E,$B41,領用表!$B:$B,BR$2&amp;$BI$1)</f>
        <v/>
      </c>
      <c r="BS41" s="208">
        <f>SUMIFS(領用表!$L:$L,領用表!$E:$E,$B41,領用表!$B:$B,BS$2&amp;$BI$1)</f>
        <v/>
      </c>
      <c r="BT41" s="208">
        <f>SUMIFS(領用表!$L:$L,領用表!$E:$E,$B41,領用表!$B:$B,BT$2&amp;$BI$1)</f>
        <v/>
      </c>
      <c r="BU41" s="208">
        <f>SUM(BI41,BJ41,BK41,BL41,BM41,BN41)</f>
        <v/>
      </c>
      <c r="BV41" s="208">
        <f>AVERAGE(BI41,BJ41,BK41,BL41,BM41,BN41)</f>
        <v/>
      </c>
      <c r="BW41" s="208">
        <f>SUMIF(Summary!B:B,B41,Summary!DZ:DZ)</f>
        <v/>
      </c>
      <c r="BX41" s="215" t="n">
        <v>10</v>
      </c>
      <c r="BY41" s="515" t="n"/>
      <c r="BZ41" s="211" t="n"/>
      <c r="CA41" s="211" t="n"/>
      <c r="CB41" s="136" t="n"/>
      <c r="CC41" s="212" t="n"/>
      <c r="CE41" s="213" t="n"/>
    </row>
    <row r="42" customFormat="1" s="118">
      <c r="A42" s="136" t="inlineStr">
        <is>
          <t>MP1MA020024A</t>
        </is>
      </c>
      <c r="B42" s="118" t="n">
        <v>6160002</v>
      </c>
      <c r="C42" s="411" t="inlineStr">
        <is>
          <t>洢蓮絲植入劑ELLANSÉ-S 1ml(支)</t>
        </is>
      </c>
      <c r="D42" s="197" t="n">
        <v>2</v>
      </c>
      <c r="E42" s="198" t="inlineStr">
        <is>
          <t>PCS</t>
        </is>
      </c>
      <c r="F42" s="349" t="n">
        <v>50</v>
      </c>
      <c r="G42" s="349" t="n"/>
      <c r="H42" s="200" t="n">
        <v>1</v>
      </c>
      <c r="I42" s="200" t="n">
        <v>2</v>
      </c>
      <c r="J42" s="200" t="n">
        <v>0</v>
      </c>
      <c r="K42" s="200" t="n">
        <v>1</v>
      </c>
      <c r="L42" s="200" t="n">
        <v>0</v>
      </c>
      <c r="M42" s="200" t="n">
        <v>1.5</v>
      </c>
      <c r="N42" s="200" t="n">
        <v>0.5</v>
      </c>
      <c r="O42" s="200" t="n">
        <v>0.5</v>
      </c>
      <c r="P42" s="200" t="n">
        <v>4.5</v>
      </c>
      <c r="Q42" s="200" t="n">
        <v>6.5</v>
      </c>
      <c r="R42" s="200" t="n">
        <v>3.5</v>
      </c>
      <c r="S42" s="200" t="n">
        <v>7</v>
      </c>
      <c r="T42" s="200" t="n">
        <v>3.5</v>
      </c>
      <c r="U42" s="200" t="n">
        <v>18</v>
      </c>
      <c r="V42" s="200" t="n">
        <v>9.5</v>
      </c>
      <c r="W42" s="200" t="n">
        <v>18</v>
      </c>
      <c r="X42" s="200" t="n">
        <v>17</v>
      </c>
      <c r="Y42" s="200" t="n">
        <v>14</v>
      </c>
      <c r="Z42" s="200" t="n">
        <v>4</v>
      </c>
      <c r="AA42" s="200" t="n">
        <v>22.5</v>
      </c>
      <c r="AB42" s="200" t="n">
        <v>23.5</v>
      </c>
      <c r="AC42" s="200" t="n">
        <v>13</v>
      </c>
      <c r="AD42" s="200" t="n">
        <v>13.5</v>
      </c>
      <c r="AE42" s="200" t="n">
        <v>21</v>
      </c>
      <c r="AF42" s="200" t="n">
        <v>16.5</v>
      </c>
      <c r="AG42" s="201" t="n">
        <v>41</v>
      </c>
      <c r="AH42" s="201" t="n">
        <v>10.5</v>
      </c>
      <c r="AI42" s="201" t="n">
        <v>16</v>
      </c>
      <c r="AJ42" s="201" t="n">
        <v>17.5</v>
      </c>
      <c r="AK42" s="201" t="n">
        <v>11.5</v>
      </c>
      <c r="AL42" s="201" t="n">
        <v>27</v>
      </c>
      <c r="AM42" s="201" t="n">
        <v>16.5</v>
      </c>
      <c r="AN42" s="201" t="n">
        <v>69</v>
      </c>
      <c r="AO42" s="201" t="n">
        <v>37</v>
      </c>
      <c r="AP42" s="201" t="n">
        <v>22</v>
      </c>
      <c r="AQ42" s="512" t="n">
        <v>33.5</v>
      </c>
      <c r="AR42" s="203" t="n">
        <v>81</v>
      </c>
      <c r="AS42" s="204">
        <f>SUM(AG42:AR42)</f>
        <v/>
      </c>
      <c r="AT42" s="513">
        <f>AS42/12</f>
        <v/>
      </c>
      <c r="AU42" s="203" t="n">
        <v>83</v>
      </c>
      <c r="AV42" s="203" t="n">
        <v>92</v>
      </c>
      <c r="AW42" s="203" t="n">
        <v>76</v>
      </c>
      <c r="AX42" s="214" t="n">
        <v>106</v>
      </c>
      <c r="AY42" s="203" t="n">
        <v>106</v>
      </c>
      <c r="AZ42" s="203">
        <f>SUMIFS(領用表!$L:$L,領用表!$E:$E,$B42,領用表!$B:$B,AZ$2&amp;$BI$1)</f>
        <v/>
      </c>
      <c r="BA42" s="203">
        <f>SUMIFS(領用表!$L:$L,領用表!$E:$E,$B42,領用表!$B:$B,BA$2&amp;$BI$1)</f>
        <v/>
      </c>
      <c r="BB42" s="203">
        <f>SUMIFS(領用表!$L:$L,領用表!$E:$E,$B42,領用表!$B:$B,BB$2&amp;$BI$1)</f>
        <v/>
      </c>
      <c r="BC42" s="203">
        <f>SUMIFS(領用表!$L:$L,領用表!$E:$E,$B42,領用表!$B:$B,BC$2&amp;$BI$1)</f>
        <v/>
      </c>
      <c r="BD42" s="208">
        <f>SUMIFS(領用表!$L:$L,領用表!$E:$E,$B42,領用表!$B:$B,BD$2&amp;$BI$1)</f>
        <v/>
      </c>
      <c r="BE42" s="208">
        <f>SUMIFS(領用表!$L:$L,領用表!$E:$E,$B42,領用表!$B:$B,BE$2&amp;$BI$1)</f>
        <v/>
      </c>
      <c r="BF42" s="208">
        <f>SUMIFS(領用表!$L:$L,領用表!$E:$E,$B42,領用表!$B:$B,BF$2&amp;$BI$1)</f>
        <v/>
      </c>
      <c r="BG42" s="207">
        <f>SUM(AU42,AV42,AW42,AX42,AY42,AZ42,BA42,BB42,BC42,BD42,BE42,BF42)</f>
        <v/>
      </c>
      <c r="BH42" s="207">
        <f>AVERAGE(AU42,AV42,AW42,AX42,AY42,AZ42,BA42,BB42,BC42,BD42,BE42,BF42)</f>
        <v/>
      </c>
      <c r="BI42" s="208">
        <f>SUMIFS(領用表!$L:$L,領用表!$E:$E,$B42,領用表!$B:$B,BI$2&amp;$BI$1)</f>
        <v/>
      </c>
      <c r="BJ42" s="208">
        <f>SUMIFS(領用表!$L:$L,領用表!$E:$E,$B42,領用表!$B:$B,BJ$2&amp;$BI$1)</f>
        <v/>
      </c>
      <c r="BK42" s="208">
        <f>SUMIFS(領用表!$L:$L,領用表!$E:$E,$B42,領用表!$B:$B,BK$2&amp;$BI$1)</f>
        <v/>
      </c>
      <c r="BL42" s="208">
        <f>SUMIFS(領用表!$L:$L,領用表!$E:$E,$B42,領用表!$B:$B,BL$2&amp;$BI$1)</f>
        <v/>
      </c>
      <c r="BM42" s="208">
        <f>SUMIFS(領用表!$L:$L,領用表!$E:$E,$B42,領用表!$B:$B,BM$2&amp;$BI$1)</f>
        <v/>
      </c>
      <c r="BN42" s="208" t="n">
        <v>4</v>
      </c>
      <c r="BO42" s="208">
        <f>SUMIFS(領用表!$L:$L,領用表!$E:$E,$B42,領用表!$B:$B,BO$2&amp;$BI$1)</f>
        <v/>
      </c>
      <c r="BP42" s="208">
        <f>SUMIFS(領用表!$L:$L,領用表!$E:$E,$B42,領用表!$B:$B,BP$2&amp;$BI$1)</f>
        <v/>
      </c>
      <c r="BQ42" s="208">
        <f>SUMIFS(領用表!$L:$L,領用表!$E:$E,$B42,領用表!$B:$B,BQ$2&amp;$BI$1)</f>
        <v/>
      </c>
      <c r="BR42" s="208">
        <f>SUMIFS(領用表!$L:$L,領用表!$E:$E,$B42,領用表!$B:$B,BR$2&amp;$BI$1)</f>
        <v/>
      </c>
      <c r="BS42" s="208">
        <f>SUMIFS(領用表!$L:$L,領用表!$E:$E,$B42,領用表!$B:$B,BS$2&amp;$BI$1)</f>
        <v/>
      </c>
      <c r="BT42" s="208">
        <f>SUMIFS(領用表!$L:$L,領用表!$E:$E,$B42,領用表!$B:$B,BT$2&amp;$BI$1)</f>
        <v/>
      </c>
      <c r="BU42" s="208">
        <f>SUM(BI42,BJ42,BK42,BL42,BM42,BN42)</f>
        <v/>
      </c>
      <c r="BV42" s="208">
        <f>AVERAGE(BI42,BJ42,BK42,BL42,BM42,BN42)</f>
        <v/>
      </c>
      <c r="BW42" s="208">
        <f>SUMIF(Summary!B:B,B42,Summary!DZ:DZ)</f>
        <v/>
      </c>
      <c r="BX42" s="215" t="n">
        <v>90</v>
      </c>
      <c r="BY42" s="210" t="n"/>
      <c r="BZ42" s="211" t="inlineStr">
        <is>
          <t>45盒(10/21)</t>
        </is>
      </c>
      <c r="CA42" s="211" t="inlineStr">
        <is>
          <t>10盒(10/21)
10盒(10/27)</t>
        </is>
      </c>
      <c r="CB42" s="136" t="n"/>
      <c r="CC42" s="212" t="n"/>
      <c r="CE42" s="213" t="n"/>
    </row>
    <row r="43" ht="15" customFormat="1" customHeight="1" s="118">
      <c r="A43" s="136" t="inlineStr">
        <is>
          <t>MP1MA020025A</t>
        </is>
      </c>
      <c r="B43" s="118" t="n">
        <v>6160003</v>
      </c>
      <c r="C43" s="411" t="inlineStr">
        <is>
          <t>洢蓮絲植入劑ELLANSÉ-M 1ml(支)</t>
        </is>
      </c>
      <c r="D43" s="197" t="n">
        <v>2</v>
      </c>
      <c r="E43" s="198" t="inlineStr">
        <is>
          <t>PCS</t>
        </is>
      </c>
      <c r="F43" s="349" t="n">
        <v>10</v>
      </c>
      <c r="G43" s="349" t="n"/>
      <c r="H43" s="251" t="n">
        <v>0.5</v>
      </c>
      <c r="I43" s="251" t="n">
        <v>0</v>
      </c>
      <c r="J43" s="251" t="n">
        <v>0</v>
      </c>
      <c r="K43" s="251" t="n">
        <v>0</v>
      </c>
      <c r="L43" s="251" t="n">
        <v>0</v>
      </c>
      <c r="M43" s="251" t="n">
        <v>0</v>
      </c>
      <c r="N43" s="251" t="n">
        <v>1</v>
      </c>
      <c r="O43" s="251" t="n">
        <v>0</v>
      </c>
      <c r="P43" s="251" t="n">
        <v>1</v>
      </c>
      <c r="Q43" s="251" t="n">
        <v>0</v>
      </c>
      <c r="R43" s="251" t="n">
        <v>0</v>
      </c>
      <c r="S43" s="251" t="n">
        <v>0</v>
      </c>
      <c r="T43" s="251" t="n">
        <v>0</v>
      </c>
      <c r="U43" s="251" t="n">
        <v>1</v>
      </c>
      <c r="V43" s="251" t="n">
        <v>3.5</v>
      </c>
      <c r="W43" s="251" t="n">
        <v>5.5</v>
      </c>
      <c r="X43" s="251" t="n">
        <v>4</v>
      </c>
      <c r="Y43" s="251" t="n">
        <v>2</v>
      </c>
      <c r="Z43" s="251" t="n">
        <v>0</v>
      </c>
      <c r="AA43" s="251" t="n">
        <v>2</v>
      </c>
      <c r="AB43" s="251" t="n">
        <v>0</v>
      </c>
      <c r="AC43" s="251" t="n">
        <v>0</v>
      </c>
      <c r="AD43" s="251" t="n">
        <v>1.5</v>
      </c>
      <c r="AE43" s="251" t="n">
        <v>1</v>
      </c>
      <c r="AF43" s="251" t="n">
        <v>0</v>
      </c>
      <c r="AG43" s="252" t="n">
        <v>4.5</v>
      </c>
      <c r="AH43" s="252" t="n">
        <v>0</v>
      </c>
      <c r="AI43" s="252" t="n">
        <v>4</v>
      </c>
      <c r="AJ43" s="252" t="n">
        <v>3</v>
      </c>
      <c r="AK43" s="252" t="n">
        <v>6</v>
      </c>
      <c r="AL43" s="252" t="n">
        <v>2</v>
      </c>
      <c r="AM43" s="252" t="n">
        <v>9</v>
      </c>
      <c r="AN43" s="252" t="n">
        <v>17</v>
      </c>
      <c r="AO43" s="252" t="n">
        <v>10.5</v>
      </c>
      <c r="AP43" s="252" t="n">
        <v>4.5</v>
      </c>
      <c r="AQ43" s="524" t="n">
        <v>6</v>
      </c>
      <c r="AR43" s="254" t="n">
        <v>28</v>
      </c>
      <c r="AS43" s="204">
        <f>SUM(AG43:AR43)</f>
        <v/>
      </c>
      <c r="AT43" s="513">
        <f>AS43/12</f>
        <v/>
      </c>
      <c r="AU43" s="203" t="n">
        <v>3</v>
      </c>
      <c r="AV43" s="203" t="n">
        <v>6</v>
      </c>
      <c r="AW43" s="203" t="n">
        <v>16</v>
      </c>
      <c r="AX43" s="203" t="n">
        <v>12</v>
      </c>
      <c r="AY43" s="203" t="n">
        <v>9</v>
      </c>
      <c r="AZ43" s="203">
        <f>SUMIFS(領用表!$L:$L,領用表!$E:$E,$B43,領用表!$B:$B,AZ$2&amp;$BI$1)</f>
        <v/>
      </c>
      <c r="BA43" s="203">
        <f>SUMIFS(領用表!$L:$L,領用表!$E:$E,$B43,領用表!$B:$B,BA$2&amp;$BI$1)</f>
        <v/>
      </c>
      <c r="BB43" s="203">
        <f>SUMIFS(領用表!$L:$L,領用表!$E:$E,$B43,領用表!$B:$B,BB$2&amp;$BI$1)</f>
        <v/>
      </c>
      <c r="BC43" s="203">
        <f>SUMIFS(領用表!$L:$L,領用表!$E:$E,$B43,領用表!$B:$B,BC$2&amp;$BI$1)</f>
        <v/>
      </c>
      <c r="BD43" s="208">
        <f>SUMIFS(領用表!$L:$L,領用表!$E:$E,$B43,領用表!$B:$B,BD$2&amp;$BI$1)</f>
        <v/>
      </c>
      <c r="BE43" s="208">
        <f>SUMIFS(領用表!$L:$L,領用表!$E:$E,$B43,領用表!$B:$B,BE$2&amp;$BI$1)</f>
        <v/>
      </c>
      <c r="BF43" s="208">
        <f>SUMIFS(領用表!$L:$L,領用表!$E:$E,$B43,領用表!$B:$B,BF$2&amp;$BI$1)</f>
        <v/>
      </c>
      <c r="BG43" s="207">
        <f>SUM(AU43,AV43,AW43,AX43,AY43,AZ43,BA43,BB43,BC43,BD43,BE43,BF43)</f>
        <v/>
      </c>
      <c r="BH43" s="207">
        <f>AVERAGE(AU43,AV43,AW43,AX43,AY43,AZ43,BA43,BB43,BC43,BD43,BE43,BF43)</f>
        <v/>
      </c>
      <c r="BI43" s="208">
        <f>SUMIFS(領用表!$L:$L,領用表!$E:$E,$B43,領用表!$B:$B,BI$2&amp;$BI$1)</f>
        <v/>
      </c>
      <c r="BJ43" s="208">
        <f>SUMIFS(領用表!$L:$L,領用表!$E:$E,$B43,領用表!$B:$B,BJ$2&amp;$BI$1)</f>
        <v/>
      </c>
      <c r="BK43" s="208">
        <f>SUMIFS(領用表!$L:$L,領用表!$E:$E,$B43,領用表!$B:$B,BK$2&amp;$BI$1)</f>
        <v/>
      </c>
      <c r="BL43" s="208">
        <f>SUMIFS(領用表!$L:$L,領用表!$E:$E,$B43,領用表!$B:$B,BL$2&amp;$BI$1)</f>
        <v/>
      </c>
      <c r="BM43" s="208">
        <f>SUMIFS(領用表!$L:$L,領用表!$E:$E,$B43,領用表!$B:$B,BM$2&amp;$BI$1)</f>
        <v/>
      </c>
      <c r="BN43" s="208" t="n"/>
      <c r="BO43" s="208">
        <f>SUMIFS(領用表!$L:$L,領用表!$E:$E,$B43,領用表!$B:$B,BO$2&amp;$BI$1)</f>
        <v/>
      </c>
      <c r="BP43" s="208">
        <f>SUMIFS(領用表!$L:$L,領用表!$E:$E,$B43,領用表!$B:$B,BP$2&amp;$BI$1)</f>
        <v/>
      </c>
      <c r="BQ43" s="208">
        <f>SUMIFS(領用表!$L:$L,領用表!$E:$E,$B43,領用表!$B:$B,BQ$2&amp;$BI$1)</f>
        <v/>
      </c>
      <c r="BR43" s="208">
        <f>SUMIFS(領用表!$L:$L,領用表!$E:$E,$B43,領用表!$B:$B,BR$2&amp;$BI$1)</f>
        <v/>
      </c>
      <c r="BS43" s="208">
        <f>SUMIFS(領用表!$L:$L,領用表!$E:$E,$B43,領用表!$B:$B,BS$2&amp;$BI$1)</f>
        <v/>
      </c>
      <c r="BT43" s="208">
        <f>SUMIFS(領用表!$L:$L,領用表!$E:$E,$B43,領用表!$B:$B,BT$2&amp;$BI$1)</f>
        <v/>
      </c>
      <c r="BU43" s="208">
        <f>SUM(BI43,BJ43,BK43,BL43,BM43,BN43)</f>
        <v/>
      </c>
      <c r="BV43" s="208">
        <f>AVERAGE(BI43,BJ43,BK43,BL43,BM43,BN43)</f>
        <v/>
      </c>
      <c r="BW43" s="208">
        <f>SUMIF(Summary!B:B,B43,Summary!DZ:DZ)</f>
        <v/>
      </c>
      <c r="BX43" s="215" t="n">
        <v>12</v>
      </c>
      <c r="BY43" s="210" t="n">
        <v>0</v>
      </c>
      <c r="BZ43" s="211" t="n"/>
      <c r="CA43" s="211" t="n"/>
      <c r="CB43" s="255" t="n"/>
      <c r="CC43" s="256" t="n"/>
      <c r="CD43" s="361" t="n"/>
      <c r="CE43" s="362" t="n"/>
    </row>
    <row r="44" ht="15.75" customFormat="1" customHeight="1" s="118">
      <c r="A44" s="136" t="inlineStr">
        <is>
          <t>MP1MA020029A</t>
        </is>
      </c>
      <c r="B44" s="118" t="n">
        <v>6150013</v>
      </c>
      <c r="C44" s="131" t="inlineStr">
        <is>
          <t>(逆時針)璞菲洛高低分子玻尿酸皮下植入劑 PROFHILO HiLow 2c.c/ 支</t>
        </is>
      </c>
      <c r="D44" s="197" t="n">
        <v>1</v>
      </c>
      <c r="E44" s="198" t="inlineStr">
        <is>
          <t>PCS</t>
        </is>
      </c>
      <c r="F44" s="349" t="n">
        <v>11</v>
      </c>
      <c r="G44" s="349" t="n"/>
      <c r="H44" s="200" t="n"/>
      <c r="I44" s="200" t="n"/>
      <c r="J44" s="200" t="n"/>
      <c r="K44" s="200" t="n"/>
      <c r="L44" s="200" t="n"/>
      <c r="M44" s="200" t="n"/>
      <c r="N44" s="200" t="n"/>
      <c r="O44" s="200" t="n"/>
      <c r="P44" s="200" t="n"/>
      <c r="Q44" s="200" t="n"/>
      <c r="R44" s="200" t="n"/>
      <c r="S44" s="200" t="n"/>
      <c r="T44" s="200" t="n"/>
      <c r="U44" s="200" t="n"/>
      <c r="V44" s="200" t="n"/>
      <c r="W44" s="200" t="n"/>
      <c r="X44" s="200" t="n"/>
      <c r="Y44" s="200" t="n"/>
      <c r="Z44" s="200" t="n"/>
      <c r="AA44" s="200" t="n"/>
      <c r="AB44" s="200" t="n"/>
      <c r="AC44" s="200" t="n"/>
      <c r="AD44" s="200" t="n"/>
      <c r="AE44" s="200" t="n"/>
      <c r="AF44" s="200" t="n"/>
      <c r="AG44" s="201" t="n"/>
      <c r="AH44" s="201" t="n"/>
      <c r="AI44" s="201" t="n"/>
      <c r="AJ44" s="201" t="n"/>
      <c r="AK44" s="201" t="n"/>
      <c r="AL44" s="201" t="n"/>
      <c r="AM44" s="201" t="n"/>
      <c r="AN44" s="201" t="n"/>
      <c r="AO44" s="201" t="n"/>
      <c r="AP44" s="201" t="n"/>
      <c r="AQ44" s="512" t="n"/>
      <c r="AR44" s="203" t="n"/>
      <c r="AS44" s="204" t="n"/>
      <c r="AT44" s="513" t="n"/>
      <c r="AU44" s="203" t="n"/>
      <c r="AV44" s="203" t="n"/>
      <c r="AW44" s="203" t="n"/>
      <c r="AX44" s="203" t="n"/>
      <c r="AY44" s="203" t="n"/>
      <c r="AZ44" s="203">
        <f>SUMIFS(領用表!$L:$L,領用表!$E:$E,$B44,領用表!$B:$B,AZ$2&amp;$BI$1)</f>
        <v/>
      </c>
      <c r="BA44" s="203">
        <f>SUMIFS(領用表!$L:$L,領用表!$E:$E,$B44,領用表!$B:$B,BA$2&amp;$BI$1)</f>
        <v/>
      </c>
      <c r="BB44" s="203">
        <f>SUMIFS(領用表!$L:$L,領用表!$E:$E,$B44,領用表!$B:$B,BB$2&amp;$BI$1)</f>
        <v/>
      </c>
      <c r="BC44" s="203">
        <f>SUMIFS(領用表!$L:$L,領用表!$E:$E,$B44,領用表!$B:$B,BC$2&amp;$BI$1)</f>
        <v/>
      </c>
      <c r="BD44" s="208">
        <f>SUMIFS(領用表!$L:$L,領用表!$E:$E,$B44,領用表!$B:$B,BD$2&amp;$BI$1)</f>
        <v/>
      </c>
      <c r="BE44" s="208">
        <f>SUMIFS(領用表!$L:$L,領用表!$E:$E,$B44,領用表!$B:$B,BE$2&amp;$BI$1)</f>
        <v/>
      </c>
      <c r="BF44" s="208">
        <f>SUMIFS(領用表!$L:$L,領用表!$E:$E,$B44,領用表!$B:$B,BF$2&amp;$BI$1)</f>
        <v/>
      </c>
      <c r="BG44" s="207">
        <f>SUM(AU44,AV44,AW44,AX44,AY44,AZ44,BA44,BB44,BC44,BD44,BE44,BF44)</f>
        <v/>
      </c>
      <c r="BH44" s="207">
        <f>AVERAGE(AU44,AV44,AW44,AX44,AY44,AZ44,BA44,BB44,BC44,BD44,BE44,BF44)</f>
        <v/>
      </c>
      <c r="BI44" s="208">
        <f>SUMIFS(領用表!$L:$L,領用表!$E:$E,$B44,領用表!$B:$B,BI$2&amp;$BI$1)</f>
        <v/>
      </c>
      <c r="BJ44" s="208">
        <f>SUMIFS(領用表!$L:$L,領用表!$E:$E,$B44,領用表!$B:$B,BJ$2&amp;$BI$1)</f>
        <v/>
      </c>
      <c r="BK44" s="208">
        <f>SUMIFS(領用表!$L:$L,領用表!$E:$E,$B44,領用表!$B:$B,BK$2&amp;$BI$1)</f>
        <v/>
      </c>
      <c r="BL44" s="208">
        <f>SUMIFS(領用表!$L:$L,領用表!$E:$E,$B44,領用表!$B:$B,BL$2&amp;$BI$1)</f>
        <v/>
      </c>
      <c r="BM44" s="208">
        <f>SUMIFS(領用表!$L:$L,領用表!$E:$E,$B44,領用表!$B:$B,BM$2&amp;$BI$1)</f>
        <v/>
      </c>
      <c r="BN44" s="208" t="n">
        <v>3</v>
      </c>
      <c r="BO44" s="208">
        <f>SUMIFS(領用表!$L:$L,領用表!$E:$E,$B44,領用表!$B:$B,BO$2&amp;$BI$1)</f>
        <v/>
      </c>
      <c r="BP44" s="208">
        <f>SUMIFS(領用表!$L:$L,領用表!$E:$E,$B44,領用表!$B:$B,BP$2&amp;$BI$1)</f>
        <v/>
      </c>
      <c r="BQ44" s="208">
        <f>SUMIFS(領用表!$L:$L,領用表!$E:$E,$B44,領用表!$B:$B,BQ$2&amp;$BI$1)</f>
        <v/>
      </c>
      <c r="BR44" s="208">
        <f>SUMIFS(領用表!$L:$L,領用表!$E:$E,$B44,領用表!$B:$B,BR$2&amp;$BI$1)</f>
        <v/>
      </c>
      <c r="BS44" s="208">
        <f>SUMIFS(領用表!$L:$L,領用表!$E:$E,$B44,領用表!$B:$B,BS$2&amp;$BI$1)</f>
        <v/>
      </c>
      <c r="BT44" s="208">
        <f>SUMIFS(領用表!$L:$L,領用表!$E:$E,$B44,領用表!$B:$B,BT$2&amp;$BI$1)</f>
        <v/>
      </c>
      <c r="BU44" s="208">
        <f>SUM(BI44,BJ44,BK44,BL44,BM44,BN44)</f>
        <v/>
      </c>
      <c r="BV44" s="208">
        <f>AVERAGE(BI44,BJ44,BK44,BL44,BM44,BN44)</f>
        <v/>
      </c>
      <c r="BW44" s="208">
        <f>SUMIF(Summary!B:B,B44,Summary!DZ:DZ)</f>
        <v/>
      </c>
      <c r="BX44" s="215" t="n">
        <v>8</v>
      </c>
      <c r="BY44" s="210" t="n"/>
      <c r="BZ44" s="211" t="inlineStr">
        <is>
          <t>50盒(10/27)</t>
        </is>
      </c>
      <c r="CA44" s="211" t="inlineStr">
        <is>
          <t>10盒(10/17)</t>
        </is>
      </c>
      <c r="CB44" s="136" t="n"/>
      <c r="CC44" s="212" t="n"/>
      <c r="CE44" s="213" t="n"/>
    </row>
    <row r="45" ht="15.75" customFormat="1" customHeight="1" s="118">
      <c r="A45" s="136" t="inlineStr">
        <is>
          <t>MP1MA020015A</t>
        </is>
      </c>
      <c r="B45" s="118" t="n">
        <v>6160005</v>
      </c>
      <c r="C45" s="133" t="inlineStr">
        <is>
          <t>双美Ⅰ號膠原蛋白植入劑-加強型(含利度卡因) 1ml/ 支(型號P03041)</t>
        </is>
      </c>
      <c r="D45" s="197" t="n">
        <v>1</v>
      </c>
      <c r="E45" s="198" t="inlineStr">
        <is>
          <t>PCS</t>
        </is>
      </c>
      <c r="F45" s="349" t="n">
        <v>61</v>
      </c>
      <c r="G45" s="349" t="n">
        <v>45</v>
      </c>
      <c r="H45" s="200" t="n">
        <v>0</v>
      </c>
      <c r="I45" s="200" t="n">
        <v>0</v>
      </c>
      <c r="J45" s="200" t="n">
        <v>0</v>
      </c>
      <c r="K45" s="200" t="n">
        <v>0</v>
      </c>
      <c r="L45" s="200" t="n">
        <v>0</v>
      </c>
      <c r="M45" s="200" t="n">
        <v>0</v>
      </c>
      <c r="N45" s="200" t="n">
        <v>0</v>
      </c>
      <c r="O45" s="200" t="n">
        <v>0</v>
      </c>
      <c r="P45" s="200" t="n">
        <v>0</v>
      </c>
      <c r="Q45" s="200" t="n">
        <v>0</v>
      </c>
      <c r="R45" s="200" t="n">
        <v>0</v>
      </c>
      <c r="S45" s="200" t="n">
        <v>0</v>
      </c>
      <c r="T45" s="200" t="n">
        <v>0</v>
      </c>
      <c r="U45" s="200" t="n">
        <v>0</v>
      </c>
      <c r="V45" s="200" t="n">
        <v>0</v>
      </c>
      <c r="W45" s="200" t="n">
        <v>0</v>
      </c>
      <c r="X45" s="200" t="n">
        <v>0</v>
      </c>
      <c r="Y45" s="200" t="n">
        <v>0</v>
      </c>
      <c r="Z45" s="200" t="n">
        <v>0</v>
      </c>
      <c r="AA45" s="200" t="n">
        <v>0</v>
      </c>
      <c r="AB45" s="200" t="n">
        <v>0</v>
      </c>
      <c r="AC45" s="200" t="n">
        <v>0</v>
      </c>
      <c r="AD45" s="200" t="n">
        <v>0</v>
      </c>
      <c r="AE45" s="200" t="n">
        <v>0</v>
      </c>
      <c r="AF45" s="200" t="n">
        <v>0</v>
      </c>
      <c r="AG45" s="201" t="n">
        <v>0</v>
      </c>
      <c r="AH45" s="201" t="n">
        <v>0</v>
      </c>
      <c r="AI45" s="201" t="n">
        <v>0</v>
      </c>
      <c r="AJ45" s="201" t="n">
        <v>0</v>
      </c>
      <c r="AK45" s="201" t="n">
        <v>0</v>
      </c>
      <c r="AL45" s="201" t="n">
        <v>0</v>
      </c>
      <c r="AM45" s="201" t="n">
        <v>0</v>
      </c>
      <c r="AN45" s="201" t="n">
        <v>2</v>
      </c>
      <c r="AO45" s="201" t="n">
        <v>3</v>
      </c>
      <c r="AP45" s="201" t="n">
        <v>1</v>
      </c>
      <c r="AQ45" s="512" t="n">
        <v>0</v>
      </c>
      <c r="AR45" s="203" t="n">
        <v>4</v>
      </c>
      <c r="AS45" s="204">
        <f>SUM(AG45:AR45)</f>
        <v/>
      </c>
      <c r="AT45" s="513">
        <f>AS45/12</f>
        <v/>
      </c>
      <c r="AU45" s="203" t="n">
        <v>3</v>
      </c>
      <c r="AV45" s="203" t="n">
        <v>4</v>
      </c>
      <c r="AW45" s="203" t="n">
        <v>3</v>
      </c>
      <c r="AX45" s="203" t="n">
        <v>2</v>
      </c>
      <c r="AY45" s="203" t="n">
        <v>6</v>
      </c>
      <c r="AZ45" s="203">
        <f>SUMIFS(領用表!$L:$L,領用表!$E:$E,$B45,領用表!$B:$B,AZ$2&amp;$BI$1)</f>
        <v/>
      </c>
      <c r="BA45" s="203">
        <f>SUMIFS(領用表!$L:$L,領用表!$E:$E,$B45,領用表!$B:$B,BA$2&amp;$BI$1)</f>
        <v/>
      </c>
      <c r="BB45" s="203">
        <f>SUMIFS(領用表!$L:$L,領用表!$E:$E,$B45,領用表!$B:$B,BB$2&amp;$BI$1)</f>
        <v/>
      </c>
      <c r="BC45" s="203">
        <f>SUMIFS(領用表!$L:$L,領用表!$E:$E,$B45,領用表!$B:$B,BC$2&amp;$BI$1)</f>
        <v/>
      </c>
      <c r="BD45" s="208">
        <f>SUMIFS(領用表!$L:$L,領用表!$E:$E,$B45,領用表!$B:$B,BD$2&amp;$BI$1)</f>
        <v/>
      </c>
      <c r="BE45" s="208">
        <f>SUMIFS(領用表!$L:$L,領用表!$E:$E,$B45,領用表!$B:$B,BE$2&amp;$BI$1)</f>
        <v/>
      </c>
      <c r="BF45" s="208">
        <f>SUMIFS(領用表!$L:$L,領用表!$E:$E,$B45,領用表!$B:$B,BF$2&amp;$BI$1)</f>
        <v/>
      </c>
      <c r="BG45" s="207">
        <f>SUM(AU45,AV45,AW45,AX45,AY45,AZ45,BA45,BB45,BC45,BD45,BE45,BF45)</f>
        <v/>
      </c>
      <c r="BH45" s="207">
        <f>AVERAGE(AU45,AV45,AW45,AX45,AY45,AZ45,BA45,BB45,BC45,BD45,BE45,BF45)</f>
        <v/>
      </c>
      <c r="BI45" s="208">
        <f>SUMIFS(領用表!$L:$L,領用表!$E:$E,$B45,領用表!$B:$B,BI$2&amp;$BI$1)</f>
        <v/>
      </c>
      <c r="BJ45" s="208">
        <f>SUMIFS(領用表!$L:$L,領用表!$E:$E,$B45,領用表!$B:$B,BJ$2&amp;$BI$1)</f>
        <v/>
      </c>
      <c r="BK45" s="208">
        <f>SUMIFS(領用表!$L:$L,領用表!$E:$E,$B45,領用表!$B:$B,BK$2&amp;$BI$1)</f>
        <v/>
      </c>
      <c r="BL45" s="208">
        <f>SUMIFS(領用表!$L:$L,領用表!$E:$E,$B45,領用表!$B:$B,BL$2&amp;$BI$1)</f>
        <v/>
      </c>
      <c r="BM45" s="208">
        <f>SUMIFS(領用表!$L:$L,領用表!$E:$E,$B45,領用表!$B:$B,BM$2&amp;$BI$1)</f>
        <v/>
      </c>
      <c r="BN45" s="208" t="n">
        <v>36</v>
      </c>
      <c r="BO45" s="208">
        <f>SUMIFS(領用表!$L:$L,領用表!$E:$E,$B45,領用表!$B:$B,BO$2&amp;$BI$1)</f>
        <v/>
      </c>
      <c r="BP45" s="208">
        <f>SUMIFS(領用表!$L:$L,領用表!$E:$E,$B45,領用表!$B:$B,BP$2&amp;$BI$1)</f>
        <v/>
      </c>
      <c r="BQ45" s="208">
        <f>SUMIFS(領用表!$L:$L,領用表!$E:$E,$B45,領用表!$B:$B,BQ$2&amp;$BI$1)</f>
        <v/>
      </c>
      <c r="BR45" s="208">
        <f>SUMIFS(領用表!$L:$L,領用表!$E:$E,$B45,領用表!$B:$B,BR$2&amp;$BI$1)</f>
        <v/>
      </c>
      <c r="BS45" s="208">
        <f>SUMIFS(領用表!$L:$L,領用表!$E:$E,$B45,領用表!$B:$B,BS$2&amp;$BI$1)</f>
        <v/>
      </c>
      <c r="BT45" s="208">
        <f>SUMIFS(領用表!$L:$L,領用表!$E:$E,$B45,領用表!$B:$B,BT$2&amp;$BI$1)</f>
        <v/>
      </c>
      <c r="BU45" s="208">
        <f>SUM(BI45,BJ45,BK45,BL45,BM45,BN45)</f>
        <v/>
      </c>
      <c r="BV45" s="208">
        <f>AVERAGE(BI45,BJ45,BK45,BL45,BM45,BN45)</f>
        <v/>
      </c>
      <c r="BW45" s="208">
        <f>SUMIF(Summary!B:B,B45,Summary!DZ:DZ)</f>
        <v/>
      </c>
      <c r="BX45" s="215" t="n">
        <v>10</v>
      </c>
      <c r="BY45" s="210" t="n">
        <v>0</v>
      </c>
      <c r="BZ45" s="211" t="inlineStr">
        <is>
          <t>22支(10/23)</t>
        </is>
      </c>
      <c r="CA45" s="211" t="inlineStr">
        <is>
          <t>22支(10/23)</t>
        </is>
      </c>
      <c r="CB45" s="136" t="n"/>
      <c r="CC45" s="212" t="n"/>
      <c r="CE45" s="213" t="n"/>
    </row>
    <row r="46" ht="15.75" customFormat="1" customHeight="1" s="118">
      <c r="A46" s="136" t="inlineStr">
        <is>
          <t>MM2MB030006A</t>
        </is>
      </c>
      <c r="B46" s="118" t="n">
        <v>6170034</v>
      </c>
      <c r="C46" s="133" t="inlineStr">
        <is>
          <t>十蓓電波臉部探頭5平方公分(1發)</t>
        </is>
      </c>
      <c r="D46" s="207" t="n">
        <v>900</v>
      </c>
      <c r="E46" s="198" t="inlineStr">
        <is>
          <t>SHOT</t>
        </is>
      </c>
      <c r="F46" s="349">
        <f>(D46*36)+262</f>
        <v/>
      </c>
      <c r="G46" s="349" t="n"/>
      <c r="H46" s="200" t="n"/>
      <c r="I46" s="200" t="n"/>
      <c r="J46" s="200" t="n"/>
      <c r="K46" s="200" t="n"/>
      <c r="L46" s="200" t="n"/>
      <c r="M46" s="200" t="n"/>
      <c r="N46" s="200" t="n"/>
      <c r="O46" s="200" t="n"/>
      <c r="P46" s="200" t="n"/>
      <c r="Q46" s="200" t="n"/>
      <c r="R46" s="200" t="n"/>
      <c r="S46" s="200" t="n"/>
      <c r="T46" s="200" t="n"/>
      <c r="U46" s="200" t="n"/>
      <c r="V46" s="200" t="n"/>
      <c r="W46" s="200" t="n"/>
      <c r="X46" s="200" t="n"/>
      <c r="Y46" s="200" t="n"/>
      <c r="Z46" s="200" t="n"/>
      <c r="AA46" s="200" t="n"/>
      <c r="AB46" s="200" t="n"/>
      <c r="AC46" s="200" t="n"/>
      <c r="AD46" s="200" t="n"/>
      <c r="AE46" s="200" t="n"/>
      <c r="AF46" s="200" t="n"/>
      <c r="AG46" s="221" t="n"/>
      <c r="AH46" s="221" t="n"/>
      <c r="AI46" s="221" t="n"/>
      <c r="AJ46" s="221" t="n"/>
      <c r="AK46" s="221" t="n"/>
      <c r="AL46" s="221" t="n"/>
      <c r="AM46" s="221" t="n"/>
      <c r="AN46" s="221" t="n"/>
      <c r="AO46" s="221" t="n"/>
      <c r="AP46" s="201" t="n"/>
      <c r="AQ46" s="512" t="n"/>
      <c r="AR46" s="203" t="n"/>
      <c r="AS46" s="204" t="n"/>
      <c r="AT46" s="513" t="n"/>
      <c r="AU46" s="513" t="inlineStr">
        <is>
          <t>-</t>
        </is>
      </c>
      <c r="AV46" s="513" t="inlineStr">
        <is>
          <t>-</t>
        </is>
      </c>
      <c r="AW46" s="513" t="inlineStr">
        <is>
          <t>-</t>
        </is>
      </c>
      <c r="AX46" s="513" t="inlineStr">
        <is>
          <t>-</t>
        </is>
      </c>
      <c r="AY46" s="513" t="inlineStr">
        <is>
          <t>-</t>
        </is>
      </c>
      <c r="AZ46" s="513">
        <f>SUMIFS(領用表!$L:$L,領用表!$E:$E,$B46,領用表!$B:$B,AZ$2&amp;$BI$1)</f>
        <v/>
      </c>
      <c r="BA46" s="203">
        <f>SUMIFS(領用表!$L:$L,領用表!$E:$E,$B46,領用表!$B:$B,BA$2&amp;$BI$1)</f>
        <v/>
      </c>
      <c r="BB46" s="203">
        <f>SUMIFS(領用表!$L:$L,領用表!$E:$E,$B46,領用表!$B:$B,BB$2&amp;$BI$1)</f>
        <v/>
      </c>
      <c r="BC46" s="203">
        <f>SUMIFS(領用表!$L:$L,領用表!$E:$E,$B46,領用表!$B:$B,BC$2&amp;$BI$1)</f>
        <v/>
      </c>
      <c r="BD46" s="208">
        <f>SUMIFS(領用表!$L:$L,領用表!$E:$E,$B46,領用表!$B:$B,BD$2&amp;$BI$1)</f>
        <v/>
      </c>
      <c r="BE46" s="208">
        <f>SUMIFS(領用表!$L:$L,領用表!$E:$E,$B46,領用表!$B:$B,BE$2&amp;$BI$1)</f>
        <v/>
      </c>
      <c r="BF46" s="208">
        <f>SUMIFS(領用表!$L:$L,領用表!$E:$E,$B46,領用表!$B:$B,BF$2&amp;$BI$1)</f>
        <v/>
      </c>
      <c r="BG46" s="207">
        <f>SUM(AU46,AV46,AW46,AX46,AY46,AZ46,BA46,BB46,BC46,BD46,BE46,BF46)</f>
        <v/>
      </c>
      <c r="BH46" s="207">
        <f>AVERAGE(AU46,AV46,AW46,AX46,AY46,AZ46,BA46,BB46,BC46,BD46,BE46,BF46)</f>
        <v/>
      </c>
      <c r="BI46" s="208">
        <f>SUMIFS(領用表!$L:$L,領用表!$E:$E,$B46,領用表!$B:$B,BI$2&amp;$BI$1)</f>
        <v/>
      </c>
      <c r="BJ46" s="208">
        <f>SUMIFS(領用表!$L:$L,領用表!$E:$E,$B46,領用表!$B:$B,BJ$2&amp;$BI$1)</f>
        <v/>
      </c>
      <c r="BK46" s="208">
        <f>SUMIFS(領用表!$L:$L,領用表!$E:$E,$B46,領用表!$B:$B,BK$2&amp;$BI$1)</f>
        <v/>
      </c>
      <c r="BL46" s="208">
        <f>SUMIFS(領用表!$L:$L,領用表!$E:$E,$B46,領用表!$B:$B,BL$2&amp;$BI$1)</f>
        <v/>
      </c>
      <c r="BM46" s="208">
        <f>SUMIFS(領用表!$L:$L,領用表!$E:$E,$B46,領用表!$B:$B,BM$2&amp;$BI$1)</f>
        <v/>
      </c>
      <c r="BN46" s="208" t="n">
        <v>19105</v>
      </c>
      <c r="BO46" s="208">
        <f>SUMIFS(領用表!$L:$L,領用表!$E:$E,$B46,領用表!$B:$B,BO$2&amp;$BI$1)</f>
        <v/>
      </c>
      <c r="BP46" s="208">
        <f>SUMIFS(領用表!$L:$L,領用表!$E:$E,$B46,領用表!$B:$B,BP$2&amp;$BI$1)</f>
        <v/>
      </c>
      <c r="BQ46" s="208">
        <f>SUMIFS(領用表!$L:$L,領用表!$E:$E,$B46,領用表!$B:$B,BQ$2&amp;$BI$1)</f>
        <v/>
      </c>
      <c r="BR46" s="208">
        <f>SUMIFS(領用表!$L:$L,領用表!$E:$E,$B46,領用表!$B:$B,BR$2&amp;$BI$1)</f>
        <v/>
      </c>
      <c r="BS46" s="208">
        <f>SUMIFS(領用表!$L:$L,領用表!$E:$E,$B46,領用表!$B:$B,BS$2&amp;$BI$1)</f>
        <v/>
      </c>
      <c r="BT46" s="208">
        <f>SUMIFS(領用表!$L:$L,領用表!$E:$E,$B46,領用表!$B:$B,BT$2&amp;$BI$1)</f>
        <v/>
      </c>
      <c r="BU46" s="208">
        <f>SUM(BI46,BJ46,BK46,BL46,BM46,BN46)</f>
        <v/>
      </c>
      <c r="BV46" s="208">
        <f>AVERAGE(BI46,BJ46,BK46,BL46,BM46,BN46)</f>
        <v/>
      </c>
      <c r="BW46" s="208">
        <f>SUMIF(Summary!B:B,B46,Summary!DZ:DZ)</f>
        <v/>
      </c>
      <c r="BX46" s="257" t="n">
        <v>12000</v>
      </c>
      <c r="BY46" s="210" t="n"/>
      <c r="BZ46" s="211" t="inlineStr">
        <is>
          <t>40顆(10/21)</t>
        </is>
      </c>
      <c r="CA46" s="211" t="inlineStr">
        <is>
          <t>40顆(10/21)</t>
        </is>
      </c>
      <c r="CB46" s="525" t="n"/>
      <c r="CC46" s="212" t="n"/>
      <c r="CE46" s="213" t="n"/>
    </row>
    <row r="47" ht="15" customFormat="1" customHeight="1" s="118">
      <c r="A47" s="136" t="inlineStr">
        <is>
          <t>MM2MB030007A</t>
        </is>
      </c>
      <c r="B47" s="118" t="n">
        <v>6170035</v>
      </c>
      <c r="C47" s="133" t="inlineStr">
        <is>
          <t>十蓓電波眼周探頭0.25平方公分(1發)</t>
        </is>
      </c>
      <c r="D47" s="207" t="n">
        <v>600</v>
      </c>
      <c r="E47" s="198" t="inlineStr">
        <is>
          <t>SHOT</t>
        </is>
      </c>
      <c r="F47" s="349">
        <f>(D47*3)+489</f>
        <v/>
      </c>
      <c r="G47" s="349" t="n"/>
      <c r="H47" s="200" t="n"/>
      <c r="I47" s="200" t="n"/>
      <c r="J47" s="200" t="n"/>
      <c r="K47" s="200" t="n"/>
      <c r="L47" s="200" t="n"/>
      <c r="M47" s="200" t="n"/>
      <c r="N47" s="200" t="n"/>
      <c r="O47" s="200" t="n"/>
      <c r="P47" s="200" t="n"/>
      <c r="Q47" s="200" t="n"/>
      <c r="R47" s="200" t="n"/>
      <c r="S47" s="200" t="n"/>
      <c r="T47" s="200" t="n"/>
      <c r="U47" s="200" t="n"/>
      <c r="V47" s="200" t="n"/>
      <c r="W47" s="200" t="n"/>
      <c r="X47" s="200" t="n"/>
      <c r="Y47" s="200" t="n"/>
      <c r="Z47" s="200" t="n"/>
      <c r="AA47" s="200" t="n"/>
      <c r="AB47" s="200" t="n"/>
      <c r="AC47" s="200" t="n"/>
      <c r="AD47" s="200" t="n"/>
      <c r="AE47" s="200" t="n"/>
      <c r="AF47" s="200" t="n"/>
      <c r="AG47" s="221" t="n"/>
      <c r="AH47" s="221" t="n"/>
      <c r="AI47" s="221" t="n"/>
      <c r="AJ47" s="221" t="n"/>
      <c r="AK47" s="221" t="n"/>
      <c r="AL47" s="221" t="n"/>
      <c r="AM47" s="221" t="n"/>
      <c r="AN47" s="221" t="n"/>
      <c r="AO47" s="221" t="n"/>
      <c r="AP47" s="201" t="n"/>
      <c r="AQ47" s="512" t="n"/>
      <c r="AR47" s="203" t="n"/>
      <c r="AS47" s="204" t="n"/>
      <c r="AT47" s="513" t="n"/>
      <c r="AU47" s="513" t="inlineStr">
        <is>
          <t>-</t>
        </is>
      </c>
      <c r="AV47" s="513" t="inlineStr">
        <is>
          <t>-</t>
        </is>
      </c>
      <c r="AW47" s="513" t="inlineStr">
        <is>
          <t>-</t>
        </is>
      </c>
      <c r="AX47" s="513" t="inlineStr">
        <is>
          <t>-</t>
        </is>
      </c>
      <c r="AY47" s="513" t="inlineStr">
        <is>
          <t>-</t>
        </is>
      </c>
      <c r="AZ47" s="513">
        <f>SUMIFS(領用表!$L:$L,領用表!$E:$E,$B47,領用表!$B:$B,AZ$2&amp;$BI$1)</f>
        <v/>
      </c>
      <c r="BA47" s="203">
        <f>SUMIFS(領用表!$L:$L,領用表!$E:$E,$B47,領用表!$B:$B,BA$2&amp;$BI$1)</f>
        <v/>
      </c>
      <c r="BB47" s="203">
        <f>SUMIFS(領用表!$L:$L,領用表!$E:$E,$B47,領用表!$B:$B,BB$2&amp;$BI$1)</f>
        <v/>
      </c>
      <c r="BC47" s="203">
        <f>SUMIFS(領用表!$L:$L,領用表!$E:$E,$B47,領用表!$B:$B,BC$2&amp;$BI$1)</f>
        <v/>
      </c>
      <c r="BD47" s="208">
        <f>SUMIFS(領用表!$L:$L,領用表!$E:$E,$B47,領用表!$B:$B,BD$2&amp;$BI$1)</f>
        <v/>
      </c>
      <c r="BE47" s="208">
        <f>SUMIFS(領用表!$L:$L,領用表!$E:$E,$B47,領用表!$B:$B,BE$2&amp;$BI$1)</f>
        <v/>
      </c>
      <c r="BF47" s="208">
        <f>SUMIFS(領用表!$L:$L,領用表!$E:$E,$B47,領用表!$B:$B,BF$2&amp;$BI$1)</f>
        <v/>
      </c>
      <c r="BG47" s="207">
        <f>SUM(AU47,AV47,AW47,AX47,AY47,AZ47,BA47,BB47,BC47,BD47,BE47,BF47)</f>
        <v/>
      </c>
      <c r="BH47" s="207">
        <f>AVERAGE(AU47,AV47,AW47,AX47,AY47,AZ47,BA47,BB47,BC47,BD47,BE47,BF47)</f>
        <v/>
      </c>
      <c r="BI47" s="208">
        <f>SUMIFS(領用表!$L:$L,領用表!$E:$E,$B47,領用表!$B:$B,BI$2&amp;$BI$1)</f>
        <v/>
      </c>
      <c r="BJ47" s="208">
        <f>SUMIFS(領用表!$L:$L,領用表!$E:$E,$B47,領用表!$B:$B,BJ$2&amp;$BI$1)</f>
        <v/>
      </c>
      <c r="BK47" s="208">
        <f>SUMIFS(領用表!$L:$L,領用表!$E:$E,$B47,領用表!$B:$B,BK$2&amp;$BI$1)</f>
        <v/>
      </c>
      <c r="BL47" s="208">
        <f>SUMIFS(領用表!$L:$L,領用表!$E:$E,$B47,領用表!$B:$B,BL$2&amp;$BI$1)</f>
        <v/>
      </c>
      <c r="BM47" s="208">
        <f>SUMIFS(領用表!$L:$L,領用表!$E:$E,$B47,領用表!$B:$B,BM$2&amp;$BI$1)</f>
        <v/>
      </c>
      <c r="BN47" s="208" t="n">
        <v>2100</v>
      </c>
      <c r="BO47" s="208">
        <f>SUMIFS(領用表!$L:$L,領用表!$E:$E,$B47,領用表!$B:$B,BO$2&amp;$BI$1)</f>
        <v/>
      </c>
      <c r="BP47" s="208">
        <f>SUMIFS(領用表!$L:$L,領用表!$E:$E,$B47,領用表!$B:$B,BP$2&amp;$BI$1)</f>
        <v/>
      </c>
      <c r="BQ47" s="208">
        <f>SUMIFS(領用表!$L:$L,領用表!$E:$E,$B47,領用表!$B:$B,BQ$2&amp;$BI$1)</f>
        <v/>
      </c>
      <c r="BR47" s="208">
        <f>SUMIFS(領用表!$L:$L,領用表!$E:$E,$B47,領用表!$B:$B,BR$2&amp;$BI$1)</f>
        <v/>
      </c>
      <c r="BS47" s="208">
        <f>SUMIFS(領用表!$L:$L,領用表!$E:$E,$B47,領用表!$B:$B,BS$2&amp;$BI$1)</f>
        <v/>
      </c>
      <c r="BT47" s="208">
        <f>SUMIFS(領用表!$L:$L,領用表!$E:$E,$B47,領用表!$B:$B,BT$2&amp;$BI$1)</f>
        <v/>
      </c>
      <c r="BU47" s="208">
        <f>SUM(BI47,BJ47,BK47,BL47,BM47,BN47)</f>
        <v/>
      </c>
      <c r="BV47" s="208">
        <f>AVERAGE(BI47,BJ47,BK47,BL47,BM47,BN47)</f>
        <v/>
      </c>
      <c r="BW47" s="208">
        <f>SUMIF(Summary!B:B,B47,Summary!DZ:DZ)</f>
        <v/>
      </c>
      <c r="BX47" s="257" t="n">
        <v>5000</v>
      </c>
      <c r="BY47" s="210" t="n"/>
      <c r="BZ47" s="211" t="n"/>
      <c r="CA47" s="211" t="inlineStr">
        <is>
          <t>40顆(10/21)</t>
        </is>
      </c>
      <c r="CB47" s="525" t="n"/>
      <c r="CC47" s="212" t="n"/>
      <c r="CE47" s="213" t="n"/>
    </row>
    <row r="48" ht="15.75" customFormat="1" customHeight="1" s="118">
      <c r="A48" s="136" t="inlineStr">
        <is>
          <t>MM2MB030002A</t>
        </is>
      </c>
      <c r="B48" s="118" t="n">
        <v>6170028</v>
      </c>
      <c r="C48" s="133" t="inlineStr">
        <is>
          <t>海芙電波 I探頭 0.25cm(1發)</t>
        </is>
      </c>
      <c r="D48" s="207" t="n">
        <v>6050</v>
      </c>
      <c r="E48" s="198" t="inlineStr">
        <is>
          <t>SHOT</t>
        </is>
      </c>
      <c r="F48" s="349">
        <f>(D48*0)+(82)+(0)</f>
        <v/>
      </c>
      <c r="G48" s="349" t="n"/>
      <c r="H48" s="200" t="n"/>
      <c r="I48" s="200" t="n"/>
      <c r="J48" s="200" t="n"/>
      <c r="K48" s="200" t="n"/>
      <c r="L48" s="200" t="n"/>
      <c r="M48" s="200" t="n"/>
      <c r="N48" s="200" t="n"/>
      <c r="O48" s="200" t="n"/>
      <c r="P48" s="200" t="n"/>
      <c r="Q48" s="200" t="n"/>
      <c r="R48" s="200" t="n"/>
      <c r="S48" s="200" t="n"/>
      <c r="T48" s="200" t="n"/>
      <c r="U48" s="200" t="n"/>
      <c r="V48" s="200" t="n"/>
      <c r="W48" s="200" t="n"/>
      <c r="X48" s="200" t="n"/>
      <c r="Y48" s="200" t="n"/>
      <c r="Z48" s="200" t="n"/>
      <c r="AA48" s="200" t="n"/>
      <c r="AB48" s="200" t="n"/>
      <c r="AC48" s="200" t="n"/>
      <c r="AD48" s="200" t="n"/>
      <c r="AE48" s="200" t="n"/>
      <c r="AF48" s="200" t="n"/>
      <c r="AG48" s="221" t="n"/>
      <c r="AH48" s="221" t="n"/>
      <c r="AI48" s="221" t="n"/>
      <c r="AJ48" s="221" t="n"/>
      <c r="AK48" s="221" t="n"/>
      <c r="AL48" s="221" t="n"/>
      <c r="AM48" s="221" t="n"/>
      <c r="AN48" s="221" t="n"/>
      <c r="AO48" s="221" t="n"/>
      <c r="AP48" s="201" t="n"/>
      <c r="AQ48" s="512" t="n"/>
      <c r="AR48" s="203" t="inlineStr">
        <is>
          <t>-</t>
        </is>
      </c>
      <c r="AS48" s="204" t="inlineStr">
        <is>
          <t>-</t>
        </is>
      </c>
      <c r="AT48" s="513" t="inlineStr">
        <is>
          <t>-</t>
        </is>
      </c>
      <c r="AU48" s="513" t="inlineStr">
        <is>
          <t>-</t>
        </is>
      </c>
      <c r="AV48" s="513" t="inlineStr">
        <is>
          <t>-</t>
        </is>
      </c>
      <c r="AW48" s="513" t="inlineStr">
        <is>
          <t>-</t>
        </is>
      </c>
      <c r="AX48" s="203" t="n">
        <v>8701</v>
      </c>
      <c r="AY48" s="203" t="n">
        <v>10901</v>
      </c>
      <c r="AZ48" s="203">
        <f>SUMIFS(領用表!$L:$L,領用表!$E:$E,$B48,領用表!$B:$B,AZ$2&amp;$BI$1)</f>
        <v/>
      </c>
      <c r="BA48" s="203">
        <f>SUMIFS(領用表!$L:$L,領用表!$E:$E,$B48,領用表!$B:$B,BA$2&amp;$BI$1)</f>
        <v/>
      </c>
      <c r="BB48" s="203">
        <f>SUMIFS(領用表!$L:$L,領用表!$E:$E,$B48,領用表!$B:$B,BB$2&amp;$BI$1)</f>
        <v/>
      </c>
      <c r="BC48" s="203">
        <f>SUMIFS(領用表!$L:$L,領用表!$E:$E,$B48,領用表!$B:$B,BC$2&amp;$BI$1)</f>
        <v/>
      </c>
      <c r="BD48" s="208">
        <f>SUMIFS(領用表!$L:$L,領用表!$E:$E,$B48,領用表!$B:$B,BD$2&amp;$BI$1)</f>
        <v/>
      </c>
      <c r="BE48" s="208">
        <f>SUMIFS(領用表!$L:$L,領用表!$E:$E,$B48,領用表!$B:$B,BE$2&amp;$BI$1)</f>
        <v/>
      </c>
      <c r="BF48" s="208">
        <f>SUMIFS(領用表!$L:$L,領用表!$E:$E,$B48,領用表!$B:$B,BF$2&amp;$BI$1)</f>
        <v/>
      </c>
      <c r="BG48" s="207">
        <f>SUM(AU48,AV48,AW48,AX48,AY48,AZ48,BA48,BB48,BC48,BD48,BE48,BF48)</f>
        <v/>
      </c>
      <c r="BH48" s="207">
        <f>AVERAGE(AU48,AV48,AW48,AX48,AY48,AZ48,BA48,BB48,BC48,BD48,BE48,BF48)</f>
        <v/>
      </c>
      <c r="BI48" s="208">
        <f>SUMIFS(領用表!$L:$L,領用表!$E:$E,$B48,領用表!$B:$B,BI$2&amp;$BI$1)</f>
        <v/>
      </c>
      <c r="BJ48" s="208">
        <f>SUMIFS(領用表!$L:$L,領用表!$E:$E,$B48,領用表!$B:$B,BJ$2&amp;$BI$1)</f>
        <v/>
      </c>
      <c r="BK48" s="208">
        <f>SUMIFS(領用表!$L:$L,領用表!$E:$E,$B48,領用表!$B:$B,BK$2&amp;$BI$1)</f>
        <v/>
      </c>
      <c r="BL48" s="208">
        <f>SUMIFS(領用表!$L:$L,領用表!$E:$E,$B48,領用表!$B:$B,BL$2&amp;$BI$1)</f>
        <v/>
      </c>
      <c r="BM48" s="208">
        <f>SUMIFS(領用表!$L:$L,領用表!$E:$E,$B48,領用表!$B:$B,BM$2&amp;$BI$1)</f>
        <v/>
      </c>
      <c r="BN48" s="208" t="n"/>
      <c r="BO48" s="208">
        <f>SUMIFS(領用表!$L:$L,領用表!$E:$E,$B48,領用表!$B:$B,BO$2&amp;$BI$1)</f>
        <v/>
      </c>
      <c r="BP48" s="208">
        <f>SUMIFS(領用表!$L:$L,領用表!$E:$E,$B48,領用表!$B:$B,BP$2&amp;$BI$1)</f>
        <v/>
      </c>
      <c r="BQ48" s="208">
        <f>SUMIFS(領用表!$L:$L,領用表!$E:$E,$B48,領用表!$B:$B,BQ$2&amp;$BI$1)</f>
        <v/>
      </c>
      <c r="BR48" s="208">
        <f>SUMIFS(領用表!$L:$L,領用表!$E:$E,$B48,領用表!$B:$B,BR$2&amp;$BI$1)</f>
        <v/>
      </c>
      <c r="BS48" s="208">
        <f>SUMIFS(領用表!$L:$L,領用表!$E:$E,$B48,領用表!$B:$B,BS$2&amp;$BI$1)</f>
        <v/>
      </c>
      <c r="BT48" s="208">
        <f>SUMIFS(領用表!$L:$L,領用表!$E:$E,$B48,領用表!$B:$B,BT$2&amp;$BI$1)</f>
        <v/>
      </c>
      <c r="BU48" s="208">
        <f>SUM(BI48,BJ48,BK48,BL48,BM48,BN48)</f>
        <v/>
      </c>
      <c r="BV48" s="208">
        <f>AVERAGE(BI48,BJ48,BK48,BL48,BM48,BN48)</f>
        <v/>
      </c>
      <c r="BW48" s="208">
        <f>SUMIF(Summary!B:B,B48,Summary!DZ:DZ)</f>
        <v/>
      </c>
      <c r="BX48" s="257" t="n">
        <v>10000</v>
      </c>
      <c r="BY48" s="210" t="n">
        <v>0</v>
      </c>
      <c r="BZ48" s="211" t="inlineStr">
        <is>
          <t>3顆(10/23)</t>
        </is>
      </c>
      <c r="CA48" s="211" t="inlineStr">
        <is>
          <t>2顆(10/23)</t>
        </is>
      </c>
      <c r="CB48" s="526" t="inlineStr">
        <is>
          <t>2025/4/1站前交機1台</t>
        </is>
      </c>
      <c r="CC48" s="212" t="n"/>
      <c r="CE48" s="213" t="n"/>
    </row>
    <row r="49" ht="15.75" customFormat="1" customHeight="1" s="118">
      <c r="A49" s="136" t="inlineStr">
        <is>
          <t>MM2MB030003A</t>
        </is>
      </c>
      <c r="B49" s="118" t="n">
        <v>6170029</v>
      </c>
      <c r="C49" s="133" t="inlineStr">
        <is>
          <t>海芙電波 F探頭 3.0cm(1發)</t>
        </is>
      </c>
      <c r="D49" s="207" t="n">
        <v>4000</v>
      </c>
      <c r="E49" s="198" t="inlineStr">
        <is>
          <t>SHOT</t>
        </is>
      </c>
      <c r="F49" s="349" t="n"/>
      <c r="G49" s="349" t="n"/>
      <c r="H49" s="200" t="n"/>
      <c r="I49" s="200" t="n"/>
      <c r="J49" s="200" t="n"/>
      <c r="K49" s="200" t="n"/>
      <c r="L49" s="200" t="n"/>
      <c r="M49" s="200" t="n"/>
      <c r="N49" s="200" t="n"/>
      <c r="O49" s="200" t="n"/>
      <c r="P49" s="200" t="n"/>
      <c r="Q49" s="200" t="n"/>
      <c r="R49" s="200" t="n"/>
      <c r="S49" s="200" t="n"/>
      <c r="T49" s="200" t="n"/>
      <c r="U49" s="200" t="n"/>
      <c r="V49" s="200" t="n"/>
      <c r="W49" s="200" t="n"/>
      <c r="X49" s="200" t="n"/>
      <c r="Y49" s="200" t="n"/>
      <c r="Z49" s="200" t="n"/>
      <c r="AA49" s="200" t="n"/>
      <c r="AB49" s="200" t="n"/>
      <c r="AC49" s="200" t="n"/>
      <c r="AD49" s="200" t="n"/>
      <c r="AE49" s="200" t="n"/>
      <c r="AF49" s="200" t="n"/>
      <c r="AG49" s="221" t="n"/>
      <c r="AH49" s="221" t="n"/>
      <c r="AI49" s="221" t="n"/>
      <c r="AJ49" s="221" t="n"/>
      <c r="AK49" s="221" t="n"/>
      <c r="AL49" s="221" t="n"/>
      <c r="AM49" s="221" t="n"/>
      <c r="AN49" s="221" t="n"/>
      <c r="AO49" s="221" t="n"/>
      <c r="AP49" s="201" t="n"/>
      <c r="AQ49" s="512" t="n"/>
      <c r="AR49" s="203" t="inlineStr">
        <is>
          <t>-</t>
        </is>
      </c>
      <c r="AS49" s="204" t="inlineStr">
        <is>
          <t>-</t>
        </is>
      </c>
      <c r="AT49" s="513" t="inlineStr">
        <is>
          <t>-</t>
        </is>
      </c>
      <c r="AU49" s="513" t="inlineStr">
        <is>
          <t>-</t>
        </is>
      </c>
      <c r="AV49" s="513" t="inlineStr">
        <is>
          <t>-</t>
        </is>
      </c>
      <c r="AW49" s="513" t="inlineStr">
        <is>
          <t>-</t>
        </is>
      </c>
      <c r="AX49" s="203" t="n">
        <v>6054</v>
      </c>
      <c r="AY49" s="203" t="n">
        <v>32205</v>
      </c>
      <c r="AZ49" s="203">
        <f>SUMIFS(領用表!$L:$L,領用表!$E:$E,$B49,領用表!$B:$B,AZ$2&amp;$BI$1)</f>
        <v/>
      </c>
      <c r="BA49" s="203">
        <f>SUMIFS(領用表!$L:$L,領用表!$E:$E,$B49,領用表!$B:$B,BA$2&amp;$BI$1)</f>
        <v/>
      </c>
      <c r="BB49" s="203">
        <f>SUMIFS(領用表!$L:$L,領用表!$E:$E,$B49,領用表!$B:$B,BB$2&amp;$BI$1)</f>
        <v/>
      </c>
      <c r="BC49" s="203">
        <f>SUMIFS(領用表!$L:$L,領用表!$E:$E,$B49,領用表!$B:$B,BC$2&amp;$BI$1)</f>
        <v/>
      </c>
      <c r="BD49" s="208">
        <f>SUMIFS(領用表!$L:$L,領用表!$E:$E,$B49,領用表!$B:$B,BD$2&amp;$BI$1)</f>
        <v/>
      </c>
      <c r="BE49" s="208">
        <f>SUMIFS(領用表!$L:$L,領用表!$E:$E,$B49,領用表!$B:$B,BE$2&amp;$BI$1)</f>
        <v/>
      </c>
      <c r="BF49" s="208">
        <f>SUMIFS(領用表!$L:$L,領用表!$E:$E,$B49,領用表!$B:$B,BF$2&amp;$BI$1)</f>
        <v/>
      </c>
      <c r="BG49" s="207">
        <f>SUM(AU49,AV49,AW49,AX49,AY49,AZ49,BA49,BB49,BC49,BD49,BE49,BF49)</f>
        <v/>
      </c>
      <c r="BH49" s="207">
        <f>AVERAGE(AU49,AV49,AW49,AX49,AY49,AZ49,BA49,BB49,BC49,BD49,BE49,BF49)</f>
        <v/>
      </c>
      <c r="BI49" s="208">
        <f>SUMIFS(領用表!$L:$L,領用表!$E:$E,$B49,領用表!$B:$B,BI$2&amp;$BI$1)</f>
        <v/>
      </c>
      <c r="BJ49" s="208">
        <f>SUMIFS(領用表!$L:$L,領用表!$E:$E,$B49,領用表!$B:$B,BJ$2&amp;$BI$1)</f>
        <v/>
      </c>
      <c r="BK49" s="208">
        <f>SUMIFS(領用表!$L:$L,領用表!$E:$E,$B49,領用表!$B:$B,BK$2&amp;$BI$1)</f>
        <v/>
      </c>
      <c r="BL49" s="208">
        <f>SUMIFS(領用表!$L:$L,領用表!$E:$E,$B49,領用表!$B:$B,BL$2&amp;$BI$1)</f>
        <v/>
      </c>
      <c r="BM49" s="208">
        <f>SUMIFS(領用表!$L:$L,領用表!$E:$E,$B49,領用表!$B:$B,BM$2&amp;$BI$1)</f>
        <v/>
      </c>
      <c r="BN49" s="208" t="n"/>
      <c r="BO49" s="208">
        <f>SUMIFS(領用表!$L:$L,領用表!$E:$E,$B49,領用表!$B:$B,BO$2&amp;$BI$1)</f>
        <v/>
      </c>
      <c r="BP49" s="208">
        <f>SUMIFS(領用表!$L:$L,領用表!$E:$E,$B49,領用表!$B:$B,BP$2&amp;$BI$1)</f>
        <v/>
      </c>
      <c r="BQ49" s="208">
        <f>SUMIFS(領用表!$L:$L,領用表!$E:$E,$B49,領用表!$B:$B,BQ$2&amp;$BI$1)</f>
        <v/>
      </c>
      <c r="BR49" s="208">
        <f>SUMIFS(領用表!$L:$L,領用表!$E:$E,$B49,領用表!$B:$B,BR$2&amp;$BI$1)</f>
        <v/>
      </c>
      <c r="BS49" s="208">
        <f>SUMIFS(領用表!$L:$L,領用表!$E:$E,$B49,領用表!$B:$B,BS$2&amp;$BI$1)</f>
        <v/>
      </c>
      <c r="BT49" s="208">
        <f>SUMIFS(領用表!$L:$L,領用表!$E:$E,$B49,領用表!$B:$B,BT$2&amp;$BI$1)</f>
        <v/>
      </c>
      <c r="BU49" s="208">
        <f>SUM(BI49,BJ49,BK49,BL49,BM49,BN49)</f>
        <v/>
      </c>
      <c r="BV49" s="208">
        <f>AVERAGE(BI49,BJ49,BK49,BL49,BM49,BN49)</f>
        <v/>
      </c>
      <c r="BW49" s="208">
        <f>SUMIF(Summary!B:B,B49,Summary!DZ:DZ)</f>
        <v/>
      </c>
      <c r="BX49" s="257" t="n">
        <v>20000</v>
      </c>
      <c r="BY49" s="210" t="n">
        <v>0</v>
      </c>
      <c r="BZ49" s="211" t="inlineStr">
        <is>
          <t>4顆(10/23)</t>
        </is>
      </c>
      <c r="CA49" s="211" t="inlineStr">
        <is>
          <t>4顆(10/23)</t>
        </is>
      </c>
      <c r="CB49" s="526" t="inlineStr">
        <is>
          <t>2025/4/1站前交機1台</t>
        </is>
      </c>
      <c r="CC49" s="212" t="n"/>
      <c r="CE49" s="213" t="n"/>
    </row>
    <row r="50" ht="15.75" customFormat="1" customHeight="1" s="118">
      <c r="A50" s="136" t="inlineStr">
        <is>
          <t>MM2MB030004A</t>
        </is>
      </c>
      <c r="B50" s="118" t="n">
        <v>6170030</v>
      </c>
      <c r="C50" s="133" t="inlineStr">
        <is>
          <t>海芙電波 V探頭 4.0cm(1發)</t>
        </is>
      </c>
      <c r="D50" s="207" t="n">
        <v>3050</v>
      </c>
      <c r="E50" s="198" t="inlineStr">
        <is>
          <t>SHOT</t>
        </is>
      </c>
      <c r="F50" s="349">
        <f>(D50*8)+(2203)+(825)</f>
        <v/>
      </c>
      <c r="G50" s="349" t="n"/>
      <c r="H50" s="352" t="n"/>
      <c r="I50" s="352" t="n"/>
      <c r="J50" s="352" t="n"/>
      <c r="K50" s="352" t="n"/>
      <c r="L50" s="352" t="n"/>
      <c r="M50" s="352" t="n"/>
      <c r="N50" s="352" t="n"/>
      <c r="O50" s="352" t="n"/>
      <c r="P50" s="352" t="n"/>
      <c r="Q50" s="352" t="n"/>
      <c r="R50" s="352" t="n"/>
      <c r="S50" s="352" t="n"/>
      <c r="T50" s="352" t="n"/>
      <c r="U50" s="352" t="n"/>
      <c r="V50" s="352" t="n"/>
      <c r="W50" s="352" t="n"/>
      <c r="X50" s="352" t="n"/>
      <c r="Y50" s="352" t="n"/>
      <c r="Z50" s="352" t="n"/>
      <c r="AA50" s="352" t="n"/>
      <c r="AB50" s="352" t="n"/>
      <c r="AC50" s="352" t="n"/>
      <c r="AD50" s="352" t="n"/>
      <c r="AE50" s="352" t="n"/>
      <c r="AF50" s="352" t="n"/>
      <c r="AG50" s="363" t="n"/>
      <c r="AH50" s="363" t="n"/>
      <c r="AI50" s="363" t="n"/>
      <c r="AJ50" s="363" t="n"/>
      <c r="AK50" s="363" t="n"/>
      <c r="AL50" s="363" t="n"/>
      <c r="AM50" s="363" t="n"/>
      <c r="AN50" s="363" t="n"/>
      <c r="AO50" s="363" t="n"/>
      <c r="AP50" s="353" t="n"/>
      <c r="AQ50" s="533" t="n"/>
      <c r="AR50" s="355" t="inlineStr">
        <is>
          <t>-</t>
        </is>
      </c>
      <c r="AS50" s="356" t="inlineStr">
        <is>
          <t>-</t>
        </is>
      </c>
      <c r="AT50" s="534" t="inlineStr">
        <is>
          <t>-</t>
        </is>
      </c>
      <c r="AU50" s="534" t="inlineStr">
        <is>
          <t>-</t>
        </is>
      </c>
      <c r="AV50" s="534" t="inlineStr">
        <is>
          <t>-</t>
        </is>
      </c>
      <c r="AW50" s="534" t="inlineStr">
        <is>
          <t>-</t>
        </is>
      </c>
      <c r="AX50" s="355" t="n">
        <v>12000</v>
      </c>
      <c r="AY50" s="355" t="n"/>
      <c r="AZ50" s="203">
        <f>SUMIFS(領用表!$L:$L,領用表!$E:$E,$B50,領用表!$B:$B,AZ$2&amp;$BI$1)</f>
        <v/>
      </c>
      <c r="BA50" s="203">
        <f>SUMIFS(領用表!$L:$L,領用表!$E:$E,$B50,領用表!$B:$B,BA$2&amp;$BI$1)</f>
        <v/>
      </c>
      <c r="BB50" s="203">
        <f>SUMIFS(領用表!$L:$L,領用表!$E:$E,$B50,領用表!$B:$B,BB$2&amp;$BI$1)</f>
        <v/>
      </c>
      <c r="BC50" s="203">
        <f>SUMIFS(領用表!$L:$L,領用表!$E:$E,$B50,領用表!$B:$B,BC$2&amp;$BI$1)</f>
        <v/>
      </c>
      <c r="BD50" s="208">
        <f>SUMIFS(領用表!$L:$L,領用表!$E:$E,$B50,領用表!$B:$B,BD$2&amp;$BI$1)</f>
        <v/>
      </c>
      <c r="BE50" s="208">
        <f>SUMIFS(領用表!$L:$L,領用表!$E:$E,$B50,領用表!$B:$B,BE$2&amp;$BI$1)</f>
        <v/>
      </c>
      <c r="BF50" s="208">
        <f>SUMIFS(領用表!$L:$L,領用表!$E:$E,$B50,領用表!$B:$B,BF$2&amp;$BI$1)</f>
        <v/>
      </c>
      <c r="BG50" s="207">
        <f>SUM(AU50,AV50,AW50,AX50,AY50,AZ50,BA50,BB50,BC50,BD50,BE50,BF50)</f>
        <v/>
      </c>
      <c r="BH50" s="207">
        <f>AVERAGE(AU50,AV50,AW50,AX50,AY50,AZ50,BA50,BB50,BC50,BD50,BE50,BF50)</f>
        <v/>
      </c>
      <c r="BI50" s="208">
        <f>SUMIFS(領用表!$L:$L,領用表!$E:$E,$B50,領用表!$B:$B,BI$2&amp;$BI$1)</f>
        <v/>
      </c>
      <c r="BJ50" s="208">
        <f>SUMIFS(領用表!$L:$L,領用表!$E:$E,$B50,領用表!$B:$B,BJ$2&amp;$BI$1)</f>
        <v/>
      </c>
      <c r="BK50" s="208">
        <f>SUMIFS(領用表!$L:$L,領用表!$E:$E,$B50,領用表!$B:$B,BK$2&amp;$BI$1)</f>
        <v/>
      </c>
      <c r="BL50" s="208">
        <f>SUMIFS(領用表!$L:$L,領用表!$E:$E,$B50,領用表!$B:$B,BL$2&amp;$BI$1)</f>
        <v/>
      </c>
      <c r="BM50" s="208">
        <f>SUMIFS(領用表!$L:$L,領用表!$E:$E,$B50,領用表!$B:$B,BM$2&amp;$BI$1)</f>
        <v/>
      </c>
      <c r="BN50" s="208" t="n">
        <v>9600</v>
      </c>
      <c r="BO50" s="208">
        <f>SUMIFS(領用表!$L:$L,領用表!$E:$E,$B50,領用表!$B:$B,BO$2&amp;$BI$1)</f>
        <v/>
      </c>
      <c r="BP50" s="208">
        <f>SUMIFS(領用表!$L:$L,領用表!$E:$E,$B50,領用表!$B:$B,BP$2&amp;$BI$1)</f>
        <v/>
      </c>
      <c r="BQ50" s="208">
        <f>SUMIFS(領用表!$L:$L,領用表!$E:$E,$B50,領用表!$B:$B,BQ$2&amp;$BI$1)</f>
        <v/>
      </c>
      <c r="BR50" s="208">
        <f>SUMIFS(領用表!$L:$L,領用表!$E:$E,$B50,領用表!$B:$B,BR$2&amp;$BI$1)</f>
        <v/>
      </c>
      <c r="BS50" s="208">
        <f>SUMIFS(領用表!$L:$L,領用表!$E:$E,$B50,領用表!$B:$B,BS$2&amp;$BI$1)</f>
        <v/>
      </c>
      <c r="BT50" s="208">
        <f>SUMIFS(領用表!$L:$L,領用表!$E:$E,$B50,領用表!$B:$B,BT$2&amp;$BI$1)</f>
        <v/>
      </c>
      <c r="BU50" s="208">
        <f>SUM(BI50,BJ50,BK50,BL50,BM50,BN50)</f>
        <v/>
      </c>
      <c r="BV50" s="208">
        <f>AVERAGE(BI50,BJ50,BK50,BL50,BM50,BN50)</f>
        <v/>
      </c>
      <c r="BW50" s="208">
        <f>SUMIF(Summary!B:B,B50,Summary!DZ:DZ)</f>
        <v/>
      </c>
      <c r="BX50" s="364" t="n">
        <v>2500</v>
      </c>
      <c r="BY50" s="356" t="n">
        <v>0</v>
      </c>
      <c r="BZ50" s="356" t="n"/>
      <c r="CA50" s="356" t="n"/>
      <c r="CB50" s="536" t="inlineStr">
        <is>
          <t>5/2 EVA不再進貨V探頭</t>
        </is>
      </c>
      <c r="CC50" s="365" t="n"/>
      <c r="CE50" s="213" t="n"/>
    </row>
    <row r="51" ht="15.75" customFormat="1" customHeight="1" s="118">
      <c r="A51" s="136" t="inlineStr">
        <is>
          <t>MM2MB040003A</t>
        </is>
      </c>
      <c r="B51" s="118" t="n">
        <v>6170005</v>
      </c>
      <c r="C51" s="118" t="inlineStr">
        <is>
          <t>海芙三代音波探頭2mm(1條)</t>
        </is>
      </c>
      <c r="D51" s="207" t="n">
        <v>20099</v>
      </c>
      <c r="E51" s="198" t="inlineStr">
        <is>
          <t>SHOT</t>
        </is>
      </c>
      <c r="F51" s="349">
        <f>(D51*3)+(2628)+(5540)+(18076)</f>
        <v/>
      </c>
      <c r="G51" s="349" t="n"/>
      <c r="H51" s="200" t="n">
        <v>0</v>
      </c>
      <c r="I51" s="200" t="n">
        <v>0.02</v>
      </c>
      <c r="J51" s="200" t="n">
        <v>0.01</v>
      </c>
      <c r="K51" s="200" t="n">
        <v>0.04</v>
      </c>
      <c r="L51" s="200" t="n">
        <v>0.09</v>
      </c>
      <c r="M51" s="200" t="n">
        <v>0.03</v>
      </c>
      <c r="N51" s="200" t="n">
        <v>0</v>
      </c>
      <c r="O51" s="200" t="n">
        <v>0</v>
      </c>
      <c r="P51" s="200" t="n">
        <v>0.01</v>
      </c>
      <c r="Q51" s="200" t="n">
        <v>0.02</v>
      </c>
      <c r="R51" s="200" t="n">
        <v>0.02</v>
      </c>
      <c r="S51" s="200" t="n">
        <v>0.03</v>
      </c>
      <c r="T51" s="200" t="n">
        <v>0.06</v>
      </c>
      <c r="U51" s="200" t="n">
        <v>0.05</v>
      </c>
      <c r="V51" s="200" t="n">
        <v>0.01</v>
      </c>
      <c r="W51" s="200" t="n">
        <v>0.02</v>
      </c>
      <c r="X51" s="200" t="n">
        <v>0</v>
      </c>
      <c r="Y51" s="200" t="n">
        <v>0.01</v>
      </c>
      <c r="Z51" s="200" t="n">
        <v>0.01</v>
      </c>
      <c r="AA51" s="200" t="n">
        <v>0.01</v>
      </c>
      <c r="AB51" s="200" t="n">
        <v>0.01</v>
      </c>
      <c r="AC51" s="200" t="n">
        <v>0.04</v>
      </c>
      <c r="AD51" s="200" t="n">
        <v>0.04</v>
      </c>
      <c r="AE51" s="200" t="n">
        <v>0.06</v>
      </c>
      <c r="AF51" s="200" t="n">
        <v>0.17</v>
      </c>
      <c r="AG51" s="221" t="n">
        <v>0.1681</v>
      </c>
      <c r="AH51" s="221" t="n">
        <v>0.2626</v>
      </c>
      <c r="AI51" s="221" t="n">
        <v>0.1749</v>
      </c>
      <c r="AJ51" s="221" t="n">
        <v>0.16875</v>
      </c>
      <c r="AK51" s="221" t="n">
        <v>0.35815</v>
      </c>
      <c r="AL51" s="221" t="n">
        <v>0.332</v>
      </c>
      <c r="AM51" s="221" t="n">
        <v>0.43055</v>
      </c>
      <c r="AN51" s="221" t="n">
        <v>0.6341</v>
      </c>
      <c r="AO51" s="221" t="n">
        <v>0.9024</v>
      </c>
      <c r="AP51" s="201" t="n">
        <v>1</v>
      </c>
      <c r="AQ51" s="512" t="n">
        <v>3.314294243</v>
      </c>
      <c r="AR51" s="527">
        <f>1124/D51</f>
        <v/>
      </c>
      <c r="AS51" s="204">
        <f>SUM(AG51:AR51)</f>
        <v/>
      </c>
      <c r="AT51" s="513">
        <f>AS51/12</f>
        <v/>
      </c>
      <c r="AU51" s="203" t="n">
        <v>44000</v>
      </c>
      <c r="AV51" s="203" t="n">
        <v>49059</v>
      </c>
      <c r="AW51" s="203" t="n">
        <v>33632</v>
      </c>
      <c r="AX51" s="203" t="n">
        <v>19872</v>
      </c>
      <c r="AY51" s="203" t="n">
        <v>17874</v>
      </c>
      <c r="AZ51" s="203">
        <f>SUMIFS(領用表!$L:$L,領用表!$E:$E,$B51,領用表!$B:$B,AZ$2&amp;$BI$1)</f>
        <v/>
      </c>
      <c r="BA51" s="203">
        <f>SUMIFS(領用表!$L:$L,領用表!$E:$E,$B51,領用表!$B:$B,BA$2&amp;$BI$1)</f>
        <v/>
      </c>
      <c r="BB51" s="203">
        <f>SUMIFS(領用表!$L:$L,領用表!$E:$E,$B51,領用表!$B:$B,BB$2&amp;$BI$1)</f>
        <v/>
      </c>
      <c r="BC51" s="203">
        <f>SUMIFS(領用表!$L:$L,領用表!$E:$E,$B51,領用表!$B:$B,BC$2&amp;$BI$1)</f>
        <v/>
      </c>
      <c r="BD51" s="208">
        <f>SUMIFS(領用表!$L:$L,領用表!$E:$E,$B51,領用表!$B:$B,BD$2&amp;$BI$1)</f>
        <v/>
      </c>
      <c r="BE51" s="208">
        <f>SUMIFS(領用表!$L:$L,領用表!$E:$E,$B51,領用表!$B:$B,BE$2&amp;$BI$1)</f>
        <v/>
      </c>
      <c r="BF51" s="208">
        <f>SUMIFS(領用表!$L:$L,領用表!$E:$E,$B51,領用表!$B:$B,BF$2&amp;$BI$1)</f>
        <v/>
      </c>
      <c r="BG51" s="207">
        <f>SUM(AU51,AV51,AW51,AX51,AY51,AZ51,BA51,BB51,BC51,BD51,BE51,BF51)</f>
        <v/>
      </c>
      <c r="BH51" s="207">
        <f>AVERAGE(AU51,AV51,AW51,AX51,AY51,AZ51,BA51,BB51,BC51,BD51,BE51,BF51)</f>
        <v/>
      </c>
      <c r="BI51" s="208">
        <f>SUMIFS(領用表!$L:$L,領用表!$E:$E,$B51,領用表!$B:$B,BI$2&amp;$BI$1)</f>
        <v/>
      </c>
      <c r="BJ51" s="208">
        <f>SUMIFS(領用表!$L:$L,領用表!$E:$E,$B51,領用表!$B:$B,BJ$2&amp;$BI$1)</f>
        <v/>
      </c>
      <c r="BK51" s="208">
        <f>SUMIFS(領用表!$L:$L,領用表!$E:$E,$B51,領用表!$B:$B,BK$2&amp;$BI$1)</f>
        <v/>
      </c>
      <c r="BL51" s="208">
        <f>SUMIFS(領用表!$L:$L,領用表!$E:$E,$B51,領用表!$B:$B,BL$2&amp;$BI$1)</f>
        <v/>
      </c>
      <c r="BM51" s="208">
        <f>SUMIFS(領用表!$L:$L,領用表!$E:$E,$B51,領用表!$B:$B,BM$2&amp;$BI$1)</f>
        <v/>
      </c>
      <c r="BN51" s="208" t="n">
        <v>2754</v>
      </c>
      <c r="BO51" s="208">
        <f>SUMIFS(領用表!$L:$L,領用表!$E:$E,$B51,領用表!$B:$B,BO$2&amp;$BI$1)</f>
        <v/>
      </c>
      <c r="BP51" s="208">
        <f>SUMIFS(領用表!$L:$L,領用表!$E:$E,$B51,領用表!$B:$B,BP$2&amp;$BI$1)</f>
        <v/>
      </c>
      <c r="BQ51" s="208">
        <f>SUMIFS(領用表!$L:$L,領用表!$E:$E,$B51,領用表!$B:$B,BQ$2&amp;$BI$1)</f>
        <v/>
      </c>
      <c r="BR51" s="208">
        <f>SUMIFS(領用表!$L:$L,領用表!$E:$E,$B51,領用表!$B:$B,BR$2&amp;$BI$1)</f>
        <v/>
      </c>
      <c r="BS51" s="208">
        <f>SUMIFS(領用表!$L:$L,領用表!$E:$E,$B51,領用表!$B:$B,BS$2&amp;$BI$1)</f>
        <v/>
      </c>
      <c r="BT51" s="208">
        <f>SUMIFS(領用表!$L:$L,領用表!$E:$E,$B51,領用表!$B:$B,BT$2&amp;$BI$1)</f>
        <v/>
      </c>
      <c r="BU51" s="208">
        <f>SUM(BI51,BJ51,BK51,BL51,BM51,BN51)</f>
        <v/>
      </c>
      <c r="BV51" s="208">
        <f>AVERAGE(BI51,BJ51,BK51,BL51,BM51,BN51)</f>
        <v/>
      </c>
      <c r="BW51" s="208">
        <f>SUMIF(Summary!B:B,B51,Summary!DZ:DZ)</f>
        <v/>
      </c>
      <c r="BX51" s="215" t="n">
        <v>28000</v>
      </c>
      <c r="BY51" s="210" t="inlineStr">
        <is>
          <t>3,226,071條</t>
        </is>
      </c>
      <c r="BZ51" s="210" t="n"/>
      <c r="CA51" s="261" t="n"/>
      <c r="CB51" s="526" t="n">
        <v>20000</v>
      </c>
      <c r="CC51" s="212" t="n"/>
      <c r="CE51" s="213" t="n"/>
    </row>
    <row r="52" ht="15.75" customFormat="1" customHeight="1" s="118">
      <c r="A52" s="136" t="inlineStr">
        <is>
          <t>MM2MB040004A</t>
        </is>
      </c>
      <c r="B52" s="118" t="n">
        <v>6170007</v>
      </c>
      <c r="C52" s="118" t="inlineStr">
        <is>
          <t>海芙三代音波探頭3mm(1條)</t>
        </is>
      </c>
      <c r="D52" s="207" t="n">
        <v>20099</v>
      </c>
      <c r="E52" s="198" t="inlineStr">
        <is>
          <t>SHOT</t>
        </is>
      </c>
      <c r="F52" s="349">
        <f>(D52*1)+(17104)+(3565)+(15476)</f>
        <v/>
      </c>
      <c r="G52" s="349" t="n"/>
      <c r="H52" s="200" t="n">
        <v>0</v>
      </c>
      <c r="I52" s="200" t="n">
        <v>0.02</v>
      </c>
      <c r="J52" s="200" t="n">
        <v>0.02</v>
      </c>
      <c r="K52" s="200" t="n">
        <v>0.13</v>
      </c>
      <c r="L52" s="200" t="n">
        <v>0.08</v>
      </c>
      <c r="M52" s="200" t="n">
        <v>0.06</v>
      </c>
      <c r="N52" s="200" t="n">
        <v>0.02</v>
      </c>
      <c r="O52" s="200" t="n">
        <v>0.01</v>
      </c>
      <c r="P52" s="200" t="n">
        <v>0.04</v>
      </c>
      <c r="Q52" s="200" t="n">
        <v>0.02</v>
      </c>
      <c r="R52" s="200" t="n">
        <v>0.04</v>
      </c>
      <c r="S52" s="200" t="n">
        <v>0.18</v>
      </c>
      <c r="T52" s="200" t="n">
        <v>0.18</v>
      </c>
      <c r="U52" s="200" t="n">
        <v>0.08</v>
      </c>
      <c r="V52" s="200" t="n">
        <v>0.11</v>
      </c>
      <c r="W52" s="200" t="n">
        <v>0.12</v>
      </c>
      <c r="X52" s="200" t="n">
        <v>0.04</v>
      </c>
      <c r="Y52" s="200" t="n">
        <v>0.04</v>
      </c>
      <c r="Z52" s="200" t="n">
        <v>0</v>
      </c>
      <c r="AA52" s="200" t="n">
        <v>0.05</v>
      </c>
      <c r="AB52" s="200" t="n">
        <v>0.24</v>
      </c>
      <c r="AC52" s="200" t="n">
        <v>0.18</v>
      </c>
      <c r="AD52" s="200" t="n">
        <v>0.18</v>
      </c>
      <c r="AE52" s="200" t="n">
        <v>0.2</v>
      </c>
      <c r="AF52" s="200" t="n">
        <v>0.47</v>
      </c>
      <c r="AG52" s="221" t="n">
        <v>0.5247000000000001</v>
      </c>
      <c r="AH52" s="221" t="n">
        <v>0.6375999999999999</v>
      </c>
      <c r="AI52" s="221" t="n">
        <v>0.45415</v>
      </c>
      <c r="AJ52" s="221" t="n">
        <v>0.60725</v>
      </c>
      <c r="AK52" s="221" t="n">
        <v>0.96135</v>
      </c>
      <c r="AL52" s="221" t="n">
        <v>1.04125</v>
      </c>
      <c r="AM52" s="221" t="n">
        <v>1.1995</v>
      </c>
      <c r="AN52" s="221" t="n">
        <v>1.4194</v>
      </c>
      <c r="AO52" s="221" t="n">
        <v>1.99865</v>
      </c>
      <c r="AP52" s="201" t="n">
        <v>0</v>
      </c>
      <c r="AQ52" s="512" t="n">
        <v>3.644907707</v>
      </c>
      <c r="AR52" s="203">
        <f>35435.97/D52</f>
        <v/>
      </c>
      <c r="AS52" s="204">
        <f>SUM(AG52:AR52)</f>
        <v/>
      </c>
      <c r="AT52" s="513">
        <f>AS52/12</f>
        <v/>
      </c>
      <c r="AU52" s="203" t="n">
        <v>80000</v>
      </c>
      <c r="AV52" s="203" t="n">
        <v>103553</v>
      </c>
      <c r="AW52" s="203" t="n">
        <v>64539</v>
      </c>
      <c r="AX52" s="203" t="n">
        <v>44692</v>
      </c>
      <c r="AY52" s="203" t="n">
        <v>39890</v>
      </c>
      <c r="AZ52" s="203">
        <f>SUMIFS(領用表!$L:$L,領用表!$E:$E,$B52,領用表!$B:$B,AZ$2&amp;$BI$1)</f>
        <v/>
      </c>
      <c r="BA52" s="203">
        <f>SUMIFS(領用表!$L:$L,領用表!$E:$E,$B52,領用表!$B:$B,BA$2&amp;$BI$1)</f>
        <v/>
      </c>
      <c r="BB52" s="203">
        <f>SUMIFS(領用表!$L:$L,領用表!$E:$E,$B52,領用表!$B:$B,BB$2&amp;$BI$1)</f>
        <v/>
      </c>
      <c r="BC52" s="203">
        <f>SUMIFS(領用表!$L:$L,領用表!$E:$E,$B52,領用表!$B:$B,BC$2&amp;$BI$1)</f>
        <v/>
      </c>
      <c r="BD52" s="208">
        <f>SUMIFS(領用表!$L:$L,領用表!$E:$E,$B52,領用表!$B:$B,BD$2&amp;$BI$1)</f>
        <v/>
      </c>
      <c r="BE52" s="208">
        <f>SUMIFS(領用表!$L:$L,領用表!$E:$E,$B52,領用表!$B:$B,BE$2&amp;$BI$1)</f>
        <v/>
      </c>
      <c r="BF52" s="208">
        <f>SUMIFS(領用表!$L:$L,領用表!$E:$E,$B52,領用表!$B:$B,BF$2&amp;$BI$1)</f>
        <v/>
      </c>
      <c r="BG52" s="207">
        <f>SUM(AU52,AV52,AW52,AX52,AY52,AZ52,BA52,BB52,BC52,BD52,BE52,BF52)</f>
        <v/>
      </c>
      <c r="BH52" s="207">
        <f>AVERAGE(AU52,AV52,AW52,AX52,AY52,AZ52,BA52,BB52,BC52,BD52,BE52,BF52)</f>
        <v/>
      </c>
      <c r="BI52" s="208">
        <f>SUMIFS(領用表!$L:$L,領用表!$E:$E,$B52,領用表!$B:$B,BI$2&amp;$BI$1)</f>
        <v/>
      </c>
      <c r="BJ52" s="208">
        <f>SUMIFS(領用表!$L:$L,領用表!$E:$E,$B52,領用表!$B:$B,BJ$2&amp;$BI$1)</f>
        <v/>
      </c>
      <c r="BK52" s="208">
        <f>SUMIFS(領用表!$L:$L,領用表!$E:$E,$B52,領用表!$B:$B,BK$2&amp;$BI$1)</f>
        <v/>
      </c>
      <c r="BL52" s="208">
        <f>SUMIFS(領用表!$L:$L,領用表!$E:$E,$B52,領用表!$B:$B,BL$2&amp;$BI$1)</f>
        <v/>
      </c>
      <c r="BM52" s="208">
        <f>SUMIFS(領用表!$L:$L,領用表!$E:$E,$B52,領用表!$B:$B,BM$2&amp;$BI$1)</f>
        <v/>
      </c>
      <c r="BN52" s="208" t="n">
        <v>6219</v>
      </c>
      <c r="BO52" s="208">
        <f>SUMIFS(領用表!$L:$L,領用表!$E:$E,$B52,領用表!$B:$B,BO$2&amp;$BI$1)</f>
        <v/>
      </c>
      <c r="BP52" s="208">
        <f>SUMIFS(領用表!$L:$L,領用表!$E:$E,$B52,領用表!$B:$B,BP$2&amp;$BI$1)</f>
        <v/>
      </c>
      <c r="BQ52" s="208">
        <f>SUMIFS(領用表!$L:$L,領用表!$E:$E,$B52,領用表!$B:$B,BQ$2&amp;$BI$1)</f>
        <v/>
      </c>
      <c r="BR52" s="208">
        <f>SUMIFS(領用表!$L:$L,領用表!$E:$E,$B52,領用表!$B:$B,BR$2&amp;$BI$1)</f>
        <v/>
      </c>
      <c r="BS52" s="208">
        <f>SUMIFS(領用表!$L:$L,領用表!$E:$E,$B52,領用表!$B:$B,BS$2&amp;$BI$1)</f>
        <v/>
      </c>
      <c r="BT52" s="208">
        <f>SUMIFS(領用表!$L:$L,領用表!$E:$E,$B52,領用表!$B:$B,BT$2&amp;$BI$1)</f>
        <v/>
      </c>
      <c r="BU52" s="208">
        <f>SUM(BI52,BJ52,BK52,BL52,BM52,BN52)</f>
        <v/>
      </c>
      <c r="BV52" s="208">
        <f>AVERAGE(BI52,BJ52,BK52,BL52,BM52,BN52)</f>
        <v/>
      </c>
      <c r="BW52" s="208">
        <f>SUMIF(Summary!B:B,B52,Summary!DZ:DZ)</f>
        <v/>
      </c>
      <c r="BX52" s="215" t="n">
        <v>55000</v>
      </c>
      <c r="BY52" s="514" t="n"/>
      <c r="BZ52" s="210" t="n"/>
      <c r="CA52" s="261" t="n"/>
      <c r="CB52" s="526" t="n">
        <v>20000</v>
      </c>
      <c r="CC52" s="212" t="n"/>
      <c r="CE52" s="213" t="n"/>
    </row>
    <row r="53" ht="15.75" customFormat="1" customHeight="1" s="118">
      <c r="A53" s="136" t="inlineStr">
        <is>
          <t>MM2MB040005A</t>
        </is>
      </c>
      <c r="B53" s="118" t="n">
        <v>6170009</v>
      </c>
      <c r="C53" s="118" t="inlineStr">
        <is>
          <t>海芙三代音波探頭4.5mm(1條)</t>
        </is>
      </c>
      <c r="D53" s="207" t="n">
        <v>20099</v>
      </c>
      <c r="E53" s="198" t="inlineStr">
        <is>
          <t>SHOT</t>
        </is>
      </c>
      <c r="F53" s="349">
        <f>(D53*0)+(17621)+(16881)+(3674)</f>
        <v/>
      </c>
      <c r="G53" s="349" t="n"/>
      <c r="H53" s="200" t="n">
        <v>0</v>
      </c>
      <c r="I53" s="200" t="n">
        <v>0.05</v>
      </c>
      <c r="J53" s="200" t="n">
        <v>0.05</v>
      </c>
      <c r="K53" s="200" t="n">
        <v>0.28</v>
      </c>
      <c r="L53" s="200" t="n">
        <v>0.15</v>
      </c>
      <c r="M53" s="200" t="n">
        <v>0.1</v>
      </c>
      <c r="N53" s="200" t="n">
        <v>0.02</v>
      </c>
      <c r="O53" s="200" t="n">
        <v>0.07000000000000001</v>
      </c>
      <c r="P53" s="200" t="n">
        <v>0.07000000000000001</v>
      </c>
      <c r="Q53" s="200" t="n">
        <v>0.03</v>
      </c>
      <c r="R53" s="200" t="n">
        <v>0.08</v>
      </c>
      <c r="S53" s="200" t="n">
        <v>0.28</v>
      </c>
      <c r="T53" s="200" t="n">
        <v>0.34</v>
      </c>
      <c r="U53" s="200" t="n">
        <v>0.43</v>
      </c>
      <c r="V53" s="200" t="n">
        <v>0.22</v>
      </c>
      <c r="W53" s="200" t="n">
        <v>0.27</v>
      </c>
      <c r="X53" s="200" t="n">
        <v>0.19</v>
      </c>
      <c r="Y53" s="200" t="n">
        <v>0.17</v>
      </c>
      <c r="Z53" s="200" t="n">
        <v>0.08</v>
      </c>
      <c r="AA53" s="200" t="n">
        <v>0.17</v>
      </c>
      <c r="AB53" s="200" t="n">
        <v>0.49</v>
      </c>
      <c r="AC53" s="200" t="n">
        <v>0.33</v>
      </c>
      <c r="AD53" s="200" t="n">
        <v>0.36</v>
      </c>
      <c r="AE53" s="200" t="n">
        <v>0.55</v>
      </c>
      <c r="AF53" s="200" t="n">
        <v>1.18</v>
      </c>
      <c r="AG53" s="221" t="n">
        <v>1.18975</v>
      </c>
      <c r="AH53" s="221" t="n">
        <v>1.70775</v>
      </c>
      <c r="AI53" s="221" t="n">
        <v>1.1122</v>
      </c>
      <c r="AJ53" s="221" t="n">
        <v>1.51605</v>
      </c>
      <c r="AK53" s="221" t="n">
        <v>1.7877</v>
      </c>
      <c r="AL53" s="221" t="n">
        <v>1.9861</v>
      </c>
      <c r="AM53" s="221" t="n">
        <v>1.8073</v>
      </c>
      <c r="AN53" s="221" t="n">
        <v>2.97675</v>
      </c>
      <c r="AO53" s="221" t="n">
        <v>3.9359</v>
      </c>
      <c r="AP53" s="201" t="n">
        <v>2</v>
      </c>
      <c r="AQ53" s="512" t="n">
        <v>4.666898851</v>
      </c>
      <c r="AR53" s="203">
        <f>111583.65/D53</f>
        <v/>
      </c>
      <c r="AS53" s="204">
        <f>SUM(AG53:AR53)</f>
        <v/>
      </c>
      <c r="AT53" s="513">
        <f>AS53/12</f>
        <v/>
      </c>
      <c r="AU53" s="203" t="n">
        <v>136000</v>
      </c>
      <c r="AV53" s="203" t="n">
        <v>191154</v>
      </c>
      <c r="AW53" s="203" t="n">
        <v>112945</v>
      </c>
      <c r="AX53" s="203" t="n">
        <v>91969</v>
      </c>
      <c r="AY53" s="203" t="n">
        <v>71243</v>
      </c>
      <c r="AZ53" s="203">
        <f>SUMIFS(領用表!$L:$L,領用表!$E:$E,$B53,領用表!$B:$B,AZ$2&amp;$BI$1)</f>
        <v/>
      </c>
      <c r="BA53" s="203">
        <f>SUMIFS(領用表!$L:$L,領用表!$E:$E,$B53,領用表!$B:$B,BA$2&amp;$BI$1)</f>
        <v/>
      </c>
      <c r="BB53" s="203">
        <f>SUMIFS(領用表!$L:$L,領用表!$E:$E,$B53,領用表!$B:$B,BB$2&amp;$BI$1)</f>
        <v/>
      </c>
      <c r="BC53" s="203">
        <f>SUMIFS(領用表!$L:$L,領用表!$E:$E,$B53,領用表!$B:$B,BC$2&amp;$BI$1)</f>
        <v/>
      </c>
      <c r="BD53" s="208">
        <f>SUMIFS(領用表!$L:$L,領用表!$E:$E,$B53,領用表!$B:$B,BD$2&amp;$BI$1)</f>
        <v/>
      </c>
      <c r="BE53" s="208">
        <f>SUMIFS(領用表!$L:$L,領用表!$E:$E,$B53,領用表!$B:$B,BE$2&amp;$BI$1)</f>
        <v/>
      </c>
      <c r="BF53" s="208">
        <f>SUMIFS(領用表!$L:$L,領用表!$E:$E,$B53,領用表!$B:$B,BF$2&amp;$BI$1)</f>
        <v/>
      </c>
      <c r="BG53" s="207">
        <f>SUM(AU53,AV53,AW53,AX53,AY53,AZ53,BA53,BB53,BC53,BD53,BE53,BF53)</f>
        <v/>
      </c>
      <c r="BH53" s="207">
        <f>AVERAGE(AU53,AV53,AW53,AX53,AY53,AZ53,BA53,BB53,BC53,BD53,BE53,BF53)</f>
        <v/>
      </c>
      <c r="BI53" s="208">
        <f>SUMIFS(領用表!$L:$L,領用表!$E:$E,$B53,領用表!$B:$B,BI$2&amp;$BI$1)</f>
        <v/>
      </c>
      <c r="BJ53" s="208">
        <f>SUMIFS(領用表!$L:$L,領用表!$E:$E,$B53,領用表!$B:$B,BJ$2&amp;$BI$1)</f>
        <v/>
      </c>
      <c r="BK53" s="208">
        <f>SUMIFS(領用表!$L:$L,領用表!$E:$E,$B53,領用表!$B:$B,BK$2&amp;$BI$1)</f>
        <v/>
      </c>
      <c r="BL53" s="208">
        <f>SUMIFS(領用表!$L:$L,領用表!$E:$E,$B53,領用表!$B:$B,BL$2&amp;$BI$1)</f>
        <v/>
      </c>
      <c r="BM53" s="208">
        <f>SUMIFS(領用表!$L:$L,領用表!$E:$E,$B53,領用表!$B:$B,BM$2&amp;$BI$1)</f>
        <v/>
      </c>
      <c r="BN53" s="208" t="n">
        <v>10711</v>
      </c>
      <c r="BO53" s="208">
        <f>SUMIFS(領用表!$L:$L,領用表!$E:$E,$B53,領用表!$B:$B,BO$2&amp;$BI$1)</f>
        <v/>
      </c>
      <c r="BP53" s="208">
        <f>SUMIFS(領用表!$L:$L,領用表!$E:$E,$B53,領用表!$B:$B,BP$2&amp;$BI$1)</f>
        <v/>
      </c>
      <c r="BQ53" s="208">
        <f>SUMIFS(領用表!$L:$L,領用表!$E:$E,$B53,領用表!$B:$B,BQ$2&amp;$BI$1)</f>
        <v/>
      </c>
      <c r="BR53" s="208">
        <f>SUMIFS(領用表!$L:$L,領用表!$E:$E,$B53,領用表!$B:$B,BR$2&amp;$BI$1)</f>
        <v/>
      </c>
      <c r="BS53" s="208">
        <f>SUMIFS(領用表!$L:$L,領用表!$E:$E,$B53,領用表!$B:$B,BS$2&amp;$BI$1)</f>
        <v/>
      </c>
      <c r="BT53" s="208">
        <f>SUMIFS(領用表!$L:$L,領用表!$E:$E,$B53,領用表!$B:$B,BT$2&amp;$BI$1)</f>
        <v/>
      </c>
      <c r="BU53" s="208">
        <f>SUM(BI53,BJ53,BK53,BL53,BM53,BN53)</f>
        <v/>
      </c>
      <c r="BV53" s="208">
        <f>AVERAGE(BI53,BJ53,BK53,BL53,BM53,BN53)</f>
        <v/>
      </c>
      <c r="BW53" s="208">
        <f>SUMIF(Summary!B:B,B53,Summary!DZ:DZ)</f>
        <v/>
      </c>
      <c r="BX53" s="215" t="n">
        <v>95000</v>
      </c>
      <c r="BY53" s="514" t="n"/>
      <c r="BZ53" s="210" t="n"/>
      <c r="CA53" s="262" t="inlineStr">
        <is>
          <t>3顆(10/23)</t>
        </is>
      </c>
      <c r="CB53" s="526" t="n">
        <v>20000</v>
      </c>
      <c r="CC53" s="212" t="n"/>
      <c r="CE53" s="213" t="n"/>
    </row>
    <row r="54" ht="15" customFormat="1" customHeight="1" s="118">
      <c r="A54" s="136" t="inlineStr">
        <is>
          <t>MM2MB040006A</t>
        </is>
      </c>
      <c r="B54" s="118" t="n">
        <v>6170011</v>
      </c>
      <c r="C54" s="118" t="inlineStr">
        <is>
          <t>海芙三代音波探頭6mm(1條)</t>
        </is>
      </c>
      <c r="D54" s="207" t="n">
        <v>30099</v>
      </c>
      <c r="E54" s="198" t="inlineStr">
        <is>
          <t>SHOT</t>
        </is>
      </c>
      <c r="F54" s="349">
        <f>(D54*7)+(13071)+(7384)+(19384)</f>
        <v/>
      </c>
      <c r="G54" s="349" t="n"/>
      <c r="H54" s="200" t="n">
        <v>0</v>
      </c>
      <c r="I54" s="200" t="n">
        <v>0.02</v>
      </c>
      <c r="J54" s="200" t="n">
        <v>0.03</v>
      </c>
      <c r="K54" s="200" t="n">
        <v>0.02</v>
      </c>
      <c r="L54" s="200" t="n">
        <v>0.04</v>
      </c>
      <c r="M54" s="200" t="n">
        <v>0.03</v>
      </c>
      <c r="N54" s="200" t="n">
        <v>0.01</v>
      </c>
      <c r="O54" s="200" t="n">
        <v>0.01</v>
      </c>
      <c r="P54" s="200" t="n">
        <v>0.01</v>
      </c>
      <c r="Q54" s="200" t="n">
        <v>0</v>
      </c>
      <c r="R54" s="200" t="n">
        <v>0.03</v>
      </c>
      <c r="S54" s="200" t="n">
        <v>0</v>
      </c>
      <c r="T54" s="200" t="n">
        <v>0.04</v>
      </c>
      <c r="U54" s="200" t="n">
        <v>0.07000000000000001</v>
      </c>
      <c r="V54" s="200" t="n">
        <v>0.01</v>
      </c>
      <c r="W54" s="200" t="n">
        <v>0.01</v>
      </c>
      <c r="X54" s="200" t="n">
        <v>0.01</v>
      </c>
      <c r="Y54" s="200" t="n">
        <v>0</v>
      </c>
      <c r="Z54" s="200" t="n">
        <v>0</v>
      </c>
      <c r="AA54" s="200" t="n">
        <v>0.02</v>
      </c>
      <c r="AB54" s="200" t="n">
        <v>0.01</v>
      </c>
      <c r="AC54" s="200" t="n">
        <v>0.06</v>
      </c>
      <c r="AD54" s="200" t="n">
        <v>0.01</v>
      </c>
      <c r="AE54" s="200" t="n">
        <v>0.17</v>
      </c>
      <c r="AF54" s="200" t="n">
        <v>0.31</v>
      </c>
      <c r="AG54" s="221" t="n">
        <v>0.152</v>
      </c>
      <c r="AH54" s="221" t="n">
        <v>0.20137</v>
      </c>
      <c r="AI54" s="221" t="n">
        <v>0.26757</v>
      </c>
      <c r="AJ54" s="221" t="n">
        <v>0.2903</v>
      </c>
      <c r="AK54" s="221" t="n">
        <v>0.36523</v>
      </c>
      <c r="AL54" s="221" t="n">
        <v>0.41683</v>
      </c>
      <c r="AM54" s="221" t="n">
        <v>0.41357</v>
      </c>
      <c r="AN54" s="221" t="n">
        <v>0.52527</v>
      </c>
      <c r="AO54" s="221" t="n">
        <v>0.494066667</v>
      </c>
      <c r="AP54" s="201" t="n">
        <v>2</v>
      </c>
      <c r="AQ54" s="512" t="n">
        <v>1.989644788</v>
      </c>
      <c r="AR54" s="203">
        <f>27359.04/D54</f>
        <v/>
      </c>
      <c r="AS54" s="204">
        <f>SUM(AG54:AR54)</f>
        <v/>
      </c>
      <c r="AT54" s="513">
        <f>AS54/12</f>
        <v/>
      </c>
      <c r="AU54" s="203" t="n">
        <v>60000</v>
      </c>
      <c r="AV54" s="203" t="n">
        <v>49482</v>
      </c>
      <c r="AW54" s="203" t="n">
        <v>46552</v>
      </c>
      <c r="AX54" s="203" t="n">
        <v>41345</v>
      </c>
      <c r="AY54" s="203" t="n">
        <v>22589</v>
      </c>
      <c r="AZ54" s="203">
        <f>SUMIFS(領用表!$L:$L,領用表!$E:$E,$B54,領用表!$B:$B,AZ$2&amp;$BI$1)</f>
        <v/>
      </c>
      <c r="BA54" s="203">
        <f>SUMIFS(領用表!$L:$L,領用表!$E:$E,$B54,領用表!$B:$B,BA$2&amp;$BI$1)</f>
        <v/>
      </c>
      <c r="BB54" s="203">
        <f>SUMIFS(領用表!$L:$L,領用表!$E:$E,$B54,領用表!$B:$B,BB$2&amp;$BI$1)</f>
        <v/>
      </c>
      <c r="BC54" s="203">
        <f>SUMIFS(領用表!$L:$L,領用表!$E:$E,$B54,領用表!$B:$B,BC$2&amp;$BI$1)</f>
        <v/>
      </c>
      <c r="BD54" s="208">
        <f>SUMIFS(領用表!$L:$L,領用表!$E:$E,$B54,領用表!$B:$B,BD$2&amp;$BI$1)</f>
        <v/>
      </c>
      <c r="BE54" s="208">
        <f>SUMIFS(領用表!$L:$L,領用表!$E:$E,$B54,領用表!$B:$B,BE$2&amp;$BI$1)</f>
        <v/>
      </c>
      <c r="BF54" s="208">
        <f>SUMIFS(領用表!$L:$L,領用表!$E:$E,$B54,領用表!$B:$B,BF$2&amp;$BI$1)</f>
        <v/>
      </c>
      <c r="BG54" s="207">
        <f>SUM(AU54,AV54,AW54,AX54,AY54,AZ54,BA54,BB54,BC54,BD54,BE54,BF54)</f>
        <v/>
      </c>
      <c r="BH54" s="207">
        <f>AVERAGE(AU54,AV54,AW54,AX54,AY54,AZ54,BA54,BB54,BC54,BD54,BE54,BF54)</f>
        <v/>
      </c>
      <c r="BI54" s="208">
        <f>SUMIFS(領用表!$L:$L,領用表!$E:$E,$B54,領用表!$B:$B,BI$2&amp;$BI$1)</f>
        <v/>
      </c>
      <c r="BJ54" s="208">
        <f>SUMIFS(領用表!$L:$L,領用表!$E:$E,$B54,領用表!$B:$B,BJ$2&amp;$BI$1)</f>
        <v/>
      </c>
      <c r="BK54" s="208">
        <f>SUMIFS(領用表!$L:$L,領用表!$E:$E,$B54,領用表!$B:$B,BK$2&amp;$BI$1)</f>
        <v/>
      </c>
      <c r="BL54" s="208">
        <f>SUMIFS(領用表!$L:$L,領用表!$E:$E,$B54,領用表!$B:$B,BL$2&amp;$BI$1)</f>
        <v/>
      </c>
      <c r="BM54" s="208">
        <f>SUMIFS(領用表!$L:$L,領用表!$E:$E,$B54,領用表!$B:$B,BM$2&amp;$BI$1)</f>
        <v/>
      </c>
      <c r="BN54" s="208" t="n">
        <v>1819</v>
      </c>
      <c r="BO54" s="208">
        <f>SUMIFS(領用表!$L:$L,領用表!$E:$E,$B54,領用表!$B:$B,BO$2&amp;$BI$1)</f>
        <v/>
      </c>
      <c r="BP54" s="208">
        <f>SUMIFS(領用表!$L:$L,領用表!$E:$E,$B54,領用表!$B:$B,BP$2&amp;$BI$1)</f>
        <v/>
      </c>
      <c r="BQ54" s="208">
        <f>SUMIFS(領用表!$L:$L,領用表!$E:$E,$B54,領用表!$B:$B,BQ$2&amp;$BI$1)</f>
        <v/>
      </c>
      <c r="BR54" s="208">
        <f>SUMIFS(領用表!$L:$L,領用表!$E:$E,$B54,領用表!$B:$B,BR$2&amp;$BI$1)</f>
        <v/>
      </c>
      <c r="BS54" s="208">
        <f>SUMIFS(領用表!$L:$L,領用表!$E:$E,$B54,領用表!$B:$B,BS$2&amp;$BI$1)</f>
        <v/>
      </c>
      <c r="BT54" s="208">
        <f>SUMIFS(領用表!$L:$L,領用表!$E:$E,$B54,領用表!$B:$B,BT$2&amp;$BI$1)</f>
        <v/>
      </c>
      <c r="BU54" s="208">
        <f>SUM(BI54,BJ54,BK54,BL54,BM54,BN54)</f>
        <v/>
      </c>
      <c r="BV54" s="208">
        <f>AVERAGE(BI54,BJ54,BK54,BL54,BM54,BN54)</f>
        <v/>
      </c>
      <c r="BW54" s="208">
        <f>SUMIF(Summary!B:B,B54,Summary!DZ:DZ)</f>
        <v/>
      </c>
      <c r="BX54" s="215" t="n">
        <v>35000</v>
      </c>
      <c r="BY54" s="515" t="n"/>
      <c r="BZ54" s="210" t="n"/>
      <c r="CA54" s="262" t="inlineStr">
        <is>
          <t>1顆(10/23)</t>
        </is>
      </c>
      <c r="CB54" s="526" t="n">
        <v>30000</v>
      </c>
      <c r="CC54" s="212" t="n"/>
      <c r="CE54" s="213" t="n"/>
    </row>
    <row r="55" ht="15.75" customFormat="1" customHeight="1" s="118">
      <c r="A55" s="136" t="inlineStr">
        <is>
          <t>MM2MB040008A</t>
        </is>
      </c>
      <c r="B55" s="118" t="n">
        <v>6170019</v>
      </c>
      <c r="C55" s="133" t="inlineStr">
        <is>
          <t>媚必提直線探頭2.0mm(1條)</t>
        </is>
      </c>
      <c r="D55" s="207" t="n">
        <v>20099</v>
      </c>
      <c r="E55" s="198" t="inlineStr">
        <is>
          <t>SHOT</t>
        </is>
      </c>
      <c r="F55" s="349">
        <f>(D55*4)+(16544)+(17009)</f>
        <v/>
      </c>
      <c r="G55" s="349" t="n"/>
      <c r="H55" s="200" t="n"/>
      <c r="I55" s="200" t="n"/>
      <c r="J55" s="200" t="n"/>
      <c r="K55" s="200" t="n"/>
      <c r="L55" s="200" t="n"/>
      <c r="M55" s="200" t="n"/>
      <c r="N55" s="200" t="n"/>
      <c r="O55" s="200" t="n"/>
      <c r="P55" s="200" t="n"/>
      <c r="Q55" s="200" t="n"/>
      <c r="R55" s="200" t="n"/>
      <c r="S55" s="200" t="n"/>
      <c r="T55" s="200" t="n"/>
      <c r="U55" s="200" t="n"/>
      <c r="V55" s="200" t="n"/>
      <c r="W55" s="200" t="n"/>
      <c r="X55" s="200" t="n"/>
      <c r="Y55" s="200" t="n"/>
      <c r="Z55" s="200" t="n"/>
      <c r="AA55" s="200" t="n"/>
      <c r="AB55" s="200" t="n"/>
      <c r="AC55" s="200" t="n"/>
      <c r="AD55" s="200" t="n"/>
      <c r="AE55" s="200" t="n"/>
      <c r="AF55" s="200" t="n"/>
      <c r="AG55" s="221" t="n"/>
      <c r="AH55" s="221" t="n"/>
      <c r="AI55" s="221" t="n"/>
      <c r="AJ55" s="221" t="n"/>
      <c r="AK55" s="221" t="n"/>
      <c r="AL55" s="221" t="n"/>
      <c r="AM55" s="221" t="n"/>
      <c r="AN55" s="221" t="n"/>
      <c r="AO55" s="221" t="n"/>
      <c r="AP55" s="201" t="n"/>
      <c r="AQ55" s="512" t="n"/>
      <c r="AR55" s="203" t="inlineStr">
        <is>
          <t>-</t>
        </is>
      </c>
      <c r="AS55" s="204" t="inlineStr">
        <is>
          <t>-</t>
        </is>
      </c>
      <c r="AT55" s="513" t="inlineStr">
        <is>
          <t>-</t>
        </is>
      </c>
      <c r="AU55" s="513" t="inlineStr">
        <is>
          <t>-</t>
        </is>
      </c>
      <c r="AV55" s="513" t="inlineStr">
        <is>
          <t>-</t>
        </is>
      </c>
      <c r="AW55" s="513" t="inlineStr">
        <is>
          <t>-</t>
        </is>
      </c>
      <c r="AX55" s="203" t="n">
        <v>1420</v>
      </c>
      <c r="AY55" s="203" t="n">
        <v>5352</v>
      </c>
      <c r="AZ55" s="203">
        <f>SUMIFS(領用表!$L:$L,領用表!$E:$E,$B55,領用表!$B:$B,AZ$2&amp;$BI$1)</f>
        <v/>
      </c>
      <c r="BA55" s="203">
        <f>SUMIFS(領用表!$L:$L,領用表!$E:$E,$B55,領用表!$B:$B,BA$2&amp;$BI$1)</f>
        <v/>
      </c>
      <c r="BB55" s="203">
        <f>SUMIFS(領用表!$L:$L,領用表!$E:$E,$B55,領用表!$B:$B,BB$2&amp;$BI$1)</f>
        <v/>
      </c>
      <c r="BC55" s="203">
        <f>SUMIFS(領用表!$L:$L,領用表!$E:$E,$B55,領用表!$B:$B,BC$2&amp;$BI$1)</f>
        <v/>
      </c>
      <c r="BD55" s="208">
        <f>SUMIFS(領用表!$L:$L,領用表!$E:$E,$B55,領用表!$B:$B,BD$2&amp;$BI$1)</f>
        <v/>
      </c>
      <c r="BE55" s="208">
        <f>SUMIFS(領用表!$L:$L,領用表!$E:$E,$B55,領用表!$B:$B,BE$2&amp;$BI$1)</f>
        <v/>
      </c>
      <c r="BF55" s="208">
        <f>SUMIFS(領用表!$L:$L,領用表!$E:$E,$B55,領用表!$B:$B,BF$2&amp;$BI$1)</f>
        <v/>
      </c>
      <c r="BG55" s="207">
        <f>SUM(AU55,AV55,AW55,AX55,AY55,AZ55,BA55,BB55,BC55,BD55,BE55,BF55)</f>
        <v/>
      </c>
      <c r="BH55" s="207">
        <f>AVERAGE(AU55,AV55,AW55,AX55,AY55,AZ55,BA55,BB55,BC55,BD55,BE55,BF55)</f>
        <v/>
      </c>
      <c r="BI55" s="208">
        <f>SUMIFS(領用表!$L:$L,領用表!$E:$E,$B55,領用表!$B:$B,BI$2&amp;$BI$1)</f>
        <v/>
      </c>
      <c r="BJ55" s="208">
        <f>SUMIFS(領用表!$L:$L,領用表!$E:$E,$B55,領用表!$B:$B,BJ$2&amp;$BI$1)</f>
        <v/>
      </c>
      <c r="BK55" s="208">
        <f>SUMIFS(領用表!$L:$L,領用表!$E:$E,$B55,領用表!$B:$B,BK$2&amp;$BI$1)</f>
        <v/>
      </c>
      <c r="BL55" s="208">
        <f>SUMIFS(領用表!$L:$L,領用表!$E:$E,$B55,領用表!$B:$B,BL$2&amp;$BI$1)</f>
        <v/>
      </c>
      <c r="BM55" s="208">
        <f>SUMIFS(領用表!$L:$L,領用表!$E:$E,$B55,領用表!$B:$B,BM$2&amp;$BI$1)</f>
        <v/>
      </c>
      <c r="BN55" s="208" t="n">
        <v>1578</v>
      </c>
      <c r="BO55" s="208">
        <f>SUMIFS(領用表!$L:$L,領用表!$E:$E,$B55,領用表!$B:$B,BO$2&amp;$BI$1)</f>
        <v/>
      </c>
      <c r="BP55" s="208">
        <f>SUMIFS(領用表!$L:$L,領用表!$E:$E,$B55,領用表!$B:$B,BP$2&amp;$BI$1)</f>
        <v/>
      </c>
      <c r="BQ55" s="208">
        <f>SUMIFS(領用表!$L:$L,領用表!$E:$E,$B55,領用表!$B:$B,BQ$2&amp;$BI$1)</f>
        <v/>
      </c>
      <c r="BR55" s="208">
        <f>SUMIFS(領用表!$L:$L,領用表!$E:$E,$B55,領用表!$B:$B,BR$2&amp;$BI$1)</f>
        <v/>
      </c>
      <c r="BS55" s="208">
        <f>SUMIFS(領用表!$L:$L,領用表!$E:$E,$B55,領用表!$B:$B,BS$2&amp;$BI$1)</f>
        <v/>
      </c>
      <c r="BT55" s="208">
        <f>SUMIFS(領用表!$L:$L,領用表!$E:$E,$B55,領用表!$B:$B,BT$2&amp;$BI$1)</f>
        <v/>
      </c>
      <c r="BU55" s="208">
        <f>SUM(BI55,BJ55,BK55,BL55,BM55,BN55)</f>
        <v/>
      </c>
      <c r="BV55" s="208">
        <f>AVERAGE(BI55,BJ55,BK55,BL55,BM55,BN55)</f>
        <v/>
      </c>
      <c r="BW55" s="208">
        <f>SUMIF(Summary!B:B,B55,Summary!DZ:DZ)</f>
        <v/>
      </c>
      <c r="BX55" s="215" t="n">
        <v>2500</v>
      </c>
      <c r="BY55" s="210" t="n">
        <v>0</v>
      </c>
      <c r="BZ55" s="210" t="n"/>
      <c r="CA55" s="261" t="n"/>
      <c r="CB55" s="526" t="inlineStr">
        <is>
          <t>2025/4/1站前交機2台</t>
        </is>
      </c>
      <c r="CC55" s="212" t="n"/>
      <c r="CE55" s="213" t="n"/>
    </row>
    <row r="56" ht="15.75" customFormat="1" customHeight="1" s="118">
      <c r="A56" s="136" t="inlineStr">
        <is>
          <t>MM2MB040009A</t>
        </is>
      </c>
      <c r="B56" s="118" t="n">
        <v>6170020</v>
      </c>
      <c r="C56" s="133" t="inlineStr">
        <is>
          <t>媚必提直線探頭3.0mm(1條)</t>
        </is>
      </c>
      <c r="D56" s="207" t="n">
        <v>20099</v>
      </c>
      <c r="E56" s="198" t="inlineStr">
        <is>
          <t>SHOT</t>
        </is>
      </c>
      <c r="F56" s="349">
        <f>(D56*4)+(190)+(5192)</f>
        <v/>
      </c>
      <c r="G56" s="349" t="n"/>
      <c r="H56" s="200" t="n"/>
      <c r="I56" s="200" t="n"/>
      <c r="J56" s="200" t="n"/>
      <c r="K56" s="200" t="n"/>
      <c r="L56" s="200" t="n"/>
      <c r="M56" s="200" t="n"/>
      <c r="N56" s="200" t="n"/>
      <c r="O56" s="200" t="n"/>
      <c r="P56" s="200" t="n"/>
      <c r="Q56" s="200" t="n"/>
      <c r="R56" s="200" t="n"/>
      <c r="S56" s="200" t="n"/>
      <c r="T56" s="200" t="n"/>
      <c r="U56" s="200" t="n"/>
      <c r="V56" s="200" t="n"/>
      <c r="W56" s="200" t="n"/>
      <c r="X56" s="200" t="n"/>
      <c r="Y56" s="200" t="n"/>
      <c r="Z56" s="200" t="n"/>
      <c r="AA56" s="200" t="n"/>
      <c r="AB56" s="200" t="n"/>
      <c r="AC56" s="200" t="n"/>
      <c r="AD56" s="200" t="n"/>
      <c r="AE56" s="200" t="n"/>
      <c r="AF56" s="200" t="n"/>
      <c r="AG56" s="221" t="n"/>
      <c r="AH56" s="221" t="n"/>
      <c r="AI56" s="221" t="n"/>
      <c r="AJ56" s="221" t="n"/>
      <c r="AK56" s="221" t="n"/>
      <c r="AL56" s="221" t="n"/>
      <c r="AM56" s="221" t="n"/>
      <c r="AN56" s="221" t="n"/>
      <c r="AO56" s="221" t="n"/>
      <c r="AP56" s="201" t="n"/>
      <c r="AQ56" s="512" t="n"/>
      <c r="AR56" s="203" t="inlineStr">
        <is>
          <t>-</t>
        </is>
      </c>
      <c r="AS56" s="204" t="inlineStr">
        <is>
          <t>-</t>
        </is>
      </c>
      <c r="AT56" s="513" t="inlineStr">
        <is>
          <t>-</t>
        </is>
      </c>
      <c r="AU56" s="513" t="inlineStr">
        <is>
          <t>-</t>
        </is>
      </c>
      <c r="AV56" s="513" t="inlineStr">
        <is>
          <t>-</t>
        </is>
      </c>
      <c r="AW56" s="513" t="inlineStr">
        <is>
          <t>-</t>
        </is>
      </c>
      <c r="AX56" s="203" t="n">
        <v>5501</v>
      </c>
      <c r="AY56" s="203" t="n">
        <v>12905</v>
      </c>
      <c r="AZ56" s="203">
        <f>SUMIFS(領用表!$L:$L,領用表!$E:$E,$B56,領用表!$B:$B,AZ$2&amp;$BI$1)</f>
        <v/>
      </c>
      <c r="BA56" s="203">
        <f>SUMIFS(領用表!$L:$L,領用表!$E:$E,$B56,領用表!$B:$B,BA$2&amp;$BI$1)</f>
        <v/>
      </c>
      <c r="BB56" s="203">
        <f>SUMIFS(領用表!$L:$L,領用表!$E:$E,$B56,領用表!$B:$B,BB$2&amp;$BI$1)</f>
        <v/>
      </c>
      <c r="BC56" s="203">
        <f>SUMIFS(領用表!$L:$L,領用表!$E:$E,$B56,領用表!$B:$B,BC$2&amp;$BI$1)</f>
        <v/>
      </c>
      <c r="BD56" s="208">
        <f>SUMIFS(領用表!$L:$L,領用表!$E:$E,$B56,領用表!$B:$B,BD$2&amp;$BI$1)</f>
        <v/>
      </c>
      <c r="BE56" s="208">
        <f>SUMIFS(領用表!$L:$L,領用表!$E:$E,$B56,領用表!$B:$B,BE$2&amp;$BI$1)</f>
        <v/>
      </c>
      <c r="BF56" s="208">
        <f>SUMIFS(領用表!$L:$L,領用表!$E:$E,$B56,領用表!$B:$B,BF$2&amp;$BI$1)</f>
        <v/>
      </c>
      <c r="BG56" s="207">
        <f>SUM(AU56,AV56,AW56,AX56,AY56,AZ56,BA56,BB56,BC56,BD56,BE56,BF56)</f>
        <v/>
      </c>
      <c r="BH56" s="207">
        <f>AVERAGE(AU56,AV56,AW56,AX56,AY56,AZ56,BA56,BB56,BC56,BD56,BE56,BF56)</f>
        <v/>
      </c>
      <c r="BI56" s="208">
        <f>SUMIFS(領用表!$L:$L,領用表!$E:$E,$B56,領用表!$B:$B,BI$2&amp;$BI$1)</f>
        <v/>
      </c>
      <c r="BJ56" s="208">
        <f>SUMIFS(領用表!$L:$L,領用表!$E:$E,$B56,領用表!$B:$B,BJ$2&amp;$BI$1)</f>
        <v/>
      </c>
      <c r="BK56" s="208">
        <f>SUMIFS(領用表!$L:$L,領用表!$E:$E,$B56,領用表!$B:$B,BK$2&amp;$BI$1)</f>
        <v/>
      </c>
      <c r="BL56" s="208">
        <f>SUMIFS(領用表!$L:$L,領用表!$E:$E,$B56,領用表!$B:$B,BL$2&amp;$BI$1)</f>
        <v/>
      </c>
      <c r="BM56" s="208">
        <f>SUMIFS(領用表!$L:$L,領用表!$E:$E,$B56,領用表!$B:$B,BM$2&amp;$BI$1)</f>
        <v/>
      </c>
      <c r="BN56" s="208" t="n">
        <v>4380</v>
      </c>
      <c r="BO56" s="208">
        <f>SUMIFS(領用表!$L:$L,領用表!$E:$E,$B56,領用表!$B:$B,BO$2&amp;$BI$1)</f>
        <v/>
      </c>
      <c r="BP56" s="208">
        <f>SUMIFS(領用表!$L:$L,領用表!$E:$E,$B56,領用表!$B:$B,BP$2&amp;$BI$1)</f>
        <v/>
      </c>
      <c r="BQ56" s="208">
        <f>SUMIFS(領用表!$L:$L,領用表!$E:$E,$B56,領用表!$B:$B,BQ$2&amp;$BI$1)</f>
        <v/>
      </c>
      <c r="BR56" s="208">
        <f>SUMIFS(領用表!$L:$L,領用表!$E:$E,$B56,領用表!$B:$B,BR$2&amp;$BI$1)</f>
        <v/>
      </c>
      <c r="BS56" s="208">
        <f>SUMIFS(領用表!$L:$L,領用表!$E:$E,$B56,領用表!$B:$B,BS$2&amp;$BI$1)</f>
        <v/>
      </c>
      <c r="BT56" s="208">
        <f>SUMIFS(領用表!$L:$L,領用表!$E:$E,$B56,領用表!$B:$B,BT$2&amp;$BI$1)</f>
        <v/>
      </c>
      <c r="BU56" s="208">
        <f>SUM(BI56,BJ56,BK56,BL56,BM56,BN56)</f>
        <v/>
      </c>
      <c r="BV56" s="208">
        <f>AVERAGE(BI56,BJ56,BK56,BL56,BM56,BN56)</f>
        <v/>
      </c>
      <c r="BW56" s="208">
        <f>SUMIF(Summary!B:B,B56,Summary!DZ:DZ)</f>
        <v/>
      </c>
      <c r="BX56" s="215" t="n">
        <v>7000</v>
      </c>
      <c r="BY56" s="514" t="n"/>
      <c r="BZ56" s="210" t="n"/>
      <c r="CA56" s="261" t="n"/>
      <c r="CB56" s="526" t="inlineStr">
        <is>
          <t>2025/4/1站前交機2台</t>
        </is>
      </c>
      <c r="CC56" s="212" t="n"/>
      <c r="CE56" s="213" t="n"/>
    </row>
    <row r="57" ht="15.75" customFormat="1" customHeight="1" s="118">
      <c r="A57" s="136" t="inlineStr">
        <is>
          <t>MM2MB040010A</t>
        </is>
      </c>
      <c r="B57" s="118" t="n">
        <v>6170021</v>
      </c>
      <c r="C57" s="133" t="inlineStr">
        <is>
          <t>媚必提直線探頭4.5mm(1條)</t>
        </is>
      </c>
      <c r="D57" s="207" t="n">
        <v>20099</v>
      </c>
      <c r="E57" s="198" t="inlineStr">
        <is>
          <t>SHOT</t>
        </is>
      </c>
      <c r="F57" s="349">
        <f>(D57*2)+(2119)+(3529)</f>
        <v/>
      </c>
      <c r="G57" s="349" t="n"/>
      <c r="H57" s="200" t="n"/>
      <c r="I57" s="200" t="n"/>
      <c r="J57" s="200" t="n"/>
      <c r="K57" s="200" t="n"/>
      <c r="L57" s="200" t="n"/>
      <c r="M57" s="200" t="n"/>
      <c r="N57" s="200" t="n"/>
      <c r="O57" s="200" t="n"/>
      <c r="P57" s="200" t="n"/>
      <c r="Q57" s="200" t="n"/>
      <c r="R57" s="200" t="n"/>
      <c r="S57" s="200" t="n"/>
      <c r="T57" s="200" t="n"/>
      <c r="U57" s="200" t="n"/>
      <c r="V57" s="200" t="n"/>
      <c r="W57" s="200" t="n"/>
      <c r="X57" s="200" t="n"/>
      <c r="Y57" s="200" t="n"/>
      <c r="Z57" s="200" t="n"/>
      <c r="AA57" s="200" t="n"/>
      <c r="AB57" s="200" t="n"/>
      <c r="AC57" s="200" t="n"/>
      <c r="AD57" s="200" t="n"/>
      <c r="AE57" s="200" t="n"/>
      <c r="AF57" s="200" t="n"/>
      <c r="AG57" s="221" t="n"/>
      <c r="AH57" s="221" t="n"/>
      <c r="AI57" s="221" t="n"/>
      <c r="AJ57" s="221" t="n"/>
      <c r="AK57" s="221" t="n"/>
      <c r="AL57" s="221" t="n"/>
      <c r="AM57" s="221" t="n"/>
      <c r="AN57" s="221" t="n"/>
      <c r="AO57" s="221" t="n"/>
      <c r="AP57" s="201" t="n"/>
      <c r="AQ57" s="512" t="n"/>
      <c r="AR57" s="203" t="inlineStr">
        <is>
          <t>-</t>
        </is>
      </c>
      <c r="AS57" s="204" t="inlineStr">
        <is>
          <t>-</t>
        </is>
      </c>
      <c r="AT57" s="513" t="inlineStr">
        <is>
          <t>-</t>
        </is>
      </c>
      <c r="AU57" s="513" t="inlineStr">
        <is>
          <t>-</t>
        </is>
      </c>
      <c r="AV57" s="513" t="inlineStr">
        <is>
          <t>-</t>
        </is>
      </c>
      <c r="AW57" s="513" t="inlineStr">
        <is>
          <t>-</t>
        </is>
      </c>
      <c r="AX57" s="203" t="n">
        <v>17125</v>
      </c>
      <c r="AY57" s="203" t="n">
        <v>32157</v>
      </c>
      <c r="AZ57" s="203">
        <f>SUMIFS(領用表!$L:$L,領用表!$E:$E,$B57,領用表!$B:$B,AZ$2&amp;$BI$1)</f>
        <v/>
      </c>
      <c r="BA57" s="203">
        <f>SUMIFS(領用表!$L:$L,領用表!$E:$E,$B57,領用表!$B:$B,BA$2&amp;$BI$1)</f>
        <v/>
      </c>
      <c r="BB57" s="203">
        <f>SUMIFS(領用表!$L:$L,領用表!$E:$E,$B57,領用表!$B:$B,BB$2&amp;$BI$1)</f>
        <v/>
      </c>
      <c r="BC57" s="203">
        <f>SUMIFS(領用表!$L:$L,領用表!$E:$E,$B57,領用表!$B:$B,BC$2&amp;$BI$1)</f>
        <v/>
      </c>
      <c r="BD57" s="208">
        <f>SUMIFS(領用表!$L:$L,領用表!$E:$E,$B57,領用表!$B:$B,BD$2&amp;$BI$1)</f>
        <v/>
      </c>
      <c r="BE57" s="208">
        <f>SUMIFS(領用表!$L:$L,領用表!$E:$E,$B57,領用表!$B:$B,BE$2&amp;$BI$1)</f>
        <v/>
      </c>
      <c r="BF57" s="208">
        <f>SUMIFS(領用表!$L:$L,領用表!$E:$E,$B57,領用表!$B:$B,BF$2&amp;$BI$1)</f>
        <v/>
      </c>
      <c r="BG57" s="207">
        <f>SUM(AU57,AV57,AW57,AX57,AY57,AZ57,BA57,BB57,BC57,BD57,BE57,BF57)</f>
        <v/>
      </c>
      <c r="BH57" s="207">
        <f>AVERAGE(AU57,AV57,AW57,AX57,AY57,AZ57,BA57,BB57,BC57,BD57,BE57,BF57)</f>
        <v/>
      </c>
      <c r="BI57" s="208">
        <f>SUMIFS(領用表!$L:$L,領用表!$E:$E,$B57,領用表!$B:$B,BI$2&amp;$BI$1)</f>
        <v/>
      </c>
      <c r="BJ57" s="208">
        <f>SUMIFS(領用表!$L:$L,領用表!$E:$E,$B57,領用表!$B:$B,BJ$2&amp;$BI$1)</f>
        <v/>
      </c>
      <c r="BK57" s="208">
        <f>SUMIFS(領用表!$L:$L,領用表!$E:$E,$B57,領用表!$B:$B,BK$2&amp;$BI$1)</f>
        <v/>
      </c>
      <c r="BL57" s="208">
        <f>SUMIFS(領用表!$L:$L,領用表!$E:$E,$B57,領用表!$B:$B,BL$2&amp;$BI$1)</f>
        <v/>
      </c>
      <c r="BM57" s="208">
        <f>SUMIFS(領用表!$L:$L,領用表!$E:$E,$B57,領用表!$B:$B,BM$2&amp;$BI$1)</f>
        <v/>
      </c>
      <c r="BN57" s="208" t="n">
        <v>5349</v>
      </c>
      <c r="BO57" s="208">
        <f>SUMIFS(領用表!$L:$L,領用表!$E:$E,$B57,領用表!$B:$B,BO$2&amp;$BI$1)</f>
        <v/>
      </c>
      <c r="BP57" s="208">
        <f>SUMIFS(領用表!$L:$L,領用表!$E:$E,$B57,領用表!$B:$B,BP$2&amp;$BI$1)</f>
        <v/>
      </c>
      <c r="BQ57" s="208">
        <f>SUMIFS(領用表!$L:$L,領用表!$E:$E,$B57,領用表!$B:$B,BQ$2&amp;$BI$1)</f>
        <v/>
      </c>
      <c r="BR57" s="208">
        <f>SUMIFS(領用表!$L:$L,領用表!$E:$E,$B57,領用表!$B:$B,BR$2&amp;$BI$1)</f>
        <v/>
      </c>
      <c r="BS57" s="208">
        <f>SUMIFS(領用表!$L:$L,領用表!$E:$E,$B57,領用表!$B:$B,BS$2&amp;$BI$1)</f>
        <v/>
      </c>
      <c r="BT57" s="208">
        <f>SUMIFS(領用表!$L:$L,領用表!$E:$E,$B57,領用表!$B:$B,BT$2&amp;$BI$1)</f>
        <v/>
      </c>
      <c r="BU57" s="208">
        <f>SUM(BI57,BJ57,BK57,BL57,BM57,BN57)</f>
        <v/>
      </c>
      <c r="BV57" s="208">
        <f>AVERAGE(BI57,BJ57,BK57,BL57,BM57,BN57)</f>
        <v/>
      </c>
      <c r="BW57" s="208">
        <f>SUMIF(Summary!B:B,B57,Summary!DZ:DZ)</f>
        <v/>
      </c>
      <c r="BX57" s="215" t="n">
        <v>17000</v>
      </c>
      <c r="BY57" s="514" t="n"/>
      <c r="BZ57" s="210" t="n"/>
      <c r="CA57" s="262" t="inlineStr">
        <is>
          <t>2顆(10/23)</t>
        </is>
      </c>
      <c r="CB57" s="526" t="inlineStr">
        <is>
          <t>2025/4/1站前交機2台</t>
        </is>
      </c>
      <c r="CC57" s="212" t="n"/>
      <c r="CE57" s="213" t="n"/>
    </row>
    <row r="58" ht="15.75" customFormat="1" customHeight="1" s="118">
      <c r="A58" s="136" t="inlineStr">
        <is>
          <t>MM2MB040011A</t>
        </is>
      </c>
      <c r="B58" s="118" t="n">
        <v>6170022</v>
      </c>
      <c r="C58" s="133" t="inlineStr">
        <is>
          <t>媚必提直線探頭6.0mm(1條)</t>
        </is>
      </c>
      <c r="D58" s="207" t="n">
        <v>20099</v>
      </c>
      <c r="E58" s="198" t="inlineStr">
        <is>
          <t>SHOT</t>
        </is>
      </c>
      <c r="F58" s="349">
        <f>(D58*3)+(12386)+(12476)</f>
        <v/>
      </c>
      <c r="G58" s="349" t="n"/>
      <c r="H58" s="200" t="n"/>
      <c r="I58" s="200" t="n"/>
      <c r="J58" s="200" t="n"/>
      <c r="K58" s="200" t="n"/>
      <c r="L58" s="200" t="n"/>
      <c r="M58" s="200" t="n"/>
      <c r="N58" s="200" t="n"/>
      <c r="O58" s="200" t="n"/>
      <c r="P58" s="200" t="n"/>
      <c r="Q58" s="200" t="n"/>
      <c r="R58" s="200" t="n"/>
      <c r="S58" s="200" t="n"/>
      <c r="T58" s="200" t="n"/>
      <c r="U58" s="200" t="n"/>
      <c r="V58" s="200" t="n"/>
      <c r="W58" s="200" t="n"/>
      <c r="X58" s="200" t="n"/>
      <c r="Y58" s="200" t="n"/>
      <c r="Z58" s="200" t="n"/>
      <c r="AA58" s="200" t="n"/>
      <c r="AB58" s="200" t="n"/>
      <c r="AC58" s="200" t="n"/>
      <c r="AD58" s="200" t="n"/>
      <c r="AE58" s="200" t="n"/>
      <c r="AF58" s="200" t="n"/>
      <c r="AG58" s="221" t="n"/>
      <c r="AH58" s="221" t="n"/>
      <c r="AI58" s="221" t="n"/>
      <c r="AJ58" s="221" t="n"/>
      <c r="AK58" s="221" t="n"/>
      <c r="AL58" s="221" t="n"/>
      <c r="AM58" s="221" t="n"/>
      <c r="AN58" s="221" t="n"/>
      <c r="AO58" s="221" t="n"/>
      <c r="AP58" s="201" t="n"/>
      <c r="AQ58" s="512" t="n"/>
      <c r="AR58" s="203" t="n"/>
      <c r="AS58" s="204" t="inlineStr">
        <is>
          <t>-</t>
        </is>
      </c>
      <c r="AT58" s="513" t="inlineStr">
        <is>
          <t>-</t>
        </is>
      </c>
      <c r="AU58" s="513" t="inlineStr">
        <is>
          <t>-</t>
        </is>
      </c>
      <c r="AV58" s="513" t="inlineStr">
        <is>
          <t>-</t>
        </is>
      </c>
      <c r="AW58" s="513" t="inlineStr">
        <is>
          <t>-</t>
        </is>
      </c>
      <c r="AX58" s="203" t="n">
        <v>5766</v>
      </c>
      <c r="AY58" s="203" t="n">
        <v>15433</v>
      </c>
      <c r="AZ58" s="203">
        <f>SUMIFS(領用表!$L:$L,領用表!$E:$E,$B58,領用表!$B:$B,AZ$2&amp;$BI$1)</f>
        <v/>
      </c>
      <c r="BA58" s="203">
        <f>SUMIFS(領用表!$L:$L,領用表!$E:$E,$B58,領用表!$B:$B,BA$2&amp;$BI$1)</f>
        <v/>
      </c>
      <c r="BB58" s="203">
        <f>SUMIFS(領用表!$L:$L,領用表!$E:$E,$B58,領用表!$B:$B,BB$2&amp;$BI$1)</f>
        <v/>
      </c>
      <c r="BC58" s="203">
        <f>SUMIFS(領用表!$L:$L,領用表!$E:$E,$B58,領用表!$B:$B,BC$2&amp;$BI$1)</f>
        <v/>
      </c>
      <c r="BD58" s="208">
        <f>SUMIFS(領用表!$L:$L,領用表!$E:$E,$B58,領用表!$B:$B,BD$2&amp;$BI$1)</f>
        <v/>
      </c>
      <c r="BE58" s="208">
        <f>SUMIFS(領用表!$L:$L,領用表!$E:$E,$B58,領用表!$B:$B,BE$2&amp;$BI$1)</f>
        <v/>
      </c>
      <c r="BF58" s="208">
        <f>SUMIFS(領用表!$L:$L,領用表!$E:$E,$B58,領用表!$B:$B,BF$2&amp;$BI$1)</f>
        <v/>
      </c>
      <c r="BG58" s="207">
        <f>SUM(AU58,AV58,AW58,AX58,AY58,AZ58,BA58,BB58,BC58,BD58,BE58,BF58)</f>
        <v/>
      </c>
      <c r="BH58" s="207">
        <f>AVERAGE(AU58,AV58,AW58,AX58,AY58,AZ58,BA58,BB58,BC58,BD58,BE58,BF58)</f>
        <v/>
      </c>
      <c r="BI58" s="208">
        <f>SUMIFS(領用表!$L:$L,領用表!$E:$E,$B58,領用表!$B:$B,BI$2&amp;$BI$1)</f>
        <v/>
      </c>
      <c r="BJ58" s="208">
        <f>SUMIFS(領用表!$L:$L,領用表!$E:$E,$B58,領用表!$B:$B,BJ$2&amp;$BI$1)</f>
        <v/>
      </c>
      <c r="BK58" s="208">
        <f>SUMIFS(領用表!$L:$L,領用表!$E:$E,$B58,領用表!$B:$B,BK$2&amp;$BI$1)</f>
        <v/>
      </c>
      <c r="BL58" s="208">
        <f>SUMIFS(領用表!$L:$L,領用表!$E:$E,$B58,領用表!$B:$B,BL$2&amp;$BI$1)</f>
        <v/>
      </c>
      <c r="BM58" s="208">
        <f>SUMIFS(領用表!$L:$L,領用表!$E:$E,$B58,領用表!$B:$B,BM$2&amp;$BI$1)</f>
        <v/>
      </c>
      <c r="BN58" s="208" t="n">
        <v>1202</v>
      </c>
      <c r="BO58" s="208">
        <f>SUMIFS(領用表!$L:$L,領用表!$E:$E,$B58,領用表!$B:$B,BO$2&amp;$BI$1)</f>
        <v/>
      </c>
      <c r="BP58" s="208">
        <f>SUMIFS(領用表!$L:$L,領用表!$E:$E,$B58,領用表!$B:$B,BP$2&amp;$BI$1)</f>
        <v/>
      </c>
      <c r="BQ58" s="208">
        <f>SUMIFS(領用表!$L:$L,領用表!$E:$E,$B58,領用表!$B:$B,BQ$2&amp;$BI$1)</f>
        <v/>
      </c>
      <c r="BR58" s="208">
        <f>SUMIFS(領用表!$L:$L,領用表!$E:$E,$B58,領用表!$B:$B,BR$2&amp;$BI$1)</f>
        <v/>
      </c>
      <c r="BS58" s="208">
        <f>SUMIFS(領用表!$L:$L,領用表!$E:$E,$B58,領用表!$B:$B,BS$2&amp;$BI$1)</f>
        <v/>
      </c>
      <c r="BT58" s="208">
        <f>SUMIFS(領用表!$L:$L,領用表!$E:$E,$B58,領用表!$B:$B,BT$2&amp;$BI$1)</f>
        <v/>
      </c>
      <c r="BU58" s="208">
        <f>SUM(BI58,BJ58,BK58,BL58,BM58,BN58)</f>
        <v/>
      </c>
      <c r="BV58" s="208">
        <f>AVERAGE(BI58,BJ58,BK58,BL58,BM58,BN58)</f>
        <v/>
      </c>
      <c r="BW58" s="208">
        <f>SUMIF(Summary!B:B,B58,Summary!DZ:DZ)</f>
        <v/>
      </c>
      <c r="BX58" s="215" t="n">
        <v>6500</v>
      </c>
      <c r="BY58" s="514" t="n"/>
      <c r="BZ58" s="210" t="n"/>
      <c r="CA58" s="261" t="n"/>
      <c r="CB58" s="526" t="inlineStr">
        <is>
          <t>2025/4/1站前交機2台</t>
        </is>
      </c>
      <c r="CC58" s="212" t="n"/>
      <c r="CE58" s="213" t="n"/>
    </row>
    <row r="59" ht="15.75" customFormat="1" customHeight="1" s="118">
      <c r="A59" s="136" t="inlineStr">
        <is>
          <t>MM2MB040014A</t>
        </is>
      </c>
      <c r="B59" s="118" t="n">
        <v>6170025</v>
      </c>
      <c r="C59" s="133" t="inlineStr">
        <is>
          <t>媚必提圓周探頭1.5mm(1條)</t>
        </is>
      </c>
      <c r="D59" s="207" t="n">
        <v>20099</v>
      </c>
      <c r="E59" s="198" t="inlineStr">
        <is>
          <t>SHOT</t>
        </is>
      </c>
      <c r="F59" s="349">
        <f>(D59*1)+(19877)+(18800)</f>
        <v/>
      </c>
      <c r="G59" s="349" t="n"/>
      <c r="H59" s="200" t="n"/>
      <c r="I59" s="200" t="n"/>
      <c r="J59" s="200" t="n"/>
      <c r="K59" s="200" t="n"/>
      <c r="L59" s="200" t="n"/>
      <c r="M59" s="200" t="n"/>
      <c r="N59" s="200" t="n"/>
      <c r="O59" s="200" t="n"/>
      <c r="P59" s="200" t="n"/>
      <c r="Q59" s="200" t="n"/>
      <c r="R59" s="200" t="n"/>
      <c r="S59" s="200" t="n"/>
      <c r="T59" s="200" t="n"/>
      <c r="U59" s="200" t="n"/>
      <c r="V59" s="200" t="n"/>
      <c r="W59" s="200" t="n"/>
      <c r="X59" s="200" t="n"/>
      <c r="Y59" s="200" t="n"/>
      <c r="Z59" s="200" t="n"/>
      <c r="AA59" s="200" t="n"/>
      <c r="AB59" s="200" t="n"/>
      <c r="AC59" s="200" t="n"/>
      <c r="AD59" s="200" t="n"/>
      <c r="AE59" s="200" t="n"/>
      <c r="AF59" s="200" t="n"/>
      <c r="AG59" s="221" t="n"/>
      <c r="AH59" s="221" t="n"/>
      <c r="AI59" s="221" t="n"/>
      <c r="AJ59" s="221" t="n"/>
      <c r="AK59" s="221" t="n"/>
      <c r="AL59" s="221" t="n"/>
      <c r="AM59" s="221" t="n"/>
      <c r="AN59" s="221" t="n"/>
      <c r="AO59" s="221" t="n"/>
      <c r="AP59" s="201" t="n"/>
      <c r="AQ59" s="512" t="n"/>
      <c r="AR59" s="203" t="inlineStr">
        <is>
          <t>-</t>
        </is>
      </c>
      <c r="AS59" s="204" t="inlineStr">
        <is>
          <t>-</t>
        </is>
      </c>
      <c r="AT59" s="513" t="inlineStr">
        <is>
          <t>-</t>
        </is>
      </c>
      <c r="AU59" s="203" t="inlineStr">
        <is>
          <t>-</t>
        </is>
      </c>
      <c r="AV59" s="203" t="inlineStr">
        <is>
          <t>-</t>
        </is>
      </c>
      <c r="AW59" s="203" t="inlineStr">
        <is>
          <t>-</t>
        </is>
      </c>
      <c r="AX59" s="203" t="n">
        <v>201</v>
      </c>
      <c r="AY59" s="203" t="n">
        <v>710</v>
      </c>
      <c r="AZ59" s="203">
        <f>SUMIFS(領用表!$L:$L,領用表!$E:$E,$B59,領用表!$B:$B,AZ$2&amp;$BI$1)</f>
        <v/>
      </c>
      <c r="BA59" s="203">
        <f>SUMIFS(領用表!$L:$L,領用表!$E:$E,$B59,領用表!$B:$B,BA$2&amp;$BI$1)</f>
        <v/>
      </c>
      <c r="BB59" s="203">
        <f>SUMIFS(領用表!$L:$L,領用表!$E:$E,$B59,領用表!$B:$B,BB$2&amp;$BI$1)</f>
        <v/>
      </c>
      <c r="BC59" s="203">
        <f>SUMIFS(領用表!$L:$L,領用表!$E:$E,$B59,領用表!$B:$B,BC$2&amp;$BI$1)</f>
        <v/>
      </c>
      <c r="BD59" s="208">
        <f>SUMIFS(領用表!$L:$L,領用表!$E:$E,$B59,領用表!$B:$B,BD$2&amp;$BI$1)</f>
        <v/>
      </c>
      <c r="BE59" s="208">
        <f>SUMIFS(領用表!$L:$L,領用表!$E:$E,$B59,領用表!$B:$B,BE$2&amp;$BI$1)</f>
        <v/>
      </c>
      <c r="BF59" s="208">
        <f>SUMIFS(領用表!$L:$L,領用表!$E:$E,$B59,領用表!$B:$B,BF$2&amp;$BI$1)</f>
        <v/>
      </c>
      <c r="BG59" s="207">
        <f>SUM(AU59,AV59,AW59,AX59,AY59,AZ59,BA59,BB59,BC59,BD59,BE59,BF59)</f>
        <v/>
      </c>
      <c r="BH59" s="207">
        <f>AVERAGE(AU59,AV59,AW59,AX59,AY59,AZ59,BA59,BB59,BC59,BD59,BE59,BF59)</f>
        <v/>
      </c>
      <c r="BI59" s="208">
        <f>SUMIFS(領用表!$L:$L,領用表!$E:$E,$B59,領用表!$B:$B,BI$2&amp;$BI$1)</f>
        <v/>
      </c>
      <c r="BJ59" s="208">
        <f>SUMIFS(領用表!$L:$L,領用表!$E:$E,$B59,領用表!$B:$B,BJ$2&amp;$BI$1)</f>
        <v/>
      </c>
      <c r="BK59" s="208">
        <f>SUMIFS(領用表!$L:$L,領用表!$E:$E,$B59,領用表!$B:$B,BK$2&amp;$BI$1)</f>
        <v/>
      </c>
      <c r="BL59" s="208">
        <f>SUMIFS(領用表!$L:$L,領用表!$E:$E,$B59,領用表!$B:$B,BL$2&amp;$BI$1)</f>
        <v/>
      </c>
      <c r="BM59" s="208">
        <f>SUMIFS(領用表!$L:$L,領用表!$E:$E,$B59,領用表!$B:$B,BM$2&amp;$BI$1)</f>
        <v/>
      </c>
      <c r="BN59" s="208" t="n">
        <v>692</v>
      </c>
      <c r="BO59" s="208">
        <f>SUMIFS(領用表!$L:$L,領用表!$E:$E,$B59,領用表!$B:$B,BO$2&amp;$BI$1)</f>
        <v/>
      </c>
      <c r="BP59" s="208">
        <f>SUMIFS(領用表!$L:$L,領用表!$E:$E,$B59,領用表!$B:$B,BP$2&amp;$BI$1)</f>
        <v/>
      </c>
      <c r="BQ59" s="208">
        <f>SUMIFS(領用表!$L:$L,領用表!$E:$E,$B59,領用表!$B:$B,BQ$2&amp;$BI$1)</f>
        <v/>
      </c>
      <c r="BR59" s="208">
        <f>SUMIFS(領用表!$L:$L,領用表!$E:$E,$B59,領用表!$B:$B,BR$2&amp;$BI$1)</f>
        <v/>
      </c>
      <c r="BS59" s="208">
        <f>SUMIFS(領用表!$L:$L,領用表!$E:$E,$B59,領用表!$B:$B,BS$2&amp;$BI$1)</f>
        <v/>
      </c>
      <c r="BT59" s="208">
        <f>SUMIFS(領用表!$L:$L,領用表!$E:$E,$B59,領用表!$B:$B,BT$2&amp;$BI$1)</f>
        <v/>
      </c>
      <c r="BU59" s="208">
        <f>SUM(BI59,BJ59,BK59,BL59,BM59,BN59)</f>
        <v/>
      </c>
      <c r="BV59" s="208">
        <f>AVERAGE(BI59,BJ59,BK59,BL59,BM59,BN59)</f>
        <v/>
      </c>
      <c r="BW59" s="208">
        <f>SUMIF(Summary!B:B,B59,Summary!DZ:DZ)</f>
        <v/>
      </c>
      <c r="BX59" s="215" t="n">
        <v>175</v>
      </c>
      <c r="BY59" s="515" t="n"/>
      <c r="BZ59" s="210" t="n"/>
      <c r="CA59" s="262" t="n"/>
      <c r="CB59" s="526" t="inlineStr">
        <is>
          <t>2025/4/1站前交機2台</t>
        </is>
      </c>
      <c r="CC59" s="212" t="n"/>
      <c r="CE59" s="213" t="n"/>
    </row>
    <row r="60" ht="15.75" customFormat="1" customHeight="1" s="118">
      <c r="A60" s="136" t="inlineStr">
        <is>
          <t>MM2MC070001A</t>
        </is>
      </c>
      <c r="B60" s="118" t="n">
        <v>6200004</v>
      </c>
      <c r="C60" s="118" t="inlineStr">
        <is>
          <t>阿爾發SAT卡匣(1點)</t>
        </is>
      </c>
      <c r="D60" s="197" t="n">
        <v>50</v>
      </c>
      <c r="E60" s="198" t="inlineStr">
        <is>
          <t>PTS</t>
        </is>
      </c>
      <c r="F60" s="349" t="n"/>
      <c r="G60" s="360" t="n"/>
      <c r="H60" s="531" t="n">
        <v>0</v>
      </c>
      <c r="I60" s="531" t="n">
        <v>0</v>
      </c>
      <c r="J60" s="531" t="n">
        <v>0</v>
      </c>
      <c r="K60" s="531" t="n">
        <v>0.84</v>
      </c>
      <c r="L60" s="531" t="n">
        <v>1.18</v>
      </c>
      <c r="M60" s="531" t="n">
        <v>0.9399999999999999</v>
      </c>
      <c r="N60" s="531" t="n">
        <v>1.44</v>
      </c>
      <c r="O60" s="531" t="n">
        <v>1.24</v>
      </c>
      <c r="P60" s="531" t="n">
        <v>1.52</v>
      </c>
      <c r="Q60" s="531" t="n">
        <v>0.66</v>
      </c>
      <c r="R60" s="531" t="n">
        <v>1.66</v>
      </c>
      <c r="S60" s="531" t="n">
        <v>1.2</v>
      </c>
      <c r="T60" s="531" t="n">
        <v>1.1</v>
      </c>
      <c r="U60" s="531" t="n">
        <v>1.06</v>
      </c>
      <c r="V60" s="531" t="n">
        <v>0.84</v>
      </c>
      <c r="W60" s="531" t="n">
        <v>1.76</v>
      </c>
      <c r="X60" s="531" t="n">
        <v>2</v>
      </c>
      <c r="Y60" s="531" t="n">
        <v>3.06</v>
      </c>
      <c r="Z60" s="531" t="n">
        <v>2.46</v>
      </c>
      <c r="AA60" s="531" t="n">
        <v>3.08</v>
      </c>
      <c r="AB60" s="531" t="n">
        <v>3.38</v>
      </c>
      <c r="AC60" s="531" t="n">
        <v>3.04</v>
      </c>
      <c r="AD60" s="531" t="n">
        <v>2.34</v>
      </c>
      <c r="AE60" s="531" t="n">
        <v>2.32</v>
      </c>
      <c r="AF60" s="531" t="n">
        <v>2.18</v>
      </c>
      <c r="AG60" s="201" t="n">
        <v>2.24</v>
      </c>
      <c r="AH60" s="201" t="n">
        <v>1.5</v>
      </c>
      <c r="AI60" s="201" t="n">
        <v>2.04</v>
      </c>
      <c r="AJ60" s="201" t="n">
        <v>3.1</v>
      </c>
      <c r="AK60" s="201" t="n">
        <v>4.74</v>
      </c>
      <c r="AL60" s="201" t="n">
        <v>4.24</v>
      </c>
      <c r="AM60" s="201" t="n">
        <v>8.32</v>
      </c>
      <c r="AN60" s="201" t="n">
        <v>10.7</v>
      </c>
      <c r="AO60" s="292" t="n">
        <v>5.74</v>
      </c>
      <c r="AP60" s="201" t="n">
        <v>15.42</v>
      </c>
      <c r="AQ60" s="204" t="n"/>
      <c r="AR60" s="203">
        <f>842/D60</f>
        <v/>
      </c>
      <c r="AS60" s="204">
        <f>SUM(AG60:AR60)</f>
        <v/>
      </c>
      <c r="AT60" s="513">
        <f>AS60/12</f>
        <v/>
      </c>
      <c r="AU60" s="203" t="n">
        <v>1105</v>
      </c>
      <c r="AV60" s="203" t="n">
        <v>1682</v>
      </c>
      <c r="AW60" s="203" t="n">
        <v>2156</v>
      </c>
      <c r="AX60" s="203" t="n">
        <v>2205</v>
      </c>
      <c r="AY60" s="203" t="n">
        <v>2266</v>
      </c>
      <c r="AZ60" s="203">
        <f>SUMIFS(領用表!$L:$L,領用表!$E:$E,$B60,領用表!$B:$B,AZ$2&amp;$BI$1)</f>
        <v/>
      </c>
      <c r="BA60" s="203">
        <f>SUMIFS(領用表!$L:$L,領用表!$E:$E,$B60,領用表!$B:$B,BA$2&amp;$BI$1)</f>
        <v/>
      </c>
      <c r="BB60" s="203">
        <f>SUMIFS(領用表!$L:$L,領用表!$E:$E,$B60,領用表!$B:$B,BB$2&amp;$BI$1)</f>
        <v/>
      </c>
      <c r="BC60" s="203">
        <f>SUMIFS(領用表!$L:$L,領用表!$E:$E,$B60,領用表!$B:$B,BC$2&amp;$BI$1)</f>
        <v/>
      </c>
      <c r="BD60" s="208">
        <f>SUMIFS(領用表!$L:$L,領用表!$E:$E,$B60,領用表!$B:$B,BD$2&amp;$BI$1)</f>
        <v/>
      </c>
      <c r="BE60" s="208">
        <f>SUMIFS(領用表!$L:$L,領用表!$E:$E,$B60,領用表!$B:$B,BE$2&amp;$BI$1)</f>
        <v/>
      </c>
      <c r="BF60" s="208">
        <f>SUMIFS(領用表!$L:$L,領用表!$E:$E,$B60,領用表!$B:$B,BF$2&amp;$BI$1)</f>
        <v/>
      </c>
      <c r="BG60" s="207">
        <f>SUM(AU60,AV60,AW60,AX60,AY60,AZ60,BA60,BB60,BC60,BD60,BE60,BF60)</f>
        <v/>
      </c>
      <c r="BH60" s="207">
        <f>AVERAGE(AU60,AV60,AW60,AX60,AY60,AZ60,BA60,BB60,BC60,BD60,BE60,BF60)</f>
        <v/>
      </c>
      <c r="BI60" s="208">
        <f>SUMIFS(領用表!$L:$L,領用表!$E:$E,$B60,領用表!$B:$B,BI$2&amp;$BI$1)</f>
        <v/>
      </c>
      <c r="BJ60" s="208">
        <f>SUMIFS(領用表!$L:$L,領用表!$E:$E,$B60,領用表!$B:$B,BJ$2&amp;$BI$1)</f>
        <v/>
      </c>
      <c r="BK60" s="208">
        <f>SUMIFS(領用表!$L:$L,領用表!$E:$E,$B60,領用表!$B:$B,BK$2&amp;$BI$1)</f>
        <v/>
      </c>
      <c r="BL60" s="208">
        <f>SUMIFS(領用表!$L:$L,領用表!$E:$E,$B60,領用表!$B:$B,BL$2&amp;$BI$1)</f>
        <v/>
      </c>
      <c r="BM60" s="208">
        <f>SUMIFS(領用表!$L:$L,領用表!$E:$E,$B60,領用表!$B:$B,BM$2&amp;$BI$1)</f>
        <v/>
      </c>
      <c r="BN60" s="208" t="n"/>
      <c r="BO60" s="208">
        <f>SUMIFS(領用表!$L:$L,領用表!$E:$E,$B60,領用表!$B:$B,BO$2&amp;$BI$1)</f>
        <v/>
      </c>
      <c r="BP60" s="208">
        <f>SUMIFS(領用表!$L:$L,領用表!$E:$E,$B60,領用表!$B:$B,BP$2&amp;$BI$1)</f>
        <v/>
      </c>
      <c r="BQ60" s="208">
        <f>SUMIFS(領用表!$L:$L,領用表!$E:$E,$B60,領用表!$B:$B,BQ$2&amp;$BI$1)</f>
        <v/>
      </c>
      <c r="BR60" s="208">
        <f>SUMIFS(領用表!$L:$L,領用表!$E:$E,$B60,領用表!$B:$B,BR$2&amp;$BI$1)</f>
        <v/>
      </c>
      <c r="BS60" s="208">
        <f>SUMIFS(領用表!$L:$L,領用表!$E:$E,$B60,領用表!$B:$B,BS$2&amp;$BI$1)</f>
        <v/>
      </c>
      <c r="BT60" s="208">
        <f>SUMIFS(領用表!$L:$L,領用表!$E:$E,$B60,領用表!$B:$B,BT$2&amp;$BI$1)</f>
        <v/>
      </c>
      <c r="BU60" s="208">
        <f>SUM(BI60,BJ60,BK60,BL60,BM60,BN60)</f>
        <v/>
      </c>
      <c r="BV60" s="208">
        <f>AVERAGE(BI60,BJ60,BK60,BL60,BM60,BN60)</f>
        <v/>
      </c>
      <c r="BW60" s="208">
        <f>SUMIF(Summary!B:B,B60,Summary!DZ:DZ)</f>
        <v/>
      </c>
      <c r="BX60" s="215" t="n">
        <v>1200</v>
      </c>
      <c r="BY60" s="210" t="inlineStr">
        <is>
          <t>358顆又5點</t>
        </is>
      </c>
      <c r="BZ60" s="262" t="inlineStr">
        <is>
          <t>1000點(10/23)</t>
        </is>
      </c>
      <c r="CA60" s="262" t="inlineStr">
        <is>
          <t>500點(10/23)</t>
        </is>
      </c>
      <c r="CB60" s="136" t="n"/>
      <c r="CC60" s="212" t="n"/>
      <c r="CE60" s="213" t="n"/>
    </row>
    <row r="61" ht="15.75" customFormat="1" customHeight="1" s="118">
      <c r="A61" s="136" t="inlineStr">
        <is>
          <t>MM2MX070001A</t>
        </is>
      </c>
      <c r="B61" s="118" t="n">
        <v>6190005</v>
      </c>
      <c r="C61" s="118" t="inlineStr">
        <is>
          <t>光纖針+靜脈留置針(1組)</t>
        </is>
      </c>
      <c r="D61" s="197" t="n">
        <v>50</v>
      </c>
      <c r="E61" s="198" t="inlineStr">
        <is>
          <t>SET</t>
        </is>
      </c>
      <c r="F61" s="349" t="n"/>
      <c r="G61" s="349" t="n"/>
      <c r="H61" s="531" t="n">
        <v>0</v>
      </c>
      <c r="I61" s="531" t="n">
        <v>0</v>
      </c>
      <c r="J61" s="531" t="n">
        <v>0</v>
      </c>
      <c r="K61" s="531" t="n">
        <v>0.02</v>
      </c>
      <c r="L61" s="531" t="n">
        <v>0</v>
      </c>
      <c r="M61" s="531" t="n">
        <v>0</v>
      </c>
      <c r="N61" s="531" t="n">
        <v>0</v>
      </c>
      <c r="O61" s="531" t="n">
        <v>0</v>
      </c>
      <c r="P61" s="531" t="n">
        <v>0</v>
      </c>
      <c r="Q61" s="531" t="n">
        <v>0</v>
      </c>
      <c r="R61" s="531" t="n">
        <v>0</v>
      </c>
      <c r="S61" s="531" t="n">
        <v>0</v>
      </c>
      <c r="T61" s="531" t="n">
        <v>0</v>
      </c>
      <c r="U61" s="531" t="n">
        <v>0</v>
      </c>
      <c r="V61" s="531" t="n">
        <v>0</v>
      </c>
      <c r="W61" s="531" t="n">
        <v>0</v>
      </c>
      <c r="X61" s="531" t="n">
        <v>0</v>
      </c>
      <c r="Y61" s="531" t="n">
        <v>0</v>
      </c>
      <c r="Z61" s="531" t="n">
        <v>0</v>
      </c>
      <c r="AA61" s="531" t="n">
        <v>0</v>
      </c>
      <c r="AB61" s="531" t="n">
        <v>0.42</v>
      </c>
      <c r="AC61" s="531" t="n">
        <v>0.36</v>
      </c>
      <c r="AD61" s="531" t="n">
        <v>0.62</v>
      </c>
      <c r="AE61" s="531" t="n">
        <v>0.32</v>
      </c>
      <c r="AF61" s="531" t="n">
        <v>0.22</v>
      </c>
      <c r="AG61" s="201" t="n">
        <v>0.14</v>
      </c>
      <c r="AH61" s="201" t="n">
        <v>0.14</v>
      </c>
      <c r="AI61" s="201" t="n">
        <v>0.02</v>
      </c>
      <c r="AJ61" s="201" t="n">
        <v>0.76</v>
      </c>
      <c r="AK61" s="201" t="n">
        <v>0.46</v>
      </c>
      <c r="AL61" s="201" t="n">
        <v>0.12</v>
      </c>
      <c r="AM61" s="201" t="n">
        <v>0.08</v>
      </c>
      <c r="AN61" s="201" t="n">
        <v>1.34</v>
      </c>
      <c r="AO61" s="201" t="n">
        <v>1.62</v>
      </c>
      <c r="AP61" s="201" t="n">
        <v>1.34</v>
      </c>
      <c r="AQ61" s="201" t="n">
        <v>2.6</v>
      </c>
      <c r="AR61" s="203">
        <f>173/D61</f>
        <v/>
      </c>
      <c r="AS61" s="204">
        <f>SUM(AG61:AR61)</f>
        <v/>
      </c>
      <c r="AT61" s="513">
        <f>AS61/12</f>
        <v/>
      </c>
      <c r="AU61" s="203" t="n">
        <v>85</v>
      </c>
      <c r="AV61" s="203" t="n">
        <v>54</v>
      </c>
      <c r="AW61" s="203" t="n">
        <v>31</v>
      </c>
      <c r="AX61" s="214" t="n">
        <v>80</v>
      </c>
      <c r="AY61" s="203" t="n">
        <v>62</v>
      </c>
      <c r="AZ61" s="203">
        <f>SUMIFS(領用表!$L:$L,領用表!$E:$E,$B61,領用表!$B:$B,AZ$2&amp;$BI$1)</f>
        <v/>
      </c>
      <c r="BA61" s="203">
        <f>SUMIFS(領用表!$L:$L,領用表!$E:$E,$B61,領用表!$B:$B,BA$2&amp;$BI$1)</f>
        <v/>
      </c>
      <c r="BB61" s="203">
        <f>SUMIFS(領用表!$L:$L,領用表!$E:$E,$B61,領用表!$B:$B,BB$2&amp;$BI$1)</f>
        <v/>
      </c>
      <c r="BC61" s="203">
        <f>SUMIFS(領用表!$L:$L,領用表!$E:$E,$B61,領用表!$B:$B,BC$2&amp;$BI$1)</f>
        <v/>
      </c>
      <c r="BD61" s="208">
        <f>SUMIFS(領用表!$L:$L,領用表!$E:$E,$B61,領用表!$B:$B,BD$2&amp;$BI$1)</f>
        <v/>
      </c>
      <c r="BE61" s="208">
        <f>SUMIFS(領用表!$L:$L,領用表!$E:$E,$B61,領用表!$B:$B,BE$2&amp;$BI$1)</f>
        <v/>
      </c>
      <c r="BF61" s="208">
        <f>SUMIFS(領用表!$L:$L,領用表!$E:$E,$B61,領用表!$B:$B,BF$2&amp;$BI$1)</f>
        <v/>
      </c>
      <c r="BG61" s="207">
        <f>SUM(AU61,AV61,AW61,AX61,AY61,AZ61,BA61,BB61,BC61,BD61,BE61,BF61)</f>
        <v/>
      </c>
      <c r="BH61" s="207">
        <f>AVERAGE(AU61,AV61,AW61,AX61,AY61,AZ61,BA61,BB61,BC61,BD61,BE61,BF61)</f>
        <v/>
      </c>
      <c r="BI61" s="208">
        <f>SUMIFS(領用表!$L:$L,領用表!$E:$E,$B61,領用表!$B:$B,BI$2&amp;$BI$1)</f>
        <v/>
      </c>
      <c r="BJ61" s="208">
        <f>SUMIFS(領用表!$L:$L,領用表!$E:$E,$B61,領用表!$B:$B,BJ$2&amp;$BI$1)</f>
        <v/>
      </c>
      <c r="BK61" s="208">
        <f>SUMIFS(領用表!$L:$L,領用表!$E:$E,$B61,領用表!$B:$B,BK$2&amp;$BI$1)</f>
        <v/>
      </c>
      <c r="BL61" s="208">
        <f>SUMIFS(領用表!$L:$L,領用表!$E:$E,$B61,領用表!$B:$B,BL$2&amp;$BI$1)</f>
        <v/>
      </c>
      <c r="BM61" s="208">
        <f>SUMIFS(領用表!$L:$L,領用表!$E:$E,$B61,領用表!$B:$B,BM$2&amp;$BI$1)</f>
        <v/>
      </c>
      <c r="BN61" s="208" t="n"/>
      <c r="BO61" s="208">
        <f>SUMIFS(領用表!$L:$L,領用表!$E:$E,$B61,領用表!$B:$B,BO$2&amp;$BI$1)</f>
        <v/>
      </c>
      <c r="BP61" s="208">
        <f>SUMIFS(領用表!$L:$L,領用表!$E:$E,$B61,領用表!$B:$B,BP$2&amp;$BI$1)</f>
        <v/>
      </c>
      <c r="BQ61" s="208">
        <f>SUMIFS(領用表!$L:$L,領用表!$E:$E,$B61,領用表!$B:$B,BQ$2&amp;$BI$1)</f>
        <v/>
      </c>
      <c r="BR61" s="208">
        <f>SUMIFS(領用表!$L:$L,領用表!$E:$E,$B61,領用表!$B:$B,BR$2&amp;$BI$1)</f>
        <v/>
      </c>
      <c r="BS61" s="208">
        <f>SUMIFS(領用表!$L:$L,領用表!$E:$E,$B61,領用表!$B:$B,BS$2&amp;$BI$1)</f>
        <v/>
      </c>
      <c r="BT61" s="208">
        <f>SUMIFS(領用表!$L:$L,領用表!$E:$E,$B61,領用表!$B:$B,BT$2&amp;$BI$1)</f>
        <v/>
      </c>
      <c r="BU61" s="208">
        <f>SUM(BI61,BJ61,BK61,BL61,BM61,BN61)</f>
        <v/>
      </c>
      <c r="BV61" s="208">
        <f>AVERAGE(BI61,BJ61,BK61,BL61,BM61,BN61)</f>
        <v/>
      </c>
      <c r="BW61" s="208">
        <f>SUMIF(Summary!B:B,B61,Summary!DZ:DZ)</f>
        <v/>
      </c>
      <c r="BX61" s="215" t="n">
        <v>40</v>
      </c>
      <c r="BY61" s="210" t="n"/>
      <c r="BZ61" s="211" t="n"/>
      <c r="CA61" s="211" t="n"/>
      <c r="CB61" s="136" t="n"/>
      <c r="CC61" s="212" t="n"/>
      <c r="CE61" s="213" t="n"/>
    </row>
    <row r="62" ht="15.75" customFormat="1" customHeight="1" s="118">
      <c r="A62" s="136" t="inlineStr">
        <is>
          <t>MM2MB030001A</t>
        </is>
      </c>
      <c r="B62" s="118" t="n">
        <v>6170016</v>
      </c>
      <c r="C62" s="133" t="inlineStr">
        <is>
          <t>膠原槍探頭(D64)(1N=2000發，大多會贈20發左右)</t>
        </is>
      </c>
      <c r="D62" s="207" t="n">
        <v>2000</v>
      </c>
      <c r="E62" s="198" t="inlineStr">
        <is>
          <t>SHOT</t>
        </is>
      </c>
      <c r="F62" s="349" t="n"/>
      <c r="G62" s="349" t="n"/>
      <c r="H62" s="200" t="n">
        <v>0</v>
      </c>
      <c r="I62" s="200" t="n">
        <v>0.28</v>
      </c>
      <c r="J62" s="200" t="n">
        <v>0.99</v>
      </c>
      <c r="K62" s="200" t="n">
        <v>1.97</v>
      </c>
      <c r="L62" s="200" t="n">
        <v>1.55</v>
      </c>
      <c r="M62" s="200" t="n">
        <v>2.43</v>
      </c>
      <c r="N62" s="200" t="n">
        <v>2.17</v>
      </c>
      <c r="O62" s="200" t="n">
        <v>0.7</v>
      </c>
      <c r="P62" s="200" t="n">
        <v>0.5600000000000001</v>
      </c>
      <c r="Q62" s="200" t="n">
        <v>0.15</v>
      </c>
      <c r="R62" s="200" t="n">
        <v>0.48</v>
      </c>
      <c r="S62" s="200" t="n">
        <v>0.85</v>
      </c>
      <c r="T62" s="200" t="n">
        <v>0.77</v>
      </c>
      <c r="U62" s="200" t="n">
        <v>0.39</v>
      </c>
      <c r="V62" s="200" t="n">
        <v>0.35</v>
      </c>
      <c r="W62" s="200" t="n">
        <v>0.2</v>
      </c>
      <c r="X62" s="200" t="n">
        <v>0</v>
      </c>
      <c r="Y62" s="200" t="n">
        <v>0.28</v>
      </c>
      <c r="Z62" s="200" t="n">
        <v>0.28</v>
      </c>
      <c r="AA62" s="200" t="n">
        <v>0.15</v>
      </c>
      <c r="AB62" s="200" t="n">
        <v>0</v>
      </c>
      <c r="AC62" s="200" t="n">
        <v>0.11</v>
      </c>
      <c r="AD62" s="200" t="n">
        <v>0</v>
      </c>
      <c r="AE62" s="200" t="n">
        <v>0</v>
      </c>
      <c r="AF62" s="200" t="n">
        <v>0.3</v>
      </c>
      <c r="AG62" s="221" t="n">
        <v>0.1</v>
      </c>
      <c r="AH62" s="221" t="n">
        <v>0.1</v>
      </c>
      <c r="AI62" s="221" t="n">
        <v>0</v>
      </c>
      <c r="AJ62" s="221" t="n">
        <v>0</v>
      </c>
      <c r="AK62" s="221" t="n">
        <v>0</v>
      </c>
      <c r="AL62" s="221" t="n">
        <v>0</v>
      </c>
      <c r="AM62" s="221" t="n">
        <v>0</v>
      </c>
      <c r="AN62" s="221" t="n">
        <v>0</v>
      </c>
      <c r="AO62" s="221" t="n">
        <v>0</v>
      </c>
      <c r="AP62" s="201" t="n">
        <v>0</v>
      </c>
      <c r="AQ62" s="512" t="n">
        <v>0</v>
      </c>
      <c r="AR62" s="203" t="n">
        <v>0</v>
      </c>
      <c r="AS62" s="204">
        <f>SUM(AG62:AR62)</f>
        <v/>
      </c>
      <c r="AT62" s="513">
        <f>AS62/12</f>
        <v/>
      </c>
      <c r="AU62" s="203" t="inlineStr">
        <is>
          <t>-</t>
        </is>
      </c>
      <c r="AV62" s="203" t="n">
        <v>0</v>
      </c>
      <c r="AW62" s="203" t="n">
        <v>0</v>
      </c>
      <c r="AX62" s="203" t="n">
        <v>0</v>
      </c>
      <c r="AY62" s="203" t="n">
        <v>278</v>
      </c>
      <c r="AZ62" s="203">
        <f>SUMIFS(領用表!$L:$L,領用表!$E:$E,$B62,領用表!$B:$B,AZ$2&amp;$BI$1)</f>
        <v/>
      </c>
      <c r="BA62" s="203">
        <f>SUMIFS(領用表!$L:$L,領用表!$E:$E,$B62,領用表!$B:$B,BA$2&amp;$BI$1)</f>
        <v/>
      </c>
      <c r="BB62" s="203">
        <f>SUMIFS(領用表!$L:$L,領用表!$E:$E,$B62,領用表!$B:$B,BB$2&amp;$BI$1)</f>
        <v/>
      </c>
      <c r="BC62" s="203">
        <f>SUMIFS(領用表!$L:$L,領用表!$E:$E,$B62,領用表!$B:$B,BC$2&amp;$BI$1)</f>
        <v/>
      </c>
      <c r="BD62" s="208">
        <f>SUMIFS(領用表!$L:$L,領用表!$E:$E,$B62,領用表!$B:$B,BD$2&amp;$BI$1)</f>
        <v/>
      </c>
      <c r="BE62" s="208">
        <f>SUMIFS(領用表!$L:$L,領用表!$E:$E,$B62,領用表!$B:$B,BE$2&amp;$BI$1)</f>
        <v/>
      </c>
      <c r="BF62" s="208">
        <f>SUMIFS(領用表!$L:$L,領用表!$E:$E,$B62,領用表!$B:$B,BF$2&amp;$BI$1)</f>
        <v/>
      </c>
      <c r="BG62" s="207">
        <f>SUM(AU62,AV62,AW62,AX62,AY62,AZ62,BA62,BB62,BC62,BD62,BE62,BF62)</f>
        <v/>
      </c>
      <c r="BH62" s="207">
        <f>AVERAGE(AU62,AV62,AW62,AX62,AY62,AZ62,BA62,BB62,BC62,BD62,BE62,BF62)</f>
        <v/>
      </c>
      <c r="BI62" s="208">
        <f>SUMIFS(領用表!$L:$L,領用表!$E:$E,$B62,領用表!$B:$B,BI$2&amp;$BI$1)</f>
        <v/>
      </c>
      <c r="BJ62" s="208">
        <f>SUMIFS(領用表!$L:$L,領用表!$E:$E,$B62,領用表!$B:$B,BJ$2&amp;$BI$1)</f>
        <v/>
      </c>
      <c r="BK62" s="208">
        <f>SUMIFS(領用表!$L:$L,領用表!$E:$E,$B62,領用表!$B:$B,BK$2&amp;$BI$1)</f>
        <v/>
      </c>
      <c r="BL62" s="208">
        <f>SUMIFS(領用表!$L:$L,領用表!$E:$E,$B62,領用表!$B:$B,BL$2&amp;$BI$1)</f>
        <v/>
      </c>
      <c r="BM62" s="208">
        <f>SUMIFS(領用表!$L:$L,領用表!$E:$E,$B62,領用表!$B:$B,BM$2&amp;$BI$1)</f>
        <v/>
      </c>
      <c r="BN62" s="208" t="n"/>
      <c r="BO62" s="208">
        <f>SUMIFS(領用表!$L:$L,領用表!$E:$E,$B62,領用表!$B:$B,BO$2&amp;$BI$1)</f>
        <v/>
      </c>
      <c r="BP62" s="208">
        <f>SUMIFS(領用表!$L:$L,領用表!$E:$E,$B62,領用表!$B:$B,BP$2&amp;$BI$1)</f>
        <v/>
      </c>
      <c r="BQ62" s="208">
        <f>SUMIFS(領用表!$L:$L,領用表!$E:$E,$B62,領用表!$B:$B,BQ$2&amp;$BI$1)</f>
        <v/>
      </c>
      <c r="BR62" s="208">
        <f>SUMIFS(領用表!$L:$L,領用表!$E:$E,$B62,領用表!$B:$B,BR$2&amp;$BI$1)</f>
        <v/>
      </c>
      <c r="BS62" s="208">
        <f>SUMIFS(領用表!$L:$L,領用表!$E:$E,$B62,領用表!$B:$B,BS$2&amp;$BI$1)</f>
        <v/>
      </c>
      <c r="BT62" s="208">
        <f>SUMIFS(領用表!$L:$L,領用表!$E:$E,$B62,領用表!$B:$B,BT$2&amp;$BI$1)</f>
        <v/>
      </c>
      <c r="BU62" s="208">
        <f>SUM(BI62,BJ62,BK62,BL62,BM62,BN62)</f>
        <v/>
      </c>
      <c r="BV62" s="208">
        <f>AVERAGE(BI62,BJ62,BK62,BL62,BM62,BN62)</f>
        <v/>
      </c>
      <c r="BW62" s="208">
        <f>SUMIF(Summary!B:B,B62,Summary!DZ:DZ)</f>
        <v/>
      </c>
      <c r="BX62" s="215" t="n">
        <v>40</v>
      </c>
      <c r="BY62" s="210" t="n"/>
      <c r="BZ62" s="210" t="n"/>
      <c r="CA62" s="210" t="n"/>
      <c r="CB62" s="263" t="n"/>
      <c r="CC62" s="212" t="n"/>
      <c r="CE62" s="213" t="n"/>
    </row>
    <row r="63" hidden="1" ht="15.75" customFormat="1" customHeight="1" s="118">
      <c r="A63" s="136" t="inlineStr">
        <is>
          <t>MM2MB040001A</t>
        </is>
      </c>
      <c r="B63" s="118" t="e">
        <v>#N/A</v>
      </c>
      <c r="C63" s="133" t="inlineStr">
        <is>
          <t>立特拉渦旋音波探頭3.0mm(1條)_一代機</t>
        </is>
      </c>
      <c r="D63" s="356" t="n">
        <v>150000</v>
      </c>
      <c r="E63" s="351" t="inlineStr">
        <is>
          <t>SHOT</t>
        </is>
      </c>
      <c r="F63" s="349" t="n"/>
      <c r="G63" s="366" t="n"/>
      <c r="H63" s="367" t="n">
        <v>0</v>
      </c>
      <c r="I63" s="367" t="n">
        <v>0.05</v>
      </c>
      <c r="J63" s="367" t="n">
        <v>0.01</v>
      </c>
      <c r="K63" s="367" t="n">
        <v>0.02</v>
      </c>
      <c r="L63" s="367" t="n">
        <v>0</v>
      </c>
      <c r="M63" s="367" t="n">
        <v>0.02</v>
      </c>
      <c r="N63" s="367" t="n">
        <v>0.02</v>
      </c>
      <c r="O63" s="367" t="n">
        <v>0.04</v>
      </c>
      <c r="P63" s="367" t="n">
        <v>0</v>
      </c>
      <c r="Q63" s="367" t="n">
        <v>0.01</v>
      </c>
      <c r="R63" s="367" t="n">
        <v>0.03</v>
      </c>
      <c r="S63" s="367" t="n">
        <v>0.02</v>
      </c>
      <c r="T63" s="367" t="n">
        <v>0.02</v>
      </c>
      <c r="U63" s="367" t="n">
        <v>0.02</v>
      </c>
      <c r="V63" s="367" t="n">
        <v>0</v>
      </c>
      <c r="W63" s="367" t="n">
        <v>0.01</v>
      </c>
      <c r="X63" s="367" t="n">
        <v>0</v>
      </c>
      <c r="Y63" s="367" t="n">
        <v>0.01</v>
      </c>
      <c r="Z63" s="367" t="n">
        <v>0</v>
      </c>
      <c r="AA63" s="367" t="n">
        <v>0</v>
      </c>
      <c r="AB63" s="367" t="n">
        <v>0.01</v>
      </c>
      <c r="AC63" s="367" t="n">
        <v>0.02</v>
      </c>
      <c r="AD63" s="367" t="n">
        <v>0.21</v>
      </c>
      <c r="AE63" s="367" t="n">
        <v>0.24</v>
      </c>
      <c r="AF63" s="367" t="n">
        <v>0.32</v>
      </c>
      <c r="AG63" s="368" t="n">
        <v>0.94359</v>
      </c>
      <c r="AH63" s="368" t="n">
        <v>0.57643</v>
      </c>
      <c r="AI63" s="368" t="n">
        <v>0.55047</v>
      </c>
      <c r="AJ63" s="368" t="n">
        <v>0.33072</v>
      </c>
      <c r="AK63" s="368" t="n">
        <v>0.31357</v>
      </c>
      <c r="AL63" s="368" t="n">
        <v>0.13586</v>
      </c>
      <c r="AM63" s="368" t="n">
        <v>0.19915</v>
      </c>
      <c r="AN63" s="368" t="n">
        <v>0.67238</v>
      </c>
      <c r="AO63" s="368" t="n">
        <v>0.576853333</v>
      </c>
      <c r="AP63" s="369" t="n">
        <v>1.7</v>
      </c>
      <c r="AQ63" s="537" t="n">
        <v>2.34644</v>
      </c>
      <c r="AR63" s="366">
        <f>305068/D63</f>
        <v/>
      </c>
      <c r="AS63" s="356">
        <f>SUM(AG63:AR63)</f>
        <v/>
      </c>
      <c r="AT63" s="534">
        <f>AS63/12</f>
        <v/>
      </c>
      <c r="AU63" s="355" t="n">
        <v>495000</v>
      </c>
      <c r="AV63" s="355" t="n">
        <v>229276</v>
      </c>
      <c r="AW63" s="355" t="n">
        <v>351487</v>
      </c>
      <c r="AX63" s="355" t="n">
        <v>315069</v>
      </c>
      <c r="AY63" s="355" t="n">
        <v>221559</v>
      </c>
      <c r="AZ63" s="355">
        <f>SUMIFS(領用表!$L:$L,領用表!$E:$E,$B63,領用表!$B:$B,AZ$2&amp;$BI$1)</f>
        <v/>
      </c>
      <c r="BA63" s="355">
        <f>SUMIFS(領用表!$L:$L,領用表!$E:$E,$B63,領用表!$B:$B,BA$2&amp;$BI$1)</f>
        <v/>
      </c>
      <c r="BB63" s="355">
        <f>SUMIFS(領用表!$L:$L,領用表!$E:$E,$B63,領用表!$B:$B,BB$2&amp;$BI$1)</f>
        <v/>
      </c>
      <c r="BC63" s="355">
        <f>SUMIFS(領用表!$L:$L,領用表!$E:$E,$B63,領用表!$B:$B,BC$2&amp;$BI$1)</f>
        <v/>
      </c>
      <c r="BD63" s="208">
        <f>SUMIFS(領用表!$L:$L,領用表!$E:$E,$B63,領用表!$B:$B,BD$2&amp;$BI$1)</f>
        <v/>
      </c>
      <c r="BE63" s="208">
        <f>SUMIFS(領用表!$L:$L,領用表!$E:$E,$B63,領用表!$B:$B,BE$2&amp;$BI$1)</f>
        <v/>
      </c>
      <c r="BF63" s="208">
        <f>SUMIFS(領用表!$L:$L,領用表!$E:$E,$B63,領用表!$B:$B,BF$2&amp;$BI$1)</f>
        <v/>
      </c>
      <c r="BG63" s="358">
        <f>SUM(AU63,AV63,AW63,AX63,AY63,AZ63,BA63,BB63,BC63,BD63,BE63,BF63)</f>
        <v/>
      </c>
      <c r="BH63" s="358">
        <f>AVERAGE(AU63,AV63,AW63,AX63,AY63,AZ63,BA63,BB63,BC63,BD63,BE63,BF63)</f>
        <v/>
      </c>
      <c r="BI63" s="208">
        <f>SUMIFS(領用表!$L:$L,領用表!$E:$E,$B63,領用表!$B:$B,BI$2&amp;$BI$1)</f>
        <v/>
      </c>
      <c r="BJ63" s="208">
        <f>SUMIFS(領用表!$L:$L,領用表!$E:$E,$B63,領用表!$B:$B,BJ$2&amp;$BI$1)</f>
        <v/>
      </c>
      <c r="BK63" s="208">
        <f>SUMIFS(領用表!$L:$L,領用表!$E:$E,$B63,領用表!$B:$B,BK$2&amp;$BI$1)</f>
        <v/>
      </c>
      <c r="BL63" s="208">
        <f>SUMIFS(領用表!$L:$L,領用表!$E:$E,$B63,領用表!$B:$B,BL$2&amp;$BI$1)</f>
        <v/>
      </c>
      <c r="BM63" s="208">
        <f>SUMIFS(領用表!$L:$L,領用表!$E:$E,$B63,領用表!$B:$B,BM$2&amp;$BI$1)</f>
        <v/>
      </c>
      <c r="BN63" s="208">
        <f>SUMIFS(領用表!$L:$L,領用表!$E:$E,$B63,領用表!$B:$B,BN$2&amp;$BI$1)</f>
        <v/>
      </c>
      <c r="BO63" s="208">
        <f>SUMIFS(領用表!$L:$L,領用表!$E:$E,$B63,領用表!$B:$B,BO$2&amp;$BI$1)</f>
        <v/>
      </c>
      <c r="BP63" s="208">
        <f>SUMIFS(領用表!$L:$L,領用表!$E:$E,$B63,領用表!$B:$B,BP$2&amp;$BI$1)</f>
        <v/>
      </c>
      <c r="BQ63" s="208">
        <f>SUMIFS(領用表!$L:$L,領用表!$E:$E,$B63,領用表!$B:$B,BQ$2&amp;$BI$1)</f>
        <v/>
      </c>
      <c r="BR63" s="208">
        <f>SUMIFS(領用表!$L:$L,領用表!$E:$E,$B63,領用表!$B:$B,BR$2&amp;$BI$1)</f>
        <v/>
      </c>
      <c r="BS63" s="208">
        <f>SUMIFS(領用表!$L:$L,領用表!$E:$E,$B63,領用表!$B:$B,BS$2&amp;$BI$1)</f>
        <v/>
      </c>
      <c r="BT63" s="208">
        <f>SUMIFS(領用表!$L:$L,領用表!$E:$E,$B63,領用表!$B:$B,BT$2&amp;$BI$1)</f>
        <v/>
      </c>
      <c r="BU63" s="208">
        <f>SUM(BI63,BJ63,BK63,BL63,BM63,BN63)</f>
        <v/>
      </c>
      <c r="BV63" s="208">
        <f>AVERAGE(BI63,BJ63,BK63,BL63,BM63,BN63)</f>
        <v/>
      </c>
      <c r="BW63" s="208">
        <f>SUMIF(Summary!B:B,B63,Summary!DZ:DZ)</f>
        <v/>
      </c>
      <c r="BX63" s="359" t="n"/>
      <c r="BY63" s="371" t="n"/>
      <c r="BZ63" s="356" t="n"/>
      <c r="CA63" s="356" t="n"/>
      <c r="CB63" s="536" t="inlineStr">
        <is>
          <t>2025/5/22站前收回2台</t>
        </is>
      </c>
      <c r="CC63" s="372" t="n"/>
      <c r="CE63" s="213" t="n"/>
    </row>
    <row r="64" hidden="1" ht="15.75" customFormat="1" customHeight="1" s="118">
      <c r="A64" s="136" t="inlineStr">
        <is>
          <t>MM2MB040002A</t>
        </is>
      </c>
      <c r="B64" s="118" t="e">
        <v>#N/A</v>
      </c>
      <c r="C64" s="133" t="inlineStr">
        <is>
          <t>立特拉渦旋音波探頭4.5mm(1條)_一代機</t>
        </is>
      </c>
      <c r="D64" s="356" t="n">
        <v>150000</v>
      </c>
      <c r="E64" s="351" t="inlineStr">
        <is>
          <t>SHOT</t>
        </is>
      </c>
      <c r="F64" s="349" t="n"/>
      <c r="G64" s="366" t="n"/>
      <c r="H64" s="367" t="n">
        <v>0</v>
      </c>
      <c r="I64" s="367" t="n">
        <v>0.05</v>
      </c>
      <c r="J64" s="367" t="n">
        <v>0.01</v>
      </c>
      <c r="K64" s="367" t="n">
        <v>0.1</v>
      </c>
      <c r="L64" s="367" t="n">
        <v>0.03</v>
      </c>
      <c r="M64" s="367" t="n">
        <v>0.01</v>
      </c>
      <c r="N64" s="367" t="n">
        <v>0.01</v>
      </c>
      <c r="O64" s="367" t="n">
        <v>0.01</v>
      </c>
      <c r="P64" s="367" t="n">
        <v>0.01</v>
      </c>
      <c r="Q64" s="367" t="n">
        <v>0.03</v>
      </c>
      <c r="R64" s="367" t="n">
        <v>0.05</v>
      </c>
      <c r="S64" s="367" t="n">
        <v>0.03</v>
      </c>
      <c r="T64" s="367" t="n">
        <v>0.09</v>
      </c>
      <c r="U64" s="367" t="n">
        <v>0</v>
      </c>
      <c r="V64" s="367" t="n">
        <v>0</v>
      </c>
      <c r="W64" s="367" t="n">
        <v>0.02</v>
      </c>
      <c r="X64" s="367" t="n">
        <v>0.02</v>
      </c>
      <c r="Y64" s="367" t="n">
        <v>0</v>
      </c>
      <c r="Z64" s="367" t="n">
        <v>0.04</v>
      </c>
      <c r="AA64" s="367" t="n">
        <v>0.05</v>
      </c>
      <c r="AB64" s="367" t="n">
        <v>0.01</v>
      </c>
      <c r="AC64" s="367" t="n">
        <v>0.04</v>
      </c>
      <c r="AD64" s="367" t="n">
        <v>0.02</v>
      </c>
      <c r="AE64" s="367" t="n">
        <v>0.03</v>
      </c>
      <c r="AF64" s="367" t="n">
        <v>0.02</v>
      </c>
      <c r="AG64" s="368" t="n">
        <v>0.01889</v>
      </c>
      <c r="AH64" s="368" t="n">
        <v>0</v>
      </c>
      <c r="AI64" s="368" t="n">
        <v>0.0102</v>
      </c>
      <c r="AJ64" s="368" t="n">
        <v>0.01333</v>
      </c>
      <c r="AK64" s="368" t="n">
        <v>0.04358</v>
      </c>
      <c r="AL64" s="368" t="n">
        <v>0.02565</v>
      </c>
      <c r="AM64" s="368" t="n">
        <v>0.02103</v>
      </c>
      <c r="AN64" s="368" t="n">
        <v>0.07267</v>
      </c>
      <c r="AO64" s="368" t="n">
        <v>0.13272</v>
      </c>
      <c r="AP64" s="369" t="n">
        <v>0.23</v>
      </c>
      <c r="AQ64" s="537" t="n">
        <v>0.49098</v>
      </c>
      <c r="AR64" s="366">
        <f>389748/D64</f>
        <v/>
      </c>
      <c r="AS64" s="356">
        <f>SUM(AG64:AR64)</f>
        <v/>
      </c>
      <c r="AT64" s="534">
        <f>AS64/12</f>
        <v/>
      </c>
      <c r="AU64" s="355" t="n">
        <v>270000</v>
      </c>
      <c r="AV64" s="355" t="n">
        <v>77502</v>
      </c>
      <c r="AW64" s="355" t="n">
        <v>152733</v>
      </c>
      <c r="AX64" s="355" t="n">
        <v>178837</v>
      </c>
      <c r="AY64" s="355" t="n">
        <v>286928</v>
      </c>
      <c r="AZ64" s="355">
        <f>SUMIFS(領用表!$L:$L,領用表!$E:$E,$B64,領用表!$B:$B,AZ$2&amp;$BI$1)</f>
        <v/>
      </c>
      <c r="BA64" s="355">
        <f>SUMIFS(領用表!$L:$L,領用表!$E:$E,$B64,領用表!$B:$B,BA$2&amp;$BI$1)</f>
        <v/>
      </c>
      <c r="BB64" s="355">
        <f>SUMIFS(領用表!$L:$L,領用表!$E:$E,$B64,領用表!$B:$B,BB$2&amp;$BI$1)</f>
        <v/>
      </c>
      <c r="BC64" s="355">
        <f>SUMIFS(領用表!$L:$L,領用表!$E:$E,$B64,領用表!$B:$B,BC$2&amp;$BI$1)</f>
        <v/>
      </c>
      <c r="BD64" s="208">
        <f>SUMIFS(領用表!$L:$L,領用表!$E:$E,$B64,領用表!$B:$B,BD$2&amp;$BI$1)</f>
        <v/>
      </c>
      <c r="BE64" s="208">
        <f>SUMIFS(領用表!$L:$L,領用表!$E:$E,$B64,領用表!$B:$B,BE$2&amp;$BI$1)</f>
        <v/>
      </c>
      <c r="BF64" s="208">
        <f>SUMIFS(領用表!$L:$L,領用表!$E:$E,$B64,領用表!$B:$B,BF$2&amp;$BI$1)</f>
        <v/>
      </c>
      <c r="BG64" s="358">
        <f>SUM(AU64,AV64,AW64,AX64,AY64,AZ64,BA64,BB64,BC64,BD64,BE64,BF64)</f>
        <v/>
      </c>
      <c r="BH64" s="358">
        <f>AVERAGE(AU64,AV64,AW64,AX64,AY64,AZ64,BA64,BB64,BC64,BD64,BE64,BF64)</f>
        <v/>
      </c>
      <c r="BI64" s="208">
        <f>SUMIFS(領用表!$L:$L,領用表!$E:$E,$B64,領用表!$B:$B,BI$2&amp;$BI$1)</f>
        <v/>
      </c>
      <c r="BJ64" s="208">
        <f>SUMIFS(領用表!$L:$L,領用表!$E:$E,$B64,領用表!$B:$B,BJ$2&amp;$BI$1)</f>
        <v/>
      </c>
      <c r="BK64" s="208">
        <f>SUMIFS(領用表!$L:$L,領用表!$E:$E,$B64,領用表!$B:$B,BK$2&amp;$BI$1)</f>
        <v/>
      </c>
      <c r="BL64" s="208">
        <f>SUMIFS(領用表!$L:$L,領用表!$E:$E,$B64,領用表!$B:$B,BL$2&amp;$BI$1)</f>
        <v/>
      </c>
      <c r="BM64" s="208">
        <f>SUMIFS(領用表!$L:$L,領用表!$E:$E,$B64,領用表!$B:$B,BM$2&amp;$BI$1)</f>
        <v/>
      </c>
      <c r="BN64" s="208">
        <f>SUMIFS(領用表!$L:$L,領用表!$E:$E,$B64,領用表!$B:$B,BN$2&amp;$BI$1)</f>
        <v/>
      </c>
      <c r="BO64" s="208">
        <f>SUMIFS(領用表!$L:$L,領用表!$E:$E,$B64,領用表!$B:$B,BO$2&amp;$BI$1)</f>
        <v/>
      </c>
      <c r="BP64" s="208">
        <f>SUMIFS(領用表!$L:$L,領用表!$E:$E,$B64,領用表!$B:$B,BP$2&amp;$BI$1)</f>
        <v/>
      </c>
      <c r="BQ64" s="208">
        <f>SUMIFS(領用表!$L:$L,領用表!$E:$E,$B64,領用表!$B:$B,BQ$2&amp;$BI$1)</f>
        <v/>
      </c>
      <c r="BR64" s="208">
        <f>SUMIFS(領用表!$L:$L,領用表!$E:$E,$B64,領用表!$B:$B,BR$2&amp;$BI$1)</f>
        <v/>
      </c>
      <c r="BS64" s="208">
        <f>SUMIFS(領用表!$L:$L,領用表!$E:$E,$B64,領用表!$B:$B,BS$2&amp;$BI$1)</f>
        <v/>
      </c>
      <c r="BT64" s="208">
        <f>SUMIFS(領用表!$L:$L,領用表!$E:$E,$B64,領用表!$B:$B,BT$2&amp;$BI$1)</f>
        <v/>
      </c>
      <c r="BU64" s="208">
        <f>SUM(BI64,BJ64,BK64,BL64,BM64,BN64)</f>
        <v/>
      </c>
      <c r="BV64" s="208">
        <f>AVERAGE(BI64,BJ64,BK64,BL64,BM64,BN64)</f>
        <v/>
      </c>
      <c r="BW64" s="208">
        <f>SUMIF(Summary!B:B,B64,Summary!DZ:DZ)</f>
        <v/>
      </c>
      <c r="BX64" s="359" t="n"/>
      <c r="BY64" s="371" t="n"/>
      <c r="BZ64" s="356" t="n"/>
      <c r="CA64" s="356" t="n"/>
      <c r="CB64" s="536" t="inlineStr">
        <is>
          <t>2025/5/22站前收回2台</t>
        </is>
      </c>
      <c r="CC64" s="372" t="n"/>
      <c r="CE64" s="213" t="n"/>
    </row>
    <row r="65" ht="15.75" customFormat="1" customHeight="1" s="118">
      <c r="A65" s="136" t="inlineStr">
        <is>
          <t>MM2MB040018A</t>
        </is>
      </c>
      <c r="B65" s="118" t="n">
        <v>6170032</v>
      </c>
      <c r="C65" s="133" t="inlineStr">
        <is>
          <t>立特拉A2筆型探頭3.0mm(1發)</t>
        </is>
      </c>
      <c r="D65" s="23" t="n">
        <v>240500</v>
      </c>
      <c r="E65" s="282" t="inlineStr">
        <is>
          <t>SHOT</t>
        </is>
      </c>
      <c r="F65" s="349">
        <f>(D65*2)+(29958)+(210353)</f>
        <v/>
      </c>
      <c r="G65" s="360" t="n"/>
      <c r="H65" s="200" t="n"/>
      <c r="I65" s="200" t="n"/>
      <c r="J65" s="200" t="n"/>
      <c r="K65" s="200" t="n"/>
      <c r="L65" s="200" t="n"/>
      <c r="M65" s="200" t="n"/>
      <c r="N65" s="200" t="n"/>
      <c r="O65" s="200" t="n"/>
      <c r="P65" s="200" t="n"/>
      <c r="Q65" s="200" t="n"/>
      <c r="R65" s="200" t="n"/>
      <c r="S65" s="200" t="n"/>
      <c r="T65" s="200" t="n"/>
      <c r="U65" s="200" t="n"/>
      <c r="V65" s="200" t="n"/>
      <c r="W65" s="200" t="n"/>
      <c r="X65" s="200" t="n"/>
      <c r="Y65" s="200" t="n"/>
      <c r="Z65" s="200" t="n"/>
      <c r="AA65" s="200" t="n"/>
      <c r="AB65" s="200" t="n"/>
      <c r="AC65" s="200" t="n"/>
      <c r="AD65" s="200" t="n"/>
      <c r="AE65" s="200" t="n"/>
      <c r="AF65" s="200" t="n"/>
      <c r="AG65" s="221" t="n"/>
      <c r="AH65" s="221" t="n"/>
      <c r="AI65" s="221" t="n"/>
      <c r="AJ65" s="221" t="n"/>
      <c r="AK65" s="221" t="n"/>
      <c r="AL65" s="221" t="n"/>
      <c r="AM65" s="221" t="n"/>
      <c r="AN65" s="221" t="n"/>
      <c r="AO65" s="221" t="n"/>
      <c r="AP65" s="201" t="n"/>
      <c r="AQ65" s="512" t="n"/>
      <c r="AR65" s="203" t="n"/>
      <c r="AS65" s="204" t="inlineStr">
        <is>
          <t>-</t>
        </is>
      </c>
      <c r="AT65" s="204" t="inlineStr">
        <is>
          <t>-</t>
        </is>
      </c>
      <c r="AU65" s="204" t="inlineStr">
        <is>
          <t>-</t>
        </is>
      </c>
      <c r="AV65" s="204" t="inlineStr">
        <is>
          <t>-</t>
        </is>
      </c>
      <c r="AW65" s="204" t="inlineStr">
        <is>
          <t>-</t>
        </is>
      </c>
      <c r="AX65" s="204" t="inlineStr">
        <is>
          <t>-</t>
        </is>
      </c>
      <c r="AY65" s="203" t="n">
        <v>104015</v>
      </c>
      <c r="AZ65" s="203">
        <f>SUMIFS(領用表!$L:$L,領用表!$E:$E,$B65,領用表!$B:$B,AZ$2&amp;$BI$1)</f>
        <v/>
      </c>
      <c r="BA65" s="203">
        <f>SUMIFS(領用表!$L:$L,領用表!$E:$E,$B65,領用表!$B:$B,BA$2&amp;$BI$1)</f>
        <v/>
      </c>
      <c r="BB65" s="203">
        <f>SUMIFS(領用表!$L:$L,領用表!$E:$E,$B65,領用表!$B:$B,BB$2&amp;$BI$1)</f>
        <v/>
      </c>
      <c r="BC65" s="203">
        <f>SUMIFS(領用表!$L:$L,領用表!$E:$E,$B65,領用表!$B:$B,BC$2&amp;$BI$1)</f>
        <v/>
      </c>
      <c r="BD65" s="208">
        <f>SUMIFS(領用表!$L:$L,領用表!$E:$E,$B65,領用表!$B:$B,BD$2&amp;$BI$1)</f>
        <v/>
      </c>
      <c r="BE65" s="208">
        <f>SUMIFS(領用表!$L:$L,領用表!$E:$E,$B65,領用表!$B:$B,BE$2&amp;$BI$1)</f>
        <v/>
      </c>
      <c r="BF65" s="208">
        <f>SUMIFS(領用表!$L:$L,領用表!$E:$E,$B65,領用表!$B:$B,BF$2&amp;$BI$1)</f>
        <v/>
      </c>
      <c r="BG65" s="207">
        <f>SUM(AU65,AV65,AW65,AX65,AY65,AZ65,BA65,BB65,BC65,BD65,BE65,BF65)</f>
        <v/>
      </c>
      <c r="BH65" s="207">
        <f>AVERAGE(AU65,AV65,AW65,AX65,AY65,AZ65,BA65,BB65,BC65,BD65,BE65,BF65)</f>
        <v/>
      </c>
      <c r="BI65" s="208">
        <f>SUMIFS(領用表!$L:$L,領用表!$E:$E,$B65,領用表!$B:$B,BI$2&amp;$BI$1)</f>
        <v/>
      </c>
      <c r="BJ65" s="208">
        <f>SUMIFS(領用表!$L:$L,領用表!$E:$E,$B65,領用表!$B:$B,BJ$2&amp;$BI$1)</f>
        <v/>
      </c>
      <c r="BK65" s="208">
        <f>SUMIFS(領用表!$L:$L,領用表!$E:$E,$B65,領用表!$B:$B,BK$2&amp;$BI$1)</f>
        <v/>
      </c>
      <c r="BL65" s="208">
        <f>SUMIFS(領用表!$L:$L,領用表!$E:$E,$B65,領用表!$B:$B,BL$2&amp;$BI$1)</f>
        <v/>
      </c>
      <c r="BM65" s="208">
        <f>SUMIFS(領用表!$L:$L,領用表!$E:$E,$B65,領用表!$B:$B,BM$2&amp;$BI$1)</f>
        <v/>
      </c>
      <c r="BN65" s="208" t="n">
        <v>54000</v>
      </c>
      <c r="BO65" s="208">
        <f>SUMIFS(領用表!$L:$L,領用表!$E:$E,$B65,領用表!$B:$B,BO$2&amp;$BI$1)</f>
        <v/>
      </c>
      <c r="BP65" s="208">
        <f>SUMIFS(領用表!$L:$L,領用表!$E:$E,$B65,領用表!$B:$B,BP$2&amp;$BI$1)</f>
        <v/>
      </c>
      <c r="BQ65" s="208">
        <f>SUMIFS(領用表!$L:$L,領用表!$E:$E,$B65,領用表!$B:$B,BQ$2&amp;$BI$1)</f>
        <v/>
      </c>
      <c r="BR65" s="208">
        <f>SUMIFS(領用表!$L:$L,領用表!$E:$E,$B65,領用表!$B:$B,BR$2&amp;$BI$1)</f>
        <v/>
      </c>
      <c r="BS65" s="208">
        <f>SUMIFS(領用表!$L:$L,領用表!$E:$E,$B65,領用表!$B:$B,BS$2&amp;$BI$1)</f>
        <v/>
      </c>
      <c r="BT65" s="208">
        <f>SUMIFS(領用表!$L:$L,領用表!$E:$E,$B65,領用表!$B:$B,BT$2&amp;$BI$1)</f>
        <v/>
      </c>
      <c r="BU65" s="208">
        <f>SUM(BI65,BJ65,BK65,BL65,BM65,BN65)</f>
        <v/>
      </c>
      <c r="BV65" s="208">
        <f>AVERAGE(BI65,BJ65,BK65,BL65,BM65,BN65)</f>
        <v/>
      </c>
      <c r="BW65" s="208">
        <f>SUMIF(Summary!B:B,B65,Summary!DZ:DZ)</f>
        <v/>
      </c>
      <c r="BX65" s="215" t="n">
        <v>220000</v>
      </c>
      <c r="BY65" s="538" t="n">
        <v>3455980</v>
      </c>
      <c r="BZ65" s="262" t="inlineStr">
        <is>
          <t>3顆(10/20)</t>
        </is>
      </c>
      <c r="CA65" s="262" t="inlineStr">
        <is>
          <t>2顆(10/20)</t>
        </is>
      </c>
      <c r="CB65" s="526" t="inlineStr">
        <is>
          <t>2025/5/22站前交機2台</t>
        </is>
      </c>
      <c r="CC65" s="136" t="n"/>
      <c r="CE65" s="213" t="n"/>
    </row>
    <row r="66" ht="15.75" customFormat="1" customHeight="1" s="118">
      <c r="A66" s="136" t="inlineStr">
        <is>
          <t>MM2MB040019A</t>
        </is>
      </c>
      <c r="B66" s="118" t="n">
        <v>6170033</v>
      </c>
      <c r="C66" s="133" t="inlineStr">
        <is>
          <t>立特拉A2筆型探頭4.5mm(1發)</t>
        </is>
      </c>
      <c r="D66" s="23" t="n">
        <v>240500</v>
      </c>
      <c r="E66" s="282" t="inlineStr">
        <is>
          <t>SHOT</t>
        </is>
      </c>
      <c r="F66" s="349">
        <f>(D66*2)+(48889)+(68507)</f>
        <v/>
      </c>
      <c r="G66" s="360" t="n"/>
      <c r="H66" s="200" t="n"/>
      <c r="I66" s="200" t="n"/>
      <c r="J66" s="200" t="n"/>
      <c r="K66" s="200" t="n"/>
      <c r="L66" s="200" t="n"/>
      <c r="M66" s="200" t="n"/>
      <c r="N66" s="200" t="n"/>
      <c r="O66" s="200" t="n"/>
      <c r="P66" s="200" t="n"/>
      <c r="Q66" s="200" t="n"/>
      <c r="R66" s="200" t="n"/>
      <c r="S66" s="200" t="n"/>
      <c r="T66" s="200" t="n"/>
      <c r="U66" s="200" t="n"/>
      <c r="V66" s="200" t="n"/>
      <c r="W66" s="200" t="n"/>
      <c r="X66" s="200" t="n"/>
      <c r="Y66" s="200" t="n"/>
      <c r="Z66" s="200" t="n"/>
      <c r="AA66" s="200" t="n"/>
      <c r="AB66" s="200" t="n"/>
      <c r="AC66" s="200" t="n"/>
      <c r="AD66" s="200" t="n"/>
      <c r="AE66" s="200" t="n"/>
      <c r="AF66" s="200" t="n"/>
      <c r="AG66" s="221" t="n"/>
      <c r="AH66" s="221" t="n"/>
      <c r="AI66" s="221" t="n"/>
      <c r="AJ66" s="221" t="n"/>
      <c r="AK66" s="221" t="n"/>
      <c r="AL66" s="221" t="n"/>
      <c r="AM66" s="221" t="n"/>
      <c r="AN66" s="221" t="n"/>
      <c r="AO66" s="221" t="n"/>
      <c r="AP66" s="201" t="n"/>
      <c r="AQ66" s="512" t="n"/>
      <c r="AR66" s="203" t="n"/>
      <c r="AS66" s="204" t="inlineStr">
        <is>
          <t>-</t>
        </is>
      </c>
      <c r="AT66" s="204" t="inlineStr">
        <is>
          <t>-</t>
        </is>
      </c>
      <c r="AU66" s="204" t="inlineStr">
        <is>
          <t>-</t>
        </is>
      </c>
      <c r="AV66" s="204" t="inlineStr">
        <is>
          <t>-</t>
        </is>
      </c>
      <c r="AW66" s="204" t="inlineStr">
        <is>
          <t>-</t>
        </is>
      </c>
      <c r="AX66" s="204" t="inlineStr">
        <is>
          <t>-</t>
        </is>
      </c>
      <c r="AY66" s="203" t="n">
        <v>51108</v>
      </c>
      <c r="AZ66" s="203">
        <f>SUMIFS(領用表!$L:$L,領用表!$E:$E,$B66,領用表!$B:$B,AZ$2&amp;$BI$1)</f>
        <v/>
      </c>
      <c r="BA66" s="203">
        <f>SUMIFS(領用表!$L:$L,領用表!$E:$E,$B66,領用表!$B:$B,BA$2&amp;$BI$1)</f>
        <v/>
      </c>
      <c r="BB66" s="203">
        <f>SUMIFS(領用表!$L:$L,領用表!$E:$E,$B66,領用表!$B:$B,BB$2&amp;$BI$1)</f>
        <v/>
      </c>
      <c r="BC66" s="203">
        <f>SUMIFS(領用表!$L:$L,領用表!$E:$E,$B66,領用表!$B:$B,BC$2&amp;$BI$1)</f>
        <v/>
      </c>
      <c r="BD66" s="208">
        <f>SUMIFS(領用表!$L:$L,領用表!$E:$E,$B66,領用表!$B:$B,BD$2&amp;$BI$1)</f>
        <v/>
      </c>
      <c r="BE66" s="208">
        <f>SUMIFS(領用表!$L:$L,領用表!$E:$E,$B66,領用表!$B:$B,BE$2&amp;$BI$1)</f>
        <v/>
      </c>
      <c r="BF66" s="208">
        <f>SUMIFS(領用表!$L:$L,領用表!$E:$E,$B66,領用表!$B:$B,BF$2&amp;$BI$1)</f>
        <v/>
      </c>
      <c r="BG66" s="207">
        <f>SUM(AU66,AV66,AW66,AX66,AY66,AZ66,BA66,BB66,BC66,BD66,BE66,BF66)</f>
        <v/>
      </c>
      <c r="BH66" s="207">
        <f>AVERAGE(AU66,AV66,AW66,AX66,AY66,AZ66,BA66,BB66,BC66,BD66,BE66,BF66)</f>
        <v/>
      </c>
      <c r="BI66" s="208">
        <f>SUMIFS(領用表!$L:$L,領用表!$E:$E,$B66,領用表!$B:$B,BI$2&amp;$BI$1)</f>
        <v/>
      </c>
      <c r="BJ66" s="208">
        <f>SUMIFS(領用表!$L:$L,領用表!$E:$E,$B66,領用表!$B:$B,BJ$2&amp;$BI$1)</f>
        <v/>
      </c>
      <c r="BK66" s="208">
        <f>SUMIFS(領用表!$L:$L,領用表!$E:$E,$B66,領用表!$B:$B,BK$2&amp;$BI$1)</f>
        <v/>
      </c>
      <c r="BL66" s="208">
        <f>SUMIFS(領用表!$L:$L,領用表!$E:$E,$B66,領用表!$B:$B,BL$2&amp;$BI$1)</f>
        <v/>
      </c>
      <c r="BM66" s="208">
        <f>SUMIFS(領用表!$L:$L,領用表!$E:$E,$B66,領用表!$B:$B,BM$2&amp;$BI$1)</f>
        <v/>
      </c>
      <c r="BN66" s="208" t="n">
        <v>11000</v>
      </c>
      <c r="BO66" s="208">
        <f>SUMIFS(領用表!$L:$L,領用表!$E:$E,$B66,領用表!$B:$B,BO$2&amp;$BI$1)</f>
        <v/>
      </c>
      <c r="BP66" s="208">
        <f>SUMIFS(領用表!$L:$L,領用表!$E:$E,$B66,領用表!$B:$B,BP$2&amp;$BI$1)</f>
        <v/>
      </c>
      <c r="BQ66" s="208">
        <f>SUMIFS(領用表!$L:$L,領用表!$E:$E,$B66,領用表!$B:$B,BQ$2&amp;$BI$1)</f>
        <v/>
      </c>
      <c r="BR66" s="208">
        <f>SUMIFS(領用表!$L:$L,領用表!$E:$E,$B66,領用表!$B:$B,BR$2&amp;$BI$1)</f>
        <v/>
      </c>
      <c r="BS66" s="208">
        <f>SUMIFS(領用表!$L:$L,領用表!$E:$E,$B66,領用表!$B:$B,BS$2&amp;$BI$1)</f>
        <v/>
      </c>
      <c r="BT66" s="208">
        <f>SUMIFS(領用表!$L:$L,領用表!$E:$E,$B66,領用表!$B:$B,BT$2&amp;$BI$1)</f>
        <v/>
      </c>
      <c r="BU66" s="208">
        <f>SUM(BI66,BJ66,BK66,BL66,BM66,BN66)</f>
        <v/>
      </c>
      <c r="BV66" s="208">
        <f>AVERAGE(BI66,BJ66,BK66,BL66,BM66,BN66)</f>
        <v/>
      </c>
      <c r="BW66" s="208">
        <f>SUMIF(Summary!B:B,B66,Summary!DZ:DZ)</f>
        <v/>
      </c>
      <c r="BX66" s="215" t="n">
        <v>88000</v>
      </c>
      <c r="BY66" s="515" t="n"/>
      <c r="BZ66" s="262" t="inlineStr">
        <is>
          <t>1顆(10/20)</t>
        </is>
      </c>
      <c r="CA66" s="262" t="inlineStr">
        <is>
          <t>2顆(10/20)</t>
        </is>
      </c>
      <c r="CB66" s="526" t="inlineStr">
        <is>
          <t>2025/5/22站前交機2台</t>
        </is>
      </c>
      <c r="CC66" s="136" t="n"/>
      <c r="CE66" s="213" t="n"/>
    </row>
    <row r="67" ht="15.75" customFormat="1" customHeight="1" s="118">
      <c r="A67" s="136" t="inlineStr">
        <is>
          <t>MM2MD070001A</t>
        </is>
      </c>
      <c r="B67" s="118" t="n">
        <v>6220005</v>
      </c>
      <c r="C67" s="118" t="inlineStr">
        <is>
          <t>海菲秀深藍端頭(1入)</t>
        </is>
      </c>
      <c r="D67" s="207" t="n">
        <v>15</v>
      </c>
      <c r="E67" s="198" t="inlineStr">
        <is>
          <t>PCS</t>
        </is>
      </c>
      <c r="F67" s="349" t="n">
        <v>316</v>
      </c>
      <c r="G67" s="349" t="n"/>
      <c r="H67" s="200" t="n">
        <v>0.07000000000000001</v>
      </c>
      <c r="I67" s="200" t="n">
        <v>0</v>
      </c>
      <c r="J67" s="200" t="n">
        <v>0.07000000000000001</v>
      </c>
      <c r="K67" s="200" t="n">
        <v>1.33</v>
      </c>
      <c r="L67" s="200" t="n">
        <v>1.93</v>
      </c>
      <c r="M67" s="200" t="n">
        <v>2.47</v>
      </c>
      <c r="N67" s="200" t="n">
        <v>2.73</v>
      </c>
      <c r="O67" s="200" t="n">
        <v>3.47</v>
      </c>
      <c r="P67" s="200" t="n">
        <v>4.13</v>
      </c>
      <c r="Q67" s="200" t="n">
        <v>4.73</v>
      </c>
      <c r="R67" s="200" t="n">
        <v>6.2</v>
      </c>
      <c r="S67" s="200" t="n">
        <v>7.33</v>
      </c>
      <c r="T67" s="200" t="n">
        <v>7.13</v>
      </c>
      <c r="U67" s="200" t="n">
        <v>4.53</v>
      </c>
      <c r="V67" s="200" t="n">
        <v>4.2</v>
      </c>
      <c r="W67" s="200" t="n">
        <v>5.67</v>
      </c>
      <c r="X67" s="200" t="n">
        <v>5.27</v>
      </c>
      <c r="Y67" s="200" t="n">
        <v>5.8</v>
      </c>
      <c r="Z67" s="200" t="n">
        <v>6.67</v>
      </c>
      <c r="AA67" s="200" t="n">
        <v>8.199999999999999</v>
      </c>
      <c r="AB67" s="200" t="n">
        <v>6.87</v>
      </c>
      <c r="AC67" s="200" t="n">
        <v>8.07</v>
      </c>
      <c r="AD67" s="200" t="n">
        <v>7.2</v>
      </c>
      <c r="AE67" s="200" t="n">
        <v>6</v>
      </c>
      <c r="AF67" s="200" t="n">
        <v>6.87</v>
      </c>
      <c r="AG67" s="221" t="n">
        <v>8.4</v>
      </c>
      <c r="AH67" s="221" t="n">
        <v>8.199999999999999</v>
      </c>
      <c r="AI67" s="221" t="n">
        <v>9.4</v>
      </c>
      <c r="AJ67" s="221" t="n">
        <v>8.6</v>
      </c>
      <c r="AK67" s="221" t="n">
        <v>10.7333</v>
      </c>
      <c r="AL67" s="221" t="n">
        <v>12</v>
      </c>
      <c r="AM67" s="221" t="n">
        <v>15.4</v>
      </c>
      <c r="AN67" s="221" t="n">
        <v>30.7333</v>
      </c>
      <c r="AO67" s="221" t="n">
        <v>25.53333333</v>
      </c>
      <c r="AP67" s="201" t="n">
        <v>24.8</v>
      </c>
      <c r="AQ67" s="512" t="n">
        <v>27.8</v>
      </c>
      <c r="AR67" s="203">
        <f>435/D67</f>
        <v/>
      </c>
      <c r="AS67" s="204">
        <f>SUM(AG67:AR67)</f>
        <v/>
      </c>
      <c r="AT67" s="513">
        <f>AS67/12</f>
        <v/>
      </c>
      <c r="AU67" s="203" t="n">
        <v>813</v>
      </c>
      <c r="AV67" s="203" t="n">
        <v>567</v>
      </c>
      <c r="AW67" s="203" t="n">
        <v>731</v>
      </c>
      <c r="AX67" s="203" t="n">
        <v>552</v>
      </c>
      <c r="AY67" s="203" t="n">
        <v>572</v>
      </c>
      <c r="AZ67" s="203">
        <f>SUMIFS(領用表!$L:$L,領用表!$E:$E,$B67,領用表!$B:$B,AZ$2&amp;$BI$1)</f>
        <v/>
      </c>
      <c r="BA67" s="203">
        <f>SUMIFS(領用表!$L:$L,領用表!$E:$E,$B67,領用表!$B:$B,BA$2&amp;$BI$1)</f>
        <v/>
      </c>
      <c r="BB67" s="203">
        <f>SUMIFS(領用表!$L:$L,領用表!$E:$E,$B67,領用表!$B:$B,BB$2&amp;$BI$1)</f>
        <v/>
      </c>
      <c r="BC67" s="203">
        <f>SUMIFS(領用表!$L:$L,領用表!$E:$E,$B67,領用表!$B:$B,BC$2&amp;$BI$1)</f>
        <v/>
      </c>
      <c r="BD67" s="208">
        <f>SUMIFS(領用表!$L:$L,領用表!$E:$E,$B67,領用表!$B:$B,BD$2&amp;$BI$1)</f>
        <v/>
      </c>
      <c r="BE67" s="208">
        <f>SUMIFS(領用表!$L:$L,領用表!$E:$E,$B67,領用表!$B:$B,BE$2&amp;$BI$1)</f>
        <v/>
      </c>
      <c r="BF67" s="208">
        <f>SUMIFS(領用表!$L:$L,領用表!$E:$E,$B67,領用表!$B:$B,BF$2&amp;$BI$1)</f>
        <v/>
      </c>
      <c r="BG67" s="207">
        <f>SUM(AU67,AV67,AW67,AX67,AY67,AZ67,BA67,BB67,BC67,BD67,BE67,BF67)</f>
        <v/>
      </c>
      <c r="BH67" s="207">
        <f>AVERAGE(AU67,AV67,AW67,AX67,AY67,AZ67,BA67,BB67,BC67,BD67,BE67,BF67)</f>
        <v/>
      </c>
      <c r="BI67" s="208">
        <f>SUMIFS(領用表!$L:$L,領用表!$E:$E,$B67,領用表!$B:$B,BI$2&amp;$BI$1)</f>
        <v/>
      </c>
      <c r="BJ67" s="208">
        <f>SUMIFS(領用表!$L:$L,領用表!$E:$E,$B67,領用表!$B:$B,BJ$2&amp;$BI$1)</f>
        <v/>
      </c>
      <c r="BK67" s="208">
        <f>SUMIFS(領用表!$L:$L,領用表!$E:$E,$B67,領用表!$B:$B,BK$2&amp;$BI$1)</f>
        <v/>
      </c>
      <c r="BL67" s="208">
        <f>SUMIFS(領用表!$L:$L,領用表!$E:$E,$B67,領用表!$B:$B,BL$2&amp;$BI$1)</f>
        <v/>
      </c>
      <c r="BM67" s="208">
        <f>SUMIFS(領用表!$L:$L,領用表!$E:$E,$B67,領用表!$B:$B,BM$2&amp;$BI$1)</f>
        <v/>
      </c>
      <c r="BN67" s="208" t="n">
        <v>137</v>
      </c>
      <c r="BO67" s="208">
        <f>SUMIFS(領用表!$L:$L,領用表!$E:$E,$B67,領用表!$B:$B,BO$2&amp;$BI$1)</f>
        <v/>
      </c>
      <c r="BP67" s="208">
        <f>SUMIFS(領用表!$L:$L,領用表!$E:$E,$B67,領用表!$B:$B,BP$2&amp;$BI$1)</f>
        <v/>
      </c>
      <c r="BQ67" s="208">
        <f>SUMIFS(領用表!$L:$L,領用表!$E:$E,$B67,領用表!$B:$B,BQ$2&amp;$BI$1)</f>
        <v/>
      </c>
      <c r="BR67" s="208">
        <f>SUMIFS(領用表!$L:$L,領用表!$E:$E,$B67,領用表!$B:$B,BR$2&amp;$BI$1)</f>
        <v/>
      </c>
      <c r="BS67" s="208">
        <f>SUMIFS(領用表!$L:$L,領用表!$E:$E,$B67,領用表!$B:$B,BS$2&amp;$BI$1)</f>
        <v/>
      </c>
      <c r="BT67" s="208">
        <f>SUMIFS(領用表!$L:$L,領用表!$E:$E,$B67,領用表!$B:$B,BT$2&amp;$BI$1)</f>
        <v/>
      </c>
      <c r="BU67" s="208">
        <f>SUM(BI67,BJ67,BK67,BL67,BM67,BN67)</f>
        <v/>
      </c>
      <c r="BV67" s="208">
        <f>AVERAGE(BI67,BJ67,BK67,BL67,BM67,BN67)</f>
        <v/>
      </c>
      <c r="BW67" s="208">
        <f>SUMIF(Summary!B:B,B67,Summary!DZ:DZ)</f>
        <v/>
      </c>
      <c r="BX67" s="215" t="n">
        <v>650</v>
      </c>
      <c r="BY67" s="539" t="n"/>
      <c r="BZ67" s="262" t="inlineStr">
        <is>
          <t>825(10/23)</t>
        </is>
      </c>
      <c r="CA67" s="262" t="inlineStr">
        <is>
          <t>750(10/23)</t>
        </is>
      </c>
      <c r="CB67" s="136" t="n"/>
      <c r="CC67" s="136" t="n"/>
      <c r="CE67" s="213" t="n"/>
    </row>
    <row r="68" ht="15.75" customFormat="1" customHeight="1" s="118">
      <c r="A68" s="136" t="inlineStr">
        <is>
          <t>MM2MD070002A</t>
        </is>
      </c>
      <c r="B68" s="118" t="n">
        <v>6220006</v>
      </c>
      <c r="C68" s="118" t="inlineStr">
        <is>
          <t>海菲秀淺藍端頭(1入)</t>
        </is>
      </c>
      <c r="D68" s="207" t="n">
        <v>15</v>
      </c>
      <c r="E68" s="198" t="inlineStr">
        <is>
          <t>PCS</t>
        </is>
      </c>
      <c r="F68" s="349" t="n">
        <v>316</v>
      </c>
      <c r="G68" s="349" t="n"/>
      <c r="H68" s="200" t="n">
        <v>0.07000000000000001</v>
      </c>
      <c r="I68" s="200" t="n">
        <v>0</v>
      </c>
      <c r="J68" s="200" t="n">
        <v>0.07000000000000001</v>
      </c>
      <c r="K68" s="200" t="n">
        <v>1.33</v>
      </c>
      <c r="L68" s="200" t="n">
        <v>1.93</v>
      </c>
      <c r="M68" s="200" t="n">
        <v>2.47</v>
      </c>
      <c r="N68" s="200" t="n">
        <v>2.73</v>
      </c>
      <c r="O68" s="200" t="n">
        <v>3.47</v>
      </c>
      <c r="P68" s="200" t="n">
        <v>4.13</v>
      </c>
      <c r="Q68" s="200" t="n">
        <v>4.73</v>
      </c>
      <c r="R68" s="200" t="n">
        <v>6.2</v>
      </c>
      <c r="S68" s="200" t="n">
        <v>7.33</v>
      </c>
      <c r="T68" s="200" t="n">
        <v>7.13</v>
      </c>
      <c r="U68" s="200" t="n">
        <v>4.53</v>
      </c>
      <c r="V68" s="200" t="n">
        <v>4.2</v>
      </c>
      <c r="W68" s="200" t="n">
        <v>5.67</v>
      </c>
      <c r="X68" s="200" t="n">
        <v>5.27</v>
      </c>
      <c r="Y68" s="200" t="n">
        <v>5.8</v>
      </c>
      <c r="Z68" s="200" t="n">
        <v>6.67</v>
      </c>
      <c r="AA68" s="200" t="n">
        <v>8.199999999999999</v>
      </c>
      <c r="AB68" s="200" t="n">
        <v>6.87</v>
      </c>
      <c r="AC68" s="200" t="n">
        <v>8.07</v>
      </c>
      <c r="AD68" s="200" t="n">
        <v>7.2</v>
      </c>
      <c r="AE68" s="200" t="n">
        <v>6</v>
      </c>
      <c r="AF68" s="200" t="n">
        <v>6.87</v>
      </c>
      <c r="AG68" s="221" t="n">
        <v>8.4</v>
      </c>
      <c r="AH68" s="221" t="n">
        <v>8.199999999999999</v>
      </c>
      <c r="AI68" s="221" t="n">
        <v>9.4</v>
      </c>
      <c r="AJ68" s="221" t="n">
        <v>8.6</v>
      </c>
      <c r="AK68" s="221" t="n">
        <v>10.7333</v>
      </c>
      <c r="AL68" s="221" t="n">
        <v>12</v>
      </c>
      <c r="AM68" s="221" t="n">
        <v>15.4</v>
      </c>
      <c r="AN68" s="221" t="n">
        <v>30.7333</v>
      </c>
      <c r="AO68" s="221" t="n">
        <v>25.53333333</v>
      </c>
      <c r="AP68" s="201" t="n">
        <v>24.8</v>
      </c>
      <c r="AQ68" s="512" t="n">
        <v>27.8</v>
      </c>
      <c r="AR68" s="203">
        <f>435/D68</f>
        <v/>
      </c>
      <c r="AS68" s="204">
        <f>SUM(AG68:AR68)</f>
        <v/>
      </c>
      <c r="AT68" s="513">
        <f>AS68/12</f>
        <v/>
      </c>
      <c r="AU68" s="203" t="n">
        <v>813</v>
      </c>
      <c r="AV68" s="203" t="n">
        <v>567</v>
      </c>
      <c r="AW68" s="203" t="n">
        <v>731</v>
      </c>
      <c r="AX68" s="203" t="n">
        <v>552</v>
      </c>
      <c r="AY68" s="203" t="n">
        <v>572</v>
      </c>
      <c r="AZ68" s="203">
        <f>SUMIFS(領用表!$L:$L,領用表!$E:$E,$B68,領用表!$B:$B,AZ$2&amp;$BI$1)</f>
        <v/>
      </c>
      <c r="BA68" s="203">
        <f>SUMIFS(領用表!$L:$L,領用表!$E:$E,$B68,領用表!$B:$B,BA$2&amp;$BI$1)</f>
        <v/>
      </c>
      <c r="BB68" s="203">
        <f>SUMIFS(領用表!$L:$L,領用表!$E:$E,$B68,領用表!$B:$B,BB$2&amp;$BI$1)</f>
        <v/>
      </c>
      <c r="BC68" s="203">
        <f>SUMIFS(領用表!$L:$L,領用表!$E:$E,$B68,領用表!$B:$B,BC$2&amp;$BI$1)</f>
        <v/>
      </c>
      <c r="BD68" s="208">
        <f>SUMIFS(領用表!$L:$L,領用表!$E:$E,$B68,領用表!$B:$B,BD$2&amp;$BI$1)</f>
        <v/>
      </c>
      <c r="BE68" s="208">
        <f>SUMIFS(領用表!$L:$L,領用表!$E:$E,$B68,領用表!$B:$B,BE$2&amp;$BI$1)</f>
        <v/>
      </c>
      <c r="BF68" s="208">
        <f>SUMIFS(領用表!$L:$L,領用表!$E:$E,$B68,領用表!$B:$B,BF$2&amp;$BI$1)</f>
        <v/>
      </c>
      <c r="BG68" s="207">
        <f>SUM(AU68,AV68,AW68,AX68,AY68,AZ68,BA68,BB68,BC68,BD68,BE68,BF68)</f>
        <v/>
      </c>
      <c r="BH68" s="207">
        <f>AVERAGE(AU68,AV68,AW68,AX68,AY68,AZ68,BA68,BB68,BC68,BD68,BE68,BF68)</f>
        <v/>
      </c>
      <c r="BI68" s="208">
        <f>SUMIFS(領用表!$L:$L,領用表!$E:$E,$B68,領用表!$B:$B,BI$2&amp;$BI$1)</f>
        <v/>
      </c>
      <c r="BJ68" s="208">
        <f>SUMIFS(領用表!$L:$L,領用表!$E:$E,$B68,領用表!$B:$B,BJ$2&amp;$BI$1)</f>
        <v/>
      </c>
      <c r="BK68" s="208">
        <f>SUMIFS(領用表!$L:$L,領用表!$E:$E,$B68,領用表!$B:$B,BK$2&amp;$BI$1)</f>
        <v/>
      </c>
      <c r="BL68" s="208">
        <f>SUMIFS(領用表!$L:$L,領用表!$E:$E,$B68,領用表!$B:$B,BL$2&amp;$BI$1)</f>
        <v/>
      </c>
      <c r="BM68" s="208">
        <f>SUMIFS(領用表!$L:$L,領用表!$E:$E,$B68,領用表!$B:$B,BM$2&amp;$BI$1)</f>
        <v/>
      </c>
      <c r="BN68" s="208" t="n">
        <v>137</v>
      </c>
      <c r="BO68" s="208">
        <f>SUMIFS(領用表!$L:$L,領用表!$E:$E,$B68,領用表!$B:$B,BO$2&amp;$BI$1)</f>
        <v/>
      </c>
      <c r="BP68" s="208">
        <f>SUMIFS(領用表!$L:$L,領用表!$E:$E,$B68,領用表!$B:$B,BP$2&amp;$BI$1)</f>
        <v/>
      </c>
      <c r="BQ68" s="208">
        <f>SUMIFS(領用表!$L:$L,領用表!$E:$E,$B68,領用表!$B:$B,BQ$2&amp;$BI$1)</f>
        <v/>
      </c>
      <c r="BR68" s="208">
        <f>SUMIFS(領用表!$L:$L,領用表!$E:$E,$B68,領用表!$B:$B,BR$2&amp;$BI$1)</f>
        <v/>
      </c>
      <c r="BS68" s="208">
        <f>SUMIFS(領用表!$L:$L,領用表!$E:$E,$B68,領用表!$B:$B,BS$2&amp;$BI$1)</f>
        <v/>
      </c>
      <c r="BT68" s="208">
        <f>SUMIFS(領用表!$L:$L,領用表!$E:$E,$B68,領用表!$B:$B,BT$2&amp;$BI$1)</f>
        <v/>
      </c>
      <c r="BU68" s="208">
        <f>SUM(BI68,BJ68,BK68,BL68,BM68,BN68)</f>
        <v/>
      </c>
      <c r="BV68" s="208">
        <f>AVERAGE(BI68,BJ68,BK68,BL68,BM68,BN68)</f>
        <v/>
      </c>
      <c r="BW68" s="208">
        <f>SUMIF(Summary!B:B,B68,Summary!DZ:DZ)</f>
        <v/>
      </c>
      <c r="BX68" s="215" t="n">
        <v>650</v>
      </c>
      <c r="BY68" s="514" t="n"/>
      <c r="BZ68" s="262" t="inlineStr">
        <is>
          <t>825(10/23)</t>
        </is>
      </c>
      <c r="CA68" s="262" t="inlineStr">
        <is>
          <t>750(10/23)</t>
        </is>
      </c>
      <c r="CB68" s="136" t="n"/>
      <c r="CC68" s="136" t="n"/>
      <c r="CE68" s="213" t="n"/>
    </row>
    <row r="69" ht="15.75" customFormat="1" customHeight="1" s="118">
      <c r="A69" s="136" t="inlineStr">
        <is>
          <t>MM2MD070003A</t>
        </is>
      </c>
      <c r="B69" s="118" t="n">
        <v>6220007</v>
      </c>
      <c r="C69" s="118" t="inlineStr">
        <is>
          <t>海菲秀透明端頭(1入)</t>
        </is>
      </c>
      <c r="D69" s="207" t="n">
        <v>15</v>
      </c>
      <c r="E69" s="198" t="inlineStr">
        <is>
          <t>PCS</t>
        </is>
      </c>
      <c r="F69" s="349" t="n">
        <v>316</v>
      </c>
      <c r="G69" s="349" t="n"/>
      <c r="H69" s="200" t="n">
        <v>0.07000000000000001</v>
      </c>
      <c r="I69" s="200" t="n">
        <v>0</v>
      </c>
      <c r="J69" s="200" t="n">
        <v>0.07000000000000001</v>
      </c>
      <c r="K69" s="200" t="n">
        <v>1.33</v>
      </c>
      <c r="L69" s="200" t="n">
        <v>1.93</v>
      </c>
      <c r="M69" s="200" t="n">
        <v>2.47</v>
      </c>
      <c r="N69" s="200" t="n">
        <v>2.73</v>
      </c>
      <c r="O69" s="200" t="n">
        <v>3.47</v>
      </c>
      <c r="P69" s="200" t="n">
        <v>4.13</v>
      </c>
      <c r="Q69" s="200" t="n">
        <v>4.73</v>
      </c>
      <c r="R69" s="200" t="n">
        <v>6.2</v>
      </c>
      <c r="S69" s="200" t="n">
        <v>7.33</v>
      </c>
      <c r="T69" s="200" t="n">
        <v>7.13</v>
      </c>
      <c r="U69" s="200" t="n">
        <v>4.53</v>
      </c>
      <c r="V69" s="200" t="n">
        <v>4.2</v>
      </c>
      <c r="W69" s="200" t="n">
        <v>5.67</v>
      </c>
      <c r="X69" s="200" t="n">
        <v>5.27</v>
      </c>
      <c r="Y69" s="200" t="n">
        <v>5.8</v>
      </c>
      <c r="Z69" s="200" t="n">
        <v>6.67</v>
      </c>
      <c r="AA69" s="200" t="n">
        <v>8.199999999999999</v>
      </c>
      <c r="AB69" s="200" t="n">
        <v>6.87</v>
      </c>
      <c r="AC69" s="200" t="n">
        <v>8.07</v>
      </c>
      <c r="AD69" s="200" t="n">
        <v>7.2</v>
      </c>
      <c r="AE69" s="200" t="n">
        <v>6</v>
      </c>
      <c r="AF69" s="200" t="n">
        <v>6.87</v>
      </c>
      <c r="AG69" s="221" t="n">
        <v>8.4</v>
      </c>
      <c r="AH69" s="221" t="n">
        <v>8.199999999999999</v>
      </c>
      <c r="AI69" s="221" t="n">
        <v>9.4</v>
      </c>
      <c r="AJ69" s="221" t="n">
        <v>8.6</v>
      </c>
      <c r="AK69" s="221" t="n">
        <v>10.7333</v>
      </c>
      <c r="AL69" s="221" t="n">
        <v>12</v>
      </c>
      <c r="AM69" s="221" t="n">
        <v>15.4</v>
      </c>
      <c r="AN69" s="221" t="n">
        <v>30.7333</v>
      </c>
      <c r="AO69" s="221" t="n">
        <v>25.53333333</v>
      </c>
      <c r="AP69" s="201" t="n">
        <v>24.8</v>
      </c>
      <c r="AQ69" s="512" t="n">
        <v>27.8</v>
      </c>
      <c r="AR69" s="203">
        <f>435/D69</f>
        <v/>
      </c>
      <c r="AS69" s="204">
        <f>SUM(AG69:AR69)</f>
        <v/>
      </c>
      <c r="AT69" s="513">
        <f>AS69/12</f>
        <v/>
      </c>
      <c r="AU69" s="203" t="n">
        <v>813</v>
      </c>
      <c r="AV69" s="203" t="n">
        <v>567</v>
      </c>
      <c r="AW69" s="203" t="n">
        <v>731</v>
      </c>
      <c r="AX69" s="203" t="n">
        <v>552</v>
      </c>
      <c r="AY69" s="203" t="n">
        <v>572</v>
      </c>
      <c r="AZ69" s="203">
        <f>SUMIFS(領用表!$L:$L,領用表!$E:$E,$B69,領用表!$B:$B,AZ$2&amp;$BI$1)</f>
        <v/>
      </c>
      <c r="BA69" s="203">
        <f>SUMIFS(領用表!$L:$L,領用表!$E:$E,$B69,領用表!$B:$B,BA$2&amp;$BI$1)</f>
        <v/>
      </c>
      <c r="BB69" s="203">
        <f>SUMIFS(領用表!$L:$L,領用表!$E:$E,$B69,領用表!$B:$B,BB$2&amp;$BI$1)</f>
        <v/>
      </c>
      <c r="BC69" s="203">
        <f>SUMIFS(領用表!$L:$L,領用表!$E:$E,$B69,領用表!$B:$B,BC$2&amp;$BI$1)</f>
        <v/>
      </c>
      <c r="BD69" s="208">
        <f>SUMIFS(領用表!$L:$L,領用表!$E:$E,$B69,領用表!$B:$B,BD$2&amp;$BI$1)</f>
        <v/>
      </c>
      <c r="BE69" s="208">
        <f>SUMIFS(領用表!$L:$L,領用表!$E:$E,$B69,領用表!$B:$B,BE$2&amp;$BI$1)</f>
        <v/>
      </c>
      <c r="BF69" s="208">
        <f>SUMIFS(領用表!$L:$L,領用表!$E:$E,$B69,領用表!$B:$B,BF$2&amp;$BI$1)</f>
        <v/>
      </c>
      <c r="BG69" s="207">
        <f>SUM(AU69,AV69,AW69,AX69,AY69,AZ69,BA69,BB69,BC69,BD69,BE69,BF69)</f>
        <v/>
      </c>
      <c r="BH69" s="207">
        <f>AVERAGE(AU69,AV69,AW69,AX69,AY69,AZ69,BA69,BB69,BC69,BD69,BE69,BF69)</f>
        <v/>
      </c>
      <c r="BI69" s="208">
        <f>SUMIFS(領用表!$L:$L,領用表!$E:$E,$B69,領用表!$B:$B,BI$2&amp;$BI$1)</f>
        <v/>
      </c>
      <c r="BJ69" s="208">
        <f>SUMIFS(領用表!$L:$L,領用表!$E:$E,$B69,領用表!$B:$B,BJ$2&amp;$BI$1)</f>
        <v/>
      </c>
      <c r="BK69" s="208">
        <f>SUMIFS(領用表!$L:$L,領用表!$E:$E,$B69,領用表!$B:$B,BK$2&amp;$BI$1)</f>
        <v/>
      </c>
      <c r="BL69" s="208">
        <f>SUMIFS(領用表!$L:$L,領用表!$E:$E,$B69,領用表!$B:$B,BL$2&amp;$BI$1)</f>
        <v/>
      </c>
      <c r="BM69" s="208">
        <f>SUMIFS(領用表!$L:$L,領用表!$E:$E,$B69,領用表!$B:$B,BM$2&amp;$BI$1)</f>
        <v/>
      </c>
      <c r="BN69" s="208" t="n">
        <v>137</v>
      </c>
      <c r="BO69" s="208">
        <f>SUMIFS(領用表!$L:$L,領用表!$E:$E,$B69,領用表!$B:$B,BO$2&amp;$BI$1)</f>
        <v/>
      </c>
      <c r="BP69" s="208">
        <f>SUMIFS(領用表!$L:$L,領用表!$E:$E,$B69,領用表!$B:$B,BP$2&amp;$BI$1)</f>
        <v/>
      </c>
      <c r="BQ69" s="208">
        <f>SUMIFS(領用表!$L:$L,領用表!$E:$E,$B69,領用表!$B:$B,BQ$2&amp;$BI$1)</f>
        <v/>
      </c>
      <c r="BR69" s="208">
        <f>SUMIFS(領用表!$L:$L,領用表!$E:$E,$B69,領用表!$B:$B,BR$2&amp;$BI$1)</f>
        <v/>
      </c>
      <c r="BS69" s="208">
        <f>SUMIFS(領用表!$L:$L,領用表!$E:$E,$B69,領用表!$B:$B,BS$2&amp;$BI$1)</f>
        <v/>
      </c>
      <c r="BT69" s="208">
        <f>SUMIFS(領用表!$L:$L,領用表!$E:$E,$B69,領用表!$B:$B,BT$2&amp;$BI$1)</f>
        <v/>
      </c>
      <c r="BU69" s="208">
        <f>SUM(BI69,BJ69,BK69,BL69,BM69,BN69)</f>
        <v/>
      </c>
      <c r="BV69" s="208">
        <f>AVERAGE(BI69,BJ69,BK69,BL69,BM69,BN69)</f>
        <v/>
      </c>
      <c r="BW69" s="208">
        <f>SUMIF(Summary!B:B,B69,Summary!DZ:DZ)</f>
        <v/>
      </c>
      <c r="BX69" s="215" t="n">
        <v>650</v>
      </c>
      <c r="BY69" s="514" t="n"/>
      <c r="BZ69" s="262" t="inlineStr">
        <is>
          <t>825(10/23)</t>
        </is>
      </c>
      <c r="CA69" s="262" t="inlineStr">
        <is>
          <t>750(10/23)</t>
        </is>
      </c>
      <c r="CB69" s="136" t="inlineStr">
        <is>
          <t>已無一代</t>
        </is>
      </c>
      <c r="CC69" s="136" t="n"/>
      <c r="CE69" s="213" t="n"/>
    </row>
    <row r="70" ht="15.75" customFormat="1" customHeight="1" s="118">
      <c r="A70" s="136" t="inlineStr">
        <is>
          <t>MP1MD070012A</t>
        </is>
      </c>
      <c r="B70" s="118" t="n">
        <v>6220012</v>
      </c>
      <c r="C70" s="118" t="inlineStr">
        <is>
          <t>海菲秀 Activ-4 Skin Solution (ml) 二代</t>
        </is>
      </c>
      <c r="D70" s="207" t="n">
        <v>236</v>
      </c>
      <c r="E70" s="198" t="inlineStr">
        <is>
          <t>ML</t>
        </is>
      </c>
      <c r="F70" s="349">
        <f>(D70*17)+(D70*3)</f>
        <v/>
      </c>
      <c r="G70" s="349" t="n"/>
      <c r="H70" s="200" t="n"/>
      <c r="I70" s="200" t="n"/>
      <c r="J70" s="200" t="n"/>
      <c r="K70" s="200" t="n"/>
      <c r="L70" s="200" t="n"/>
      <c r="M70" s="200" t="n"/>
      <c r="N70" s="200" t="n"/>
      <c r="O70" s="200" t="n"/>
      <c r="P70" s="200" t="n"/>
      <c r="Q70" s="200" t="n"/>
      <c r="R70" s="200" t="n"/>
      <c r="S70" s="200" t="n"/>
      <c r="T70" s="200" t="n"/>
      <c r="U70" s="200" t="n"/>
      <c r="V70" s="200" t="n"/>
      <c r="W70" s="200" t="n"/>
      <c r="X70" s="200" t="n"/>
      <c r="Y70" s="200" t="n"/>
      <c r="Z70" s="200" t="n"/>
      <c r="AA70" s="200" t="n"/>
      <c r="AB70" s="200" t="n"/>
      <c r="AC70" s="200" t="n"/>
      <c r="AD70" s="200" t="n"/>
      <c r="AE70" s="200" t="n"/>
      <c r="AF70" s="200" t="n"/>
      <c r="AG70" s="201" t="n">
        <v>11</v>
      </c>
      <c r="AH70" s="201" t="n">
        <v>9</v>
      </c>
      <c r="AI70" s="201" t="n">
        <v>10</v>
      </c>
      <c r="AJ70" s="201" t="n">
        <v>10</v>
      </c>
      <c r="AK70" s="201" t="n">
        <v>8</v>
      </c>
      <c r="AL70" s="201" t="n">
        <v>33</v>
      </c>
      <c r="AM70" s="201" t="n">
        <v>10</v>
      </c>
      <c r="AN70" s="201" t="n">
        <v>41</v>
      </c>
      <c r="AO70" s="201" t="n">
        <v>34</v>
      </c>
      <c r="AP70" s="201" t="n">
        <v>24</v>
      </c>
      <c r="AQ70" s="201" t="n">
        <v>25</v>
      </c>
      <c r="AR70" s="203">
        <f>6608/D70</f>
        <v/>
      </c>
      <c r="AS70" s="204">
        <f>SUM(AG70:AR70)</f>
        <v/>
      </c>
      <c r="AT70" s="513">
        <f>AS70/12</f>
        <v/>
      </c>
      <c r="AU70" s="373" t="n">
        <v>6136</v>
      </c>
      <c r="AV70" s="373" t="n">
        <v>6608</v>
      </c>
      <c r="AW70" s="373" t="n">
        <v>7316</v>
      </c>
      <c r="AX70" s="203" t="n">
        <v>6372</v>
      </c>
      <c r="AY70" s="203" t="n">
        <v>7316</v>
      </c>
      <c r="AZ70" s="203">
        <f>SUMIFS(領用表!$L:$L,領用表!$E:$E,$B70,領用表!$B:$B,AZ$2&amp;$BI$1)</f>
        <v/>
      </c>
      <c r="BA70" s="203">
        <f>SUMIFS(領用表!$L:$L,領用表!$E:$E,$B70,領用表!$B:$B,BA$2&amp;$BI$1)</f>
        <v/>
      </c>
      <c r="BB70" s="203">
        <f>SUMIFS(領用表!$L:$L,領用表!$E:$E,$B70,領用表!$B:$B,BB$2&amp;$BI$1)</f>
        <v/>
      </c>
      <c r="BC70" s="203">
        <f>SUMIFS(領用表!$L:$L,領用表!$E:$E,$B70,領用表!$B:$B,BC$2&amp;$BI$1)</f>
        <v/>
      </c>
      <c r="BD70" s="208">
        <f>SUMIFS(領用表!$L:$L,領用表!$E:$E,$B70,領用表!$B:$B,BD$2&amp;$BI$1)</f>
        <v/>
      </c>
      <c r="BE70" s="208">
        <f>SUMIFS(領用表!$L:$L,領用表!$E:$E,$B70,領用表!$B:$B,BE$2&amp;$BI$1)</f>
        <v/>
      </c>
      <c r="BF70" s="208">
        <f>SUMIFS(領用表!$L:$L,領用表!$E:$E,$B70,領用表!$B:$B,BF$2&amp;$BI$1)</f>
        <v/>
      </c>
      <c r="BG70" s="207">
        <f>SUM(AU70,AV70,AW70,AX70,AY70,AZ70,BA70,BB70,BC70,BD70,BE70,BF70)</f>
        <v/>
      </c>
      <c r="BH70" s="207">
        <f>AVERAGE(AU70,AV70,AW70,AX70,AY70,AZ70,BA70,BB70,BC70,BD70,BE70,BF70)</f>
        <v/>
      </c>
      <c r="BI70" s="208">
        <f>SUMIFS(領用表!$L:$L,領用表!$E:$E,$B70,領用表!$B:$B,BI$2&amp;$BI$1)</f>
        <v/>
      </c>
      <c r="BJ70" s="208">
        <f>SUMIFS(領用表!$L:$L,領用表!$E:$E,$B70,領用表!$B:$B,BJ$2&amp;$BI$1)</f>
        <v/>
      </c>
      <c r="BK70" s="208">
        <f>SUMIFS(領用表!$L:$L,領用表!$E:$E,$B70,領用表!$B:$B,BK$2&amp;$BI$1)</f>
        <v/>
      </c>
      <c r="BL70" s="208">
        <f>SUMIFS(領用表!$L:$L,領用表!$E:$E,$B70,領用表!$B:$B,BL$2&amp;$BI$1)</f>
        <v/>
      </c>
      <c r="BM70" s="208">
        <f>SUMIFS(領用表!$L:$L,領用表!$E:$E,$B70,領用表!$B:$B,BM$2&amp;$BI$1)</f>
        <v/>
      </c>
      <c r="BN70" s="208" t="n">
        <v>2055</v>
      </c>
      <c r="BO70" s="208">
        <f>SUMIFS(領用表!$L:$L,領用表!$E:$E,$B70,領用表!$B:$B,BO$2&amp;$BI$1)</f>
        <v/>
      </c>
      <c r="BP70" s="208">
        <f>SUMIFS(領用表!$L:$L,領用表!$E:$E,$B70,領用表!$B:$B,BP$2&amp;$BI$1)</f>
        <v/>
      </c>
      <c r="BQ70" s="208">
        <f>SUMIFS(領用表!$L:$L,領用表!$E:$E,$B70,領用表!$B:$B,BQ$2&amp;$BI$1)</f>
        <v/>
      </c>
      <c r="BR70" s="208">
        <f>SUMIFS(領用表!$L:$L,領用表!$E:$E,$B70,領用表!$B:$B,BR$2&amp;$BI$1)</f>
        <v/>
      </c>
      <c r="BS70" s="208">
        <f>SUMIFS(領用表!$L:$L,領用表!$E:$E,$B70,領用表!$B:$B,BS$2&amp;$BI$1)</f>
        <v/>
      </c>
      <c r="BT70" s="208">
        <f>SUMIFS(領用表!$L:$L,領用表!$E:$E,$B70,領用表!$B:$B,BT$2&amp;$BI$1)</f>
        <v/>
      </c>
      <c r="BU70" s="208">
        <f>SUM(BI70,BJ70,BK70,BL70,BM70,BN70)</f>
        <v/>
      </c>
      <c r="BV70" s="208">
        <f>AVERAGE(BI70,BJ70,BK70,BL70,BM70,BN70)</f>
        <v/>
      </c>
      <c r="BW70" s="208">
        <f>SUMIF(Summary!B:B,B70,Summary!DZ:DZ)</f>
        <v/>
      </c>
      <c r="BX70" s="215" t="n">
        <v>8500</v>
      </c>
      <c r="BY70" s="514" t="n"/>
      <c r="BZ70" s="262" t="inlineStr">
        <is>
          <t>70瓶(10/23)</t>
        </is>
      </c>
      <c r="CA70" s="262" t="inlineStr">
        <is>
          <t>80瓶(10/23)</t>
        </is>
      </c>
      <c r="CB70" s="136" t="inlineStr">
        <is>
          <t>已無一代</t>
        </is>
      </c>
      <c r="CC70" s="212" t="n"/>
      <c r="CE70" s="213" t="n"/>
    </row>
    <row r="71" ht="15.75" customFormat="1" customHeight="1" s="118">
      <c r="A71" s="136" t="inlineStr">
        <is>
          <t>MP1MD070013A</t>
        </is>
      </c>
      <c r="B71" s="118" t="n">
        <v>6220013</v>
      </c>
      <c r="C71" s="118" t="inlineStr">
        <is>
          <t>海菲秀 Beta-HD Skin Solution (ml) 二代</t>
        </is>
      </c>
      <c r="D71" s="207" t="n">
        <v>236</v>
      </c>
      <c r="E71" s="198" t="inlineStr">
        <is>
          <t>ML</t>
        </is>
      </c>
      <c r="F71" s="349">
        <f>(D71*25)+(D71*0)</f>
        <v/>
      </c>
      <c r="G71" s="349" t="n"/>
      <c r="H71" s="200" t="n"/>
      <c r="I71" s="200" t="n"/>
      <c r="J71" s="200" t="n"/>
      <c r="K71" s="200" t="n"/>
      <c r="L71" s="200" t="n"/>
      <c r="M71" s="200" t="n"/>
      <c r="N71" s="200" t="n"/>
      <c r="O71" s="200" t="n"/>
      <c r="P71" s="200" t="n"/>
      <c r="Q71" s="200" t="n"/>
      <c r="R71" s="200" t="n"/>
      <c r="S71" s="200" t="n"/>
      <c r="T71" s="200" t="n"/>
      <c r="U71" s="200" t="n"/>
      <c r="V71" s="200" t="n"/>
      <c r="W71" s="200" t="n"/>
      <c r="X71" s="200" t="n"/>
      <c r="Y71" s="200" t="n"/>
      <c r="Z71" s="200" t="n"/>
      <c r="AA71" s="200" t="n"/>
      <c r="AB71" s="200" t="n"/>
      <c r="AC71" s="200" t="n"/>
      <c r="AD71" s="200" t="n"/>
      <c r="AE71" s="200" t="n"/>
      <c r="AF71" s="200" t="n"/>
      <c r="AG71" s="201" t="n">
        <v>4</v>
      </c>
      <c r="AH71" s="201" t="n">
        <v>11</v>
      </c>
      <c r="AI71" s="201" t="n">
        <v>11</v>
      </c>
      <c r="AJ71" s="201" t="n">
        <v>15</v>
      </c>
      <c r="AK71" s="201" t="n">
        <v>15</v>
      </c>
      <c r="AL71" s="201" t="n">
        <v>42</v>
      </c>
      <c r="AM71" s="201" t="n">
        <v>24</v>
      </c>
      <c r="AN71" s="201" t="n">
        <v>45</v>
      </c>
      <c r="AO71" s="201" t="n">
        <v>57</v>
      </c>
      <c r="AP71" s="201" t="n">
        <v>47</v>
      </c>
      <c r="AQ71" s="201" t="n">
        <v>38</v>
      </c>
      <c r="AR71" s="203">
        <f>8968/D71</f>
        <v/>
      </c>
      <c r="AS71" s="204">
        <f>SUM(AG71:AR71)</f>
        <v/>
      </c>
      <c r="AT71" s="513">
        <f>AS71/12</f>
        <v/>
      </c>
      <c r="AU71" s="373" t="n">
        <v>11800</v>
      </c>
      <c r="AV71" s="373" t="n">
        <v>12272</v>
      </c>
      <c r="AW71" s="373" t="n">
        <v>12744</v>
      </c>
      <c r="AX71" s="203" t="n">
        <v>11092</v>
      </c>
      <c r="AY71" s="203" t="n">
        <v>11328</v>
      </c>
      <c r="AZ71" s="203">
        <f>SUMIFS(領用表!$L:$L,領用表!$E:$E,$B71,領用表!$B:$B,AZ$2&amp;$BI$1)</f>
        <v/>
      </c>
      <c r="BA71" s="203">
        <f>SUMIFS(領用表!$L:$L,領用表!$E:$E,$B71,領用表!$B:$B,BA$2&amp;$BI$1)</f>
        <v/>
      </c>
      <c r="BB71" s="203">
        <f>SUMIFS(領用表!$L:$L,領用表!$E:$E,$B71,領用表!$B:$B,BB$2&amp;$BI$1)</f>
        <v/>
      </c>
      <c r="BC71" s="203">
        <f>SUMIFS(領用表!$L:$L,領用表!$E:$E,$B71,領用表!$B:$B,BC$2&amp;$BI$1)</f>
        <v/>
      </c>
      <c r="BD71" s="208">
        <f>SUMIFS(領用表!$L:$L,領用表!$E:$E,$B71,領用表!$B:$B,BD$2&amp;$BI$1)</f>
        <v/>
      </c>
      <c r="BE71" s="208">
        <f>SUMIFS(領用表!$L:$L,領用表!$E:$E,$B71,領用表!$B:$B,BE$2&amp;$BI$1)</f>
        <v/>
      </c>
      <c r="BF71" s="208">
        <f>SUMIFS(領用表!$L:$L,領用表!$E:$E,$B71,領用表!$B:$B,BF$2&amp;$BI$1)</f>
        <v/>
      </c>
      <c r="BG71" s="207">
        <f>SUM(AU71,AV71,AW71,AX71,AY71,AZ71,BA71,BB71,BC71,BD71,BE71,BF71)</f>
        <v/>
      </c>
      <c r="BH71" s="207">
        <f>AVERAGE(AU71,AV71,AW71,AX71,AY71,AZ71,BA71,BB71,BC71,BD71,BE71,BF71)</f>
        <v/>
      </c>
      <c r="BI71" s="208">
        <f>SUMIFS(領用表!$L:$L,領用表!$E:$E,$B71,領用表!$B:$B,BI$2&amp;$BI$1)</f>
        <v/>
      </c>
      <c r="BJ71" s="208">
        <f>SUMIFS(領用表!$L:$L,領用表!$E:$E,$B71,領用表!$B:$B,BJ$2&amp;$BI$1)</f>
        <v/>
      </c>
      <c r="BK71" s="208">
        <f>SUMIFS(領用表!$L:$L,領用表!$E:$E,$B71,領用表!$B:$B,BK$2&amp;$BI$1)</f>
        <v/>
      </c>
      <c r="BL71" s="208">
        <f>SUMIFS(領用表!$L:$L,領用表!$E:$E,$B71,領用表!$B:$B,BL$2&amp;$BI$1)</f>
        <v/>
      </c>
      <c r="BM71" s="208">
        <f>SUMIFS(領用表!$L:$L,領用表!$E:$E,$B71,領用表!$B:$B,BM$2&amp;$BI$1)</f>
        <v/>
      </c>
      <c r="BN71" s="208" t="n">
        <v>2055</v>
      </c>
      <c r="BO71" s="208">
        <f>SUMIFS(領用表!$L:$L,領用表!$E:$E,$B71,領用表!$B:$B,BO$2&amp;$BI$1)</f>
        <v/>
      </c>
      <c r="BP71" s="208">
        <f>SUMIFS(領用表!$L:$L,領用表!$E:$E,$B71,領用表!$B:$B,BP$2&amp;$BI$1)</f>
        <v/>
      </c>
      <c r="BQ71" s="208">
        <f>SUMIFS(領用表!$L:$L,領用表!$E:$E,$B71,領用表!$B:$B,BQ$2&amp;$BI$1)</f>
        <v/>
      </c>
      <c r="BR71" s="208">
        <f>SUMIFS(領用表!$L:$L,領用表!$E:$E,$B71,領用表!$B:$B,BR$2&amp;$BI$1)</f>
        <v/>
      </c>
      <c r="BS71" s="208">
        <f>SUMIFS(領用表!$L:$L,領用表!$E:$E,$B71,領用表!$B:$B,BS$2&amp;$BI$1)</f>
        <v/>
      </c>
      <c r="BT71" s="208">
        <f>SUMIFS(領用表!$L:$L,領用表!$E:$E,$B71,領用表!$B:$B,BT$2&amp;$BI$1)</f>
        <v/>
      </c>
      <c r="BU71" s="208">
        <f>SUM(BI71,BJ71,BK71,BL71,BM71,BN71)</f>
        <v/>
      </c>
      <c r="BV71" s="208">
        <f>AVERAGE(BI71,BJ71,BK71,BL71,BM71,BN71)</f>
        <v/>
      </c>
      <c r="BW71" s="208">
        <f>SUMIF(Summary!B:B,B71,Summary!DZ:DZ)</f>
        <v/>
      </c>
      <c r="BX71" s="215" t="n">
        <v>12000</v>
      </c>
      <c r="BY71" s="514" t="n"/>
      <c r="BZ71" s="262" t="inlineStr">
        <is>
          <t>80瓶(10/23)</t>
        </is>
      </c>
      <c r="CA71" s="262" t="inlineStr">
        <is>
          <t>80瓶(10/23)</t>
        </is>
      </c>
      <c r="CB71" s="136" t="inlineStr">
        <is>
          <t>已無一代, 10/5後續都為二代(有貼晶片)</t>
        </is>
      </c>
      <c r="CC71" s="212" t="n"/>
      <c r="CE71" s="213" t="n"/>
    </row>
    <row r="72" ht="15.75" customFormat="1" customHeight="1" s="118">
      <c r="A72" s="136" t="inlineStr">
        <is>
          <t>MP1MD070014A</t>
        </is>
      </c>
      <c r="B72" s="118" t="n">
        <v>6220014</v>
      </c>
      <c r="C72" s="118" t="inlineStr">
        <is>
          <t>海菲秀 Antiox-6 Skin Solution (ml) 二代</t>
        </is>
      </c>
      <c r="D72" s="207" t="n">
        <v>236</v>
      </c>
      <c r="E72" s="198" t="inlineStr">
        <is>
          <t>ML</t>
        </is>
      </c>
      <c r="F72" s="349">
        <f>(D72*51)</f>
        <v/>
      </c>
      <c r="G72" s="349" t="n"/>
      <c r="H72" s="200" t="n"/>
      <c r="I72" s="200" t="n"/>
      <c r="J72" s="200" t="n"/>
      <c r="K72" s="200" t="n"/>
      <c r="L72" s="200" t="n"/>
      <c r="M72" s="200" t="n"/>
      <c r="N72" s="200" t="n"/>
      <c r="O72" s="200" t="n"/>
      <c r="P72" s="200" t="n"/>
      <c r="Q72" s="200" t="n"/>
      <c r="R72" s="200" t="n"/>
      <c r="S72" s="200" t="n"/>
      <c r="T72" s="200" t="n"/>
      <c r="U72" s="200" t="n"/>
      <c r="V72" s="200" t="n"/>
      <c r="W72" s="200" t="n"/>
      <c r="X72" s="200" t="n"/>
      <c r="Y72" s="200" t="n"/>
      <c r="Z72" s="200" t="n"/>
      <c r="AA72" s="200" t="n"/>
      <c r="AB72" s="200" t="n"/>
      <c r="AC72" s="200" t="n"/>
      <c r="AD72" s="200" t="n"/>
      <c r="AE72" s="200" t="n"/>
      <c r="AF72" s="200" t="n"/>
      <c r="AG72" s="201" t="n">
        <v>3</v>
      </c>
      <c r="AH72" s="201" t="n">
        <v>3</v>
      </c>
      <c r="AI72" s="201" t="n">
        <v>3</v>
      </c>
      <c r="AJ72" s="201" t="n">
        <v>4</v>
      </c>
      <c r="AK72" s="201" t="n">
        <v>4</v>
      </c>
      <c r="AL72" s="201" t="n">
        <v>17</v>
      </c>
      <c r="AM72" s="201" t="n">
        <v>6</v>
      </c>
      <c r="AN72" s="201" t="n">
        <v>16</v>
      </c>
      <c r="AO72" s="201" t="n">
        <v>24</v>
      </c>
      <c r="AP72" s="201" t="n">
        <v>14</v>
      </c>
      <c r="AQ72" s="201" t="n">
        <v>25</v>
      </c>
      <c r="AR72" s="203">
        <f>2360/D72</f>
        <v/>
      </c>
      <c r="AS72" s="204">
        <f>SUM(AG72:AR72)</f>
        <v/>
      </c>
      <c r="AT72" s="513">
        <f>AS72/12</f>
        <v/>
      </c>
      <c r="AU72" s="373" t="n">
        <v>4484</v>
      </c>
      <c r="AV72" s="373" t="n">
        <v>2832</v>
      </c>
      <c r="AW72" s="373" t="n">
        <v>4012</v>
      </c>
      <c r="AX72" s="203" t="n">
        <v>3540</v>
      </c>
      <c r="AY72" s="203" t="n">
        <v>2832</v>
      </c>
      <c r="AZ72" s="203">
        <f>SUMIFS(領用表!$L:$L,領用表!$E:$E,$B72,領用表!$B:$B,AZ$2&amp;$BI$1)</f>
        <v/>
      </c>
      <c r="BA72" s="203">
        <f>SUMIFS(領用表!$L:$L,領用表!$E:$E,$B72,領用表!$B:$B,BA$2&amp;$BI$1)</f>
        <v/>
      </c>
      <c r="BB72" s="203">
        <f>SUMIFS(領用表!$L:$L,領用表!$E:$E,$B72,領用表!$B:$B,BB$2&amp;$BI$1)</f>
        <v/>
      </c>
      <c r="BC72" s="203">
        <f>SUMIFS(領用表!$L:$L,領用表!$E:$E,$B72,領用表!$B:$B,BC$2&amp;$BI$1)</f>
        <v/>
      </c>
      <c r="BD72" s="208">
        <f>SUMIFS(領用表!$L:$L,領用表!$E:$E,$B72,領用表!$B:$B,BD$2&amp;$BI$1)</f>
        <v/>
      </c>
      <c r="BE72" s="208">
        <f>SUMIFS(領用表!$L:$L,領用表!$E:$E,$B72,領用表!$B:$B,BE$2&amp;$BI$1)</f>
        <v/>
      </c>
      <c r="BF72" s="208">
        <f>SUMIFS(領用表!$L:$L,領用表!$E:$E,$B72,領用表!$B:$B,BF$2&amp;$BI$1)</f>
        <v/>
      </c>
      <c r="BG72" s="207">
        <f>SUM(AU72,AV72,AW72,AX72,AY72,AZ72,BA72,BB72,BC72,BD72,BE72,BF72)</f>
        <v/>
      </c>
      <c r="BH72" s="207">
        <f>AVERAGE(AU72,AV72,AW72,AX72,AY72,AZ72,BA72,BB72,BC72,BD72,BE72,BF72)</f>
        <v/>
      </c>
      <c r="BI72" s="208">
        <f>SUMIFS(領用表!$L:$L,領用表!$E:$E,$B72,領用表!$B:$B,BI$2&amp;$BI$1)</f>
        <v/>
      </c>
      <c r="BJ72" s="208">
        <f>SUMIFS(領用表!$L:$L,領用表!$E:$E,$B72,領用表!$B:$B,BJ$2&amp;$BI$1)</f>
        <v/>
      </c>
      <c r="BK72" s="208">
        <f>SUMIFS(領用表!$L:$L,領用表!$E:$E,$B72,領用表!$B:$B,BK$2&amp;$BI$1)</f>
        <v/>
      </c>
      <c r="BL72" s="208">
        <f>SUMIFS(領用表!$L:$L,領用表!$E:$E,$B72,領用表!$B:$B,BL$2&amp;$BI$1)</f>
        <v/>
      </c>
      <c r="BM72" s="208">
        <f>SUMIFS(領用表!$L:$L,領用表!$E:$E,$B72,領用表!$B:$B,BM$2&amp;$BI$1)</f>
        <v/>
      </c>
      <c r="BN72" s="208" t="n">
        <v>2055</v>
      </c>
      <c r="BO72" s="208">
        <f>SUMIFS(領用表!$L:$L,領用表!$E:$E,$B72,領用表!$B:$B,BO$2&amp;$BI$1)</f>
        <v/>
      </c>
      <c r="BP72" s="208">
        <f>SUMIFS(領用表!$L:$L,領用表!$E:$E,$B72,領用表!$B:$B,BP$2&amp;$BI$1)</f>
        <v/>
      </c>
      <c r="BQ72" s="208">
        <f>SUMIFS(領用表!$L:$L,領用表!$E:$E,$B72,領用表!$B:$B,BQ$2&amp;$BI$1)</f>
        <v/>
      </c>
      <c r="BR72" s="208">
        <f>SUMIFS(領用表!$L:$L,領用表!$E:$E,$B72,領用表!$B:$B,BR$2&amp;$BI$1)</f>
        <v/>
      </c>
      <c r="BS72" s="208">
        <f>SUMIFS(領用表!$L:$L,領用表!$E:$E,$B72,領用表!$B:$B,BS$2&amp;$BI$1)</f>
        <v/>
      </c>
      <c r="BT72" s="208">
        <f>SUMIFS(領用表!$L:$L,領用表!$E:$E,$B72,領用表!$B:$B,BT$2&amp;$BI$1)</f>
        <v/>
      </c>
      <c r="BU72" s="208">
        <f>SUM(BI72,BJ72,BK72,BL72,BM72,BN72)</f>
        <v/>
      </c>
      <c r="BV72" s="208">
        <f>AVERAGE(BI72,BJ72,BK72,BL72,BM72,BN72)</f>
        <v/>
      </c>
      <c r="BW72" s="208">
        <f>SUMIF(Summary!B:B,B72,Summary!DZ:DZ)</f>
        <v/>
      </c>
      <c r="BX72" s="215" t="n">
        <v>6500</v>
      </c>
      <c r="BY72" s="514" t="n"/>
      <c r="BZ72" s="262" t="inlineStr">
        <is>
          <t>30瓶(10/23)</t>
        </is>
      </c>
      <c r="CA72" s="262" t="inlineStr">
        <is>
          <t>80瓶(10/23)</t>
        </is>
      </c>
      <c r="CB72" s="136" t="n"/>
      <c r="CC72" s="212" t="n"/>
      <c r="CE72" s="213" t="n"/>
    </row>
    <row r="73" ht="15.75" customFormat="1" customHeight="1" s="118">
      <c r="A73" s="136" t="inlineStr">
        <is>
          <t>MP1MD070015A</t>
        </is>
      </c>
      <c r="B73" s="118" t="n">
        <v>6220015</v>
      </c>
      <c r="C73" s="118" t="inlineStr">
        <is>
          <t>海菲秀 Rinseaway System Cleaning Solution (ml) 二代</t>
        </is>
      </c>
      <c r="D73" s="207" t="n">
        <v>236</v>
      </c>
      <c r="E73" s="198" t="inlineStr">
        <is>
          <t>ML</t>
        </is>
      </c>
      <c r="F73" s="349">
        <f>(D73*32)+(D73*31)</f>
        <v/>
      </c>
      <c r="G73" s="349" t="n"/>
      <c r="H73" s="200" t="n"/>
      <c r="I73" s="200" t="n"/>
      <c r="J73" s="200" t="n"/>
      <c r="K73" s="200" t="n"/>
      <c r="L73" s="200" t="n"/>
      <c r="M73" s="200" t="n"/>
      <c r="N73" s="200" t="n"/>
      <c r="O73" s="200" t="n"/>
      <c r="P73" s="200" t="n"/>
      <c r="Q73" s="200" t="n"/>
      <c r="R73" s="200" t="n"/>
      <c r="S73" s="200" t="n"/>
      <c r="T73" s="200" t="n"/>
      <c r="U73" s="200" t="n"/>
      <c r="V73" s="200" t="n"/>
      <c r="W73" s="200" t="n"/>
      <c r="X73" s="200" t="n"/>
      <c r="Y73" s="200" t="n"/>
      <c r="Z73" s="200" t="n"/>
      <c r="AA73" s="200" t="n"/>
      <c r="AB73" s="200" t="n"/>
      <c r="AC73" s="200" t="n"/>
      <c r="AD73" s="200" t="n"/>
      <c r="AE73" s="200" t="n"/>
      <c r="AF73" s="200" t="n"/>
      <c r="AG73" s="201" t="n">
        <v>0</v>
      </c>
      <c r="AH73" s="201" t="n">
        <v>1</v>
      </c>
      <c r="AI73" s="201" t="n">
        <v>1</v>
      </c>
      <c r="AJ73" s="201" t="n">
        <v>2</v>
      </c>
      <c r="AK73" s="201" t="n">
        <v>1</v>
      </c>
      <c r="AL73" s="201" t="n">
        <v>14</v>
      </c>
      <c r="AM73" s="201" t="n">
        <v>2</v>
      </c>
      <c r="AN73" s="201" t="n">
        <v>3</v>
      </c>
      <c r="AO73" s="201" t="n">
        <v>0</v>
      </c>
      <c r="AP73" s="201" t="n">
        <v>0</v>
      </c>
      <c r="AQ73" s="201" t="n">
        <v>0</v>
      </c>
      <c r="AR73" s="203">
        <f>708/D73</f>
        <v/>
      </c>
      <c r="AS73" s="204">
        <f>SUM(AG73:AR73)</f>
        <v/>
      </c>
      <c r="AT73" s="513">
        <f>AS73/12</f>
        <v/>
      </c>
      <c r="AU73" s="373" t="n">
        <v>1416</v>
      </c>
      <c r="AV73" s="373" t="n">
        <v>1416</v>
      </c>
      <c r="AW73" s="373" t="n">
        <v>1652</v>
      </c>
      <c r="AX73" s="203" t="n">
        <v>708</v>
      </c>
      <c r="AY73" s="203" t="n">
        <v>1652</v>
      </c>
      <c r="AZ73" s="203">
        <f>SUMIFS(領用表!$L:$L,領用表!$E:$E,$B73,領用表!$B:$B,AZ$2&amp;$BI$1)</f>
        <v/>
      </c>
      <c r="BA73" s="203">
        <f>SUMIFS(領用表!$L:$L,領用表!$E:$E,$B73,領用表!$B:$B,BA$2&amp;$BI$1)</f>
        <v/>
      </c>
      <c r="BB73" s="203">
        <f>SUMIFS(領用表!$L:$L,領用表!$E:$E,$B73,領用表!$B:$B,BB$2&amp;$BI$1)</f>
        <v/>
      </c>
      <c r="BC73" s="203">
        <f>SUMIFS(領用表!$L:$L,領用表!$E:$E,$B73,領用表!$B:$B,BC$2&amp;$BI$1)</f>
        <v/>
      </c>
      <c r="BD73" s="208">
        <f>SUMIFS(領用表!$L:$L,領用表!$E:$E,$B73,領用表!$B:$B,BD$2&amp;$BI$1)</f>
        <v/>
      </c>
      <c r="BE73" s="208">
        <f>SUMIFS(領用表!$L:$L,領用表!$E:$E,$B73,領用表!$B:$B,BE$2&amp;$BI$1)</f>
        <v/>
      </c>
      <c r="BF73" s="208">
        <f>SUMIFS(領用表!$L:$L,領用表!$E:$E,$B73,領用表!$B:$B,BF$2&amp;$BI$1)</f>
        <v/>
      </c>
      <c r="BG73" s="207">
        <f>SUM(AU73,AV73,AW73,AX73,AY73,AZ73,BA73,BB73,BC73,BD73,BE73,BF73)</f>
        <v/>
      </c>
      <c r="BH73" s="207">
        <f>AVERAGE(AU73,AV73,AW73,AX73,AY73,AZ73,BA73,BB73,BC73,BD73,BE73,BF73)</f>
        <v/>
      </c>
      <c r="BI73" s="208">
        <f>SUMIFS(領用表!$L:$L,領用表!$E:$E,$B73,領用表!$B:$B,BI$2&amp;$BI$1)</f>
        <v/>
      </c>
      <c r="BJ73" s="208">
        <f>SUMIFS(領用表!$L:$L,領用表!$E:$E,$B73,領用表!$B:$B,BJ$2&amp;$BI$1)</f>
        <v/>
      </c>
      <c r="BK73" s="208">
        <f>SUMIFS(領用表!$L:$L,領用表!$E:$E,$B73,領用表!$B:$B,BK$2&amp;$BI$1)</f>
        <v/>
      </c>
      <c r="BL73" s="208">
        <f>SUMIFS(領用表!$L:$L,領用表!$E:$E,$B73,領用表!$B:$B,BL$2&amp;$BI$1)</f>
        <v/>
      </c>
      <c r="BM73" s="208">
        <f>SUMIFS(領用表!$L:$L,領用表!$E:$E,$B73,領用表!$B:$B,BM$2&amp;$BI$1)</f>
        <v/>
      </c>
      <c r="BN73" s="208" t="n">
        <v>2055</v>
      </c>
      <c r="BO73" s="208">
        <f>SUMIFS(領用表!$L:$L,領用表!$E:$E,$B73,領用表!$B:$B,BO$2&amp;$BI$1)</f>
        <v/>
      </c>
      <c r="BP73" s="208">
        <f>SUMIFS(領用表!$L:$L,領用表!$E:$E,$B73,領用表!$B:$B,BP$2&amp;$BI$1)</f>
        <v/>
      </c>
      <c r="BQ73" s="208">
        <f>SUMIFS(領用表!$L:$L,領用表!$E:$E,$B73,領用表!$B:$B,BQ$2&amp;$BI$1)</f>
        <v/>
      </c>
      <c r="BR73" s="208">
        <f>SUMIFS(領用表!$L:$L,領用表!$E:$E,$B73,領用表!$B:$B,BR$2&amp;$BI$1)</f>
        <v/>
      </c>
      <c r="BS73" s="208">
        <f>SUMIFS(領用表!$L:$L,領用表!$E:$E,$B73,領用表!$B:$B,BS$2&amp;$BI$1)</f>
        <v/>
      </c>
      <c r="BT73" s="208">
        <f>SUMIFS(領用表!$L:$L,領用表!$E:$E,$B73,領用表!$B:$B,BT$2&amp;$BI$1)</f>
        <v/>
      </c>
      <c r="BU73" s="208">
        <f>SUM(BI73,BJ73,BK73,BL73,BM73,BN73)</f>
        <v/>
      </c>
      <c r="BV73" s="208">
        <f>AVERAGE(BI73,BJ73,BK73,BL73,BM73,BN73)</f>
        <v/>
      </c>
      <c r="BW73" s="208">
        <f>SUMIF(Summary!B:B,B73,Summary!DZ:DZ)</f>
        <v/>
      </c>
      <c r="BX73" s="209" t="n">
        <v>2500</v>
      </c>
      <c r="BY73" s="515" t="n"/>
      <c r="BZ73" s="262" t="inlineStr">
        <is>
          <t>45瓶(10/23)</t>
        </is>
      </c>
      <c r="CA73" s="262" t="inlineStr">
        <is>
          <t>40瓶(10/23)</t>
        </is>
      </c>
      <c r="CB73" s="136" t="n"/>
      <c r="CC73" s="212" t="n"/>
      <c r="CE73" s="213" t="n"/>
    </row>
    <row r="74" ht="15.75" customFormat="1" customHeight="1" s="381">
      <c r="A74" s="374" t="n"/>
      <c r="B74" s="374" t="n"/>
      <c r="C74" s="144" t="n"/>
      <c r="D74" s="375" t="n"/>
      <c r="E74" s="376" t="n"/>
      <c r="F74" s="377" t="n"/>
      <c r="G74" s="377" t="n"/>
      <c r="H74" s="374" t="n"/>
      <c r="I74" s="374" t="n"/>
      <c r="J74" s="374" t="n"/>
      <c r="K74" s="374" t="n"/>
      <c r="L74" s="374" t="n"/>
      <c r="M74" s="374" t="n"/>
      <c r="N74" s="374" t="n"/>
      <c r="O74" s="374" t="n"/>
      <c r="P74" s="374" t="n"/>
      <c r="Q74" s="374" t="n"/>
      <c r="R74" s="374" t="n"/>
      <c r="S74" s="374" t="n"/>
      <c r="T74" s="374" t="n"/>
      <c r="U74" s="374" t="n"/>
      <c r="V74" s="374" t="n"/>
      <c r="W74" s="374" t="n"/>
      <c r="X74" s="374" t="n"/>
      <c r="Y74" s="374" t="n"/>
      <c r="Z74" s="374" t="n"/>
      <c r="AA74" s="374" t="n"/>
      <c r="AB74" s="374" t="n"/>
      <c r="AC74" s="374" t="n"/>
      <c r="AD74" s="374" t="n"/>
      <c r="AE74" s="374" t="n"/>
      <c r="AF74" s="374" t="n"/>
      <c r="AG74" s="374" t="n"/>
      <c r="AH74" s="374" t="n"/>
      <c r="AI74" s="374" t="n"/>
      <c r="AJ74" s="374" t="n"/>
      <c r="AK74" s="374" t="n"/>
      <c r="AL74" s="374" t="n"/>
      <c r="AM74" s="374" t="n"/>
      <c r="AN74" s="378" t="n"/>
      <c r="AO74" s="378" t="n"/>
      <c r="AP74" s="378" t="n"/>
      <c r="AQ74" s="374" t="n"/>
      <c r="AR74" s="374" t="n"/>
      <c r="AS74" s="374" t="n"/>
      <c r="AT74" s="374" t="n"/>
      <c r="AU74" s="374" t="n"/>
      <c r="AV74" s="374" t="n"/>
      <c r="AW74" s="374" t="n"/>
      <c r="AX74" s="374" t="n"/>
      <c r="AY74" s="374" t="n"/>
      <c r="AZ74" s="374" t="n"/>
      <c r="BA74" s="374" t="n"/>
      <c r="BB74" s="379" t="n"/>
      <c r="BC74" s="379" t="n"/>
      <c r="BD74" s="379" t="n"/>
      <c r="BE74" s="379" t="n"/>
      <c r="BF74" s="379" t="n"/>
      <c r="BG74" s="379" t="n"/>
      <c r="BH74" s="379" t="n"/>
      <c r="BI74" s="379" t="n"/>
      <c r="BJ74" s="379" t="n"/>
      <c r="BK74" s="379" t="n"/>
      <c r="BL74" s="379" t="n"/>
      <c r="BM74" s="379" t="n"/>
      <c r="BN74" s="379" t="n"/>
      <c r="BO74" s="379" t="n"/>
      <c r="BP74" s="379" t="n"/>
      <c r="BQ74" s="379" t="n"/>
      <c r="BR74" s="379" t="n"/>
      <c r="BS74" s="379" t="n"/>
      <c r="BT74" s="379" t="n"/>
      <c r="BU74" s="379">
        <f>SUM(BI74,BJ74,BK74,BL74,BM74,BN74)</f>
        <v/>
      </c>
      <c r="BV74" s="379">
        <f>AVERAGE(BI74,BJ74,BK74,BL74,BM74,BN74)</f>
        <v/>
      </c>
      <c r="BW74" s="379" t="n"/>
      <c r="BX74" s="380" t="n"/>
      <c r="BY74" s="374" t="n"/>
      <c r="BZ74" s="374" t="n"/>
      <c r="CA74" s="374" t="n"/>
      <c r="CB74" s="374" t="n"/>
      <c r="CC74" s="374" t="n"/>
      <c r="CE74" s="382" t="n"/>
    </row>
    <row r="75" ht="15.75" customFormat="1" customHeight="1" s="118">
      <c r="A75" s="136" t="inlineStr">
        <is>
          <t>MP1MB030003A</t>
        </is>
      </c>
      <c r="B75" s="118" t="n">
        <v>6170014</v>
      </c>
      <c r="C75" s="118" t="inlineStr">
        <is>
          <t>鳳凰電波0.25平方公分碧眼探頭(450發)</t>
        </is>
      </c>
      <c r="D75" s="228" t="n">
        <v>1</v>
      </c>
      <c r="E75" s="198" t="inlineStr">
        <is>
          <t>PCS</t>
        </is>
      </c>
      <c r="F75" s="349" t="n"/>
      <c r="G75" s="349" t="n"/>
      <c r="H75" s="200" t="n">
        <v>0</v>
      </c>
      <c r="I75" s="200" t="n">
        <v>0</v>
      </c>
      <c r="J75" s="200" t="n">
        <v>0</v>
      </c>
      <c r="K75" s="200" t="n">
        <v>0</v>
      </c>
      <c r="L75" s="200" t="n">
        <v>3</v>
      </c>
      <c r="M75" s="200" t="n">
        <v>3</v>
      </c>
      <c r="N75" s="200" t="n">
        <v>0</v>
      </c>
      <c r="O75" s="200" t="n">
        <v>0</v>
      </c>
      <c r="P75" s="200" t="n">
        <v>2</v>
      </c>
      <c r="Q75" s="200" t="n">
        <v>0</v>
      </c>
      <c r="R75" s="200" t="n">
        <v>0</v>
      </c>
      <c r="S75" s="200" t="n">
        <v>0</v>
      </c>
      <c r="T75" s="200" t="n">
        <v>2</v>
      </c>
      <c r="U75" s="200" t="n">
        <v>4</v>
      </c>
      <c r="V75" s="200" t="n">
        <v>3</v>
      </c>
      <c r="W75" s="200" t="n">
        <v>2</v>
      </c>
      <c r="X75" s="200" t="n">
        <v>1</v>
      </c>
      <c r="Y75" s="200" t="n">
        <v>2</v>
      </c>
      <c r="Z75" s="200" t="n">
        <v>1</v>
      </c>
      <c r="AA75" s="200" t="n">
        <v>5</v>
      </c>
      <c r="AB75" s="200" t="n"/>
      <c r="AC75" s="200" t="n"/>
      <c r="AD75" s="200" t="n">
        <v>3</v>
      </c>
      <c r="AE75" s="200" t="n">
        <v>3</v>
      </c>
      <c r="AF75" s="200" t="n">
        <v>6</v>
      </c>
      <c r="AG75" s="201" t="n">
        <v>12</v>
      </c>
      <c r="AH75" s="201" t="n">
        <v>1</v>
      </c>
      <c r="AI75" s="201" t="n">
        <v>3</v>
      </c>
      <c r="AJ75" s="201" t="n">
        <v>6</v>
      </c>
      <c r="AK75" s="201" t="n">
        <v>4</v>
      </c>
      <c r="AL75" s="201" t="n">
        <v>7</v>
      </c>
      <c r="AM75" s="201" t="n">
        <v>15</v>
      </c>
      <c r="AN75" s="201" t="n">
        <v>12</v>
      </c>
      <c r="AO75" s="201" t="n">
        <v>7</v>
      </c>
      <c r="AP75" s="201" t="n">
        <v>12</v>
      </c>
      <c r="AQ75" s="512" t="n">
        <v>19</v>
      </c>
      <c r="AR75" s="203" t="n">
        <v>18</v>
      </c>
      <c r="AS75" s="204" t="n">
        <v>15</v>
      </c>
      <c r="AT75" s="513">
        <f>AS75/12</f>
        <v/>
      </c>
      <c r="AU75" s="203" t="n">
        <v>10</v>
      </c>
      <c r="AV75" s="203" t="n">
        <v>9</v>
      </c>
      <c r="AW75" s="203" t="n">
        <v>12</v>
      </c>
      <c r="AX75" s="201" t="n">
        <v>9</v>
      </c>
      <c r="AY75" s="201" t="n">
        <v>6</v>
      </c>
      <c r="AZ75" s="203">
        <f>SUMIFS(領用表!$L:$L,領用表!$E:$E,$B75,領用表!$B:$B,AZ$2&amp;$BI$1)</f>
        <v/>
      </c>
      <c r="BA75" s="203">
        <f>SUMIFS(領用表!$L:$L,領用表!$E:$E,$B75,領用表!$B:$B,BA$2&amp;$BI$1)</f>
        <v/>
      </c>
      <c r="BB75" s="203">
        <f>SUMIFS(領用表!$L:$L,領用表!$E:$E,$B75,領用表!$B:$B,BB$2&amp;$BI$1)</f>
        <v/>
      </c>
      <c r="BC75" s="203">
        <f>SUMIFS(領用表!$L:$L,領用表!$E:$E,$B75,領用表!$B:$B,BC$2&amp;$BI$1)</f>
        <v/>
      </c>
      <c r="BD75" s="208">
        <f>SUMIFS(領用表!$L:$L,領用表!$E:$E,$B75,領用表!$B:$B,BD$2&amp;$BI$1)</f>
        <v/>
      </c>
      <c r="BE75" s="208">
        <f>SUMIFS(領用表!$L:$L,領用表!$E:$E,$B75,領用表!$B:$B,BE$2&amp;$BI$1)</f>
        <v/>
      </c>
      <c r="BF75" s="208">
        <f>SUMIFS(領用表!$L:$L,領用表!$E:$E,$B75,領用表!$B:$B,BF$2&amp;$BI$1)</f>
        <v/>
      </c>
      <c r="BG75" s="207">
        <f>SUM(AU75,AV75,AW75,AX75,AY75,AZ75,BA75,BB75,BC75,BD75,BE75,BF75)</f>
        <v/>
      </c>
      <c r="BH75" s="207">
        <f>AVERAGE(AU75,AV75,AW75,AX75,AY75,AZ75,BA75,BB75,BC75,BD75,BE75,BF75)</f>
        <v/>
      </c>
      <c r="BI75" s="208">
        <f>SUMIFS(領用表!$L:$L,領用表!$E:$E,$B75,領用表!$B:$B,BI$2&amp;$BI$1)</f>
        <v/>
      </c>
      <c r="BJ75" s="208">
        <f>SUMIFS(領用表!$L:$L,領用表!$E:$E,$B75,領用表!$B:$B,BJ$2&amp;$BI$1)</f>
        <v/>
      </c>
      <c r="BK75" s="208">
        <f>SUMIFS(領用表!$L:$L,領用表!$E:$E,$B75,領用表!$B:$B,BK$2&amp;$BI$1)</f>
        <v/>
      </c>
      <c r="BL75" s="208">
        <f>SUMIFS(領用表!$L:$L,領用表!$E:$E,$B75,領用表!$B:$B,BL$2&amp;$BI$1)</f>
        <v/>
      </c>
      <c r="BM75" s="208">
        <f>SUMIFS(領用表!$L:$L,領用表!$E:$E,$B75,領用表!$B:$B,BM$2&amp;$BI$1)</f>
        <v/>
      </c>
      <c r="BN75" s="208" t="n"/>
      <c r="BO75" s="208">
        <f>SUMIFS(領用表!$L:$L,領用表!$E:$E,$B75,領用表!$B:$B,BO$2&amp;$BI$1)</f>
        <v/>
      </c>
      <c r="BP75" s="208">
        <f>SUMIFS(領用表!$L:$L,領用表!$E:$E,$B75,領用表!$B:$B,BP$2&amp;$BI$1)</f>
        <v/>
      </c>
      <c r="BQ75" s="208">
        <f>SUMIFS(領用表!$L:$L,領用表!$E:$E,$B75,領用表!$B:$B,BQ$2&amp;$BI$1)</f>
        <v/>
      </c>
      <c r="BR75" s="208">
        <f>SUMIFS(領用表!$L:$L,領用表!$E:$E,$B75,領用表!$B:$B,BR$2&amp;$BI$1)</f>
        <v/>
      </c>
      <c r="BS75" s="208">
        <f>SUMIFS(領用表!$L:$L,領用表!$E:$E,$B75,領用表!$B:$B,BS$2&amp;$BI$1)</f>
        <v/>
      </c>
      <c r="BT75" s="208">
        <f>SUMIFS(領用表!$L:$L,領用表!$E:$E,$B75,領用表!$B:$B,BT$2&amp;$BI$1)</f>
        <v/>
      </c>
      <c r="BU75" s="208">
        <f>SUM(BI75,BJ75,BK75,BL75,BM75,BN75)</f>
        <v/>
      </c>
      <c r="BV75" s="208">
        <f>AVERAGE(BI75,BJ75,BK75,BL75,BM75,BN75)</f>
        <v/>
      </c>
      <c r="BW75" s="208">
        <f>SUMIF(Summary!B:B,B75,Summary!DZ:DZ)</f>
        <v/>
      </c>
      <c r="BX75" s="383" t="n"/>
      <c r="BY75" s="210" t="n"/>
      <c r="BZ75" s="340" t="n"/>
      <c r="CA75" s="210" t="inlineStr">
        <is>
          <t>13500-10/22</t>
        </is>
      </c>
      <c r="CB75" s="136" t="n"/>
      <c r="CC75" s="212" t="n"/>
      <c r="CE75" s="213" t="n"/>
    </row>
    <row r="76" ht="15.75" customFormat="1" customHeight="1" s="118">
      <c r="A76" s="136" t="inlineStr">
        <is>
          <t>MP1MB030002A</t>
        </is>
      </c>
      <c r="B76" s="118" t="n">
        <v>6170013</v>
      </c>
      <c r="C76" s="118" t="inlineStr">
        <is>
          <t>鳳凰電波4平方公分紫鑽探頭(900發)</t>
        </is>
      </c>
      <c r="D76" s="228" t="n">
        <v>1</v>
      </c>
      <c r="E76" s="198" t="inlineStr">
        <is>
          <t>PCS</t>
        </is>
      </c>
      <c r="F76" s="349" t="n"/>
      <c r="G76" s="349" t="n"/>
      <c r="H76" s="200" t="n">
        <v>0</v>
      </c>
      <c r="I76" s="200" t="n">
        <v>2</v>
      </c>
      <c r="J76" s="200" t="n">
        <v>1</v>
      </c>
      <c r="K76" s="200" t="n">
        <v>3</v>
      </c>
      <c r="L76" s="200" t="n">
        <v>7</v>
      </c>
      <c r="M76" s="200" t="n">
        <v>12</v>
      </c>
      <c r="N76" s="200" t="n">
        <v>9</v>
      </c>
      <c r="O76" s="200" t="n">
        <v>6</v>
      </c>
      <c r="P76" s="200" t="n">
        <v>3</v>
      </c>
      <c r="Q76" s="200" t="n">
        <v>1</v>
      </c>
      <c r="R76" s="200" t="n">
        <v>5</v>
      </c>
      <c r="S76" s="200" t="n">
        <v>9</v>
      </c>
      <c r="T76" s="200" t="n">
        <v>10</v>
      </c>
      <c r="U76" s="200" t="n">
        <v>11</v>
      </c>
      <c r="V76" s="200" t="n">
        <v>7</v>
      </c>
      <c r="W76" s="200" t="n">
        <v>6</v>
      </c>
      <c r="X76" s="200" t="n">
        <v>10</v>
      </c>
      <c r="Y76" s="200" t="n">
        <v>5</v>
      </c>
      <c r="Z76" s="200" t="n">
        <v>6</v>
      </c>
      <c r="AA76" s="200" t="n">
        <v>5</v>
      </c>
      <c r="AB76" s="200" t="n">
        <v>5</v>
      </c>
      <c r="AC76" s="200" t="n">
        <v>4</v>
      </c>
      <c r="AD76" s="200" t="n">
        <v>5</v>
      </c>
      <c r="AE76" s="200" t="n">
        <v>9</v>
      </c>
      <c r="AF76" s="200" t="n">
        <v>5</v>
      </c>
      <c r="AG76" s="201" t="n">
        <v>9</v>
      </c>
      <c r="AH76" s="201" t="n">
        <v>1</v>
      </c>
      <c r="AI76" s="201" t="n">
        <v>7</v>
      </c>
      <c r="AJ76" s="201" t="n">
        <v>7</v>
      </c>
      <c r="AK76" s="201" t="n">
        <v>4</v>
      </c>
      <c r="AL76" s="201" t="n">
        <v>2</v>
      </c>
      <c r="AM76" s="201" t="n">
        <v>16</v>
      </c>
      <c r="AN76" s="201" t="n">
        <v>9</v>
      </c>
      <c r="AO76" s="201" t="n">
        <v>10</v>
      </c>
      <c r="AP76" s="201" t="n">
        <v>18</v>
      </c>
      <c r="AQ76" s="512" t="n">
        <v>24</v>
      </c>
      <c r="AR76" s="203" t="n">
        <v>28</v>
      </c>
      <c r="AS76" s="204">
        <f>SUM(AG76:AR76)</f>
        <v/>
      </c>
      <c r="AT76" s="513">
        <f>AS76/12</f>
        <v/>
      </c>
      <c r="AU76" s="203" t="n">
        <v>33</v>
      </c>
      <c r="AV76" s="203" t="n">
        <v>25</v>
      </c>
      <c r="AW76" s="203" t="n">
        <v>45</v>
      </c>
      <c r="AX76" s="201" t="n">
        <v>25</v>
      </c>
      <c r="AY76" s="201" t="n">
        <v>14</v>
      </c>
      <c r="AZ76" s="203">
        <f>SUMIFS(領用表!$L:$L,領用表!$E:$E,$B76,領用表!$B:$B,AZ$2&amp;$BI$1)</f>
        <v/>
      </c>
      <c r="BA76" s="203">
        <f>SUMIFS(領用表!$L:$L,領用表!$E:$E,$B76,領用表!$B:$B,BA$2&amp;$BI$1)</f>
        <v/>
      </c>
      <c r="BB76" s="203">
        <f>SUMIFS(領用表!$L:$L,領用表!$E:$E,$B76,領用表!$B:$B,BB$2&amp;$BI$1)</f>
        <v/>
      </c>
      <c r="BC76" s="203">
        <f>SUMIFS(領用表!$L:$L,領用表!$E:$E,$B76,領用表!$B:$B,BC$2&amp;$BI$1)</f>
        <v/>
      </c>
      <c r="BD76" s="208">
        <f>SUMIFS(領用表!$L:$L,領用表!$E:$E,$B76,領用表!$B:$B,BD$2&amp;$BI$1)</f>
        <v/>
      </c>
      <c r="BE76" s="208">
        <f>SUMIFS(領用表!$L:$L,領用表!$E:$E,$B76,領用表!$B:$B,BE$2&amp;$BI$1)</f>
        <v/>
      </c>
      <c r="BF76" s="208">
        <f>SUMIFS(領用表!$L:$L,領用表!$E:$E,$B76,領用表!$B:$B,BF$2&amp;$BI$1)</f>
        <v/>
      </c>
      <c r="BG76" s="207">
        <f>SUM(AU76,AV76,AW76,AX76,AY76,AZ76,BA76,BB76,BC76,BD76,BE76,BF76)</f>
        <v/>
      </c>
      <c r="BH76" s="207">
        <f>AVERAGE(AU76,AV76,AW76,AX76,AY76,AZ76,BA76,BB76,BC76,BD76,BE76,BF76)</f>
        <v/>
      </c>
      <c r="BI76" s="208">
        <f>SUMIFS(領用表!$L:$L,領用表!$E:$E,$B76,領用表!$B:$B,BI$2&amp;$BI$1)</f>
        <v/>
      </c>
      <c r="BJ76" s="208">
        <f>SUMIFS(領用表!$L:$L,領用表!$E:$E,$B76,領用表!$B:$B,BJ$2&amp;$BI$1)</f>
        <v/>
      </c>
      <c r="BK76" s="208">
        <f>SUMIFS(領用表!$L:$L,領用表!$E:$E,$B76,領用表!$B:$B,BK$2&amp;$BI$1)</f>
        <v/>
      </c>
      <c r="BL76" s="208">
        <f>SUMIFS(領用表!$L:$L,領用表!$E:$E,$B76,領用表!$B:$B,BL$2&amp;$BI$1)</f>
        <v/>
      </c>
      <c r="BM76" s="208">
        <f>SUMIFS(領用表!$L:$L,領用表!$E:$E,$B76,領用表!$B:$B,BM$2&amp;$BI$1)</f>
        <v/>
      </c>
      <c r="BN76" s="208" t="n"/>
      <c r="BO76" s="208">
        <f>SUMIFS(領用表!$L:$L,領用表!$E:$E,$B76,領用表!$B:$B,BO$2&amp;$BI$1)</f>
        <v/>
      </c>
      <c r="BP76" s="208">
        <f>SUMIFS(領用表!$L:$L,領用表!$E:$E,$B76,領用表!$B:$B,BP$2&amp;$BI$1)</f>
        <v/>
      </c>
      <c r="BQ76" s="208">
        <f>SUMIFS(領用表!$L:$L,領用表!$E:$E,$B76,領用表!$B:$B,BQ$2&amp;$BI$1)</f>
        <v/>
      </c>
      <c r="BR76" s="208">
        <f>SUMIFS(領用表!$L:$L,領用表!$E:$E,$B76,領用表!$B:$B,BR$2&amp;$BI$1)</f>
        <v/>
      </c>
      <c r="BS76" s="208">
        <f>SUMIFS(領用表!$L:$L,領用表!$E:$E,$B76,領用表!$B:$B,BS$2&amp;$BI$1)</f>
        <v/>
      </c>
      <c r="BT76" s="208">
        <f>SUMIFS(領用表!$L:$L,領用表!$E:$E,$B76,領用表!$B:$B,BT$2&amp;$BI$1)</f>
        <v/>
      </c>
      <c r="BU76" s="208">
        <f>SUM(BI76,BJ76,BK76,BL76,BM76,BN76)</f>
        <v/>
      </c>
      <c r="BV76" s="208">
        <f>AVERAGE(BI76,BJ76,BK76,BL76,BM76,BN76)</f>
        <v/>
      </c>
      <c r="BW76" s="208">
        <f>SUMIF(Summary!B:B,B76,Summary!DZ:DZ)</f>
        <v/>
      </c>
      <c r="BX76" s="383" t="n"/>
      <c r="BY76" s="210" t="n"/>
      <c r="BZ76" s="210" t="n"/>
      <c r="CA76" s="210" t="inlineStr">
        <is>
          <t>27000-10/22</t>
        </is>
      </c>
      <c r="CB76" s="284" t="n"/>
      <c r="CC76" s="212" t="n"/>
      <c r="CE76" s="213" t="n"/>
    </row>
    <row r="77" ht="15.75" customFormat="1" customHeight="1" s="118">
      <c r="A77" s="136" t="inlineStr">
        <is>
          <t>MP1MC030001A</t>
        </is>
      </c>
      <c r="B77" s="118" t="n">
        <v>6170015</v>
      </c>
      <c r="C77" s="411" t="inlineStr">
        <is>
          <t>鳳凰電波16平方公分黃金美體探頭(500發)</t>
        </is>
      </c>
      <c r="D77" s="228" t="n">
        <v>1</v>
      </c>
      <c r="E77" s="198" t="inlineStr">
        <is>
          <t>PCS</t>
        </is>
      </c>
      <c r="F77" s="349" t="n"/>
      <c r="G77" s="349" t="n"/>
      <c r="H77" s="200" t="n">
        <v>0</v>
      </c>
      <c r="I77" s="200" t="n">
        <v>0</v>
      </c>
      <c r="J77" s="200" t="n">
        <v>0</v>
      </c>
      <c r="K77" s="200" t="n">
        <v>1</v>
      </c>
      <c r="L77" s="200" t="n">
        <v>0</v>
      </c>
      <c r="M77" s="200" t="n">
        <v>0</v>
      </c>
      <c r="N77" s="200" t="n">
        <v>1</v>
      </c>
      <c r="O77" s="200" t="n">
        <v>2</v>
      </c>
      <c r="P77" s="200" t="n">
        <v>1</v>
      </c>
      <c r="Q77" s="200" t="n">
        <v>0</v>
      </c>
      <c r="R77" s="200" t="n">
        <v>0</v>
      </c>
      <c r="S77" s="200" t="n">
        <v>0</v>
      </c>
      <c r="T77" s="200" t="n">
        <v>0</v>
      </c>
      <c r="U77" s="200" t="n">
        <v>0</v>
      </c>
      <c r="V77" s="200" t="n">
        <v>0</v>
      </c>
      <c r="W77" s="200" t="n">
        <v>0</v>
      </c>
      <c r="X77" s="200" t="n">
        <v>0</v>
      </c>
      <c r="Y77" s="200" t="n">
        <v>0</v>
      </c>
      <c r="Z77" s="200" t="n">
        <v>0</v>
      </c>
      <c r="AA77" s="200" t="n">
        <v>0</v>
      </c>
      <c r="AB77" s="200" t="n">
        <v>0</v>
      </c>
      <c r="AC77" s="200" t="n">
        <v>0</v>
      </c>
      <c r="AD77" s="200" t="n">
        <v>0</v>
      </c>
      <c r="AE77" s="200" t="n">
        <v>0</v>
      </c>
      <c r="AF77" s="200" t="n">
        <v>0</v>
      </c>
      <c r="AG77" s="201" t="n">
        <v>0</v>
      </c>
      <c r="AH77" s="201" t="n">
        <v>0</v>
      </c>
      <c r="AI77" s="201" t="n">
        <v>0</v>
      </c>
      <c r="AJ77" s="201" t="n">
        <v>0</v>
      </c>
      <c r="AK77" s="201" t="n">
        <v>0</v>
      </c>
      <c r="AL77" s="201" t="n">
        <v>1</v>
      </c>
      <c r="AM77" s="201" t="n">
        <v>0</v>
      </c>
      <c r="AN77" s="201" t="n">
        <v>0</v>
      </c>
      <c r="AO77" s="201" t="n">
        <v>0</v>
      </c>
      <c r="AP77" s="201" t="n">
        <v>0</v>
      </c>
      <c r="AQ77" s="512" t="n">
        <v>0</v>
      </c>
      <c r="AR77" s="203" t="n">
        <v>0</v>
      </c>
      <c r="AS77" s="204">
        <f>SUM(AG77:AR77)</f>
        <v/>
      </c>
      <c r="AT77" s="513">
        <f>AS77/12</f>
        <v/>
      </c>
      <c r="AU77" s="203" t="inlineStr">
        <is>
          <t>-</t>
        </is>
      </c>
      <c r="AV77" s="203" t="n">
        <v>0</v>
      </c>
      <c r="AW77" s="203" t="n">
        <v>0</v>
      </c>
      <c r="AX77" s="201" t="n">
        <v>0</v>
      </c>
      <c r="AY77" s="201" t="n">
        <v>0</v>
      </c>
      <c r="AZ77" s="203">
        <f>SUMIFS(領用表!$L:$L,領用表!$E:$E,$B77,領用表!$B:$B,AZ$2&amp;$BI$1)</f>
        <v/>
      </c>
      <c r="BA77" s="203">
        <f>SUMIFS(領用表!$L:$L,領用表!$E:$E,$B77,領用表!$B:$B,BA$2&amp;$BI$1)</f>
        <v/>
      </c>
      <c r="BB77" s="203">
        <f>SUMIFS(領用表!$L:$L,領用表!$E:$E,$B77,領用表!$B:$B,BB$2&amp;$BI$1)</f>
        <v/>
      </c>
      <c r="BC77" s="203">
        <f>SUMIFS(領用表!$L:$L,領用表!$E:$E,$B77,領用表!$B:$B,BC$2&amp;$BI$1)</f>
        <v/>
      </c>
      <c r="BD77" s="208">
        <f>SUMIFS(領用表!$L:$L,領用表!$E:$E,$B77,領用表!$B:$B,BD$2&amp;$BI$1)</f>
        <v/>
      </c>
      <c r="BE77" s="208">
        <f>SUMIFS(領用表!$L:$L,領用表!$E:$E,$B77,領用表!$B:$B,BE$2&amp;$BI$1)</f>
        <v/>
      </c>
      <c r="BF77" s="208">
        <f>SUMIFS(領用表!$L:$L,領用表!$E:$E,$B77,領用表!$B:$B,BF$2&amp;$BI$1)</f>
        <v/>
      </c>
      <c r="BG77" s="207">
        <f>SUM(AU77,AV77,AW77,AX77,AY77,AZ77,BA77,BB77,BC77,BD77,BE77,BF77)</f>
        <v/>
      </c>
      <c r="BH77" s="207">
        <f>AVERAGE(AU77,AV77,AW77,AX77,AY77,AZ77,BA77,BB77,BC77,BD77,BE77,BF77)</f>
        <v/>
      </c>
      <c r="BI77" s="208">
        <f>SUMIFS(領用表!$L:$L,領用表!$E:$E,$B77,領用表!$B:$B,BI$2&amp;$BI$1)</f>
        <v/>
      </c>
      <c r="BJ77" s="208">
        <f>SUMIFS(領用表!$L:$L,領用表!$E:$E,$B77,領用表!$B:$B,BJ$2&amp;$BI$1)</f>
        <v/>
      </c>
      <c r="BK77" s="208">
        <f>SUMIFS(領用表!$L:$L,領用表!$E:$E,$B77,領用表!$B:$B,BK$2&amp;$BI$1)</f>
        <v/>
      </c>
      <c r="BL77" s="208">
        <f>SUMIFS(領用表!$L:$L,領用表!$E:$E,$B77,領用表!$B:$B,BL$2&amp;$BI$1)</f>
        <v/>
      </c>
      <c r="BM77" s="208">
        <f>SUMIFS(領用表!$L:$L,領用表!$E:$E,$B77,領用表!$B:$B,BM$2&amp;$BI$1)</f>
        <v/>
      </c>
      <c r="BN77" s="208" t="n"/>
      <c r="BO77" s="208">
        <f>SUMIFS(領用表!$L:$L,領用表!$E:$E,$B77,領用表!$B:$B,BO$2&amp;$BI$1)</f>
        <v/>
      </c>
      <c r="BP77" s="208">
        <f>SUMIFS(領用表!$L:$L,領用表!$E:$E,$B77,領用表!$B:$B,BP$2&amp;$BI$1)</f>
        <v/>
      </c>
      <c r="BQ77" s="208">
        <f>SUMIFS(領用表!$L:$L,領用表!$E:$E,$B77,領用表!$B:$B,BQ$2&amp;$BI$1)</f>
        <v/>
      </c>
      <c r="BR77" s="208">
        <f>SUMIFS(領用表!$L:$L,領用表!$E:$E,$B77,領用表!$B:$B,BR$2&amp;$BI$1)</f>
        <v/>
      </c>
      <c r="BS77" s="208">
        <f>SUMIFS(領用表!$L:$L,領用表!$E:$E,$B77,領用表!$B:$B,BS$2&amp;$BI$1)</f>
        <v/>
      </c>
      <c r="BT77" s="208">
        <f>SUMIFS(領用表!$L:$L,領用表!$E:$E,$B77,領用表!$B:$B,BT$2&amp;$BI$1)</f>
        <v/>
      </c>
      <c r="BU77" s="208">
        <f>SUM(BI77,BJ77,BK77,BL77,BM77,BN77)</f>
        <v/>
      </c>
      <c r="BV77" s="208">
        <f>AVERAGE(BI77,BJ77,BK77,BL77,BM77,BN77)</f>
        <v/>
      </c>
      <c r="BW77" s="208">
        <f>SUMIF(Summary!B:B,B77,Summary!DZ:DZ)</f>
        <v/>
      </c>
      <c r="BX77" s="383" t="n"/>
      <c r="BY77" s="210" t="n"/>
      <c r="BZ77" s="340" t="n"/>
      <c r="CA77" s="340" t="n"/>
      <c r="CB77" s="263" t="n"/>
      <c r="CC77" s="212" t="n"/>
      <c r="CE77" s="213" t="n"/>
    </row>
    <row r="78" ht="15.75" customFormat="1" customHeight="1" s="118">
      <c r="A78" s="136" t="inlineStr">
        <is>
          <t>MB3ME100001A</t>
        </is>
      </c>
      <c r="B78" s="118" t="n">
        <v>6140001</v>
      </c>
      <c r="C78" s="411" t="inlineStr">
        <is>
          <t>保妥適Botox 100u/ vial  (因稀釋手法會有些許差異)</t>
        </is>
      </c>
      <c r="D78" s="285" t="n">
        <v>100</v>
      </c>
      <c r="E78" s="198" t="inlineStr">
        <is>
          <t>U</t>
        </is>
      </c>
      <c r="F78" s="349">
        <f>(D78*40)+72</f>
        <v/>
      </c>
      <c r="G78" s="349" t="n"/>
      <c r="H78" s="283" t="n"/>
      <c r="I78" s="283" t="n"/>
      <c r="J78" s="283" t="n"/>
      <c r="K78" s="283" t="n"/>
      <c r="L78" s="283" t="n"/>
      <c r="M78" s="283" t="n"/>
      <c r="N78" s="283" t="n"/>
      <c r="O78" s="283" t="n"/>
      <c r="P78" s="283" t="n"/>
      <c r="Q78" s="283" t="n"/>
      <c r="R78" s="283" t="n"/>
      <c r="S78" s="283" t="n"/>
      <c r="T78" s="283" t="n"/>
      <c r="U78" s="283" t="n"/>
      <c r="V78" s="283" t="n"/>
      <c r="W78" s="283" t="n"/>
      <c r="X78" s="283" t="n"/>
      <c r="Y78" s="283" t="n"/>
      <c r="Z78" s="283" t="n"/>
      <c r="AA78" s="283" t="n"/>
      <c r="AB78" s="283" t="n"/>
      <c r="AC78" s="283" t="n"/>
      <c r="AD78" s="283" t="n"/>
      <c r="AE78" s="283" t="n"/>
      <c r="AF78" s="283" t="n"/>
      <c r="AG78" s="201" t="n">
        <v>1299</v>
      </c>
      <c r="AH78" s="201" t="n">
        <v>412</v>
      </c>
      <c r="AI78" s="201" t="n">
        <v>1360</v>
      </c>
      <c r="AJ78" s="201" t="n">
        <v>1029</v>
      </c>
      <c r="AK78" s="201" t="n">
        <v>1039</v>
      </c>
      <c r="AL78" s="201" t="n">
        <v>856</v>
      </c>
      <c r="AM78" s="201" t="n">
        <v>1736</v>
      </c>
      <c r="AN78" s="201" t="n">
        <v>1284</v>
      </c>
      <c r="AO78" s="201" t="n">
        <v>1556</v>
      </c>
      <c r="AP78" s="201" t="n">
        <v>2374</v>
      </c>
      <c r="AQ78" s="201" t="n">
        <v>1860</v>
      </c>
      <c r="AR78" s="201" t="n">
        <v>2408</v>
      </c>
      <c r="AS78" s="283">
        <f>SUM(AG78:AR78)</f>
        <v/>
      </c>
      <c r="AT78" s="286">
        <f>AS78/12</f>
        <v/>
      </c>
      <c r="AU78" s="201" t="n">
        <v>1847</v>
      </c>
      <c r="AV78" s="201" t="n">
        <v>1154</v>
      </c>
      <c r="AW78" s="201" t="n">
        <v>2146</v>
      </c>
      <c r="AX78" s="201" t="n">
        <v>3235</v>
      </c>
      <c r="AY78" s="201" t="n">
        <v>3520</v>
      </c>
      <c r="AZ78" s="203">
        <f>SUMIFS(領用表!$L:$L,領用表!$E:$E,$B78,領用表!$B:$B,AZ$2&amp;$BI$1)</f>
        <v/>
      </c>
      <c r="BA78" s="203">
        <f>SUMIFS(領用表!$L:$L,領用表!$E:$E,$B78,領用表!$B:$B,BA$2&amp;$BI$1)</f>
        <v/>
      </c>
      <c r="BB78" s="203">
        <f>SUMIFS(領用表!$L:$L,領用表!$E:$E,$B78,領用表!$B:$B,BB$2&amp;$BI$1)</f>
        <v/>
      </c>
      <c r="BC78" s="203">
        <f>SUMIFS(領用表!$L:$L,領用表!$E:$E,$B78,領用表!$B:$B,BC$2&amp;$BI$1)</f>
        <v/>
      </c>
      <c r="BD78" s="208">
        <f>SUMIFS(領用表!$L:$L,領用表!$E:$E,$B78,領用表!$B:$B,BD$2&amp;$BI$1)</f>
        <v/>
      </c>
      <c r="BE78" s="208">
        <f>SUMIFS(領用表!$L:$L,領用表!$E:$E,$B78,領用表!$B:$B,BE$2&amp;$BI$1)</f>
        <v/>
      </c>
      <c r="BF78" s="208">
        <f>SUMIFS(領用表!$L:$L,領用表!$E:$E,$B78,領用表!$B:$B,BF$2&amp;$BI$1)</f>
        <v/>
      </c>
      <c r="BG78" s="207">
        <f>SUM(AU78,AV78,AW78,AX78,AY78,AZ78,BA78,BB78,BC78,BD78,BE78,BF78)</f>
        <v/>
      </c>
      <c r="BH78" s="207">
        <f>AVERAGE(AU78,AV78,AW78,AX78,AY78,AZ78,BA78,BB78,BC78,BD78,BE78,BF78)</f>
        <v/>
      </c>
      <c r="BI78" s="208">
        <f>SUMIFS(領用表!$L:$L,領用表!$E:$E,$B78,領用表!$B:$B,BI$2&amp;$BI$1)</f>
        <v/>
      </c>
      <c r="BJ78" s="208">
        <f>SUMIFS(領用表!$L:$L,領用表!$E:$E,$B78,領用表!$B:$B,BJ$2&amp;$BI$1)</f>
        <v/>
      </c>
      <c r="BK78" s="208">
        <f>SUMIFS(領用表!$L:$L,領用表!$E:$E,$B78,領用表!$B:$B,BK$2&amp;$BI$1)</f>
        <v/>
      </c>
      <c r="BL78" s="208">
        <f>SUMIFS(領用表!$L:$L,領用表!$E:$E,$B78,領用表!$B:$B,BL$2&amp;$BI$1)</f>
        <v/>
      </c>
      <c r="BM78" s="208">
        <f>SUMIFS(領用表!$L:$L,領用表!$E:$E,$B78,領用表!$B:$B,BM$2&amp;$BI$1)</f>
        <v/>
      </c>
      <c r="BN78" s="208" t="n">
        <v>1253</v>
      </c>
      <c r="BO78" s="208">
        <f>SUMIFS(領用表!$L:$L,領用表!$E:$E,$B78,領用表!$B:$B,BO$2&amp;$BI$1)</f>
        <v/>
      </c>
      <c r="BP78" s="208">
        <f>SUMIFS(領用表!$L:$L,領用表!$E:$E,$B78,領用表!$B:$B,BP$2&amp;$BI$1)</f>
        <v/>
      </c>
      <c r="BQ78" s="208">
        <f>SUMIFS(領用表!$L:$L,領用表!$E:$E,$B78,領用表!$B:$B,BQ$2&amp;$BI$1)</f>
        <v/>
      </c>
      <c r="BR78" s="208">
        <f>SUMIFS(領用表!$L:$L,領用表!$E:$E,$B78,領用表!$B:$B,BR$2&amp;$BI$1)</f>
        <v/>
      </c>
      <c r="BS78" s="208">
        <f>SUMIFS(領用表!$L:$L,領用表!$E:$E,$B78,領用表!$B:$B,BS$2&amp;$BI$1)</f>
        <v/>
      </c>
      <c r="BT78" s="208">
        <f>SUMIFS(領用表!$L:$L,領用表!$E:$E,$B78,領用表!$B:$B,BT$2&amp;$BI$1)</f>
        <v/>
      </c>
      <c r="BU78" s="208">
        <f>SUM(BI78,BJ78,BK78,BL78,BM78,BN78)</f>
        <v/>
      </c>
      <c r="BV78" s="208">
        <f>AVERAGE(BI78,BJ78,BK78,BL78,BM78,BN78)</f>
        <v/>
      </c>
      <c r="BW78" s="208">
        <f>SUMIF(Summary!B:B,B78,Summary!DZ:DZ)</f>
        <v/>
      </c>
      <c r="BX78" s="384" t="n"/>
      <c r="BY78" s="340" t="n"/>
      <c r="BZ78" s="340" t="inlineStr">
        <is>
          <t>3500-10/28</t>
        </is>
      </c>
      <c r="CA78" s="340" t="inlineStr">
        <is>
          <t>1000-10/28</t>
        </is>
      </c>
      <c r="CB78" s="136" t="n"/>
      <c r="CC78" s="289" t="n"/>
      <c r="CE78" s="213" t="n"/>
    </row>
    <row r="79" ht="15.75" customFormat="1" customHeight="1" s="118">
      <c r="A79" s="136" t="inlineStr">
        <is>
          <t>MB3ME100002A</t>
        </is>
      </c>
      <c r="B79" s="118" t="n">
        <v>6140003</v>
      </c>
      <c r="C79" s="118" t="inlineStr">
        <is>
          <t>保提拉凍晶注射劑Letybo 200u/ vial</t>
        </is>
      </c>
      <c r="D79" s="285" t="n">
        <v>200</v>
      </c>
      <c r="E79" s="198" t="inlineStr">
        <is>
          <t>U</t>
        </is>
      </c>
      <c r="F79" s="349">
        <f>(D79*42)+194</f>
        <v/>
      </c>
      <c r="G79" s="349" t="n"/>
      <c r="H79" s="283" t="n"/>
      <c r="I79" s="283" t="n"/>
      <c r="J79" s="283" t="n"/>
      <c r="K79" s="283" t="n"/>
      <c r="L79" s="283" t="n"/>
      <c r="M79" s="283" t="n"/>
      <c r="N79" s="283" t="n"/>
      <c r="O79" s="283" t="n"/>
      <c r="P79" s="283" t="n"/>
      <c r="Q79" s="283" t="n"/>
      <c r="R79" s="283" t="n"/>
      <c r="S79" s="283" t="n"/>
      <c r="T79" s="283" t="n"/>
      <c r="U79" s="283" t="n"/>
      <c r="V79" s="283" t="n"/>
      <c r="W79" s="283" t="n"/>
      <c r="X79" s="283" t="n"/>
      <c r="Y79" s="283" t="n"/>
      <c r="Z79" s="283" t="n"/>
      <c r="AA79" s="283" t="n"/>
      <c r="AB79" s="283" t="n"/>
      <c r="AC79" s="283" t="n"/>
      <c r="AD79" s="283" t="n"/>
      <c r="AE79" s="283" t="n"/>
      <c r="AF79" s="283" t="n"/>
      <c r="AG79" s="201" t="n">
        <v>2152</v>
      </c>
      <c r="AH79" s="201" t="n">
        <v>1842</v>
      </c>
      <c r="AI79" s="201" t="n">
        <v>1188</v>
      </c>
      <c r="AJ79" s="201" t="n">
        <v>821</v>
      </c>
      <c r="AK79" s="201" t="n">
        <v>405</v>
      </c>
      <c r="AL79" s="201" t="n">
        <v>528</v>
      </c>
      <c r="AM79" s="201" t="n">
        <v>1232</v>
      </c>
      <c r="AN79" s="201" t="n">
        <v>1504</v>
      </c>
      <c r="AO79" s="201" t="n">
        <v>1412</v>
      </c>
      <c r="AP79" s="201">
        <f>1940+950</f>
        <v/>
      </c>
      <c r="AQ79" s="201" t="n">
        <v>3782</v>
      </c>
      <c r="AR79" s="201" t="n">
        <v>4839</v>
      </c>
      <c r="AS79" s="283">
        <f>SUM(AG79:AR79)</f>
        <v/>
      </c>
      <c r="AT79" s="286">
        <f>AS79/12</f>
        <v/>
      </c>
      <c r="AU79" s="201" t="n">
        <v>6565</v>
      </c>
      <c r="AV79" s="201" t="n">
        <v>5543</v>
      </c>
      <c r="AW79" s="201" t="n">
        <v>8513</v>
      </c>
      <c r="AX79" s="201" t="n">
        <v>6602</v>
      </c>
      <c r="AY79" s="201" t="n">
        <v>6922</v>
      </c>
      <c r="AZ79" s="203">
        <f>SUMIFS(領用表!$L:$L,領用表!$E:$E,$B79,領用表!$B:$B,AZ$2&amp;$BI$1)</f>
        <v/>
      </c>
      <c r="BA79" s="203">
        <f>SUMIFS(領用表!$L:$L,領用表!$E:$E,$B79,領用表!$B:$B,BA$2&amp;$BI$1)</f>
        <v/>
      </c>
      <c r="BB79" s="203">
        <f>SUMIFS(領用表!$L:$L,領用表!$E:$E,$B79,領用表!$B:$B,BB$2&amp;$BI$1)</f>
        <v/>
      </c>
      <c r="BC79" s="203">
        <f>SUMIFS(領用表!$L:$L,領用表!$E:$E,$B79,領用表!$B:$B,BC$2&amp;$BI$1)</f>
        <v/>
      </c>
      <c r="BD79" s="208">
        <f>SUMIFS(領用表!$L:$L,領用表!$E:$E,$B79,領用表!$B:$B,BD$2&amp;$BI$1)</f>
        <v/>
      </c>
      <c r="BE79" s="208">
        <f>SUMIFS(領用表!$L:$L,領用表!$E:$E,$B79,領用表!$B:$B,BE$2&amp;$BI$1)</f>
        <v/>
      </c>
      <c r="BF79" s="208">
        <f>SUMIFS(領用表!$L:$L,領用表!$E:$E,$B79,領用表!$B:$B,BF$2&amp;$BI$1)</f>
        <v/>
      </c>
      <c r="BG79" s="207">
        <f>SUM(AU79,AV79,AW79,AX79,AY79,AZ79,BA79,BB79,BC79,BD79,BE79,BF79)</f>
        <v/>
      </c>
      <c r="BH79" s="207">
        <f>AVERAGE(AU79,AV79,AW79,AX79,AY79,AZ79,BA79,BB79,BC79,BD79,BE79,BF79)</f>
        <v/>
      </c>
      <c r="BI79" s="208">
        <f>SUMIFS(領用表!$L:$L,領用表!$E:$E,$B79,領用表!$B:$B,BI$2&amp;$BI$1)</f>
        <v/>
      </c>
      <c r="BJ79" s="208">
        <f>SUMIFS(領用表!$L:$L,領用表!$E:$E,$B79,領用表!$B:$B,BJ$2&amp;$BI$1)</f>
        <v/>
      </c>
      <c r="BK79" s="208">
        <f>SUMIFS(領用表!$L:$L,領用表!$E:$E,$B79,領用表!$B:$B,BK$2&amp;$BI$1)</f>
        <v/>
      </c>
      <c r="BL79" s="208">
        <f>SUMIFS(領用表!$L:$L,領用表!$E:$E,$B79,領用表!$B:$B,BL$2&amp;$BI$1)</f>
        <v/>
      </c>
      <c r="BM79" s="208">
        <f>SUMIFS(領用表!$L:$L,領用表!$E:$E,$B79,領用表!$B:$B,BM$2&amp;$BI$1)</f>
        <v/>
      </c>
      <c r="BN79" s="208" t="n">
        <v>1788</v>
      </c>
      <c r="BO79" s="208">
        <f>SUMIFS(領用表!$L:$L,領用表!$E:$E,$B79,領用表!$B:$B,BO$2&amp;$BI$1)</f>
        <v/>
      </c>
      <c r="BP79" s="208">
        <f>SUMIFS(領用表!$L:$L,領用表!$E:$E,$B79,領用表!$B:$B,BP$2&amp;$BI$1)</f>
        <v/>
      </c>
      <c r="BQ79" s="208">
        <f>SUMIFS(領用表!$L:$L,領用表!$E:$E,$B79,領用表!$B:$B,BQ$2&amp;$BI$1)</f>
        <v/>
      </c>
      <c r="BR79" s="208">
        <f>SUMIFS(領用表!$L:$L,領用表!$E:$E,$B79,領用表!$B:$B,BR$2&amp;$BI$1)</f>
        <v/>
      </c>
      <c r="BS79" s="208">
        <f>SUMIFS(領用表!$L:$L,領用表!$E:$E,$B79,領用表!$B:$B,BS$2&amp;$BI$1)</f>
        <v/>
      </c>
      <c r="BT79" s="208">
        <f>SUMIFS(領用表!$L:$L,領用表!$E:$E,$B79,領用表!$B:$B,BT$2&amp;$BI$1)</f>
        <v/>
      </c>
      <c r="BU79" s="208">
        <f>SUM(BI79,BJ79,BK79,BL79,BM79,BN79)</f>
        <v/>
      </c>
      <c r="BV79" s="208">
        <f>AVERAGE(BI79,BJ79,BK79,BL79,BM79,BN79)</f>
        <v/>
      </c>
      <c r="BW79" s="208">
        <f>SUMIF(Summary!B:B,B79,Summary!DZ:DZ)</f>
        <v/>
      </c>
      <c r="BX79" s="384" t="n"/>
      <c r="BY79" s="340" t="n"/>
      <c r="BZ79" s="340" t="inlineStr">
        <is>
          <t>4000-10/22</t>
        </is>
      </c>
      <c r="CA79" s="340" t="n"/>
      <c r="CB79" s="136" t="n"/>
      <c r="CC79" s="289" t="n"/>
      <c r="CE79" s="213" t="n"/>
    </row>
    <row r="80" ht="15.75" customFormat="1" customHeight="1" s="118">
      <c r="A80" s="136" t="inlineStr">
        <is>
          <t>MB3ME100003A</t>
        </is>
      </c>
      <c r="B80" s="118" t="n">
        <v>6140005</v>
      </c>
      <c r="C80" s="118" t="inlineStr">
        <is>
          <t>奇肌肉毒 200u/ vial  (因稀釋手法會有些許差異)</t>
        </is>
      </c>
      <c r="D80" s="285" t="n">
        <v>200</v>
      </c>
      <c r="E80" s="198" t="inlineStr">
        <is>
          <t>U</t>
        </is>
      </c>
      <c r="F80" s="349">
        <f>(D80*13)+98</f>
        <v/>
      </c>
      <c r="G80" s="349" t="n"/>
      <c r="H80" s="283" t="n"/>
      <c r="I80" s="283" t="n"/>
      <c r="J80" s="283" t="n"/>
      <c r="K80" s="283" t="n"/>
      <c r="L80" s="283" t="n"/>
      <c r="M80" s="283" t="n"/>
      <c r="N80" s="283" t="n"/>
      <c r="O80" s="283" t="n"/>
      <c r="P80" s="283" t="n"/>
      <c r="Q80" s="283" t="n"/>
      <c r="R80" s="283" t="n"/>
      <c r="S80" s="283" t="n"/>
      <c r="T80" s="283" t="n"/>
      <c r="U80" s="283" t="n"/>
      <c r="V80" s="283" t="n"/>
      <c r="W80" s="283" t="n"/>
      <c r="X80" s="283" t="n"/>
      <c r="Y80" s="283" t="n"/>
      <c r="Z80" s="283" t="n"/>
      <c r="AA80" s="283" t="n"/>
      <c r="AB80" s="283" t="n"/>
      <c r="AC80" s="283" t="n"/>
      <c r="AD80" s="283" t="n"/>
      <c r="AE80" s="283" t="n"/>
      <c r="AF80" s="283" t="n"/>
      <c r="AG80" s="201" t="n">
        <v>0</v>
      </c>
      <c r="AH80" s="201" t="n">
        <v>0</v>
      </c>
      <c r="AI80" s="201" t="n">
        <v>1154</v>
      </c>
      <c r="AJ80" s="201" t="n">
        <v>2465</v>
      </c>
      <c r="AK80" s="201" t="n">
        <v>2607</v>
      </c>
      <c r="AL80" s="201" t="n">
        <v>2330</v>
      </c>
      <c r="AM80" s="201" t="n">
        <v>1488</v>
      </c>
      <c r="AN80" s="201" t="n">
        <v>6126</v>
      </c>
      <c r="AO80" s="201" t="n">
        <v>2454</v>
      </c>
      <c r="AP80" s="201" t="n">
        <v>3438</v>
      </c>
      <c r="AQ80" s="201" t="n">
        <v>3180</v>
      </c>
      <c r="AR80" s="201" t="n">
        <v>3251</v>
      </c>
      <c r="AS80" s="283">
        <f>SUM(AG80:AR80)</f>
        <v/>
      </c>
      <c r="AT80" s="286">
        <f>AS80/12</f>
        <v/>
      </c>
      <c r="AU80" s="201" t="n">
        <v>2150</v>
      </c>
      <c r="AV80" s="201" t="n">
        <v>2385</v>
      </c>
      <c r="AW80" s="201" t="n">
        <v>2782</v>
      </c>
      <c r="AX80" s="201" t="n">
        <v>2692</v>
      </c>
      <c r="AY80" s="201" t="n">
        <v>2952</v>
      </c>
      <c r="AZ80" s="203">
        <f>SUMIFS(領用表!$L:$L,領用表!$E:$E,$B80,領用表!$B:$B,AZ$2&amp;$BI$1)</f>
        <v/>
      </c>
      <c r="BA80" s="203">
        <f>SUMIFS(領用表!$L:$L,領用表!$E:$E,$B80,領用表!$B:$B,BA$2&amp;$BI$1)</f>
        <v/>
      </c>
      <c r="BB80" s="203">
        <f>SUMIFS(領用表!$L:$L,領用表!$E:$E,$B80,領用表!$B:$B,BB$2&amp;$BI$1)</f>
        <v/>
      </c>
      <c r="BC80" s="203">
        <f>SUMIFS(領用表!$L:$L,領用表!$E:$E,$B80,領用表!$B:$B,BC$2&amp;$BI$1)</f>
        <v/>
      </c>
      <c r="BD80" s="208">
        <f>SUMIFS(領用表!$L:$L,領用表!$E:$E,$B80,領用表!$B:$B,BD$2&amp;$BI$1)</f>
        <v/>
      </c>
      <c r="BE80" s="208">
        <f>SUMIFS(領用表!$L:$L,領用表!$E:$E,$B80,領用表!$B:$B,BE$2&amp;$BI$1)</f>
        <v/>
      </c>
      <c r="BF80" s="208">
        <f>SUMIFS(領用表!$L:$L,領用表!$E:$E,$B80,領用表!$B:$B,BF$2&amp;$BI$1)</f>
        <v/>
      </c>
      <c r="BG80" s="207">
        <f>SUM(AU80,AV80,AW80,AX80,AY80,AZ80,BA80,BB80,BC80,BD80,BE80,BF80)</f>
        <v/>
      </c>
      <c r="BH80" s="207">
        <f>AVERAGE(AU80,AV80,AW80,AX80,AY80,AZ80,BA80,BB80,BC80,BD80,BE80,BF80)</f>
        <v/>
      </c>
      <c r="BI80" s="208">
        <f>SUMIFS(領用表!$L:$L,領用表!$E:$E,$B80,領用表!$B:$B,BI$2&amp;$BI$1)</f>
        <v/>
      </c>
      <c r="BJ80" s="208">
        <f>SUMIFS(領用表!$L:$L,領用表!$E:$E,$B80,領用表!$B:$B,BJ$2&amp;$BI$1)</f>
        <v/>
      </c>
      <c r="BK80" s="208">
        <f>SUMIFS(領用表!$L:$L,領用表!$E:$E,$B80,領用表!$B:$B,BK$2&amp;$BI$1)</f>
        <v/>
      </c>
      <c r="BL80" s="208">
        <f>SUMIFS(領用表!$L:$L,領用表!$E:$E,$B80,領用表!$B:$B,BL$2&amp;$BI$1)</f>
        <v/>
      </c>
      <c r="BM80" s="208">
        <f>SUMIFS(領用表!$L:$L,領用表!$E:$E,$B80,領用表!$B:$B,BM$2&amp;$BI$1)</f>
        <v/>
      </c>
      <c r="BN80" s="208" t="n">
        <v>712</v>
      </c>
      <c r="BO80" s="208">
        <f>SUMIFS(領用表!$L:$L,領用表!$E:$E,$B80,領用表!$B:$B,BO$2&amp;$BI$1)</f>
        <v/>
      </c>
      <c r="BP80" s="208">
        <f>SUMIFS(領用表!$L:$L,領用表!$E:$E,$B80,領用表!$B:$B,BP$2&amp;$BI$1)</f>
        <v/>
      </c>
      <c r="BQ80" s="208">
        <f>SUMIFS(領用表!$L:$L,領用表!$E:$E,$B80,領用表!$B:$B,BQ$2&amp;$BI$1)</f>
        <v/>
      </c>
      <c r="BR80" s="208">
        <f>SUMIFS(領用表!$L:$L,領用表!$E:$E,$B80,領用表!$B:$B,BR$2&amp;$BI$1)</f>
        <v/>
      </c>
      <c r="BS80" s="208">
        <f>SUMIFS(領用表!$L:$L,領用表!$E:$E,$B80,領用表!$B:$B,BS$2&amp;$BI$1)</f>
        <v/>
      </c>
      <c r="BT80" s="208">
        <f>SUMIFS(領用表!$L:$L,領用表!$E:$E,$B80,領用表!$B:$B,BT$2&amp;$BI$1)</f>
        <v/>
      </c>
      <c r="BU80" s="208">
        <f>SUM(BI80,BJ80,BK80,BL80,BM80,BN80)</f>
        <v/>
      </c>
      <c r="BV80" s="208">
        <f>AVERAGE(BI80,BJ80,BK80,BL80,BM80,BN80)</f>
        <v/>
      </c>
      <c r="BW80" s="208">
        <f>SUMIF(Summary!B:B,B80,Summary!DZ:DZ)</f>
        <v/>
      </c>
      <c r="BX80" s="384" t="n"/>
      <c r="BY80" s="340" t="n"/>
      <c r="BZ80" s="340" t="n"/>
      <c r="CA80" s="340" t="n"/>
      <c r="CB80" s="136" t="n"/>
      <c r="CC80" s="289" t="n"/>
      <c r="CE80" s="213" t="n"/>
    </row>
    <row r="81" ht="15.75" customFormat="1" customHeight="1" s="118">
      <c r="A81" s="136" t="n"/>
      <c r="B81" s="118" t="e">
        <v>#N/A</v>
      </c>
      <c r="C81" s="118" t="inlineStr">
        <is>
          <t>善纖達 Saxenda 6 mg/ml 注射用溶液(3入)</t>
        </is>
      </c>
      <c r="D81" s="285" t="n">
        <v>3</v>
      </c>
      <c r="E81" s="198" t="inlineStr">
        <is>
          <t>支</t>
        </is>
      </c>
      <c r="F81" s="349" t="n"/>
      <c r="G81" s="349" t="n"/>
      <c r="H81" s="283" t="n"/>
      <c r="I81" s="283" t="n"/>
      <c r="J81" s="283" t="n"/>
      <c r="K81" s="283" t="n"/>
      <c r="L81" s="283" t="n"/>
      <c r="M81" s="283" t="n"/>
      <c r="N81" s="283" t="n"/>
      <c r="O81" s="283" t="n"/>
      <c r="P81" s="283" t="n"/>
      <c r="Q81" s="283" t="n"/>
      <c r="R81" s="283" t="n"/>
      <c r="S81" s="283" t="n"/>
      <c r="T81" s="283" t="n"/>
      <c r="U81" s="283" t="n"/>
      <c r="V81" s="283" t="n"/>
      <c r="W81" s="283" t="n"/>
      <c r="X81" s="283" t="n"/>
      <c r="Y81" s="283" t="n"/>
      <c r="Z81" s="283" t="n"/>
      <c r="AA81" s="283" t="n"/>
      <c r="AB81" s="283" t="n"/>
      <c r="AC81" s="283" t="n"/>
      <c r="AD81" s="283" t="n"/>
      <c r="AE81" s="283" t="n"/>
      <c r="AF81" s="283" t="n"/>
      <c r="AG81" s="201" t="n"/>
      <c r="AH81" s="201" t="n"/>
      <c r="AI81" s="201" t="n"/>
      <c r="AJ81" s="201" t="n"/>
      <c r="AK81" s="201" t="n"/>
      <c r="AL81" s="201" t="n"/>
      <c r="AM81" s="201" t="n">
        <v>159</v>
      </c>
      <c r="AN81" s="201" t="n">
        <v>291</v>
      </c>
      <c r="AO81" s="201" t="n">
        <v>533</v>
      </c>
      <c r="AP81" s="201" t="n">
        <v>138.33</v>
      </c>
      <c r="AQ81" s="201" t="n">
        <v>95.67</v>
      </c>
      <c r="AR81" s="201">
        <f>3*167.33</f>
        <v/>
      </c>
      <c r="AS81" s="283">
        <f>SUM(AG81:AR81)</f>
        <v/>
      </c>
      <c r="AT81" s="286">
        <f>AS81/12</f>
        <v/>
      </c>
      <c r="AU81" s="201">
        <f>3*148.97</f>
        <v/>
      </c>
      <c r="AV81" s="201">
        <f>3*82.7</f>
        <v/>
      </c>
      <c r="AW81" s="201" t="n">
        <v>312</v>
      </c>
      <c r="AX81" s="201" t="n">
        <v>359</v>
      </c>
      <c r="AY81" s="201" t="n">
        <v>268</v>
      </c>
      <c r="AZ81" s="203">
        <f>SUMIFS(領用表!$L:$L,領用表!$E:$E,$B81,領用表!$B:$B,AZ$2&amp;$BI$1)</f>
        <v/>
      </c>
      <c r="BA81" s="203">
        <f>SUMIFS(領用表!$L:$L,領用表!$E:$E,$B81,領用表!$B:$B,BA$2&amp;$BI$1)</f>
        <v/>
      </c>
      <c r="BB81" s="203">
        <f>SUMIFS(領用表!$L:$L,領用表!$E:$E,$B81,領用表!$B:$B,BB$2&amp;$BI$1)</f>
        <v/>
      </c>
      <c r="BC81" s="203">
        <f>SUMIFS(領用表!$L:$L,領用表!$E:$E,$B81,領用表!$B:$B,BC$2&amp;$BI$1)</f>
        <v/>
      </c>
      <c r="BD81" s="208">
        <f>SUMIFS(領用表!$L:$L,領用表!$E:$E,$B81,領用表!$B:$B,BD$2&amp;$BI$1)</f>
        <v/>
      </c>
      <c r="BE81" s="208">
        <f>SUMIFS(領用表!$L:$L,領用表!$E:$E,$B81,領用表!$B:$B,BE$2&amp;$BI$1)</f>
        <v/>
      </c>
      <c r="BF81" s="208">
        <f>SUMIFS(領用表!$L:$L,領用表!$E:$E,$B81,領用表!$B:$B,BF$2&amp;$BI$1)</f>
        <v/>
      </c>
      <c r="BG81" s="207">
        <f>SUM(AU81,AV81,AW81,AX81,AY81,AZ81,BA81,BB81,BC81,BD81,BE81,BF81)</f>
        <v/>
      </c>
      <c r="BH81" s="207">
        <f>AVERAGE(AU81,AV81,AW81,AX81,AY81,AZ81,BA81,BB81,BC81,BD81,BE81,BF81)</f>
        <v/>
      </c>
      <c r="BI81" s="208">
        <f>SUMIFS(領用表!$L:$L,領用表!$E:$E,$B81,領用表!$B:$B,BI$2&amp;$BI$1)</f>
        <v/>
      </c>
      <c r="BJ81" s="208">
        <f>SUMIFS(領用表!$L:$L,領用表!$E:$E,$B81,領用表!$B:$B,BJ$2&amp;$BI$1)</f>
        <v/>
      </c>
      <c r="BK81" s="208">
        <f>SUMIFS(領用表!$L:$L,領用表!$E:$E,$B81,領用表!$B:$B,BK$2&amp;$BI$1)</f>
        <v/>
      </c>
      <c r="BL81" s="208">
        <f>SUMIFS(領用表!$L:$L,領用表!$E:$E,$B81,領用表!$B:$B,BL$2&amp;$BI$1)</f>
        <v/>
      </c>
      <c r="BM81" s="208">
        <f>SUMIFS(領用表!$L:$L,領用表!$E:$E,$B81,領用表!$B:$B,BM$2&amp;$BI$1)</f>
        <v/>
      </c>
      <c r="BN81" s="208">
        <f>SUMIFS(領用表!$L:$L,領用表!$E:$E,$B81,領用表!$B:$B,BN$2&amp;$BI$1)</f>
        <v/>
      </c>
      <c r="BO81" s="208">
        <f>SUMIFS(領用表!$L:$L,領用表!$E:$E,$B81,領用表!$B:$B,BO$2&amp;$BI$1)</f>
        <v/>
      </c>
      <c r="BP81" s="208">
        <f>SUMIFS(領用表!$L:$L,領用表!$E:$E,$B81,領用表!$B:$B,BP$2&amp;$BI$1)</f>
        <v/>
      </c>
      <c r="BQ81" s="208">
        <f>SUMIFS(領用表!$L:$L,領用表!$E:$E,$B81,領用表!$B:$B,BQ$2&amp;$BI$1)</f>
        <v/>
      </c>
      <c r="BR81" s="208">
        <f>SUMIFS(領用表!$L:$L,領用表!$E:$E,$B81,領用表!$B:$B,BR$2&amp;$BI$1)</f>
        <v/>
      </c>
      <c r="BS81" s="208">
        <f>SUMIFS(領用表!$L:$L,領用表!$E:$E,$B81,領用表!$B:$B,BS$2&amp;$BI$1)</f>
        <v/>
      </c>
      <c r="BT81" s="208">
        <f>SUMIFS(領用表!$L:$L,領用表!$E:$E,$B81,領用表!$B:$B,BT$2&amp;$BI$1)</f>
        <v/>
      </c>
      <c r="BU81" s="208">
        <f>SUM(BI81,BJ81,BK81,BL81,BM81,BN81)</f>
        <v/>
      </c>
      <c r="BV81" s="208">
        <f>AVERAGE(BI81,BJ81,BK81,BL81,BM81,BN81)</f>
        <v/>
      </c>
      <c r="BW81" s="208">
        <f>SUMIF(Summary!B:B,B81,Summary!DZ:DZ)</f>
        <v/>
      </c>
      <c r="BX81" s="384" t="n"/>
      <c r="BY81" s="340" t="n"/>
      <c r="BZ81" s="340" t="n"/>
      <c r="CA81" s="340" t="n"/>
      <c r="CB81" s="136" t="n"/>
      <c r="CC81" s="289" t="n"/>
      <c r="CE81" s="213" t="n"/>
    </row>
    <row r="82" ht="15.75" customFormat="1" customHeight="1" s="118">
      <c r="A82" s="136" t="n"/>
      <c r="B82" s="118" t="e">
        <v>#N/A</v>
      </c>
      <c r="C82" s="135" t="inlineStr">
        <is>
          <t>善纖達針頭/猛健樂針頭</t>
        </is>
      </c>
      <c r="D82" s="285" t="n">
        <v>100</v>
      </c>
      <c r="E82" s="198" t="inlineStr">
        <is>
          <t>顆</t>
        </is>
      </c>
      <c r="F82" s="349" t="n"/>
      <c r="G82" s="349" t="n"/>
      <c r="H82" s="283" t="n"/>
      <c r="I82" s="283" t="n"/>
      <c r="J82" s="283" t="n"/>
      <c r="K82" s="283" t="n"/>
      <c r="L82" s="283" t="n"/>
      <c r="M82" s="283" t="n"/>
      <c r="N82" s="283" t="n"/>
      <c r="O82" s="283" t="n"/>
      <c r="P82" s="283" t="n"/>
      <c r="Q82" s="283" t="n"/>
      <c r="R82" s="283" t="n"/>
      <c r="S82" s="283" t="n"/>
      <c r="T82" s="283" t="n"/>
      <c r="U82" s="283" t="n"/>
      <c r="V82" s="283" t="n"/>
      <c r="W82" s="283" t="n"/>
      <c r="X82" s="283" t="n"/>
      <c r="Y82" s="283" t="n"/>
      <c r="Z82" s="283" t="n"/>
      <c r="AA82" s="283" t="n"/>
      <c r="AB82" s="283" t="n"/>
      <c r="AC82" s="283" t="n"/>
      <c r="AD82" s="283" t="n"/>
      <c r="AE82" s="283" t="n"/>
      <c r="AF82" s="283" t="n"/>
      <c r="AG82" s="201" t="n"/>
      <c r="AH82" s="201" t="n"/>
      <c r="AI82" s="201" t="n"/>
      <c r="AJ82" s="201" t="n"/>
      <c r="AK82" s="201" t="n"/>
      <c r="AL82" s="201" t="n"/>
      <c r="AM82" s="201" t="n"/>
      <c r="AN82" s="201" t="n"/>
      <c r="AO82" s="201" t="n"/>
      <c r="AP82" s="201" t="n"/>
      <c r="AQ82" s="201" t="n"/>
      <c r="AR82" s="201" t="n"/>
      <c r="AS82" s="513" t="inlineStr">
        <is>
          <t>-</t>
        </is>
      </c>
      <c r="AT82" s="513" t="inlineStr">
        <is>
          <t>-</t>
        </is>
      </c>
      <c r="AU82" s="513" t="inlineStr">
        <is>
          <t>-</t>
        </is>
      </c>
      <c r="AV82" s="513" t="inlineStr">
        <is>
          <t>-</t>
        </is>
      </c>
      <c r="AW82" s="513" t="inlineStr">
        <is>
          <t>-</t>
        </is>
      </c>
      <c r="AX82" s="201" t="inlineStr">
        <is>
          <t>-</t>
        </is>
      </c>
      <c r="AY82" s="201" t="inlineStr">
        <is>
          <t>-</t>
        </is>
      </c>
      <c r="AZ82" s="295">
        <f>SUMIFS(領用表!$L:$L,領用表!$E:$E,$B82,領用表!$B:$B,AZ$2&amp;$BI$1)</f>
        <v/>
      </c>
      <c r="BA82" s="203">
        <f>SUMIFS(領用表!$L:$L,領用表!$E:$E,$B82,領用表!$B:$B,BA$2&amp;$BI$1)</f>
        <v/>
      </c>
      <c r="BB82" s="203">
        <f>SUMIFS(領用表!$L:$L,領用表!$E:$E,$B82,領用表!$B:$B,BB$2&amp;$BI$1)</f>
        <v/>
      </c>
      <c r="BC82" s="203">
        <f>SUMIFS(領用表!$L:$L,領用表!$E:$E,$B82,領用表!$B:$B,BC$2&amp;$BI$1)</f>
        <v/>
      </c>
      <c r="BD82" s="208">
        <f>SUMIFS(領用表!$L:$L,領用表!$E:$E,$B82,領用表!$B:$B,BD$2&amp;$BI$1)</f>
        <v/>
      </c>
      <c r="BE82" s="208">
        <f>SUMIFS(領用表!$L:$L,領用表!$E:$E,$B82,領用表!$B:$B,BE$2&amp;$BI$1)</f>
        <v/>
      </c>
      <c r="BF82" s="208">
        <f>SUMIFS(領用表!$L:$L,領用表!$E:$E,$B82,領用表!$B:$B,BF$2&amp;$BI$1)</f>
        <v/>
      </c>
      <c r="BG82" s="207">
        <f>SUM(AU82,AV82,AW82,AX82,AY82,AZ82,BA82,BB82,BC82,BD82,BE82,BF82)</f>
        <v/>
      </c>
      <c r="BH82" s="207">
        <f>AVERAGE(AU82,AV82,AW82,AX82,AY82,AZ82,BA82,BB82,BC82,BD82,BE82,BF82)</f>
        <v/>
      </c>
      <c r="BI82" s="208">
        <f>SUMIFS(領用表!$L:$L,領用表!$E:$E,$B82,領用表!$B:$B,BI$2&amp;$BI$1)</f>
        <v/>
      </c>
      <c r="BJ82" s="208">
        <f>SUMIFS(領用表!$L:$L,領用表!$E:$E,$B82,領用表!$B:$B,BJ$2&amp;$BI$1)</f>
        <v/>
      </c>
      <c r="BK82" s="208">
        <f>SUMIFS(領用表!$L:$L,領用表!$E:$E,$B82,領用表!$B:$B,BK$2&amp;$BI$1)</f>
        <v/>
      </c>
      <c r="BL82" s="208">
        <f>SUMIFS(領用表!$L:$L,領用表!$E:$E,$B82,領用表!$B:$B,BL$2&amp;$BI$1)</f>
        <v/>
      </c>
      <c r="BM82" s="208">
        <f>SUMIFS(領用表!$L:$L,領用表!$E:$E,$B82,領用表!$B:$B,BM$2&amp;$BI$1)</f>
        <v/>
      </c>
      <c r="BN82" s="208">
        <f>SUMIFS(領用表!$L:$L,領用表!$E:$E,$B82,領用表!$B:$B,BN$2&amp;$BI$1)</f>
        <v/>
      </c>
      <c r="BO82" s="208">
        <f>SUMIFS(領用表!$L:$L,領用表!$E:$E,$B82,領用表!$B:$B,BO$2&amp;$BI$1)</f>
        <v/>
      </c>
      <c r="BP82" s="208">
        <f>SUMIFS(領用表!$L:$L,領用表!$E:$E,$B82,領用表!$B:$B,BP$2&amp;$BI$1)</f>
        <v/>
      </c>
      <c r="BQ82" s="208">
        <f>SUMIFS(領用表!$L:$L,領用表!$E:$E,$B82,領用表!$B:$B,BQ$2&amp;$BI$1)</f>
        <v/>
      </c>
      <c r="BR82" s="208">
        <f>SUMIFS(領用表!$L:$L,領用表!$E:$E,$B82,領用表!$B:$B,BR$2&amp;$BI$1)</f>
        <v/>
      </c>
      <c r="BS82" s="208">
        <f>SUMIFS(領用表!$L:$L,領用表!$E:$E,$B82,領用表!$B:$B,BS$2&amp;$BI$1)</f>
        <v/>
      </c>
      <c r="BT82" s="208">
        <f>SUMIFS(領用表!$L:$L,領用表!$E:$E,$B82,領用表!$B:$B,BT$2&amp;$BI$1)</f>
        <v/>
      </c>
      <c r="BU82" s="208">
        <f>SUM(BI82,BJ82,BK82,BL82,BM82,BN82)</f>
        <v/>
      </c>
      <c r="BV82" s="208">
        <f>AVERAGE(BI82,BJ82,BK82,BL82,BM82,BN82)</f>
        <v/>
      </c>
      <c r="BW82" s="208">
        <f>SUMIF(Summary!B:B,B82,Summary!DZ:DZ)</f>
        <v/>
      </c>
      <c r="BX82" s="384" t="n"/>
      <c r="BY82" s="340" t="n"/>
      <c r="BZ82" s="340" t="n"/>
      <c r="CA82" s="340" t="n"/>
      <c r="CB82" s="136" t="n"/>
      <c r="CC82" s="289" t="n"/>
      <c r="CE82" s="213" t="n"/>
    </row>
    <row r="83" ht="15.75" customFormat="1" customHeight="1" s="118">
      <c r="A83" s="136" t="inlineStr">
        <is>
          <t>MB3ME110003A</t>
        </is>
      </c>
      <c r="B83" s="118" t="n">
        <v>6200008</v>
      </c>
      <c r="C83" s="135" t="inlineStr">
        <is>
          <t>週纖達0.25mg</t>
        </is>
      </c>
      <c r="D83" s="285" t="n">
        <v>1</v>
      </c>
      <c r="E83" s="198" t="inlineStr">
        <is>
          <t>支</t>
        </is>
      </c>
      <c r="F83" s="349" t="n"/>
      <c r="G83" s="349" t="n"/>
      <c r="H83" s="283" t="n"/>
      <c r="I83" s="283" t="n"/>
      <c r="J83" s="283" t="n"/>
      <c r="K83" s="283" t="n"/>
      <c r="L83" s="283" t="n"/>
      <c r="M83" s="283" t="n"/>
      <c r="N83" s="283" t="n"/>
      <c r="O83" s="283" t="n"/>
      <c r="P83" s="283" t="n"/>
      <c r="Q83" s="283" t="n"/>
      <c r="R83" s="283" t="n"/>
      <c r="S83" s="283" t="n"/>
      <c r="T83" s="283" t="n"/>
      <c r="U83" s="283" t="n"/>
      <c r="V83" s="283" t="n"/>
      <c r="W83" s="283" t="n"/>
      <c r="X83" s="283" t="n"/>
      <c r="Y83" s="283" t="n"/>
      <c r="Z83" s="283" t="n"/>
      <c r="AA83" s="283" t="n"/>
      <c r="AB83" s="283" t="n"/>
      <c r="AC83" s="283" t="n"/>
      <c r="AD83" s="283" t="n"/>
      <c r="AE83" s="283" t="n"/>
      <c r="AF83" s="283" t="n"/>
      <c r="AG83" s="201" t="n"/>
      <c r="AH83" s="201" t="n"/>
      <c r="AI83" s="201" t="n"/>
      <c r="AJ83" s="201" t="n"/>
      <c r="AK83" s="201" t="n"/>
      <c r="AL83" s="201" t="n"/>
      <c r="AM83" s="201" t="n"/>
      <c r="AN83" s="201" t="n"/>
      <c r="AO83" s="201" t="n"/>
      <c r="AP83" s="201" t="n"/>
      <c r="AQ83" s="201" t="n"/>
      <c r="AR83" s="201" t="n"/>
      <c r="AS83" s="513" t="inlineStr">
        <is>
          <t>-</t>
        </is>
      </c>
      <c r="AT83" s="513" t="inlineStr">
        <is>
          <t>-</t>
        </is>
      </c>
      <c r="AU83" s="513" t="inlineStr">
        <is>
          <t>-</t>
        </is>
      </c>
      <c r="AV83" s="513" t="inlineStr">
        <is>
          <t>-</t>
        </is>
      </c>
      <c r="AW83" s="513" t="inlineStr">
        <is>
          <t>-</t>
        </is>
      </c>
      <c r="AX83" s="201" t="n">
        <v>4</v>
      </c>
      <c r="AY83" s="201" t="n">
        <v>17</v>
      </c>
      <c r="AZ83" s="203">
        <f>SUMIFS(領用表!$L:$L,領用表!$E:$E,$B83,領用表!$B:$B,AZ$2&amp;$BI$1)</f>
        <v/>
      </c>
      <c r="BA83" s="203">
        <f>SUMIFS(領用表!$L:$L,領用表!$E:$E,$B83,領用表!$B:$B,BA$2&amp;$BI$1)</f>
        <v/>
      </c>
      <c r="BB83" s="203">
        <f>SUMIFS(領用表!$L:$L,領用表!$E:$E,$B83,領用表!$B:$B,BB$2&amp;$BI$1)</f>
        <v/>
      </c>
      <c r="BC83" s="203">
        <f>SUMIFS(領用表!$L:$L,領用表!$E:$E,$B83,領用表!$B:$B,BC$2&amp;$BI$1)</f>
        <v/>
      </c>
      <c r="BD83" s="208">
        <f>SUMIFS(領用表!$L:$L,領用表!$E:$E,$B83,領用表!$B:$B,BD$2&amp;$BI$1)</f>
        <v/>
      </c>
      <c r="BE83" s="208">
        <f>SUMIFS(領用表!$L:$L,領用表!$E:$E,$B83,領用表!$B:$B,BE$2&amp;$BI$1)</f>
        <v/>
      </c>
      <c r="BF83" s="208">
        <f>SUMIFS(領用表!$L:$L,領用表!$E:$E,$B83,領用表!$B:$B,BF$2&amp;$BI$1)</f>
        <v/>
      </c>
      <c r="BG83" s="207">
        <f>SUM(AU83,AV83,AW83,AX83,AY83,AZ83,BA83,BB83,BC83,BD83,BE83,BF83)</f>
        <v/>
      </c>
      <c r="BH83" s="207">
        <f>AVERAGE(AU83,AV83,AW83,AX83,AY83,AZ83,BA83,BB83,BC83,BD83,BE83,BF83)</f>
        <v/>
      </c>
      <c r="BI83" s="208">
        <f>SUMIFS(領用表!$L:$L,領用表!$E:$E,$B83,領用表!$B:$B,BI$2&amp;$BI$1)</f>
        <v/>
      </c>
      <c r="BJ83" s="208">
        <f>SUMIFS(領用表!$L:$L,領用表!$E:$E,$B83,領用表!$B:$B,BJ$2&amp;$BI$1)</f>
        <v/>
      </c>
      <c r="BK83" s="208">
        <f>SUMIFS(領用表!$L:$L,領用表!$E:$E,$B83,領用表!$B:$B,BK$2&amp;$BI$1)</f>
        <v/>
      </c>
      <c r="BL83" s="208">
        <f>SUMIFS(領用表!$L:$L,領用表!$E:$E,$B83,領用表!$B:$B,BL$2&amp;$BI$1)</f>
        <v/>
      </c>
      <c r="BM83" s="208">
        <f>SUMIFS(領用表!$L:$L,領用表!$E:$E,$B83,領用表!$B:$B,BM$2&amp;$BI$1)</f>
        <v/>
      </c>
      <c r="BN83" s="208" t="n"/>
      <c r="BO83" s="208">
        <f>SUMIFS(領用表!$L:$L,領用表!$E:$E,$B83,領用表!$B:$B,BO$2&amp;$BI$1)</f>
        <v/>
      </c>
      <c r="BP83" s="208">
        <f>SUMIFS(領用表!$L:$L,領用表!$E:$E,$B83,領用表!$B:$B,BP$2&amp;$BI$1)</f>
        <v/>
      </c>
      <c r="BQ83" s="208">
        <f>SUMIFS(領用表!$L:$L,領用表!$E:$E,$B83,領用表!$B:$B,BQ$2&amp;$BI$1)</f>
        <v/>
      </c>
      <c r="BR83" s="208">
        <f>SUMIFS(領用表!$L:$L,領用表!$E:$E,$B83,領用表!$B:$B,BR$2&amp;$BI$1)</f>
        <v/>
      </c>
      <c r="BS83" s="208">
        <f>SUMIFS(領用表!$L:$L,領用表!$E:$E,$B83,領用表!$B:$B,BS$2&amp;$BI$1)</f>
        <v/>
      </c>
      <c r="BT83" s="208">
        <f>SUMIFS(領用表!$L:$L,領用表!$E:$E,$B83,領用表!$B:$B,BT$2&amp;$BI$1)</f>
        <v/>
      </c>
      <c r="BU83" s="208">
        <f>SUM(BI83,BJ83,BK83,BL83,BM83,BN83)</f>
        <v/>
      </c>
      <c r="BV83" s="208">
        <f>AVERAGE(BI83,BJ83,BK83,BL83,BM83,BN83)</f>
        <v/>
      </c>
      <c r="BW83" s="208">
        <f>SUMIF(Summary!B:B,B83,Summary!DZ:DZ)</f>
        <v/>
      </c>
      <c r="BX83" s="384" t="n"/>
      <c r="BY83" s="340" t="n"/>
      <c r="BZ83" s="340" t="n"/>
      <c r="CA83" s="340" t="n"/>
      <c r="CB83" s="136" t="n"/>
      <c r="CC83" s="289" t="n"/>
      <c r="CE83" s="213" t="n"/>
    </row>
    <row r="84" ht="15.75" customFormat="1" customHeight="1" s="118">
      <c r="A84" s="136" t="inlineStr">
        <is>
          <t>MB3ME110005A</t>
        </is>
      </c>
      <c r="B84" s="118" t="n">
        <v>6200010</v>
      </c>
      <c r="C84" s="135" t="inlineStr">
        <is>
          <t>週纖達1.0mg</t>
        </is>
      </c>
      <c r="D84" s="285" t="n">
        <v>1</v>
      </c>
      <c r="E84" s="198" t="inlineStr">
        <is>
          <t>支</t>
        </is>
      </c>
      <c r="F84" s="349" t="n"/>
      <c r="G84" s="349" t="n"/>
      <c r="H84" s="283" t="n"/>
      <c r="I84" s="283" t="n"/>
      <c r="J84" s="283" t="n"/>
      <c r="K84" s="283" t="n"/>
      <c r="L84" s="283" t="n"/>
      <c r="M84" s="283" t="n"/>
      <c r="N84" s="283" t="n"/>
      <c r="O84" s="283" t="n"/>
      <c r="P84" s="283" t="n"/>
      <c r="Q84" s="283" t="n"/>
      <c r="R84" s="283" t="n"/>
      <c r="S84" s="283" t="n"/>
      <c r="T84" s="283" t="n"/>
      <c r="U84" s="283" t="n"/>
      <c r="V84" s="283" t="n"/>
      <c r="W84" s="283" t="n"/>
      <c r="X84" s="283" t="n"/>
      <c r="Y84" s="283" t="n"/>
      <c r="Z84" s="283" t="n"/>
      <c r="AA84" s="283" t="n"/>
      <c r="AB84" s="283" t="n"/>
      <c r="AC84" s="283" t="n"/>
      <c r="AD84" s="283" t="n"/>
      <c r="AE84" s="283" t="n"/>
      <c r="AF84" s="283" t="n"/>
      <c r="AG84" s="201" t="n"/>
      <c r="AH84" s="201" t="n"/>
      <c r="AI84" s="201" t="n"/>
      <c r="AJ84" s="201" t="n"/>
      <c r="AK84" s="201" t="n"/>
      <c r="AL84" s="201" t="n"/>
      <c r="AM84" s="201" t="n"/>
      <c r="AN84" s="201" t="n"/>
      <c r="AO84" s="201" t="n"/>
      <c r="AP84" s="201" t="n"/>
      <c r="AQ84" s="201" t="n"/>
      <c r="AR84" s="201" t="n"/>
      <c r="AS84" s="513" t="inlineStr">
        <is>
          <t>-</t>
        </is>
      </c>
      <c r="AT84" s="513" t="inlineStr">
        <is>
          <t>-</t>
        </is>
      </c>
      <c r="AU84" s="513" t="inlineStr">
        <is>
          <t>-</t>
        </is>
      </c>
      <c r="AV84" s="513" t="inlineStr">
        <is>
          <t>-</t>
        </is>
      </c>
      <c r="AW84" s="513" t="inlineStr">
        <is>
          <t>-</t>
        </is>
      </c>
      <c r="AX84" s="201" t="n">
        <v>1</v>
      </c>
      <c r="AY84" s="201" t="n">
        <v>36</v>
      </c>
      <c r="AZ84" s="203">
        <f>SUMIFS(領用表!$L:$L,領用表!$E:$E,$B84,領用表!$B:$B,AZ$2&amp;$BI$1)</f>
        <v/>
      </c>
      <c r="BA84" s="203">
        <f>SUMIFS(領用表!$L:$L,領用表!$E:$E,$B84,領用表!$B:$B,BA$2&amp;$BI$1)</f>
        <v/>
      </c>
      <c r="BB84" s="203">
        <f>SUMIFS(領用表!$L:$L,領用表!$E:$E,$B84,領用表!$B:$B,BB$2&amp;$BI$1)</f>
        <v/>
      </c>
      <c r="BC84" s="203">
        <f>SUMIFS(領用表!$L:$L,領用表!$E:$E,$B84,領用表!$B:$B,BC$2&amp;$BI$1)</f>
        <v/>
      </c>
      <c r="BD84" s="208">
        <f>SUMIFS(領用表!$L:$L,領用表!$E:$E,$B84,領用表!$B:$B,BD$2&amp;$BI$1)</f>
        <v/>
      </c>
      <c r="BE84" s="208">
        <f>SUMIFS(領用表!$L:$L,領用表!$E:$E,$B84,領用表!$B:$B,BE$2&amp;$BI$1)</f>
        <v/>
      </c>
      <c r="BF84" s="208">
        <f>SUMIFS(領用表!$L:$L,領用表!$E:$E,$B84,領用表!$B:$B,BF$2&amp;$BI$1)</f>
        <v/>
      </c>
      <c r="BG84" s="207">
        <f>SUM(AU84,AV84,AW84,AX84,AY84,AZ84,BA84,BB84,BC84,BD84,BE84,BF84)</f>
        <v/>
      </c>
      <c r="BH84" s="207">
        <f>AVERAGE(AU84,AV84,AW84,AX84,AY84,AZ84,BA84,BB84,BC84,BD84,BE84,BF84)</f>
        <v/>
      </c>
      <c r="BI84" s="208">
        <f>SUMIFS(領用表!$L:$L,領用表!$E:$E,$B84,領用表!$B:$B,BI$2&amp;$BI$1)</f>
        <v/>
      </c>
      <c r="BJ84" s="208">
        <f>SUMIFS(領用表!$L:$L,領用表!$E:$E,$B84,領用表!$B:$B,BJ$2&amp;$BI$1)</f>
        <v/>
      </c>
      <c r="BK84" s="208">
        <f>SUMIFS(領用表!$L:$L,領用表!$E:$E,$B84,領用表!$B:$B,BK$2&amp;$BI$1)</f>
        <v/>
      </c>
      <c r="BL84" s="208">
        <f>SUMIFS(領用表!$L:$L,領用表!$E:$E,$B84,領用表!$B:$B,BL$2&amp;$BI$1)</f>
        <v/>
      </c>
      <c r="BM84" s="208">
        <f>SUMIFS(領用表!$L:$L,領用表!$E:$E,$B84,領用表!$B:$B,BM$2&amp;$BI$1)</f>
        <v/>
      </c>
      <c r="BN84" s="208" t="n"/>
      <c r="BO84" s="208">
        <f>SUMIFS(領用表!$L:$L,領用表!$E:$E,$B84,領用表!$B:$B,BO$2&amp;$BI$1)</f>
        <v/>
      </c>
      <c r="BP84" s="208">
        <f>SUMIFS(領用表!$L:$L,領用表!$E:$E,$B84,領用表!$B:$B,BP$2&amp;$BI$1)</f>
        <v/>
      </c>
      <c r="BQ84" s="208">
        <f>SUMIFS(領用表!$L:$L,領用表!$E:$E,$B84,領用表!$B:$B,BQ$2&amp;$BI$1)</f>
        <v/>
      </c>
      <c r="BR84" s="208">
        <f>SUMIFS(領用表!$L:$L,領用表!$E:$E,$B84,領用表!$B:$B,BR$2&amp;$BI$1)</f>
        <v/>
      </c>
      <c r="BS84" s="208">
        <f>SUMIFS(領用表!$L:$L,領用表!$E:$E,$B84,領用表!$B:$B,BS$2&amp;$BI$1)</f>
        <v/>
      </c>
      <c r="BT84" s="208">
        <f>SUMIFS(領用表!$L:$L,領用表!$E:$E,$B84,領用表!$B:$B,BT$2&amp;$BI$1)</f>
        <v/>
      </c>
      <c r="BU84" s="208">
        <f>SUM(BI84,BJ84,BK84,BL84,BM84,BN84)</f>
        <v/>
      </c>
      <c r="BV84" s="208">
        <f>AVERAGE(BI84,BJ84,BK84,BL84,BM84,BN84)</f>
        <v/>
      </c>
      <c r="BW84" s="208">
        <f>SUMIF(Summary!B:B,B84,Summary!DZ:DZ)</f>
        <v/>
      </c>
      <c r="BX84" s="384" t="n"/>
      <c r="BY84" s="340" t="n"/>
      <c r="BZ84" s="340" t="n"/>
      <c r="CA84" s="340" t="n"/>
      <c r="CB84" s="136" t="n"/>
      <c r="CC84" s="289" t="n"/>
      <c r="CE84" s="213" t="n"/>
    </row>
    <row r="85" ht="15.75" customFormat="1" customHeight="1" s="118">
      <c r="A85" s="136" t="inlineStr">
        <is>
          <t>MB3ME110007A</t>
        </is>
      </c>
      <c r="B85" s="118" t="n">
        <v>6200012</v>
      </c>
      <c r="C85" s="135" t="inlineStr">
        <is>
          <t>週纖達2.4mg</t>
        </is>
      </c>
      <c r="D85" s="285" t="n">
        <v>1</v>
      </c>
      <c r="E85" s="198" t="inlineStr">
        <is>
          <t>支</t>
        </is>
      </c>
      <c r="F85" s="349" t="n"/>
      <c r="G85" s="349" t="n"/>
      <c r="H85" s="283" t="n"/>
      <c r="I85" s="283" t="n"/>
      <c r="J85" s="283" t="n"/>
      <c r="K85" s="283" t="n"/>
      <c r="L85" s="283" t="n"/>
      <c r="M85" s="283" t="n"/>
      <c r="N85" s="283" t="n"/>
      <c r="O85" s="283" t="n"/>
      <c r="P85" s="283" t="n"/>
      <c r="Q85" s="283" t="n"/>
      <c r="R85" s="283" t="n"/>
      <c r="S85" s="283" t="n"/>
      <c r="T85" s="283" t="n"/>
      <c r="U85" s="283" t="n"/>
      <c r="V85" s="283" t="n"/>
      <c r="W85" s="283" t="n"/>
      <c r="X85" s="283" t="n"/>
      <c r="Y85" s="283" t="n"/>
      <c r="Z85" s="283" t="n"/>
      <c r="AA85" s="283" t="n"/>
      <c r="AB85" s="283" t="n"/>
      <c r="AC85" s="283" t="n"/>
      <c r="AD85" s="283" t="n"/>
      <c r="AE85" s="283" t="n"/>
      <c r="AF85" s="283" t="n"/>
      <c r="AG85" s="201" t="n"/>
      <c r="AH85" s="201" t="n"/>
      <c r="AI85" s="201" t="n"/>
      <c r="AJ85" s="201" t="n"/>
      <c r="AK85" s="201" t="n"/>
      <c r="AL85" s="201" t="n"/>
      <c r="AM85" s="201" t="n"/>
      <c r="AN85" s="201" t="n"/>
      <c r="AO85" s="201" t="n"/>
      <c r="AP85" s="201" t="n"/>
      <c r="AQ85" s="201" t="n"/>
      <c r="AR85" s="201" t="n"/>
      <c r="AS85" s="513" t="inlineStr">
        <is>
          <t>-</t>
        </is>
      </c>
      <c r="AT85" s="513" t="inlineStr">
        <is>
          <t>-</t>
        </is>
      </c>
      <c r="AU85" s="513" t="inlineStr">
        <is>
          <t>-</t>
        </is>
      </c>
      <c r="AV85" s="513" t="inlineStr">
        <is>
          <t>-</t>
        </is>
      </c>
      <c r="AW85" s="513" t="inlineStr">
        <is>
          <t>-</t>
        </is>
      </c>
      <c r="AX85" s="201" t="n">
        <v>0</v>
      </c>
      <c r="AY85" s="298" t="n">
        <v>6</v>
      </c>
      <c r="AZ85" s="203">
        <f>SUMIFS(領用表!$L:$L,領用表!$E:$E,$B85,領用表!$B:$B,AZ$2&amp;$BI$1)</f>
        <v/>
      </c>
      <c r="BA85" s="203">
        <f>SUMIFS(領用表!$L:$L,領用表!$E:$E,$B85,領用表!$B:$B,BA$2&amp;$BI$1)</f>
        <v/>
      </c>
      <c r="BB85" s="203">
        <f>SUMIFS(領用表!$L:$L,領用表!$E:$E,$B85,領用表!$B:$B,BB$2&amp;$BI$1)</f>
        <v/>
      </c>
      <c r="BC85" s="203">
        <f>SUMIFS(領用表!$L:$L,領用表!$E:$E,$B85,領用表!$B:$B,BC$2&amp;$BI$1)</f>
        <v/>
      </c>
      <c r="BD85" s="208">
        <f>SUMIFS(領用表!$L:$L,領用表!$E:$E,$B85,領用表!$B:$B,BD$2&amp;$BI$1)</f>
        <v/>
      </c>
      <c r="BE85" s="208">
        <f>SUMIFS(領用表!$L:$L,領用表!$E:$E,$B85,領用表!$B:$B,BE$2&amp;$BI$1)</f>
        <v/>
      </c>
      <c r="BF85" s="208">
        <f>SUMIFS(領用表!$L:$L,領用表!$E:$E,$B85,領用表!$B:$B,BF$2&amp;$BI$1)</f>
        <v/>
      </c>
      <c r="BG85" s="207">
        <f>SUM(AU85,AV85,AW85,AX85,AY85,AZ85,BA85,BB85,BC85,BD85,BE85,BF85)</f>
        <v/>
      </c>
      <c r="BH85" s="207">
        <f>AVERAGE(AU85,AV85,AW85,AX85,AY85,AZ85,BA85,BB85,BC85,BD85,BE85,BF85)</f>
        <v/>
      </c>
      <c r="BI85" s="208">
        <f>SUMIFS(領用表!$L:$L,領用表!$E:$E,$B85,領用表!$B:$B,BI$2&amp;$BI$1)</f>
        <v/>
      </c>
      <c r="BJ85" s="208">
        <f>SUMIFS(領用表!$L:$L,領用表!$E:$E,$B85,領用表!$B:$B,BJ$2&amp;$BI$1)</f>
        <v/>
      </c>
      <c r="BK85" s="208">
        <f>SUMIFS(領用表!$L:$L,領用表!$E:$E,$B85,領用表!$B:$B,BK$2&amp;$BI$1)</f>
        <v/>
      </c>
      <c r="BL85" s="208">
        <f>SUMIFS(領用表!$L:$L,領用表!$E:$E,$B85,領用表!$B:$B,BL$2&amp;$BI$1)</f>
        <v/>
      </c>
      <c r="BM85" s="208">
        <f>SUMIFS(領用表!$L:$L,領用表!$E:$E,$B85,領用表!$B:$B,BM$2&amp;$BI$1)</f>
        <v/>
      </c>
      <c r="BN85" s="208" t="n"/>
      <c r="BO85" s="208">
        <f>SUMIFS(領用表!$L:$L,領用表!$E:$E,$B85,領用表!$B:$B,BO$2&amp;$BI$1)</f>
        <v/>
      </c>
      <c r="BP85" s="208">
        <f>SUMIFS(領用表!$L:$L,領用表!$E:$E,$B85,領用表!$B:$B,BP$2&amp;$BI$1)</f>
        <v/>
      </c>
      <c r="BQ85" s="208">
        <f>SUMIFS(領用表!$L:$L,領用表!$E:$E,$B85,領用表!$B:$B,BQ$2&amp;$BI$1)</f>
        <v/>
      </c>
      <c r="BR85" s="208">
        <f>SUMIFS(領用表!$L:$L,領用表!$E:$E,$B85,領用表!$B:$B,BR$2&amp;$BI$1)</f>
        <v/>
      </c>
      <c r="BS85" s="208">
        <f>SUMIFS(領用表!$L:$L,領用表!$E:$E,$B85,領用表!$B:$B,BS$2&amp;$BI$1)</f>
        <v/>
      </c>
      <c r="BT85" s="208">
        <f>SUMIFS(領用表!$L:$L,領用表!$E:$E,$B85,領用表!$B:$B,BT$2&amp;$BI$1)</f>
        <v/>
      </c>
      <c r="BU85" s="208">
        <f>SUM(BI85,BJ85,BK85,BL85,BM85,BN85)</f>
        <v/>
      </c>
      <c r="BV85" s="208">
        <f>AVERAGE(BI85,BJ85,BK85,BL85,BM85,BN85)</f>
        <v/>
      </c>
      <c r="BW85" s="208">
        <f>SUMIF(Summary!B:B,B85,Summary!DZ:DZ)</f>
        <v/>
      </c>
      <c r="BX85" s="384" t="n"/>
      <c r="BY85" s="340" t="n"/>
      <c r="BZ85" s="340" t="n"/>
      <c r="CA85" s="340" t="n"/>
      <c r="CB85" s="136" t="n"/>
      <c r="CC85" s="289" t="n"/>
      <c r="CE85" s="213" t="n"/>
    </row>
    <row r="86" ht="15.75" customFormat="1" customHeight="1" s="118">
      <c r="A86" s="136" t="inlineStr">
        <is>
          <t>MB3ME110008A</t>
        </is>
      </c>
      <c r="B86" s="118" t="n">
        <v>6200013</v>
      </c>
      <c r="C86" s="135" t="inlineStr">
        <is>
          <t>猛健樂2.5mg</t>
        </is>
      </c>
      <c r="D86" s="285" t="n">
        <v>1</v>
      </c>
      <c r="E86" s="198" t="inlineStr">
        <is>
          <t>支</t>
        </is>
      </c>
      <c r="F86" s="349" t="n"/>
      <c r="G86" s="349" t="n"/>
      <c r="H86" s="283" t="n"/>
      <c r="I86" s="283" t="n"/>
      <c r="J86" s="283" t="n"/>
      <c r="K86" s="283" t="n"/>
      <c r="L86" s="283" t="n"/>
      <c r="M86" s="283" t="n"/>
      <c r="N86" s="283" t="n"/>
      <c r="O86" s="283" t="n"/>
      <c r="P86" s="283" t="n"/>
      <c r="Q86" s="283" t="n"/>
      <c r="R86" s="283" t="n"/>
      <c r="S86" s="283" t="n"/>
      <c r="T86" s="283" t="n"/>
      <c r="U86" s="283" t="n"/>
      <c r="V86" s="283" t="n"/>
      <c r="W86" s="283" t="n"/>
      <c r="X86" s="283" t="n"/>
      <c r="Y86" s="283" t="n"/>
      <c r="Z86" s="283" t="n"/>
      <c r="AA86" s="283" t="n"/>
      <c r="AB86" s="283" t="n"/>
      <c r="AC86" s="283" t="n"/>
      <c r="AD86" s="283" t="n"/>
      <c r="AE86" s="283" t="n"/>
      <c r="AF86" s="283" t="n"/>
      <c r="AG86" s="201" t="n"/>
      <c r="AH86" s="201" t="n"/>
      <c r="AI86" s="201" t="n"/>
      <c r="AJ86" s="201" t="n"/>
      <c r="AK86" s="201" t="n"/>
      <c r="AL86" s="201" t="n"/>
      <c r="AM86" s="201" t="n"/>
      <c r="AN86" s="201" t="n"/>
      <c r="AO86" s="201" t="n"/>
      <c r="AP86" s="201" t="n"/>
      <c r="AQ86" s="201" t="n"/>
      <c r="AR86" s="201" t="n"/>
      <c r="AS86" s="283" t="n"/>
      <c r="AT86" s="286" t="n"/>
      <c r="AU86" s="201" t="inlineStr">
        <is>
          <t>-</t>
        </is>
      </c>
      <c r="AV86" s="201" t="inlineStr">
        <is>
          <t>-</t>
        </is>
      </c>
      <c r="AW86" s="201" t="inlineStr">
        <is>
          <t>-</t>
        </is>
      </c>
      <c r="AX86" s="201" t="inlineStr">
        <is>
          <t>-</t>
        </is>
      </c>
      <c r="AY86" s="201" t="inlineStr">
        <is>
          <t>-</t>
        </is>
      </c>
      <c r="AZ86" s="203">
        <f>SUMIFS(領用表!$L:$L,領用表!$E:$E,$B86,領用表!$B:$B,AZ$2&amp;$BI$1)</f>
        <v/>
      </c>
      <c r="BA86" s="203">
        <f>SUMIFS(領用表!$L:$L,領用表!$E:$E,$B86,領用表!$B:$B,BA$2&amp;$BI$1)</f>
        <v/>
      </c>
      <c r="BB86" s="203">
        <f>SUMIFS(領用表!$L:$L,領用表!$E:$E,$B86,領用表!$B:$B,BB$2&amp;$BI$1)</f>
        <v/>
      </c>
      <c r="BC86" s="203">
        <f>SUMIFS(領用表!$L:$L,領用表!$E:$E,$B86,領用表!$B:$B,BC$2&amp;$BI$1)</f>
        <v/>
      </c>
      <c r="BD86" s="208">
        <f>SUMIFS(領用表!$L:$L,領用表!$E:$E,$B86,領用表!$B:$B,BD$2&amp;$BI$1)</f>
        <v/>
      </c>
      <c r="BE86" s="208">
        <f>SUMIFS(領用表!$L:$L,領用表!$E:$E,$B86,領用表!$B:$B,BE$2&amp;$BI$1)</f>
        <v/>
      </c>
      <c r="BF86" s="208">
        <f>SUMIFS(領用表!$L:$L,領用表!$E:$E,$B86,領用表!$B:$B,BF$2&amp;$BI$1)</f>
        <v/>
      </c>
      <c r="BG86" s="207">
        <f>SUM(AU86,AV86,AW86,AX86,AY86,AZ86,BA86,BB86,BC86,BD86,BE86,BF86)</f>
        <v/>
      </c>
      <c r="BH86" s="207">
        <f>AVERAGE(AU86,AV86,AW86,AX86,AY86,AZ86,BA86,BB86,BC86,BD86,BE86,BF86)</f>
        <v/>
      </c>
      <c r="BI86" s="208">
        <f>SUMIFS(領用表!$L:$L,領用表!$E:$E,$B86,領用表!$B:$B,BI$2&amp;$BI$1)</f>
        <v/>
      </c>
      <c r="BJ86" s="208">
        <f>SUMIFS(領用表!$L:$L,領用表!$E:$E,$B86,領用表!$B:$B,BJ$2&amp;$BI$1)</f>
        <v/>
      </c>
      <c r="BK86" s="208">
        <f>SUMIFS(領用表!$L:$L,領用表!$E:$E,$B86,領用表!$B:$B,BK$2&amp;$BI$1)</f>
        <v/>
      </c>
      <c r="BL86" s="208">
        <f>SUMIFS(領用表!$L:$L,領用表!$E:$E,$B86,領用表!$B:$B,BL$2&amp;$BI$1)</f>
        <v/>
      </c>
      <c r="BM86" s="208">
        <f>SUMIFS(領用表!$L:$L,領用表!$E:$E,$B86,領用表!$B:$B,BM$2&amp;$BI$1)</f>
        <v/>
      </c>
      <c r="BN86" s="208" t="n"/>
      <c r="BO86" s="208">
        <f>SUMIFS(領用表!$L:$L,領用表!$E:$E,$B86,領用表!$B:$B,BO$2&amp;$BI$1)</f>
        <v/>
      </c>
      <c r="BP86" s="208">
        <f>SUMIFS(領用表!$L:$L,領用表!$E:$E,$B86,領用表!$B:$B,BP$2&amp;$BI$1)</f>
        <v/>
      </c>
      <c r="BQ86" s="208">
        <f>SUMIFS(領用表!$L:$L,領用表!$E:$E,$B86,領用表!$B:$B,BQ$2&amp;$BI$1)</f>
        <v/>
      </c>
      <c r="BR86" s="208">
        <f>SUMIFS(領用表!$L:$L,領用表!$E:$E,$B86,領用表!$B:$B,BR$2&amp;$BI$1)</f>
        <v/>
      </c>
      <c r="BS86" s="208">
        <f>SUMIFS(領用表!$L:$L,領用表!$E:$E,$B86,領用表!$B:$B,BS$2&amp;$BI$1)</f>
        <v/>
      </c>
      <c r="BT86" s="208">
        <f>SUMIFS(領用表!$L:$L,領用表!$E:$E,$B86,領用表!$B:$B,BT$2&amp;$BI$1)</f>
        <v/>
      </c>
      <c r="BU86" s="208">
        <f>SUM(BI86,BJ86,BK86,BL86,BM86,BN86)</f>
        <v/>
      </c>
      <c r="BV86" s="208">
        <f>AVERAGE(BI86,BJ86,BK86,BL86,BM86,BN86)</f>
        <v/>
      </c>
      <c r="BW86" s="208">
        <f>SUMIF(Summary!B:B,B86,Summary!DZ:DZ)</f>
        <v/>
      </c>
      <c r="BX86" s="384" t="n"/>
      <c r="BY86" s="340" t="n"/>
      <c r="BZ86" s="340" t="n"/>
      <c r="CA86" s="385" t="n"/>
      <c r="CB86" s="136" t="n"/>
      <c r="CC86" s="289" t="n"/>
      <c r="CE86" s="213" t="n"/>
    </row>
    <row r="87" ht="15.75" customFormat="1" customHeight="1" s="118">
      <c r="A87" s="136" t="inlineStr">
        <is>
          <t>MB3ME110009A</t>
        </is>
      </c>
      <c r="B87" s="118" t="n">
        <v>6200014</v>
      </c>
      <c r="C87" s="135" t="inlineStr">
        <is>
          <t>猛健樂5.0mg</t>
        </is>
      </c>
      <c r="D87" s="285" t="n">
        <v>1</v>
      </c>
      <c r="E87" s="198" t="inlineStr">
        <is>
          <t>支</t>
        </is>
      </c>
      <c r="F87" s="349" t="n"/>
      <c r="G87" s="349" t="n"/>
      <c r="H87" s="283" t="n"/>
      <c r="I87" s="283" t="n"/>
      <c r="J87" s="283" t="n"/>
      <c r="K87" s="283" t="n"/>
      <c r="L87" s="283" t="n"/>
      <c r="M87" s="283" t="n"/>
      <c r="N87" s="283" t="n"/>
      <c r="O87" s="283" t="n"/>
      <c r="P87" s="283" t="n"/>
      <c r="Q87" s="283" t="n"/>
      <c r="R87" s="283" t="n"/>
      <c r="S87" s="283" t="n"/>
      <c r="T87" s="283" t="n"/>
      <c r="U87" s="283" t="n"/>
      <c r="V87" s="283" t="n"/>
      <c r="W87" s="283" t="n"/>
      <c r="X87" s="283" t="n"/>
      <c r="Y87" s="283" t="n"/>
      <c r="Z87" s="283" t="n"/>
      <c r="AA87" s="283" t="n"/>
      <c r="AB87" s="283" t="n"/>
      <c r="AC87" s="283" t="n"/>
      <c r="AD87" s="283" t="n"/>
      <c r="AE87" s="283" t="n"/>
      <c r="AF87" s="283" t="n"/>
      <c r="AG87" s="201" t="n"/>
      <c r="AH87" s="201" t="n"/>
      <c r="AI87" s="201" t="n"/>
      <c r="AJ87" s="201" t="n"/>
      <c r="AK87" s="201" t="n"/>
      <c r="AL87" s="201" t="n"/>
      <c r="AM87" s="201" t="n"/>
      <c r="AN87" s="201" t="n"/>
      <c r="AO87" s="201" t="n"/>
      <c r="AP87" s="201" t="n"/>
      <c r="AQ87" s="201" t="n"/>
      <c r="AR87" s="201" t="n"/>
      <c r="AS87" s="283" t="n"/>
      <c r="AT87" s="286" t="n"/>
      <c r="AU87" s="201" t="inlineStr">
        <is>
          <t>-</t>
        </is>
      </c>
      <c r="AV87" s="201" t="inlineStr">
        <is>
          <t>-</t>
        </is>
      </c>
      <c r="AW87" s="201" t="inlineStr">
        <is>
          <t>-</t>
        </is>
      </c>
      <c r="AX87" s="201" t="inlineStr">
        <is>
          <t>-</t>
        </is>
      </c>
      <c r="AY87" s="201" t="inlineStr">
        <is>
          <t>-</t>
        </is>
      </c>
      <c r="AZ87" s="203">
        <f>SUMIFS(領用表!$L:$L,領用表!$E:$E,$B87,領用表!$B:$B,AZ$2&amp;$BI$1)</f>
        <v/>
      </c>
      <c r="BA87" s="203">
        <f>SUMIFS(領用表!$L:$L,領用表!$E:$E,$B87,領用表!$B:$B,BA$2&amp;$BI$1)</f>
        <v/>
      </c>
      <c r="BB87" s="203">
        <f>SUMIFS(領用表!$L:$L,領用表!$E:$E,$B87,領用表!$B:$B,BB$2&amp;$BI$1)</f>
        <v/>
      </c>
      <c r="BC87" s="203">
        <f>SUMIFS(領用表!$L:$L,領用表!$E:$E,$B87,領用表!$B:$B,BC$2&amp;$BI$1)</f>
        <v/>
      </c>
      <c r="BD87" s="208">
        <f>SUMIFS(領用表!$L:$L,領用表!$E:$E,$B87,領用表!$B:$B,BD$2&amp;$BI$1)</f>
        <v/>
      </c>
      <c r="BE87" s="208">
        <f>SUMIFS(領用表!$L:$L,領用表!$E:$E,$B87,領用表!$B:$B,BE$2&amp;$BI$1)</f>
        <v/>
      </c>
      <c r="BF87" s="208">
        <f>SUMIFS(領用表!$L:$L,領用表!$E:$E,$B87,領用表!$B:$B,BF$2&amp;$BI$1)</f>
        <v/>
      </c>
      <c r="BG87" s="207">
        <f>SUM(AU87,AV87,AW87,AX87,AY87,AZ87,BA87,BB87,BC87,BD87,BE87,BF87)</f>
        <v/>
      </c>
      <c r="BH87" s="207">
        <f>AVERAGE(AU87,AV87,AW87,AX87,AY87,AZ87,BA87,BB87,BC87,BD87,BE87,BF87)</f>
        <v/>
      </c>
      <c r="BI87" s="208">
        <f>SUMIFS(領用表!$L:$L,領用表!$E:$E,$B87,領用表!$B:$B,BI$2&amp;$BI$1)</f>
        <v/>
      </c>
      <c r="BJ87" s="208">
        <f>SUMIFS(領用表!$L:$L,領用表!$E:$E,$B87,領用表!$B:$B,BJ$2&amp;$BI$1)</f>
        <v/>
      </c>
      <c r="BK87" s="208">
        <f>SUMIFS(領用表!$L:$L,領用表!$E:$E,$B87,領用表!$B:$B,BK$2&amp;$BI$1)</f>
        <v/>
      </c>
      <c r="BL87" s="208">
        <f>SUMIFS(領用表!$L:$L,領用表!$E:$E,$B87,領用表!$B:$B,BL$2&amp;$BI$1)</f>
        <v/>
      </c>
      <c r="BM87" s="208">
        <f>SUMIFS(領用表!$L:$L,領用表!$E:$E,$B87,領用表!$B:$B,BM$2&amp;$BI$1)</f>
        <v/>
      </c>
      <c r="BN87" s="208" t="n"/>
      <c r="BO87" s="208">
        <f>SUMIFS(領用表!$L:$L,領用表!$E:$E,$B87,領用表!$B:$B,BO$2&amp;$BI$1)</f>
        <v/>
      </c>
      <c r="BP87" s="208">
        <f>SUMIFS(領用表!$L:$L,領用表!$E:$E,$B87,領用表!$B:$B,BP$2&amp;$BI$1)</f>
        <v/>
      </c>
      <c r="BQ87" s="208">
        <f>SUMIFS(領用表!$L:$L,領用表!$E:$E,$B87,領用表!$B:$B,BQ$2&amp;$BI$1)</f>
        <v/>
      </c>
      <c r="BR87" s="208">
        <f>SUMIFS(領用表!$L:$L,領用表!$E:$E,$B87,領用表!$B:$B,BR$2&amp;$BI$1)</f>
        <v/>
      </c>
      <c r="BS87" s="208">
        <f>SUMIFS(領用表!$L:$L,領用表!$E:$E,$B87,領用表!$B:$B,BS$2&amp;$BI$1)</f>
        <v/>
      </c>
      <c r="BT87" s="208">
        <f>SUMIFS(領用表!$L:$L,領用表!$E:$E,$B87,領用表!$B:$B,BT$2&amp;$BI$1)</f>
        <v/>
      </c>
      <c r="BU87" s="208">
        <f>SUM(BI87,BJ87,BK87,BL87,BM87,BN87)</f>
        <v/>
      </c>
      <c r="BV87" s="208">
        <f>AVERAGE(BI87,BJ87,BK87,BL87,BM87,BN87)</f>
        <v/>
      </c>
      <c r="BW87" s="208">
        <f>SUMIF(Summary!B:B,B87,Summary!DZ:DZ)</f>
        <v/>
      </c>
      <c r="BX87" s="384" t="n"/>
      <c r="BY87" s="340" t="n"/>
      <c r="BZ87" s="262" t="n"/>
      <c r="CA87" s="262" t="inlineStr">
        <is>
          <t>5-10/22</t>
        </is>
      </c>
      <c r="CB87" s="136" t="n"/>
      <c r="CC87" s="289" t="n"/>
      <c r="CE87" s="213" t="n"/>
    </row>
    <row r="88" ht="15.75" customFormat="1" customHeight="1" s="118">
      <c r="A88" s="136" t="inlineStr">
        <is>
          <t>MB3ME110010A</t>
        </is>
      </c>
      <c r="B88" s="118" t="n">
        <v>6200015</v>
      </c>
      <c r="C88" s="135" t="inlineStr">
        <is>
          <t>猛健樂7.5mg</t>
        </is>
      </c>
      <c r="D88" s="285" t="n">
        <v>1</v>
      </c>
      <c r="E88" s="198" t="inlineStr">
        <is>
          <t>支</t>
        </is>
      </c>
      <c r="F88" s="349" t="n"/>
      <c r="G88" s="349" t="n"/>
      <c r="H88" s="283" t="n"/>
      <c r="I88" s="283" t="n"/>
      <c r="J88" s="283" t="n"/>
      <c r="K88" s="283" t="n"/>
      <c r="L88" s="283" t="n"/>
      <c r="M88" s="283" t="n"/>
      <c r="N88" s="283" t="n"/>
      <c r="O88" s="283" t="n"/>
      <c r="P88" s="283" t="n"/>
      <c r="Q88" s="283" t="n"/>
      <c r="R88" s="283" t="n"/>
      <c r="S88" s="283" t="n"/>
      <c r="T88" s="283" t="n"/>
      <c r="U88" s="283" t="n"/>
      <c r="V88" s="283" t="n"/>
      <c r="W88" s="283" t="n"/>
      <c r="X88" s="283" t="n"/>
      <c r="Y88" s="283" t="n"/>
      <c r="Z88" s="283" t="n"/>
      <c r="AA88" s="283" t="n"/>
      <c r="AB88" s="283" t="n"/>
      <c r="AC88" s="283" t="n"/>
      <c r="AD88" s="283" t="n"/>
      <c r="AE88" s="283" t="n"/>
      <c r="AF88" s="283" t="n"/>
      <c r="AG88" s="201" t="n"/>
      <c r="AH88" s="201" t="n"/>
      <c r="AI88" s="201" t="n"/>
      <c r="AJ88" s="201" t="n"/>
      <c r="AK88" s="201" t="n"/>
      <c r="AL88" s="201" t="n"/>
      <c r="AM88" s="201" t="n"/>
      <c r="AN88" s="201" t="n"/>
      <c r="AO88" s="201" t="n"/>
      <c r="AP88" s="201" t="n"/>
      <c r="AQ88" s="201" t="n"/>
      <c r="AR88" s="201" t="n"/>
      <c r="AS88" s="283" t="n"/>
      <c r="AT88" s="286" t="n"/>
      <c r="AU88" s="201" t="n"/>
      <c r="AV88" s="201" t="n"/>
      <c r="AW88" s="201" t="n"/>
      <c r="AX88" s="201" t="n"/>
      <c r="AY88" s="201" t="n"/>
      <c r="AZ88" s="203">
        <f>SUMIFS(領用表!$L:$L,領用表!$E:$E,$B88,領用表!$B:$B,AZ$2&amp;$BI$1)</f>
        <v/>
      </c>
      <c r="BA88" s="203">
        <f>SUMIFS(領用表!$L:$L,領用表!$E:$E,$B88,領用表!$B:$B,BA$2&amp;$BI$1)</f>
        <v/>
      </c>
      <c r="BB88" s="203">
        <f>SUMIFS(領用表!$L:$L,領用表!$E:$E,$B88,領用表!$B:$B,BB$2&amp;$BI$1)</f>
        <v/>
      </c>
      <c r="BC88" s="203">
        <f>SUMIFS(領用表!$L:$L,領用表!$E:$E,$B88,領用表!$B:$B,BC$2&amp;$BI$1)</f>
        <v/>
      </c>
      <c r="BD88" s="208">
        <f>SUMIFS(領用表!$L:$L,領用表!$E:$E,$B88,領用表!$B:$B,BD$2&amp;$BI$1)</f>
        <v/>
      </c>
      <c r="BE88" s="208">
        <f>SUMIFS(領用表!$L:$L,領用表!$E:$E,$B88,領用表!$B:$B,BE$2&amp;$BI$1)</f>
        <v/>
      </c>
      <c r="BF88" s="208">
        <f>SUMIFS(領用表!$L:$L,領用表!$E:$E,$B88,領用表!$B:$B,BF$2&amp;$BI$1)</f>
        <v/>
      </c>
      <c r="BG88" s="207">
        <f>SUM(AU88,AV88,AW88,AX88,AY88,AZ88,BA88,BB88,BC88,BD88,BE88,BF88)</f>
        <v/>
      </c>
      <c r="BH88" s="207">
        <f>AVERAGE(AU88,AV88,AW88,AX88,AY88,AZ88,BA88,BB88,BC88,BD88,BE88,BF88)</f>
        <v/>
      </c>
      <c r="BI88" s="208">
        <f>SUMIFS(領用表!$L:$L,領用表!$E:$E,$B88,領用表!$B:$B,BI$2&amp;$BI$1)</f>
        <v/>
      </c>
      <c r="BJ88" s="208">
        <f>SUMIFS(領用表!$L:$L,領用表!$E:$E,$B88,領用表!$B:$B,BJ$2&amp;$BI$1)</f>
        <v/>
      </c>
      <c r="BK88" s="208">
        <f>SUMIFS(領用表!$L:$L,領用表!$E:$E,$B88,領用表!$B:$B,BK$2&amp;$BI$1)</f>
        <v/>
      </c>
      <c r="BL88" s="208">
        <f>SUMIFS(領用表!$L:$L,領用表!$E:$E,$B88,領用表!$B:$B,BL$2&amp;$BI$1)</f>
        <v/>
      </c>
      <c r="BM88" s="208">
        <f>SUMIFS(領用表!$L:$L,領用表!$E:$E,$B88,領用表!$B:$B,BM$2&amp;$BI$1)</f>
        <v/>
      </c>
      <c r="BN88" s="208" t="n"/>
      <c r="BO88" s="208">
        <f>SUMIFS(領用表!$L:$L,領用表!$E:$E,$B88,領用表!$B:$B,BO$2&amp;$BI$1)</f>
        <v/>
      </c>
      <c r="BP88" s="208">
        <f>SUMIFS(領用表!$L:$L,領用表!$E:$E,$B88,領用表!$B:$B,BP$2&amp;$BI$1)</f>
        <v/>
      </c>
      <c r="BQ88" s="208">
        <f>SUMIFS(領用表!$L:$L,領用表!$E:$E,$B88,領用表!$B:$B,BQ$2&amp;$BI$1)</f>
        <v/>
      </c>
      <c r="BR88" s="208">
        <f>SUMIFS(領用表!$L:$L,領用表!$E:$E,$B88,領用表!$B:$B,BR$2&amp;$BI$1)</f>
        <v/>
      </c>
      <c r="BS88" s="208">
        <f>SUMIFS(領用表!$L:$L,領用表!$E:$E,$B88,領用表!$B:$B,BS$2&amp;$BI$1)</f>
        <v/>
      </c>
      <c r="BT88" s="208">
        <f>SUMIFS(領用表!$L:$L,領用表!$E:$E,$B88,領用表!$B:$B,BT$2&amp;$BI$1)</f>
        <v/>
      </c>
      <c r="BU88" s="208">
        <f>SUM(BI88,BJ88,BK88,BL88,BM88,BN88)</f>
        <v/>
      </c>
      <c r="BV88" s="208">
        <f>AVERAGE(BI88,BJ88,BK88,BL88,BM88,BN88)</f>
        <v/>
      </c>
      <c r="BW88" s="208">
        <f>SUMIF(Summary!B:B,B88,Summary!DZ:DZ)</f>
        <v/>
      </c>
      <c r="BX88" s="384" t="n"/>
      <c r="BY88" s="340" t="n"/>
      <c r="BZ88" s="340" t="n"/>
      <c r="CA88" s="340" t="inlineStr">
        <is>
          <t>5-10/22</t>
        </is>
      </c>
      <c r="CB88" s="136" t="n"/>
      <c r="CC88" s="289" t="n"/>
      <c r="CE88" s="213" t="n"/>
    </row>
    <row r="89" ht="15.75" customFormat="1" customHeight="1" s="118">
      <c r="A89" s="136" t="inlineStr">
        <is>
          <t>MB3ME110011A</t>
        </is>
      </c>
      <c r="B89" s="118" t="n">
        <v>6200016</v>
      </c>
      <c r="C89" s="135" t="inlineStr">
        <is>
          <t>猛健樂10.0mg</t>
        </is>
      </c>
      <c r="D89" s="285" t="n">
        <v>1</v>
      </c>
      <c r="E89" s="198" t="inlineStr">
        <is>
          <t>支</t>
        </is>
      </c>
      <c r="F89" s="349" t="n"/>
      <c r="G89" s="349" t="n"/>
      <c r="H89" s="283" t="n"/>
      <c r="I89" s="283" t="n"/>
      <c r="J89" s="283" t="n"/>
      <c r="K89" s="283" t="n"/>
      <c r="L89" s="283" t="n"/>
      <c r="M89" s="283" t="n"/>
      <c r="N89" s="283" t="n"/>
      <c r="O89" s="283" t="n"/>
      <c r="P89" s="283" t="n"/>
      <c r="Q89" s="283" t="n"/>
      <c r="R89" s="283" t="n"/>
      <c r="S89" s="283" t="n"/>
      <c r="T89" s="283" t="n"/>
      <c r="U89" s="283" t="n"/>
      <c r="V89" s="283" t="n"/>
      <c r="W89" s="283" t="n"/>
      <c r="X89" s="283" t="n"/>
      <c r="Y89" s="283" t="n"/>
      <c r="Z89" s="283" t="n"/>
      <c r="AA89" s="283" t="n"/>
      <c r="AB89" s="283" t="n"/>
      <c r="AC89" s="283" t="n"/>
      <c r="AD89" s="283" t="n"/>
      <c r="AE89" s="283" t="n"/>
      <c r="AF89" s="283" t="n"/>
      <c r="AG89" s="201" t="n"/>
      <c r="AH89" s="201" t="n"/>
      <c r="AI89" s="201" t="n"/>
      <c r="AJ89" s="201" t="n"/>
      <c r="AK89" s="201" t="n"/>
      <c r="AL89" s="201" t="n"/>
      <c r="AM89" s="201" t="n"/>
      <c r="AN89" s="201" t="n"/>
      <c r="AO89" s="201" t="n"/>
      <c r="AP89" s="201" t="n"/>
      <c r="AQ89" s="201" t="n"/>
      <c r="AR89" s="201" t="n"/>
      <c r="AS89" s="283" t="n"/>
      <c r="AT89" s="286" t="n"/>
      <c r="AU89" s="201" t="inlineStr">
        <is>
          <t>-</t>
        </is>
      </c>
      <c r="AV89" s="201" t="inlineStr">
        <is>
          <t>-</t>
        </is>
      </c>
      <c r="AW89" s="201" t="inlineStr">
        <is>
          <t>-</t>
        </is>
      </c>
      <c r="AX89" s="201" t="inlineStr">
        <is>
          <t>-</t>
        </is>
      </c>
      <c r="AY89" s="201" t="inlineStr">
        <is>
          <t>-</t>
        </is>
      </c>
      <c r="AZ89" s="203">
        <f>SUMIFS(領用表!$L:$L,領用表!$E:$E,$B89,領用表!$B:$B,AZ$2&amp;$BI$1)</f>
        <v/>
      </c>
      <c r="BA89" s="203">
        <f>SUMIFS(領用表!$L:$L,領用表!$E:$E,$B89,領用表!$B:$B,BA$2&amp;$BI$1)</f>
        <v/>
      </c>
      <c r="BB89" s="203">
        <f>SUMIFS(領用表!$L:$L,領用表!$E:$E,$B89,領用表!$B:$B,BB$2&amp;$BI$1)</f>
        <v/>
      </c>
      <c r="BC89" s="203">
        <f>SUMIFS(領用表!$L:$L,領用表!$E:$E,$B89,領用表!$B:$B,BC$2&amp;$BI$1)</f>
        <v/>
      </c>
      <c r="BD89" s="208">
        <f>SUMIFS(領用表!$L:$L,領用表!$E:$E,$B89,領用表!$B:$B,BD$2&amp;$BI$1)</f>
        <v/>
      </c>
      <c r="BE89" s="208">
        <f>SUMIFS(領用表!$L:$L,領用表!$E:$E,$B89,領用表!$B:$B,BE$2&amp;$BI$1)</f>
        <v/>
      </c>
      <c r="BF89" s="208">
        <f>SUMIFS(領用表!$L:$L,領用表!$E:$E,$B89,領用表!$B:$B,BF$2&amp;$BI$1)</f>
        <v/>
      </c>
      <c r="BG89" s="207">
        <f>SUM(AU89,AV89,AW89,AX89,AY89,AZ89,BA89,BB89,BC89,BD89,BE89,BF89)</f>
        <v/>
      </c>
      <c r="BH89" s="207">
        <f>AVERAGE(AU89,AV89,AW89,AX89,AY89,AZ89,BA89,BB89,BC89,BD89,BE89,BF89)</f>
        <v/>
      </c>
      <c r="BI89" s="208">
        <f>SUMIFS(領用表!$L:$L,領用表!$E:$E,$B89,領用表!$B:$B,BI$2&amp;$BI$1)</f>
        <v/>
      </c>
      <c r="BJ89" s="208">
        <f>SUMIFS(領用表!$L:$L,領用表!$E:$E,$B89,領用表!$B:$B,BJ$2&amp;$BI$1)</f>
        <v/>
      </c>
      <c r="BK89" s="208">
        <f>SUMIFS(領用表!$L:$L,領用表!$E:$E,$B89,領用表!$B:$B,BK$2&amp;$BI$1)</f>
        <v/>
      </c>
      <c r="BL89" s="208">
        <f>SUMIFS(領用表!$L:$L,領用表!$E:$E,$B89,領用表!$B:$B,BL$2&amp;$BI$1)</f>
        <v/>
      </c>
      <c r="BM89" s="208">
        <f>SUMIFS(領用表!$L:$L,領用表!$E:$E,$B89,領用表!$B:$B,BM$2&amp;$BI$1)</f>
        <v/>
      </c>
      <c r="BN89" s="208" t="n"/>
      <c r="BO89" s="208">
        <f>SUMIFS(領用表!$L:$L,領用表!$E:$E,$B89,領用表!$B:$B,BO$2&amp;$BI$1)</f>
        <v/>
      </c>
      <c r="BP89" s="208">
        <f>SUMIFS(領用表!$L:$L,領用表!$E:$E,$B89,領用表!$B:$B,BP$2&amp;$BI$1)</f>
        <v/>
      </c>
      <c r="BQ89" s="208">
        <f>SUMIFS(領用表!$L:$L,領用表!$E:$E,$B89,領用表!$B:$B,BQ$2&amp;$BI$1)</f>
        <v/>
      </c>
      <c r="BR89" s="208">
        <f>SUMIFS(領用表!$L:$L,領用表!$E:$E,$B89,領用表!$B:$B,BR$2&amp;$BI$1)</f>
        <v/>
      </c>
      <c r="BS89" s="208">
        <f>SUMIFS(領用表!$L:$L,領用表!$E:$E,$B89,領用表!$B:$B,BS$2&amp;$BI$1)</f>
        <v/>
      </c>
      <c r="BT89" s="208">
        <f>SUMIFS(領用表!$L:$L,領用表!$E:$E,$B89,領用表!$B:$B,BT$2&amp;$BI$1)</f>
        <v/>
      </c>
      <c r="BU89" s="208">
        <f>SUM(BI89,BJ89,BK89,BL89,BM89,BN89)</f>
        <v/>
      </c>
      <c r="BV89" s="208">
        <f>AVERAGE(BI89,BJ89,BK89,BL89,BM89,BN89)</f>
        <v/>
      </c>
      <c r="BW89" s="208">
        <f>SUMIF(Summary!B:B,B89,Summary!DZ:DZ)</f>
        <v/>
      </c>
      <c r="BX89" s="384" t="n"/>
      <c r="BY89" s="340" t="n"/>
      <c r="BZ89" s="262" t="n"/>
      <c r="CA89" s="262" t="inlineStr">
        <is>
          <t>缺貨</t>
        </is>
      </c>
      <c r="CB89" s="136" t="n"/>
      <c r="CC89" s="289" t="n"/>
      <c r="CE89" s="213" t="n"/>
    </row>
    <row r="90" ht="15.75" customFormat="1" customHeight="1" s="118">
      <c r="A90" s="136" t="inlineStr">
        <is>
          <t>MB3ME090001A</t>
        </is>
      </c>
      <c r="B90" s="118" t="n">
        <v>6120001</v>
      </c>
      <c r="C90" s="118" t="inlineStr">
        <is>
          <t>肝得健(20入)</t>
        </is>
      </c>
      <c r="D90" s="285" t="n">
        <v>20</v>
      </c>
      <c r="E90" s="198" t="inlineStr">
        <is>
          <t>PCS</t>
        </is>
      </c>
      <c r="F90" s="349" t="n"/>
      <c r="G90" s="349" t="n"/>
      <c r="H90" s="283" t="n"/>
      <c r="I90" s="283" t="n"/>
      <c r="J90" s="283" t="n"/>
      <c r="K90" s="283" t="n"/>
      <c r="L90" s="283" t="n"/>
      <c r="M90" s="283" t="n"/>
      <c r="N90" s="283" t="n"/>
      <c r="O90" s="283" t="n"/>
      <c r="P90" s="283" t="n"/>
      <c r="Q90" s="283" t="n"/>
      <c r="R90" s="283" t="n"/>
      <c r="S90" s="283" t="n"/>
      <c r="T90" s="283" t="n"/>
      <c r="U90" s="283" t="n"/>
      <c r="V90" s="283" t="n"/>
      <c r="W90" s="283" t="n"/>
      <c r="X90" s="283" t="n"/>
      <c r="Y90" s="283" t="n"/>
      <c r="Z90" s="283" t="n"/>
      <c r="AA90" s="283" t="n"/>
      <c r="AB90" s="283" t="n"/>
      <c r="AC90" s="283" t="n"/>
      <c r="AD90" s="283" t="n"/>
      <c r="AE90" s="283" t="n"/>
      <c r="AF90" s="283" t="n"/>
      <c r="AG90" s="201" t="n">
        <v>40</v>
      </c>
      <c r="AH90" s="201" t="n">
        <v>31</v>
      </c>
      <c r="AI90" s="201" t="n">
        <v>28</v>
      </c>
      <c r="AJ90" s="201" t="n">
        <v>47</v>
      </c>
      <c r="AK90" s="201" t="n">
        <v>74</v>
      </c>
      <c r="AL90" s="201" t="n">
        <v>82</v>
      </c>
      <c r="AM90" s="201" t="n">
        <v>94</v>
      </c>
      <c r="AN90" s="201" t="n">
        <v>150</v>
      </c>
      <c r="AO90" s="201" t="n">
        <v>286</v>
      </c>
      <c r="AP90" s="201" t="n">
        <v>262</v>
      </c>
      <c r="AQ90" s="201" t="n">
        <v>257</v>
      </c>
      <c r="AR90" s="201" t="n">
        <v>283</v>
      </c>
      <c r="AS90" s="283">
        <f>SUM(AG90:AR90)</f>
        <v/>
      </c>
      <c r="AT90" s="286">
        <f>AS90/12</f>
        <v/>
      </c>
      <c r="AU90" s="201" t="n">
        <v>250</v>
      </c>
      <c r="AV90" s="201" t="n">
        <v>33</v>
      </c>
      <c r="AW90" s="201" t="n">
        <v>299</v>
      </c>
      <c r="AX90" s="201" t="n">
        <v>390</v>
      </c>
      <c r="AY90" s="201">
        <f>2+364</f>
        <v/>
      </c>
      <c r="AZ90" s="203">
        <f>SUMIFS(領用表!$L:$L,領用表!$E:$E,$B90,領用表!$B:$B,AZ$2&amp;$BI$1)</f>
        <v/>
      </c>
      <c r="BA90" s="203">
        <f>SUMIFS(領用表!$L:$L,領用表!$E:$E,$B90,領用表!$B:$B,BA$2&amp;$BI$1)</f>
        <v/>
      </c>
      <c r="BB90" s="203">
        <f>SUMIFS(領用表!$L:$L,領用表!$E:$E,$B90,領用表!$B:$B,BB$2&amp;$BI$1)</f>
        <v/>
      </c>
      <c r="BC90" s="203">
        <f>SUMIFS(領用表!$L:$L,領用表!$E:$E,$B90,領用表!$B:$B,BC$2&amp;$BI$1)</f>
        <v/>
      </c>
      <c r="BD90" s="208">
        <f>SUMIFS(領用表!$L:$L,領用表!$E:$E,$B90,領用表!$B:$B,BD$2&amp;$BI$1)</f>
        <v/>
      </c>
      <c r="BE90" s="208">
        <f>SUMIFS(領用表!$L:$L,領用表!$E:$E,$B90,領用表!$B:$B,BE$2&amp;$BI$1)</f>
        <v/>
      </c>
      <c r="BF90" s="208">
        <f>SUMIFS(領用表!$L:$L,領用表!$E:$E,$B90,領用表!$B:$B,BF$2&amp;$BI$1)</f>
        <v/>
      </c>
      <c r="BG90" s="207">
        <f>SUM(AU90,AV90,AW90,AX90,AY90,AZ90,BA90,BB90,BC90,BD90,BE90,BF90)</f>
        <v/>
      </c>
      <c r="BH90" s="207">
        <f>AVERAGE(AU90,AV90,AW90,AX90,AY90,AZ90,BA90,BB90,BC90,BD90,BE90,BF90)</f>
        <v/>
      </c>
      <c r="BI90" s="208">
        <f>SUMIFS(領用表!$L:$L,領用表!$E:$E,$B90,領用表!$B:$B,BI$2&amp;$BI$1)</f>
        <v/>
      </c>
      <c r="BJ90" s="208">
        <f>SUMIFS(領用表!$L:$L,領用表!$E:$E,$B90,領用表!$B:$B,BJ$2&amp;$BI$1)</f>
        <v/>
      </c>
      <c r="BK90" s="208">
        <f>SUMIFS(領用表!$L:$L,領用表!$E:$E,$B90,領用表!$B:$B,BK$2&amp;$BI$1)</f>
        <v/>
      </c>
      <c r="BL90" s="208">
        <f>SUMIFS(領用表!$L:$L,領用表!$E:$E,$B90,領用表!$B:$B,BL$2&amp;$BI$1)</f>
        <v/>
      </c>
      <c r="BM90" s="208">
        <f>SUMIFS(領用表!$L:$L,領用表!$E:$E,$B90,領用表!$B:$B,BM$2&amp;$BI$1)</f>
        <v/>
      </c>
      <c r="BN90" s="208" t="n"/>
      <c r="BO90" s="208">
        <f>SUMIFS(領用表!$L:$L,領用表!$E:$E,$B90,領用表!$B:$B,BO$2&amp;$BI$1)</f>
        <v/>
      </c>
      <c r="BP90" s="208">
        <f>SUMIFS(領用表!$L:$L,領用表!$E:$E,$B90,領用表!$B:$B,BP$2&amp;$BI$1)</f>
        <v/>
      </c>
      <c r="BQ90" s="208">
        <f>SUMIFS(領用表!$L:$L,領用表!$E:$E,$B90,領用表!$B:$B,BQ$2&amp;$BI$1)</f>
        <v/>
      </c>
      <c r="BR90" s="208">
        <f>SUMIFS(領用表!$L:$L,領用表!$E:$E,$B90,領用表!$B:$B,BR$2&amp;$BI$1)</f>
        <v/>
      </c>
      <c r="BS90" s="208">
        <f>SUMIFS(領用表!$L:$L,領用表!$E:$E,$B90,領用表!$B:$B,BS$2&amp;$BI$1)</f>
        <v/>
      </c>
      <c r="BT90" s="208">
        <f>SUMIFS(領用表!$L:$L,領用表!$E:$E,$B90,領用表!$B:$B,BT$2&amp;$BI$1)</f>
        <v/>
      </c>
      <c r="BU90" s="208">
        <f>SUM(BI90,BJ90,BK90,BL90,BM90,BN90)</f>
        <v/>
      </c>
      <c r="BV90" s="208">
        <f>AVERAGE(BI90,BJ90,BK90,BL90,BM90,BN90)</f>
        <v/>
      </c>
      <c r="BW90" s="208">
        <f>SUMIF(Summary!B:B,B90,Summary!DZ:DZ)</f>
        <v/>
      </c>
      <c r="BX90" s="384" t="n"/>
      <c r="BY90" s="340" t="n"/>
      <c r="BZ90" s="340" t="inlineStr">
        <is>
          <t>440-10/22</t>
        </is>
      </c>
      <c r="CA90" s="340" t="inlineStr">
        <is>
          <t>220-10/22</t>
        </is>
      </c>
      <c r="CB90" s="136" t="n"/>
      <c r="CC90" s="289" t="n"/>
      <c r="CE90" s="213" t="n"/>
    </row>
    <row r="91" ht="15.75" customFormat="1" customHeight="1" s="118">
      <c r="A91" s="136" t="inlineStr">
        <is>
          <t>MB3ME090002A</t>
        </is>
      </c>
      <c r="B91" s="118" t="n">
        <v>6120002</v>
      </c>
      <c r="C91" s="118" t="inlineStr">
        <is>
          <t>卡尼丁(20入)</t>
        </is>
      </c>
      <c r="D91" s="285" t="n">
        <v>20</v>
      </c>
      <c r="E91" s="198" t="inlineStr">
        <is>
          <t>PCS</t>
        </is>
      </c>
      <c r="F91" s="349" t="n"/>
      <c r="G91" s="349" t="n"/>
      <c r="H91" s="283" t="n"/>
      <c r="I91" s="283" t="n"/>
      <c r="J91" s="283" t="n"/>
      <c r="K91" s="283" t="n"/>
      <c r="L91" s="283" t="n"/>
      <c r="M91" s="283" t="n"/>
      <c r="N91" s="283" t="n"/>
      <c r="O91" s="283" t="n"/>
      <c r="P91" s="283" t="n"/>
      <c r="Q91" s="283" t="n"/>
      <c r="R91" s="283" t="n"/>
      <c r="S91" s="283" t="n"/>
      <c r="T91" s="283" t="n"/>
      <c r="U91" s="283" t="n"/>
      <c r="V91" s="283" t="n"/>
      <c r="W91" s="283" t="n"/>
      <c r="X91" s="283" t="n"/>
      <c r="Y91" s="283" t="n"/>
      <c r="Z91" s="283" t="n"/>
      <c r="AA91" s="283" t="n"/>
      <c r="AB91" s="283" t="n"/>
      <c r="AC91" s="283" t="n"/>
      <c r="AD91" s="283" t="n"/>
      <c r="AE91" s="283" t="n"/>
      <c r="AF91" s="283" t="n"/>
      <c r="AG91" s="201" t="n">
        <v>40</v>
      </c>
      <c r="AH91" s="201" t="n">
        <v>31</v>
      </c>
      <c r="AI91" s="201" t="n">
        <v>29</v>
      </c>
      <c r="AJ91" s="201" t="n">
        <v>48</v>
      </c>
      <c r="AK91" s="201" t="n">
        <v>74</v>
      </c>
      <c r="AL91" s="201" t="n">
        <v>84</v>
      </c>
      <c r="AM91" s="201" t="n">
        <v>105</v>
      </c>
      <c r="AN91" s="201" t="n">
        <v>160</v>
      </c>
      <c r="AO91" s="201" t="n">
        <v>304</v>
      </c>
      <c r="AP91" s="201" t="n">
        <v>288.5</v>
      </c>
      <c r="AQ91" s="201" t="n">
        <v>306</v>
      </c>
      <c r="AR91" s="201" t="n">
        <v>362.5</v>
      </c>
      <c r="AS91" s="283">
        <f>SUM(AG91:AR91)</f>
        <v/>
      </c>
      <c r="AT91" s="286">
        <f>AS91/12</f>
        <v/>
      </c>
      <c r="AU91" s="201" t="n">
        <v>359.5</v>
      </c>
      <c r="AV91" s="201" t="n">
        <v>165</v>
      </c>
      <c r="AW91" s="201" t="n">
        <v>419.5</v>
      </c>
      <c r="AX91" s="201" t="n">
        <v>490</v>
      </c>
      <c r="AY91" s="201">
        <f>2+478</f>
        <v/>
      </c>
      <c r="AZ91" s="203">
        <f>SUMIFS(領用表!$L:$L,領用表!$E:$E,$B91,領用表!$B:$B,AZ$2&amp;$BI$1)</f>
        <v/>
      </c>
      <c r="BA91" s="203">
        <f>SUMIFS(領用表!$L:$L,領用表!$E:$E,$B91,領用表!$B:$B,BA$2&amp;$BI$1)</f>
        <v/>
      </c>
      <c r="BB91" s="203">
        <f>SUMIFS(領用表!$L:$L,領用表!$E:$E,$B91,領用表!$B:$B,BB$2&amp;$BI$1)</f>
        <v/>
      </c>
      <c r="BC91" s="203">
        <f>SUMIFS(領用表!$L:$L,領用表!$E:$E,$B91,領用表!$B:$B,BC$2&amp;$BI$1)</f>
        <v/>
      </c>
      <c r="BD91" s="208">
        <f>SUMIFS(領用表!$L:$L,領用表!$E:$E,$B91,領用表!$B:$B,BD$2&amp;$BI$1)</f>
        <v/>
      </c>
      <c r="BE91" s="208">
        <f>SUMIFS(領用表!$L:$L,領用表!$E:$E,$B91,領用表!$B:$B,BE$2&amp;$BI$1)</f>
        <v/>
      </c>
      <c r="BF91" s="208">
        <f>SUMIFS(領用表!$L:$L,領用表!$E:$E,$B91,領用表!$B:$B,BF$2&amp;$BI$1)</f>
        <v/>
      </c>
      <c r="BG91" s="207">
        <f>SUM(AU91,AV91,AW91,AX91,AY91,AZ91,BA91,BB91,BC91,BD91,BE91,BF91)</f>
        <v/>
      </c>
      <c r="BH91" s="207">
        <f>AVERAGE(AU91,AV91,AW91,AX91,AY91,AZ91,BA91,BB91,BC91,BD91,BE91,BF91)</f>
        <v/>
      </c>
      <c r="BI91" s="208">
        <f>SUMIFS(領用表!$L:$L,領用表!$E:$E,$B91,領用表!$B:$B,BI$2&amp;$BI$1)</f>
        <v/>
      </c>
      <c r="BJ91" s="208">
        <f>SUMIFS(領用表!$L:$L,領用表!$E:$E,$B91,領用表!$B:$B,BJ$2&amp;$BI$1)</f>
        <v/>
      </c>
      <c r="BK91" s="208">
        <f>SUMIFS(領用表!$L:$L,領用表!$E:$E,$B91,領用表!$B:$B,BK$2&amp;$BI$1)</f>
        <v/>
      </c>
      <c r="BL91" s="208">
        <f>SUMIFS(領用表!$L:$L,領用表!$E:$E,$B91,領用表!$B:$B,BL$2&amp;$BI$1)</f>
        <v/>
      </c>
      <c r="BM91" s="208">
        <f>SUMIFS(領用表!$L:$L,領用表!$E:$E,$B91,領用表!$B:$B,BM$2&amp;$BI$1)</f>
        <v/>
      </c>
      <c r="BN91" s="208" t="n"/>
      <c r="BO91" s="208">
        <f>SUMIFS(領用表!$L:$L,領用表!$E:$E,$B91,領用表!$B:$B,BO$2&amp;$BI$1)</f>
        <v/>
      </c>
      <c r="BP91" s="208">
        <f>SUMIFS(領用表!$L:$L,領用表!$E:$E,$B91,領用表!$B:$B,BP$2&amp;$BI$1)</f>
        <v/>
      </c>
      <c r="BQ91" s="208">
        <f>SUMIFS(領用表!$L:$L,領用表!$E:$E,$B91,領用表!$B:$B,BQ$2&amp;$BI$1)</f>
        <v/>
      </c>
      <c r="BR91" s="208">
        <f>SUMIFS(領用表!$L:$L,領用表!$E:$E,$B91,領用表!$B:$B,BR$2&amp;$BI$1)</f>
        <v/>
      </c>
      <c r="BS91" s="208">
        <f>SUMIFS(領用表!$L:$L,領用表!$E:$E,$B91,領用表!$B:$B,BS$2&amp;$BI$1)</f>
        <v/>
      </c>
      <c r="BT91" s="208">
        <f>SUMIFS(領用表!$L:$L,領用表!$E:$E,$B91,領用表!$B:$B,BT$2&amp;$BI$1)</f>
        <v/>
      </c>
      <c r="BU91" s="208">
        <f>SUM(BI91,BJ91,BK91,BL91,BM91,BN91)</f>
        <v/>
      </c>
      <c r="BV91" s="208">
        <f>AVERAGE(BI91,BJ91,BK91,BL91,BM91,BN91)</f>
        <v/>
      </c>
      <c r="BW91" s="208">
        <f>SUMIF(Summary!B:B,B91,Summary!DZ:DZ)</f>
        <v/>
      </c>
      <c r="BX91" s="384" t="n"/>
      <c r="BY91" s="340" t="n"/>
      <c r="BZ91" s="340" t="inlineStr">
        <is>
          <t>440-10/22</t>
        </is>
      </c>
      <c r="CA91" s="340" t="inlineStr">
        <is>
          <t>660-10/22</t>
        </is>
      </c>
      <c r="CB91" s="136" t="n"/>
      <c r="CC91" s="289" t="n"/>
      <c r="CE91" s="213" t="n"/>
    </row>
    <row r="92" ht="15.75" customFormat="1" customHeight="1" s="118">
      <c r="A92" s="136" t="inlineStr">
        <is>
          <t>MB3ME090003A</t>
        </is>
      </c>
      <c r="B92" s="118" t="n">
        <v>6120003</v>
      </c>
      <c r="C92" s="118" t="inlineStr">
        <is>
          <t>貝力多(雙胜胺) 20% 30mL/ 瓶</t>
        </is>
      </c>
      <c r="D92" s="285" t="n">
        <v>10</v>
      </c>
      <c r="E92" s="198" t="inlineStr">
        <is>
          <t>PCS</t>
        </is>
      </c>
      <c r="F92" s="349" t="n">
        <v>37</v>
      </c>
      <c r="G92" s="349" t="n"/>
      <c r="H92" s="283" t="n"/>
      <c r="I92" s="283" t="n"/>
      <c r="J92" s="283" t="n"/>
      <c r="K92" s="283" t="n"/>
      <c r="L92" s="283" t="n"/>
      <c r="M92" s="283" t="n"/>
      <c r="N92" s="283" t="n"/>
      <c r="O92" s="283" t="n"/>
      <c r="P92" s="283" t="n"/>
      <c r="Q92" s="283" t="n"/>
      <c r="R92" s="283" t="n"/>
      <c r="S92" s="283" t="n"/>
      <c r="T92" s="283" t="n"/>
      <c r="U92" s="283" t="n"/>
      <c r="V92" s="283" t="n"/>
      <c r="W92" s="283" t="n"/>
      <c r="X92" s="283" t="n"/>
      <c r="Y92" s="283" t="n"/>
      <c r="Z92" s="283" t="n"/>
      <c r="AA92" s="283" t="n"/>
      <c r="AB92" s="283" t="n"/>
      <c r="AC92" s="283" t="n"/>
      <c r="AD92" s="283" t="n"/>
      <c r="AE92" s="283" t="n"/>
      <c r="AF92" s="283" t="n"/>
      <c r="AG92" s="201" t="n">
        <v>3</v>
      </c>
      <c r="AH92" s="201" t="n">
        <v>2</v>
      </c>
      <c r="AI92" s="201" t="n">
        <v>0</v>
      </c>
      <c r="AJ92" s="201" t="n">
        <v>4</v>
      </c>
      <c r="AK92" s="201" t="n">
        <v>5</v>
      </c>
      <c r="AL92" s="201" t="n">
        <v>5</v>
      </c>
      <c r="AM92" s="201" t="n">
        <v>5</v>
      </c>
      <c r="AN92" s="201" t="n">
        <v>8</v>
      </c>
      <c r="AO92" s="201" t="n">
        <v>12</v>
      </c>
      <c r="AP92" s="201" t="n">
        <v>3</v>
      </c>
      <c r="AQ92" s="201" t="n">
        <v>4</v>
      </c>
      <c r="AR92" s="201" t="n">
        <v>9</v>
      </c>
      <c r="AS92" s="283">
        <f>SUM(AG92:AR92)</f>
        <v/>
      </c>
      <c r="AT92" s="286">
        <f>AS92/12</f>
        <v/>
      </c>
      <c r="AU92" s="201" t="n">
        <v>0</v>
      </c>
      <c r="AV92" s="201" t="n">
        <v>1</v>
      </c>
      <c r="AW92" s="201" t="n">
        <v>7</v>
      </c>
      <c r="AX92" s="201" t="n">
        <v>5</v>
      </c>
      <c r="AY92" s="201">
        <f>0+3</f>
        <v/>
      </c>
      <c r="AZ92" s="203">
        <f>SUMIFS(領用表!$L:$L,領用表!$E:$E,$B92,領用表!$B:$B,AZ$2&amp;$BI$1)</f>
        <v/>
      </c>
      <c r="BA92" s="203">
        <f>SUMIFS(領用表!$L:$L,領用表!$E:$E,$B92,領用表!$B:$B,BA$2&amp;$BI$1)</f>
        <v/>
      </c>
      <c r="BB92" s="203">
        <f>SUMIFS(領用表!$L:$L,領用表!$E:$E,$B92,領用表!$B:$B,BB$2&amp;$BI$1)</f>
        <v/>
      </c>
      <c r="BC92" s="203">
        <f>SUMIFS(領用表!$L:$L,領用表!$E:$E,$B92,領用表!$B:$B,BC$2&amp;$BI$1)</f>
        <v/>
      </c>
      <c r="BD92" s="208">
        <f>SUMIFS(領用表!$L:$L,領用表!$E:$E,$B92,領用表!$B:$B,BD$2&amp;$BI$1)</f>
        <v/>
      </c>
      <c r="BE92" s="208">
        <f>SUMIFS(領用表!$L:$L,領用表!$E:$E,$B92,領用表!$B:$B,BE$2&amp;$BI$1)</f>
        <v/>
      </c>
      <c r="BF92" s="208">
        <f>SUMIFS(領用表!$L:$L,領用表!$E:$E,$B92,領用表!$B:$B,BF$2&amp;$BI$1)</f>
        <v/>
      </c>
      <c r="BG92" s="207">
        <f>SUM(AU92,AV92,AW92,AX92,AY92,AZ92,BA92,BB92,BC92,BD92,BE92,BF92)</f>
        <v/>
      </c>
      <c r="BH92" s="207">
        <f>AVERAGE(AU92,AV92,AW92,AX92,AY92,AZ92,BA92,BB92,BC92,BD92,BE92,BF92)</f>
        <v/>
      </c>
      <c r="BI92" s="208">
        <f>SUMIFS(領用表!$L:$L,領用表!$E:$E,$B92,領用表!$B:$B,BI$2&amp;$BI$1)</f>
        <v/>
      </c>
      <c r="BJ92" s="208">
        <f>SUMIFS(領用表!$L:$L,領用表!$E:$E,$B92,領用表!$B:$B,BJ$2&amp;$BI$1)</f>
        <v/>
      </c>
      <c r="BK92" s="208">
        <f>SUMIFS(領用表!$L:$L,領用表!$E:$E,$B92,領用表!$B:$B,BK$2&amp;$BI$1)</f>
        <v/>
      </c>
      <c r="BL92" s="208">
        <f>SUMIFS(領用表!$L:$L,領用表!$E:$E,$B92,領用表!$B:$B,BL$2&amp;$BI$1)</f>
        <v/>
      </c>
      <c r="BM92" s="208">
        <f>SUMIFS(領用表!$L:$L,領用表!$E:$E,$B92,領用表!$B:$B,BM$2&amp;$BI$1)</f>
        <v/>
      </c>
      <c r="BN92" s="208" t="n"/>
      <c r="BO92" s="208">
        <f>SUMIFS(領用表!$L:$L,領用表!$E:$E,$B92,領用表!$B:$B,BO$2&amp;$BI$1)</f>
        <v/>
      </c>
      <c r="BP92" s="208">
        <f>SUMIFS(領用表!$L:$L,領用表!$E:$E,$B92,領用表!$B:$B,BP$2&amp;$BI$1)</f>
        <v/>
      </c>
      <c r="BQ92" s="208">
        <f>SUMIFS(領用表!$L:$L,領用表!$E:$E,$B92,領用表!$B:$B,BQ$2&amp;$BI$1)</f>
        <v/>
      </c>
      <c r="BR92" s="208">
        <f>SUMIFS(領用表!$L:$L,領用表!$E:$E,$B92,領用表!$B:$B,BR$2&amp;$BI$1)</f>
        <v/>
      </c>
      <c r="BS92" s="208">
        <f>SUMIFS(領用表!$L:$L,領用表!$E:$E,$B92,領用表!$B:$B,BS$2&amp;$BI$1)</f>
        <v/>
      </c>
      <c r="BT92" s="208">
        <f>SUMIFS(領用表!$L:$L,領用表!$E:$E,$B92,領用表!$B:$B,BT$2&amp;$BI$1)</f>
        <v/>
      </c>
      <c r="BU92" s="208">
        <f>SUM(BI92,BJ92,BK92,BL92,BM92,BN92)</f>
        <v/>
      </c>
      <c r="BV92" s="208">
        <f>AVERAGE(BI92,BJ92,BK92,BL92,BM92,BN92)</f>
        <v/>
      </c>
      <c r="BW92" s="208">
        <f>SUMIF(Summary!B:B,B92,Summary!DZ:DZ)</f>
        <v/>
      </c>
      <c r="BX92" s="384" t="n"/>
      <c r="BY92" s="340" t="n"/>
      <c r="BZ92" s="340" t="n"/>
      <c r="CA92" s="340" t="n"/>
      <c r="CB92" s="136" t="n"/>
      <c r="CC92" s="289" t="n"/>
      <c r="CE92" s="213" t="n"/>
    </row>
    <row r="93" ht="15.75" customFormat="1" customHeight="1" s="118">
      <c r="A93" s="136" t="inlineStr">
        <is>
          <t>MB3ME090037A</t>
        </is>
      </c>
      <c r="B93" s="118" t="n">
        <v>6120036</v>
      </c>
      <c r="C93" s="118" t="inlineStr">
        <is>
          <t>貝力多(雙胜胺) 20% 50mL/ 瓶</t>
        </is>
      </c>
      <c r="D93" s="285" t="n">
        <v>10</v>
      </c>
      <c r="E93" s="198" t="inlineStr">
        <is>
          <t>PCS</t>
        </is>
      </c>
      <c r="F93" s="349" t="n"/>
      <c r="G93" s="349" t="n"/>
      <c r="H93" s="283" t="n"/>
      <c r="I93" s="283" t="n"/>
      <c r="J93" s="283" t="n"/>
      <c r="K93" s="283" t="n"/>
      <c r="L93" s="283" t="n"/>
      <c r="M93" s="283" t="n"/>
      <c r="N93" s="283" t="n"/>
      <c r="O93" s="283" t="n"/>
      <c r="P93" s="283" t="n"/>
      <c r="Q93" s="283" t="n"/>
      <c r="R93" s="283" t="n"/>
      <c r="S93" s="283" t="n"/>
      <c r="T93" s="283" t="n"/>
      <c r="U93" s="283" t="n"/>
      <c r="V93" s="283" t="n"/>
      <c r="W93" s="283" t="n"/>
      <c r="X93" s="283" t="n"/>
      <c r="Y93" s="283" t="n"/>
      <c r="Z93" s="283" t="n"/>
      <c r="AA93" s="283" t="n"/>
      <c r="AB93" s="283" t="n"/>
      <c r="AC93" s="283" t="n"/>
      <c r="AD93" s="283" t="n"/>
      <c r="AE93" s="283" t="n"/>
      <c r="AF93" s="283" t="n"/>
      <c r="AG93" s="201" t="n"/>
      <c r="AH93" s="201" t="n"/>
      <c r="AI93" s="201" t="n"/>
      <c r="AJ93" s="201" t="n"/>
      <c r="AK93" s="201" t="n"/>
      <c r="AL93" s="201" t="n"/>
      <c r="AM93" s="201" t="n"/>
      <c r="AN93" s="201" t="n"/>
      <c r="AO93" s="201" t="n"/>
      <c r="AP93" s="201" t="n"/>
      <c r="AQ93" s="201" t="n"/>
      <c r="AR93" s="201" t="n"/>
      <c r="AS93" s="283" t="n"/>
      <c r="AT93" s="286" t="n"/>
      <c r="AU93" s="201" t="n"/>
      <c r="AV93" s="201" t="n"/>
      <c r="AW93" s="201" t="n"/>
      <c r="AX93" s="201" t="n"/>
      <c r="AY93" s="201" t="n"/>
      <c r="AZ93" s="203" t="n"/>
      <c r="BA93" s="203" t="n"/>
      <c r="BB93" s="203" t="n"/>
      <c r="BC93" s="203" t="n"/>
      <c r="BD93" s="208">
        <f>SUMIFS(領用表!$L:$L,領用表!$E:$E,$B93,領用表!$B:$B,BD$2&amp;$BI$1)</f>
        <v/>
      </c>
      <c r="BE93" s="208">
        <f>SUMIFS(領用表!$L:$L,領用表!$E:$E,$B93,領用表!$B:$B,BE$2&amp;$BI$1)</f>
        <v/>
      </c>
      <c r="BF93" s="208">
        <f>SUMIFS(領用表!$L:$L,領用表!$E:$E,$B93,領用表!$B:$B,BF$2&amp;$BI$1)</f>
        <v/>
      </c>
      <c r="BG93" s="207">
        <f>SUM(AU93,AV93,AW93,AX93,AY93,AZ93,BA93,BB93,BC93,BD93,BE93,BF93)</f>
        <v/>
      </c>
      <c r="BH93" s="207">
        <f>AVERAGE(AU93,AV93,AW93,AX93,AY93,AZ93,BA93,BB93,BC93,BD93,BE93,BF93)</f>
        <v/>
      </c>
      <c r="BI93" s="208">
        <f>SUMIFS(領用表!$L:$L,領用表!$E:$E,$B93,領用表!$B:$B,BI$2&amp;$BI$1)</f>
        <v/>
      </c>
      <c r="BJ93" s="208">
        <f>SUMIFS(領用表!$L:$L,領用表!$E:$E,$B93,領用表!$B:$B,BJ$2&amp;$BI$1)</f>
        <v/>
      </c>
      <c r="BK93" s="208">
        <f>SUMIFS(領用表!$L:$L,領用表!$E:$E,$B93,領用表!$B:$B,BK$2&amp;$BI$1)</f>
        <v/>
      </c>
      <c r="BL93" s="208">
        <f>SUMIFS(領用表!$L:$L,領用表!$E:$E,$B93,領用表!$B:$B,BL$2&amp;$BI$1)</f>
        <v/>
      </c>
      <c r="BM93" s="208">
        <f>SUMIFS(領用表!$L:$L,領用表!$E:$E,$B93,領用表!$B:$B,BM$2&amp;$BI$1)</f>
        <v/>
      </c>
      <c r="BN93" s="208" t="n">
        <v>5</v>
      </c>
      <c r="BO93" s="208">
        <f>SUMIFS(領用表!$L:$L,領用表!$E:$E,$B93,領用表!$B:$B,BO$2&amp;$BI$1)</f>
        <v/>
      </c>
      <c r="BP93" s="208">
        <f>SUMIFS(領用表!$L:$L,領用表!$E:$E,$B93,領用表!$B:$B,BP$2&amp;$BI$1)</f>
        <v/>
      </c>
      <c r="BQ93" s="208">
        <f>SUMIFS(領用表!$L:$L,領用表!$E:$E,$B93,領用表!$B:$B,BQ$2&amp;$BI$1)</f>
        <v/>
      </c>
      <c r="BR93" s="208">
        <f>SUMIFS(領用表!$L:$L,領用表!$E:$E,$B93,領用表!$B:$B,BR$2&amp;$BI$1)</f>
        <v/>
      </c>
      <c r="BS93" s="208">
        <f>SUMIFS(領用表!$L:$L,領用表!$E:$E,$B93,領用表!$B:$B,BS$2&amp;$BI$1)</f>
        <v/>
      </c>
      <c r="BT93" s="208">
        <f>SUMIFS(領用表!$L:$L,領用表!$E:$E,$B93,領用表!$B:$B,BT$2&amp;$BI$1)</f>
        <v/>
      </c>
      <c r="BU93" s="208">
        <f>SUM(BI93,BJ93,BK93,BL93,BM93,BN93)</f>
        <v/>
      </c>
      <c r="BV93" s="208">
        <f>AVERAGE(BI93,BJ93,BK93,BL93,BM93,BN93)</f>
        <v/>
      </c>
      <c r="BW93" s="208">
        <f>SUMIF(Summary!B:B,B93,Summary!DZ:DZ)</f>
        <v/>
      </c>
      <c r="BX93" s="384" t="n"/>
      <c r="BY93" s="340" t="n"/>
      <c r="BZ93" s="340" t="n"/>
      <c r="CA93" s="340" t="n"/>
      <c r="CB93" s="136" t="n"/>
      <c r="CC93" s="289" t="n"/>
      <c r="CE93" s="213" t="n"/>
    </row>
    <row r="94" ht="15.75" customFormat="1" customHeight="1" s="118">
      <c r="A94" s="136" t="inlineStr">
        <is>
          <t>MB3ME090004A</t>
        </is>
      </c>
      <c r="B94" s="118" t="n">
        <v>6200003</v>
      </c>
      <c r="C94" s="118" t="inlineStr">
        <is>
          <t>倍克脂</t>
        </is>
      </c>
      <c r="D94" s="285" t="n">
        <v>1</v>
      </c>
      <c r="E94" s="198" t="inlineStr">
        <is>
          <t>PCS</t>
        </is>
      </c>
      <c r="F94" s="349" t="n">
        <v>4</v>
      </c>
      <c r="G94" s="349" t="n"/>
      <c r="H94" s="283" t="n"/>
      <c r="I94" s="283" t="n"/>
      <c r="J94" s="283" t="n"/>
      <c r="K94" s="283" t="n"/>
      <c r="L94" s="283" t="n"/>
      <c r="M94" s="283" t="n"/>
      <c r="N94" s="283" t="n"/>
      <c r="O94" s="283" t="n"/>
      <c r="P94" s="283" t="n"/>
      <c r="Q94" s="283" t="n"/>
      <c r="R94" s="283" t="n"/>
      <c r="S94" s="283" t="n"/>
      <c r="T94" s="283" t="n"/>
      <c r="U94" s="283" t="n"/>
      <c r="V94" s="283" t="n"/>
      <c r="W94" s="283" t="n"/>
      <c r="X94" s="283" t="n"/>
      <c r="Y94" s="283" t="n"/>
      <c r="Z94" s="283" t="n"/>
      <c r="AA94" s="283" t="n"/>
      <c r="AB94" s="283" t="n"/>
      <c r="AC94" s="283" t="n"/>
      <c r="AD94" s="283" t="n"/>
      <c r="AE94" s="283" t="n"/>
      <c r="AF94" s="283" t="n"/>
      <c r="AG94" s="201" t="n">
        <v>4</v>
      </c>
      <c r="AH94" s="201" t="n">
        <v>5</v>
      </c>
      <c r="AI94" s="201" t="n">
        <v>7</v>
      </c>
      <c r="AJ94" s="201" t="n">
        <v>2</v>
      </c>
      <c r="AK94" s="201" t="n">
        <v>2</v>
      </c>
      <c r="AL94" s="201" t="n">
        <v>2</v>
      </c>
      <c r="AM94" s="201" t="n">
        <v>7</v>
      </c>
      <c r="AN94" s="201" t="n">
        <v>6</v>
      </c>
      <c r="AO94" s="201" t="n">
        <v>6</v>
      </c>
      <c r="AP94" s="201" t="n">
        <v>9</v>
      </c>
      <c r="AQ94" s="201" t="n">
        <v>8</v>
      </c>
      <c r="AR94" s="201" t="n">
        <v>10</v>
      </c>
      <c r="AS94" s="283">
        <f>SUM(AG94:AR94)</f>
        <v/>
      </c>
      <c r="AT94" s="286">
        <f>AS94/12</f>
        <v/>
      </c>
      <c r="AU94" s="201" t="n">
        <v>9</v>
      </c>
      <c r="AV94" s="201" t="n">
        <v>12</v>
      </c>
      <c r="AW94" s="201" t="n">
        <v>17</v>
      </c>
      <c r="AX94" s="201" t="n">
        <v>14</v>
      </c>
      <c r="AY94" s="201" t="n">
        <v>0</v>
      </c>
      <c r="AZ94" s="203">
        <f>SUMIFS(領用表!$L:$L,領用表!$E:$E,$B94,領用表!$B:$B,AZ$2&amp;$BI$1)</f>
        <v/>
      </c>
      <c r="BA94" s="203">
        <f>SUMIFS(領用表!$L:$L,領用表!$E:$E,$B94,領用表!$B:$B,BA$2&amp;$BI$1)</f>
        <v/>
      </c>
      <c r="BB94" s="203">
        <f>SUMIFS(領用表!$L:$L,領用表!$E:$E,$B94,領用表!$B:$B,BB$2&amp;$BI$1)</f>
        <v/>
      </c>
      <c r="BC94" s="203">
        <f>SUMIFS(領用表!$L:$L,領用表!$E:$E,$B94,領用表!$B:$B,BC$2&amp;$BI$1)</f>
        <v/>
      </c>
      <c r="BD94" s="208">
        <f>SUMIFS(領用表!$L:$L,領用表!$E:$E,$B94,領用表!$B:$B,BD$2&amp;$BI$1)</f>
        <v/>
      </c>
      <c r="BE94" s="208">
        <f>SUMIFS(領用表!$L:$L,領用表!$E:$E,$B94,領用表!$B:$B,BE$2&amp;$BI$1)</f>
        <v/>
      </c>
      <c r="BF94" s="208">
        <f>SUMIFS(領用表!$L:$L,領用表!$E:$E,$B94,領用表!$B:$B,BF$2&amp;$BI$1)</f>
        <v/>
      </c>
      <c r="BG94" s="207">
        <f>SUM(AU94,AV94,AW94,AX94,AY94,AZ94,BA94,BB94,BC94,BD94,BE94,BF94)</f>
        <v/>
      </c>
      <c r="BH94" s="207">
        <f>AVERAGE(AU94,AV94,AW94,AX94,AY94,AZ94,BA94,BB94,BC94,BD94,BE94,BF94)</f>
        <v/>
      </c>
      <c r="BI94" s="208">
        <f>SUMIFS(領用表!$L:$L,領用表!$E:$E,$B94,領用表!$B:$B,BI$2&amp;$BI$1)</f>
        <v/>
      </c>
      <c r="BJ94" s="208">
        <f>SUMIFS(領用表!$L:$L,領用表!$E:$E,$B94,領用表!$B:$B,BJ$2&amp;$BI$1)</f>
        <v/>
      </c>
      <c r="BK94" s="208">
        <f>SUMIFS(領用表!$L:$L,領用表!$E:$E,$B94,領用表!$B:$B,BK$2&amp;$BI$1)</f>
        <v/>
      </c>
      <c r="BL94" s="208">
        <f>SUMIFS(領用表!$L:$L,領用表!$E:$E,$B94,領用表!$B:$B,BL$2&amp;$BI$1)</f>
        <v/>
      </c>
      <c r="BM94" s="208">
        <f>SUMIFS(領用表!$L:$L,領用表!$E:$E,$B94,領用表!$B:$B,BM$2&amp;$BI$1)</f>
        <v/>
      </c>
      <c r="BN94" s="208" t="n"/>
      <c r="BO94" s="208">
        <f>SUMIFS(領用表!$L:$L,領用表!$E:$E,$B94,領用表!$B:$B,BO$2&amp;$BI$1)</f>
        <v/>
      </c>
      <c r="BP94" s="208">
        <f>SUMIFS(領用表!$L:$L,領用表!$E:$E,$B94,領用表!$B:$B,BP$2&amp;$BI$1)</f>
        <v/>
      </c>
      <c r="BQ94" s="208">
        <f>SUMIFS(領用表!$L:$L,領用表!$E:$E,$B94,領用表!$B:$B,BQ$2&amp;$BI$1)</f>
        <v/>
      </c>
      <c r="BR94" s="208">
        <f>SUMIFS(領用表!$L:$L,領用表!$E:$E,$B94,領用表!$B:$B,BR$2&amp;$BI$1)</f>
        <v/>
      </c>
      <c r="BS94" s="208">
        <f>SUMIFS(領用表!$L:$L,領用表!$E:$E,$B94,領用表!$B:$B,BS$2&amp;$BI$1)</f>
        <v/>
      </c>
      <c r="BT94" s="208">
        <f>SUMIFS(領用表!$L:$L,領用表!$E:$E,$B94,領用表!$B:$B,BT$2&amp;$BI$1)</f>
        <v/>
      </c>
      <c r="BU94" s="208">
        <f>SUM(BI94,BJ94,BK94,BL94,BM94,BN94)</f>
        <v/>
      </c>
      <c r="BV94" s="208">
        <f>AVERAGE(BI94,BJ94,BK94,BL94,BM94,BN94)</f>
        <v/>
      </c>
      <c r="BW94" s="208">
        <f>SUMIF(Summary!B:B,B94,Summary!DZ:DZ)</f>
        <v/>
      </c>
      <c r="BX94" s="384" t="n"/>
      <c r="BY94" s="340" t="n"/>
      <c r="BZ94" s="340" t="n"/>
      <c r="CA94" s="340" t="n"/>
      <c r="CB94" s="136" t="n"/>
      <c r="CC94" s="289" t="n"/>
      <c r="CE94" s="213" t="n"/>
    </row>
    <row r="95" ht="15.75" customFormat="1" customHeight="1" s="118">
      <c r="A95" s="136" t="inlineStr">
        <is>
          <t>MB3ME090005A</t>
        </is>
      </c>
      <c r="B95" s="118" t="n">
        <v>6200006</v>
      </c>
      <c r="C95" s="136" t="inlineStr">
        <is>
          <t>容脂</t>
        </is>
      </c>
      <c r="D95" s="285" t="n">
        <v>1</v>
      </c>
      <c r="E95" s="198" t="inlineStr">
        <is>
          <t>PCS</t>
        </is>
      </c>
      <c r="F95" s="349" t="n">
        <v>4</v>
      </c>
      <c r="G95" s="349" t="n"/>
      <c r="H95" s="283" t="n"/>
      <c r="I95" s="283" t="n"/>
      <c r="J95" s="283" t="n"/>
      <c r="K95" s="283" t="n"/>
      <c r="L95" s="283" t="n"/>
      <c r="M95" s="283" t="n"/>
      <c r="N95" s="283" t="n"/>
      <c r="O95" s="283" t="n"/>
      <c r="P95" s="283" t="n"/>
      <c r="Q95" s="283" t="n"/>
      <c r="R95" s="283" t="n"/>
      <c r="S95" s="283" t="n"/>
      <c r="T95" s="283" t="n"/>
      <c r="U95" s="283" t="n"/>
      <c r="V95" s="283" t="n"/>
      <c r="W95" s="283" t="n"/>
      <c r="X95" s="283" t="n"/>
      <c r="Y95" s="283" t="n"/>
      <c r="Z95" s="283" t="n"/>
      <c r="AA95" s="283" t="n"/>
      <c r="AB95" s="283" t="n"/>
      <c r="AC95" s="283" t="n"/>
      <c r="AD95" s="283" t="n"/>
      <c r="AE95" s="283" t="n"/>
      <c r="AF95" s="283" t="n"/>
      <c r="AG95" s="201" t="n"/>
      <c r="AH95" s="201" t="n"/>
      <c r="AI95" s="201" t="n"/>
      <c r="AJ95" s="201" t="n"/>
      <c r="AK95" s="201" t="n"/>
      <c r="AL95" s="201" t="n"/>
      <c r="AM95" s="201" t="n"/>
      <c r="AN95" s="201" t="n">
        <v>0</v>
      </c>
      <c r="AO95" s="201" t="n">
        <v>0</v>
      </c>
      <c r="AP95" s="201" t="n">
        <v>0</v>
      </c>
      <c r="AQ95" s="201" t="n">
        <v>0</v>
      </c>
      <c r="AR95" s="201" t="n">
        <v>1</v>
      </c>
      <c r="AS95" s="283">
        <f>SUM(AG95:AR95)</f>
        <v/>
      </c>
      <c r="AT95" s="286">
        <f>AS95/12</f>
        <v/>
      </c>
      <c r="AU95" s="201" t="n">
        <v>1</v>
      </c>
      <c r="AV95" s="201" t="n">
        <v>3</v>
      </c>
      <c r="AW95" s="201" t="n">
        <v>6</v>
      </c>
      <c r="AX95" s="201" t="n">
        <v>10</v>
      </c>
      <c r="AY95" s="201" t="n">
        <v>1</v>
      </c>
      <c r="AZ95" s="203">
        <f>SUMIFS(領用表!$L:$L,領用表!$E:$E,$B95,領用表!$B:$B,AZ$2&amp;$BI$1)</f>
        <v/>
      </c>
      <c r="BA95" s="203">
        <f>SUMIFS(領用表!$L:$L,領用表!$E:$E,$B95,領用表!$B:$B,BA$2&amp;$BI$1)</f>
        <v/>
      </c>
      <c r="BB95" s="203">
        <f>SUMIFS(領用表!$L:$L,領用表!$E:$E,$B95,領用表!$B:$B,BB$2&amp;$BI$1)</f>
        <v/>
      </c>
      <c r="BC95" s="203">
        <f>SUMIFS(領用表!$L:$L,領用表!$E:$E,$B95,領用表!$B:$B,BC$2&amp;$BI$1)</f>
        <v/>
      </c>
      <c r="BD95" s="208">
        <f>SUMIFS(領用表!$L:$L,領用表!$E:$E,$B95,領用表!$B:$B,BD$2&amp;$BI$1)</f>
        <v/>
      </c>
      <c r="BE95" s="208">
        <f>SUMIFS(領用表!$L:$L,領用表!$E:$E,$B95,領用表!$B:$B,BE$2&amp;$BI$1)</f>
        <v/>
      </c>
      <c r="BF95" s="208">
        <f>SUMIFS(領用表!$L:$L,領用表!$E:$E,$B95,領用表!$B:$B,BF$2&amp;$BI$1)</f>
        <v/>
      </c>
      <c r="BG95" s="207">
        <f>SUM(AU95,AV95,AW95,AX95,AY95,AZ95,BA95,BB95,BC95,BD95,BE95,BF95)</f>
        <v/>
      </c>
      <c r="BH95" s="207">
        <f>AVERAGE(AU95,AV95,AW95,AX95,AY95,AZ95,BA95,BB95,BC95,BD95,BE95,BF95)</f>
        <v/>
      </c>
      <c r="BI95" s="208">
        <f>SUMIFS(領用表!$L:$L,領用表!$E:$E,$B95,領用表!$B:$B,BI$2&amp;$BI$1)</f>
        <v/>
      </c>
      <c r="BJ95" s="208">
        <f>SUMIFS(領用表!$L:$L,領用表!$E:$E,$B95,領用表!$B:$B,BJ$2&amp;$BI$1)</f>
        <v/>
      </c>
      <c r="BK95" s="208">
        <f>SUMIFS(領用表!$L:$L,領用表!$E:$E,$B95,領用表!$B:$B,BK$2&amp;$BI$1)</f>
        <v/>
      </c>
      <c r="BL95" s="208">
        <f>SUMIFS(領用表!$L:$L,領用表!$E:$E,$B95,領用表!$B:$B,BL$2&amp;$BI$1)</f>
        <v/>
      </c>
      <c r="BM95" s="208">
        <f>SUMIFS(領用表!$L:$L,領用表!$E:$E,$B95,領用表!$B:$B,BM$2&amp;$BI$1)</f>
        <v/>
      </c>
      <c r="BN95" s="208" t="n"/>
      <c r="BO95" s="208">
        <f>SUMIFS(領用表!$L:$L,領用表!$E:$E,$B95,領用表!$B:$B,BO$2&amp;$BI$1)</f>
        <v/>
      </c>
      <c r="BP95" s="208">
        <f>SUMIFS(領用表!$L:$L,領用表!$E:$E,$B95,領用表!$B:$B,BP$2&amp;$BI$1)</f>
        <v/>
      </c>
      <c r="BQ95" s="208">
        <f>SUMIFS(領用表!$L:$L,領用表!$E:$E,$B95,領用表!$B:$B,BQ$2&amp;$BI$1)</f>
        <v/>
      </c>
      <c r="BR95" s="208">
        <f>SUMIFS(領用表!$L:$L,領用表!$E:$E,$B95,領用表!$B:$B,BR$2&amp;$BI$1)</f>
        <v/>
      </c>
      <c r="BS95" s="208">
        <f>SUMIFS(領用表!$L:$L,領用表!$E:$E,$B95,領用表!$B:$B,BS$2&amp;$BI$1)</f>
        <v/>
      </c>
      <c r="BT95" s="208">
        <f>SUMIFS(領用表!$L:$L,領用表!$E:$E,$B95,領用表!$B:$B,BT$2&amp;$BI$1)</f>
        <v/>
      </c>
      <c r="BU95" s="208">
        <f>SUM(BI95,BJ95,BK95,BL95,BM95,BN95)</f>
        <v/>
      </c>
      <c r="BV95" s="208">
        <f>AVERAGE(BI95,BJ95,BK95,BL95,BM95,BN95)</f>
        <v/>
      </c>
      <c r="BW95" s="208">
        <f>SUMIF(Summary!B:B,B95,Summary!DZ:DZ)</f>
        <v/>
      </c>
      <c r="BX95" s="384" t="n"/>
      <c r="BY95" s="340" t="n"/>
      <c r="BZ95" s="340" t="n"/>
      <c r="CA95" s="340" t="n"/>
      <c r="CB95" s="136" t="n"/>
      <c r="CC95" s="136" t="n"/>
      <c r="CE95" s="213" t="n"/>
    </row>
    <row r="96" ht="15.75" customFormat="1" customHeight="1" s="118">
      <c r="A96" s="136" t="n"/>
      <c r="B96" s="118" t="n">
        <v>6120004</v>
      </c>
      <c r="C96" s="135" t="inlineStr">
        <is>
          <t>安命活源 250ML</t>
        </is>
      </c>
      <c r="D96" s="285" t="n">
        <v>10</v>
      </c>
      <c r="E96" s="198" t="inlineStr">
        <is>
          <t>袋</t>
        </is>
      </c>
      <c r="F96" s="349" t="n">
        <v>14</v>
      </c>
      <c r="G96" s="349" t="n"/>
      <c r="H96" s="283" t="n"/>
      <c r="I96" s="283" t="n"/>
      <c r="J96" s="283" t="n"/>
      <c r="K96" s="283" t="n"/>
      <c r="L96" s="283" t="n"/>
      <c r="M96" s="283" t="n"/>
      <c r="N96" s="283" t="n"/>
      <c r="O96" s="283" t="n"/>
      <c r="P96" s="283" t="n"/>
      <c r="Q96" s="283" t="n"/>
      <c r="R96" s="283" t="n"/>
      <c r="S96" s="283" t="n"/>
      <c r="T96" s="283" t="n"/>
      <c r="U96" s="283" t="n"/>
      <c r="V96" s="283" t="n"/>
      <c r="W96" s="283" t="n"/>
      <c r="X96" s="283" t="n"/>
      <c r="Y96" s="283" t="n"/>
      <c r="Z96" s="283" t="n"/>
      <c r="AA96" s="283" t="n"/>
      <c r="AB96" s="283" t="n"/>
      <c r="AC96" s="283" t="n"/>
      <c r="AD96" s="283" t="n"/>
      <c r="AE96" s="283" t="n"/>
      <c r="AF96" s="283" t="n"/>
      <c r="AG96" s="201" t="n"/>
      <c r="AH96" s="201" t="n"/>
      <c r="AI96" s="201" t="n"/>
      <c r="AJ96" s="201" t="n"/>
      <c r="AK96" s="201" t="n"/>
      <c r="AL96" s="201" t="n"/>
      <c r="AM96" s="201" t="n"/>
      <c r="AN96" s="201" t="n"/>
      <c r="AO96" s="201" t="n"/>
      <c r="AP96" s="201" t="n"/>
      <c r="AQ96" s="201" t="n"/>
      <c r="AR96" s="201" t="n">
        <v>0</v>
      </c>
      <c r="AS96" s="283">
        <f>SUM(AG96:AR96)</f>
        <v/>
      </c>
      <c r="AT96" s="286">
        <f>AS96/12</f>
        <v/>
      </c>
      <c r="AU96" s="201" t="n">
        <v>0</v>
      </c>
      <c r="AV96" s="201" t="n">
        <v>20</v>
      </c>
      <c r="AW96" s="201" t="n">
        <v>19</v>
      </c>
      <c r="AX96" s="201" t="n">
        <v>28</v>
      </c>
      <c r="AY96" s="201">
        <f>0+8</f>
        <v/>
      </c>
      <c r="AZ96" s="203">
        <f>SUMIFS(領用表!$L:$L,領用表!$E:$E,$B96,領用表!$B:$B,AZ$2&amp;$BI$1)</f>
        <v/>
      </c>
      <c r="BA96" s="203">
        <f>SUMIFS(領用表!$L:$L,領用表!$E:$E,$B96,領用表!$B:$B,BA$2&amp;$BI$1)</f>
        <v/>
      </c>
      <c r="BB96" s="203">
        <f>SUMIFS(領用表!$L:$L,領用表!$E:$E,$B96,領用表!$B:$B,BB$2&amp;$BI$1)</f>
        <v/>
      </c>
      <c r="BC96" s="203">
        <f>SUMIFS(領用表!$L:$L,領用表!$E:$E,$B96,領用表!$B:$B,BC$2&amp;$BI$1)</f>
        <v/>
      </c>
      <c r="BD96" s="208">
        <f>SUMIFS(領用表!$L:$L,領用表!$E:$E,$B96,領用表!$B:$B,BD$2&amp;$BI$1)</f>
        <v/>
      </c>
      <c r="BE96" s="208">
        <f>SUMIFS(領用表!$L:$L,領用表!$E:$E,$B96,領用表!$B:$B,BE$2&amp;$BI$1)</f>
        <v/>
      </c>
      <c r="BF96" s="208">
        <f>SUMIFS(領用表!$L:$L,領用表!$E:$E,$B96,領用表!$B:$B,BF$2&amp;$BI$1)</f>
        <v/>
      </c>
      <c r="BG96" s="207">
        <f>SUM(AU96,AV96,AW96,AX96,AY96,AZ96,BA96,BB96,BC96,BD96,BE96,BF96)</f>
        <v/>
      </c>
      <c r="BH96" s="207">
        <f>AVERAGE(AU96,AV96,AW96,AX96,AY96,AZ96,BA96,BB96,BC96,BD96,BE96,BF96)</f>
        <v/>
      </c>
      <c r="BI96" s="208">
        <f>SUMIFS(領用表!$L:$L,領用表!$E:$E,$B96,領用表!$B:$B,BI$2&amp;$BI$1)</f>
        <v/>
      </c>
      <c r="BJ96" s="208">
        <f>SUMIFS(領用表!$L:$L,領用表!$E:$E,$B96,領用表!$B:$B,BJ$2&amp;$BI$1)</f>
        <v/>
      </c>
      <c r="BK96" s="208">
        <f>SUMIFS(領用表!$L:$L,領用表!$E:$E,$B96,領用表!$B:$B,BK$2&amp;$BI$1)</f>
        <v/>
      </c>
      <c r="BL96" s="208">
        <f>SUMIFS(領用表!$L:$L,領用表!$E:$E,$B96,領用表!$B:$B,BL$2&amp;$BI$1)</f>
        <v/>
      </c>
      <c r="BM96" s="208">
        <f>SUMIFS(領用表!$L:$L,領用表!$E:$E,$B96,領用表!$B:$B,BM$2&amp;$BI$1)</f>
        <v/>
      </c>
      <c r="BN96" s="208" t="n">
        <v>5</v>
      </c>
      <c r="BO96" s="208">
        <f>SUMIFS(領用表!$L:$L,領用表!$E:$E,$B96,領用表!$B:$B,BO$2&amp;$BI$1)</f>
        <v/>
      </c>
      <c r="BP96" s="208">
        <f>SUMIFS(領用表!$L:$L,領用表!$E:$E,$B96,領用表!$B:$B,BP$2&amp;$BI$1)</f>
        <v/>
      </c>
      <c r="BQ96" s="208">
        <f>SUMIFS(領用表!$L:$L,領用表!$E:$E,$B96,領用表!$B:$B,BQ$2&amp;$BI$1)</f>
        <v/>
      </c>
      <c r="BR96" s="208">
        <f>SUMIFS(領用表!$L:$L,領用表!$E:$E,$B96,領用表!$B:$B,BR$2&amp;$BI$1)</f>
        <v/>
      </c>
      <c r="BS96" s="208">
        <f>SUMIFS(領用表!$L:$L,領用表!$E:$E,$B96,領用表!$B:$B,BS$2&amp;$BI$1)</f>
        <v/>
      </c>
      <c r="BT96" s="208">
        <f>SUMIFS(領用表!$L:$L,領用表!$E:$E,$B96,領用表!$B:$B,BT$2&amp;$BI$1)</f>
        <v/>
      </c>
      <c r="BU96" s="208">
        <f>SUM(BI96,BJ96,BK96,BL96,BM96,BN96)</f>
        <v/>
      </c>
      <c r="BV96" s="208">
        <f>AVERAGE(BI96,BJ96,BK96,BL96,BM96,BN96)</f>
        <v/>
      </c>
      <c r="BW96" s="208">
        <f>SUMIF(Summary!B:B,B96,Summary!DZ:DZ)</f>
        <v/>
      </c>
      <c r="BX96" s="384" t="n"/>
      <c r="BY96" s="340" t="n"/>
      <c r="BZ96" s="340" t="n"/>
      <c r="CA96" s="340" t="n"/>
      <c r="CB96" s="136" t="n"/>
      <c r="CC96" s="136" t="n"/>
      <c r="CE96" s="213" t="n"/>
    </row>
    <row r="97" ht="15.75" customFormat="1" customHeight="1" s="118">
      <c r="A97" s="136" t="n"/>
      <c r="B97" s="118" t="n">
        <v>6120006</v>
      </c>
      <c r="C97" s="136" t="inlineStr">
        <is>
          <t>B12 愛壽命注射液 2ml</t>
        </is>
      </c>
      <c r="D97" s="307" t="n">
        <v>100</v>
      </c>
      <c r="E97" s="198" t="inlineStr">
        <is>
          <t>PCS</t>
        </is>
      </c>
      <c r="F97" s="349" t="n">
        <v>169</v>
      </c>
      <c r="G97" s="349" t="n"/>
      <c r="H97" s="283" t="n"/>
      <c r="I97" s="283" t="n"/>
      <c r="J97" s="283" t="n"/>
      <c r="K97" s="283" t="n"/>
      <c r="L97" s="283" t="n"/>
      <c r="M97" s="283" t="n"/>
      <c r="N97" s="283" t="n"/>
      <c r="O97" s="283" t="n"/>
      <c r="P97" s="283" t="n"/>
      <c r="Q97" s="283" t="n"/>
      <c r="R97" s="283" t="n"/>
      <c r="S97" s="283" t="n"/>
      <c r="T97" s="283" t="n"/>
      <c r="U97" s="283" t="n"/>
      <c r="V97" s="283" t="n"/>
      <c r="W97" s="283" t="n"/>
      <c r="X97" s="283" t="n"/>
      <c r="Y97" s="283" t="n"/>
      <c r="Z97" s="283" t="n"/>
      <c r="AA97" s="283" t="n"/>
      <c r="AB97" s="283" t="n"/>
      <c r="AC97" s="283" t="n"/>
      <c r="AD97" s="283" t="n"/>
      <c r="AE97" s="283" t="n"/>
      <c r="AF97" s="283" t="n"/>
      <c r="AG97" s="201" t="n"/>
      <c r="AH97" s="201" t="n"/>
      <c r="AI97" s="201" t="n"/>
      <c r="AJ97" s="201" t="n"/>
      <c r="AK97" s="201" t="n"/>
      <c r="AL97" s="201" t="n"/>
      <c r="AM97" s="201" t="n"/>
      <c r="AN97" s="201" t="n">
        <v>0</v>
      </c>
      <c r="AO97" s="201" t="n">
        <v>0</v>
      </c>
      <c r="AP97" s="201" t="n">
        <v>0</v>
      </c>
      <c r="AQ97" s="201" t="n">
        <v>0</v>
      </c>
      <c r="AR97" s="201" t="n">
        <v>0</v>
      </c>
      <c r="AS97" s="283">
        <f>SUM(AG97:AR97)</f>
        <v/>
      </c>
      <c r="AT97" s="286">
        <f>AS97/12</f>
        <v/>
      </c>
      <c r="AU97" s="201" t="n">
        <v>0</v>
      </c>
      <c r="AV97" s="201" t="n">
        <v>0</v>
      </c>
      <c r="AW97" s="201" t="n">
        <v>246</v>
      </c>
      <c r="AX97" s="201" t="n">
        <v>227</v>
      </c>
      <c r="AY97" s="201">
        <f>7+223</f>
        <v/>
      </c>
      <c r="AZ97" s="203">
        <f>SUMIFS(領用表!$L:$L,領用表!$E:$E,$B97,領用表!$B:$B,AZ$2&amp;$BI$1)</f>
        <v/>
      </c>
      <c r="BA97" s="203">
        <f>SUMIFS(領用表!$L:$L,領用表!$E:$E,$B97,領用表!$B:$B,BA$2&amp;$BI$1)</f>
        <v/>
      </c>
      <c r="BB97" s="203">
        <f>SUMIFS(領用表!$L:$L,領用表!$E:$E,$B97,領用表!$B:$B,BB$2&amp;$BI$1)</f>
        <v/>
      </c>
      <c r="BC97" s="203">
        <f>SUMIFS(領用表!$L:$L,領用表!$E:$E,$B97,領用表!$B:$B,BC$2&amp;$BI$1)</f>
        <v/>
      </c>
      <c r="BD97" s="208">
        <f>SUMIFS(領用表!$L:$L,領用表!$E:$E,$B97,領用表!$B:$B,BD$2&amp;$BI$1)</f>
        <v/>
      </c>
      <c r="BE97" s="208">
        <f>SUMIFS(領用表!$L:$L,領用表!$E:$E,$B97,領用表!$B:$B,BE$2&amp;$BI$1)</f>
        <v/>
      </c>
      <c r="BF97" s="208">
        <f>SUMIFS(領用表!$L:$L,領用表!$E:$E,$B97,領用表!$B:$B,BF$2&amp;$BI$1)</f>
        <v/>
      </c>
      <c r="BG97" s="207">
        <f>SUM(AU97,AV97,AW97,AX97,AY97,AZ97,BA97,BB97,BC97,BD97,BE97,BF97)</f>
        <v/>
      </c>
      <c r="BH97" s="207">
        <f>AVERAGE(AU97,AV97,AW97,AX97,AY97,AZ97,BA97,BB97,BC97,BD97,BE97,BF97)</f>
        <v/>
      </c>
      <c r="BI97" s="208">
        <f>SUMIFS(領用表!$L:$L,領用表!$E:$E,$B97,領用表!$B:$B,BI$2&amp;$BI$1)</f>
        <v/>
      </c>
      <c r="BJ97" s="208">
        <f>SUMIFS(領用表!$L:$L,領用表!$E:$E,$B97,領用表!$B:$B,BJ$2&amp;$BI$1)</f>
        <v/>
      </c>
      <c r="BK97" s="208">
        <f>SUMIFS(領用表!$L:$L,領用表!$E:$E,$B97,領用表!$B:$B,BK$2&amp;$BI$1)</f>
        <v/>
      </c>
      <c r="BL97" s="208">
        <f>SUMIFS(領用表!$L:$L,領用表!$E:$E,$B97,領用表!$B:$B,BL$2&amp;$BI$1)</f>
        <v/>
      </c>
      <c r="BM97" s="208">
        <f>SUMIFS(領用表!$L:$L,領用表!$E:$E,$B97,領用表!$B:$B,BM$2&amp;$BI$1)</f>
        <v/>
      </c>
      <c r="BN97" s="208" t="n">
        <v>5</v>
      </c>
      <c r="BO97" s="208">
        <f>SUMIFS(領用表!$L:$L,領用表!$E:$E,$B97,領用表!$B:$B,BO$2&amp;$BI$1)</f>
        <v/>
      </c>
      <c r="BP97" s="208">
        <f>SUMIFS(領用表!$L:$L,領用表!$E:$E,$B97,領用表!$B:$B,BP$2&amp;$BI$1)</f>
        <v/>
      </c>
      <c r="BQ97" s="208">
        <f>SUMIFS(領用表!$L:$L,領用表!$E:$E,$B97,領用表!$B:$B,BQ$2&amp;$BI$1)</f>
        <v/>
      </c>
      <c r="BR97" s="208">
        <f>SUMIFS(領用表!$L:$L,領用表!$E:$E,$B97,領用表!$B:$B,BR$2&amp;$BI$1)</f>
        <v/>
      </c>
      <c r="BS97" s="208">
        <f>SUMIFS(領用表!$L:$L,領用表!$E:$E,$B97,領用表!$B:$B,BS$2&amp;$BI$1)</f>
        <v/>
      </c>
      <c r="BT97" s="208">
        <f>SUMIFS(領用表!$L:$L,領用表!$E:$E,$B97,領用表!$B:$B,BT$2&amp;$BI$1)</f>
        <v/>
      </c>
      <c r="BU97" s="208">
        <f>SUM(BI97,BJ97,BK97,BL97,BM97,BN97)</f>
        <v/>
      </c>
      <c r="BV97" s="208">
        <f>AVERAGE(BI97,BJ97,BK97,BL97,BM97,BN97)</f>
        <v/>
      </c>
      <c r="BW97" s="208">
        <f>SUMIF(Summary!B:B,B97,Summary!DZ:DZ)</f>
        <v/>
      </c>
      <c r="BX97" s="384" t="n"/>
      <c r="BY97" s="340" t="n"/>
      <c r="BZ97" s="340" t="inlineStr">
        <is>
          <t>300-10/22</t>
        </is>
      </c>
      <c r="CA97" s="340" t="inlineStr">
        <is>
          <t>400-10/22</t>
        </is>
      </c>
      <c r="CB97" s="136" t="n"/>
      <c r="CC97" s="289" t="n"/>
    </row>
    <row r="98" ht="15.75" customFormat="1" customHeight="1" s="118">
      <c r="A98" s="136" t="n"/>
      <c r="B98" s="118" t="n">
        <v>6120007</v>
      </c>
      <c r="C98" s="136" t="inlineStr">
        <is>
          <t>硫酸鋅</t>
        </is>
      </c>
      <c r="D98" s="307" t="n">
        <v>100</v>
      </c>
      <c r="E98" s="198" t="inlineStr">
        <is>
          <t>PCS</t>
        </is>
      </c>
      <c r="F98" s="349" t="n">
        <v>42</v>
      </c>
      <c r="G98" s="349" t="n"/>
      <c r="H98" s="283" t="n"/>
      <c r="I98" s="283" t="n"/>
      <c r="J98" s="283" t="n"/>
      <c r="K98" s="283" t="n"/>
      <c r="L98" s="283" t="n"/>
      <c r="M98" s="283" t="n"/>
      <c r="N98" s="283" t="n"/>
      <c r="O98" s="283" t="n"/>
      <c r="P98" s="283" t="n"/>
      <c r="Q98" s="283" t="n"/>
      <c r="R98" s="283" t="n"/>
      <c r="S98" s="283" t="n"/>
      <c r="T98" s="283" t="n"/>
      <c r="U98" s="283" t="n"/>
      <c r="V98" s="283" t="n"/>
      <c r="W98" s="283" t="n"/>
      <c r="X98" s="283" t="n"/>
      <c r="Y98" s="283" t="n"/>
      <c r="Z98" s="283" t="n"/>
      <c r="AA98" s="283" t="n"/>
      <c r="AB98" s="283" t="n"/>
      <c r="AC98" s="283" t="n"/>
      <c r="AD98" s="283" t="n"/>
      <c r="AE98" s="283" t="n"/>
      <c r="AF98" s="283" t="n"/>
      <c r="AG98" s="201" t="n"/>
      <c r="AH98" s="201" t="n"/>
      <c r="AI98" s="201" t="n"/>
      <c r="AJ98" s="201" t="n"/>
      <c r="AK98" s="201" t="n"/>
      <c r="AL98" s="201" t="n"/>
      <c r="AM98" s="201" t="n"/>
      <c r="AN98" s="201" t="n">
        <v>0</v>
      </c>
      <c r="AO98" s="201" t="n">
        <v>0</v>
      </c>
      <c r="AP98" s="201" t="n">
        <v>0</v>
      </c>
      <c r="AQ98" s="201" t="n">
        <v>0</v>
      </c>
      <c r="AR98" s="201" t="n">
        <v>0</v>
      </c>
      <c r="AS98" s="283">
        <f>SUM(AG98:AR98)</f>
        <v/>
      </c>
      <c r="AT98" s="286">
        <f>AS98/12</f>
        <v/>
      </c>
      <c r="AU98" s="201" t="n">
        <v>0</v>
      </c>
      <c r="AV98" s="201" t="n">
        <v>0</v>
      </c>
      <c r="AW98" s="201" t="n">
        <v>1</v>
      </c>
      <c r="AX98" s="201" t="n">
        <v>13</v>
      </c>
      <c r="AY98" s="201" t="n">
        <v>2</v>
      </c>
      <c r="AZ98" s="203">
        <f>SUMIFS(領用表!$L:$L,領用表!$E:$E,$B98,領用表!$B:$B,AZ$2&amp;$BI$1)</f>
        <v/>
      </c>
      <c r="BA98" s="203">
        <f>SUMIFS(領用表!$L:$L,領用表!$E:$E,$B98,領用表!$B:$B,BA$2&amp;$BI$1)</f>
        <v/>
      </c>
      <c r="BB98" s="203">
        <f>SUMIFS(領用表!$L:$L,領用表!$E:$E,$B98,領用表!$B:$B,BB$2&amp;$BI$1)</f>
        <v/>
      </c>
      <c r="BC98" s="203">
        <f>SUMIFS(領用表!$L:$L,領用表!$E:$E,$B98,領用表!$B:$B,BC$2&amp;$BI$1)</f>
        <v/>
      </c>
      <c r="BD98" s="208">
        <f>SUMIFS(領用表!$L:$L,領用表!$E:$E,$B98,領用表!$B:$B,BD$2&amp;$BI$1)</f>
        <v/>
      </c>
      <c r="BE98" s="208">
        <f>SUMIFS(領用表!$L:$L,領用表!$E:$E,$B98,領用表!$B:$B,BE$2&amp;$BI$1)</f>
        <v/>
      </c>
      <c r="BF98" s="208">
        <f>SUMIFS(領用表!$L:$L,領用表!$E:$E,$B98,領用表!$B:$B,BF$2&amp;$BI$1)</f>
        <v/>
      </c>
      <c r="BG98" s="207">
        <f>SUM(AU98,AV98,AW98,AX98,AY98,AZ98,BA98,BB98,BC98,BD98,BE98,BF98)</f>
        <v/>
      </c>
      <c r="BH98" s="207">
        <f>AVERAGE(AU98,AV98,AW98,AX98,AY98,AZ98,BA98,BB98,BC98,BD98,BE98,BF98)</f>
        <v/>
      </c>
      <c r="BI98" s="208">
        <f>SUMIFS(領用表!$L:$L,領用表!$E:$E,$B98,領用表!$B:$B,BI$2&amp;$BI$1)</f>
        <v/>
      </c>
      <c r="BJ98" s="208">
        <f>SUMIFS(領用表!$L:$L,領用表!$E:$E,$B98,領用表!$B:$B,BJ$2&amp;$BI$1)</f>
        <v/>
      </c>
      <c r="BK98" s="208">
        <f>SUMIFS(領用表!$L:$L,領用表!$E:$E,$B98,領用表!$B:$B,BK$2&amp;$BI$1)</f>
        <v/>
      </c>
      <c r="BL98" s="208">
        <f>SUMIFS(領用表!$L:$L,領用表!$E:$E,$B98,領用表!$B:$B,BL$2&amp;$BI$1)</f>
        <v/>
      </c>
      <c r="BM98" s="208">
        <f>SUMIFS(領用表!$L:$L,領用表!$E:$E,$B98,領用表!$B:$B,BM$2&amp;$BI$1)</f>
        <v/>
      </c>
      <c r="BN98" s="208" t="n"/>
      <c r="BO98" s="208">
        <f>SUMIFS(領用表!$L:$L,領用表!$E:$E,$B98,領用表!$B:$B,BO$2&amp;$BI$1)</f>
        <v/>
      </c>
      <c r="BP98" s="208">
        <f>SUMIFS(領用表!$L:$L,領用表!$E:$E,$B98,領用表!$B:$B,BP$2&amp;$BI$1)</f>
        <v/>
      </c>
      <c r="BQ98" s="208">
        <f>SUMIFS(領用表!$L:$L,領用表!$E:$E,$B98,領用表!$B:$B,BQ$2&amp;$BI$1)</f>
        <v/>
      </c>
      <c r="BR98" s="208">
        <f>SUMIFS(領用表!$L:$L,領用表!$E:$E,$B98,領用表!$B:$B,BR$2&amp;$BI$1)</f>
        <v/>
      </c>
      <c r="BS98" s="208">
        <f>SUMIFS(領用表!$L:$L,領用表!$E:$E,$B98,領用表!$B:$B,BS$2&amp;$BI$1)</f>
        <v/>
      </c>
      <c r="BT98" s="208">
        <f>SUMIFS(領用表!$L:$L,領用表!$E:$E,$B98,領用表!$B:$B,BT$2&amp;$BI$1)</f>
        <v/>
      </c>
      <c r="BU98" s="208">
        <f>SUM(BI98,BJ98,BK98,BL98,BM98,BN98)</f>
        <v/>
      </c>
      <c r="BV98" s="208">
        <f>AVERAGE(BI98,BJ98,BK98,BL98,BM98,BN98)</f>
        <v/>
      </c>
      <c r="BW98" s="208">
        <f>SUMIF(Summary!B:B,B98,Summary!DZ:DZ)</f>
        <v/>
      </c>
      <c r="BX98" s="258" t="n"/>
      <c r="BY98" s="340" t="n"/>
      <c r="BZ98" s="340" t="n"/>
      <c r="CA98" s="340" t="n"/>
      <c r="CB98" s="136" t="n"/>
      <c r="CC98" s="289" t="n"/>
    </row>
    <row r="99" ht="15.75" customFormat="1" customHeight="1" s="118">
      <c r="A99" s="136" t="n"/>
      <c r="B99" s="118" t="n">
        <v>6120008</v>
      </c>
      <c r="C99" s="136" t="inlineStr">
        <is>
          <t>硫酸鎂</t>
        </is>
      </c>
      <c r="D99" s="307" t="n">
        <v>100</v>
      </c>
      <c r="E99" s="198" t="inlineStr">
        <is>
          <t>PCS</t>
        </is>
      </c>
      <c r="F99" s="349" t="n">
        <v>4</v>
      </c>
      <c r="G99" s="349" t="n"/>
      <c r="H99" s="283" t="n"/>
      <c r="I99" s="283" t="n"/>
      <c r="J99" s="283" t="n"/>
      <c r="K99" s="283" t="n"/>
      <c r="L99" s="283" t="n"/>
      <c r="M99" s="283" t="n"/>
      <c r="N99" s="283" t="n"/>
      <c r="O99" s="283" t="n"/>
      <c r="P99" s="283" t="n"/>
      <c r="Q99" s="283" t="n"/>
      <c r="R99" s="283" t="n"/>
      <c r="S99" s="283" t="n"/>
      <c r="T99" s="283" t="n"/>
      <c r="U99" s="283" t="n"/>
      <c r="V99" s="283" t="n"/>
      <c r="W99" s="283" t="n"/>
      <c r="X99" s="283" t="n"/>
      <c r="Y99" s="283" t="n"/>
      <c r="Z99" s="283" t="n"/>
      <c r="AA99" s="283" t="n"/>
      <c r="AB99" s="283" t="n"/>
      <c r="AC99" s="283" t="n"/>
      <c r="AD99" s="283" t="n"/>
      <c r="AE99" s="283" t="n"/>
      <c r="AF99" s="283" t="n"/>
      <c r="AG99" s="201" t="n"/>
      <c r="AH99" s="201" t="n"/>
      <c r="AI99" s="201" t="n"/>
      <c r="AJ99" s="201" t="n"/>
      <c r="AK99" s="201" t="n"/>
      <c r="AL99" s="201" t="n"/>
      <c r="AM99" s="201" t="n"/>
      <c r="AN99" s="201" t="n">
        <v>0</v>
      </c>
      <c r="AO99" s="201" t="n">
        <v>0</v>
      </c>
      <c r="AP99" s="201" t="n">
        <v>0</v>
      </c>
      <c r="AQ99" s="201" t="n">
        <v>0</v>
      </c>
      <c r="AR99" s="201" t="n">
        <v>0</v>
      </c>
      <c r="AS99" s="283">
        <f>SUM(AG99:AR99)</f>
        <v/>
      </c>
      <c r="AT99" s="286">
        <f>AS99/12</f>
        <v/>
      </c>
      <c r="AU99" s="201" t="n">
        <v>0</v>
      </c>
      <c r="AV99" s="201" t="n">
        <v>0</v>
      </c>
      <c r="AW99" s="201" t="n">
        <v>1</v>
      </c>
      <c r="AX99" s="201" t="n">
        <v>3</v>
      </c>
      <c r="AY99" s="201" t="n">
        <v>0</v>
      </c>
      <c r="AZ99" s="203">
        <f>SUMIFS(領用表!$L:$L,領用表!$E:$E,$B99,領用表!$B:$B,AZ$2&amp;$BI$1)</f>
        <v/>
      </c>
      <c r="BA99" s="203">
        <f>SUMIFS(領用表!$L:$L,領用表!$E:$E,$B99,領用表!$B:$B,BA$2&amp;$BI$1)</f>
        <v/>
      </c>
      <c r="BB99" s="203">
        <f>SUMIFS(領用表!$L:$L,領用表!$E:$E,$B99,領用表!$B:$B,BB$2&amp;$BI$1)</f>
        <v/>
      </c>
      <c r="BC99" s="203">
        <f>SUMIFS(領用表!$L:$L,領用表!$E:$E,$B99,領用表!$B:$B,BC$2&amp;$BI$1)</f>
        <v/>
      </c>
      <c r="BD99" s="208">
        <f>SUMIFS(領用表!$L:$L,領用表!$E:$E,$B99,領用表!$B:$B,BD$2&amp;$BI$1)</f>
        <v/>
      </c>
      <c r="BE99" s="208">
        <f>SUMIFS(領用表!$L:$L,領用表!$E:$E,$B99,領用表!$B:$B,BE$2&amp;$BI$1)</f>
        <v/>
      </c>
      <c r="BF99" s="208">
        <f>SUMIFS(領用表!$L:$L,領用表!$E:$E,$B99,領用表!$B:$B,BF$2&amp;$BI$1)</f>
        <v/>
      </c>
      <c r="BG99" s="207">
        <f>SUM(AU99,AV99,AW99,AX99,AY99,AZ99,BA99,BB99,BC99,BD99,BE99,BF99)</f>
        <v/>
      </c>
      <c r="BH99" s="207">
        <f>AVERAGE(AU99,AV99,AW99,AX99,AY99,AZ99,BA99,BB99,BC99,BD99,BE99,BF99)</f>
        <v/>
      </c>
      <c r="BI99" s="208">
        <f>SUMIFS(領用表!$L:$L,領用表!$E:$E,$B99,領用表!$B:$B,BI$2&amp;$BI$1)</f>
        <v/>
      </c>
      <c r="BJ99" s="208">
        <f>SUMIFS(領用表!$L:$L,領用表!$E:$E,$B99,領用表!$B:$B,BJ$2&amp;$BI$1)</f>
        <v/>
      </c>
      <c r="BK99" s="208">
        <f>SUMIFS(領用表!$L:$L,領用表!$E:$E,$B99,領用表!$B:$B,BK$2&amp;$BI$1)</f>
        <v/>
      </c>
      <c r="BL99" s="208">
        <f>SUMIFS(領用表!$L:$L,領用表!$E:$E,$B99,領用表!$B:$B,BL$2&amp;$BI$1)</f>
        <v/>
      </c>
      <c r="BM99" s="208">
        <f>SUMIFS(領用表!$L:$L,領用表!$E:$E,$B99,領用表!$B:$B,BM$2&amp;$BI$1)</f>
        <v/>
      </c>
      <c r="BN99" s="208" t="n"/>
      <c r="BO99" s="208">
        <f>SUMIFS(領用表!$L:$L,領用表!$E:$E,$B99,領用表!$B:$B,BO$2&amp;$BI$1)</f>
        <v/>
      </c>
      <c r="BP99" s="208">
        <f>SUMIFS(領用表!$L:$L,領用表!$E:$E,$B99,領用表!$B:$B,BP$2&amp;$BI$1)</f>
        <v/>
      </c>
      <c r="BQ99" s="208">
        <f>SUMIFS(領用表!$L:$L,領用表!$E:$E,$B99,領用表!$B:$B,BQ$2&amp;$BI$1)</f>
        <v/>
      </c>
      <c r="BR99" s="208">
        <f>SUMIFS(領用表!$L:$L,領用表!$E:$E,$B99,領用表!$B:$B,BR$2&amp;$BI$1)</f>
        <v/>
      </c>
      <c r="BS99" s="208">
        <f>SUMIFS(領用表!$L:$L,領用表!$E:$E,$B99,領用表!$B:$B,BS$2&amp;$BI$1)</f>
        <v/>
      </c>
      <c r="BT99" s="208">
        <f>SUMIFS(領用表!$L:$L,領用表!$E:$E,$B99,領用表!$B:$B,BT$2&amp;$BI$1)</f>
        <v/>
      </c>
      <c r="BU99" s="208">
        <f>SUM(BI99,BJ99,BK99,BL99,BM99,BN99)</f>
        <v/>
      </c>
      <c r="BV99" s="208">
        <f>AVERAGE(BI99,BJ99,BK99,BL99,BM99,BN99)</f>
        <v/>
      </c>
      <c r="BW99" s="208">
        <f>SUMIF(Summary!B:B,B99,Summary!DZ:DZ)</f>
        <v/>
      </c>
      <c r="BX99" s="258" t="n"/>
      <c r="BY99" s="340" t="n"/>
      <c r="BZ99" s="340" t="n"/>
      <c r="CA99" s="340" t="n"/>
      <c r="CB99" s="136" t="n"/>
      <c r="CC99" s="289" t="n"/>
    </row>
    <row r="100" ht="15.75" customFormat="1" customHeight="1" s="118">
      <c r="A100" s="136" t="n"/>
      <c r="B100" s="118" t="n">
        <v>6120009</v>
      </c>
      <c r="C100" s="136" t="inlineStr">
        <is>
          <t>B1 硫胺明 2ml</t>
        </is>
      </c>
      <c r="D100" s="307" t="n">
        <v>100</v>
      </c>
      <c r="E100" s="198" t="inlineStr">
        <is>
          <t>PCS</t>
        </is>
      </c>
      <c r="F100" s="349" t="n">
        <v>0</v>
      </c>
      <c r="G100" s="349" t="n"/>
      <c r="H100" s="283" t="n"/>
      <c r="I100" s="283" t="n"/>
      <c r="J100" s="283" t="n"/>
      <c r="K100" s="283" t="n"/>
      <c r="L100" s="283" t="n"/>
      <c r="M100" s="283" t="n"/>
      <c r="N100" s="283" t="n"/>
      <c r="O100" s="283" t="n"/>
      <c r="P100" s="283" t="n"/>
      <c r="Q100" s="283" t="n"/>
      <c r="R100" s="283" t="n"/>
      <c r="S100" s="283" t="n"/>
      <c r="T100" s="283" t="n"/>
      <c r="U100" s="283" t="n"/>
      <c r="V100" s="283" t="n"/>
      <c r="W100" s="283" t="n"/>
      <c r="X100" s="283" t="n"/>
      <c r="Y100" s="283" t="n"/>
      <c r="Z100" s="283" t="n"/>
      <c r="AA100" s="283" t="n"/>
      <c r="AB100" s="283" t="n"/>
      <c r="AC100" s="283" t="n"/>
      <c r="AD100" s="283" t="n"/>
      <c r="AE100" s="283" t="n"/>
      <c r="AF100" s="283" t="n"/>
      <c r="AG100" s="201" t="n"/>
      <c r="AH100" s="201" t="n"/>
      <c r="AI100" s="201" t="n"/>
      <c r="AJ100" s="201" t="n"/>
      <c r="AK100" s="201" t="n"/>
      <c r="AL100" s="201" t="n"/>
      <c r="AM100" s="201" t="n"/>
      <c r="AN100" s="201" t="n">
        <v>0</v>
      </c>
      <c r="AO100" s="201" t="n">
        <v>0</v>
      </c>
      <c r="AP100" s="201" t="n">
        <v>0</v>
      </c>
      <c r="AQ100" s="201" t="n">
        <v>0</v>
      </c>
      <c r="AR100" s="201" t="n">
        <v>0</v>
      </c>
      <c r="AS100" s="283">
        <f>SUM(AG100:AR100)</f>
        <v/>
      </c>
      <c r="AT100" s="286">
        <f>AS100/12</f>
        <v/>
      </c>
      <c r="AU100" s="201" t="n">
        <v>0</v>
      </c>
      <c r="AV100" s="201" t="n">
        <v>0</v>
      </c>
      <c r="AW100" s="201" t="n">
        <v>10</v>
      </c>
      <c r="AX100" s="201" t="n">
        <v>9</v>
      </c>
      <c r="AY100" s="201">
        <f>0+2</f>
        <v/>
      </c>
      <c r="AZ100" s="203">
        <f>SUMIFS(領用表!$L:$L,領用表!$E:$E,$B100,領用表!$B:$B,AZ$2&amp;$BI$1)</f>
        <v/>
      </c>
      <c r="BA100" s="203">
        <f>SUMIFS(領用表!$L:$L,領用表!$E:$E,$B100,領用表!$B:$B,BA$2&amp;$BI$1)</f>
        <v/>
      </c>
      <c r="BB100" s="203">
        <f>SUMIFS(領用表!$L:$L,領用表!$E:$E,$B100,領用表!$B:$B,BB$2&amp;$BI$1)</f>
        <v/>
      </c>
      <c r="BC100" s="203">
        <f>SUMIFS(領用表!$L:$L,領用表!$E:$E,$B100,領用表!$B:$B,BC$2&amp;$BI$1)</f>
        <v/>
      </c>
      <c r="BD100" s="208">
        <f>SUMIFS(領用表!$L:$L,領用表!$E:$E,$B100,領用表!$B:$B,BD$2&amp;$BI$1)</f>
        <v/>
      </c>
      <c r="BE100" s="208">
        <f>SUMIFS(領用表!$L:$L,領用表!$E:$E,$B100,領用表!$B:$B,BE$2&amp;$BI$1)</f>
        <v/>
      </c>
      <c r="BF100" s="208">
        <f>SUMIFS(領用表!$L:$L,領用表!$E:$E,$B100,領用表!$B:$B,BF$2&amp;$BI$1)</f>
        <v/>
      </c>
      <c r="BG100" s="207">
        <f>SUM(AU100,AV100,AW100,AX100,AY100,AZ100,BA100,BB100,BC100,BD100,BE100,BF100)</f>
        <v/>
      </c>
      <c r="BH100" s="207">
        <f>AVERAGE(AU100,AV100,AW100,AX100,AY100,AZ100,BA100,BB100,BC100,BD100,BE100,BF100)</f>
        <v/>
      </c>
      <c r="BI100" s="208">
        <f>SUMIFS(領用表!$L:$L,領用表!$E:$E,$B100,領用表!$B:$B,BI$2&amp;$BI$1)</f>
        <v/>
      </c>
      <c r="BJ100" s="208">
        <f>SUMIFS(領用表!$L:$L,領用表!$E:$E,$B100,領用表!$B:$B,BJ$2&amp;$BI$1)</f>
        <v/>
      </c>
      <c r="BK100" s="208">
        <f>SUMIFS(領用表!$L:$L,領用表!$E:$E,$B100,領用表!$B:$B,BK$2&amp;$BI$1)</f>
        <v/>
      </c>
      <c r="BL100" s="208">
        <f>SUMIFS(領用表!$L:$L,領用表!$E:$E,$B100,領用表!$B:$B,BL$2&amp;$BI$1)</f>
        <v/>
      </c>
      <c r="BM100" s="208">
        <f>SUMIFS(領用表!$L:$L,領用表!$E:$E,$B100,領用表!$B:$B,BM$2&amp;$BI$1)</f>
        <v/>
      </c>
      <c r="BN100" s="208" t="n"/>
      <c r="BO100" s="208">
        <f>SUMIFS(領用表!$L:$L,領用表!$E:$E,$B100,領用表!$B:$B,BO$2&amp;$BI$1)</f>
        <v/>
      </c>
      <c r="BP100" s="208">
        <f>SUMIFS(領用表!$L:$L,領用表!$E:$E,$B100,領用表!$B:$B,BP$2&amp;$BI$1)</f>
        <v/>
      </c>
      <c r="BQ100" s="208">
        <f>SUMIFS(領用表!$L:$L,領用表!$E:$E,$B100,領用表!$B:$B,BQ$2&amp;$BI$1)</f>
        <v/>
      </c>
      <c r="BR100" s="208">
        <f>SUMIFS(領用表!$L:$L,領用表!$E:$E,$B100,領用表!$B:$B,BR$2&amp;$BI$1)</f>
        <v/>
      </c>
      <c r="BS100" s="208">
        <f>SUMIFS(領用表!$L:$L,領用表!$E:$E,$B100,領用表!$B:$B,BS$2&amp;$BI$1)</f>
        <v/>
      </c>
      <c r="BT100" s="208">
        <f>SUMIFS(領用表!$L:$L,領用表!$E:$E,$B100,領用表!$B:$B,BT$2&amp;$BI$1)</f>
        <v/>
      </c>
      <c r="BU100" s="208">
        <f>SUM(BI100,BJ100,BK100,BL100,BM100,BN100)</f>
        <v/>
      </c>
      <c r="BV100" s="208">
        <f>AVERAGE(BI100,BJ100,BK100,BL100,BM100,BN100)</f>
        <v/>
      </c>
      <c r="BW100" s="208">
        <f>SUMIF(Summary!B:B,B100,Summary!DZ:DZ)</f>
        <v/>
      </c>
      <c r="BX100" s="384" t="n"/>
      <c r="BY100" s="340" t="n"/>
      <c r="BZ100" s="340" t="n"/>
      <c r="CA100" s="340" t="n"/>
      <c r="CB100" s="136" t="n"/>
      <c r="CC100" s="289" t="n"/>
    </row>
    <row r="101" ht="15.75" customFormat="1" customHeight="1" s="118">
      <c r="A101" s="136" t="n"/>
      <c r="B101" s="118" t="n">
        <v>6120011</v>
      </c>
      <c r="C101" s="136" t="inlineStr">
        <is>
          <t>西寧特(硒)</t>
        </is>
      </c>
      <c r="D101" s="307" t="n">
        <v>10</v>
      </c>
      <c r="E101" s="198" t="inlineStr">
        <is>
          <t>PCS</t>
        </is>
      </c>
      <c r="F101" s="349" t="n">
        <v>15</v>
      </c>
      <c r="G101" s="349" t="n"/>
      <c r="H101" s="283" t="n"/>
      <c r="I101" s="283" t="n"/>
      <c r="J101" s="283" t="n"/>
      <c r="K101" s="283" t="n"/>
      <c r="L101" s="283" t="n"/>
      <c r="M101" s="283" t="n"/>
      <c r="N101" s="283" t="n"/>
      <c r="O101" s="283" t="n"/>
      <c r="P101" s="283" t="n"/>
      <c r="Q101" s="283" t="n"/>
      <c r="R101" s="283" t="n"/>
      <c r="S101" s="283" t="n"/>
      <c r="T101" s="283" t="n"/>
      <c r="U101" s="283" t="n"/>
      <c r="V101" s="283" t="n"/>
      <c r="W101" s="283" t="n"/>
      <c r="X101" s="283" t="n"/>
      <c r="Y101" s="283" t="n"/>
      <c r="Z101" s="283" t="n"/>
      <c r="AA101" s="283" t="n"/>
      <c r="AB101" s="283" t="n"/>
      <c r="AC101" s="283" t="n"/>
      <c r="AD101" s="283" t="n"/>
      <c r="AE101" s="283" t="n"/>
      <c r="AF101" s="283" t="n"/>
      <c r="AG101" s="201" t="n"/>
      <c r="AH101" s="201" t="n"/>
      <c r="AI101" s="201" t="n"/>
      <c r="AJ101" s="201" t="n"/>
      <c r="AK101" s="201" t="n"/>
      <c r="AL101" s="201" t="n"/>
      <c r="AM101" s="201" t="n"/>
      <c r="AN101" s="201" t="n">
        <v>0</v>
      </c>
      <c r="AO101" s="201" t="n">
        <v>0</v>
      </c>
      <c r="AP101" s="201" t="n">
        <v>0</v>
      </c>
      <c r="AQ101" s="201" t="n">
        <v>0</v>
      </c>
      <c r="AR101" s="201" t="n">
        <v>0</v>
      </c>
      <c r="AS101" s="283">
        <f>SUM(AG101:AR101)</f>
        <v/>
      </c>
      <c r="AT101" s="286">
        <f>AS101/12</f>
        <v/>
      </c>
      <c r="AU101" s="201" t="n">
        <v>0</v>
      </c>
      <c r="AV101" s="201" t="n">
        <v>0</v>
      </c>
      <c r="AW101" s="201" t="n">
        <v>2</v>
      </c>
      <c r="AX101" s="201" t="n">
        <v>12</v>
      </c>
      <c r="AY101" s="201">
        <f>0+2</f>
        <v/>
      </c>
      <c r="AZ101" s="203">
        <f>SUMIFS(領用表!$L:$L,領用表!$E:$E,$B101,領用表!$B:$B,AZ$2&amp;$BI$1)</f>
        <v/>
      </c>
      <c r="BA101" s="203">
        <f>SUMIFS(領用表!$L:$L,領用表!$E:$E,$B101,領用表!$B:$B,BA$2&amp;$BI$1)</f>
        <v/>
      </c>
      <c r="BB101" s="203">
        <f>SUMIFS(領用表!$L:$L,領用表!$E:$E,$B101,領用表!$B:$B,BB$2&amp;$BI$1)</f>
        <v/>
      </c>
      <c r="BC101" s="203">
        <f>SUMIFS(領用表!$L:$L,領用表!$E:$E,$B101,領用表!$B:$B,BC$2&amp;$BI$1)</f>
        <v/>
      </c>
      <c r="BD101" s="208">
        <f>SUMIFS(領用表!$L:$L,領用表!$E:$E,$B101,領用表!$B:$B,BD$2&amp;$BI$1)</f>
        <v/>
      </c>
      <c r="BE101" s="208">
        <f>SUMIFS(領用表!$L:$L,領用表!$E:$E,$B101,領用表!$B:$B,BE$2&amp;$BI$1)</f>
        <v/>
      </c>
      <c r="BF101" s="208">
        <f>SUMIFS(領用表!$L:$L,領用表!$E:$E,$B101,領用表!$B:$B,BF$2&amp;$BI$1)</f>
        <v/>
      </c>
      <c r="BG101" s="207">
        <f>SUM(AU101,AV101,AW101,AX101,AY101,AZ101,BA101,BB101,BC101,BD101,BE101,BF101)</f>
        <v/>
      </c>
      <c r="BH101" s="207">
        <f>AVERAGE(AU101,AV101,AW101,AX101,AY101,AZ101,BA101,BB101,BC101,BD101,BE101,BF101)</f>
        <v/>
      </c>
      <c r="BI101" s="208">
        <f>SUMIFS(領用表!$L:$L,領用表!$E:$E,$B101,領用表!$B:$B,BI$2&amp;$BI$1)</f>
        <v/>
      </c>
      <c r="BJ101" s="208">
        <f>SUMIFS(領用表!$L:$L,領用表!$E:$E,$B101,領用表!$B:$B,BJ$2&amp;$BI$1)</f>
        <v/>
      </c>
      <c r="BK101" s="208">
        <f>SUMIFS(領用表!$L:$L,領用表!$E:$E,$B101,領用表!$B:$B,BK$2&amp;$BI$1)</f>
        <v/>
      </c>
      <c r="BL101" s="208">
        <f>SUMIFS(領用表!$L:$L,領用表!$E:$E,$B101,領用表!$B:$B,BL$2&amp;$BI$1)</f>
        <v/>
      </c>
      <c r="BM101" s="208">
        <f>SUMIFS(領用表!$L:$L,領用表!$E:$E,$B101,領用表!$B:$B,BM$2&amp;$BI$1)</f>
        <v/>
      </c>
      <c r="BN101" s="208" t="n"/>
      <c r="BO101" s="208">
        <f>SUMIFS(領用表!$L:$L,領用表!$E:$E,$B101,領用表!$B:$B,BO$2&amp;$BI$1)</f>
        <v/>
      </c>
      <c r="BP101" s="208">
        <f>SUMIFS(領用表!$L:$L,領用表!$E:$E,$B101,領用表!$B:$B,BP$2&amp;$BI$1)</f>
        <v/>
      </c>
      <c r="BQ101" s="208">
        <f>SUMIFS(領用表!$L:$L,領用表!$E:$E,$B101,領用表!$B:$B,BQ$2&amp;$BI$1)</f>
        <v/>
      </c>
      <c r="BR101" s="208">
        <f>SUMIFS(領用表!$L:$L,領用表!$E:$E,$B101,領用表!$B:$B,BR$2&amp;$BI$1)</f>
        <v/>
      </c>
      <c r="BS101" s="208">
        <f>SUMIFS(領用表!$L:$L,領用表!$E:$E,$B101,領用表!$B:$B,BS$2&amp;$BI$1)</f>
        <v/>
      </c>
      <c r="BT101" s="208">
        <f>SUMIFS(領用表!$L:$L,領用表!$E:$E,$B101,領用表!$B:$B,BT$2&amp;$BI$1)</f>
        <v/>
      </c>
      <c r="BU101" s="208">
        <f>SUM(BI101,BJ101,BK101,BL101,BM101,BN101)</f>
        <v/>
      </c>
      <c r="BV101" s="208">
        <f>AVERAGE(BI101,BJ101,BK101,BL101,BM101,BN101)</f>
        <v/>
      </c>
      <c r="BW101" s="208">
        <f>SUMIF(Summary!B:B,B101,Summary!DZ:DZ)</f>
        <v/>
      </c>
      <c r="BX101" s="258" t="n"/>
      <c r="BY101" s="340" t="n"/>
      <c r="BZ101" s="340" t="inlineStr">
        <is>
          <t>20-10/22</t>
        </is>
      </c>
      <c r="CA101" s="340" t="n"/>
      <c r="CB101" s="136" t="n"/>
      <c r="CC101" s="289" t="n"/>
    </row>
    <row r="102" ht="15.75" customFormat="1" customHeight="1" s="118">
      <c r="A102" s="136" t="n"/>
      <c r="B102" s="118" t="n">
        <v>6120013</v>
      </c>
      <c r="C102" s="135" t="inlineStr">
        <is>
          <t>NS生理食鹽水 250ML</t>
        </is>
      </c>
      <c r="D102" s="285" t="n"/>
      <c r="E102" s="198" t="inlineStr">
        <is>
          <t>袋</t>
        </is>
      </c>
      <c r="F102" s="349" t="n">
        <v>72</v>
      </c>
      <c r="G102" s="349" t="n"/>
      <c r="H102" s="283" t="n"/>
      <c r="I102" s="283" t="n"/>
      <c r="J102" s="283" t="n"/>
      <c r="K102" s="283" t="n"/>
      <c r="L102" s="283" t="n"/>
      <c r="M102" s="283" t="n"/>
      <c r="N102" s="283" t="n"/>
      <c r="O102" s="283" t="n"/>
      <c r="P102" s="283" t="n"/>
      <c r="Q102" s="283" t="n"/>
      <c r="R102" s="283" t="n"/>
      <c r="S102" s="283" t="n"/>
      <c r="T102" s="283" t="n"/>
      <c r="U102" s="283" t="n"/>
      <c r="V102" s="283" t="n"/>
      <c r="W102" s="283" t="n"/>
      <c r="X102" s="283" t="n"/>
      <c r="Y102" s="283" t="n"/>
      <c r="Z102" s="283" t="n"/>
      <c r="AA102" s="283" t="n"/>
      <c r="AB102" s="283" t="n"/>
      <c r="AC102" s="283" t="n"/>
      <c r="AD102" s="283" t="n"/>
      <c r="AE102" s="283" t="n"/>
      <c r="AF102" s="283" t="n"/>
      <c r="AG102" s="201" t="n"/>
      <c r="AH102" s="201" t="n"/>
      <c r="AI102" s="201" t="n"/>
      <c r="AJ102" s="201" t="n"/>
      <c r="AK102" s="201" t="n"/>
      <c r="AL102" s="201" t="n"/>
      <c r="AM102" s="201" t="n"/>
      <c r="AN102" s="201" t="n"/>
      <c r="AO102" s="201" t="n"/>
      <c r="AP102" s="201" t="n"/>
      <c r="AQ102" s="201" t="n"/>
      <c r="AR102" s="201" t="n">
        <v>0</v>
      </c>
      <c r="AS102" s="283">
        <f>SUM(AG102:AR102)</f>
        <v/>
      </c>
      <c r="AT102" s="286">
        <f>AS102/12</f>
        <v/>
      </c>
      <c r="AU102" s="201" t="n">
        <v>0</v>
      </c>
      <c r="AV102" s="201" t="n">
        <v>0</v>
      </c>
      <c r="AW102" s="201" t="n">
        <v>192</v>
      </c>
      <c r="AX102" s="201" t="n">
        <v>434</v>
      </c>
      <c r="AY102" s="201">
        <f>74+439</f>
        <v/>
      </c>
      <c r="AZ102" s="203">
        <f>SUMIFS(領用表!$L:$L,領用表!$E:$E,$B102,領用表!$B:$B,AZ$2&amp;$BI$1)</f>
        <v/>
      </c>
      <c r="BA102" s="203">
        <f>SUMIFS(領用表!$L:$L,領用表!$E:$E,$B102,領用表!$B:$B,BA$2&amp;$BI$1)</f>
        <v/>
      </c>
      <c r="BB102" s="203">
        <f>SUMIFS(領用表!$L:$L,領用表!$E:$E,$B102,領用表!$B:$B,BB$2&amp;$BI$1)</f>
        <v/>
      </c>
      <c r="BC102" s="203">
        <f>SUMIFS(領用表!$L:$L,領用表!$E:$E,$B102,領用表!$B:$B,BC$2&amp;$BI$1)</f>
        <v/>
      </c>
      <c r="BD102" s="208">
        <f>SUMIFS(領用表!$L:$L,領用表!$E:$E,$B102,領用表!$B:$B,BD$2&amp;$BI$1)</f>
        <v/>
      </c>
      <c r="BE102" s="208">
        <f>SUMIFS(領用表!$L:$L,領用表!$E:$E,$B102,領用表!$B:$B,BE$2&amp;$BI$1)</f>
        <v/>
      </c>
      <c r="BF102" s="208">
        <f>SUMIFS(領用表!$L:$L,領用表!$E:$E,$B102,領用表!$B:$B,BF$2&amp;$BI$1)</f>
        <v/>
      </c>
      <c r="BG102" s="207">
        <f>SUM(AU102,AV102,AW102,AX102,AY102,AZ102,BA102,BB102,BC102,BD102,BE102,BF102)</f>
        <v/>
      </c>
      <c r="BH102" s="207">
        <f>AVERAGE(AU102,AV102,AW102,AX102,AY102,AZ102,BA102,BB102,BC102,BD102,BE102,BF102)</f>
        <v/>
      </c>
      <c r="BI102" s="208">
        <f>SUMIFS(領用表!$L:$L,領用表!$E:$E,$B102,領用表!$B:$B,BI$2&amp;$BI$1)</f>
        <v/>
      </c>
      <c r="BJ102" s="208">
        <f>SUMIFS(領用表!$L:$L,領用表!$E:$E,$B102,領用表!$B:$B,BJ$2&amp;$BI$1)</f>
        <v/>
      </c>
      <c r="BK102" s="208">
        <f>SUMIFS(領用表!$L:$L,領用表!$E:$E,$B102,領用表!$B:$B,BK$2&amp;$BI$1)</f>
        <v/>
      </c>
      <c r="BL102" s="208">
        <f>SUMIFS(領用表!$L:$L,領用表!$E:$E,$B102,領用表!$B:$B,BL$2&amp;$BI$1)</f>
        <v/>
      </c>
      <c r="BM102" s="208">
        <f>SUMIFS(領用表!$L:$L,領用表!$E:$E,$B102,領用表!$B:$B,BM$2&amp;$BI$1)</f>
        <v/>
      </c>
      <c r="BN102" s="208" t="n">
        <v>31</v>
      </c>
      <c r="BO102" s="208">
        <f>SUMIFS(領用表!$L:$L,領用表!$E:$E,$B102,領用表!$B:$B,BO$2&amp;$BI$1)</f>
        <v/>
      </c>
      <c r="BP102" s="208">
        <f>SUMIFS(領用表!$L:$L,領用表!$E:$E,$B102,領用表!$B:$B,BP$2&amp;$BI$1)</f>
        <v/>
      </c>
      <c r="BQ102" s="208">
        <f>SUMIFS(領用表!$L:$L,領用表!$E:$E,$B102,領用表!$B:$B,BQ$2&amp;$BI$1)</f>
        <v/>
      </c>
      <c r="BR102" s="208">
        <f>SUMIFS(領用表!$L:$L,領用表!$E:$E,$B102,領用表!$B:$B,BR$2&amp;$BI$1)</f>
        <v/>
      </c>
      <c r="BS102" s="208">
        <f>SUMIFS(領用表!$L:$L,領用表!$E:$E,$B102,領用表!$B:$B,BS$2&amp;$BI$1)</f>
        <v/>
      </c>
      <c r="BT102" s="208">
        <f>SUMIFS(領用表!$L:$L,領用表!$E:$E,$B102,領用表!$B:$B,BT$2&amp;$BI$1)</f>
        <v/>
      </c>
      <c r="BU102" s="208">
        <f>SUM(BI102,BJ102,BK102,BL102,BM102,BN102)</f>
        <v/>
      </c>
      <c r="BV102" s="208">
        <f>AVERAGE(BI102,BJ102,BK102,BL102,BM102,BN102)</f>
        <v/>
      </c>
      <c r="BW102" s="208">
        <f>SUMIF(Summary!B:B,B102,Summary!DZ:DZ)</f>
        <v/>
      </c>
      <c r="BX102" s="384" t="n"/>
      <c r="BY102" s="340" t="n"/>
      <c r="BZ102" s="341" t="n"/>
      <c r="CA102" s="340" t="n"/>
      <c r="CB102" s="136" t="n"/>
      <c r="CC102" s="136" t="n"/>
      <c r="CE102" s="213" t="n"/>
    </row>
    <row r="103" ht="15.75" customFormat="1" customHeight="1" s="118">
      <c r="A103" s="136" t="n"/>
      <c r="B103" s="118" t="n">
        <v>6120014</v>
      </c>
      <c r="C103" s="135" t="inlineStr">
        <is>
          <t xml:space="preserve">D5W 葡萄糖水 250ml </t>
        </is>
      </c>
      <c r="D103" s="285" t="n"/>
      <c r="E103" s="198" t="inlineStr">
        <is>
          <t>袋</t>
        </is>
      </c>
      <c r="F103" s="349" t="n"/>
      <c r="G103" s="349" t="n"/>
      <c r="H103" s="283" t="n"/>
      <c r="I103" s="283" t="n"/>
      <c r="J103" s="283" t="n"/>
      <c r="K103" s="283" t="n"/>
      <c r="L103" s="283" t="n"/>
      <c r="M103" s="283" t="n"/>
      <c r="N103" s="283" t="n"/>
      <c r="O103" s="283" t="n"/>
      <c r="P103" s="283" t="n"/>
      <c r="Q103" s="283" t="n"/>
      <c r="R103" s="283" t="n"/>
      <c r="S103" s="283" t="n"/>
      <c r="T103" s="283" t="n"/>
      <c r="U103" s="283" t="n"/>
      <c r="V103" s="283" t="n"/>
      <c r="W103" s="283" t="n"/>
      <c r="X103" s="283" t="n"/>
      <c r="Y103" s="283" t="n"/>
      <c r="Z103" s="283" t="n"/>
      <c r="AA103" s="283" t="n"/>
      <c r="AB103" s="283" t="n"/>
      <c r="AC103" s="283" t="n"/>
      <c r="AD103" s="283" t="n"/>
      <c r="AE103" s="283" t="n"/>
      <c r="AF103" s="283" t="n"/>
      <c r="AG103" s="201" t="n"/>
      <c r="AH103" s="201" t="n"/>
      <c r="AI103" s="201" t="n"/>
      <c r="AJ103" s="201" t="n"/>
      <c r="AK103" s="201" t="n"/>
      <c r="AL103" s="201" t="n"/>
      <c r="AM103" s="201" t="n"/>
      <c r="AN103" s="201" t="n"/>
      <c r="AO103" s="201" t="n"/>
      <c r="AP103" s="201" t="n"/>
      <c r="AQ103" s="201" t="n"/>
      <c r="AR103" s="201" t="n">
        <v>0</v>
      </c>
      <c r="AS103" s="283">
        <f>SUM(AG103:AR103)</f>
        <v/>
      </c>
      <c r="AT103" s="286">
        <f>AS103/12</f>
        <v/>
      </c>
      <c r="AU103" s="201" t="n">
        <v>0</v>
      </c>
      <c r="AV103" s="201" t="n">
        <v>0</v>
      </c>
      <c r="AW103" s="201" t="n">
        <v>92</v>
      </c>
      <c r="AX103" s="201" t="n">
        <v>60</v>
      </c>
      <c r="AY103" s="201">
        <f>0+80</f>
        <v/>
      </c>
      <c r="AZ103" s="203">
        <f>SUMIFS(領用表!$L:$L,領用表!$E:$E,$B103,領用表!$B:$B,AZ$2&amp;$BI$1)</f>
        <v/>
      </c>
      <c r="BA103" s="203">
        <f>SUMIFS(領用表!$L:$L,領用表!$E:$E,$B103,領用表!$B:$B,BA$2&amp;$BI$1)</f>
        <v/>
      </c>
      <c r="BB103" s="203">
        <f>SUMIFS(領用表!$L:$L,領用表!$E:$E,$B103,領用表!$B:$B,BB$2&amp;$BI$1)</f>
        <v/>
      </c>
      <c r="BC103" s="203">
        <f>SUMIFS(領用表!$L:$L,領用表!$E:$E,$B103,領用表!$B:$B,BC$2&amp;$BI$1)</f>
        <v/>
      </c>
      <c r="BD103" s="208">
        <f>SUMIFS(領用表!$L:$L,領用表!$E:$E,$B103,領用表!$B:$B,BD$2&amp;$BI$1)</f>
        <v/>
      </c>
      <c r="BE103" s="208">
        <f>SUMIFS(領用表!$L:$L,領用表!$E:$E,$B103,領用表!$B:$B,BE$2&amp;$BI$1)</f>
        <v/>
      </c>
      <c r="BF103" s="208">
        <f>SUMIFS(領用表!$L:$L,領用表!$E:$E,$B103,領用表!$B:$B,BF$2&amp;$BI$1)</f>
        <v/>
      </c>
      <c r="BG103" s="207">
        <f>SUM(AU103,AV103,AW103,AX103,AY103,AZ103,BA103,BB103,BC103,BD103,BE103,BF103)</f>
        <v/>
      </c>
      <c r="BH103" s="207">
        <f>AVERAGE(AU103,AV103,AW103,AX103,AY103,AZ103,BA103,BB103,BC103,BD103,BE103,BF103)</f>
        <v/>
      </c>
      <c r="BI103" s="208">
        <f>SUMIFS(領用表!$L:$L,領用表!$E:$E,$B103,領用表!$B:$B,BI$2&amp;$BI$1)</f>
        <v/>
      </c>
      <c r="BJ103" s="208">
        <f>SUMIFS(領用表!$L:$L,領用表!$E:$E,$B103,領用表!$B:$B,BJ$2&amp;$BI$1)</f>
        <v/>
      </c>
      <c r="BK103" s="208">
        <f>SUMIFS(領用表!$L:$L,領用表!$E:$E,$B103,領用表!$B:$B,BK$2&amp;$BI$1)</f>
        <v/>
      </c>
      <c r="BL103" s="208">
        <f>SUMIFS(領用表!$L:$L,領用表!$E:$E,$B103,領用表!$B:$B,BL$2&amp;$BI$1)</f>
        <v/>
      </c>
      <c r="BM103" s="208">
        <f>SUMIFS(領用表!$L:$L,領用表!$E:$E,$B103,領用表!$B:$B,BM$2&amp;$BI$1)</f>
        <v/>
      </c>
      <c r="BN103" s="208" t="n"/>
      <c r="BO103" s="208">
        <f>SUMIFS(領用表!$L:$L,領用表!$E:$E,$B103,領用表!$B:$B,BO$2&amp;$BI$1)</f>
        <v/>
      </c>
      <c r="BP103" s="208">
        <f>SUMIFS(領用表!$L:$L,領用表!$E:$E,$B103,領用表!$B:$B,BP$2&amp;$BI$1)</f>
        <v/>
      </c>
      <c r="BQ103" s="208">
        <f>SUMIFS(領用表!$L:$L,領用表!$E:$E,$B103,領用表!$B:$B,BQ$2&amp;$BI$1)</f>
        <v/>
      </c>
      <c r="BR103" s="208">
        <f>SUMIFS(領用表!$L:$L,領用表!$E:$E,$B103,領用表!$B:$B,BR$2&amp;$BI$1)</f>
        <v/>
      </c>
      <c r="BS103" s="208">
        <f>SUMIFS(領用表!$L:$L,領用表!$E:$E,$B103,領用表!$B:$B,BS$2&amp;$BI$1)</f>
        <v/>
      </c>
      <c r="BT103" s="208">
        <f>SUMIFS(領用表!$L:$L,領用表!$E:$E,$B103,領用表!$B:$B,BT$2&amp;$BI$1)</f>
        <v/>
      </c>
      <c r="BU103" s="208">
        <f>SUM(BI103,BJ103,BK103,BL103,BM103,BN103)</f>
        <v/>
      </c>
      <c r="BV103" s="208">
        <f>AVERAGE(BI103,BJ103,BK103,BL103,BM103,BN103)</f>
        <v/>
      </c>
      <c r="BW103" s="208">
        <f>SUMIF(Summary!B:B,B103,Summary!DZ:DZ)</f>
        <v/>
      </c>
      <c r="BX103" s="384" t="n"/>
      <c r="BY103" s="340" t="n"/>
      <c r="BZ103" s="340" t="n"/>
      <c r="CA103" s="340" t="n"/>
      <c r="CB103" s="136" t="n"/>
      <c r="CC103" s="136" t="n"/>
      <c r="CE103" s="213" t="n"/>
    </row>
    <row r="104" ht="15.75" customFormat="1" customHeight="1" s="118">
      <c r="A104" s="136" t="n"/>
      <c r="B104" s="118" t="n">
        <v>6120015</v>
      </c>
      <c r="C104" s="136" t="inlineStr">
        <is>
          <t>B群 淘能美 2ml</t>
        </is>
      </c>
      <c r="D104" s="307" t="n"/>
      <c r="E104" s="198" t="inlineStr">
        <is>
          <t>PCS</t>
        </is>
      </c>
      <c r="F104" s="349" t="n"/>
      <c r="G104" s="349" t="n"/>
      <c r="H104" s="349" t="n"/>
      <c r="I104" s="349" t="n"/>
      <c r="J104" s="349" t="n"/>
      <c r="K104" s="349" t="n"/>
      <c r="L104" s="349" t="n"/>
      <c r="M104" s="283" t="n"/>
      <c r="N104" s="283" t="n"/>
      <c r="O104" s="283" t="n"/>
      <c r="P104" s="283" t="n"/>
      <c r="Q104" s="283" t="n"/>
      <c r="R104" s="283" t="n"/>
      <c r="S104" s="283" t="n"/>
      <c r="T104" s="283" t="n"/>
      <c r="U104" s="283" t="n"/>
      <c r="V104" s="283" t="n"/>
      <c r="W104" s="283" t="n"/>
      <c r="X104" s="283" t="n"/>
      <c r="Y104" s="283" t="n"/>
      <c r="Z104" s="283" t="n"/>
      <c r="AA104" s="283" t="n"/>
      <c r="AB104" s="283" t="n"/>
      <c r="AC104" s="283" t="n"/>
      <c r="AD104" s="283" t="n"/>
      <c r="AE104" s="283" t="n"/>
      <c r="AF104" s="283" t="n"/>
      <c r="AG104" s="201" t="n"/>
      <c r="AH104" s="201" t="n"/>
      <c r="AI104" s="201" t="n"/>
      <c r="AJ104" s="201" t="n"/>
      <c r="AK104" s="201" t="n"/>
      <c r="AL104" s="201" t="n"/>
      <c r="AM104" s="201" t="n"/>
      <c r="AN104" s="201" t="n">
        <v>0</v>
      </c>
      <c r="AO104" s="201" t="n">
        <v>0</v>
      </c>
      <c r="AP104" s="201" t="n">
        <v>0</v>
      </c>
      <c r="AQ104" s="201" t="n">
        <v>0</v>
      </c>
      <c r="AR104" s="201" t="n">
        <v>0</v>
      </c>
      <c r="AS104" s="283">
        <f>SUM(AG104:AR104)</f>
        <v/>
      </c>
      <c r="AT104" s="286">
        <f>AS104/12</f>
        <v/>
      </c>
      <c r="AU104" s="201" t="n">
        <v>0</v>
      </c>
      <c r="AV104" s="201" t="n">
        <v>0</v>
      </c>
      <c r="AW104" s="201" t="n">
        <v>10</v>
      </c>
      <c r="AX104" s="201" t="n">
        <v>32</v>
      </c>
      <c r="AY104" s="201">
        <f>76+7</f>
        <v/>
      </c>
      <c r="AZ104" s="203">
        <f>SUMIFS(領用表!$L:$L,領用表!$E:$E,$B104,領用表!$B:$B,AZ$2&amp;$BI$1)</f>
        <v/>
      </c>
      <c r="BA104" s="203">
        <f>SUMIFS(領用表!$L:$L,領用表!$E:$E,$B104,領用表!$B:$B,BA$2&amp;$BI$1)</f>
        <v/>
      </c>
      <c r="BB104" s="203">
        <f>SUMIFS(領用表!$L:$L,領用表!$E:$E,$B104,領用表!$B:$B,BB$2&amp;$BI$1)</f>
        <v/>
      </c>
      <c r="BC104" s="203">
        <f>SUMIFS(領用表!$L:$L,領用表!$E:$E,$B104,領用表!$B:$B,BC$2&amp;$BI$1)</f>
        <v/>
      </c>
      <c r="BD104" s="208">
        <f>SUMIFS(領用表!$L:$L,領用表!$E:$E,$B104,領用表!$B:$B,BD$2&amp;$BI$1)</f>
        <v/>
      </c>
      <c r="BE104" s="208">
        <f>SUMIFS(領用表!$L:$L,領用表!$E:$E,$B104,領用表!$B:$B,BE$2&amp;$BI$1)</f>
        <v/>
      </c>
      <c r="BF104" s="208">
        <f>SUMIFS(領用表!$L:$L,領用表!$E:$E,$B104,領用表!$B:$B,BF$2&amp;$BI$1)</f>
        <v/>
      </c>
      <c r="BG104" s="207">
        <f>SUM(AU104,AV104,AW104,AX104,AY104,AZ104,BA104,BB104,BC104,BD104,BE104,BF104)</f>
        <v/>
      </c>
      <c r="BH104" s="207">
        <f>AVERAGE(AU104,AV104,AW104,AX104,AY104,AZ104,BA104,BB104,BC104,BD104,BE104,BF104)</f>
        <v/>
      </c>
      <c r="BI104" s="208">
        <f>SUMIFS(領用表!$L:$L,領用表!$E:$E,$B104,領用表!$B:$B,BI$2&amp;$BI$1)</f>
        <v/>
      </c>
      <c r="BJ104" s="208">
        <f>SUMIFS(領用表!$L:$L,領用表!$E:$E,$B104,領用表!$B:$B,BJ$2&amp;$BI$1)</f>
        <v/>
      </c>
      <c r="BK104" s="208">
        <f>SUMIFS(領用表!$L:$L,領用表!$E:$E,$B104,領用表!$B:$B,BK$2&amp;$BI$1)</f>
        <v/>
      </c>
      <c r="BL104" s="208">
        <f>SUMIFS(領用表!$L:$L,領用表!$E:$E,$B104,領用表!$B:$B,BL$2&amp;$BI$1)</f>
        <v/>
      </c>
      <c r="BM104" s="208">
        <f>SUMIFS(領用表!$L:$L,領用表!$E:$E,$B104,領用表!$B:$B,BM$2&amp;$BI$1)</f>
        <v/>
      </c>
      <c r="BN104" s="208" t="n">
        <v>36</v>
      </c>
      <c r="BO104" s="208">
        <f>SUMIFS(領用表!$L:$L,領用表!$E:$E,$B104,領用表!$B:$B,BO$2&amp;$BI$1)</f>
        <v/>
      </c>
      <c r="BP104" s="208">
        <f>SUMIFS(領用表!$L:$L,領用表!$E:$E,$B104,領用表!$B:$B,BP$2&amp;$BI$1)</f>
        <v/>
      </c>
      <c r="BQ104" s="208">
        <f>SUMIFS(領用表!$L:$L,領用表!$E:$E,$B104,領用表!$B:$B,BQ$2&amp;$BI$1)</f>
        <v/>
      </c>
      <c r="BR104" s="208">
        <f>SUMIFS(領用表!$L:$L,領用表!$E:$E,$B104,領用表!$B:$B,BR$2&amp;$BI$1)</f>
        <v/>
      </c>
      <c r="BS104" s="208">
        <f>SUMIFS(領用表!$L:$L,領用表!$E:$E,$B104,領用表!$B:$B,BS$2&amp;$BI$1)</f>
        <v/>
      </c>
      <c r="BT104" s="208">
        <f>SUMIFS(領用表!$L:$L,領用表!$E:$E,$B104,領用表!$B:$B,BT$2&amp;$BI$1)</f>
        <v/>
      </c>
      <c r="BU104" s="208">
        <f>SUM(BI104,BJ104,BK104,BL104,BM104,BN104)</f>
        <v/>
      </c>
      <c r="BV104" s="208">
        <f>AVERAGE(BI104,BJ104,BK104,BL104,BM104,BN104)</f>
        <v/>
      </c>
      <c r="BW104" s="208">
        <f>SUMIF(Summary!B:B,B104,Summary!DZ:DZ)</f>
        <v/>
      </c>
      <c r="BX104" s="384" t="n"/>
      <c r="BY104" s="340" t="n"/>
      <c r="BZ104" s="341" t="inlineStr">
        <is>
          <t>100-10/22</t>
        </is>
      </c>
      <c r="CA104" s="340" t="n"/>
      <c r="CB104" s="136" t="n"/>
      <c r="CC104" s="289" t="n"/>
    </row>
    <row r="105" ht="15.75" customFormat="1" customHeight="1" s="118">
      <c r="A105" s="136" t="n"/>
      <c r="B105" s="118" t="n">
        <v>6120016</v>
      </c>
      <c r="C105" s="136" t="inlineStr">
        <is>
          <t>克樂達養 20ml</t>
        </is>
      </c>
      <c r="D105" s="307" t="n"/>
      <c r="E105" s="198" t="inlineStr">
        <is>
          <t>PCS</t>
        </is>
      </c>
      <c r="F105" s="349" t="n">
        <v>459</v>
      </c>
      <c r="G105" s="349" t="n"/>
      <c r="H105" s="349" t="n"/>
      <c r="I105" s="349" t="n"/>
      <c r="J105" s="349" t="n"/>
      <c r="K105" s="349" t="n"/>
      <c r="L105" s="349" t="n"/>
      <c r="M105" s="283" t="n"/>
      <c r="N105" s="283" t="n"/>
      <c r="O105" s="283" t="n"/>
      <c r="P105" s="283" t="n"/>
      <c r="Q105" s="283" t="n"/>
      <c r="R105" s="283" t="n"/>
      <c r="S105" s="283" t="n"/>
      <c r="T105" s="283" t="n"/>
      <c r="U105" s="283" t="n"/>
      <c r="V105" s="283" t="n"/>
      <c r="W105" s="283" t="n"/>
      <c r="X105" s="283" t="n"/>
      <c r="Y105" s="283" t="n"/>
      <c r="Z105" s="283" t="n"/>
      <c r="AA105" s="283" t="n"/>
      <c r="AB105" s="283" t="n"/>
      <c r="AC105" s="283" t="n"/>
      <c r="AD105" s="283" t="n"/>
      <c r="AE105" s="283" t="n"/>
      <c r="AF105" s="283" t="n"/>
      <c r="AG105" s="201" t="n"/>
      <c r="AH105" s="201" t="n"/>
      <c r="AI105" s="201" t="n"/>
      <c r="AJ105" s="201" t="n"/>
      <c r="AK105" s="201" t="n"/>
      <c r="AL105" s="201" t="n"/>
      <c r="AM105" s="201" t="n"/>
      <c r="AN105" s="201" t="n">
        <v>0</v>
      </c>
      <c r="AO105" s="201" t="n">
        <v>0</v>
      </c>
      <c r="AP105" s="201" t="n">
        <v>0</v>
      </c>
      <c r="AQ105" s="201" t="n">
        <v>0</v>
      </c>
      <c r="AR105" s="201" t="n">
        <v>0</v>
      </c>
      <c r="AS105" s="283">
        <f>SUM(AG105:AR105)</f>
        <v/>
      </c>
      <c r="AT105" s="286">
        <f>AS105/12</f>
        <v/>
      </c>
      <c r="AU105" s="201" t="n">
        <v>0</v>
      </c>
      <c r="AV105" s="201" t="n">
        <v>0</v>
      </c>
      <c r="AW105" s="201" t="n">
        <v>10</v>
      </c>
      <c r="AX105" s="201" t="n">
        <v>94</v>
      </c>
      <c r="AY105" s="201">
        <f>21+57</f>
        <v/>
      </c>
      <c r="AZ105" s="203">
        <f>SUMIFS(領用表!$L:$L,領用表!$E:$E,$B105,領用表!$B:$B,AZ$2&amp;$BI$1)</f>
        <v/>
      </c>
      <c r="BA105" s="203">
        <f>SUMIFS(領用表!$L:$L,領用表!$E:$E,$B105,領用表!$B:$B,BA$2&amp;$BI$1)</f>
        <v/>
      </c>
      <c r="BB105" s="203">
        <f>SUMIFS(領用表!$L:$L,領用表!$E:$E,$B105,領用表!$B:$B,BB$2&amp;$BI$1)</f>
        <v/>
      </c>
      <c r="BC105" s="203">
        <f>SUMIFS(領用表!$L:$L,領用表!$E:$E,$B105,領用表!$B:$B,BC$2&amp;$BI$1)</f>
        <v/>
      </c>
      <c r="BD105" s="208">
        <f>SUMIFS(領用表!$L:$L,領用表!$E:$E,$B105,領用表!$B:$B,BD$2&amp;$BI$1)</f>
        <v/>
      </c>
      <c r="BE105" s="208">
        <f>SUMIFS(領用表!$L:$L,領用表!$E:$E,$B105,領用表!$B:$B,BE$2&amp;$BI$1)</f>
        <v/>
      </c>
      <c r="BF105" s="208">
        <f>SUMIFS(領用表!$L:$L,領用表!$E:$E,$B105,領用表!$B:$B,BF$2&amp;$BI$1)</f>
        <v/>
      </c>
      <c r="BG105" s="207">
        <f>SUM(AU105,AV105,AW105,AX105,AY105,AZ105,BA105,BB105,BC105,BD105,BE105,BF105)</f>
        <v/>
      </c>
      <c r="BH105" s="207">
        <f>AVERAGE(AU105,AV105,AW105,AX105,AY105,AZ105,BA105,BB105,BC105,BD105,BE105,BF105)</f>
        <v/>
      </c>
      <c r="BI105" s="208">
        <f>SUMIFS(領用表!$L:$L,領用表!$E:$E,$B105,領用表!$B:$B,BI$2&amp;$BI$1)</f>
        <v/>
      </c>
      <c r="BJ105" s="208">
        <f>SUMIFS(領用表!$L:$L,領用表!$E:$E,$B105,領用表!$B:$B,BJ$2&amp;$BI$1)</f>
        <v/>
      </c>
      <c r="BK105" s="208">
        <f>SUMIFS(領用表!$L:$L,領用表!$E:$E,$B105,領用表!$B:$B,BK$2&amp;$BI$1)</f>
        <v/>
      </c>
      <c r="BL105" s="208">
        <f>SUMIFS(領用表!$L:$L,領用表!$E:$E,$B105,領用表!$B:$B,BL$2&amp;$BI$1)</f>
        <v/>
      </c>
      <c r="BM105" s="208">
        <f>SUMIFS(領用表!$L:$L,領用表!$E:$E,$B105,領用表!$B:$B,BM$2&amp;$BI$1)</f>
        <v/>
      </c>
      <c r="BN105" s="208" t="n">
        <v>36</v>
      </c>
      <c r="BO105" s="208">
        <f>SUMIFS(領用表!$L:$L,領用表!$E:$E,$B105,領用表!$B:$B,BO$2&amp;$BI$1)</f>
        <v/>
      </c>
      <c r="BP105" s="208">
        <f>SUMIFS(領用表!$L:$L,領用表!$E:$E,$B105,領用表!$B:$B,BP$2&amp;$BI$1)</f>
        <v/>
      </c>
      <c r="BQ105" s="208">
        <f>SUMIFS(領用表!$L:$L,領用表!$E:$E,$B105,領用表!$B:$B,BQ$2&amp;$BI$1)</f>
        <v/>
      </c>
      <c r="BR105" s="208">
        <f>SUMIFS(領用表!$L:$L,領用表!$E:$E,$B105,領用表!$B:$B,BR$2&amp;$BI$1)</f>
        <v/>
      </c>
      <c r="BS105" s="208">
        <f>SUMIFS(領用表!$L:$L,領用表!$E:$E,$B105,領用表!$B:$B,BS$2&amp;$BI$1)</f>
        <v/>
      </c>
      <c r="BT105" s="208">
        <f>SUMIFS(領用表!$L:$L,領用表!$E:$E,$B105,領用表!$B:$B,BT$2&amp;$BI$1)</f>
        <v/>
      </c>
      <c r="BU105" s="208">
        <f>SUM(BI105,BJ105,BK105,BL105,BM105,BN105)</f>
        <v/>
      </c>
      <c r="BV105" s="208">
        <f>AVERAGE(BI105,BJ105,BK105,BL105,BM105,BN105)</f>
        <v/>
      </c>
      <c r="BW105" s="208">
        <f>SUMIF(Summary!B:B,B105,Summary!DZ:DZ)</f>
        <v/>
      </c>
      <c r="BX105" s="384" t="n"/>
      <c r="BY105" s="340" t="n"/>
      <c r="BZ105" s="341" t="inlineStr">
        <is>
          <t>200-10/21</t>
        </is>
      </c>
      <c r="CA105" s="340" t="inlineStr">
        <is>
          <t>1000-10/21</t>
        </is>
      </c>
      <c r="CB105" s="136" t="n"/>
      <c r="CC105" s="289" t="n"/>
    </row>
    <row r="106" ht="15.75" customFormat="1" customHeight="1" s="118">
      <c r="A106" s="136" t="n"/>
      <c r="B106" s="118" t="n">
        <v>6120017</v>
      </c>
      <c r="C106" s="136" t="inlineStr">
        <is>
          <t>保肝</t>
        </is>
      </c>
      <c r="D106" s="307" t="n"/>
      <c r="E106" s="198" t="inlineStr">
        <is>
          <t>PCS</t>
        </is>
      </c>
      <c r="F106" s="349" t="n">
        <v>0</v>
      </c>
      <c r="G106" s="349" t="n"/>
      <c r="H106" s="349" t="n"/>
      <c r="I106" s="349" t="n"/>
      <c r="J106" s="349" t="n"/>
      <c r="K106" s="349" t="n"/>
      <c r="L106" s="349" t="n"/>
      <c r="M106" s="283" t="n"/>
      <c r="N106" s="283" t="n"/>
      <c r="O106" s="283" t="n"/>
      <c r="P106" s="283" t="n"/>
      <c r="Q106" s="283" t="n"/>
      <c r="R106" s="283" t="n"/>
      <c r="S106" s="283" t="n"/>
      <c r="T106" s="283" t="n"/>
      <c r="U106" s="283" t="n"/>
      <c r="V106" s="283" t="n"/>
      <c r="W106" s="283" t="n"/>
      <c r="X106" s="283" t="n"/>
      <c r="Y106" s="283" t="n"/>
      <c r="Z106" s="283" t="n"/>
      <c r="AA106" s="283" t="n"/>
      <c r="AB106" s="283" t="n"/>
      <c r="AC106" s="283" t="n"/>
      <c r="AD106" s="283" t="n"/>
      <c r="AE106" s="283" t="n"/>
      <c r="AF106" s="283" t="n"/>
      <c r="AG106" s="201" t="n"/>
      <c r="AH106" s="201" t="n"/>
      <c r="AI106" s="201" t="n"/>
      <c r="AJ106" s="201" t="n"/>
      <c r="AK106" s="201" t="n"/>
      <c r="AL106" s="201" t="n"/>
      <c r="AM106" s="201" t="n"/>
      <c r="AN106" s="201" t="n">
        <v>0</v>
      </c>
      <c r="AO106" s="201" t="n">
        <v>0</v>
      </c>
      <c r="AP106" s="201" t="n">
        <v>0</v>
      </c>
      <c r="AQ106" s="201" t="n">
        <v>0</v>
      </c>
      <c r="AR106" s="201" t="n">
        <v>0</v>
      </c>
      <c r="AS106" s="283">
        <f>SUM(AG106:AR106)</f>
        <v/>
      </c>
      <c r="AT106" s="286">
        <f>AS106/12</f>
        <v/>
      </c>
      <c r="AU106" s="201" t="n">
        <v>0</v>
      </c>
      <c r="AV106" s="201" t="n">
        <v>0</v>
      </c>
      <c r="AW106" s="201" t="n">
        <v>0</v>
      </c>
      <c r="AX106" s="201" t="n">
        <v>1</v>
      </c>
      <c r="AY106" s="201">
        <f>0+3</f>
        <v/>
      </c>
      <c r="AZ106" s="203">
        <f>SUMIFS(領用表!$L:$L,領用表!$E:$E,$B106,領用表!$B:$B,AZ$2&amp;$BI$1)</f>
        <v/>
      </c>
      <c r="BA106" s="203">
        <f>SUMIFS(領用表!$L:$L,領用表!$E:$E,$B106,領用表!$B:$B,BA$2&amp;$BI$1)</f>
        <v/>
      </c>
      <c r="BB106" s="203">
        <f>SUMIFS(領用表!$L:$L,領用表!$E:$E,$B106,領用表!$B:$B,BB$2&amp;$BI$1)</f>
        <v/>
      </c>
      <c r="BC106" s="203">
        <f>SUMIFS(領用表!$L:$L,領用表!$E:$E,$B106,領用表!$B:$B,BC$2&amp;$BI$1)</f>
        <v/>
      </c>
      <c r="BD106" s="208">
        <f>SUMIFS(領用表!$L:$L,領用表!$E:$E,$B106,領用表!$B:$B,BD$2&amp;$BI$1)</f>
        <v/>
      </c>
      <c r="BE106" s="208">
        <f>SUMIFS(領用表!$L:$L,領用表!$E:$E,$B106,領用表!$B:$B,BE$2&amp;$BI$1)</f>
        <v/>
      </c>
      <c r="BF106" s="208">
        <f>SUMIFS(領用表!$L:$L,領用表!$E:$E,$B106,領用表!$B:$B,BF$2&amp;$BI$1)</f>
        <v/>
      </c>
      <c r="BG106" s="207">
        <f>SUM(AU106,AV106,AW106,AX106,AY106,AZ106,BA106,BB106,BC106,BD106,BE106,BF106)</f>
        <v/>
      </c>
      <c r="BH106" s="207">
        <f>AVERAGE(AU106,AV106,AW106,AX106,AY106,AZ106,BA106,BB106,BC106,BD106,BE106,BF106)</f>
        <v/>
      </c>
      <c r="BI106" s="208">
        <f>SUMIFS(領用表!$L:$L,領用表!$E:$E,$B106,領用表!$B:$B,BI$2&amp;$BI$1)</f>
        <v/>
      </c>
      <c r="BJ106" s="208">
        <f>SUMIFS(領用表!$L:$L,領用表!$E:$E,$B106,領用表!$B:$B,BJ$2&amp;$BI$1)</f>
        <v/>
      </c>
      <c r="BK106" s="208">
        <f>SUMIFS(領用表!$L:$L,領用表!$E:$E,$B106,領用表!$B:$B,BK$2&amp;$BI$1)</f>
        <v/>
      </c>
      <c r="BL106" s="208">
        <f>SUMIFS(領用表!$L:$L,領用表!$E:$E,$B106,領用表!$B:$B,BL$2&amp;$BI$1)</f>
        <v/>
      </c>
      <c r="BM106" s="208">
        <f>SUMIFS(領用表!$L:$L,領用表!$E:$E,$B106,領用表!$B:$B,BM$2&amp;$BI$1)</f>
        <v/>
      </c>
      <c r="BN106" s="208" t="n"/>
      <c r="BO106" s="208">
        <f>SUMIFS(領用表!$L:$L,領用表!$E:$E,$B106,領用表!$B:$B,BO$2&amp;$BI$1)</f>
        <v/>
      </c>
      <c r="BP106" s="208">
        <f>SUMIFS(領用表!$L:$L,領用表!$E:$E,$B106,領用表!$B:$B,BP$2&amp;$BI$1)</f>
        <v/>
      </c>
      <c r="BQ106" s="208">
        <f>SUMIFS(領用表!$L:$L,領用表!$E:$E,$B106,領用表!$B:$B,BQ$2&amp;$BI$1)</f>
        <v/>
      </c>
      <c r="BR106" s="208">
        <f>SUMIFS(領用表!$L:$L,領用表!$E:$E,$B106,領用表!$B:$B,BR$2&amp;$BI$1)</f>
        <v/>
      </c>
      <c r="BS106" s="208">
        <f>SUMIFS(領用表!$L:$L,領用表!$E:$E,$B106,領用表!$B:$B,BS$2&amp;$BI$1)</f>
        <v/>
      </c>
      <c r="BT106" s="208">
        <f>SUMIFS(領用表!$L:$L,領用表!$E:$E,$B106,領用表!$B:$B,BT$2&amp;$BI$1)</f>
        <v/>
      </c>
      <c r="BU106" s="208">
        <f>SUM(BI106,BJ106,BK106,BL106,BM106,BN106)</f>
        <v/>
      </c>
      <c r="BV106" s="208">
        <f>AVERAGE(BI106,BJ106,BK106,BL106,BM106,BN106)</f>
        <v/>
      </c>
      <c r="BW106" s="208">
        <f>SUMIF(Summary!B:B,B106,Summary!DZ:DZ)</f>
        <v/>
      </c>
      <c r="BX106" s="258" t="n"/>
      <c r="BY106" s="340" t="n"/>
      <c r="BZ106" s="340" t="n"/>
      <c r="CA106" s="340" t="n"/>
      <c r="CB106" s="136" t="n"/>
      <c r="CC106" s="289" t="n"/>
    </row>
    <row r="107" ht="15.75" customFormat="1" customHeight="1" s="118">
      <c r="A107" s="136" t="n"/>
      <c r="B107" s="118" t="n">
        <v>6120018</v>
      </c>
      <c r="C107" s="136" t="inlineStr">
        <is>
          <t>止血明(TRA)</t>
        </is>
      </c>
      <c r="D107" s="307" t="n"/>
      <c r="E107" s="198" t="inlineStr">
        <is>
          <t>PCS</t>
        </is>
      </c>
      <c r="F107" s="349" t="n">
        <v>146</v>
      </c>
      <c r="G107" s="349" t="n"/>
      <c r="H107" s="349" t="n"/>
      <c r="I107" s="349" t="n"/>
      <c r="J107" s="349" t="n"/>
      <c r="K107" s="349" t="n"/>
      <c r="L107" s="349" t="n"/>
      <c r="M107" s="283" t="n"/>
      <c r="N107" s="283" t="n"/>
      <c r="O107" s="283" t="n"/>
      <c r="P107" s="283" t="n"/>
      <c r="Q107" s="283" t="n"/>
      <c r="R107" s="283" t="n"/>
      <c r="S107" s="283" t="n"/>
      <c r="T107" s="283" t="n"/>
      <c r="U107" s="283" t="n"/>
      <c r="V107" s="283" t="n"/>
      <c r="W107" s="283" t="n"/>
      <c r="X107" s="283" t="n"/>
      <c r="Y107" s="283" t="n"/>
      <c r="Z107" s="283" t="n"/>
      <c r="AA107" s="283" t="n"/>
      <c r="AB107" s="283" t="n"/>
      <c r="AC107" s="283" t="n"/>
      <c r="AD107" s="283" t="n"/>
      <c r="AE107" s="283" t="n"/>
      <c r="AF107" s="283" t="n"/>
      <c r="AG107" s="201" t="n"/>
      <c r="AH107" s="201" t="n"/>
      <c r="AI107" s="201" t="n"/>
      <c r="AJ107" s="201" t="n"/>
      <c r="AK107" s="201" t="n"/>
      <c r="AL107" s="201" t="n"/>
      <c r="AM107" s="201" t="n"/>
      <c r="AN107" s="201" t="n">
        <v>0</v>
      </c>
      <c r="AO107" s="201" t="n">
        <v>0</v>
      </c>
      <c r="AP107" s="201" t="n">
        <v>0</v>
      </c>
      <c r="AQ107" s="201" t="n">
        <v>0</v>
      </c>
      <c r="AR107" s="201" t="n">
        <v>0</v>
      </c>
      <c r="AS107" s="283">
        <f>SUM(AG107:AR107)</f>
        <v/>
      </c>
      <c r="AT107" s="286">
        <f>AS107/12</f>
        <v/>
      </c>
      <c r="AU107" s="201" t="n">
        <v>0</v>
      </c>
      <c r="AV107" s="201" t="n">
        <v>0</v>
      </c>
      <c r="AW107" s="201" t="n">
        <v>17</v>
      </c>
      <c r="AX107" s="201" t="n">
        <v>13</v>
      </c>
      <c r="AY107" s="201" t="n">
        <v>9</v>
      </c>
      <c r="AZ107" s="203">
        <f>SUMIFS(領用表!$L:$L,領用表!$E:$E,$B107,領用表!$B:$B,AZ$2&amp;$BI$1)</f>
        <v/>
      </c>
      <c r="BA107" s="203">
        <f>SUMIFS(領用表!$L:$L,領用表!$E:$E,$B107,領用表!$B:$B,BA$2&amp;$BI$1)</f>
        <v/>
      </c>
      <c r="BB107" s="203">
        <f>SUMIFS(領用表!$L:$L,領用表!$E:$E,$B107,領用表!$B:$B,BB$2&amp;$BI$1)</f>
        <v/>
      </c>
      <c r="BC107" s="203">
        <f>SUMIFS(領用表!$L:$L,領用表!$E:$E,$B107,領用表!$B:$B,BC$2&amp;$BI$1)</f>
        <v/>
      </c>
      <c r="BD107" s="208">
        <f>SUMIFS(領用表!$L:$L,領用表!$E:$E,$B107,領用表!$B:$B,BD$2&amp;$BI$1)</f>
        <v/>
      </c>
      <c r="BE107" s="208">
        <f>SUMIFS(領用表!$L:$L,領用表!$E:$E,$B107,領用表!$B:$B,BE$2&amp;$BI$1)</f>
        <v/>
      </c>
      <c r="BF107" s="208">
        <f>SUMIFS(領用表!$L:$L,領用表!$E:$E,$B107,領用表!$B:$B,BF$2&amp;$BI$1)</f>
        <v/>
      </c>
      <c r="BG107" s="207">
        <f>SUM(AU107,AV107,AW107,AX107,AY107,AZ107,BA107,BB107,BC107,BD107,BE107,BF107)</f>
        <v/>
      </c>
      <c r="BH107" s="207">
        <f>AVERAGE(AU107,AV107,AW107,AX107,AY107,AZ107,BA107,BB107,BC107,BD107,BE107,BF107)</f>
        <v/>
      </c>
      <c r="BI107" s="208">
        <f>SUMIFS(領用表!$L:$L,領用表!$E:$E,$B107,領用表!$B:$B,BI$2&amp;$BI$1)</f>
        <v/>
      </c>
      <c r="BJ107" s="208">
        <f>SUMIFS(領用表!$L:$L,領用表!$E:$E,$B107,領用表!$B:$B,BJ$2&amp;$BI$1)</f>
        <v/>
      </c>
      <c r="BK107" s="208">
        <f>SUMIFS(領用表!$L:$L,領用表!$E:$E,$B107,領用表!$B:$B,BK$2&amp;$BI$1)</f>
        <v/>
      </c>
      <c r="BL107" s="208">
        <f>SUMIFS(領用表!$L:$L,領用表!$E:$E,$B107,領用表!$B:$B,BL$2&amp;$BI$1)</f>
        <v/>
      </c>
      <c r="BM107" s="208">
        <f>SUMIFS(領用表!$L:$L,領用表!$E:$E,$B107,領用表!$B:$B,BM$2&amp;$BI$1)</f>
        <v/>
      </c>
      <c r="BN107" s="208" t="n">
        <v>34</v>
      </c>
      <c r="BO107" s="208">
        <f>SUMIFS(領用表!$L:$L,領用表!$E:$E,$B107,領用表!$B:$B,BO$2&amp;$BI$1)</f>
        <v/>
      </c>
      <c r="BP107" s="208">
        <f>SUMIFS(領用表!$L:$L,領用表!$E:$E,$B107,領用表!$B:$B,BP$2&amp;$BI$1)</f>
        <v/>
      </c>
      <c r="BQ107" s="208">
        <f>SUMIFS(領用表!$L:$L,領用表!$E:$E,$B107,領用表!$B:$B,BQ$2&amp;$BI$1)</f>
        <v/>
      </c>
      <c r="BR107" s="208">
        <f>SUMIFS(領用表!$L:$L,領用表!$E:$E,$B107,領用表!$B:$B,BR$2&amp;$BI$1)</f>
        <v/>
      </c>
      <c r="BS107" s="208">
        <f>SUMIFS(領用表!$L:$L,領用表!$E:$E,$B107,領用表!$B:$B,BS$2&amp;$BI$1)</f>
        <v/>
      </c>
      <c r="BT107" s="208">
        <f>SUMIFS(領用表!$L:$L,領用表!$E:$E,$B107,領用表!$B:$B,BT$2&amp;$BI$1)</f>
        <v/>
      </c>
      <c r="BU107" s="208">
        <f>SUM(BI107,BJ107,BK107,BL107,BM107,BN107)</f>
        <v/>
      </c>
      <c r="BV107" s="208">
        <f>AVERAGE(BI107,BJ107,BK107,BL107,BM107,BN107)</f>
        <v/>
      </c>
      <c r="BW107" s="208">
        <f>SUMIF(Summary!B:B,B107,Summary!DZ:DZ)</f>
        <v/>
      </c>
      <c r="BX107" s="258" t="n"/>
      <c r="BY107" s="340" t="n"/>
      <c r="BZ107" s="341" t="inlineStr">
        <is>
          <t>100-10/24</t>
        </is>
      </c>
      <c r="CA107" s="340" t="n"/>
      <c r="CB107" s="136" t="n"/>
      <c r="CC107" s="289" t="n"/>
    </row>
    <row r="108" ht="15.75" customFormat="1" customHeight="1" s="118">
      <c r="A108" s="136" t="n"/>
      <c r="B108" s="118" t="n">
        <v>6120019</v>
      </c>
      <c r="C108" s="136" t="inlineStr">
        <is>
          <t>信可得</t>
        </is>
      </c>
      <c r="D108" s="285" t="n"/>
      <c r="E108" s="198" t="inlineStr">
        <is>
          <t>PCS</t>
        </is>
      </c>
      <c r="F108" s="349" t="n">
        <v>0</v>
      </c>
      <c r="G108" s="349" t="n"/>
      <c r="H108" s="349" t="n"/>
      <c r="I108" s="349" t="n"/>
      <c r="J108" s="349" t="n"/>
      <c r="K108" s="349" t="n"/>
      <c r="L108" s="349" t="n"/>
      <c r="M108" s="283" t="n"/>
      <c r="N108" s="283" t="n"/>
      <c r="O108" s="283" t="n"/>
      <c r="P108" s="283" t="n"/>
      <c r="Q108" s="283" t="n"/>
      <c r="R108" s="283" t="n"/>
      <c r="S108" s="283" t="n"/>
      <c r="T108" s="283" t="n"/>
      <c r="U108" s="283" t="n"/>
      <c r="V108" s="283" t="n"/>
      <c r="W108" s="283" t="n"/>
      <c r="X108" s="283" t="n"/>
      <c r="Y108" s="283" t="n"/>
      <c r="Z108" s="283" t="n"/>
      <c r="AA108" s="283" t="n"/>
      <c r="AB108" s="283" t="n"/>
      <c r="AC108" s="283" t="n"/>
      <c r="AD108" s="283" t="n"/>
      <c r="AE108" s="283" t="n"/>
      <c r="AF108" s="283" t="n"/>
      <c r="AG108" s="201" t="n"/>
      <c r="AH108" s="201" t="n"/>
      <c r="AI108" s="201" t="n"/>
      <c r="AJ108" s="201" t="n"/>
      <c r="AK108" s="201" t="n"/>
      <c r="AL108" s="201" t="n"/>
      <c r="AM108" s="201" t="n"/>
      <c r="AN108" s="201" t="n"/>
      <c r="AO108" s="201" t="n"/>
      <c r="AP108" s="201" t="n"/>
      <c r="AQ108" s="201" t="n"/>
      <c r="AR108" s="201" t="n"/>
      <c r="AS108" s="283">
        <f>SUM(AG108:AR108)</f>
        <v/>
      </c>
      <c r="AT108" s="286">
        <f>AS108/12</f>
        <v/>
      </c>
      <c r="AU108" s="201" t="n">
        <v>0</v>
      </c>
      <c r="AV108" s="201" t="n">
        <v>0</v>
      </c>
      <c r="AW108" s="201" t="n">
        <v>0</v>
      </c>
      <c r="AX108" s="201" t="n">
        <v>0</v>
      </c>
      <c r="AY108" s="201" t="n">
        <v>5</v>
      </c>
      <c r="AZ108" s="203">
        <f>SUMIFS(領用表!$L:$L,領用表!$E:$E,$B108,領用表!$B:$B,AZ$2&amp;$BI$1)</f>
        <v/>
      </c>
      <c r="BA108" s="203">
        <f>SUMIFS(領用表!$L:$L,領用表!$E:$E,$B108,領用表!$B:$B,BA$2&amp;$BI$1)</f>
        <v/>
      </c>
      <c r="BB108" s="203">
        <f>SUMIFS(領用表!$L:$L,領用表!$E:$E,$B108,領用表!$B:$B,BB$2&amp;$BI$1)</f>
        <v/>
      </c>
      <c r="BC108" s="203">
        <f>SUMIFS(領用表!$L:$L,領用表!$E:$E,$B108,領用表!$B:$B,BC$2&amp;$BI$1)</f>
        <v/>
      </c>
      <c r="BD108" s="208">
        <f>SUMIFS(領用表!$L:$L,領用表!$E:$E,$B108,領用表!$B:$B,BD$2&amp;$BI$1)</f>
        <v/>
      </c>
      <c r="BE108" s="208">
        <f>SUMIFS(領用表!$L:$L,領用表!$E:$E,$B108,領用表!$B:$B,BE$2&amp;$BI$1)</f>
        <v/>
      </c>
      <c r="BF108" s="208">
        <f>SUMIFS(領用表!$L:$L,領用表!$E:$E,$B108,領用表!$B:$B,BF$2&amp;$BI$1)</f>
        <v/>
      </c>
      <c r="BG108" s="207">
        <f>SUM(AU108,AV108,AW108,AX108,AY108,AZ108,BA108,BB108,BC108,BD108,BE108,BF108)</f>
        <v/>
      </c>
      <c r="BH108" s="207">
        <f>AVERAGE(AU108,AV108,AW108,AX108,AY108,AZ108,BA108,BB108,BC108,BD108,BE108,BF108)</f>
        <v/>
      </c>
      <c r="BI108" s="208">
        <f>SUMIFS(領用表!$L:$L,領用表!$E:$E,$B108,領用表!$B:$B,BI$2&amp;$BI$1)</f>
        <v/>
      </c>
      <c r="BJ108" s="208">
        <f>SUMIFS(領用表!$L:$L,領用表!$E:$E,$B108,領用表!$B:$B,BJ$2&amp;$BI$1)</f>
        <v/>
      </c>
      <c r="BK108" s="208">
        <f>SUMIFS(領用表!$L:$L,領用表!$E:$E,$B108,領用表!$B:$B,BK$2&amp;$BI$1)</f>
        <v/>
      </c>
      <c r="BL108" s="208">
        <f>SUMIFS(領用表!$L:$L,領用表!$E:$E,$B108,領用表!$B:$B,BL$2&amp;$BI$1)</f>
        <v/>
      </c>
      <c r="BM108" s="208">
        <f>SUMIFS(領用表!$L:$L,領用表!$E:$E,$B108,領用表!$B:$B,BM$2&amp;$BI$1)</f>
        <v/>
      </c>
      <c r="BN108" s="208" t="n"/>
      <c r="BO108" s="208">
        <f>SUMIFS(領用表!$L:$L,領用表!$E:$E,$B108,領用表!$B:$B,BO$2&amp;$BI$1)</f>
        <v/>
      </c>
      <c r="BP108" s="208">
        <f>SUMIFS(領用表!$L:$L,領用表!$E:$E,$B108,領用表!$B:$B,BP$2&amp;$BI$1)</f>
        <v/>
      </c>
      <c r="BQ108" s="208">
        <f>SUMIFS(領用表!$L:$L,領用表!$E:$E,$B108,領用表!$B:$B,BQ$2&amp;$BI$1)</f>
        <v/>
      </c>
      <c r="BR108" s="208">
        <f>SUMIFS(領用表!$L:$L,領用表!$E:$E,$B108,領用表!$B:$B,BR$2&amp;$BI$1)</f>
        <v/>
      </c>
      <c r="BS108" s="208">
        <f>SUMIFS(領用表!$L:$L,領用表!$E:$E,$B108,領用表!$B:$B,BS$2&amp;$BI$1)</f>
        <v/>
      </c>
      <c r="BT108" s="208">
        <f>SUMIFS(領用表!$L:$L,領用表!$E:$E,$B108,領用表!$B:$B,BT$2&amp;$BI$1)</f>
        <v/>
      </c>
      <c r="BU108" s="208">
        <f>SUM(BI108,BJ108,BK108,BL108,BM108,BN108)</f>
        <v/>
      </c>
      <c r="BV108" s="208">
        <f>AVERAGE(BI108,BJ108,BK108,BL108,BM108,BN108)</f>
        <v/>
      </c>
      <c r="BW108" s="208">
        <f>SUMIF(Summary!B:B,B108,Summary!DZ:DZ)</f>
        <v/>
      </c>
      <c r="BX108" s="258" t="n"/>
      <c r="BY108" s="340" t="n"/>
      <c r="BZ108" s="340" t="n"/>
      <c r="CA108" s="340" t="n"/>
      <c r="CB108" s="136" t="n"/>
      <c r="CC108" s="136" t="n"/>
      <c r="CE108" s="213" t="n"/>
    </row>
    <row r="109" ht="15.75" customFormat="1" customHeight="1" s="118">
      <c r="A109" s="136" t="n"/>
      <c r="B109" s="118" t="n">
        <v>6120020</v>
      </c>
      <c r="C109" s="425" t="inlineStr">
        <is>
          <t>抗壞血酸 2ml(維他命C)</t>
        </is>
      </c>
      <c r="D109" s="285" t="n">
        <v>100</v>
      </c>
      <c r="E109" s="198" t="inlineStr">
        <is>
          <t>PCS</t>
        </is>
      </c>
      <c r="F109" s="349" t="n">
        <v>38</v>
      </c>
      <c r="G109" s="349" t="n"/>
      <c r="H109" s="349" t="n"/>
      <c r="I109" s="349" t="n"/>
      <c r="J109" s="349" t="n"/>
      <c r="K109" s="349" t="n"/>
      <c r="L109" s="349" t="n"/>
      <c r="M109" s="283" t="n"/>
      <c r="N109" s="283" t="n"/>
      <c r="O109" s="283" t="n"/>
      <c r="P109" s="283" t="n"/>
      <c r="Q109" s="283" t="n"/>
      <c r="R109" s="283" t="n"/>
      <c r="S109" s="283" t="n"/>
      <c r="T109" s="283" t="n"/>
      <c r="U109" s="283" t="n"/>
      <c r="V109" s="283" t="n"/>
      <c r="W109" s="283" t="n"/>
      <c r="X109" s="283" t="n"/>
      <c r="Y109" s="283" t="n"/>
      <c r="Z109" s="283" t="n"/>
      <c r="AA109" s="283" t="n"/>
      <c r="AB109" s="283" t="n"/>
      <c r="AC109" s="283" t="n"/>
      <c r="AD109" s="283" t="n"/>
      <c r="AE109" s="283" t="n"/>
      <c r="AF109" s="283" t="n"/>
      <c r="AG109" s="201" t="n"/>
      <c r="AH109" s="201" t="n"/>
      <c r="AI109" s="201" t="n"/>
      <c r="AJ109" s="201" t="n"/>
      <c r="AK109" s="201" t="n"/>
      <c r="AL109" s="201" t="n"/>
      <c r="AM109" s="201" t="n"/>
      <c r="AN109" s="201" t="n"/>
      <c r="AO109" s="201" t="n"/>
      <c r="AP109" s="201" t="n"/>
      <c r="AQ109" s="201" t="n"/>
      <c r="AR109" s="201" t="n"/>
      <c r="AS109" s="283">
        <f>SUM(AG109:AR109)</f>
        <v/>
      </c>
      <c r="AT109" s="286">
        <f>AS109/12</f>
        <v/>
      </c>
      <c r="AU109" s="201" t="n">
        <v>0</v>
      </c>
      <c r="AV109" s="201" t="n">
        <v>0</v>
      </c>
      <c r="AW109" s="201" t="n">
        <v>81</v>
      </c>
      <c r="AX109" s="201" t="n">
        <v>17</v>
      </c>
      <c r="AY109" s="201" t="n">
        <v>11</v>
      </c>
      <c r="AZ109" s="203">
        <f>SUMIFS(領用表!$L:$L,領用表!$E:$E,$B109,領用表!$B:$B,AZ$2&amp;$BI$1)</f>
        <v/>
      </c>
      <c r="BA109" s="203">
        <f>SUMIFS(領用表!$L:$L,領用表!$E:$E,$B109,領用表!$B:$B,BA$2&amp;$BI$1)</f>
        <v/>
      </c>
      <c r="BB109" s="203">
        <f>SUMIFS(領用表!$L:$L,領用表!$E:$E,$B109,領用表!$B:$B,BB$2&amp;$BI$1)</f>
        <v/>
      </c>
      <c r="BC109" s="203">
        <f>SUMIFS(領用表!$L:$L,領用表!$E:$E,$B109,領用表!$B:$B,BC$2&amp;$BI$1)</f>
        <v/>
      </c>
      <c r="BD109" s="208">
        <f>SUMIFS(領用表!$L:$L,領用表!$E:$E,$B109,領用表!$B:$B,BD$2&amp;$BI$1)</f>
        <v/>
      </c>
      <c r="BE109" s="208">
        <f>SUMIFS(領用表!$L:$L,領用表!$E:$E,$B109,領用表!$B:$B,BE$2&amp;$BI$1)</f>
        <v/>
      </c>
      <c r="BF109" s="208">
        <f>SUMIFS(領用表!$L:$L,領用表!$E:$E,$B109,領用表!$B:$B,BF$2&amp;$BI$1)</f>
        <v/>
      </c>
      <c r="BG109" s="207">
        <f>SUM(AU109,AV109,AW109,AX109,AY109,AZ109,BA109,BB109,BC109,BD109,BE109,BF109)</f>
        <v/>
      </c>
      <c r="BH109" s="207">
        <f>AVERAGE(AU109,AV109,AW109,AX109,AY109,AZ109,BA109,BB109,BC109,BD109,BE109,BF109)</f>
        <v/>
      </c>
      <c r="BI109" s="208">
        <f>SUMIFS(領用表!$L:$L,領用表!$E:$E,$B109,領用表!$B:$B,BI$2&amp;$BI$1)</f>
        <v/>
      </c>
      <c r="BJ109" s="208">
        <f>SUMIFS(領用表!$L:$L,領用表!$E:$E,$B109,領用表!$B:$B,BJ$2&amp;$BI$1)</f>
        <v/>
      </c>
      <c r="BK109" s="208">
        <f>SUMIFS(領用表!$L:$L,領用表!$E:$E,$B109,領用表!$B:$B,BK$2&amp;$BI$1)</f>
        <v/>
      </c>
      <c r="BL109" s="208">
        <f>SUMIFS(領用表!$L:$L,領用表!$E:$E,$B109,領用表!$B:$B,BL$2&amp;$BI$1)</f>
        <v/>
      </c>
      <c r="BM109" s="208">
        <f>SUMIFS(領用表!$L:$L,領用表!$E:$E,$B109,領用表!$B:$B,BM$2&amp;$BI$1)</f>
        <v/>
      </c>
      <c r="BN109" s="208" t="n">
        <v>7</v>
      </c>
      <c r="BO109" s="208">
        <f>SUMIFS(領用表!$L:$L,領用表!$E:$E,$B109,領用表!$B:$B,BO$2&amp;$BI$1)</f>
        <v/>
      </c>
      <c r="BP109" s="208">
        <f>SUMIFS(領用表!$L:$L,領用表!$E:$E,$B109,領用表!$B:$B,BP$2&amp;$BI$1)</f>
        <v/>
      </c>
      <c r="BQ109" s="208">
        <f>SUMIFS(領用表!$L:$L,領用表!$E:$E,$B109,領用表!$B:$B,BQ$2&amp;$BI$1)</f>
        <v/>
      </c>
      <c r="BR109" s="208">
        <f>SUMIFS(領用表!$L:$L,領用表!$E:$E,$B109,領用表!$B:$B,BR$2&amp;$BI$1)</f>
        <v/>
      </c>
      <c r="BS109" s="208">
        <f>SUMIFS(領用表!$L:$L,領用表!$E:$E,$B109,領用表!$B:$B,BS$2&amp;$BI$1)</f>
        <v/>
      </c>
      <c r="BT109" s="208">
        <f>SUMIFS(領用表!$L:$L,領用表!$E:$E,$B109,領用表!$B:$B,BT$2&amp;$BI$1)</f>
        <v/>
      </c>
      <c r="BU109" s="208">
        <f>SUM(BI109,BJ109,BK109,BL109,BM109,BN109)</f>
        <v/>
      </c>
      <c r="BV109" s="208">
        <f>AVERAGE(BI109,BJ109,BK109,BL109,BM109,BN109)</f>
        <v/>
      </c>
      <c r="BW109" s="208">
        <f>SUMIF(Summary!B:B,B109,Summary!DZ:DZ)</f>
        <v/>
      </c>
      <c r="BX109" s="384" t="n"/>
      <c r="BY109" s="340" t="n"/>
      <c r="BZ109" s="341" t="inlineStr">
        <is>
          <t>100-10/22</t>
        </is>
      </c>
      <c r="CA109" s="340" t="inlineStr">
        <is>
          <t>200-10/22</t>
        </is>
      </c>
      <c r="CB109" s="136" t="n"/>
      <c r="CC109" s="136" t="n"/>
      <c r="CE109" s="213" t="n"/>
    </row>
    <row r="110" ht="15.75" customFormat="1" customHeight="1" s="118">
      <c r="A110" s="136" t="n"/>
      <c r="B110" s="386" t="n">
        <v>6120021</v>
      </c>
      <c r="C110" s="136" t="inlineStr">
        <is>
          <t>(Vit C)(抗壞血酸/諾貝爾)20ml</t>
        </is>
      </c>
      <c r="D110" s="285" t="n"/>
      <c r="E110" s="198" t="n"/>
      <c r="F110" s="349" t="n">
        <v>37</v>
      </c>
      <c r="G110" s="349" t="n"/>
      <c r="H110" s="349" t="n"/>
      <c r="I110" s="349" t="n"/>
      <c r="J110" s="349" t="n"/>
      <c r="K110" s="349" t="n"/>
      <c r="L110" s="349" t="n"/>
      <c r="M110" s="283" t="n"/>
      <c r="N110" s="283" t="n"/>
      <c r="O110" s="283" t="n"/>
      <c r="P110" s="283" t="n"/>
      <c r="Q110" s="283" t="n"/>
      <c r="R110" s="283" t="n"/>
      <c r="S110" s="283" t="n"/>
      <c r="T110" s="283" t="n"/>
      <c r="U110" s="283" t="n"/>
      <c r="V110" s="283" t="n"/>
      <c r="W110" s="283" t="n"/>
      <c r="X110" s="283" t="n"/>
      <c r="Y110" s="283" t="n"/>
      <c r="Z110" s="283" t="n"/>
      <c r="AA110" s="283" t="n"/>
      <c r="AB110" s="283" t="n"/>
      <c r="AC110" s="283" t="n"/>
      <c r="AD110" s="283" t="n"/>
      <c r="AE110" s="283" t="n"/>
      <c r="AF110" s="283" t="n"/>
      <c r="AG110" s="201" t="n"/>
      <c r="AH110" s="201" t="n"/>
      <c r="AI110" s="201" t="n"/>
      <c r="AJ110" s="201" t="n"/>
      <c r="AK110" s="201" t="n"/>
      <c r="AL110" s="201" t="n"/>
      <c r="AM110" s="201" t="n"/>
      <c r="AN110" s="201" t="n"/>
      <c r="AO110" s="201" t="n"/>
      <c r="AP110" s="201" t="n"/>
      <c r="AQ110" s="201" t="n"/>
      <c r="AR110" s="201" t="n"/>
      <c r="AS110" s="283" t="n"/>
      <c r="AT110" s="286" t="n"/>
      <c r="AU110" s="201" t="n"/>
      <c r="AV110" s="201" t="n"/>
      <c r="AW110" s="201" t="n"/>
      <c r="AX110" s="201" t="n"/>
      <c r="AY110" s="201" t="n"/>
      <c r="AZ110" s="203">
        <f>SUMIFS(領用表!$L:$L,領用表!$E:$E,$B110,領用表!$B:$B,AZ$2&amp;$BI$1)</f>
        <v/>
      </c>
      <c r="BA110" s="203">
        <f>SUMIFS(領用表!$L:$L,領用表!$E:$E,$B110,領用表!$B:$B,BA$2&amp;$BI$1)</f>
        <v/>
      </c>
      <c r="BB110" s="203">
        <f>SUMIFS(領用表!$L:$L,領用表!$E:$E,$B110,領用表!$B:$B,BB$2&amp;$BI$1)</f>
        <v/>
      </c>
      <c r="BC110" s="203">
        <f>SUMIFS(領用表!$L:$L,領用表!$E:$E,$B110,領用表!$B:$B,BC$2&amp;$BI$1)</f>
        <v/>
      </c>
      <c r="BD110" s="208">
        <f>SUMIFS(領用表!$L:$L,領用表!$E:$E,$B110,領用表!$B:$B,BD$2&amp;$BI$1)</f>
        <v/>
      </c>
      <c r="BE110" s="208">
        <f>SUMIFS(領用表!$L:$L,領用表!$E:$E,$B110,領用表!$B:$B,BE$2&amp;$BI$1)</f>
        <v/>
      </c>
      <c r="BF110" s="208">
        <f>SUMIFS(領用表!$L:$L,領用表!$E:$E,$B110,領用表!$B:$B,BF$2&amp;$BI$1)</f>
        <v/>
      </c>
      <c r="BG110" s="207">
        <f>SUM(AU110,AV110,AW110,AX110,AY110,AZ110,BA110,BB110,BC110,BD110,BE110,BF110)</f>
        <v/>
      </c>
      <c r="BH110" s="207">
        <f>AVERAGE(AU110,AV110,AW110,AX110,AY110,AZ110,BA110,BB110,BC110,BD110,BE110,BF110)</f>
        <v/>
      </c>
      <c r="BI110" s="208">
        <f>SUMIFS(領用表!$L:$L,領用表!$E:$E,$B110,領用表!$B:$B,BI$2&amp;$BI$1)</f>
        <v/>
      </c>
      <c r="BJ110" s="208">
        <f>SUMIFS(領用表!$L:$L,領用表!$E:$E,$B110,領用表!$B:$B,BJ$2&amp;$BI$1)</f>
        <v/>
      </c>
      <c r="BK110" s="208">
        <f>SUMIFS(領用表!$L:$L,領用表!$E:$E,$B110,領用表!$B:$B,BK$2&amp;$BI$1)</f>
        <v/>
      </c>
      <c r="BL110" s="208">
        <f>SUMIFS(領用表!$L:$L,領用表!$E:$E,$B110,領用表!$B:$B,BL$2&amp;$BI$1)</f>
        <v/>
      </c>
      <c r="BM110" s="208">
        <f>SUMIFS(領用表!$L:$L,領用表!$E:$E,$B110,領用表!$B:$B,BM$2&amp;$BI$1)</f>
        <v/>
      </c>
      <c r="BN110" s="208" t="n">
        <v>46</v>
      </c>
      <c r="BO110" s="208">
        <f>SUMIFS(領用表!$L:$L,領用表!$E:$E,$B110,領用表!$B:$B,BO$2&amp;$BI$1)</f>
        <v/>
      </c>
      <c r="BP110" s="208">
        <f>SUMIFS(領用表!$L:$L,領用表!$E:$E,$B110,領用表!$B:$B,BP$2&amp;$BI$1)</f>
        <v/>
      </c>
      <c r="BQ110" s="208">
        <f>SUMIFS(領用表!$L:$L,領用表!$E:$E,$B110,領用表!$B:$B,BQ$2&amp;$BI$1)</f>
        <v/>
      </c>
      <c r="BR110" s="208">
        <f>SUMIFS(領用表!$L:$L,領用表!$E:$E,$B110,領用表!$B:$B,BR$2&amp;$BI$1)</f>
        <v/>
      </c>
      <c r="BS110" s="208">
        <f>SUMIFS(領用表!$L:$L,領用表!$E:$E,$B110,領用表!$B:$B,BS$2&amp;$BI$1)</f>
        <v/>
      </c>
      <c r="BT110" s="208">
        <f>SUMIFS(領用表!$L:$L,領用表!$E:$E,$B110,領用表!$B:$B,BT$2&amp;$BI$1)</f>
        <v/>
      </c>
      <c r="BU110" s="208">
        <f>SUM(BI110,BJ110,BK110,BL110,BM110,BN110)</f>
        <v/>
      </c>
      <c r="BV110" s="208">
        <f>AVERAGE(BI110,BJ110,BK110,BL110,BM110,BN110)</f>
        <v/>
      </c>
      <c r="BW110" s="208">
        <f>SUMIF(Summary!B:B,B110,Summary!DZ:DZ)</f>
        <v/>
      </c>
      <c r="BX110" s="384" t="n"/>
      <c r="BY110" s="340" t="n"/>
      <c r="BZ110" s="341" t="n"/>
      <c r="CA110" s="340" t="n"/>
      <c r="CB110" s="136" t="n"/>
      <c r="CC110" s="136" t="n"/>
      <c r="CE110" s="213" t="n"/>
    </row>
    <row r="111" ht="15.75" customFormat="1" customHeight="1" s="118">
      <c r="A111" s="136" t="n"/>
      <c r="B111" s="118" t="n">
        <v>6120022</v>
      </c>
      <c r="C111" s="136" t="inlineStr">
        <is>
          <t>循必利</t>
        </is>
      </c>
      <c r="D111" s="307" t="n"/>
      <c r="E111" s="198" t="inlineStr">
        <is>
          <t>PCS</t>
        </is>
      </c>
      <c r="F111" s="349" t="n">
        <v>53</v>
      </c>
      <c r="G111" s="349" t="n"/>
      <c r="H111" s="349" t="n"/>
      <c r="I111" s="349" t="n"/>
      <c r="J111" s="349" t="n"/>
      <c r="K111" s="349" t="n"/>
      <c r="L111" s="349" t="n"/>
      <c r="M111" s="283" t="n"/>
      <c r="N111" s="283" t="n"/>
      <c r="O111" s="283" t="n"/>
      <c r="P111" s="283" t="n"/>
      <c r="Q111" s="283" t="n"/>
      <c r="R111" s="283" t="n"/>
      <c r="S111" s="283" t="n"/>
      <c r="T111" s="283" t="n"/>
      <c r="U111" s="283" t="n"/>
      <c r="V111" s="283" t="n"/>
      <c r="W111" s="283" t="n"/>
      <c r="X111" s="283" t="n"/>
      <c r="Y111" s="283" t="n"/>
      <c r="Z111" s="283" t="n"/>
      <c r="AA111" s="283" t="n"/>
      <c r="AB111" s="283" t="n"/>
      <c r="AC111" s="283" t="n"/>
      <c r="AD111" s="283" t="n"/>
      <c r="AE111" s="283" t="n"/>
      <c r="AF111" s="283" t="n"/>
      <c r="AG111" s="201" t="n"/>
      <c r="AH111" s="201" t="n"/>
      <c r="AI111" s="201" t="n"/>
      <c r="AJ111" s="201" t="n"/>
      <c r="AK111" s="201" t="n"/>
      <c r="AL111" s="201" t="n"/>
      <c r="AM111" s="201" t="n"/>
      <c r="AN111" s="201" t="n">
        <v>0</v>
      </c>
      <c r="AO111" s="201" t="n">
        <v>0</v>
      </c>
      <c r="AP111" s="201" t="n">
        <v>0</v>
      </c>
      <c r="AQ111" s="201" t="n">
        <v>0</v>
      </c>
      <c r="AR111" s="201" t="n">
        <v>0</v>
      </c>
      <c r="AS111" s="283">
        <f>SUM(AG111:AR111)</f>
        <v/>
      </c>
      <c r="AT111" s="286">
        <f>AS111/12</f>
        <v/>
      </c>
      <c r="AU111" s="201" t="n">
        <v>0</v>
      </c>
      <c r="AV111" s="201" t="n">
        <v>0</v>
      </c>
      <c r="AW111" s="201" t="n">
        <v>2</v>
      </c>
      <c r="AX111" s="201" t="n">
        <v>10</v>
      </c>
      <c r="AY111" s="201" t="n">
        <v>0</v>
      </c>
      <c r="AZ111" s="203">
        <f>SUMIFS(領用表!$L:$L,領用表!$E:$E,$B111,領用表!$B:$B,AZ$2&amp;$BI$1)</f>
        <v/>
      </c>
      <c r="BA111" s="203">
        <f>SUMIFS(領用表!$L:$L,領用表!$E:$E,$B111,領用表!$B:$B,BA$2&amp;$BI$1)</f>
        <v/>
      </c>
      <c r="BB111" s="203">
        <f>SUMIFS(領用表!$L:$L,領用表!$E:$E,$B111,領用表!$B:$B,BB$2&amp;$BI$1)</f>
        <v/>
      </c>
      <c r="BC111" s="203">
        <f>SUMIFS(領用表!$L:$L,領用表!$E:$E,$B111,領用表!$B:$B,BC$2&amp;$BI$1)</f>
        <v/>
      </c>
      <c r="BD111" s="208">
        <f>SUMIFS(領用表!$L:$L,領用表!$E:$E,$B111,領用表!$B:$B,BD$2&amp;$BI$1)</f>
        <v/>
      </c>
      <c r="BE111" s="208">
        <f>SUMIFS(領用表!$L:$L,領用表!$E:$E,$B111,領用表!$B:$B,BE$2&amp;$BI$1)</f>
        <v/>
      </c>
      <c r="BF111" s="208">
        <f>SUMIFS(領用表!$L:$L,領用表!$E:$E,$B111,領用表!$B:$B,BF$2&amp;$BI$1)</f>
        <v/>
      </c>
      <c r="BG111" s="207">
        <f>SUM(AU111,AV111,AW111,AX111,AY111,AZ111,BA111,BB111,BC111,BD111,BE111,BF111)</f>
        <v/>
      </c>
      <c r="BH111" s="207">
        <f>AVERAGE(AU111,AV111,AW111,AX111,AY111,AZ111,BA111,BB111,BC111,BD111,BE111,BF111)</f>
        <v/>
      </c>
      <c r="BI111" s="208">
        <f>SUMIFS(領用表!$L:$L,領用表!$E:$E,$B111,領用表!$B:$B,BI$2&amp;$BI$1)</f>
        <v/>
      </c>
      <c r="BJ111" s="208">
        <f>SUMIFS(領用表!$L:$L,領用表!$E:$E,$B111,領用表!$B:$B,BJ$2&amp;$BI$1)</f>
        <v/>
      </c>
      <c r="BK111" s="208">
        <f>SUMIFS(領用表!$L:$L,領用表!$E:$E,$B111,領用表!$B:$B,BK$2&amp;$BI$1)</f>
        <v/>
      </c>
      <c r="BL111" s="208">
        <f>SUMIFS(領用表!$L:$L,領用表!$E:$E,$B111,領用表!$B:$B,BL$2&amp;$BI$1)</f>
        <v/>
      </c>
      <c r="BM111" s="208">
        <f>SUMIFS(領用表!$L:$L,領用表!$E:$E,$B111,領用表!$B:$B,BM$2&amp;$BI$1)</f>
        <v/>
      </c>
      <c r="BN111" s="208" t="n"/>
      <c r="BO111" s="208">
        <f>SUMIFS(領用表!$L:$L,領用表!$E:$E,$B111,領用表!$B:$B,BO$2&amp;$BI$1)</f>
        <v/>
      </c>
      <c r="BP111" s="208">
        <f>SUMIFS(領用表!$L:$L,領用表!$E:$E,$B111,領用表!$B:$B,BP$2&amp;$BI$1)</f>
        <v/>
      </c>
      <c r="BQ111" s="208">
        <f>SUMIFS(領用表!$L:$L,領用表!$E:$E,$B111,領用表!$B:$B,BQ$2&amp;$BI$1)</f>
        <v/>
      </c>
      <c r="BR111" s="208">
        <f>SUMIFS(領用表!$L:$L,領用表!$E:$E,$B111,領用表!$B:$B,BR$2&amp;$BI$1)</f>
        <v/>
      </c>
      <c r="BS111" s="208">
        <f>SUMIFS(領用表!$L:$L,領用表!$E:$E,$B111,領用表!$B:$B,BS$2&amp;$BI$1)</f>
        <v/>
      </c>
      <c r="BT111" s="208">
        <f>SUMIFS(領用表!$L:$L,領用表!$E:$E,$B111,領用表!$B:$B,BT$2&amp;$BI$1)</f>
        <v/>
      </c>
      <c r="BU111" s="208">
        <f>SUM(BI111,BJ111,BK111,BL111,BM111,BN111)</f>
        <v/>
      </c>
      <c r="BV111" s="208">
        <f>AVERAGE(BI111,BJ111,BK111,BL111,BM111,BN111)</f>
        <v/>
      </c>
      <c r="BW111" s="208">
        <f>SUMIF(Summary!B:B,B111,Summary!DZ:DZ)</f>
        <v/>
      </c>
      <c r="BX111" s="384" t="n"/>
      <c r="BY111" s="340" t="n"/>
      <c r="BZ111" s="340" t="n"/>
      <c r="CA111" s="340" t="n"/>
      <c r="CB111" s="136" t="n"/>
      <c r="CC111" s="289" t="n"/>
    </row>
    <row r="112" ht="15.75" customFormat="1" customHeight="1" s="118">
      <c r="A112" s="136" t="n"/>
      <c r="B112" s="118" t="n">
        <v>6120023</v>
      </c>
      <c r="C112" s="136" t="inlineStr">
        <is>
          <t>利卡因注射液20毫克/毫升</t>
        </is>
      </c>
      <c r="D112" s="285" t="n"/>
      <c r="E112" s="198" t="inlineStr">
        <is>
          <t>PCS</t>
        </is>
      </c>
      <c r="F112" s="349" t="n">
        <v>55</v>
      </c>
      <c r="G112" s="349" t="n"/>
      <c r="H112" s="349" t="n"/>
      <c r="I112" s="349" t="n"/>
      <c r="J112" s="349" t="n"/>
      <c r="K112" s="349" t="n"/>
      <c r="L112" s="349" t="n"/>
      <c r="M112" s="283" t="n"/>
      <c r="N112" s="283" t="n"/>
      <c r="O112" s="283" t="n"/>
      <c r="P112" s="283" t="n"/>
      <c r="Q112" s="283" t="n"/>
      <c r="R112" s="283" t="n"/>
      <c r="S112" s="283" t="n"/>
      <c r="T112" s="283" t="n"/>
      <c r="U112" s="283" t="n"/>
      <c r="V112" s="283" t="n"/>
      <c r="W112" s="283" t="n"/>
      <c r="X112" s="283" t="n"/>
      <c r="Y112" s="283" t="n"/>
      <c r="Z112" s="283" t="n"/>
      <c r="AA112" s="283" t="n"/>
      <c r="AB112" s="283" t="n"/>
      <c r="AC112" s="283" t="n"/>
      <c r="AD112" s="283" t="n"/>
      <c r="AE112" s="283" t="n"/>
      <c r="AF112" s="283" t="n"/>
      <c r="AG112" s="201" t="n"/>
      <c r="AH112" s="201" t="n"/>
      <c r="AI112" s="201" t="n"/>
      <c r="AJ112" s="201" t="n"/>
      <c r="AK112" s="201" t="n"/>
      <c r="AL112" s="201" t="n"/>
      <c r="AM112" s="201" t="n"/>
      <c r="AN112" s="201" t="n"/>
      <c r="AO112" s="201" t="n"/>
      <c r="AP112" s="201" t="n"/>
      <c r="AQ112" s="201" t="n"/>
      <c r="AR112" s="201" t="n"/>
      <c r="AS112" s="283">
        <f>SUM(AG112:AR112)</f>
        <v/>
      </c>
      <c r="AT112" s="286">
        <f>AS112/12</f>
        <v/>
      </c>
      <c r="AU112" s="201" t="n">
        <v>0</v>
      </c>
      <c r="AV112" s="201" t="n">
        <v>0</v>
      </c>
      <c r="AW112" s="201" t="n">
        <v>2</v>
      </c>
      <c r="AX112" s="201" t="n">
        <v>3</v>
      </c>
      <c r="AY112" s="201" t="n">
        <v>6</v>
      </c>
      <c r="AZ112" s="203">
        <f>SUMIFS(領用表!$L:$L,領用表!$E:$E,$B112,領用表!$B:$B,AZ$2&amp;$BI$1)</f>
        <v/>
      </c>
      <c r="BA112" s="203">
        <f>SUMIFS(領用表!$L:$L,領用表!$E:$E,$B112,領用表!$B:$B,BA$2&amp;$BI$1)</f>
        <v/>
      </c>
      <c r="BB112" s="203">
        <f>SUMIFS(領用表!$L:$L,領用表!$E:$E,$B112,領用表!$B:$B,BB$2&amp;$BI$1)</f>
        <v/>
      </c>
      <c r="BC112" s="203">
        <f>SUMIFS(領用表!$L:$L,領用表!$E:$E,$B112,領用表!$B:$B,BC$2&amp;$BI$1)</f>
        <v/>
      </c>
      <c r="BD112" s="208">
        <f>SUMIFS(領用表!$L:$L,領用表!$E:$E,$B112,領用表!$B:$B,BD$2&amp;$BI$1)</f>
        <v/>
      </c>
      <c r="BE112" s="208">
        <f>SUMIFS(領用表!$L:$L,領用表!$E:$E,$B112,領用表!$B:$B,BE$2&amp;$BI$1)</f>
        <v/>
      </c>
      <c r="BF112" s="208">
        <f>SUMIFS(領用表!$L:$L,領用表!$E:$E,$B112,領用表!$B:$B,BF$2&amp;$BI$1)</f>
        <v/>
      </c>
      <c r="BG112" s="207">
        <f>SUM(AU112,AV112,AW112,AX112,AY112,AZ112,BA112,BB112,BC112,BD112,BE112,BF112)</f>
        <v/>
      </c>
      <c r="BH112" s="207">
        <f>AVERAGE(AU112,AV112,AW112,AX112,AY112,AZ112,BA112,BB112,BC112,BD112,BE112,BF112)</f>
        <v/>
      </c>
      <c r="BI112" s="208">
        <f>SUMIFS(領用表!$L:$L,領用表!$E:$E,$B112,領用表!$B:$B,BI$2&amp;$BI$1)</f>
        <v/>
      </c>
      <c r="BJ112" s="208">
        <f>SUMIFS(領用表!$L:$L,領用表!$E:$E,$B112,領用表!$B:$B,BJ$2&amp;$BI$1)</f>
        <v/>
      </c>
      <c r="BK112" s="208">
        <f>SUMIFS(領用表!$L:$L,領用表!$E:$E,$B112,領用表!$B:$B,BK$2&amp;$BI$1)</f>
        <v/>
      </c>
      <c r="BL112" s="208">
        <f>SUMIFS(領用表!$L:$L,領用表!$E:$E,$B112,領用表!$B:$B,BL$2&amp;$BI$1)</f>
        <v/>
      </c>
      <c r="BM112" s="208">
        <f>SUMIFS(領用表!$L:$L,領用表!$E:$E,$B112,領用表!$B:$B,BM$2&amp;$BI$1)</f>
        <v/>
      </c>
      <c r="BN112" s="208" t="n"/>
      <c r="BO112" s="208">
        <f>SUMIFS(領用表!$L:$L,領用表!$E:$E,$B112,領用表!$B:$B,BO$2&amp;$BI$1)</f>
        <v/>
      </c>
      <c r="BP112" s="208">
        <f>SUMIFS(領用表!$L:$L,領用表!$E:$E,$B112,領用表!$B:$B,BP$2&amp;$BI$1)</f>
        <v/>
      </c>
      <c r="BQ112" s="208">
        <f>SUMIFS(領用表!$L:$L,領用表!$E:$E,$B112,領用表!$B:$B,BQ$2&amp;$BI$1)</f>
        <v/>
      </c>
      <c r="BR112" s="208">
        <f>SUMIFS(領用表!$L:$L,領用表!$E:$E,$B112,領用表!$B:$B,BR$2&amp;$BI$1)</f>
        <v/>
      </c>
      <c r="BS112" s="208">
        <f>SUMIFS(領用表!$L:$L,領用表!$E:$E,$B112,領用表!$B:$B,BS$2&amp;$BI$1)</f>
        <v/>
      </c>
      <c r="BT112" s="208">
        <f>SUMIFS(領用表!$L:$L,領用表!$E:$E,$B112,領用表!$B:$B,BT$2&amp;$BI$1)</f>
        <v/>
      </c>
      <c r="BU112" s="208">
        <f>SUM(BI112,BJ112,BK112,BL112,BM112,BN112)</f>
        <v/>
      </c>
      <c r="BV112" s="208">
        <f>AVERAGE(BI112,BJ112,BK112,BL112,BM112,BN112)</f>
        <v/>
      </c>
      <c r="BW112" s="208">
        <f>SUMIF(Summary!B:B,B112,Summary!DZ:DZ)</f>
        <v/>
      </c>
      <c r="BX112" s="384" t="n"/>
      <c r="BY112" s="340" t="n"/>
      <c r="BZ112" s="340" t="n"/>
      <c r="CA112" s="340" t="n"/>
      <c r="CB112" s="136" t="n"/>
      <c r="CC112" s="136" t="n"/>
      <c r="CE112" s="213" t="n"/>
    </row>
    <row r="113" ht="15.75" customFormat="1" customHeight="1" s="118">
      <c r="A113" s="136" t="n"/>
      <c r="B113" s="118" t="n">
        <v>6120024</v>
      </c>
      <c r="C113" s="136" t="inlineStr">
        <is>
          <t>利都卡因 注射液2% 20ml</t>
        </is>
      </c>
      <c r="D113" s="285" t="n"/>
      <c r="E113" s="198" t="inlineStr">
        <is>
          <t>PCS</t>
        </is>
      </c>
      <c r="F113" s="349" t="n"/>
      <c r="G113" s="349" t="n"/>
      <c r="H113" s="349" t="n"/>
      <c r="I113" s="349" t="n"/>
      <c r="J113" s="349" t="n"/>
      <c r="K113" s="349" t="n"/>
      <c r="L113" s="349" t="n"/>
      <c r="M113" s="283" t="n"/>
      <c r="N113" s="283" t="n"/>
      <c r="O113" s="283" t="n"/>
      <c r="P113" s="283" t="n"/>
      <c r="Q113" s="283" t="n"/>
      <c r="R113" s="283" t="n"/>
      <c r="S113" s="283" t="n"/>
      <c r="T113" s="283" t="n"/>
      <c r="U113" s="283" t="n"/>
      <c r="V113" s="283" t="n"/>
      <c r="W113" s="283" t="n"/>
      <c r="X113" s="283" t="n"/>
      <c r="Y113" s="283" t="n"/>
      <c r="Z113" s="283" t="n"/>
      <c r="AA113" s="283" t="n"/>
      <c r="AB113" s="283" t="n"/>
      <c r="AC113" s="283" t="n"/>
      <c r="AD113" s="283" t="n"/>
      <c r="AE113" s="283" t="n"/>
      <c r="AF113" s="283" t="n"/>
      <c r="AG113" s="201" t="n"/>
      <c r="AH113" s="201" t="n"/>
      <c r="AI113" s="201" t="n"/>
      <c r="AJ113" s="201" t="n"/>
      <c r="AK113" s="201" t="n"/>
      <c r="AL113" s="201" t="n"/>
      <c r="AM113" s="201" t="n"/>
      <c r="AN113" s="201" t="n"/>
      <c r="AO113" s="201" t="n"/>
      <c r="AP113" s="201" t="n"/>
      <c r="AQ113" s="201" t="n"/>
      <c r="AR113" s="201" t="n"/>
      <c r="AS113" s="283">
        <f>SUM(AG113:AR113)</f>
        <v/>
      </c>
      <c r="AT113" s="286">
        <f>AS113/12</f>
        <v/>
      </c>
      <c r="AU113" s="201" t="n">
        <v>0</v>
      </c>
      <c r="AV113" s="201" t="n">
        <v>0</v>
      </c>
      <c r="AW113" s="201" t="n">
        <v>2</v>
      </c>
      <c r="AX113" s="201" t="n">
        <v>4</v>
      </c>
      <c r="AY113" s="201" t="n">
        <v>2</v>
      </c>
      <c r="AZ113" s="203">
        <f>SUMIFS(領用表!$L:$L,領用表!$E:$E,$B113,領用表!$B:$B,AZ$2&amp;$BI$1)</f>
        <v/>
      </c>
      <c r="BA113" s="203">
        <f>SUMIFS(領用表!$L:$L,領用表!$E:$E,$B113,領用表!$B:$B,BA$2&amp;$BI$1)</f>
        <v/>
      </c>
      <c r="BB113" s="203">
        <f>SUMIFS(領用表!$L:$L,領用表!$E:$E,$B113,領用表!$B:$B,BB$2&amp;$BI$1)</f>
        <v/>
      </c>
      <c r="BC113" s="203">
        <f>SUMIFS(領用表!$L:$L,領用表!$E:$E,$B113,領用表!$B:$B,BC$2&amp;$BI$1)</f>
        <v/>
      </c>
      <c r="BD113" s="208">
        <f>SUMIFS(領用表!$L:$L,領用表!$E:$E,$B113,領用表!$B:$B,BD$2&amp;$BI$1)</f>
        <v/>
      </c>
      <c r="BE113" s="208">
        <f>SUMIFS(領用表!$L:$L,領用表!$E:$E,$B113,領用表!$B:$B,BE$2&amp;$BI$1)</f>
        <v/>
      </c>
      <c r="BF113" s="208">
        <f>SUMIFS(領用表!$L:$L,領用表!$E:$E,$B113,領用表!$B:$B,BF$2&amp;$BI$1)</f>
        <v/>
      </c>
      <c r="BG113" s="207">
        <f>SUM(AU113,AV113,AW113,AX113,AY113,AZ113,BA113,BB113,BC113,BD113,BE113,BF113)</f>
        <v/>
      </c>
      <c r="BH113" s="207">
        <f>AVERAGE(AU113,AV113,AW113,AX113,AY113,AZ113,BA113,BB113,BC113,BD113,BE113,BF113)</f>
        <v/>
      </c>
      <c r="BI113" s="208">
        <f>SUMIFS(領用表!$L:$L,領用表!$E:$E,$B113,領用表!$B:$B,BI$2&amp;$BI$1)</f>
        <v/>
      </c>
      <c r="BJ113" s="208">
        <f>SUMIFS(領用表!$L:$L,領用表!$E:$E,$B113,領用表!$B:$B,BJ$2&amp;$BI$1)</f>
        <v/>
      </c>
      <c r="BK113" s="208">
        <f>SUMIFS(領用表!$L:$L,領用表!$E:$E,$B113,領用表!$B:$B,BK$2&amp;$BI$1)</f>
        <v/>
      </c>
      <c r="BL113" s="208">
        <f>SUMIFS(領用表!$L:$L,領用表!$E:$E,$B113,領用表!$B:$B,BL$2&amp;$BI$1)</f>
        <v/>
      </c>
      <c r="BM113" s="208">
        <f>SUMIFS(領用表!$L:$L,領用表!$E:$E,$B113,領用表!$B:$B,BM$2&amp;$BI$1)</f>
        <v/>
      </c>
      <c r="BN113" s="208" t="n"/>
      <c r="BO113" s="208">
        <f>SUMIFS(領用表!$L:$L,領用表!$E:$E,$B113,領用表!$B:$B,BO$2&amp;$BI$1)</f>
        <v/>
      </c>
      <c r="BP113" s="208">
        <f>SUMIFS(領用表!$L:$L,領用表!$E:$E,$B113,領用表!$B:$B,BP$2&amp;$BI$1)</f>
        <v/>
      </c>
      <c r="BQ113" s="208">
        <f>SUMIFS(領用表!$L:$L,領用表!$E:$E,$B113,領用表!$B:$B,BQ$2&amp;$BI$1)</f>
        <v/>
      </c>
      <c r="BR113" s="208">
        <f>SUMIFS(領用表!$L:$L,領用表!$E:$E,$B113,領用表!$B:$B,BR$2&amp;$BI$1)</f>
        <v/>
      </c>
      <c r="BS113" s="208">
        <f>SUMIFS(領用表!$L:$L,領用表!$E:$E,$B113,領用表!$B:$B,BS$2&amp;$BI$1)</f>
        <v/>
      </c>
      <c r="BT113" s="208">
        <f>SUMIFS(領用表!$L:$L,領用表!$E:$E,$B113,領用表!$B:$B,BT$2&amp;$BI$1)</f>
        <v/>
      </c>
      <c r="BU113" s="208">
        <f>SUM(BI113,BJ113,BK113,BL113,BM113,BN113)</f>
        <v/>
      </c>
      <c r="BV113" s="208">
        <f>AVERAGE(BI113,BJ113,BK113,BL113,BM113,BN113)</f>
        <v/>
      </c>
      <c r="BW113" s="208">
        <f>SUMIF(Summary!B:B,B113,Summary!DZ:DZ)</f>
        <v/>
      </c>
      <c r="BX113" s="258" t="n"/>
      <c r="BY113" s="340" t="n"/>
      <c r="BZ113" s="340" t="n"/>
      <c r="CA113" s="340" t="n"/>
      <c r="CB113" s="136" t="n"/>
      <c r="CC113" s="136" t="n"/>
      <c r="CE113" s="213" t="n"/>
    </row>
    <row r="114" ht="15.75" customFormat="1" customHeight="1" s="118">
      <c r="A114" s="136" t="n"/>
      <c r="B114" s="118" t="n">
        <v>6120025</v>
      </c>
      <c r="C114" s="136" t="inlineStr">
        <is>
          <t>利度膚寧(含epinephrine) 20ml</t>
        </is>
      </c>
      <c r="D114" s="285" t="n"/>
      <c r="E114" s="198" t="inlineStr">
        <is>
          <t>PCS</t>
        </is>
      </c>
      <c r="F114" s="349" t="n">
        <v>32</v>
      </c>
      <c r="G114" s="349" t="n"/>
      <c r="H114" s="349" t="n"/>
      <c r="I114" s="349" t="n"/>
      <c r="J114" s="349" t="n"/>
      <c r="K114" s="349" t="n"/>
      <c r="L114" s="349" t="n"/>
      <c r="M114" s="283" t="n"/>
      <c r="N114" s="283" t="n"/>
      <c r="O114" s="283" t="n"/>
      <c r="P114" s="283" t="n"/>
      <c r="Q114" s="283" t="n"/>
      <c r="R114" s="283" t="n"/>
      <c r="S114" s="283" t="n"/>
      <c r="T114" s="283" t="n"/>
      <c r="U114" s="283" t="n"/>
      <c r="V114" s="283" t="n"/>
      <c r="W114" s="283" t="n"/>
      <c r="X114" s="283" t="n"/>
      <c r="Y114" s="283" t="n"/>
      <c r="Z114" s="283" t="n"/>
      <c r="AA114" s="283" t="n"/>
      <c r="AB114" s="283" t="n"/>
      <c r="AC114" s="283" t="n"/>
      <c r="AD114" s="283" t="n"/>
      <c r="AE114" s="283" t="n"/>
      <c r="AF114" s="283" t="n"/>
      <c r="AG114" s="201" t="n"/>
      <c r="AH114" s="201" t="n"/>
      <c r="AI114" s="201" t="n"/>
      <c r="AJ114" s="201" t="n"/>
      <c r="AK114" s="201" t="n"/>
      <c r="AL114" s="201" t="n"/>
      <c r="AM114" s="201" t="n"/>
      <c r="AN114" s="201" t="n"/>
      <c r="AO114" s="201" t="n"/>
      <c r="AP114" s="201" t="n"/>
      <c r="AQ114" s="201" t="n"/>
      <c r="AR114" s="201" t="n"/>
      <c r="AS114" s="283">
        <f>SUM(AG114:AR114)</f>
        <v/>
      </c>
      <c r="AT114" s="286">
        <f>AS114/12</f>
        <v/>
      </c>
      <c r="AU114" s="201" t="n">
        <v>0</v>
      </c>
      <c r="AV114" s="201" t="n">
        <v>0</v>
      </c>
      <c r="AW114" s="201" t="n">
        <v>0</v>
      </c>
      <c r="AX114" s="201" t="n">
        <v>1</v>
      </c>
      <c r="AY114" s="201" t="n">
        <v>1</v>
      </c>
      <c r="AZ114" s="203">
        <f>SUMIFS(領用表!$L:$L,領用表!$E:$E,$B114,領用表!$B:$B,AZ$2&amp;$BI$1)</f>
        <v/>
      </c>
      <c r="BA114" s="203">
        <f>SUMIFS(領用表!$L:$L,領用表!$E:$E,$B114,領用表!$B:$B,BA$2&amp;$BI$1)</f>
        <v/>
      </c>
      <c r="BB114" s="203">
        <f>SUMIFS(領用表!$L:$L,領用表!$E:$E,$B114,領用表!$B:$B,BB$2&amp;$BI$1)</f>
        <v/>
      </c>
      <c r="BC114" s="203">
        <f>SUMIFS(領用表!$L:$L,領用表!$E:$E,$B114,領用表!$B:$B,BC$2&amp;$BI$1)</f>
        <v/>
      </c>
      <c r="BD114" s="208">
        <f>SUMIFS(領用表!$L:$L,領用表!$E:$E,$B114,領用表!$B:$B,BD$2&amp;$BI$1)</f>
        <v/>
      </c>
      <c r="BE114" s="208">
        <f>SUMIFS(領用表!$L:$L,領用表!$E:$E,$B114,領用表!$B:$B,BE$2&amp;$BI$1)</f>
        <v/>
      </c>
      <c r="BF114" s="208">
        <f>SUMIFS(領用表!$L:$L,領用表!$E:$E,$B114,領用表!$B:$B,BF$2&amp;$BI$1)</f>
        <v/>
      </c>
      <c r="BG114" s="207">
        <f>SUM(AU114,AV114,AW114,AX114,AY114,AZ114,BA114,BB114,BC114,BD114,BE114,BF114)</f>
        <v/>
      </c>
      <c r="BH114" s="207">
        <f>AVERAGE(AU114,AV114,AW114,AX114,AY114,AZ114,BA114,BB114,BC114,BD114,BE114,BF114)</f>
        <v/>
      </c>
      <c r="BI114" s="208">
        <f>SUMIFS(領用表!$L:$L,領用表!$E:$E,$B114,領用表!$B:$B,BI$2&amp;$BI$1)</f>
        <v/>
      </c>
      <c r="BJ114" s="208">
        <f>SUMIFS(領用表!$L:$L,領用表!$E:$E,$B114,領用表!$B:$B,BJ$2&amp;$BI$1)</f>
        <v/>
      </c>
      <c r="BK114" s="208">
        <f>SUMIFS(領用表!$L:$L,領用表!$E:$E,$B114,領用表!$B:$B,BK$2&amp;$BI$1)</f>
        <v/>
      </c>
      <c r="BL114" s="208">
        <f>SUMIFS(領用表!$L:$L,領用表!$E:$E,$B114,領用表!$B:$B,BL$2&amp;$BI$1)</f>
        <v/>
      </c>
      <c r="BM114" s="208">
        <f>SUMIFS(領用表!$L:$L,領用表!$E:$E,$B114,領用表!$B:$B,BM$2&amp;$BI$1)</f>
        <v/>
      </c>
      <c r="BN114" s="208" t="n"/>
      <c r="BO114" s="208">
        <f>SUMIFS(領用表!$L:$L,領用表!$E:$E,$B114,領用表!$B:$B,BO$2&amp;$BI$1)</f>
        <v/>
      </c>
      <c r="BP114" s="208">
        <f>SUMIFS(領用表!$L:$L,領用表!$E:$E,$B114,領用表!$B:$B,BP$2&amp;$BI$1)</f>
        <v/>
      </c>
      <c r="BQ114" s="208">
        <f>SUMIFS(領用表!$L:$L,領用表!$E:$E,$B114,領用表!$B:$B,BQ$2&amp;$BI$1)</f>
        <v/>
      </c>
      <c r="BR114" s="208">
        <f>SUMIFS(領用表!$L:$L,領用表!$E:$E,$B114,領用表!$B:$B,BR$2&amp;$BI$1)</f>
        <v/>
      </c>
      <c r="BS114" s="208">
        <f>SUMIFS(領用表!$L:$L,領用表!$E:$E,$B114,領用表!$B:$B,BS$2&amp;$BI$1)</f>
        <v/>
      </c>
      <c r="BT114" s="208">
        <f>SUMIFS(領用表!$L:$L,領用表!$E:$E,$B114,領用表!$B:$B,BT$2&amp;$BI$1)</f>
        <v/>
      </c>
      <c r="BU114" s="208">
        <f>SUM(BI114,BJ114,BK114,BL114,BM114,BN114)</f>
        <v/>
      </c>
      <c r="BV114" s="208">
        <f>AVERAGE(BI114,BJ114,BK114,BL114,BM114,BN114)</f>
        <v/>
      </c>
      <c r="BW114" s="208">
        <f>SUMIF(Summary!B:B,B114,Summary!DZ:DZ)</f>
        <v/>
      </c>
      <c r="BX114" s="258" t="n"/>
      <c r="BY114" s="340" t="n"/>
      <c r="BZ114" s="340" t="n"/>
      <c r="CA114" s="340" t="n"/>
      <c r="CB114" s="136" t="n"/>
      <c r="CC114" s="136" t="n"/>
      <c r="CE114" s="213" t="n"/>
    </row>
    <row r="115" ht="15.75" customFormat="1" customHeight="1" s="118">
      <c r="A115" s="136" t="n"/>
      <c r="B115" s="118" t="n">
        <v>6120027</v>
      </c>
      <c r="C115" s="136" t="inlineStr">
        <is>
          <t>硫皙酸</t>
        </is>
      </c>
      <c r="D115" s="307" t="n"/>
      <c r="E115" s="198" t="inlineStr">
        <is>
          <t>PCS</t>
        </is>
      </c>
      <c r="F115" s="349" t="n"/>
      <c r="G115" s="349" t="n"/>
      <c r="H115" s="349" t="n"/>
      <c r="I115" s="349" t="n"/>
      <c r="J115" s="349" t="n"/>
      <c r="K115" s="349" t="n"/>
      <c r="L115" s="349" t="n"/>
      <c r="M115" s="283" t="n"/>
      <c r="N115" s="283" t="n"/>
      <c r="O115" s="283" t="n"/>
      <c r="P115" s="283" t="n"/>
      <c r="Q115" s="283" t="n"/>
      <c r="R115" s="283" t="n"/>
      <c r="S115" s="283" t="n"/>
      <c r="T115" s="283" t="n"/>
      <c r="U115" s="283" t="n"/>
      <c r="V115" s="283" t="n"/>
      <c r="W115" s="283" t="n"/>
      <c r="X115" s="283" t="n"/>
      <c r="Y115" s="283" t="n"/>
      <c r="Z115" s="283" t="n"/>
      <c r="AA115" s="283" t="n"/>
      <c r="AB115" s="283" t="n"/>
      <c r="AC115" s="283" t="n"/>
      <c r="AD115" s="283" t="n"/>
      <c r="AE115" s="283" t="n"/>
      <c r="AF115" s="283" t="n"/>
      <c r="AG115" s="201" t="n"/>
      <c r="AH115" s="201" t="n"/>
      <c r="AI115" s="201" t="n"/>
      <c r="AJ115" s="201" t="n"/>
      <c r="AK115" s="201" t="n"/>
      <c r="AL115" s="201" t="n"/>
      <c r="AM115" s="201" t="n"/>
      <c r="AN115" s="201" t="n"/>
      <c r="AO115" s="201" t="n"/>
      <c r="AP115" s="201" t="n"/>
      <c r="AQ115" s="201" t="n"/>
      <c r="AR115" s="201" t="n">
        <v>0</v>
      </c>
      <c r="AS115" s="283">
        <f>SUM(AG115:AR115)</f>
        <v/>
      </c>
      <c r="AT115" s="286">
        <f>AS115/12</f>
        <v/>
      </c>
      <c r="AU115" s="201" t="n">
        <v>0</v>
      </c>
      <c r="AV115" s="201" t="n">
        <v>0</v>
      </c>
      <c r="AW115" s="201" t="n">
        <v>12</v>
      </c>
      <c r="AX115" s="201" t="n">
        <v>0</v>
      </c>
      <c r="AY115" s="201" t="n">
        <v>0</v>
      </c>
      <c r="AZ115" s="203">
        <f>SUMIFS(領用表!$L:$L,領用表!$E:$E,$B115,領用表!$B:$B,AZ$2&amp;$BI$1)</f>
        <v/>
      </c>
      <c r="BA115" s="203">
        <f>SUMIFS(領用表!$L:$L,領用表!$E:$E,$B115,領用表!$B:$B,BA$2&amp;$BI$1)</f>
        <v/>
      </c>
      <c r="BB115" s="203">
        <f>SUMIFS(領用表!$L:$L,領用表!$E:$E,$B115,領用表!$B:$B,BB$2&amp;$BI$1)</f>
        <v/>
      </c>
      <c r="BC115" s="203">
        <f>SUMIFS(領用表!$L:$L,領用表!$E:$E,$B115,領用表!$B:$B,BC$2&amp;$BI$1)</f>
        <v/>
      </c>
      <c r="BD115" s="208">
        <f>SUMIFS(領用表!$L:$L,領用表!$E:$E,$B115,領用表!$B:$B,BD$2&amp;$BI$1)</f>
        <v/>
      </c>
      <c r="BE115" s="208">
        <f>SUMIFS(領用表!$L:$L,領用表!$E:$E,$B115,領用表!$B:$B,BE$2&amp;$BI$1)</f>
        <v/>
      </c>
      <c r="BF115" s="208">
        <f>SUMIFS(領用表!$L:$L,領用表!$E:$E,$B115,領用表!$B:$B,BF$2&amp;$BI$1)</f>
        <v/>
      </c>
      <c r="BG115" s="207">
        <f>SUM(AU115,AV115,AW115,AX115,AY115,AZ115,BA115,BB115,BC115,BD115,BE115,BF115)</f>
        <v/>
      </c>
      <c r="BH115" s="207">
        <f>AVERAGE(AU115,AV115,AW115,AX115,AY115,AZ115,BA115,BB115,BC115,BD115,BE115,BF115)</f>
        <v/>
      </c>
      <c r="BI115" s="208">
        <f>SUMIFS(領用表!$L:$L,領用表!$E:$E,$B115,領用表!$B:$B,BI$2&amp;$BI$1)</f>
        <v/>
      </c>
      <c r="BJ115" s="208">
        <f>SUMIFS(領用表!$L:$L,領用表!$E:$E,$B115,領用表!$B:$B,BJ$2&amp;$BI$1)</f>
        <v/>
      </c>
      <c r="BK115" s="208">
        <f>SUMIFS(領用表!$L:$L,領用表!$E:$E,$B115,領用表!$B:$B,BK$2&amp;$BI$1)</f>
        <v/>
      </c>
      <c r="BL115" s="208">
        <f>SUMIFS(領用表!$L:$L,領用表!$E:$E,$B115,領用表!$B:$B,BL$2&amp;$BI$1)</f>
        <v/>
      </c>
      <c r="BM115" s="208">
        <f>SUMIFS(領用表!$L:$L,領用表!$E:$E,$B115,領用表!$B:$B,BM$2&amp;$BI$1)</f>
        <v/>
      </c>
      <c r="BN115" s="208" t="n"/>
      <c r="BO115" s="208">
        <f>SUMIFS(領用表!$L:$L,領用表!$E:$E,$B115,領用表!$B:$B,BO$2&amp;$BI$1)</f>
        <v/>
      </c>
      <c r="BP115" s="208">
        <f>SUMIFS(領用表!$L:$L,領用表!$E:$E,$B115,領用表!$B:$B,BP$2&amp;$BI$1)</f>
        <v/>
      </c>
      <c r="BQ115" s="208">
        <f>SUMIFS(領用表!$L:$L,領用表!$E:$E,$B115,領用表!$B:$B,BQ$2&amp;$BI$1)</f>
        <v/>
      </c>
      <c r="BR115" s="208">
        <f>SUMIFS(領用表!$L:$L,領用表!$E:$E,$B115,領用表!$B:$B,BR$2&amp;$BI$1)</f>
        <v/>
      </c>
      <c r="BS115" s="208">
        <f>SUMIFS(領用表!$L:$L,領用表!$E:$E,$B115,領用表!$B:$B,BS$2&amp;$BI$1)</f>
        <v/>
      </c>
      <c r="BT115" s="208">
        <f>SUMIFS(領用表!$L:$L,領用表!$E:$E,$B115,領用表!$B:$B,BT$2&amp;$BI$1)</f>
        <v/>
      </c>
      <c r="BU115" s="208">
        <f>SUM(BI115,BJ115,BK115,BL115,BM115,BN115)</f>
        <v/>
      </c>
      <c r="BV115" s="208">
        <f>AVERAGE(BI115,BJ115,BK115,BL115,BM115,BN115)</f>
        <v/>
      </c>
      <c r="BW115" s="208">
        <f>SUMIF(Summary!B:B,B115,Summary!DZ:DZ)</f>
        <v/>
      </c>
      <c r="BX115" s="258" t="n"/>
      <c r="BY115" s="340" t="n"/>
      <c r="BZ115" s="340" t="n"/>
      <c r="CA115" s="341" t="n"/>
      <c r="CB115" s="136" t="n"/>
      <c r="CC115" s="289" t="n"/>
    </row>
    <row r="116" ht="15.75" customFormat="1" customHeight="1" s="118">
      <c r="A116" s="136" t="n"/>
      <c r="B116" s="118" t="n">
        <v>6120028</v>
      </c>
      <c r="C116" s="136" t="inlineStr">
        <is>
          <t>治敏健 20ml</t>
        </is>
      </c>
      <c r="D116" s="285" t="n"/>
      <c r="E116" s="198" t="inlineStr">
        <is>
          <t>PCS</t>
        </is>
      </c>
      <c r="F116" s="349" t="n">
        <v>0</v>
      </c>
      <c r="G116" s="349" t="n"/>
      <c r="H116" s="349" t="n"/>
      <c r="I116" s="349" t="n"/>
      <c r="J116" s="349" t="n"/>
      <c r="K116" s="349" t="n"/>
      <c r="L116" s="349" t="n"/>
      <c r="M116" s="283" t="n"/>
      <c r="N116" s="283" t="n"/>
      <c r="O116" s="283" t="n"/>
      <c r="P116" s="283" t="n"/>
      <c r="Q116" s="283" t="n"/>
      <c r="R116" s="283" t="n"/>
      <c r="S116" s="283" t="n"/>
      <c r="T116" s="283" t="n"/>
      <c r="U116" s="283" t="n"/>
      <c r="V116" s="283" t="n"/>
      <c r="W116" s="283" t="n"/>
      <c r="X116" s="283" t="n"/>
      <c r="Y116" s="283" t="n"/>
      <c r="Z116" s="283" t="n"/>
      <c r="AA116" s="283" t="n"/>
      <c r="AB116" s="283" t="n"/>
      <c r="AC116" s="283" t="n"/>
      <c r="AD116" s="283" t="n"/>
      <c r="AE116" s="283" t="n"/>
      <c r="AF116" s="283" t="n"/>
      <c r="AG116" s="201" t="n"/>
      <c r="AH116" s="201" t="n"/>
      <c r="AI116" s="201" t="n"/>
      <c r="AJ116" s="201" t="n"/>
      <c r="AK116" s="201" t="n"/>
      <c r="AL116" s="201" t="n"/>
      <c r="AM116" s="201" t="n"/>
      <c r="AN116" s="201" t="n"/>
      <c r="AO116" s="201" t="n"/>
      <c r="AP116" s="201" t="n"/>
      <c r="AQ116" s="201" t="n"/>
      <c r="AR116" s="201" t="n"/>
      <c r="AS116" s="283">
        <f>SUM(AG116:AR116)</f>
        <v/>
      </c>
      <c r="AT116" s="286">
        <f>AS116/12</f>
        <v/>
      </c>
      <c r="AU116" s="201" t="n">
        <v>0</v>
      </c>
      <c r="AV116" s="201" t="n">
        <v>0</v>
      </c>
      <c r="AW116" s="201" t="n">
        <v>15</v>
      </c>
      <c r="AX116" s="201" t="n">
        <v>0</v>
      </c>
      <c r="AY116" s="201">
        <f>0+2</f>
        <v/>
      </c>
      <c r="AZ116" s="203">
        <f>SUMIFS(領用表!$L:$L,領用表!$E:$E,$B116,領用表!$B:$B,AZ$2&amp;$BI$1)</f>
        <v/>
      </c>
      <c r="BA116" s="203">
        <f>SUMIFS(領用表!$L:$L,領用表!$E:$E,$B116,領用表!$B:$B,BA$2&amp;$BI$1)</f>
        <v/>
      </c>
      <c r="BB116" s="203">
        <f>SUMIFS(領用表!$L:$L,領用表!$E:$E,$B116,領用表!$B:$B,BB$2&amp;$BI$1)</f>
        <v/>
      </c>
      <c r="BC116" s="203">
        <f>SUMIFS(領用表!$L:$L,領用表!$E:$E,$B116,領用表!$B:$B,BC$2&amp;$BI$1)</f>
        <v/>
      </c>
      <c r="BD116" s="208">
        <f>SUMIFS(領用表!$L:$L,領用表!$E:$E,$B116,領用表!$B:$B,BD$2&amp;$BI$1)</f>
        <v/>
      </c>
      <c r="BE116" s="208">
        <f>SUMIFS(領用表!$L:$L,領用表!$E:$E,$B116,領用表!$B:$B,BE$2&amp;$BI$1)</f>
        <v/>
      </c>
      <c r="BF116" s="208">
        <f>SUMIFS(領用表!$L:$L,領用表!$E:$E,$B116,領用表!$B:$B,BF$2&amp;$BI$1)</f>
        <v/>
      </c>
      <c r="BG116" s="207">
        <f>SUM(AU116,AV116,AW116,AX116,AY116,AZ116,BA116,BB116,BC116,BD116,BE116,BF116)</f>
        <v/>
      </c>
      <c r="BH116" s="207">
        <f>AVERAGE(AU116,AV116,AW116,AX116,AY116,AZ116,BA116,BB116,BC116,BD116,BE116,BF116)</f>
        <v/>
      </c>
      <c r="BI116" s="208">
        <f>SUMIFS(領用表!$L:$L,領用表!$E:$E,$B116,領用表!$B:$B,BI$2&amp;$BI$1)</f>
        <v/>
      </c>
      <c r="BJ116" s="208">
        <f>SUMIFS(領用表!$L:$L,領用表!$E:$E,$B116,領用表!$B:$B,BJ$2&amp;$BI$1)</f>
        <v/>
      </c>
      <c r="BK116" s="208">
        <f>SUMIFS(領用表!$L:$L,領用表!$E:$E,$B116,領用表!$B:$B,BK$2&amp;$BI$1)</f>
        <v/>
      </c>
      <c r="BL116" s="208">
        <f>SUMIFS(領用表!$L:$L,領用表!$E:$E,$B116,領用表!$B:$B,BL$2&amp;$BI$1)</f>
        <v/>
      </c>
      <c r="BM116" s="208">
        <f>SUMIFS(領用表!$L:$L,領用表!$E:$E,$B116,領用表!$B:$B,BM$2&amp;$BI$1)</f>
        <v/>
      </c>
      <c r="BN116" s="208" t="n"/>
      <c r="BO116" s="208">
        <f>SUMIFS(領用表!$L:$L,領用表!$E:$E,$B116,領用表!$B:$B,BO$2&amp;$BI$1)</f>
        <v/>
      </c>
      <c r="BP116" s="208">
        <f>SUMIFS(領用表!$L:$L,領用表!$E:$E,$B116,領用表!$B:$B,BP$2&amp;$BI$1)</f>
        <v/>
      </c>
      <c r="BQ116" s="208">
        <f>SUMIFS(領用表!$L:$L,領用表!$E:$E,$B116,領用表!$B:$B,BQ$2&amp;$BI$1)</f>
        <v/>
      </c>
      <c r="BR116" s="208">
        <f>SUMIFS(領用表!$L:$L,領用表!$E:$E,$B116,領用表!$B:$B,BR$2&amp;$BI$1)</f>
        <v/>
      </c>
      <c r="BS116" s="208">
        <f>SUMIFS(領用表!$L:$L,領用表!$E:$E,$B116,領用表!$B:$B,BS$2&amp;$BI$1)</f>
        <v/>
      </c>
      <c r="BT116" s="208">
        <f>SUMIFS(領用表!$L:$L,領用表!$E:$E,$B116,領用表!$B:$B,BT$2&amp;$BI$1)</f>
        <v/>
      </c>
      <c r="BU116" s="208">
        <f>SUM(BI116,BJ116,BK116,BL116,BM116,BN116)</f>
        <v/>
      </c>
      <c r="BV116" s="208">
        <f>AVERAGE(BI116,BJ116,BK116,BL116,BM116,BN116)</f>
        <v/>
      </c>
      <c r="BW116" s="208">
        <f>SUMIF(Summary!B:B,B116,Summary!DZ:DZ)</f>
        <v/>
      </c>
      <c r="BX116" s="258" t="n"/>
      <c r="BY116" s="340" t="n"/>
      <c r="BZ116" s="340" t="n"/>
      <c r="CA116" s="340" t="n"/>
      <c r="CB116" s="136" t="n"/>
      <c r="CC116" s="136" t="n"/>
      <c r="CE116" s="213" t="n"/>
    </row>
    <row r="117" ht="15.75" customFormat="1" customHeight="1" s="118">
      <c r="A117" s="136" t="n"/>
      <c r="B117" s="118" t="n">
        <v>6120029</v>
      </c>
      <c r="C117" s="136" t="inlineStr">
        <is>
          <t>鹽酸二苯胺明 1ml</t>
        </is>
      </c>
      <c r="D117" s="285" t="n"/>
      <c r="E117" s="198" t="inlineStr">
        <is>
          <t>PCS</t>
        </is>
      </c>
      <c r="F117" s="349" t="n">
        <v>20</v>
      </c>
      <c r="G117" s="349" t="n"/>
      <c r="H117" s="349" t="n"/>
      <c r="I117" s="349" t="n"/>
      <c r="J117" s="349" t="n"/>
      <c r="K117" s="349" t="n"/>
      <c r="L117" s="349" t="n"/>
      <c r="M117" s="283" t="n"/>
      <c r="N117" s="283" t="n"/>
      <c r="O117" s="283" t="n"/>
      <c r="P117" s="283" t="n"/>
      <c r="Q117" s="283" t="n"/>
      <c r="R117" s="283" t="n"/>
      <c r="S117" s="283" t="n"/>
      <c r="T117" s="283" t="n"/>
      <c r="U117" s="283" t="n"/>
      <c r="V117" s="283" t="n"/>
      <c r="W117" s="283" t="n"/>
      <c r="X117" s="283" t="n"/>
      <c r="Y117" s="283" t="n"/>
      <c r="Z117" s="283" t="n"/>
      <c r="AA117" s="283" t="n"/>
      <c r="AB117" s="283" t="n"/>
      <c r="AC117" s="283" t="n"/>
      <c r="AD117" s="283" t="n"/>
      <c r="AE117" s="283" t="n"/>
      <c r="AF117" s="283" t="n"/>
      <c r="AG117" s="201" t="n"/>
      <c r="AH117" s="201" t="n"/>
      <c r="AI117" s="201" t="n"/>
      <c r="AJ117" s="201" t="n"/>
      <c r="AK117" s="201" t="n"/>
      <c r="AL117" s="201" t="n"/>
      <c r="AM117" s="201" t="n"/>
      <c r="AN117" s="201" t="n"/>
      <c r="AO117" s="201" t="n"/>
      <c r="AP117" s="201" t="n"/>
      <c r="AQ117" s="201" t="n"/>
      <c r="AR117" s="201" t="n"/>
      <c r="AS117" s="283">
        <f>SUM(AG117:AR117)</f>
        <v/>
      </c>
      <c r="AT117" s="286">
        <f>AS117/12</f>
        <v/>
      </c>
      <c r="AU117" s="201" t="n">
        <v>0</v>
      </c>
      <c r="AV117" s="201" t="n">
        <v>0</v>
      </c>
      <c r="AW117" s="201" t="n">
        <v>8</v>
      </c>
      <c r="AX117" s="201" t="n">
        <v>0</v>
      </c>
      <c r="AY117" s="201" t="n">
        <v>3</v>
      </c>
      <c r="AZ117" s="203">
        <f>SUMIFS(領用表!$L:$L,領用表!$E:$E,$B117,領用表!$B:$B,AZ$2&amp;$BI$1)</f>
        <v/>
      </c>
      <c r="BA117" s="203">
        <f>SUMIFS(領用表!$L:$L,領用表!$E:$E,$B117,領用表!$B:$B,BA$2&amp;$BI$1)</f>
        <v/>
      </c>
      <c r="BB117" s="203">
        <f>SUMIFS(領用表!$L:$L,領用表!$E:$E,$B117,領用表!$B:$B,BB$2&amp;$BI$1)</f>
        <v/>
      </c>
      <c r="BC117" s="203">
        <f>SUMIFS(領用表!$L:$L,領用表!$E:$E,$B117,領用表!$B:$B,BC$2&amp;$BI$1)</f>
        <v/>
      </c>
      <c r="BD117" s="208">
        <f>SUMIFS(領用表!$L:$L,領用表!$E:$E,$B117,領用表!$B:$B,BD$2&amp;$BI$1)</f>
        <v/>
      </c>
      <c r="BE117" s="208">
        <f>SUMIFS(領用表!$L:$L,領用表!$E:$E,$B117,領用表!$B:$B,BE$2&amp;$BI$1)</f>
        <v/>
      </c>
      <c r="BF117" s="208">
        <f>SUMIFS(領用表!$L:$L,領用表!$E:$E,$B117,領用表!$B:$B,BF$2&amp;$BI$1)</f>
        <v/>
      </c>
      <c r="BG117" s="207">
        <f>SUM(AU117,AV117,AW117,AX117,AY117,AZ117,BA117,BB117,BC117,BD117,BE117,BF117)</f>
        <v/>
      </c>
      <c r="BH117" s="207">
        <f>AVERAGE(AU117,AV117,AW117,AX117,AY117,AZ117,BA117,BB117,BC117,BD117,BE117,BF117)</f>
        <v/>
      </c>
      <c r="BI117" s="208">
        <f>SUMIFS(領用表!$L:$L,領用表!$E:$E,$B117,領用表!$B:$B,BI$2&amp;$BI$1)</f>
        <v/>
      </c>
      <c r="BJ117" s="208">
        <f>SUMIFS(領用表!$L:$L,領用表!$E:$E,$B117,領用表!$B:$B,BJ$2&amp;$BI$1)</f>
        <v/>
      </c>
      <c r="BK117" s="208">
        <f>SUMIFS(領用表!$L:$L,領用表!$E:$E,$B117,領用表!$B:$B,BK$2&amp;$BI$1)</f>
        <v/>
      </c>
      <c r="BL117" s="208">
        <f>SUMIFS(領用表!$L:$L,領用表!$E:$E,$B117,領用表!$B:$B,BL$2&amp;$BI$1)</f>
        <v/>
      </c>
      <c r="BM117" s="208">
        <f>SUMIFS(領用表!$L:$L,領用表!$E:$E,$B117,領用表!$B:$B,BM$2&amp;$BI$1)</f>
        <v/>
      </c>
      <c r="BN117" s="208" t="n"/>
      <c r="BO117" s="208">
        <f>SUMIFS(領用表!$L:$L,領用表!$E:$E,$B117,領用表!$B:$B,BO$2&amp;$BI$1)</f>
        <v/>
      </c>
      <c r="BP117" s="208">
        <f>SUMIFS(領用表!$L:$L,領用表!$E:$E,$B117,領用表!$B:$B,BP$2&amp;$BI$1)</f>
        <v/>
      </c>
      <c r="BQ117" s="208">
        <f>SUMIFS(領用表!$L:$L,領用表!$E:$E,$B117,領用表!$B:$B,BQ$2&amp;$BI$1)</f>
        <v/>
      </c>
      <c r="BR117" s="208">
        <f>SUMIFS(領用表!$L:$L,領用表!$E:$E,$B117,領用表!$B:$B,BR$2&amp;$BI$1)</f>
        <v/>
      </c>
      <c r="BS117" s="208">
        <f>SUMIFS(領用表!$L:$L,領用表!$E:$E,$B117,領用表!$B:$B,BS$2&amp;$BI$1)</f>
        <v/>
      </c>
      <c r="BT117" s="208">
        <f>SUMIFS(領用表!$L:$L,領用表!$E:$E,$B117,領用表!$B:$B,BT$2&amp;$BI$1)</f>
        <v/>
      </c>
      <c r="BU117" s="208">
        <f>SUM(BI117,BJ117,BK117,BL117,BM117,BN117)</f>
        <v/>
      </c>
      <c r="BV117" s="208">
        <f>AVERAGE(BI117,BJ117,BK117,BL117,BM117,BN117)</f>
        <v/>
      </c>
      <c r="BW117" s="208">
        <f>SUMIF(Summary!B:B,B117,Summary!DZ:DZ)</f>
        <v/>
      </c>
      <c r="BX117" s="258" t="n"/>
      <c r="BY117" s="340" t="n"/>
      <c r="BZ117" s="340" t="n"/>
      <c r="CA117" s="340" t="inlineStr">
        <is>
          <t>10-10/22</t>
        </is>
      </c>
      <c r="CB117" s="136" t="n"/>
      <c r="CC117" s="136" t="n"/>
      <c r="CE117" s="213" t="n"/>
    </row>
    <row r="118" ht="15.75" customFormat="1" customHeight="1" s="118">
      <c r="A118" s="136" t="n"/>
      <c r="B118" s="118" t="n">
        <v>6120030</v>
      </c>
      <c r="C118" s="136" t="inlineStr">
        <is>
          <t>克多炎 1ml</t>
        </is>
      </c>
      <c r="D118" s="285" t="n"/>
      <c r="E118" s="198" t="inlineStr">
        <is>
          <t>PCS</t>
        </is>
      </c>
      <c r="F118" s="349" t="n">
        <v>0</v>
      </c>
      <c r="G118" s="349" t="n"/>
      <c r="H118" s="349" t="n"/>
      <c r="I118" s="349" t="n"/>
      <c r="J118" s="349" t="n"/>
      <c r="K118" s="349" t="n"/>
      <c r="L118" s="349" t="n"/>
      <c r="M118" s="283" t="n"/>
      <c r="N118" s="283" t="n"/>
      <c r="O118" s="283" t="n"/>
      <c r="P118" s="283" t="n"/>
      <c r="Q118" s="283" t="n"/>
      <c r="R118" s="283" t="n"/>
      <c r="S118" s="283" t="n"/>
      <c r="T118" s="283" t="n"/>
      <c r="U118" s="283" t="n"/>
      <c r="V118" s="283" t="n"/>
      <c r="W118" s="283" t="n"/>
      <c r="X118" s="283" t="n"/>
      <c r="Y118" s="283" t="n"/>
      <c r="Z118" s="283" t="n"/>
      <c r="AA118" s="283" t="n"/>
      <c r="AB118" s="283" t="n"/>
      <c r="AC118" s="283" t="n"/>
      <c r="AD118" s="283" t="n"/>
      <c r="AE118" s="283" t="n"/>
      <c r="AF118" s="283" t="n"/>
      <c r="AG118" s="201" t="n"/>
      <c r="AH118" s="201" t="n"/>
      <c r="AI118" s="201" t="n"/>
      <c r="AJ118" s="201" t="n"/>
      <c r="AK118" s="201" t="n"/>
      <c r="AL118" s="201" t="n"/>
      <c r="AM118" s="201" t="n"/>
      <c r="AN118" s="201" t="n"/>
      <c r="AO118" s="201" t="n"/>
      <c r="AP118" s="201" t="n"/>
      <c r="AQ118" s="201" t="n"/>
      <c r="AR118" s="201" t="n"/>
      <c r="AS118" s="283">
        <f>SUM(AG118:AR118)</f>
        <v/>
      </c>
      <c r="AT118" s="286">
        <f>AS118/12</f>
        <v/>
      </c>
      <c r="AU118" s="201" t="n">
        <v>0</v>
      </c>
      <c r="AV118" s="201" t="n">
        <v>0</v>
      </c>
      <c r="AW118" s="201" t="n">
        <v>0</v>
      </c>
      <c r="AX118" s="201" t="n">
        <v>18</v>
      </c>
      <c r="AY118" s="201" t="n">
        <v>1</v>
      </c>
      <c r="AZ118" s="203">
        <f>SUMIFS(領用表!$L:$L,領用表!$E:$E,$B118,領用表!$B:$B,AZ$2&amp;$BI$1)</f>
        <v/>
      </c>
      <c r="BA118" s="203">
        <f>SUMIFS(領用表!$L:$L,領用表!$E:$E,$B118,領用表!$B:$B,BA$2&amp;$BI$1)</f>
        <v/>
      </c>
      <c r="BB118" s="203">
        <f>SUMIFS(領用表!$L:$L,領用表!$E:$E,$B118,領用表!$B:$B,BB$2&amp;$BI$1)</f>
        <v/>
      </c>
      <c r="BC118" s="203">
        <f>SUMIFS(領用表!$L:$L,領用表!$E:$E,$B118,領用表!$B:$B,BC$2&amp;$BI$1)</f>
        <v/>
      </c>
      <c r="BD118" s="208">
        <f>SUMIFS(領用表!$L:$L,領用表!$E:$E,$B118,領用表!$B:$B,BD$2&amp;$BI$1)</f>
        <v/>
      </c>
      <c r="BE118" s="208">
        <f>SUMIFS(領用表!$L:$L,領用表!$E:$E,$B118,領用表!$B:$B,BE$2&amp;$BI$1)</f>
        <v/>
      </c>
      <c r="BF118" s="208">
        <f>SUMIFS(領用表!$L:$L,領用表!$E:$E,$B118,領用表!$B:$B,BF$2&amp;$BI$1)</f>
        <v/>
      </c>
      <c r="BG118" s="207">
        <f>SUM(AU118,AV118,AW118,AX118,AY118,AZ118,BA118,BB118,BC118,BD118,BE118,BF118)</f>
        <v/>
      </c>
      <c r="BH118" s="207">
        <f>AVERAGE(AU118,AV118,AW118,AX118,AY118,AZ118,BA118,BB118,BC118,BD118,BE118,BF118)</f>
        <v/>
      </c>
      <c r="BI118" s="208">
        <f>SUMIFS(領用表!$L:$L,領用表!$E:$E,$B118,領用表!$B:$B,BI$2&amp;$BI$1)</f>
        <v/>
      </c>
      <c r="BJ118" s="208">
        <f>SUMIFS(領用表!$L:$L,領用表!$E:$E,$B118,領用表!$B:$B,BJ$2&amp;$BI$1)</f>
        <v/>
      </c>
      <c r="BK118" s="208">
        <f>SUMIFS(領用表!$L:$L,領用表!$E:$E,$B118,領用表!$B:$B,BK$2&amp;$BI$1)</f>
        <v/>
      </c>
      <c r="BL118" s="208">
        <f>SUMIFS(領用表!$L:$L,領用表!$E:$E,$B118,領用表!$B:$B,BL$2&amp;$BI$1)</f>
        <v/>
      </c>
      <c r="BM118" s="208">
        <f>SUMIFS(領用表!$L:$L,領用表!$E:$E,$B118,領用表!$B:$B,BM$2&amp;$BI$1)</f>
        <v/>
      </c>
      <c r="BN118" s="208" t="n"/>
      <c r="BO118" s="208">
        <f>SUMIFS(領用表!$L:$L,領用表!$E:$E,$B118,領用表!$B:$B,BO$2&amp;$BI$1)</f>
        <v/>
      </c>
      <c r="BP118" s="208">
        <f>SUMIFS(領用表!$L:$L,領用表!$E:$E,$B118,領用表!$B:$B,BP$2&amp;$BI$1)</f>
        <v/>
      </c>
      <c r="BQ118" s="208">
        <f>SUMIFS(領用表!$L:$L,領用表!$E:$E,$B118,領用表!$B:$B,BQ$2&amp;$BI$1)</f>
        <v/>
      </c>
      <c r="BR118" s="208">
        <f>SUMIFS(領用表!$L:$L,領用表!$E:$E,$B118,領用表!$B:$B,BR$2&amp;$BI$1)</f>
        <v/>
      </c>
      <c r="BS118" s="208">
        <f>SUMIFS(領用表!$L:$L,領用表!$E:$E,$B118,領用表!$B:$B,BS$2&amp;$BI$1)</f>
        <v/>
      </c>
      <c r="BT118" s="208">
        <f>SUMIFS(領用表!$L:$L,領用表!$E:$E,$B118,領用表!$B:$B,BT$2&amp;$BI$1)</f>
        <v/>
      </c>
      <c r="BU118" s="208">
        <f>SUM(BI118,BJ118,BK118,BL118,BM118,BN118)</f>
        <v/>
      </c>
      <c r="BV118" s="208">
        <f>AVERAGE(BI118,BJ118,BK118,BL118,BM118,BN118)</f>
        <v/>
      </c>
      <c r="BW118" s="208">
        <f>SUMIF(Summary!B:B,B118,Summary!DZ:DZ)</f>
        <v/>
      </c>
      <c r="BX118" s="258" t="n"/>
      <c r="BY118" s="340" t="n"/>
      <c r="BZ118" s="340" t="n"/>
      <c r="CA118" s="340" t="n"/>
      <c r="CB118" s="136" t="n"/>
      <c r="CC118" s="136" t="n"/>
      <c r="CE118" s="213" t="n"/>
    </row>
    <row r="119" ht="15.75" customFormat="1" customHeight="1" s="118">
      <c r="A119" s="136" t="n"/>
      <c r="B119" s="118" t="n">
        <v>6120031</v>
      </c>
      <c r="C119" s="136" t="inlineStr">
        <is>
          <t>菲碧茵 2ml</t>
        </is>
      </c>
      <c r="D119" s="285" t="n"/>
      <c r="E119" s="198" t="inlineStr">
        <is>
          <t>PCS</t>
        </is>
      </c>
      <c r="F119" s="349" t="n">
        <v>2</v>
      </c>
      <c r="G119" s="349" t="n"/>
      <c r="H119" s="349" t="n"/>
      <c r="I119" s="349" t="n"/>
      <c r="J119" s="349" t="n"/>
      <c r="K119" s="349" t="n"/>
      <c r="L119" s="349" t="n"/>
      <c r="M119" s="283" t="n"/>
      <c r="N119" s="283" t="n"/>
      <c r="O119" s="283" t="n"/>
      <c r="P119" s="283" t="n"/>
      <c r="Q119" s="283" t="n"/>
      <c r="R119" s="283" t="n"/>
      <c r="S119" s="283" t="n"/>
      <c r="T119" s="283" t="n"/>
      <c r="U119" s="283" t="n"/>
      <c r="V119" s="283" t="n"/>
      <c r="W119" s="283" t="n"/>
      <c r="X119" s="283" t="n"/>
      <c r="Y119" s="283" t="n"/>
      <c r="Z119" s="283" t="n"/>
      <c r="AA119" s="283" t="n"/>
      <c r="AB119" s="283" t="n"/>
      <c r="AC119" s="283" t="n"/>
      <c r="AD119" s="283" t="n"/>
      <c r="AE119" s="283" t="n"/>
      <c r="AF119" s="283" t="n"/>
      <c r="AG119" s="201" t="n"/>
      <c r="AH119" s="201" t="n"/>
      <c r="AI119" s="201" t="n"/>
      <c r="AJ119" s="201" t="n"/>
      <c r="AK119" s="201" t="n"/>
      <c r="AL119" s="201" t="n"/>
      <c r="AM119" s="201" t="n"/>
      <c r="AN119" s="201" t="n"/>
      <c r="AO119" s="201" t="n"/>
      <c r="AP119" s="201" t="n"/>
      <c r="AQ119" s="201" t="n"/>
      <c r="AR119" s="201" t="n"/>
      <c r="AS119" s="283">
        <f>SUM(AG119:AR119)</f>
        <v/>
      </c>
      <c r="AT119" s="286">
        <f>AS119/12</f>
        <v/>
      </c>
      <c r="AU119" s="201" t="n">
        <v>0</v>
      </c>
      <c r="AV119" s="201" t="n">
        <v>0</v>
      </c>
      <c r="AW119" s="201" t="n">
        <v>11</v>
      </c>
      <c r="AX119" s="201" t="n">
        <v>6</v>
      </c>
      <c r="AY119" s="201" t="n">
        <v>0</v>
      </c>
      <c r="AZ119" s="203">
        <f>SUMIFS(領用表!$L:$L,領用表!$E:$E,$B119,領用表!$B:$B,AZ$2&amp;$BI$1)</f>
        <v/>
      </c>
      <c r="BA119" s="203">
        <f>SUMIFS(領用表!$L:$L,領用表!$E:$E,$B119,領用表!$B:$B,BA$2&amp;$BI$1)</f>
        <v/>
      </c>
      <c r="BB119" s="203">
        <f>SUMIFS(領用表!$L:$L,領用表!$E:$E,$B119,領用表!$B:$B,BB$2&amp;$BI$1)</f>
        <v/>
      </c>
      <c r="BC119" s="203">
        <f>SUMIFS(領用表!$L:$L,領用表!$E:$E,$B119,領用表!$B:$B,BC$2&amp;$BI$1)</f>
        <v/>
      </c>
      <c r="BD119" s="208">
        <f>SUMIFS(領用表!$L:$L,領用表!$E:$E,$B119,領用表!$B:$B,BD$2&amp;$BI$1)</f>
        <v/>
      </c>
      <c r="BE119" s="208">
        <f>SUMIFS(領用表!$L:$L,領用表!$E:$E,$B119,領用表!$B:$B,BE$2&amp;$BI$1)</f>
        <v/>
      </c>
      <c r="BF119" s="208">
        <f>SUMIFS(領用表!$L:$L,領用表!$E:$E,$B119,領用表!$B:$B,BF$2&amp;$BI$1)</f>
        <v/>
      </c>
      <c r="BG119" s="207">
        <f>SUM(AU119,AV119,AW119,AX119,AY119,AZ119,BA119,BB119,BC119,BD119,BE119,BF119)</f>
        <v/>
      </c>
      <c r="BH119" s="207">
        <f>AVERAGE(AU119,AV119,AW119,AX119,AY119,AZ119,BA119,BB119,BC119,BD119,BE119,BF119)</f>
        <v/>
      </c>
      <c r="BI119" s="208">
        <f>SUMIFS(領用表!$L:$L,領用表!$E:$E,$B119,領用表!$B:$B,BI$2&amp;$BI$1)</f>
        <v/>
      </c>
      <c r="BJ119" s="208">
        <f>SUMIFS(領用表!$L:$L,領用表!$E:$E,$B119,領用表!$B:$B,BJ$2&amp;$BI$1)</f>
        <v/>
      </c>
      <c r="BK119" s="208">
        <f>SUMIFS(領用表!$L:$L,領用表!$E:$E,$B119,領用表!$B:$B,BK$2&amp;$BI$1)</f>
        <v/>
      </c>
      <c r="BL119" s="208">
        <f>SUMIFS(領用表!$L:$L,領用表!$E:$E,$B119,領用表!$B:$B,BL$2&amp;$BI$1)</f>
        <v/>
      </c>
      <c r="BM119" s="208">
        <f>SUMIFS(領用表!$L:$L,領用表!$E:$E,$B119,領用表!$B:$B,BM$2&amp;$BI$1)</f>
        <v/>
      </c>
      <c r="BN119" s="208" t="n"/>
      <c r="BO119" s="208">
        <f>SUMIFS(領用表!$L:$L,領用表!$E:$E,$B119,領用表!$B:$B,BO$2&amp;$BI$1)</f>
        <v/>
      </c>
      <c r="BP119" s="208">
        <f>SUMIFS(領用表!$L:$L,領用表!$E:$E,$B119,領用表!$B:$B,BP$2&amp;$BI$1)</f>
        <v/>
      </c>
      <c r="BQ119" s="208">
        <f>SUMIFS(領用表!$L:$L,領用表!$E:$E,$B119,領用表!$B:$B,BQ$2&amp;$BI$1)</f>
        <v/>
      </c>
      <c r="BR119" s="208">
        <f>SUMIFS(領用表!$L:$L,領用表!$E:$E,$B119,領用表!$B:$B,BR$2&amp;$BI$1)</f>
        <v/>
      </c>
      <c r="BS119" s="208">
        <f>SUMIFS(領用表!$L:$L,領用表!$E:$E,$B119,領用表!$B:$B,BS$2&amp;$BI$1)</f>
        <v/>
      </c>
      <c r="BT119" s="208">
        <f>SUMIFS(領用表!$L:$L,領用表!$E:$E,$B119,領用表!$B:$B,BT$2&amp;$BI$1)</f>
        <v/>
      </c>
      <c r="BU119" s="208">
        <f>SUM(BI119,BJ119,BK119,BL119,BM119,BN119)</f>
        <v/>
      </c>
      <c r="BV119" s="208">
        <f>AVERAGE(BI119,BJ119,BK119,BL119,BM119,BN119)</f>
        <v/>
      </c>
      <c r="BW119" s="208">
        <f>SUMIF(Summary!B:B,B119,Summary!DZ:DZ)</f>
        <v/>
      </c>
      <c r="BX119" s="258" t="n"/>
      <c r="BY119" s="340" t="n"/>
      <c r="BZ119" s="340" t="n"/>
      <c r="CA119" s="340" t="n"/>
      <c r="CB119" s="136" t="n"/>
      <c r="CC119" s="136" t="n"/>
      <c r="CE119" s="213" t="n"/>
    </row>
    <row r="120" ht="15.75" customFormat="1" customHeight="1" s="118" thickBot="1">
      <c r="A120" s="136" t="n"/>
      <c r="B120" s="118" t="n">
        <v>6120032</v>
      </c>
      <c r="C120" s="136" t="inlineStr">
        <is>
          <t>鹽酸副腎素 1ml</t>
        </is>
      </c>
      <c r="D120" s="285" t="n"/>
      <c r="E120" s="198" t="inlineStr">
        <is>
          <t>PCS</t>
        </is>
      </c>
      <c r="F120" s="349" t="n"/>
      <c r="G120" s="349" t="n"/>
      <c r="H120" s="349" t="n"/>
      <c r="I120" s="349" t="n"/>
      <c r="J120" s="349" t="n"/>
      <c r="K120" s="349" t="n"/>
      <c r="L120" s="349" t="n"/>
      <c r="M120" s="283" t="n"/>
      <c r="N120" s="283" t="n"/>
      <c r="O120" s="283" t="n"/>
      <c r="P120" s="283" t="n"/>
      <c r="Q120" s="283" t="n"/>
      <c r="R120" s="283" t="n"/>
      <c r="S120" s="283" t="n"/>
      <c r="T120" s="283" t="n"/>
      <c r="U120" s="283" t="n"/>
      <c r="V120" s="283" t="n"/>
      <c r="W120" s="283" t="n"/>
      <c r="X120" s="283" t="n"/>
      <c r="Y120" s="283" t="n"/>
      <c r="Z120" s="283" t="n"/>
      <c r="AA120" s="283" t="n"/>
      <c r="AB120" s="283" t="n"/>
      <c r="AC120" s="283" t="n"/>
      <c r="AD120" s="283" t="n"/>
      <c r="AE120" s="283" t="n"/>
      <c r="AF120" s="283" t="n"/>
      <c r="AG120" s="201" t="n"/>
      <c r="AH120" s="201" t="n"/>
      <c r="AI120" s="201" t="n"/>
      <c r="AJ120" s="201" t="n"/>
      <c r="AK120" s="201" t="n"/>
      <c r="AL120" s="201" t="n"/>
      <c r="AM120" s="201" t="n"/>
      <c r="AN120" s="201" t="n"/>
      <c r="AO120" s="201" t="n"/>
      <c r="AP120" s="201" t="n"/>
      <c r="AQ120" s="201" t="n"/>
      <c r="AR120" s="201" t="n"/>
      <c r="AS120" s="283">
        <f>SUM(AG120:AR120)</f>
        <v/>
      </c>
      <c r="AT120" s="286">
        <f>AS120/12</f>
        <v/>
      </c>
      <c r="AU120" s="201" t="n">
        <v>0</v>
      </c>
      <c r="AV120" s="201" t="n">
        <v>0</v>
      </c>
      <c r="AW120" s="201" t="n">
        <v>0</v>
      </c>
      <c r="AX120" s="201" t="n">
        <v>0</v>
      </c>
      <c r="AY120" s="201" t="n">
        <v>0</v>
      </c>
      <c r="AZ120" s="203">
        <f>SUMIFS(領用表!$L:$L,領用表!$E:$E,$B120,領用表!$B:$B,AZ$2&amp;$BI$1)</f>
        <v/>
      </c>
      <c r="BA120" s="203">
        <f>SUMIFS(領用表!$L:$L,領用表!$E:$E,$B120,領用表!$B:$B,BA$2&amp;$BI$1)</f>
        <v/>
      </c>
      <c r="BB120" s="203">
        <f>SUMIFS(領用表!$L:$L,領用表!$E:$E,$B120,領用表!$B:$B,BB$2&amp;$BI$1)</f>
        <v/>
      </c>
      <c r="BC120" s="203">
        <f>SUMIFS(領用表!$L:$L,領用表!$E:$E,$B120,領用表!$B:$B,BC$2&amp;$BI$1)</f>
        <v/>
      </c>
      <c r="BD120" s="208">
        <f>SUMIFS(領用表!$L:$L,領用表!$E:$E,$B120,領用表!$B:$B,BD$2&amp;$BI$1)</f>
        <v/>
      </c>
      <c r="BE120" s="208">
        <f>SUMIFS(領用表!$L:$L,領用表!$E:$E,$B120,領用表!$B:$B,BE$2&amp;$BI$1)</f>
        <v/>
      </c>
      <c r="BF120" s="208">
        <f>SUMIFS(領用表!$L:$L,領用表!$E:$E,$B120,領用表!$B:$B,BF$2&amp;$BI$1)</f>
        <v/>
      </c>
      <c r="BG120" s="207">
        <f>SUM(AU120,AV120,AW120,AX120,AY120,AZ120,BA120,BB120,BC120,BD120,BE120,BF120)</f>
        <v/>
      </c>
      <c r="BH120" s="207">
        <f>AVERAGE(AU120,AV120,AW120,AX120,AY120,AZ120,BA120,BB120,BC120,BD120,BE120,BF120)</f>
        <v/>
      </c>
      <c r="BI120" s="208">
        <f>SUMIFS(領用表!$L:$L,領用表!$E:$E,$B120,領用表!$B:$B,BI$2&amp;$BI$1)</f>
        <v/>
      </c>
      <c r="BJ120" s="208">
        <f>SUMIFS(領用表!$L:$L,領用表!$E:$E,$B120,領用表!$B:$B,BJ$2&amp;$BI$1)</f>
        <v/>
      </c>
      <c r="BK120" s="208">
        <f>SUMIFS(領用表!$L:$L,領用表!$E:$E,$B120,領用表!$B:$B,BK$2&amp;$BI$1)</f>
        <v/>
      </c>
      <c r="BL120" s="208">
        <f>SUMIFS(領用表!$L:$L,領用表!$E:$E,$B120,領用表!$B:$B,BL$2&amp;$BI$1)</f>
        <v/>
      </c>
      <c r="BM120" s="208">
        <f>SUMIFS(領用表!$L:$L,領用表!$E:$E,$B120,領用表!$B:$B,BM$2&amp;$BI$1)</f>
        <v/>
      </c>
      <c r="BN120" s="208" t="n"/>
      <c r="BO120" s="208">
        <f>SUMIFS(領用表!$L:$L,領用表!$E:$E,$B120,領用表!$B:$B,BO$2&amp;$BI$1)</f>
        <v/>
      </c>
      <c r="BP120" s="208">
        <f>SUMIFS(領用表!$L:$L,領用表!$E:$E,$B120,領用表!$B:$B,BP$2&amp;$BI$1)</f>
        <v/>
      </c>
      <c r="BQ120" s="208">
        <f>SUMIFS(領用表!$L:$L,領用表!$E:$E,$B120,領用表!$B:$B,BQ$2&amp;$BI$1)</f>
        <v/>
      </c>
      <c r="BR120" s="208">
        <f>SUMIFS(領用表!$L:$L,領用表!$E:$E,$B120,領用表!$B:$B,BR$2&amp;$BI$1)</f>
        <v/>
      </c>
      <c r="BS120" s="208">
        <f>SUMIFS(領用表!$L:$L,領用表!$E:$E,$B120,領用表!$B:$B,BS$2&amp;$BI$1)</f>
        <v/>
      </c>
      <c r="BT120" s="208">
        <f>SUMIFS(領用表!$L:$L,領用表!$E:$E,$B120,領用表!$B:$B,BT$2&amp;$BI$1)</f>
        <v/>
      </c>
      <c r="BU120" s="208">
        <f>SUM(BI120,BJ120,BK120,BL120,BM120,BN120)</f>
        <v/>
      </c>
      <c r="BV120" s="208">
        <f>AVERAGE(BI120,BJ120,BK120,BL120,BM120,BN120)</f>
        <v/>
      </c>
      <c r="BW120" s="208">
        <f>SUMIF(Summary!B:B,B120,Summary!DZ:DZ)</f>
        <v/>
      </c>
      <c r="BX120" s="258" t="n"/>
      <c r="BY120" s="340" t="n"/>
      <c r="BZ120" s="340" t="n"/>
      <c r="CA120" s="340" t="n"/>
      <c r="CB120" s="136" t="n"/>
      <c r="CC120" s="136" t="n"/>
      <c r="CE120" s="213" t="n"/>
    </row>
    <row r="121" ht="15.75" customFormat="1" customHeight="1" s="118" thickBot="1">
      <c r="A121" s="308" t="inlineStr">
        <is>
          <t>MB3ME090038A</t>
        </is>
      </c>
      <c r="B121" s="230" t="n">
        <v>6120037</v>
      </c>
      <c r="C121" s="309" t="inlineStr">
        <is>
          <t>(B群) 美久奧林 20ml/支</t>
        </is>
      </c>
      <c r="D121" s="307" t="n"/>
      <c r="E121" s="198" t="n"/>
      <c r="F121" s="349" t="n"/>
      <c r="G121" s="349" t="n"/>
      <c r="H121" s="349" t="n"/>
      <c r="I121" s="349" t="n"/>
      <c r="J121" s="349" t="n"/>
      <c r="K121" s="349" t="n"/>
      <c r="L121" s="349" t="n"/>
      <c r="M121" s="283" t="n"/>
      <c r="N121" s="283" t="n"/>
      <c r="O121" s="283" t="n"/>
      <c r="P121" s="283" t="n"/>
      <c r="Q121" s="283" t="n"/>
      <c r="R121" s="283" t="n"/>
      <c r="S121" s="283" t="n"/>
      <c r="T121" s="283" t="n"/>
      <c r="U121" s="283" t="n"/>
      <c r="V121" s="283" t="n"/>
      <c r="W121" s="283" t="n"/>
      <c r="X121" s="283" t="n"/>
      <c r="Y121" s="283" t="n"/>
      <c r="Z121" s="283" t="n"/>
      <c r="AA121" s="283" t="n"/>
      <c r="AB121" s="283" t="n"/>
      <c r="AC121" s="283" t="n"/>
      <c r="AD121" s="283" t="n"/>
      <c r="AE121" s="283" t="n"/>
      <c r="AF121" s="283" t="n"/>
      <c r="AG121" s="201" t="n"/>
      <c r="AH121" s="201" t="n"/>
      <c r="AI121" s="201" t="n"/>
      <c r="AJ121" s="201" t="n"/>
      <c r="AK121" s="201" t="n"/>
      <c r="AL121" s="201" t="n"/>
      <c r="AM121" s="201" t="n"/>
      <c r="AN121" s="201" t="n"/>
      <c r="AO121" s="201" t="n"/>
      <c r="AP121" s="201" t="n"/>
      <c r="AQ121" s="201" t="n"/>
      <c r="AR121" s="201" t="n"/>
      <c r="AS121" s="283" t="n"/>
      <c r="AT121" s="286" t="n"/>
      <c r="AU121" s="201" t="n"/>
      <c r="AV121" s="201" t="n"/>
      <c r="AW121" s="201" t="n"/>
      <c r="AX121" s="201" t="n"/>
      <c r="AY121" s="201" t="n"/>
      <c r="AZ121" s="203">
        <f>SUMIFS(領用表!$L:$L,領用表!$E:$E,$B121,領用表!$B:$B,AZ$2&amp;$BI$1)</f>
        <v/>
      </c>
      <c r="BA121" s="203">
        <f>SUMIFS(領用表!$L:$L,領用表!$E:$E,$B121,領用表!$B:$B,BA$2&amp;$BI$1)</f>
        <v/>
      </c>
      <c r="BB121" s="203">
        <f>SUMIFS(領用表!$L:$L,領用表!$E:$E,$B121,領用表!$B:$B,BB$2&amp;$BI$1)</f>
        <v/>
      </c>
      <c r="BC121" s="203">
        <f>SUMIFS(領用表!$L:$L,領用表!$E:$E,$B121,領用表!$B:$B,BC$2&amp;$BI$1)</f>
        <v/>
      </c>
      <c r="BD121" s="208">
        <f>SUMIFS(領用表!$L:$L,領用表!$E:$E,$B121,領用表!$B:$B,BD$2&amp;$BI$1)</f>
        <v/>
      </c>
      <c r="BE121" s="208">
        <f>SUMIFS(領用表!$L:$L,領用表!$E:$E,$B121,領用表!$B:$B,BE$2&amp;$BI$1)</f>
        <v/>
      </c>
      <c r="BF121" s="208">
        <f>SUMIFS(領用表!$L:$L,領用表!$E:$E,$B121,領用表!$B:$B,BF$2&amp;$BI$1)</f>
        <v/>
      </c>
      <c r="BG121" s="207">
        <f>SUM(AU121,AV121,AW121,AX121,AY121,AZ121,BA121,BB121,BC121,BD121,BE121,BF121)</f>
        <v/>
      </c>
      <c r="BH121" s="207">
        <f>AVERAGE(AU121,AV121,AW121,AX121,AY121,AZ121,BA121,BB121,BC121,BD121,BE121,BF121)</f>
        <v/>
      </c>
      <c r="BI121" s="208">
        <f>SUMIFS(領用表!$L:$L,領用表!$E:$E,$B121,領用表!$B:$B,BI$2&amp;$BI$1)</f>
        <v/>
      </c>
      <c r="BJ121" s="208">
        <f>SUMIFS(領用表!$L:$L,領用表!$E:$E,$B121,領用表!$B:$B,BJ$2&amp;$BI$1)</f>
        <v/>
      </c>
      <c r="BK121" s="208">
        <f>SUMIFS(領用表!$L:$L,領用表!$E:$E,$B121,領用表!$B:$B,BK$2&amp;$BI$1)</f>
        <v/>
      </c>
      <c r="BL121" s="208">
        <f>SUMIFS(領用表!$L:$L,領用表!$E:$E,$B121,領用表!$B:$B,BL$2&amp;$BI$1)</f>
        <v/>
      </c>
      <c r="BM121" s="208">
        <f>SUMIFS(領用表!$L:$L,領用表!$E:$E,$B121,領用表!$B:$B,BM$2&amp;$BI$1)</f>
        <v/>
      </c>
      <c r="BN121" s="208" t="n"/>
      <c r="BO121" s="208">
        <f>SUMIFS(領用表!$L:$L,領用表!$E:$E,$B121,領用表!$B:$B,BO$2&amp;$BI$1)</f>
        <v/>
      </c>
      <c r="BP121" s="208">
        <f>SUMIFS(領用表!$L:$L,領用表!$E:$E,$B121,領用表!$B:$B,BP$2&amp;$BI$1)</f>
        <v/>
      </c>
      <c r="BQ121" s="208">
        <f>SUMIFS(領用表!$L:$L,領用表!$E:$E,$B121,領用表!$B:$B,BQ$2&amp;$BI$1)</f>
        <v/>
      </c>
      <c r="BR121" s="208">
        <f>SUMIFS(領用表!$L:$L,領用表!$E:$E,$B121,領用表!$B:$B,BR$2&amp;$BI$1)</f>
        <v/>
      </c>
      <c r="BS121" s="208">
        <f>SUMIFS(領用表!$L:$L,領用表!$E:$E,$B121,領用表!$B:$B,BS$2&amp;$BI$1)</f>
        <v/>
      </c>
      <c r="BT121" s="208">
        <f>SUMIFS(領用表!$L:$L,領用表!$E:$E,$B121,領用表!$B:$B,BT$2&amp;$BI$1)</f>
        <v/>
      </c>
      <c r="BU121" s="208">
        <f>SUM(BI121,BJ121,BK121,BL121,BM121,BN121)</f>
        <v/>
      </c>
      <c r="BV121" s="208">
        <f>AVERAGE(BI121,BJ121,BK121,BL121,BM121,BN121)</f>
        <v/>
      </c>
      <c r="BW121" s="208">
        <f>SUMIF(Summary!B:B,B121,Summary!DZ:DZ)</f>
        <v/>
      </c>
      <c r="BX121" s="384" t="n"/>
      <c r="BY121" s="340" t="n"/>
      <c r="BZ121" s="341" t="n"/>
      <c r="CA121" s="340" t="n"/>
      <c r="CB121" s="136" t="n"/>
      <c r="CC121" s="289" t="n"/>
    </row>
    <row r="122" ht="15.75" customFormat="1" customHeight="1" s="118" thickBot="1">
      <c r="A122" s="308" t="inlineStr">
        <is>
          <t>MB3ME090039A</t>
        </is>
      </c>
      <c r="B122" s="230" t="n">
        <v>6120038</v>
      </c>
      <c r="C122" s="309" t="inlineStr">
        <is>
          <t>(Vit C+B) 維他補舒Vitaplex 20ml/支</t>
        </is>
      </c>
      <c r="D122" s="307" t="n"/>
      <c r="E122" s="198" t="n"/>
      <c r="F122" s="349" t="n">
        <v>366</v>
      </c>
      <c r="G122" s="349" t="n"/>
      <c r="H122" s="349" t="n"/>
      <c r="I122" s="349" t="n"/>
      <c r="J122" s="349" t="n"/>
      <c r="K122" s="349" t="n"/>
      <c r="L122" s="349" t="n"/>
      <c r="M122" s="283" t="n"/>
      <c r="N122" s="283" t="n"/>
      <c r="O122" s="283" t="n"/>
      <c r="P122" s="283" t="n"/>
      <c r="Q122" s="283" t="n"/>
      <c r="R122" s="283" t="n"/>
      <c r="S122" s="283" t="n"/>
      <c r="T122" s="283" t="n"/>
      <c r="U122" s="283" t="n"/>
      <c r="V122" s="283" t="n"/>
      <c r="W122" s="283" t="n"/>
      <c r="X122" s="283" t="n"/>
      <c r="Y122" s="283" t="n"/>
      <c r="Z122" s="283" t="n"/>
      <c r="AA122" s="283" t="n"/>
      <c r="AB122" s="283" t="n"/>
      <c r="AC122" s="283" t="n"/>
      <c r="AD122" s="283" t="n"/>
      <c r="AE122" s="283" t="n"/>
      <c r="AF122" s="283" t="n"/>
      <c r="AG122" s="201" t="n"/>
      <c r="AH122" s="201" t="n"/>
      <c r="AI122" s="201" t="n"/>
      <c r="AJ122" s="201" t="n"/>
      <c r="AK122" s="201" t="n"/>
      <c r="AL122" s="201" t="n"/>
      <c r="AM122" s="201" t="n"/>
      <c r="AN122" s="201" t="n"/>
      <c r="AO122" s="201" t="n"/>
      <c r="AP122" s="201" t="n"/>
      <c r="AQ122" s="201" t="n"/>
      <c r="AR122" s="201" t="n"/>
      <c r="AS122" s="283" t="n"/>
      <c r="AT122" s="286" t="n"/>
      <c r="AU122" s="201" t="n"/>
      <c r="AV122" s="201" t="n"/>
      <c r="AW122" s="201" t="n"/>
      <c r="AX122" s="201" t="n"/>
      <c r="AY122" s="201" t="n"/>
      <c r="AZ122" s="203">
        <f>SUMIFS(領用表!$L:$L,領用表!$E:$E,$B122,領用表!$B:$B,AZ$2&amp;$BI$1)</f>
        <v/>
      </c>
      <c r="BA122" s="203">
        <f>SUMIFS(領用表!$L:$L,領用表!$E:$E,$B122,領用表!$B:$B,BA$2&amp;$BI$1)</f>
        <v/>
      </c>
      <c r="BB122" s="203">
        <f>SUMIFS(領用表!$L:$L,領用表!$E:$E,$B122,領用表!$B:$B,BB$2&amp;$BI$1)</f>
        <v/>
      </c>
      <c r="BC122" s="203">
        <f>SUMIFS(領用表!$L:$L,領用表!$E:$E,$B122,領用表!$B:$B,BC$2&amp;$BI$1)</f>
        <v/>
      </c>
      <c r="BD122" s="208">
        <f>SUMIFS(領用表!$L:$L,領用表!$E:$E,$B122,領用表!$B:$B,BD$2&amp;$BI$1)</f>
        <v/>
      </c>
      <c r="BE122" s="208">
        <f>SUMIFS(領用表!$L:$L,領用表!$E:$E,$B122,領用表!$B:$B,BE$2&amp;$BI$1)</f>
        <v/>
      </c>
      <c r="BF122" s="208">
        <f>SUMIFS(領用表!$L:$L,領用表!$E:$E,$B122,領用表!$B:$B,BF$2&amp;$BI$1)</f>
        <v/>
      </c>
      <c r="BG122" s="207">
        <f>SUM(AU122,AV122,AW122,AX122,AY122,AZ122,BA122,BB122,BC122,BD122,BE122,BF122)</f>
        <v/>
      </c>
      <c r="BH122" s="207">
        <f>AVERAGE(AU122,AV122,AW122,AX122,AY122,AZ122,BA122,BB122,BC122,BD122,BE122,BF122)</f>
        <v/>
      </c>
      <c r="BI122" s="208">
        <f>SUMIFS(領用表!$L:$L,領用表!$E:$E,$B122,領用表!$B:$B,BI$2&amp;$BI$1)</f>
        <v/>
      </c>
      <c r="BJ122" s="208">
        <f>SUMIFS(領用表!$L:$L,領用表!$E:$E,$B122,領用表!$B:$B,BJ$2&amp;$BI$1)</f>
        <v/>
      </c>
      <c r="BK122" s="208">
        <f>SUMIFS(領用表!$L:$L,領用表!$E:$E,$B122,領用表!$B:$B,BK$2&amp;$BI$1)</f>
        <v/>
      </c>
      <c r="BL122" s="208">
        <f>SUMIFS(領用表!$L:$L,領用表!$E:$E,$B122,領用表!$B:$B,BL$2&amp;$BI$1)</f>
        <v/>
      </c>
      <c r="BM122" s="208">
        <f>SUMIFS(領用表!$L:$L,領用表!$E:$E,$B122,領用表!$B:$B,BM$2&amp;$BI$1)</f>
        <v/>
      </c>
      <c r="BN122" s="208" t="n"/>
      <c r="BO122" s="208">
        <f>SUMIFS(領用表!$L:$L,領用表!$E:$E,$B122,領用表!$B:$B,BO$2&amp;$BI$1)</f>
        <v/>
      </c>
      <c r="BP122" s="208">
        <f>SUMIFS(領用表!$L:$L,領用表!$E:$E,$B122,領用表!$B:$B,BP$2&amp;$BI$1)</f>
        <v/>
      </c>
      <c r="BQ122" s="208">
        <f>SUMIFS(領用表!$L:$L,領用表!$E:$E,$B122,領用表!$B:$B,BQ$2&amp;$BI$1)</f>
        <v/>
      </c>
      <c r="BR122" s="208">
        <f>SUMIFS(領用表!$L:$L,領用表!$E:$E,$B122,領用表!$B:$B,BR$2&amp;$BI$1)</f>
        <v/>
      </c>
      <c r="BS122" s="208">
        <f>SUMIFS(領用表!$L:$L,領用表!$E:$E,$B122,領用表!$B:$B,BS$2&amp;$BI$1)</f>
        <v/>
      </c>
      <c r="BT122" s="208">
        <f>SUMIFS(領用表!$L:$L,領用表!$E:$E,$B122,領用表!$B:$B,BT$2&amp;$BI$1)</f>
        <v/>
      </c>
      <c r="BU122" s="208">
        <f>SUM(BI122,BJ122,BK122,BL122,BM122,BN122)</f>
        <v/>
      </c>
      <c r="BV122" s="208">
        <f>AVERAGE(BI122,BJ122,BK122,BL122,BM122,BN122)</f>
        <v/>
      </c>
      <c r="BW122" s="208">
        <f>SUMIF(Summary!B:B,B122,Summary!DZ:DZ)</f>
        <v/>
      </c>
      <c r="BX122" s="384" t="n"/>
      <c r="BY122" s="340" t="n"/>
      <c r="BZ122" s="341" t="n"/>
      <c r="CA122" s="340" t="n"/>
      <c r="CB122" s="136" t="n"/>
      <c r="CC122" s="289" t="n"/>
    </row>
    <row r="123" ht="15.75" customFormat="1" customHeight="1" s="118">
      <c r="A123" s="136" t="n"/>
      <c r="B123" s="118" t="n">
        <v>6120005</v>
      </c>
      <c r="C123" s="136" t="inlineStr">
        <is>
          <t>諾貝爾(維他命C 20ml)</t>
        </is>
      </c>
      <c r="D123" s="307" t="n">
        <v>50</v>
      </c>
      <c r="E123" s="198" t="inlineStr">
        <is>
          <t>PCS</t>
        </is>
      </c>
      <c r="F123" s="349" t="n"/>
      <c r="G123" s="349" t="n"/>
      <c r="H123" s="283" t="n"/>
      <c r="I123" s="283" t="n"/>
      <c r="J123" s="283" t="n"/>
      <c r="K123" s="283" t="n"/>
      <c r="L123" s="283" t="n"/>
      <c r="M123" s="283" t="n"/>
      <c r="N123" s="283" t="n"/>
      <c r="O123" s="283" t="n"/>
      <c r="P123" s="283" t="n"/>
      <c r="Q123" s="283" t="n"/>
      <c r="R123" s="283" t="n"/>
      <c r="S123" s="283" t="n"/>
      <c r="T123" s="283" t="n"/>
      <c r="U123" s="283" t="n"/>
      <c r="V123" s="283" t="n"/>
      <c r="W123" s="283" t="n"/>
      <c r="X123" s="283" t="n"/>
      <c r="Y123" s="283" t="n"/>
      <c r="Z123" s="283" t="n"/>
      <c r="AA123" s="283" t="n"/>
      <c r="AB123" s="283" t="n"/>
      <c r="AC123" s="283" t="n"/>
      <c r="AD123" s="283" t="n"/>
      <c r="AE123" s="283" t="n"/>
      <c r="AF123" s="283" t="n"/>
      <c r="AG123" s="201" t="n"/>
      <c r="AH123" s="201" t="n"/>
      <c r="AI123" s="201" t="n"/>
      <c r="AJ123" s="201" t="n"/>
      <c r="AK123" s="201" t="n"/>
      <c r="AL123" s="201" t="n"/>
      <c r="AM123" s="201" t="n"/>
      <c r="AN123" s="201" t="n">
        <v>0</v>
      </c>
      <c r="AO123" s="201" t="n">
        <v>0</v>
      </c>
      <c r="AP123" s="201" t="n">
        <v>0</v>
      </c>
      <c r="AQ123" s="201" t="n">
        <v>0</v>
      </c>
      <c r="AR123" s="201" t="n">
        <v>0</v>
      </c>
      <c r="AS123" s="283">
        <f>SUM(AG123:AR123)</f>
        <v/>
      </c>
      <c r="AT123" s="286">
        <f>AS123/12</f>
        <v/>
      </c>
      <c r="AU123" s="201" t="n">
        <v>0</v>
      </c>
      <c r="AV123" s="201" t="n">
        <v>0</v>
      </c>
      <c r="AW123" s="201" t="n">
        <v>14</v>
      </c>
      <c r="AX123" s="201" t="n">
        <v>35</v>
      </c>
      <c r="AY123" s="201">
        <f>10+68</f>
        <v/>
      </c>
      <c r="AZ123" s="203">
        <f>SUMIFS(領用表!$L:$L,領用表!$E:$E,$B123,領用表!$B:$B,AZ$2&amp;$BI$1)</f>
        <v/>
      </c>
      <c r="BA123" s="203">
        <f>SUMIFS(領用表!$L:$L,領用表!$E:$E,$B123,領用表!$B:$B,BA$2&amp;$BI$1)</f>
        <v/>
      </c>
      <c r="BB123" s="203">
        <f>SUMIFS(領用表!$L:$L,領用表!$E:$E,$B123,領用表!$B:$B,BB$2&amp;$BI$1)</f>
        <v/>
      </c>
      <c r="BC123" s="203">
        <f>SUMIFS(領用表!$L:$L,領用表!$E:$E,$B123,領用表!$B:$B,BC$2&amp;$BI$1)</f>
        <v/>
      </c>
      <c r="BD123" s="208">
        <f>SUMIFS(領用表!$L:$L,領用表!$E:$E,$B123,領用表!$B:$B,BD$2&amp;$BI$1)</f>
        <v/>
      </c>
      <c r="BE123" s="208">
        <f>SUMIFS(領用表!$L:$L,領用表!$E:$E,$B123,領用表!$B:$B,BE$2&amp;$BI$1)</f>
        <v/>
      </c>
      <c r="BF123" s="208">
        <f>SUMIFS(領用表!$L:$L,領用表!$E:$E,$B123,領用表!$B:$B,BF$2&amp;$BI$1)</f>
        <v/>
      </c>
      <c r="BG123" s="207">
        <f>SUM(AU123,AV123,AW123,AX123,AY123,AZ123,BA123,BB123,BC123,BD123,BE123,BF123)</f>
        <v/>
      </c>
      <c r="BH123" s="207">
        <f>AVERAGE(AU123,AV123,AW123,AX123,AY123,AZ123,BA123,BB123,BC123,BD123,BE123,BF123)</f>
        <v/>
      </c>
      <c r="BI123" s="208">
        <f>SUMIFS(領用表!$L:$L,領用表!$E:$E,$B123,領用表!$B:$B,BI$2&amp;$BI$1)</f>
        <v/>
      </c>
      <c r="BJ123" s="208">
        <f>SUMIFS(領用表!$L:$L,領用表!$E:$E,$B123,領用表!$B:$B,BJ$2&amp;$BI$1)</f>
        <v/>
      </c>
      <c r="BK123" s="208">
        <f>SUMIFS(領用表!$L:$L,領用表!$E:$E,$B123,領用表!$B:$B,BK$2&amp;$BI$1)</f>
        <v/>
      </c>
      <c r="BL123" s="208">
        <f>SUMIFS(領用表!$L:$L,領用表!$E:$E,$B123,領用表!$B:$B,BL$2&amp;$BI$1)</f>
        <v/>
      </c>
      <c r="BM123" s="208">
        <f>SUMIFS(領用表!$L:$L,領用表!$E:$E,$B123,領用表!$B:$B,BM$2&amp;$BI$1)</f>
        <v/>
      </c>
      <c r="BN123" s="208" t="n"/>
      <c r="BO123" s="208">
        <f>SUMIFS(領用表!$L:$L,領用表!$E:$E,$B123,領用表!$B:$B,BO$2&amp;$BI$1)</f>
        <v/>
      </c>
      <c r="BP123" s="208">
        <f>SUMIFS(領用表!$L:$L,領用表!$E:$E,$B123,領用表!$B:$B,BP$2&amp;$BI$1)</f>
        <v/>
      </c>
      <c r="BQ123" s="208">
        <f>SUMIFS(領用表!$L:$L,領用表!$E:$E,$B123,領用表!$B:$B,BQ$2&amp;$BI$1)</f>
        <v/>
      </c>
      <c r="BR123" s="208">
        <f>SUMIFS(領用表!$L:$L,領用表!$E:$E,$B123,領用表!$B:$B,BR$2&amp;$BI$1)</f>
        <v/>
      </c>
      <c r="BS123" s="208">
        <f>SUMIFS(領用表!$L:$L,領用表!$E:$E,$B123,領用表!$B:$B,BS$2&amp;$BI$1)</f>
        <v/>
      </c>
      <c r="BT123" s="208">
        <f>SUMIFS(領用表!$L:$L,領用表!$E:$E,$B123,領用表!$B:$B,BT$2&amp;$BI$1)</f>
        <v/>
      </c>
      <c r="BU123" s="208">
        <f>SUM(BI123,BJ123,BK123,BL123,BM123,BN123)</f>
        <v/>
      </c>
      <c r="BV123" s="208">
        <f>AVERAGE(BI123,BJ123,BK123,BL123,BM123,BN123)</f>
        <v/>
      </c>
      <c r="BW123" s="208">
        <f>SUMIF(Summary!B:B,B123,Summary!DZ:DZ)</f>
        <v/>
      </c>
      <c r="BX123" s="384" t="n"/>
      <c r="BY123" s="340" t="n"/>
      <c r="BZ123" s="341" t="inlineStr">
        <is>
          <t>50-10/22</t>
        </is>
      </c>
      <c r="CA123" s="340" t="n"/>
      <c r="CB123" s="136" t="n"/>
      <c r="CC123" s="289" t="n"/>
    </row>
    <row r="124" ht="15.75" customFormat="1" customHeight="1" s="118">
      <c r="A124" s="136" t="n"/>
      <c r="B124" s="118" t="e">
        <v>#N/A</v>
      </c>
      <c r="C124" s="136" t="inlineStr">
        <is>
          <t>B6 維他命乙6注射液 5毫克/毫升 2ml</t>
        </is>
      </c>
      <c r="D124" s="307" t="n">
        <v>100</v>
      </c>
      <c r="E124" s="198" t="inlineStr">
        <is>
          <t>PCS</t>
        </is>
      </c>
      <c r="F124" s="349" t="n"/>
      <c r="G124" s="349" t="n"/>
      <c r="H124" s="283" t="n"/>
      <c r="I124" s="283" t="n"/>
      <c r="J124" s="283" t="n"/>
      <c r="K124" s="283" t="n"/>
      <c r="L124" s="283" t="n"/>
      <c r="M124" s="283" t="n"/>
      <c r="N124" s="283" t="n"/>
      <c r="O124" s="283" t="n"/>
      <c r="P124" s="283" t="n"/>
      <c r="Q124" s="283" t="n"/>
      <c r="R124" s="283" t="n"/>
      <c r="S124" s="283" t="n"/>
      <c r="T124" s="283" t="n"/>
      <c r="U124" s="283" t="n"/>
      <c r="V124" s="283" t="n"/>
      <c r="W124" s="283" t="n"/>
      <c r="X124" s="283" t="n"/>
      <c r="Y124" s="283" t="n"/>
      <c r="Z124" s="283" t="n"/>
      <c r="AA124" s="283" t="n"/>
      <c r="AB124" s="283" t="n"/>
      <c r="AC124" s="283" t="n"/>
      <c r="AD124" s="283" t="n"/>
      <c r="AE124" s="283" t="n"/>
      <c r="AF124" s="283" t="n"/>
      <c r="AG124" s="201" t="n"/>
      <c r="AH124" s="201" t="n"/>
      <c r="AI124" s="201" t="n"/>
      <c r="AJ124" s="201" t="n"/>
      <c r="AK124" s="201" t="n"/>
      <c r="AL124" s="201" t="n"/>
      <c r="AM124" s="201" t="n"/>
      <c r="AN124" s="201" t="n">
        <v>0</v>
      </c>
      <c r="AO124" s="201" t="n">
        <v>0</v>
      </c>
      <c r="AP124" s="201" t="n">
        <v>0</v>
      </c>
      <c r="AQ124" s="201" t="n">
        <v>0</v>
      </c>
      <c r="AR124" s="201" t="n">
        <v>0</v>
      </c>
      <c r="AS124" s="283">
        <f>SUM(AG124:AR124)</f>
        <v/>
      </c>
      <c r="AT124" s="286">
        <f>AS124/12</f>
        <v/>
      </c>
      <c r="AU124" s="201" t="n">
        <v>0</v>
      </c>
      <c r="AV124" s="201" t="n">
        <v>0</v>
      </c>
      <c r="AW124" s="201" t="n">
        <v>10</v>
      </c>
      <c r="AX124" s="201" t="n">
        <v>9</v>
      </c>
      <c r="AY124" s="201">
        <f>0+2</f>
        <v/>
      </c>
      <c r="AZ124" s="203">
        <f>SUMIFS(領用表!$L:$L,領用表!$E:$E,$B124,領用表!$B:$B,AZ$2&amp;$BI$1)</f>
        <v/>
      </c>
      <c r="BA124" s="203">
        <f>SUMIFS(領用表!$L:$L,領用表!$E:$E,$B124,領用表!$B:$B,BA$2&amp;$BI$1)</f>
        <v/>
      </c>
      <c r="BB124" s="203">
        <f>SUMIFS(領用表!$L:$L,領用表!$E:$E,$B124,領用表!$B:$B,BB$2&amp;$BI$1)</f>
        <v/>
      </c>
      <c r="BC124" s="203">
        <f>SUMIFS(領用表!$L:$L,領用表!$E:$E,$B124,領用表!$B:$B,BC$2&amp;$BI$1)</f>
        <v/>
      </c>
      <c r="BD124" s="208">
        <f>SUMIFS(領用表!$L:$L,領用表!$E:$E,$B124,領用表!$B:$B,BD$2&amp;$BI$1)</f>
        <v/>
      </c>
      <c r="BE124" s="208">
        <f>SUMIFS(領用表!$L:$L,領用表!$E:$E,$B124,領用表!$B:$B,BE$2&amp;$BI$1)</f>
        <v/>
      </c>
      <c r="BF124" s="208">
        <f>SUMIFS(領用表!$L:$L,領用表!$E:$E,$B124,領用表!$B:$B,BF$2&amp;$BI$1)</f>
        <v/>
      </c>
      <c r="BG124" s="207">
        <f>SUM(AU124,AV124,AW124,AX124,AY124,AZ124,BA124,BB124,BC124,BD124,BE124,BF124)</f>
        <v/>
      </c>
      <c r="BH124" s="207">
        <f>AVERAGE(AU124,AV124,AW124,AX124,AY124,AZ124,BA124,BB124,BC124,BD124,BE124,BF124)</f>
        <v/>
      </c>
      <c r="BI124" s="208">
        <f>SUMIFS(領用表!$L:$L,領用表!$E:$E,$B124,領用表!$B:$B,BI$2&amp;$BI$1)</f>
        <v/>
      </c>
      <c r="BJ124" s="208">
        <f>SUMIFS(領用表!$L:$L,領用表!$E:$E,$B124,領用表!$B:$B,BJ$2&amp;$BI$1)</f>
        <v/>
      </c>
      <c r="BK124" s="208">
        <f>SUMIFS(領用表!$L:$L,領用表!$E:$E,$B124,領用表!$B:$B,BK$2&amp;$BI$1)</f>
        <v/>
      </c>
      <c r="BL124" s="208">
        <f>SUMIFS(領用表!$L:$L,領用表!$E:$E,$B124,領用表!$B:$B,BL$2&amp;$BI$1)</f>
        <v/>
      </c>
      <c r="BM124" s="208">
        <f>SUMIFS(領用表!$L:$L,領用表!$E:$E,$B124,領用表!$B:$B,BM$2&amp;$BI$1)</f>
        <v/>
      </c>
      <c r="BN124" s="208">
        <f>SUMIFS(領用表!$L:$L,領用表!$E:$E,$B124,領用表!$B:$B,BN$2&amp;$BI$1)</f>
        <v/>
      </c>
      <c r="BO124" s="208">
        <f>SUMIFS(領用表!$L:$L,領用表!$E:$E,$B124,領用表!$B:$B,BO$2&amp;$BI$1)</f>
        <v/>
      </c>
      <c r="BP124" s="208">
        <f>SUMIFS(領用表!$L:$L,領用表!$E:$E,$B124,領用表!$B:$B,BP$2&amp;$BI$1)</f>
        <v/>
      </c>
      <c r="BQ124" s="208">
        <f>SUMIFS(領用表!$L:$L,領用表!$E:$E,$B124,領用表!$B:$B,BQ$2&amp;$BI$1)</f>
        <v/>
      </c>
      <c r="BR124" s="208">
        <f>SUMIFS(領用表!$L:$L,領用表!$E:$E,$B124,領用表!$B:$B,BR$2&amp;$BI$1)</f>
        <v/>
      </c>
      <c r="BS124" s="208">
        <f>SUMIFS(領用表!$L:$L,領用表!$E:$E,$B124,領用表!$B:$B,BS$2&amp;$BI$1)</f>
        <v/>
      </c>
      <c r="BT124" s="208">
        <f>SUMIFS(領用表!$L:$L,領用表!$E:$E,$B124,領用表!$B:$B,BT$2&amp;$BI$1)</f>
        <v/>
      </c>
      <c r="BU124" s="208">
        <f>SUM(BI124,BJ124,BK124,BL124,BM124,BN124)</f>
        <v/>
      </c>
      <c r="BV124" s="208">
        <f>AVERAGE(BI124,BJ124,BK124,BL124,BM124,BN124)</f>
        <v/>
      </c>
      <c r="BW124" s="208">
        <f>SUMIF(Summary!B:B,B124,Summary!DZ:DZ)</f>
        <v/>
      </c>
      <c r="BX124" s="384" t="n"/>
      <c r="BY124" s="340" t="n"/>
      <c r="BZ124" s="340" t="n"/>
      <c r="CA124" s="340" t="n"/>
      <c r="CB124" s="136" t="n"/>
      <c r="CC124" s="289" t="n"/>
    </row>
    <row r="125" ht="15.75" customFormat="1" customHeight="1" s="118">
      <c r="A125" s="136" t="n"/>
      <c r="B125" s="118" t="e">
        <v>#N/A</v>
      </c>
      <c r="C125" s="136" t="inlineStr">
        <is>
          <t>金恩特</t>
        </is>
      </c>
      <c r="D125" s="285" t="n"/>
      <c r="E125" s="198" t="inlineStr">
        <is>
          <t>PCS</t>
        </is>
      </c>
      <c r="F125" s="349" t="n"/>
      <c r="G125" s="349" t="n"/>
      <c r="H125" s="283" t="n"/>
      <c r="I125" s="283" t="n"/>
      <c r="J125" s="283" t="n"/>
      <c r="K125" s="283" t="n"/>
      <c r="L125" s="283" t="n"/>
      <c r="M125" s="283" t="n"/>
      <c r="N125" s="283" t="n"/>
      <c r="O125" s="283" t="n"/>
      <c r="P125" s="283" t="n"/>
      <c r="Q125" s="283" t="n"/>
      <c r="R125" s="283" t="n"/>
      <c r="S125" s="283" t="n"/>
      <c r="T125" s="283" t="n"/>
      <c r="U125" s="283" t="n"/>
      <c r="V125" s="283" t="n"/>
      <c r="W125" s="283" t="n"/>
      <c r="X125" s="283" t="n"/>
      <c r="Y125" s="283" t="n"/>
      <c r="Z125" s="283" t="n"/>
      <c r="AA125" s="283" t="n"/>
      <c r="AB125" s="283" t="n"/>
      <c r="AC125" s="283" t="n"/>
      <c r="AD125" s="283" t="n"/>
      <c r="AE125" s="283" t="n"/>
      <c r="AF125" s="283" t="n"/>
      <c r="AG125" s="201" t="n"/>
      <c r="AH125" s="201" t="n"/>
      <c r="AI125" s="201" t="n"/>
      <c r="AJ125" s="201" t="n"/>
      <c r="AK125" s="201" t="n"/>
      <c r="AL125" s="201" t="n"/>
      <c r="AM125" s="201" t="n"/>
      <c r="AN125" s="201" t="n"/>
      <c r="AO125" s="201" t="n"/>
      <c r="AP125" s="201" t="n"/>
      <c r="AQ125" s="201" t="n"/>
      <c r="AR125" s="201" t="n"/>
      <c r="AS125" s="283">
        <f>SUM(AG125:AR125)</f>
        <v/>
      </c>
      <c r="AT125" s="286">
        <f>AS125/12</f>
        <v/>
      </c>
      <c r="AU125" s="201" t="n">
        <v>0</v>
      </c>
      <c r="AV125" s="201" t="n">
        <v>0</v>
      </c>
      <c r="AW125" s="201" t="n">
        <v>1</v>
      </c>
      <c r="AX125" s="201" t="n">
        <v>0</v>
      </c>
      <c r="AY125" s="201" t="n">
        <v>0</v>
      </c>
      <c r="AZ125" s="203">
        <f>SUMIFS(領用表!$L:$L,領用表!$E:$E,$B125,領用表!$B:$B,AZ$2&amp;$BI$1)</f>
        <v/>
      </c>
      <c r="BA125" s="203">
        <f>SUMIFS(領用表!$L:$L,領用表!$E:$E,$B125,領用表!$B:$B,BA$2&amp;$BI$1)</f>
        <v/>
      </c>
      <c r="BB125" s="203">
        <f>SUMIFS(領用表!$L:$L,領用表!$E:$E,$B125,領用表!$B:$B,BB$2&amp;$BI$1)</f>
        <v/>
      </c>
      <c r="BC125" s="203">
        <f>SUMIFS(領用表!$L:$L,領用表!$E:$E,$B125,領用表!$B:$B,BC$2&amp;$BI$1)</f>
        <v/>
      </c>
      <c r="BD125" s="208">
        <f>SUMIFS(領用表!$L:$L,領用表!$E:$E,$B125,領用表!$B:$B,BD$2&amp;$BI$1)</f>
        <v/>
      </c>
      <c r="BE125" s="208">
        <f>SUMIFS(領用表!$L:$L,領用表!$E:$E,$B125,領用表!$B:$B,BE$2&amp;$BI$1)</f>
        <v/>
      </c>
      <c r="BF125" s="208">
        <f>SUMIFS(領用表!$L:$L,領用表!$E:$E,$B125,領用表!$B:$B,BF$2&amp;$BI$1)</f>
        <v/>
      </c>
      <c r="BG125" s="207">
        <f>SUM(AU125,AV125,AW125,AX125,AY125,AZ125,BA125,BB125,BC125,BD125,BE125,BF125)</f>
        <v/>
      </c>
      <c r="BH125" s="207">
        <f>AVERAGE(AU125,AV125,AW125,AX125,AY125,AZ125,BA125,BB125,BC125,BD125,BE125,BF125)</f>
        <v/>
      </c>
      <c r="BI125" s="208">
        <f>SUMIFS(領用表!$L:$L,領用表!$E:$E,$B125,領用表!$B:$B,BI$2&amp;$BI$1)</f>
        <v/>
      </c>
      <c r="BJ125" s="208">
        <f>SUMIFS(領用表!$L:$L,領用表!$E:$E,$B125,領用表!$B:$B,BJ$2&amp;$BI$1)</f>
        <v/>
      </c>
      <c r="BK125" s="208">
        <f>SUMIFS(領用表!$L:$L,領用表!$E:$E,$B125,領用表!$B:$B,BK$2&amp;$BI$1)</f>
        <v/>
      </c>
      <c r="BL125" s="208">
        <f>SUMIFS(領用表!$L:$L,領用表!$E:$E,$B125,領用表!$B:$B,BL$2&amp;$BI$1)</f>
        <v/>
      </c>
      <c r="BM125" s="208">
        <f>SUMIFS(領用表!$L:$L,領用表!$E:$E,$B125,領用表!$B:$B,BM$2&amp;$BI$1)</f>
        <v/>
      </c>
      <c r="BN125" s="208">
        <f>SUMIFS(領用表!$L:$L,領用表!$E:$E,$B125,領用表!$B:$B,BN$2&amp;$BI$1)</f>
        <v/>
      </c>
      <c r="BO125" s="208">
        <f>SUMIFS(領用表!$L:$L,領用表!$E:$E,$B125,領用表!$B:$B,BO$2&amp;$BI$1)</f>
        <v/>
      </c>
      <c r="BP125" s="208">
        <f>SUMIFS(領用表!$L:$L,領用表!$E:$E,$B125,領用表!$B:$B,BP$2&amp;$BI$1)</f>
        <v/>
      </c>
      <c r="BQ125" s="208">
        <f>SUMIFS(領用表!$L:$L,領用表!$E:$E,$B125,領用表!$B:$B,BQ$2&amp;$BI$1)</f>
        <v/>
      </c>
      <c r="BR125" s="208">
        <f>SUMIFS(領用表!$L:$L,領用表!$E:$E,$B125,領用表!$B:$B,BR$2&amp;$BI$1)</f>
        <v/>
      </c>
      <c r="BS125" s="208">
        <f>SUMIFS(領用表!$L:$L,領用表!$E:$E,$B125,領用表!$B:$B,BS$2&amp;$BI$1)</f>
        <v/>
      </c>
      <c r="BT125" s="208">
        <f>SUMIFS(領用表!$L:$L,領用表!$E:$E,$B125,領用表!$B:$B,BT$2&amp;$BI$1)</f>
        <v/>
      </c>
      <c r="BU125" s="208">
        <f>SUM(BI125,BJ125,BK125,BL125,BM125,BN125)</f>
        <v/>
      </c>
      <c r="BV125" s="208">
        <f>AVERAGE(BI125,BJ125,BK125,BL125,BM125,BN125)</f>
        <v/>
      </c>
      <c r="BW125" s="208">
        <f>SUMIF(Summary!B:B,B125,Summary!DZ:DZ)</f>
        <v/>
      </c>
      <c r="BX125" s="384" t="n"/>
      <c r="BY125" s="340" t="n"/>
      <c r="BZ125" s="340" t="n"/>
      <c r="CA125" s="340" t="n"/>
      <c r="CB125" s="136" t="n"/>
      <c r="CC125" s="136" t="n"/>
      <c r="CE125" s="213" t="n"/>
    </row>
    <row r="126" ht="15.75" customFormat="1" customHeight="1" s="118">
      <c r="A126" s="136" t="n"/>
      <c r="B126" s="118" t="e">
        <v>#N/A</v>
      </c>
      <c r="C126" s="136" t="inlineStr">
        <is>
          <t>可特1ml</t>
        </is>
      </c>
      <c r="D126" s="285" t="n"/>
      <c r="E126" s="198" t="inlineStr">
        <is>
          <t>PCS</t>
        </is>
      </c>
      <c r="F126" s="349" t="n"/>
      <c r="G126" s="349" t="n"/>
      <c r="H126" s="283" t="n"/>
      <c r="I126" s="283" t="n"/>
      <c r="J126" s="283" t="n"/>
      <c r="K126" s="283" t="n"/>
      <c r="L126" s="283" t="n"/>
      <c r="M126" s="283" t="n"/>
      <c r="N126" s="283" t="n"/>
      <c r="O126" s="283" t="n"/>
      <c r="P126" s="283" t="n"/>
      <c r="Q126" s="283" t="n"/>
      <c r="R126" s="283" t="n"/>
      <c r="S126" s="283" t="n"/>
      <c r="T126" s="283" t="n"/>
      <c r="U126" s="283" t="n"/>
      <c r="V126" s="283" t="n"/>
      <c r="W126" s="283" t="n"/>
      <c r="X126" s="283" t="n"/>
      <c r="Y126" s="283" t="n"/>
      <c r="Z126" s="283" t="n"/>
      <c r="AA126" s="283" t="n"/>
      <c r="AB126" s="283" t="n"/>
      <c r="AC126" s="283" t="n"/>
      <c r="AD126" s="283" t="n"/>
      <c r="AE126" s="283" t="n"/>
      <c r="AF126" s="283" t="n"/>
      <c r="AG126" s="201" t="n"/>
      <c r="AH126" s="201" t="n"/>
      <c r="AI126" s="201" t="n"/>
      <c r="AJ126" s="201" t="n"/>
      <c r="AK126" s="201" t="n"/>
      <c r="AL126" s="201" t="n"/>
      <c r="AM126" s="201" t="n"/>
      <c r="AN126" s="201" t="n"/>
      <c r="AO126" s="201" t="n"/>
      <c r="AP126" s="201" t="n"/>
      <c r="AQ126" s="201" t="n"/>
      <c r="AR126" s="201" t="n"/>
      <c r="AS126" s="283">
        <f>SUM(AG126:AR126)</f>
        <v/>
      </c>
      <c r="AT126" s="286">
        <f>AS126/12</f>
        <v/>
      </c>
      <c r="AU126" s="201" t="n">
        <v>0</v>
      </c>
      <c r="AV126" s="201" t="n">
        <v>0</v>
      </c>
      <c r="AW126" s="201" t="n">
        <v>0</v>
      </c>
      <c r="AX126" s="201" t="n">
        <v>0</v>
      </c>
      <c r="AY126" s="201" t="n">
        <v>0</v>
      </c>
      <c r="AZ126" s="203">
        <f>SUMIFS(領用表!$L:$L,領用表!$E:$E,$B126,領用表!$B:$B,AZ$2&amp;$BI$1)</f>
        <v/>
      </c>
      <c r="BA126" s="203">
        <f>SUMIFS(領用表!$L:$L,領用表!$E:$E,$B126,領用表!$B:$B,BA$2&amp;$BI$1)</f>
        <v/>
      </c>
      <c r="BB126" s="203">
        <f>SUMIFS(領用表!$L:$L,領用表!$E:$E,$B126,領用表!$B:$B,BB$2&amp;$BI$1)</f>
        <v/>
      </c>
      <c r="BC126" s="203">
        <f>SUMIFS(領用表!$L:$L,領用表!$E:$E,$B126,領用表!$B:$B,BC$2&amp;$BI$1)</f>
        <v/>
      </c>
      <c r="BD126" s="208">
        <f>SUMIFS(領用表!$L:$L,領用表!$E:$E,$B126,領用表!$B:$B,BD$2&amp;$BI$1)</f>
        <v/>
      </c>
      <c r="BE126" s="208">
        <f>SUMIFS(領用表!$L:$L,領用表!$E:$E,$B126,領用表!$B:$B,BE$2&amp;$BI$1)</f>
        <v/>
      </c>
      <c r="BF126" s="208">
        <f>SUMIFS(領用表!$L:$L,領用表!$E:$E,$B126,領用表!$B:$B,BF$2&amp;$BI$1)</f>
        <v/>
      </c>
      <c r="BG126" s="207">
        <f>SUM(AU126,AV126,AW126,AX126,AY126,AZ126,BA126,BB126,BC126,BD126,BE126,BF126)</f>
        <v/>
      </c>
      <c r="BH126" s="207">
        <f>AVERAGE(AU126,AV126,AW126,AX126,AY126,AZ126,BA126,BB126,BC126,BD126,BE126,BF126)</f>
        <v/>
      </c>
      <c r="BI126" s="208">
        <f>SUMIFS(領用表!$L:$L,領用表!$E:$E,$B126,領用表!$B:$B,BI$2&amp;$BI$1)</f>
        <v/>
      </c>
      <c r="BJ126" s="208">
        <f>SUMIFS(領用表!$L:$L,領用表!$E:$E,$B126,領用表!$B:$B,BJ$2&amp;$BI$1)</f>
        <v/>
      </c>
      <c r="BK126" s="208">
        <f>SUMIFS(領用表!$L:$L,領用表!$E:$E,$B126,領用表!$B:$B,BK$2&amp;$BI$1)</f>
        <v/>
      </c>
      <c r="BL126" s="208">
        <f>SUMIFS(領用表!$L:$L,領用表!$E:$E,$B126,領用表!$B:$B,BL$2&amp;$BI$1)</f>
        <v/>
      </c>
      <c r="BM126" s="208">
        <f>SUMIFS(領用表!$L:$L,領用表!$E:$E,$B126,領用表!$B:$B,BM$2&amp;$BI$1)</f>
        <v/>
      </c>
      <c r="BN126" s="208">
        <f>SUMIFS(領用表!$L:$L,領用表!$E:$E,$B126,領用表!$B:$B,BN$2&amp;$BI$1)</f>
        <v/>
      </c>
      <c r="BO126" s="208">
        <f>SUMIFS(領用表!$L:$L,領用表!$E:$E,$B126,領用表!$B:$B,BO$2&amp;$BI$1)</f>
        <v/>
      </c>
      <c r="BP126" s="208">
        <f>SUMIFS(領用表!$L:$L,領用表!$E:$E,$B126,領用表!$B:$B,BP$2&amp;$BI$1)</f>
        <v/>
      </c>
      <c r="BQ126" s="208">
        <f>SUMIFS(領用表!$L:$L,領用表!$E:$E,$B126,領用表!$B:$B,BQ$2&amp;$BI$1)</f>
        <v/>
      </c>
      <c r="BR126" s="208">
        <f>SUMIFS(領用表!$L:$L,領用表!$E:$E,$B126,領用表!$B:$B,BR$2&amp;$BI$1)</f>
        <v/>
      </c>
      <c r="BS126" s="208">
        <f>SUMIFS(領用表!$L:$L,領用表!$E:$E,$B126,領用表!$B:$B,BS$2&amp;$BI$1)</f>
        <v/>
      </c>
      <c r="BT126" s="208">
        <f>SUMIFS(領用表!$L:$L,領用表!$E:$E,$B126,領用表!$B:$B,BT$2&amp;$BI$1)</f>
        <v/>
      </c>
      <c r="BU126" s="208">
        <f>SUM(BI126,BJ126,BK126,BL126,BM126,BN126)</f>
        <v/>
      </c>
      <c r="BV126" s="208">
        <f>AVERAGE(BI126,BJ126,BK126,BL126,BM126,BN126)</f>
        <v/>
      </c>
      <c r="BW126" s="208">
        <f>SUMIF(Summary!B:B,B126,Summary!DZ:DZ)</f>
        <v/>
      </c>
      <c r="BX126" s="258" t="n"/>
      <c r="BY126" s="340" t="n"/>
      <c r="BZ126" s="340" t="n"/>
      <c r="CA126" s="340" t="n"/>
      <c r="CB126" s="136" t="n"/>
      <c r="CC126" s="136" t="n"/>
      <c r="CE126" s="213" t="n"/>
    </row>
    <row r="127" ht="15.75" customFormat="1" customHeight="1" s="118">
      <c r="A127" s="136" t="n"/>
      <c r="B127" s="118" t="n">
        <v>6110004</v>
      </c>
      <c r="C127" s="136" t="inlineStr">
        <is>
          <t>痘痘貼 60入/盒</t>
        </is>
      </c>
      <c r="D127" s="285" t="n">
        <v>60</v>
      </c>
      <c r="E127" s="198" t="inlineStr">
        <is>
          <t>PCS</t>
        </is>
      </c>
      <c r="F127" s="349" t="n"/>
      <c r="G127" s="349" t="n"/>
      <c r="H127" s="283" t="n"/>
      <c r="I127" s="283" t="n"/>
      <c r="J127" s="283" t="n"/>
      <c r="K127" s="283" t="n"/>
      <c r="L127" s="283" t="n"/>
      <c r="M127" s="283" t="n"/>
      <c r="N127" s="283" t="n"/>
      <c r="O127" s="283" t="n"/>
      <c r="P127" s="283" t="n"/>
      <c r="Q127" s="283" t="n"/>
      <c r="R127" s="283" t="n"/>
      <c r="S127" s="283" t="n"/>
      <c r="T127" s="283" t="n"/>
      <c r="U127" s="283" t="n"/>
      <c r="V127" s="283" t="n"/>
      <c r="W127" s="283" t="n"/>
      <c r="X127" s="283" t="n"/>
      <c r="Y127" s="283" t="n"/>
      <c r="Z127" s="283" t="n"/>
      <c r="AA127" s="283" t="n"/>
      <c r="AB127" s="283" t="n"/>
      <c r="AC127" s="283" t="n"/>
      <c r="AD127" s="283" t="n"/>
      <c r="AE127" s="283" t="n"/>
      <c r="AF127" s="283" t="n"/>
      <c r="AG127" s="201" t="n"/>
      <c r="AH127" s="201" t="n"/>
      <c r="AI127" s="201" t="n"/>
      <c r="AJ127" s="201" t="n"/>
      <c r="AK127" s="201" t="n"/>
      <c r="AL127" s="201" t="n"/>
      <c r="AM127" s="201" t="n"/>
      <c r="AN127" s="201" t="n"/>
      <c r="AO127" s="201" t="n"/>
      <c r="AP127" s="201" t="n"/>
      <c r="AQ127" s="201" t="n"/>
      <c r="AR127" s="201" t="n"/>
      <c r="AS127" s="283">
        <f>SUM(AG127:AR127)</f>
        <v/>
      </c>
      <c r="AT127" s="286">
        <f>AS127/12</f>
        <v/>
      </c>
      <c r="AU127" s="201" t="n">
        <v>0</v>
      </c>
      <c r="AV127" s="201" t="n">
        <v>0</v>
      </c>
      <c r="AW127" s="201" t="n">
        <v>2</v>
      </c>
      <c r="AX127" s="201" t="n">
        <v>3</v>
      </c>
      <c r="AY127" s="201" t="n">
        <v>1</v>
      </c>
      <c r="AZ127" s="203">
        <f>SUMIFS(領用表!$L:$L,領用表!$E:$E,$B127,領用表!$B:$B,AZ$2&amp;$BI$1)</f>
        <v/>
      </c>
      <c r="BA127" s="203">
        <f>SUMIFS(領用表!$L:$L,領用表!$E:$E,$B127,領用表!$B:$B,BA$2&amp;$BI$1)</f>
        <v/>
      </c>
      <c r="BB127" s="203">
        <f>SUMIFS(領用表!$L:$L,領用表!$E:$E,$B127,領用表!$B:$B,BB$2&amp;$BI$1)</f>
        <v/>
      </c>
      <c r="BC127" s="203">
        <f>SUMIFS(領用表!$L:$L,領用表!$E:$E,$B127,領用表!$B:$B,BC$2&amp;$BI$1)</f>
        <v/>
      </c>
      <c r="BD127" s="208">
        <f>SUMIFS(領用表!$L:$L,領用表!$E:$E,$B127,領用表!$B:$B,BD$2&amp;$BI$1)</f>
        <v/>
      </c>
      <c r="BE127" s="208">
        <f>SUMIFS(領用表!$L:$L,領用表!$E:$E,$B127,領用表!$B:$B,BE$2&amp;$BI$1)</f>
        <v/>
      </c>
      <c r="BF127" s="208">
        <f>SUMIFS(領用表!$L:$L,領用表!$E:$E,$B127,領用表!$B:$B,BF$2&amp;$BI$1)</f>
        <v/>
      </c>
      <c r="BG127" s="207">
        <f>SUM(AU127,AV127,AW127,AX127,AY127,AZ127,BA127,BB127,BC127,BD127,BE127,BF127)</f>
        <v/>
      </c>
      <c r="BH127" s="207">
        <f>AVERAGE(AU127,AV127,AW127,AX127,AY127,AZ127,BA127,BB127,BC127,BD127,BE127,BF127)</f>
        <v/>
      </c>
      <c r="BI127" s="208">
        <f>SUMIFS(領用表!$L:$L,領用表!$E:$E,$B127,領用表!$B:$B,BI$2&amp;$BI$1)</f>
        <v/>
      </c>
      <c r="BJ127" s="208">
        <f>SUMIFS(領用表!$L:$L,領用表!$E:$E,$B127,領用表!$B:$B,BJ$2&amp;$BI$1)</f>
        <v/>
      </c>
      <c r="BK127" s="208">
        <f>SUMIFS(領用表!$L:$L,領用表!$E:$E,$B127,領用表!$B:$B,BK$2&amp;$BI$1)</f>
        <v/>
      </c>
      <c r="BL127" s="208">
        <f>SUMIFS(領用表!$L:$L,領用表!$E:$E,$B127,領用表!$B:$B,BL$2&amp;$BI$1)</f>
        <v/>
      </c>
      <c r="BM127" s="208">
        <f>SUMIFS(領用表!$L:$L,領用表!$E:$E,$B127,領用表!$B:$B,BM$2&amp;$BI$1)</f>
        <v/>
      </c>
      <c r="BN127" s="208" t="n"/>
      <c r="BO127" s="208">
        <f>SUMIFS(領用表!$L:$L,領用表!$E:$E,$B127,領用表!$B:$B,BO$2&amp;$BI$1)</f>
        <v/>
      </c>
      <c r="BP127" s="208">
        <f>SUMIFS(領用表!$L:$L,領用表!$E:$E,$B127,領用表!$B:$B,BP$2&amp;$BI$1)</f>
        <v/>
      </c>
      <c r="BQ127" s="208">
        <f>SUMIFS(領用表!$L:$L,領用表!$E:$E,$B127,領用表!$B:$B,BQ$2&amp;$BI$1)</f>
        <v/>
      </c>
      <c r="BR127" s="208">
        <f>SUMIFS(領用表!$L:$L,領用表!$E:$E,$B127,領用表!$B:$B,BR$2&amp;$BI$1)</f>
        <v/>
      </c>
      <c r="BS127" s="208">
        <f>SUMIFS(領用表!$L:$L,領用表!$E:$E,$B127,領用表!$B:$B,BS$2&amp;$BI$1)</f>
        <v/>
      </c>
      <c r="BT127" s="208">
        <f>SUMIFS(領用表!$L:$L,領用表!$E:$E,$B127,領用表!$B:$B,BT$2&amp;$BI$1)</f>
        <v/>
      </c>
      <c r="BU127" s="208">
        <f>SUM(BI127,BJ127,BK127,BL127,BM127,BN127)</f>
        <v/>
      </c>
      <c r="BV127" s="208">
        <f>AVERAGE(BI127,BJ127,BK127,BL127,BM127,BN127)</f>
        <v/>
      </c>
      <c r="BW127" s="208">
        <f>SUMIF(Summary!B:B,B127,Summary!DZ:DZ)</f>
        <v/>
      </c>
      <c r="BX127" s="258" t="n"/>
      <c r="BY127" s="340" t="n"/>
      <c r="BZ127" s="340" t="n"/>
      <c r="CA127" s="340" t="n"/>
      <c r="CB127" s="136" t="n"/>
      <c r="CC127" s="136" t="n"/>
      <c r="CE127" s="213" t="n"/>
    </row>
    <row r="128" ht="15.75" customFormat="1" customHeight="1" s="118">
      <c r="A128" s="136" t="n"/>
      <c r="B128" s="118" t="e">
        <v>#N/A</v>
      </c>
      <c r="C128" s="136" t="inlineStr">
        <is>
          <t>去氧氫化腎上腺皮質素</t>
        </is>
      </c>
      <c r="D128" s="285" t="n"/>
      <c r="E128" s="198" t="inlineStr">
        <is>
          <t>PCS</t>
        </is>
      </c>
      <c r="F128" s="349" t="n"/>
      <c r="G128" s="349" t="n"/>
      <c r="H128" s="283" t="n"/>
      <c r="I128" s="283" t="n"/>
      <c r="J128" s="283" t="n"/>
      <c r="K128" s="283" t="n"/>
      <c r="L128" s="283" t="n"/>
      <c r="M128" s="283" t="n"/>
      <c r="N128" s="283" t="n"/>
      <c r="O128" s="283" t="n"/>
      <c r="P128" s="283" t="n"/>
      <c r="Q128" s="283" t="n"/>
      <c r="R128" s="283" t="n"/>
      <c r="S128" s="283" t="n"/>
      <c r="T128" s="283" t="n"/>
      <c r="U128" s="283" t="n"/>
      <c r="V128" s="283" t="n"/>
      <c r="W128" s="283" t="n"/>
      <c r="X128" s="283" t="n"/>
      <c r="Y128" s="283" t="n"/>
      <c r="Z128" s="283" t="n"/>
      <c r="AA128" s="283" t="n"/>
      <c r="AB128" s="283" t="n"/>
      <c r="AC128" s="283" t="n"/>
      <c r="AD128" s="283" t="n"/>
      <c r="AE128" s="283" t="n"/>
      <c r="AF128" s="283" t="n"/>
      <c r="AG128" s="201" t="n"/>
      <c r="AH128" s="201" t="n"/>
      <c r="AI128" s="201" t="n"/>
      <c r="AJ128" s="201" t="n"/>
      <c r="AK128" s="201" t="n"/>
      <c r="AL128" s="201" t="n"/>
      <c r="AM128" s="201" t="n"/>
      <c r="AN128" s="201" t="n"/>
      <c r="AO128" s="201" t="n"/>
      <c r="AP128" s="201" t="n"/>
      <c r="AQ128" s="201" t="n"/>
      <c r="AR128" s="201" t="n"/>
      <c r="AS128" s="283">
        <f>SUM(AG128:AR128)</f>
        <v/>
      </c>
      <c r="AT128" s="286">
        <f>AS128/12</f>
        <v/>
      </c>
      <c r="AU128" s="201" t="n">
        <v>0</v>
      </c>
      <c r="AV128" s="201" t="n">
        <v>0</v>
      </c>
      <c r="AW128" s="201" t="n">
        <v>0</v>
      </c>
      <c r="AX128" s="201" t="n">
        <v>0</v>
      </c>
      <c r="AY128" s="201" t="n">
        <v>0</v>
      </c>
      <c r="AZ128" s="203">
        <f>SUMIFS(領用表!$L:$L,領用表!$E:$E,$B128,領用表!$B:$B,AZ$2&amp;$BI$1)</f>
        <v/>
      </c>
      <c r="BA128" s="203">
        <f>SUMIFS(領用表!$L:$L,領用表!$E:$E,$B128,領用表!$B:$B,BA$2&amp;$BI$1)</f>
        <v/>
      </c>
      <c r="BB128" s="203">
        <f>SUMIFS(領用表!$L:$L,領用表!$E:$E,$B128,領用表!$B:$B,BB$2&amp;$BI$1)</f>
        <v/>
      </c>
      <c r="BC128" s="203">
        <f>SUMIFS(領用表!$L:$L,領用表!$E:$E,$B128,領用表!$B:$B,BC$2&amp;$BI$1)</f>
        <v/>
      </c>
      <c r="BD128" s="208">
        <f>SUMIFS(領用表!$L:$L,領用表!$E:$E,$B128,領用表!$B:$B,BD$2&amp;$BI$1)</f>
        <v/>
      </c>
      <c r="BE128" s="208">
        <f>SUMIFS(領用表!$L:$L,領用表!$E:$E,$B128,領用表!$B:$B,BE$2&amp;$BI$1)</f>
        <v/>
      </c>
      <c r="BF128" s="208">
        <f>SUMIFS(領用表!$L:$L,領用表!$E:$E,$B128,領用表!$B:$B,BF$2&amp;$BI$1)</f>
        <v/>
      </c>
      <c r="BG128" s="207">
        <f>SUM(AU128,AV128,AW128,AX128,AY128,AZ128,BA128,BB128,BC128,BD128,BE128,BF128)</f>
        <v/>
      </c>
      <c r="BH128" s="207">
        <f>AVERAGE(AU128,AV128,AW128,AX128,AY128,AZ128,BA128,BB128,BC128,BD128,BE128,BF128)</f>
        <v/>
      </c>
      <c r="BI128" s="208">
        <f>SUMIFS(領用表!$L:$L,領用表!$E:$E,$B128,領用表!$B:$B,BI$2&amp;$BI$1)</f>
        <v/>
      </c>
      <c r="BJ128" s="208">
        <f>SUMIFS(領用表!$L:$L,領用表!$E:$E,$B128,領用表!$B:$B,BJ$2&amp;$BI$1)</f>
        <v/>
      </c>
      <c r="BK128" s="208">
        <f>SUMIFS(領用表!$L:$L,領用表!$E:$E,$B128,領用表!$B:$B,BK$2&amp;$BI$1)</f>
        <v/>
      </c>
      <c r="BL128" s="208">
        <f>SUMIFS(領用表!$L:$L,領用表!$E:$E,$B128,領用表!$B:$B,BL$2&amp;$BI$1)</f>
        <v/>
      </c>
      <c r="BM128" s="208">
        <f>SUMIFS(領用表!$L:$L,領用表!$E:$E,$B128,領用表!$B:$B,BM$2&amp;$BI$1)</f>
        <v/>
      </c>
      <c r="BN128" s="208">
        <f>SUMIFS(領用表!$L:$L,領用表!$E:$E,$B128,領用表!$B:$B,BN$2&amp;$BI$1)</f>
        <v/>
      </c>
      <c r="BO128" s="208">
        <f>SUMIFS(領用表!$L:$L,領用表!$E:$E,$B128,領用表!$B:$B,BO$2&amp;$BI$1)</f>
        <v/>
      </c>
      <c r="BP128" s="208">
        <f>SUMIFS(領用表!$L:$L,領用表!$E:$E,$B128,領用表!$B:$B,BP$2&amp;$BI$1)</f>
        <v/>
      </c>
      <c r="BQ128" s="208">
        <f>SUMIFS(領用表!$L:$L,領用表!$E:$E,$B128,領用表!$B:$B,BQ$2&amp;$BI$1)</f>
        <v/>
      </c>
      <c r="BR128" s="208">
        <f>SUMIFS(領用表!$L:$L,領用表!$E:$E,$B128,領用表!$B:$B,BR$2&amp;$BI$1)</f>
        <v/>
      </c>
      <c r="BS128" s="208">
        <f>SUMIFS(領用表!$L:$L,領用表!$E:$E,$B128,領用表!$B:$B,BS$2&amp;$BI$1)</f>
        <v/>
      </c>
      <c r="BT128" s="208">
        <f>SUMIFS(領用表!$L:$L,領用表!$E:$E,$B128,領用表!$B:$B,BT$2&amp;$BI$1)</f>
        <v/>
      </c>
      <c r="BU128" s="208">
        <f>SUM(BI128,BJ128,BK128,BL128,BM128,BN128)</f>
        <v/>
      </c>
      <c r="BV128" s="208">
        <f>AVERAGE(BI128,BJ128,BK128,BL128,BM128,BN128)</f>
        <v/>
      </c>
      <c r="BW128" s="208">
        <f>SUMIF(Summary!B:B,B128,Summary!DZ:DZ)</f>
        <v/>
      </c>
      <c r="BX128" s="258" t="n"/>
      <c r="BY128" s="340" t="n"/>
      <c r="BZ128" s="340" t="n"/>
      <c r="CA128" s="340" t="n"/>
      <c r="CB128" s="136" t="n"/>
      <c r="CC128" s="136" t="n"/>
      <c r="CE128" s="213" t="n"/>
    </row>
    <row r="129" ht="15.75" customFormat="1" customHeight="1" s="118" thickBot="1">
      <c r="A129" s="136" t="n"/>
      <c r="B129" s="118" t="n">
        <v>6130001</v>
      </c>
      <c r="C129" s="136" t="inlineStr">
        <is>
          <t>降解酶</t>
        </is>
      </c>
      <c r="D129" s="285" t="n"/>
      <c r="E129" s="198" t="inlineStr">
        <is>
          <t>PCS</t>
        </is>
      </c>
      <c r="F129" s="349" t="n"/>
      <c r="G129" s="349" t="n"/>
      <c r="H129" s="283" t="n"/>
      <c r="I129" s="283" t="n"/>
      <c r="J129" s="283" t="n"/>
      <c r="K129" s="283" t="n"/>
      <c r="L129" s="283" t="n"/>
      <c r="M129" s="283" t="n"/>
      <c r="N129" s="283" t="n"/>
      <c r="O129" s="283" t="n"/>
      <c r="P129" s="283" t="n"/>
      <c r="Q129" s="283" t="n"/>
      <c r="R129" s="283" t="n"/>
      <c r="S129" s="283" t="n"/>
      <c r="T129" s="283" t="n"/>
      <c r="U129" s="283" t="n"/>
      <c r="V129" s="283" t="n"/>
      <c r="W129" s="283" t="n"/>
      <c r="X129" s="283" t="n"/>
      <c r="Y129" s="283" t="n"/>
      <c r="Z129" s="283" t="n"/>
      <c r="AA129" s="283" t="n"/>
      <c r="AB129" s="283" t="n"/>
      <c r="AC129" s="283" t="n"/>
      <c r="AD129" s="283" t="n"/>
      <c r="AE129" s="283" t="n"/>
      <c r="AF129" s="283" t="n"/>
      <c r="AG129" s="201" t="n"/>
      <c r="AH129" s="201" t="n"/>
      <c r="AI129" s="201" t="n"/>
      <c r="AJ129" s="201" t="n"/>
      <c r="AK129" s="201" t="n"/>
      <c r="AL129" s="201" t="n"/>
      <c r="AM129" s="201" t="n"/>
      <c r="AN129" s="201" t="n"/>
      <c r="AO129" s="201" t="n"/>
      <c r="AP129" s="201" t="n"/>
      <c r="AQ129" s="201" t="n"/>
      <c r="AR129" s="201" t="n"/>
      <c r="AS129" s="283">
        <f>SUM(AG129:AR129)</f>
        <v/>
      </c>
      <c r="AT129" s="286">
        <f>AS129/12</f>
        <v/>
      </c>
      <c r="AU129" s="201" t="n">
        <v>0</v>
      </c>
      <c r="AV129" s="201" t="n">
        <v>0</v>
      </c>
      <c r="AW129" s="201" t="n">
        <v>0</v>
      </c>
      <c r="AX129" s="201" t="n">
        <v>0</v>
      </c>
      <c r="AY129" s="201" t="n">
        <v>5</v>
      </c>
      <c r="AZ129" s="203">
        <f>SUMIFS(領用表!$L:$L,領用表!$E:$E,$B129,領用表!$B:$B,AZ$2&amp;$BI$1)</f>
        <v/>
      </c>
      <c r="BA129" s="203">
        <f>SUMIFS(領用表!$L:$L,領用表!$E:$E,$B129,領用表!$B:$B,BA$2&amp;$BI$1)</f>
        <v/>
      </c>
      <c r="BB129" s="203">
        <f>SUMIFS(領用表!$L:$L,領用表!$E:$E,$B129,領用表!$B:$B,BB$2&amp;$BI$1)</f>
        <v/>
      </c>
      <c r="BC129" s="203">
        <f>SUMIFS(領用表!$L:$L,領用表!$E:$E,$B129,領用表!$B:$B,BC$2&amp;$BI$1)</f>
        <v/>
      </c>
      <c r="BD129" s="208">
        <f>SUMIFS(領用表!$L:$L,領用表!$E:$E,$B129,領用表!$B:$B,BD$2&amp;$BI$1)</f>
        <v/>
      </c>
      <c r="BE129" s="208">
        <f>SUMIFS(領用表!$L:$L,領用表!$E:$E,$B129,領用表!$B:$B,BE$2&amp;$BI$1)</f>
        <v/>
      </c>
      <c r="BF129" s="208">
        <f>SUMIFS(領用表!$L:$L,領用表!$E:$E,$B129,領用表!$B:$B,BF$2&amp;$BI$1)</f>
        <v/>
      </c>
      <c r="BG129" s="207">
        <f>SUM(AU129,AV129,AW129,AX129,AY129,AZ129,BA129,BB129,BC129,BD129,BE129,BF129)</f>
        <v/>
      </c>
      <c r="BH129" s="207">
        <f>AVERAGE(AU129,AV129,AW129,AX129,AY129,AZ129,BA129,BB129,BC129,BD129,BE129,BF129)</f>
        <v/>
      </c>
      <c r="BI129" s="208">
        <f>SUMIFS(領用表!$L:$L,領用表!$E:$E,$B129,領用表!$B:$B,BI$2&amp;$BI$1)</f>
        <v/>
      </c>
      <c r="BJ129" s="208">
        <f>SUMIFS(領用表!$L:$L,領用表!$E:$E,$B129,領用表!$B:$B,BJ$2&amp;$BI$1)</f>
        <v/>
      </c>
      <c r="BK129" s="208">
        <f>SUMIFS(領用表!$L:$L,領用表!$E:$E,$B129,領用表!$B:$B,BK$2&amp;$BI$1)</f>
        <v/>
      </c>
      <c r="BL129" s="208">
        <f>SUMIFS(領用表!$L:$L,領用表!$E:$E,$B129,領用表!$B:$B,BL$2&amp;$BI$1)</f>
        <v/>
      </c>
      <c r="BM129" s="208">
        <f>SUMIFS(領用表!$L:$L,領用表!$E:$E,$B129,領用表!$B:$B,BM$2&amp;$BI$1)</f>
        <v/>
      </c>
      <c r="BN129" s="208" t="n"/>
      <c r="BO129" s="208">
        <f>SUMIFS(領用表!$L:$L,領用表!$E:$E,$B129,領用表!$B:$B,BO$2&amp;$BI$1)</f>
        <v/>
      </c>
      <c r="BP129" s="208">
        <f>SUMIFS(領用表!$L:$L,領用表!$E:$E,$B129,領用表!$B:$B,BP$2&amp;$BI$1)</f>
        <v/>
      </c>
      <c r="BQ129" s="208">
        <f>SUMIFS(領用表!$L:$L,領用表!$E:$E,$B129,領用表!$B:$B,BQ$2&amp;$BI$1)</f>
        <v/>
      </c>
      <c r="BR129" s="208">
        <f>SUMIFS(領用表!$L:$L,領用表!$E:$E,$B129,領用表!$B:$B,BR$2&amp;$BI$1)</f>
        <v/>
      </c>
      <c r="BS129" s="208">
        <f>SUMIFS(領用表!$L:$L,領用表!$E:$E,$B129,領用表!$B:$B,BS$2&amp;$BI$1)</f>
        <v/>
      </c>
      <c r="BT129" s="208">
        <f>SUMIFS(領用表!$L:$L,領用表!$E:$E,$B129,領用表!$B:$B,BT$2&amp;$BI$1)</f>
        <v/>
      </c>
      <c r="BU129" s="208">
        <f>SUM(BI129,BJ129,BK129,BL129,BM129,BN129)</f>
        <v/>
      </c>
      <c r="BV129" s="208">
        <f>AVERAGE(BI129,BJ129,BK129,BL129,BM129,BN129)</f>
        <v/>
      </c>
      <c r="BW129" s="208">
        <f>SUMIF(Summary!B:B,B129,Summary!DZ:DZ)</f>
        <v/>
      </c>
      <c r="BX129" s="258" t="n"/>
      <c r="BY129" s="340" t="n"/>
      <c r="BZ129" s="340" t="n"/>
      <c r="CA129" s="340" t="n"/>
      <c r="CB129" s="136" t="n"/>
      <c r="CC129" s="136" t="n"/>
      <c r="CE129" s="213" t="n"/>
    </row>
    <row r="130" ht="15.75" customFormat="1" customHeight="1" s="118" thickBot="1">
      <c r="A130" s="324" t="inlineStr">
        <is>
          <t>MB3ME090040A</t>
        </is>
      </c>
      <c r="B130" s="325" t="n">
        <v>6120042</v>
      </c>
      <c r="C130" s="136" t="inlineStr">
        <is>
          <t>(類固醇)修克托懸濁Shincort 1ml/支</t>
        </is>
      </c>
      <c r="D130" s="285" t="n"/>
      <c r="E130" s="198" t="n"/>
      <c r="F130" s="349" t="n">
        <v>49</v>
      </c>
      <c r="G130" s="349" t="n"/>
      <c r="H130" s="283" t="n"/>
      <c r="I130" s="283" t="n"/>
      <c r="J130" s="283" t="n"/>
      <c r="K130" s="283" t="n"/>
      <c r="L130" s="283" t="n"/>
      <c r="M130" s="283" t="n"/>
      <c r="N130" s="283" t="n"/>
      <c r="O130" s="283" t="n"/>
      <c r="P130" s="283" t="n"/>
      <c r="Q130" s="283" t="n"/>
      <c r="R130" s="283" t="n"/>
      <c r="S130" s="283" t="n"/>
      <c r="T130" s="283" t="n"/>
      <c r="U130" s="283" t="n"/>
      <c r="V130" s="283" t="n"/>
      <c r="W130" s="283" t="n"/>
      <c r="X130" s="283" t="n"/>
      <c r="Y130" s="283" t="n"/>
      <c r="Z130" s="283" t="n"/>
      <c r="AA130" s="283" t="n"/>
      <c r="AB130" s="283" t="n"/>
      <c r="AC130" s="283" t="n"/>
      <c r="AD130" s="283" t="n"/>
      <c r="AE130" s="283" t="n"/>
      <c r="AF130" s="283" t="n"/>
      <c r="AG130" s="201" t="n"/>
      <c r="AH130" s="201" t="n"/>
      <c r="AI130" s="201" t="n"/>
      <c r="AJ130" s="201" t="n"/>
      <c r="AK130" s="201" t="n"/>
      <c r="AL130" s="201" t="n"/>
      <c r="AM130" s="201" t="n"/>
      <c r="AN130" s="201" t="n"/>
      <c r="AO130" s="201" t="n"/>
      <c r="AP130" s="201" t="n"/>
      <c r="AQ130" s="201" t="n"/>
      <c r="AR130" s="201" t="n"/>
      <c r="AS130" s="283" t="n"/>
      <c r="AT130" s="286" t="n"/>
      <c r="AU130" s="201" t="n"/>
      <c r="AV130" s="201" t="n"/>
      <c r="AW130" s="201" t="n"/>
      <c r="AX130" s="201" t="n"/>
      <c r="AY130" s="201" t="n"/>
      <c r="AZ130" s="203" t="n"/>
      <c r="BA130" s="203" t="n"/>
      <c r="BB130" s="203" t="n"/>
      <c r="BC130" s="203">
        <f>SUMIFS(領用表!$L:$L,領用表!$E:$E,$B130,領用表!$B:$B,BC$2&amp;$BI$1)</f>
        <v/>
      </c>
      <c r="BD130" s="208">
        <f>SUMIFS(領用表!$L:$L,領用表!$E:$E,$B130,領用表!$B:$B,BD$2&amp;$BI$1)</f>
        <v/>
      </c>
      <c r="BE130" s="208">
        <f>SUMIFS(領用表!$L:$L,領用表!$E:$E,$B130,領用表!$B:$B,BE$2&amp;$BI$1)</f>
        <v/>
      </c>
      <c r="BF130" s="208">
        <f>SUMIFS(領用表!$L:$L,領用表!$E:$E,$B130,領用表!$B:$B,BF$2&amp;$BI$1)</f>
        <v/>
      </c>
      <c r="BG130" s="207">
        <f>SUM(AU130,AV130,AW130,AX130,AY130,AZ130,BA130,BB130,BC130,BD130,BE130,BF130)</f>
        <v/>
      </c>
      <c r="BH130" s="207">
        <f>AVERAGE(AU130,AV130,AW130,AX130,AY130,AZ130,BA130,BB130,BC130,BD130,BE130,BF130)</f>
        <v/>
      </c>
      <c r="BI130" s="208">
        <f>SUMIFS(領用表!$L:$L,領用表!$E:$E,$B130,領用表!$B:$B,BI$2&amp;$BI$1)</f>
        <v/>
      </c>
      <c r="BJ130" s="208">
        <f>SUMIFS(領用表!$L:$L,領用表!$E:$E,$B130,領用表!$B:$B,BJ$2&amp;$BI$1)</f>
        <v/>
      </c>
      <c r="BK130" s="208">
        <f>SUMIFS(領用表!$L:$L,領用表!$E:$E,$B130,領用表!$B:$B,BK$2&amp;$BI$1)</f>
        <v/>
      </c>
      <c r="BL130" s="208">
        <f>SUMIFS(領用表!$L:$L,領用表!$E:$E,$B130,領用表!$B:$B,BL$2&amp;$BI$1)</f>
        <v/>
      </c>
      <c r="BM130" s="208">
        <f>SUMIFS(領用表!$L:$L,領用表!$E:$E,$B130,領用表!$B:$B,BM$2&amp;$BI$1)</f>
        <v/>
      </c>
      <c r="BN130" s="208" t="n"/>
      <c r="BO130" s="208">
        <f>SUMIFS(領用表!$L:$L,領用表!$E:$E,$B130,領用表!$B:$B,BO$2&amp;$BI$1)</f>
        <v/>
      </c>
      <c r="BP130" s="208">
        <f>SUMIFS(領用表!$L:$L,領用表!$E:$E,$B130,領用表!$B:$B,BP$2&amp;$BI$1)</f>
        <v/>
      </c>
      <c r="BQ130" s="208">
        <f>SUMIFS(領用表!$L:$L,領用表!$E:$E,$B130,領用表!$B:$B,BQ$2&amp;$BI$1)</f>
        <v/>
      </c>
      <c r="BR130" s="208">
        <f>SUMIFS(領用表!$L:$L,領用表!$E:$E,$B130,領用表!$B:$B,BR$2&amp;$BI$1)</f>
        <v/>
      </c>
      <c r="BS130" s="208">
        <f>SUMIFS(領用表!$L:$L,領用表!$E:$E,$B130,領用表!$B:$B,BS$2&amp;$BI$1)</f>
        <v/>
      </c>
      <c r="BT130" s="208">
        <f>SUMIFS(領用表!$L:$L,領用表!$E:$E,$B130,領用表!$B:$B,BT$2&amp;$BI$1)</f>
        <v/>
      </c>
      <c r="BU130" s="208">
        <f>SUM(BI130,BJ130,BK130,BL130,BM130,BN130)</f>
        <v/>
      </c>
      <c r="BV130" s="208">
        <f>AVERAGE(BI130,BJ130,BK130,BL130,BM130,BN130)</f>
        <v/>
      </c>
      <c r="BW130" s="208">
        <f>SUMIF(Summary!B:B,B130,Summary!DZ:DZ)</f>
        <v/>
      </c>
      <c r="BX130" s="258" t="n"/>
      <c r="BY130" s="340" t="n"/>
      <c r="BZ130" s="340" t="n"/>
      <c r="CA130" s="340" t="n"/>
      <c r="CB130" s="136" t="n"/>
      <c r="CC130" s="136" t="n"/>
      <c r="CE130" s="213" t="n"/>
    </row>
    <row r="131" ht="15.75" customFormat="1" customHeight="1" s="118" thickBot="1">
      <c r="A131" s="320" t="inlineStr">
        <is>
          <t>MB3ME090041A</t>
        </is>
      </c>
      <c r="B131" s="325" t="n">
        <v>6120043</v>
      </c>
      <c r="C131" s="136" t="inlineStr">
        <is>
          <t>(抗組織胺)力克樂 1ml/支</t>
        </is>
      </c>
      <c r="D131" s="285" t="n"/>
      <c r="E131" s="198" t="n"/>
      <c r="F131" s="349" t="n"/>
      <c r="G131" s="349" t="n"/>
      <c r="H131" s="283" t="n"/>
      <c r="I131" s="283" t="n"/>
      <c r="J131" s="283" t="n"/>
      <c r="K131" s="283" t="n"/>
      <c r="L131" s="283" t="n"/>
      <c r="M131" s="283" t="n"/>
      <c r="N131" s="283" t="n"/>
      <c r="O131" s="283" t="n"/>
      <c r="P131" s="283" t="n"/>
      <c r="Q131" s="283" t="n"/>
      <c r="R131" s="283" t="n"/>
      <c r="S131" s="283" t="n"/>
      <c r="T131" s="283" t="n"/>
      <c r="U131" s="283" t="n"/>
      <c r="V131" s="283" t="n"/>
      <c r="W131" s="283" t="n"/>
      <c r="X131" s="283" t="n"/>
      <c r="Y131" s="283" t="n"/>
      <c r="Z131" s="283" t="n"/>
      <c r="AA131" s="283" t="n"/>
      <c r="AB131" s="283" t="n"/>
      <c r="AC131" s="283" t="n"/>
      <c r="AD131" s="283" t="n"/>
      <c r="AE131" s="283" t="n"/>
      <c r="AF131" s="283" t="n"/>
      <c r="AG131" s="201" t="n"/>
      <c r="AH131" s="201" t="n"/>
      <c r="AI131" s="201" t="n"/>
      <c r="AJ131" s="201" t="n"/>
      <c r="AK131" s="201" t="n"/>
      <c r="AL131" s="201" t="n"/>
      <c r="AM131" s="201" t="n"/>
      <c r="AN131" s="201" t="n"/>
      <c r="AO131" s="201" t="n"/>
      <c r="AP131" s="201" t="n"/>
      <c r="AQ131" s="201" t="n"/>
      <c r="AR131" s="201" t="n"/>
      <c r="AS131" s="283" t="n"/>
      <c r="AT131" s="286" t="n"/>
      <c r="AU131" s="201" t="n"/>
      <c r="AV131" s="201" t="n"/>
      <c r="AW131" s="201" t="n"/>
      <c r="AX131" s="201" t="n"/>
      <c r="AY131" s="201" t="n"/>
      <c r="AZ131" s="203" t="n"/>
      <c r="BA131" s="203" t="n"/>
      <c r="BB131" s="203" t="n"/>
      <c r="BC131" s="203">
        <f>SUMIFS(領用表!$L:$L,領用表!$E:$E,$B131,領用表!$B:$B,BC$2&amp;$BI$1)</f>
        <v/>
      </c>
      <c r="BD131" s="208">
        <f>SUMIFS(領用表!$L:$L,領用表!$E:$E,$B131,領用表!$B:$B,BD$2&amp;$BI$1)</f>
        <v/>
      </c>
      <c r="BE131" s="208">
        <f>SUMIFS(領用表!$L:$L,領用表!$E:$E,$B131,領用表!$B:$B,BE$2&amp;$BI$1)</f>
        <v/>
      </c>
      <c r="BF131" s="208">
        <f>SUMIFS(領用表!$L:$L,領用表!$E:$E,$B131,領用表!$B:$B,BF$2&amp;$BI$1)</f>
        <v/>
      </c>
      <c r="BG131" s="207">
        <f>SUM(AU131,AV131,AW131,AX131,AY131,AZ131,BA131,BB131,BC131,BD131,BE131,BF131)</f>
        <v/>
      </c>
      <c r="BH131" s="207">
        <f>AVERAGE(AU131,AV131,AW131,AX131,AY131,AZ131,BA131,BB131,BC131,BD131,BE131,BF131)</f>
        <v/>
      </c>
      <c r="BI131" s="208">
        <f>SUMIFS(領用表!$L:$L,領用表!$E:$E,$B131,領用表!$B:$B,BI$2&amp;$BI$1)</f>
        <v/>
      </c>
      <c r="BJ131" s="208">
        <f>SUMIFS(領用表!$L:$L,領用表!$E:$E,$B131,領用表!$B:$B,BJ$2&amp;$BI$1)</f>
        <v/>
      </c>
      <c r="BK131" s="208">
        <f>SUMIFS(領用表!$L:$L,領用表!$E:$E,$B131,領用表!$B:$B,BK$2&amp;$BI$1)</f>
        <v/>
      </c>
      <c r="BL131" s="208">
        <f>SUMIFS(領用表!$L:$L,領用表!$E:$E,$B131,領用表!$B:$B,BL$2&amp;$BI$1)</f>
        <v/>
      </c>
      <c r="BM131" s="208">
        <f>SUMIFS(領用表!$L:$L,領用表!$E:$E,$B131,領用表!$B:$B,BM$2&amp;$BI$1)</f>
        <v/>
      </c>
      <c r="BN131" s="208" t="n"/>
      <c r="BO131" s="208">
        <f>SUMIFS(領用表!$L:$L,領用表!$E:$E,$B131,領用表!$B:$B,BO$2&amp;$BI$1)</f>
        <v/>
      </c>
      <c r="BP131" s="208">
        <f>SUMIFS(領用表!$L:$L,領用表!$E:$E,$B131,領用表!$B:$B,BP$2&amp;$BI$1)</f>
        <v/>
      </c>
      <c r="BQ131" s="208">
        <f>SUMIFS(領用表!$L:$L,領用表!$E:$E,$B131,領用表!$B:$B,BQ$2&amp;$BI$1)</f>
        <v/>
      </c>
      <c r="BR131" s="208">
        <f>SUMIFS(領用表!$L:$L,領用表!$E:$E,$B131,領用表!$B:$B,BR$2&amp;$BI$1)</f>
        <v/>
      </c>
      <c r="BS131" s="208">
        <f>SUMIFS(領用表!$L:$L,領用表!$E:$E,$B131,領用表!$B:$B,BS$2&amp;$BI$1)</f>
        <v/>
      </c>
      <c r="BT131" s="208">
        <f>SUMIFS(領用表!$L:$L,領用表!$E:$E,$B131,領用表!$B:$B,BT$2&amp;$BI$1)</f>
        <v/>
      </c>
      <c r="BU131" s="208">
        <f>SUM(BI131,BJ131,BK131,BL131,BM131,BN131)</f>
        <v/>
      </c>
      <c r="BV131" s="208">
        <f>AVERAGE(BI131,BJ131,BK131,BL131,BM131,BN131)</f>
        <v/>
      </c>
      <c r="BW131" s="208">
        <f>SUMIF(Summary!B:B,B131,Summary!DZ:DZ)</f>
        <v/>
      </c>
      <c r="BX131" s="258" t="n"/>
      <c r="BY131" s="340" t="n"/>
      <c r="BZ131" s="340" t="n"/>
      <c r="CA131" s="340" t="n"/>
      <c r="CB131" s="136" t="n"/>
      <c r="CC131" s="136" t="n"/>
      <c r="CE131" s="213" t="n"/>
    </row>
    <row r="132" ht="15.75" customFormat="1" customHeight="1" s="118" thickBot="1">
      <c r="A132" s="308" t="inlineStr">
        <is>
          <t>MB3ME090042A</t>
        </is>
      </c>
      <c r="B132" s="230" t="n">
        <v>6120044</v>
      </c>
      <c r="C132" s="328" t="inlineStr">
        <is>
          <t>舒疼消熱1ml/支</t>
        </is>
      </c>
      <c r="D132" s="285" t="n"/>
      <c r="E132" s="198" t="n"/>
      <c r="F132" s="349" t="n"/>
      <c r="G132" s="349" t="n"/>
      <c r="H132" s="283" t="n"/>
      <c r="I132" s="283" t="n"/>
      <c r="J132" s="283" t="n"/>
      <c r="K132" s="283" t="n"/>
      <c r="L132" s="283" t="n"/>
      <c r="M132" s="283" t="n"/>
      <c r="N132" s="283" t="n"/>
      <c r="O132" s="283" t="n"/>
      <c r="P132" s="283" t="n"/>
      <c r="Q132" s="283" t="n"/>
      <c r="R132" s="283" t="n"/>
      <c r="S132" s="283" t="n"/>
      <c r="T132" s="283" t="n"/>
      <c r="U132" s="283" t="n"/>
      <c r="V132" s="283" t="n"/>
      <c r="W132" s="283" t="n"/>
      <c r="X132" s="283" t="n"/>
      <c r="Y132" s="283" t="n"/>
      <c r="Z132" s="283" t="n"/>
      <c r="AA132" s="283" t="n"/>
      <c r="AB132" s="283" t="n"/>
      <c r="AC132" s="283" t="n"/>
      <c r="AD132" s="283" t="n"/>
      <c r="AE132" s="283" t="n"/>
      <c r="AF132" s="283" t="n"/>
      <c r="AG132" s="201" t="n"/>
      <c r="AH132" s="201" t="n"/>
      <c r="AI132" s="201" t="n"/>
      <c r="AJ132" s="201" t="n"/>
      <c r="AK132" s="201" t="n"/>
      <c r="AL132" s="201" t="n"/>
      <c r="AM132" s="201" t="n"/>
      <c r="AN132" s="201" t="n"/>
      <c r="AO132" s="201" t="n"/>
      <c r="AP132" s="201" t="n"/>
      <c r="AQ132" s="201" t="n"/>
      <c r="AR132" s="201" t="n"/>
      <c r="AS132" s="283" t="n"/>
      <c r="AT132" s="286" t="n"/>
      <c r="AU132" s="201" t="n"/>
      <c r="AV132" s="201" t="n"/>
      <c r="AW132" s="201" t="n"/>
      <c r="AX132" s="201" t="n"/>
      <c r="AY132" s="201" t="n"/>
      <c r="AZ132" s="203" t="n"/>
      <c r="BA132" s="203" t="n"/>
      <c r="BB132" s="203" t="n"/>
      <c r="BC132" s="203">
        <f>SUMIFS(領用表!$L:$L,領用表!$E:$E,$B132,領用表!$B:$B,BC$2&amp;$BI$1)</f>
        <v/>
      </c>
      <c r="BD132" s="208">
        <f>SUMIFS(領用表!$L:$L,領用表!$E:$E,$B132,領用表!$B:$B,BD$2&amp;$BI$1)</f>
        <v/>
      </c>
      <c r="BE132" s="208">
        <f>SUMIFS(領用表!$L:$L,領用表!$E:$E,$B132,領用表!$B:$B,BE$2&amp;$BI$1)</f>
        <v/>
      </c>
      <c r="BF132" s="208">
        <f>SUMIFS(領用表!$L:$L,領用表!$E:$E,$B132,領用表!$B:$B,BF$2&amp;$BI$1)</f>
        <v/>
      </c>
      <c r="BG132" s="207">
        <f>SUM(AU132,AV132,AW132,AX132,AY132,AZ132,BA132,BB132,BC132,BD132,BE132,BF132)</f>
        <v/>
      </c>
      <c r="BH132" s="207">
        <f>AVERAGE(AU132,AV132,AW132,AX132,AY132,AZ132,BA132,BB132,BC132,BD132,BE132,BF132)</f>
        <v/>
      </c>
      <c r="BI132" s="208">
        <f>SUMIFS(領用表!$L:$L,領用表!$E:$E,$B132,領用表!$B:$B,BI$2&amp;$BI$1)</f>
        <v/>
      </c>
      <c r="BJ132" s="208">
        <f>SUMIFS(領用表!$L:$L,領用表!$E:$E,$B132,領用表!$B:$B,BJ$2&amp;$BI$1)</f>
        <v/>
      </c>
      <c r="BK132" s="208">
        <f>SUMIFS(領用表!$L:$L,領用表!$E:$E,$B132,領用表!$B:$B,BK$2&amp;$BI$1)</f>
        <v/>
      </c>
      <c r="BL132" s="208">
        <f>SUMIFS(領用表!$L:$L,領用表!$E:$E,$B132,領用表!$B:$B,BL$2&amp;$BI$1)</f>
        <v/>
      </c>
      <c r="BM132" s="208">
        <f>SUMIFS(領用表!$L:$L,領用表!$E:$E,$B132,領用表!$B:$B,BM$2&amp;$BI$1)</f>
        <v/>
      </c>
      <c r="BN132" s="208" t="n"/>
      <c r="BO132" s="208">
        <f>SUMIFS(領用表!$L:$L,領用表!$E:$E,$B132,領用表!$B:$B,BO$2&amp;$BI$1)</f>
        <v/>
      </c>
      <c r="BP132" s="208">
        <f>SUMIFS(領用表!$L:$L,領用表!$E:$E,$B132,領用表!$B:$B,BP$2&amp;$BI$1)</f>
        <v/>
      </c>
      <c r="BQ132" s="208">
        <f>SUMIFS(領用表!$L:$L,領用表!$E:$E,$B132,領用表!$B:$B,BQ$2&amp;$BI$1)</f>
        <v/>
      </c>
      <c r="BR132" s="208">
        <f>SUMIFS(領用表!$L:$L,領用表!$E:$E,$B132,領用表!$B:$B,BR$2&amp;$BI$1)</f>
        <v/>
      </c>
      <c r="BS132" s="208">
        <f>SUMIFS(領用表!$L:$L,領用表!$E:$E,$B132,領用表!$B:$B,BS$2&amp;$BI$1)</f>
        <v/>
      </c>
      <c r="BT132" s="208">
        <f>SUMIFS(領用表!$L:$L,領用表!$E:$E,$B132,領用表!$B:$B,BT$2&amp;$BI$1)</f>
        <v/>
      </c>
      <c r="BU132" s="208">
        <f>SUM(BI132,BJ132,BK132,BL132,BM132,BN132)</f>
        <v/>
      </c>
      <c r="BV132" s="208">
        <f>AVERAGE(BI132,BJ132,BK132,BL132,BM132,BN132)</f>
        <v/>
      </c>
      <c r="BW132" s="208">
        <f>SUMIF(Summary!B:B,B132,Summary!DZ:DZ)</f>
        <v/>
      </c>
      <c r="BX132" s="258" t="n"/>
      <c r="BY132" s="340" t="n"/>
      <c r="BZ132" s="340" t="n"/>
      <c r="CA132" s="340" t="n"/>
      <c r="CB132" s="136" t="n"/>
      <c r="CC132" s="136" t="n"/>
      <c r="CE132" s="213" t="n"/>
    </row>
    <row r="133" ht="15.75" customFormat="1" customHeight="1" s="118">
      <c r="A133" s="136" t="n"/>
      <c r="B133" s="128" t="e">
        <v>#N/A</v>
      </c>
      <c r="C133" s="136" t="inlineStr">
        <is>
          <t>(售完不進)滾針1.0mm</t>
        </is>
      </c>
      <c r="D133" s="285" t="n"/>
      <c r="E133" s="198" t="inlineStr">
        <is>
          <t>支</t>
        </is>
      </c>
      <c r="F133" s="349" t="n"/>
      <c r="G133" s="349" t="n"/>
      <c r="H133" s="283" t="n"/>
      <c r="I133" s="283" t="n"/>
      <c r="J133" s="283" t="n"/>
      <c r="K133" s="283" t="n"/>
      <c r="L133" s="283" t="n"/>
      <c r="M133" s="283" t="n"/>
      <c r="N133" s="283" t="n"/>
      <c r="O133" s="283" t="n"/>
      <c r="P133" s="283" t="n"/>
      <c r="Q133" s="283" t="n"/>
      <c r="R133" s="283" t="n"/>
      <c r="S133" s="283" t="n"/>
      <c r="T133" s="283" t="n"/>
      <c r="U133" s="283" t="n"/>
      <c r="V133" s="283" t="n"/>
      <c r="W133" s="283" t="n"/>
      <c r="X133" s="283" t="n"/>
      <c r="Y133" s="283" t="n"/>
      <c r="Z133" s="283" t="n"/>
      <c r="AA133" s="283" t="n"/>
      <c r="AB133" s="283" t="n"/>
      <c r="AC133" s="283" t="n"/>
      <c r="AD133" s="283" t="n"/>
      <c r="AE133" s="283" t="n"/>
      <c r="AF133" s="283" t="n"/>
      <c r="AG133" s="201" t="n">
        <v>1</v>
      </c>
      <c r="AH133" s="201" t="n">
        <v>0</v>
      </c>
      <c r="AI133" s="201" t="n">
        <v>1</v>
      </c>
      <c r="AJ133" s="201" t="n">
        <v>0</v>
      </c>
      <c r="AK133" s="201" t="n">
        <v>0</v>
      </c>
      <c r="AL133" s="201" t="n">
        <v>0</v>
      </c>
      <c r="AM133" s="201" t="n"/>
      <c r="AN133" s="201" t="n">
        <v>0</v>
      </c>
      <c r="AO133" s="201" t="n">
        <v>0</v>
      </c>
      <c r="AP133" s="201" t="n">
        <v>0</v>
      </c>
      <c r="AQ133" s="201" t="n">
        <v>0</v>
      </c>
      <c r="AR133" s="201" t="n">
        <v>0</v>
      </c>
      <c r="AS133" s="283">
        <f>SUM(AG133:AR133)</f>
        <v/>
      </c>
      <c r="AT133" s="286">
        <f>AS133/12</f>
        <v/>
      </c>
      <c r="AU133" s="201" t="n">
        <v>0</v>
      </c>
      <c r="AV133" s="201" t="n">
        <v>0</v>
      </c>
      <c r="AW133" s="201" t="n">
        <v>0</v>
      </c>
      <c r="AX133" s="201" t="n">
        <v>0</v>
      </c>
      <c r="AY133" s="201" t="n">
        <v>2</v>
      </c>
      <c r="AZ133" s="203">
        <f>SUMIFS(領用表!$L:$L,領用表!$E:$E,$B133,領用表!$B:$B,AZ$2&amp;$BI$1)</f>
        <v/>
      </c>
      <c r="BA133" s="203">
        <f>SUMIFS(領用表!$L:$L,領用表!$E:$E,$B133,領用表!$B:$B,BA$2&amp;$BI$1)</f>
        <v/>
      </c>
      <c r="BB133" s="203">
        <f>SUMIFS(領用表!$L:$L,領用表!$E:$E,$B133,領用表!$B:$B,BB$2&amp;$BI$1)</f>
        <v/>
      </c>
      <c r="BC133" s="203">
        <f>SUMIFS(領用表!$L:$L,領用表!$E:$E,$B133,領用表!$B:$B,BC$2&amp;$BI$1)</f>
        <v/>
      </c>
      <c r="BD133" s="208">
        <f>SUMIFS(領用表!$L:$L,領用表!$E:$E,$B133,領用表!$B:$B,BD$2&amp;$BI$1)</f>
        <v/>
      </c>
      <c r="BE133" s="208">
        <f>SUMIFS(領用表!$L:$L,領用表!$E:$E,$B133,領用表!$B:$B,BE$2&amp;$BI$1)</f>
        <v/>
      </c>
      <c r="BF133" s="208">
        <f>SUMIFS(領用表!$L:$L,領用表!$E:$E,$B133,領用表!$B:$B,BF$2&amp;$BI$1)</f>
        <v/>
      </c>
      <c r="BG133" s="207">
        <f>SUM(AU133,AV133,AW133,AX133,AY133,AZ133,BA133,BB133,BC133,BD133,BE133,BF133)</f>
        <v/>
      </c>
      <c r="BH133" s="207">
        <f>AVERAGE(AU133,AV133,AW133,AX133,AY133,AZ133,BA133,BB133,BC133,BD133,BE133,BF133)</f>
        <v/>
      </c>
      <c r="BI133" s="208">
        <f>SUMIFS(領用表!$L:$L,領用表!$E:$E,$B133,領用表!$B:$B,BI$2&amp;$BI$1)</f>
        <v/>
      </c>
      <c r="BJ133" s="208">
        <f>SUMIFS(領用表!$L:$L,領用表!$E:$E,$B133,領用表!$B:$B,BJ$2&amp;$BI$1)</f>
        <v/>
      </c>
      <c r="BK133" s="208">
        <f>SUMIFS(領用表!$L:$L,領用表!$E:$E,$B133,領用表!$B:$B,BK$2&amp;$BI$1)</f>
        <v/>
      </c>
      <c r="BL133" s="208">
        <f>SUMIFS(領用表!$L:$L,領用表!$E:$E,$B133,領用表!$B:$B,BL$2&amp;$BI$1)</f>
        <v/>
      </c>
      <c r="BM133" s="208">
        <f>SUMIFS(領用表!$L:$L,領用表!$E:$E,$B133,領用表!$B:$B,BM$2&amp;$BI$1)</f>
        <v/>
      </c>
      <c r="BN133" s="208">
        <f>SUMIFS(領用表!$L:$L,領用表!$E:$E,$B133,領用表!$B:$B,BN$2&amp;$BI$1)</f>
        <v/>
      </c>
      <c r="BO133" s="208">
        <f>SUMIFS(領用表!$L:$L,領用表!$E:$E,$B133,領用表!$B:$B,BO$2&amp;$BI$1)</f>
        <v/>
      </c>
      <c r="BP133" s="208">
        <f>SUMIFS(領用表!$L:$L,領用表!$E:$E,$B133,領用表!$B:$B,BP$2&amp;$BI$1)</f>
        <v/>
      </c>
      <c r="BQ133" s="208">
        <f>SUMIFS(領用表!$L:$L,領用表!$E:$E,$B133,領用表!$B:$B,BQ$2&amp;$BI$1)</f>
        <v/>
      </c>
      <c r="BR133" s="208">
        <f>SUMIFS(領用表!$L:$L,領用表!$E:$E,$B133,領用表!$B:$B,BR$2&amp;$BI$1)</f>
        <v/>
      </c>
      <c r="BS133" s="208">
        <f>SUMIFS(領用表!$L:$L,領用表!$E:$E,$B133,領用表!$B:$B,BS$2&amp;$BI$1)</f>
        <v/>
      </c>
      <c r="BT133" s="208">
        <f>SUMIFS(領用表!$L:$L,領用表!$E:$E,$B133,領用表!$B:$B,BT$2&amp;$BI$1)</f>
        <v/>
      </c>
      <c r="BU133" s="208">
        <f>SUM(BI133,BJ133,BK133,BL133,BM133,BN133)</f>
        <v/>
      </c>
      <c r="BV133" s="208">
        <f>AVERAGE(BI133,BJ133,BK133,BL133,BM133,BN133)</f>
        <v/>
      </c>
      <c r="BW133" s="208">
        <f>SUMIF(Summary!B:B,B133,Summary!DZ:DZ)</f>
        <v/>
      </c>
      <c r="BX133" s="258" t="n"/>
      <c r="BY133" s="340" t="n"/>
      <c r="BZ133" s="340" t="n"/>
      <c r="CA133" s="340" t="n"/>
      <c r="CB133" s="136" t="n"/>
      <c r="CC133" s="136" t="n"/>
      <c r="CE133" s="213" t="n"/>
    </row>
    <row r="134" ht="15.75" customFormat="1" customHeight="1" s="118">
      <c r="A134" s="136" t="n"/>
      <c r="B134" s="128" t="e">
        <v>#N/A</v>
      </c>
      <c r="C134" s="136" t="inlineStr">
        <is>
          <t>(售完不進)滾針1.5mm</t>
        </is>
      </c>
      <c r="D134" s="285" t="n"/>
      <c r="E134" s="198" t="inlineStr">
        <is>
          <t>支</t>
        </is>
      </c>
      <c r="F134" s="349" t="n"/>
      <c r="G134" s="349" t="n"/>
      <c r="H134" s="283" t="n"/>
      <c r="I134" s="283" t="n"/>
      <c r="J134" s="283" t="n"/>
      <c r="K134" s="283" t="n"/>
      <c r="L134" s="283" t="n"/>
      <c r="M134" s="283" t="n"/>
      <c r="N134" s="283" t="n"/>
      <c r="O134" s="283" t="n"/>
      <c r="P134" s="283" t="n"/>
      <c r="Q134" s="283" t="n"/>
      <c r="R134" s="283" t="n"/>
      <c r="S134" s="283" t="n"/>
      <c r="T134" s="283" t="n"/>
      <c r="U134" s="283" t="n"/>
      <c r="V134" s="283" t="n"/>
      <c r="W134" s="283" t="n"/>
      <c r="X134" s="283" t="n"/>
      <c r="Y134" s="283" t="n"/>
      <c r="Z134" s="283" t="n"/>
      <c r="AA134" s="283" t="n"/>
      <c r="AB134" s="283" t="n"/>
      <c r="AC134" s="283" t="n"/>
      <c r="AD134" s="283" t="n"/>
      <c r="AE134" s="283" t="n"/>
      <c r="AF134" s="283" t="n"/>
      <c r="AG134" s="201" t="n">
        <v>4</v>
      </c>
      <c r="AH134" s="201" t="n">
        <v>2</v>
      </c>
      <c r="AI134" s="201" t="n">
        <v>0</v>
      </c>
      <c r="AJ134" s="201" t="n">
        <v>0</v>
      </c>
      <c r="AK134" s="201" t="n">
        <v>0</v>
      </c>
      <c r="AL134" s="201" t="n">
        <v>0</v>
      </c>
      <c r="AM134" s="201" t="n"/>
      <c r="AN134" s="201" t="n">
        <v>0</v>
      </c>
      <c r="AO134" s="201" t="n">
        <v>0</v>
      </c>
      <c r="AP134" s="201" t="n">
        <v>0</v>
      </c>
      <c r="AQ134" s="201" t="n">
        <v>0</v>
      </c>
      <c r="AR134" s="201" t="n">
        <v>0</v>
      </c>
      <c r="AS134" s="283">
        <f>SUM(AG134:AR134)</f>
        <v/>
      </c>
      <c r="AT134" s="286">
        <f>AS134/12</f>
        <v/>
      </c>
      <c r="AU134" s="201" t="n">
        <v>0</v>
      </c>
      <c r="AV134" s="201" t="n">
        <v>0</v>
      </c>
      <c r="AW134" s="201" t="n">
        <v>0</v>
      </c>
      <c r="AX134" s="201" t="n">
        <v>0</v>
      </c>
      <c r="AY134" s="201" t="n">
        <v>0</v>
      </c>
      <c r="AZ134" s="203">
        <f>SUMIFS(領用表!$L:$L,領用表!$E:$E,$B134,領用表!$B:$B,AZ$2&amp;$BI$1)</f>
        <v/>
      </c>
      <c r="BA134" s="203">
        <f>SUMIFS(領用表!$L:$L,領用表!$E:$E,$B134,領用表!$B:$B,BA$2&amp;$BI$1)</f>
        <v/>
      </c>
      <c r="BB134" s="203">
        <f>SUMIFS(領用表!$L:$L,領用表!$E:$E,$B134,領用表!$B:$B,BB$2&amp;$BI$1)</f>
        <v/>
      </c>
      <c r="BC134" s="203">
        <f>SUMIFS(領用表!$L:$L,領用表!$E:$E,$B134,領用表!$B:$B,BC$2&amp;$BI$1)</f>
        <v/>
      </c>
      <c r="BD134" s="208">
        <f>SUMIFS(領用表!$L:$L,領用表!$E:$E,$B134,領用表!$B:$B,BD$2&amp;$BI$1)</f>
        <v/>
      </c>
      <c r="BE134" s="208">
        <f>SUMIFS(領用表!$L:$L,領用表!$E:$E,$B134,領用表!$B:$B,BE$2&amp;$BI$1)</f>
        <v/>
      </c>
      <c r="BF134" s="208">
        <f>SUMIFS(領用表!$L:$L,領用表!$E:$E,$B134,領用表!$B:$B,BF$2&amp;$BI$1)</f>
        <v/>
      </c>
      <c r="BG134" s="207">
        <f>SUM(AU134,AV134,AW134,AX134,AY134,AZ134,BA134,BB134,BC134,BD134,BE134,BF134)</f>
        <v/>
      </c>
      <c r="BH134" s="207">
        <f>AVERAGE(AU134,AV134,AW134,AX134,AY134,AZ134,BA134,BB134,BC134,BD134,BE134,BF134)</f>
        <v/>
      </c>
      <c r="BI134" s="208">
        <f>SUMIFS(領用表!$L:$L,領用表!$E:$E,$B134,領用表!$B:$B,BI$2&amp;$BI$1)</f>
        <v/>
      </c>
      <c r="BJ134" s="208">
        <f>SUMIFS(領用表!$L:$L,領用表!$E:$E,$B134,領用表!$B:$B,BJ$2&amp;$BI$1)</f>
        <v/>
      </c>
      <c r="BK134" s="208">
        <f>SUMIFS(領用表!$L:$L,領用表!$E:$E,$B134,領用表!$B:$B,BK$2&amp;$BI$1)</f>
        <v/>
      </c>
      <c r="BL134" s="208">
        <f>SUMIFS(領用表!$L:$L,領用表!$E:$E,$B134,領用表!$B:$B,BL$2&amp;$BI$1)</f>
        <v/>
      </c>
      <c r="BM134" s="208">
        <f>SUMIFS(領用表!$L:$L,領用表!$E:$E,$B134,領用表!$B:$B,BM$2&amp;$BI$1)</f>
        <v/>
      </c>
      <c r="BN134" s="208">
        <f>SUMIFS(領用表!$L:$L,領用表!$E:$E,$B134,領用表!$B:$B,BN$2&amp;$BI$1)</f>
        <v/>
      </c>
      <c r="BO134" s="208">
        <f>SUMIFS(領用表!$L:$L,領用表!$E:$E,$B134,領用表!$B:$B,BO$2&amp;$BI$1)</f>
        <v/>
      </c>
      <c r="BP134" s="208">
        <f>SUMIFS(領用表!$L:$L,領用表!$E:$E,$B134,領用表!$B:$B,BP$2&amp;$BI$1)</f>
        <v/>
      </c>
      <c r="BQ134" s="208">
        <f>SUMIFS(領用表!$L:$L,領用表!$E:$E,$B134,領用表!$B:$B,BQ$2&amp;$BI$1)</f>
        <v/>
      </c>
      <c r="BR134" s="208">
        <f>SUMIFS(領用表!$L:$L,領用表!$E:$E,$B134,領用表!$B:$B,BR$2&amp;$BI$1)</f>
        <v/>
      </c>
      <c r="BS134" s="208">
        <f>SUMIFS(領用表!$L:$L,領用表!$E:$E,$B134,領用表!$B:$B,BS$2&amp;$BI$1)</f>
        <v/>
      </c>
      <c r="BT134" s="208">
        <f>SUMIFS(領用表!$L:$L,領用表!$E:$E,$B134,領用表!$B:$B,BT$2&amp;$BI$1)</f>
        <v/>
      </c>
      <c r="BU134" s="208">
        <f>SUM(BI134,BJ134,BK134,BL134,BM134,BN134)</f>
        <v/>
      </c>
      <c r="BV134" s="208">
        <f>AVERAGE(BI134,BJ134,BK134,BL134,BM134,BN134)</f>
        <v/>
      </c>
      <c r="BW134" s="208">
        <f>SUMIF(Summary!B:B,B134,Summary!DZ:DZ)</f>
        <v/>
      </c>
      <c r="BX134" s="258" t="n"/>
      <c r="BY134" s="340" t="n"/>
      <c r="BZ134" s="340" t="n"/>
      <c r="CA134" s="340" t="n"/>
      <c r="CB134" s="136" t="n"/>
      <c r="CC134" s="136" t="n"/>
      <c r="CE134" s="213" t="n"/>
    </row>
    <row r="135" ht="15.75" customFormat="1" customHeight="1" s="118">
      <c r="A135" s="136" t="n"/>
      <c r="B135" s="118" t="e">
        <v>#N/A</v>
      </c>
      <c r="C135" s="136" t="inlineStr">
        <is>
          <t>(售完不進)滾針2.0mm</t>
        </is>
      </c>
      <c r="D135" s="285" t="n"/>
      <c r="E135" s="198" t="inlineStr">
        <is>
          <t>支</t>
        </is>
      </c>
      <c r="F135" s="349" t="n"/>
      <c r="G135" s="349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  <c r="Y135" s="283" t="n"/>
      <c r="Z135" s="283" t="n"/>
      <c r="AA135" s="283" t="n"/>
      <c r="AB135" s="283" t="n"/>
      <c r="AC135" s="283" t="n"/>
      <c r="AD135" s="283" t="n"/>
      <c r="AE135" s="283" t="n"/>
      <c r="AF135" s="283" t="n"/>
      <c r="AG135" s="201" t="n">
        <v>1</v>
      </c>
      <c r="AH135" s="201" t="n">
        <v>2</v>
      </c>
      <c r="AI135" s="201" t="n">
        <v>0</v>
      </c>
      <c r="AJ135" s="201" t="n">
        <v>0</v>
      </c>
      <c r="AK135" s="201" t="n">
        <v>0</v>
      </c>
      <c r="AL135" s="201" t="n">
        <v>0</v>
      </c>
      <c r="AM135" s="201" t="n"/>
      <c r="AN135" s="201" t="n">
        <v>0</v>
      </c>
      <c r="AO135" s="201" t="n">
        <v>0</v>
      </c>
      <c r="AP135" s="201" t="n">
        <v>0</v>
      </c>
      <c r="AQ135" s="201" t="n">
        <v>0</v>
      </c>
      <c r="AR135" s="201" t="n">
        <v>0</v>
      </c>
      <c r="AS135" s="283">
        <f>SUM(AG135:AR135)</f>
        <v/>
      </c>
      <c r="AT135" s="286">
        <f>AS135/12</f>
        <v/>
      </c>
      <c r="AU135" s="201" t="n">
        <v>0</v>
      </c>
      <c r="AV135" s="201" t="n">
        <v>0</v>
      </c>
      <c r="AW135" s="201" t="n">
        <v>0</v>
      </c>
      <c r="AX135" s="201" t="n">
        <v>0</v>
      </c>
      <c r="AY135" s="201" t="n">
        <v>0</v>
      </c>
      <c r="AZ135" s="203">
        <f>SUMIFS(領用表!$L:$L,領用表!$E:$E,$B135,領用表!$B:$B,AZ$2&amp;$BI$1)</f>
        <v/>
      </c>
      <c r="BA135" s="203">
        <f>SUMIFS(領用表!$L:$L,領用表!$E:$E,$B135,領用表!$B:$B,BA$2&amp;$BI$1)</f>
        <v/>
      </c>
      <c r="BB135" s="203">
        <f>SUMIFS(領用表!$L:$L,領用表!$E:$E,$B135,領用表!$B:$B,BB$2&amp;$BI$1)</f>
        <v/>
      </c>
      <c r="BC135" s="203">
        <f>SUMIFS(領用表!$L:$L,領用表!$E:$E,$B135,領用表!$B:$B,BC$2&amp;$BI$1)</f>
        <v/>
      </c>
      <c r="BD135" s="208">
        <f>SUMIFS(領用表!$L:$L,領用表!$E:$E,$B135,領用表!$B:$B,BD$2&amp;$BI$1)</f>
        <v/>
      </c>
      <c r="BE135" s="208">
        <f>SUMIFS(領用表!$L:$L,領用表!$E:$E,$B135,領用表!$B:$B,BE$2&amp;$BI$1)</f>
        <v/>
      </c>
      <c r="BF135" s="208">
        <f>SUMIFS(領用表!$L:$L,領用表!$E:$E,$B135,領用表!$B:$B,BF$2&amp;$BI$1)</f>
        <v/>
      </c>
      <c r="BG135" s="207">
        <f>SUM(AU135,AV135,AW135,AX135,AY135,AZ135,BA135,BB135,BC135,BD135,BE135,BF135)</f>
        <v/>
      </c>
      <c r="BH135" s="207">
        <f>AVERAGE(AU135,AV135,AW135,AX135,AY135,AZ135,BA135,BB135,BC135,BD135,BE135,BF135)</f>
        <v/>
      </c>
      <c r="BI135" s="208">
        <f>SUMIFS(領用表!$L:$L,領用表!$E:$E,$B135,領用表!$B:$B,BI$2&amp;$BI$1)</f>
        <v/>
      </c>
      <c r="BJ135" s="208">
        <f>SUMIFS(領用表!$L:$L,領用表!$E:$E,$B135,領用表!$B:$B,BJ$2&amp;$BI$1)</f>
        <v/>
      </c>
      <c r="BK135" s="208">
        <f>SUMIFS(領用表!$L:$L,領用表!$E:$E,$B135,領用表!$B:$B,BK$2&amp;$BI$1)</f>
        <v/>
      </c>
      <c r="BL135" s="208">
        <f>SUMIFS(領用表!$L:$L,領用表!$E:$E,$B135,領用表!$B:$B,BL$2&amp;$BI$1)</f>
        <v/>
      </c>
      <c r="BM135" s="208">
        <f>SUMIFS(領用表!$L:$L,領用表!$E:$E,$B135,領用表!$B:$B,BM$2&amp;$BI$1)</f>
        <v/>
      </c>
      <c r="BN135" s="208">
        <f>SUMIFS(領用表!$L:$L,領用表!$E:$E,$B135,領用表!$B:$B,BN$2&amp;$BI$1)</f>
        <v/>
      </c>
      <c r="BO135" s="208">
        <f>SUMIFS(領用表!$L:$L,領用表!$E:$E,$B135,領用表!$B:$B,BO$2&amp;$BI$1)</f>
        <v/>
      </c>
      <c r="BP135" s="208">
        <f>SUMIFS(領用表!$L:$L,領用表!$E:$E,$B135,領用表!$B:$B,BP$2&amp;$BI$1)</f>
        <v/>
      </c>
      <c r="BQ135" s="208">
        <f>SUMIFS(領用表!$L:$L,領用表!$E:$E,$B135,領用表!$B:$B,BQ$2&amp;$BI$1)</f>
        <v/>
      </c>
      <c r="BR135" s="208">
        <f>SUMIFS(領用表!$L:$L,領用表!$E:$E,$B135,領用表!$B:$B,BR$2&amp;$BI$1)</f>
        <v/>
      </c>
      <c r="BS135" s="208">
        <f>SUMIFS(領用表!$L:$L,領用表!$E:$E,$B135,領用表!$B:$B,BS$2&amp;$BI$1)</f>
        <v/>
      </c>
      <c r="BT135" s="208">
        <f>SUMIFS(領用表!$L:$L,領用表!$E:$E,$B135,領用表!$B:$B,BT$2&amp;$BI$1)</f>
        <v/>
      </c>
      <c r="BU135" s="208">
        <f>SUM(BI135,BJ135,BK135,BL135,BM135,BN135)</f>
        <v/>
      </c>
      <c r="BV135" s="208">
        <f>AVERAGE(BI135,BJ135,BK135,BL135,BM135,BN135)</f>
        <v/>
      </c>
      <c r="BW135" s="208">
        <f>SUMIF(Summary!B:B,B135,Summary!DZ:DZ)</f>
        <v/>
      </c>
      <c r="BX135" s="258" t="n"/>
      <c r="BY135" s="340" t="n"/>
      <c r="BZ135" s="340" t="n"/>
      <c r="CA135" s="340" t="n"/>
      <c r="CB135" s="136" t="n"/>
      <c r="CC135" s="136" t="n"/>
      <c r="CE135" s="213" t="n"/>
    </row>
    <row r="136" ht="15.75" customFormat="1" customHeight="1" s="118">
      <c r="A136" s="136" t="n"/>
      <c r="B136" s="118" t="e">
        <v>#N/A</v>
      </c>
      <c r="C136" s="136" t="inlineStr">
        <is>
          <t>鈍針_27G</t>
        </is>
      </c>
      <c r="D136" s="285" t="n"/>
      <c r="E136" s="198" t="inlineStr">
        <is>
          <t>支</t>
        </is>
      </c>
      <c r="F136" s="349" t="n"/>
      <c r="G136" s="349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  <c r="Y136" s="283" t="n"/>
      <c r="Z136" s="283" t="n"/>
      <c r="AA136" s="283" t="n"/>
      <c r="AB136" s="283" t="n"/>
      <c r="AC136" s="283" t="n"/>
      <c r="AD136" s="283" t="n"/>
      <c r="AE136" s="283" t="n"/>
      <c r="AF136" s="283" t="n"/>
      <c r="AG136" s="201" t="n"/>
      <c r="AH136" s="201" t="n"/>
      <c r="AI136" s="201" t="n"/>
      <c r="AJ136" s="201" t="n"/>
      <c r="AK136" s="201" t="n"/>
      <c r="AL136" s="201" t="n"/>
      <c r="AM136" s="201" t="n"/>
      <c r="AN136" s="201" t="n"/>
      <c r="AO136" s="201" t="n"/>
      <c r="AP136" s="201" t="n"/>
      <c r="AQ136" s="201" t="n"/>
      <c r="AR136" s="201" t="n"/>
      <c r="AS136" s="283" t="n"/>
      <c r="AT136" s="286" t="n"/>
      <c r="AU136" s="201" t="n"/>
      <c r="AV136" s="201" t="n"/>
      <c r="AW136" s="201" t="n"/>
      <c r="AX136" s="201" t="n">
        <v>0</v>
      </c>
      <c r="AY136" s="201" t="n">
        <v>0</v>
      </c>
      <c r="AZ136" s="295">
        <f>SUMIFS(領用表!$L:$L,領用表!$E:$E,$B136,領用表!$B:$B,AZ$2&amp;$BI$1)</f>
        <v/>
      </c>
      <c r="BA136" s="203">
        <f>SUMIFS(領用表!$L:$L,領用表!$E:$E,$B136,領用表!$B:$B,BA$2&amp;$BI$1)</f>
        <v/>
      </c>
      <c r="BB136" s="203">
        <f>SUMIFS(領用表!$L:$L,領用表!$E:$E,$B136,領用表!$B:$B,BB$2&amp;$BI$1)</f>
        <v/>
      </c>
      <c r="BC136" s="203">
        <f>SUMIFS(領用表!$L:$L,領用表!$E:$E,$B136,領用表!$B:$B,BC$2&amp;$BI$1)</f>
        <v/>
      </c>
      <c r="BD136" s="208">
        <f>SUMIFS(領用表!$L:$L,領用表!$E:$E,$B136,領用表!$B:$B,BD$2&amp;$BI$1)</f>
        <v/>
      </c>
      <c r="BE136" s="208">
        <f>SUMIFS(領用表!$L:$L,領用表!$E:$E,$B136,領用表!$B:$B,BE$2&amp;$BI$1)</f>
        <v/>
      </c>
      <c r="BF136" s="208">
        <f>SUMIFS(領用表!$L:$L,領用表!$E:$E,$B136,領用表!$B:$B,BF$2&amp;$BI$1)</f>
        <v/>
      </c>
      <c r="BG136" s="207">
        <f>SUM(AU136,AV136,AW136,AX136,AY136,AZ136,BA136,BB136,BC136,BD136,BE136,BF136)</f>
        <v/>
      </c>
      <c r="BH136" s="207">
        <f>AVERAGE(AU136,AV136,AW136,AX136,AY136,AZ136,BA136,BB136,BC136,BD136,BE136,BF136)</f>
        <v/>
      </c>
      <c r="BI136" s="208">
        <f>SUMIFS(領用表!$L:$L,領用表!$E:$E,$B136,領用表!$B:$B,BI$2&amp;$BI$1)</f>
        <v/>
      </c>
      <c r="BJ136" s="208">
        <f>SUMIFS(領用表!$L:$L,領用表!$E:$E,$B136,領用表!$B:$B,BJ$2&amp;$BI$1)</f>
        <v/>
      </c>
      <c r="BK136" s="208">
        <f>SUMIFS(領用表!$L:$L,領用表!$E:$E,$B136,領用表!$B:$B,BK$2&amp;$BI$1)</f>
        <v/>
      </c>
      <c r="BL136" s="208">
        <f>SUMIFS(領用表!$L:$L,領用表!$E:$E,$B136,領用表!$B:$B,BL$2&amp;$BI$1)</f>
        <v/>
      </c>
      <c r="BM136" s="208">
        <f>SUMIFS(領用表!$L:$L,領用表!$E:$E,$B136,領用表!$B:$B,BM$2&amp;$BI$1)</f>
        <v/>
      </c>
      <c r="BN136" s="208">
        <f>SUMIFS(領用表!$L:$L,領用表!$E:$E,$B136,領用表!$B:$B,BN$2&amp;$BI$1)</f>
        <v/>
      </c>
      <c r="BO136" s="208">
        <f>SUMIFS(領用表!$L:$L,領用表!$E:$E,$B136,領用表!$B:$B,BO$2&amp;$BI$1)</f>
        <v/>
      </c>
      <c r="BP136" s="208">
        <f>SUMIFS(領用表!$L:$L,領用表!$E:$E,$B136,領用表!$B:$B,BP$2&amp;$BI$1)</f>
        <v/>
      </c>
      <c r="BQ136" s="208">
        <f>SUMIFS(領用表!$L:$L,領用表!$E:$E,$B136,領用表!$B:$B,BQ$2&amp;$BI$1)</f>
        <v/>
      </c>
      <c r="BR136" s="208">
        <f>SUMIFS(領用表!$L:$L,領用表!$E:$E,$B136,領用表!$B:$B,BR$2&amp;$BI$1)</f>
        <v/>
      </c>
      <c r="BS136" s="208">
        <f>SUMIFS(領用表!$L:$L,領用表!$E:$E,$B136,領用表!$B:$B,BS$2&amp;$BI$1)</f>
        <v/>
      </c>
      <c r="BT136" s="208">
        <f>SUMIFS(領用表!$L:$L,領用表!$E:$E,$B136,領用表!$B:$B,BT$2&amp;$BI$1)</f>
        <v/>
      </c>
      <c r="BU136" s="208">
        <f>SUM(BI136,BJ136,BK136,BL136,BM136,BN136)</f>
        <v/>
      </c>
      <c r="BV136" s="208">
        <f>AVERAGE(BI136,BJ136,BK136,BL136,BM136,BN136)</f>
        <v/>
      </c>
      <c r="BW136" s="208">
        <f>SUMIF(Summary!B:B,B136,Summary!DZ:DZ)</f>
        <v/>
      </c>
      <c r="BX136" s="258" t="n"/>
      <c r="BY136" s="340" t="n"/>
      <c r="BZ136" s="340" t="n"/>
      <c r="CA136" s="340" t="n"/>
      <c r="CB136" s="136" t="n"/>
      <c r="CC136" s="136" t="n"/>
      <c r="CE136" s="213" t="n"/>
    </row>
    <row r="137" ht="15.75" customFormat="1" customHeight="1" s="118">
      <c r="A137" s="136" t="n"/>
      <c r="B137" s="118" t="e">
        <v>#N/A</v>
      </c>
      <c r="C137" s="136" t="inlineStr">
        <is>
          <t>寶寶針_32G 2mm</t>
        </is>
      </c>
      <c r="D137" s="285" t="n"/>
      <c r="E137" s="198" t="inlineStr">
        <is>
          <t>支</t>
        </is>
      </c>
      <c r="F137" s="349" t="n"/>
      <c r="G137" s="349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  <c r="Y137" s="283" t="n"/>
      <c r="Z137" s="283" t="n"/>
      <c r="AA137" s="283" t="n"/>
      <c r="AB137" s="283" t="n"/>
      <c r="AC137" s="283" t="n"/>
      <c r="AD137" s="283" t="n"/>
      <c r="AE137" s="283" t="n"/>
      <c r="AF137" s="283" t="n"/>
      <c r="AG137" s="201" t="n"/>
      <c r="AH137" s="201" t="n"/>
      <c r="AI137" s="201" t="n"/>
      <c r="AJ137" s="201" t="n"/>
      <c r="AK137" s="201" t="n"/>
      <c r="AL137" s="201" t="n"/>
      <c r="AM137" s="201" t="n"/>
      <c r="AN137" s="201" t="n"/>
      <c r="AO137" s="201" t="n"/>
      <c r="AP137" s="201" t="n"/>
      <c r="AQ137" s="201" t="n"/>
      <c r="AR137" s="201" t="n"/>
      <c r="AS137" s="283" t="n"/>
      <c r="AT137" s="286" t="n"/>
      <c r="AU137" s="201" t="n"/>
      <c r="AV137" s="201" t="n"/>
      <c r="AW137" s="201" t="n"/>
      <c r="AX137" s="201" t="n">
        <v>0</v>
      </c>
      <c r="AY137" s="201" t="n">
        <v>0</v>
      </c>
      <c r="AZ137" s="203">
        <f>SUMIFS(領用表!$L:$L,領用表!$E:$E,$B137,領用表!$B:$B,AZ$2&amp;$BI$1)</f>
        <v/>
      </c>
      <c r="BA137" s="203">
        <f>SUMIFS(領用表!$L:$L,領用表!$E:$E,$B137,領用表!$B:$B,BA$2&amp;$BI$1)</f>
        <v/>
      </c>
      <c r="BB137" s="203">
        <f>SUMIFS(領用表!$L:$L,領用表!$E:$E,$B137,領用表!$B:$B,BB$2&amp;$BI$1)</f>
        <v/>
      </c>
      <c r="BC137" s="203">
        <f>SUMIFS(領用表!$L:$L,領用表!$E:$E,$B137,領用表!$B:$B,BC$2&amp;$BI$1)</f>
        <v/>
      </c>
      <c r="BD137" s="208">
        <f>SUMIFS(領用表!$L:$L,領用表!$E:$E,$B137,領用表!$B:$B,BD$2&amp;$BI$1)</f>
        <v/>
      </c>
      <c r="BE137" s="208">
        <f>SUMIFS(領用表!$L:$L,領用表!$E:$E,$B137,領用表!$B:$B,BE$2&amp;$BI$1)</f>
        <v/>
      </c>
      <c r="BF137" s="208">
        <f>SUMIFS(領用表!$L:$L,領用表!$E:$E,$B137,領用表!$B:$B,BF$2&amp;$BI$1)</f>
        <v/>
      </c>
      <c r="BG137" s="207">
        <f>SUM(AU137,AV137,AW137,AX137,AY137,AZ137,BA137,BB137,BC137,BD137,BE137,BF137)</f>
        <v/>
      </c>
      <c r="BH137" s="207">
        <f>AVERAGE(AU137,AV137,AW137,AX137,AY137,AZ137,BA137,BB137,BC137,BD137,BE137,BF137)</f>
        <v/>
      </c>
      <c r="BI137" s="208">
        <f>SUMIFS(領用表!$L:$L,領用表!$E:$E,$B137,領用表!$B:$B,BI$2&amp;$BI$1)</f>
        <v/>
      </c>
      <c r="BJ137" s="208">
        <f>SUMIFS(領用表!$L:$L,領用表!$E:$E,$B137,領用表!$B:$B,BJ$2&amp;$BI$1)</f>
        <v/>
      </c>
      <c r="BK137" s="208">
        <f>SUMIFS(領用表!$L:$L,領用表!$E:$E,$B137,領用表!$B:$B,BK$2&amp;$BI$1)</f>
        <v/>
      </c>
      <c r="BL137" s="208">
        <f>SUMIFS(領用表!$L:$L,領用表!$E:$E,$B137,領用表!$B:$B,BL$2&amp;$BI$1)</f>
        <v/>
      </c>
      <c r="BM137" s="208">
        <f>SUMIFS(領用表!$L:$L,領用表!$E:$E,$B137,領用表!$B:$B,BM$2&amp;$BI$1)</f>
        <v/>
      </c>
      <c r="BN137" s="208">
        <f>SUMIFS(領用表!$L:$L,領用表!$E:$E,$B137,領用表!$B:$B,BN$2&amp;$BI$1)</f>
        <v/>
      </c>
      <c r="BO137" s="208">
        <f>SUMIFS(領用表!$L:$L,領用表!$E:$E,$B137,領用表!$B:$B,BO$2&amp;$BI$1)</f>
        <v/>
      </c>
      <c r="BP137" s="208">
        <f>SUMIFS(領用表!$L:$L,領用表!$E:$E,$B137,領用表!$B:$B,BP$2&amp;$BI$1)</f>
        <v/>
      </c>
      <c r="BQ137" s="208">
        <f>SUMIFS(領用表!$L:$L,領用表!$E:$E,$B137,領用表!$B:$B,BQ$2&amp;$BI$1)</f>
        <v/>
      </c>
      <c r="BR137" s="208">
        <f>SUMIFS(領用表!$L:$L,領用表!$E:$E,$B137,領用表!$B:$B,BR$2&amp;$BI$1)</f>
        <v/>
      </c>
      <c r="BS137" s="208">
        <f>SUMIFS(領用表!$L:$L,領用表!$E:$E,$B137,領用表!$B:$B,BS$2&amp;$BI$1)</f>
        <v/>
      </c>
      <c r="BT137" s="208">
        <f>SUMIFS(領用表!$L:$L,領用表!$E:$E,$B137,領用表!$B:$B,BT$2&amp;$BI$1)</f>
        <v/>
      </c>
      <c r="BU137" s="208">
        <f>SUM(BI137,BJ137,BK137,BL137,BM137,BN137)</f>
        <v/>
      </c>
      <c r="BV137" s="208">
        <f>AVERAGE(BI137,BJ137,BK137,BL137,BM137,BN137)</f>
        <v/>
      </c>
      <c r="BW137" s="208">
        <f>SUMIF(Summary!B:B,B137,Summary!DZ:DZ)</f>
        <v/>
      </c>
      <c r="BX137" s="258" t="n"/>
      <c r="BY137" s="340" t="n"/>
      <c r="BZ137" s="340" t="n"/>
      <c r="CA137" s="340" t="n"/>
      <c r="CB137" s="136" t="n"/>
      <c r="CC137" s="136" t="n"/>
      <c r="CE137" s="213" t="n"/>
    </row>
    <row r="138" ht="15.75" customFormat="1" customHeight="1" s="118">
      <c r="A138" s="136" t="n"/>
      <c r="B138" s="118" t="e">
        <v>#N/A</v>
      </c>
      <c r="C138" s="136" t="inlineStr">
        <is>
          <t>寶寶針_32G 4mm</t>
        </is>
      </c>
      <c r="D138" s="285" t="n"/>
      <c r="E138" s="198" t="inlineStr">
        <is>
          <t>支</t>
        </is>
      </c>
      <c r="F138" s="349" t="n"/>
      <c r="G138" s="349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  <c r="Y138" s="283" t="n"/>
      <c r="Z138" s="283" t="n"/>
      <c r="AA138" s="283" t="n"/>
      <c r="AB138" s="283" t="n"/>
      <c r="AC138" s="283" t="n"/>
      <c r="AD138" s="283" t="n"/>
      <c r="AE138" s="283" t="n"/>
      <c r="AF138" s="283" t="n"/>
      <c r="AG138" s="201" t="n"/>
      <c r="AH138" s="201" t="n"/>
      <c r="AI138" s="201" t="n"/>
      <c r="AJ138" s="201" t="n"/>
      <c r="AK138" s="201" t="n"/>
      <c r="AL138" s="201" t="n"/>
      <c r="AM138" s="201" t="n"/>
      <c r="AN138" s="201" t="n"/>
      <c r="AO138" s="201" t="n"/>
      <c r="AP138" s="201" t="n"/>
      <c r="AQ138" s="201" t="n"/>
      <c r="AR138" s="201" t="n"/>
      <c r="AS138" s="283" t="n"/>
      <c r="AT138" s="286" t="n"/>
      <c r="AU138" s="201" t="n"/>
      <c r="AV138" s="201" t="n"/>
      <c r="AW138" s="201" t="n"/>
      <c r="AX138" s="201" t="n">
        <v>0</v>
      </c>
      <c r="AY138" s="201" t="n">
        <v>0</v>
      </c>
      <c r="AZ138" s="203">
        <f>SUMIFS(領用表!$L:$L,領用表!$E:$E,$B138,領用表!$B:$B,AZ$2&amp;$BI$1)</f>
        <v/>
      </c>
      <c r="BA138" s="203">
        <f>SUMIFS(領用表!$L:$L,領用表!$E:$E,$B138,領用表!$B:$B,BA$2&amp;$BI$1)</f>
        <v/>
      </c>
      <c r="BB138" s="203">
        <f>SUMIFS(領用表!$L:$L,領用表!$E:$E,$B138,領用表!$B:$B,BB$2&amp;$BI$1)</f>
        <v/>
      </c>
      <c r="BC138" s="203">
        <f>SUMIFS(領用表!$L:$L,領用表!$E:$E,$B138,領用表!$B:$B,BC$2&amp;$BI$1)</f>
        <v/>
      </c>
      <c r="BD138" s="208">
        <f>SUMIFS(領用表!$L:$L,領用表!$E:$E,$B138,領用表!$B:$B,BD$2&amp;$BI$1)</f>
        <v/>
      </c>
      <c r="BE138" s="208">
        <f>SUMIFS(領用表!$L:$L,領用表!$E:$E,$B138,領用表!$B:$B,BE$2&amp;$BI$1)</f>
        <v/>
      </c>
      <c r="BF138" s="208">
        <f>SUMIFS(領用表!$L:$L,領用表!$E:$E,$B138,領用表!$B:$B,BF$2&amp;$BI$1)</f>
        <v/>
      </c>
      <c r="BG138" s="207">
        <f>SUM(AU138,AV138,AW138,AX138,AY138,AZ138,BA138,BB138,BC138,BD138,BE138,BF138)</f>
        <v/>
      </c>
      <c r="BH138" s="207">
        <f>AVERAGE(AU138,AV138,AW138,AX138,AY138,AZ138,BA138,BB138,BC138,BD138,BE138,BF138)</f>
        <v/>
      </c>
      <c r="BI138" s="208">
        <f>SUMIFS(領用表!$L:$L,領用表!$E:$E,$B138,領用表!$B:$B,BI$2&amp;$BI$1)</f>
        <v/>
      </c>
      <c r="BJ138" s="208">
        <f>SUMIFS(領用表!$L:$L,領用表!$E:$E,$B138,領用表!$B:$B,BJ$2&amp;$BI$1)</f>
        <v/>
      </c>
      <c r="BK138" s="208">
        <f>SUMIFS(領用表!$L:$L,領用表!$E:$E,$B138,領用表!$B:$B,BK$2&amp;$BI$1)</f>
        <v/>
      </c>
      <c r="BL138" s="208">
        <f>SUMIFS(領用表!$L:$L,領用表!$E:$E,$B138,領用表!$B:$B,BL$2&amp;$BI$1)</f>
        <v/>
      </c>
      <c r="BM138" s="208">
        <f>SUMIFS(領用表!$L:$L,領用表!$E:$E,$B138,領用表!$B:$B,BM$2&amp;$BI$1)</f>
        <v/>
      </c>
      <c r="BN138" s="208">
        <f>SUMIFS(領用表!$L:$L,領用表!$E:$E,$B138,領用表!$B:$B,BN$2&amp;$BI$1)</f>
        <v/>
      </c>
      <c r="BO138" s="208">
        <f>SUMIFS(領用表!$L:$L,領用表!$E:$E,$B138,領用表!$B:$B,BO$2&amp;$BI$1)</f>
        <v/>
      </c>
      <c r="BP138" s="208">
        <f>SUMIFS(領用表!$L:$L,領用表!$E:$E,$B138,領用表!$B:$B,BP$2&amp;$BI$1)</f>
        <v/>
      </c>
      <c r="BQ138" s="208">
        <f>SUMIFS(領用表!$L:$L,領用表!$E:$E,$B138,領用表!$B:$B,BQ$2&amp;$BI$1)</f>
        <v/>
      </c>
      <c r="BR138" s="208">
        <f>SUMIFS(領用表!$L:$L,領用表!$E:$E,$B138,領用表!$B:$B,BR$2&amp;$BI$1)</f>
        <v/>
      </c>
      <c r="BS138" s="208">
        <f>SUMIFS(領用表!$L:$L,領用表!$E:$E,$B138,領用表!$B:$B,BS$2&amp;$BI$1)</f>
        <v/>
      </c>
      <c r="BT138" s="208">
        <f>SUMIFS(領用表!$L:$L,領用表!$E:$E,$B138,領用表!$B:$B,BT$2&amp;$BI$1)</f>
        <v/>
      </c>
      <c r="BU138" s="208">
        <f>SUM(BI138,BJ138,BK138,BL138,BM138,BN138)</f>
        <v/>
      </c>
      <c r="BV138" s="208">
        <f>AVERAGE(BI138,BJ138,BK138,BL138,BM138,BN138)</f>
        <v/>
      </c>
      <c r="BW138" s="208">
        <f>SUMIF(Summary!B:B,B138,Summary!DZ:DZ)</f>
        <v/>
      </c>
      <c r="BX138" s="258" t="n"/>
      <c r="BY138" s="340" t="n"/>
      <c r="BZ138" s="340" t="n"/>
      <c r="CA138" s="340" t="n"/>
      <c r="CB138" s="136" t="n"/>
      <c r="CC138" s="136" t="n"/>
      <c r="CE138" s="213" t="n"/>
    </row>
    <row r="139" ht="15.75" customFormat="1" customHeight="1" s="118">
      <c r="A139" s="136" t="n"/>
      <c r="B139" s="118" t="e">
        <v>#N/A</v>
      </c>
      <c r="C139" s="136" t="inlineStr">
        <is>
          <t>寶寶針_33G 4mm</t>
        </is>
      </c>
      <c r="D139" s="285" t="n"/>
      <c r="E139" s="198" t="inlineStr">
        <is>
          <t>支</t>
        </is>
      </c>
      <c r="F139" s="349" t="n"/>
      <c r="G139" s="349" t="n"/>
      <c r="H139" s="283" t="n"/>
      <c r="I139" s="283" t="n"/>
      <c r="J139" s="283" t="n"/>
      <c r="K139" s="283" t="n"/>
      <c r="L139" s="283" t="n"/>
      <c r="M139" s="283" t="n"/>
      <c r="N139" s="283" t="n"/>
      <c r="O139" s="283" t="n"/>
      <c r="P139" s="283" t="n"/>
      <c r="Q139" s="283" t="n"/>
      <c r="R139" s="283" t="n"/>
      <c r="S139" s="283" t="n"/>
      <c r="T139" s="283" t="n"/>
      <c r="U139" s="283" t="n"/>
      <c r="V139" s="283" t="n"/>
      <c r="W139" s="283" t="n"/>
      <c r="X139" s="283" t="n"/>
      <c r="Y139" s="283" t="n"/>
      <c r="Z139" s="283" t="n"/>
      <c r="AA139" s="283" t="n"/>
      <c r="AB139" s="283" t="n"/>
      <c r="AC139" s="283" t="n"/>
      <c r="AD139" s="283" t="n"/>
      <c r="AE139" s="283" t="n"/>
      <c r="AF139" s="283" t="n"/>
      <c r="AG139" s="201" t="n"/>
      <c r="AH139" s="201" t="n"/>
      <c r="AI139" s="201" t="n"/>
      <c r="AJ139" s="201" t="n"/>
      <c r="AK139" s="201" t="n"/>
      <c r="AL139" s="201" t="n"/>
      <c r="AM139" s="201" t="n"/>
      <c r="AN139" s="201" t="n"/>
      <c r="AO139" s="201" t="n"/>
      <c r="AP139" s="201" t="n"/>
      <c r="AQ139" s="201" t="n"/>
      <c r="AR139" s="201" t="n"/>
      <c r="AS139" s="283" t="n"/>
      <c r="AT139" s="286" t="n"/>
      <c r="AU139" s="201" t="n"/>
      <c r="AV139" s="201" t="n"/>
      <c r="AW139" s="201" t="n"/>
      <c r="AX139" s="201" t="n">
        <v>0</v>
      </c>
      <c r="AY139" s="201" t="n">
        <v>0</v>
      </c>
      <c r="AZ139" s="203">
        <f>SUMIFS(領用表!$L:$L,領用表!$E:$E,$B139,領用表!$B:$B,AZ$2&amp;$BI$1)</f>
        <v/>
      </c>
      <c r="BA139" s="203">
        <f>SUMIFS(領用表!$L:$L,領用表!$E:$E,$B139,領用表!$B:$B,BA$2&amp;$BI$1)</f>
        <v/>
      </c>
      <c r="BB139" s="203">
        <f>SUMIFS(領用表!$L:$L,領用表!$E:$E,$B139,領用表!$B:$B,BB$2&amp;$BI$1)</f>
        <v/>
      </c>
      <c r="BC139" s="203">
        <f>SUMIFS(領用表!$L:$L,領用表!$E:$E,$B139,領用表!$B:$B,BC$2&amp;$BI$1)</f>
        <v/>
      </c>
      <c r="BD139" s="208">
        <f>SUMIFS(領用表!$L:$L,領用表!$E:$E,$B139,領用表!$B:$B,BD$2&amp;$BI$1)</f>
        <v/>
      </c>
      <c r="BE139" s="208">
        <f>SUMIFS(領用表!$L:$L,領用表!$E:$E,$B139,領用表!$B:$B,BE$2&amp;$BI$1)</f>
        <v/>
      </c>
      <c r="BF139" s="208">
        <f>SUMIFS(領用表!$L:$L,領用表!$E:$E,$B139,領用表!$B:$B,BF$2&amp;$BI$1)</f>
        <v/>
      </c>
      <c r="BG139" s="207">
        <f>SUM(AU139,AV139,AW139,AX139,AY139,AZ139,BA139,BB139,BC139,BD139,BE139,BF139)</f>
        <v/>
      </c>
      <c r="BH139" s="207">
        <f>AVERAGE(AU139,AV139,AW139,AX139,AY139,AZ139,BA139,BB139,BC139,BD139,BE139,BF139)</f>
        <v/>
      </c>
      <c r="BI139" s="208">
        <f>SUMIFS(領用表!$L:$L,領用表!$E:$E,$B139,領用表!$B:$B,BI$2&amp;$BI$1)</f>
        <v/>
      </c>
      <c r="BJ139" s="208">
        <f>SUMIFS(領用表!$L:$L,領用表!$E:$E,$B139,領用表!$B:$B,BJ$2&amp;$BI$1)</f>
        <v/>
      </c>
      <c r="BK139" s="208">
        <f>SUMIFS(領用表!$L:$L,領用表!$E:$E,$B139,領用表!$B:$B,BK$2&amp;$BI$1)</f>
        <v/>
      </c>
      <c r="BL139" s="208">
        <f>SUMIFS(領用表!$L:$L,領用表!$E:$E,$B139,領用表!$B:$B,BL$2&amp;$BI$1)</f>
        <v/>
      </c>
      <c r="BM139" s="208">
        <f>SUMIFS(領用表!$L:$L,領用表!$E:$E,$B139,領用表!$B:$B,BM$2&amp;$BI$1)</f>
        <v/>
      </c>
      <c r="BN139" s="208">
        <f>SUMIFS(領用表!$L:$L,領用表!$E:$E,$B139,領用表!$B:$B,BN$2&amp;$BI$1)</f>
        <v/>
      </c>
      <c r="BO139" s="208">
        <f>SUMIFS(領用表!$L:$L,領用表!$E:$E,$B139,領用表!$B:$B,BO$2&amp;$BI$1)</f>
        <v/>
      </c>
      <c r="BP139" s="208">
        <f>SUMIFS(領用表!$L:$L,領用表!$E:$E,$B139,領用表!$B:$B,BP$2&amp;$BI$1)</f>
        <v/>
      </c>
      <c r="BQ139" s="208">
        <f>SUMIFS(領用表!$L:$L,領用表!$E:$E,$B139,領用表!$B:$B,BQ$2&amp;$BI$1)</f>
        <v/>
      </c>
      <c r="BR139" s="208">
        <f>SUMIFS(領用表!$L:$L,領用表!$E:$E,$B139,領用表!$B:$B,BR$2&amp;$BI$1)</f>
        <v/>
      </c>
      <c r="BS139" s="208">
        <f>SUMIFS(領用表!$L:$L,領用表!$E:$E,$B139,領用表!$B:$B,BS$2&amp;$BI$1)</f>
        <v/>
      </c>
      <c r="BT139" s="208">
        <f>SUMIFS(領用表!$L:$L,領用表!$E:$E,$B139,領用表!$B:$B,BT$2&amp;$BI$1)</f>
        <v/>
      </c>
      <c r="BU139" s="208">
        <f>SUM(BI139,BJ139,BK139,BL139,BM139,BN139)</f>
        <v/>
      </c>
      <c r="BV139" s="208">
        <f>AVERAGE(BI139,BJ139,BK139,BL139,BM139,BN139)</f>
        <v/>
      </c>
      <c r="BW139" s="208">
        <f>SUMIF(Summary!B:B,B139,Summary!DZ:DZ)</f>
        <v/>
      </c>
      <c r="BX139" s="258" t="n"/>
      <c r="BY139" s="340" t="n"/>
      <c r="BZ139" s="340" t="n"/>
      <c r="CA139" s="340" t="n"/>
      <c r="CB139" s="136" t="n"/>
      <c r="CC139" s="136" t="n"/>
      <c r="CE139" s="213" t="n"/>
    </row>
    <row r="140" ht="15.75" customFormat="1" customHeight="1" s="381">
      <c r="A140" s="144" t="n"/>
      <c r="B140" s="144" t="n"/>
      <c r="C140" s="144" t="n"/>
      <c r="D140" s="375" t="n"/>
      <c r="E140" s="387" t="n"/>
      <c r="F140" s="388" t="n"/>
      <c r="G140" s="388" t="n"/>
      <c r="H140" s="389" t="n"/>
      <c r="I140" s="389" t="n"/>
      <c r="J140" s="389" t="n"/>
      <c r="K140" s="389" t="n"/>
      <c r="L140" s="389" t="n"/>
      <c r="M140" s="389" t="n"/>
      <c r="N140" s="389" t="n"/>
      <c r="O140" s="389" t="n"/>
      <c r="P140" s="389" t="n"/>
      <c r="Q140" s="389" t="n"/>
      <c r="R140" s="389" t="n"/>
      <c r="S140" s="389" t="n"/>
      <c r="T140" s="389" t="n"/>
      <c r="U140" s="389" t="n"/>
      <c r="V140" s="389" t="n"/>
      <c r="W140" s="389" t="n"/>
      <c r="X140" s="389" t="n"/>
      <c r="Y140" s="389" t="n"/>
      <c r="Z140" s="389" t="n"/>
      <c r="AA140" s="389" t="n"/>
      <c r="AB140" s="389" t="n"/>
      <c r="AC140" s="389" t="n"/>
      <c r="AD140" s="389" t="n"/>
      <c r="AE140" s="389" t="n"/>
      <c r="AF140" s="389" t="n"/>
      <c r="AG140" s="389" t="n"/>
      <c r="AH140" s="389" t="n"/>
      <c r="AI140" s="389" t="n"/>
      <c r="AJ140" s="389" t="n"/>
      <c r="AK140" s="389" t="n"/>
      <c r="AL140" s="389" t="n"/>
      <c r="AM140" s="389" t="n"/>
      <c r="AN140" s="390" t="n"/>
      <c r="AO140" s="390" t="n"/>
      <c r="AP140" s="390" t="n"/>
      <c r="AQ140" s="389" t="n"/>
      <c r="AR140" s="389" t="n"/>
      <c r="AS140" s="389" t="n"/>
      <c r="AT140" s="389" t="n"/>
      <c r="AU140" s="389" t="n"/>
      <c r="AV140" s="389" t="n"/>
      <c r="AW140" s="389" t="n"/>
      <c r="AX140" s="374" t="n"/>
      <c r="AY140" s="374" t="n"/>
      <c r="AZ140" s="378" t="n"/>
      <c r="BA140" s="374" t="n"/>
      <c r="BB140" s="379" t="n"/>
      <c r="BC140" s="391" t="n"/>
      <c r="BD140" s="391" t="n"/>
      <c r="BE140" s="391" t="n"/>
      <c r="BF140" s="391" t="n"/>
      <c r="BG140" s="391" t="n"/>
      <c r="BH140" s="391" t="n"/>
      <c r="BI140" s="391" t="n"/>
      <c r="BJ140" s="391" t="n"/>
      <c r="BK140" s="391" t="n"/>
      <c r="BL140" s="391" t="n"/>
      <c r="BM140" s="391" t="n"/>
      <c r="BN140" s="391" t="n"/>
      <c r="BO140" s="391" t="n"/>
      <c r="BP140" s="391" t="n"/>
      <c r="BQ140" s="391" t="n"/>
      <c r="BR140" s="391" t="n"/>
      <c r="BS140" s="391" t="n"/>
      <c r="BT140" s="391" t="n"/>
      <c r="BU140" s="391">
        <f>SUM(BI140,BJ140,BK140,BL140,BM140,BN140)</f>
        <v/>
      </c>
      <c r="BV140" s="391">
        <f>AVERAGE(BI140,BJ140,BK140,BL140,BM140,BN140)</f>
        <v/>
      </c>
      <c r="BW140" s="391" t="n"/>
      <c r="BX140" s="391" t="n"/>
      <c r="BY140" s="389" t="n"/>
      <c r="BZ140" s="389" t="n"/>
      <c r="CA140" s="389" t="n"/>
      <c r="CB140" s="144" t="n"/>
      <c r="CC140" s="144" t="n"/>
    </row>
    <row r="141" ht="15.75" customFormat="1" customHeight="1" s="118">
      <c r="A141" s="136" t="inlineStr">
        <is>
          <t>D99AA100001T</t>
        </is>
      </c>
      <c r="B141" s="118" t="n">
        <v>6090001</v>
      </c>
      <c r="C141" s="136" t="inlineStr">
        <is>
          <t>藍銅胜肽舒緩凍膜 180mL(從深坑廠出貨)-</t>
        </is>
      </c>
      <c r="D141" s="285" t="n"/>
      <c r="E141" s="198" t="inlineStr">
        <is>
          <t>PCS</t>
        </is>
      </c>
      <c r="F141" s="349" t="n">
        <v>59</v>
      </c>
      <c r="G141" s="349" t="n"/>
      <c r="H141" s="349" t="n"/>
      <c r="I141" s="349" t="n"/>
      <c r="J141" s="349" t="n"/>
      <c r="K141" s="349" t="n"/>
      <c r="L141" s="349" t="n"/>
      <c r="M141" s="283" t="n"/>
      <c r="N141" s="283" t="n"/>
      <c r="O141" s="283" t="n"/>
      <c r="P141" s="283" t="n"/>
      <c r="Q141" s="283" t="n"/>
      <c r="R141" s="283" t="n"/>
      <c r="S141" s="283" t="n"/>
      <c r="T141" s="283" t="n"/>
      <c r="U141" s="283" t="n"/>
      <c r="V141" s="283" t="n"/>
      <c r="W141" s="283" t="n"/>
      <c r="X141" s="283" t="n"/>
      <c r="Y141" s="283" t="n"/>
      <c r="Z141" s="283" t="n"/>
      <c r="AA141" s="283" t="n"/>
      <c r="AB141" s="283" t="n"/>
      <c r="AC141" s="283" t="n"/>
      <c r="AD141" s="283" t="n"/>
      <c r="AE141" s="283" t="n"/>
      <c r="AF141" s="283" t="n"/>
      <c r="AG141" s="201" t="n"/>
      <c r="AH141" s="201" t="n"/>
      <c r="AI141" s="201" t="n"/>
      <c r="AJ141" s="201" t="n"/>
      <c r="AK141" s="201" t="n"/>
      <c r="AL141" s="201" t="n"/>
      <c r="AM141" s="201" t="n"/>
      <c r="AN141" s="201" t="n">
        <v>0</v>
      </c>
      <c r="AO141" s="201" t="n">
        <v>0</v>
      </c>
      <c r="AP141" s="201" t="n">
        <v>57</v>
      </c>
      <c r="AQ141" s="201" t="n">
        <v>30</v>
      </c>
      <c r="AR141" s="201" t="n">
        <v>120</v>
      </c>
      <c r="AS141" s="283">
        <f>SUM(AG141:AR141)</f>
        <v/>
      </c>
      <c r="AT141" s="286">
        <f>AS141/12</f>
        <v/>
      </c>
      <c r="AU141" s="201" t="n">
        <v>0</v>
      </c>
      <c r="AV141" s="201" t="n">
        <v>0</v>
      </c>
      <c r="AW141" s="201" t="n">
        <v>60</v>
      </c>
      <c r="AX141" s="201" t="n">
        <v>32</v>
      </c>
      <c r="AY141" s="201" t="n">
        <v>20</v>
      </c>
      <c r="AZ141" s="203">
        <f>SUMIFS(領用表!$L:$L,領用表!$E:$E,$B141,領用表!$B:$B,AZ$2&amp;$BI$1)</f>
        <v/>
      </c>
      <c r="BA141" s="203">
        <f>SUMIFS(領用表!$L:$L,領用表!$E:$E,$B141,領用表!$B:$B,BA$2&amp;$BI$1)</f>
        <v/>
      </c>
      <c r="BB141" s="203">
        <f>SUMIFS(領用表!$L:$L,領用表!$E:$E,$B141,領用表!$B:$B,BB$2&amp;$BI$1)</f>
        <v/>
      </c>
      <c r="BC141" s="203">
        <f>SUMIFS(領用表!$L:$L,領用表!$E:$E,$B141,領用表!$B:$B,BC$2&amp;$BI$1)</f>
        <v/>
      </c>
      <c r="BD141" s="208">
        <f>SUMIFS(領用表!$L:$L,領用表!$E:$E,$B141,領用表!$B:$B,BD$2&amp;$BI$1)</f>
        <v/>
      </c>
      <c r="BE141" s="208">
        <f>SUMIFS(領用表!$L:$L,領用表!$E:$E,$B141,領用表!$B:$B,BE$2&amp;$BI$1)</f>
        <v/>
      </c>
      <c r="BF141" s="208">
        <f>SUMIFS(領用表!$L:$L,領用表!$E:$E,$B141,領用表!$B:$B,BF$2&amp;$BI$1)</f>
        <v/>
      </c>
      <c r="BG141" s="207">
        <f>SUM(AU141,AV141,AW141,AX141,AY141,AZ141,BA141,BB141,BC141,BD141,BE141,BF141)</f>
        <v/>
      </c>
      <c r="BH141" s="207">
        <f>AVERAGE(AU141,AV141,AW141,AX141,AY141,AZ141,BA141,BB141,BC141,BD141,BE141,BF141)</f>
        <v/>
      </c>
      <c r="BI141" s="208">
        <f>SUMIFS(領用表!$L:$L,領用表!$E:$E,$B141,領用表!$B:$B,BI$2&amp;$BI$1)</f>
        <v/>
      </c>
      <c r="BJ141" s="208">
        <f>SUMIFS(領用表!$L:$L,領用表!$E:$E,$B141,領用表!$B:$B,BJ$2&amp;$BI$1)</f>
        <v/>
      </c>
      <c r="BK141" s="208">
        <f>SUMIFS(領用表!$L:$L,領用表!$E:$E,$B141,領用表!$B:$B,BK$2&amp;$BI$1)</f>
        <v/>
      </c>
      <c r="BL141" s="208">
        <f>SUMIFS(領用表!$L:$L,領用表!$E:$E,$B141,領用表!$B:$B,BL$2&amp;$BI$1)</f>
        <v/>
      </c>
      <c r="BM141" s="208">
        <f>SUMIFS(領用表!$L:$L,領用表!$E:$E,$B141,領用表!$B:$B,BM$2&amp;$BI$1)</f>
        <v/>
      </c>
      <c r="BN141" s="208" t="n"/>
      <c r="BO141" s="208">
        <f>SUMIFS(領用表!$L:$L,領用表!$E:$E,$B141,領用表!$B:$B,BO$2&amp;$BI$1)</f>
        <v/>
      </c>
      <c r="BP141" s="208">
        <f>SUMIFS(領用表!$L:$L,領用表!$E:$E,$B141,領用表!$B:$B,BP$2&amp;$BI$1)</f>
        <v/>
      </c>
      <c r="BQ141" s="208">
        <f>SUMIFS(領用表!$L:$L,領用表!$E:$E,$B141,領用表!$B:$B,BQ$2&amp;$BI$1)</f>
        <v/>
      </c>
      <c r="BR141" s="208">
        <f>SUMIFS(領用表!$L:$L,領用表!$E:$E,$B141,領用表!$B:$B,BR$2&amp;$BI$1)</f>
        <v/>
      </c>
      <c r="BS141" s="208">
        <f>SUMIFS(領用表!$L:$L,領用表!$E:$E,$B141,領用表!$B:$B,BS$2&amp;$BI$1)</f>
        <v/>
      </c>
      <c r="BT141" s="208">
        <f>SUMIFS(領用表!$L:$L,領用表!$E:$E,$B141,領用表!$B:$B,BT$2&amp;$BI$1)</f>
        <v/>
      </c>
      <c r="BU141" s="208">
        <f>SUM(BI141,BJ141,BK141,BL141,BM141,BN141)</f>
        <v/>
      </c>
      <c r="BV141" s="208">
        <f>AVERAGE(BI141,BJ141,BK141,BL141,BM141,BN141)</f>
        <v/>
      </c>
      <c r="BW141" s="208">
        <f>SUMIF(Summary!B:B,B141,Summary!DZ:DZ)</f>
        <v/>
      </c>
      <c r="BX141" s="258" t="n"/>
      <c r="BY141" s="341" t="n"/>
      <c r="BZ141" s="341" t="n"/>
      <c r="CA141" s="341" t="n"/>
      <c r="CB141" s="136" t="inlineStr">
        <is>
          <t>專用料1kg可生產180pcs</t>
        </is>
      </c>
      <c r="CC141" s="136" t="n"/>
    </row>
    <row r="142" ht="15.75" customFormat="1" customHeight="1" s="118">
      <c r="A142" s="393" t="inlineStr">
        <is>
          <t>D99AA050002T</t>
        </is>
      </c>
      <c r="B142" s="118" t="n">
        <v>6050006</v>
      </c>
      <c r="C142" s="136" t="inlineStr">
        <is>
          <t>舒緩修護精萃 180mL(從深坑廠出貨)</t>
        </is>
      </c>
      <c r="D142" s="285" t="n"/>
      <c r="E142" s="198" t="inlineStr">
        <is>
          <t>PCS</t>
        </is>
      </c>
      <c r="F142" s="349">
        <f>8+53</f>
        <v/>
      </c>
      <c r="G142" s="349" t="n"/>
      <c r="H142" s="349" t="n"/>
      <c r="I142" s="349" t="n"/>
      <c r="J142" s="349" t="n"/>
      <c r="K142" s="349" t="n"/>
      <c r="L142" s="349" t="n"/>
      <c r="AR142" s="201" t="n">
        <v>10</v>
      </c>
      <c r="AS142" s="347" t="inlineStr">
        <is>
          <t>-</t>
        </is>
      </c>
      <c r="AT142" s="347" t="inlineStr">
        <is>
          <t>-</t>
        </is>
      </c>
      <c r="AU142" s="201" t="n">
        <v>0</v>
      </c>
      <c r="AV142" s="201" t="n">
        <v>0</v>
      </c>
      <c r="AW142" s="201" t="n">
        <v>0</v>
      </c>
      <c r="AX142" s="201" t="n">
        <v>12</v>
      </c>
      <c r="AY142" s="201" t="n">
        <v>20</v>
      </c>
      <c r="AZ142" s="203">
        <f>SUMIFS(領用表!$L:$L,領用表!$E:$E,$B142,領用表!$B:$B,AZ$2&amp;$BI$1)</f>
        <v/>
      </c>
      <c r="BA142" s="203">
        <f>SUMIFS(領用表!$L:$L,領用表!$E:$E,$B142,領用表!$B:$B,BA$2&amp;$BI$1)</f>
        <v/>
      </c>
      <c r="BB142" s="203">
        <f>SUMIFS(領用表!$L:$L,領用表!$E:$E,$B142,領用表!$B:$B,BB$2&amp;$BI$1)</f>
        <v/>
      </c>
      <c r="BC142" s="203">
        <f>SUMIFS(領用表!$L:$L,領用表!$E:$E,$B142,領用表!$B:$B,BC$2&amp;$BI$1)</f>
        <v/>
      </c>
      <c r="BD142" s="208">
        <f>SUMIFS(領用表!$L:$L,領用表!$E:$E,$B142,領用表!$B:$B,BD$2&amp;$BI$1)</f>
        <v/>
      </c>
      <c r="BE142" s="208">
        <f>SUMIFS(領用表!$L:$L,領用表!$E:$E,$B142,領用表!$B:$B,BE$2&amp;$BI$1)</f>
        <v/>
      </c>
      <c r="BF142" s="208">
        <f>SUMIFS(領用表!$L:$L,領用表!$E:$E,$B142,領用表!$B:$B,BF$2&amp;$BI$1)</f>
        <v/>
      </c>
      <c r="BG142" s="207">
        <f>SUM(AU142,AV142,AW142,AX142,AY142,AZ142,BA142,BB142,BC142,BD142,BE142,BF142)</f>
        <v/>
      </c>
      <c r="BH142" s="207">
        <f>AVERAGE(AU142,AV142,AW142,AX142,AY142,AZ142,BA142,BB142,BC142,BD142,BE142,BF142)</f>
        <v/>
      </c>
      <c r="BI142" s="208">
        <f>SUMIFS(領用表!$L:$L,領用表!$E:$E,$B142,領用表!$B:$B,BI$2&amp;$BI$1)</f>
        <v/>
      </c>
      <c r="BJ142" s="332">
        <f>SUMIFS(領用表!$L:$L,領用表!$E:$E,$B142,領用表!$B:$B,BJ$2&amp;$BI$1)</f>
        <v/>
      </c>
      <c r="BK142" s="332">
        <f>SUMIFS(領用表!$L:$L,領用表!$E:$E,$B142,領用表!$B:$B,BK$2&amp;$BI$1)</f>
        <v/>
      </c>
      <c r="BL142" s="332">
        <f>SUMIFS(領用表!$L:$L,領用表!$E:$E,$B142,領用表!$B:$B,BL$2&amp;$BI$1)</f>
        <v/>
      </c>
      <c r="BM142" s="332">
        <f>SUMIFS(領用表!$L:$L,領用表!$E:$E,$B142,領用表!$B:$B,BM$2&amp;$BI$1)</f>
        <v/>
      </c>
      <c r="BN142" s="332" t="n"/>
      <c r="BO142" s="332">
        <f>SUMIFS(領用表!$L:$L,領用表!$E:$E,$B142,領用表!$B:$B,BO$2&amp;$BI$1)</f>
        <v/>
      </c>
      <c r="BP142" s="332">
        <f>SUMIFS(領用表!$L:$L,領用表!$E:$E,$B142,領用表!$B:$B,BP$2&amp;$BI$1)</f>
        <v/>
      </c>
      <c r="BQ142" s="332">
        <f>SUMIFS(領用表!$L:$L,領用表!$E:$E,$B142,領用表!$B:$B,BQ$2&amp;$BI$1)</f>
        <v/>
      </c>
      <c r="BR142" s="332">
        <f>SUMIFS(領用表!$L:$L,領用表!$E:$E,$B142,領用表!$B:$B,BR$2&amp;$BI$1)</f>
        <v/>
      </c>
      <c r="BS142" s="332">
        <f>SUMIFS(領用表!$L:$L,領用表!$E:$E,$B142,領用表!$B:$B,BS$2&amp;$BI$1)</f>
        <v/>
      </c>
      <c r="BT142" s="332">
        <f>SUMIFS(領用表!$L:$L,領用表!$E:$E,$B142,領用表!$B:$B,BT$2&amp;$BI$1)</f>
        <v/>
      </c>
      <c r="BU142" s="332">
        <f>SUM(BI142,BJ142,BK142,BL142,BM142,BN142)</f>
        <v/>
      </c>
      <c r="BV142" s="332">
        <f>AVERAGE(BI142,BJ142,BK142,BL142,BM142,BN142)</f>
        <v/>
      </c>
      <c r="BW142" s="332">
        <f>SUMIF(Summary!B:B,B142,Summary!DZ:DZ)</f>
        <v/>
      </c>
      <c r="BX142" s="305" t="n"/>
      <c r="BY142" s="342" t="n"/>
      <c r="BZ142" s="341" t="n"/>
      <c r="CA142" s="341" t="n"/>
    </row>
    <row r="143" hidden="1" ht="15.75" customFormat="1" customHeight="1" s="118">
      <c r="A143" s="136" t="inlineStr">
        <is>
          <t>DN1AA050044T</t>
        </is>
      </c>
      <c r="B143" s="118" t="e">
        <v>#N/A</v>
      </c>
      <c r="C143" s="136" t="inlineStr">
        <is>
          <t>舒緩修護精萃 30mL(2023年版)</t>
        </is>
      </c>
      <c r="D143" s="285" t="n"/>
      <c r="E143" s="198" t="inlineStr">
        <is>
          <t>PCS</t>
        </is>
      </c>
      <c r="F143" s="349" t="n"/>
      <c r="G143" s="349" t="n"/>
      <c r="H143" s="349" t="n"/>
      <c r="I143" s="349" t="n"/>
      <c r="J143" s="349" t="n"/>
      <c r="K143" s="349" t="n"/>
      <c r="L143" s="349" t="n"/>
      <c r="M143" s="283" t="n"/>
      <c r="N143" s="283" t="n"/>
      <c r="O143" s="283" t="n"/>
      <c r="P143" s="283" t="n"/>
      <c r="Q143" s="283" t="n"/>
      <c r="R143" s="283" t="n"/>
      <c r="S143" s="283" t="n"/>
      <c r="T143" s="283" t="n"/>
      <c r="U143" s="283" t="n"/>
      <c r="V143" s="283" t="n"/>
      <c r="W143" s="283" t="n"/>
      <c r="X143" s="283" t="n"/>
      <c r="Y143" s="283" t="n"/>
      <c r="Z143" s="283" t="n"/>
      <c r="AA143" s="283" t="n"/>
      <c r="AB143" s="283" t="n"/>
      <c r="AC143" s="283" t="n"/>
      <c r="AD143" s="283" t="n"/>
      <c r="AE143" s="283" t="n"/>
      <c r="AF143" s="283" t="n"/>
      <c r="AG143" s="201" t="n"/>
      <c r="AH143" s="201" t="n"/>
      <c r="AI143" s="201" t="n"/>
      <c r="AJ143" s="201" t="n"/>
      <c r="AK143" s="292" t="n"/>
      <c r="AL143" s="334" t="n">
        <v>30</v>
      </c>
      <c r="AM143" s="201" t="n"/>
      <c r="AN143" s="201" t="n">
        <v>20</v>
      </c>
      <c r="AO143" s="201" t="n">
        <v>10</v>
      </c>
      <c r="AP143" s="201" t="n">
        <v>15</v>
      </c>
      <c r="AQ143" s="201" t="n">
        <v>20</v>
      </c>
      <c r="AR143" s="201" t="n">
        <v>60</v>
      </c>
      <c r="AS143" s="283">
        <f>SUM(AG143:AR143)</f>
        <v/>
      </c>
      <c r="AT143" s="286">
        <f>AS143/12</f>
        <v/>
      </c>
      <c r="AU143" s="201" t="n">
        <v>65</v>
      </c>
      <c r="AV143" s="201" t="n">
        <v>24</v>
      </c>
      <c r="AW143" s="347" t="inlineStr">
        <is>
          <t>-</t>
        </is>
      </c>
      <c r="AX143" s="347" t="inlineStr">
        <is>
          <t>-</t>
        </is>
      </c>
      <c r="AY143" s="347" t="inlineStr">
        <is>
          <t>-</t>
        </is>
      </c>
      <c r="AZ143" s="203">
        <f>SUMIFS(領用表!$L:$L,領用表!$E:$E,$B143,領用表!$B:$B,AZ$2&amp;$BI$1)</f>
        <v/>
      </c>
      <c r="BA143" s="203">
        <f>SUMIFS(領用表!$L:$L,領用表!$E:$E,$B143,領用表!$B:$B,BA$2&amp;$BI$1)</f>
        <v/>
      </c>
      <c r="BB143" s="203">
        <f>SUMIFS(領用表!$L:$L,領用表!$E:$E,$B143,領用表!$B:$B,BB$2&amp;$BI$1)</f>
        <v/>
      </c>
      <c r="BC143" s="203">
        <f>SUMIFS(領用表!$L:$L,領用表!$E:$E,$B143,領用表!$B:$B,BC$2&amp;$BI$1)</f>
        <v/>
      </c>
      <c r="BD143" s="208">
        <f>SUMIFS(領用表!$L:$L,領用表!$E:$E,$B143,領用表!$B:$B,BD$2&amp;$BI$1)</f>
        <v/>
      </c>
      <c r="BE143" s="208">
        <f>SUMIFS(領用表!$L:$L,領用表!$E:$E,$B143,領用表!$B:$B,BE$2&amp;$BI$1)</f>
        <v/>
      </c>
      <c r="BF143" s="208">
        <f>SUMIFS(領用表!$L:$L,領用表!$E:$E,$B143,領用表!$B:$B,BF$2&amp;$BI$1)</f>
        <v/>
      </c>
      <c r="BG143" s="207">
        <f>SUM(AU143,AV143,AW143,AX143,AY143,AZ143,BA143,BB143,BC143,BD143,BE143,BF143)</f>
        <v/>
      </c>
      <c r="BH143" s="207">
        <f>AVERAGE(AU143,AV143,AW143,AX143,AY143,AZ143,BA143,BB143,BC143,BD143,BE143,BF143)</f>
        <v/>
      </c>
      <c r="BI143" s="208">
        <f>SUMIFS(領用表!$L:$L,領用表!$E:$E,$B143,領用表!$B:$B,BI$2&amp;$BI$1)</f>
        <v/>
      </c>
      <c r="BJ143" s="208">
        <f>SUMIFS(領用表!$L:$L,領用表!$E:$E,$B143,領用表!$B:$B,BJ$2&amp;$BI$1)</f>
        <v/>
      </c>
      <c r="BK143" s="208">
        <f>SUMIFS(領用表!$L:$L,領用表!$E:$E,$B143,領用表!$B:$B,BK$2&amp;$BI$1)</f>
        <v/>
      </c>
      <c r="BL143" s="208">
        <f>SUMIFS(領用表!$L:$L,領用表!$E:$E,$B143,領用表!$B:$B,BL$2&amp;$BI$1)</f>
        <v/>
      </c>
      <c r="BM143" s="208">
        <f>SUMIFS(領用表!$L:$L,領用表!$E:$E,$B143,領用表!$B:$B,BM$2&amp;$BI$1)</f>
        <v/>
      </c>
      <c r="BN143" s="208">
        <f>SUMIFS(領用表!$L:$L,領用表!$E:$E,$B143,領用表!$B:$B,BN$2&amp;$BI$1)</f>
        <v/>
      </c>
      <c r="BO143" s="208">
        <f>SUMIFS(領用表!$L:$L,領用表!$E:$E,$B143,領用表!$B:$B,BO$2&amp;$BI$1)</f>
        <v/>
      </c>
      <c r="BP143" s="208">
        <f>SUMIFS(領用表!$L:$L,領用表!$E:$E,$B143,領用表!$B:$B,BP$2&amp;$BI$1)</f>
        <v/>
      </c>
      <c r="BQ143" s="208">
        <f>SUMIFS(領用表!$L:$L,領用表!$E:$E,$B143,領用表!$B:$B,BQ$2&amp;$BI$1)</f>
        <v/>
      </c>
      <c r="BR143" s="208">
        <f>SUMIFS(領用表!$L:$L,領用表!$E:$E,$B143,領用表!$B:$B,BR$2&amp;$BI$1)</f>
        <v/>
      </c>
      <c r="BS143" s="208">
        <f>SUMIFS(領用表!$L:$L,領用表!$E:$E,$B143,領用表!$B:$B,BS$2&amp;$BI$1)</f>
        <v/>
      </c>
      <c r="BT143" s="208">
        <f>SUMIFS(領用表!$L:$L,領用表!$E:$E,$B143,領用表!$B:$B,BT$2&amp;$BI$1)</f>
        <v/>
      </c>
      <c r="BU143" s="208">
        <f>SUM(BI143,BJ143,BK143,BL143,BM143,BN143)</f>
        <v/>
      </c>
      <c r="BV143" s="208">
        <f>AVERAGE(BI143,BJ143,BK143,BL143,BM143,BN143)</f>
        <v/>
      </c>
      <c r="BW143" s="208">
        <f>SUMIF(Summary!B:B,B143,Summary!DZ:DZ)</f>
        <v/>
      </c>
      <c r="BX143" s="258" t="n"/>
      <c r="BY143" s="340" t="n"/>
      <c r="BZ143" s="341" t="n"/>
      <c r="CA143" s="341" t="n"/>
      <c r="CB143" s="136" t="n"/>
      <c r="CC143" s="136" t="n"/>
    </row>
    <row r="144" hidden="1" ht="15.75" customFormat="1" customHeight="1" s="118">
      <c r="A144" s="136" t="inlineStr">
        <is>
          <t>DN1AA050043T</t>
        </is>
      </c>
      <c r="B144" s="118" t="n">
        <v>6050005</v>
      </c>
      <c r="C144" s="136" t="inlineStr">
        <is>
          <t>肌本修護甦活精華 30mL (2023年版)</t>
        </is>
      </c>
      <c r="D144" s="285" t="n"/>
      <c r="E144" s="198" t="inlineStr">
        <is>
          <t>PCS</t>
        </is>
      </c>
      <c r="F144" s="349" t="n"/>
      <c r="G144" s="349" t="n"/>
      <c r="H144" s="349" t="n"/>
      <c r="I144" s="349" t="n"/>
      <c r="J144" s="349" t="n"/>
      <c r="K144" s="349" t="n"/>
      <c r="L144" s="349" t="n"/>
      <c r="AG144" s="348" t="n"/>
      <c r="AH144" s="348" t="n"/>
      <c r="AI144" s="348" t="n"/>
      <c r="AJ144" s="348" t="n"/>
      <c r="AK144" s="348" t="n"/>
      <c r="AL144" s="348" t="n"/>
      <c r="AM144" s="348" t="n"/>
      <c r="AN144" s="201" t="n">
        <v>0</v>
      </c>
      <c r="AO144" s="201" t="n">
        <v>0</v>
      </c>
      <c r="AP144" s="201" t="n">
        <v>0</v>
      </c>
      <c r="AQ144" s="201" t="n">
        <v>0</v>
      </c>
      <c r="AR144" s="201" t="n">
        <v>0</v>
      </c>
      <c r="AS144" s="283">
        <f>SUM(AG144:AR144)</f>
        <v/>
      </c>
      <c r="AT144" s="286">
        <f>AS144/12</f>
        <v/>
      </c>
      <c r="AU144" s="201" t="n">
        <v>0</v>
      </c>
      <c r="AV144" s="201" t="n">
        <v>72</v>
      </c>
      <c r="AW144" s="201" t="n">
        <v>0</v>
      </c>
      <c r="AX144" s="283" t="n">
        <v>0</v>
      </c>
      <c r="AY144" s="283" t="n">
        <v>0</v>
      </c>
      <c r="AZ144" s="203">
        <f>SUMIFS(領用表!$L:$L,領用表!$E:$E,$B144,領用表!$B:$B,AZ$2&amp;$BI$1)</f>
        <v/>
      </c>
      <c r="BA144" s="203">
        <f>SUMIFS(領用表!$L:$L,領用表!$E:$E,$B144,領用表!$B:$B,BA$2&amp;$BI$1)</f>
        <v/>
      </c>
      <c r="BB144" s="203">
        <f>SUMIFS(領用表!$L:$L,領用表!$E:$E,$B144,領用表!$B:$B,BB$2&amp;$BI$1)</f>
        <v/>
      </c>
      <c r="BC144" s="203">
        <f>SUMIFS(領用表!$L:$L,領用表!$E:$E,$B144,領用表!$B:$B,BC$2&amp;$BI$1)</f>
        <v/>
      </c>
      <c r="BD144" s="208">
        <f>SUMIFS(領用表!$L:$L,領用表!$E:$E,$B144,領用表!$B:$B,BD$2&amp;$BI$1)</f>
        <v/>
      </c>
      <c r="BE144" s="208">
        <f>SUMIFS(領用表!$L:$L,領用表!$E:$E,$B144,領用表!$B:$B,BE$2&amp;$BI$1)</f>
        <v/>
      </c>
      <c r="BF144" s="208">
        <f>SUMIFS(領用表!$L:$L,領用表!$E:$E,$B144,領用表!$B:$B,BF$2&amp;$BI$1)</f>
        <v/>
      </c>
      <c r="BG144" s="207">
        <f>SUM(AU144,AV144,AW144,AX144,AY144,AZ144,BA144,BB144,BC144,BD144,BE144,BF144)</f>
        <v/>
      </c>
      <c r="BH144" s="207">
        <f>AVERAGE(AU144,AV144,AW144,AX144,AY144,AZ144,BA144,BB144,BC144,BD144,BE144,BF144)</f>
        <v/>
      </c>
      <c r="BI144" s="208">
        <f>SUMIFS(領用表!$L:$L,領用表!$E:$E,$B144,領用表!$B:$B,BI$2&amp;$BI$1)</f>
        <v/>
      </c>
      <c r="BJ144" s="208">
        <f>SUMIFS(領用表!$L:$L,領用表!$E:$E,$B144,領用表!$B:$B,BJ$2&amp;$BI$1)</f>
        <v/>
      </c>
      <c r="BK144" s="208">
        <f>SUMIFS(領用表!$L:$L,領用表!$E:$E,$B144,領用表!$B:$B,BK$2&amp;$BI$1)</f>
        <v/>
      </c>
      <c r="BL144" s="208">
        <f>SUMIFS(領用表!$L:$L,領用表!$E:$E,$B144,領用表!$B:$B,BL$2&amp;$BI$1)</f>
        <v/>
      </c>
      <c r="BM144" s="208">
        <f>SUMIFS(領用表!$L:$L,領用表!$E:$E,$B144,領用表!$B:$B,BM$2&amp;$BI$1)</f>
        <v/>
      </c>
      <c r="BN144" s="208" t="n"/>
      <c r="BO144" s="208">
        <f>SUMIFS(領用表!$L:$L,領用表!$E:$E,$B144,領用表!$B:$B,BO$2&amp;$BI$1)</f>
        <v/>
      </c>
      <c r="BP144" s="208">
        <f>SUMIFS(領用表!$L:$L,領用表!$E:$E,$B144,領用表!$B:$B,BP$2&amp;$BI$1)</f>
        <v/>
      </c>
      <c r="BQ144" s="208">
        <f>SUMIFS(領用表!$L:$L,領用表!$E:$E,$B144,領用表!$B:$B,BQ$2&amp;$BI$1)</f>
        <v/>
      </c>
      <c r="BR144" s="208">
        <f>SUMIFS(領用表!$L:$L,領用表!$E:$E,$B144,領用表!$B:$B,BR$2&amp;$BI$1)</f>
        <v/>
      </c>
      <c r="BS144" s="208">
        <f>SUMIFS(領用表!$L:$L,領用表!$E:$E,$B144,領用表!$B:$B,BS$2&amp;$BI$1)</f>
        <v/>
      </c>
      <c r="BT144" s="208">
        <f>SUMIFS(領用表!$L:$L,領用表!$E:$E,$B144,領用表!$B:$B,BT$2&amp;$BI$1)</f>
        <v/>
      </c>
      <c r="BU144" s="208">
        <f>SUM(BI144,BJ144,BK144,BL144,BM144,BN144)</f>
        <v/>
      </c>
      <c r="BV144" s="208">
        <f>AVERAGE(BI144,BJ144,BK144,BL144,BM144,BN144)</f>
        <v/>
      </c>
      <c r="BW144" s="208">
        <f>SUMIF(Summary!B:B,B144,Summary!DZ:DZ)</f>
        <v/>
      </c>
      <c r="BX144" s="258" t="n"/>
      <c r="BY144" s="340" t="n"/>
      <c r="BZ144" s="341" t="n"/>
      <c r="CA144" s="341" t="n"/>
    </row>
    <row r="145" hidden="1" ht="15.75" customFormat="1" customHeight="1" s="118">
      <c r="A145" s="136" t="inlineStr">
        <is>
          <t>DN1AA090015T</t>
        </is>
      </c>
      <c r="B145" s="118" t="n">
        <v>1080002</v>
      </c>
      <c r="C145" s="136" t="inlineStr">
        <is>
          <t>神經醯胺水漾保濕面膜/ 30ml</t>
        </is>
      </c>
      <c r="D145" s="285" t="n"/>
      <c r="E145" s="198" t="inlineStr">
        <is>
          <t>PCS</t>
        </is>
      </c>
      <c r="F145" s="349" t="n"/>
      <c r="G145" s="349" t="n"/>
      <c r="H145" s="349" t="n"/>
      <c r="I145" s="349" t="n"/>
      <c r="J145" s="349" t="n"/>
      <c r="K145" s="349" t="n"/>
      <c r="L145" s="349" t="n"/>
      <c r="M145" s="283" t="n"/>
      <c r="N145" s="283" t="n"/>
      <c r="O145" s="283" t="n"/>
      <c r="P145" s="283" t="n"/>
      <c r="Q145" s="283" t="n"/>
      <c r="R145" s="283" t="n"/>
      <c r="S145" s="283" t="n"/>
      <c r="T145" s="283" t="n"/>
      <c r="U145" s="283" t="n"/>
      <c r="V145" s="283" t="n"/>
      <c r="W145" s="283" t="n"/>
      <c r="X145" s="283" t="n"/>
      <c r="Y145" s="283" t="n"/>
      <c r="Z145" s="283" t="n"/>
      <c r="AA145" s="283" t="n"/>
      <c r="AB145" s="283" t="n"/>
      <c r="AC145" s="283" t="n"/>
      <c r="AD145" s="283" t="n"/>
      <c r="AE145" s="283" t="n"/>
      <c r="AF145" s="283" t="n"/>
      <c r="AG145" s="201" t="n"/>
      <c r="AH145" s="201" t="n"/>
      <c r="AI145" s="201" t="n"/>
      <c r="AJ145" s="201" t="n"/>
      <c r="AK145" s="201" t="n"/>
      <c r="AL145" s="201" t="n"/>
      <c r="AM145" s="201" t="n"/>
      <c r="AN145" s="201" t="n">
        <v>800</v>
      </c>
      <c r="AO145" s="201" t="n">
        <v>800</v>
      </c>
      <c r="AP145" s="201" t="n">
        <v>800</v>
      </c>
      <c r="AQ145" s="201" t="n">
        <v>3200</v>
      </c>
      <c r="AR145" s="201" t="n">
        <v>4800</v>
      </c>
      <c r="AS145" s="283">
        <f>SUM(AG145:AR145)</f>
        <v/>
      </c>
      <c r="AT145" s="286">
        <f>AS145/12</f>
        <v/>
      </c>
      <c r="AU145" s="201" t="n">
        <v>4649</v>
      </c>
      <c r="AV145" s="201" t="n">
        <v>2263</v>
      </c>
      <c r="AW145" s="201" t="n">
        <v>3200</v>
      </c>
      <c r="AX145" s="201" t="n">
        <v>3777</v>
      </c>
      <c r="AY145" s="201" t="n">
        <v>0</v>
      </c>
      <c r="AZ145" s="203">
        <f>SUMIFS(領用表!$L:$L,領用表!$E:$E,$B145,領用表!$B:$B,AZ$2&amp;$BI$1)</f>
        <v/>
      </c>
      <c r="BA145" s="203">
        <f>SUMIFS(領用表!$L:$L,領用表!$E:$E,$B145,領用表!$B:$B,BA$2&amp;$BI$1)</f>
        <v/>
      </c>
      <c r="BB145" s="203">
        <f>SUMIFS(領用表!$L:$L,領用表!$E:$E,$B145,領用表!$B:$B,BB$2&amp;$BI$1)</f>
        <v/>
      </c>
      <c r="BC145" s="203">
        <f>SUMIFS(領用表!$L:$L,領用表!$E:$E,$B145,領用表!$B:$B,BC$2&amp;$BI$1)</f>
        <v/>
      </c>
      <c r="BD145" s="208">
        <f>SUMIFS(領用表!$L:$L,領用表!$E:$E,$B145,領用表!$B:$B,BD$2&amp;$BI$1)</f>
        <v/>
      </c>
      <c r="BE145" s="208">
        <f>SUMIFS(領用表!$L:$L,領用表!$E:$E,$B145,領用表!$B:$B,BE$2&amp;$BI$1)</f>
        <v/>
      </c>
      <c r="BF145" s="208">
        <f>SUMIFS(領用表!$L:$L,領用表!$E:$E,$B145,領用表!$B:$B,BF$2&amp;$BI$1)</f>
        <v/>
      </c>
      <c r="BG145" s="207">
        <f>SUM(AU145,AV145,AW145,AX145,AY145,AZ145,BA145,BB145,BC145,BD145,BE145,BF145)</f>
        <v/>
      </c>
      <c r="BH145" s="207">
        <f>AVERAGE(AU145,AV145,AW145,AX145,AY145,AZ145,BA145,BB145,BC145,BD145,BE145,BF145)</f>
        <v/>
      </c>
      <c r="BI145" s="208">
        <f>SUMIFS(領用表!$L:$L,領用表!$E:$E,$B145,領用表!$B:$B,BI$2&amp;$BI$1)</f>
        <v/>
      </c>
      <c r="BJ145" s="208">
        <f>SUMIFS(領用表!$L:$L,領用表!$E:$E,$B145,領用表!$B:$B,BJ$2&amp;$BI$1)</f>
        <v/>
      </c>
      <c r="BK145" s="208">
        <f>SUMIFS(領用表!$L:$L,領用表!$E:$E,$B145,領用表!$B:$B,BK$2&amp;$BI$1)</f>
        <v/>
      </c>
      <c r="BL145" s="208">
        <f>SUMIFS(領用表!$L:$L,領用表!$E:$E,$B145,領用表!$B:$B,BL$2&amp;$BI$1)</f>
        <v/>
      </c>
      <c r="BM145" s="208">
        <f>SUMIFS(領用表!$L:$L,領用表!$E:$E,$B145,領用表!$B:$B,BM$2&amp;$BI$1)</f>
        <v/>
      </c>
      <c r="BN145" s="208">
        <f>SUMIFS(領用表!$L:$L,領用表!$E:$E,$B145,領用表!$B:$B,BN$2&amp;$BI$1)</f>
        <v/>
      </c>
      <c r="BO145" s="208">
        <f>SUMIFS(領用表!$L:$L,領用表!$E:$E,$B145,領用表!$B:$B,BO$2&amp;$BI$1)</f>
        <v/>
      </c>
      <c r="BP145" s="208">
        <f>SUMIFS(領用表!$L:$L,領用表!$E:$E,$B145,領用表!$B:$B,BP$2&amp;$BI$1)</f>
        <v/>
      </c>
      <c r="BQ145" s="208">
        <f>SUMIFS(領用表!$L:$L,領用表!$E:$E,$B145,領用表!$B:$B,BQ$2&amp;$BI$1)</f>
        <v/>
      </c>
      <c r="BR145" s="208">
        <f>SUMIFS(領用表!$L:$L,領用表!$E:$E,$B145,領用表!$B:$B,BR$2&amp;$BI$1)</f>
        <v/>
      </c>
      <c r="BS145" s="208">
        <f>SUMIFS(領用表!$L:$L,領用表!$E:$E,$B145,領用表!$B:$B,BS$2&amp;$BI$1)</f>
        <v/>
      </c>
      <c r="BT145" s="208">
        <f>SUMIFS(領用表!$L:$L,領用表!$E:$E,$B145,領用表!$B:$B,BT$2&amp;$BI$1)</f>
        <v/>
      </c>
      <c r="BU145" s="208">
        <f>SUM(BI145,BJ145,BK145,BL145,BM145,BN145)</f>
        <v/>
      </c>
      <c r="BV145" s="208">
        <f>AVERAGE(BI145,BJ145,BK145,BL145,BM145,BN145)</f>
        <v/>
      </c>
      <c r="BW145" s="208">
        <f>SUMIF(Summary!B:B,B145,Summary!DZ:DZ)</f>
        <v/>
      </c>
      <c r="BX145" s="258" t="n"/>
      <c r="BY145" s="340" t="n"/>
      <c r="BZ145" s="341" t="n"/>
      <c r="CA145" s="341" t="n"/>
      <c r="CB145" s="136" t="n"/>
      <c r="CC145" s="136" t="n"/>
    </row>
    <row r="146" ht="15.75" customFormat="1" customHeight="1" s="118">
      <c r="A146" s="136" t="inlineStr">
        <is>
          <t>DN1AA090011T</t>
        </is>
      </c>
      <c r="B146" s="118" t="n">
        <v>1080006</v>
      </c>
      <c r="C146" s="136" t="inlineStr">
        <is>
          <t>肌因抗老修護微導膜 25ml (2015年版)</t>
        </is>
      </c>
      <c r="D146" s="285" t="n"/>
      <c r="E146" s="198" t="inlineStr">
        <is>
          <t>PCS</t>
        </is>
      </c>
      <c r="F146" s="349" t="n"/>
      <c r="G146" s="349" t="n"/>
      <c r="H146" s="349" t="n"/>
      <c r="I146" s="349" t="n"/>
      <c r="J146" s="349" t="n"/>
      <c r="K146" s="349" t="n"/>
      <c r="L146" s="349" t="n"/>
      <c r="AG146" s="348" t="n"/>
      <c r="AH146" s="348" t="n"/>
      <c r="AI146" s="348" t="n"/>
      <c r="AJ146" s="348" t="n"/>
      <c r="AK146" s="348" t="n"/>
      <c r="AL146" s="348" t="n"/>
      <c r="AM146" s="348" t="n"/>
      <c r="AN146" s="201" t="n">
        <v>0</v>
      </c>
      <c r="AO146" s="201" t="n">
        <v>0</v>
      </c>
      <c r="AP146" s="201" t="n">
        <v>0</v>
      </c>
      <c r="AQ146" s="201" t="n">
        <v>50</v>
      </c>
      <c r="AR146" s="201" t="n">
        <v>0</v>
      </c>
      <c r="AS146" s="283">
        <f>SUM(AG146:AR146)</f>
        <v/>
      </c>
      <c r="AT146" s="286">
        <f>AS146/12</f>
        <v/>
      </c>
      <c r="AU146" s="201" t="n">
        <v>0</v>
      </c>
      <c r="AV146" s="201" t="n">
        <v>4620</v>
      </c>
      <c r="AW146" s="201" t="n">
        <v>0</v>
      </c>
      <c r="AX146" s="201" t="n">
        <v>0</v>
      </c>
      <c r="AY146" s="201" t="n">
        <v>6400</v>
      </c>
      <c r="AZ146" s="203">
        <f>SUMIFS(領用表!$L:$L,領用表!$E:$E,$B146,領用表!$B:$B,AZ$2&amp;$BI$1)</f>
        <v/>
      </c>
      <c r="BA146" s="203">
        <f>SUMIFS(領用表!$L:$L,領用表!$E:$E,$B146,領用表!$B:$B,BA$2&amp;$BI$1)</f>
        <v/>
      </c>
      <c r="BB146" s="203">
        <f>SUMIFS(領用表!$L:$L,領用表!$E:$E,$B146,領用表!$B:$B,BB$2&amp;$BI$1)</f>
        <v/>
      </c>
      <c r="BC146" s="203">
        <f>SUMIFS(領用表!$L:$L,領用表!$E:$E,$B146,領用表!$B:$B,BC$2&amp;$BI$1)</f>
        <v/>
      </c>
      <c r="BD146" s="208">
        <f>SUMIFS(領用表!$L:$L,領用表!$E:$E,$B146,領用表!$B:$B,BD$2&amp;$BI$1)</f>
        <v/>
      </c>
      <c r="BE146" s="208">
        <f>SUMIFS(領用表!$L:$L,領用表!$E:$E,$B146,領用表!$B:$B,BE$2&amp;$BI$1)</f>
        <v/>
      </c>
      <c r="BF146" s="208">
        <f>SUMIFS(領用表!$L:$L,領用表!$E:$E,$B146,領用表!$B:$B,BF$2&amp;$BI$1)</f>
        <v/>
      </c>
      <c r="BG146" s="207">
        <f>SUM(AU146,AV146,AW146,AX146,AY146,AZ146,BA146,BB146,BC146,BD146,BE146,BF146)</f>
        <v/>
      </c>
      <c r="BH146" s="207">
        <f>AVERAGE(AU146,AV146,AW146,AX146,AY146,AZ146,BA146,BB146,BC146,BD146,BE146,BF146)</f>
        <v/>
      </c>
      <c r="BI146" s="208">
        <f>SUMIFS(領用表!$L:$L,領用表!$E:$E,$B146,領用表!$B:$B,BI$2&amp;$BI$1)</f>
        <v/>
      </c>
      <c r="BJ146" s="208">
        <f>SUMIFS(領用表!$L:$L,領用表!$E:$E,$B146,領用表!$B:$B,BJ$2&amp;$BI$1)</f>
        <v/>
      </c>
      <c r="BK146" s="208">
        <f>SUMIFS(領用表!$L:$L,領用表!$E:$E,$B146,領用表!$B:$B,BK$2&amp;$BI$1)</f>
        <v/>
      </c>
      <c r="BL146" s="208">
        <f>SUMIFS(領用表!$L:$L,領用表!$E:$E,$B146,領用表!$B:$B,BL$2&amp;$BI$1)</f>
        <v/>
      </c>
      <c r="BM146" s="208">
        <f>SUMIFS(領用表!$L:$L,領用表!$E:$E,$B146,領用表!$B:$B,BM$2&amp;$BI$1)</f>
        <v/>
      </c>
      <c r="BN146" s="208">
        <f>SUMIFS(領用表!$L:$L,領用表!$E:$E,$B146,領用表!$B:$B,BN$2&amp;$BI$1)</f>
        <v/>
      </c>
      <c r="BO146" s="208">
        <f>SUMIFS(領用表!$L:$L,領用表!$E:$E,$B146,領用表!$B:$B,BO$2&amp;$BI$1)</f>
        <v/>
      </c>
      <c r="BP146" s="208">
        <f>SUMIFS(領用表!$L:$L,領用表!$E:$E,$B146,領用表!$B:$B,BP$2&amp;$BI$1)</f>
        <v/>
      </c>
      <c r="BQ146" s="208">
        <f>SUMIFS(領用表!$L:$L,領用表!$E:$E,$B146,領用表!$B:$B,BQ$2&amp;$BI$1)</f>
        <v/>
      </c>
      <c r="BR146" s="208">
        <f>SUMIFS(領用表!$L:$L,領用表!$E:$E,$B146,領用表!$B:$B,BR$2&amp;$BI$1)</f>
        <v/>
      </c>
      <c r="BS146" s="208">
        <f>SUMIFS(領用表!$L:$L,領用表!$E:$E,$B146,領用表!$B:$B,BS$2&amp;$BI$1)</f>
        <v/>
      </c>
      <c r="BT146" s="208">
        <f>SUMIFS(領用表!$L:$L,領用表!$E:$E,$B146,領用表!$B:$B,BT$2&amp;$BI$1)</f>
        <v/>
      </c>
      <c r="BU146" s="208">
        <f>SUM(BI146,BJ146,BK146,BL146,BM146,BN146)</f>
        <v/>
      </c>
      <c r="BV146" s="208">
        <f>AVERAGE(BI146,BJ146,BK146,BL146,BM146,BN146)</f>
        <v/>
      </c>
      <c r="BW146" s="208">
        <f>SUMIF(Summary!B:B,B146,Summary!DZ:DZ)</f>
        <v/>
      </c>
      <c r="BX146" s="258" t="n"/>
      <c r="BY146" s="340" t="n"/>
      <c r="BZ146" s="341" t="n"/>
      <c r="CA146" s="341" t="n"/>
    </row>
    <row r="147" ht="15.75" customFormat="1" customHeight="1" s="118">
      <c r="A147" s="136" t="inlineStr">
        <is>
          <t>DL1AA090023T</t>
        </is>
      </c>
      <c r="B147" s="118" t="e">
        <v>#N/A</v>
      </c>
      <c r="C147" s="136" t="inlineStr">
        <is>
          <t>海洋紅藻面膜 30ml</t>
        </is>
      </c>
      <c r="D147" s="285" t="n"/>
      <c r="E147" s="198" t="inlineStr">
        <is>
          <t>PCS</t>
        </is>
      </c>
      <c r="F147" s="349" t="n"/>
      <c r="G147" s="349" t="n"/>
      <c r="H147" s="349" t="n"/>
      <c r="I147" s="349" t="n"/>
      <c r="J147" s="349" t="n"/>
      <c r="K147" s="349" t="n"/>
      <c r="L147" s="349" t="n"/>
      <c r="AG147" s="348" t="n"/>
      <c r="AH147" s="348" t="n"/>
      <c r="AI147" s="348" t="n"/>
      <c r="AJ147" s="348" t="n"/>
      <c r="AK147" s="348" t="n"/>
      <c r="AL147" s="348" t="n"/>
      <c r="AM147" s="348" t="n"/>
      <c r="AN147" s="201" t="n"/>
      <c r="AO147" s="201" t="n"/>
      <c r="AP147" s="201" t="n"/>
      <c r="AQ147" s="201" t="n"/>
      <c r="AR147" s="201" t="n"/>
      <c r="AS147" s="283" t="n"/>
      <c r="AT147" s="286" t="n"/>
      <c r="AU147" s="201" t="n"/>
      <c r="AV147" s="201" t="n"/>
      <c r="AW147" s="201" t="n"/>
      <c r="AX147" s="201" t="n"/>
      <c r="AY147" s="201" t="n"/>
      <c r="AZ147" s="203">
        <f>SUMIFS(領用表!$L:$L,領用表!$E:$E,$B147,領用表!$B:$B,AZ$2&amp;$BI$1)</f>
        <v/>
      </c>
      <c r="BA147" s="203">
        <f>SUMIFS(領用表!$L:$L,領用表!$E:$E,$B147,領用表!$B:$B,BA$2&amp;$BI$1)</f>
        <v/>
      </c>
      <c r="BB147" s="203">
        <f>SUMIFS(領用表!$L:$L,領用表!$E:$E,$B147,領用表!$B:$B,BB$2&amp;$BI$1)</f>
        <v/>
      </c>
      <c r="BC147" s="203">
        <f>SUMIFS(領用表!$L:$L,領用表!$E:$E,$B147,領用表!$B:$B,BC$2&amp;$BI$1)</f>
        <v/>
      </c>
      <c r="BD147" s="208">
        <f>SUMIFS(領用表!$L:$L,領用表!$E:$E,$B147,領用表!$B:$B,BD$2&amp;$BI$1)</f>
        <v/>
      </c>
      <c r="BE147" s="208">
        <f>SUMIFS(領用表!$L:$L,領用表!$E:$E,$B147,領用表!$B:$B,BE$2&amp;$BI$1)</f>
        <v/>
      </c>
      <c r="BF147" s="208">
        <f>SUMIFS(領用表!$L:$L,領用表!$E:$E,$B147,領用表!$B:$B,BF$2&amp;$BI$1)</f>
        <v/>
      </c>
      <c r="BG147" s="207">
        <f>SUM(AU147,AV147,AW147,AX147,AY147,AZ147,BA147,BB147,BC147,BD147,BE147,BF147)</f>
        <v/>
      </c>
      <c r="BH147" s="207">
        <f>AVERAGE(AU147,AV147,AW147,AX147,AY147,AZ147,BA147,BB147,BC147,BD147,BE147,BF147)</f>
        <v/>
      </c>
      <c r="BI147" s="208">
        <f>SUMIFS(領用表!$L:$L,領用表!$E:$E,$B147,領用表!$B:$B,BI$2&amp;$BI$1)</f>
        <v/>
      </c>
      <c r="BJ147" s="208">
        <f>SUMIFS(領用表!$L:$L,領用表!$E:$E,$B147,領用表!$B:$B,BJ$2&amp;$BI$1)</f>
        <v/>
      </c>
      <c r="BK147" s="208">
        <f>SUMIFS(領用表!$L:$L,領用表!$E:$E,$B147,領用表!$B:$B,BK$2&amp;$BI$1)</f>
        <v/>
      </c>
      <c r="BL147" s="208">
        <f>SUMIFS(領用表!$L:$L,領用表!$E:$E,$B147,領用表!$B:$B,BL$2&amp;$BI$1)</f>
        <v/>
      </c>
      <c r="BM147" s="208">
        <f>SUMIFS(領用表!$L:$L,領用表!$E:$E,$B147,領用表!$B:$B,BM$2&amp;$BI$1)</f>
        <v/>
      </c>
      <c r="BN147" s="208">
        <f>SUMIFS(領用表!$L:$L,領用表!$E:$E,$B147,領用表!$B:$B,BN$2&amp;$BI$1)</f>
        <v/>
      </c>
      <c r="BO147" s="208">
        <f>SUMIFS(領用表!$L:$L,領用表!$E:$E,$B147,領用表!$B:$B,BO$2&amp;$BI$1)</f>
        <v/>
      </c>
      <c r="BP147" s="208">
        <f>SUMIFS(領用表!$L:$L,領用表!$E:$E,$B147,領用表!$B:$B,BP$2&amp;$BI$1)</f>
        <v/>
      </c>
      <c r="BQ147" s="208">
        <f>SUMIFS(領用表!$L:$L,領用表!$E:$E,$B147,領用表!$B:$B,BQ$2&amp;$BI$1)</f>
        <v/>
      </c>
      <c r="BR147" s="208">
        <f>SUMIFS(領用表!$L:$L,領用表!$E:$E,$B147,領用表!$B:$B,BR$2&amp;$BI$1)</f>
        <v/>
      </c>
      <c r="BS147" s="208">
        <f>SUMIFS(領用表!$L:$L,領用表!$E:$E,$B147,領用表!$B:$B,BS$2&amp;$BI$1)</f>
        <v/>
      </c>
      <c r="BT147" s="208">
        <f>SUMIFS(領用表!$L:$L,領用表!$E:$E,$B147,領用表!$B:$B,BT$2&amp;$BI$1)</f>
        <v/>
      </c>
      <c r="BU147" s="208">
        <f>SUM(BI147,BJ147,BK147,BL147,BM147,BN147)</f>
        <v/>
      </c>
      <c r="BV147" s="208">
        <f>AVERAGE(BI147,BJ147,BK147,BL147,BM147,BN147)</f>
        <v/>
      </c>
      <c r="BW147" s="208">
        <f>SUMIF(Summary!B:B,B147,Summary!DZ:DZ)</f>
        <v/>
      </c>
      <c r="BX147" s="258" t="n"/>
      <c r="BY147" s="340" t="n"/>
      <c r="BZ147" s="341" t="n"/>
      <c r="CA147" s="341" t="n"/>
    </row>
    <row r="148" ht="15.75" customFormat="1" customHeight="1" s="118">
      <c r="A148" s="136" t="inlineStr">
        <is>
          <t>DE1AA090013T</t>
        </is>
      </c>
      <c r="B148" s="118" t="n">
        <v>6080005</v>
      </c>
      <c r="C148" s="136" t="inlineStr">
        <is>
          <t>玻尿酸恆潤保濕面膜 30mL</t>
        </is>
      </c>
      <c r="D148" s="285" t="n"/>
      <c r="E148" s="198" t="inlineStr">
        <is>
          <t>PCS</t>
        </is>
      </c>
      <c r="F148" s="349" t="n"/>
      <c r="G148" s="349" t="n"/>
      <c r="H148" s="349" t="n"/>
      <c r="I148" s="349" t="n"/>
      <c r="J148" s="349" t="n"/>
      <c r="K148" s="349" t="n"/>
      <c r="L148" s="349" t="n"/>
      <c r="AG148" s="348" t="n"/>
      <c r="AH148" s="348" t="n"/>
      <c r="AI148" s="348" t="n"/>
      <c r="AJ148" s="348" t="n"/>
      <c r="AK148" s="348" t="n"/>
      <c r="AL148" s="348" t="n"/>
      <c r="AM148" s="348" t="n"/>
      <c r="AN148" s="201" t="n"/>
      <c r="AO148" s="201" t="n"/>
      <c r="AP148" s="201" t="n"/>
      <c r="AQ148" s="201" t="n"/>
      <c r="AR148" s="201" t="n"/>
      <c r="AS148" s="283" t="n">
        <v>0</v>
      </c>
      <c r="AT148" s="286" t="n">
        <v>0</v>
      </c>
      <c r="AU148" s="201" t="n">
        <v>0</v>
      </c>
      <c r="AV148" s="201" t="n">
        <v>0</v>
      </c>
      <c r="AW148" s="201" t="n">
        <v>0</v>
      </c>
      <c r="AX148" s="201" t="n">
        <v>2400</v>
      </c>
      <c r="AY148" s="201" t="n">
        <v>0</v>
      </c>
      <c r="AZ148" s="203">
        <f>SUMIFS(領用表!$L:$L,領用表!$E:$E,$B148,領用表!$B:$B,AZ$2&amp;$BI$1)</f>
        <v/>
      </c>
      <c r="BA148" s="203">
        <f>SUMIFS(領用表!$L:$L,領用表!$E:$E,$B148,領用表!$B:$B,BA$2&amp;$BI$1)</f>
        <v/>
      </c>
      <c r="BB148" s="203">
        <f>SUMIFS(領用表!$L:$L,領用表!$E:$E,$B148,領用表!$B:$B,BB$2&amp;$BI$1)</f>
        <v/>
      </c>
      <c r="BC148" s="203">
        <f>SUMIFS(領用表!$L:$L,領用表!$E:$E,$B148,領用表!$B:$B,BC$2&amp;$BI$1)</f>
        <v/>
      </c>
      <c r="BD148" s="208">
        <f>SUMIFS(領用表!$L:$L,領用表!$E:$E,$B148,領用表!$B:$B,BD$2&amp;$BI$1)</f>
        <v/>
      </c>
      <c r="BE148" s="208">
        <f>SUMIFS(領用表!$L:$L,領用表!$E:$E,$B148,領用表!$B:$B,BE$2&amp;$BI$1)</f>
        <v/>
      </c>
      <c r="BF148" s="208">
        <f>SUMIFS(領用表!$L:$L,領用表!$E:$E,$B148,領用表!$B:$B,BF$2&amp;$BI$1)</f>
        <v/>
      </c>
      <c r="BG148" s="207">
        <f>SUM(AU148,AV148,AW148,AX148,AY148,AZ148,BA148,BB148,BC148,BD148,BE148,BF148)</f>
        <v/>
      </c>
      <c r="BH148" s="207">
        <f>AVERAGE(AU148,AV148,AW148,AX148,AY148,AZ148,BA148,BB148,BC148,BD148,BE148,BF148)</f>
        <v/>
      </c>
      <c r="BI148" s="208">
        <f>SUMIFS(領用表!$L:$L,領用表!$E:$E,$B148,領用表!$B:$B,BI$2&amp;$BI$1)</f>
        <v/>
      </c>
      <c r="BJ148" s="208">
        <f>SUMIFS(領用表!$L:$L,領用表!$E:$E,$B148,領用表!$B:$B,BJ$2&amp;$BI$1)</f>
        <v/>
      </c>
      <c r="BK148" s="208">
        <f>SUMIFS(領用表!$L:$L,領用表!$E:$E,$B148,領用表!$B:$B,BK$2&amp;$BI$1)</f>
        <v/>
      </c>
      <c r="BL148" s="208">
        <f>SUMIFS(領用表!$L:$L,領用表!$E:$E,$B148,領用表!$B:$B,BL$2&amp;$BI$1)</f>
        <v/>
      </c>
      <c r="BM148" s="208">
        <f>SUMIFS(領用表!$L:$L,領用表!$E:$E,$B148,領用表!$B:$B,BM$2&amp;$BI$1)</f>
        <v/>
      </c>
      <c r="BN148" s="208">
        <f>SUMIFS(領用表!$L:$L,領用表!$E:$E,$B148,領用表!$B:$B,BN$2&amp;$BI$1)</f>
        <v/>
      </c>
      <c r="BO148" s="208">
        <f>SUMIFS(領用表!$L:$L,領用表!$E:$E,$B148,領用表!$B:$B,BO$2&amp;$BI$1)</f>
        <v/>
      </c>
      <c r="BP148" s="208">
        <f>SUMIFS(領用表!$L:$L,領用表!$E:$E,$B148,領用表!$B:$B,BP$2&amp;$BI$1)</f>
        <v/>
      </c>
      <c r="BQ148" s="208">
        <f>SUMIFS(領用表!$L:$L,領用表!$E:$E,$B148,領用表!$B:$B,BQ$2&amp;$BI$1)</f>
        <v/>
      </c>
      <c r="BR148" s="208">
        <f>SUMIFS(領用表!$L:$L,領用表!$E:$E,$B148,領用表!$B:$B,BR$2&amp;$BI$1)</f>
        <v/>
      </c>
      <c r="BS148" s="208">
        <f>SUMIFS(領用表!$L:$L,領用表!$E:$E,$B148,領用表!$B:$B,BS$2&amp;$BI$1)</f>
        <v/>
      </c>
      <c r="BT148" s="208">
        <f>SUMIFS(領用表!$L:$L,領用表!$E:$E,$B148,領用表!$B:$B,BT$2&amp;$BI$1)</f>
        <v/>
      </c>
      <c r="BU148" s="208">
        <f>SUM(BI148,BJ148,BK148,BL148,BM148,BN148)</f>
        <v/>
      </c>
      <c r="BV148" s="208">
        <f>AVERAGE(BI148,BJ148,BK148,BL148,BM148,BN148)</f>
        <v/>
      </c>
      <c r="BW148" s="208">
        <f>SUMIF(Summary!B:B,B148,Summary!DZ:DZ)</f>
        <v/>
      </c>
      <c r="BX148" s="258" t="n"/>
      <c r="BY148" s="340" t="n"/>
      <c r="BZ148" s="343" t="n"/>
      <c r="CA148" s="341" t="n"/>
    </row>
    <row r="149" ht="15.75" customFormat="1" customHeight="1" s="118">
      <c r="A149" s="136" t="inlineStr">
        <is>
          <t>DL1AA090025T</t>
        </is>
      </c>
      <c r="B149" s="118" t="n">
        <v>6080007</v>
      </c>
      <c r="C149" s="136" t="inlineStr">
        <is>
          <t>海洋膠原蛋白面膜 30ml</t>
        </is>
      </c>
      <c r="D149" s="285" t="n"/>
      <c r="E149" s="198" t="inlineStr">
        <is>
          <t>PCS</t>
        </is>
      </c>
      <c r="F149" s="349" t="n"/>
      <c r="G149" s="349" t="n"/>
      <c r="H149" s="349" t="n"/>
      <c r="I149" s="349" t="n"/>
      <c r="J149" s="349" t="n"/>
      <c r="K149" s="349" t="n"/>
      <c r="L149" s="349" t="n"/>
      <c r="M149" s="333" t="n"/>
      <c r="N149" s="333" t="n"/>
      <c r="O149" s="333" t="n"/>
      <c r="P149" s="333" t="n"/>
      <c r="Q149" s="333" t="n"/>
      <c r="R149" s="333" t="n"/>
      <c r="S149" s="333" t="n"/>
      <c r="T149" s="333" t="n"/>
      <c r="U149" s="333" t="n"/>
      <c r="V149" s="333" t="n"/>
      <c r="W149" s="333" t="n"/>
      <c r="X149" s="333" t="n"/>
      <c r="Y149" s="333" t="n"/>
      <c r="Z149" s="333" t="n"/>
      <c r="AA149" s="333" t="n"/>
      <c r="AB149" s="333" t="n"/>
      <c r="AC149" s="333" t="n"/>
      <c r="AD149" s="333" t="n"/>
      <c r="AE149" s="333" t="n"/>
      <c r="AF149" s="333" t="n"/>
      <c r="AG149" s="292" t="n"/>
      <c r="AH149" s="292" t="n"/>
      <c r="AI149" s="292" t="n"/>
      <c r="AJ149" s="292" t="n"/>
      <c r="AK149" s="292" t="n"/>
      <c r="AL149" s="292" t="n"/>
      <c r="AM149" s="292" t="n"/>
      <c r="AN149" s="201" t="n"/>
      <c r="AO149" s="201" t="n"/>
      <c r="AP149" s="201" t="n"/>
      <c r="AQ149" s="201" t="n"/>
      <c r="AR149" s="201" t="n"/>
      <c r="AS149" s="283" t="n"/>
      <c r="AT149" s="286" t="n"/>
      <c r="AU149" s="201" t="n"/>
      <c r="AV149" s="201" t="n"/>
      <c r="AW149" s="201" t="n"/>
      <c r="AX149" s="201" t="n"/>
      <c r="AY149" s="201" t="n"/>
      <c r="AZ149" s="203">
        <f>SUMIFS(領用表!$L:$L,領用表!$E:$E,$B149,領用表!$B:$B,AZ$2&amp;$BI$1)</f>
        <v/>
      </c>
      <c r="BA149" s="203">
        <f>SUMIFS(領用表!$L:$L,領用表!$E:$E,$B149,領用表!$B:$B,BA$2&amp;$BI$1)</f>
        <v/>
      </c>
      <c r="BB149" s="203">
        <f>SUMIFS(領用表!$L:$L,領用表!$E:$E,$B149,領用表!$B:$B,BB$2&amp;$BI$1)</f>
        <v/>
      </c>
      <c r="BC149" s="203">
        <f>SUMIFS(領用表!$L:$L,領用表!$E:$E,$B149,領用表!$B:$B,BC$2&amp;$BI$1)</f>
        <v/>
      </c>
      <c r="BD149" s="208">
        <f>SUMIFS(領用表!$L:$L,領用表!$E:$E,$B149,領用表!$B:$B,BD$2&amp;$BI$1)</f>
        <v/>
      </c>
      <c r="BE149" s="208">
        <f>SUMIFS(領用表!$L:$L,領用表!$E:$E,$B149,領用表!$B:$B,BE$2&amp;$BI$1)</f>
        <v/>
      </c>
      <c r="BF149" s="208">
        <f>SUMIFS(領用表!$L:$L,領用表!$E:$E,$B149,領用表!$B:$B,BF$2&amp;$BI$1)</f>
        <v/>
      </c>
      <c r="BG149" s="207">
        <f>SUM(AU149,AV149,AW149,AX149,AY149,AZ149,BA149,BB149,BC149,BD149,BE149,BF149)</f>
        <v/>
      </c>
      <c r="BH149" s="207">
        <f>AVERAGE(AU149,AV149,AW149,AX149,AY149,AZ149,BA149,BB149,BC149,BD149,BE149,BF149)</f>
        <v/>
      </c>
      <c r="BI149" s="208">
        <f>SUMIFS(領用表!$L:$L,領用表!$E:$E,$B149,領用表!$B:$B,BI$2&amp;$BI$1)</f>
        <v/>
      </c>
      <c r="BJ149" s="208">
        <f>SUMIFS(領用表!$L:$L,領用表!$E:$E,$B149,領用表!$B:$B,BJ$2&amp;$BI$1)</f>
        <v/>
      </c>
      <c r="BK149" s="208">
        <f>SUMIFS(領用表!$L:$L,領用表!$E:$E,$B149,領用表!$B:$B,BK$2&amp;$BI$1)</f>
        <v/>
      </c>
      <c r="BL149" s="208">
        <f>SUMIFS(領用表!$L:$L,領用表!$E:$E,$B149,領用表!$B:$B,BL$2&amp;$BI$1)</f>
        <v/>
      </c>
      <c r="BM149" s="208">
        <f>SUMIFS(領用表!$L:$L,領用表!$E:$E,$B149,領用表!$B:$B,BM$2&amp;$BI$1)</f>
        <v/>
      </c>
      <c r="BN149" s="208" t="n"/>
      <c r="BO149" s="208">
        <f>SUMIFS(領用表!$L:$L,領用表!$E:$E,$B149,領用表!$B:$B,BO$2&amp;$BI$1)</f>
        <v/>
      </c>
      <c r="BP149" s="208">
        <f>SUMIFS(領用表!$L:$L,領用表!$E:$E,$B149,領用表!$B:$B,BP$2&amp;$BI$1)</f>
        <v/>
      </c>
      <c r="BQ149" s="208">
        <f>SUMIFS(領用表!$L:$L,領用表!$E:$E,$B149,領用表!$B:$B,BQ$2&amp;$BI$1)</f>
        <v/>
      </c>
      <c r="BR149" s="208">
        <f>SUMIFS(領用表!$L:$L,領用表!$E:$E,$B149,領用表!$B:$B,BR$2&amp;$BI$1)</f>
        <v/>
      </c>
      <c r="BS149" s="208">
        <f>SUMIFS(領用表!$L:$L,領用表!$E:$E,$B149,領用表!$B:$B,BS$2&amp;$BI$1)</f>
        <v/>
      </c>
      <c r="BT149" s="208">
        <f>SUMIFS(領用表!$L:$L,領用表!$E:$E,$B149,領用表!$B:$B,BT$2&amp;$BI$1)</f>
        <v/>
      </c>
      <c r="BU149" s="208">
        <f>SUM(BI149,BJ149,BK149,BL149,BM149,BN149)</f>
        <v/>
      </c>
      <c r="BV149" s="208">
        <f>AVERAGE(BI149,BJ149,BK149,BL149,BM149,BN149)</f>
        <v/>
      </c>
      <c r="BW149" s="208">
        <f>SUMIF(Summary!B:B,B149,Summary!DZ:DZ)</f>
        <v/>
      </c>
      <c r="BX149" s="258" t="n"/>
      <c r="BY149" s="340" t="n"/>
      <c r="BZ149" s="341" t="n"/>
      <c r="CA149" s="341" t="n"/>
    </row>
    <row r="150" ht="15.75" customFormat="1" customHeight="1" s="118">
      <c r="A150" s="136" t="inlineStr">
        <is>
          <t>DE1AB090012T</t>
        </is>
      </c>
      <c r="B150" s="118" t="e">
        <v>#N/A</v>
      </c>
      <c r="C150" s="136" t="inlineStr">
        <is>
          <t>多肽睛澈修護眼膜 10mL(鈦灰)</t>
        </is>
      </c>
      <c r="D150" s="285" t="n"/>
      <c r="E150" s="198" t="inlineStr">
        <is>
          <t>PCS</t>
        </is>
      </c>
      <c r="F150" s="349" t="n"/>
      <c r="G150" s="349" t="n"/>
      <c r="H150" s="349" t="n"/>
      <c r="I150" s="349" t="n"/>
      <c r="J150" s="349" t="n"/>
      <c r="K150" s="349" t="n"/>
      <c r="L150" s="349" t="n"/>
      <c r="M150" s="333" t="n"/>
      <c r="N150" s="333" t="n"/>
      <c r="O150" s="333" t="n"/>
      <c r="P150" s="333" t="n"/>
      <c r="Q150" s="333" t="n"/>
      <c r="R150" s="333" t="n"/>
      <c r="S150" s="333" t="n"/>
      <c r="T150" s="333" t="n"/>
      <c r="U150" s="333" t="n"/>
      <c r="V150" s="333" t="n"/>
      <c r="W150" s="333" t="n"/>
      <c r="X150" s="333" t="n"/>
      <c r="Y150" s="333" t="n"/>
      <c r="Z150" s="333" t="n"/>
      <c r="AA150" s="333" t="n"/>
      <c r="AB150" s="333" t="n"/>
      <c r="AC150" s="333" t="n"/>
      <c r="AD150" s="333" t="n"/>
      <c r="AE150" s="333" t="n"/>
      <c r="AF150" s="333" t="n"/>
      <c r="AG150" s="292" t="n"/>
      <c r="AH150" s="292" t="n"/>
      <c r="AI150" s="292" t="n"/>
      <c r="AJ150" s="292" t="n"/>
      <c r="AK150" s="292" t="n"/>
      <c r="AL150" s="292" t="n"/>
      <c r="AM150" s="292" t="n"/>
      <c r="AN150" s="201" t="n"/>
      <c r="AO150" s="201" t="n"/>
      <c r="AP150" s="201" t="n"/>
      <c r="AQ150" s="201" t="n"/>
      <c r="AR150" s="201" t="n"/>
      <c r="AS150" s="283" t="n"/>
      <c r="AT150" s="286" t="n"/>
      <c r="AU150" s="201" t="n"/>
      <c r="AV150" s="201" t="n"/>
      <c r="AW150" s="201" t="n"/>
      <c r="AX150" s="201" t="n"/>
      <c r="AY150" s="201" t="n"/>
      <c r="AZ150" s="203">
        <f>SUMIFS(領用表!$L:$L,領用表!$E:$E,$B150,領用表!$B:$B,AZ$2&amp;$BI$1)</f>
        <v/>
      </c>
      <c r="BA150" s="203">
        <f>SUMIFS(領用表!$L:$L,領用表!$E:$E,$B150,領用表!$B:$B,BA$2&amp;$BI$1)</f>
        <v/>
      </c>
      <c r="BB150" s="203">
        <f>SUMIFS(領用表!$L:$L,領用表!$E:$E,$B150,領用表!$B:$B,BB$2&amp;$BI$1)</f>
        <v/>
      </c>
      <c r="BC150" s="203">
        <f>SUMIFS(領用表!$L:$L,領用表!$E:$E,$B150,領用表!$B:$B,BC$2&amp;$BI$1)</f>
        <v/>
      </c>
      <c r="BD150" s="208">
        <f>SUMIFS(領用表!$L:$L,領用表!$E:$E,$B150,領用表!$B:$B,BD$2&amp;$BI$1)</f>
        <v/>
      </c>
      <c r="BE150" s="208">
        <f>SUMIFS(領用表!$L:$L,領用表!$E:$E,$B150,領用表!$B:$B,BE$2&amp;$BI$1)</f>
        <v/>
      </c>
      <c r="BF150" s="208">
        <f>SUMIFS(領用表!$L:$L,領用表!$E:$E,$B150,領用表!$B:$B,BF$2&amp;$BI$1)</f>
        <v/>
      </c>
      <c r="BG150" s="207">
        <f>SUM(AU150,AV150,AW150,AX150,AY150,AZ150,BA150,BB150,BC150,BD150,BE150,BF150)</f>
        <v/>
      </c>
      <c r="BH150" s="207">
        <f>AVERAGE(AU150,AV150,AW150,AX150,AY150,AZ150,BA150,BB150,BC150,BD150,BE150,BF150)</f>
        <v/>
      </c>
      <c r="BI150" s="208">
        <f>SUMIFS(領用表!$L:$L,領用表!$E:$E,$B150,領用表!$B:$B,BI$2&amp;$BI$1)</f>
        <v/>
      </c>
      <c r="BJ150" s="208">
        <f>SUMIFS(領用表!$L:$L,領用表!$E:$E,$B150,領用表!$B:$B,BJ$2&amp;$BI$1)</f>
        <v/>
      </c>
      <c r="BK150" s="208">
        <f>SUMIFS(領用表!$L:$L,領用表!$E:$E,$B150,領用表!$B:$B,BK$2&amp;$BI$1)</f>
        <v/>
      </c>
      <c r="BL150" s="208">
        <f>SUMIFS(領用表!$L:$L,領用表!$E:$E,$B150,領用表!$B:$B,BL$2&amp;$BI$1)</f>
        <v/>
      </c>
      <c r="BM150" s="208">
        <f>SUMIFS(領用表!$L:$L,領用表!$E:$E,$B150,領用表!$B:$B,BM$2&amp;$BI$1)</f>
        <v/>
      </c>
      <c r="BN150" s="208">
        <f>SUMIFS(領用表!$L:$L,領用表!$E:$E,$B150,領用表!$B:$B,BN$2&amp;$BI$1)</f>
        <v/>
      </c>
      <c r="BO150" s="208">
        <f>SUMIFS(領用表!$L:$L,領用表!$E:$E,$B150,領用表!$B:$B,BO$2&amp;$BI$1)</f>
        <v/>
      </c>
      <c r="BP150" s="208">
        <f>SUMIFS(領用表!$L:$L,領用表!$E:$E,$B150,領用表!$B:$B,BP$2&amp;$BI$1)</f>
        <v/>
      </c>
      <c r="BQ150" s="208">
        <f>SUMIFS(領用表!$L:$L,領用表!$E:$E,$B150,領用表!$B:$B,BQ$2&amp;$BI$1)</f>
        <v/>
      </c>
      <c r="BR150" s="208">
        <f>SUMIFS(領用表!$L:$L,領用表!$E:$E,$B150,領用表!$B:$B,BR$2&amp;$BI$1)</f>
        <v/>
      </c>
      <c r="BS150" s="208">
        <f>SUMIFS(領用表!$L:$L,領用表!$E:$E,$B150,領用表!$B:$B,BS$2&amp;$BI$1)</f>
        <v/>
      </c>
      <c r="BT150" s="208">
        <f>SUMIFS(領用表!$L:$L,領用表!$E:$E,$B150,領用表!$B:$B,BT$2&amp;$BI$1)</f>
        <v/>
      </c>
      <c r="BU150" s="208">
        <f>SUM(BI150,BJ150,BK150,BL150,BM150,BN150)</f>
        <v/>
      </c>
      <c r="BV150" s="208">
        <f>AVERAGE(BI150,BJ150,BK150,BL150,BM150,BN150)</f>
        <v/>
      </c>
      <c r="BW150" s="208">
        <f>SUMIF(Summary!B:B,B150,Summary!DZ:DZ)</f>
        <v/>
      </c>
      <c r="BX150" s="258" t="n"/>
      <c r="BY150" s="340" t="n"/>
      <c r="BZ150" s="341" t="inlineStr">
        <is>
          <t>4000(10/22)</t>
        </is>
      </c>
      <c r="CA150" s="341" t="n"/>
    </row>
    <row r="151" ht="15.75" customFormat="1" customHeight="1" s="118">
      <c r="A151" s="136" t="inlineStr">
        <is>
          <t>DN1AA050029T</t>
        </is>
      </c>
      <c r="B151" s="118" t="n">
        <v>1050001</v>
      </c>
      <c r="C151" s="136" t="inlineStr">
        <is>
          <t>優菌防護精華安瓶 6ml(10入)</t>
        </is>
      </c>
      <c r="D151" s="285" t="n"/>
      <c r="E151" s="198" t="inlineStr">
        <is>
          <t>PCS</t>
        </is>
      </c>
      <c r="F151" s="349" t="n"/>
      <c r="G151" s="349" t="n"/>
      <c r="H151" s="349" t="n"/>
      <c r="I151" s="349" t="n"/>
      <c r="J151" s="349" t="n"/>
      <c r="K151" s="349" t="n"/>
      <c r="L151" s="349" t="n"/>
      <c r="M151" s="283" t="n"/>
      <c r="N151" s="283" t="n"/>
      <c r="O151" s="283" t="n"/>
      <c r="P151" s="283" t="n"/>
      <c r="Q151" s="283" t="n"/>
      <c r="R151" s="283" t="n"/>
      <c r="S151" s="283" t="n"/>
      <c r="T151" s="283" t="n"/>
      <c r="U151" s="283" t="n"/>
      <c r="V151" s="283" t="n"/>
      <c r="W151" s="283" t="n"/>
      <c r="X151" s="283" t="n"/>
      <c r="Y151" s="283" t="n"/>
      <c r="Z151" s="283" t="n"/>
      <c r="AA151" s="283" t="n"/>
      <c r="AB151" s="283" t="n"/>
      <c r="AC151" s="283" t="n"/>
      <c r="AD151" s="283" t="n"/>
      <c r="AE151" s="283" t="n"/>
      <c r="AF151" s="283" t="n"/>
      <c r="AG151" s="201" t="n"/>
      <c r="AH151" s="201" t="n"/>
      <c r="AI151" s="201" t="n"/>
      <c r="AJ151" s="201" t="n"/>
      <c r="AK151" s="201" t="n"/>
      <c r="AL151" s="201" t="n"/>
      <c r="AM151" s="201" t="n"/>
      <c r="AN151" s="201" t="n">
        <v>0</v>
      </c>
      <c r="AO151" s="201" t="n">
        <v>0</v>
      </c>
      <c r="AP151" s="201" t="n">
        <v>0</v>
      </c>
      <c r="AQ151" s="201" t="n">
        <v>0</v>
      </c>
      <c r="AR151" s="201" t="n">
        <v>0</v>
      </c>
      <c r="AS151" s="283">
        <f>SUM(AG151:AR151)</f>
        <v/>
      </c>
      <c r="AT151" s="286">
        <f>AS151/12</f>
        <v/>
      </c>
      <c r="AU151" s="201" t="n">
        <v>0</v>
      </c>
      <c r="AV151" s="201" t="n">
        <v>0</v>
      </c>
      <c r="AW151" s="201" t="n">
        <v>0</v>
      </c>
      <c r="AX151" s="201" t="n">
        <v>48</v>
      </c>
      <c r="AY151" s="201" t="n">
        <v>24</v>
      </c>
      <c r="AZ151" s="203">
        <f>SUMIFS(領用表!$L:$L,領用表!$E:$E,$B151,領用表!$B:$B,AZ$2&amp;$BI$1)</f>
        <v/>
      </c>
      <c r="BA151" s="203">
        <f>SUMIFS(領用表!$L:$L,領用表!$E:$E,$B151,領用表!$B:$B,BA$2&amp;$BI$1)</f>
        <v/>
      </c>
      <c r="BB151" s="203">
        <f>SUMIFS(領用表!$L:$L,領用表!$E:$E,$B151,領用表!$B:$B,BB$2&amp;$BI$1)</f>
        <v/>
      </c>
      <c r="BC151" s="203">
        <f>SUMIFS(領用表!$L:$L,領用表!$E:$E,$B151,領用表!$B:$B,BC$2&amp;$BI$1)</f>
        <v/>
      </c>
      <c r="BD151" s="208">
        <f>SUMIFS(領用表!$L:$L,領用表!$E:$E,$B151,領用表!$B:$B,BD$2&amp;$BI$1)</f>
        <v/>
      </c>
      <c r="BE151" s="208">
        <f>SUMIFS(領用表!$L:$L,領用表!$E:$E,$B151,領用表!$B:$B,BE$2&amp;$BI$1)</f>
        <v/>
      </c>
      <c r="BF151" s="208">
        <f>SUMIFS(領用表!$L:$L,領用表!$E:$E,$B151,領用表!$B:$B,BF$2&amp;$BI$1)</f>
        <v/>
      </c>
      <c r="BG151" s="207">
        <f>SUM(AU151,AV151,AW151,AX151,AY151,AZ151,BA151,BB151,BC151,BD151,BE151,BF151)</f>
        <v/>
      </c>
      <c r="BH151" s="207">
        <f>AVERAGE(AU151,AV151,AW151,AX151,AY151,AZ151,BA151,BB151,BC151,BD151,BE151,BF151)</f>
        <v/>
      </c>
      <c r="BI151" s="208">
        <f>SUMIFS(領用表!$L:$L,領用表!$E:$E,$B151,領用表!$B:$B,BI$2&amp;$BI$1)</f>
        <v/>
      </c>
      <c r="BJ151" s="208">
        <f>SUMIFS(領用表!$L:$L,領用表!$E:$E,$B151,領用表!$B:$B,BJ$2&amp;$BI$1)</f>
        <v/>
      </c>
      <c r="BK151" s="208">
        <f>SUMIFS(領用表!$L:$L,領用表!$E:$E,$B151,領用表!$B:$B,BK$2&amp;$BI$1)</f>
        <v/>
      </c>
      <c r="BL151" s="208">
        <f>SUMIFS(領用表!$L:$L,領用表!$E:$E,$B151,領用表!$B:$B,BL$2&amp;$BI$1)</f>
        <v/>
      </c>
      <c r="BM151" s="208">
        <f>SUMIFS(領用表!$L:$L,領用表!$E:$E,$B151,領用表!$B:$B,BM$2&amp;$BI$1)</f>
        <v/>
      </c>
      <c r="BN151" s="208" t="n"/>
      <c r="BO151" s="208">
        <f>SUMIFS(領用表!$L:$L,領用表!$E:$E,$B151,領用表!$B:$B,BO$2&amp;$BI$1)</f>
        <v/>
      </c>
      <c r="BP151" s="208">
        <f>SUMIFS(領用表!$L:$L,領用表!$E:$E,$B151,領用表!$B:$B,BP$2&amp;$BI$1)</f>
        <v/>
      </c>
      <c r="BQ151" s="208">
        <f>SUMIFS(領用表!$L:$L,領用表!$E:$E,$B151,領用表!$B:$B,BQ$2&amp;$BI$1)</f>
        <v/>
      </c>
      <c r="BR151" s="208">
        <f>SUMIFS(領用表!$L:$L,領用表!$E:$E,$B151,領用表!$B:$B,BR$2&amp;$BI$1)</f>
        <v/>
      </c>
      <c r="BS151" s="208">
        <f>SUMIFS(領用表!$L:$L,領用表!$E:$E,$B151,領用表!$B:$B,BS$2&amp;$BI$1)</f>
        <v/>
      </c>
      <c r="BT151" s="208">
        <f>SUMIFS(領用表!$L:$L,領用表!$E:$E,$B151,領用表!$B:$B,BT$2&amp;$BI$1)</f>
        <v/>
      </c>
      <c r="BU151" s="208">
        <f>SUM(BI151,BJ151,BK151,BL151,BM151,BN151)</f>
        <v/>
      </c>
      <c r="BV151" s="208">
        <f>AVERAGE(BI151,BJ151,BK151,BL151,BM151,BN151)</f>
        <v/>
      </c>
      <c r="BW151" s="208">
        <f>SUMIF(Summary!B:B,B151,Summary!DZ:DZ)</f>
        <v/>
      </c>
      <c r="BX151" s="258" t="n"/>
      <c r="BY151" s="340" t="n"/>
      <c r="BZ151" s="341" t="n"/>
      <c r="CA151" s="341" t="n"/>
      <c r="CB151" s="136" t="n"/>
      <c r="CC151" s="136" t="n"/>
    </row>
    <row r="152" ht="15.75" customFormat="1" customHeight="1" s="118">
      <c r="A152" s="136" t="inlineStr">
        <is>
          <t>DN1AA050030T</t>
        </is>
      </c>
      <c r="B152" s="118" t="n">
        <v>1050002</v>
      </c>
      <c r="C152" s="136" t="inlineStr">
        <is>
          <t>優菌防護安瓶精華 6ml</t>
        </is>
      </c>
      <c r="D152" s="285" t="n"/>
      <c r="E152" s="198" t="inlineStr">
        <is>
          <t>PCS</t>
        </is>
      </c>
      <c r="F152" s="349" t="n"/>
      <c r="G152" s="349" t="n"/>
      <c r="H152" s="349" t="n"/>
      <c r="I152" s="349" t="n"/>
      <c r="J152" s="349" t="n"/>
      <c r="K152" s="349" t="n"/>
      <c r="L152" s="349" t="n"/>
      <c r="M152" s="283" t="n"/>
      <c r="N152" s="283" t="n"/>
      <c r="O152" s="283" t="n"/>
      <c r="P152" s="283" t="n"/>
      <c r="Q152" s="283" t="n"/>
      <c r="R152" s="283" t="n"/>
      <c r="S152" s="283" t="n"/>
      <c r="T152" s="283" t="n"/>
      <c r="U152" s="283" t="n"/>
      <c r="V152" s="283" t="n"/>
      <c r="W152" s="283" t="n"/>
      <c r="X152" s="283" t="n"/>
      <c r="Y152" s="283" t="n"/>
      <c r="Z152" s="283" t="n"/>
      <c r="AA152" s="283" t="n"/>
      <c r="AB152" s="283" t="n"/>
      <c r="AC152" s="283" t="n"/>
      <c r="AD152" s="283" t="n"/>
      <c r="AE152" s="283" t="n"/>
      <c r="AF152" s="283" t="n"/>
      <c r="AG152" s="201" t="n"/>
      <c r="AH152" s="201" t="n"/>
      <c r="AI152" s="201" t="n"/>
      <c r="AJ152" s="201" t="n"/>
      <c r="AK152" s="201" t="n"/>
      <c r="AL152" s="201" t="n"/>
      <c r="AM152" s="201" t="n"/>
      <c r="AN152" s="201" t="n">
        <v>0</v>
      </c>
      <c r="AO152" s="201" t="n">
        <v>0</v>
      </c>
      <c r="AP152" s="201" t="n">
        <v>0</v>
      </c>
      <c r="AQ152" s="201" t="n">
        <v>0</v>
      </c>
      <c r="AR152" s="201" t="n">
        <v>0</v>
      </c>
      <c r="AS152" s="283">
        <f>SUM(AG152:AR152)</f>
        <v/>
      </c>
      <c r="AT152" s="286">
        <f>AS152/12</f>
        <v/>
      </c>
      <c r="AU152" s="201" t="n">
        <v>0</v>
      </c>
      <c r="AV152" s="201" t="n">
        <v>0</v>
      </c>
      <c r="AW152" s="201" t="n">
        <v>0</v>
      </c>
      <c r="AX152" s="201" t="n">
        <v>0</v>
      </c>
      <c r="AY152" s="201" t="n">
        <v>0</v>
      </c>
      <c r="AZ152" s="203">
        <f>SUMIFS(領用表!$L:$L,領用表!$E:$E,$B152,領用表!$B:$B,AZ$2&amp;$BI$1)</f>
        <v/>
      </c>
      <c r="BA152" s="203">
        <f>SUMIFS(領用表!$L:$L,領用表!$E:$E,$B152,領用表!$B:$B,BA$2&amp;$BI$1)</f>
        <v/>
      </c>
      <c r="BB152" s="203">
        <f>SUMIFS(領用表!$L:$L,領用表!$E:$E,$B152,領用表!$B:$B,BB$2&amp;$BI$1)</f>
        <v/>
      </c>
      <c r="BC152" s="203">
        <f>SUMIFS(領用表!$L:$L,領用表!$E:$E,$B152,領用表!$B:$B,BC$2&amp;$BI$1)</f>
        <v/>
      </c>
      <c r="BD152" s="208">
        <f>SUMIFS(領用表!$L:$L,領用表!$E:$E,$B152,領用表!$B:$B,BD$2&amp;$BI$1)</f>
        <v/>
      </c>
      <c r="BE152" s="208">
        <f>SUMIFS(領用表!$L:$L,領用表!$E:$E,$B152,領用表!$B:$B,BE$2&amp;$BI$1)</f>
        <v/>
      </c>
      <c r="BF152" s="208">
        <f>SUMIFS(領用表!$L:$L,領用表!$E:$E,$B152,領用表!$B:$B,BF$2&amp;$BI$1)</f>
        <v/>
      </c>
      <c r="BG152" s="207">
        <f>SUM(AU152,AV152,AW152,AX152,AY152,AZ152,BA152,BB152,BC152,BD152,BE152,BF152)</f>
        <v/>
      </c>
      <c r="BH152" s="207">
        <f>AVERAGE(AU152,AV152,AW152,AX152,AY152,AZ152,BA152,BB152,BC152,BD152,BE152,BF152)</f>
        <v/>
      </c>
      <c r="BI152" s="208">
        <f>SUMIFS(領用表!$L:$L,領用表!$E:$E,$B152,領用表!$B:$B,BI$2&amp;$BI$1)</f>
        <v/>
      </c>
      <c r="BJ152" s="208">
        <f>SUMIFS(領用表!$L:$L,領用表!$E:$E,$B152,領用表!$B:$B,BJ$2&amp;$BI$1)</f>
        <v/>
      </c>
      <c r="BK152" s="208">
        <f>SUMIFS(領用表!$L:$L,領用表!$E:$E,$B152,領用表!$B:$B,BK$2&amp;$BI$1)</f>
        <v/>
      </c>
      <c r="BL152" s="208">
        <f>SUMIFS(領用表!$L:$L,領用表!$E:$E,$B152,領用表!$B:$B,BL$2&amp;$BI$1)</f>
        <v/>
      </c>
      <c r="BM152" s="208">
        <f>SUMIFS(領用表!$L:$L,領用表!$E:$E,$B152,領用表!$B:$B,BM$2&amp;$BI$1)</f>
        <v/>
      </c>
      <c r="BN152" s="208" t="n"/>
      <c r="BO152" s="208">
        <f>SUMIFS(領用表!$L:$L,領用表!$E:$E,$B152,領用表!$B:$B,BO$2&amp;$BI$1)</f>
        <v/>
      </c>
      <c r="BP152" s="208">
        <f>SUMIFS(領用表!$L:$L,領用表!$E:$E,$B152,領用表!$B:$B,BP$2&amp;$BI$1)</f>
        <v/>
      </c>
      <c r="BQ152" s="208">
        <f>SUMIFS(領用表!$L:$L,領用表!$E:$E,$B152,領用表!$B:$B,BQ$2&amp;$BI$1)</f>
        <v/>
      </c>
      <c r="BR152" s="208">
        <f>SUMIFS(領用表!$L:$L,領用表!$E:$E,$B152,領用表!$B:$B,BR$2&amp;$BI$1)</f>
        <v/>
      </c>
      <c r="BS152" s="208">
        <f>SUMIFS(領用表!$L:$L,領用表!$E:$E,$B152,領用表!$B:$B,BS$2&amp;$BI$1)</f>
        <v/>
      </c>
      <c r="BT152" s="208">
        <f>SUMIFS(領用表!$L:$L,領用表!$E:$E,$B152,領用表!$B:$B,BT$2&amp;$BI$1)</f>
        <v/>
      </c>
      <c r="BU152" s="208">
        <f>SUM(BI152,BJ152,BK152,BL152,BM152,BN152)</f>
        <v/>
      </c>
      <c r="BV152" s="208">
        <f>AVERAGE(BI152,BJ152,BK152,BL152,BM152,BN152)</f>
        <v/>
      </c>
      <c r="BW152" s="208">
        <f>SUMIF(Summary!B:B,B152,Summary!DZ:DZ)</f>
        <v/>
      </c>
      <c r="BX152" s="258" t="n"/>
      <c r="BY152" s="340" t="n"/>
      <c r="BZ152" s="341" t="n"/>
      <c r="CA152" s="341" t="n"/>
      <c r="CB152" s="136" t="n"/>
      <c r="CC152" s="136" t="n"/>
    </row>
    <row r="153" hidden="1" ht="15.75" customFormat="1" customHeight="1" s="118">
      <c r="A153" s="136" t="inlineStr">
        <is>
          <t>DN1AA050041T</t>
        </is>
      </c>
      <c r="B153" s="118" t="n">
        <v>1050003</v>
      </c>
      <c r="C153" s="136" t="inlineStr">
        <is>
          <t>冰原天神草彈力超導精華 6mL(玫瑰金)</t>
        </is>
      </c>
      <c r="D153" s="285" t="n"/>
      <c r="E153" s="198" t="inlineStr">
        <is>
          <t>PCS</t>
        </is>
      </c>
      <c r="F153" s="349" t="n"/>
      <c r="G153" s="349" t="n"/>
      <c r="H153" s="349" t="n"/>
      <c r="I153" s="349" t="n"/>
      <c r="J153" s="349" t="n"/>
      <c r="K153" s="349" t="n"/>
      <c r="L153" s="349" t="n"/>
      <c r="M153" s="283" t="n"/>
      <c r="N153" s="283" t="n"/>
      <c r="O153" s="283" t="n"/>
      <c r="P153" s="283" t="n"/>
      <c r="Q153" s="283" t="n"/>
      <c r="R153" s="283" t="n"/>
      <c r="S153" s="283" t="n"/>
      <c r="T153" s="283" t="n"/>
      <c r="U153" s="283" t="n"/>
      <c r="V153" s="283" t="n"/>
      <c r="W153" s="283" t="n"/>
      <c r="X153" s="283" t="n"/>
      <c r="Y153" s="283" t="n"/>
      <c r="Z153" s="283" t="n"/>
      <c r="AA153" s="283" t="n"/>
      <c r="AB153" s="283" t="n"/>
      <c r="AC153" s="283" t="n"/>
      <c r="AD153" s="283" t="n"/>
      <c r="AE153" s="283" t="n"/>
      <c r="AF153" s="283" t="n"/>
      <c r="AG153" s="201" t="n"/>
      <c r="AH153" s="201" t="n"/>
      <c r="AI153" s="201" t="n"/>
      <c r="AJ153" s="201" t="n"/>
      <c r="AK153" s="201" t="n"/>
      <c r="AL153" s="201" t="n"/>
      <c r="AM153" s="201" t="n"/>
      <c r="AN153" s="201" t="n">
        <v>0</v>
      </c>
      <c r="AO153" s="201" t="n">
        <v>0</v>
      </c>
      <c r="AP153" s="201" t="n">
        <v>0</v>
      </c>
      <c r="AQ153" s="201" t="n">
        <v>0</v>
      </c>
      <c r="AR153" s="201" t="n">
        <v>0</v>
      </c>
      <c r="AS153" s="283">
        <f>SUM(AG153:AR153)</f>
        <v/>
      </c>
      <c r="AT153" s="286">
        <f>AS153/12</f>
        <v/>
      </c>
      <c r="AU153" s="201" t="n">
        <v>0</v>
      </c>
      <c r="AV153" s="201" t="n">
        <v>0</v>
      </c>
      <c r="AW153" s="201" t="n">
        <v>0</v>
      </c>
      <c r="AX153" s="201" t="n">
        <v>0</v>
      </c>
      <c r="AY153" s="201" t="n">
        <v>0</v>
      </c>
      <c r="AZ153" s="203">
        <f>SUMIFS(領用表!$L:$L,領用表!$E:$E,$B153,領用表!$B:$B,AZ$2&amp;$BI$1)</f>
        <v/>
      </c>
      <c r="BA153" s="203">
        <f>SUMIFS(領用表!$L:$L,領用表!$E:$E,$B153,領用表!$B:$B,BA$2&amp;$BI$1)</f>
        <v/>
      </c>
      <c r="BB153" s="203">
        <f>SUMIFS(領用表!$L:$L,領用表!$E:$E,$B153,領用表!$B:$B,BB$2&amp;$BI$1)</f>
        <v/>
      </c>
      <c r="BC153" s="203">
        <f>SUMIFS(領用表!$L:$L,領用表!$E:$E,$B153,領用表!$B:$B,BC$2&amp;$BI$1)</f>
        <v/>
      </c>
      <c r="BD153" s="208">
        <f>SUMIFS(領用表!$L:$L,領用表!$E:$E,$B153,領用表!$B:$B,BD$2&amp;$BI$1)</f>
        <v/>
      </c>
      <c r="BE153" s="208">
        <f>SUMIFS(領用表!$L:$L,領用表!$E:$E,$B153,領用表!$B:$B,BE$2&amp;$BI$1)</f>
        <v/>
      </c>
      <c r="BF153" s="208">
        <f>SUMIFS(領用表!$L:$L,領用表!$E:$E,$B153,領用表!$B:$B,BF$2&amp;$BI$1)</f>
        <v/>
      </c>
      <c r="BG153" s="207">
        <f>SUM(AU153,AV153,AW153,AX153,AY153,AZ153,BA153,BB153,BC153,BD153,BE153,BF153)</f>
        <v/>
      </c>
      <c r="BH153" s="207">
        <f>AVERAGE(AU153,AV153,AW153,AX153,AY153,AZ153,BA153,BB153,BC153,BD153,BE153,BF153)</f>
        <v/>
      </c>
      <c r="BI153" s="208">
        <f>SUMIFS(領用表!$L:$L,領用表!$E:$E,$B153,領用表!$B:$B,BI$2&amp;$BI$1)</f>
        <v/>
      </c>
      <c r="BJ153" s="208">
        <f>SUMIFS(領用表!$L:$L,領用表!$E:$E,$B153,領用表!$B:$B,BJ$2&amp;$BI$1)</f>
        <v/>
      </c>
      <c r="BK153" s="208">
        <f>SUMIFS(領用表!$L:$L,領用表!$E:$E,$B153,領用表!$B:$B,BK$2&amp;$BI$1)</f>
        <v/>
      </c>
      <c r="BL153" s="208">
        <f>SUMIFS(領用表!$L:$L,領用表!$E:$E,$B153,領用表!$B:$B,BL$2&amp;$BI$1)</f>
        <v/>
      </c>
      <c r="BM153" s="208">
        <f>SUMIFS(領用表!$L:$L,領用表!$E:$E,$B153,領用表!$B:$B,BM$2&amp;$BI$1)</f>
        <v/>
      </c>
      <c r="BN153" s="208" t="n"/>
      <c r="BO153" s="208">
        <f>SUMIFS(領用表!$L:$L,領用表!$E:$E,$B153,領用表!$B:$B,BO$2&amp;$BI$1)</f>
        <v/>
      </c>
      <c r="BP153" s="208">
        <f>SUMIFS(領用表!$L:$L,領用表!$E:$E,$B153,領用表!$B:$B,BP$2&amp;$BI$1)</f>
        <v/>
      </c>
      <c r="BQ153" s="208">
        <f>SUMIFS(領用表!$L:$L,領用表!$E:$E,$B153,領用表!$B:$B,BQ$2&amp;$BI$1)</f>
        <v/>
      </c>
      <c r="BR153" s="208">
        <f>SUMIFS(領用表!$L:$L,領用表!$E:$E,$B153,領用表!$B:$B,BR$2&amp;$BI$1)</f>
        <v/>
      </c>
      <c r="BS153" s="208">
        <f>SUMIFS(領用表!$L:$L,領用表!$E:$E,$B153,領用表!$B:$B,BS$2&amp;$BI$1)</f>
        <v/>
      </c>
      <c r="BT153" s="208">
        <f>SUMIFS(領用表!$L:$L,領用表!$E:$E,$B153,領用表!$B:$B,BT$2&amp;$BI$1)</f>
        <v/>
      </c>
      <c r="BU153" s="208">
        <f>SUM(BI153,BJ153,BK153,BL153,BM153,BN153)</f>
        <v/>
      </c>
      <c r="BV153" s="208">
        <f>AVERAGE(BI153,BJ153,BK153,BL153,BM153,BN153)</f>
        <v/>
      </c>
      <c r="BW153" s="208">
        <f>SUMIF(Summary!B:B,B153,Summary!DZ:DZ)</f>
        <v/>
      </c>
      <c r="BX153" s="258" t="n"/>
      <c r="BY153" s="340" t="n"/>
      <c r="BZ153" s="341" t="n"/>
      <c r="CA153" s="341" t="n"/>
      <c r="CB153" s="136" t="n"/>
      <c r="CC153" s="136" t="n"/>
    </row>
    <row r="154" ht="15" customFormat="1" customHeight="1" s="118">
      <c r="A154" s="136" t="inlineStr">
        <is>
          <t>DL1AA050016T</t>
        </is>
      </c>
      <c r="B154" s="118" t="n">
        <v>6050008</v>
      </c>
      <c r="C154" s="136" t="inlineStr">
        <is>
          <t>花神臻秘玫瑰舒膚安瓶 6ml(含紙套)</t>
        </is>
      </c>
      <c r="D154" s="285" t="n"/>
      <c r="E154" s="198" t="inlineStr">
        <is>
          <t>PCS</t>
        </is>
      </c>
      <c r="F154" s="349" t="n">
        <v>72</v>
      </c>
      <c r="G154" s="349" t="n"/>
      <c r="H154" s="349" t="n"/>
      <c r="I154" s="349" t="n"/>
      <c r="J154" s="349" t="n"/>
      <c r="K154" s="349" t="n"/>
      <c r="L154" s="349" t="n"/>
      <c r="M154" s="283" t="n"/>
      <c r="N154" s="283" t="n"/>
      <c r="O154" s="283" t="n"/>
      <c r="P154" s="283" t="n"/>
      <c r="Q154" s="283" t="n"/>
      <c r="R154" s="283" t="n"/>
      <c r="S154" s="283" t="n"/>
      <c r="T154" s="283" t="n"/>
      <c r="U154" s="283" t="n"/>
      <c r="V154" s="283" t="n"/>
      <c r="W154" s="283" t="n"/>
      <c r="X154" s="283" t="n"/>
      <c r="Y154" s="283" t="n"/>
      <c r="Z154" s="283" t="n"/>
      <c r="AA154" s="283" t="n"/>
      <c r="AB154" s="283" t="n"/>
      <c r="AC154" s="283" t="n"/>
      <c r="AD154" s="283" t="n"/>
      <c r="AE154" s="283" t="n"/>
      <c r="AF154" s="283" t="n"/>
      <c r="AG154" s="201" t="n"/>
      <c r="AH154" s="201" t="n"/>
      <c r="AI154" s="201" t="n"/>
      <c r="AJ154" s="201" t="n"/>
      <c r="AK154" s="201" t="n"/>
      <c r="AL154" s="201" t="n"/>
      <c r="AM154" s="201" t="n"/>
      <c r="AN154" s="201" t="n"/>
      <c r="AO154" s="201" t="n"/>
      <c r="AP154" s="201" t="n"/>
      <c r="AQ154" s="201" t="n"/>
      <c r="AR154" s="201" t="n"/>
      <c r="AS154" s="283" t="n"/>
      <c r="AT154" s="286" t="n"/>
      <c r="AU154" s="201" t="n"/>
      <c r="AV154" s="201" t="n"/>
      <c r="AW154" s="201" t="n"/>
      <c r="AX154" s="201" t="n"/>
      <c r="AY154" s="201" t="n"/>
      <c r="AZ154" s="203">
        <f>SUMIFS(領用表!$L:$L,領用表!$E:$E,$B154,領用表!$B:$B,AZ$2&amp;$BI$1)</f>
        <v/>
      </c>
      <c r="BA154" s="203">
        <f>SUMIFS(領用表!$L:$L,領用表!$E:$E,$B154,領用表!$B:$B,BA$2&amp;$BI$1)</f>
        <v/>
      </c>
      <c r="BB154" s="203">
        <f>SUMIFS(領用表!$L:$L,領用表!$E:$E,$B154,領用表!$B:$B,BB$2&amp;$BI$1)</f>
        <v/>
      </c>
      <c r="BC154" s="203">
        <f>SUMIFS(領用表!$L:$L,領用表!$E:$E,$B154,領用表!$B:$B,BC$2&amp;$BI$1)</f>
        <v/>
      </c>
      <c r="BD154" s="208">
        <f>SUMIFS(領用表!$L:$L,領用表!$E:$E,$B154,領用表!$B:$B,BD$2&amp;$BI$1)</f>
        <v/>
      </c>
      <c r="BE154" s="208">
        <f>SUMIFS(領用表!$L:$L,領用表!$E:$E,$B154,領用表!$B:$B,BE$2&amp;$BI$1)</f>
        <v/>
      </c>
      <c r="BF154" s="208">
        <f>SUMIFS(領用表!$L:$L,領用表!$E:$E,$B154,領用表!$B:$B,BF$2&amp;$BI$1)</f>
        <v/>
      </c>
      <c r="BG154" s="207">
        <f>SUM(AU154,AV154,AW154,AX154,AY154,AZ154,BA154,BB154,BC154,BD154,BE154,BF154)</f>
        <v/>
      </c>
      <c r="BH154" s="207">
        <f>AVERAGE(AU154,AV154,AW154,AX154,AY154,AZ154,BA154,BB154,BC154,BD154,BE154,BF154)</f>
        <v/>
      </c>
      <c r="BI154" s="208">
        <f>SUMIFS(領用表!$L:$L,領用表!$E:$E,$B154,領用表!$B:$B,BI$2&amp;$BI$1)</f>
        <v/>
      </c>
      <c r="BJ154" s="208">
        <f>SUMIFS(領用表!$L:$L,領用表!$E:$E,$B154,領用表!$B:$B,BJ$2&amp;$BI$1)</f>
        <v/>
      </c>
      <c r="BK154" s="208">
        <f>SUMIFS(領用表!$L:$L,領用表!$E:$E,$B154,領用表!$B:$B,BK$2&amp;$BI$1)</f>
        <v/>
      </c>
      <c r="BL154" s="208">
        <f>SUMIFS(領用表!$L:$L,領用表!$E:$E,$B154,領用表!$B:$B,BL$2&amp;$BI$1)</f>
        <v/>
      </c>
      <c r="BM154" s="208">
        <f>SUMIFS(領用表!$L:$L,領用表!$E:$E,$B154,領用表!$B:$B,BM$2&amp;$BI$1)</f>
        <v/>
      </c>
      <c r="BN154" s="208" t="n"/>
      <c r="BO154" s="208">
        <f>SUMIFS(領用表!$L:$L,領用表!$E:$E,$B154,領用表!$B:$B,BO$2&amp;$BI$1)</f>
        <v/>
      </c>
      <c r="BP154" s="208">
        <f>SUMIFS(領用表!$L:$L,領用表!$E:$E,$B154,領用表!$B:$B,BP$2&amp;$BI$1)</f>
        <v/>
      </c>
      <c r="BQ154" s="208">
        <f>SUMIFS(領用表!$L:$L,領用表!$E:$E,$B154,領用表!$B:$B,BQ$2&amp;$BI$1)</f>
        <v/>
      </c>
      <c r="BR154" s="208">
        <f>SUMIFS(領用表!$L:$L,領用表!$E:$E,$B154,領用表!$B:$B,BR$2&amp;$BI$1)</f>
        <v/>
      </c>
      <c r="BS154" s="208">
        <f>SUMIFS(領用表!$L:$L,領用表!$E:$E,$B154,領用表!$B:$B,BS$2&amp;$BI$1)</f>
        <v/>
      </c>
      <c r="BT154" s="208">
        <f>SUMIFS(領用表!$L:$L,領用表!$E:$E,$B154,領用表!$B:$B,BT$2&amp;$BI$1)</f>
        <v/>
      </c>
      <c r="BU154" s="208">
        <f>SUM(BI154,BJ154,BK154,BL154,BM154,BN154)</f>
        <v/>
      </c>
      <c r="BV154" s="208">
        <f>AVERAGE(BI154,BJ154,BK154,BL154,BM154,BN154)</f>
        <v/>
      </c>
      <c r="BW154" s="208">
        <f>SUMIF(Summary!B:B,B154,Summary!DZ:DZ)</f>
        <v/>
      </c>
      <c r="BX154" s="258" t="n"/>
      <c r="BY154" s="340" t="n"/>
      <c r="BZ154" s="341" t="n"/>
      <c r="CA154" s="341" t="inlineStr">
        <is>
          <t>288(10/22)</t>
        </is>
      </c>
      <c r="CB154" s="136" t="n"/>
      <c r="CC154" s="136" t="n"/>
    </row>
    <row r="155" ht="15" customFormat="1" customHeight="1" s="118">
      <c r="A155" s="136" t="inlineStr">
        <is>
          <t>DN1AA060002T</t>
        </is>
      </c>
      <c r="B155" s="118" t="n">
        <v>1060001</v>
      </c>
      <c r="C155" s="136" t="inlineStr">
        <is>
          <t>金采賦活保濕精華霜 100ml</t>
        </is>
      </c>
      <c r="D155" s="285" t="n"/>
      <c r="E155" s="198" t="inlineStr">
        <is>
          <t>PCS</t>
        </is>
      </c>
      <c r="F155" s="349" t="n">
        <v>21</v>
      </c>
      <c r="G155" s="349" t="n"/>
      <c r="H155" s="349" t="n"/>
      <c r="I155" s="349" t="n"/>
      <c r="J155" s="349" t="n"/>
      <c r="K155" s="349" t="n"/>
      <c r="L155" s="349" t="n"/>
      <c r="M155" s="283" t="n"/>
      <c r="N155" s="283" t="n"/>
      <c r="O155" s="283" t="n"/>
      <c r="P155" s="283" t="n"/>
      <c r="Q155" s="283" t="n"/>
      <c r="R155" s="283" t="n"/>
      <c r="S155" s="283" t="n"/>
      <c r="T155" s="283" t="n"/>
      <c r="U155" s="283" t="n"/>
      <c r="V155" s="283" t="n"/>
      <c r="W155" s="283" t="n"/>
      <c r="X155" s="283" t="n"/>
      <c r="Y155" s="283" t="n"/>
      <c r="Z155" s="283" t="n"/>
      <c r="AA155" s="283" t="n"/>
      <c r="AB155" s="283" t="n"/>
      <c r="AC155" s="283" t="n"/>
      <c r="AD155" s="283" t="n"/>
      <c r="AE155" s="283" t="n"/>
      <c r="AF155" s="283" t="n"/>
      <c r="AG155" s="201" t="n"/>
      <c r="AH155" s="201" t="n"/>
      <c r="AI155" s="201" t="n"/>
      <c r="AJ155" s="201" t="n"/>
      <c r="AK155" s="201" t="n"/>
      <c r="AL155" s="201" t="n"/>
      <c r="AM155" s="201" t="n"/>
      <c r="AN155" s="201" t="n"/>
      <c r="AO155" s="201" t="n"/>
      <c r="AP155" s="201" t="n"/>
      <c r="AQ155" s="201" t="n"/>
      <c r="AR155" s="201" t="n"/>
      <c r="AS155" s="283">
        <f>SUM(AG155:AR155)</f>
        <v/>
      </c>
      <c r="AT155" s="286">
        <f>AS155/12</f>
        <v/>
      </c>
      <c r="AU155" s="201" t="n">
        <v>10</v>
      </c>
      <c r="AV155" s="201" t="n">
        <v>16</v>
      </c>
      <c r="AW155" s="201" t="n">
        <v>10</v>
      </c>
      <c r="AX155" s="201" t="n">
        <v>20</v>
      </c>
      <c r="AY155" s="201" t="n">
        <v>20</v>
      </c>
      <c r="AZ155" s="203">
        <f>SUMIFS(領用表!$L:$L,領用表!$E:$E,$B155,領用表!$B:$B,AZ$2&amp;$BI$1)</f>
        <v/>
      </c>
      <c r="BA155" s="203">
        <f>SUMIFS(領用表!$L:$L,領用表!$E:$E,$B155,領用表!$B:$B,BA$2&amp;$BI$1)</f>
        <v/>
      </c>
      <c r="BB155" s="203">
        <f>SUMIFS(領用表!$L:$L,領用表!$E:$E,$B155,領用表!$B:$B,BB$2&amp;$BI$1)</f>
        <v/>
      </c>
      <c r="BC155" s="203">
        <f>SUMIFS(領用表!$L:$L,領用表!$E:$E,$B155,領用表!$B:$B,BC$2&amp;$BI$1)</f>
        <v/>
      </c>
      <c r="BD155" s="208">
        <f>SUMIFS(領用表!$L:$L,領用表!$E:$E,$B155,領用表!$B:$B,BD$2&amp;$BI$1)</f>
        <v/>
      </c>
      <c r="BE155" s="208">
        <f>SUMIFS(領用表!$L:$L,領用表!$E:$E,$B155,領用表!$B:$B,BE$2&amp;$BI$1)</f>
        <v/>
      </c>
      <c r="BF155" s="208">
        <f>SUMIFS(領用表!$L:$L,領用表!$E:$E,$B155,領用表!$B:$B,BF$2&amp;$BI$1)</f>
        <v/>
      </c>
      <c r="BG155" s="207">
        <f>SUM(AU155,AV155,AW155,AX155,AY155,AZ155,BA155,BB155,BC155,BD155,BE155,BF155)</f>
        <v/>
      </c>
      <c r="BH155" s="207">
        <f>AVERAGE(AU155,AV155,AW155,AX155,AY155,AZ155,BA155,BB155,BC155,BD155,BE155,BF155)</f>
        <v/>
      </c>
      <c r="BI155" s="208">
        <f>SUMIFS(領用表!$L:$L,領用表!$E:$E,$B155,領用表!$B:$B,BI$2&amp;$BI$1)</f>
        <v/>
      </c>
      <c r="BJ155" s="208">
        <f>SUMIFS(領用表!$L:$L,領用表!$E:$E,$B155,領用表!$B:$B,BJ$2&amp;$BI$1)</f>
        <v/>
      </c>
      <c r="BK155" s="208">
        <f>SUMIFS(領用表!$L:$L,領用表!$E:$E,$B155,領用表!$B:$B,BK$2&amp;$BI$1)</f>
        <v/>
      </c>
      <c r="BL155" s="208">
        <f>SUMIFS(領用表!$L:$L,領用表!$E:$E,$B155,領用表!$B:$B,BL$2&amp;$BI$1)</f>
        <v/>
      </c>
      <c r="BM155" s="208">
        <f>SUMIFS(領用表!$L:$L,領用表!$E:$E,$B155,領用表!$B:$B,BM$2&amp;$BI$1)</f>
        <v/>
      </c>
      <c r="BN155" s="208" t="n"/>
      <c r="BO155" s="208">
        <f>SUMIFS(領用表!$L:$L,領用表!$E:$E,$B155,領用表!$B:$B,BO$2&amp;$BI$1)</f>
        <v/>
      </c>
      <c r="BP155" s="208">
        <f>SUMIFS(領用表!$L:$L,領用表!$E:$E,$B155,領用表!$B:$B,BP$2&amp;$BI$1)</f>
        <v/>
      </c>
      <c r="BQ155" s="208">
        <f>SUMIFS(領用表!$L:$L,領用表!$E:$E,$B155,領用表!$B:$B,BQ$2&amp;$BI$1)</f>
        <v/>
      </c>
      <c r="BR155" s="208">
        <f>SUMIFS(領用表!$L:$L,領用表!$E:$E,$B155,領用表!$B:$B,BR$2&amp;$BI$1)</f>
        <v/>
      </c>
      <c r="BS155" s="208">
        <f>SUMIFS(領用表!$L:$L,領用表!$E:$E,$B155,領用表!$B:$B,BS$2&amp;$BI$1)</f>
        <v/>
      </c>
      <c r="BT155" s="208">
        <f>SUMIFS(領用表!$L:$L,領用表!$E:$E,$B155,領用表!$B:$B,BT$2&amp;$BI$1)</f>
        <v/>
      </c>
      <c r="BU155" s="208">
        <f>SUM(BI155,BJ155,BK155,BL155,BM155,BN155)</f>
        <v/>
      </c>
      <c r="BV155" s="208">
        <f>AVERAGE(BI155,BJ155,BK155,BL155,BM155,BN155)</f>
        <v/>
      </c>
      <c r="BW155" s="208">
        <f>SUMIF(Summary!B:B,B155,Summary!DZ:DZ)</f>
        <v/>
      </c>
      <c r="BX155" s="258" t="n"/>
      <c r="BY155" s="340" t="n"/>
      <c r="BZ155" s="341" t="n"/>
      <c r="CA155" s="341" t="n"/>
      <c r="CB155" s="136" t="n"/>
      <c r="CC155" s="136" t="n"/>
    </row>
    <row r="156" ht="15" customFormat="1" customHeight="1" s="118">
      <c r="A156" s="136" t="inlineStr">
        <is>
          <t>DN1AA060004T</t>
        </is>
      </c>
      <c r="B156" s="118" t="n">
        <v>6070002</v>
      </c>
      <c r="C156" s="136" t="inlineStr">
        <is>
          <t>金采賦活保濕精華霜 30ml</t>
        </is>
      </c>
      <c r="D156" s="285" t="n"/>
      <c r="E156" s="198" t="inlineStr">
        <is>
          <t>PCS</t>
        </is>
      </c>
      <c r="F156" s="349" t="n"/>
      <c r="G156" s="349" t="n"/>
      <c r="H156" s="349" t="n"/>
      <c r="I156" s="349" t="n"/>
      <c r="J156" s="349" t="n"/>
      <c r="K156" s="349" t="n"/>
      <c r="L156" s="349" t="n"/>
      <c r="M156" s="283" t="n"/>
      <c r="N156" s="283" t="n"/>
      <c r="O156" s="283" t="n"/>
      <c r="P156" s="283" t="n"/>
      <c r="Q156" s="283" t="n"/>
      <c r="R156" s="283" t="n"/>
      <c r="S156" s="283" t="n"/>
      <c r="T156" s="283" t="n"/>
      <c r="U156" s="283" t="n"/>
      <c r="V156" s="283" t="n"/>
      <c r="W156" s="283" t="n"/>
      <c r="X156" s="283" t="n"/>
      <c r="Y156" s="283" t="n"/>
      <c r="Z156" s="283" t="n"/>
      <c r="AA156" s="283" t="n"/>
      <c r="AB156" s="283" t="n"/>
      <c r="AC156" s="283" t="n"/>
      <c r="AD156" s="283" t="n"/>
      <c r="AE156" s="283" t="n"/>
      <c r="AF156" s="283" t="n"/>
      <c r="AG156" s="201" t="n"/>
      <c r="AH156" s="201" t="n"/>
      <c r="AI156" s="201" t="n"/>
      <c r="AJ156" s="201" t="n"/>
      <c r="AK156" s="201" t="n"/>
      <c r="AL156" s="201" t="n"/>
      <c r="AM156" s="201" t="n"/>
      <c r="AN156" s="201" t="n"/>
      <c r="AO156" s="201" t="n"/>
      <c r="AP156" s="201" t="n"/>
      <c r="AQ156" s="201" t="n"/>
      <c r="AR156" s="201" t="n"/>
      <c r="AS156" s="347" t="inlineStr">
        <is>
          <t>-</t>
        </is>
      </c>
      <c r="AT156" s="347" t="inlineStr">
        <is>
          <t>-</t>
        </is>
      </c>
      <c r="AU156" s="347" t="inlineStr">
        <is>
          <t>-</t>
        </is>
      </c>
      <c r="AV156" s="347" t="inlineStr">
        <is>
          <t>-</t>
        </is>
      </c>
      <c r="AW156" s="347" t="inlineStr">
        <is>
          <t>-</t>
        </is>
      </c>
      <c r="AX156" s="347" t="inlineStr">
        <is>
          <t>-</t>
        </is>
      </c>
      <c r="AY156" s="201" t="n">
        <v>60</v>
      </c>
      <c r="AZ156" s="203">
        <f>SUMIFS(領用表!$L:$L,領用表!$E:$E,$B156,領用表!$B:$B,AZ$2&amp;$BI$1)</f>
        <v/>
      </c>
      <c r="BA156" s="203">
        <f>SUMIFS(領用表!$L:$L,領用表!$E:$E,$B156,領用表!$B:$B,BA$2&amp;$BI$1)</f>
        <v/>
      </c>
      <c r="BB156" s="203">
        <f>SUMIFS(領用表!$L:$L,領用表!$E:$E,$B156,領用表!$B:$B,BB$2&amp;$BI$1)</f>
        <v/>
      </c>
      <c r="BC156" s="203">
        <f>SUMIFS(領用表!$L:$L,領用表!$E:$E,$B156,領用表!$B:$B,BC$2&amp;$BI$1)</f>
        <v/>
      </c>
      <c r="BD156" s="208">
        <f>SUMIFS(領用表!$L:$L,領用表!$E:$E,$B156,領用表!$B:$B,BD$2&amp;$BI$1)</f>
        <v/>
      </c>
      <c r="BE156" s="208">
        <f>SUMIFS(領用表!$L:$L,領用表!$E:$E,$B156,領用表!$B:$B,BE$2&amp;$BI$1)</f>
        <v/>
      </c>
      <c r="BF156" s="208">
        <f>SUMIFS(領用表!$L:$L,領用表!$E:$E,$B156,領用表!$B:$B,BF$2&amp;$BI$1)</f>
        <v/>
      </c>
      <c r="BG156" s="207">
        <f>SUM(AU156,AV156,AW156,AX156,AY156,AZ156,BA156,BB156,BC156,BD156,BE156,BF156)</f>
        <v/>
      </c>
      <c r="BH156" s="207">
        <f>AVERAGE(AU156,AV156,AW156,AX156,AY156,AZ156,BA156,BB156,BC156,BD156,BE156,BF156)</f>
        <v/>
      </c>
      <c r="BI156" s="208">
        <f>SUMIFS(領用表!$L:$L,領用表!$E:$E,$B156,領用表!$B:$B,BI$2&amp;$BI$1)</f>
        <v/>
      </c>
      <c r="BJ156" s="332">
        <f>SUMIFS(領用表!$L:$L,領用表!$E:$E,$B156,領用表!$B:$B,BJ$2&amp;$BI$1)</f>
        <v/>
      </c>
      <c r="BK156" s="332">
        <f>SUMIFS(領用表!$L:$L,領用表!$E:$E,$B156,領用表!$B:$B,BK$2&amp;$BI$1)</f>
        <v/>
      </c>
      <c r="BL156" s="332">
        <f>SUMIFS(領用表!$L:$L,領用表!$E:$E,$B156,領用表!$B:$B,BL$2&amp;$BI$1)</f>
        <v/>
      </c>
      <c r="BM156" s="332">
        <f>SUMIFS(領用表!$L:$L,領用表!$E:$E,$B156,領用表!$B:$B,BM$2&amp;$BI$1)</f>
        <v/>
      </c>
      <c r="BN156" s="332" t="n"/>
      <c r="BO156" s="332">
        <f>SUMIFS(領用表!$L:$L,領用表!$E:$E,$B156,領用表!$B:$B,BO$2&amp;$BI$1)</f>
        <v/>
      </c>
      <c r="BP156" s="332">
        <f>SUMIFS(領用表!$L:$L,領用表!$E:$E,$B156,領用表!$B:$B,BP$2&amp;$BI$1)</f>
        <v/>
      </c>
      <c r="BQ156" s="332">
        <f>SUMIFS(領用表!$L:$L,領用表!$E:$E,$B156,領用表!$B:$B,BQ$2&amp;$BI$1)</f>
        <v/>
      </c>
      <c r="BR156" s="332">
        <f>SUMIFS(領用表!$L:$L,領用表!$E:$E,$B156,領用表!$B:$B,BR$2&amp;$BI$1)</f>
        <v/>
      </c>
      <c r="BS156" s="332">
        <f>SUMIFS(領用表!$L:$L,領用表!$E:$E,$B156,領用表!$B:$B,BS$2&amp;$BI$1)</f>
        <v/>
      </c>
      <c r="BT156" s="332">
        <f>SUMIFS(領用表!$L:$L,領用表!$E:$E,$B156,領用表!$B:$B,BT$2&amp;$BI$1)</f>
        <v/>
      </c>
      <c r="BU156" s="332">
        <f>SUM(BI156,BJ156,BK156,BL156,BM156,BN156)</f>
        <v/>
      </c>
      <c r="BV156" s="332">
        <f>AVERAGE(BI156,BJ156,BK156,BL156,BM156,BN156)</f>
        <v/>
      </c>
      <c r="BW156" s="332">
        <f>SUMIF(Summary!B:B,B156,Summary!DZ:DZ)</f>
        <v/>
      </c>
      <c r="BX156" s="338" t="n"/>
      <c r="BY156" s="342" t="n"/>
      <c r="BZ156" s="341" t="n"/>
      <c r="CA156" s="341" t="n"/>
      <c r="CB156" s="136" t="n"/>
      <c r="CC156" s="136" t="n"/>
    </row>
    <row r="157" ht="15" customFormat="1" customHeight="1" s="118">
      <c r="A157" s="136" t="inlineStr">
        <is>
          <t>DE1AA050039T</t>
        </is>
      </c>
      <c r="B157" s="118" t="e">
        <v>#N/A</v>
      </c>
      <c r="C157" s="136" t="inlineStr">
        <is>
          <t>緊緻新生彈力精華 10ml</t>
        </is>
      </c>
      <c r="D157" s="285" t="n"/>
      <c r="E157" s="198" t="inlineStr">
        <is>
          <t>PCS</t>
        </is>
      </c>
      <c r="F157" s="349" t="n"/>
      <c r="G157" s="349" t="n"/>
      <c r="H157" s="349" t="n"/>
      <c r="I157" s="349" t="n"/>
      <c r="J157" s="349" t="n"/>
      <c r="K157" s="349" t="n"/>
      <c r="L157" s="349" t="n"/>
      <c r="M157" s="283" t="n"/>
      <c r="N157" s="283" t="n"/>
      <c r="O157" s="283" t="n"/>
      <c r="P157" s="283" t="n"/>
      <c r="Q157" s="283" t="n"/>
      <c r="R157" s="283" t="n"/>
      <c r="S157" s="283" t="n"/>
      <c r="T157" s="283" t="n"/>
      <c r="U157" s="283" t="n"/>
      <c r="V157" s="283" t="n"/>
      <c r="W157" s="283" t="n"/>
      <c r="X157" s="283" t="n"/>
      <c r="Y157" s="283" t="n"/>
      <c r="Z157" s="283" t="n"/>
      <c r="AA157" s="283" t="n"/>
      <c r="AB157" s="283" t="n"/>
      <c r="AC157" s="283" t="n"/>
      <c r="AD157" s="283" t="n"/>
      <c r="AE157" s="283" t="n"/>
      <c r="AF157" s="283" t="n"/>
      <c r="AG157" s="201" t="n"/>
      <c r="AH157" s="201" t="n"/>
      <c r="AI157" s="201" t="n"/>
      <c r="AJ157" s="201" t="n"/>
      <c r="AK157" s="201" t="n"/>
      <c r="AL157" s="201" t="n"/>
      <c r="AM157" s="201" t="n"/>
      <c r="AN157" s="201" t="n"/>
      <c r="AO157" s="201" t="n"/>
      <c r="AP157" s="201" t="n"/>
      <c r="AQ157" s="201" t="n"/>
      <c r="AR157" s="201" t="n"/>
      <c r="AS157" s="333" t="n"/>
      <c r="AT157" s="337" t="n"/>
      <c r="AU157" s="292" t="n"/>
      <c r="AV157" s="292" t="n"/>
      <c r="AW157" s="292" t="n"/>
      <c r="AX157" s="292" t="n"/>
      <c r="AY157" s="201" t="n"/>
      <c r="AZ157" s="203">
        <f>SUMIFS(領用表!$L:$L,領用表!$E:$E,$B157,領用表!$B:$B,AZ$2&amp;$BI$1)</f>
        <v/>
      </c>
      <c r="BA157" s="203">
        <f>SUMIFS(領用表!$L:$L,領用表!$E:$E,$B157,領用表!$B:$B,BA$2&amp;$BI$1)</f>
        <v/>
      </c>
      <c r="BB157" s="203">
        <f>SUMIFS(領用表!$L:$L,領用表!$E:$E,$B157,領用表!$B:$B,BB$2&amp;$BI$1)</f>
        <v/>
      </c>
      <c r="BC157" s="203">
        <f>SUMIFS(領用表!$L:$L,領用表!$E:$E,$B157,領用表!$B:$B,BC$2&amp;$BI$1)</f>
        <v/>
      </c>
      <c r="BD157" s="208">
        <f>SUMIFS(領用表!$L:$L,領用表!$E:$E,$B157,領用表!$B:$B,BD$2&amp;$BI$1)</f>
        <v/>
      </c>
      <c r="BE157" s="208">
        <f>SUMIFS(領用表!$L:$L,領用表!$E:$E,$B157,領用表!$B:$B,BE$2&amp;$BI$1)</f>
        <v/>
      </c>
      <c r="BF157" s="208">
        <f>SUMIFS(領用表!$L:$L,領用表!$E:$E,$B157,領用表!$B:$B,BF$2&amp;$BI$1)</f>
        <v/>
      </c>
      <c r="BG157" s="207">
        <f>SUM(AU157,AV157,AW157,AX157,AY157,AZ157,BA157,BB157,BC157,BD157,BE157,BF157)</f>
        <v/>
      </c>
      <c r="BH157" s="207">
        <f>AVERAGE(AU157,AV157,AW157,AX157,AY157,AZ157,BA157,BB157,BC157,BD157,BE157,BF157)</f>
        <v/>
      </c>
      <c r="BI157" s="208">
        <f>SUMIFS(領用表!$L:$L,領用表!$E:$E,$B157,領用表!$B:$B,BI$2&amp;$BI$1)</f>
        <v/>
      </c>
      <c r="BJ157" s="332">
        <f>SUMIFS(領用表!$L:$L,領用表!$E:$E,$B157,領用表!$B:$B,BJ$2&amp;$BI$1)</f>
        <v/>
      </c>
      <c r="BK157" s="332">
        <f>SUMIFS(領用表!$L:$L,領用表!$E:$E,$B157,領用表!$B:$B,BK$2&amp;$BI$1)</f>
        <v/>
      </c>
      <c r="BL157" s="332">
        <f>SUMIFS(領用表!$L:$L,領用表!$E:$E,$B157,領用表!$B:$B,BL$2&amp;$BI$1)</f>
        <v/>
      </c>
      <c r="BM157" s="332">
        <f>SUMIFS(領用表!$L:$L,領用表!$E:$E,$B157,領用表!$B:$B,BM$2&amp;$BI$1)</f>
        <v/>
      </c>
      <c r="BN157" s="332">
        <f>SUMIFS(領用表!$L:$L,領用表!$E:$E,$B157,領用表!$B:$B,BN$2&amp;$BI$1)</f>
        <v/>
      </c>
      <c r="BO157" s="332">
        <f>SUMIFS(領用表!$L:$L,領用表!$E:$E,$B157,領用表!$B:$B,BO$2&amp;$BI$1)</f>
        <v/>
      </c>
      <c r="BP157" s="332">
        <f>SUMIFS(領用表!$L:$L,領用表!$E:$E,$B157,領用表!$B:$B,BP$2&amp;$BI$1)</f>
        <v/>
      </c>
      <c r="BQ157" s="332">
        <f>SUMIFS(領用表!$L:$L,領用表!$E:$E,$B157,領用表!$B:$B,BQ$2&amp;$BI$1)</f>
        <v/>
      </c>
      <c r="BR157" s="332">
        <f>SUMIFS(領用表!$L:$L,領用表!$E:$E,$B157,領用表!$B:$B,BR$2&amp;$BI$1)</f>
        <v/>
      </c>
      <c r="BS157" s="332">
        <f>SUMIFS(領用表!$L:$L,領用表!$E:$E,$B157,領用表!$B:$B,BS$2&amp;$BI$1)</f>
        <v/>
      </c>
      <c r="BT157" s="332">
        <f>SUMIFS(領用表!$L:$L,領用表!$E:$E,$B157,領用表!$B:$B,BT$2&amp;$BI$1)</f>
        <v/>
      </c>
      <c r="BU157" s="332">
        <f>SUM(BI157,BJ157,BK157,BL157,BM157,BN157)</f>
        <v/>
      </c>
      <c r="BV157" s="332">
        <f>AVERAGE(BI157,BJ157,BK157,BL157,BM157,BN157)</f>
        <v/>
      </c>
      <c r="BW157" s="332">
        <f>SUMIF(Summary!B:B,B157,Summary!DZ:DZ)</f>
        <v/>
      </c>
      <c r="BX157" s="338" t="n"/>
      <c r="BY157" s="342" t="n"/>
      <c r="BZ157" s="341" t="inlineStr">
        <is>
          <t>576(10/22)</t>
        </is>
      </c>
      <c r="CA157" s="341" t="n"/>
      <c r="CB157" s="136" t="n"/>
      <c r="CC157" s="136" t="n"/>
    </row>
    <row r="158" ht="15" customFormat="1" customHeight="1" s="118">
      <c r="A158" s="136" t="inlineStr">
        <is>
          <t>DE1AA090014T</t>
        </is>
      </c>
      <c r="B158" s="118" t="e">
        <v>#N/A</v>
      </c>
      <c r="C158" s="136" t="inlineStr">
        <is>
          <t>緊緻抗皺彈力面膜 30mL</t>
        </is>
      </c>
      <c r="D158" s="285" t="n"/>
      <c r="E158" s="198" t="inlineStr">
        <is>
          <t>PCS</t>
        </is>
      </c>
      <c r="F158" s="349" t="n"/>
      <c r="G158" s="349" t="n"/>
      <c r="H158" s="349" t="n"/>
      <c r="I158" s="349" t="n"/>
      <c r="J158" s="349" t="n"/>
      <c r="K158" s="349" t="n"/>
      <c r="L158" s="349" t="n"/>
      <c r="M158" s="283" t="n"/>
      <c r="N158" s="283" t="n"/>
      <c r="O158" s="283" t="n"/>
      <c r="P158" s="283" t="n"/>
      <c r="Q158" s="283" t="n"/>
      <c r="R158" s="283" t="n"/>
      <c r="S158" s="283" t="n"/>
      <c r="T158" s="283" t="n"/>
      <c r="U158" s="283" t="n"/>
      <c r="V158" s="283" t="n"/>
      <c r="W158" s="283" t="n"/>
      <c r="X158" s="283" t="n"/>
      <c r="Y158" s="283" t="n"/>
      <c r="Z158" s="283" t="n"/>
      <c r="AA158" s="283" t="n"/>
      <c r="AB158" s="283" t="n"/>
      <c r="AC158" s="283" t="n"/>
      <c r="AD158" s="283" t="n"/>
      <c r="AE158" s="283" t="n"/>
      <c r="AF158" s="283" t="n"/>
      <c r="AG158" s="201" t="n"/>
      <c r="AH158" s="201" t="n"/>
      <c r="AI158" s="201" t="n"/>
      <c r="AJ158" s="201" t="n"/>
      <c r="AK158" s="201" t="n"/>
      <c r="AL158" s="201" t="n"/>
      <c r="AM158" s="201" t="n"/>
      <c r="AN158" s="201" t="n"/>
      <c r="AO158" s="201" t="n"/>
      <c r="AP158" s="201" t="n"/>
      <c r="AQ158" s="201" t="n"/>
      <c r="AR158" s="201" t="n"/>
      <c r="AS158" s="333" t="n"/>
      <c r="AT158" s="337" t="n"/>
      <c r="AU158" s="292" t="n"/>
      <c r="AV158" s="292" t="n"/>
      <c r="AW158" s="292" t="n"/>
      <c r="AX158" s="292" t="n"/>
      <c r="AY158" s="201" t="n"/>
      <c r="AZ158" s="203">
        <f>SUMIFS(領用表!$L:$L,領用表!$E:$E,$B158,領用表!$B:$B,AZ$2&amp;$BI$1)</f>
        <v/>
      </c>
      <c r="BA158" s="203">
        <f>SUMIFS(領用表!$L:$L,領用表!$E:$E,$B158,領用表!$B:$B,BA$2&amp;$BI$1)</f>
        <v/>
      </c>
      <c r="BB158" s="203">
        <f>SUMIFS(領用表!$L:$L,領用表!$E:$E,$B158,領用表!$B:$B,BB$2&amp;$BI$1)</f>
        <v/>
      </c>
      <c r="BC158" s="203">
        <f>SUMIFS(領用表!$L:$L,領用表!$E:$E,$B158,領用表!$B:$B,BC$2&amp;$BI$1)</f>
        <v/>
      </c>
      <c r="BD158" s="208">
        <f>SUMIFS(領用表!$L:$L,領用表!$E:$E,$B158,領用表!$B:$B,BD$2&amp;$BI$1)</f>
        <v/>
      </c>
      <c r="BE158" s="208">
        <f>SUMIFS(領用表!$L:$L,領用表!$E:$E,$B158,領用表!$B:$B,BE$2&amp;$BI$1)</f>
        <v/>
      </c>
      <c r="BF158" s="208">
        <f>SUMIFS(領用表!$L:$L,領用表!$E:$E,$B158,領用表!$B:$B,BF$2&amp;$BI$1)</f>
        <v/>
      </c>
      <c r="BG158" s="207">
        <f>SUM(AU158,AV158,AW158,AX158,AY158,AZ158,BA158,BB158,BC158,BD158,BE158,BF158)</f>
        <v/>
      </c>
      <c r="BH158" s="207">
        <f>AVERAGE(AU158,AV158,AW158,AX158,AY158,AZ158,BA158,BB158,BC158,BD158,BE158,BF158)</f>
        <v/>
      </c>
      <c r="BI158" s="208">
        <f>SUMIFS(領用表!$L:$L,領用表!$E:$E,$B158,領用表!$B:$B,BI$2&amp;$BI$1)</f>
        <v/>
      </c>
      <c r="BJ158" s="332">
        <f>SUMIFS(領用表!$L:$L,領用表!$E:$E,$B158,領用表!$B:$B,BJ$2&amp;$BI$1)</f>
        <v/>
      </c>
      <c r="BK158" s="332">
        <f>SUMIFS(領用表!$L:$L,領用表!$E:$E,$B158,領用表!$B:$B,BK$2&amp;$BI$1)</f>
        <v/>
      </c>
      <c r="BL158" s="332">
        <f>SUMIFS(領用表!$L:$L,領用表!$E:$E,$B158,領用表!$B:$B,BL$2&amp;$BI$1)</f>
        <v/>
      </c>
      <c r="BM158" s="332">
        <f>SUMIFS(領用表!$L:$L,領用表!$E:$E,$B158,領用表!$B:$B,BM$2&amp;$BI$1)</f>
        <v/>
      </c>
      <c r="BN158" s="332">
        <f>SUMIFS(領用表!$L:$L,領用表!$E:$E,$B158,領用表!$B:$B,BN$2&amp;$BI$1)</f>
        <v/>
      </c>
      <c r="BO158" s="332">
        <f>SUMIFS(領用表!$L:$L,領用表!$E:$E,$B158,領用表!$B:$B,BO$2&amp;$BI$1)</f>
        <v/>
      </c>
      <c r="BP158" s="332">
        <f>SUMIFS(領用表!$L:$L,領用表!$E:$E,$B158,領用表!$B:$B,BP$2&amp;$BI$1)</f>
        <v/>
      </c>
      <c r="BQ158" s="332">
        <f>SUMIFS(領用表!$L:$L,領用表!$E:$E,$B158,領用表!$B:$B,BQ$2&amp;$BI$1)</f>
        <v/>
      </c>
      <c r="BR158" s="332">
        <f>SUMIFS(領用表!$L:$L,領用表!$E:$E,$B158,領用表!$B:$B,BR$2&amp;$BI$1)</f>
        <v/>
      </c>
      <c r="BS158" s="332">
        <f>SUMIFS(領用表!$L:$L,領用表!$E:$E,$B158,領用表!$B:$B,BS$2&amp;$BI$1)</f>
        <v/>
      </c>
      <c r="BT158" s="332">
        <f>SUMIFS(領用表!$L:$L,領用表!$E:$E,$B158,領用表!$B:$B,BT$2&amp;$BI$1)</f>
        <v/>
      </c>
      <c r="BU158" s="332">
        <f>SUM(BI158,BJ158,BK158,BL158,BM158,BN158)</f>
        <v/>
      </c>
      <c r="BV158" s="332">
        <f>AVERAGE(BI158,BJ158,BK158,BL158,BM158,BN158)</f>
        <v/>
      </c>
      <c r="BW158" s="332">
        <f>SUMIF(Summary!B:B,B158,Summary!DZ:DZ)</f>
        <v/>
      </c>
      <c r="BX158" s="338" t="n"/>
      <c r="BY158" s="342" t="n"/>
      <c r="BZ158" s="341" t="inlineStr">
        <is>
          <t>600(10/22)</t>
        </is>
      </c>
      <c r="CA158" s="341" t="n"/>
      <c r="CB158" s="136" t="n"/>
      <c r="CC158" s="136" t="n"/>
    </row>
    <row r="159" ht="15" customFormat="1" customHeight="1" s="118">
      <c r="A159" s="136" t="inlineStr">
        <is>
          <t>TN1AA060003T</t>
        </is>
      </c>
      <c r="B159" s="118" t="n">
        <v>6060001</v>
      </c>
      <c r="C159" s="136" t="inlineStr">
        <is>
          <t>試用-金采賦活保濕精華霜 100ml</t>
        </is>
      </c>
      <c r="D159" s="285" t="n"/>
      <c r="E159" s="198" t="inlineStr">
        <is>
          <t>PCS</t>
        </is>
      </c>
      <c r="F159" s="349" t="n"/>
      <c r="G159" s="349" t="n"/>
      <c r="H159" s="349" t="n"/>
      <c r="I159" s="349" t="n"/>
      <c r="J159" s="349" t="n"/>
      <c r="K159" s="349" t="n"/>
      <c r="L159" s="349" t="n"/>
      <c r="M159" s="283" t="n"/>
      <c r="N159" s="283" t="n"/>
      <c r="O159" s="283" t="n"/>
      <c r="P159" s="283" t="n"/>
      <c r="Q159" s="283" t="n"/>
      <c r="R159" s="283" t="n"/>
      <c r="S159" s="283" t="n"/>
      <c r="T159" s="283" t="n"/>
      <c r="U159" s="283" t="n"/>
      <c r="V159" s="283" t="n"/>
      <c r="W159" s="283" t="n"/>
      <c r="X159" s="283" t="n"/>
      <c r="Y159" s="283" t="n"/>
      <c r="Z159" s="283" t="n"/>
      <c r="AA159" s="283" t="n"/>
      <c r="AB159" s="283" t="n"/>
      <c r="AC159" s="283" t="n"/>
      <c r="AD159" s="283" t="n"/>
      <c r="AE159" s="283" t="n"/>
      <c r="AF159" s="283" t="n"/>
      <c r="AG159" s="201" t="n"/>
      <c r="AH159" s="201" t="n"/>
      <c r="AI159" s="201" t="n"/>
      <c r="AJ159" s="201" t="n"/>
      <c r="AK159" s="201" t="n"/>
      <c r="AL159" s="201" t="n"/>
      <c r="AM159" s="201" t="n"/>
      <c r="AN159" s="201" t="n">
        <v>5</v>
      </c>
      <c r="AO159" s="201" t="n">
        <v>0</v>
      </c>
      <c r="AP159" s="201" t="n">
        <v>5</v>
      </c>
      <c r="AQ159" s="201" t="n">
        <v>7</v>
      </c>
      <c r="AR159" s="201" t="n">
        <v>0</v>
      </c>
      <c r="AS159" s="283">
        <f>SUM(AG159:AR159)</f>
        <v/>
      </c>
      <c r="AT159" s="286">
        <f>AS159/12</f>
        <v/>
      </c>
      <c r="AU159" s="201" t="n">
        <v>10</v>
      </c>
      <c r="AV159" s="201" t="n">
        <v>16</v>
      </c>
      <c r="AW159" s="201" t="n">
        <v>10</v>
      </c>
      <c r="AX159" s="201" t="n">
        <v>0</v>
      </c>
      <c r="AY159" s="201" t="n">
        <v>0</v>
      </c>
      <c r="AZ159" s="203">
        <f>SUMIFS(領用表!$L:$L,領用表!$E:$E,$B159,領用表!$B:$B,AZ$2&amp;$BI$1)</f>
        <v/>
      </c>
      <c r="BA159" s="203">
        <f>SUMIFS(領用表!$L:$L,領用表!$E:$E,$B159,領用表!$B:$B,BA$2&amp;$BI$1)</f>
        <v/>
      </c>
      <c r="BB159" s="203">
        <f>SUMIFS(領用表!$L:$L,領用表!$E:$E,$B159,領用表!$B:$B,BB$2&amp;$BI$1)</f>
        <v/>
      </c>
      <c r="BC159" s="203">
        <f>SUMIFS(領用表!$L:$L,領用表!$E:$E,$B159,領用表!$B:$B,BC$2&amp;$BI$1)</f>
        <v/>
      </c>
      <c r="BD159" s="208">
        <f>SUMIFS(領用表!$L:$L,領用表!$E:$E,$B159,領用表!$B:$B,BD$2&amp;$BI$1)</f>
        <v/>
      </c>
      <c r="BE159" s="208">
        <f>SUMIFS(領用表!$L:$L,領用表!$E:$E,$B159,領用表!$B:$B,BE$2&amp;$BI$1)</f>
        <v/>
      </c>
      <c r="BF159" s="208">
        <f>SUMIFS(領用表!$L:$L,領用表!$E:$E,$B159,領用表!$B:$B,BF$2&amp;$BI$1)</f>
        <v/>
      </c>
      <c r="BG159" s="207">
        <f>SUM(AU159,AV159,AW159,AX159,AY159,AZ159,BA159,BB159,BC159,BD159,BE159,BF159)</f>
        <v/>
      </c>
      <c r="BH159" s="207">
        <f>AVERAGE(AU159,AV159,AW159,AX159,AY159,AZ159,BA159,BB159,BC159,BD159,BE159,BF159)</f>
        <v/>
      </c>
      <c r="BI159" s="208">
        <f>SUMIFS(領用表!$L:$L,領用表!$E:$E,$B159,領用表!$B:$B,BI$2&amp;$BI$1)</f>
        <v/>
      </c>
      <c r="BJ159" s="208">
        <f>SUMIFS(領用表!$L:$L,領用表!$E:$E,$B159,領用表!$B:$B,BJ$2&amp;$BI$1)</f>
        <v/>
      </c>
      <c r="BK159" s="208">
        <f>SUMIFS(領用表!$L:$L,領用表!$E:$E,$B159,領用表!$B:$B,BK$2&amp;$BI$1)</f>
        <v/>
      </c>
      <c r="BL159" s="208">
        <f>SUMIFS(領用表!$L:$L,領用表!$E:$E,$B159,領用表!$B:$B,BL$2&amp;$BI$1)</f>
        <v/>
      </c>
      <c r="BM159" s="208">
        <f>SUMIFS(領用表!$L:$L,領用表!$E:$E,$B159,領用表!$B:$B,BM$2&amp;$BI$1)</f>
        <v/>
      </c>
      <c r="BN159" s="208" t="n"/>
      <c r="BO159" s="208">
        <f>SUMIFS(領用表!$L:$L,領用表!$E:$E,$B159,領用表!$B:$B,BO$2&amp;$BI$1)</f>
        <v/>
      </c>
      <c r="BP159" s="208">
        <f>SUMIFS(領用表!$L:$L,領用表!$E:$E,$B159,領用表!$B:$B,BP$2&amp;$BI$1)</f>
        <v/>
      </c>
      <c r="BQ159" s="208">
        <f>SUMIFS(領用表!$L:$L,領用表!$E:$E,$B159,領用表!$B:$B,BQ$2&amp;$BI$1)</f>
        <v/>
      </c>
      <c r="BR159" s="208">
        <f>SUMIFS(領用表!$L:$L,領用表!$E:$E,$B159,領用表!$B:$B,BR$2&amp;$BI$1)</f>
        <v/>
      </c>
      <c r="BS159" s="208">
        <f>SUMIFS(領用表!$L:$L,領用表!$E:$E,$B159,領用表!$B:$B,BS$2&amp;$BI$1)</f>
        <v/>
      </c>
      <c r="BT159" s="208">
        <f>SUMIFS(領用表!$L:$L,領用表!$E:$E,$B159,領用表!$B:$B,BT$2&amp;$BI$1)</f>
        <v/>
      </c>
      <c r="BU159" s="208">
        <f>SUM(BI159,BJ159,BK159,BL159,BM159,BN159)</f>
        <v/>
      </c>
      <c r="BV159" s="208">
        <f>AVERAGE(BI159,BJ159,BK159,BL159,BM159,BN159)</f>
        <v/>
      </c>
      <c r="BW159" s="208">
        <f>SUMIF(Summary!B:B,B159,Summary!DZ:DZ)</f>
        <v/>
      </c>
      <c r="BX159" s="258" t="n"/>
      <c r="BY159" s="340" t="n"/>
      <c r="BZ159" s="341" t="inlineStr">
        <is>
          <t>16(10/22)</t>
        </is>
      </c>
      <c r="CA159" s="341" t="n"/>
      <c r="CB159" s="136" t="n"/>
      <c r="CC159" s="136" t="n"/>
    </row>
    <row r="160" ht="15.75" customFormat="1" customHeight="1" s="118">
      <c r="A160" s="136" t="inlineStr">
        <is>
          <t>DN1AA200005T</t>
        </is>
      </c>
      <c r="B160" s="118" t="n">
        <v>6230002</v>
      </c>
      <c r="C160" s="136" t="inlineStr">
        <is>
          <t>無瑕清透防護霜 30mL(潤色)</t>
        </is>
      </c>
      <c r="D160" s="285" t="n"/>
      <c r="E160" s="198" t="inlineStr">
        <is>
          <t>PCS</t>
        </is>
      </c>
      <c r="F160" s="349" t="n">
        <v>50</v>
      </c>
      <c r="G160" s="349" t="n"/>
      <c r="H160" s="349" t="n"/>
      <c r="I160" s="349" t="n"/>
      <c r="J160" s="349" t="n"/>
      <c r="K160" s="349" t="n"/>
      <c r="L160" s="349" t="n"/>
      <c r="M160" s="283" t="n"/>
      <c r="N160" s="283" t="n"/>
      <c r="O160" s="283" t="n"/>
      <c r="P160" s="283" t="n"/>
      <c r="Q160" s="283" t="n"/>
      <c r="R160" s="283" t="n"/>
      <c r="S160" s="283" t="n"/>
      <c r="T160" s="283" t="n"/>
      <c r="U160" s="283" t="n"/>
      <c r="V160" s="283" t="n"/>
      <c r="W160" s="283" t="n"/>
      <c r="X160" s="283" t="n"/>
      <c r="Y160" s="283" t="n"/>
      <c r="Z160" s="283" t="n"/>
      <c r="AA160" s="283" t="n"/>
      <c r="AB160" s="283" t="n"/>
      <c r="AC160" s="283" t="n"/>
      <c r="AD160" s="283" t="n"/>
      <c r="AE160" s="283" t="n"/>
      <c r="AF160" s="283" t="n"/>
      <c r="AG160" s="201" t="n"/>
      <c r="AH160" s="201" t="n"/>
      <c r="AI160" s="201" t="n"/>
      <c r="AJ160" s="201" t="n"/>
      <c r="AK160" s="201" t="n"/>
      <c r="AL160" s="201" t="n"/>
      <c r="AM160" s="201" t="n"/>
      <c r="AN160" s="201" t="n">
        <v>0</v>
      </c>
      <c r="AO160" s="201" t="n">
        <v>0</v>
      </c>
      <c r="AP160" s="201" t="n">
        <v>0</v>
      </c>
      <c r="AQ160" s="201" t="n">
        <v>0</v>
      </c>
      <c r="AR160" s="201" t="n">
        <v>0</v>
      </c>
      <c r="AS160" s="283">
        <f>SUM(AG160:AR160)</f>
        <v/>
      </c>
      <c r="AT160" s="286">
        <f>AS160/12</f>
        <v/>
      </c>
      <c r="AU160" s="201" t="n">
        <v>0</v>
      </c>
      <c r="AV160" s="201" t="n">
        <v>80</v>
      </c>
      <c r="AW160" s="201" t="n">
        <v>0</v>
      </c>
      <c r="AX160" s="201" t="n">
        <v>0</v>
      </c>
      <c r="AY160" s="201" t="n">
        <v>0</v>
      </c>
      <c r="AZ160" s="203">
        <f>SUMIFS(領用表!$L:$L,領用表!$E:$E,$B160,領用表!$B:$B,AZ$2&amp;$BI$1)</f>
        <v/>
      </c>
      <c r="BA160" s="203">
        <f>SUMIFS(領用表!$L:$L,領用表!$E:$E,$B160,領用表!$B:$B,BA$2&amp;$BI$1)</f>
        <v/>
      </c>
      <c r="BB160" s="203">
        <f>SUMIFS(領用表!$L:$L,領用表!$E:$E,$B160,領用表!$B:$B,BB$2&amp;$BI$1)</f>
        <v/>
      </c>
      <c r="BC160" s="203">
        <f>SUMIFS(領用表!$L:$L,領用表!$E:$E,$B160,領用表!$B:$B,BC$2&amp;$BI$1)</f>
        <v/>
      </c>
      <c r="BD160" s="208">
        <f>SUMIFS(領用表!$L:$L,領用表!$E:$E,$B160,領用表!$B:$B,BD$2&amp;$BI$1)</f>
        <v/>
      </c>
      <c r="BE160" s="208">
        <f>SUMIFS(領用表!$L:$L,領用表!$E:$E,$B160,領用表!$B:$B,BE$2&amp;$BI$1)</f>
        <v/>
      </c>
      <c r="BF160" s="208">
        <f>SUMIFS(領用表!$L:$L,領用表!$E:$E,$B160,領用表!$B:$B,BF$2&amp;$BI$1)</f>
        <v/>
      </c>
      <c r="BG160" s="207">
        <f>SUM(AU160,AV160,AW160,AX160,AY160,AZ160,BA160,BB160,BC160,BD160,BE160,BF160)</f>
        <v/>
      </c>
      <c r="BH160" s="207">
        <f>AVERAGE(AU160,AV160,AW160,AX160,AY160,AZ160,BA160,BB160,BC160,BD160,BE160,BF160)</f>
        <v/>
      </c>
      <c r="BI160" s="208">
        <f>SUMIFS(領用表!$L:$L,領用表!$E:$E,$B160,領用表!$B:$B,BI$2&amp;$BI$1)</f>
        <v/>
      </c>
      <c r="BJ160" s="208">
        <f>SUMIFS(領用表!$L:$L,領用表!$E:$E,$B160,領用表!$B:$B,BJ$2&amp;$BI$1)</f>
        <v/>
      </c>
      <c r="BK160" s="208">
        <f>SUMIFS(領用表!$L:$L,領用表!$E:$E,$B160,領用表!$B:$B,BK$2&amp;$BI$1)</f>
        <v/>
      </c>
      <c r="BL160" s="208">
        <f>SUMIFS(領用表!$L:$L,領用表!$E:$E,$B160,領用表!$B:$B,BL$2&amp;$BI$1)</f>
        <v/>
      </c>
      <c r="BM160" s="208">
        <f>SUMIFS(領用表!$L:$L,領用表!$E:$E,$B160,領用表!$B:$B,BM$2&amp;$BI$1)</f>
        <v/>
      </c>
      <c r="BN160" s="208">
        <f>SUMIFS(領用表!$L:$L,領用表!$E:$E,$B160,領用表!$B:$B,BN$2&amp;$BI$1)</f>
        <v/>
      </c>
      <c r="BO160" s="208">
        <f>SUMIFS(領用表!$L:$L,領用表!$E:$E,$B160,領用表!$B:$B,BO$2&amp;$BI$1)</f>
        <v/>
      </c>
      <c r="BP160" s="208">
        <f>SUMIFS(領用表!$L:$L,領用表!$E:$E,$B160,領用表!$B:$B,BP$2&amp;$BI$1)</f>
        <v/>
      </c>
      <c r="BQ160" s="208">
        <f>SUMIFS(領用表!$L:$L,領用表!$E:$E,$B160,領用表!$B:$B,BQ$2&amp;$BI$1)</f>
        <v/>
      </c>
      <c r="BR160" s="208">
        <f>SUMIFS(領用表!$L:$L,領用表!$E:$E,$B160,領用表!$B:$B,BR$2&amp;$BI$1)</f>
        <v/>
      </c>
      <c r="BS160" s="208">
        <f>SUMIFS(領用表!$L:$L,領用表!$E:$E,$B160,領用表!$B:$B,BS$2&amp;$BI$1)</f>
        <v/>
      </c>
      <c r="BT160" s="208">
        <f>SUMIFS(領用表!$L:$L,領用表!$E:$E,$B160,領用表!$B:$B,BT$2&amp;$BI$1)</f>
        <v/>
      </c>
      <c r="BU160" s="208">
        <f>SUM(BI160,BJ160,BK160,BL160,BM160,BN160)</f>
        <v/>
      </c>
      <c r="BV160" s="208">
        <f>AVERAGE(BI160,BJ160,BK160,BL160,BM160,BN160)</f>
        <v/>
      </c>
      <c r="BW160" s="208">
        <f>SUMIF(Summary!B:B,B160,Summary!DZ:DZ)</f>
        <v/>
      </c>
      <c r="BX160" s="258" t="n"/>
      <c r="BY160" s="340" t="n"/>
      <c r="BZ160" s="341" t="n"/>
      <c r="CA160" s="341" t="n"/>
      <c r="CB160" s="136" t="n"/>
      <c r="CC160" s="136" t="n"/>
    </row>
    <row r="161" hidden="1" ht="15.75" customFormat="1" customHeight="1" s="118">
      <c r="A161" s="136" t="inlineStr">
        <is>
          <t>DN1AA030002T</t>
        </is>
      </c>
      <c r="B161" s="118" t="e">
        <v>#N/A</v>
      </c>
      <c r="C161" s="136" t="inlineStr">
        <is>
          <t>亮采金球去角質凝膠 100ml (2015年版)</t>
        </is>
      </c>
      <c r="D161" s="285" t="n"/>
      <c r="E161" s="198" t="inlineStr">
        <is>
          <t>PCS</t>
        </is>
      </c>
      <c r="F161" s="349" t="n"/>
      <c r="G161" s="349" t="n"/>
      <c r="H161" s="349" t="n"/>
      <c r="I161" s="349" t="n"/>
      <c r="J161" s="349" t="n"/>
      <c r="K161" s="349" t="n"/>
      <c r="L161" s="349" t="n"/>
      <c r="AG161" s="348" t="n"/>
      <c r="AH161" s="348" t="n"/>
      <c r="AI161" s="348" t="n"/>
      <c r="AJ161" s="348" t="n"/>
      <c r="AK161" s="348" t="n"/>
      <c r="AL161" s="348" t="n"/>
      <c r="AM161" s="348" t="n"/>
      <c r="AN161" s="201" t="n">
        <v>0</v>
      </c>
      <c r="AO161" s="201" t="n">
        <v>0</v>
      </c>
      <c r="AP161" s="201" t="n">
        <v>0</v>
      </c>
      <c r="AQ161" s="201" t="n">
        <v>0</v>
      </c>
      <c r="AR161" s="201" t="n">
        <v>0</v>
      </c>
      <c r="AS161" s="283">
        <f>SUM(AG161:AR161)</f>
        <v/>
      </c>
      <c r="AT161" s="286">
        <f>AS161/12</f>
        <v/>
      </c>
      <c r="AU161" s="201" t="n">
        <v>0</v>
      </c>
      <c r="AV161" s="201" t="n">
        <v>0</v>
      </c>
      <c r="AW161" s="201" t="n">
        <v>0</v>
      </c>
      <c r="AX161" s="201" t="n">
        <v>0</v>
      </c>
      <c r="AY161" s="201" t="n">
        <v>0</v>
      </c>
      <c r="AZ161" s="203">
        <f>SUMIFS(領用表!$L:$L,領用表!$E:$E,$B161,領用表!$B:$B,AZ$2&amp;$BI$1)</f>
        <v/>
      </c>
      <c r="BA161" s="203">
        <f>SUMIFS(領用表!$L:$L,領用表!$E:$E,$B161,領用表!$B:$B,BA$2&amp;$BI$1)</f>
        <v/>
      </c>
      <c r="BB161" s="203">
        <f>SUMIFS(領用表!$L:$L,領用表!$E:$E,$B161,領用表!$B:$B,BB$2&amp;$BI$1)</f>
        <v/>
      </c>
      <c r="BC161" s="203">
        <f>SUMIFS(領用表!$L:$L,領用表!$E:$E,$B161,領用表!$B:$B,BC$2&amp;$BI$1)</f>
        <v/>
      </c>
      <c r="BD161" s="208">
        <f>SUMIFS(領用表!$L:$L,領用表!$E:$E,$B161,領用表!$B:$B,BD$2&amp;$BI$1)</f>
        <v/>
      </c>
      <c r="BE161" s="208">
        <f>SUMIFS(領用表!$L:$L,領用表!$E:$E,$B161,領用表!$B:$B,BE$2&amp;$BI$1)</f>
        <v/>
      </c>
      <c r="BF161" s="208">
        <f>SUMIFS(領用表!$L:$L,領用表!$E:$E,$B161,領用表!$B:$B,BF$2&amp;$BI$1)</f>
        <v/>
      </c>
      <c r="BG161" s="207">
        <f>SUM(AU161,AV161,AW161,AX161,AY161,AZ161,BA161,BB161,BC161,BD161,BE161,BF161)</f>
        <v/>
      </c>
      <c r="BH161" s="207">
        <f>AVERAGE(AU161,AV161,AW161,AX161,AY161,AZ161,BA161,BB161,BC161,BD161,BE161,BF161)</f>
        <v/>
      </c>
      <c r="BI161" s="208">
        <f>SUMIFS(領用表!$L:$L,領用表!$E:$E,$B161,領用表!$B:$B,BI$2&amp;$BI$1)</f>
        <v/>
      </c>
      <c r="BJ161" s="208">
        <f>SUMIFS(領用表!$L:$L,領用表!$E:$E,$B161,領用表!$B:$B,BJ$2&amp;$BI$1)</f>
        <v/>
      </c>
      <c r="BK161" s="208">
        <f>SUMIFS(領用表!$L:$L,領用表!$E:$E,$B161,領用表!$B:$B,BK$2&amp;$BI$1)</f>
        <v/>
      </c>
      <c r="BL161" s="208">
        <f>SUMIFS(領用表!$L:$L,領用表!$E:$E,$B161,領用表!$B:$B,BL$2&amp;$BI$1)</f>
        <v/>
      </c>
      <c r="BM161" s="208">
        <f>SUMIFS(領用表!$L:$L,領用表!$E:$E,$B161,領用表!$B:$B,BM$2&amp;$BI$1)</f>
        <v/>
      </c>
      <c r="BN161" s="208">
        <f>SUMIFS(領用表!$L:$L,領用表!$E:$E,$B161,領用表!$B:$B,BN$2&amp;$BI$1)</f>
        <v/>
      </c>
      <c r="BO161" s="208">
        <f>SUMIFS(領用表!$L:$L,領用表!$E:$E,$B161,領用表!$B:$B,BO$2&amp;$BI$1)</f>
        <v/>
      </c>
      <c r="BP161" s="208">
        <f>SUMIFS(領用表!$L:$L,領用表!$E:$E,$B161,領用表!$B:$B,BP$2&amp;$BI$1)</f>
        <v/>
      </c>
      <c r="BQ161" s="208">
        <f>SUMIFS(領用表!$L:$L,領用表!$E:$E,$B161,領用表!$B:$B,BQ$2&amp;$BI$1)</f>
        <v/>
      </c>
      <c r="BR161" s="208">
        <f>SUMIFS(領用表!$L:$L,領用表!$E:$E,$B161,領用表!$B:$B,BR$2&amp;$BI$1)</f>
        <v/>
      </c>
      <c r="BS161" s="208">
        <f>SUMIFS(領用表!$L:$L,領用表!$E:$E,$B161,領用表!$B:$B,BS$2&amp;$BI$1)</f>
        <v/>
      </c>
      <c r="BT161" s="208">
        <f>SUMIFS(領用表!$L:$L,領用表!$E:$E,$B161,領用表!$B:$B,BT$2&amp;$BI$1)</f>
        <v/>
      </c>
      <c r="BU161" s="208">
        <f>SUM(BI161,BJ161,BK161,BL161,BM161,BN161)</f>
        <v/>
      </c>
      <c r="BV161" s="208">
        <f>AVERAGE(BI161,BJ161,BK161,BL161,BM161,BN161)</f>
        <v/>
      </c>
      <c r="BW161" s="208">
        <f>SUMIF(Summary!B:B,B161,Summary!DZ:DZ)</f>
        <v/>
      </c>
      <c r="BX161" s="258" t="n"/>
      <c r="BY161" s="340" t="n"/>
      <c r="BZ161" s="341" t="n"/>
      <c r="CA161" s="341" t="n"/>
    </row>
    <row r="162" hidden="1" ht="15.75" customFormat="1" customHeight="1" s="118">
      <c r="A162" s="136" t="inlineStr">
        <is>
          <t>DN1AA040011T</t>
        </is>
      </c>
      <c r="B162" s="118" t="e">
        <v>#N/A</v>
      </c>
      <c r="C162" s="136" t="inlineStr">
        <is>
          <t>金采極緻晶凍凝露 125ml(升級)</t>
        </is>
      </c>
      <c r="D162" s="285" t="n"/>
      <c r="E162" s="198" t="inlineStr">
        <is>
          <t>PCS</t>
        </is>
      </c>
      <c r="F162" s="349" t="n"/>
      <c r="G162" s="349" t="n"/>
      <c r="H162" s="349" t="n"/>
      <c r="I162" s="349" t="n"/>
      <c r="J162" s="349" t="n"/>
      <c r="K162" s="349" t="n"/>
      <c r="L162" s="349" t="n"/>
      <c r="M162" s="333" t="n"/>
      <c r="N162" s="333" t="n"/>
      <c r="O162" s="333" t="n"/>
      <c r="P162" s="333" t="n"/>
      <c r="Q162" s="333" t="n"/>
      <c r="R162" s="333" t="n"/>
      <c r="S162" s="333" t="n"/>
      <c r="T162" s="333" t="n"/>
      <c r="U162" s="333" t="n"/>
      <c r="V162" s="333" t="n"/>
      <c r="W162" s="333" t="n"/>
      <c r="X162" s="333" t="n"/>
      <c r="Y162" s="333" t="n"/>
      <c r="Z162" s="333" t="n"/>
      <c r="AA162" s="333" t="n"/>
      <c r="AB162" s="333" t="n"/>
      <c r="AC162" s="333" t="n"/>
      <c r="AD162" s="333" t="n"/>
      <c r="AE162" s="333" t="n"/>
      <c r="AF162" s="333" t="n"/>
      <c r="AG162" s="292" t="n"/>
      <c r="AH162" s="292" t="n"/>
      <c r="AI162" s="292" t="n"/>
      <c r="AJ162" s="292" t="n"/>
      <c r="AK162" s="292" t="n"/>
      <c r="AL162" s="292" t="n"/>
      <c r="AM162" s="292" t="n"/>
      <c r="AN162" s="201" t="n">
        <v>0</v>
      </c>
      <c r="AO162" s="201" t="n">
        <v>0</v>
      </c>
      <c r="AP162" s="201" t="n">
        <v>0</v>
      </c>
      <c r="AQ162" s="201" t="n">
        <v>0</v>
      </c>
      <c r="AR162" s="201" t="n">
        <v>0</v>
      </c>
      <c r="AS162" s="283">
        <f>SUM(AG162:AR162)</f>
        <v/>
      </c>
      <c r="AT162" s="286">
        <f>AS162/12</f>
        <v/>
      </c>
      <c r="AU162" s="201" t="n">
        <v>0</v>
      </c>
      <c r="AV162" s="201" t="n">
        <v>0</v>
      </c>
      <c r="AW162" s="201" t="n">
        <v>0</v>
      </c>
      <c r="AX162" s="201" t="n">
        <v>0</v>
      </c>
      <c r="AY162" s="201" t="n">
        <v>0</v>
      </c>
      <c r="AZ162" s="203">
        <f>SUMIFS(領用表!$L:$L,領用表!$E:$E,$B162,領用表!$B:$B,AZ$2&amp;$BI$1)</f>
        <v/>
      </c>
      <c r="BA162" s="203">
        <f>SUMIFS(領用表!$L:$L,領用表!$E:$E,$B162,領用表!$B:$B,BA$2&amp;$BI$1)</f>
        <v/>
      </c>
      <c r="BB162" s="203">
        <f>SUMIFS(領用表!$L:$L,領用表!$E:$E,$B162,領用表!$B:$B,BB$2&amp;$BI$1)</f>
        <v/>
      </c>
      <c r="BC162" s="203">
        <f>SUMIFS(領用表!$L:$L,領用表!$E:$E,$B162,領用表!$B:$B,BC$2&amp;$BI$1)</f>
        <v/>
      </c>
      <c r="BD162" s="208">
        <f>SUMIFS(領用表!$L:$L,領用表!$E:$E,$B162,領用表!$B:$B,BD$2&amp;$BI$1)</f>
        <v/>
      </c>
      <c r="BE162" s="208">
        <f>SUMIFS(領用表!$L:$L,領用表!$E:$E,$B162,領用表!$B:$B,BE$2&amp;$BI$1)</f>
        <v/>
      </c>
      <c r="BF162" s="208">
        <f>SUMIFS(領用表!$L:$L,領用表!$E:$E,$B162,領用表!$B:$B,BF$2&amp;$BI$1)</f>
        <v/>
      </c>
      <c r="BG162" s="207">
        <f>SUM(AU162,AV162,AW162,AX162,AY162,AZ162,BA162,BB162,BC162,BD162,BE162,BF162)</f>
        <v/>
      </c>
      <c r="BH162" s="207">
        <f>AVERAGE(AU162,AV162,AW162,AX162,AY162,AZ162,BA162,BB162,BC162,BD162,BE162,BF162)</f>
        <v/>
      </c>
      <c r="BI162" s="208">
        <f>SUMIFS(領用表!$L:$L,領用表!$E:$E,$B162,領用表!$B:$B,BI$2&amp;$BI$1)</f>
        <v/>
      </c>
      <c r="BJ162" s="208">
        <f>SUMIFS(領用表!$L:$L,領用表!$E:$E,$B162,領用表!$B:$B,BJ$2&amp;$BI$1)</f>
        <v/>
      </c>
      <c r="BK162" s="208">
        <f>SUMIFS(領用表!$L:$L,領用表!$E:$E,$B162,領用表!$B:$B,BK$2&amp;$BI$1)</f>
        <v/>
      </c>
      <c r="BL162" s="208">
        <f>SUMIFS(領用表!$L:$L,領用表!$E:$E,$B162,領用表!$B:$B,BL$2&amp;$BI$1)</f>
        <v/>
      </c>
      <c r="BM162" s="208">
        <f>SUMIFS(領用表!$L:$L,領用表!$E:$E,$B162,領用表!$B:$B,BM$2&amp;$BI$1)</f>
        <v/>
      </c>
      <c r="BN162" s="208">
        <f>SUMIFS(領用表!$L:$L,領用表!$E:$E,$B162,領用表!$B:$B,BN$2&amp;$BI$1)</f>
        <v/>
      </c>
      <c r="BO162" s="208">
        <f>SUMIFS(領用表!$L:$L,領用表!$E:$E,$B162,領用表!$B:$B,BO$2&amp;$BI$1)</f>
        <v/>
      </c>
      <c r="BP162" s="208">
        <f>SUMIFS(領用表!$L:$L,領用表!$E:$E,$B162,領用表!$B:$B,BP$2&amp;$BI$1)</f>
        <v/>
      </c>
      <c r="BQ162" s="208">
        <f>SUMIFS(領用表!$L:$L,領用表!$E:$E,$B162,領用表!$B:$B,BQ$2&amp;$BI$1)</f>
        <v/>
      </c>
      <c r="BR162" s="208">
        <f>SUMIFS(領用表!$L:$L,領用表!$E:$E,$B162,領用表!$B:$B,BR$2&amp;$BI$1)</f>
        <v/>
      </c>
      <c r="BS162" s="208">
        <f>SUMIFS(領用表!$L:$L,領用表!$E:$E,$B162,領用表!$B:$B,BS$2&amp;$BI$1)</f>
        <v/>
      </c>
      <c r="BT162" s="208">
        <f>SUMIFS(領用表!$L:$L,領用表!$E:$E,$B162,領用表!$B:$B,BT$2&amp;$BI$1)</f>
        <v/>
      </c>
      <c r="BU162" s="208">
        <f>SUM(BI162,BJ162,BK162,BL162,BM162,BN162)</f>
        <v/>
      </c>
      <c r="BV162" s="208">
        <f>AVERAGE(BI162,BJ162,BK162,BL162,BM162,BN162)</f>
        <v/>
      </c>
      <c r="BW162" s="208">
        <f>SUMIF(Summary!B:B,B162,Summary!DZ:DZ)</f>
        <v/>
      </c>
      <c r="BX162" s="258" t="n"/>
      <c r="BY162" s="340" t="n"/>
      <c r="BZ162" s="341" t="n"/>
      <c r="CA162" s="341" t="n"/>
    </row>
    <row r="163" hidden="1" ht="15.75" customFormat="1" customHeight="1" s="118">
      <c r="A163" s="136" t="inlineStr">
        <is>
          <t>TN1AA050032T</t>
        </is>
      </c>
      <c r="B163" s="118" t="e">
        <v>#N/A</v>
      </c>
      <c r="C163" s="136" t="inlineStr">
        <is>
          <t>試用-優菌防護安瓶精華 50ml</t>
        </is>
      </c>
      <c r="D163" s="285" t="n"/>
      <c r="E163" s="198" t="inlineStr">
        <is>
          <t>PCS</t>
        </is>
      </c>
      <c r="F163" s="349" t="n"/>
      <c r="G163" s="349" t="n"/>
      <c r="H163" s="349" t="n"/>
      <c r="I163" s="349" t="n"/>
      <c r="J163" s="349" t="n"/>
      <c r="K163" s="349" t="n"/>
      <c r="L163" s="349" t="n"/>
      <c r="M163" s="283" t="n"/>
      <c r="N163" s="283" t="n"/>
      <c r="O163" s="283" t="n"/>
      <c r="P163" s="283" t="n"/>
      <c r="Q163" s="283" t="n"/>
      <c r="R163" s="283" t="n"/>
      <c r="S163" s="283" t="n"/>
      <c r="T163" s="283" t="n"/>
      <c r="U163" s="283" t="n"/>
      <c r="V163" s="283" t="n"/>
      <c r="W163" s="283" t="n"/>
      <c r="X163" s="283" t="n"/>
      <c r="Y163" s="283" t="n"/>
      <c r="Z163" s="283" t="n"/>
      <c r="AA163" s="283" t="n"/>
      <c r="AB163" s="283" t="n"/>
      <c r="AC163" s="283" t="n"/>
      <c r="AD163" s="283" t="n"/>
      <c r="AE163" s="283" t="n"/>
      <c r="AF163" s="283" t="n"/>
      <c r="AG163" s="201" t="n"/>
      <c r="AH163" s="201" t="n"/>
      <c r="AI163" s="201" t="n"/>
      <c r="AJ163" s="201" t="n"/>
      <c r="AK163" s="201" t="n"/>
      <c r="AL163" s="201" t="n"/>
      <c r="AM163" s="201" t="n"/>
      <c r="AN163" s="201" t="n">
        <v>10</v>
      </c>
      <c r="AO163" s="201" t="n">
        <v>0</v>
      </c>
      <c r="AP163" s="201" t="n">
        <v>0</v>
      </c>
      <c r="AQ163" s="201" t="n">
        <v>0</v>
      </c>
      <c r="AR163" s="201" t="n">
        <v>0</v>
      </c>
      <c r="AS163" s="283">
        <f>SUM(AG163:AR163)</f>
        <v/>
      </c>
      <c r="AT163" s="286">
        <f>AS163/12</f>
        <v/>
      </c>
      <c r="AU163" s="201" t="n">
        <v>0</v>
      </c>
      <c r="AV163" s="201" t="n">
        <v>0</v>
      </c>
      <c r="AW163" s="201" t="n">
        <v>0</v>
      </c>
      <c r="AX163" s="201" t="n">
        <v>0</v>
      </c>
      <c r="AY163" s="201" t="n">
        <v>0</v>
      </c>
      <c r="AZ163" s="203">
        <f>SUMIFS(領用表!$L:$L,領用表!$E:$E,$B163,領用表!$B:$B,AZ$2&amp;$BI$1)</f>
        <v/>
      </c>
      <c r="BA163" s="203">
        <f>SUMIFS(領用表!$L:$L,領用表!$E:$E,$B163,領用表!$B:$B,BA$2&amp;$BI$1)</f>
        <v/>
      </c>
      <c r="BB163" s="203">
        <f>SUMIFS(領用表!$L:$L,領用表!$E:$E,$B163,領用表!$B:$B,BB$2&amp;$BI$1)</f>
        <v/>
      </c>
      <c r="BC163" s="203">
        <f>SUMIFS(領用表!$L:$L,領用表!$E:$E,$B163,領用表!$B:$B,BC$2&amp;$BI$1)</f>
        <v/>
      </c>
      <c r="BD163" s="208">
        <f>SUMIFS(領用表!$L:$L,領用表!$E:$E,$B163,領用表!$B:$B,BD$2&amp;$BI$1)</f>
        <v/>
      </c>
      <c r="BE163" s="208">
        <f>SUMIFS(領用表!$L:$L,領用表!$E:$E,$B163,領用表!$B:$B,BE$2&amp;$BI$1)</f>
        <v/>
      </c>
      <c r="BF163" s="208">
        <f>SUMIFS(領用表!$L:$L,領用表!$E:$E,$B163,領用表!$B:$B,BF$2&amp;$BI$1)</f>
        <v/>
      </c>
      <c r="BG163" s="207">
        <f>SUM(AU163,AV163,AW163,AX163,AY163,AZ163,BA163,BB163,BC163,BD163,BE163,BF163)</f>
        <v/>
      </c>
      <c r="BH163" s="207">
        <f>AVERAGE(AU163,AV163,AW163,AX163,AY163,AZ163,BA163,BB163,BC163,BD163,BE163,BF163)</f>
        <v/>
      </c>
      <c r="BI163" s="208">
        <f>SUMIFS(領用表!$L:$L,領用表!$E:$E,$B163,領用表!$B:$B,BI$2&amp;$BI$1)</f>
        <v/>
      </c>
      <c r="BJ163" s="208">
        <f>SUMIFS(領用表!$L:$L,領用表!$E:$E,$B163,領用表!$B:$B,BJ$2&amp;$BI$1)</f>
        <v/>
      </c>
      <c r="BK163" s="208">
        <f>SUMIFS(領用表!$L:$L,領用表!$E:$E,$B163,領用表!$B:$B,BK$2&amp;$BI$1)</f>
        <v/>
      </c>
      <c r="BL163" s="208">
        <f>SUMIFS(領用表!$L:$L,領用表!$E:$E,$B163,領用表!$B:$B,BL$2&amp;$BI$1)</f>
        <v/>
      </c>
      <c r="BM163" s="208">
        <f>SUMIFS(領用表!$L:$L,領用表!$E:$E,$B163,領用表!$B:$B,BM$2&amp;$BI$1)</f>
        <v/>
      </c>
      <c r="BN163" s="208">
        <f>SUMIFS(領用表!$L:$L,領用表!$E:$E,$B163,領用表!$B:$B,BN$2&amp;$BI$1)</f>
        <v/>
      </c>
      <c r="BO163" s="208">
        <f>SUMIFS(領用表!$L:$L,領用表!$E:$E,$B163,領用表!$B:$B,BO$2&amp;$BI$1)</f>
        <v/>
      </c>
      <c r="BP163" s="208">
        <f>SUMIFS(領用表!$L:$L,領用表!$E:$E,$B163,領用表!$B:$B,BP$2&amp;$BI$1)</f>
        <v/>
      </c>
      <c r="BQ163" s="208">
        <f>SUMIFS(領用表!$L:$L,領用表!$E:$E,$B163,領用表!$B:$B,BQ$2&amp;$BI$1)</f>
        <v/>
      </c>
      <c r="BR163" s="208">
        <f>SUMIFS(領用表!$L:$L,領用表!$E:$E,$B163,領用表!$B:$B,BR$2&amp;$BI$1)</f>
        <v/>
      </c>
      <c r="BS163" s="208">
        <f>SUMIFS(領用表!$L:$L,領用表!$E:$E,$B163,領用表!$B:$B,BS$2&amp;$BI$1)</f>
        <v/>
      </c>
      <c r="BT163" s="208">
        <f>SUMIFS(領用表!$L:$L,領用表!$E:$E,$B163,領用表!$B:$B,BT$2&amp;$BI$1)</f>
        <v/>
      </c>
      <c r="BU163" s="208">
        <f>SUM(BI163,BJ163,BK163,BL163,BM163,BN163)</f>
        <v/>
      </c>
      <c r="BV163" s="208">
        <f>AVERAGE(BI163,BJ163,BK163,BL163,BM163,BN163)</f>
        <v/>
      </c>
      <c r="BW163" s="208">
        <f>SUMIF(Summary!B:B,B163,Summary!DZ:DZ)</f>
        <v/>
      </c>
      <c r="BX163" s="258" t="n"/>
      <c r="BY163" s="340" t="n"/>
      <c r="BZ163" s="341" t="n"/>
      <c r="CA163" s="341" t="n"/>
      <c r="CB163" s="136" t="n"/>
      <c r="CC163" s="136" t="n"/>
    </row>
    <row r="164" hidden="1" ht="15.75" customFormat="1" customHeight="1" s="118">
      <c r="A164" s="136" t="inlineStr">
        <is>
          <t>TN1AA050029T</t>
        </is>
      </c>
      <c r="B164" s="118" t="n">
        <v>6050007</v>
      </c>
      <c r="C164" s="136" t="inlineStr">
        <is>
          <t>試用-冰原天神草彈力超導精華 50mL</t>
        </is>
      </c>
      <c r="D164" s="285" t="n"/>
      <c r="E164" s="198" t="inlineStr">
        <is>
          <t>PCS</t>
        </is>
      </c>
      <c r="F164" s="349" t="n"/>
      <c r="G164" s="349" t="n"/>
      <c r="H164" s="349" t="n"/>
      <c r="I164" s="349" t="n"/>
      <c r="J164" s="349" t="n"/>
      <c r="K164" s="349" t="n"/>
      <c r="L164" s="349" t="n"/>
      <c r="M164" s="283" t="n"/>
      <c r="N164" s="283" t="n"/>
      <c r="O164" s="283" t="n"/>
      <c r="P164" s="283" t="n"/>
      <c r="Q164" s="283" t="n"/>
      <c r="R164" s="283" t="n"/>
      <c r="S164" s="283" t="n"/>
      <c r="T164" s="283" t="n"/>
      <c r="U164" s="283" t="n"/>
      <c r="V164" s="283" t="n"/>
      <c r="W164" s="283" t="n"/>
      <c r="X164" s="283" t="n"/>
      <c r="Y164" s="283" t="n"/>
      <c r="Z164" s="283" t="n"/>
      <c r="AA164" s="283" t="n"/>
      <c r="AB164" s="283" t="n"/>
      <c r="AC164" s="283" t="n"/>
      <c r="AD164" s="283" t="n"/>
      <c r="AE164" s="283" t="n"/>
      <c r="AF164" s="283" t="n"/>
      <c r="AG164" s="201" t="n"/>
      <c r="AH164" s="201" t="n"/>
      <c r="AI164" s="201" t="n"/>
      <c r="AJ164" s="201" t="n"/>
      <c r="AK164" s="201" t="n"/>
      <c r="AL164" s="201" t="n"/>
      <c r="AM164" s="201" t="n"/>
      <c r="AN164" s="201" t="n">
        <v>0</v>
      </c>
      <c r="AO164" s="201" t="n">
        <v>0</v>
      </c>
      <c r="AP164" s="201" t="n">
        <v>10</v>
      </c>
      <c r="AQ164" s="201" t="n">
        <v>0</v>
      </c>
      <c r="AR164" s="201" t="n">
        <v>0</v>
      </c>
      <c r="AS164" s="283">
        <f>SUM(AG164:AR164)</f>
        <v/>
      </c>
      <c r="AT164" s="286">
        <f>AS164/12</f>
        <v/>
      </c>
      <c r="AU164" s="201" t="n">
        <v>0</v>
      </c>
      <c r="AV164" s="201" t="n">
        <v>0</v>
      </c>
      <c r="AW164" s="201" t="n">
        <v>0</v>
      </c>
      <c r="AX164" s="201" t="n">
        <v>0</v>
      </c>
      <c r="AY164" s="201" t="n">
        <v>0</v>
      </c>
      <c r="AZ164" s="203">
        <f>SUMIFS(領用表!$L:$L,領用表!$E:$E,$B164,領用表!$B:$B,AZ$2&amp;$BI$1)</f>
        <v/>
      </c>
      <c r="BA164" s="203">
        <f>SUMIFS(領用表!$L:$L,領用表!$E:$E,$B164,領用表!$B:$B,BA$2&amp;$BI$1)</f>
        <v/>
      </c>
      <c r="BB164" s="203">
        <f>SUMIFS(領用表!$L:$L,領用表!$E:$E,$B164,領用表!$B:$B,BB$2&amp;$BI$1)</f>
        <v/>
      </c>
      <c r="BC164" s="203">
        <f>SUMIFS(領用表!$L:$L,領用表!$E:$E,$B164,領用表!$B:$B,BC$2&amp;$BI$1)</f>
        <v/>
      </c>
      <c r="BD164" s="208">
        <f>SUMIFS(領用表!$L:$L,領用表!$E:$E,$B164,領用表!$B:$B,BD$2&amp;$BI$1)</f>
        <v/>
      </c>
      <c r="BE164" s="208">
        <f>SUMIFS(領用表!$L:$L,領用表!$E:$E,$B164,領用表!$B:$B,BE$2&amp;$BI$1)</f>
        <v/>
      </c>
      <c r="BF164" s="208">
        <f>SUMIFS(領用表!$L:$L,領用表!$E:$E,$B164,領用表!$B:$B,BF$2&amp;$BI$1)</f>
        <v/>
      </c>
      <c r="BG164" s="207">
        <f>SUM(AU164,AV164,AW164,AX164,AY164,AZ164,BA164,BB164,BC164,BD164,BE164,BF164)</f>
        <v/>
      </c>
      <c r="BH164" s="207">
        <f>AVERAGE(AU164,AV164,AW164,AX164,AY164,AZ164,BA164,BB164,BC164,BD164,BE164,BF164)</f>
        <v/>
      </c>
      <c r="BI164" s="208">
        <f>SUMIFS(領用表!$L:$L,領用表!$E:$E,$B164,領用表!$B:$B,BI$2&amp;$BI$1)</f>
        <v/>
      </c>
      <c r="BJ164" s="208">
        <f>SUMIFS(領用表!$L:$L,領用表!$E:$E,$B164,領用表!$B:$B,BJ$2&amp;$BI$1)</f>
        <v/>
      </c>
      <c r="BK164" s="208">
        <f>SUMIFS(領用表!$L:$L,領用表!$E:$E,$B164,領用表!$B:$B,BK$2&amp;$BI$1)</f>
        <v/>
      </c>
      <c r="BL164" s="208">
        <f>SUMIFS(領用表!$L:$L,領用表!$E:$E,$B164,領用表!$B:$B,BL$2&amp;$BI$1)</f>
        <v/>
      </c>
      <c r="BM164" s="208">
        <f>SUMIFS(領用表!$L:$L,領用表!$E:$E,$B164,領用表!$B:$B,BM$2&amp;$BI$1)</f>
        <v/>
      </c>
      <c r="BN164" s="208" t="n"/>
      <c r="BO164" s="208">
        <f>SUMIFS(領用表!$L:$L,領用表!$E:$E,$B164,領用表!$B:$B,BO$2&amp;$BI$1)</f>
        <v/>
      </c>
      <c r="BP164" s="208">
        <f>SUMIFS(領用表!$L:$L,領用表!$E:$E,$B164,領用表!$B:$B,BP$2&amp;$BI$1)</f>
        <v/>
      </c>
      <c r="BQ164" s="208">
        <f>SUMIFS(領用表!$L:$L,領用表!$E:$E,$B164,領用表!$B:$B,BQ$2&amp;$BI$1)</f>
        <v/>
      </c>
      <c r="BR164" s="208">
        <f>SUMIFS(領用表!$L:$L,領用表!$E:$E,$B164,領用表!$B:$B,BR$2&amp;$BI$1)</f>
        <v/>
      </c>
      <c r="BS164" s="208">
        <f>SUMIFS(領用表!$L:$L,領用表!$E:$E,$B164,領用表!$B:$B,BS$2&amp;$BI$1)</f>
        <v/>
      </c>
      <c r="BT164" s="208">
        <f>SUMIFS(領用表!$L:$L,領用表!$E:$E,$B164,領用表!$B:$B,BT$2&amp;$BI$1)</f>
        <v/>
      </c>
      <c r="BU164" s="208">
        <f>SUM(BI164,BJ164,BK164,BL164,BM164,BN164)</f>
        <v/>
      </c>
      <c r="BV164" s="208">
        <f>AVERAGE(BI164,BJ164,BK164,BL164,BM164,BN164)</f>
        <v/>
      </c>
      <c r="BW164" s="208">
        <f>SUMIF(Summary!B:B,B164,Summary!DZ:DZ)</f>
        <v/>
      </c>
      <c r="BX164" s="258" t="n"/>
      <c r="BY164" s="340" t="n"/>
      <c r="BZ164" s="341" t="n"/>
      <c r="CA164" s="341" t="n"/>
      <c r="CB164" s="136" t="n"/>
      <c r="CC164" s="136" t="n"/>
    </row>
    <row r="165" ht="15.75" customFormat="1" customHeight="1" s="118">
      <c r="A165" s="136" t="inlineStr">
        <is>
          <t>TN1AA200006T</t>
        </is>
      </c>
      <c r="B165" s="118" t="n">
        <v>6230002</v>
      </c>
      <c r="C165" s="136" t="inlineStr">
        <is>
          <t>試用-無瑕清透防護霜 30mL(潤色)</t>
        </is>
      </c>
      <c r="D165" s="285" t="n"/>
      <c r="E165" s="198" t="inlineStr">
        <is>
          <t>PCS</t>
        </is>
      </c>
      <c r="F165" s="349" t="n"/>
      <c r="G165" s="349" t="n"/>
      <c r="H165" s="349" t="n"/>
      <c r="I165" s="349" t="n"/>
      <c r="J165" s="349" t="n"/>
      <c r="K165" s="349" t="n"/>
      <c r="L165" s="349" t="n"/>
      <c r="M165" s="283" t="n"/>
      <c r="N165" s="283" t="n"/>
      <c r="O165" s="283" t="n"/>
      <c r="P165" s="283" t="n"/>
      <c r="Q165" s="283" t="n"/>
      <c r="R165" s="283" t="n"/>
      <c r="S165" s="283" t="n"/>
      <c r="T165" s="283" t="n"/>
      <c r="U165" s="283" t="n"/>
      <c r="V165" s="283" t="n"/>
      <c r="W165" s="283" t="n"/>
      <c r="X165" s="283" t="n"/>
      <c r="Y165" s="283" t="n"/>
      <c r="Z165" s="283" t="n"/>
      <c r="AA165" s="283" t="n"/>
      <c r="AB165" s="283" t="n"/>
      <c r="AC165" s="283" t="n"/>
      <c r="AD165" s="283" t="n"/>
      <c r="AE165" s="283" t="n"/>
      <c r="AF165" s="283" t="n"/>
      <c r="AG165" s="201" t="n"/>
      <c r="AH165" s="201" t="n"/>
      <c r="AI165" s="201" t="n"/>
      <c r="AJ165" s="201" t="n"/>
      <c r="AK165" s="201" t="n"/>
      <c r="AL165" s="201" t="n"/>
      <c r="AM165" s="201" t="n"/>
      <c r="AN165" s="201" t="n">
        <v>0</v>
      </c>
      <c r="AO165" s="201" t="n">
        <v>10</v>
      </c>
      <c r="AP165" s="201" t="n">
        <v>20</v>
      </c>
      <c r="AQ165" s="201" t="n">
        <v>0</v>
      </c>
      <c r="AR165" s="201" t="n">
        <v>0</v>
      </c>
      <c r="AS165" s="283">
        <f>SUM(AG165:AR165)</f>
        <v/>
      </c>
      <c r="AT165" s="286">
        <f>AS165/12</f>
        <v/>
      </c>
      <c r="AU165" s="201" t="n">
        <v>0</v>
      </c>
      <c r="AV165" s="201" t="n">
        <v>0</v>
      </c>
      <c r="AW165" s="201" t="n">
        <v>0</v>
      </c>
      <c r="AX165" s="201" t="n">
        <v>0</v>
      </c>
      <c r="AY165" s="201" t="n">
        <v>0</v>
      </c>
      <c r="AZ165" s="203">
        <f>SUMIFS(領用表!$L:$L,領用表!$E:$E,$B165,領用表!$B:$B,AZ$2&amp;$BI$1)</f>
        <v/>
      </c>
      <c r="BA165" s="203">
        <f>SUMIFS(領用表!$L:$L,領用表!$E:$E,$B165,領用表!$B:$B,BA$2&amp;$BI$1)</f>
        <v/>
      </c>
      <c r="BB165" s="203">
        <f>SUMIFS(領用表!$L:$L,領用表!$E:$E,$B165,領用表!$B:$B,BB$2&amp;$BI$1)</f>
        <v/>
      </c>
      <c r="BC165" s="203">
        <f>SUMIFS(領用表!$L:$L,領用表!$E:$E,$B165,領用表!$B:$B,BC$2&amp;$BI$1)</f>
        <v/>
      </c>
      <c r="BD165" s="208">
        <f>SUMIFS(領用表!$L:$L,領用表!$E:$E,$B165,領用表!$B:$B,BD$2&amp;$BI$1)</f>
        <v/>
      </c>
      <c r="BE165" s="208">
        <f>SUMIFS(領用表!$L:$L,領用表!$E:$E,$B165,領用表!$B:$B,BE$2&amp;$BI$1)</f>
        <v/>
      </c>
      <c r="BF165" s="208">
        <f>SUMIFS(領用表!$L:$L,領用表!$E:$E,$B165,領用表!$B:$B,BF$2&amp;$BI$1)</f>
        <v/>
      </c>
      <c r="BG165" s="207">
        <f>SUM(AU165,AV165,AW165,AX165,AY165,AZ165,BA165,BB165,BC165,BD165,BE165,BF165)</f>
        <v/>
      </c>
      <c r="BH165" s="207">
        <f>AVERAGE(AU165,AV165,AW165,AX165,AY165,AZ165,BA165,BB165,BC165,BD165,BE165,BF165)</f>
        <v/>
      </c>
      <c r="BI165" s="208">
        <f>SUMIFS(領用表!$L:$L,領用表!$E:$E,$B165,領用表!$B:$B,BI$2&amp;$BI$1)</f>
        <v/>
      </c>
      <c r="BJ165" s="208">
        <f>SUMIFS(領用表!$L:$L,領用表!$E:$E,$B165,領用表!$B:$B,BJ$2&amp;$BI$1)</f>
        <v/>
      </c>
      <c r="BK165" s="208">
        <f>SUMIFS(領用表!$L:$L,領用表!$E:$E,$B165,領用表!$B:$B,BK$2&amp;$BI$1)</f>
        <v/>
      </c>
      <c r="BL165" s="208">
        <f>SUMIFS(領用表!$L:$L,領用表!$E:$E,$B165,領用表!$B:$B,BL$2&amp;$BI$1)</f>
        <v/>
      </c>
      <c r="BM165" s="208">
        <f>SUMIFS(領用表!$L:$L,領用表!$E:$E,$B165,領用表!$B:$B,BM$2&amp;$BI$1)</f>
        <v/>
      </c>
      <c r="BN165" s="208" t="n"/>
      <c r="BO165" s="208">
        <f>SUMIFS(領用表!$L:$L,領用表!$E:$E,$B165,領用表!$B:$B,BO$2&amp;$BI$1)</f>
        <v/>
      </c>
      <c r="BP165" s="208">
        <f>SUMIFS(領用表!$L:$L,領用表!$E:$E,$B165,領用表!$B:$B,BP$2&amp;$BI$1)</f>
        <v/>
      </c>
      <c r="BQ165" s="208">
        <f>SUMIFS(領用表!$L:$L,領用表!$E:$E,$B165,領用表!$B:$B,BQ$2&amp;$BI$1)</f>
        <v/>
      </c>
      <c r="BR165" s="208">
        <f>SUMIFS(領用表!$L:$L,領用表!$E:$E,$B165,領用表!$B:$B,BR$2&amp;$BI$1)</f>
        <v/>
      </c>
      <c r="BS165" s="208">
        <f>SUMIFS(領用表!$L:$L,領用表!$E:$E,$B165,領用表!$B:$B,BS$2&amp;$BI$1)</f>
        <v/>
      </c>
      <c r="BT165" s="208">
        <f>SUMIFS(領用表!$L:$L,領用表!$E:$E,$B165,領用表!$B:$B,BT$2&amp;$BI$1)</f>
        <v/>
      </c>
      <c r="BU165" s="208">
        <f>SUM(BI165,BJ165,BK165,BL165,BM165,BN165)</f>
        <v/>
      </c>
      <c r="BV165" s="208">
        <f>AVERAGE(BI165,BJ165,BK165,BL165,BM165,BN165)</f>
        <v/>
      </c>
      <c r="BW165" s="208">
        <f>SUMIF(Summary!B:B,B165,Summary!DZ:DZ)</f>
        <v/>
      </c>
      <c r="BX165" s="258" t="n"/>
      <c r="BY165" s="340" t="n"/>
      <c r="BZ165" s="341" t="n"/>
      <c r="CA165" s="341" t="n"/>
      <c r="CB165" s="136" t="n"/>
      <c r="CC165" s="136" t="n"/>
    </row>
    <row r="166" hidden="1" ht="15.75" customFormat="1" customHeight="1" s="118">
      <c r="A166" s="136" t="inlineStr">
        <is>
          <t>TN1AA020004T</t>
        </is>
      </c>
      <c r="B166" s="118" t="e">
        <v>#N/A</v>
      </c>
      <c r="C166" s="136" t="inlineStr">
        <is>
          <t>試用-超微纖深層淨膚乳100ml</t>
        </is>
      </c>
      <c r="D166" s="285" t="n"/>
      <c r="E166" s="198" t="inlineStr">
        <is>
          <t>PCS</t>
        </is>
      </c>
      <c r="F166" s="349" t="n"/>
      <c r="G166" s="392" t="n"/>
      <c r="H166" s="283" t="n"/>
      <c r="I166" s="283" t="n"/>
      <c r="J166" s="283" t="n"/>
      <c r="K166" s="283" t="n"/>
      <c r="L166" s="283" t="n"/>
      <c r="M166" s="283" t="n"/>
      <c r="N166" s="283" t="n"/>
      <c r="O166" s="283" t="n"/>
      <c r="P166" s="283" t="n"/>
      <c r="Q166" s="283" t="n"/>
      <c r="R166" s="283" t="n"/>
      <c r="S166" s="283" t="n"/>
      <c r="T166" s="283" t="n"/>
      <c r="U166" s="283" t="n"/>
      <c r="V166" s="283" t="n"/>
      <c r="W166" s="283" t="n"/>
      <c r="X166" s="283" t="n"/>
      <c r="Y166" s="283" t="n"/>
      <c r="Z166" s="283" t="n"/>
      <c r="AA166" s="283" t="n"/>
      <c r="AB166" s="283" t="n"/>
      <c r="AC166" s="283" t="n"/>
      <c r="AD166" s="283" t="n"/>
      <c r="AE166" s="283" t="n"/>
      <c r="AF166" s="283" t="n"/>
      <c r="AG166" s="201" t="n"/>
      <c r="AH166" s="201" t="n"/>
      <c r="AI166" s="201" t="n"/>
      <c r="AJ166" s="201" t="n"/>
      <c r="AK166" s="201" t="n"/>
      <c r="AL166" s="201" t="n"/>
      <c r="AM166" s="201" t="n"/>
      <c r="AN166" s="201" t="n">
        <v>0</v>
      </c>
      <c r="AO166" s="201" t="n">
        <v>0</v>
      </c>
      <c r="AP166" s="201" t="n">
        <v>0</v>
      </c>
      <c r="AQ166" s="201" t="n">
        <v>0</v>
      </c>
      <c r="AR166" s="201" t="n">
        <v>10</v>
      </c>
      <c r="AS166" s="283">
        <f>SUM(AG166:AR166)</f>
        <v/>
      </c>
      <c r="AT166" s="286">
        <f>AS166/12</f>
        <v/>
      </c>
      <c r="AU166" s="201" t="n">
        <v>10</v>
      </c>
      <c r="AV166" s="201" t="n">
        <v>37</v>
      </c>
      <c r="AW166" s="201" t="n">
        <v>0</v>
      </c>
      <c r="AX166" s="201" t="n">
        <v>0</v>
      </c>
      <c r="AY166" s="201" t="n">
        <v>0</v>
      </c>
      <c r="AZ166" s="203">
        <f>SUMIFS(領用表!$L:$L,領用表!$E:$E,$B166,領用表!$B:$B,AZ$2&amp;$BI$1)</f>
        <v/>
      </c>
      <c r="BA166" s="203">
        <f>SUMIFS(領用表!$L:$L,領用表!$E:$E,$B166,領用表!$B:$B,BA$2&amp;$BI$1)</f>
        <v/>
      </c>
      <c r="BB166" s="203">
        <f>SUMIFS(領用表!$L:$L,領用表!$E:$E,$B166,領用表!$B:$B,BB$2&amp;$BI$1)</f>
        <v/>
      </c>
      <c r="BC166" s="203">
        <f>SUMIFS(領用表!$L:$L,領用表!$E:$E,$B166,領用表!$B:$B,BC$2&amp;$BI$1)</f>
        <v/>
      </c>
      <c r="BD166" s="208">
        <f>SUMIFS(領用表!$L:$L,領用表!$E:$E,$B166,領用表!$B:$B,BD$2&amp;$BI$1)</f>
        <v/>
      </c>
      <c r="BE166" s="208">
        <f>SUMIFS(領用表!$L:$L,領用表!$E:$E,$B166,領用表!$B:$B,BE$2&amp;$BI$1)</f>
        <v/>
      </c>
      <c r="BF166" s="208">
        <f>SUMIFS(領用表!$L:$L,領用表!$E:$E,$B166,領用表!$B:$B,BF$2&amp;$BI$1)</f>
        <v/>
      </c>
      <c r="BG166" s="207">
        <f>SUM(AU166,AV166,AW166,AX166,AY166,AZ166,BA166,BB166,BC166,BD166,BE166,BF166)</f>
        <v/>
      </c>
      <c r="BH166" s="207">
        <f>AVERAGE(AU166,AV166,AW166,AX166,AY166,AZ166,BA166,BB166,BC166,BD166,BE166,BF166)</f>
        <v/>
      </c>
      <c r="BI166" s="208">
        <f>SUMIFS(領用表!$L:$L,領用表!$E:$E,$B166,領用表!$B:$B,BI$2&amp;$BI$1)</f>
        <v/>
      </c>
      <c r="BJ166" s="208">
        <f>SUMIFS(領用表!$L:$L,領用表!$E:$E,$B166,領用表!$B:$B,BJ$2&amp;$BI$1)</f>
        <v/>
      </c>
      <c r="BK166" s="208">
        <f>SUMIFS(領用表!$L:$L,領用表!$E:$E,$B166,領用表!$B:$B,BK$2&amp;$BI$1)</f>
        <v/>
      </c>
      <c r="BL166" s="208">
        <f>SUMIFS(領用表!$L:$L,領用表!$E:$E,$B166,領用表!$B:$B,BL$2&amp;$BI$1)</f>
        <v/>
      </c>
      <c r="BM166" s="208">
        <f>SUMIFS(領用表!$L:$L,領用表!$E:$E,$B166,領用表!$B:$B,BM$2&amp;$BI$1)</f>
        <v/>
      </c>
      <c r="BN166" s="208">
        <f>SUMIFS(領用表!$L:$L,領用表!$E:$E,$B166,領用表!$B:$B,BN$2&amp;$BI$1)</f>
        <v/>
      </c>
      <c r="BO166" s="208">
        <f>SUMIFS(領用表!$L:$L,領用表!$E:$E,$B166,領用表!$B:$B,BO$2&amp;$BI$1)</f>
        <v/>
      </c>
      <c r="BP166" s="208">
        <f>SUMIFS(領用表!$L:$L,領用表!$E:$E,$B166,領用表!$B:$B,BP$2&amp;$BI$1)</f>
        <v/>
      </c>
      <c r="BQ166" s="208">
        <f>SUMIFS(領用表!$L:$L,領用表!$E:$E,$B166,領用表!$B:$B,BQ$2&amp;$BI$1)</f>
        <v/>
      </c>
      <c r="BR166" s="208">
        <f>SUMIFS(領用表!$L:$L,領用表!$E:$E,$B166,領用表!$B:$B,BR$2&amp;$BI$1)</f>
        <v/>
      </c>
      <c r="BS166" s="208">
        <f>SUMIFS(領用表!$L:$L,領用表!$E:$E,$B166,領用表!$B:$B,BS$2&amp;$BI$1)</f>
        <v/>
      </c>
      <c r="BT166" s="208">
        <f>SUMIFS(領用表!$L:$L,領用表!$E:$E,$B166,領用表!$B:$B,BT$2&amp;$BI$1)</f>
        <v/>
      </c>
      <c r="BU166" s="208">
        <f>SUM(BI166,BJ166,BK166,BL166,BM166,BN166)</f>
        <v/>
      </c>
      <c r="BV166" s="208">
        <f>AVERAGE(BI166,BJ166,BK166,BL166,BM166,BN166)</f>
        <v/>
      </c>
      <c r="BW166" s="208">
        <f>SUMIF(Summary!B:B,B166,Summary!DZ:DZ)</f>
        <v/>
      </c>
      <c r="BX166" s="258" t="n"/>
      <c r="BY166" s="340" t="n"/>
      <c r="BZ166" s="340" t="n"/>
      <c r="CA166" s="340" t="n"/>
      <c r="CB166" s="136" t="n"/>
      <c r="CC166" s="136" t="n"/>
    </row>
    <row r="167" ht="15.75" customFormat="1" customHeight="1" s="118">
      <c r="A167" s="136" t="inlineStr">
        <is>
          <t>FN1AA060003T</t>
        </is>
      </c>
      <c r="B167" s="118" t="n">
        <v>6060002</v>
      </c>
      <c r="C167" s="136" t="inlineStr">
        <is>
          <t>試用包-金采賦活保濕精華霜 2mL(尖嘴單劑包)</t>
        </is>
      </c>
      <c r="D167" s="285" t="n"/>
      <c r="E167" s="198" t="inlineStr">
        <is>
          <t>PCS</t>
        </is>
      </c>
      <c r="F167" s="349" t="n"/>
      <c r="G167" s="392" t="n"/>
      <c r="H167" s="283" t="n"/>
      <c r="I167" s="283" t="n"/>
      <c r="J167" s="283" t="n"/>
      <c r="K167" s="283" t="n"/>
      <c r="L167" s="283" t="n"/>
      <c r="M167" s="283" t="n"/>
      <c r="N167" s="283" t="n"/>
      <c r="O167" s="283" t="n"/>
      <c r="P167" s="283" t="n"/>
      <c r="Q167" s="283" t="n"/>
      <c r="R167" s="283" t="n"/>
      <c r="S167" s="283" t="n"/>
      <c r="T167" s="283" t="n"/>
      <c r="U167" s="283" t="n"/>
      <c r="V167" s="283" t="n"/>
      <c r="W167" s="283" t="n"/>
      <c r="X167" s="283" t="n"/>
      <c r="Y167" s="283" t="n"/>
      <c r="Z167" s="283" t="n"/>
      <c r="AA167" s="283" t="n"/>
      <c r="AB167" s="283" t="n"/>
      <c r="AC167" s="283" t="n"/>
      <c r="AD167" s="283" t="n"/>
      <c r="AE167" s="283" t="n"/>
      <c r="AF167" s="283" t="n"/>
      <c r="AG167" s="201" t="n"/>
      <c r="AH167" s="201" t="n"/>
      <c r="AI167" s="201" t="n"/>
      <c r="AJ167" s="201" t="n"/>
      <c r="AK167" s="201" t="n"/>
      <c r="AL167" s="201" t="n"/>
      <c r="AM167" s="201" t="n"/>
      <c r="AN167" s="201" t="n">
        <v>0</v>
      </c>
      <c r="AO167" s="201" t="n">
        <v>0</v>
      </c>
      <c r="AP167" s="201" t="n">
        <v>0</v>
      </c>
      <c r="AQ167" s="201" t="n">
        <v>800</v>
      </c>
      <c r="AR167" s="201" t="n">
        <v>200</v>
      </c>
      <c r="AS167" s="283">
        <f>SUM(AG167:AR167)</f>
        <v/>
      </c>
      <c r="AT167" s="286">
        <f>AS167/12</f>
        <v/>
      </c>
      <c r="AU167" s="201" t="n">
        <v>0</v>
      </c>
      <c r="AV167" s="201" t="n">
        <v>0</v>
      </c>
      <c r="AW167" s="201" t="n">
        <v>200</v>
      </c>
      <c r="AX167" s="201" t="n">
        <v>0</v>
      </c>
      <c r="AY167" s="201" t="n">
        <v>0</v>
      </c>
      <c r="AZ167" s="203">
        <f>SUMIFS(領用表!$L:$L,領用表!$E:$E,$B167,領用表!$B:$B,AZ$2&amp;$BI$1)</f>
        <v/>
      </c>
      <c r="BA167" s="203">
        <f>SUMIFS(領用表!$L:$L,領用表!$E:$E,$B167,領用表!$B:$B,BA$2&amp;$BI$1)</f>
        <v/>
      </c>
      <c r="BB167" s="203">
        <f>SUMIFS(領用表!$L:$L,領用表!$E:$E,$B167,領用表!$B:$B,BB$2&amp;$BI$1)</f>
        <v/>
      </c>
      <c r="BC167" s="203">
        <f>SUMIFS(領用表!$L:$L,領用表!$E:$E,$B167,領用表!$B:$B,BC$2&amp;$BI$1)</f>
        <v/>
      </c>
      <c r="BD167" s="208">
        <f>SUMIFS(領用表!$L:$L,領用表!$E:$E,$B167,領用表!$B:$B,BD$2&amp;$BI$1)</f>
        <v/>
      </c>
      <c r="BE167" s="208">
        <f>SUMIFS(領用表!$L:$L,領用表!$E:$E,$B167,領用表!$B:$B,BE$2&amp;$BI$1)</f>
        <v/>
      </c>
      <c r="BF167" s="208">
        <f>SUMIFS(領用表!$L:$L,領用表!$E:$E,$B167,領用表!$B:$B,BF$2&amp;$BI$1)</f>
        <v/>
      </c>
      <c r="BG167" s="207">
        <f>SUM(AU167,AV167,AW167,AX167,AY167,AZ167,BA167,BB167,BC167,BD167,BE167,BF167)</f>
        <v/>
      </c>
      <c r="BH167" s="207">
        <f>AVERAGE(AU167,AV167,AW167,AX167,AY167,AZ167,BA167,BB167,BC167,BD167,BE167,BF167)</f>
        <v/>
      </c>
      <c r="BI167" s="208">
        <f>SUMIFS(領用表!$L:$L,領用表!$E:$E,$B167,領用表!$B:$B,BI$2&amp;$BI$1)</f>
        <v/>
      </c>
      <c r="BJ167" s="208">
        <f>SUMIFS(領用表!$L:$L,領用表!$E:$E,$B167,領用表!$B:$B,BJ$2&amp;$BI$1)</f>
        <v/>
      </c>
      <c r="BK167" s="208">
        <f>SUMIFS(領用表!$L:$L,領用表!$E:$E,$B167,領用表!$B:$B,BK$2&amp;$BI$1)</f>
        <v/>
      </c>
      <c r="BL167" s="208">
        <f>SUMIFS(領用表!$L:$L,領用表!$E:$E,$B167,領用表!$B:$B,BL$2&amp;$BI$1)</f>
        <v/>
      </c>
      <c r="BM167" s="208">
        <f>SUMIFS(領用表!$L:$L,領用表!$E:$E,$B167,領用表!$B:$B,BM$2&amp;$BI$1)</f>
        <v/>
      </c>
      <c r="BN167" s="208" t="n"/>
      <c r="BO167" s="208">
        <f>SUMIFS(領用表!$L:$L,領用表!$E:$E,$B167,領用表!$B:$B,BO$2&amp;$BI$1)</f>
        <v/>
      </c>
      <c r="BP167" s="208">
        <f>SUMIFS(領用表!$L:$L,領用表!$E:$E,$B167,領用表!$B:$B,BP$2&amp;$BI$1)</f>
        <v/>
      </c>
      <c r="BQ167" s="208">
        <f>SUMIFS(領用表!$L:$L,領用表!$E:$E,$B167,領用表!$B:$B,BQ$2&amp;$BI$1)</f>
        <v/>
      </c>
      <c r="BR167" s="208">
        <f>SUMIFS(領用表!$L:$L,領用表!$E:$E,$B167,領用表!$B:$B,BR$2&amp;$BI$1)</f>
        <v/>
      </c>
      <c r="BS167" s="208">
        <f>SUMIFS(領用表!$L:$L,領用表!$E:$E,$B167,領用表!$B:$B,BS$2&amp;$BI$1)</f>
        <v/>
      </c>
      <c r="BT167" s="208">
        <f>SUMIFS(領用表!$L:$L,領用表!$E:$E,$B167,領用表!$B:$B,BT$2&amp;$BI$1)</f>
        <v/>
      </c>
      <c r="BU167" s="208">
        <f>SUM(BI167,BJ167,BK167,BL167,BM167,BN167)</f>
        <v/>
      </c>
      <c r="BV167" s="208">
        <f>AVERAGE(BI167,BJ167,BK167,BL167,BM167,BN167)</f>
        <v/>
      </c>
      <c r="BW167" s="208">
        <f>SUMIF(Summary!B:B,B167,Summary!DZ:DZ)</f>
        <v/>
      </c>
      <c r="BX167" s="258" t="n"/>
      <c r="BY167" s="340" t="n"/>
      <c r="BZ167" s="340" t="n"/>
      <c r="CA167" s="340" t="n"/>
      <c r="CB167" s="136" t="n"/>
      <c r="CC167" s="136" t="n"/>
    </row>
    <row r="168" ht="15.75" customFormat="1" customHeight="1" s="118">
      <c r="A168" s="136" t="inlineStr">
        <is>
          <t>FN1AA200006T</t>
        </is>
      </c>
      <c r="B168" s="118" t="n">
        <v>6230001</v>
      </c>
      <c r="C168" s="136" t="inlineStr">
        <is>
          <t>試用包-無瑕清透防護霜 2ml(尖嘴單劑包)</t>
        </is>
      </c>
      <c r="D168" s="285" t="n"/>
      <c r="E168" s="198" t="inlineStr">
        <is>
          <t>PCS</t>
        </is>
      </c>
      <c r="F168" s="349" t="n"/>
      <c r="G168" s="392" t="n"/>
      <c r="AG168" s="348" t="n"/>
      <c r="AH168" s="348" t="n"/>
      <c r="AI168" s="348" t="n"/>
      <c r="AJ168" s="348" t="n"/>
      <c r="AK168" s="348" t="n"/>
      <c r="AL168" s="348" t="n"/>
      <c r="AM168" s="348" t="n"/>
      <c r="AN168" s="201" t="n">
        <v>0</v>
      </c>
      <c r="AO168" s="201" t="n">
        <v>0</v>
      </c>
      <c r="AP168" s="201" t="n">
        <v>0</v>
      </c>
      <c r="AQ168" s="201" t="n">
        <v>800</v>
      </c>
      <c r="AR168" s="201" t="n">
        <v>200</v>
      </c>
      <c r="AS168" s="283">
        <f>SUM(AG168:AR168)</f>
        <v/>
      </c>
      <c r="AT168" s="286">
        <f>AS168/12</f>
        <v/>
      </c>
      <c r="AU168" s="201" t="n">
        <v>0</v>
      </c>
      <c r="AV168" s="201" t="n">
        <v>0</v>
      </c>
      <c r="AW168" s="201" t="n">
        <v>200</v>
      </c>
      <c r="AX168" s="201" t="n">
        <v>0</v>
      </c>
      <c r="AY168" s="201" t="n">
        <v>0</v>
      </c>
      <c r="AZ168" s="203">
        <f>SUMIFS(領用表!$L:$L,領用表!$E:$E,$B168,領用表!$B:$B,AZ$2&amp;$BI$1)</f>
        <v/>
      </c>
      <c r="BA168" s="203">
        <f>SUMIFS(領用表!$L:$L,領用表!$E:$E,$B168,領用表!$B:$B,BA$2&amp;$BI$1)</f>
        <v/>
      </c>
      <c r="BB168" s="203">
        <f>SUMIFS(領用表!$L:$L,領用表!$E:$E,$B168,領用表!$B:$B,BB$2&amp;$BI$1)</f>
        <v/>
      </c>
      <c r="BC168" s="203">
        <f>SUMIFS(領用表!$L:$L,領用表!$E:$E,$B168,領用表!$B:$B,BC$2&amp;$BI$1)</f>
        <v/>
      </c>
      <c r="BD168" s="208">
        <f>SUMIFS(領用表!$L:$L,領用表!$E:$E,$B168,領用表!$B:$B,BD$2&amp;$BI$1)</f>
        <v/>
      </c>
      <c r="BE168" s="208">
        <f>SUMIFS(領用表!$L:$L,領用表!$E:$E,$B168,領用表!$B:$B,BE$2&amp;$BI$1)</f>
        <v/>
      </c>
      <c r="BF168" s="208">
        <f>SUMIFS(領用表!$L:$L,領用表!$E:$E,$B168,領用表!$B:$B,BF$2&amp;$BI$1)</f>
        <v/>
      </c>
      <c r="BG168" s="207">
        <f>SUM(AU168,AV168,AW168,AX168,AY168,AZ168,BA168,BB168,BC168,BD168,BE168,BF168)</f>
        <v/>
      </c>
      <c r="BH168" s="207">
        <f>AVERAGE(AU168,AV168,AW168,AX168,AY168,AZ168,BA168,BB168,BC168,BD168,BE168,BF168)</f>
        <v/>
      </c>
      <c r="BI168" s="208">
        <f>SUMIFS(領用表!$L:$L,領用表!$E:$E,$B168,領用表!$B:$B,BI$2&amp;$BI$1)</f>
        <v/>
      </c>
      <c r="BJ168" s="208">
        <f>SUMIFS(領用表!$L:$L,領用表!$E:$E,$B168,領用表!$B:$B,BJ$2&amp;$BI$1)</f>
        <v/>
      </c>
      <c r="BK168" s="208">
        <f>SUMIFS(領用表!$L:$L,領用表!$E:$E,$B168,領用表!$B:$B,BK$2&amp;$BI$1)</f>
        <v/>
      </c>
      <c r="BL168" s="208">
        <f>SUMIFS(領用表!$L:$L,領用表!$E:$E,$B168,領用表!$B:$B,BL$2&amp;$BI$1)</f>
        <v/>
      </c>
      <c r="BM168" s="208">
        <f>SUMIFS(領用表!$L:$L,領用表!$E:$E,$B168,領用表!$B:$B,BM$2&amp;$BI$1)</f>
        <v/>
      </c>
      <c r="BN168" s="208" t="n"/>
      <c r="BO168" s="208">
        <f>SUMIFS(領用表!$L:$L,領用表!$E:$E,$B168,領用表!$B:$B,BO$2&amp;$BI$1)</f>
        <v/>
      </c>
      <c r="BP168" s="208">
        <f>SUMIFS(領用表!$L:$L,領用表!$E:$E,$B168,領用表!$B:$B,BP$2&amp;$BI$1)</f>
        <v/>
      </c>
      <c r="BQ168" s="208">
        <f>SUMIFS(領用表!$L:$L,領用表!$E:$E,$B168,領用表!$B:$B,BQ$2&amp;$BI$1)</f>
        <v/>
      </c>
      <c r="BR168" s="208">
        <f>SUMIFS(領用表!$L:$L,領用表!$E:$E,$B168,領用表!$B:$B,BR$2&amp;$BI$1)</f>
        <v/>
      </c>
      <c r="BS168" s="208">
        <f>SUMIFS(領用表!$L:$L,領用表!$E:$E,$B168,領用表!$B:$B,BS$2&amp;$BI$1)</f>
        <v/>
      </c>
      <c r="BT168" s="208">
        <f>SUMIFS(領用表!$L:$L,領用表!$E:$E,$B168,領用表!$B:$B,BT$2&amp;$BI$1)</f>
        <v/>
      </c>
      <c r="BU168" s="208">
        <f>SUM(BI168,BJ168,BK168,BL168,BM168,BN168)</f>
        <v/>
      </c>
      <c r="BV168" s="208">
        <f>AVERAGE(BI168,BJ168,BK168,BL168,BM168,BN168)</f>
        <v/>
      </c>
      <c r="BW168" s="208">
        <f>SUMIF(Summary!B:B,B168,Summary!DZ:DZ)</f>
        <v/>
      </c>
      <c r="BX168" s="258" t="n"/>
      <c r="BY168" s="340" t="n"/>
      <c r="BZ168" s="340" t="n"/>
      <c r="CA168" s="340" t="n"/>
    </row>
    <row r="169" ht="15.75" customFormat="1" customHeight="1" s="118">
      <c r="A169" s="136" t="inlineStr">
        <is>
          <t>TN1AA070012T</t>
        </is>
      </c>
      <c r="B169" s="118" t="n">
        <v>6070001</v>
      </c>
      <c r="C169" s="136" t="inlineStr">
        <is>
          <t>試用-365抗皺緊緻精質乳霜50ml(2016年版)</t>
        </is>
      </c>
      <c r="D169" s="285" t="n"/>
      <c r="E169" s="198" t="inlineStr">
        <is>
          <t>PCS</t>
        </is>
      </c>
      <c r="F169" s="349" t="n"/>
      <c r="G169" s="392" t="n"/>
      <c r="AG169" s="348" t="n"/>
      <c r="AH169" s="348" t="n"/>
      <c r="AI169" s="348" t="n"/>
      <c r="AJ169" s="348" t="n"/>
      <c r="AK169" s="348" t="n"/>
      <c r="AL169" s="348" t="n"/>
      <c r="AM169" s="348" t="n"/>
      <c r="AN169" s="201" t="n">
        <v>0</v>
      </c>
      <c r="AO169" s="201" t="n">
        <v>0</v>
      </c>
      <c r="AP169" s="201" t="n">
        <v>0</v>
      </c>
      <c r="AQ169" s="201" t="n">
        <v>5</v>
      </c>
      <c r="AR169" s="201" t="n">
        <v>0</v>
      </c>
      <c r="AS169" s="283">
        <f>SUM(AG169:AR169)</f>
        <v/>
      </c>
      <c r="AT169" s="286">
        <f>AS169/12</f>
        <v/>
      </c>
      <c r="AU169" s="201" t="n">
        <v>0</v>
      </c>
      <c r="AV169" s="201" t="n">
        <v>6</v>
      </c>
      <c r="AW169" s="201" t="n">
        <v>0</v>
      </c>
      <c r="AX169" s="201" t="n">
        <v>0</v>
      </c>
      <c r="AY169" s="201" t="n">
        <v>0</v>
      </c>
      <c r="AZ169" s="203">
        <f>SUMIFS(領用表!$L:$L,領用表!$E:$E,$B169,領用表!$B:$B,AZ$2&amp;$BI$1)</f>
        <v/>
      </c>
      <c r="BA169" s="203">
        <f>SUMIFS(領用表!$L:$L,領用表!$E:$E,$B169,領用表!$B:$B,BA$2&amp;$BI$1)</f>
        <v/>
      </c>
      <c r="BB169" s="203">
        <f>SUMIFS(領用表!$L:$L,領用表!$E:$E,$B169,領用表!$B:$B,BB$2&amp;$BI$1)</f>
        <v/>
      </c>
      <c r="BC169" s="203">
        <f>SUMIFS(領用表!$L:$L,領用表!$E:$E,$B169,領用表!$B:$B,BC$2&amp;$BI$1)</f>
        <v/>
      </c>
      <c r="BD169" s="208">
        <f>SUMIFS(領用表!$L:$L,領用表!$E:$E,$B169,領用表!$B:$B,BD$2&amp;$BI$1)</f>
        <v/>
      </c>
      <c r="BE169" s="208">
        <f>SUMIFS(領用表!$L:$L,領用表!$E:$E,$B169,領用表!$B:$B,BE$2&amp;$BI$1)</f>
        <v/>
      </c>
      <c r="BF169" s="208">
        <f>SUMIFS(領用表!$L:$L,領用表!$E:$E,$B169,領用表!$B:$B,BF$2&amp;$BI$1)</f>
        <v/>
      </c>
      <c r="BG169" s="207">
        <f>SUM(AU169,AV169,AW169,AX169,AY169,AZ169,BA169,BB169,BC169,BD169,BE169,BF169)</f>
        <v/>
      </c>
      <c r="BH169" s="207">
        <f>AVERAGE(AU169,AV169,AW169,AX169,AY169,AZ169,BA169,BB169,BC169,BD169,BE169,BF169)</f>
        <v/>
      </c>
      <c r="BI169" s="208">
        <f>SUMIFS(領用表!$L:$L,領用表!$E:$E,$B169,領用表!$B:$B,BI$2&amp;$BI$1)</f>
        <v/>
      </c>
      <c r="BJ169" s="208">
        <f>SUMIFS(領用表!$L:$L,領用表!$E:$E,$B169,領用表!$B:$B,BJ$2&amp;$BI$1)</f>
        <v/>
      </c>
      <c r="BK169" s="208">
        <f>SUMIFS(領用表!$L:$L,領用表!$E:$E,$B169,領用表!$B:$B,BK$2&amp;$BI$1)</f>
        <v/>
      </c>
      <c r="BL169" s="208">
        <f>SUMIFS(領用表!$L:$L,領用表!$E:$E,$B169,領用表!$B:$B,BL$2&amp;$BI$1)</f>
        <v/>
      </c>
      <c r="BM169" s="208">
        <f>SUMIFS(領用表!$L:$L,領用表!$E:$E,$B169,領用表!$B:$B,BM$2&amp;$BI$1)</f>
        <v/>
      </c>
      <c r="BN169" s="208" t="n"/>
      <c r="BO169" s="208">
        <f>SUMIFS(領用表!$L:$L,領用表!$E:$E,$B169,領用表!$B:$B,BO$2&amp;$BI$1)</f>
        <v/>
      </c>
      <c r="BP169" s="208">
        <f>SUMIFS(領用表!$L:$L,領用表!$E:$E,$B169,領用表!$B:$B,BP$2&amp;$BI$1)</f>
        <v/>
      </c>
      <c r="BQ169" s="208">
        <f>SUMIFS(領用表!$L:$L,領用表!$E:$E,$B169,領用表!$B:$B,BQ$2&amp;$BI$1)</f>
        <v/>
      </c>
      <c r="BR169" s="208">
        <f>SUMIFS(領用表!$L:$L,領用表!$E:$E,$B169,領用表!$B:$B,BR$2&amp;$BI$1)</f>
        <v/>
      </c>
      <c r="BS169" s="208">
        <f>SUMIFS(領用表!$L:$L,領用表!$E:$E,$B169,領用表!$B:$B,BS$2&amp;$BI$1)</f>
        <v/>
      </c>
      <c r="BT169" s="208">
        <f>SUMIFS(領用表!$L:$L,領用表!$E:$E,$B169,領用表!$B:$B,BT$2&amp;$BI$1)</f>
        <v/>
      </c>
      <c r="BU169" s="208">
        <f>SUM(BI169,BJ169,BK169,BL169,BM169,BN169)</f>
        <v/>
      </c>
      <c r="BV169" s="208">
        <f>AVERAGE(BI169,BJ169,BK169,BL169,BM169,BN169)</f>
        <v/>
      </c>
      <c r="BW169" s="208">
        <f>SUMIF(Summary!B:B,B169,Summary!DZ:DZ)</f>
        <v/>
      </c>
      <c r="BX169" s="258" t="n"/>
      <c r="BY169" s="340" t="n"/>
      <c r="BZ169" s="340" t="n"/>
      <c r="CA169" s="340" t="n"/>
    </row>
    <row r="170" hidden="1" ht="15.75" customFormat="1" customHeight="1" s="118">
      <c r="A170" s="136" t="inlineStr">
        <is>
          <t>DL1GA000071T</t>
        </is>
      </c>
      <c r="B170" s="118" t="e">
        <v>#N/A</v>
      </c>
      <c r="C170" s="136" t="inlineStr">
        <is>
          <t>新纖有酵蔬果酵素飲50ml(15入)停產</t>
        </is>
      </c>
      <c r="D170" s="285" t="n"/>
      <c r="E170" s="198" t="inlineStr">
        <is>
          <t>PCS</t>
        </is>
      </c>
      <c r="F170" s="349" t="n"/>
      <c r="G170" s="392" t="n"/>
      <c r="AG170" s="348" t="n"/>
      <c r="AH170" s="348" t="n"/>
      <c r="AI170" s="348" t="n"/>
      <c r="AJ170" s="348" t="n"/>
      <c r="AK170" s="348" t="n"/>
      <c r="AL170" s="348" t="n"/>
      <c r="AM170" s="348" t="n"/>
      <c r="AN170" s="201" t="n">
        <v>0</v>
      </c>
      <c r="AO170" s="201">
        <f>171/15</f>
        <v/>
      </c>
      <c r="AP170" s="201" t="n">
        <v>0</v>
      </c>
      <c r="AQ170" s="201" t="n">
        <v>45</v>
      </c>
      <c r="AR170" s="201" t="n">
        <v>108</v>
      </c>
      <c r="AS170" s="283">
        <f>SUM(AG170:AR170)</f>
        <v/>
      </c>
      <c r="AT170" s="286">
        <f>AS170/12</f>
        <v/>
      </c>
      <c r="AU170" s="201" t="n">
        <v>45</v>
      </c>
      <c r="AV170" s="201" t="n">
        <v>36</v>
      </c>
      <c r="AW170" s="201" t="n">
        <v>0</v>
      </c>
      <c r="AX170" s="201" t="n">
        <v>0</v>
      </c>
      <c r="AY170" s="201" t="n">
        <v>0</v>
      </c>
      <c r="AZ170" s="203">
        <f>SUMIFS(領用表!$L:$L,領用表!$E:$E,$B170,領用表!$B:$B,AZ$2&amp;$BI$1)</f>
        <v/>
      </c>
      <c r="BA170" s="203">
        <f>SUMIFS(領用表!$L:$L,領用表!$E:$E,$B170,領用表!$B:$B,BA$2&amp;$BI$1)</f>
        <v/>
      </c>
      <c r="BB170" s="203">
        <f>SUMIFS(領用表!$L:$L,領用表!$E:$E,$B170,領用表!$B:$B,BB$2&amp;$BI$1)</f>
        <v/>
      </c>
      <c r="BC170" s="203">
        <f>SUMIFS(領用表!$L:$L,領用表!$E:$E,$B170,領用表!$B:$B,BC$2&amp;$BI$1)</f>
        <v/>
      </c>
      <c r="BD170" s="208">
        <f>SUMIFS(領用表!$L:$L,領用表!$E:$E,$B170,領用表!$B:$B,BD$2&amp;$BI$1)</f>
        <v/>
      </c>
      <c r="BE170" s="208">
        <f>SUMIFS(領用表!$L:$L,領用表!$E:$E,$B170,領用表!$B:$B,BE$2&amp;$BI$1)</f>
        <v/>
      </c>
      <c r="BF170" s="208">
        <f>SUMIFS(領用表!$L:$L,領用表!$E:$E,$B170,領用表!$B:$B,BF$2&amp;$BI$1)</f>
        <v/>
      </c>
      <c r="BG170" s="207">
        <f>SUM(AU170,AV170,AW170,AX170,AY170,AZ170,BA170,BB170,BC170,BD170,BE170,BF170)</f>
        <v/>
      </c>
      <c r="BH170" s="207">
        <f>AVERAGE(AU170,AV170,AW170,AX170,AY170,AZ170,BA170,BB170,BC170,BD170,BE170,BF170)</f>
        <v/>
      </c>
      <c r="BI170" s="208">
        <f>SUMIFS(領用表!$L:$L,領用表!$E:$E,$B170,領用表!$B:$B,BI$2&amp;$BI$1)</f>
        <v/>
      </c>
      <c r="BJ170" s="208">
        <f>SUMIFS(領用表!$L:$L,領用表!$E:$E,$B170,領用表!$B:$B,BJ$2&amp;$BI$1)</f>
        <v/>
      </c>
      <c r="BK170" s="208">
        <f>SUMIFS(領用表!$L:$L,領用表!$E:$E,$B170,領用表!$B:$B,BK$2&amp;$BI$1)</f>
        <v/>
      </c>
      <c r="BL170" s="208">
        <f>SUMIFS(領用表!$L:$L,領用表!$E:$E,$B170,領用表!$B:$B,BL$2&amp;$BI$1)</f>
        <v/>
      </c>
      <c r="BM170" s="208">
        <f>SUMIFS(領用表!$L:$L,領用表!$E:$E,$B170,領用表!$B:$B,BM$2&amp;$BI$1)</f>
        <v/>
      </c>
      <c r="BN170" s="208">
        <f>SUMIFS(領用表!$L:$L,領用表!$E:$E,$B170,領用表!$B:$B,BN$2&amp;$BI$1)</f>
        <v/>
      </c>
      <c r="BO170" s="208">
        <f>SUMIFS(領用表!$L:$L,領用表!$E:$E,$B170,領用表!$B:$B,BO$2&amp;$BI$1)</f>
        <v/>
      </c>
      <c r="BP170" s="208">
        <f>SUMIFS(領用表!$L:$L,領用表!$E:$E,$B170,領用表!$B:$B,BP$2&amp;$BI$1)</f>
        <v/>
      </c>
      <c r="BQ170" s="208">
        <f>SUMIFS(領用表!$L:$L,領用表!$E:$E,$B170,領用表!$B:$B,BQ$2&amp;$BI$1)</f>
        <v/>
      </c>
      <c r="BR170" s="208">
        <f>SUMIFS(領用表!$L:$L,領用表!$E:$E,$B170,領用表!$B:$B,BR$2&amp;$BI$1)</f>
        <v/>
      </c>
      <c r="BS170" s="208">
        <f>SUMIFS(領用表!$L:$L,領用表!$E:$E,$B170,領用表!$B:$B,BS$2&amp;$BI$1)</f>
        <v/>
      </c>
      <c r="BT170" s="208">
        <f>SUMIFS(領用表!$L:$L,領用表!$E:$E,$B170,領用表!$B:$B,BT$2&amp;$BI$1)</f>
        <v/>
      </c>
      <c r="BU170" s="208">
        <f>SUM(BI170,BJ170,BK170,BL170,BM170,BN170)</f>
        <v/>
      </c>
      <c r="BV170" s="208">
        <f>AVERAGE(BI170,BJ170,BK170,BL170,BM170,BN170)</f>
        <v/>
      </c>
      <c r="BW170" s="208">
        <f>SUMIF(Summary!B:B,B170,Summary!DZ:DZ)</f>
        <v/>
      </c>
      <c r="BX170" s="258" t="n"/>
      <c r="BY170" s="340" t="n"/>
      <c r="BZ170" s="340" t="n"/>
      <c r="CA170" s="340" t="n"/>
    </row>
    <row r="171" hidden="1" ht="15.75" customFormat="1" customHeight="1" s="118">
      <c r="A171" s="136" t="inlineStr">
        <is>
          <t>DL1GA000066T</t>
        </is>
      </c>
      <c r="B171" s="118" t="e">
        <v>#N/A</v>
      </c>
      <c r="C171" s="136" t="inlineStr">
        <is>
          <t>青春機密膠原飲 60ml(10入)停產</t>
        </is>
      </c>
      <c r="D171" s="285" t="n"/>
      <c r="E171" s="198" t="inlineStr">
        <is>
          <t>PCS</t>
        </is>
      </c>
      <c r="F171" s="349" t="n"/>
      <c r="G171" s="392" t="n"/>
      <c r="AG171" s="348" t="n"/>
      <c r="AH171" s="348" t="n"/>
      <c r="AI171" s="348" t="n"/>
      <c r="AJ171" s="348" t="n"/>
      <c r="AK171" s="348" t="n"/>
      <c r="AL171" s="348" t="n"/>
      <c r="AM171" s="348" t="n"/>
      <c r="AN171" s="201" t="n">
        <v>0</v>
      </c>
      <c r="AO171" s="201" t="n">
        <v>0</v>
      </c>
      <c r="AP171" s="201" t="n">
        <v>0</v>
      </c>
      <c r="AQ171" s="201" t="n">
        <v>6</v>
      </c>
      <c r="AR171" s="201" t="n">
        <v>0</v>
      </c>
      <c r="AS171" s="283">
        <f>SUM(AG171:AR171)</f>
        <v/>
      </c>
      <c r="AT171" s="286">
        <f>AS171/12</f>
        <v/>
      </c>
      <c r="AU171" s="201" t="n">
        <v>19</v>
      </c>
      <c r="AV171" s="201" t="n">
        <v>0</v>
      </c>
      <c r="AW171" s="201" t="n">
        <v>0</v>
      </c>
      <c r="AX171" s="201" t="n">
        <v>0</v>
      </c>
      <c r="AY171" s="201" t="n">
        <v>0</v>
      </c>
      <c r="AZ171" s="203">
        <f>SUMIFS(領用表!$L:$L,領用表!$E:$E,$B171,領用表!$B:$B,AZ$2&amp;$BI$1)</f>
        <v/>
      </c>
      <c r="BA171" s="203">
        <f>SUMIFS(領用表!$L:$L,領用表!$E:$E,$B171,領用表!$B:$B,BA$2&amp;$BI$1)</f>
        <v/>
      </c>
      <c r="BB171" s="203">
        <f>SUMIFS(領用表!$L:$L,領用表!$E:$E,$B171,領用表!$B:$B,BB$2&amp;$BI$1)</f>
        <v/>
      </c>
      <c r="BC171" s="203">
        <f>SUMIFS(領用表!$L:$L,領用表!$E:$E,$B171,領用表!$B:$B,BC$2&amp;$BI$1)</f>
        <v/>
      </c>
      <c r="BD171" s="208">
        <f>SUMIFS(領用表!$L:$L,領用表!$E:$E,$B171,領用表!$B:$B,BD$2&amp;$BI$1)</f>
        <v/>
      </c>
      <c r="BE171" s="208">
        <f>SUMIFS(領用表!$L:$L,領用表!$E:$E,$B171,領用表!$B:$B,BE$2&amp;$BI$1)</f>
        <v/>
      </c>
      <c r="BF171" s="208">
        <f>SUMIFS(領用表!$L:$L,領用表!$E:$E,$B171,領用表!$B:$B,BF$2&amp;$BI$1)</f>
        <v/>
      </c>
      <c r="BG171" s="207">
        <f>SUM(AU171,AV171,AW171,AX171,AY171,AZ171,BA171,BB171,BC171,BD171,BE171,BF171)</f>
        <v/>
      </c>
      <c r="BH171" s="207">
        <f>AVERAGE(AU171,AV171,AW171,AX171,AY171,AZ171,BA171,BB171,BC171,BD171,BE171,BF171)</f>
        <v/>
      </c>
      <c r="BI171" s="208">
        <f>SUMIFS(領用表!$L:$L,領用表!$E:$E,$B171,領用表!$B:$B,BI$2&amp;$BI$1)</f>
        <v/>
      </c>
      <c r="BJ171" s="208">
        <f>SUMIFS(領用表!$L:$L,領用表!$E:$E,$B171,領用表!$B:$B,BJ$2&amp;$BI$1)</f>
        <v/>
      </c>
      <c r="BK171" s="208">
        <f>SUMIFS(領用表!$L:$L,領用表!$E:$E,$B171,領用表!$B:$B,BK$2&amp;$BI$1)</f>
        <v/>
      </c>
      <c r="BL171" s="208">
        <f>SUMIFS(領用表!$L:$L,領用表!$E:$E,$B171,領用表!$B:$B,BL$2&amp;$BI$1)</f>
        <v/>
      </c>
      <c r="BM171" s="208">
        <f>SUMIFS(領用表!$L:$L,領用表!$E:$E,$B171,領用表!$B:$B,BM$2&amp;$BI$1)</f>
        <v/>
      </c>
      <c r="BN171" s="208">
        <f>SUMIFS(領用表!$L:$L,領用表!$E:$E,$B171,領用表!$B:$B,BN$2&amp;$BI$1)</f>
        <v/>
      </c>
      <c r="BO171" s="208">
        <f>SUMIFS(領用表!$L:$L,領用表!$E:$E,$B171,領用表!$B:$B,BO$2&amp;$BI$1)</f>
        <v/>
      </c>
      <c r="BP171" s="208">
        <f>SUMIFS(領用表!$L:$L,領用表!$E:$E,$B171,領用表!$B:$B,BP$2&amp;$BI$1)</f>
        <v/>
      </c>
      <c r="BQ171" s="208">
        <f>SUMIFS(領用表!$L:$L,領用表!$E:$E,$B171,領用表!$B:$B,BQ$2&amp;$BI$1)</f>
        <v/>
      </c>
      <c r="BR171" s="208">
        <f>SUMIFS(領用表!$L:$L,領用表!$E:$E,$B171,領用表!$B:$B,BR$2&amp;$BI$1)</f>
        <v/>
      </c>
      <c r="BS171" s="208">
        <f>SUMIFS(領用表!$L:$L,領用表!$E:$E,$B171,領用表!$B:$B,BS$2&amp;$BI$1)</f>
        <v/>
      </c>
      <c r="BT171" s="208">
        <f>SUMIFS(領用表!$L:$L,領用表!$E:$E,$B171,領用表!$B:$B,BT$2&amp;$BI$1)</f>
        <v/>
      </c>
      <c r="BU171" s="208">
        <f>SUM(BI171,BJ171,BK171,BL171,BM171,BN171)</f>
        <v/>
      </c>
      <c r="BV171" s="208">
        <f>AVERAGE(BI171,BJ171,BK171,BL171,BM171,BN171)</f>
        <v/>
      </c>
      <c r="BW171" s="208">
        <f>SUMIF(Summary!B:B,B171,Summary!DZ:DZ)</f>
        <v/>
      </c>
      <c r="BX171" s="258" t="n"/>
      <c r="BY171" s="340" t="n"/>
      <c r="BZ171" s="340" t="n"/>
      <c r="CA171" s="340" t="n"/>
    </row>
    <row r="172" hidden="1" ht="15.75" customFormat="1" customHeight="1" s="118">
      <c r="A172" s="136" t="inlineStr">
        <is>
          <t>DA1GD000017T</t>
        </is>
      </c>
      <c r="B172" s="118" t="e">
        <v>#N/A</v>
      </c>
      <c r="C172" s="136" t="inlineStr">
        <is>
          <t>R3 愛益菌 56盒/箱</t>
        </is>
      </c>
      <c r="D172" s="285" t="n"/>
      <c r="E172" s="198" t="inlineStr">
        <is>
          <t>PCS</t>
        </is>
      </c>
      <c r="F172" s="349" t="n"/>
      <c r="G172" s="392" t="n"/>
      <c r="AR172" s="201" t="n">
        <v>0</v>
      </c>
      <c r="AS172" s="347" t="n">
        <v>0</v>
      </c>
      <c r="AT172" s="347" t="n">
        <v>0</v>
      </c>
      <c r="AU172" s="201" t="n">
        <v>280</v>
      </c>
      <c r="AV172" s="201" t="n">
        <v>840</v>
      </c>
      <c r="AW172" s="201" t="n">
        <v>584</v>
      </c>
      <c r="AX172" s="201" t="n">
        <v>120</v>
      </c>
      <c r="AY172" s="201" t="n">
        <v>0</v>
      </c>
      <c r="AZ172" s="203">
        <f>SUMIFS(領用表!$L:$L,領用表!$E:$E,$B172,領用表!$B:$B,AZ$2&amp;$BI$1)</f>
        <v/>
      </c>
      <c r="BA172" s="203">
        <f>SUMIFS(領用表!$L:$L,領用表!$E:$E,$B172,領用表!$B:$B,BA$2&amp;$BI$1)</f>
        <v/>
      </c>
      <c r="BB172" s="203">
        <f>SUMIFS(領用表!$L:$L,領用表!$E:$E,$B172,領用表!$B:$B,BB$2&amp;$BI$1)</f>
        <v/>
      </c>
      <c r="BC172" s="203">
        <f>SUMIFS(領用表!$L:$L,領用表!$E:$E,$B172,領用表!$B:$B,BC$2&amp;$BI$1)</f>
        <v/>
      </c>
      <c r="BD172" s="208">
        <f>SUMIFS(領用表!$L:$L,領用表!$E:$E,$B172,領用表!$B:$B,BD$2&amp;$BI$1)</f>
        <v/>
      </c>
      <c r="BE172" s="208">
        <f>SUMIFS(領用表!$L:$L,領用表!$E:$E,$B172,領用表!$B:$B,BE$2&amp;$BI$1)</f>
        <v/>
      </c>
      <c r="BF172" s="208">
        <f>SUMIFS(領用表!$L:$L,領用表!$E:$E,$B172,領用表!$B:$B,BF$2&amp;$BI$1)</f>
        <v/>
      </c>
      <c r="BG172" s="207">
        <f>SUM(AU172,AV172,AW172,AX172,AY172,AZ172,BA172,BB172,BC172,BD172,BE172,BF172)</f>
        <v/>
      </c>
      <c r="BH172" s="207">
        <f>AVERAGE(AU172,AV172,AW172,AX172,AY172,AZ172,BA172,BB172,BC172,BD172,BE172,BF172)</f>
        <v/>
      </c>
      <c r="BI172" s="208">
        <f>SUMIFS(領用表!$L:$L,領用表!$E:$E,$B172,領用表!$B:$B,BI$2&amp;$BI$1)</f>
        <v/>
      </c>
      <c r="BJ172" s="208">
        <f>SUMIFS(領用表!$L:$L,領用表!$E:$E,$B172,領用表!$B:$B,BJ$2&amp;$BI$1)</f>
        <v/>
      </c>
      <c r="BK172" s="208">
        <f>SUMIFS(領用表!$L:$L,領用表!$E:$E,$B172,領用表!$B:$B,BK$2&amp;$BI$1)</f>
        <v/>
      </c>
      <c r="BL172" s="208">
        <f>SUMIFS(領用表!$L:$L,領用表!$E:$E,$B172,領用表!$B:$B,BL$2&amp;$BI$1)</f>
        <v/>
      </c>
      <c r="BM172" s="208">
        <f>SUMIFS(領用表!$L:$L,領用表!$E:$E,$B172,領用表!$B:$B,BM$2&amp;$BI$1)</f>
        <v/>
      </c>
      <c r="BN172" s="208">
        <f>SUMIFS(領用表!$L:$L,領用表!$E:$E,$B172,領用表!$B:$B,BN$2&amp;$BI$1)</f>
        <v/>
      </c>
      <c r="BO172" s="208">
        <f>SUMIFS(領用表!$L:$L,領用表!$E:$E,$B172,領用表!$B:$B,BO$2&amp;$BI$1)</f>
        <v/>
      </c>
      <c r="BP172" s="208">
        <f>SUMIFS(領用表!$L:$L,領用表!$E:$E,$B172,領用表!$B:$B,BP$2&amp;$BI$1)</f>
        <v/>
      </c>
      <c r="BQ172" s="208">
        <f>SUMIFS(領用表!$L:$L,領用表!$E:$E,$B172,領用表!$B:$B,BQ$2&amp;$BI$1)</f>
        <v/>
      </c>
      <c r="BR172" s="208">
        <f>SUMIFS(領用表!$L:$L,領用表!$E:$E,$B172,領用表!$B:$B,BR$2&amp;$BI$1)</f>
        <v/>
      </c>
      <c r="BS172" s="208">
        <f>SUMIFS(領用表!$L:$L,領用表!$E:$E,$B172,領用表!$B:$B,BS$2&amp;$BI$1)</f>
        <v/>
      </c>
      <c r="BT172" s="208">
        <f>SUMIFS(領用表!$L:$L,領用表!$E:$E,$B172,領用表!$B:$B,BT$2&amp;$BI$1)</f>
        <v/>
      </c>
      <c r="BU172" s="208">
        <f>SUM(BI172,BJ172,BK172,BL172,BM172,BN172)</f>
        <v/>
      </c>
      <c r="BV172" s="208">
        <f>AVERAGE(BI172,BJ172,BK172,BL172,BM172,BN172)</f>
        <v/>
      </c>
      <c r="BW172" s="208">
        <f>SUMIF(Summary!B:B,B172,Summary!DZ:DZ)</f>
        <v/>
      </c>
      <c r="BX172" s="258" t="n"/>
      <c r="BY172" s="340" t="n"/>
      <c r="BZ172" s="340" t="n"/>
      <c r="CA172" s="340" t="n"/>
    </row>
    <row r="173" hidden="1" ht="15.75" customFormat="1" customHeight="1" s="118">
      <c r="A173" s="136" t="inlineStr">
        <is>
          <t>DN1AA090023T</t>
        </is>
      </c>
      <c r="B173" s="118" t="e">
        <v>#N/A</v>
      </c>
      <c r="C173" s="136" t="inlineStr">
        <is>
          <t>金采肌效生物纖維面膜 30mL</t>
        </is>
      </c>
      <c r="D173" s="285" t="n"/>
      <c r="E173" s="198" t="inlineStr">
        <is>
          <t>PCS</t>
        </is>
      </c>
      <c r="F173" s="349" t="n"/>
      <c r="G173" s="392" t="n"/>
      <c r="AR173" s="201" t="n">
        <v>0</v>
      </c>
      <c r="AS173" s="347" t="n">
        <v>0</v>
      </c>
      <c r="AT173" s="347" t="n">
        <v>0</v>
      </c>
      <c r="AU173" s="201" t="n">
        <v>95</v>
      </c>
      <c r="AV173" s="201" t="n">
        <v>0</v>
      </c>
      <c r="AW173" s="201" t="n">
        <v>0</v>
      </c>
      <c r="AX173" s="201" t="n">
        <v>0</v>
      </c>
      <c r="AY173" s="201" t="n">
        <v>0</v>
      </c>
      <c r="AZ173" s="203">
        <f>SUMIFS(領用表!$L:$L,領用表!$E:$E,$B173,領用表!$B:$B,AZ$2&amp;$BI$1)</f>
        <v/>
      </c>
      <c r="BA173" s="203">
        <f>SUMIFS(領用表!$L:$L,領用表!$E:$E,$B173,領用表!$B:$B,BA$2&amp;$BI$1)</f>
        <v/>
      </c>
      <c r="BB173" s="203">
        <f>SUMIFS(領用表!$L:$L,領用表!$E:$E,$B173,領用表!$B:$B,BB$2&amp;$BI$1)</f>
        <v/>
      </c>
      <c r="BC173" s="203">
        <f>SUMIFS(領用表!$L:$L,領用表!$E:$E,$B173,領用表!$B:$B,BC$2&amp;$BI$1)</f>
        <v/>
      </c>
      <c r="BD173" s="208">
        <f>SUMIFS(領用表!$L:$L,領用表!$E:$E,$B173,領用表!$B:$B,BD$2&amp;$BI$1)</f>
        <v/>
      </c>
      <c r="BE173" s="208">
        <f>SUMIFS(領用表!$L:$L,領用表!$E:$E,$B173,領用表!$B:$B,BE$2&amp;$BI$1)</f>
        <v/>
      </c>
      <c r="BF173" s="208">
        <f>SUMIFS(領用表!$L:$L,領用表!$E:$E,$B173,領用表!$B:$B,BF$2&amp;$BI$1)</f>
        <v/>
      </c>
      <c r="BG173" s="207">
        <f>SUM(AU173,AV173,AW173,AX173,AY173,AZ173,BA173,BB173,BC173,BD173,BE173,BF173)</f>
        <v/>
      </c>
      <c r="BH173" s="207">
        <f>AVERAGE(AU173,AV173,AW173,AX173,AY173,AZ173,BA173,BB173,BC173,BD173,BE173,BF173)</f>
        <v/>
      </c>
      <c r="BI173" s="208">
        <f>SUMIFS(領用表!$L:$L,領用表!$E:$E,$B173,領用表!$B:$B,BI$2&amp;$BI$1)</f>
        <v/>
      </c>
      <c r="BJ173" s="208">
        <f>SUMIFS(領用表!$L:$L,領用表!$E:$E,$B173,領用表!$B:$B,BJ$2&amp;$BI$1)</f>
        <v/>
      </c>
      <c r="BK173" s="208">
        <f>SUMIFS(領用表!$L:$L,領用表!$E:$E,$B173,領用表!$B:$B,BK$2&amp;$BI$1)</f>
        <v/>
      </c>
      <c r="BL173" s="208">
        <f>SUMIFS(領用表!$L:$L,領用表!$E:$E,$B173,領用表!$B:$B,BL$2&amp;$BI$1)</f>
        <v/>
      </c>
      <c r="BM173" s="208">
        <f>SUMIFS(領用表!$L:$L,領用表!$E:$E,$B173,領用表!$B:$B,BM$2&amp;$BI$1)</f>
        <v/>
      </c>
      <c r="BN173" s="208">
        <f>SUMIFS(領用表!$L:$L,領用表!$E:$E,$B173,領用表!$B:$B,BN$2&amp;$BI$1)</f>
        <v/>
      </c>
      <c r="BO173" s="208">
        <f>SUMIFS(領用表!$L:$L,領用表!$E:$E,$B173,領用表!$B:$B,BO$2&amp;$BI$1)</f>
        <v/>
      </c>
      <c r="BP173" s="208">
        <f>SUMIFS(領用表!$L:$L,領用表!$E:$E,$B173,領用表!$B:$B,BP$2&amp;$BI$1)</f>
        <v/>
      </c>
      <c r="BQ173" s="208">
        <f>SUMIFS(領用表!$L:$L,領用表!$E:$E,$B173,領用表!$B:$B,BQ$2&amp;$BI$1)</f>
        <v/>
      </c>
      <c r="BR173" s="208">
        <f>SUMIFS(領用表!$L:$L,領用表!$E:$E,$B173,領用表!$B:$B,BR$2&amp;$BI$1)</f>
        <v/>
      </c>
      <c r="BS173" s="208">
        <f>SUMIFS(領用表!$L:$L,領用表!$E:$E,$B173,領用表!$B:$B,BS$2&amp;$BI$1)</f>
        <v/>
      </c>
      <c r="BT173" s="208">
        <f>SUMIFS(領用表!$L:$L,領用表!$E:$E,$B173,領用表!$B:$B,BT$2&amp;$BI$1)</f>
        <v/>
      </c>
      <c r="BU173" s="208">
        <f>SUM(BI173,BJ173,BK173,BL173,BM173,BN173)</f>
        <v/>
      </c>
      <c r="BV173" s="208">
        <f>AVERAGE(BI173,BJ173,BK173,BL173,BM173,BN173)</f>
        <v/>
      </c>
      <c r="BW173" s="208">
        <f>SUMIF(Summary!B:B,B173,Summary!DZ:DZ)</f>
        <v/>
      </c>
      <c r="BX173" s="258" t="n"/>
      <c r="BY173" s="340" t="n"/>
      <c r="BZ173" s="340" t="n"/>
      <c r="CA173" s="340" t="n"/>
    </row>
    <row r="174" hidden="1" ht="15.75" customFormat="1" customHeight="1" s="118">
      <c r="A174" s="136" t="inlineStr">
        <is>
          <t>DL1GD0100001T</t>
        </is>
      </c>
      <c r="B174" s="118" t="e">
        <v>#N/A</v>
      </c>
      <c r="C174" s="136" t="inlineStr">
        <is>
          <t>甜睡美膠原6g(30入)(繁體版) 24盒/箱</t>
        </is>
      </c>
      <c r="D174" s="285" t="n"/>
      <c r="E174" s="198" t="inlineStr">
        <is>
          <t>PCS</t>
        </is>
      </c>
      <c r="F174" s="349" t="n"/>
      <c r="G174" s="392" t="n"/>
      <c r="AR174" s="201" t="n">
        <v>0</v>
      </c>
      <c r="AS174" s="347" t="n">
        <v>0</v>
      </c>
      <c r="AT174" s="347" t="n">
        <v>0</v>
      </c>
      <c r="AU174" s="201" t="n">
        <v>240</v>
      </c>
      <c r="AV174" s="201" t="n">
        <v>192</v>
      </c>
      <c r="AW174" s="201" t="n">
        <v>48</v>
      </c>
      <c r="AX174" s="201" t="n">
        <v>0</v>
      </c>
      <c r="AY174" s="201" t="n">
        <v>0</v>
      </c>
      <c r="AZ174" s="203">
        <f>SUMIFS(領用表!$L:$L,領用表!$E:$E,$B174,領用表!$B:$B,AZ$2&amp;$BI$1)</f>
        <v/>
      </c>
      <c r="BA174" s="203">
        <f>SUMIFS(領用表!$L:$L,領用表!$E:$E,$B174,領用表!$B:$B,BA$2&amp;$BI$1)</f>
        <v/>
      </c>
      <c r="BB174" s="203">
        <f>SUMIFS(領用表!$L:$L,領用表!$E:$E,$B174,領用表!$B:$B,BB$2&amp;$BI$1)</f>
        <v/>
      </c>
      <c r="BC174" s="203">
        <f>SUMIFS(領用表!$L:$L,領用表!$E:$E,$B174,領用表!$B:$B,BC$2&amp;$BI$1)</f>
        <v/>
      </c>
      <c r="BD174" s="208">
        <f>SUMIFS(領用表!$L:$L,領用表!$E:$E,$B174,領用表!$B:$B,BD$2&amp;$BI$1)</f>
        <v/>
      </c>
      <c r="BE174" s="208">
        <f>SUMIFS(領用表!$L:$L,領用表!$E:$E,$B174,領用表!$B:$B,BE$2&amp;$BI$1)</f>
        <v/>
      </c>
      <c r="BF174" s="208">
        <f>SUMIFS(領用表!$L:$L,領用表!$E:$E,$B174,領用表!$B:$B,BF$2&amp;$BI$1)</f>
        <v/>
      </c>
      <c r="BG174" s="207">
        <f>SUM(AU174,AV174,AW174,AX174,AY174,AZ174,BA174,BB174,BC174,BD174,BE174,BF174)</f>
        <v/>
      </c>
      <c r="BH174" s="207">
        <f>AVERAGE(AU174,AV174,AW174,AX174,AY174,AZ174,BA174,BB174,BC174,BD174,BE174,BF174)</f>
        <v/>
      </c>
      <c r="BI174" s="208">
        <f>SUMIFS(領用表!$L:$L,領用表!$E:$E,$B174,領用表!$B:$B,BI$2&amp;$BI$1)</f>
        <v/>
      </c>
      <c r="BJ174" s="208">
        <f>SUMIFS(領用表!$L:$L,領用表!$E:$E,$B174,領用表!$B:$B,BJ$2&amp;$BI$1)</f>
        <v/>
      </c>
      <c r="BK174" s="208">
        <f>SUMIFS(領用表!$L:$L,領用表!$E:$E,$B174,領用表!$B:$B,BK$2&amp;$BI$1)</f>
        <v/>
      </c>
      <c r="BL174" s="208">
        <f>SUMIFS(領用表!$L:$L,領用表!$E:$E,$B174,領用表!$B:$B,BL$2&amp;$BI$1)</f>
        <v/>
      </c>
      <c r="BM174" s="208">
        <f>SUMIFS(領用表!$L:$L,領用表!$E:$E,$B174,領用表!$B:$B,BM$2&amp;$BI$1)</f>
        <v/>
      </c>
      <c r="BN174" s="208">
        <f>SUMIFS(領用表!$L:$L,領用表!$E:$E,$B174,領用表!$B:$B,BN$2&amp;$BI$1)</f>
        <v/>
      </c>
      <c r="BO174" s="208">
        <f>SUMIFS(領用表!$L:$L,領用表!$E:$E,$B174,領用表!$B:$B,BO$2&amp;$BI$1)</f>
        <v/>
      </c>
      <c r="BP174" s="208">
        <f>SUMIFS(領用表!$L:$L,領用表!$E:$E,$B174,領用表!$B:$B,BP$2&amp;$BI$1)</f>
        <v/>
      </c>
      <c r="BQ174" s="208">
        <f>SUMIFS(領用表!$L:$L,領用表!$E:$E,$B174,領用表!$B:$B,BQ$2&amp;$BI$1)</f>
        <v/>
      </c>
      <c r="BR174" s="208">
        <f>SUMIFS(領用表!$L:$L,領用表!$E:$E,$B174,領用表!$B:$B,BR$2&amp;$BI$1)</f>
        <v/>
      </c>
      <c r="BS174" s="208">
        <f>SUMIFS(領用表!$L:$L,領用表!$E:$E,$B174,領用表!$B:$B,BS$2&amp;$BI$1)</f>
        <v/>
      </c>
      <c r="BT174" s="208">
        <f>SUMIFS(領用表!$L:$L,領用表!$E:$E,$B174,領用表!$B:$B,BT$2&amp;$BI$1)</f>
        <v/>
      </c>
      <c r="BU174" s="208">
        <f>SUM(BI174,BJ174,BK174,BL174,BM174,BN174)</f>
        <v/>
      </c>
      <c r="BV174" s="208">
        <f>AVERAGE(BI174,BJ174,BK174,BL174,BM174,BN174)</f>
        <v/>
      </c>
      <c r="BW174" s="208">
        <f>SUMIF(Summary!B:B,B174,Summary!DZ:DZ)</f>
        <v/>
      </c>
      <c r="BX174" s="258" t="n"/>
      <c r="BY174" s="340" t="n"/>
      <c r="BZ174" s="340" t="n"/>
      <c r="CA174" s="340" t="n"/>
    </row>
    <row r="175" ht="15.75" customFormat="1" customHeight="1" s="118">
      <c r="A175" s="136" t="inlineStr">
        <is>
          <t>DE1AA020008T</t>
        </is>
      </c>
      <c r="B175" s="118" t="e">
        <v>#N/A</v>
      </c>
      <c r="C175" s="136" t="inlineStr">
        <is>
          <t>鑽石光感潔膚乳 100ml</t>
        </is>
      </c>
      <c r="D175" s="285" t="n"/>
      <c r="E175" s="198" t="inlineStr">
        <is>
          <t>PCS</t>
        </is>
      </c>
      <c r="F175" s="349" t="n"/>
      <c r="G175" s="392" t="n"/>
      <c r="AR175" s="201" t="n">
        <v>0</v>
      </c>
      <c r="AS175" s="347" t="n">
        <v>0</v>
      </c>
      <c r="AT175" s="347" t="n">
        <v>0</v>
      </c>
      <c r="AU175" s="201" t="n">
        <v>0</v>
      </c>
      <c r="AV175" s="201" t="n">
        <v>0</v>
      </c>
      <c r="AW175" s="201" t="n">
        <v>10</v>
      </c>
      <c r="AX175" s="201" t="n">
        <v>0</v>
      </c>
      <c r="AY175" s="201" t="n">
        <v>40</v>
      </c>
      <c r="AZ175" s="203">
        <f>SUMIFS(領用表!$L:$L,領用表!$E:$E,$B175,領用表!$B:$B,AZ$2&amp;$BI$1)</f>
        <v/>
      </c>
      <c r="BA175" s="203">
        <f>SUMIFS(領用表!$L:$L,領用表!$E:$E,$B175,領用表!$B:$B,BA$2&amp;$BI$1)</f>
        <v/>
      </c>
      <c r="BB175" s="203">
        <f>SUMIFS(領用表!$L:$L,領用表!$E:$E,$B175,領用表!$B:$B,BB$2&amp;$BI$1)</f>
        <v/>
      </c>
      <c r="BC175" s="203">
        <f>SUMIFS(領用表!$L:$L,領用表!$E:$E,$B175,領用表!$B:$B,BC$2&amp;$BI$1)</f>
        <v/>
      </c>
      <c r="BD175" s="208">
        <f>SUMIFS(領用表!$L:$L,領用表!$E:$E,$B175,領用表!$B:$B,BD$2&amp;$BI$1)</f>
        <v/>
      </c>
      <c r="BE175" s="208">
        <f>SUMIFS(領用表!$L:$L,領用表!$E:$E,$B175,領用表!$B:$B,BE$2&amp;$BI$1)</f>
        <v/>
      </c>
      <c r="BF175" s="208">
        <f>SUMIFS(領用表!$L:$L,領用表!$E:$E,$B175,領用表!$B:$B,BF$2&amp;$BI$1)</f>
        <v/>
      </c>
      <c r="BG175" s="207">
        <f>SUM(AU175,AV175,AW175,AX175,AY175,AZ175,BA175,BB175,BC175,BD175,BE175,BF175)</f>
        <v/>
      </c>
      <c r="BH175" s="207">
        <f>AVERAGE(AU175,AV175,AW175,AX175,AY175,AZ175,BA175,BB175,BC175,BD175,BE175,BF175)</f>
        <v/>
      </c>
      <c r="BI175" s="208">
        <f>SUMIFS(領用表!$L:$L,領用表!$E:$E,$B175,領用表!$B:$B,BI$2&amp;$BI$1)</f>
        <v/>
      </c>
      <c r="BJ175" s="332">
        <f>SUMIFS(領用表!$L:$L,領用表!$E:$E,$B175,領用表!$B:$B,BJ$2&amp;$BI$1)</f>
        <v/>
      </c>
      <c r="BK175" s="332">
        <f>SUMIFS(領用表!$L:$L,領用表!$E:$E,$B175,領用表!$B:$B,BK$2&amp;$BI$1)</f>
        <v/>
      </c>
      <c r="BL175" s="332">
        <f>SUMIFS(領用表!$L:$L,領用表!$E:$E,$B175,領用表!$B:$B,BL$2&amp;$BI$1)</f>
        <v/>
      </c>
      <c r="BM175" s="332">
        <f>SUMIFS(領用表!$L:$L,領用表!$E:$E,$B175,領用表!$B:$B,BM$2&amp;$BI$1)</f>
        <v/>
      </c>
      <c r="BN175" s="332">
        <f>SUMIFS(領用表!$L:$L,領用表!$E:$E,$B175,領用表!$B:$B,BN$2&amp;$BI$1)</f>
        <v/>
      </c>
      <c r="BO175" s="332">
        <f>SUMIFS(領用表!$L:$L,領用表!$E:$E,$B175,領用表!$B:$B,BO$2&amp;$BI$1)</f>
        <v/>
      </c>
      <c r="BP175" s="332">
        <f>SUMIFS(領用表!$L:$L,領用表!$E:$E,$B175,領用表!$B:$B,BP$2&amp;$BI$1)</f>
        <v/>
      </c>
      <c r="BQ175" s="332">
        <f>SUMIFS(領用表!$L:$L,領用表!$E:$E,$B175,領用表!$B:$B,BQ$2&amp;$BI$1)</f>
        <v/>
      </c>
      <c r="BR175" s="332">
        <f>SUMIFS(領用表!$L:$L,領用表!$E:$E,$B175,領用表!$B:$B,BR$2&amp;$BI$1)</f>
        <v/>
      </c>
      <c r="BS175" s="332">
        <f>SUMIFS(領用表!$L:$L,領用表!$E:$E,$B175,領用表!$B:$B,BS$2&amp;$BI$1)</f>
        <v/>
      </c>
      <c r="BT175" s="332">
        <f>SUMIFS(領用表!$L:$L,領用表!$E:$E,$B175,領用表!$B:$B,BT$2&amp;$BI$1)</f>
        <v/>
      </c>
      <c r="BU175" s="332">
        <f>SUM(BI175,BJ175,BK175,BL175,BM175,BN175)</f>
        <v/>
      </c>
      <c r="BV175" s="332">
        <f>AVERAGE(BI175,BJ175,BK175,BL175,BM175,BN175)</f>
        <v/>
      </c>
      <c r="BW175" s="332">
        <f>SUMIF(Summary!B:B,B175,Summary!DZ:DZ)</f>
        <v/>
      </c>
      <c r="BX175" s="338" t="n"/>
      <c r="BY175" s="342" t="n"/>
      <c r="BZ175" s="343" t="n"/>
      <c r="CA175" s="343" t="n"/>
    </row>
    <row r="176" ht="15.75" customFormat="1" customHeight="1" s="118">
      <c r="A176" s="136" t="inlineStr">
        <is>
          <t>TE1AA020007T</t>
        </is>
      </c>
      <c r="B176" s="118" t="n">
        <v>6020002</v>
      </c>
      <c r="C176" s="136" t="inlineStr">
        <is>
          <t>試用-鑽石光感潔膚乳 100ml</t>
        </is>
      </c>
      <c r="D176" s="285" t="n"/>
      <c r="E176" s="198" t="inlineStr">
        <is>
          <t>PCS</t>
        </is>
      </c>
      <c r="F176" s="349" t="n"/>
      <c r="G176" s="392" t="n"/>
      <c r="AR176" s="201" t="n"/>
      <c r="AS176" s="347" t="n"/>
      <c r="AT176" s="347" t="n"/>
      <c r="AU176" s="201" t="n"/>
      <c r="AV176" s="201" t="n"/>
      <c r="AW176" s="201" t="n"/>
      <c r="AX176" s="201" t="n"/>
      <c r="AY176" s="201" t="n"/>
      <c r="AZ176" s="203">
        <f>SUMIFS(領用表!$L:$L,領用表!$E:$E,$B176,領用表!$B:$B,AZ$2&amp;$BI$1)</f>
        <v/>
      </c>
      <c r="BA176" s="203">
        <f>SUMIFS(領用表!$L:$L,領用表!$E:$E,$B176,領用表!$B:$B,BA$2&amp;$BI$1)</f>
        <v/>
      </c>
      <c r="BB176" s="203">
        <f>SUMIFS(領用表!$L:$L,領用表!$E:$E,$B176,領用表!$B:$B,BB$2&amp;$BI$1)</f>
        <v/>
      </c>
      <c r="BC176" s="203">
        <f>SUMIFS(領用表!$L:$L,領用表!$E:$E,$B176,領用表!$B:$B,BC$2&amp;$BI$1)</f>
        <v/>
      </c>
      <c r="BD176" s="208">
        <f>SUMIFS(領用表!$L:$L,領用表!$E:$E,$B176,領用表!$B:$B,BD$2&amp;$BI$1)</f>
        <v/>
      </c>
      <c r="BE176" s="208">
        <f>SUMIFS(領用表!$L:$L,領用表!$E:$E,$B176,領用表!$B:$B,BE$2&amp;$BI$1)</f>
        <v/>
      </c>
      <c r="BF176" s="208">
        <f>SUMIFS(領用表!$L:$L,領用表!$E:$E,$B176,領用表!$B:$B,BF$2&amp;$BI$1)</f>
        <v/>
      </c>
      <c r="BG176" s="207">
        <f>SUM(AU176,AV176,AW176,AX176,AY176,AZ176,BA176,BB176,BC176,BD176,BE176,BF176)</f>
        <v/>
      </c>
      <c r="BH176" s="207">
        <f>AVERAGE(AU176,AV176,AW176,AX176,AY176,AZ176,BA176,BB176,BC176,BD176,BE176,BF176)</f>
        <v/>
      </c>
      <c r="BI176" s="208">
        <f>SUMIFS(領用表!$L:$L,領用表!$E:$E,$B176,領用表!$B:$B,BI$2&amp;$BI$1)</f>
        <v/>
      </c>
      <c r="BJ176" s="332">
        <f>SUMIFS(領用表!$L:$L,領用表!$E:$E,$B176,領用表!$B:$B,BJ$2&amp;$BI$1)</f>
        <v/>
      </c>
      <c r="BK176" s="332">
        <f>SUMIFS(領用表!$L:$L,領用表!$E:$E,$B176,領用表!$B:$B,BK$2&amp;$BI$1)</f>
        <v/>
      </c>
      <c r="BL176" s="332">
        <f>SUMIFS(領用表!$L:$L,領用表!$E:$E,$B176,領用表!$B:$B,BL$2&amp;$BI$1)</f>
        <v/>
      </c>
      <c r="BM176" s="332">
        <f>SUMIFS(領用表!$L:$L,領用表!$E:$E,$B176,領用表!$B:$B,BM$2&amp;$BI$1)</f>
        <v/>
      </c>
      <c r="BN176" s="332" t="n"/>
      <c r="BO176" s="332">
        <f>SUMIFS(領用表!$L:$L,領用表!$E:$E,$B176,領用表!$B:$B,BO$2&amp;$BI$1)</f>
        <v/>
      </c>
      <c r="BP176" s="332">
        <f>SUMIFS(領用表!$L:$L,領用表!$E:$E,$B176,領用表!$B:$B,BP$2&amp;$BI$1)</f>
        <v/>
      </c>
      <c r="BQ176" s="332">
        <f>SUMIFS(領用表!$L:$L,領用表!$E:$E,$B176,領用表!$B:$B,BQ$2&amp;$BI$1)</f>
        <v/>
      </c>
      <c r="BR176" s="332">
        <f>SUMIFS(領用表!$L:$L,領用表!$E:$E,$B176,領用表!$B:$B,BR$2&amp;$BI$1)</f>
        <v/>
      </c>
      <c r="BS176" s="332">
        <f>SUMIFS(領用表!$L:$L,領用表!$E:$E,$B176,領用表!$B:$B,BS$2&amp;$BI$1)</f>
        <v/>
      </c>
      <c r="BT176" s="332">
        <f>SUMIFS(領用表!$L:$L,領用表!$E:$E,$B176,領用表!$B:$B,BT$2&amp;$BI$1)</f>
        <v/>
      </c>
      <c r="BU176" s="332">
        <f>SUM(BI176,BJ176,BK176,BL176,BM176,BN176)</f>
        <v/>
      </c>
      <c r="BV176" s="332">
        <f>AVERAGE(BI176,BJ176,BK176,BL176,BM176,BN176)</f>
        <v/>
      </c>
      <c r="BW176" s="332">
        <f>SUMIF(Summary!B:B,B176,Summary!DZ:DZ)</f>
        <v/>
      </c>
      <c r="BX176" s="338" t="n"/>
      <c r="BY176" s="342" t="n"/>
      <c r="BZ176" s="340" t="n"/>
      <c r="CA176" s="340" t="n"/>
    </row>
    <row r="177" ht="15.75" customFormat="1" customHeight="1" s="118">
      <c r="A177" s="136" t="inlineStr">
        <is>
          <t>DN1AB090006T</t>
        </is>
      </c>
      <c r="B177" s="118" t="n">
        <v>1080005</v>
      </c>
      <c r="C177" s="136" t="inlineStr">
        <is>
          <t>明眸撫紋水嫩眼膜 10mL(玫瑰金)</t>
        </is>
      </c>
      <c r="D177" s="285" t="n"/>
      <c r="E177" s="198" t="inlineStr">
        <is>
          <t>PCS</t>
        </is>
      </c>
      <c r="F177" s="349" t="n"/>
      <c r="G177" s="392" t="n"/>
      <c r="AG177" s="348" t="n"/>
      <c r="AH177" s="348" t="n"/>
      <c r="AI177" s="348" t="n"/>
      <c r="AJ177" s="348" t="n"/>
      <c r="AK177" s="348" t="n"/>
      <c r="AL177" s="348" t="n"/>
      <c r="AM177" s="348" t="n"/>
      <c r="AN177" s="201" t="n">
        <v>0</v>
      </c>
      <c r="AO177" s="201" t="n">
        <v>800</v>
      </c>
      <c r="AP177" s="201" t="n">
        <v>0</v>
      </c>
      <c r="AQ177" s="201" t="n">
        <v>1000</v>
      </c>
      <c r="AR177" s="201" t="n">
        <v>800</v>
      </c>
      <c r="AS177" s="283">
        <f>SUM(AG177:AR177)</f>
        <v/>
      </c>
      <c r="AT177" s="286">
        <f>AS177/12</f>
        <v/>
      </c>
      <c r="AU177" s="201" t="n">
        <v>1400</v>
      </c>
      <c r="AV177" s="201" t="n">
        <v>2700</v>
      </c>
      <c r="AW177" s="201" t="n">
        <v>1200</v>
      </c>
      <c r="AX177" s="201" t="n">
        <v>1200</v>
      </c>
      <c r="AY177" s="201" t="n">
        <v>0</v>
      </c>
      <c r="AZ177" s="203">
        <f>SUMIFS(領用表!$L:$L,領用表!$E:$E,$B177,領用表!$B:$B,AZ$2&amp;$BI$1)</f>
        <v/>
      </c>
      <c r="BA177" s="203">
        <f>SUMIFS(領用表!$L:$L,領用表!$E:$E,$B177,領用表!$B:$B,BA$2&amp;$BI$1)</f>
        <v/>
      </c>
      <c r="BB177" s="203">
        <f>SUMIFS(領用表!$L:$L,領用表!$E:$E,$B177,領用表!$B:$B,BB$2&amp;$BI$1)</f>
        <v/>
      </c>
      <c r="BC177" s="203">
        <f>SUMIFS(領用表!$L:$L,領用表!$E:$E,$B177,領用表!$B:$B,BC$2&amp;$BI$1)</f>
        <v/>
      </c>
      <c r="BD177" s="208">
        <f>SUMIFS(領用表!$L:$L,領用表!$E:$E,$B177,領用表!$B:$B,BD$2&amp;$BI$1)</f>
        <v/>
      </c>
      <c r="BE177" s="208">
        <f>SUMIFS(領用表!$L:$L,領用表!$E:$E,$B177,領用表!$B:$B,BE$2&amp;$BI$1)</f>
        <v/>
      </c>
      <c r="BF177" s="208">
        <f>SUMIFS(領用表!$L:$L,領用表!$E:$E,$B177,領用表!$B:$B,BF$2&amp;$BI$1)</f>
        <v/>
      </c>
      <c r="BG177" s="207">
        <f>SUM(AU177,AV177,AW177,AX177,AY177,AZ177,BA177,BB177,BC177,BD177,BE177,BF177)</f>
        <v/>
      </c>
      <c r="BH177" s="207">
        <f>AVERAGE(AU177,AV177,AW177,AX177,AY177,AZ177,BA177,BB177,BC177,BD177,BE177,BF177)</f>
        <v/>
      </c>
      <c r="BI177" s="208">
        <f>SUMIFS(領用表!$L:$L,領用表!$E:$E,$B177,領用表!$B:$B,BI$2&amp;$BI$1)</f>
        <v/>
      </c>
      <c r="BJ177" s="208">
        <f>SUMIFS(領用表!$L:$L,領用表!$E:$E,$B177,領用表!$B:$B,BJ$2&amp;$BI$1)</f>
        <v/>
      </c>
      <c r="BK177" s="208">
        <f>SUMIFS(領用表!$L:$L,領用表!$E:$E,$B177,領用表!$B:$B,BK$2&amp;$BI$1)</f>
        <v/>
      </c>
      <c r="BL177" s="208">
        <f>SUMIFS(領用表!$L:$L,領用表!$E:$E,$B177,領用表!$B:$B,BL$2&amp;$BI$1)</f>
        <v/>
      </c>
      <c r="BM177" s="208">
        <f>SUMIFS(領用表!$L:$L,領用表!$E:$E,$B177,領用表!$B:$B,BM$2&amp;$BI$1)</f>
        <v/>
      </c>
      <c r="BN177" s="208">
        <f>SUMIFS(領用表!$L:$L,領用表!$E:$E,$B177,領用表!$B:$B,BN$2&amp;$BI$1)</f>
        <v/>
      </c>
      <c r="BO177" s="208">
        <f>SUMIFS(領用表!$L:$L,領用表!$E:$E,$B177,領用表!$B:$B,BO$2&amp;$BI$1)</f>
        <v/>
      </c>
      <c r="BP177" s="208">
        <f>SUMIFS(領用表!$L:$L,領用表!$E:$E,$B177,領用表!$B:$B,BP$2&amp;$BI$1)</f>
        <v/>
      </c>
      <c r="BQ177" s="208">
        <f>SUMIFS(領用表!$L:$L,領用表!$E:$E,$B177,領用表!$B:$B,BQ$2&amp;$BI$1)</f>
        <v/>
      </c>
      <c r="BR177" s="208">
        <f>SUMIFS(領用表!$L:$L,領用表!$E:$E,$B177,領用表!$B:$B,BR$2&amp;$BI$1)</f>
        <v/>
      </c>
      <c r="BS177" s="208">
        <f>SUMIFS(領用表!$L:$L,領用表!$E:$E,$B177,領用表!$B:$B,BS$2&amp;$BI$1)</f>
        <v/>
      </c>
      <c r="BT177" s="208">
        <f>SUMIFS(領用表!$L:$L,領用表!$E:$E,$B177,領用表!$B:$B,BT$2&amp;$BI$1)</f>
        <v/>
      </c>
      <c r="BU177" s="208">
        <f>SUM(BI177,BJ177,BK177,BL177,BM177,BN177)</f>
        <v/>
      </c>
      <c r="BV177" s="208">
        <f>AVERAGE(BI177,BJ177,BK177,BL177,BM177,BN177)</f>
        <v/>
      </c>
      <c r="BW177" s="208">
        <f>SUMIF(Summary!B:B,B177,Summary!DZ:DZ)</f>
        <v/>
      </c>
      <c r="BX177" s="258" t="n"/>
      <c r="BY177" s="340" t="n"/>
      <c r="BZ177" s="340" t="n"/>
      <c r="CA177" s="340" t="n"/>
    </row>
    <row r="178" ht="15.75" customFormat="1" customHeight="1" s="118">
      <c r="A178" s="136" t="inlineStr">
        <is>
          <t>DE1AB090013T</t>
        </is>
      </c>
      <c r="B178" s="118" t="n">
        <v>1080008</v>
      </c>
      <c r="C178" s="136" t="inlineStr">
        <is>
          <t>藍金活酵能量舒壓眼膜 8mL(白)</t>
        </is>
      </c>
      <c r="D178" s="285" t="n"/>
      <c r="E178" s="198" t="inlineStr">
        <is>
          <t>PCS</t>
        </is>
      </c>
      <c r="F178" s="349" t="n"/>
      <c r="G178" s="392" t="n"/>
      <c r="AR178" s="201" t="n"/>
      <c r="AS178" s="347" t="n"/>
      <c r="AT178" s="347" t="n"/>
      <c r="AU178" s="201" t="n"/>
      <c r="AV178" s="201" t="n"/>
      <c r="AW178" s="201" t="n"/>
      <c r="AX178" s="201" t="n"/>
      <c r="AY178" s="201" t="n"/>
      <c r="AZ178" s="203">
        <f>SUMIFS(領用表!$L:$L,領用表!$E:$E,$B178,領用表!$B:$B,AZ$2&amp;$BI$1)</f>
        <v/>
      </c>
      <c r="BA178" s="203">
        <f>SUMIFS(領用表!$L:$L,領用表!$E:$E,$B178,領用表!$B:$B,BA$2&amp;$BI$1)</f>
        <v/>
      </c>
      <c r="BB178" s="203">
        <f>SUMIFS(領用表!$L:$L,領用表!$E:$E,$B178,領用表!$B:$B,BB$2&amp;$BI$1)</f>
        <v/>
      </c>
      <c r="BC178" s="203">
        <f>SUMIFS(領用表!$L:$L,領用表!$E:$E,$B178,領用表!$B:$B,BC$2&amp;$BI$1)</f>
        <v/>
      </c>
      <c r="BD178" s="208">
        <f>SUMIFS(領用表!$L:$L,領用表!$E:$E,$B178,領用表!$B:$B,BD$2&amp;$BI$1)</f>
        <v/>
      </c>
      <c r="BE178" s="208">
        <f>SUMIFS(領用表!$L:$L,領用表!$E:$E,$B178,領用表!$B:$B,BE$2&amp;$BI$1)</f>
        <v/>
      </c>
      <c r="BF178" s="208">
        <f>SUMIFS(領用表!$L:$L,領用表!$E:$E,$B178,領用表!$B:$B,BF$2&amp;$BI$1)</f>
        <v/>
      </c>
      <c r="BG178" s="207">
        <f>SUM(AU178,AV178,AW178,AX178,AY178,AZ178,BA178,BB178,BC178,BD178,BE178,BF178)</f>
        <v/>
      </c>
      <c r="BH178" s="207">
        <f>AVERAGE(AU178,AV178,AW178,AX178,AY178,AZ178,BA178,BB178,BC178,BD178,BE178,BF178)</f>
        <v/>
      </c>
      <c r="BI178" s="208">
        <f>SUMIFS(領用表!$L:$L,領用表!$E:$E,$B178,領用表!$B:$B,BI$2&amp;$BI$1)</f>
        <v/>
      </c>
      <c r="BJ178" s="332">
        <f>SUMIFS(領用表!$L:$L,領用表!$E:$E,$B178,領用表!$B:$B,BJ$2&amp;$BI$1)</f>
        <v/>
      </c>
      <c r="BK178" s="332">
        <f>SUMIFS(領用表!$L:$L,領用表!$E:$E,$B178,領用表!$B:$B,BK$2&amp;$BI$1)</f>
        <v/>
      </c>
      <c r="BL178" s="332">
        <f>SUMIFS(領用表!$L:$L,領用表!$E:$E,$B178,領用表!$B:$B,BL$2&amp;$BI$1)</f>
        <v/>
      </c>
      <c r="BM178" s="332">
        <f>SUMIFS(領用表!$L:$L,領用表!$E:$E,$B178,領用表!$B:$B,BM$2&amp;$BI$1)</f>
        <v/>
      </c>
      <c r="BN178" s="332" t="n"/>
      <c r="BO178" s="332">
        <f>SUMIFS(領用表!$L:$L,領用表!$E:$E,$B178,領用表!$B:$B,BO$2&amp;$BI$1)</f>
        <v/>
      </c>
      <c r="BP178" s="332">
        <f>SUMIFS(領用表!$L:$L,領用表!$E:$E,$B178,領用表!$B:$B,BP$2&amp;$BI$1)</f>
        <v/>
      </c>
      <c r="BQ178" s="332">
        <f>SUMIFS(領用表!$L:$L,領用表!$E:$E,$B178,領用表!$B:$B,BQ$2&amp;$BI$1)</f>
        <v/>
      </c>
      <c r="BR178" s="332">
        <f>SUMIFS(領用表!$L:$L,領用表!$E:$E,$B178,領用表!$B:$B,BR$2&amp;$BI$1)</f>
        <v/>
      </c>
      <c r="BS178" s="332">
        <f>SUMIFS(領用表!$L:$L,領用表!$E:$E,$B178,領用表!$B:$B,BS$2&amp;$BI$1)</f>
        <v/>
      </c>
      <c r="BT178" s="332">
        <f>SUMIFS(領用表!$L:$L,領用表!$E:$E,$B178,領用表!$B:$B,BT$2&amp;$BI$1)</f>
        <v/>
      </c>
      <c r="BU178" s="332">
        <f>SUM(BI178,BJ178,BK178,BL178,BM178,BN178)</f>
        <v/>
      </c>
      <c r="BV178" s="332">
        <f>AVERAGE(BI178,BJ178,BK178,BL178,BM178,BN178)</f>
        <v/>
      </c>
      <c r="BW178" s="332">
        <f>SUMIF(Summary!B:B,B178,Summary!DZ:DZ)</f>
        <v/>
      </c>
      <c r="BX178" s="338" t="n"/>
      <c r="BY178" s="342" t="n"/>
      <c r="BZ178" s="340" t="n"/>
      <c r="CA178" s="340" t="n"/>
    </row>
    <row r="179" ht="15.75" customFormat="1" customHeight="1" s="118">
      <c r="A179" s="136" t="inlineStr">
        <is>
          <t>FE1AA200004T</t>
        </is>
      </c>
      <c r="B179" s="118" t="n">
        <v>6230003</v>
      </c>
      <c r="C179" s="136" t="inlineStr">
        <is>
          <t>試用包-光燦輕感防曬隔離乳 2mL(尖嘴單劑包)</t>
        </is>
      </c>
      <c r="D179" s="285" t="n"/>
      <c r="E179" s="198" t="inlineStr">
        <is>
          <t>PCS</t>
        </is>
      </c>
      <c r="F179" s="349" t="n"/>
      <c r="G179" s="392" t="n"/>
      <c r="AR179" s="201" t="n"/>
      <c r="AS179" s="347" t="n"/>
      <c r="AT179" s="347" t="n"/>
      <c r="AU179" s="201" t="n"/>
      <c r="AV179" s="201" t="n"/>
      <c r="AW179" s="201" t="n"/>
      <c r="AX179" s="201" t="n"/>
      <c r="AY179" s="201" t="n"/>
      <c r="AZ179" s="203">
        <f>SUMIFS(領用表!$L:$L,領用表!$E:$E,$B179,領用表!$B:$B,AZ$2&amp;$BI$1)</f>
        <v/>
      </c>
      <c r="BA179" s="203">
        <f>SUMIFS(領用表!$L:$L,領用表!$E:$E,$B179,領用表!$B:$B,BA$2&amp;$BI$1)</f>
        <v/>
      </c>
      <c r="BB179" s="203">
        <f>SUMIFS(領用表!$L:$L,領用表!$E:$E,$B179,領用表!$B:$B,BB$2&amp;$BI$1)</f>
        <v/>
      </c>
      <c r="BC179" s="203">
        <f>SUMIFS(領用表!$L:$L,領用表!$E:$E,$B179,領用表!$B:$B,BC$2&amp;$BI$1)</f>
        <v/>
      </c>
      <c r="BD179" s="208">
        <f>SUMIFS(領用表!$L:$L,領用表!$E:$E,$B179,領用表!$B:$B,BD$2&amp;$BI$1)</f>
        <v/>
      </c>
      <c r="BE179" s="208">
        <f>SUMIFS(領用表!$L:$L,領用表!$E:$E,$B179,領用表!$B:$B,BE$2&amp;$BI$1)</f>
        <v/>
      </c>
      <c r="BF179" s="208">
        <f>SUMIFS(領用表!$L:$L,領用表!$E:$E,$B179,領用表!$B:$B,BF$2&amp;$BI$1)</f>
        <v/>
      </c>
      <c r="BG179" s="207">
        <f>SUM(AU179,AV179,AW179,AX179,AY179,AZ179,BA179,BB179,BC179,BD179,BE179,BF179)</f>
        <v/>
      </c>
      <c r="BH179" s="207">
        <f>AVERAGE(AU179,AV179,AW179,AX179,AY179,AZ179,BA179,BB179,BC179,BD179,BE179,BF179)</f>
        <v/>
      </c>
      <c r="BI179" s="208">
        <f>SUMIFS(領用表!$L:$L,領用表!$E:$E,$B179,領用表!$B:$B,BI$2&amp;$BI$1)</f>
        <v/>
      </c>
      <c r="BJ179" s="332">
        <f>SUMIFS(領用表!$L:$L,領用表!$E:$E,$B179,領用表!$B:$B,BJ$2&amp;$BI$1)</f>
        <v/>
      </c>
      <c r="BK179" s="332">
        <f>SUMIFS(領用表!$L:$L,領用表!$E:$E,$B179,領用表!$B:$B,BK$2&amp;$BI$1)</f>
        <v/>
      </c>
      <c r="BL179" s="332">
        <f>SUMIFS(領用表!$L:$L,領用表!$E:$E,$B179,領用表!$B:$B,BL$2&amp;$BI$1)</f>
        <v/>
      </c>
      <c r="BM179" s="332">
        <f>SUMIFS(領用表!$L:$L,領用表!$E:$E,$B179,領用表!$B:$B,BM$2&amp;$BI$1)</f>
        <v/>
      </c>
      <c r="BN179" s="332" t="n"/>
      <c r="BO179" s="332">
        <f>SUMIFS(領用表!$L:$L,領用表!$E:$E,$B179,領用表!$B:$B,BO$2&amp;$BI$1)</f>
        <v/>
      </c>
      <c r="BP179" s="332">
        <f>SUMIFS(領用表!$L:$L,領用表!$E:$E,$B179,領用表!$B:$B,BP$2&amp;$BI$1)</f>
        <v/>
      </c>
      <c r="BQ179" s="332">
        <f>SUMIFS(領用表!$L:$L,領用表!$E:$E,$B179,領用表!$B:$B,BQ$2&amp;$BI$1)</f>
        <v/>
      </c>
      <c r="BR179" s="332">
        <f>SUMIFS(領用表!$L:$L,領用表!$E:$E,$B179,領用表!$B:$B,BR$2&amp;$BI$1)</f>
        <v/>
      </c>
      <c r="BS179" s="332">
        <f>SUMIFS(領用表!$L:$L,領用表!$E:$E,$B179,領用表!$B:$B,BS$2&amp;$BI$1)</f>
        <v/>
      </c>
      <c r="BT179" s="332">
        <f>SUMIFS(領用表!$L:$L,領用表!$E:$E,$B179,領用表!$B:$B,BT$2&amp;$BI$1)</f>
        <v/>
      </c>
      <c r="BU179" s="332">
        <f>SUM(BI179,BJ179,BK179,BL179,BM179,BN179)</f>
        <v/>
      </c>
      <c r="BV179" s="332">
        <f>AVERAGE(BI179,BJ179,BK179,BL179,BM179,BN179)</f>
        <v/>
      </c>
      <c r="BW179" s="332">
        <f>SUMIF(Summary!B:B,B179,Summary!DZ:DZ)</f>
        <v/>
      </c>
      <c r="BX179" s="338" t="n"/>
      <c r="BY179" s="342" t="n"/>
      <c r="BZ179" s="341" t="n"/>
      <c r="CA179" s="343" t="n"/>
    </row>
    <row r="180" ht="15.75" customFormat="1" customHeight="1" s="118">
      <c r="A180" s="136" t="inlineStr">
        <is>
          <t>FE1AA060003T</t>
        </is>
      </c>
      <c r="B180" s="118" t="e">
        <v>#N/A</v>
      </c>
      <c r="C180" s="136" t="inlineStr">
        <is>
          <t>試用包-富勒烯煥齡賦活水凝乳 2mL(尖嘴單劑包)</t>
        </is>
      </c>
      <c r="D180" s="285" t="n"/>
      <c r="E180" s="198" t="inlineStr">
        <is>
          <t>PCS</t>
        </is>
      </c>
      <c r="F180" s="349" t="n"/>
      <c r="G180" s="392" t="n"/>
      <c r="AR180" s="201" t="n"/>
      <c r="AS180" s="347" t="n"/>
      <c r="AT180" s="347" t="n"/>
      <c r="AU180" s="201" t="n"/>
      <c r="AV180" s="201" t="n"/>
      <c r="AW180" s="201" t="n"/>
      <c r="AX180" s="201" t="n"/>
      <c r="AY180" s="201" t="n"/>
      <c r="AZ180" s="203">
        <f>SUMIFS(領用表!$L:$L,領用表!$E:$E,$B180,領用表!$B:$B,AZ$2&amp;$BI$1)</f>
        <v/>
      </c>
      <c r="BA180" s="203">
        <f>SUMIFS(領用表!$L:$L,領用表!$E:$E,$B180,領用表!$B:$B,BA$2&amp;$BI$1)</f>
        <v/>
      </c>
      <c r="BB180" s="203">
        <f>SUMIFS(領用表!$L:$L,領用表!$E:$E,$B180,領用表!$B:$B,BB$2&amp;$BI$1)</f>
        <v/>
      </c>
      <c r="BC180" s="203">
        <f>SUMIFS(領用表!$L:$L,領用表!$E:$E,$B180,領用表!$B:$B,BC$2&amp;$BI$1)</f>
        <v/>
      </c>
      <c r="BD180" s="208">
        <f>SUMIFS(領用表!$L:$L,領用表!$E:$E,$B180,領用表!$B:$B,BD$2&amp;$BI$1)</f>
        <v/>
      </c>
      <c r="BE180" s="208">
        <f>SUMIFS(領用表!$L:$L,領用表!$E:$E,$B180,領用表!$B:$B,BE$2&amp;$BI$1)</f>
        <v/>
      </c>
      <c r="BF180" s="208">
        <f>SUMIFS(領用表!$L:$L,領用表!$E:$E,$B180,領用表!$B:$B,BF$2&amp;$BI$1)</f>
        <v/>
      </c>
      <c r="BG180" s="207">
        <f>SUM(AU180,AV180,AW180,AX180,AY180,AZ180,BA180,BB180,BC180,BD180,BE180,BF180)</f>
        <v/>
      </c>
      <c r="BH180" s="207">
        <f>AVERAGE(AU180,AV180,AW180,AX180,AY180,AZ180,BA180,BB180,BC180,BD180,BE180,BF180)</f>
        <v/>
      </c>
      <c r="BI180" s="208">
        <f>SUMIFS(領用表!$L:$L,領用表!$E:$E,$B180,領用表!$B:$B,BI$2&amp;$BI$1)</f>
        <v/>
      </c>
      <c r="BJ180" s="332">
        <f>SUMIFS(領用表!$L:$L,領用表!$E:$E,$B180,領用表!$B:$B,BJ$2&amp;$BI$1)</f>
        <v/>
      </c>
      <c r="BK180" s="332">
        <f>SUMIFS(領用表!$L:$L,領用表!$E:$E,$B180,領用表!$B:$B,BK$2&amp;$BI$1)</f>
        <v/>
      </c>
      <c r="BL180" s="332">
        <f>SUMIFS(領用表!$L:$L,領用表!$E:$E,$B180,領用表!$B:$B,BL$2&amp;$BI$1)</f>
        <v/>
      </c>
      <c r="BM180" s="332">
        <f>SUMIFS(領用表!$L:$L,領用表!$E:$E,$B180,領用表!$B:$B,BM$2&amp;$BI$1)</f>
        <v/>
      </c>
      <c r="BN180" s="332">
        <f>SUMIFS(領用表!$L:$L,領用表!$E:$E,$B180,領用表!$B:$B,BN$2&amp;$BI$1)</f>
        <v/>
      </c>
      <c r="BO180" s="332">
        <f>SUMIFS(領用表!$L:$L,領用表!$E:$E,$B180,領用表!$B:$B,BO$2&amp;$BI$1)</f>
        <v/>
      </c>
      <c r="BP180" s="332">
        <f>SUMIFS(領用表!$L:$L,領用表!$E:$E,$B180,領用表!$B:$B,BP$2&amp;$BI$1)</f>
        <v/>
      </c>
      <c r="BQ180" s="332">
        <f>SUMIFS(領用表!$L:$L,領用表!$E:$E,$B180,領用表!$B:$B,BQ$2&amp;$BI$1)</f>
        <v/>
      </c>
      <c r="BR180" s="332">
        <f>SUMIFS(領用表!$L:$L,領用表!$E:$E,$B180,領用表!$B:$B,BR$2&amp;$BI$1)</f>
        <v/>
      </c>
      <c r="BS180" s="332">
        <f>SUMIFS(領用表!$L:$L,領用表!$E:$E,$B180,領用表!$B:$B,BS$2&amp;$BI$1)</f>
        <v/>
      </c>
      <c r="BT180" s="332">
        <f>SUMIFS(領用表!$L:$L,領用表!$E:$E,$B180,領用表!$B:$B,BT$2&amp;$BI$1)</f>
        <v/>
      </c>
      <c r="BU180" s="332">
        <f>SUM(BI180,BJ180,BK180,BL180,BM180,BN180)</f>
        <v/>
      </c>
      <c r="BV180" s="332">
        <f>AVERAGE(BI180,BJ180,BK180,BL180,BM180,BN180)</f>
        <v/>
      </c>
      <c r="BW180" s="332">
        <f>SUMIF(Summary!B:B,B180,Summary!DZ:DZ)</f>
        <v/>
      </c>
      <c r="BX180" s="338" t="n"/>
      <c r="BY180" s="342" t="n"/>
      <c r="BZ180" s="340" t="n"/>
      <c r="CA180" s="340" t="n"/>
    </row>
    <row r="181" ht="15.75" customFormat="1" customHeight="1" s="118">
      <c r="A181" s="136" t="inlineStr">
        <is>
          <t>FL1AA030002T</t>
        </is>
      </c>
      <c r="B181" s="118" t="e">
        <v>#N/A</v>
      </c>
      <c r="C181" s="136" t="inlineStr">
        <is>
          <t>試用包 - 水盈潤去角質凝膠 3mL</t>
        </is>
      </c>
      <c r="D181" s="285" t="n"/>
      <c r="E181" s="198" t="inlineStr">
        <is>
          <t>PCS</t>
        </is>
      </c>
      <c r="F181" s="349" t="n"/>
      <c r="G181" s="392" t="n"/>
      <c r="AR181" s="201" t="n"/>
      <c r="AS181" s="347" t="n"/>
      <c r="AT181" s="347" t="n"/>
      <c r="AU181" s="201" t="n"/>
      <c r="AV181" s="201" t="n"/>
      <c r="AW181" s="201" t="n"/>
      <c r="AX181" s="201" t="n"/>
      <c r="AY181" s="201" t="n"/>
      <c r="AZ181" s="203">
        <f>SUMIFS(領用表!$L:$L,領用表!$E:$E,$B181,領用表!$B:$B,AZ$2&amp;$BI$1)</f>
        <v/>
      </c>
      <c r="BA181" s="203">
        <f>SUMIFS(領用表!$L:$L,領用表!$E:$E,$B181,領用表!$B:$B,BA$2&amp;$BI$1)</f>
        <v/>
      </c>
      <c r="BB181" s="203">
        <f>SUMIFS(領用表!$L:$L,領用表!$E:$E,$B181,領用表!$B:$B,BB$2&amp;$BI$1)</f>
        <v/>
      </c>
      <c r="BC181" s="203">
        <f>SUMIFS(領用表!$L:$L,領用表!$E:$E,$B181,領用表!$B:$B,BC$2&amp;$BI$1)</f>
        <v/>
      </c>
      <c r="BD181" s="208">
        <f>SUMIFS(領用表!$L:$L,領用表!$E:$E,$B181,領用表!$B:$B,BD$2&amp;$BI$1)</f>
        <v/>
      </c>
      <c r="BE181" s="208">
        <f>SUMIFS(領用表!$L:$L,領用表!$E:$E,$B181,領用表!$B:$B,BE$2&amp;$BI$1)</f>
        <v/>
      </c>
      <c r="BF181" s="208">
        <f>SUMIFS(領用表!$L:$L,領用表!$E:$E,$B181,領用表!$B:$B,BF$2&amp;$BI$1)</f>
        <v/>
      </c>
      <c r="BG181" s="207">
        <f>SUM(AU181,AV181,AW181,AX181,AY181,AZ181,BA181,BB181,BC181,BD181,BE181,BF181)</f>
        <v/>
      </c>
      <c r="BH181" s="207">
        <f>AVERAGE(AU181,AV181,AW181,AX181,AY181,AZ181,BA181,BB181,BC181,BD181,BE181,BF181)</f>
        <v/>
      </c>
      <c r="BI181" s="208">
        <f>SUMIFS(領用表!$L:$L,領用表!$E:$E,$B181,領用表!$B:$B,BI$2&amp;$BI$1)</f>
        <v/>
      </c>
      <c r="BJ181" s="332">
        <f>SUMIFS(領用表!$L:$L,領用表!$E:$E,$B181,領用表!$B:$B,BJ$2&amp;$BI$1)</f>
        <v/>
      </c>
      <c r="BK181" s="332">
        <f>SUMIFS(領用表!$L:$L,領用表!$E:$E,$B181,領用表!$B:$B,BK$2&amp;$BI$1)</f>
        <v/>
      </c>
      <c r="BL181" s="332">
        <f>SUMIFS(領用表!$L:$L,領用表!$E:$E,$B181,領用表!$B:$B,BL$2&amp;$BI$1)</f>
        <v/>
      </c>
      <c r="BM181" s="332">
        <f>SUMIFS(領用表!$L:$L,領用表!$E:$E,$B181,領用表!$B:$B,BM$2&amp;$BI$1)</f>
        <v/>
      </c>
      <c r="BN181" s="332">
        <f>SUMIFS(領用表!$L:$L,領用表!$E:$E,$B181,領用表!$B:$B,BN$2&amp;$BI$1)</f>
        <v/>
      </c>
      <c r="BO181" s="332">
        <f>SUMIFS(領用表!$L:$L,領用表!$E:$E,$B181,領用表!$B:$B,BO$2&amp;$BI$1)</f>
        <v/>
      </c>
      <c r="BP181" s="332">
        <f>SUMIFS(領用表!$L:$L,領用表!$E:$E,$B181,領用表!$B:$B,BP$2&amp;$BI$1)</f>
        <v/>
      </c>
      <c r="BQ181" s="332">
        <f>SUMIFS(領用表!$L:$L,領用表!$E:$E,$B181,領用表!$B:$B,BQ$2&amp;$BI$1)</f>
        <v/>
      </c>
      <c r="BR181" s="332">
        <f>SUMIFS(領用表!$L:$L,領用表!$E:$E,$B181,領用表!$B:$B,BR$2&amp;$BI$1)</f>
        <v/>
      </c>
      <c r="BS181" s="332">
        <f>SUMIFS(領用表!$L:$L,領用表!$E:$E,$B181,領用表!$B:$B,BS$2&amp;$BI$1)</f>
        <v/>
      </c>
      <c r="BT181" s="332">
        <f>SUMIFS(領用表!$L:$L,領用表!$E:$E,$B181,領用表!$B:$B,BT$2&amp;$BI$1)</f>
        <v/>
      </c>
      <c r="BU181" s="332">
        <f>SUM(BI181,BJ181,BK181,BL181,BM181,BN181)</f>
        <v/>
      </c>
      <c r="BV181" s="332">
        <f>AVERAGE(BI181,BJ181,BK181,BL181,BM181,BN181)</f>
        <v/>
      </c>
      <c r="BW181" s="332">
        <f>SUMIF(Summary!B:B,B181,Summary!DZ:DZ)</f>
        <v/>
      </c>
      <c r="BX181" s="338" t="n"/>
      <c r="BY181" s="342" t="n"/>
      <c r="BZ181" s="340" t="n"/>
      <c r="CA181" s="340" t="n"/>
    </row>
    <row r="182" ht="15.75" customFormat="1" customHeight="1" s="118">
      <c r="A182" s="136" t="inlineStr">
        <is>
          <t>FL1AA060007T</t>
        </is>
      </c>
      <c r="B182" s="118" t="e">
        <v>#N/A</v>
      </c>
      <c r="C182" s="136" t="inlineStr">
        <is>
          <t>試用包-花神臻秘玫瑰肌密晶凝霜 2mL(含紙卡)</t>
        </is>
      </c>
      <c r="D182" s="285" t="n"/>
      <c r="E182" s="198" t="inlineStr">
        <is>
          <t>PCS</t>
        </is>
      </c>
      <c r="F182" s="349" t="n"/>
      <c r="G182" s="392" t="n"/>
      <c r="AR182" s="201" t="n"/>
      <c r="AS182" s="347" t="n"/>
      <c r="AT182" s="347" t="n"/>
      <c r="AU182" s="201" t="n"/>
      <c r="AV182" s="201" t="n"/>
      <c r="AW182" s="201" t="n"/>
      <c r="AX182" s="201" t="n"/>
      <c r="AY182" s="201" t="n"/>
      <c r="AZ182" s="203">
        <f>SUMIFS(領用表!$L:$L,領用表!$E:$E,$B182,領用表!$B:$B,AZ$2&amp;$BI$1)</f>
        <v/>
      </c>
      <c r="BA182" s="203">
        <f>SUMIFS(領用表!$L:$L,領用表!$E:$E,$B182,領用表!$B:$B,BA$2&amp;$BI$1)</f>
        <v/>
      </c>
      <c r="BB182" s="203">
        <f>SUMIFS(領用表!$L:$L,領用表!$E:$E,$B182,領用表!$B:$B,BB$2&amp;$BI$1)</f>
        <v/>
      </c>
      <c r="BC182" s="203">
        <f>SUMIFS(領用表!$L:$L,領用表!$E:$E,$B182,領用表!$B:$B,BC$2&amp;$BI$1)</f>
        <v/>
      </c>
      <c r="BD182" s="208">
        <f>SUMIFS(領用表!$L:$L,領用表!$E:$E,$B182,領用表!$B:$B,BD$2&amp;$BI$1)</f>
        <v/>
      </c>
      <c r="BE182" s="208">
        <f>SUMIFS(領用表!$L:$L,領用表!$E:$E,$B182,領用表!$B:$B,BE$2&amp;$BI$1)</f>
        <v/>
      </c>
      <c r="BF182" s="208">
        <f>SUMIFS(領用表!$L:$L,領用表!$E:$E,$B182,領用表!$B:$B,BF$2&amp;$BI$1)</f>
        <v/>
      </c>
      <c r="BG182" s="207">
        <f>SUM(AU182,AV182,AW182,AX182,AY182,AZ182,BA182,BB182,BC182,BD182,BE182,BF182)</f>
        <v/>
      </c>
      <c r="BH182" s="207">
        <f>AVERAGE(AU182,AV182,AW182,AX182,AY182,AZ182,BA182,BB182,BC182,BD182,BE182,BF182)</f>
        <v/>
      </c>
      <c r="BI182" s="208">
        <f>SUMIFS(領用表!$L:$L,領用表!$E:$E,$B182,領用表!$B:$B,BI$2&amp;$BI$1)</f>
        <v/>
      </c>
      <c r="BJ182" s="332">
        <f>SUMIFS(領用表!$L:$L,領用表!$E:$E,$B182,領用表!$B:$B,BJ$2&amp;$BI$1)</f>
        <v/>
      </c>
      <c r="BK182" s="332">
        <f>SUMIFS(領用表!$L:$L,領用表!$E:$E,$B182,領用表!$B:$B,BK$2&amp;$BI$1)</f>
        <v/>
      </c>
      <c r="BL182" s="332">
        <f>SUMIFS(領用表!$L:$L,領用表!$E:$E,$B182,領用表!$B:$B,BL$2&amp;$BI$1)</f>
        <v/>
      </c>
      <c r="BM182" s="332">
        <f>SUMIFS(領用表!$L:$L,領用表!$E:$E,$B182,領用表!$B:$B,BM$2&amp;$BI$1)</f>
        <v/>
      </c>
      <c r="BN182" s="332">
        <f>SUMIFS(領用表!$L:$L,領用表!$E:$E,$B182,領用表!$B:$B,BN$2&amp;$BI$1)</f>
        <v/>
      </c>
      <c r="BO182" s="332">
        <f>SUMIFS(領用表!$L:$L,領用表!$E:$E,$B182,領用表!$B:$B,BO$2&amp;$BI$1)</f>
        <v/>
      </c>
      <c r="BP182" s="332">
        <f>SUMIFS(領用表!$L:$L,領用表!$E:$E,$B182,領用表!$B:$B,BP$2&amp;$BI$1)</f>
        <v/>
      </c>
      <c r="BQ182" s="332">
        <f>SUMIFS(領用表!$L:$L,領用表!$E:$E,$B182,領用表!$B:$B,BQ$2&amp;$BI$1)</f>
        <v/>
      </c>
      <c r="BR182" s="332">
        <f>SUMIFS(領用表!$L:$L,領用表!$E:$E,$B182,領用表!$B:$B,BR$2&amp;$BI$1)</f>
        <v/>
      </c>
      <c r="BS182" s="332">
        <f>SUMIFS(領用表!$L:$L,領用表!$E:$E,$B182,領用表!$B:$B,BS$2&amp;$BI$1)</f>
        <v/>
      </c>
      <c r="BT182" s="332">
        <f>SUMIFS(領用表!$L:$L,領用表!$E:$E,$B182,領用表!$B:$B,BT$2&amp;$BI$1)</f>
        <v/>
      </c>
      <c r="BU182" s="332">
        <f>SUM(BI182,BJ182,BK182,BL182,BM182,BN182)</f>
        <v/>
      </c>
      <c r="BV182" s="332">
        <f>AVERAGE(BI182,BJ182,BK182,BL182,BM182,BN182)</f>
        <v/>
      </c>
      <c r="BW182" s="332">
        <f>SUMIF(Summary!B:B,B182,Summary!DZ:DZ)</f>
        <v/>
      </c>
      <c r="BX182" s="338" t="n"/>
      <c r="BY182" s="342" t="n"/>
      <c r="BZ182" s="340" t="n"/>
      <c r="CA182" s="340" t="n"/>
    </row>
    <row r="183" hidden="1" ht="15" customFormat="1" customHeight="1" s="118">
      <c r="A183" s="136" t="inlineStr">
        <is>
          <t>DN1AA090015T</t>
        </is>
      </c>
      <c r="B183" s="118" t="n">
        <v>1080002</v>
      </c>
      <c r="C183" s="136" t="inlineStr">
        <is>
          <t>神經醯胺水漾保濕面膜/ 30ml</t>
        </is>
      </c>
      <c r="D183" s="285" t="n"/>
      <c r="E183" s="198" t="inlineStr">
        <is>
          <t>PCS</t>
        </is>
      </c>
      <c r="F183" s="349" t="n"/>
      <c r="G183" s="392" t="n"/>
      <c r="H183" s="283" t="n"/>
      <c r="I183" s="283" t="n"/>
      <c r="J183" s="283" t="n"/>
      <c r="K183" s="283" t="n"/>
      <c r="L183" s="283" t="n"/>
      <c r="M183" s="283" t="n"/>
      <c r="N183" s="283" t="n"/>
      <c r="O183" s="283" t="n"/>
      <c r="P183" s="283" t="n"/>
      <c r="Q183" s="283" t="n"/>
      <c r="R183" s="283" t="n"/>
      <c r="S183" s="283" t="n"/>
      <c r="T183" s="283" t="n"/>
      <c r="U183" s="283" t="n"/>
      <c r="V183" s="283" t="n"/>
      <c r="W183" s="283" t="n"/>
      <c r="X183" s="283" t="n"/>
      <c r="Y183" s="283" t="n"/>
      <c r="Z183" s="283" t="n"/>
      <c r="AA183" s="283" t="n"/>
      <c r="AB183" s="283" t="n"/>
      <c r="AC183" s="283" t="n"/>
      <c r="AD183" s="283" t="n"/>
      <c r="AE183" s="283" t="n"/>
      <c r="AF183" s="283" t="n"/>
      <c r="AG183" s="201" t="n"/>
      <c r="AH183" s="201" t="n"/>
      <c r="AI183" s="201" t="n"/>
      <c r="AJ183" s="201" t="n"/>
      <c r="AK183" s="201" t="n"/>
      <c r="AL183" s="201" t="n"/>
      <c r="AM183" s="201" t="n"/>
      <c r="AN183" s="201" t="n">
        <v>800</v>
      </c>
      <c r="AO183" s="201" t="n">
        <v>800</v>
      </c>
      <c r="AP183" s="201" t="n">
        <v>800</v>
      </c>
      <c r="AQ183" s="201" t="n">
        <v>3200</v>
      </c>
      <c r="AR183" s="201" t="n">
        <v>4800</v>
      </c>
      <c r="AS183" s="283">
        <f>SUM(AG183:AR183)</f>
        <v/>
      </c>
      <c r="AT183" s="286">
        <f>AS183/12</f>
        <v/>
      </c>
      <c r="AU183" s="201" t="n">
        <v>4649</v>
      </c>
      <c r="AV183" s="201" t="n">
        <v>2263</v>
      </c>
      <c r="AW183" s="201" t="n">
        <v>3200</v>
      </c>
      <c r="AX183" s="201" t="n">
        <v>800</v>
      </c>
      <c r="AY183" s="201" t="n">
        <v>0</v>
      </c>
      <c r="AZ183" s="203">
        <f>SUMIFS(領用表!$L:$L,領用表!$E:$E,$B183,領用表!$B:$B,AZ$2&amp;$BI$1)</f>
        <v/>
      </c>
      <c r="BA183" s="203">
        <f>SUMIFS(領用表!$L:$L,領用表!$E:$E,$B183,領用表!$B:$B,BA$2&amp;$BI$1)</f>
        <v/>
      </c>
      <c r="BB183" s="203">
        <f>SUMIFS(領用表!$L:$L,領用表!$E:$E,$B183,領用表!$B:$B,BB$2&amp;$BI$1)</f>
        <v/>
      </c>
      <c r="BC183" s="203">
        <f>SUMIFS(領用表!$L:$L,領用表!$E:$E,$B183,領用表!$B:$B,BC$2&amp;$BI$1)</f>
        <v/>
      </c>
      <c r="BD183" s="208">
        <f>SUMIFS(領用表!$L:$L,領用表!$E:$E,$B183,領用表!$B:$B,BD$2&amp;$BI$1)</f>
        <v/>
      </c>
      <c r="BE183" s="208">
        <f>SUMIFS(領用表!$L:$L,領用表!$E:$E,$B183,領用表!$B:$B,BE$2&amp;$BI$1)</f>
        <v/>
      </c>
      <c r="BF183" s="208">
        <f>SUMIFS(領用表!$L:$L,領用表!$E:$E,$B183,領用表!$B:$B,BF$2&amp;$BI$1)</f>
        <v/>
      </c>
      <c r="BG183" s="207">
        <f>SUM(AU183,AV183,AW183,AX183,AY183,AZ183,BA183,BB183,BC183,BD183,BE183,BF183)</f>
        <v/>
      </c>
      <c r="BH183" s="207">
        <f>AVERAGE(AU183,AV183,AW183,AX183,AY183,AZ183,BA183,BB183,BC183,BD183,BE183,BF183)</f>
        <v/>
      </c>
      <c r="BI183" s="208">
        <f>SUMIFS(領用表!$L:$L,領用表!$E:$E,$B183,領用表!$B:$B,BI$2&amp;$BI$1)</f>
        <v/>
      </c>
      <c r="BJ183" s="208">
        <f>SUMIFS(領用表!$L:$L,領用表!$E:$E,$B183,領用表!$B:$B,BJ$2&amp;$BI$1)</f>
        <v/>
      </c>
      <c r="BK183" s="208">
        <f>SUMIFS(領用表!$L:$L,領用表!$E:$E,$B183,領用表!$B:$B,BK$2&amp;$BI$1)</f>
        <v/>
      </c>
      <c r="BL183" s="208">
        <f>SUMIFS(領用表!$L:$L,領用表!$E:$E,$B183,領用表!$B:$B,BL$2&amp;$BI$1)</f>
        <v/>
      </c>
      <c r="BM183" s="208">
        <f>SUMIFS(領用表!$L:$L,領用表!$E:$E,$B183,領用表!$B:$B,BM$2&amp;$BI$1)</f>
        <v/>
      </c>
      <c r="BN183" s="208" t="n"/>
      <c r="BO183" s="208">
        <f>SUMIFS(領用表!$L:$L,領用表!$E:$E,$B183,領用表!$B:$B,BO$2&amp;$BI$1)</f>
        <v/>
      </c>
      <c r="BP183" s="208">
        <f>SUMIFS(領用表!$L:$L,領用表!$E:$E,$B183,領用表!$B:$B,BP$2&amp;$BI$1)</f>
        <v/>
      </c>
      <c r="BQ183" s="208">
        <f>SUMIFS(領用表!$L:$L,領用表!$E:$E,$B183,領用表!$B:$B,BQ$2&amp;$BI$1)</f>
        <v/>
      </c>
      <c r="BR183" s="208">
        <f>SUMIFS(領用表!$L:$L,領用表!$E:$E,$B183,領用表!$B:$B,BR$2&amp;$BI$1)</f>
        <v/>
      </c>
      <c r="BS183" s="208">
        <f>SUMIFS(領用表!$L:$L,領用表!$E:$E,$B183,領用表!$B:$B,BS$2&amp;$BI$1)</f>
        <v/>
      </c>
      <c r="BT183" s="208">
        <f>SUMIFS(領用表!$L:$L,領用表!$E:$E,$B183,領用表!$B:$B,BT$2&amp;$BI$1)</f>
        <v/>
      </c>
      <c r="BU183" s="208">
        <f>SUM(BI183,BJ183,BK183,BL183,BM183,BN183)</f>
        <v/>
      </c>
      <c r="BV183" s="208">
        <f>AVERAGE(BI183,BJ183,BK183,BL183,BM183,BN183)</f>
        <v/>
      </c>
      <c r="BW183" s="208">
        <f>SUMIF(Summary!B:B,B183,Summary!DZ:DZ)</f>
        <v/>
      </c>
      <c r="BX183" s="258" t="n"/>
      <c r="BY183" s="340" t="n"/>
      <c r="BZ183" s="340" t="n"/>
      <c r="CA183" s="340" t="n"/>
      <c r="CB183" s="136" t="n"/>
      <c r="CC183" s="136" t="n"/>
    </row>
    <row r="184" hidden="1" ht="15" customFormat="1" customHeight="1" s="118">
      <c r="A184" s="136" t="inlineStr">
        <is>
          <t>DN1AA090011T</t>
        </is>
      </c>
      <c r="B184" s="118" t="n">
        <v>1080006</v>
      </c>
      <c r="C184" s="136" t="inlineStr">
        <is>
          <t>肌因抗老修護微導膜 25ml (2015年版)</t>
        </is>
      </c>
      <c r="D184" s="285" t="n"/>
      <c r="E184" s="198" t="inlineStr">
        <is>
          <t>PCS</t>
        </is>
      </c>
      <c r="F184" s="349" t="n"/>
      <c r="G184" s="392" t="n"/>
      <c r="AG184" s="348" t="n"/>
      <c r="AH184" s="348" t="n"/>
      <c r="AI184" s="348" t="n"/>
      <c r="AJ184" s="348" t="n"/>
      <c r="AK184" s="348" t="n"/>
      <c r="AL184" s="348" t="n"/>
      <c r="AM184" s="348" t="n"/>
      <c r="AN184" s="201" t="n">
        <v>0</v>
      </c>
      <c r="AO184" s="201" t="n">
        <v>0</v>
      </c>
      <c r="AP184" s="201" t="n">
        <v>0</v>
      </c>
      <c r="AQ184" s="201" t="n">
        <v>50</v>
      </c>
      <c r="AR184" s="201" t="n">
        <v>0</v>
      </c>
      <c r="AS184" s="283">
        <f>SUM(AG184:AR184)</f>
        <v/>
      </c>
      <c r="AT184" s="286">
        <f>AS184/12</f>
        <v/>
      </c>
      <c r="AU184" s="201" t="n">
        <v>0</v>
      </c>
      <c r="AV184" s="201" t="n">
        <v>4620</v>
      </c>
      <c r="AW184" s="201" t="n">
        <v>0</v>
      </c>
      <c r="AX184" s="201" t="n">
        <v>0</v>
      </c>
      <c r="AY184" s="201" t="n">
        <v>2400</v>
      </c>
      <c r="AZ184" s="203">
        <f>SUMIFS(領用表!$L:$L,領用表!$E:$E,$B184,領用表!$B:$B,AZ$2&amp;$BI$1)</f>
        <v/>
      </c>
      <c r="BA184" s="203">
        <f>SUMIFS(領用表!$L:$L,領用表!$E:$E,$B184,領用表!$B:$B,BA$2&amp;$BI$1)</f>
        <v/>
      </c>
      <c r="BB184" s="203">
        <f>SUMIFS(領用表!$L:$L,領用表!$E:$E,$B184,領用表!$B:$B,BB$2&amp;$BI$1)</f>
        <v/>
      </c>
      <c r="BC184" s="203">
        <f>SUMIFS(領用表!$L:$L,領用表!$E:$E,$B184,領用表!$B:$B,BC$2&amp;$BI$1)</f>
        <v/>
      </c>
      <c r="BD184" s="208">
        <f>SUMIFS(領用表!$L:$L,領用表!$E:$E,$B184,領用表!$B:$B,BD$2&amp;$BI$1)</f>
        <v/>
      </c>
      <c r="BE184" s="208">
        <f>SUMIFS(領用表!$L:$L,領用表!$E:$E,$B184,領用表!$B:$B,BE$2&amp;$BI$1)</f>
        <v/>
      </c>
      <c r="BF184" s="208">
        <f>SUMIFS(領用表!$L:$L,領用表!$E:$E,$B184,領用表!$B:$B,BF$2&amp;$BI$1)</f>
        <v/>
      </c>
      <c r="BG184" s="207">
        <f>SUM(AU184,AV184,AW184,AX184,AY184,AZ184,BA184,BB184,BC184,BD184,BE184,BF184)</f>
        <v/>
      </c>
      <c r="BH184" s="207">
        <f>AVERAGE(AU184,AV184,AW184,AX184,AY184,AZ184,BA184,BB184,BC184,BD184,BE184,BF184)</f>
        <v/>
      </c>
      <c r="BI184" s="208">
        <f>SUMIFS(領用表!$L:$L,領用表!$E:$E,$B184,領用表!$B:$B,BI$2&amp;$BI$1)</f>
        <v/>
      </c>
      <c r="BJ184" s="208">
        <f>SUMIFS(領用表!$L:$L,領用表!$E:$E,$B184,領用表!$B:$B,BJ$2&amp;$BI$1)</f>
        <v/>
      </c>
      <c r="BK184" s="208">
        <f>SUMIFS(領用表!$L:$L,領用表!$E:$E,$B184,領用表!$B:$B,BK$2&amp;$BI$1)</f>
        <v/>
      </c>
      <c r="BL184" s="208">
        <f>SUMIFS(領用表!$L:$L,領用表!$E:$E,$B184,領用表!$B:$B,BL$2&amp;$BI$1)</f>
        <v/>
      </c>
      <c r="BM184" s="208">
        <f>SUMIFS(領用表!$L:$L,領用表!$E:$E,$B184,領用表!$B:$B,BM$2&amp;$BI$1)</f>
        <v/>
      </c>
      <c r="BN184" s="208" t="n"/>
      <c r="BO184" s="208">
        <f>SUMIFS(領用表!$L:$L,領用表!$E:$E,$B184,領用表!$B:$B,BO$2&amp;$BI$1)</f>
        <v/>
      </c>
      <c r="BP184" s="208">
        <f>SUMIFS(領用表!$L:$L,領用表!$E:$E,$B184,領用表!$B:$B,BP$2&amp;$BI$1)</f>
        <v/>
      </c>
      <c r="BQ184" s="208">
        <f>SUMIFS(領用表!$L:$L,領用表!$E:$E,$B184,領用表!$B:$B,BQ$2&amp;$BI$1)</f>
        <v/>
      </c>
      <c r="BR184" s="208">
        <f>SUMIFS(領用表!$L:$L,領用表!$E:$E,$B184,領用表!$B:$B,BR$2&amp;$BI$1)</f>
        <v/>
      </c>
      <c r="BS184" s="208">
        <f>SUMIFS(領用表!$L:$L,領用表!$E:$E,$B184,領用表!$B:$B,BS$2&amp;$BI$1)</f>
        <v/>
      </c>
      <c r="BT184" s="208">
        <f>SUMIFS(領用表!$L:$L,領用表!$E:$E,$B184,領用表!$B:$B,BT$2&amp;$BI$1)</f>
        <v/>
      </c>
      <c r="BU184" s="208">
        <f>SUM(BI184,BJ184,BK184,BL184,BM184,BN184)</f>
        <v/>
      </c>
      <c r="BV184" s="208">
        <f>AVERAGE(BI184,BJ184,BK184,BL184,BM184,BN184)</f>
        <v/>
      </c>
      <c r="BW184" s="208">
        <f>SUMIF(Summary!B:B,B184,Summary!DZ:DZ)</f>
        <v/>
      </c>
      <c r="BX184" s="258" t="n"/>
      <c r="BY184" s="340" t="n"/>
      <c r="BZ184" s="340" t="n"/>
      <c r="CA184" s="341" t="n"/>
    </row>
    <row r="185" hidden="1" ht="15" customFormat="1" customHeight="1" s="118">
      <c r="A185" s="136" t="inlineStr">
        <is>
          <t>DE1AA090013T</t>
        </is>
      </c>
      <c r="B185" s="118" t="n">
        <v>6080005</v>
      </c>
      <c r="C185" s="136" t="inlineStr">
        <is>
          <t>玻尿酸恆潤保濕面膜 30mL</t>
        </is>
      </c>
      <c r="D185" s="285" t="n"/>
      <c r="E185" s="198" t="inlineStr">
        <is>
          <t>PCS</t>
        </is>
      </c>
      <c r="F185" s="349" t="n"/>
      <c r="G185" s="392" t="n"/>
      <c r="AG185" s="348" t="n"/>
      <c r="AH185" s="348" t="n"/>
      <c r="AI185" s="348" t="n"/>
      <c r="AJ185" s="348" t="n"/>
      <c r="AK185" s="348" t="n"/>
      <c r="AL185" s="348" t="n"/>
      <c r="AM185" s="348" t="n"/>
      <c r="AN185" s="201" t="n"/>
      <c r="AO185" s="201" t="n"/>
      <c r="AP185" s="201" t="n"/>
      <c r="AQ185" s="201" t="n"/>
      <c r="AR185" s="201" t="n"/>
      <c r="AS185" s="283" t="n">
        <v>0</v>
      </c>
      <c r="AT185" s="286" t="n">
        <v>0</v>
      </c>
      <c r="AU185" s="201" t="n">
        <v>0</v>
      </c>
      <c r="AV185" s="201" t="n">
        <v>0</v>
      </c>
      <c r="AW185" s="201" t="n">
        <v>0</v>
      </c>
      <c r="AX185" s="201" t="n">
        <v>800</v>
      </c>
      <c r="AY185" s="201" t="n">
        <v>0</v>
      </c>
      <c r="AZ185" s="203">
        <f>SUMIFS(領用表!$L:$L,領用表!$E:$E,$B185,領用表!$B:$B,AZ$2&amp;$BI$1)</f>
        <v/>
      </c>
      <c r="BA185" s="203">
        <f>SUMIFS(領用表!$L:$L,領用表!$E:$E,$B185,領用表!$B:$B,BA$2&amp;$BI$1)</f>
        <v/>
      </c>
      <c r="BB185" s="203">
        <f>SUMIFS(領用表!$L:$L,領用表!$E:$E,$B185,領用表!$B:$B,BB$2&amp;$BI$1)</f>
        <v/>
      </c>
      <c r="BC185" s="203">
        <f>SUMIFS(領用表!$L:$L,領用表!$E:$E,$B185,領用表!$B:$B,BC$2&amp;$BI$1)</f>
        <v/>
      </c>
      <c r="BD185" s="208">
        <f>SUMIFS(領用表!$L:$L,領用表!$E:$E,$B185,領用表!$B:$B,BD$2&amp;$BI$1)</f>
        <v/>
      </c>
      <c r="BE185" s="208">
        <f>SUMIFS(領用表!$L:$L,領用表!$E:$E,$B185,領用表!$B:$B,BE$2&amp;$BI$1)</f>
        <v/>
      </c>
      <c r="BF185" s="208">
        <f>SUMIFS(領用表!$L:$L,領用表!$E:$E,$B185,領用表!$B:$B,BF$2&amp;$BI$1)</f>
        <v/>
      </c>
      <c r="BG185" s="207">
        <f>SUM(AU185,AV185,AW185,AX185,AY185,AZ185,BA185,BB185,BC185,BD185,BE185,BF185)</f>
        <v/>
      </c>
      <c r="BH185" s="207">
        <f>AVERAGE(AU185,AV185,AW185,AX185,AY185,AZ185,BA185,BB185,BC185,BD185,BE185,BF185)</f>
        <v/>
      </c>
      <c r="BI185" s="208">
        <f>SUMIFS(領用表!$L:$L,領用表!$E:$E,$B185,領用表!$B:$B,BI$2&amp;$BI$1)</f>
        <v/>
      </c>
      <c r="BJ185" s="208">
        <f>SUMIFS(領用表!$L:$L,領用表!$E:$E,$B185,領用表!$B:$B,BJ$2&amp;$BI$1)</f>
        <v/>
      </c>
      <c r="BK185" s="208">
        <f>SUMIFS(領用表!$L:$L,領用表!$E:$E,$B185,領用表!$B:$B,BK$2&amp;$BI$1)</f>
        <v/>
      </c>
      <c r="BL185" s="208">
        <f>SUMIFS(領用表!$L:$L,領用表!$E:$E,$B185,領用表!$B:$B,BL$2&amp;$BI$1)</f>
        <v/>
      </c>
      <c r="BM185" s="208">
        <f>SUMIFS(領用表!$L:$L,領用表!$E:$E,$B185,領用表!$B:$B,BM$2&amp;$BI$1)</f>
        <v/>
      </c>
      <c r="BN185" s="208" t="n"/>
      <c r="BO185" s="208">
        <f>SUMIFS(領用表!$L:$L,領用表!$E:$E,$B185,領用表!$B:$B,BO$2&amp;$BI$1)</f>
        <v/>
      </c>
      <c r="BP185" s="208">
        <f>SUMIFS(領用表!$L:$L,領用表!$E:$E,$B185,領用表!$B:$B,BP$2&amp;$BI$1)</f>
        <v/>
      </c>
      <c r="BQ185" s="208">
        <f>SUMIFS(領用表!$L:$L,領用表!$E:$E,$B185,領用表!$B:$B,BQ$2&amp;$BI$1)</f>
        <v/>
      </c>
      <c r="BR185" s="208">
        <f>SUMIFS(領用表!$L:$L,領用表!$E:$E,$B185,領用表!$B:$B,BR$2&amp;$BI$1)</f>
        <v/>
      </c>
      <c r="BS185" s="208">
        <f>SUMIFS(領用表!$L:$L,領用表!$E:$E,$B185,領用表!$B:$B,BS$2&amp;$BI$1)</f>
        <v/>
      </c>
      <c r="BT185" s="208">
        <f>SUMIFS(領用表!$L:$L,領用表!$E:$E,$B185,領用表!$B:$B,BT$2&amp;$BI$1)</f>
        <v/>
      </c>
      <c r="BU185" s="208">
        <f>SUM(BI185,BJ185,BK185,BL185,BM185,BN185)</f>
        <v/>
      </c>
      <c r="BV185" s="208">
        <f>AVERAGE(BI185,BJ185,BK185,BL185,BM185,BN185)</f>
        <v/>
      </c>
      <c r="BW185" s="208">
        <f>SUMIF(Summary!B:B,B185,Summary!DZ:DZ)</f>
        <v/>
      </c>
      <c r="BX185" s="258" t="n"/>
      <c r="BY185" s="340" t="n"/>
      <c r="BZ185" s="340" t="n"/>
      <c r="CA185" s="340" t="n"/>
    </row>
    <row r="186" hidden="1" ht="15" customFormat="1" customHeight="1" s="118">
      <c r="A186" s="136" t="inlineStr">
        <is>
          <t>DN1AB090006T</t>
        </is>
      </c>
      <c r="B186" s="118" t="n">
        <v>1080005</v>
      </c>
      <c r="C186" s="136" t="inlineStr">
        <is>
          <t>明眸撫紋水嫩眼膜 10mL(玫瑰金)</t>
        </is>
      </c>
      <c r="D186" s="285" t="n"/>
      <c r="E186" s="198" t="inlineStr">
        <is>
          <t>PCS</t>
        </is>
      </c>
      <c r="F186" s="349" t="n"/>
      <c r="G186" s="392" t="n"/>
      <c r="AG186" s="348" t="n"/>
      <c r="AH186" s="348" t="n"/>
      <c r="AI186" s="348" t="n"/>
      <c r="AJ186" s="348" t="n"/>
      <c r="AK186" s="348" t="n"/>
      <c r="AL186" s="348" t="n"/>
      <c r="AM186" s="348" t="n"/>
      <c r="AN186" s="201" t="n"/>
      <c r="AO186" s="201" t="n"/>
      <c r="AP186" s="201" t="n"/>
      <c r="AQ186" s="201" t="n"/>
      <c r="AR186" s="201" t="n"/>
      <c r="AS186" s="283">
        <f>SUM(AG186:AR186)</f>
        <v/>
      </c>
      <c r="AT186" s="286">
        <f>AS186/12</f>
        <v/>
      </c>
      <c r="AU186" s="201" t="n">
        <v>1400</v>
      </c>
      <c r="AV186" s="201" t="n">
        <v>2700</v>
      </c>
      <c r="AW186" s="201" t="n">
        <v>1200</v>
      </c>
      <c r="AX186" s="201" t="n">
        <v>0</v>
      </c>
      <c r="AY186" s="201" t="n">
        <v>0</v>
      </c>
      <c r="AZ186" s="203">
        <f>SUMIFS(領用表!$L:$L,領用表!$E:$E,$B186,領用表!$B:$B,AZ$2&amp;$BI$1)</f>
        <v/>
      </c>
      <c r="BA186" s="203">
        <f>SUMIFS(領用表!$L:$L,領用表!$E:$E,$B186,領用表!$B:$B,BA$2&amp;$BI$1)</f>
        <v/>
      </c>
      <c r="BB186" s="203">
        <f>SUMIFS(領用表!$L:$L,領用表!$E:$E,$B186,領用表!$B:$B,BB$2&amp;$BI$1)</f>
        <v/>
      </c>
      <c r="BC186" s="203">
        <f>SUMIFS(領用表!$L:$L,領用表!$E:$E,$B186,領用表!$B:$B,BC$2&amp;$BI$1)</f>
        <v/>
      </c>
      <c r="BD186" s="208">
        <f>SUMIFS(領用表!$L:$L,領用表!$E:$E,$B186,領用表!$B:$B,BD$2&amp;$BI$1)</f>
        <v/>
      </c>
      <c r="BE186" s="208">
        <f>SUMIFS(領用表!$L:$L,領用表!$E:$E,$B186,領用表!$B:$B,BE$2&amp;$BI$1)</f>
        <v/>
      </c>
      <c r="BF186" s="208">
        <f>SUMIFS(領用表!$L:$L,領用表!$E:$E,$B186,領用表!$B:$B,BF$2&amp;$BI$1)</f>
        <v/>
      </c>
      <c r="BG186" s="207">
        <f>SUM(AU186,AV186,AW186,AX186,AY186,AZ186,BA186,BB186,BC186,BD186,BE186,BF186)</f>
        <v/>
      </c>
      <c r="BH186" s="207">
        <f>AVERAGE(AU186,AV186,AW186,AX186,AY186,AZ186,BA186,BB186,BC186,BD186,BE186,BF186)</f>
        <v/>
      </c>
      <c r="BI186" s="208">
        <f>SUMIFS(領用表!$L:$L,領用表!$E:$E,$B186,領用表!$B:$B,BI$2&amp;$BI$1)</f>
        <v/>
      </c>
      <c r="BJ186" s="208">
        <f>SUMIFS(領用表!$L:$L,領用表!$E:$E,$B186,領用表!$B:$B,BJ$2&amp;$BI$1)</f>
        <v/>
      </c>
      <c r="BK186" s="208">
        <f>SUMIFS(領用表!$L:$L,領用表!$E:$E,$B186,領用表!$B:$B,BK$2&amp;$BI$1)</f>
        <v/>
      </c>
      <c r="BL186" s="208">
        <f>SUMIFS(領用表!$L:$L,領用表!$E:$E,$B186,領用表!$B:$B,BL$2&amp;$BI$1)</f>
        <v/>
      </c>
      <c r="BM186" s="208">
        <f>SUMIFS(領用表!$L:$L,領用表!$E:$E,$B186,領用表!$B:$B,BM$2&amp;$BI$1)</f>
        <v/>
      </c>
      <c r="BN186" s="208" t="n"/>
      <c r="BO186" s="208">
        <f>SUMIFS(領用表!$L:$L,領用表!$E:$E,$B186,領用表!$B:$B,BO$2&amp;$BI$1)</f>
        <v/>
      </c>
      <c r="BP186" s="208">
        <f>SUMIFS(領用表!$L:$L,領用表!$E:$E,$B186,領用表!$B:$B,BP$2&amp;$BI$1)</f>
        <v/>
      </c>
      <c r="BQ186" s="208">
        <f>SUMIFS(領用表!$L:$L,領用表!$E:$E,$B186,領用表!$B:$B,BQ$2&amp;$BI$1)</f>
        <v/>
      </c>
      <c r="BR186" s="208">
        <f>SUMIFS(領用表!$L:$L,領用表!$E:$E,$B186,領用表!$B:$B,BR$2&amp;$BI$1)</f>
        <v/>
      </c>
      <c r="BS186" s="208">
        <f>SUMIFS(領用表!$L:$L,領用表!$E:$E,$B186,領用表!$B:$B,BS$2&amp;$BI$1)</f>
        <v/>
      </c>
      <c r="BT186" s="208">
        <f>SUMIFS(領用表!$L:$L,領用表!$E:$E,$B186,領用表!$B:$B,BT$2&amp;$BI$1)</f>
        <v/>
      </c>
      <c r="BU186" s="208">
        <f>SUM(BI186,BJ186,BK186,BL186,BM186,BN186)</f>
        <v/>
      </c>
      <c r="BV186" s="208">
        <f>AVERAGE(BI186,BJ186,BK186,BL186,BM186,BN186)</f>
        <v/>
      </c>
      <c r="BW186" s="208">
        <f>SUMIF(Summary!B:B,B186,Summary!DZ:DZ)</f>
        <v/>
      </c>
      <c r="BX186" s="258" t="n"/>
      <c r="BY186" s="340" t="n"/>
      <c r="BZ186" s="340" t="n"/>
      <c r="CA186" s="340" t="n"/>
    </row>
    <row r="187" hidden="1" ht="15" customFormat="1" customHeight="1" s="118">
      <c r="A187" s="136" t="inlineStr">
        <is>
          <t>DL1GD000020T</t>
        </is>
      </c>
      <c r="B187" s="118" t="e">
        <v>#N/A</v>
      </c>
      <c r="C187" s="136" t="inlineStr">
        <is>
          <t>暢護菌益康粉包 3g(30入)(繁體版)</t>
        </is>
      </c>
      <c r="D187" s="285" t="n"/>
      <c r="E187" s="198" t="inlineStr">
        <is>
          <t>PCS</t>
        </is>
      </c>
      <c r="F187" s="349" t="n"/>
      <c r="G187" s="392" t="n"/>
      <c r="AG187" s="348" t="n"/>
      <c r="AH187" s="348" t="n"/>
      <c r="AI187" s="348" t="n"/>
      <c r="AJ187" s="348" t="n"/>
      <c r="AK187" s="348" t="n"/>
      <c r="AL187" s="348" t="n"/>
      <c r="AM187" s="348" t="n"/>
      <c r="AN187" s="201" t="n">
        <v>0</v>
      </c>
      <c r="AO187" s="201" t="n">
        <v>0</v>
      </c>
      <c r="AP187" s="201" t="n">
        <v>0</v>
      </c>
      <c r="AQ187" s="201" t="n">
        <v>0</v>
      </c>
      <c r="AR187" s="201" t="n">
        <v>18</v>
      </c>
      <c r="AS187" s="283">
        <f>SUM(AG187:AR187)</f>
        <v/>
      </c>
      <c r="AT187" s="286">
        <f>AS187/12</f>
        <v/>
      </c>
      <c r="AU187" s="201" t="n">
        <v>18</v>
      </c>
      <c r="AV187" s="201" t="n">
        <v>0</v>
      </c>
      <c r="AW187" s="201" t="n">
        <v>0</v>
      </c>
      <c r="AX187" s="201" t="n">
        <v>360</v>
      </c>
      <c r="AY187" s="201" t="n">
        <v>0</v>
      </c>
      <c r="AZ187" s="203">
        <f>SUMIFS(領用表!$L:$L,領用表!$E:$E,$B187,領用表!$B:$B,AZ$2&amp;$BI$1)</f>
        <v/>
      </c>
      <c r="BA187" s="203">
        <f>SUMIFS(領用表!$L:$L,領用表!$E:$E,$B187,領用表!$B:$B,BA$2&amp;$BI$1)</f>
        <v/>
      </c>
      <c r="BB187" s="203">
        <f>SUMIFS(領用表!$L:$L,領用表!$E:$E,$B187,領用表!$B:$B,BB$2&amp;$BI$1)</f>
        <v/>
      </c>
      <c r="BC187" s="203">
        <f>SUMIFS(領用表!$L:$L,領用表!$E:$E,$B187,領用表!$B:$B,BC$2&amp;$BI$1)</f>
        <v/>
      </c>
      <c r="BD187" s="208">
        <f>SUMIFS(領用表!$L:$L,領用表!$E:$E,$B187,領用表!$B:$B,BD$2&amp;$BI$1)</f>
        <v/>
      </c>
      <c r="BE187" s="208">
        <f>SUMIFS(領用表!$L:$L,領用表!$E:$E,$B187,領用表!$B:$B,BE$2&amp;$BI$1)</f>
        <v/>
      </c>
      <c r="BF187" s="208">
        <f>SUMIFS(領用表!$L:$L,領用表!$E:$E,$B187,領用表!$B:$B,BF$2&amp;$BI$1)</f>
        <v/>
      </c>
      <c r="BG187" s="207">
        <f>SUM(AU187,AV187,AW187,AX187,AY187,AZ187,BA187,BB187,BC187,BD187,BE187,BF187)</f>
        <v/>
      </c>
      <c r="BH187" s="207">
        <f>AVERAGE(AU187,AV187,AW187,AX187,AY187,AZ187,BA187,BB187,BC187,BD187,BE187,BF187)</f>
        <v/>
      </c>
      <c r="BI187" s="208">
        <f>SUMIFS(領用表!$L:$L,領用表!$E:$E,$B187,領用表!$B:$B,BI$2&amp;$BI$1)</f>
        <v/>
      </c>
      <c r="BJ187" s="208">
        <f>SUMIFS(領用表!$L:$L,領用表!$E:$E,$B187,領用表!$B:$B,BJ$2&amp;$BI$1)</f>
        <v/>
      </c>
      <c r="BK187" s="208">
        <f>SUMIFS(領用表!$L:$L,領用表!$E:$E,$B187,領用表!$B:$B,BK$2&amp;$BI$1)</f>
        <v/>
      </c>
      <c r="BL187" s="208">
        <f>SUMIFS(領用表!$L:$L,領用表!$E:$E,$B187,領用表!$B:$B,BL$2&amp;$BI$1)</f>
        <v/>
      </c>
      <c r="BM187" s="208">
        <f>SUMIFS(領用表!$L:$L,領用表!$E:$E,$B187,領用表!$B:$B,BM$2&amp;$BI$1)</f>
        <v/>
      </c>
      <c r="BN187" s="208">
        <f>SUMIFS(領用表!$L:$L,領用表!$E:$E,$B187,領用表!$B:$B,BN$2&amp;$BI$1)</f>
        <v/>
      </c>
      <c r="BO187" s="208">
        <f>SUMIFS(領用表!$L:$L,領用表!$E:$E,$B187,領用表!$B:$B,BO$2&amp;$BI$1)</f>
        <v/>
      </c>
      <c r="BP187" s="208">
        <f>SUMIFS(領用表!$L:$L,領用表!$E:$E,$B187,領用表!$B:$B,BP$2&amp;$BI$1)</f>
        <v/>
      </c>
      <c r="BQ187" s="208">
        <f>SUMIFS(領用表!$L:$L,領用表!$E:$E,$B187,領用表!$B:$B,BQ$2&amp;$BI$1)</f>
        <v/>
      </c>
      <c r="BR187" s="208">
        <f>SUMIFS(領用表!$L:$L,領用表!$E:$E,$B187,領用表!$B:$B,BR$2&amp;$BI$1)</f>
        <v/>
      </c>
      <c r="BS187" s="208">
        <f>SUMIFS(領用表!$L:$L,領用表!$E:$E,$B187,領用表!$B:$B,BS$2&amp;$BI$1)</f>
        <v/>
      </c>
      <c r="BT187" s="208">
        <f>SUMIFS(領用表!$L:$L,領用表!$E:$E,$B187,領用表!$B:$B,BT$2&amp;$BI$1)</f>
        <v/>
      </c>
      <c r="BU187" s="208">
        <f>SUM(BI187,BJ187,BK187,BL187,BM187,BN187)</f>
        <v/>
      </c>
      <c r="BV187" s="208">
        <f>AVERAGE(BI187,BJ187,BK187,BL187,BM187,BN187)</f>
        <v/>
      </c>
      <c r="BW187" s="208">
        <f>SUMIF(Summary!B:B,B187,Summary!DZ:DZ)</f>
        <v/>
      </c>
      <c r="BX187" s="258" t="n"/>
      <c r="BY187" s="340" t="n"/>
      <c r="BZ187" s="340" t="n"/>
      <c r="CA187" s="340" t="n"/>
    </row>
    <row r="188" hidden="1" ht="15" customFormat="1" customHeight="1" s="118">
      <c r="A188" s="136" t="inlineStr">
        <is>
          <t>DA1GD000017T</t>
        </is>
      </c>
      <c r="B188" s="118" t="e">
        <v>#N/A</v>
      </c>
      <c r="C188" s="136" t="inlineStr">
        <is>
          <t>R3 愛益菌 56盒/箱</t>
        </is>
      </c>
      <c r="D188" s="285" t="n"/>
      <c r="E188" s="198" t="inlineStr">
        <is>
          <t>PCS</t>
        </is>
      </c>
      <c r="F188" s="349" t="n"/>
      <c r="G188" s="392" t="n"/>
      <c r="AR188" s="201" t="n">
        <v>0</v>
      </c>
      <c r="AS188" s="347" t="n">
        <v>0</v>
      </c>
      <c r="AT188" s="347" t="n">
        <v>0</v>
      </c>
      <c r="AU188" s="201" t="n">
        <v>280</v>
      </c>
      <c r="AV188" s="201" t="n">
        <v>840</v>
      </c>
      <c r="AW188" s="201" t="n">
        <v>584</v>
      </c>
      <c r="AX188" s="201" t="n">
        <v>0</v>
      </c>
      <c r="AY188" s="201" t="n">
        <v>0</v>
      </c>
      <c r="AZ188" s="203">
        <f>SUMIFS(領用表!$L:$L,領用表!$E:$E,$B188,領用表!$B:$B,AZ$2&amp;$BI$1)</f>
        <v/>
      </c>
      <c r="BA188" s="203">
        <f>SUMIFS(領用表!$L:$L,領用表!$E:$E,$B188,領用表!$B:$B,BA$2&amp;$BI$1)</f>
        <v/>
      </c>
      <c r="BB188" s="203">
        <f>SUMIFS(領用表!$L:$L,領用表!$E:$E,$B188,領用表!$B:$B,BB$2&amp;$BI$1)</f>
        <v/>
      </c>
      <c r="BC188" s="203">
        <f>SUMIFS(領用表!$L:$L,領用表!$E:$E,$B188,領用表!$B:$B,BC$2&amp;$BI$1)</f>
        <v/>
      </c>
      <c r="BD188" s="208">
        <f>SUMIFS(領用表!$L:$L,領用表!$E:$E,$B188,領用表!$B:$B,BD$2&amp;$BI$1)</f>
        <v/>
      </c>
      <c r="BE188" s="208">
        <f>SUMIFS(領用表!$L:$L,領用表!$E:$E,$B188,領用表!$B:$B,BE$2&amp;$BI$1)</f>
        <v/>
      </c>
      <c r="BF188" s="208">
        <f>SUMIFS(領用表!$L:$L,領用表!$E:$E,$B188,領用表!$B:$B,BF$2&amp;$BI$1)</f>
        <v/>
      </c>
      <c r="BG188" s="207">
        <f>SUM(AU188,AV188,AW188,AX188,AY188,AZ188,BA188,BB188,BC188,BD188,BE188,BF188)</f>
        <v/>
      </c>
      <c r="BH188" s="207">
        <f>AVERAGE(AU188,AV188,AW188,AX188,AY188,AZ188,BA188,BB188,BC188,BD188,BE188,BF188)</f>
        <v/>
      </c>
      <c r="BI188" s="208">
        <f>SUMIFS(領用表!$L:$L,領用表!$E:$E,$B188,領用表!$B:$B,BI$2&amp;$BI$1)</f>
        <v/>
      </c>
      <c r="BJ188" s="208">
        <f>SUMIFS(領用表!$L:$L,領用表!$E:$E,$B188,領用表!$B:$B,BJ$2&amp;$BI$1)</f>
        <v/>
      </c>
      <c r="BK188" s="208">
        <f>SUMIFS(領用表!$L:$L,領用表!$E:$E,$B188,領用表!$B:$B,BK$2&amp;$BI$1)</f>
        <v/>
      </c>
      <c r="BL188" s="208">
        <f>SUMIFS(領用表!$L:$L,領用表!$E:$E,$B188,領用表!$B:$B,BL$2&amp;$BI$1)</f>
        <v/>
      </c>
      <c r="BM188" s="208">
        <f>SUMIFS(領用表!$L:$L,領用表!$E:$E,$B188,領用表!$B:$B,BM$2&amp;$BI$1)</f>
        <v/>
      </c>
      <c r="BN188" s="208">
        <f>SUMIFS(領用表!$L:$L,領用表!$E:$E,$B188,領用表!$B:$B,BN$2&amp;$BI$1)</f>
        <v/>
      </c>
      <c r="BO188" s="208">
        <f>SUMIFS(領用表!$L:$L,領用表!$E:$E,$B188,領用表!$B:$B,BO$2&amp;$BI$1)</f>
        <v/>
      </c>
      <c r="BP188" s="208">
        <f>SUMIFS(領用表!$L:$L,領用表!$E:$E,$B188,領用表!$B:$B,BP$2&amp;$BI$1)</f>
        <v/>
      </c>
      <c r="BQ188" s="208">
        <f>SUMIFS(領用表!$L:$L,領用表!$E:$E,$B188,領用表!$B:$B,BQ$2&amp;$BI$1)</f>
        <v/>
      </c>
      <c r="BR188" s="208">
        <f>SUMIFS(領用表!$L:$L,領用表!$E:$E,$B188,領用表!$B:$B,BR$2&amp;$BI$1)</f>
        <v/>
      </c>
      <c r="BS188" s="208">
        <f>SUMIFS(領用表!$L:$L,領用表!$E:$E,$B188,領用表!$B:$B,BS$2&amp;$BI$1)</f>
        <v/>
      </c>
      <c r="BT188" s="208">
        <f>SUMIFS(領用表!$L:$L,領用表!$E:$E,$B188,領用表!$B:$B,BT$2&amp;$BI$1)</f>
        <v/>
      </c>
      <c r="BU188" s="208">
        <f>SUM(BI188,BJ188,BK188,BL188,BM188,BN188)</f>
        <v/>
      </c>
      <c r="BV188" s="208">
        <f>AVERAGE(BI188,BJ188,BK188,BL188,BM188,BN188)</f>
        <v/>
      </c>
      <c r="BW188" s="208">
        <f>SUMIF(Summary!B:B,B188,Summary!DZ:DZ)</f>
        <v/>
      </c>
      <c r="BX188" s="258" t="n"/>
      <c r="BY188" s="340" t="n"/>
      <c r="BZ188" s="340" t="n"/>
      <c r="CA188" s="340" t="n"/>
    </row>
    <row r="189" hidden="1" ht="15" customFormat="1" customHeight="1" s="118">
      <c r="A189" s="136" t="inlineStr">
        <is>
          <t>DN1AA090023T</t>
        </is>
      </c>
      <c r="B189" s="118" t="e">
        <v>#N/A</v>
      </c>
      <c r="C189" s="136" t="inlineStr">
        <is>
          <t>金采肌效生物纖維面膜 30mL</t>
        </is>
      </c>
      <c r="D189" s="285" t="n"/>
      <c r="E189" s="198" t="inlineStr">
        <is>
          <t>PCS</t>
        </is>
      </c>
      <c r="F189" s="349" t="n"/>
      <c r="G189" s="392" t="n"/>
      <c r="AR189" s="201" t="n">
        <v>0</v>
      </c>
      <c r="AS189" s="347" t="n">
        <v>0</v>
      </c>
      <c r="AT189" s="347" t="n">
        <v>0</v>
      </c>
      <c r="AU189" s="201" t="n">
        <v>95</v>
      </c>
      <c r="AV189" s="201" t="n">
        <v>0</v>
      </c>
      <c r="AW189" s="201" t="n">
        <v>0</v>
      </c>
      <c r="AX189" s="201" t="inlineStr">
        <is>
          <t>-</t>
        </is>
      </c>
      <c r="AY189" s="201" t="n">
        <v>0</v>
      </c>
      <c r="AZ189" s="203">
        <f>SUMIFS(領用表!$L:$L,領用表!$E:$E,$B189,領用表!$B:$B,AZ$2&amp;$BI$1)</f>
        <v/>
      </c>
      <c r="BA189" s="203">
        <f>SUMIFS(領用表!$L:$L,領用表!$E:$E,$B189,領用表!$B:$B,BA$2&amp;$BI$1)</f>
        <v/>
      </c>
      <c r="BB189" s="203">
        <f>SUMIFS(領用表!$L:$L,領用表!$E:$E,$B189,領用表!$B:$B,BB$2&amp;$BI$1)</f>
        <v/>
      </c>
      <c r="BC189" s="203">
        <f>SUMIFS(領用表!$L:$L,領用表!$E:$E,$B189,領用表!$B:$B,BC$2&amp;$BI$1)</f>
        <v/>
      </c>
      <c r="BD189" s="208">
        <f>SUMIFS(領用表!$L:$L,領用表!$E:$E,$B189,領用表!$B:$B,BD$2&amp;$BI$1)</f>
        <v/>
      </c>
      <c r="BE189" s="208">
        <f>SUMIFS(領用表!$L:$L,領用表!$E:$E,$B189,領用表!$B:$B,BE$2&amp;$BI$1)</f>
        <v/>
      </c>
      <c r="BF189" s="208">
        <f>SUMIFS(領用表!$L:$L,領用表!$E:$E,$B189,領用表!$B:$B,BF$2&amp;$BI$1)</f>
        <v/>
      </c>
      <c r="BG189" s="207">
        <f>SUM(AU189,AV189,AW189,AX189,AY189,AZ189,BA189,BB189,BC189,BD189,BE189,BF189)</f>
        <v/>
      </c>
      <c r="BH189" s="207">
        <f>AVERAGE(AU189,AV189,AW189,AX189,AY189,AZ189,BA189,BB189,BC189,BD189,BE189,BF189)</f>
        <v/>
      </c>
      <c r="BI189" s="208">
        <f>SUMIFS(領用表!$L:$L,領用表!$E:$E,$B189,領用表!$B:$B,BI$2&amp;$BI$1)</f>
        <v/>
      </c>
      <c r="BJ189" s="208">
        <f>SUMIFS(領用表!$L:$L,領用表!$E:$E,$B189,領用表!$B:$B,BJ$2&amp;$BI$1)</f>
        <v/>
      </c>
      <c r="BK189" s="208">
        <f>SUMIFS(領用表!$L:$L,領用表!$E:$E,$B189,領用表!$B:$B,BK$2&amp;$BI$1)</f>
        <v/>
      </c>
      <c r="BL189" s="208">
        <f>SUMIFS(領用表!$L:$L,領用表!$E:$E,$B189,領用表!$B:$B,BL$2&amp;$BI$1)</f>
        <v/>
      </c>
      <c r="BM189" s="208">
        <f>SUMIFS(領用表!$L:$L,領用表!$E:$E,$B189,領用表!$B:$B,BM$2&amp;$BI$1)</f>
        <v/>
      </c>
      <c r="BN189" s="208">
        <f>SUMIFS(領用表!$L:$L,領用表!$E:$E,$B189,領用表!$B:$B,BN$2&amp;$BI$1)</f>
        <v/>
      </c>
      <c r="BO189" s="208">
        <f>SUMIFS(領用表!$L:$L,領用表!$E:$E,$B189,領用表!$B:$B,BO$2&amp;$BI$1)</f>
        <v/>
      </c>
      <c r="BP189" s="208">
        <f>SUMIFS(領用表!$L:$L,領用表!$E:$E,$B189,領用表!$B:$B,BP$2&amp;$BI$1)</f>
        <v/>
      </c>
      <c r="BQ189" s="208">
        <f>SUMIFS(領用表!$L:$L,領用表!$E:$E,$B189,領用表!$B:$B,BQ$2&amp;$BI$1)</f>
        <v/>
      </c>
      <c r="BR189" s="208">
        <f>SUMIFS(領用表!$L:$L,領用表!$E:$E,$B189,領用表!$B:$B,BR$2&amp;$BI$1)</f>
        <v/>
      </c>
      <c r="BS189" s="208">
        <f>SUMIFS(領用表!$L:$L,領用表!$E:$E,$B189,領用表!$B:$B,BS$2&amp;$BI$1)</f>
        <v/>
      </c>
      <c r="BT189" s="208">
        <f>SUMIFS(領用表!$L:$L,領用表!$E:$E,$B189,領用表!$B:$B,BT$2&amp;$BI$1)</f>
        <v/>
      </c>
      <c r="BU189" s="208">
        <f>SUM(BI189,BJ189,BK189,BL189,BM189,BN189)</f>
        <v/>
      </c>
      <c r="BV189" s="208">
        <f>AVERAGE(BI189,BJ189,BK189,BL189,BM189,BN189)</f>
        <v/>
      </c>
      <c r="BW189" s="208">
        <f>SUMIF(Summary!B:B,B189,Summary!DZ:DZ)</f>
        <v/>
      </c>
      <c r="BX189" s="258" t="n"/>
      <c r="BY189" s="340" t="n"/>
      <c r="BZ189" s="340" t="n"/>
      <c r="CA189" s="340" t="n"/>
    </row>
    <row r="190" hidden="1" ht="14.25" customFormat="1" customHeight="1" s="118">
      <c r="A190" s="136" t="inlineStr">
        <is>
          <t>TL1BK130005T</t>
        </is>
      </c>
      <c r="B190" s="118" t="e">
        <v>#N/A</v>
      </c>
      <c r="C190" s="136" t="inlineStr">
        <is>
          <t>試用-日出朝陽按摩油 200ml</t>
        </is>
      </c>
      <c r="D190" s="285" t="n"/>
      <c r="E190" s="198" t="inlineStr">
        <is>
          <t>PCS</t>
        </is>
      </c>
      <c r="F190" s="349" t="n"/>
      <c r="G190" s="392" t="n"/>
      <c r="AR190" s="201" t="n">
        <v>0</v>
      </c>
      <c r="AS190" s="347" t="n">
        <v>0</v>
      </c>
      <c r="AT190" s="347" t="n">
        <v>0</v>
      </c>
      <c r="AU190" s="201" t="n">
        <v>0</v>
      </c>
      <c r="AV190" s="201" t="n">
        <v>0</v>
      </c>
      <c r="AW190" s="201" t="n">
        <v>54</v>
      </c>
      <c r="AX190" s="201" t="n">
        <v>0</v>
      </c>
      <c r="AY190" s="201" t="n">
        <v>0</v>
      </c>
      <c r="AZ190" s="203">
        <f>SUMIFS(領用表!$L:$L,領用表!$E:$E,$B190,領用表!$B:$B,AZ$2&amp;$BI$1)</f>
        <v/>
      </c>
      <c r="BA190" s="203">
        <f>SUMIFS(領用表!$L:$L,領用表!$E:$E,$B190,領用表!$B:$B,BA$2&amp;$BI$1)</f>
        <v/>
      </c>
      <c r="BB190" s="203">
        <f>SUMIFS(領用表!$L:$L,領用表!$E:$E,$B190,領用表!$B:$B,BB$2&amp;$BI$1)</f>
        <v/>
      </c>
      <c r="BC190" s="203">
        <f>SUMIFS(領用表!$L:$L,領用表!$E:$E,$B190,領用表!$B:$B,BC$2&amp;$BI$1)</f>
        <v/>
      </c>
      <c r="BD190" s="208">
        <f>SUMIFS(領用表!$L:$L,領用表!$E:$E,$B190,領用表!$B:$B,BD$2&amp;$BI$1)</f>
        <v/>
      </c>
      <c r="BE190" s="208">
        <f>SUMIFS(領用表!$L:$L,領用表!$E:$E,$B190,領用表!$B:$B,BE$2&amp;$BI$1)</f>
        <v/>
      </c>
      <c r="BF190" s="208">
        <f>SUMIFS(領用表!$L:$L,領用表!$E:$E,$B190,領用表!$B:$B,BF$2&amp;$BI$1)</f>
        <v/>
      </c>
      <c r="BG190" s="207">
        <f>SUM(AU190,AV190,AW190,AX190,AY190,AZ190,BA190,BB190,BC190,BD190,BE190,BF190)</f>
        <v/>
      </c>
      <c r="BH190" s="207">
        <f>AVERAGE(AU190,AV190,AW190,AX190,AY190,AZ190,BA190,BB190,BC190,BD190,BE190,BF190)</f>
        <v/>
      </c>
      <c r="BI190" s="208">
        <f>SUMIFS(領用表!$L:$L,領用表!$E:$E,$B190,領用表!$B:$B,BI$2&amp;$BI$1)</f>
        <v/>
      </c>
      <c r="BJ190" s="332">
        <f>SUMIFS(領用表!$L:$L,領用表!$E:$E,$B190,領用表!$B:$B,BJ$2&amp;$BI$1)</f>
        <v/>
      </c>
      <c r="BK190" s="332">
        <f>SUMIFS(領用表!$L:$L,領用表!$E:$E,$B190,領用表!$B:$B,BK$2&amp;$BI$1)</f>
        <v/>
      </c>
      <c r="BL190" s="332">
        <f>SUMIFS(領用表!$L:$L,領用表!$E:$E,$B190,領用表!$B:$B,BL$2&amp;$BI$1)</f>
        <v/>
      </c>
      <c r="BM190" s="332">
        <f>SUMIFS(領用表!$L:$L,領用表!$E:$E,$B190,領用表!$B:$B,BM$2&amp;$BI$1)</f>
        <v/>
      </c>
      <c r="BN190" s="332">
        <f>SUMIFS(領用表!$L:$L,領用表!$E:$E,$B190,領用表!$B:$B,BN$2&amp;$BI$1)</f>
        <v/>
      </c>
      <c r="BO190" s="332">
        <f>SUMIFS(領用表!$L:$L,領用表!$E:$E,$B190,領用表!$B:$B,BO$2&amp;$BI$1)</f>
        <v/>
      </c>
      <c r="BP190" s="332">
        <f>SUMIFS(領用表!$L:$L,領用表!$E:$E,$B190,領用表!$B:$B,BP$2&amp;$BI$1)</f>
        <v/>
      </c>
      <c r="BQ190" s="332">
        <f>SUMIFS(領用表!$L:$L,領用表!$E:$E,$B190,領用表!$B:$B,BQ$2&amp;$BI$1)</f>
        <v/>
      </c>
      <c r="BR190" s="332">
        <f>SUMIFS(領用表!$L:$L,領用表!$E:$E,$B190,領用表!$B:$B,BR$2&amp;$BI$1)</f>
        <v/>
      </c>
      <c r="BS190" s="332">
        <f>SUMIFS(領用表!$L:$L,領用表!$E:$E,$B190,領用表!$B:$B,BS$2&amp;$BI$1)</f>
        <v/>
      </c>
      <c r="BT190" s="332">
        <f>SUMIFS(領用表!$L:$L,領用表!$E:$E,$B190,領用表!$B:$B,BT$2&amp;$BI$1)</f>
        <v/>
      </c>
      <c r="BU190" s="332">
        <f>SUM(BI190,BJ190,BK190,BL190,BM190,BN190)</f>
        <v/>
      </c>
      <c r="BV190" s="332">
        <f>AVERAGE(BI190,BJ190,BK190,BL190,BM190,BN190)</f>
        <v/>
      </c>
      <c r="BW190" s="332">
        <f>SUMIF(Summary!B:B,B190,Summary!DZ:DZ)</f>
        <v/>
      </c>
      <c r="BX190" s="338" t="n"/>
      <c r="BY190" s="342" t="n"/>
      <c r="BZ190" s="341" t="n"/>
      <c r="CA190" s="340" t="n"/>
    </row>
    <row r="191" ht="15" customFormat="1" customHeight="1" s="118">
      <c r="A191" s="136" t="inlineStr">
        <is>
          <t>DL1BE070001T</t>
        </is>
      </c>
      <c r="B191" s="118" t="e">
        <v>#N/A</v>
      </c>
      <c r="C191" s="136" t="inlineStr">
        <is>
          <t>天使漫步腿部舒緩霜 250mL</t>
        </is>
      </c>
      <c r="D191" s="285" t="n"/>
      <c r="E191" s="198" t="inlineStr">
        <is>
          <t>PCS</t>
        </is>
      </c>
      <c r="F191" s="349" t="n"/>
      <c r="G191" s="392" t="n"/>
      <c r="AS191" s="347" t="inlineStr">
        <is>
          <t>-</t>
        </is>
      </c>
      <c r="AT191" s="347" t="inlineStr">
        <is>
          <t>-</t>
        </is>
      </c>
      <c r="AU191" s="347" t="inlineStr">
        <is>
          <t>-</t>
        </is>
      </c>
      <c r="AV191" s="347" t="inlineStr">
        <is>
          <t>-</t>
        </is>
      </c>
      <c r="AW191" s="347" t="inlineStr">
        <is>
          <t>-</t>
        </is>
      </c>
      <c r="AX191" s="347" t="inlineStr">
        <is>
          <t>-</t>
        </is>
      </c>
      <c r="AY191" s="292" t="n">
        <v>72</v>
      </c>
      <c r="AZ191" s="203">
        <f>SUMIFS(領用表!$L:$L,領用表!$E:$E,$B191,領用表!$B:$B,AZ$2&amp;$BI$1)</f>
        <v/>
      </c>
      <c r="BA191" s="203">
        <f>SUMIFS(領用表!$L:$L,領用表!$E:$E,$B191,領用表!$B:$B,BA$2&amp;$BI$1)</f>
        <v/>
      </c>
      <c r="BB191" s="203">
        <f>SUMIFS(領用表!$L:$L,領用表!$E:$E,$B191,領用表!$B:$B,BB$2&amp;$BI$1)</f>
        <v/>
      </c>
      <c r="BC191" s="203">
        <f>SUMIFS(領用表!$L:$L,領用表!$E:$E,$B191,領用表!$B:$B,BC$2&amp;$BI$1)</f>
        <v/>
      </c>
      <c r="BD191" s="208">
        <f>SUMIFS(領用表!$L:$L,領用表!$E:$E,$B191,領用表!$B:$B,BD$2&amp;$BI$1)</f>
        <v/>
      </c>
      <c r="BE191" s="208">
        <f>SUMIFS(領用表!$L:$L,領用表!$E:$E,$B191,領用表!$B:$B,BE$2&amp;$BI$1)</f>
        <v/>
      </c>
      <c r="BF191" s="208">
        <f>SUMIFS(領用表!$L:$L,領用表!$E:$E,$B191,領用表!$B:$B,BF$2&amp;$BI$1)</f>
        <v/>
      </c>
      <c r="BG191" s="207">
        <f>SUM(AU191,AV191,AW191,AX191,AY191,AZ191,BA191,BB191,BC191,BD191,BE191,BF191)</f>
        <v/>
      </c>
      <c r="BH191" s="207">
        <f>AVERAGE(AU191,AV191,AW191,AX191,AY191,AZ191,BA191,BB191,BC191,BD191,BE191,BF191)</f>
        <v/>
      </c>
      <c r="BI191" s="208">
        <f>SUMIFS(領用表!$L:$L,領用表!$E:$E,$B191,領用表!$B:$B,BI$2&amp;$BI$1)</f>
        <v/>
      </c>
      <c r="BJ191" s="332">
        <f>SUMIFS(領用表!$L:$L,領用表!$E:$E,$B191,領用表!$B:$B,BJ$2&amp;$BI$1)</f>
        <v/>
      </c>
      <c r="BK191" s="332">
        <f>SUMIFS(領用表!$L:$L,領用表!$E:$E,$B191,領用表!$B:$B,BK$2&amp;$BI$1)</f>
        <v/>
      </c>
      <c r="BL191" s="332">
        <f>SUMIFS(領用表!$L:$L,領用表!$E:$E,$B191,領用表!$B:$B,BL$2&amp;$BI$1)</f>
        <v/>
      </c>
      <c r="BM191" s="332">
        <f>SUMIFS(領用表!$L:$L,領用表!$E:$E,$B191,領用表!$B:$B,BM$2&amp;$BI$1)</f>
        <v/>
      </c>
      <c r="BN191" s="332">
        <f>SUMIFS(領用表!$L:$L,領用表!$E:$E,$B191,領用表!$B:$B,BN$2&amp;$BI$1)</f>
        <v/>
      </c>
      <c r="BO191" s="332">
        <f>SUMIFS(領用表!$L:$L,領用表!$E:$E,$B191,領用表!$B:$B,BO$2&amp;$BI$1)</f>
        <v/>
      </c>
      <c r="BP191" s="332">
        <f>SUMIFS(領用表!$L:$L,領用表!$E:$E,$B191,領用表!$B:$B,BP$2&amp;$BI$1)</f>
        <v/>
      </c>
      <c r="BQ191" s="332">
        <f>SUMIFS(領用表!$L:$L,領用表!$E:$E,$B191,領用表!$B:$B,BQ$2&amp;$BI$1)</f>
        <v/>
      </c>
      <c r="BR191" s="332">
        <f>SUMIFS(領用表!$L:$L,領用表!$E:$E,$B191,領用表!$B:$B,BR$2&amp;$BI$1)</f>
        <v/>
      </c>
      <c r="BS191" s="332">
        <f>SUMIFS(領用表!$L:$L,領用表!$E:$E,$B191,領用表!$B:$B,BS$2&amp;$BI$1)</f>
        <v/>
      </c>
      <c r="BT191" s="332">
        <f>SUMIFS(領用表!$L:$L,領用表!$E:$E,$B191,領用表!$B:$B,BT$2&amp;$BI$1)</f>
        <v/>
      </c>
      <c r="BU191" s="332">
        <f>SUM(BI191,BJ191,BK191,BL191,BM191,BN191)</f>
        <v/>
      </c>
      <c r="BV191" s="332">
        <f>AVERAGE(BI191,BJ191,BK191,BL191,BM191,BN191)</f>
        <v/>
      </c>
      <c r="BW191" s="332">
        <f>SUMIF(Summary!B:B,B191,Summary!DZ:DZ)</f>
        <v/>
      </c>
      <c r="BX191" s="305" t="n"/>
      <c r="BY191" s="342" t="n"/>
      <c r="BZ191" s="340" t="n"/>
      <c r="CA191" s="340" t="n"/>
    </row>
    <row r="192" hidden="1" ht="15.75" customFormat="1" customHeight="1" s="118">
      <c r="A192" s="136" t="inlineStr">
        <is>
          <t>DL1GA000071T</t>
        </is>
      </c>
      <c r="B192" s="118" t="e">
        <v>#N/A</v>
      </c>
      <c r="C192" s="136" t="inlineStr">
        <is>
          <t>新纖有酵蔬果酵素飲50ml(15入)停產</t>
        </is>
      </c>
      <c r="D192" s="285" t="n"/>
      <c r="E192" s="198" t="inlineStr">
        <is>
          <t>PCS</t>
        </is>
      </c>
      <c r="F192" s="349" t="n"/>
      <c r="G192" s="392" t="n"/>
      <c r="AG192" s="348" t="n"/>
      <c r="AH192" s="348" t="n"/>
      <c r="AI192" s="348" t="n"/>
      <c r="AJ192" s="348" t="n"/>
      <c r="AK192" s="348" t="n"/>
      <c r="AL192" s="348" t="n"/>
      <c r="AM192" s="348" t="n"/>
      <c r="AN192" s="201" t="n">
        <v>0</v>
      </c>
      <c r="AO192" s="201">
        <f>171/15</f>
        <v/>
      </c>
      <c r="AP192" s="201" t="n">
        <v>0</v>
      </c>
      <c r="AQ192" s="201" t="n">
        <v>45</v>
      </c>
      <c r="AR192" s="201" t="n">
        <v>108</v>
      </c>
      <c r="AS192" s="283">
        <f>SUM(AG192:AR192)</f>
        <v/>
      </c>
      <c r="AT192" s="286">
        <f>AS192/12</f>
        <v/>
      </c>
      <c r="AU192" s="201" t="n">
        <v>45</v>
      </c>
      <c r="AV192" s="201" t="n">
        <v>36</v>
      </c>
      <c r="AW192" s="201" t="n">
        <v>0</v>
      </c>
      <c r="AX192" s="201" t="inlineStr">
        <is>
          <t>-</t>
        </is>
      </c>
      <c r="AY192" s="201" t="n"/>
      <c r="AZ192" s="203">
        <f>SUMIFS(領用表!$L:$L,領用表!$E:$E,$B192,領用表!$B:$B,AZ$2&amp;$BI$1)</f>
        <v/>
      </c>
      <c r="BA192" s="203">
        <f>SUMIFS(領用表!$L:$L,領用表!$E:$E,$B192,領用表!$B:$B,BA$2&amp;$BI$1)</f>
        <v/>
      </c>
      <c r="BB192" s="203">
        <f>SUMIFS(領用表!$L:$L,領用表!$E:$E,$B192,領用表!$B:$B,BB$2&amp;$BI$1)</f>
        <v/>
      </c>
      <c r="BC192" s="203">
        <f>SUMIFS(領用表!$L:$L,領用表!$E:$E,$B192,領用表!$B:$B,BC$2&amp;$BI$1)</f>
        <v/>
      </c>
      <c r="BD192" s="208">
        <f>SUMIFS(領用表!$L:$L,領用表!$E:$E,$B192,領用表!$B:$B,BD$2&amp;$BI$1)</f>
        <v/>
      </c>
      <c r="BE192" s="208">
        <f>SUMIFS(領用表!$L:$L,領用表!$E:$E,$B192,領用表!$B:$B,BE$2&amp;$BI$1)</f>
        <v/>
      </c>
      <c r="BF192" s="208">
        <f>SUMIFS(領用表!$L:$L,領用表!$E:$E,$B192,領用表!$B:$B,BF$2&amp;$BI$1)</f>
        <v/>
      </c>
      <c r="BG192" s="207">
        <f>SUM(AU192,AV192,AW192,AX192,AY192,AZ192,BA192,BB192,BC192,BD192,BE192,BF192)</f>
        <v/>
      </c>
      <c r="BH192" s="207">
        <f>AVERAGE(AU192,AV192,AW192,AX192,AY192,AZ192,BA192,BB192,BC192,BD192,BE192,BF192)</f>
        <v/>
      </c>
      <c r="BI192" s="208">
        <f>SUMIFS(領用表!$L:$L,領用表!$E:$E,$B192,領用表!$B:$B,BI$2&amp;$BI$1)</f>
        <v/>
      </c>
      <c r="BJ192" s="208">
        <f>SUMIFS(領用表!$L:$L,領用表!$E:$E,$B192,領用表!$B:$B,BJ$2&amp;$BI$1)</f>
        <v/>
      </c>
      <c r="BK192" s="208">
        <f>SUMIFS(領用表!$L:$L,領用表!$E:$E,$B192,領用表!$B:$B,BK$2&amp;$BI$1)</f>
        <v/>
      </c>
      <c r="BL192" s="208">
        <f>SUMIFS(領用表!$L:$L,領用表!$E:$E,$B192,領用表!$B:$B,BL$2&amp;$BI$1)</f>
        <v/>
      </c>
      <c r="BM192" s="208">
        <f>SUMIFS(領用表!$L:$L,領用表!$E:$E,$B192,領用表!$B:$B,BM$2&amp;$BI$1)</f>
        <v/>
      </c>
      <c r="BN192" s="208">
        <f>SUMIFS(領用表!$L:$L,領用表!$E:$E,$B192,領用表!$B:$B,BN$2&amp;$BI$1)</f>
        <v/>
      </c>
      <c r="BO192" s="208">
        <f>SUMIFS(領用表!$L:$L,領用表!$E:$E,$B192,領用表!$B:$B,BO$2&amp;$BI$1)</f>
        <v/>
      </c>
      <c r="BP192" s="208">
        <f>SUMIFS(領用表!$L:$L,領用表!$E:$E,$B192,領用表!$B:$B,BP$2&amp;$BI$1)</f>
        <v/>
      </c>
      <c r="BQ192" s="208">
        <f>SUMIFS(領用表!$L:$L,領用表!$E:$E,$B192,領用表!$B:$B,BQ$2&amp;$BI$1)</f>
        <v/>
      </c>
      <c r="BR192" s="208">
        <f>SUMIFS(領用表!$L:$L,領用表!$E:$E,$B192,領用表!$B:$B,BR$2&amp;$BI$1)</f>
        <v/>
      </c>
      <c r="BS192" s="208">
        <f>SUMIFS(領用表!$L:$L,領用表!$E:$E,$B192,領用表!$B:$B,BS$2&amp;$BI$1)</f>
        <v/>
      </c>
      <c r="BT192" s="208">
        <f>SUMIFS(領用表!$L:$L,領用表!$E:$E,$B192,領用表!$B:$B,BT$2&amp;$BI$1)</f>
        <v/>
      </c>
      <c r="BU192" s="208">
        <f>SUM(BI192,BJ192,BK192,BL192,BM192,BN192)</f>
        <v/>
      </c>
      <c r="BV192" s="208">
        <f>AVERAGE(BI192,BJ192,BK192,BL192,BM192,BN192)</f>
        <v/>
      </c>
      <c r="BW192" s="208">
        <f>SUMIF(Summary!B:B,B192,Summary!DZ:DZ)</f>
        <v/>
      </c>
      <c r="BX192" s="258" t="n"/>
      <c r="BY192" s="342" t="n"/>
      <c r="BZ192" s="340" t="n"/>
      <c r="CA192" s="340" t="n"/>
    </row>
    <row r="193" hidden="1" ht="15" customFormat="1" customHeight="1" s="118">
      <c r="A193" s="136" t="inlineStr">
        <is>
          <t>DL1GA000066T</t>
        </is>
      </c>
      <c r="B193" s="118" t="e">
        <v>#N/A</v>
      </c>
      <c r="C193" s="136" t="inlineStr">
        <is>
          <t>青春機密膠原飲 60ml(10入)停產</t>
        </is>
      </c>
      <c r="D193" s="285" t="n"/>
      <c r="E193" s="198" t="inlineStr">
        <is>
          <t>PCS</t>
        </is>
      </c>
      <c r="F193" s="349" t="n"/>
      <c r="G193" s="392" t="n"/>
      <c r="AG193" s="348" t="n"/>
      <c r="AH193" s="348" t="n"/>
      <c r="AI193" s="348" t="n"/>
      <c r="AJ193" s="348" t="n"/>
      <c r="AK193" s="348" t="n"/>
      <c r="AL193" s="348" t="n"/>
      <c r="AM193" s="348" t="n"/>
      <c r="AN193" s="201" t="n">
        <v>0</v>
      </c>
      <c r="AO193" s="201" t="n">
        <v>0</v>
      </c>
      <c r="AP193" s="201" t="n">
        <v>0</v>
      </c>
      <c r="AQ193" s="201" t="n">
        <v>6</v>
      </c>
      <c r="AR193" s="201" t="n">
        <v>0</v>
      </c>
      <c r="AS193" s="283">
        <f>SUM(AG193:AR193)</f>
        <v/>
      </c>
      <c r="AT193" s="286">
        <f>AS193/12</f>
        <v/>
      </c>
      <c r="AU193" s="201" t="n">
        <v>19</v>
      </c>
      <c r="AV193" s="201" t="n">
        <v>0</v>
      </c>
      <c r="AW193" s="201" t="n">
        <v>0</v>
      </c>
      <c r="AX193" s="201" t="inlineStr">
        <is>
          <t>-</t>
        </is>
      </c>
      <c r="AY193" s="201" t="n"/>
      <c r="AZ193" s="203">
        <f>SUMIFS(領用表!$L:$L,領用表!$E:$E,$B193,領用表!$B:$B,AZ$2&amp;$BI$1)</f>
        <v/>
      </c>
      <c r="BA193" s="203">
        <f>SUMIFS(領用表!$L:$L,領用表!$E:$E,$B193,領用表!$B:$B,BA$2&amp;$BI$1)</f>
        <v/>
      </c>
      <c r="BB193" s="203">
        <f>SUMIFS(領用表!$L:$L,領用表!$E:$E,$B193,領用表!$B:$B,BB$2&amp;$BI$1)</f>
        <v/>
      </c>
      <c r="BC193" s="203">
        <f>SUMIFS(領用表!$L:$L,領用表!$E:$E,$B193,領用表!$B:$B,BC$2&amp;$BI$1)</f>
        <v/>
      </c>
      <c r="BD193" s="208">
        <f>SUMIFS(領用表!$L:$L,領用表!$E:$E,$B193,領用表!$B:$B,BD$2&amp;$BI$1)</f>
        <v/>
      </c>
      <c r="BE193" s="208">
        <f>SUMIFS(領用表!$L:$L,領用表!$E:$E,$B193,領用表!$B:$B,BE$2&amp;$BI$1)</f>
        <v/>
      </c>
      <c r="BF193" s="208">
        <f>SUMIFS(領用表!$L:$L,領用表!$E:$E,$B193,領用表!$B:$B,BF$2&amp;$BI$1)</f>
        <v/>
      </c>
      <c r="BG193" s="207">
        <f>SUM(AU193,AV193,AW193,AX193,AY193,AZ193,BA193,BB193,BC193,BD193,BE193,BF193)</f>
        <v/>
      </c>
      <c r="BH193" s="207">
        <f>AVERAGE(AU193,AV193,AW193,AX193,AY193,AZ193,BA193,BB193,BC193,BD193,BE193,BF193)</f>
        <v/>
      </c>
      <c r="BI193" s="208">
        <f>SUMIFS(領用表!$L:$L,領用表!$E:$E,$B193,領用表!$B:$B,BI$2&amp;$BI$1)</f>
        <v/>
      </c>
      <c r="BJ193" s="208">
        <f>SUMIFS(領用表!$L:$L,領用表!$E:$E,$B193,領用表!$B:$B,BJ$2&amp;$BI$1)</f>
        <v/>
      </c>
      <c r="BK193" s="208">
        <f>SUMIFS(領用表!$L:$L,領用表!$E:$E,$B193,領用表!$B:$B,BK$2&amp;$BI$1)</f>
        <v/>
      </c>
      <c r="BL193" s="208">
        <f>SUMIFS(領用表!$L:$L,領用表!$E:$E,$B193,領用表!$B:$B,BL$2&amp;$BI$1)</f>
        <v/>
      </c>
      <c r="BM193" s="208">
        <f>SUMIFS(領用表!$L:$L,領用表!$E:$E,$B193,領用表!$B:$B,BM$2&amp;$BI$1)</f>
        <v/>
      </c>
      <c r="BN193" s="208">
        <f>SUMIFS(領用表!$L:$L,領用表!$E:$E,$B193,領用表!$B:$B,BN$2&amp;$BI$1)</f>
        <v/>
      </c>
      <c r="BO193" s="208">
        <f>SUMIFS(領用表!$L:$L,領用表!$E:$E,$B193,領用表!$B:$B,BO$2&amp;$BI$1)</f>
        <v/>
      </c>
      <c r="BP193" s="208">
        <f>SUMIFS(領用表!$L:$L,領用表!$E:$E,$B193,領用表!$B:$B,BP$2&amp;$BI$1)</f>
        <v/>
      </c>
      <c r="BQ193" s="208">
        <f>SUMIFS(領用表!$L:$L,領用表!$E:$E,$B193,領用表!$B:$B,BQ$2&amp;$BI$1)</f>
        <v/>
      </c>
      <c r="BR193" s="208">
        <f>SUMIFS(領用表!$L:$L,領用表!$E:$E,$B193,領用表!$B:$B,BR$2&amp;$BI$1)</f>
        <v/>
      </c>
      <c r="BS193" s="208">
        <f>SUMIFS(領用表!$L:$L,領用表!$E:$E,$B193,領用表!$B:$B,BS$2&amp;$BI$1)</f>
        <v/>
      </c>
      <c r="BT193" s="208">
        <f>SUMIFS(領用表!$L:$L,領用表!$E:$E,$B193,領用表!$B:$B,BT$2&amp;$BI$1)</f>
        <v/>
      </c>
      <c r="BU193" s="208">
        <f>SUM(BI193,BJ193,BK193,BL193,BM193,BN193)</f>
        <v/>
      </c>
      <c r="BV193" s="208">
        <f>AVERAGE(BI193,BJ193,BK193,BL193,BM193,BN193)</f>
        <v/>
      </c>
      <c r="BW193" s="208">
        <f>SUMIF(Summary!B:B,B193,Summary!DZ:DZ)</f>
        <v/>
      </c>
      <c r="BX193" s="258" t="n"/>
      <c r="BY193" s="342" t="n"/>
      <c r="BZ193" s="340" t="n"/>
      <c r="CA193" s="340" t="n"/>
    </row>
    <row r="194" hidden="1" ht="15" customFormat="1" customHeight="1" s="118">
      <c r="A194" s="136" t="inlineStr">
        <is>
          <t>DL1GD0100001T</t>
        </is>
      </c>
      <c r="B194" s="118" t="e">
        <v>#N/A</v>
      </c>
      <c r="C194" s="136" t="inlineStr">
        <is>
          <t>甜睡美膠原6g(30入)(繁體版) 24盒/箱</t>
        </is>
      </c>
      <c r="D194" s="285" t="n"/>
      <c r="E194" s="198" t="inlineStr">
        <is>
          <t>PCS</t>
        </is>
      </c>
      <c r="F194" s="349" t="n"/>
      <c r="G194" s="392" t="n"/>
      <c r="AR194" s="201" t="n">
        <v>0</v>
      </c>
      <c r="AS194" s="347" t="n">
        <v>0</v>
      </c>
      <c r="AT194" s="347" t="n">
        <v>0</v>
      </c>
      <c r="AU194" s="201" t="n">
        <v>240</v>
      </c>
      <c r="AV194" s="201" t="n">
        <v>192</v>
      </c>
      <c r="AW194" s="201" t="n">
        <v>48</v>
      </c>
      <c r="AX194" s="201" t="inlineStr">
        <is>
          <t>-</t>
        </is>
      </c>
      <c r="AY194" s="201" t="n"/>
      <c r="AZ194" s="203">
        <f>SUMIFS(領用表!$L:$L,領用表!$E:$E,$B194,領用表!$B:$B,AZ$2&amp;$BI$1)</f>
        <v/>
      </c>
      <c r="BA194" s="203">
        <f>SUMIFS(領用表!$L:$L,領用表!$E:$E,$B194,領用表!$B:$B,BA$2&amp;$BI$1)</f>
        <v/>
      </c>
      <c r="BB194" s="203">
        <f>SUMIFS(領用表!$L:$L,領用表!$E:$E,$B194,領用表!$B:$B,BB$2&amp;$BI$1)</f>
        <v/>
      </c>
      <c r="BC194" s="203">
        <f>SUMIFS(領用表!$L:$L,領用表!$E:$E,$B194,領用表!$B:$B,BC$2&amp;$BI$1)</f>
        <v/>
      </c>
      <c r="BD194" s="208">
        <f>SUMIFS(領用表!$L:$L,領用表!$E:$E,$B194,領用表!$B:$B,BD$2&amp;$BI$1)</f>
        <v/>
      </c>
      <c r="BE194" s="208">
        <f>SUMIFS(領用表!$L:$L,領用表!$E:$E,$B194,領用表!$B:$B,BE$2&amp;$BI$1)</f>
        <v/>
      </c>
      <c r="BF194" s="208">
        <f>SUMIFS(領用表!$L:$L,領用表!$E:$E,$B194,領用表!$B:$B,BF$2&amp;$BI$1)</f>
        <v/>
      </c>
      <c r="BG194" s="207">
        <f>SUM(AU194,AV194,AW194,AX194,AY194,AZ194,BA194,BB194,BC194,BD194,BE194,BF194)</f>
        <v/>
      </c>
      <c r="BH194" s="207">
        <f>AVERAGE(AU194,AV194,AW194,AX194,AY194,AZ194,BA194,BB194,BC194,BD194,BE194,BF194)</f>
        <v/>
      </c>
      <c r="BI194" s="208">
        <f>SUMIFS(領用表!$L:$L,領用表!$E:$E,$B194,領用表!$B:$B,BI$2&amp;$BI$1)</f>
        <v/>
      </c>
      <c r="BJ194" s="208">
        <f>SUMIFS(領用表!$L:$L,領用表!$E:$E,$B194,領用表!$B:$B,BJ$2&amp;$BI$1)</f>
        <v/>
      </c>
      <c r="BK194" s="208">
        <f>SUMIFS(領用表!$L:$L,領用表!$E:$E,$B194,領用表!$B:$B,BK$2&amp;$BI$1)</f>
        <v/>
      </c>
      <c r="BL194" s="208">
        <f>SUMIFS(領用表!$L:$L,領用表!$E:$E,$B194,領用表!$B:$B,BL$2&amp;$BI$1)</f>
        <v/>
      </c>
      <c r="BM194" s="208">
        <f>SUMIFS(領用表!$L:$L,領用表!$E:$E,$B194,領用表!$B:$B,BM$2&amp;$BI$1)</f>
        <v/>
      </c>
      <c r="BN194" s="208">
        <f>SUMIFS(領用表!$L:$L,領用表!$E:$E,$B194,領用表!$B:$B,BN$2&amp;$BI$1)</f>
        <v/>
      </c>
      <c r="BO194" s="208">
        <f>SUMIFS(領用表!$L:$L,領用表!$E:$E,$B194,領用表!$B:$B,BO$2&amp;$BI$1)</f>
        <v/>
      </c>
      <c r="BP194" s="208">
        <f>SUMIFS(領用表!$L:$L,領用表!$E:$E,$B194,領用表!$B:$B,BP$2&amp;$BI$1)</f>
        <v/>
      </c>
      <c r="BQ194" s="208">
        <f>SUMIFS(領用表!$L:$L,領用表!$E:$E,$B194,領用表!$B:$B,BQ$2&amp;$BI$1)</f>
        <v/>
      </c>
      <c r="BR194" s="208">
        <f>SUMIFS(領用表!$L:$L,領用表!$E:$E,$B194,領用表!$B:$B,BR$2&amp;$BI$1)</f>
        <v/>
      </c>
      <c r="BS194" s="208">
        <f>SUMIFS(領用表!$L:$L,領用表!$E:$E,$B194,領用表!$B:$B,BS$2&amp;$BI$1)</f>
        <v/>
      </c>
      <c r="BT194" s="208">
        <f>SUMIFS(領用表!$L:$L,領用表!$E:$E,$B194,領用表!$B:$B,BT$2&amp;$BI$1)</f>
        <v/>
      </c>
      <c r="BU194" s="208">
        <f>SUM(BI194,BJ194,BK194,BL194,BM194,BN194)</f>
        <v/>
      </c>
      <c r="BV194" s="208">
        <f>AVERAGE(BI194,BJ194,BK194,BL194,BM194,BN194)</f>
        <v/>
      </c>
      <c r="BW194" s="208">
        <f>SUMIF(Summary!B:B,B194,Summary!DZ:DZ)</f>
        <v/>
      </c>
      <c r="BX194" s="258" t="n"/>
      <c r="BY194" s="342" t="n"/>
      <c r="BZ194" s="340" t="n"/>
      <c r="CA194" s="340" t="n"/>
    </row>
    <row r="195" ht="15" customFormat="1" customHeight="1" s="118">
      <c r="A195" s="136" t="inlineStr">
        <is>
          <t>DE1AB050005T</t>
        </is>
      </c>
      <c r="B195" s="118" t="e">
        <v>#N/A</v>
      </c>
      <c r="C195" s="136" t="inlineStr">
        <is>
          <t>防護肌密眼部修護精華</t>
        </is>
      </c>
      <c r="D195" s="285" t="n"/>
      <c r="E195" s="198" t="inlineStr">
        <is>
          <t>PCS</t>
        </is>
      </c>
      <c r="F195" s="349" t="n"/>
      <c r="G195" s="392" t="n"/>
      <c r="AS195" s="347" t="inlineStr">
        <is>
          <t>-</t>
        </is>
      </c>
      <c r="AT195" s="347" t="inlineStr">
        <is>
          <t>-</t>
        </is>
      </c>
      <c r="AU195" s="347" t="inlineStr">
        <is>
          <t>-</t>
        </is>
      </c>
      <c r="AV195" s="347" t="inlineStr">
        <is>
          <t>-</t>
        </is>
      </c>
      <c r="AW195" s="347" t="inlineStr">
        <is>
          <t>-</t>
        </is>
      </c>
      <c r="AX195" s="347" t="inlineStr">
        <is>
          <t>-</t>
        </is>
      </c>
      <c r="AZ195" s="203">
        <f>SUMIFS(領用表!$L:$L,領用表!$E:$E,$B195,領用表!$B:$B,AZ$2&amp;$BI$1)</f>
        <v/>
      </c>
      <c r="BA195" s="203">
        <f>SUMIFS(領用表!$L:$L,領用表!$E:$E,$B195,領用表!$B:$B,BA$2&amp;$BI$1)</f>
        <v/>
      </c>
      <c r="BB195" s="203">
        <f>SUMIFS(領用表!$L:$L,領用表!$E:$E,$B195,領用表!$B:$B,BB$2&amp;$BI$1)</f>
        <v/>
      </c>
      <c r="BC195" s="203">
        <f>SUMIFS(領用表!$L:$L,領用表!$E:$E,$B195,領用表!$B:$B,BC$2&amp;$BI$1)</f>
        <v/>
      </c>
      <c r="BD195" s="208">
        <f>SUMIFS(領用表!$L:$L,領用表!$E:$E,$B195,領用表!$B:$B,BD$2&amp;$BI$1)</f>
        <v/>
      </c>
      <c r="BE195" s="208">
        <f>SUMIFS(領用表!$L:$L,領用表!$E:$E,$B195,領用表!$B:$B,BE$2&amp;$BI$1)</f>
        <v/>
      </c>
      <c r="BF195" s="208">
        <f>SUMIFS(領用表!$L:$L,領用表!$E:$E,$B195,領用表!$B:$B,BF$2&amp;$BI$1)</f>
        <v/>
      </c>
      <c r="BG195" s="207">
        <f>SUM(AU195,AV195,AW195,AX195,AY195,AZ195,BA195,BB195,BC195,BD195,BE195,BF195)</f>
        <v/>
      </c>
      <c r="BH195" s="207">
        <f>AVERAGE(AU195,AV195,AW195,AX195,AY195,AZ195,BA195,BB195,BC195,BD195,BE195,BF195)</f>
        <v/>
      </c>
      <c r="BI195" s="208">
        <f>SUMIFS(領用表!$L:$L,領用表!$E:$E,$B195,領用表!$B:$B,BI$2&amp;$BI$1)</f>
        <v/>
      </c>
      <c r="BJ195" s="332">
        <f>SUMIFS(領用表!$L:$L,領用表!$E:$E,$B195,領用表!$B:$B,BJ$2&amp;$BI$1)</f>
        <v/>
      </c>
      <c r="BK195" s="332">
        <f>SUMIFS(領用表!$L:$L,領用表!$E:$E,$B195,領用表!$B:$B,BK$2&amp;$BI$1)</f>
        <v/>
      </c>
      <c r="BL195" s="332">
        <f>SUMIFS(領用表!$L:$L,領用表!$E:$E,$B195,領用表!$B:$B,BL$2&amp;$BI$1)</f>
        <v/>
      </c>
      <c r="BM195" s="332">
        <f>SUMIFS(領用表!$L:$L,領用表!$E:$E,$B195,領用表!$B:$B,BM$2&amp;$BI$1)</f>
        <v/>
      </c>
      <c r="BN195" s="332">
        <f>SUMIFS(領用表!$L:$L,領用表!$E:$E,$B195,領用表!$B:$B,BN$2&amp;$BI$1)</f>
        <v/>
      </c>
      <c r="BO195" s="332">
        <f>SUMIFS(領用表!$L:$L,領用表!$E:$E,$B195,領用表!$B:$B,BO$2&amp;$BI$1)</f>
        <v/>
      </c>
      <c r="BP195" s="332">
        <f>SUMIFS(領用表!$L:$L,領用表!$E:$E,$B195,領用表!$B:$B,BP$2&amp;$BI$1)</f>
        <v/>
      </c>
      <c r="BQ195" s="332">
        <f>SUMIFS(領用表!$L:$L,領用表!$E:$E,$B195,領用表!$B:$B,BQ$2&amp;$BI$1)</f>
        <v/>
      </c>
      <c r="BR195" s="332">
        <f>SUMIFS(領用表!$L:$L,領用表!$E:$E,$B195,領用表!$B:$B,BR$2&amp;$BI$1)</f>
        <v/>
      </c>
      <c r="BS195" s="332">
        <f>SUMIFS(領用表!$L:$L,領用表!$E:$E,$B195,領用表!$B:$B,BS$2&amp;$BI$1)</f>
        <v/>
      </c>
      <c r="BT195" s="332">
        <f>SUMIFS(領用表!$L:$L,領用表!$E:$E,$B195,領用表!$B:$B,BT$2&amp;$BI$1)</f>
        <v/>
      </c>
      <c r="BU195" s="332">
        <f>SUM(BI195,BJ195,BK195,BL195,BM195,BN195)</f>
        <v/>
      </c>
      <c r="BV195" s="332">
        <f>AVERAGE(BI195,BJ195,BK195,BL195,BM195,BN195)</f>
        <v/>
      </c>
      <c r="BW195" s="332">
        <f>SUMIF(Summary!B:B,B195,Summary!DZ:DZ)</f>
        <v/>
      </c>
      <c r="BX195" s="305" t="n"/>
      <c r="BY195" s="342" t="n"/>
      <c r="BZ195" s="340" t="n"/>
      <c r="CA195" s="340" t="n"/>
    </row>
    <row r="196" ht="15" customFormat="1" customHeight="1" s="118">
      <c r="A196" s="136" t="inlineStr">
        <is>
          <t>D99GA010001T</t>
        </is>
      </c>
      <c r="B196" s="118" t="e">
        <v>#N/A</v>
      </c>
      <c r="C196" s="136" t="inlineStr">
        <is>
          <t>新纖有酵蔬果酵素飲50ml(15入)(繁體版)/盒</t>
        </is>
      </c>
      <c r="D196" s="285" t="n"/>
      <c r="E196" s="198" t="inlineStr">
        <is>
          <t>PCS</t>
        </is>
      </c>
      <c r="F196" s="349" t="n"/>
      <c r="G196" s="392" t="n"/>
      <c r="AZ196" s="203">
        <f>SUMIFS(領用表!$L:$L,領用表!$E:$E,$B196,領用表!$B:$B,AZ$2&amp;$BI$1)</f>
        <v/>
      </c>
      <c r="BA196" s="203">
        <f>SUMIFS(領用表!$L:$L,領用表!$E:$E,$B196,領用表!$B:$B,BA$2&amp;$BI$1)</f>
        <v/>
      </c>
      <c r="BB196" s="203">
        <f>SUMIFS(領用表!$L:$L,領用表!$E:$E,$B196,領用表!$B:$B,BB$2&amp;$BI$1)</f>
        <v/>
      </c>
      <c r="BC196" s="203">
        <f>SUMIFS(領用表!$L:$L,領用表!$E:$E,$B196,領用表!$B:$B,BC$2&amp;$BI$1)</f>
        <v/>
      </c>
      <c r="BD196" s="208">
        <f>SUMIFS(領用表!$L:$L,領用表!$E:$E,$B196,領用表!$B:$B,BD$2&amp;$BI$1)</f>
        <v/>
      </c>
      <c r="BE196" s="208">
        <f>SUMIFS(領用表!$L:$L,領用表!$E:$E,$B196,領用表!$B:$B,BE$2&amp;$BI$1)</f>
        <v/>
      </c>
      <c r="BF196" s="208">
        <f>SUMIFS(領用表!$L:$L,領用表!$E:$E,$B196,領用表!$B:$B,BF$2&amp;$BI$1)</f>
        <v/>
      </c>
      <c r="BG196" s="207">
        <f>SUM(AU196,AV196,AW196,AX196,AY196,AZ196,BA196,BB196,BC196,BD196,BE196,BF196)</f>
        <v/>
      </c>
      <c r="BH196" s="207">
        <f>AVERAGE(AU196,AV196,AW196,AX196,AY196,AZ196,BA196,BB196,BC196,BD196,BE196,BF196)</f>
        <v/>
      </c>
      <c r="BI196" s="208">
        <f>SUMIFS(領用表!$L:$L,領用表!$E:$E,$B196,領用表!$B:$B,BI$2&amp;$BI$1)</f>
        <v/>
      </c>
      <c r="BJ196" s="332">
        <f>SUMIFS(領用表!$L:$L,領用表!$E:$E,$B196,領用表!$B:$B,BJ$2&amp;$BI$1)</f>
        <v/>
      </c>
      <c r="BK196" s="332">
        <f>SUMIFS(領用表!$L:$L,領用表!$E:$E,$B196,領用表!$B:$B,BK$2&amp;$BI$1)</f>
        <v/>
      </c>
      <c r="BL196" s="332">
        <f>SUMIFS(領用表!$L:$L,領用表!$E:$E,$B196,領用表!$B:$B,BL$2&amp;$BI$1)</f>
        <v/>
      </c>
      <c r="BM196" s="332">
        <f>SUMIFS(領用表!$L:$L,領用表!$E:$E,$B196,領用表!$B:$B,BM$2&amp;$BI$1)</f>
        <v/>
      </c>
      <c r="BN196" s="332">
        <f>SUMIFS(領用表!$L:$L,領用表!$E:$E,$B196,領用表!$B:$B,BN$2&amp;$BI$1)</f>
        <v/>
      </c>
      <c r="BO196" s="332">
        <f>SUMIFS(領用表!$L:$L,領用表!$E:$E,$B196,領用表!$B:$B,BO$2&amp;$BI$1)</f>
        <v/>
      </c>
      <c r="BP196" s="332">
        <f>SUMIFS(領用表!$L:$L,領用表!$E:$E,$B196,領用表!$B:$B,BP$2&amp;$BI$1)</f>
        <v/>
      </c>
      <c r="BQ196" s="332">
        <f>SUMIFS(領用表!$L:$L,領用表!$E:$E,$B196,領用表!$B:$B,BQ$2&amp;$BI$1)</f>
        <v/>
      </c>
      <c r="BR196" s="332">
        <f>SUMIFS(領用表!$L:$L,領用表!$E:$E,$B196,領用表!$B:$B,BR$2&amp;$BI$1)</f>
        <v/>
      </c>
      <c r="BS196" s="332">
        <f>SUMIFS(領用表!$L:$L,領用表!$E:$E,$B196,領用表!$B:$B,BS$2&amp;$BI$1)</f>
        <v/>
      </c>
      <c r="BT196" s="332">
        <f>SUMIFS(領用表!$L:$L,領用表!$E:$E,$B196,領用表!$B:$B,BT$2&amp;$BI$1)</f>
        <v/>
      </c>
      <c r="BU196" s="332">
        <f>SUM(BI196,BJ196,BK196,BL196,BM196,BN196)</f>
        <v/>
      </c>
      <c r="BV196" s="332">
        <f>AVERAGE(BI196,BJ196,BK196,BL196,BM196,BN196)</f>
        <v/>
      </c>
      <c r="BW196" s="332">
        <f>SUMIF(Summary!B:B,B196,Summary!DZ:DZ)</f>
        <v/>
      </c>
      <c r="BX196" s="305" t="n"/>
      <c r="BY196" s="342" t="n"/>
      <c r="BZ196" s="341" t="n"/>
      <c r="CA196" s="341" t="inlineStr">
        <is>
          <t>20(10/22)</t>
        </is>
      </c>
    </row>
    <row r="197" ht="15" customFormat="1" customHeight="1" s="118">
      <c r="A197" s="136" t="inlineStr">
        <is>
          <t>DL1GD010001T</t>
        </is>
      </c>
      <c r="B197" s="118" t="e">
        <v>#N/A</v>
      </c>
      <c r="C197" s="136" t="inlineStr">
        <is>
          <t>暢護菌益康粉包 3g(30入)(繁體版)</t>
        </is>
      </c>
      <c r="D197" s="285" t="n"/>
      <c r="E197" s="198" t="inlineStr">
        <is>
          <t>PCS</t>
        </is>
      </c>
      <c r="F197" s="349" t="n"/>
      <c r="G197" s="392" t="n"/>
      <c r="AZ197" s="203">
        <f>SUMIFS(領用表!$L:$L,領用表!$E:$E,$B197,領用表!$B:$B,AZ$2&amp;$BI$1)</f>
        <v/>
      </c>
      <c r="BA197" s="203">
        <f>SUMIFS(領用表!$L:$L,領用表!$E:$E,$B197,領用表!$B:$B,BA$2&amp;$BI$1)</f>
        <v/>
      </c>
      <c r="BB197" s="203">
        <f>SUMIFS(領用表!$L:$L,領用表!$E:$E,$B197,領用表!$B:$B,BB$2&amp;$BI$1)</f>
        <v/>
      </c>
      <c r="BC197" s="203">
        <f>SUMIFS(領用表!$L:$L,領用表!$E:$E,$B197,領用表!$B:$B,BC$2&amp;$BI$1)</f>
        <v/>
      </c>
      <c r="BD197" s="208">
        <f>SUMIFS(領用表!$L:$L,領用表!$E:$E,$B197,領用表!$B:$B,BD$2&amp;$BI$1)</f>
        <v/>
      </c>
      <c r="BE197" s="208">
        <f>SUMIFS(領用表!$L:$L,領用表!$E:$E,$B197,領用表!$B:$B,BE$2&amp;$BI$1)</f>
        <v/>
      </c>
      <c r="BF197" s="208">
        <f>SUMIFS(領用表!$L:$L,領用表!$E:$E,$B197,領用表!$B:$B,BF$2&amp;$BI$1)</f>
        <v/>
      </c>
      <c r="BG197" s="207">
        <f>SUM(AU197,AV197,AW197,AX197,AY197,AZ197,BA197,BB197,BC197,BD197,BE197,BF197)</f>
        <v/>
      </c>
      <c r="BH197" s="207">
        <f>AVERAGE(AU197,AV197,AW197,AX197,AY197,AZ197,BA197,BB197,BC197,BD197,BE197,BF197)</f>
        <v/>
      </c>
      <c r="BI197" s="208">
        <f>SUMIFS(領用表!$L:$L,領用表!$E:$E,$B197,領用表!$B:$B,BI$2&amp;$BI$1)</f>
        <v/>
      </c>
      <c r="BJ197" s="332">
        <f>SUMIFS(領用表!$L:$L,領用表!$E:$E,$B197,領用表!$B:$B,BJ$2&amp;$BI$1)</f>
        <v/>
      </c>
      <c r="BK197" s="332">
        <f>SUMIFS(領用表!$L:$L,領用表!$E:$E,$B197,領用表!$B:$B,BK$2&amp;$BI$1)</f>
        <v/>
      </c>
      <c r="BL197" s="332">
        <f>SUMIFS(領用表!$L:$L,領用表!$E:$E,$B197,領用表!$B:$B,BL$2&amp;$BI$1)</f>
        <v/>
      </c>
      <c r="BM197" s="332">
        <f>SUMIFS(領用表!$L:$L,領用表!$E:$E,$B197,領用表!$B:$B,BM$2&amp;$BI$1)</f>
        <v/>
      </c>
      <c r="BN197" s="332">
        <f>SUMIFS(領用表!$L:$L,領用表!$E:$E,$B197,領用表!$B:$B,BN$2&amp;$BI$1)</f>
        <v/>
      </c>
      <c r="BO197" s="332">
        <f>SUMIFS(領用表!$L:$L,領用表!$E:$E,$B197,領用表!$B:$B,BO$2&amp;$BI$1)</f>
        <v/>
      </c>
      <c r="BP197" s="332">
        <f>SUMIFS(領用表!$L:$L,領用表!$E:$E,$B197,領用表!$B:$B,BP$2&amp;$BI$1)</f>
        <v/>
      </c>
      <c r="BQ197" s="332">
        <f>SUMIFS(領用表!$L:$L,領用表!$E:$E,$B197,領用表!$B:$B,BQ$2&amp;$BI$1)</f>
        <v/>
      </c>
      <c r="BR197" s="332">
        <f>SUMIFS(領用表!$L:$L,領用表!$E:$E,$B197,領用表!$B:$B,BR$2&amp;$BI$1)</f>
        <v/>
      </c>
      <c r="BS197" s="332">
        <f>SUMIFS(領用表!$L:$L,領用表!$E:$E,$B197,領用表!$B:$B,BS$2&amp;$BI$1)</f>
        <v/>
      </c>
      <c r="BT197" s="332">
        <f>SUMIFS(領用表!$L:$L,領用表!$E:$E,$B197,領用表!$B:$B,BT$2&amp;$BI$1)</f>
        <v/>
      </c>
      <c r="BU197" s="332">
        <f>SUM(BI197,BJ197,BK197,BL197,BM197,BN197)</f>
        <v/>
      </c>
      <c r="BV197" s="332">
        <f>AVERAGE(BI197,BJ197,BK197,BL197,BM197,BN197)</f>
        <v/>
      </c>
      <c r="BW197" s="332">
        <f>SUMIF(Summary!B:B,B197,Summary!DZ:DZ)</f>
        <v/>
      </c>
      <c r="BX197" s="305" t="n"/>
      <c r="BY197" s="342" t="n"/>
      <c r="BZ197" s="341" t="n"/>
      <c r="CA197" s="341" t="inlineStr">
        <is>
          <t>15(10/22)</t>
        </is>
      </c>
    </row>
    <row r="198" ht="15" customFormat="1" customHeight="1" s="118">
      <c r="A198" s="136" t="inlineStr">
        <is>
          <t>MAX06M1A0001</t>
        </is>
      </c>
      <c r="B198" s="118" t="e">
        <v>#N/A</v>
      </c>
      <c r="C198" s="136" t="inlineStr">
        <is>
          <t>MIKOBEAUTE-提袋-S/22cm W*8cm D*18cm H</t>
        </is>
      </c>
      <c r="D198" s="285" t="n"/>
      <c r="E198" s="198" t="inlineStr">
        <is>
          <t>PCS</t>
        </is>
      </c>
      <c r="F198" s="349" t="n"/>
      <c r="G198" s="392" t="n"/>
      <c r="AZ198" s="203">
        <f>SUMIFS(領用表!$L:$L,領用表!$E:$E,$B198,領用表!$B:$B,AZ$2&amp;$BI$1)</f>
        <v/>
      </c>
      <c r="BA198" s="203">
        <f>SUMIFS(領用表!$L:$L,領用表!$E:$E,$B198,領用表!$B:$B,BA$2&amp;$BI$1)</f>
        <v/>
      </c>
      <c r="BB198" s="203">
        <f>SUMIFS(領用表!$L:$L,領用表!$E:$E,$B198,領用表!$B:$B,BB$2&amp;$BI$1)</f>
        <v/>
      </c>
      <c r="BC198" s="203">
        <f>SUMIFS(領用表!$L:$L,領用表!$E:$E,$B198,領用表!$B:$B,BC$2&amp;$BI$1)</f>
        <v/>
      </c>
      <c r="BD198" s="208">
        <f>SUMIFS(領用表!$L:$L,領用表!$E:$E,$B198,領用表!$B:$B,BD$2&amp;$BI$1)</f>
        <v/>
      </c>
      <c r="BE198" s="208">
        <f>SUMIFS(領用表!$L:$L,領用表!$E:$E,$B198,領用表!$B:$B,BE$2&amp;$BI$1)</f>
        <v/>
      </c>
      <c r="BF198" s="208">
        <f>SUMIFS(領用表!$L:$L,領用表!$E:$E,$B198,領用表!$B:$B,BF$2&amp;$BI$1)</f>
        <v/>
      </c>
      <c r="BG198" s="207">
        <f>SUM(AU198,AV198,AW198,AX198,AY198,AZ198,BA198,BB198,BC198,BD198,BE198,BF198)</f>
        <v/>
      </c>
      <c r="BH198" s="207">
        <f>AVERAGE(AU198,AV198,AW198,AX198,AY198,AZ198,BA198,BB198,BC198,BD198,BE198,BF198)</f>
        <v/>
      </c>
      <c r="BI198" s="208">
        <f>SUMIFS(領用表!$L:$L,領用表!$E:$E,$B198,領用表!$B:$B,BI$2&amp;$BI$1)</f>
        <v/>
      </c>
      <c r="BJ198" s="332">
        <f>SUMIFS(領用表!$L:$L,領用表!$E:$E,$B198,領用表!$B:$B,BJ$2&amp;$BI$1)</f>
        <v/>
      </c>
      <c r="BK198" s="332">
        <f>SUMIFS(領用表!$L:$L,領用表!$E:$E,$B198,領用表!$B:$B,BK$2&amp;$BI$1)</f>
        <v/>
      </c>
      <c r="BL198" s="332">
        <f>SUMIFS(領用表!$L:$L,領用表!$E:$E,$B198,領用表!$B:$B,BL$2&amp;$BI$1)</f>
        <v/>
      </c>
      <c r="BM198" s="332">
        <f>SUMIFS(領用表!$L:$L,領用表!$E:$E,$B198,領用表!$B:$B,BM$2&amp;$BI$1)</f>
        <v/>
      </c>
      <c r="BN198" s="332">
        <f>SUMIFS(領用表!$L:$L,領用表!$E:$E,$B198,領用表!$B:$B,BN$2&amp;$BI$1)</f>
        <v/>
      </c>
      <c r="BO198" s="332">
        <f>SUMIFS(領用表!$L:$L,領用表!$E:$E,$B198,領用表!$B:$B,BO$2&amp;$BI$1)</f>
        <v/>
      </c>
      <c r="BP198" s="332">
        <f>SUMIFS(領用表!$L:$L,領用表!$E:$E,$B198,領用表!$B:$B,BP$2&amp;$BI$1)</f>
        <v/>
      </c>
      <c r="BQ198" s="332">
        <f>SUMIFS(領用表!$L:$L,領用表!$E:$E,$B198,領用表!$B:$B,BQ$2&amp;$BI$1)</f>
        <v/>
      </c>
      <c r="BR198" s="332">
        <f>SUMIFS(領用表!$L:$L,領用表!$E:$E,$B198,領用表!$B:$B,BR$2&amp;$BI$1)</f>
        <v/>
      </c>
      <c r="BS198" s="332">
        <f>SUMIFS(領用表!$L:$L,領用表!$E:$E,$B198,領用表!$B:$B,BS$2&amp;$BI$1)</f>
        <v/>
      </c>
      <c r="BT198" s="332">
        <f>SUMIFS(領用表!$L:$L,領用表!$E:$E,$B198,領用表!$B:$B,BT$2&amp;$BI$1)</f>
        <v/>
      </c>
      <c r="BU198" s="332">
        <f>SUM(BI198,BJ198,BK198,BL198,BM198,BN198)</f>
        <v/>
      </c>
      <c r="BV198" s="332">
        <f>AVERAGE(BI198,BJ198,BK198,BL198,BM198,BN198)</f>
        <v/>
      </c>
      <c r="BW198" s="332">
        <f>SUMIF(Summary!B:B,B198,Summary!DZ:DZ)</f>
        <v/>
      </c>
      <c r="BX198" s="305" t="n"/>
      <c r="BY198" s="342" t="n"/>
      <c r="BZ198" s="341" t="n"/>
      <c r="CA198" s="341" t="n"/>
    </row>
    <row r="199" ht="15" customFormat="1" customHeight="1" s="118">
      <c r="A199" s="136" t="inlineStr">
        <is>
          <t>MAX06M1A0005</t>
        </is>
      </c>
      <c r="B199" s="118" t="e">
        <v>#N/A</v>
      </c>
      <c r="C199" s="136" t="inlineStr">
        <is>
          <t>MIKOBEAUTE-提袋-M/29cm W*11cm D*24cm H(2023.4)</t>
        </is>
      </c>
      <c r="D199" s="285" t="n"/>
      <c r="E199" s="198" t="inlineStr">
        <is>
          <t>PCS</t>
        </is>
      </c>
      <c r="F199" s="349" t="n"/>
      <c r="G199" s="392" t="n"/>
      <c r="AZ199" s="203">
        <f>SUMIFS(領用表!$L:$L,領用表!$E:$E,$B199,領用表!$B:$B,AZ$2&amp;$BI$1)</f>
        <v/>
      </c>
      <c r="BA199" s="203">
        <f>SUMIFS(領用表!$L:$L,領用表!$E:$E,$B199,領用表!$B:$B,BA$2&amp;$BI$1)</f>
        <v/>
      </c>
      <c r="BB199" s="203">
        <f>SUMIFS(領用表!$L:$L,領用表!$E:$E,$B199,領用表!$B:$B,BB$2&amp;$BI$1)</f>
        <v/>
      </c>
      <c r="BC199" s="203">
        <f>SUMIFS(領用表!$L:$L,領用表!$E:$E,$B199,領用表!$B:$B,BC$2&amp;$BI$1)</f>
        <v/>
      </c>
      <c r="BD199" s="208">
        <f>SUMIFS(領用表!$L:$L,領用表!$E:$E,$B199,領用表!$B:$B,BD$2&amp;$BI$1)</f>
        <v/>
      </c>
      <c r="BE199" s="208">
        <f>SUMIFS(領用表!$L:$L,領用表!$E:$E,$B199,領用表!$B:$B,BE$2&amp;$BI$1)</f>
        <v/>
      </c>
      <c r="BF199" s="208">
        <f>SUMIFS(領用表!$L:$L,領用表!$E:$E,$B199,領用表!$B:$B,BF$2&amp;$BI$1)</f>
        <v/>
      </c>
      <c r="BG199" s="207">
        <f>SUM(AU199,AV199,AW199,AX199,AY199,AZ199,BA199,BB199,BC199,BD199,BE199,BF199)</f>
        <v/>
      </c>
      <c r="BH199" s="207">
        <f>AVERAGE(AU199,AV199,AW199,AX199,AY199,AZ199,BA199,BB199,BC199,BD199,BE199,BF199)</f>
        <v/>
      </c>
      <c r="BI199" s="208">
        <f>SUMIFS(領用表!$L:$L,領用表!$E:$E,$B199,領用表!$B:$B,BI$2&amp;$BI$1)</f>
        <v/>
      </c>
      <c r="BJ199" s="332">
        <f>SUMIFS(領用表!$L:$L,領用表!$E:$E,$B199,領用表!$B:$B,BJ$2&amp;$BI$1)</f>
        <v/>
      </c>
      <c r="BK199" s="332">
        <f>SUMIFS(領用表!$L:$L,領用表!$E:$E,$B199,領用表!$B:$B,BK$2&amp;$BI$1)</f>
        <v/>
      </c>
      <c r="BL199" s="332">
        <f>SUMIFS(領用表!$L:$L,領用表!$E:$E,$B199,領用表!$B:$B,BL$2&amp;$BI$1)</f>
        <v/>
      </c>
      <c r="BM199" s="332">
        <f>SUMIFS(領用表!$L:$L,領用表!$E:$E,$B199,領用表!$B:$B,BM$2&amp;$BI$1)</f>
        <v/>
      </c>
      <c r="BN199" s="332" t="n"/>
      <c r="BO199" s="332">
        <f>SUMIFS(領用表!$L:$L,領用表!$E:$E,$B199,領用表!$B:$B,BO$2&amp;$BI$1)</f>
        <v/>
      </c>
      <c r="BP199" s="332">
        <f>SUMIFS(領用表!$L:$L,領用表!$E:$E,$B199,領用表!$B:$B,BP$2&amp;$BI$1)</f>
        <v/>
      </c>
      <c r="BQ199" s="332">
        <f>SUMIFS(領用表!$L:$L,領用表!$E:$E,$B199,領用表!$B:$B,BQ$2&amp;$BI$1)</f>
        <v/>
      </c>
      <c r="BR199" s="332">
        <f>SUMIFS(領用表!$L:$L,領用表!$E:$E,$B199,領用表!$B:$B,BR$2&amp;$BI$1)</f>
        <v/>
      </c>
      <c r="BS199" s="332">
        <f>SUMIFS(領用表!$L:$L,領用表!$E:$E,$B199,領用表!$B:$B,BS$2&amp;$BI$1)</f>
        <v/>
      </c>
      <c r="BT199" s="332">
        <f>SUMIFS(領用表!$L:$L,領用表!$E:$E,$B199,領用表!$B:$B,BT$2&amp;$BI$1)</f>
        <v/>
      </c>
      <c r="BU199" s="332">
        <f>SUM(BI199,BJ199,BK199,BL199,BM199,BN199)</f>
        <v/>
      </c>
      <c r="BV199" s="332">
        <f>AVERAGE(BI199,BJ199,BK199,BL199,BM199,BN199)</f>
        <v/>
      </c>
      <c r="BW199" s="332">
        <f>SUMIF(Summary!B:B,B199,Summary!DZ:DZ)</f>
        <v/>
      </c>
      <c r="BX199" s="305" t="n"/>
      <c r="BY199" s="342" t="n"/>
      <c r="BZ199" s="341" t="n"/>
      <c r="CA199" s="341" t="n"/>
    </row>
    <row r="200" ht="15" customHeight="1" s="453">
      <c r="B200" s="118" t="n">
        <v>6080011</v>
      </c>
      <c r="C200" s="136" t="inlineStr">
        <is>
          <t>(V)水梨面膜 30ml</t>
        </is>
      </c>
      <c r="D200" s="11" t="n"/>
      <c r="E200" s="198" t="inlineStr">
        <is>
          <t>PCS</t>
        </is>
      </c>
      <c r="F200" s="349" t="n"/>
      <c r="G200" s="85" t="n"/>
      <c r="BI200" s="208">
        <f>SUMIFS(領用表!$L:$L,領用表!$E:$E,$B200,領用表!$B:$B,BI$2&amp;$BI$1)</f>
        <v/>
      </c>
      <c r="BJ200" s="332">
        <f>SUMIFS(領用表!$L:$L,領用表!$E:$E,$B200,領用表!$B:$B,BJ$2&amp;$BI$1)</f>
        <v/>
      </c>
      <c r="BK200" s="332">
        <f>SUMIFS(領用表!$L:$L,領用表!$E:$E,$B200,領用表!$B:$B,BK$2&amp;$BI$1)</f>
        <v/>
      </c>
      <c r="BL200" s="332">
        <f>SUMIFS(領用表!$L:$L,領用表!$E:$E,$B200,領用表!$B:$B,BL$2&amp;$BI$1)</f>
        <v/>
      </c>
      <c r="BM200" s="332">
        <f>SUMIFS(領用表!$L:$L,領用表!$E:$E,$B200,領用表!$B:$B,BM$2&amp;$BI$1)</f>
        <v/>
      </c>
      <c r="BU200" s="332">
        <f>SUM(BI200,BJ200,BK200,BL200,BM200,BN200)</f>
        <v/>
      </c>
      <c r="BV200" s="332">
        <f>AVERAGE(BI200,BJ200,BK200,BL200,BM200,BN200)</f>
        <v/>
      </c>
      <c r="BW200" s="332">
        <f>SUMIF(Summary!B:B,B200,Summary!DZ:DZ)</f>
        <v/>
      </c>
    </row>
    <row r="201" ht="13.5" customHeight="1" s="453">
      <c r="B201" s="118" t="inlineStr">
        <is>
          <t>6190001</t>
        </is>
      </c>
      <c r="C201" s="136" t="inlineStr">
        <is>
          <t>PLT生長因子凍晶製備/ 瓶</t>
        </is>
      </c>
      <c r="D201" s="11" t="n"/>
      <c r="E201" s="198" t="n"/>
      <c r="F201" s="349" t="n"/>
      <c r="G201" s="85" t="n"/>
      <c r="BI201" s="208">
        <f>SUMIFS(領用表!$L:$L,領用表!$E:$E,$B201,領用表!$B:$B,BI$2&amp;$BI$1)</f>
        <v/>
      </c>
      <c r="BJ201" s="332">
        <f>SUMIFS(領用表!$L:$L,領用表!$E:$E,$B201,領用表!$B:$B,BJ$2&amp;$BI$1)</f>
        <v/>
      </c>
      <c r="BK201" s="332">
        <f>SUMIFS(領用表!$L:$L,領用表!$E:$E,$B201,領用表!$B:$B,BK$2&amp;$BI$1)</f>
        <v/>
      </c>
      <c r="BL201" s="332">
        <f>SUMIFS(領用表!$L:$L,領用表!$E:$E,$B201,領用表!$B:$B,BL$2&amp;$BI$1)</f>
        <v/>
      </c>
      <c r="BM201" s="332">
        <f>SUMIFS(領用表!$L:$L,領用表!$E:$E,$B201,領用表!$B:$B,BM$2&amp;$BI$1)</f>
        <v/>
      </c>
      <c r="BN201" t="n">
        <v>1</v>
      </c>
      <c r="BU201" s="332">
        <f>SUM(BI201,BJ201,BK201,BL201,BM201,BN201)</f>
        <v/>
      </c>
      <c r="BV201" s="332">
        <f>AVERAGE(BI201,BJ201,BK201,BL201,BM201,BN201)</f>
        <v/>
      </c>
      <c r="BW201" s="332">
        <f>SUMIF(Summary!B:B,B201,Summary!DZ:DZ)</f>
        <v/>
      </c>
    </row>
    <row r="202" ht="13.5" customHeight="1" s="453">
      <c r="D202" s="11" t="n"/>
      <c r="E202" s="79" t="n"/>
      <c r="F202" s="85" t="n"/>
      <c r="G202" s="85" t="n"/>
    </row>
    <row r="203" ht="13.5" customHeight="1" s="453">
      <c r="D203" s="11" t="n"/>
      <c r="E203" s="79" t="n"/>
      <c r="F203" s="85" t="n"/>
      <c r="G203" s="85" t="n"/>
    </row>
    <row r="204" ht="13.5" customHeight="1" s="453">
      <c r="D204" s="11" t="n"/>
      <c r="E204" s="79" t="n"/>
      <c r="F204" s="85" t="n"/>
      <c r="G204" s="85" t="n"/>
    </row>
    <row r="205" ht="13.5" customHeight="1" s="453">
      <c r="D205" s="11" t="n"/>
      <c r="E205" s="79" t="n"/>
      <c r="F205" s="85" t="n"/>
      <c r="G205" s="85" t="n"/>
    </row>
    <row r="206" ht="13.5" customHeight="1" s="453">
      <c r="D206" s="11" t="n"/>
      <c r="E206" s="79" t="n"/>
      <c r="F206" s="85" t="n"/>
      <c r="G206" s="85" t="n"/>
    </row>
    <row r="207" ht="13.5" customHeight="1" s="453">
      <c r="D207" s="11" t="n"/>
      <c r="E207" s="79" t="n"/>
      <c r="F207" s="85" t="n"/>
      <c r="G207" s="85" t="n"/>
    </row>
    <row r="208" ht="13.5" customHeight="1" s="453">
      <c r="D208" s="11" t="n"/>
      <c r="E208" s="79" t="n"/>
      <c r="F208" s="85" t="n"/>
      <c r="G208" s="85" t="n"/>
    </row>
    <row r="209" ht="13.5" customHeight="1" s="453">
      <c r="D209" s="11" t="n"/>
      <c r="E209" s="79" t="n"/>
      <c r="F209" s="85" t="n"/>
      <c r="G209" s="85" t="n"/>
    </row>
    <row r="210" ht="13.5" customHeight="1" s="453">
      <c r="D210" s="11" t="n"/>
      <c r="E210" s="79" t="n"/>
      <c r="F210" s="85" t="n"/>
      <c r="G210" s="85" t="n"/>
    </row>
    <row r="211" ht="13.5" customHeight="1" s="453">
      <c r="D211" s="11" t="n"/>
      <c r="E211" s="86" t="n"/>
      <c r="F211" s="85" t="n"/>
      <c r="G211" s="85" t="n"/>
    </row>
    <row r="212" ht="13.5" customHeight="1" s="453">
      <c r="D212" s="11" t="n"/>
      <c r="E212" s="86" t="n"/>
      <c r="F212" s="85" t="n"/>
      <c r="G212" s="85" t="n"/>
    </row>
    <row r="213" ht="13.5" customHeight="1" s="453">
      <c r="D213" s="11" t="n"/>
      <c r="E213" s="86" t="n"/>
      <c r="F213" s="85" t="n"/>
      <c r="G213" s="85" t="n"/>
    </row>
    <row r="214" ht="13.5" customHeight="1" s="453">
      <c r="D214" s="11" t="n"/>
      <c r="E214" s="86" t="n"/>
      <c r="F214" s="85" t="n"/>
      <c r="G214" s="85" t="n"/>
    </row>
    <row r="215" ht="13.5" customHeight="1" s="453">
      <c r="D215" s="11" t="n"/>
      <c r="E215" s="86" t="n"/>
      <c r="F215" s="85" t="n"/>
      <c r="G215" s="85" t="n"/>
    </row>
    <row r="216" ht="13.5" customHeight="1" s="453">
      <c r="D216" s="11" t="n"/>
      <c r="E216" s="86" t="n"/>
      <c r="F216" s="85" t="n"/>
      <c r="G216" s="85" t="n"/>
    </row>
    <row r="217" ht="13.5" customHeight="1" s="453">
      <c r="D217" s="11" t="n"/>
      <c r="E217" s="86" t="n"/>
      <c r="F217" s="85" t="n"/>
      <c r="G217" s="85" t="n"/>
    </row>
    <row r="218" ht="13.5" customHeight="1" s="453">
      <c r="D218" s="11" t="n"/>
      <c r="E218" s="86" t="n"/>
      <c r="F218" s="85" t="n"/>
      <c r="G218" s="85" t="n"/>
    </row>
    <row r="219" ht="13.5" customHeight="1" s="453">
      <c r="D219" s="11" t="n"/>
      <c r="E219" s="86" t="n"/>
      <c r="F219" s="85" t="n"/>
      <c r="G219" s="85" t="n"/>
    </row>
    <row r="220" ht="13.5" customHeight="1" s="453">
      <c r="D220" s="11" t="n"/>
      <c r="E220" s="86" t="n"/>
      <c r="F220" s="85" t="n"/>
      <c r="G220" s="85" t="n"/>
    </row>
    <row r="221" ht="13.5" customHeight="1" s="453">
      <c r="D221" s="11" t="n"/>
      <c r="E221" s="86" t="n"/>
      <c r="F221" s="85" t="n"/>
      <c r="G221" s="85" t="n"/>
    </row>
    <row r="222" ht="13.5" customHeight="1" s="453">
      <c r="D222" s="11" t="n"/>
      <c r="E222" s="86" t="n"/>
      <c r="F222" s="85" t="n"/>
      <c r="G222" s="85" t="n"/>
    </row>
    <row r="223" ht="13.5" customHeight="1" s="453">
      <c r="D223" s="11" t="n"/>
      <c r="E223" s="86" t="n"/>
      <c r="F223" s="85" t="n"/>
      <c r="G223" s="85" t="n"/>
    </row>
    <row r="224" ht="13.5" customHeight="1" s="453">
      <c r="D224" s="11" t="n"/>
      <c r="E224" s="86" t="n"/>
      <c r="F224" s="85" t="n"/>
      <c r="G224" s="85" t="n"/>
    </row>
    <row r="225" ht="13.5" customHeight="1" s="453">
      <c r="D225" s="11" t="n"/>
      <c r="E225" s="86" t="n"/>
      <c r="F225" s="85" t="n"/>
      <c r="G225" s="85" t="n"/>
    </row>
    <row r="226" ht="13.5" customHeight="1" s="453">
      <c r="D226" s="11" t="n"/>
      <c r="E226" s="86" t="n"/>
      <c r="F226" s="85" t="n"/>
      <c r="G226" s="85" t="n"/>
    </row>
    <row r="227" ht="13.5" customHeight="1" s="453">
      <c r="D227" s="11" t="n"/>
      <c r="E227" s="86" t="n"/>
      <c r="F227" s="85" t="n"/>
      <c r="G227" s="85" t="n"/>
    </row>
    <row r="228" ht="13.5" customHeight="1" s="453">
      <c r="D228" s="11" t="n"/>
      <c r="E228" s="86" t="n"/>
      <c r="F228" s="85" t="n"/>
      <c r="G228" s="85" t="n"/>
    </row>
    <row r="229" ht="13.5" customHeight="1" s="453">
      <c r="D229" s="11" t="n"/>
      <c r="E229" s="86" t="n"/>
      <c r="F229" s="85" t="n"/>
      <c r="G229" s="85" t="n"/>
    </row>
    <row r="230" ht="13.5" customHeight="1" s="453">
      <c r="D230" s="11" t="n"/>
      <c r="E230" s="86" t="n"/>
      <c r="F230" s="85" t="n"/>
      <c r="G230" s="85" t="n"/>
    </row>
    <row r="231" ht="13.5" customHeight="1" s="453">
      <c r="D231" s="11" t="n"/>
      <c r="E231" s="86" t="n"/>
      <c r="F231" s="85" t="n"/>
      <c r="G231" s="85" t="n"/>
    </row>
    <row r="232" ht="13.5" customHeight="1" s="453">
      <c r="D232" s="11" t="n"/>
      <c r="E232" s="86" t="n"/>
      <c r="F232" s="85" t="n"/>
      <c r="G232" s="85" t="n"/>
    </row>
    <row r="233" ht="13.5" customHeight="1" s="453">
      <c r="D233" s="11" t="n"/>
      <c r="E233" s="86" t="n"/>
      <c r="F233" s="85" t="n"/>
      <c r="G233" s="85" t="n"/>
    </row>
    <row r="234" ht="13.5" customHeight="1" s="453">
      <c r="D234" s="11" t="n"/>
      <c r="E234" s="86" t="n"/>
      <c r="F234" s="85" t="n"/>
      <c r="G234" s="85" t="n"/>
    </row>
    <row r="235" ht="13.5" customHeight="1" s="453">
      <c r="D235" s="11" t="n"/>
      <c r="E235" s="86" t="n"/>
      <c r="F235" s="85" t="n"/>
      <c r="G235" s="85" t="n"/>
    </row>
    <row r="236" ht="13.5" customHeight="1" s="453">
      <c r="D236" s="11" t="n"/>
      <c r="E236" s="86" t="n"/>
      <c r="F236" s="85" t="n"/>
      <c r="G236" s="85" t="n"/>
    </row>
    <row r="237" ht="13.5" customHeight="1" s="453">
      <c r="D237" s="11" t="n"/>
      <c r="E237" s="86" t="n"/>
      <c r="F237" s="85" t="n"/>
      <c r="G237" s="85" t="n"/>
    </row>
    <row r="238" ht="13.5" customHeight="1" s="453">
      <c r="D238" s="11" t="n"/>
      <c r="E238" s="86" t="n"/>
      <c r="F238" s="85" t="n"/>
      <c r="G238" s="85" t="n"/>
    </row>
    <row r="239" ht="13.5" customHeight="1" s="453">
      <c r="D239" s="11" t="n"/>
      <c r="E239" s="86" t="n"/>
      <c r="F239" s="85" t="n"/>
      <c r="G239" s="85" t="n"/>
    </row>
    <row r="240" ht="13.5" customHeight="1" s="453">
      <c r="D240" s="11" t="n"/>
      <c r="E240" s="86" t="n"/>
      <c r="F240" s="85" t="n"/>
      <c r="G240" s="85" t="n"/>
    </row>
    <row r="241" ht="13.5" customHeight="1" s="453">
      <c r="D241" s="11" t="n"/>
      <c r="E241" s="86" t="n"/>
      <c r="F241" s="85" t="n"/>
      <c r="G241" s="85" t="n"/>
    </row>
    <row r="242" ht="13.5" customHeight="1" s="453">
      <c r="D242" s="11" t="n"/>
      <c r="E242" s="86" t="n"/>
      <c r="F242" s="85" t="n"/>
      <c r="G242" s="85" t="n"/>
    </row>
    <row r="243" ht="13.5" customHeight="1" s="453">
      <c r="D243" s="11" t="n"/>
      <c r="E243" s="86" t="n"/>
      <c r="F243" s="85" t="n"/>
      <c r="G243" s="85" t="n"/>
    </row>
    <row r="244" ht="13.5" customHeight="1" s="453">
      <c r="D244" s="11" t="n"/>
      <c r="E244" s="86" t="n"/>
      <c r="F244" s="85" t="n"/>
      <c r="G244" s="85" t="n"/>
    </row>
    <row r="245" ht="13.5" customHeight="1" s="453">
      <c r="D245" s="11" t="n"/>
      <c r="E245" s="86" t="n"/>
      <c r="F245" s="85" t="n"/>
      <c r="G245" s="85" t="n"/>
    </row>
    <row r="246" ht="13.5" customHeight="1" s="453">
      <c r="D246" s="11" t="n"/>
      <c r="E246" s="86" t="n"/>
      <c r="F246" s="85" t="n"/>
      <c r="G246" s="85" t="n"/>
    </row>
    <row r="247" ht="13.5" customHeight="1" s="453">
      <c r="D247" s="11" t="n"/>
      <c r="E247" s="86" t="n"/>
      <c r="F247" s="85" t="n"/>
      <c r="G247" s="85" t="n"/>
    </row>
    <row r="248" ht="13.5" customHeight="1" s="453">
      <c r="D248" s="11" t="n"/>
      <c r="E248" s="86" t="n"/>
      <c r="F248" s="85" t="n"/>
      <c r="G248" s="85" t="n"/>
    </row>
    <row r="249" ht="13.5" customHeight="1" s="453">
      <c r="D249" s="11" t="n"/>
      <c r="E249" s="86" t="n"/>
      <c r="F249" s="85" t="n"/>
      <c r="G249" s="85" t="n"/>
    </row>
    <row r="250" ht="13.5" customHeight="1" s="453">
      <c r="D250" s="11" t="n"/>
      <c r="E250" s="86" t="n"/>
      <c r="F250" s="85" t="n"/>
      <c r="G250" s="85" t="n"/>
    </row>
    <row r="251" ht="13.5" customHeight="1" s="453">
      <c r="D251" s="11" t="n"/>
      <c r="E251" s="86" t="n"/>
      <c r="F251" s="85" t="n"/>
      <c r="G251" s="85" t="n"/>
    </row>
    <row r="252" ht="13.5" customHeight="1" s="453">
      <c r="D252" s="11" t="n"/>
      <c r="E252" s="86" t="n"/>
      <c r="F252" s="85" t="n"/>
      <c r="G252" s="85" t="n"/>
    </row>
    <row r="253" ht="13.5" customHeight="1" s="453">
      <c r="D253" s="11" t="n"/>
      <c r="E253" s="86" t="n"/>
      <c r="F253" s="85" t="n"/>
      <c r="G253" s="85" t="n"/>
    </row>
    <row r="254" ht="13.5" customHeight="1" s="453">
      <c r="D254" s="11" t="n"/>
      <c r="E254" s="86" t="n"/>
      <c r="F254" s="85" t="n"/>
      <c r="G254" s="85" t="n"/>
    </row>
    <row r="255" ht="13.5" customHeight="1" s="453">
      <c r="D255" s="11" t="n"/>
      <c r="E255" s="86" t="n"/>
      <c r="F255" s="85" t="n"/>
      <c r="G255" s="85" t="n"/>
    </row>
    <row r="256" ht="13.5" customHeight="1" s="453">
      <c r="D256" s="11" t="n"/>
      <c r="E256" s="86" t="n"/>
      <c r="F256" s="85" t="n"/>
      <c r="G256" s="85" t="n"/>
    </row>
    <row r="257" ht="13.5" customHeight="1" s="453">
      <c r="D257" s="11" t="n"/>
      <c r="E257" s="86" t="n"/>
      <c r="F257" s="85" t="n"/>
      <c r="G257" s="85" t="n"/>
    </row>
    <row r="258" ht="13.5" customHeight="1" s="453">
      <c r="D258" s="11" t="n"/>
      <c r="E258" s="86" t="n"/>
      <c r="F258" s="85" t="n"/>
      <c r="G258" s="85" t="n"/>
    </row>
    <row r="259" ht="13.5" customHeight="1" s="453">
      <c r="D259" s="11" t="n"/>
      <c r="E259" s="86" t="n"/>
      <c r="F259" s="85" t="n"/>
      <c r="G259" s="85" t="n"/>
    </row>
    <row r="260" ht="13.5" customHeight="1" s="453">
      <c r="D260" s="11" t="n"/>
      <c r="E260" s="86" t="n"/>
      <c r="F260" s="85" t="n"/>
      <c r="G260" s="85" t="n"/>
    </row>
    <row r="261" ht="13.5" customHeight="1" s="453">
      <c r="D261" s="11" t="n"/>
      <c r="E261" s="86" t="n"/>
      <c r="F261" s="85" t="n"/>
      <c r="G261" s="85" t="n"/>
    </row>
    <row r="262" ht="13.5" customHeight="1" s="453">
      <c r="D262" s="11" t="n"/>
      <c r="E262" s="86" t="n"/>
      <c r="F262" s="85" t="n"/>
      <c r="G262" s="85" t="n"/>
    </row>
    <row r="263" ht="13.5" customHeight="1" s="453">
      <c r="D263" s="11" t="n"/>
      <c r="E263" s="86" t="n"/>
      <c r="F263" s="85" t="n"/>
      <c r="G263" s="85" t="n"/>
    </row>
    <row r="264" ht="13.5" customHeight="1" s="453">
      <c r="D264" s="11" t="n"/>
      <c r="E264" s="86" t="n"/>
      <c r="F264" s="85" t="n"/>
      <c r="G264" s="85" t="n"/>
    </row>
    <row r="265" ht="13.5" customHeight="1" s="453">
      <c r="D265" s="11" t="n"/>
      <c r="E265" s="86" t="n"/>
      <c r="F265" s="85" t="n"/>
      <c r="G265" s="85" t="n"/>
    </row>
    <row r="266" ht="13.5" customHeight="1" s="453">
      <c r="D266" s="11" t="n"/>
      <c r="E266" s="86" t="n"/>
      <c r="F266" s="85" t="n"/>
      <c r="G266" s="85" t="n"/>
    </row>
    <row r="267" ht="13.5" customHeight="1" s="453">
      <c r="D267" s="11" t="n"/>
      <c r="E267" s="86" t="n"/>
      <c r="F267" s="85" t="n"/>
      <c r="G267" s="85" t="n"/>
    </row>
    <row r="268" ht="13.5" customHeight="1" s="453">
      <c r="D268" s="11" t="n"/>
      <c r="E268" s="86" t="n"/>
      <c r="F268" s="85" t="n"/>
      <c r="G268" s="85" t="n"/>
    </row>
    <row r="269" ht="13.5" customHeight="1" s="453">
      <c r="D269" s="11" t="n"/>
      <c r="E269" s="86" t="n"/>
      <c r="F269" s="85" t="n"/>
      <c r="G269" s="85" t="n"/>
    </row>
    <row r="270" ht="13.5" customHeight="1" s="453">
      <c r="D270" s="11" t="n"/>
      <c r="E270" s="86" t="n"/>
      <c r="F270" s="85" t="n"/>
      <c r="G270" s="85" t="n"/>
    </row>
    <row r="271" ht="13.5" customHeight="1" s="453">
      <c r="D271" s="11" t="n"/>
      <c r="E271" s="86" t="n"/>
      <c r="F271" s="85" t="n"/>
      <c r="G271" s="85" t="n"/>
    </row>
    <row r="272" ht="13.5" customHeight="1" s="453">
      <c r="D272" s="11" t="n"/>
      <c r="E272" s="86" t="n"/>
      <c r="F272" s="85" t="n"/>
      <c r="G272" s="85" t="n"/>
    </row>
    <row r="273" ht="13.5" customHeight="1" s="453">
      <c r="D273" s="11" t="n"/>
      <c r="E273" s="86" t="n"/>
      <c r="F273" s="85" t="n"/>
      <c r="G273" s="85" t="n"/>
    </row>
    <row r="274" ht="13.5" customHeight="1" s="453">
      <c r="D274" s="11" t="n"/>
      <c r="E274" s="86" t="n"/>
      <c r="F274" s="85" t="n"/>
      <c r="G274" s="85" t="n"/>
    </row>
    <row r="275" ht="13.5" customHeight="1" s="453">
      <c r="D275" s="11" t="n"/>
      <c r="E275" s="86" t="n"/>
      <c r="F275" s="85" t="n"/>
      <c r="G275" s="85" t="n"/>
    </row>
    <row r="276" ht="13.5" customHeight="1" s="453">
      <c r="D276" s="11" t="n"/>
      <c r="E276" s="86" t="n"/>
      <c r="F276" s="85" t="n"/>
      <c r="G276" s="85" t="n"/>
    </row>
    <row r="277" ht="13.5" customHeight="1" s="453">
      <c r="D277" s="11" t="n"/>
      <c r="E277" s="86" t="n"/>
      <c r="F277" s="85" t="n"/>
      <c r="G277" s="85" t="n"/>
    </row>
    <row r="278" ht="13.5" customHeight="1" s="453">
      <c r="D278" s="11" t="n"/>
      <c r="E278" s="86" t="n"/>
      <c r="F278" s="85" t="n"/>
      <c r="G278" s="85" t="n"/>
    </row>
    <row r="279" ht="13.5" customHeight="1" s="453">
      <c r="D279" s="11" t="n"/>
      <c r="E279" s="86" t="n"/>
      <c r="F279" s="85" t="n"/>
      <c r="G279" s="85" t="n"/>
    </row>
    <row r="280" ht="13.5" customHeight="1" s="453">
      <c r="D280" s="11" t="n"/>
      <c r="E280" s="86" t="n"/>
      <c r="F280" s="85" t="n"/>
      <c r="G280" s="85" t="n"/>
    </row>
    <row r="281" ht="13.5" customHeight="1" s="453">
      <c r="D281" s="11" t="n"/>
      <c r="E281" s="86" t="n"/>
      <c r="F281" s="85" t="n"/>
      <c r="G281" s="85" t="n"/>
    </row>
    <row r="282" ht="13.5" customHeight="1" s="453">
      <c r="D282" s="11" t="n"/>
      <c r="E282" s="86" t="n"/>
      <c r="F282" s="85" t="n"/>
      <c r="G282" s="85" t="n"/>
    </row>
    <row r="283" ht="13.5" customHeight="1" s="453">
      <c r="D283" s="11" t="n"/>
      <c r="E283" s="86" t="n"/>
      <c r="F283" s="85" t="n"/>
      <c r="G283" s="85" t="n"/>
    </row>
    <row r="284" ht="13.5" customHeight="1" s="453">
      <c r="D284" s="11" t="n"/>
      <c r="E284" s="86" t="n"/>
      <c r="F284" s="85" t="n"/>
      <c r="G284" s="85" t="n"/>
    </row>
    <row r="285" ht="13.5" customHeight="1" s="453">
      <c r="D285" s="11" t="n"/>
      <c r="E285" s="86" t="n"/>
      <c r="F285" s="85" t="n"/>
      <c r="G285" s="85" t="n"/>
    </row>
    <row r="286" ht="13.5" customHeight="1" s="453">
      <c r="D286" s="11" t="n"/>
      <c r="E286" s="86" t="n"/>
      <c r="F286" s="85" t="n"/>
      <c r="G286" s="85" t="n"/>
    </row>
    <row r="287" ht="13.5" customHeight="1" s="453">
      <c r="D287" s="11" t="n"/>
      <c r="E287" s="86" t="n"/>
      <c r="F287" s="85" t="n"/>
      <c r="G287" s="85" t="n"/>
    </row>
    <row r="288" ht="13.5" customHeight="1" s="453">
      <c r="D288" s="11" t="n"/>
      <c r="E288" s="86" t="n"/>
      <c r="F288" s="85" t="n"/>
      <c r="G288" s="85" t="n"/>
    </row>
    <row r="289" ht="13.5" customHeight="1" s="453">
      <c r="D289" s="11" t="n"/>
      <c r="E289" s="86" t="n"/>
      <c r="F289" s="85" t="n"/>
      <c r="G289" s="85" t="n"/>
    </row>
    <row r="290" ht="13.5" customHeight="1" s="453">
      <c r="D290" s="11" t="n"/>
      <c r="E290" s="86" t="n"/>
      <c r="F290" s="85" t="n"/>
      <c r="G290" s="85" t="n"/>
    </row>
    <row r="291" ht="13.5" customHeight="1" s="453">
      <c r="D291" s="11" t="n"/>
      <c r="E291" s="86" t="n"/>
      <c r="F291" s="85" t="n"/>
      <c r="G291" s="85" t="n"/>
    </row>
    <row r="292" ht="13.5" customHeight="1" s="453">
      <c r="D292" s="11" t="n"/>
      <c r="E292" s="86" t="n"/>
      <c r="F292" s="85" t="n"/>
      <c r="G292" s="85" t="n"/>
    </row>
    <row r="293" ht="13.5" customHeight="1" s="453">
      <c r="D293" s="11" t="n"/>
      <c r="E293" s="86" t="n"/>
      <c r="F293" s="85" t="n"/>
      <c r="G293" s="85" t="n"/>
    </row>
    <row r="294" ht="13.5" customHeight="1" s="453">
      <c r="D294" s="11" t="n"/>
      <c r="E294" s="86" t="n"/>
      <c r="F294" s="85" t="n"/>
      <c r="G294" s="85" t="n"/>
    </row>
    <row r="295" ht="13.5" customHeight="1" s="453">
      <c r="D295" s="11" t="n"/>
      <c r="E295" s="86" t="n"/>
      <c r="F295" s="85" t="n"/>
      <c r="G295" s="85" t="n"/>
    </row>
    <row r="296" ht="13.5" customHeight="1" s="453">
      <c r="D296" s="11" t="n"/>
      <c r="E296" s="86" t="n"/>
      <c r="F296" s="85" t="n"/>
      <c r="G296" s="85" t="n"/>
    </row>
    <row r="297" ht="13.5" customHeight="1" s="453">
      <c r="D297" s="11" t="n"/>
      <c r="E297" s="86" t="n"/>
      <c r="F297" s="85" t="n"/>
      <c r="G297" s="85" t="n"/>
    </row>
    <row r="298" ht="13.5" customHeight="1" s="453">
      <c r="D298" s="11" t="n"/>
      <c r="E298" s="86" t="n"/>
      <c r="F298" s="85" t="n"/>
      <c r="G298" s="85" t="n"/>
    </row>
    <row r="299" ht="13.5" customHeight="1" s="453">
      <c r="D299" s="11" t="n"/>
      <c r="E299" s="86" t="n"/>
      <c r="F299" s="85" t="n"/>
      <c r="G299" s="85" t="n"/>
    </row>
    <row r="300" ht="13.5" customHeight="1" s="453">
      <c r="D300" s="11" t="n"/>
      <c r="E300" s="86" t="n"/>
      <c r="F300" s="85" t="n"/>
      <c r="G300" s="85" t="n"/>
    </row>
    <row r="301" ht="13.5" customHeight="1" s="453">
      <c r="D301" s="11" t="n"/>
      <c r="E301" s="86" t="n"/>
      <c r="F301" s="85" t="n"/>
      <c r="G301" s="85" t="n"/>
    </row>
    <row r="302" ht="13.5" customHeight="1" s="453">
      <c r="D302" s="11" t="n"/>
      <c r="E302" s="86" t="n"/>
      <c r="F302" s="85" t="n"/>
      <c r="G302" s="85" t="n"/>
    </row>
    <row r="303" ht="13.5" customHeight="1" s="453">
      <c r="D303" s="11" t="n"/>
      <c r="E303" s="86" t="n"/>
      <c r="F303" s="85" t="n"/>
      <c r="G303" s="85" t="n"/>
    </row>
    <row r="304" ht="13.5" customHeight="1" s="453">
      <c r="D304" s="11" t="n"/>
      <c r="E304" s="86" t="n"/>
      <c r="F304" s="85" t="n"/>
      <c r="G304" s="85" t="n"/>
    </row>
    <row r="305" ht="13.5" customHeight="1" s="453">
      <c r="D305" s="11" t="n"/>
      <c r="E305" s="86" t="n"/>
      <c r="F305" s="85" t="n"/>
      <c r="G305" s="85" t="n"/>
    </row>
    <row r="306" ht="13.5" customHeight="1" s="453">
      <c r="D306" s="11" t="n"/>
      <c r="E306" s="86" t="n"/>
      <c r="F306" s="85" t="n"/>
      <c r="G306" s="85" t="n"/>
    </row>
    <row r="307" ht="13.5" customHeight="1" s="453">
      <c r="D307" s="11" t="n"/>
      <c r="E307" s="86" t="n"/>
      <c r="F307" s="85" t="n"/>
      <c r="G307" s="85" t="n"/>
    </row>
    <row r="308" ht="13.5" customHeight="1" s="453">
      <c r="D308" s="11" t="n"/>
      <c r="E308" s="86" t="n"/>
      <c r="F308" s="85" t="n"/>
      <c r="G308" s="85" t="n"/>
    </row>
    <row r="309" ht="13.5" customHeight="1" s="453">
      <c r="D309" s="11" t="n"/>
      <c r="E309" s="86" t="n"/>
      <c r="F309" s="85" t="n"/>
      <c r="G309" s="85" t="n"/>
    </row>
    <row r="310" ht="13.5" customHeight="1" s="453">
      <c r="D310" s="11" t="n"/>
      <c r="E310" s="86" t="n"/>
      <c r="F310" s="85" t="n"/>
      <c r="G310" s="85" t="n"/>
    </row>
    <row r="311" ht="13.5" customHeight="1" s="453">
      <c r="D311" s="11" t="n"/>
      <c r="E311" s="86" t="n"/>
      <c r="F311" s="85" t="n"/>
      <c r="G311" s="85" t="n"/>
    </row>
    <row r="312" ht="13.5" customHeight="1" s="453">
      <c r="D312" s="11" t="n"/>
      <c r="E312" s="86" t="n"/>
      <c r="F312" s="85" t="n"/>
      <c r="G312" s="85" t="n"/>
    </row>
    <row r="313" ht="13.5" customHeight="1" s="453">
      <c r="D313" s="11" t="n"/>
      <c r="E313" s="86" t="n"/>
      <c r="F313" s="85" t="n"/>
      <c r="G313" s="85" t="n"/>
    </row>
    <row r="314" ht="13.5" customHeight="1" s="453">
      <c r="D314" s="11" t="n"/>
      <c r="E314" s="86" t="n"/>
      <c r="F314" s="85" t="n"/>
      <c r="G314" s="85" t="n"/>
    </row>
    <row r="315" ht="13.5" customHeight="1" s="453">
      <c r="D315" s="11" t="n"/>
      <c r="E315" s="86" t="n"/>
      <c r="F315" s="85" t="n"/>
      <c r="G315" s="85" t="n"/>
    </row>
    <row r="316" ht="13.5" customHeight="1" s="453">
      <c r="D316" s="11" t="n"/>
      <c r="E316" s="86" t="n"/>
      <c r="F316" s="85" t="n"/>
      <c r="G316" s="85" t="n"/>
    </row>
    <row r="317" ht="13.5" customHeight="1" s="453">
      <c r="D317" s="11" t="n"/>
      <c r="E317" s="86" t="n"/>
      <c r="F317" s="85" t="n"/>
      <c r="G317" s="85" t="n"/>
    </row>
    <row r="318" ht="13.5" customHeight="1" s="453">
      <c r="D318" s="11" t="n"/>
      <c r="E318" s="86" t="n"/>
      <c r="F318" s="85" t="n"/>
      <c r="G318" s="85" t="n"/>
    </row>
    <row r="319" ht="13.5" customHeight="1" s="453">
      <c r="D319" s="11" t="n"/>
      <c r="E319" s="86" t="n"/>
      <c r="F319" s="85" t="n"/>
      <c r="G319" s="85" t="n"/>
    </row>
    <row r="320" ht="13.5" customHeight="1" s="453">
      <c r="D320" s="11" t="n"/>
      <c r="E320" s="86" t="n"/>
      <c r="F320" s="85" t="n"/>
      <c r="G320" s="85" t="n"/>
    </row>
    <row r="321" ht="13.5" customHeight="1" s="453">
      <c r="D321" s="11" t="n"/>
      <c r="E321" s="86" t="n"/>
      <c r="F321" s="85" t="n"/>
      <c r="G321" s="85" t="n"/>
    </row>
    <row r="322" ht="13.5" customHeight="1" s="453">
      <c r="D322" s="11" t="n"/>
      <c r="E322" s="86" t="n"/>
      <c r="F322" s="85" t="n"/>
      <c r="G322" s="85" t="n"/>
    </row>
    <row r="323" ht="13.5" customHeight="1" s="453">
      <c r="D323" s="11" t="n"/>
      <c r="E323" s="86" t="n"/>
      <c r="F323" s="85" t="n"/>
      <c r="G323" s="85" t="n"/>
    </row>
    <row r="324" ht="13.5" customHeight="1" s="453">
      <c r="D324" s="11" t="n"/>
      <c r="E324" s="86" t="n"/>
      <c r="F324" s="85" t="n"/>
      <c r="G324" s="85" t="n"/>
    </row>
    <row r="325" ht="13.5" customHeight="1" s="453">
      <c r="D325" s="11" t="n"/>
      <c r="E325" s="86" t="n"/>
      <c r="F325" s="85" t="n"/>
      <c r="G325" s="85" t="n"/>
    </row>
    <row r="326" ht="13.5" customHeight="1" s="453">
      <c r="D326" s="11" t="n"/>
      <c r="E326" s="86" t="n"/>
      <c r="F326" s="85" t="n"/>
      <c r="G326" s="85" t="n"/>
    </row>
    <row r="327" ht="13.5" customHeight="1" s="453">
      <c r="D327" s="11" t="n"/>
      <c r="E327" s="86" t="n"/>
      <c r="F327" s="85" t="n"/>
      <c r="G327" s="85" t="n"/>
    </row>
    <row r="328" ht="13.5" customHeight="1" s="453">
      <c r="D328" s="11" t="n"/>
      <c r="E328" s="86" t="n"/>
      <c r="F328" s="85" t="n"/>
      <c r="G328" s="85" t="n"/>
    </row>
    <row r="329" ht="13.5" customHeight="1" s="453">
      <c r="D329" s="11" t="n"/>
      <c r="E329" s="86" t="n"/>
      <c r="F329" s="85" t="n"/>
      <c r="G329" s="85" t="n"/>
    </row>
    <row r="330" ht="13.5" customHeight="1" s="453">
      <c r="D330" s="11" t="n"/>
      <c r="E330" s="86" t="n"/>
      <c r="F330" s="85" t="n"/>
      <c r="G330" s="85" t="n"/>
    </row>
    <row r="331" ht="13.5" customHeight="1" s="453">
      <c r="D331" s="11" t="n"/>
      <c r="E331" s="86" t="n"/>
      <c r="F331" s="85" t="n"/>
      <c r="G331" s="85" t="n"/>
    </row>
    <row r="332" ht="13.5" customHeight="1" s="453">
      <c r="D332" s="11" t="n"/>
      <c r="E332" s="86" t="n"/>
      <c r="F332" s="85" t="n"/>
      <c r="G332" s="85" t="n"/>
    </row>
    <row r="333" ht="13.5" customHeight="1" s="453">
      <c r="D333" s="11" t="n"/>
      <c r="E333" s="86" t="n"/>
      <c r="F333" s="85" t="n"/>
      <c r="G333" s="85" t="n"/>
    </row>
    <row r="334" ht="13.5" customHeight="1" s="453">
      <c r="D334" s="11" t="n"/>
      <c r="E334" s="86" t="n"/>
      <c r="F334" s="85" t="n"/>
      <c r="G334" s="85" t="n"/>
    </row>
    <row r="335" ht="13.5" customHeight="1" s="453">
      <c r="D335" s="11" t="n"/>
      <c r="E335" s="86" t="n"/>
      <c r="F335" s="85" t="n"/>
      <c r="G335" s="85" t="n"/>
    </row>
    <row r="336" ht="13.5" customHeight="1" s="453">
      <c r="D336" s="11" t="n"/>
      <c r="E336" s="86" t="n"/>
      <c r="F336" s="85" t="n"/>
      <c r="G336" s="85" t="n"/>
    </row>
    <row r="337" ht="13.5" customHeight="1" s="453">
      <c r="D337" s="11" t="n"/>
      <c r="E337" s="86" t="n"/>
      <c r="F337" s="85" t="n"/>
      <c r="G337" s="85" t="n"/>
    </row>
    <row r="338" ht="13.5" customHeight="1" s="453">
      <c r="D338" s="11" t="n"/>
      <c r="E338" s="86" t="n"/>
      <c r="F338" s="85" t="n"/>
      <c r="G338" s="85" t="n"/>
    </row>
    <row r="339" ht="13.5" customHeight="1" s="453">
      <c r="D339" s="11" t="n"/>
      <c r="E339" s="86" t="n"/>
      <c r="F339" s="85" t="n"/>
      <c r="G339" s="85" t="n"/>
    </row>
    <row r="340" ht="13.5" customHeight="1" s="453">
      <c r="D340" s="11" t="n"/>
      <c r="E340" s="86" t="n"/>
      <c r="F340" s="85" t="n"/>
      <c r="G340" s="85" t="n"/>
    </row>
    <row r="341" ht="13.5" customHeight="1" s="453">
      <c r="D341" s="11" t="n"/>
      <c r="E341" s="86" t="n"/>
      <c r="F341" s="85" t="n"/>
      <c r="G341" s="85" t="n"/>
    </row>
    <row r="342" ht="13.5" customHeight="1" s="453">
      <c r="D342" s="11" t="n"/>
      <c r="E342" s="86" t="n"/>
      <c r="F342" s="85" t="n"/>
      <c r="G342" s="85" t="n"/>
    </row>
    <row r="343" ht="13.5" customHeight="1" s="453">
      <c r="D343" s="11" t="n"/>
      <c r="E343" s="86" t="n"/>
      <c r="F343" s="85" t="n"/>
      <c r="G343" s="85" t="n"/>
    </row>
    <row r="344" ht="13.5" customHeight="1" s="453">
      <c r="D344" s="11" t="n"/>
      <c r="E344" s="86" t="n"/>
      <c r="F344" s="85" t="n"/>
      <c r="G344" s="85" t="n"/>
    </row>
    <row r="345" ht="13.5" customHeight="1" s="453">
      <c r="D345" s="11" t="n"/>
      <c r="E345" s="86" t="n"/>
      <c r="F345" s="85" t="n"/>
      <c r="G345" s="85" t="n"/>
    </row>
    <row r="346" ht="13.5" customHeight="1" s="453">
      <c r="D346" s="11" t="n"/>
      <c r="E346" s="86" t="n"/>
      <c r="F346" s="85" t="n"/>
      <c r="G346" s="85" t="n"/>
    </row>
    <row r="347" ht="13.5" customHeight="1" s="453">
      <c r="D347" s="11" t="n"/>
      <c r="E347" s="86" t="n"/>
      <c r="F347" s="85" t="n"/>
      <c r="G347" s="85" t="n"/>
    </row>
    <row r="348" ht="13.5" customHeight="1" s="453">
      <c r="D348" s="11" t="n"/>
      <c r="E348" s="86" t="n"/>
      <c r="F348" s="85" t="n"/>
      <c r="G348" s="85" t="n"/>
    </row>
    <row r="349" ht="13.5" customHeight="1" s="453">
      <c r="D349" s="11" t="n"/>
      <c r="E349" s="86" t="n"/>
      <c r="F349" s="85" t="n"/>
      <c r="G349" s="85" t="n"/>
    </row>
    <row r="350" ht="13.5" customHeight="1" s="453">
      <c r="D350" s="11" t="n"/>
      <c r="E350" s="86" t="n"/>
      <c r="F350" s="85" t="n"/>
      <c r="G350" s="85" t="n"/>
    </row>
    <row r="351" ht="13.5" customHeight="1" s="453">
      <c r="D351" s="11" t="n"/>
      <c r="E351" s="86" t="n"/>
      <c r="F351" s="85" t="n"/>
      <c r="G351" s="85" t="n"/>
    </row>
    <row r="352" ht="13.5" customHeight="1" s="453">
      <c r="D352" s="11" t="n"/>
      <c r="E352" s="86" t="n"/>
      <c r="F352" s="85" t="n"/>
      <c r="G352" s="85" t="n"/>
    </row>
    <row r="353" ht="13.5" customHeight="1" s="453">
      <c r="D353" s="11" t="n"/>
      <c r="E353" s="86" t="n"/>
      <c r="F353" s="85" t="n"/>
      <c r="G353" s="85" t="n"/>
    </row>
    <row r="354" ht="13.5" customHeight="1" s="453">
      <c r="D354" s="11" t="n"/>
      <c r="E354" s="86" t="n"/>
      <c r="F354" s="85" t="n"/>
      <c r="G354" s="85" t="n"/>
    </row>
    <row r="355" ht="13.5" customHeight="1" s="453">
      <c r="D355" s="11" t="n"/>
      <c r="E355" s="86" t="n"/>
      <c r="F355" s="85" t="n"/>
      <c r="G355" s="85" t="n"/>
    </row>
    <row r="356" ht="13.5" customHeight="1" s="453">
      <c r="D356" s="11" t="n"/>
      <c r="E356" s="86" t="n"/>
      <c r="F356" s="85" t="n"/>
      <c r="G356" s="85" t="n"/>
    </row>
    <row r="357" ht="13.5" customHeight="1" s="453">
      <c r="D357" s="11" t="n"/>
      <c r="E357" s="86" t="n"/>
      <c r="F357" s="85" t="n"/>
      <c r="G357" s="85" t="n"/>
    </row>
    <row r="358" ht="13.5" customHeight="1" s="453">
      <c r="D358" s="11" t="n"/>
      <c r="E358" s="86" t="n"/>
      <c r="F358" s="85" t="n"/>
      <c r="G358" s="85" t="n"/>
    </row>
    <row r="359" ht="13.5" customHeight="1" s="453">
      <c r="D359" s="11" t="n"/>
      <c r="E359" s="86" t="n"/>
      <c r="F359" s="85" t="n"/>
      <c r="G359" s="85" t="n"/>
    </row>
    <row r="360" ht="13.5" customHeight="1" s="453">
      <c r="D360" s="11" t="n"/>
      <c r="E360" s="86" t="n"/>
      <c r="F360" s="85" t="n"/>
      <c r="G360" s="85" t="n"/>
    </row>
    <row r="361" ht="13.5" customHeight="1" s="453">
      <c r="D361" s="11" t="n"/>
      <c r="E361" s="86" t="n"/>
      <c r="F361" s="85" t="n"/>
      <c r="G361" s="85" t="n"/>
    </row>
    <row r="362" ht="13.5" customHeight="1" s="453">
      <c r="D362" s="11" t="n"/>
      <c r="E362" s="86" t="n"/>
      <c r="F362" s="85" t="n"/>
      <c r="G362" s="85" t="n"/>
    </row>
    <row r="363" ht="13.5" customHeight="1" s="453">
      <c r="D363" s="11" t="n"/>
      <c r="E363" s="86" t="n"/>
      <c r="F363" s="85" t="n"/>
      <c r="G363" s="85" t="n"/>
    </row>
    <row r="364" ht="13.5" customHeight="1" s="453">
      <c r="D364" s="11" t="n"/>
      <c r="E364" s="86" t="n"/>
      <c r="F364" s="85" t="n"/>
      <c r="G364" s="85" t="n"/>
    </row>
    <row r="365" ht="13.5" customHeight="1" s="453">
      <c r="D365" s="11" t="n"/>
      <c r="E365" s="86" t="n"/>
      <c r="F365" s="85" t="n"/>
      <c r="G365" s="85" t="n"/>
    </row>
    <row r="366" ht="13.5" customHeight="1" s="453">
      <c r="D366" s="11" t="n"/>
      <c r="E366" s="86" t="n"/>
      <c r="F366" s="85" t="n"/>
      <c r="G366" s="85" t="n"/>
    </row>
    <row r="367" ht="13.5" customHeight="1" s="453">
      <c r="D367" s="11" t="n"/>
      <c r="E367" s="86" t="n"/>
      <c r="F367" s="85" t="n"/>
      <c r="G367" s="85" t="n"/>
    </row>
    <row r="368" ht="13.5" customHeight="1" s="453">
      <c r="D368" s="11" t="n"/>
      <c r="E368" s="86" t="n"/>
      <c r="F368" s="85" t="n"/>
      <c r="G368" s="85" t="n"/>
    </row>
    <row r="369" ht="13.5" customHeight="1" s="453">
      <c r="D369" s="11" t="n"/>
      <c r="E369" s="86" t="n"/>
      <c r="F369" s="85" t="n"/>
      <c r="G369" s="85" t="n"/>
    </row>
    <row r="370" ht="13.5" customHeight="1" s="453">
      <c r="D370" s="11" t="n"/>
      <c r="E370" s="86" t="n"/>
      <c r="F370" s="85" t="n"/>
      <c r="G370" s="85" t="n"/>
    </row>
    <row r="371" ht="13.5" customHeight="1" s="453">
      <c r="D371" s="11" t="n"/>
      <c r="E371" s="86" t="n"/>
      <c r="F371" s="85" t="n"/>
      <c r="G371" s="85" t="n"/>
    </row>
    <row r="372" ht="13.5" customHeight="1" s="453">
      <c r="D372" s="11" t="n"/>
      <c r="E372" s="86" t="n"/>
      <c r="F372" s="85" t="n"/>
      <c r="G372" s="85" t="n"/>
    </row>
    <row r="373" ht="13.5" customHeight="1" s="453">
      <c r="D373" s="11" t="n"/>
      <c r="E373" s="86" t="n"/>
      <c r="F373" s="85" t="n"/>
      <c r="G373" s="85" t="n"/>
    </row>
    <row r="374" ht="13.5" customHeight="1" s="453">
      <c r="D374" s="11" t="n"/>
      <c r="E374" s="86" t="n"/>
      <c r="F374" s="85" t="n"/>
      <c r="G374" s="85" t="n"/>
    </row>
    <row r="375" ht="13.5" customHeight="1" s="453">
      <c r="D375" s="11" t="n"/>
      <c r="E375" s="86" t="n"/>
      <c r="F375" s="85" t="n"/>
      <c r="G375" s="85" t="n"/>
    </row>
    <row r="376" ht="13.5" customHeight="1" s="453">
      <c r="D376" s="11" t="n"/>
      <c r="E376" s="86" t="n"/>
      <c r="F376" s="85" t="n"/>
      <c r="G376" s="85" t="n"/>
    </row>
    <row r="377" ht="13.5" customHeight="1" s="453">
      <c r="D377" s="11" t="n"/>
      <c r="E377" s="86" t="n"/>
      <c r="F377" s="85" t="n"/>
      <c r="G377" s="85" t="n"/>
    </row>
    <row r="378" ht="13.5" customHeight="1" s="453">
      <c r="D378" s="11" t="n"/>
      <c r="E378" s="86" t="n"/>
      <c r="F378" s="85" t="n"/>
      <c r="G378" s="85" t="n"/>
    </row>
    <row r="379" ht="13.5" customHeight="1" s="453">
      <c r="D379" s="11" t="n"/>
      <c r="E379" s="86" t="n"/>
      <c r="F379" s="85" t="n"/>
      <c r="G379" s="85" t="n"/>
    </row>
    <row r="380" ht="13.5" customHeight="1" s="453">
      <c r="D380" s="11" t="n"/>
      <c r="E380" s="86" t="n"/>
      <c r="F380" s="85" t="n"/>
      <c r="G380" s="85" t="n"/>
    </row>
    <row r="381" ht="13.5" customHeight="1" s="453">
      <c r="D381" s="11" t="n"/>
      <c r="E381" s="86" t="n"/>
      <c r="F381" s="85" t="n"/>
      <c r="G381" s="85" t="n"/>
    </row>
    <row r="382" ht="13.5" customHeight="1" s="453">
      <c r="D382" s="11" t="n"/>
      <c r="E382" s="86" t="n"/>
      <c r="F382" s="85" t="n"/>
      <c r="G382" s="85" t="n"/>
    </row>
    <row r="383" ht="13.5" customHeight="1" s="453">
      <c r="D383" s="11" t="n"/>
      <c r="E383" s="86" t="n"/>
      <c r="F383" s="85" t="n"/>
      <c r="G383" s="85" t="n"/>
    </row>
    <row r="384" ht="13.5" customHeight="1" s="453">
      <c r="D384" s="11" t="n"/>
      <c r="E384" s="86" t="n"/>
      <c r="F384" s="85" t="n"/>
      <c r="G384" s="85" t="n"/>
    </row>
    <row r="385" ht="13.5" customHeight="1" s="453">
      <c r="D385" s="11" t="n"/>
      <c r="E385" s="86" t="n"/>
      <c r="F385" s="85" t="n"/>
      <c r="G385" s="85" t="n"/>
    </row>
    <row r="386" ht="13.5" customHeight="1" s="453">
      <c r="D386" s="11" t="n"/>
      <c r="E386" s="86" t="n"/>
      <c r="F386" s="85" t="n"/>
      <c r="G386" s="85" t="n"/>
    </row>
    <row r="387" ht="13.5" customHeight="1" s="453">
      <c r="D387" s="11" t="n"/>
      <c r="E387" s="86" t="n"/>
      <c r="F387" s="85" t="n"/>
      <c r="G387" s="85" t="n"/>
    </row>
    <row r="388" ht="13.5" customHeight="1" s="453">
      <c r="D388" s="11" t="n"/>
      <c r="E388" s="86" t="n"/>
      <c r="F388" s="85" t="n"/>
      <c r="G388" s="85" t="n"/>
    </row>
    <row r="389" ht="13.5" customHeight="1" s="453">
      <c r="D389" s="11" t="n"/>
      <c r="E389" s="86" t="n"/>
      <c r="F389" s="85" t="n"/>
      <c r="G389" s="85" t="n"/>
    </row>
    <row r="390" ht="13.5" customHeight="1" s="453">
      <c r="D390" s="11" t="n"/>
      <c r="E390" s="86" t="n"/>
      <c r="F390" s="85" t="n"/>
      <c r="G390" s="85" t="n"/>
    </row>
    <row r="391" ht="13.5" customHeight="1" s="453">
      <c r="D391" s="11" t="n"/>
      <c r="E391" s="86" t="n"/>
      <c r="F391" s="85" t="n"/>
      <c r="G391" s="85" t="n"/>
    </row>
    <row r="392" ht="13.5" customHeight="1" s="453">
      <c r="D392" s="11" t="n"/>
      <c r="E392" s="86" t="n"/>
      <c r="F392" s="85" t="n"/>
      <c r="G392" s="85" t="n"/>
    </row>
    <row r="393" ht="13.5" customHeight="1" s="453">
      <c r="D393" s="11" t="n"/>
      <c r="E393" s="86" t="n"/>
      <c r="F393" s="85" t="n"/>
      <c r="G393" s="85" t="n"/>
    </row>
    <row r="394" ht="13.5" customHeight="1" s="453">
      <c r="D394" s="11" t="n"/>
      <c r="E394" s="86" t="n"/>
      <c r="F394" s="85" t="n"/>
      <c r="G394" s="85" t="n"/>
    </row>
    <row r="395" ht="13.5" customHeight="1" s="453">
      <c r="D395" s="11" t="n"/>
      <c r="E395" s="86" t="n"/>
      <c r="F395" s="85" t="n"/>
      <c r="G395" s="85" t="n"/>
    </row>
    <row r="396" ht="13.5" customHeight="1" s="453">
      <c r="D396" s="11" t="n"/>
      <c r="E396" s="86" t="n"/>
      <c r="F396" s="85" t="n"/>
      <c r="G396" s="85" t="n"/>
    </row>
    <row r="397" ht="13.5" customHeight="1" s="453">
      <c r="D397" s="11" t="n"/>
      <c r="E397" s="86" t="n"/>
      <c r="F397" s="85" t="n"/>
      <c r="G397" s="85" t="n"/>
    </row>
    <row r="398" ht="13.5" customHeight="1" s="453">
      <c r="D398" s="11" t="n"/>
      <c r="E398" s="86" t="n"/>
      <c r="F398" s="85" t="n"/>
      <c r="G398" s="85" t="n"/>
    </row>
    <row r="399" ht="13.5" customHeight="1" s="453">
      <c r="D399" s="11" t="n"/>
      <c r="E399" s="86" t="n"/>
      <c r="F399" s="85" t="n"/>
      <c r="G399" s="85" t="n"/>
    </row>
    <row r="400" ht="13.5" customHeight="1" s="453">
      <c r="D400" s="11" t="n"/>
      <c r="E400" s="86" t="n"/>
      <c r="F400" s="85" t="n"/>
      <c r="G400" s="85" t="n"/>
    </row>
    <row r="401" ht="13.5" customHeight="1" s="453">
      <c r="D401" s="11" t="n"/>
      <c r="E401" s="86" t="n"/>
      <c r="F401" s="85" t="n"/>
      <c r="G401" s="85" t="n"/>
    </row>
    <row r="402" ht="13.5" customHeight="1" s="453">
      <c r="D402" s="11" t="n"/>
      <c r="E402" s="86" t="n"/>
      <c r="F402" s="85" t="n"/>
      <c r="G402" s="85" t="n"/>
    </row>
    <row r="403" ht="13.5" customHeight="1" s="453">
      <c r="D403" s="11" t="n"/>
      <c r="E403" s="86" t="n"/>
      <c r="F403" s="85" t="n"/>
      <c r="G403" s="85" t="n"/>
    </row>
    <row r="404" ht="13.5" customHeight="1" s="453">
      <c r="D404" s="11" t="n"/>
      <c r="E404" s="86" t="n"/>
      <c r="F404" s="85" t="n"/>
      <c r="G404" s="85" t="n"/>
    </row>
    <row r="405" ht="13.5" customHeight="1" s="453">
      <c r="D405" s="11" t="n"/>
      <c r="E405" s="86" t="n"/>
      <c r="F405" s="85" t="n"/>
      <c r="G405" s="85" t="n"/>
    </row>
    <row r="406" ht="13.5" customHeight="1" s="453">
      <c r="D406" s="11" t="n"/>
      <c r="E406" s="86" t="n"/>
      <c r="F406" s="85" t="n"/>
      <c r="G406" s="85" t="n"/>
    </row>
    <row r="407" ht="13.5" customHeight="1" s="453">
      <c r="D407" s="11" t="n"/>
      <c r="E407" s="86" t="n"/>
      <c r="F407" s="85" t="n"/>
      <c r="G407" s="85" t="n"/>
    </row>
    <row r="408" ht="13.5" customHeight="1" s="453">
      <c r="D408" s="11" t="n"/>
      <c r="E408" s="86" t="n"/>
      <c r="F408" s="85" t="n"/>
      <c r="G408" s="85" t="n"/>
    </row>
    <row r="409" ht="13.5" customHeight="1" s="453">
      <c r="D409" s="11" t="n"/>
      <c r="E409" s="86" t="n"/>
      <c r="F409" s="85" t="n"/>
      <c r="G409" s="85" t="n"/>
    </row>
    <row r="410" ht="13.5" customHeight="1" s="453">
      <c r="D410" s="11" t="n"/>
      <c r="E410" s="86" t="n"/>
      <c r="F410" s="85" t="n"/>
      <c r="G410" s="85" t="n"/>
    </row>
    <row r="411" ht="13.5" customHeight="1" s="453">
      <c r="D411" s="11" t="n"/>
      <c r="E411" s="86" t="n"/>
      <c r="F411" s="85" t="n"/>
      <c r="G411" s="85" t="n"/>
    </row>
    <row r="412" ht="13.5" customHeight="1" s="453">
      <c r="D412" s="11" t="n"/>
      <c r="E412" s="86" t="n"/>
      <c r="F412" s="85" t="n"/>
      <c r="G412" s="85" t="n"/>
    </row>
    <row r="413" ht="13.5" customHeight="1" s="453">
      <c r="D413" s="11" t="n"/>
      <c r="E413" s="86" t="n"/>
      <c r="F413" s="85" t="n"/>
      <c r="G413" s="85" t="n"/>
    </row>
    <row r="414" ht="13.5" customHeight="1" s="453">
      <c r="D414" s="11" t="n"/>
      <c r="E414" s="86" t="n"/>
      <c r="F414" s="85" t="n"/>
      <c r="G414" s="85" t="n"/>
    </row>
    <row r="415" ht="13.5" customHeight="1" s="453">
      <c r="D415" s="11" t="n"/>
      <c r="E415" s="86" t="n"/>
      <c r="F415" s="85" t="n"/>
      <c r="G415" s="85" t="n"/>
    </row>
    <row r="416" ht="13.5" customHeight="1" s="453">
      <c r="D416" s="11" t="n"/>
      <c r="E416" s="86" t="n"/>
      <c r="F416" s="85" t="n"/>
      <c r="G416" s="85" t="n"/>
    </row>
    <row r="417" ht="13.5" customHeight="1" s="453">
      <c r="D417" s="11" t="n"/>
      <c r="E417" s="86" t="n"/>
      <c r="F417" s="85" t="n"/>
      <c r="G417" s="85" t="n"/>
    </row>
    <row r="418" ht="13.5" customHeight="1" s="453">
      <c r="D418" s="11" t="n"/>
      <c r="E418" s="86" t="n"/>
      <c r="F418" s="85" t="n"/>
      <c r="G418" s="85" t="n"/>
    </row>
    <row r="419" ht="13.5" customHeight="1" s="453">
      <c r="D419" s="11" t="n"/>
      <c r="E419" s="86" t="n"/>
      <c r="F419" s="85" t="n"/>
      <c r="G419" s="85" t="n"/>
    </row>
    <row r="420" ht="13.5" customHeight="1" s="453">
      <c r="D420" s="11" t="n"/>
      <c r="E420" s="86" t="n"/>
      <c r="F420" s="85" t="n"/>
      <c r="G420" s="85" t="n"/>
    </row>
    <row r="421" ht="13.5" customHeight="1" s="453">
      <c r="D421" s="11" t="n"/>
      <c r="E421" s="86" t="n"/>
      <c r="F421" s="85" t="n"/>
      <c r="G421" s="85" t="n"/>
    </row>
    <row r="422" ht="13.5" customHeight="1" s="453">
      <c r="D422" s="11" t="n"/>
      <c r="E422" s="86" t="n"/>
      <c r="F422" s="85" t="n"/>
      <c r="G422" s="85" t="n"/>
    </row>
    <row r="423" ht="13.5" customHeight="1" s="453">
      <c r="D423" s="11" t="n"/>
      <c r="E423" s="86" t="n"/>
      <c r="F423" s="85" t="n"/>
      <c r="G423" s="85" t="n"/>
    </row>
    <row r="424" ht="13.5" customHeight="1" s="453">
      <c r="D424" s="11" t="n"/>
      <c r="E424" s="86" t="n"/>
      <c r="F424" s="85" t="n"/>
      <c r="G424" s="85" t="n"/>
    </row>
    <row r="425" ht="13.5" customHeight="1" s="453">
      <c r="D425" s="11" t="n"/>
      <c r="E425" s="86" t="n"/>
      <c r="F425" s="85" t="n"/>
      <c r="G425" s="85" t="n"/>
    </row>
    <row r="426" ht="13.5" customHeight="1" s="453">
      <c r="D426" s="11" t="n"/>
      <c r="E426" s="86" t="n"/>
      <c r="F426" s="85" t="n"/>
      <c r="G426" s="85" t="n"/>
    </row>
    <row r="427" ht="13.5" customHeight="1" s="453">
      <c r="D427" s="11" t="n"/>
      <c r="E427" s="86" t="n"/>
      <c r="F427" s="85" t="n"/>
      <c r="G427" s="85" t="n"/>
    </row>
    <row r="428" ht="13.5" customHeight="1" s="453">
      <c r="D428" s="11" t="n"/>
      <c r="E428" s="86" t="n"/>
      <c r="F428" s="85" t="n"/>
      <c r="G428" s="85" t="n"/>
    </row>
    <row r="429" ht="13.5" customHeight="1" s="453">
      <c r="D429" s="11" t="n"/>
      <c r="E429" s="86" t="n"/>
      <c r="F429" s="85" t="n"/>
      <c r="G429" s="85" t="n"/>
    </row>
    <row r="430" ht="13.5" customHeight="1" s="453">
      <c r="D430" s="11" t="n"/>
      <c r="E430" s="86" t="n"/>
      <c r="F430" s="85" t="n"/>
      <c r="G430" s="85" t="n"/>
    </row>
    <row r="431" ht="13.5" customHeight="1" s="453">
      <c r="D431" s="11" t="n"/>
      <c r="E431" s="86" t="n"/>
      <c r="F431" s="85" t="n"/>
      <c r="G431" s="85" t="n"/>
    </row>
    <row r="432" ht="13.5" customHeight="1" s="453">
      <c r="D432" s="11" t="n"/>
      <c r="E432" s="86" t="n"/>
      <c r="F432" s="85" t="n"/>
      <c r="G432" s="85" t="n"/>
    </row>
    <row r="433" ht="13.5" customHeight="1" s="453">
      <c r="D433" s="11" t="n"/>
      <c r="E433" s="86" t="n"/>
      <c r="F433" s="85" t="n"/>
      <c r="G433" s="85" t="n"/>
    </row>
    <row r="434" ht="13.5" customHeight="1" s="453">
      <c r="D434" s="11" t="n"/>
      <c r="E434" s="86" t="n"/>
      <c r="F434" s="85" t="n"/>
      <c r="G434" s="85" t="n"/>
    </row>
    <row r="435" ht="13.5" customHeight="1" s="453">
      <c r="D435" s="11" t="n"/>
      <c r="E435" s="86" t="n"/>
      <c r="F435" s="85" t="n"/>
      <c r="G435" s="85" t="n"/>
    </row>
    <row r="436" ht="13.5" customHeight="1" s="453">
      <c r="D436" s="11" t="n"/>
      <c r="E436" s="86" t="n"/>
      <c r="F436" s="85" t="n"/>
      <c r="G436" s="85" t="n"/>
    </row>
    <row r="437" ht="13.5" customHeight="1" s="453">
      <c r="D437" s="11" t="n"/>
      <c r="E437" s="86" t="n"/>
      <c r="F437" s="85" t="n"/>
      <c r="G437" s="85" t="n"/>
    </row>
    <row r="438" ht="13.5" customHeight="1" s="453">
      <c r="D438" s="11" t="n"/>
      <c r="E438" s="86" t="n"/>
      <c r="F438" s="85" t="n"/>
      <c r="G438" s="85" t="n"/>
    </row>
    <row r="439" ht="13.5" customHeight="1" s="453">
      <c r="D439" s="11" t="n"/>
      <c r="E439" s="86" t="n"/>
      <c r="F439" s="85" t="n"/>
      <c r="G439" s="85" t="n"/>
    </row>
    <row r="440" ht="13.5" customHeight="1" s="453">
      <c r="D440" s="11" t="n"/>
      <c r="E440" s="86" t="n"/>
      <c r="F440" s="85" t="n"/>
      <c r="G440" s="85" t="n"/>
    </row>
    <row r="441" ht="13.5" customHeight="1" s="453">
      <c r="D441" s="11" t="n"/>
      <c r="E441" s="86" t="n"/>
      <c r="F441" s="85" t="n"/>
      <c r="G441" s="85" t="n"/>
    </row>
    <row r="442" ht="13.5" customHeight="1" s="453">
      <c r="D442" s="11" t="n"/>
      <c r="E442" s="86" t="n"/>
      <c r="F442" s="85" t="n"/>
      <c r="G442" s="85" t="n"/>
    </row>
    <row r="443" ht="13.5" customHeight="1" s="453">
      <c r="D443" s="11" t="n"/>
      <c r="E443" s="86" t="n"/>
      <c r="F443" s="85" t="n"/>
      <c r="G443" s="85" t="n"/>
    </row>
    <row r="444" ht="13.5" customHeight="1" s="453">
      <c r="D444" s="11" t="n"/>
      <c r="E444" s="86" t="n"/>
      <c r="F444" s="85" t="n"/>
      <c r="G444" s="85" t="n"/>
    </row>
    <row r="445" ht="13.5" customHeight="1" s="453">
      <c r="D445" s="11" t="n"/>
      <c r="E445" s="86" t="n"/>
      <c r="F445" s="85" t="n"/>
      <c r="G445" s="85" t="n"/>
    </row>
    <row r="446" ht="13.5" customHeight="1" s="453">
      <c r="D446" s="11" t="n"/>
      <c r="E446" s="86" t="n"/>
      <c r="F446" s="85" t="n"/>
      <c r="G446" s="85" t="n"/>
    </row>
    <row r="447" ht="13.5" customHeight="1" s="453">
      <c r="D447" s="11" t="n"/>
      <c r="E447" s="86" t="n"/>
      <c r="F447" s="85" t="n"/>
      <c r="G447" s="85" t="n"/>
    </row>
    <row r="448" ht="13.5" customHeight="1" s="453">
      <c r="D448" s="11" t="n"/>
      <c r="E448" s="86" t="n"/>
      <c r="F448" s="85" t="n"/>
      <c r="G448" s="85" t="n"/>
    </row>
    <row r="449" ht="13.5" customHeight="1" s="453">
      <c r="D449" s="11" t="n"/>
      <c r="E449" s="86" t="n"/>
      <c r="F449" s="85" t="n"/>
      <c r="G449" s="85" t="n"/>
    </row>
    <row r="450" ht="13.5" customHeight="1" s="453">
      <c r="D450" s="11" t="n"/>
      <c r="E450" s="86" t="n"/>
      <c r="F450" s="85" t="n"/>
      <c r="G450" s="85" t="n"/>
    </row>
    <row r="451" ht="13.5" customHeight="1" s="453">
      <c r="D451" s="11" t="n"/>
      <c r="E451" s="86" t="n"/>
      <c r="F451" s="85" t="n"/>
      <c r="G451" s="85" t="n"/>
    </row>
    <row r="452" ht="13.5" customHeight="1" s="453">
      <c r="D452" s="11" t="n"/>
      <c r="E452" s="86" t="n"/>
      <c r="F452" s="85" t="n"/>
      <c r="G452" s="85" t="n"/>
    </row>
    <row r="453" ht="13.5" customHeight="1" s="453">
      <c r="D453" s="11" t="n"/>
      <c r="E453" s="86" t="n"/>
      <c r="F453" s="85" t="n"/>
      <c r="G453" s="85" t="n"/>
    </row>
    <row r="454" ht="13.5" customHeight="1" s="453">
      <c r="D454" s="11" t="n"/>
      <c r="E454" s="86" t="n"/>
      <c r="F454" s="85" t="n"/>
      <c r="G454" s="85" t="n"/>
    </row>
    <row r="455" ht="13.5" customHeight="1" s="453">
      <c r="D455" s="11" t="n"/>
      <c r="E455" s="86" t="n"/>
      <c r="F455" s="85" t="n"/>
      <c r="G455" s="85" t="n"/>
    </row>
    <row r="456" ht="13.5" customHeight="1" s="453">
      <c r="D456" s="11" t="n"/>
      <c r="E456" s="86" t="n"/>
      <c r="F456" s="85" t="n"/>
      <c r="G456" s="85" t="n"/>
    </row>
    <row r="457" ht="13.5" customHeight="1" s="453">
      <c r="D457" s="11" t="n"/>
      <c r="E457" s="86" t="n"/>
      <c r="F457" s="85" t="n"/>
      <c r="G457" s="85" t="n"/>
    </row>
    <row r="458" ht="13.5" customHeight="1" s="453">
      <c r="D458" s="11" t="n"/>
      <c r="E458" s="86" t="n"/>
      <c r="F458" s="85" t="n"/>
      <c r="G458" s="85" t="n"/>
    </row>
    <row r="459" ht="13.5" customHeight="1" s="453">
      <c r="D459" s="11" t="n"/>
      <c r="E459" s="86" t="n"/>
      <c r="F459" s="85" t="n"/>
      <c r="G459" s="85" t="n"/>
    </row>
    <row r="460" ht="13.5" customHeight="1" s="453">
      <c r="D460" s="11" t="n"/>
      <c r="E460" s="86" t="n"/>
      <c r="F460" s="85" t="n"/>
      <c r="G460" s="85" t="n"/>
    </row>
    <row r="461" ht="13.5" customHeight="1" s="453">
      <c r="D461" s="11" t="n"/>
      <c r="E461" s="86" t="n"/>
      <c r="F461" s="85" t="n"/>
      <c r="G461" s="85" t="n"/>
    </row>
    <row r="462" ht="13.5" customHeight="1" s="453">
      <c r="D462" s="11" t="n"/>
      <c r="E462" s="86" t="n"/>
      <c r="F462" s="85" t="n"/>
      <c r="G462" s="85" t="n"/>
    </row>
    <row r="463" ht="13.5" customHeight="1" s="453">
      <c r="D463" s="11" t="n"/>
      <c r="E463" s="86" t="n"/>
      <c r="F463" s="85" t="n"/>
      <c r="G463" s="85" t="n"/>
    </row>
    <row r="464" ht="13.5" customHeight="1" s="453">
      <c r="D464" s="11" t="n"/>
      <c r="E464" s="86" t="n"/>
      <c r="F464" s="85" t="n"/>
      <c r="G464" s="85" t="n"/>
    </row>
    <row r="465" ht="13.5" customHeight="1" s="453">
      <c r="D465" s="11" t="n"/>
      <c r="E465" s="86" t="n"/>
      <c r="F465" s="85" t="n"/>
      <c r="G465" s="85" t="n"/>
    </row>
    <row r="466" ht="13.5" customHeight="1" s="453">
      <c r="D466" s="11" t="n"/>
      <c r="E466" s="86" t="n"/>
      <c r="F466" s="85" t="n"/>
      <c r="G466" s="85" t="n"/>
    </row>
    <row r="467" ht="13.5" customHeight="1" s="453">
      <c r="D467" s="11" t="n"/>
      <c r="E467" s="86" t="n"/>
      <c r="F467" s="85" t="n"/>
      <c r="G467" s="85" t="n"/>
    </row>
    <row r="468" ht="13.5" customHeight="1" s="453">
      <c r="D468" s="11" t="n"/>
      <c r="E468" s="86" t="n"/>
      <c r="F468" s="85" t="n"/>
      <c r="G468" s="85" t="n"/>
    </row>
    <row r="469" ht="13.5" customHeight="1" s="453">
      <c r="D469" s="11" t="n"/>
      <c r="E469" s="86" t="n"/>
      <c r="F469" s="85" t="n"/>
      <c r="G469" s="85" t="n"/>
    </row>
    <row r="470" ht="13.5" customHeight="1" s="453">
      <c r="D470" s="11" t="n"/>
      <c r="E470" s="86" t="n"/>
      <c r="F470" s="85" t="n"/>
      <c r="G470" s="85" t="n"/>
    </row>
    <row r="471" ht="13.5" customHeight="1" s="453">
      <c r="D471" s="11" t="n"/>
      <c r="E471" s="86" t="n"/>
      <c r="F471" s="85" t="n"/>
      <c r="G471" s="85" t="n"/>
    </row>
    <row r="472" ht="13.5" customHeight="1" s="453">
      <c r="D472" s="11" t="n"/>
      <c r="E472" s="86" t="n"/>
      <c r="F472" s="85" t="n"/>
      <c r="G472" s="85" t="n"/>
    </row>
    <row r="473" ht="13.5" customHeight="1" s="453">
      <c r="D473" s="11" t="n"/>
      <c r="E473" s="86" t="n"/>
      <c r="F473" s="85" t="n"/>
      <c r="G473" s="85" t="n"/>
    </row>
    <row r="474" ht="13.5" customHeight="1" s="453">
      <c r="D474" s="11" t="n"/>
      <c r="E474" s="86" t="n"/>
      <c r="F474" s="85" t="n"/>
      <c r="G474" s="85" t="n"/>
    </row>
    <row r="475" ht="13.5" customHeight="1" s="453">
      <c r="D475" s="11" t="n"/>
      <c r="E475" s="86" t="n"/>
      <c r="F475" s="85" t="n"/>
      <c r="G475" s="85" t="n"/>
    </row>
    <row r="476" ht="13.5" customHeight="1" s="453">
      <c r="D476" s="11" t="n"/>
      <c r="E476" s="86" t="n"/>
      <c r="F476" s="85" t="n"/>
      <c r="G476" s="85" t="n"/>
    </row>
    <row r="477" ht="13.5" customHeight="1" s="453">
      <c r="D477" s="11" t="n"/>
      <c r="E477" s="86" t="n"/>
      <c r="F477" s="85" t="n"/>
      <c r="G477" s="85" t="n"/>
    </row>
    <row r="478" ht="13.5" customHeight="1" s="453">
      <c r="D478" s="11" t="n"/>
      <c r="E478" s="86" t="n"/>
      <c r="F478" s="85" t="n"/>
      <c r="G478" s="85" t="n"/>
    </row>
    <row r="479" ht="13.5" customHeight="1" s="453">
      <c r="D479" s="11" t="n"/>
      <c r="E479" s="86" t="n"/>
      <c r="F479" s="85" t="n"/>
      <c r="G479" s="85" t="n"/>
    </row>
    <row r="480" ht="13.5" customHeight="1" s="453">
      <c r="D480" s="11" t="n"/>
      <c r="E480" s="86" t="n"/>
      <c r="F480" s="85" t="n"/>
      <c r="G480" s="85" t="n"/>
    </row>
    <row r="481" ht="13.5" customHeight="1" s="453">
      <c r="D481" s="11" t="n"/>
      <c r="E481" s="86" t="n"/>
      <c r="F481" s="85" t="n"/>
      <c r="G481" s="85" t="n"/>
    </row>
    <row r="482" ht="13.5" customHeight="1" s="453">
      <c r="D482" s="11" t="n"/>
      <c r="E482" s="86" t="n"/>
      <c r="F482" s="85" t="n"/>
      <c r="G482" s="85" t="n"/>
    </row>
    <row r="483" ht="13.5" customHeight="1" s="453">
      <c r="D483" s="11" t="n"/>
      <c r="E483" s="86" t="n"/>
      <c r="F483" s="85" t="n"/>
      <c r="G483" s="85" t="n"/>
    </row>
    <row r="484" ht="13.5" customHeight="1" s="453">
      <c r="D484" s="11" t="n"/>
      <c r="E484" s="86" t="n"/>
      <c r="F484" s="85" t="n"/>
      <c r="G484" s="85" t="n"/>
    </row>
    <row r="485" ht="13.5" customHeight="1" s="453">
      <c r="D485" s="11" t="n"/>
      <c r="E485" s="86" t="n"/>
      <c r="F485" s="85" t="n"/>
      <c r="G485" s="85" t="n"/>
    </row>
    <row r="486" ht="13.5" customHeight="1" s="453">
      <c r="D486" s="11" t="n"/>
      <c r="E486" s="86" t="n"/>
      <c r="F486" s="85" t="n"/>
      <c r="G486" s="85" t="n"/>
    </row>
    <row r="487" ht="13.5" customHeight="1" s="453">
      <c r="D487" s="11" t="n"/>
      <c r="E487" s="86" t="n"/>
      <c r="F487" s="85" t="n"/>
      <c r="G487" s="85" t="n"/>
    </row>
    <row r="488" ht="13.5" customHeight="1" s="453">
      <c r="D488" s="11" t="n"/>
      <c r="E488" s="86" t="n"/>
      <c r="F488" s="85" t="n"/>
      <c r="G488" s="85" t="n"/>
    </row>
    <row r="489" ht="13.5" customHeight="1" s="453">
      <c r="D489" s="11" t="n"/>
      <c r="E489" s="86" t="n"/>
      <c r="F489" s="85" t="n"/>
      <c r="G489" s="85" t="n"/>
    </row>
    <row r="490" ht="13.5" customHeight="1" s="453">
      <c r="D490" s="11" t="n"/>
      <c r="E490" s="86" t="n"/>
      <c r="F490" s="85" t="n"/>
      <c r="G490" s="85" t="n"/>
    </row>
    <row r="491" ht="13.5" customHeight="1" s="453">
      <c r="D491" s="11" t="n"/>
      <c r="E491" s="86" t="n"/>
      <c r="F491" s="85" t="n"/>
      <c r="G491" s="85" t="n"/>
    </row>
    <row r="492" ht="13.5" customHeight="1" s="453">
      <c r="D492" s="11" t="n"/>
      <c r="E492" s="86" t="n"/>
      <c r="F492" s="85" t="n"/>
      <c r="G492" s="85" t="n"/>
    </row>
    <row r="493" ht="13.5" customHeight="1" s="453">
      <c r="D493" s="11" t="n"/>
      <c r="E493" s="86" t="n"/>
      <c r="F493" s="85" t="n"/>
      <c r="G493" s="85" t="n"/>
    </row>
    <row r="494" ht="13.5" customHeight="1" s="453">
      <c r="D494" s="11" t="n"/>
      <c r="E494" s="86" t="n"/>
      <c r="F494" s="85" t="n"/>
      <c r="G494" s="85" t="n"/>
    </row>
    <row r="495" ht="13.5" customHeight="1" s="453">
      <c r="D495" s="11" t="n"/>
      <c r="E495" s="86" t="n"/>
      <c r="F495" s="85" t="n"/>
      <c r="G495" s="85" t="n"/>
    </row>
    <row r="496" ht="13.5" customHeight="1" s="453">
      <c r="D496" s="11" t="n"/>
      <c r="E496" s="86" t="n"/>
      <c r="F496" s="85" t="n"/>
      <c r="G496" s="85" t="n"/>
    </row>
    <row r="497" ht="13.5" customHeight="1" s="453">
      <c r="D497" s="11" t="n"/>
      <c r="E497" s="86" t="n"/>
      <c r="F497" s="85" t="n"/>
      <c r="G497" s="85" t="n"/>
    </row>
    <row r="498" ht="13.5" customHeight="1" s="453">
      <c r="D498" s="11" t="n"/>
      <c r="E498" s="86" t="n"/>
      <c r="F498" s="85" t="n"/>
      <c r="G498" s="85" t="n"/>
    </row>
    <row r="499" ht="13.5" customHeight="1" s="453">
      <c r="D499" s="11" t="n"/>
      <c r="E499" s="86" t="n"/>
      <c r="F499" s="85" t="n"/>
      <c r="G499" s="85" t="n"/>
    </row>
    <row r="500" ht="13.5" customHeight="1" s="453">
      <c r="D500" s="11" t="n"/>
      <c r="E500" s="86" t="n"/>
      <c r="F500" s="85" t="n"/>
      <c r="G500" s="85" t="n"/>
    </row>
    <row r="501" ht="13.5" customHeight="1" s="453">
      <c r="D501" s="11" t="n"/>
      <c r="E501" s="86" t="n"/>
      <c r="F501" s="85" t="n"/>
      <c r="G501" s="85" t="n"/>
    </row>
    <row r="502" ht="13.5" customHeight="1" s="453">
      <c r="D502" s="11" t="n"/>
      <c r="E502" s="86" t="n"/>
      <c r="F502" s="85" t="n"/>
      <c r="G502" s="85" t="n"/>
    </row>
    <row r="503" ht="13.5" customHeight="1" s="453">
      <c r="D503" s="11" t="n"/>
      <c r="E503" s="86" t="n"/>
      <c r="F503" s="85" t="n"/>
      <c r="G503" s="85" t="n"/>
    </row>
    <row r="504" ht="13.5" customHeight="1" s="453">
      <c r="D504" s="11" t="n"/>
      <c r="E504" s="86" t="n"/>
      <c r="F504" s="85" t="n"/>
      <c r="G504" s="85" t="n"/>
    </row>
    <row r="505" ht="13.5" customHeight="1" s="453">
      <c r="D505" s="11" t="n"/>
      <c r="E505" s="86" t="n"/>
      <c r="F505" s="85" t="n"/>
      <c r="G505" s="85" t="n"/>
    </row>
    <row r="506" ht="13.5" customHeight="1" s="453">
      <c r="D506" s="11" t="n"/>
      <c r="E506" s="86" t="n"/>
      <c r="F506" s="85" t="n"/>
      <c r="G506" s="85" t="n"/>
    </row>
    <row r="507" ht="13.5" customHeight="1" s="453">
      <c r="D507" s="11" t="n"/>
      <c r="E507" s="86" t="n"/>
      <c r="F507" s="85" t="n"/>
      <c r="G507" s="85" t="n"/>
    </row>
    <row r="508" ht="13.5" customHeight="1" s="453">
      <c r="D508" s="11" t="n"/>
      <c r="E508" s="86" t="n"/>
      <c r="F508" s="85" t="n"/>
      <c r="G508" s="85" t="n"/>
    </row>
    <row r="509" ht="13.5" customHeight="1" s="453">
      <c r="D509" s="11" t="n"/>
      <c r="E509" s="86" t="n"/>
      <c r="F509" s="85" t="n"/>
      <c r="G509" s="85" t="n"/>
    </row>
    <row r="510" ht="13.5" customHeight="1" s="453">
      <c r="D510" s="11" t="n"/>
      <c r="E510" s="86" t="n"/>
      <c r="F510" s="85" t="n"/>
      <c r="G510" s="85" t="n"/>
    </row>
    <row r="511" ht="13.5" customHeight="1" s="453">
      <c r="D511" s="11" t="n"/>
      <c r="E511" s="86" t="n"/>
      <c r="F511" s="85" t="n"/>
      <c r="G511" s="85" t="n"/>
    </row>
    <row r="512" ht="13.5" customHeight="1" s="453">
      <c r="D512" s="11" t="n"/>
      <c r="E512" s="86" t="n"/>
      <c r="F512" s="85" t="n"/>
      <c r="G512" s="85" t="n"/>
    </row>
    <row r="513" ht="13.5" customHeight="1" s="453">
      <c r="D513" s="11" t="n"/>
      <c r="E513" s="86" t="n"/>
      <c r="F513" s="85" t="n"/>
      <c r="G513" s="85" t="n"/>
    </row>
    <row r="514" ht="13.5" customHeight="1" s="453">
      <c r="D514" s="11" t="n"/>
      <c r="E514" s="86" t="n"/>
      <c r="F514" s="85" t="n"/>
      <c r="G514" s="85" t="n"/>
    </row>
    <row r="515" ht="13.5" customHeight="1" s="453">
      <c r="D515" s="11" t="n"/>
      <c r="E515" s="86" t="n"/>
      <c r="F515" s="85" t="n"/>
      <c r="G515" s="85" t="n"/>
    </row>
    <row r="516" ht="13.5" customHeight="1" s="453">
      <c r="D516" s="11" t="n"/>
      <c r="E516" s="86" t="n"/>
      <c r="F516" s="85" t="n"/>
      <c r="G516" s="85" t="n"/>
    </row>
    <row r="517" ht="13.5" customHeight="1" s="453">
      <c r="D517" s="11" t="n"/>
      <c r="E517" s="86" t="n"/>
      <c r="F517" s="85" t="n"/>
      <c r="G517" s="85" t="n"/>
    </row>
    <row r="518" ht="13.5" customHeight="1" s="453">
      <c r="D518" s="11" t="n"/>
      <c r="E518" s="86" t="n"/>
      <c r="F518" s="85" t="n"/>
      <c r="G518" s="85" t="n"/>
    </row>
    <row r="519" ht="13.5" customHeight="1" s="453">
      <c r="D519" s="11" t="n"/>
      <c r="E519" s="86" t="n"/>
      <c r="F519" s="85" t="n"/>
      <c r="G519" s="85" t="n"/>
    </row>
    <row r="520" ht="13.5" customHeight="1" s="453">
      <c r="D520" s="11" t="n"/>
      <c r="E520" s="86" t="n"/>
      <c r="F520" s="85" t="n"/>
      <c r="G520" s="85" t="n"/>
    </row>
    <row r="521" ht="13.5" customHeight="1" s="453">
      <c r="D521" s="11" t="n"/>
      <c r="E521" s="86" t="n"/>
      <c r="F521" s="85" t="n"/>
      <c r="G521" s="85" t="n"/>
    </row>
    <row r="522" ht="13.5" customHeight="1" s="453">
      <c r="D522" s="11" t="n"/>
      <c r="E522" s="86" t="n"/>
      <c r="F522" s="85" t="n"/>
      <c r="G522" s="85" t="n"/>
    </row>
    <row r="523" ht="13.5" customHeight="1" s="453">
      <c r="D523" s="11" t="n"/>
      <c r="E523" s="86" t="n"/>
      <c r="F523" s="85" t="n"/>
      <c r="G523" s="85" t="n"/>
    </row>
    <row r="524" ht="13.5" customHeight="1" s="453">
      <c r="D524" s="11" t="n"/>
      <c r="E524" s="86" t="n"/>
      <c r="F524" s="85" t="n"/>
      <c r="G524" s="85" t="n"/>
    </row>
    <row r="525" ht="13.5" customHeight="1" s="453">
      <c r="D525" s="11" t="n"/>
      <c r="E525" s="86" t="n"/>
      <c r="F525" s="85" t="n"/>
      <c r="G525" s="85" t="n"/>
    </row>
    <row r="526" ht="13.5" customHeight="1" s="453">
      <c r="D526" s="11" t="n"/>
      <c r="E526" s="86" t="n"/>
      <c r="F526" s="85" t="n"/>
      <c r="G526" s="85" t="n"/>
    </row>
    <row r="527" ht="13.5" customHeight="1" s="453">
      <c r="D527" s="11" t="n"/>
      <c r="E527" s="86" t="n"/>
      <c r="F527" s="85" t="n"/>
      <c r="G527" s="85" t="n"/>
    </row>
    <row r="528" ht="13.5" customHeight="1" s="453">
      <c r="D528" s="11" t="n"/>
      <c r="E528" s="86" t="n"/>
      <c r="F528" s="85" t="n"/>
      <c r="G528" s="85" t="n"/>
    </row>
    <row r="529" ht="13.5" customHeight="1" s="453">
      <c r="D529" s="11" t="n"/>
      <c r="E529" s="86" t="n"/>
      <c r="F529" s="85" t="n"/>
      <c r="G529" s="85" t="n"/>
    </row>
    <row r="530" ht="13.5" customHeight="1" s="453">
      <c r="D530" s="11" t="n"/>
      <c r="E530" s="86" t="n"/>
      <c r="F530" s="85" t="n"/>
      <c r="G530" s="85" t="n"/>
    </row>
    <row r="531" ht="13.5" customHeight="1" s="453">
      <c r="D531" s="11" t="n"/>
      <c r="E531" s="86" t="n"/>
      <c r="F531" s="85" t="n"/>
      <c r="G531" s="85" t="n"/>
    </row>
    <row r="532" ht="13.5" customHeight="1" s="453">
      <c r="D532" s="11" t="n"/>
      <c r="E532" s="86" t="n"/>
      <c r="F532" s="85" t="n"/>
      <c r="G532" s="85" t="n"/>
    </row>
    <row r="533" ht="13.5" customHeight="1" s="453">
      <c r="D533" s="11" t="n"/>
      <c r="E533" s="86" t="n"/>
      <c r="F533" s="85" t="n"/>
      <c r="G533" s="85" t="n"/>
    </row>
    <row r="534" ht="13.5" customHeight="1" s="453">
      <c r="D534" s="11" t="n"/>
      <c r="E534" s="86" t="n"/>
      <c r="F534" s="85" t="n"/>
      <c r="G534" s="85" t="n"/>
    </row>
    <row r="535" ht="13.5" customHeight="1" s="453">
      <c r="D535" s="11" t="n"/>
      <c r="E535" s="86" t="n"/>
      <c r="F535" s="85" t="n"/>
      <c r="G535" s="85" t="n"/>
    </row>
    <row r="536" ht="13.5" customHeight="1" s="453">
      <c r="D536" s="11" t="n"/>
      <c r="E536" s="86" t="n"/>
      <c r="F536" s="85" t="n"/>
      <c r="G536" s="85" t="n"/>
    </row>
    <row r="537" ht="13.5" customHeight="1" s="453">
      <c r="D537" s="11" t="n"/>
      <c r="E537" s="86" t="n"/>
      <c r="F537" s="85" t="n"/>
      <c r="G537" s="85" t="n"/>
    </row>
    <row r="538" ht="13.5" customHeight="1" s="453">
      <c r="D538" s="11" t="n"/>
      <c r="E538" s="86" t="n"/>
      <c r="F538" s="85" t="n"/>
      <c r="G538" s="85" t="n"/>
    </row>
    <row r="539" ht="13.5" customHeight="1" s="453">
      <c r="D539" s="11" t="n"/>
      <c r="E539" s="86" t="n"/>
      <c r="F539" s="85" t="n"/>
      <c r="G539" s="85" t="n"/>
    </row>
    <row r="540" ht="13.5" customHeight="1" s="453">
      <c r="D540" s="11" t="n"/>
      <c r="E540" s="86" t="n"/>
      <c r="F540" s="85" t="n"/>
      <c r="G540" s="85" t="n"/>
    </row>
    <row r="541" ht="13.5" customHeight="1" s="453">
      <c r="D541" s="11" t="n"/>
      <c r="E541" s="86" t="n"/>
      <c r="F541" s="85" t="n"/>
      <c r="G541" s="85" t="n"/>
    </row>
    <row r="542" ht="13.5" customHeight="1" s="453">
      <c r="D542" s="11" t="n"/>
      <c r="E542" s="86" t="n"/>
      <c r="F542" s="85" t="n"/>
      <c r="G542" s="85" t="n"/>
    </row>
    <row r="543" ht="13.5" customHeight="1" s="453">
      <c r="D543" s="11" t="n"/>
      <c r="E543" s="86" t="n"/>
      <c r="F543" s="85" t="n"/>
      <c r="G543" s="85" t="n"/>
    </row>
    <row r="544" ht="13.5" customHeight="1" s="453">
      <c r="D544" s="11" t="n"/>
      <c r="E544" s="86" t="n"/>
      <c r="F544" s="85" t="n"/>
      <c r="G544" s="85" t="n"/>
    </row>
    <row r="545" ht="13.5" customHeight="1" s="453">
      <c r="D545" s="11" t="n"/>
      <c r="E545" s="86" t="n"/>
      <c r="F545" s="85" t="n"/>
      <c r="G545" s="85" t="n"/>
    </row>
    <row r="546" ht="13.5" customHeight="1" s="453">
      <c r="D546" s="11" t="n"/>
      <c r="E546" s="86" t="n"/>
      <c r="F546" s="85" t="n"/>
      <c r="G546" s="85" t="n"/>
    </row>
    <row r="547" ht="13.5" customHeight="1" s="453">
      <c r="D547" s="11" t="n"/>
      <c r="E547" s="86" t="n"/>
      <c r="F547" s="85" t="n"/>
      <c r="G547" s="85" t="n"/>
    </row>
    <row r="548" ht="13.5" customHeight="1" s="453">
      <c r="D548" s="11" t="n"/>
      <c r="E548" s="86" t="n"/>
      <c r="F548" s="85" t="n"/>
      <c r="G548" s="85" t="n"/>
    </row>
    <row r="549" ht="13.5" customHeight="1" s="453">
      <c r="D549" s="11" t="n"/>
      <c r="E549" s="86" t="n"/>
      <c r="F549" s="85" t="n"/>
      <c r="G549" s="85" t="n"/>
    </row>
    <row r="550" ht="13.5" customHeight="1" s="453">
      <c r="D550" s="11" t="n"/>
      <c r="E550" s="86" t="n"/>
      <c r="F550" s="85" t="n"/>
      <c r="G550" s="85" t="n"/>
    </row>
    <row r="551" ht="13.5" customHeight="1" s="453">
      <c r="D551" s="11" t="n"/>
      <c r="E551" s="86" t="n"/>
      <c r="F551" s="85" t="n"/>
      <c r="G551" s="85" t="n"/>
    </row>
    <row r="552" ht="13.5" customHeight="1" s="453">
      <c r="D552" s="11" t="n"/>
      <c r="E552" s="86" t="n"/>
      <c r="F552" s="85" t="n"/>
      <c r="G552" s="85" t="n"/>
    </row>
    <row r="553" ht="13.5" customHeight="1" s="453">
      <c r="D553" s="11" t="n"/>
      <c r="E553" s="86" t="n"/>
      <c r="F553" s="85" t="n"/>
      <c r="G553" s="85" t="n"/>
    </row>
    <row r="554" ht="13.5" customHeight="1" s="453">
      <c r="D554" s="11" t="n"/>
      <c r="E554" s="86" t="n"/>
      <c r="F554" s="85" t="n"/>
      <c r="G554" s="85" t="n"/>
    </row>
    <row r="555" ht="13.5" customHeight="1" s="453">
      <c r="D555" s="11" t="n"/>
      <c r="E555" s="86" t="n"/>
      <c r="F555" s="85" t="n"/>
      <c r="G555" s="85" t="n"/>
    </row>
    <row r="556" ht="13.5" customHeight="1" s="453">
      <c r="D556" s="11" t="n"/>
      <c r="E556" s="86" t="n"/>
      <c r="F556" s="85" t="n"/>
      <c r="G556" s="85" t="n"/>
    </row>
    <row r="557" ht="13.5" customHeight="1" s="453">
      <c r="D557" s="11" t="n"/>
      <c r="E557" s="86" t="n"/>
      <c r="F557" s="85" t="n"/>
      <c r="G557" s="85" t="n"/>
    </row>
    <row r="558" ht="13.5" customHeight="1" s="453">
      <c r="D558" s="11" t="n"/>
      <c r="E558" s="86" t="n"/>
      <c r="F558" s="85" t="n"/>
      <c r="G558" s="85" t="n"/>
    </row>
    <row r="559" ht="13.5" customHeight="1" s="453">
      <c r="D559" s="11" t="n"/>
      <c r="E559" s="86" t="n"/>
      <c r="F559" s="85" t="n"/>
      <c r="G559" s="85" t="n"/>
    </row>
    <row r="560" ht="13.5" customHeight="1" s="453">
      <c r="D560" s="11" t="n"/>
      <c r="E560" s="86" t="n"/>
      <c r="F560" s="85" t="n"/>
      <c r="G560" s="85" t="n"/>
    </row>
    <row r="561" ht="13.5" customHeight="1" s="453">
      <c r="D561" s="11" t="n"/>
      <c r="E561" s="86" t="n"/>
      <c r="F561" s="85" t="n"/>
      <c r="G561" s="85" t="n"/>
    </row>
    <row r="562" ht="13.5" customHeight="1" s="453">
      <c r="D562" s="11" t="n"/>
      <c r="E562" s="86" t="n"/>
      <c r="F562" s="85" t="n"/>
      <c r="G562" s="85" t="n"/>
    </row>
    <row r="563" ht="13.5" customHeight="1" s="453">
      <c r="D563" s="11" t="n"/>
      <c r="E563" s="86" t="n"/>
      <c r="F563" s="85" t="n"/>
      <c r="G563" s="85" t="n"/>
    </row>
    <row r="564" ht="13.5" customHeight="1" s="453">
      <c r="D564" s="11" t="n"/>
      <c r="E564" s="86" t="n"/>
      <c r="F564" s="85" t="n"/>
      <c r="G564" s="85" t="n"/>
    </row>
    <row r="565" ht="13.5" customHeight="1" s="453">
      <c r="D565" s="11" t="n"/>
      <c r="E565" s="86" t="n"/>
      <c r="F565" s="85" t="n"/>
      <c r="G565" s="85" t="n"/>
    </row>
    <row r="566" ht="13.5" customHeight="1" s="453">
      <c r="D566" s="11" t="n"/>
      <c r="E566" s="86" t="n"/>
      <c r="F566" s="85" t="n"/>
      <c r="G566" s="85" t="n"/>
    </row>
    <row r="567" ht="13.5" customHeight="1" s="453">
      <c r="D567" s="11" t="n"/>
      <c r="E567" s="86" t="n"/>
      <c r="F567" s="85" t="n"/>
      <c r="G567" s="85" t="n"/>
    </row>
    <row r="568" ht="13.5" customHeight="1" s="453">
      <c r="D568" s="11" t="n"/>
      <c r="E568" s="86" t="n"/>
      <c r="F568" s="85" t="n"/>
      <c r="G568" s="85" t="n"/>
    </row>
    <row r="569" ht="13.5" customHeight="1" s="453">
      <c r="D569" s="11" t="n"/>
      <c r="E569" s="86" t="n"/>
      <c r="F569" s="85" t="n"/>
      <c r="G569" s="85" t="n"/>
    </row>
    <row r="570" ht="13.5" customHeight="1" s="453">
      <c r="D570" s="11" t="n"/>
      <c r="E570" s="86" t="n"/>
      <c r="F570" s="85" t="n"/>
      <c r="G570" s="85" t="n"/>
    </row>
    <row r="571" ht="13.5" customHeight="1" s="453">
      <c r="D571" s="11" t="n"/>
      <c r="E571" s="86" t="n"/>
      <c r="F571" s="85" t="n"/>
      <c r="G571" s="85" t="n"/>
    </row>
    <row r="572" ht="13.5" customHeight="1" s="453">
      <c r="D572" s="11" t="n"/>
      <c r="E572" s="86" t="n"/>
      <c r="F572" s="85" t="n"/>
      <c r="G572" s="85" t="n"/>
    </row>
    <row r="573" ht="13.5" customHeight="1" s="453">
      <c r="D573" s="11" t="n"/>
      <c r="E573" s="86" t="n"/>
      <c r="F573" s="85" t="n"/>
      <c r="G573" s="85" t="n"/>
    </row>
    <row r="574" ht="13.5" customHeight="1" s="453">
      <c r="D574" s="11" t="n"/>
      <c r="E574" s="86" t="n"/>
      <c r="F574" s="85" t="n"/>
      <c r="G574" s="85" t="n"/>
    </row>
    <row r="575" ht="13.5" customHeight="1" s="453">
      <c r="D575" s="11" t="n"/>
      <c r="E575" s="86" t="n"/>
      <c r="F575" s="85" t="n"/>
      <c r="G575" s="85" t="n"/>
    </row>
    <row r="576" ht="13.5" customHeight="1" s="453">
      <c r="D576" s="11" t="n"/>
      <c r="E576" s="86" t="n"/>
      <c r="F576" s="85" t="n"/>
      <c r="G576" s="85" t="n"/>
    </row>
    <row r="577" ht="13.5" customHeight="1" s="453">
      <c r="D577" s="11" t="n"/>
      <c r="E577" s="86" t="n"/>
      <c r="F577" s="85" t="n"/>
      <c r="G577" s="85" t="n"/>
    </row>
    <row r="578" ht="13.5" customHeight="1" s="453">
      <c r="D578" s="11" t="n"/>
      <c r="E578" s="86" t="n"/>
      <c r="F578" s="85" t="n"/>
      <c r="G578" s="85" t="n"/>
    </row>
    <row r="579" ht="13.5" customHeight="1" s="453">
      <c r="D579" s="11" t="n"/>
      <c r="E579" s="86" t="n"/>
      <c r="F579" s="85" t="n"/>
      <c r="G579" s="85" t="n"/>
    </row>
    <row r="580" ht="13.5" customHeight="1" s="453">
      <c r="D580" s="11" t="n"/>
      <c r="E580" s="86" t="n"/>
      <c r="F580" s="85" t="n"/>
      <c r="G580" s="85" t="n"/>
    </row>
    <row r="581" ht="13.5" customHeight="1" s="453">
      <c r="D581" s="11" t="n"/>
      <c r="E581" s="86" t="n"/>
      <c r="F581" s="85" t="n"/>
      <c r="G581" s="85" t="n"/>
    </row>
    <row r="582" ht="13.5" customHeight="1" s="453">
      <c r="D582" s="11" t="n"/>
      <c r="E582" s="86" t="n"/>
      <c r="F582" s="85" t="n"/>
      <c r="G582" s="85" t="n"/>
    </row>
    <row r="583" ht="13.5" customHeight="1" s="453">
      <c r="D583" s="11" t="n"/>
      <c r="E583" s="86" t="n"/>
      <c r="F583" s="85" t="n"/>
      <c r="G583" s="85" t="n"/>
    </row>
    <row r="584" ht="13.5" customHeight="1" s="453">
      <c r="D584" s="11" t="n"/>
      <c r="E584" s="86" t="n"/>
      <c r="F584" s="85" t="n"/>
      <c r="G584" s="85" t="n"/>
    </row>
    <row r="585" ht="13.5" customHeight="1" s="453">
      <c r="D585" s="11" t="n"/>
      <c r="E585" s="86" t="n"/>
      <c r="F585" s="85" t="n"/>
      <c r="G585" s="85" t="n"/>
    </row>
    <row r="586" ht="13.5" customHeight="1" s="453">
      <c r="D586" s="11" t="n"/>
      <c r="E586" s="86" t="n"/>
      <c r="F586" s="85" t="n"/>
      <c r="G586" s="85" t="n"/>
    </row>
    <row r="587" ht="13.5" customHeight="1" s="453">
      <c r="D587" s="11" t="n"/>
      <c r="E587" s="86" t="n"/>
      <c r="F587" s="85" t="n"/>
      <c r="G587" s="85" t="n"/>
    </row>
    <row r="588" ht="13.5" customHeight="1" s="453">
      <c r="D588" s="11" t="n"/>
      <c r="E588" s="86" t="n"/>
      <c r="F588" s="85" t="n"/>
      <c r="G588" s="85" t="n"/>
    </row>
    <row r="589" ht="13.5" customHeight="1" s="453">
      <c r="D589" s="11" t="n"/>
      <c r="E589" s="86" t="n"/>
      <c r="F589" s="85" t="n"/>
      <c r="G589" s="85" t="n"/>
    </row>
    <row r="590" ht="13.5" customHeight="1" s="453">
      <c r="D590" s="11" t="n"/>
      <c r="E590" s="86" t="n"/>
      <c r="F590" s="85" t="n"/>
      <c r="G590" s="85" t="n"/>
    </row>
    <row r="591" ht="13.5" customHeight="1" s="453">
      <c r="D591" s="11" t="n"/>
      <c r="E591" s="86" t="n"/>
      <c r="F591" s="85" t="n"/>
      <c r="G591" s="85" t="n"/>
    </row>
    <row r="592" ht="13.5" customHeight="1" s="453">
      <c r="D592" s="11" t="n"/>
      <c r="E592" s="86" t="n"/>
      <c r="F592" s="85" t="n"/>
      <c r="G592" s="85" t="n"/>
    </row>
    <row r="593" ht="13.5" customHeight="1" s="453">
      <c r="D593" s="11" t="n"/>
      <c r="E593" s="86" t="n"/>
      <c r="F593" s="85" t="n"/>
      <c r="G593" s="85" t="n"/>
    </row>
    <row r="594" ht="13.5" customHeight="1" s="453">
      <c r="D594" s="11" t="n"/>
      <c r="E594" s="86" t="n"/>
      <c r="F594" s="85" t="n"/>
      <c r="G594" s="85" t="n"/>
    </row>
    <row r="595" ht="13.5" customHeight="1" s="453">
      <c r="D595" s="11" t="n"/>
      <c r="E595" s="86" t="n"/>
      <c r="F595" s="85" t="n"/>
      <c r="G595" s="85" t="n"/>
    </row>
    <row r="596" ht="13.5" customHeight="1" s="453">
      <c r="D596" s="11" t="n"/>
      <c r="E596" s="86" t="n"/>
      <c r="F596" s="85" t="n"/>
      <c r="G596" s="85" t="n"/>
    </row>
    <row r="597" ht="13.5" customHeight="1" s="453">
      <c r="D597" s="11" t="n"/>
      <c r="E597" s="86" t="n"/>
      <c r="F597" s="85" t="n"/>
      <c r="G597" s="85" t="n"/>
    </row>
    <row r="598" ht="13.5" customHeight="1" s="453">
      <c r="D598" s="11" t="n"/>
      <c r="E598" s="86" t="n"/>
      <c r="F598" s="85" t="n"/>
      <c r="G598" s="85" t="n"/>
    </row>
    <row r="599" ht="13.5" customHeight="1" s="453">
      <c r="D599" s="11" t="n"/>
      <c r="E599" s="86" t="n"/>
      <c r="F599" s="85" t="n"/>
      <c r="G599" s="85" t="n"/>
    </row>
    <row r="600" ht="13.5" customHeight="1" s="453">
      <c r="D600" s="11" t="n"/>
      <c r="E600" s="86" t="n"/>
      <c r="F600" s="85" t="n"/>
      <c r="G600" s="85" t="n"/>
    </row>
    <row r="601" ht="13.5" customHeight="1" s="453">
      <c r="D601" s="11" t="n"/>
      <c r="E601" s="86" t="n"/>
      <c r="F601" s="85" t="n"/>
      <c r="G601" s="85" t="n"/>
    </row>
    <row r="602" ht="13.5" customHeight="1" s="453">
      <c r="D602" s="11" t="n"/>
      <c r="E602" s="86" t="n"/>
      <c r="F602" s="85" t="n"/>
      <c r="G602" s="85" t="n"/>
    </row>
    <row r="603" ht="13.5" customHeight="1" s="453">
      <c r="D603" s="11" t="n"/>
      <c r="E603" s="86" t="n"/>
      <c r="F603" s="85" t="n"/>
      <c r="G603" s="85" t="n"/>
    </row>
    <row r="604" ht="13.5" customHeight="1" s="453">
      <c r="D604" s="11" t="n"/>
      <c r="E604" s="86" t="n"/>
      <c r="F604" s="85" t="n"/>
      <c r="G604" s="85" t="n"/>
    </row>
    <row r="605" ht="13.5" customHeight="1" s="453">
      <c r="D605" s="11" t="n"/>
      <c r="E605" s="86" t="n"/>
      <c r="F605" s="85" t="n"/>
      <c r="G605" s="85" t="n"/>
    </row>
    <row r="606" ht="13.5" customHeight="1" s="453">
      <c r="D606" s="11" t="n"/>
      <c r="E606" s="86" t="n"/>
      <c r="F606" s="85" t="n"/>
      <c r="G606" s="85" t="n"/>
    </row>
    <row r="607" ht="13.5" customHeight="1" s="453">
      <c r="D607" s="11" t="n"/>
      <c r="E607" s="86" t="n"/>
      <c r="F607" s="85" t="n"/>
      <c r="G607" s="85" t="n"/>
    </row>
    <row r="608" ht="13.5" customHeight="1" s="453">
      <c r="D608" s="11" t="n"/>
      <c r="E608" s="86" t="n"/>
      <c r="F608" s="85" t="n"/>
      <c r="G608" s="85" t="n"/>
    </row>
    <row r="609" ht="13.5" customHeight="1" s="453">
      <c r="D609" s="11" t="n"/>
      <c r="E609" s="86" t="n"/>
      <c r="F609" s="85" t="n"/>
      <c r="G609" s="85" t="n"/>
    </row>
    <row r="610" ht="13.5" customHeight="1" s="453">
      <c r="D610" s="11" t="n"/>
      <c r="E610" s="86" t="n"/>
      <c r="F610" s="85" t="n"/>
      <c r="G610" s="85" t="n"/>
    </row>
    <row r="611" ht="13.5" customHeight="1" s="453">
      <c r="D611" s="11" t="n"/>
      <c r="E611" s="86" t="n"/>
      <c r="F611" s="85" t="n"/>
      <c r="G611" s="85" t="n"/>
    </row>
    <row r="612" ht="13.5" customHeight="1" s="453">
      <c r="D612" s="11" t="n"/>
      <c r="E612" s="86" t="n"/>
      <c r="F612" s="85" t="n"/>
      <c r="G612" s="85" t="n"/>
    </row>
    <row r="613" ht="13.5" customHeight="1" s="453">
      <c r="D613" s="11" t="n"/>
      <c r="E613" s="86" t="n"/>
      <c r="F613" s="85" t="n"/>
      <c r="G613" s="85" t="n"/>
    </row>
    <row r="614" ht="13.5" customHeight="1" s="453">
      <c r="D614" s="11" t="n"/>
      <c r="E614" s="86" t="n"/>
      <c r="F614" s="85" t="n"/>
      <c r="G614" s="85" t="n"/>
    </row>
    <row r="615" ht="13.5" customHeight="1" s="453">
      <c r="D615" s="11" t="n"/>
      <c r="E615" s="86" t="n"/>
      <c r="F615" s="85" t="n"/>
      <c r="G615" s="85" t="n"/>
    </row>
    <row r="616" ht="13.5" customHeight="1" s="453">
      <c r="D616" s="11" t="n"/>
      <c r="E616" s="86" t="n"/>
      <c r="F616" s="85" t="n"/>
      <c r="G616" s="85" t="n"/>
    </row>
    <row r="617" ht="13.5" customHeight="1" s="453">
      <c r="D617" s="11" t="n"/>
      <c r="E617" s="86" t="n"/>
      <c r="F617" s="85" t="n"/>
      <c r="G617" s="85" t="n"/>
    </row>
    <row r="618" ht="13.5" customHeight="1" s="453">
      <c r="D618" s="11" t="n"/>
      <c r="E618" s="86" t="n"/>
      <c r="F618" s="85" t="n"/>
      <c r="G618" s="85" t="n"/>
    </row>
    <row r="619" ht="13.5" customHeight="1" s="453">
      <c r="D619" s="11" t="n"/>
      <c r="E619" s="86" t="n"/>
      <c r="F619" s="85" t="n"/>
      <c r="G619" s="85" t="n"/>
    </row>
    <row r="620" ht="13.5" customHeight="1" s="453">
      <c r="D620" s="11" t="n"/>
      <c r="E620" s="86" t="n"/>
      <c r="F620" s="85" t="n"/>
      <c r="G620" s="85" t="n"/>
    </row>
    <row r="621" ht="13.5" customHeight="1" s="453">
      <c r="D621" s="11" t="n"/>
      <c r="E621" s="86" t="n"/>
      <c r="F621" s="85" t="n"/>
      <c r="G621" s="85" t="n"/>
    </row>
    <row r="622" ht="13.5" customHeight="1" s="453">
      <c r="D622" s="11" t="n"/>
      <c r="E622" s="86" t="n"/>
      <c r="F622" s="85" t="n"/>
      <c r="G622" s="85" t="n"/>
    </row>
    <row r="623" ht="13.5" customHeight="1" s="453">
      <c r="D623" s="11" t="n"/>
      <c r="E623" s="86" t="n"/>
      <c r="F623" s="85" t="n"/>
      <c r="G623" s="85" t="n"/>
    </row>
    <row r="624" ht="13.5" customHeight="1" s="453">
      <c r="D624" s="11" t="n"/>
      <c r="E624" s="86" t="n"/>
      <c r="F624" s="85" t="n"/>
      <c r="G624" s="85" t="n"/>
    </row>
    <row r="625" ht="13.5" customHeight="1" s="453">
      <c r="D625" s="11" t="n"/>
      <c r="E625" s="86" t="n"/>
      <c r="F625" s="85" t="n"/>
      <c r="G625" s="85" t="n"/>
    </row>
    <row r="626" ht="13.5" customHeight="1" s="453">
      <c r="D626" s="11" t="n"/>
      <c r="E626" s="86" t="n"/>
      <c r="F626" s="85" t="n"/>
      <c r="G626" s="85" t="n"/>
    </row>
    <row r="627" ht="13.5" customHeight="1" s="453">
      <c r="D627" s="11" t="n"/>
      <c r="E627" s="86" t="n"/>
      <c r="F627" s="85" t="n"/>
      <c r="G627" s="85" t="n"/>
    </row>
    <row r="628" ht="13.5" customHeight="1" s="453">
      <c r="D628" s="11" t="n"/>
      <c r="E628" s="86" t="n"/>
      <c r="F628" s="85" t="n"/>
      <c r="G628" s="85" t="n"/>
    </row>
    <row r="629" ht="13.5" customHeight="1" s="453">
      <c r="D629" s="11" t="n"/>
      <c r="E629" s="86" t="n"/>
      <c r="F629" s="85" t="n"/>
      <c r="G629" s="85" t="n"/>
    </row>
    <row r="630" ht="13.5" customHeight="1" s="453">
      <c r="D630" s="11" t="n"/>
      <c r="E630" s="86" t="n"/>
      <c r="F630" s="85" t="n"/>
      <c r="G630" s="85" t="n"/>
    </row>
    <row r="631" ht="13.5" customHeight="1" s="453">
      <c r="D631" s="11" t="n"/>
      <c r="E631" s="86" t="n"/>
      <c r="F631" s="85" t="n"/>
      <c r="G631" s="85" t="n"/>
    </row>
    <row r="632" ht="13.5" customHeight="1" s="453">
      <c r="D632" s="11" t="n"/>
      <c r="E632" s="86" t="n"/>
      <c r="F632" s="85" t="n"/>
      <c r="G632" s="85" t="n"/>
    </row>
    <row r="633" ht="13.5" customHeight="1" s="453">
      <c r="D633" s="11" t="n"/>
      <c r="E633" s="86" t="n"/>
      <c r="F633" s="85" t="n"/>
      <c r="G633" s="85" t="n"/>
    </row>
    <row r="634" ht="13.5" customHeight="1" s="453">
      <c r="D634" s="11" t="n"/>
      <c r="E634" s="86" t="n"/>
      <c r="F634" s="85" t="n"/>
      <c r="G634" s="85" t="n"/>
    </row>
    <row r="635" ht="13.5" customHeight="1" s="453">
      <c r="D635" s="11" t="n"/>
      <c r="E635" s="86" t="n"/>
      <c r="F635" s="85" t="n"/>
      <c r="G635" s="85" t="n"/>
    </row>
    <row r="636" ht="13.5" customHeight="1" s="453">
      <c r="D636" s="11" t="n"/>
      <c r="E636" s="86" t="n"/>
      <c r="F636" s="85" t="n"/>
      <c r="G636" s="85" t="n"/>
    </row>
    <row r="637" ht="13.5" customHeight="1" s="453">
      <c r="D637" s="11" t="n"/>
      <c r="E637" s="86" t="n"/>
      <c r="F637" s="85" t="n"/>
      <c r="G637" s="85" t="n"/>
    </row>
    <row r="638" ht="13.5" customHeight="1" s="453">
      <c r="D638" s="11" t="n"/>
      <c r="E638" s="86" t="n"/>
      <c r="F638" s="85" t="n"/>
      <c r="G638" s="85" t="n"/>
    </row>
    <row r="639" ht="13.5" customHeight="1" s="453">
      <c r="D639" s="11" t="n"/>
      <c r="E639" s="86" t="n"/>
      <c r="F639" s="85" t="n"/>
      <c r="G639" s="85" t="n"/>
    </row>
    <row r="640" ht="13.5" customHeight="1" s="453">
      <c r="D640" s="11" t="n"/>
      <c r="E640" s="86" t="n"/>
      <c r="F640" s="85" t="n"/>
      <c r="G640" s="85" t="n"/>
    </row>
    <row r="641" ht="13.5" customHeight="1" s="453">
      <c r="D641" s="11" t="n"/>
      <c r="E641" s="86" t="n"/>
      <c r="F641" s="85" t="n"/>
      <c r="G641" s="85" t="n"/>
    </row>
    <row r="642" ht="13.5" customHeight="1" s="453">
      <c r="D642" s="11" t="n"/>
      <c r="E642" s="86" t="n"/>
      <c r="F642" s="85" t="n"/>
      <c r="G642" s="85" t="n"/>
    </row>
    <row r="643" ht="13.5" customHeight="1" s="453">
      <c r="D643" s="11" t="n"/>
      <c r="E643" s="86" t="n"/>
      <c r="F643" s="85" t="n"/>
      <c r="G643" s="85" t="n"/>
    </row>
    <row r="644" ht="13.5" customHeight="1" s="453">
      <c r="D644" s="11" t="n"/>
      <c r="E644" s="86" t="n"/>
      <c r="F644" s="85" t="n"/>
      <c r="G644" s="85" t="n"/>
    </row>
    <row r="645" ht="13.5" customHeight="1" s="453">
      <c r="D645" s="11" t="n"/>
      <c r="E645" s="86" t="n"/>
      <c r="F645" s="85" t="n"/>
      <c r="G645" s="85" t="n"/>
    </row>
    <row r="646" ht="13.5" customHeight="1" s="453">
      <c r="D646" s="11" t="n"/>
      <c r="E646" s="86" t="n"/>
      <c r="F646" s="85" t="n"/>
      <c r="G646" s="85" t="n"/>
    </row>
    <row r="647" ht="13.5" customHeight="1" s="453">
      <c r="D647" s="11" t="n"/>
      <c r="E647" s="86" t="n"/>
      <c r="F647" s="85" t="n"/>
      <c r="G647" s="85" t="n"/>
    </row>
    <row r="648" ht="13.5" customHeight="1" s="453">
      <c r="D648" s="11" t="n"/>
      <c r="E648" s="86" t="n"/>
      <c r="F648" s="85" t="n"/>
      <c r="G648" s="85" t="n"/>
    </row>
    <row r="649" ht="13.5" customHeight="1" s="453">
      <c r="D649" s="11" t="n"/>
      <c r="E649" s="86" t="n"/>
      <c r="F649" s="85" t="n"/>
      <c r="G649" s="85" t="n"/>
    </row>
    <row r="650" ht="13.5" customHeight="1" s="453">
      <c r="D650" s="11" t="n"/>
      <c r="E650" s="86" t="n"/>
      <c r="F650" s="85" t="n"/>
      <c r="G650" s="85" t="n"/>
    </row>
    <row r="651" ht="13.5" customHeight="1" s="453">
      <c r="D651" s="11" t="n"/>
      <c r="E651" s="86" t="n"/>
      <c r="F651" s="85" t="n"/>
      <c r="G651" s="85" t="n"/>
    </row>
    <row r="652" ht="13.5" customHeight="1" s="453">
      <c r="D652" s="11" t="n"/>
      <c r="E652" s="86" t="n"/>
      <c r="F652" s="85" t="n"/>
      <c r="G652" s="85" t="n"/>
    </row>
    <row r="653" ht="13.5" customHeight="1" s="453">
      <c r="D653" s="11" t="n"/>
      <c r="E653" s="86" t="n"/>
      <c r="F653" s="85" t="n"/>
      <c r="G653" s="85" t="n"/>
    </row>
    <row r="654" ht="13.5" customHeight="1" s="453">
      <c r="D654" s="11" t="n"/>
      <c r="E654" s="86" t="n"/>
      <c r="F654" s="85" t="n"/>
      <c r="G654" s="85" t="n"/>
    </row>
    <row r="655" ht="13.5" customHeight="1" s="453">
      <c r="D655" s="11" t="n"/>
      <c r="E655" s="86" t="n"/>
      <c r="F655" s="85" t="n"/>
      <c r="G655" s="85" t="n"/>
    </row>
    <row r="656" ht="13.5" customHeight="1" s="453">
      <c r="D656" s="11" t="n"/>
      <c r="E656" s="86" t="n"/>
      <c r="F656" s="85" t="n"/>
      <c r="G656" s="85" t="n"/>
    </row>
    <row r="657" ht="13.5" customHeight="1" s="453">
      <c r="D657" s="11" t="n"/>
      <c r="E657" s="86" t="n"/>
      <c r="F657" s="85" t="n"/>
      <c r="G657" s="85" t="n"/>
    </row>
    <row r="658" ht="13.5" customHeight="1" s="453">
      <c r="D658" s="11" t="n"/>
      <c r="E658" s="86" t="n"/>
      <c r="F658" s="85" t="n"/>
      <c r="G658" s="85" t="n"/>
    </row>
    <row r="659" ht="13.5" customHeight="1" s="453">
      <c r="D659" s="11" t="n"/>
      <c r="E659" s="86" t="n"/>
      <c r="F659" s="85" t="n"/>
      <c r="G659" s="85" t="n"/>
    </row>
    <row r="660" ht="13.5" customHeight="1" s="453">
      <c r="D660" s="11" t="n"/>
      <c r="E660" s="86" t="n"/>
      <c r="F660" s="85" t="n"/>
      <c r="G660" s="85" t="n"/>
    </row>
    <row r="661" ht="13.5" customHeight="1" s="453">
      <c r="D661" s="11" t="n"/>
      <c r="E661" s="86" t="n"/>
      <c r="F661" s="85" t="n"/>
      <c r="G661" s="85" t="n"/>
    </row>
    <row r="662" ht="13.5" customHeight="1" s="453">
      <c r="D662" s="11" t="n"/>
      <c r="E662" s="86" t="n"/>
      <c r="F662" s="85" t="n"/>
      <c r="G662" s="85" t="n"/>
    </row>
    <row r="663" ht="13.5" customHeight="1" s="453">
      <c r="D663" s="11" t="n"/>
      <c r="E663" s="86" t="n"/>
      <c r="F663" s="85" t="n"/>
      <c r="G663" s="85" t="n"/>
    </row>
    <row r="664" ht="13.5" customHeight="1" s="453">
      <c r="D664" s="11" t="n"/>
      <c r="E664" s="86" t="n"/>
      <c r="F664" s="85" t="n"/>
      <c r="G664" s="85" t="n"/>
    </row>
    <row r="665" ht="13.5" customHeight="1" s="453">
      <c r="D665" s="11" t="n"/>
      <c r="E665" s="86" t="n"/>
      <c r="F665" s="85" t="n"/>
      <c r="G665" s="85" t="n"/>
    </row>
    <row r="666" ht="13.5" customHeight="1" s="453">
      <c r="D666" s="11" t="n"/>
      <c r="E666" s="86" t="n"/>
      <c r="F666" s="85" t="n"/>
      <c r="G666" s="85" t="n"/>
    </row>
    <row r="667" ht="13.5" customHeight="1" s="453">
      <c r="D667" s="11" t="n"/>
      <c r="E667" s="86" t="n"/>
      <c r="F667" s="85" t="n"/>
      <c r="G667" s="85" t="n"/>
    </row>
    <row r="668" ht="13.5" customHeight="1" s="453">
      <c r="D668" s="11" t="n"/>
      <c r="E668" s="86" t="n"/>
      <c r="F668" s="85" t="n"/>
      <c r="G668" s="85" t="n"/>
    </row>
    <row r="669" ht="13.5" customHeight="1" s="453">
      <c r="D669" s="11" t="n"/>
      <c r="E669" s="86" t="n"/>
      <c r="F669" s="85" t="n"/>
      <c r="G669" s="85" t="n"/>
    </row>
    <row r="670" ht="13.5" customHeight="1" s="453">
      <c r="D670" s="11" t="n"/>
      <c r="E670" s="86" t="n"/>
      <c r="F670" s="85" t="n"/>
      <c r="G670" s="85" t="n"/>
    </row>
    <row r="671" ht="13.5" customHeight="1" s="453">
      <c r="D671" s="11" t="n"/>
      <c r="E671" s="86" t="n"/>
      <c r="F671" s="85" t="n"/>
      <c r="G671" s="85" t="n"/>
    </row>
    <row r="672" ht="13.5" customHeight="1" s="453">
      <c r="D672" s="11" t="n"/>
      <c r="E672" s="86" t="n"/>
      <c r="F672" s="85" t="n"/>
      <c r="G672" s="85" t="n"/>
    </row>
    <row r="673" ht="13.5" customHeight="1" s="453">
      <c r="D673" s="11" t="n"/>
      <c r="E673" s="86" t="n"/>
      <c r="F673" s="85" t="n"/>
      <c r="G673" s="85" t="n"/>
    </row>
    <row r="674" ht="13.5" customHeight="1" s="453">
      <c r="D674" s="11" t="n"/>
      <c r="E674" s="86" t="n"/>
      <c r="F674" s="85" t="n"/>
      <c r="G674" s="85" t="n"/>
    </row>
    <row r="675" ht="13.5" customHeight="1" s="453">
      <c r="D675" s="11" t="n"/>
      <c r="E675" s="86" t="n"/>
      <c r="F675" s="85" t="n"/>
      <c r="G675" s="85" t="n"/>
    </row>
    <row r="676" ht="13.5" customHeight="1" s="453">
      <c r="D676" s="11" t="n"/>
      <c r="E676" s="86" t="n"/>
      <c r="F676" s="85" t="n"/>
      <c r="G676" s="85" t="n"/>
    </row>
    <row r="677" ht="13.5" customHeight="1" s="453">
      <c r="D677" s="11" t="n"/>
      <c r="E677" s="86" t="n"/>
      <c r="F677" s="85" t="n"/>
      <c r="G677" s="85" t="n"/>
    </row>
    <row r="678" ht="13.5" customHeight="1" s="453">
      <c r="D678" s="11" t="n"/>
      <c r="E678" s="86" t="n"/>
      <c r="F678" s="85" t="n"/>
      <c r="G678" s="85" t="n"/>
    </row>
    <row r="679" ht="13.5" customHeight="1" s="453">
      <c r="D679" s="11" t="n"/>
      <c r="E679" s="86" t="n"/>
      <c r="F679" s="85" t="n"/>
      <c r="G679" s="85" t="n"/>
    </row>
    <row r="680" ht="13.5" customHeight="1" s="453">
      <c r="D680" s="11" t="n"/>
      <c r="E680" s="86" t="n"/>
      <c r="F680" s="85" t="n"/>
      <c r="G680" s="85" t="n"/>
    </row>
    <row r="681" ht="13.5" customHeight="1" s="453">
      <c r="D681" s="11" t="n"/>
      <c r="E681" s="86" t="n"/>
      <c r="F681" s="85" t="n"/>
      <c r="G681" s="85" t="n"/>
    </row>
    <row r="682" ht="13.5" customHeight="1" s="453">
      <c r="D682" s="11" t="n"/>
      <c r="E682" s="86" t="n"/>
      <c r="F682" s="85" t="n"/>
      <c r="G682" s="85" t="n"/>
    </row>
    <row r="683" ht="13.5" customHeight="1" s="453">
      <c r="D683" s="11" t="n"/>
      <c r="E683" s="86" t="n"/>
      <c r="F683" s="85" t="n"/>
      <c r="G683" s="85" t="n"/>
    </row>
    <row r="684" ht="13.5" customHeight="1" s="453">
      <c r="D684" s="11" t="n"/>
      <c r="E684" s="86" t="n"/>
      <c r="F684" s="85" t="n"/>
      <c r="G684" s="85" t="n"/>
    </row>
    <row r="685" ht="13.5" customHeight="1" s="453">
      <c r="D685" s="11" t="n"/>
      <c r="E685" s="86" t="n"/>
      <c r="F685" s="85" t="n"/>
      <c r="G685" s="85" t="n"/>
    </row>
    <row r="686" ht="13.5" customHeight="1" s="453">
      <c r="D686" s="11" t="n"/>
      <c r="E686" s="86" t="n"/>
      <c r="F686" s="85" t="n"/>
      <c r="G686" s="85" t="n"/>
    </row>
    <row r="687" ht="13.5" customHeight="1" s="453">
      <c r="D687" s="11" t="n"/>
      <c r="E687" s="86" t="n"/>
      <c r="F687" s="85" t="n"/>
      <c r="G687" s="85" t="n"/>
    </row>
    <row r="688" ht="13.5" customHeight="1" s="453">
      <c r="D688" s="11" t="n"/>
      <c r="E688" s="86" t="n"/>
      <c r="F688" s="85" t="n"/>
      <c r="G688" s="85" t="n"/>
    </row>
    <row r="689" ht="13.5" customHeight="1" s="453">
      <c r="D689" s="11" t="n"/>
      <c r="E689" s="86" t="n"/>
      <c r="F689" s="85" t="n"/>
      <c r="G689" s="85" t="n"/>
    </row>
    <row r="690" ht="13.5" customHeight="1" s="453">
      <c r="D690" s="11" t="n"/>
      <c r="E690" s="86" t="n"/>
      <c r="F690" s="85" t="n"/>
      <c r="G690" s="85" t="n"/>
    </row>
    <row r="691" ht="13.5" customHeight="1" s="453">
      <c r="D691" s="11" t="n"/>
      <c r="E691" s="86" t="n"/>
      <c r="F691" s="85" t="n"/>
      <c r="G691" s="85" t="n"/>
    </row>
    <row r="692" ht="13.5" customHeight="1" s="453">
      <c r="D692" s="11" t="n"/>
      <c r="E692" s="86" t="n"/>
      <c r="F692" s="85" t="n"/>
      <c r="G692" s="85" t="n"/>
    </row>
    <row r="693" ht="13.5" customHeight="1" s="453">
      <c r="D693" s="11" t="n"/>
      <c r="E693" s="86" t="n"/>
      <c r="F693" s="85" t="n"/>
      <c r="G693" s="85" t="n"/>
    </row>
    <row r="694" ht="13.5" customHeight="1" s="453">
      <c r="D694" s="11" t="n"/>
      <c r="E694" s="86" t="n"/>
      <c r="F694" s="85" t="n"/>
      <c r="G694" s="85" t="n"/>
    </row>
    <row r="695" ht="13.5" customHeight="1" s="453">
      <c r="D695" s="11" t="n"/>
      <c r="E695" s="86" t="n"/>
      <c r="F695" s="85" t="n"/>
      <c r="G695" s="85" t="n"/>
    </row>
    <row r="696" ht="13.5" customHeight="1" s="453">
      <c r="D696" s="11" t="n"/>
      <c r="E696" s="86" t="n"/>
      <c r="F696" s="85" t="n"/>
      <c r="G696" s="85" t="n"/>
    </row>
    <row r="697" ht="13.5" customHeight="1" s="453">
      <c r="D697" s="11" t="n"/>
      <c r="E697" s="86" t="n"/>
      <c r="F697" s="85" t="n"/>
      <c r="G697" s="85" t="n"/>
    </row>
    <row r="698" ht="13.5" customHeight="1" s="453">
      <c r="D698" s="11" t="n"/>
      <c r="E698" s="86" t="n"/>
      <c r="F698" s="85" t="n"/>
      <c r="G698" s="85" t="n"/>
    </row>
    <row r="699" ht="13.5" customHeight="1" s="453">
      <c r="D699" s="11" t="n"/>
      <c r="E699" s="86" t="n"/>
      <c r="F699" s="85" t="n"/>
      <c r="G699" s="85" t="n"/>
    </row>
    <row r="700" ht="13.5" customHeight="1" s="453">
      <c r="D700" s="11" t="n"/>
      <c r="E700" s="86" t="n"/>
      <c r="F700" s="85" t="n"/>
      <c r="G700" s="85" t="n"/>
    </row>
    <row r="701" ht="13.5" customHeight="1" s="453">
      <c r="D701" s="11" t="n"/>
      <c r="E701" s="86" t="n"/>
      <c r="F701" s="85" t="n"/>
      <c r="G701" s="85" t="n"/>
    </row>
    <row r="702" ht="13.5" customHeight="1" s="453">
      <c r="D702" s="11" t="n"/>
      <c r="E702" s="86" t="n"/>
      <c r="F702" s="85" t="n"/>
      <c r="G702" s="85" t="n"/>
    </row>
    <row r="703" ht="13.5" customHeight="1" s="453">
      <c r="D703" s="11" t="n"/>
      <c r="E703" s="86" t="n"/>
      <c r="F703" s="85" t="n"/>
      <c r="G703" s="85" t="n"/>
    </row>
    <row r="704" ht="13.5" customHeight="1" s="453">
      <c r="D704" s="11" t="n"/>
      <c r="E704" s="86" t="n"/>
      <c r="F704" s="85" t="n"/>
      <c r="G704" s="85" t="n"/>
    </row>
    <row r="705" ht="13.5" customHeight="1" s="453">
      <c r="D705" s="11" t="n"/>
      <c r="E705" s="86" t="n"/>
      <c r="F705" s="85" t="n"/>
      <c r="G705" s="85" t="n"/>
    </row>
    <row r="706" ht="13.5" customHeight="1" s="453">
      <c r="D706" s="11" t="n"/>
      <c r="E706" s="86" t="n"/>
      <c r="F706" s="85" t="n"/>
      <c r="G706" s="85" t="n"/>
    </row>
    <row r="707" ht="13.5" customHeight="1" s="453">
      <c r="D707" s="11" t="n"/>
      <c r="E707" s="86" t="n"/>
      <c r="F707" s="85" t="n"/>
      <c r="G707" s="85" t="n"/>
    </row>
    <row r="708" ht="13.5" customHeight="1" s="453">
      <c r="D708" s="11" t="n"/>
      <c r="E708" s="86" t="n"/>
      <c r="F708" s="85" t="n"/>
      <c r="G708" s="85" t="n"/>
    </row>
    <row r="709" ht="13.5" customHeight="1" s="453">
      <c r="D709" s="11" t="n"/>
      <c r="E709" s="86" t="n"/>
      <c r="F709" s="85" t="n"/>
      <c r="G709" s="85" t="n"/>
    </row>
    <row r="710" ht="13.5" customHeight="1" s="453">
      <c r="D710" s="11" t="n"/>
      <c r="E710" s="86" t="n"/>
      <c r="F710" s="85" t="n"/>
      <c r="G710" s="85" t="n"/>
    </row>
    <row r="711" ht="13.5" customHeight="1" s="453">
      <c r="D711" s="11" t="n"/>
      <c r="E711" s="86" t="n"/>
      <c r="F711" s="85" t="n"/>
      <c r="G711" s="85" t="n"/>
    </row>
    <row r="712" ht="13.5" customHeight="1" s="453">
      <c r="D712" s="11" t="n"/>
      <c r="E712" s="86" t="n"/>
      <c r="F712" s="85" t="n"/>
      <c r="G712" s="85" t="n"/>
    </row>
    <row r="713" ht="13.5" customHeight="1" s="453">
      <c r="D713" s="11" t="n"/>
      <c r="E713" s="86" t="n"/>
      <c r="F713" s="85" t="n"/>
      <c r="G713" s="85" t="n"/>
    </row>
    <row r="714" ht="13.5" customHeight="1" s="453">
      <c r="D714" s="11" t="n"/>
      <c r="E714" s="86" t="n"/>
      <c r="F714" s="85" t="n"/>
      <c r="G714" s="85" t="n"/>
    </row>
    <row r="715" ht="13.5" customHeight="1" s="453">
      <c r="D715" s="11" t="n"/>
      <c r="E715" s="86" t="n"/>
      <c r="F715" s="85" t="n"/>
      <c r="G715" s="85" t="n"/>
    </row>
    <row r="716" ht="13.5" customHeight="1" s="453">
      <c r="D716" s="11" t="n"/>
      <c r="E716" s="86" t="n"/>
      <c r="F716" s="85" t="n"/>
      <c r="G716" s="85" t="n"/>
    </row>
    <row r="717" ht="13.5" customHeight="1" s="453">
      <c r="D717" s="11" t="n"/>
      <c r="E717" s="86" t="n"/>
      <c r="F717" s="85" t="n"/>
      <c r="G717" s="85" t="n"/>
    </row>
    <row r="718" ht="13.5" customHeight="1" s="453">
      <c r="D718" s="11" t="n"/>
      <c r="E718" s="86" t="n"/>
      <c r="F718" s="85" t="n"/>
      <c r="G718" s="85" t="n"/>
    </row>
    <row r="719" ht="13.5" customHeight="1" s="453">
      <c r="D719" s="11" t="n"/>
      <c r="E719" s="86" t="n"/>
      <c r="F719" s="85" t="n"/>
      <c r="G719" s="85" t="n"/>
    </row>
    <row r="720" ht="13.5" customHeight="1" s="453">
      <c r="D720" s="11" t="n"/>
      <c r="E720" s="86" t="n"/>
      <c r="F720" s="85" t="n"/>
      <c r="G720" s="85" t="n"/>
    </row>
    <row r="721" ht="13.5" customHeight="1" s="453">
      <c r="D721" s="11" t="n"/>
      <c r="E721" s="86" t="n"/>
      <c r="F721" s="85" t="n"/>
      <c r="G721" s="85" t="n"/>
    </row>
    <row r="722" ht="13.5" customHeight="1" s="453">
      <c r="D722" s="11" t="n"/>
      <c r="E722" s="86" t="n"/>
      <c r="F722" s="85" t="n"/>
      <c r="G722" s="85" t="n"/>
    </row>
    <row r="723" ht="13.5" customHeight="1" s="453">
      <c r="D723" s="11" t="n"/>
      <c r="E723" s="86" t="n"/>
      <c r="F723" s="85" t="n"/>
      <c r="G723" s="85" t="n"/>
    </row>
    <row r="724" ht="13.5" customHeight="1" s="453">
      <c r="D724" s="11" t="n"/>
      <c r="E724" s="86" t="n"/>
      <c r="F724" s="85" t="n"/>
      <c r="G724" s="85" t="n"/>
    </row>
    <row r="725" ht="13.5" customHeight="1" s="453">
      <c r="D725" s="11" t="n"/>
      <c r="E725" s="86" t="n"/>
      <c r="F725" s="85" t="n"/>
      <c r="G725" s="85" t="n"/>
    </row>
    <row r="726" ht="13.5" customHeight="1" s="453">
      <c r="D726" s="11" t="n"/>
      <c r="E726" s="86" t="n"/>
      <c r="F726" s="85" t="n"/>
      <c r="G726" s="85" t="n"/>
    </row>
    <row r="727" ht="13.5" customHeight="1" s="453">
      <c r="D727" s="11" t="n"/>
      <c r="E727" s="86" t="n"/>
      <c r="F727" s="85" t="n"/>
      <c r="G727" s="85" t="n"/>
    </row>
    <row r="728" ht="13.5" customHeight="1" s="453">
      <c r="D728" s="11" t="n"/>
      <c r="E728" s="86" t="n"/>
      <c r="F728" s="85" t="n"/>
      <c r="G728" s="85" t="n"/>
    </row>
    <row r="729" ht="13.5" customHeight="1" s="453">
      <c r="D729" s="11" t="n"/>
      <c r="E729" s="86" t="n"/>
      <c r="F729" s="85" t="n"/>
      <c r="G729" s="85" t="n"/>
    </row>
    <row r="730" ht="13.5" customHeight="1" s="453">
      <c r="D730" s="11" t="n"/>
      <c r="E730" s="86" t="n"/>
      <c r="F730" s="85" t="n"/>
      <c r="G730" s="85" t="n"/>
    </row>
    <row r="731" ht="13.5" customHeight="1" s="453">
      <c r="D731" s="11" t="n"/>
      <c r="E731" s="86" t="n"/>
      <c r="F731" s="85" t="n"/>
      <c r="G731" s="85" t="n"/>
    </row>
    <row r="732" ht="13.5" customHeight="1" s="453">
      <c r="D732" s="11" t="n"/>
      <c r="E732" s="86" t="n"/>
      <c r="F732" s="85" t="n"/>
      <c r="G732" s="85" t="n"/>
    </row>
    <row r="733" ht="13.5" customHeight="1" s="453">
      <c r="D733" s="11" t="n"/>
      <c r="E733" s="86" t="n"/>
      <c r="F733" s="85" t="n"/>
      <c r="G733" s="85" t="n"/>
    </row>
    <row r="734" ht="13.5" customHeight="1" s="453">
      <c r="D734" s="11" t="n"/>
      <c r="E734" s="86" t="n"/>
      <c r="F734" s="85" t="n"/>
      <c r="G734" s="85" t="n"/>
    </row>
    <row r="735" ht="13.5" customHeight="1" s="453">
      <c r="D735" s="11" t="n"/>
      <c r="E735" s="86" t="n"/>
      <c r="F735" s="85" t="n"/>
      <c r="G735" s="85" t="n"/>
    </row>
    <row r="736" ht="13.5" customHeight="1" s="453">
      <c r="D736" s="11" t="n"/>
      <c r="E736" s="86" t="n"/>
      <c r="F736" s="85" t="n"/>
      <c r="G736" s="85" t="n"/>
    </row>
    <row r="737" ht="13.5" customHeight="1" s="453">
      <c r="D737" s="11" t="n"/>
      <c r="E737" s="86" t="n"/>
      <c r="F737" s="85" t="n"/>
      <c r="G737" s="85" t="n"/>
    </row>
    <row r="738" ht="13.5" customHeight="1" s="453">
      <c r="D738" s="11" t="n"/>
      <c r="E738" s="86" t="n"/>
      <c r="F738" s="85" t="n"/>
      <c r="G738" s="85" t="n"/>
    </row>
    <row r="739" ht="13.5" customHeight="1" s="453">
      <c r="D739" s="11" t="n"/>
      <c r="E739" s="86" t="n"/>
      <c r="F739" s="85" t="n"/>
      <c r="G739" s="85" t="n"/>
    </row>
    <row r="740" ht="13.5" customHeight="1" s="453">
      <c r="D740" s="11" t="n"/>
      <c r="E740" s="86" t="n"/>
      <c r="F740" s="85" t="n"/>
      <c r="G740" s="85" t="n"/>
    </row>
    <row r="741" ht="13.5" customHeight="1" s="453">
      <c r="D741" s="11" t="n"/>
      <c r="E741" s="86" t="n"/>
      <c r="F741" s="85" t="n"/>
      <c r="G741" s="85" t="n"/>
    </row>
    <row r="742" ht="13.5" customHeight="1" s="453">
      <c r="D742" s="11" t="n"/>
      <c r="E742" s="86" t="n"/>
      <c r="F742" s="85" t="n"/>
      <c r="G742" s="85" t="n"/>
    </row>
    <row r="743" ht="13.5" customHeight="1" s="453">
      <c r="D743" s="11" t="n"/>
      <c r="E743" s="86" t="n"/>
      <c r="F743" s="85" t="n"/>
      <c r="G743" s="85" t="n"/>
    </row>
    <row r="744" ht="13.5" customHeight="1" s="453">
      <c r="D744" s="11" t="n"/>
      <c r="E744" s="86" t="n"/>
      <c r="F744" s="85" t="n"/>
      <c r="G744" s="85" t="n"/>
    </row>
    <row r="745" ht="13.5" customHeight="1" s="453">
      <c r="D745" s="11" t="n"/>
      <c r="E745" s="86" t="n"/>
      <c r="F745" s="85" t="n"/>
      <c r="G745" s="85" t="n"/>
    </row>
    <row r="746" ht="13.5" customHeight="1" s="453">
      <c r="D746" s="11" t="n"/>
      <c r="E746" s="86" t="n"/>
      <c r="F746" s="85" t="n"/>
      <c r="G746" s="85" t="n"/>
    </row>
    <row r="747" ht="13.5" customHeight="1" s="453">
      <c r="D747" s="11" t="n"/>
      <c r="E747" s="86" t="n"/>
      <c r="F747" s="85" t="n"/>
      <c r="G747" s="85" t="n"/>
    </row>
    <row r="748" ht="13.5" customHeight="1" s="453">
      <c r="D748" s="11" t="n"/>
      <c r="E748" s="86" t="n"/>
      <c r="F748" s="85" t="n"/>
      <c r="G748" s="85" t="n"/>
    </row>
    <row r="749" ht="13.5" customHeight="1" s="453">
      <c r="D749" s="11" t="n"/>
      <c r="E749" s="86" t="n"/>
      <c r="F749" s="85" t="n"/>
      <c r="G749" s="85" t="n"/>
    </row>
    <row r="750" ht="13.5" customHeight="1" s="453">
      <c r="D750" s="11" t="n"/>
      <c r="E750" s="86" t="n"/>
      <c r="F750" s="85" t="n"/>
      <c r="G750" s="85" t="n"/>
    </row>
    <row r="751" ht="13.5" customHeight="1" s="453">
      <c r="D751" s="11" t="n"/>
      <c r="E751" s="86" t="n"/>
      <c r="F751" s="85" t="n"/>
      <c r="G751" s="85" t="n"/>
    </row>
    <row r="752" ht="13.5" customHeight="1" s="453">
      <c r="D752" s="11" t="n"/>
      <c r="E752" s="86" t="n"/>
      <c r="F752" s="85" t="n"/>
      <c r="G752" s="85" t="n"/>
    </row>
    <row r="753" ht="13.5" customHeight="1" s="453">
      <c r="D753" s="11" t="n"/>
      <c r="E753" s="86" t="n"/>
      <c r="F753" s="85" t="n"/>
      <c r="G753" s="85" t="n"/>
    </row>
    <row r="754" ht="13.5" customHeight="1" s="453">
      <c r="D754" s="11" t="n"/>
      <c r="E754" s="86" t="n"/>
      <c r="F754" s="85" t="n"/>
      <c r="G754" s="85" t="n"/>
    </row>
    <row r="755" ht="13.5" customHeight="1" s="453">
      <c r="D755" s="11" t="n"/>
      <c r="E755" s="86" t="n"/>
      <c r="F755" s="85" t="n"/>
      <c r="G755" s="85" t="n"/>
    </row>
    <row r="756" ht="13.5" customHeight="1" s="453">
      <c r="D756" s="11" t="n"/>
      <c r="E756" s="86" t="n"/>
      <c r="F756" s="85" t="n"/>
      <c r="G756" s="85" t="n"/>
    </row>
    <row r="757" ht="13.5" customHeight="1" s="453">
      <c r="D757" s="11" t="n"/>
      <c r="E757" s="86" t="n"/>
      <c r="F757" s="85" t="n"/>
      <c r="G757" s="85" t="n"/>
    </row>
    <row r="758" ht="13.5" customHeight="1" s="453">
      <c r="D758" s="11" t="n"/>
      <c r="E758" s="86" t="n"/>
      <c r="F758" s="85" t="n"/>
      <c r="G758" s="85" t="n"/>
    </row>
    <row r="759" ht="13.5" customHeight="1" s="453">
      <c r="D759" s="11" t="n"/>
      <c r="E759" s="86" t="n"/>
      <c r="F759" s="85" t="n"/>
      <c r="G759" s="85" t="n"/>
    </row>
    <row r="760" ht="13.5" customHeight="1" s="453">
      <c r="D760" s="11" t="n"/>
      <c r="E760" s="86" t="n"/>
      <c r="F760" s="85" t="n"/>
      <c r="G760" s="85" t="n"/>
    </row>
    <row r="761" ht="13.5" customHeight="1" s="453">
      <c r="D761" s="11" t="n"/>
      <c r="E761" s="86" t="n"/>
      <c r="F761" s="85" t="n"/>
      <c r="G761" s="85" t="n"/>
    </row>
    <row r="762" ht="13.5" customHeight="1" s="453">
      <c r="D762" s="11" t="n"/>
      <c r="E762" s="86" t="n"/>
      <c r="F762" s="85" t="n"/>
      <c r="G762" s="85" t="n"/>
    </row>
    <row r="763" ht="13.5" customHeight="1" s="453">
      <c r="D763" s="11" t="n"/>
      <c r="E763" s="86" t="n"/>
      <c r="F763" s="85" t="n"/>
      <c r="G763" s="85" t="n"/>
    </row>
    <row r="764" ht="13.5" customHeight="1" s="453">
      <c r="D764" s="11" t="n"/>
      <c r="E764" s="86" t="n"/>
      <c r="F764" s="85" t="n"/>
      <c r="G764" s="85" t="n"/>
    </row>
    <row r="765" ht="13.5" customHeight="1" s="453">
      <c r="D765" s="11" t="n"/>
      <c r="E765" s="86" t="n"/>
      <c r="F765" s="85" t="n"/>
      <c r="G765" s="85" t="n"/>
    </row>
    <row r="766" ht="13.5" customHeight="1" s="453">
      <c r="D766" s="11" t="n"/>
      <c r="E766" s="86" t="n"/>
      <c r="F766" s="85" t="n"/>
      <c r="G766" s="85" t="n"/>
    </row>
    <row r="767" ht="13.5" customHeight="1" s="453">
      <c r="D767" s="11" t="n"/>
      <c r="E767" s="86" t="n"/>
      <c r="F767" s="85" t="n"/>
      <c r="G767" s="85" t="n"/>
    </row>
    <row r="768" ht="13.5" customHeight="1" s="453">
      <c r="D768" s="11" t="n"/>
      <c r="E768" s="86" t="n"/>
      <c r="F768" s="85" t="n"/>
      <c r="G768" s="85" t="n"/>
    </row>
    <row r="769" ht="13.5" customHeight="1" s="453">
      <c r="D769" s="11" t="n"/>
      <c r="E769" s="86" t="n"/>
      <c r="F769" s="85" t="n"/>
      <c r="G769" s="85" t="n"/>
    </row>
    <row r="770" ht="13.5" customHeight="1" s="453">
      <c r="D770" s="11" t="n"/>
      <c r="E770" s="86" t="n"/>
      <c r="F770" s="85" t="n"/>
      <c r="G770" s="85" t="n"/>
    </row>
    <row r="771" ht="13.5" customHeight="1" s="453">
      <c r="D771" s="11" t="n"/>
      <c r="E771" s="86" t="n"/>
      <c r="F771" s="85" t="n"/>
      <c r="G771" s="85" t="n"/>
    </row>
    <row r="772" ht="13.5" customHeight="1" s="453">
      <c r="D772" s="11" t="n"/>
      <c r="E772" s="86" t="n"/>
      <c r="F772" s="85" t="n"/>
      <c r="G772" s="85" t="n"/>
    </row>
    <row r="773" ht="13.5" customHeight="1" s="453">
      <c r="D773" s="11" t="n"/>
      <c r="E773" s="86" t="n"/>
      <c r="F773" s="85" t="n"/>
      <c r="G773" s="85" t="n"/>
    </row>
    <row r="774" ht="13.5" customHeight="1" s="453">
      <c r="D774" s="11" t="n"/>
      <c r="E774" s="86" t="n"/>
      <c r="F774" s="85" t="n"/>
      <c r="G774" s="85" t="n"/>
    </row>
    <row r="775" ht="13.5" customHeight="1" s="453">
      <c r="D775" s="11" t="n"/>
      <c r="E775" s="86" t="n"/>
      <c r="F775" s="85" t="n"/>
      <c r="G775" s="85" t="n"/>
    </row>
    <row r="776" ht="13.5" customHeight="1" s="453">
      <c r="D776" s="11" t="n"/>
      <c r="E776" s="86" t="n"/>
      <c r="F776" s="85" t="n"/>
      <c r="G776" s="85" t="n"/>
    </row>
    <row r="777" ht="13.5" customHeight="1" s="453">
      <c r="D777" s="11" t="n"/>
      <c r="E777" s="86" t="n"/>
      <c r="F777" s="85" t="n"/>
      <c r="G777" s="85" t="n"/>
    </row>
    <row r="778" ht="13.5" customHeight="1" s="453">
      <c r="D778" s="11" t="n"/>
      <c r="E778" s="86" t="n"/>
      <c r="F778" s="85" t="n"/>
      <c r="G778" s="85" t="n"/>
    </row>
    <row r="779" ht="13.5" customHeight="1" s="453">
      <c r="D779" s="11" t="n"/>
      <c r="E779" s="86" t="n"/>
      <c r="F779" s="85" t="n"/>
      <c r="G779" s="85" t="n"/>
    </row>
    <row r="780" ht="13.5" customHeight="1" s="453">
      <c r="D780" s="11" t="n"/>
      <c r="E780" s="86" t="n"/>
      <c r="F780" s="85" t="n"/>
      <c r="G780" s="85" t="n"/>
    </row>
    <row r="781" ht="13.5" customHeight="1" s="453">
      <c r="D781" s="11" t="n"/>
      <c r="E781" s="86" t="n"/>
      <c r="F781" s="85" t="n"/>
      <c r="G781" s="85" t="n"/>
    </row>
    <row r="782" ht="13.5" customHeight="1" s="453">
      <c r="D782" s="11" t="n"/>
      <c r="E782" s="86" t="n"/>
      <c r="F782" s="85" t="n"/>
      <c r="G782" s="85" t="n"/>
    </row>
    <row r="783" ht="13.5" customHeight="1" s="453">
      <c r="D783" s="11" t="n"/>
      <c r="E783" s="86" t="n"/>
      <c r="F783" s="85" t="n"/>
      <c r="G783" s="85" t="n"/>
    </row>
    <row r="784" ht="13.5" customHeight="1" s="453">
      <c r="D784" s="11" t="n"/>
      <c r="E784" s="86" t="n"/>
      <c r="F784" s="85" t="n"/>
      <c r="G784" s="85" t="n"/>
    </row>
    <row r="785" ht="13.5" customHeight="1" s="453">
      <c r="D785" s="11" t="n"/>
      <c r="E785" s="86" t="n"/>
      <c r="F785" s="85" t="n"/>
      <c r="G785" s="85" t="n"/>
    </row>
    <row r="786" ht="13.5" customHeight="1" s="453">
      <c r="D786" s="11" t="n"/>
      <c r="E786" s="86" t="n"/>
      <c r="F786" s="85" t="n"/>
      <c r="G786" s="85" t="n"/>
    </row>
    <row r="787" ht="13.5" customHeight="1" s="453">
      <c r="D787" s="11" t="n"/>
      <c r="E787" s="86" t="n"/>
      <c r="F787" s="85" t="n"/>
      <c r="G787" s="85" t="n"/>
    </row>
    <row r="788" ht="13.5" customHeight="1" s="453">
      <c r="D788" s="11" t="n"/>
      <c r="E788" s="86" t="n"/>
      <c r="F788" s="85" t="n"/>
      <c r="G788" s="85" t="n"/>
    </row>
    <row r="789" ht="13.5" customHeight="1" s="453">
      <c r="D789" s="11" t="n"/>
      <c r="E789" s="86" t="n"/>
      <c r="F789" s="85" t="n"/>
      <c r="G789" s="85" t="n"/>
    </row>
    <row r="790" ht="13.5" customHeight="1" s="453">
      <c r="D790" s="11" t="n"/>
      <c r="E790" s="86" t="n"/>
      <c r="F790" s="85" t="n"/>
      <c r="G790" s="85" t="n"/>
    </row>
    <row r="791" ht="13.5" customHeight="1" s="453">
      <c r="D791" s="11" t="n"/>
      <c r="E791" s="86" t="n"/>
      <c r="F791" s="85" t="n"/>
      <c r="G791" s="85" t="n"/>
    </row>
    <row r="792" ht="13.5" customHeight="1" s="453">
      <c r="D792" s="11" t="n"/>
      <c r="E792" s="86" t="n"/>
      <c r="F792" s="85" t="n"/>
      <c r="G792" s="85" t="n"/>
    </row>
    <row r="793" ht="13.5" customHeight="1" s="453">
      <c r="D793" s="11" t="n"/>
      <c r="E793" s="86" t="n"/>
      <c r="F793" s="85" t="n"/>
      <c r="G793" s="85" t="n"/>
    </row>
    <row r="794" ht="13.5" customHeight="1" s="453">
      <c r="D794" s="11" t="n"/>
      <c r="E794" s="86" t="n"/>
      <c r="F794" s="85" t="n"/>
      <c r="G794" s="85" t="n"/>
    </row>
    <row r="795" ht="13.5" customHeight="1" s="453">
      <c r="D795" s="11" t="n"/>
      <c r="E795" s="86" t="n"/>
      <c r="F795" s="85" t="n"/>
      <c r="G795" s="85" t="n"/>
    </row>
    <row r="796" ht="13.5" customHeight="1" s="453">
      <c r="D796" s="11" t="n"/>
      <c r="E796" s="86" t="n"/>
      <c r="F796" s="85" t="n"/>
      <c r="G796" s="85" t="n"/>
    </row>
    <row r="797" ht="13.5" customHeight="1" s="453">
      <c r="D797" s="11" t="n"/>
      <c r="E797" s="86" t="n"/>
      <c r="F797" s="85" t="n"/>
      <c r="G797" s="85" t="n"/>
    </row>
    <row r="798" ht="13.5" customHeight="1" s="453">
      <c r="D798" s="11" t="n"/>
      <c r="E798" s="86" t="n"/>
      <c r="F798" s="85" t="n"/>
      <c r="G798" s="85" t="n"/>
    </row>
    <row r="799" ht="13.5" customHeight="1" s="453">
      <c r="D799" s="11" t="n"/>
      <c r="E799" s="86" t="n"/>
      <c r="F799" s="85" t="n"/>
      <c r="G799" s="85" t="n"/>
    </row>
    <row r="800" ht="13.5" customHeight="1" s="453">
      <c r="D800" s="11" t="n"/>
      <c r="E800" s="86" t="n"/>
      <c r="F800" s="85" t="n"/>
      <c r="G800" s="85" t="n"/>
    </row>
    <row r="801" ht="13.5" customHeight="1" s="453">
      <c r="D801" s="11" t="n"/>
      <c r="E801" s="86" t="n"/>
      <c r="F801" s="85" t="n"/>
      <c r="G801" s="85" t="n"/>
    </row>
    <row r="802" ht="13.5" customHeight="1" s="453">
      <c r="D802" s="11" t="n"/>
      <c r="E802" s="86" t="n"/>
      <c r="F802" s="85" t="n"/>
      <c r="G802" s="85" t="n"/>
    </row>
    <row r="803" ht="13.5" customHeight="1" s="453">
      <c r="D803" s="11" t="n"/>
      <c r="E803" s="86" t="n"/>
      <c r="F803" s="85" t="n"/>
      <c r="G803" s="85" t="n"/>
    </row>
    <row r="804" ht="13.5" customHeight="1" s="453">
      <c r="D804" s="11" t="n"/>
      <c r="E804" s="86" t="n"/>
      <c r="F804" s="85" t="n"/>
      <c r="G804" s="85" t="n"/>
    </row>
    <row r="805" ht="13.5" customHeight="1" s="453">
      <c r="D805" s="11" t="n"/>
      <c r="E805" s="86" t="n"/>
      <c r="F805" s="85" t="n"/>
      <c r="G805" s="85" t="n"/>
    </row>
    <row r="806" ht="13.5" customHeight="1" s="453">
      <c r="D806" s="11" t="n"/>
      <c r="E806" s="86" t="n"/>
      <c r="F806" s="85" t="n"/>
      <c r="G806" s="85" t="n"/>
    </row>
    <row r="807" ht="13.5" customHeight="1" s="453">
      <c r="D807" s="11" t="n"/>
      <c r="E807" s="86" t="n"/>
      <c r="F807" s="85" t="n"/>
      <c r="G807" s="85" t="n"/>
    </row>
    <row r="808" ht="13.5" customHeight="1" s="453">
      <c r="D808" s="11" t="n"/>
      <c r="E808" s="86" t="n"/>
      <c r="F808" s="85" t="n"/>
      <c r="G808" s="85" t="n"/>
    </row>
    <row r="809" ht="13.5" customHeight="1" s="453">
      <c r="D809" s="11" t="n"/>
      <c r="E809" s="86" t="n"/>
      <c r="F809" s="85" t="n"/>
      <c r="G809" s="85" t="n"/>
    </row>
    <row r="810" ht="13.5" customHeight="1" s="453">
      <c r="D810" s="11" t="n"/>
      <c r="E810" s="86" t="n"/>
      <c r="F810" s="85" t="n"/>
      <c r="G810" s="85" t="n"/>
    </row>
    <row r="811" ht="13.5" customHeight="1" s="453">
      <c r="D811" s="11" t="n"/>
      <c r="E811" s="86" t="n"/>
      <c r="F811" s="85" t="n"/>
      <c r="G811" s="85" t="n"/>
    </row>
    <row r="812" ht="13.5" customHeight="1" s="453">
      <c r="D812" s="11" t="n"/>
      <c r="E812" s="86" t="n"/>
      <c r="F812" s="85" t="n"/>
      <c r="G812" s="85" t="n"/>
    </row>
    <row r="813" ht="13.5" customHeight="1" s="453">
      <c r="D813" s="11" t="n"/>
      <c r="E813" s="86" t="n"/>
      <c r="F813" s="85" t="n"/>
      <c r="G813" s="85" t="n"/>
    </row>
    <row r="814" ht="13.5" customHeight="1" s="453">
      <c r="D814" s="11" t="n"/>
      <c r="E814" s="86" t="n"/>
      <c r="F814" s="85" t="n"/>
      <c r="G814" s="85" t="n"/>
    </row>
    <row r="815" ht="13.5" customHeight="1" s="453">
      <c r="D815" s="11" t="n"/>
      <c r="E815" s="86" t="n"/>
      <c r="F815" s="85" t="n"/>
      <c r="G815" s="85" t="n"/>
    </row>
    <row r="816" ht="13.5" customHeight="1" s="453">
      <c r="D816" s="11" t="n"/>
      <c r="E816" s="86" t="n"/>
      <c r="F816" s="85" t="n"/>
      <c r="G816" s="85" t="n"/>
    </row>
    <row r="817" ht="13.5" customHeight="1" s="453">
      <c r="D817" s="11" t="n"/>
      <c r="E817" s="86" t="n"/>
      <c r="F817" s="85" t="n"/>
      <c r="G817" s="85" t="n"/>
    </row>
    <row r="818" ht="13.5" customHeight="1" s="453">
      <c r="D818" s="11" t="n"/>
      <c r="E818" s="86" t="n"/>
      <c r="F818" s="85" t="n"/>
      <c r="G818" s="85" t="n"/>
    </row>
    <row r="819" ht="13.5" customHeight="1" s="453">
      <c r="D819" s="11" t="n"/>
      <c r="E819" s="86" t="n"/>
      <c r="F819" s="85" t="n"/>
      <c r="G819" s="85" t="n"/>
    </row>
    <row r="820" ht="13.5" customHeight="1" s="453">
      <c r="D820" s="11" t="n"/>
      <c r="E820" s="86" t="n"/>
      <c r="F820" s="85" t="n"/>
      <c r="G820" s="85" t="n"/>
    </row>
    <row r="821" ht="13.5" customHeight="1" s="453">
      <c r="D821" s="11" t="n"/>
      <c r="E821" s="86" t="n"/>
      <c r="F821" s="85" t="n"/>
      <c r="G821" s="85" t="n"/>
    </row>
    <row r="822" ht="13.5" customHeight="1" s="453">
      <c r="D822" s="11" t="n"/>
      <c r="E822" s="86" t="n"/>
      <c r="F822" s="85" t="n"/>
      <c r="G822" s="85" t="n"/>
    </row>
    <row r="823" ht="13.5" customHeight="1" s="453">
      <c r="D823" s="11" t="n"/>
      <c r="E823" s="86" t="n"/>
      <c r="F823" s="85" t="n"/>
      <c r="G823" s="85" t="n"/>
    </row>
    <row r="824" ht="13.5" customHeight="1" s="453">
      <c r="D824" s="11" t="n"/>
      <c r="E824" s="86" t="n"/>
      <c r="F824" s="85" t="n"/>
      <c r="G824" s="85" t="n"/>
    </row>
    <row r="825" ht="13.5" customHeight="1" s="453">
      <c r="D825" s="11" t="n"/>
      <c r="E825" s="86" t="n"/>
      <c r="F825" s="85" t="n"/>
      <c r="G825" s="85" t="n"/>
    </row>
    <row r="826" ht="13.5" customHeight="1" s="453">
      <c r="D826" s="11" t="n"/>
      <c r="E826" s="86" t="n"/>
      <c r="F826" s="85" t="n"/>
      <c r="G826" s="85" t="n"/>
    </row>
    <row r="827" ht="13.5" customHeight="1" s="453">
      <c r="D827" s="11" t="n"/>
      <c r="E827" s="86" t="n"/>
      <c r="F827" s="85" t="n"/>
      <c r="G827" s="85" t="n"/>
    </row>
    <row r="828" ht="13.5" customHeight="1" s="453">
      <c r="D828" s="11" t="n"/>
      <c r="E828" s="86" t="n"/>
      <c r="F828" s="85" t="n"/>
      <c r="G828" s="85" t="n"/>
    </row>
    <row r="829" ht="13.5" customHeight="1" s="453">
      <c r="D829" s="11" t="n"/>
      <c r="E829" s="86" t="n"/>
      <c r="F829" s="85" t="n"/>
      <c r="G829" s="85" t="n"/>
    </row>
    <row r="830" ht="13.5" customHeight="1" s="453">
      <c r="D830" s="11" t="n"/>
      <c r="E830" s="86" t="n"/>
      <c r="F830" s="85" t="n"/>
      <c r="G830" s="85" t="n"/>
    </row>
    <row r="831" ht="13.5" customHeight="1" s="453">
      <c r="D831" s="11" t="n"/>
      <c r="E831" s="86" t="n"/>
      <c r="F831" s="85" t="n"/>
      <c r="G831" s="85" t="n"/>
    </row>
    <row r="832" ht="13.5" customHeight="1" s="453">
      <c r="D832" s="11" t="n"/>
      <c r="E832" s="86" t="n"/>
      <c r="F832" s="85" t="n"/>
      <c r="G832" s="85" t="n"/>
    </row>
    <row r="833" ht="13.5" customHeight="1" s="453">
      <c r="D833" s="11" t="n"/>
      <c r="E833" s="86" t="n"/>
      <c r="F833" s="85" t="n"/>
      <c r="G833" s="85" t="n"/>
    </row>
    <row r="834" ht="13.5" customHeight="1" s="453">
      <c r="D834" s="11" t="n"/>
      <c r="E834" s="86" t="n"/>
      <c r="F834" s="85" t="n"/>
      <c r="G834" s="85" t="n"/>
    </row>
    <row r="835" ht="13.5" customHeight="1" s="453">
      <c r="D835" s="11" t="n"/>
      <c r="E835" s="86" t="n"/>
      <c r="F835" s="85" t="n"/>
      <c r="G835" s="85" t="n"/>
    </row>
    <row r="836" ht="13.5" customHeight="1" s="453">
      <c r="D836" s="11" t="n"/>
      <c r="E836" s="86" t="n"/>
      <c r="F836" s="85" t="n"/>
      <c r="G836" s="85" t="n"/>
    </row>
    <row r="837" ht="13.5" customHeight="1" s="453">
      <c r="D837" s="11" t="n"/>
      <c r="E837" s="86" t="n"/>
      <c r="F837" s="85" t="n"/>
      <c r="G837" s="85" t="n"/>
    </row>
    <row r="838" ht="13.5" customHeight="1" s="453">
      <c r="D838" s="11" t="n"/>
      <c r="E838" s="86" t="n"/>
      <c r="F838" s="85" t="n"/>
      <c r="G838" s="85" t="n"/>
    </row>
    <row r="839" ht="13.5" customHeight="1" s="453">
      <c r="D839" s="11" t="n"/>
      <c r="E839" s="86" t="n"/>
      <c r="F839" s="85" t="n"/>
      <c r="G839" s="85" t="n"/>
    </row>
    <row r="840" ht="13.5" customHeight="1" s="453">
      <c r="D840" s="11" t="n"/>
      <c r="E840" s="86" t="n"/>
      <c r="F840" s="85" t="n"/>
      <c r="G840" s="85" t="n"/>
    </row>
    <row r="841" ht="13.5" customHeight="1" s="453">
      <c r="D841" s="11" t="n"/>
      <c r="E841" s="86" t="n"/>
      <c r="F841" s="85" t="n"/>
      <c r="G841" s="85" t="n"/>
    </row>
    <row r="842" ht="13.5" customHeight="1" s="453">
      <c r="D842" s="11" t="n"/>
      <c r="E842" s="86" t="n"/>
      <c r="F842" s="85" t="n"/>
      <c r="G842" s="85" t="n"/>
    </row>
    <row r="843" ht="13.5" customHeight="1" s="453">
      <c r="D843" s="11" t="n"/>
      <c r="E843" s="86" t="n"/>
      <c r="F843" s="85" t="n"/>
      <c r="G843" s="85" t="n"/>
    </row>
    <row r="844" ht="13.5" customHeight="1" s="453">
      <c r="D844" s="11" t="n"/>
      <c r="E844" s="86" t="n"/>
      <c r="F844" s="85" t="n"/>
      <c r="G844" s="85" t="n"/>
    </row>
    <row r="845" ht="13.5" customHeight="1" s="453">
      <c r="D845" s="11" t="n"/>
      <c r="E845" s="86" t="n"/>
      <c r="F845" s="85" t="n"/>
      <c r="G845" s="85" t="n"/>
    </row>
    <row r="846" ht="13.5" customHeight="1" s="453">
      <c r="D846" s="11" t="n"/>
      <c r="E846" s="86" t="n"/>
      <c r="F846" s="85" t="n"/>
      <c r="G846" s="85" t="n"/>
    </row>
    <row r="847" ht="13.5" customHeight="1" s="453">
      <c r="D847" s="11" t="n"/>
      <c r="E847" s="86" t="n"/>
      <c r="F847" s="85" t="n"/>
      <c r="G847" s="85" t="n"/>
    </row>
    <row r="848" ht="13.5" customHeight="1" s="453">
      <c r="D848" s="11" t="n"/>
      <c r="E848" s="86" t="n"/>
      <c r="F848" s="85" t="n"/>
      <c r="G848" s="85" t="n"/>
    </row>
    <row r="849" ht="13.5" customHeight="1" s="453">
      <c r="D849" s="11" t="n"/>
      <c r="E849" s="86" t="n"/>
      <c r="F849" s="85" t="n"/>
      <c r="G849" s="85" t="n"/>
    </row>
    <row r="850" ht="13.5" customHeight="1" s="453">
      <c r="D850" s="11" t="n"/>
      <c r="E850" s="86" t="n"/>
      <c r="F850" s="85" t="n"/>
      <c r="G850" s="85" t="n"/>
    </row>
    <row r="851" ht="13.5" customHeight="1" s="453">
      <c r="D851" s="11" t="n"/>
      <c r="E851" s="86" t="n"/>
      <c r="F851" s="85" t="n"/>
      <c r="G851" s="85" t="n"/>
    </row>
    <row r="852" ht="13.5" customHeight="1" s="453">
      <c r="D852" s="11" t="n"/>
      <c r="E852" s="86" t="n"/>
      <c r="F852" s="85" t="n"/>
      <c r="G852" s="85" t="n"/>
    </row>
    <row r="853" ht="13.5" customHeight="1" s="453">
      <c r="D853" s="11" t="n"/>
      <c r="E853" s="86" t="n"/>
      <c r="F853" s="85" t="n"/>
      <c r="G853" s="85" t="n"/>
    </row>
    <row r="854" ht="13.5" customHeight="1" s="453">
      <c r="D854" s="11" t="n"/>
      <c r="E854" s="86" t="n"/>
      <c r="F854" s="85" t="n"/>
      <c r="G854" s="85" t="n"/>
    </row>
    <row r="855" ht="13.5" customHeight="1" s="453">
      <c r="D855" s="11" t="n"/>
      <c r="E855" s="86" t="n"/>
      <c r="F855" s="85" t="n"/>
      <c r="G855" s="85" t="n"/>
    </row>
    <row r="856" ht="13.5" customHeight="1" s="453">
      <c r="D856" s="11" t="n"/>
      <c r="E856" s="86" t="n"/>
      <c r="F856" s="85" t="n"/>
      <c r="G856" s="85" t="n"/>
    </row>
    <row r="857" ht="13.5" customHeight="1" s="453">
      <c r="D857" s="11" t="n"/>
      <c r="E857" s="86" t="n"/>
      <c r="F857" s="85" t="n"/>
      <c r="G857" s="85" t="n"/>
    </row>
    <row r="858" ht="13.5" customHeight="1" s="453">
      <c r="D858" s="11" t="n"/>
      <c r="E858" s="86" t="n"/>
      <c r="F858" s="85" t="n"/>
      <c r="G858" s="85" t="n"/>
    </row>
    <row r="859" ht="13.5" customHeight="1" s="453">
      <c r="D859" s="11" t="n"/>
      <c r="E859" s="86" t="n"/>
      <c r="F859" s="85" t="n"/>
      <c r="G859" s="85" t="n"/>
    </row>
    <row r="860" ht="13.5" customHeight="1" s="453">
      <c r="D860" s="11" t="n"/>
      <c r="E860" s="86" t="n"/>
      <c r="F860" s="85" t="n"/>
      <c r="G860" s="85" t="n"/>
    </row>
    <row r="861" ht="13.5" customHeight="1" s="453">
      <c r="D861" s="11" t="n"/>
      <c r="E861" s="86" t="n"/>
      <c r="F861" s="85" t="n"/>
      <c r="G861" s="85" t="n"/>
    </row>
    <row r="862" ht="13.5" customHeight="1" s="453">
      <c r="D862" s="11" t="n"/>
      <c r="E862" s="86" t="n"/>
      <c r="F862" s="85" t="n"/>
      <c r="G862" s="85" t="n"/>
    </row>
    <row r="863" ht="13.5" customHeight="1" s="453">
      <c r="D863" s="11" t="n"/>
      <c r="E863" s="86" t="n"/>
      <c r="F863" s="85" t="n"/>
      <c r="G863" s="85" t="n"/>
    </row>
    <row r="864" ht="13.5" customHeight="1" s="453">
      <c r="D864" s="11" t="n"/>
      <c r="E864" s="86" t="n"/>
      <c r="F864" s="85" t="n"/>
      <c r="G864" s="85" t="n"/>
    </row>
    <row r="865" ht="13.5" customHeight="1" s="453">
      <c r="D865" s="11" t="n"/>
      <c r="E865" s="86" t="n"/>
      <c r="F865" s="85" t="n"/>
      <c r="G865" s="85" t="n"/>
    </row>
    <row r="866" ht="13.5" customHeight="1" s="453">
      <c r="D866" s="11" t="n"/>
      <c r="E866" s="86" t="n"/>
      <c r="F866" s="85" t="n"/>
      <c r="G866" s="85" t="n"/>
    </row>
    <row r="867" ht="13.5" customHeight="1" s="453">
      <c r="D867" s="11" t="n"/>
      <c r="E867" s="86" t="n"/>
      <c r="F867" s="85" t="n"/>
      <c r="G867" s="85" t="n"/>
    </row>
    <row r="868" ht="13.5" customHeight="1" s="453">
      <c r="D868" s="11" t="n"/>
      <c r="E868" s="86" t="n"/>
      <c r="F868" s="85" t="n"/>
      <c r="G868" s="85" t="n"/>
    </row>
    <row r="869" ht="13.5" customHeight="1" s="453">
      <c r="D869" s="11" t="n"/>
      <c r="E869" s="86" t="n"/>
      <c r="F869" s="85" t="n"/>
      <c r="G869" s="85" t="n"/>
    </row>
    <row r="870" ht="13.5" customHeight="1" s="453">
      <c r="D870" s="11" t="n"/>
      <c r="E870" s="86" t="n"/>
      <c r="F870" s="85" t="n"/>
      <c r="G870" s="85" t="n"/>
    </row>
    <row r="871" ht="13.5" customHeight="1" s="453">
      <c r="D871" s="11" t="n"/>
      <c r="E871" s="86" t="n"/>
      <c r="F871" s="85" t="n"/>
      <c r="G871" s="85" t="n"/>
    </row>
    <row r="872" ht="13.5" customHeight="1" s="453">
      <c r="D872" s="11" t="n"/>
      <c r="E872" s="86" t="n"/>
      <c r="F872" s="85" t="n"/>
      <c r="G872" s="85" t="n"/>
    </row>
    <row r="873" ht="13.5" customHeight="1" s="453">
      <c r="D873" s="11" t="n"/>
      <c r="E873" s="86" t="n"/>
      <c r="F873" s="85" t="n"/>
      <c r="G873" s="85" t="n"/>
    </row>
    <row r="874" ht="13.5" customHeight="1" s="453">
      <c r="D874" s="11" t="n"/>
      <c r="E874" s="86" t="n"/>
      <c r="F874" s="85" t="n"/>
      <c r="G874" s="85" t="n"/>
    </row>
    <row r="875" ht="13.5" customHeight="1" s="453">
      <c r="D875" s="11" t="n"/>
      <c r="E875" s="86" t="n"/>
      <c r="F875" s="85" t="n"/>
      <c r="G875" s="85" t="n"/>
    </row>
    <row r="876" ht="13.5" customHeight="1" s="453">
      <c r="D876" s="11" t="n"/>
      <c r="E876" s="86" t="n"/>
      <c r="F876" s="85" t="n"/>
      <c r="G876" s="85" t="n"/>
    </row>
    <row r="877" ht="13.5" customHeight="1" s="453">
      <c r="D877" s="11" t="n"/>
      <c r="E877" s="86" t="n"/>
      <c r="F877" s="85" t="n"/>
      <c r="G877" s="85" t="n"/>
    </row>
    <row r="878" ht="13.5" customHeight="1" s="453">
      <c r="D878" s="11" t="n"/>
      <c r="E878" s="86" t="n"/>
      <c r="F878" s="85" t="n"/>
      <c r="G878" s="85" t="n"/>
    </row>
    <row r="879" ht="13.5" customHeight="1" s="453">
      <c r="D879" s="11" t="n"/>
      <c r="E879" s="86" t="n"/>
      <c r="F879" s="85" t="n"/>
      <c r="G879" s="85" t="n"/>
    </row>
    <row r="880" ht="13.5" customHeight="1" s="453">
      <c r="D880" s="11" t="n"/>
      <c r="E880" s="86" t="n"/>
      <c r="F880" s="85" t="n"/>
      <c r="G880" s="85" t="n"/>
    </row>
    <row r="881" ht="13.5" customHeight="1" s="453">
      <c r="D881" s="11" t="n"/>
      <c r="E881" s="86" t="n"/>
      <c r="F881" s="85" t="n"/>
      <c r="G881" s="85" t="n"/>
    </row>
    <row r="882" ht="13.5" customHeight="1" s="453">
      <c r="D882" s="11" t="n"/>
      <c r="E882" s="86" t="n"/>
      <c r="F882" s="85" t="n"/>
      <c r="G882" s="85" t="n"/>
    </row>
    <row r="883" ht="13.5" customHeight="1" s="453">
      <c r="D883" s="11" t="n"/>
      <c r="E883" s="86" t="n"/>
      <c r="F883" s="85" t="n"/>
      <c r="G883" s="85" t="n"/>
    </row>
    <row r="884" ht="13.5" customHeight="1" s="453">
      <c r="D884" s="11" t="n"/>
      <c r="E884" s="86" t="n"/>
      <c r="F884" s="85" t="n"/>
      <c r="G884" s="85" t="n"/>
    </row>
    <row r="885" ht="13.5" customHeight="1" s="453">
      <c r="D885" s="11" t="n"/>
      <c r="E885" s="86" t="n"/>
      <c r="F885" s="85" t="n"/>
      <c r="G885" s="85" t="n"/>
    </row>
    <row r="886" ht="13.5" customHeight="1" s="453">
      <c r="D886" s="11" t="n"/>
      <c r="E886" s="86" t="n"/>
      <c r="F886" s="85" t="n"/>
      <c r="G886" s="85" t="n"/>
    </row>
    <row r="887" ht="13.5" customHeight="1" s="453">
      <c r="D887" s="11" t="n"/>
      <c r="E887" s="86" t="n"/>
      <c r="F887" s="85" t="n"/>
      <c r="G887" s="85" t="n"/>
    </row>
    <row r="888" ht="13.5" customHeight="1" s="453">
      <c r="D888" s="11" t="n"/>
      <c r="E888" s="86" t="n"/>
      <c r="F888" s="85" t="n"/>
      <c r="G888" s="85" t="n"/>
    </row>
    <row r="889" ht="13.5" customHeight="1" s="453">
      <c r="D889" s="11" t="n"/>
      <c r="E889" s="86" t="n"/>
      <c r="F889" s="85" t="n"/>
      <c r="G889" s="85" t="n"/>
    </row>
    <row r="890" ht="13.5" customHeight="1" s="453">
      <c r="D890" s="11" t="n"/>
      <c r="E890" s="86" t="n"/>
      <c r="F890" s="85" t="n"/>
      <c r="G890" s="85" t="n"/>
    </row>
    <row r="891" ht="13.5" customHeight="1" s="453">
      <c r="D891" s="11" t="n"/>
      <c r="E891" s="86" t="n"/>
      <c r="F891" s="85" t="n"/>
      <c r="G891" s="85" t="n"/>
    </row>
    <row r="892" ht="13.5" customHeight="1" s="453">
      <c r="D892" s="11" t="n"/>
      <c r="E892" s="86" t="n"/>
      <c r="F892" s="85" t="n"/>
      <c r="G892" s="85" t="n"/>
    </row>
    <row r="893" ht="13.5" customHeight="1" s="453">
      <c r="D893" s="11" t="n"/>
      <c r="E893" s="86" t="n"/>
      <c r="F893" s="85" t="n"/>
      <c r="G893" s="85" t="n"/>
    </row>
    <row r="894" ht="13.5" customHeight="1" s="453">
      <c r="D894" s="11" t="n"/>
      <c r="E894" s="86" t="n"/>
      <c r="F894" s="85" t="n"/>
      <c r="G894" s="85" t="n"/>
    </row>
    <row r="895" ht="13.5" customHeight="1" s="453">
      <c r="D895" s="11" t="n"/>
      <c r="E895" s="86" t="n"/>
      <c r="F895" s="85" t="n"/>
      <c r="G895" s="85" t="n"/>
    </row>
    <row r="896" ht="13.5" customHeight="1" s="453">
      <c r="D896" s="11" t="n"/>
      <c r="E896" s="86" t="n"/>
      <c r="F896" s="85" t="n"/>
      <c r="G896" s="85" t="n"/>
    </row>
    <row r="897" ht="13.5" customHeight="1" s="453">
      <c r="D897" s="11" t="n"/>
      <c r="E897" s="86" t="n"/>
      <c r="F897" s="85" t="n"/>
      <c r="G897" s="85" t="n"/>
    </row>
    <row r="898" ht="13.5" customHeight="1" s="453">
      <c r="D898" s="11" t="n"/>
      <c r="E898" s="86" t="n"/>
      <c r="F898" s="85" t="n"/>
      <c r="G898" s="85" t="n"/>
    </row>
    <row r="899" ht="13.5" customHeight="1" s="453">
      <c r="D899" s="11" t="n"/>
      <c r="E899" s="86" t="n"/>
      <c r="F899" s="85" t="n"/>
      <c r="G899" s="85" t="n"/>
    </row>
    <row r="900" ht="13.5" customHeight="1" s="453">
      <c r="D900" s="11" t="n"/>
      <c r="E900" s="86" t="n"/>
      <c r="F900" s="85" t="n"/>
      <c r="G900" s="85" t="n"/>
    </row>
    <row r="901" ht="13.5" customHeight="1" s="453">
      <c r="D901" s="11" t="n"/>
      <c r="E901" s="86" t="n"/>
      <c r="F901" s="85" t="n"/>
      <c r="G901" s="85" t="n"/>
    </row>
    <row r="902" ht="13.5" customHeight="1" s="453">
      <c r="D902" s="11" t="n"/>
      <c r="E902" s="86" t="n"/>
      <c r="F902" s="85" t="n"/>
      <c r="G902" s="85" t="n"/>
    </row>
    <row r="903" ht="13.5" customHeight="1" s="453">
      <c r="D903" s="11" t="n"/>
      <c r="E903" s="86" t="n"/>
      <c r="F903" s="85" t="n"/>
      <c r="G903" s="85" t="n"/>
    </row>
    <row r="904" ht="13.5" customHeight="1" s="453">
      <c r="D904" s="11" t="n"/>
      <c r="E904" s="86" t="n"/>
      <c r="F904" s="85" t="n"/>
      <c r="G904" s="85" t="n"/>
    </row>
    <row r="905" ht="13.5" customHeight="1" s="453">
      <c r="D905" s="11" t="n"/>
      <c r="E905" s="86" t="n"/>
      <c r="F905" s="85" t="n"/>
      <c r="G905" s="85" t="n"/>
    </row>
    <row r="906" ht="13.5" customHeight="1" s="453">
      <c r="D906" s="11" t="n"/>
      <c r="E906" s="86" t="n"/>
      <c r="F906" s="85" t="n"/>
      <c r="G906" s="85" t="n"/>
    </row>
    <row r="907" ht="13.5" customHeight="1" s="453">
      <c r="D907" s="11" t="n"/>
      <c r="E907" s="86" t="n"/>
      <c r="F907" s="85" t="n"/>
      <c r="G907" s="85" t="n"/>
    </row>
    <row r="908" ht="13.5" customHeight="1" s="453">
      <c r="D908" s="11" t="n"/>
      <c r="E908" s="86" t="n"/>
      <c r="F908" s="85" t="n"/>
      <c r="G908" s="85" t="n"/>
    </row>
    <row r="909" ht="13.5" customHeight="1" s="453">
      <c r="D909" s="11" t="n"/>
      <c r="E909" s="86" t="n"/>
      <c r="F909" s="85" t="n"/>
      <c r="G909" s="85" t="n"/>
    </row>
    <row r="910" ht="13.5" customHeight="1" s="453">
      <c r="D910" s="11" t="n"/>
      <c r="E910" s="86" t="n"/>
      <c r="F910" s="85" t="n"/>
      <c r="G910" s="85" t="n"/>
    </row>
    <row r="911" ht="13.5" customHeight="1" s="453">
      <c r="D911" s="11" t="n"/>
      <c r="E911" s="86" t="n"/>
      <c r="F911" s="85" t="n"/>
      <c r="G911" s="85" t="n"/>
    </row>
    <row r="912" ht="13.5" customHeight="1" s="453">
      <c r="D912" s="11" t="n"/>
      <c r="E912" s="86" t="n"/>
      <c r="F912" s="85" t="n"/>
      <c r="G912" s="85" t="n"/>
    </row>
    <row r="913" ht="13.5" customHeight="1" s="453">
      <c r="D913" s="11" t="n"/>
      <c r="E913" s="86" t="n"/>
      <c r="F913" s="85" t="n"/>
      <c r="G913" s="85" t="n"/>
    </row>
    <row r="914" ht="13.5" customHeight="1" s="453">
      <c r="D914" s="11" t="n"/>
      <c r="E914" s="86" t="n"/>
      <c r="F914" s="85" t="n"/>
      <c r="G914" s="85" t="n"/>
    </row>
    <row r="915" ht="13.5" customHeight="1" s="453">
      <c r="D915" s="11" t="n"/>
      <c r="E915" s="86" t="n"/>
      <c r="F915" s="85" t="n"/>
      <c r="G915" s="85" t="n"/>
    </row>
    <row r="916" ht="13.5" customHeight="1" s="453">
      <c r="D916" s="11" t="n"/>
      <c r="E916" s="86" t="n"/>
      <c r="F916" s="85" t="n"/>
      <c r="G916" s="85" t="n"/>
    </row>
    <row r="917" ht="13.5" customHeight="1" s="453">
      <c r="D917" s="11" t="n"/>
      <c r="E917" s="86" t="n"/>
      <c r="F917" s="85" t="n"/>
      <c r="G917" s="85" t="n"/>
    </row>
    <row r="918" ht="13.5" customHeight="1" s="453">
      <c r="D918" s="11" t="n"/>
      <c r="E918" s="86" t="n"/>
      <c r="F918" s="85" t="n"/>
      <c r="G918" s="85" t="n"/>
    </row>
    <row r="919" ht="13.5" customHeight="1" s="453">
      <c r="D919" s="11" t="n"/>
      <c r="E919" s="86" t="n"/>
      <c r="F919" s="85" t="n"/>
      <c r="G919" s="85" t="n"/>
    </row>
    <row r="920" ht="13.5" customHeight="1" s="453">
      <c r="D920" s="11" t="n"/>
      <c r="E920" s="86" t="n"/>
      <c r="F920" s="85" t="n"/>
      <c r="G920" s="85" t="n"/>
    </row>
    <row r="921" ht="13.5" customHeight="1" s="453">
      <c r="D921" s="11" t="n"/>
      <c r="E921" s="86" t="n"/>
      <c r="F921" s="85" t="n"/>
      <c r="G921" s="85" t="n"/>
    </row>
    <row r="922" ht="13.5" customHeight="1" s="453">
      <c r="D922" s="11" t="n"/>
      <c r="E922" s="86" t="n"/>
      <c r="F922" s="85" t="n"/>
      <c r="G922" s="85" t="n"/>
    </row>
    <row r="923" ht="13.5" customHeight="1" s="453">
      <c r="D923" s="11" t="n"/>
      <c r="E923" s="86" t="n"/>
      <c r="F923" s="85" t="n"/>
      <c r="G923" s="85" t="n"/>
    </row>
    <row r="924" ht="13.5" customHeight="1" s="453">
      <c r="D924" s="11" t="n"/>
      <c r="E924" s="86" t="n"/>
      <c r="F924" s="85" t="n"/>
      <c r="G924" s="85" t="n"/>
    </row>
    <row r="925" ht="13.5" customHeight="1" s="453">
      <c r="D925" s="11" t="n"/>
      <c r="E925" s="86" t="n"/>
      <c r="F925" s="85" t="n"/>
      <c r="G925" s="85" t="n"/>
    </row>
    <row r="926" ht="13.5" customHeight="1" s="453">
      <c r="D926" s="11" t="n"/>
      <c r="E926" s="86" t="n"/>
      <c r="F926" s="85" t="n"/>
      <c r="G926" s="85" t="n"/>
    </row>
    <row r="927" ht="13.5" customHeight="1" s="453">
      <c r="D927" s="11" t="n"/>
      <c r="E927" s="86" t="n"/>
      <c r="F927" s="85" t="n"/>
      <c r="G927" s="85" t="n"/>
    </row>
    <row r="928" ht="13.5" customHeight="1" s="453">
      <c r="D928" s="11" t="n"/>
      <c r="E928" s="86" t="n"/>
      <c r="F928" s="85" t="n"/>
      <c r="G928" s="85" t="n"/>
    </row>
    <row r="929" ht="13.5" customHeight="1" s="453">
      <c r="D929" s="11" t="n"/>
      <c r="E929" s="86" t="n"/>
      <c r="F929" s="85" t="n"/>
      <c r="G929" s="85" t="n"/>
    </row>
    <row r="930" ht="13.5" customHeight="1" s="453">
      <c r="D930" s="11" t="n"/>
      <c r="E930" s="86" t="n"/>
      <c r="F930" s="85" t="n"/>
      <c r="G930" s="85" t="n"/>
    </row>
    <row r="931" ht="13.5" customHeight="1" s="453">
      <c r="D931" s="11" t="n"/>
      <c r="E931" s="86" t="n"/>
      <c r="F931" s="85" t="n"/>
      <c r="G931" s="85" t="n"/>
    </row>
    <row r="932" ht="13.5" customHeight="1" s="453">
      <c r="D932" s="11" t="n"/>
      <c r="E932" s="86" t="n"/>
      <c r="F932" s="85" t="n"/>
      <c r="G932" s="85" t="n"/>
    </row>
    <row r="933" ht="13.5" customHeight="1" s="453">
      <c r="D933" s="11" t="n"/>
      <c r="E933" s="86" t="n"/>
      <c r="F933" s="85" t="n"/>
      <c r="G933" s="85" t="n"/>
    </row>
    <row r="934" ht="13.5" customHeight="1" s="453">
      <c r="D934" s="11" t="n"/>
      <c r="E934" s="86" t="n"/>
      <c r="F934" s="85" t="n"/>
      <c r="G934" s="85" t="n"/>
    </row>
    <row r="935" ht="13.5" customHeight="1" s="453">
      <c r="D935" s="11" t="n"/>
      <c r="E935" s="86" t="n"/>
      <c r="F935" s="85" t="n"/>
      <c r="G935" s="85" t="n"/>
    </row>
    <row r="936" ht="13.5" customHeight="1" s="453">
      <c r="D936" s="11" t="n"/>
      <c r="E936" s="86" t="n"/>
      <c r="F936" s="85" t="n"/>
      <c r="G936" s="85" t="n"/>
    </row>
    <row r="937" ht="13.5" customHeight="1" s="453">
      <c r="D937" s="11" t="n"/>
      <c r="E937" s="86" t="n"/>
      <c r="F937" s="85" t="n"/>
      <c r="G937" s="85" t="n"/>
    </row>
    <row r="938" ht="13.5" customHeight="1" s="453">
      <c r="D938" s="11" t="n"/>
      <c r="E938" s="86" t="n"/>
      <c r="F938" s="85" t="n"/>
      <c r="G938" s="85" t="n"/>
    </row>
    <row r="939" ht="13.5" customHeight="1" s="453">
      <c r="D939" s="11" t="n"/>
      <c r="E939" s="86" t="n"/>
      <c r="F939" s="85" t="n"/>
      <c r="G939" s="85" t="n"/>
    </row>
    <row r="940" ht="13.5" customHeight="1" s="453">
      <c r="D940" s="11" t="n"/>
      <c r="E940" s="86" t="n"/>
      <c r="F940" s="85" t="n"/>
      <c r="G940" s="85" t="n"/>
    </row>
    <row r="941" ht="13.5" customHeight="1" s="453">
      <c r="D941" s="11" t="n"/>
      <c r="E941" s="86" t="n"/>
      <c r="F941" s="85" t="n"/>
      <c r="G941" s="85" t="n"/>
    </row>
    <row r="942" ht="13.5" customHeight="1" s="453">
      <c r="D942" s="11" t="n"/>
      <c r="E942" s="86" t="n"/>
      <c r="F942" s="85" t="n"/>
      <c r="G942" s="85" t="n"/>
    </row>
    <row r="943" ht="13.5" customHeight="1" s="453">
      <c r="D943" s="11" t="n"/>
      <c r="E943" s="86" t="n"/>
      <c r="F943" s="85" t="n"/>
      <c r="G943" s="85" t="n"/>
    </row>
    <row r="944" ht="13.5" customHeight="1" s="453">
      <c r="D944" s="11" t="n"/>
      <c r="E944" s="86" t="n"/>
      <c r="F944" s="85" t="n"/>
      <c r="G944" s="85" t="n"/>
    </row>
    <row r="945" ht="13.5" customHeight="1" s="453">
      <c r="D945" s="11" t="n"/>
      <c r="E945" s="86" t="n"/>
      <c r="F945" s="85" t="n"/>
      <c r="G945" s="85" t="n"/>
    </row>
    <row r="946" ht="13.5" customHeight="1" s="453">
      <c r="D946" s="11" t="n"/>
      <c r="E946" s="86" t="n"/>
      <c r="F946" s="85" t="n"/>
      <c r="G946" s="85" t="n"/>
    </row>
    <row r="947" ht="13.5" customHeight="1" s="453">
      <c r="D947" s="11" t="n"/>
      <c r="E947" s="86" t="n"/>
      <c r="F947" s="85" t="n"/>
      <c r="G947" s="85" t="n"/>
    </row>
    <row r="948" ht="13.5" customHeight="1" s="453">
      <c r="D948" s="11" t="n"/>
      <c r="E948" s="86" t="n"/>
      <c r="F948" s="85" t="n"/>
      <c r="G948" s="85" t="n"/>
    </row>
    <row r="949" ht="13.5" customHeight="1" s="453">
      <c r="D949" s="11" t="n"/>
      <c r="E949" s="86" t="n"/>
      <c r="F949" s="85" t="n"/>
      <c r="G949" s="85" t="n"/>
    </row>
    <row r="950" ht="13.5" customHeight="1" s="453">
      <c r="D950" s="11" t="n"/>
      <c r="E950" s="86" t="n"/>
      <c r="F950" s="85" t="n"/>
      <c r="G950" s="85" t="n"/>
    </row>
    <row r="951" ht="13.5" customHeight="1" s="453">
      <c r="D951" s="11" t="n"/>
      <c r="E951" s="86" t="n"/>
      <c r="F951" s="85" t="n"/>
      <c r="G951" s="85" t="n"/>
    </row>
    <row r="952" ht="13.5" customHeight="1" s="453">
      <c r="D952" s="11" t="n"/>
      <c r="E952" s="86" t="n"/>
      <c r="F952" s="85" t="n"/>
      <c r="G952" s="85" t="n"/>
    </row>
    <row r="953" ht="13.5" customHeight="1" s="453">
      <c r="D953" s="11" t="n"/>
      <c r="E953" s="86" t="n"/>
      <c r="F953" s="85" t="n"/>
      <c r="G953" s="85" t="n"/>
    </row>
    <row r="954" ht="13.5" customHeight="1" s="453">
      <c r="D954" s="11" t="n"/>
      <c r="E954" s="86" t="n"/>
      <c r="F954" s="85" t="n"/>
      <c r="G954" s="85" t="n"/>
    </row>
    <row r="955" ht="13.5" customHeight="1" s="453">
      <c r="D955" s="11" t="n"/>
      <c r="E955" s="86" t="n"/>
      <c r="F955" s="85" t="n"/>
      <c r="G955" s="85" t="n"/>
    </row>
    <row r="956" ht="13.5" customHeight="1" s="453">
      <c r="D956" s="11" t="n"/>
      <c r="E956" s="86" t="n"/>
      <c r="F956" s="85" t="n"/>
      <c r="G956" s="85" t="n"/>
    </row>
    <row r="957" ht="13.5" customHeight="1" s="453">
      <c r="D957" s="11" t="n"/>
      <c r="E957" s="86" t="n"/>
      <c r="F957" s="85" t="n"/>
      <c r="G957" s="85" t="n"/>
    </row>
    <row r="958" ht="13.5" customHeight="1" s="453">
      <c r="D958" s="11" t="n"/>
      <c r="E958" s="86" t="n"/>
      <c r="F958" s="85" t="n"/>
      <c r="G958" s="85" t="n"/>
    </row>
    <row r="959" ht="13.5" customHeight="1" s="453">
      <c r="D959" s="11" t="n"/>
      <c r="E959" s="86" t="n"/>
      <c r="F959" s="85" t="n"/>
      <c r="G959" s="85" t="n"/>
    </row>
    <row r="960" ht="13.5" customHeight="1" s="453">
      <c r="D960" s="11" t="n"/>
      <c r="E960" s="86" t="n"/>
      <c r="F960" s="85" t="n"/>
      <c r="G960" s="85" t="n"/>
    </row>
    <row r="961" ht="13.5" customHeight="1" s="453">
      <c r="D961" s="11" t="n"/>
      <c r="E961" s="86" t="n"/>
      <c r="F961" s="85" t="n"/>
      <c r="G961" s="85" t="n"/>
    </row>
    <row r="962" ht="13.5" customHeight="1" s="453">
      <c r="D962" s="11" t="n"/>
      <c r="E962" s="86" t="n"/>
      <c r="F962" s="85" t="n"/>
      <c r="G962" s="85" t="n"/>
    </row>
    <row r="963" ht="13.5" customHeight="1" s="453">
      <c r="D963" s="11" t="n"/>
      <c r="E963" s="86" t="n"/>
      <c r="F963" s="85" t="n"/>
      <c r="G963" s="85" t="n"/>
    </row>
    <row r="964" ht="13.5" customHeight="1" s="453">
      <c r="D964" s="11" t="n"/>
      <c r="E964" s="86" t="n"/>
      <c r="F964" s="85" t="n"/>
      <c r="G964" s="85" t="n"/>
    </row>
    <row r="965" ht="13.5" customHeight="1" s="453">
      <c r="D965" s="11" t="n"/>
      <c r="E965" s="86" t="n"/>
      <c r="F965" s="85" t="n"/>
      <c r="G965" s="85" t="n"/>
    </row>
    <row r="966" ht="13.5" customHeight="1" s="453">
      <c r="D966" s="11" t="n"/>
      <c r="E966" s="86" t="n"/>
      <c r="F966" s="85" t="n"/>
      <c r="G966" s="85" t="n"/>
    </row>
    <row r="967" ht="13.5" customHeight="1" s="453">
      <c r="D967" s="11" t="n"/>
      <c r="E967" s="86" t="n"/>
      <c r="F967" s="85" t="n"/>
      <c r="G967" s="85" t="n"/>
    </row>
    <row r="968" ht="13.5" customHeight="1" s="453">
      <c r="D968" s="11" t="n"/>
      <c r="E968" s="86" t="n"/>
      <c r="F968" s="85" t="n"/>
      <c r="G968" s="85" t="n"/>
    </row>
    <row r="969" ht="13.5" customHeight="1" s="453">
      <c r="D969" s="11" t="n"/>
      <c r="E969" s="86" t="n"/>
      <c r="F969" s="85" t="n"/>
      <c r="G969" s="85" t="n"/>
    </row>
    <row r="970" ht="13.5" customHeight="1" s="453">
      <c r="D970" s="11" t="n"/>
      <c r="E970" s="86" t="n"/>
      <c r="F970" s="85" t="n"/>
      <c r="G970" s="85" t="n"/>
    </row>
    <row r="971" ht="13.5" customHeight="1" s="453">
      <c r="D971" s="11" t="n"/>
      <c r="E971" s="86" t="n"/>
      <c r="F971" s="85" t="n"/>
      <c r="G971" s="85" t="n"/>
    </row>
    <row r="972" ht="13.5" customHeight="1" s="453">
      <c r="D972" s="11" t="n"/>
      <c r="E972" s="86" t="n"/>
      <c r="F972" s="85" t="n"/>
      <c r="G972" s="85" t="n"/>
    </row>
    <row r="973" ht="13.5" customHeight="1" s="453">
      <c r="D973" s="11" t="n"/>
      <c r="E973" s="86" t="n"/>
      <c r="F973" s="85" t="n"/>
      <c r="G973" s="85" t="n"/>
    </row>
    <row r="974" ht="13.5" customHeight="1" s="453">
      <c r="D974" s="11" t="n"/>
      <c r="E974" s="86" t="n"/>
      <c r="F974" s="85" t="n"/>
      <c r="G974" s="85" t="n"/>
    </row>
    <row r="975" ht="13.5" customHeight="1" s="453">
      <c r="D975" s="11" t="n"/>
      <c r="E975" s="86" t="n"/>
      <c r="F975" s="85" t="n"/>
      <c r="G975" s="85" t="n"/>
    </row>
    <row r="976" ht="13.5" customHeight="1" s="453">
      <c r="D976" s="11" t="n"/>
      <c r="E976" s="86" t="n"/>
      <c r="F976" s="85" t="n"/>
      <c r="G976" s="85" t="n"/>
    </row>
    <row r="977" ht="13.5" customHeight="1" s="453">
      <c r="D977" s="11" t="n"/>
      <c r="E977" s="86" t="n"/>
      <c r="F977" s="85" t="n"/>
      <c r="G977" s="85" t="n"/>
    </row>
    <row r="978" ht="13.5" customHeight="1" s="453">
      <c r="D978" s="11" t="n"/>
      <c r="E978" s="86" t="n"/>
      <c r="F978" s="85" t="n"/>
      <c r="G978" s="85" t="n"/>
    </row>
    <row r="979" ht="13.5" customHeight="1" s="453">
      <c r="D979" s="11" t="n"/>
      <c r="E979" s="86" t="n"/>
      <c r="F979" s="85" t="n"/>
      <c r="G979" s="85" t="n"/>
    </row>
    <row r="980" ht="13.5" customHeight="1" s="453">
      <c r="D980" s="11" t="n"/>
      <c r="E980" s="86" t="n"/>
      <c r="F980" s="85" t="n"/>
      <c r="G980" s="85" t="n"/>
    </row>
    <row r="981" ht="13.5" customHeight="1" s="453">
      <c r="D981" s="11" t="n"/>
      <c r="E981" s="86" t="n"/>
      <c r="F981" s="85" t="n"/>
      <c r="G981" s="85" t="n"/>
    </row>
    <row r="982" ht="13.5" customHeight="1" s="453">
      <c r="D982" s="11" t="n"/>
      <c r="E982" s="86" t="n"/>
      <c r="F982" s="85" t="n"/>
      <c r="G982" s="85" t="n"/>
    </row>
    <row r="983" ht="13.5" customHeight="1" s="453">
      <c r="D983" s="11" t="n"/>
      <c r="E983" s="86" t="n"/>
      <c r="F983" s="85" t="n"/>
      <c r="G983" s="85" t="n"/>
    </row>
    <row r="984" ht="13.5" customHeight="1" s="453">
      <c r="D984" s="11" t="n"/>
      <c r="E984" s="86" t="n"/>
      <c r="F984" s="85" t="n"/>
      <c r="G984" s="85" t="n"/>
    </row>
    <row r="985" ht="13.5" customHeight="1" s="453">
      <c r="D985" s="11" t="n"/>
      <c r="E985" s="86" t="n"/>
      <c r="F985" s="85" t="n"/>
      <c r="G985" s="85" t="n"/>
    </row>
    <row r="986" ht="13.5" customHeight="1" s="453">
      <c r="D986" s="11" t="n"/>
      <c r="E986" s="86" t="n"/>
      <c r="F986" s="85" t="n"/>
      <c r="G986" s="85" t="n"/>
    </row>
    <row r="987" ht="13.5" customHeight="1" s="453">
      <c r="D987" s="11" t="n"/>
      <c r="E987" s="86" t="n"/>
      <c r="F987" s="85" t="n"/>
      <c r="G987" s="85" t="n"/>
    </row>
    <row r="988" ht="13.5" customHeight="1" s="453">
      <c r="D988" s="11" t="n"/>
      <c r="E988" s="86" t="n"/>
      <c r="F988" s="85" t="n"/>
      <c r="G988" s="85" t="n"/>
    </row>
    <row r="989" ht="13.5" customHeight="1" s="453">
      <c r="D989" s="11" t="n"/>
      <c r="E989" s="86" t="n"/>
      <c r="F989" s="85" t="n"/>
      <c r="G989" s="85" t="n"/>
    </row>
    <row r="990" ht="13.5" customHeight="1" s="453">
      <c r="D990" s="11" t="n"/>
      <c r="E990" s="86" t="n"/>
      <c r="F990" s="85" t="n"/>
      <c r="G990" s="85" t="n"/>
    </row>
    <row r="991" ht="13.5" customHeight="1" s="453">
      <c r="D991" s="11" t="n"/>
      <c r="E991" s="86" t="n"/>
      <c r="F991" s="85" t="n"/>
      <c r="G991" s="85" t="n"/>
    </row>
    <row r="992" ht="13.5" customHeight="1" s="453">
      <c r="D992" s="11" t="n"/>
      <c r="E992" s="86" t="n"/>
      <c r="F992" s="85" t="n"/>
      <c r="G992" s="85" t="n"/>
    </row>
    <row r="993" ht="13.5" customHeight="1" s="453">
      <c r="D993" s="11" t="n"/>
      <c r="E993" s="86" t="n"/>
      <c r="F993" s="85" t="n"/>
      <c r="G993" s="85" t="n"/>
    </row>
    <row r="994" ht="13.5" customHeight="1" s="453">
      <c r="D994" s="11" t="n"/>
      <c r="E994" s="86" t="n"/>
      <c r="F994" s="85" t="n"/>
      <c r="G994" s="85" t="n"/>
    </row>
    <row r="995" ht="13.5" customHeight="1" s="453">
      <c r="D995" s="11" t="n"/>
      <c r="E995" s="86" t="n"/>
      <c r="F995" s="85" t="n"/>
      <c r="G995" s="85" t="n"/>
    </row>
    <row r="996" ht="13.5" customHeight="1" s="453">
      <c r="D996" s="11" t="n"/>
      <c r="E996" s="86" t="n"/>
      <c r="F996" s="85" t="n"/>
      <c r="G996" s="85" t="n"/>
    </row>
    <row r="997" ht="13.5" customHeight="1" s="453">
      <c r="D997" s="11" t="n"/>
      <c r="E997" s="86" t="n"/>
      <c r="F997" s="85" t="n"/>
      <c r="G997" s="85" t="n"/>
    </row>
    <row r="998" ht="13.5" customHeight="1" s="453">
      <c r="D998" s="11" t="n"/>
      <c r="E998" s="86" t="n"/>
      <c r="F998" s="85" t="n"/>
      <c r="G998" s="85" t="n"/>
    </row>
    <row r="999" ht="13.5" customHeight="1" s="453">
      <c r="D999" s="11" t="n"/>
      <c r="E999" s="86" t="n"/>
      <c r="F999" s="85" t="n"/>
      <c r="G999" s="85" t="n"/>
    </row>
    <row r="1000" ht="13.5" customHeight="1" s="453">
      <c r="D1000" s="11" t="n"/>
      <c r="E1000" s="86" t="n"/>
      <c r="F1000" s="85" t="n"/>
      <c r="G1000" s="85" t="n"/>
    </row>
    <row r="1001" ht="13.5" customHeight="1" s="453">
      <c r="D1001" s="11" t="n"/>
      <c r="E1001" s="86" t="n"/>
      <c r="F1001" s="85" t="n"/>
      <c r="G1001" s="85" t="n"/>
    </row>
    <row r="1002" ht="13.5" customHeight="1" s="453">
      <c r="D1002" s="11" t="n"/>
      <c r="E1002" s="86" t="n"/>
      <c r="F1002" s="85" t="n"/>
      <c r="G1002" s="85" t="n"/>
    </row>
    <row r="1003" ht="13.5" customHeight="1" s="453">
      <c r="D1003" s="11" t="n"/>
      <c r="E1003" s="86" t="n"/>
      <c r="F1003" s="85" t="n"/>
      <c r="G1003" s="85" t="n"/>
    </row>
    <row r="1004" ht="13.5" customHeight="1" s="453">
      <c r="D1004" s="11" t="n"/>
      <c r="E1004" s="86" t="n"/>
      <c r="F1004" s="85" t="n"/>
      <c r="G1004" s="85" t="n"/>
    </row>
    <row r="1005" ht="13.5" customHeight="1" s="453">
      <c r="D1005" s="11" t="n"/>
      <c r="E1005" s="86" t="n"/>
      <c r="F1005" s="85" t="n"/>
      <c r="G1005" s="85" t="n"/>
    </row>
    <row r="1006" ht="13.5" customHeight="1" s="453">
      <c r="D1006" s="11" t="n"/>
      <c r="E1006" s="86" t="n"/>
      <c r="F1006" s="85" t="n"/>
      <c r="G1006" s="85" t="n"/>
    </row>
    <row r="1007" ht="13.5" customHeight="1" s="453">
      <c r="D1007" s="11" t="n"/>
      <c r="E1007" s="86" t="n"/>
      <c r="F1007" s="85" t="n"/>
      <c r="G1007" s="85" t="n"/>
    </row>
    <row r="1008" ht="13.5" customHeight="1" s="453">
      <c r="D1008" s="11" t="n"/>
      <c r="E1008" s="86" t="n"/>
      <c r="F1008" s="85" t="n"/>
      <c r="G1008" s="85" t="n"/>
    </row>
    <row r="1009" ht="13.5" customHeight="1" s="453">
      <c r="D1009" s="11" t="n"/>
      <c r="E1009" s="86" t="n"/>
      <c r="F1009" s="85" t="n"/>
      <c r="G1009" s="85" t="n"/>
    </row>
    <row r="1010" ht="13.5" customHeight="1" s="453">
      <c r="D1010" s="11" t="n"/>
      <c r="E1010" s="86" t="n"/>
      <c r="F1010" s="85" t="n"/>
      <c r="G1010" s="85" t="n"/>
    </row>
    <row r="1011" ht="13.5" customHeight="1" s="453">
      <c r="D1011" s="11" t="n"/>
      <c r="E1011" s="86" t="n"/>
      <c r="F1011" s="85" t="n"/>
      <c r="G1011" s="85" t="n"/>
    </row>
    <row r="1012" ht="13.5" customHeight="1" s="453">
      <c r="D1012" s="11" t="n"/>
      <c r="E1012" s="86" t="n"/>
      <c r="F1012" s="85" t="n"/>
      <c r="G1012" s="85" t="n"/>
    </row>
    <row r="1013" ht="13.5" customHeight="1" s="453">
      <c r="D1013" s="11" t="n"/>
      <c r="E1013" s="86" t="n"/>
      <c r="F1013" s="85" t="n"/>
      <c r="G1013" s="85" t="n"/>
    </row>
    <row r="1014" ht="13.5" customHeight="1" s="453">
      <c r="D1014" s="11" t="n"/>
      <c r="E1014" s="86" t="n"/>
      <c r="F1014" s="85" t="n"/>
      <c r="G1014" s="85" t="n"/>
    </row>
    <row r="1015" ht="13.5" customHeight="1" s="453">
      <c r="D1015" s="11" t="n"/>
      <c r="E1015" s="86" t="n"/>
      <c r="F1015" s="85" t="n"/>
      <c r="G1015" s="85" t="n"/>
    </row>
    <row r="1016" ht="13.5" customHeight="1" s="453">
      <c r="D1016" s="11" t="n"/>
      <c r="E1016" s="86" t="n"/>
      <c r="F1016" s="85" t="n"/>
      <c r="G1016" s="85" t="n"/>
    </row>
    <row r="1017" ht="13.5" customHeight="1" s="453">
      <c r="D1017" s="11" t="n"/>
      <c r="E1017" s="86" t="n"/>
      <c r="F1017" s="85" t="n"/>
      <c r="G1017" s="85" t="n"/>
    </row>
    <row r="1018" ht="13.5" customHeight="1" s="453">
      <c r="D1018" s="11" t="n"/>
      <c r="E1018" s="86" t="n"/>
      <c r="F1018" s="85" t="n"/>
      <c r="G1018" s="85" t="n"/>
    </row>
    <row r="1019" ht="13.5" customHeight="1" s="453">
      <c r="D1019" s="11" t="n"/>
      <c r="E1019" s="86" t="n"/>
      <c r="F1019" s="85" t="n"/>
      <c r="G1019" s="85" t="n"/>
    </row>
    <row r="1020" ht="13.5" customHeight="1" s="453">
      <c r="D1020" s="11" t="n"/>
      <c r="E1020" s="86" t="n"/>
      <c r="F1020" s="85" t="n"/>
      <c r="G1020" s="85" t="n"/>
    </row>
    <row r="1021" ht="13.5" customHeight="1" s="453">
      <c r="D1021" s="11" t="n"/>
      <c r="E1021" s="86" t="n"/>
      <c r="F1021" s="85" t="n"/>
      <c r="G1021" s="85" t="n"/>
    </row>
    <row r="1022" ht="13.5" customHeight="1" s="453">
      <c r="D1022" s="11" t="n"/>
      <c r="E1022" s="86" t="n"/>
      <c r="F1022" s="85" t="n"/>
      <c r="G1022" s="85" t="n"/>
    </row>
    <row r="1023" ht="13.5" customHeight="1" s="453">
      <c r="D1023" s="11" t="n"/>
      <c r="E1023" s="86" t="n"/>
      <c r="F1023" s="85" t="n"/>
      <c r="G1023" s="85" t="n"/>
    </row>
    <row r="1024" ht="13.5" customHeight="1" s="453">
      <c r="D1024" s="11" t="n"/>
      <c r="E1024" s="86" t="n"/>
      <c r="F1024" s="85" t="n"/>
      <c r="G1024" s="85" t="n"/>
    </row>
    <row r="1025" ht="13.5" customHeight="1" s="453">
      <c r="D1025" s="11" t="n"/>
      <c r="E1025" s="86" t="n"/>
      <c r="F1025" s="85" t="n"/>
      <c r="G1025" s="85" t="n"/>
    </row>
    <row r="1026" ht="13.5" customHeight="1" s="453">
      <c r="D1026" s="11" t="n"/>
      <c r="E1026" s="86" t="n"/>
      <c r="F1026" s="85" t="n"/>
      <c r="G1026" s="85" t="n"/>
    </row>
    <row r="1027" ht="13.5" customHeight="1" s="453">
      <c r="D1027" s="11" t="n"/>
      <c r="E1027" s="86" t="n"/>
      <c r="F1027" s="85" t="n"/>
      <c r="G1027" s="85" t="n"/>
    </row>
    <row r="1028" ht="13.5" customHeight="1" s="453">
      <c r="D1028" s="11" t="n"/>
      <c r="E1028" s="86" t="n"/>
      <c r="F1028" s="85" t="n"/>
      <c r="G1028" s="85" t="n"/>
    </row>
    <row r="1029" ht="13.5" customHeight="1" s="453">
      <c r="D1029" s="11" t="n"/>
      <c r="E1029" s="86" t="n"/>
      <c r="F1029" s="85" t="n"/>
      <c r="G1029" s="85" t="n"/>
    </row>
    <row r="1030" ht="13.5" customHeight="1" s="453">
      <c r="D1030" s="11" t="n"/>
      <c r="E1030" s="86" t="n"/>
      <c r="F1030" s="85" t="n"/>
      <c r="G1030" s="85" t="n"/>
    </row>
    <row r="1031" ht="13.5" customHeight="1" s="453">
      <c r="D1031" s="11" t="n"/>
      <c r="E1031" s="86" t="n"/>
      <c r="F1031" s="85" t="n"/>
      <c r="G1031" s="85" t="n"/>
    </row>
    <row r="1032" ht="13.5" customHeight="1" s="453">
      <c r="D1032" s="11" t="n"/>
      <c r="E1032" s="86" t="n"/>
      <c r="F1032" s="85" t="n"/>
      <c r="G1032" s="85" t="n"/>
    </row>
    <row r="1033" ht="13.5" customHeight="1" s="453">
      <c r="D1033" s="11" t="n"/>
      <c r="E1033" s="86" t="n"/>
      <c r="F1033" s="85" t="n"/>
      <c r="G1033" s="85" t="n"/>
    </row>
    <row r="1034" ht="13.5" customHeight="1" s="453">
      <c r="D1034" s="11" t="n"/>
      <c r="E1034" s="86" t="n"/>
      <c r="F1034" s="85" t="n"/>
      <c r="G1034" s="85" t="n"/>
    </row>
    <row r="1035" ht="13.5" customHeight="1" s="453">
      <c r="D1035" s="11" t="n"/>
      <c r="E1035" s="86" t="n"/>
      <c r="F1035" s="85" t="n"/>
      <c r="G1035" s="85" t="n"/>
    </row>
    <row r="1036" ht="13.5" customHeight="1" s="453">
      <c r="D1036" s="11" t="n"/>
      <c r="E1036" s="86" t="n"/>
      <c r="F1036" s="85" t="n"/>
      <c r="G1036" s="85" t="n"/>
    </row>
    <row r="1037" ht="13.5" customHeight="1" s="453">
      <c r="D1037" s="11" t="n"/>
      <c r="E1037" s="86" t="n"/>
      <c r="F1037" s="85" t="n"/>
      <c r="G1037" s="85" t="n"/>
    </row>
    <row r="1038" ht="13.5" customHeight="1" s="453">
      <c r="D1038" s="11" t="n"/>
      <c r="E1038" s="86" t="n"/>
      <c r="F1038" s="85" t="n"/>
      <c r="G1038" s="85" t="n"/>
    </row>
    <row r="1039" ht="13.5" customHeight="1" s="453">
      <c r="D1039" s="11" t="n"/>
      <c r="E1039" s="86" t="n"/>
      <c r="F1039" s="85" t="n"/>
      <c r="G1039" s="85" t="n"/>
    </row>
    <row r="1040" ht="13.5" customHeight="1" s="453">
      <c r="D1040" s="11" t="n"/>
      <c r="E1040" s="86" t="n"/>
      <c r="F1040" s="85" t="n"/>
      <c r="G1040" s="85" t="n"/>
    </row>
    <row r="1041" ht="13.5" customHeight="1" s="453">
      <c r="D1041" s="11" t="n"/>
      <c r="E1041" s="86" t="n"/>
      <c r="F1041" s="85" t="n"/>
      <c r="G1041" s="85" t="n"/>
    </row>
    <row r="1042" ht="13.5" customHeight="1" s="453">
      <c r="D1042" s="11" t="n"/>
      <c r="E1042" s="86" t="n"/>
      <c r="F1042" s="85" t="n"/>
      <c r="G1042" s="85" t="n"/>
    </row>
    <row r="1043" ht="13.5" customHeight="1" s="453">
      <c r="D1043" s="11" t="n"/>
      <c r="E1043" s="86" t="n"/>
      <c r="F1043" s="85" t="n"/>
      <c r="G1043" s="85" t="n"/>
    </row>
    <row r="1044" ht="13.5" customHeight="1" s="453">
      <c r="D1044" s="11" t="n"/>
      <c r="E1044" s="86" t="n"/>
      <c r="F1044" s="85" t="n"/>
      <c r="G1044" s="85" t="n"/>
    </row>
    <row r="1045" ht="13.5" customHeight="1" s="453">
      <c r="D1045" s="11" t="n"/>
      <c r="E1045" s="86" t="n"/>
      <c r="F1045" s="85" t="n"/>
      <c r="G1045" s="85" t="n"/>
    </row>
    <row r="1046" ht="13.5" customHeight="1" s="453">
      <c r="D1046" s="11" t="n"/>
      <c r="E1046" s="86" t="n"/>
      <c r="F1046" s="85" t="n"/>
      <c r="G1046" s="85" t="n"/>
    </row>
    <row r="1047" ht="13.5" customHeight="1" s="453">
      <c r="D1047" s="11" t="n"/>
      <c r="E1047" s="86" t="n"/>
      <c r="F1047" s="85" t="n"/>
      <c r="G1047" s="85" t="n"/>
    </row>
    <row r="1048" ht="13.5" customHeight="1" s="453">
      <c r="D1048" s="11" t="n"/>
      <c r="E1048" s="86" t="n"/>
      <c r="F1048" s="85" t="n"/>
      <c r="G1048" s="85" t="n"/>
    </row>
    <row r="1049" ht="13.5" customHeight="1" s="453">
      <c r="D1049" s="11" t="n"/>
      <c r="E1049" s="86" t="n"/>
      <c r="F1049" s="85" t="n"/>
      <c r="G1049" s="85" t="n"/>
    </row>
    <row r="1050" ht="13.5" customHeight="1" s="453">
      <c r="D1050" s="11" t="n"/>
      <c r="E1050" s="86" t="n"/>
      <c r="F1050" s="85" t="n"/>
      <c r="G1050" s="85" t="n"/>
    </row>
    <row r="1051" ht="13.5" customHeight="1" s="453">
      <c r="D1051" s="11" t="n"/>
      <c r="E1051" s="86" t="n"/>
      <c r="F1051" s="85" t="n"/>
      <c r="G1051" s="85" t="n"/>
    </row>
    <row r="1052" ht="13.5" customHeight="1" s="453">
      <c r="D1052" s="11" t="n"/>
      <c r="E1052" s="86" t="n"/>
      <c r="F1052" s="85" t="n"/>
      <c r="G1052" s="85" t="n"/>
    </row>
    <row r="1053" ht="13.5" customHeight="1" s="453">
      <c r="D1053" s="11" t="n"/>
      <c r="E1053" s="86" t="n"/>
      <c r="F1053" s="85" t="n"/>
      <c r="G1053" s="85" t="n"/>
    </row>
    <row r="1054" ht="13.5" customHeight="1" s="453">
      <c r="D1054" s="11" t="n"/>
      <c r="E1054" s="86" t="n"/>
      <c r="F1054" s="85" t="n"/>
      <c r="G1054" s="85" t="n"/>
    </row>
    <row r="1055" ht="13.5" customHeight="1" s="453">
      <c r="D1055" s="11" t="n"/>
      <c r="E1055" s="86" t="n"/>
      <c r="F1055" s="85" t="n"/>
      <c r="G1055" s="85" t="n"/>
    </row>
    <row r="1056" ht="13.5" customHeight="1" s="453">
      <c r="D1056" s="11" t="n"/>
      <c r="E1056" s="86" t="n"/>
      <c r="F1056" s="85" t="n"/>
      <c r="G1056" s="85" t="n"/>
    </row>
    <row r="1057" ht="13.5" customHeight="1" s="453">
      <c r="D1057" s="11" t="n"/>
      <c r="E1057" s="86" t="n"/>
      <c r="F1057" s="85" t="n"/>
      <c r="G1057" s="85" t="n"/>
    </row>
    <row r="1058" ht="13.5" customHeight="1" s="453">
      <c r="D1058" s="11" t="n"/>
      <c r="E1058" s="86" t="n"/>
      <c r="F1058" s="85" t="n"/>
      <c r="G1058" s="85" t="n"/>
    </row>
    <row r="1059" ht="13.5" customHeight="1" s="453">
      <c r="D1059" s="11" t="n"/>
      <c r="E1059" s="86" t="n"/>
      <c r="F1059" s="85" t="n"/>
      <c r="G1059" s="85" t="n"/>
    </row>
    <row r="1060" ht="13.5" customHeight="1" s="453">
      <c r="D1060" s="11" t="n"/>
      <c r="E1060" s="86" t="n"/>
      <c r="F1060" s="85" t="n"/>
      <c r="G1060" s="85" t="n"/>
    </row>
  </sheetData>
  <mergeCells count="29">
    <mergeCell ref="BU2:BU3"/>
    <mergeCell ref="CB2:CB3"/>
    <mergeCell ref="BY40:BY41"/>
    <mergeCell ref="BZ2:CA2"/>
    <mergeCell ref="B2:B3"/>
    <mergeCell ref="D2:D3"/>
    <mergeCell ref="BH2:BH3"/>
    <mergeCell ref="AS2:AS3"/>
    <mergeCell ref="BY26:BY27"/>
    <mergeCell ref="BY67:BY73"/>
    <mergeCell ref="BY2:BY3"/>
    <mergeCell ref="BY51:BY54"/>
    <mergeCell ref="A2:A3"/>
    <mergeCell ref="BY38:BY39"/>
    <mergeCell ref="C2:C3"/>
    <mergeCell ref="E2:E3"/>
    <mergeCell ref="BV2:BV3"/>
    <mergeCell ref="BG2:BG3"/>
    <mergeCell ref="F2:G2"/>
    <mergeCell ref="BY22:BY23"/>
    <mergeCell ref="BX2:BX3"/>
    <mergeCell ref="BY28:BY29"/>
    <mergeCell ref="BZ1:CA1"/>
    <mergeCell ref="AT2:AT3"/>
    <mergeCell ref="BY55:BY59"/>
    <mergeCell ref="CC2:CC3"/>
    <mergeCell ref="F1:G1"/>
    <mergeCell ref="BY65:BY66"/>
    <mergeCell ref="BY11:BY16"/>
  </mergeCells>
  <conditionalFormatting sqref="B77">
    <cfRule type="duplicateValues" priority="2" dxfId="0"/>
  </conditionalFormatting>
  <conditionalFormatting sqref="B200">
    <cfRule type="duplicateValues" priority="1" dxfId="0"/>
  </conditionalFormatting>
  <printOptions horizontalCentered="1" gridLines="1"/>
  <pageMargins left="0.7" right="0.7" top="0.75" bottom="0.75" header="0" footer="0"/>
  <pageSetup orientation="landscape" paperSize="9" scale="32" fitToHeight="0" pageOrder="overThenDown" cellComments="atEnd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B0F0"/>
    <outlinePr summaryBelow="0" summaryRight="0"/>
    <pageSetUpPr fitToPage="1"/>
  </sheetPr>
  <dimension ref="A1:CE986"/>
  <sheetViews>
    <sheetView zoomScale="90" zoomScaleNormal="90" workbookViewId="0">
      <pane xSplit="7" ySplit="3" topLeftCell="AZ4" activePane="bottomRight" state="frozen"/>
      <selection pane="topRight" activeCell="J1" sqref="J1"/>
      <selection pane="bottomLeft" activeCell="A4" sqref="A4"/>
      <selection pane="bottomRight" activeCell="F16" sqref="F16"/>
    </sheetView>
  </sheetViews>
  <sheetFormatPr baseColWidth="8" defaultColWidth="12.5703125" defaultRowHeight="15.75" customHeight="1"/>
  <cols>
    <col width="9.5703125" customWidth="1" style="453" min="1" max="1"/>
    <col width="11" customWidth="1" style="453" min="2" max="2"/>
    <col width="45.7109375" customWidth="1" style="98" min="3" max="3"/>
    <col width="10.28515625" bestFit="1" customWidth="1" style="453" min="4" max="4"/>
    <col width="11.5703125" bestFit="1" customWidth="1" style="453" min="5" max="5"/>
    <col width="13.42578125" customWidth="1" style="453" min="6" max="6"/>
    <col hidden="1" collapsed="1" width="11.85546875" customWidth="1" style="453" min="7" max="7"/>
    <col hidden="1" outlineLevel="1" width="12.5703125" customWidth="1" style="453" min="8" max="44"/>
    <col hidden="1" width="12.5703125" customWidth="1" style="453" min="45" max="46"/>
    <col hidden="1" width="8.28515625" customWidth="1" style="453" min="47" max="49"/>
    <col hidden="1" width="8.7109375" customWidth="1" style="453" min="50" max="50"/>
    <col hidden="1" width="9.42578125" customWidth="1" style="453" min="51" max="51"/>
    <col width="11.140625" customWidth="1" style="453" min="52" max="52"/>
    <col width="10.5703125" customWidth="1" style="453" min="53" max="53"/>
    <col width="9.85546875" customWidth="1" style="453" min="54" max="54"/>
    <col width="11.7109375" customWidth="1" style="453" min="55" max="55"/>
    <col width="12.140625" customWidth="1" style="453" min="56" max="58"/>
    <col width="11.42578125" customWidth="1" style="453" min="59" max="60"/>
    <col width="12.140625" customWidth="1" style="453" min="61" max="61"/>
    <col width="13" customWidth="1" style="453" min="62" max="62"/>
    <col width="13" customWidth="1" style="453" min="63" max="63"/>
    <col width="13" customWidth="1" style="453" min="64" max="64"/>
    <col width="12.140625" customWidth="1" style="453" min="65" max="65"/>
    <col collapsed="1" width="12.140625" customWidth="1" style="453" min="66" max="66"/>
    <col hidden="1" outlineLevel="1" width="13" customWidth="1" style="453" min="67" max="72"/>
    <col width="12.140625" customWidth="1" style="453" min="73" max="75"/>
    <col width="10.140625" customWidth="1" style="110" min="76" max="76"/>
    <col hidden="1" width="13.85546875" customWidth="1" style="453" min="77" max="77"/>
    <col width="15" customWidth="1" style="453" min="78" max="79"/>
    <col width="38.140625" customWidth="1" style="453" min="80" max="80"/>
    <col width="9.28515625" customWidth="1" style="453" min="82" max="83"/>
  </cols>
  <sheetData>
    <row r="1" ht="17.25" customHeight="1" s="453">
      <c r="A1" s="87" t="inlineStr">
        <is>
          <t>*自2025/1起調整為最小單位(發/點/支)</t>
        </is>
      </c>
      <c r="B1" s="87" t="n"/>
      <c r="C1" s="97" t="n"/>
      <c r="D1" s="1" t="n"/>
      <c r="E1" s="2" t="n"/>
      <c r="F1" s="452" t="n"/>
      <c r="H1" s="492" t="n"/>
      <c r="I1" s="492" t="n"/>
      <c r="J1" s="492" t="n"/>
      <c r="K1" s="492" t="n"/>
      <c r="L1" s="492" t="n"/>
      <c r="M1" s="492" t="n"/>
      <c r="N1" s="492" t="n"/>
      <c r="O1" s="492" t="n"/>
      <c r="P1" s="492" t="n"/>
      <c r="Q1" s="492" t="n"/>
      <c r="R1" s="492" t="n"/>
      <c r="S1" s="492" t="n"/>
      <c r="T1" s="492" t="n"/>
      <c r="U1" s="492" t="n"/>
      <c r="V1" s="492" t="n"/>
      <c r="W1" s="492" t="n"/>
      <c r="X1" s="492" t="n"/>
      <c r="Y1" s="492" t="n"/>
      <c r="Z1" s="492" t="n"/>
      <c r="AA1" s="492" t="n"/>
      <c r="AB1" s="492" t="n"/>
      <c r="AC1" s="492" t="n"/>
      <c r="AD1" s="492" t="n"/>
      <c r="AE1" s="492" t="n"/>
      <c r="AF1" s="492" t="n"/>
      <c r="AG1" s="492" t="n"/>
      <c r="AH1" s="492" t="n"/>
      <c r="AI1" s="492" t="n"/>
      <c r="AJ1" s="492" t="n"/>
      <c r="AK1" s="492" t="n"/>
      <c r="AL1" s="492" t="n"/>
      <c r="AM1" s="492" t="n"/>
      <c r="AN1" s="492" t="n"/>
      <c r="AO1" s="492" t="n"/>
      <c r="AP1" s="493" t="n"/>
      <c r="AQ1" s="493" t="n"/>
      <c r="AR1" s="493" t="n"/>
      <c r="AS1" s="6" t="n"/>
      <c r="AT1" s="6" t="n"/>
      <c r="AU1" s="493" t="n"/>
      <c r="AV1" s="493" t="n"/>
      <c r="AW1" s="494" t="n"/>
      <c r="AX1" s="8" t="inlineStr">
        <is>
          <t>Actual:填入買賣大表"耗療數量"</t>
        </is>
      </c>
      <c r="AY1" s="9" t="n"/>
      <c r="AZ1" s="10" t="n"/>
      <c r="BD1" s="6" t="n"/>
      <c r="BE1" s="6" t="n"/>
      <c r="BF1" s="6" t="n"/>
      <c r="BG1" s="6" t="n"/>
      <c r="BH1" s="6" t="n"/>
      <c r="BI1" s="12" t="inlineStr">
        <is>
          <t>站前11樓</t>
        </is>
      </c>
      <c r="BU1" s="6" t="n"/>
      <c r="BV1" s="6" t="n"/>
      <c r="BW1" s="6" t="n"/>
      <c r="BX1" s="99" t="n"/>
      <c r="BY1" s="452" t="n"/>
      <c r="BZ1" s="452" t="n"/>
      <c r="CB1" s="13" t="n"/>
      <c r="CC1" s="13" t="n"/>
      <c r="CD1" s="14" t="n"/>
      <c r="CE1" s="14" t="n"/>
    </row>
    <row r="2" ht="33" customFormat="1" customHeight="1" s="92">
      <c r="A2" s="495" t="inlineStr">
        <is>
          <t>料件編號 新</t>
        </is>
      </c>
      <c r="B2" s="496" t="n"/>
      <c r="C2" s="496" t="inlineStr">
        <is>
          <t>品名</t>
        </is>
      </c>
      <c r="D2" s="496" t="inlineStr">
        <is>
          <t>盒入數</t>
        </is>
      </c>
      <c r="E2" s="497" t="inlineStr">
        <is>
          <t>庫存
 單位</t>
        </is>
      </c>
      <c r="F2" s="449">
        <f>站前4樓!F2</f>
        <v/>
      </c>
      <c r="G2" s="500" t="n"/>
      <c r="H2" s="501" t="n">
        <v>44531</v>
      </c>
      <c r="I2" s="501" t="n">
        <v>44562</v>
      </c>
      <c r="J2" s="501" t="n">
        <v>44593</v>
      </c>
      <c r="K2" s="501" t="n">
        <v>44621</v>
      </c>
      <c r="L2" s="501" t="n">
        <v>44652</v>
      </c>
      <c r="M2" s="501" t="n">
        <v>44682</v>
      </c>
      <c r="N2" s="501" t="n">
        <v>44713</v>
      </c>
      <c r="O2" s="501" t="n">
        <v>44743</v>
      </c>
      <c r="P2" s="501" t="n">
        <v>44774</v>
      </c>
      <c r="Q2" s="501" t="n">
        <v>44805</v>
      </c>
      <c r="R2" s="501" t="n">
        <v>44835</v>
      </c>
      <c r="S2" s="501" t="n">
        <v>44866</v>
      </c>
      <c r="T2" s="501" t="n">
        <v>44896</v>
      </c>
      <c r="U2" s="501" t="n">
        <v>44927</v>
      </c>
      <c r="V2" s="501" t="n">
        <v>44958</v>
      </c>
      <c r="W2" s="501" t="n">
        <v>44986</v>
      </c>
      <c r="X2" s="501" t="n">
        <v>45017</v>
      </c>
      <c r="Y2" s="501" t="n">
        <v>45047</v>
      </c>
      <c r="Z2" s="501" t="n">
        <v>45078</v>
      </c>
      <c r="AA2" s="501" t="n">
        <v>45108</v>
      </c>
      <c r="AB2" s="501" t="n">
        <v>45139</v>
      </c>
      <c r="AC2" s="501" t="n">
        <v>45170</v>
      </c>
      <c r="AD2" s="501" t="n">
        <v>45200</v>
      </c>
      <c r="AE2" s="501" t="n">
        <v>45231</v>
      </c>
      <c r="AF2" s="501" t="n">
        <v>45261</v>
      </c>
      <c r="AG2" s="501" t="n">
        <v>45292</v>
      </c>
      <c r="AH2" s="501" t="n">
        <v>45323</v>
      </c>
      <c r="AI2" s="501" t="n">
        <v>45352</v>
      </c>
      <c r="AJ2" s="501" t="n">
        <v>45383</v>
      </c>
      <c r="AK2" s="501" t="n">
        <v>45413</v>
      </c>
      <c r="AL2" s="501" t="n">
        <v>45444</v>
      </c>
      <c r="AM2" s="501" t="n">
        <v>45474</v>
      </c>
      <c r="AN2" s="501" t="n">
        <v>45505</v>
      </c>
      <c r="AO2" s="501" t="n">
        <v>45536</v>
      </c>
      <c r="AP2" s="502" t="n">
        <v>45566</v>
      </c>
      <c r="AQ2" s="502" t="n">
        <v>45597</v>
      </c>
      <c r="AR2" s="502" t="n">
        <v>45627</v>
      </c>
      <c r="AS2" s="540" t="inlineStr">
        <is>
          <t>2024
總銷量
(盒裝)</t>
        </is>
      </c>
      <c r="AT2" s="540" t="inlineStr">
        <is>
          <t>2024
月均銷
(盒裝)</t>
        </is>
      </c>
      <c r="AU2" s="504" t="n">
        <v>45658</v>
      </c>
      <c r="AV2" s="504" t="n">
        <v>45689</v>
      </c>
      <c r="AW2" s="504" t="n">
        <v>45717</v>
      </c>
      <c r="AX2" s="504" t="n">
        <v>45748</v>
      </c>
      <c r="AY2" s="504" t="n">
        <v>45778</v>
      </c>
      <c r="AZ2" s="505" t="inlineStr">
        <is>
          <t>2025/06</t>
        </is>
      </c>
      <c r="BA2" s="505" t="inlineStr">
        <is>
          <t>2025/07</t>
        </is>
      </c>
      <c r="BB2" s="505" t="inlineStr">
        <is>
          <t>2025/08</t>
        </is>
      </c>
      <c r="BC2" s="505" t="inlineStr">
        <is>
          <t>2025/09</t>
        </is>
      </c>
      <c r="BD2" s="505" t="inlineStr">
        <is>
          <t>2025/10</t>
        </is>
      </c>
      <c r="BE2" s="505" t="inlineStr">
        <is>
          <t>2025/11</t>
        </is>
      </c>
      <c r="BF2" s="505" t="inlineStr">
        <is>
          <t>2025/12</t>
        </is>
      </c>
      <c r="BG2" s="507" t="inlineStr">
        <is>
          <t>2025
總銷量
(單支/條/點)</t>
        </is>
      </c>
      <c r="BH2" s="507" t="inlineStr">
        <is>
          <t>2025
月均銷
(單支/條/點)</t>
        </is>
      </c>
      <c r="BI2" s="505" t="inlineStr">
        <is>
          <t>2026/01</t>
        </is>
      </c>
      <c r="BJ2" s="505" t="inlineStr">
        <is>
          <t>2026/02</t>
        </is>
      </c>
      <c r="BK2" s="505" t="inlineStr">
        <is>
          <t>2026/03</t>
        </is>
      </c>
      <c r="BL2" s="505" t="inlineStr">
        <is>
          <t>2026/04</t>
        </is>
      </c>
      <c r="BM2" s="505" t="inlineStr">
        <is>
          <t>2026/05</t>
        </is>
      </c>
      <c r="BN2" s="505" t="inlineStr">
        <is>
          <t>2026/06</t>
        </is>
      </c>
      <c r="BO2" s="505" t="inlineStr">
        <is>
          <t>2026/07</t>
        </is>
      </c>
      <c r="BP2" s="505" t="inlineStr">
        <is>
          <t>2026/08</t>
        </is>
      </c>
      <c r="BQ2" s="505" t="inlineStr">
        <is>
          <t>2026/09</t>
        </is>
      </c>
      <c r="BR2" s="505" t="inlineStr">
        <is>
          <t>2026/10</t>
        </is>
      </c>
      <c r="BS2" s="505" t="inlineStr">
        <is>
          <t>2026/11</t>
        </is>
      </c>
      <c r="BT2" s="505" t="inlineStr">
        <is>
          <t>2026/12</t>
        </is>
      </c>
      <c r="BU2" s="507" t="inlineStr">
        <is>
          <t>2026
總銷量
(單支/條/點)</t>
        </is>
      </c>
      <c r="BV2" s="507" t="inlineStr">
        <is>
          <t>2026
月均銷
(單支/條/點)</t>
        </is>
      </c>
      <c r="BW2" s="505" t="inlineStr">
        <is>
          <t>2026/06</t>
        </is>
      </c>
      <c r="BX2" s="508" t="inlineStr">
        <is>
          <t>安庫</t>
        </is>
      </c>
      <c r="BY2" s="509" t="inlineStr">
        <is>
          <t>已簽約
寄庫數量</t>
        </is>
      </c>
      <c r="BZ2" s="509" t="inlineStr">
        <is>
          <t>10/17在途</t>
        </is>
      </c>
      <c r="CA2" s="500" t="n"/>
      <c r="CB2" s="510" t="inlineStr">
        <is>
          <t>備註</t>
        </is>
      </c>
      <c r="CC2" s="510" t="n"/>
      <c r="CD2" s="91" t="n"/>
      <c r="CE2" s="91" t="n"/>
    </row>
    <row r="3" ht="33" customFormat="1" customHeight="1" s="92">
      <c r="A3" s="511" t="n"/>
      <c r="B3" s="511" t="n"/>
      <c r="C3" s="511" t="n"/>
      <c r="D3" s="511" t="n"/>
      <c r="E3" s="511" t="n"/>
      <c r="F3" s="189" t="inlineStr">
        <is>
          <t>站前11樓
庫存</t>
        </is>
      </c>
      <c r="G3" s="93" t="inlineStr">
        <is>
          <t>忠孝庫存</t>
        </is>
      </c>
      <c r="H3" s="94" t="inlineStr">
        <is>
          <t>Actual</t>
        </is>
      </c>
      <c r="I3" s="94" t="inlineStr">
        <is>
          <t>Actual</t>
        </is>
      </c>
      <c r="J3" s="94" t="inlineStr">
        <is>
          <t>Actual</t>
        </is>
      </c>
      <c r="K3" s="94" t="inlineStr">
        <is>
          <t>Actual</t>
        </is>
      </c>
      <c r="L3" s="94" t="inlineStr">
        <is>
          <t>Actual</t>
        </is>
      </c>
      <c r="M3" s="94" t="inlineStr">
        <is>
          <t>Actual</t>
        </is>
      </c>
      <c r="N3" s="94" t="inlineStr">
        <is>
          <t>Actual</t>
        </is>
      </c>
      <c r="O3" s="94" t="inlineStr">
        <is>
          <t>Actual</t>
        </is>
      </c>
      <c r="P3" s="94" t="inlineStr">
        <is>
          <t>Actual</t>
        </is>
      </c>
      <c r="Q3" s="94" t="inlineStr">
        <is>
          <t>Actual</t>
        </is>
      </c>
      <c r="R3" s="94" t="inlineStr">
        <is>
          <t>Actual</t>
        </is>
      </c>
      <c r="S3" s="94" t="inlineStr">
        <is>
          <t>Actual</t>
        </is>
      </c>
      <c r="T3" s="94" t="inlineStr">
        <is>
          <t>Actual</t>
        </is>
      </c>
      <c r="U3" s="94" t="inlineStr">
        <is>
          <t>Actual</t>
        </is>
      </c>
      <c r="V3" s="94" t="inlineStr">
        <is>
          <t>Actual</t>
        </is>
      </c>
      <c r="W3" s="94" t="inlineStr">
        <is>
          <t>Actual</t>
        </is>
      </c>
      <c r="X3" s="94" t="inlineStr">
        <is>
          <t>Actual</t>
        </is>
      </c>
      <c r="Y3" s="94" t="inlineStr">
        <is>
          <t>Actual</t>
        </is>
      </c>
      <c r="Z3" s="94" t="inlineStr">
        <is>
          <t>Actual</t>
        </is>
      </c>
      <c r="AA3" s="94" t="inlineStr">
        <is>
          <t>Actual</t>
        </is>
      </c>
      <c r="AB3" s="94" t="inlineStr">
        <is>
          <t>Actual</t>
        </is>
      </c>
      <c r="AC3" s="94" t="inlineStr">
        <is>
          <t>Actual</t>
        </is>
      </c>
      <c r="AD3" s="94" t="inlineStr">
        <is>
          <t>Actual</t>
        </is>
      </c>
      <c r="AE3" s="94" t="inlineStr">
        <is>
          <t>Actual</t>
        </is>
      </c>
      <c r="AF3" s="94" t="inlineStr">
        <is>
          <t>Actual</t>
        </is>
      </c>
      <c r="AG3" s="94" t="inlineStr">
        <is>
          <t>Actual</t>
        </is>
      </c>
      <c r="AH3" s="94" t="inlineStr">
        <is>
          <t>Actual</t>
        </is>
      </c>
      <c r="AI3" s="94" t="inlineStr">
        <is>
          <t>Actual</t>
        </is>
      </c>
      <c r="AJ3" s="94" t="inlineStr">
        <is>
          <t>Actual</t>
        </is>
      </c>
      <c r="AK3" s="94" t="inlineStr">
        <is>
          <t>Actual</t>
        </is>
      </c>
      <c r="AL3" s="94" t="inlineStr">
        <is>
          <t>Actual</t>
        </is>
      </c>
      <c r="AM3" s="94" t="inlineStr">
        <is>
          <t>Actual</t>
        </is>
      </c>
      <c r="AN3" s="94" t="inlineStr">
        <is>
          <t>Actual</t>
        </is>
      </c>
      <c r="AO3" s="94" t="inlineStr">
        <is>
          <t>Actual</t>
        </is>
      </c>
      <c r="AP3" s="94" t="inlineStr">
        <is>
          <t>Actual</t>
        </is>
      </c>
      <c r="AQ3" s="94" t="inlineStr">
        <is>
          <t>Actual</t>
        </is>
      </c>
      <c r="AR3" s="94" t="inlineStr">
        <is>
          <t>Actual</t>
        </is>
      </c>
      <c r="AS3" s="511" t="n"/>
      <c r="AT3" s="511" t="n"/>
      <c r="AU3" s="95" t="inlineStr">
        <is>
          <t>Actual</t>
        </is>
      </c>
      <c r="AV3" s="95" t="inlineStr">
        <is>
          <t>Actual</t>
        </is>
      </c>
      <c r="AW3" s="95" t="inlineStr">
        <is>
          <t>Actual</t>
        </is>
      </c>
      <c r="AX3" s="95" t="inlineStr">
        <is>
          <t>Actual</t>
        </is>
      </c>
      <c r="AY3" s="95" t="inlineStr">
        <is>
          <t>Actual</t>
        </is>
      </c>
      <c r="AZ3" s="95" t="inlineStr">
        <is>
          <t>Actual</t>
        </is>
      </c>
      <c r="BA3" s="95" t="inlineStr">
        <is>
          <t>Actual</t>
        </is>
      </c>
      <c r="BB3" s="95" t="inlineStr">
        <is>
          <t>Actual</t>
        </is>
      </c>
      <c r="BC3" s="95" t="inlineStr">
        <is>
          <t>Actual</t>
        </is>
      </c>
      <c r="BD3" s="95" t="inlineStr">
        <is>
          <t>Actual</t>
        </is>
      </c>
      <c r="BE3" s="95" t="inlineStr">
        <is>
          <t>Actual</t>
        </is>
      </c>
      <c r="BF3" s="95" t="inlineStr">
        <is>
          <t>Actual</t>
        </is>
      </c>
      <c r="BG3" s="511" t="n"/>
      <c r="BH3" s="511" t="n"/>
      <c r="BI3" s="95" t="inlineStr">
        <is>
          <t>Actual</t>
        </is>
      </c>
      <c r="BJ3" s="95" t="inlineStr">
        <is>
          <t>Actual</t>
        </is>
      </c>
      <c r="BK3" s="95" t="inlineStr">
        <is>
          <t>Actual</t>
        </is>
      </c>
      <c r="BL3" s="95" t="inlineStr">
        <is>
          <t>Actual</t>
        </is>
      </c>
      <c r="BM3" s="95" t="inlineStr">
        <is>
          <t>Actual</t>
        </is>
      </c>
      <c r="BN3" s="95" t="inlineStr">
        <is>
          <t>Actual</t>
        </is>
      </c>
      <c r="BO3" s="95" t="inlineStr">
        <is>
          <t>Actual</t>
        </is>
      </c>
      <c r="BP3" s="95" t="inlineStr">
        <is>
          <t>Actual</t>
        </is>
      </c>
      <c r="BQ3" s="95" t="inlineStr">
        <is>
          <t>Actual</t>
        </is>
      </c>
      <c r="BR3" s="95" t="inlineStr">
        <is>
          <t>Actual</t>
        </is>
      </c>
      <c r="BS3" s="95" t="inlineStr">
        <is>
          <t>Actual</t>
        </is>
      </c>
      <c r="BT3" s="95" t="inlineStr">
        <is>
          <t>Actual</t>
        </is>
      </c>
      <c r="BU3" s="511" t="n"/>
      <c r="BV3" s="511" t="n"/>
      <c r="BW3" s="403" t="inlineStr">
        <is>
          <t>Forecast</t>
        </is>
      </c>
      <c r="BX3" s="511" t="n"/>
      <c r="BY3" s="511" t="n"/>
      <c r="BZ3" s="113" t="inlineStr">
        <is>
          <t>站前診所</t>
        </is>
      </c>
      <c r="CA3" s="113" t="inlineStr">
        <is>
          <t>忠孝診所</t>
        </is>
      </c>
      <c r="CB3" s="511" t="n"/>
      <c r="CC3" s="511" t="n"/>
      <c r="CD3" s="91" t="n"/>
      <c r="CE3" s="91" t="n"/>
    </row>
    <row r="4" ht="15.75" customHeight="1" s="453">
      <c r="A4" s="27" t="inlineStr">
        <is>
          <t>MM2MC070001A</t>
        </is>
      </c>
      <c r="B4" s="14" t="n">
        <v>6200004</v>
      </c>
      <c r="C4" s="118" t="inlineStr">
        <is>
          <t>阿爾發SAT卡匣(1點)</t>
        </is>
      </c>
      <c r="D4" s="16" t="n">
        <v>50</v>
      </c>
      <c r="E4" s="17" t="inlineStr">
        <is>
          <t>PTS</t>
        </is>
      </c>
      <c r="F4" s="18" t="n">
        <v>1339</v>
      </c>
      <c r="G4" s="44" t="n"/>
      <c r="H4" s="541" t="n">
        <v>0</v>
      </c>
      <c r="I4" s="541" t="n">
        <v>0</v>
      </c>
      <c r="J4" s="541" t="n">
        <v>0</v>
      </c>
      <c r="K4" s="541" t="n">
        <v>0.84</v>
      </c>
      <c r="L4" s="541" t="n">
        <v>1.18</v>
      </c>
      <c r="M4" s="541" t="n">
        <v>0.9399999999999999</v>
      </c>
      <c r="N4" s="541" t="n">
        <v>1.44</v>
      </c>
      <c r="O4" s="541" t="n">
        <v>1.24</v>
      </c>
      <c r="P4" s="541" t="n">
        <v>1.52</v>
      </c>
      <c r="Q4" s="541" t="n">
        <v>0.66</v>
      </c>
      <c r="R4" s="541" t="n">
        <v>1.66</v>
      </c>
      <c r="S4" s="541" t="n">
        <v>1.2</v>
      </c>
      <c r="T4" s="541" t="n">
        <v>1.1</v>
      </c>
      <c r="U4" s="541" t="n">
        <v>1.06</v>
      </c>
      <c r="V4" s="541" t="n">
        <v>0.84</v>
      </c>
      <c r="W4" s="541" t="n">
        <v>1.76</v>
      </c>
      <c r="X4" s="541" t="n">
        <v>2</v>
      </c>
      <c r="Y4" s="541" t="n">
        <v>3.06</v>
      </c>
      <c r="Z4" s="541" t="n">
        <v>2.46</v>
      </c>
      <c r="AA4" s="541" t="n">
        <v>3.08</v>
      </c>
      <c r="AB4" s="541" t="n">
        <v>3.38</v>
      </c>
      <c r="AC4" s="541" t="n">
        <v>3.04</v>
      </c>
      <c r="AD4" s="541" t="n">
        <v>2.34</v>
      </c>
      <c r="AE4" s="541" t="n">
        <v>2.32</v>
      </c>
      <c r="AF4" s="541" t="n">
        <v>2.18</v>
      </c>
      <c r="AG4" s="19" t="n">
        <v>2.24</v>
      </c>
      <c r="AH4" s="19" t="n">
        <v>1.5</v>
      </c>
      <c r="AI4" s="19" t="n">
        <v>2.04</v>
      </c>
      <c r="AJ4" s="19" t="n">
        <v>3.1</v>
      </c>
      <c r="AK4" s="19" t="n">
        <v>4.74</v>
      </c>
      <c r="AL4" s="19" t="n">
        <v>4.24</v>
      </c>
      <c r="AM4" s="19" t="n">
        <v>8.32</v>
      </c>
      <c r="AN4" s="19" t="n">
        <v>10.7</v>
      </c>
      <c r="AO4" s="56" t="n">
        <v>5.74</v>
      </c>
      <c r="AP4" s="19" t="n">
        <v>15.42</v>
      </c>
      <c r="AQ4" s="21" t="n"/>
      <c r="AR4" s="20">
        <f>842/D4</f>
        <v/>
      </c>
      <c r="AS4" s="21">
        <f>SUM(AG4:AR4)</f>
        <v/>
      </c>
      <c r="AT4" s="542">
        <f>AS4/12</f>
        <v/>
      </c>
      <c r="AU4" s="20" t="n">
        <v>1105</v>
      </c>
      <c r="AV4" s="20" t="n">
        <v>1682</v>
      </c>
      <c r="AW4" s="20" t="n">
        <v>2156</v>
      </c>
      <c r="AX4" s="20" t="n">
        <v>2205</v>
      </c>
      <c r="AY4" s="20" t="n">
        <v>2266</v>
      </c>
      <c r="AZ4" s="20">
        <f>SUMIFS(領用表!$L:$L,領用表!$E:$E,$B4,領用表!$B:$B,AZ$2&amp;$BI$1)</f>
        <v/>
      </c>
      <c r="BA4" s="20">
        <f>SUMIFS(領用表!$L:$L,領用表!$E:$E,$B4,領用表!$B:$B,BA$2&amp;$BI$1)</f>
        <v/>
      </c>
      <c r="BB4" s="20">
        <f>SUMIFS(領用表!$L:$L,領用表!$E:$E,$B4,領用表!$B:$B,BB$2&amp;$BI$1)</f>
        <v/>
      </c>
      <c r="BC4" s="20">
        <f>SUMIFS(領用表!$L:$L,領用表!$E:$E,$B4,領用表!$B:$B,BC$2&amp;$BI$1)</f>
        <v/>
      </c>
      <c r="BD4" s="142">
        <f>SUMIFS(領用表!$L:$L,領用表!$E:$E,$B4,領用表!$B:$B,BD$2&amp;$BI$1)</f>
        <v/>
      </c>
      <c r="BE4" s="142">
        <f>SUMIFS(領用表!$L:$L,領用表!$E:$E,$B4,領用表!$B:$B,BE$2&amp;$BI$1)</f>
        <v/>
      </c>
      <c r="BF4" s="142">
        <f>SUMIFS(領用表!$L:$L,領用表!$E:$E,$B4,領用表!$B:$B,BF$2&amp;$BI$1)</f>
        <v/>
      </c>
      <c r="BG4" s="23">
        <f>SUM(AU4,AV4,AW4,AX4,AY4,AZ4,BA4,BB4,BC4,BD4,BE4,BF4)</f>
        <v/>
      </c>
      <c r="BH4" s="23">
        <f>AVERAGE(AU4,AV4,AW4,AX4,AY4,AZ4,BA4,BB4,BC4,BD4,BE4,BF4)</f>
        <v/>
      </c>
      <c r="BI4" s="142">
        <f>SUMIFS(領用表!$L:$L,領用表!$E:$E,$B4,領用表!$B:$B,BI$2&amp;$BI$1)</f>
        <v/>
      </c>
      <c r="BJ4" s="142">
        <f>SUMIFS(領用表!$L:$L,領用表!$E:$E,$B4,領用表!$B:$B,BJ$2&amp;$BI$1)</f>
        <v/>
      </c>
      <c r="BK4" s="142">
        <f>SUMIFS(領用表!$L:$L,領用表!$E:$E,$B4,領用表!$B:$B,BK$2&amp;$BI$1)</f>
        <v/>
      </c>
      <c r="BL4" s="142">
        <f>SUMIFS(領用表!$L:$L,領用表!$E:$E,$B4,領用表!$B:$B,BL$2&amp;$BI$1)</f>
        <v/>
      </c>
      <c r="BM4" s="142">
        <f>SUMIFS(領用表!$L:$L,領用表!$E:$E,$B4,領用表!$B:$B,BM$2&amp;$BI$1)</f>
        <v/>
      </c>
      <c r="BN4" s="142" t="n">
        <v>845</v>
      </c>
      <c r="BO4" s="142">
        <f>SUMIFS(領用表!$L:$L,領用表!$E:$E,$B4,領用表!$B:$B,BO$2&amp;$BI$1)</f>
        <v/>
      </c>
      <c r="BP4" s="142">
        <f>SUMIFS(領用表!$L:$L,領用表!$E:$E,$B4,領用表!$B:$B,BP$2&amp;$BI$1)</f>
        <v/>
      </c>
      <c r="BQ4" s="142">
        <f>SUMIFS(領用表!$L:$L,領用表!$E:$E,$B4,領用表!$B:$B,BQ$2&amp;$BI$1)</f>
        <v/>
      </c>
      <c r="BR4" s="142">
        <f>SUMIFS(領用表!$L:$L,領用表!$E:$E,$B4,領用表!$B:$B,BR$2&amp;$BI$1)</f>
        <v/>
      </c>
      <c r="BS4" s="142">
        <f>SUMIFS(領用表!$L:$L,領用表!$E:$E,$B4,領用表!$B:$B,BS$2&amp;$BI$1)</f>
        <v/>
      </c>
      <c r="BT4" s="142">
        <f>SUMIFS(領用表!$L:$L,領用表!$E:$E,$B4,領用表!$B:$B,BT$2&amp;$BI$1)</f>
        <v/>
      </c>
      <c r="BU4" s="208">
        <f>SUM(BI4,BJ4,BK4,BL4,BM4,BN4)</f>
        <v/>
      </c>
      <c r="BV4" s="208">
        <f>AVERAGE(BI4,BJ4,BK4,BL4,BM4,BN4)</f>
        <v/>
      </c>
      <c r="BW4" s="142">
        <f>SUMIF(Summary!B:B,B4,Summary!EA:EA)</f>
        <v/>
      </c>
      <c r="BX4" s="101" t="n"/>
      <c r="BY4" s="24" t="inlineStr">
        <is>
          <t>358顆又5點</t>
        </is>
      </c>
      <c r="BZ4" s="57" t="inlineStr">
        <is>
          <t>1000點(10/23)</t>
        </is>
      </c>
      <c r="CA4" s="57" t="inlineStr">
        <is>
          <t>500點(10/23)</t>
        </is>
      </c>
      <c r="CB4" s="27" t="n"/>
      <c r="CC4" s="28" t="n"/>
      <c r="CD4" s="14" t="n"/>
      <c r="CE4" s="29" t="n"/>
    </row>
    <row r="5" ht="15.75" customHeight="1" s="453">
      <c r="A5" s="27" t="inlineStr">
        <is>
          <t>MM2MX070001A</t>
        </is>
      </c>
      <c r="B5" s="14" t="n">
        <v>6190005</v>
      </c>
      <c r="C5" s="118" t="inlineStr">
        <is>
          <t>光纖針+靜脈留置針(1組)</t>
        </is>
      </c>
      <c r="D5" s="16" t="n">
        <v>50</v>
      </c>
      <c r="E5" s="17" t="inlineStr">
        <is>
          <t>SET</t>
        </is>
      </c>
      <c r="F5" s="18" t="n">
        <v>102</v>
      </c>
      <c r="G5" s="18" t="n"/>
      <c r="H5" s="541" t="n">
        <v>0</v>
      </c>
      <c r="I5" s="541" t="n">
        <v>0</v>
      </c>
      <c r="J5" s="541" t="n">
        <v>0</v>
      </c>
      <c r="K5" s="541" t="n">
        <v>0.02</v>
      </c>
      <c r="L5" s="541" t="n">
        <v>0</v>
      </c>
      <c r="M5" s="541" t="n">
        <v>0</v>
      </c>
      <c r="N5" s="541" t="n">
        <v>0</v>
      </c>
      <c r="O5" s="541" t="n">
        <v>0</v>
      </c>
      <c r="P5" s="541" t="n">
        <v>0</v>
      </c>
      <c r="Q5" s="541" t="n">
        <v>0</v>
      </c>
      <c r="R5" s="541" t="n">
        <v>0</v>
      </c>
      <c r="S5" s="541" t="n">
        <v>0</v>
      </c>
      <c r="T5" s="541" t="n">
        <v>0</v>
      </c>
      <c r="U5" s="541" t="n">
        <v>0</v>
      </c>
      <c r="V5" s="541" t="n">
        <v>0</v>
      </c>
      <c r="W5" s="541" t="n">
        <v>0</v>
      </c>
      <c r="X5" s="541" t="n">
        <v>0</v>
      </c>
      <c r="Y5" s="541" t="n">
        <v>0</v>
      </c>
      <c r="Z5" s="541" t="n">
        <v>0</v>
      </c>
      <c r="AA5" s="541" t="n">
        <v>0</v>
      </c>
      <c r="AB5" s="541" t="n">
        <v>0.42</v>
      </c>
      <c r="AC5" s="541" t="n">
        <v>0.36</v>
      </c>
      <c r="AD5" s="541" t="n">
        <v>0.62</v>
      </c>
      <c r="AE5" s="541" t="n">
        <v>0.32</v>
      </c>
      <c r="AF5" s="541" t="n">
        <v>0.22</v>
      </c>
      <c r="AG5" s="19" t="n">
        <v>0.14</v>
      </c>
      <c r="AH5" s="19" t="n">
        <v>0.14</v>
      </c>
      <c r="AI5" s="19" t="n">
        <v>0.02</v>
      </c>
      <c r="AJ5" s="19" t="n">
        <v>0.76</v>
      </c>
      <c r="AK5" s="19" t="n">
        <v>0.46</v>
      </c>
      <c r="AL5" s="19" t="n">
        <v>0.12</v>
      </c>
      <c r="AM5" s="19" t="n">
        <v>0.08</v>
      </c>
      <c r="AN5" s="19" t="n">
        <v>1.34</v>
      </c>
      <c r="AO5" s="19" t="n">
        <v>1.62</v>
      </c>
      <c r="AP5" s="19" t="n">
        <v>1.34</v>
      </c>
      <c r="AQ5" s="19" t="n">
        <v>2.6</v>
      </c>
      <c r="AR5" s="20">
        <f>173/D5</f>
        <v/>
      </c>
      <c r="AS5" s="21">
        <f>SUM(AG5:AR5)</f>
        <v/>
      </c>
      <c r="AT5" s="542">
        <f>AS5/12</f>
        <v/>
      </c>
      <c r="AU5" s="20" t="n">
        <v>85</v>
      </c>
      <c r="AV5" s="20" t="n">
        <v>54</v>
      </c>
      <c r="AW5" s="20" t="n">
        <v>31</v>
      </c>
      <c r="AX5" s="30" t="n">
        <v>80</v>
      </c>
      <c r="AY5" s="20" t="n">
        <v>62</v>
      </c>
      <c r="AZ5" s="20">
        <f>SUMIFS(領用表!$L:$L,領用表!$E:$E,$B5,領用表!$B:$B,AZ$2&amp;$BI$1)</f>
        <v/>
      </c>
      <c r="BA5" s="20">
        <f>SUMIFS(領用表!$L:$L,領用表!$E:$E,$B5,領用表!$B:$B,BA$2&amp;$BI$1)</f>
        <v/>
      </c>
      <c r="BB5" s="20">
        <f>SUMIFS(領用表!$L:$L,領用表!$E:$E,$B5,領用表!$B:$B,BB$2&amp;$BI$1)</f>
        <v/>
      </c>
      <c r="BC5" s="20">
        <f>SUMIFS(領用表!$L:$L,領用表!$E:$E,$B5,領用表!$B:$B,BC$2&amp;$BI$1)</f>
        <v/>
      </c>
      <c r="BD5" s="142">
        <f>SUMIFS(領用表!$L:$L,領用表!$E:$E,$B5,領用表!$B:$B,BD$2&amp;$BI$1)</f>
        <v/>
      </c>
      <c r="BE5" s="142">
        <f>SUMIFS(領用表!$L:$L,領用表!$E:$E,$B5,領用表!$B:$B,BE$2&amp;$BI$1)</f>
        <v/>
      </c>
      <c r="BF5" s="142">
        <f>SUMIFS(領用表!$L:$L,領用表!$E:$E,$B5,領用表!$B:$B,BF$2&amp;$BI$1)</f>
        <v/>
      </c>
      <c r="BG5" s="23">
        <f>SUM(AU5,AV5,AW5,AX5,AY5,AZ5,BA5,BB5,BC5,BD5,BE5,BF5)</f>
        <v/>
      </c>
      <c r="BH5" s="23">
        <f>AVERAGE(AU5,AV5,AW5,AX5,AY5,AZ5,BA5,BB5,BC5,BD5,BE5,BF5)</f>
        <v/>
      </c>
      <c r="BI5" s="142">
        <f>SUMIFS(領用表!$L:$L,領用表!$E:$E,$B5,領用表!$B:$B,BI$2&amp;$BI$1)</f>
        <v/>
      </c>
      <c r="BJ5" s="142">
        <f>SUMIFS(領用表!$L:$L,領用表!$E:$E,$B5,領用表!$B:$B,BJ$2&amp;$BI$1)</f>
        <v/>
      </c>
      <c r="BK5" s="142">
        <f>SUMIFS(領用表!$L:$L,領用表!$E:$E,$B5,領用表!$B:$B,BK$2&amp;$BI$1)</f>
        <v/>
      </c>
      <c r="BL5" s="142">
        <f>SUMIFS(領用表!$L:$L,領用表!$E:$E,$B5,領用表!$B:$B,BL$2&amp;$BI$1)</f>
        <v/>
      </c>
      <c r="BM5" s="142">
        <f>SUMIFS(領用表!$L:$L,領用表!$E:$E,$B5,領用表!$B:$B,BM$2&amp;$BI$1)</f>
        <v/>
      </c>
      <c r="BN5" s="142" t="n">
        <v>8</v>
      </c>
      <c r="BO5" s="142">
        <f>SUMIFS(領用表!$L:$L,領用表!$E:$E,$B5,領用表!$B:$B,BO$2&amp;$BI$1)</f>
        <v/>
      </c>
      <c r="BP5" s="142">
        <f>SUMIFS(領用表!$L:$L,領用表!$E:$E,$B5,領用表!$B:$B,BP$2&amp;$BI$1)</f>
        <v/>
      </c>
      <c r="BQ5" s="142">
        <f>SUMIFS(領用表!$L:$L,領用表!$E:$E,$B5,領用表!$B:$B,BQ$2&amp;$BI$1)</f>
        <v/>
      </c>
      <c r="BR5" s="142">
        <f>SUMIFS(領用表!$L:$L,領用表!$E:$E,$B5,領用表!$B:$B,BR$2&amp;$BI$1)</f>
        <v/>
      </c>
      <c r="BS5" s="142">
        <f>SUMIFS(領用表!$L:$L,領用表!$E:$E,$B5,領用表!$B:$B,BS$2&amp;$BI$1)</f>
        <v/>
      </c>
      <c r="BT5" s="142">
        <f>SUMIFS(領用表!$L:$L,領用表!$E:$E,$B5,領用表!$B:$B,BT$2&amp;$BI$1)</f>
        <v/>
      </c>
      <c r="BU5" s="142">
        <f>SUM(BI5,BJ5,BK5,BL5,BM5,BN5)</f>
        <v/>
      </c>
      <c r="BV5" s="142">
        <f>AVERAGE(BI5,BJ5,BK5,BL5,BM5,BN5)</f>
        <v/>
      </c>
      <c r="BW5" s="142">
        <f>SUMIF(Summary!B:B,B5,Summary!EA:EA)</f>
        <v/>
      </c>
      <c r="BX5" s="101" t="n"/>
      <c r="BY5" s="24" t="n"/>
      <c r="BZ5" s="25" t="n"/>
      <c r="CA5" s="25" t="n"/>
      <c r="CB5" s="27" t="n"/>
      <c r="CC5" s="28" t="n"/>
      <c r="CD5" s="14" t="n"/>
      <c r="CE5" s="29" t="n"/>
    </row>
    <row r="6" ht="15.75" customFormat="1" customHeight="1" s="154">
      <c r="A6" s="143" t="n"/>
      <c r="B6" s="143" t="n"/>
      <c r="C6" s="144" t="n"/>
      <c r="D6" s="145" t="n"/>
      <c r="E6" s="146" t="n"/>
      <c r="F6" s="147" t="n"/>
      <c r="G6" s="147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3" t="n"/>
      <c r="R6" s="143" t="n"/>
      <c r="S6" s="143" t="n"/>
      <c r="T6" s="143" t="n"/>
      <c r="U6" s="143" t="n"/>
      <c r="V6" s="143" t="n"/>
      <c r="W6" s="143" t="n"/>
      <c r="X6" s="143" t="n"/>
      <c r="Y6" s="143" t="n"/>
      <c r="Z6" s="143" t="n"/>
      <c r="AA6" s="143" t="n"/>
      <c r="AB6" s="143" t="n"/>
      <c r="AC6" s="143" t="n"/>
      <c r="AD6" s="143" t="n"/>
      <c r="AE6" s="143" t="n"/>
      <c r="AF6" s="143" t="n"/>
      <c r="AG6" s="143" t="n"/>
      <c r="AH6" s="143" t="n"/>
      <c r="AI6" s="143" t="n"/>
      <c r="AJ6" s="143" t="n"/>
      <c r="AK6" s="143" t="n"/>
      <c r="AL6" s="143" t="n"/>
      <c r="AM6" s="143" t="n"/>
      <c r="AN6" s="148" t="n"/>
      <c r="AO6" s="148" t="n"/>
      <c r="AP6" s="148" t="n"/>
      <c r="AQ6" s="143" t="n"/>
      <c r="AR6" s="143" t="n"/>
      <c r="AS6" s="143" t="n"/>
      <c r="AT6" s="143" t="n"/>
      <c r="AU6" s="143" t="n"/>
      <c r="AV6" s="143" t="n"/>
      <c r="AW6" s="143" t="n"/>
      <c r="AX6" s="143" t="n"/>
      <c r="AY6" s="143" t="n"/>
      <c r="AZ6" s="150">
        <f>SUMIFS(領用表!$L:$L,領用表!$E:$E,$B6,領用表!$B:$B,AZ$2&amp;$BI$1)</f>
        <v/>
      </c>
      <c r="BA6" s="150" t="n"/>
      <c r="BB6" s="150" t="n"/>
      <c r="BC6" s="150" t="n"/>
      <c r="BD6" s="150" t="n"/>
      <c r="BE6" s="150" t="n"/>
      <c r="BF6" s="150" t="n"/>
      <c r="BG6" s="150" t="n"/>
      <c r="BH6" s="150" t="n"/>
      <c r="BI6" s="150" t="n"/>
      <c r="BJ6" s="150" t="n"/>
      <c r="BK6" s="150" t="n"/>
      <c r="BL6" s="150" t="n"/>
      <c r="BM6" s="150" t="n"/>
      <c r="BN6" s="150" t="n"/>
      <c r="BO6" s="150" t="n"/>
      <c r="BP6" s="150" t="n"/>
      <c r="BQ6" s="150" t="n"/>
      <c r="BR6" s="150" t="n"/>
      <c r="BS6" s="150" t="n"/>
      <c r="BT6" s="150" t="n"/>
      <c r="BU6" s="150">
        <f>SUM(BI6,BJ6,BK6,BL6,BM6,BN6)</f>
        <v/>
      </c>
      <c r="BV6" s="150">
        <f>AVERAGE(BI6,BJ6,BK6,BL6,BM6,BN6)</f>
        <v/>
      </c>
      <c r="BW6" s="150" t="n"/>
      <c r="BX6" s="151" t="n"/>
      <c r="BY6" s="143" t="n"/>
      <c r="BZ6" s="143" t="n"/>
      <c r="CA6" s="143" t="n"/>
      <c r="CB6" s="143" t="n"/>
      <c r="CC6" s="143" t="n"/>
      <c r="CD6" s="152" t="n"/>
      <c r="CE6" s="153" t="n"/>
    </row>
    <row r="7" ht="15.75" customHeight="1" s="453">
      <c r="A7" s="27" t="inlineStr">
        <is>
          <t>MB3ME100001A</t>
        </is>
      </c>
      <c r="B7" s="14" t="n">
        <v>6140001</v>
      </c>
      <c r="C7" s="118" t="inlineStr">
        <is>
          <t>保妥適Botox 100u/ vial  (因稀釋手法會有些許差異)</t>
        </is>
      </c>
      <c r="D7" s="67" t="n">
        <v>100</v>
      </c>
      <c r="E7" s="17" t="inlineStr">
        <is>
          <t>U</t>
        </is>
      </c>
      <c r="F7" s="18" t="n"/>
      <c r="G7" s="1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19" t="n">
        <v>1299</v>
      </c>
      <c r="AH7" s="19" t="n">
        <v>412</v>
      </c>
      <c r="AI7" s="19" t="n">
        <v>1360</v>
      </c>
      <c r="AJ7" s="19" t="n">
        <v>1029</v>
      </c>
      <c r="AK7" s="19" t="n">
        <v>1039</v>
      </c>
      <c r="AL7" s="19" t="n">
        <v>856</v>
      </c>
      <c r="AM7" s="19" t="n">
        <v>1736</v>
      </c>
      <c r="AN7" s="19" t="n">
        <v>1284</v>
      </c>
      <c r="AO7" s="19" t="n">
        <v>1556</v>
      </c>
      <c r="AP7" s="19" t="n">
        <v>2374</v>
      </c>
      <c r="AQ7" s="19" t="n">
        <v>1860</v>
      </c>
      <c r="AR7" s="19" t="n">
        <v>2408</v>
      </c>
      <c r="AS7" s="68">
        <f>SUM(AG7:AR7)</f>
        <v/>
      </c>
      <c r="AT7" s="26">
        <f>AS7/12</f>
        <v/>
      </c>
      <c r="AU7" s="19" t="n">
        <v>1847</v>
      </c>
      <c r="AV7" s="19" t="n">
        <v>1154</v>
      </c>
      <c r="AW7" s="19" t="n">
        <v>2146</v>
      </c>
      <c r="AX7" s="19" t="n">
        <v>3235</v>
      </c>
      <c r="AY7" s="19" t="n">
        <v>3520</v>
      </c>
      <c r="AZ7" s="20">
        <f>SUMIFS(領用表!$L:$L,領用表!$E:$E,$B7,領用表!$B:$B,AZ$2&amp;$BI$1)</f>
        <v/>
      </c>
      <c r="BA7" s="20">
        <f>SUMIFS(領用表!$L:$L,領用表!$E:$E,$B7,領用表!$B:$B,BA$2&amp;$BI$1)</f>
        <v/>
      </c>
      <c r="BB7" s="20">
        <f>SUMIFS(領用表!$L:$L,領用表!$E:$E,$B7,領用表!$B:$B,BB$2&amp;$BI$1)</f>
        <v/>
      </c>
      <c r="BC7" s="20">
        <f>SUMIFS(領用表!$L:$L,領用表!$E:$E,$B7,領用表!$B:$B,BC$2&amp;$BI$1)</f>
        <v/>
      </c>
      <c r="BD7" s="142">
        <f>SUMIFS(領用表!$L:$L,領用表!$E:$E,$B7,領用表!$B:$B,BD$2&amp;$BI$1)</f>
        <v/>
      </c>
      <c r="BE7" s="142">
        <f>SUMIFS(領用表!$L:$L,領用表!$E:$E,$B7,領用表!$B:$B,BE$2&amp;$BI$1)</f>
        <v/>
      </c>
      <c r="BF7" s="142">
        <f>SUMIFS(領用表!$L:$L,領用表!$E:$E,$B7,領用表!$B:$B,BF$2&amp;$BI$1)</f>
        <v/>
      </c>
      <c r="BG7" s="23">
        <f>SUM(AU7,AV7,AW7,AX7,AY7,AZ7,BA7,BB7,BC7,BD7,BE7,BF7)</f>
        <v/>
      </c>
      <c r="BH7" s="23">
        <f>AVERAGE(AU7,AV7,AW7,AX7,AY7,AZ7,BA7,BB7,BC7,BD7,BE7,BF7)</f>
        <v/>
      </c>
      <c r="BI7" s="142">
        <f>SUMIFS(領用表!$L:$L,領用表!$E:$E,$B7,領用表!$B:$B,BI$2&amp;$BI$1)</f>
        <v/>
      </c>
      <c r="BJ7" s="142">
        <f>SUMIFS(領用表!$L:$L,領用表!$E:$E,$B7,領用表!$B:$B,BJ$2&amp;$BI$1)</f>
        <v/>
      </c>
      <c r="BK7" s="142">
        <f>SUMIFS(領用表!$L:$L,領用表!$E:$E,$B7,領用表!$B:$B,BK$2&amp;$BI$1)</f>
        <v/>
      </c>
      <c r="BL7" s="142">
        <f>SUMIFS(領用表!$L:$L,領用表!$E:$E,$B7,領用表!$B:$B,BL$2&amp;$BI$1)</f>
        <v/>
      </c>
      <c r="BM7" s="142">
        <f>SUMIFS(領用表!$L:$L,領用表!$E:$E,$B7,領用表!$B:$B,BM$2&amp;$BI$1)</f>
        <v/>
      </c>
      <c r="BN7" s="142" t="n"/>
      <c r="BO7" s="142">
        <f>SUMIFS(領用表!$L:$L,領用表!$E:$E,$B7,領用表!$B:$B,BO$2&amp;$BI$1)</f>
        <v/>
      </c>
      <c r="BP7" s="142">
        <f>SUMIFS(領用表!$L:$L,領用表!$E:$E,$B7,領用表!$B:$B,BP$2&amp;$BI$1)</f>
        <v/>
      </c>
      <c r="BQ7" s="142">
        <f>SUMIFS(領用表!$L:$L,領用表!$E:$E,$B7,領用表!$B:$B,BQ$2&amp;$BI$1)</f>
        <v/>
      </c>
      <c r="BR7" s="142">
        <f>SUMIFS(領用表!$L:$L,領用表!$E:$E,$B7,領用表!$B:$B,BR$2&amp;$BI$1)</f>
        <v/>
      </c>
      <c r="BS7" s="142">
        <f>SUMIFS(領用表!$L:$L,領用表!$E:$E,$B7,領用表!$B:$B,BS$2&amp;$BI$1)</f>
        <v/>
      </c>
      <c r="BT7" s="142">
        <f>SUMIFS(領用表!$L:$L,領用表!$E:$E,$B7,領用表!$B:$B,BT$2&amp;$BI$1)</f>
        <v/>
      </c>
      <c r="BU7" s="142">
        <f>SUM(BI7,BJ7,BK7,BL7,BM7,BN7)</f>
        <v/>
      </c>
      <c r="BV7" s="142">
        <f>AVERAGE(BI7,BJ7,BK7,BL7,BM7,BN7)</f>
        <v/>
      </c>
      <c r="BW7" s="142">
        <f>SUMIF(Summary!B:B,B7,Summary!EA:EA)</f>
        <v/>
      </c>
      <c r="BX7" s="108" t="n"/>
      <c r="BY7" s="65" t="n"/>
      <c r="BZ7" s="65" t="inlineStr">
        <is>
          <t>3500-10/28</t>
        </is>
      </c>
      <c r="CA7" s="65" t="inlineStr">
        <is>
          <t>1000-10/28</t>
        </is>
      </c>
      <c r="CB7" s="27" t="n"/>
      <c r="CC7" s="69" t="n"/>
      <c r="CD7" s="14" t="n"/>
      <c r="CE7" s="29" t="n"/>
    </row>
    <row r="8" ht="15.75" customHeight="1" s="453">
      <c r="A8" s="27" t="inlineStr">
        <is>
          <t>MB3ME100002A</t>
        </is>
      </c>
      <c r="B8" s="14" t="n">
        <v>6140003</v>
      </c>
      <c r="C8" s="118" t="inlineStr">
        <is>
          <t>保提拉凍晶注射劑Letybo 200u/ vial</t>
        </is>
      </c>
      <c r="D8" s="67" t="n">
        <v>200</v>
      </c>
      <c r="E8" s="17" t="inlineStr">
        <is>
          <t>U</t>
        </is>
      </c>
      <c r="F8" s="18" t="n"/>
      <c r="G8" s="1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19" t="n">
        <v>2152</v>
      </c>
      <c r="AH8" s="19" t="n">
        <v>1842</v>
      </c>
      <c r="AI8" s="19" t="n">
        <v>1188</v>
      </c>
      <c r="AJ8" s="19" t="n">
        <v>821</v>
      </c>
      <c r="AK8" s="19" t="n">
        <v>405</v>
      </c>
      <c r="AL8" s="19" t="n">
        <v>528</v>
      </c>
      <c r="AM8" s="19" t="n">
        <v>1232</v>
      </c>
      <c r="AN8" s="19" t="n">
        <v>1504</v>
      </c>
      <c r="AO8" s="19" t="n">
        <v>1412</v>
      </c>
      <c r="AP8" s="19">
        <f>1940+950</f>
        <v/>
      </c>
      <c r="AQ8" s="19" t="n">
        <v>3782</v>
      </c>
      <c r="AR8" s="19" t="n">
        <v>4839</v>
      </c>
      <c r="AS8" s="68">
        <f>SUM(AG8:AR8)</f>
        <v/>
      </c>
      <c r="AT8" s="26">
        <f>AS8/12</f>
        <v/>
      </c>
      <c r="AU8" s="19" t="n">
        <v>6565</v>
      </c>
      <c r="AV8" s="19" t="n">
        <v>5543</v>
      </c>
      <c r="AW8" s="19" t="n">
        <v>8513</v>
      </c>
      <c r="AX8" s="19" t="n">
        <v>6602</v>
      </c>
      <c r="AY8" s="19" t="n">
        <v>6922</v>
      </c>
      <c r="AZ8" s="20">
        <f>SUMIFS(領用表!$L:$L,領用表!$E:$E,$B8,領用表!$B:$B,AZ$2&amp;$BI$1)</f>
        <v/>
      </c>
      <c r="BA8" s="20">
        <f>SUMIFS(領用表!$L:$L,領用表!$E:$E,$B8,領用表!$B:$B,BA$2&amp;$BI$1)</f>
        <v/>
      </c>
      <c r="BB8" s="20">
        <f>SUMIFS(領用表!$L:$L,領用表!$E:$E,$B8,領用表!$B:$B,BB$2&amp;$BI$1)</f>
        <v/>
      </c>
      <c r="BC8" s="20">
        <f>SUMIFS(領用表!$L:$L,領用表!$E:$E,$B8,領用表!$B:$B,BC$2&amp;$BI$1)</f>
        <v/>
      </c>
      <c r="BD8" s="142">
        <f>SUMIFS(領用表!$L:$L,領用表!$E:$E,$B8,領用表!$B:$B,BD$2&amp;$BI$1)</f>
        <v/>
      </c>
      <c r="BE8" s="142">
        <f>SUMIFS(領用表!$L:$L,領用表!$E:$E,$B8,領用表!$B:$B,BE$2&amp;$BI$1)</f>
        <v/>
      </c>
      <c r="BF8" s="142">
        <f>SUMIFS(領用表!$L:$L,領用表!$E:$E,$B8,領用表!$B:$B,BF$2&amp;$BI$1)</f>
        <v/>
      </c>
      <c r="BG8" s="23">
        <f>SUM(AU8,AV8,AW8,AX8,AY8,AZ8,BA8,BB8,BC8,BD8,BE8,BF8)</f>
        <v/>
      </c>
      <c r="BH8" s="23">
        <f>AVERAGE(AU8,AV8,AW8,AX8,AY8,AZ8,BA8,BB8,BC8,BD8,BE8,BF8)</f>
        <v/>
      </c>
      <c r="BI8" s="142">
        <f>SUMIFS(領用表!$L:$L,領用表!$E:$E,$B8,領用表!$B:$B,BI$2&amp;$BI$1)</f>
        <v/>
      </c>
      <c r="BJ8" s="142">
        <f>SUMIFS(領用表!$L:$L,領用表!$E:$E,$B8,領用表!$B:$B,BJ$2&amp;$BI$1)</f>
        <v/>
      </c>
      <c r="BK8" s="142">
        <f>SUMIFS(領用表!$L:$L,領用表!$E:$E,$B8,領用表!$B:$B,BK$2&amp;$BI$1)</f>
        <v/>
      </c>
      <c r="BL8" s="142">
        <f>SUMIFS(領用表!$L:$L,領用表!$E:$E,$B8,領用表!$B:$B,BL$2&amp;$BI$1)</f>
        <v/>
      </c>
      <c r="BM8" s="142">
        <f>SUMIFS(領用表!$L:$L,領用表!$E:$E,$B8,領用表!$B:$B,BM$2&amp;$BI$1)</f>
        <v/>
      </c>
      <c r="BN8" s="142" t="n"/>
      <c r="BO8" s="142">
        <f>SUMIFS(領用表!$L:$L,領用表!$E:$E,$B8,領用表!$B:$B,BO$2&amp;$BI$1)</f>
        <v/>
      </c>
      <c r="BP8" s="142">
        <f>SUMIFS(領用表!$L:$L,領用表!$E:$E,$B8,領用表!$B:$B,BP$2&amp;$BI$1)</f>
        <v/>
      </c>
      <c r="BQ8" s="142">
        <f>SUMIFS(領用表!$L:$L,領用表!$E:$E,$B8,領用表!$B:$B,BQ$2&amp;$BI$1)</f>
        <v/>
      </c>
      <c r="BR8" s="142">
        <f>SUMIFS(領用表!$L:$L,領用表!$E:$E,$B8,領用表!$B:$B,BR$2&amp;$BI$1)</f>
        <v/>
      </c>
      <c r="BS8" s="142">
        <f>SUMIFS(領用表!$L:$L,領用表!$E:$E,$B8,領用表!$B:$B,BS$2&amp;$BI$1)</f>
        <v/>
      </c>
      <c r="BT8" s="142">
        <f>SUMIFS(領用表!$L:$L,領用表!$E:$E,$B8,領用表!$B:$B,BT$2&amp;$BI$1)</f>
        <v/>
      </c>
      <c r="BU8" s="142">
        <f>SUM(BI8,BJ8,BK8,BL8,BM8,BN8)</f>
        <v/>
      </c>
      <c r="BV8" s="142">
        <f>AVERAGE(BI8,BJ8,BK8,BL8,BM8,BN8)</f>
        <v/>
      </c>
      <c r="BW8" s="142">
        <f>SUMIF(Summary!B:B,B8,Summary!EA:EA)</f>
        <v/>
      </c>
      <c r="BX8" s="108" t="n"/>
      <c r="BY8" s="65" t="n"/>
      <c r="BZ8" s="65" t="inlineStr">
        <is>
          <t>4000-10/22</t>
        </is>
      </c>
      <c r="CA8" s="65" t="n"/>
      <c r="CB8" s="27" t="n"/>
      <c r="CC8" s="69" t="n"/>
      <c r="CD8" s="14" t="n"/>
      <c r="CE8" s="29" t="n"/>
    </row>
    <row r="9" ht="15.75" customHeight="1" s="453">
      <c r="A9" s="27" t="inlineStr">
        <is>
          <t>MB3ME100003A</t>
        </is>
      </c>
      <c r="B9" s="14" t="n">
        <v>6140005</v>
      </c>
      <c r="C9" s="118" t="inlineStr">
        <is>
          <t>奇肌肉毒 200u/ vial  (因稀釋手法會有些許差異)</t>
        </is>
      </c>
      <c r="D9" s="67" t="n">
        <v>200</v>
      </c>
      <c r="E9" s="17" t="inlineStr">
        <is>
          <t>U</t>
        </is>
      </c>
      <c r="F9" s="18" t="n"/>
      <c r="G9" s="18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19" t="n">
        <v>0</v>
      </c>
      <c r="AH9" s="19" t="n">
        <v>0</v>
      </c>
      <c r="AI9" s="19" t="n">
        <v>1154</v>
      </c>
      <c r="AJ9" s="19" t="n">
        <v>2465</v>
      </c>
      <c r="AK9" s="19" t="n">
        <v>2607</v>
      </c>
      <c r="AL9" s="19" t="n">
        <v>2330</v>
      </c>
      <c r="AM9" s="19" t="n">
        <v>1488</v>
      </c>
      <c r="AN9" s="19" t="n">
        <v>6126</v>
      </c>
      <c r="AO9" s="19" t="n">
        <v>2454</v>
      </c>
      <c r="AP9" s="19" t="n">
        <v>3438</v>
      </c>
      <c r="AQ9" s="19" t="n">
        <v>3180</v>
      </c>
      <c r="AR9" s="19" t="n">
        <v>3251</v>
      </c>
      <c r="AS9" s="68">
        <f>SUM(AG9:AR9)</f>
        <v/>
      </c>
      <c r="AT9" s="26">
        <f>AS9/12</f>
        <v/>
      </c>
      <c r="AU9" s="19" t="n">
        <v>2150</v>
      </c>
      <c r="AV9" s="19" t="n">
        <v>2385</v>
      </c>
      <c r="AW9" s="19" t="n">
        <v>2782</v>
      </c>
      <c r="AX9" s="19" t="n">
        <v>2692</v>
      </c>
      <c r="AY9" s="19" t="n">
        <v>2952</v>
      </c>
      <c r="AZ9" s="20">
        <f>SUMIFS(領用表!$L:$L,領用表!$E:$E,$B9,領用表!$B:$B,AZ$2&amp;$BI$1)</f>
        <v/>
      </c>
      <c r="BA9" s="20">
        <f>SUMIFS(領用表!$L:$L,領用表!$E:$E,$B9,領用表!$B:$B,BA$2&amp;$BI$1)</f>
        <v/>
      </c>
      <c r="BB9" s="20">
        <f>SUMIFS(領用表!$L:$L,領用表!$E:$E,$B9,領用表!$B:$B,BB$2&amp;$BI$1)</f>
        <v/>
      </c>
      <c r="BC9" s="20">
        <f>SUMIFS(領用表!$L:$L,領用表!$E:$E,$B9,領用表!$B:$B,BC$2&amp;$BI$1)</f>
        <v/>
      </c>
      <c r="BD9" s="142">
        <f>SUMIFS(領用表!$L:$L,領用表!$E:$E,$B9,領用表!$B:$B,BD$2&amp;$BI$1)</f>
        <v/>
      </c>
      <c r="BE9" s="142">
        <f>SUMIFS(領用表!$L:$L,領用表!$E:$E,$B9,領用表!$B:$B,BE$2&amp;$BI$1)</f>
        <v/>
      </c>
      <c r="BF9" s="142">
        <f>SUMIFS(領用表!$L:$L,領用表!$E:$E,$B9,領用表!$B:$B,BF$2&amp;$BI$1)</f>
        <v/>
      </c>
      <c r="BG9" s="23">
        <f>SUM(AU9,AV9,AW9,AX9,AY9,AZ9,BA9,BB9,BC9,BD9,BE9,BF9)</f>
        <v/>
      </c>
      <c r="BH9" s="23">
        <f>AVERAGE(AU9,AV9,AW9,AX9,AY9,AZ9,BA9,BB9,BC9,BD9,BE9,BF9)</f>
        <v/>
      </c>
      <c r="BI9" s="142">
        <f>SUMIFS(領用表!$L:$L,領用表!$E:$E,$B9,領用表!$B:$B,BI$2&amp;$BI$1)</f>
        <v/>
      </c>
      <c r="BJ9" s="142">
        <f>SUMIFS(領用表!$L:$L,領用表!$E:$E,$B9,領用表!$B:$B,BJ$2&amp;$BI$1)</f>
        <v/>
      </c>
      <c r="BK9" s="142">
        <f>SUMIFS(領用表!$L:$L,領用表!$E:$E,$B9,領用表!$B:$B,BK$2&amp;$BI$1)</f>
        <v/>
      </c>
      <c r="BL9" s="142">
        <f>SUMIFS(領用表!$L:$L,領用表!$E:$E,$B9,領用表!$B:$B,BL$2&amp;$BI$1)</f>
        <v/>
      </c>
      <c r="BM9" s="142">
        <f>SUMIFS(領用表!$L:$L,領用表!$E:$E,$B9,領用表!$B:$B,BM$2&amp;$BI$1)</f>
        <v/>
      </c>
      <c r="BN9" s="142" t="n"/>
      <c r="BO9" s="142">
        <f>SUMIFS(領用表!$L:$L,領用表!$E:$E,$B9,領用表!$B:$B,BO$2&amp;$BI$1)</f>
        <v/>
      </c>
      <c r="BP9" s="142">
        <f>SUMIFS(領用表!$L:$L,領用表!$E:$E,$B9,領用表!$B:$B,BP$2&amp;$BI$1)</f>
        <v/>
      </c>
      <c r="BQ9" s="142">
        <f>SUMIFS(領用表!$L:$L,領用表!$E:$E,$B9,領用表!$B:$B,BQ$2&amp;$BI$1)</f>
        <v/>
      </c>
      <c r="BR9" s="142">
        <f>SUMIFS(領用表!$L:$L,領用表!$E:$E,$B9,領用表!$B:$B,BR$2&amp;$BI$1)</f>
        <v/>
      </c>
      <c r="BS9" s="142">
        <f>SUMIFS(領用表!$L:$L,領用表!$E:$E,$B9,領用表!$B:$B,BS$2&amp;$BI$1)</f>
        <v/>
      </c>
      <c r="BT9" s="142">
        <f>SUMIFS(領用表!$L:$L,領用表!$E:$E,$B9,領用表!$B:$B,BT$2&amp;$BI$1)</f>
        <v/>
      </c>
      <c r="BU9" s="142">
        <f>SUM(BI9,BJ9,BK9,BL9,BM9,BN9)</f>
        <v/>
      </c>
      <c r="BV9" s="142">
        <f>AVERAGE(BI9,BJ9,BK9,BL9,BM9,BN9)</f>
        <v/>
      </c>
      <c r="BW9" s="142">
        <f>SUMIF(Summary!B:B,B9,Summary!EA:EA)</f>
        <v/>
      </c>
      <c r="BX9" s="108" t="n"/>
      <c r="BY9" s="65" t="n"/>
      <c r="BZ9" s="65" t="n"/>
      <c r="CA9" s="65" t="n"/>
      <c r="CB9" s="27" t="n"/>
      <c r="CC9" s="69" t="n"/>
      <c r="CD9" s="14" t="n"/>
      <c r="CE9" s="29" t="n"/>
    </row>
    <row r="10" ht="15.75" customHeight="1" s="453">
      <c r="A10" s="27" t="n"/>
      <c r="B10" s="14" t="n">
        <v>6200001</v>
      </c>
      <c r="C10" s="118" t="inlineStr">
        <is>
          <t>善纖達 Saxenda 6 mg/ml 注射用溶液(3入)</t>
        </is>
      </c>
      <c r="D10" s="67" t="n">
        <v>3</v>
      </c>
      <c r="E10" s="17" t="inlineStr">
        <is>
          <t>支</t>
        </is>
      </c>
      <c r="F10" s="18" t="n"/>
      <c r="G10" s="1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19" t="n"/>
      <c r="AH10" s="19" t="n"/>
      <c r="AI10" s="19" t="n"/>
      <c r="AJ10" s="19" t="n"/>
      <c r="AK10" s="19" t="n"/>
      <c r="AL10" s="19" t="n"/>
      <c r="AM10" s="19" t="n">
        <v>159</v>
      </c>
      <c r="AN10" s="19" t="n">
        <v>291</v>
      </c>
      <c r="AO10" s="19" t="n">
        <v>533</v>
      </c>
      <c r="AP10" s="19" t="n">
        <v>138.33</v>
      </c>
      <c r="AQ10" s="19" t="n">
        <v>95.67</v>
      </c>
      <c r="AR10" s="19">
        <f>3*167.33</f>
        <v/>
      </c>
      <c r="AS10" s="68">
        <f>SUM(AG10:AR10)</f>
        <v/>
      </c>
      <c r="AT10" s="26">
        <f>AS10/12</f>
        <v/>
      </c>
      <c r="AU10" s="19">
        <f>3*148.97</f>
        <v/>
      </c>
      <c r="AV10" s="19">
        <f>3*82.7</f>
        <v/>
      </c>
      <c r="AW10" s="19" t="n">
        <v>312</v>
      </c>
      <c r="AX10" s="19" t="n">
        <v>359</v>
      </c>
      <c r="AY10" s="19" t="n">
        <v>268</v>
      </c>
      <c r="AZ10" s="20">
        <f>SUMIFS(領用表!$L:$L,領用表!$E:$E,$B10,領用表!$B:$B,AZ$2&amp;$BI$1)</f>
        <v/>
      </c>
      <c r="BA10" s="20">
        <f>SUMIFS(領用表!$L:$L,領用表!$E:$E,$B10,領用表!$B:$B,BA$2&amp;$BI$1)</f>
        <v/>
      </c>
      <c r="BB10" s="20">
        <f>SUMIFS(領用表!$L:$L,領用表!$E:$E,$B10,領用表!$B:$B,BB$2&amp;$BI$1)</f>
        <v/>
      </c>
      <c r="BC10" s="20">
        <f>SUMIFS(領用表!$L:$L,領用表!$E:$E,$B10,領用表!$B:$B,BC$2&amp;$BI$1)</f>
        <v/>
      </c>
      <c r="BD10" s="142">
        <f>SUMIFS(領用表!$L:$L,領用表!$E:$E,$B10,領用表!$B:$B,BD$2&amp;$BI$1)</f>
        <v/>
      </c>
      <c r="BE10" s="142">
        <f>SUMIFS(領用表!$L:$L,領用表!$E:$E,$B10,領用表!$B:$B,BE$2&amp;$BI$1)</f>
        <v/>
      </c>
      <c r="BF10" s="142">
        <f>SUMIFS(領用表!$L:$L,領用表!$E:$E,$B10,領用表!$B:$B,BF$2&amp;$BI$1)</f>
        <v/>
      </c>
      <c r="BG10" s="23">
        <f>SUM(AU10,AV10,AW10,AX10,AY10,AZ10,BA10,BB10,BC10,BD10,BE10,BF10)</f>
        <v/>
      </c>
      <c r="BH10" s="23">
        <f>AVERAGE(AU10,AV10,AW10,AX10,AY10,AZ10,BA10,BB10,BC10,BD10,BE10,BF10)</f>
        <v/>
      </c>
      <c r="BI10" s="142">
        <f>SUMIFS(領用表!$L:$L,領用表!$E:$E,$B10,領用表!$B:$B,BI$2&amp;$BI$1)</f>
        <v/>
      </c>
      <c r="BJ10" s="142">
        <f>SUMIFS(領用表!$L:$L,領用表!$E:$E,$B10,領用表!$B:$B,BJ$2&amp;$BI$1)</f>
        <v/>
      </c>
      <c r="BK10" s="142">
        <f>SUMIFS(領用表!$L:$L,領用表!$E:$E,$B10,領用表!$B:$B,BK$2&amp;$BI$1)</f>
        <v/>
      </c>
      <c r="BL10" s="142">
        <f>SUMIFS(領用表!$L:$L,領用表!$E:$E,$B10,領用表!$B:$B,BL$2&amp;$BI$1)</f>
        <v/>
      </c>
      <c r="BM10" s="142">
        <f>SUMIFS(領用表!$L:$L,領用表!$E:$E,$B10,領用表!$B:$B,BM$2&amp;$BI$1)</f>
        <v/>
      </c>
      <c r="BN10" s="142" t="n"/>
      <c r="BO10" s="142">
        <f>SUMIFS(領用表!$L:$L,領用表!$E:$E,$B10,領用表!$B:$B,BO$2&amp;$BI$1)</f>
        <v/>
      </c>
      <c r="BP10" s="142">
        <f>SUMIFS(領用表!$L:$L,領用表!$E:$E,$B10,領用表!$B:$B,BP$2&amp;$BI$1)</f>
        <v/>
      </c>
      <c r="BQ10" s="142">
        <f>SUMIFS(領用表!$L:$L,領用表!$E:$E,$B10,領用表!$B:$B,BQ$2&amp;$BI$1)</f>
        <v/>
      </c>
      <c r="BR10" s="142">
        <f>SUMIFS(領用表!$L:$L,領用表!$E:$E,$B10,領用表!$B:$B,BR$2&amp;$BI$1)</f>
        <v/>
      </c>
      <c r="BS10" s="142">
        <f>SUMIFS(領用表!$L:$L,領用表!$E:$E,$B10,領用表!$B:$B,BS$2&amp;$BI$1)</f>
        <v/>
      </c>
      <c r="BT10" s="142">
        <f>SUMIFS(領用表!$L:$L,領用表!$E:$E,$B10,領用表!$B:$B,BT$2&amp;$BI$1)</f>
        <v/>
      </c>
      <c r="BU10" s="142">
        <f>SUM(BI10,BJ10,BK10,BL10,BM10,BN10)</f>
        <v/>
      </c>
      <c r="BV10" s="142">
        <f>AVERAGE(BI10,BJ10,BK10,BL10,BM10,BN10)</f>
        <v/>
      </c>
      <c r="BW10" s="142">
        <f>SUMIF(Summary!B:B,B10,Summary!EA:EA)</f>
        <v/>
      </c>
      <c r="BX10" s="108" t="n"/>
      <c r="BY10" s="65" t="n"/>
      <c r="BZ10" s="65" t="n"/>
      <c r="CA10" s="65" t="n"/>
      <c r="CB10" s="27" t="n"/>
      <c r="CC10" s="69" t="n"/>
      <c r="CD10" s="14" t="n"/>
      <c r="CE10" s="29" t="n"/>
    </row>
    <row r="11" ht="15.75" customHeight="1" s="453">
      <c r="A11" s="27" t="n"/>
      <c r="B11" s="14" t="n">
        <v>6200007</v>
      </c>
      <c r="C11" s="425" t="inlineStr">
        <is>
          <t>善纖達針頭/猛健樂針頭</t>
        </is>
      </c>
      <c r="D11" s="67" t="n">
        <v>100</v>
      </c>
      <c r="E11" s="17" t="inlineStr">
        <is>
          <t>顆</t>
        </is>
      </c>
      <c r="F11" s="18" t="n">
        <v>478</v>
      </c>
      <c r="G11" s="1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542" t="inlineStr">
        <is>
          <t>-</t>
        </is>
      </c>
      <c r="AT11" s="542" t="inlineStr">
        <is>
          <t>-</t>
        </is>
      </c>
      <c r="AU11" s="542" t="inlineStr">
        <is>
          <t>-</t>
        </is>
      </c>
      <c r="AV11" s="542" t="inlineStr">
        <is>
          <t>-</t>
        </is>
      </c>
      <c r="AW11" s="542" t="inlineStr">
        <is>
          <t>-</t>
        </is>
      </c>
      <c r="AX11" s="19" t="inlineStr">
        <is>
          <t>-</t>
        </is>
      </c>
      <c r="AY11" s="19" t="inlineStr">
        <is>
          <t>-</t>
        </is>
      </c>
      <c r="AZ11" s="71">
        <f>SUMIFS(領用表!$L:$L,領用表!$E:$E,$B11,領用表!$B:$B,AZ$2&amp;$BI$1)</f>
        <v/>
      </c>
      <c r="BA11" s="20">
        <f>SUMIFS(領用表!$L:$L,領用表!$E:$E,$B11,領用表!$B:$B,BA$2&amp;$BI$1)</f>
        <v/>
      </c>
      <c r="BB11" s="20">
        <f>SUMIFS(領用表!$L:$L,領用表!$E:$E,$B11,領用表!$B:$B,BB$2&amp;$BI$1)</f>
        <v/>
      </c>
      <c r="BC11" s="20">
        <f>SUMIFS(領用表!$L:$L,領用表!$E:$E,$B11,領用表!$B:$B,BC$2&amp;$BI$1)</f>
        <v/>
      </c>
      <c r="BD11" s="142">
        <f>SUMIFS(領用表!$L:$L,領用表!$E:$E,$B11,領用表!$B:$B,BD$2&amp;$BI$1)</f>
        <v/>
      </c>
      <c r="BE11" s="142">
        <f>SUMIFS(領用表!$L:$L,領用表!$E:$E,$B11,領用表!$B:$B,BE$2&amp;$BI$1)</f>
        <v/>
      </c>
      <c r="BF11" s="142">
        <f>SUMIFS(領用表!$L:$L,領用表!$E:$E,$B11,領用表!$B:$B,BF$2&amp;$BI$1)</f>
        <v/>
      </c>
      <c r="BG11" s="23">
        <f>SUM(AU11,AV11,AW11,AX11,AY11,AZ11,BA11,BB11,BC11,BD11,BE11,BF11)</f>
        <v/>
      </c>
      <c r="BH11" s="23">
        <f>AVERAGE(AU11,AV11,AW11,AX11,AY11,AZ11,BA11,BB11,BC11,BD11,BE11,BF11)</f>
        <v/>
      </c>
      <c r="BI11" s="142">
        <f>SUMIFS(領用表!$L:$L,領用表!$E:$E,$B11,領用表!$B:$B,BI$2&amp;$BI$1)</f>
        <v/>
      </c>
      <c r="BJ11" s="142">
        <f>SUMIFS(領用表!$L:$L,領用表!$E:$E,$B11,領用表!$B:$B,BJ$2&amp;$BI$1)</f>
        <v/>
      </c>
      <c r="BK11" s="142">
        <f>SUMIFS(領用表!$L:$L,領用表!$E:$E,$B11,領用表!$B:$B,BK$2&amp;$BI$1)</f>
        <v/>
      </c>
      <c r="BL11" s="142">
        <f>SUMIFS(領用表!$L:$L,領用表!$E:$E,$B11,領用表!$B:$B,BL$2&amp;$BI$1)</f>
        <v/>
      </c>
      <c r="BM11" s="142">
        <f>SUMIFS(領用表!$L:$L,領用表!$E:$E,$B11,領用表!$B:$B,BM$2&amp;$BI$1)</f>
        <v/>
      </c>
      <c r="BN11" s="142" t="n"/>
      <c r="BO11" s="142">
        <f>SUMIFS(領用表!$L:$L,領用表!$E:$E,$B11,領用表!$B:$B,BO$2&amp;$BI$1)</f>
        <v/>
      </c>
      <c r="BP11" s="142">
        <f>SUMIFS(領用表!$L:$L,領用表!$E:$E,$B11,領用表!$B:$B,BP$2&amp;$BI$1)</f>
        <v/>
      </c>
      <c r="BQ11" s="142">
        <f>SUMIFS(領用表!$L:$L,領用表!$E:$E,$B11,領用表!$B:$B,BQ$2&amp;$BI$1)</f>
        <v/>
      </c>
      <c r="BR11" s="142">
        <f>SUMIFS(領用表!$L:$L,領用表!$E:$E,$B11,領用表!$B:$B,BR$2&amp;$BI$1)</f>
        <v/>
      </c>
      <c r="BS11" s="142">
        <f>SUMIFS(領用表!$L:$L,領用表!$E:$E,$B11,領用表!$B:$B,BS$2&amp;$BI$1)</f>
        <v/>
      </c>
      <c r="BT11" s="142">
        <f>SUMIFS(領用表!$L:$L,領用表!$E:$E,$B11,領用表!$B:$B,BT$2&amp;$BI$1)</f>
        <v/>
      </c>
      <c r="BU11" s="142">
        <f>SUM(BI11,BJ11,BK11,BL11,BM11,BN11)</f>
        <v/>
      </c>
      <c r="BV11" s="142">
        <f>AVERAGE(BI11,BJ11,BK11,BL11,BM11,BN11)</f>
        <v/>
      </c>
      <c r="BW11" s="142">
        <f>SUMIF(Summary!B:B,B11,Summary!EA:EA)</f>
        <v/>
      </c>
      <c r="BX11" s="108" t="n"/>
      <c r="BY11" s="65" t="n"/>
      <c r="BZ11" s="65" t="n"/>
      <c r="CA11" s="65" t="n"/>
      <c r="CB11" s="27" t="n"/>
      <c r="CC11" s="69" t="n"/>
      <c r="CD11" s="14" t="n"/>
      <c r="CE11" s="29" t="n"/>
    </row>
    <row r="12" ht="15.75" customHeight="1" s="453">
      <c r="A12" s="27" t="inlineStr">
        <is>
          <t>MB3ME110003A</t>
        </is>
      </c>
      <c r="B12" s="14" t="n">
        <v>6200008</v>
      </c>
      <c r="C12" s="135" t="inlineStr">
        <is>
          <t>週纖達0.25mg</t>
        </is>
      </c>
      <c r="D12" s="67" t="n">
        <v>1</v>
      </c>
      <c r="E12" s="17" t="inlineStr">
        <is>
          <t>支</t>
        </is>
      </c>
      <c r="F12" s="18" t="n">
        <v>12</v>
      </c>
      <c r="G12" s="18" t="n"/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542" t="inlineStr">
        <is>
          <t>-</t>
        </is>
      </c>
      <c r="AT12" s="542" t="inlineStr">
        <is>
          <t>-</t>
        </is>
      </c>
      <c r="AU12" s="542" t="inlineStr">
        <is>
          <t>-</t>
        </is>
      </c>
      <c r="AV12" s="542" t="inlineStr">
        <is>
          <t>-</t>
        </is>
      </c>
      <c r="AW12" s="542" t="inlineStr">
        <is>
          <t>-</t>
        </is>
      </c>
      <c r="AX12" s="19" t="n">
        <v>4</v>
      </c>
      <c r="AY12" s="19" t="n">
        <v>17</v>
      </c>
      <c r="AZ12" s="20">
        <f>SUMIFS(領用表!$L:$L,領用表!$E:$E,$B12,領用表!$B:$B,AZ$2&amp;$BI$1)</f>
        <v/>
      </c>
      <c r="BA12" s="20">
        <f>SUMIFS(領用表!$L:$L,領用表!$E:$E,$B12,領用表!$B:$B,BA$2&amp;$BI$1)</f>
        <v/>
      </c>
      <c r="BB12" s="20">
        <f>SUMIFS(領用表!$L:$L,領用表!$E:$E,$B12,領用表!$B:$B,BB$2&amp;$BI$1)</f>
        <v/>
      </c>
      <c r="BC12" s="20">
        <f>SUMIFS(領用表!$L:$L,領用表!$E:$E,$B12,領用表!$B:$B,BC$2&amp;$BI$1)</f>
        <v/>
      </c>
      <c r="BD12" s="142">
        <f>SUMIFS(領用表!$L:$L,領用表!$E:$E,$B12,領用表!$B:$B,BD$2&amp;$BI$1)</f>
        <v/>
      </c>
      <c r="BE12" s="142">
        <f>SUMIFS(領用表!$L:$L,領用表!$E:$E,$B12,領用表!$B:$B,BE$2&amp;$BI$1)</f>
        <v/>
      </c>
      <c r="BF12" s="142">
        <f>SUMIFS(領用表!$L:$L,領用表!$E:$E,$B12,領用表!$B:$B,BF$2&amp;$BI$1)</f>
        <v/>
      </c>
      <c r="BG12" s="23">
        <f>SUM(AU12,AV12,AW12,AX12,AY12,AZ12,BA12,BB12,BC12,BD12,BE12,BF12)</f>
        <v/>
      </c>
      <c r="BH12" s="23">
        <f>AVERAGE(AU12,AV12,AW12,AX12,AY12,AZ12,BA12,BB12,BC12,BD12,BE12,BF12)</f>
        <v/>
      </c>
      <c r="BI12" s="142">
        <f>SUMIFS(領用表!$L:$L,領用表!$E:$E,$B12,領用表!$B:$B,BI$2&amp;$BI$1)</f>
        <v/>
      </c>
      <c r="BJ12" s="142">
        <f>SUMIFS(領用表!$L:$L,領用表!$E:$E,$B12,領用表!$B:$B,BJ$2&amp;$BI$1)</f>
        <v/>
      </c>
      <c r="BK12" s="142">
        <f>SUMIFS(領用表!$L:$L,領用表!$E:$E,$B12,領用表!$B:$B,BK$2&amp;$BI$1)</f>
        <v/>
      </c>
      <c r="BL12" s="142">
        <f>SUMIFS(領用表!$L:$L,領用表!$E:$E,$B12,領用表!$B:$B,BL$2&amp;$BI$1)</f>
        <v/>
      </c>
      <c r="BM12" s="142">
        <f>SUMIFS(領用表!$L:$L,領用表!$E:$E,$B12,領用表!$B:$B,BM$2&amp;$BI$1)</f>
        <v/>
      </c>
      <c r="BN12" s="142" t="n">
        <v>2</v>
      </c>
      <c r="BO12" s="142">
        <f>SUMIFS(領用表!$L:$L,領用表!$E:$E,$B12,領用表!$B:$B,BO$2&amp;$BI$1)</f>
        <v/>
      </c>
      <c r="BP12" s="142">
        <f>SUMIFS(領用表!$L:$L,領用表!$E:$E,$B12,領用表!$B:$B,BP$2&amp;$BI$1)</f>
        <v/>
      </c>
      <c r="BQ12" s="142">
        <f>SUMIFS(領用表!$L:$L,領用表!$E:$E,$B12,領用表!$B:$B,BQ$2&amp;$BI$1)</f>
        <v/>
      </c>
      <c r="BR12" s="142">
        <f>SUMIFS(領用表!$L:$L,領用表!$E:$E,$B12,領用表!$B:$B,BR$2&amp;$BI$1)</f>
        <v/>
      </c>
      <c r="BS12" s="142">
        <f>SUMIFS(領用表!$L:$L,領用表!$E:$E,$B12,領用表!$B:$B,BS$2&amp;$BI$1)</f>
        <v/>
      </c>
      <c r="BT12" s="142">
        <f>SUMIFS(領用表!$L:$L,領用表!$E:$E,$B12,領用表!$B:$B,BT$2&amp;$BI$1)</f>
        <v/>
      </c>
      <c r="BU12" s="142">
        <f>SUM(BI12,BJ12,BK12,BL12,BM12,BN12)</f>
        <v/>
      </c>
      <c r="BV12" s="142">
        <f>AVERAGE(BI12,BJ12,BK12,BL12,BM12,BN12)</f>
        <v/>
      </c>
      <c r="BW12" s="142">
        <f>SUMIF(Summary!B:B,B12,Summary!EA:EA)</f>
        <v/>
      </c>
      <c r="BX12" s="108" t="n"/>
      <c r="BY12" s="65" t="n"/>
      <c r="BZ12" s="65" t="n"/>
      <c r="CA12" s="65" t="n"/>
      <c r="CB12" s="27" t="n"/>
      <c r="CC12" s="69" t="n"/>
      <c r="CD12" s="14" t="n"/>
      <c r="CE12" s="29" t="n"/>
    </row>
    <row r="13" ht="15.75" customHeight="1" s="453">
      <c r="A13" s="27" t="inlineStr">
        <is>
          <t>MB3ME110005A</t>
        </is>
      </c>
      <c r="B13" s="14" t="n">
        <v>6200010</v>
      </c>
      <c r="C13" s="135" t="inlineStr">
        <is>
          <t>週纖達1.0mg</t>
        </is>
      </c>
      <c r="D13" s="67" t="n">
        <v>1</v>
      </c>
      <c r="E13" s="17" t="inlineStr">
        <is>
          <t>支</t>
        </is>
      </c>
      <c r="F13" s="18" t="n">
        <v>23</v>
      </c>
      <c r="G13" s="18" t="n"/>
      <c r="H13" s="68" t="n"/>
      <c r="I13" s="68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542" t="inlineStr">
        <is>
          <t>-</t>
        </is>
      </c>
      <c r="AT13" s="542" t="inlineStr">
        <is>
          <t>-</t>
        </is>
      </c>
      <c r="AU13" s="542" t="inlineStr">
        <is>
          <t>-</t>
        </is>
      </c>
      <c r="AV13" s="542" t="inlineStr">
        <is>
          <t>-</t>
        </is>
      </c>
      <c r="AW13" s="542" t="inlineStr">
        <is>
          <t>-</t>
        </is>
      </c>
      <c r="AX13" s="19" t="n">
        <v>1</v>
      </c>
      <c r="AY13" s="19" t="n">
        <v>36</v>
      </c>
      <c r="AZ13" s="20">
        <f>SUMIFS(領用表!$L:$L,領用表!$E:$E,$B13,領用表!$B:$B,AZ$2&amp;$BI$1)</f>
        <v/>
      </c>
      <c r="BA13" s="20">
        <f>SUMIFS(領用表!$L:$L,領用表!$E:$E,$B13,領用表!$B:$B,BA$2&amp;$BI$1)</f>
        <v/>
      </c>
      <c r="BB13" s="20">
        <f>SUMIFS(領用表!$L:$L,領用表!$E:$E,$B13,領用表!$B:$B,BB$2&amp;$BI$1)</f>
        <v/>
      </c>
      <c r="BC13" s="20">
        <f>SUMIFS(領用表!$L:$L,領用表!$E:$E,$B13,領用表!$B:$B,BC$2&amp;$BI$1)</f>
        <v/>
      </c>
      <c r="BD13" s="142">
        <f>SUMIFS(領用表!$L:$L,領用表!$E:$E,$B13,領用表!$B:$B,BD$2&amp;$BI$1)</f>
        <v/>
      </c>
      <c r="BE13" s="142">
        <f>SUMIFS(領用表!$L:$L,領用表!$E:$E,$B13,領用表!$B:$B,BE$2&amp;$BI$1)</f>
        <v/>
      </c>
      <c r="BF13" s="142">
        <f>SUMIFS(領用表!$L:$L,領用表!$E:$E,$B13,領用表!$B:$B,BF$2&amp;$BI$1)</f>
        <v/>
      </c>
      <c r="BG13" s="23">
        <f>SUM(AU13,AV13,AW13,AX13,AY13,AZ13,BA13,BB13,BC13,BD13,BE13,BF13)</f>
        <v/>
      </c>
      <c r="BH13" s="23">
        <f>AVERAGE(AU13,AV13,AW13,AX13,AY13,AZ13,BA13,BB13,BC13,BD13,BE13,BF13)</f>
        <v/>
      </c>
      <c r="BI13" s="142">
        <f>SUMIFS(領用表!$L:$L,領用表!$E:$E,$B13,領用表!$B:$B,BI$2&amp;$BI$1)</f>
        <v/>
      </c>
      <c r="BJ13" s="142">
        <f>SUMIFS(領用表!$L:$L,領用表!$E:$E,$B13,領用表!$B:$B,BJ$2&amp;$BI$1)</f>
        <v/>
      </c>
      <c r="BK13" s="142">
        <f>SUMIFS(領用表!$L:$L,領用表!$E:$E,$B13,領用表!$B:$B,BK$2&amp;$BI$1)</f>
        <v/>
      </c>
      <c r="BL13" s="142">
        <f>SUMIFS(領用表!$L:$L,領用表!$E:$E,$B13,領用表!$B:$B,BL$2&amp;$BI$1)</f>
        <v/>
      </c>
      <c r="BM13" s="142">
        <f>SUMIFS(領用表!$L:$L,領用表!$E:$E,$B13,領用表!$B:$B,BM$2&amp;$BI$1)</f>
        <v/>
      </c>
      <c r="BN13" s="142" t="n">
        <v>1</v>
      </c>
      <c r="BO13" s="142">
        <f>SUMIFS(領用表!$L:$L,領用表!$E:$E,$B13,領用表!$B:$B,BO$2&amp;$BI$1)</f>
        <v/>
      </c>
      <c r="BP13" s="142">
        <f>SUMIFS(領用表!$L:$L,領用表!$E:$E,$B13,領用表!$B:$B,BP$2&amp;$BI$1)</f>
        <v/>
      </c>
      <c r="BQ13" s="142">
        <f>SUMIFS(領用表!$L:$L,領用表!$E:$E,$B13,領用表!$B:$B,BQ$2&amp;$BI$1)</f>
        <v/>
      </c>
      <c r="BR13" s="142">
        <f>SUMIFS(領用表!$L:$L,領用表!$E:$E,$B13,領用表!$B:$B,BR$2&amp;$BI$1)</f>
        <v/>
      </c>
      <c r="BS13" s="142">
        <f>SUMIFS(領用表!$L:$L,領用表!$E:$E,$B13,領用表!$B:$B,BS$2&amp;$BI$1)</f>
        <v/>
      </c>
      <c r="BT13" s="142">
        <f>SUMIFS(領用表!$L:$L,領用表!$E:$E,$B13,領用表!$B:$B,BT$2&amp;$BI$1)</f>
        <v/>
      </c>
      <c r="BU13" s="142">
        <f>SUM(BI13,BJ13,BK13,BL13,BM13,BN13)</f>
        <v/>
      </c>
      <c r="BV13" s="142">
        <f>AVERAGE(BI13,BJ13,BK13,BL13,BM13,BN13)</f>
        <v/>
      </c>
      <c r="BW13" s="142">
        <f>SUMIF(Summary!B:B,B13,Summary!EA:EA)</f>
        <v/>
      </c>
      <c r="BX13" s="108" t="n"/>
      <c r="BY13" s="65" t="n"/>
      <c r="BZ13" s="65" t="n"/>
      <c r="CA13" s="65" t="n"/>
      <c r="CB13" s="27" t="n"/>
      <c r="CC13" s="69" t="n"/>
      <c r="CD13" s="14" t="n"/>
      <c r="CE13" s="29" t="n"/>
    </row>
    <row r="14" ht="15.75" customHeight="1" s="453">
      <c r="A14" s="27" t="inlineStr">
        <is>
          <t>MB3ME110007A</t>
        </is>
      </c>
      <c r="B14" s="14" t="n">
        <v>6200012</v>
      </c>
      <c r="C14" s="135" t="inlineStr">
        <is>
          <t>週纖達2.4mg</t>
        </is>
      </c>
      <c r="D14" s="67" t="n">
        <v>1</v>
      </c>
      <c r="E14" s="17" t="inlineStr">
        <is>
          <t>支</t>
        </is>
      </c>
      <c r="F14" s="18" t="n">
        <v>27</v>
      </c>
      <c r="G14" s="18" t="n"/>
      <c r="H14" s="68" t="n"/>
      <c r="I14" s="68" t="n"/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542" t="inlineStr">
        <is>
          <t>-</t>
        </is>
      </c>
      <c r="AT14" s="542" t="inlineStr">
        <is>
          <t>-</t>
        </is>
      </c>
      <c r="AU14" s="542" t="inlineStr">
        <is>
          <t>-</t>
        </is>
      </c>
      <c r="AV14" s="542" t="inlineStr">
        <is>
          <t>-</t>
        </is>
      </c>
      <c r="AW14" s="542" t="inlineStr">
        <is>
          <t>-</t>
        </is>
      </c>
      <c r="AX14" s="19" t="n">
        <v>0</v>
      </c>
      <c r="AY14" s="73" t="n">
        <v>6</v>
      </c>
      <c r="AZ14" s="20">
        <f>SUMIFS(領用表!$L:$L,領用表!$E:$E,$B14,領用表!$B:$B,AZ$2&amp;$BI$1)</f>
        <v/>
      </c>
      <c r="BA14" s="20">
        <f>SUMIFS(領用表!$L:$L,領用表!$E:$E,$B14,領用表!$B:$B,BA$2&amp;$BI$1)</f>
        <v/>
      </c>
      <c r="BB14" s="20">
        <f>SUMIFS(領用表!$L:$L,領用表!$E:$E,$B14,領用表!$B:$B,BB$2&amp;$BI$1)</f>
        <v/>
      </c>
      <c r="BC14" s="20">
        <f>SUMIFS(領用表!$L:$L,領用表!$E:$E,$B14,領用表!$B:$B,BC$2&amp;$BI$1)</f>
        <v/>
      </c>
      <c r="BD14" s="142">
        <f>SUMIFS(領用表!$L:$L,領用表!$E:$E,$B14,領用表!$B:$B,BD$2&amp;$BI$1)</f>
        <v/>
      </c>
      <c r="BE14" s="142">
        <f>SUMIFS(領用表!$L:$L,領用表!$E:$E,$B14,領用表!$B:$B,BE$2&amp;$BI$1)</f>
        <v/>
      </c>
      <c r="BF14" s="142">
        <f>SUMIFS(領用表!$L:$L,領用表!$E:$E,$B14,領用表!$B:$B,BF$2&amp;$BI$1)</f>
        <v/>
      </c>
      <c r="BG14" s="23">
        <f>SUM(AU14,AV14,AW14,AX14,AY14,AZ14,BA14,BB14,BC14,BD14,BE14,BF14)</f>
        <v/>
      </c>
      <c r="BH14" s="23">
        <f>AVERAGE(AU14,AV14,AW14,AX14,AY14,AZ14,BA14,BB14,BC14,BD14,BE14,BF14)</f>
        <v/>
      </c>
      <c r="BI14" s="142">
        <f>SUMIFS(領用表!$L:$L,領用表!$E:$E,$B14,領用表!$B:$B,BI$2&amp;$BI$1)</f>
        <v/>
      </c>
      <c r="BJ14" s="142">
        <f>SUMIFS(領用表!$L:$L,領用表!$E:$E,$B14,領用表!$B:$B,BJ$2&amp;$BI$1)</f>
        <v/>
      </c>
      <c r="BK14" s="142">
        <f>SUMIFS(領用表!$L:$L,領用表!$E:$E,$B14,領用表!$B:$B,BK$2&amp;$BI$1)</f>
        <v/>
      </c>
      <c r="BL14" s="142">
        <f>SUMIFS(領用表!$L:$L,領用表!$E:$E,$B14,領用表!$B:$B,BL$2&amp;$BI$1)</f>
        <v/>
      </c>
      <c r="BM14" s="142">
        <f>SUMIFS(領用表!$L:$L,領用表!$E:$E,$B14,領用表!$B:$B,BM$2&amp;$BI$1)</f>
        <v/>
      </c>
      <c r="BN14" s="142" t="n"/>
      <c r="BO14" s="142">
        <f>SUMIFS(領用表!$L:$L,領用表!$E:$E,$B14,領用表!$B:$B,BO$2&amp;$BI$1)</f>
        <v/>
      </c>
      <c r="BP14" s="142">
        <f>SUMIFS(領用表!$L:$L,領用表!$E:$E,$B14,領用表!$B:$B,BP$2&amp;$BI$1)</f>
        <v/>
      </c>
      <c r="BQ14" s="142">
        <f>SUMIFS(領用表!$L:$L,領用表!$E:$E,$B14,領用表!$B:$B,BQ$2&amp;$BI$1)</f>
        <v/>
      </c>
      <c r="BR14" s="142">
        <f>SUMIFS(領用表!$L:$L,領用表!$E:$E,$B14,領用表!$B:$B,BR$2&amp;$BI$1)</f>
        <v/>
      </c>
      <c r="BS14" s="142">
        <f>SUMIFS(領用表!$L:$L,領用表!$E:$E,$B14,領用表!$B:$B,BS$2&amp;$BI$1)</f>
        <v/>
      </c>
      <c r="BT14" s="142">
        <f>SUMIFS(領用表!$L:$L,領用表!$E:$E,$B14,領用表!$B:$B,BT$2&amp;$BI$1)</f>
        <v/>
      </c>
      <c r="BU14" s="142">
        <f>SUM(BI14,BJ14,BK14,BL14,BM14,BN14)</f>
        <v/>
      </c>
      <c r="BV14" s="142">
        <f>AVERAGE(BI14,BJ14,BK14,BL14,BM14,BN14)</f>
        <v/>
      </c>
      <c r="BW14" s="142">
        <f>SUMIF(Summary!B:B,B14,Summary!EA:EA)</f>
        <v/>
      </c>
      <c r="BX14" s="108" t="n"/>
      <c r="BY14" s="65" t="n"/>
      <c r="BZ14" s="65" t="n"/>
      <c r="CA14" s="65" t="n"/>
      <c r="CB14" s="27" t="n"/>
      <c r="CC14" s="69" t="n"/>
      <c r="CD14" s="14" t="n"/>
      <c r="CE14" s="29" t="n"/>
    </row>
    <row r="15" ht="15.75" customHeight="1" s="453">
      <c r="A15" s="27" t="inlineStr">
        <is>
          <t>MB3ME110008A</t>
        </is>
      </c>
      <c r="B15" s="14" t="n">
        <v>6200013</v>
      </c>
      <c r="C15" s="135" t="inlineStr">
        <is>
          <t>猛健樂2.5mg</t>
        </is>
      </c>
      <c r="D15" s="67" t="n">
        <v>1</v>
      </c>
      <c r="E15" s="17" t="inlineStr">
        <is>
          <t>支</t>
        </is>
      </c>
      <c r="F15" s="18" t="n">
        <v>0</v>
      </c>
      <c r="G15" s="18" t="n"/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68" t="n"/>
      <c r="AT15" s="26" t="n"/>
      <c r="AU15" s="19" t="inlineStr">
        <is>
          <t>-</t>
        </is>
      </c>
      <c r="AV15" s="19" t="inlineStr">
        <is>
          <t>-</t>
        </is>
      </c>
      <c r="AW15" s="19" t="inlineStr">
        <is>
          <t>-</t>
        </is>
      </c>
      <c r="AX15" s="19" t="inlineStr">
        <is>
          <t>-</t>
        </is>
      </c>
      <c r="AY15" s="19" t="inlineStr">
        <is>
          <t>-</t>
        </is>
      </c>
      <c r="AZ15" s="20">
        <f>SUMIFS(領用表!$L:$L,領用表!$E:$E,$B15,領用表!$B:$B,AZ$2&amp;$BI$1)</f>
        <v/>
      </c>
      <c r="BA15" s="20">
        <f>SUMIFS(領用表!$L:$L,領用表!$E:$E,$B15,領用表!$B:$B,BA$2&amp;$BI$1)</f>
        <v/>
      </c>
      <c r="BB15" s="20">
        <f>SUMIFS(領用表!$L:$L,領用表!$E:$E,$B15,領用表!$B:$B,BB$2&amp;$BI$1)</f>
        <v/>
      </c>
      <c r="BC15" s="20">
        <f>SUMIFS(領用表!$L:$L,領用表!$E:$E,$B15,領用表!$B:$B,BC$2&amp;$BI$1)</f>
        <v/>
      </c>
      <c r="BD15" s="142">
        <f>SUMIFS(領用表!$L:$L,領用表!$E:$E,$B15,領用表!$B:$B,BD$2&amp;$BI$1)</f>
        <v/>
      </c>
      <c r="BE15" s="142">
        <f>SUMIFS(領用表!$L:$L,領用表!$E:$E,$B15,領用表!$B:$B,BE$2&amp;$BI$1)</f>
        <v/>
      </c>
      <c r="BF15" s="142">
        <f>SUMIFS(領用表!$L:$L,領用表!$E:$E,$B15,領用表!$B:$B,BF$2&amp;$BI$1)</f>
        <v/>
      </c>
      <c r="BG15" s="23">
        <f>SUM(AU15,AV15,AW15,AX15,AY15,AZ15,BA15,BB15,BC15,BD15,BE15,BF15)</f>
        <v/>
      </c>
      <c r="BH15" s="23">
        <f>AVERAGE(AU15,AV15,AW15,AX15,AY15,AZ15,BA15,BB15,BC15,BD15,BE15,BF15)</f>
        <v/>
      </c>
      <c r="BI15" s="142">
        <f>SUMIFS(領用表!$L:$L,領用表!$E:$E,$B15,領用表!$B:$B,BI$2&amp;$BI$1)</f>
        <v/>
      </c>
      <c r="BJ15" s="142">
        <f>SUMIFS(領用表!$L:$L,領用表!$E:$E,$B15,領用表!$B:$B,BJ$2&amp;$BI$1)</f>
        <v/>
      </c>
      <c r="BK15" s="142">
        <f>SUMIFS(領用表!$L:$L,領用表!$E:$E,$B15,領用表!$B:$B,BK$2&amp;$BI$1)</f>
        <v/>
      </c>
      <c r="BL15" s="142">
        <f>SUMIFS(領用表!$L:$L,領用表!$E:$E,$B15,領用表!$B:$B,BL$2&amp;$BI$1)</f>
        <v/>
      </c>
      <c r="BM15" s="142">
        <f>SUMIFS(領用表!$L:$L,領用表!$E:$E,$B15,領用表!$B:$B,BM$2&amp;$BI$1)</f>
        <v/>
      </c>
      <c r="BN15" s="142" t="n"/>
      <c r="BO15" s="142">
        <f>SUMIFS(領用表!$L:$L,領用表!$E:$E,$B15,領用表!$B:$B,BO$2&amp;$BI$1)</f>
        <v/>
      </c>
      <c r="BP15" s="142">
        <f>SUMIFS(領用表!$L:$L,領用表!$E:$E,$B15,領用表!$B:$B,BP$2&amp;$BI$1)</f>
        <v/>
      </c>
      <c r="BQ15" s="142">
        <f>SUMIFS(領用表!$L:$L,領用表!$E:$E,$B15,領用表!$B:$B,BQ$2&amp;$BI$1)</f>
        <v/>
      </c>
      <c r="BR15" s="142">
        <f>SUMIFS(領用表!$L:$L,領用表!$E:$E,$B15,領用表!$B:$B,BR$2&amp;$BI$1)</f>
        <v/>
      </c>
      <c r="BS15" s="142">
        <f>SUMIFS(領用表!$L:$L,領用表!$E:$E,$B15,領用表!$B:$B,BS$2&amp;$BI$1)</f>
        <v/>
      </c>
      <c r="BT15" s="142">
        <f>SUMIFS(領用表!$L:$L,領用表!$E:$E,$B15,領用表!$B:$B,BT$2&amp;$BI$1)</f>
        <v/>
      </c>
      <c r="BU15" s="142">
        <f>SUM(BI15,BJ15,BK15,BL15,BM15,BN15)</f>
        <v/>
      </c>
      <c r="BV15" s="142">
        <f>AVERAGE(BI15,BJ15,BK15,BL15,BM15,BN15)</f>
        <v/>
      </c>
      <c r="BW15" s="142">
        <f>SUMIF(Summary!B:B,B15,Summary!EA:EA)</f>
        <v/>
      </c>
      <c r="BX15" s="108" t="n"/>
      <c r="BY15" s="65" t="n"/>
      <c r="BZ15" s="65" t="n"/>
      <c r="CA15" s="74" t="n"/>
      <c r="CB15" s="27" t="n"/>
      <c r="CC15" s="69" t="n"/>
      <c r="CD15" s="14" t="n"/>
      <c r="CE15" s="29" t="n"/>
    </row>
    <row r="16" ht="15.75" customHeight="1" s="453">
      <c r="A16" s="27" t="inlineStr">
        <is>
          <t>MB3ME110009A</t>
        </is>
      </c>
      <c r="B16" s="14" t="n">
        <v>6200014</v>
      </c>
      <c r="C16" s="135" t="inlineStr">
        <is>
          <t>猛健樂5.0mg</t>
        </is>
      </c>
      <c r="D16" s="67" t="n">
        <v>1</v>
      </c>
      <c r="E16" s="17" t="inlineStr">
        <is>
          <t>支</t>
        </is>
      </c>
      <c r="F16" s="18" t="n">
        <v>0</v>
      </c>
      <c r="G16" s="18" t="n"/>
      <c r="H16" s="68" t="n"/>
      <c r="I16" s="68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68" t="n"/>
      <c r="AT16" s="26" t="n"/>
      <c r="AU16" s="19" t="inlineStr">
        <is>
          <t>-</t>
        </is>
      </c>
      <c r="AV16" s="19" t="inlineStr">
        <is>
          <t>-</t>
        </is>
      </c>
      <c r="AW16" s="19" t="inlineStr">
        <is>
          <t>-</t>
        </is>
      </c>
      <c r="AX16" s="19" t="inlineStr">
        <is>
          <t>-</t>
        </is>
      </c>
      <c r="AY16" s="19" t="inlineStr">
        <is>
          <t>-</t>
        </is>
      </c>
      <c r="AZ16" s="20">
        <f>SUMIFS(領用表!$L:$L,領用表!$E:$E,$B16,領用表!$B:$B,AZ$2&amp;$BI$1)</f>
        <v/>
      </c>
      <c r="BA16" s="20">
        <f>SUMIFS(領用表!$L:$L,領用表!$E:$E,$B16,領用表!$B:$B,BA$2&amp;$BI$1)</f>
        <v/>
      </c>
      <c r="BB16" s="20">
        <f>SUMIFS(領用表!$L:$L,領用表!$E:$E,$B16,領用表!$B:$B,BB$2&amp;$BI$1)</f>
        <v/>
      </c>
      <c r="BC16" s="20">
        <f>SUMIFS(領用表!$L:$L,領用表!$E:$E,$B16,領用表!$B:$B,BC$2&amp;$BI$1)</f>
        <v/>
      </c>
      <c r="BD16" s="142">
        <f>SUMIFS(領用表!$L:$L,領用表!$E:$E,$B16,領用表!$B:$B,BD$2&amp;$BI$1)</f>
        <v/>
      </c>
      <c r="BE16" s="142">
        <f>SUMIFS(領用表!$L:$L,領用表!$E:$E,$B16,領用表!$B:$B,BE$2&amp;$BI$1)</f>
        <v/>
      </c>
      <c r="BF16" s="142">
        <f>SUMIFS(領用表!$L:$L,領用表!$E:$E,$B16,領用表!$B:$B,BF$2&amp;$BI$1)</f>
        <v/>
      </c>
      <c r="BG16" s="23">
        <f>SUM(AU16,AV16,AW16,AX16,AY16,AZ16,BA16,BB16,BC16,BD16,BE16,BF16)</f>
        <v/>
      </c>
      <c r="BH16" s="23">
        <f>AVERAGE(AU16,AV16,AW16,AX16,AY16,AZ16,BA16,BB16,BC16,BD16,BE16,BF16)</f>
        <v/>
      </c>
      <c r="BI16" s="142">
        <f>SUMIFS(領用表!$L:$L,領用表!$E:$E,$B16,領用表!$B:$B,BI$2&amp;$BI$1)</f>
        <v/>
      </c>
      <c r="BJ16" s="142">
        <f>SUMIFS(領用表!$L:$L,領用表!$E:$E,$B16,領用表!$B:$B,BJ$2&amp;$BI$1)</f>
        <v/>
      </c>
      <c r="BK16" s="142">
        <f>SUMIFS(領用表!$L:$L,領用表!$E:$E,$B16,領用表!$B:$B,BK$2&amp;$BI$1)</f>
        <v/>
      </c>
      <c r="BL16" s="142">
        <f>SUMIFS(領用表!$L:$L,領用表!$E:$E,$B16,領用表!$B:$B,BL$2&amp;$BI$1)</f>
        <v/>
      </c>
      <c r="BM16" s="142">
        <f>SUMIFS(領用表!$L:$L,領用表!$E:$E,$B16,領用表!$B:$B,BM$2&amp;$BI$1)</f>
        <v/>
      </c>
      <c r="BN16" s="142" t="n"/>
      <c r="BO16" s="142">
        <f>SUMIFS(領用表!$L:$L,領用表!$E:$E,$B16,領用表!$B:$B,BO$2&amp;$BI$1)</f>
        <v/>
      </c>
      <c r="BP16" s="142">
        <f>SUMIFS(領用表!$L:$L,領用表!$E:$E,$B16,領用表!$B:$B,BP$2&amp;$BI$1)</f>
        <v/>
      </c>
      <c r="BQ16" s="142">
        <f>SUMIFS(領用表!$L:$L,領用表!$E:$E,$B16,領用表!$B:$B,BQ$2&amp;$BI$1)</f>
        <v/>
      </c>
      <c r="BR16" s="142">
        <f>SUMIFS(領用表!$L:$L,領用表!$E:$E,$B16,領用表!$B:$B,BR$2&amp;$BI$1)</f>
        <v/>
      </c>
      <c r="BS16" s="142">
        <f>SUMIFS(領用表!$L:$L,領用表!$E:$E,$B16,領用表!$B:$B,BS$2&amp;$BI$1)</f>
        <v/>
      </c>
      <c r="BT16" s="142">
        <f>SUMIFS(領用表!$L:$L,領用表!$E:$E,$B16,領用表!$B:$B,BT$2&amp;$BI$1)</f>
        <v/>
      </c>
      <c r="BU16" s="142">
        <f>SUM(BI16,BJ16,BK16,BL16,BM16,BN16)</f>
        <v/>
      </c>
      <c r="BV16" s="142">
        <f>AVERAGE(BI16,BJ16,BK16,BL16,BM16,BN16)</f>
        <v/>
      </c>
      <c r="BW16" s="142">
        <f>SUMIF(Summary!B:B,B16,Summary!EA:EA)</f>
        <v/>
      </c>
      <c r="BX16" s="108" t="n"/>
      <c r="BY16" s="65" t="n"/>
      <c r="BZ16" s="54" t="n"/>
      <c r="CA16" s="54" t="inlineStr">
        <is>
          <t>5-10/22</t>
        </is>
      </c>
      <c r="CB16" s="27" t="n"/>
      <c r="CC16" s="69" t="n"/>
      <c r="CD16" s="14" t="n"/>
      <c r="CE16" s="29" t="n"/>
    </row>
    <row r="17" ht="15.75" customHeight="1" s="453">
      <c r="A17" s="27" t="inlineStr">
        <is>
          <t>MB3ME110010A</t>
        </is>
      </c>
      <c r="B17" s="14" t="n">
        <v>6200015</v>
      </c>
      <c r="C17" s="135" t="inlineStr">
        <is>
          <t>猛健樂7.5mg</t>
        </is>
      </c>
      <c r="D17" s="67" t="n">
        <v>1</v>
      </c>
      <c r="E17" s="17" t="inlineStr">
        <is>
          <t>支</t>
        </is>
      </c>
      <c r="F17" s="18" t="n">
        <v>0</v>
      </c>
      <c r="G17" s="18" t="n"/>
      <c r="H17" s="68" t="n"/>
      <c r="I17" s="68" t="n"/>
      <c r="J17" s="68" t="n"/>
      <c r="K17" s="68" t="n"/>
      <c r="L17" s="68" t="n"/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68" t="n"/>
      <c r="AT17" s="26" t="n"/>
      <c r="AU17" s="19" t="n"/>
      <c r="AV17" s="19" t="n"/>
      <c r="AW17" s="19" t="n"/>
      <c r="AX17" s="19" t="n"/>
      <c r="AY17" s="19" t="n"/>
      <c r="AZ17" s="20">
        <f>SUMIFS(領用表!$L:$L,領用表!$E:$E,$B17,領用表!$B:$B,AZ$2&amp;$BI$1)</f>
        <v/>
      </c>
      <c r="BA17" s="20">
        <f>SUMIFS(領用表!$L:$L,領用表!$E:$E,$B17,領用表!$B:$B,BA$2&amp;$BI$1)</f>
        <v/>
      </c>
      <c r="BB17" s="20">
        <f>SUMIFS(領用表!$L:$L,領用表!$E:$E,$B17,領用表!$B:$B,BB$2&amp;$BI$1)</f>
        <v/>
      </c>
      <c r="BC17" s="20">
        <f>SUMIFS(領用表!$L:$L,領用表!$E:$E,$B17,領用表!$B:$B,BC$2&amp;$BI$1)</f>
        <v/>
      </c>
      <c r="BD17" s="142">
        <f>SUMIFS(領用表!$L:$L,領用表!$E:$E,$B17,領用表!$B:$B,BD$2&amp;$BI$1)</f>
        <v/>
      </c>
      <c r="BE17" s="142">
        <f>SUMIFS(領用表!$L:$L,領用表!$E:$E,$B17,領用表!$B:$B,BE$2&amp;$BI$1)</f>
        <v/>
      </c>
      <c r="BF17" s="142">
        <f>SUMIFS(領用表!$L:$L,領用表!$E:$E,$B17,領用表!$B:$B,BF$2&amp;$BI$1)</f>
        <v/>
      </c>
      <c r="BG17" s="23">
        <f>SUM(AU17,AV17,AW17,AX17,AY17,AZ17,BA17,BB17,BC17,BD17,BE17,BF17)</f>
        <v/>
      </c>
      <c r="BH17" s="23">
        <f>AVERAGE(AU17,AV17,AW17,AX17,AY17,AZ17,BA17,BB17,BC17,BD17,BE17,BF17)</f>
        <v/>
      </c>
      <c r="BI17" s="142">
        <f>SUMIFS(領用表!$L:$L,領用表!$E:$E,$B17,領用表!$B:$B,BI$2&amp;$BI$1)</f>
        <v/>
      </c>
      <c r="BJ17" s="142">
        <f>SUMIFS(領用表!$L:$L,領用表!$E:$E,$B17,領用表!$B:$B,BJ$2&amp;$BI$1)</f>
        <v/>
      </c>
      <c r="BK17" s="142">
        <f>SUMIFS(領用表!$L:$L,領用表!$E:$E,$B17,領用表!$B:$B,BK$2&amp;$BI$1)</f>
        <v/>
      </c>
      <c r="BL17" s="142">
        <f>SUMIFS(領用表!$L:$L,領用表!$E:$E,$B17,領用表!$B:$B,BL$2&amp;$BI$1)</f>
        <v/>
      </c>
      <c r="BM17" s="142">
        <f>SUMIFS(領用表!$L:$L,領用表!$E:$E,$B17,領用表!$B:$B,BM$2&amp;$BI$1)</f>
        <v/>
      </c>
      <c r="BN17" s="142" t="n"/>
      <c r="BO17" s="142">
        <f>SUMIFS(領用表!$L:$L,領用表!$E:$E,$B17,領用表!$B:$B,BO$2&amp;$BI$1)</f>
        <v/>
      </c>
      <c r="BP17" s="142">
        <f>SUMIFS(領用表!$L:$L,領用表!$E:$E,$B17,領用表!$B:$B,BP$2&amp;$BI$1)</f>
        <v/>
      </c>
      <c r="BQ17" s="142">
        <f>SUMIFS(領用表!$L:$L,領用表!$E:$E,$B17,領用表!$B:$B,BQ$2&amp;$BI$1)</f>
        <v/>
      </c>
      <c r="BR17" s="142">
        <f>SUMIFS(領用表!$L:$L,領用表!$E:$E,$B17,領用表!$B:$B,BR$2&amp;$BI$1)</f>
        <v/>
      </c>
      <c r="BS17" s="142">
        <f>SUMIFS(領用表!$L:$L,領用表!$E:$E,$B17,領用表!$B:$B,BS$2&amp;$BI$1)</f>
        <v/>
      </c>
      <c r="BT17" s="142">
        <f>SUMIFS(領用表!$L:$L,領用表!$E:$E,$B17,領用表!$B:$B,BT$2&amp;$BI$1)</f>
        <v/>
      </c>
      <c r="BU17" s="142">
        <f>SUM(BI17,BJ17,BK17,BL17,BM17,BN17)</f>
        <v/>
      </c>
      <c r="BV17" s="142">
        <f>AVERAGE(BI17,BJ17,BK17,BL17,BM17,BN17)</f>
        <v/>
      </c>
      <c r="BW17" s="142">
        <f>SUMIF(Summary!B:B,B17,Summary!EA:EA)</f>
        <v/>
      </c>
      <c r="BX17" s="108" t="n"/>
      <c r="BY17" s="65" t="n"/>
      <c r="BZ17" s="65" t="n"/>
      <c r="CA17" s="65" t="inlineStr">
        <is>
          <t>5-10/22</t>
        </is>
      </c>
      <c r="CB17" s="27" t="n"/>
      <c r="CC17" s="69" t="n"/>
      <c r="CD17" s="14" t="n"/>
      <c r="CE17" s="29" t="n"/>
    </row>
    <row r="18" ht="15.75" customHeight="1" s="453">
      <c r="A18" s="27" t="inlineStr">
        <is>
          <t>MB3ME110011A</t>
        </is>
      </c>
      <c r="B18" s="14" t="n">
        <v>6200016</v>
      </c>
      <c r="C18" s="135" t="inlineStr">
        <is>
          <t>猛健樂10.0mg</t>
        </is>
      </c>
      <c r="D18" s="67" t="n">
        <v>1</v>
      </c>
      <c r="E18" s="17" t="inlineStr">
        <is>
          <t>支</t>
        </is>
      </c>
      <c r="F18" s="18" t="n">
        <v>3</v>
      </c>
      <c r="G18" s="18" t="n"/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68" t="n"/>
      <c r="AT18" s="26" t="n"/>
      <c r="AU18" s="19" t="inlineStr">
        <is>
          <t>-</t>
        </is>
      </c>
      <c r="AV18" s="19" t="inlineStr">
        <is>
          <t>-</t>
        </is>
      </c>
      <c r="AW18" s="19" t="inlineStr">
        <is>
          <t>-</t>
        </is>
      </c>
      <c r="AX18" s="19" t="inlineStr">
        <is>
          <t>-</t>
        </is>
      </c>
      <c r="AY18" s="19" t="inlineStr">
        <is>
          <t>-</t>
        </is>
      </c>
      <c r="AZ18" s="20">
        <f>SUMIFS(領用表!$L:$L,領用表!$E:$E,$B18,領用表!$B:$B,AZ$2&amp;$BI$1)</f>
        <v/>
      </c>
      <c r="BA18" s="20">
        <f>SUMIFS(領用表!$L:$L,領用表!$E:$E,$B18,領用表!$B:$B,BA$2&amp;$BI$1)</f>
        <v/>
      </c>
      <c r="BB18" s="20">
        <f>SUMIFS(領用表!$L:$L,領用表!$E:$E,$B18,領用表!$B:$B,BB$2&amp;$BI$1)</f>
        <v/>
      </c>
      <c r="BC18" s="20">
        <f>SUMIFS(領用表!$L:$L,領用表!$E:$E,$B18,領用表!$B:$B,BC$2&amp;$BI$1)</f>
        <v/>
      </c>
      <c r="BD18" s="142">
        <f>SUMIFS(領用表!$L:$L,領用表!$E:$E,$B18,領用表!$B:$B,BD$2&amp;$BI$1)</f>
        <v/>
      </c>
      <c r="BE18" s="142">
        <f>SUMIFS(領用表!$L:$L,領用表!$E:$E,$B18,領用表!$B:$B,BE$2&amp;$BI$1)</f>
        <v/>
      </c>
      <c r="BF18" s="142">
        <f>SUMIFS(領用表!$L:$L,領用表!$E:$E,$B18,領用表!$B:$B,BF$2&amp;$BI$1)</f>
        <v/>
      </c>
      <c r="BG18" s="23">
        <f>SUM(AU18,AV18,AW18,AX18,AY18,AZ18,BA18,BB18,BC18,BD18,BE18,BF18)</f>
        <v/>
      </c>
      <c r="BH18" s="23">
        <f>AVERAGE(AU18,AV18,AW18,AX18,AY18,AZ18,BA18,BB18,BC18,BD18,BE18,BF18)</f>
        <v/>
      </c>
      <c r="BI18" s="142">
        <f>SUMIFS(領用表!$L:$L,領用表!$E:$E,$B18,領用表!$B:$B,BI$2&amp;$BI$1)</f>
        <v/>
      </c>
      <c r="BJ18" s="142">
        <f>SUMIFS(領用表!$L:$L,領用表!$E:$E,$B18,領用表!$B:$B,BJ$2&amp;$BI$1)</f>
        <v/>
      </c>
      <c r="BK18" s="142">
        <f>SUMIFS(領用表!$L:$L,領用表!$E:$E,$B18,領用表!$B:$B,BK$2&amp;$BI$1)</f>
        <v/>
      </c>
      <c r="BL18" s="142">
        <f>SUMIFS(領用表!$L:$L,領用表!$E:$E,$B18,領用表!$B:$B,BL$2&amp;$BI$1)</f>
        <v/>
      </c>
      <c r="BM18" s="142">
        <f>SUMIFS(領用表!$L:$L,領用表!$E:$E,$B18,領用表!$B:$B,BM$2&amp;$BI$1)</f>
        <v/>
      </c>
      <c r="BN18" s="142" t="n"/>
      <c r="BO18" s="142">
        <f>SUMIFS(領用表!$L:$L,領用表!$E:$E,$B18,領用表!$B:$B,BO$2&amp;$BI$1)</f>
        <v/>
      </c>
      <c r="BP18" s="142">
        <f>SUMIFS(領用表!$L:$L,領用表!$E:$E,$B18,領用表!$B:$B,BP$2&amp;$BI$1)</f>
        <v/>
      </c>
      <c r="BQ18" s="142">
        <f>SUMIFS(領用表!$L:$L,領用表!$E:$E,$B18,領用表!$B:$B,BQ$2&amp;$BI$1)</f>
        <v/>
      </c>
      <c r="BR18" s="142">
        <f>SUMIFS(領用表!$L:$L,領用表!$E:$E,$B18,領用表!$B:$B,BR$2&amp;$BI$1)</f>
        <v/>
      </c>
      <c r="BS18" s="142">
        <f>SUMIFS(領用表!$L:$L,領用表!$E:$E,$B18,領用表!$B:$B,BS$2&amp;$BI$1)</f>
        <v/>
      </c>
      <c r="BT18" s="142">
        <f>SUMIFS(領用表!$L:$L,領用表!$E:$E,$B18,領用表!$B:$B,BT$2&amp;$BI$1)</f>
        <v/>
      </c>
      <c r="BU18" s="142">
        <f>SUM(BI18,BJ18,BK18,BL18,BM18,BN18)</f>
        <v/>
      </c>
      <c r="BV18" s="142">
        <f>AVERAGE(BI18,BJ18,BK18,BL18,BM18,BN18)</f>
        <v/>
      </c>
      <c r="BW18" s="142">
        <f>SUMIF(Summary!B:B,B18,Summary!EA:EA)</f>
        <v/>
      </c>
      <c r="BX18" s="108" t="n"/>
      <c r="BY18" s="65" t="n"/>
      <c r="BZ18" s="54" t="n"/>
      <c r="CA18" s="54" t="inlineStr">
        <is>
          <t>缺貨</t>
        </is>
      </c>
      <c r="CB18" s="27" t="n"/>
      <c r="CC18" s="69" t="n"/>
      <c r="CD18" s="14" t="n"/>
      <c r="CE18" s="29" t="n"/>
    </row>
    <row r="19" ht="15.75" customHeight="1" s="453">
      <c r="A19" s="27" t="n"/>
      <c r="B19" s="178" t="n">
        <v>6200017</v>
      </c>
      <c r="C19" s="179" t="inlineStr">
        <is>
          <t>(V)猛健樂10MG/0.15CC</t>
        </is>
      </c>
      <c r="D19" s="67" t="n">
        <v>1</v>
      </c>
      <c r="E19" s="17" t="n"/>
      <c r="F19" s="18" t="n"/>
      <c r="G19" s="18" t="n"/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68" t="n"/>
      <c r="AT19" s="26" t="n"/>
      <c r="AU19" s="19" t="inlineStr">
        <is>
          <t>-</t>
        </is>
      </c>
      <c r="AV19" s="19" t="inlineStr">
        <is>
          <t>-</t>
        </is>
      </c>
      <c r="AW19" s="19" t="inlineStr">
        <is>
          <t>-</t>
        </is>
      </c>
      <c r="AX19" s="19" t="inlineStr">
        <is>
          <t>-</t>
        </is>
      </c>
      <c r="AY19" s="19" t="inlineStr">
        <is>
          <t>-</t>
        </is>
      </c>
      <c r="AZ19" s="20">
        <f>SUMIFS(領用表!$L:$L,領用表!$E:$E,$B19,領用表!$B:$B,AZ$2&amp;$BI$1)</f>
        <v/>
      </c>
      <c r="BA19" s="20">
        <f>SUMIFS(領用表!$L:$L,領用表!$E:$E,$B19,領用表!$B:$B,BA$2&amp;$BI$1)</f>
        <v/>
      </c>
      <c r="BB19" s="20">
        <f>SUMIFS(領用表!$L:$L,領用表!$E:$E,$B19,領用表!$B:$B,BB$2&amp;$BI$1)</f>
        <v/>
      </c>
      <c r="BC19" s="20">
        <f>SUMIFS(領用表!$L:$L,領用表!$E:$E,$B19,領用表!$B:$B,BC$2&amp;$BI$1)</f>
        <v/>
      </c>
      <c r="BD19" s="142">
        <f>SUMIFS(領用表!$L:$L,領用表!$E:$E,$B19,領用表!$B:$B,BD$2&amp;$BI$1)</f>
        <v/>
      </c>
      <c r="BE19" s="142">
        <f>SUMIFS(領用表!$L:$L,領用表!$E:$E,$B19,領用表!$B:$B,BE$2&amp;$BI$1)</f>
        <v/>
      </c>
      <c r="BF19" s="142">
        <f>SUMIFS(領用表!$L:$L,領用表!$E:$E,$B19,領用表!$B:$B,BF$2&amp;$BI$1)</f>
        <v/>
      </c>
      <c r="BG19" s="23">
        <f>SUM(AU19,AV19,AW19,AX19,AY19,AZ19,BA19,BB19,BC19,BD19,BE19,BF19)</f>
        <v/>
      </c>
      <c r="BH19" s="23">
        <f>AVERAGE(AU19,AV19,AW19,AX19,AY19,AZ19,BA19,BB19,BC19,BD19,BE19,BF19)</f>
        <v/>
      </c>
      <c r="BI19" s="142">
        <f>SUMIFS(領用表!$L:$L,領用表!$E:$E,$B19,領用表!$B:$B,BI$2&amp;$BI$1)</f>
        <v/>
      </c>
      <c r="BJ19" s="142">
        <f>SUMIFS(領用表!$L:$L,領用表!$E:$E,$B19,領用表!$B:$B,BJ$2&amp;$BI$1)</f>
        <v/>
      </c>
      <c r="BK19" s="142">
        <f>SUMIFS(領用表!$L:$L,領用表!$E:$E,$B19,領用表!$B:$B,BK$2&amp;$BI$1)</f>
        <v/>
      </c>
      <c r="BL19" s="142">
        <f>SUMIFS(領用表!$L:$L,領用表!$E:$E,$B19,領用表!$B:$B,BL$2&amp;$BI$1)</f>
        <v/>
      </c>
      <c r="BM19" s="142">
        <f>SUMIFS(領用表!$L:$L,領用表!$E:$E,$B19,領用表!$B:$B,BM$2&amp;$BI$1)</f>
        <v/>
      </c>
      <c r="BN19" s="142" t="n">
        <v>186</v>
      </c>
      <c r="BO19" s="142">
        <f>SUMIFS(領用表!$L:$L,領用表!$E:$E,$B19,領用表!$B:$B,BO$2&amp;$BI$1)</f>
        <v/>
      </c>
      <c r="BP19" s="142">
        <f>SUMIFS(領用表!$L:$L,領用表!$E:$E,$B19,領用表!$B:$B,BP$2&amp;$BI$1)</f>
        <v/>
      </c>
      <c r="BQ19" s="142">
        <f>SUMIFS(領用表!$L:$L,領用表!$E:$E,$B19,領用表!$B:$B,BQ$2&amp;$BI$1)</f>
        <v/>
      </c>
      <c r="BR19" s="142">
        <f>SUMIFS(領用表!$L:$L,領用表!$E:$E,$B19,領用表!$B:$B,BR$2&amp;$BI$1)</f>
        <v/>
      </c>
      <c r="BS19" s="142">
        <f>SUMIFS(領用表!$L:$L,領用表!$E:$E,$B19,領用表!$B:$B,BS$2&amp;$BI$1)</f>
        <v/>
      </c>
      <c r="BT19" s="142">
        <f>SUMIFS(領用表!$L:$L,領用表!$E:$E,$B19,領用表!$B:$B,BT$2&amp;$BI$1)</f>
        <v/>
      </c>
      <c r="BU19" s="142">
        <f>SUM(BI19,BJ19,BK19,BL19,BM19,BN19)</f>
        <v/>
      </c>
      <c r="BV19" s="142">
        <f>AVERAGE(BI19,BJ19,BK19,BL19,BM19,BN19)</f>
        <v/>
      </c>
      <c r="BW19" s="142">
        <f>SUMIF(Summary!B:B,B19,Summary!EA:EA)</f>
        <v/>
      </c>
      <c r="BX19" s="108" t="n"/>
      <c r="BY19" s="65" t="n"/>
      <c r="BZ19" s="54" t="n"/>
      <c r="CA19" s="54" t="inlineStr">
        <is>
          <t>缺貨</t>
        </is>
      </c>
      <c r="CB19" s="27" t="n"/>
      <c r="CC19" s="69" t="n"/>
      <c r="CD19" s="14" t="n"/>
      <c r="CE19" s="29" t="n"/>
    </row>
    <row r="20" ht="15.75" customHeight="1" s="453">
      <c r="A20" s="27" t="n"/>
      <c r="B20" s="178" t="n">
        <v>6200018</v>
      </c>
      <c r="C20" s="179" t="inlineStr">
        <is>
          <t>(V)猛健樂*1支(12.5mg)</t>
        </is>
      </c>
      <c r="D20" s="67" t="n">
        <v>1</v>
      </c>
      <c r="E20" s="17" t="n"/>
      <c r="F20" s="18" t="n"/>
      <c r="G20" s="1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68" t="n"/>
      <c r="AT20" s="26" t="n"/>
      <c r="AU20" s="19" t="inlineStr">
        <is>
          <t>-</t>
        </is>
      </c>
      <c r="AV20" s="19" t="inlineStr">
        <is>
          <t>-</t>
        </is>
      </c>
      <c r="AW20" s="19" t="inlineStr">
        <is>
          <t>-</t>
        </is>
      </c>
      <c r="AX20" s="19" t="inlineStr">
        <is>
          <t>-</t>
        </is>
      </c>
      <c r="AY20" s="19" t="inlineStr">
        <is>
          <t>-</t>
        </is>
      </c>
      <c r="AZ20" s="20">
        <f>SUMIFS(領用表!$L:$L,領用表!$E:$E,$B20,領用表!$B:$B,AZ$2&amp;$BI$1)</f>
        <v/>
      </c>
      <c r="BA20" s="20">
        <f>SUMIFS(領用表!$L:$L,領用表!$E:$E,$B20,領用表!$B:$B,BA$2&amp;$BI$1)</f>
        <v/>
      </c>
      <c r="BB20" s="20">
        <f>SUMIFS(領用表!$L:$L,領用表!$E:$E,$B20,領用表!$B:$B,BB$2&amp;$BI$1)</f>
        <v/>
      </c>
      <c r="BC20" s="20">
        <f>SUMIFS(領用表!$L:$L,領用表!$E:$E,$B20,領用表!$B:$B,BC$2&amp;$BI$1)</f>
        <v/>
      </c>
      <c r="BD20" s="142">
        <f>SUMIFS(領用表!$L:$L,領用表!$E:$E,$B20,領用表!$B:$B,BD$2&amp;$BI$1)</f>
        <v/>
      </c>
      <c r="BE20" s="142">
        <f>SUMIFS(領用表!$L:$L,領用表!$E:$E,$B20,領用表!$B:$B,BE$2&amp;$BI$1)</f>
        <v/>
      </c>
      <c r="BF20" s="142">
        <f>SUMIFS(領用表!$L:$L,領用表!$E:$E,$B20,領用表!$B:$B,BF$2&amp;$BI$1)</f>
        <v/>
      </c>
      <c r="BG20" s="23">
        <f>SUM(AU20,AV20,AW20,AX20,AY20,AZ20,BA20,BB20,BC20,BD20,BE20,BF20)</f>
        <v/>
      </c>
      <c r="BH20" s="23">
        <f>AVERAGE(AU20,AV20,AW20,AX20,AY20,AZ20,BA20,BB20,BC20,BD20,BE20,BF20)</f>
        <v/>
      </c>
      <c r="BI20" s="142">
        <f>SUMIFS(領用表!$L:$L,領用表!$E:$E,$B20,領用表!$B:$B,BI$2&amp;$BI$1)</f>
        <v/>
      </c>
      <c r="BJ20" s="142">
        <f>SUMIFS(領用表!$L:$L,領用表!$E:$E,$B20,領用表!$B:$B,BJ$2&amp;$BI$1)</f>
        <v/>
      </c>
      <c r="BK20" s="142">
        <f>SUMIFS(領用表!$L:$L,領用表!$E:$E,$B20,領用表!$B:$B,BK$2&amp;$BI$1)</f>
        <v/>
      </c>
      <c r="BL20" s="142">
        <f>SUMIFS(領用表!$L:$L,領用表!$E:$E,$B20,領用表!$B:$B,BL$2&amp;$BI$1)</f>
        <v/>
      </c>
      <c r="BM20" s="142">
        <f>SUMIFS(領用表!$L:$L,領用表!$E:$E,$B20,領用表!$B:$B,BM$2&amp;$BI$1)</f>
        <v/>
      </c>
      <c r="BN20" s="142" t="n"/>
      <c r="BO20" s="142">
        <f>SUMIFS(領用表!$L:$L,領用表!$E:$E,$B20,領用表!$B:$B,BO$2&amp;$BI$1)</f>
        <v/>
      </c>
      <c r="BP20" s="142">
        <f>SUMIFS(領用表!$L:$L,領用表!$E:$E,$B20,領用表!$B:$B,BP$2&amp;$BI$1)</f>
        <v/>
      </c>
      <c r="BQ20" s="142">
        <f>SUMIFS(領用表!$L:$L,領用表!$E:$E,$B20,領用表!$B:$B,BQ$2&amp;$BI$1)</f>
        <v/>
      </c>
      <c r="BR20" s="142">
        <f>SUMIFS(領用表!$L:$L,領用表!$E:$E,$B20,領用表!$B:$B,BR$2&amp;$BI$1)</f>
        <v/>
      </c>
      <c r="BS20" s="142">
        <f>SUMIFS(領用表!$L:$L,領用表!$E:$E,$B20,領用表!$B:$B,BS$2&amp;$BI$1)</f>
        <v/>
      </c>
      <c r="BT20" s="142">
        <f>SUMIFS(領用表!$L:$L,領用表!$E:$E,$B20,領用表!$B:$B,BT$2&amp;$BI$1)</f>
        <v/>
      </c>
      <c r="BU20" s="142">
        <f>SUM(BI20,BJ20,BK20,BL20,BM20,BN20)</f>
        <v/>
      </c>
      <c r="BV20" s="142">
        <f>AVERAGE(BI20,BJ20,BK20,BL20,BM20,BN20)</f>
        <v/>
      </c>
      <c r="BW20" s="142">
        <f>SUMIF(Summary!B:B,B20,Summary!EA:EA)</f>
        <v/>
      </c>
      <c r="BX20" s="108" t="n"/>
      <c r="BY20" s="65" t="n"/>
      <c r="BZ20" s="54" t="n"/>
      <c r="CA20" s="54" t="inlineStr">
        <is>
          <t>缺貨</t>
        </is>
      </c>
      <c r="CB20" s="27" t="n"/>
      <c r="CC20" s="69" t="n"/>
      <c r="CD20" s="14" t="n"/>
      <c r="CE20" s="29" t="n"/>
    </row>
    <row r="21" ht="15.75" customHeight="1" s="453">
      <c r="A21" s="27" t="n"/>
      <c r="B21" s="178" t="n">
        <v>6200020</v>
      </c>
      <c r="C21" s="179" t="inlineStr">
        <is>
          <t>(V)猛健樂7.5MG/0.2CC</t>
        </is>
      </c>
      <c r="D21" s="67" t="n">
        <v>1</v>
      </c>
      <c r="E21" s="17" t="n"/>
      <c r="F21" s="18" t="n"/>
      <c r="G21" s="1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68" t="n"/>
      <c r="AT21" s="26" t="n"/>
      <c r="AU21" s="19" t="inlineStr">
        <is>
          <t>-</t>
        </is>
      </c>
      <c r="AV21" s="19" t="inlineStr">
        <is>
          <t>-</t>
        </is>
      </c>
      <c r="AW21" s="19" t="inlineStr">
        <is>
          <t>-</t>
        </is>
      </c>
      <c r="AX21" s="19" t="inlineStr">
        <is>
          <t>-</t>
        </is>
      </c>
      <c r="AY21" s="19" t="inlineStr">
        <is>
          <t>-</t>
        </is>
      </c>
      <c r="AZ21" s="20">
        <f>SUMIFS(領用表!$L:$L,領用表!$E:$E,$B21,領用表!$B:$B,AZ$2&amp;$BI$1)</f>
        <v/>
      </c>
      <c r="BA21" s="20">
        <f>SUMIFS(領用表!$L:$L,領用表!$E:$E,$B21,領用表!$B:$B,BA$2&amp;$BI$1)</f>
        <v/>
      </c>
      <c r="BB21" s="20">
        <f>SUMIFS(領用表!$L:$L,領用表!$E:$E,$B21,領用表!$B:$B,BB$2&amp;$BI$1)</f>
        <v/>
      </c>
      <c r="BC21" s="20">
        <f>SUMIFS(領用表!$L:$L,領用表!$E:$E,$B21,領用表!$B:$B,BC$2&amp;$BI$1)</f>
        <v/>
      </c>
      <c r="BD21" s="142">
        <f>SUMIFS(領用表!$L:$L,領用表!$E:$E,$B21,領用表!$B:$B,BD$2&amp;$BI$1)</f>
        <v/>
      </c>
      <c r="BE21" s="142">
        <f>SUMIFS(領用表!$L:$L,領用表!$E:$E,$B21,領用表!$B:$B,BE$2&amp;$BI$1)</f>
        <v/>
      </c>
      <c r="BF21" s="142">
        <f>SUMIFS(領用表!$L:$L,領用表!$E:$E,$B21,領用表!$B:$B,BF$2&amp;$BI$1)</f>
        <v/>
      </c>
      <c r="BG21" s="23">
        <f>SUM(AU21,AV21,AW21,AX21,AY21,AZ21,BA21,BB21,BC21,BD21,BE21,BF21)</f>
        <v/>
      </c>
      <c r="BH21" s="23">
        <f>AVERAGE(AU21,AV21,AW21,AX21,AY21,AZ21,BA21,BB21,BC21,BD21,BE21,BF21)</f>
        <v/>
      </c>
      <c r="BI21" s="142">
        <f>SUMIFS(領用表!$L:$L,領用表!$E:$E,$B21,領用表!$B:$B,BI$2&amp;$BI$1)</f>
        <v/>
      </c>
      <c r="BJ21" s="142">
        <f>SUMIFS(領用表!$L:$L,領用表!$E:$E,$B21,領用表!$B:$B,BJ$2&amp;$BI$1)</f>
        <v/>
      </c>
      <c r="BK21" s="142">
        <f>SUMIFS(領用表!$L:$L,領用表!$E:$E,$B21,領用表!$B:$B,BK$2&amp;$BI$1)</f>
        <v/>
      </c>
      <c r="BL21" s="142">
        <f>SUMIFS(領用表!$L:$L,領用表!$E:$E,$B21,領用表!$B:$B,BL$2&amp;$BI$1)</f>
        <v/>
      </c>
      <c r="BM21" s="142">
        <f>SUMIFS(領用表!$L:$L,領用表!$E:$E,$B21,領用表!$B:$B,BM$2&amp;$BI$1)</f>
        <v/>
      </c>
      <c r="BN21" s="142" t="n"/>
      <c r="BO21" s="142">
        <f>SUMIFS(領用表!$L:$L,領用表!$E:$E,$B21,領用表!$B:$B,BO$2&amp;$BI$1)</f>
        <v/>
      </c>
      <c r="BP21" s="142">
        <f>SUMIFS(領用表!$L:$L,領用表!$E:$E,$B21,領用表!$B:$B,BP$2&amp;$BI$1)</f>
        <v/>
      </c>
      <c r="BQ21" s="142">
        <f>SUMIFS(領用表!$L:$L,領用表!$E:$E,$B21,領用表!$B:$B,BQ$2&amp;$BI$1)</f>
        <v/>
      </c>
      <c r="BR21" s="142">
        <f>SUMIFS(領用表!$L:$L,領用表!$E:$E,$B21,領用表!$B:$B,BR$2&amp;$BI$1)</f>
        <v/>
      </c>
      <c r="BS21" s="142">
        <f>SUMIFS(領用表!$L:$L,領用表!$E:$E,$B21,領用表!$B:$B,BS$2&amp;$BI$1)</f>
        <v/>
      </c>
      <c r="BT21" s="142">
        <f>SUMIFS(領用表!$L:$L,領用表!$E:$E,$B21,領用表!$B:$B,BT$2&amp;$BI$1)</f>
        <v/>
      </c>
      <c r="BU21" s="142">
        <f>SUM(BI21,BJ21,BK21,BL21,BM21,BN21)</f>
        <v/>
      </c>
      <c r="BV21" s="142">
        <f>AVERAGE(BI21,BJ21,BK21,BL21,BM21,BN21)</f>
        <v/>
      </c>
      <c r="BW21" s="142">
        <f>SUMIF(Summary!B:B,B21,Summary!EA:EA)</f>
        <v/>
      </c>
      <c r="BX21" s="108" t="n"/>
      <c r="BY21" s="65" t="n"/>
      <c r="BZ21" s="54" t="n"/>
      <c r="CA21" s="54" t="inlineStr">
        <is>
          <t>缺貨</t>
        </is>
      </c>
      <c r="CB21" s="27" t="n"/>
      <c r="CC21" s="69" t="n"/>
      <c r="CD21" s="14" t="n"/>
      <c r="CE21" s="29" t="n"/>
    </row>
    <row r="22" ht="15.75" customHeight="1" s="453">
      <c r="A22" s="27" t="n"/>
      <c r="B22" s="178" t="n">
        <v>6200021</v>
      </c>
      <c r="C22" s="179" t="inlineStr">
        <is>
          <t>(V)猛健樂12.5MG/0.12CC</t>
        </is>
      </c>
      <c r="D22" s="67" t="n">
        <v>1</v>
      </c>
      <c r="E22" s="17" t="n"/>
      <c r="F22" s="18" t="n">
        <v>0</v>
      </c>
      <c r="G22" s="1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68" t="n"/>
      <c r="AT22" s="26" t="n"/>
      <c r="AU22" s="19" t="inlineStr">
        <is>
          <t>-</t>
        </is>
      </c>
      <c r="AV22" s="19" t="inlineStr">
        <is>
          <t>-</t>
        </is>
      </c>
      <c r="AW22" s="19" t="inlineStr">
        <is>
          <t>-</t>
        </is>
      </c>
      <c r="AX22" s="19" t="inlineStr">
        <is>
          <t>-</t>
        </is>
      </c>
      <c r="AY22" s="19" t="inlineStr">
        <is>
          <t>-</t>
        </is>
      </c>
      <c r="AZ22" s="20">
        <f>SUMIFS(領用表!$L:$L,領用表!$E:$E,$B22,領用表!$B:$B,AZ$2&amp;$BI$1)</f>
        <v/>
      </c>
      <c r="BA22" s="20">
        <f>SUMIFS(領用表!$L:$L,領用表!$E:$E,$B22,領用表!$B:$B,BA$2&amp;$BI$1)</f>
        <v/>
      </c>
      <c r="BB22" s="20">
        <f>SUMIFS(領用表!$L:$L,領用表!$E:$E,$B22,領用表!$B:$B,BB$2&amp;$BI$1)</f>
        <v/>
      </c>
      <c r="BC22" s="20">
        <f>SUMIFS(領用表!$L:$L,領用表!$E:$E,$B22,領用表!$B:$B,BC$2&amp;$BI$1)</f>
        <v/>
      </c>
      <c r="BD22" s="142">
        <f>SUMIFS(領用表!$L:$L,領用表!$E:$E,$B22,領用表!$B:$B,BD$2&amp;$BI$1)</f>
        <v/>
      </c>
      <c r="BE22" s="142">
        <f>SUMIFS(領用表!$L:$L,領用表!$E:$E,$B22,領用表!$B:$B,BE$2&amp;$BI$1)</f>
        <v/>
      </c>
      <c r="BF22" s="142">
        <f>SUMIFS(領用表!$L:$L,領用表!$E:$E,$B22,領用表!$B:$B,BF$2&amp;$BI$1)</f>
        <v/>
      </c>
      <c r="BG22" s="23">
        <f>SUM(AU22,AV22,AW22,AX22,AY22,AZ22,BA22,BB22,BC22,BD22,BE22,BF22)</f>
        <v/>
      </c>
      <c r="BH22" s="23">
        <f>AVERAGE(AU22,AV22,AW22,AX22,AY22,AZ22,BA22,BB22,BC22,BD22,BE22,BF22)</f>
        <v/>
      </c>
      <c r="BI22" s="142">
        <f>SUMIFS(領用表!$L:$L,領用表!$E:$E,$B22,領用表!$B:$B,BI$2&amp;$BI$1)</f>
        <v/>
      </c>
      <c r="BJ22" s="142">
        <f>SUMIFS(領用表!$L:$L,領用表!$E:$E,$B22,領用表!$B:$B,BJ$2&amp;$BI$1)</f>
        <v/>
      </c>
      <c r="BK22" s="142">
        <f>SUMIFS(領用表!$L:$L,領用表!$E:$E,$B22,領用表!$B:$B,BK$2&amp;$BI$1)</f>
        <v/>
      </c>
      <c r="BL22" s="142">
        <f>SUMIFS(領用表!$L:$L,領用表!$E:$E,$B22,領用表!$B:$B,BL$2&amp;$BI$1)</f>
        <v/>
      </c>
      <c r="BM22" s="142">
        <f>SUMIFS(領用表!$L:$L,領用表!$E:$E,$B22,領用表!$B:$B,BM$2&amp;$BI$1)</f>
        <v/>
      </c>
      <c r="BN22" s="142" t="n"/>
      <c r="BO22" s="142">
        <f>SUMIFS(領用表!$L:$L,領用表!$E:$E,$B22,領用表!$B:$B,BO$2&amp;$BI$1)</f>
        <v/>
      </c>
      <c r="BP22" s="142">
        <f>SUMIFS(領用表!$L:$L,領用表!$E:$E,$B22,領用表!$B:$B,BP$2&amp;$BI$1)</f>
        <v/>
      </c>
      <c r="BQ22" s="142">
        <f>SUMIFS(領用表!$L:$L,領用表!$E:$E,$B22,領用表!$B:$B,BQ$2&amp;$BI$1)</f>
        <v/>
      </c>
      <c r="BR22" s="142">
        <f>SUMIFS(領用表!$L:$L,領用表!$E:$E,$B22,領用表!$B:$B,BR$2&amp;$BI$1)</f>
        <v/>
      </c>
      <c r="BS22" s="142">
        <f>SUMIFS(領用表!$L:$L,領用表!$E:$E,$B22,領用表!$B:$B,BS$2&amp;$BI$1)</f>
        <v/>
      </c>
      <c r="BT22" s="142">
        <f>SUMIFS(領用表!$L:$L,領用表!$E:$E,$B22,領用表!$B:$B,BT$2&amp;$BI$1)</f>
        <v/>
      </c>
      <c r="BU22" s="142">
        <f>SUM(BI22,BJ22,BK22,BL22,BM22,BN22)</f>
        <v/>
      </c>
      <c r="BV22" s="142">
        <f>AVERAGE(BI22,BJ22,BK22,BL22,BM22,BN22)</f>
        <v/>
      </c>
      <c r="BW22" s="142">
        <f>SUMIF(Summary!B:B,B22,Summary!EA:EA)</f>
        <v/>
      </c>
      <c r="BX22" s="108" t="n"/>
      <c r="BY22" s="65" t="n"/>
      <c r="BZ22" s="54" t="n"/>
      <c r="CA22" s="54" t="inlineStr">
        <is>
          <t>缺貨</t>
        </is>
      </c>
      <c r="CB22" s="27" t="n"/>
      <c r="CC22" s="69" t="n"/>
      <c r="CD22" s="14" t="n"/>
      <c r="CE22" s="29" t="n"/>
    </row>
    <row r="23" ht="15.75" customHeight="1" s="453">
      <c r="A23" s="27" t="n"/>
      <c r="B23" s="14" t="n">
        <v>6200022</v>
      </c>
      <c r="C23" s="429" t="inlineStr">
        <is>
          <t>綠寶石點數</t>
        </is>
      </c>
      <c r="D23" s="67" t="n"/>
      <c r="E23" s="17" t="n">
        <v>654</v>
      </c>
      <c r="F23" s="18">
        <f>642+654</f>
        <v/>
      </c>
      <c r="G23" s="1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68" t="n"/>
      <c r="AT23" s="26" t="n"/>
      <c r="AU23" s="19" t="n"/>
      <c r="AV23" s="19" t="n"/>
      <c r="AW23" s="19" t="n"/>
      <c r="AX23" s="19" t="n"/>
      <c r="AY23" s="19" t="n"/>
      <c r="AZ23" s="20" t="n"/>
      <c r="BA23" s="20" t="n"/>
      <c r="BB23" s="20" t="n"/>
      <c r="BC23" s="20" t="n"/>
      <c r="BD23" s="142" t="n"/>
      <c r="BE23" s="142" t="n"/>
      <c r="BF23" s="142" t="n"/>
      <c r="BG23" s="23" t="n"/>
      <c r="BH23" s="23" t="n"/>
      <c r="BI23" s="142">
        <f>SUMIFS(領用表!$L:$L,領用表!$E:$E,$B23,領用表!$B:$B,BI$2&amp;$BI$1)</f>
        <v/>
      </c>
      <c r="BJ23" s="142">
        <f>SUMIFS(領用表!$L:$L,領用表!$E:$E,$B23,領用表!$B:$B,BJ$2&amp;$BI$1)</f>
        <v/>
      </c>
      <c r="BK23" s="142">
        <f>SUMIFS(領用表!$L:$L,領用表!$E:$E,$B23,領用表!$B:$B,BK$2&amp;$BI$1)</f>
        <v/>
      </c>
      <c r="BL23" s="142">
        <f>SUMIFS(領用表!$L:$L,領用表!$E:$E,$B23,領用表!$B:$B,BL$2&amp;$BI$1)</f>
        <v/>
      </c>
      <c r="BM23" s="142">
        <f>SUMIFS(領用表!$L:$L,領用表!$E:$E,$B23,領用表!$B:$B,BM$2&amp;$BI$1)</f>
        <v/>
      </c>
      <c r="BN23" s="142" t="n">
        <v>6</v>
      </c>
      <c r="BO23" s="142" t="n"/>
      <c r="BP23" s="142" t="n"/>
      <c r="BQ23" s="142" t="n"/>
      <c r="BR23" s="142" t="n"/>
      <c r="BS23" s="142" t="n"/>
      <c r="BT23" s="142" t="n"/>
      <c r="BU23" s="142">
        <f>SUM(BI23,BJ23,BK23,BL23,BM23,BN23)</f>
        <v/>
      </c>
      <c r="BV23" s="142">
        <f>AVERAGE(BI23,BJ23,BK23,BL23,BM23,BN23)</f>
        <v/>
      </c>
      <c r="BW23" s="142" t="n"/>
      <c r="BX23" s="108" t="n"/>
      <c r="BY23" s="65" t="n"/>
      <c r="BZ23" s="54" t="n"/>
      <c r="CA23" s="54" t="n"/>
      <c r="CB23" s="27" t="n"/>
      <c r="CC23" s="69" t="n"/>
      <c r="CD23" s="14" t="n"/>
      <c r="CE23" s="29" t="n"/>
    </row>
    <row r="24" ht="15.75" customHeight="1" s="453">
      <c r="A24" s="27" t="inlineStr">
        <is>
          <t>MB3ME090001A</t>
        </is>
      </c>
      <c r="B24" s="14" t="n">
        <v>6120001</v>
      </c>
      <c r="C24" s="411" t="inlineStr">
        <is>
          <t>肝得健(20入)</t>
        </is>
      </c>
      <c r="D24" s="67" t="n">
        <v>20</v>
      </c>
      <c r="E24" s="17" t="inlineStr">
        <is>
          <t>PCS</t>
        </is>
      </c>
      <c r="F24" s="18" t="n">
        <v>738</v>
      </c>
      <c r="G24" s="1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19" t="n">
        <v>40</v>
      </c>
      <c r="AH24" s="19" t="n">
        <v>31</v>
      </c>
      <c r="AI24" s="19" t="n">
        <v>28</v>
      </c>
      <c r="AJ24" s="19" t="n">
        <v>47</v>
      </c>
      <c r="AK24" s="19" t="n">
        <v>74</v>
      </c>
      <c r="AL24" s="19" t="n">
        <v>82</v>
      </c>
      <c r="AM24" s="19" t="n">
        <v>94</v>
      </c>
      <c r="AN24" s="19" t="n">
        <v>150</v>
      </c>
      <c r="AO24" s="19" t="n">
        <v>286</v>
      </c>
      <c r="AP24" s="19" t="n">
        <v>262</v>
      </c>
      <c r="AQ24" s="19" t="n">
        <v>257</v>
      </c>
      <c r="AR24" s="19" t="n">
        <v>283</v>
      </c>
      <c r="AS24" s="68">
        <f>SUM(AG24:AR24)</f>
        <v/>
      </c>
      <c r="AT24" s="26">
        <f>AS24/12</f>
        <v/>
      </c>
      <c r="AU24" s="19" t="n">
        <v>250</v>
      </c>
      <c r="AV24" s="19" t="n">
        <v>33</v>
      </c>
      <c r="AW24" s="19" t="n">
        <v>299</v>
      </c>
      <c r="AX24" s="19" t="n">
        <v>390</v>
      </c>
      <c r="AY24" s="19">
        <f>2+364</f>
        <v/>
      </c>
      <c r="AZ24" s="20">
        <f>SUMIFS(領用表!$L:$L,領用表!$E:$E,$B24,領用表!$B:$B,AZ$2&amp;$BI$1)</f>
        <v/>
      </c>
      <c r="BA24" s="20">
        <f>SUMIFS(領用表!$L:$L,領用表!$E:$E,$B24,領用表!$B:$B,BA$2&amp;$BI$1)</f>
        <v/>
      </c>
      <c r="BB24" s="20">
        <f>SUMIFS(領用表!$L:$L,領用表!$E:$E,$B24,領用表!$B:$B,BB$2&amp;$BI$1)</f>
        <v/>
      </c>
      <c r="BC24" s="20">
        <f>SUMIFS(領用表!$L:$L,領用表!$E:$E,$B24,領用表!$B:$B,BC$2&amp;$BI$1)</f>
        <v/>
      </c>
      <c r="BD24" s="142">
        <f>SUMIFS(領用表!$L:$L,領用表!$E:$E,$B24,領用表!$B:$B,BD$2&amp;$BI$1)</f>
        <v/>
      </c>
      <c r="BE24" s="142">
        <f>SUMIFS(領用表!$L:$L,領用表!$E:$E,$B24,領用表!$B:$B,BE$2&amp;$BI$1)</f>
        <v/>
      </c>
      <c r="BF24" s="142">
        <f>SUMIFS(領用表!$L:$L,領用表!$E:$E,$B24,領用表!$B:$B,BF$2&amp;$BI$1)</f>
        <v/>
      </c>
      <c r="BG24" s="23">
        <f>SUM(AU24,AV24,AW24,AX24,AY24,AZ24,BA24,BB24,BC24,BD24,BE24,BF24)</f>
        <v/>
      </c>
      <c r="BH24" s="23">
        <f>AVERAGE(AU24,AV24,AW24,AX24,AY24,AZ24,BA24,BB24,BC24,BD24,BE24,BF24)</f>
        <v/>
      </c>
      <c r="BI24" s="142">
        <f>SUMIFS(領用表!$L:$L,領用表!$E:$E,$B24,領用表!$B:$B,BI$2&amp;$BI$1)</f>
        <v/>
      </c>
      <c r="BJ24" s="142">
        <f>SUMIFS(領用表!$L:$L,領用表!$E:$E,$B24,領用表!$B:$B,BJ$2&amp;$BI$1)</f>
        <v/>
      </c>
      <c r="BK24" s="142">
        <f>SUMIFS(領用表!$L:$L,領用表!$E:$E,$B24,領用表!$B:$B,BK$2&amp;$BI$1)</f>
        <v/>
      </c>
      <c r="BL24" s="142">
        <f>SUMIFS(領用表!$L:$L,領用表!$E:$E,$B24,領用表!$B:$B,BL$2&amp;$BI$1)</f>
        <v/>
      </c>
      <c r="BM24" s="142">
        <f>SUMIFS(領用表!$L:$L,領用表!$E:$E,$B24,領用表!$B:$B,BM$2&amp;$BI$1)</f>
        <v/>
      </c>
      <c r="BN24" s="142" t="n">
        <v>406</v>
      </c>
      <c r="BO24" s="142">
        <f>SUMIFS(領用表!$L:$L,領用表!$E:$E,$B24,領用表!$B:$B,BO$2&amp;$BI$1)</f>
        <v/>
      </c>
      <c r="BP24" s="142">
        <f>SUMIFS(領用表!$L:$L,領用表!$E:$E,$B24,領用表!$B:$B,BP$2&amp;$BI$1)</f>
        <v/>
      </c>
      <c r="BQ24" s="142">
        <f>SUMIFS(領用表!$L:$L,領用表!$E:$E,$B24,領用表!$B:$B,BQ$2&amp;$BI$1)</f>
        <v/>
      </c>
      <c r="BR24" s="142">
        <f>SUMIFS(領用表!$L:$L,領用表!$E:$E,$B24,領用表!$B:$B,BR$2&amp;$BI$1)</f>
        <v/>
      </c>
      <c r="BS24" s="142">
        <f>SUMIFS(領用表!$L:$L,領用表!$E:$E,$B24,領用表!$B:$B,BS$2&amp;$BI$1)</f>
        <v/>
      </c>
      <c r="BT24" s="142">
        <f>SUMIFS(領用表!$L:$L,領用表!$E:$E,$B24,領用表!$B:$B,BT$2&amp;$BI$1)</f>
        <v/>
      </c>
      <c r="BU24" s="142">
        <f>SUM(BI24,BJ24,BK24,BL24,BM24,BN24)</f>
        <v/>
      </c>
      <c r="BV24" s="142">
        <f>AVERAGE(BI24,BJ24,BK24,BL24,BM24,BN24)</f>
        <v/>
      </c>
      <c r="BW24" s="142">
        <f>SUMIF(Summary!B:B,B24,Summary!EA:EA)</f>
        <v/>
      </c>
      <c r="BX24" s="108" t="n"/>
      <c r="BY24" s="65" t="n"/>
      <c r="BZ24" s="65" t="inlineStr">
        <is>
          <t>440-10/22</t>
        </is>
      </c>
      <c r="CA24" s="65" t="inlineStr">
        <is>
          <t>220-10/22</t>
        </is>
      </c>
      <c r="CB24" s="27" t="n"/>
      <c r="CC24" s="69" t="n"/>
      <c r="CD24" s="14" t="n"/>
      <c r="CE24" s="29" t="n"/>
    </row>
    <row r="25" ht="15.75" customHeight="1" s="453">
      <c r="A25" s="27" t="inlineStr">
        <is>
          <t>MB3ME090002A</t>
        </is>
      </c>
      <c r="B25" s="14" t="n">
        <v>6120002</v>
      </c>
      <c r="C25" s="411" t="inlineStr">
        <is>
          <t>卡尼丁(20入)</t>
        </is>
      </c>
      <c r="D25" s="67" t="n">
        <v>20</v>
      </c>
      <c r="E25" s="17" t="inlineStr">
        <is>
          <t>PCS</t>
        </is>
      </c>
      <c r="F25" s="18" t="n">
        <v>300.5</v>
      </c>
      <c r="G25" s="1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19" t="n">
        <v>40</v>
      </c>
      <c r="AH25" s="19" t="n">
        <v>31</v>
      </c>
      <c r="AI25" s="19" t="n">
        <v>29</v>
      </c>
      <c r="AJ25" s="19" t="n">
        <v>48</v>
      </c>
      <c r="AK25" s="19" t="n">
        <v>74</v>
      </c>
      <c r="AL25" s="19" t="n">
        <v>84</v>
      </c>
      <c r="AM25" s="19" t="n">
        <v>105</v>
      </c>
      <c r="AN25" s="19" t="n">
        <v>160</v>
      </c>
      <c r="AO25" s="19" t="n">
        <v>304</v>
      </c>
      <c r="AP25" s="19" t="n">
        <v>288.5</v>
      </c>
      <c r="AQ25" s="19" t="n">
        <v>306</v>
      </c>
      <c r="AR25" s="19" t="n">
        <v>362.5</v>
      </c>
      <c r="AS25" s="68">
        <f>SUM(AG25:AR25)</f>
        <v/>
      </c>
      <c r="AT25" s="26">
        <f>AS25/12</f>
        <v/>
      </c>
      <c r="AU25" s="19" t="n">
        <v>359.5</v>
      </c>
      <c r="AV25" s="19" t="n">
        <v>165</v>
      </c>
      <c r="AW25" s="19" t="n">
        <v>419.5</v>
      </c>
      <c r="AX25" s="19" t="n">
        <v>490</v>
      </c>
      <c r="AY25" s="19">
        <f>2+478</f>
        <v/>
      </c>
      <c r="AZ25" s="20">
        <f>SUMIFS(領用表!$L:$L,領用表!$E:$E,$B25,領用表!$B:$B,AZ$2&amp;$BI$1)</f>
        <v/>
      </c>
      <c r="BA25" s="20">
        <f>SUMIFS(領用表!$L:$L,領用表!$E:$E,$B25,領用表!$B:$B,BA$2&amp;$BI$1)</f>
        <v/>
      </c>
      <c r="BB25" s="20">
        <f>SUMIFS(領用表!$L:$L,領用表!$E:$E,$B25,領用表!$B:$B,BB$2&amp;$BI$1)</f>
        <v/>
      </c>
      <c r="BC25" s="20">
        <f>SUMIFS(領用表!$L:$L,領用表!$E:$E,$B25,領用表!$B:$B,BC$2&amp;$BI$1)</f>
        <v/>
      </c>
      <c r="BD25" s="142">
        <f>SUMIFS(領用表!$L:$L,領用表!$E:$E,$B25,領用表!$B:$B,BD$2&amp;$BI$1)</f>
        <v/>
      </c>
      <c r="BE25" s="142">
        <f>SUMIFS(領用表!$L:$L,領用表!$E:$E,$B25,領用表!$B:$B,BE$2&amp;$BI$1)</f>
        <v/>
      </c>
      <c r="BF25" s="142">
        <f>SUMIFS(領用表!$L:$L,領用表!$E:$E,$B25,領用表!$B:$B,BF$2&amp;$BI$1)</f>
        <v/>
      </c>
      <c r="BG25" s="23">
        <f>SUM(AU25,AV25,AW25,AX25,AY25,AZ25,BA25,BB25,BC25,BD25,BE25,BF25)</f>
        <v/>
      </c>
      <c r="BH25" s="23">
        <f>AVERAGE(AU25,AV25,AW25,AX25,AY25,AZ25,BA25,BB25,BC25,BD25,BE25,BF25)</f>
        <v/>
      </c>
      <c r="BI25" s="142">
        <f>SUMIFS(領用表!$L:$L,領用表!$E:$E,$B25,領用表!$B:$B,BI$2&amp;$BI$1)</f>
        <v/>
      </c>
      <c r="BJ25" s="142">
        <f>SUMIFS(領用表!$L:$L,領用表!$E:$E,$B25,領用表!$B:$B,BJ$2&amp;$BI$1)</f>
        <v/>
      </c>
      <c r="BK25" s="142">
        <f>SUMIFS(領用表!$L:$L,領用表!$E:$E,$B25,領用表!$B:$B,BK$2&amp;$BI$1)</f>
        <v/>
      </c>
      <c r="BL25" s="142">
        <f>SUMIFS(領用表!$L:$L,領用表!$E:$E,$B25,領用表!$B:$B,BL$2&amp;$BI$1)</f>
        <v/>
      </c>
      <c r="BM25" s="142">
        <f>SUMIFS(領用表!$L:$L,領用表!$E:$E,$B25,領用表!$B:$B,BM$2&amp;$BI$1)</f>
        <v/>
      </c>
      <c r="BN25" s="142" t="n">
        <v>433.5</v>
      </c>
      <c r="BO25" s="142">
        <f>SUMIFS(領用表!$L:$L,領用表!$E:$E,$B25,領用表!$B:$B,BO$2&amp;$BI$1)</f>
        <v/>
      </c>
      <c r="BP25" s="142">
        <f>SUMIFS(領用表!$L:$L,領用表!$E:$E,$B25,領用表!$B:$B,BP$2&amp;$BI$1)</f>
        <v/>
      </c>
      <c r="BQ25" s="142">
        <f>SUMIFS(領用表!$L:$L,領用表!$E:$E,$B25,領用表!$B:$B,BQ$2&amp;$BI$1)</f>
        <v/>
      </c>
      <c r="BR25" s="142">
        <f>SUMIFS(領用表!$L:$L,領用表!$E:$E,$B25,領用表!$B:$B,BR$2&amp;$BI$1)</f>
        <v/>
      </c>
      <c r="BS25" s="142">
        <f>SUMIFS(領用表!$L:$L,領用表!$E:$E,$B25,領用表!$B:$B,BS$2&amp;$BI$1)</f>
        <v/>
      </c>
      <c r="BT25" s="142">
        <f>SUMIFS(領用表!$L:$L,領用表!$E:$E,$B25,領用表!$B:$B,BT$2&amp;$BI$1)</f>
        <v/>
      </c>
      <c r="BU25" s="142">
        <f>SUM(BI25,BJ25,BK25,BL25,BM25,BN25)</f>
        <v/>
      </c>
      <c r="BV25" s="142">
        <f>AVERAGE(BI25,BJ25,BK25,BL25,BM25,BN25)</f>
        <v/>
      </c>
      <c r="BW25" s="142">
        <f>SUMIF(Summary!B:B,B25,Summary!EA:EA)</f>
        <v/>
      </c>
      <c r="BX25" s="108" t="n"/>
      <c r="BY25" s="65" t="n"/>
      <c r="BZ25" s="65" t="inlineStr">
        <is>
          <t>440-10/22</t>
        </is>
      </c>
      <c r="CA25" s="65" t="inlineStr">
        <is>
          <t>660-10/22</t>
        </is>
      </c>
      <c r="CB25" s="27" t="n"/>
      <c r="CC25" s="69" t="n"/>
      <c r="CD25" s="14" t="n"/>
      <c r="CE25" s="29" t="n"/>
    </row>
    <row r="26" ht="15.75" customHeight="1" s="453">
      <c r="A26" s="27" t="inlineStr">
        <is>
          <t>MB3ME090003A</t>
        </is>
      </c>
      <c r="B26" s="14" t="n">
        <v>6120003</v>
      </c>
      <c r="C26" s="14" t="inlineStr">
        <is>
          <t>貝力多(雙胜胺) 20% 30mL/ 瓶</t>
        </is>
      </c>
      <c r="D26" s="67" t="n">
        <v>10</v>
      </c>
      <c r="E26" s="17" t="inlineStr">
        <is>
          <t>PCS</t>
        </is>
      </c>
      <c r="F26" s="18" t="n">
        <v>58</v>
      </c>
      <c r="G26" s="18" t="n"/>
      <c r="H26" s="18" t="n"/>
      <c r="I26" s="18" t="n"/>
      <c r="J26" s="18" t="n"/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19" t="n">
        <v>3</v>
      </c>
      <c r="AH26" s="19" t="n">
        <v>2</v>
      </c>
      <c r="AI26" s="19" t="n">
        <v>0</v>
      </c>
      <c r="AJ26" s="19" t="n">
        <v>4</v>
      </c>
      <c r="AK26" s="19" t="n">
        <v>5</v>
      </c>
      <c r="AL26" s="19" t="n">
        <v>5</v>
      </c>
      <c r="AM26" s="19" t="n">
        <v>5</v>
      </c>
      <c r="AN26" s="19" t="n">
        <v>8</v>
      </c>
      <c r="AO26" s="19" t="n">
        <v>12</v>
      </c>
      <c r="AP26" s="19" t="n">
        <v>3</v>
      </c>
      <c r="AQ26" s="19" t="n">
        <v>4</v>
      </c>
      <c r="AR26" s="19" t="n">
        <v>9</v>
      </c>
      <c r="AS26" s="68">
        <f>SUM(AG26:AR26)</f>
        <v/>
      </c>
      <c r="AT26" s="26">
        <f>AS26/12</f>
        <v/>
      </c>
      <c r="AU26" s="19" t="n">
        <v>0</v>
      </c>
      <c r="AV26" s="19" t="n">
        <v>1</v>
      </c>
      <c r="AW26" s="19" t="n">
        <v>7</v>
      </c>
      <c r="AX26" s="19" t="n">
        <v>5</v>
      </c>
      <c r="AY26" s="19">
        <f>0+3</f>
        <v/>
      </c>
      <c r="AZ26" s="20">
        <f>SUMIFS(領用表!$L:$L,領用表!$E:$E,$B26,領用表!$B:$B,AZ$2&amp;$BI$1)</f>
        <v/>
      </c>
      <c r="BA26" s="20">
        <f>SUMIFS(領用表!$L:$L,領用表!$E:$E,$B26,領用表!$B:$B,BA$2&amp;$BI$1)</f>
        <v/>
      </c>
      <c r="BB26" s="20">
        <f>SUMIFS(領用表!$L:$L,領用表!$E:$E,$B26,領用表!$B:$B,BB$2&amp;$BI$1)</f>
        <v/>
      </c>
      <c r="BC26" s="20">
        <f>SUMIFS(領用表!$L:$L,領用表!$E:$E,$B26,領用表!$B:$B,BC$2&amp;$BI$1)</f>
        <v/>
      </c>
      <c r="BD26" s="142">
        <f>SUMIFS(領用表!$L:$L,領用表!$E:$E,$B26,領用表!$B:$B,BD$2&amp;$BI$1)</f>
        <v/>
      </c>
      <c r="BE26" s="142">
        <f>SUMIFS(領用表!$L:$L,領用表!$E:$E,$B26,領用表!$B:$B,BE$2&amp;$BI$1)</f>
        <v/>
      </c>
      <c r="BF26" s="142">
        <f>SUMIFS(領用表!$L:$L,領用表!$E:$E,$B26,領用表!$B:$B,BF$2&amp;$BI$1)</f>
        <v/>
      </c>
      <c r="BG26" s="23">
        <f>SUM(AU26,AV26,AW26,AX26,AY26,AZ26,BA26,BB26,BC26,BD26,BE26,BF26)</f>
        <v/>
      </c>
      <c r="BH26" s="23">
        <f>AVERAGE(AU26,AV26,AW26,AX26,AY26,AZ26,BA26,BB26,BC26,BD26,BE26,BF26)</f>
        <v/>
      </c>
      <c r="BI26" s="142">
        <f>SUMIFS(領用表!$L:$L,領用表!$E:$E,$B26,領用表!$B:$B,BI$2&amp;$BI$1)</f>
        <v/>
      </c>
      <c r="BJ26" s="142">
        <f>SUMIFS(領用表!$L:$L,領用表!$E:$E,$B26,領用表!$B:$B,BJ$2&amp;$BI$1)</f>
        <v/>
      </c>
      <c r="BK26" s="142">
        <f>SUMIFS(領用表!$L:$L,領用表!$E:$E,$B26,領用表!$B:$B,BK$2&amp;$BI$1)</f>
        <v/>
      </c>
      <c r="BL26" s="142">
        <f>SUMIFS(領用表!$L:$L,領用表!$E:$E,$B26,領用表!$B:$B,BL$2&amp;$BI$1)</f>
        <v/>
      </c>
      <c r="BM26" s="142">
        <f>SUMIFS(領用表!$L:$L,領用表!$E:$E,$B26,領用表!$B:$B,BM$2&amp;$BI$1)</f>
        <v/>
      </c>
      <c r="BN26" s="142" t="n"/>
      <c r="BO26" s="142">
        <f>SUMIFS(領用表!$L:$L,領用表!$E:$E,$B26,領用表!$B:$B,BO$2&amp;$BI$1)</f>
        <v/>
      </c>
      <c r="BP26" s="142">
        <f>SUMIFS(領用表!$L:$L,領用表!$E:$E,$B26,領用表!$B:$B,BP$2&amp;$BI$1)</f>
        <v/>
      </c>
      <c r="BQ26" s="142">
        <f>SUMIFS(領用表!$L:$L,領用表!$E:$E,$B26,領用表!$B:$B,BQ$2&amp;$BI$1)</f>
        <v/>
      </c>
      <c r="BR26" s="142">
        <f>SUMIFS(領用表!$L:$L,領用表!$E:$E,$B26,領用表!$B:$B,BR$2&amp;$BI$1)</f>
        <v/>
      </c>
      <c r="BS26" s="142">
        <f>SUMIFS(領用表!$L:$L,領用表!$E:$E,$B26,領用表!$B:$B,BS$2&amp;$BI$1)</f>
        <v/>
      </c>
      <c r="BT26" s="142">
        <f>SUMIFS(領用表!$L:$L,領用表!$E:$E,$B26,領用表!$B:$B,BT$2&amp;$BI$1)</f>
        <v/>
      </c>
      <c r="BU26" s="142">
        <f>SUM(BI26,BJ26,BK26,BL26,BM26,BN26)</f>
        <v/>
      </c>
      <c r="BV26" s="142">
        <f>AVERAGE(BI26,BJ26,BK26,BL26,BM26,BN26)</f>
        <v/>
      </c>
      <c r="BW26" s="142">
        <f>SUMIF(Summary!B:B,B26,Summary!EA:EA)</f>
        <v/>
      </c>
      <c r="BX26" s="108" t="n"/>
      <c r="BY26" s="65" t="n"/>
      <c r="BZ26" s="65" t="n"/>
      <c r="CA26" s="65" t="n"/>
      <c r="CB26" s="27" t="n"/>
      <c r="CC26" s="69" t="n"/>
      <c r="CD26" s="14" t="n"/>
      <c r="CE26" s="29" t="n"/>
    </row>
    <row r="27" ht="15.75" customHeight="1" s="453">
      <c r="A27" s="27" t="inlineStr">
        <is>
          <t>MB3ME090037A</t>
        </is>
      </c>
      <c r="B27" s="14" t="n">
        <v>6120036</v>
      </c>
      <c r="C27" s="14" t="inlineStr">
        <is>
          <t>貝力多(雙胜胺) 20% 50mL/ 瓶</t>
        </is>
      </c>
      <c r="D27" s="67" t="n">
        <v>10</v>
      </c>
      <c r="E27" s="17" t="inlineStr">
        <is>
          <t>PCS</t>
        </is>
      </c>
      <c r="F27" s="18" t="n">
        <v>11</v>
      </c>
      <c r="G27" s="18" t="n"/>
      <c r="H27" s="18" t="n"/>
      <c r="I27" s="18" t="n"/>
      <c r="J27" s="1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68" t="n"/>
      <c r="AT27" s="26" t="n"/>
      <c r="AU27" s="19" t="n"/>
      <c r="AV27" s="19" t="n"/>
      <c r="AW27" s="19" t="n"/>
      <c r="AX27" s="19" t="n"/>
      <c r="AY27" s="19" t="n"/>
      <c r="AZ27" s="20">
        <f>SUMIFS(領用表!$L:$L,領用表!$E:$E,$B27,領用表!$B:$B,AZ$2&amp;$BI$1)</f>
        <v/>
      </c>
      <c r="BA27" s="20">
        <f>SUMIFS(領用表!$L:$L,領用表!$E:$E,$B27,領用表!$B:$B,BA$2&amp;$BI$1)</f>
        <v/>
      </c>
      <c r="BB27" s="20">
        <f>SUMIFS(領用表!$L:$L,領用表!$E:$E,$B27,領用表!$B:$B,BB$2&amp;$BI$1)</f>
        <v/>
      </c>
      <c r="BC27" s="20">
        <f>SUMIFS(領用表!$L:$L,領用表!$E:$E,$B27,領用表!$B:$B,BC$2&amp;$BI$1)</f>
        <v/>
      </c>
      <c r="BD27" s="142">
        <f>SUMIFS(領用表!$L:$L,領用表!$E:$E,$B27,領用表!$B:$B,BD$2&amp;$BI$1)</f>
        <v/>
      </c>
      <c r="BE27" s="142">
        <f>SUMIFS(領用表!$L:$L,領用表!$E:$E,$B27,領用表!$B:$B,BE$2&amp;$BI$1)</f>
        <v/>
      </c>
      <c r="BF27" s="142">
        <f>SUMIFS(領用表!$L:$L,領用表!$E:$E,$B27,領用表!$B:$B,BF$2&amp;$BI$1)</f>
        <v/>
      </c>
      <c r="BG27" s="23">
        <f>SUM(AU27,AV27,AW27,AX27,AY27,AZ27,BA27,BB27,BC27,BD27,BE27,BF27)</f>
        <v/>
      </c>
      <c r="BH27" s="23">
        <f>AVERAGE(AU27,AV27,AW27,AX27,AY27,AZ27,BA27,BB27,BC27,BD27,BE27,BF27)</f>
        <v/>
      </c>
      <c r="BI27" s="142">
        <f>SUMIFS(領用表!$L:$L,領用表!$E:$E,$B27,領用表!$B:$B,BI$2&amp;$BI$1)</f>
        <v/>
      </c>
      <c r="BJ27" s="142">
        <f>SUMIFS(領用表!$L:$L,領用表!$E:$E,$B27,領用表!$B:$B,BJ$2&amp;$BI$1)</f>
        <v/>
      </c>
      <c r="BK27" s="142">
        <f>SUMIFS(領用表!$L:$L,領用表!$E:$E,$B27,領用表!$B:$B,BK$2&amp;$BI$1)</f>
        <v/>
      </c>
      <c r="BL27" s="142">
        <f>SUMIFS(領用表!$L:$L,領用表!$E:$E,$B27,領用表!$B:$B,BL$2&amp;$BI$1)</f>
        <v/>
      </c>
      <c r="BM27" s="142">
        <f>SUMIFS(領用表!$L:$L,領用表!$E:$E,$B27,領用表!$B:$B,BM$2&amp;$BI$1)</f>
        <v/>
      </c>
      <c r="BN27" s="142" t="n">
        <v>3</v>
      </c>
      <c r="BO27" s="142">
        <f>SUMIFS(領用表!$L:$L,領用表!$E:$E,$B27,領用表!$B:$B,BO$2&amp;$BI$1)</f>
        <v/>
      </c>
      <c r="BP27" s="142">
        <f>SUMIFS(領用表!$L:$L,領用表!$E:$E,$B27,領用表!$B:$B,BP$2&amp;$BI$1)</f>
        <v/>
      </c>
      <c r="BQ27" s="142">
        <f>SUMIFS(領用表!$L:$L,領用表!$E:$E,$B27,領用表!$B:$B,BQ$2&amp;$BI$1)</f>
        <v/>
      </c>
      <c r="BR27" s="142">
        <f>SUMIFS(領用表!$L:$L,領用表!$E:$E,$B27,領用表!$B:$B,BR$2&amp;$BI$1)</f>
        <v/>
      </c>
      <c r="BS27" s="142">
        <f>SUMIFS(領用表!$L:$L,領用表!$E:$E,$B27,領用表!$B:$B,BS$2&amp;$BI$1)</f>
        <v/>
      </c>
      <c r="BT27" s="142">
        <f>SUMIFS(領用表!$L:$L,領用表!$E:$E,$B27,領用表!$B:$B,BT$2&amp;$BI$1)</f>
        <v/>
      </c>
      <c r="BU27" s="142">
        <f>SUM(BI27,BJ27,BK27,BL27,BM27,BN27)</f>
        <v/>
      </c>
      <c r="BV27" s="142">
        <f>AVERAGE(BI27,BJ27,BK27,BL27,BM27,BN27)</f>
        <v/>
      </c>
      <c r="BW27" s="142">
        <f>SUMIF(Summary!B:B,B27,Summary!EA:EA)</f>
        <v/>
      </c>
      <c r="BX27" s="108" t="n"/>
      <c r="BY27" s="65" t="n"/>
      <c r="BZ27" s="65" t="n"/>
      <c r="CA27" s="65" t="n"/>
      <c r="CB27" s="27" t="n"/>
      <c r="CC27" s="69" t="n"/>
      <c r="CD27" s="14" t="n"/>
      <c r="CE27" s="29" t="n"/>
    </row>
    <row r="28" ht="15.75" customHeight="1" s="453">
      <c r="A28" s="27" t="inlineStr">
        <is>
          <t>MB3ME090004A</t>
        </is>
      </c>
      <c r="B28" s="14" t="n">
        <v>6200003</v>
      </c>
      <c r="C28" s="14" t="inlineStr">
        <is>
          <t>倍克脂</t>
        </is>
      </c>
      <c r="D28" s="75" t="n">
        <v>1</v>
      </c>
      <c r="E28" s="17" t="inlineStr">
        <is>
          <t>PCS</t>
        </is>
      </c>
      <c r="F28" s="18" t="n"/>
      <c r="G28" s="18" t="n"/>
      <c r="H28" s="18" t="n"/>
      <c r="I28" s="18" t="n"/>
      <c r="J28" s="1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19" t="n">
        <v>4</v>
      </c>
      <c r="AH28" s="19" t="n">
        <v>5</v>
      </c>
      <c r="AI28" s="19" t="n">
        <v>7</v>
      </c>
      <c r="AJ28" s="19" t="n">
        <v>2</v>
      </c>
      <c r="AK28" s="19" t="n">
        <v>2</v>
      </c>
      <c r="AL28" s="19" t="n">
        <v>2</v>
      </c>
      <c r="AM28" s="19" t="n">
        <v>7</v>
      </c>
      <c r="AN28" s="19" t="n">
        <v>6</v>
      </c>
      <c r="AO28" s="19" t="n">
        <v>6</v>
      </c>
      <c r="AP28" s="19" t="n">
        <v>9</v>
      </c>
      <c r="AQ28" s="19" t="n">
        <v>8</v>
      </c>
      <c r="AR28" s="19" t="n">
        <v>10</v>
      </c>
      <c r="AS28" s="68">
        <f>SUM(AG28:AR28)</f>
        <v/>
      </c>
      <c r="AT28" s="26">
        <f>AS28/12</f>
        <v/>
      </c>
      <c r="AU28" s="19" t="n">
        <v>9</v>
      </c>
      <c r="AV28" s="19" t="n">
        <v>12</v>
      </c>
      <c r="AW28" s="19" t="n">
        <v>17</v>
      </c>
      <c r="AX28" s="19" t="n">
        <v>14</v>
      </c>
      <c r="AY28" s="19" t="n">
        <v>0</v>
      </c>
      <c r="AZ28" s="20">
        <f>SUMIFS(領用表!$L:$L,領用表!$E:$E,$B28,領用表!$B:$B,AZ$2&amp;$BI$1)</f>
        <v/>
      </c>
      <c r="BA28" s="20">
        <f>SUMIFS(領用表!$L:$L,領用表!$E:$E,$B28,領用表!$B:$B,BA$2&amp;$BI$1)</f>
        <v/>
      </c>
      <c r="BB28" s="20">
        <f>SUMIFS(領用表!$L:$L,領用表!$E:$E,$B28,領用表!$B:$B,BB$2&amp;$BI$1)</f>
        <v/>
      </c>
      <c r="BC28" s="20">
        <f>SUMIFS(領用表!$L:$L,領用表!$E:$E,$B28,領用表!$B:$B,BC$2&amp;$BI$1)</f>
        <v/>
      </c>
      <c r="BD28" s="142">
        <f>SUMIFS(領用表!$L:$L,領用表!$E:$E,$B28,領用表!$B:$B,BD$2&amp;$BI$1)</f>
        <v/>
      </c>
      <c r="BE28" s="142">
        <f>SUMIFS(領用表!$L:$L,領用表!$E:$E,$B28,領用表!$B:$B,BE$2&amp;$BI$1)</f>
        <v/>
      </c>
      <c r="BF28" s="142">
        <f>SUMIFS(領用表!$L:$L,領用表!$E:$E,$B28,領用表!$B:$B,BF$2&amp;$BI$1)</f>
        <v/>
      </c>
      <c r="BG28" s="23">
        <f>SUM(AU28,AV28,AW28,AX28,AY28,AZ28,BA28,BB28,BC28,BD28,BE28,BF28)</f>
        <v/>
      </c>
      <c r="BH28" s="23">
        <f>AVERAGE(AU28,AV28,AW28,AX28,AY28,AZ28,BA28,BB28,BC28,BD28,BE28,BF28)</f>
        <v/>
      </c>
      <c r="BI28" s="142">
        <f>SUMIFS(領用表!$L:$L,領用表!$E:$E,$B28,領用表!$B:$B,BI$2&amp;$BI$1)</f>
        <v/>
      </c>
      <c r="BJ28" s="142">
        <f>SUMIFS(領用表!$L:$L,領用表!$E:$E,$B28,領用表!$B:$B,BJ$2&amp;$BI$1)</f>
        <v/>
      </c>
      <c r="BK28" s="142">
        <f>SUMIFS(領用表!$L:$L,領用表!$E:$E,$B28,領用表!$B:$B,BK$2&amp;$BI$1)</f>
        <v/>
      </c>
      <c r="BL28" s="142">
        <f>SUMIFS(領用表!$L:$L,領用表!$E:$E,$B28,領用表!$B:$B,BL$2&amp;$BI$1)</f>
        <v/>
      </c>
      <c r="BM28" s="142">
        <f>SUMIFS(領用表!$L:$L,領用表!$E:$E,$B28,領用表!$B:$B,BM$2&amp;$BI$1)</f>
        <v/>
      </c>
      <c r="BN28" s="142" t="n"/>
      <c r="BO28" s="142">
        <f>SUMIFS(領用表!$L:$L,領用表!$E:$E,$B28,領用表!$B:$B,BO$2&amp;$BI$1)</f>
        <v/>
      </c>
      <c r="BP28" s="142">
        <f>SUMIFS(領用表!$L:$L,領用表!$E:$E,$B28,領用表!$B:$B,BP$2&amp;$BI$1)</f>
        <v/>
      </c>
      <c r="BQ28" s="142">
        <f>SUMIFS(領用表!$L:$L,領用表!$E:$E,$B28,領用表!$B:$B,BQ$2&amp;$BI$1)</f>
        <v/>
      </c>
      <c r="BR28" s="142">
        <f>SUMIFS(領用表!$L:$L,領用表!$E:$E,$B28,領用表!$B:$B,BR$2&amp;$BI$1)</f>
        <v/>
      </c>
      <c r="BS28" s="142">
        <f>SUMIFS(領用表!$L:$L,領用表!$E:$E,$B28,領用表!$B:$B,BS$2&amp;$BI$1)</f>
        <v/>
      </c>
      <c r="BT28" s="142">
        <f>SUMIFS(領用表!$L:$L,領用表!$E:$E,$B28,領用表!$B:$B,BT$2&amp;$BI$1)</f>
        <v/>
      </c>
      <c r="BU28" s="142">
        <f>SUM(BI28,BJ28,BK28,BL28,BM28,BN28)</f>
        <v/>
      </c>
      <c r="BV28" s="142">
        <f>AVERAGE(BI28,BJ28,BK28,BL28,BM28,BN28)</f>
        <v/>
      </c>
      <c r="BW28" s="142">
        <f>SUMIF(Summary!B:B,B28,Summary!EA:EA)</f>
        <v/>
      </c>
      <c r="BX28" s="108" t="n"/>
      <c r="BY28" s="65" t="n"/>
      <c r="BZ28" s="65" t="n"/>
      <c r="CA28" s="65" t="n"/>
      <c r="CB28" s="27" t="n"/>
      <c r="CC28" s="69" t="n"/>
      <c r="CD28" s="14" t="n"/>
      <c r="CE28" s="29" t="n"/>
    </row>
    <row r="29" ht="15.75" customHeight="1" s="453">
      <c r="A29" s="27" t="inlineStr">
        <is>
          <t>MB3ME090005A</t>
        </is>
      </c>
      <c r="B29" s="14" t="n">
        <v>6200006</v>
      </c>
      <c r="C29" s="136" t="inlineStr">
        <is>
          <t>容脂</t>
        </is>
      </c>
      <c r="D29" s="75" t="n">
        <v>1</v>
      </c>
      <c r="E29" s="17" t="inlineStr">
        <is>
          <t>PCS</t>
        </is>
      </c>
      <c r="F29" s="18" t="n"/>
      <c r="G29" s="18" t="n"/>
      <c r="H29" s="18" t="n"/>
      <c r="I29" s="18" t="n"/>
      <c r="J29" s="1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19" t="n"/>
      <c r="AH29" s="19" t="n"/>
      <c r="AI29" s="19" t="n"/>
      <c r="AJ29" s="19" t="n"/>
      <c r="AK29" s="19" t="n"/>
      <c r="AL29" s="19" t="n"/>
      <c r="AM29" s="19" t="n"/>
      <c r="AN29" s="19" t="n">
        <v>0</v>
      </c>
      <c r="AO29" s="19" t="n">
        <v>0</v>
      </c>
      <c r="AP29" s="19" t="n">
        <v>0</v>
      </c>
      <c r="AQ29" s="19" t="n">
        <v>0</v>
      </c>
      <c r="AR29" s="19" t="n">
        <v>1</v>
      </c>
      <c r="AS29" s="68">
        <f>SUM(AG29:AR29)</f>
        <v/>
      </c>
      <c r="AT29" s="26">
        <f>AS29/12</f>
        <v/>
      </c>
      <c r="AU29" s="19" t="n">
        <v>1</v>
      </c>
      <c r="AV29" s="19" t="n">
        <v>3</v>
      </c>
      <c r="AW29" s="19" t="n">
        <v>6</v>
      </c>
      <c r="AX29" s="19" t="n">
        <v>10</v>
      </c>
      <c r="AY29" s="19" t="n">
        <v>1</v>
      </c>
      <c r="AZ29" s="20">
        <f>SUMIFS(領用表!$L:$L,領用表!$E:$E,$B29,領用表!$B:$B,AZ$2&amp;$BI$1)</f>
        <v/>
      </c>
      <c r="BA29" s="20">
        <f>SUMIFS(領用表!$L:$L,領用表!$E:$E,$B29,領用表!$B:$B,BA$2&amp;$BI$1)</f>
        <v/>
      </c>
      <c r="BB29" s="20">
        <f>SUMIFS(領用表!$L:$L,領用表!$E:$E,$B29,領用表!$B:$B,BB$2&amp;$BI$1)</f>
        <v/>
      </c>
      <c r="BC29" s="20">
        <f>SUMIFS(領用表!$L:$L,領用表!$E:$E,$B29,領用表!$B:$B,BC$2&amp;$BI$1)</f>
        <v/>
      </c>
      <c r="BD29" s="142">
        <f>SUMIFS(領用表!$L:$L,領用表!$E:$E,$B29,領用表!$B:$B,BD$2&amp;$BI$1)</f>
        <v/>
      </c>
      <c r="BE29" s="142">
        <f>SUMIFS(領用表!$L:$L,領用表!$E:$E,$B29,領用表!$B:$B,BE$2&amp;$BI$1)</f>
        <v/>
      </c>
      <c r="BF29" s="142">
        <f>SUMIFS(領用表!$L:$L,領用表!$E:$E,$B29,領用表!$B:$B,BF$2&amp;$BI$1)</f>
        <v/>
      </c>
      <c r="BG29" s="23">
        <f>SUM(AU29,AV29,AW29,AX29,AY29,AZ29,BA29,BB29,BC29,BD29,BE29,BF29)</f>
        <v/>
      </c>
      <c r="BH29" s="23">
        <f>AVERAGE(AU29,AV29,AW29,AX29,AY29,AZ29,BA29,BB29,BC29,BD29,BE29,BF29)</f>
        <v/>
      </c>
      <c r="BI29" s="142">
        <f>SUMIFS(領用表!$L:$L,領用表!$E:$E,$B29,領用表!$B:$B,BI$2&amp;$BI$1)</f>
        <v/>
      </c>
      <c r="BJ29" s="142">
        <f>SUMIFS(領用表!$L:$L,領用表!$E:$E,$B29,領用表!$B:$B,BJ$2&amp;$BI$1)</f>
        <v/>
      </c>
      <c r="BK29" s="142">
        <f>SUMIFS(領用表!$L:$L,領用表!$E:$E,$B29,領用表!$B:$B,BK$2&amp;$BI$1)</f>
        <v/>
      </c>
      <c r="BL29" s="142">
        <f>SUMIFS(領用表!$L:$L,領用表!$E:$E,$B29,領用表!$B:$B,BL$2&amp;$BI$1)</f>
        <v/>
      </c>
      <c r="BM29" s="142">
        <f>SUMIFS(領用表!$L:$L,領用表!$E:$E,$B29,領用表!$B:$B,BM$2&amp;$BI$1)</f>
        <v/>
      </c>
      <c r="BN29" s="142" t="n"/>
      <c r="BO29" s="142">
        <f>SUMIFS(領用表!$L:$L,領用表!$E:$E,$B29,領用表!$B:$B,BO$2&amp;$BI$1)</f>
        <v/>
      </c>
      <c r="BP29" s="142">
        <f>SUMIFS(領用表!$L:$L,領用表!$E:$E,$B29,領用表!$B:$B,BP$2&amp;$BI$1)</f>
        <v/>
      </c>
      <c r="BQ29" s="142">
        <f>SUMIFS(領用表!$L:$L,領用表!$E:$E,$B29,領用表!$B:$B,BQ$2&amp;$BI$1)</f>
        <v/>
      </c>
      <c r="BR29" s="142">
        <f>SUMIFS(領用表!$L:$L,領用表!$E:$E,$B29,領用表!$B:$B,BR$2&amp;$BI$1)</f>
        <v/>
      </c>
      <c r="BS29" s="142">
        <f>SUMIFS(領用表!$L:$L,領用表!$E:$E,$B29,領用表!$B:$B,BS$2&amp;$BI$1)</f>
        <v/>
      </c>
      <c r="BT29" s="142">
        <f>SUMIFS(領用表!$L:$L,領用表!$E:$E,$B29,領用表!$B:$B,BT$2&amp;$BI$1)</f>
        <v/>
      </c>
      <c r="BU29" s="142">
        <f>SUM(BI29,BJ29,BK29,BL29,BM29,BN29)</f>
        <v/>
      </c>
      <c r="BV29" s="142">
        <f>AVERAGE(BI29,BJ29,BK29,BL29,BM29,BN29)</f>
        <v/>
      </c>
      <c r="BW29" s="142">
        <f>SUMIF(Summary!B:B,B29,Summary!EA:EA)</f>
        <v/>
      </c>
      <c r="BX29" s="108" t="n"/>
      <c r="BY29" s="65" t="n"/>
      <c r="BZ29" s="65" t="n"/>
      <c r="CA29" s="65" t="n"/>
      <c r="CB29" s="27" t="n"/>
      <c r="CC29" s="27" t="n"/>
      <c r="CD29" s="14" t="n"/>
      <c r="CE29" s="29" t="n"/>
    </row>
    <row r="30" ht="15.75" customHeight="1" s="453">
      <c r="A30" s="27" t="n"/>
      <c r="B30" s="14" t="n">
        <v>6120004</v>
      </c>
      <c r="C30" s="135" t="inlineStr">
        <is>
          <t>安命活源 250ML</t>
        </is>
      </c>
      <c r="D30" s="75" t="n">
        <v>10</v>
      </c>
      <c r="E30" s="17" t="inlineStr">
        <is>
          <t>袋</t>
        </is>
      </c>
      <c r="F30" s="18" t="n">
        <v>37</v>
      </c>
      <c r="G30" s="18" t="n"/>
      <c r="H30" s="18" t="n"/>
      <c r="I30" s="18" t="n"/>
      <c r="J30" s="1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>
        <v>0</v>
      </c>
      <c r="AS30" s="68">
        <f>SUM(AG30:AR30)</f>
        <v/>
      </c>
      <c r="AT30" s="26">
        <f>AS30/12</f>
        <v/>
      </c>
      <c r="AU30" s="19" t="n">
        <v>0</v>
      </c>
      <c r="AV30" s="19" t="n">
        <v>20</v>
      </c>
      <c r="AW30" s="19" t="n">
        <v>19</v>
      </c>
      <c r="AX30" s="19" t="n">
        <v>28</v>
      </c>
      <c r="AY30" s="19">
        <f>0+8</f>
        <v/>
      </c>
      <c r="AZ30" s="20">
        <f>SUMIFS(領用表!$L:$L,領用表!$E:$E,$B30,領用表!$B:$B,AZ$2&amp;$BI$1)</f>
        <v/>
      </c>
      <c r="BA30" s="20">
        <f>SUMIFS(領用表!$L:$L,領用表!$E:$E,$B30,領用表!$B:$B,BA$2&amp;$BI$1)</f>
        <v/>
      </c>
      <c r="BB30" s="20">
        <f>SUMIFS(領用表!$L:$L,領用表!$E:$E,$B30,領用表!$B:$B,BB$2&amp;$BI$1)</f>
        <v/>
      </c>
      <c r="BC30" s="20">
        <f>SUMIFS(領用表!$L:$L,領用表!$E:$E,$B30,領用表!$B:$B,BC$2&amp;$BI$1)</f>
        <v/>
      </c>
      <c r="BD30" s="142">
        <f>SUMIFS(領用表!$L:$L,領用表!$E:$E,$B30,領用表!$B:$B,BD$2&amp;$BI$1)</f>
        <v/>
      </c>
      <c r="BE30" s="142">
        <f>SUMIFS(領用表!$L:$L,領用表!$E:$E,$B30,領用表!$B:$B,BE$2&amp;$BI$1)</f>
        <v/>
      </c>
      <c r="BF30" s="142">
        <f>SUMIFS(領用表!$L:$L,領用表!$E:$E,$B30,領用表!$B:$B,BF$2&amp;$BI$1)</f>
        <v/>
      </c>
      <c r="BG30" s="23">
        <f>SUM(AU30,AV30,AW30,AX30,AY30,AZ30,BA30,BB30,BC30,BD30,BE30,BF30)</f>
        <v/>
      </c>
      <c r="BH30" s="23">
        <f>AVERAGE(AU30,AV30,AW30,AX30,AY30,AZ30,BA30,BB30,BC30,BD30,BE30,BF30)</f>
        <v/>
      </c>
      <c r="BI30" s="142">
        <f>SUMIFS(領用表!$L:$L,領用表!$E:$E,$B30,領用表!$B:$B,BI$2&amp;$BI$1)</f>
        <v/>
      </c>
      <c r="BJ30" s="142">
        <f>SUMIFS(領用表!$L:$L,領用表!$E:$E,$B30,領用表!$B:$B,BJ$2&amp;$BI$1)</f>
        <v/>
      </c>
      <c r="BK30" s="142">
        <f>SUMIFS(領用表!$L:$L,領用表!$E:$E,$B30,領用表!$B:$B,BK$2&amp;$BI$1)</f>
        <v/>
      </c>
      <c r="BL30" s="142">
        <f>SUMIFS(領用表!$L:$L,領用表!$E:$E,$B30,領用表!$B:$B,BL$2&amp;$BI$1)</f>
        <v/>
      </c>
      <c r="BM30" s="142">
        <f>SUMIFS(領用表!$L:$L,領用表!$E:$E,$B30,領用表!$B:$B,BM$2&amp;$BI$1)</f>
        <v/>
      </c>
      <c r="BN30" s="142" t="n">
        <v>9</v>
      </c>
      <c r="BO30" s="142">
        <f>SUMIFS(領用表!$L:$L,領用表!$E:$E,$B30,領用表!$B:$B,BO$2&amp;$BI$1)</f>
        <v/>
      </c>
      <c r="BP30" s="142">
        <f>SUMIFS(領用表!$L:$L,領用表!$E:$E,$B30,領用表!$B:$B,BP$2&amp;$BI$1)</f>
        <v/>
      </c>
      <c r="BQ30" s="142">
        <f>SUMIFS(領用表!$L:$L,領用表!$E:$E,$B30,領用表!$B:$B,BQ$2&amp;$BI$1)</f>
        <v/>
      </c>
      <c r="BR30" s="142">
        <f>SUMIFS(領用表!$L:$L,領用表!$E:$E,$B30,領用表!$B:$B,BR$2&amp;$BI$1)</f>
        <v/>
      </c>
      <c r="BS30" s="142">
        <f>SUMIFS(領用表!$L:$L,領用表!$E:$E,$B30,領用表!$B:$B,BS$2&amp;$BI$1)</f>
        <v/>
      </c>
      <c r="BT30" s="142">
        <f>SUMIFS(領用表!$L:$L,領用表!$E:$E,$B30,領用表!$B:$B,BT$2&amp;$BI$1)</f>
        <v/>
      </c>
      <c r="BU30" s="142">
        <f>SUM(BI30,BJ30,BK30,BL30,BM30,BN30)</f>
        <v/>
      </c>
      <c r="BV30" s="142">
        <f>AVERAGE(BI30,BJ30,BK30,BL30,BM30,BN30)</f>
        <v/>
      </c>
      <c r="BW30" s="142">
        <f>SUMIF(Summary!B:B,B30,Summary!EA:EA)</f>
        <v/>
      </c>
      <c r="BX30" s="108" t="n"/>
      <c r="BY30" s="65" t="n"/>
      <c r="BZ30" s="65" t="n"/>
      <c r="CA30" s="65" t="n"/>
      <c r="CB30" s="27" t="n"/>
      <c r="CC30" s="27" t="n"/>
      <c r="CD30" s="14" t="n"/>
      <c r="CE30" s="29" t="n"/>
    </row>
    <row r="31" ht="15.75" customHeight="1" s="453">
      <c r="A31" s="27" t="n"/>
      <c r="B31" s="14" t="n">
        <v>6120014</v>
      </c>
      <c r="C31" s="135" t="inlineStr">
        <is>
          <t xml:space="preserve">D5W 葡萄糖水 250ml </t>
        </is>
      </c>
      <c r="D31" s="75" t="n"/>
      <c r="E31" s="17" t="inlineStr">
        <is>
          <t>袋</t>
        </is>
      </c>
      <c r="F31" s="18" t="n">
        <v>302</v>
      </c>
      <c r="G31" s="18" t="n"/>
      <c r="H31" s="18" t="n"/>
      <c r="I31" s="18" t="n"/>
      <c r="J31" s="1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>
        <v>0</v>
      </c>
      <c r="AS31" s="68">
        <f>SUM(AG31:AR31)</f>
        <v/>
      </c>
      <c r="AT31" s="26">
        <f>AS31/12</f>
        <v/>
      </c>
      <c r="AU31" s="19" t="n">
        <v>0</v>
      </c>
      <c r="AV31" s="19" t="n">
        <v>0</v>
      </c>
      <c r="AW31" s="19" t="n">
        <v>92</v>
      </c>
      <c r="AX31" s="19" t="n">
        <v>60</v>
      </c>
      <c r="AY31" s="19">
        <f>0+80</f>
        <v/>
      </c>
      <c r="AZ31" s="20">
        <f>SUMIFS(領用表!$L:$L,領用表!$E:$E,$B31,領用表!$B:$B,AZ$2&amp;$BI$1)</f>
        <v/>
      </c>
      <c r="BA31" s="20">
        <f>SUMIFS(領用表!$L:$L,領用表!$E:$E,$B31,領用表!$B:$B,BA$2&amp;$BI$1)</f>
        <v/>
      </c>
      <c r="BB31" s="20">
        <f>SUMIFS(領用表!$L:$L,領用表!$E:$E,$B31,領用表!$B:$B,BB$2&amp;$BI$1)</f>
        <v/>
      </c>
      <c r="BC31" s="20">
        <f>SUMIFS(領用表!$L:$L,領用表!$E:$E,$B31,領用表!$B:$B,BC$2&amp;$BI$1)</f>
        <v/>
      </c>
      <c r="BD31" s="142">
        <f>SUMIFS(領用表!$L:$L,領用表!$E:$E,$B31,領用表!$B:$B,BD$2&amp;$BI$1)</f>
        <v/>
      </c>
      <c r="BE31" s="142">
        <f>SUMIFS(領用表!$L:$L,領用表!$E:$E,$B31,領用表!$B:$B,BE$2&amp;$BI$1)</f>
        <v/>
      </c>
      <c r="BF31" s="142">
        <f>SUMIFS(領用表!$L:$L,領用表!$E:$E,$B31,領用表!$B:$B,BF$2&amp;$BI$1)</f>
        <v/>
      </c>
      <c r="BG31" s="23">
        <f>SUM(AU31,AV31,AW31,AX31,AY31,AZ31,BA31,BB31,BC31,BD31,BE31,BF31)</f>
        <v/>
      </c>
      <c r="BH31" s="23">
        <f>AVERAGE(AU31,AV31,AW31,AX31,AY31,AZ31,BA31,BB31,BC31,BD31,BE31,BF31)</f>
        <v/>
      </c>
      <c r="BI31" s="142">
        <f>SUMIFS(領用表!$L:$L,領用表!$E:$E,$B31,領用表!$B:$B,BI$2&amp;$BI$1)</f>
        <v/>
      </c>
      <c r="BJ31" s="142">
        <f>SUMIFS(領用表!$L:$L,領用表!$E:$E,$B31,領用表!$B:$B,BJ$2&amp;$BI$1)</f>
        <v/>
      </c>
      <c r="BK31" s="142">
        <f>SUMIFS(領用表!$L:$L,領用表!$E:$E,$B31,領用表!$B:$B,BK$2&amp;$BI$1)</f>
        <v/>
      </c>
      <c r="BL31" s="142">
        <f>SUMIFS(領用表!$L:$L,領用表!$E:$E,$B31,領用表!$B:$B,BL$2&amp;$BI$1)</f>
        <v/>
      </c>
      <c r="BM31" s="142">
        <f>SUMIFS(領用表!$L:$L,領用表!$E:$E,$B31,領用表!$B:$B,BM$2&amp;$BI$1)</f>
        <v/>
      </c>
      <c r="BN31" s="142" t="n">
        <v>370</v>
      </c>
      <c r="BO31" s="142">
        <f>SUMIFS(領用表!$L:$L,領用表!$E:$E,$B31,領用表!$B:$B,BO$2&amp;$BI$1)</f>
        <v/>
      </c>
      <c r="BP31" s="142">
        <f>SUMIFS(領用表!$L:$L,領用表!$E:$E,$B31,領用表!$B:$B,BP$2&amp;$BI$1)</f>
        <v/>
      </c>
      <c r="BQ31" s="142">
        <f>SUMIFS(領用表!$L:$L,領用表!$E:$E,$B31,領用表!$B:$B,BQ$2&amp;$BI$1)</f>
        <v/>
      </c>
      <c r="BR31" s="142">
        <f>SUMIFS(領用表!$L:$L,領用表!$E:$E,$B31,領用表!$B:$B,BR$2&amp;$BI$1)</f>
        <v/>
      </c>
      <c r="BS31" s="142">
        <f>SUMIFS(領用表!$L:$L,領用表!$E:$E,$B31,領用表!$B:$B,BS$2&amp;$BI$1)</f>
        <v/>
      </c>
      <c r="BT31" s="142">
        <f>SUMIFS(領用表!$L:$L,領用表!$E:$E,$B31,領用表!$B:$B,BT$2&amp;$BI$1)</f>
        <v/>
      </c>
      <c r="BU31" s="142">
        <f>SUM(BI31,BJ31,BK31,BL31,BM31,BN31)</f>
        <v/>
      </c>
      <c r="BV31" s="142">
        <f>AVERAGE(BI31,BJ31,BK31,BL31,BM31,BN31)</f>
        <v/>
      </c>
      <c r="BW31" s="142">
        <f>SUMIF(Summary!B:B,B31,Summary!EA:EA)</f>
        <v/>
      </c>
      <c r="BX31" s="108" t="n"/>
      <c r="BY31" s="65" t="n"/>
      <c r="BZ31" s="65" t="n"/>
      <c r="CA31" s="65" t="n"/>
      <c r="CB31" s="27" t="n"/>
      <c r="CC31" s="27" t="n"/>
      <c r="CD31" s="14" t="n"/>
      <c r="CE31" s="29" t="n"/>
    </row>
    <row r="32" ht="15.75" customHeight="1" s="453">
      <c r="A32" s="27" t="n"/>
      <c r="B32" s="14" t="n">
        <v>6120013</v>
      </c>
      <c r="C32" s="135" t="inlineStr">
        <is>
          <t>NS生理食鹽水 250ML</t>
        </is>
      </c>
      <c r="D32" s="75" t="n"/>
      <c r="E32" s="17" t="inlineStr">
        <is>
          <t>袋</t>
        </is>
      </c>
      <c r="F32" s="18" t="n">
        <v>687</v>
      </c>
      <c r="G32" s="18" t="n"/>
      <c r="H32" s="18" t="n"/>
      <c r="I32" s="18" t="n"/>
      <c r="J32" s="1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>
        <v>0</v>
      </c>
      <c r="AS32" s="68">
        <f>SUM(AG32:AR32)</f>
        <v/>
      </c>
      <c r="AT32" s="26">
        <f>AS32/12</f>
        <v/>
      </c>
      <c r="AU32" s="19" t="n">
        <v>0</v>
      </c>
      <c r="AV32" s="19" t="n">
        <v>0</v>
      </c>
      <c r="AW32" s="19" t="n">
        <v>192</v>
      </c>
      <c r="AX32" s="19" t="n">
        <v>434</v>
      </c>
      <c r="AY32" s="19">
        <f>74+439</f>
        <v/>
      </c>
      <c r="AZ32" s="20">
        <f>SUMIFS(領用表!$L:$L,領用表!$E:$E,$B32,領用表!$B:$B,AZ$2&amp;$BI$1)</f>
        <v/>
      </c>
      <c r="BA32" s="20">
        <f>SUMIFS(領用表!$L:$L,領用表!$E:$E,$B32,領用表!$B:$B,BA$2&amp;$BI$1)</f>
        <v/>
      </c>
      <c r="BB32" s="20">
        <f>SUMIFS(領用表!$L:$L,領用表!$E:$E,$B32,領用表!$B:$B,BB$2&amp;$BI$1)</f>
        <v/>
      </c>
      <c r="BC32" s="20">
        <f>SUMIFS(領用表!$L:$L,領用表!$E:$E,$B32,領用表!$B:$B,BC$2&amp;$BI$1)</f>
        <v/>
      </c>
      <c r="BD32" s="142">
        <f>SUMIFS(領用表!$L:$L,領用表!$E:$E,$B32,領用表!$B:$B,BD$2&amp;$BI$1)</f>
        <v/>
      </c>
      <c r="BE32" s="142">
        <f>SUMIFS(領用表!$L:$L,領用表!$E:$E,$B32,領用表!$B:$B,BE$2&amp;$BI$1)</f>
        <v/>
      </c>
      <c r="BF32" s="142">
        <f>SUMIFS(領用表!$L:$L,領用表!$E:$E,$B32,領用表!$B:$B,BF$2&amp;$BI$1)</f>
        <v/>
      </c>
      <c r="BG32" s="23">
        <f>SUM(AU32,AV32,AW32,AX32,AY32,AZ32,BA32,BB32,BC32,BD32,BE32,BF32)</f>
        <v/>
      </c>
      <c r="BH32" s="23">
        <f>AVERAGE(AU32,AV32,AW32,AX32,AY32,AZ32,BA32,BB32,BC32,BD32,BE32,BF32)</f>
        <v/>
      </c>
      <c r="BI32" s="142">
        <f>SUMIFS(領用表!$L:$L,領用表!$E:$E,$B32,領用表!$B:$B,BI$2&amp;$BI$1)</f>
        <v/>
      </c>
      <c r="BJ32" s="142">
        <f>SUMIFS(領用表!$L:$L,領用表!$E:$E,$B32,領用表!$B:$B,BJ$2&amp;$BI$1)</f>
        <v/>
      </c>
      <c r="BK32" s="142">
        <f>SUMIFS(領用表!$L:$L,領用表!$E:$E,$B32,領用表!$B:$B,BK$2&amp;$BI$1)</f>
        <v/>
      </c>
      <c r="BL32" s="142">
        <f>SUMIFS(領用表!$L:$L,領用表!$E:$E,$B32,領用表!$B:$B,BL$2&amp;$BI$1)</f>
        <v/>
      </c>
      <c r="BM32" s="142">
        <f>SUMIFS(領用表!$L:$L,領用表!$E:$E,$B32,領用表!$B:$B,BM$2&amp;$BI$1)</f>
        <v/>
      </c>
      <c r="BN32" s="142" t="n">
        <v>64</v>
      </c>
      <c r="BO32" s="142">
        <f>SUMIFS(領用表!$L:$L,領用表!$E:$E,$B32,領用表!$B:$B,BO$2&amp;$BI$1)</f>
        <v/>
      </c>
      <c r="BP32" s="142">
        <f>SUMIFS(領用表!$L:$L,領用表!$E:$E,$B32,領用表!$B:$B,BP$2&amp;$BI$1)</f>
        <v/>
      </c>
      <c r="BQ32" s="142">
        <f>SUMIFS(領用表!$L:$L,領用表!$E:$E,$B32,領用表!$B:$B,BQ$2&amp;$BI$1)</f>
        <v/>
      </c>
      <c r="BR32" s="142">
        <f>SUMIFS(領用表!$L:$L,領用表!$E:$E,$B32,領用表!$B:$B,BR$2&amp;$BI$1)</f>
        <v/>
      </c>
      <c r="BS32" s="142">
        <f>SUMIFS(領用表!$L:$L,領用表!$E:$E,$B32,領用表!$B:$B,BS$2&amp;$BI$1)</f>
        <v/>
      </c>
      <c r="BT32" s="142">
        <f>SUMIFS(領用表!$L:$L,領用表!$E:$E,$B32,領用表!$B:$B,BT$2&amp;$BI$1)</f>
        <v/>
      </c>
      <c r="BU32" s="142">
        <f>SUM(BI32,BJ32,BK32,BL32,BM32,BN32)</f>
        <v/>
      </c>
      <c r="BV32" s="142">
        <f>AVERAGE(BI32,BJ32,BK32,BL32,BM32,BN32)</f>
        <v/>
      </c>
      <c r="BW32" s="142">
        <f>SUMIF(Summary!B:B,B32,Summary!EA:EA)</f>
        <v/>
      </c>
      <c r="BX32" s="108" t="n"/>
      <c r="BY32" s="65" t="n"/>
      <c r="BZ32" s="76" t="n"/>
      <c r="CA32" s="65" t="n"/>
      <c r="CB32" s="27" t="n"/>
      <c r="CC32" s="27" t="n"/>
      <c r="CD32" s="14" t="n"/>
      <c r="CE32" s="29" t="n"/>
    </row>
    <row r="33" ht="15.75" customHeight="1" s="453">
      <c r="A33" s="27" t="n"/>
      <c r="B33" s="14" t="n">
        <v>6120021</v>
      </c>
      <c r="C33" s="136" t="inlineStr">
        <is>
          <t>諾貝爾(維他命C 20ml)</t>
        </is>
      </c>
      <c r="D33" s="72" t="n">
        <v>50</v>
      </c>
      <c r="E33" s="17" t="inlineStr">
        <is>
          <t>PCS</t>
        </is>
      </c>
      <c r="F33" s="18" t="n">
        <v>3</v>
      </c>
      <c r="G33" s="18" t="n"/>
      <c r="H33" s="18" t="n"/>
      <c r="I33" s="18" t="n"/>
      <c r="J33" s="1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19" t="n"/>
      <c r="AH33" s="19" t="n"/>
      <c r="AI33" s="19" t="n"/>
      <c r="AJ33" s="19" t="n"/>
      <c r="AK33" s="19" t="n"/>
      <c r="AL33" s="19" t="n"/>
      <c r="AM33" s="19" t="n"/>
      <c r="AN33" s="19" t="n">
        <v>0</v>
      </c>
      <c r="AO33" s="19" t="n">
        <v>0</v>
      </c>
      <c r="AP33" s="19" t="n">
        <v>0</v>
      </c>
      <c r="AQ33" s="19" t="n">
        <v>0</v>
      </c>
      <c r="AR33" s="19" t="n">
        <v>0</v>
      </c>
      <c r="AS33" s="68">
        <f>SUM(AG33:AR33)</f>
        <v/>
      </c>
      <c r="AT33" s="26">
        <f>AS33/12</f>
        <v/>
      </c>
      <c r="AU33" s="19" t="n">
        <v>0</v>
      </c>
      <c r="AV33" s="19" t="n">
        <v>0</v>
      </c>
      <c r="AW33" s="19" t="n">
        <v>14</v>
      </c>
      <c r="AX33" s="19" t="n">
        <v>35</v>
      </c>
      <c r="AY33" s="19">
        <f>10+68</f>
        <v/>
      </c>
      <c r="AZ33" s="20">
        <f>SUMIFS(領用表!$L:$L,領用表!$E:$E,$B33,領用表!$B:$B,AZ$2&amp;$BI$1)</f>
        <v/>
      </c>
      <c r="BA33" s="20">
        <f>SUMIFS(領用表!$L:$L,領用表!$E:$E,$B33,領用表!$B:$B,BA$2&amp;$BI$1)</f>
        <v/>
      </c>
      <c r="BB33" s="20">
        <f>SUMIFS(領用表!$L:$L,領用表!$E:$E,$B33,領用表!$B:$B,BB$2&amp;$BI$1)</f>
        <v/>
      </c>
      <c r="BC33" s="20">
        <f>SUMIFS(領用表!$L:$L,領用表!$E:$E,$B33,領用表!$B:$B,BC$2&amp;$BI$1)</f>
        <v/>
      </c>
      <c r="BD33" s="142">
        <f>SUMIFS(領用表!$L:$L,領用表!$E:$E,$B33,領用表!$B:$B,BD$2&amp;$BI$1)</f>
        <v/>
      </c>
      <c r="BE33" s="142">
        <f>SUMIFS(領用表!$L:$L,領用表!$E:$E,$B33,領用表!$B:$B,BE$2&amp;$BI$1)</f>
        <v/>
      </c>
      <c r="BF33" s="142">
        <f>SUMIFS(領用表!$L:$L,領用表!$E:$E,$B33,領用表!$B:$B,BF$2&amp;$BI$1)</f>
        <v/>
      </c>
      <c r="BG33" s="23">
        <f>SUM(AU33,AV33,AW33,AX33,AY33,AZ33,BA33,BB33,BC33,BD33,BE33,BF33)</f>
        <v/>
      </c>
      <c r="BH33" s="23">
        <f>AVERAGE(AU33,AV33,AW33,AX33,AY33,AZ33,BA33,BB33,BC33,BD33,BE33,BF33)</f>
        <v/>
      </c>
      <c r="BI33" s="142">
        <f>SUMIFS(領用表!$L:$L,領用表!$E:$E,$B33,領用表!$B:$B,BI$2&amp;$BI$1)</f>
        <v/>
      </c>
      <c r="BJ33" s="142">
        <f>SUMIFS(領用表!$L:$L,領用表!$E:$E,$B33,領用表!$B:$B,BJ$2&amp;$BI$1)</f>
        <v/>
      </c>
      <c r="BK33" s="142">
        <f>SUMIFS(領用表!$L:$L,領用表!$E:$E,$B33,領用表!$B:$B,BK$2&amp;$BI$1)</f>
        <v/>
      </c>
      <c r="BL33" s="142">
        <f>SUMIFS(領用表!$L:$L,領用表!$E:$E,$B33,領用表!$B:$B,BL$2&amp;$BI$1)</f>
        <v/>
      </c>
      <c r="BM33" s="142">
        <f>SUMIFS(領用表!$L:$L,領用表!$E:$E,$B33,領用表!$B:$B,BM$2&amp;$BI$1)</f>
        <v/>
      </c>
      <c r="BN33" s="142" t="n">
        <v>13</v>
      </c>
      <c r="BO33" s="142">
        <f>SUMIFS(領用表!$L:$L,領用表!$E:$E,$B33,領用表!$B:$B,BO$2&amp;$BI$1)</f>
        <v/>
      </c>
      <c r="BP33" s="142">
        <f>SUMIFS(領用表!$L:$L,領用表!$E:$E,$B33,領用表!$B:$B,BP$2&amp;$BI$1)</f>
        <v/>
      </c>
      <c r="BQ33" s="142">
        <f>SUMIFS(領用表!$L:$L,領用表!$E:$E,$B33,領用表!$B:$B,BQ$2&amp;$BI$1)</f>
        <v/>
      </c>
      <c r="BR33" s="142">
        <f>SUMIFS(領用表!$L:$L,領用表!$E:$E,$B33,領用表!$B:$B,BR$2&amp;$BI$1)</f>
        <v/>
      </c>
      <c r="BS33" s="142">
        <f>SUMIFS(領用表!$L:$L,領用表!$E:$E,$B33,領用表!$B:$B,BS$2&amp;$BI$1)</f>
        <v/>
      </c>
      <c r="BT33" s="142">
        <f>SUMIFS(領用表!$L:$L,領用表!$E:$E,$B33,領用表!$B:$B,BT$2&amp;$BI$1)</f>
        <v/>
      </c>
      <c r="BU33" s="142">
        <f>SUM(BI33,BJ33,BK33,BL33,BM33,BN33)</f>
        <v/>
      </c>
      <c r="BV33" s="142">
        <f>AVERAGE(BI33,BJ33,BK33,BL33,BM33,BN33)</f>
        <v/>
      </c>
      <c r="BW33" s="142">
        <f>SUMIF(Summary!B:B,B33,Summary!EA:EA)</f>
        <v/>
      </c>
      <c r="BX33" s="108" t="n"/>
      <c r="BY33" s="65" t="n"/>
      <c r="BZ33" s="76" t="inlineStr">
        <is>
          <t>50-10/22</t>
        </is>
      </c>
      <c r="CA33" s="65" t="n"/>
      <c r="CB33" s="27" t="n"/>
      <c r="CC33" s="69" t="n"/>
      <c r="CD33" s="14" t="n"/>
      <c r="CE33" s="14" t="n"/>
    </row>
    <row r="34" ht="15.75" customHeight="1" s="453">
      <c r="A34" s="27" t="n"/>
      <c r="B34" s="14" t="n">
        <v>6120006</v>
      </c>
      <c r="C34" s="136" t="inlineStr">
        <is>
          <t>B12 愛壽命注射液 2ml</t>
        </is>
      </c>
      <c r="D34" s="72" t="n">
        <v>100</v>
      </c>
      <c r="E34" s="17" t="inlineStr">
        <is>
          <t>PCS</t>
        </is>
      </c>
      <c r="F34" s="18" t="n">
        <v>406</v>
      </c>
      <c r="G34" s="18" t="n"/>
      <c r="H34" s="18" t="n"/>
      <c r="I34" s="18" t="n"/>
      <c r="J34" s="1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19" t="n"/>
      <c r="AH34" s="19" t="n"/>
      <c r="AI34" s="19" t="n"/>
      <c r="AJ34" s="19" t="n"/>
      <c r="AK34" s="19" t="n"/>
      <c r="AL34" s="19" t="n"/>
      <c r="AM34" s="19" t="n"/>
      <c r="AN34" s="19" t="n">
        <v>0</v>
      </c>
      <c r="AO34" s="19" t="n">
        <v>0</v>
      </c>
      <c r="AP34" s="19" t="n">
        <v>0</v>
      </c>
      <c r="AQ34" s="19" t="n">
        <v>0</v>
      </c>
      <c r="AR34" s="19" t="n">
        <v>0</v>
      </c>
      <c r="AS34" s="68">
        <f>SUM(AG34:AR34)</f>
        <v/>
      </c>
      <c r="AT34" s="26">
        <f>AS34/12</f>
        <v/>
      </c>
      <c r="AU34" s="19" t="n">
        <v>0</v>
      </c>
      <c r="AV34" s="19" t="n">
        <v>0</v>
      </c>
      <c r="AW34" s="19" t="n">
        <v>246</v>
      </c>
      <c r="AX34" s="19" t="n">
        <v>227</v>
      </c>
      <c r="AY34" s="19">
        <f>7+223</f>
        <v/>
      </c>
      <c r="AZ34" s="20">
        <f>SUMIFS(領用表!$L:$L,領用表!$E:$E,$B34,領用表!$B:$B,AZ$2&amp;$BI$1)</f>
        <v/>
      </c>
      <c r="BA34" s="20">
        <f>SUMIFS(領用表!$L:$L,領用表!$E:$E,$B34,領用表!$B:$B,BA$2&amp;$BI$1)</f>
        <v/>
      </c>
      <c r="BB34" s="20">
        <f>SUMIFS(領用表!$L:$L,領用表!$E:$E,$B34,領用表!$B:$B,BB$2&amp;$BI$1)</f>
        <v/>
      </c>
      <c r="BC34" s="20">
        <f>SUMIFS(領用表!$L:$L,領用表!$E:$E,$B34,領用表!$B:$B,BC$2&amp;$BI$1)</f>
        <v/>
      </c>
      <c r="BD34" s="142">
        <f>SUMIFS(領用表!$L:$L,領用表!$E:$E,$B34,領用表!$B:$B,BD$2&amp;$BI$1)</f>
        <v/>
      </c>
      <c r="BE34" s="142">
        <f>SUMIFS(領用表!$L:$L,領用表!$E:$E,$B34,領用表!$B:$B,BE$2&amp;$BI$1)</f>
        <v/>
      </c>
      <c r="BF34" s="142">
        <f>SUMIFS(領用表!$L:$L,領用表!$E:$E,$B34,領用表!$B:$B,BF$2&amp;$BI$1)</f>
        <v/>
      </c>
      <c r="BG34" s="23">
        <f>SUM(AU34,AV34,AW34,AX34,AY34,AZ34,BA34,BB34,BC34,BD34,BE34,BF34)</f>
        <v/>
      </c>
      <c r="BH34" s="23">
        <f>AVERAGE(AU34,AV34,AW34,AX34,AY34,AZ34,BA34,BB34,BC34,BD34,BE34,BF34)</f>
        <v/>
      </c>
      <c r="BI34" s="142">
        <f>SUMIFS(領用表!$L:$L,領用表!$E:$E,$B34,領用表!$B:$B,BI$2&amp;$BI$1)</f>
        <v/>
      </c>
      <c r="BJ34" s="142">
        <f>SUMIFS(領用表!$L:$L,領用表!$E:$E,$B34,領用表!$B:$B,BJ$2&amp;$BI$1)</f>
        <v/>
      </c>
      <c r="BK34" s="142">
        <f>SUMIFS(領用表!$L:$L,領用表!$E:$E,$B34,領用表!$B:$B,BK$2&amp;$BI$1)</f>
        <v/>
      </c>
      <c r="BL34" s="142">
        <f>SUMIFS(領用表!$L:$L,領用表!$E:$E,$B34,領用表!$B:$B,BL$2&amp;$BI$1)</f>
        <v/>
      </c>
      <c r="BM34" s="142">
        <f>SUMIFS(領用表!$L:$L,領用表!$E:$E,$B34,領用表!$B:$B,BM$2&amp;$BI$1)</f>
        <v/>
      </c>
      <c r="BN34" s="142" t="n">
        <v>59</v>
      </c>
      <c r="BO34" s="142">
        <f>SUMIFS(領用表!$L:$L,領用表!$E:$E,$B34,領用表!$B:$B,BO$2&amp;$BI$1)</f>
        <v/>
      </c>
      <c r="BP34" s="142">
        <f>SUMIFS(領用表!$L:$L,領用表!$E:$E,$B34,領用表!$B:$B,BP$2&amp;$BI$1)</f>
        <v/>
      </c>
      <c r="BQ34" s="142">
        <f>SUMIFS(領用表!$L:$L,領用表!$E:$E,$B34,領用表!$B:$B,BQ$2&amp;$BI$1)</f>
        <v/>
      </c>
      <c r="BR34" s="142">
        <f>SUMIFS(領用表!$L:$L,領用表!$E:$E,$B34,領用表!$B:$B,BR$2&amp;$BI$1)</f>
        <v/>
      </c>
      <c r="BS34" s="142">
        <f>SUMIFS(領用表!$L:$L,領用表!$E:$E,$B34,領用表!$B:$B,BS$2&amp;$BI$1)</f>
        <v/>
      </c>
      <c r="BT34" s="142">
        <f>SUMIFS(領用表!$L:$L,領用表!$E:$E,$B34,領用表!$B:$B,BT$2&amp;$BI$1)</f>
        <v/>
      </c>
      <c r="BU34" s="142">
        <f>SUM(BI34,BJ34,BK34,BL34,BM34,BN34)</f>
        <v/>
      </c>
      <c r="BV34" s="142">
        <f>AVERAGE(BI34,BJ34,BK34,BL34,BM34,BN34)</f>
        <v/>
      </c>
      <c r="BW34" s="142">
        <f>SUMIF(Summary!B:B,B34,Summary!EA:EA)</f>
        <v/>
      </c>
      <c r="BX34" s="108" t="n"/>
      <c r="BY34" s="65" t="n"/>
      <c r="BZ34" s="65" t="inlineStr">
        <is>
          <t>300-10/22</t>
        </is>
      </c>
      <c r="CA34" s="65" t="inlineStr">
        <is>
          <t>400-10/22</t>
        </is>
      </c>
      <c r="CB34" s="27" t="n"/>
      <c r="CC34" s="69" t="n"/>
      <c r="CD34" s="14" t="n"/>
      <c r="CE34" s="14" t="n"/>
    </row>
    <row r="35" ht="15.75" customHeight="1" s="453">
      <c r="A35" s="27" t="n"/>
      <c r="B35" s="14" t="n">
        <v>6120009</v>
      </c>
      <c r="C35" s="136" t="inlineStr">
        <is>
          <t>B1 硫胺明 2ml</t>
        </is>
      </c>
      <c r="D35" s="72" t="n">
        <v>100</v>
      </c>
      <c r="E35" s="17" t="inlineStr">
        <is>
          <t>PCS</t>
        </is>
      </c>
      <c r="F35" s="18" t="n">
        <v>7</v>
      </c>
      <c r="G35" s="18" t="n"/>
      <c r="H35" s="18" t="n"/>
      <c r="I35" s="18" t="n"/>
      <c r="J35" s="1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19" t="n"/>
      <c r="AH35" s="19" t="n"/>
      <c r="AI35" s="19" t="n"/>
      <c r="AJ35" s="19" t="n"/>
      <c r="AK35" s="19" t="n"/>
      <c r="AL35" s="19" t="n"/>
      <c r="AM35" s="19" t="n"/>
      <c r="AN35" s="19" t="n">
        <v>0</v>
      </c>
      <c r="AO35" s="19" t="n">
        <v>0</v>
      </c>
      <c r="AP35" s="19" t="n">
        <v>0</v>
      </c>
      <c r="AQ35" s="19" t="n">
        <v>0</v>
      </c>
      <c r="AR35" s="19" t="n">
        <v>0</v>
      </c>
      <c r="AS35" s="68">
        <f>SUM(AG35:AR35)</f>
        <v/>
      </c>
      <c r="AT35" s="26">
        <f>AS35/12</f>
        <v/>
      </c>
      <c r="AU35" s="19" t="n">
        <v>0</v>
      </c>
      <c r="AV35" s="19" t="n">
        <v>0</v>
      </c>
      <c r="AW35" s="19" t="n">
        <v>10</v>
      </c>
      <c r="AX35" s="19" t="n">
        <v>9</v>
      </c>
      <c r="AY35" s="19">
        <f>0+2</f>
        <v/>
      </c>
      <c r="AZ35" s="20">
        <f>SUMIFS(領用表!$L:$L,領用表!$E:$E,$B35,領用表!$B:$B,AZ$2&amp;$BI$1)</f>
        <v/>
      </c>
      <c r="BA35" s="20">
        <f>SUMIFS(領用表!$L:$L,領用表!$E:$E,$B35,領用表!$B:$B,BA$2&amp;$BI$1)</f>
        <v/>
      </c>
      <c r="BB35" s="20">
        <f>SUMIFS(領用表!$L:$L,領用表!$E:$E,$B35,領用表!$B:$B,BB$2&amp;$BI$1)</f>
        <v/>
      </c>
      <c r="BC35" s="20">
        <f>SUMIFS(領用表!$L:$L,領用表!$E:$E,$B35,領用表!$B:$B,BC$2&amp;$BI$1)</f>
        <v/>
      </c>
      <c r="BD35" s="142">
        <f>SUMIFS(領用表!$L:$L,領用表!$E:$E,$B35,領用表!$B:$B,BD$2&amp;$BI$1)</f>
        <v/>
      </c>
      <c r="BE35" s="142">
        <f>SUMIFS(領用表!$L:$L,領用表!$E:$E,$B35,領用表!$B:$B,BE$2&amp;$BI$1)</f>
        <v/>
      </c>
      <c r="BF35" s="142">
        <f>SUMIFS(領用表!$L:$L,領用表!$E:$E,$B35,領用表!$B:$B,BF$2&amp;$BI$1)</f>
        <v/>
      </c>
      <c r="BG35" s="23">
        <f>SUM(AU35,AV35,AW35,AX35,AY35,AZ35,BA35,BB35,BC35,BD35,BE35,BF35)</f>
        <v/>
      </c>
      <c r="BH35" s="23">
        <f>AVERAGE(AU35,AV35,AW35,AX35,AY35,AZ35,BA35,BB35,BC35,BD35,BE35,BF35)</f>
        <v/>
      </c>
      <c r="BI35" s="142">
        <f>SUMIFS(領用表!$L:$L,領用表!$E:$E,$B35,領用表!$B:$B,BI$2&amp;$BI$1)</f>
        <v/>
      </c>
      <c r="BJ35" s="142">
        <f>SUMIFS(領用表!$L:$L,領用表!$E:$E,$B35,領用表!$B:$B,BJ$2&amp;$BI$1)</f>
        <v/>
      </c>
      <c r="BK35" s="142">
        <f>SUMIFS(領用表!$L:$L,領用表!$E:$E,$B35,領用表!$B:$B,BK$2&amp;$BI$1)</f>
        <v/>
      </c>
      <c r="BL35" s="142">
        <f>SUMIFS(領用表!$L:$L,領用表!$E:$E,$B35,領用表!$B:$B,BL$2&amp;$BI$1)</f>
        <v/>
      </c>
      <c r="BM35" s="142">
        <f>SUMIFS(領用表!$L:$L,領用表!$E:$E,$B35,領用表!$B:$B,BM$2&amp;$BI$1)</f>
        <v/>
      </c>
      <c r="BN35" s="142" t="n">
        <v>5</v>
      </c>
      <c r="BO35" s="142">
        <f>SUMIFS(領用表!$L:$L,領用表!$E:$E,$B35,領用表!$B:$B,BO$2&amp;$BI$1)</f>
        <v/>
      </c>
      <c r="BP35" s="142">
        <f>SUMIFS(領用表!$L:$L,領用表!$E:$E,$B35,領用表!$B:$B,BP$2&amp;$BI$1)</f>
        <v/>
      </c>
      <c r="BQ35" s="142">
        <f>SUMIFS(領用表!$L:$L,領用表!$E:$E,$B35,領用表!$B:$B,BQ$2&amp;$BI$1)</f>
        <v/>
      </c>
      <c r="BR35" s="142">
        <f>SUMIFS(領用表!$L:$L,領用表!$E:$E,$B35,領用表!$B:$B,BR$2&amp;$BI$1)</f>
        <v/>
      </c>
      <c r="BS35" s="142">
        <f>SUMIFS(領用表!$L:$L,領用表!$E:$E,$B35,領用表!$B:$B,BS$2&amp;$BI$1)</f>
        <v/>
      </c>
      <c r="BT35" s="142">
        <f>SUMIFS(領用表!$L:$L,領用表!$E:$E,$B35,領用表!$B:$B,BT$2&amp;$BI$1)</f>
        <v/>
      </c>
      <c r="BU35" s="142">
        <f>SUM(BI35,BJ35,BK35,BL35,BM35,BN35)</f>
        <v/>
      </c>
      <c r="BV35" s="142">
        <f>AVERAGE(BI35,BJ35,BK35,BL35,BM35,BN35)</f>
        <v/>
      </c>
      <c r="BW35" s="142">
        <f>SUMIF(Summary!B:B,B35,Summary!EA:EA)</f>
        <v/>
      </c>
      <c r="BX35" s="108" t="n"/>
      <c r="BY35" s="65" t="n"/>
      <c r="BZ35" s="65" t="n"/>
      <c r="CA35" s="65" t="n"/>
      <c r="CB35" s="27" t="n"/>
      <c r="CC35" s="69" t="n"/>
      <c r="CD35" s="14" t="n"/>
      <c r="CE35" s="14" t="n"/>
    </row>
    <row r="36" ht="15.75" customHeight="1" s="453">
      <c r="A36" s="27" t="n"/>
      <c r="B36" s="14" t="n">
        <v>6120010</v>
      </c>
      <c r="C36" s="136" t="inlineStr">
        <is>
          <t>B6 維他命乙6注射液 5毫克/毫升 2ml</t>
        </is>
      </c>
      <c r="D36" s="72" t="n">
        <v>100</v>
      </c>
      <c r="E36" s="17" t="inlineStr">
        <is>
          <t>PCS</t>
        </is>
      </c>
      <c r="F36" s="18" t="n">
        <v>11</v>
      </c>
      <c r="G36" s="18" t="n"/>
      <c r="H36" s="18" t="n"/>
      <c r="I36" s="18" t="n"/>
      <c r="J36" s="1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19" t="n"/>
      <c r="AH36" s="19" t="n"/>
      <c r="AI36" s="19" t="n"/>
      <c r="AJ36" s="19" t="n"/>
      <c r="AK36" s="19" t="n"/>
      <c r="AL36" s="19" t="n"/>
      <c r="AM36" s="19" t="n"/>
      <c r="AN36" s="19" t="n">
        <v>0</v>
      </c>
      <c r="AO36" s="19" t="n">
        <v>0</v>
      </c>
      <c r="AP36" s="19" t="n">
        <v>0</v>
      </c>
      <c r="AQ36" s="19" t="n">
        <v>0</v>
      </c>
      <c r="AR36" s="19" t="n">
        <v>0</v>
      </c>
      <c r="AS36" s="68">
        <f>SUM(AG36:AR36)</f>
        <v/>
      </c>
      <c r="AT36" s="26">
        <f>AS36/12</f>
        <v/>
      </c>
      <c r="AU36" s="19" t="n">
        <v>0</v>
      </c>
      <c r="AV36" s="19" t="n">
        <v>0</v>
      </c>
      <c r="AW36" s="19" t="n">
        <v>10</v>
      </c>
      <c r="AX36" s="19" t="n">
        <v>9</v>
      </c>
      <c r="AY36" s="19">
        <f>0+2</f>
        <v/>
      </c>
      <c r="AZ36" s="20">
        <f>SUMIFS(領用表!$L:$L,領用表!$E:$E,$B36,領用表!$B:$B,AZ$2&amp;$BI$1)</f>
        <v/>
      </c>
      <c r="BA36" s="20">
        <f>SUMIFS(領用表!$L:$L,領用表!$E:$E,$B36,領用表!$B:$B,BA$2&amp;$BI$1)</f>
        <v/>
      </c>
      <c r="BB36" s="20">
        <f>SUMIFS(領用表!$L:$L,領用表!$E:$E,$B36,領用表!$B:$B,BB$2&amp;$BI$1)</f>
        <v/>
      </c>
      <c r="BC36" s="20">
        <f>SUMIFS(領用表!$L:$L,領用表!$E:$E,$B36,領用表!$B:$B,BC$2&amp;$BI$1)</f>
        <v/>
      </c>
      <c r="BD36" s="142">
        <f>SUMIFS(領用表!$L:$L,領用表!$E:$E,$B36,領用表!$B:$B,BD$2&amp;$BI$1)</f>
        <v/>
      </c>
      <c r="BE36" s="142">
        <f>SUMIFS(領用表!$L:$L,領用表!$E:$E,$B36,領用表!$B:$B,BE$2&amp;$BI$1)</f>
        <v/>
      </c>
      <c r="BF36" s="142">
        <f>SUMIFS(領用表!$L:$L,領用表!$E:$E,$B36,領用表!$B:$B,BF$2&amp;$BI$1)</f>
        <v/>
      </c>
      <c r="BG36" s="23">
        <f>SUM(AU36,AV36,AW36,AX36,AY36,AZ36,BA36,BB36,BC36,BD36,BE36,BF36)</f>
        <v/>
      </c>
      <c r="BH36" s="23">
        <f>AVERAGE(AU36,AV36,AW36,AX36,AY36,AZ36,BA36,BB36,BC36,BD36,BE36,BF36)</f>
        <v/>
      </c>
      <c r="BI36" s="142">
        <f>SUMIFS(領用表!$L:$L,領用表!$E:$E,$B36,領用表!$B:$B,BI$2&amp;$BI$1)</f>
        <v/>
      </c>
      <c r="BJ36" s="142">
        <f>SUMIFS(領用表!$L:$L,領用表!$E:$E,$B36,領用表!$B:$B,BJ$2&amp;$BI$1)</f>
        <v/>
      </c>
      <c r="BK36" s="142">
        <f>SUMIFS(領用表!$L:$L,領用表!$E:$E,$B36,領用表!$B:$B,BK$2&amp;$BI$1)</f>
        <v/>
      </c>
      <c r="BL36" s="142">
        <f>SUMIFS(領用表!$L:$L,領用表!$E:$E,$B36,領用表!$B:$B,BL$2&amp;$BI$1)</f>
        <v/>
      </c>
      <c r="BM36" s="142">
        <f>SUMIFS(領用表!$L:$L,領用表!$E:$E,$B36,領用表!$B:$B,BM$2&amp;$BI$1)</f>
        <v/>
      </c>
      <c r="BN36" s="142" t="n">
        <v>5</v>
      </c>
      <c r="BO36" s="142">
        <f>SUMIFS(領用表!$L:$L,領用表!$E:$E,$B36,領用表!$B:$B,BO$2&amp;$BI$1)</f>
        <v/>
      </c>
      <c r="BP36" s="142">
        <f>SUMIFS(領用表!$L:$L,領用表!$E:$E,$B36,領用表!$B:$B,BP$2&amp;$BI$1)</f>
        <v/>
      </c>
      <c r="BQ36" s="142">
        <f>SUMIFS(領用表!$L:$L,領用表!$E:$E,$B36,領用表!$B:$B,BQ$2&amp;$BI$1)</f>
        <v/>
      </c>
      <c r="BR36" s="142">
        <f>SUMIFS(領用表!$L:$L,領用表!$E:$E,$B36,領用表!$B:$B,BR$2&amp;$BI$1)</f>
        <v/>
      </c>
      <c r="BS36" s="142">
        <f>SUMIFS(領用表!$L:$L,領用表!$E:$E,$B36,領用表!$B:$B,BS$2&amp;$BI$1)</f>
        <v/>
      </c>
      <c r="BT36" s="142">
        <f>SUMIFS(領用表!$L:$L,領用表!$E:$E,$B36,領用表!$B:$B,BT$2&amp;$BI$1)</f>
        <v/>
      </c>
      <c r="BU36" s="142">
        <f>SUM(BI36,BJ36,BK36,BL36,BM36,BN36)</f>
        <v/>
      </c>
      <c r="BV36" s="142">
        <f>AVERAGE(BI36,BJ36,BK36,BL36,BM36,BN36)</f>
        <v/>
      </c>
      <c r="BW36" s="142">
        <f>SUMIF(Summary!B:B,B36,Summary!EA:EA)</f>
        <v/>
      </c>
      <c r="BX36" s="108" t="n"/>
      <c r="BY36" s="65" t="n"/>
      <c r="BZ36" s="65" t="n"/>
      <c r="CA36" s="65" t="n"/>
      <c r="CB36" s="27" t="n"/>
      <c r="CC36" s="69" t="n"/>
      <c r="CD36" s="14" t="n"/>
      <c r="CE36" s="14" t="n"/>
    </row>
    <row r="37" ht="15.75" customHeight="1" s="453" thickBot="1">
      <c r="A37" s="27" t="n"/>
      <c r="B37" s="14" t="n">
        <v>6120015</v>
      </c>
      <c r="C37" s="136" t="inlineStr">
        <is>
          <t>B群 淘能美 2ml</t>
        </is>
      </c>
      <c r="D37" s="72" t="n"/>
      <c r="E37" s="17" t="inlineStr">
        <is>
          <t>PCS</t>
        </is>
      </c>
      <c r="F37" s="18" t="n">
        <v>0</v>
      </c>
      <c r="G37" s="18" t="n"/>
      <c r="H37" s="18" t="n"/>
      <c r="I37" s="18" t="n"/>
      <c r="J37" s="1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19" t="n"/>
      <c r="AH37" s="19" t="n"/>
      <c r="AI37" s="19" t="n"/>
      <c r="AJ37" s="19" t="n"/>
      <c r="AK37" s="19" t="n"/>
      <c r="AL37" s="19" t="n"/>
      <c r="AM37" s="19" t="n"/>
      <c r="AN37" s="19" t="n">
        <v>0</v>
      </c>
      <c r="AO37" s="19" t="n">
        <v>0</v>
      </c>
      <c r="AP37" s="19" t="n">
        <v>0</v>
      </c>
      <c r="AQ37" s="19" t="n">
        <v>0</v>
      </c>
      <c r="AR37" s="19" t="n">
        <v>0</v>
      </c>
      <c r="AS37" s="68">
        <f>SUM(AG37:AR37)</f>
        <v/>
      </c>
      <c r="AT37" s="26">
        <f>AS37/12</f>
        <v/>
      </c>
      <c r="AU37" s="19" t="n">
        <v>0</v>
      </c>
      <c r="AV37" s="19" t="n">
        <v>0</v>
      </c>
      <c r="AW37" s="19" t="n">
        <v>10</v>
      </c>
      <c r="AX37" s="19" t="n">
        <v>32</v>
      </c>
      <c r="AY37" s="19">
        <f>76+7</f>
        <v/>
      </c>
      <c r="AZ37" s="20">
        <f>SUMIFS(領用表!$L:$L,領用表!$E:$E,$B37,領用表!$B:$B,AZ$2&amp;$BI$1)</f>
        <v/>
      </c>
      <c r="BA37" s="20">
        <f>SUMIFS(領用表!$L:$L,領用表!$E:$E,$B37,領用表!$B:$B,BA$2&amp;$BI$1)</f>
        <v/>
      </c>
      <c r="BB37" s="20">
        <f>SUMIFS(領用表!$L:$L,領用表!$E:$E,$B37,領用表!$B:$B,BB$2&amp;$BI$1)</f>
        <v/>
      </c>
      <c r="BC37" s="20">
        <f>SUMIFS(領用表!$L:$L,領用表!$E:$E,$B37,領用表!$B:$B,BC$2&amp;$BI$1)</f>
        <v/>
      </c>
      <c r="BD37" s="142">
        <f>SUMIFS(領用表!$L:$L,領用表!$E:$E,$B37,領用表!$B:$B,BD$2&amp;$BI$1)</f>
        <v/>
      </c>
      <c r="BE37" s="142">
        <f>SUMIFS(領用表!$L:$L,領用表!$E:$E,$B37,領用表!$B:$B,BE$2&amp;$BI$1)</f>
        <v/>
      </c>
      <c r="BF37" s="142">
        <f>SUMIFS(領用表!$L:$L,領用表!$E:$E,$B37,領用表!$B:$B,BF$2&amp;$BI$1)</f>
        <v/>
      </c>
      <c r="BG37" s="23">
        <f>SUM(AU37,AV37,AW37,AX37,AY37,AZ37,BA37,BB37,BC37,BD37,BE37,BF37)</f>
        <v/>
      </c>
      <c r="BH37" s="23">
        <f>AVERAGE(AU37,AV37,AW37,AX37,AY37,AZ37,BA37,BB37,BC37,BD37,BE37,BF37)</f>
        <v/>
      </c>
      <c r="BI37" s="142">
        <f>SUMIFS(領用表!$L:$L,領用表!$E:$E,$B37,領用表!$B:$B,BI$2&amp;$BI$1)</f>
        <v/>
      </c>
      <c r="BJ37" s="142">
        <f>SUMIFS(領用表!$L:$L,領用表!$E:$E,$B37,領用表!$B:$B,BJ$2&amp;$BI$1)</f>
        <v/>
      </c>
      <c r="BK37" s="142">
        <f>SUMIFS(領用表!$L:$L,領用表!$E:$E,$B37,領用表!$B:$B,BK$2&amp;$BI$1)</f>
        <v/>
      </c>
      <c r="BL37" s="142">
        <f>SUMIFS(領用表!$L:$L,領用表!$E:$E,$B37,領用表!$B:$B,BL$2&amp;$BI$1)</f>
        <v/>
      </c>
      <c r="BM37" s="142">
        <f>SUMIFS(領用表!$L:$L,領用表!$E:$E,$B37,領用表!$B:$B,BM$2&amp;$BI$1)</f>
        <v/>
      </c>
      <c r="BN37" s="142" t="n">
        <v>12</v>
      </c>
      <c r="BO37" s="142">
        <f>SUMIFS(領用表!$L:$L,領用表!$E:$E,$B37,領用表!$B:$B,BO$2&amp;$BI$1)</f>
        <v/>
      </c>
      <c r="BP37" s="142">
        <f>SUMIFS(領用表!$L:$L,領用表!$E:$E,$B37,領用表!$B:$B,BP$2&amp;$BI$1)</f>
        <v/>
      </c>
      <c r="BQ37" s="142">
        <f>SUMIFS(領用表!$L:$L,領用表!$E:$E,$B37,領用表!$B:$B,BQ$2&amp;$BI$1)</f>
        <v/>
      </c>
      <c r="BR37" s="142">
        <f>SUMIFS(領用表!$L:$L,領用表!$E:$E,$B37,領用表!$B:$B,BR$2&amp;$BI$1)</f>
        <v/>
      </c>
      <c r="BS37" s="142">
        <f>SUMIFS(領用表!$L:$L,領用表!$E:$E,$B37,領用表!$B:$B,BS$2&amp;$BI$1)</f>
        <v/>
      </c>
      <c r="BT37" s="142">
        <f>SUMIFS(領用表!$L:$L,領用表!$E:$E,$B37,領用表!$B:$B,BT$2&amp;$BI$1)</f>
        <v/>
      </c>
      <c r="BU37" s="142">
        <f>SUM(BI37,BJ37,BK37,BL37,BM37,BN37)</f>
        <v/>
      </c>
      <c r="BV37" s="142">
        <f>AVERAGE(BI37,BJ37,BK37,BL37,BM37,BN37)</f>
        <v/>
      </c>
      <c r="BW37" s="142">
        <f>SUMIF(Summary!B:B,B37,Summary!EA:EA)</f>
        <v/>
      </c>
      <c r="BX37" s="108" t="n"/>
      <c r="BY37" s="65" t="n"/>
      <c r="BZ37" s="76" t="inlineStr">
        <is>
          <t>100-10/22</t>
        </is>
      </c>
      <c r="CA37" s="65" t="n"/>
      <c r="CB37" s="27" t="n"/>
      <c r="CC37" s="69" t="n"/>
      <c r="CD37" s="14" t="n"/>
      <c r="CE37" s="14" t="n"/>
    </row>
    <row r="38" ht="15.75" customHeight="1" s="453" thickBot="1">
      <c r="A38" s="192" t="inlineStr">
        <is>
          <t>MB3ME090038A</t>
        </is>
      </c>
      <c r="B38" s="191" t="n">
        <v>6120037</v>
      </c>
      <c r="C38" s="193" t="inlineStr">
        <is>
          <t>(B群) 美久奧林 20ml/支</t>
        </is>
      </c>
      <c r="D38" s="72" t="n"/>
      <c r="E38" s="17" t="n"/>
      <c r="F38" s="18" t="n"/>
      <c r="G38" s="18" t="n"/>
      <c r="H38" s="18" t="n"/>
      <c r="I38" s="18" t="n"/>
      <c r="J38" s="1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68" t="n"/>
      <c r="AT38" s="26" t="n"/>
      <c r="AU38" s="19" t="n"/>
      <c r="AV38" s="19" t="n"/>
      <c r="AW38" s="19" t="n"/>
      <c r="AX38" s="19" t="n"/>
      <c r="AY38" s="19" t="n"/>
      <c r="AZ38" s="20">
        <f>SUMIFS(領用表!$L:$L,領用表!$E:$E,$B38,領用表!$B:$B,AZ$2&amp;$BI$1)</f>
        <v/>
      </c>
      <c r="BA38" s="20">
        <f>SUMIFS(領用表!$L:$L,領用表!$E:$E,$B38,領用表!$B:$B,BA$2&amp;$BI$1)</f>
        <v/>
      </c>
      <c r="BB38" s="20">
        <f>SUMIFS(領用表!$L:$L,領用表!$E:$E,$B38,領用表!$B:$B,BB$2&amp;$BI$1)</f>
        <v/>
      </c>
      <c r="BC38" s="20">
        <f>SUMIFS(領用表!$L:$L,領用表!$E:$E,$B38,領用表!$B:$B,BC$2&amp;$BI$1)</f>
        <v/>
      </c>
      <c r="BD38" s="142">
        <f>SUMIFS(領用表!$L:$L,領用表!$E:$E,$B38,領用表!$B:$B,BD$2&amp;$BI$1)</f>
        <v/>
      </c>
      <c r="BE38" s="142">
        <f>SUMIFS(領用表!$L:$L,領用表!$E:$E,$B38,領用表!$B:$B,BE$2&amp;$BI$1)</f>
        <v/>
      </c>
      <c r="BF38" s="142">
        <f>SUMIFS(領用表!$L:$L,領用表!$E:$E,$B38,領用表!$B:$B,BF$2&amp;$BI$1)</f>
        <v/>
      </c>
      <c r="BG38" s="23">
        <f>SUM(AU38,AV38,AW38,AX38,AY38,AZ38,BA38,BB38,BC38,BD38,BE38,BF38)</f>
        <v/>
      </c>
      <c r="BH38" s="23">
        <f>AVERAGE(AU38,AV38,AW38,AX38,AY38,AZ38,BA38,BB38,BC38,BD38,BE38,BF38)</f>
        <v/>
      </c>
      <c r="BI38" s="142">
        <f>SUMIFS(領用表!$L:$L,領用表!$E:$E,$B38,領用表!$B:$B,BI$2&amp;$BI$1)</f>
        <v/>
      </c>
      <c r="BJ38" s="142">
        <f>SUMIFS(領用表!$L:$L,領用表!$E:$E,$B38,領用表!$B:$B,BJ$2&amp;$BI$1)</f>
        <v/>
      </c>
      <c r="BK38" s="142">
        <f>SUMIFS(領用表!$L:$L,領用表!$E:$E,$B38,領用表!$B:$B,BK$2&amp;$BI$1)</f>
        <v/>
      </c>
      <c r="BL38" s="142">
        <f>SUMIFS(領用表!$L:$L,領用表!$E:$E,$B38,領用表!$B:$B,BL$2&amp;$BI$1)</f>
        <v/>
      </c>
      <c r="BM38" s="142">
        <f>SUMIFS(領用表!$L:$L,領用表!$E:$E,$B38,領用表!$B:$B,BM$2&amp;$BI$1)</f>
        <v/>
      </c>
      <c r="BN38" s="142" t="n">
        <v>1</v>
      </c>
      <c r="BO38" s="142">
        <f>SUMIFS(領用表!$L:$L,領用表!$E:$E,$B38,領用表!$B:$B,BO$2&amp;$BI$1)</f>
        <v/>
      </c>
      <c r="BP38" s="142">
        <f>SUMIFS(領用表!$L:$L,領用表!$E:$E,$B38,領用表!$B:$B,BP$2&amp;$BI$1)</f>
        <v/>
      </c>
      <c r="BQ38" s="142">
        <f>SUMIFS(領用表!$L:$L,領用表!$E:$E,$B38,領用表!$B:$B,BQ$2&amp;$BI$1)</f>
        <v/>
      </c>
      <c r="BR38" s="142">
        <f>SUMIFS(領用表!$L:$L,領用表!$E:$E,$B38,領用表!$B:$B,BR$2&amp;$BI$1)</f>
        <v/>
      </c>
      <c r="BS38" s="142">
        <f>SUMIFS(領用表!$L:$L,領用表!$E:$E,$B38,領用表!$B:$B,BS$2&amp;$BI$1)</f>
        <v/>
      </c>
      <c r="BT38" s="142">
        <f>SUMIFS(領用表!$L:$L,領用表!$E:$E,$B38,領用表!$B:$B,BT$2&amp;$BI$1)</f>
        <v/>
      </c>
      <c r="BU38" s="142">
        <f>SUM(BI38,BJ38,BK38,BL38,BM38,BN38)</f>
        <v/>
      </c>
      <c r="BV38" s="142">
        <f>AVERAGE(BI38,BJ38,BK38,BL38,BM38,BN38)</f>
        <v/>
      </c>
      <c r="BW38" s="142">
        <f>SUMIF(Summary!B:B,B38,Summary!EA:EA)</f>
        <v/>
      </c>
      <c r="BX38" s="108" t="n"/>
      <c r="BY38" s="65" t="n"/>
      <c r="BZ38" s="76" t="n"/>
      <c r="CA38" s="65" t="n"/>
      <c r="CB38" s="27" t="n"/>
      <c r="CC38" s="69" t="n"/>
      <c r="CD38" s="14" t="n"/>
      <c r="CE38" s="14" t="n"/>
    </row>
    <row r="39" ht="15.75" customHeight="1" s="453" thickBot="1">
      <c r="A39" s="192" t="inlineStr">
        <is>
          <t>MB3ME090039A</t>
        </is>
      </c>
      <c r="B39" s="191" t="n">
        <v>6120038</v>
      </c>
      <c r="C39" s="193" t="inlineStr">
        <is>
          <t>(Vit C+B) 維他補舒Vitaplex 20ml/支</t>
        </is>
      </c>
      <c r="D39" s="72" t="n"/>
      <c r="E39" s="17" t="n"/>
      <c r="F39" s="18" t="n">
        <v>13</v>
      </c>
      <c r="G39" s="18" t="n"/>
      <c r="H39" s="18" t="n"/>
      <c r="I39" s="18" t="n"/>
      <c r="J39" s="1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68" t="n"/>
      <c r="AT39" s="26" t="n"/>
      <c r="AU39" s="19" t="n"/>
      <c r="AV39" s="19" t="n"/>
      <c r="AW39" s="19" t="n"/>
      <c r="AX39" s="19" t="n"/>
      <c r="AY39" s="19" t="n"/>
      <c r="AZ39" s="20">
        <f>SUMIFS(領用表!$L:$L,領用表!$E:$E,$B39,領用表!$B:$B,AZ$2&amp;$BI$1)</f>
        <v/>
      </c>
      <c r="BA39" s="20">
        <f>SUMIFS(領用表!$L:$L,領用表!$E:$E,$B39,領用表!$B:$B,BA$2&amp;$BI$1)</f>
        <v/>
      </c>
      <c r="BB39" s="20">
        <f>SUMIFS(領用表!$L:$L,領用表!$E:$E,$B39,領用表!$B:$B,BB$2&amp;$BI$1)</f>
        <v/>
      </c>
      <c r="BC39" s="20">
        <f>SUMIFS(領用表!$L:$L,領用表!$E:$E,$B39,領用表!$B:$B,BC$2&amp;$BI$1)</f>
        <v/>
      </c>
      <c r="BD39" s="142">
        <f>SUMIFS(領用表!$L:$L,領用表!$E:$E,$B39,領用表!$B:$B,BD$2&amp;$BI$1)</f>
        <v/>
      </c>
      <c r="BE39" s="142">
        <f>SUMIFS(領用表!$L:$L,領用表!$E:$E,$B39,領用表!$B:$B,BE$2&amp;$BI$1)</f>
        <v/>
      </c>
      <c r="BF39" s="142">
        <f>SUMIFS(領用表!$L:$L,領用表!$E:$E,$B39,領用表!$B:$B,BF$2&amp;$BI$1)</f>
        <v/>
      </c>
      <c r="BG39" s="23">
        <f>SUM(AU39,AV39,AW39,AX39,AY39,AZ39,BA39,BB39,BC39,BD39,BE39,BF39)</f>
        <v/>
      </c>
      <c r="BH39" s="23">
        <f>AVERAGE(AU39,AV39,AW39,AX39,AY39,AZ39,BA39,BB39,BC39,BD39,BE39,BF39)</f>
        <v/>
      </c>
      <c r="BI39" s="142">
        <f>SUMIFS(領用表!$L:$L,領用表!$E:$E,$B39,領用表!$B:$B,BI$2&amp;$BI$1)</f>
        <v/>
      </c>
      <c r="BJ39" s="142">
        <f>SUMIFS(領用表!$L:$L,領用表!$E:$E,$B39,領用表!$B:$B,BJ$2&amp;$BI$1)</f>
        <v/>
      </c>
      <c r="BK39" s="142">
        <f>SUMIFS(領用表!$L:$L,領用表!$E:$E,$B39,領用表!$B:$B,BK$2&amp;$BI$1)</f>
        <v/>
      </c>
      <c r="BL39" s="142">
        <f>SUMIFS(領用表!$L:$L,領用表!$E:$E,$B39,領用表!$B:$B,BL$2&amp;$BI$1)</f>
        <v/>
      </c>
      <c r="BM39" s="142">
        <f>SUMIFS(領用表!$L:$L,領用表!$E:$E,$B39,領用表!$B:$B,BM$2&amp;$BI$1)</f>
        <v/>
      </c>
      <c r="BN39" s="142" t="n"/>
      <c r="BO39" s="142">
        <f>SUMIFS(領用表!$L:$L,領用表!$E:$E,$B39,領用表!$B:$B,BO$2&amp;$BI$1)</f>
        <v/>
      </c>
      <c r="BP39" s="142">
        <f>SUMIFS(領用表!$L:$L,領用表!$E:$E,$B39,領用表!$B:$B,BP$2&amp;$BI$1)</f>
        <v/>
      </c>
      <c r="BQ39" s="142">
        <f>SUMIFS(領用表!$L:$L,領用表!$E:$E,$B39,領用表!$B:$B,BQ$2&amp;$BI$1)</f>
        <v/>
      </c>
      <c r="BR39" s="142">
        <f>SUMIFS(領用表!$L:$L,領用表!$E:$E,$B39,領用表!$B:$B,BR$2&amp;$BI$1)</f>
        <v/>
      </c>
      <c r="BS39" s="142">
        <f>SUMIFS(領用表!$L:$L,領用表!$E:$E,$B39,領用表!$B:$B,BS$2&amp;$BI$1)</f>
        <v/>
      </c>
      <c r="BT39" s="142">
        <f>SUMIFS(領用表!$L:$L,領用表!$E:$E,$B39,領用表!$B:$B,BT$2&amp;$BI$1)</f>
        <v/>
      </c>
      <c r="BU39" s="142">
        <f>SUM(BI39,BJ39,BK39,BL39,BM39,BN39)</f>
        <v/>
      </c>
      <c r="BV39" s="142">
        <f>AVERAGE(BI39,BJ39,BK39,BL39,BM39,BN39)</f>
        <v/>
      </c>
      <c r="BW39" s="142">
        <f>SUMIF(Summary!B:B,B39,Summary!EA:EA)</f>
        <v/>
      </c>
      <c r="BX39" s="108" t="n"/>
      <c r="BY39" s="65" t="n"/>
      <c r="BZ39" s="76" t="n"/>
      <c r="CA39" s="65" t="n"/>
      <c r="CB39" s="27" t="n"/>
      <c r="CC39" s="69" t="n"/>
      <c r="CD39" s="14" t="n"/>
      <c r="CE39" s="14" t="n"/>
    </row>
    <row r="40" ht="15.75" customHeight="1" s="453">
      <c r="A40" s="27" t="n"/>
      <c r="B40" s="14" t="n">
        <v>6120016</v>
      </c>
      <c r="C40" s="136" t="inlineStr">
        <is>
          <t>克樂達養 20ml</t>
        </is>
      </c>
      <c r="D40" s="72" t="n"/>
      <c r="E40" s="17" t="inlineStr">
        <is>
          <t>PCS</t>
        </is>
      </c>
      <c r="F40" s="18" t="n">
        <v>51</v>
      </c>
      <c r="G40" s="18" t="n"/>
      <c r="H40" s="18" t="n"/>
      <c r="I40" s="18" t="n"/>
      <c r="J40" s="1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19" t="n"/>
      <c r="AH40" s="19" t="n"/>
      <c r="AI40" s="19" t="n"/>
      <c r="AJ40" s="19" t="n"/>
      <c r="AK40" s="19" t="n"/>
      <c r="AL40" s="19" t="n"/>
      <c r="AM40" s="19" t="n"/>
      <c r="AN40" s="19" t="n">
        <v>0</v>
      </c>
      <c r="AO40" s="19" t="n">
        <v>0</v>
      </c>
      <c r="AP40" s="19" t="n">
        <v>0</v>
      </c>
      <c r="AQ40" s="19" t="n">
        <v>0</v>
      </c>
      <c r="AR40" s="19" t="n">
        <v>0</v>
      </c>
      <c r="AS40" s="68">
        <f>SUM(AG40:AR40)</f>
        <v/>
      </c>
      <c r="AT40" s="26">
        <f>AS40/12</f>
        <v/>
      </c>
      <c r="AU40" s="19" t="n">
        <v>0</v>
      </c>
      <c r="AV40" s="19" t="n">
        <v>0</v>
      </c>
      <c r="AW40" s="19" t="n">
        <v>10</v>
      </c>
      <c r="AX40" s="19" t="n">
        <v>94</v>
      </c>
      <c r="AY40" s="19">
        <f>21+57</f>
        <v/>
      </c>
      <c r="AZ40" s="20">
        <f>SUMIFS(領用表!$L:$L,領用表!$E:$E,$B40,領用表!$B:$B,AZ$2&amp;$BI$1)</f>
        <v/>
      </c>
      <c r="BA40" s="20">
        <f>SUMIFS(領用表!$L:$L,領用表!$E:$E,$B40,領用表!$B:$B,BA$2&amp;$BI$1)</f>
        <v/>
      </c>
      <c r="BB40" s="20">
        <f>SUMIFS(領用表!$L:$L,領用表!$E:$E,$B40,領用表!$B:$B,BB$2&amp;$BI$1)</f>
        <v/>
      </c>
      <c r="BC40" s="20">
        <f>SUMIFS(領用表!$L:$L,領用表!$E:$E,$B40,領用表!$B:$B,BC$2&amp;$BI$1)</f>
        <v/>
      </c>
      <c r="BD40" s="142">
        <f>SUMIFS(領用表!$L:$L,領用表!$E:$E,$B40,領用表!$B:$B,BD$2&amp;$BI$1)</f>
        <v/>
      </c>
      <c r="BE40" s="142">
        <f>SUMIFS(領用表!$L:$L,領用表!$E:$E,$B40,領用表!$B:$B,BE$2&amp;$BI$1)</f>
        <v/>
      </c>
      <c r="BF40" s="142">
        <f>SUMIFS(領用表!$L:$L,領用表!$E:$E,$B40,領用表!$B:$B,BF$2&amp;$BI$1)</f>
        <v/>
      </c>
      <c r="BG40" s="23">
        <f>SUM(AU40,AV40,AW40,AX40,AY40,AZ40,BA40,BB40,BC40,BD40,BE40,BF40)</f>
        <v/>
      </c>
      <c r="BH40" s="23">
        <f>AVERAGE(AU40,AV40,AW40,AX40,AY40,AZ40,BA40,BB40,BC40,BD40,BE40,BF40)</f>
        <v/>
      </c>
      <c r="BI40" s="142">
        <f>SUMIFS(領用表!$L:$L,領用表!$E:$E,$B40,領用表!$B:$B,BI$2&amp;$BI$1)</f>
        <v/>
      </c>
      <c r="BJ40" s="142">
        <f>SUMIFS(領用表!$L:$L,領用表!$E:$E,$B40,領用表!$B:$B,BJ$2&amp;$BI$1)</f>
        <v/>
      </c>
      <c r="BK40" s="142">
        <f>SUMIFS(領用表!$L:$L,領用表!$E:$E,$B40,領用表!$B:$B,BK$2&amp;$BI$1)</f>
        <v/>
      </c>
      <c r="BL40" s="142">
        <f>SUMIFS(領用表!$L:$L,領用表!$E:$E,$B40,領用表!$B:$B,BL$2&amp;$BI$1)</f>
        <v/>
      </c>
      <c r="BM40" s="142">
        <f>SUMIFS(領用表!$L:$L,領用表!$E:$E,$B40,領用表!$B:$B,BM$2&amp;$BI$1)</f>
        <v/>
      </c>
      <c r="BN40" s="142" t="n">
        <v>12</v>
      </c>
      <c r="BO40" s="142">
        <f>SUMIFS(領用表!$L:$L,領用表!$E:$E,$B40,領用表!$B:$B,BO$2&amp;$BI$1)</f>
        <v/>
      </c>
      <c r="BP40" s="142">
        <f>SUMIFS(領用表!$L:$L,領用表!$E:$E,$B40,領用表!$B:$B,BP$2&amp;$BI$1)</f>
        <v/>
      </c>
      <c r="BQ40" s="142">
        <f>SUMIFS(領用表!$L:$L,領用表!$E:$E,$B40,領用表!$B:$B,BQ$2&amp;$BI$1)</f>
        <v/>
      </c>
      <c r="BR40" s="142">
        <f>SUMIFS(領用表!$L:$L,領用表!$E:$E,$B40,領用表!$B:$B,BR$2&amp;$BI$1)</f>
        <v/>
      </c>
      <c r="BS40" s="142">
        <f>SUMIFS(領用表!$L:$L,領用表!$E:$E,$B40,領用表!$B:$B,BS$2&amp;$BI$1)</f>
        <v/>
      </c>
      <c r="BT40" s="142">
        <f>SUMIFS(領用表!$L:$L,領用表!$E:$E,$B40,領用表!$B:$B,BT$2&amp;$BI$1)</f>
        <v/>
      </c>
      <c r="BU40" s="142">
        <f>SUM(BI40,BJ40,BK40,BL40,BM40,BN40)</f>
        <v/>
      </c>
      <c r="BV40" s="142">
        <f>AVERAGE(BI40,BJ40,BK40,BL40,BM40,BN40)</f>
        <v/>
      </c>
      <c r="BW40" s="142">
        <f>SUMIF(Summary!B:B,B40,Summary!EA:EA)</f>
        <v/>
      </c>
      <c r="BX40" s="108" t="n"/>
      <c r="BY40" s="65" t="n"/>
      <c r="BZ40" s="76" t="inlineStr">
        <is>
          <t>200-10/21</t>
        </is>
      </c>
      <c r="CA40" s="65" t="inlineStr">
        <is>
          <t>1000-10/21</t>
        </is>
      </c>
      <c r="CB40" s="27" t="n"/>
      <c r="CC40" s="69" t="n"/>
      <c r="CD40" s="14" t="n"/>
      <c r="CE40" s="14" t="n"/>
    </row>
    <row r="41" ht="15.75" customHeight="1" s="453">
      <c r="A41" s="27" t="n"/>
      <c r="B41" s="14" t="n">
        <v>6120022</v>
      </c>
      <c r="C41" s="136" t="inlineStr">
        <is>
          <t>循必利</t>
        </is>
      </c>
      <c r="D41" s="72" t="n"/>
      <c r="E41" s="17" t="inlineStr">
        <is>
          <t>PCS</t>
        </is>
      </c>
      <c r="F41" s="18" t="n">
        <v>9</v>
      </c>
      <c r="G41" s="18" t="n"/>
      <c r="H41" s="18" t="n"/>
      <c r="I41" s="18" t="n"/>
      <c r="J41" s="1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19" t="n"/>
      <c r="AH41" s="19" t="n"/>
      <c r="AI41" s="19" t="n"/>
      <c r="AJ41" s="19" t="n"/>
      <c r="AK41" s="19" t="n"/>
      <c r="AL41" s="19" t="n"/>
      <c r="AM41" s="19" t="n"/>
      <c r="AN41" s="19" t="n">
        <v>0</v>
      </c>
      <c r="AO41" s="19" t="n">
        <v>0</v>
      </c>
      <c r="AP41" s="19" t="n">
        <v>0</v>
      </c>
      <c r="AQ41" s="19" t="n">
        <v>0</v>
      </c>
      <c r="AR41" s="19" t="n">
        <v>0</v>
      </c>
      <c r="AS41" s="68">
        <f>SUM(AG41:AR41)</f>
        <v/>
      </c>
      <c r="AT41" s="26">
        <f>AS41/12</f>
        <v/>
      </c>
      <c r="AU41" s="19" t="n">
        <v>0</v>
      </c>
      <c r="AV41" s="19" t="n">
        <v>0</v>
      </c>
      <c r="AW41" s="19" t="n">
        <v>2</v>
      </c>
      <c r="AX41" s="19" t="n">
        <v>10</v>
      </c>
      <c r="AY41" s="19" t="n">
        <v>0</v>
      </c>
      <c r="AZ41" s="20">
        <f>SUMIFS(領用表!$L:$L,領用表!$E:$E,$B41,領用表!$B:$B,AZ$2&amp;$BI$1)</f>
        <v/>
      </c>
      <c r="BA41" s="20">
        <f>SUMIFS(領用表!$L:$L,領用表!$E:$E,$B41,領用表!$B:$B,BA$2&amp;$BI$1)</f>
        <v/>
      </c>
      <c r="BB41" s="20">
        <f>SUMIFS(領用表!$L:$L,領用表!$E:$E,$B41,領用表!$B:$B,BB$2&amp;$BI$1)</f>
        <v/>
      </c>
      <c r="BC41" s="20">
        <f>SUMIFS(領用表!$L:$L,領用表!$E:$E,$B41,領用表!$B:$B,BC$2&amp;$BI$1)</f>
        <v/>
      </c>
      <c r="BD41" s="142">
        <f>SUMIFS(領用表!$L:$L,領用表!$E:$E,$B41,領用表!$B:$B,BD$2&amp;$BI$1)</f>
        <v/>
      </c>
      <c r="BE41" s="142">
        <f>SUMIFS(領用表!$L:$L,領用表!$E:$E,$B41,領用表!$B:$B,BE$2&amp;$BI$1)</f>
        <v/>
      </c>
      <c r="BF41" s="142">
        <f>SUMIFS(領用表!$L:$L,領用表!$E:$E,$B41,領用表!$B:$B,BF$2&amp;$BI$1)</f>
        <v/>
      </c>
      <c r="BG41" s="23">
        <f>SUM(AU41,AV41,AW41,AX41,AY41,AZ41,BA41,BB41,BC41,BD41,BE41,BF41)</f>
        <v/>
      </c>
      <c r="BH41" s="23">
        <f>AVERAGE(AU41,AV41,AW41,AX41,AY41,AZ41,BA41,BB41,BC41,BD41,BE41,BF41)</f>
        <v/>
      </c>
      <c r="BI41" s="142">
        <f>SUMIFS(領用表!$L:$L,領用表!$E:$E,$B41,領用表!$B:$B,BI$2&amp;$BI$1)</f>
        <v/>
      </c>
      <c r="BJ41" s="142">
        <f>SUMIFS(領用表!$L:$L,領用表!$E:$E,$B41,領用表!$B:$B,BJ$2&amp;$BI$1)</f>
        <v/>
      </c>
      <c r="BK41" s="142">
        <f>SUMIFS(領用表!$L:$L,領用表!$E:$E,$B41,領用表!$B:$B,BK$2&amp;$BI$1)</f>
        <v/>
      </c>
      <c r="BL41" s="142">
        <f>SUMIFS(領用表!$L:$L,領用表!$E:$E,$B41,領用表!$B:$B,BL$2&amp;$BI$1)</f>
        <v/>
      </c>
      <c r="BM41" s="142">
        <f>SUMIFS(領用表!$L:$L,領用表!$E:$E,$B41,領用表!$B:$B,BM$2&amp;$BI$1)</f>
        <v/>
      </c>
      <c r="BN41" s="142" t="n"/>
      <c r="BO41" s="142">
        <f>SUMIFS(領用表!$L:$L,領用表!$E:$E,$B41,領用表!$B:$B,BO$2&amp;$BI$1)</f>
        <v/>
      </c>
      <c r="BP41" s="142">
        <f>SUMIFS(領用表!$L:$L,領用表!$E:$E,$B41,領用表!$B:$B,BP$2&amp;$BI$1)</f>
        <v/>
      </c>
      <c r="BQ41" s="142">
        <f>SUMIFS(領用表!$L:$L,領用表!$E:$E,$B41,領用表!$B:$B,BQ$2&amp;$BI$1)</f>
        <v/>
      </c>
      <c r="BR41" s="142">
        <f>SUMIFS(領用表!$L:$L,領用表!$E:$E,$B41,領用表!$B:$B,BR$2&amp;$BI$1)</f>
        <v/>
      </c>
      <c r="BS41" s="142">
        <f>SUMIFS(領用表!$L:$L,領用表!$E:$E,$B41,領用表!$B:$B,BS$2&amp;$BI$1)</f>
        <v/>
      </c>
      <c r="BT41" s="142">
        <f>SUMIFS(領用表!$L:$L,領用表!$E:$E,$B41,領用表!$B:$B,BT$2&amp;$BI$1)</f>
        <v/>
      </c>
      <c r="BU41" s="142">
        <f>SUM(BI41,BJ41,BK41,BL41,BM41,BN41)</f>
        <v/>
      </c>
      <c r="BV41" s="142">
        <f>AVERAGE(BI41,BJ41,BK41,BL41,BM41,BN41)</f>
        <v/>
      </c>
      <c r="BW41" s="142">
        <f>SUMIF(Summary!B:B,B41,Summary!EA:EA)</f>
        <v/>
      </c>
      <c r="BX41" s="108" t="n"/>
      <c r="BY41" s="65" t="n"/>
      <c r="BZ41" s="65" t="n"/>
      <c r="CA41" s="65" t="n"/>
      <c r="CB41" s="27" t="n"/>
      <c r="CC41" s="69" t="n"/>
      <c r="CD41" s="14" t="n"/>
      <c r="CE41" s="14" t="n"/>
    </row>
    <row r="42" ht="15.75" customHeight="1" s="453">
      <c r="A42" s="27" t="n"/>
      <c r="B42" s="14" t="n">
        <v>6120018</v>
      </c>
      <c r="C42" s="136" t="inlineStr">
        <is>
          <t>止血明(TRA)</t>
        </is>
      </c>
      <c r="D42" s="72" t="n"/>
      <c r="E42" s="17" t="inlineStr">
        <is>
          <t>PCS</t>
        </is>
      </c>
      <c r="F42" s="18" t="n"/>
      <c r="G42" s="18" t="n"/>
      <c r="H42" s="18" t="n"/>
      <c r="I42" s="18" t="n"/>
      <c r="J42" s="1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19" t="n"/>
      <c r="AH42" s="19" t="n"/>
      <c r="AI42" s="19" t="n"/>
      <c r="AJ42" s="19" t="n"/>
      <c r="AK42" s="19" t="n"/>
      <c r="AL42" s="19" t="n"/>
      <c r="AM42" s="19" t="n"/>
      <c r="AN42" s="19" t="n">
        <v>0</v>
      </c>
      <c r="AO42" s="19" t="n">
        <v>0</v>
      </c>
      <c r="AP42" s="19" t="n">
        <v>0</v>
      </c>
      <c r="AQ42" s="19" t="n">
        <v>0</v>
      </c>
      <c r="AR42" s="19" t="n">
        <v>0</v>
      </c>
      <c r="AS42" s="68">
        <f>SUM(AG42:AR42)</f>
        <v/>
      </c>
      <c r="AT42" s="26">
        <f>AS42/12</f>
        <v/>
      </c>
      <c r="AU42" s="19" t="n">
        <v>0</v>
      </c>
      <c r="AV42" s="19" t="n">
        <v>0</v>
      </c>
      <c r="AW42" s="19" t="n">
        <v>17</v>
      </c>
      <c r="AX42" s="19" t="n">
        <v>13</v>
      </c>
      <c r="AY42" s="19" t="n">
        <v>9</v>
      </c>
      <c r="AZ42" s="20">
        <f>SUMIFS(領用表!$L:$L,領用表!$E:$E,$B42,領用表!$B:$B,AZ$2&amp;$BI$1)</f>
        <v/>
      </c>
      <c r="BA42" s="20">
        <f>SUMIFS(領用表!$L:$L,領用表!$E:$E,$B42,領用表!$B:$B,BA$2&amp;$BI$1)</f>
        <v/>
      </c>
      <c r="BB42" s="20">
        <f>SUMIFS(領用表!$L:$L,領用表!$E:$E,$B42,領用表!$B:$B,BB$2&amp;$BI$1)</f>
        <v/>
      </c>
      <c r="BC42" s="20">
        <f>SUMIFS(領用表!$L:$L,領用表!$E:$E,$B42,領用表!$B:$B,BC$2&amp;$BI$1)</f>
        <v/>
      </c>
      <c r="BD42" s="142">
        <f>SUMIFS(領用表!$L:$L,領用表!$E:$E,$B42,領用表!$B:$B,BD$2&amp;$BI$1)</f>
        <v/>
      </c>
      <c r="BE42" s="142">
        <f>SUMIFS(領用表!$L:$L,領用表!$E:$E,$B42,領用表!$B:$B,BE$2&amp;$BI$1)</f>
        <v/>
      </c>
      <c r="BF42" s="142">
        <f>SUMIFS(領用表!$L:$L,領用表!$E:$E,$B42,領用表!$B:$B,BF$2&amp;$BI$1)</f>
        <v/>
      </c>
      <c r="BG42" s="23">
        <f>SUM(AU42,AV42,AW42,AX42,AY42,AZ42,BA42,BB42,BC42,BD42,BE42,BF42)</f>
        <v/>
      </c>
      <c r="BH42" s="23">
        <f>AVERAGE(AU42,AV42,AW42,AX42,AY42,AZ42,BA42,BB42,BC42,BD42,BE42,BF42)</f>
        <v/>
      </c>
      <c r="BI42" s="142">
        <f>SUMIFS(領用表!$L:$L,領用表!$E:$E,$B42,領用表!$B:$B,BI$2&amp;$BI$1)</f>
        <v/>
      </c>
      <c r="BJ42" s="142">
        <f>SUMIFS(領用表!$L:$L,領用表!$E:$E,$B42,領用表!$B:$B,BJ$2&amp;$BI$1)</f>
        <v/>
      </c>
      <c r="BK42" s="142">
        <f>SUMIFS(領用表!$L:$L,領用表!$E:$E,$B42,領用表!$B:$B,BK$2&amp;$BI$1)</f>
        <v/>
      </c>
      <c r="BL42" s="142">
        <f>SUMIFS(領用表!$L:$L,領用表!$E:$E,$B42,領用表!$B:$B,BL$2&amp;$BI$1)</f>
        <v/>
      </c>
      <c r="BM42" s="142">
        <f>SUMIFS(領用表!$L:$L,領用表!$E:$E,$B42,領用表!$B:$B,BM$2&amp;$BI$1)</f>
        <v/>
      </c>
      <c r="BN42" s="142" t="n"/>
      <c r="BO42" s="142">
        <f>SUMIFS(領用表!$L:$L,領用表!$E:$E,$B42,領用表!$B:$B,BO$2&amp;$BI$1)</f>
        <v/>
      </c>
      <c r="BP42" s="142">
        <f>SUMIFS(領用表!$L:$L,領用表!$E:$E,$B42,領用表!$B:$B,BP$2&amp;$BI$1)</f>
        <v/>
      </c>
      <c r="BQ42" s="142">
        <f>SUMIFS(領用表!$L:$L,領用表!$E:$E,$B42,領用表!$B:$B,BQ$2&amp;$BI$1)</f>
        <v/>
      </c>
      <c r="BR42" s="142">
        <f>SUMIFS(領用表!$L:$L,領用表!$E:$E,$B42,領用表!$B:$B,BR$2&amp;$BI$1)</f>
        <v/>
      </c>
      <c r="BS42" s="142">
        <f>SUMIFS(領用表!$L:$L,領用表!$E:$E,$B42,領用表!$B:$B,BS$2&amp;$BI$1)</f>
        <v/>
      </c>
      <c r="BT42" s="142">
        <f>SUMIFS(領用表!$L:$L,領用表!$E:$E,$B42,領用表!$B:$B,BT$2&amp;$BI$1)</f>
        <v/>
      </c>
      <c r="BU42" s="142">
        <f>SUM(BI42,BJ42,BK42,BL42,BM42,BN42)</f>
        <v/>
      </c>
      <c r="BV42" s="142">
        <f>AVERAGE(BI42,BJ42,BK42,BL42,BM42,BN42)</f>
        <v/>
      </c>
      <c r="BW42" s="142">
        <f>SUMIF(Summary!B:B,B42,Summary!EA:EA)</f>
        <v/>
      </c>
      <c r="BX42" s="109" t="n"/>
      <c r="BY42" s="65" t="n"/>
      <c r="BZ42" s="76" t="inlineStr">
        <is>
          <t>100-10/24</t>
        </is>
      </c>
      <c r="CA42" s="65" t="n"/>
      <c r="CB42" s="27" t="n"/>
      <c r="CC42" s="69" t="n"/>
      <c r="CD42" s="14" t="n"/>
      <c r="CE42" s="14" t="n"/>
    </row>
    <row r="43" ht="15.75" customHeight="1" s="453">
      <c r="A43" s="27" t="n"/>
      <c r="B43" s="14" t="n">
        <v>6120011</v>
      </c>
      <c r="C43" s="136" t="inlineStr">
        <is>
          <t>西寧特(硒)</t>
        </is>
      </c>
      <c r="D43" s="72" t="n">
        <v>10</v>
      </c>
      <c r="E43" s="17" t="inlineStr">
        <is>
          <t>PCS</t>
        </is>
      </c>
      <c r="F43" s="18" t="n">
        <v>24</v>
      </c>
      <c r="G43" s="18" t="n"/>
      <c r="H43" s="18" t="n"/>
      <c r="I43" s="18" t="n"/>
      <c r="J43" s="1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19" t="n"/>
      <c r="AH43" s="19" t="n"/>
      <c r="AI43" s="19" t="n"/>
      <c r="AJ43" s="19" t="n"/>
      <c r="AK43" s="19" t="n"/>
      <c r="AL43" s="19" t="n"/>
      <c r="AM43" s="19" t="n"/>
      <c r="AN43" s="19" t="n">
        <v>0</v>
      </c>
      <c r="AO43" s="19" t="n">
        <v>0</v>
      </c>
      <c r="AP43" s="19" t="n">
        <v>0</v>
      </c>
      <c r="AQ43" s="19" t="n">
        <v>0</v>
      </c>
      <c r="AR43" s="19" t="n">
        <v>0</v>
      </c>
      <c r="AS43" s="68">
        <f>SUM(AG43:AR43)</f>
        <v/>
      </c>
      <c r="AT43" s="26">
        <f>AS43/12</f>
        <v/>
      </c>
      <c r="AU43" s="19" t="n">
        <v>0</v>
      </c>
      <c r="AV43" s="19" t="n">
        <v>0</v>
      </c>
      <c r="AW43" s="19" t="n">
        <v>2</v>
      </c>
      <c r="AX43" s="19" t="n">
        <v>12</v>
      </c>
      <c r="AY43" s="19">
        <f>0+2</f>
        <v/>
      </c>
      <c r="AZ43" s="20">
        <f>SUMIFS(領用表!$L:$L,領用表!$E:$E,$B43,領用表!$B:$B,AZ$2&amp;$BI$1)</f>
        <v/>
      </c>
      <c r="BA43" s="20">
        <f>SUMIFS(領用表!$L:$L,領用表!$E:$E,$B43,領用表!$B:$B,BA$2&amp;$BI$1)</f>
        <v/>
      </c>
      <c r="BB43" s="20">
        <f>SUMIFS(領用表!$L:$L,領用表!$E:$E,$B43,領用表!$B:$B,BB$2&amp;$BI$1)</f>
        <v/>
      </c>
      <c r="BC43" s="20">
        <f>SUMIFS(領用表!$L:$L,領用表!$E:$E,$B43,領用表!$B:$B,BC$2&amp;$BI$1)</f>
        <v/>
      </c>
      <c r="BD43" s="142">
        <f>SUMIFS(領用表!$L:$L,領用表!$E:$E,$B43,領用表!$B:$B,BD$2&amp;$BI$1)</f>
        <v/>
      </c>
      <c r="BE43" s="142">
        <f>SUMIFS(領用表!$L:$L,領用表!$E:$E,$B43,領用表!$B:$B,BE$2&amp;$BI$1)</f>
        <v/>
      </c>
      <c r="BF43" s="142">
        <f>SUMIFS(領用表!$L:$L,領用表!$E:$E,$B43,領用表!$B:$B,BF$2&amp;$BI$1)</f>
        <v/>
      </c>
      <c r="BG43" s="23">
        <f>SUM(AU43,AV43,AW43,AX43,AY43,AZ43,BA43,BB43,BC43,BD43,BE43,BF43)</f>
        <v/>
      </c>
      <c r="BH43" s="23">
        <f>AVERAGE(AU43,AV43,AW43,AX43,AY43,AZ43,BA43,BB43,BC43,BD43,BE43,BF43)</f>
        <v/>
      </c>
      <c r="BI43" s="142">
        <f>SUMIFS(領用表!$L:$L,領用表!$E:$E,$B43,領用表!$B:$B,BI$2&amp;$BI$1)</f>
        <v/>
      </c>
      <c r="BJ43" s="142">
        <f>SUMIFS(領用表!$L:$L,領用表!$E:$E,$B43,領用表!$B:$B,BJ$2&amp;$BI$1)</f>
        <v/>
      </c>
      <c r="BK43" s="142">
        <f>SUMIFS(領用表!$L:$L,領用表!$E:$E,$B43,領用表!$B:$B,BK$2&amp;$BI$1)</f>
        <v/>
      </c>
      <c r="BL43" s="142">
        <f>SUMIFS(領用表!$L:$L,領用表!$E:$E,$B43,領用表!$B:$B,BL$2&amp;$BI$1)</f>
        <v/>
      </c>
      <c r="BM43" s="142">
        <f>SUMIFS(領用表!$L:$L,領用表!$E:$E,$B43,領用表!$B:$B,BM$2&amp;$BI$1)</f>
        <v/>
      </c>
      <c r="BN43" s="142" t="n">
        <v>1</v>
      </c>
      <c r="BO43" s="142">
        <f>SUMIFS(領用表!$L:$L,領用表!$E:$E,$B43,領用表!$B:$B,BO$2&amp;$BI$1)</f>
        <v/>
      </c>
      <c r="BP43" s="142">
        <f>SUMIFS(領用表!$L:$L,領用表!$E:$E,$B43,領用表!$B:$B,BP$2&amp;$BI$1)</f>
        <v/>
      </c>
      <c r="BQ43" s="142">
        <f>SUMIFS(領用表!$L:$L,領用表!$E:$E,$B43,領用表!$B:$B,BQ$2&amp;$BI$1)</f>
        <v/>
      </c>
      <c r="BR43" s="142">
        <f>SUMIFS(領用表!$L:$L,領用表!$E:$E,$B43,領用表!$B:$B,BR$2&amp;$BI$1)</f>
        <v/>
      </c>
      <c r="BS43" s="142">
        <f>SUMIFS(領用表!$L:$L,領用表!$E:$E,$B43,領用表!$B:$B,BS$2&amp;$BI$1)</f>
        <v/>
      </c>
      <c r="BT43" s="142">
        <f>SUMIFS(領用表!$L:$L,領用表!$E:$E,$B43,領用表!$B:$B,BT$2&amp;$BI$1)</f>
        <v/>
      </c>
      <c r="BU43" s="142">
        <f>SUM(BI43,BJ43,BK43,BL43,BM43,BN43)</f>
        <v/>
      </c>
      <c r="BV43" s="142">
        <f>AVERAGE(BI43,BJ43,BK43,BL43,BM43,BN43)</f>
        <v/>
      </c>
      <c r="BW43" s="142">
        <f>SUMIF(Summary!B:B,B43,Summary!EA:EA)</f>
        <v/>
      </c>
      <c r="BX43" s="109" t="n"/>
      <c r="BY43" s="65" t="n"/>
      <c r="BZ43" s="65" t="inlineStr">
        <is>
          <t>20-10/22</t>
        </is>
      </c>
      <c r="CA43" s="65" t="n"/>
      <c r="CB43" s="27" t="n"/>
      <c r="CC43" s="69" t="n"/>
      <c r="CD43" s="14" t="n"/>
      <c r="CE43" s="14" t="n"/>
    </row>
    <row r="44" ht="15.75" customHeight="1" s="453">
      <c r="A44" s="27" t="n"/>
      <c r="B44" s="14" t="n">
        <v>6120017</v>
      </c>
      <c r="C44" s="136" t="inlineStr">
        <is>
          <t>保肝</t>
        </is>
      </c>
      <c r="D44" s="72" t="n"/>
      <c r="E44" s="17" t="inlineStr">
        <is>
          <t>PCS</t>
        </is>
      </c>
      <c r="F44" s="18" t="n">
        <v>57</v>
      </c>
      <c r="G44" s="18" t="n"/>
      <c r="H44" s="18" t="n"/>
      <c r="I44" s="18" t="n"/>
      <c r="J44" s="1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19" t="n"/>
      <c r="AH44" s="19" t="n"/>
      <c r="AI44" s="19" t="n"/>
      <c r="AJ44" s="19" t="n"/>
      <c r="AK44" s="19" t="n"/>
      <c r="AL44" s="19" t="n"/>
      <c r="AM44" s="19" t="n"/>
      <c r="AN44" s="19" t="n">
        <v>0</v>
      </c>
      <c r="AO44" s="19" t="n">
        <v>0</v>
      </c>
      <c r="AP44" s="19" t="n">
        <v>0</v>
      </c>
      <c r="AQ44" s="19" t="n">
        <v>0</v>
      </c>
      <c r="AR44" s="19" t="n">
        <v>0</v>
      </c>
      <c r="AS44" s="68">
        <f>SUM(AG44:AR44)</f>
        <v/>
      </c>
      <c r="AT44" s="26">
        <f>AS44/12</f>
        <v/>
      </c>
      <c r="AU44" s="19" t="n">
        <v>0</v>
      </c>
      <c r="AV44" s="19" t="n">
        <v>0</v>
      </c>
      <c r="AW44" s="19" t="n">
        <v>0</v>
      </c>
      <c r="AX44" s="19" t="n">
        <v>1</v>
      </c>
      <c r="AY44" s="19">
        <f>0+3</f>
        <v/>
      </c>
      <c r="AZ44" s="20">
        <f>SUMIFS(領用表!$L:$L,領用表!$E:$E,$B44,領用表!$B:$B,AZ$2&amp;$BI$1)</f>
        <v/>
      </c>
      <c r="BA44" s="20">
        <f>SUMIFS(領用表!$L:$L,領用表!$E:$E,$B44,領用表!$B:$B,BA$2&amp;$BI$1)</f>
        <v/>
      </c>
      <c r="BB44" s="20">
        <f>SUMIFS(領用表!$L:$L,領用表!$E:$E,$B44,領用表!$B:$B,BB$2&amp;$BI$1)</f>
        <v/>
      </c>
      <c r="BC44" s="20">
        <f>SUMIFS(領用表!$L:$L,領用表!$E:$E,$B44,領用表!$B:$B,BC$2&amp;$BI$1)</f>
        <v/>
      </c>
      <c r="BD44" s="142">
        <f>SUMIFS(領用表!$L:$L,領用表!$E:$E,$B44,領用表!$B:$B,BD$2&amp;$BI$1)</f>
        <v/>
      </c>
      <c r="BE44" s="142">
        <f>SUMIFS(領用表!$L:$L,領用表!$E:$E,$B44,領用表!$B:$B,BE$2&amp;$BI$1)</f>
        <v/>
      </c>
      <c r="BF44" s="142">
        <f>SUMIFS(領用表!$L:$L,領用表!$E:$E,$B44,領用表!$B:$B,BF$2&amp;$BI$1)</f>
        <v/>
      </c>
      <c r="BG44" s="23">
        <f>SUM(AU44,AV44,AW44,AX44,AY44,AZ44,BA44,BB44,BC44,BD44,BE44,BF44)</f>
        <v/>
      </c>
      <c r="BH44" s="23">
        <f>AVERAGE(AU44,AV44,AW44,AX44,AY44,AZ44,BA44,BB44,BC44,BD44,BE44,BF44)</f>
        <v/>
      </c>
      <c r="BI44" s="142">
        <f>SUMIFS(領用表!$L:$L,領用表!$E:$E,$B44,領用表!$B:$B,BI$2&amp;$BI$1)</f>
        <v/>
      </c>
      <c r="BJ44" s="142">
        <f>SUMIFS(領用表!$L:$L,領用表!$E:$E,$B44,領用表!$B:$B,BJ$2&amp;$BI$1)</f>
        <v/>
      </c>
      <c r="BK44" s="142">
        <f>SUMIFS(領用表!$L:$L,領用表!$E:$E,$B44,領用表!$B:$B,BK$2&amp;$BI$1)</f>
        <v/>
      </c>
      <c r="BL44" s="142">
        <f>SUMIFS(領用表!$L:$L,領用表!$E:$E,$B44,領用表!$B:$B,BL$2&amp;$BI$1)</f>
        <v/>
      </c>
      <c r="BM44" s="142">
        <f>SUMIFS(領用表!$L:$L,領用表!$E:$E,$B44,領用表!$B:$B,BM$2&amp;$BI$1)</f>
        <v/>
      </c>
      <c r="BN44" s="142" t="n">
        <v>1</v>
      </c>
      <c r="BO44" s="142">
        <f>SUMIFS(領用表!$L:$L,領用表!$E:$E,$B44,領用表!$B:$B,BO$2&amp;$BI$1)</f>
        <v/>
      </c>
      <c r="BP44" s="142">
        <f>SUMIFS(領用表!$L:$L,領用表!$E:$E,$B44,領用表!$B:$B,BP$2&amp;$BI$1)</f>
        <v/>
      </c>
      <c r="BQ44" s="142">
        <f>SUMIFS(領用表!$L:$L,領用表!$E:$E,$B44,領用表!$B:$B,BQ$2&amp;$BI$1)</f>
        <v/>
      </c>
      <c r="BR44" s="142">
        <f>SUMIFS(領用表!$L:$L,領用表!$E:$E,$B44,領用表!$B:$B,BR$2&amp;$BI$1)</f>
        <v/>
      </c>
      <c r="BS44" s="142">
        <f>SUMIFS(領用表!$L:$L,領用表!$E:$E,$B44,領用表!$B:$B,BS$2&amp;$BI$1)</f>
        <v/>
      </c>
      <c r="BT44" s="142">
        <f>SUMIFS(領用表!$L:$L,領用表!$E:$E,$B44,領用表!$B:$B,BT$2&amp;$BI$1)</f>
        <v/>
      </c>
      <c r="BU44" s="142">
        <f>SUM(BI44,BJ44,BK44,BL44,BM44,BN44)</f>
        <v/>
      </c>
      <c r="BV44" s="142">
        <f>AVERAGE(BI44,BJ44,BK44,BL44,BM44,BN44)</f>
        <v/>
      </c>
      <c r="BW44" s="142">
        <f>SUMIF(Summary!B:B,B44,Summary!EA:EA)</f>
        <v/>
      </c>
      <c r="BX44" s="109" t="n"/>
      <c r="BY44" s="65" t="n"/>
      <c r="BZ44" s="65" t="n"/>
      <c r="CA44" s="65" t="n"/>
      <c r="CB44" s="27" t="n"/>
      <c r="CC44" s="69" t="n"/>
      <c r="CD44" s="14" t="n"/>
      <c r="CE44" s="14" t="n"/>
    </row>
    <row r="45" ht="15.75" customHeight="1" s="453">
      <c r="A45" s="27" t="n"/>
      <c r="B45" s="14" t="n">
        <v>6120007</v>
      </c>
      <c r="C45" s="136" t="inlineStr">
        <is>
          <t>硫酸鋅</t>
        </is>
      </c>
      <c r="D45" s="72" t="n">
        <v>100</v>
      </c>
      <c r="E45" s="17" t="inlineStr">
        <is>
          <t>PCS</t>
        </is>
      </c>
      <c r="F45" s="18" t="n">
        <v>59</v>
      </c>
      <c r="G45" s="18" t="n"/>
      <c r="H45" s="18" t="n"/>
      <c r="I45" s="18" t="n"/>
      <c r="J45" s="1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19" t="n"/>
      <c r="AH45" s="19" t="n"/>
      <c r="AI45" s="19" t="n"/>
      <c r="AJ45" s="19" t="n"/>
      <c r="AK45" s="19" t="n"/>
      <c r="AL45" s="19" t="n"/>
      <c r="AM45" s="19" t="n"/>
      <c r="AN45" s="19" t="n">
        <v>0</v>
      </c>
      <c r="AO45" s="19" t="n">
        <v>0</v>
      </c>
      <c r="AP45" s="19" t="n">
        <v>0</v>
      </c>
      <c r="AQ45" s="19" t="n">
        <v>0</v>
      </c>
      <c r="AR45" s="19" t="n">
        <v>0</v>
      </c>
      <c r="AS45" s="68">
        <f>SUM(AG45:AR45)</f>
        <v/>
      </c>
      <c r="AT45" s="26">
        <f>AS45/12</f>
        <v/>
      </c>
      <c r="AU45" s="19" t="n">
        <v>0</v>
      </c>
      <c r="AV45" s="19" t="n">
        <v>0</v>
      </c>
      <c r="AW45" s="19" t="n">
        <v>1</v>
      </c>
      <c r="AX45" s="19" t="n">
        <v>13</v>
      </c>
      <c r="AY45" s="19" t="n">
        <v>2</v>
      </c>
      <c r="AZ45" s="20">
        <f>SUMIFS(領用表!$L:$L,領用表!$E:$E,$B45,領用表!$B:$B,AZ$2&amp;$BI$1)</f>
        <v/>
      </c>
      <c r="BA45" s="20">
        <f>SUMIFS(領用表!$L:$L,領用表!$E:$E,$B45,領用表!$B:$B,BA$2&amp;$BI$1)</f>
        <v/>
      </c>
      <c r="BB45" s="20">
        <f>SUMIFS(領用表!$L:$L,領用表!$E:$E,$B45,領用表!$B:$B,BB$2&amp;$BI$1)</f>
        <v/>
      </c>
      <c r="BC45" s="20">
        <f>SUMIFS(領用表!$L:$L,領用表!$E:$E,$B45,領用表!$B:$B,BC$2&amp;$BI$1)</f>
        <v/>
      </c>
      <c r="BD45" s="142">
        <f>SUMIFS(領用表!$L:$L,領用表!$E:$E,$B45,領用表!$B:$B,BD$2&amp;$BI$1)</f>
        <v/>
      </c>
      <c r="BE45" s="142">
        <f>SUMIFS(領用表!$L:$L,領用表!$E:$E,$B45,領用表!$B:$B,BE$2&amp;$BI$1)</f>
        <v/>
      </c>
      <c r="BF45" s="142">
        <f>SUMIFS(領用表!$L:$L,領用表!$E:$E,$B45,領用表!$B:$B,BF$2&amp;$BI$1)</f>
        <v/>
      </c>
      <c r="BG45" s="23">
        <f>SUM(AU45,AV45,AW45,AX45,AY45,AZ45,BA45,BB45,BC45,BD45,BE45,BF45)</f>
        <v/>
      </c>
      <c r="BH45" s="23">
        <f>AVERAGE(AU45,AV45,AW45,AX45,AY45,AZ45,BA45,BB45,BC45,BD45,BE45,BF45)</f>
        <v/>
      </c>
      <c r="BI45" s="142">
        <f>SUMIFS(領用表!$L:$L,領用表!$E:$E,$B45,領用表!$B:$B,BI$2&amp;$BI$1)</f>
        <v/>
      </c>
      <c r="BJ45" s="142">
        <f>SUMIFS(領用表!$L:$L,領用表!$E:$E,$B45,領用表!$B:$B,BJ$2&amp;$BI$1)</f>
        <v/>
      </c>
      <c r="BK45" s="142">
        <f>SUMIFS(領用表!$L:$L,領用表!$E:$E,$B45,領用表!$B:$B,BK$2&amp;$BI$1)</f>
        <v/>
      </c>
      <c r="BL45" s="142">
        <f>SUMIFS(領用表!$L:$L,領用表!$E:$E,$B45,領用表!$B:$B,BL$2&amp;$BI$1)</f>
        <v/>
      </c>
      <c r="BM45" s="142">
        <f>SUMIFS(領用表!$L:$L,領用表!$E:$E,$B45,領用表!$B:$B,BM$2&amp;$BI$1)</f>
        <v/>
      </c>
      <c r="BN45" s="142" t="n">
        <v>5</v>
      </c>
      <c r="BO45" s="142">
        <f>SUMIFS(領用表!$L:$L,領用表!$E:$E,$B45,領用表!$B:$B,BO$2&amp;$BI$1)</f>
        <v/>
      </c>
      <c r="BP45" s="142">
        <f>SUMIFS(領用表!$L:$L,領用表!$E:$E,$B45,領用表!$B:$B,BP$2&amp;$BI$1)</f>
        <v/>
      </c>
      <c r="BQ45" s="142">
        <f>SUMIFS(領用表!$L:$L,領用表!$E:$E,$B45,領用表!$B:$B,BQ$2&amp;$BI$1)</f>
        <v/>
      </c>
      <c r="BR45" s="142">
        <f>SUMIFS(領用表!$L:$L,領用表!$E:$E,$B45,領用表!$B:$B,BR$2&amp;$BI$1)</f>
        <v/>
      </c>
      <c r="BS45" s="142">
        <f>SUMIFS(領用表!$L:$L,領用表!$E:$E,$B45,領用表!$B:$B,BS$2&amp;$BI$1)</f>
        <v/>
      </c>
      <c r="BT45" s="142">
        <f>SUMIFS(領用表!$L:$L,領用表!$E:$E,$B45,領用表!$B:$B,BT$2&amp;$BI$1)</f>
        <v/>
      </c>
      <c r="BU45" s="142">
        <f>SUM(BI45,BJ45,BK45,BL45,BM45,BN45)</f>
        <v/>
      </c>
      <c r="BV45" s="142">
        <f>AVERAGE(BI45,BJ45,BK45,BL45,BM45,BN45)</f>
        <v/>
      </c>
      <c r="BW45" s="142">
        <f>SUMIF(Summary!B:B,B45,Summary!EA:EA)</f>
        <v/>
      </c>
      <c r="BX45" s="109" t="n"/>
      <c r="BY45" s="65" t="n"/>
      <c r="BZ45" s="65" t="n"/>
      <c r="CA45" s="65" t="n"/>
      <c r="CB45" s="27" t="n"/>
      <c r="CC45" s="69" t="n"/>
      <c r="CD45" s="14" t="n"/>
      <c r="CE45" s="14" t="n"/>
    </row>
    <row r="46" ht="15.75" customHeight="1" s="453">
      <c r="A46" s="27" t="n"/>
      <c r="B46" s="14" t="n">
        <v>6120008</v>
      </c>
      <c r="C46" s="136" t="inlineStr">
        <is>
          <t>硫酸鎂</t>
        </is>
      </c>
      <c r="D46" s="72" t="n">
        <v>100</v>
      </c>
      <c r="E46" s="17" t="inlineStr">
        <is>
          <t>PCS</t>
        </is>
      </c>
      <c r="F46" s="18" t="n">
        <v>4</v>
      </c>
      <c r="G46" s="18" t="n"/>
      <c r="H46" s="18" t="n"/>
      <c r="I46" s="18" t="n"/>
      <c r="J46" s="1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19" t="n"/>
      <c r="AH46" s="19" t="n"/>
      <c r="AI46" s="19" t="n"/>
      <c r="AJ46" s="19" t="n"/>
      <c r="AK46" s="19" t="n"/>
      <c r="AL46" s="19" t="n"/>
      <c r="AM46" s="19" t="n"/>
      <c r="AN46" s="19" t="n">
        <v>0</v>
      </c>
      <c r="AO46" s="19" t="n">
        <v>0</v>
      </c>
      <c r="AP46" s="19" t="n">
        <v>0</v>
      </c>
      <c r="AQ46" s="19" t="n">
        <v>0</v>
      </c>
      <c r="AR46" s="19" t="n">
        <v>0</v>
      </c>
      <c r="AS46" s="68">
        <f>SUM(AG46:AR46)</f>
        <v/>
      </c>
      <c r="AT46" s="26">
        <f>AS46/12</f>
        <v/>
      </c>
      <c r="AU46" s="19" t="n">
        <v>0</v>
      </c>
      <c r="AV46" s="19" t="n">
        <v>0</v>
      </c>
      <c r="AW46" s="19" t="n">
        <v>1</v>
      </c>
      <c r="AX46" s="19" t="n">
        <v>3</v>
      </c>
      <c r="AY46" s="19" t="n">
        <v>0</v>
      </c>
      <c r="AZ46" s="20">
        <f>SUMIFS(領用表!$L:$L,領用表!$E:$E,$B46,領用表!$B:$B,AZ$2&amp;$BI$1)</f>
        <v/>
      </c>
      <c r="BA46" s="20">
        <f>SUMIFS(領用表!$L:$L,領用表!$E:$E,$B46,領用表!$B:$B,BA$2&amp;$BI$1)</f>
        <v/>
      </c>
      <c r="BB46" s="20">
        <f>SUMIFS(領用表!$L:$L,領用表!$E:$E,$B46,領用表!$B:$B,BB$2&amp;$BI$1)</f>
        <v/>
      </c>
      <c r="BC46" s="20">
        <f>SUMIFS(領用表!$L:$L,領用表!$E:$E,$B46,領用表!$B:$B,BC$2&amp;$BI$1)</f>
        <v/>
      </c>
      <c r="BD46" s="142">
        <f>SUMIFS(領用表!$L:$L,領用表!$E:$E,$B46,領用表!$B:$B,BD$2&amp;$BI$1)</f>
        <v/>
      </c>
      <c r="BE46" s="142">
        <f>SUMIFS(領用表!$L:$L,領用表!$E:$E,$B46,領用表!$B:$B,BE$2&amp;$BI$1)</f>
        <v/>
      </c>
      <c r="BF46" s="142">
        <f>SUMIFS(領用表!$L:$L,領用表!$E:$E,$B46,領用表!$B:$B,BF$2&amp;$BI$1)</f>
        <v/>
      </c>
      <c r="BG46" s="23">
        <f>SUM(AU46,AV46,AW46,AX46,AY46,AZ46,BA46,BB46,BC46,BD46,BE46,BF46)</f>
        <v/>
      </c>
      <c r="BH46" s="23">
        <f>AVERAGE(AU46,AV46,AW46,AX46,AY46,AZ46,BA46,BB46,BC46,BD46,BE46,BF46)</f>
        <v/>
      </c>
      <c r="BI46" s="142">
        <f>SUMIFS(領用表!$L:$L,領用表!$E:$E,$B46,領用表!$B:$B,BI$2&amp;$BI$1)</f>
        <v/>
      </c>
      <c r="BJ46" s="142">
        <f>SUMIFS(領用表!$L:$L,領用表!$E:$E,$B46,領用表!$B:$B,BJ$2&amp;$BI$1)</f>
        <v/>
      </c>
      <c r="BK46" s="142">
        <f>SUMIFS(領用表!$L:$L,領用表!$E:$E,$B46,領用表!$B:$B,BK$2&amp;$BI$1)</f>
        <v/>
      </c>
      <c r="BL46" s="142">
        <f>SUMIFS(領用表!$L:$L,領用表!$E:$E,$B46,領用表!$B:$B,BL$2&amp;$BI$1)</f>
        <v/>
      </c>
      <c r="BM46" s="142">
        <f>SUMIFS(領用表!$L:$L,領用表!$E:$E,$B46,領用表!$B:$B,BM$2&amp;$BI$1)</f>
        <v/>
      </c>
      <c r="BN46" s="142" t="n"/>
      <c r="BO46" s="142">
        <f>SUMIFS(領用表!$L:$L,領用表!$E:$E,$B46,領用表!$B:$B,BO$2&amp;$BI$1)</f>
        <v/>
      </c>
      <c r="BP46" s="142">
        <f>SUMIFS(領用表!$L:$L,領用表!$E:$E,$B46,領用表!$B:$B,BP$2&amp;$BI$1)</f>
        <v/>
      </c>
      <c r="BQ46" s="142">
        <f>SUMIFS(領用表!$L:$L,領用表!$E:$E,$B46,領用表!$B:$B,BQ$2&amp;$BI$1)</f>
        <v/>
      </c>
      <c r="BR46" s="142">
        <f>SUMIFS(領用表!$L:$L,領用表!$E:$E,$B46,領用表!$B:$B,BR$2&amp;$BI$1)</f>
        <v/>
      </c>
      <c r="BS46" s="142">
        <f>SUMIFS(領用表!$L:$L,領用表!$E:$E,$B46,領用表!$B:$B,BS$2&amp;$BI$1)</f>
        <v/>
      </c>
      <c r="BT46" s="142">
        <f>SUMIFS(領用表!$L:$L,領用表!$E:$E,$B46,領用表!$B:$B,BT$2&amp;$BI$1)</f>
        <v/>
      </c>
      <c r="BU46" s="142">
        <f>SUM(BI46,BJ46,BK46,BL46,BM46,BN46)</f>
        <v/>
      </c>
      <c r="BV46" s="142">
        <f>AVERAGE(BI46,BJ46,BK46,BL46,BM46,BN46)</f>
        <v/>
      </c>
      <c r="BW46" s="142">
        <f>SUMIF(Summary!B:B,B46,Summary!EA:EA)</f>
        <v/>
      </c>
      <c r="BX46" s="109" t="n"/>
      <c r="BY46" s="65" t="n"/>
      <c r="BZ46" s="65" t="n"/>
      <c r="CA46" s="65" t="n"/>
      <c r="CB46" s="27" t="n"/>
      <c r="CC46" s="69" t="n"/>
      <c r="CD46" s="14" t="n"/>
      <c r="CE46" s="14" t="n"/>
    </row>
    <row r="47" ht="15.75" customHeight="1" s="453">
      <c r="A47" s="27" t="n"/>
      <c r="B47" s="14" t="n">
        <v>6120020</v>
      </c>
      <c r="C47" s="135" t="inlineStr">
        <is>
          <t>抗壞血酸 2ml(維他命C)</t>
        </is>
      </c>
      <c r="D47" s="77" t="n">
        <v>100</v>
      </c>
      <c r="E47" s="17" t="inlineStr">
        <is>
          <t>PCS</t>
        </is>
      </c>
      <c r="F47" s="18" t="n"/>
      <c r="G47" s="18" t="n"/>
      <c r="H47" s="18" t="n"/>
      <c r="I47" s="18" t="n"/>
      <c r="J47" s="1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68">
        <f>SUM(AG47:AR47)</f>
        <v/>
      </c>
      <c r="AT47" s="26">
        <f>AS47/12</f>
        <v/>
      </c>
      <c r="AU47" s="19" t="n">
        <v>0</v>
      </c>
      <c r="AV47" s="19" t="n">
        <v>0</v>
      </c>
      <c r="AW47" s="19" t="n">
        <v>81</v>
      </c>
      <c r="AX47" s="19" t="n">
        <v>17</v>
      </c>
      <c r="AY47" s="19" t="n">
        <v>11</v>
      </c>
      <c r="AZ47" s="20">
        <f>SUMIFS(領用表!$L:$L,領用表!$E:$E,$B47,領用表!$B:$B,AZ$2&amp;$BI$1)</f>
        <v/>
      </c>
      <c r="BA47" s="20">
        <f>SUMIFS(領用表!$L:$L,領用表!$E:$E,$B47,領用表!$B:$B,BA$2&amp;$BI$1)</f>
        <v/>
      </c>
      <c r="BB47" s="20">
        <f>SUMIFS(領用表!$L:$L,領用表!$E:$E,$B47,領用表!$B:$B,BB$2&amp;$BI$1)</f>
        <v/>
      </c>
      <c r="BC47" s="20">
        <f>SUMIFS(領用表!$L:$L,領用表!$E:$E,$B47,領用表!$B:$B,BC$2&amp;$BI$1)</f>
        <v/>
      </c>
      <c r="BD47" s="142">
        <f>SUMIFS(領用表!$L:$L,領用表!$E:$E,$B47,領用表!$B:$B,BD$2&amp;$BI$1)</f>
        <v/>
      </c>
      <c r="BE47" s="142">
        <f>SUMIFS(領用表!$L:$L,領用表!$E:$E,$B47,領用表!$B:$B,BE$2&amp;$BI$1)</f>
        <v/>
      </c>
      <c r="BF47" s="142">
        <f>SUMIFS(領用表!$L:$L,領用表!$E:$E,$B47,領用表!$B:$B,BF$2&amp;$BI$1)</f>
        <v/>
      </c>
      <c r="BG47" s="23">
        <f>SUM(AU47,AV47,AW47,AX47,AY47,AZ47,BA47,BB47,BC47,BD47,BE47,BF47)</f>
        <v/>
      </c>
      <c r="BH47" s="23">
        <f>AVERAGE(AU47,AV47,AW47,AX47,AY47,AZ47,BA47,BB47,BC47,BD47,BE47,BF47)</f>
        <v/>
      </c>
      <c r="BI47" s="142">
        <f>SUMIFS(領用表!$L:$L,領用表!$E:$E,$B47,領用表!$B:$B,BI$2&amp;$BI$1)</f>
        <v/>
      </c>
      <c r="BJ47" s="142">
        <f>SUMIFS(領用表!$L:$L,領用表!$E:$E,$B47,領用表!$B:$B,BJ$2&amp;$BI$1)</f>
        <v/>
      </c>
      <c r="BK47" s="142">
        <f>SUMIFS(領用表!$L:$L,領用表!$E:$E,$B47,領用表!$B:$B,BK$2&amp;$BI$1)</f>
        <v/>
      </c>
      <c r="BL47" s="142">
        <f>SUMIFS(領用表!$L:$L,領用表!$E:$E,$B47,領用表!$B:$B,BL$2&amp;$BI$1)</f>
        <v/>
      </c>
      <c r="BM47" s="142">
        <f>SUMIFS(領用表!$L:$L,領用表!$E:$E,$B47,領用表!$B:$B,BM$2&amp;$BI$1)</f>
        <v/>
      </c>
      <c r="BN47" s="142" t="n"/>
      <c r="BO47" s="142">
        <f>SUMIFS(領用表!$L:$L,領用表!$E:$E,$B47,領用表!$B:$B,BO$2&amp;$BI$1)</f>
        <v/>
      </c>
      <c r="BP47" s="142">
        <f>SUMIFS(領用表!$L:$L,領用表!$E:$E,$B47,領用表!$B:$B,BP$2&amp;$BI$1)</f>
        <v/>
      </c>
      <c r="BQ47" s="142">
        <f>SUMIFS(領用表!$L:$L,領用表!$E:$E,$B47,領用表!$B:$B,BQ$2&amp;$BI$1)</f>
        <v/>
      </c>
      <c r="BR47" s="142">
        <f>SUMIFS(領用表!$L:$L,領用表!$E:$E,$B47,領用表!$B:$B,BR$2&amp;$BI$1)</f>
        <v/>
      </c>
      <c r="BS47" s="142">
        <f>SUMIFS(領用表!$L:$L,領用表!$E:$E,$B47,領用表!$B:$B,BS$2&amp;$BI$1)</f>
        <v/>
      </c>
      <c r="BT47" s="142">
        <f>SUMIFS(領用表!$L:$L,領用表!$E:$E,$B47,領用表!$B:$B,BT$2&amp;$BI$1)</f>
        <v/>
      </c>
      <c r="BU47" s="142">
        <f>SUM(BI47,BJ47,BK47,BL47,BM47,BN47)</f>
        <v/>
      </c>
      <c r="BV47" s="142">
        <f>AVERAGE(BI47,BJ47,BK47,BL47,BM47,BN47)</f>
        <v/>
      </c>
      <c r="BW47" s="142">
        <f>SUMIF(Summary!B:B,B47,Summary!EA:EA)</f>
        <v/>
      </c>
      <c r="BX47" s="108" t="n"/>
      <c r="BY47" s="65" t="n"/>
      <c r="BZ47" s="76" t="inlineStr">
        <is>
          <t>100-10/22</t>
        </is>
      </c>
      <c r="CA47" s="65" t="inlineStr">
        <is>
          <t>200-10/22</t>
        </is>
      </c>
      <c r="CB47" s="27" t="n"/>
      <c r="CC47" s="27" t="n"/>
      <c r="CD47" s="14" t="n"/>
      <c r="CE47" s="29" t="n"/>
    </row>
    <row r="48" ht="15.75" customHeight="1" s="453">
      <c r="A48" s="27" t="n"/>
      <c r="B48" s="14" t="e">
        <v>#N/A</v>
      </c>
      <c r="C48" s="136" t="inlineStr">
        <is>
          <t>金恩特</t>
        </is>
      </c>
      <c r="D48" s="77" t="n"/>
      <c r="E48" s="17" t="inlineStr">
        <is>
          <t>PCS</t>
        </is>
      </c>
      <c r="F48" s="18" t="n"/>
      <c r="G48" s="18" t="n"/>
      <c r="H48" s="18" t="n"/>
      <c r="I48" s="18" t="n"/>
      <c r="J48" s="1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68">
        <f>SUM(AG48:AR48)</f>
        <v/>
      </c>
      <c r="AT48" s="26">
        <f>AS48/12</f>
        <v/>
      </c>
      <c r="AU48" s="19" t="n">
        <v>0</v>
      </c>
      <c r="AV48" s="19" t="n">
        <v>0</v>
      </c>
      <c r="AW48" s="19" t="n">
        <v>1</v>
      </c>
      <c r="AX48" s="19" t="n">
        <v>0</v>
      </c>
      <c r="AY48" s="19" t="n">
        <v>0</v>
      </c>
      <c r="AZ48" s="20">
        <f>SUMIFS(領用表!$L:$L,領用表!$E:$E,$B48,領用表!$B:$B,AZ$2&amp;$BI$1)</f>
        <v/>
      </c>
      <c r="BA48" s="20">
        <f>SUMIFS(領用表!$L:$L,領用表!$E:$E,$B48,領用表!$B:$B,BA$2&amp;$BI$1)</f>
        <v/>
      </c>
      <c r="BB48" s="20">
        <f>SUMIFS(領用表!$L:$L,領用表!$E:$E,$B48,領用表!$B:$B,BB$2&amp;$BI$1)</f>
        <v/>
      </c>
      <c r="BC48" s="20">
        <f>SUMIFS(領用表!$L:$L,領用表!$E:$E,$B48,領用表!$B:$B,BC$2&amp;$BI$1)</f>
        <v/>
      </c>
      <c r="BD48" s="142">
        <f>SUMIFS(領用表!$L:$L,領用表!$E:$E,$B48,領用表!$B:$B,BD$2&amp;$BI$1)</f>
        <v/>
      </c>
      <c r="BE48" s="142">
        <f>SUMIFS(領用表!$L:$L,領用表!$E:$E,$B48,領用表!$B:$B,BE$2&amp;$BI$1)</f>
        <v/>
      </c>
      <c r="BF48" s="142">
        <f>SUMIFS(領用表!$L:$L,領用表!$E:$E,$B48,領用表!$B:$B,BF$2&amp;$BI$1)</f>
        <v/>
      </c>
      <c r="BG48" s="23">
        <f>SUM(AU48,AV48,AW48,AX48,AY48,AZ48,BA48,BB48,BC48,BD48,BE48,BF48)</f>
        <v/>
      </c>
      <c r="BH48" s="23">
        <f>AVERAGE(AU48,AV48,AW48,AX48,AY48,AZ48,BA48,BB48,BC48,BD48,BE48,BF48)</f>
        <v/>
      </c>
      <c r="BI48" s="142">
        <f>SUMIFS(領用表!$L:$L,領用表!$E:$E,$B48,領用表!$B:$B,BI$2&amp;$BI$1)</f>
        <v/>
      </c>
      <c r="BJ48" s="142">
        <f>SUMIFS(領用表!$L:$L,領用表!$E:$E,$B48,領用表!$B:$B,BJ$2&amp;$BI$1)</f>
        <v/>
      </c>
      <c r="BK48" s="142">
        <f>SUMIFS(領用表!$L:$L,領用表!$E:$E,$B48,領用表!$B:$B,BK$2&amp;$BI$1)</f>
        <v/>
      </c>
      <c r="BL48" s="142">
        <f>SUMIFS(領用表!$L:$L,領用表!$E:$E,$B48,領用表!$B:$B,BL$2&amp;$BI$1)</f>
        <v/>
      </c>
      <c r="BM48" s="142">
        <f>SUMIFS(領用表!$L:$L,領用表!$E:$E,$B48,領用表!$B:$B,BM$2&amp;$BI$1)</f>
        <v/>
      </c>
      <c r="BN48" s="142">
        <f>SUMIFS(領用表!$L:$L,領用表!$E:$E,$B48,領用表!$B:$B,BN$2&amp;$BI$1)</f>
        <v/>
      </c>
      <c r="BO48" s="142">
        <f>SUMIFS(領用表!$L:$L,領用表!$E:$E,$B48,領用表!$B:$B,BO$2&amp;$BI$1)</f>
        <v/>
      </c>
      <c r="BP48" s="142">
        <f>SUMIFS(領用表!$L:$L,領用表!$E:$E,$B48,領用表!$B:$B,BP$2&amp;$BI$1)</f>
        <v/>
      </c>
      <c r="BQ48" s="142">
        <f>SUMIFS(領用表!$L:$L,領用表!$E:$E,$B48,領用表!$B:$B,BQ$2&amp;$BI$1)</f>
        <v/>
      </c>
      <c r="BR48" s="142">
        <f>SUMIFS(領用表!$L:$L,領用表!$E:$E,$B48,領用表!$B:$B,BR$2&amp;$BI$1)</f>
        <v/>
      </c>
      <c r="BS48" s="142">
        <f>SUMIFS(領用表!$L:$L,領用表!$E:$E,$B48,領用表!$B:$B,BS$2&amp;$BI$1)</f>
        <v/>
      </c>
      <c r="BT48" s="142">
        <f>SUMIFS(領用表!$L:$L,領用表!$E:$E,$B48,領用表!$B:$B,BT$2&amp;$BI$1)</f>
        <v/>
      </c>
      <c r="BU48" s="142">
        <f>SUM(BI48,BJ48,BK48,BL48,BM48,BN48)</f>
        <v/>
      </c>
      <c r="BV48" s="142">
        <f>AVERAGE(BI48,BJ48,BK48,BL48,BM48,BN48)</f>
        <v/>
      </c>
      <c r="BW48" s="142">
        <f>SUMIF(Summary!B:B,B48,Summary!EA:EA)</f>
        <v/>
      </c>
      <c r="BX48" s="108" t="n"/>
      <c r="BY48" s="65" t="n"/>
      <c r="BZ48" s="65" t="n"/>
      <c r="CA48" s="65" t="n"/>
      <c r="CB48" s="27" t="n"/>
      <c r="CC48" s="27" t="n"/>
      <c r="CD48" s="14" t="n"/>
      <c r="CE48" s="29" t="n"/>
    </row>
    <row r="49" ht="15.75" customHeight="1" s="453">
      <c r="A49" s="27" t="n"/>
      <c r="B49" s="14" t="n">
        <v>6120023</v>
      </c>
      <c r="C49" s="136" t="inlineStr">
        <is>
          <t>利卡因注射液20毫克/毫升</t>
        </is>
      </c>
      <c r="D49" s="77" t="n"/>
      <c r="E49" s="17" t="inlineStr">
        <is>
          <t>PCS</t>
        </is>
      </c>
      <c r="F49" s="18" t="n"/>
      <c r="G49" s="1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68">
        <f>SUM(AG49:AR49)</f>
        <v/>
      </c>
      <c r="AT49" s="26">
        <f>AS49/12</f>
        <v/>
      </c>
      <c r="AU49" s="19" t="n">
        <v>0</v>
      </c>
      <c r="AV49" s="19" t="n">
        <v>0</v>
      </c>
      <c r="AW49" s="19" t="n">
        <v>2</v>
      </c>
      <c r="AX49" s="19" t="n">
        <v>3</v>
      </c>
      <c r="AY49" s="19" t="n">
        <v>6</v>
      </c>
      <c r="AZ49" s="20">
        <f>SUMIFS(領用表!$L:$L,領用表!$E:$E,$B49,領用表!$B:$B,AZ$2&amp;$BI$1)</f>
        <v/>
      </c>
      <c r="BA49" s="20">
        <f>SUMIFS(領用表!$L:$L,領用表!$E:$E,$B49,領用表!$B:$B,BA$2&amp;$BI$1)</f>
        <v/>
      </c>
      <c r="BB49" s="20">
        <f>SUMIFS(領用表!$L:$L,領用表!$E:$E,$B49,領用表!$B:$B,BB$2&amp;$BI$1)</f>
        <v/>
      </c>
      <c r="BC49" s="20">
        <f>SUMIFS(領用表!$L:$L,領用表!$E:$E,$B49,領用表!$B:$B,BC$2&amp;$BI$1)</f>
        <v/>
      </c>
      <c r="BD49" s="142">
        <f>SUMIFS(領用表!$L:$L,領用表!$E:$E,$B49,領用表!$B:$B,BD$2&amp;$BI$1)</f>
        <v/>
      </c>
      <c r="BE49" s="142">
        <f>SUMIFS(領用表!$L:$L,領用表!$E:$E,$B49,領用表!$B:$B,BE$2&amp;$BI$1)</f>
        <v/>
      </c>
      <c r="BF49" s="142">
        <f>SUMIFS(領用表!$L:$L,領用表!$E:$E,$B49,領用表!$B:$B,BF$2&amp;$BI$1)</f>
        <v/>
      </c>
      <c r="BG49" s="23">
        <f>SUM(AU49,AV49,AW49,AX49,AY49,AZ49,BA49,BB49,BC49,BD49,BE49,BF49)</f>
        <v/>
      </c>
      <c r="BH49" s="23">
        <f>AVERAGE(AU49,AV49,AW49,AX49,AY49,AZ49,BA49,BB49,BC49,BD49,BE49,BF49)</f>
        <v/>
      </c>
      <c r="BI49" s="142">
        <f>SUMIFS(領用表!$L:$L,領用表!$E:$E,$B49,領用表!$B:$B,BI$2&amp;$BI$1)</f>
        <v/>
      </c>
      <c r="BJ49" s="142">
        <f>SUMIFS(領用表!$L:$L,領用表!$E:$E,$B49,領用表!$B:$B,BJ$2&amp;$BI$1)</f>
        <v/>
      </c>
      <c r="BK49" s="142">
        <f>SUMIFS(領用表!$L:$L,領用表!$E:$E,$B49,領用表!$B:$B,BK$2&amp;$BI$1)</f>
        <v/>
      </c>
      <c r="BL49" s="142">
        <f>SUMIFS(領用表!$L:$L,領用表!$E:$E,$B49,領用表!$B:$B,BL$2&amp;$BI$1)</f>
        <v/>
      </c>
      <c r="BM49" s="142">
        <f>SUMIFS(領用表!$L:$L,領用表!$E:$E,$B49,領用表!$B:$B,BM$2&amp;$BI$1)</f>
        <v/>
      </c>
      <c r="BN49" s="142" t="n"/>
      <c r="BO49" s="142">
        <f>SUMIFS(領用表!$L:$L,領用表!$E:$E,$B49,領用表!$B:$B,BO$2&amp;$BI$1)</f>
        <v/>
      </c>
      <c r="BP49" s="142">
        <f>SUMIFS(領用表!$L:$L,領用表!$E:$E,$B49,領用表!$B:$B,BP$2&amp;$BI$1)</f>
        <v/>
      </c>
      <c r="BQ49" s="142">
        <f>SUMIFS(領用表!$L:$L,領用表!$E:$E,$B49,領用表!$B:$B,BQ$2&amp;$BI$1)</f>
        <v/>
      </c>
      <c r="BR49" s="142">
        <f>SUMIFS(領用表!$L:$L,領用表!$E:$E,$B49,領用表!$B:$B,BR$2&amp;$BI$1)</f>
        <v/>
      </c>
      <c r="BS49" s="142">
        <f>SUMIFS(領用表!$L:$L,領用表!$E:$E,$B49,領用表!$B:$B,BS$2&amp;$BI$1)</f>
        <v/>
      </c>
      <c r="BT49" s="142">
        <f>SUMIFS(領用表!$L:$L,領用表!$E:$E,$B49,領用表!$B:$B,BT$2&amp;$BI$1)</f>
        <v/>
      </c>
      <c r="BU49" s="142">
        <f>SUM(BI49,BJ49,BK49,BL49,BM49,BN49)</f>
        <v/>
      </c>
      <c r="BV49" s="142">
        <f>AVERAGE(BI49,BJ49,BK49,BL49,BM49,BN49)</f>
        <v/>
      </c>
      <c r="BW49" s="142">
        <f>SUMIF(Summary!B:B,B49,Summary!EA:EA)</f>
        <v/>
      </c>
      <c r="BX49" s="108" t="n"/>
      <c r="BY49" s="65" t="n"/>
      <c r="BZ49" s="65" t="n"/>
      <c r="CA49" s="65" t="n"/>
      <c r="CB49" s="27" t="n"/>
      <c r="CC49" s="27" t="n"/>
      <c r="CD49" s="14" t="n"/>
      <c r="CE49" s="29" t="n"/>
    </row>
    <row r="50" ht="15.75" customHeight="1" s="453">
      <c r="A50" s="27" t="n"/>
      <c r="B50" s="14" t="n">
        <v>6120024</v>
      </c>
      <c r="C50" s="136" t="inlineStr">
        <is>
          <t>利都卡因 注射液2% 20ml</t>
        </is>
      </c>
      <c r="D50" s="77" t="n"/>
      <c r="E50" s="17" t="inlineStr">
        <is>
          <t>PCS</t>
        </is>
      </c>
      <c r="F50" s="18" t="n"/>
      <c r="G50" s="1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68">
        <f>SUM(AG50:AR50)</f>
        <v/>
      </c>
      <c r="AT50" s="26">
        <f>AS50/12</f>
        <v/>
      </c>
      <c r="AU50" s="19" t="n">
        <v>0</v>
      </c>
      <c r="AV50" s="19" t="n">
        <v>0</v>
      </c>
      <c r="AW50" s="19" t="n">
        <v>2</v>
      </c>
      <c r="AX50" s="19" t="n">
        <v>4</v>
      </c>
      <c r="AY50" s="19" t="n">
        <v>2</v>
      </c>
      <c r="AZ50" s="20">
        <f>SUMIFS(領用表!$L:$L,領用表!$E:$E,$B50,領用表!$B:$B,AZ$2&amp;$BI$1)</f>
        <v/>
      </c>
      <c r="BA50" s="20">
        <f>SUMIFS(領用表!$L:$L,領用表!$E:$E,$B50,領用表!$B:$B,BA$2&amp;$BI$1)</f>
        <v/>
      </c>
      <c r="BB50" s="20">
        <f>SUMIFS(領用表!$L:$L,領用表!$E:$E,$B50,領用表!$B:$B,BB$2&amp;$BI$1)</f>
        <v/>
      </c>
      <c r="BC50" s="20">
        <f>SUMIFS(領用表!$L:$L,領用表!$E:$E,$B50,領用表!$B:$B,BC$2&amp;$BI$1)</f>
        <v/>
      </c>
      <c r="BD50" s="142">
        <f>SUMIFS(領用表!$L:$L,領用表!$E:$E,$B50,領用表!$B:$B,BD$2&amp;$BI$1)</f>
        <v/>
      </c>
      <c r="BE50" s="142">
        <f>SUMIFS(領用表!$L:$L,領用表!$E:$E,$B50,領用表!$B:$B,BE$2&amp;$BI$1)</f>
        <v/>
      </c>
      <c r="BF50" s="142">
        <f>SUMIFS(領用表!$L:$L,領用表!$E:$E,$B50,領用表!$B:$B,BF$2&amp;$BI$1)</f>
        <v/>
      </c>
      <c r="BG50" s="23">
        <f>SUM(AU50,AV50,AW50,AX50,AY50,AZ50,BA50,BB50,BC50,BD50,BE50,BF50)</f>
        <v/>
      </c>
      <c r="BH50" s="23">
        <f>AVERAGE(AU50,AV50,AW50,AX50,AY50,AZ50,BA50,BB50,BC50,BD50,BE50,BF50)</f>
        <v/>
      </c>
      <c r="BI50" s="142">
        <f>SUMIFS(領用表!$L:$L,領用表!$E:$E,$B50,領用表!$B:$B,BI$2&amp;$BI$1)</f>
        <v/>
      </c>
      <c r="BJ50" s="142">
        <f>SUMIFS(領用表!$L:$L,領用表!$E:$E,$B50,領用表!$B:$B,BJ$2&amp;$BI$1)</f>
        <v/>
      </c>
      <c r="BK50" s="142">
        <f>SUMIFS(領用表!$L:$L,領用表!$E:$E,$B50,領用表!$B:$B,BK$2&amp;$BI$1)</f>
        <v/>
      </c>
      <c r="BL50" s="142">
        <f>SUMIFS(領用表!$L:$L,領用表!$E:$E,$B50,領用表!$B:$B,BL$2&amp;$BI$1)</f>
        <v/>
      </c>
      <c r="BM50" s="142">
        <f>SUMIFS(領用表!$L:$L,領用表!$E:$E,$B50,領用表!$B:$B,BM$2&amp;$BI$1)</f>
        <v/>
      </c>
      <c r="BN50" s="142" t="n"/>
      <c r="BO50" s="142">
        <f>SUMIFS(領用表!$L:$L,領用表!$E:$E,$B50,領用表!$B:$B,BO$2&amp;$BI$1)</f>
        <v/>
      </c>
      <c r="BP50" s="142">
        <f>SUMIFS(領用表!$L:$L,領用表!$E:$E,$B50,領用表!$B:$B,BP$2&amp;$BI$1)</f>
        <v/>
      </c>
      <c r="BQ50" s="142">
        <f>SUMIFS(領用表!$L:$L,領用表!$E:$E,$B50,領用表!$B:$B,BQ$2&amp;$BI$1)</f>
        <v/>
      </c>
      <c r="BR50" s="142">
        <f>SUMIFS(領用表!$L:$L,領用表!$E:$E,$B50,領用表!$B:$B,BR$2&amp;$BI$1)</f>
        <v/>
      </c>
      <c r="BS50" s="142">
        <f>SUMIFS(領用表!$L:$L,領用表!$E:$E,$B50,領用表!$B:$B,BS$2&amp;$BI$1)</f>
        <v/>
      </c>
      <c r="BT50" s="142">
        <f>SUMIFS(領用表!$L:$L,領用表!$E:$E,$B50,領用表!$B:$B,BT$2&amp;$BI$1)</f>
        <v/>
      </c>
      <c r="BU50" s="142">
        <f>SUM(BI50,BJ50,BK50,BL50,BM50,BN50)</f>
        <v/>
      </c>
      <c r="BV50" s="142">
        <f>AVERAGE(BI50,BJ50,BK50,BL50,BM50,BN50)</f>
        <v/>
      </c>
      <c r="BW50" s="142">
        <f>SUMIF(Summary!B:B,B50,Summary!EA:EA)</f>
        <v/>
      </c>
      <c r="BX50" s="109" t="n"/>
      <c r="BY50" s="65" t="n"/>
      <c r="BZ50" s="65" t="n"/>
      <c r="CA50" s="65" t="n"/>
      <c r="CB50" s="27" t="n"/>
      <c r="CC50" s="27" t="n"/>
      <c r="CD50" s="14" t="n"/>
      <c r="CE50" s="29" t="n"/>
    </row>
    <row r="51" ht="15.75" customHeight="1" s="453">
      <c r="A51" s="27" t="n"/>
      <c r="B51" s="14" t="n">
        <v>6120025</v>
      </c>
      <c r="C51" s="136" t="inlineStr">
        <is>
          <t>利度膚寧(含epinephrine) 20ml</t>
        </is>
      </c>
      <c r="D51" s="77" t="n"/>
      <c r="E51" s="17" t="inlineStr">
        <is>
          <t>PCS</t>
        </is>
      </c>
      <c r="F51" s="18" t="n"/>
      <c r="G51" s="1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68">
        <f>SUM(AG51:AR51)</f>
        <v/>
      </c>
      <c r="AT51" s="26">
        <f>AS51/12</f>
        <v/>
      </c>
      <c r="AU51" s="19" t="n">
        <v>0</v>
      </c>
      <c r="AV51" s="19" t="n">
        <v>0</v>
      </c>
      <c r="AW51" s="19" t="n">
        <v>0</v>
      </c>
      <c r="AX51" s="19" t="n">
        <v>1</v>
      </c>
      <c r="AY51" s="19" t="n">
        <v>1</v>
      </c>
      <c r="AZ51" s="20">
        <f>SUMIFS(領用表!$L:$L,領用表!$E:$E,$B51,領用表!$B:$B,AZ$2&amp;$BI$1)</f>
        <v/>
      </c>
      <c r="BA51" s="20">
        <f>SUMIFS(領用表!$L:$L,領用表!$E:$E,$B51,領用表!$B:$B,BA$2&amp;$BI$1)</f>
        <v/>
      </c>
      <c r="BB51" s="20">
        <f>SUMIFS(領用表!$L:$L,領用表!$E:$E,$B51,領用表!$B:$B,BB$2&amp;$BI$1)</f>
        <v/>
      </c>
      <c r="BC51" s="20">
        <f>SUMIFS(領用表!$L:$L,領用表!$E:$E,$B51,領用表!$B:$B,BC$2&amp;$BI$1)</f>
        <v/>
      </c>
      <c r="BD51" s="142">
        <f>SUMIFS(領用表!$L:$L,領用表!$E:$E,$B51,領用表!$B:$B,BD$2&amp;$BI$1)</f>
        <v/>
      </c>
      <c r="BE51" s="142">
        <f>SUMIFS(領用表!$L:$L,領用表!$E:$E,$B51,領用表!$B:$B,BE$2&amp;$BI$1)</f>
        <v/>
      </c>
      <c r="BF51" s="142">
        <f>SUMIFS(領用表!$L:$L,領用表!$E:$E,$B51,領用表!$B:$B,BF$2&amp;$BI$1)</f>
        <v/>
      </c>
      <c r="BG51" s="23">
        <f>SUM(AU51,AV51,AW51,AX51,AY51,AZ51,BA51,BB51,BC51,BD51,BE51,BF51)</f>
        <v/>
      </c>
      <c r="BH51" s="23">
        <f>AVERAGE(AU51,AV51,AW51,AX51,AY51,AZ51,BA51,BB51,BC51,BD51,BE51,BF51)</f>
        <v/>
      </c>
      <c r="BI51" s="142">
        <f>SUMIFS(領用表!$L:$L,領用表!$E:$E,$B51,領用表!$B:$B,BI$2&amp;$BI$1)</f>
        <v/>
      </c>
      <c r="BJ51" s="142">
        <f>SUMIFS(領用表!$L:$L,領用表!$E:$E,$B51,領用表!$B:$B,BJ$2&amp;$BI$1)</f>
        <v/>
      </c>
      <c r="BK51" s="142">
        <f>SUMIFS(領用表!$L:$L,領用表!$E:$E,$B51,領用表!$B:$B,BK$2&amp;$BI$1)</f>
        <v/>
      </c>
      <c r="BL51" s="142">
        <f>SUMIFS(領用表!$L:$L,領用表!$E:$E,$B51,領用表!$B:$B,BL$2&amp;$BI$1)</f>
        <v/>
      </c>
      <c r="BM51" s="142">
        <f>SUMIFS(領用表!$L:$L,領用表!$E:$E,$B51,領用表!$B:$B,BM$2&amp;$BI$1)</f>
        <v/>
      </c>
      <c r="BN51" s="142" t="n"/>
      <c r="BO51" s="142">
        <f>SUMIFS(領用表!$L:$L,領用表!$E:$E,$B51,領用表!$B:$B,BO$2&amp;$BI$1)</f>
        <v/>
      </c>
      <c r="BP51" s="142">
        <f>SUMIFS(領用表!$L:$L,領用表!$E:$E,$B51,領用表!$B:$B,BP$2&amp;$BI$1)</f>
        <v/>
      </c>
      <c r="BQ51" s="142">
        <f>SUMIFS(領用表!$L:$L,領用表!$E:$E,$B51,領用表!$B:$B,BQ$2&amp;$BI$1)</f>
        <v/>
      </c>
      <c r="BR51" s="142">
        <f>SUMIFS(領用表!$L:$L,領用表!$E:$E,$B51,領用表!$B:$B,BR$2&amp;$BI$1)</f>
        <v/>
      </c>
      <c r="BS51" s="142">
        <f>SUMIFS(領用表!$L:$L,領用表!$E:$E,$B51,領用表!$B:$B,BS$2&amp;$BI$1)</f>
        <v/>
      </c>
      <c r="BT51" s="142">
        <f>SUMIFS(領用表!$L:$L,領用表!$E:$E,$B51,領用表!$B:$B,BT$2&amp;$BI$1)</f>
        <v/>
      </c>
      <c r="BU51" s="142">
        <f>SUM(BI51,BJ51,BK51,BL51,BM51,BN51)</f>
        <v/>
      </c>
      <c r="BV51" s="142">
        <f>AVERAGE(BI51,BJ51,BK51,BL51,BM51,BN51)</f>
        <v/>
      </c>
      <c r="BW51" s="142">
        <f>SUMIF(Summary!B:B,B51,Summary!EA:EA)</f>
        <v/>
      </c>
      <c r="BX51" s="109" t="n"/>
      <c r="BY51" s="65" t="n"/>
      <c r="BZ51" s="65" t="n"/>
      <c r="CA51" s="65" t="n"/>
      <c r="CB51" s="27" t="n"/>
      <c r="CC51" s="27" t="n"/>
      <c r="CD51" s="14" t="n"/>
      <c r="CE51" s="29" t="n"/>
    </row>
    <row r="52" ht="15.75" customHeight="1" s="453">
      <c r="A52" s="27" t="n"/>
      <c r="B52" s="14" t="e">
        <v>#N/A</v>
      </c>
      <c r="C52" s="136" t="inlineStr">
        <is>
          <t>可特1ml</t>
        </is>
      </c>
      <c r="D52" s="77" t="n"/>
      <c r="E52" s="17" t="inlineStr">
        <is>
          <t>PCS</t>
        </is>
      </c>
      <c r="F52" s="18" t="n"/>
      <c r="G52" s="18" t="n"/>
      <c r="H52" s="68" t="n"/>
      <c r="I52" s="68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68">
        <f>SUM(AG52:AR52)</f>
        <v/>
      </c>
      <c r="AT52" s="26">
        <f>AS52/12</f>
        <v/>
      </c>
      <c r="AU52" s="19" t="n">
        <v>0</v>
      </c>
      <c r="AV52" s="19" t="n">
        <v>0</v>
      </c>
      <c r="AW52" s="19" t="n">
        <v>0</v>
      </c>
      <c r="AX52" s="19" t="n">
        <v>0</v>
      </c>
      <c r="AY52" s="19" t="n">
        <v>0</v>
      </c>
      <c r="AZ52" s="20">
        <f>SUMIFS(領用表!$L:$L,領用表!$E:$E,$B52,領用表!$B:$B,AZ$2&amp;$BI$1)</f>
        <v/>
      </c>
      <c r="BA52" s="20">
        <f>SUMIFS(領用表!$L:$L,領用表!$E:$E,$B52,領用表!$B:$B,BA$2&amp;$BI$1)</f>
        <v/>
      </c>
      <c r="BB52" s="20">
        <f>SUMIFS(領用表!$L:$L,領用表!$E:$E,$B52,領用表!$B:$B,BB$2&amp;$BI$1)</f>
        <v/>
      </c>
      <c r="BC52" s="20">
        <f>SUMIFS(領用表!$L:$L,領用表!$E:$E,$B52,領用表!$B:$B,BC$2&amp;$BI$1)</f>
        <v/>
      </c>
      <c r="BD52" s="142">
        <f>SUMIFS(領用表!$L:$L,領用表!$E:$E,$B52,領用表!$B:$B,BD$2&amp;$BI$1)</f>
        <v/>
      </c>
      <c r="BE52" s="142">
        <f>SUMIFS(領用表!$L:$L,領用表!$E:$E,$B52,領用表!$B:$B,BE$2&amp;$BI$1)</f>
        <v/>
      </c>
      <c r="BF52" s="142">
        <f>SUMIFS(領用表!$L:$L,領用表!$E:$E,$B52,領用表!$B:$B,BF$2&amp;$BI$1)</f>
        <v/>
      </c>
      <c r="BG52" s="23">
        <f>SUM(AU52,AV52,AW52,AX52,AY52,AZ52,BA52,BB52,BC52,BD52,BE52,BF52)</f>
        <v/>
      </c>
      <c r="BH52" s="23">
        <f>AVERAGE(AU52,AV52,AW52,AX52,AY52,AZ52,BA52,BB52,BC52,BD52,BE52,BF52)</f>
        <v/>
      </c>
      <c r="BI52" s="142">
        <f>SUMIFS(領用表!$L:$L,領用表!$E:$E,$B52,領用表!$B:$B,BI$2&amp;$BI$1)</f>
        <v/>
      </c>
      <c r="BJ52" s="142">
        <f>SUMIFS(領用表!$L:$L,領用表!$E:$E,$B52,領用表!$B:$B,BJ$2&amp;$BI$1)</f>
        <v/>
      </c>
      <c r="BK52" s="142">
        <f>SUMIFS(領用表!$L:$L,領用表!$E:$E,$B52,領用表!$B:$B,BK$2&amp;$BI$1)</f>
        <v/>
      </c>
      <c r="BL52" s="142">
        <f>SUMIFS(領用表!$L:$L,領用表!$E:$E,$B52,領用表!$B:$B,BL$2&amp;$BI$1)</f>
        <v/>
      </c>
      <c r="BM52" s="142">
        <f>SUMIFS(領用表!$L:$L,領用表!$E:$E,$B52,領用表!$B:$B,BM$2&amp;$BI$1)</f>
        <v/>
      </c>
      <c r="BN52" s="142">
        <f>SUMIFS(領用表!$L:$L,領用表!$E:$E,$B52,領用表!$B:$B,BN$2&amp;$BI$1)</f>
        <v/>
      </c>
      <c r="BO52" s="142">
        <f>SUMIFS(領用表!$L:$L,領用表!$E:$E,$B52,領用表!$B:$B,BO$2&amp;$BI$1)</f>
        <v/>
      </c>
      <c r="BP52" s="142">
        <f>SUMIFS(領用表!$L:$L,領用表!$E:$E,$B52,領用表!$B:$B,BP$2&amp;$BI$1)</f>
        <v/>
      </c>
      <c r="BQ52" s="142">
        <f>SUMIFS(領用表!$L:$L,領用表!$E:$E,$B52,領用表!$B:$B,BQ$2&amp;$BI$1)</f>
        <v/>
      </c>
      <c r="BR52" s="142">
        <f>SUMIFS(領用表!$L:$L,領用表!$E:$E,$B52,領用表!$B:$B,BR$2&amp;$BI$1)</f>
        <v/>
      </c>
      <c r="BS52" s="142">
        <f>SUMIFS(領用表!$L:$L,領用表!$E:$E,$B52,領用表!$B:$B,BS$2&amp;$BI$1)</f>
        <v/>
      </c>
      <c r="BT52" s="142">
        <f>SUMIFS(領用表!$L:$L,領用表!$E:$E,$B52,領用表!$B:$B,BT$2&amp;$BI$1)</f>
        <v/>
      </c>
      <c r="BU52" s="142">
        <f>SUM(BI52,BJ52,BK52,BL52,BM52,BN52)</f>
        <v/>
      </c>
      <c r="BV52" s="142">
        <f>AVERAGE(BI52,BJ52,BK52,BL52,BM52,BN52)</f>
        <v/>
      </c>
      <c r="BW52" s="142">
        <f>SUMIF(Summary!B:B,B52,Summary!EA:EA)</f>
        <v/>
      </c>
      <c r="BX52" s="109" t="n"/>
      <c r="BY52" s="65" t="n"/>
      <c r="BZ52" s="65" t="n"/>
      <c r="CA52" s="65" t="n"/>
      <c r="CB52" s="27" t="n"/>
      <c r="CC52" s="27" t="n"/>
      <c r="CD52" s="14" t="n"/>
      <c r="CE52" s="29" t="n"/>
    </row>
    <row r="53" ht="15.75" customHeight="1" s="453">
      <c r="A53" s="27" t="n"/>
      <c r="B53" s="14" t="n">
        <v>6120027</v>
      </c>
      <c r="C53" s="136" t="inlineStr">
        <is>
          <t>硫皙酸</t>
        </is>
      </c>
      <c r="D53" s="72" t="n"/>
      <c r="E53" s="17" t="inlineStr">
        <is>
          <t>PCS</t>
        </is>
      </c>
      <c r="F53" s="18" t="n"/>
      <c r="G53" s="1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>
        <v>0</v>
      </c>
      <c r="AS53" s="68">
        <f>SUM(AG53:AR53)</f>
        <v/>
      </c>
      <c r="AT53" s="26">
        <f>AS53/12</f>
        <v/>
      </c>
      <c r="AU53" s="19" t="n">
        <v>0</v>
      </c>
      <c r="AV53" s="19" t="n">
        <v>0</v>
      </c>
      <c r="AW53" s="19" t="n">
        <v>12</v>
      </c>
      <c r="AX53" s="19" t="n">
        <v>0</v>
      </c>
      <c r="AY53" s="19" t="n">
        <v>0</v>
      </c>
      <c r="AZ53" s="20">
        <f>SUMIFS(領用表!$L:$L,領用表!$E:$E,$B53,領用表!$B:$B,AZ$2&amp;$BI$1)</f>
        <v/>
      </c>
      <c r="BA53" s="20">
        <f>SUMIFS(領用表!$L:$L,領用表!$E:$E,$B53,領用表!$B:$B,BA$2&amp;$BI$1)</f>
        <v/>
      </c>
      <c r="BB53" s="20">
        <f>SUMIFS(領用表!$L:$L,領用表!$E:$E,$B53,領用表!$B:$B,BB$2&amp;$BI$1)</f>
        <v/>
      </c>
      <c r="BC53" s="20">
        <f>SUMIFS(領用表!$L:$L,領用表!$E:$E,$B53,領用表!$B:$B,BC$2&amp;$BI$1)</f>
        <v/>
      </c>
      <c r="BD53" s="142">
        <f>SUMIFS(領用表!$L:$L,領用表!$E:$E,$B53,領用表!$B:$B,BD$2&amp;$BI$1)</f>
        <v/>
      </c>
      <c r="BE53" s="142">
        <f>SUMIFS(領用表!$L:$L,領用表!$E:$E,$B53,領用表!$B:$B,BE$2&amp;$BI$1)</f>
        <v/>
      </c>
      <c r="BF53" s="142">
        <f>SUMIFS(領用表!$L:$L,領用表!$E:$E,$B53,領用表!$B:$B,BF$2&amp;$BI$1)</f>
        <v/>
      </c>
      <c r="BG53" s="23">
        <f>SUM(AU53,AV53,AW53,AX53,AY53,AZ53,BA53,BB53,BC53,BD53,BE53,BF53)</f>
        <v/>
      </c>
      <c r="BH53" s="23">
        <f>AVERAGE(AU53,AV53,AW53,AX53,AY53,AZ53,BA53,BB53,BC53,BD53,BE53,BF53)</f>
        <v/>
      </c>
      <c r="BI53" s="142">
        <f>SUMIFS(領用表!$L:$L,領用表!$E:$E,$B53,領用表!$B:$B,BI$2&amp;$BI$1)</f>
        <v/>
      </c>
      <c r="BJ53" s="142">
        <f>SUMIFS(領用表!$L:$L,領用表!$E:$E,$B53,領用表!$B:$B,BJ$2&amp;$BI$1)</f>
        <v/>
      </c>
      <c r="BK53" s="142">
        <f>SUMIFS(領用表!$L:$L,領用表!$E:$E,$B53,領用表!$B:$B,BK$2&amp;$BI$1)</f>
        <v/>
      </c>
      <c r="BL53" s="142">
        <f>SUMIFS(領用表!$L:$L,領用表!$E:$E,$B53,領用表!$B:$B,BL$2&amp;$BI$1)</f>
        <v/>
      </c>
      <c r="BM53" s="142">
        <f>SUMIFS(領用表!$L:$L,領用表!$E:$E,$B53,領用表!$B:$B,BM$2&amp;$BI$1)</f>
        <v/>
      </c>
      <c r="BN53" s="142" t="n"/>
      <c r="BO53" s="142">
        <f>SUMIFS(領用表!$L:$L,領用表!$E:$E,$B53,領用表!$B:$B,BO$2&amp;$BI$1)</f>
        <v/>
      </c>
      <c r="BP53" s="142">
        <f>SUMIFS(領用表!$L:$L,領用表!$E:$E,$B53,領用表!$B:$B,BP$2&amp;$BI$1)</f>
        <v/>
      </c>
      <c r="BQ53" s="142">
        <f>SUMIFS(領用表!$L:$L,領用表!$E:$E,$B53,領用表!$B:$B,BQ$2&amp;$BI$1)</f>
        <v/>
      </c>
      <c r="BR53" s="142">
        <f>SUMIFS(領用表!$L:$L,領用表!$E:$E,$B53,領用表!$B:$B,BR$2&amp;$BI$1)</f>
        <v/>
      </c>
      <c r="BS53" s="142">
        <f>SUMIFS(領用表!$L:$L,領用表!$E:$E,$B53,領用表!$B:$B,BS$2&amp;$BI$1)</f>
        <v/>
      </c>
      <c r="BT53" s="142">
        <f>SUMIFS(領用表!$L:$L,領用表!$E:$E,$B53,領用表!$B:$B,BT$2&amp;$BI$1)</f>
        <v/>
      </c>
      <c r="BU53" s="142">
        <f>SUM(BI53,BJ53,BK53,BL53,BM53,BN53)</f>
        <v/>
      </c>
      <c r="BV53" s="142">
        <f>AVERAGE(BI53,BJ53,BK53,BL53,BM53,BN53)</f>
        <v/>
      </c>
      <c r="BW53" s="142">
        <f>SUMIF(Summary!B:B,B53,Summary!EA:EA)</f>
        <v/>
      </c>
      <c r="BX53" s="109" t="n"/>
      <c r="BY53" s="65" t="n"/>
      <c r="BZ53" s="65" t="n"/>
      <c r="CA53" s="76" t="n"/>
      <c r="CB53" s="27" t="n"/>
      <c r="CC53" s="69" t="n"/>
      <c r="CD53" s="14" t="n"/>
      <c r="CE53" s="14" t="n"/>
    </row>
    <row r="54" ht="15.75" customHeight="1" s="453">
      <c r="A54" s="27" t="n"/>
      <c r="B54" s="14" t="n">
        <v>6120028</v>
      </c>
      <c r="C54" s="136" t="inlineStr">
        <is>
          <t>治敏健 20ml</t>
        </is>
      </c>
      <c r="D54" s="77" t="n"/>
      <c r="E54" s="17" t="inlineStr">
        <is>
          <t>PCS</t>
        </is>
      </c>
      <c r="F54" s="18" t="n"/>
      <c r="G54" s="18" t="n"/>
      <c r="H54" s="68" t="n"/>
      <c r="I54" s="68" t="n"/>
      <c r="J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  <c r="AA54" s="68" t="n"/>
      <c r="AB54" s="68" t="n"/>
      <c r="AC54" s="68" t="n"/>
      <c r="AD54" s="68" t="n"/>
      <c r="AE54" s="68" t="n"/>
      <c r="AF54" s="68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68">
        <f>SUM(AG54:AR54)</f>
        <v/>
      </c>
      <c r="AT54" s="26">
        <f>AS54/12</f>
        <v/>
      </c>
      <c r="AU54" s="19" t="n">
        <v>0</v>
      </c>
      <c r="AV54" s="19" t="n">
        <v>0</v>
      </c>
      <c r="AW54" s="19" t="n">
        <v>15</v>
      </c>
      <c r="AX54" s="19" t="n">
        <v>0</v>
      </c>
      <c r="AY54" s="19">
        <f>0+2</f>
        <v/>
      </c>
      <c r="AZ54" s="20">
        <f>SUMIFS(領用表!$L:$L,領用表!$E:$E,$B54,領用表!$B:$B,AZ$2&amp;$BI$1)</f>
        <v/>
      </c>
      <c r="BA54" s="20">
        <f>SUMIFS(領用表!$L:$L,領用表!$E:$E,$B54,領用表!$B:$B,BA$2&amp;$BI$1)</f>
        <v/>
      </c>
      <c r="BB54" s="20">
        <f>SUMIFS(領用表!$L:$L,領用表!$E:$E,$B54,領用表!$B:$B,BB$2&amp;$BI$1)</f>
        <v/>
      </c>
      <c r="BC54" s="20">
        <f>SUMIFS(領用表!$L:$L,領用表!$E:$E,$B54,領用表!$B:$B,BC$2&amp;$BI$1)</f>
        <v/>
      </c>
      <c r="BD54" s="142">
        <f>SUMIFS(領用表!$L:$L,領用表!$E:$E,$B54,領用表!$B:$B,BD$2&amp;$BI$1)</f>
        <v/>
      </c>
      <c r="BE54" s="142">
        <f>SUMIFS(領用表!$L:$L,領用表!$E:$E,$B54,領用表!$B:$B,BE$2&amp;$BI$1)</f>
        <v/>
      </c>
      <c r="BF54" s="142">
        <f>SUMIFS(領用表!$L:$L,領用表!$E:$E,$B54,領用表!$B:$B,BF$2&amp;$BI$1)</f>
        <v/>
      </c>
      <c r="BG54" s="23">
        <f>SUM(AU54,AV54,AW54,AX54,AY54,AZ54,BA54,BB54,BC54,BD54,BE54,BF54)</f>
        <v/>
      </c>
      <c r="BH54" s="23">
        <f>AVERAGE(AU54,AV54,AW54,AX54,AY54,AZ54,BA54,BB54,BC54,BD54,BE54,BF54)</f>
        <v/>
      </c>
      <c r="BI54" s="142">
        <f>SUMIFS(領用表!$L:$L,領用表!$E:$E,$B54,領用表!$B:$B,BI$2&amp;$BI$1)</f>
        <v/>
      </c>
      <c r="BJ54" s="142">
        <f>SUMIFS(領用表!$L:$L,領用表!$E:$E,$B54,領用表!$B:$B,BJ$2&amp;$BI$1)</f>
        <v/>
      </c>
      <c r="BK54" s="142">
        <f>SUMIFS(領用表!$L:$L,領用表!$E:$E,$B54,領用表!$B:$B,BK$2&amp;$BI$1)</f>
        <v/>
      </c>
      <c r="BL54" s="142">
        <f>SUMIFS(領用表!$L:$L,領用表!$E:$E,$B54,領用表!$B:$B,BL$2&amp;$BI$1)</f>
        <v/>
      </c>
      <c r="BM54" s="142">
        <f>SUMIFS(領用表!$L:$L,領用表!$E:$E,$B54,領用表!$B:$B,BM$2&amp;$BI$1)</f>
        <v/>
      </c>
      <c r="BN54" s="142" t="n"/>
      <c r="BO54" s="142">
        <f>SUMIFS(領用表!$L:$L,領用表!$E:$E,$B54,領用表!$B:$B,BO$2&amp;$BI$1)</f>
        <v/>
      </c>
      <c r="BP54" s="142">
        <f>SUMIFS(領用表!$L:$L,領用表!$E:$E,$B54,領用表!$B:$B,BP$2&amp;$BI$1)</f>
        <v/>
      </c>
      <c r="BQ54" s="142">
        <f>SUMIFS(領用表!$L:$L,領用表!$E:$E,$B54,領用表!$B:$B,BQ$2&amp;$BI$1)</f>
        <v/>
      </c>
      <c r="BR54" s="142">
        <f>SUMIFS(領用表!$L:$L,領用表!$E:$E,$B54,領用表!$B:$B,BR$2&amp;$BI$1)</f>
        <v/>
      </c>
      <c r="BS54" s="142">
        <f>SUMIFS(領用表!$L:$L,領用表!$E:$E,$B54,領用表!$B:$B,BS$2&amp;$BI$1)</f>
        <v/>
      </c>
      <c r="BT54" s="142">
        <f>SUMIFS(領用表!$L:$L,領用表!$E:$E,$B54,領用表!$B:$B,BT$2&amp;$BI$1)</f>
        <v/>
      </c>
      <c r="BU54" s="142">
        <f>SUM(BI54,BJ54,BK54,BL54,BM54,BN54)</f>
        <v/>
      </c>
      <c r="BV54" s="142">
        <f>AVERAGE(BI54,BJ54,BK54,BL54,BM54,BN54)</f>
        <v/>
      </c>
      <c r="BW54" s="142">
        <f>SUMIF(Summary!B:B,B54,Summary!EA:EA)</f>
        <v/>
      </c>
      <c r="BX54" s="109" t="n"/>
      <c r="BY54" s="65" t="n"/>
      <c r="BZ54" s="65" t="n"/>
      <c r="CA54" s="65" t="n"/>
      <c r="CB54" s="27" t="n"/>
      <c r="CC54" s="27" t="n"/>
      <c r="CD54" s="14" t="n"/>
      <c r="CE54" s="29" t="n"/>
    </row>
    <row r="55" ht="15.75" customHeight="1" s="453">
      <c r="A55" s="27" t="n"/>
      <c r="B55" s="14" t="n">
        <v>6120029</v>
      </c>
      <c r="C55" s="136" t="inlineStr">
        <is>
          <t>鹽酸二苯胺明 1ml</t>
        </is>
      </c>
      <c r="D55" s="77" t="n"/>
      <c r="E55" s="17" t="inlineStr">
        <is>
          <t>PCS</t>
        </is>
      </c>
      <c r="F55" s="18" t="n"/>
      <c r="G55" s="18" t="n"/>
      <c r="H55" s="68" t="n"/>
      <c r="I55" s="68" t="n"/>
      <c r="J55" s="68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  <c r="AA55" s="68" t="n"/>
      <c r="AB55" s="68" t="n"/>
      <c r="AC55" s="68" t="n"/>
      <c r="AD55" s="68" t="n"/>
      <c r="AE55" s="68" t="n"/>
      <c r="AF55" s="68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68">
        <f>SUM(AG55:AR55)</f>
        <v/>
      </c>
      <c r="AT55" s="26">
        <f>AS55/12</f>
        <v/>
      </c>
      <c r="AU55" s="19" t="n">
        <v>0</v>
      </c>
      <c r="AV55" s="19" t="n">
        <v>0</v>
      </c>
      <c r="AW55" s="19" t="n">
        <v>8</v>
      </c>
      <c r="AX55" s="19" t="n">
        <v>0</v>
      </c>
      <c r="AY55" s="19" t="n">
        <v>3</v>
      </c>
      <c r="AZ55" s="20">
        <f>SUMIFS(領用表!$L:$L,領用表!$E:$E,$B55,領用表!$B:$B,AZ$2&amp;$BI$1)</f>
        <v/>
      </c>
      <c r="BA55" s="20">
        <f>SUMIFS(領用表!$L:$L,領用表!$E:$E,$B55,領用表!$B:$B,BA$2&amp;$BI$1)</f>
        <v/>
      </c>
      <c r="BB55" s="20">
        <f>SUMIFS(領用表!$L:$L,領用表!$E:$E,$B55,領用表!$B:$B,BB$2&amp;$BI$1)</f>
        <v/>
      </c>
      <c r="BC55" s="20">
        <f>SUMIFS(領用表!$L:$L,領用表!$E:$E,$B55,領用表!$B:$B,BC$2&amp;$BI$1)</f>
        <v/>
      </c>
      <c r="BD55" s="142">
        <f>SUMIFS(領用表!$L:$L,領用表!$E:$E,$B55,領用表!$B:$B,BD$2&amp;$BI$1)</f>
        <v/>
      </c>
      <c r="BE55" s="142">
        <f>SUMIFS(領用表!$L:$L,領用表!$E:$E,$B55,領用表!$B:$B,BE$2&amp;$BI$1)</f>
        <v/>
      </c>
      <c r="BF55" s="142">
        <f>SUMIFS(領用表!$L:$L,領用表!$E:$E,$B55,領用表!$B:$B,BF$2&amp;$BI$1)</f>
        <v/>
      </c>
      <c r="BG55" s="23">
        <f>SUM(AU55,AV55,AW55,AX55,AY55,AZ55,BA55,BB55,BC55,BD55,BE55,BF55)</f>
        <v/>
      </c>
      <c r="BH55" s="23">
        <f>AVERAGE(AU55,AV55,AW55,AX55,AY55,AZ55,BA55,BB55,BC55,BD55,BE55,BF55)</f>
        <v/>
      </c>
      <c r="BI55" s="142">
        <f>SUMIFS(領用表!$L:$L,領用表!$E:$E,$B55,領用表!$B:$B,BI$2&amp;$BI$1)</f>
        <v/>
      </c>
      <c r="BJ55" s="142">
        <f>SUMIFS(領用表!$L:$L,領用表!$E:$E,$B55,領用表!$B:$B,BJ$2&amp;$BI$1)</f>
        <v/>
      </c>
      <c r="BK55" s="142">
        <f>SUMIFS(領用表!$L:$L,領用表!$E:$E,$B55,領用表!$B:$B,BK$2&amp;$BI$1)</f>
        <v/>
      </c>
      <c r="BL55" s="142">
        <f>SUMIFS(領用表!$L:$L,領用表!$E:$E,$B55,領用表!$B:$B,BL$2&amp;$BI$1)</f>
        <v/>
      </c>
      <c r="BM55" s="142">
        <f>SUMIFS(領用表!$L:$L,領用表!$E:$E,$B55,領用表!$B:$B,BM$2&amp;$BI$1)</f>
        <v/>
      </c>
      <c r="BN55" s="142" t="n"/>
      <c r="BO55" s="142">
        <f>SUMIFS(領用表!$L:$L,領用表!$E:$E,$B55,領用表!$B:$B,BO$2&amp;$BI$1)</f>
        <v/>
      </c>
      <c r="BP55" s="142">
        <f>SUMIFS(領用表!$L:$L,領用表!$E:$E,$B55,領用表!$B:$B,BP$2&amp;$BI$1)</f>
        <v/>
      </c>
      <c r="BQ55" s="142">
        <f>SUMIFS(領用表!$L:$L,領用表!$E:$E,$B55,領用表!$B:$B,BQ$2&amp;$BI$1)</f>
        <v/>
      </c>
      <c r="BR55" s="142">
        <f>SUMIFS(領用表!$L:$L,領用表!$E:$E,$B55,領用表!$B:$B,BR$2&amp;$BI$1)</f>
        <v/>
      </c>
      <c r="BS55" s="142">
        <f>SUMIFS(領用表!$L:$L,領用表!$E:$E,$B55,領用表!$B:$B,BS$2&amp;$BI$1)</f>
        <v/>
      </c>
      <c r="BT55" s="142">
        <f>SUMIFS(領用表!$L:$L,領用表!$E:$E,$B55,領用表!$B:$B,BT$2&amp;$BI$1)</f>
        <v/>
      </c>
      <c r="BU55" s="142">
        <f>SUM(BI55,BJ55,BK55,BL55,BM55,BN55)</f>
        <v/>
      </c>
      <c r="BV55" s="142">
        <f>AVERAGE(BI55,BJ55,BK55,BL55,BM55,BN55)</f>
        <v/>
      </c>
      <c r="BW55" s="142">
        <f>SUMIF(Summary!B:B,B55,Summary!EA:EA)</f>
        <v/>
      </c>
      <c r="BX55" s="109" t="n"/>
      <c r="BY55" s="65" t="n"/>
      <c r="BZ55" s="65" t="n"/>
      <c r="CA55" s="65" t="inlineStr">
        <is>
          <t>10-10/22</t>
        </is>
      </c>
      <c r="CB55" s="27" t="n"/>
      <c r="CC55" s="27" t="n"/>
      <c r="CD55" s="14" t="n"/>
      <c r="CE55" s="29" t="n"/>
    </row>
    <row r="56" ht="15.75" customHeight="1" s="453">
      <c r="A56" s="27" t="n"/>
      <c r="B56" s="14" t="n">
        <v>6120030</v>
      </c>
      <c r="C56" s="136" t="inlineStr">
        <is>
          <t>克多炎 1ml</t>
        </is>
      </c>
      <c r="D56" s="77" t="n"/>
      <c r="E56" s="17" t="inlineStr">
        <is>
          <t>PCS</t>
        </is>
      </c>
      <c r="F56" s="18" t="n"/>
      <c r="G56" s="1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68">
        <f>SUM(AG56:AR56)</f>
        <v/>
      </c>
      <c r="AT56" s="26">
        <f>AS56/12</f>
        <v/>
      </c>
      <c r="AU56" s="19" t="n">
        <v>0</v>
      </c>
      <c r="AV56" s="19" t="n">
        <v>0</v>
      </c>
      <c r="AW56" s="19" t="n">
        <v>0</v>
      </c>
      <c r="AX56" s="19" t="n">
        <v>18</v>
      </c>
      <c r="AY56" s="19" t="n">
        <v>1</v>
      </c>
      <c r="AZ56" s="20">
        <f>SUMIFS(領用表!$L:$L,領用表!$E:$E,$B56,領用表!$B:$B,AZ$2&amp;$BI$1)</f>
        <v/>
      </c>
      <c r="BA56" s="20">
        <f>SUMIFS(領用表!$L:$L,領用表!$E:$E,$B56,領用表!$B:$B,BA$2&amp;$BI$1)</f>
        <v/>
      </c>
      <c r="BB56" s="20">
        <f>SUMIFS(領用表!$L:$L,領用表!$E:$E,$B56,領用表!$B:$B,BB$2&amp;$BI$1)</f>
        <v/>
      </c>
      <c r="BC56" s="20">
        <f>SUMIFS(領用表!$L:$L,領用表!$E:$E,$B56,領用表!$B:$B,BC$2&amp;$BI$1)</f>
        <v/>
      </c>
      <c r="BD56" s="142">
        <f>SUMIFS(領用表!$L:$L,領用表!$E:$E,$B56,領用表!$B:$B,BD$2&amp;$BI$1)</f>
        <v/>
      </c>
      <c r="BE56" s="142">
        <f>SUMIFS(領用表!$L:$L,領用表!$E:$E,$B56,領用表!$B:$B,BE$2&amp;$BI$1)</f>
        <v/>
      </c>
      <c r="BF56" s="142">
        <f>SUMIFS(領用表!$L:$L,領用表!$E:$E,$B56,領用表!$B:$B,BF$2&amp;$BI$1)</f>
        <v/>
      </c>
      <c r="BG56" s="23">
        <f>SUM(AU56,AV56,AW56,AX56,AY56,AZ56,BA56,BB56,BC56,BD56,BE56,BF56)</f>
        <v/>
      </c>
      <c r="BH56" s="23">
        <f>AVERAGE(AU56,AV56,AW56,AX56,AY56,AZ56,BA56,BB56,BC56,BD56,BE56,BF56)</f>
        <v/>
      </c>
      <c r="BI56" s="142">
        <f>SUMIFS(領用表!$L:$L,領用表!$E:$E,$B56,領用表!$B:$B,BI$2&amp;$BI$1)</f>
        <v/>
      </c>
      <c r="BJ56" s="142">
        <f>SUMIFS(領用表!$L:$L,領用表!$E:$E,$B56,領用表!$B:$B,BJ$2&amp;$BI$1)</f>
        <v/>
      </c>
      <c r="BK56" s="142">
        <f>SUMIFS(領用表!$L:$L,領用表!$E:$E,$B56,領用表!$B:$B,BK$2&amp;$BI$1)</f>
        <v/>
      </c>
      <c r="BL56" s="142">
        <f>SUMIFS(領用表!$L:$L,領用表!$E:$E,$B56,領用表!$B:$B,BL$2&amp;$BI$1)</f>
        <v/>
      </c>
      <c r="BM56" s="142">
        <f>SUMIFS(領用表!$L:$L,領用表!$E:$E,$B56,領用表!$B:$B,BM$2&amp;$BI$1)</f>
        <v/>
      </c>
      <c r="BN56" s="142" t="n"/>
      <c r="BO56" s="142">
        <f>SUMIFS(領用表!$L:$L,領用表!$E:$E,$B56,領用表!$B:$B,BO$2&amp;$BI$1)</f>
        <v/>
      </c>
      <c r="BP56" s="142">
        <f>SUMIFS(領用表!$L:$L,領用表!$E:$E,$B56,領用表!$B:$B,BP$2&amp;$BI$1)</f>
        <v/>
      </c>
      <c r="BQ56" s="142">
        <f>SUMIFS(領用表!$L:$L,領用表!$E:$E,$B56,領用表!$B:$B,BQ$2&amp;$BI$1)</f>
        <v/>
      </c>
      <c r="BR56" s="142">
        <f>SUMIFS(領用表!$L:$L,領用表!$E:$E,$B56,領用表!$B:$B,BR$2&amp;$BI$1)</f>
        <v/>
      </c>
      <c r="BS56" s="142">
        <f>SUMIFS(領用表!$L:$L,領用表!$E:$E,$B56,領用表!$B:$B,BS$2&amp;$BI$1)</f>
        <v/>
      </c>
      <c r="BT56" s="142">
        <f>SUMIFS(領用表!$L:$L,領用表!$E:$E,$B56,領用表!$B:$B,BT$2&amp;$BI$1)</f>
        <v/>
      </c>
      <c r="BU56" s="142">
        <f>SUM(BI56,BJ56,BK56,BL56,BM56,BN56)</f>
        <v/>
      </c>
      <c r="BV56" s="142">
        <f>AVERAGE(BI56,BJ56,BK56,BL56,BM56,BN56)</f>
        <v/>
      </c>
      <c r="BW56" s="142">
        <f>SUMIF(Summary!B:B,B56,Summary!EA:EA)</f>
        <v/>
      </c>
      <c r="BX56" s="109" t="n"/>
      <c r="BY56" s="65" t="n"/>
      <c r="BZ56" s="65" t="n"/>
      <c r="CA56" s="65" t="n"/>
      <c r="CB56" s="27" t="n"/>
      <c r="CC56" s="27" t="n"/>
      <c r="CD56" s="14" t="n"/>
      <c r="CE56" s="29" t="n"/>
    </row>
    <row r="57" ht="15.75" customHeight="1" s="453">
      <c r="A57" s="27" t="n"/>
      <c r="B57" s="14" t="n">
        <v>6120031</v>
      </c>
      <c r="C57" s="136" t="inlineStr">
        <is>
          <t>菲碧茵 2ml</t>
        </is>
      </c>
      <c r="D57" s="77" t="n"/>
      <c r="E57" s="17" t="inlineStr">
        <is>
          <t>PCS</t>
        </is>
      </c>
      <c r="F57" s="18" t="n"/>
      <c r="G57" s="18" t="n"/>
      <c r="H57" s="68" t="n"/>
      <c r="I57" s="68" t="n"/>
      <c r="J57" s="68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68">
        <f>SUM(AG57:AR57)</f>
        <v/>
      </c>
      <c r="AT57" s="26">
        <f>AS57/12</f>
        <v/>
      </c>
      <c r="AU57" s="19" t="n">
        <v>0</v>
      </c>
      <c r="AV57" s="19" t="n">
        <v>0</v>
      </c>
      <c r="AW57" s="19" t="n">
        <v>11</v>
      </c>
      <c r="AX57" s="19" t="n">
        <v>6</v>
      </c>
      <c r="AY57" s="19" t="n">
        <v>0</v>
      </c>
      <c r="AZ57" s="20">
        <f>SUMIFS(領用表!$L:$L,領用表!$E:$E,$B57,領用表!$B:$B,AZ$2&amp;$BI$1)</f>
        <v/>
      </c>
      <c r="BA57" s="20">
        <f>SUMIFS(領用表!$L:$L,領用表!$E:$E,$B57,領用表!$B:$B,BA$2&amp;$BI$1)</f>
        <v/>
      </c>
      <c r="BB57" s="20">
        <f>SUMIFS(領用表!$L:$L,領用表!$E:$E,$B57,領用表!$B:$B,BB$2&amp;$BI$1)</f>
        <v/>
      </c>
      <c r="BC57" s="20">
        <f>SUMIFS(領用表!$L:$L,領用表!$E:$E,$B57,領用表!$B:$B,BC$2&amp;$BI$1)</f>
        <v/>
      </c>
      <c r="BD57" s="142">
        <f>SUMIFS(領用表!$L:$L,領用表!$E:$E,$B57,領用表!$B:$B,BD$2&amp;$BI$1)</f>
        <v/>
      </c>
      <c r="BE57" s="142">
        <f>SUMIFS(領用表!$L:$L,領用表!$E:$E,$B57,領用表!$B:$B,BE$2&amp;$BI$1)</f>
        <v/>
      </c>
      <c r="BF57" s="142">
        <f>SUMIFS(領用表!$L:$L,領用表!$E:$E,$B57,領用表!$B:$B,BF$2&amp;$BI$1)</f>
        <v/>
      </c>
      <c r="BG57" s="23">
        <f>SUM(AU57,AV57,AW57,AX57,AY57,AZ57,BA57,BB57,BC57,BD57,BE57,BF57)</f>
        <v/>
      </c>
      <c r="BH57" s="23">
        <f>AVERAGE(AU57,AV57,AW57,AX57,AY57,AZ57,BA57,BB57,BC57,BD57,BE57,BF57)</f>
        <v/>
      </c>
      <c r="BI57" s="142">
        <f>SUMIFS(領用表!$L:$L,領用表!$E:$E,$B57,領用表!$B:$B,BI$2&amp;$BI$1)</f>
        <v/>
      </c>
      <c r="BJ57" s="142">
        <f>SUMIFS(領用表!$L:$L,領用表!$E:$E,$B57,領用表!$B:$B,BJ$2&amp;$BI$1)</f>
        <v/>
      </c>
      <c r="BK57" s="142">
        <f>SUMIFS(領用表!$L:$L,領用表!$E:$E,$B57,領用表!$B:$B,BK$2&amp;$BI$1)</f>
        <v/>
      </c>
      <c r="BL57" s="142">
        <f>SUMIFS(領用表!$L:$L,領用表!$E:$E,$B57,領用表!$B:$B,BL$2&amp;$BI$1)</f>
        <v/>
      </c>
      <c r="BM57" s="142">
        <f>SUMIFS(領用表!$L:$L,領用表!$E:$E,$B57,領用表!$B:$B,BM$2&amp;$BI$1)</f>
        <v/>
      </c>
      <c r="BN57" s="142" t="n"/>
      <c r="BO57" s="142">
        <f>SUMIFS(領用表!$L:$L,領用表!$E:$E,$B57,領用表!$B:$B,BO$2&amp;$BI$1)</f>
        <v/>
      </c>
      <c r="BP57" s="142">
        <f>SUMIFS(領用表!$L:$L,領用表!$E:$E,$B57,領用表!$B:$B,BP$2&amp;$BI$1)</f>
        <v/>
      </c>
      <c r="BQ57" s="142">
        <f>SUMIFS(領用表!$L:$L,領用表!$E:$E,$B57,領用表!$B:$B,BQ$2&amp;$BI$1)</f>
        <v/>
      </c>
      <c r="BR57" s="142">
        <f>SUMIFS(領用表!$L:$L,領用表!$E:$E,$B57,領用表!$B:$B,BR$2&amp;$BI$1)</f>
        <v/>
      </c>
      <c r="BS57" s="142">
        <f>SUMIFS(領用表!$L:$L,領用表!$E:$E,$B57,領用表!$B:$B,BS$2&amp;$BI$1)</f>
        <v/>
      </c>
      <c r="BT57" s="142">
        <f>SUMIFS(領用表!$L:$L,領用表!$E:$E,$B57,領用表!$B:$B,BT$2&amp;$BI$1)</f>
        <v/>
      </c>
      <c r="BU57" s="142">
        <f>SUM(BI57,BJ57,BK57,BL57,BM57,BN57)</f>
        <v/>
      </c>
      <c r="BV57" s="142">
        <f>AVERAGE(BI57,BJ57,BK57,BL57,BM57,BN57)</f>
        <v/>
      </c>
      <c r="BW57" s="142">
        <f>SUMIF(Summary!B:B,B57,Summary!EA:EA)</f>
        <v/>
      </c>
      <c r="BX57" s="109" t="n"/>
      <c r="BY57" s="65" t="n"/>
      <c r="BZ57" s="65" t="n"/>
      <c r="CA57" s="65" t="n"/>
      <c r="CB57" s="27" t="n"/>
      <c r="CC57" s="27" t="n"/>
      <c r="CD57" s="14" t="n"/>
      <c r="CE57" s="29" t="n"/>
    </row>
    <row r="58" ht="15.75" customHeight="1" s="453">
      <c r="A58" s="27" t="n"/>
      <c r="B58" s="14" t="n">
        <v>6120032</v>
      </c>
      <c r="C58" s="136" t="inlineStr">
        <is>
          <t>鹽酸副腎素 1ml</t>
        </is>
      </c>
      <c r="D58" s="77" t="n"/>
      <c r="E58" s="17" t="inlineStr">
        <is>
          <t>PCS</t>
        </is>
      </c>
      <c r="F58" s="18" t="n"/>
      <c r="G58" s="18" t="n"/>
      <c r="H58" s="68" t="n"/>
      <c r="I58" s="68" t="n"/>
      <c r="J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68">
        <f>SUM(AG58:AR58)</f>
        <v/>
      </c>
      <c r="AT58" s="26">
        <f>AS58/12</f>
        <v/>
      </c>
      <c r="AU58" s="19" t="n">
        <v>0</v>
      </c>
      <c r="AV58" s="19" t="n">
        <v>0</v>
      </c>
      <c r="AW58" s="19" t="n">
        <v>0</v>
      </c>
      <c r="AX58" s="19" t="n">
        <v>0</v>
      </c>
      <c r="AY58" s="19" t="n">
        <v>0</v>
      </c>
      <c r="AZ58" s="20">
        <f>SUMIFS(領用表!$L:$L,領用表!$E:$E,$B58,領用表!$B:$B,AZ$2&amp;$BI$1)</f>
        <v/>
      </c>
      <c r="BA58" s="20">
        <f>SUMIFS(領用表!$L:$L,領用表!$E:$E,$B58,領用表!$B:$B,BA$2&amp;$BI$1)</f>
        <v/>
      </c>
      <c r="BB58" s="20">
        <f>SUMIFS(領用表!$L:$L,領用表!$E:$E,$B58,領用表!$B:$B,BB$2&amp;$BI$1)</f>
        <v/>
      </c>
      <c r="BC58" s="20">
        <f>SUMIFS(領用表!$L:$L,領用表!$E:$E,$B58,領用表!$B:$B,BC$2&amp;$BI$1)</f>
        <v/>
      </c>
      <c r="BD58" s="142">
        <f>SUMIFS(領用表!$L:$L,領用表!$E:$E,$B58,領用表!$B:$B,BD$2&amp;$BI$1)</f>
        <v/>
      </c>
      <c r="BE58" s="142">
        <f>SUMIFS(領用表!$L:$L,領用表!$E:$E,$B58,領用表!$B:$B,BE$2&amp;$BI$1)</f>
        <v/>
      </c>
      <c r="BF58" s="142">
        <f>SUMIFS(領用表!$L:$L,領用表!$E:$E,$B58,領用表!$B:$B,BF$2&amp;$BI$1)</f>
        <v/>
      </c>
      <c r="BG58" s="23">
        <f>SUM(AU58,AV58,AW58,AX58,AY58,AZ58,BA58,BB58,BC58,BD58,BE58,BF58)</f>
        <v/>
      </c>
      <c r="BH58" s="23">
        <f>AVERAGE(AU58,AV58,AW58,AX58,AY58,AZ58,BA58,BB58,BC58,BD58,BE58,BF58)</f>
        <v/>
      </c>
      <c r="BI58" s="142">
        <f>SUMIFS(領用表!$L:$L,領用表!$E:$E,$B58,領用表!$B:$B,BI$2&amp;$BI$1)</f>
        <v/>
      </c>
      <c r="BJ58" s="142">
        <f>SUMIFS(領用表!$L:$L,領用表!$E:$E,$B58,領用表!$B:$B,BJ$2&amp;$BI$1)</f>
        <v/>
      </c>
      <c r="BK58" s="142">
        <f>SUMIFS(領用表!$L:$L,領用表!$E:$E,$B58,領用表!$B:$B,BK$2&amp;$BI$1)</f>
        <v/>
      </c>
      <c r="BL58" s="142">
        <f>SUMIFS(領用表!$L:$L,領用表!$E:$E,$B58,領用表!$B:$B,BL$2&amp;$BI$1)</f>
        <v/>
      </c>
      <c r="BM58" s="142">
        <f>SUMIFS(領用表!$L:$L,領用表!$E:$E,$B58,領用表!$B:$B,BM$2&amp;$BI$1)</f>
        <v/>
      </c>
      <c r="BN58" s="142" t="n"/>
      <c r="BO58" s="142">
        <f>SUMIFS(領用表!$L:$L,領用表!$E:$E,$B58,領用表!$B:$B,BO$2&amp;$BI$1)</f>
        <v/>
      </c>
      <c r="BP58" s="142">
        <f>SUMIFS(領用表!$L:$L,領用表!$E:$E,$B58,領用表!$B:$B,BP$2&amp;$BI$1)</f>
        <v/>
      </c>
      <c r="BQ58" s="142">
        <f>SUMIFS(領用表!$L:$L,領用表!$E:$E,$B58,領用表!$B:$B,BQ$2&amp;$BI$1)</f>
        <v/>
      </c>
      <c r="BR58" s="142">
        <f>SUMIFS(領用表!$L:$L,領用表!$E:$E,$B58,領用表!$B:$B,BR$2&amp;$BI$1)</f>
        <v/>
      </c>
      <c r="BS58" s="142">
        <f>SUMIFS(領用表!$L:$L,領用表!$E:$E,$B58,領用表!$B:$B,BS$2&amp;$BI$1)</f>
        <v/>
      </c>
      <c r="BT58" s="142">
        <f>SUMIFS(領用表!$L:$L,領用表!$E:$E,$B58,領用表!$B:$B,BT$2&amp;$BI$1)</f>
        <v/>
      </c>
      <c r="BU58" s="142">
        <f>SUM(BI58,BJ58,BK58,BL58,BM58,BN58)</f>
        <v/>
      </c>
      <c r="BV58" s="142">
        <f>AVERAGE(BI58,BJ58,BK58,BL58,BM58,BN58)</f>
        <v/>
      </c>
      <c r="BW58" s="142">
        <f>SUMIF(Summary!B:B,B58,Summary!EA:EA)</f>
        <v/>
      </c>
      <c r="BX58" s="109" t="n"/>
      <c r="BY58" s="65" t="n"/>
      <c r="BZ58" s="65" t="n"/>
      <c r="CA58" s="65" t="n"/>
      <c r="CB58" s="27" t="n"/>
      <c r="CC58" s="27" t="n"/>
      <c r="CD58" s="14" t="n"/>
      <c r="CE58" s="29" t="n"/>
    </row>
    <row r="59" ht="15.75" customHeight="1" s="453">
      <c r="A59" s="27" t="n"/>
      <c r="B59" s="14" t="e">
        <v>#N/A</v>
      </c>
      <c r="C59" s="136" t="inlineStr">
        <is>
          <t>痘痘貼 60入/盒</t>
        </is>
      </c>
      <c r="D59" s="77" t="n">
        <v>60</v>
      </c>
      <c r="E59" s="17" t="inlineStr">
        <is>
          <t>PCS</t>
        </is>
      </c>
      <c r="F59" s="18" t="n"/>
      <c r="G59" s="18" t="n"/>
      <c r="H59" s="68" t="n"/>
      <c r="I59" s="68" t="n"/>
      <c r="J59" s="68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68">
        <f>SUM(AG59:AR59)</f>
        <v/>
      </c>
      <c r="AT59" s="26">
        <f>AS59/12</f>
        <v/>
      </c>
      <c r="AU59" s="19" t="n">
        <v>0</v>
      </c>
      <c r="AV59" s="19" t="n">
        <v>0</v>
      </c>
      <c r="AW59" s="19" t="n">
        <v>2</v>
      </c>
      <c r="AX59" s="19" t="n">
        <v>3</v>
      </c>
      <c r="AY59" s="19" t="n">
        <v>1</v>
      </c>
      <c r="AZ59" s="20">
        <f>SUMIFS(領用表!$L:$L,領用表!$E:$E,$B59,領用表!$B:$B,AZ$2&amp;$BI$1)</f>
        <v/>
      </c>
      <c r="BA59" s="20">
        <f>SUMIFS(領用表!$L:$L,領用表!$E:$E,$B59,領用表!$B:$B,BA$2&amp;$BI$1)</f>
        <v/>
      </c>
      <c r="BB59" s="20">
        <f>SUMIFS(領用表!$L:$L,領用表!$E:$E,$B59,領用表!$B:$B,BB$2&amp;$BI$1)</f>
        <v/>
      </c>
      <c r="BC59" s="20">
        <f>SUMIFS(領用表!$L:$L,領用表!$E:$E,$B59,領用表!$B:$B,BC$2&amp;$BI$1)</f>
        <v/>
      </c>
      <c r="BD59" s="142">
        <f>SUMIFS(領用表!$L:$L,領用表!$E:$E,$B59,領用表!$B:$B,BD$2&amp;$BI$1)</f>
        <v/>
      </c>
      <c r="BE59" s="142">
        <f>SUMIFS(領用表!$L:$L,領用表!$E:$E,$B59,領用表!$B:$B,BE$2&amp;$BI$1)</f>
        <v/>
      </c>
      <c r="BF59" s="142">
        <f>SUMIFS(領用表!$L:$L,領用表!$E:$E,$B59,領用表!$B:$B,BF$2&amp;$BI$1)</f>
        <v/>
      </c>
      <c r="BG59" s="23">
        <f>SUM(AU59,AV59,AW59,AX59,AY59,AZ59,BA59,BB59,BC59,BD59,BE59,BF59)</f>
        <v/>
      </c>
      <c r="BH59" s="23">
        <f>AVERAGE(AU59,AV59,AW59,AX59,AY59,AZ59,BA59,BB59,BC59,BD59,BE59,BF59)</f>
        <v/>
      </c>
      <c r="BI59" s="142">
        <f>SUMIFS(領用表!$L:$L,領用表!$E:$E,$B59,領用表!$B:$B,BI$2&amp;$BI$1)</f>
        <v/>
      </c>
      <c r="BJ59" s="142">
        <f>SUMIFS(領用表!$L:$L,領用表!$E:$E,$B59,領用表!$B:$B,BJ$2&amp;$BI$1)</f>
        <v/>
      </c>
      <c r="BK59" s="142">
        <f>SUMIFS(領用表!$L:$L,領用表!$E:$E,$B59,領用表!$B:$B,BK$2&amp;$BI$1)</f>
        <v/>
      </c>
      <c r="BL59" s="142">
        <f>SUMIFS(領用表!$L:$L,領用表!$E:$E,$B59,領用表!$B:$B,BL$2&amp;$BI$1)</f>
        <v/>
      </c>
      <c r="BM59" s="142">
        <f>SUMIFS(領用表!$L:$L,領用表!$E:$E,$B59,領用表!$B:$B,BM$2&amp;$BI$1)</f>
        <v/>
      </c>
      <c r="BN59" s="142">
        <f>SUMIFS(領用表!$L:$L,領用表!$E:$E,$B59,領用表!$B:$B,BN$2&amp;$BI$1)</f>
        <v/>
      </c>
      <c r="BO59" s="142">
        <f>SUMIFS(領用表!$L:$L,領用表!$E:$E,$B59,領用表!$B:$B,BO$2&amp;$BI$1)</f>
        <v/>
      </c>
      <c r="BP59" s="142">
        <f>SUMIFS(領用表!$L:$L,領用表!$E:$E,$B59,領用表!$B:$B,BP$2&amp;$BI$1)</f>
        <v/>
      </c>
      <c r="BQ59" s="142">
        <f>SUMIFS(領用表!$L:$L,領用表!$E:$E,$B59,領用表!$B:$B,BQ$2&amp;$BI$1)</f>
        <v/>
      </c>
      <c r="BR59" s="142">
        <f>SUMIFS(領用表!$L:$L,領用表!$E:$E,$B59,領用表!$B:$B,BR$2&amp;$BI$1)</f>
        <v/>
      </c>
      <c r="BS59" s="142">
        <f>SUMIFS(領用表!$L:$L,領用表!$E:$E,$B59,領用表!$B:$B,BS$2&amp;$BI$1)</f>
        <v/>
      </c>
      <c r="BT59" s="142">
        <f>SUMIFS(領用表!$L:$L,領用表!$E:$E,$B59,領用表!$B:$B,BT$2&amp;$BI$1)</f>
        <v/>
      </c>
      <c r="BU59" s="142">
        <f>SUM(BI59,BJ59,BK59,BL59,BM59,BN59)</f>
        <v/>
      </c>
      <c r="BV59" s="142">
        <f>AVERAGE(BI59,BJ59,BK59,BL59,BM59,BN59)</f>
        <v/>
      </c>
      <c r="BW59" s="142">
        <f>SUMIF(Summary!B:B,B59,Summary!EA:EA)</f>
        <v/>
      </c>
      <c r="BX59" s="109" t="n"/>
      <c r="BY59" s="65" t="n"/>
      <c r="BZ59" s="65" t="n"/>
      <c r="CA59" s="65" t="n"/>
      <c r="CB59" s="27" t="n"/>
      <c r="CC59" s="27" t="n"/>
      <c r="CD59" s="14" t="n"/>
      <c r="CE59" s="29" t="n"/>
    </row>
    <row r="60" ht="15.75" customHeight="1" s="453">
      <c r="A60" s="27" t="n"/>
      <c r="B60" s="14" t="n">
        <v>6120019</v>
      </c>
      <c r="C60" s="136" t="inlineStr">
        <is>
          <t>信可得</t>
        </is>
      </c>
      <c r="D60" s="77" t="n"/>
      <c r="E60" s="17" t="inlineStr">
        <is>
          <t>PCS</t>
        </is>
      </c>
      <c r="F60" s="18" t="n"/>
      <c r="G60" s="18" t="n"/>
      <c r="H60" s="68" t="n"/>
      <c r="I60" s="68" t="n"/>
      <c r="J60" s="68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68">
        <f>SUM(AG60:AR60)</f>
        <v/>
      </c>
      <c r="AT60" s="26">
        <f>AS60/12</f>
        <v/>
      </c>
      <c r="AU60" s="19" t="n">
        <v>0</v>
      </c>
      <c r="AV60" s="19" t="n">
        <v>0</v>
      </c>
      <c r="AW60" s="19" t="n">
        <v>0</v>
      </c>
      <c r="AX60" s="19" t="n">
        <v>0</v>
      </c>
      <c r="AY60" s="19" t="n">
        <v>5</v>
      </c>
      <c r="AZ60" s="20">
        <f>SUMIFS(領用表!$L:$L,領用表!$E:$E,$B60,領用表!$B:$B,AZ$2&amp;$BI$1)</f>
        <v/>
      </c>
      <c r="BA60" s="20">
        <f>SUMIFS(領用表!$L:$L,領用表!$E:$E,$B60,領用表!$B:$B,BA$2&amp;$BI$1)</f>
        <v/>
      </c>
      <c r="BB60" s="20">
        <f>SUMIFS(領用表!$L:$L,領用表!$E:$E,$B60,領用表!$B:$B,BB$2&amp;$BI$1)</f>
        <v/>
      </c>
      <c r="BC60" s="20">
        <f>SUMIFS(領用表!$L:$L,領用表!$E:$E,$B60,領用表!$B:$B,BC$2&amp;$BI$1)</f>
        <v/>
      </c>
      <c r="BD60" s="142">
        <f>SUMIFS(領用表!$L:$L,領用表!$E:$E,$B60,領用表!$B:$B,BD$2&amp;$BI$1)</f>
        <v/>
      </c>
      <c r="BE60" s="142">
        <f>SUMIFS(領用表!$L:$L,領用表!$E:$E,$B60,領用表!$B:$B,BE$2&amp;$BI$1)</f>
        <v/>
      </c>
      <c r="BF60" s="142">
        <f>SUMIFS(領用表!$L:$L,領用表!$E:$E,$B60,領用表!$B:$B,BF$2&amp;$BI$1)</f>
        <v/>
      </c>
      <c r="BG60" s="23">
        <f>SUM(AU60,AV60,AW60,AX60,AY60,AZ60,BA60,BB60,BC60,BD60,BE60,BF60)</f>
        <v/>
      </c>
      <c r="BH60" s="23">
        <f>AVERAGE(AU60,AV60,AW60,AX60,AY60,AZ60,BA60,BB60,BC60,BD60,BE60,BF60)</f>
        <v/>
      </c>
      <c r="BI60" s="142">
        <f>SUMIFS(領用表!$L:$L,領用表!$E:$E,$B60,領用表!$B:$B,BI$2&amp;$BI$1)</f>
        <v/>
      </c>
      <c r="BJ60" s="142">
        <f>SUMIFS(領用表!$L:$L,領用表!$E:$E,$B60,領用表!$B:$B,BJ$2&amp;$BI$1)</f>
        <v/>
      </c>
      <c r="BK60" s="142">
        <f>SUMIFS(領用表!$L:$L,領用表!$E:$E,$B60,領用表!$B:$B,BK$2&amp;$BI$1)</f>
        <v/>
      </c>
      <c r="BL60" s="142">
        <f>SUMIFS(領用表!$L:$L,領用表!$E:$E,$B60,領用表!$B:$B,BL$2&amp;$BI$1)</f>
        <v/>
      </c>
      <c r="BM60" s="142">
        <f>SUMIFS(領用表!$L:$L,領用表!$E:$E,$B60,領用表!$B:$B,BM$2&amp;$BI$1)</f>
        <v/>
      </c>
      <c r="BN60" s="142" t="n"/>
      <c r="BO60" s="142">
        <f>SUMIFS(領用表!$L:$L,領用表!$E:$E,$B60,領用表!$B:$B,BO$2&amp;$BI$1)</f>
        <v/>
      </c>
      <c r="BP60" s="142">
        <f>SUMIFS(領用表!$L:$L,領用表!$E:$E,$B60,領用表!$B:$B,BP$2&amp;$BI$1)</f>
        <v/>
      </c>
      <c r="BQ60" s="142">
        <f>SUMIFS(領用表!$L:$L,領用表!$E:$E,$B60,領用表!$B:$B,BQ$2&amp;$BI$1)</f>
        <v/>
      </c>
      <c r="BR60" s="142">
        <f>SUMIFS(領用表!$L:$L,領用表!$E:$E,$B60,領用表!$B:$B,BR$2&amp;$BI$1)</f>
        <v/>
      </c>
      <c r="BS60" s="142">
        <f>SUMIFS(領用表!$L:$L,領用表!$E:$E,$B60,領用表!$B:$B,BS$2&amp;$BI$1)</f>
        <v/>
      </c>
      <c r="BT60" s="142">
        <f>SUMIFS(領用表!$L:$L,領用表!$E:$E,$B60,領用表!$B:$B,BT$2&amp;$BI$1)</f>
        <v/>
      </c>
      <c r="BU60" s="142">
        <f>SUM(BI60,BJ60,BK60,BL60,BM60,BN60)</f>
        <v/>
      </c>
      <c r="BV60" s="142">
        <f>AVERAGE(BI60,BJ60,BK60,BL60,BM60,BN60)</f>
        <v/>
      </c>
      <c r="BW60" s="142">
        <f>SUMIF(Summary!B:B,B60,Summary!EA:EA)</f>
        <v/>
      </c>
      <c r="BX60" s="109" t="n"/>
      <c r="BY60" s="65" t="n"/>
      <c r="BZ60" s="65" t="n"/>
      <c r="CA60" s="65" t="n"/>
      <c r="CB60" s="27" t="n"/>
      <c r="CC60" s="27" t="n"/>
      <c r="CD60" s="14" t="n"/>
      <c r="CE60" s="29" t="n"/>
    </row>
    <row r="61" ht="15.75" customHeight="1" s="453">
      <c r="A61" s="27" t="n"/>
      <c r="B61" s="14" t="e">
        <v>#N/A</v>
      </c>
      <c r="C61" s="136" t="inlineStr">
        <is>
          <t>去氧氫化腎上腺皮質素</t>
        </is>
      </c>
      <c r="D61" s="77" t="n"/>
      <c r="E61" s="17" t="inlineStr">
        <is>
          <t>PCS</t>
        </is>
      </c>
      <c r="F61" s="18" t="n"/>
      <c r="G61" s="1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68">
        <f>SUM(AG61:AR61)</f>
        <v/>
      </c>
      <c r="AT61" s="26">
        <f>AS61/12</f>
        <v/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20">
        <f>SUMIFS(領用表!$L:$L,領用表!$E:$E,$B61,領用表!$B:$B,AZ$2&amp;$BI$1)</f>
        <v/>
      </c>
      <c r="BA61" s="20">
        <f>SUMIFS(領用表!$L:$L,領用表!$E:$E,$B61,領用表!$B:$B,BA$2&amp;$BI$1)</f>
        <v/>
      </c>
      <c r="BB61" s="20">
        <f>SUMIFS(領用表!$L:$L,領用表!$E:$E,$B61,領用表!$B:$B,BB$2&amp;$BI$1)</f>
        <v/>
      </c>
      <c r="BC61" s="20">
        <f>SUMIFS(領用表!$L:$L,領用表!$E:$E,$B61,領用表!$B:$B,BC$2&amp;$BI$1)</f>
        <v/>
      </c>
      <c r="BD61" s="142">
        <f>SUMIFS(領用表!$L:$L,領用表!$E:$E,$B61,領用表!$B:$B,BD$2&amp;$BI$1)</f>
        <v/>
      </c>
      <c r="BE61" s="142">
        <f>SUMIFS(領用表!$L:$L,領用表!$E:$E,$B61,領用表!$B:$B,BE$2&amp;$BI$1)</f>
        <v/>
      </c>
      <c r="BF61" s="142">
        <f>SUMIFS(領用表!$L:$L,領用表!$E:$E,$B61,領用表!$B:$B,BF$2&amp;$BI$1)</f>
        <v/>
      </c>
      <c r="BG61" s="23">
        <f>SUM(AU61,AV61,AW61,AX61,AY61,AZ61,BA61,BB61,BC61,BD61,BE61,BF61)</f>
        <v/>
      </c>
      <c r="BH61" s="23">
        <f>AVERAGE(AU61,AV61,AW61,AX61,AY61,AZ61,BA61,BB61,BC61,BD61,BE61,BF61)</f>
        <v/>
      </c>
      <c r="BI61" s="142">
        <f>SUMIFS(領用表!$L:$L,領用表!$E:$E,$B61,領用表!$B:$B,BI$2&amp;$BI$1)</f>
        <v/>
      </c>
      <c r="BJ61" s="142">
        <f>SUMIFS(領用表!$L:$L,領用表!$E:$E,$B61,領用表!$B:$B,BJ$2&amp;$BI$1)</f>
        <v/>
      </c>
      <c r="BK61" s="142">
        <f>SUMIFS(領用表!$L:$L,領用表!$E:$E,$B61,領用表!$B:$B,BK$2&amp;$BI$1)</f>
        <v/>
      </c>
      <c r="BL61" s="142">
        <f>SUMIFS(領用表!$L:$L,領用表!$E:$E,$B61,領用表!$B:$B,BL$2&amp;$BI$1)</f>
        <v/>
      </c>
      <c r="BM61" s="142">
        <f>SUMIFS(領用表!$L:$L,領用表!$E:$E,$B61,領用表!$B:$B,BM$2&amp;$BI$1)</f>
        <v/>
      </c>
      <c r="BN61" s="142">
        <f>SUMIFS(領用表!$L:$L,領用表!$E:$E,$B61,領用表!$B:$B,BN$2&amp;$BI$1)</f>
        <v/>
      </c>
      <c r="BO61" s="142">
        <f>SUMIFS(領用表!$L:$L,領用表!$E:$E,$B61,領用表!$B:$B,BO$2&amp;$BI$1)</f>
        <v/>
      </c>
      <c r="BP61" s="142">
        <f>SUMIFS(領用表!$L:$L,領用表!$E:$E,$B61,領用表!$B:$B,BP$2&amp;$BI$1)</f>
        <v/>
      </c>
      <c r="BQ61" s="142">
        <f>SUMIFS(領用表!$L:$L,領用表!$E:$E,$B61,領用表!$B:$B,BQ$2&amp;$BI$1)</f>
        <v/>
      </c>
      <c r="BR61" s="142">
        <f>SUMIFS(領用表!$L:$L,領用表!$E:$E,$B61,領用表!$B:$B,BR$2&amp;$BI$1)</f>
        <v/>
      </c>
      <c r="BS61" s="142">
        <f>SUMIFS(領用表!$L:$L,領用表!$E:$E,$B61,領用表!$B:$B,BS$2&amp;$BI$1)</f>
        <v/>
      </c>
      <c r="BT61" s="142">
        <f>SUMIFS(領用表!$L:$L,領用表!$E:$E,$B61,領用表!$B:$B,BT$2&amp;$BI$1)</f>
        <v/>
      </c>
      <c r="BU61" s="142">
        <f>SUM(BI61,BJ61,BK61,BL61,BM61,BN61)</f>
        <v/>
      </c>
      <c r="BV61" s="142">
        <f>AVERAGE(BI61,BJ61,BK61,BL61,BM61,BN61)</f>
        <v/>
      </c>
      <c r="BW61" s="142">
        <f>SUMIF(Summary!B:B,B61,Summary!EA:EA)</f>
        <v/>
      </c>
      <c r="BX61" s="109" t="n"/>
      <c r="BY61" s="65" t="n"/>
      <c r="BZ61" s="65" t="n"/>
      <c r="CA61" s="65" t="n"/>
      <c r="CB61" s="27" t="n"/>
      <c r="CC61" s="27" t="n"/>
      <c r="CD61" s="14" t="n"/>
      <c r="CE61" s="29" t="n"/>
    </row>
    <row r="62" ht="15.75" customHeight="1" s="453" thickBot="1">
      <c r="A62" s="27" t="n"/>
      <c r="B62" s="14" t="n">
        <v>6130001</v>
      </c>
      <c r="C62" s="136" t="inlineStr">
        <is>
          <t>降解酶</t>
        </is>
      </c>
      <c r="D62" s="77" t="n"/>
      <c r="E62" s="17" t="inlineStr">
        <is>
          <t>PCS</t>
        </is>
      </c>
      <c r="F62" s="18" t="n"/>
      <c r="G62" s="1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68">
        <f>SUM(AG62:AR62)</f>
        <v/>
      </c>
      <c r="AT62" s="26">
        <f>AS62/12</f>
        <v/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5</v>
      </c>
      <c r="AZ62" s="20">
        <f>SUMIFS(領用表!$L:$L,領用表!$E:$E,$B62,領用表!$B:$B,AZ$2&amp;$BI$1)</f>
        <v/>
      </c>
      <c r="BA62" s="20">
        <f>SUMIFS(領用表!$L:$L,領用表!$E:$E,$B62,領用表!$B:$B,BA$2&amp;$BI$1)</f>
        <v/>
      </c>
      <c r="BB62" s="20">
        <f>SUMIFS(領用表!$L:$L,領用表!$E:$E,$B62,領用表!$B:$B,BB$2&amp;$BI$1)</f>
        <v/>
      </c>
      <c r="BC62" s="20">
        <f>SUMIFS(領用表!$L:$L,領用表!$E:$E,$B62,領用表!$B:$B,BC$2&amp;$BI$1)</f>
        <v/>
      </c>
      <c r="BD62" s="142">
        <f>SUMIFS(領用表!$L:$L,領用表!$E:$E,$B62,領用表!$B:$B,BD$2&amp;$BI$1)</f>
        <v/>
      </c>
      <c r="BE62" s="142">
        <f>SUMIFS(領用表!$L:$L,領用表!$E:$E,$B62,領用表!$B:$B,BE$2&amp;$BI$1)</f>
        <v/>
      </c>
      <c r="BF62" s="142">
        <f>SUMIFS(領用表!$L:$L,領用表!$E:$E,$B62,領用表!$B:$B,BF$2&amp;$BI$1)</f>
        <v/>
      </c>
      <c r="BG62" s="23">
        <f>SUM(AU62,AV62,AW62,AX62,AY62,AZ62,BA62,BB62,BC62,BD62,BE62,BF62)</f>
        <v/>
      </c>
      <c r="BH62" s="23">
        <f>AVERAGE(AU62,AV62,AW62,AX62,AY62,AZ62,BA62,BB62,BC62,BD62,BE62,BF62)</f>
        <v/>
      </c>
      <c r="BI62" s="142">
        <f>SUMIFS(領用表!$L:$L,領用表!$E:$E,$B62,領用表!$B:$B,BI$2&amp;$BI$1)</f>
        <v/>
      </c>
      <c r="BJ62" s="142">
        <f>SUMIFS(領用表!$L:$L,領用表!$E:$E,$B62,領用表!$B:$B,BJ$2&amp;$BI$1)</f>
        <v/>
      </c>
      <c r="BK62" s="142">
        <f>SUMIFS(領用表!$L:$L,領用表!$E:$E,$B62,領用表!$B:$B,BK$2&amp;$BI$1)</f>
        <v/>
      </c>
      <c r="BL62" s="142">
        <f>SUMIFS(領用表!$L:$L,領用表!$E:$E,$B62,領用表!$B:$B,BL$2&amp;$BI$1)</f>
        <v/>
      </c>
      <c r="BM62" s="142">
        <f>SUMIFS(領用表!$L:$L,領用表!$E:$E,$B62,領用表!$B:$B,BM$2&amp;$BI$1)</f>
        <v/>
      </c>
      <c r="BN62" s="142" t="n"/>
      <c r="BO62" s="142">
        <f>SUMIFS(領用表!$L:$L,領用表!$E:$E,$B62,領用表!$B:$B,BO$2&amp;$BI$1)</f>
        <v/>
      </c>
      <c r="BP62" s="142">
        <f>SUMIFS(領用表!$L:$L,領用表!$E:$E,$B62,領用表!$B:$B,BP$2&amp;$BI$1)</f>
        <v/>
      </c>
      <c r="BQ62" s="142">
        <f>SUMIFS(領用表!$L:$L,領用表!$E:$E,$B62,領用表!$B:$B,BQ$2&amp;$BI$1)</f>
        <v/>
      </c>
      <c r="BR62" s="142">
        <f>SUMIFS(領用表!$L:$L,領用表!$E:$E,$B62,領用表!$B:$B,BR$2&amp;$BI$1)</f>
        <v/>
      </c>
      <c r="BS62" s="142">
        <f>SUMIFS(領用表!$L:$L,領用表!$E:$E,$B62,領用表!$B:$B,BS$2&amp;$BI$1)</f>
        <v/>
      </c>
      <c r="BT62" s="142">
        <f>SUMIFS(領用表!$L:$L,領用表!$E:$E,$B62,領用表!$B:$B,BT$2&amp;$BI$1)</f>
        <v/>
      </c>
      <c r="BU62" s="142">
        <f>SUM(BI62,BJ62,BK62,BL62,BM62,BN62)</f>
        <v/>
      </c>
      <c r="BV62" s="142">
        <f>AVERAGE(BI62,BJ62,BK62,BL62,BM62,BN62)</f>
        <v/>
      </c>
      <c r="BW62" s="142">
        <f>SUMIF(Summary!B:B,B62,Summary!EA:EA)</f>
        <v/>
      </c>
      <c r="BX62" s="109" t="n"/>
      <c r="BY62" s="65" t="n"/>
      <c r="BZ62" s="65" t="n"/>
      <c r="CA62" s="65" t="n"/>
      <c r="CB62" s="27" t="n"/>
      <c r="CC62" s="27" t="n"/>
      <c r="CD62" s="14" t="n"/>
      <c r="CE62" s="29" t="n"/>
    </row>
    <row r="63" ht="15.75" customHeight="1" s="453" thickBot="1">
      <c r="A63" s="27" t="inlineStr">
        <is>
          <t>MB3ME090040A</t>
        </is>
      </c>
      <c r="B63" s="190" t="n">
        <v>6120042</v>
      </c>
      <c r="C63" s="136" t="inlineStr">
        <is>
          <t>(類固醇)修克托懸濁Shincort 1ml/支</t>
        </is>
      </c>
      <c r="D63" s="77" t="n"/>
      <c r="E63" s="17" t="n"/>
      <c r="F63" s="18" t="n"/>
      <c r="G63" s="1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68" t="n"/>
      <c r="AT63" s="26" t="n"/>
      <c r="AU63" s="19" t="n"/>
      <c r="AV63" s="19" t="n"/>
      <c r="AW63" s="19" t="n"/>
      <c r="AX63" s="19" t="n"/>
      <c r="AY63" s="19" t="n"/>
      <c r="AZ63" s="20" t="n"/>
      <c r="BA63" s="20" t="n"/>
      <c r="BB63" s="20" t="n"/>
      <c r="BC63" s="20" t="n"/>
      <c r="BD63" s="142">
        <f>SUMIFS(領用表!$L:$L,領用表!$E:$E,$B63,領用表!$B:$B,BD$2&amp;$BI$1)</f>
        <v/>
      </c>
      <c r="BE63" s="142">
        <f>SUMIFS(領用表!$L:$L,領用表!$E:$E,$B63,領用表!$B:$B,BE$2&amp;$BI$1)</f>
        <v/>
      </c>
      <c r="BF63" s="142">
        <f>SUMIFS(領用表!$L:$L,領用表!$E:$E,$B63,領用表!$B:$B,BF$2&amp;$BI$1)</f>
        <v/>
      </c>
      <c r="BG63" s="23">
        <f>SUM(AU63,AV63,AW63,AX63,AY63,AZ63,BA63,BB63,BC63,BD63,BE63,BF63)</f>
        <v/>
      </c>
      <c r="BH63" s="23">
        <f>AVERAGE(AU63,AV63,AW63,AX63,AY63,AZ63,BA63,BB63,BC63,BD63,BE63,BF63)</f>
        <v/>
      </c>
      <c r="BI63" s="142">
        <f>SUMIFS(領用表!$L:$L,領用表!$E:$E,$B63,領用表!$B:$B,BI$2&amp;$BI$1)</f>
        <v/>
      </c>
      <c r="BJ63" s="142">
        <f>SUMIFS(領用表!$L:$L,領用表!$E:$E,$B63,領用表!$B:$B,BJ$2&amp;$BI$1)</f>
        <v/>
      </c>
      <c r="BK63" s="142">
        <f>SUMIFS(領用表!$L:$L,領用表!$E:$E,$B63,領用表!$B:$B,BK$2&amp;$BI$1)</f>
        <v/>
      </c>
      <c r="BL63" s="142">
        <f>SUMIFS(領用表!$L:$L,領用表!$E:$E,$B63,領用表!$B:$B,BL$2&amp;$BI$1)</f>
        <v/>
      </c>
      <c r="BM63" s="142">
        <f>SUMIFS(領用表!$L:$L,領用表!$E:$E,$B63,領用表!$B:$B,BM$2&amp;$BI$1)</f>
        <v/>
      </c>
      <c r="BN63" s="142" t="n"/>
      <c r="BO63" s="142">
        <f>SUMIFS(領用表!$L:$L,領用表!$E:$E,$B63,領用表!$B:$B,BO$2&amp;$BI$1)</f>
        <v/>
      </c>
      <c r="BP63" s="142">
        <f>SUMIFS(領用表!$L:$L,領用表!$E:$E,$B63,領用表!$B:$B,BP$2&amp;$BI$1)</f>
        <v/>
      </c>
      <c r="BQ63" s="142">
        <f>SUMIFS(領用表!$L:$L,領用表!$E:$E,$B63,領用表!$B:$B,BQ$2&amp;$BI$1)</f>
        <v/>
      </c>
      <c r="BR63" s="142">
        <f>SUMIFS(領用表!$L:$L,領用表!$E:$E,$B63,領用表!$B:$B,BR$2&amp;$BI$1)</f>
        <v/>
      </c>
      <c r="BS63" s="142">
        <f>SUMIFS(領用表!$L:$L,領用表!$E:$E,$B63,領用表!$B:$B,BS$2&amp;$BI$1)</f>
        <v/>
      </c>
      <c r="BT63" s="142">
        <f>SUMIFS(領用表!$L:$L,領用表!$E:$E,$B63,領用表!$B:$B,BT$2&amp;$BI$1)</f>
        <v/>
      </c>
      <c r="BU63" s="142">
        <f>SUM(BI63,BJ63,BK63,BL63,BM63,BN63)</f>
        <v/>
      </c>
      <c r="BV63" s="142">
        <f>AVERAGE(BI63,BJ63,BK63,BL63,BM63,BN63)</f>
        <v/>
      </c>
      <c r="BW63" s="142">
        <f>SUMIF(Summary!B:B,B63,Summary!EA:EA)</f>
        <v/>
      </c>
      <c r="BX63" s="109" t="n"/>
      <c r="BY63" s="65" t="n"/>
      <c r="BZ63" s="65" t="n"/>
      <c r="CA63" s="65" t="n"/>
      <c r="CB63" s="27" t="n"/>
      <c r="CC63" s="27" t="n"/>
      <c r="CD63" s="14" t="n"/>
      <c r="CE63" s="29" t="n"/>
    </row>
    <row r="64" ht="15.75" customHeight="1" s="453" thickBot="1">
      <c r="A64" s="27" t="inlineStr">
        <is>
          <t>MB3ME090041A</t>
        </is>
      </c>
      <c r="B64" s="190" t="n">
        <v>6120043</v>
      </c>
      <c r="C64" s="136" t="inlineStr">
        <is>
          <t>(抗組織胺)力克樂 1ml/支</t>
        </is>
      </c>
      <c r="D64" s="77" t="n"/>
      <c r="E64" s="17" t="n"/>
      <c r="F64" s="18" t="n"/>
      <c r="G64" s="18" t="n"/>
      <c r="H64" s="68" t="n"/>
      <c r="I64" s="68" t="n"/>
      <c r="J64" s="68" t="n"/>
      <c r="K64" s="68" t="n"/>
      <c r="L64" s="68" t="n"/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68" t="n"/>
      <c r="AT64" s="26" t="n"/>
      <c r="AU64" s="19" t="n"/>
      <c r="AV64" s="19" t="n"/>
      <c r="AW64" s="19" t="n"/>
      <c r="AX64" s="19" t="n"/>
      <c r="AY64" s="19" t="n"/>
      <c r="AZ64" s="20" t="n"/>
      <c r="BA64" s="20" t="n"/>
      <c r="BB64" s="20" t="n"/>
      <c r="BC64" s="20" t="n"/>
      <c r="BD64" s="142">
        <f>SUMIFS(領用表!$L:$L,領用表!$E:$E,$B64,領用表!$B:$B,BD$2&amp;$BI$1)</f>
        <v/>
      </c>
      <c r="BE64" s="142">
        <f>SUMIFS(領用表!$L:$L,領用表!$E:$E,$B64,領用表!$B:$B,BE$2&amp;$BI$1)</f>
        <v/>
      </c>
      <c r="BF64" s="142">
        <f>SUMIFS(領用表!$L:$L,領用表!$E:$E,$B64,領用表!$B:$B,BF$2&amp;$BI$1)</f>
        <v/>
      </c>
      <c r="BG64" s="23">
        <f>SUM(AU64,AV64,AW64,AX64,AY64,AZ64,BA64,BB64,BC64,BD64,BE64,BF64)</f>
        <v/>
      </c>
      <c r="BH64" s="23">
        <f>AVERAGE(AU64,AV64,AW64,AX64,AY64,AZ64,BA64,BB64,BC64,BD64,BE64,BF64)</f>
        <v/>
      </c>
      <c r="BI64" s="142">
        <f>SUMIFS(領用表!$L:$L,領用表!$E:$E,$B64,領用表!$B:$B,BI$2&amp;$BI$1)</f>
        <v/>
      </c>
      <c r="BJ64" s="142">
        <f>SUMIFS(領用表!$L:$L,領用表!$E:$E,$B64,領用表!$B:$B,BJ$2&amp;$BI$1)</f>
        <v/>
      </c>
      <c r="BK64" s="142">
        <f>SUMIFS(領用表!$L:$L,領用表!$E:$E,$B64,領用表!$B:$B,BK$2&amp;$BI$1)</f>
        <v/>
      </c>
      <c r="BL64" s="142">
        <f>SUMIFS(領用表!$L:$L,領用表!$E:$E,$B64,領用表!$B:$B,BL$2&amp;$BI$1)</f>
        <v/>
      </c>
      <c r="BM64" s="142">
        <f>SUMIFS(領用表!$L:$L,領用表!$E:$E,$B64,領用表!$B:$B,BM$2&amp;$BI$1)</f>
        <v/>
      </c>
      <c r="BN64" s="142" t="n"/>
      <c r="BO64" s="142">
        <f>SUMIFS(領用表!$L:$L,領用表!$E:$E,$B64,領用表!$B:$B,BO$2&amp;$BI$1)</f>
        <v/>
      </c>
      <c r="BP64" s="142">
        <f>SUMIFS(領用表!$L:$L,領用表!$E:$E,$B64,領用表!$B:$B,BP$2&amp;$BI$1)</f>
        <v/>
      </c>
      <c r="BQ64" s="142">
        <f>SUMIFS(領用表!$L:$L,領用表!$E:$E,$B64,領用表!$B:$B,BQ$2&amp;$BI$1)</f>
        <v/>
      </c>
      <c r="BR64" s="142">
        <f>SUMIFS(領用表!$L:$L,領用表!$E:$E,$B64,領用表!$B:$B,BR$2&amp;$BI$1)</f>
        <v/>
      </c>
      <c r="BS64" s="142">
        <f>SUMIFS(領用表!$L:$L,領用表!$E:$E,$B64,領用表!$B:$B,BS$2&amp;$BI$1)</f>
        <v/>
      </c>
      <c r="BT64" s="142">
        <f>SUMIFS(領用表!$L:$L,領用表!$E:$E,$B64,領用表!$B:$B,BT$2&amp;$BI$1)</f>
        <v/>
      </c>
      <c r="BU64" s="142">
        <f>SUM(BI64,BJ64,BK64,BL64,BM64,BN64)</f>
        <v/>
      </c>
      <c r="BV64" s="142">
        <f>AVERAGE(BI64,BJ64,BK64,BL64,BM64,BN64)</f>
        <v/>
      </c>
      <c r="BW64" s="142">
        <f>SUMIF(Summary!B:B,B64,Summary!EA:EA)</f>
        <v/>
      </c>
      <c r="BX64" s="109" t="n"/>
      <c r="BY64" s="65" t="n"/>
      <c r="BZ64" s="65" t="n"/>
      <c r="CA64" s="65" t="n"/>
      <c r="CB64" s="27" t="n"/>
      <c r="CC64" s="27" t="n"/>
      <c r="CD64" s="14" t="n"/>
      <c r="CE64" s="29" t="n"/>
    </row>
    <row r="65" ht="15.75" customHeight="1" s="453" thickBot="1">
      <c r="A65" s="194" t="inlineStr">
        <is>
          <t>MB3ME090042A</t>
        </is>
      </c>
      <c r="B65" s="191" t="n">
        <v>6120044</v>
      </c>
      <c r="C65" s="195" t="inlineStr">
        <is>
          <t>舒疼消熱1ml/支</t>
        </is>
      </c>
      <c r="D65" s="77" t="n"/>
      <c r="E65" s="17" t="n"/>
      <c r="F65" s="18" t="n"/>
      <c r="G65" s="18" t="n"/>
      <c r="H65" s="68" t="n"/>
      <c r="I65" s="68" t="n"/>
      <c r="J65" s="68" t="n"/>
      <c r="K65" s="68" t="n"/>
      <c r="L65" s="68" t="n"/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68" t="n"/>
      <c r="AT65" s="26" t="n"/>
      <c r="AU65" s="19" t="n"/>
      <c r="AV65" s="19" t="n"/>
      <c r="AW65" s="19" t="n"/>
      <c r="AX65" s="19" t="n"/>
      <c r="AY65" s="19" t="n"/>
      <c r="AZ65" s="20" t="n"/>
      <c r="BA65" s="20" t="n"/>
      <c r="BB65" s="20" t="n"/>
      <c r="BC65" s="20" t="n"/>
      <c r="BD65" s="142">
        <f>SUMIFS(領用表!$L:$L,領用表!$E:$E,$B65,領用表!$B:$B,BD$2&amp;$BI$1)</f>
        <v/>
      </c>
      <c r="BE65" s="142">
        <f>SUMIFS(領用表!$L:$L,領用表!$E:$E,$B65,領用表!$B:$B,BE$2&amp;$BI$1)</f>
        <v/>
      </c>
      <c r="BF65" s="142">
        <f>SUMIFS(領用表!$L:$L,領用表!$E:$E,$B65,領用表!$B:$B,BF$2&amp;$BI$1)</f>
        <v/>
      </c>
      <c r="BG65" s="23">
        <f>SUM(AU65,AV65,AW65,AX65,AY65,AZ65,BA65,BB65,BC65,BD65,BE65,BF65)</f>
        <v/>
      </c>
      <c r="BH65" s="23">
        <f>AVERAGE(AU65,AV65,AW65,AX65,AY65,AZ65,BA65,BB65,BC65,BD65,BE65,BF65)</f>
        <v/>
      </c>
      <c r="BI65" s="142">
        <f>SUMIFS(領用表!$L:$L,領用表!$E:$E,$B65,領用表!$B:$B,BI$2&amp;$BI$1)</f>
        <v/>
      </c>
      <c r="BJ65" s="142">
        <f>SUMIFS(領用表!$L:$L,領用表!$E:$E,$B65,領用表!$B:$B,BJ$2&amp;$BI$1)</f>
        <v/>
      </c>
      <c r="BK65" s="142">
        <f>SUMIFS(領用表!$L:$L,領用表!$E:$E,$B65,領用表!$B:$B,BK$2&amp;$BI$1)</f>
        <v/>
      </c>
      <c r="BL65" s="142">
        <f>SUMIFS(領用表!$L:$L,領用表!$E:$E,$B65,領用表!$B:$B,BL$2&amp;$BI$1)</f>
        <v/>
      </c>
      <c r="BM65" s="142">
        <f>SUMIFS(領用表!$L:$L,領用表!$E:$E,$B65,領用表!$B:$B,BM$2&amp;$BI$1)</f>
        <v/>
      </c>
      <c r="BN65" s="142" t="n"/>
      <c r="BO65" s="142">
        <f>SUMIFS(領用表!$L:$L,領用表!$E:$E,$B65,領用表!$B:$B,BO$2&amp;$BI$1)</f>
        <v/>
      </c>
      <c r="BP65" s="142">
        <f>SUMIFS(領用表!$L:$L,領用表!$E:$E,$B65,領用表!$B:$B,BP$2&amp;$BI$1)</f>
        <v/>
      </c>
      <c r="BQ65" s="142">
        <f>SUMIFS(領用表!$L:$L,領用表!$E:$E,$B65,領用表!$B:$B,BQ$2&amp;$BI$1)</f>
        <v/>
      </c>
      <c r="BR65" s="142">
        <f>SUMIFS(領用表!$L:$L,領用表!$E:$E,$B65,領用表!$B:$B,BR$2&amp;$BI$1)</f>
        <v/>
      </c>
      <c r="BS65" s="142">
        <f>SUMIFS(領用表!$L:$L,領用表!$E:$E,$B65,領用表!$B:$B,BS$2&amp;$BI$1)</f>
        <v/>
      </c>
      <c r="BT65" s="142">
        <f>SUMIFS(領用表!$L:$L,領用表!$E:$E,$B65,領用表!$B:$B,BT$2&amp;$BI$1)</f>
        <v/>
      </c>
      <c r="BU65" s="142">
        <f>SUM(BI65,BJ65,BK65,BL65,BM65,BN65)</f>
        <v/>
      </c>
      <c r="BV65" s="142">
        <f>AVERAGE(BI65,BJ65,BK65,BL65,BM65,BN65)</f>
        <v/>
      </c>
      <c r="BW65" s="142">
        <f>SUMIF(Summary!B:B,B65,Summary!EA:EA)</f>
        <v/>
      </c>
      <c r="BX65" s="109" t="n"/>
      <c r="BY65" s="65" t="n"/>
      <c r="BZ65" s="65" t="n"/>
      <c r="CA65" s="65" t="n"/>
      <c r="CB65" s="27" t="n"/>
      <c r="CC65" s="27" t="n"/>
      <c r="CD65" s="14" t="n"/>
      <c r="CE65" s="29" t="n"/>
    </row>
    <row r="66" ht="15.75" customFormat="1" customHeight="1" s="154">
      <c r="A66" s="155" t="n"/>
      <c r="B66" s="155" t="n"/>
      <c r="C66" s="144" t="n"/>
      <c r="D66" s="156" t="n"/>
      <c r="E66" s="157" t="n"/>
      <c r="F66" s="158" t="n"/>
      <c r="G66" s="158" t="n"/>
      <c r="H66" s="159" t="n"/>
      <c r="I66" s="159" t="n"/>
      <c r="J66" s="159" t="n"/>
      <c r="K66" s="159" t="n"/>
      <c r="L66" s="159" t="n"/>
      <c r="M66" s="159" t="n"/>
      <c r="N66" s="159" t="n"/>
      <c r="O66" s="159" t="n"/>
      <c r="P66" s="159" t="n"/>
      <c r="Q66" s="159" t="n"/>
      <c r="R66" s="159" t="n"/>
      <c r="S66" s="159" t="n"/>
      <c r="T66" s="159" t="n"/>
      <c r="U66" s="159" t="n"/>
      <c r="V66" s="159" t="n"/>
      <c r="W66" s="159" t="n"/>
      <c r="X66" s="159" t="n"/>
      <c r="Y66" s="159" t="n"/>
      <c r="Z66" s="159" t="n"/>
      <c r="AA66" s="159" t="n"/>
      <c r="AB66" s="159" t="n"/>
      <c r="AC66" s="159" t="n"/>
      <c r="AD66" s="159" t="n"/>
      <c r="AE66" s="159" t="n"/>
      <c r="AF66" s="159" t="n"/>
      <c r="AG66" s="159" t="n"/>
      <c r="AH66" s="159" t="n"/>
      <c r="AI66" s="159" t="n"/>
      <c r="AJ66" s="159" t="n"/>
      <c r="AK66" s="159" t="n"/>
      <c r="AL66" s="159" t="n"/>
      <c r="AM66" s="159" t="n"/>
      <c r="AN66" s="160" t="n"/>
      <c r="AO66" s="160" t="n"/>
      <c r="AP66" s="160" t="n"/>
      <c r="AQ66" s="159" t="n"/>
      <c r="AR66" s="159" t="n"/>
      <c r="AS66" s="159" t="n"/>
      <c r="AT66" s="159" t="n"/>
      <c r="AU66" s="159" t="n"/>
      <c r="AV66" s="159" t="n"/>
      <c r="AW66" s="159" t="n"/>
      <c r="AX66" s="143" t="n"/>
      <c r="AY66" s="143" t="n"/>
      <c r="AZ66" s="148" t="n"/>
      <c r="BA66" s="143" t="n"/>
      <c r="BB66" s="149" t="n"/>
      <c r="BC66" s="149" t="n"/>
      <c r="BD66" s="150" t="n"/>
      <c r="BE66" s="150" t="n"/>
      <c r="BF66" s="150" t="n"/>
      <c r="BG66" s="150" t="n"/>
      <c r="BH66" s="150" t="n"/>
      <c r="BI66" s="150" t="n"/>
      <c r="BJ66" s="150" t="n"/>
      <c r="BK66" s="150" t="n"/>
      <c r="BL66" s="150" t="n"/>
      <c r="BM66" s="150" t="n"/>
      <c r="BN66" s="150" t="n"/>
      <c r="BO66" s="150" t="n"/>
      <c r="BP66" s="150" t="n"/>
      <c r="BQ66" s="150" t="n"/>
      <c r="BR66" s="150" t="n"/>
      <c r="BS66" s="150" t="n"/>
      <c r="BT66" s="150" t="n"/>
      <c r="BU66" s="150">
        <f>SUM(BI66,BJ66,BK66,BL66,BM66,BN66)</f>
        <v/>
      </c>
      <c r="BV66" s="150">
        <f>AVERAGE(BI66,BJ66,BK66,BL66,BM66,BN66)</f>
        <v/>
      </c>
      <c r="BW66" s="150" t="n"/>
      <c r="BX66" s="161" t="n"/>
      <c r="BY66" s="159" t="n"/>
      <c r="BZ66" s="159" t="n"/>
      <c r="CA66" s="159" t="n"/>
      <c r="CB66" s="155" t="n"/>
      <c r="CC66" s="155" t="n"/>
      <c r="CD66" s="152" t="n"/>
      <c r="CE66" s="152" t="n"/>
    </row>
    <row r="67" ht="15.75" customHeight="1" s="453">
      <c r="A67" s="27" t="inlineStr">
        <is>
          <t>D99AA100001T</t>
        </is>
      </c>
      <c r="B67" s="14" t="n">
        <v>6090001</v>
      </c>
      <c r="C67" s="136" t="inlineStr">
        <is>
          <t>藍銅胜肽舒緩凍膜 180mL(從深坑廠出貨)-</t>
        </is>
      </c>
      <c r="D67" s="77" t="n"/>
      <c r="E67" s="17" t="inlineStr">
        <is>
          <t>PCS</t>
        </is>
      </c>
      <c r="F67" s="18" t="n"/>
      <c r="G67" s="70" t="n"/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  <c r="AA67" s="68" t="n"/>
      <c r="AB67" s="68" t="n"/>
      <c r="AC67" s="68" t="n"/>
      <c r="AD67" s="68" t="n"/>
      <c r="AE67" s="68" t="n"/>
      <c r="AF67" s="68" t="n"/>
      <c r="AG67" s="19" t="n"/>
      <c r="AH67" s="19" t="n"/>
      <c r="AI67" s="19" t="n"/>
      <c r="AJ67" s="19" t="n"/>
      <c r="AK67" s="19" t="n"/>
      <c r="AL67" s="19" t="n"/>
      <c r="AM67" s="19" t="n"/>
      <c r="AN67" s="19" t="n">
        <v>0</v>
      </c>
      <c r="AO67" s="19" t="n">
        <v>0</v>
      </c>
      <c r="AP67" s="19" t="n">
        <v>57</v>
      </c>
      <c r="AQ67" s="19" t="n">
        <v>30</v>
      </c>
      <c r="AR67" s="19" t="n">
        <v>120</v>
      </c>
      <c r="AS67" s="68">
        <f>SUM(AG67:AR67)</f>
        <v/>
      </c>
      <c r="AT67" s="26">
        <f>AS67/12</f>
        <v/>
      </c>
      <c r="AU67" s="19" t="n">
        <v>0</v>
      </c>
      <c r="AV67" s="19" t="n">
        <v>0</v>
      </c>
      <c r="AW67" s="19" t="n">
        <v>60</v>
      </c>
      <c r="AX67" s="19" t="n">
        <v>32</v>
      </c>
      <c r="AY67" s="19" t="n">
        <v>20</v>
      </c>
      <c r="AZ67" s="20">
        <f>SUMIFS(領用表!$L:$L,領用表!$E:$E,$B67,領用表!$B:$B,AZ$2&amp;$BI$1)</f>
        <v/>
      </c>
      <c r="BA67" s="20">
        <f>SUMIFS(領用表!$L:$L,領用表!$E:$E,$B67,領用表!$B:$B,BA$2&amp;$BI$1)</f>
        <v/>
      </c>
      <c r="BB67" s="20">
        <f>SUMIFS(領用表!$L:$L,領用表!$E:$E,$B67,領用表!$B:$B,BB$2&amp;$BI$1)</f>
        <v/>
      </c>
      <c r="BC67" s="20">
        <f>SUMIFS(領用表!$L:$L,領用表!$E:$E,$B67,領用表!$B:$B,BC$2&amp;$BI$1)</f>
        <v/>
      </c>
      <c r="BD67" s="142">
        <f>SUMIFS(領用表!$L:$L,領用表!$E:$E,$B67,領用表!$B:$B,BD$2&amp;$BI$1)</f>
        <v/>
      </c>
      <c r="BE67" s="142">
        <f>SUMIFS(領用表!$L:$L,領用表!$E:$E,$B67,領用表!$B:$B,BE$2&amp;$BI$1)</f>
        <v/>
      </c>
      <c r="BF67" s="142">
        <f>SUMIFS(領用表!$L:$L,領用表!$E:$E,$B67,領用表!$B:$B,BF$2&amp;$BI$1)</f>
        <v/>
      </c>
      <c r="BG67" s="23">
        <f>SUM(AU67,AV67,AW67,AX67,AY67,AZ67,BA67,BB67,BC67,BD67,BE67,BF67)</f>
        <v/>
      </c>
      <c r="BH67" s="23">
        <f>AVERAGE(AU67,AV67,AW67,AX67,AY67,AZ67,BA67,BB67,BC67,BD67,BE67,BF67)</f>
        <v/>
      </c>
      <c r="BI67" s="142">
        <f>SUMIFS(領用表!$L:$L,領用表!$E:$E,$B67,領用表!$B:$B,BI$2&amp;$BI$1)</f>
        <v/>
      </c>
      <c r="BJ67" s="142">
        <f>SUMIFS(領用表!$L:$L,領用表!$E:$E,$B67,領用表!$B:$B,BJ$2&amp;$BI$1)</f>
        <v/>
      </c>
      <c r="BK67" s="142">
        <f>SUMIFS(領用表!$L:$L,領用表!$E:$E,$B67,領用表!$B:$B,BK$2&amp;$BI$1)</f>
        <v/>
      </c>
      <c r="BL67" s="142">
        <f>SUMIFS(領用表!$L:$L,領用表!$E:$E,$B67,領用表!$B:$B,BL$2&amp;$BI$1)</f>
        <v/>
      </c>
      <c r="BM67" s="142">
        <f>SUMIFS(領用表!$L:$L,領用表!$E:$E,$B67,領用表!$B:$B,BM$2&amp;$BI$1)</f>
        <v/>
      </c>
      <c r="BN67" s="142" t="n"/>
      <c r="BO67" s="142">
        <f>SUMIFS(領用表!$L:$L,領用表!$E:$E,$B67,領用表!$B:$B,BO$2&amp;$BI$1)</f>
        <v/>
      </c>
      <c r="BP67" s="142">
        <f>SUMIFS(領用表!$L:$L,領用表!$E:$E,$B67,領用表!$B:$B,BP$2&amp;$BI$1)</f>
        <v/>
      </c>
      <c r="BQ67" s="142">
        <f>SUMIFS(領用表!$L:$L,領用表!$E:$E,$B67,領用表!$B:$B,BQ$2&amp;$BI$1)</f>
        <v/>
      </c>
      <c r="BR67" s="142">
        <f>SUMIFS(領用表!$L:$L,領用表!$E:$E,$B67,領用表!$B:$B,BR$2&amp;$BI$1)</f>
        <v/>
      </c>
      <c r="BS67" s="142">
        <f>SUMIFS(領用表!$L:$L,領用表!$E:$E,$B67,領用表!$B:$B,BS$2&amp;$BI$1)</f>
        <v/>
      </c>
      <c r="BT67" s="142">
        <f>SUMIFS(領用表!$L:$L,領用表!$E:$E,$B67,領用表!$B:$B,BT$2&amp;$BI$1)</f>
        <v/>
      </c>
      <c r="BU67" s="142">
        <f>SUM(BI67,BJ67,BK67,BL67,BM67,BN67)</f>
        <v/>
      </c>
      <c r="BV67" s="142">
        <f>AVERAGE(BI67,BJ67,BK67,BL67,BM67,BN67)</f>
        <v/>
      </c>
      <c r="BW67" s="142">
        <f>SUMIF(Summary!B:B,B67,Summary!EA:EA)</f>
        <v/>
      </c>
      <c r="BX67" s="109" t="n"/>
      <c r="BY67" s="76" t="n"/>
      <c r="BZ67" s="76" t="n"/>
      <c r="CA67" s="76" t="n"/>
      <c r="CB67" s="27" t="inlineStr">
        <is>
          <t>專用料1kg可生產180pcs</t>
        </is>
      </c>
      <c r="CC67" s="27" t="n"/>
      <c r="CD67" s="14" t="n"/>
      <c r="CE67" s="14" t="n"/>
    </row>
    <row r="68" ht="15.75" customHeight="1" s="453">
      <c r="A68" s="78" t="inlineStr">
        <is>
          <t>D99AA050002T</t>
        </is>
      </c>
      <c r="B68" s="14" t="n">
        <v>6050006</v>
      </c>
      <c r="C68" s="136" t="inlineStr">
        <is>
          <t>舒緩修護精萃 180mL(從深坑廠出貨)</t>
        </is>
      </c>
      <c r="D68" s="77" t="n"/>
      <c r="E68" s="17" t="inlineStr">
        <is>
          <t>PCS</t>
        </is>
      </c>
      <c r="F68" s="18" t="n"/>
      <c r="G68" s="70" t="n"/>
      <c r="AR68" s="19" t="n">
        <v>10</v>
      </c>
      <c r="AS68" s="64" t="inlineStr">
        <is>
          <t>-</t>
        </is>
      </c>
      <c r="AT68" s="64" t="inlineStr">
        <is>
          <t>-</t>
        </is>
      </c>
      <c r="AU68" s="19" t="n">
        <v>0</v>
      </c>
      <c r="AV68" s="19" t="n">
        <v>0</v>
      </c>
      <c r="AW68" s="19" t="n">
        <v>0</v>
      </c>
      <c r="AX68" s="19" t="n">
        <v>12</v>
      </c>
      <c r="AY68" s="19" t="n">
        <v>20</v>
      </c>
      <c r="AZ68" s="20">
        <f>SUMIFS(領用表!$L:$L,領用表!$E:$E,$B68,領用表!$B:$B,AZ$2&amp;$BI$1)</f>
        <v/>
      </c>
      <c r="BA68" s="20">
        <f>SUMIFS(領用表!$L:$L,領用表!$E:$E,$B68,領用表!$B:$B,BA$2&amp;$BI$1)</f>
        <v/>
      </c>
      <c r="BB68" s="20">
        <f>SUMIFS(領用表!$L:$L,領用表!$E:$E,$B68,領用表!$B:$B,BB$2&amp;$BI$1)</f>
        <v/>
      </c>
      <c r="BC68" s="20">
        <f>SUMIFS(領用表!$L:$L,領用表!$E:$E,$B68,領用表!$B:$B,BC$2&amp;$BI$1)</f>
        <v/>
      </c>
      <c r="BD68" s="142">
        <f>SUMIFS(領用表!$L:$L,領用表!$E:$E,$B68,領用表!$B:$B,BD$2&amp;$BI$1)</f>
        <v/>
      </c>
      <c r="BE68" s="142">
        <f>SUMIFS(領用表!$L:$L,領用表!$E:$E,$B68,領用表!$B:$B,BE$2&amp;$BI$1)</f>
        <v/>
      </c>
      <c r="BF68" s="142">
        <f>SUMIFS(領用表!$L:$L,領用表!$E:$E,$B68,領用表!$B:$B,BF$2&amp;$BI$1)</f>
        <v/>
      </c>
      <c r="BG68" s="23">
        <f>SUM(AU68,AV68,AW68,AX68,AY68,AZ68,BA68,BB68,BC68,BD68,BE68,BF68)</f>
        <v/>
      </c>
      <c r="BH68" s="23">
        <f>AVERAGE(AU68,AV68,AW68,AX68,AY68,AZ68,BA68,BB68,BC68,BD68,BE68,BF68)</f>
        <v/>
      </c>
      <c r="BI68" s="142">
        <f>SUMIFS(領用表!$L:$L,領用表!$E:$E,$B68,領用表!$B:$B,BI$2&amp;$BI$1)</f>
        <v/>
      </c>
      <c r="BJ68" s="405">
        <f>SUMIFS(領用表!$L:$L,領用表!$E:$E,$B68,領用表!$B:$B,BJ$2&amp;$BI$1)</f>
        <v/>
      </c>
      <c r="BK68" s="405">
        <f>SUMIFS(領用表!$L:$L,領用表!$E:$E,$B68,領用表!$B:$B,BK$2&amp;$BI$1)</f>
        <v/>
      </c>
      <c r="BL68" s="405">
        <f>SUMIFS(領用表!$L:$L,領用表!$E:$E,$B68,領用表!$B:$B,BL$2&amp;$BI$1)</f>
        <v/>
      </c>
      <c r="BM68" s="405">
        <f>SUMIFS(領用表!$L:$L,領用表!$E:$E,$B68,領用表!$B:$B,BM$2&amp;$BI$1)</f>
        <v/>
      </c>
      <c r="BN68" s="405" t="n"/>
      <c r="BO68" s="405">
        <f>SUMIFS(領用表!$L:$L,領用表!$E:$E,$B68,領用表!$B:$B,BO$2&amp;$BI$1)</f>
        <v/>
      </c>
      <c r="BP68" s="405">
        <f>SUMIFS(領用表!$L:$L,領用表!$E:$E,$B68,領用表!$B:$B,BP$2&amp;$BI$1)</f>
        <v/>
      </c>
      <c r="BQ68" s="405">
        <f>SUMIFS(領用表!$L:$L,領用表!$E:$E,$B68,領用表!$B:$B,BQ$2&amp;$BI$1)</f>
        <v/>
      </c>
      <c r="BR68" s="405">
        <f>SUMIFS(領用表!$L:$L,領用表!$E:$E,$B68,領用表!$B:$B,BR$2&amp;$BI$1)</f>
        <v/>
      </c>
      <c r="BS68" s="405">
        <f>SUMIFS(領用表!$L:$L,領用表!$E:$E,$B68,領用表!$B:$B,BS$2&amp;$BI$1)</f>
        <v/>
      </c>
      <c r="BT68" s="405">
        <f>SUMIFS(領用表!$L:$L,領用表!$E:$E,$B68,領用表!$B:$B,BT$2&amp;$BI$1)</f>
        <v/>
      </c>
      <c r="BU68" s="405">
        <f>SUM(BI68,BJ68,BK68,BL68,BM68,BN68)</f>
        <v/>
      </c>
      <c r="BV68" s="405">
        <f>AVERAGE(BI68,BJ68,BK68,BL68,BM68,BN68)</f>
        <v/>
      </c>
      <c r="BW68" s="405">
        <f>SUMIF(Summary!B:B,B68,Summary!EA:EA)</f>
        <v/>
      </c>
      <c r="BY68" s="80" t="n"/>
      <c r="BZ68" s="76" t="n"/>
      <c r="CA68" s="76" t="n"/>
    </row>
    <row r="69" hidden="1" ht="15.75" customHeight="1" s="453">
      <c r="A69" s="27" t="inlineStr">
        <is>
          <t>DN1AA050044T</t>
        </is>
      </c>
      <c r="B69" s="14" t="e">
        <v>#N/A</v>
      </c>
      <c r="C69" s="136" t="inlineStr">
        <is>
          <t>舒緩修護精萃 30mL(2023年版)</t>
        </is>
      </c>
      <c r="D69" s="77" t="n"/>
      <c r="E69" s="17" t="inlineStr">
        <is>
          <t>PCS</t>
        </is>
      </c>
      <c r="F69" s="18" t="n"/>
      <c r="G69" s="70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  <c r="AA69" s="68" t="n"/>
      <c r="AB69" s="68" t="n"/>
      <c r="AC69" s="68" t="n"/>
      <c r="AD69" s="68" t="n"/>
      <c r="AE69" s="68" t="n"/>
      <c r="AF69" s="68" t="n"/>
      <c r="AG69" s="19" t="n"/>
      <c r="AH69" s="19" t="n"/>
      <c r="AI69" s="19" t="n"/>
      <c r="AJ69" s="19" t="n"/>
      <c r="AK69" s="56" t="n"/>
      <c r="AL69" s="81" t="n">
        <v>30</v>
      </c>
      <c r="AM69" s="19" t="n"/>
      <c r="AN69" s="19" t="n">
        <v>20</v>
      </c>
      <c r="AO69" s="19" t="n">
        <v>10</v>
      </c>
      <c r="AP69" s="19" t="n">
        <v>15</v>
      </c>
      <c r="AQ69" s="19" t="n">
        <v>20</v>
      </c>
      <c r="AR69" s="19" t="n">
        <v>60</v>
      </c>
      <c r="AS69" s="68">
        <f>SUM(AG69:AR69)</f>
        <v/>
      </c>
      <c r="AT69" s="26">
        <f>AS69/12</f>
        <v/>
      </c>
      <c r="AU69" s="19" t="n">
        <v>65</v>
      </c>
      <c r="AV69" s="19" t="n">
        <v>24</v>
      </c>
      <c r="AW69" s="64" t="inlineStr">
        <is>
          <t>-</t>
        </is>
      </c>
      <c r="AX69" s="64" t="inlineStr">
        <is>
          <t>-</t>
        </is>
      </c>
      <c r="AY69" s="64" t="inlineStr">
        <is>
          <t>-</t>
        </is>
      </c>
      <c r="AZ69" s="20">
        <f>SUMIFS(領用表!$L:$L,領用表!$E:$E,$B69,領用表!$B:$B,AZ$2&amp;$BI$1)</f>
        <v/>
      </c>
      <c r="BA69" s="20">
        <f>SUMIFS(領用表!$L:$L,領用表!$E:$E,$B69,領用表!$B:$B,BA$2&amp;$BI$1)</f>
        <v/>
      </c>
      <c r="BB69" s="20">
        <f>SUMIFS(領用表!$L:$L,領用表!$E:$E,$B69,領用表!$B:$B,BB$2&amp;$BI$1)</f>
        <v/>
      </c>
      <c r="BC69" s="20">
        <f>SUMIFS(領用表!$L:$L,領用表!$E:$E,$B69,領用表!$B:$B,BC$2&amp;$BI$1)</f>
        <v/>
      </c>
      <c r="BD69" s="142">
        <f>SUMIFS(領用表!$L:$L,領用表!$E:$E,$B69,領用表!$B:$B,BD$2&amp;$BI$1)</f>
        <v/>
      </c>
      <c r="BE69" s="142">
        <f>SUMIFS(領用表!$L:$L,領用表!$E:$E,$B69,領用表!$B:$B,BE$2&amp;$BI$1)</f>
        <v/>
      </c>
      <c r="BF69" s="142">
        <f>SUMIFS(領用表!$L:$L,領用表!$E:$E,$B69,領用表!$B:$B,BF$2&amp;$BI$1)</f>
        <v/>
      </c>
      <c r="BG69" s="23">
        <f>SUM(AU69,AV69,AW69,AX69,AY69,AZ69,BA69,BB69,BC69,BD69,BE69,BF69)</f>
        <v/>
      </c>
      <c r="BH69" s="23">
        <f>AVERAGE(AU69,AV69,AW69,AX69,AY69,AZ69,BA69,BB69,BC69,BD69,BE69,BF69)</f>
        <v/>
      </c>
      <c r="BI69" s="142">
        <f>SUMIFS(領用表!$L:$L,領用表!$E:$E,$B69,領用表!$B:$B,BI$2&amp;$BI$1)</f>
        <v/>
      </c>
      <c r="BJ69" s="142">
        <f>SUMIFS(領用表!$L:$L,領用表!$E:$E,$B69,領用表!$B:$B,BJ$2&amp;$BI$1)</f>
        <v/>
      </c>
      <c r="BK69" s="142">
        <f>SUMIFS(領用表!$L:$L,領用表!$E:$E,$B69,領用表!$B:$B,BK$2&amp;$BI$1)</f>
        <v/>
      </c>
      <c r="BL69" s="142">
        <f>SUMIFS(領用表!$L:$L,領用表!$E:$E,$B69,領用表!$B:$B,BL$2&amp;$BI$1)</f>
        <v/>
      </c>
      <c r="BM69" s="142">
        <f>SUMIFS(領用表!$L:$L,領用表!$E:$E,$B69,領用表!$B:$B,BM$2&amp;$BI$1)</f>
        <v/>
      </c>
      <c r="BN69" s="142">
        <f>SUMIFS(領用表!$L:$L,領用表!$E:$E,$B69,領用表!$B:$B,BN$2&amp;$BI$1)</f>
        <v/>
      </c>
      <c r="BO69" s="142">
        <f>SUMIFS(領用表!$L:$L,領用表!$E:$E,$B69,領用表!$B:$B,BO$2&amp;$BI$1)</f>
        <v/>
      </c>
      <c r="BP69" s="142">
        <f>SUMIFS(領用表!$L:$L,領用表!$E:$E,$B69,領用表!$B:$B,BP$2&amp;$BI$1)</f>
        <v/>
      </c>
      <c r="BQ69" s="142">
        <f>SUMIFS(領用表!$L:$L,領用表!$E:$E,$B69,領用表!$B:$B,BQ$2&amp;$BI$1)</f>
        <v/>
      </c>
      <c r="BR69" s="142">
        <f>SUMIFS(領用表!$L:$L,領用表!$E:$E,$B69,領用表!$B:$B,BR$2&amp;$BI$1)</f>
        <v/>
      </c>
      <c r="BS69" s="142">
        <f>SUMIFS(領用表!$L:$L,領用表!$E:$E,$B69,領用表!$B:$B,BS$2&amp;$BI$1)</f>
        <v/>
      </c>
      <c r="BT69" s="142">
        <f>SUMIFS(領用表!$L:$L,領用表!$E:$E,$B69,領用表!$B:$B,BT$2&amp;$BI$1)</f>
        <v/>
      </c>
      <c r="BU69" s="142">
        <f>SUM(BI69,BJ69,BK69,BL69,BM69,BN69)</f>
        <v/>
      </c>
      <c r="BV69" s="142">
        <f>AVERAGE(BI69,BJ69,BK69,BL69,BM69,BN69)</f>
        <v/>
      </c>
      <c r="BW69" s="142">
        <f>SUMIF(Summary!B:B,B69,Summary!EA:EA)</f>
        <v/>
      </c>
      <c r="BX69" s="109" t="n"/>
      <c r="BY69" s="65" t="n"/>
      <c r="BZ69" s="76" t="n"/>
      <c r="CA69" s="76" t="n"/>
      <c r="CB69" s="27" t="n"/>
      <c r="CC69" s="27" t="n"/>
      <c r="CD69" s="14" t="n"/>
      <c r="CE69" s="14" t="n"/>
    </row>
    <row r="70" hidden="1" ht="15.75" customHeight="1" s="453">
      <c r="A70" s="27" t="inlineStr">
        <is>
          <t>DN1AA050043T</t>
        </is>
      </c>
      <c r="B70" s="14" t="n">
        <v>6050005</v>
      </c>
      <c r="C70" s="136" t="inlineStr">
        <is>
          <t>肌本修護甦活精華 30mL (2023年版)</t>
        </is>
      </c>
      <c r="D70" s="77" t="n"/>
      <c r="E70" s="17" t="inlineStr">
        <is>
          <t>PCS</t>
        </is>
      </c>
      <c r="F70" s="18" t="n"/>
      <c r="G70" s="70" t="n"/>
      <c r="AG70" s="82" t="n"/>
      <c r="AH70" s="82" t="n"/>
      <c r="AI70" s="82" t="n"/>
      <c r="AJ70" s="82" t="n"/>
      <c r="AK70" s="82" t="n"/>
      <c r="AL70" s="82" t="n"/>
      <c r="AM70" s="82" t="n"/>
      <c r="AN70" s="19" t="n">
        <v>0</v>
      </c>
      <c r="AO70" s="19" t="n">
        <v>0</v>
      </c>
      <c r="AP70" s="19" t="n">
        <v>0</v>
      </c>
      <c r="AQ70" s="19" t="n">
        <v>0</v>
      </c>
      <c r="AR70" s="19" t="n">
        <v>0</v>
      </c>
      <c r="AS70" s="68">
        <f>SUM(AG70:AR70)</f>
        <v/>
      </c>
      <c r="AT70" s="26">
        <f>AS70/12</f>
        <v/>
      </c>
      <c r="AU70" s="19" t="n">
        <v>0</v>
      </c>
      <c r="AV70" s="19" t="n">
        <v>72</v>
      </c>
      <c r="AW70" s="19" t="n">
        <v>0</v>
      </c>
      <c r="AX70" s="68" t="n">
        <v>0</v>
      </c>
      <c r="AY70" s="68" t="n">
        <v>0</v>
      </c>
      <c r="AZ70" s="20">
        <f>SUMIFS(領用表!$L:$L,領用表!$E:$E,$B70,領用表!$B:$B,AZ$2&amp;$BI$1)</f>
        <v/>
      </c>
      <c r="BA70" s="20">
        <f>SUMIFS(領用表!$L:$L,領用表!$E:$E,$B70,領用表!$B:$B,BA$2&amp;$BI$1)</f>
        <v/>
      </c>
      <c r="BB70" s="20">
        <f>SUMIFS(領用表!$L:$L,領用表!$E:$E,$B70,領用表!$B:$B,BB$2&amp;$BI$1)</f>
        <v/>
      </c>
      <c r="BC70" s="20">
        <f>SUMIFS(領用表!$L:$L,領用表!$E:$E,$B70,領用表!$B:$B,BC$2&amp;$BI$1)</f>
        <v/>
      </c>
      <c r="BD70" s="142">
        <f>SUMIFS(領用表!$L:$L,領用表!$E:$E,$B70,領用表!$B:$B,BD$2&amp;$BI$1)</f>
        <v/>
      </c>
      <c r="BE70" s="142">
        <f>SUMIFS(領用表!$L:$L,領用表!$E:$E,$B70,領用表!$B:$B,BE$2&amp;$BI$1)</f>
        <v/>
      </c>
      <c r="BF70" s="142">
        <f>SUMIFS(領用表!$L:$L,領用表!$E:$E,$B70,領用表!$B:$B,BF$2&amp;$BI$1)</f>
        <v/>
      </c>
      <c r="BG70" s="23">
        <f>SUM(AU70,AV70,AW70,AX70,AY70,AZ70,BA70,BB70,BC70,BD70,BE70,BF70)</f>
        <v/>
      </c>
      <c r="BH70" s="23">
        <f>AVERAGE(AU70,AV70,AW70,AX70,AY70,AZ70,BA70,BB70,BC70,BD70,BE70,BF70)</f>
        <v/>
      </c>
      <c r="BI70" s="142">
        <f>SUMIFS(領用表!$L:$L,領用表!$E:$E,$B70,領用表!$B:$B,BI$2&amp;$BI$1)</f>
        <v/>
      </c>
      <c r="BJ70" s="142">
        <f>SUMIFS(領用表!$L:$L,領用表!$E:$E,$B70,領用表!$B:$B,BJ$2&amp;$BI$1)</f>
        <v/>
      </c>
      <c r="BK70" s="142">
        <f>SUMIFS(領用表!$L:$L,領用表!$E:$E,$B70,領用表!$B:$B,BK$2&amp;$BI$1)</f>
        <v/>
      </c>
      <c r="BL70" s="142">
        <f>SUMIFS(領用表!$L:$L,領用表!$E:$E,$B70,領用表!$B:$B,BL$2&amp;$BI$1)</f>
        <v/>
      </c>
      <c r="BM70" s="142">
        <f>SUMIFS(領用表!$L:$L,領用表!$E:$E,$B70,領用表!$B:$B,BM$2&amp;$BI$1)</f>
        <v/>
      </c>
      <c r="BN70" s="142" t="n"/>
      <c r="BO70" s="142">
        <f>SUMIFS(領用表!$L:$L,領用表!$E:$E,$B70,領用表!$B:$B,BO$2&amp;$BI$1)</f>
        <v/>
      </c>
      <c r="BP70" s="142">
        <f>SUMIFS(領用表!$L:$L,領用表!$E:$E,$B70,領用表!$B:$B,BP$2&amp;$BI$1)</f>
        <v/>
      </c>
      <c r="BQ70" s="142">
        <f>SUMIFS(領用表!$L:$L,領用表!$E:$E,$B70,領用表!$B:$B,BQ$2&amp;$BI$1)</f>
        <v/>
      </c>
      <c r="BR70" s="142">
        <f>SUMIFS(領用表!$L:$L,領用表!$E:$E,$B70,領用表!$B:$B,BR$2&amp;$BI$1)</f>
        <v/>
      </c>
      <c r="BS70" s="142">
        <f>SUMIFS(領用表!$L:$L,領用表!$E:$E,$B70,領用表!$B:$B,BS$2&amp;$BI$1)</f>
        <v/>
      </c>
      <c r="BT70" s="142">
        <f>SUMIFS(領用表!$L:$L,領用表!$E:$E,$B70,領用表!$B:$B,BT$2&amp;$BI$1)</f>
        <v/>
      </c>
      <c r="BU70" s="142">
        <f>SUM(BI70,BJ70,BK70,BL70,BM70,BN70)</f>
        <v/>
      </c>
      <c r="BV70" s="142">
        <f>AVERAGE(BI70,BJ70,BK70,BL70,BM70,BN70)</f>
        <v/>
      </c>
      <c r="BW70" s="142">
        <f>SUMIF(Summary!B:B,B70,Summary!EA:EA)</f>
        <v/>
      </c>
      <c r="BX70" s="109" t="n"/>
      <c r="BY70" s="65" t="n"/>
      <c r="BZ70" s="76" t="n"/>
      <c r="CA70" s="76" t="n"/>
    </row>
    <row r="71" hidden="1" ht="15.75" customHeight="1" s="453">
      <c r="A71" s="27" t="inlineStr">
        <is>
          <t>DN1AA090015T</t>
        </is>
      </c>
      <c r="B71" s="14" t="n">
        <v>1080002</v>
      </c>
      <c r="C71" s="136" t="inlineStr">
        <is>
          <t>神經醯胺水漾保濕面膜/ 30ml</t>
        </is>
      </c>
      <c r="D71" s="77" t="n"/>
      <c r="E71" s="17" t="inlineStr">
        <is>
          <t>PCS</t>
        </is>
      </c>
      <c r="F71" s="18" t="n"/>
      <c r="G71" s="70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  <c r="AA71" s="68" t="n"/>
      <c r="AB71" s="68" t="n"/>
      <c r="AC71" s="68" t="n"/>
      <c r="AD71" s="68" t="n"/>
      <c r="AE71" s="68" t="n"/>
      <c r="AF71" s="68" t="n"/>
      <c r="AG71" s="19" t="n"/>
      <c r="AH71" s="19" t="n"/>
      <c r="AI71" s="19" t="n"/>
      <c r="AJ71" s="19" t="n"/>
      <c r="AK71" s="19" t="n"/>
      <c r="AL71" s="19" t="n"/>
      <c r="AM71" s="19" t="n"/>
      <c r="AN71" s="19" t="n">
        <v>800</v>
      </c>
      <c r="AO71" s="19" t="n">
        <v>800</v>
      </c>
      <c r="AP71" s="19" t="n">
        <v>800</v>
      </c>
      <c r="AQ71" s="19" t="n">
        <v>3200</v>
      </c>
      <c r="AR71" s="19" t="n">
        <v>4800</v>
      </c>
      <c r="AS71" s="68">
        <f>SUM(AG71:AR71)</f>
        <v/>
      </c>
      <c r="AT71" s="26">
        <f>AS71/12</f>
        <v/>
      </c>
      <c r="AU71" s="19" t="n">
        <v>4649</v>
      </c>
      <c r="AV71" s="19" t="n">
        <v>2263</v>
      </c>
      <c r="AW71" s="19" t="n">
        <v>3200</v>
      </c>
      <c r="AX71" s="19" t="n">
        <v>3777</v>
      </c>
      <c r="AY71" s="19" t="n">
        <v>0</v>
      </c>
      <c r="AZ71" s="20">
        <f>SUMIFS(領用表!$L:$L,領用表!$E:$E,$B71,領用表!$B:$B,AZ$2&amp;$BI$1)</f>
        <v/>
      </c>
      <c r="BA71" s="20">
        <f>SUMIFS(領用表!$L:$L,領用表!$E:$E,$B71,領用表!$B:$B,BA$2&amp;$BI$1)</f>
        <v/>
      </c>
      <c r="BB71" s="20">
        <f>SUMIFS(領用表!$L:$L,領用表!$E:$E,$B71,領用表!$B:$B,BB$2&amp;$BI$1)</f>
        <v/>
      </c>
      <c r="BC71" s="20">
        <f>SUMIFS(領用表!$L:$L,領用表!$E:$E,$B71,領用表!$B:$B,BC$2&amp;$BI$1)</f>
        <v/>
      </c>
      <c r="BD71" s="142">
        <f>SUMIFS(領用表!$L:$L,領用表!$E:$E,$B71,領用表!$B:$B,BD$2&amp;$BI$1)</f>
        <v/>
      </c>
      <c r="BE71" s="142">
        <f>SUMIFS(領用表!$L:$L,領用表!$E:$E,$B71,領用表!$B:$B,BE$2&amp;$BI$1)</f>
        <v/>
      </c>
      <c r="BF71" s="142">
        <f>SUMIFS(領用表!$L:$L,領用表!$E:$E,$B71,領用表!$B:$B,BF$2&amp;$BI$1)</f>
        <v/>
      </c>
      <c r="BG71" s="23">
        <f>SUM(AU71,AV71,AW71,AX71,AY71,AZ71,BA71,BB71,BC71,BD71,BE71,BF71)</f>
        <v/>
      </c>
      <c r="BH71" s="23">
        <f>AVERAGE(AU71,AV71,AW71,AX71,AY71,AZ71,BA71,BB71,BC71,BD71,BE71,BF71)</f>
        <v/>
      </c>
      <c r="BI71" s="142">
        <f>SUMIFS(領用表!$L:$L,領用表!$E:$E,$B71,領用表!$B:$B,BI$2&amp;$BI$1)</f>
        <v/>
      </c>
      <c r="BJ71" s="142">
        <f>SUMIFS(領用表!$L:$L,領用表!$E:$E,$B71,領用表!$B:$B,BJ$2&amp;$BI$1)</f>
        <v/>
      </c>
      <c r="BK71" s="142">
        <f>SUMIFS(領用表!$L:$L,領用表!$E:$E,$B71,領用表!$B:$B,BK$2&amp;$BI$1)</f>
        <v/>
      </c>
      <c r="BL71" s="142">
        <f>SUMIFS(領用表!$L:$L,領用表!$E:$E,$B71,領用表!$B:$B,BL$2&amp;$BI$1)</f>
        <v/>
      </c>
      <c r="BM71" s="142">
        <f>SUMIFS(領用表!$L:$L,領用表!$E:$E,$B71,領用表!$B:$B,BM$2&amp;$BI$1)</f>
        <v/>
      </c>
      <c r="BN71" s="142">
        <f>SUMIFS(領用表!$L:$L,領用表!$E:$E,$B71,領用表!$B:$B,BN$2&amp;$BI$1)</f>
        <v/>
      </c>
      <c r="BO71" s="142">
        <f>SUMIFS(領用表!$L:$L,領用表!$E:$E,$B71,領用表!$B:$B,BO$2&amp;$BI$1)</f>
        <v/>
      </c>
      <c r="BP71" s="142">
        <f>SUMIFS(領用表!$L:$L,領用表!$E:$E,$B71,領用表!$B:$B,BP$2&amp;$BI$1)</f>
        <v/>
      </c>
      <c r="BQ71" s="142">
        <f>SUMIFS(領用表!$L:$L,領用表!$E:$E,$B71,領用表!$B:$B,BQ$2&amp;$BI$1)</f>
        <v/>
      </c>
      <c r="BR71" s="142">
        <f>SUMIFS(領用表!$L:$L,領用表!$E:$E,$B71,領用表!$B:$B,BR$2&amp;$BI$1)</f>
        <v/>
      </c>
      <c r="BS71" s="142">
        <f>SUMIFS(領用表!$L:$L,領用表!$E:$E,$B71,領用表!$B:$B,BS$2&amp;$BI$1)</f>
        <v/>
      </c>
      <c r="BT71" s="142">
        <f>SUMIFS(領用表!$L:$L,領用表!$E:$E,$B71,領用表!$B:$B,BT$2&amp;$BI$1)</f>
        <v/>
      </c>
      <c r="BU71" s="142">
        <f>SUM(BI71,BJ71,BK71,BL71,BM71,BN71)</f>
        <v/>
      </c>
      <c r="BV71" s="142">
        <f>AVERAGE(BI71,BJ71,BK71,BL71,BM71,BN71)</f>
        <v/>
      </c>
      <c r="BW71" s="142">
        <f>SUMIF(Summary!B:B,B71,Summary!EA:EA)</f>
        <v/>
      </c>
      <c r="BX71" s="109" t="n"/>
      <c r="BY71" s="65" t="n"/>
      <c r="BZ71" s="76" t="n"/>
      <c r="CA71" s="76" t="n"/>
      <c r="CB71" s="27" t="n"/>
      <c r="CC71" s="27" t="n"/>
      <c r="CD71" s="14" t="n"/>
      <c r="CE71" s="14" t="n"/>
    </row>
    <row r="72" ht="15.75" customHeight="1" s="453">
      <c r="A72" s="27" t="inlineStr">
        <is>
          <t>DN1AA090011T</t>
        </is>
      </c>
      <c r="B72" s="14" t="n">
        <v>1080006</v>
      </c>
      <c r="C72" s="136" t="inlineStr">
        <is>
          <t>肌因抗老修護微導膜 25ml (2015年版)</t>
        </is>
      </c>
      <c r="D72" s="77" t="n"/>
      <c r="E72" s="17" t="inlineStr">
        <is>
          <t>PCS</t>
        </is>
      </c>
      <c r="F72" s="18" t="n"/>
      <c r="G72" s="70" t="n"/>
      <c r="AG72" s="82" t="n"/>
      <c r="AH72" s="82" t="n"/>
      <c r="AI72" s="82" t="n"/>
      <c r="AJ72" s="82" t="n"/>
      <c r="AK72" s="82" t="n"/>
      <c r="AL72" s="82" t="n"/>
      <c r="AM72" s="82" t="n"/>
      <c r="AN72" s="19" t="n">
        <v>0</v>
      </c>
      <c r="AO72" s="19" t="n">
        <v>0</v>
      </c>
      <c r="AP72" s="19" t="n">
        <v>0</v>
      </c>
      <c r="AQ72" s="19" t="n">
        <v>50</v>
      </c>
      <c r="AR72" s="19" t="n">
        <v>0</v>
      </c>
      <c r="AS72" s="68">
        <f>SUM(AG72:AR72)</f>
        <v/>
      </c>
      <c r="AT72" s="26">
        <f>AS72/12</f>
        <v/>
      </c>
      <c r="AU72" s="19" t="n">
        <v>0</v>
      </c>
      <c r="AV72" s="19" t="n">
        <v>4620</v>
      </c>
      <c r="AW72" s="19" t="n">
        <v>0</v>
      </c>
      <c r="AX72" s="19" t="n">
        <v>0</v>
      </c>
      <c r="AY72" s="19" t="n">
        <v>6400</v>
      </c>
      <c r="AZ72" s="20">
        <f>SUMIFS(領用表!$L:$L,領用表!$E:$E,$B72,領用表!$B:$B,AZ$2&amp;$BI$1)</f>
        <v/>
      </c>
      <c r="BA72" s="20">
        <f>SUMIFS(領用表!$L:$L,領用表!$E:$E,$B72,領用表!$B:$B,BA$2&amp;$BI$1)</f>
        <v/>
      </c>
      <c r="BB72" s="20">
        <f>SUMIFS(領用表!$L:$L,領用表!$E:$E,$B72,領用表!$B:$B,BB$2&amp;$BI$1)</f>
        <v/>
      </c>
      <c r="BC72" s="20">
        <f>SUMIFS(領用表!$L:$L,領用表!$E:$E,$B72,領用表!$B:$B,BC$2&amp;$BI$1)</f>
        <v/>
      </c>
      <c r="BD72" s="142">
        <f>SUMIFS(領用表!$L:$L,領用表!$E:$E,$B72,領用表!$B:$B,BD$2&amp;$BI$1)</f>
        <v/>
      </c>
      <c r="BE72" s="142">
        <f>SUMIFS(領用表!$L:$L,領用表!$E:$E,$B72,領用表!$B:$B,BE$2&amp;$BI$1)</f>
        <v/>
      </c>
      <c r="BF72" s="142">
        <f>SUMIFS(領用表!$L:$L,領用表!$E:$E,$B72,領用表!$B:$B,BF$2&amp;$BI$1)</f>
        <v/>
      </c>
      <c r="BG72" s="23">
        <f>SUM(AU72,AV72,AW72,AX72,AY72,AZ72,BA72,BB72,BC72,BD72,BE72,BF72)</f>
        <v/>
      </c>
      <c r="BH72" s="23">
        <f>AVERAGE(AU72,AV72,AW72,AX72,AY72,AZ72,BA72,BB72,BC72,BD72,BE72,BF72)</f>
        <v/>
      </c>
      <c r="BI72" s="142">
        <f>SUMIFS(領用表!$L:$L,領用表!$E:$E,$B72,領用表!$B:$B,BI$2&amp;$BI$1)</f>
        <v/>
      </c>
      <c r="BJ72" s="142">
        <f>SUMIFS(領用表!$L:$L,領用表!$E:$E,$B72,領用表!$B:$B,BJ$2&amp;$BI$1)</f>
        <v/>
      </c>
      <c r="BK72" s="142">
        <f>SUMIFS(領用表!$L:$L,領用表!$E:$E,$B72,領用表!$B:$B,BK$2&amp;$BI$1)</f>
        <v/>
      </c>
      <c r="BL72" s="142">
        <f>SUMIFS(領用表!$L:$L,領用表!$E:$E,$B72,領用表!$B:$B,BL$2&amp;$BI$1)</f>
        <v/>
      </c>
      <c r="BM72" s="142">
        <f>SUMIFS(領用表!$L:$L,領用表!$E:$E,$B72,領用表!$B:$B,BM$2&amp;$BI$1)</f>
        <v/>
      </c>
      <c r="BN72" s="142">
        <f>SUMIFS(領用表!$L:$L,領用表!$E:$E,$B72,領用表!$B:$B,BN$2&amp;$BI$1)</f>
        <v/>
      </c>
      <c r="BO72" s="142">
        <f>SUMIFS(領用表!$L:$L,領用表!$E:$E,$B72,領用表!$B:$B,BO$2&amp;$BI$1)</f>
        <v/>
      </c>
      <c r="BP72" s="142">
        <f>SUMIFS(領用表!$L:$L,領用表!$E:$E,$B72,領用表!$B:$B,BP$2&amp;$BI$1)</f>
        <v/>
      </c>
      <c r="BQ72" s="142">
        <f>SUMIFS(領用表!$L:$L,領用表!$E:$E,$B72,領用表!$B:$B,BQ$2&amp;$BI$1)</f>
        <v/>
      </c>
      <c r="BR72" s="142">
        <f>SUMIFS(領用表!$L:$L,領用表!$E:$E,$B72,領用表!$B:$B,BR$2&amp;$BI$1)</f>
        <v/>
      </c>
      <c r="BS72" s="142">
        <f>SUMIFS(領用表!$L:$L,領用表!$E:$E,$B72,領用表!$B:$B,BS$2&amp;$BI$1)</f>
        <v/>
      </c>
      <c r="BT72" s="142">
        <f>SUMIFS(領用表!$L:$L,領用表!$E:$E,$B72,領用表!$B:$B,BT$2&amp;$BI$1)</f>
        <v/>
      </c>
      <c r="BU72" s="142">
        <f>SUM(BI72,BJ72,BK72,BL72,BM72,BN72)</f>
        <v/>
      </c>
      <c r="BV72" s="142">
        <f>AVERAGE(BI72,BJ72,BK72,BL72,BM72,BN72)</f>
        <v/>
      </c>
      <c r="BW72" s="142">
        <f>SUMIF(Summary!B:B,B72,Summary!EA:EA)</f>
        <v/>
      </c>
      <c r="BX72" s="109" t="n"/>
      <c r="BY72" s="65" t="n"/>
      <c r="BZ72" s="76" t="n"/>
      <c r="CA72" s="76" t="n"/>
    </row>
    <row r="73" ht="15.75" customHeight="1" s="453">
      <c r="A73" s="27" t="inlineStr">
        <is>
          <t>DL1AA090023T</t>
        </is>
      </c>
      <c r="B73" s="14" t="e">
        <v>#N/A</v>
      </c>
      <c r="C73" s="136" t="inlineStr">
        <is>
          <t>海洋紅藻面膜 30ml</t>
        </is>
      </c>
      <c r="D73" s="77" t="n"/>
      <c r="E73" s="17" t="inlineStr">
        <is>
          <t>PCS</t>
        </is>
      </c>
      <c r="F73" s="18" t="n"/>
      <c r="G73" s="70" t="n"/>
      <c r="AG73" s="82" t="n"/>
      <c r="AH73" s="82" t="n"/>
      <c r="AI73" s="82" t="n"/>
      <c r="AJ73" s="82" t="n"/>
      <c r="AK73" s="82" t="n"/>
      <c r="AL73" s="82" t="n"/>
      <c r="AM73" s="82" t="n"/>
      <c r="AN73" s="19" t="n"/>
      <c r="AO73" s="19" t="n"/>
      <c r="AP73" s="19" t="n"/>
      <c r="AQ73" s="19" t="n"/>
      <c r="AR73" s="19" t="n"/>
      <c r="AS73" s="68" t="n"/>
      <c r="AT73" s="26" t="n"/>
      <c r="AU73" s="19" t="n"/>
      <c r="AV73" s="19" t="n"/>
      <c r="AW73" s="19" t="n"/>
      <c r="AX73" s="19" t="n"/>
      <c r="AY73" s="19" t="n"/>
      <c r="AZ73" s="20">
        <f>SUMIFS(領用表!$L:$L,領用表!$E:$E,$B73,領用表!$B:$B,AZ$2&amp;$BI$1)</f>
        <v/>
      </c>
      <c r="BA73" s="20">
        <f>SUMIFS(領用表!$L:$L,領用表!$E:$E,$B73,領用表!$B:$B,BA$2&amp;$BI$1)</f>
        <v/>
      </c>
      <c r="BB73" s="20">
        <f>SUMIFS(領用表!$L:$L,領用表!$E:$E,$B73,領用表!$B:$B,BB$2&amp;$BI$1)</f>
        <v/>
      </c>
      <c r="BC73" s="20">
        <f>SUMIFS(領用表!$L:$L,領用表!$E:$E,$B73,領用表!$B:$B,BC$2&amp;$BI$1)</f>
        <v/>
      </c>
      <c r="BD73" s="142">
        <f>SUMIFS(領用表!$L:$L,領用表!$E:$E,$B73,領用表!$B:$B,BD$2&amp;$BI$1)</f>
        <v/>
      </c>
      <c r="BE73" s="142">
        <f>SUMIFS(領用表!$L:$L,領用表!$E:$E,$B73,領用表!$B:$B,BE$2&amp;$BI$1)</f>
        <v/>
      </c>
      <c r="BF73" s="142">
        <f>SUMIFS(領用表!$L:$L,領用表!$E:$E,$B73,領用表!$B:$B,BF$2&amp;$BI$1)</f>
        <v/>
      </c>
      <c r="BG73" s="23">
        <f>SUM(AU73,AV73,AW73,AX73,AY73,AZ73,BA73,BB73,BC73,BD73,BE73,BF73)</f>
        <v/>
      </c>
      <c r="BH73" s="23">
        <f>AVERAGE(AU73,AV73,AW73,AX73,AY73,AZ73,BA73,BB73,BC73,BD73,BE73,BF73)</f>
        <v/>
      </c>
      <c r="BI73" s="142">
        <f>SUMIFS(領用表!$L:$L,領用表!$E:$E,$B73,領用表!$B:$B,BI$2&amp;$BI$1)</f>
        <v/>
      </c>
      <c r="BJ73" s="142">
        <f>SUMIFS(領用表!$L:$L,領用表!$E:$E,$B73,領用表!$B:$B,BJ$2&amp;$BI$1)</f>
        <v/>
      </c>
      <c r="BK73" s="142">
        <f>SUMIFS(領用表!$L:$L,領用表!$E:$E,$B73,領用表!$B:$B,BK$2&amp;$BI$1)</f>
        <v/>
      </c>
      <c r="BL73" s="142">
        <f>SUMIFS(領用表!$L:$L,領用表!$E:$E,$B73,領用表!$B:$B,BL$2&amp;$BI$1)</f>
        <v/>
      </c>
      <c r="BM73" s="142">
        <f>SUMIFS(領用表!$L:$L,領用表!$E:$E,$B73,領用表!$B:$B,BM$2&amp;$BI$1)</f>
        <v/>
      </c>
      <c r="BN73" s="142">
        <f>SUMIFS(領用表!$L:$L,領用表!$E:$E,$B73,領用表!$B:$B,BN$2&amp;$BI$1)</f>
        <v/>
      </c>
      <c r="BO73" s="142">
        <f>SUMIFS(領用表!$L:$L,領用表!$E:$E,$B73,領用表!$B:$B,BO$2&amp;$BI$1)</f>
        <v/>
      </c>
      <c r="BP73" s="142">
        <f>SUMIFS(領用表!$L:$L,領用表!$E:$E,$B73,領用表!$B:$B,BP$2&amp;$BI$1)</f>
        <v/>
      </c>
      <c r="BQ73" s="142">
        <f>SUMIFS(領用表!$L:$L,領用表!$E:$E,$B73,領用表!$B:$B,BQ$2&amp;$BI$1)</f>
        <v/>
      </c>
      <c r="BR73" s="142">
        <f>SUMIFS(領用表!$L:$L,領用表!$E:$E,$B73,領用表!$B:$B,BR$2&amp;$BI$1)</f>
        <v/>
      </c>
      <c r="BS73" s="142">
        <f>SUMIFS(領用表!$L:$L,領用表!$E:$E,$B73,領用表!$B:$B,BS$2&amp;$BI$1)</f>
        <v/>
      </c>
      <c r="BT73" s="142">
        <f>SUMIFS(領用表!$L:$L,領用表!$E:$E,$B73,領用表!$B:$B,BT$2&amp;$BI$1)</f>
        <v/>
      </c>
      <c r="BU73" s="142">
        <f>SUM(BI73,BJ73,BK73,BL73,BM73,BN73)</f>
        <v/>
      </c>
      <c r="BV73" s="142">
        <f>AVERAGE(BI73,BJ73,BK73,BL73,BM73,BN73)</f>
        <v/>
      </c>
      <c r="BW73" s="142">
        <f>SUMIF(Summary!B:B,B73,Summary!EA:EA)</f>
        <v/>
      </c>
      <c r="BX73" s="109" t="n"/>
      <c r="BY73" s="65" t="n"/>
      <c r="BZ73" s="76" t="n"/>
      <c r="CA73" s="76" t="n"/>
    </row>
    <row r="74" ht="15.75" customHeight="1" s="453">
      <c r="A74" s="27" t="inlineStr">
        <is>
          <t>DE1AA090013T</t>
        </is>
      </c>
      <c r="B74" s="14" t="n">
        <v>6080005</v>
      </c>
      <c r="C74" s="136" t="inlineStr">
        <is>
          <t>玻尿酸恆潤保濕面膜 30mL</t>
        </is>
      </c>
      <c r="D74" s="77" t="n"/>
      <c r="E74" s="17" t="inlineStr">
        <is>
          <t>PCS</t>
        </is>
      </c>
      <c r="F74" s="18" t="n"/>
      <c r="G74" s="70" t="n"/>
      <c r="AG74" s="82" t="n"/>
      <c r="AH74" s="82" t="n"/>
      <c r="AI74" s="82" t="n"/>
      <c r="AJ74" s="82" t="n"/>
      <c r="AK74" s="82" t="n"/>
      <c r="AL74" s="82" t="n"/>
      <c r="AM74" s="82" t="n"/>
      <c r="AN74" s="19" t="n"/>
      <c r="AO74" s="19" t="n"/>
      <c r="AP74" s="19" t="n"/>
      <c r="AQ74" s="19" t="n"/>
      <c r="AR74" s="19" t="n"/>
      <c r="AS74" s="68" t="n">
        <v>0</v>
      </c>
      <c r="AT74" s="26" t="n">
        <v>0</v>
      </c>
      <c r="AU74" s="19" t="n">
        <v>0</v>
      </c>
      <c r="AV74" s="19" t="n">
        <v>0</v>
      </c>
      <c r="AW74" s="19" t="n">
        <v>0</v>
      </c>
      <c r="AX74" s="19" t="n">
        <v>2400</v>
      </c>
      <c r="AY74" s="19" t="n">
        <v>0</v>
      </c>
      <c r="AZ74" s="20">
        <f>SUMIFS(領用表!$L:$L,領用表!$E:$E,$B74,領用表!$B:$B,AZ$2&amp;$BI$1)</f>
        <v/>
      </c>
      <c r="BA74" s="20">
        <f>SUMIFS(領用表!$L:$L,領用表!$E:$E,$B74,領用表!$B:$B,BA$2&amp;$BI$1)</f>
        <v/>
      </c>
      <c r="BB74" s="20">
        <f>SUMIFS(領用表!$L:$L,領用表!$E:$E,$B74,領用表!$B:$B,BB$2&amp;$BI$1)</f>
        <v/>
      </c>
      <c r="BC74" s="20">
        <f>SUMIFS(領用表!$L:$L,領用表!$E:$E,$B74,領用表!$B:$B,BC$2&amp;$BI$1)</f>
        <v/>
      </c>
      <c r="BD74" s="142">
        <f>SUMIFS(領用表!$L:$L,領用表!$E:$E,$B74,領用表!$B:$B,BD$2&amp;$BI$1)</f>
        <v/>
      </c>
      <c r="BE74" s="142">
        <f>SUMIFS(領用表!$L:$L,領用表!$E:$E,$B74,領用表!$B:$B,BE$2&amp;$BI$1)</f>
        <v/>
      </c>
      <c r="BF74" s="142">
        <f>SUMIFS(領用表!$L:$L,領用表!$E:$E,$B74,領用表!$B:$B,BF$2&amp;$BI$1)</f>
        <v/>
      </c>
      <c r="BG74" s="23">
        <f>SUM(AU74,AV74,AW74,AX74,AY74,AZ74,BA74,BB74,BC74,BD74,BE74,BF74)</f>
        <v/>
      </c>
      <c r="BH74" s="23">
        <f>AVERAGE(AU74,AV74,AW74,AX74,AY74,AZ74,BA74,BB74,BC74,BD74,BE74,BF74)</f>
        <v/>
      </c>
      <c r="BI74" s="142">
        <f>SUMIFS(領用表!$L:$L,領用表!$E:$E,$B74,領用表!$B:$B,BI$2&amp;$BI$1)</f>
        <v/>
      </c>
      <c r="BJ74" s="142">
        <f>SUMIFS(領用表!$L:$L,領用表!$E:$E,$B74,領用表!$B:$B,BJ$2&amp;$BI$1)</f>
        <v/>
      </c>
      <c r="BK74" s="142">
        <f>SUMIFS(領用表!$L:$L,領用表!$E:$E,$B74,領用表!$B:$B,BK$2&amp;$BI$1)</f>
        <v/>
      </c>
      <c r="BL74" s="142">
        <f>SUMIFS(領用表!$L:$L,領用表!$E:$E,$B74,領用表!$B:$B,BL$2&amp;$BI$1)</f>
        <v/>
      </c>
      <c r="BM74" s="142">
        <f>SUMIFS(領用表!$L:$L,領用表!$E:$E,$B74,領用表!$B:$B,BM$2&amp;$BI$1)</f>
        <v/>
      </c>
      <c r="BN74" s="142">
        <f>SUMIFS(領用表!$L:$L,領用表!$E:$E,$B74,領用表!$B:$B,BN$2&amp;$BI$1)</f>
        <v/>
      </c>
      <c r="BO74" s="142">
        <f>SUMIFS(領用表!$L:$L,領用表!$E:$E,$B74,領用表!$B:$B,BO$2&amp;$BI$1)</f>
        <v/>
      </c>
      <c r="BP74" s="142">
        <f>SUMIFS(領用表!$L:$L,領用表!$E:$E,$B74,領用表!$B:$B,BP$2&amp;$BI$1)</f>
        <v/>
      </c>
      <c r="BQ74" s="142">
        <f>SUMIFS(領用表!$L:$L,領用表!$E:$E,$B74,領用表!$B:$B,BQ$2&amp;$BI$1)</f>
        <v/>
      </c>
      <c r="BR74" s="142">
        <f>SUMIFS(領用表!$L:$L,領用表!$E:$E,$B74,領用表!$B:$B,BR$2&amp;$BI$1)</f>
        <v/>
      </c>
      <c r="BS74" s="142">
        <f>SUMIFS(領用表!$L:$L,領用表!$E:$E,$B74,領用表!$B:$B,BS$2&amp;$BI$1)</f>
        <v/>
      </c>
      <c r="BT74" s="142">
        <f>SUMIFS(領用表!$L:$L,領用表!$E:$E,$B74,領用表!$B:$B,BT$2&amp;$BI$1)</f>
        <v/>
      </c>
      <c r="BU74" s="142">
        <f>SUM(BI74,BJ74,BK74,BL74,BM74,BN74)</f>
        <v/>
      </c>
      <c r="BV74" s="142">
        <f>AVERAGE(BI74,BJ74,BK74,BL74,BM74,BN74)</f>
        <v/>
      </c>
      <c r="BW74" s="142">
        <f>SUMIF(Summary!B:B,B74,Summary!EA:EA)</f>
        <v/>
      </c>
      <c r="BX74" s="109" t="n"/>
      <c r="BY74" s="65" t="n"/>
      <c r="BZ74" s="83" t="n"/>
      <c r="CA74" s="76" t="n"/>
    </row>
    <row r="75" ht="15.75" customHeight="1" s="453">
      <c r="A75" s="27" t="inlineStr">
        <is>
          <t>DL1AA090025T</t>
        </is>
      </c>
      <c r="B75" s="14" t="n">
        <v>6080007</v>
      </c>
      <c r="C75" s="136" t="inlineStr">
        <is>
          <t>海洋膠原蛋白面膜 30ml</t>
        </is>
      </c>
      <c r="D75" s="77" t="n"/>
      <c r="E75" s="17" t="inlineStr">
        <is>
          <t>PCS</t>
        </is>
      </c>
      <c r="F75" s="18" t="n"/>
      <c r="G75" s="70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56" t="n"/>
      <c r="AH75" s="56" t="n"/>
      <c r="AI75" s="56" t="n"/>
      <c r="AJ75" s="56" t="n"/>
      <c r="AK75" s="56" t="n"/>
      <c r="AL75" s="56" t="n"/>
      <c r="AM75" s="56" t="n"/>
      <c r="AN75" s="19" t="n"/>
      <c r="AO75" s="19" t="n"/>
      <c r="AP75" s="19" t="n"/>
      <c r="AQ75" s="19" t="n"/>
      <c r="AR75" s="19" t="n"/>
      <c r="AS75" s="68" t="n"/>
      <c r="AT75" s="26" t="n"/>
      <c r="AU75" s="19" t="n"/>
      <c r="AV75" s="19" t="n"/>
      <c r="AW75" s="19" t="n"/>
      <c r="AX75" s="19" t="n"/>
      <c r="AY75" s="19" t="n"/>
      <c r="AZ75" s="20">
        <f>SUMIFS(領用表!$L:$L,領用表!$E:$E,$B75,領用表!$B:$B,AZ$2&amp;$BI$1)</f>
        <v/>
      </c>
      <c r="BA75" s="20">
        <f>SUMIFS(領用表!$L:$L,領用表!$E:$E,$B75,領用表!$B:$B,BA$2&amp;$BI$1)</f>
        <v/>
      </c>
      <c r="BB75" s="20">
        <f>SUMIFS(領用表!$L:$L,領用表!$E:$E,$B75,領用表!$B:$B,BB$2&amp;$BI$1)</f>
        <v/>
      </c>
      <c r="BC75" s="20">
        <f>SUMIFS(領用表!$L:$L,領用表!$E:$E,$B75,領用表!$B:$B,BC$2&amp;$BI$1)</f>
        <v/>
      </c>
      <c r="BD75" s="142">
        <f>SUMIFS(領用表!$L:$L,領用表!$E:$E,$B75,領用表!$B:$B,BD$2&amp;$BI$1)</f>
        <v/>
      </c>
      <c r="BE75" s="142">
        <f>SUMIFS(領用表!$L:$L,領用表!$E:$E,$B75,領用表!$B:$B,BE$2&amp;$BI$1)</f>
        <v/>
      </c>
      <c r="BF75" s="142">
        <f>SUMIFS(領用表!$L:$L,領用表!$E:$E,$B75,領用表!$B:$B,BF$2&amp;$BI$1)</f>
        <v/>
      </c>
      <c r="BG75" s="23">
        <f>SUM(AU75,AV75,AW75,AX75,AY75,AZ75,BA75,BB75,BC75,BD75,BE75,BF75)</f>
        <v/>
      </c>
      <c r="BH75" s="23">
        <f>AVERAGE(AU75,AV75,AW75,AX75,AY75,AZ75,BA75,BB75,BC75,BD75,BE75,BF75)</f>
        <v/>
      </c>
      <c r="BI75" s="142">
        <f>SUMIFS(領用表!$L:$L,領用表!$E:$E,$B75,領用表!$B:$B,BI$2&amp;$BI$1)</f>
        <v/>
      </c>
      <c r="BJ75" s="142">
        <f>SUMIFS(領用表!$L:$L,領用表!$E:$E,$B75,領用表!$B:$B,BJ$2&amp;$BI$1)</f>
        <v/>
      </c>
      <c r="BK75" s="142">
        <f>SUMIFS(領用表!$L:$L,領用表!$E:$E,$B75,領用表!$B:$B,BK$2&amp;$BI$1)</f>
        <v/>
      </c>
      <c r="BL75" s="142">
        <f>SUMIFS(領用表!$L:$L,領用表!$E:$E,$B75,領用表!$B:$B,BL$2&amp;$BI$1)</f>
        <v/>
      </c>
      <c r="BM75" s="142">
        <f>SUMIFS(領用表!$L:$L,領用表!$E:$E,$B75,領用表!$B:$B,BM$2&amp;$BI$1)</f>
        <v/>
      </c>
      <c r="BN75" s="142" t="n"/>
      <c r="BO75" s="142">
        <f>SUMIFS(領用表!$L:$L,領用表!$E:$E,$B75,領用表!$B:$B,BO$2&amp;$BI$1)</f>
        <v/>
      </c>
      <c r="BP75" s="142">
        <f>SUMIFS(領用表!$L:$L,領用表!$E:$E,$B75,領用表!$B:$B,BP$2&amp;$BI$1)</f>
        <v/>
      </c>
      <c r="BQ75" s="142">
        <f>SUMIFS(領用表!$L:$L,領用表!$E:$E,$B75,領用表!$B:$B,BQ$2&amp;$BI$1)</f>
        <v/>
      </c>
      <c r="BR75" s="142">
        <f>SUMIFS(領用表!$L:$L,領用表!$E:$E,$B75,領用表!$B:$B,BR$2&amp;$BI$1)</f>
        <v/>
      </c>
      <c r="BS75" s="142">
        <f>SUMIFS(領用表!$L:$L,領用表!$E:$E,$B75,領用表!$B:$B,BS$2&amp;$BI$1)</f>
        <v/>
      </c>
      <c r="BT75" s="142">
        <f>SUMIFS(領用表!$L:$L,領用表!$E:$E,$B75,領用表!$B:$B,BT$2&amp;$BI$1)</f>
        <v/>
      </c>
      <c r="BU75" s="142">
        <f>SUM(BI75,BJ75,BK75,BL75,BM75,BN75)</f>
        <v/>
      </c>
      <c r="BV75" s="142">
        <f>AVERAGE(BI75,BJ75,BK75,BL75,BM75,BN75)</f>
        <v/>
      </c>
      <c r="BW75" s="142">
        <f>SUMIF(Summary!B:B,B75,Summary!EA:EA)</f>
        <v/>
      </c>
      <c r="BX75" s="109" t="n"/>
      <c r="BY75" s="65" t="n"/>
      <c r="BZ75" s="76" t="n"/>
      <c r="CA75" s="76" t="n"/>
      <c r="CB75" s="14" t="n"/>
      <c r="CC75" s="14" t="n"/>
      <c r="CD75" s="14" t="n"/>
      <c r="CE75" s="14" t="n"/>
    </row>
    <row r="76" ht="15.75" customHeight="1" s="453">
      <c r="A76" s="27" t="inlineStr">
        <is>
          <t>DE1AB090012T</t>
        </is>
      </c>
      <c r="B76" s="14" t="n">
        <v>6080008</v>
      </c>
      <c r="C76" s="136" t="inlineStr">
        <is>
          <t>多肽睛澈修護眼膜 10mL(鈦灰)</t>
        </is>
      </c>
      <c r="D76" s="77" t="n"/>
      <c r="E76" s="17" t="inlineStr">
        <is>
          <t>PCS</t>
        </is>
      </c>
      <c r="F76" s="18" t="n">
        <v>1000</v>
      </c>
      <c r="G76" s="70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56" t="n"/>
      <c r="AH76" s="56" t="n"/>
      <c r="AI76" s="56" t="n"/>
      <c r="AJ76" s="56" t="n"/>
      <c r="AK76" s="56" t="n"/>
      <c r="AL76" s="56" t="n"/>
      <c r="AM76" s="56" t="n"/>
      <c r="AN76" s="19" t="n"/>
      <c r="AO76" s="19" t="n"/>
      <c r="AP76" s="19" t="n"/>
      <c r="AQ76" s="19" t="n"/>
      <c r="AR76" s="19" t="n"/>
      <c r="AS76" s="68" t="n"/>
      <c r="AT76" s="26" t="n"/>
      <c r="AU76" s="19" t="n"/>
      <c r="AV76" s="19" t="n"/>
      <c r="AW76" s="19" t="n"/>
      <c r="AX76" s="19" t="n"/>
      <c r="AY76" s="19" t="n"/>
      <c r="AZ76" s="20">
        <f>SUMIFS(領用表!$L:$L,領用表!$E:$E,$B76,領用表!$B:$B,AZ$2&amp;$BI$1)</f>
        <v/>
      </c>
      <c r="BA76" s="20">
        <f>SUMIFS(領用表!$L:$L,領用表!$E:$E,$B76,領用表!$B:$B,BA$2&amp;$BI$1)</f>
        <v/>
      </c>
      <c r="BB76" s="20">
        <f>SUMIFS(領用表!$L:$L,領用表!$E:$E,$B76,領用表!$B:$B,BB$2&amp;$BI$1)</f>
        <v/>
      </c>
      <c r="BC76" s="20">
        <f>SUMIFS(領用表!$L:$L,領用表!$E:$E,$B76,領用表!$B:$B,BC$2&amp;$BI$1)</f>
        <v/>
      </c>
      <c r="BD76" s="142">
        <f>SUMIFS(領用表!$L:$L,領用表!$E:$E,$B76,領用表!$B:$B,BD$2&amp;$BI$1)</f>
        <v/>
      </c>
      <c r="BE76" s="142">
        <f>SUMIFS(領用表!$L:$L,領用表!$E:$E,$B76,領用表!$B:$B,BE$2&amp;$BI$1)</f>
        <v/>
      </c>
      <c r="BF76" s="142">
        <f>SUMIFS(領用表!$L:$L,領用表!$E:$E,$B76,領用表!$B:$B,BF$2&amp;$BI$1)</f>
        <v/>
      </c>
      <c r="BG76" s="23">
        <f>SUM(AU76,AV76,AW76,AX76,AY76,AZ76,BA76,BB76,BC76,BD76,BE76,BF76)</f>
        <v/>
      </c>
      <c r="BH76" s="23">
        <f>AVERAGE(AU76,AV76,AW76,AX76,AY76,AZ76,BA76,BB76,BC76,BD76,BE76,BF76)</f>
        <v/>
      </c>
      <c r="BI76" s="142">
        <f>SUMIFS(領用表!$L:$L,領用表!$E:$E,$B76,領用表!$B:$B,BI$2&amp;$BI$1)</f>
        <v/>
      </c>
      <c r="BJ76" s="142">
        <f>SUMIFS(領用表!$L:$L,領用表!$E:$E,$B76,領用表!$B:$B,BJ$2&amp;$BI$1)</f>
        <v/>
      </c>
      <c r="BK76" s="142">
        <f>SUMIFS(領用表!$L:$L,領用表!$E:$E,$B76,領用表!$B:$B,BK$2&amp;$BI$1)</f>
        <v/>
      </c>
      <c r="BL76" s="142">
        <f>SUMIFS(領用表!$L:$L,領用表!$E:$E,$B76,領用表!$B:$B,BL$2&amp;$BI$1)</f>
        <v/>
      </c>
      <c r="BM76" s="142">
        <f>SUMIFS(領用表!$L:$L,領用表!$E:$E,$B76,領用表!$B:$B,BM$2&amp;$BI$1)</f>
        <v/>
      </c>
      <c r="BN76" s="142" t="n"/>
      <c r="BO76" s="142">
        <f>SUMIFS(領用表!$L:$L,領用表!$E:$E,$B76,領用表!$B:$B,BO$2&amp;$BI$1)</f>
        <v/>
      </c>
      <c r="BP76" s="142">
        <f>SUMIFS(領用表!$L:$L,領用表!$E:$E,$B76,領用表!$B:$B,BP$2&amp;$BI$1)</f>
        <v/>
      </c>
      <c r="BQ76" s="142">
        <f>SUMIFS(領用表!$L:$L,領用表!$E:$E,$B76,領用表!$B:$B,BQ$2&amp;$BI$1)</f>
        <v/>
      </c>
      <c r="BR76" s="142">
        <f>SUMIFS(領用表!$L:$L,領用表!$E:$E,$B76,領用表!$B:$B,BR$2&amp;$BI$1)</f>
        <v/>
      </c>
      <c r="BS76" s="142">
        <f>SUMIFS(領用表!$L:$L,領用表!$E:$E,$B76,領用表!$B:$B,BS$2&amp;$BI$1)</f>
        <v/>
      </c>
      <c r="BT76" s="142">
        <f>SUMIFS(領用表!$L:$L,領用表!$E:$E,$B76,領用表!$B:$B,BT$2&amp;$BI$1)</f>
        <v/>
      </c>
      <c r="BU76" s="142">
        <f>SUM(BI76,BJ76,BK76,BL76,BM76,BN76)</f>
        <v/>
      </c>
      <c r="BV76" s="142">
        <f>AVERAGE(BI76,BJ76,BK76,BL76,BM76,BN76)</f>
        <v/>
      </c>
      <c r="BW76" s="142">
        <f>SUMIF(Summary!B:B,B76,Summary!EA:EA)</f>
        <v/>
      </c>
      <c r="BX76" s="109" t="n"/>
      <c r="BY76" s="65" t="n"/>
      <c r="BZ76" s="76" t="inlineStr">
        <is>
          <t>4000(10/22)</t>
        </is>
      </c>
      <c r="CA76" s="76" t="n"/>
      <c r="CB76" s="14" t="n"/>
      <c r="CC76" s="14" t="n"/>
      <c r="CD76" s="14" t="n"/>
      <c r="CE76" s="14" t="n"/>
    </row>
    <row r="77" ht="15.75" customHeight="1" s="453">
      <c r="A77" s="27" t="inlineStr">
        <is>
          <t>DN1AA050029T</t>
        </is>
      </c>
      <c r="B77" s="14" t="n">
        <v>1050001</v>
      </c>
      <c r="C77" s="136" t="inlineStr">
        <is>
          <t>優菌防護精華安瓶 6ml(10入)</t>
        </is>
      </c>
      <c r="D77" s="77" t="n"/>
      <c r="E77" s="17" t="inlineStr">
        <is>
          <t>PCS</t>
        </is>
      </c>
      <c r="F77" s="18" t="n"/>
      <c r="G77" s="70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  <c r="AA77" s="68" t="n"/>
      <c r="AB77" s="68" t="n"/>
      <c r="AC77" s="68" t="n"/>
      <c r="AD77" s="68" t="n"/>
      <c r="AE77" s="68" t="n"/>
      <c r="AF77" s="68" t="n"/>
      <c r="AG77" s="19" t="n"/>
      <c r="AH77" s="19" t="n"/>
      <c r="AI77" s="19" t="n"/>
      <c r="AJ77" s="19" t="n"/>
      <c r="AK77" s="19" t="n"/>
      <c r="AL77" s="19" t="n"/>
      <c r="AM77" s="19" t="n"/>
      <c r="AN77" s="19" t="n">
        <v>0</v>
      </c>
      <c r="AO77" s="19" t="n">
        <v>0</v>
      </c>
      <c r="AP77" s="19" t="n">
        <v>0</v>
      </c>
      <c r="AQ77" s="19" t="n">
        <v>0</v>
      </c>
      <c r="AR77" s="19" t="n">
        <v>0</v>
      </c>
      <c r="AS77" s="68">
        <f>SUM(AG77:AR77)</f>
        <v/>
      </c>
      <c r="AT77" s="26">
        <f>AS77/12</f>
        <v/>
      </c>
      <c r="AU77" s="19" t="n">
        <v>0</v>
      </c>
      <c r="AV77" s="19" t="n">
        <v>0</v>
      </c>
      <c r="AW77" s="19" t="n">
        <v>0</v>
      </c>
      <c r="AX77" s="19" t="n">
        <v>48</v>
      </c>
      <c r="AY77" s="19" t="n">
        <v>24</v>
      </c>
      <c r="AZ77" s="20">
        <f>SUMIFS(領用表!$L:$L,領用表!$E:$E,$B77,領用表!$B:$B,AZ$2&amp;$BI$1)</f>
        <v/>
      </c>
      <c r="BA77" s="20">
        <f>SUMIFS(領用表!$L:$L,領用表!$E:$E,$B77,領用表!$B:$B,BA$2&amp;$BI$1)</f>
        <v/>
      </c>
      <c r="BB77" s="20">
        <f>SUMIFS(領用表!$L:$L,領用表!$E:$E,$B77,領用表!$B:$B,BB$2&amp;$BI$1)</f>
        <v/>
      </c>
      <c r="BC77" s="20">
        <f>SUMIFS(領用表!$L:$L,領用表!$E:$E,$B77,領用表!$B:$B,BC$2&amp;$BI$1)</f>
        <v/>
      </c>
      <c r="BD77" s="142">
        <f>SUMIFS(領用表!$L:$L,領用表!$E:$E,$B77,領用表!$B:$B,BD$2&amp;$BI$1)</f>
        <v/>
      </c>
      <c r="BE77" s="142">
        <f>SUMIFS(領用表!$L:$L,領用表!$E:$E,$B77,領用表!$B:$B,BE$2&amp;$BI$1)</f>
        <v/>
      </c>
      <c r="BF77" s="142">
        <f>SUMIFS(領用表!$L:$L,領用表!$E:$E,$B77,領用表!$B:$B,BF$2&amp;$BI$1)</f>
        <v/>
      </c>
      <c r="BG77" s="23">
        <f>SUM(AU77,AV77,AW77,AX77,AY77,AZ77,BA77,BB77,BC77,BD77,BE77,BF77)</f>
        <v/>
      </c>
      <c r="BH77" s="23">
        <f>AVERAGE(AU77,AV77,AW77,AX77,AY77,AZ77,BA77,BB77,BC77,BD77,BE77,BF77)</f>
        <v/>
      </c>
      <c r="BI77" s="142">
        <f>SUMIFS(領用表!$L:$L,領用表!$E:$E,$B77,領用表!$B:$B,BI$2&amp;$BI$1)</f>
        <v/>
      </c>
      <c r="BJ77" s="142">
        <f>SUMIFS(領用表!$L:$L,領用表!$E:$E,$B77,領用表!$B:$B,BJ$2&amp;$BI$1)</f>
        <v/>
      </c>
      <c r="BK77" s="142">
        <f>SUMIFS(領用表!$L:$L,領用表!$E:$E,$B77,領用表!$B:$B,BK$2&amp;$BI$1)</f>
        <v/>
      </c>
      <c r="BL77" s="142">
        <f>SUMIFS(領用表!$L:$L,領用表!$E:$E,$B77,領用表!$B:$B,BL$2&amp;$BI$1)</f>
        <v/>
      </c>
      <c r="BM77" s="142">
        <f>SUMIFS(領用表!$L:$L,領用表!$E:$E,$B77,領用表!$B:$B,BM$2&amp;$BI$1)</f>
        <v/>
      </c>
      <c r="BN77" s="142" t="n"/>
      <c r="BO77" s="142">
        <f>SUMIFS(領用表!$L:$L,領用表!$E:$E,$B77,領用表!$B:$B,BO$2&amp;$BI$1)</f>
        <v/>
      </c>
      <c r="BP77" s="142">
        <f>SUMIFS(領用表!$L:$L,領用表!$E:$E,$B77,領用表!$B:$B,BP$2&amp;$BI$1)</f>
        <v/>
      </c>
      <c r="BQ77" s="142">
        <f>SUMIFS(領用表!$L:$L,領用表!$E:$E,$B77,領用表!$B:$B,BQ$2&amp;$BI$1)</f>
        <v/>
      </c>
      <c r="BR77" s="142">
        <f>SUMIFS(領用表!$L:$L,領用表!$E:$E,$B77,領用表!$B:$B,BR$2&amp;$BI$1)</f>
        <v/>
      </c>
      <c r="BS77" s="142">
        <f>SUMIFS(領用表!$L:$L,領用表!$E:$E,$B77,領用表!$B:$B,BS$2&amp;$BI$1)</f>
        <v/>
      </c>
      <c r="BT77" s="142">
        <f>SUMIFS(領用表!$L:$L,領用表!$E:$E,$B77,領用表!$B:$B,BT$2&amp;$BI$1)</f>
        <v/>
      </c>
      <c r="BU77" s="142">
        <f>SUM(BI77,BJ77,BK77,BL77,BM77,BN77)</f>
        <v/>
      </c>
      <c r="BV77" s="142">
        <f>AVERAGE(BI77,BJ77,BK77,BL77,BM77,BN77)</f>
        <v/>
      </c>
      <c r="BW77" s="142">
        <f>SUMIF(Summary!B:B,B77,Summary!EA:EA)</f>
        <v/>
      </c>
      <c r="BX77" s="109" t="n"/>
      <c r="BY77" s="65" t="n"/>
      <c r="BZ77" s="76" t="n"/>
      <c r="CA77" s="76" t="n"/>
      <c r="CB77" s="27" t="n"/>
      <c r="CC77" s="27" t="n"/>
      <c r="CD77" s="14" t="n"/>
      <c r="CE77" s="14" t="n"/>
    </row>
    <row r="78" ht="15.75" customHeight="1" s="453">
      <c r="A78" s="27" t="inlineStr">
        <is>
          <t>DN1AA050030T</t>
        </is>
      </c>
      <c r="B78" s="14" t="n">
        <v>1050002</v>
      </c>
      <c r="C78" s="136" t="inlineStr">
        <is>
          <t>優菌防護安瓶精華 6ml</t>
        </is>
      </c>
      <c r="D78" s="77" t="n"/>
      <c r="E78" s="17" t="inlineStr">
        <is>
          <t>PCS</t>
        </is>
      </c>
      <c r="F78" s="18" t="n"/>
      <c r="G78" s="70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  <c r="AA78" s="68" t="n"/>
      <c r="AB78" s="68" t="n"/>
      <c r="AC78" s="68" t="n"/>
      <c r="AD78" s="68" t="n"/>
      <c r="AE78" s="68" t="n"/>
      <c r="AF78" s="68" t="n"/>
      <c r="AG78" s="19" t="n"/>
      <c r="AH78" s="19" t="n"/>
      <c r="AI78" s="19" t="n"/>
      <c r="AJ78" s="19" t="n"/>
      <c r="AK78" s="19" t="n"/>
      <c r="AL78" s="19" t="n"/>
      <c r="AM78" s="19" t="n"/>
      <c r="AN78" s="19" t="n">
        <v>0</v>
      </c>
      <c r="AO78" s="19" t="n">
        <v>0</v>
      </c>
      <c r="AP78" s="19" t="n">
        <v>0</v>
      </c>
      <c r="AQ78" s="19" t="n">
        <v>0</v>
      </c>
      <c r="AR78" s="19" t="n">
        <v>0</v>
      </c>
      <c r="AS78" s="68">
        <f>SUM(AG78:AR78)</f>
        <v/>
      </c>
      <c r="AT78" s="26">
        <f>AS78/12</f>
        <v/>
      </c>
      <c r="AU78" s="19" t="n">
        <v>0</v>
      </c>
      <c r="AV78" s="19" t="n">
        <v>0</v>
      </c>
      <c r="AW78" s="19" t="n">
        <v>0</v>
      </c>
      <c r="AX78" s="19" t="n">
        <v>0</v>
      </c>
      <c r="AY78" s="19" t="n">
        <v>0</v>
      </c>
      <c r="AZ78" s="20">
        <f>SUMIFS(領用表!$L:$L,領用表!$E:$E,$B78,領用表!$B:$B,AZ$2&amp;$BI$1)</f>
        <v/>
      </c>
      <c r="BA78" s="20">
        <f>SUMIFS(領用表!$L:$L,領用表!$E:$E,$B78,領用表!$B:$B,BA$2&amp;$BI$1)</f>
        <v/>
      </c>
      <c r="BB78" s="20">
        <f>SUMIFS(領用表!$L:$L,領用表!$E:$E,$B78,領用表!$B:$B,BB$2&amp;$BI$1)</f>
        <v/>
      </c>
      <c r="BC78" s="20">
        <f>SUMIFS(領用表!$L:$L,領用表!$E:$E,$B78,領用表!$B:$B,BC$2&amp;$BI$1)</f>
        <v/>
      </c>
      <c r="BD78" s="142">
        <f>SUMIFS(領用表!$L:$L,領用表!$E:$E,$B78,領用表!$B:$B,BD$2&amp;$BI$1)</f>
        <v/>
      </c>
      <c r="BE78" s="142">
        <f>SUMIFS(領用表!$L:$L,領用表!$E:$E,$B78,領用表!$B:$B,BE$2&amp;$BI$1)</f>
        <v/>
      </c>
      <c r="BF78" s="142">
        <f>SUMIFS(領用表!$L:$L,領用表!$E:$E,$B78,領用表!$B:$B,BF$2&amp;$BI$1)</f>
        <v/>
      </c>
      <c r="BG78" s="23">
        <f>SUM(AU78,AV78,AW78,AX78,AY78,AZ78,BA78,BB78,BC78,BD78,BE78,BF78)</f>
        <v/>
      </c>
      <c r="BH78" s="23">
        <f>AVERAGE(AU78,AV78,AW78,AX78,AY78,AZ78,BA78,BB78,BC78,BD78,BE78,BF78)</f>
        <v/>
      </c>
      <c r="BI78" s="142">
        <f>SUMIFS(領用表!$L:$L,領用表!$E:$E,$B78,領用表!$B:$B,BI$2&amp;$BI$1)</f>
        <v/>
      </c>
      <c r="BJ78" s="142">
        <f>SUMIFS(領用表!$L:$L,領用表!$E:$E,$B78,領用表!$B:$B,BJ$2&amp;$BI$1)</f>
        <v/>
      </c>
      <c r="BK78" s="142">
        <f>SUMIFS(領用表!$L:$L,領用表!$E:$E,$B78,領用表!$B:$B,BK$2&amp;$BI$1)</f>
        <v/>
      </c>
      <c r="BL78" s="142">
        <f>SUMIFS(領用表!$L:$L,領用表!$E:$E,$B78,領用表!$B:$B,BL$2&amp;$BI$1)</f>
        <v/>
      </c>
      <c r="BM78" s="142">
        <f>SUMIFS(領用表!$L:$L,領用表!$E:$E,$B78,領用表!$B:$B,BM$2&amp;$BI$1)</f>
        <v/>
      </c>
      <c r="BN78" s="142" t="n"/>
      <c r="BO78" s="142">
        <f>SUMIFS(領用表!$L:$L,領用表!$E:$E,$B78,領用表!$B:$B,BO$2&amp;$BI$1)</f>
        <v/>
      </c>
      <c r="BP78" s="142">
        <f>SUMIFS(領用表!$L:$L,領用表!$E:$E,$B78,領用表!$B:$B,BP$2&amp;$BI$1)</f>
        <v/>
      </c>
      <c r="BQ78" s="142">
        <f>SUMIFS(領用表!$L:$L,領用表!$E:$E,$B78,領用表!$B:$B,BQ$2&amp;$BI$1)</f>
        <v/>
      </c>
      <c r="BR78" s="142">
        <f>SUMIFS(領用表!$L:$L,領用表!$E:$E,$B78,領用表!$B:$B,BR$2&amp;$BI$1)</f>
        <v/>
      </c>
      <c r="BS78" s="142">
        <f>SUMIFS(領用表!$L:$L,領用表!$E:$E,$B78,領用表!$B:$B,BS$2&amp;$BI$1)</f>
        <v/>
      </c>
      <c r="BT78" s="142">
        <f>SUMIFS(領用表!$L:$L,領用表!$E:$E,$B78,領用表!$B:$B,BT$2&amp;$BI$1)</f>
        <v/>
      </c>
      <c r="BU78" s="142">
        <f>SUM(BI78,BJ78,BK78,BL78,BM78,BN78)</f>
        <v/>
      </c>
      <c r="BV78" s="142">
        <f>AVERAGE(BI78,BJ78,BK78,BL78,BM78,BN78)</f>
        <v/>
      </c>
      <c r="BW78" s="142">
        <f>SUMIF(Summary!B:B,B78,Summary!EA:EA)</f>
        <v/>
      </c>
      <c r="BX78" s="109" t="n"/>
      <c r="BY78" s="65" t="n"/>
      <c r="BZ78" s="76" t="n"/>
      <c r="CA78" s="76" t="n"/>
      <c r="CB78" s="27" t="n"/>
      <c r="CC78" s="27" t="n"/>
      <c r="CD78" s="14" t="n"/>
      <c r="CE78" s="14" t="n"/>
    </row>
    <row r="79" hidden="1" ht="15.75" customHeight="1" s="453">
      <c r="A79" s="27" t="inlineStr">
        <is>
          <t>DN1AA050041T</t>
        </is>
      </c>
      <c r="B79" s="14" t="n">
        <v>1050003</v>
      </c>
      <c r="C79" s="136" t="inlineStr">
        <is>
          <t>冰原天神草彈力超導精華 6mL(玫瑰金)</t>
        </is>
      </c>
      <c r="D79" s="77" t="n"/>
      <c r="E79" s="17" t="inlineStr">
        <is>
          <t>PCS</t>
        </is>
      </c>
      <c r="F79" s="18" t="n"/>
      <c r="G79" s="70" t="n"/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  <c r="AA79" s="68" t="n"/>
      <c r="AB79" s="68" t="n"/>
      <c r="AC79" s="68" t="n"/>
      <c r="AD79" s="68" t="n"/>
      <c r="AE79" s="68" t="n"/>
      <c r="AF79" s="68" t="n"/>
      <c r="AG79" s="19" t="n"/>
      <c r="AH79" s="19" t="n"/>
      <c r="AI79" s="19" t="n"/>
      <c r="AJ79" s="19" t="n"/>
      <c r="AK79" s="19" t="n"/>
      <c r="AL79" s="19" t="n"/>
      <c r="AM79" s="19" t="n"/>
      <c r="AN79" s="19" t="n">
        <v>0</v>
      </c>
      <c r="AO79" s="19" t="n">
        <v>0</v>
      </c>
      <c r="AP79" s="19" t="n">
        <v>0</v>
      </c>
      <c r="AQ79" s="19" t="n">
        <v>0</v>
      </c>
      <c r="AR79" s="19" t="n">
        <v>0</v>
      </c>
      <c r="AS79" s="68">
        <f>SUM(AG79:AR79)</f>
        <v/>
      </c>
      <c r="AT79" s="26">
        <f>AS79/12</f>
        <v/>
      </c>
      <c r="AU79" s="19" t="n">
        <v>0</v>
      </c>
      <c r="AV79" s="19" t="n">
        <v>0</v>
      </c>
      <c r="AW79" s="19" t="n">
        <v>0</v>
      </c>
      <c r="AX79" s="19" t="n">
        <v>0</v>
      </c>
      <c r="AY79" s="19" t="n">
        <v>0</v>
      </c>
      <c r="AZ79" s="20">
        <f>SUMIFS(領用表!$L:$L,領用表!$E:$E,$B79,領用表!$B:$B,AZ$2&amp;$BI$1)</f>
        <v/>
      </c>
      <c r="BA79" s="20">
        <f>SUMIFS(領用表!$L:$L,領用表!$E:$E,$B79,領用表!$B:$B,BA$2&amp;$BI$1)</f>
        <v/>
      </c>
      <c r="BB79" s="20">
        <f>SUMIFS(領用表!$L:$L,領用表!$E:$E,$B79,領用表!$B:$B,BB$2&amp;$BI$1)</f>
        <v/>
      </c>
      <c r="BC79" s="20">
        <f>SUMIFS(領用表!$L:$L,領用表!$E:$E,$B79,領用表!$B:$B,BC$2&amp;$BI$1)</f>
        <v/>
      </c>
      <c r="BD79" s="142">
        <f>SUMIFS(領用表!$L:$L,領用表!$E:$E,$B79,領用表!$B:$B,BD$2&amp;$BI$1)</f>
        <v/>
      </c>
      <c r="BE79" s="142">
        <f>SUMIFS(領用表!$L:$L,領用表!$E:$E,$B79,領用表!$B:$B,BE$2&amp;$BI$1)</f>
        <v/>
      </c>
      <c r="BF79" s="142">
        <f>SUMIFS(領用表!$L:$L,領用表!$E:$E,$B79,領用表!$B:$B,BF$2&amp;$BI$1)</f>
        <v/>
      </c>
      <c r="BG79" s="23">
        <f>SUM(AU79,AV79,AW79,AX79,AY79,AZ79,BA79,BB79,BC79,BD79,BE79,BF79)</f>
        <v/>
      </c>
      <c r="BH79" s="23">
        <f>AVERAGE(AU79,AV79,AW79,AX79,AY79,AZ79,BA79,BB79,BC79,BD79,BE79,BF79)</f>
        <v/>
      </c>
      <c r="BI79" s="142">
        <f>SUMIFS(領用表!$L:$L,領用表!$E:$E,$B79,領用表!$B:$B,BI$2&amp;$BI$1)</f>
        <v/>
      </c>
      <c r="BJ79" s="142">
        <f>SUMIFS(領用表!$L:$L,領用表!$E:$E,$B79,領用表!$B:$B,BJ$2&amp;$BI$1)</f>
        <v/>
      </c>
      <c r="BK79" s="142">
        <f>SUMIFS(領用表!$L:$L,領用表!$E:$E,$B79,領用表!$B:$B,BK$2&amp;$BI$1)</f>
        <v/>
      </c>
      <c r="BL79" s="142">
        <f>SUMIFS(領用表!$L:$L,領用表!$E:$E,$B79,領用表!$B:$B,BL$2&amp;$BI$1)</f>
        <v/>
      </c>
      <c r="BM79" s="142">
        <f>SUMIFS(領用表!$L:$L,領用表!$E:$E,$B79,領用表!$B:$B,BM$2&amp;$BI$1)</f>
        <v/>
      </c>
      <c r="BN79" s="142" t="n"/>
      <c r="BO79" s="142">
        <f>SUMIFS(領用表!$L:$L,領用表!$E:$E,$B79,領用表!$B:$B,BO$2&amp;$BI$1)</f>
        <v/>
      </c>
      <c r="BP79" s="142">
        <f>SUMIFS(領用表!$L:$L,領用表!$E:$E,$B79,領用表!$B:$B,BP$2&amp;$BI$1)</f>
        <v/>
      </c>
      <c r="BQ79" s="142">
        <f>SUMIFS(領用表!$L:$L,領用表!$E:$E,$B79,領用表!$B:$B,BQ$2&amp;$BI$1)</f>
        <v/>
      </c>
      <c r="BR79" s="142">
        <f>SUMIFS(領用表!$L:$L,領用表!$E:$E,$B79,領用表!$B:$B,BR$2&amp;$BI$1)</f>
        <v/>
      </c>
      <c r="BS79" s="142">
        <f>SUMIFS(領用表!$L:$L,領用表!$E:$E,$B79,領用表!$B:$B,BS$2&amp;$BI$1)</f>
        <v/>
      </c>
      <c r="BT79" s="142">
        <f>SUMIFS(領用表!$L:$L,領用表!$E:$E,$B79,領用表!$B:$B,BT$2&amp;$BI$1)</f>
        <v/>
      </c>
      <c r="BU79" s="142">
        <f>SUM(BI79,BJ79,BK79,BL79,BM79,BN79)</f>
        <v/>
      </c>
      <c r="BV79" s="142">
        <f>AVERAGE(BI79,BJ79,BK79,BL79,BM79,BN79)</f>
        <v/>
      </c>
      <c r="BW79" s="142">
        <f>SUMIF(Summary!B:B,B79,Summary!EA:EA)</f>
        <v/>
      </c>
      <c r="BX79" s="109" t="n"/>
      <c r="BY79" s="65" t="n"/>
      <c r="BZ79" s="76" t="n"/>
      <c r="CA79" s="76" t="n"/>
      <c r="CB79" s="27" t="n"/>
      <c r="CC79" s="27" t="n"/>
      <c r="CD79" s="14" t="n"/>
      <c r="CE79" s="14" t="n"/>
    </row>
    <row r="80" ht="15" customHeight="1" s="453">
      <c r="A80" s="27" t="inlineStr">
        <is>
          <t>DL1AA050016T</t>
        </is>
      </c>
      <c r="B80" s="14" t="n">
        <v>6050008</v>
      </c>
      <c r="C80" s="136" t="inlineStr">
        <is>
          <t>花神臻秘玫瑰舒膚安瓶 6ml(含紙套)</t>
        </is>
      </c>
      <c r="D80" s="77" t="n"/>
      <c r="E80" s="17" t="inlineStr">
        <is>
          <t>PCS</t>
        </is>
      </c>
      <c r="F80" s="18" t="n">
        <v>3204</v>
      </c>
      <c r="G80" s="70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  <c r="AA80" s="68" t="n"/>
      <c r="AB80" s="68" t="n"/>
      <c r="AC80" s="68" t="n"/>
      <c r="AD80" s="68" t="n"/>
      <c r="AE80" s="68" t="n"/>
      <c r="AF80" s="68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68" t="n"/>
      <c r="AT80" s="26" t="n"/>
      <c r="AU80" s="19" t="n"/>
      <c r="AV80" s="19" t="n"/>
      <c r="AW80" s="19" t="n"/>
      <c r="AX80" s="19" t="n"/>
      <c r="AY80" s="19" t="n"/>
      <c r="AZ80" s="20">
        <f>SUMIFS(領用表!$L:$L,領用表!$E:$E,$B80,領用表!$B:$B,AZ$2&amp;$BI$1)</f>
        <v/>
      </c>
      <c r="BA80" s="20">
        <f>SUMIFS(領用表!$L:$L,領用表!$E:$E,$B80,領用表!$B:$B,BA$2&amp;$BI$1)</f>
        <v/>
      </c>
      <c r="BB80" s="20">
        <f>SUMIFS(領用表!$L:$L,領用表!$E:$E,$B80,領用表!$B:$B,BB$2&amp;$BI$1)</f>
        <v/>
      </c>
      <c r="BC80" s="20">
        <f>SUMIFS(領用表!$L:$L,領用表!$E:$E,$B80,領用表!$B:$B,BC$2&amp;$BI$1)</f>
        <v/>
      </c>
      <c r="BD80" s="142">
        <f>SUMIFS(領用表!$L:$L,領用表!$E:$E,$B80,領用表!$B:$B,BD$2&amp;$BI$1)</f>
        <v/>
      </c>
      <c r="BE80" s="142">
        <f>SUMIFS(領用表!$L:$L,領用表!$E:$E,$B80,領用表!$B:$B,BE$2&amp;$BI$1)</f>
        <v/>
      </c>
      <c r="BF80" s="142">
        <f>SUMIFS(領用表!$L:$L,領用表!$E:$E,$B80,領用表!$B:$B,BF$2&amp;$BI$1)</f>
        <v/>
      </c>
      <c r="BG80" s="23">
        <f>SUM(AU80,AV80,AW80,AX80,AY80,AZ80,BA80,BB80,BC80,BD80,BE80,BF80)</f>
        <v/>
      </c>
      <c r="BH80" s="23">
        <f>AVERAGE(AU80,AV80,AW80,AX80,AY80,AZ80,BA80,BB80,BC80,BD80,BE80,BF80)</f>
        <v/>
      </c>
      <c r="BI80" s="142">
        <f>SUMIFS(領用表!$L:$L,領用表!$E:$E,$B80,領用表!$B:$B,BI$2&amp;$BI$1)</f>
        <v/>
      </c>
      <c r="BJ80" s="142">
        <f>SUMIFS(領用表!$L:$L,領用表!$E:$E,$B80,領用表!$B:$B,BJ$2&amp;$BI$1)</f>
        <v/>
      </c>
      <c r="BK80" s="142">
        <f>SUMIFS(領用表!$L:$L,領用表!$E:$E,$B80,領用表!$B:$B,BK$2&amp;$BI$1)</f>
        <v/>
      </c>
      <c r="BL80" s="142">
        <f>SUMIFS(領用表!$L:$L,領用表!$E:$E,$B80,領用表!$B:$B,BL$2&amp;$BI$1)</f>
        <v/>
      </c>
      <c r="BM80" s="142">
        <f>SUMIFS(領用表!$L:$L,領用表!$E:$E,$B80,領用表!$B:$B,BM$2&amp;$BI$1)</f>
        <v/>
      </c>
      <c r="BN80" s="142" t="n"/>
      <c r="BO80" s="142">
        <f>SUMIFS(領用表!$L:$L,領用表!$E:$E,$B80,領用表!$B:$B,BO$2&amp;$BI$1)</f>
        <v/>
      </c>
      <c r="BP80" s="142">
        <f>SUMIFS(領用表!$L:$L,領用表!$E:$E,$B80,領用表!$B:$B,BP$2&amp;$BI$1)</f>
        <v/>
      </c>
      <c r="BQ80" s="142">
        <f>SUMIFS(領用表!$L:$L,領用表!$E:$E,$B80,領用表!$B:$B,BQ$2&amp;$BI$1)</f>
        <v/>
      </c>
      <c r="BR80" s="142">
        <f>SUMIFS(領用表!$L:$L,領用表!$E:$E,$B80,領用表!$B:$B,BR$2&amp;$BI$1)</f>
        <v/>
      </c>
      <c r="BS80" s="142">
        <f>SUMIFS(領用表!$L:$L,領用表!$E:$E,$B80,領用表!$B:$B,BS$2&amp;$BI$1)</f>
        <v/>
      </c>
      <c r="BT80" s="142">
        <f>SUMIFS(領用表!$L:$L,領用表!$E:$E,$B80,領用表!$B:$B,BT$2&amp;$BI$1)</f>
        <v/>
      </c>
      <c r="BU80" s="142">
        <f>SUM(BI80,BJ80,BK80,BL80,BM80,BN80)</f>
        <v/>
      </c>
      <c r="BV80" s="142">
        <f>AVERAGE(BI80,BJ80,BK80,BL80,BM80,BN80)</f>
        <v/>
      </c>
      <c r="BW80" s="142">
        <f>SUMIF(Summary!B:B,B80,Summary!EA:EA)</f>
        <v/>
      </c>
      <c r="BX80" s="109" t="n"/>
      <c r="BY80" s="65" t="n"/>
      <c r="BZ80" s="76" t="n"/>
      <c r="CA80" s="76" t="inlineStr">
        <is>
          <t>288(10/22)</t>
        </is>
      </c>
      <c r="CB80" s="27" t="n"/>
      <c r="CC80" s="27" t="n"/>
      <c r="CD80" s="14" t="n"/>
      <c r="CE80" s="14" t="n"/>
    </row>
    <row r="81" ht="15" customHeight="1" s="453">
      <c r="A81" s="27" t="inlineStr">
        <is>
          <t>DN1AA060002T</t>
        </is>
      </c>
      <c r="B81" s="14" t="n">
        <v>1060001</v>
      </c>
      <c r="C81" s="136" t="inlineStr">
        <is>
          <t>金采賦活保濕精華霜 100ml</t>
        </is>
      </c>
      <c r="D81" s="77" t="n"/>
      <c r="E81" s="17" t="inlineStr">
        <is>
          <t>PCS</t>
        </is>
      </c>
      <c r="F81" s="18" t="n"/>
      <c r="G81" s="70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  <c r="AA81" s="68" t="n"/>
      <c r="AB81" s="68" t="n"/>
      <c r="AC81" s="68" t="n"/>
      <c r="AD81" s="68" t="n"/>
      <c r="AE81" s="68" t="n"/>
      <c r="AF81" s="68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68">
        <f>SUM(AG81:AR81)</f>
        <v/>
      </c>
      <c r="AT81" s="26">
        <f>AS81/12</f>
        <v/>
      </c>
      <c r="AU81" s="19" t="n">
        <v>10</v>
      </c>
      <c r="AV81" s="19" t="n">
        <v>16</v>
      </c>
      <c r="AW81" s="19" t="n">
        <v>10</v>
      </c>
      <c r="AX81" s="19" t="n">
        <v>20</v>
      </c>
      <c r="AY81" s="19" t="n">
        <v>20</v>
      </c>
      <c r="AZ81" s="20">
        <f>SUMIFS(領用表!$L:$L,領用表!$E:$E,$B81,領用表!$B:$B,AZ$2&amp;$BI$1)</f>
        <v/>
      </c>
      <c r="BA81" s="20">
        <f>SUMIFS(領用表!$L:$L,領用表!$E:$E,$B81,領用表!$B:$B,BA$2&amp;$BI$1)</f>
        <v/>
      </c>
      <c r="BB81" s="20">
        <f>SUMIFS(領用表!$L:$L,領用表!$E:$E,$B81,領用表!$B:$B,BB$2&amp;$BI$1)</f>
        <v/>
      </c>
      <c r="BC81" s="20">
        <f>SUMIFS(領用表!$L:$L,領用表!$E:$E,$B81,領用表!$B:$B,BC$2&amp;$BI$1)</f>
        <v/>
      </c>
      <c r="BD81" s="142">
        <f>SUMIFS(領用表!$L:$L,領用表!$E:$E,$B81,領用表!$B:$B,BD$2&amp;$BI$1)</f>
        <v/>
      </c>
      <c r="BE81" s="142">
        <f>SUMIFS(領用表!$L:$L,領用表!$E:$E,$B81,領用表!$B:$B,BE$2&amp;$BI$1)</f>
        <v/>
      </c>
      <c r="BF81" s="142">
        <f>SUMIFS(領用表!$L:$L,領用表!$E:$E,$B81,領用表!$B:$B,BF$2&amp;$BI$1)</f>
        <v/>
      </c>
      <c r="BG81" s="23">
        <f>SUM(AU81,AV81,AW81,AX81,AY81,AZ81,BA81,BB81,BC81,BD81,BE81,BF81)</f>
        <v/>
      </c>
      <c r="BH81" s="23">
        <f>AVERAGE(AU81,AV81,AW81,AX81,AY81,AZ81,BA81,BB81,BC81,BD81,BE81,BF81)</f>
        <v/>
      </c>
      <c r="BI81" s="142">
        <f>SUMIFS(領用表!$L:$L,領用表!$E:$E,$B81,領用表!$B:$B,BI$2&amp;$BI$1)</f>
        <v/>
      </c>
      <c r="BJ81" s="142">
        <f>SUMIFS(領用表!$L:$L,領用表!$E:$E,$B81,領用表!$B:$B,BJ$2&amp;$BI$1)</f>
        <v/>
      </c>
      <c r="BK81" s="142">
        <f>SUMIFS(領用表!$L:$L,領用表!$E:$E,$B81,領用表!$B:$B,BK$2&amp;$BI$1)</f>
        <v/>
      </c>
      <c r="BL81" s="142">
        <f>SUMIFS(領用表!$L:$L,領用表!$E:$E,$B81,領用表!$B:$B,BL$2&amp;$BI$1)</f>
        <v/>
      </c>
      <c r="BM81" s="142">
        <f>SUMIFS(領用表!$L:$L,領用表!$E:$E,$B81,領用表!$B:$B,BM$2&amp;$BI$1)</f>
        <v/>
      </c>
      <c r="BN81" s="142" t="n"/>
      <c r="BO81" s="142">
        <f>SUMIFS(領用表!$L:$L,領用表!$E:$E,$B81,領用表!$B:$B,BO$2&amp;$BI$1)</f>
        <v/>
      </c>
      <c r="BP81" s="142">
        <f>SUMIFS(領用表!$L:$L,領用表!$E:$E,$B81,領用表!$B:$B,BP$2&amp;$BI$1)</f>
        <v/>
      </c>
      <c r="BQ81" s="142">
        <f>SUMIFS(領用表!$L:$L,領用表!$E:$E,$B81,領用表!$B:$B,BQ$2&amp;$BI$1)</f>
        <v/>
      </c>
      <c r="BR81" s="142">
        <f>SUMIFS(領用表!$L:$L,領用表!$E:$E,$B81,領用表!$B:$B,BR$2&amp;$BI$1)</f>
        <v/>
      </c>
      <c r="BS81" s="142">
        <f>SUMIFS(領用表!$L:$L,領用表!$E:$E,$B81,領用表!$B:$B,BS$2&amp;$BI$1)</f>
        <v/>
      </c>
      <c r="BT81" s="142">
        <f>SUMIFS(領用表!$L:$L,領用表!$E:$E,$B81,領用表!$B:$B,BT$2&amp;$BI$1)</f>
        <v/>
      </c>
      <c r="BU81" s="142">
        <f>SUM(BI81,BJ81,BK81,BL81,BM81,BN81)</f>
        <v/>
      </c>
      <c r="BV81" s="142">
        <f>AVERAGE(BI81,BJ81,BK81,BL81,BM81,BN81)</f>
        <v/>
      </c>
      <c r="BW81" s="142">
        <f>SUMIF(Summary!B:B,B81,Summary!EA:EA)</f>
        <v/>
      </c>
      <c r="BX81" s="109" t="n"/>
      <c r="BY81" s="65" t="n"/>
      <c r="BZ81" s="76" t="n"/>
      <c r="CA81" s="76" t="n"/>
      <c r="CB81" s="27" t="n"/>
      <c r="CC81" s="27" t="n"/>
      <c r="CD81" s="14" t="n"/>
      <c r="CE81" s="14" t="n"/>
    </row>
    <row r="82" ht="15" customHeight="1" s="453">
      <c r="A82" s="27" t="inlineStr">
        <is>
          <t>DN1AA060004T</t>
        </is>
      </c>
      <c r="B82" s="14" t="n">
        <v>6070002</v>
      </c>
      <c r="C82" s="136" t="inlineStr">
        <is>
          <t>金采賦活保濕精華霜 30ml</t>
        </is>
      </c>
      <c r="D82" s="77" t="n"/>
      <c r="E82" s="17" t="inlineStr">
        <is>
          <t>PCS</t>
        </is>
      </c>
      <c r="F82" s="18" t="n"/>
      <c r="G82" s="70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  <c r="AA82" s="68" t="n"/>
      <c r="AB82" s="68" t="n"/>
      <c r="AC82" s="68" t="n"/>
      <c r="AD82" s="68" t="n"/>
      <c r="AE82" s="68" t="n"/>
      <c r="AF82" s="68" t="n"/>
      <c r="AG82" s="19" t="n"/>
      <c r="AH82" s="19" t="n"/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64" t="inlineStr">
        <is>
          <t>-</t>
        </is>
      </c>
      <c r="AT82" s="64" t="inlineStr">
        <is>
          <t>-</t>
        </is>
      </c>
      <c r="AU82" s="64" t="inlineStr">
        <is>
          <t>-</t>
        </is>
      </c>
      <c r="AV82" s="64" t="inlineStr">
        <is>
          <t>-</t>
        </is>
      </c>
      <c r="AW82" s="64" t="inlineStr">
        <is>
          <t>-</t>
        </is>
      </c>
      <c r="AX82" s="64" t="inlineStr">
        <is>
          <t>-</t>
        </is>
      </c>
      <c r="AY82" s="19" t="n">
        <v>60</v>
      </c>
      <c r="AZ82" s="20">
        <f>SUMIFS(領用表!$L:$L,領用表!$E:$E,$B82,領用表!$B:$B,AZ$2&amp;$BI$1)</f>
        <v/>
      </c>
      <c r="BA82" s="20">
        <f>SUMIFS(領用表!$L:$L,領用表!$E:$E,$B82,領用表!$B:$B,BA$2&amp;$BI$1)</f>
        <v/>
      </c>
      <c r="BB82" s="20">
        <f>SUMIFS(領用表!$L:$L,領用表!$E:$E,$B82,領用表!$B:$B,BB$2&amp;$BI$1)</f>
        <v/>
      </c>
      <c r="BC82" s="20">
        <f>SUMIFS(領用表!$L:$L,領用表!$E:$E,$B82,領用表!$B:$B,BC$2&amp;$BI$1)</f>
        <v/>
      </c>
      <c r="BD82" s="142">
        <f>SUMIFS(領用表!$L:$L,領用表!$E:$E,$B82,領用表!$B:$B,BD$2&amp;$BI$1)</f>
        <v/>
      </c>
      <c r="BE82" s="142">
        <f>SUMIFS(領用表!$L:$L,領用表!$E:$E,$B82,領用表!$B:$B,BE$2&amp;$BI$1)</f>
        <v/>
      </c>
      <c r="BF82" s="142">
        <f>SUMIFS(領用表!$L:$L,領用表!$E:$E,$B82,領用表!$B:$B,BF$2&amp;$BI$1)</f>
        <v/>
      </c>
      <c r="BG82" s="23">
        <f>SUM(AU82,AV82,AW82,AX82,AY82,AZ82,BA82,BB82,BC82,BD82,BE82,BF82)</f>
        <v/>
      </c>
      <c r="BH82" s="23">
        <f>AVERAGE(AU82,AV82,AW82,AX82,AY82,AZ82,BA82,BB82,BC82,BD82,BE82,BF82)</f>
        <v/>
      </c>
      <c r="BI82" s="142">
        <f>SUMIFS(領用表!$L:$L,領用表!$E:$E,$B82,領用表!$B:$B,BI$2&amp;$BI$1)</f>
        <v/>
      </c>
      <c r="BJ82" s="405">
        <f>SUMIFS(領用表!$L:$L,領用表!$E:$E,$B82,領用表!$B:$B,BJ$2&amp;$BI$1)</f>
        <v/>
      </c>
      <c r="BK82" s="405">
        <f>SUMIFS(領用表!$L:$L,領用表!$E:$E,$B82,領用表!$B:$B,BK$2&amp;$BI$1)</f>
        <v/>
      </c>
      <c r="BL82" s="405">
        <f>SUMIFS(領用表!$L:$L,領用表!$E:$E,$B82,領用表!$B:$B,BL$2&amp;$BI$1)</f>
        <v/>
      </c>
      <c r="BM82" s="405">
        <f>SUMIFS(領用表!$L:$L,領用表!$E:$E,$B82,領用表!$B:$B,BM$2&amp;$BI$1)</f>
        <v/>
      </c>
      <c r="BN82" s="405" t="n"/>
      <c r="BO82" s="405">
        <f>SUMIFS(領用表!$L:$L,領用表!$E:$E,$B82,領用表!$B:$B,BO$2&amp;$BI$1)</f>
        <v/>
      </c>
      <c r="BP82" s="405">
        <f>SUMIFS(領用表!$L:$L,領用表!$E:$E,$B82,領用表!$B:$B,BP$2&amp;$BI$1)</f>
        <v/>
      </c>
      <c r="BQ82" s="405">
        <f>SUMIFS(領用表!$L:$L,領用表!$E:$E,$B82,領用表!$B:$B,BQ$2&amp;$BI$1)</f>
        <v/>
      </c>
      <c r="BR82" s="405">
        <f>SUMIFS(領用表!$L:$L,領用表!$E:$E,$B82,領用表!$B:$B,BR$2&amp;$BI$1)</f>
        <v/>
      </c>
      <c r="BS82" s="405">
        <f>SUMIFS(領用表!$L:$L,領用表!$E:$E,$B82,領用表!$B:$B,BS$2&amp;$BI$1)</f>
        <v/>
      </c>
      <c r="BT82" s="405">
        <f>SUMIFS(領用表!$L:$L,領用表!$E:$E,$B82,領用表!$B:$B,BT$2&amp;$BI$1)</f>
        <v/>
      </c>
      <c r="BU82" s="405">
        <f>SUM(BI82,BJ82,BK82,BL82,BM82,BN82)</f>
        <v/>
      </c>
      <c r="BV82" s="405">
        <f>AVERAGE(BI82,BJ82,BK82,BL82,BM82,BN82)</f>
        <v/>
      </c>
      <c r="BW82" s="405">
        <f>SUMIF(Summary!B:B,B82,Summary!EA:EA)</f>
        <v/>
      </c>
      <c r="BX82" s="111" t="n"/>
      <c r="BY82" s="80" t="n"/>
      <c r="BZ82" s="76" t="n"/>
      <c r="CA82" s="76" t="n"/>
      <c r="CB82" s="27" t="n"/>
      <c r="CC82" s="27" t="n"/>
      <c r="CD82" s="14" t="n"/>
      <c r="CE82" s="14" t="n"/>
    </row>
    <row r="83" ht="15" customHeight="1" s="453">
      <c r="A83" s="27" t="inlineStr">
        <is>
          <t>DE1AA050039T</t>
        </is>
      </c>
      <c r="B83" s="14" t="n">
        <v>6050009</v>
      </c>
      <c r="C83" s="136" t="inlineStr">
        <is>
          <t>緊緻新生彈力精華 10ml</t>
        </is>
      </c>
      <c r="D83" s="77" t="n"/>
      <c r="E83" s="17" t="inlineStr">
        <is>
          <t>PCS</t>
        </is>
      </c>
      <c r="F83" s="18" t="n">
        <v>38</v>
      </c>
      <c r="G83" s="70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  <c r="AA83" s="68" t="n"/>
      <c r="AB83" s="68" t="n"/>
      <c r="AC83" s="68" t="n"/>
      <c r="AD83" s="68" t="n"/>
      <c r="AE83" s="68" t="n"/>
      <c r="AF83" s="68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5" t="n"/>
      <c r="AT83" s="84" t="n"/>
      <c r="AU83" s="56" t="n"/>
      <c r="AV83" s="56" t="n"/>
      <c r="AW83" s="56" t="n"/>
      <c r="AX83" s="56" t="n"/>
      <c r="AY83" s="19" t="n"/>
      <c r="AZ83" s="20">
        <f>SUMIFS(領用表!$L:$L,領用表!$E:$E,$B83,領用表!$B:$B,AZ$2&amp;$BI$1)</f>
        <v/>
      </c>
      <c r="BA83" s="20">
        <f>SUMIFS(領用表!$L:$L,領用表!$E:$E,$B83,領用表!$B:$B,BA$2&amp;$BI$1)</f>
        <v/>
      </c>
      <c r="BB83" s="20">
        <f>SUMIFS(領用表!$L:$L,領用表!$E:$E,$B83,領用表!$B:$B,BB$2&amp;$BI$1)</f>
        <v/>
      </c>
      <c r="BC83" s="20">
        <f>SUMIFS(領用表!$L:$L,領用表!$E:$E,$B83,領用表!$B:$B,BC$2&amp;$BI$1)</f>
        <v/>
      </c>
      <c r="BD83" s="142">
        <f>SUMIFS(領用表!$L:$L,領用表!$E:$E,$B83,領用表!$B:$B,BD$2&amp;$BI$1)</f>
        <v/>
      </c>
      <c r="BE83" s="142">
        <f>SUMIFS(領用表!$L:$L,領用表!$E:$E,$B83,領用表!$B:$B,BE$2&amp;$BI$1)</f>
        <v/>
      </c>
      <c r="BF83" s="142">
        <f>SUMIFS(領用表!$L:$L,領用表!$E:$E,$B83,領用表!$B:$B,BF$2&amp;$BI$1)</f>
        <v/>
      </c>
      <c r="BG83" s="23">
        <f>SUM(AU83,AV83,AW83,AX83,AY83,AZ83,BA83,BB83,BC83,BD83,BE83,BF83)</f>
        <v/>
      </c>
      <c r="BH83" s="23">
        <f>AVERAGE(AU83,AV83,AW83,AX83,AY83,AZ83,BA83,BB83,BC83,BD83,BE83,BF83)</f>
        <v/>
      </c>
      <c r="BI83" s="142">
        <f>SUMIFS(領用表!$L:$L,領用表!$E:$E,$B83,領用表!$B:$B,BI$2&amp;$BI$1)</f>
        <v/>
      </c>
      <c r="BJ83" s="405">
        <f>SUMIFS(領用表!$L:$L,領用表!$E:$E,$B83,領用表!$B:$B,BJ$2&amp;$BI$1)</f>
        <v/>
      </c>
      <c r="BK83" s="405">
        <f>SUMIFS(領用表!$L:$L,領用表!$E:$E,$B83,領用表!$B:$B,BK$2&amp;$BI$1)</f>
        <v/>
      </c>
      <c r="BL83" s="405">
        <f>SUMIFS(領用表!$L:$L,領用表!$E:$E,$B83,領用表!$B:$B,BL$2&amp;$BI$1)</f>
        <v/>
      </c>
      <c r="BM83" s="405">
        <f>SUMIFS(領用表!$L:$L,領用表!$E:$E,$B83,領用表!$B:$B,BM$2&amp;$BI$1)</f>
        <v/>
      </c>
      <c r="BN83" s="405" t="n"/>
      <c r="BO83" s="405">
        <f>SUMIFS(領用表!$L:$L,領用表!$E:$E,$B83,領用表!$B:$B,BO$2&amp;$BI$1)</f>
        <v/>
      </c>
      <c r="BP83" s="405">
        <f>SUMIFS(領用表!$L:$L,領用表!$E:$E,$B83,領用表!$B:$B,BP$2&amp;$BI$1)</f>
        <v/>
      </c>
      <c r="BQ83" s="405">
        <f>SUMIFS(領用表!$L:$L,領用表!$E:$E,$B83,領用表!$B:$B,BQ$2&amp;$BI$1)</f>
        <v/>
      </c>
      <c r="BR83" s="405">
        <f>SUMIFS(領用表!$L:$L,領用表!$E:$E,$B83,領用表!$B:$B,BR$2&amp;$BI$1)</f>
        <v/>
      </c>
      <c r="BS83" s="405">
        <f>SUMIFS(領用表!$L:$L,領用表!$E:$E,$B83,領用表!$B:$B,BS$2&amp;$BI$1)</f>
        <v/>
      </c>
      <c r="BT83" s="405">
        <f>SUMIFS(領用表!$L:$L,領用表!$E:$E,$B83,領用表!$B:$B,BT$2&amp;$BI$1)</f>
        <v/>
      </c>
      <c r="BU83" s="405">
        <f>SUM(BI83,BJ83,BK83,BL83,BM83,BN83)</f>
        <v/>
      </c>
      <c r="BV83" s="405">
        <f>AVERAGE(BI83,BJ83,BK83,BL83,BM83,BN83)</f>
        <v/>
      </c>
      <c r="BW83" s="405">
        <f>SUMIF(Summary!B:B,B83,Summary!EA:EA)</f>
        <v/>
      </c>
      <c r="BX83" s="112" t="n"/>
      <c r="BY83" s="80" t="n"/>
      <c r="BZ83" s="76" t="inlineStr">
        <is>
          <t>576(10/22)</t>
        </is>
      </c>
      <c r="CA83" s="76" t="n"/>
      <c r="CB83" s="27" t="n"/>
      <c r="CC83" s="27" t="n"/>
      <c r="CD83" s="14" t="n"/>
      <c r="CE83" s="14" t="n"/>
    </row>
    <row r="84" ht="15" customHeight="1" s="453">
      <c r="A84" s="27" t="inlineStr">
        <is>
          <t>DE1AA090014T</t>
        </is>
      </c>
      <c r="B84" s="14" t="e">
        <v>#N/A</v>
      </c>
      <c r="C84" s="136" t="inlineStr">
        <is>
          <t>緊緻抗皺彈力面膜 30mL</t>
        </is>
      </c>
      <c r="D84" s="77" t="n"/>
      <c r="E84" s="17" t="inlineStr">
        <is>
          <t>PCS</t>
        </is>
      </c>
      <c r="F84" s="18" t="n"/>
      <c r="G84" s="70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  <c r="AA84" s="68" t="n"/>
      <c r="AB84" s="68" t="n"/>
      <c r="AC84" s="68" t="n"/>
      <c r="AD84" s="68" t="n"/>
      <c r="AE84" s="68" t="n"/>
      <c r="AF84" s="68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5" t="n"/>
      <c r="AT84" s="84" t="n"/>
      <c r="AU84" s="56" t="n"/>
      <c r="AV84" s="56" t="n"/>
      <c r="AW84" s="56" t="n"/>
      <c r="AX84" s="56" t="n"/>
      <c r="AY84" s="19" t="n"/>
      <c r="AZ84" s="20">
        <f>SUMIFS(領用表!$L:$L,領用表!$E:$E,$B84,領用表!$B:$B,AZ$2&amp;$BI$1)</f>
        <v/>
      </c>
      <c r="BA84" s="20">
        <f>SUMIFS(領用表!$L:$L,領用表!$E:$E,$B84,領用表!$B:$B,BA$2&amp;$BI$1)</f>
        <v/>
      </c>
      <c r="BB84" s="20">
        <f>SUMIFS(領用表!$L:$L,領用表!$E:$E,$B84,領用表!$B:$B,BB$2&amp;$BI$1)</f>
        <v/>
      </c>
      <c r="BC84" s="20">
        <f>SUMIFS(領用表!$L:$L,領用表!$E:$E,$B84,領用表!$B:$B,BC$2&amp;$BI$1)</f>
        <v/>
      </c>
      <c r="BD84" s="142">
        <f>SUMIFS(領用表!$L:$L,領用表!$E:$E,$B84,領用表!$B:$B,BD$2&amp;$BI$1)</f>
        <v/>
      </c>
      <c r="BE84" s="142">
        <f>SUMIFS(領用表!$L:$L,領用表!$E:$E,$B84,領用表!$B:$B,BE$2&amp;$BI$1)</f>
        <v/>
      </c>
      <c r="BF84" s="142">
        <f>SUMIFS(領用表!$L:$L,領用表!$E:$E,$B84,領用表!$B:$B,BF$2&amp;$BI$1)</f>
        <v/>
      </c>
      <c r="BG84" s="23">
        <f>SUM(AU84,AV84,AW84,AX84,AY84,AZ84,BA84,BB84,BC84,BD84,BE84,BF84)</f>
        <v/>
      </c>
      <c r="BH84" s="23">
        <f>AVERAGE(AU84,AV84,AW84,AX84,AY84,AZ84,BA84,BB84,BC84,BD84,BE84,BF84)</f>
        <v/>
      </c>
      <c r="BI84" s="142">
        <f>SUMIFS(領用表!$L:$L,領用表!$E:$E,$B84,領用表!$B:$B,BI$2&amp;$BI$1)</f>
        <v/>
      </c>
      <c r="BJ84" s="405">
        <f>SUMIFS(領用表!$L:$L,領用表!$E:$E,$B84,領用表!$B:$B,BJ$2&amp;$BI$1)</f>
        <v/>
      </c>
      <c r="BK84" s="405">
        <f>SUMIFS(領用表!$L:$L,領用表!$E:$E,$B84,領用表!$B:$B,BK$2&amp;$BI$1)</f>
        <v/>
      </c>
      <c r="BL84" s="405">
        <f>SUMIFS(領用表!$L:$L,領用表!$E:$E,$B84,領用表!$B:$B,BL$2&amp;$BI$1)</f>
        <v/>
      </c>
      <c r="BM84" s="405">
        <f>SUMIFS(領用表!$L:$L,領用表!$E:$E,$B84,領用表!$B:$B,BM$2&amp;$BI$1)</f>
        <v/>
      </c>
      <c r="BN84" s="405">
        <f>SUMIFS(領用表!$L:$L,領用表!$E:$E,$B84,領用表!$B:$B,BN$2&amp;$BI$1)</f>
        <v/>
      </c>
      <c r="BO84" s="405">
        <f>SUMIFS(領用表!$L:$L,領用表!$E:$E,$B84,領用表!$B:$B,BO$2&amp;$BI$1)</f>
        <v/>
      </c>
      <c r="BP84" s="405">
        <f>SUMIFS(領用表!$L:$L,領用表!$E:$E,$B84,領用表!$B:$B,BP$2&amp;$BI$1)</f>
        <v/>
      </c>
      <c r="BQ84" s="405">
        <f>SUMIFS(領用表!$L:$L,領用表!$E:$E,$B84,領用表!$B:$B,BQ$2&amp;$BI$1)</f>
        <v/>
      </c>
      <c r="BR84" s="405">
        <f>SUMIFS(領用表!$L:$L,領用表!$E:$E,$B84,領用表!$B:$B,BR$2&amp;$BI$1)</f>
        <v/>
      </c>
      <c r="BS84" s="405">
        <f>SUMIFS(領用表!$L:$L,領用表!$E:$E,$B84,領用表!$B:$B,BS$2&amp;$BI$1)</f>
        <v/>
      </c>
      <c r="BT84" s="405">
        <f>SUMIFS(領用表!$L:$L,領用表!$E:$E,$B84,領用表!$B:$B,BT$2&amp;$BI$1)</f>
        <v/>
      </c>
      <c r="BU84" s="405">
        <f>SUM(BI84,BJ84,BK84,BL84,BM84,BN84)</f>
        <v/>
      </c>
      <c r="BV84" s="405">
        <f>AVERAGE(BI84,BJ84,BK84,BL84,BM84,BN84)</f>
        <v/>
      </c>
      <c r="BW84" s="405">
        <f>SUMIF(Summary!B:B,B84,Summary!EA:EA)</f>
        <v/>
      </c>
      <c r="BX84" s="112" t="n"/>
      <c r="BY84" s="80" t="n"/>
      <c r="BZ84" s="76" t="inlineStr">
        <is>
          <t>600(10/22)</t>
        </is>
      </c>
      <c r="CA84" s="76" t="n"/>
      <c r="CB84" s="27" t="n"/>
      <c r="CC84" s="27" t="n"/>
      <c r="CD84" s="14" t="n"/>
      <c r="CE84" s="14" t="n"/>
    </row>
    <row r="85" ht="15" customHeight="1" s="453">
      <c r="A85" s="27" t="inlineStr">
        <is>
          <t>TN1AA060003T</t>
        </is>
      </c>
      <c r="B85" s="14" t="n">
        <v>6060001</v>
      </c>
      <c r="C85" s="136" t="inlineStr">
        <is>
          <t>試用-金采賦活保濕精華霜 100ml</t>
        </is>
      </c>
      <c r="D85" s="77" t="n"/>
      <c r="E85" s="17" t="inlineStr">
        <is>
          <t>PCS</t>
        </is>
      </c>
      <c r="F85" s="18" t="n"/>
      <c r="G85" s="70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  <c r="AA85" s="68" t="n"/>
      <c r="AB85" s="68" t="n"/>
      <c r="AC85" s="68" t="n"/>
      <c r="AD85" s="68" t="n"/>
      <c r="AE85" s="68" t="n"/>
      <c r="AF85" s="68" t="n"/>
      <c r="AG85" s="19" t="n"/>
      <c r="AH85" s="19" t="n"/>
      <c r="AI85" s="19" t="n"/>
      <c r="AJ85" s="19" t="n"/>
      <c r="AK85" s="19" t="n"/>
      <c r="AL85" s="19" t="n"/>
      <c r="AM85" s="19" t="n"/>
      <c r="AN85" s="19" t="n">
        <v>5</v>
      </c>
      <c r="AO85" s="19" t="n">
        <v>0</v>
      </c>
      <c r="AP85" s="19" t="n">
        <v>5</v>
      </c>
      <c r="AQ85" s="19" t="n">
        <v>7</v>
      </c>
      <c r="AR85" s="19" t="n">
        <v>0</v>
      </c>
      <c r="AS85" s="68">
        <f>SUM(AG85:AR85)</f>
        <v/>
      </c>
      <c r="AT85" s="26">
        <f>AS85/12</f>
        <v/>
      </c>
      <c r="AU85" s="19" t="n">
        <v>10</v>
      </c>
      <c r="AV85" s="19" t="n">
        <v>16</v>
      </c>
      <c r="AW85" s="19" t="n">
        <v>10</v>
      </c>
      <c r="AX85" s="19" t="n">
        <v>0</v>
      </c>
      <c r="AY85" s="19" t="n">
        <v>0</v>
      </c>
      <c r="AZ85" s="20">
        <f>SUMIFS(領用表!$L:$L,領用表!$E:$E,$B85,領用表!$B:$B,AZ$2&amp;$BI$1)</f>
        <v/>
      </c>
      <c r="BA85" s="20">
        <f>SUMIFS(領用表!$L:$L,領用表!$E:$E,$B85,領用表!$B:$B,BA$2&amp;$BI$1)</f>
        <v/>
      </c>
      <c r="BB85" s="20">
        <f>SUMIFS(領用表!$L:$L,領用表!$E:$E,$B85,領用表!$B:$B,BB$2&amp;$BI$1)</f>
        <v/>
      </c>
      <c r="BC85" s="20">
        <f>SUMIFS(領用表!$L:$L,領用表!$E:$E,$B85,領用表!$B:$B,BC$2&amp;$BI$1)</f>
        <v/>
      </c>
      <c r="BD85" s="142">
        <f>SUMIFS(領用表!$L:$L,領用表!$E:$E,$B85,領用表!$B:$B,BD$2&amp;$BI$1)</f>
        <v/>
      </c>
      <c r="BE85" s="142">
        <f>SUMIFS(領用表!$L:$L,領用表!$E:$E,$B85,領用表!$B:$B,BE$2&amp;$BI$1)</f>
        <v/>
      </c>
      <c r="BF85" s="142">
        <f>SUMIFS(領用表!$L:$L,領用表!$E:$E,$B85,領用表!$B:$B,BF$2&amp;$BI$1)</f>
        <v/>
      </c>
      <c r="BG85" s="23">
        <f>SUM(AU85,AV85,AW85,AX85,AY85,AZ85,BA85,BB85,BC85,BD85,BE85,BF85)</f>
        <v/>
      </c>
      <c r="BH85" s="23">
        <f>AVERAGE(AU85,AV85,AW85,AX85,AY85,AZ85,BA85,BB85,BC85,BD85,BE85,BF85)</f>
        <v/>
      </c>
      <c r="BI85" s="142">
        <f>SUMIFS(領用表!$L:$L,領用表!$E:$E,$B85,領用表!$B:$B,BI$2&amp;$BI$1)</f>
        <v/>
      </c>
      <c r="BJ85" s="142">
        <f>SUMIFS(領用表!$L:$L,領用表!$E:$E,$B85,領用表!$B:$B,BJ$2&amp;$BI$1)</f>
        <v/>
      </c>
      <c r="BK85" s="142">
        <f>SUMIFS(領用表!$L:$L,領用表!$E:$E,$B85,領用表!$B:$B,BK$2&amp;$BI$1)</f>
        <v/>
      </c>
      <c r="BL85" s="142">
        <f>SUMIFS(領用表!$L:$L,領用表!$E:$E,$B85,領用表!$B:$B,BL$2&amp;$BI$1)</f>
        <v/>
      </c>
      <c r="BM85" s="142">
        <f>SUMIFS(領用表!$L:$L,領用表!$E:$E,$B85,領用表!$B:$B,BM$2&amp;$BI$1)</f>
        <v/>
      </c>
      <c r="BN85" s="142" t="n"/>
      <c r="BO85" s="142">
        <f>SUMIFS(領用表!$L:$L,領用表!$E:$E,$B85,領用表!$B:$B,BO$2&amp;$BI$1)</f>
        <v/>
      </c>
      <c r="BP85" s="142">
        <f>SUMIFS(領用表!$L:$L,領用表!$E:$E,$B85,領用表!$B:$B,BP$2&amp;$BI$1)</f>
        <v/>
      </c>
      <c r="BQ85" s="142">
        <f>SUMIFS(領用表!$L:$L,領用表!$E:$E,$B85,領用表!$B:$B,BQ$2&amp;$BI$1)</f>
        <v/>
      </c>
      <c r="BR85" s="142">
        <f>SUMIFS(領用表!$L:$L,領用表!$E:$E,$B85,領用表!$B:$B,BR$2&amp;$BI$1)</f>
        <v/>
      </c>
      <c r="BS85" s="142">
        <f>SUMIFS(領用表!$L:$L,領用表!$E:$E,$B85,領用表!$B:$B,BS$2&amp;$BI$1)</f>
        <v/>
      </c>
      <c r="BT85" s="142">
        <f>SUMIFS(領用表!$L:$L,領用表!$E:$E,$B85,領用表!$B:$B,BT$2&amp;$BI$1)</f>
        <v/>
      </c>
      <c r="BU85" s="142">
        <f>SUM(BI85,BJ85,BK85,BL85,BM85,BN85)</f>
        <v/>
      </c>
      <c r="BV85" s="142">
        <f>AVERAGE(BI85,BJ85,BK85,BL85,BM85,BN85)</f>
        <v/>
      </c>
      <c r="BW85" s="142">
        <f>SUMIF(Summary!B:B,B85,Summary!EA:EA)</f>
        <v/>
      </c>
      <c r="BX85" s="109" t="n"/>
      <c r="BY85" s="65" t="n"/>
      <c r="BZ85" s="76" t="inlineStr">
        <is>
          <t>16(10/22)</t>
        </is>
      </c>
      <c r="CA85" s="76" t="n"/>
      <c r="CB85" s="27" t="n"/>
      <c r="CC85" s="27" t="n"/>
      <c r="CD85" s="14" t="n"/>
      <c r="CE85" s="14" t="n"/>
    </row>
    <row r="86" ht="15.75" customHeight="1" s="453">
      <c r="A86" s="27" t="inlineStr">
        <is>
          <t>DN1AA200005T</t>
        </is>
      </c>
      <c r="B86" s="14" t="e">
        <v>#N/A</v>
      </c>
      <c r="C86" s="136" t="inlineStr">
        <is>
          <t>無瑕清透防護霜 30mL(潤色)</t>
        </is>
      </c>
      <c r="D86" s="77" t="n"/>
      <c r="E86" s="17" t="inlineStr">
        <is>
          <t>PCS</t>
        </is>
      </c>
      <c r="F86" s="18" t="n"/>
      <c r="G86" s="70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  <c r="AA86" s="68" t="n"/>
      <c r="AB86" s="68" t="n"/>
      <c r="AC86" s="68" t="n"/>
      <c r="AD86" s="68" t="n"/>
      <c r="AE86" s="68" t="n"/>
      <c r="AF86" s="68" t="n"/>
      <c r="AG86" s="19" t="n"/>
      <c r="AH86" s="19" t="n"/>
      <c r="AI86" s="19" t="n"/>
      <c r="AJ86" s="19" t="n"/>
      <c r="AK86" s="19" t="n"/>
      <c r="AL86" s="19" t="n"/>
      <c r="AM86" s="19" t="n"/>
      <c r="AN86" s="19" t="n">
        <v>0</v>
      </c>
      <c r="AO86" s="19" t="n">
        <v>0</v>
      </c>
      <c r="AP86" s="19" t="n">
        <v>0</v>
      </c>
      <c r="AQ86" s="19" t="n">
        <v>0</v>
      </c>
      <c r="AR86" s="19" t="n">
        <v>0</v>
      </c>
      <c r="AS86" s="68">
        <f>SUM(AG86:AR86)</f>
        <v/>
      </c>
      <c r="AT86" s="26">
        <f>AS86/12</f>
        <v/>
      </c>
      <c r="AU86" s="19" t="n">
        <v>0</v>
      </c>
      <c r="AV86" s="19" t="n">
        <v>80</v>
      </c>
      <c r="AW86" s="19" t="n">
        <v>0</v>
      </c>
      <c r="AX86" s="19" t="n">
        <v>0</v>
      </c>
      <c r="AY86" s="19" t="n">
        <v>0</v>
      </c>
      <c r="AZ86" s="20">
        <f>SUMIFS(領用表!$L:$L,領用表!$E:$E,$B86,領用表!$B:$B,AZ$2&amp;$BI$1)</f>
        <v/>
      </c>
      <c r="BA86" s="20">
        <f>SUMIFS(領用表!$L:$L,領用表!$E:$E,$B86,領用表!$B:$B,BA$2&amp;$BI$1)</f>
        <v/>
      </c>
      <c r="BB86" s="20">
        <f>SUMIFS(領用表!$L:$L,領用表!$E:$E,$B86,領用表!$B:$B,BB$2&amp;$BI$1)</f>
        <v/>
      </c>
      <c r="BC86" s="20">
        <f>SUMIFS(領用表!$L:$L,領用表!$E:$E,$B86,領用表!$B:$B,BC$2&amp;$BI$1)</f>
        <v/>
      </c>
      <c r="BD86" s="142">
        <f>SUMIFS(領用表!$L:$L,領用表!$E:$E,$B86,領用表!$B:$B,BD$2&amp;$BI$1)</f>
        <v/>
      </c>
      <c r="BE86" s="142">
        <f>SUMIFS(領用表!$L:$L,領用表!$E:$E,$B86,領用表!$B:$B,BE$2&amp;$BI$1)</f>
        <v/>
      </c>
      <c r="BF86" s="142">
        <f>SUMIFS(領用表!$L:$L,領用表!$E:$E,$B86,領用表!$B:$B,BF$2&amp;$BI$1)</f>
        <v/>
      </c>
      <c r="BG86" s="23">
        <f>SUM(AU86,AV86,AW86,AX86,AY86,AZ86,BA86,BB86,BC86,BD86,BE86,BF86)</f>
        <v/>
      </c>
      <c r="BH86" s="23">
        <f>AVERAGE(AU86,AV86,AW86,AX86,AY86,AZ86,BA86,BB86,BC86,BD86,BE86,BF86)</f>
        <v/>
      </c>
      <c r="BI86" s="142">
        <f>SUMIFS(領用表!$L:$L,領用表!$E:$E,$B86,領用表!$B:$B,BI$2&amp;$BI$1)</f>
        <v/>
      </c>
      <c r="BJ86" s="142">
        <f>SUMIFS(領用表!$L:$L,領用表!$E:$E,$B86,領用表!$B:$B,BJ$2&amp;$BI$1)</f>
        <v/>
      </c>
      <c r="BK86" s="142">
        <f>SUMIFS(領用表!$L:$L,領用表!$E:$E,$B86,領用表!$B:$B,BK$2&amp;$BI$1)</f>
        <v/>
      </c>
      <c r="BL86" s="142">
        <f>SUMIFS(領用表!$L:$L,領用表!$E:$E,$B86,領用表!$B:$B,BL$2&amp;$BI$1)</f>
        <v/>
      </c>
      <c r="BM86" s="142">
        <f>SUMIFS(領用表!$L:$L,領用表!$E:$E,$B86,領用表!$B:$B,BM$2&amp;$BI$1)</f>
        <v/>
      </c>
      <c r="BN86" s="142">
        <f>SUMIFS(領用表!$L:$L,領用表!$E:$E,$B86,領用表!$B:$B,BN$2&amp;$BI$1)</f>
        <v/>
      </c>
      <c r="BO86" s="142">
        <f>SUMIFS(領用表!$L:$L,領用表!$E:$E,$B86,領用表!$B:$B,BO$2&amp;$BI$1)</f>
        <v/>
      </c>
      <c r="BP86" s="142">
        <f>SUMIFS(領用表!$L:$L,領用表!$E:$E,$B86,領用表!$B:$B,BP$2&amp;$BI$1)</f>
        <v/>
      </c>
      <c r="BQ86" s="142">
        <f>SUMIFS(領用表!$L:$L,領用表!$E:$E,$B86,領用表!$B:$B,BQ$2&amp;$BI$1)</f>
        <v/>
      </c>
      <c r="BR86" s="142">
        <f>SUMIFS(領用表!$L:$L,領用表!$E:$E,$B86,領用表!$B:$B,BR$2&amp;$BI$1)</f>
        <v/>
      </c>
      <c r="BS86" s="142">
        <f>SUMIFS(領用表!$L:$L,領用表!$E:$E,$B86,領用表!$B:$B,BS$2&amp;$BI$1)</f>
        <v/>
      </c>
      <c r="BT86" s="142">
        <f>SUMIFS(領用表!$L:$L,領用表!$E:$E,$B86,領用表!$B:$B,BT$2&amp;$BI$1)</f>
        <v/>
      </c>
      <c r="BU86" s="142">
        <f>SUM(BI86,BJ86,BK86,BL86,BM86,BN86)</f>
        <v/>
      </c>
      <c r="BV86" s="142">
        <f>AVERAGE(BI86,BJ86,BK86,BL86,BM86,BN86)</f>
        <v/>
      </c>
      <c r="BW86" s="142">
        <f>SUMIF(Summary!B:B,B86,Summary!EA:EA)</f>
        <v/>
      </c>
      <c r="BX86" s="109" t="n"/>
      <c r="BY86" s="65" t="n"/>
      <c r="BZ86" s="76" t="n"/>
      <c r="CA86" s="76" t="n"/>
      <c r="CB86" s="27" t="n"/>
      <c r="CC86" s="27" t="n"/>
      <c r="CD86" s="14" t="n"/>
      <c r="CE86" s="14" t="n"/>
    </row>
    <row r="87" hidden="1" ht="15.75" customHeight="1" s="453">
      <c r="A87" s="27" t="inlineStr">
        <is>
          <t>DN1AA030002T</t>
        </is>
      </c>
      <c r="B87" s="14" t="e">
        <v>#N/A</v>
      </c>
      <c r="C87" s="136" t="inlineStr">
        <is>
          <t>亮采金球去角質凝膠 100ml (2015年版)</t>
        </is>
      </c>
      <c r="D87" s="77" t="n"/>
      <c r="E87" s="17" t="inlineStr">
        <is>
          <t>PCS</t>
        </is>
      </c>
      <c r="F87" s="18" t="n"/>
      <c r="G87" s="70" t="n"/>
      <c r="AG87" s="82" t="n"/>
      <c r="AH87" s="82" t="n"/>
      <c r="AI87" s="82" t="n"/>
      <c r="AJ87" s="82" t="n"/>
      <c r="AK87" s="82" t="n"/>
      <c r="AL87" s="82" t="n"/>
      <c r="AM87" s="82" t="n"/>
      <c r="AN87" s="19" t="n">
        <v>0</v>
      </c>
      <c r="AO87" s="19" t="n">
        <v>0</v>
      </c>
      <c r="AP87" s="19" t="n">
        <v>0</v>
      </c>
      <c r="AQ87" s="19" t="n">
        <v>0</v>
      </c>
      <c r="AR87" s="19" t="n">
        <v>0</v>
      </c>
      <c r="AS87" s="68">
        <f>SUM(AG87:AR87)</f>
        <v/>
      </c>
      <c r="AT87" s="26">
        <f>AS87/12</f>
        <v/>
      </c>
      <c r="AU87" s="19" t="n">
        <v>0</v>
      </c>
      <c r="AV87" s="19" t="n">
        <v>0</v>
      </c>
      <c r="AW87" s="19" t="n">
        <v>0</v>
      </c>
      <c r="AX87" s="19" t="n">
        <v>0</v>
      </c>
      <c r="AY87" s="19" t="n">
        <v>0</v>
      </c>
      <c r="AZ87" s="20">
        <f>SUMIFS(領用表!$L:$L,領用表!$E:$E,$B87,領用表!$B:$B,AZ$2&amp;$BI$1)</f>
        <v/>
      </c>
      <c r="BA87" s="20">
        <f>SUMIFS(領用表!$L:$L,領用表!$E:$E,$B87,領用表!$B:$B,BA$2&amp;$BI$1)</f>
        <v/>
      </c>
      <c r="BB87" s="20">
        <f>SUMIFS(領用表!$L:$L,領用表!$E:$E,$B87,領用表!$B:$B,BB$2&amp;$BI$1)</f>
        <v/>
      </c>
      <c r="BC87" s="20">
        <f>SUMIFS(領用表!$L:$L,領用表!$E:$E,$B87,領用表!$B:$B,BC$2&amp;$BI$1)</f>
        <v/>
      </c>
      <c r="BD87" s="142">
        <f>SUMIFS(領用表!$L:$L,領用表!$E:$E,$B87,領用表!$B:$B,BD$2&amp;$BI$1)</f>
        <v/>
      </c>
      <c r="BE87" s="142">
        <f>SUMIFS(領用表!$L:$L,領用表!$E:$E,$B87,領用表!$B:$B,BE$2&amp;$BI$1)</f>
        <v/>
      </c>
      <c r="BF87" s="142">
        <f>SUMIFS(領用表!$L:$L,領用表!$E:$E,$B87,領用表!$B:$B,BF$2&amp;$BI$1)</f>
        <v/>
      </c>
      <c r="BG87" s="23">
        <f>SUM(AU87,AV87,AW87,AX87,AY87,AZ87,BA87,BB87,BC87,BD87,BE87,BF87)</f>
        <v/>
      </c>
      <c r="BH87" s="23">
        <f>AVERAGE(AU87,AV87,AW87,AX87,AY87,AZ87,BA87,BB87,BC87,BD87,BE87,BF87)</f>
        <v/>
      </c>
      <c r="BI87" s="142">
        <f>SUMIFS(領用表!$L:$L,領用表!$E:$E,$B87,領用表!$B:$B,BI$2&amp;$BI$1)</f>
        <v/>
      </c>
      <c r="BJ87" s="142">
        <f>SUMIFS(領用表!$L:$L,領用表!$E:$E,$B87,領用表!$B:$B,BJ$2&amp;$BI$1)</f>
        <v/>
      </c>
      <c r="BK87" s="142">
        <f>SUMIFS(領用表!$L:$L,領用表!$E:$E,$B87,領用表!$B:$B,BK$2&amp;$BI$1)</f>
        <v/>
      </c>
      <c r="BL87" s="142">
        <f>SUMIFS(領用表!$L:$L,領用表!$E:$E,$B87,領用表!$B:$B,BL$2&amp;$BI$1)</f>
        <v/>
      </c>
      <c r="BM87" s="142">
        <f>SUMIFS(領用表!$L:$L,領用表!$E:$E,$B87,領用表!$B:$B,BM$2&amp;$BI$1)</f>
        <v/>
      </c>
      <c r="BN87" s="142">
        <f>SUMIFS(領用表!$L:$L,領用表!$E:$E,$B87,領用表!$B:$B,BN$2&amp;$BI$1)</f>
        <v/>
      </c>
      <c r="BO87" s="142">
        <f>SUMIFS(領用表!$L:$L,領用表!$E:$E,$B87,領用表!$B:$B,BO$2&amp;$BI$1)</f>
        <v/>
      </c>
      <c r="BP87" s="142">
        <f>SUMIFS(領用表!$L:$L,領用表!$E:$E,$B87,領用表!$B:$B,BP$2&amp;$BI$1)</f>
        <v/>
      </c>
      <c r="BQ87" s="142">
        <f>SUMIFS(領用表!$L:$L,領用表!$E:$E,$B87,領用表!$B:$B,BQ$2&amp;$BI$1)</f>
        <v/>
      </c>
      <c r="BR87" s="142">
        <f>SUMIFS(領用表!$L:$L,領用表!$E:$E,$B87,領用表!$B:$B,BR$2&amp;$BI$1)</f>
        <v/>
      </c>
      <c r="BS87" s="142">
        <f>SUMIFS(領用表!$L:$L,領用表!$E:$E,$B87,領用表!$B:$B,BS$2&amp;$BI$1)</f>
        <v/>
      </c>
      <c r="BT87" s="142">
        <f>SUMIFS(領用表!$L:$L,領用表!$E:$E,$B87,領用表!$B:$B,BT$2&amp;$BI$1)</f>
        <v/>
      </c>
      <c r="BU87" s="142">
        <f>SUM(BI87,BJ87,BK87,BL87,BM87,BN87)</f>
        <v/>
      </c>
      <c r="BV87" s="142">
        <f>AVERAGE(BI87,BJ87,BK87,BL87,BM87,BN87)</f>
        <v/>
      </c>
      <c r="BW87" s="142">
        <f>SUMIF(Summary!B:B,B87,Summary!EA:EA)</f>
        <v/>
      </c>
      <c r="BX87" s="109" t="n"/>
      <c r="BY87" s="65" t="n"/>
      <c r="BZ87" s="76" t="n"/>
      <c r="CA87" s="76" t="n"/>
    </row>
    <row r="88" hidden="1" ht="15.75" customHeight="1" s="453">
      <c r="A88" s="27" t="inlineStr">
        <is>
          <t>DN1AA040011T</t>
        </is>
      </c>
      <c r="B88" s="14" t="e">
        <v>#N/A</v>
      </c>
      <c r="C88" s="136" t="inlineStr">
        <is>
          <t>金采極緻晶凍凝露 125ml(升級)</t>
        </is>
      </c>
      <c r="D88" s="77" t="n"/>
      <c r="E88" s="17" t="inlineStr">
        <is>
          <t>PCS</t>
        </is>
      </c>
      <c r="F88" s="18" t="n"/>
      <c r="G88" s="70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56" t="n"/>
      <c r="AH88" s="56" t="n"/>
      <c r="AI88" s="56" t="n"/>
      <c r="AJ88" s="56" t="n"/>
      <c r="AK88" s="56" t="n"/>
      <c r="AL88" s="56" t="n"/>
      <c r="AM88" s="56" t="n"/>
      <c r="AN88" s="19" t="n">
        <v>0</v>
      </c>
      <c r="AO88" s="19" t="n">
        <v>0</v>
      </c>
      <c r="AP88" s="19" t="n">
        <v>0</v>
      </c>
      <c r="AQ88" s="19" t="n">
        <v>0</v>
      </c>
      <c r="AR88" s="19" t="n">
        <v>0</v>
      </c>
      <c r="AS88" s="68">
        <f>SUM(AG88:AR88)</f>
        <v/>
      </c>
      <c r="AT88" s="26">
        <f>AS88/12</f>
        <v/>
      </c>
      <c r="AU88" s="19" t="n">
        <v>0</v>
      </c>
      <c r="AV88" s="19" t="n">
        <v>0</v>
      </c>
      <c r="AW88" s="19" t="n">
        <v>0</v>
      </c>
      <c r="AX88" s="19" t="n">
        <v>0</v>
      </c>
      <c r="AY88" s="19" t="n">
        <v>0</v>
      </c>
      <c r="AZ88" s="20">
        <f>SUMIFS(領用表!$L:$L,領用表!$E:$E,$B88,領用表!$B:$B,AZ$2&amp;$BI$1)</f>
        <v/>
      </c>
      <c r="BA88" s="20">
        <f>SUMIFS(領用表!$L:$L,領用表!$E:$E,$B88,領用表!$B:$B,BA$2&amp;$BI$1)</f>
        <v/>
      </c>
      <c r="BB88" s="20">
        <f>SUMIFS(領用表!$L:$L,領用表!$E:$E,$B88,領用表!$B:$B,BB$2&amp;$BI$1)</f>
        <v/>
      </c>
      <c r="BC88" s="20">
        <f>SUMIFS(領用表!$L:$L,領用表!$E:$E,$B88,領用表!$B:$B,BC$2&amp;$BI$1)</f>
        <v/>
      </c>
      <c r="BD88" s="142">
        <f>SUMIFS(領用表!$L:$L,領用表!$E:$E,$B88,領用表!$B:$B,BD$2&amp;$BI$1)</f>
        <v/>
      </c>
      <c r="BE88" s="142">
        <f>SUMIFS(領用表!$L:$L,領用表!$E:$E,$B88,領用表!$B:$B,BE$2&amp;$BI$1)</f>
        <v/>
      </c>
      <c r="BF88" s="142">
        <f>SUMIFS(領用表!$L:$L,領用表!$E:$E,$B88,領用表!$B:$B,BF$2&amp;$BI$1)</f>
        <v/>
      </c>
      <c r="BG88" s="23">
        <f>SUM(AU88,AV88,AW88,AX88,AY88,AZ88,BA88,BB88,BC88,BD88,BE88,BF88)</f>
        <v/>
      </c>
      <c r="BH88" s="23">
        <f>AVERAGE(AU88,AV88,AW88,AX88,AY88,AZ88,BA88,BB88,BC88,BD88,BE88,BF88)</f>
        <v/>
      </c>
      <c r="BI88" s="142">
        <f>SUMIFS(領用表!$L:$L,領用表!$E:$E,$B88,領用表!$B:$B,BI$2&amp;$BI$1)</f>
        <v/>
      </c>
      <c r="BJ88" s="142">
        <f>SUMIFS(領用表!$L:$L,領用表!$E:$E,$B88,領用表!$B:$B,BJ$2&amp;$BI$1)</f>
        <v/>
      </c>
      <c r="BK88" s="142">
        <f>SUMIFS(領用表!$L:$L,領用表!$E:$E,$B88,領用表!$B:$B,BK$2&amp;$BI$1)</f>
        <v/>
      </c>
      <c r="BL88" s="142">
        <f>SUMIFS(領用表!$L:$L,領用表!$E:$E,$B88,領用表!$B:$B,BL$2&amp;$BI$1)</f>
        <v/>
      </c>
      <c r="BM88" s="142">
        <f>SUMIFS(領用表!$L:$L,領用表!$E:$E,$B88,領用表!$B:$B,BM$2&amp;$BI$1)</f>
        <v/>
      </c>
      <c r="BN88" s="142">
        <f>SUMIFS(領用表!$L:$L,領用表!$E:$E,$B88,領用表!$B:$B,BN$2&amp;$BI$1)</f>
        <v/>
      </c>
      <c r="BO88" s="142">
        <f>SUMIFS(領用表!$L:$L,領用表!$E:$E,$B88,領用表!$B:$B,BO$2&amp;$BI$1)</f>
        <v/>
      </c>
      <c r="BP88" s="142">
        <f>SUMIFS(領用表!$L:$L,領用表!$E:$E,$B88,領用表!$B:$B,BP$2&amp;$BI$1)</f>
        <v/>
      </c>
      <c r="BQ88" s="142">
        <f>SUMIFS(領用表!$L:$L,領用表!$E:$E,$B88,領用表!$B:$B,BQ$2&amp;$BI$1)</f>
        <v/>
      </c>
      <c r="BR88" s="142">
        <f>SUMIFS(領用表!$L:$L,領用表!$E:$E,$B88,領用表!$B:$B,BR$2&amp;$BI$1)</f>
        <v/>
      </c>
      <c r="BS88" s="142">
        <f>SUMIFS(領用表!$L:$L,領用表!$E:$E,$B88,領用表!$B:$B,BS$2&amp;$BI$1)</f>
        <v/>
      </c>
      <c r="BT88" s="142">
        <f>SUMIFS(領用表!$L:$L,領用表!$E:$E,$B88,領用表!$B:$B,BT$2&amp;$BI$1)</f>
        <v/>
      </c>
      <c r="BU88" s="142">
        <f>SUM(BI88,BJ88,BK88,BL88,BM88,BN88)</f>
        <v/>
      </c>
      <c r="BV88" s="142">
        <f>AVERAGE(BI88,BJ88,BK88,BL88,BM88,BN88)</f>
        <v/>
      </c>
      <c r="BW88" s="142">
        <f>SUMIF(Summary!B:B,B88,Summary!EA:EA)</f>
        <v/>
      </c>
      <c r="BX88" s="109" t="n"/>
      <c r="BY88" s="65" t="n"/>
      <c r="BZ88" s="76" t="n"/>
      <c r="CA88" s="76" t="n"/>
      <c r="CB88" s="14" t="n"/>
      <c r="CC88" s="14" t="n"/>
      <c r="CD88" s="14" t="n"/>
      <c r="CE88" s="14" t="n"/>
    </row>
    <row r="89" hidden="1" ht="15.75" customHeight="1" s="453">
      <c r="A89" s="27" t="inlineStr">
        <is>
          <t>TN1AA050032T</t>
        </is>
      </c>
      <c r="B89" s="14" t="e">
        <v>#N/A</v>
      </c>
      <c r="C89" s="136" t="inlineStr">
        <is>
          <t>試用-優菌防護安瓶精華 50ml</t>
        </is>
      </c>
      <c r="D89" s="77" t="n"/>
      <c r="E89" s="17" t="inlineStr">
        <is>
          <t>PCS</t>
        </is>
      </c>
      <c r="F89" s="18" t="n"/>
      <c r="G89" s="70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  <c r="AA89" s="68" t="n"/>
      <c r="AB89" s="68" t="n"/>
      <c r="AC89" s="68" t="n"/>
      <c r="AD89" s="68" t="n"/>
      <c r="AE89" s="68" t="n"/>
      <c r="AF89" s="68" t="n"/>
      <c r="AG89" s="19" t="n"/>
      <c r="AH89" s="19" t="n"/>
      <c r="AI89" s="19" t="n"/>
      <c r="AJ89" s="19" t="n"/>
      <c r="AK89" s="19" t="n"/>
      <c r="AL89" s="19" t="n"/>
      <c r="AM89" s="19" t="n"/>
      <c r="AN89" s="19" t="n">
        <v>10</v>
      </c>
      <c r="AO89" s="19" t="n">
        <v>0</v>
      </c>
      <c r="AP89" s="19" t="n">
        <v>0</v>
      </c>
      <c r="AQ89" s="19" t="n">
        <v>0</v>
      </c>
      <c r="AR89" s="19" t="n">
        <v>0</v>
      </c>
      <c r="AS89" s="68">
        <f>SUM(AG89:AR89)</f>
        <v/>
      </c>
      <c r="AT89" s="26">
        <f>AS89/12</f>
        <v/>
      </c>
      <c r="AU89" s="19" t="n">
        <v>0</v>
      </c>
      <c r="AV89" s="19" t="n">
        <v>0</v>
      </c>
      <c r="AW89" s="19" t="n">
        <v>0</v>
      </c>
      <c r="AX89" s="19" t="n">
        <v>0</v>
      </c>
      <c r="AY89" s="19" t="n">
        <v>0</v>
      </c>
      <c r="AZ89" s="20">
        <f>SUMIFS(領用表!$L:$L,領用表!$E:$E,$B89,領用表!$B:$B,AZ$2&amp;$BI$1)</f>
        <v/>
      </c>
      <c r="BA89" s="20">
        <f>SUMIFS(領用表!$L:$L,領用表!$E:$E,$B89,領用表!$B:$B,BA$2&amp;$BI$1)</f>
        <v/>
      </c>
      <c r="BB89" s="20">
        <f>SUMIFS(領用表!$L:$L,領用表!$E:$E,$B89,領用表!$B:$B,BB$2&amp;$BI$1)</f>
        <v/>
      </c>
      <c r="BC89" s="20">
        <f>SUMIFS(領用表!$L:$L,領用表!$E:$E,$B89,領用表!$B:$B,BC$2&amp;$BI$1)</f>
        <v/>
      </c>
      <c r="BD89" s="142">
        <f>SUMIFS(領用表!$L:$L,領用表!$E:$E,$B89,領用表!$B:$B,BD$2&amp;$BI$1)</f>
        <v/>
      </c>
      <c r="BE89" s="142">
        <f>SUMIFS(領用表!$L:$L,領用表!$E:$E,$B89,領用表!$B:$B,BE$2&amp;$BI$1)</f>
        <v/>
      </c>
      <c r="BF89" s="142">
        <f>SUMIFS(領用表!$L:$L,領用表!$E:$E,$B89,領用表!$B:$B,BF$2&amp;$BI$1)</f>
        <v/>
      </c>
      <c r="BG89" s="23">
        <f>SUM(AU89,AV89,AW89,AX89,AY89,AZ89,BA89,BB89,BC89,BD89,BE89,BF89)</f>
        <v/>
      </c>
      <c r="BH89" s="23">
        <f>AVERAGE(AU89,AV89,AW89,AX89,AY89,AZ89,BA89,BB89,BC89,BD89,BE89,BF89)</f>
        <v/>
      </c>
      <c r="BI89" s="142">
        <f>SUMIFS(領用表!$L:$L,領用表!$E:$E,$B89,領用表!$B:$B,BI$2&amp;$BI$1)</f>
        <v/>
      </c>
      <c r="BJ89" s="142">
        <f>SUMIFS(領用表!$L:$L,領用表!$E:$E,$B89,領用表!$B:$B,BJ$2&amp;$BI$1)</f>
        <v/>
      </c>
      <c r="BK89" s="142">
        <f>SUMIFS(領用表!$L:$L,領用表!$E:$E,$B89,領用表!$B:$B,BK$2&amp;$BI$1)</f>
        <v/>
      </c>
      <c r="BL89" s="142">
        <f>SUMIFS(領用表!$L:$L,領用表!$E:$E,$B89,領用表!$B:$B,BL$2&amp;$BI$1)</f>
        <v/>
      </c>
      <c r="BM89" s="142">
        <f>SUMIFS(領用表!$L:$L,領用表!$E:$E,$B89,領用表!$B:$B,BM$2&amp;$BI$1)</f>
        <v/>
      </c>
      <c r="BN89" s="142">
        <f>SUMIFS(領用表!$L:$L,領用表!$E:$E,$B89,領用表!$B:$B,BN$2&amp;$BI$1)</f>
        <v/>
      </c>
      <c r="BO89" s="142">
        <f>SUMIFS(領用表!$L:$L,領用表!$E:$E,$B89,領用表!$B:$B,BO$2&amp;$BI$1)</f>
        <v/>
      </c>
      <c r="BP89" s="142">
        <f>SUMIFS(領用表!$L:$L,領用表!$E:$E,$B89,領用表!$B:$B,BP$2&amp;$BI$1)</f>
        <v/>
      </c>
      <c r="BQ89" s="142">
        <f>SUMIFS(領用表!$L:$L,領用表!$E:$E,$B89,領用表!$B:$B,BQ$2&amp;$BI$1)</f>
        <v/>
      </c>
      <c r="BR89" s="142">
        <f>SUMIFS(領用表!$L:$L,領用表!$E:$E,$B89,領用表!$B:$B,BR$2&amp;$BI$1)</f>
        <v/>
      </c>
      <c r="BS89" s="142">
        <f>SUMIFS(領用表!$L:$L,領用表!$E:$E,$B89,領用表!$B:$B,BS$2&amp;$BI$1)</f>
        <v/>
      </c>
      <c r="BT89" s="142">
        <f>SUMIFS(領用表!$L:$L,領用表!$E:$E,$B89,領用表!$B:$B,BT$2&amp;$BI$1)</f>
        <v/>
      </c>
      <c r="BU89" s="142">
        <f>SUM(BI89,BJ89,BK89,BL89,BM89,BN89)</f>
        <v/>
      </c>
      <c r="BV89" s="142">
        <f>AVERAGE(BI89,BJ89,BK89,BL89,BM89,BN89)</f>
        <v/>
      </c>
      <c r="BW89" s="142">
        <f>SUMIF(Summary!B:B,B89,Summary!EA:EA)</f>
        <v/>
      </c>
      <c r="BX89" s="109" t="n"/>
      <c r="BY89" s="65" t="n"/>
      <c r="BZ89" s="76" t="n"/>
      <c r="CA89" s="76" t="n"/>
      <c r="CB89" s="27" t="n"/>
      <c r="CC89" s="27" t="n"/>
      <c r="CD89" s="14" t="n"/>
      <c r="CE89" s="14" t="n"/>
    </row>
    <row r="90" hidden="1" ht="15.75" customHeight="1" s="453">
      <c r="A90" s="27" t="inlineStr">
        <is>
          <t>TN1AA050029T</t>
        </is>
      </c>
      <c r="B90" s="14" t="n">
        <v>6050007</v>
      </c>
      <c r="C90" s="136" t="inlineStr">
        <is>
          <t>試用-冰原天神草彈力超導精華 50mL</t>
        </is>
      </c>
      <c r="D90" s="77" t="n"/>
      <c r="E90" s="17" t="inlineStr">
        <is>
          <t>PCS</t>
        </is>
      </c>
      <c r="F90" s="18" t="n"/>
      <c r="G90" s="70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  <c r="AA90" s="68" t="n"/>
      <c r="AB90" s="68" t="n"/>
      <c r="AC90" s="68" t="n"/>
      <c r="AD90" s="68" t="n"/>
      <c r="AE90" s="68" t="n"/>
      <c r="AF90" s="68" t="n"/>
      <c r="AG90" s="19" t="n"/>
      <c r="AH90" s="19" t="n"/>
      <c r="AI90" s="19" t="n"/>
      <c r="AJ90" s="19" t="n"/>
      <c r="AK90" s="19" t="n"/>
      <c r="AL90" s="19" t="n"/>
      <c r="AM90" s="19" t="n"/>
      <c r="AN90" s="19" t="n">
        <v>0</v>
      </c>
      <c r="AO90" s="19" t="n">
        <v>0</v>
      </c>
      <c r="AP90" s="19" t="n">
        <v>10</v>
      </c>
      <c r="AQ90" s="19" t="n">
        <v>0</v>
      </c>
      <c r="AR90" s="19" t="n">
        <v>0</v>
      </c>
      <c r="AS90" s="68">
        <f>SUM(AG90:AR90)</f>
        <v/>
      </c>
      <c r="AT90" s="26">
        <f>AS90/12</f>
        <v/>
      </c>
      <c r="AU90" s="19" t="n">
        <v>0</v>
      </c>
      <c r="AV90" s="19" t="n">
        <v>0</v>
      </c>
      <c r="AW90" s="19" t="n">
        <v>0</v>
      </c>
      <c r="AX90" s="19" t="n">
        <v>0</v>
      </c>
      <c r="AY90" s="19" t="n">
        <v>0</v>
      </c>
      <c r="AZ90" s="20">
        <f>SUMIFS(領用表!$L:$L,領用表!$E:$E,$B90,領用表!$B:$B,AZ$2&amp;$BI$1)</f>
        <v/>
      </c>
      <c r="BA90" s="20">
        <f>SUMIFS(領用表!$L:$L,領用表!$E:$E,$B90,領用表!$B:$B,BA$2&amp;$BI$1)</f>
        <v/>
      </c>
      <c r="BB90" s="20">
        <f>SUMIFS(領用表!$L:$L,領用表!$E:$E,$B90,領用表!$B:$B,BB$2&amp;$BI$1)</f>
        <v/>
      </c>
      <c r="BC90" s="20">
        <f>SUMIFS(領用表!$L:$L,領用表!$E:$E,$B90,領用表!$B:$B,BC$2&amp;$BI$1)</f>
        <v/>
      </c>
      <c r="BD90" s="142">
        <f>SUMIFS(領用表!$L:$L,領用表!$E:$E,$B90,領用表!$B:$B,BD$2&amp;$BI$1)</f>
        <v/>
      </c>
      <c r="BE90" s="142">
        <f>SUMIFS(領用表!$L:$L,領用表!$E:$E,$B90,領用表!$B:$B,BE$2&amp;$BI$1)</f>
        <v/>
      </c>
      <c r="BF90" s="142">
        <f>SUMIFS(領用表!$L:$L,領用表!$E:$E,$B90,領用表!$B:$B,BF$2&amp;$BI$1)</f>
        <v/>
      </c>
      <c r="BG90" s="23">
        <f>SUM(AU90,AV90,AW90,AX90,AY90,AZ90,BA90,BB90,BC90,BD90,BE90,BF90)</f>
        <v/>
      </c>
      <c r="BH90" s="23">
        <f>AVERAGE(AU90,AV90,AW90,AX90,AY90,AZ90,BA90,BB90,BC90,BD90,BE90,BF90)</f>
        <v/>
      </c>
      <c r="BI90" s="142">
        <f>SUMIFS(領用表!$L:$L,領用表!$E:$E,$B90,領用表!$B:$B,BI$2&amp;$BI$1)</f>
        <v/>
      </c>
      <c r="BJ90" s="142">
        <f>SUMIFS(領用表!$L:$L,領用表!$E:$E,$B90,領用表!$B:$B,BJ$2&amp;$BI$1)</f>
        <v/>
      </c>
      <c r="BK90" s="142">
        <f>SUMIFS(領用表!$L:$L,領用表!$E:$E,$B90,領用表!$B:$B,BK$2&amp;$BI$1)</f>
        <v/>
      </c>
      <c r="BL90" s="142">
        <f>SUMIFS(領用表!$L:$L,領用表!$E:$E,$B90,領用表!$B:$B,BL$2&amp;$BI$1)</f>
        <v/>
      </c>
      <c r="BM90" s="142">
        <f>SUMIFS(領用表!$L:$L,領用表!$E:$E,$B90,領用表!$B:$B,BM$2&amp;$BI$1)</f>
        <v/>
      </c>
      <c r="BN90" s="142" t="n"/>
      <c r="BO90" s="142">
        <f>SUMIFS(領用表!$L:$L,領用表!$E:$E,$B90,領用表!$B:$B,BO$2&amp;$BI$1)</f>
        <v/>
      </c>
      <c r="BP90" s="142">
        <f>SUMIFS(領用表!$L:$L,領用表!$E:$E,$B90,領用表!$B:$B,BP$2&amp;$BI$1)</f>
        <v/>
      </c>
      <c r="BQ90" s="142">
        <f>SUMIFS(領用表!$L:$L,領用表!$E:$E,$B90,領用表!$B:$B,BQ$2&amp;$BI$1)</f>
        <v/>
      </c>
      <c r="BR90" s="142">
        <f>SUMIFS(領用表!$L:$L,領用表!$E:$E,$B90,領用表!$B:$B,BR$2&amp;$BI$1)</f>
        <v/>
      </c>
      <c r="BS90" s="142">
        <f>SUMIFS(領用表!$L:$L,領用表!$E:$E,$B90,領用表!$B:$B,BS$2&amp;$BI$1)</f>
        <v/>
      </c>
      <c r="BT90" s="142">
        <f>SUMIFS(領用表!$L:$L,領用表!$E:$E,$B90,領用表!$B:$B,BT$2&amp;$BI$1)</f>
        <v/>
      </c>
      <c r="BU90" s="142">
        <f>SUM(BI90,BJ90,BK90,BL90,BM90,BN90)</f>
        <v/>
      </c>
      <c r="BV90" s="142">
        <f>AVERAGE(BI90,BJ90,BK90,BL90,BM90,BN90)</f>
        <v/>
      </c>
      <c r="BW90" s="142">
        <f>SUMIF(Summary!B:B,B90,Summary!EA:EA)</f>
        <v/>
      </c>
      <c r="BX90" s="109" t="n"/>
      <c r="BY90" s="65" t="n"/>
      <c r="BZ90" s="76" t="n"/>
      <c r="CA90" s="76" t="n"/>
      <c r="CB90" s="27" t="n"/>
      <c r="CC90" s="27" t="n"/>
      <c r="CD90" s="14" t="n"/>
      <c r="CE90" s="14" t="n"/>
    </row>
    <row r="91" ht="15.75" customHeight="1" s="453">
      <c r="A91" s="27" t="inlineStr">
        <is>
          <t>TN1AA200006T</t>
        </is>
      </c>
      <c r="B91" s="14" t="n">
        <v>6230002</v>
      </c>
      <c r="C91" s="136" t="inlineStr">
        <is>
          <t>試用-無瑕清透防護霜 30mL(潤色)</t>
        </is>
      </c>
      <c r="D91" s="77" t="n"/>
      <c r="E91" s="17" t="inlineStr">
        <is>
          <t>PCS</t>
        </is>
      </c>
      <c r="F91" s="18" t="n"/>
      <c r="G91" s="70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  <c r="AA91" s="68" t="n"/>
      <c r="AB91" s="68" t="n"/>
      <c r="AC91" s="68" t="n"/>
      <c r="AD91" s="68" t="n"/>
      <c r="AE91" s="68" t="n"/>
      <c r="AF91" s="68" t="n"/>
      <c r="AG91" s="19" t="n"/>
      <c r="AH91" s="19" t="n"/>
      <c r="AI91" s="19" t="n"/>
      <c r="AJ91" s="19" t="n"/>
      <c r="AK91" s="19" t="n"/>
      <c r="AL91" s="19" t="n"/>
      <c r="AM91" s="19" t="n"/>
      <c r="AN91" s="19" t="n">
        <v>0</v>
      </c>
      <c r="AO91" s="19" t="n">
        <v>10</v>
      </c>
      <c r="AP91" s="19" t="n">
        <v>20</v>
      </c>
      <c r="AQ91" s="19" t="n">
        <v>0</v>
      </c>
      <c r="AR91" s="19" t="n">
        <v>0</v>
      </c>
      <c r="AS91" s="68">
        <f>SUM(AG91:AR91)</f>
        <v/>
      </c>
      <c r="AT91" s="26">
        <f>AS91/12</f>
        <v/>
      </c>
      <c r="AU91" s="19" t="n">
        <v>0</v>
      </c>
      <c r="AV91" s="19" t="n">
        <v>0</v>
      </c>
      <c r="AW91" s="19" t="n">
        <v>0</v>
      </c>
      <c r="AX91" s="19" t="n">
        <v>0</v>
      </c>
      <c r="AY91" s="19" t="n">
        <v>0</v>
      </c>
      <c r="AZ91" s="20">
        <f>SUMIFS(領用表!$L:$L,領用表!$E:$E,$B91,領用表!$B:$B,AZ$2&amp;$BI$1)</f>
        <v/>
      </c>
      <c r="BA91" s="20">
        <f>SUMIFS(領用表!$L:$L,領用表!$E:$E,$B91,領用表!$B:$B,BA$2&amp;$BI$1)</f>
        <v/>
      </c>
      <c r="BB91" s="20">
        <f>SUMIFS(領用表!$L:$L,領用表!$E:$E,$B91,領用表!$B:$B,BB$2&amp;$BI$1)</f>
        <v/>
      </c>
      <c r="BC91" s="20">
        <f>SUMIFS(領用表!$L:$L,領用表!$E:$E,$B91,領用表!$B:$B,BC$2&amp;$BI$1)</f>
        <v/>
      </c>
      <c r="BD91" s="142">
        <f>SUMIFS(領用表!$L:$L,領用表!$E:$E,$B91,領用表!$B:$B,BD$2&amp;$BI$1)</f>
        <v/>
      </c>
      <c r="BE91" s="142">
        <f>SUMIFS(領用表!$L:$L,領用表!$E:$E,$B91,領用表!$B:$B,BE$2&amp;$BI$1)</f>
        <v/>
      </c>
      <c r="BF91" s="142">
        <f>SUMIFS(領用表!$L:$L,領用表!$E:$E,$B91,領用表!$B:$B,BF$2&amp;$BI$1)</f>
        <v/>
      </c>
      <c r="BG91" s="23">
        <f>SUM(AU91,AV91,AW91,AX91,AY91,AZ91,BA91,BB91,BC91,BD91,BE91,BF91)</f>
        <v/>
      </c>
      <c r="BH91" s="23">
        <f>AVERAGE(AU91,AV91,AW91,AX91,AY91,AZ91,BA91,BB91,BC91,BD91,BE91,BF91)</f>
        <v/>
      </c>
      <c r="BI91" s="142">
        <f>SUMIFS(領用表!$L:$L,領用表!$E:$E,$B91,領用表!$B:$B,BI$2&amp;$BI$1)</f>
        <v/>
      </c>
      <c r="BJ91" s="142">
        <f>SUMIFS(領用表!$L:$L,領用表!$E:$E,$B91,領用表!$B:$B,BJ$2&amp;$BI$1)</f>
        <v/>
      </c>
      <c r="BK91" s="142">
        <f>SUMIFS(領用表!$L:$L,領用表!$E:$E,$B91,領用表!$B:$B,BK$2&amp;$BI$1)</f>
        <v/>
      </c>
      <c r="BL91" s="142">
        <f>SUMIFS(領用表!$L:$L,領用表!$E:$E,$B91,領用表!$B:$B,BL$2&amp;$BI$1)</f>
        <v/>
      </c>
      <c r="BM91" s="142">
        <f>SUMIFS(領用表!$L:$L,領用表!$E:$E,$B91,領用表!$B:$B,BM$2&amp;$BI$1)</f>
        <v/>
      </c>
      <c r="BN91" s="142" t="n"/>
      <c r="BO91" s="142">
        <f>SUMIFS(領用表!$L:$L,領用表!$E:$E,$B91,領用表!$B:$B,BO$2&amp;$BI$1)</f>
        <v/>
      </c>
      <c r="BP91" s="142">
        <f>SUMIFS(領用表!$L:$L,領用表!$E:$E,$B91,領用表!$B:$B,BP$2&amp;$BI$1)</f>
        <v/>
      </c>
      <c r="BQ91" s="142">
        <f>SUMIFS(領用表!$L:$L,領用表!$E:$E,$B91,領用表!$B:$B,BQ$2&amp;$BI$1)</f>
        <v/>
      </c>
      <c r="BR91" s="142">
        <f>SUMIFS(領用表!$L:$L,領用表!$E:$E,$B91,領用表!$B:$B,BR$2&amp;$BI$1)</f>
        <v/>
      </c>
      <c r="BS91" s="142">
        <f>SUMIFS(領用表!$L:$L,領用表!$E:$E,$B91,領用表!$B:$B,BS$2&amp;$BI$1)</f>
        <v/>
      </c>
      <c r="BT91" s="142">
        <f>SUMIFS(領用表!$L:$L,領用表!$E:$E,$B91,領用表!$B:$B,BT$2&amp;$BI$1)</f>
        <v/>
      </c>
      <c r="BU91" s="142">
        <f>SUM(BI91,BJ91,BK91,BL91,BM91,BN91)</f>
        <v/>
      </c>
      <c r="BV91" s="142">
        <f>AVERAGE(BI91,BJ91,BK91,BL91,BM91,BN91)</f>
        <v/>
      </c>
      <c r="BW91" s="142">
        <f>SUMIF(Summary!B:B,B91,Summary!EA:EA)</f>
        <v/>
      </c>
      <c r="BX91" s="109" t="n"/>
      <c r="BY91" s="65" t="n"/>
      <c r="BZ91" s="76" t="n"/>
      <c r="CA91" s="76" t="n"/>
      <c r="CB91" s="27" t="n"/>
      <c r="CC91" s="27" t="n"/>
      <c r="CD91" s="14" t="n"/>
      <c r="CE91" s="14" t="n"/>
    </row>
    <row r="92" hidden="1" ht="15.75" customHeight="1" s="453">
      <c r="A92" s="27" t="inlineStr">
        <is>
          <t>TN1AA020004T</t>
        </is>
      </c>
      <c r="B92" s="14" t="e">
        <v>#N/A</v>
      </c>
      <c r="C92" s="136" t="inlineStr">
        <is>
          <t>試用-超微纖深層淨膚乳100ml</t>
        </is>
      </c>
      <c r="D92" s="77" t="n"/>
      <c r="E92" s="17" t="inlineStr">
        <is>
          <t>PCS</t>
        </is>
      </c>
      <c r="F92" s="18" t="n"/>
      <c r="G92" s="70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  <c r="AA92" s="68" t="n"/>
      <c r="AB92" s="68" t="n"/>
      <c r="AC92" s="68" t="n"/>
      <c r="AD92" s="68" t="n"/>
      <c r="AE92" s="68" t="n"/>
      <c r="AF92" s="68" t="n"/>
      <c r="AG92" s="19" t="n"/>
      <c r="AH92" s="19" t="n"/>
      <c r="AI92" s="19" t="n"/>
      <c r="AJ92" s="19" t="n"/>
      <c r="AK92" s="19" t="n"/>
      <c r="AL92" s="19" t="n"/>
      <c r="AM92" s="19" t="n"/>
      <c r="AN92" s="19" t="n">
        <v>0</v>
      </c>
      <c r="AO92" s="19" t="n">
        <v>0</v>
      </c>
      <c r="AP92" s="19" t="n">
        <v>0</v>
      </c>
      <c r="AQ92" s="19" t="n">
        <v>0</v>
      </c>
      <c r="AR92" s="19" t="n">
        <v>10</v>
      </c>
      <c r="AS92" s="68">
        <f>SUM(AG92:AR92)</f>
        <v/>
      </c>
      <c r="AT92" s="26">
        <f>AS92/12</f>
        <v/>
      </c>
      <c r="AU92" s="19" t="n">
        <v>10</v>
      </c>
      <c r="AV92" s="19" t="n">
        <v>37</v>
      </c>
      <c r="AW92" s="19" t="n">
        <v>0</v>
      </c>
      <c r="AX92" s="19" t="n">
        <v>0</v>
      </c>
      <c r="AY92" s="19" t="n">
        <v>0</v>
      </c>
      <c r="AZ92" s="20">
        <f>SUMIFS(領用表!$L:$L,領用表!$E:$E,$B92,領用表!$B:$B,AZ$2&amp;$BI$1)</f>
        <v/>
      </c>
      <c r="BA92" s="20">
        <f>SUMIFS(領用表!$L:$L,領用表!$E:$E,$B92,領用表!$B:$B,BA$2&amp;$BI$1)</f>
        <v/>
      </c>
      <c r="BB92" s="20">
        <f>SUMIFS(領用表!$L:$L,領用表!$E:$E,$B92,領用表!$B:$B,BB$2&amp;$BI$1)</f>
        <v/>
      </c>
      <c r="BC92" s="20">
        <f>SUMIFS(領用表!$L:$L,領用表!$E:$E,$B92,領用表!$B:$B,BC$2&amp;$BI$1)</f>
        <v/>
      </c>
      <c r="BD92" s="142">
        <f>SUMIFS(領用表!$L:$L,領用表!$E:$E,$B92,領用表!$B:$B,BD$2&amp;$BI$1)</f>
        <v/>
      </c>
      <c r="BE92" s="142">
        <f>SUMIFS(領用表!$L:$L,領用表!$E:$E,$B92,領用表!$B:$B,BE$2&amp;$BI$1)</f>
        <v/>
      </c>
      <c r="BF92" s="142">
        <f>SUMIFS(領用表!$L:$L,領用表!$E:$E,$B92,領用表!$B:$B,BF$2&amp;$BI$1)</f>
        <v/>
      </c>
      <c r="BG92" s="23">
        <f>SUM(AU92,AV92,AW92,AX92,AY92,AZ92,BA92,BB92,BC92,BD92,BE92,BF92)</f>
        <v/>
      </c>
      <c r="BH92" s="23">
        <f>AVERAGE(AU92,AV92,AW92,AX92,AY92,AZ92,BA92,BB92,BC92,BD92,BE92,BF92)</f>
        <v/>
      </c>
      <c r="BI92" s="142">
        <f>SUMIFS(領用表!$L:$L,領用表!$E:$E,$B92,領用表!$B:$B,BI$2&amp;$BI$1)</f>
        <v/>
      </c>
      <c r="BJ92" s="142">
        <f>SUMIFS(領用表!$L:$L,領用表!$E:$E,$B92,領用表!$B:$B,BJ$2&amp;$BI$1)</f>
        <v/>
      </c>
      <c r="BK92" s="142">
        <f>SUMIFS(領用表!$L:$L,領用表!$E:$E,$B92,領用表!$B:$B,BK$2&amp;$BI$1)</f>
        <v/>
      </c>
      <c r="BL92" s="142">
        <f>SUMIFS(領用表!$L:$L,領用表!$E:$E,$B92,領用表!$B:$B,BL$2&amp;$BI$1)</f>
        <v/>
      </c>
      <c r="BM92" s="142">
        <f>SUMIFS(領用表!$L:$L,領用表!$E:$E,$B92,領用表!$B:$B,BM$2&amp;$BI$1)</f>
        <v/>
      </c>
      <c r="BN92" s="142">
        <f>SUMIFS(領用表!$L:$L,領用表!$E:$E,$B92,領用表!$B:$B,BN$2&amp;$BI$1)</f>
        <v/>
      </c>
      <c r="BO92" s="142">
        <f>SUMIFS(領用表!$L:$L,領用表!$E:$E,$B92,領用表!$B:$B,BO$2&amp;$BI$1)</f>
        <v/>
      </c>
      <c r="BP92" s="142">
        <f>SUMIFS(領用表!$L:$L,領用表!$E:$E,$B92,領用表!$B:$B,BP$2&amp;$BI$1)</f>
        <v/>
      </c>
      <c r="BQ92" s="142">
        <f>SUMIFS(領用表!$L:$L,領用表!$E:$E,$B92,領用表!$B:$B,BQ$2&amp;$BI$1)</f>
        <v/>
      </c>
      <c r="BR92" s="142">
        <f>SUMIFS(領用表!$L:$L,領用表!$E:$E,$B92,領用表!$B:$B,BR$2&amp;$BI$1)</f>
        <v/>
      </c>
      <c r="BS92" s="142">
        <f>SUMIFS(領用表!$L:$L,領用表!$E:$E,$B92,領用表!$B:$B,BS$2&amp;$BI$1)</f>
        <v/>
      </c>
      <c r="BT92" s="142">
        <f>SUMIFS(領用表!$L:$L,領用表!$E:$E,$B92,領用表!$B:$B,BT$2&amp;$BI$1)</f>
        <v/>
      </c>
      <c r="BU92" s="142">
        <f>SUM(BI92,BJ92,BK92,BL92,BM92,BN92)</f>
        <v/>
      </c>
      <c r="BV92" s="142">
        <f>AVERAGE(BI92,BJ92,BK92,BL92,BM92,BN92)</f>
        <v/>
      </c>
      <c r="BW92" s="142">
        <f>SUMIF(Summary!B:B,B92,Summary!EA:EA)</f>
        <v/>
      </c>
      <c r="BX92" s="109" t="n"/>
      <c r="BY92" s="65" t="n"/>
      <c r="BZ92" s="65" t="n"/>
      <c r="CA92" s="65" t="n"/>
      <c r="CB92" s="27" t="n"/>
      <c r="CC92" s="27" t="n"/>
      <c r="CD92" s="14" t="n"/>
      <c r="CE92" s="14" t="n"/>
    </row>
    <row r="93" ht="15.75" customHeight="1" s="453">
      <c r="A93" s="27" t="inlineStr">
        <is>
          <t>FN1AA060003T</t>
        </is>
      </c>
      <c r="B93" s="14" t="n">
        <v>6060002</v>
      </c>
      <c r="C93" s="136" t="inlineStr">
        <is>
          <t>試用包-金采賦活保濕精華霜 2mL(尖嘴單劑包)</t>
        </is>
      </c>
      <c r="D93" s="77" t="n"/>
      <c r="E93" s="17" t="inlineStr">
        <is>
          <t>PCS</t>
        </is>
      </c>
      <c r="F93" s="18" t="n"/>
      <c r="G93" s="70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  <c r="AA93" s="68" t="n"/>
      <c r="AB93" s="68" t="n"/>
      <c r="AC93" s="68" t="n"/>
      <c r="AD93" s="68" t="n"/>
      <c r="AE93" s="68" t="n"/>
      <c r="AF93" s="68" t="n"/>
      <c r="AG93" s="19" t="n"/>
      <c r="AH93" s="19" t="n"/>
      <c r="AI93" s="19" t="n"/>
      <c r="AJ93" s="19" t="n"/>
      <c r="AK93" s="19" t="n"/>
      <c r="AL93" s="19" t="n"/>
      <c r="AM93" s="19" t="n"/>
      <c r="AN93" s="19" t="n">
        <v>0</v>
      </c>
      <c r="AO93" s="19" t="n">
        <v>0</v>
      </c>
      <c r="AP93" s="19" t="n">
        <v>0</v>
      </c>
      <c r="AQ93" s="19" t="n">
        <v>800</v>
      </c>
      <c r="AR93" s="19" t="n">
        <v>200</v>
      </c>
      <c r="AS93" s="68">
        <f>SUM(AG93:AR93)</f>
        <v/>
      </c>
      <c r="AT93" s="26">
        <f>AS93/12</f>
        <v/>
      </c>
      <c r="AU93" s="19" t="n">
        <v>0</v>
      </c>
      <c r="AV93" s="19" t="n">
        <v>0</v>
      </c>
      <c r="AW93" s="19" t="n">
        <v>200</v>
      </c>
      <c r="AX93" s="19" t="n">
        <v>0</v>
      </c>
      <c r="AY93" s="19" t="n">
        <v>0</v>
      </c>
      <c r="AZ93" s="20">
        <f>SUMIFS(領用表!$L:$L,領用表!$E:$E,$B93,領用表!$B:$B,AZ$2&amp;$BI$1)</f>
        <v/>
      </c>
      <c r="BA93" s="20">
        <f>SUMIFS(領用表!$L:$L,領用表!$E:$E,$B93,領用表!$B:$B,BA$2&amp;$BI$1)</f>
        <v/>
      </c>
      <c r="BB93" s="20">
        <f>SUMIFS(領用表!$L:$L,領用表!$E:$E,$B93,領用表!$B:$B,BB$2&amp;$BI$1)</f>
        <v/>
      </c>
      <c r="BC93" s="20">
        <f>SUMIFS(領用表!$L:$L,領用表!$E:$E,$B93,領用表!$B:$B,BC$2&amp;$BI$1)</f>
        <v/>
      </c>
      <c r="BD93" s="142">
        <f>SUMIFS(領用表!$L:$L,領用表!$E:$E,$B93,領用表!$B:$B,BD$2&amp;$BI$1)</f>
        <v/>
      </c>
      <c r="BE93" s="142">
        <f>SUMIFS(領用表!$L:$L,領用表!$E:$E,$B93,領用表!$B:$B,BE$2&amp;$BI$1)</f>
        <v/>
      </c>
      <c r="BF93" s="142">
        <f>SUMIFS(領用表!$L:$L,領用表!$E:$E,$B93,領用表!$B:$B,BF$2&amp;$BI$1)</f>
        <v/>
      </c>
      <c r="BG93" s="23">
        <f>SUM(AU93,AV93,AW93,AX93,AY93,AZ93,BA93,BB93,BC93,BD93,BE93,BF93)</f>
        <v/>
      </c>
      <c r="BH93" s="23">
        <f>AVERAGE(AU93,AV93,AW93,AX93,AY93,AZ93,BA93,BB93,BC93,BD93,BE93,BF93)</f>
        <v/>
      </c>
      <c r="BI93" s="142">
        <f>SUMIFS(領用表!$L:$L,領用表!$E:$E,$B93,領用表!$B:$B,BI$2&amp;$BI$1)</f>
        <v/>
      </c>
      <c r="BJ93" s="142">
        <f>SUMIFS(領用表!$L:$L,領用表!$E:$E,$B93,領用表!$B:$B,BJ$2&amp;$BI$1)</f>
        <v/>
      </c>
      <c r="BK93" s="142">
        <f>SUMIFS(領用表!$L:$L,領用表!$E:$E,$B93,領用表!$B:$B,BK$2&amp;$BI$1)</f>
        <v/>
      </c>
      <c r="BL93" s="142">
        <f>SUMIFS(領用表!$L:$L,領用表!$E:$E,$B93,領用表!$B:$B,BL$2&amp;$BI$1)</f>
        <v/>
      </c>
      <c r="BM93" s="142">
        <f>SUMIFS(領用表!$L:$L,領用表!$E:$E,$B93,領用表!$B:$B,BM$2&amp;$BI$1)</f>
        <v/>
      </c>
      <c r="BN93" s="142" t="n"/>
      <c r="BO93" s="142">
        <f>SUMIFS(領用表!$L:$L,領用表!$E:$E,$B93,領用表!$B:$B,BO$2&amp;$BI$1)</f>
        <v/>
      </c>
      <c r="BP93" s="142">
        <f>SUMIFS(領用表!$L:$L,領用表!$E:$E,$B93,領用表!$B:$B,BP$2&amp;$BI$1)</f>
        <v/>
      </c>
      <c r="BQ93" s="142">
        <f>SUMIFS(領用表!$L:$L,領用表!$E:$E,$B93,領用表!$B:$B,BQ$2&amp;$BI$1)</f>
        <v/>
      </c>
      <c r="BR93" s="142">
        <f>SUMIFS(領用表!$L:$L,領用表!$E:$E,$B93,領用表!$B:$B,BR$2&amp;$BI$1)</f>
        <v/>
      </c>
      <c r="BS93" s="142">
        <f>SUMIFS(領用表!$L:$L,領用表!$E:$E,$B93,領用表!$B:$B,BS$2&amp;$BI$1)</f>
        <v/>
      </c>
      <c r="BT93" s="142">
        <f>SUMIFS(領用表!$L:$L,領用表!$E:$E,$B93,領用表!$B:$B,BT$2&amp;$BI$1)</f>
        <v/>
      </c>
      <c r="BU93" s="142">
        <f>SUM(BI93,BJ93,BK93,BL93,BM93,BN93)</f>
        <v/>
      </c>
      <c r="BV93" s="142">
        <f>AVERAGE(BI93,BJ93,BK93,BL93,BM93,BN93)</f>
        <v/>
      </c>
      <c r="BW93" s="142">
        <f>SUMIF(Summary!B:B,B93,Summary!EA:EA)</f>
        <v/>
      </c>
      <c r="BX93" s="109" t="n"/>
      <c r="BY93" s="65" t="n"/>
      <c r="BZ93" s="65" t="n"/>
      <c r="CA93" s="65" t="n"/>
      <c r="CB93" s="27" t="n"/>
      <c r="CC93" s="27" t="n"/>
      <c r="CD93" s="14" t="n"/>
      <c r="CE93" s="14" t="n"/>
    </row>
    <row r="94" ht="15.75" customHeight="1" s="453">
      <c r="A94" s="27" t="inlineStr">
        <is>
          <t>FN1AA200006T</t>
        </is>
      </c>
      <c r="B94" s="14" t="n">
        <v>6230001</v>
      </c>
      <c r="C94" s="136" t="inlineStr">
        <is>
          <t>試用包-無瑕清透防護霜 2ml(尖嘴單劑包)</t>
        </is>
      </c>
      <c r="D94" s="77" t="n"/>
      <c r="E94" s="17" t="inlineStr">
        <is>
          <t>PCS</t>
        </is>
      </c>
      <c r="F94" s="18" t="n"/>
      <c r="G94" s="70" t="n"/>
      <c r="AG94" s="82" t="n"/>
      <c r="AH94" s="82" t="n"/>
      <c r="AI94" s="82" t="n"/>
      <c r="AJ94" s="82" t="n"/>
      <c r="AK94" s="82" t="n"/>
      <c r="AL94" s="82" t="n"/>
      <c r="AM94" s="82" t="n"/>
      <c r="AN94" s="19" t="n">
        <v>0</v>
      </c>
      <c r="AO94" s="19" t="n">
        <v>0</v>
      </c>
      <c r="AP94" s="19" t="n">
        <v>0</v>
      </c>
      <c r="AQ94" s="19" t="n">
        <v>800</v>
      </c>
      <c r="AR94" s="19" t="n">
        <v>200</v>
      </c>
      <c r="AS94" s="68">
        <f>SUM(AG94:AR94)</f>
        <v/>
      </c>
      <c r="AT94" s="26">
        <f>AS94/12</f>
        <v/>
      </c>
      <c r="AU94" s="19" t="n">
        <v>0</v>
      </c>
      <c r="AV94" s="19" t="n">
        <v>0</v>
      </c>
      <c r="AW94" s="19" t="n">
        <v>200</v>
      </c>
      <c r="AX94" s="19" t="n">
        <v>0</v>
      </c>
      <c r="AY94" s="19" t="n">
        <v>0</v>
      </c>
      <c r="AZ94" s="20">
        <f>SUMIFS(領用表!$L:$L,領用表!$E:$E,$B94,領用表!$B:$B,AZ$2&amp;$BI$1)</f>
        <v/>
      </c>
      <c r="BA94" s="20">
        <f>SUMIFS(領用表!$L:$L,領用表!$E:$E,$B94,領用表!$B:$B,BA$2&amp;$BI$1)</f>
        <v/>
      </c>
      <c r="BB94" s="20">
        <f>SUMIFS(領用表!$L:$L,領用表!$E:$E,$B94,領用表!$B:$B,BB$2&amp;$BI$1)</f>
        <v/>
      </c>
      <c r="BC94" s="20">
        <f>SUMIFS(領用表!$L:$L,領用表!$E:$E,$B94,領用表!$B:$B,BC$2&amp;$BI$1)</f>
        <v/>
      </c>
      <c r="BD94" s="142">
        <f>SUMIFS(領用表!$L:$L,領用表!$E:$E,$B94,領用表!$B:$B,BD$2&amp;$BI$1)</f>
        <v/>
      </c>
      <c r="BE94" s="142">
        <f>SUMIFS(領用表!$L:$L,領用表!$E:$E,$B94,領用表!$B:$B,BE$2&amp;$BI$1)</f>
        <v/>
      </c>
      <c r="BF94" s="142">
        <f>SUMIFS(領用表!$L:$L,領用表!$E:$E,$B94,領用表!$B:$B,BF$2&amp;$BI$1)</f>
        <v/>
      </c>
      <c r="BG94" s="23">
        <f>SUM(AU94,AV94,AW94,AX94,AY94,AZ94,BA94,BB94,BC94,BD94,BE94,BF94)</f>
        <v/>
      </c>
      <c r="BH94" s="23">
        <f>AVERAGE(AU94,AV94,AW94,AX94,AY94,AZ94,BA94,BB94,BC94,BD94,BE94,BF94)</f>
        <v/>
      </c>
      <c r="BI94" s="142">
        <f>SUMIFS(領用表!$L:$L,領用表!$E:$E,$B94,領用表!$B:$B,BI$2&amp;$BI$1)</f>
        <v/>
      </c>
      <c r="BJ94" s="142">
        <f>SUMIFS(領用表!$L:$L,領用表!$E:$E,$B94,領用表!$B:$B,BJ$2&amp;$BI$1)</f>
        <v/>
      </c>
      <c r="BK94" s="142">
        <f>SUMIFS(領用表!$L:$L,領用表!$E:$E,$B94,領用表!$B:$B,BK$2&amp;$BI$1)</f>
        <v/>
      </c>
      <c r="BL94" s="142">
        <f>SUMIFS(領用表!$L:$L,領用表!$E:$E,$B94,領用表!$B:$B,BL$2&amp;$BI$1)</f>
        <v/>
      </c>
      <c r="BM94" s="142">
        <f>SUMIFS(領用表!$L:$L,領用表!$E:$E,$B94,領用表!$B:$B,BM$2&amp;$BI$1)</f>
        <v/>
      </c>
      <c r="BN94" s="142" t="n"/>
      <c r="BO94" s="142">
        <f>SUMIFS(領用表!$L:$L,領用表!$E:$E,$B94,領用表!$B:$B,BO$2&amp;$BI$1)</f>
        <v/>
      </c>
      <c r="BP94" s="142">
        <f>SUMIFS(領用表!$L:$L,領用表!$E:$E,$B94,領用表!$B:$B,BP$2&amp;$BI$1)</f>
        <v/>
      </c>
      <c r="BQ94" s="142">
        <f>SUMIFS(領用表!$L:$L,領用表!$E:$E,$B94,領用表!$B:$B,BQ$2&amp;$BI$1)</f>
        <v/>
      </c>
      <c r="BR94" s="142">
        <f>SUMIFS(領用表!$L:$L,領用表!$E:$E,$B94,領用表!$B:$B,BR$2&amp;$BI$1)</f>
        <v/>
      </c>
      <c r="BS94" s="142">
        <f>SUMIFS(領用表!$L:$L,領用表!$E:$E,$B94,領用表!$B:$B,BS$2&amp;$BI$1)</f>
        <v/>
      </c>
      <c r="BT94" s="142">
        <f>SUMIFS(領用表!$L:$L,領用表!$E:$E,$B94,領用表!$B:$B,BT$2&amp;$BI$1)</f>
        <v/>
      </c>
      <c r="BU94" s="142">
        <f>SUM(BI94,BJ94,BK94,BL94,BM94,BN94)</f>
        <v/>
      </c>
      <c r="BV94" s="142">
        <f>AVERAGE(BI94,BJ94,BK94,BL94,BM94,BN94)</f>
        <v/>
      </c>
      <c r="BW94" s="142">
        <f>SUMIF(Summary!B:B,B94,Summary!EA:EA)</f>
        <v/>
      </c>
      <c r="BX94" s="109" t="n"/>
      <c r="BY94" s="65" t="n"/>
      <c r="BZ94" s="65" t="n"/>
      <c r="CA94" s="65" t="n"/>
    </row>
    <row r="95" ht="15.75" customHeight="1" s="453">
      <c r="A95" s="27" t="inlineStr">
        <is>
          <t>TN1AA070012T</t>
        </is>
      </c>
      <c r="B95" s="14" t="n">
        <v>6070001</v>
      </c>
      <c r="C95" s="136" t="inlineStr">
        <is>
          <t>試用-365抗皺緊緻精質乳霜50ml(2016年版)</t>
        </is>
      </c>
      <c r="D95" s="77" t="n"/>
      <c r="E95" s="17" t="inlineStr">
        <is>
          <t>PCS</t>
        </is>
      </c>
      <c r="F95" s="18" t="n"/>
      <c r="G95" s="70" t="n"/>
      <c r="AG95" s="82" t="n"/>
      <c r="AH95" s="82" t="n"/>
      <c r="AI95" s="82" t="n"/>
      <c r="AJ95" s="82" t="n"/>
      <c r="AK95" s="82" t="n"/>
      <c r="AL95" s="82" t="n"/>
      <c r="AM95" s="82" t="n"/>
      <c r="AN95" s="19" t="n">
        <v>0</v>
      </c>
      <c r="AO95" s="19" t="n">
        <v>0</v>
      </c>
      <c r="AP95" s="19" t="n">
        <v>0</v>
      </c>
      <c r="AQ95" s="19" t="n">
        <v>5</v>
      </c>
      <c r="AR95" s="19" t="n">
        <v>0</v>
      </c>
      <c r="AS95" s="68">
        <f>SUM(AG95:AR95)</f>
        <v/>
      </c>
      <c r="AT95" s="26">
        <f>AS95/12</f>
        <v/>
      </c>
      <c r="AU95" s="19" t="n">
        <v>0</v>
      </c>
      <c r="AV95" s="19" t="n">
        <v>6</v>
      </c>
      <c r="AW95" s="19" t="n">
        <v>0</v>
      </c>
      <c r="AX95" s="19" t="n">
        <v>0</v>
      </c>
      <c r="AY95" s="19" t="n">
        <v>0</v>
      </c>
      <c r="AZ95" s="20">
        <f>SUMIFS(領用表!$L:$L,領用表!$E:$E,$B95,領用表!$B:$B,AZ$2&amp;$BI$1)</f>
        <v/>
      </c>
      <c r="BA95" s="20">
        <f>SUMIFS(領用表!$L:$L,領用表!$E:$E,$B95,領用表!$B:$B,BA$2&amp;$BI$1)</f>
        <v/>
      </c>
      <c r="BB95" s="20">
        <f>SUMIFS(領用表!$L:$L,領用表!$E:$E,$B95,領用表!$B:$B,BB$2&amp;$BI$1)</f>
        <v/>
      </c>
      <c r="BC95" s="20">
        <f>SUMIFS(領用表!$L:$L,領用表!$E:$E,$B95,領用表!$B:$B,BC$2&amp;$BI$1)</f>
        <v/>
      </c>
      <c r="BD95" s="142">
        <f>SUMIFS(領用表!$L:$L,領用表!$E:$E,$B95,領用表!$B:$B,BD$2&amp;$BI$1)</f>
        <v/>
      </c>
      <c r="BE95" s="142">
        <f>SUMIFS(領用表!$L:$L,領用表!$E:$E,$B95,領用表!$B:$B,BE$2&amp;$BI$1)</f>
        <v/>
      </c>
      <c r="BF95" s="142">
        <f>SUMIFS(領用表!$L:$L,領用表!$E:$E,$B95,領用表!$B:$B,BF$2&amp;$BI$1)</f>
        <v/>
      </c>
      <c r="BG95" s="23">
        <f>SUM(AU95,AV95,AW95,AX95,AY95,AZ95,BA95,BB95,BC95,BD95,BE95,BF95)</f>
        <v/>
      </c>
      <c r="BH95" s="23">
        <f>AVERAGE(AU95,AV95,AW95,AX95,AY95,AZ95,BA95,BB95,BC95,BD95,BE95,BF95)</f>
        <v/>
      </c>
      <c r="BI95" s="142">
        <f>SUMIFS(領用表!$L:$L,領用表!$E:$E,$B95,領用表!$B:$B,BI$2&amp;$BI$1)</f>
        <v/>
      </c>
      <c r="BJ95" s="142">
        <f>SUMIFS(領用表!$L:$L,領用表!$E:$E,$B95,領用表!$B:$B,BJ$2&amp;$BI$1)</f>
        <v/>
      </c>
      <c r="BK95" s="142">
        <f>SUMIFS(領用表!$L:$L,領用表!$E:$E,$B95,領用表!$B:$B,BK$2&amp;$BI$1)</f>
        <v/>
      </c>
      <c r="BL95" s="142">
        <f>SUMIFS(領用表!$L:$L,領用表!$E:$E,$B95,領用表!$B:$B,BL$2&amp;$BI$1)</f>
        <v/>
      </c>
      <c r="BM95" s="142">
        <f>SUMIFS(領用表!$L:$L,領用表!$E:$E,$B95,領用表!$B:$B,BM$2&amp;$BI$1)</f>
        <v/>
      </c>
      <c r="BN95" s="142" t="n"/>
      <c r="BO95" s="142">
        <f>SUMIFS(領用表!$L:$L,領用表!$E:$E,$B95,領用表!$B:$B,BO$2&amp;$BI$1)</f>
        <v/>
      </c>
      <c r="BP95" s="142">
        <f>SUMIFS(領用表!$L:$L,領用表!$E:$E,$B95,領用表!$B:$B,BP$2&amp;$BI$1)</f>
        <v/>
      </c>
      <c r="BQ95" s="142">
        <f>SUMIFS(領用表!$L:$L,領用表!$E:$E,$B95,領用表!$B:$B,BQ$2&amp;$BI$1)</f>
        <v/>
      </c>
      <c r="BR95" s="142">
        <f>SUMIFS(領用表!$L:$L,領用表!$E:$E,$B95,領用表!$B:$B,BR$2&amp;$BI$1)</f>
        <v/>
      </c>
      <c r="BS95" s="142">
        <f>SUMIFS(領用表!$L:$L,領用表!$E:$E,$B95,領用表!$B:$B,BS$2&amp;$BI$1)</f>
        <v/>
      </c>
      <c r="BT95" s="142">
        <f>SUMIFS(領用表!$L:$L,領用表!$E:$E,$B95,領用表!$B:$B,BT$2&amp;$BI$1)</f>
        <v/>
      </c>
      <c r="BU95" s="142">
        <f>SUM(BI95,BJ95,BK95,BL95,BM95,BN95)</f>
        <v/>
      </c>
      <c r="BV95" s="142">
        <f>AVERAGE(BI95,BJ95,BK95,BL95,BM95,BN95)</f>
        <v/>
      </c>
      <c r="BW95" s="142">
        <f>SUMIF(Summary!B:B,B95,Summary!EA:EA)</f>
        <v/>
      </c>
      <c r="BX95" s="109" t="n"/>
      <c r="BY95" s="65" t="n"/>
      <c r="BZ95" s="65" t="n"/>
      <c r="CA95" s="65" t="n"/>
    </row>
    <row r="96" hidden="1" ht="15.75" customHeight="1" s="453">
      <c r="A96" s="27" t="inlineStr">
        <is>
          <t>DL1GA000071T</t>
        </is>
      </c>
      <c r="B96" s="14" t="e">
        <v>#N/A</v>
      </c>
      <c r="C96" s="136" t="inlineStr">
        <is>
          <t>新纖有酵蔬果酵素飲50ml(15入)停產</t>
        </is>
      </c>
      <c r="D96" s="77" t="n"/>
      <c r="E96" s="17" t="inlineStr">
        <is>
          <t>PCS</t>
        </is>
      </c>
      <c r="F96" s="18" t="n"/>
      <c r="G96" s="70" t="n"/>
      <c r="AG96" s="82" t="n"/>
      <c r="AH96" s="82" t="n"/>
      <c r="AI96" s="82" t="n"/>
      <c r="AJ96" s="82" t="n"/>
      <c r="AK96" s="82" t="n"/>
      <c r="AL96" s="82" t="n"/>
      <c r="AM96" s="82" t="n"/>
      <c r="AN96" s="19" t="n">
        <v>0</v>
      </c>
      <c r="AO96" s="19">
        <f>171/15</f>
        <v/>
      </c>
      <c r="AP96" s="19" t="n">
        <v>0</v>
      </c>
      <c r="AQ96" s="19" t="n">
        <v>45</v>
      </c>
      <c r="AR96" s="19" t="n">
        <v>108</v>
      </c>
      <c r="AS96" s="68">
        <f>SUM(AG96:AR96)</f>
        <v/>
      </c>
      <c r="AT96" s="26">
        <f>AS96/12</f>
        <v/>
      </c>
      <c r="AU96" s="19" t="n">
        <v>45</v>
      </c>
      <c r="AV96" s="19" t="n">
        <v>36</v>
      </c>
      <c r="AW96" s="19" t="n">
        <v>0</v>
      </c>
      <c r="AX96" s="19" t="n">
        <v>0</v>
      </c>
      <c r="AY96" s="19" t="n">
        <v>0</v>
      </c>
      <c r="AZ96" s="20">
        <f>SUMIFS(領用表!$L:$L,領用表!$E:$E,$B96,領用表!$B:$B,AZ$2&amp;$BI$1)</f>
        <v/>
      </c>
      <c r="BA96" s="20">
        <f>SUMIFS(領用表!$L:$L,領用表!$E:$E,$B96,領用表!$B:$B,BA$2&amp;$BI$1)</f>
        <v/>
      </c>
      <c r="BB96" s="20">
        <f>SUMIFS(領用表!$L:$L,領用表!$E:$E,$B96,領用表!$B:$B,BB$2&amp;$BI$1)</f>
        <v/>
      </c>
      <c r="BC96" s="20">
        <f>SUMIFS(領用表!$L:$L,領用表!$E:$E,$B96,領用表!$B:$B,BC$2&amp;$BI$1)</f>
        <v/>
      </c>
      <c r="BD96" s="142">
        <f>SUMIFS(領用表!$L:$L,領用表!$E:$E,$B96,領用表!$B:$B,BD$2&amp;$BI$1)</f>
        <v/>
      </c>
      <c r="BE96" s="142">
        <f>SUMIFS(領用表!$L:$L,領用表!$E:$E,$B96,領用表!$B:$B,BE$2&amp;$BI$1)</f>
        <v/>
      </c>
      <c r="BF96" s="142">
        <f>SUMIFS(領用表!$L:$L,領用表!$E:$E,$B96,領用表!$B:$B,BF$2&amp;$BI$1)</f>
        <v/>
      </c>
      <c r="BG96" s="23">
        <f>SUM(AU96,AV96,AW96,AX96,AY96,AZ96,BA96,BB96,BC96,BD96,BE96,BF96)</f>
        <v/>
      </c>
      <c r="BH96" s="23">
        <f>AVERAGE(AU96,AV96,AW96,AX96,AY96,AZ96,BA96,BB96,BC96,BD96,BE96,BF96)</f>
        <v/>
      </c>
      <c r="BI96" s="142">
        <f>SUMIFS(領用表!$L:$L,領用表!$E:$E,$B96,領用表!$B:$B,BI$2&amp;$BI$1)</f>
        <v/>
      </c>
      <c r="BJ96" s="142">
        <f>SUMIFS(領用表!$L:$L,領用表!$E:$E,$B96,領用表!$B:$B,BJ$2&amp;$BI$1)</f>
        <v/>
      </c>
      <c r="BK96" s="142">
        <f>SUMIFS(領用表!$L:$L,領用表!$E:$E,$B96,領用表!$B:$B,BK$2&amp;$BI$1)</f>
        <v/>
      </c>
      <c r="BL96" s="142">
        <f>SUMIFS(領用表!$L:$L,領用表!$E:$E,$B96,領用表!$B:$B,BL$2&amp;$BI$1)</f>
        <v/>
      </c>
      <c r="BM96" s="142">
        <f>SUMIFS(領用表!$L:$L,領用表!$E:$E,$B96,領用表!$B:$B,BM$2&amp;$BI$1)</f>
        <v/>
      </c>
      <c r="BN96" s="142">
        <f>SUMIFS(領用表!$L:$L,領用表!$E:$E,$B96,領用表!$B:$B,BN$2&amp;$BI$1)</f>
        <v/>
      </c>
      <c r="BO96" s="142">
        <f>SUMIFS(領用表!$L:$L,領用表!$E:$E,$B96,領用表!$B:$B,BO$2&amp;$BI$1)</f>
        <v/>
      </c>
      <c r="BP96" s="142">
        <f>SUMIFS(領用表!$L:$L,領用表!$E:$E,$B96,領用表!$B:$B,BP$2&amp;$BI$1)</f>
        <v/>
      </c>
      <c r="BQ96" s="142">
        <f>SUMIFS(領用表!$L:$L,領用表!$E:$E,$B96,領用表!$B:$B,BQ$2&amp;$BI$1)</f>
        <v/>
      </c>
      <c r="BR96" s="142">
        <f>SUMIFS(領用表!$L:$L,領用表!$E:$E,$B96,領用表!$B:$B,BR$2&amp;$BI$1)</f>
        <v/>
      </c>
      <c r="BS96" s="142">
        <f>SUMIFS(領用表!$L:$L,領用表!$E:$E,$B96,領用表!$B:$B,BS$2&amp;$BI$1)</f>
        <v/>
      </c>
      <c r="BT96" s="142">
        <f>SUMIFS(領用表!$L:$L,領用表!$E:$E,$B96,領用表!$B:$B,BT$2&amp;$BI$1)</f>
        <v/>
      </c>
      <c r="BU96" s="142">
        <f>SUM(BI96,BJ96,BK96,BL96,BM96,BN96)</f>
        <v/>
      </c>
      <c r="BV96" s="142">
        <f>AVERAGE(BI96,BJ96,BK96,BL96,BM96,BN96)</f>
        <v/>
      </c>
      <c r="BW96" s="142">
        <f>SUMIF(Summary!B:B,B96,Summary!EA:EA)</f>
        <v/>
      </c>
      <c r="BX96" s="109" t="n"/>
      <c r="BY96" s="65" t="n"/>
      <c r="BZ96" s="65" t="n"/>
      <c r="CA96" s="65" t="n"/>
    </row>
    <row r="97" hidden="1" ht="15.75" customHeight="1" s="453">
      <c r="A97" s="27" t="inlineStr">
        <is>
          <t>DL1GA000066T</t>
        </is>
      </c>
      <c r="B97" s="14" t="e">
        <v>#N/A</v>
      </c>
      <c r="C97" s="136" t="inlineStr">
        <is>
          <t>青春機密膠原飲 60ml(10入)停產</t>
        </is>
      </c>
      <c r="D97" s="77" t="n"/>
      <c r="E97" s="17" t="inlineStr">
        <is>
          <t>PCS</t>
        </is>
      </c>
      <c r="F97" s="18" t="n"/>
      <c r="G97" s="70" t="n"/>
      <c r="AG97" s="82" t="n"/>
      <c r="AH97" s="82" t="n"/>
      <c r="AI97" s="82" t="n"/>
      <c r="AJ97" s="82" t="n"/>
      <c r="AK97" s="82" t="n"/>
      <c r="AL97" s="82" t="n"/>
      <c r="AM97" s="82" t="n"/>
      <c r="AN97" s="19" t="n">
        <v>0</v>
      </c>
      <c r="AO97" s="19" t="n">
        <v>0</v>
      </c>
      <c r="AP97" s="19" t="n">
        <v>0</v>
      </c>
      <c r="AQ97" s="19" t="n">
        <v>6</v>
      </c>
      <c r="AR97" s="19" t="n">
        <v>0</v>
      </c>
      <c r="AS97" s="68">
        <f>SUM(AG97:AR97)</f>
        <v/>
      </c>
      <c r="AT97" s="26">
        <f>AS97/12</f>
        <v/>
      </c>
      <c r="AU97" s="19" t="n">
        <v>19</v>
      </c>
      <c r="AV97" s="19" t="n">
        <v>0</v>
      </c>
      <c r="AW97" s="19" t="n">
        <v>0</v>
      </c>
      <c r="AX97" s="19" t="n">
        <v>0</v>
      </c>
      <c r="AY97" s="19" t="n">
        <v>0</v>
      </c>
      <c r="AZ97" s="20">
        <f>SUMIFS(領用表!$L:$L,領用表!$E:$E,$B97,領用表!$B:$B,AZ$2&amp;$BI$1)</f>
        <v/>
      </c>
      <c r="BA97" s="20">
        <f>SUMIFS(領用表!$L:$L,領用表!$E:$E,$B97,領用表!$B:$B,BA$2&amp;$BI$1)</f>
        <v/>
      </c>
      <c r="BB97" s="20">
        <f>SUMIFS(領用表!$L:$L,領用表!$E:$E,$B97,領用表!$B:$B,BB$2&amp;$BI$1)</f>
        <v/>
      </c>
      <c r="BC97" s="20">
        <f>SUMIFS(領用表!$L:$L,領用表!$E:$E,$B97,領用表!$B:$B,BC$2&amp;$BI$1)</f>
        <v/>
      </c>
      <c r="BD97" s="142">
        <f>SUMIFS(領用表!$L:$L,領用表!$E:$E,$B97,領用表!$B:$B,BD$2&amp;$BI$1)</f>
        <v/>
      </c>
      <c r="BE97" s="142">
        <f>SUMIFS(領用表!$L:$L,領用表!$E:$E,$B97,領用表!$B:$B,BE$2&amp;$BI$1)</f>
        <v/>
      </c>
      <c r="BF97" s="142">
        <f>SUMIFS(領用表!$L:$L,領用表!$E:$E,$B97,領用表!$B:$B,BF$2&amp;$BI$1)</f>
        <v/>
      </c>
      <c r="BG97" s="23">
        <f>SUM(AU97,AV97,AW97,AX97,AY97,AZ97,BA97,BB97,BC97,BD97,BE97,BF97)</f>
        <v/>
      </c>
      <c r="BH97" s="23">
        <f>AVERAGE(AU97,AV97,AW97,AX97,AY97,AZ97,BA97,BB97,BC97,BD97,BE97,BF97)</f>
        <v/>
      </c>
      <c r="BI97" s="142">
        <f>SUMIFS(領用表!$L:$L,領用表!$E:$E,$B97,領用表!$B:$B,BI$2&amp;$BI$1)</f>
        <v/>
      </c>
      <c r="BJ97" s="142">
        <f>SUMIFS(領用表!$L:$L,領用表!$E:$E,$B97,領用表!$B:$B,BJ$2&amp;$BI$1)</f>
        <v/>
      </c>
      <c r="BK97" s="142">
        <f>SUMIFS(領用表!$L:$L,領用表!$E:$E,$B97,領用表!$B:$B,BK$2&amp;$BI$1)</f>
        <v/>
      </c>
      <c r="BL97" s="142">
        <f>SUMIFS(領用表!$L:$L,領用表!$E:$E,$B97,領用表!$B:$B,BL$2&amp;$BI$1)</f>
        <v/>
      </c>
      <c r="BM97" s="142">
        <f>SUMIFS(領用表!$L:$L,領用表!$E:$E,$B97,領用表!$B:$B,BM$2&amp;$BI$1)</f>
        <v/>
      </c>
      <c r="BN97" s="142">
        <f>SUMIFS(領用表!$L:$L,領用表!$E:$E,$B97,領用表!$B:$B,BN$2&amp;$BI$1)</f>
        <v/>
      </c>
      <c r="BO97" s="142">
        <f>SUMIFS(領用表!$L:$L,領用表!$E:$E,$B97,領用表!$B:$B,BO$2&amp;$BI$1)</f>
        <v/>
      </c>
      <c r="BP97" s="142">
        <f>SUMIFS(領用表!$L:$L,領用表!$E:$E,$B97,領用表!$B:$B,BP$2&amp;$BI$1)</f>
        <v/>
      </c>
      <c r="BQ97" s="142">
        <f>SUMIFS(領用表!$L:$L,領用表!$E:$E,$B97,領用表!$B:$B,BQ$2&amp;$BI$1)</f>
        <v/>
      </c>
      <c r="BR97" s="142">
        <f>SUMIFS(領用表!$L:$L,領用表!$E:$E,$B97,領用表!$B:$B,BR$2&amp;$BI$1)</f>
        <v/>
      </c>
      <c r="BS97" s="142">
        <f>SUMIFS(領用表!$L:$L,領用表!$E:$E,$B97,領用表!$B:$B,BS$2&amp;$BI$1)</f>
        <v/>
      </c>
      <c r="BT97" s="142">
        <f>SUMIFS(領用表!$L:$L,領用表!$E:$E,$B97,領用表!$B:$B,BT$2&amp;$BI$1)</f>
        <v/>
      </c>
      <c r="BU97" s="142">
        <f>SUM(BI97,BJ97,BK97,BL97,BM97,BN97)</f>
        <v/>
      </c>
      <c r="BV97" s="142">
        <f>AVERAGE(BI97,BJ97,BK97,BL97,BM97,BN97)</f>
        <v/>
      </c>
      <c r="BW97" s="142">
        <f>SUMIF(Summary!B:B,B97,Summary!EA:EA)</f>
        <v/>
      </c>
      <c r="BX97" s="109" t="n"/>
      <c r="BY97" s="65" t="n"/>
      <c r="BZ97" s="65" t="n"/>
      <c r="CA97" s="65" t="n"/>
    </row>
    <row r="98" hidden="1" ht="15.75" customHeight="1" s="453">
      <c r="A98" s="27" t="inlineStr">
        <is>
          <t>DA1GD000017T</t>
        </is>
      </c>
      <c r="B98" s="14" t="e">
        <v>#N/A</v>
      </c>
      <c r="C98" s="136" t="inlineStr">
        <is>
          <t>R3 愛益菌 56盒/箱</t>
        </is>
      </c>
      <c r="D98" s="77" t="n"/>
      <c r="E98" s="17" t="inlineStr">
        <is>
          <t>PCS</t>
        </is>
      </c>
      <c r="F98" s="18" t="n"/>
      <c r="G98" s="70" t="n"/>
      <c r="AR98" s="19" t="n">
        <v>0</v>
      </c>
      <c r="AS98" s="64" t="n">
        <v>0</v>
      </c>
      <c r="AT98" s="64" t="n">
        <v>0</v>
      </c>
      <c r="AU98" s="19" t="n">
        <v>280</v>
      </c>
      <c r="AV98" s="19" t="n">
        <v>840</v>
      </c>
      <c r="AW98" s="19" t="n">
        <v>584</v>
      </c>
      <c r="AX98" s="19" t="n">
        <v>120</v>
      </c>
      <c r="AY98" s="19" t="n">
        <v>0</v>
      </c>
      <c r="AZ98" s="20">
        <f>SUMIFS(領用表!$L:$L,領用表!$E:$E,$B98,領用表!$B:$B,AZ$2&amp;$BI$1)</f>
        <v/>
      </c>
      <c r="BA98" s="20">
        <f>SUMIFS(領用表!$L:$L,領用表!$E:$E,$B98,領用表!$B:$B,BA$2&amp;$BI$1)</f>
        <v/>
      </c>
      <c r="BB98" s="20">
        <f>SUMIFS(領用表!$L:$L,領用表!$E:$E,$B98,領用表!$B:$B,BB$2&amp;$BI$1)</f>
        <v/>
      </c>
      <c r="BC98" s="20">
        <f>SUMIFS(領用表!$L:$L,領用表!$E:$E,$B98,領用表!$B:$B,BC$2&amp;$BI$1)</f>
        <v/>
      </c>
      <c r="BD98" s="142">
        <f>SUMIFS(領用表!$L:$L,領用表!$E:$E,$B98,領用表!$B:$B,BD$2&amp;$BI$1)</f>
        <v/>
      </c>
      <c r="BE98" s="142">
        <f>SUMIFS(領用表!$L:$L,領用表!$E:$E,$B98,領用表!$B:$B,BE$2&amp;$BI$1)</f>
        <v/>
      </c>
      <c r="BF98" s="142">
        <f>SUMIFS(領用表!$L:$L,領用表!$E:$E,$B98,領用表!$B:$B,BF$2&amp;$BI$1)</f>
        <v/>
      </c>
      <c r="BG98" s="23">
        <f>SUM(AU98,AV98,AW98,AX98,AY98,AZ98,BA98,BB98,BC98,BD98,BE98,BF98)</f>
        <v/>
      </c>
      <c r="BH98" s="23">
        <f>AVERAGE(AU98,AV98,AW98,AX98,AY98,AZ98,BA98,BB98,BC98,BD98,BE98,BF98)</f>
        <v/>
      </c>
      <c r="BI98" s="142">
        <f>SUMIFS(領用表!$L:$L,領用表!$E:$E,$B98,領用表!$B:$B,BI$2&amp;$BI$1)</f>
        <v/>
      </c>
      <c r="BJ98" s="142">
        <f>SUMIFS(領用表!$L:$L,領用表!$E:$E,$B98,領用表!$B:$B,BJ$2&amp;$BI$1)</f>
        <v/>
      </c>
      <c r="BK98" s="142">
        <f>SUMIFS(領用表!$L:$L,領用表!$E:$E,$B98,領用表!$B:$B,BK$2&amp;$BI$1)</f>
        <v/>
      </c>
      <c r="BL98" s="142">
        <f>SUMIFS(領用表!$L:$L,領用表!$E:$E,$B98,領用表!$B:$B,BL$2&amp;$BI$1)</f>
        <v/>
      </c>
      <c r="BM98" s="142">
        <f>SUMIFS(領用表!$L:$L,領用表!$E:$E,$B98,領用表!$B:$B,BM$2&amp;$BI$1)</f>
        <v/>
      </c>
      <c r="BN98" s="142">
        <f>SUMIFS(領用表!$L:$L,領用表!$E:$E,$B98,領用表!$B:$B,BN$2&amp;$BI$1)</f>
        <v/>
      </c>
      <c r="BO98" s="142">
        <f>SUMIFS(領用表!$L:$L,領用表!$E:$E,$B98,領用表!$B:$B,BO$2&amp;$BI$1)</f>
        <v/>
      </c>
      <c r="BP98" s="142">
        <f>SUMIFS(領用表!$L:$L,領用表!$E:$E,$B98,領用表!$B:$B,BP$2&amp;$BI$1)</f>
        <v/>
      </c>
      <c r="BQ98" s="142">
        <f>SUMIFS(領用表!$L:$L,領用表!$E:$E,$B98,領用表!$B:$B,BQ$2&amp;$BI$1)</f>
        <v/>
      </c>
      <c r="BR98" s="142">
        <f>SUMIFS(領用表!$L:$L,領用表!$E:$E,$B98,領用表!$B:$B,BR$2&amp;$BI$1)</f>
        <v/>
      </c>
      <c r="BS98" s="142">
        <f>SUMIFS(領用表!$L:$L,領用表!$E:$E,$B98,領用表!$B:$B,BS$2&amp;$BI$1)</f>
        <v/>
      </c>
      <c r="BT98" s="142">
        <f>SUMIFS(領用表!$L:$L,領用表!$E:$E,$B98,領用表!$B:$B,BT$2&amp;$BI$1)</f>
        <v/>
      </c>
      <c r="BU98" s="142">
        <f>SUM(BI98,BJ98,BK98,BL98,BM98,BN98)</f>
        <v/>
      </c>
      <c r="BV98" s="142">
        <f>AVERAGE(BI98,BJ98,BK98,BL98,BM98,BN98)</f>
        <v/>
      </c>
      <c r="BW98" s="142">
        <f>SUMIF(Summary!B:B,B98,Summary!EA:EA)</f>
        <v/>
      </c>
      <c r="BX98" s="109" t="n"/>
      <c r="BY98" s="65" t="n"/>
      <c r="BZ98" s="65" t="n"/>
      <c r="CA98" s="65" t="n"/>
    </row>
    <row r="99" hidden="1" ht="15.75" customHeight="1" s="453">
      <c r="A99" s="27" t="inlineStr">
        <is>
          <t>DN1AA090023T</t>
        </is>
      </c>
      <c r="B99" s="14" t="e">
        <v>#N/A</v>
      </c>
      <c r="C99" s="136" t="inlineStr">
        <is>
          <t>金采肌效生物纖維面膜 30mL</t>
        </is>
      </c>
      <c r="D99" s="77" t="n"/>
      <c r="E99" s="17" t="inlineStr">
        <is>
          <t>PCS</t>
        </is>
      </c>
      <c r="F99" s="18" t="n"/>
      <c r="G99" s="70" t="n"/>
      <c r="AR99" s="19" t="n">
        <v>0</v>
      </c>
      <c r="AS99" s="64" t="n">
        <v>0</v>
      </c>
      <c r="AT99" s="64" t="n">
        <v>0</v>
      </c>
      <c r="AU99" s="19" t="n">
        <v>95</v>
      </c>
      <c r="AV99" s="19" t="n">
        <v>0</v>
      </c>
      <c r="AW99" s="19" t="n">
        <v>0</v>
      </c>
      <c r="AX99" s="19" t="n">
        <v>0</v>
      </c>
      <c r="AY99" s="19" t="n">
        <v>0</v>
      </c>
      <c r="AZ99" s="20">
        <f>SUMIFS(領用表!$L:$L,領用表!$E:$E,$B99,領用表!$B:$B,AZ$2&amp;$BI$1)</f>
        <v/>
      </c>
      <c r="BA99" s="20">
        <f>SUMIFS(領用表!$L:$L,領用表!$E:$E,$B99,領用表!$B:$B,BA$2&amp;$BI$1)</f>
        <v/>
      </c>
      <c r="BB99" s="20">
        <f>SUMIFS(領用表!$L:$L,領用表!$E:$E,$B99,領用表!$B:$B,BB$2&amp;$BI$1)</f>
        <v/>
      </c>
      <c r="BC99" s="20">
        <f>SUMIFS(領用表!$L:$L,領用表!$E:$E,$B99,領用表!$B:$B,BC$2&amp;$BI$1)</f>
        <v/>
      </c>
      <c r="BD99" s="142">
        <f>SUMIFS(領用表!$L:$L,領用表!$E:$E,$B99,領用表!$B:$B,BD$2&amp;$BI$1)</f>
        <v/>
      </c>
      <c r="BE99" s="142">
        <f>SUMIFS(領用表!$L:$L,領用表!$E:$E,$B99,領用表!$B:$B,BE$2&amp;$BI$1)</f>
        <v/>
      </c>
      <c r="BF99" s="142">
        <f>SUMIFS(領用表!$L:$L,領用表!$E:$E,$B99,領用表!$B:$B,BF$2&amp;$BI$1)</f>
        <v/>
      </c>
      <c r="BG99" s="23">
        <f>SUM(AU99,AV99,AW99,AX99,AY99,AZ99,BA99,BB99,BC99,BD99,BE99,BF99)</f>
        <v/>
      </c>
      <c r="BH99" s="23">
        <f>AVERAGE(AU99,AV99,AW99,AX99,AY99,AZ99,BA99,BB99,BC99,BD99,BE99,BF99)</f>
        <v/>
      </c>
      <c r="BI99" s="142">
        <f>SUMIFS(領用表!$L:$L,領用表!$E:$E,$B99,領用表!$B:$B,BI$2&amp;$BI$1)</f>
        <v/>
      </c>
      <c r="BJ99" s="142">
        <f>SUMIFS(領用表!$L:$L,領用表!$E:$E,$B99,領用表!$B:$B,BJ$2&amp;$BI$1)</f>
        <v/>
      </c>
      <c r="BK99" s="142">
        <f>SUMIFS(領用表!$L:$L,領用表!$E:$E,$B99,領用表!$B:$B,BK$2&amp;$BI$1)</f>
        <v/>
      </c>
      <c r="BL99" s="142">
        <f>SUMIFS(領用表!$L:$L,領用表!$E:$E,$B99,領用表!$B:$B,BL$2&amp;$BI$1)</f>
        <v/>
      </c>
      <c r="BM99" s="142">
        <f>SUMIFS(領用表!$L:$L,領用表!$E:$E,$B99,領用表!$B:$B,BM$2&amp;$BI$1)</f>
        <v/>
      </c>
      <c r="BN99" s="142">
        <f>SUMIFS(領用表!$L:$L,領用表!$E:$E,$B99,領用表!$B:$B,BN$2&amp;$BI$1)</f>
        <v/>
      </c>
      <c r="BO99" s="142">
        <f>SUMIFS(領用表!$L:$L,領用表!$E:$E,$B99,領用表!$B:$B,BO$2&amp;$BI$1)</f>
        <v/>
      </c>
      <c r="BP99" s="142">
        <f>SUMIFS(領用表!$L:$L,領用表!$E:$E,$B99,領用表!$B:$B,BP$2&amp;$BI$1)</f>
        <v/>
      </c>
      <c r="BQ99" s="142">
        <f>SUMIFS(領用表!$L:$L,領用表!$E:$E,$B99,領用表!$B:$B,BQ$2&amp;$BI$1)</f>
        <v/>
      </c>
      <c r="BR99" s="142">
        <f>SUMIFS(領用表!$L:$L,領用表!$E:$E,$B99,領用表!$B:$B,BR$2&amp;$BI$1)</f>
        <v/>
      </c>
      <c r="BS99" s="142">
        <f>SUMIFS(領用表!$L:$L,領用表!$E:$E,$B99,領用表!$B:$B,BS$2&amp;$BI$1)</f>
        <v/>
      </c>
      <c r="BT99" s="142">
        <f>SUMIFS(領用表!$L:$L,領用表!$E:$E,$B99,領用表!$B:$B,BT$2&amp;$BI$1)</f>
        <v/>
      </c>
      <c r="BU99" s="142">
        <f>SUM(BI99,BJ99,BK99,BL99,BM99,BN99)</f>
        <v/>
      </c>
      <c r="BV99" s="142">
        <f>AVERAGE(BI99,BJ99,BK99,BL99,BM99,BN99)</f>
        <v/>
      </c>
      <c r="BW99" s="142">
        <f>SUMIF(Summary!B:B,B99,Summary!EA:EA)</f>
        <v/>
      </c>
      <c r="BX99" s="109" t="n"/>
      <c r="BY99" s="65" t="n"/>
      <c r="BZ99" s="65" t="n"/>
      <c r="CA99" s="65" t="n"/>
    </row>
    <row r="100" hidden="1" ht="15.75" customHeight="1" s="453">
      <c r="A100" s="27" t="inlineStr">
        <is>
          <t>DL1GD0100001T</t>
        </is>
      </c>
      <c r="B100" s="14" t="e">
        <v>#N/A</v>
      </c>
      <c r="C100" s="136" t="inlineStr">
        <is>
          <t>甜睡美膠原6g(30入)(繁體版) 24盒/箱</t>
        </is>
      </c>
      <c r="D100" s="77" t="n"/>
      <c r="E100" s="17" t="inlineStr">
        <is>
          <t>PCS</t>
        </is>
      </c>
      <c r="F100" s="18" t="n"/>
      <c r="G100" s="70" t="n"/>
      <c r="AR100" s="19" t="n">
        <v>0</v>
      </c>
      <c r="AS100" s="64" t="n">
        <v>0</v>
      </c>
      <c r="AT100" s="64" t="n">
        <v>0</v>
      </c>
      <c r="AU100" s="19" t="n">
        <v>240</v>
      </c>
      <c r="AV100" s="19" t="n">
        <v>192</v>
      </c>
      <c r="AW100" s="19" t="n">
        <v>48</v>
      </c>
      <c r="AX100" s="19" t="n">
        <v>0</v>
      </c>
      <c r="AY100" s="19" t="n">
        <v>0</v>
      </c>
      <c r="AZ100" s="20">
        <f>SUMIFS(領用表!$L:$L,領用表!$E:$E,$B100,領用表!$B:$B,AZ$2&amp;$BI$1)</f>
        <v/>
      </c>
      <c r="BA100" s="20">
        <f>SUMIFS(領用表!$L:$L,領用表!$E:$E,$B100,領用表!$B:$B,BA$2&amp;$BI$1)</f>
        <v/>
      </c>
      <c r="BB100" s="20">
        <f>SUMIFS(領用表!$L:$L,領用表!$E:$E,$B100,領用表!$B:$B,BB$2&amp;$BI$1)</f>
        <v/>
      </c>
      <c r="BC100" s="20">
        <f>SUMIFS(領用表!$L:$L,領用表!$E:$E,$B100,領用表!$B:$B,BC$2&amp;$BI$1)</f>
        <v/>
      </c>
      <c r="BD100" s="142">
        <f>SUMIFS(領用表!$L:$L,領用表!$E:$E,$B100,領用表!$B:$B,BD$2&amp;$BI$1)</f>
        <v/>
      </c>
      <c r="BE100" s="142">
        <f>SUMIFS(領用表!$L:$L,領用表!$E:$E,$B100,領用表!$B:$B,BE$2&amp;$BI$1)</f>
        <v/>
      </c>
      <c r="BF100" s="142">
        <f>SUMIFS(領用表!$L:$L,領用表!$E:$E,$B100,領用表!$B:$B,BF$2&amp;$BI$1)</f>
        <v/>
      </c>
      <c r="BG100" s="23">
        <f>SUM(AU100,AV100,AW100,AX100,AY100,AZ100,BA100,BB100,BC100,BD100,BE100,BF100)</f>
        <v/>
      </c>
      <c r="BH100" s="23">
        <f>AVERAGE(AU100,AV100,AW100,AX100,AY100,AZ100,BA100,BB100,BC100,BD100,BE100,BF100)</f>
        <v/>
      </c>
      <c r="BI100" s="142">
        <f>SUMIFS(領用表!$L:$L,領用表!$E:$E,$B100,領用表!$B:$B,BI$2&amp;$BI$1)</f>
        <v/>
      </c>
      <c r="BJ100" s="142">
        <f>SUMIFS(領用表!$L:$L,領用表!$E:$E,$B100,領用表!$B:$B,BJ$2&amp;$BI$1)</f>
        <v/>
      </c>
      <c r="BK100" s="142">
        <f>SUMIFS(領用表!$L:$L,領用表!$E:$E,$B100,領用表!$B:$B,BK$2&amp;$BI$1)</f>
        <v/>
      </c>
      <c r="BL100" s="142">
        <f>SUMIFS(領用表!$L:$L,領用表!$E:$E,$B100,領用表!$B:$B,BL$2&amp;$BI$1)</f>
        <v/>
      </c>
      <c r="BM100" s="142">
        <f>SUMIFS(領用表!$L:$L,領用表!$E:$E,$B100,領用表!$B:$B,BM$2&amp;$BI$1)</f>
        <v/>
      </c>
      <c r="BN100" s="142">
        <f>SUMIFS(領用表!$L:$L,領用表!$E:$E,$B100,領用表!$B:$B,BN$2&amp;$BI$1)</f>
        <v/>
      </c>
      <c r="BO100" s="142">
        <f>SUMIFS(領用表!$L:$L,領用表!$E:$E,$B100,領用表!$B:$B,BO$2&amp;$BI$1)</f>
        <v/>
      </c>
      <c r="BP100" s="142">
        <f>SUMIFS(領用表!$L:$L,領用表!$E:$E,$B100,領用表!$B:$B,BP$2&amp;$BI$1)</f>
        <v/>
      </c>
      <c r="BQ100" s="142">
        <f>SUMIFS(領用表!$L:$L,領用表!$E:$E,$B100,領用表!$B:$B,BQ$2&amp;$BI$1)</f>
        <v/>
      </c>
      <c r="BR100" s="142">
        <f>SUMIFS(領用表!$L:$L,領用表!$E:$E,$B100,領用表!$B:$B,BR$2&amp;$BI$1)</f>
        <v/>
      </c>
      <c r="BS100" s="142">
        <f>SUMIFS(領用表!$L:$L,領用表!$E:$E,$B100,領用表!$B:$B,BS$2&amp;$BI$1)</f>
        <v/>
      </c>
      <c r="BT100" s="142">
        <f>SUMIFS(領用表!$L:$L,領用表!$E:$E,$B100,領用表!$B:$B,BT$2&amp;$BI$1)</f>
        <v/>
      </c>
      <c r="BU100" s="142">
        <f>SUM(BI100,BJ100,BK100,BL100,BM100,BN100)</f>
        <v/>
      </c>
      <c r="BV100" s="142">
        <f>AVERAGE(BI100,BJ100,BK100,BL100,BM100,BN100)</f>
        <v/>
      </c>
      <c r="BW100" s="142">
        <f>SUMIF(Summary!B:B,B100,Summary!EA:EA)</f>
        <v/>
      </c>
      <c r="BX100" s="109" t="n"/>
      <c r="BY100" s="65" t="n"/>
      <c r="BZ100" s="65" t="n"/>
      <c r="CA100" s="65" t="n"/>
    </row>
    <row r="101" ht="15.75" customHeight="1" s="453">
      <c r="A101" s="27" t="inlineStr">
        <is>
          <t>DE1AA020008T</t>
        </is>
      </c>
      <c r="B101" s="14" t="e">
        <v>#N/A</v>
      </c>
      <c r="C101" s="136" t="inlineStr">
        <is>
          <t>鑽石光感潔膚乳 100ml</t>
        </is>
      </c>
      <c r="D101" s="77" t="n"/>
      <c r="E101" s="17" t="inlineStr">
        <is>
          <t>PCS</t>
        </is>
      </c>
      <c r="F101" s="18" t="n"/>
      <c r="G101" s="70" t="n"/>
      <c r="AR101" s="19" t="n">
        <v>0</v>
      </c>
      <c r="AS101" s="64" t="n">
        <v>0</v>
      </c>
      <c r="AT101" s="64" t="n">
        <v>0</v>
      </c>
      <c r="AU101" s="19" t="n">
        <v>0</v>
      </c>
      <c r="AV101" s="19" t="n">
        <v>0</v>
      </c>
      <c r="AW101" s="19" t="n">
        <v>10</v>
      </c>
      <c r="AX101" s="19" t="n">
        <v>0</v>
      </c>
      <c r="AY101" s="19" t="n">
        <v>40</v>
      </c>
      <c r="AZ101" s="20">
        <f>SUMIFS(領用表!$L:$L,領用表!$E:$E,$B101,領用表!$B:$B,AZ$2&amp;$BI$1)</f>
        <v/>
      </c>
      <c r="BA101" s="20">
        <f>SUMIFS(領用表!$L:$L,領用表!$E:$E,$B101,領用表!$B:$B,BA$2&amp;$BI$1)</f>
        <v/>
      </c>
      <c r="BB101" s="20">
        <f>SUMIFS(領用表!$L:$L,領用表!$E:$E,$B101,領用表!$B:$B,BB$2&amp;$BI$1)</f>
        <v/>
      </c>
      <c r="BC101" s="20">
        <f>SUMIFS(領用表!$L:$L,領用表!$E:$E,$B101,領用表!$B:$B,BC$2&amp;$BI$1)</f>
        <v/>
      </c>
      <c r="BD101" s="142">
        <f>SUMIFS(領用表!$L:$L,領用表!$E:$E,$B101,領用表!$B:$B,BD$2&amp;$BI$1)</f>
        <v/>
      </c>
      <c r="BE101" s="142">
        <f>SUMIFS(領用表!$L:$L,領用表!$E:$E,$B101,領用表!$B:$B,BE$2&amp;$BI$1)</f>
        <v/>
      </c>
      <c r="BF101" s="142">
        <f>SUMIFS(領用表!$L:$L,領用表!$E:$E,$B101,領用表!$B:$B,BF$2&amp;$BI$1)</f>
        <v/>
      </c>
      <c r="BG101" s="23">
        <f>SUM(AU101,AV101,AW101,AX101,AY101,AZ101,BA101,BB101,BC101,BD101,BE101,BF101)</f>
        <v/>
      </c>
      <c r="BH101" s="23">
        <f>AVERAGE(AU101,AV101,AW101,AX101,AY101,AZ101,BA101,BB101,BC101,BD101,BE101,BF101)</f>
        <v/>
      </c>
      <c r="BI101" s="142">
        <f>SUMIFS(領用表!$L:$L,領用表!$E:$E,$B101,領用表!$B:$B,BI$2&amp;$BI$1)</f>
        <v/>
      </c>
      <c r="BJ101" s="405">
        <f>SUMIFS(領用表!$L:$L,領用表!$E:$E,$B101,領用表!$B:$B,BJ$2&amp;$BI$1)</f>
        <v/>
      </c>
      <c r="BK101" s="405">
        <f>SUMIFS(領用表!$L:$L,領用表!$E:$E,$B101,領用表!$B:$B,BK$2&amp;$BI$1)</f>
        <v/>
      </c>
      <c r="BL101" s="405">
        <f>SUMIFS(領用表!$L:$L,領用表!$E:$E,$B101,領用表!$B:$B,BL$2&amp;$BI$1)</f>
        <v/>
      </c>
      <c r="BM101" s="405">
        <f>SUMIFS(領用表!$L:$L,領用表!$E:$E,$B101,領用表!$B:$B,BM$2&amp;$BI$1)</f>
        <v/>
      </c>
      <c r="BN101" s="405">
        <f>SUMIFS(領用表!$L:$L,領用表!$E:$E,$B101,領用表!$B:$B,BN$2&amp;$BI$1)</f>
        <v/>
      </c>
      <c r="BO101" s="405">
        <f>SUMIFS(領用表!$L:$L,領用表!$E:$E,$B101,領用表!$B:$B,BO$2&amp;$BI$1)</f>
        <v/>
      </c>
      <c r="BP101" s="405">
        <f>SUMIFS(領用表!$L:$L,領用表!$E:$E,$B101,領用表!$B:$B,BP$2&amp;$BI$1)</f>
        <v/>
      </c>
      <c r="BQ101" s="405">
        <f>SUMIFS(領用表!$L:$L,領用表!$E:$E,$B101,領用表!$B:$B,BQ$2&amp;$BI$1)</f>
        <v/>
      </c>
      <c r="BR101" s="405">
        <f>SUMIFS(領用表!$L:$L,領用表!$E:$E,$B101,領用表!$B:$B,BR$2&amp;$BI$1)</f>
        <v/>
      </c>
      <c r="BS101" s="405">
        <f>SUMIFS(領用表!$L:$L,領用表!$E:$E,$B101,領用表!$B:$B,BS$2&amp;$BI$1)</f>
        <v/>
      </c>
      <c r="BT101" s="405">
        <f>SUMIFS(領用表!$L:$L,領用表!$E:$E,$B101,領用表!$B:$B,BT$2&amp;$BI$1)</f>
        <v/>
      </c>
      <c r="BU101" s="405">
        <f>SUM(BI101,BJ101,BK101,BL101,BM101,BN101)</f>
        <v/>
      </c>
      <c r="BV101" s="405">
        <f>AVERAGE(BI101,BJ101,BK101,BL101,BM101,BN101)</f>
        <v/>
      </c>
      <c r="BW101" s="405">
        <f>SUMIF(Summary!B:B,B101,Summary!EA:EA)</f>
        <v/>
      </c>
      <c r="BX101" s="111" t="n"/>
      <c r="BY101" s="80" t="n"/>
      <c r="BZ101" s="83" t="n"/>
      <c r="CA101" s="83" t="n"/>
    </row>
    <row r="102" ht="15.75" customHeight="1" s="453">
      <c r="A102" s="27" t="inlineStr">
        <is>
          <t>TE1AA020007T</t>
        </is>
      </c>
      <c r="B102" s="14" t="n">
        <v>6020002</v>
      </c>
      <c r="C102" s="136" t="inlineStr">
        <is>
          <t>試用-鑽石光感潔膚乳 100ml</t>
        </is>
      </c>
      <c r="D102" s="77" t="n"/>
      <c r="E102" s="17" t="inlineStr">
        <is>
          <t>PCS</t>
        </is>
      </c>
      <c r="F102" s="18" t="n"/>
      <c r="G102" s="70" t="n"/>
      <c r="AR102" s="19" t="n"/>
      <c r="AS102" s="64" t="n"/>
      <c r="AT102" s="64" t="n"/>
      <c r="AU102" s="19" t="n"/>
      <c r="AV102" s="19" t="n"/>
      <c r="AW102" s="19" t="n"/>
      <c r="AX102" s="19" t="n"/>
      <c r="AY102" s="19" t="n"/>
      <c r="AZ102" s="20">
        <f>SUMIFS(領用表!$L:$L,領用表!$E:$E,$B102,領用表!$B:$B,AZ$2&amp;$BI$1)</f>
        <v/>
      </c>
      <c r="BA102" s="20">
        <f>SUMIFS(領用表!$L:$L,領用表!$E:$E,$B102,領用表!$B:$B,BA$2&amp;$BI$1)</f>
        <v/>
      </c>
      <c r="BB102" s="20">
        <f>SUMIFS(領用表!$L:$L,領用表!$E:$E,$B102,領用表!$B:$B,BB$2&amp;$BI$1)</f>
        <v/>
      </c>
      <c r="BC102" s="20">
        <f>SUMIFS(領用表!$L:$L,領用表!$E:$E,$B102,領用表!$B:$B,BC$2&amp;$BI$1)</f>
        <v/>
      </c>
      <c r="BD102" s="142">
        <f>SUMIFS(領用表!$L:$L,領用表!$E:$E,$B102,領用表!$B:$B,BD$2&amp;$BI$1)</f>
        <v/>
      </c>
      <c r="BE102" s="142">
        <f>SUMIFS(領用表!$L:$L,領用表!$E:$E,$B102,領用表!$B:$B,BE$2&amp;$BI$1)</f>
        <v/>
      </c>
      <c r="BF102" s="142">
        <f>SUMIFS(領用表!$L:$L,領用表!$E:$E,$B102,領用表!$B:$B,BF$2&amp;$BI$1)</f>
        <v/>
      </c>
      <c r="BG102" s="23">
        <f>SUM(AU102,AV102,AW102,AX102,AY102,AZ102,BA102,BB102,BC102,BD102,BE102,BF102)</f>
        <v/>
      </c>
      <c r="BH102" s="23">
        <f>AVERAGE(AU102,AV102,AW102,AX102,AY102,AZ102,BA102,BB102,BC102,BD102,BE102,BF102)</f>
        <v/>
      </c>
      <c r="BI102" s="142">
        <f>SUMIFS(領用表!$L:$L,領用表!$E:$E,$B102,領用表!$B:$B,BI$2&amp;$BI$1)</f>
        <v/>
      </c>
      <c r="BJ102" s="405">
        <f>SUMIFS(領用表!$L:$L,領用表!$E:$E,$B102,領用表!$B:$B,BJ$2&amp;$BI$1)</f>
        <v/>
      </c>
      <c r="BK102" s="405">
        <f>SUMIFS(領用表!$L:$L,領用表!$E:$E,$B102,領用表!$B:$B,BK$2&amp;$BI$1)</f>
        <v/>
      </c>
      <c r="BL102" s="405">
        <f>SUMIFS(領用表!$L:$L,領用表!$E:$E,$B102,領用表!$B:$B,BL$2&amp;$BI$1)</f>
        <v/>
      </c>
      <c r="BM102" s="405">
        <f>SUMIFS(領用表!$L:$L,領用表!$E:$E,$B102,領用表!$B:$B,BM$2&amp;$BI$1)</f>
        <v/>
      </c>
      <c r="BN102" s="405" t="n"/>
      <c r="BO102" s="405">
        <f>SUMIFS(領用表!$L:$L,領用表!$E:$E,$B102,領用表!$B:$B,BO$2&amp;$BI$1)</f>
        <v/>
      </c>
      <c r="BP102" s="405">
        <f>SUMIFS(領用表!$L:$L,領用表!$E:$E,$B102,領用表!$B:$B,BP$2&amp;$BI$1)</f>
        <v/>
      </c>
      <c r="BQ102" s="405">
        <f>SUMIFS(領用表!$L:$L,領用表!$E:$E,$B102,領用表!$B:$B,BQ$2&amp;$BI$1)</f>
        <v/>
      </c>
      <c r="BR102" s="405">
        <f>SUMIFS(領用表!$L:$L,領用表!$E:$E,$B102,領用表!$B:$B,BR$2&amp;$BI$1)</f>
        <v/>
      </c>
      <c r="BS102" s="405">
        <f>SUMIFS(領用表!$L:$L,領用表!$E:$E,$B102,領用表!$B:$B,BS$2&amp;$BI$1)</f>
        <v/>
      </c>
      <c r="BT102" s="405">
        <f>SUMIFS(領用表!$L:$L,領用表!$E:$E,$B102,領用表!$B:$B,BT$2&amp;$BI$1)</f>
        <v/>
      </c>
      <c r="BU102" s="405">
        <f>SUM(BI102,BJ102,BK102,BL102,BM102,BN102)</f>
        <v/>
      </c>
      <c r="BV102" s="405">
        <f>AVERAGE(BI102,BJ102,BK102,BL102,BM102,BN102)</f>
        <v/>
      </c>
      <c r="BW102" s="405">
        <f>SUMIF(Summary!B:B,B102,Summary!EA:EA)</f>
        <v/>
      </c>
      <c r="BX102" s="111" t="n"/>
      <c r="BY102" s="80" t="n"/>
      <c r="BZ102" s="65" t="n"/>
      <c r="CA102" s="65" t="n"/>
    </row>
    <row r="103" ht="15.75" customHeight="1" s="453">
      <c r="A103" s="27" t="inlineStr">
        <is>
          <t>DN1AB090006T</t>
        </is>
      </c>
      <c r="B103" s="14" t="n">
        <v>1080005</v>
      </c>
      <c r="C103" s="136" t="inlineStr">
        <is>
          <t>明眸撫紋水嫩眼膜 10mL(玫瑰金)</t>
        </is>
      </c>
      <c r="D103" s="77" t="n"/>
      <c r="E103" s="17" t="inlineStr">
        <is>
          <t>PCS</t>
        </is>
      </c>
      <c r="F103" s="18" t="n"/>
      <c r="G103" s="70" t="n"/>
      <c r="AG103" s="82" t="n"/>
      <c r="AH103" s="82" t="n"/>
      <c r="AI103" s="82" t="n"/>
      <c r="AJ103" s="82" t="n"/>
      <c r="AK103" s="82" t="n"/>
      <c r="AL103" s="82" t="n"/>
      <c r="AM103" s="82" t="n"/>
      <c r="AN103" s="19" t="n">
        <v>0</v>
      </c>
      <c r="AO103" s="19" t="n">
        <v>800</v>
      </c>
      <c r="AP103" s="19" t="n">
        <v>0</v>
      </c>
      <c r="AQ103" s="19" t="n">
        <v>1000</v>
      </c>
      <c r="AR103" s="19" t="n">
        <v>800</v>
      </c>
      <c r="AS103" s="68">
        <f>SUM(AG103:AR103)</f>
        <v/>
      </c>
      <c r="AT103" s="26">
        <f>AS103/12</f>
        <v/>
      </c>
      <c r="AU103" s="19" t="n">
        <v>1400</v>
      </c>
      <c r="AV103" s="19" t="n">
        <v>2700</v>
      </c>
      <c r="AW103" s="19" t="n">
        <v>1200</v>
      </c>
      <c r="AX103" s="19" t="n">
        <v>1200</v>
      </c>
      <c r="AY103" s="19" t="n">
        <v>0</v>
      </c>
      <c r="AZ103" s="20">
        <f>SUMIFS(領用表!$L:$L,領用表!$E:$E,$B103,領用表!$B:$B,AZ$2&amp;$BI$1)</f>
        <v/>
      </c>
      <c r="BA103" s="20">
        <f>SUMIFS(領用表!$L:$L,領用表!$E:$E,$B103,領用表!$B:$B,BA$2&amp;$BI$1)</f>
        <v/>
      </c>
      <c r="BB103" s="20">
        <f>SUMIFS(領用表!$L:$L,領用表!$E:$E,$B103,領用表!$B:$B,BB$2&amp;$BI$1)</f>
        <v/>
      </c>
      <c r="BC103" s="20">
        <f>SUMIFS(領用表!$L:$L,領用表!$E:$E,$B103,領用表!$B:$B,BC$2&amp;$BI$1)</f>
        <v/>
      </c>
      <c r="BD103" s="142">
        <f>SUMIFS(領用表!$L:$L,領用表!$E:$E,$B103,領用表!$B:$B,BD$2&amp;$BI$1)</f>
        <v/>
      </c>
      <c r="BE103" s="142">
        <f>SUMIFS(領用表!$L:$L,領用表!$E:$E,$B103,領用表!$B:$B,BE$2&amp;$BI$1)</f>
        <v/>
      </c>
      <c r="BF103" s="142">
        <f>SUMIFS(領用表!$L:$L,領用表!$E:$E,$B103,領用表!$B:$B,BF$2&amp;$BI$1)</f>
        <v/>
      </c>
      <c r="BG103" s="23">
        <f>SUM(AU103,AV103,AW103,AX103,AY103,AZ103,BA103,BB103,BC103,BD103,BE103,BF103)</f>
        <v/>
      </c>
      <c r="BH103" s="23">
        <f>AVERAGE(AU103,AV103,AW103,AX103,AY103,AZ103,BA103,BB103,BC103,BD103,BE103,BF103)</f>
        <v/>
      </c>
      <c r="BI103" s="142">
        <f>SUMIFS(領用表!$L:$L,領用表!$E:$E,$B103,領用表!$B:$B,BI$2&amp;$BI$1)</f>
        <v/>
      </c>
      <c r="BJ103" s="142">
        <f>SUMIFS(領用表!$L:$L,領用表!$E:$E,$B103,領用表!$B:$B,BJ$2&amp;$BI$1)</f>
        <v/>
      </c>
      <c r="BK103" s="142">
        <f>SUMIFS(領用表!$L:$L,領用表!$E:$E,$B103,領用表!$B:$B,BK$2&amp;$BI$1)</f>
        <v/>
      </c>
      <c r="BL103" s="142">
        <f>SUMIFS(領用表!$L:$L,領用表!$E:$E,$B103,領用表!$B:$B,BL$2&amp;$BI$1)</f>
        <v/>
      </c>
      <c r="BM103" s="142">
        <f>SUMIFS(領用表!$L:$L,領用表!$E:$E,$B103,領用表!$B:$B,BM$2&amp;$BI$1)</f>
        <v/>
      </c>
      <c r="BN103" s="142">
        <f>SUMIFS(領用表!$L:$L,領用表!$E:$E,$B103,領用表!$B:$B,BN$2&amp;$BI$1)</f>
        <v/>
      </c>
      <c r="BO103" s="142">
        <f>SUMIFS(領用表!$L:$L,領用表!$E:$E,$B103,領用表!$B:$B,BO$2&amp;$BI$1)</f>
        <v/>
      </c>
      <c r="BP103" s="142">
        <f>SUMIFS(領用表!$L:$L,領用表!$E:$E,$B103,領用表!$B:$B,BP$2&amp;$BI$1)</f>
        <v/>
      </c>
      <c r="BQ103" s="142">
        <f>SUMIFS(領用表!$L:$L,領用表!$E:$E,$B103,領用表!$B:$B,BQ$2&amp;$BI$1)</f>
        <v/>
      </c>
      <c r="BR103" s="142">
        <f>SUMIFS(領用表!$L:$L,領用表!$E:$E,$B103,領用表!$B:$B,BR$2&amp;$BI$1)</f>
        <v/>
      </c>
      <c r="BS103" s="142">
        <f>SUMIFS(領用表!$L:$L,領用表!$E:$E,$B103,領用表!$B:$B,BS$2&amp;$BI$1)</f>
        <v/>
      </c>
      <c r="BT103" s="142">
        <f>SUMIFS(領用表!$L:$L,領用表!$E:$E,$B103,領用表!$B:$B,BT$2&amp;$BI$1)</f>
        <v/>
      </c>
      <c r="BU103" s="142">
        <f>SUM(BI103,BJ103,BK103,BL103,BM103,BN103)</f>
        <v/>
      </c>
      <c r="BV103" s="142">
        <f>AVERAGE(BI103,BJ103,BK103,BL103,BM103,BN103)</f>
        <v/>
      </c>
      <c r="BW103" s="142">
        <f>SUMIF(Summary!B:B,B103,Summary!EA:EA)</f>
        <v/>
      </c>
      <c r="BX103" s="109" t="n"/>
      <c r="BY103" s="65" t="n"/>
      <c r="BZ103" s="65" t="n"/>
      <c r="CA103" s="65" t="n"/>
    </row>
    <row r="104" ht="15.75" customHeight="1" s="453">
      <c r="A104" s="27" t="inlineStr">
        <is>
          <t>DE1AB090013T</t>
        </is>
      </c>
      <c r="B104" s="14" t="n">
        <v>1080008</v>
      </c>
      <c r="C104" s="136" t="inlineStr">
        <is>
          <t>藍金活酵能量舒壓眼膜 8mL(白)</t>
        </is>
      </c>
      <c r="D104" s="77" t="n"/>
      <c r="E104" s="17" t="inlineStr">
        <is>
          <t>PCS</t>
        </is>
      </c>
      <c r="F104" s="18" t="n"/>
      <c r="G104" s="70" t="n"/>
      <c r="AR104" s="19" t="n"/>
      <c r="AS104" s="64" t="n"/>
      <c r="AT104" s="64" t="n"/>
      <c r="AU104" s="19" t="n"/>
      <c r="AV104" s="19" t="n"/>
      <c r="AW104" s="19" t="n"/>
      <c r="AX104" s="19" t="n"/>
      <c r="AY104" s="19" t="n"/>
      <c r="AZ104" s="20">
        <f>SUMIFS(領用表!$L:$L,領用表!$E:$E,$B104,領用表!$B:$B,AZ$2&amp;$BI$1)</f>
        <v/>
      </c>
      <c r="BA104" s="20">
        <f>SUMIFS(領用表!$L:$L,領用表!$E:$E,$B104,領用表!$B:$B,BA$2&amp;$BI$1)</f>
        <v/>
      </c>
      <c r="BB104" s="20">
        <f>SUMIFS(領用表!$L:$L,領用表!$E:$E,$B104,領用表!$B:$B,BB$2&amp;$BI$1)</f>
        <v/>
      </c>
      <c r="BC104" s="20">
        <f>SUMIFS(領用表!$L:$L,領用表!$E:$E,$B104,領用表!$B:$B,BC$2&amp;$BI$1)</f>
        <v/>
      </c>
      <c r="BD104" s="142">
        <f>SUMIFS(領用表!$L:$L,領用表!$E:$E,$B104,領用表!$B:$B,BD$2&amp;$BI$1)</f>
        <v/>
      </c>
      <c r="BE104" s="142">
        <f>SUMIFS(領用表!$L:$L,領用表!$E:$E,$B104,領用表!$B:$B,BE$2&amp;$BI$1)</f>
        <v/>
      </c>
      <c r="BF104" s="142">
        <f>SUMIFS(領用表!$L:$L,領用表!$E:$E,$B104,領用表!$B:$B,BF$2&amp;$BI$1)</f>
        <v/>
      </c>
      <c r="BG104" s="23">
        <f>SUM(AU104,AV104,AW104,AX104,AY104,AZ104,BA104,BB104,BC104,BD104,BE104,BF104)</f>
        <v/>
      </c>
      <c r="BH104" s="23">
        <f>AVERAGE(AU104,AV104,AW104,AX104,AY104,AZ104,BA104,BB104,BC104,BD104,BE104,BF104)</f>
        <v/>
      </c>
      <c r="BI104" s="142">
        <f>SUMIFS(領用表!$L:$L,領用表!$E:$E,$B104,領用表!$B:$B,BI$2&amp;$BI$1)</f>
        <v/>
      </c>
      <c r="BJ104" s="405">
        <f>SUMIFS(領用表!$L:$L,領用表!$E:$E,$B104,領用表!$B:$B,BJ$2&amp;$BI$1)</f>
        <v/>
      </c>
      <c r="BK104" s="405">
        <f>SUMIFS(領用表!$L:$L,領用表!$E:$E,$B104,領用表!$B:$B,BK$2&amp;$BI$1)</f>
        <v/>
      </c>
      <c r="BL104" s="405">
        <f>SUMIFS(領用表!$L:$L,領用表!$E:$E,$B104,領用表!$B:$B,BL$2&amp;$BI$1)</f>
        <v/>
      </c>
      <c r="BM104" s="405">
        <f>SUMIFS(領用表!$L:$L,領用表!$E:$E,$B104,領用表!$B:$B,BM$2&amp;$BI$1)</f>
        <v/>
      </c>
      <c r="BN104" s="405" t="n"/>
      <c r="BO104" s="405">
        <f>SUMIFS(領用表!$L:$L,領用表!$E:$E,$B104,領用表!$B:$B,BO$2&amp;$BI$1)</f>
        <v/>
      </c>
      <c r="BP104" s="405">
        <f>SUMIFS(領用表!$L:$L,領用表!$E:$E,$B104,領用表!$B:$B,BP$2&amp;$BI$1)</f>
        <v/>
      </c>
      <c r="BQ104" s="405">
        <f>SUMIFS(領用表!$L:$L,領用表!$E:$E,$B104,領用表!$B:$B,BQ$2&amp;$BI$1)</f>
        <v/>
      </c>
      <c r="BR104" s="405">
        <f>SUMIFS(領用表!$L:$L,領用表!$E:$E,$B104,領用表!$B:$B,BR$2&amp;$BI$1)</f>
        <v/>
      </c>
      <c r="BS104" s="405">
        <f>SUMIFS(領用表!$L:$L,領用表!$E:$E,$B104,領用表!$B:$B,BS$2&amp;$BI$1)</f>
        <v/>
      </c>
      <c r="BT104" s="405">
        <f>SUMIFS(領用表!$L:$L,領用表!$E:$E,$B104,領用表!$B:$B,BT$2&amp;$BI$1)</f>
        <v/>
      </c>
      <c r="BU104" s="405">
        <f>SUM(BI104,BJ104,BK104,BL104,BM104,BN104)</f>
        <v/>
      </c>
      <c r="BV104" s="405">
        <f>AVERAGE(BI104,BJ104,BK104,BL104,BM104,BN104)</f>
        <v/>
      </c>
      <c r="BW104" s="405">
        <f>SUMIF(Summary!B:B,B104,Summary!EA:EA)</f>
        <v/>
      </c>
      <c r="BX104" s="111" t="n"/>
      <c r="BY104" s="80" t="n"/>
      <c r="BZ104" s="65" t="n"/>
      <c r="CA104" s="65" t="n"/>
    </row>
    <row r="105" ht="15.75" customHeight="1" s="453">
      <c r="A105" s="27" t="inlineStr">
        <is>
          <t>FE1AA200004T</t>
        </is>
      </c>
      <c r="B105" s="14" t="n">
        <v>6230003</v>
      </c>
      <c r="C105" s="136" t="inlineStr">
        <is>
          <t>試用包-光燦輕感防曬隔離乳 2mL(尖嘴單劑包)</t>
        </is>
      </c>
      <c r="D105" s="77" t="n"/>
      <c r="E105" s="17" t="inlineStr">
        <is>
          <t>PCS</t>
        </is>
      </c>
      <c r="F105" s="18" t="n"/>
      <c r="G105" s="70" t="n"/>
      <c r="AR105" s="19" t="n"/>
      <c r="AS105" s="64" t="n"/>
      <c r="AT105" s="64" t="n"/>
      <c r="AU105" s="19" t="n"/>
      <c r="AV105" s="19" t="n"/>
      <c r="AW105" s="19" t="n"/>
      <c r="AX105" s="19" t="n"/>
      <c r="AY105" s="19" t="n"/>
      <c r="AZ105" s="20">
        <f>SUMIFS(領用表!$L:$L,領用表!$E:$E,$B105,領用表!$B:$B,AZ$2&amp;$BI$1)</f>
        <v/>
      </c>
      <c r="BA105" s="20">
        <f>SUMIFS(領用表!$L:$L,領用表!$E:$E,$B105,領用表!$B:$B,BA$2&amp;$BI$1)</f>
        <v/>
      </c>
      <c r="BB105" s="20">
        <f>SUMIFS(領用表!$L:$L,領用表!$E:$E,$B105,領用表!$B:$B,BB$2&amp;$BI$1)</f>
        <v/>
      </c>
      <c r="BC105" s="20">
        <f>SUMIFS(領用表!$L:$L,領用表!$E:$E,$B105,領用表!$B:$B,BC$2&amp;$BI$1)</f>
        <v/>
      </c>
      <c r="BD105" s="142">
        <f>SUMIFS(領用表!$L:$L,領用表!$E:$E,$B105,領用表!$B:$B,BD$2&amp;$BI$1)</f>
        <v/>
      </c>
      <c r="BE105" s="142">
        <f>SUMIFS(領用表!$L:$L,領用表!$E:$E,$B105,領用表!$B:$B,BE$2&amp;$BI$1)</f>
        <v/>
      </c>
      <c r="BF105" s="142">
        <f>SUMIFS(領用表!$L:$L,領用表!$E:$E,$B105,領用表!$B:$B,BF$2&amp;$BI$1)</f>
        <v/>
      </c>
      <c r="BG105" s="23">
        <f>SUM(AU105,AV105,AW105,AX105,AY105,AZ105,BA105,BB105,BC105,BD105,BE105,BF105)</f>
        <v/>
      </c>
      <c r="BH105" s="23">
        <f>AVERAGE(AU105,AV105,AW105,AX105,AY105,AZ105,BA105,BB105,BC105,BD105,BE105,BF105)</f>
        <v/>
      </c>
      <c r="BI105" s="142">
        <f>SUMIFS(領用表!$L:$L,領用表!$E:$E,$B105,領用表!$B:$B,BI$2&amp;$BI$1)</f>
        <v/>
      </c>
      <c r="BJ105" s="405">
        <f>SUMIFS(領用表!$L:$L,領用表!$E:$E,$B105,領用表!$B:$B,BJ$2&amp;$BI$1)</f>
        <v/>
      </c>
      <c r="BK105" s="405">
        <f>SUMIFS(領用表!$L:$L,領用表!$E:$E,$B105,領用表!$B:$B,BK$2&amp;$BI$1)</f>
        <v/>
      </c>
      <c r="BL105" s="405">
        <f>SUMIFS(領用表!$L:$L,領用表!$E:$E,$B105,領用表!$B:$B,BL$2&amp;$BI$1)</f>
        <v/>
      </c>
      <c r="BM105" s="405">
        <f>SUMIFS(領用表!$L:$L,領用表!$E:$E,$B105,領用表!$B:$B,BM$2&amp;$BI$1)</f>
        <v/>
      </c>
      <c r="BN105" s="405" t="n"/>
      <c r="BO105" s="405">
        <f>SUMIFS(領用表!$L:$L,領用表!$E:$E,$B105,領用表!$B:$B,BO$2&amp;$BI$1)</f>
        <v/>
      </c>
      <c r="BP105" s="405">
        <f>SUMIFS(領用表!$L:$L,領用表!$E:$E,$B105,領用表!$B:$B,BP$2&amp;$BI$1)</f>
        <v/>
      </c>
      <c r="BQ105" s="405">
        <f>SUMIFS(領用表!$L:$L,領用表!$E:$E,$B105,領用表!$B:$B,BQ$2&amp;$BI$1)</f>
        <v/>
      </c>
      <c r="BR105" s="405">
        <f>SUMIFS(領用表!$L:$L,領用表!$E:$E,$B105,領用表!$B:$B,BR$2&amp;$BI$1)</f>
        <v/>
      </c>
      <c r="BS105" s="405">
        <f>SUMIFS(領用表!$L:$L,領用表!$E:$E,$B105,領用表!$B:$B,BS$2&amp;$BI$1)</f>
        <v/>
      </c>
      <c r="BT105" s="405">
        <f>SUMIFS(領用表!$L:$L,領用表!$E:$E,$B105,領用表!$B:$B,BT$2&amp;$BI$1)</f>
        <v/>
      </c>
      <c r="BU105" s="405">
        <f>SUM(BI105,BJ105,BK105,BL105,BM105,BN105)</f>
        <v/>
      </c>
      <c r="BV105" s="405">
        <f>AVERAGE(BI105,BJ105,BK105,BL105,BM105,BN105)</f>
        <v/>
      </c>
      <c r="BW105" s="405">
        <f>SUMIF(Summary!B:B,B105,Summary!EA:EA)</f>
        <v/>
      </c>
      <c r="BX105" s="111" t="n"/>
      <c r="BY105" s="80" t="n"/>
      <c r="BZ105" s="76" t="n"/>
      <c r="CA105" s="83" t="n"/>
    </row>
    <row r="106" ht="15.75" customHeight="1" s="453">
      <c r="A106" s="27" t="inlineStr">
        <is>
          <t>FE1AA060003T</t>
        </is>
      </c>
      <c r="B106" s="14" t="e">
        <v>#N/A</v>
      </c>
      <c r="C106" s="136" t="inlineStr">
        <is>
          <t>試用包-富勒烯煥齡賦活水凝乳 2mL(尖嘴單劑包)</t>
        </is>
      </c>
      <c r="D106" s="77" t="n"/>
      <c r="E106" s="17" t="inlineStr">
        <is>
          <t>PCS</t>
        </is>
      </c>
      <c r="F106" s="18" t="n"/>
      <c r="G106" s="70" t="n"/>
      <c r="AR106" s="19" t="n"/>
      <c r="AS106" s="64" t="n"/>
      <c r="AT106" s="64" t="n"/>
      <c r="AU106" s="19" t="n"/>
      <c r="AV106" s="19" t="n"/>
      <c r="AW106" s="19" t="n"/>
      <c r="AX106" s="19" t="n"/>
      <c r="AY106" s="19" t="n"/>
      <c r="AZ106" s="20">
        <f>SUMIFS(領用表!$L:$L,領用表!$E:$E,$B106,領用表!$B:$B,AZ$2&amp;$BI$1)</f>
        <v/>
      </c>
      <c r="BA106" s="20">
        <f>SUMIFS(領用表!$L:$L,領用表!$E:$E,$B106,領用表!$B:$B,BA$2&amp;$BI$1)</f>
        <v/>
      </c>
      <c r="BB106" s="20">
        <f>SUMIFS(領用表!$L:$L,領用表!$E:$E,$B106,領用表!$B:$B,BB$2&amp;$BI$1)</f>
        <v/>
      </c>
      <c r="BC106" s="20">
        <f>SUMIFS(領用表!$L:$L,領用表!$E:$E,$B106,領用表!$B:$B,BC$2&amp;$BI$1)</f>
        <v/>
      </c>
      <c r="BD106" s="142">
        <f>SUMIFS(領用表!$L:$L,領用表!$E:$E,$B106,領用表!$B:$B,BD$2&amp;$BI$1)</f>
        <v/>
      </c>
      <c r="BE106" s="142">
        <f>SUMIFS(領用表!$L:$L,領用表!$E:$E,$B106,領用表!$B:$B,BE$2&amp;$BI$1)</f>
        <v/>
      </c>
      <c r="BF106" s="142">
        <f>SUMIFS(領用表!$L:$L,領用表!$E:$E,$B106,領用表!$B:$B,BF$2&amp;$BI$1)</f>
        <v/>
      </c>
      <c r="BG106" s="23">
        <f>SUM(AU106,AV106,AW106,AX106,AY106,AZ106,BA106,BB106,BC106,BD106,BE106,BF106)</f>
        <v/>
      </c>
      <c r="BH106" s="23">
        <f>AVERAGE(AU106,AV106,AW106,AX106,AY106,AZ106,BA106,BB106,BC106,BD106,BE106,BF106)</f>
        <v/>
      </c>
      <c r="BI106" s="142">
        <f>SUMIFS(領用表!$L:$L,領用表!$E:$E,$B106,領用表!$B:$B,BI$2&amp;$BI$1)</f>
        <v/>
      </c>
      <c r="BJ106" s="405">
        <f>SUMIFS(領用表!$L:$L,領用表!$E:$E,$B106,領用表!$B:$B,BJ$2&amp;$BI$1)</f>
        <v/>
      </c>
      <c r="BK106" s="405">
        <f>SUMIFS(領用表!$L:$L,領用表!$E:$E,$B106,領用表!$B:$B,BK$2&amp;$BI$1)</f>
        <v/>
      </c>
      <c r="BL106" s="405">
        <f>SUMIFS(領用表!$L:$L,領用表!$E:$E,$B106,領用表!$B:$B,BL$2&amp;$BI$1)</f>
        <v/>
      </c>
      <c r="BM106" s="405">
        <f>SUMIFS(領用表!$L:$L,領用表!$E:$E,$B106,領用表!$B:$B,BM$2&amp;$BI$1)</f>
        <v/>
      </c>
      <c r="BN106" s="405">
        <f>SUMIFS(領用表!$L:$L,領用表!$E:$E,$B106,領用表!$B:$B,BN$2&amp;$BI$1)</f>
        <v/>
      </c>
      <c r="BO106" s="405">
        <f>SUMIFS(領用表!$L:$L,領用表!$E:$E,$B106,領用表!$B:$B,BO$2&amp;$BI$1)</f>
        <v/>
      </c>
      <c r="BP106" s="405">
        <f>SUMIFS(領用表!$L:$L,領用表!$E:$E,$B106,領用表!$B:$B,BP$2&amp;$BI$1)</f>
        <v/>
      </c>
      <c r="BQ106" s="405">
        <f>SUMIFS(領用表!$L:$L,領用表!$E:$E,$B106,領用表!$B:$B,BQ$2&amp;$BI$1)</f>
        <v/>
      </c>
      <c r="BR106" s="405">
        <f>SUMIFS(領用表!$L:$L,領用表!$E:$E,$B106,領用表!$B:$B,BR$2&amp;$BI$1)</f>
        <v/>
      </c>
      <c r="BS106" s="405">
        <f>SUMIFS(領用表!$L:$L,領用表!$E:$E,$B106,領用表!$B:$B,BS$2&amp;$BI$1)</f>
        <v/>
      </c>
      <c r="BT106" s="405">
        <f>SUMIFS(領用表!$L:$L,領用表!$E:$E,$B106,領用表!$B:$B,BT$2&amp;$BI$1)</f>
        <v/>
      </c>
      <c r="BU106" s="405">
        <f>SUM(BI106,BJ106,BK106,BL106,BM106,BN106)</f>
        <v/>
      </c>
      <c r="BV106" s="405">
        <f>AVERAGE(BI106,BJ106,BK106,BL106,BM106,BN106)</f>
        <v/>
      </c>
      <c r="BW106" s="405">
        <f>SUMIF(Summary!B:B,B106,Summary!EA:EA)</f>
        <v/>
      </c>
      <c r="BX106" s="111" t="n"/>
      <c r="BY106" s="80" t="n"/>
      <c r="BZ106" s="65" t="n"/>
      <c r="CA106" s="65" t="n"/>
    </row>
    <row r="107" ht="15.75" customHeight="1" s="453">
      <c r="A107" s="27" t="inlineStr">
        <is>
          <t>FL1AA030002T</t>
        </is>
      </c>
      <c r="B107" s="14" t="e">
        <v>#N/A</v>
      </c>
      <c r="C107" s="136" t="inlineStr">
        <is>
          <t>試用包 - 水盈潤去角質凝膠 3mL</t>
        </is>
      </c>
      <c r="D107" s="77" t="n"/>
      <c r="E107" s="17" t="inlineStr">
        <is>
          <t>PCS</t>
        </is>
      </c>
      <c r="F107" s="18" t="n"/>
      <c r="G107" s="70" t="n"/>
      <c r="AR107" s="19" t="n"/>
      <c r="AS107" s="64" t="n"/>
      <c r="AT107" s="64" t="n"/>
      <c r="AU107" s="19" t="n"/>
      <c r="AV107" s="19" t="n"/>
      <c r="AW107" s="19" t="n"/>
      <c r="AX107" s="19" t="n"/>
      <c r="AY107" s="19" t="n"/>
      <c r="AZ107" s="20">
        <f>SUMIFS(領用表!$L:$L,領用表!$E:$E,$B107,領用表!$B:$B,AZ$2&amp;$BI$1)</f>
        <v/>
      </c>
      <c r="BA107" s="20">
        <f>SUMIFS(領用表!$L:$L,領用表!$E:$E,$B107,領用表!$B:$B,BA$2&amp;$BI$1)</f>
        <v/>
      </c>
      <c r="BB107" s="20">
        <f>SUMIFS(領用表!$L:$L,領用表!$E:$E,$B107,領用表!$B:$B,BB$2&amp;$BI$1)</f>
        <v/>
      </c>
      <c r="BC107" s="20">
        <f>SUMIFS(領用表!$L:$L,領用表!$E:$E,$B107,領用表!$B:$B,BC$2&amp;$BI$1)</f>
        <v/>
      </c>
      <c r="BD107" s="142">
        <f>SUMIFS(領用表!$L:$L,領用表!$E:$E,$B107,領用表!$B:$B,BD$2&amp;$BI$1)</f>
        <v/>
      </c>
      <c r="BE107" s="142">
        <f>SUMIFS(領用表!$L:$L,領用表!$E:$E,$B107,領用表!$B:$B,BE$2&amp;$BI$1)</f>
        <v/>
      </c>
      <c r="BF107" s="142">
        <f>SUMIFS(領用表!$L:$L,領用表!$E:$E,$B107,領用表!$B:$B,BF$2&amp;$BI$1)</f>
        <v/>
      </c>
      <c r="BG107" s="23">
        <f>SUM(AU107,AV107,AW107,AX107,AY107,AZ107,BA107,BB107,BC107,BD107,BE107,BF107)</f>
        <v/>
      </c>
      <c r="BH107" s="23">
        <f>AVERAGE(AU107,AV107,AW107,AX107,AY107,AZ107,BA107,BB107,BC107,BD107,BE107,BF107)</f>
        <v/>
      </c>
      <c r="BI107" s="142">
        <f>SUMIFS(領用表!$L:$L,領用表!$E:$E,$B107,領用表!$B:$B,BI$2&amp;$BI$1)</f>
        <v/>
      </c>
      <c r="BJ107" s="405">
        <f>SUMIFS(領用表!$L:$L,領用表!$E:$E,$B107,領用表!$B:$B,BJ$2&amp;$BI$1)</f>
        <v/>
      </c>
      <c r="BK107" s="405">
        <f>SUMIFS(領用表!$L:$L,領用表!$E:$E,$B107,領用表!$B:$B,BK$2&amp;$BI$1)</f>
        <v/>
      </c>
      <c r="BL107" s="405">
        <f>SUMIFS(領用表!$L:$L,領用表!$E:$E,$B107,領用表!$B:$B,BL$2&amp;$BI$1)</f>
        <v/>
      </c>
      <c r="BM107" s="405">
        <f>SUMIFS(領用表!$L:$L,領用表!$E:$E,$B107,領用表!$B:$B,BM$2&amp;$BI$1)</f>
        <v/>
      </c>
      <c r="BN107" s="405">
        <f>SUMIFS(領用表!$L:$L,領用表!$E:$E,$B107,領用表!$B:$B,BN$2&amp;$BI$1)</f>
        <v/>
      </c>
      <c r="BO107" s="405">
        <f>SUMIFS(領用表!$L:$L,領用表!$E:$E,$B107,領用表!$B:$B,BO$2&amp;$BI$1)</f>
        <v/>
      </c>
      <c r="BP107" s="405">
        <f>SUMIFS(領用表!$L:$L,領用表!$E:$E,$B107,領用表!$B:$B,BP$2&amp;$BI$1)</f>
        <v/>
      </c>
      <c r="BQ107" s="405">
        <f>SUMIFS(領用表!$L:$L,領用表!$E:$E,$B107,領用表!$B:$B,BQ$2&amp;$BI$1)</f>
        <v/>
      </c>
      <c r="BR107" s="405">
        <f>SUMIFS(領用表!$L:$L,領用表!$E:$E,$B107,領用表!$B:$B,BR$2&amp;$BI$1)</f>
        <v/>
      </c>
      <c r="BS107" s="405">
        <f>SUMIFS(領用表!$L:$L,領用表!$E:$E,$B107,領用表!$B:$B,BS$2&amp;$BI$1)</f>
        <v/>
      </c>
      <c r="BT107" s="405">
        <f>SUMIFS(領用表!$L:$L,領用表!$E:$E,$B107,領用表!$B:$B,BT$2&amp;$BI$1)</f>
        <v/>
      </c>
      <c r="BU107" s="405">
        <f>SUM(BI107,BJ107,BK107,BL107,BM107,BN107)</f>
        <v/>
      </c>
      <c r="BV107" s="405">
        <f>AVERAGE(BI107,BJ107,BK107,BL107,BM107,BN107)</f>
        <v/>
      </c>
      <c r="BW107" s="405">
        <f>SUMIF(Summary!B:B,B107,Summary!EA:EA)</f>
        <v/>
      </c>
      <c r="BX107" s="111" t="n"/>
      <c r="BY107" s="80" t="n"/>
      <c r="BZ107" s="65" t="n"/>
      <c r="CA107" s="65" t="n"/>
    </row>
    <row r="108" ht="15.75" customHeight="1" s="453">
      <c r="A108" s="27" t="inlineStr">
        <is>
          <t>FL1AA060007T</t>
        </is>
      </c>
      <c r="B108" s="14" t="e">
        <v>#N/A</v>
      </c>
      <c r="C108" s="136" t="inlineStr">
        <is>
          <t>試用包-花神臻秘玫瑰肌密晶凝霜 2mL(含紙卡)</t>
        </is>
      </c>
      <c r="D108" s="77" t="n"/>
      <c r="E108" s="17" t="inlineStr">
        <is>
          <t>PCS</t>
        </is>
      </c>
      <c r="F108" s="18" t="n"/>
      <c r="G108" s="70" t="n"/>
      <c r="AR108" s="19" t="n"/>
      <c r="AS108" s="64" t="n"/>
      <c r="AT108" s="64" t="n"/>
      <c r="AU108" s="19" t="n"/>
      <c r="AV108" s="19" t="n"/>
      <c r="AW108" s="19" t="n"/>
      <c r="AX108" s="19" t="n"/>
      <c r="AY108" s="19" t="n"/>
      <c r="AZ108" s="20">
        <f>SUMIFS(領用表!$L:$L,領用表!$E:$E,$B108,領用表!$B:$B,AZ$2&amp;$BI$1)</f>
        <v/>
      </c>
      <c r="BA108" s="20">
        <f>SUMIFS(領用表!$L:$L,領用表!$E:$E,$B108,領用表!$B:$B,BA$2&amp;$BI$1)</f>
        <v/>
      </c>
      <c r="BB108" s="20">
        <f>SUMIFS(領用表!$L:$L,領用表!$E:$E,$B108,領用表!$B:$B,BB$2&amp;$BI$1)</f>
        <v/>
      </c>
      <c r="BC108" s="20">
        <f>SUMIFS(領用表!$L:$L,領用表!$E:$E,$B108,領用表!$B:$B,BC$2&amp;$BI$1)</f>
        <v/>
      </c>
      <c r="BD108" s="142">
        <f>SUMIFS(領用表!$L:$L,領用表!$E:$E,$B108,領用表!$B:$B,BD$2&amp;$BI$1)</f>
        <v/>
      </c>
      <c r="BE108" s="142">
        <f>SUMIFS(領用表!$L:$L,領用表!$E:$E,$B108,領用表!$B:$B,BE$2&amp;$BI$1)</f>
        <v/>
      </c>
      <c r="BF108" s="142">
        <f>SUMIFS(領用表!$L:$L,領用表!$E:$E,$B108,領用表!$B:$B,BF$2&amp;$BI$1)</f>
        <v/>
      </c>
      <c r="BG108" s="23">
        <f>SUM(AU108,AV108,AW108,AX108,AY108,AZ108,BA108,BB108,BC108,BD108,BE108,BF108)</f>
        <v/>
      </c>
      <c r="BH108" s="23">
        <f>AVERAGE(AU108,AV108,AW108,AX108,AY108,AZ108,BA108,BB108,BC108,BD108,BE108,BF108)</f>
        <v/>
      </c>
      <c r="BI108" s="142">
        <f>SUMIFS(領用表!$L:$L,領用表!$E:$E,$B108,領用表!$B:$B,BI$2&amp;$BI$1)</f>
        <v/>
      </c>
      <c r="BJ108" s="405">
        <f>SUMIFS(領用表!$L:$L,領用表!$E:$E,$B108,領用表!$B:$B,BJ$2&amp;$BI$1)</f>
        <v/>
      </c>
      <c r="BK108" s="405">
        <f>SUMIFS(領用表!$L:$L,領用表!$E:$E,$B108,領用表!$B:$B,BK$2&amp;$BI$1)</f>
        <v/>
      </c>
      <c r="BL108" s="405">
        <f>SUMIFS(領用表!$L:$L,領用表!$E:$E,$B108,領用表!$B:$B,BL$2&amp;$BI$1)</f>
        <v/>
      </c>
      <c r="BM108" s="405">
        <f>SUMIFS(領用表!$L:$L,領用表!$E:$E,$B108,領用表!$B:$B,BM$2&amp;$BI$1)</f>
        <v/>
      </c>
      <c r="BN108" s="405">
        <f>SUMIFS(領用表!$L:$L,領用表!$E:$E,$B108,領用表!$B:$B,BN$2&amp;$BI$1)</f>
        <v/>
      </c>
      <c r="BO108" s="405">
        <f>SUMIFS(領用表!$L:$L,領用表!$E:$E,$B108,領用表!$B:$B,BO$2&amp;$BI$1)</f>
        <v/>
      </c>
      <c r="BP108" s="405">
        <f>SUMIFS(領用表!$L:$L,領用表!$E:$E,$B108,領用表!$B:$B,BP$2&amp;$BI$1)</f>
        <v/>
      </c>
      <c r="BQ108" s="405">
        <f>SUMIFS(領用表!$L:$L,領用表!$E:$E,$B108,領用表!$B:$B,BQ$2&amp;$BI$1)</f>
        <v/>
      </c>
      <c r="BR108" s="405">
        <f>SUMIFS(領用表!$L:$L,領用表!$E:$E,$B108,領用表!$B:$B,BR$2&amp;$BI$1)</f>
        <v/>
      </c>
      <c r="BS108" s="405">
        <f>SUMIFS(領用表!$L:$L,領用表!$E:$E,$B108,領用表!$B:$B,BS$2&amp;$BI$1)</f>
        <v/>
      </c>
      <c r="BT108" s="405">
        <f>SUMIFS(領用表!$L:$L,領用表!$E:$E,$B108,領用表!$B:$B,BT$2&amp;$BI$1)</f>
        <v/>
      </c>
      <c r="BU108" s="405">
        <f>SUM(BI108,BJ108,BK108,BL108,BM108,BN108)</f>
        <v/>
      </c>
      <c r="BV108" s="405">
        <f>AVERAGE(BI108,BJ108,BK108,BL108,BM108,BN108)</f>
        <v/>
      </c>
      <c r="BW108" s="405">
        <f>SUMIF(Summary!B:B,B108,Summary!EA:EA)</f>
        <v/>
      </c>
      <c r="BX108" s="111" t="n"/>
      <c r="BY108" s="80" t="n"/>
      <c r="BZ108" s="65" t="n"/>
      <c r="CA108" s="65" t="n"/>
    </row>
    <row r="109" hidden="1" ht="16.5" customHeight="1" s="453">
      <c r="A109" s="27" t="inlineStr">
        <is>
          <t>DN1AA090015T</t>
        </is>
      </c>
      <c r="B109" s="14" t="n">
        <v>1080002</v>
      </c>
      <c r="C109" s="136" t="inlineStr">
        <is>
          <t>神經醯胺水漾保濕面膜/ 30ml</t>
        </is>
      </c>
      <c r="D109" s="77" t="n"/>
      <c r="E109" s="17" t="inlineStr">
        <is>
          <t>PCS</t>
        </is>
      </c>
      <c r="F109" s="18" t="n"/>
      <c r="G109" s="70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  <c r="AA109" s="68" t="n"/>
      <c r="AB109" s="68" t="n"/>
      <c r="AC109" s="68" t="n"/>
      <c r="AD109" s="68" t="n"/>
      <c r="AE109" s="68" t="n"/>
      <c r="AF109" s="68" t="n"/>
      <c r="AG109" s="19" t="n"/>
      <c r="AH109" s="19" t="n"/>
      <c r="AI109" s="19" t="n"/>
      <c r="AJ109" s="19" t="n"/>
      <c r="AK109" s="19" t="n"/>
      <c r="AL109" s="19" t="n"/>
      <c r="AM109" s="19" t="n"/>
      <c r="AN109" s="19" t="n">
        <v>800</v>
      </c>
      <c r="AO109" s="19" t="n">
        <v>800</v>
      </c>
      <c r="AP109" s="19" t="n">
        <v>800</v>
      </c>
      <c r="AQ109" s="19" t="n">
        <v>3200</v>
      </c>
      <c r="AR109" s="19" t="n">
        <v>4800</v>
      </c>
      <c r="AS109" s="68">
        <f>SUM(AG109:AR109)</f>
        <v/>
      </c>
      <c r="AT109" s="26">
        <f>AS109/12</f>
        <v/>
      </c>
      <c r="AU109" s="19" t="n">
        <v>4649</v>
      </c>
      <c r="AV109" s="19" t="n">
        <v>2263</v>
      </c>
      <c r="AW109" s="19" t="n">
        <v>3200</v>
      </c>
      <c r="AX109" s="19" t="n">
        <v>800</v>
      </c>
      <c r="AY109" s="19" t="n">
        <v>0</v>
      </c>
      <c r="AZ109" s="20">
        <f>SUMIFS(領用表!$L:$L,領用表!$E:$E,$B109,領用表!$B:$B,AZ$2&amp;$BI$1)</f>
        <v/>
      </c>
      <c r="BA109" s="20">
        <f>SUMIFS(領用表!$L:$L,領用表!$E:$E,$B109,領用表!$B:$B,BA$2&amp;$BI$1)</f>
        <v/>
      </c>
      <c r="BB109" s="20">
        <f>SUMIFS(領用表!$L:$L,領用表!$E:$E,$B109,領用表!$B:$B,BB$2&amp;$BI$1)</f>
        <v/>
      </c>
      <c r="BC109" s="20">
        <f>SUMIFS(領用表!$L:$L,領用表!$E:$E,$B109,領用表!$B:$B,BC$2&amp;$BI$1)</f>
        <v/>
      </c>
      <c r="BD109" s="142">
        <f>SUMIFS(領用表!$L:$L,領用表!$E:$E,$B109,領用表!$B:$B,BD$2&amp;$BI$1)</f>
        <v/>
      </c>
      <c r="BE109" s="142">
        <f>SUMIFS(領用表!$L:$L,領用表!$E:$E,$B109,領用表!$B:$B,BE$2&amp;$BI$1)</f>
        <v/>
      </c>
      <c r="BF109" s="142">
        <f>SUMIFS(領用表!$L:$L,領用表!$E:$E,$B109,領用表!$B:$B,BF$2&amp;$BI$1)</f>
        <v/>
      </c>
      <c r="BG109" s="23">
        <f>SUM(AU109,AV109,AW109,AX109,AY109,AZ109,BA109,BB109,BC109,BD109,BE109,BF109)</f>
        <v/>
      </c>
      <c r="BH109" s="23">
        <f>AVERAGE(AU109,AV109,AW109,AX109,AY109,AZ109,BA109,BB109,BC109,BD109,BE109,BF109)</f>
        <v/>
      </c>
      <c r="BI109" s="142">
        <f>SUMIFS(領用表!$L:$L,領用表!$E:$E,$B109,領用表!$B:$B,BI$2&amp;$BI$1)</f>
        <v/>
      </c>
      <c r="BJ109" s="142">
        <f>SUMIFS(領用表!$L:$L,領用表!$E:$E,$B109,領用表!$B:$B,BJ$2&amp;$BI$1)</f>
        <v/>
      </c>
      <c r="BK109" s="142">
        <f>SUMIFS(領用表!$L:$L,領用表!$E:$E,$B109,領用表!$B:$B,BK$2&amp;$BI$1)</f>
        <v/>
      </c>
      <c r="BL109" s="142">
        <f>SUMIFS(領用表!$L:$L,領用表!$E:$E,$B109,領用表!$B:$B,BL$2&amp;$BI$1)</f>
        <v/>
      </c>
      <c r="BM109" s="142">
        <f>SUMIFS(領用表!$L:$L,領用表!$E:$E,$B109,領用表!$B:$B,BM$2&amp;$BI$1)</f>
        <v/>
      </c>
      <c r="BN109" s="142" t="n"/>
      <c r="BO109" s="142">
        <f>SUMIFS(領用表!$L:$L,領用表!$E:$E,$B109,領用表!$B:$B,BO$2&amp;$BI$1)</f>
        <v/>
      </c>
      <c r="BP109" s="142">
        <f>SUMIFS(領用表!$L:$L,領用表!$E:$E,$B109,領用表!$B:$B,BP$2&amp;$BI$1)</f>
        <v/>
      </c>
      <c r="BQ109" s="142">
        <f>SUMIFS(領用表!$L:$L,領用表!$E:$E,$B109,領用表!$B:$B,BQ$2&amp;$BI$1)</f>
        <v/>
      </c>
      <c r="BR109" s="142">
        <f>SUMIFS(領用表!$L:$L,領用表!$E:$E,$B109,領用表!$B:$B,BR$2&amp;$BI$1)</f>
        <v/>
      </c>
      <c r="BS109" s="142">
        <f>SUMIFS(領用表!$L:$L,領用表!$E:$E,$B109,領用表!$B:$B,BS$2&amp;$BI$1)</f>
        <v/>
      </c>
      <c r="BT109" s="142">
        <f>SUMIFS(領用表!$L:$L,領用表!$E:$E,$B109,領用表!$B:$B,BT$2&amp;$BI$1)</f>
        <v/>
      </c>
      <c r="BU109" s="142">
        <f>SUM(BI109,BJ109,BK109,BL109,BM109,BN109)</f>
        <v/>
      </c>
      <c r="BV109" s="142">
        <f>AVERAGE(BI109,BJ109,BK109,BL109,BM109,BN109)</f>
        <v/>
      </c>
      <c r="BW109" s="142">
        <f>SUMIF(Summary!B:B,B109,Summary!EA:EA)</f>
        <v/>
      </c>
      <c r="BX109" s="109" t="n"/>
      <c r="BY109" s="65" t="n"/>
      <c r="BZ109" s="65" t="n"/>
      <c r="CA109" s="65" t="n"/>
      <c r="CB109" s="27" t="n"/>
      <c r="CC109" s="27" t="n"/>
    </row>
    <row r="110" hidden="1" ht="16.5" customHeight="1" s="453">
      <c r="A110" s="27" t="inlineStr">
        <is>
          <t>DN1AA090011T</t>
        </is>
      </c>
      <c r="B110" s="14" t="n">
        <v>1080006</v>
      </c>
      <c r="C110" s="136" t="inlineStr">
        <is>
          <t>肌因抗老修護微導膜 25ml (2015年版)</t>
        </is>
      </c>
      <c r="D110" s="77" t="n"/>
      <c r="E110" s="17" t="inlineStr">
        <is>
          <t>PCS</t>
        </is>
      </c>
      <c r="F110" s="18" t="n"/>
      <c r="G110" s="70" t="n"/>
      <c r="AG110" s="82" t="n"/>
      <c r="AH110" s="82" t="n"/>
      <c r="AI110" s="82" t="n"/>
      <c r="AJ110" s="82" t="n"/>
      <c r="AK110" s="82" t="n"/>
      <c r="AL110" s="82" t="n"/>
      <c r="AM110" s="82" t="n"/>
      <c r="AN110" s="19" t="n">
        <v>0</v>
      </c>
      <c r="AO110" s="19" t="n">
        <v>0</v>
      </c>
      <c r="AP110" s="19" t="n">
        <v>0</v>
      </c>
      <c r="AQ110" s="19" t="n">
        <v>50</v>
      </c>
      <c r="AR110" s="19" t="n">
        <v>0</v>
      </c>
      <c r="AS110" s="68">
        <f>SUM(AG110:AR110)</f>
        <v/>
      </c>
      <c r="AT110" s="26">
        <f>AS110/12</f>
        <v/>
      </c>
      <c r="AU110" s="19" t="n">
        <v>0</v>
      </c>
      <c r="AV110" s="19" t="n">
        <v>4620</v>
      </c>
      <c r="AW110" s="19" t="n">
        <v>0</v>
      </c>
      <c r="AX110" s="19" t="n">
        <v>0</v>
      </c>
      <c r="AY110" s="19" t="n">
        <v>2400</v>
      </c>
      <c r="AZ110" s="20">
        <f>SUMIFS(領用表!$L:$L,領用表!$E:$E,$B110,領用表!$B:$B,AZ$2&amp;$BI$1)</f>
        <v/>
      </c>
      <c r="BA110" s="20">
        <f>SUMIFS(領用表!$L:$L,領用表!$E:$E,$B110,領用表!$B:$B,BA$2&amp;$BI$1)</f>
        <v/>
      </c>
      <c r="BB110" s="20">
        <f>SUMIFS(領用表!$L:$L,領用表!$E:$E,$B110,領用表!$B:$B,BB$2&amp;$BI$1)</f>
        <v/>
      </c>
      <c r="BC110" s="20">
        <f>SUMIFS(領用表!$L:$L,領用表!$E:$E,$B110,領用表!$B:$B,BC$2&amp;$BI$1)</f>
        <v/>
      </c>
      <c r="BD110" s="142">
        <f>SUMIFS(領用表!$L:$L,領用表!$E:$E,$B110,領用表!$B:$B,BD$2&amp;$BI$1)</f>
        <v/>
      </c>
      <c r="BE110" s="142">
        <f>SUMIFS(領用表!$L:$L,領用表!$E:$E,$B110,領用表!$B:$B,BE$2&amp;$BI$1)</f>
        <v/>
      </c>
      <c r="BF110" s="142">
        <f>SUMIFS(領用表!$L:$L,領用表!$E:$E,$B110,領用表!$B:$B,BF$2&amp;$BI$1)</f>
        <v/>
      </c>
      <c r="BG110" s="23">
        <f>SUM(AU110,AV110,AW110,AX110,AY110,AZ110,BA110,BB110,BC110,BD110,BE110,BF110)</f>
        <v/>
      </c>
      <c r="BH110" s="23">
        <f>AVERAGE(AU110,AV110,AW110,AX110,AY110,AZ110,BA110,BB110,BC110,BD110,BE110,BF110)</f>
        <v/>
      </c>
      <c r="BI110" s="142">
        <f>SUMIFS(領用表!$L:$L,領用表!$E:$E,$B110,領用表!$B:$B,BI$2&amp;$BI$1)</f>
        <v/>
      </c>
      <c r="BJ110" s="142">
        <f>SUMIFS(領用表!$L:$L,領用表!$E:$E,$B110,領用表!$B:$B,BJ$2&amp;$BI$1)</f>
        <v/>
      </c>
      <c r="BK110" s="142">
        <f>SUMIFS(領用表!$L:$L,領用表!$E:$E,$B110,領用表!$B:$B,BK$2&amp;$BI$1)</f>
        <v/>
      </c>
      <c r="BL110" s="142">
        <f>SUMIFS(領用表!$L:$L,領用表!$E:$E,$B110,領用表!$B:$B,BL$2&amp;$BI$1)</f>
        <v/>
      </c>
      <c r="BM110" s="142">
        <f>SUMIFS(領用表!$L:$L,領用表!$E:$E,$B110,領用表!$B:$B,BM$2&amp;$BI$1)</f>
        <v/>
      </c>
      <c r="BN110" s="142" t="n"/>
      <c r="BO110" s="142">
        <f>SUMIFS(領用表!$L:$L,領用表!$E:$E,$B110,領用表!$B:$B,BO$2&amp;$BI$1)</f>
        <v/>
      </c>
      <c r="BP110" s="142">
        <f>SUMIFS(領用表!$L:$L,領用表!$E:$E,$B110,領用表!$B:$B,BP$2&amp;$BI$1)</f>
        <v/>
      </c>
      <c r="BQ110" s="142">
        <f>SUMIFS(領用表!$L:$L,領用表!$E:$E,$B110,領用表!$B:$B,BQ$2&amp;$BI$1)</f>
        <v/>
      </c>
      <c r="BR110" s="142">
        <f>SUMIFS(領用表!$L:$L,領用表!$E:$E,$B110,領用表!$B:$B,BR$2&amp;$BI$1)</f>
        <v/>
      </c>
      <c r="BS110" s="142">
        <f>SUMIFS(領用表!$L:$L,領用表!$E:$E,$B110,領用表!$B:$B,BS$2&amp;$BI$1)</f>
        <v/>
      </c>
      <c r="BT110" s="142">
        <f>SUMIFS(領用表!$L:$L,領用表!$E:$E,$B110,領用表!$B:$B,BT$2&amp;$BI$1)</f>
        <v/>
      </c>
      <c r="BU110" s="142">
        <f>SUM(BI110,BJ110,BK110,BL110,BM110,BN110)</f>
        <v/>
      </c>
      <c r="BV110" s="142">
        <f>AVERAGE(BI110,BJ110,BK110,BL110,BM110,BN110)</f>
        <v/>
      </c>
      <c r="BW110" s="142">
        <f>SUMIF(Summary!B:B,B110,Summary!EA:EA)</f>
        <v/>
      </c>
      <c r="BX110" s="109" t="n"/>
      <c r="BY110" s="65" t="n"/>
      <c r="BZ110" s="65" t="n"/>
      <c r="CA110" s="76" t="n"/>
    </row>
    <row r="111" hidden="1" ht="16.5" customHeight="1" s="453">
      <c r="A111" s="27" t="inlineStr">
        <is>
          <t>DE1AA090013T</t>
        </is>
      </c>
      <c r="B111" s="14" t="n">
        <v>6080005</v>
      </c>
      <c r="C111" s="136" t="inlineStr">
        <is>
          <t>玻尿酸恆潤保濕面膜 30mL</t>
        </is>
      </c>
      <c r="D111" s="77" t="n"/>
      <c r="E111" s="17" t="inlineStr">
        <is>
          <t>PCS</t>
        </is>
      </c>
      <c r="F111" s="18" t="n"/>
      <c r="G111" s="70" t="n"/>
      <c r="AG111" s="82" t="n"/>
      <c r="AH111" s="82" t="n"/>
      <c r="AI111" s="82" t="n"/>
      <c r="AJ111" s="82" t="n"/>
      <c r="AK111" s="82" t="n"/>
      <c r="AL111" s="82" t="n"/>
      <c r="AM111" s="82" t="n"/>
      <c r="AN111" s="19" t="n"/>
      <c r="AO111" s="19" t="n"/>
      <c r="AP111" s="19" t="n"/>
      <c r="AQ111" s="19" t="n"/>
      <c r="AR111" s="19" t="n"/>
      <c r="AS111" s="68" t="n">
        <v>0</v>
      </c>
      <c r="AT111" s="26" t="n">
        <v>0</v>
      </c>
      <c r="AU111" s="19" t="n">
        <v>0</v>
      </c>
      <c r="AV111" s="19" t="n">
        <v>0</v>
      </c>
      <c r="AW111" s="19" t="n">
        <v>0</v>
      </c>
      <c r="AX111" s="19" t="n">
        <v>800</v>
      </c>
      <c r="AY111" s="19" t="n">
        <v>0</v>
      </c>
      <c r="AZ111" s="20">
        <f>SUMIFS(領用表!$L:$L,領用表!$E:$E,$B111,領用表!$B:$B,AZ$2&amp;$BI$1)</f>
        <v/>
      </c>
      <c r="BA111" s="20">
        <f>SUMIFS(領用表!$L:$L,領用表!$E:$E,$B111,領用表!$B:$B,BA$2&amp;$BI$1)</f>
        <v/>
      </c>
      <c r="BB111" s="20">
        <f>SUMIFS(領用表!$L:$L,領用表!$E:$E,$B111,領用表!$B:$B,BB$2&amp;$BI$1)</f>
        <v/>
      </c>
      <c r="BC111" s="20">
        <f>SUMIFS(領用表!$L:$L,領用表!$E:$E,$B111,領用表!$B:$B,BC$2&amp;$BI$1)</f>
        <v/>
      </c>
      <c r="BD111" s="142">
        <f>SUMIFS(領用表!$L:$L,領用表!$E:$E,$B111,領用表!$B:$B,BD$2&amp;$BI$1)</f>
        <v/>
      </c>
      <c r="BE111" s="142">
        <f>SUMIFS(領用表!$L:$L,領用表!$E:$E,$B111,領用表!$B:$B,BE$2&amp;$BI$1)</f>
        <v/>
      </c>
      <c r="BF111" s="142">
        <f>SUMIFS(領用表!$L:$L,領用表!$E:$E,$B111,領用表!$B:$B,BF$2&amp;$BI$1)</f>
        <v/>
      </c>
      <c r="BG111" s="23">
        <f>SUM(AU111,AV111,AW111,AX111,AY111,AZ111,BA111,BB111,BC111,BD111,BE111,BF111)</f>
        <v/>
      </c>
      <c r="BH111" s="23">
        <f>AVERAGE(AU111,AV111,AW111,AX111,AY111,AZ111,BA111,BB111,BC111,BD111,BE111,BF111)</f>
        <v/>
      </c>
      <c r="BI111" s="142">
        <f>SUMIFS(領用表!$L:$L,領用表!$E:$E,$B111,領用表!$B:$B,BI$2&amp;$BI$1)</f>
        <v/>
      </c>
      <c r="BJ111" s="142">
        <f>SUMIFS(領用表!$L:$L,領用表!$E:$E,$B111,領用表!$B:$B,BJ$2&amp;$BI$1)</f>
        <v/>
      </c>
      <c r="BK111" s="142">
        <f>SUMIFS(領用表!$L:$L,領用表!$E:$E,$B111,領用表!$B:$B,BK$2&amp;$BI$1)</f>
        <v/>
      </c>
      <c r="BL111" s="142">
        <f>SUMIFS(領用表!$L:$L,領用表!$E:$E,$B111,領用表!$B:$B,BL$2&amp;$BI$1)</f>
        <v/>
      </c>
      <c r="BM111" s="142">
        <f>SUMIFS(領用表!$L:$L,領用表!$E:$E,$B111,領用表!$B:$B,BM$2&amp;$BI$1)</f>
        <v/>
      </c>
      <c r="BN111" s="142" t="n"/>
      <c r="BO111" s="142">
        <f>SUMIFS(領用表!$L:$L,領用表!$E:$E,$B111,領用表!$B:$B,BO$2&amp;$BI$1)</f>
        <v/>
      </c>
      <c r="BP111" s="142">
        <f>SUMIFS(領用表!$L:$L,領用表!$E:$E,$B111,領用表!$B:$B,BP$2&amp;$BI$1)</f>
        <v/>
      </c>
      <c r="BQ111" s="142">
        <f>SUMIFS(領用表!$L:$L,領用表!$E:$E,$B111,領用表!$B:$B,BQ$2&amp;$BI$1)</f>
        <v/>
      </c>
      <c r="BR111" s="142">
        <f>SUMIFS(領用表!$L:$L,領用表!$E:$E,$B111,領用表!$B:$B,BR$2&amp;$BI$1)</f>
        <v/>
      </c>
      <c r="BS111" s="142">
        <f>SUMIFS(領用表!$L:$L,領用表!$E:$E,$B111,領用表!$B:$B,BS$2&amp;$BI$1)</f>
        <v/>
      </c>
      <c r="BT111" s="142">
        <f>SUMIFS(領用表!$L:$L,領用表!$E:$E,$B111,領用表!$B:$B,BT$2&amp;$BI$1)</f>
        <v/>
      </c>
      <c r="BU111" s="142">
        <f>SUM(BI111,BJ111,BK111,BL111,BM111,BN111)</f>
        <v/>
      </c>
      <c r="BV111" s="142">
        <f>AVERAGE(BI111,BJ111,BK111,BL111,BM111,BN111)</f>
        <v/>
      </c>
      <c r="BW111" s="142">
        <f>SUMIF(Summary!B:B,B111,Summary!EA:EA)</f>
        <v/>
      </c>
      <c r="BX111" s="109" t="n"/>
      <c r="BY111" s="65" t="n"/>
      <c r="BZ111" s="65" t="n"/>
      <c r="CA111" s="65" t="n"/>
    </row>
    <row r="112" hidden="1" ht="16.5" customHeight="1" s="453">
      <c r="A112" s="27" t="inlineStr">
        <is>
          <t>DN1AB090006T</t>
        </is>
      </c>
      <c r="B112" s="14" t="n">
        <v>1080005</v>
      </c>
      <c r="C112" s="136" t="inlineStr">
        <is>
          <t>明眸撫紋水嫩眼膜 10mL(玫瑰金)</t>
        </is>
      </c>
      <c r="D112" s="77" t="n"/>
      <c r="E112" s="17" t="inlineStr">
        <is>
          <t>PCS</t>
        </is>
      </c>
      <c r="F112" s="18" t="n"/>
      <c r="G112" s="70" t="n"/>
      <c r="AG112" s="82" t="n"/>
      <c r="AH112" s="82" t="n"/>
      <c r="AI112" s="82" t="n"/>
      <c r="AJ112" s="82" t="n"/>
      <c r="AK112" s="82" t="n"/>
      <c r="AL112" s="82" t="n"/>
      <c r="AM112" s="82" t="n"/>
      <c r="AN112" s="19" t="n"/>
      <c r="AO112" s="19" t="n"/>
      <c r="AP112" s="19" t="n"/>
      <c r="AQ112" s="19" t="n"/>
      <c r="AR112" s="19" t="n"/>
      <c r="AS112" s="68">
        <f>SUM(AG112:AR112)</f>
        <v/>
      </c>
      <c r="AT112" s="26">
        <f>AS112/12</f>
        <v/>
      </c>
      <c r="AU112" s="19" t="n">
        <v>1400</v>
      </c>
      <c r="AV112" s="19" t="n">
        <v>2700</v>
      </c>
      <c r="AW112" s="19" t="n">
        <v>1200</v>
      </c>
      <c r="AX112" s="19" t="n">
        <v>0</v>
      </c>
      <c r="AY112" s="19" t="n">
        <v>0</v>
      </c>
      <c r="AZ112" s="20">
        <f>SUMIFS(領用表!$L:$L,領用表!$E:$E,$B112,領用表!$B:$B,AZ$2&amp;$BI$1)</f>
        <v/>
      </c>
      <c r="BA112" s="20">
        <f>SUMIFS(領用表!$L:$L,領用表!$E:$E,$B112,領用表!$B:$B,BA$2&amp;$BI$1)</f>
        <v/>
      </c>
      <c r="BB112" s="20">
        <f>SUMIFS(領用表!$L:$L,領用表!$E:$E,$B112,領用表!$B:$B,BB$2&amp;$BI$1)</f>
        <v/>
      </c>
      <c r="BC112" s="20">
        <f>SUMIFS(領用表!$L:$L,領用表!$E:$E,$B112,領用表!$B:$B,BC$2&amp;$BI$1)</f>
        <v/>
      </c>
      <c r="BD112" s="142">
        <f>SUMIFS(領用表!$L:$L,領用表!$E:$E,$B112,領用表!$B:$B,BD$2&amp;$BI$1)</f>
        <v/>
      </c>
      <c r="BE112" s="142">
        <f>SUMIFS(領用表!$L:$L,領用表!$E:$E,$B112,領用表!$B:$B,BE$2&amp;$BI$1)</f>
        <v/>
      </c>
      <c r="BF112" s="142">
        <f>SUMIFS(領用表!$L:$L,領用表!$E:$E,$B112,領用表!$B:$B,BF$2&amp;$BI$1)</f>
        <v/>
      </c>
      <c r="BG112" s="23">
        <f>SUM(AU112,AV112,AW112,AX112,AY112,AZ112,BA112,BB112,BC112,BD112,BE112,BF112)</f>
        <v/>
      </c>
      <c r="BH112" s="23">
        <f>AVERAGE(AU112,AV112,AW112,AX112,AY112,AZ112,BA112,BB112,BC112,BD112,BE112,BF112)</f>
        <v/>
      </c>
      <c r="BI112" s="142">
        <f>SUMIFS(領用表!$L:$L,領用表!$E:$E,$B112,領用表!$B:$B,BI$2&amp;$BI$1)</f>
        <v/>
      </c>
      <c r="BJ112" s="142">
        <f>SUMIFS(領用表!$L:$L,領用表!$E:$E,$B112,領用表!$B:$B,BJ$2&amp;$BI$1)</f>
        <v/>
      </c>
      <c r="BK112" s="142">
        <f>SUMIFS(領用表!$L:$L,領用表!$E:$E,$B112,領用表!$B:$B,BK$2&amp;$BI$1)</f>
        <v/>
      </c>
      <c r="BL112" s="142">
        <f>SUMIFS(領用表!$L:$L,領用表!$E:$E,$B112,領用表!$B:$B,BL$2&amp;$BI$1)</f>
        <v/>
      </c>
      <c r="BM112" s="142">
        <f>SUMIFS(領用表!$L:$L,領用表!$E:$E,$B112,領用表!$B:$B,BM$2&amp;$BI$1)</f>
        <v/>
      </c>
      <c r="BN112" s="142" t="n"/>
      <c r="BO112" s="142">
        <f>SUMIFS(領用表!$L:$L,領用表!$E:$E,$B112,領用表!$B:$B,BO$2&amp;$BI$1)</f>
        <v/>
      </c>
      <c r="BP112" s="142">
        <f>SUMIFS(領用表!$L:$L,領用表!$E:$E,$B112,領用表!$B:$B,BP$2&amp;$BI$1)</f>
        <v/>
      </c>
      <c r="BQ112" s="142">
        <f>SUMIFS(領用表!$L:$L,領用表!$E:$E,$B112,領用表!$B:$B,BQ$2&amp;$BI$1)</f>
        <v/>
      </c>
      <c r="BR112" s="142">
        <f>SUMIFS(領用表!$L:$L,領用表!$E:$E,$B112,領用表!$B:$B,BR$2&amp;$BI$1)</f>
        <v/>
      </c>
      <c r="BS112" s="142">
        <f>SUMIFS(領用表!$L:$L,領用表!$E:$E,$B112,領用表!$B:$B,BS$2&amp;$BI$1)</f>
        <v/>
      </c>
      <c r="BT112" s="142">
        <f>SUMIFS(領用表!$L:$L,領用表!$E:$E,$B112,領用表!$B:$B,BT$2&amp;$BI$1)</f>
        <v/>
      </c>
      <c r="BU112" s="142">
        <f>SUM(BI112,BJ112,BK112,BL112,BM112,BN112)</f>
        <v/>
      </c>
      <c r="BV112" s="142">
        <f>AVERAGE(BI112,BJ112,BK112,BL112,BM112,BN112)</f>
        <v/>
      </c>
      <c r="BW112" s="142">
        <f>SUMIF(Summary!B:B,B112,Summary!EA:EA)</f>
        <v/>
      </c>
      <c r="BX112" s="109" t="n"/>
      <c r="BY112" s="65" t="n"/>
      <c r="BZ112" s="65" t="n"/>
      <c r="CA112" s="65" t="n"/>
    </row>
    <row r="113" hidden="1" ht="16.5" customHeight="1" s="453">
      <c r="A113" s="27" t="inlineStr">
        <is>
          <t>DL1GD000020T</t>
        </is>
      </c>
      <c r="B113" s="14" t="e">
        <v>#N/A</v>
      </c>
      <c r="C113" s="136" t="inlineStr">
        <is>
          <t>暢護菌益康粉包 3g(30入)(繁體版)</t>
        </is>
      </c>
      <c r="D113" s="77" t="n"/>
      <c r="E113" s="17" t="inlineStr">
        <is>
          <t>PCS</t>
        </is>
      </c>
      <c r="F113" s="18" t="n"/>
      <c r="G113" s="70" t="n"/>
      <c r="AG113" s="82" t="n"/>
      <c r="AH113" s="82" t="n"/>
      <c r="AI113" s="82" t="n"/>
      <c r="AJ113" s="82" t="n"/>
      <c r="AK113" s="82" t="n"/>
      <c r="AL113" s="82" t="n"/>
      <c r="AM113" s="82" t="n"/>
      <c r="AN113" s="19" t="n">
        <v>0</v>
      </c>
      <c r="AO113" s="19" t="n">
        <v>0</v>
      </c>
      <c r="AP113" s="19" t="n">
        <v>0</v>
      </c>
      <c r="AQ113" s="19" t="n">
        <v>0</v>
      </c>
      <c r="AR113" s="19" t="n">
        <v>18</v>
      </c>
      <c r="AS113" s="68">
        <f>SUM(AG113:AR113)</f>
        <v/>
      </c>
      <c r="AT113" s="26">
        <f>AS113/12</f>
        <v/>
      </c>
      <c r="AU113" s="19" t="n">
        <v>18</v>
      </c>
      <c r="AV113" s="19" t="n">
        <v>0</v>
      </c>
      <c r="AW113" s="19" t="n">
        <v>0</v>
      </c>
      <c r="AX113" s="19" t="n">
        <v>360</v>
      </c>
      <c r="AY113" s="19" t="n">
        <v>0</v>
      </c>
      <c r="AZ113" s="20">
        <f>SUMIFS(領用表!$L:$L,領用表!$E:$E,$B113,領用表!$B:$B,AZ$2&amp;$BI$1)</f>
        <v/>
      </c>
      <c r="BA113" s="20">
        <f>SUMIFS(領用表!$L:$L,領用表!$E:$E,$B113,領用表!$B:$B,BA$2&amp;$BI$1)</f>
        <v/>
      </c>
      <c r="BB113" s="20">
        <f>SUMIFS(領用表!$L:$L,領用表!$E:$E,$B113,領用表!$B:$B,BB$2&amp;$BI$1)</f>
        <v/>
      </c>
      <c r="BC113" s="20">
        <f>SUMIFS(領用表!$L:$L,領用表!$E:$E,$B113,領用表!$B:$B,BC$2&amp;$BI$1)</f>
        <v/>
      </c>
      <c r="BD113" s="142">
        <f>SUMIFS(領用表!$L:$L,領用表!$E:$E,$B113,領用表!$B:$B,BD$2&amp;$BI$1)</f>
        <v/>
      </c>
      <c r="BE113" s="142">
        <f>SUMIFS(領用表!$L:$L,領用表!$E:$E,$B113,領用表!$B:$B,BE$2&amp;$BI$1)</f>
        <v/>
      </c>
      <c r="BF113" s="142">
        <f>SUMIFS(領用表!$L:$L,領用表!$E:$E,$B113,領用表!$B:$B,BF$2&amp;$BI$1)</f>
        <v/>
      </c>
      <c r="BG113" s="23">
        <f>SUM(AU113,AV113,AW113,AX113,AY113,AZ113,BA113,BB113,BC113,BD113,BE113,BF113)</f>
        <v/>
      </c>
      <c r="BH113" s="23">
        <f>AVERAGE(AU113,AV113,AW113,AX113,AY113,AZ113,BA113,BB113,BC113,BD113,BE113,BF113)</f>
        <v/>
      </c>
      <c r="BI113" s="142">
        <f>SUMIFS(領用表!$L:$L,領用表!$E:$E,$B113,領用表!$B:$B,BI$2&amp;$BI$1)</f>
        <v/>
      </c>
      <c r="BJ113" s="142">
        <f>SUMIFS(領用表!$L:$L,領用表!$E:$E,$B113,領用表!$B:$B,BJ$2&amp;$BI$1)</f>
        <v/>
      </c>
      <c r="BK113" s="142">
        <f>SUMIFS(領用表!$L:$L,領用表!$E:$E,$B113,領用表!$B:$B,BK$2&amp;$BI$1)</f>
        <v/>
      </c>
      <c r="BL113" s="142">
        <f>SUMIFS(領用表!$L:$L,領用表!$E:$E,$B113,領用表!$B:$B,BL$2&amp;$BI$1)</f>
        <v/>
      </c>
      <c r="BM113" s="142">
        <f>SUMIFS(領用表!$L:$L,領用表!$E:$E,$B113,領用表!$B:$B,BM$2&amp;$BI$1)</f>
        <v/>
      </c>
      <c r="BN113" s="142">
        <f>SUMIFS(領用表!$L:$L,領用表!$E:$E,$B113,領用表!$B:$B,BN$2&amp;$BI$1)</f>
        <v/>
      </c>
      <c r="BO113" s="142">
        <f>SUMIFS(領用表!$L:$L,領用表!$E:$E,$B113,領用表!$B:$B,BO$2&amp;$BI$1)</f>
        <v/>
      </c>
      <c r="BP113" s="142">
        <f>SUMIFS(領用表!$L:$L,領用表!$E:$E,$B113,領用表!$B:$B,BP$2&amp;$BI$1)</f>
        <v/>
      </c>
      <c r="BQ113" s="142">
        <f>SUMIFS(領用表!$L:$L,領用表!$E:$E,$B113,領用表!$B:$B,BQ$2&amp;$BI$1)</f>
        <v/>
      </c>
      <c r="BR113" s="142">
        <f>SUMIFS(領用表!$L:$L,領用表!$E:$E,$B113,領用表!$B:$B,BR$2&amp;$BI$1)</f>
        <v/>
      </c>
      <c r="BS113" s="142">
        <f>SUMIFS(領用表!$L:$L,領用表!$E:$E,$B113,領用表!$B:$B,BS$2&amp;$BI$1)</f>
        <v/>
      </c>
      <c r="BT113" s="142">
        <f>SUMIFS(領用表!$L:$L,領用表!$E:$E,$B113,領用表!$B:$B,BT$2&amp;$BI$1)</f>
        <v/>
      </c>
      <c r="BU113" s="142">
        <f>SUM(BI113,BJ113,BK113,BL113,BM113,BN113)</f>
        <v/>
      </c>
      <c r="BV113" s="142">
        <f>AVERAGE(BI113,BJ113,BK113,BL113,BM113,BN113)</f>
        <v/>
      </c>
      <c r="BW113" s="142">
        <f>SUMIF(Summary!B:B,B113,Summary!EA:EA)</f>
        <v/>
      </c>
      <c r="BX113" s="109" t="n"/>
      <c r="BY113" s="65" t="n"/>
      <c r="BZ113" s="65" t="n"/>
      <c r="CA113" s="65" t="n"/>
    </row>
    <row r="114" hidden="1" ht="16.5" customHeight="1" s="453">
      <c r="A114" s="27" t="inlineStr">
        <is>
          <t>DA1GD000017T</t>
        </is>
      </c>
      <c r="B114" s="14" t="e">
        <v>#N/A</v>
      </c>
      <c r="C114" s="136" t="inlineStr">
        <is>
          <t>R3 愛益菌 56盒/箱</t>
        </is>
      </c>
      <c r="D114" s="77" t="n"/>
      <c r="E114" s="17" t="inlineStr">
        <is>
          <t>PCS</t>
        </is>
      </c>
      <c r="F114" s="18" t="n"/>
      <c r="G114" s="70" t="n"/>
      <c r="AR114" s="19" t="n">
        <v>0</v>
      </c>
      <c r="AS114" s="64" t="n">
        <v>0</v>
      </c>
      <c r="AT114" s="64" t="n">
        <v>0</v>
      </c>
      <c r="AU114" s="19" t="n">
        <v>280</v>
      </c>
      <c r="AV114" s="19" t="n">
        <v>840</v>
      </c>
      <c r="AW114" s="19" t="n">
        <v>584</v>
      </c>
      <c r="AX114" s="19" t="n">
        <v>0</v>
      </c>
      <c r="AY114" s="19" t="n">
        <v>0</v>
      </c>
      <c r="AZ114" s="20">
        <f>SUMIFS(領用表!$L:$L,領用表!$E:$E,$B114,領用表!$B:$B,AZ$2&amp;$BI$1)</f>
        <v/>
      </c>
      <c r="BA114" s="20">
        <f>SUMIFS(領用表!$L:$L,領用表!$E:$E,$B114,領用表!$B:$B,BA$2&amp;$BI$1)</f>
        <v/>
      </c>
      <c r="BB114" s="20">
        <f>SUMIFS(領用表!$L:$L,領用表!$E:$E,$B114,領用表!$B:$B,BB$2&amp;$BI$1)</f>
        <v/>
      </c>
      <c r="BC114" s="20">
        <f>SUMIFS(領用表!$L:$L,領用表!$E:$E,$B114,領用表!$B:$B,BC$2&amp;$BI$1)</f>
        <v/>
      </c>
      <c r="BD114" s="142">
        <f>SUMIFS(領用表!$L:$L,領用表!$E:$E,$B114,領用表!$B:$B,BD$2&amp;$BI$1)</f>
        <v/>
      </c>
      <c r="BE114" s="142">
        <f>SUMIFS(領用表!$L:$L,領用表!$E:$E,$B114,領用表!$B:$B,BE$2&amp;$BI$1)</f>
        <v/>
      </c>
      <c r="BF114" s="142">
        <f>SUMIFS(領用表!$L:$L,領用表!$E:$E,$B114,領用表!$B:$B,BF$2&amp;$BI$1)</f>
        <v/>
      </c>
      <c r="BG114" s="23">
        <f>SUM(AU114,AV114,AW114,AX114,AY114,AZ114,BA114,BB114,BC114,BD114,BE114,BF114)</f>
        <v/>
      </c>
      <c r="BH114" s="23">
        <f>AVERAGE(AU114,AV114,AW114,AX114,AY114,AZ114,BA114,BB114,BC114,BD114,BE114,BF114)</f>
        <v/>
      </c>
      <c r="BI114" s="142">
        <f>SUMIFS(領用表!$L:$L,領用表!$E:$E,$B114,領用表!$B:$B,BI$2&amp;$BI$1)</f>
        <v/>
      </c>
      <c r="BJ114" s="142">
        <f>SUMIFS(領用表!$L:$L,領用表!$E:$E,$B114,領用表!$B:$B,BJ$2&amp;$BI$1)</f>
        <v/>
      </c>
      <c r="BK114" s="142">
        <f>SUMIFS(領用表!$L:$L,領用表!$E:$E,$B114,領用表!$B:$B,BK$2&amp;$BI$1)</f>
        <v/>
      </c>
      <c r="BL114" s="142">
        <f>SUMIFS(領用表!$L:$L,領用表!$E:$E,$B114,領用表!$B:$B,BL$2&amp;$BI$1)</f>
        <v/>
      </c>
      <c r="BM114" s="142">
        <f>SUMIFS(領用表!$L:$L,領用表!$E:$E,$B114,領用表!$B:$B,BM$2&amp;$BI$1)</f>
        <v/>
      </c>
      <c r="BN114" s="142">
        <f>SUMIFS(領用表!$L:$L,領用表!$E:$E,$B114,領用表!$B:$B,BN$2&amp;$BI$1)</f>
        <v/>
      </c>
      <c r="BO114" s="142">
        <f>SUMIFS(領用表!$L:$L,領用表!$E:$E,$B114,領用表!$B:$B,BO$2&amp;$BI$1)</f>
        <v/>
      </c>
      <c r="BP114" s="142">
        <f>SUMIFS(領用表!$L:$L,領用表!$E:$E,$B114,領用表!$B:$B,BP$2&amp;$BI$1)</f>
        <v/>
      </c>
      <c r="BQ114" s="142">
        <f>SUMIFS(領用表!$L:$L,領用表!$E:$E,$B114,領用表!$B:$B,BQ$2&amp;$BI$1)</f>
        <v/>
      </c>
      <c r="BR114" s="142">
        <f>SUMIFS(領用表!$L:$L,領用表!$E:$E,$B114,領用表!$B:$B,BR$2&amp;$BI$1)</f>
        <v/>
      </c>
      <c r="BS114" s="142">
        <f>SUMIFS(領用表!$L:$L,領用表!$E:$E,$B114,領用表!$B:$B,BS$2&amp;$BI$1)</f>
        <v/>
      </c>
      <c r="BT114" s="142">
        <f>SUMIFS(領用表!$L:$L,領用表!$E:$E,$B114,領用表!$B:$B,BT$2&amp;$BI$1)</f>
        <v/>
      </c>
      <c r="BU114" s="142">
        <f>SUM(BI114,BJ114,BK114,BL114,BM114,BN114)</f>
        <v/>
      </c>
      <c r="BV114" s="142">
        <f>AVERAGE(BI114,BJ114,BK114,BL114,BM114,BN114)</f>
        <v/>
      </c>
      <c r="BW114" s="142">
        <f>SUMIF(Summary!B:B,B114,Summary!EA:EA)</f>
        <v/>
      </c>
      <c r="BX114" s="109" t="n"/>
      <c r="BY114" s="65" t="n"/>
      <c r="BZ114" s="65" t="n"/>
      <c r="CA114" s="65" t="n"/>
    </row>
    <row r="115" hidden="1" ht="16.5" customHeight="1" s="453">
      <c r="A115" s="27" t="inlineStr">
        <is>
          <t>DN1AA090023T</t>
        </is>
      </c>
      <c r="B115" s="14" t="e">
        <v>#N/A</v>
      </c>
      <c r="C115" s="136" t="inlineStr">
        <is>
          <t>金采肌效生物纖維面膜 30mL</t>
        </is>
      </c>
      <c r="D115" s="77" t="n"/>
      <c r="E115" s="17" t="inlineStr">
        <is>
          <t>PCS</t>
        </is>
      </c>
      <c r="F115" s="18" t="n"/>
      <c r="G115" s="70" t="n"/>
      <c r="AR115" s="19" t="n">
        <v>0</v>
      </c>
      <c r="AS115" s="64" t="n">
        <v>0</v>
      </c>
      <c r="AT115" s="64" t="n">
        <v>0</v>
      </c>
      <c r="AU115" s="19" t="n">
        <v>95</v>
      </c>
      <c r="AV115" s="19" t="n">
        <v>0</v>
      </c>
      <c r="AW115" s="19" t="n">
        <v>0</v>
      </c>
      <c r="AX115" s="19" t="inlineStr">
        <is>
          <t>-</t>
        </is>
      </c>
      <c r="AY115" s="19" t="n">
        <v>0</v>
      </c>
      <c r="AZ115" s="20">
        <f>SUMIFS(領用表!$L:$L,領用表!$E:$E,$B115,領用表!$B:$B,AZ$2&amp;$BI$1)</f>
        <v/>
      </c>
      <c r="BA115" s="20">
        <f>SUMIFS(領用表!$L:$L,領用表!$E:$E,$B115,領用表!$B:$B,BA$2&amp;$BI$1)</f>
        <v/>
      </c>
      <c r="BB115" s="20">
        <f>SUMIFS(領用表!$L:$L,領用表!$E:$E,$B115,領用表!$B:$B,BB$2&amp;$BI$1)</f>
        <v/>
      </c>
      <c r="BC115" s="20">
        <f>SUMIFS(領用表!$L:$L,領用表!$E:$E,$B115,領用表!$B:$B,BC$2&amp;$BI$1)</f>
        <v/>
      </c>
      <c r="BD115" s="142">
        <f>SUMIFS(領用表!$L:$L,領用表!$E:$E,$B115,領用表!$B:$B,BD$2&amp;$BI$1)</f>
        <v/>
      </c>
      <c r="BE115" s="142">
        <f>SUMIFS(領用表!$L:$L,領用表!$E:$E,$B115,領用表!$B:$B,BE$2&amp;$BI$1)</f>
        <v/>
      </c>
      <c r="BF115" s="142">
        <f>SUMIFS(領用表!$L:$L,領用表!$E:$E,$B115,領用表!$B:$B,BF$2&amp;$BI$1)</f>
        <v/>
      </c>
      <c r="BG115" s="23">
        <f>SUM(AU115,AV115,AW115,AX115,AY115,AZ115,BA115,BB115,BC115,BD115,BE115,BF115)</f>
        <v/>
      </c>
      <c r="BH115" s="23">
        <f>AVERAGE(AU115,AV115,AW115,AX115,AY115,AZ115,BA115,BB115,BC115,BD115,BE115,BF115)</f>
        <v/>
      </c>
      <c r="BI115" s="142">
        <f>SUMIFS(領用表!$L:$L,領用表!$E:$E,$B115,領用表!$B:$B,BI$2&amp;$BI$1)</f>
        <v/>
      </c>
      <c r="BJ115" s="142">
        <f>SUMIFS(領用表!$L:$L,領用表!$E:$E,$B115,領用表!$B:$B,BJ$2&amp;$BI$1)</f>
        <v/>
      </c>
      <c r="BK115" s="142">
        <f>SUMIFS(領用表!$L:$L,領用表!$E:$E,$B115,領用表!$B:$B,BK$2&amp;$BI$1)</f>
        <v/>
      </c>
      <c r="BL115" s="142">
        <f>SUMIFS(領用表!$L:$L,領用表!$E:$E,$B115,領用表!$B:$B,BL$2&amp;$BI$1)</f>
        <v/>
      </c>
      <c r="BM115" s="142">
        <f>SUMIFS(領用表!$L:$L,領用表!$E:$E,$B115,領用表!$B:$B,BM$2&amp;$BI$1)</f>
        <v/>
      </c>
      <c r="BN115" s="142">
        <f>SUMIFS(領用表!$L:$L,領用表!$E:$E,$B115,領用表!$B:$B,BN$2&amp;$BI$1)</f>
        <v/>
      </c>
      <c r="BO115" s="142">
        <f>SUMIFS(領用表!$L:$L,領用表!$E:$E,$B115,領用表!$B:$B,BO$2&amp;$BI$1)</f>
        <v/>
      </c>
      <c r="BP115" s="142">
        <f>SUMIFS(領用表!$L:$L,領用表!$E:$E,$B115,領用表!$B:$B,BP$2&amp;$BI$1)</f>
        <v/>
      </c>
      <c r="BQ115" s="142">
        <f>SUMIFS(領用表!$L:$L,領用表!$E:$E,$B115,領用表!$B:$B,BQ$2&amp;$BI$1)</f>
        <v/>
      </c>
      <c r="BR115" s="142">
        <f>SUMIFS(領用表!$L:$L,領用表!$E:$E,$B115,領用表!$B:$B,BR$2&amp;$BI$1)</f>
        <v/>
      </c>
      <c r="BS115" s="142">
        <f>SUMIFS(領用表!$L:$L,領用表!$E:$E,$B115,領用表!$B:$B,BS$2&amp;$BI$1)</f>
        <v/>
      </c>
      <c r="BT115" s="142">
        <f>SUMIFS(領用表!$L:$L,領用表!$E:$E,$B115,領用表!$B:$B,BT$2&amp;$BI$1)</f>
        <v/>
      </c>
      <c r="BU115" s="142">
        <f>SUM(BI115,BJ115,BK115,BL115,BM115,BN115)</f>
        <v/>
      </c>
      <c r="BV115" s="142">
        <f>AVERAGE(BI115,BJ115,BK115,BL115,BM115,BN115)</f>
        <v/>
      </c>
      <c r="BW115" s="142">
        <f>SUMIF(Summary!B:B,B115,Summary!EA:EA)</f>
        <v/>
      </c>
      <c r="BX115" s="109" t="n"/>
      <c r="BY115" s="65" t="n"/>
      <c r="BZ115" s="65" t="n"/>
      <c r="CA115" s="65" t="n"/>
    </row>
    <row r="116" hidden="1" ht="14.25" customHeight="1" s="453">
      <c r="A116" s="27" t="inlineStr">
        <is>
          <t>TL1BK130005T</t>
        </is>
      </c>
      <c r="B116" s="14" t="e">
        <v>#N/A</v>
      </c>
      <c r="C116" s="136" t="inlineStr">
        <is>
          <t>試用-日出朝陽按摩油 200ml</t>
        </is>
      </c>
      <c r="D116" s="77" t="n"/>
      <c r="E116" s="17" t="inlineStr">
        <is>
          <t>PCS</t>
        </is>
      </c>
      <c r="F116" s="18" t="n"/>
      <c r="G116" s="70" t="n"/>
      <c r="AR116" s="19" t="n">
        <v>0</v>
      </c>
      <c r="AS116" s="64" t="n">
        <v>0</v>
      </c>
      <c r="AT116" s="64" t="n">
        <v>0</v>
      </c>
      <c r="AU116" s="19" t="n">
        <v>0</v>
      </c>
      <c r="AV116" s="19" t="n">
        <v>0</v>
      </c>
      <c r="AW116" s="19" t="n">
        <v>54</v>
      </c>
      <c r="AX116" s="19" t="n">
        <v>0</v>
      </c>
      <c r="AY116" s="19" t="n">
        <v>0</v>
      </c>
      <c r="AZ116" s="20">
        <f>SUMIFS(領用表!$L:$L,領用表!$E:$E,$B116,領用表!$B:$B,AZ$2&amp;$BI$1)</f>
        <v/>
      </c>
      <c r="BA116" s="20">
        <f>SUMIFS(領用表!$L:$L,領用表!$E:$E,$B116,領用表!$B:$B,BA$2&amp;$BI$1)</f>
        <v/>
      </c>
      <c r="BB116" s="20">
        <f>SUMIFS(領用表!$L:$L,領用表!$E:$E,$B116,領用表!$B:$B,BB$2&amp;$BI$1)</f>
        <v/>
      </c>
      <c r="BC116" s="20">
        <f>SUMIFS(領用表!$L:$L,領用表!$E:$E,$B116,領用表!$B:$B,BC$2&amp;$BI$1)</f>
        <v/>
      </c>
      <c r="BD116" s="142">
        <f>SUMIFS(領用表!$L:$L,領用表!$E:$E,$B116,領用表!$B:$B,BD$2&amp;$BI$1)</f>
        <v/>
      </c>
      <c r="BE116" s="142">
        <f>SUMIFS(領用表!$L:$L,領用表!$E:$E,$B116,領用表!$B:$B,BE$2&amp;$BI$1)</f>
        <v/>
      </c>
      <c r="BF116" s="142">
        <f>SUMIFS(領用表!$L:$L,領用表!$E:$E,$B116,領用表!$B:$B,BF$2&amp;$BI$1)</f>
        <v/>
      </c>
      <c r="BG116" s="23">
        <f>SUM(AU116,AV116,AW116,AX116,AY116,AZ116,BA116,BB116,BC116,BD116,BE116,BF116)</f>
        <v/>
      </c>
      <c r="BH116" s="23">
        <f>AVERAGE(AU116,AV116,AW116,AX116,AY116,AZ116,BA116,BB116,BC116,BD116,BE116,BF116)</f>
        <v/>
      </c>
      <c r="BI116" s="142">
        <f>SUMIFS(領用表!$L:$L,領用表!$E:$E,$B116,領用表!$B:$B,BI$2&amp;$BI$1)</f>
        <v/>
      </c>
      <c r="BJ116" s="405">
        <f>SUMIFS(領用表!$L:$L,領用表!$E:$E,$B116,領用表!$B:$B,BJ$2&amp;$BI$1)</f>
        <v/>
      </c>
      <c r="BK116" s="405">
        <f>SUMIFS(領用表!$L:$L,領用表!$E:$E,$B116,領用表!$B:$B,BK$2&amp;$BI$1)</f>
        <v/>
      </c>
      <c r="BL116" s="405">
        <f>SUMIFS(領用表!$L:$L,領用表!$E:$E,$B116,領用表!$B:$B,BL$2&amp;$BI$1)</f>
        <v/>
      </c>
      <c r="BM116" s="405">
        <f>SUMIFS(領用表!$L:$L,領用表!$E:$E,$B116,領用表!$B:$B,BM$2&amp;$BI$1)</f>
        <v/>
      </c>
      <c r="BN116" s="405">
        <f>SUMIFS(領用表!$L:$L,領用表!$E:$E,$B116,領用表!$B:$B,BN$2&amp;$BI$1)</f>
        <v/>
      </c>
      <c r="BO116" s="405">
        <f>SUMIFS(領用表!$L:$L,領用表!$E:$E,$B116,領用表!$B:$B,BO$2&amp;$BI$1)</f>
        <v/>
      </c>
      <c r="BP116" s="405">
        <f>SUMIFS(領用表!$L:$L,領用表!$E:$E,$B116,領用表!$B:$B,BP$2&amp;$BI$1)</f>
        <v/>
      </c>
      <c r="BQ116" s="405">
        <f>SUMIFS(領用表!$L:$L,領用表!$E:$E,$B116,領用表!$B:$B,BQ$2&amp;$BI$1)</f>
        <v/>
      </c>
      <c r="BR116" s="405">
        <f>SUMIFS(領用表!$L:$L,領用表!$E:$E,$B116,領用表!$B:$B,BR$2&amp;$BI$1)</f>
        <v/>
      </c>
      <c r="BS116" s="405">
        <f>SUMIFS(領用表!$L:$L,領用表!$E:$E,$B116,領用表!$B:$B,BS$2&amp;$BI$1)</f>
        <v/>
      </c>
      <c r="BT116" s="405">
        <f>SUMIFS(領用表!$L:$L,領用表!$E:$E,$B116,領用表!$B:$B,BT$2&amp;$BI$1)</f>
        <v/>
      </c>
      <c r="BU116" s="405">
        <f>SUM(BI116,BJ116,BK116,BL116,BM116,BN116)</f>
        <v/>
      </c>
      <c r="BV116" s="405">
        <f>AVERAGE(BI116,BJ116,BK116,BL116,BM116,BN116)</f>
        <v/>
      </c>
      <c r="BW116" s="405">
        <f>SUMIF(Summary!B:B,B116,Summary!EA:EA)</f>
        <v/>
      </c>
      <c r="BX116" s="111" t="n"/>
      <c r="BY116" s="80" t="n"/>
      <c r="BZ116" s="76" t="n"/>
      <c r="CA116" s="65" t="n"/>
    </row>
    <row r="117" ht="16.5" customHeight="1" s="453">
      <c r="A117" s="27" t="inlineStr">
        <is>
          <t>DL1BE070001T</t>
        </is>
      </c>
      <c r="B117" s="14" t="e">
        <v>#N/A</v>
      </c>
      <c r="C117" s="136" t="inlineStr">
        <is>
          <t>天使漫步腿部舒緩霜 250mL</t>
        </is>
      </c>
      <c r="D117" s="77" t="n"/>
      <c r="E117" s="17" t="inlineStr">
        <is>
          <t>PCS</t>
        </is>
      </c>
      <c r="F117" s="18" t="n"/>
      <c r="G117" s="70" t="n"/>
      <c r="AS117" s="64" t="inlineStr">
        <is>
          <t>-</t>
        </is>
      </c>
      <c r="AT117" s="64" t="inlineStr">
        <is>
          <t>-</t>
        </is>
      </c>
      <c r="AU117" s="64" t="inlineStr">
        <is>
          <t>-</t>
        </is>
      </c>
      <c r="AV117" s="64" t="inlineStr">
        <is>
          <t>-</t>
        </is>
      </c>
      <c r="AW117" s="64" t="inlineStr">
        <is>
          <t>-</t>
        </is>
      </c>
      <c r="AX117" s="64" t="inlineStr">
        <is>
          <t>-</t>
        </is>
      </c>
      <c r="AY117" s="56" t="n">
        <v>72</v>
      </c>
      <c r="AZ117" s="20">
        <f>SUMIFS(領用表!$L:$L,領用表!$E:$E,$B117,領用表!$B:$B,AZ$2&amp;$BI$1)</f>
        <v/>
      </c>
      <c r="BA117" s="20">
        <f>SUMIFS(領用表!$L:$L,領用表!$E:$E,$B117,領用表!$B:$B,BA$2&amp;$BI$1)</f>
        <v/>
      </c>
      <c r="BB117" s="20">
        <f>SUMIFS(領用表!$L:$L,領用表!$E:$E,$B117,領用表!$B:$B,BB$2&amp;$BI$1)</f>
        <v/>
      </c>
      <c r="BC117" s="20">
        <f>SUMIFS(領用表!$L:$L,領用表!$E:$E,$B117,領用表!$B:$B,BC$2&amp;$BI$1)</f>
        <v/>
      </c>
      <c r="BD117" s="142">
        <f>SUMIFS(領用表!$L:$L,領用表!$E:$E,$B117,領用表!$B:$B,BD$2&amp;$BI$1)</f>
        <v/>
      </c>
      <c r="BE117" s="142">
        <f>SUMIFS(領用表!$L:$L,領用表!$E:$E,$B117,領用表!$B:$B,BE$2&amp;$BI$1)</f>
        <v/>
      </c>
      <c r="BF117" s="142">
        <f>SUMIFS(領用表!$L:$L,領用表!$E:$E,$B117,領用表!$B:$B,BF$2&amp;$BI$1)</f>
        <v/>
      </c>
      <c r="BG117" s="23">
        <f>SUM(AU117,AV117,AW117,AX117,AY117,AZ117,BA117,BB117,BC117,BD117,BE117,BF117)</f>
        <v/>
      </c>
      <c r="BH117" s="23">
        <f>AVERAGE(AU117,AV117,AW117,AX117,AY117,AZ117,BA117,BB117,BC117,BD117,BE117,BF117)</f>
        <v/>
      </c>
      <c r="BI117" s="142">
        <f>SUMIFS(領用表!$L:$L,領用表!$E:$E,$B117,領用表!$B:$B,BI$2&amp;$BI$1)</f>
        <v/>
      </c>
      <c r="BJ117" s="405">
        <f>SUMIFS(領用表!$L:$L,領用表!$E:$E,$B117,領用表!$B:$B,BJ$2&amp;$BI$1)</f>
        <v/>
      </c>
      <c r="BK117" s="405">
        <f>SUMIFS(領用表!$L:$L,領用表!$E:$E,$B117,領用表!$B:$B,BK$2&amp;$BI$1)</f>
        <v/>
      </c>
      <c r="BL117" s="405">
        <f>SUMIFS(領用表!$L:$L,領用表!$E:$E,$B117,領用表!$B:$B,BL$2&amp;$BI$1)</f>
        <v/>
      </c>
      <c r="BM117" s="405">
        <f>SUMIFS(領用表!$L:$L,領用表!$E:$E,$B117,領用表!$B:$B,BM$2&amp;$BI$1)</f>
        <v/>
      </c>
      <c r="BN117" s="405">
        <f>SUMIFS(領用表!$L:$L,領用表!$E:$E,$B117,領用表!$B:$B,BN$2&amp;$BI$1)</f>
        <v/>
      </c>
      <c r="BO117" s="405">
        <f>SUMIFS(領用表!$L:$L,領用表!$E:$E,$B117,領用表!$B:$B,BO$2&amp;$BI$1)</f>
        <v/>
      </c>
      <c r="BP117" s="405">
        <f>SUMIFS(領用表!$L:$L,領用表!$E:$E,$B117,領用表!$B:$B,BP$2&amp;$BI$1)</f>
        <v/>
      </c>
      <c r="BQ117" s="405">
        <f>SUMIFS(領用表!$L:$L,領用表!$E:$E,$B117,領用表!$B:$B,BQ$2&amp;$BI$1)</f>
        <v/>
      </c>
      <c r="BR117" s="405">
        <f>SUMIFS(領用表!$L:$L,領用表!$E:$E,$B117,領用表!$B:$B,BR$2&amp;$BI$1)</f>
        <v/>
      </c>
      <c r="BS117" s="405">
        <f>SUMIFS(領用表!$L:$L,領用表!$E:$E,$B117,領用表!$B:$B,BS$2&amp;$BI$1)</f>
        <v/>
      </c>
      <c r="BT117" s="405">
        <f>SUMIFS(領用表!$L:$L,領用表!$E:$E,$B117,領用表!$B:$B,BT$2&amp;$BI$1)</f>
        <v/>
      </c>
      <c r="BU117" s="405">
        <f>SUM(BI117,BJ117,BK117,BL117,BM117,BN117)</f>
        <v/>
      </c>
      <c r="BV117" s="405">
        <f>AVERAGE(BI117,BJ117,BK117,BL117,BM117,BN117)</f>
        <v/>
      </c>
      <c r="BW117" s="405">
        <f>SUMIF(Summary!B:B,B117,Summary!EA:EA)</f>
        <v/>
      </c>
      <c r="BY117" s="80" t="n"/>
      <c r="BZ117" s="65" t="n"/>
      <c r="CA117" s="65" t="n"/>
    </row>
    <row r="118" hidden="1" ht="16.5" customHeight="1" s="453">
      <c r="A118" s="27" t="inlineStr">
        <is>
          <t>DL1GA000071T</t>
        </is>
      </c>
      <c r="B118" s="14" t="e">
        <v>#N/A</v>
      </c>
      <c r="C118" s="136" t="inlineStr">
        <is>
          <t>新纖有酵蔬果酵素飲50ml(15入)停產</t>
        </is>
      </c>
      <c r="D118" s="77" t="n"/>
      <c r="E118" s="17" t="inlineStr">
        <is>
          <t>PCS</t>
        </is>
      </c>
      <c r="F118" s="18" t="n"/>
      <c r="G118" s="70" t="n"/>
      <c r="AG118" s="82" t="n"/>
      <c r="AH118" s="82" t="n"/>
      <c r="AI118" s="82" t="n"/>
      <c r="AJ118" s="82" t="n"/>
      <c r="AK118" s="82" t="n"/>
      <c r="AL118" s="82" t="n"/>
      <c r="AM118" s="82" t="n"/>
      <c r="AN118" s="19" t="n">
        <v>0</v>
      </c>
      <c r="AO118" s="19">
        <f>171/15</f>
        <v/>
      </c>
      <c r="AP118" s="19" t="n">
        <v>0</v>
      </c>
      <c r="AQ118" s="19" t="n">
        <v>45</v>
      </c>
      <c r="AR118" s="19" t="n">
        <v>108</v>
      </c>
      <c r="AS118" s="68">
        <f>SUM(AG118:AR118)</f>
        <v/>
      </c>
      <c r="AT118" s="26">
        <f>AS118/12</f>
        <v/>
      </c>
      <c r="AU118" s="19" t="n">
        <v>45</v>
      </c>
      <c r="AV118" s="19" t="n">
        <v>36</v>
      </c>
      <c r="AW118" s="19" t="n">
        <v>0</v>
      </c>
      <c r="AX118" s="19" t="inlineStr">
        <is>
          <t>-</t>
        </is>
      </c>
      <c r="AY118" s="19" t="n"/>
      <c r="AZ118" s="20">
        <f>SUMIFS(領用表!$L:$L,領用表!$E:$E,$B118,領用表!$B:$B,AZ$2&amp;$BI$1)</f>
        <v/>
      </c>
      <c r="BA118" s="20">
        <f>SUMIFS(領用表!$L:$L,領用表!$E:$E,$B118,領用表!$B:$B,BA$2&amp;$BI$1)</f>
        <v/>
      </c>
      <c r="BB118" s="20">
        <f>SUMIFS(領用表!$L:$L,領用表!$E:$E,$B118,領用表!$B:$B,BB$2&amp;$BI$1)</f>
        <v/>
      </c>
      <c r="BC118" s="20">
        <f>SUMIFS(領用表!$L:$L,領用表!$E:$E,$B118,領用表!$B:$B,BC$2&amp;$BI$1)</f>
        <v/>
      </c>
      <c r="BD118" s="142">
        <f>SUMIFS(領用表!$L:$L,領用表!$E:$E,$B118,領用表!$B:$B,BD$2&amp;$BI$1)</f>
        <v/>
      </c>
      <c r="BE118" s="142">
        <f>SUMIFS(領用表!$L:$L,領用表!$E:$E,$B118,領用表!$B:$B,BE$2&amp;$BI$1)</f>
        <v/>
      </c>
      <c r="BF118" s="142">
        <f>SUMIFS(領用表!$L:$L,領用表!$E:$E,$B118,領用表!$B:$B,BF$2&amp;$BI$1)</f>
        <v/>
      </c>
      <c r="BG118" s="23">
        <f>SUM(AU118,AV118,AW118,AX118,AY118,AZ118,BA118,BB118,BC118,BD118,BE118,BF118)</f>
        <v/>
      </c>
      <c r="BH118" s="23">
        <f>AVERAGE(AU118,AV118,AW118,AX118,AY118,AZ118,BA118,BB118,BC118,BD118,BE118,BF118)</f>
        <v/>
      </c>
      <c r="BI118" s="142">
        <f>SUMIFS(領用表!$L:$L,領用表!$E:$E,$B118,領用表!$B:$B,BI$2&amp;$BI$1)</f>
        <v/>
      </c>
      <c r="BJ118" s="142">
        <f>SUMIFS(領用表!$L:$L,領用表!$E:$E,$B118,領用表!$B:$B,BJ$2&amp;$BI$1)</f>
        <v/>
      </c>
      <c r="BK118" s="142">
        <f>SUMIFS(領用表!$L:$L,領用表!$E:$E,$B118,領用表!$B:$B,BK$2&amp;$BI$1)</f>
        <v/>
      </c>
      <c r="BL118" s="142">
        <f>SUMIFS(領用表!$L:$L,領用表!$E:$E,$B118,領用表!$B:$B,BL$2&amp;$BI$1)</f>
        <v/>
      </c>
      <c r="BM118" s="142">
        <f>SUMIFS(領用表!$L:$L,領用表!$E:$E,$B118,領用表!$B:$B,BM$2&amp;$BI$1)</f>
        <v/>
      </c>
      <c r="BN118" s="142">
        <f>SUMIFS(領用表!$L:$L,領用表!$E:$E,$B118,領用表!$B:$B,BN$2&amp;$BI$1)</f>
        <v/>
      </c>
      <c r="BO118" s="142">
        <f>SUMIFS(領用表!$L:$L,領用表!$E:$E,$B118,領用表!$B:$B,BO$2&amp;$BI$1)</f>
        <v/>
      </c>
      <c r="BP118" s="142">
        <f>SUMIFS(領用表!$L:$L,領用表!$E:$E,$B118,領用表!$B:$B,BP$2&amp;$BI$1)</f>
        <v/>
      </c>
      <c r="BQ118" s="142">
        <f>SUMIFS(領用表!$L:$L,領用表!$E:$E,$B118,領用表!$B:$B,BQ$2&amp;$BI$1)</f>
        <v/>
      </c>
      <c r="BR118" s="142">
        <f>SUMIFS(領用表!$L:$L,領用表!$E:$E,$B118,領用表!$B:$B,BR$2&amp;$BI$1)</f>
        <v/>
      </c>
      <c r="BS118" s="142">
        <f>SUMIFS(領用表!$L:$L,領用表!$E:$E,$B118,領用表!$B:$B,BS$2&amp;$BI$1)</f>
        <v/>
      </c>
      <c r="BT118" s="142">
        <f>SUMIFS(領用表!$L:$L,領用表!$E:$E,$B118,領用表!$B:$B,BT$2&amp;$BI$1)</f>
        <v/>
      </c>
      <c r="BU118" s="142">
        <f>SUM(BI118,BJ118,BK118,BL118,BM118,BN118)</f>
        <v/>
      </c>
      <c r="BV118" s="142">
        <f>AVERAGE(BI118,BJ118,BK118,BL118,BM118,BN118)</f>
        <v/>
      </c>
      <c r="BW118" s="142">
        <f>SUMIF(Summary!B:B,B118,Summary!EA:EA)</f>
        <v/>
      </c>
      <c r="BX118" s="109" t="n"/>
      <c r="BY118" s="80" t="n"/>
      <c r="BZ118" s="65" t="n"/>
      <c r="CA118" s="65" t="n"/>
    </row>
    <row r="119" hidden="1" ht="16.5" customHeight="1" s="453">
      <c r="A119" s="27" t="inlineStr">
        <is>
          <t>DL1GA000066T</t>
        </is>
      </c>
      <c r="B119" s="14" t="e">
        <v>#N/A</v>
      </c>
      <c r="C119" s="136" t="inlineStr">
        <is>
          <t>青春機密膠原飲 60ml(10入)停產</t>
        </is>
      </c>
      <c r="D119" s="77" t="n"/>
      <c r="E119" s="17" t="inlineStr">
        <is>
          <t>PCS</t>
        </is>
      </c>
      <c r="F119" s="18" t="n"/>
      <c r="G119" s="70" t="n"/>
      <c r="AG119" s="82" t="n"/>
      <c r="AH119" s="82" t="n"/>
      <c r="AI119" s="82" t="n"/>
      <c r="AJ119" s="82" t="n"/>
      <c r="AK119" s="82" t="n"/>
      <c r="AL119" s="82" t="n"/>
      <c r="AM119" s="82" t="n"/>
      <c r="AN119" s="19" t="n">
        <v>0</v>
      </c>
      <c r="AO119" s="19" t="n">
        <v>0</v>
      </c>
      <c r="AP119" s="19" t="n">
        <v>0</v>
      </c>
      <c r="AQ119" s="19" t="n">
        <v>6</v>
      </c>
      <c r="AR119" s="19" t="n">
        <v>0</v>
      </c>
      <c r="AS119" s="68">
        <f>SUM(AG119:AR119)</f>
        <v/>
      </c>
      <c r="AT119" s="26">
        <f>AS119/12</f>
        <v/>
      </c>
      <c r="AU119" s="19" t="n">
        <v>19</v>
      </c>
      <c r="AV119" s="19" t="n">
        <v>0</v>
      </c>
      <c r="AW119" s="19" t="n">
        <v>0</v>
      </c>
      <c r="AX119" s="19" t="inlineStr">
        <is>
          <t>-</t>
        </is>
      </c>
      <c r="AY119" s="19" t="n"/>
      <c r="AZ119" s="20">
        <f>SUMIFS(領用表!$L:$L,領用表!$E:$E,$B119,領用表!$B:$B,AZ$2&amp;$BI$1)</f>
        <v/>
      </c>
      <c r="BA119" s="20">
        <f>SUMIFS(領用表!$L:$L,領用表!$E:$E,$B119,領用表!$B:$B,BA$2&amp;$BI$1)</f>
        <v/>
      </c>
      <c r="BB119" s="20">
        <f>SUMIFS(領用表!$L:$L,領用表!$E:$E,$B119,領用表!$B:$B,BB$2&amp;$BI$1)</f>
        <v/>
      </c>
      <c r="BC119" s="20">
        <f>SUMIFS(領用表!$L:$L,領用表!$E:$E,$B119,領用表!$B:$B,BC$2&amp;$BI$1)</f>
        <v/>
      </c>
      <c r="BD119" s="142">
        <f>SUMIFS(領用表!$L:$L,領用表!$E:$E,$B119,領用表!$B:$B,BD$2&amp;$BI$1)</f>
        <v/>
      </c>
      <c r="BE119" s="142">
        <f>SUMIFS(領用表!$L:$L,領用表!$E:$E,$B119,領用表!$B:$B,BE$2&amp;$BI$1)</f>
        <v/>
      </c>
      <c r="BF119" s="142">
        <f>SUMIFS(領用表!$L:$L,領用表!$E:$E,$B119,領用表!$B:$B,BF$2&amp;$BI$1)</f>
        <v/>
      </c>
      <c r="BG119" s="23">
        <f>SUM(AU119,AV119,AW119,AX119,AY119,AZ119,BA119,BB119,BC119,BD119,BE119,BF119)</f>
        <v/>
      </c>
      <c r="BH119" s="23">
        <f>AVERAGE(AU119,AV119,AW119,AX119,AY119,AZ119,BA119,BB119,BC119,BD119,BE119,BF119)</f>
        <v/>
      </c>
      <c r="BI119" s="142">
        <f>SUMIFS(領用表!$L:$L,領用表!$E:$E,$B119,領用表!$B:$B,BI$2&amp;$BI$1)</f>
        <v/>
      </c>
      <c r="BJ119" s="142">
        <f>SUMIFS(領用表!$L:$L,領用表!$E:$E,$B119,領用表!$B:$B,BJ$2&amp;$BI$1)</f>
        <v/>
      </c>
      <c r="BK119" s="142">
        <f>SUMIFS(領用表!$L:$L,領用表!$E:$E,$B119,領用表!$B:$B,BK$2&amp;$BI$1)</f>
        <v/>
      </c>
      <c r="BL119" s="142">
        <f>SUMIFS(領用表!$L:$L,領用表!$E:$E,$B119,領用表!$B:$B,BL$2&amp;$BI$1)</f>
        <v/>
      </c>
      <c r="BM119" s="142">
        <f>SUMIFS(領用表!$L:$L,領用表!$E:$E,$B119,領用表!$B:$B,BM$2&amp;$BI$1)</f>
        <v/>
      </c>
      <c r="BN119" s="142">
        <f>SUMIFS(領用表!$L:$L,領用表!$E:$E,$B119,領用表!$B:$B,BN$2&amp;$BI$1)</f>
        <v/>
      </c>
      <c r="BO119" s="142">
        <f>SUMIFS(領用表!$L:$L,領用表!$E:$E,$B119,領用表!$B:$B,BO$2&amp;$BI$1)</f>
        <v/>
      </c>
      <c r="BP119" s="142">
        <f>SUMIFS(領用表!$L:$L,領用表!$E:$E,$B119,領用表!$B:$B,BP$2&amp;$BI$1)</f>
        <v/>
      </c>
      <c r="BQ119" s="142">
        <f>SUMIFS(領用表!$L:$L,領用表!$E:$E,$B119,領用表!$B:$B,BQ$2&amp;$BI$1)</f>
        <v/>
      </c>
      <c r="BR119" s="142">
        <f>SUMIFS(領用表!$L:$L,領用表!$E:$E,$B119,領用表!$B:$B,BR$2&amp;$BI$1)</f>
        <v/>
      </c>
      <c r="BS119" s="142">
        <f>SUMIFS(領用表!$L:$L,領用表!$E:$E,$B119,領用表!$B:$B,BS$2&amp;$BI$1)</f>
        <v/>
      </c>
      <c r="BT119" s="142">
        <f>SUMIFS(領用表!$L:$L,領用表!$E:$E,$B119,領用表!$B:$B,BT$2&amp;$BI$1)</f>
        <v/>
      </c>
      <c r="BU119" s="142">
        <f>SUM(BI119,BJ119,BK119,BL119,BM119,BN119)</f>
        <v/>
      </c>
      <c r="BV119" s="142">
        <f>AVERAGE(BI119,BJ119,BK119,BL119,BM119,BN119)</f>
        <v/>
      </c>
      <c r="BW119" s="142">
        <f>SUMIF(Summary!B:B,B119,Summary!EA:EA)</f>
        <v/>
      </c>
      <c r="BX119" s="109" t="n"/>
      <c r="BY119" s="80" t="n"/>
      <c r="BZ119" s="65" t="n"/>
      <c r="CA119" s="65" t="n"/>
    </row>
    <row r="120" hidden="1" ht="16.5" customHeight="1" s="453">
      <c r="A120" s="27" t="inlineStr">
        <is>
          <t>DL1GD0100001T</t>
        </is>
      </c>
      <c r="B120" s="14" t="e">
        <v>#N/A</v>
      </c>
      <c r="C120" s="136" t="inlineStr">
        <is>
          <t>甜睡美膠原6g(30入)(繁體版) 24盒/箱</t>
        </is>
      </c>
      <c r="D120" s="77" t="n"/>
      <c r="E120" s="17" t="inlineStr">
        <is>
          <t>PCS</t>
        </is>
      </c>
      <c r="F120" s="18" t="n"/>
      <c r="G120" s="70" t="n"/>
      <c r="AR120" s="19" t="n">
        <v>0</v>
      </c>
      <c r="AS120" s="64" t="n">
        <v>0</v>
      </c>
      <c r="AT120" s="64" t="n">
        <v>0</v>
      </c>
      <c r="AU120" s="19" t="n">
        <v>240</v>
      </c>
      <c r="AV120" s="19" t="n">
        <v>192</v>
      </c>
      <c r="AW120" s="19" t="n">
        <v>48</v>
      </c>
      <c r="AX120" s="19" t="inlineStr">
        <is>
          <t>-</t>
        </is>
      </c>
      <c r="AY120" s="19" t="n"/>
      <c r="AZ120" s="20">
        <f>SUMIFS(領用表!$L:$L,領用表!$E:$E,$B120,領用表!$B:$B,AZ$2&amp;$BI$1)</f>
        <v/>
      </c>
      <c r="BA120" s="20">
        <f>SUMIFS(領用表!$L:$L,領用表!$E:$E,$B120,領用表!$B:$B,BA$2&amp;$BI$1)</f>
        <v/>
      </c>
      <c r="BB120" s="20">
        <f>SUMIFS(領用表!$L:$L,領用表!$E:$E,$B120,領用表!$B:$B,BB$2&amp;$BI$1)</f>
        <v/>
      </c>
      <c r="BC120" s="20">
        <f>SUMIFS(領用表!$L:$L,領用表!$E:$E,$B120,領用表!$B:$B,BC$2&amp;$BI$1)</f>
        <v/>
      </c>
      <c r="BD120" s="142">
        <f>SUMIFS(領用表!$L:$L,領用表!$E:$E,$B120,領用表!$B:$B,BD$2&amp;$BI$1)</f>
        <v/>
      </c>
      <c r="BE120" s="142">
        <f>SUMIFS(領用表!$L:$L,領用表!$E:$E,$B120,領用表!$B:$B,BE$2&amp;$BI$1)</f>
        <v/>
      </c>
      <c r="BF120" s="142">
        <f>SUMIFS(領用表!$L:$L,領用表!$E:$E,$B120,領用表!$B:$B,BF$2&amp;$BI$1)</f>
        <v/>
      </c>
      <c r="BG120" s="23">
        <f>SUM(AU120,AV120,AW120,AX120,AY120,AZ120,BA120,BB120,BC120,BD120,BE120,BF120)</f>
        <v/>
      </c>
      <c r="BH120" s="23">
        <f>AVERAGE(AU120,AV120,AW120,AX120,AY120,AZ120,BA120,BB120,BC120,BD120,BE120,BF120)</f>
        <v/>
      </c>
      <c r="BI120" s="142">
        <f>SUMIFS(領用表!$L:$L,領用表!$E:$E,$B120,領用表!$B:$B,BI$2&amp;$BI$1)</f>
        <v/>
      </c>
      <c r="BJ120" s="142">
        <f>SUMIFS(領用表!$L:$L,領用表!$E:$E,$B120,領用表!$B:$B,BJ$2&amp;$BI$1)</f>
        <v/>
      </c>
      <c r="BK120" s="142">
        <f>SUMIFS(領用表!$L:$L,領用表!$E:$E,$B120,領用表!$B:$B,BK$2&amp;$BI$1)</f>
        <v/>
      </c>
      <c r="BL120" s="142">
        <f>SUMIFS(領用表!$L:$L,領用表!$E:$E,$B120,領用表!$B:$B,BL$2&amp;$BI$1)</f>
        <v/>
      </c>
      <c r="BM120" s="142">
        <f>SUMIFS(領用表!$L:$L,領用表!$E:$E,$B120,領用表!$B:$B,BM$2&amp;$BI$1)</f>
        <v/>
      </c>
      <c r="BN120" s="142">
        <f>SUMIFS(領用表!$L:$L,領用表!$E:$E,$B120,領用表!$B:$B,BN$2&amp;$BI$1)</f>
        <v/>
      </c>
      <c r="BO120" s="142">
        <f>SUMIFS(領用表!$L:$L,領用表!$E:$E,$B120,領用表!$B:$B,BO$2&amp;$BI$1)</f>
        <v/>
      </c>
      <c r="BP120" s="142">
        <f>SUMIFS(領用表!$L:$L,領用表!$E:$E,$B120,領用表!$B:$B,BP$2&amp;$BI$1)</f>
        <v/>
      </c>
      <c r="BQ120" s="142">
        <f>SUMIFS(領用表!$L:$L,領用表!$E:$E,$B120,領用表!$B:$B,BQ$2&amp;$BI$1)</f>
        <v/>
      </c>
      <c r="BR120" s="142">
        <f>SUMIFS(領用表!$L:$L,領用表!$E:$E,$B120,領用表!$B:$B,BR$2&amp;$BI$1)</f>
        <v/>
      </c>
      <c r="BS120" s="142">
        <f>SUMIFS(領用表!$L:$L,領用表!$E:$E,$B120,領用表!$B:$B,BS$2&amp;$BI$1)</f>
        <v/>
      </c>
      <c r="BT120" s="142">
        <f>SUMIFS(領用表!$L:$L,領用表!$E:$E,$B120,領用表!$B:$B,BT$2&amp;$BI$1)</f>
        <v/>
      </c>
      <c r="BU120" s="142">
        <f>SUM(BI120,BJ120,BK120,BL120,BM120,BN120)</f>
        <v/>
      </c>
      <c r="BV120" s="142">
        <f>AVERAGE(BI120,BJ120,BK120,BL120,BM120,BN120)</f>
        <v/>
      </c>
      <c r="BW120" s="142">
        <f>SUMIF(Summary!B:B,B120,Summary!EA:EA)</f>
        <v/>
      </c>
      <c r="BX120" s="109" t="n"/>
      <c r="BY120" s="80" t="n"/>
      <c r="BZ120" s="65" t="n"/>
      <c r="CA120" s="65" t="n"/>
    </row>
    <row r="121" ht="16.5" customHeight="1" s="453">
      <c r="A121" s="27" t="inlineStr">
        <is>
          <t>DE1AB050005T</t>
        </is>
      </c>
      <c r="B121" s="14" t="e">
        <v>#N/A</v>
      </c>
      <c r="C121" s="136" t="inlineStr">
        <is>
          <t>防護肌密眼部修護精華</t>
        </is>
      </c>
      <c r="D121" s="77" t="n"/>
      <c r="E121" s="17" t="inlineStr">
        <is>
          <t>PCS</t>
        </is>
      </c>
      <c r="F121" s="18" t="n"/>
      <c r="G121" s="70" t="n"/>
      <c r="AS121" s="64" t="inlineStr">
        <is>
          <t>-</t>
        </is>
      </c>
      <c r="AT121" s="64" t="inlineStr">
        <is>
          <t>-</t>
        </is>
      </c>
      <c r="AU121" s="64" t="inlineStr">
        <is>
          <t>-</t>
        </is>
      </c>
      <c r="AV121" s="64" t="inlineStr">
        <is>
          <t>-</t>
        </is>
      </c>
      <c r="AW121" s="64" t="inlineStr">
        <is>
          <t>-</t>
        </is>
      </c>
      <c r="AX121" s="64" t="inlineStr">
        <is>
          <t>-</t>
        </is>
      </c>
      <c r="AZ121" s="20">
        <f>SUMIFS(領用表!$L:$L,領用表!$E:$E,$B121,領用表!$B:$B,AZ$2&amp;$BI$1)</f>
        <v/>
      </c>
      <c r="BA121" s="20">
        <f>SUMIFS(領用表!$L:$L,領用表!$E:$E,$B121,領用表!$B:$B,BA$2&amp;$BI$1)</f>
        <v/>
      </c>
      <c r="BB121" s="20">
        <f>SUMIFS(領用表!$L:$L,領用表!$E:$E,$B121,領用表!$B:$B,BB$2&amp;$BI$1)</f>
        <v/>
      </c>
      <c r="BC121" s="20">
        <f>SUMIFS(領用表!$L:$L,領用表!$E:$E,$B121,領用表!$B:$B,BC$2&amp;$BI$1)</f>
        <v/>
      </c>
      <c r="BD121" s="142">
        <f>SUMIFS(領用表!$L:$L,領用表!$E:$E,$B121,領用表!$B:$B,BD$2&amp;$BI$1)</f>
        <v/>
      </c>
      <c r="BE121" s="142">
        <f>SUMIFS(領用表!$L:$L,領用表!$E:$E,$B121,領用表!$B:$B,BE$2&amp;$BI$1)</f>
        <v/>
      </c>
      <c r="BF121" s="142">
        <f>SUMIFS(領用表!$L:$L,領用表!$E:$E,$B121,領用表!$B:$B,BF$2&amp;$BI$1)</f>
        <v/>
      </c>
      <c r="BG121" s="23">
        <f>SUM(AU121,AV121,AW121,AX121,AY121,AZ121,BA121,BB121,BC121,BD121,BE121,BF121)</f>
        <v/>
      </c>
      <c r="BH121" s="23">
        <f>AVERAGE(AU121,AV121,AW121,AX121,AY121,AZ121,BA121,BB121,BC121,BD121,BE121,BF121)</f>
        <v/>
      </c>
      <c r="BI121" s="142">
        <f>SUMIFS(領用表!$L:$L,領用表!$E:$E,$B121,領用表!$B:$B,BI$2&amp;$BI$1)</f>
        <v/>
      </c>
      <c r="BJ121" s="405">
        <f>SUMIFS(領用表!$L:$L,領用表!$E:$E,$B121,領用表!$B:$B,BJ$2&amp;$BI$1)</f>
        <v/>
      </c>
      <c r="BK121" s="405">
        <f>SUMIFS(領用表!$L:$L,領用表!$E:$E,$B121,領用表!$B:$B,BK$2&amp;$BI$1)</f>
        <v/>
      </c>
      <c r="BL121" s="405">
        <f>SUMIFS(領用表!$L:$L,領用表!$E:$E,$B121,領用表!$B:$B,BL$2&amp;$BI$1)</f>
        <v/>
      </c>
      <c r="BM121" s="405">
        <f>SUMIFS(領用表!$L:$L,領用表!$E:$E,$B121,領用表!$B:$B,BM$2&amp;$BI$1)</f>
        <v/>
      </c>
      <c r="BN121" s="405">
        <f>SUMIFS(領用表!$L:$L,領用表!$E:$E,$B121,領用表!$B:$B,BN$2&amp;$BI$1)</f>
        <v/>
      </c>
      <c r="BO121" s="405">
        <f>SUMIFS(領用表!$L:$L,領用表!$E:$E,$B121,領用表!$B:$B,BO$2&amp;$BI$1)</f>
        <v/>
      </c>
      <c r="BP121" s="405">
        <f>SUMIFS(領用表!$L:$L,領用表!$E:$E,$B121,領用表!$B:$B,BP$2&amp;$BI$1)</f>
        <v/>
      </c>
      <c r="BQ121" s="405">
        <f>SUMIFS(領用表!$L:$L,領用表!$E:$E,$B121,領用表!$B:$B,BQ$2&amp;$BI$1)</f>
        <v/>
      </c>
      <c r="BR121" s="405">
        <f>SUMIFS(領用表!$L:$L,領用表!$E:$E,$B121,領用表!$B:$B,BR$2&amp;$BI$1)</f>
        <v/>
      </c>
      <c r="BS121" s="405">
        <f>SUMIFS(領用表!$L:$L,領用表!$E:$E,$B121,領用表!$B:$B,BS$2&amp;$BI$1)</f>
        <v/>
      </c>
      <c r="BT121" s="405">
        <f>SUMIFS(領用表!$L:$L,領用表!$E:$E,$B121,領用表!$B:$B,BT$2&amp;$BI$1)</f>
        <v/>
      </c>
      <c r="BU121" s="405">
        <f>SUM(BI121,BJ121,BK121,BL121,BM121,BN121)</f>
        <v/>
      </c>
      <c r="BV121" s="405">
        <f>AVERAGE(BI121,BJ121,BK121,BL121,BM121,BN121)</f>
        <v/>
      </c>
      <c r="BW121" s="405">
        <f>SUMIF(Summary!B:B,B121,Summary!EA:EA)</f>
        <v/>
      </c>
      <c r="BY121" s="80" t="n"/>
      <c r="BZ121" s="65" t="n"/>
      <c r="CA121" s="65" t="n"/>
    </row>
    <row r="122" ht="16.5" customHeight="1" s="453">
      <c r="A122" s="27" t="inlineStr">
        <is>
          <t>D99GA010001T</t>
        </is>
      </c>
      <c r="B122" s="14" t="e">
        <v>#N/A</v>
      </c>
      <c r="C122" s="136" t="inlineStr">
        <is>
          <t>新纖有酵蔬果酵素飲50ml(15入)(繁體版)/盒</t>
        </is>
      </c>
      <c r="D122" s="77" t="n"/>
      <c r="E122" s="17" t="inlineStr">
        <is>
          <t>PCS</t>
        </is>
      </c>
      <c r="F122" s="18" t="n">
        <v>64</v>
      </c>
      <c r="G122" s="70" t="n"/>
      <c r="AZ122" s="20">
        <f>SUMIFS(領用表!$L:$L,領用表!$E:$E,$B122,領用表!$B:$B,AZ$2&amp;$BI$1)</f>
        <v/>
      </c>
      <c r="BA122" s="20">
        <f>SUMIFS(領用表!$L:$L,領用表!$E:$E,$B122,領用表!$B:$B,BA$2&amp;$BI$1)</f>
        <v/>
      </c>
      <c r="BB122" s="20">
        <f>SUMIFS(領用表!$L:$L,領用表!$E:$E,$B122,領用表!$B:$B,BB$2&amp;$BI$1)</f>
        <v/>
      </c>
      <c r="BC122" s="20">
        <f>SUMIFS(領用表!$L:$L,領用表!$E:$E,$B122,領用表!$B:$B,BC$2&amp;$BI$1)</f>
        <v/>
      </c>
      <c r="BD122" s="142">
        <f>SUMIFS(領用表!$L:$L,領用表!$E:$E,$B122,領用表!$B:$B,BD$2&amp;$BI$1)</f>
        <v/>
      </c>
      <c r="BE122" s="142">
        <f>SUMIFS(領用表!$L:$L,領用表!$E:$E,$B122,領用表!$B:$B,BE$2&amp;$BI$1)</f>
        <v/>
      </c>
      <c r="BF122" s="142">
        <f>SUMIFS(領用表!$L:$L,領用表!$E:$E,$B122,領用表!$B:$B,BF$2&amp;$BI$1)</f>
        <v/>
      </c>
      <c r="BG122" s="23">
        <f>SUM(AU122,AV122,AW122,AX122,AY122,AZ122,BA122,BB122,BC122,BD122,BE122,BF122)</f>
        <v/>
      </c>
      <c r="BH122" s="23">
        <f>AVERAGE(AU122,AV122,AW122,AX122,AY122,AZ122,BA122,BB122,BC122,BD122,BE122,BF122)</f>
        <v/>
      </c>
      <c r="BI122" s="142">
        <f>SUMIFS(領用表!$L:$L,領用表!$E:$E,$B122,領用表!$B:$B,BI$2&amp;$BI$1)</f>
        <v/>
      </c>
      <c r="BJ122" s="405">
        <f>SUMIFS(領用表!$L:$L,領用表!$E:$E,$B122,領用表!$B:$B,BJ$2&amp;$BI$1)</f>
        <v/>
      </c>
      <c r="BK122" s="405">
        <f>SUMIFS(領用表!$L:$L,領用表!$E:$E,$B122,領用表!$B:$B,BK$2&amp;$BI$1)</f>
        <v/>
      </c>
      <c r="BL122" s="405">
        <f>SUMIFS(領用表!$L:$L,領用表!$E:$E,$B122,領用表!$B:$B,BL$2&amp;$BI$1)</f>
        <v/>
      </c>
      <c r="BM122" s="405">
        <f>SUMIFS(領用表!$L:$L,領用表!$E:$E,$B122,領用表!$B:$B,BM$2&amp;$BI$1)</f>
        <v/>
      </c>
      <c r="BN122" s="405">
        <f>SUMIFS(領用表!$L:$L,領用表!$E:$E,$B122,領用表!$B:$B,BN$2&amp;$BI$1)</f>
        <v/>
      </c>
      <c r="BO122" s="405">
        <f>SUMIFS(領用表!$L:$L,領用表!$E:$E,$B122,領用表!$B:$B,BO$2&amp;$BI$1)</f>
        <v/>
      </c>
      <c r="BP122" s="405">
        <f>SUMIFS(領用表!$L:$L,領用表!$E:$E,$B122,領用表!$B:$B,BP$2&amp;$BI$1)</f>
        <v/>
      </c>
      <c r="BQ122" s="405">
        <f>SUMIFS(領用表!$L:$L,領用表!$E:$E,$B122,領用表!$B:$B,BQ$2&amp;$BI$1)</f>
        <v/>
      </c>
      <c r="BR122" s="405">
        <f>SUMIFS(領用表!$L:$L,領用表!$E:$E,$B122,領用表!$B:$B,BR$2&amp;$BI$1)</f>
        <v/>
      </c>
      <c r="BS122" s="405">
        <f>SUMIFS(領用表!$L:$L,領用表!$E:$E,$B122,領用表!$B:$B,BS$2&amp;$BI$1)</f>
        <v/>
      </c>
      <c r="BT122" s="405">
        <f>SUMIFS(領用表!$L:$L,領用表!$E:$E,$B122,領用表!$B:$B,BT$2&amp;$BI$1)</f>
        <v/>
      </c>
      <c r="BU122" s="405">
        <f>SUM(BI122,BJ122,BK122,BL122,BM122,BN122)</f>
        <v/>
      </c>
      <c r="BV122" s="405">
        <f>AVERAGE(BI122,BJ122,BK122,BL122,BM122,BN122)</f>
        <v/>
      </c>
      <c r="BW122" s="405">
        <f>SUMIF(Summary!B:B,B122,Summary!EA:EA)</f>
        <v/>
      </c>
      <c r="BY122" s="80" t="n"/>
      <c r="BZ122" s="76" t="n"/>
      <c r="CA122" s="76" t="inlineStr">
        <is>
          <t>20(10/22)</t>
        </is>
      </c>
    </row>
    <row r="123" ht="16.5" customHeight="1" s="453">
      <c r="A123" s="27" t="inlineStr">
        <is>
          <t>DL1GD010001T</t>
        </is>
      </c>
      <c r="B123" s="14" t="n">
        <v>6100003</v>
      </c>
      <c r="C123" s="136" t="inlineStr">
        <is>
          <t>暢護菌益康粉包 3g(30入)(繁體版)</t>
        </is>
      </c>
      <c r="D123" s="77" t="n"/>
      <c r="E123" s="17" t="inlineStr">
        <is>
          <t>PCS</t>
        </is>
      </c>
      <c r="F123" s="18" t="n">
        <v>0</v>
      </c>
      <c r="G123" s="70" t="n"/>
      <c r="AZ123" s="20">
        <f>SUMIFS(領用表!$L:$L,領用表!$E:$E,$B123,領用表!$B:$B,AZ$2&amp;$BI$1)</f>
        <v/>
      </c>
      <c r="BA123" s="20">
        <f>SUMIFS(領用表!$L:$L,領用表!$E:$E,$B123,領用表!$B:$B,BA$2&amp;$BI$1)</f>
        <v/>
      </c>
      <c r="BB123" s="20">
        <f>SUMIFS(領用表!$L:$L,領用表!$E:$E,$B123,領用表!$B:$B,BB$2&amp;$BI$1)</f>
        <v/>
      </c>
      <c r="BC123" s="20">
        <f>SUMIFS(領用表!$L:$L,領用表!$E:$E,$B123,領用表!$B:$B,BC$2&amp;$BI$1)</f>
        <v/>
      </c>
      <c r="BD123" s="142">
        <f>SUMIFS(領用表!$L:$L,領用表!$E:$E,$B123,領用表!$B:$B,BD$2&amp;$BI$1)</f>
        <v/>
      </c>
      <c r="BE123" s="142">
        <f>SUMIFS(領用表!$L:$L,領用表!$E:$E,$B123,領用表!$B:$B,BE$2&amp;$BI$1)</f>
        <v/>
      </c>
      <c r="BF123" s="142">
        <f>SUMIFS(領用表!$L:$L,領用表!$E:$E,$B123,領用表!$B:$B,BF$2&amp;$BI$1)</f>
        <v/>
      </c>
      <c r="BG123" s="23">
        <f>SUM(AU123,AV123,AW123,AX123,AY123,AZ123,BA123,BB123,BC123,BD123,BE123,BF123)</f>
        <v/>
      </c>
      <c r="BH123" s="23">
        <f>AVERAGE(AU123,AV123,AW123,AX123,AY123,AZ123,BA123,BB123,BC123,BD123,BE123,BF123)</f>
        <v/>
      </c>
      <c r="BI123" s="142">
        <f>SUMIFS(領用表!$L:$L,領用表!$E:$E,$B123,領用表!$B:$B,BI$2&amp;$BI$1)</f>
        <v/>
      </c>
      <c r="BJ123" s="405">
        <f>SUMIFS(領用表!$L:$L,領用表!$E:$E,$B123,領用表!$B:$B,BJ$2&amp;$BI$1)</f>
        <v/>
      </c>
      <c r="BK123" s="405">
        <f>SUMIFS(領用表!$L:$L,領用表!$E:$E,$B123,領用表!$B:$B,BK$2&amp;$BI$1)</f>
        <v/>
      </c>
      <c r="BL123" s="405">
        <f>SUMIFS(領用表!$L:$L,領用表!$E:$E,$B123,領用表!$B:$B,BL$2&amp;$BI$1)</f>
        <v/>
      </c>
      <c r="BM123" s="405">
        <f>SUMIFS(領用表!$L:$L,領用表!$E:$E,$B123,領用表!$B:$B,BM$2&amp;$BI$1)</f>
        <v/>
      </c>
      <c r="BN123" s="405" t="n"/>
      <c r="BO123" s="405">
        <f>SUMIFS(領用表!$L:$L,領用表!$E:$E,$B123,領用表!$B:$B,BO$2&amp;$BI$1)</f>
        <v/>
      </c>
      <c r="BP123" s="405">
        <f>SUMIFS(領用表!$L:$L,領用表!$E:$E,$B123,領用表!$B:$B,BP$2&amp;$BI$1)</f>
        <v/>
      </c>
      <c r="BQ123" s="405">
        <f>SUMIFS(領用表!$L:$L,領用表!$E:$E,$B123,領用表!$B:$B,BQ$2&amp;$BI$1)</f>
        <v/>
      </c>
      <c r="BR123" s="405">
        <f>SUMIFS(領用表!$L:$L,領用表!$E:$E,$B123,領用表!$B:$B,BR$2&amp;$BI$1)</f>
        <v/>
      </c>
      <c r="BS123" s="405">
        <f>SUMIFS(領用表!$L:$L,領用表!$E:$E,$B123,領用表!$B:$B,BS$2&amp;$BI$1)</f>
        <v/>
      </c>
      <c r="BT123" s="405">
        <f>SUMIFS(領用表!$L:$L,領用表!$E:$E,$B123,領用表!$B:$B,BT$2&amp;$BI$1)</f>
        <v/>
      </c>
      <c r="BU123" s="405">
        <f>SUM(BI123,BJ123,BK123,BL123,BM123,BN123)</f>
        <v/>
      </c>
      <c r="BV123" s="405">
        <f>AVERAGE(BI123,BJ123,BK123,BL123,BM123,BN123)</f>
        <v/>
      </c>
      <c r="BW123" s="405">
        <f>SUMIF(Summary!B:B,B123,Summary!EA:EA)</f>
        <v/>
      </c>
      <c r="BY123" s="80" t="n"/>
      <c r="BZ123" s="76" t="n"/>
      <c r="CA123" s="76" t="inlineStr">
        <is>
          <t>15(10/22)</t>
        </is>
      </c>
    </row>
    <row r="124" ht="16.5" customHeight="1" s="453">
      <c r="A124" s="27" t="inlineStr">
        <is>
          <t>MAX06M1A0001</t>
        </is>
      </c>
      <c r="B124" s="14" t="e">
        <v>#N/A</v>
      </c>
      <c r="C124" s="136" t="inlineStr">
        <is>
          <t>MIKOBEAUTE-提袋-S/22cm W*8cm D*18cm H</t>
        </is>
      </c>
      <c r="D124" s="77" t="n"/>
      <c r="E124" s="17" t="inlineStr">
        <is>
          <t>PCS</t>
        </is>
      </c>
      <c r="F124" s="18" t="n"/>
      <c r="G124" s="70" t="n"/>
      <c r="AZ124" s="20">
        <f>SUMIFS(領用表!$L:$L,領用表!$E:$E,$B124,領用表!$B:$B,AZ$2&amp;$BI$1)</f>
        <v/>
      </c>
      <c r="BA124" s="20">
        <f>SUMIFS(領用表!$L:$L,領用表!$E:$E,$B124,領用表!$B:$B,BA$2&amp;$BI$1)</f>
        <v/>
      </c>
      <c r="BB124" s="20">
        <f>SUMIFS(領用表!$L:$L,領用表!$E:$E,$B124,領用表!$B:$B,BB$2&amp;$BI$1)</f>
        <v/>
      </c>
      <c r="BC124" s="20">
        <f>SUMIFS(領用表!$L:$L,領用表!$E:$E,$B124,領用表!$B:$B,BC$2&amp;$BI$1)</f>
        <v/>
      </c>
      <c r="BD124" s="142">
        <f>SUMIFS(領用表!$L:$L,領用表!$E:$E,$B124,領用表!$B:$B,BD$2&amp;$BI$1)</f>
        <v/>
      </c>
      <c r="BE124" s="142">
        <f>SUMIFS(領用表!$L:$L,領用表!$E:$E,$B124,領用表!$B:$B,BE$2&amp;$BI$1)</f>
        <v/>
      </c>
      <c r="BF124" s="142">
        <f>SUMIFS(領用表!$L:$L,領用表!$E:$E,$B124,領用表!$B:$B,BF$2&amp;$BI$1)</f>
        <v/>
      </c>
      <c r="BG124" s="23">
        <f>SUM(AU124,AV124,AW124,AX124,AY124,AZ124,BA124,BB124,BC124,BD124,BE124,BF124)</f>
        <v/>
      </c>
      <c r="BH124" s="23">
        <f>AVERAGE(AU124,AV124,AW124,AX124,AY124,AZ124,BA124,BB124,BC124,BD124,BE124,BF124)</f>
        <v/>
      </c>
      <c r="BI124" s="142">
        <f>SUMIFS(領用表!$L:$L,領用表!$E:$E,$B124,領用表!$B:$B,BI$2&amp;$BI$1)</f>
        <v/>
      </c>
      <c r="BJ124" s="405">
        <f>SUMIFS(領用表!$L:$L,領用表!$E:$E,$B124,領用表!$B:$B,BJ$2&amp;$BI$1)</f>
        <v/>
      </c>
      <c r="BK124" s="405">
        <f>SUMIFS(領用表!$L:$L,領用表!$E:$E,$B124,領用表!$B:$B,BK$2&amp;$BI$1)</f>
        <v/>
      </c>
      <c r="BL124" s="405">
        <f>SUMIFS(領用表!$L:$L,領用表!$E:$E,$B124,領用表!$B:$B,BL$2&amp;$BI$1)</f>
        <v/>
      </c>
      <c r="BM124" s="405">
        <f>SUMIFS(領用表!$L:$L,領用表!$E:$E,$B124,領用表!$B:$B,BM$2&amp;$BI$1)</f>
        <v/>
      </c>
      <c r="BN124" s="405">
        <f>SUMIFS(領用表!$L:$L,領用表!$E:$E,$B124,領用表!$B:$B,BN$2&amp;$BI$1)</f>
        <v/>
      </c>
      <c r="BO124" s="405">
        <f>SUMIFS(領用表!$L:$L,領用表!$E:$E,$B124,領用表!$B:$B,BO$2&amp;$BI$1)</f>
        <v/>
      </c>
      <c r="BP124" s="405">
        <f>SUMIFS(領用表!$L:$L,領用表!$E:$E,$B124,領用表!$B:$B,BP$2&amp;$BI$1)</f>
        <v/>
      </c>
      <c r="BQ124" s="405">
        <f>SUMIFS(領用表!$L:$L,領用表!$E:$E,$B124,領用表!$B:$B,BQ$2&amp;$BI$1)</f>
        <v/>
      </c>
      <c r="BR124" s="405">
        <f>SUMIFS(領用表!$L:$L,領用表!$E:$E,$B124,領用表!$B:$B,BR$2&amp;$BI$1)</f>
        <v/>
      </c>
      <c r="BS124" s="405">
        <f>SUMIFS(領用表!$L:$L,領用表!$E:$E,$B124,領用表!$B:$B,BS$2&amp;$BI$1)</f>
        <v/>
      </c>
      <c r="BT124" s="405">
        <f>SUMIFS(領用表!$L:$L,領用表!$E:$E,$B124,領用表!$B:$B,BT$2&amp;$BI$1)</f>
        <v/>
      </c>
      <c r="BU124" s="405">
        <f>SUM(BI124,BJ124,BK124,BL124,BM124,BN124)</f>
        <v/>
      </c>
      <c r="BV124" s="405">
        <f>AVERAGE(BI124,BJ124,BK124,BL124,BM124,BN124)</f>
        <v/>
      </c>
      <c r="BW124" s="405">
        <f>SUMIF(Summary!B:B,B124,Summary!EA:EA)</f>
        <v/>
      </c>
      <c r="BY124" s="80" t="n"/>
      <c r="BZ124" s="76" t="n"/>
      <c r="CA124" s="76" t="n"/>
    </row>
    <row r="125" ht="16.5" customHeight="1" s="453">
      <c r="A125" s="27" t="inlineStr">
        <is>
          <t>MAX06M1A0005</t>
        </is>
      </c>
      <c r="B125" s="14" t="e">
        <v>#N/A</v>
      </c>
      <c r="C125" s="136" t="inlineStr">
        <is>
          <t>MIKOBEAUTE-提袋-M/29cm W*11cm D*24cm H(2023.4)</t>
        </is>
      </c>
      <c r="D125" s="77" t="n"/>
      <c r="E125" s="17" t="inlineStr">
        <is>
          <t>PCS</t>
        </is>
      </c>
      <c r="F125" s="18" t="n"/>
      <c r="G125" s="70" t="n"/>
      <c r="AZ125" s="20">
        <f>SUMIFS(領用表!$L:$L,領用表!$E:$E,$B125,領用表!$B:$B,AZ$2&amp;$BI$1)</f>
        <v/>
      </c>
      <c r="BA125" s="20">
        <f>SUMIFS(領用表!$L:$L,領用表!$E:$E,$B125,領用表!$B:$B,BA$2&amp;$BI$1)</f>
        <v/>
      </c>
      <c r="BB125" s="20">
        <f>SUMIFS(領用表!$L:$L,領用表!$E:$E,$B125,領用表!$B:$B,BB$2&amp;$BI$1)</f>
        <v/>
      </c>
      <c r="BC125" s="20">
        <f>SUMIFS(領用表!$L:$L,領用表!$E:$E,$B125,領用表!$B:$B,BC$2&amp;$BI$1)</f>
        <v/>
      </c>
      <c r="BD125" s="142">
        <f>SUMIFS(領用表!$L:$L,領用表!$E:$E,$B125,領用表!$B:$B,BD$2&amp;$BI$1)</f>
        <v/>
      </c>
      <c r="BE125" s="142">
        <f>SUMIFS(領用表!$L:$L,領用表!$E:$E,$B125,領用表!$B:$B,BE$2&amp;$BI$1)</f>
        <v/>
      </c>
      <c r="BF125" s="142">
        <f>SUMIFS(領用表!$L:$L,領用表!$E:$E,$B125,領用表!$B:$B,BF$2&amp;$BI$1)</f>
        <v/>
      </c>
      <c r="BG125" s="23">
        <f>SUM(AU125,AV125,AW125,AX125,AY125,AZ125,BA125,BB125,BC125,BD125,BE125,BF125)</f>
        <v/>
      </c>
      <c r="BH125" s="23">
        <f>AVERAGE(AU125,AV125,AW125,AX125,AY125,AZ125,BA125,BB125,BC125,BD125,BE125,BF125)</f>
        <v/>
      </c>
      <c r="BI125" s="142">
        <f>SUMIFS(領用表!$L:$L,領用表!$E:$E,$B125,領用表!$B:$B,BI$2&amp;$BI$1)</f>
        <v/>
      </c>
      <c r="BJ125" s="405">
        <f>SUMIFS(領用表!$L:$L,領用表!$E:$E,$B125,領用表!$B:$B,BJ$2&amp;$BI$1)</f>
        <v/>
      </c>
      <c r="BK125" s="405">
        <f>SUMIFS(領用表!$L:$L,領用表!$E:$E,$B125,領用表!$B:$B,BK$2&amp;$BI$1)</f>
        <v/>
      </c>
      <c r="BL125" s="405">
        <f>SUMIFS(領用表!$L:$L,領用表!$E:$E,$B125,領用表!$B:$B,BL$2&amp;$BI$1)</f>
        <v/>
      </c>
      <c r="BM125" s="405">
        <f>SUMIFS(領用表!$L:$L,領用表!$E:$E,$B125,領用表!$B:$B,BM$2&amp;$BI$1)</f>
        <v/>
      </c>
      <c r="BN125" s="405" t="n"/>
      <c r="BO125" s="405">
        <f>SUMIFS(領用表!$L:$L,領用表!$E:$E,$B125,領用表!$B:$B,BO$2&amp;$BI$1)</f>
        <v/>
      </c>
      <c r="BP125" s="405">
        <f>SUMIFS(領用表!$L:$L,領用表!$E:$E,$B125,領用表!$B:$B,BP$2&amp;$BI$1)</f>
        <v/>
      </c>
      <c r="BQ125" s="405">
        <f>SUMIFS(領用表!$L:$L,領用表!$E:$E,$B125,領用表!$B:$B,BQ$2&amp;$BI$1)</f>
        <v/>
      </c>
      <c r="BR125" s="405">
        <f>SUMIFS(領用表!$L:$L,領用表!$E:$E,$B125,領用表!$B:$B,BR$2&amp;$BI$1)</f>
        <v/>
      </c>
      <c r="BS125" s="405">
        <f>SUMIFS(領用表!$L:$L,領用表!$E:$E,$B125,領用表!$B:$B,BS$2&amp;$BI$1)</f>
        <v/>
      </c>
      <c r="BT125" s="405">
        <f>SUMIFS(領用表!$L:$L,領用表!$E:$E,$B125,領用表!$B:$B,BT$2&amp;$BI$1)</f>
        <v/>
      </c>
      <c r="BU125" s="405">
        <f>SUM(BI125,BJ125,BK125,BL125,BM125,BN125)</f>
        <v/>
      </c>
      <c r="BV125" s="405">
        <f>AVERAGE(BI125,BJ125,BK125,BL125,BM125,BN125)</f>
        <v/>
      </c>
      <c r="BW125" s="405">
        <f>SUMIF(Summary!B:B,B125,Summary!EA:EA)</f>
        <v/>
      </c>
      <c r="BY125" s="80" t="n"/>
      <c r="BZ125" s="76" t="n"/>
      <c r="CA125" s="76" t="n"/>
    </row>
    <row r="126">
      <c r="B126" s="118" t="n">
        <v>6080011</v>
      </c>
      <c r="C126" s="136" t="inlineStr">
        <is>
          <t>(V)水梨面膜 30ml</t>
        </is>
      </c>
      <c r="D126" s="11" t="n"/>
      <c r="E126" s="198" t="inlineStr">
        <is>
          <t>PCS</t>
        </is>
      </c>
      <c r="F126" s="18" t="n">
        <v>450</v>
      </c>
      <c r="G126" s="85" t="n"/>
      <c r="BI126" s="142">
        <f>SUMIFS(領用表!$L:$L,領用表!$E:$E,$B126,領用表!$B:$B,BI$2&amp;$BI$1)</f>
        <v/>
      </c>
      <c r="BJ126" s="405">
        <f>SUMIFS(領用表!$L:$L,領用表!$E:$E,$B126,領用表!$B:$B,BJ$2&amp;$BI$1)</f>
        <v/>
      </c>
      <c r="BK126" s="405">
        <f>SUMIFS(領用表!$L:$L,領用表!$E:$E,$B126,領用表!$B:$B,BK$2&amp;$BI$1)</f>
        <v/>
      </c>
      <c r="BL126" s="405">
        <f>SUMIFS(領用表!$L:$L,領用表!$E:$E,$B126,領用表!$B:$B,BL$2&amp;$BI$1)</f>
        <v/>
      </c>
      <c r="BM126" s="405">
        <f>SUMIFS(領用表!$L:$L,領用表!$E:$E,$B126,領用表!$B:$B,BM$2&amp;$BI$1)</f>
        <v/>
      </c>
      <c r="BN126" s="405" t="n"/>
      <c r="BO126" s="405">
        <f>SUMIFS(領用表!$L:$L,領用表!$E:$E,$B126,領用表!$B:$B,BO$2&amp;$BI$1)</f>
        <v/>
      </c>
      <c r="BP126" s="405">
        <f>SUMIFS(領用表!$L:$L,領用表!$E:$E,$B126,領用表!$B:$B,BP$2&amp;$BI$1)</f>
        <v/>
      </c>
      <c r="BQ126" s="405">
        <f>SUMIFS(領用表!$L:$L,領用表!$E:$E,$B126,領用表!$B:$B,BQ$2&amp;$BI$1)</f>
        <v/>
      </c>
      <c r="BR126" s="405">
        <f>SUMIFS(領用表!$L:$L,領用表!$E:$E,$B126,領用表!$B:$B,BR$2&amp;$BI$1)</f>
        <v/>
      </c>
      <c r="BS126" s="405">
        <f>SUMIFS(領用表!$L:$L,領用表!$E:$E,$B126,領用表!$B:$B,BS$2&amp;$BI$1)</f>
        <v/>
      </c>
      <c r="BT126" s="405">
        <f>SUMIFS(領用表!$L:$L,領用表!$E:$E,$B126,領用表!$B:$B,BT$2&amp;$BI$1)</f>
        <v/>
      </c>
      <c r="BU126" s="405">
        <f>SUM(BI126,BJ126,BK126,BL126,BM126,BN126)</f>
        <v/>
      </c>
      <c r="BV126" s="405">
        <f>AVERAGE(BI126,BJ126,BK126,BL126,BM126,BN126)</f>
        <v/>
      </c>
      <c r="BW126" s="405">
        <f>SUMIF(Summary!B:B,B126,Summary!EA:EA)</f>
        <v/>
      </c>
    </row>
    <row r="127">
      <c r="B127" s="118" t="n">
        <v>6080012</v>
      </c>
      <c r="C127" s="136" t="inlineStr">
        <is>
          <t>(V)小玉西瓜面膜 30ml</t>
        </is>
      </c>
      <c r="D127" s="11" t="n"/>
      <c r="E127" s="79" t="inlineStr">
        <is>
          <t>PCS</t>
        </is>
      </c>
      <c r="F127" s="18" t="n">
        <v>50</v>
      </c>
      <c r="G127" s="85" t="n"/>
      <c r="BI127" s="142">
        <f>SUMIFS(領用表!$L:$L,領用表!$E:$E,$B127,領用表!$B:$B,BI$2&amp;$BI$1)</f>
        <v/>
      </c>
      <c r="BJ127" s="405">
        <f>SUMIFS(領用表!$L:$L,領用表!$E:$E,$B127,領用表!$B:$B,BJ$2&amp;$BI$1)</f>
        <v/>
      </c>
      <c r="BK127" s="405">
        <f>SUMIFS(領用表!$L:$L,領用表!$E:$E,$B127,領用表!$B:$B,BK$2&amp;$BI$1)</f>
        <v/>
      </c>
      <c r="BL127" s="405">
        <f>SUMIFS(領用表!$L:$L,領用表!$E:$E,$B127,領用表!$B:$B,BL$2&amp;$BI$1)</f>
        <v/>
      </c>
      <c r="BM127" s="405">
        <f>SUMIFS(領用表!$L:$L,領用表!$E:$E,$B127,領用表!$B:$B,BM$2&amp;$BI$1)</f>
        <v/>
      </c>
      <c r="BN127" s="405" t="n"/>
      <c r="BO127" s="405">
        <f>SUMIFS(領用表!$L:$L,領用表!$E:$E,$B127,領用表!$B:$B,BO$2&amp;$BI$1)</f>
        <v/>
      </c>
      <c r="BP127" s="405">
        <f>SUMIFS(領用表!$L:$L,領用表!$E:$E,$B127,領用表!$B:$B,BP$2&amp;$BI$1)</f>
        <v/>
      </c>
      <c r="BQ127" s="405">
        <f>SUMIFS(領用表!$L:$L,領用表!$E:$E,$B127,領用表!$B:$B,BQ$2&amp;$BI$1)</f>
        <v/>
      </c>
      <c r="BR127" s="405">
        <f>SUMIFS(領用表!$L:$L,領用表!$E:$E,$B127,領用表!$B:$B,BR$2&amp;$BI$1)</f>
        <v/>
      </c>
      <c r="BS127" s="405">
        <f>SUMIFS(領用表!$L:$L,領用表!$E:$E,$B127,領用表!$B:$B,BS$2&amp;$BI$1)</f>
        <v/>
      </c>
      <c r="BT127" s="405">
        <f>SUMIFS(領用表!$L:$L,領用表!$E:$E,$B127,領用表!$B:$B,BT$2&amp;$BI$1)</f>
        <v/>
      </c>
      <c r="BU127" s="405">
        <f>SUM(BI127,BJ127,BK127,BL127,BM127,BN127)</f>
        <v/>
      </c>
      <c r="BV127" s="405">
        <f>AVERAGE(BI127,BJ127,BK127,BL127,BM127,BN127)</f>
        <v/>
      </c>
      <c r="BW127" s="405">
        <f>SUMIF(Summary!B:B,B127,Summary!EA:EA)</f>
        <v/>
      </c>
    </row>
    <row r="128">
      <c r="D128" s="11" t="n"/>
      <c r="E128" s="79" t="n"/>
      <c r="F128" s="85" t="n"/>
      <c r="G128" s="85" t="n"/>
      <c r="BI128" s="142">
        <f>SUMIFS(領用表!$L:$L,領用表!$E:$E,$B128,領用表!$B:$B,BI$2&amp;$BI$1)</f>
        <v/>
      </c>
      <c r="BJ128" s="405">
        <f>SUMIFS(領用表!$L:$L,領用表!$E:$E,$B128,領用表!$B:$B,BJ$2&amp;$BI$1)</f>
        <v/>
      </c>
      <c r="BK128" s="405">
        <f>SUMIFS(領用表!$L:$L,領用表!$E:$E,$B128,領用表!$B:$B,BK$2&amp;$BI$1)</f>
        <v/>
      </c>
      <c r="BL128" s="405">
        <f>SUMIFS(領用表!$L:$L,領用表!$E:$E,$B128,領用表!$B:$B,BL$2&amp;$BI$1)</f>
        <v/>
      </c>
      <c r="BM128" s="405">
        <f>SUMIFS(領用表!$L:$L,領用表!$E:$E,$B128,領用表!$B:$B,BM$2&amp;$BI$1)</f>
        <v/>
      </c>
      <c r="BN128" s="405">
        <f>SUMIFS(領用表!$L:$L,領用表!$E:$E,$B128,領用表!$B:$B,BN$2&amp;$BI$1)</f>
        <v/>
      </c>
      <c r="BO128" s="405">
        <f>SUMIFS(領用表!$L:$L,領用表!$E:$E,$B128,領用表!$B:$B,BO$2&amp;$BI$1)</f>
        <v/>
      </c>
      <c r="BP128" s="405">
        <f>SUMIFS(領用表!$L:$L,領用表!$E:$E,$B128,領用表!$B:$B,BP$2&amp;$BI$1)</f>
        <v/>
      </c>
      <c r="BQ128" s="405">
        <f>SUMIFS(領用表!$L:$L,領用表!$E:$E,$B128,領用表!$B:$B,BQ$2&amp;$BI$1)</f>
        <v/>
      </c>
      <c r="BR128" s="405">
        <f>SUMIFS(領用表!$L:$L,領用表!$E:$E,$B128,領用表!$B:$B,BR$2&amp;$BI$1)</f>
        <v/>
      </c>
      <c r="BS128" s="405">
        <f>SUMIFS(領用表!$L:$L,領用表!$E:$E,$B128,領用表!$B:$B,BS$2&amp;$BI$1)</f>
        <v/>
      </c>
      <c r="BT128" s="405">
        <f>SUMIFS(領用表!$L:$L,領用表!$E:$E,$B128,領用表!$B:$B,BT$2&amp;$BI$1)</f>
        <v/>
      </c>
      <c r="BU128" s="405">
        <f>SUM(BI128,BJ128,BK128,BL128,BM128)</f>
        <v/>
      </c>
      <c r="BV128" s="405">
        <f>AVERAGE(BI128,BJ128,BK128,BL128,BM128)</f>
        <v/>
      </c>
      <c r="BW128" s="405">
        <f>SUMIF(Summary!B:B,B128,Summary!EA:EA)</f>
        <v/>
      </c>
    </row>
    <row r="129" ht="13.5" customHeight="1" s="453">
      <c r="D129" s="11" t="n"/>
      <c r="E129" s="79" t="n"/>
      <c r="F129" s="85" t="n"/>
      <c r="G129" s="85" t="n"/>
    </row>
    <row r="130" ht="13.5" customHeight="1" s="453">
      <c r="D130" s="11" t="n"/>
      <c r="E130" s="79" t="n"/>
      <c r="F130" s="85" t="n"/>
      <c r="G130" s="85" t="n"/>
    </row>
    <row r="131" ht="13.5" customHeight="1" s="453">
      <c r="D131" s="11" t="n"/>
      <c r="E131" s="79" t="n"/>
      <c r="F131" s="85" t="n"/>
      <c r="G131" s="85" t="n"/>
    </row>
    <row r="132" ht="13.5" customHeight="1" s="453">
      <c r="D132" s="11" t="n"/>
      <c r="E132" s="79" t="n"/>
      <c r="F132" s="85" t="n"/>
      <c r="G132" s="85" t="n"/>
    </row>
    <row r="133" ht="13.5" customHeight="1" s="453">
      <c r="D133" s="11" t="n"/>
      <c r="E133" s="79" t="n"/>
      <c r="F133" s="85" t="n"/>
      <c r="G133" s="85" t="n"/>
    </row>
    <row r="134" ht="13.5" customHeight="1" s="453">
      <c r="D134" s="11" t="n"/>
      <c r="E134" s="79" t="n"/>
      <c r="F134" s="85" t="n"/>
      <c r="G134" s="85" t="n"/>
    </row>
    <row r="135" ht="13.5" customHeight="1" s="453">
      <c r="D135" s="11" t="n"/>
      <c r="E135" s="79" t="n"/>
      <c r="F135" s="85" t="n"/>
      <c r="G135" s="85" t="n"/>
    </row>
    <row r="136" ht="13.5" customHeight="1" s="453">
      <c r="D136" s="11" t="n"/>
      <c r="E136" s="79" t="n"/>
      <c r="F136" s="85" t="n"/>
      <c r="G136" s="85" t="n"/>
    </row>
    <row r="137" ht="13.5" customHeight="1" s="453">
      <c r="D137" s="11" t="n"/>
      <c r="E137" s="86" t="n"/>
      <c r="F137" s="85" t="n"/>
      <c r="G137" s="85" t="n"/>
    </row>
    <row r="138" ht="13.5" customHeight="1" s="453">
      <c r="D138" s="11" t="n"/>
      <c r="E138" s="86" t="n"/>
      <c r="F138" s="85" t="n"/>
      <c r="G138" s="85" t="n"/>
    </row>
    <row r="139" ht="13.5" customHeight="1" s="453">
      <c r="D139" s="11" t="n"/>
      <c r="E139" s="86" t="n"/>
      <c r="F139" s="85" t="n"/>
      <c r="G139" s="85" t="n"/>
    </row>
    <row r="140" ht="13.5" customHeight="1" s="453">
      <c r="D140" s="11" t="n"/>
      <c r="E140" s="86" t="n"/>
      <c r="F140" s="85" t="n"/>
      <c r="G140" s="85" t="n"/>
    </row>
    <row r="141" ht="13.5" customHeight="1" s="453">
      <c r="D141" s="11" t="n"/>
      <c r="E141" s="86" t="n"/>
      <c r="F141" s="85" t="n"/>
      <c r="G141" s="85" t="n"/>
    </row>
    <row r="142" ht="13.5" customHeight="1" s="453">
      <c r="D142" s="11" t="n"/>
      <c r="E142" s="86" t="n"/>
      <c r="F142" s="85" t="n"/>
      <c r="G142" s="85" t="n"/>
    </row>
    <row r="143" ht="13.5" customHeight="1" s="453">
      <c r="D143" s="11" t="n"/>
      <c r="E143" s="86" t="n"/>
      <c r="F143" s="85" t="n"/>
      <c r="G143" s="85" t="n"/>
    </row>
    <row r="144" ht="13.5" customHeight="1" s="453">
      <c r="D144" s="11" t="n"/>
      <c r="E144" s="86" t="n"/>
      <c r="F144" s="85" t="n"/>
      <c r="G144" s="85" t="n"/>
    </row>
    <row r="145" ht="13.5" customHeight="1" s="453">
      <c r="D145" s="11" t="n"/>
      <c r="E145" s="86" t="n"/>
      <c r="F145" s="85" t="n"/>
      <c r="G145" s="85" t="n"/>
    </row>
    <row r="146" ht="13.5" customHeight="1" s="453">
      <c r="D146" s="11" t="n"/>
      <c r="E146" s="86" t="n"/>
      <c r="F146" s="85" t="n"/>
      <c r="G146" s="85" t="n"/>
    </row>
    <row r="147" ht="13.5" customHeight="1" s="453">
      <c r="D147" s="11" t="n"/>
      <c r="E147" s="86" t="n"/>
      <c r="F147" s="85" t="n"/>
      <c r="G147" s="85" t="n"/>
    </row>
    <row r="148" ht="13.5" customHeight="1" s="453">
      <c r="D148" s="11" t="n"/>
      <c r="E148" s="86" t="n"/>
      <c r="F148" s="85" t="n"/>
      <c r="G148" s="85" t="n"/>
    </row>
    <row r="149" ht="13.5" customHeight="1" s="453">
      <c r="D149" s="11" t="n"/>
      <c r="E149" s="86" t="n"/>
      <c r="F149" s="85" t="n"/>
      <c r="G149" s="85" t="n"/>
    </row>
    <row r="150" ht="13.5" customHeight="1" s="453">
      <c r="D150" s="11" t="n"/>
      <c r="E150" s="86" t="n"/>
      <c r="F150" s="85" t="n"/>
      <c r="G150" s="85" t="n"/>
    </row>
    <row r="151" ht="13.5" customHeight="1" s="453">
      <c r="D151" s="11" t="n"/>
      <c r="E151" s="86" t="n"/>
      <c r="F151" s="85" t="n"/>
      <c r="G151" s="85" t="n"/>
    </row>
    <row r="152" ht="13.5" customHeight="1" s="453">
      <c r="D152" s="11" t="n"/>
      <c r="E152" s="86" t="n"/>
      <c r="F152" s="85" t="n"/>
      <c r="G152" s="85" t="n"/>
    </row>
    <row r="153" ht="13.5" customHeight="1" s="453">
      <c r="D153" s="11" t="n"/>
      <c r="E153" s="86" t="n"/>
      <c r="F153" s="85" t="n"/>
      <c r="G153" s="85" t="n"/>
    </row>
    <row r="154" ht="13.5" customHeight="1" s="453">
      <c r="D154" s="11" t="n"/>
      <c r="E154" s="86" t="n"/>
      <c r="F154" s="85" t="n"/>
      <c r="G154" s="85" t="n"/>
    </row>
    <row r="155" ht="13.5" customHeight="1" s="453">
      <c r="D155" s="11" t="n"/>
      <c r="E155" s="86" t="n"/>
      <c r="F155" s="85" t="n"/>
      <c r="G155" s="85" t="n"/>
    </row>
    <row r="156" ht="13.5" customHeight="1" s="453">
      <c r="D156" s="11" t="n"/>
      <c r="E156" s="86" t="n"/>
      <c r="F156" s="85" t="n"/>
      <c r="G156" s="85" t="n"/>
    </row>
    <row r="157" ht="13.5" customHeight="1" s="453">
      <c r="D157" s="11" t="n"/>
      <c r="E157" s="86" t="n"/>
      <c r="F157" s="85" t="n"/>
      <c r="G157" s="85" t="n"/>
    </row>
    <row r="158" ht="13.5" customHeight="1" s="453">
      <c r="D158" s="11" t="n"/>
      <c r="E158" s="86" t="n"/>
      <c r="F158" s="85" t="n"/>
      <c r="G158" s="85" t="n"/>
    </row>
    <row r="159" ht="13.5" customHeight="1" s="453">
      <c r="D159" s="11" t="n"/>
      <c r="E159" s="86" t="n"/>
      <c r="F159" s="85" t="n"/>
      <c r="G159" s="85" t="n"/>
    </row>
    <row r="160" ht="13.5" customHeight="1" s="453">
      <c r="D160" s="11" t="n"/>
      <c r="E160" s="86" t="n"/>
      <c r="F160" s="85" t="n"/>
      <c r="G160" s="85" t="n"/>
    </row>
    <row r="161" ht="13.5" customHeight="1" s="453">
      <c r="D161" s="11" t="n"/>
      <c r="E161" s="86" t="n"/>
      <c r="F161" s="85" t="n"/>
      <c r="G161" s="85" t="n"/>
    </row>
    <row r="162" ht="13.5" customHeight="1" s="453">
      <c r="D162" s="11" t="n"/>
      <c r="E162" s="86" t="n"/>
      <c r="F162" s="85" t="n"/>
      <c r="G162" s="85" t="n"/>
    </row>
    <row r="163" ht="13.5" customHeight="1" s="453">
      <c r="D163" s="11" t="n"/>
      <c r="E163" s="86" t="n"/>
      <c r="F163" s="85" t="n"/>
      <c r="G163" s="85" t="n"/>
    </row>
    <row r="164" ht="13.5" customHeight="1" s="453">
      <c r="D164" s="11" t="n"/>
      <c r="E164" s="86" t="n"/>
      <c r="F164" s="85" t="n"/>
      <c r="G164" s="85" t="n"/>
    </row>
    <row r="165" ht="13.5" customHeight="1" s="453">
      <c r="D165" s="11" t="n"/>
      <c r="E165" s="86" t="n"/>
      <c r="F165" s="85" t="n"/>
      <c r="G165" s="85" t="n"/>
    </row>
    <row r="166" ht="13.5" customHeight="1" s="453">
      <c r="D166" s="11" t="n"/>
      <c r="E166" s="86" t="n"/>
      <c r="F166" s="85" t="n"/>
      <c r="G166" s="85" t="n"/>
    </row>
    <row r="167" ht="13.5" customHeight="1" s="453">
      <c r="D167" s="11" t="n"/>
      <c r="E167" s="86" t="n"/>
      <c r="F167" s="85" t="n"/>
      <c r="G167" s="85" t="n"/>
    </row>
    <row r="168" ht="13.5" customHeight="1" s="453">
      <c r="D168" s="11" t="n"/>
      <c r="E168" s="86" t="n"/>
      <c r="F168" s="85" t="n"/>
      <c r="G168" s="85" t="n"/>
    </row>
    <row r="169" ht="13.5" customHeight="1" s="453">
      <c r="D169" s="11" t="n"/>
      <c r="E169" s="86" t="n"/>
      <c r="F169" s="85" t="n"/>
      <c r="G169" s="85" t="n"/>
    </row>
    <row r="170" ht="13.5" customHeight="1" s="453">
      <c r="D170" s="11" t="n"/>
      <c r="E170" s="86" t="n"/>
      <c r="F170" s="85" t="n"/>
      <c r="G170" s="85" t="n"/>
    </row>
    <row r="171" ht="13.5" customHeight="1" s="453">
      <c r="D171" s="11" t="n"/>
      <c r="E171" s="86" t="n"/>
      <c r="F171" s="85" t="n"/>
      <c r="G171" s="85" t="n"/>
    </row>
    <row r="172" ht="13.5" customHeight="1" s="453">
      <c r="D172" s="11" t="n"/>
      <c r="E172" s="86" t="n"/>
      <c r="F172" s="85" t="n"/>
      <c r="G172" s="85" t="n"/>
    </row>
    <row r="173" ht="13.5" customHeight="1" s="453">
      <c r="D173" s="11" t="n"/>
      <c r="E173" s="86" t="n"/>
      <c r="F173" s="85" t="n"/>
      <c r="G173" s="85" t="n"/>
    </row>
    <row r="174" ht="13.5" customHeight="1" s="453">
      <c r="D174" s="11" t="n"/>
      <c r="E174" s="86" t="n"/>
      <c r="F174" s="85" t="n"/>
      <c r="G174" s="85" t="n"/>
    </row>
    <row r="175" ht="13.5" customHeight="1" s="453">
      <c r="D175" s="11" t="n"/>
      <c r="E175" s="86" t="n"/>
      <c r="F175" s="85" t="n"/>
      <c r="G175" s="85" t="n"/>
    </row>
    <row r="176" ht="13.5" customHeight="1" s="453">
      <c r="D176" s="11" t="n"/>
      <c r="E176" s="86" t="n"/>
      <c r="F176" s="85" t="n"/>
      <c r="G176" s="85" t="n"/>
    </row>
    <row r="177" ht="13.5" customHeight="1" s="453">
      <c r="D177" s="11" t="n"/>
      <c r="E177" s="86" t="n"/>
      <c r="F177" s="85" t="n"/>
      <c r="G177" s="85" t="n"/>
    </row>
    <row r="178" ht="13.5" customHeight="1" s="453">
      <c r="D178" s="11" t="n"/>
      <c r="E178" s="86" t="n"/>
      <c r="F178" s="85" t="n"/>
      <c r="G178" s="85" t="n"/>
    </row>
    <row r="179" ht="13.5" customHeight="1" s="453">
      <c r="D179" s="11" t="n"/>
      <c r="E179" s="86" t="n"/>
      <c r="F179" s="85" t="n"/>
      <c r="G179" s="85" t="n"/>
    </row>
    <row r="180" ht="13.5" customHeight="1" s="453">
      <c r="D180" s="11" t="n"/>
      <c r="E180" s="86" t="n"/>
      <c r="F180" s="85" t="n"/>
      <c r="G180" s="85" t="n"/>
    </row>
    <row r="181" ht="13.5" customHeight="1" s="453">
      <c r="D181" s="11" t="n"/>
      <c r="E181" s="86" t="n"/>
      <c r="F181" s="85" t="n"/>
      <c r="G181" s="85" t="n"/>
    </row>
    <row r="182" ht="13.5" customHeight="1" s="453">
      <c r="D182" s="11" t="n"/>
      <c r="E182" s="86" t="n"/>
      <c r="F182" s="85" t="n"/>
      <c r="G182" s="85" t="n"/>
    </row>
    <row r="183" ht="13.5" customHeight="1" s="453">
      <c r="D183" s="11" t="n"/>
      <c r="E183" s="86" t="n"/>
      <c r="F183" s="85" t="n"/>
      <c r="G183" s="85" t="n"/>
    </row>
    <row r="184" ht="13.5" customHeight="1" s="453">
      <c r="D184" s="11" t="n"/>
      <c r="E184" s="86" t="n"/>
      <c r="F184" s="85" t="n"/>
      <c r="G184" s="85" t="n"/>
    </row>
    <row r="185" ht="13.5" customHeight="1" s="453">
      <c r="D185" s="11" t="n"/>
      <c r="E185" s="86" t="n"/>
      <c r="F185" s="85" t="n"/>
      <c r="G185" s="85" t="n"/>
    </row>
    <row r="186" ht="13.5" customHeight="1" s="453">
      <c r="D186" s="11" t="n"/>
      <c r="E186" s="86" t="n"/>
      <c r="F186" s="85" t="n"/>
      <c r="G186" s="85" t="n"/>
    </row>
    <row r="187" ht="13.5" customHeight="1" s="453">
      <c r="D187" s="11" t="n"/>
      <c r="E187" s="86" t="n"/>
      <c r="F187" s="85" t="n"/>
      <c r="G187" s="85" t="n"/>
    </row>
    <row r="188" ht="13.5" customHeight="1" s="453">
      <c r="D188" s="11" t="n"/>
      <c r="E188" s="86" t="n"/>
      <c r="F188" s="85" t="n"/>
      <c r="G188" s="85" t="n"/>
    </row>
    <row r="189" ht="13.5" customHeight="1" s="453">
      <c r="D189" s="11" t="n"/>
      <c r="E189" s="86" t="n"/>
      <c r="F189" s="85" t="n"/>
      <c r="G189" s="85" t="n"/>
    </row>
    <row r="190" ht="13.5" customHeight="1" s="453">
      <c r="D190" s="11" t="n"/>
      <c r="E190" s="86" t="n"/>
      <c r="F190" s="85" t="n"/>
      <c r="G190" s="85" t="n"/>
    </row>
    <row r="191" ht="13.5" customHeight="1" s="453">
      <c r="D191" s="11" t="n"/>
      <c r="E191" s="86" t="n"/>
      <c r="F191" s="85" t="n"/>
      <c r="G191" s="85" t="n"/>
    </row>
    <row r="192" ht="13.5" customHeight="1" s="453">
      <c r="D192" s="11" t="n"/>
      <c r="E192" s="86" t="n"/>
      <c r="F192" s="85" t="n"/>
      <c r="G192" s="85" t="n"/>
    </row>
    <row r="193" ht="13.5" customHeight="1" s="453">
      <c r="D193" s="11" t="n"/>
      <c r="E193" s="86" t="n"/>
      <c r="F193" s="85" t="n"/>
      <c r="G193" s="85" t="n"/>
    </row>
    <row r="194" ht="13.5" customHeight="1" s="453">
      <c r="D194" s="11" t="n"/>
      <c r="E194" s="86" t="n"/>
      <c r="F194" s="85" t="n"/>
      <c r="G194" s="85" t="n"/>
    </row>
    <row r="195" ht="13.5" customHeight="1" s="453">
      <c r="D195" s="11" t="n"/>
      <c r="E195" s="86" t="n"/>
      <c r="F195" s="85" t="n"/>
      <c r="G195" s="85" t="n"/>
    </row>
    <row r="196" ht="13.5" customHeight="1" s="453">
      <c r="D196" s="11" t="n"/>
      <c r="E196" s="86" t="n"/>
      <c r="F196" s="85" t="n"/>
      <c r="G196" s="85" t="n"/>
    </row>
    <row r="197" ht="13.5" customHeight="1" s="453">
      <c r="D197" s="11" t="n"/>
      <c r="E197" s="86" t="n"/>
      <c r="F197" s="85" t="n"/>
      <c r="G197" s="85" t="n"/>
    </row>
    <row r="198" ht="13.5" customHeight="1" s="453">
      <c r="D198" s="11" t="n"/>
      <c r="E198" s="86" t="n"/>
      <c r="F198" s="85" t="n"/>
      <c r="G198" s="85" t="n"/>
    </row>
    <row r="199" ht="13.5" customHeight="1" s="453">
      <c r="D199" s="11" t="n"/>
      <c r="E199" s="86" t="n"/>
      <c r="F199" s="85" t="n"/>
      <c r="G199" s="85" t="n"/>
    </row>
    <row r="200" ht="13.5" customHeight="1" s="453">
      <c r="D200" s="11" t="n"/>
      <c r="E200" s="86" t="n"/>
      <c r="F200" s="85" t="n"/>
      <c r="G200" s="85" t="n"/>
    </row>
    <row r="201" ht="13.5" customHeight="1" s="453">
      <c r="D201" s="11" t="n"/>
      <c r="E201" s="86" t="n"/>
      <c r="F201" s="85" t="n"/>
      <c r="G201" s="85" t="n"/>
    </row>
    <row r="202" ht="13.5" customHeight="1" s="453">
      <c r="D202" s="11" t="n"/>
      <c r="E202" s="86" t="n"/>
      <c r="F202" s="85" t="n"/>
      <c r="G202" s="85" t="n"/>
    </row>
    <row r="203" ht="13.5" customHeight="1" s="453">
      <c r="D203" s="11" t="n"/>
      <c r="E203" s="86" t="n"/>
      <c r="F203" s="85" t="n"/>
      <c r="G203" s="85" t="n"/>
    </row>
    <row r="204" ht="13.5" customHeight="1" s="453">
      <c r="D204" s="11" t="n"/>
      <c r="E204" s="86" t="n"/>
      <c r="F204" s="85" t="n"/>
      <c r="G204" s="85" t="n"/>
    </row>
    <row r="205" ht="13.5" customHeight="1" s="453">
      <c r="D205" s="11" t="n"/>
      <c r="E205" s="86" t="n"/>
      <c r="F205" s="85" t="n"/>
      <c r="G205" s="85" t="n"/>
    </row>
    <row r="206" ht="13.5" customHeight="1" s="453">
      <c r="D206" s="11" t="n"/>
      <c r="E206" s="86" t="n"/>
      <c r="F206" s="85" t="n"/>
      <c r="G206" s="85" t="n"/>
    </row>
    <row r="207" ht="13.5" customHeight="1" s="453">
      <c r="D207" s="11" t="n"/>
      <c r="E207" s="86" t="n"/>
      <c r="F207" s="85" t="n"/>
      <c r="G207" s="85" t="n"/>
    </row>
    <row r="208" ht="13.5" customHeight="1" s="453">
      <c r="D208" s="11" t="n"/>
      <c r="E208" s="86" t="n"/>
      <c r="F208" s="85" t="n"/>
      <c r="G208" s="85" t="n"/>
    </row>
    <row r="209" ht="13.5" customHeight="1" s="453">
      <c r="D209" s="11" t="n"/>
      <c r="E209" s="86" t="n"/>
      <c r="F209" s="85" t="n"/>
      <c r="G209" s="85" t="n"/>
    </row>
    <row r="210" ht="13.5" customHeight="1" s="453">
      <c r="D210" s="11" t="n"/>
      <c r="E210" s="86" t="n"/>
      <c r="F210" s="85" t="n"/>
      <c r="G210" s="85" t="n"/>
    </row>
    <row r="211" ht="13.5" customHeight="1" s="453">
      <c r="D211" s="11" t="n"/>
      <c r="E211" s="86" t="n"/>
      <c r="F211" s="85" t="n"/>
      <c r="G211" s="85" t="n"/>
    </row>
    <row r="212" ht="13.5" customHeight="1" s="453">
      <c r="D212" s="11" t="n"/>
      <c r="E212" s="86" t="n"/>
      <c r="F212" s="85" t="n"/>
      <c r="G212" s="85" t="n"/>
    </row>
    <row r="213" ht="13.5" customHeight="1" s="453">
      <c r="D213" s="11" t="n"/>
      <c r="E213" s="86" t="n"/>
      <c r="F213" s="85" t="n"/>
      <c r="G213" s="85" t="n"/>
    </row>
    <row r="214" ht="13.5" customHeight="1" s="453">
      <c r="D214" s="11" t="n"/>
      <c r="E214" s="86" t="n"/>
      <c r="F214" s="85" t="n"/>
      <c r="G214" s="85" t="n"/>
    </row>
    <row r="215" ht="13.5" customHeight="1" s="453">
      <c r="D215" s="11" t="n"/>
      <c r="E215" s="86" t="n"/>
      <c r="F215" s="85" t="n"/>
      <c r="G215" s="85" t="n"/>
    </row>
    <row r="216" ht="13.5" customHeight="1" s="453">
      <c r="D216" s="11" t="n"/>
      <c r="E216" s="86" t="n"/>
      <c r="F216" s="85" t="n"/>
      <c r="G216" s="85" t="n"/>
    </row>
    <row r="217" ht="13.5" customHeight="1" s="453">
      <c r="D217" s="11" t="n"/>
      <c r="E217" s="86" t="n"/>
      <c r="F217" s="85" t="n"/>
      <c r="G217" s="85" t="n"/>
    </row>
    <row r="218" ht="13.5" customHeight="1" s="453">
      <c r="D218" s="11" t="n"/>
      <c r="E218" s="86" t="n"/>
      <c r="F218" s="85" t="n"/>
      <c r="G218" s="85" t="n"/>
    </row>
    <row r="219" ht="13.5" customHeight="1" s="453">
      <c r="D219" s="11" t="n"/>
      <c r="E219" s="86" t="n"/>
      <c r="F219" s="85" t="n"/>
      <c r="G219" s="85" t="n"/>
    </row>
    <row r="220" ht="13.5" customHeight="1" s="453">
      <c r="D220" s="11" t="n"/>
      <c r="E220" s="86" t="n"/>
      <c r="F220" s="85" t="n"/>
      <c r="G220" s="85" t="n"/>
    </row>
    <row r="221" ht="13.5" customHeight="1" s="453">
      <c r="D221" s="11" t="n"/>
      <c r="E221" s="86" t="n"/>
      <c r="F221" s="85" t="n"/>
      <c r="G221" s="85" t="n"/>
    </row>
    <row r="222" ht="13.5" customHeight="1" s="453">
      <c r="D222" s="11" t="n"/>
      <c r="E222" s="86" t="n"/>
      <c r="F222" s="85" t="n"/>
      <c r="G222" s="85" t="n"/>
    </row>
    <row r="223" ht="13.5" customHeight="1" s="453">
      <c r="D223" s="11" t="n"/>
      <c r="E223" s="86" t="n"/>
      <c r="F223" s="85" t="n"/>
      <c r="G223" s="85" t="n"/>
    </row>
    <row r="224" ht="13.5" customHeight="1" s="453">
      <c r="D224" s="11" t="n"/>
      <c r="E224" s="86" t="n"/>
      <c r="F224" s="85" t="n"/>
      <c r="G224" s="85" t="n"/>
    </row>
    <row r="225" ht="13.5" customHeight="1" s="453">
      <c r="D225" s="11" t="n"/>
      <c r="E225" s="86" t="n"/>
      <c r="F225" s="85" t="n"/>
      <c r="G225" s="85" t="n"/>
    </row>
    <row r="226" ht="13.5" customHeight="1" s="453">
      <c r="D226" s="11" t="n"/>
      <c r="E226" s="86" t="n"/>
      <c r="F226" s="85" t="n"/>
      <c r="G226" s="85" t="n"/>
    </row>
    <row r="227" ht="13.5" customHeight="1" s="453">
      <c r="D227" s="11" t="n"/>
      <c r="E227" s="86" t="n"/>
      <c r="F227" s="85" t="n"/>
      <c r="G227" s="85" t="n"/>
    </row>
    <row r="228" ht="13.5" customHeight="1" s="453">
      <c r="D228" s="11" t="n"/>
      <c r="E228" s="86" t="n"/>
      <c r="F228" s="85" t="n"/>
      <c r="G228" s="85" t="n"/>
    </row>
    <row r="229" ht="13.5" customHeight="1" s="453">
      <c r="D229" s="11" t="n"/>
      <c r="E229" s="86" t="n"/>
      <c r="F229" s="85" t="n"/>
      <c r="G229" s="85" t="n"/>
    </row>
    <row r="230" ht="13.5" customHeight="1" s="453">
      <c r="D230" s="11" t="n"/>
      <c r="E230" s="86" t="n"/>
      <c r="F230" s="85" t="n"/>
      <c r="G230" s="85" t="n"/>
    </row>
    <row r="231" ht="13.5" customHeight="1" s="453">
      <c r="D231" s="11" t="n"/>
      <c r="E231" s="86" t="n"/>
      <c r="F231" s="85" t="n"/>
      <c r="G231" s="85" t="n"/>
    </row>
    <row r="232" ht="13.5" customHeight="1" s="453">
      <c r="D232" s="11" t="n"/>
      <c r="E232" s="86" t="n"/>
      <c r="F232" s="85" t="n"/>
      <c r="G232" s="85" t="n"/>
    </row>
    <row r="233" ht="13.5" customHeight="1" s="453">
      <c r="D233" s="11" t="n"/>
      <c r="E233" s="86" t="n"/>
      <c r="F233" s="85" t="n"/>
      <c r="G233" s="85" t="n"/>
    </row>
    <row r="234" ht="13.5" customHeight="1" s="453">
      <c r="D234" s="11" t="n"/>
      <c r="E234" s="86" t="n"/>
      <c r="F234" s="85" t="n"/>
      <c r="G234" s="85" t="n"/>
    </row>
    <row r="235" ht="13.5" customHeight="1" s="453">
      <c r="D235" s="11" t="n"/>
      <c r="E235" s="86" t="n"/>
      <c r="F235" s="85" t="n"/>
      <c r="G235" s="85" t="n"/>
    </row>
    <row r="236" ht="13.5" customHeight="1" s="453">
      <c r="D236" s="11" t="n"/>
      <c r="E236" s="86" t="n"/>
      <c r="F236" s="85" t="n"/>
      <c r="G236" s="85" t="n"/>
    </row>
    <row r="237" ht="13.5" customHeight="1" s="453">
      <c r="D237" s="11" t="n"/>
      <c r="E237" s="86" t="n"/>
      <c r="F237" s="85" t="n"/>
      <c r="G237" s="85" t="n"/>
    </row>
    <row r="238" ht="13.5" customHeight="1" s="453">
      <c r="D238" s="11" t="n"/>
      <c r="E238" s="86" t="n"/>
      <c r="F238" s="85" t="n"/>
      <c r="G238" s="85" t="n"/>
    </row>
    <row r="239" ht="13.5" customHeight="1" s="453">
      <c r="D239" s="11" t="n"/>
      <c r="E239" s="86" t="n"/>
      <c r="F239" s="85" t="n"/>
      <c r="G239" s="85" t="n"/>
    </row>
    <row r="240" ht="13.5" customHeight="1" s="453">
      <c r="D240" s="11" t="n"/>
      <c r="E240" s="86" t="n"/>
      <c r="F240" s="85" t="n"/>
      <c r="G240" s="85" t="n"/>
    </row>
    <row r="241" ht="13.5" customHeight="1" s="453">
      <c r="D241" s="11" t="n"/>
      <c r="E241" s="86" t="n"/>
      <c r="F241" s="85" t="n"/>
      <c r="G241" s="85" t="n"/>
    </row>
    <row r="242" ht="13.5" customHeight="1" s="453">
      <c r="D242" s="11" t="n"/>
      <c r="E242" s="86" t="n"/>
      <c r="F242" s="85" t="n"/>
      <c r="G242" s="85" t="n"/>
    </row>
    <row r="243" ht="13.5" customHeight="1" s="453">
      <c r="D243" s="11" t="n"/>
      <c r="E243" s="86" t="n"/>
      <c r="F243" s="85" t="n"/>
      <c r="G243" s="85" t="n"/>
    </row>
    <row r="244" ht="13.5" customHeight="1" s="453">
      <c r="D244" s="11" t="n"/>
      <c r="E244" s="86" t="n"/>
      <c r="F244" s="85" t="n"/>
      <c r="G244" s="85" t="n"/>
    </row>
    <row r="245" ht="13.5" customHeight="1" s="453">
      <c r="D245" s="11" t="n"/>
      <c r="E245" s="86" t="n"/>
      <c r="F245" s="85" t="n"/>
      <c r="G245" s="85" t="n"/>
    </row>
    <row r="246" ht="13.5" customHeight="1" s="453">
      <c r="D246" s="11" t="n"/>
      <c r="E246" s="86" t="n"/>
      <c r="F246" s="85" t="n"/>
      <c r="G246" s="85" t="n"/>
    </row>
    <row r="247" ht="13.5" customHeight="1" s="453">
      <c r="D247" s="11" t="n"/>
      <c r="E247" s="86" t="n"/>
      <c r="F247" s="85" t="n"/>
      <c r="G247" s="85" t="n"/>
    </row>
    <row r="248" ht="13.5" customHeight="1" s="453">
      <c r="D248" s="11" t="n"/>
      <c r="E248" s="86" t="n"/>
      <c r="F248" s="85" t="n"/>
      <c r="G248" s="85" t="n"/>
    </row>
    <row r="249" ht="13.5" customHeight="1" s="453">
      <c r="D249" s="11" t="n"/>
      <c r="E249" s="86" t="n"/>
      <c r="F249" s="85" t="n"/>
      <c r="G249" s="85" t="n"/>
    </row>
    <row r="250" ht="13.5" customHeight="1" s="453">
      <c r="D250" s="11" t="n"/>
      <c r="E250" s="86" t="n"/>
      <c r="F250" s="85" t="n"/>
      <c r="G250" s="85" t="n"/>
    </row>
    <row r="251" ht="13.5" customHeight="1" s="453">
      <c r="D251" s="11" t="n"/>
      <c r="E251" s="86" t="n"/>
      <c r="F251" s="85" t="n"/>
      <c r="G251" s="85" t="n"/>
    </row>
    <row r="252" ht="13.5" customHeight="1" s="453">
      <c r="D252" s="11" t="n"/>
      <c r="E252" s="86" t="n"/>
      <c r="F252" s="85" t="n"/>
      <c r="G252" s="85" t="n"/>
    </row>
    <row r="253" ht="13.5" customHeight="1" s="453">
      <c r="D253" s="11" t="n"/>
      <c r="E253" s="86" t="n"/>
      <c r="F253" s="85" t="n"/>
      <c r="G253" s="85" t="n"/>
    </row>
    <row r="254" ht="13.5" customHeight="1" s="453">
      <c r="D254" s="11" t="n"/>
      <c r="E254" s="86" t="n"/>
      <c r="F254" s="85" t="n"/>
      <c r="G254" s="85" t="n"/>
    </row>
    <row r="255" ht="13.5" customHeight="1" s="453">
      <c r="D255" s="11" t="n"/>
      <c r="E255" s="86" t="n"/>
      <c r="F255" s="85" t="n"/>
      <c r="G255" s="85" t="n"/>
    </row>
    <row r="256" ht="13.5" customHeight="1" s="453">
      <c r="D256" s="11" t="n"/>
      <c r="E256" s="86" t="n"/>
      <c r="F256" s="85" t="n"/>
      <c r="G256" s="85" t="n"/>
    </row>
    <row r="257" ht="13.5" customHeight="1" s="453">
      <c r="D257" s="11" t="n"/>
      <c r="E257" s="86" t="n"/>
      <c r="F257" s="85" t="n"/>
      <c r="G257" s="85" t="n"/>
    </row>
    <row r="258" ht="13.5" customHeight="1" s="453">
      <c r="D258" s="11" t="n"/>
      <c r="E258" s="86" t="n"/>
      <c r="F258" s="85" t="n"/>
      <c r="G258" s="85" t="n"/>
    </row>
    <row r="259" ht="13.5" customHeight="1" s="453">
      <c r="D259" s="11" t="n"/>
      <c r="E259" s="86" t="n"/>
      <c r="F259" s="85" t="n"/>
      <c r="G259" s="85" t="n"/>
    </row>
    <row r="260" ht="13.5" customHeight="1" s="453">
      <c r="D260" s="11" t="n"/>
      <c r="E260" s="86" t="n"/>
      <c r="F260" s="85" t="n"/>
      <c r="G260" s="85" t="n"/>
    </row>
    <row r="261" ht="13.5" customHeight="1" s="453">
      <c r="D261" s="11" t="n"/>
      <c r="E261" s="86" t="n"/>
      <c r="F261" s="85" t="n"/>
      <c r="G261" s="85" t="n"/>
    </row>
    <row r="262" ht="13.5" customHeight="1" s="453">
      <c r="D262" s="11" t="n"/>
      <c r="E262" s="86" t="n"/>
      <c r="F262" s="85" t="n"/>
      <c r="G262" s="85" t="n"/>
    </row>
    <row r="263" ht="13.5" customHeight="1" s="453">
      <c r="D263" s="11" t="n"/>
      <c r="E263" s="86" t="n"/>
      <c r="F263" s="85" t="n"/>
      <c r="G263" s="85" t="n"/>
    </row>
    <row r="264" ht="13.5" customHeight="1" s="453">
      <c r="D264" s="11" t="n"/>
      <c r="E264" s="86" t="n"/>
      <c r="F264" s="85" t="n"/>
      <c r="G264" s="85" t="n"/>
    </row>
    <row r="265" ht="13.5" customHeight="1" s="453">
      <c r="D265" s="11" t="n"/>
      <c r="E265" s="86" t="n"/>
      <c r="F265" s="85" t="n"/>
      <c r="G265" s="85" t="n"/>
    </row>
    <row r="266" ht="13.5" customHeight="1" s="453">
      <c r="D266" s="11" t="n"/>
      <c r="E266" s="86" t="n"/>
      <c r="F266" s="85" t="n"/>
      <c r="G266" s="85" t="n"/>
    </row>
    <row r="267" ht="13.5" customHeight="1" s="453">
      <c r="D267" s="11" t="n"/>
      <c r="E267" s="86" t="n"/>
      <c r="F267" s="85" t="n"/>
      <c r="G267" s="85" t="n"/>
    </row>
    <row r="268" ht="13.5" customHeight="1" s="453">
      <c r="D268" s="11" t="n"/>
      <c r="E268" s="86" t="n"/>
      <c r="F268" s="85" t="n"/>
      <c r="G268" s="85" t="n"/>
    </row>
    <row r="269" ht="13.5" customHeight="1" s="453">
      <c r="D269" s="11" t="n"/>
      <c r="E269" s="86" t="n"/>
      <c r="F269" s="85" t="n"/>
      <c r="G269" s="85" t="n"/>
    </row>
    <row r="270" ht="13.5" customHeight="1" s="453">
      <c r="D270" s="11" t="n"/>
      <c r="E270" s="86" t="n"/>
      <c r="F270" s="85" t="n"/>
      <c r="G270" s="85" t="n"/>
    </row>
    <row r="271" ht="13.5" customHeight="1" s="453">
      <c r="D271" s="11" t="n"/>
      <c r="E271" s="86" t="n"/>
      <c r="F271" s="85" t="n"/>
      <c r="G271" s="85" t="n"/>
    </row>
    <row r="272" ht="13.5" customHeight="1" s="453">
      <c r="D272" s="11" t="n"/>
      <c r="E272" s="86" t="n"/>
      <c r="F272" s="85" t="n"/>
      <c r="G272" s="85" t="n"/>
    </row>
    <row r="273" ht="13.5" customHeight="1" s="453">
      <c r="D273" s="11" t="n"/>
      <c r="E273" s="86" t="n"/>
      <c r="F273" s="85" t="n"/>
      <c r="G273" s="85" t="n"/>
    </row>
    <row r="274" ht="13.5" customHeight="1" s="453">
      <c r="D274" s="11" t="n"/>
      <c r="E274" s="86" t="n"/>
      <c r="F274" s="85" t="n"/>
      <c r="G274" s="85" t="n"/>
    </row>
    <row r="275" ht="13.5" customHeight="1" s="453">
      <c r="D275" s="11" t="n"/>
      <c r="E275" s="86" t="n"/>
      <c r="F275" s="85" t="n"/>
      <c r="G275" s="85" t="n"/>
    </row>
    <row r="276" ht="13.5" customHeight="1" s="453">
      <c r="D276" s="11" t="n"/>
      <c r="E276" s="86" t="n"/>
      <c r="F276" s="85" t="n"/>
      <c r="G276" s="85" t="n"/>
    </row>
    <row r="277" ht="13.5" customHeight="1" s="453">
      <c r="D277" s="11" t="n"/>
      <c r="E277" s="86" t="n"/>
      <c r="F277" s="85" t="n"/>
      <c r="G277" s="85" t="n"/>
    </row>
    <row r="278" ht="13.5" customHeight="1" s="453">
      <c r="D278" s="11" t="n"/>
      <c r="E278" s="86" t="n"/>
      <c r="F278" s="85" t="n"/>
      <c r="G278" s="85" t="n"/>
    </row>
    <row r="279" ht="13.5" customHeight="1" s="453">
      <c r="D279" s="11" t="n"/>
      <c r="E279" s="86" t="n"/>
      <c r="F279" s="85" t="n"/>
      <c r="G279" s="85" t="n"/>
    </row>
    <row r="280" ht="13.5" customHeight="1" s="453">
      <c r="D280" s="11" t="n"/>
      <c r="E280" s="86" t="n"/>
      <c r="F280" s="85" t="n"/>
      <c r="G280" s="85" t="n"/>
    </row>
    <row r="281" ht="13.5" customHeight="1" s="453">
      <c r="D281" s="11" t="n"/>
      <c r="E281" s="86" t="n"/>
      <c r="F281" s="85" t="n"/>
      <c r="G281" s="85" t="n"/>
    </row>
    <row r="282" ht="13.5" customHeight="1" s="453">
      <c r="D282" s="11" t="n"/>
      <c r="E282" s="86" t="n"/>
      <c r="F282" s="85" t="n"/>
      <c r="G282" s="85" t="n"/>
    </row>
    <row r="283" ht="13.5" customHeight="1" s="453">
      <c r="D283" s="11" t="n"/>
      <c r="E283" s="86" t="n"/>
      <c r="F283" s="85" t="n"/>
      <c r="G283" s="85" t="n"/>
    </row>
    <row r="284" ht="13.5" customHeight="1" s="453">
      <c r="D284" s="11" t="n"/>
      <c r="E284" s="86" t="n"/>
      <c r="F284" s="85" t="n"/>
      <c r="G284" s="85" t="n"/>
    </row>
    <row r="285" ht="13.5" customHeight="1" s="453">
      <c r="D285" s="11" t="n"/>
      <c r="E285" s="86" t="n"/>
      <c r="F285" s="85" t="n"/>
      <c r="G285" s="85" t="n"/>
    </row>
    <row r="286" ht="13.5" customHeight="1" s="453">
      <c r="D286" s="11" t="n"/>
      <c r="E286" s="86" t="n"/>
      <c r="F286" s="85" t="n"/>
      <c r="G286" s="85" t="n"/>
    </row>
    <row r="287" ht="13.5" customHeight="1" s="453">
      <c r="D287" s="11" t="n"/>
      <c r="E287" s="86" t="n"/>
      <c r="F287" s="85" t="n"/>
      <c r="G287" s="85" t="n"/>
    </row>
    <row r="288" ht="13.5" customHeight="1" s="453">
      <c r="D288" s="11" t="n"/>
      <c r="E288" s="86" t="n"/>
      <c r="F288" s="85" t="n"/>
      <c r="G288" s="85" t="n"/>
    </row>
    <row r="289" ht="13.5" customHeight="1" s="453">
      <c r="D289" s="11" t="n"/>
      <c r="E289" s="86" t="n"/>
      <c r="F289" s="85" t="n"/>
      <c r="G289" s="85" t="n"/>
    </row>
    <row r="290" ht="13.5" customHeight="1" s="453">
      <c r="D290" s="11" t="n"/>
      <c r="E290" s="86" t="n"/>
      <c r="F290" s="85" t="n"/>
      <c r="G290" s="85" t="n"/>
    </row>
    <row r="291" ht="13.5" customHeight="1" s="453">
      <c r="D291" s="11" t="n"/>
      <c r="E291" s="86" t="n"/>
      <c r="F291" s="85" t="n"/>
      <c r="G291" s="85" t="n"/>
    </row>
    <row r="292" ht="13.5" customHeight="1" s="453">
      <c r="D292" s="11" t="n"/>
      <c r="E292" s="86" t="n"/>
      <c r="F292" s="85" t="n"/>
      <c r="G292" s="85" t="n"/>
    </row>
    <row r="293" ht="13.5" customHeight="1" s="453">
      <c r="D293" s="11" t="n"/>
      <c r="E293" s="86" t="n"/>
      <c r="F293" s="85" t="n"/>
      <c r="G293" s="85" t="n"/>
    </row>
    <row r="294" ht="13.5" customHeight="1" s="453">
      <c r="D294" s="11" t="n"/>
      <c r="E294" s="86" t="n"/>
      <c r="F294" s="85" t="n"/>
      <c r="G294" s="85" t="n"/>
    </row>
    <row r="295" ht="13.5" customHeight="1" s="453">
      <c r="D295" s="11" t="n"/>
      <c r="E295" s="86" t="n"/>
      <c r="F295" s="85" t="n"/>
      <c r="G295" s="85" t="n"/>
    </row>
    <row r="296" ht="13.5" customHeight="1" s="453">
      <c r="D296" s="11" t="n"/>
      <c r="E296" s="86" t="n"/>
      <c r="F296" s="85" t="n"/>
      <c r="G296" s="85" t="n"/>
    </row>
    <row r="297" ht="13.5" customHeight="1" s="453">
      <c r="D297" s="11" t="n"/>
      <c r="E297" s="86" t="n"/>
      <c r="F297" s="85" t="n"/>
      <c r="G297" s="85" t="n"/>
    </row>
    <row r="298" ht="13.5" customHeight="1" s="453">
      <c r="D298" s="11" t="n"/>
      <c r="E298" s="86" t="n"/>
      <c r="F298" s="85" t="n"/>
      <c r="G298" s="85" t="n"/>
    </row>
    <row r="299" ht="13.5" customHeight="1" s="453">
      <c r="D299" s="11" t="n"/>
      <c r="E299" s="86" t="n"/>
      <c r="F299" s="85" t="n"/>
      <c r="G299" s="85" t="n"/>
    </row>
    <row r="300" ht="13.5" customHeight="1" s="453">
      <c r="D300" s="11" t="n"/>
      <c r="E300" s="86" t="n"/>
      <c r="F300" s="85" t="n"/>
      <c r="G300" s="85" t="n"/>
    </row>
    <row r="301" ht="13.5" customHeight="1" s="453">
      <c r="D301" s="11" t="n"/>
      <c r="E301" s="86" t="n"/>
      <c r="F301" s="85" t="n"/>
      <c r="G301" s="85" t="n"/>
    </row>
    <row r="302" ht="13.5" customHeight="1" s="453">
      <c r="D302" s="11" t="n"/>
      <c r="E302" s="86" t="n"/>
      <c r="F302" s="85" t="n"/>
      <c r="G302" s="85" t="n"/>
    </row>
    <row r="303" ht="13.5" customHeight="1" s="453">
      <c r="D303" s="11" t="n"/>
      <c r="E303" s="86" t="n"/>
      <c r="F303" s="85" t="n"/>
      <c r="G303" s="85" t="n"/>
    </row>
    <row r="304" ht="13.5" customHeight="1" s="453">
      <c r="D304" s="11" t="n"/>
      <c r="E304" s="86" t="n"/>
      <c r="F304" s="85" t="n"/>
      <c r="G304" s="85" t="n"/>
    </row>
    <row r="305" ht="13.5" customHeight="1" s="453">
      <c r="D305" s="11" t="n"/>
      <c r="E305" s="86" t="n"/>
      <c r="F305" s="85" t="n"/>
      <c r="G305" s="85" t="n"/>
    </row>
    <row r="306" ht="13.5" customHeight="1" s="453">
      <c r="D306" s="11" t="n"/>
      <c r="E306" s="86" t="n"/>
      <c r="F306" s="85" t="n"/>
      <c r="G306" s="85" t="n"/>
    </row>
    <row r="307" ht="13.5" customHeight="1" s="453">
      <c r="D307" s="11" t="n"/>
      <c r="E307" s="86" t="n"/>
      <c r="F307" s="85" t="n"/>
      <c r="G307" s="85" t="n"/>
    </row>
    <row r="308" ht="13.5" customHeight="1" s="453">
      <c r="D308" s="11" t="n"/>
      <c r="E308" s="86" t="n"/>
      <c r="F308" s="85" t="n"/>
      <c r="G308" s="85" t="n"/>
    </row>
    <row r="309" ht="13.5" customHeight="1" s="453">
      <c r="D309" s="11" t="n"/>
      <c r="E309" s="86" t="n"/>
      <c r="F309" s="85" t="n"/>
      <c r="G309" s="85" t="n"/>
    </row>
    <row r="310" ht="13.5" customHeight="1" s="453">
      <c r="D310" s="11" t="n"/>
      <c r="E310" s="86" t="n"/>
      <c r="F310" s="85" t="n"/>
      <c r="G310" s="85" t="n"/>
    </row>
    <row r="311" ht="13.5" customHeight="1" s="453">
      <c r="D311" s="11" t="n"/>
      <c r="E311" s="86" t="n"/>
      <c r="F311" s="85" t="n"/>
      <c r="G311" s="85" t="n"/>
    </row>
    <row r="312" ht="13.5" customHeight="1" s="453">
      <c r="D312" s="11" t="n"/>
      <c r="E312" s="86" t="n"/>
      <c r="F312" s="85" t="n"/>
      <c r="G312" s="85" t="n"/>
    </row>
    <row r="313" ht="13.5" customHeight="1" s="453">
      <c r="D313" s="11" t="n"/>
      <c r="E313" s="86" t="n"/>
      <c r="F313" s="85" t="n"/>
      <c r="G313" s="85" t="n"/>
    </row>
    <row r="314" ht="13.5" customHeight="1" s="453">
      <c r="D314" s="11" t="n"/>
      <c r="E314" s="86" t="n"/>
      <c r="F314" s="85" t="n"/>
      <c r="G314" s="85" t="n"/>
    </row>
    <row r="315" ht="13.5" customHeight="1" s="453">
      <c r="D315" s="11" t="n"/>
      <c r="E315" s="86" t="n"/>
      <c r="F315" s="85" t="n"/>
      <c r="G315" s="85" t="n"/>
    </row>
    <row r="316" ht="13.5" customHeight="1" s="453">
      <c r="D316" s="11" t="n"/>
      <c r="E316" s="86" t="n"/>
      <c r="F316" s="85" t="n"/>
      <c r="G316" s="85" t="n"/>
    </row>
    <row r="317" ht="13.5" customHeight="1" s="453">
      <c r="D317" s="11" t="n"/>
      <c r="E317" s="86" t="n"/>
      <c r="F317" s="85" t="n"/>
      <c r="G317" s="85" t="n"/>
    </row>
    <row r="318" ht="13.5" customHeight="1" s="453">
      <c r="D318" s="11" t="n"/>
      <c r="E318" s="86" t="n"/>
      <c r="F318" s="85" t="n"/>
      <c r="G318" s="85" t="n"/>
    </row>
    <row r="319" ht="13.5" customHeight="1" s="453">
      <c r="D319" s="11" t="n"/>
      <c r="E319" s="86" t="n"/>
      <c r="F319" s="85" t="n"/>
      <c r="G319" s="85" t="n"/>
    </row>
    <row r="320" ht="13.5" customHeight="1" s="453">
      <c r="D320" s="11" t="n"/>
      <c r="E320" s="86" t="n"/>
      <c r="F320" s="85" t="n"/>
      <c r="G320" s="85" t="n"/>
    </row>
    <row r="321" ht="13.5" customHeight="1" s="453">
      <c r="D321" s="11" t="n"/>
      <c r="E321" s="86" t="n"/>
      <c r="F321" s="85" t="n"/>
      <c r="G321" s="85" t="n"/>
    </row>
    <row r="322" ht="13.5" customHeight="1" s="453">
      <c r="D322" s="11" t="n"/>
      <c r="E322" s="86" t="n"/>
      <c r="F322" s="85" t="n"/>
      <c r="G322" s="85" t="n"/>
    </row>
    <row r="323" ht="13.5" customHeight="1" s="453">
      <c r="D323" s="11" t="n"/>
      <c r="E323" s="86" t="n"/>
      <c r="F323" s="85" t="n"/>
      <c r="G323" s="85" t="n"/>
    </row>
    <row r="324" ht="13.5" customHeight="1" s="453">
      <c r="D324" s="11" t="n"/>
      <c r="E324" s="86" t="n"/>
      <c r="F324" s="85" t="n"/>
      <c r="G324" s="85" t="n"/>
    </row>
    <row r="325" ht="13.5" customHeight="1" s="453">
      <c r="D325" s="11" t="n"/>
      <c r="E325" s="86" t="n"/>
      <c r="F325" s="85" t="n"/>
      <c r="G325" s="85" t="n"/>
    </row>
    <row r="326" ht="13.5" customHeight="1" s="453">
      <c r="D326" s="11" t="n"/>
      <c r="E326" s="86" t="n"/>
      <c r="F326" s="85" t="n"/>
      <c r="G326" s="85" t="n"/>
    </row>
    <row r="327" ht="13.5" customHeight="1" s="453">
      <c r="D327" s="11" t="n"/>
      <c r="E327" s="86" t="n"/>
      <c r="F327" s="85" t="n"/>
      <c r="G327" s="85" t="n"/>
    </row>
    <row r="328" ht="13.5" customHeight="1" s="453">
      <c r="D328" s="11" t="n"/>
      <c r="E328" s="86" t="n"/>
      <c r="F328" s="85" t="n"/>
      <c r="G328" s="85" t="n"/>
    </row>
    <row r="329" ht="13.5" customHeight="1" s="453">
      <c r="D329" s="11" t="n"/>
      <c r="E329" s="86" t="n"/>
      <c r="F329" s="85" t="n"/>
      <c r="G329" s="85" t="n"/>
    </row>
    <row r="330" ht="13.5" customHeight="1" s="453">
      <c r="D330" s="11" t="n"/>
      <c r="E330" s="86" t="n"/>
      <c r="F330" s="85" t="n"/>
      <c r="G330" s="85" t="n"/>
    </row>
    <row r="331" ht="13.5" customHeight="1" s="453">
      <c r="D331" s="11" t="n"/>
      <c r="E331" s="86" t="n"/>
      <c r="F331" s="85" t="n"/>
      <c r="G331" s="85" t="n"/>
    </row>
    <row r="332" ht="13.5" customHeight="1" s="453">
      <c r="D332" s="11" t="n"/>
      <c r="E332" s="86" t="n"/>
      <c r="F332" s="85" t="n"/>
      <c r="G332" s="85" t="n"/>
    </row>
    <row r="333" ht="13.5" customHeight="1" s="453">
      <c r="D333" s="11" t="n"/>
      <c r="E333" s="86" t="n"/>
      <c r="F333" s="85" t="n"/>
      <c r="G333" s="85" t="n"/>
    </row>
    <row r="334" ht="13.5" customHeight="1" s="453">
      <c r="D334" s="11" t="n"/>
      <c r="E334" s="86" t="n"/>
      <c r="F334" s="85" t="n"/>
      <c r="G334" s="85" t="n"/>
    </row>
    <row r="335" ht="13.5" customHeight="1" s="453">
      <c r="D335" s="11" t="n"/>
      <c r="E335" s="86" t="n"/>
      <c r="F335" s="85" t="n"/>
      <c r="G335" s="85" t="n"/>
    </row>
    <row r="336" ht="13.5" customHeight="1" s="453">
      <c r="D336" s="11" t="n"/>
      <c r="E336" s="86" t="n"/>
      <c r="F336" s="85" t="n"/>
      <c r="G336" s="85" t="n"/>
    </row>
    <row r="337" ht="13.5" customHeight="1" s="453">
      <c r="D337" s="11" t="n"/>
      <c r="E337" s="86" t="n"/>
      <c r="F337" s="85" t="n"/>
      <c r="G337" s="85" t="n"/>
    </row>
    <row r="338" ht="13.5" customHeight="1" s="453">
      <c r="D338" s="11" t="n"/>
      <c r="E338" s="86" t="n"/>
      <c r="F338" s="85" t="n"/>
      <c r="G338" s="85" t="n"/>
    </row>
    <row r="339" ht="13.5" customHeight="1" s="453">
      <c r="D339" s="11" t="n"/>
      <c r="E339" s="86" t="n"/>
      <c r="F339" s="85" t="n"/>
      <c r="G339" s="85" t="n"/>
    </row>
    <row r="340" ht="13.5" customHeight="1" s="453">
      <c r="D340" s="11" t="n"/>
      <c r="E340" s="86" t="n"/>
      <c r="F340" s="85" t="n"/>
      <c r="G340" s="85" t="n"/>
    </row>
    <row r="341" ht="13.5" customHeight="1" s="453">
      <c r="D341" s="11" t="n"/>
      <c r="E341" s="86" t="n"/>
      <c r="F341" s="85" t="n"/>
      <c r="G341" s="85" t="n"/>
    </row>
    <row r="342" ht="13.5" customHeight="1" s="453">
      <c r="D342" s="11" t="n"/>
      <c r="E342" s="86" t="n"/>
      <c r="F342" s="85" t="n"/>
      <c r="G342" s="85" t="n"/>
    </row>
    <row r="343" ht="13.5" customHeight="1" s="453">
      <c r="D343" s="11" t="n"/>
      <c r="E343" s="86" t="n"/>
      <c r="F343" s="85" t="n"/>
      <c r="G343" s="85" t="n"/>
    </row>
    <row r="344" ht="13.5" customHeight="1" s="453">
      <c r="D344" s="11" t="n"/>
      <c r="E344" s="86" t="n"/>
      <c r="F344" s="85" t="n"/>
      <c r="G344" s="85" t="n"/>
    </row>
    <row r="345" ht="13.5" customHeight="1" s="453">
      <c r="D345" s="11" t="n"/>
      <c r="E345" s="86" t="n"/>
      <c r="F345" s="85" t="n"/>
      <c r="G345" s="85" t="n"/>
    </row>
    <row r="346" ht="13.5" customHeight="1" s="453">
      <c r="D346" s="11" t="n"/>
      <c r="E346" s="86" t="n"/>
      <c r="F346" s="85" t="n"/>
      <c r="G346" s="85" t="n"/>
    </row>
    <row r="347" ht="13.5" customHeight="1" s="453">
      <c r="D347" s="11" t="n"/>
      <c r="E347" s="86" t="n"/>
      <c r="F347" s="85" t="n"/>
      <c r="G347" s="85" t="n"/>
    </row>
    <row r="348" ht="13.5" customHeight="1" s="453">
      <c r="D348" s="11" t="n"/>
      <c r="E348" s="86" t="n"/>
      <c r="F348" s="85" t="n"/>
      <c r="G348" s="85" t="n"/>
    </row>
    <row r="349" ht="13.5" customHeight="1" s="453">
      <c r="D349" s="11" t="n"/>
      <c r="E349" s="86" t="n"/>
      <c r="F349" s="85" t="n"/>
      <c r="G349" s="85" t="n"/>
    </row>
    <row r="350" ht="13.5" customHeight="1" s="453">
      <c r="D350" s="11" t="n"/>
      <c r="E350" s="86" t="n"/>
      <c r="F350" s="85" t="n"/>
      <c r="G350" s="85" t="n"/>
    </row>
    <row r="351" ht="13.5" customHeight="1" s="453">
      <c r="D351" s="11" t="n"/>
      <c r="E351" s="86" t="n"/>
      <c r="F351" s="85" t="n"/>
      <c r="G351" s="85" t="n"/>
    </row>
    <row r="352" ht="13.5" customHeight="1" s="453">
      <c r="D352" s="11" t="n"/>
      <c r="E352" s="86" t="n"/>
      <c r="F352" s="85" t="n"/>
      <c r="G352" s="85" t="n"/>
    </row>
    <row r="353" ht="13.5" customHeight="1" s="453">
      <c r="D353" s="11" t="n"/>
      <c r="E353" s="86" t="n"/>
      <c r="F353" s="85" t="n"/>
      <c r="G353" s="85" t="n"/>
    </row>
    <row r="354" ht="13.5" customHeight="1" s="453">
      <c r="D354" s="11" t="n"/>
      <c r="E354" s="86" t="n"/>
      <c r="F354" s="85" t="n"/>
      <c r="G354" s="85" t="n"/>
    </row>
    <row r="355" ht="13.5" customHeight="1" s="453">
      <c r="D355" s="11" t="n"/>
      <c r="E355" s="86" t="n"/>
      <c r="F355" s="85" t="n"/>
      <c r="G355" s="85" t="n"/>
    </row>
    <row r="356" ht="13.5" customHeight="1" s="453">
      <c r="D356" s="11" t="n"/>
      <c r="E356" s="86" t="n"/>
      <c r="F356" s="85" t="n"/>
      <c r="G356" s="85" t="n"/>
    </row>
    <row r="357" ht="13.5" customHeight="1" s="453">
      <c r="D357" s="11" t="n"/>
      <c r="E357" s="86" t="n"/>
      <c r="F357" s="85" t="n"/>
      <c r="G357" s="85" t="n"/>
    </row>
    <row r="358" ht="13.5" customHeight="1" s="453">
      <c r="D358" s="11" t="n"/>
      <c r="E358" s="86" t="n"/>
      <c r="F358" s="85" t="n"/>
      <c r="G358" s="85" t="n"/>
    </row>
    <row r="359" ht="13.5" customHeight="1" s="453">
      <c r="D359" s="11" t="n"/>
      <c r="E359" s="86" t="n"/>
      <c r="F359" s="85" t="n"/>
      <c r="G359" s="85" t="n"/>
    </row>
    <row r="360" ht="13.5" customHeight="1" s="453">
      <c r="D360" s="11" t="n"/>
      <c r="E360" s="86" t="n"/>
      <c r="F360" s="85" t="n"/>
      <c r="G360" s="85" t="n"/>
    </row>
    <row r="361" ht="13.5" customHeight="1" s="453">
      <c r="D361" s="11" t="n"/>
      <c r="E361" s="86" t="n"/>
      <c r="F361" s="85" t="n"/>
      <c r="G361" s="85" t="n"/>
    </row>
    <row r="362" ht="13.5" customHeight="1" s="453">
      <c r="D362" s="11" t="n"/>
      <c r="E362" s="86" t="n"/>
      <c r="F362" s="85" t="n"/>
      <c r="G362" s="85" t="n"/>
    </row>
    <row r="363" ht="13.5" customHeight="1" s="453">
      <c r="D363" s="11" t="n"/>
      <c r="E363" s="86" t="n"/>
      <c r="F363" s="85" t="n"/>
      <c r="G363" s="85" t="n"/>
    </row>
    <row r="364" ht="13.5" customHeight="1" s="453">
      <c r="D364" s="11" t="n"/>
      <c r="E364" s="86" t="n"/>
      <c r="F364" s="85" t="n"/>
      <c r="G364" s="85" t="n"/>
    </row>
    <row r="365" ht="13.5" customHeight="1" s="453">
      <c r="D365" s="11" t="n"/>
      <c r="E365" s="86" t="n"/>
      <c r="F365" s="85" t="n"/>
      <c r="G365" s="85" t="n"/>
    </row>
    <row r="366" ht="13.5" customHeight="1" s="453">
      <c r="D366" s="11" t="n"/>
      <c r="E366" s="86" t="n"/>
      <c r="F366" s="85" t="n"/>
      <c r="G366" s="85" t="n"/>
    </row>
    <row r="367" ht="13.5" customHeight="1" s="453">
      <c r="D367" s="11" t="n"/>
      <c r="E367" s="86" t="n"/>
      <c r="F367" s="85" t="n"/>
      <c r="G367" s="85" t="n"/>
    </row>
    <row r="368" ht="13.5" customHeight="1" s="453">
      <c r="D368" s="11" t="n"/>
      <c r="E368" s="86" t="n"/>
      <c r="F368" s="85" t="n"/>
      <c r="G368" s="85" t="n"/>
    </row>
    <row r="369" ht="13.5" customHeight="1" s="453">
      <c r="D369" s="11" t="n"/>
      <c r="E369" s="86" t="n"/>
      <c r="F369" s="85" t="n"/>
      <c r="G369" s="85" t="n"/>
    </row>
    <row r="370" ht="13.5" customHeight="1" s="453">
      <c r="D370" s="11" t="n"/>
      <c r="E370" s="86" t="n"/>
      <c r="F370" s="85" t="n"/>
      <c r="G370" s="85" t="n"/>
    </row>
    <row r="371" ht="13.5" customHeight="1" s="453">
      <c r="D371" s="11" t="n"/>
      <c r="E371" s="86" t="n"/>
      <c r="F371" s="85" t="n"/>
      <c r="G371" s="85" t="n"/>
    </row>
    <row r="372" ht="13.5" customHeight="1" s="453">
      <c r="D372" s="11" t="n"/>
      <c r="E372" s="86" t="n"/>
      <c r="F372" s="85" t="n"/>
      <c r="G372" s="85" t="n"/>
    </row>
    <row r="373" ht="13.5" customHeight="1" s="453">
      <c r="D373" s="11" t="n"/>
      <c r="E373" s="86" t="n"/>
      <c r="F373" s="85" t="n"/>
      <c r="G373" s="85" t="n"/>
    </row>
    <row r="374" ht="13.5" customHeight="1" s="453">
      <c r="D374" s="11" t="n"/>
      <c r="E374" s="86" t="n"/>
      <c r="F374" s="85" t="n"/>
      <c r="G374" s="85" t="n"/>
    </row>
    <row r="375" ht="13.5" customHeight="1" s="453">
      <c r="D375" s="11" t="n"/>
      <c r="E375" s="86" t="n"/>
      <c r="F375" s="85" t="n"/>
      <c r="G375" s="85" t="n"/>
    </row>
    <row r="376" ht="13.5" customHeight="1" s="453">
      <c r="D376" s="11" t="n"/>
      <c r="E376" s="86" t="n"/>
      <c r="F376" s="85" t="n"/>
      <c r="G376" s="85" t="n"/>
    </row>
    <row r="377" ht="13.5" customHeight="1" s="453">
      <c r="D377" s="11" t="n"/>
      <c r="E377" s="86" t="n"/>
      <c r="F377" s="85" t="n"/>
      <c r="G377" s="85" t="n"/>
    </row>
    <row r="378" ht="13.5" customHeight="1" s="453">
      <c r="D378" s="11" t="n"/>
      <c r="E378" s="86" t="n"/>
      <c r="F378" s="85" t="n"/>
      <c r="G378" s="85" t="n"/>
    </row>
    <row r="379" ht="13.5" customHeight="1" s="453">
      <c r="D379" s="11" t="n"/>
      <c r="E379" s="86" t="n"/>
      <c r="F379" s="85" t="n"/>
      <c r="G379" s="85" t="n"/>
    </row>
    <row r="380" ht="13.5" customHeight="1" s="453">
      <c r="D380" s="11" t="n"/>
      <c r="E380" s="86" t="n"/>
      <c r="F380" s="85" t="n"/>
      <c r="G380" s="85" t="n"/>
    </row>
    <row r="381" ht="13.5" customHeight="1" s="453">
      <c r="D381" s="11" t="n"/>
      <c r="E381" s="86" t="n"/>
      <c r="F381" s="85" t="n"/>
      <c r="G381" s="85" t="n"/>
    </row>
    <row r="382" ht="13.5" customHeight="1" s="453">
      <c r="D382" s="11" t="n"/>
      <c r="E382" s="86" t="n"/>
      <c r="F382" s="85" t="n"/>
      <c r="G382" s="85" t="n"/>
    </row>
    <row r="383" ht="13.5" customHeight="1" s="453">
      <c r="D383" s="11" t="n"/>
      <c r="E383" s="86" t="n"/>
      <c r="F383" s="85" t="n"/>
      <c r="G383" s="85" t="n"/>
    </row>
    <row r="384" ht="13.5" customHeight="1" s="453">
      <c r="D384" s="11" t="n"/>
      <c r="E384" s="86" t="n"/>
      <c r="F384" s="85" t="n"/>
      <c r="G384" s="85" t="n"/>
    </row>
    <row r="385" ht="13.5" customHeight="1" s="453">
      <c r="D385" s="11" t="n"/>
      <c r="E385" s="86" t="n"/>
      <c r="F385" s="85" t="n"/>
      <c r="G385" s="85" t="n"/>
    </row>
    <row r="386" ht="13.5" customHeight="1" s="453">
      <c r="D386" s="11" t="n"/>
      <c r="E386" s="86" t="n"/>
      <c r="F386" s="85" t="n"/>
      <c r="G386" s="85" t="n"/>
    </row>
    <row r="387" ht="13.5" customHeight="1" s="453">
      <c r="D387" s="11" t="n"/>
      <c r="E387" s="86" t="n"/>
      <c r="F387" s="85" t="n"/>
      <c r="G387" s="85" t="n"/>
    </row>
    <row r="388" ht="13.5" customHeight="1" s="453">
      <c r="D388" s="11" t="n"/>
      <c r="E388" s="86" t="n"/>
      <c r="F388" s="85" t="n"/>
      <c r="G388" s="85" t="n"/>
    </row>
    <row r="389" ht="13.5" customHeight="1" s="453">
      <c r="D389" s="11" t="n"/>
      <c r="E389" s="86" t="n"/>
      <c r="F389" s="85" t="n"/>
      <c r="G389" s="85" t="n"/>
    </row>
    <row r="390" ht="13.5" customHeight="1" s="453">
      <c r="D390" s="11" t="n"/>
      <c r="E390" s="86" t="n"/>
      <c r="F390" s="85" t="n"/>
      <c r="G390" s="85" t="n"/>
    </row>
    <row r="391" ht="13.5" customHeight="1" s="453">
      <c r="D391" s="11" t="n"/>
      <c r="E391" s="86" t="n"/>
      <c r="F391" s="85" t="n"/>
      <c r="G391" s="85" t="n"/>
    </row>
    <row r="392" ht="13.5" customHeight="1" s="453">
      <c r="D392" s="11" t="n"/>
      <c r="E392" s="86" t="n"/>
      <c r="F392" s="85" t="n"/>
      <c r="G392" s="85" t="n"/>
    </row>
    <row r="393" ht="13.5" customHeight="1" s="453">
      <c r="D393" s="11" t="n"/>
      <c r="E393" s="86" t="n"/>
      <c r="F393" s="85" t="n"/>
      <c r="G393" s="85" t="n"/>
    </row>
    <row r="394" ht="13.5" customHeight="1" s="453">
      <c r="D394" s="11" t="n"/>
      <c r="E394" s="86" t="n"/>
      <c r="F394" s="85" t="n"/>
      <c r="G394" s="85" t="n"/>
    </row>
    <row r="395" ht="13.5" customHeight="1" s="453">
      <c r="D395" s="11" t="n"/>
      <c r="E395" s="86" t="n"/>
      <c r="F395" s="85" t="n"/>
      <c r="G395" s="85" t="n"/>
    </row>
    <row r="396" ht="13.5" customHeight="1" s="453">
      <c r="D396" s="11" t="n"/>
      <c r="E396" s="86" t="n"/>
      <c r="F396" s="85" t="n"/>
      <c r="G396" s="85" t="n"/>
    </row>
    <row r="397" ht="13.5" customHeight="1" s="453">
      <c r="D397" s="11" t="n"/>
      <c r="E397" s="86" t="n"/>
      <c r="F397" s="85" t="n"/>
      <c r="G397" s="85" t="n"/>
    </row>
    <row r="398" ht="13.5" customHeight="1" s="453">
      <c r="D398" s="11" t="n"/>
      <c r="E398" s="86" t="n"/>
      <c r="F398" s="85" t="n"/>
      <c r="G398" s="85" t="n"/>
    </row>
    <row r="399" ht="13.5" customHeight="1" s="453">
      <c r="D399" s="11" t="n"/>
      <c r="E399" s="86" t="n"/>
      <c r="F399" s="85" t="n"/>
      <c r="G399" s="85" t="n"/>
    </row>
    <row r="400" ht="13.5" customHeight="1" s="453">
      <c r="D400" s="11" t="n"/>
      <c r="E400" s="86" t="n"/>
      <c r="F400" s="85" t="n"/>
      <c r="G400" s="85" t="n"/>
    </row>
    <row r="401" ht="13.5" customHeight="1" s="453">
      <c r="D401" s="11" t="n"/>
      <c r="E401" s="86" t="n"/>
      <c r="F401" s="85" t="n"/>
      <c r="G401" s="85" t="n"/>
    </row>
    <row r="402" ht="13.5" customHeight="1" s="453">
      <c r="D402" s="11" t="n"/>
      <c r="E402" s="86" t="n"/>
      <c r="F402" s="85" t="n"/>
      <c r="G402" s="85" t="n"/>
    </row>
    <row r="403" ht="13.5" customHeight="1" s="453">
      <c r="D403" s="11" t="n"/>
      <c r="E403" s="86" t="n"/>
      <c r="F403" s="85" t="n"/>
      <c r="G403" s="85" t="n"/>
    </row>
    <row r="404" ht="13.5" customHeight="1" s="453">
      <c r="D404" s="11" t="n"/>
      <c r="E404" s="86" t="n"/>
      <c r="F404" s="85" t="n"/>
      <c r="G404" s="85" t="n"/>
    </row>
    <row r="405" ht="13.5" customHeight="1" s="453">
      <c r="D405" s="11" t="n"/>
      <c r="E405" s="86" t="n"/>
      <c r="F405" s="85" t="n"/>
      <c r="G405" s="85" t="n"/>
    </row>
    <row r="406" ht="13.5" customHeight="1" s="453">
      <c r="D406" s="11" t="n"/>
      <c r="E406" s="86" t="n"/>
      <c r="F406" s="85" t="n"/>
      <c r="G406" s="85" t="n"/>
    </row>
    <row r="407" ht="13.5" customHeight="1" s="453">
      <c r="D407" s="11" t="n"/>
      <c r="E407" s="86" t="n"/>
      <c r="F407" s="85" t="n"/>
      <c r="G407" s="85" t="n"/>
    </row>
    <row r="408" ht="13.5" customHeight="1" s="453">
      <c r="D408" s="11" t="n"/>
      <c r="E408" s="86" t="n"/>
      <c r="F408" s="85" t="n"/>
      <c r="G408" s="85" t="n"/>
    </row>
    <row r="409" ht="13.5" customHeight="1" s="453">
      <c r="D409" s="11" t="n"/>
      <c r="E409" s="86" t="n"/>
      <c r="F409" s="85" t="n"/>
      <c r="G409" s="85" t="n"/>
    </row>
    <row r="410" ht="13.5" customHeight="1" s="453">
      <c r="D410" s="11" t="n"/>
      <c r="E410" s="86" t="n"/>
      <c r="F410" s="85" t="n"/>
      <c r="G410" s="85" t="n"/>
    </row>
    <row r="411" ht="13.5" customHeight="1" s="453">
      <c r="D411" s="11" t="n"/>
      <c r="E411" s="86" t="n"/>
      <c r="F411" s="85" t="n"/>
      <c r="G411" s="85" t="n"/>
    </row>
    <row r="412" ht="13.5" customHeight="1" s="453">
      <c r="D412" s="11" t="n"/>
      <c r="E412" s="86" t="n"/>
      <c r="F412" s="85" t="n"/>
      <c r="G412" s="85" t="n"/>
    </row>
    <row r="413" ht="13.5" customHeight="1" s="453">
      <c r="D413" s="11" t="n"/>
      <c r="E413" s="86" t="n"/>
      <c r="F413" s="85" t="n"/>
      <c r="G413" s="85" t="n"/>
    </row>
    <row r="414" ht="13.5" customHeight="1" s="453">
      <c r="D414" s="11" t="n"/>
      <c r="E414" s="86" t="n"/>
      <c r="F414" s="85" t="n"/>
      <c r="G414" s="85" t="n"/>
    </row>
    <row r="415" ht="13.5" customHeight="1" s="453">
      <c r="D415" s="11" t="n"/>
      <c r="E415" s="86" t="n"/>
      <c r="F415" s="85" t="n"/>
      <c r="G415" s="85" t="n"/>
    </row>
    <row r="416" ht="13.5" customHeight="1" s="453">
      <c r="D416" s="11" t="n"/>
      <c r="E416" s="86" t="n"/>
      <c r="F416" s="85" t="n"/>
      <c r="G416" s="85" t="n"/>
    </row>
    <row r="417" ht="13.5" customHeight="1" s="453">
      <c r="D417" s="11" t="n"/>
      <c r="E417" s="86" t="n"/>
      <c r="F417" s="85" t="n"/>
      <c r="G417" s="85" t="n"/>
    </row>
    <row r="418" ht="13.5" customHeight="1" s="453">
      <c r="D418" s="11" t="n"/>
      <c r="E418" s="86" t="n"/>
      <c r="F418" s="85" t="n"/>
      <c r="G418" s="85" t="n"/>
    </row>
    <row r="419" ht="13.5" customHeight="1" s="453">
      <c r="D419" s="11" t="n"/>
      <c r="E419" s="86" t="n"/>
      <c r="F419" s="85" t="n"/>
      <c r="G419" s="85" t="n"/>
    </row>
    <row r="420" ht="13.5" customHeight="1" s="453">
      <c r="D420" s="11" t="n"/>
      <c r="E420" s="86" t="n"/>
      <c r="F420" s="85" t="n"/>
      <c r="G420" s="85" t="n"/>
    </row>
    <row r="421" ht="13.5" customHeight="1" s="453">
      <c r="D421" s="11" t="n"/>
      <c r="E421" s="86" t="n"/>
      <c r="F421" s="85" t="n"/>
      <c r="G421" s="85" t="n"/>
    </row>
    <row r="422" ht="13.5" customHeight="1" s="453">
      <c r="D422" s="11" t="n"/>
      <c r="E422" s="86" t="n"/>
      <c r="F422" s="85" t="n"/>
      <c r="G422" s="85" t="n"/>
    </row>
    <row r="423" ht="13.5" customHeight="1" s="453">
      <c r="D423" s="11" t="n"/>
      <c r="E423" s="86" t="n"/>
      <c r="F423" s="85" t="n"/>
      <c r="G423" s="85" t="n"/>
    </row>
    <row r="424" ht="13.5" customHeight="1" s="453">
      <c r="D424" s="11" t="n"/>
      <c r="E424" s="86" t="n"/>
      <c r="F424" s="85" t="n"/>
      <c r="G424" s="85" t="n"/>
    </row>
    <row r="425" ht="13.5" customHeight="1" s="453">
      <c r="D425" s="11" t="n"/>
      <c r="E425" s="86" t="n"/>
      <c r="F425" s="85" t="n"/>
      <c r="G425" s="85" t="n"/>
    </row>
    <row r="426" ht="13.5" customHeight="1" s="453">
      <c r="D426" s="11" t="n"/>
      <c r="E426" s="86" t="n"/>
      <c r="F426" s="85" t="n"/>
      <c r="G426" s="85" t="n"/>
    </row>
    <row r="427" ht="13.5" customHeight="1" s="453">
      <c r="D427" s="11" t="n"/>
      <c r="E427" s="86" t="n"/>
      <c r="F427" s="85" t="n"/>
      <c r="G427" s="85" t="n"/>
    </row>
    <row r="428" ht="13.5" customHeight="1" s="453">
      <c r="D428" s="11" t="n"/>
      <c r="E428" s="86" t="n"/>
      <c r="F428" s="85" t="n"/>
      <c r="G428" s="85" t="n"/>
    </row>
    <row r="429" ht="13.5" customHeight="1" s="453">
      <c r="D429" s="11" t="n"/>
      <c r="E429" s="86" t="n"/>
      <c r="F429" s="85" t="n"/>
      <c r="G429" s="85" t="n"/>
    </row>
    <row r="430" ht="13.5" customHeight="1" s="453">
      <c r="D430" s="11" t="n"/>
      <c r="E430" s="86" t="n"/>
      <c r="F430" s="85" t="n"/>
      <c r="G430" s="85" t="n"/>
    </row>
    <row r="431" ht="13.5" customHeight="1" s="453">
      <c r="D431" s="11" t="n"/>
      <c r="E431" s="86" t="n"/>
      <c r="F431" s="85" t="n"/>
      <c r="G431" s="85" t="n"/>
    </row>
    <row r="432" ht="13.5" customHeight="1" s="453">
      <c r="D432" s="11" t="n"/>
      <c r="E432" s="86" t="n"/>
      <c r="F432" s="85" t="n"/>
      <c r="G432" s="85" t="n"/>
    </row>
    <row r="433" ht="13.5" customHeight="1" s="453">
      <c r="D433" s="11" t="n"/>
      <c r="E433" s="86" t="n"/>
      <c r="F433" s="85" t="n"/>
      <c r="G433" s="85" t="n"/>
    </row>
    <row r="434" ht="13.5" customHeight="1" s="453">
      <c r="D434" s="11" t="n"/>
      <c r="E434" s="86" t="n"/>
      <c r="F434" s="85" t="n"/>
      <c r="G434" s="85" t="n"/>
    </row>
    <row r="435" ht="13.5" customHeight="1" s="453">
      <c r="D435" s="11" t="n"/>
      <c r="E435" s="86" t="n"/>
      <c r="F435" s="85" t="n"/>
      <c r="G435" s="85" t="n"/>
    </row>
    <row r="436" ht="13.5" customHeight="1" s="453">
      <c r="D436" s="11" t="n"/>
      <c r="E436" s="86" t="n"/>
      <c r="F436" s="85" t="n"/>
      <c r="G436" s="85" t="n"/>
    </row>
    <row r="437" ht="13.5" customHeight="1" s="453">
      <c r="D437" s="11" t="n"/>
      <c r="E437" s="86" t="n"/>
      <c r="F437" s="85" t="n"/>
      <c r="G437" s="85" t="n"/>
    </row>
    <row r="438" ht="13.5" customHeight="1" s="453">
      <c r="D438" s="11" t="n"/>
      <c r="E438" s="86" t="n"/>
      <c r="F438" s="85" t="n"/>
      <c r="G438" s="85" t="n"/>
    </row>
    <row r="439" ht="13.5" customHeight="1" s="453">
      <c r="D439" s="11" t="n"/>
      <c r="E439" s="86" t="n"/>
      <c r="F439" s="85" t="n"/>
      <c r="G439" s="85" t="n"/>
    </row>
    <row r="440" ht="13.5" customHeight="1" s="453">
      <c r="D440" s="11" t="n"/>
      <c r="E440" s="86" t="n"/>
      <c r="F440" s="85" t="n"/>
      <c r="G440" s="85" t="n"/>
    </row>
    <row r="441" ht="13.5" customHeight="1" s="453">
      <c r="D441" s="11" t="n"/>
      <c r="E441" s="86" t="n"/>
      <c r="F441" s="85" t="n"/>
      <c r="G441" s="85" t="n"/>
    </row>
    <row r="442" ht="13.5" customHeight="1" s="453">
      <c r="D442" s="11" t="n"/>
      <c r="E442" s="86" t="n"/>
      <c r="F442" s="85" t="n"/>
      <c r="G442" s="85" t="n"/>
    </row>
    <row r="443" ht="13.5" customHeight="1" s="453">
      <c r="D443" s="11" t="n"/>
      <c r="E443" s="86" t="n"/>
      <c r="F443" s="85" t="n"/>
      <c r="G443" s="85" t="n"/>
    </row>
    <row r="444" ht="13.5" customHeight="1" s="453">
      <c r="D444" s="11" t="n"/>
      <c r="E444" s="86" t="n"/>
      <c r="F444" s="85" t="n"/>
      <c r="G444" s="85" t="n"/>
    </row>
    <row r="445" ht="13.5" customHeight="1" s="453">
      <c r="D445" s="11" t="n"/>
      <c r="E445" s="86" t="n"/>
      <c r="F445" s="85" t="n"/>
      <c r="G445" s="85" t="n"/>
    </row>
    <row r="446" ht="13.5" customHeight="1" s="453">
      <c r="D446" s="11" t="n"/>
      <c r="E446" s="86" t="n"/>
      <c r="F446" s="85" t="n"/>
      <c r="G446" s="85" t="n"/>
    </row>
    <row r="447" ht="13.5" customHeight="1" s="453">
      <c r="D447" s="11" t="n"/>
      <c r="E447" s="86" t="n"/>
      <c r="F447" s="85" t="n"/>
      <c r="G447" s="85" t="n"/>
    </row>
    <row r="448" ht="13.5" customHeight="1" s="453">
      <c r="D448" s="11" t="n"/>
      <c r="E448" s="86" t="n"/>
      <c r="F448" s="85" t="n"/>
      <c r="G448" s="85" t="n"/>
    </row>
    <row r="449" ht="13.5" customHeight="1" s="453">
      <c r="D449" s="11" t="n"/>
      <c r="E449" s="86" t="n"/>
      <c r="F449" s="85" t="n"/>
      <c r="G449" s="85" t="n"/>
    </row>
    <row r="450" ht="13.5" customHeight="1" s="453">
      <c r="D450" s="11" t="n"/>
      <c r="E450" s="86" t="n"/>
      <c r="F450" s="85" t="n"/>
      <c r="G450" s="85" t="n"/>
    </row>
    <row r="451" ht="13.5" customHeight="1" s="453">
      <c r="D451" s="11" t="n"/>
      <c r="E451" s="86" t="n"/>
      <c r="F451" s="85" t="n"/>
      <c r="G451" s="85" t="n"/>
    </row>
    <row r="452" ht="13.5" customHeight="1" s="453">
      <c r="D452" s="11" t="n"/>
      <c r="E452" s="86" t="n"/>
      <c r="F452" s="85" t="n"/>
      <c r="G452" s="85" t="n"/>
    </row>
    <row r="453" ht="13.5" customHeight="1" s="453">
      <c r="D453" s="11" t="n"/>
      <c r="E453" s="86" t="n"/>
      <c r="F453" s="85" t="n"/>
      <c r="G453" s="85" t="n"/>
    </row>
    <row r="454" ht="13.5" customHeight="1" s="453">
      <c r="D454" s="11" t="n"/>
      <c r="E454" s="86" t="n"/>
      <c r="F454" s="85" t="n"/>
      <c r="G454" s="85" t="n"/>
    </row>
    <row r="455" ht="13.5" customHeight="1" s="453">
      <c r="D455" s="11" t="n"/>
      <c r="E455" s="86" t="n"/>
      <c r="F455" s="85" t="n"/>
      <c r="G455" s="85" t="n"/>
    </row>
    <row r="456" ht="13.5" customHeight="1" s="453">
      <c r="D456" s="11" t="n"/>
      <c r="E456" s="86" t="n"/>
      <c r="F456" s="85" t="n"/>
      <c r="G456" s="85" t="n"/>
    </row>
    <row r="457" ht="13.5" customHeight="1" s="453">
      <c r="D457" s="11" t="n"/>
      <c r="E457" s="86" t="n"/>
      <c r="F457" s="85" t="n"/>
      <c r="G457" s="85" t="n"/>
    </row>
    <row r="458" ht="13.5" customHeight="1" s="453">
      <c r="D458" s="11" t="n"/>
      <c r="E458" s="86" t="n"/>
      <c r="F458" s="85" t="n"/>
      <c r="G458" s="85" t="n"/>
    </row>
    <row r="459" ht="13.5" customHeight="1" s="453">
      <c r="D459" s="11" t="n"/>
      <c r="E459" s="86" t="n"/>
      <c r="F459" s="85" t="n"/>
      <c r="G459" s="85" t="n"/>
    </row>
    <row r="460" ht="13.5" customHeight="1" s="453">
      <c r="D460" s="11" t="n"/>
      <c r="E460" s="86" t="n"/>
      <c r="F460" s="85" t="n"/>
      <c r="G460" s="85" t="n"/>
    </row>
    <row r="461" ht="13.5" customHeight="1" s="453">
      <c r="D461" s="11" t="n"/>
      <c r="E461" s="86" t="n"/>
      <c r="F461" s="85" t="n"/>
      <c r="G461" s="85" t="n"/>
    </row>
    <row r="462" ht="13.5" customHeight="1" s="453">
      <c r="D462" s="11" t="n"/>
      <c r="E462" s="86" t="n"/>
      <c r="F462" s="85" t="n"/>
      <c r="G462" s="85" t="n"/>
    </row>
    <row r="463" ht="13.5" customHeight="1" s="453">
      <c r="D463" s="11" t="n"/>
      <c r="E463" s="86" t="n"/>
      <c r="F463" s="85" t="n"/>
      <c r="G463" s="85" t="n"/>
    </row>
    <row r="464" ht="13.5" customHeight="1" s="453">
      <c r="D464" s="11" t="n"/>
      <c r="E464" s="86" t="n"/>
      <c r="F464" s="85" t="n"/>
      <c r="G464" s="85" t="n"/>
    </row>
    <row r="465" ht="13.5" customHeight="1" s="453">
      <c r="D465" s="11" t="n"/>
      <c r="E465" s="86" t="n"/>
      <c r="F465" s="85" t="n"/>
      <c r="G465" s="85" t="n"/>
    </row>
    <row r="466" ht="13.5" customHeight="1" s="453">
      <c r="D466" s="11" t="n"/>
      <c r="E466" s="86" t="n"/>
      <c r="F466" s="85" t="n"/>
      <c r="G466" s="85" t="n"/>
    </row>
    <row r="467" ht="13.5" customHeight="1" s="453">
      <c r="D467" s="11" t="n"/>
      <c r="E467" s="86" t="n"/>
      <c r="F467" s="85" t="n"/>
      <c r="G467" s="85" t="n"/>
    </row>
    <row r="468" ht="13.5" customHeight="1" s="453">
      <c r="D468" s="11" t="n"/>
      <c r="E468" s="86" t="n"/>
      <c r="F468" s="85" t="n"/>
      <c r="G468" s="85" t="n"/>
    </row>
    <row r="469" ht="13.5" customHeight="1" s="453">
      <c r="D469" s="11" t="n"/>
      <c r="E469" s="86" t="n"/>
      <c r="F469" s="85" t="n"/>
      <c r="G469" s="85" t="n"/>
    </row>
    <row r="470" ht="13.5" customHeight="1" s="453">
      <c r="D470" s="11" t="n"/>
      <c r="E470" s="86" t="n"/>
      <c r="F470" s="85" t="n"/>
      <c r="G470" s="85" t="n"/>
    </row>
    <row r="471" ht="13.5" customHeight="1" s="453">
      <c r="D471" s="11" t="n"/>
      <c r="E471" s="86" t="n"/>
      <c r="F471" s="85" t="n"/>
      <c r="G471" s="85" t="n"/>
    </row>
    <row r="472" ht="13.5" customHeight="1" s="453">
      <c r="D472" s="11" t="n"/>
      <c r="E472" s="86" t="n"/>
      <c r="F472" s="85" t="n"/>
      <c r="G472" s="85" t="n"/>
    </row>
    <row r="473" ht="13.5" customHeight="1" s="453">
      <c r="D473" s="11" t="n"/>
      <c r="E473" s="86" t="n"/>
      <c r="F473" s="85" t="n"/>
      <c r="G473" s="85" t="n"/>
    </row>
    <row r="474" ht="13.5" customHeight="1" s="453">
      <c r="D474" s="11" t="n"/>
      <c r="E474" s="86" t="n"/>
      <c r="F474" s="85" t="n"/>
      <c r="G474" s="85" t="n"/>
    </row>
    <row r="475" ht="13.5" customHeight="1" s="453">
      <c r="D475" s="11" t="n"/>
      <c r="E475" s="86" t="n"/>
      <c r="F475" s="85" t="n"/>
      <c r="G475" s="85" t="n"/>
    </row>
    <row r="476" ht="13.5" customHeight="1" s="453">
      <c r="D476" s="11" t="n"/>
      <c r="E476" s="86" t="n"/>
      <c r="F476" s="85" t="n"/>
      <c r="G476" s="85" t="n"/>
    </row>
    <row r="477" ht="13.5" customHeight="1" s="453">
      <c r="D477" s="11" t="n"/>
      <c r="E477" s="86" t="n"/>
      <c r="F477" s="85" t="n"/>
      <c r="G477" s="85" t="n"/>
    </row>
    <row r="478" ht="13.5" customHeight="1" s="453">
      <c r="D478" s="11" t="n"/>
      <c r="E478" s="86" t="n"/>
      <c r="F478" s="85" t="n"/>
      <c r="G478" s="85" t="n"/>
    </row>
    <row r="479" ht="13.5" customHeight="1" s="453">
      <c r="D479" s="11" t="n"/>
      <c r="E479" s="86" t="n"/>
      <c r="F479" s="85" t="n"/>
      <c r="G479" s="85" t="n"/>
    </row>
    <row r="480" ht="13.5" customHeight="1" s="453">
      <c r="D480" s="11" t="n"/>
      <c r="E480" s="86" t="n"/>
      <c r="F480" s="85" t="n"/>
      <c r="G480" s="85" t="n"/>
    </row>
    <row r="481" ht="13.5" customHeight="1" s="453">
      <c r="D481" s="11" t="n"/>
      <c r="E481" s="86" t="n"/>
      <c r="F481" s="85" t="n"/>
      <c r="G481" s="85" t="n"/>
    </row>
    <row r="482" ht="13.5" customHeight="1" s="453">
      <c r="D482" s="11" t="n"/>
      <c r="E482" s="86" t="n"/>
      <c r="F482" s="85" t="n"/>
      <c r="G482" s="85" t="n"/>
    </row>
    <row r="483" ht="13.5" customHeight="1" s="453">
      <c r="D483" s="11" t="n"/>
      <c r="E483" s="86" t="n"/>
      <c r="F483" s="85" t="n"/>
      <c r="G483" s="85" t="n"/>
    </row>
    <row r="484" ht="13.5" customHeight="1" s="453">
      <c r="D484" s="11" t="n"/>
      <c r="E484" s="86" t="n"/>
      <c r="F484" s="85" t="n"/>
      <c r="G484" s="85" t="n"/>
    </row>
    <row r="485" ht="13.5" customHeight="1" s="453">
      <c r="D485" s="11" t="n"/>
      <c r="E485" s="86" t="n"/>
      <c r="F485" s="85" t="n"/>
      <c r="G485" s="85" t="n"/>
    </row>
    <row r="486" ht="13.5" customHeight="1" s="453">
      <c r="D486" s="11" t="n"/>
      <c r="E486" s="86" t="n"/>
      <c r="F486" s="85" t="n"/>
      <c r="G486" s="85" t="n"/>
    </row>
    <row r="487" ht="13.5" customHeight="1" s="453">
      <c r="D487" s="11" t="n"/>
      <c r="E487" s="86" t="n"/>
      <c r="F487" s="85" t="n"/>
      <c r="G487" s="85" t="n"/>
    </row>
    <row r="488" ht="13.5" customHeight="1" s="453">
      <c r="D488" s="11" t="n"/>
      <c r="E488" s="86" t="n"/>
      <c r="F488" s="85" t="n"/>
      <c r="G488" s="85" t="n"/>
    </row>
    <row r="489" ht="13.5" customHeight="1" s="453">
      <c r="D489" s="11" t="n"/>
      <c r="E489" s="86" t="n"/>
      <c r="F489" s="85" t="n"/>
      <c r="G489" s="85" t="n"/>
    </row>
    <row r="490" ht="13.5" customHeight="1" s="453">
      <c r="D490" s="11" t="n"/>
      <c r="E490" s="86" t="n"/>
      <c r="F490" s="85" t="n"/>
      <c r="G490" s="85" t="n"/>
    </row>
    <row r="491" ht="13.5" customHeight="1" s="453">
      <c r="D491" s="11" t="n"/>
      <c r="E491" s="86" t="n"/>
      <c r="F491" s="85" t="n"/>
      <c r="G491" s="85" t="n"/>
    </row>
    <row r="492" ht="13.5" customHeight="1" s="453">
      <c r="D492" s="11" t="n"/>
      <c r="E492" s="86" t="n"/>
      <c r="F492" s="85" t="n"/>
      <c r="G492" s="85" t="n"/>
    </row>
    <row r="493" ht="13.5" customHeight="1" s="453">
      <c r="D493" s="11" t="n"/>
      <c r="E493" s="86" t="n"/>
      <c r="F493" s="85" t="n"/>
      <c r="G493" s="85" t="n"/>
    </row>
    <row r="494" ht="13.5" customHeight="1" s="453">
      <c r="D494" s="11" t="n"/>
      <c r="E494" s="86" t="n"/>
      <c r="F494" s="85" t="n"/>
      <c r="G494" s="85" t="n"/>
    </row>
    <row r="495" ht="13.5" customHeight="1" s="453">
      <c r="D495" s="11" t="n"/>
      <c r="E495" s="86" t="n"/>
      <c r="F495" s="85" t="n"/>
      <c r="G495" s="85" t="n"/>
    </row>
    <row r="496" ht="13.5" customHeight="1" s="453">
      <c r="D496" s="11" t="n"/>
      <c r="E496" s="86" t="n"/>
      <c r="F496" s="85" t="n"/>
      <c r="G496" s="85" t="n"/>
    </row>
    <row r="497" ht="13.5" customHeight="1" s="453">
      <c r="D497" s="11" t="n"/>
      <c r="E497" s="86" t="n"/>
      <c r="F497" s="85" t="n"/>
      <c r="G497" s="85" t="n"/>
    </row>
    <row r="498" ht="13.5" customHeight="1" s="453">
      <c r="D498" s="11" t="n"/>
      <c r="E498" s="86" t="n"/>
      <c r="F498" s="85" t="n"/>
      <c r="G498" s="85" t="n"/>
    </row>
    <row r="499" ht="13.5" customHeight="1" s="453">
      <c r="D499" s="11" t="n"/>
      <c r="E499" s="86" t="n"/>
      <c r="F499" s="85" t="n"/>
      <c r="G499" s="85" t="n"/>
    </row>
    <row r="500" ht="13.5" customHeight="1" s="453">
      <c r="D500" s="11" t="n"/>
      <c r="E500" s="86" t="n"/>
      <c r="F500" s="85" t="n"/>
      <c r="G500" s="85" t="n"/>
    </row>
    <row r="501" ht="13.5" customHeight="1" s="453">
      <c r="D501" s="11" t="n"/>
      <c r="E501" s="86" t="n"/>
      <c r="F501" s="85" t="n"/>
      <c r="G501" s="85" t="n"/>
    </row>
    <row r="502" ht="13.5" customHeight="1" s="453">
      <c r="D502" s="11" t="n"/>
      <c r="E502" s="86" t="n"/>
      <c r="F502" s="85" t="n"/>
      <c r="G502" s="85" t="n"/>
    </row>
    <row r="503" ht="13.5" customHeight="1" s="453">
      <c r="D503" s="11" t="n"/>
      <c r="E503" s="86" t="n"/>
      <c r="F503" s="85" t="n"/>
      <c r="G503" s="85" t="n"/>
    </row>
    <row r="504" ht="13.5" customHeight="1" s="453">
      <c r="D504" s="11" t="n"/>
      <c r="E504" s="86" t="n"/>
      <c r="F504" s="85" t="n"/>
      <c r="G504" s="85" t="n"/>
    </row>
    <row r="505" ht="13.5" customHeight="1" s="453">
      <c r="D505" s="11" t="n"/>
      <c r="E505" s="86" t="n"/>
      <c r="F505" s="85" t="n"/>
      <c r="G505" s="85" t="n"/>
    </row>
    <row r="506" ht="13.5" customHeight="1" s="453">
      <c r="D506" s="11" t="n"/>
      <c r="E506" s="86" t="n"/>
      <c r="F506" s="85" t="n"/>
      <c r="G506" s="85" t="n"/>
    </row>
    <row r="507" ht="13.5" customHeight="1" s="453">
      <c r="D507" s="11" t="n"/>
      <c r="E507" s="86" t="n"/>
      <c r="F507" s="85" t="n"/>
      <c r="G507" s="85" t="n"/>
    </row>
    <row r="508" ht="13.5" customHeight="1" s="453">
      <c r="D508" s="11" t="n"/>
      <c r="E508" s="86" t="n"/>
      <c r="F508" s="85" t="n"/>
      <c r="G508" s="85" t="n"/>
    </row>
    <row r="509" ht="13.5" customHeight="1" s="453">
      <c r="D509" s="11" t="n"/>
      <c r="E509" s="86" t="n"/>
      <c r="F509" s="85" t="n"/>
      <c r="G509" s="85" t="n"/>
    </row>
    <row r="510" ht="13.5" customHeight="1" s="453">
      <c r="D510" s="11" t="n"/>
      <c r="E510" s="86" t="n"/>
      <c r="F510" s="85" t="n"/>
      <c r="G510" s="85" t="n"/>
    </row>
    <row r="511" ht="13.5" customHeight="1" s="453">
      <c r="D511" s="11" t="n"/>
      <c r="E511" s="86" t="n"/>
      <c r="F511" s="85" t="n"/>
      <c r="G511" s="85" t="n"/>
    </row>
    <row r="512" ht="13.5" customHeight="1" s="453">
      <c r="D512" s="11" t="n"/>
      <c r="E512" s="86" t="n"/>
      <c r="F512" s="85" t="n"/>
      <c r="G512" s="85" t="n"/>
    </row>
    <row r="513" ht="13.5" customHeight="1" s="453">
      <c r="D513" s="11" t="n"/>
      <c r="E513" s="86" t="n"/>
      <c r="F513" s="85" t="n"/>
      <c r="G513" s="85" t="n"/>
    </row>
    <row r="514" ht="13.5" customHeight="1" s="453">
      <c r="D514" s="11" t="n"/>
      <c r="E514" s="86" t="n"/>
      <c r="F514" s="85" t="n"/>
      <c r="G514" s="85" t="n"/>
    </row>
    <row r="515" ht="13.5" customHeight="1" s="453">
      <c r="D515" s="11" t="n"/>
      <c r="E515" s="86" t="n"/>
      <c r="F515" s="85" t="n"/>
      <c r="G515" s="85" t="n"/>
    </row>
    <row r="516" ht="13.5" customHeight="1" s="453">
      <c r="D516" s="11" t="n"/>
      <c r="E516" s="86" t="n"/>
      <c r="F516" s="85" t="n"/>
      <c r="G516" s="85" t="n"/>
    </row>
    <row r="517" ht="13.5" customHeight="1" s="453">
      <c r="D517" s="11" t="n"/>
      <c r="E517" s="86" t="n"/>
      <c r="F517" s="85" t="n"/>
      <c r="G517" s="85" t="n"/>
    </row>
    <row r="518" ht="13.5" customHeight="1" s="453">
      <c r="D518" s="11" t="n"/>
      <c r="E518" s="86" t="n"/>
      <c r="F518" s="85" t="n"/>
      <c r="G518" s="85" t="n"/>
    </row>
    <row r="519" ht="13.5" customHeight="1" s="453">
      <c r="D519" s="11" t="n"/>
      <c r="E519" s="86" t="n"/>
      <c r="F519" s="85" t="n"/>
      <c r="G519" s="85" t="n"/>
    </row>
    <row r="520" ht="13.5" customHeight="1" s="453">
      <c r="D520" s="11" t="n"/>
      <c r="E520" s="86" t="n"/>
      <c r="F520" s="85" t="n"/>
      <c r="G520" s="85" t="n"/>
    </row>
    <row r="521" ht="13.5" customHeight="1" s="453">
      <c r="D521" s="11" t="n"/>
      <c r="E521" s="86" t="n"/>
      <c r="F521" s="85" t="n"/>
      <c r="G521" s="85" t="n"/>
    </row>
    <row r="522" ht="13.5" customHeight="1" s="453">
      <c r="D522" s="11" t="n"/>
      <c r="E522" s="86" t="n"/>
      <c r="F522" s="85" t="n"/>
      <c r="G522" s="85" t="n"/>
    </row>
    <row r="523" ht="13.5" customHeight="1" s="453">
      <c r="D523" s="11" t="n"/>
      <c r="E523" s="86" t="n"/>
      <c r="F523" s="85" t="n"/>
      <c r="G523" s="85" t="n"/>
    </row>
    <row r="524" ht="13.5" customHeight="1" s="453">
      <c r="D524" s="11" t="n"/>
      <c r="E524" s="86" t="n"/>
      <c r="F524" s="85" t="n"/>
      <c r="G524" s="85" t="n"/>
    </row>
    <row r="525" ht="13.5" customHeight="1" s="453">
      <c r="D525" s="11" t="n"/>
      <c r="E525" s="86" t="n"/>
      <c r="F525" s="85" t="n"/>
      <c r="G525" s="85" t="n"/>
    </row>
    <row r="526" ht="13.5" customHeight="1" s="453">
      <c r="D526" s="11" t="n"/>
      <c r="E526" s="86" t="n"/>
      <c r="F526" s="85" t="n"/>
      <c r="G526" s="85" t="n"/>
    </row>
    <row r="527" ht="13.5" customHeight="1" s="453">
      <c r="D527" s="11" t="n"/>
      <c r="E527" s="86" t="n"/>
      <c r="F527" s="85" t="n"/>
      <c r="G527" s="85" t="n"/>
    </row>
    <row r="528" ht="13.5" customHeight="1" s="453">
      <c r="D528" s="11" t="n"/>
      <c r="E528" s="86" t="n"/>
      <c r="F528" s="85" t="n"/>
      <c r="G528" s="85" t="n"/>
    </row>
    <row r="529" ht="13.5" customHeight="1" s="453">
      <c r="D529" s="11" t="n"/>
      <c r="E529" s="86" t="n"/>
      <c r="F529" s="85" t="n"/>
      <c r="G529" s="85" t="n"/>
    </row>
    <row r="530" ht="13.5" customHeight="1" s="453">
      <c r="D530" s="11" t="n"/>
      <c r="E530" s="86" t="n"/>
      <c r="F530" s="85" t="n"/>
      <c r="G530" s="85" t="n"/>
    </row>
    <row r="531" ht="13.5" customHeight="1" s="453">
      <c r="D531" s="11" t="n"/>
      <c r="E531" s="86" t="n"/>
      <c r="F531" s="85" t="n"/>
      <c r="G531" s="85" t="n"/>
    </row>
    <row r="532" ht="13.5" customHeight="1" s="453">
      <c r="D532" s="11" t="n"/>
      <c r="E532" s="86" t="n"/>
      <c r="F532" s="85" t="n"/>
      <c r="G532" s="85" t="n"/>
    </row>
    <row r="533" ht="13.5" customHeight="1" s="453">
      <c r="D533" s="11" t="n"/>
      <c r="E533" s="86" t="n"/>
      <c r="F533" s="85" t="n"/>
      <c r="G533" s="85" t="n"/>
    </row>
    <row r="534" ht="13.5" customHeight="1" s="453">
      <c r="D534" s="11" t="n"/>
      <c r="E534" s="86" t="n"/>
      <c r="F534" s="85" t="n"/>
      <c r="G534" s="85" t="n"/>
    </row>
    <row r="535" ht="13.5" customHeight="1" s="453">
      <c r="D535" s="11" t="n"/>
      <c r="E535" s="86" t="n"/>
      <c r="F535" s="85" t="n"/>
      <c r="G535" s="85" t="n"/>
    </row>
    <row r="536" ht="13.5" customHeight="1" s="453">
      <c r="D536" s="11" t="n"/>
      <c r="E536" s="86" t="n"/>
      <c r="F536" s="85" t="n"/>
      <c r="G536" s="85" t="n"/>
    </row>
    <row r="537" ht="13.5" customHeight="1" s="453">
      <c r="D537" s="11" t="n"/>
      <c r="E537" s="86" t="n"/>
      <c r="F537" s="85" t="n"/>
      <c r="G537" s="85" t="n"/>
    </row>
    <row r="538" ht="13.5" customHeight="1" s="453">
      <c r="D538" s="11" t="n"/>
      <c r="E538" s="86" t="n"/>
      <c r="F538" s="85" t="n"/>
      <c r="G538" s="85" t="n"/>
    </row>
    <row r="539" ht="13.5" customHeight="1" s="453">
      <c r="D539" s="11" t="n"/>
      <c r="E539" s="86" t="n"/>
      <c r="F539" s="85" t="n"/>
      <c r="G539" s="85" t="n"/>
    </row>
    <row r="540" ht="13.5" customHeight="1" s="453">
      <c r="D540" s="11" t="n"/>
      <c r="E540" s="86" t="n"/>
      <c r="F540" s="85" t="n"/>
      <c r="G540" s="85" t="n"/>
    </row>
    <row r="541" ht="13.5" customHeight="1" s="453">
      <c r="D541" s="11" t="n"/>
      <c r="E541" s="86" t="n"/>
      <c r="F541" s="85" t="n"/>
      <c r="G541" s="85" t="n"/>
    </row>
    <row r="542" ht="13.5" customHeight="1" s="453">
      <c r="D542" s="11" t="n"/>
      <c r="E542" s="86" t="n"/>
      <c r="F542" s="85" t="n"/>
      <c r="G542" s="85" t="n"/>
    </row>
    <row r="543" ht="13.5" customHeight="1" s="453">
      <c r="D543" s="11" t="n"/>
      <c r="E543" s="86" t="n"/>
      <c r="F543" s="85" t="n"/>
      <c r="G543" s="85" t="n"/>
    </row>
    <row r="544" ht="13.5" customHeight="1" s="453">
      <c r="D544" s="11" t="n"/>
      <c r="E544" s="86" t="n"/>
      <c r="F544" s="85" t="n"/>
      <c r="G544" s="85" t="n"/>
    </row>
    <row r="545" ht="13.5" customHeight="1" s="453">
      <c r="D545" s="11" t="n"/>
      <c r="E545" s="86" t="n"/>
      <c r="F545" s="85" t="n"/>
      <c r="G545" s="85" t="n"/>
    </row>
    <row r="546" ht="13.5" customHeight="1" s="453">
      <c r="D546" s="11" t="n"/>
      <c r="E546" s="86" t="n"/>
      <c r="F546" s="85" t="n"/>
      <c r="G546" s="85" t="n"/>
    </row>
    <row r="547" ht="13.5" customHeight="1" s="453">
      <c r="D547" s="11" t="n"/>
      <c r="E547" s="86" t="n"/>
      <c r="F547" s="85" t="n"/>
      <c r="G547" s="85" t="n"/>
    </row>
    <row r="548" ht="13.5" customHeight="1" s="453">
      <c r="D548" s="11" t="n"/>
      <c r="E548" s="86" t="n"/>
      <c r="F548" s="85" t="n"/>
      <c r="G548" s="85" t="n"/>
    </row>
    <row r="549" ht="13.5" customHeight="1" s="453">
      <c r="D549" s="11" t="n"/>
      <c r="E549" s="86" t="n"/>
      <c r="F549" s="85" t="n"/>
      <c r="G549" s="85" t="n"/>
    </row>
    <row r="550" ht="13.5" customHeight="1" s="453">
      <c r="D550" s="11" t="n"/>
      <c r="E550" s="86" t="n"/>
      <c r="F550" s="85" t="n"/>
      <c r="G550" s="85" t="n"/>
    </row>
    <row r="551" ht="13.5" customHeight="1" s="453">
      <c r="D551" s="11" t="n"/>
      <c r="E551" s="86" t="n"/>
      <c r="F551" s="85" t="n"/>
      <c r="G551" s="85" t="n"/>
    </row>
    <row r="552" ht="13.5" customHeight="1" s="453">
      <c r="D552" s="11" t="n"/>
      <c r="E552" s="86" t="n"/>
      <c r="F552" s="85" t="n"/>
      <c r="G552" s="85" t="n"/>
    </row>
    <row r="553" ht="13.5" customHeight="1" s="453">
      <c r="D553" s="11" t="n"/>
      <c r="E553" s="86" t="n"/>
      <c r="F553" s="85" t="n"/>
      <c r="G553" s="85" t="n"/>
    </row>
    <row r="554" ht="13.5" customHeight="1" s="453">
      <c r="D554" s="11" t="n"/>
      <c r="E554" s="86" t="n"/>
      <c r="F554" s="85" t="n"/>
      <c r="G554" s="85" t="n"/>
    </row>
    <row r="555" ht="13.5" customHeight="1" s="453">
      <c r="D555" s="11" t="n"/>
      <c r="E555" s="86" t="n"/>
      <c r="F555" s="85" t="n"/>
      <c r="G555" s="85" t="n"/>
    </row>
    <row r="556" ht="13.5" customHeight="1" s="453">
      <c r="D556" s="11" t="n"/>
      <c r="E556" s="86" t="n"/>
      <c r="F556" s="85" t="n"/>
      <c r="G556" s="85" t="n"/>
    </row>
    <row r="557" ht="13.5" customHeight="1" s="453">
      <c r="D557" s="11" t="n"/>
      <c r="E557" s="86" t="n"/>
      <c r="F557" s="85" t="n"/>
      <c r="G557" s="85" t="n"/>
    </row>
    <row r="558" ht="13.5" customHeight="1" s="453">
      <c r="D558" s="11" t="n"/>
      <c r="E558" s="86" t="n"/>
      <c r="F558" s="85" t="n"/>
      <c r="G558" s="85" t="n"/>
    </row>
    <row r="559" ht="13.5" customHeight="1" s="453">
      <c r="D559" s="11" t="n"/>
      <c r="E559" s="86" t="n"/>
      <c r="F559" s="85" t="n"/>
      <c r="G559" s="85" t="n"/>
    </row>
    <row r="560" ht="13.5" customHeight="1" s="453">
      <c r="D560" s="11" t="n"/>
      <c r="E560" s="86" t="n"/>
      <c r="F560" s="85" t="n"/>
      <c r="G560" s="85" t="n"/>
    </row>
    <row r="561" ht="13.5" customHeight="1" s="453">
      <c r="D561" s="11" t="n"/>
      <c r="E561" s="86" t="n"/>
      <c r="F561" s="85" t="n"/>
      <c r="G561" s="85" t="n"/>
    </row>
    <row r="562" ht="13.5" customHeight="1" s="453">
      <c r="D562" s="11" t="n"/>
      <c r="E562" s="86" t="n"/>
      <c r="F562" s="85" t="n"/>
      <c r="G562" s="85" t="n"/>
    </row>
    <row r="563" ht="13.5" customHeight="1" s="453">
      <c r="D563" s="11" t="n"/>
      <c r="E563" s="86" t="n"/>
      <c r="F563" s="85" t="n"/>
      <c r="G563" s="85" t="n"/>
    </row>
    <row r="564" ht="13.5" customHeight="1" s="453">
      <c r="D564" s="11" t="n"/>
      <c r="E564" s="86" t="n"/>
      <c r="F564" s="85" t="n"/>
      <c r="G564" s="85" t="n"/>
    </row>
    <row r="565" ht="13.5" customHeight="1" s="453">
      <c r="D565" s="11" t="n"/>
      <c r="E565" s="86" t="n"/>
      <c r="F565" s="85" t="n"/>
      <c r="G565" s="85" t="n"/>
    </row>
    <row r="566" ht="13.5" customHeight="1" s="453">
      <c r="D566" s="11" t="n"/>
      <c r="E566" s="86" t="n"/>
      <c r="F566" s="85" t="n"/>
      <c r="G566" s="85" t="n"/>
    </row>
    <row r="567" ht="13.5" customHeight="1" s="453">
      <c r="D567" s="11" t="n"/>
      <c r="E567" s="86" t="n"/>
      <c r="F567" s="85" t="n"/>
      <c r="G567" s="85" t="n"/>
    </row>
    <row r="568" ht="13.5" customHeight="1" s="453">
      <c r="D568" s="11" t="n"/>
      <c r="E568" s="86" t="n"/>
      <c r="F568" s="85" t="n"/>
      <c r="G568" s="85" t="n"/>
    </row>
    <row r="569" ht="13.5" customHeight="1" s="453">
      <c r="D569" s="11" t="n"/>
      <c r="E569" s="86" t="n"/>
      <c r="F569" s="85" t="n"/>
      <c r="G569" s="85" t="n"/>
    </row>
    <row r="570" ht="13.5" customHeight="1" s="453">
      <c r="D570" s="11" t="n"/>
      <c r="E570" s="86" t="n"/>
      <c r="F570" s="85" t="n"/>
      <c r="G570" s="85" t="n"/>
    </row>
    <row r="571" ht="13.5" customHeight="1" s="453">
      <c r="D571" s="11" t="n"/>
      <c r="E571" s="86" t="n"/>
      <c r="F571" s="85" t="n"/>
      <c r="G571" s="85" t="n"/>
    </row>
    <row r="572" ht="13.5" customHeight="1" s="453">
      <c r="D572" s="11" t="n"/>
      <c r="E572" s="86" t="n"/>
      <c r="F572" s="85" t="n"/>
      <c r="G572" s="85" t="n"/>
    </row>
    <row r="573" ht="13.5" customHeight="1" s="453">
      <c r="D573" s="11" t="n"/>
      <c r="E573" s="86" t="n"/>
      <c r="F573" s="85" t="n"/>
      <c r="G573" s="85" t="n"/>
    </row>
    <row r="574" ht="13.5" customHeight="1" s="453">
      <c r="D574" s="11" t="n"/>
      <c r="E574" s="86" t="n"/>
      <c r="F574" s="85" t="n"/>
      <c r="G574" s="85" t="n"/>
    </row>
    <row r="575" ht="13.5" customHeight="1" s="453">
      <c r="D575" s="11" t="n"/>
      <c r="E575" s="86" t="n"/>
      <c r="F575" s="85" t="n"/>
      <c r="G575" s="85" t="n"/>
    </row>
    <row r="576" ht="13.5" customHeight="1" s="453">
      <c r="D576" s="11" t="n"/>
      <c r="E576" s="86" t="n"/>
      <c r="F576" s="85" t="n"/>
      <c r="G576" s="85" t="n"/>
    </row>
    <row r="577" ht="13.5" customHeight="1" s="453">
      <c r="D577" s="11" t="n"/>
      <c r="E577" s="86" t="n"/>
      <c r="F577" s="85" t="n"/>
      <c r="G577" s="85" t="n"/>
    </row>
    <row r="578" ht="13.5" customHeight="1" s="453">
      <c r="D578" s="11" t="n"/>
      <c r="E578" s="86" t="n"/>
      <c r="F578" s="85" t="n"/>
      <c r="G578" s="85" t="n"/>
    </row>
    <row r="579" ht="13.5" customHeight="1" s="453">
      <c r="D579" s="11" t="n"/>
      <c r="E579" s="86" t="n"/>
      <c r="F579" s="85" t="n"/>
      <c r="G579" s="85" t="n"/>
    </row>
    <row r="580" ht="13.5" customHeight="1" s="453">
      <c r="D580" s="11" t="n"/>
      <c r="E580" s="86" t="n"/>
      <c r="F580" s="85" t="n"/>
      <c r="G580" s="85" t="n"/>
    </row>
    <row r="581" ht="13.5" customHeight="1" s="453">
      <c r="D581" s="11" t="n"/>
      <c r="E581" s="86" t="n"/>
      <c r="F581" s="85" t="n"/>
      <c r="G581" s="85" t="n"/>
    </row>
    <row r="582" ht="13.5" customHeight="1" s="453">
      <c r="D582" s="11" t="n"/>
      <c r="E582" s="86" t="n"/>
      <c r="F582" s="85" t="n"/>
      <c r="G582" s="85" t="n"/>
    </row>
    <row r="583" ht="13.5" customHeight="1" s="453">
      <c r="D583" s="11" t="n"/>
      <c r="E583" s="86" t="n"/>
      <c r="F583" s="85" t="n"/>
      <c r="G583" s="85" t="n"/>
    </row>
    <row r="584" ht="13.5" customHeight="1" s="453">
      <c r="D584" s="11" t="n"/>
      <c r="E584" s="86" t="n"/>
      <c r="F584" s="85" t="n"/>
      <c r="G584" s="85" t="n"/>
    </row>
    <row r="585" ht="13.5" customHeight="1" s="453">
      <c r="D585" s="11" t="n"/>
      <c r="E585" s="86" t="n"/>
      <c r="F585" s="85" t="n"/>
      <c r="G585" s="85" t="n"/>
    </row>
    <row r="586" ht="13.5" customHeight="1" s="453">
      <c r="D586" s="11" t="n"/>
      <c r="E586" s="86" t="n"/>
      <c r="F586" s="85" t="n"/>
      <c r="G586" s="85" t="n"/>
    </row>
    <row r="587" ht="13.5" customHeight="1" s="453">
      <c r="D587" s="11" t="n"/>
      <c r="E587" s="86" t="n"/>
      <c r="F587" s="85" t="n"/>
      <c r="G587" s="85" t="n"/>
    </row>
    <row r="588" ht="13.5" customHeight="1" s="453">
      <c r="D588" s="11" t="n"/>
      <c r="E588" s="86" t="n"/>
      <c r="F588" s="85" t="n"/>
      <c r="G588" s="85" t="n"/>
    </row>
    <row r="589" ht="13.5" customHeight="1" s="453">
      <c r="D589" s="11" t="n"/>
      <c r="E589" s="86" t="n"/>
      <c r="F589" s="85" t="n"/>
      <c r="G589" s="85" t="n"/>
    </row>
    <row r="590" ht="13.5" customHeight="1" s="453">
      <c r="D590" s="11" t="n"/>
      <c r="E590" s="86" t="n"/>
      <c r="F590" s="85" t="n"/>
      <c r="G590" s="85" t="n"/>
    </row>
    <row r="591" ht="13.5" customHeight="1" s="453">
      <c r="D591" s="11" t="n"/>
      <c r="E591" s="86" t="n"/>
      <c r="F591" s="85" t="n"/>
      <c r="G591" s="85" t="n"/>
    </row>
    <row r="592" ht="13.5" customHeight="1" s="453">
      <c r="D592" s="11" t="n"/>
      <c r="E592" s="86" t="n"/>
      <c r="F592" s="85" t="n"/>
      <c r="G592" s="85" t="n"/>
    </row>
    <row r="593" ht="13.5" customHeight="1" s="453">
      <c r="D593" s="11" t="n"/>
      <c r="E593" s="86" t="n"/>
      <c r="F593" s="85" t="n"/>
      <c r="G593" s="85" t="n"/>
    </row>
    <row r="594" ht="13.5" customHeight="1" s="453">
      <c r="D594" s="11" t="n"/>
      <c r="E594" s="86" t="n"/>
      <c r="F594" s="85" t="n"/>
      <c r="G594" s="85" t="n"/>
    </row>
    <row r="595" ht="13.5" customHeight="1" s="453">
      <c r="D595" s="11" t="n"/>
      <c r="E595" s="86" t="n"/>
      <c r="F595" s="85" t="n"/>
      <c r="G595" s="85" t="n"/>
    </row>
    <row r="596" ht="13.5" customHeight="1" s="453">
      <c r="D596" s="11" t="n"/>
      <c r="E596" s="86" t="n"/>
      <c r="F596" s="85" t="n"/>
      <c r="G596" s="85" t="n"/>
    </row>
    <row r="597" ht="13.5" customHeight="1" s="453">
      <c r="D597" s="11" t="n"/>
      <c r="E597" s="86" t="n"/>
      <c r="F597" s="85" t="n"/>
      <c r="G597" s="85" t="n"/>
    </row>
    <row r="598" ht="13.5" customHeight="1" s="453">
      <c r="D598" s="11" t="n"/>
      <c r="E598" s="86" t="n"/>
      <c r="F598" s="85" t="n"/>
      <c r="G598" s="85" t="n"/>
    </row>
    <row r="599" ht="13.5" customHeight="1" s="453">
      <c r="D599" s="11" t="n"/>
      <c r="E599" s="86" t="n"/>
      <c r="F599" s="85" t="n"/>
      <c r="G599" s="85" t="n"/>
    </row>
    <row r="600" ht="13.5" customHeight="1" s="453">
      <c r="D600" s="11" t="n"/>
      <c r="E600" s="86" t="n"/>
      <c r="F600" s="85" t="n"/>
      <c r="G600" s="85" t="n"/>
    </row>
    <row r="601" ht="13.5" customHeight="1" s="453">
      <c r="D601" s="11" t="n"/>
      <c r="E601" s="86" t="n"/>
      <c r="F601" s="85" t="n"/>
      <c r="G601" s="85" t="n"/>
    </row>
    <row r="602" ht="13.5" customHeight="1" s="453">
      <c r="D602" s="11" t="n"/>
      <c r="E602" s="86" t="n"/>
      <c r="F602" s="85" t="n"/>
      <c r="G602" s="85" t="n"/>
    </row>
    <row r="603" ht="13.5" customHeight="1" s="453">
      <c r="D603" s="11" t="n"/>
      <c r="E603" s="86" t="n"/>
      <c r="F603" s="85" t="n"/>
      <c r="G603" s="85" t="n"/>
    </row>
    <row r="604" ht="13.5" customHeight="1" s="453">
      <c r="D604" s="11" t="n"/>
      <c r="E604" s="86" t="n"/>
      <c r="F604" s="85" t="n"/>
      <c r="G604" s="85" t="n"/>
    </row>
    <row r="605" ht="13.5" customHeight="1" s="453">
      <c r="D605" s="11" t="n"/>
      <c r="E605" s="86" t="n"/>
      <c r="F605" s="85" t="n"/>
      <c r="G605" s="85" t="n"/>
    </row>
    <row r="606" ht="13.5" customHeight="1" s="453">
      <c r="D606" s="11" t="n"/>
      <c r="E606" s="86" t="n"/>
      <c r="F606" s="85" t="n"/>
      <c r="G606" s="85" t="n"/>
    </row>
    <row r="607" ht="13.5" customHeight="1" s="453">
      <c r="D607" s="11" t="n"/>
      <c r="E607" s="86" t="n"/>
      <c r="F607" s="85" t="n"/>
      <c r="G607" s="85" t="n"/>
    </row>
    <row r="608" ht="13.5" customHeight="1" s="453">
      <c r="D608" s="11" t="n"/>
      <c r="E608" s="86" t="n"/>
      <c r="F608" s="85" t="n"/>
      <c r="G608" s="85" t="n"/>
    </row>
    <row r="609" ht="13.5" customHeight="1" s="453">
      <c r="D609" s="11" t="n"/>
      <c r="E609" s="86" t="n"/>
      <c r="F609" s="85" t="n"/>
      <c r="G609" s="85" t="n"/>
    </row>
    <row r="610" ht="13.5" customHeight="1" s="453">
      <c r="D610" s="11" t="n"/>
      <c r="E610" s="86" t="n"/>
      <c r="F610" s="85" t="n"/>
      <c r="G610" s="85" t="n"/>
    </row>
    <row r="611" ht="13.5" customHeight="1" s="453">
      <c r="D611" s="11" t="n"/>
      <c r="E611" s="86" t="n"/>
      <c r="F611" s="85" t="n"/>
      <c r="G611" s="85" t="n"/>
    </row>
    <row r="612" ht="13.5" customHeight="1" s="453">
      <c r="D612" s="11" t="n"/>
      <c r="E612" s="86" t="n"/>
      <c r="F612" s="85" t="n"/>
      <c r="G612" s="85" t="n"/>
    </row>
    <row r="613" ht="13.5" customHeight="1" s="453">
      <c r="D613" s="11" t="n"/>
      <c r="E613" s="86" t="n"/>
      <c r="F613" s="85" t="n"/>
      <c r="G613" s="85" t="n"/>
    </row>
    <row r="614" ht="13.5" customHeight="1" s="453">
      <c r="D614" s="11" t="n"/>
      <c r="E614" s="86" t="n"/>
      <c r="F614" s="85" t="n"/>
      <c r="G614" s="85" t="n"/>
    </row>
    <row r="615" ht="13.5" customHeight="1" s="453">
      <c r="D615" s="11" t="n"/>
      <c r="E615" s="86" t="n"/>
      <c r="F615" s="85" t="n"/>
      <c r="G615" s="85" t="n"/>
    </row>
    <row r="616" ht="13.5" customHeight="1" s="453">
      <c r="D616" s="11" t="n"/>
      <c r="E616" s="86" t="n"/>
      <c r="F616" s="85" t="n"/>
      <c r="G616" s="85" t="n"/>
    </row>
    <row r="617" ht="13.5" customHeight="1" s="453">
      <c r="D617" s="11" t="n"/>
      <c r="E617" s="86" t="n"/>
      <c r="F617" s="85" t="n"/>
      <c r="G617" s="85" t="n"/>
    </row>
    <row r="618" ht="13.5" customHeight="1" s="453">
      <c r="D618" s="11" t="n"/>
      <c r="E618" s="86" t="n"/>
      <c r="F618" s="85" t="n"/>
      <c r="G618" s="85" t="n"/>
    </row>
    <row r="619" ht="13.5" customHeight="1" s="453">
      <c r="D619" s="11" t="n"/>
      <c r="E619" s="86" t="n"/>
      <c r="F619" s="85" t="n"/>
      <c r="G619" s="85" t="n"/>
    </row>
    <row r="620" ht="13.5" customHeight="1" s="453">
      <c r="D620" s="11" t="n"/>
      <c r="E620" s="86" t="n"/>
      <c r="F620" s="85" t="n"/>
      <c r="G620" s="85" t="n"/>
    </row>
    <row r="621" ht="13.5" customHeight="1" s="453">
      <c r="D621" s="11" t="n"/>
      <c r="E621" s="86" t="n"/>
      <c r="F621" s="85" t="n"/>
      <c r="G621" s="85" t="n"/>
    </row>
    <row r="622" ht="13.5" customHeight="1" s="453">
      <c r="D622" s="11" t="n"/>
      <c r="E622" s="86" t="n"/>
      <c r="F622" s="85" t="n"/>
      <c r="G622" s="85" t="n"/>
    </row>
    <row r="623" ht="13.5" customHeight="1" s="453">
      <c r="D623" s="11" t="n"/>
      <c r="E623" s="86" t="n"/>
      <c r="F623" s="85" t="n"/>
      <c r="G623" s="85" t="n"/>
    </row>
    <row r="624" ht="13.5" customHeight="1" s="453">
      <c r="D624" s="11" t="n"/>
      <c r="E624" s="86" t="n"/>
      <c r="F624" s="85" t="n"/>
      <c r="G624" s="85" t="n"/>
    </row>
    <row r="625" ht="13.5" customHeight="1" s="453">
      <c r="D625" s="11" t="n"/>
      <c r="E625" s="86" t="n"/>
      <c r="F625" s="85" t="n"/>
      <c r="G625" s="85" t="n"/>
    </row>
    <row r="626" ht="13.5" customHeight="1" s="453">
      <c r="D626" s="11" t="n"/>
      <c r="E626" s="86" t="n"/>
      <c r="F626" s="85" t="n"/>
      <c r="G626" s="85" t="n"/>
    </row>
    <row r="627" ht="13.5" customHeight="1" s="453">
      <c r="D627" s="11" t="n"/>
      <c r="E627" s="86" t="n"/>
      <c r="F627" s="85" t="n"/>
      <c r="G627" s="85" t="n"/>
    </row>
    <row r="628" ht="13.5" customHeight="1" s="453">
      <c r="D628" s="11" t="n"/>
      <c r="E628" s="86" t="n"/>
      <c r="F628" s="85" t="n"/>
      <c r="G628" s="85" t="n"/>
    </row>
    <row r="629" ht="13.5" customHeight="1" s="453">
      <c r="D629" s="11" t="n"/>
      <c r="E629" s="86" t="n"/>
      <c r="F629" s="85" t="n"/>
      <c r="G629" s="85" t="n"/>
    </row>
    <row r="630" ht="13.5" customHeight="1" s="453">
      <c r="D630" s="11" t="n"/>
      <c r="E630" s="86" t="n"/>
      <c r="F630" s="85" t="n"/>
      <c r="G630" s="85" t="n"/>
    </row>
    <row r="631" ht="13.5" customHeight="1" s="453">
      <c r="D631" s="11" t="n"/>
      <c r="E631" s="86" t="n"/>
      <c r="F631" s="85" t="n"/>
      <c r="G631" s="85" t="n"/>
    </row>
    <row r="632" ht="13.5" customHeight="1" s="453">
      <c r="D632" s="11" t="n"/>
      <c r="E632" s="86" t="n"/>
      <c r="F632" s="85" t="n"/>
      <c r="G632" s="85" t="n"/>
    </row>
    <row r="633" ht="13.5" customHeight="1" s="453">
      <c r="D633" s="11" t="n"/>
      <c r="E633" s="86" t="n"/>
      <c r="F633" s="85" t="n"/>
      <c r="G633" s="85" t="n"/>
    </row>
    <row r="634" ht="13.5" customHeight="1" s="453">
      <c r="D634" s="11" t="n"/>
      <c r="E634" s="86" t="n"/>
      <c r="F634" s="85" t="n"/>
      <c r="G634" s="85" t="n"/>
    </row>
    <row r="635" ht="13.5" customHeight="1" s="453">
      <c r="D635" s="11" t="n"/>
      <c r="E635" s="86" t="n"/>
      <c r="F635" s="85" t="n"/>
      <c r="G635" s="85" t="n"/>
    </row>
    <row r="636" ht="13.5" customHeight="1" s="453">
      <c r="D636" s="11" t="n"/>
      <c r="E636" s="86" t="n"/>
      <c r="F636" s="85" t="n"/>
      <c r="G636" s="85" t="n"/>
    </row>
    <row r="637" ht="13.5" customHeight="1" s="453">
      <c r="D637" s="11" t="n"/>
      <c r="E637" s="86" t="n"/>
      <c r="F637" s="85" t="n"/>
      <c r="G637" s="85" t="n"/>
    </row>
    <row r="638" ht="13.5" customHeight="1" s="453">
      <c r="D638" s="11" t="n"/>
      <c r="E638" s="86" t="n"/>
      <c r="F638" s="85" t="n"/>
      <c r="G638" s="85" t="n"/>
    </row>
    <row r="639" ht="13.5" customHeight="1" s="453">
      <c r="D639" s="11" t="n"/>
      <c r="E639" s="86" t="n"/>
      <c r="F639" s="85" t="n"/>
      <c r="G639" s="85" t="n"/>
    </row>
    <row r="640" ht="13.5" customHeight="1" s="453">
      <c r="D640" s="11" t="n"/>
      <c r="E640" s="86" t="n"/>
      <c r="F640" s="85" t="n"/>
      <c r="G640" s="85" t="n"/>
    </row>
    <row r="641" ht="13.5" customHeight="1" s="453">
      <c r="D641" s="11" t="n"/>
      <c r="E641" s="86" t="n"/>
      <c r="F641" s="85" t="n"/>
      <c r="G641" s="85" t="n"/>
    </row>
    <row r="642" ht="13.5" customHeight="1" s="453">
      <c r="D642" s="11" t="n"/>
      <c r="E642" s="86" t="n"/>
      <c r="F642" s="85" t="n"/>
      <c r="G642" s="85" t="n"/>
    </row>
    <row r="643" ht="13.5" customHeight="1" s="453">
      <c r="D643" s="11" t="n"/>
      <c r="E643" s="86" t="n"/>
      <c r="F643" s="85" t="n"/>
      <c r="G643" s="85" t="n"/>
    </row>
    <row r="644" ht="13.5" customHeight="1" s="453">
      <c r="D644" s="11" t="n"/>
      <c r="E644" s="86" t="n"/>
      <c r="F644" s="85" t="n"/>
      <c r="G644" s="85" t="n"/>
    </row>
    <row r="645" ht="13.5" customHeight="1" s="453">
      <c r="D645" s="11" t="n"/>
      <c r="E645" s="86" t="n"/>
      <c r="F645" s="85" t="n"/>
      <c r="G645" s="85" t="n"/>
    </row>
    <row r="646" ht="13.5" customHeight="1" s="453">
      <c r="D646" s="11" t="n"/>
      <c r="E646" s="86" t="n"/>
      <c r="F646" s="85" t="n"/>
      <c r="G646" s="85" t="n"/>
    </row>
    <row r="647" ht="13.5" customHeight="1" s="453">
      <c r="D647" s="11" t="n"/>
      <c r="E647" s="86" t="n"/>
      <c r="F647" s="85" t="n"/>
      <c r="G647" s="85" t="n"/>
    </row>
    <row r="648" ht="13.5" customHeight="1" s="453">
      <c r="D648" s="11" t="n"/>
      <c r="E648" s="86" t="n"/>
      <c r="F648" s="85" t="n"/>
      <c r="G648" s="85" t="n"/>
    </row>
    <row r="649" ht="13.5" customHeight="1" s="453">
      <c r="D649" s="11" t="n"/>
      <c r="E649" s="86" t="n"/>
      <c r="F649" s="85" t="n"/>
      <c r="G649" s="85" t="n"/>
    </row>
    <row r="650" ht="13.5" customHeight="1" s="453">
      <c r="D650" s="11" t="n"/>
      <c r="E650" s="86" t="n"/>
      <c r="F650" s="85" t="n"/>
      <c r="G650" s="85" t="n"/>
    </row>
    <row r="651" ht="13.5" customHeight="1" s="453">
      <c r="D651" s="11" t="n"/>
      <c r="E651" s="86" t="n"/>
      <c r="F651" s="85" t="n"/>
      <c r="G651" s="85" t="n"/>
    </row>
    <row r="652" ht="13.5" customHeight="1" s="453">
      <c r="D652" s="11" t="n"/>
      <c r="E652" s="86" t="n"/>
      <c r="F652" s="85" t="n"/>
      <c r="G652" s="85" t="n"/>
    </row>
    <row r="653" ht="13.5" customHeight="1" s="453">
      <c r="D653" s="11" t="n"/>
      <c r="E653" s="86" t="n"/>
      <c r="F653" s="85" t="n"/>
      <c r="G653" s="85" t="n"/>
    </row>
    <row r="654" ht="13.5" customHeight="1" s="453">
      <c r="D654" s="11" t="n"/>
      <c r="E654" s="86" t="n"/>
      <c r="F654" s="85" t="n"/>
      <c r="G654" s="85" t="n"/>
    </row>
    <row r="655" ht="13.5" customHeight="1" s="453">
      <c r="D655" s="11" t="n"/>
      <c r="E655" s="86" t="n"/>
      <c r="F655" s="85" t="n"/>
      <c r="G655" s="85" t="n"/>
    </row>
    <row r="656" ht="13.5" customHeight="1" s="453">
      <c r="D656" s="11" t="n"/>
      <c r="E656" s="86" t="n"/>
      <c r="F656" s="85" t="n"/>
      <c r="G656" s="85" t="n"/>
    </row>
    <row r="657" ht="13.5" customHeight="1" s="453">
      <c r="D657" s="11" t="n"/>
      <c r="E657" s="86" t="n"/>
      <c r="F657" s="85" t="n"/>
      <c r="G657" s="85" t="n"/>
    </row>
    <row r="658" ht="13.5" customHeight="1" s="453">
      <c r="D658" s="11" t="n"/>
      <c r="E658" s="86" t="n"/>
      <c r="F658" s="85" t="n"/>
      <c r="G658" s="85" t="n"/>
    </row>
    <row r="659" ht="13.5" customHeight="1" s="453">
      <c r="D659" s="11" t="n"/>
      <c r="E659" s="86" t="n"/>
      <c r="F659" s="85" t="n"/>
      <c r="G659" s="85" t="n"/>
    </row>
    <row r="660" ht="13.5" customHeight="1" s="453">
      <c r="D660" s="11" t="n"/>
      <c r="E660" s="86" t="n"/>
      <c r="F660" s="85" t="n"/>
      <c r="G660" s="85" t="n"/>
    </row>
    <row r="661" ht="13.5" customHeight="1" s="453">
      <c r="D661" s="11" t="n"/>
      <c r="E661" s="86" t="n"/>
      <c r="F661" s="85" t="n"/>
      <c r="G661" s="85" t="n"/>
    </row>
    <row r="662" ht="13.5" customHeight="1" s="453">
      <c r="D662" s="11" t="n"/>
      <c r="E662" s="86" t="n"/>
      <c r="F662" s="85" t="n"/>
      <c r="G662" s="85" t="n"/>
    </row>
    <row r="663" ht="13.5" customHeight="1" s="453">
      <c r="D663" s="11" t="n"/>
      <c r="E663" s="86" t="n"/>
      <c r="F663" s="85" t="n"/>
      <c r="G663" s="85" t="n"/>
    </row>
    <row r="664" ht="13.5" customHeight="1" s="453">
      <c r="D664" s="11" t="n"/>
      <c r="E664" s="86" t="n"/>
      <c r="F664" s="85" t="n"/>
      <c r="G664" s="85" t="n"/>
    </row>
    <row r="665" ht="13.5" customHeight="1" s="453">
      <c r="D665" s="11" t="n"/>
      <c r="E665" s="86" t="n"/>
      <c r="F665" s="85" t="n"/>
      <c r="G665" s="85" t="n"/>
    </row>
    <row r="666" ht="13.5" customHeight="1" s="453">
      <c r="D666" s="11" t="n"/>
      <c r="E666" s="86" t="n"/>
      <c r="F666" s="85" t="n"/>
      <c r="G666" s="85" t="n"/>
    </row>
    <row r="667" ht="13.5" customHeight="1" s="453">
      <c r="D667" s="11" t="n"/>
      <c r="E667" s="86" t="n"/>
      <c r="F667" s="85" t="n"/>
      <c r="G667" s="85" t="n"/>
    </row>
    <row r="668" ht="13.5" customHeight="1" s="453">
      <c r="D668" s="11" t="n"/>
      <c r="E668" s="86" t="n"/>
      <c r="F668" s="85" t="n"/>
      <c r="G668" s="85" t="n"/>
    </row>
    <row r="669" ht="13.5" customHeight="1" s="453">
      <c r="D669" s="11" t="n"/>
      <c r="E669" s="86" t="n"/>
      <c r="F669" s="85" t="n"/>
      <c r="G669" s="85" t="n"/>
    </row>
    <row r="670" ht="13.5" customHeight="1" s="453">
      <c r="D670" s="11" t="n"/>
      <c r="E670" s="86" t="n"/>
      <c r="F670" s="85" t="n"/>
      <c r="G670" s="85" t="n"/>
    </row>
    <row r="671" ht="13.5" customHeight="1" s="453">
      <c r="D671" s="11" t="n"/>
      <c r="E671" s="86" t="n"/>
      <c r="F671" s="85" t="n"/>
      <c r="G671" s="85" t="n"/>
    </row>
    <row r="672" ht="13.5" customHeight="1" s="453">
      <c r="D672" s="11" t="n"/>
      <c r="E672" s="86" t="n"/>
      <c r="F672" s="85" t="n"/>
      <c r="G672" s="85" t="n"/>
    </row>
    <row r="673" ht="13.5" customHeight="1" s="453">
      <c r="D673" s="11" t="n"/>
      <c r="E673" s="86" t="n"/>
      <c r="F673" s="85" t="n"/>
      <c r="G673" s="85" t="n"/>
    </row>
    <row r="674" ht="13.5" customHeight="1" s="453">
      <c r="D674" s="11" t="n"/>
      <c r="E674" s="86" t="n"/>
      <c r="F674" s="85" t="n"/>
      <c r="G674" s="85" t="n"/>
    </row>
    <row r="675" ht="13.5" customHeight="1" s="453">
      <c r="D675" s="11" t="n"/>
      <c r="E675" s="86" t="n"/>
      <c r="F675" s="85" t="n"/>
      <c r="G675" s="85" t="n"/>
    </row>
    <row r="676" ht="13.5" customHeight="1" s="453">
      <c r="D676" s="11" t="n"/>
      <c r="E676" s="86" t="n"/>
      <c r="F676" s="85" t="n"/>
      <c r="G676" s="85" t="n"/>
    </row>
    <row r="677" ht="13.5" customHeight="1" s="453">
      <c r="D677" s="11" t="n"/>
      <c r="E677" s="86" t="n"/>
      <c r="F677" s="85" t="n"/>
      <c r="G677" s="85" t="n"/>
    </row>
    <row r="678" ht="13.5" customHeight="1" s="453">
      <c r="D678" s="11" t="n"/>
      <c r="E678" s="86" t="n"/>
      <c r="F678" s="85" t="n"/>
      <c r="G678" s="85" t="n"/>
    </row>
    <row r="679" ht="13.5" customHeight="1" s="453">
      <c r="D679" s="11" t="n"/>
      <c r="E679" s="86" t="n"/>
      <c r="F679" s="85" t="n"/>
      <c r="G679" s="85" t="n"/>
    </row>
    <row r="680" ht="13.5" customHeight="1" s="453">
      <c r="D680" s="11" t="n"/>
      <c r="E680" s="86" t="n"/>
      <c r="F680" s="85" t="n"/>
      <c r="G680" s="85" t="n"/>
    </row>
    <row r="681" ht="13.5" customHeight="1" s="453">
      <c r="D681" s="11" t="n"/>
      <c r="E681" s="86" t="n"/>
      <c r="F681" s="85" t="n"/>
      <c r="G681" s="85" t="n"/>
    </row>
    <row r="682" ht="13.5" customHeight="1" s="453">
      <c r="D682" s="11" t="n"/>
      <c r="E682" s="86" t="n"/>
      <c r="F682" s="85" t="n"/>
      <c r="G682" s="85" t="n"/>
    </row>
    <row r="683" ht="13.5" customHeight="1" s="453">
      <c r="D683" s="11" t="n"/>
      <c r="E683" s="86" t="n"/>
      <c r="F683" s="85" t="n"/>
      <c r="G683" s="85" t="n"/>
    </row>
    <row r="684" ht="13.5" customHeight="1" s="453">
      <c r="D684" s="11" t="n"/>
      <c r="E684" s="86" t="n"/>
      <c r="F684" s="85" t="n"/>
      <c r="G684" s="85" t="n"/>
    </row>
    <row r="685" ht="13.5" customHeight="1" s="453">
      <c r="D685" s="11" t="n"/>
      <c r="E685" s="86" t="n"/>
      <c r="F685" s="85" t="n"/>
      <c r="G685" s="85" t="n"/>
    </row>
    <row r="686" ht="13.5" customHeight="1" s="453">
      <c r="D686" s="11" t="n"/>
      <c r="E686" s="86" t="n"/>
      <c r="F686" s="85" t="n"/>
      <c r="G686" s="85" t="n"/>
    </row>
    <row r="687" ht="13.5" customHeight="1" s="453">
      <c r="D687" s="11" t="n"/>
      <c r="E687" s="86" t="n"/>
      <c r="F687" s="85" t="n"/>
      <c r="G687" s="85" t="n"/>
    </row>
    <row r="688" ht="13.5" customHeight="1" s="453">
      <c r="D688" s="11" t="n"/>
      <c r="E688" s="86" t="n"/>
      <c r="F688" s="85" t="n"/>
      <c r="G688" s="85" t="n"/>
    </row>
    <row r="689" ht="13.5" customHeight="1" s="453">
      <c r="D689" s="11" t="n"/>
      <c r="E689" s="86" t="n"/>
      <c r="F689" s="85" t="n"/>
      <c r="G689" s="85" t="n"/>
    </row>
    <row r="690" ht="13.5" customHeight="1" s="453">
      <c r="D690" s="11" t="n"/>
      <c r="E690" s="86" t="n"/>
      <c r="F690" s="85" t="n"/>
      <c r="G690" s="85" t="n"/>
    </row>
    <row r="691" ht="13.5" customHeight="1" s="453">
      <c r="D691" s="11" t="n"/>
      <c r="E691" s="86" t="n"/>
      <c r="F691" s="85" t="n"/>
      <c r="G691" s="85" t="n"/>
    </row>
    <row r="692" ht="13.5" customHeight="1" s="453">
      <c r="D692" s="11" t="n"/>
      <c r="E692" s="86" t="n"/>
      <c r="F692" s="85" t="n"/>
      <c r="G692" s="85" t="n"/>
    </row>
    <row r="693" ht="13.5" customHeight="1" s="453">
      <c r="D693" s="11" t="n"/>
      <c r="E693" s="86" t="n"/>
      <c r="F693" s="85" t="n"/>
      <c r="G693" s="85" t="n"/>
    </row>
    <row r="694" ht="13.5" customHeight="1" s="453">
      <c r="D694" s="11" t="n"/>
      <c r="E694" s="86" t="n"/>
      <c r="F694" s="85" t="n"/>
      <c r="G694" s="85" t="n"/>
    </row>
    <row r="695" ht="13.5" customHeight="1" s="453">
      <c r="D695" s="11" t="n"/>
      <c r="E695" s="86" t="n"/>
      <c r="F695" s="85" t="n"/>
      <c r="G695" s="85" t="n"/>
    </row>
    <row r="696" ht="13.5" customHeight="1" s="453">
      <c r="D696" s="11" t="n"/>
      <c r="E696" s="86" t="n"/>
      <c r="F696" s="85" t="n"/>
      <c r="G696" s="85" t="n"/>
    </row>
    <row r="697" ht="13.5" customHeight="1" s="453">
      <c r="D697" s="11" t="n"/>
      <c r="E697" s="86" t="n"/>
      <c r="F697" s="85" t="n"/>
      <c r="G697" s="85" t="n"/>
    </row>
    <row r="698" ht="13.5" customHeight="1" s="453">
      <c r="D698" s="11" t="n"/>
      <c r="E698" s="86" t="n"/>
      <c r="F698" s="85" t="n"/>
      <c r="G698" s="85" t="n"/>
    </row>
    <row r="699" ht="13.5" customHeight="1" s="453">
      <c r="D699" s="11" t="n"/>
      <c r="E699" s="86" t="n"/>
      <c r="F699" s="85" t="n"/>
      <c r="G699" s="85" t="n"/>
    </row>
    <row r="700" ht="13.5" customHeight="1" s="453">
      <c r="D700" s="11" t="n"/>
      <c r="E700" s="86" t="n"/>
      <c r="F700" s="85" t="n"/>
      <c r="G700" s="85" t="n"/>
    </row>
    <row r="701" ht="13.5" customHeight="1" s="453">
      <c r="D701" s="11" t="n"/>
      <c r="E701" s="86" t="n"/>
      <c r="F701" s="85" t="n"/>
      <c r="G701" s="85" t="n"/>
    </row>
    <row r="702" ht="13.5" customHeight="1" s="453">
      <c r="D702" s="11" t="n"/>
      <c r="E702" s="86" t="n"/>
      <c r="F702" s="85" t="n"/>
      <c r="G702" s="85" t="n"/>
    </row>
    <row r="703" ht="13.5" customHeight="1" s="453">
      <c r="D703" s="11" t="n"/>
      <c r="E703" s="86" t="n"/>
      <c r="F703" s="85" t="n"/>
      <c r="G703" s="85" t="n"/>
    </row>
    <row r="704" ht="13.5" customHeight="1" s="453">
      <c r="D704" s="11" t="n"/>
      <c r="E704" s="86" t="n"/>
      <c r="F704" s="85" t="n"/>
      <c r="G704" s="85" t="n"/>
    </row>
    <row r="705" ht="13.5" customHeight="1" s="453">
      <c r="D705" s="11" t="n"/>
      <c r="E705" s="86" t="n"/>
      <c r="F705" s="85" t="n"/>
      <c r="G705" s="85" t="n"/>
    </row>
    <row r="706" ht="13.5" customHeight="1" s="453">
      <c r="D706" s="11" t="n"/>
      <c r="E706" s="86" t="n"/>
      <c r="F706" s="85" t="n"/>
      <c r="G706" s="85" t="n"/>
    </row>
    <row r="707" ht="13.5" customHeight="1" s="453">
      <c r="D707" s="11" t="n"/>
      <c r="E707" s="86" t="n"/>
      <c r="F707" s="85" t="n"/>
      <c r="G707" s="85" t="n"/>
    </row>
    <row r="708" ht="13.5" customHeight="1" s="453">
      <c r="D708" s="11" t="n"/>
      <c r="E708" s="86" t="n"/>
      <c r="F708" s="85" t="n"/>
      <c r="G708" s="85" t="n"/>
    </row>
    <row r="709" ht="13.5" customHeight="1" s="453">
      <c r="D709" s="11" t="n"/>
      <c r="E709" s="86" t="n"/>
      <c r="F709" s="85" t="n"/>
      <c r="G709" s="85" t="n"/>
    </row>
    <row r="710" ht="13.5" customHeight="1" s="453">
      <c r="D710" s="11" t="n"/>
      <c r="E710" s="86" t="n"/>
      <c r="F710" s="85" t="n"/>
      <c r="G710" s="85" t="n"/>
    </row>
    <row r="711" ht="13.5" customHeight="1" s="453">
      <c r="D711" s="11" t="n"/>
      <c r="E711" s="86" t="n"/>
      <c r="F711" s="85" t="n"/>
      <c r="G711" s="85" t="n"/>
    </row>
    <row r="712" ht="13.5" customHeight="1" s="453">
      <c r="D712" s="11" t="n"/>
      <c r="E712" s="86" t="n"/>
      <c r="F712" s="85" t="n"/>
      <c r="G712" s="85" t="n"/>
    </row>
    <row r="713" ht="13.5" customHeight="1" s="453">
      <c r="D713" s="11" t="n"/>
      <c r="E713" s="86" t="n"/>
      <c r="F713" s="85" t="n"/>
      <c r="G713" s="85" t="n"/>
    </row>
    <row r="714" ht="13.5" customHeight="1" s="453">
      <c r="D714" s="11" t="n"/>
      <c r="E714" s="86" t="n"/>
      <c r="F714" s="85" t="n"/>
      <c r="G714" s="85" t="n"/>
    </row>
    <row r="715" ht="13.5" customHeight="1" s="453">
      <c r="D715" s="11" t="n"/>
      <c r="E715" s="86" t="n"/>
      <c r="F715" s="85" t="n"/>
      <c r="G715" s="85" t="n"/>
    </row>
    <row r="716" ht="13.5" customHeight="1" s="453">
      <c r="D716" s="11" t="n"/>
      <c r="E716" s="86" t="n"/>
      <c r="F716" s="85" t="n"/>
      <c r="G716" s="85" t="n"/>
    </row>
    <row r="717" ht="13.5" customHeight="1" s="453">
      <c r="D717" s="11" t="n"/>
      <c r="E717" s="86" t="n"/>
      <c r="F717" s="85" t="n"/>
      <c r="G717" s="85" t="n"/>
    </row>
    <row r="718" ht="13.5" customHeight="1" s="453">
      <c r="D718" s="11" t="n"/>
      <c r="E718" s="86" t="n"/>
      <c r="F718" s="85" t="n"/>
      <c r="G718" s="85" t="n"/>
    </row>
    <row r="719" ht="13.5" customHeight="1" s="453">
      <c r="D719" s="11" t="n"/>
      <c r="E719" s="86" t="n"/>
      <c r="F719" s="85" t="n"/>
      <c r="G719" s="85" t="n"/>
    </row>
    <row r="720" ht="13.5" customHeight="1" s="453">
      <c r="D720" s="11" t="n"/>
      <c r="E720" s="86" t="n"/>
      <c r="F720" s="85" t="n"/>
      <c r="G720" s="85" t="n"/>
    </row>
    <row r="721" ht="13.5" customHeight="1" s="453">
      <c r="D721" s="11" t="n"/>
      <c r="E721" s="86" t="n"/>
      <c r="F721" s="85" t="n"/>
      <c r="G721" s="85" t="n"/>
    </row>
    <row r="722" ht="13.5" customHeight="1" s="453">
      <c r="D722" s="11" t="n"/>
      <c r="E722" s="86" t="n"/>
      <c r="F722" s="85" t="n"/>
      <c r="G722" s="85" t="n"/>
    </row>
    <row r="723" ht="13.5" customHeight="1" s="453">
      <c r="D723" s="11" t="n"/>
      <c r="E723" s="86" t="n"/>
      <c r="F723" s="85" t="n"/>
      <c r="G723" s="85" t="n"/>
    </row>
    <row r="724" ht="13.5" customHeight="1" s="453">
      <c r="D724" s="11" t="n"/>
      <c r="E724" s="86" t="n"/>
      <c r="F724" s="85" t="n"/>
      <c r="G724" s="85" t="n"/>
    </row>
    <row r="725" ht="13.5" customHeight="1" s="453">
      <c r="D725" s="11" t="n"/>
      <c r="E725" s="86" t="n"/>
      <c r="F725" s="85" t="n"/>
      <c r="G725" s="85" t="n"/>
    </row>
    <row r="726" ht="13.5" customHeight="1" s="453">
      <c r="D726" s="11" t="n"/>
      <c r="E726" s="86" t="n"/>
      <c r="F726" s="85" t="n"/>
      <c r="G726" s="85" t="n"/>
    </row>
    <row r="727" ht="13.5" customHeight="1" s="453">
      <c r="D727" s="11" t="n"/>
      <c r="E727" s="86" t="n"/>
      <c r="F727" s="85" t="n"/>
      <c r="G727" s="85" t="n"/>
    </row>
    <row r="728" ht="13.5" customHeight="1" s="453">
      <c r="D728" s="11" t="n"/>
      <c r="E728" s="86" t="n"/>
      <c r="F728" s="85" t="n"/>
      <c r="G728" s="85" t="n"/>
    </row>
    <row r="729" ht="13.5" customHeight="1" s="453">
      <c r="D729" s="11" t="n"/>
      <c r="E729" s="86" t="n"/>
      <c r="F729" s="85" t="n"/>
      <c r="G729" s="85" t="n"/>
    </row>
    <row r="730" ht="13.5" customHeight="1" s="453">
      <c r="D730" s="11" t="n"/>
      <c r="E730" s="86" t="n"/>
      <c r="F730" s="85" t="n"/>
      <c r="G730" s="85" t="n"/>
    </row>
    <row r="731" ht="13.5" customHeight="1" s="453">
      <c r="D731" s="11" t="n"/>
      <c r="E731" s="86" t="n"/>
      <c r="F731" s="85" t="n"/>
      <c r="G731" s="85" t="n"/>
    </row>
    <row r="732" ht="13.5" customHeight="1" s="453">
      <c r="D732" s="11" t="n"/>
      <c r="E732" s="86" t="n"/>
      <c r="F732" s="85" t="n"/>
      <c r="G732" s="85" t="n"/>
    </row>
    <row r="733" ht="13.5" customHeight="1" s="453">
      <c r="D733" s="11" t="n"/>
      <c r="E733" s="86" t="n"/>
      <c r="F733" s="85" t="n"/>
      <c r="G733" s="85" t="n"/>
    </row>
    <row r="734" ht="13.5" customHeight="1" s="453">
      <c r="D734" s="11" t="n"/>
      <c r="E734" s="86" t="n"/>
      <c r="F734" s="85" t="n"/>
      <c r="G734" s="85" t="n"/>
    </row>
    <row r="735" ht="13.5" customHeight="1" s="453">
      <c r="D735" s="11" t="n"/>
      <c r="E735" s="86" t="n"/>
      <c r="F735" s="85" t="n"/>
      <c r="G735" s="85" t="n"/>
    </row>
    <row r="736" ht="13.5" customHeight="1" s="453">
      <c r="D736" s="11" t="n"/>
      <c r="E736" s="86" t="n"/>
      <c r="F736" s="85" t="n"/>
      <c r="G736" s="85" t="n"/>
    </row>
    <row r="737" ht="13.5" customHeight="1" s="453">
      <c r="D737" s="11" t="n"/>
      <c r="E737" s="86" t="n"/>
      <c r="F737" s="85" t="n"/>
      <c r="G737" s="85" t="n"/>
    </row>
    <row r="738" ht="13.5" customHeight="1" s="453">
      <c r="D738" s="11" t="n"/>
      <c r="E738" s="86" t="n"/>
      <c r="F738" s="85" t="n"/>
      <c r="G738" s="85" t="n"/>
    </row>
    <row r="739" ht="13.5" customHeight="1" s="453">
      <c r="D739" s="11" t="n"/>
      <c r="E739" s="86" t="n"/>
      <c r="F739" s="85" t="n"/>
      <c r="G739" s="85" t="n"/>
    </row>
    <row r="740" ht="13.5" customHeight="1" s="453">
      <c r="D740" s="11" t="n"/>
      <c r="E740" s="86" t="n"/>
      <c r="F740" s="85" t="n"/>
      <c r="G740" s="85" t="n"/>
    </row>
    <row r="741" ht="13.5" customHeight="1" s="453">
      <c r="D741" s="11" t="n"/>
      <c r="E741" s="86" t="n"/>
      <c r="F741" s="85" t="n"/>
      <c r="G741" s="85" t="n"/>
    </row>
    <row r="742" ht="13.5" customHeight="1" s="453">
      <c r="D742" s="11" t="n"/>
      <c r="E742" s="86" t="n"/>
      <c r="F742" s="85" t="n"/>
      <c r="G742" s="85" t="n"/>
    </row>
    <row r="743" ht="13.5" customHeight="1" s="453">
      <c r="D743" s="11" t="n"/>
      <c r="E743" s="86" t="n"/>
      <c r="F743" s="85" t="n"/>
      <c r="G743" s="85" t="n"/>
    </row>
    <row r="744" ht="13.5" customHeight="1" s="453">
      <c r="D744" s="11" t="n"/>
      <c r="E744" s="86" t="n"/>
      <c r="F744" s="85" t="n"/>
      <c r="G744" s="85" t="n"/>
    </row>
    <row r="745" ht="13.5" customHeight="1" s="453">
      <c r="D745" s="11" t="n"/>
      <c r="E745" s="86" t="n"/>
      <c r="F745" s="85" t="n"/>
      <c r="G745" s="85" t="n"/>
    </row>
    <row r="746" ht="13.5" customHeight="1" s="453">
      <c r="D746" s="11" t="n"/>
      <c r="E746" s="86" t="n"/>
      <c r="F746" s="85" t="n"/>
      <c r="G746" s="85" t="n"/>
    </row>
    <row r="747" ht="13.5" customHeight="1" s="453">
      <c r="D747" s="11" t="n"/>
      <c r="E747" s="86" t="n"/>
      <c r="F747" s="85" t="n"/>
      <c r="G747" s="85" t="n"/>
    </row>
    <row r="748" ht="13.5" customHeight="1" s="453">
      <c r="D748" s="11" t="n"/>
      <c r="E748" s="86" t="n"/>
      <c r="F748" s="85" t="n"/>
      <c r="G748" s="85" t="n"/>
    </row>
    <row r="749" ht="13.5" customHeight="1" s="453">
      <c r="D749" s="11" t="n"/>
      <c r="E749" s="86" t="n"/>
      <c r="F749" s="85" t="n"/>
      <c r="G749" s="85" t="n"/>
    </row>
    <row r="750" ht="13.5" customHeight="1" s="453">
      <c r="D750" s="11" t="n"/>
      <c r="E750" s="86" t="n"/>
      <c r="F750" s="85" t="n"/>
      <c r="G750" s="85" t="n"/>
    </row>
    <row r="751" ht="13.5" customHeight="1" s="453">
      <c r="D751" s="11" t="n"/>
      <c r="E751" s="86" t="n"/>
      <c r="F751" s="85" t="n"/>
      <c r="G751" s="85" t="n"/>
    </row>
    <row r="752" ht="13.5" customHeight="1" s="453">
      <c r="D752" s="11" t="n"/>
      <c r="E752" s="86" t="n"/>
      <c r="F752" s="85" t="n"/>
      <c r="G752" s="85" t="n"/>
    </row>
    <row r="753" ht="13.5" customHeight="1" s="453">
      <c r="D753" s="11" t="n"/>
      <c r="E753" s="86" t="n"/>
      <c r="F753" s="85" t="n"/>
      <c r="G753" s="85" t="n"/>
    </row>
    <row r="754" ht="13.5" customHeight="1" s="453">
      <c r="D754" s="11" t="n"/>
      <c r="E754" s="86" t="n"/>
      <c r="F754" s="85" t="n"/>
      <c r="G754" s="85" t="n"/>
    </row>
    <row r="755" ht="13.5" customHeight="1" s="453">
      <c r="D755" s="11" t="n"/>
      <c r="E755" s="86" t="n"/>
      <c r="F755" s="85" t="n"/>
      <c r="G755" s="85" t="n"/>
    </row>
    <row r="756" ht="13.5" customHeight="1" s="453">
      <c r="D756" s="11" t="n"/>
      <c r="E756" s="86" t="n"/>
      <c r="F756" s="85" t="n"/>
      <c r="G756" s="85" t="n"/>
    </row>
    <row r="757" ht="13.5" customHeight="1" s="453">
      <c r="D757" s="11" t="n"/>
      <c r="E757" s="86" t="n"/>
      <c r="F757" s="85" t="n"/>
      <c r="G757" s="85" t="n"/>
    </row>
    <row r="758" ht="13.5" customHeight="1" s="453">
      <c r="D758" s="11" t="n"/>
      <c r="E758" s="86" t="n"/>
      <c r="F758" s="85" t="n"/>
      <c r="G758" s="85" t="n"/>
    </row>
    <row r="759" ht="13.5" customHeight="1" s="453">
      <c r="D759" s="11" t="n"/>
      <c r="E759" s="86" t="n"/>
      <c r="F759" s="85" t="n"/>
      <c r="G759" s="85" t="n"/>
    </row>
    <row r="760" ht="13.5" customHeight="1" s="453">
      <c r="D760" s="11" t="n"/>
      <c r="E760" s="86" t="n"/>
      <c r="F760" s="85" t="n"/>
      <c r="G760" s="85" t="n"/>
    </row>
    <row r="761" ht="13.5" customHeight="1" s="453">
      <c r="D761" s="11" t="n"/>
      <c r="E761" s="86" t="n"/>
      <c r="F761" s="85" t="n"/>
      <c r="G761" s="85" t="n"/>
    </row>
    <row r="762" ht="13.5" customHeight="1" s="453">
      <c r="D762" s="11" t="n"/>
      <c r="E762" s="86" t="n"/>
      <c r="F762" s="85" t="n"/>
      <c r="G762" s="85" t="n"/>
    </row>
    <row r="763" ht="13.5" customHeight="1" s="453">
      <c r="D763" s="11" t="n"/>
      <c r="E763" s="86" t="n"/>
      <c r="F763" s="85" t="n"/>
      <c r="G763" s="85" t="n"/>
    </row>
    <row r="764" ht="13.5" customHeight="1" s="453">
      <c r="D764" s="11" t="n"/>
      <c r="E764" s="86" t="n"/>
      <c r="F764" s="85" t="n"/>
      <c r="G764" s="85" t="n"/>
    </row>
    <row r="765" ht="13.5" customHeight="1" s="453">
      <c r="D765" s="11" t="n"/>
      <c r="E765" s="86" t="n"/>
      <c r="F765" s="85" t="n"/>
      <c r="G765" s="85" t="n"/>
    </row>
    <row r="766" ht="13.5" customHeight="1" s="453">
      <c r="D766" s="11" t="n"/>
      <c r="E766" s="86" t="n"/>
      <c r="F766" s="85" t="n"/>
      <c r="G766" s="85" t="n"/>
    </row>
    <row r="767" ht="13.5" customHeight="1" s="453">
      <c r="D767" s="11" t="n"/>
      <c r="E767" s="86" t="n"/>
      <c r="F767" s="85" t="n"/>
      <c r="G767" s="85" t="n"/>
    </row>
    <row r="768" ht="13.5" customHeight="1" s="453">
      <c r="D768" s="11" t="n"/>
      <c r="E768" s="86" t="n"/>
      <c r="F768" s="85" t="n"/>
      <c r="G768" s="85" t="n"/>
    </row>
    <row r="769" ht="13.5" customHeight="1" s="453">
      <c r="D769" s="11" t="n"/>
      <c r="E769" s="86" t="n"/>
      <c r="F769" s="85" t="n"/>
      <c r="G769" s="85" t="n"/>
    </row>
    <row r="770" ht="13.5" customHeight="1" s="453">
      <c r="D770" s="11" t="n"/>
      <c r="E770" s="86" t="n"/>
      <c r="F770" s="85" t="n"/>
      <c r="G770" s="85" t="n"/>
    </row>
    <row r="771" ht="13.5" customHeight="1" s="453">
      <c r="D771" s="11" t="n"/>
      <c r="E771" s="86" t="n"/>
      <c r="F771" s="85" t="n"/>
      <c r="G771" s="85" t="n"/>
    </row>
    <row r="772" ht="13.5" customHeight="1" s="453">
      <c r="D772" s="11" t="n"/>
      <c r="E772" s="86" t="n"/>
      <c r="F772" s="85" t="n"/>
      <c r="G772" s="85" t="n"/>
    </row>
    <row r="773" ht="13.5" customHeight="1" s="453">
      <c r="D773" s="11" t="n"/>
      <c r="E773" s="86" t="n"/>
      <c r="F773" s="85" t="n"/>
      <c r="G773" s="85" t="n"/>
    </row>
    <row r="774" ht="13.5" customHeight="1" s="453">
      <c r="D774" s="11" t="n"/>
      <c r="E774" s="86" t="n"/>
      <c r="F774" s="85" t="n"/>
      <c r="G774" s="85" t="n"/>
    </row>
    <row r="775" ht="13.5" customHeight="1" s="453">
      <c r="D775" s="11" t="n"/>
      <c r="E775" s="86" t="n"/>
      <c r="F775" s="85" t="n"/>
      <c r="G775" s="85" t="n"/>
    </row>
    <row r="776" ht="13.5" customHeight="1" s="453">
      <c r="D776" s="11" t="n"/>
      <c r="E776" s="86" t="n"/>
      <c r="F776" s="85" t="n"/>
      <c r="G776" s="85" t="n"/>
    </row>
    <row r="777" ht="13.5" customHeight="1" s="453">
      <c r="D777" s="11" t="n"/>
      <c r="E777" s="86" t="n"/>
      <c r="F777" s="85" t="n"/>
      <c r="G777" s="85" t="n"/>
    </row>
    <row r="778" ht="13.5" customHeight="1" s="453">
      <c r="D778" s="11" t="n"/>
      <c r="E778" s="86" t="n"/>
      <c r="F778" s="85" t="n"/>
      <c r="G778" s="85" t="n"/>
    </row>
    <row r="779" ht="13.5" customHeight="1" s="453">
      <c r="D779" s="11" t="n"/>
      <c r="E779" s="86" t="n"/>
      <c r="F779" s="85" t="n"/>
      <c r="G779" s="85" t="n"/>
    </row>
    <row r="780" ht="13.5" customHeight="1" s="453">
      <c r="D780" s="11" t="n"/>
      <c r="E780" s="86" t="n"/>
      <c r="F780" s="85" t="n"/>
      <c r="G780" s="85" t="n"/>
    </row>
    <row r="781" ht="13.5" customHeight="1" s="453">
      <c r="D781" s="11" t="n"/>
      <c r="E781" s="86" t="n"/>
      <c r="F781" s="85" t="n"/>
      <c r="G781" s="85" t="n"/>
    </row>
    <row r="782" ht="13.5" customHeight="1" s="453">
      <c r="D782" s="11" t="n"/>
      <c r="E782" s="86" t="n"/>
      <c r="F782" s="85" t="n"/>
      <c r="G782" s="85" t="n"/>
    </row>
    <row r="783" ht="13.5" customHeight="1" s="453">
      <c r="D783" s="11" t="n"/>
      <c r="E783" s="86" t="n"/>
      <c r="F783" s="85" t="n"/>
      <c r="G783" s="85" t="n"/>
    </row>
    <row r="784" ht="13.5" customHeight="1" s="453">
      <c r="D784" s="11" t="n"/>
      <c r="E784" s="86" t="n"/>
      <c r="F784" s="85" t="n"/>
      <c r="G784" s="85" t="n"/>
    </row>
    <row r="785" ht="13.5" customHeight="1" s="453">
      <c r="D785" s="11" t="n"/>
      <c r="E785" s="86" t="n"/>
      <c r="F785" s="85" t="n"/>
      <c r="G785" s="85" t="n"/>
    </row>
    <row r="786" ht="13.5" customHeight="1" s="453">
      <c r="D786" s="11" t="n"/>
      <c r="E786" s="86" t="n"/>
      <c r="F786" s="85" t="n"/>
      <c r="G786" s="85" t="n"/>
    </row>
    <row r="787" ht="13.5" customHeight="1" s="453">
      <c r="D787" s="11" t="n"/>
      <c r="E787" s="86" t="n"/>
      <c r="F787" s="85" t="n"/>
      <c r="G787" s="85" t="n"/>
    </row>
    <row r="788" ht="13.5" customHeight="1" s="453">
      <c r="D788" s="11" t="n"/>
      <c r="E788" s="86" t="n"/>
      <c r="F788" s="85" t="n"/>
      <c r="G788" s="85" t="n"/>
    </row>
    <row r="789" ht="13.5" customHeight="1" s="453">
      <c r="D789" s="11" t="n"/>
      <c r="E789" s="86" t="n"/>
      <c r="F789" s="85" t="n"/>
      <c r="G789" s="85" t="n"/>
    </row>
    <row r="790" ht="13.5" customHeight="1" s="453">
      <c r="D790" s="11" t="n"/>
      <c r="E790" s="86" t="n"/>
      <c r="F790" s="85" t="n"/>
      <c r="G790" s="85" t="n"/>
    </row>
    <row r="791" ht="13.5" customHeight="1" s="453">
      <c r="D791" s="11" t="n"/>
      <c r="E791" s="86" t="n"/>
      <c r="F791" s="85" t="n"/>
      <c r="G791" s="85" t="n"/>
    </row>
    <row r="792" ht="13.5" customHeight="1" s="453">
      <c r="D792" s="11" t="n"/>
      <c r="E792" s="86" t="n"/>
      <c r="F792" s="85" t="n"/>
      <c r="G792" s="85" t="n"/>
    </row>
    <row r="793" ht="13.5" customHeight="1" s="453">
      <c r="D793" s="11" t="n"/>
      <c r="E793" s="86" t="n"/>
      <c r="F793" s="85" t="n"/>
      <c r="G793" s="85" t="n"/>
    </row>
    <row r="794" ht="13.5" customHeight="1" s="453">
      <c r="D794" s="11" t="n"/>
      <c r="E794" s="86" t="n"/>
      <c r="F794" s="85" t="n"/>
      <c r="G794" s="85" t="n"/>
    </row>
    <row r="795" ht="13.5" customHeight="1" s="453">
      <c r="D795" s="11" t="n"/>
      <c r="E795" s="86" t="n"/>
      <c r="F795" s="85" t="n"/>
      <c r="G795" s="85" t="n"/>
    </row>
    <row r="796" ht="13.5" customHeight="1" s="453">
      <c r="D796" s="11" t="n"/>
      <c r="E796" s="86" t="n"/>
      <c r="F796" s="85" t="n"/>
      <c r="G796" s="85" t="n"/>
    </row>
    <row r="797" ht="13.5" customHeight="1" s="453">
      <c r="D797" s="11" t="n"/>
      <c r="E797" s="86" t="n"/>
      <c r="F797" s="85" t="n"/>
      <c r="G797" s="85" t="n"/>
    </row>
    <row r="798" ht="13.5" customHeight="1" s="453">
      <c r="D798" s="11" t="n"/>
      <c r="E798" s="86" t="n"/>
      <c r="F798" s="85" t="n"/>
      <c r="G798" s="85" t="n"/>
    </row>
    <row r="799" ht="13.5" customHeight="1" s="453">
      <c r="D799" s="11" t="n"/>
      <c r="E799" s="86" t="n"/>
      <c r="F799" s="85" t="n"/>
      <c r="G799" s="85" t="n"/>
    </row>
    <row r="800" ht="13.5" customHeight="1" s="453">
      <c r="D800" s="11" t="n"/>
      <c r="E800" s="86" t="n"/>
      <c r="F800" s="85" t="n"/>
      <c r="G800" s="85" t="n"/>
    </row>
    <row r="801" ht="13.5" customHeight="1" s="453">
      <c r="D801" s="11" t="n"/>
      <c r="E801" s="86" t="n"/>
      <c r="F801" s="85" t="n"/>
      <c r="G801" s="85" t="n"/>
    </row>
    <row r="802" ht="13.5" customHeight="1" s="453">
      <c r="D802" s="11" t="n"/>
      <c r="E802" s="86" t="n"/>
      <c r="F802" s="85" t="n"/>
      <c r="G802" s="85" t="n"/>
    </row>
    <row r="803" ht="13.5" customHeight="1" s="453">
      <c r="D803" s="11" t="n"/>
      <c r="E803" s="86" t="n"/>
      <c r="F803" s="85" t="n"/>
      <c r="G803" s="85" t="n"/>
    </row>
    <row r="804" ht="13.5" customHeight="1" s="453">
      <c r="D804" s="11" t="n"/>
      <c r="E804" s="86" t="n"/>
      <c r="F804" s="85" t="n"/>
      <c r="G804" s="85" t="n"/>
    </row>
    <row r="805" ht="13.5" customHeight="1" s="453">
      <c r="D805" s="11" t="n"/>
      <c r="E805" s="86" t="n"/>
      <c r="F805" s="85" t="n"/>
      <c r="G805" s="85" t="n"/>
    </row>
    <row r="806" ht="13.5" customHeight="1" s="453">
      <c r="D806" s="11" t="n"/>
      <c r="E806" s="86" t="n"/>
      <c r="F806" s="85" t="n"/>
      <c r="G806" s="85" t="n"/>
    </row>
    <row r="807" ht="13.5" customHeight="1" s="453">
      <c r="D807" s="11" t="n"/>
      <c r="E807" s="86" t="n"/>
      <c r="F807" s="85" t="n"/>
      <c r="G807" s="85" t="n"/>
    </row>
    <row r="808" ht="13.5" customHeight="1" s="453">
      <c r="D808" s="11" t="n"/>
      <c r="E808" s="86" t="n"/>
      <c r="F808" s="85" t="n"/>
      <c r="G808" s="85" t="n"/>
    </row>
    <row r="809" ht="13.5" customHeight="1" s="453">
      <c r="D809" s="11" t="n"/>
      <c r="E809" s="86" t="n"/>
      <c r="F809" s="85" t="n"/>
      <c r="G809" s="85" t="n"/>
    </row>
    <row r="810" ht="13.5" customHeight="1" s="453">
      <c r="D810" s="11" t="n"/>
      <c r="E810" s="86" t="n"/>
      <c r="F810" s="85" t="n"/>
      <c r="G810" s="85" t="n"/>
    </row>
    <row r="811" ht="13.5" customHeight="1" s="453">
      <c r="D811" s="11" t="n"/>
      <c r="E811" s="86" t="n"/>
      <c r="F811" s="85" t="n"/>
      <c r="G811" s="85" t="n"/>
    </row>
    <row r="812" ht="13.5" customHeight="1" s="453">
      <c r="D812" s="11" t="n"/>
      <c r="E812" s="86" t="n"/>
      <c r="F812" s="85" t="n"/>
      <c r="G812" s="85" t="n"/>
    </row>
    <row r="813" ht="13.5" customHeight="1" s="453">
      <c r="D813" s="11" t="n"/>
      <c r="E813" s="86" t="n"/>
      <c r="F813" s="85" t="n"/>
      <c r="G813" s="85" t="n"/>
    </row>
    <row r="814" ht="13.5" customHeight="1" s="453">
      <c r="D814" s="11" t="n"/>
      <c r="E814" s="86" t="n"/>
      <c r="F814" s="85" t="n"/>
      <c r="G814" s="85" t="n"/>
    </row>
    <row r="815" ht="13.5" customHeight="1" s="453">
      <c r="D815" s="11" t="n"/>
      <c r="E815" s="86" t="n"/>
      <c r="F815" s="85" t="n"/>
      <c r="G815" s="85" t="n"/>
    </row>
    <row r="816" ht="13.5" customHeight="1" s="453">
      <c r="D816" s="11" t="n"/>
      <c r="E816" s="86" t="n"/>
      <c r="F816" s="85" t="n"/>
      <c r="G816" s="85" t="n"/>
    </row>
    <row r="817" ht="13.5" customHeight="1" s="453">
      <c r="D817" s="11" t="n"/>
      <c r="E817" s="86" t="n"/>
      <c r="F817" s="85" t="n"/>
      <c r="G817" s="85" t="n"/>
    </row>
    <row r="818" ht="13.5" customHeight="1" s="453">
      <c r="D818" s="11" t="n"/>
      <c r="E818" s="86" t="n"/>
      <c r="F818" s="85" t="n"/>
      <c r="G818" s="85" t="n"/>
    </row>
    <row r="819" ht="13.5" customHeight="1" s="453">
      <c r="D819" s="11" t="n"/>
      <c r="E819" s="86" t="n"/>
      <c r="F819" s="85" t="n"/>
      <c r="G819" s="85" t="n"/>
    </row>
    <row r="820" ht="13.5" customHeight="1" s="453">
      <c r="D820" s="11" t="n"/>
      <c r="E820" s="86" t="n"/>
      <c r="F820" s="85" t="n"/>
      <c r="G820" s="85" t="n"/>
    </row>
    <row r="821" ht="13.5" customHeight="1" s="453">
      <c r="D821" s="11" t="n"/>
      <c r="E821" s="86" t="n"/>
      <c r="F821" s="85" t="n"/>
      <c r="G821" s="85" t="n"/>
    </row>
    <row r="822" ht="13.5" customHeight="1" s="453">
      <c r="D822" s="11" t="n"/>
      <c r="E822" s="86" t="n"/>
      <c r="F822" s="85" t="n"/>
      <c r="G822" s="85" t="n"/>
    </row>
    <row r="823" ht="13.5" customHeight="1" s="453">
      <c r="D823" s="11" t="n"/>
      <c r="E823" s="86" t="n"/>
      <c r="F823" s="85" t="n"/>
      <c r="G823" s="85" t="n"/>
    </row>
    <row r="824" ht="13.5" customHeight="1" s="453">
      <c r="D824" s="11" t="n"/>
      <c r="E824" s="86" t="n"/>
      <c r="F824" s="85" t="n"/>
      <c r="G824" s="85" t="n"/>
    </row>
    <row r="825" ht="13.5" customHeight="1" s="453">
      <c r="D825" s="11" t="n"/>
      <c r="E825" s="86" t="n"/>
      <c r="F825" s="85" t="n"/>
      <c r="G825" s="85" t="n"/>
    </row>
    <row r="826" ht="13.5" customHeight="1" s="453">
      <c r="D826" s="11" t="n"/>
      <c r="E826" s="86" t="n"/>
      <c r="F826" s="85" t="n"/>
      <c r="G826" s="85" t="n"/>
    </row>
    <row r="827" ht="13.5" customHeight="1" s="453">
      <c r="D827" s="11" t="n"/>
      <c r="E827" s="86" t="n"/>
      <c r="F827" s="85" t="n"/>
      <c r="G827" s="85" t="n"/>
    </row>
    <row r="828" ht="13.5" customHeight="1" s="453">
      <c r="D828" s="11" t="n"/>
      <c r="E828" s="86" t="n"/>
      <c r="F828" s="85" t="n"/>
      <c r="G828" s="85" t="n"/>
    </row>
    <row r="829" ht="13.5" customHeight="1" s="453">
      <c r="D829" s="11" t="n"/>
      <c r="E829" s="86" t="n"/>
      <c r="F829" s="85" t="n"/>
      <c r="G829" s="85" t="n"/>
    </row>
    <row r="830" ht="13.5" customHeight="1" s="453">
      <c r="D830" s="11" t="n"/>
      <c r="E830" s="86" t="n"/>
      <c r="F830" s="85" t="n"/>
      <c r="G830" s="85" t="n"/>
    </row>
    <row r="831" ht="13.5" customHeight="1" s="453">
      <c r="D831" s="11" t="n"/>
      <c r="E831" s="86" t="n"/>
      <c r="F831" s="85" t="n"/>
      <c r="G831" s="85" t="n"/>
    </row>
    <row r="832" ht="13.5" customHeight="1" s="453">
      <c r="D832" s="11" t="n"/>
      <c r="E832" s="86" t="n"/>
      <c r="F832" s="85" t="n"/>
      <c r="G832" s="85" t="n"/>
    </row>
    <row r="833" ht="13.5" customHeight="1" s="453">
      <c r="D833" s="11" t="n"/>
      <c r="E833" s="86" t="n"/>
      <c r="F833" s="85" t="n"/>
      <c r="G833" s="85" t="n"/>
    </row>
    <row r="834" ht="13.5" customHeight="1" s="453">
      <c r="D834" s="11" t="n"/>
      <c r="E834" s="86" t="n"/>
      <c r="F834" s="85" t="n"/>
      <c r="G834" s="85" t="n"/>
    </row>
    <row r="835" ht="13.5" customHeight="1" s="453">
      <c r="D835" s="11" t="n"/>
      <c r="E835" s="86" t="n"/>
      <c r="F835" s="85" t="n"/>
      <c r="G835" s="85" t="n"/>
    </row>
    <row r="836" ht="13.5" customHeight="1" s="453">
      <c r="D836" s="11" t="n"/>
      <c r="E836" s="86" t="n"/>
      <c r="F836" s="85" t="n"/>
      <c r="G836" s="85" t="n"/>
    </row>
    <row r="837" ht="13.5" customHeight="1" s="453">
      <c r="D837" s="11" t="n"/>
      <c r="E837" s="86" t="n"/>
      <c r="F837" s="85" t="n"/>
      <c r="G837" s="85" t="n"/>
    </row>
    <row r="838" ht="13.5" customHeight="1" s="453">
      <c r="D838" s="11" t="n"/>
      <c r="E838" s="86" t="n"/>
      <c r="F838" s="85" t="n"/>
      <c r="G838" s="85" t="n"/>
    </row>
    <row r="839" ht="13.5" customHeight="1" s="453">
      <c r="D839" s="11" t="n"/>
      <c r="E839" s="86" t="n"/>
      <c r="F839" s="85" t="n"/>
      <c r="G839" s="85" t="n"/>
    </row>
    <row r="840" ht="13.5" customHeight="1" s="453">
      <c r="D840" s="11" t="n"/>
      <c r="E840" s="86" t="n"/>
      <c r="F840" s="85" t="n"/>
      <c r="G840" s="85" t="n"/>
    </row>
    <row r="841" ht="13.5" customHeight="1" s="453">
      <c r="D841" s="11" t="n"/>
      <c r="E841" s="86" t="n"/>
      <c r="F841" s="85" t="n"/>
      <c r="G841" s="85" t="n"/>
    </row>
    <row r="842" ht="13.5" customHeight="1" s="453">
      <c r="D842" s="11" t="n"/>
      <c r="E842" s="86" t="n"/>
      <c r="F842" s="85" t="n"/>
      <c r="G842" s="85" t="n"/>
    </row>
    <row r="843" ht="13.5" customHeight="1" s="453">
      <c r="D843" s="11" t="n"/>
      <c r="E843" s="86" t="n"/>
      <c r="F843" s="85" t="n"/>
      <c r="G843" s="85" t="n"/>
    </row>
    <row r="844" ht="13.5" customHeight="1" s="453">
      <c r="D844" s="11" t="n"/>
      <c r="E844" s="86" t="n"/>
      <c r="F844" s="85" t="n"/>
      <c r="G844" s="85" t="n"/>
    </row>
    <row r="845" ht="13.5" customHeight="1" s="453">
      <c r="D845" s="11" t="n"/>
      <c r="E845" s="86" t="n"/>
      <c r="F845" s="85" t="n"/>
      <c r="G845" s="85" t="n"/>
    </row>
    <row r="846" ht="13.5" customHeight="1" s="453">
      <c r="D846" s="11" t="n"/>
      <c r="E846" s="86" t="n"/>
      <c r="F846" s="85" t="n"/>
      <c r="G846" s="85" t="n"/>
    </row>
    <row r="847" ht="13.5" customHeight="1" s="453">
      <c r="D847" s="11" t="n"/>
      <c r="E847" s="86" t="n"/>
      <c r="F847" s="85" t="n"/>
      <c r="G847" s="85" t="n"/>
    </row>
    <row r="848" ht="13.5" customHeight="1" s="453">
      <c r="D848" s="11" t="n"/>
      <c r="E848" s="86" t="n"/>
      <c r="F848" s="85" t="n"/>
      <c r="G848" s="85" t="n"/>
    </row>
    <row r="849" ht="13.5" customHeight="1" s="453">
      <c r="D849" s="11" t="n"/>
      <c r="E849" s="86" t="n"/>
      <c r="F849" s="85" t="n"/>
      <c r="G849" s="85" t="n"/>
    </row>
    <row r="850" ht="13.5" customHeight="1" s="453">
      <c r="D850" s="11" t="n"/>
      <c r="E850" s="86" t="n"/>
      <c r="F850" s="85" t="n"/>
      <c r="G850" s="85" t="n"/>
    </row>
    <row r="851" ht="13.5" customHeight="1" s="453">
      <c r="D851" s="11" t="n"/>
      <c r="E851" s="86" t="n"/>
      <c r="F851" s="85" t="n"/>
      <c r="G851" s="85" t="n"/>
    </row>
    <row r="852" ht="13.5" customHeight="1" s="453">
      <c r="D852" s="11" t="n"/>
      <c r="E852" s="86" t="n"/>
      <c r="F852" s="85" t="n"/>
      <c r="G852" s="85" t="n"/>
    </row>
    <row r="853" ht="13.5" customHeight="1" s="453">
      <c r="D853" s="11" t="n"/>
      <c r="E853" s="86" t="n"/>
      <c r="F853" s="85" t="n"/>
      <c r="G853" s="85" t="n"/>
    </row>
    <row r="854" ht="13.5" customHeight="1" s="453">
      <c r="D854" s="11" t="n"/>
      <c r="E854" s="86" t="n"/>
      <c r="F854" s="85" t="n"/>
      <c r="G854" s="85" t="n"/>
    </row>
    <row r="855" ht="13.5" customHeight="1" s="453">
      <c r="D855" s="11" t="n"/>
      <c r="E855" s="86" t="n"/>
      <c r="F855" s="85" t="n"/>
      <c r="G855" s="85" t="n"/>
    </row>
    <row r="856" ht="13.5" customHeight="1" s="453">
      <c r="D856" s="11" t="n"/>
      <c r="E856" s="86" t="n"/>
      <c r="F856" s="85" t="n"/>
      <c r="G856" s="85" t="n"/>
    </row>
    <row r="857" ht="13.5" customHeight="1" s="453">
      <c r="D857" s="11" t="n"/>
      <c r="E857" s="86" t="n"/>
      <c r="F857" s="85" t="n"/>
      <c r="G857" s="85" t="n"/>
    </row>
    <row r="858" ht="13.5" customHeight="1" s="453">
      <c r="D858" s="11" t="n"/>
      <c r="E858" s="86" t="n"/>
      <c r="F858" s="85" t="n"/>
      <c r="G858" s="85" t="n"/>
    </row>
    <row r="859" ht="13.5" customHeight="1" s="453">
      <c r="D859" s="11" t="n"/>
      <c r="E859" s="86" t="n"/>
      <c r="F859" s="85" t="n"/>
      <c r="G859" s="85" t="n"/>
    </row>
    <row r="860" ht="13.5" customHeight="1" s="453">
      <c r="D860" s="11" t="n"/>
      <c r="E860" s="86" t="n"/>
      <c r="F860" s="85" t="n"/>
      <c r="G860" s="85" t="n"/>
    </row>
    <row r="861" ht="13.5" customHeight="1" s="453">
      <c r="D861" s="11" t="n"/>
      <c r="E861" s="86" t="n"/>
      <c r="F861" s="85" t="n"/>
      <c r="G861" s="85" t="n"/>
    </row>
    <row r="862" ht="13.5" customHeight="1" s="453">
      <c r="D862" s="11" t="n"/>
      <c r="E862" s="86" t="n"/>
      <c r="F862" s="85" t="n"/>
      <c r="G862" s="85" t="n"/>
    </row>
    <row r="863" ht="13.5" customHeight="1" s="453">
      <c r="D863" s="11" t="n"/>
      <c r="E863" s="86" t="n"/>
      <c r="F863" s="85" t="n"/>
      <c r="G863" s="85" t="n"/>
    </row>
    <row r="864" ht="13.5" customHeight="1" s="453">
      <c r="D864" s="11" t="n"/>
      <c r="E864" s="86" t="n"/>
      <c r="F864" s="85" t="n"/>
      <c r="G864" s="85" t="n"/>
    </row>
    <row r="865" ht="13.5" customHeight="1" s="453">
      <c r="D865" s="11" t="n"/>
      <c r="E865" s="86" t="n"/>
      <c r="F865" s="85" t="n"/>
      <c r="G865" s="85" t="n"/>
    </row>
    <row r="866" ht="13.5" customHeight="1" s="453">
      <c r="D866" s="11" t="n"/>
      <c r="E866" s="86" t="n"/>
      <c r="F866" s="85" t="n"/>
      <c r="G866" s="85" t="n"/>
    </row>
    <row r="867" ht="13.5" customHeight="1" s="453">
      <c r="D867" s="11" t="n"/>
      <c r="E867" s="86" t="n"/>
      <c r="F867" s="85" t="n"/>
      <c r="G867" s="85" t="n"/>
    </row>
    <row r="868" ht="13.5" customHeight="1" s="453">
      <c r="D868" s="11" t="n"/>
      <c r="E868" s="86" t="n"/>
      <c r="F868" s="85" t="n"/>
      <c r="G868" s="85" t="n"/>
    </row>
    <row r="869" ht="13.5" customHeight="1" s="453">
      <c r="D869" s="11" t="n"/>
      <c r="E869" s="86" t="n"/>
      <c r="F869" s="85" t="n"/>
      <c r="G869" s="85" t="n"/>
    </row>
    <row r="870" ht="13.5" customHeight="1" s="453">
      <c r="D870" s="11" t="n"/>
      <c r="E870" s="86" t="n"/>
      <c r="F870" s="85" t="n"/>
      <c r="G870" s="85" t="n"/>
    </row>
    <row r="871" ht="13.5" customHeight="1" s="453">
      <c r="D871" s="11" t="n"/>
      <c r="E871" s="86" t="n"/>
      <c r="F871" s="85" t="n"/>
      <c r="G871" s="85" t="n"/>
    </row>
    <row r="872" ht="13.5" customHeight="1" s="453">
      <c r="D872" s="11" t="n"/>
      <c r="E872" s="86" t="n"/>
      <c r="F872" s="85" t="n"/>
      <c r="G872" s="85" t="n"/>
    </row>
    <row r="873" ht="13.5" customHeight="1" s="453">
      <c r="D873" s="11" t="n"/>
      <c r="E873" s="86" t="n"/>
      <c r="F873" s="85" t="n"/>
      <c r="G873" s="85" t="n"/>
    </row>
    <row r="874" ht="13.5" customHeight="1" s="453">
      <c r="D874" s="11" t="n"/>
      <c r="E874" s="86" t="n"/>
      <c r="F874" s="85" t="n"/>
      <c r="G874" s="85" t="n"/>
    </row>
    <row r="875" ht="13.5" customHeight="1" s="453">
      <c r="D875" s="11" t="n"/>
      <c r="E875" s="86" t="n"/>
      <c r="F875" s="85" t="n"/>
      <c r="G875" s="85" t="n"/>
    </row>
    <row r="876" ht="13.5" customHeight="1" s="453">
      <c r="D876" s="11" t="n"/>
      <c r="E876" s="86" t="n"/>
      <c r="F876" s="85" t="n"/>
      <c r="G876" s="85" t="n"/>
    </row>
    <row r="877" ht="13.5" customHeight="1" s="453">
      <c r="D877" s="11" t="n"/>
      <c r="E877" s="86" t="n"/>
      <c r="F877" s="85" t="n"/>
      <c r="G877" s="85" t="n"/>
    </row>
    <row r="878" ht="13.5" customHeight="1" s="453">
      <c r="D878" s="11" t="n"/>
      <c r="E878" s="86" t="n"/>
      <c r="F878" s="85" t="n"/>
      <c r="G878" s="85" t="n"/>
    </row>
    <row r="879" ht="13.5" customHeight="1" s="453">
      <c r="D879" s="11" t="n"/>
      <c r="E879" s="86" t="n"/>
      <c r="F879" s="85" t="n"/>
      <c r="G879" s="85" t="n"/>
    </row>
    <row r="880" ht="13.5" customHeight="1" s="453">
      <c r="D880" s="11" t="n"/>
      <c r="E880" s="86" t="n"/>
      <c r="F880" s="85" t="n"/>
      <c r="G880" s="85" t="n"/>
    </row>
    <row r="881" ht="13.5" customHeight="1" s="453">
      <c r="D881" s="11" t="n"/>
      <c r="E881" s="86" t="n"/>
      <c r="F881" s="85" t="n"/>
      <c r="G881" s="85" t="n"/>
    </row>
    <row r="882" ht="13.5" customHeight="1" s="453">
      <c r="D882" s="11" t="n"/>
      <c r="E882" s="86" t="n"/>
      <c r="F882" s="85" t="n"/>
      <c r="G882" s="85" t="n"/>
    </row>
    <row r="883" ht="13.5" customHeight="1" s="453">
      <c r="D883" s="11" t="n"/>
      <c r="E883" s="86" t="n"/>
      <c r="F883" s="85" t="n"/>
      <c r="G883" s="85" t="n"/>
    </row>
    <row r="884" ht="13.5" customHeight="1" s="453">
      <c r="D884" s="11" t="n"/>
      <c r="E884" s="86" t="n"/>
      <c r="F884" s="85" t="n"/>
      <c r="G884" s="85" t="n"/>
    </row>
    <row r="885" ht="13.5" customHeight="1" s="453">
      <c r="D885" s="11" t="n"/>
      <c r="E885" s="86" t="n"/>
      <c r="F885" s="85" t="n"/>
      <c r="G885" s="85" t="n"/>
    </row>
    <row r="886" ht="13.5" customHeight="1" s="453">
      <c r="D886" s="11" t="n"/>
      <c r="E886" s="86" t="n"/>
      <c r="F886" s="85" t="n"/>
      <c r="G886" s="85" t="n"/>
    </row>
    <row r="887" ht="13.5" customHeight="1" s="453">
      <c r="D887" s="11" t="n"/>
      <c r="E887" s="86" t="n"/>
      <c r="F887" s="85" t="n"/>
      <c r="G887" s="85" t="n"/>
    </row>
    <row r="888" ht="13.5" customHeight="1" s="453">
      <c r="D888" s="11" t="n"/>
      <c r="E888" s="86" t="n"/>
      <c r="F888" s="85" t="n"/>
      <c r="G888" s="85" t="n"/>
    </row>
    <row r="889" ht="13.5" customHeight="1" s="453">
      <c r="D889" s="11" t="n"/>
      <c r="E889" s="86" t="n"/>
      <c r="F889" s="85" t="n"/>
      <c r="G889" s="85" t="n"/>
    </row>
    <row r="890" ht="13.5" customHeight="1" s="453">
      <c r="D890" s="11" t="n"/>
      <c r="E890" s="86" t="n"/>
      <c r="F890" s="85" t="n"/>
      <c r="G890" s="85" t="n"/>
    </row>
    <row r="891" ht="13.5" customHeight="1" s="453">
      <c r="D891" s="11" t="n"/>
      <c r="E891" s="86" t="n"/>
      <c r="F891" s="85" t="n"/>
      <c r="G891" s="85" t="n"/>
    </row>
    <row r="892" ht="13.5" customHeight="1" s="453">
      <c r="D892" s="11" t="n"/>
      <c r="E892" s="86" t="n"/>
      <c r="F892" s="85" t="n"/>
      <c r="G892" s="85" t="n"/>
    </row>
    <row r="893" ht="13.5" customHeight="1" s="453">
      <c r="D893" s="11" t="n"/>
      <c r="E893" s="86" t="n"/>
      <c r="F893" s="85" t="n"/>
      <c r="G893" s="85" t="n"/>
    </row>
    <row r="894" ht="13.5" customHeight="1" s="453">
      <c r="D894" s="11" t="n"/>
      <c r="E894" s="86" t="n"/>
      <c r="F894" s="85" t="n"/>
      <c r="G894" s="85" t="n"/>
    </row>
    <row r="895" ht="13.5" customHeight="1" s="453">
      <c r="D895" s="11" t="n"/>
      <c r="E895" s="86" t="n"/>
      <c r="F895" s="85" t="n"/>
      <c r="G895" s="85" t="n"/>
    </row>
    <row r="896" ht="13.5" customHeight="1" s="453">
      <c r="D896" s="11" t="n"/>
      <c r="E896" s="86" t="n"/>
      <c r="F896" s="85" t="n"/>
      <c r="G896" s="85" t="n"/>
    </row>
    <row r="897" ht="13.5" customHeight="1" s="453">
      <c r="D897" s="11" t="n"/>
      <c r="E897" s="86" t="n"/>
      <c r="F897" s="85" t="n"/>
      <c r="G897" s="85" t="n"/>
    </row>
    <row r="898" ht="13.5" customHeight="1" s="453">
      <c r="D898" s="11" t="n"/>
      <c r="E898" s="86" t="n"/>
      <c r="F898" s="85" t="n"/>
      <c r="G898" s="85" t="n"/>
    </row>
    <row r="899" ht="13.5" customHeight="1" s="453">
      <c r="D899" s="11" t="n"/>
      <c r="E899" s="86" t="n"/>
      <c r="F899" s="85" t="n"/>
      <c r="G899" s="85" t="n"/>
    </row>
    <row r="900" ht="13.5" customHeight="1" s="453">
      <c r="D900" s="11" t="n"/>
      <c r="E900" s="86" t="n"/>
      <c r="F900" s="85" t="n"/>
      <c r="G900" s="85" t="n"/>
    </row>
    <row r="901" ht="13.5" customHeight="1" s="453">
      <c r="D901" s="11" t="n"/>
      <c r="E901" s="86" t="n"/>
      <c r="F901" s="85" t="n"/>
      <c r="G901" s="85" t="n"/>
    </row>
    <row r="902" ht="13.5" customHeight="1" s="453">
      <c r="D902" s="11" t="n"/>
      <c r="E902" s="86" t="n"/>
      <c r="F902" s="85" t="n"/>
      <c r="G902" s="85" t="n"/>
    </row>
    <row r="903" ht="13.5" customHeight="1" s="453">
      <c r="D903" s="11" t="n"/>
      <c r="E903" s="86" t="n"/>
      <c r="F903" s="85" t="n"/>
      <c r="G903" s="85" t="n"/>
    </row>
    <row r="904" ht="13.5" customHeight="1" s="453">
      <c r="D904" s="11" t="n"/>
      <c r="E904" s="86" t="n"/>
      <c r="F904" s="85" t="n"/>
      <c r="G904" s="85" t="n"/>
    </row>
    <row r="905" ht="13.5" customHeight="1" s="453">
      <c r="D905" s="11" t="n"/>
      <c r="E905" s="86" t="n"/>
      <c r="F905" s="85" t="n"/>
      <c r="G905" s="85" t="n"/>
    </row>
    <row r="906" ht="13.5" customHeight="1" s="453">
      <c r="D906" s="11" t="n"/>
      <c r="E906" s="86" t="n"/>
      <c r="F906" s="85" t="n"/>
      <c r="G906" s="85" t="n"/>
    </row>
    <row r="907" ht="13.5" customHeight="1" s="453">
      <c r="D907" s="11" t="n"/>
      <c r="E907" s="86" t="n"/>
      <c r="F907" s="85" t="n"/>
      <c r="G907" s="85" t="n"/>
    </row>
    <row r="908" ht="13.5" customHeight="1" s="453">
      <c r="D908" s="11" t="n"/>
      <c r="E908" s="86" t="n"/>
      <c r="F908" s="85" t="n"/>
      <c r="G908" s="85" t="n"/>
    </row>
    <row r="909" ht="13.5" customHeight="1" s="453">
      <c r="D909" s="11" t="n"/>
      <c r="E909" s="86" t="n"/>
      <c r="F909" s="85" t="n"/>
      <c r="G909" s="85" t="n"/>
    </row>
    <row r="910" ht="13.5" customHeight="1" s="453">
      <c r="D910" s="11" t="n"/>
      <c r="E910" s="86" t="n"/>
      <c r="F910" s="85" t="n"/>
      <c r="G910" s="85" t="n"/>
    </row>
    <row r="911" ht="13.5" customHeight="1" s="453">
      <c r="D911" s="11" t="n"/>
      <c r="E911" s="86" t="n"/>
      <c r="F911" s="85" t="n"/>
      <c r="G911" s="85" t="n"/>
    </row>
    <row r="912" ht="13.5" customHeight="1" s="453">
      <c r="D912" s="11" t="n"/>
      <c r="E912" s="86" t="n"/>
      <c r="F912" s="85" t="n"/>
      <c r="G912" s="85" t="n"/>
    </row>
    <row r="913" ht="13.5" customHeight="1" s="453">
      <c r="D913" s="11" t="n"/>
      <c r="E913" s="86" t="n"/>
      <c r="F913" s="85" t="n"/>
      <c r="G913" s="85" t="n"/>
    </row>
    <row r="914" ht="13.5" customHeight="1" s="453">
      <c r="D914" s="11" t="n"/>
      <c r="E914" s="86" t="n"/>
      <c r="F914" s="85" t="n"/>
      <c r="G914" s="85" t="n"/>
    </row>
    <row r="915" ht="13.5" customHeight="1" s="453">
      <c r="D915" s="11" t="n"/>
      <c r="E915" s="86" t="n"/>
      <c r="F915" s="85" t="n"/>
      <c r="G915" s="85" t="n"/>
    </row>
    <row r="916" ht="13.5" customHeight="1" s="453">
      <c r="D916" s="11" t="n"/>
      <c r="E916" s="86" t="n"/>
      <c r="F916" s="85" t="n"/>
      <c r="G916" s="85" t="n"/>
    </row>
    <row r="917" ht="13.5" customHeight="1" s="453">
      <c r="D917" s="11" t="n"/>
      <c r="E917" s="86" t="n"/>
      <c r="F917" s="85" t="n"/>
      <c r="G917" s="85" t="n"/>
    </row>
    <row r="918" ht="13.5" customHeight="1" s="453">
      <c r="D918" s="11" t="n"/>
      <c r="E918" s="86" t="n"/>
      <c r="F918" s="85" t="n"/>
      <c r="G918" s="85" t="n"/>
    </row>
    <row r="919" ht="13.5" customHeight="1" s="453">
      <c r="D919" s="11" t="n"/>
      <c r="E919" s="86" t="n"/>
      <c r="F919" s="85" t="n"/>
      <c r="G919" s="85" t="n"/>
    </row>
    <row r="920" ht="13.5" customHeight="1" s="453">
      <c r="D920" s="11" t="n"/>
      <c r="E920" s="86" t="n"/>
      <c r="F920" s="85" t="n"/>
      <c r="G920" s="85" t="n"/>
    </row>
    <row r="921" ht="13.5" customHeight="1" s="453">
      <c r="D921" s="11" t="n"/>
      <c r="E921" s="86" t="n"/>
      <c r="F921" s="85" t="n"/>
      <c r="G921" s="85" t="n"/>
    </row>
    <row r="922" ht="13.5" customHeight="1" s="453">
      <c r="D922" s="11" t="n"/>
      <c r="E922" s="86" t="n"/>
      <c r="F922" s="85" t="n"/>
      <c r="G922" s="85" t="n"/>
    </row>
    <row r="923" ht="13.5" customHeight="1" s="453">
      <c r="D923" s="11" t="n"/>
      <c r="E923" s="86" t="n"/>
      <c r="F923" s="85" t="n"/>
      <c r="G923" s="85" t="n"/>
    </row>
    <row r="924" ht="13.5" customHeight="1" s="453">
      <c r="D924" s="11" t="n"/>
      <c r="E924" s="86" t="n"/>
      <c r="F924" s="85" t="n"/>
      <c r="G924" s="85" t="n"/>
    </row>
    <row r="925" ht="13.5" customHeight="1" s="453">
      <c r="D925" s="11" t="n"/>
      <c r="E925" s="86" t="n"/>
      <c r="F925" s="85" t="n"/>
      <c r="G925" s="85" t="n"/>
    </row>
    <row r="926" ht="13.5" customHeight="1" s="453">
      <c r="D926" s="11" t="n"/>
      <c r="E926" s="86" t="n"/>
      <c r="F926" s="85" t="n"/>
      <c r="G926" s="85" t="n"/>
    </row>
    <row r="927" ht="13.5" customHeight="1" s="453">
      <c r="D927" s="11" t="n"/>
      <c r="E927" s="86" t="n"/>
      <c r="F927" s="85" t="n"/>
      <c r="G927" s="85" t="n"/>
    </row>
    <row r="928" ht="13.5" customHeight="1" s="453">
      <c r="D928" s="11" t="n"/>
      <c r="E928" s="86" t="n"/>
      <c r="F928" s="85" t="n"/>
      <c r="G928" s="85" t="n"/>
    </row>
    <row r="929" ht="13.5" customHeight="1" s="453">
      <c r="D929" s="11" t="n"/>
      <c r="E929" s="86" t="n"/>
      <c r="F929" s="85" t="n"/>
      <c r="G929" s="85" t="n"/>
    </row>
    <row r="930" ht="13.5" customHeight="1" s="453">
      <c r="D930" s="11" t="n"/>
      <c r="E930" s="86" t="n"/>
      <c r="F930" s="85" t="n"/>
      <c r="G930" s="85" t="n"/>
    </row>
    <row r="931" ht="13.5" customHeight="1" s="453">
      <c r="D931" s="11" t="n"/>
      <c r="E931" s="86" t="n"/>
      <c r="F931" s="85" t="n"/>
      <c r="G931" s="85" t="n"/>
    </row>
    <row r="932" ht="13.5" customHeight="1" s="453">
      <c r="D932" s="11" t="n"/>
      <c r="E932" s="86" t="n"/>
      <c r="F932" s="85" t="n"/>
      <c r="G932" s="85" t="n"/>
    </row>
    <row r="933" ht="13.5" customHeight="1" s="453">
      <c r="D933" s="11" t="n"/>
      <c r="E933" s="86" t="n"/>
      <c r="F933" s="85" t="n"/>
      <c r="G933" s="85" t="n"/>
    </row>
    <row r="934" ht="13.5" customHeight="1" s="453">
      <c r="D934" s="11" t="n"/>
      <c r="E934" s="86" t="n"/>
      <c r="F934" s="85" t="n"/>
      <c r="G934" s="85" t="n"/>
    </row>
    <row r="935" ht="13.5" customHeight="1" s="453">
      <c r="D935" s="11" t="n"/>
      <c r="E935" s="86" t="n"/>
      <c r="F935" s="85" t="n"/>
      <c r="G935" s="85" t="n"/>
    </row>
    <row r="936" ht="13.5" customHeight="1" s="453">
      <c r="D936" s="11" t="n"/>
      <c r="E936" s="86" t="n"/>
      <c r="F936" s="85" t="n"/>
      <c r="G936" s="85" t="n"/>
    </row>
    <row r="937" ht="13.5" customHeight="1" s="453">
      <c r="D937" s="11" t="n"/>
      <c r="E937" s="86" t="n"/>
      <c r="F937" s="85" t="n"/>
      <c r="G937" s="85" t="n"/>
    </row>
    <row r="938" ht="13.5" customHeight="1" s="453">
      <c r="D938" s="11" t="n"/>
      <c r="E938" s="86" t="n"/>
      <c r="F938" s="85" t="n"/>
      <c r="G938" s="85" t="n"/>
    </row>
    <row r="939" ht="13.5" customHeight="1" s="453">
      <c r="D939" s="11" t="n"/>
      <c r="E939" s="86" t="n"/>
      <c r="F939" s="85" t="n"/>
      <c r="G939" s="85" t="n"/>
    </row>
    <row r="940" ht="13.5" customHeight="1" s="453">
      <c r="D940" s="11" t="n"/>
      <c r="E940" s="86" t="n"/>
      <c r="F940" s="85" t="n"/>
      <c r="G940" s="85" t="n"/>
    </row>
    <row r="941" ht="13.5" customHeight="1" s="453">
      <c r="D941" s="11" t="n"/>
      <c r="E941" s="86" t="n"/>
      <c r="F941" s="85" t="n"/>
      <c r="G941" s="85" t="n"/>
    </row>
    <row r="942" ht="13.5" customHeight="1" s="453">
      <c r="D942" s="11" t="n"/>
      <c r="E942" s="86" t="n"/>
      <c r="F942" s="85" t="n"/>
      <c r="G942" s="85" t="n"/>
    </row>
    <row r="943" ht="13.5" customHeight="1" s="453">
      <c r="D943" s="11" t="n"/>
      <c r="E943" s="86" t="n"/>
      <c r="F943" s="85" t="n"/>
      <c r="G943" s="85" t="n"/>
    </row>
    <row r="944" ht="13.5" customHeight="1" s="453">
      <c r="D944" s="11" t="n"/>
      <c r="E944" s="86" t="n"/>
      <c r="F944" s="85" t="n"/>
      <c r="G944" s="85" t="n"/>
    </row>
    <row r="945" ht="13.5" customHeight="1" s="453">
      <c r="D945" s="11" t="n"/>
      <c r="E945" s="86" t="n"/>
      <c r="F945" s="85" t="n"/>
      <c r="G945" s="85" t="n"/>
    </row>
    <row r="946" ht="13.5" customHeight="1" s="453">
      <c r="D946" s="11" t="n"/>
      <c r="E946" s="86" t="n"/>
      <c r="F946" s="85" t="n"/>
      <c r="G946" s="85" t="n"/>
    </row>
    <row r="947" ht="13.5" customHeight="1" s="453">
      <c r="D947" s="11" t="n"/>
      <c r="E947" s="86" t="n"/>
      <c r="F947" s="85" t="n"/>
      <c r="G947" s="85" t="n"/>
    </row>
    <row r="948" ht="13.5" customHeight="1" s="453">
      <c r="D948" s="11" t="n"/>
      <c r="E948" s="86" t="n"/>
      <c r="F948" s="85" t="n"/>
      <c r="G948" s="85" t="n"/>
    </row>
    <row r="949" ht="13.5" customHeight="1" s="453">
      <c r="D949" s="11" t="n"/>
      <c r="E949" s="86" t="n"/>
      <c r="F949" s="85" t="n"/>
      <c r="G949" s="85" t="n"/>
    </row>
    <row r="950" ht="13.5" customHeight="1" s="453">
      <c r="D950" s="11" t="n"/>
      <c r="E950" s="86" t="n"/>
      <c r="F950" s="85" t="n"/>
      <c r="G950" s="85" t="n"/>
    </row>
    <row r="951" ht="13.5" customHeight="1" s="453">
      <c r="D951" s="11" t="n"/>
      <c r="E951" s="86" t="n"/>
      <c r="F951" s="85" t="n"/>
      <c r="G951" s="85" t="n"/>
    </row>
    <row r="952" ht="13.5" customHeight="1" s="453">
      <c r="D952" s="11" t="n"/>
      <c r="E952" s="86" t="n"/>
      <c r="F952" s="85" t="n"/>
      <c r="G952" s="85" t="n"/>
    </row>
    <row r="953" ht="13.5" customHeight="1" s="453">
      <c r="D953" s="11" t="n"/>
      <c r="E953" s="86" t="n"/>
      <c r="F953" s="85" t="n"/>
      <c r="G953" s="85" t="n"/>
    </row>
    <row r="954" ht="13.5" customHeight="1" s="453">
      <c r="D954" s="11" t="n"/>
      <c r="E954" s="86" t="n"/>
      <c r="F954" s="85" t="n"/>
      <c r="G954" s="85" t="n"/>
    </row>
    <row r="955" ht="13.5" customHeight="1" s="453">
      <c r="D955" s="11" t="n"/>
      <c r="E955" s="86" t="n"/>
      <c r="F955" s="85" t="n"/>
      <c r="G955" s="85" t="n"/>
    </row>
    <row r="956" ht="13.5" customHeight="1" s="453">
      <c r="D956" s="11" t="n"/>
      <c r="E956" s="86" t="n"/>
      <c r="F956" s="85" t="n"/>
      <c r="G956" s="85" t="n"/>
    </row>
    <row r="957" ht="13.5" customHeight="1" s="453">
      <c r="D957" s="11" t="n"/>
      <c r="E957" s="86" t="n"/>
      <c r="F957" s="85" t="n"/>
      <c r="G957" s="85" t="n"/>
    </row>
    <row r="958" ht="13.5" customHeight="1" s="453">
      <c r="D958" s="11" t="n"/>
      <c r="E958" s="86" t="n"/>
      <c r="F958" s="85" t="n"/>
      <c r="G958" s="85" t="n"/>
    </row>
    <row r="959" ht="13.5" customHeight="1" s="453">
      <c r="D959" s="11" t="n"/>
      <c r="E959" s="86" t="n"/>
      <c r="F959" s="85" t="n"/>
      <c r="G959" s="85" t="n"/>
    </row>
    <row r="960" ht="13.5" customHeight="1" s="453">
      <c r="D960" s="11" t="n"/>
      <c r="E960" s="86" t="n"/>
      <c r="F960" s="85" t="n"/>
      <c r="G960" s="85" t="n"/>
    </row>
    <row r="961" ht="13.5" customHeight="1" s="453">
      <c r="D961" s="11" t="n"/>
      <c r="E961" s="86" t="n"/>
      <c r="F961" s="85" t="n"/>
      <c r="G961" s="85" t="n"/>
    </row>
    <row r="962" ht="13.5" customHeight="1" s="453">
      <c r="D962" s="11" t="n"/>
      <c r="E962" s="86" t="n"/>
      <c r="F962" s="85" t="n"/>
      <c r="G962" s="85" t="n"/>
    </row>
    <row r="963" ht="13.5" customHeight="1" s="453">
      <c r="D963" s="11" t="n"/>
      <c r="E963" s="86" t="n"/>
      <c r="F963" s="85" t="n"/>
      <c r="G963" s="85" t="n"/>
    </row>
    <row r="964" ht="13.5" customHeight="1" s="453">
      <c r="D964" s="11" t="n"/>
      <c r="E964" s="86" t="n"/>
      <c r="F964" s="85" t="n"/>
      <c r="G964" s="85" t="n"/>
    </row>
    <row r="965" ht="13.5" customHeight="1" s="453">
      <c r="D965" s="11" t="n"/>
      <c r="E965" s="86" t="n"/>
      <c r="F965" s="85" t="n"/>
      <c r="G965" s="85" t="n"/>
    </row>
    <row r="966" ht="13.5" customHeight="1" s="453">
      <c r="D966" s="11" t="n"/>
      <c r="E966" s="86" t="n"/>
      <c r="F966" s="85" t="n"/>
      <c r="G966" s="85" t="n"/>
    </row>
    <row r="967" ht="13.5" customHeight="1" s="453">
      <c r="D967" s="11" t="n"/>
      <c r="E967" s="86" t="n"/>
      <c r="F967" s="85" t="n"/>
      <c r="G967" s="85" t="n"/>
    </row>
    <row r="968" ht="13.5" customHeight="1" s="453">
      <c r="D968" s="11" t="n"/>
      <c r="E968" s="86" t="n"/>
      <c r="F968" s="85" t="n"/>
      <c r="G968" s="85" t="n"/>
    </row>
    <row r="969" ht="13.5" customHeight="1" s="453">
      <c r="D969" s="11" t="n"/>
      <c r="E969" s="86" t="n"/>
      <c r="F969" s="85" t="n"/>
      <c r="G969" s="85" t="n"/>
    </row>
    <row r="970" ht="13.5" customHeight="1" s="453">
      <c r="D970" s="11" t="n"/>
      <c r="E970" s="86" t="n"/>
      <c r="F970" s="85" t="n"/>
      <c r="G970" s="85" t="n"/>
    </row>
    <row r="971" ht="13.5" customHeight="1" s="453">
      <c r="D971" s="11" t="n"/>
      <c r="E971" s="86" t="n"/>
      <c r="F971" s="85" t="n"/>
      <c r="G971" s="85" t="n"/>
    </row>
    <row r="972" ht="13.5" customHeight="1" s="453">
      <c r="D972" s="11" t="n"/>
      <c r="E972" s="86" t="n"/>
      <c r="F972" s="85" t="n"/>
      <c r="G972" s="85" t="n"/>
    </row>
    <row r="973" ht="13.5" customHeight="1" s="453">
      <c r="D973" s="11" t="n"/>
      <c r="E973" s="86" t="n"/>
      <c r="F973" s="85" t="n"/>
      <c r="G973" s="85" t="n"/>
    </row>
    <row r="974" ht="13.5" customHeight="1" s="453">
      <c r="D974" s="11" t="n"/>
      <c r="E974" s="86" t="n"/>
      <c r="F974" s="85" t="n"/>
      <c r="G974" s="85" t="n"/>
    </row>
    <row r="975" ht="13.5" customHeight="1" s="453">
      <c r="D975" s="11" t="n"/>
      <c r="E975" s="86" t="n"/>
      <c r="F975" s="85" t="n"/>
      <c r="G975" s="85" t="n"/>
    </row>
    <row r="976" ht="13.5" customHeight="1" s="453">
      <c r="D976" s="11" t="n"/>
      <c r="E976" s="86" t="n"/>
      <c r="F976" s="85" t="n"/>
      <c r="G976" s="85" t="n"/>
    </row>
    <row r="977" ht="13.5" customHeight="1" s="453">
      <c r="D977" s="11" t="n"/>
      <c r="E977" s="86" t="n"/>
      <c r="F977" s="85" t="n"/>
      <c r="G977" s="85" t="n"/>
    </row>
    <row r="978" ht="13.5" customHeight="1" s="453">
      <c r="D978" s="11" t="n"/>
      <c r="E978" s="86" t="n"/>
      <c r="F978" s="85" t="n"/>
      <c r="G978" s="85" t="n"/>
    </row>
    <row r="979" ht="13.5" customHeight="1" s="453">
      <c r="D979" s="11" t="n"/>
      <c r="E979" s="86" t="n"/>
      <c r="F979" s="85" t="n"/>
      <c r="G979" s="85" t="n"/>
    </row>
    <row r="980" ht="13.5" customHeight="1" s="453">
      <c r="D980" s="11" t="n"/>
      <c r="E980" s="86" t="n"/>
      <c r="F980" s="85" t="n"/>
      <c r="G980" s="85" t="n"/>
    </row>
    <row r="981" ht="13.5" customHeight="1" s="453">
      <c r="D981" s="11" t="n"/>
      <c r="E981" s="86" t="n"/>
      <c r="F981" s="85" t="n"/>
      <c r="G981" s="85" t="n"/>
    </row>
    <row r="982" ht="13.5" customHeight="1" s="453">
      <c r="D982" s="11" t="n"/>
      <c r="E982" s="86" t="n"/>
      <c r="F982" s="85" t="n"/>
      <c r="G982" s="85" t="n"/>
    </row>
    <row r="983" ht="13.5" customHeight="1" s="453">
      <c r="D983" s="11" t="n"/>
      <c r="E983" s="86" t="n"/>
      <c r="F983" s="85" t="n"/>
      <c r="G983" s="85" t="n"/>
    </row>
    <row r="984" ht="13.5" customHeight="1" s="453">
      <c r="D984" s="11" t="n"/>
      <c r="E984" s="86" t="n"/>
      <c r="F984" s="85" t="n"/>
      <c r="G984" s="85" t="n"/>
    </row>
    <row r="985" ht="13.5" customHeight="1" s="453">
      <c r="D985" s="11" t="n"/>
      <c r="E985" s="86" t="n"/>
      <c r="F985" s="85" t="n"/>
      <c r="G985" s="85" t="n"/>
    </row>
    <row r="986" ht="13.5" customHeight="1" s="453">
      <c r="D986" s="11" t="n"/>
      <c r="E986" s="86" t="n"/>
      <c r="F986" s="85" t="n"/>
      <c r="G986" s="85" t="n"/>
    </row>
  </sheetData>
  <mergeCells count="19">
    <mergeCell ref="BU2:BU3"/>
    <mergeCell ref="CB2:CB3"/>
    <mergeCell ref="BZ2:CA2"/>
    <mergeCell ref="B2:B3"/>
    <mergeCell ref="D2:D3"/>
    <mergeCell ref="BH2:BH3"/>
    <mergeCell ref="AS2:AS3"/>
    <mergeCell ref="BY2:BY3"/>
    <mergeCell ref="A2:A3"/>
    <mergeCell ref="C2:C3"/>
    <mergeCell ref="E2:E3"/>
    <mergeCell ref="BV2:BV3"/>
    <mergeCell ref="BX2:BX3"/>
    <mergeCell ref="BG2:BG3"/>
    <mergeCell ref="F2:G2"/>
    <mergeCell ref="BZ1:CA1"/>
    <mergeCell ref="AT2:AT3"/>
    <mergeCell ref="CC2:CC3"/>
    <mergeCell ref="F1:G1"/>
  </mergeCells>
  <conditionalFormatting sqref="B126:B127">
    <cfRule type="duplicateValues" priority="1" dxfId="0"/>
  </conditionalFormatting>
  <printOptions horizontalCentered="1" gridLines="1"/>
  <pageMargins left="0.7" right="0.7" top="0.75" bottom="0.75" header="0" footer="0"/>
  <pageSetup orientation="landscape" paperSize="9" scale="34" fitToHeight="0" pageOrder="overThenDown" cellComments="atEnd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C00000"/>
    <outlinePr summaryBelow="0" summaryRight="0"/>
    <pageSetUpPr fitToPage="1"/>
  </sheetPr>
  <dimension ref="A1:AL990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G127" sqref="G127"/>
    </sheetView>
  </sheetViews>
  <sheetFormatPr baseColWidth="8" defaultColWidth="12.5703125" defaultRowHeight="15.75" customHeight="1"/>
  <cols>
    <col width="22.28515625" customWidth="1" style="453" min="1" max="1"/>
    <col width="11" customWidth="1" style="453" min="2" max="2"/>
    <col width="39.85546875" customWidth="1" style="98" min="3" max="3"/>
    <col width="10.28515625" bestFit="1" customWidth="1" style="453" min="4" max="4"/>
    <col width="11.5703125" bestFit="1" customWidth="1" style="453" min="5" max="5"/>
    <col hidden="1" width="11.85546875" customWidth="1" style="453" min="6" max="6"/>
    <col width="13.28515625" customWidth="1" style="453" min="7" max="7"/>
    <col width="10.5703125" customWidth="1" style="453" min="8" max="8"/>
    <col width="9.85546875" customWidth="1" style="453" min="9" max="9"/>
    <col width="11.7109375" customWidth="1" style="453" min="10" max="10"/>
    <col width="12.140625" customWidth="1" style="453" min="11" max="13"/>
    <col width="11.42578125" customWidth="1" style="453" min="14" max="15"/>
    <col width="12.140625" customWidth="1" style="453" min="16" max="16"/>
    <col width="13" customWidth="1" style="453" min="17" max="17"/>
    <col width="13" customWidth="1" style="453" min="18" max="18"/>
    <col width="13" customWidth="1" style="453" min="19" max="19"/>
    <col width="12.140625" customWidth="1" style="453" min="20" max="20"/>
    <col collapsed="1" width="12.140625" customWidth="1" style="453" min="21" max="21"/>
    <col hidden="1" outlineLevel="1" width="13" customWidth="1" style="453" min="22" max="27"/>
    <col width="12.140625" customWidth="1" style="453" min="28" max="30"/>
    <col width="10.140625" customWidth="1" style="110" min="31" max="31"/>
    <col hidden="1" width="13.85546875" customWidth="1" style="453" min="32" max="32"/>
    <col width="15" customWidth="1" style="453" min="33" max="34"/>
    <col width="38.140625" customWidth="1" style="453" min="35" max="35"/>
    <col width="9.28515625" customWidth="1" style="453" min="37" max="38"/>
  </cols>
  <sheetData>
    <row r="1" ht="17.25" customHeight="1" s="453">
      <c r="A1" s="87" t="inlineStr">
        <is>
          <t>*自2025/1起調整為最小單位(發/點/支)</t>
        </is>
      </c>
      <c r="B1" s="87" t="n"/>
      <c r="C1" s="97" t="inlineStr">
        <is>
          <t>久林</t>
        </is>
      </c>
      <c r="D1" s="1" t="n"/>
      <c r="E1" s="2" t="n"/>
      <c r="F1" s="452" t="n"/>
      <c r="K1" s="6" t="n"/>
      <c r="L1" s="6" t="n"/>
      <c r="M1" s="6" t="n"/>
      <c r="N1" s="6" t="n"/>
      <c r="O1" s="6" t="n"/>
      <c r="P1" s="397" t="inlineStr">
        <is>
          <t>忠孝國際醫學3樓</t>
        </is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99" t="n"/>
      <c r="AF1" s="452" t="n"/>
      <c r="AG1" s="452" t="n"/>
      <c r="AI1" s="13" t="n"/>
      <c r="AJ1" s="13" t="n"/>
      <c r="AK1" s="14" t="n"/>
      <c r="AL1" s="14" t="n"/>
    </row>
    <row r="2" ht="33" customFormat="1" customHeight="1" s="92">
      <c r="A2" s="495" t="inlineStr">
        <is>
          <t>料件編號 新</t>
        </is>
      </c>
      <c r="B2" s="496" t="n"/>
      <c r="C2" s="496" t="inlineStr">
        <is>
          <t>品名</t>
        </is>
      </c>
      <c r="D2" s="496" t="inlineStr">
        <is>
          <t>盒入數</t>
        </is>
      </c>
      <c r="E2" s="497" t="inlineStr">
        <is>
          <t>庫存
 單位</t>
        </is>
      </c>
      <c r="F2" s="449">
        <f>站前4樓!F2</f>
        <v/>
      </c>
      <c r="G2" s="500" t="n"/>
      <c r="H2" s="505" t="inlineStr">
        <is>
          <t>2025/07</t>
        </is>
      </c>
      <c r="I2" s="505" t="inlineStr">
        <is>
          <t>2025/08</t>
        </is>
      </c>
      <c r="J2" s="505" t="inlineStr">
        <is>
          <t>2025/09</t>
        </is>
      </c>
      <c r="K2" s="505" t="inlineStr">
        <is>
          <t>2025/10</t>
        </is>
      </c>
      <c r="L2" s="505" t="inlineStr">
        <is>
          <t>2025/11</t>
        </is>
      </c>
      <c r="M2" s="505" t="inlineStr">
        <is>
          <t>2025/12</t>
        </is>
      </c>
      <c r="N2" s="507" t="inlineStr">
        <is>
          <t>2025
總銷量
(單支/條/點)</t>
        </is>
      </c>
      <c r="O2" s="507" t="inlineStr">
        <is>
          <t>2025
月均銷
(單支/條/點)</t>
        </is>
      </c>
      <c r="P2" s="505" t="inlineStr">
        <is>
          <t>2026/01</t>
        </is>
      </c>
      <c r="Q2" s="505" t="inlineStr">
        <is>
          <t>2026/02</t>
        </is>
      </c>
      <c r="R2" s="505" t="inlineStr">
        <is>
          <t>2026/03</t>
        </is>
      </c>
      <c r="S2" s="505" t="inlineStr">
        <is>
          <t>2026/04</t>
        </is>
      </c>
      <c r="T2" s="505" t="inlineStr">
        <is>
          <t>2026/05</t>
        </is>
      </c>
      <c r="U2" s="505" t="inlineStr">
        <is>
          <t>2026/06</t>
        </is>
      </c>
      <c r="V2" s="505" t="inlineStr">
        <is>
          <t>2026/07</t>
        </is>
      </c>
      <c r="W2" s="505" t="inlineStr">
        <is>
          <t>2026/08</t>
        </is>
      </c>
      <c r="X2" s="505" t="inlineStr">
        <is>
          <t>2026/09</t>
        </is>
      </c>
      <c r="Y2" s="505" t="inlineStr">
        <is>
          <t>2026/10</t>
        </is>
      </c>
      <c r="Z2" s="505" t="inlineStr">
        <is>
          <t>2026/11</t>
        </is>
      </c>
      <c r="AA2" s="505" t="inlineStr">
        <is>
          <t>2026/12</t>
        </is>
      </c>
      <c r="AB2" s="507" t="inlineStr">
        <is>
          <t>2026
總銷量
(單支/條/點)</t>
        </is>
      </c>
      <c r="AC2" s="507" t="inlineStr">
        <is>
          <t>2026
月均銷
(單支/條/點)</t>
        </is>
      </c>
      <c r="AD2" s="505" t="inlineStr">
        <is>
          <t>2026/06</t>
        </is>
      </c>
      <c r="AE2" s="508" t="inlineStr">
        <is>
          <t>安庫</t>
        </is>
      </c>
      <c r="AF2" s="509" t="inlineStr">
        <is>
          <t>已簽約
寄庫數量</t>
        </is>
      </c>
      <c r="AG2" s="509" t="inlineStr">
        <is>
          <t>10/17在途</t>
        </is>
      </c>
      <c r="AH2" s="500" t="n"/>
      <c r="AI2" s="510" t="inlineStr">
        <is>
          <t>備註</t>
        </is>
      </c>
      <c r="AJ2" s="510" t="n"/>
      <c r="AK2" s="91" t="n"/>
      <c r="AL2" s="91" t="n"/>
    </row>
    <row r="3" ht="49.5" customFormat="1" customHeight="1" s="92">
      <c r="A3" s="511" t="n"/>
      <c r="B3" s="511" t="n"/>
      <c r="C3" s="511" t="n"/>
      <c r="D3" s="511" t="n"/>
      <c r="E3" s="511" t="n"/>
      <c r="F3" s="93" t="inlineStr">
        <is>
          <t>站前庫存</t>
        </is>
      </c>
      <c r="G3" s="189" t="inlineStr">
        <is>
          <t>忠孝國際
醫學3樓
庫存</t>
        </is>
      </c>
      <c r="H3" s="95" t="inlineStr">
        <is>
          <t>Actual</t>
        </is>
      </c>
      <c r="I3" s="95" t="inlineStr">
        <is>
          <t>Actual</t>
        </is>
      </c>
      <c r="J3" s="95" t="inlineStr">
        <is>
          <t>Actual</t>
        </is>
      </c>
      <c r="K3" s="95" t="inlineStr">
        <is>
          <t>Actual</t>
        </is>
      </c>
      <c r="L3" s="95" t="inlineStr">
        <is>
          <t>Actual</t>
        </is>
      </c>
      <c r="M3" s="95" t="inlineStr">
        <is>
          <t>Actual</t>
        </is>
      </c>
      <c r="N3" s="511" t="n"/>
      <c r="O3" s="511" t="n"/>
      <c r="P3" s="95" t="inlineStr">
        <is>
          <t>Actual</t>
        </is>
      </c>
      <c r="Q3" s="95" t="inlineStr">
        <is>
          <t>Actual</t>
        </is>
      </c>
      <c r="R3" s="95" t="inlineStr">
        <is>
          <t>Actual</t>
        </is>
      </c>
      <c r="S3" s="95" t="inlineStr">
        <is>
          <t>Actual</t>
        </is>
      </c>
      <c r="T3" s="95" t="inlineStr">
        <is>
          <t>Actual</t>
        </is>
      </c>
      <c r="U3" s="95" t="inlineStr">
        <is>
          <t>Actual</t>
        </is>
      </c>
      <c r="V3" s="95" t="inlineStr">
        <is>
          <t>Actual</t>
        </is>
      </c>
      <c r="W3" s="95" t="inlineStr">
        <is>
          <t>Actual</t>
        </is>
      </c>
      <c r="X3" s="95" t="inlineStr">
        <is>
          <t>Actual</t>
        </is>
      </c>
      <c r="Y3" s="95" t="inlineStr">
        <is>
          <t>Actual</t>
        </is>
      </c>
      <c r="Z3" s="95" t="inlineStr">
        <is>
          <t>Actual</t>
        </is>
      </c>
      <c r="AA3" s="95" t="inlineStr">
        <is>
          <t>Actual</t>
        </is>
      </c>
      <c r="AB3" s="511" t="n"/>
      <c r="AC3" s="511" t="n"/>
      <c r="AD3" s="403" t="inlineStr">
        <is>
          <t>Forecast</t>
        </is>
      </c>
      <c r="AE3" s="511" t="n"/>
      <c r="AF3" s="511" t="n"/>
      <c r="AG3" s="113" t="inlineStr">
        <is>
          <t>站前診所</t>
        </is>
      </c>
      <c r="AH3" s="113" t="inlineStr">
        <is>
          <t>忠孝診所</t>
        </is>
      </c>
      <c r="AI3" s="511" t="n"/>
      <c r="AJ3" s="511" t="n"/>
      <c r="AK3" s="91" t="n"/>
      <c r="AL3" s="91" t="n"/>
    </row>
    <row r="4" ht="15.75" customHeight="1" s="453">
      <c r="A4" s="27" t="inlineStr">
        <is>
          <t>MM2MC070001A</t>
        </is>
      </c>
      <c r="B4" s="14" t="n">
        <v>6200004</v>
      </c>
      <c r="C4" s="118" t="inlineStr">
        <is>
          <t>阿爾發SAT卡匣(1點)</t>
        </is>
      </c>
      <c r="D4" s="16" t="n">
        <v>50</v>
      </c>
      <c r="E4" s="17" t="inlineStr">
        <is>
          <t>PTS</t>
        </is>
      </c>
      <c r="F4" s="18" t="n"/>
      <c r="G4" s="18" t="n">
        <v>1084</v>
      </c>
      <c r="H4" s="20">
        <f>SUMIFS(領用表!$L:$L,領用表!$E:$E,$B4,領用表!$B:$B,H$2&amp;$P$1)</f>
        <v/>
      </c>
      <c r="I4" s="20">
        <f>SUMIFS(領用表!$L:$L,領用表!$E:$E,$B4,領用表!$B:$B,I$2&amp;$P$1)</f>
        <v/>
      </c>
      <c r="J4" s="20">
        <f>SUMIFS(領用表!$L:$L,領用表!$E:$E,$B4,領用表!$B:$B,J$2&amp;$P$1)</f>
        <v/>
      </c>
      <c r="K4" s="142">
        <f>SUMIFS(領用表!$L:$L,領用表!$E:$E,$B4,領用表!$B:$B,K$2&amp;$P$1)</f>
        <v/>
      </c>
      <c r="L4" s="142">
        <f>SUMIFS(領用表!$L:$L,領用表!$E:$E,$B4,領用表!$B:$B,L$2&amp;$P$1)</f>
        <v/>
      </c>
      <c r="M4" s="142">
        <f>SUMIFS(領用表!$L:$L,領用表!$E:$E,$B4,領用表!$B:$B,M$2&amp;$P$1)</f>
        <v/>
      </c>
      <c r="N4" s="23">
        <f>SUM(,H4,I4,J4,K4,L4,M4)</f>
        <v/>
      </c>
      <c r="O4" s="23">
        <f>AVERAGE(,H4,I4,J4,K4,L4,M4)</f>
        <v/>
      </c>
      <c r="P4" s="142">
        <f>SUMIFS(領用表!$L:$L,領用表!$E:$E,$B4,領用表!$B:$B,P$2&amp;$P$1)</f>
        <v/>
      </c>
      <c r="Q4" s="142">
        <f>SUMIFS(領用表!$L:$L,領用表!$E:$E,$B4,領用表!$B:$B,Q$2&amp;$P$1)</f>
        <v/>
      </c>
      <c r="R4" s="142">
        <f>SUMIFS(領用表!$L:$L,領用表!$E:$E,$B4,領用表!$B:$B,R$2&amp;$P$1)</f>
        <v/>
      </c>
      <c r="S4" s="142">
        <f>SUMIFS(領用表!$L:$L,領用表!$E:$E,$B4,領用表!$B:$B,S$2&amp;$P$1)</f>
        <v/>
      </c>
      <c r="T4" s="142">
        <f>SUMIFS(領用表!$L:$L,領用表!$E:$E,$B4,領用表!$B:$B,T$2&amp;$P$1)</f>
        <v/>
      </c>
      <c r="U4" s="142" t="n">
        <v>1084</v>
      </c>
      <c r="V4" s="142">
        <f>SUMIFS(領用表!$L:$L,領用表!$E:$E,$B4,領用表!$B:$B,V$2&amp;$P$1)</f>
        <v/>
      </c>
      <c r="W4" s="142">
        <f>SUMIFS(領用表!$L:$L,領用表!$E:$E,$B4,領用表!$B:$B,W$2&amp;$P$1)</f>
        <v/>
      </c>
      <c r="X4" s="142">
        <f>SUMIFS(領用表!$L:$L,領用表!$E:$E,$B4,領用表!$B:$B,X$2&amp;$P$1)</f>
        <v/>
      </c>
      <c r="Y4" s="142">
        <f>SUMIFS(領用表!$L:$L,領用表!$E:$E,$B4,領用表!$B:$B,Y$2&amp;$P$1)</f>
        <v/>
      </c>
      <c r="Z4" s="142">
        <f>SUMIFS(領用表!$L:$L,領用表!$E:$E,$B4,領用表!$B:$B,Z$2&amp;$P$1)</f>
        <v/>
      </c>
      <c r="AA4" s="142">
        <f>SUMIFS(領用表!$L:$L,領用表!$E:$E,$B4,領用表!$B:$B,AA$2&amp;$P$1)</f>
        <v/>
      </c>
      <c r="AB4" s="208">
        <f>SUM(P4,Q4,R4,S4,T4,U4)</f>
        <v/>
      </c>
      <c r="AC4" s="208">
        <f>AVERAGE(P4,Q4,R4,S4,T4,U4)</f>
        <v/>
      </c>
      <c r="AD4" s="142">
        <f>SUMIF(Summary!B:B,B4,Summary!EC:EC)</f>
        <v/>
      </c>
      <c r="AE4" s="101" t="n"/>
      <c r="AF4" s="24" t="inlineStr">
        <is>
          <t>358顆又5點</t>
        </is>
      </c>
      <c r="AG4" s="57" t="inlineStr">
        <is>
          <t>1000點(10/23)</t>
        </is>
      </c>
      <c r="AH4" s="57" t="inlineStr">
        <is>
          <t>500點(10/23)</t>
        </is>
      </c>
      <c r="AI4" s="27" t="n"/>
      <c r="AJ4" s="28" t="n"/>
      <c r="AK4" s="14" t="n"/>
      <c r="AL4" s="29" t="n"/>
    </row>
    <row r="5" ht="15.75" customHeight="1" s="453">
      <c r="A5" s="34" t="n"/>
      <c r="B5" s="34" t="n"/>
      <c r="C5" s="136" t="n"/>
      <c r="D5" s="181" t="n"/>
      <c r="E5" s="182" t="n"/>
      <c r="F5" s="18" t="n"/>
      <c r="G5" s="18" t="n"/>
      <c r="H5" s="183" t="n"/>
      <c r="I5" s="183" t="n"/>
      <c r="J5" s="183" t="n"/>
      <c r="K5" s="142" t="n"/>
      <c r="L5" s="142" t="n"/>
      <c r="M5" s="142" t="n"/>
      <c r="N5" s="184" t="n"/>
      <c r="O5" s="184" t="n"/>
      <c r="P5" s="142" t="n"/>
      <c r="Q5" s="142" t="n"/>
      <c r="R5" s="142" t="n"/>
      <c r="S5" s="142" t="n"/>
      <c r="T5" s="142" t="n"/>
      <c r="U5" s="142" t="n"/>
      <c r="V5" s="142" t="n"/>
      <c r="W5" s="142" t="n"/>
      <c r="X5" s="142" t="n"/>
      <c r="Y5" s="142" t="n"/>
      <c r="Z5" s="142" t="n"/>
      <c r="AA5" s="142" t="n"/>
      <c r="AB5" s="142">
        <f>SUM(P5,Q5,R5,S5,T5,U5)</f>
        <v/>
      </c>
      <c r="AC5" s="142">
        <f>AVERAGE(P5,Q5,R5,S5,T5,U5)</f>
        <v/>
      </c>
      <c r="AD5" s="142" t="n"/>
      <c r="AE5" s="185" t="n"/>
      <c r="AF5" s="34" t="n"/>
      <c r="AG5" s="34" t="n"/>
      <c r="AH5" s="34" t="n"/>
      <c r="AI5" s="34" t="n"/>
      <c r="AJ5" s="34" t="n"/>
      <c r="AK5" s="14" t="n"/>
      <c r="AL5" s="29" t="n"/>
    </row>
    <row r="6" ht="15.75" customHeight="1" s="453">
      <c r="A6" s="27" t="n"/>
      <c r="B6" s="14" t="e">
        <v>#N/A</v>
      </c>
      <c r="C6" s="118" t="inlineStr">
        <is>
          <t>善纖達 Saxenda 6 mg/ml 注射用溶液(3入)</t>
        </is>
      </c>
      <c r="D6" s="67" t="n">
        <v>3</v>
      </c>
      <c r="E6" s="17" t="inlineStr">
        <is>
          <t>支</t>
        </is>
      </c>
      <c r="F6" s="18" t="n"/>
      <c r="G6" s="18" t="n"/>
      <c r="H6" s="20">
        <f>SUMIFS(領用表!$L:$L,領用表!$E:$E,$B6,領用表!$B:$B,H$2&amp;$P$1)</f>
        <v/>
      </c>
      <c r="I6" s="20">
        <f>SUMIFS(領用表!$L:$L,領用表!$E:$E,$B6,領用表!$B:$B,I$2&amp;$P$1)</f>
        <v/>
      </c>
      <c r="J6" s="20">
        <f>SUMIFS(領用表!$L:$L,領用表!$E:$E,$B6,領用表!$B:$B,J$2&amp;$P$1)</f>
        <v/>
      </c>
      <c r="K6" s="142">
        <f>SUMIFS(領用表!$L:$L,領用表!$E:$E,$B6,領用表!$B:$B,K$2&amp;$P$1)</f>
        <v/>
      </c>
      <c r="L6" s="142">
        <f>SUMIFS(領用表!$L:$L,領用表!$E:$E,$B6,領用表!$B:$B,L$2&amp;$P$1)</f>
        <v/>
      </c>
      <c r="M6" s="142">
        <f>SUMIFS(領用表!$L:$L,領用表!$E:$E,$B6,領用表!$B:$B,M$2&amp;$P$1)</f>
        <v/>
      </c>
      <c r="N6" s="23">
        <f>SUM(,H6,I6,J6,K6,L6,M6)</f>
        <v/>
      </c>
      <c r="O6" s="23">
        <f>AVERAGE(,H6,I6,J6,K6,L6,M6)</f>
        <v/>
      </c>
      <c r="P6" s="142">
        <f>SUMIFS(領用表!$L:$L,領用表!$E:$E,$B6,領用表!$B:$B,P$2&amp;$P$1)</f>
        <v/>
      </c>
      <c r="Q6" s="142">
        <f>SUMIFS(領用表!$L:$L,領用表!$E:$E,$B6,領用表!$B:$B,Q$2&amp;$P$1)</f>
        <v/>
      </c>
      <c r="R6" s="142">
        <f>SUMIFS(領用表!$L:$L,領用表!$E:$E,$B6,領用表!$B:$B,R$2&amp;$P$1)</f>
        <v/>
      </c>
      <c r="S6" s="142">
        <f>SUMIFS(領用表!$L:$L,領用表!$E:$E,$B6,領用表!$B:$B,S$2&amp;$P$1)</f>
        <v/>
      </c>
      <c r="T6" s="142">
        <f>SUMIFS(領用表!$L:$L,領用表!$E:$E,$B6,領用表!$B:$B,T$2&amp;$P$1)</f>
        <v/>
      </c>
      <c r="U6" s="142">
        <f>SUMIFS(領用表!$L:$L,領用表!$E:$E,$B6,領用表!$B:$B,U$2&amp;$P$1)</f>
        <v/>
      </c>
      <c r="V6" s="142">
        <f>SUMIFS(領用表!$L:$L,領用表!$E:$E,$B6,領用表!$B:$B,V$2&amp;$P$1)</f>
        <v/>
      </c>
      <c r="W6" s="142">
        <f>SUMIFS(領用表!$L:$L,領用表!$E:$E,$B6,領用表!$B:$B,W$2&amp;$P$1)</f>
        <v/>
      </c>
      <c r="X6" s="142">
        <f>SUMIFS(領用表!$L:$L,領用表!$E:$E,$B6,領用表!$B:$B,X$2&amp;$P$1)</f>
        <v/>
      </c>
      <c r="Y6" s="142">
        <f>SUMIFS(領用表!$L:$L,領用表!$E:$E,$B6,領用表!$B:$B,Y$2&amp;$P$1)</f>
        <v/>
      </c>
      <c r="Z6" s="142">
        <f>SUMIFS(領用表!$L:$L,領用表!$E:$E,$B6,領用表!$B:$B,Z$2&amp;$P$1)</f>
        <v/>
      </c>
      <c r="AA6" s="142">
        <f>SUMIFS(領用表!$L:$L,領用表!$E:$E,$B6,領用表!$B:$B,AA$2&amp;$P$1)</f>
        <v/>
      </c>
      <c r="AB6" s="142">
        <f>SUM(P6,Q6,R6,S6,T6,U6)</f>
        <v/>
      </c>
      <c r="AC6" s="142">
        <f>AVERAGE(P6,Q6,R6,S6,T6,U6)</f>
        <v/>
      </c>
      <c r="AD6" s="142">
        <f>SUMIF(Summary!B:B,B6,Summary!EC:EC)</f>
        <v/>
      </c>
      <c r="AE6" s="108" t="n"/>
      <c r="AF6" s="65" t="n"/>
      <c r="AG6" s="65" t="n"/>
      <c r="AH6" s="65" t="n"/>
      <c r="AI6" s="27" t="n"/>
      <c r="AJ6" s="69" t="n"/>
      <c r="AK6" s="14" t="n"/>
      <c r="AL6" s="29" t="n"/>
    </row>
    <row r="7" ht="15.75" customHeight="1" s="453">
      <c r="A7" s="27" t="n"/>
      <c r="B7" s="14" t="n">
        <v>6200007</v>
      </c>
      <c r="C7" s="135" t="inlineStr">
        <is>
          <t>善纖達針頭/猛健樂針頭</t>
        </is>
      </c>
      <c r="D7" s="67" t="n">
        <v>100</v>
      </c>
      <c r="E7" s="17" t="inlineStr">
        <is>
          <t>顆</t>
        </is>
      </c>
      <c r="F7" s="18" t="n"/>
      <c r="G7" s="18" t="n"/>
      <c r="H7" s="20">
        <f>SUMIFS(領用表!$L:$L,領用表!$E:$E,$B7,領用表!$B:$B,H$2&amp;$P$1)</f>
        <v/>
      </c>
      <c r="I7" s="20">
        <f>SUMIFS(領用表!$L:$L,領用表!$E:$E,$B7,領用表!$B:$B,I$2&amp;$P$1)</f>
        <v/>
      </c>
      <c r="J7" s="20">
        <f>SUMIFS(領用表!$L:$L,領用表!$E:$E,$B7,領用表!$B:$B,J$2&amp;$P$1)</f>
        <v/>
      </c>
      <c r="K7" s="142">
        <f>SUMIFS(領用表!$L:$L,領用表!$E:$E,$B7,領用表!$B:$B,K$2&amp;$P$1)</f>
        <v/>
      </c>
      <c r="L7" s="142">
        <f>SUMIFS(領用表!$L:$L,領用表!$E:$E,$B7,領用表!$B:$B,L$2&amp;$P$1)</f>
        <v/>
      </c>
      <c r="M7" s="142">
        <f>SUMIFS(領用表!$L:$L,領用表!$E:$E,$B7,領用表!$B:$B,M$2&amp;$P$1)</f>
        <v/>
      </c>
      <c r="N7" s="23">
        <f>SUM(,H7,I7,J7,K7,L7,M7)</f>
        <v/>
      </c>
      <c r="O7" s="23">
        <f>AVERAGE(,H7,I7,J7,K7,L7,M7)</f>
        <v/>
      </c>
      <c r="P7" s="142">
        <f>SUMIFS(領用表!$L:$L,領用表!$E:$E,$B7,領用表!$B:$B,P$2&amp;$P$1)</f>
        <v/>
      </c>
      <c r="Q7" s="142">
        <f>SUMIFS(領用表!$L:$L,領用表!$E:$E,$B7,領用表!$B:$B,Q$2&amp;$P$1)</f>
        <v/>
      </c>
      <c r="R7" s="142">
        <f>SUMIFS(領用表!$L:$L,領用表!$E:$E,$B7,領用表!$B:$B,R$2&amp;$P$1)</f>
        <v/>
      </c>
      <c r="S7" s="142">
        <f>SUMIFS(領用表!$L:$L,領用表!$E:$E,$B7,領用表!$B:$B,S$2&amp;$P$1)</f>
        <v/>
      </c>
      <c r="T7" s="142">
        <f>SUMIFS(領用表!$L:$L,領用表!$E:$E,$B7,領用表!$B:$B,T$2&amp;$P$1)</f>
        <v/>
      </c>
      <c r="U7" s="142" t="n"/>
      <c r="V7" s="142">
        <f>SUMIFS(領用表!$L:$L,領用表!$E:$E,$B7,領用表!$B:$B,V$2&amp;$P$1)</f>
        <v/>
      </c>
      <c r="W7" s="142">
        <f>SUMIFS(領用表!$L:$L,領用表!$E:$E,$B7,領用表!$B:$B,W$2&amp;$P$1)</f>
        <v/>
      </c>
      <c r="X7" s="142">
        <f>SUMIFS(領用表!$L:$L,領用表!$E:$E,$B7,領用表!$B:$B,X$2&amp;$P$1)</f>
        <v/>
      </c>
      <c r="Y7" s="142">
        <f>SUMIFS(領用表!$L:$L,領用表!$E:$E,$B7,領用表!$B:$B,Y$2&amp;$P$1)</f>
        <v/>
      </c>
      <c r="Z7" s="142">
        <f>SUMIFS(領用表!$L:$L,領用表!$E:$E,$B7,領用表!$B:$B,Z$2&amp;$P$1)</f>
        <v/>
      </c>
      <c r="AA7" s="142">
        <f>SUMIFS(領用表!$L:$L,領用表!$E:$E,$B7,領用表!$B:$B,AA$2&amp;$P$1)</f>
        <v/>
      </c>
      <c r="AB7" s="142">
        <f>SUM(P7,Q7,R7,S7,T7,U7)</f>
        <v/>
      </c>
      <c r="AC7" s="142">
        <f>AVERAGE(P7,Q7,R7,S7,T7,U7)</f>
        <v/>
      </c>
      <c r="AD7" s="142">
        <f>SUMIF(Summary!B:B,B7,Summary!EC:EC)</f>
        <v/>
      </c>
      <c r="AE7" s="108" t="n"/>
      <c r="AF7" s="65" t="n"/>
      <c r="AG7" s="65" t="n"/>
      <c r="AH7" s="65" t="n"/>
      <c r="AI7" s="27" t="n"/>
      <c r="AJ7" s="69" t="n"/>
      <c r="AK7" s="14" t="n"/>
      <c r="AL7" s="29" t="n"/>
    </row>
    <row r="8" ht="15.75" customHeight="1" s="453">
      <c r="A8" s="27" t="inlineStr">
        <is>
          <t>MB3ME110003A</t>
        </is>
      </c>
      <c r="B8" s="14" t="n">
        <v>6200008</v>
      </c>
      <c r="C8" s="135" t="inlineStr">
        <is>
          <t>週纖達0.25mg</t>
        </is>
      </c>
      <c r="D8" s="67" t="n">
        <v>1</v>
      </c>
      <c r="E8" s="17" t="inlineStr">
        <is>
          <t>支</t>
        </is>
      </c>
      <c r="F8" s="18" t="n"/>
      <c r="G8" s="18" t="n">
        <v>0</v>
      </c>
      <c r="H8" s="20">
        <f>SUMIFS(領用表!$L:$L,領用表!$E:$E,$B8,領用表!$B:$B,H$2&amp;$P$1)</f>
        <v/>
      </c>
      <c r="I8" s="20">
        <f>SUMIFS(領用表!$L:$L,領用表!$E:$E,$B8,領用表!$B:$B,I$2&amp;$P$1)</f>
        <v/>
      </c>
      <c r="J8" s="20">
        <f>SUMIFS(領用表!$L:$L,領用表!$E:$E,$B8,領用表!$B:$B,J$2&amp;$P$1)</f>
        <v/>
      </c>
      <c r="K8" s="142">
        <f>SUMIFS(領用表!$L:$L,領用表!$E:$E,$B8,領用表!$B:$B,K$2&amp;$P$1)</f>
        <v/>
      </c>
      <c r="L8" s="142">
        <f>SUMIFS(領用表!$L:$L,領用表!$E:$E,$B8,領用表!$B:$B,L$2&amp;$P$1)</f>
        <v/>
      </c>
      <c r="M8" s="142">
        <f>SUMIFS(領用表!$L:$L,領用表!$E:$E,$B8,領用表!$B:$B,M$2&amp;$P$1)</f>
        <v/>
      </c>
      <c r="N8" s="23">
        <f>SUM(,H8,I8,J8,K8,L8,M8)</f>
        <v/>
      </c>
      <c r="O8" s="23">
        <f>AVERAGE(,H8,I8,J8,K8,L8,M8)</f>
        <v/>
      </c>
      <c r="P8" s="142">
        <f>SUMIFS(領用表!$L:$L,領用表!$E:$E,$B8,領用表!$B:$B,P$2&amp;$P$1)</f>
        <v/>
      </c>
      <c r="Q8" s="142">
        <f>SUMIFS(領用表!$L:$L,領用表!$E:$E,$B8,領用表!$B:$B,Q$2&amp;$P$1)</f>
        <v/>
      </c>
      <c r="R8" s="142">
        <f>SUMIFS(領用表!$L:$L,領用表!$E:$E,$B8,領用表!$B:$B,R$2&amp;$P$1)</f>
        <v/>
      </c>
      <c r="S8" s="142">
        <f>SUMIFS(領用表!$L:$L,領用表!$E:$E,$B8,領用表!$B:$B,S$2&amp;$P$1)</f>
        <v/>
      </c>
      <c r="T8" s="142">
        <f>SUMIFS(領用表!$L:$L,領用表!$E:$E,$B8,領用表!$B:$B,T$2&amp;$P$1)</f>
        <v/>
      </c>
      <c r="U8" s="142" t="n"/>
      <c r="V8" s="142">
        <f>SUMIFS(領用表!$L:$L,領用表!$E:$E,$B8,領用表!$B:$B,V$2&amp;$P$1)</f>
        <v/>
      </c>
      <c r="W8" s="142">
        <f>SUMIFS(領用表!$L:$L,領用表!$E:$E,$B8,領用表!$B:$B,W$2&amp;$P$1)</f>
        <v/>
      </c>
      <c r="X8" s="142">
        <f>SUMIFS(領用表!$L:$L,領用表!$E:$E,$B8,領用表!$B:$B,X$2&amp;$P$1)</f>
        <v/>
      </c>
      <c r="Y8" s="142">
        <f>SUMIFS(領用表!$L:$L,領用表!$E:$E,$B8,領用表!$B:$B,Y$2&amp;$P$1)</f>
        <v/>
      </c>
      <c r="Z8" s="142">
        <f>SUMIFS(領用表!$L:$L,領用表!$E:$E,$B8,領用表!$B:$B,Z$2&amp;$P$1)</f>
        <v/>
      </c>
      <c r="AA8" s="142">
        <f>SUMIFS(領用表!$L:$L,領用表!$E:$E,$B8,領用表!$B:$B,AA$2&amp;$P$1)</f>
        <v/>
      </c>
      <c r="AB8" s="142">
        <f>SUM(P8,Q8,R8,S8,T8,U8)</f>
        <v/>
      </c>
      <c r="AC8" s="142">
        <f>AVERAGE(P8,Q8,R8,S8,T8,U8)</f>
        <v/>
      </c>
      <c r="AD8" s="142">
        <f>SUMIF(Summary!B:B,B8,Summary!EC:EC)</f>
        <v/>
      </c>
      <c r="AE8" s="108" t="n"/>
      <c r="AF8" s="65" t="n"/>
      <c r="AG8" s="65" t="n"/>
      <c r="AH8" s="65" t="n"/>
      <c r="AI8" s="27" t="n"/>
      <c r="AJ8" s="69" t="n"/>
      <c r="AK8" s="14" t="n"/>
      <c r="AL8" s="29" t="n"/>
    </row>
    <row r="9" ht="15.75" customHeight="1" s="453">
      <c r="A9" s="27" t="inlineStr">
        <is>
          <t>MB3ME110005A</t>
        </is>
      </c>
      <c r="B9" s="14" t="n">
        <v>6200010</v>
      </c>
      <c r="C9" s="135" t="inlineStr">
        <is>
          <t>週纖達1.0mg</t>
        </is>
      </c>
      <c r="D9" s="67" t="n">
        <v>1</v>
      </c>
      <c r="E9" s="17" t="inlineStr">
        <is>
          <t>支</t>
        </is>
      </c>
      <c r="F9" s="18" t="n"/>
      <c r="G9" s="18" t="n">
        <v>10</v>
      </c>
      <c r="H9" s="20">
        <f>SUMIFS(領用表!$L:$L,領用表!$E:$E,$B9,領用表!$B:$B,H$2&amp;$P$1)</f>
        <v/>
      </c>
      <c r="I9" s="20">
        <f>SUMIFS(領用表!$L:$L,領用表!$E:$E,$B9,領用表!$B:$B,I$2&amp;$P$1)</f>
        <v/>
      </c>
      <c r="J9" s="20">
        <f>SUMIFS(領用表!$L:$L,領用表!$E:$E,$B9,領用表!$B:$B,J$2&amp;$P$1)</f>
        <v/>
      </c>
      <c r="K9" s="142">
        <f>SUMIFS(領用表!$L:$L,領用表!$E:$E,$B9,領用表!$B:$B,K$2&amp;$P$1)</f>
        <v/>
      </c>
      <c r="L9" s="142">
        <f>SUMIFS(領用表!$L:$L,領用表!$E:$E,$B9,領用表!$B:$B,L$2&amp;$P$1)</f>
        <v/>
      </c>
      <c r="M9" s="142">
        <f>SUMIFS(領用表!$L:$L,領用表!$E:$E,$B9,領用表!$B:$B,M$2&amp;$P$1)</f>
        <v/>
      </c>
      <c r="N9" s="23">
        <f>SUM(,H9,I9,J9,K9,L9,M9)</f>
        <v/>
      </c>
      <c r="O9" s="23">
        <f>AVERAGE(,H9,I9,J9,K9,L9,M9)</f>
        <v/>
      </c>
      <c r="P9" s="142">
        <f>SUMIFS(領用表!$L:$L,領用表!$E:$E,$B9,領用表!$B:$B,P$2&amp;$P$1)</f>
        <v/>
      </c>
      <c r="Q9" s="142">
        <f>SUMIFS(領用表!$L:$L,領用表!$E:$E,$B9,領用表!$B:$B,Q$2&amp;$P$1)</f>
        <v/>
      </c>
      <c r="R9" s="142">
        <f>SUMIFS(領用表!$L:$L,領用表!$E:$E,$B9,領用表!$B:$B,R$2&amp;$P$1)</f>
        <v/>
      </c>
      <c r="S9" s="142">
        <f>SUMIFS(領用表!$L:$L,領用表!$E:$E,$B9,領用表!$B:$B,S$2&amp;$P$1)</f>
        <v/>
      </c>
      <c r="T9" s="142">
        <f>SUMIFS(領用表!$L:$L,領用表!$E:$E,$B9,領用表!$B:$B,T$2&amp;$P$1)</f>
        <v/>
      </c>
      <c r="U9" s="142" t="n"/>
      <c r="V9" s="142">
        <f>SUMIFS(領用表!$L:$L,領用表!$E:$E,$B9,領用表!$B:$B,V$2&amp;$P$1)</f>
        <v/>
      </c>
      <c r="W9" s="142">
        <f>SUMIFS(領用表!$L:$L,領用表!$E:$E,$B9,領用表!$B:$B,W$2&amp;$P$1)</f>
        <v/>
      </c>
      <c r="X9" s="142">
        <f>SUMIFS(領用表!$L:$L,領用表!$E:$E,$B9,領用表!$B:$B,X$2&amp;$P$1)</f>
        <v/>
      </c>
      <c r="Y9" s="142">
        <f>SUMIFS(領用表!$L:$L,領用表!$E:$E,$B9,領用表!$B:$B,Y$2&amp;$P$1)</f>
        <v/>
      </c>
      <c r="Z9" s="142">
        <f>SUMIFS(領用表!$L:$L,領用表!$E:$E,$B9,領用表!$B:$B,Z$2&amp;$P$1)</f>
        <v/>
      </c>
      <c r="AA9" s="142">
        <f>SUMIFS(領用表!$L:$L,領用表!$E:$E,$B9,領用表!$B:$B,AA$2&amp;$P$1)</f>
        <v/>
      </c>
      <c r="AB9" s="142">
        <f>SUM(P9,Q9,R9,S9,T9,U9)</f>
        <v/>
      </c>
      <c r="AC9" s="142">
        <f>AVERAGE(P9,Q9,R9,S9,T9,U9)</f>
        <v/>
      </c>
      <c r="AD9" s="142">
        <f>SUMIF(Summary!B:B,B9,Summary!EC:EC)</f>
        <v/>
      </c>
      <c r="AE9" s="108" t="n"/>
      <c r="AF9" s="65" t="n"/>
      <c r="AG9" s="65" t="n"/>
      <c r="AH9" s="65" t="n"/>
      <c r="AI9" s="27" t="n"/>
      <c r="AJ9" s="69" t="n"/>
      <c r="AK9" s="14" t="n"/>
      <c r="AL9" s="29" t="n"/>
    </row>
    <row r="10" ht="15.75" customHeight="1" s="453">
      <c r="A10" s="27" t="inlineStr">
        <is>
          <t>MB3ME110007A</t>
        </is>
      </c>
      <c r="B10" s="14" t="n">
        <v>6200012</v>
      </c>
      <c r="C10" s="135" t="inlineStr">
        <is>
          <t>週纖達2.4mg</t>
        </is>
      </c>
      <c r="D10" s="67" t="n">
        <v>1</v>
      </c>
      <c r="E10" s="17" t="inlineStr">
        <is>
          <t>支</t>
        </is>
      </c>
      <c r="F10" s="18" t="n"/>
      <c r="G10" s="18" t="n">
        <v>3</v>
      </c>
      <c r="H10" s="20">
        <f>SUMIFS(領用表!$L:$L,領用表!$E:$E,$B10,領用表!$B:$B,H$2&amp;$P$1)</f>
        <v/>
      </c>
      <c r="I10" s="20">
        <f>SUMIFS(領用表!$L:$L,領用表!$E:$E,$B10,領用表!$B:$B,I$2&amp;$P$1)</f>
        <v/>
      </c>
      <c r="J10" s="20">
        <f>SUMIFS(領用表!$L:$L,領用表!$E:$E,$B10,領用表!$B:$B,J$2&amp;$P$1)</f>
        <v/>
      </c>
      <c r="K10" s="142">
        <f>SUMIFS(領用表!$L:$L,領用表!$E:$E,$B10,領用表!$B:$B,K$2&amp;$P$1)</f>
        <v/>
      </c>
      <c r="L10" s="142">
        <f>SUMIFS(領用表!$L:$L,領用表!$E:$E,$B10,領用表!$B:$B,L$2&amp;$P$1)</f>
        <v/>
      </c>
      <c r="M10" s="142">
        <f>SUMIFS(領用表!$L:$L,領用表!$E:$E,$B10,領用表!$B:$B,M$2&amp;$P$1)</f>
        <v/>
      </c>
      <c r="N10" s="23">
        <f>SUM(,H10,I10,J10,K10,L10,M10)</f>
        <v/>
      </c>
      <c r="O10" s="23">
        <f>AVERAGE(,H10,I10,J10,K10,L10,M10)</f>
        <v/>
      </c>
      <c r="P10" s="142">
        <f>SUMIFS(領用表!$L:$L,領用表!$E:$E,$B10,領用表!$B:$B,P$2&amp;$P$1)</f>
        <v/>
      </c>
      <c r="Q10" s="142">
        <f>SUMIFS(領用表!$L:$L,領用表!$E:$E,$B10,領用表!$B:$B,Q$2&amp;$P$1)</f>
        <v/>
      </c>
      <c r="R10" s="142">
        <f>SUMIFS(領用表!$L:$L,領用表!$E:$E,$B10,領用表!$B:$B,R$2&amp;$P$1)</f>
        <v/>
      </c>
      <c r="S10" s="142">
        <f>SUMIFS(領用表!$L:$L,領用表!$E:$E,$B10,領用表!$B:$B,S$2&amp;$P$1)</f>
        <v/>
      </c>
      <c r="T10" s="142">
        <f>SUMIFS(領用表!$L:$L,領用表!$E:$E,$B10,領用表!$B:$B,T$2&amp;$P$1)</f>
        <v/>
      </c>
      <c r="U10" s="142" t="n"/>
      <c r="V10" s="142">
        <f>SUMIFS(領用表!$L:$L,領用表!$E:$E,$B10,領用表!$B:$B,V$2&amp;$P$1)</f>
        <v/>
      </c>
      <c r="W10" s="142">
        <f>SUMIFS(領用表!$L:$L,領用表!$E:$E,$B10,領用表!$B:$B,W$2&amp;$P$1)</f>
        <v/>
      </c>
      <c r="X10" s="142">
        <f>SUMIFS(領用表!$L:$L,領用表!$E:$E,$B10,領用表!$B:$B,X$2&amp;$P$1)</f>
        <v/>
      </c>
      <c r="Y10" s="142">
        <f>SUMIFS(領用表!$L:$L,領用表!$E:$E,$B10,領用表!$B:$B,Y$2&amp;$P$1)</f>
        <v/>
      </c>
      <c r="Z10" s="142">
        <f>SUMIFS(領用表!$L:$L,領用表!$E:$E,$B10,領用表!$B:$B,Z$2&amp;$P$1)</f>
        <v/>
      </c>
      <c r="AA10" s="142">
        <f>SUMIFS(領用表!$L:$L,領用表!$E:$E,$B10,領用表!$B:$B,AA$2&amp;$P$1)</f>
        <v/>
      </c>
      <c r="AB10" s="142">
        <f>SUM(P10,Q10,R10,S10,T10,U10)</f>
        <v/>
      </c>
      <c r="AC10" s="142">
        <f>AVERAGE(P10,Q10,R10,S10,T10,U10)</f>
        <v/>
      </c>
      <c r="AD10" s="142">
        <f>SUMIF(Summary!B:B,B10,Summary!EC:EC)</f>
        <v/>
      </c>
      <c r="AE10" s="108" t="n"/>
      <c r="AF10" s="65" t="n"/>
      <c r="AG10" s="65" t="n"/>
      <c r="AH10" s="65" t="n"/>
      <c r="AI10" s="27" t="n"/>
      <c r="AJ10" s="69" t="n"/>
      <c r="AK10" s="14" t="n"/>
      <c r="AL10" s="29" t="n"/>
    </row>
    <row r="11" ht="15.75" customHeight="1" s="453">
      <c r="A11" s="27" t="inlineStr">
        <is>
          <t>MB3ME110008A</t>
        </is>
      </c>
      <c r="B11" s="14" t="n">
        <v>6200013</v>
      </c>
      <c r="C11" s="135" t="inlineStr">
        <is>
          <t>猛健樂2.5mg</t>
        </is>
      </c>
      <c r="D11" s="67" t="n">
        <v>1</v>
      </c>
      <c r="E11" s="17" t="inlineStr">
        <is>
          <t>支</t>
        </is>
      </c>
      <c r="F11" s="18" t="n"/>
      <c r="G11" s="18" t="n">
        <v>0</v>
      </c>
      <c r="H11" s="20">
        <f>SUMIFS(領用表!$L:$L,領用表!$E:$E,$B11,領用表!$B:$B,H$2&amp;$P$1)</f>
        <v/>
      </c>
      <c r="I11" s="20">
        <f>SUMIFS(領用表!$L:$L,領用表!$E:$E,$B11,領用表!$B:$B,I$2&amp;$P$1)</f>
        <v/>
      </c>
      <c r="J11" s="20">
        <f>SUMIFS(領用表!$L:$L,領用表!$E:$E,$B11,領用表!$B:$B,J$2&amp;$P$1)</f>
        <v/>
      </c>
      <c r="K11" s="142">
        <f>SUMIFS(領用表!$L:$L,領用表!$E:$E,$B11,領用表!$B:$B,K$2&amp;$P$1)</f>
        <v/>
      </c>
      <c r="L11" s="142">
        <f>SUMIFS(領用表!$L:$L,領用表!$E:$E,$B11,領用表!$B:$B,L$2&amp;$P$1)</f>
        <v/>
      </c>
      <c r="M11" s="142">
        <f>SUMIFS(領用表!$L:$L,領用表!$E:$E,$B11,領用表!$B:$B,M$2&amp;$P$1)</f>
        <v/>
      </c>
      <c r="N11" s="23">
        <f>SUM(,H11,I11,J11,K11,L11,M11)</f>
        <v/>
      </c>
      <c r="O11" s="23">
        <f>AVERAGE(,H11,I11,J11,K11,L11,M11)</f>
        <v/>
      </c>
      <c r="P11" s="142">
        <f>SUMIFS(領用表!$L:$L,領用表!$E:$E,$B11,領用表!$B:$B,P$2&amp;$P$1)</f>
        <v/>
      </c>
      <c r="Q11" s="142">
        <f>SUMIFS(領用表!$L:$L,領用表!$E:$E,$B11,領用表!$B:$B,Q$2&amp;$P$1)</f>
        <v/>
      </c>
      <c r="R11" s="142">
        <f>SUMIFS(領用表!$L:$L,領用表!$E:$E,$B11,領用表!$B:$B,R$2&amp;$P$1)</f>
        <v/>
      </c>
      <c r="S11" s="142">
        <f>SUMIFS(領用表!$L:$L,領用表!$E:$E,$B11,領用表!$B:$B,S$2&amp;$P$1)</f>
        <v/>
      </c>
      <c r="T11" s="142">
        <f>SUMIFS(領用表!$L:$L,領用表!$E:$E,$B11,領用表!$B:$B,T$2&amp;$P$1)</f>
        <v/>
      </c>
      <c r="U11" s="142" t="n"/>
      <c r="V11" s="142">
        <f>SUMIFS(領用表!$L:$L,領用表!$E:$E,$B11,領用表!$B:$B,V$2&amp;$P$1)</f>
        <v/>
      </c>
      <c r="W11" s="142">
        <f>SUMIFS(領用表!$L:$L,領用表!$E:$E,$B11,領用表!$B:$B,W$2&amp;$P$1)</f>
        <v/>
      </c>
      <c r="X11" s="142">
        <f>SUMIFS(領用表!$L:$L,領用表!$E:$E,$B11,領用表!$B:$B,X$2&amp;$P$1)</f>
        <v/>
      </c>
      <c r="Y11" s="142">
        <f>SUMIFS(領用表!$L:$L,領用表!$E:$E,$B11,領用表!$B:$B,Y$2&amp;$P$1)</f>
        <v/>
      </c>
      <c r="Z11" s="142">
        <f>SUMIFS(領用表!$L:$L,領用表!$E:$E,$B11,領用表!$B:$B,Z$2&amp;$P$1)</f>
        <v/>
      </c>
      <c r="AA11" s="142">
        <f>SUMIFS(領用表!$L:$L,領用表!$E:$E,$B11,領用表!$B:$B,AA$2&amp;$P$1)</f>
        <v/>
      </c>
      <c r="AB11" s="142">
        <f>SUM(P11,Q11,R11,S11,T11,U11)</f>
        <v/>
      </c>
      <c r="AC11" s="142">
        <f>AVERAGE(P11,Q11,R11,S11,T11,U11)</f>
        <v/>
      </c>
      <c r="AD11" s="142">
        <f>SUMIF(Summary!B:B,B11,Summary!EC:EC)</f>
        <v/>
      </c>
      <c r="AE11" s="108" t="n"/>
      <c r="AF11" s="65" t="n"/>
      <c r="AG11" s="65" t="n"/>
      <c r="AH11" s="74" t="n"/>
      <c r="AI11" s="27" t="n"/>
      <c r="AJ11" s="69" t="n"/>
      <c r="AK11" s="14" t="n"/>
      <c r="AL11" s="29" t="n"/>
    </row>
    <row r="12" ht="15.75" customHeight="1" s="453">
      <c r="A12" s="27" t="inlineStr">
        <is>
          <t>MB3ME110009A</t>
        </is>
      </c>
      <c r="B12" s="14" t="n">
        <v>6200014</v>
      </c>
      <c r="C12" s="135" t="inlineStr">
        <is>
          <t>猛健樂5.0mg</t>
        </is>
      </c>
      <c r="D12" s="67" t="n">
        <v>1</v>
      </c>
      <c r="E12" s="17" t="inlineStr">
        <is>
          <t>支</t>
        </is>
      </c>
      <c r="F12" s="18" t="n"/>
      <c r="G12" s="18" t="n">
        <v>3</v>
      </c>
      <c r="H12" s="20">
        <f>SUMIFS(領用表!$L:$L,領用表!$E:$E,$B12,領用表!$B:$B,H$2&amp;$P$1)</f>
        <v/>
      </c>
      <c r="I12" s="20">
        <f>SUMIFS(領用表!$L:$L,領用表!$E:$E,$B12,領用表!$B:$B,I$2&amp;$P$1)</f>
        <v/>
      </c>
      <c r="J12" s="20">
        <f>SUMIFS(領用表!$L:$L,領用表!$E:$E,$B12,領用表!$B:$B,J$2&amp;$P$1)</f>
        <v/>
      </c>
      <c r="K12" s="142">
        <f>SUMIFS(領用表!$L:$L,領用表!$E:$E,$B12,領用表!$B:$B,K$2&amp;$P$1)</f>
        <v/>
      </c>
      <c r="L12" s="142">
        <f>SUMIFS(領用表!$L:$L,領用表!$E:$E,$B12,領用表!$B:$B,L$2&amp;$P$1)</f>
        <v/>
      </c>
      <c r="M12" s="142">
        <f>SUMIFS(領用表!$L:$L,領用表!$E:$E,$B12,領用表!$B:$B,M$2&amp;$P$1)</f>
        <v/>
      </c>
      <c r="N12" s="23">
        <f>SUM(,H12,I12,J12,K12,L12,M12)</f>
        <v/>
      </c>
      <c r="O12" s="23">
        <f>AVERAGE(,H12,I12,J12,K12,L12,M12)</f>
        <v/>
      </c>
      <c r="P12" s="142">
        <f>SUMIFS(領用表!$L:$L,領用表!$E:$E,$B12,領用表!$B:$B,P$2&amp;$P$1)</f>
        <v/>
      </c>
      <c r="Q12" s="142">
        <f>SUMIFS(領用表!$L:$L,領用表!$E:$E,$B12,領用表!$B:$B,Q$2&amp;$P$1)</f>
        <v/>
      </c>
      <c r="R12" s="142">
        <f>SUMIFS(領用表!$L:$L,領用表!$E:$E,$B12,領用表!$B:$B,R$2&amp;$P$1)</f>
        <v/>
      </c>
      <c r="S12" s="142">
        <f>SUMIFS(領用表!$L:$L,領用表!$E:$E,$B12,領用表!$B:$B,S$2&amp;$P$1)</f>
        <v/>
      </c>
      <c r="T12" s="142">
        <f>SUMIFS(領用表!$L:$L,領用表!$E:$E,$B12,領用表!$B:$B,T$2&amp;$P$1)</f>
        <v/>
      </c>
      <c r="U12" s="142" t="n"/>
      <c r="V12" s="142">
        <f>SUMIFS(領用表!$L:$L,領用表!$E:$E,$B12,領用表!$B:$B,V$2&amp;$P$1)</f>
        <v/>
      </c>
      <c r="W12" s="142">
        <f>SUMIFS(領用表!$L:$L,領用表!$E:$E,$B12,領用表!$B:$B,W$2&amp;$P$1)</f>
        <v/>
      </c>
      <c r="X12" s="142">
        <f>SUMIFS(領用表!$L:$L,領用表!$E:$E,$B12,領用表!$B:$B,X$2&amp;$P$1)</f>
        <v/>
      </c>
      <c r="Y12" s="142">
        <f>SUMIFS(領用表!$L:$L,領用表!$E:$E,$B12,領用表!$B:$B,Y$2&amp;$P$1)</f>
        <v/>
      </c>
      <c r="Z12" s="142">
        <f>SUMIFS(領用表!$L:$L,領用表!$E:$E,$B12,領用表!$B:$B,Z$2&amp;$P$1)</f>
        <v/>
      </c>
      <c r="AA12" s="142">
        <f>SUMIFS(領用表!$L:$L,領用表!$E:$E,$B12,領用表!$B:$B,AA$2&amp;$P$1)</f>
        <v/>
      </c>
      <c r="AB12" s="142">
        <f>SUM(P12,Q12,R12,S12,T12,U12)</f>
        <v/>
      </c>
      <c r="AC12" s="142">
        <f>AVERAGE(P12,Q12,R12,S12,T12,U12)</f>
        <v/>
      </c>
      <c r="AD12" s="142">
        <f>SUMIF(Summary!B:B,B12,Summary!EC:EC)</f>
        <v/>
      </c>
      <c r="AE12" s="108" t="n"/>
      <c r="AF12" s="65" t="n"/>
      <c r="AG12" s="54" t="n"/>
      <c r="AH12" s="54" t="inlineStr">
        <is>
          <t>5-10/22</t>
        </is>
      </c>
      <c r="AI12" s="27" t="n"/>
      <c r="AJ12" s="69" t="n"/>
      <c r="AK12" s="14" t="n"/>
      <c r="AL12" s="29" t="n"/>
    </row>
    <row r="13" ht="15.75" customHeight="1" s="453">
      <c r="A13" s="27" t="inlineStr">
        <is>
          <t>MB3ME110010A</t>
        </is>
      </c>
      <c r="B13" s="14" t="n">
        <v>6200015</v>
      </c>
      <c r="C13" s="135" t="inlineStr">
        <is>
          <t>猛健樂7.5mg</t>
        </is>
      </c>
      <c r="D13" s="67" t="n">
        <v>1</v>
      </c>
      <c r="E13" s="17" t="inlineStr">
        <is>
          <t>支</t>
        </is>
      </c>
      <c r="F13" s="18" t="n"/>
      <c r="G13" s="18" t="n">
        <v>0</v>
      </c>
      <c r="H13" s="20">
        <f>SUMIFS(領用表!$L:$L,領用表!$E:$E,$B13,領用表!$B:$B,H$2&amp;$P$1)</f>
        <v/>
      </c>
      <c r="I13" s="20">
        <f>SUMIFS(領用表!$L:$L,領用表!$E:$E,$B13,領用表!$B:$B,I$2&amp;$P$1)</f>
        <v/>
      </c>
      <c r="J13" s="20">
        <f>SUMIFS(領用表!$L:$L,領用表!$E:$E,$B13,領用表!$B:$B,J$2&amp;$P$1)</f>
        <v/>
      </c>
      <c r="K13" s="142">
        <f>SUMIFS(領用表!$L:$L,領用表!$E:$E,$B13,領用表!$B:$B,K$2&amp;$P$1)</f>
        <v/>
      </c>
      <c r="L13" s="142">
        <f>SUMIFS(領用表!$L:$L,領用表!$E:$E,$B13,領用表!$B:$B,L$2&amp;$P$1)</f>
        <v/>
      </c>
      <c r="M13" s="142">
        <f>SUMIFS(領用表!$L:$L,領用表!$E:$E,$B13,領用表!$B:$B,M$2&amp;$P$1)</f>
        <v/>
      </c>
      <c r="N13" s="23">
        <f>SUM(,H13,I13,J13,K13,L13,M13)</f>
        <v/>
      </c>
      <c r="O13" s="23">
        <f>AVERAGE(,H13,I13,J13,K13,L13,M13)</f>
        <v/>
      </c>
      <c r="P13" s="142">
        <f>SUMIFS(領用表!$L:$L,領用表!$E:$E,$B13,領用表!$B:$B,P$2&amp;$P$1)</f>
        <v/>
      </c>
      <c r="Q13" s="142">
        <f>SUMIFS(領用表!$L:$L,領用表!$E:$E,$B13,領用表!$B:$B,Q$2&amp;$P$1)</f>
        <v/>
      </c>
      <c r="R13" s="142">
        <f>SUMIFS(領用表!$L:$L,領用表!$E:$E,$B13,領用表!$B:$B,R$2&amp;$P$1)</f>
        <v/>
      </c>
      <c r="S13" s="142">
        <f>SUMIFS(領用表!$L:$L,領用表!$E:$E,$B13,領用表!$B:$B,S$2&amp;$P$1)</f>
        <v/>
      </c>
      <c r="T13" s="142">
        <f>SUMIFS(領用表!$L:$L,領用表!$E:$E,$B13,領用表!$B:$B,T$2&amp;$P$1)</f>
        <v/>
      </c>
      <c r="U13" s="142" t="n"/>
      <c r="V13" s="142">
        <f>SUMIFS(領用表!$L:$L,領用表!$E:$E,$B13,領用表!$B:$B,V$2&amp;$P$1)</f>
        <v/>
      </c>
      <c r="W13" s="142">
        <f>SUMIFS(領用表!$L:$L,領用表!$E:$E,$B13,領用表!$B:$B,W$2&amp;$P$1)</f>
        <v/>
      </c>
      <c r="X13" s="142">
        <f>SUMIFS(領用表!$L:$L,領用表!$E:$E,$B13,領用表!$B:$B,X$2&amp;$P$1)</f>
        <v/>
      </c>
      <c r="Y13" s="142">
        <f>SUMIFS(領用表!$L:$L,領用表!$E:$E,$B13,領用表!$B:$B,Y$2&amp;$P$1)</f>
        <v/>
      </c>
      <c r="Z13" s="142">
        <f>SUMIFS(領用表!$L:$L,領用表!$E:$E,$B13,領用表!$B:$B,Z$2&amp;$P$1)</f>
        <v/>
      </c>
      <c r="AA13" s="142">
        <f>SUMIFS(領用表!$L:$L,領用表!$E:$E,$B13,領用表!$B:$B,AA$2&amp;$P$1)</f>
        <v/>
      </c>
      <c r="AB13" s="142">
        <f>SUM(P13,Q13,R13,S13,T13,U13)</f>
        <v/>
      </c>
      <c r="AC13" s="142">
        <f>AVERAGE(P13,Q13,R13,S13,T13,U13)</f>
        <v/>
      </c>
      <c r="AD13" s="142">
        <f>SUMIF(Summary!B:B,B13,Summary!EC:EC)</f>
        <v/>
      </c>
      <c r="AE13" s="108" t="n"/>
      <c r="AF13" s="65" t="n"/>
      <c r="AG13" s="65" t="n"/>
      <c r="AH13" s="65" t="inlineStr">
        <is>
          <t>5-10/22</t>
        </is>
      </c>
      <c r="AI13" s="27" t="n"/>
      <c r="AJ13" s="69" t="n"/>
      <c r="AK13" s="14" t="n"/>
      <c r="AL13" s="29" t="n"/>
    </row>
    <row r="14" ht="15.75" customHeight="1" s="453">
      <c r="A14" s="27" t="inlineStr">
        <is>
          <t>MB3ME110011A</t>
        </is>
      </c>
      <c r="B14" s="14" t="n">
        <v>6200016</v>
      </c>
      <c r="C14" s="135" t="inlineStr">
        <is>
          <t>猛健樂10.0mg</t>
        </is>
      </c>
      <c r="D14" s="67" t="n">
        <v>1</v>
      </c>
      <c r="E14" s="17" t="inlineStr">
        <is>
          <t>支</t>
        </is>
      </c>
      <c r="F14" s="18" t="n"/>
      <c r="G14" s="18" t="n">
        <v>11</v>
      </c>
      <c r="H14" s="20">
        <f>SUMIFS(領用表!$L:$L,領用表!$E:$E,$B14,領用表!$B:$B,H$2&amp;$P$1)</f>
        <v/>
      </c>
      <c r="I14" s="20">
        <f>SUMIFS(領用表!$L:$L,領用表!$E:$E,$B14,領用表!$B:$B,I$2&amp;$P$1)</f>
        <v/>
      </c>
      <c r="J14" s="20">
        <f>SUMIFS(領用表!$L:$L,領用表!$E:$E,$B14,領用表!$B:$B,J$2&amp;$P$1)</f>
        <v/>
      </c>
      <c r="K14" s="142">
        <f>SUMIFS(領用表!$L:$L,領用表!$E:$E,$B14,領用表!$B:$B,K$2&amp;$P$1)</f>
        <v/>
      </c>
      <c r="L14" s="142">
        <f>SUMIFS(領用表!$L:$L,領用表!$E:$E,$B14,領用表!$B:$B,L$2&amp;$P$1)</f>
        <v/>
      </c>
      <c r="M14" s="142">
        <f>SUMIFS(領用表!$L:$L,領用表!$E:$E,$B14,領用表!$B:$B,M$2&amp;$P$1)</f>
        <v/>
      </c>
      <c r="N14" s="23">
        <f>SUM(,H14,I14,J14,K14,L14,M14)</f>
        <v/>
      </c>
      <c r="O14" s="23">
        <f>AVERAGE(,H14,I14,J14,K14,L14,M14)</f>
        <v/>
      </c>
      <c r="P14" s="142">
        <f>SUMIFS(領用表!$L:$L,領用表!$E:$E,$B14,領用表!$B:$B,P$2&amp;$P$1)</f>
        <v/>
      </c>
      <c r="Q14" s="142">
        <f>SUMIFS(領用表!$L:$L,領用表!$E:$E,$B14,領用表!$B:$B,Q$2&amp;$P$1)</f>
        <v/>
      </c>
      <c r="R14" s="142">
        <f>SUMIFS(領用表!$L:$L,領用表!$E:$E,$B14,領用表!$B:$B,R$2&amp;$P$1)</f>
        <v/>
      </c>
      <c r="S14" s="142">
        <f>SUMIFS(領用表!$L:$L,領用表!$E:$E,$B14,領用表!$B:$B,S$2&amp;$P$1)</f>
        <v/>
      </c>
      <c r="T14" s="142">
        <f>SUMIFS(領用表!$L:$L,領用表!$E:$E,$B14,領用表!$B:$B,T$2&amp;$P$1)</f>
        <v/>
      </c>
      <c r="U14" s="142" t="n"/>
      <c r="V14" s="142">
        <f>SUMIFS(領用表!$L:$L,領用表!$E:$E,$B14,領用表!$B:$B,V$2&amp;$P$1)</f>
        <v/>
      </c>
      <c r="W14" s="142">
        <f>SUMIFS(領用表!$L:$L,領用表!$E:$E,$B14,領用表!$B:$B,W$2&amp;$P$1)</f>
        <v/>
      </c>
      <c r="X14" s="142">
        <f>SUMIFS(領用表!$L:$L,領用表!$E:$E,$B14,領用表!$B:$B,X$2&amp;$P$1)</f>
        <v/>
      </c>
      <c r="Y14" s="142">
        <f>SUMIFS(領用表!$L:$L,領用表!$E:$E,$B14,領用表!$B:$B,Y$2&amp;$P$1)</f>
        <v/>
      </c>
      <c r="Z14" s="142">
        <f>SUMIFS(領用表!$L:$L,領用表!$E:$E,$B14,領用表!$B:$B,Z$2&amp;$P$1)</f>
        <v/>
      </c>
      <c r="AA14" s="142">
        <f>SUMIFS(領用表!$L:$L,領用表!$E:$E,$B14,領用表!$B:$B,AA$2&amp;$P$1)</f>
        <v/>
      </c>
      <c r="AB14" s="142">
        <f>SUM(P14,Q14,R14,S14,T14,U14)</f>
        <v/>
      </c>
      <c r="AC14" s="142">
        <f>AVERAGE(P14,Q14,R14,S14,T14,U14)</f>
        <v/>
      </c>
      <c r="AD14" s="142">
        <f>SUMIF(Summary!B:B,B14,Summary!EC:EC)</f>
        <v/>
      </c>
      <c r="AE14" s="108" t="n"/>
      <c r="AF14" s="65" t="n"/>
      <c r="AG14" s="54" t="n"/>
      <c r="AH14" s="54" t="inlineStr">
        <is>
          <t>缺貨</t>
        </is>
      </c>
      <c r="AI14" s="27" t="n"/>
      <c r="AJ14" s="69" t="n"/>
      <c r="AK14" s="14" t="n"/>
      <c r="AL14" s="29" t="n"/>
    </row>
    <row r="15" ht="15.75" customHeight="1" s="453">
      <c r="A15" s="27" t="n"/>
      <c r="B15" s="178" t="n">
        <v>6200017</v>
      </c>
      <c r="C15" s="179" t="inlineStr">
        <is>
          <t>(V)猛健樂10MG/0.15CC</t>
        </is>
      </c>
      <c r="D15" s="67" t="n">
        <v>1</v>
      </c>
      <c r="E15" s="17" t="inlineStr">
        <is>
          <t>支</t>
        </is>
      </c>
      <c r="F15" s="18" t="n"/>
      <c r="G15" s="18" t="n"/>
      <c r="H15" s="20">
        <f>SUMIFS(領用表!$L:$L,領用表!$E:$E,$B15,領用表!$B:$B,H$2&amp;$P$1)</f>
        <v/>
      </c>
      <c r="I15" s="20">
        <f>SUMIFS(領用表!$L:$L,領用表!$E:$E,$B15,領用表!$B:$B,I$2&amp;$P$1)</f>
        <v/>
      </c>
      <c r="J15" s="20">
        <f>SUMIFS(領用表!$L:$L,領用表!$E:$E,$B15,領用表!$B:$B,J$2&amp;$P$1)</f>
        <v/>
      </c>
      <c r="K15" s="142">
        <f>SUMIFS(領用表!$L:$L,領用表!$E:$E,$B15,領用表!$B:$B,K$2&amp;$P$1)</f>
        <v/>
      </c>
      <c r="L15" s="142">
        <f>SUMIFS(領用表!$L:$L,領用表!$E:$E,$B15,領用表!$B:$B,L$2&amp;$P$1)</f>
        <v/>
      </c>
      <c r="M15" s="142">
        <f>SUMIFS(領用表!$L:$L,領用表!$E:$E,$B15,領用表!$B:$B,M$2&amp;$P$1)</f>
        <v/>
      </c>
      <c r="N15" s="23">
        <f>SUM(,H15,I15,J15,K15,L15,M15)</f>
        <v/>
      </c>
      <c r="O15" s="23">
        <f>AVERAGE(,H15,I15,J15,K15,L15,M15)</f>
        <v/>
      </c>
      <c r="P15" s="142">
        <f>SUMIFS(領用表!$L:$L,領用表!$E:$E,$B15,領用表!$B:$B,P$2&amp;$P$1)</f>
        <v/>
      </c>
      <c r="Q15" s="142">
        <f>SUMIFS(領用表!$L:$L,領用表!$E:$E,$B15,領用表!$B:$B,Q$2&amp;$P$1)</f>
        <v/>
      </c>
      <c r="R15" s="142">
        <f>SUMIFS(領用表!$L:$L,領用表!$E:$E,$B15,領用表!$B:$B,R$2&amp;$P$1)</f>
        <v/>
      </c>
      <c r="S15" s="142">
        <f>SUMIFS(領用表!$L:$L,領用表!$E:$E,$B15,領用表!$B:$B,S$2&amp;$P$1)</f>
        <v/>
      </c>
      <c r="T15" s="142">
        <f>SUMIFS(領用表!$L:$L,領用表!$E:$E,$B15,領用表!$B:$B,T$2&amp;$P$1)</f>
        <v/>
      </c>
      <c r="U15" s="142" t="n">
        <v>425.9</v>
      </c>
      <c r="V15" s="142">
        <f>SUMIFS(領用表!$L:$L,領用表!$E:$E,$B15,領用表!$B:$B,V$2&amp;$P$1)</f>
        <v/>
      </c>
      <c r="W15" s="142">
        <f>SUMIFS(領用表!$L:$L,領用表!$E:$E,$B15,領用表!$B:$B,W$2&amp;$P$1)</f>
        <v/>
      </c>
      <c r="X15" s="142">
        <f>SUMIFS(領用表!$L:$L,領用表!$E:$E,$B15,領用表!$B:$B,X$2&amp;$P$1)</f>
        <v/>
      </c>
      <c r="Y15" s="142">
        <f>SUMIFS(領用表!$L:$L,領用表!$E:$E,$B15,領用表!$B:$B,Y$2&amp;$P$1)</f>
        <v/>
      </c>
      <c r="Z15" s="142">
        <f>SUMIFS(領用表!$L:$L,領用表!$E:$E,$B15,領用表!$B:$B,Z$2&amp;$P$1)</f>
        <v/>
      </c>
      <c r="AA15" s="142">
        <f>SUMIFS(領用表!$L:$L,領用表!$E:$E,$B15,領用表!$B:$B,AA$2&amp;$P$1)</f>
        <v/>
      </c>
      <c r="AB15" s="142">
        <f>SUM(P15,Q15,R15,S15,T15,U15)</f>
        <v/>
      </c>
      <c r="AC15" s="142">
        <f>AVERAGE(P15,Q15,R15,S15,T15,U15)</f>
        <v/>
      </c>
      <c r="AD15" s="142">
        <f>SUMIF(Summary!B:B,B15,Summary!EC:EC)</f>
        <v/>
      </c>
      <c r="AE15" s="108" t="n"/>
      <c r="AF15" s="65" t="n"/>
      <c r="AG15" s="54" t="n"/>
      <c r="AH15" s="54" t="inlineStr">
        <is>
          <t>缺貨</t>
        </is>
      </c>
      <c r="AI15" s="27" t="n"/>
      <c r="AJ15" s="69" t="n"/>
      <c r="AK15" s="14" t="n"/>
      <c r="AL15" s="29" t="n"/>
    </row>
    <row r="16" ht="15.75" customHeight="1" s="453">
      <c r="A16" s="27" t="n"/>
      <c r="B16" s="178" t="n">
        <v>6200018</v>
      </c>
      <c r="C16" s="179" t="inlineStr">
        <is>
          <t>(V)猛健樂*1支(12.5mg)</t>
        </is>
      </c>
      <c r="D16" s="67" t="n">
        <v>1</v>
      </c>
      <c r="E16" s="17" t="inlineStr">
        <is>
          <t>支</t>
        </is>
      </c>
      <c r="F16" s="18" t="n"/>
      <c r="G16" s="18" t="n"/>
      <c r="H16" s="20">
        <f>SUMIFS(領用表!$L:$L,領用表!$E:$E,$B16,領用表!$B:$B,H$2&amp;$P$1)</f>
        <v/>
      </c>
      <c r="I16" s="20">
        <f>SUMIFS(領用表!$L:$L,領用表!$E:$E,$B16,領用表!$B:$B,I$2&amp;$P$1)</f>
        <v/>
      </c>
      <c r="J16" s="20">
        <f>SUMIFS(領用表!$L:$L,領用表!$E:$E,$B16,領用表!$B:$B,J$2&amp;$P$1)</f>
        <v/>
      </c>
      <c r="K16" s="142">
        <f>SUMIFS(領用表!$L:$L,領用表!$E:$E,$B16,領用表!$B:$B,K$2&amp;$P$1)</f>
        <v/>
      </c>
      <c r="L16" s="142">
        <f>SUMIFS(領用表!$L:$L,領用表!$E:$E,$B16,領用表!$B:$B,L$2&amp;$P$1)</f>
        <v/>
      </c>
      <c r="M16" s="142">
        <f>SUMIFS(領用表!$L:$L,領用表!$E:$E,$B16,領用表!$B:$B,M$2&amp;$P$1)</f>
        <v/>
      </c>
      <c r="N16" s="23">
        <f>SUM(,H16,I16,J16,K16,L16,M16)</f>
        <v/>
      </c>
      <c r="O16" s="23">
        <f>AVERAGE(,H16,I16,J16,K16,L16,M16)</f>
        <v/>
      </c>
      <c r="P16" s="142">
        <f>SUMIFS(領用表!$L:$L,領用表!$E:$E,$B16,領用表!$B:$B,P$2&amp;$P$1)</f>
        <v/>
      </c>
      <c r="Q16" s="142">
        <f>SUMIFS(領用表!$L:$L,領用表!$E:$E,$B16,領用表!$B:$B,Q$2&amp;$P$1)</f>
        <v/>
      </c>
      <c r="R16" s="142">
        <f>SUMIFS(領用表!$L:$L,領用表!$E:$E,$B16,領用表!$B:$B,R$2&amp;$P$1)</f>
        <v/>
      </c>
      <c r="S16" s="142">
        <f>SUMIFS(領用表!$L:$L,領用表!$E:$E,$B16,領用表!$B:$B,S$2&amp;$P$1)</f>
        <v/>
      </c>
      <c r="T16" s="142">
        <f>SUMIFS(領用表!$L:$L,領用表!$E:$E,$B16,領用表!$B:$B,T$2&amp;$P$1)</f>
        <v/>
      </c>
      <c r="U16" s="142" t="n"/>
      <c r="V16" s="142">
        <f>SUMIFS(領用表!$L:$L,領用表!$E:$E,$B16,領用表!$B:$B,V$2&amp;$P$1)</f>
        <v/>
      </c>
      <c r="W16" s="142">
        <f>SUMIFS(領用表!$L:$L,領用表!$E:$E,$B16,領用表!$B:$B,W$2&amp;$P$1)</f>
        <v/>
      </c>
      <c r="X16" s="142">
        <f>SUMIFS(領用表!$L:$L,領用表!$E:$E,$B16,領用表!$B:$B,X$2&amp;$P$1)</f>
        <v/>
      </c>
      <c r="Y16" s="142">
        <f>SUMIFS(領用表!$L:$L,領用表!$E:$E,$B16,領用表!$B:$B,Y$2&amp;$P$1)</f>
        <v/>
      </c>
      <c r="Z16" s="142">
        <f>SUMIFS(領用表!$L:$L,領用表!$E:$E,$B16,領用表!$B:$B,Z$2&amp;$P$1)</f>
        <v/>
      </c>
      <c r="AA16" s="142">
        <f>SUMIFS(領用表!$L:$L,領用表!$E:$E,$B16,領用表!$B:$B,AA$2&amp;$P$1)</f>
        <v/>
      </c>
      <c r="AB16" s="142">
        <f>SUM(P16,Q16,R16,S16,T16,U16)</f>
        <v/>
      </c>
      <c r="AC16" s="142">
        <f>AVERAGE(P16,Q16,R16,S16,T16,U16)</f>
        <v/>
      </c>
      <c r="AD16" s="142">
        <f>SUMIF(Summary!B:B,B16,Summary!EC:EC)</f>
        <v/>
      </c>
      <c r="AE16" s="108" t="n"/>
      <c r="AF16" s="65" t="n"/>
      <c r="AG16" s="54" t="n"/>
      <c r="AH16" s="54" t="inlineStr">
        <is>
          <t>缺貨</t>
        </is>
      </c>
      <c r="AI16" s="27" t="n"/>
      <c r="AJ16" s="69" t="n"/>
      <c r="AK16" s="14" t="n"/>
      <c r="AL16" s="29" t="n"/>
    </row>
    <row r="17" ht="15.75" customHeight="1" s="453">
      <c r="A17" s="27" t="n"/>
      <c r="B17" s="178" t="n">
        <v>6200020</v>
      </c>
      <c r="C17" s="179" t="inlineStr">
        <is>
          <t>(V)猛健樂7.5MG/0.2CC</t>
        </is>
      </c>
      <c r="D17" s="67" t="n">
        <v>1</v>
      </c>
      <c r="E17" s="17" t="inlineStr">
        <is>
          <t>支</t>
        </is>
      </c>
      <c r="F17" s="18" t="n"/>
      <c r="G17" s="18" t="n"/>
      <c r="H17" s="20">
        <f>SUMIFS(領用表!$L:$L,領用表!$E:$E,$B17,領用表!$B:$B,H$2&amp;$P$1)</f>
        <v/>
      </c>
      <c r="I17" s="20">
        <f>SUMIFS(領用表!$L:$L,領用表!$E:$E,$B17,領用表!$B:$B,I$2&amp;$P$1)</f>
        <v/>
      </c>
      <c r="J17" s="20">
        <f>SUMIFS(領用表!$L:$L,領用表!$E:$E,$B17,領用表!$B:$B,J$2&amp;$P$1)</f>
        <v/>
      </c>
      <c r="K17" s="142">
        <f>SUMIFS(領用表!$L:$L,領用表!$E:$E,$B17,領用表!$B:$B,K$2&amp;$P$1)</f>
        <v/>
      </c>
      <c r="L17" s="142">
        <f>SUMIFS(領用表!$L:$L,領用表!$E:$E,$B17,領用表!$B:$B,L$2&amp;$P$1)</f>
        <v/>
      </c>
      <c r="M17" s="142">
        <f>SUMIFS(領用表!$L:$L,領用表!$E:$E,$B17,領用表!$B:$B,M$2&amp;$P$1)</f>
        <v/>
      </c>
      <c r="N17" s="23">
        <f>SUM(,H17,I17,J17,K17,L17,M17)</f>
        <v/>
      </c>
      <c r="O17" s="23">
        <f>AVERAGE(,H17,I17,J17,K17,L17,M17)</f>
        <v/>
      </c>
      <c r="P17" s="142">
        <f>SUMIFS(領用表!$L:$L,領用表!$E:$E,$B17,領用表!$B:$B,P$2&amp;$P$1)</f>
        <v/>
      </c>
      <c r="Q17" s="142">
        <f>SUMIFS(領用表!$L:$L,領用表!$E:$E,$B17,領用表!$B:$B,Q$2&amp;$P$1)</f>
        <v/>
      </c>
      <c r="R17" s="142">
        <f>SUMIFS(領用表!$L:$L,領用表!$E:$E,$B17,領用表!$B:$B,R$2&amp;$P$1)</f>
        <v/>
      </c>
      <c r="S17" s="142">
        <f>SUMIFS(領用表!$L:$L,領用表!$E:$E,$B17,領用表!$B:$B,S$2&amp;$P$1)</f>
        <v/>
      </c>
      <c r="T17" s="142">
        <f>SUMIFS(領用表!$L:$L,領用表!$E:$E,$B17,領用表!$B:$B,T$2&amp;$P$1)</f>
        <v/>
      </c>
      <c r="U17" s="142" t="n">
        <v>1</v>
      </c>
      <c r="V17" s="142">
        <f>SUMIFS(領用表!$L:$L,領用表!$E:$E,$B17,領用表!$B:$B,V$2&amp;$P$1)</f>
        <v/>
      </c>
      <c r="W17" s="142">
        <f>SUMIFS(領用表!$L:$L,領用表!$E:$E,$B17,領用表!$B:$B,W$2&amp;$P$1)</f>
        <v/>
      </c>
      <c r="X17" s="142">
        <f>SUMIFS(領用表!$L:$L,領用表!$E:$E,$B17,領用表!$B:$B,X$2&amp;$P$1)</f>
        <v/>
      </c>
      <c r="Y17" s="142">
        <f>SUMIFS(領用表!$L:$L,領用表!$E:$E,$B17,領用表!$B:$B,Y$2&amp;$P$1)</f>
        <v/>
      </c>
      <c r="Z17" s="142">
        <f>SUMIFS(領用表!$L:$L,領用表!$E:$E,$B17,領用表!$B:$B,Z$2&amp;$P$1)</f>
        <v/>
      </c>
      <c r="AA17" s="142">
        <f>SUMIFS(領用表!$L:$L,領用表!$E:$E,$B17,領用表!$B:$B,AA$2&amp;$P$1)</f>
        <v/>
      </c>
      <c r="AB17" s="142">
        <f>SUM(P17,Q17,R17,S17,T17,U17)</f>
        <v/>
      </c>
      <c r="AC17" s="142">
        <f>AVERAGE(P17,Q17,R17,S17,T17,U17)</f>
        <v/>
      </c>
      <c r="AD17" s="142">
        <f>SUMIF(Summary!B:B,B17,Summary!EC:EC)</f>
        <v/>
      </c>
      <c r="AE17" s="108" t="n"/>
      <c r="AF17" s="65" t="n"/>
      <c r="AG17" s="54" t="n"/>
      <c r="AH17" s="54" t="inlineStr">
        <is>
          <t>缺貨</t>
        </is>
      </c>
      <c r="AI17" s="27" t="n"/>
      <c r="AJ17" s="69" t="n"/>
      <c r="AK17" s="14" t="n"/>
      <c r="AL17" s="29" t="n"/>
    </row>
    <row r="18" ht="15.75" customHeight="1" s="453">
      <c r="A18" s="27" t="n"/>
      <c r="B18" s="178" t="n">
        <v>6200021</v>
      </c>
      <c r="C18" s="179" t="inlineStr">
        <is>
          <t>(V)猛健樂12.5MG/0.12CC</t>
        </is>
      </c>
      <c r="D18" s="67" t="n">
        <v>1</v>
      </c>
      <c r="E18" s="17" t="inlineStr">
        <is>
          <t>支</t>
        </is>
      </c>
      <c r="F18" s="18" t="n"/>
      <c r="G18" s="18" t="n">
        <v>0</v>
      </c>
      <c r="H18" s="20">
        <f>SUMIFS(領用表!$L:$L,領用表!$E:$E,$B18,領用表!$B:$B,H$2&amp;$P$1)</f>
        <v/>
      </c>
      <c r="I18" s="20">
        <f>SUMIFS(領用表!$L:$L,領用表!$E:$E,$B18,領用表!$B:$B,I$2&amp;$P$1)</f>
        <v/>
      </c>
      <c r="J18" s="20">
        <f>SUMIFS(領用表!$L:$L,領用表!$E:$E,$B18,領用表!$B:$B,J$2&amp;$P$1)</f>
        <v/>
      </c>
      <c r="K18" s="142">
        <f>SUMIFS(領用表!$L:$L,領用表!$E:$E,$B18,領用表!$B:$B,K$2&amp;$P$1)</f>
        <v/>
      </c>
      <c r="L18" s="142">
        <f>SUMIFS(領用表!$L:$L,領用表!$E:$E,$B18,領用表!$B:$B,L$2&amp;$P$1)</f>
        <v/>
      </c>
      <c r="M18" s="142">
        <f>SUMIFS(領用表!$L:$L,領用表!$E:$E,$B18,領用表!$B:$B,M$2&amp;$P$1)</f>
        <v/>
      </c>
      <c r="N18" s="23">
        <f>SUM(,H18,I18,J18,K18,L18,M18)</f>
        <v/>
      </c>
      <c r="O18" s="23">
        <f>AVERAGE(,H18,I18,J18,K18,L18,M18)</f>
        <v/>
      </c>
      <c r="P18" s="142">
        <f>SUMIFS(領用表!$L:$L,領用表!$E:$E,$B18,領用表!$B:$B,P$2&amp;$P$1)</f>
        <v/>
      </c>
      <c r="Q18" s="142">
        <f>SUMIFS(領用表!$L:$L,領用表!$E:$E,$B18,領用表!$B:$B,Q$2&amp;$P$1)</f>
        <v/>
      </c>
      <c r="R18" s="142">
        <f>SUMIFS(領用表!$L:$L,領用表!$E:$E,$B18,領用表!$B:$B,R$2&amp;$P$1)</f>
        <v/>
      </c>
      <c r="S18" s="142">
        <f>SUMIFS(領用表!$L:$L,領用表!$E:$E,$B18,領用表!$B:$B,S$2&amp;$P$1)</f>
        <v/>
      </c>
      <c r="T18" s="142">
        <f>SUMIFS(領用表!$L:$L,領用表!$E:$E,$B18,領用表!$B:$B,T$2&amp;$P$1)</f>
        <v/>
      </c>
      <c r="U18" s="142" t="n">
        <v>1</v>
      </c>
      <c r="V18" s="142">
        <f>SUMIFS(領用表!$L:$L,領用表!$E:$E,$B18,領用表!$B:$B,V$2&amp;$P$1)</f>
        <v/>
      </c>
      <c r="W18" s="142">
        <f>SUMIFS(領用表!$L:$L,領用表!$E:$E,$B18,領用表!$B:$B,W$2&amp;$P$1)</f>
        <v/>
      </c>
      <c r="X18" s="142">
        <f>SUMIFS(領用表!$L:$L,領用表!$E:$E,$B18,領用表!$B:$B,X$2&amp;$P$1)</f>
        <v/>
      </c>
      <c r="Y18" s="142">
        <f>SUMIFS(領用表!$L:$L,領用表!$E:$E,$B18,領用表!$B:$B,Y$2&amp;$P$1)</f>
        <v/>
      </c>
      <c r="Z18" s="142">
        <f>SUMIFS(領用表!$L:$L,領用表!$E:$E,$B18,領用表!$B:$B,Z$2&amp;$P$1)</f>
        <v/>
      </c>
      <c r="AA18" s="142">
        <f>SUMIFS(領用表!$L:$L,領用表!$E:$E,$B18,領用表!$B:$B,AA$2&amp;$P$1)</f>
        <v/>
      </c>
      <c r="AB18" s="142">
        <f>SUM(P18,Q18,R18,S18,T18,U18)</f>
        <v/>
      </c>
      <c r="AC18" s="142">
        <f>AVERAGE(P18,Q18,R18,S18,T18,U18)</f>
        <v/>
      </c>
      <c r="AD18" s="142">
        <f>SUMIF(Summary!B:B,B18,Summary!EC:EC)</f>
        <v/>
      </c>
      <c r="AE18" s="108" t="n"/>
      <c r="AF18" s="65" t="n"/>
      <c r="AG18" s="54" t="n"/>
      <c r="AH18" s="54" t="inlineStr">
        <is>
          <t>缺貨</t>
        </is>
      </c>
      <c r="AI18" s="27" t="n"/>
      <c r="AJ18" s="69" t="n"/>
      <c r="AK18" s="14" t="n"/>
      <c r="AL18" s="29" t="n"/>
    </row>
    <row r="19" ht="15.75" customHeight="1" s="453">
      <c r="A19" s="27" t="n"/>
      <c r="B19" s="14" t="n">
        <v>6200022</v>
      </c>
      <c r="C19" s="429" t="inlineStr">
        <is>
          <t>綠寶石點數</t>
        </is>
      </c>
      <c r="D19" s="67" t="n"/>
      <c r="E19" s="17" t="n"/>
      <c r="F19" s="18" t="n"/>
      <c r="G19" s="18">
        <f>1923</f>
        <v/>
      </c>
      <c r="H19" s="20" t="n"/>
      <c r="I19" s="20" t="n"/>
      <c r="J19" s="20" t="n"/>
      <c r="K19" s="142" t="n"/>
      <c r="L19" s="142" t="n"/>
      <c r="M19" s="142" t="n"/>
      <c r="N19" s="23" t="n"/>
      <c r="O19" s="23" t="n"/>
      <c r="P19" s="142">
        <f>SUMIFS(領用表!$L:$L,領用表!$E:$E,$B19,領用表!$B:$B,P$2&amp;$P$1)</f>
        <v/>
      </c>
      <c r="Q19" s="142">
        <f>SUMIFS(領用表!$L:$L,領用表!$E:$E,$B19,領用表!$B:$B,Q$2&amp;$P$1)</f>
        <v/>
      </c>
      <c r="R19" s="142">
        <f>SUMIFS(領用表!$L:$L,領用表!$E:$E,$B19,領用表!$B:$B,R$2&amp;$P$1)</f>
        <v/>
      </c>
      <c r="S19" s="142">
        <f>SUMIFS(領用表!$L:$L,領用表!$E:$E,$B19,領用表!$B:$B,S$2&amp;$P$1)</f>
        <v/>
      </c>
      <c r="T19" s="142">
        <f>SUMIFS(領用表!$L:$L,領用表!$E:$E,$B19,領用表!$B:$B,T$2&amp;$P$1)</f>
        <v/>
      </c>
      <c r="U19" s="142" t="n">
        <v>20</v>
      </c>
      <c r="V19" s="142" t="n"/>
      <c r="W19" s="142" t="n"/>
      <c r="X19" s="142" t="n"/>
      <c r="Y19" s="142" t="n"/>
      <c r="Z19" s="142" t="n"/>
      <c r="AA19" s="142" t="n"/>
      <c r="AB19" s="142">
        <f>SUM(P19,Q19,R19,S19,T19,U19)</f>
        <v/>
      </c>
      <c r="AC19" s="142">
        <f>AVERAGE(P19,Q19,R19,S19,T19,U19)</f>
        <v/>
      </c>
      <c r="AD19" s="142">
        <f>SUMIF(Summary!B:B,B19,Summary!EC:EC)</f>
        <v/>
      </c>
      <c r="AE19" s="108" t="n"/>
      <c r="AF19" s="65" t="n"/>
      <c r="AG19" s="54" t="n"/>
      <c r="AH19" s="54" t="n"/>
      <c r="AI19" s="27" t="n"/>
      <c r="AJ19" s="69" t="n"/>
      <c r="AK19" s="14" t="n"/>
      <c r="AL19" s="29" t="n"/>
    </row>
    <row r="20" ht="15.75" customHeight="1" s="453">
      <c r="A20" s="27" t="n"/>
      <c r="B20" s="14" t="n">
        <v>6190007</v>
      </c>
      <c r="C20" s="429" t="inlineStr">
        <is>
          <t>血液淨化耗材</t>
        </is>
      </c>
      <c r="D20" s="67" t="n"/>
      <c r="E20" s="17" t="n"/>
      <c r="F20" s="18" t="n"/>
      <c r="G20" s="18" t="n">
        <v>1</v>
      </c>
      <c r="H20" s="20" t="n"/>
      <c r="I20" s="20" t="n"/>
      <c r="J20" s="20" t="n"/>
      <c r="K20" s="142" t="n"/>
      <c r="L20" s="142" t="n"/>
      <c r="M20" s="142" t="n"/>
      <c r="N20" s="23" t="n"/>
      <c r="O20" s="23" t="n"/>
      <c r="P20" s="142">
        <f>SUMIFS(領用表!$L:$L,領用表!$E:$E,$B20,領用表!$B:$B,P$2&amp;$P$1)</f>
        <v/>
      </c>
      <c r="Q20" s="142">
        <f>SUMIFS(領用表!$L:$L,領用表!$E:$E,$B20,領用表!$B:$B,Q$2&amp;$P$1)</f>
        <v/>
      </c>
      <c r="R20" s="142">
        <f>SUMIFS(領用表!$L:$L,領用表!$E:$E,$B20,領用表!$B:$B,R$2&amp;$P$1)</f>
        <v/>
      </c>
      <c r="S20" s="142">
        <f>SUMIFS(領用表!$L:$L,領用表!$E:$E,$B20,領用表!$B:$B,S$2&amp;$P$1)</f>
        <v/>
      </c>
      <c r="T20" s="142">
        <f>SUMIFS(領用表!$L:$L,領用表!$E:$E,$B20,領用表!$B:$B,T$2&amp;$P$1)</f>
        <v/>
      </c>
      <c r="U20" s="142" t="n"/>
      <c r="V20" s="142" t="n"/>
      <c r="W20" s="142" t="n"/>
      <c r="X20" s="142" t="n"/>
      <c r="Y20" s="142" t="n"/>
      <c r="Z20" s="142" t="n"/>
      <c r="AA20" s="142" t="n"/>
      <c r="AB20" s="142">
        <f>SUM(P20,Q20,R20,S20,T20,U20)</f>
        <v/>
      </c>
      <c r="AC20" s="142">
        <f>AVERAGE(P20,Q20,R20,S20,T20,U20)</f>
        <v/>
      </c>
      <c r="AD20" s="142">
        <f>SUMIF(Summary!B:B,B20,Summary!EC:EC)</f>
        <v/>
      </c>
      <c r="AE20" s="108" t="n"/>
      <c r="AF20" s="65" t="n"/>
      <c r="AG20" s="54" t="n"/>
      <c r="AH20" s="54" t="n"/>
      <c r="AI20" s="27" t="n"/>
      <c r="AJ20" s="69" t="n"/>
      <c r="AK20" s="14" t="n"/>
      <c r="AL20" s="29" t="n"/>
    </row>
    <row r="21" ht="15.75" customHeight="1" s="453">
      <c r="A21" s="27" t="inlineStr">
        <is>
          <t>MB3ME090001A</t>
        </is>
      </c>
      <c r="B21" s="14" t="n">
        <v>6120001</v>
      </c>
      <c r="C21" s="118" t="inlineStr">
        <is>
          <t>肝得健(20入)</t>
        </is>
      </c>
      <c r="D21" s="67" t="n">
        <v>20</v>
      </c>
      <c r="E21" s="17" t="inlineStr">
        <is>
          <t>PCS</t>
        </is>
      </c>
      <c r="F21" s="18" t="n"/>
      <c r="G21" s="18">
        <f>1230+204</f>
        <v/>
      </c>
      <c r="H21" s="20">
        <f>SUMIFS(領用表!$L:$L,領用表!$E:$E,$B21,領用表!$B:$B,H$2&amp;$P$1)</f>
        <v/>
      </c>
      <c r="I21" s="20">
        <f>SUMIFS(領用表!$L:$L,領用表!$E:$E,$B21,領用表!$B:$B,I$2&amp;$P$1)</f>
        <v/>
      </c>
      <c r="J21" s="20">
        <f>SUMIFS(領用表!$L:$L,領用表!$E:$E,$B21,領用表!$B:$B,J$2&amp;$P$1)</f>
        <v/>
      </c>
      <c r="K21" s="142">
        <f>SUMIFS(領用表!$L:$L,領用表!$E:$E,$B21,領用表!$B:$B,K$2&amp;$P$1)</f>
        <v/>
      </c>
      <c r="L21" s="142">
        <f>SUMIFS(領用表!$L:$L,領用表!$E:$E,$B21,領用表!$B:$B,L$2&amp;$P$1)</f>
        <v/>
      </c>
      <c r="M21" s="142">
        <f>SUMIFS(領用表!$L:$L,領用表!$E:$E,$B21,領用表!$B:$B,M$2&amp;$P$1)</f>
        <v/>
      </c>
      <c r="N21" s="23">
        <f>SUM(,H21,I21,J21,K21,L21,M21)</f>
        <v/>
      </c>
      <c r="O21" s="23">
        <f>AVERAGE(,H21,I21,J21,K21,L21,M21)</f>
        <v/>
      </c>
      <c r="P21" s="142">
        <f>SUMIFS(領用表!$L:$L,領用表!$E:$E,$B21,領用表!$B:$B,P$2&amp;$P$1)</f>
        <v/>
      </c>
      <c r="Q21" s="142">
        <f>SUMIFS(領用表!$L:$L,領用表!$E:$E,$B21,領用表!$B:$B,Q$2&amp;$P$1)</f>
        <v/>
      </c>
      <c r="R21" s="142">
        <f>SUMIFS(領用表!$L:$L,領用表!$E:$E,$B21,領用表!$B:$B,R$2&amp;$P$1)</f>
        <v/>
      </c>
      <c r="S21" s="142">
        <f>SUMIFS(領用表!$L:$L,領用表!$E:$E,$B21,領用表!$B:$B,S$2&amp;$P$1)</f>
        <v/>
      </c>
      <c r="T21" s="142">
        <f>SUMIFS(領用表!$L:$L,領用表!$E:$E,$B21,領用表!$B:$B,T$2&amp;$P$1)</f>
        <v/>
      </c>
      <c r="U21" s="142" t="n">
        <v>685</v>
      </c>
      <c r="V21" s="142">
        <f>SUMIFS(領用表!$L:$L,領用表!$E:$E,$B21,領用表!$B:$B,V$2&amp;$P$1)</f>
        <v/>
      </c>
      <c r="W21" s="142">
        <f>SUMIFS(領用表!$L:$L,領用表!$E:$E,$B21,領用表!$B:$B,W$2&amp;$P$1)</f>
        <v/>
      </c>
      <c r="X21" s="142">
        <f>SUMIFS(領用表!$L:$L,領用表!$E:$E,$B21,領用表!$B:$B,X$2&amp;$P$1)</f>
        <v/>
      </c>
      <c r="Y21" s="142">
        <f>SUMIFS(領用表!$L:$L,領用表!$E:$E,$B21,領用表!$B:$B,Y$2&amp;$P$1)</f>
        <v/>
      </c>
      <c r="Z21" s="142">
        <f>SUMIFS(領用表!$L:$L,領用表!$E:$E,$B21,領用表!$B:$B,Z$2&amp;$P$1)</f>
        <v/>
      </c>
      <c r="AA21" s="142">
        <f>SUMIFS(領用表!$L:$L,領用表!$E:$E,$B21,領用表!$B:$B,AA$2&amp;$P$1)</f>
        <v/>
      </c>
      <c r="AB21" s="142">
        <f>SUM(P21,Q21,R21,S21,T21,U21)</f>
        <v/>
      </c>
      <c r="AC21" s="142">
        <f>AVERAGE(P21,Q21,R21,S21,T21,U21)</f>
        <v/>
      </c>
      <c r="AD21" s="142">
        <f>SUMIF(Summary!B:B,B21,Summary!EC:EC)</f>
        <v/>
      </c>
      <c r="AE21" s="108" t="n"/>
      <c r="AF21" s="65" t="n"/>
      <c r="AG21" s="65" t="inlineStr">
        <is>
          <t>440-10/22</t>
        </is>
      </c>
      <c r="AH21" s="65" t="inlineStr">
        <is>
          <t>220-10/22</t>
        </is>
      </c>
      <c r="AI21" s="27" t="n"/>
      <c r="AJ21" s="69" t="n"/>
      <c r="AK21" s="14" t="n"/>
      <c r="AL21" s="29" t="n"/>
    </row>
    <row r="22" ht="15.75" customHeight="1" s="453">
      <c r="A22" s="27" t="inlineStr">
        <is>
          <t>MB3ME090002A</t>
        </is>
      </c>
      <c r="B22" s="14" t="n">
        <v>6120002</v>
      </c>
      <c r="C22" s="118" t="inlineStr">
        <is>
          <t>卡尼丁(20入)</t>
        </is>
      </c>
      <c r="D22" s="67" t="n">
        <v>20</v>
      </c>
      <c r="E22" s="17" t="inlineStr">
        <is>
          <t>PCS</t>
        </is>
      </c>
      <c r="F22" s="18" t="n"/>
      <c r="G22" s="18">
        <f>105+988</f>
        <v/>
      </c>
      <c r="H22" s="20">
        <f>SUMIFS(領用表!$L:$L,領用表!$E:$E,$B22,領用表!$B:$B,H$2&amp;$P$1)</f>
        <v/>
      </c>
      <c r="I22" s="20">
        <f>SUMIFS(領用表!$L:$L,領用表!$E:$E,$B22,領用表!$B:$B,I$2&amp;$P$1)</f>
        <v/>
      </c>
      <c r="J22" s="20">
        <f>SUMIFS(領用表!$L:$L,領用表!$E:$E,$B22,領用表!$B:$B,J$2&amp;$P$1)</f>
        <v/>
      </c>
      <c r="K22" s="142">
        <f>SUMIFS(領用表!$L:$L,領用表!$E:$E,$B22,領用表!$B:$B,K$2&amp;$P$1)</f>
        <v/>
      </c>
      <c r="L22" s="142">
        <f>SUMIFS(領用表!$L:$L,領用表!$E:$E,$B22,領用表!$B:$B,L$2&amp;$P$1)</f>
        <v/>
      </c>
      <c r="M22" s="142">
        <f>SUMIFS(領用表!$L:$L,領用表!$E:$E,$B22,領用表!$B:$B,M$2&amp;$P$1)</f>
        <v/>
      </c>
      <c r="N22" s="23">
        <f>SUM(,H22,I22,J22,K22,L22,M22)</f>
        <v/>
      </c>
      <c r="O22" s="23">
        <f>AVERAGE(,H22,I22,J22,K22,L22,M22)</f>
        <v/>
      </c>
      <c r="P22" s="142">
        <f>SUMIFS(領用表!$L:$L,領用表!$E:$E,$B22,領用表!$B:$B,P$2&amp;$P$1)</f>
        <v/>
      </c>
      <c r="Q22" s="142">
        <f>SUMIFS(領用表!$L:$L,領用表!$E:$E,$B22,領用表!$B:$B,Q$2&amp;$P$1)</f>
        <v/>
      </c>
      <c r="R22" s="142">
        <f>SUMIFS(領用表!$L:$L,領用表!$E:$E,$B22,領用表!$B:$B,R$2&amp;$P$1)</f>
        <v/>
      </c>
      <c r="S22" s="142">
        <f>SUMIFS(領用表!$L:$L,領用表!$E:$E,$B22,領用表!$B:$B,S$2&amp;$P$1)</f>
        <v/>
      </c>
      <c r="T22" s="142">
        <f>SUMIFS(領用表!$L:$L,領用表!$E:$E,$B22,領用表!$B:$B,T$2&amp;$P$1)</f>
        <v/>
      </c>
      <c r="U22" s="142" t="n">
        <v>731.5</v>
      </c>
      <c r="V22" s="142">
        <f>SUMIFS(領用表!$L:$L,領用表!$E:$E,$B22,領用表!$B:$B,V$2&amp;$P$1)</f>
        <v/>
      </c>
      <c r="W22" s="142">
        <f>SUMIFS(領用表!$L:$L,領用表!$E:$E,$B22,領用表!$B:$B,W$2&amp;$P$1)</f>
        <v/>
      </c>
      <c r="X22" s="142">
        <f>SUMIFS(領用表!$L:$L,領用表!$E:$E,$B22,領用表!$B:$B,X$2&amp;$P$1)</f>
        <v/>
      </c>
      <c r="Y22" s="142">
        <f>SUMIFS(領用表!$L:$L,領用表!$E:$E,$B22,領用表!$B:$B,Y$2&amp;$P$1)</f>
        <v/>
      </c>
      <c r="Z22" s="142">
        <f>SUMIFS(領用表!$L:$L,領用表!$E:$E,$B22,領用表!$B:$B,Z$2&amp;$P$1)</f>
        <v/>
      </c>
      <c r="AA22" s="142">
        <f>SUMIFS(領用表!$L:$L,領用表!$E:$E,$B22,領用表!$B:$B,AA$2&amp;$P$1)</f>
        <v/>
      </c>
      <c r="AB22" s="142">
        <f>SUM(P22,Q22,R22,S22,T22,U22)</f>
        <v/>
      </c>
      <c r="AC22" s="142">
        <f>AVERAGE(P22,Q22,R22,S22,T22,U22)</f>
        <v/>
      </c>
      <c r="AD22" s="142">
        <f>SUMIF(Summary!B:B,B22,Summary!EC:EC)</f>
        <v/>
      </c>
      <c r="AE22" s="108" t="n"/>
      <c r="AF22" s="65" t="n"/>
      <c r="AG22" s="65" t="inlineStr">
        <is>
          <t>440-10/22</t>
        </is>
      </c>
      <c r="AH22" s="65" t="inlineStr">
        <is>
          <t>660-10/22</t>
        </is>
      </c>
      <c r="AI22" s="27" t="n"/>
      <c r="AJ22" s="69" t="n"/>
      <c r="AK22" s="14" t="n"/>
      <c r="AL22" s="29" t="n"/>
    </row>
    <row r="23" ht="15.75" customHeight="1" s="453">
      <c r="A23" s="27" t="inlineStr">
        <is>
          <t>MB3ME090003A</t>
        </is>
      </c>
      <c r="B23" s="14" t="n">
        <v>6120003</v>
      </c>
      <c r="C23" s="14" t="inlineStr">
        <is>
          <t>貝力多(雙胜胺) 20% 30mL/ 瓶</t>
        </is>
      </c>
      <c r="D23" s="67" t="n">
        <v>10</v>
      </c>
      <c r="E23" s="17" t="inlineStr">
        <is>
          <t>PCS</t>
        </is>
      </c>
      <c r="F23" s="18" t="n"/>
      <c r="G23" s="18" t="n">
        <v>26</v>
      </c>
      <c r="H23" s="20">
        <f>SUMIFS(領用表!$L:$L,領用表!$E:$E,$B23,領用表!$B:$B,H$2&amp;$P$1)</f>
        <v/>
      </c>
      <c r="I23" s="20">
        <f>SUMIFS(領用表!$L:$L,領用表!$E:$E,$B23,領用表!$B:$B,I$2&amp;$P$1)</f>
        <v/>
      </c>
      <c r="J23" s="20">
        <f>SUMIFS(領用表!$L:$L,領用表!$E:$E,$B23,領用表!$B:$B,J$2&amp;$P$1)</f>
        <v/>
      </c>
      <c r="K23" s="142">
        <f>SUMIFS(領用表!$L:$L,領用表!$E:$E,$B23,領用表!$B:$B,K$2&amp;$P$1)</f>
        <v/>
      </c>
      <c r="L23" s="142">
        <f>SUMIFS(領用表!$L:$L,領用表!$E:$E,$B23,領用表!$B:$B,L$2&amp;$P$1)</f>
        <v/>
      </c>
      <c r="M23" s="142">
        <f>SUMIFS(領用表!$L:$L,領用表!$E:$E,$B23,領用表!$B:$B,M$2&amp;$P$1)</f>
        <v/>
      </c>
      <c r="N23" s="23">
        <f>SUM(,H23,I23,J23,K23,L23,M23)</f>
        <v/>
      </c>
      <c r="O23" s="23">
        <f>AVERAGE(,H23,I23,J23,K23,L23,M23)</f>
        <v/>
      </c>
      <c r="P23" s="142">
        <f>SUMIFS(領用表!$L:$L,領用表!$E:$E,$B23,領用表!$B:$B,P$2&amp;$P$1)</f>
        <v/>
      </c>
      <c r="Q23" s="142">
        <f>SUMIFS(領用表!$L:$L,領用表!$E:$E,$B23,領用表!$B:$B,Q$2&amp;$P$1)</f>
        <v/>
      </c>
      <c r="R23" s="142">
        <f>SUMIFS(領用表!$L:$L,領用表!$E:$E,$B23,領用表!$B:$B,R$2&amp;$P$1)</f>
        <v/>
      </c>
      <c r="S23" s="142">
        <f>SUMIFS(領用表!$L:$L,領用表!$E:$E,$B23,領用表!$B:$B,S$2&amp;$P$1)</f>
        <v/>
      </c>
      <c r="T23" s="142">
        <f>SUMIFS(領用表!$L:$L,領用表!$E:$E,$B23,領用表!$B:$B,T$2&amp;$P$1)</f>
        <v/>
      </c>
      <c r="U23" s="142" t="n"/>
      <c r="V23" s="142">
        <f>SUMIFS(領用表!$L:$L,領用表!$E:$E,$B23,領用表!$B:$B,V$2&amp;$P$1)</f>
        <v/>
      </c>
      <c r="W23" s="142">
        <f>SUMIFS(領用表!$L:$L,領用表!$E:$E,$B23,領用表!$B:$B,W$2&amp;$P$1)</f>
        <v/>
      </c>
      <c r="X23" s="142">
        <f>SUMIFS(領用表!$L:$L,領用表!$E:$E,$B23,領用表!$B:$B,X$2&amp;$P$1)</f>
        <v/>
      </c>
      <c r="Y23" s="142">
        <f>SUMIFS(領用表!$L:$L,領用表!$E:$E,$B23,領用表!$B:$B,Y$2&amp;$P$1)</f>
        <v/>
      </c>
      <c r="Z23" s="142">
        <f>SUMIFS(領用表!$L:$L,領用表!$E:$E,$B23,領用表!$B:$B,Z$2&amp;$P$1)</f>
        <v/>
      </c>
      <c r="AA23" s="142">
        <f>SUMIFS(領用表!$L:$L,領用表!$E:$E,$B23,領用表!$B:$B,AA$2&amp;$P$1)</f>
        <v/>
      </c>
      <c r="AB23" s="142">
        <f>SUM(P23,Q23,R23,S23,T23,U23)</f>
        <v/>
      </c>
      <c r="AC23" s="142">
        <f>AVERAGE(P23,Q23,R23,S23,T23,U23)</f>
        <v/>
      </c>
      <c r="AD23" s="142">
        <f>SUMIF(Summary!B:B,B23,Summary!EC:EC)</f>
        <v/>
      </c>
      <c r="AE23" s="108" t="n"/>
      <c r="AF23" s="65" t="n"/>
      <c r="AG23" s="65" t="n"/>
      <c r="AH23" s="65" t="n"/>
      <c r="AI23" s="27" t="n"/>
      <c r="AJ23" s="69" t="n"/>
      <c r="AK23" s="14" t="n"/>
      <c r="AL23" s="29" t="n"/>
    </row>
    <row r="24" ht="15.75" customHeight="1" s="453">
      <c r="A24" s="27" t="inlineStr">
        <is>
          <t>MB3ME090037A</t>
        </is>
      </c>
      <c r="B24" s="14" t="n">
        <v>6120036</v>
      </c>
      <c r="C24" s="14" t="inlineStr">
        <is>
          <t>貝力多(雙胜胺) 20% 50mL/ 瓶</t>
        </is>
      </c>
      <c r="D24" s="67" t="n">
        <v>10</v>
      </c>
      <c r="E24" s="17" t="inlineStr">
        <is>
          <t>PCS</t>
        </is>
      </c>
      <c r="F24" s="18" t="n"/>
      <c r="G24" s="18" t="n">
        <v>53</v>
      </c>
      <c r="H24" s="20">
        <f>SUMIFS(領用表!$L:$L,領用表!$E:$E,$B24,領用表!$B:$B,H$2&amp;$P$1)</f>
        <v/>
      </c>
      <c r="I24" s="20">
        <f>SUMIFS(領用表!$L:$L,領用表!$E:$E,$B24,領用表!$B:$B,I$2&amp;$P$1)</f>
        <v/>
      </c>
      <c r="J24" s="20">
        <f>SUMIFS(領用表!$L:$L,領用表!$E:$E,$B24,領用表!$B:$B,J$2&amp;$P$1)</f>
        <v/>
      </c>
      <c r="K24" s="142">
        <f>SUMIFS(領用表!$L:$L,領用表!$E:$E,$B24,領用表!$B:$B,K$2&amp;$P$1)</f>
        <v/>
      </c>
      <c r="L24" s="142">
        <f>SUMIFS(領用表!$L:$L,領用表!$E:$E,$B24,領用表!$B:$B,L$2&amp;$P$1)</f>
        <v/>
      </c>
      <c r="M24" s="142">
        <f>SUMIFS(領用表!$L:$L,領用表!$E:$E,$B24,領用表!$B:$B,M$2&amp;$P$1)</f>
        <v/>
      </c>
      <c r="N24" s="23">
        <f>SUM(,H24,I24,J24,K24,L24,M24)</f>
        <v/>
      </c>
      <c r="O24" s="23">
        <f>AVERAGE(,H24,I24,J24,K24,L24,M24)</f>
        <v/>
      </c>
      <c r="P24" s="142">
        <f>SUMIFS(領用表!$L:$L,領用表!$E:$E,$B24,領用表!$B:$B,P$2&amp;$P$1)</f>
        <v/>
      </c>
      <c r="Q24" s="142">
        <f>SUMIFS(領用表!$L:$L,領用表!$E:$E,$B24,領用表!$B:$B,Q$2&amp;$P$1)</f>
        <v/>
      </c>
      <c r="R24" s="142">
        <f>SUMIFS(領用表!$L:$L,領用表!$E:$E,$B24,領用表!$B:$B,R$2&amp;$P$1)</f>
        <v/>
      </c>
      <c r="S24" s="142">
        <f>SUMIFS(領用表!$L:$L,領用表!$E:$E,$B24,領用表!$B:$B,S$2&amp;$P$1)</f>
        <v/>
      </c>
      <c r="T24" s="142">
        <f>SUMIFS(領用表!$L:$L,領用表!$E:$E,$B24,領用表!$B:$B,T$2&amp;$P$1)</f>
        <v/>
      </c>
      <c r="U24" s="142" t="n"/>
      <c r="V24" s="142">
        <f>SUMIFS(領用表!$L:$L,領用表!$E:$E,$B24,領用表!$B:$B,V$2&amp;$P$1)</f>
        <v/>
      </c>
      <c r="W24" s="142">
        <f>SUMIFS(領用表!$L:$L,領用表!$E:$E,$B24,領用表!$B:$B,W$2&amp;$P$1)</f>
        <v/>
      </c>
      <c r="X24" s="142">
        <f>SUMIFS(領用表!$L:$L,領用表!$E:$E,$B24,領用表!$B:$B,X$2&amp;$P$1)</f>
        <v/>
      </c>
      <c r="Y24" s="142">
        <f>SUMIFS(領用表!$L:$L,領用表!$E:$E,$B24,領用表!$B:$B,Y$2&amp;$P$1)</f>
        <v/>
      </c>
      <c r="Z24" s="142">
        <f>SUMIFS(領用表!$L:$L,領用表!$E:$E,$B24,領用表!$B:$B,Z$2&amp;$P$1)</f>
        <v/>
      </c>
      <c r="AA24" s="142">
        <f>SUMIFS(領用表!$L:$L,領用表!$E:$E,$B24,領用表!$B:$B,AA$2&amp;$P$1)</f>
        <v/>
      </c>
      <c r="AB24" s="142">
        <f>SUM(P24,Q24,R24,S24,T24,U24)</f>
        <v/>
      </c>
      <c r="AC24" s="142">
        <f>AVERAGE(P24,Q24,R24,S24,T24,U24)</f>
        <v/>
      </c>
      <c r="AD24" s="142">
        <f>SUMIF(Summary!B:B,B24,Summary!EC:EC)</f>
        <v/>
      </c>
      <c r="AE24" s="108" t="n"/>
      <c r="AF24" s="65" t="n"/>
      <c r="AG24" s="65" t="n"/>
      <c r="AH24" s="65" t="n"/>
      <c r="AI24" s="27" t="n"/>
      <c r="AJ24" s="69" t="n"/>
      <c r="AK24" s="14" t="n"/>
      <c r="AL24" s="29" t="n"/>
    </row>
    <row r="25" ht="15.75" customHeight="1" s="453">
      <c r="A25" s="27" t="inlineStr">
        <is>
          <t>MB3ME090004A</t>
        </is>
      </c>
      <c r="B25" s="14" t="n">
        <v>6200003</v>
      </c>
      <c r="C25" s="14" t="inlineStr">
        <is>
          <t>倍克脂</t>
        </is>
      </c>
      <c r="D25" s="75" t="n">
        <v>1</v>
      </c>
      <c r="E25" s="17" t="inlineStr">
        <is>
          <t>PCS</t>
        </is>
      </c>
      <c r="F25" s="18" t="n"/>
      <c r="G25" s="18" t="n"/>
      <c r="H25" s="20">
        <f>SUMIFS(領用表!$L:$L,領用表!$E:$E,$B25,領用表!$B:$B,H$2&amp;$P$1)</f>
        <v/>
      </c>
      <c r="I25" s="20">
        <f>SUMIFS(領用表!$L:$L,領用表!$E:$E,$B25,領用表!$B:$B,I$2&amp;$P$1)</f>
        <v/>
      </c>
      <c r="J25" s="20">
        <f>SUMIFS(領用表!$L:$L,領用表!$E:$E,$B25,領用表!$B:$B,J$2&amp;$P$1)</f>
        <v/>
      </c>
      <c r="K25" s="142">
        <f>SUMIFS(領用表!$L:$L,領用表!$E:$E,$B25,領用表!$B:$B,K$2&amp;$P$1)</f>
        <v/>
      </c>
      <c r="L25" s="142">
        <f>SUMIFS(領用表!$L:$L,領用表!$E:$E,$B25,領用表!$B:$B,L$2&amp;$P$1)</f>
        <v/>
      </c>
      <c r="M25" s="142">
        <f>SUMIFS(領用表!$L:$L,領用表!$E:$E,$B25,領用表!$B:$B,M$2&amp;$P$1)</f>
        <v/>
      </c>
      <c r="N25" s="23">
        <f>SUM(,H25,I25,J25,K25,L25,M25)</f>
        <v/>
      </c>
      <c r="O25" s="23">
        <f>AVERAGE(,H25,I25,J25,K25,L25,M25)</f>
        <v/>
      </c>
      <c r="P25" s="142">
        <f>SUMIFS(領用表!$L:$L,領用表!$E:$E,$B25,領用表!$B:$B,P$2&amp;$P$1)</f>
        <v/>
      </c>
      <c r="Q25" s="142">
        <f>SUMIFS(領用表!$L:$L,領用表!$E:$E,$B25,領用表!$B:$B,Q$2&amp;$P$1)</f>
        <v/>
      </c>
      <c r="R25" s="142">
        <f>SUMIFS(領用表!$L:$L,領用表!$E:$E,$B25,領用表!$B:$B,R$2&amp;$P$1)</f>
        <v/>
      </c>
      <c r="S25" s="142">
        <f>SUMIFS(領用表!$L:$L,領用表!$E:$E,$B25,領用表!$B:$B,S$2&amp;$P$1)</f>
        <v/>
      </c>
      <c r="T25" s="142">
        <f>SUMIFS(領用表!$L:$L,領用表!$E:$E,$B25,領用表!$B:$B,T$2&amp;$P$1)</f>
        <v/>
      </c>
      <c r="U25" s="142" t="n"/>
      <c r="V25" s="142">
        <f>SUMIFS(領用表!$L:$L,領用表!$E:$E,$B25,領用表!$B:$B,V$2&amp;$P$1)</f>
        <v/>
      </c>
      <c r="W25" s="142">
        <f>SUMIFS(領用表!$L:$L,領用表!$E:$E,$B25,領用表!$B:$B,W$2&amp;$P$1)</f>
        <v/>
      </c>
      <c r="X25" s="142">
        <f>SUMIFS(領用表!$L:$L,領用表!$E:$E,$B25,領用表!$B:$B,X$2&amp;$P$1)</f>
        <v/>
      </c>
      <c r="Y25" s="142">
        <f>SUMIFS(領用表!$L:$L,領用表!$E:$E,$B25,領用表!$B:$B,Y$2&amp;$P$1)</f>
        <v/>
      </c>
      <c r="Z25" s="142">
        <f>SUMIFS(領用表!$L:$L,領用表!$E:$E,$B25,領用表!$B:$B,Z$2&amp;$P$1)</f>
        <v/>
      </c>
      <c r="AA25" s="142">
        <f>SUMIFS(領用表!$L:$L,領用表!$E:$E,$B25,領用表!$B:$B,AA$2&amp;$P$1)</f>
        <v/>
      </c>
      <c r="AB25" s="142">
        <f>SUM(P25,Q25,R25,S25,T25,U25)</f>
        <v/>
      </c>
      <c r="AC25" s="142">
        <f>AVERAGE(P25,Q25,R25,S25,T25,U25)</f>
        <v/>
      </c>
      <c r="AD25" s="142">
        <f>SUMIF(Summary!B:B,B25,Summary!EC:EC)</f>
        <v/>
      </c>
      <c r="AE25" s="108" t="n"/>
      <c r="AF25" s="65" t="n"/>
      <c r="AG25" s="65" t="n"/>
      <c r="AH25" s="65" t="n"/>
      <c r="AI25" s="27" t="n"/>
      <c r="AJ25" s="69" t="n"/>
      <c r="AK25" s="14" t="n"/>
      <c r="AL25" s="29" t="n"/>
    </row>
    <row r="26" ht="15.75" customHeight="1" s="453">
      <c r="A26" s="27" t="inlineStr">
        <is>
          <t>MB3ME090005A</t>
        </is>
      </c>
      <c r="B26" s="14" t="n">
        <v>6200006</v>
      </c>
      <c r="C26" s="136" t="inlineStr">
        <is>
          <t>容脂</t>
        </is>
      </c>
      <c r="D26" s="75" t="n">
        <v>1</v>
      </c>
      <c r="E26" s="17" t="inlineStr">
        <is>
          <t>PCS</t>
        </is>
      </c>
      <c r="F26" s="18" t="n"/>
      <c r="G26" s="18" t="n"/>
      <c r="H26" s="20">
        <f>SUMIFS(領用表!$L:$L,領用表!$E:$E,$B26,領用表!$B:$B,H$2&amp;$P$1)</f>
        <v/>
      </c>
      <c r="I26" s="20">
        <f>SUMIFS(領用表!$L:$L,領用表!$E:$E,$B26,領用表!$B:$B,I$2&amp;$P$1)</f>
        <v/>
      </c>
      <c r="J26" s="20">
        <f>SUMIFS(領用表!$L:$L,領用表!$E:$E,$B26,領用表!$B:$B,J$2&amp;$P$1)</f>
        <v/>
      </c>
      <c r="K26" s="142">
        <f>SUMIFS(領用表!$L:$L,領用表!$E:$E,$B26,領用表!$B:$B,K$2&amp;$P$1)</f>
        <v/>
      </c>
      <c r="L26" s="142">
        <f>SUMIFS(領用表!$L:$L,領用表!$E:$E,$B26,領用表!$B:$B,L$2&amp;$P$1)</f>
        <v/>
      </c>
      <c r="M26" s="142">
        <f>SUMIFS(領用表!$L:$L,領用表!$E:$E,$B26,領用表!$B:$B,M$2&amp;$P$1)</f>
        <v/>
      </c>
      <c r="N26" s="23">
        <f>SUM(,H26,I26,J26,K26,L26,M26)</f>
        <v/>
      </c>
      <c r="O26" s="23">
        <f>AVERAGE(,H26,I26,J26,K26,L26,M26)</f>
        <v/>
      </c>
      <c r="P26" s="142">
        <f>SUMIFS(領用表!$L:$L,領用表!$E:$E,$B26,領用表!$B:$B,P$2&amp;$P$1)</f>
        <v/>
      </c>
      <c r="Q26" s="142">
        <f>SUMIFS(領用表!$L:$L,領用表!$E:$E,$B26,領用表!$B:$B,Q$2&amp;$P$1)</f>
        <v/>
      </c>
      <c r="R26" s="142">
        <f>SUMIFS(領用表!$L:$L,領用表!$E:$E,$B26,領用表!$B:$B,R$2&amp;$P$1)</f>
        <v/>
      </c>
      <c r="S26" s="142">
        <f>SUMIFS(領用表!$L:$L,領用表!$E:$E,$B26,領用表!$B:$B,S$2&amp;$P$1)</f>
        <v/>
      </c>
      <c r="T26" s="142">
        <f>SUMIFS(領用表!$L:$L,領用表!$E:$E,$B26,領用表!$B:$B,T$2&amp;$P$1)</f>
        <v/>
      </c>
      <c r="U26" s="142" t="n"/>
      <c r="V26" s="142">
        <f>SUMIFS(領用表!$L:$L,領用表!$E:$E,$B26,領用表!$B:$B,V$2&amp;$P$1)</f>
        <v/>
      </c>
      <c r="W26" s="142">
        <f>SUMIFS(領用表!$L:$L,領用表!$E:$E,$B26,領用表!$B:$B,W$2&amp;$P$1)</f>
        <v/>
      </c>
      <c r="X26" s="142">
        <f>SUMIFS(領用表!$L:$L,領用表!$E:$E,$B26,領用表!$B:$B,X$2&amp;$P$1)</f>
        <v/>
      </c>
      <c r="Y26" s="142">
        <f>SUMIFS(領用表!$L:$L,領用表!$E:$E,$B26,領用表!$B:$B,Y$2&amp;$P$1)</f>
        <v/>
      </c>
      <c r="Z26" s="142">
        <f>SUMIFS(領用表!$L:$L,領用表!$E:$E,$B26,領用表!$B:$B,Z$2&amp;$P$1)</f>
        <v/>
      </c>
      <c r="AA26" s="142">
        <f>SUMIFS(領用表!$L:$L,領用表!$E:$E,$B26,領用表!$B:$B,AA$2&amp;$P$1)</f>
        <v/>
      </c>
      <c r="AB26" s="142">
        <f>SUM(P26,Q26,R26,S26,T26,U26)</f>
        <v/>
      </c>
      <c r="AC26" s="142">
        <f>AVERAGE(P26,Q26,R26,S26,T26,U26)</f>
        <v/>
      </c>
      <c r="AD26" s="142">
        <f>SUMIF(Summary!B:B,B26,Summary!EC:EC)</f>
        <v/>
      </c>
      <c r="AE26" s="108" t="n"/>
      <c r="AF26" s="65" t="n"/>
      <c r="AG26" s="65" t="n"/>
      <c r="AH26" s="65" t="n"/>
      <c r="AI26" s="27" t="n"/>
      <c r="AJ26" s="27" t="n"/>
      <c r="AK26" s="14" t="n"/>
      <c r="AL26" s="29" t="n"/>
    </row>
    <row r="27" ht="15.75" customHeight="1" s="453">
      <c r="A27" s="27" t="n"/>
      <c r="B27" s="14" t="n">
        <v>6120004</v>
      </c>
      <c r="C27" s="135" t="inlineStr">
        <is>
          <t>安命活源 250ML</t>
        </is>
      </c>
      <c r="D27" s="75" t="n">
        <v>10</v>
      </c>
      <c r="E27" s="17" t="inlineStr">
        <is>
          <t>袋</t>
        </is>
      </c>
      <c r="F27" s="18" t="n"/>
      <c r="G27" s="18" t="n">
        <v>66</v>
      </c>
      <c r="H27" s="20">
        <f>SUMIFS(領用表!$L:$L,領用表!$E:$E,$B27,領用表!$B:$B,H$2&amp;$P$1)</f>
        <v/>
      </c>
      <c r="I27" s="20">
        <f>SUMIFS(領用表!$L:$L,領用表!$E:$E,$B27,領用表!$B:$B,I$2&amp;$P$1)</f>
        <v/>
      </c>
      <c r="J27" s="20">
        <f>SUMIFS(領用表!$L:$L,領用表!$E:$E,$B27,領用表!$B:$B,J$2&amp;$P$1)</f>
        <v/>
      </c>
      <c r="K27" s="142">
        <f>SUMIFS(領用表!$L:$L,領用表!$E:$E,$B27,領用表!$B:$B,K$2&amp;$P$1)</f>
        <v/>
      </c>
      <c r="L27" s="142">
        <f>SUMIFS(領用表!$L:$L,領用表!$E:$E,$B27,領用表!$B:$B,L$2&amp;$P$1)</f>
        <v/>
      </c>
      <c r="M27" s="142">
        <f>SUMIFS(領用表!$L:$L,領用表!$E:$E,$B27,領用表!$B:$B,M$2&amp;$P$1)</f>
        <v/>
      </c>
      <c r="N27" s="23">
        <f>SUM(,H27,I27,J27,K27,L27,M27)</f>
        <v/>
      </c>
      <c r="O27" s="23">
        <f>AVERAGE(,H27,I27,J27,K27,L27,M27)</f>
        <v/>
      </c>
      <c r="P27" s="142">
        <f>SUMIFS(領用表!$L:$L,領用表!$E:$E,$B27,領用表!$B:$B,P$2&amp;$P$1)</f>
        <v/>
      </c>
      <c r="Q27" s="142">
        <f>SUMIFS(領用表!$L:$L,領用表!$E:$E,$B27,領用表!$B:$B,Q$2&amp;$P$1)</f>
        <v/>
      </c>
      <c r="R27" s="142">
        <f>SUMIFS(領用表!$L:$L,領用表!$E:$E,$B27,領用表!$B:$B,R$2&amp;$P$1)</f>
        <v/>
      </c>
      <c r="S27" s="142">
        <f>SUMIFS(領用表!$L:$L,領用表!$E:$E,$B27,領用表!$B:$B,S$2&amp;$P$1)</f>
        <v/>
      </c>
      <c r="T27" s="142">
        <f>SUMIFS(領用表!$L:$L,領用表!$E:$E,$B27,領用表!$B:$B,T$2&amp;$P$1)</f>
        <v/>
      </c>
      <c r="U27" s="142" t="n">
        <v>4</v>
      </c>
      <c r="V27" s="142">
        <f>SUMIFS(領用表!$L:$L,領用表!$E:$E,$B27,領用表!$B:$B,V$2&amp;$P$1)</f>
        <v/>
      </c>
      <c r="W27" s="142">
        <f>SUMIFS(領用表!$L:$L,領用表!$E:$E,$B27,領用表!$B:$B,W$2&amp;$P$1)</f>
        <v/>
      </c>
      <c r="X27" s="142">
        <f>SUMIFS(領用表!$L:$L,領用表!$E:$E,$B27,領用表!$B:$B,X$2&amp;$P$1)</f>
        <v/>
      </c>
      <c r="Y27" s="142">
        <f>SUMIFS(領用表!$L:$L,領用表!$E:$E,$B27,領用表!$B:$B,Y$2&amp;$P$1)</f>
        <v/>
      </c>
      <c r="Z27" s="142">
        <f>SUMIFS(領用表!$L:$L,領用表!$E:$E,$B27,領用表!$B:$B,Z$2&amp;$P$1)</f>
        <v/>
      </c>
      <c r="AA27" s="142">
        <f>SUMIFS(領用表!$L:$L,領用表!$E:$E,$B27,領用表!$B:$B,AA$2&amp;$P$1)</f>
        <v/>
      </c>
      <c r="AB27" s="142">
        <f>SUM(P27,Q27,R27,S27,T27,U27)</f>
        <v/>
      </c>
      <c r="AC27" s="142">
        <f>AVERAGE(P27,Q27,R27,S27,T27,U27)</f>
        <v/>
      </c>
      <c r="AD27" s="142">
        <f>SUMIF(Summary!B:B,B27,Summary!EC:EC)</f>
        <v/>
      </c>
      <c r="AE27" s="108" t="n"/>
      <c r="AF27" s="65" t="n"/>
      <c r="AG27" s="65" t="n"/>
      <c r="AH27" s="65" t="n"/>
      <c r="AI27" s="27" t="n"/>
      <c r="AJ27" s="27" t="n"/>
      <c r="AK27" s="14" t="n"/>
      <c r="AL27" s="29" t="n"/>
    </row>
    <row r="28" ht="15.75" customHeight="1" s="453">
      <c r="A28" s="27" t="n"/>
      <c r="B28" s="27" t="n">
        <v>6120014</v>
      </c>
      <c r="C28" s="135" t="inlineStr">
        <is>
          <t xml:space="preserve">D5W 葡萄糖水 250ml </t>
        </is>
      </c>
      <c r="D28" s="75" t="n"/>
      <c r="E28" s="17" t="inlineStr">
        <is>
          <t>袋</t>
        </is>
      </c>
      <c r="F28" s="18" t="n"/>
      <c r="G28" s="18" t="n">
        <v>1650</v>
      </c>
      <c r="H28" s="20">
        <f>SUMIFS(領用表!$L:$L,領用表!$E:$E,$B28,領用表!$B:$B,H$2&amp;$P$1)</f>
        <v/>
      </c>
      <c r="I28" s="20">
        <f>SUMIFS(領用表!$L:$L,領用表!$E:$E,$B28,領用表!$B:$B,I$2&amp;$P$1)</f>
        <v/>
      </c>
      <c r="J28" s="20">
        <f>SUMIFS(領用表!$L:$L,領用表!$E:$E,$B28,領用表!$B:$B,J$2&amp;$P$1)</f>
        <v/>
      </c>
      <c r="K28" s="142">
        <f>SUMIFS(領用表!$L:$L,領用表!$E:$E,$B28,領用表!$B:$B,K$2&amp;$P$1)</f>
        <v/>
      </c>
      <c r="L28" s="142">
        <f>SUMIFS(領用表!$L:$L,領用表!$E:$E,$B28,領用表!$B:$B,L$2&amp;$P$1)</f>
        <v/>
      </c>
      <c r="M28" s="142">
        <f>SUMIFS(領用表!$L:$L,領用表!$E:$E,$B28,領用表!$B:$B,M$2&amp;$P$1)</f>
        <v/>
      </c>
      <c r="N28" s="23">
        <f>SUM(,H28,I28,J28,K28,L28,M28)</f>
        <v/>
      </c>
      <c r="O28" s="23">
        <f>AVERAGE(,H28,I28,J28,K28,L28,M28)</f>
        <v/>
      </c>
      <c r="P28" s="142">
        <f>SUMIFS(領用表!$L:$L,領用表!$E:$E,$B28,領用表!$B:$B,P$2&amp;$P$1)</f>
        <v/>
      </c>
      <c r="Q28" s="142">
        <f>SUMIFS(領用表!$L:$L,領用表!$E:$E,$B28,領用表!$B:$B,Q$2&amp;$P$1)</f>
        <v/>
      </c>
      <c r="R28" s="142">
        <f>SUMIFS(領用表!$L:$L,領用表!$E:$E,$B28,領用表!$B:$B,R$2&amp;$P$1)</f>
        <v/>
      </c>
      <c r="S28" s="142">
        <f>SUMIFS(領用表!$L:$L,領用表!$E:$E,$B28,領用表!$B:$B,S$2&amp;$P$1)</f>
        <v/>
      </c>
      <c r="T28" s="142">
        <f>SUMIFS(領用表!$L:$L,領用表!$E:$E,$B28,領用表!$B:$B,T$2&amp;$P$1)</f>
        <v/>
      </c>
      <c r="U28" s="142" t="n">
        <v>449</v>
      </c>
      <c r="V28" s="142">
        <f>SUMIFS(領用表!$L:$L,領用表!$E:$E,$B28,領用表!$B:$B,V$2&amp;$P$1)</f>
        <v/>
      </c>
      <c r="W28" s="142">
        <f>SUMIFS(領用表!$L:$L,領用表!$E:$E,$B28,領用表!$B:$B,W$2&amp;$P$1)</f>
        <v/>
      </c>
      <c r="X28" s="142">
        <f>SUMIFS(領用表!$L:$L,領用表!$E:$E,$B28,領用表!$B:$B,X$2&amp;$P$1)</f>
        <v/>
      </c>
      <c r="Y28" s="142">
        <f>SUMIFS(領用表!$L:$L,領用表!$E:$E,$B28,領用表!$B:$B,Y$2&amp;$P$1)</f>
        <v/>
      </c>
      <c r="Z28" s="142">
        <f>SUMIFS(領用表!$L:$L,領用表!$E:$E,$B28,領用表!$B:$B,Z$2&amp;$P$1)</f>
        <v/>
      </c>
      <c r="AA28" s="142">
        <f>SUMIFS(領用表!$L:$L,領用表!$E:$E,$B28,領用表!$B:$B,AA$2&amp;$P$1)</f>
        <v/>
      </c>
      <c r="AB28" s="142">
        <f>SUM(P28,Q28,R28,S28,T28,U28)</f>
        <v/>
      </c>
      <c r="AC28" s="142">
        <f>AVERAGE(P28,Q28,R28,S28,T28,U28)</f>
        <v/>
      </c>
      <c r="AD28" s="142">
        <f>SUMIF(Summary!B:B,B28,Summary!EC:EC)</f>
        <v/>
      </c>
      <c r="AE28" s="108" t="n"/>
      <c r="AF28" s="65" t="n"/>
      <c r="AG28" s="65" t="n"/>
      <c r="AH28" s="65" t="n"/>
      <c r="AI28" s="27" t="n"/>
      <c r="AJ28" s="27" t="n"/>
      <c r="AK28" s="14" t="n"/>
      <c r="AL28" s="29" t="n"/>
    </row>
    <row r="29" ht="15.75" customHeight="1" s="453">
      <c r="A29" s="27" t="n"/>
      <c r="B29" s="27" t="n">
        <v>6120013</v>
      </c>
      <c r="C29" s="135" t="inlineStr">
        <is>
          <t>NS生理食鹽水 250ML</t>
        </is>
      </c>
      <c r="D29" s="75" t="n"/>
      <c r="E29" s="17" t="inlineStr">
        <is>
          <t>袋</t>
        </is>
      </c>
      <c r="F29" s="18" t="n"/>
      <c r="G29" s="18" t="n">
        <v>1117</v>
      </c>
      <c r="H29" s="20">
        <f>SUMIFS(領用表!$L:$L,領用表!$E:$E,$B29,領用表!$B:$B,H$2&amp;$P$1)</f>
        <v/>
      </c>
      <c r="I29" s="20">
        <f>SUMIFS(領用表!$L:$L,領用表!$E:$E,$B29,領用表!$B:$B,I$2&amp;$P$1)</f>
        <v/>
      </c>
      <c r="J29" s="20">
        <f>SUMIFS(領用表!$L:$L,領用表!$E:$E,$B29,領用表!$B:$B,J$2&amp;$P$1)</f>
        <v/>
      </c>
      <c r="K29" s="142">
        <f>SUMIFS(領用表!$L:$L,領用表!$E:$E,$B29,領用表!$B:$B,K$2&amp;$P$1)</f>
        <v/>
      </c>
      <c r="L29" s="142">
        <f>SUMIFS(領用表!$L:$L,領用表!$E:$E,$B29,領用表!$B:$B,L$2&amp;$P$1)</f>
        <v/>
      </c>
      <c r="M29" s="142">
        <f>SUMIFS(領用表!$L:$L,領用表!$E:$E,$B29,領用表!$B:$B,M$2&amp;$P$1)</f>
        <v/>
      </c>
      <c r="N29" s="23">
        <f>SUM(,H29,I29,J29,K29,L29,M29)</f>
        <v/>
      </c>
      <c r="O29" s="23">
        <f>AVERAGE(,H29,I29,J29,K29,L29,M29)</f>
        <v/>
      </c>
      <c r="P29" s="142">
        <f>SUMIFS(領用表!$L:$L,領用表!$E:$E,$B29,領用表!$B:$B,P$2&amp;$P$1)</f>
        <v/>
      </c>
      <c r="Q29" s="142">
        <f>SUMIFS(領用表!$L:$L,領用表!$E:$E,$B29,領用表!$B:$B,Q$2&amp;$P$1)</f>
        <v/>
      </c>
      <c r="R29" s="142">
        <f>SUMIFS(領用表!$L:$L,領用表!$E:$E,$B29,領用表!$B:$B,R$2&amp;$P$1)</f>
        <v/>
      </c>
      <c r="S29" s="142">
        <f>SUMIFS(領用表!$L:$L,領用表!$E:$E,$B29,領用表!$B:$B,S$2&amp;$P$1)</f>
        <v/>
      </c>
      <c r="T29" s="142">
        <f>SUMIFS(領用表!$L:$L,領用表!$E:$E,$B29,領用表!$B:$B,T$2&amp;$P$1)</f>
        <v/>
      </c>
      <c r="U29" s="142" t="n">
        <v>95</v>
      </c>
      <c r="V29" s="142">
        <f>SUMIFS(領用表!$L:$L,領用表!$E:$E,$B29,領用表!$B:$B,V$2&amp;$P$1)</f>
        <v/>
      </c>
      <c r="W29" s="142">
        <f>SUMIFS(領用表!$L:$L,領用表!$E:$E,$B29,領用表!$B:$B,W$2&amp;$P$1)</f>
        <v/>
      </c>
      <c r="X29" s="142">
        <f>SUMIFS(領用表!$L:$L,領用表!$E:$E,$B29,領用表!$B:$B,X$2&amp;$P$1)</f>
        <v/>
      </c>
      <c r="Y29" s="142">
        <f>SUMIFS(領用表!$L:$L,領用表!$E:$E,$B29,領用表!$B:$B,Y$2&amp;$P$1)</f>
        <v/>
      </c>
      <c r="Z29" s="142">
        <f>SUMIFS(領用表!$L:$L,領用表!$E:$E,$B29,領用表!$B:$B,Z$2&amp;$P$1)</f>
        <v/>
      </c>
      <c r="AA29" s="142">
        <f>SUMIFS(領用表!$L:$L,領用表!$E:$E,$B29,領用表!$B:$B,AA$2&amp;$P$1)</f>
        <v/>
      </c>
      <c r="AB29" s="142">
        <f>SUM(P29,Q29,R29,S29,T29,U29)</f>
        <v/>
      </c>
      <c r="AC29" s="142">
        <f>AVERAGE(P29,Q29,R29,S29,T29,U29)</f>
        <v/>
      </c>
      <c r="AD29" s="142">
        <f>SUMIF(Summary!B:B,B29,Summary!EC:EC)</f>
        <v/>
      </c>
      <c r="AE29" s="108" t="n"/>
      <c r="AF29" s="65" t="n"/>
      <c r="AG29" s="76" t="n"/>
      <c r="AH29" s="65" t="n"/>
      <c r="AI29" s="27" t="n"/>
      <c r="AJ29" s="27" t="n"/>
      <c r="AK29" s="14" t="n"/>
      <c r="AL29" s="29" t="n"/>
    </row>
    <row r="30" ht="15.75" customHeight="1" s="453">
      <c r="A30" s="27" t="n"/>
      <c r="B30" s="14" t="n">
        <v>6120021</v>
      </c>
      <c r="C30" s="136" t="inlineStr">
        <is>
          <t>諾貝爾(維他命C 20ml)</t>
        </is>
      </c>
      <c r="D30" s="72" t="n">
        <v>50</v>
      </c>
      <c r="E30" s="17" t="inlineStr">
        <is>
          <t>PCS</t>
        </is>
      </c>
      <c r="F30" s="18" t="n"/>
      <c r="G30" s="18" t="n">
        <v>45</v>
      </c>
      <c r="H30" s="20">
        <f>SUMIFS(領用表!$L:$L,領用表!$E:$E,$B30,領用表!$B:$B,H$2&amp;$P$1)</f>
        <v/>
      </c>
      <c r="I30" s="20">
        <f>SUMIFS(領用表!$L:$L,領用表!$E:$E,$B30,領用表!$B:$B,I$2&amp;$P$1)</f>
        <v/>
      </c>
      <c r="J30" s="20">
        <f>SUMIFS(領用表!$L:$L,領用表!$E:$E,$B30,領用表!$B:$B,J$2&amp;$P$1)</f>
        <v/>
      </c>
      <c r="K30" s="142">
        <f>SUMIFS(領用表!$L:$L,領用表!$E:$E,$B30,領用表!$B:$B,K$2&amp;$P$1)</f>
        <v/>
      </c>
      <c r="L30" s="142">
        <f>SUMIFS(領用表!$L:$L,領用表!$E:$E,$B30,領用表!$B:$B,L$2&amp;$P$1)</f>
        <v/>
      </c>
      <c r="M30" s="142">
        <f>SUMIFS(領用表!$L:$L,領用表!$E:$E,$B30,領用表!$B:$B,M$2&amp;$P$1)</f>
        <v/>
      </c>
      <c r="N30" s="23">
        <f>SUM(,H30,I30,J30,K30,L30,M30)</f>
        <v/>
      </c>
      <c r="O30" s="23">
        <f>AVERAGE(,H30,I30,J30,K30,L30,M30)</f>
        <v/>
      </c>
      <c r="P30" s="142">
        <f>SUMIFS(領用表!$L:$L,領用表!$E:$E,$B30,領用表!$B:$B,P$2&amp;$P$1)</f>
        <v/>
      </c>
      <c r="Q30" s="142">
        <f>SUMIFS(領用表!$L:$L,領用表!$E:$E,$B30,領用表!$B:$B,Q$2&amp;$P$1)</f>
        <v/>
      </c>
      <c r="R30" s="142">
        <f>SUMIFS(領用表!$L:$L,領用表!$E:$E,$B30,領用表!$B:$B,R$2&amp;$P$1)</f>
        <v/>
      </c>
      <c r="S30" s="142">
        <f>SUMIFS(領用表!$L:$L,領用表!$E:$E,$B30,領用表!$B:$B,S$2&amp;$P$1)</f>
        <v/>
      </c>
      <c r="T30" s="142">
        <f>SUMIFS(領用表!$L:$L,領用表!$E:$E,$B30,領用表!$B:$B,T$2&amp;$P$1)</f>
        <v/>
      </c>
      <c r="U30" s="142" t="n">
        <v>4</v>
      </c>
      <c r="V30" s="142">
        <f>SUMIFS(領用表!$L:$L,領用表!$E:$E,$B30,領用表!$B:$B,V$2&amp;$P$1)</f>
        <v/>
      </c>
      <c r="W30" s="142">
        <f>SUMIFS(領用表!$L:$L,領用表!$E:$E,$B30,領用表!$B:$B,W$2&amp;$P$1)</f>
        <v/>
      </c>
      <c r="X30" s="142">
        <f>SUMIFS(領用表!$L:$L,領用表!$E:$E,$B30,領用表!$B:$B,X$2&amp;$P$1)</f>
        <v/>
      </c>
      <c r="Y30" s="142">
        <f>SUMIFS(領用表!$L:$L,領用表!$E:$E,$B30,領用表!$B:$B,Y$2&amp;$P$1)</f>
        <v/>
      </c>
      <c r="Z30" s="142">
        <f>SUMIFS(領用表!$L:$L,領用表!$E:$E,$B30,領用表!$B:$B,Z$2&amp;$P$1)</f>
        <v/>
      </c>
      <c r="AA30" s="142">
        <f>SUMIFS(領用表!$L:$L,領用表!$E:$E,$B30,領用表!$B:$B,AA$2&amp;$P$1)</f>
        <v/>
      </c>
      <c r="AB30" s="142">
        <f>SUM(P30,Q30,R30,S30,T30,U30)</f>
        <v/>
      </c>
      <c r="AC30" s="142">
        <f>AVERAGE(P30,Q30,R30,S30,T30,U30)</f>
        <v/>
      </c>
      <c r="AD30" s="142">
        <f>SUMIF(Summary!B:B,B30,Summary!EC:EC)</f>
        <v/>
      </c>
      <c r="AE30" s="108" t="n"/>
      <c r="AF30" s="65" t="n"/>
      <c r="AG30" s="76" t="inlineStr">
        <is>
          <t>50-10/22</t>
        </is>
      </c>
      <c r="AH30" s="65" t="n"/>
      <c r="AI30" s="27" t="n"/>
      <c r="AJ30" s="69" t="n"/>
      <c r="AK30" s="14" t="n"/>
      <c r="AL30" s="14" t="n"/>
    </row>
    <row r="31" ht="15.75" customHeight="1" s="453">
      <c r="A31" s="27" t="n"/>
      <c r="B31" s="14" t="n">
        <v>6120020</v>
      </c>
      <c r="C31" s="135" t="inlineStr">
        <is>
          <t>抗壞血酸 2ml(維他命C)</t>
        </is>
      </c>
      <c r="D31" s="77" t="n">
        <v>100</v>
      </c>
      <c r="E31" s="17" t="inlineStr">
        <is>
          <t>PCS</t>
        </is>
      </c>
      <c r="F31" s="18" t="n"/>
      <c r="G31" s="18" t="n"/>
      <c r="H31" s="20">
        <f>SUMIFS(領用表!$L:$L,領用表!$E:$E,$B31,領用表!$B:$B,H$2&amp;$P$1)</f>
        <v/>
      </c>
      <c r="I31" s="20">
        <f>SUMIFS(領用表!$L:$L,領用表!$E:$E,$B31,領用表!$B:$B,I$2&amp;$P$1)</f>
        <v/>
      </c>
      <c r="J31" s="20">
        <f>SUMIFS(領用表!$L:$L,領用表!$E:$E,$B31,領用表!$B:$B,J$2&amp;$P$1)</f>
        <v/>
      </c>
      <c r="K31" s="142">
        <f>SUMIFS(領用表!$L:$L,領用表!$E:$E,$B31,領用表!$B:$B,K$2&amp;$P$1)</f>
        <v/>
      </c>
      <c r="L31" s="142">
        <f>SUMIFS(領用表!$L:$L,領用表!$E:$E,$B31,領用表!$B:$B,L$2&amp;$P$1)</f>
        <v/>
      </c>
      <c r="M31" s="142">
        <f>SUMIFS(領用表!$L:$L,領用表!$E:$E,$B31,領用表!$B:$B,M$2&amp;$P$1)</f>
        <v/>
      </c>
      <c r="N31" s="23">
        <f>SUM(,H31,I31,J31,K31,L31,M31)</f>
        <v/>
      </c>
      <c r="O31" s="23">
        <f>AVERAGE(,H31,I31,J31,K31,L31,M31)</f>
        <v/>
      </c>
      <c r="P31" s="142">
        <f>SUMIFS(領用表!$L:$L,領用表!$E:$E,$B31,領用表!$B:$B,P$2&amp;$P$1)</f>
        <v/>
      </c>
      <c r="Q31" s="142">
        <f>SUMIFS(領用表!$L:$L,領用表!$E:$E,$B31,領用表!$B:$B,Q$2&amp;$P$1)</f>
        <v/>
      </c>
      <c r="R31" s="142">
        <f>SUMIFS(領用表!$L:$L,領用表!$E:$E,$B31,領用表!$B:$B,R$2&amp;$P$1)</f>
        <v/>
      </c>
      <c r="S31" s="142">
        <f>SUMIFS(領用表!$L:$L,領用表!$E:$E,$B31,領用表!$B:$B,S$2&amp;$P$1)</f>
        <v/>
      </c>
      <c r="T31" s="142">
        <f>SUMIFS(領用表!$L:$L,領用表!$E:$E,$B31,領用表!$B:$B,T$2&amp;$P$1)</f>
        <v/>
      </c>
      <c r="U31" s="142" t="n"/>
      <c r="V31" s="142">
        <f>SUMIFS(領用表!$L:$L,領用表!$E:$E,$B31,領用表!$B:$B,V$2&amp;$P$1)</f>
        <v/>
      </c>
      <c r="W31" s="142">
        <f>SUMIFS(領用表!$L:$L,領用表!$E:$E,$B31,領用表!$B:$B,W$2&amp;$P$1)</f>
        <v/>
      </c>
      <c r="X31" s="142">
        <f>SUMIFS(領用表!$L:$L,領用表!$E:$E,$B31,領用表!$B:$B,X$2&amp;$P$1)</f>
        <v/>
      </c>
      <c r="Y31" s="142">
        <f>SUMIFS(領用表!$L:$L,領用表!$E:$E,$B31,領用表!$B:$B,Y$2&amp;$P$1)</f>
        <v/>
      </c>
      <c r="Z31" s="142">
        <f>SUMIFS(領用表!$L:$L,領用表!$E:$E,$B31,領用表!$B:$B,Z$2&amp;$P$1)</f>
        <v/>
      </c>
      <c r="AA31" s="142">
        <f>SUMIFS(領用表!$L:$L,領用表!$E:$E,$B31,領用表!$B:$B,AA$2&amp;$P$1)</f>
        <v/>
      </c>
      <c r="AB31" s="142">
        <f>SUM(P31,Q31,R31,S31,T31,U31)</f>
        <v/>
      </c>
      <c r="AC31" s="142">
        <f>AVERAGE(P31,Q31,R31,S31,T31,U31)</f>
        <v/>
      </c>
      <c r="AD31" s="142">
        <f>SUMIF(Summary!B:B,B31,Summary!EC:EC)</f>
        <v/>
      </c>
      <c r="AE31" s="108" t="n"/>
      <c r="AF31" s="65" t="n"/>
      <c r="AG31" s="76" t="inlineStr">
        <is>
          <t>100-10/22</t>
        </is>
      </c>
      <c r="AH31" s="65" t="inlineStr">
        <is>
          <t>200-10/22</t>
        </is>
      </c>
      <c r="AI31" s="27" t="n"/>
      <c r="AJ31" s="27" t="n"/>
      <c r="AK31" s="14" t="n"/>
      <c r="AL31" s="29" t="n"/>
    </row>
    <row r="32" ht="15.75" customHeight="1" s="453">
      <c r="A32" s="27" t="n"/>
      <c r="B32" s="14" t="n">
        <v>6120006</v>
      </c>
      <c r="C32" s="136" t="inlineStr">
        <is>
          <t>B12 愛壽命注射液 2ml</t>
        </is>
      </c>
      <c r="D32" s="72" t="n">
        <v>100</v>
      </c>
      <c r="E32" s="17" t="inlineStr">
        <is>
          <t>PCS</t>
        </is>
      </c>
      <c r="F32" s="18" t="n"/>
      <c r="G32" s="18">
        <f>1061+70</f>
        <v/>
      </c>
      <c r="H32" s="20">
        <f>SUMIFS(領用表!$L:$L,領用表!$E:$E,$B32,領用表!$B:$B,H$2&amp;$P$1)</f>
        <v/>
      </c>
      <c r="I32" s="20">
        <f>SUMIFS(領用表!$L:$L,領用表!$E:$E,$B32,領用表!$B:$B,I$2&amp;$P$1)</f>
        <v/>
      </c>
      <c r="J32" s="20">
        <f>SUMIFS(領用表!$L:$L,領用表!$E:$E,$B32,領用表!$B:$B,J$2&amp;$P$1)</f>
        <v/>
      </c>
      <c r="K32" s="142">
        <f>SUMIFS(領用表!$L:$L,領用表!$E:$E,$B32,領用表!$B:$B,K$2&amp;$P$1)</f>
        <v/>
      </c>
      <c r="L32" s="142">
        <f>SUMIFS(領用表!$L:$L,領用表!$E:$E,$B32,領用表!$B:$B,L$2&amp;$P$1)</f>
        <v/>
      </c>
      <c r="M32" s="142">
        <f>SUMIFS(領用表!$L:$L,領用表!$E:$E,$B32,領用表!$B:$B,M$2&amp;$P$1)</f>
        <v/>
      </c>
      <c r="N32" s="23">
        <f>SUM(,H32,I32,J32,K32,L32,M32)</f>
        <v/>
      </c>
      <c r="O32" s="23">
        <f>AVERAGE(,H32,I32,J32,K32,L32,M32)</f>
        <v/>
      </c>
      <c r="P32" s="142">
        <f>SUMIFS(領用表!$L:$L,領用表!$E:$E,$B32,領用表!$B:$B,P$2&amp;$P$1)</f>
        <v/>
      </c>
      <c r="Q32" s="142">
        <f>SUMIFS(領用表!$L:$L,領用表!$E:$E,$B32,領用表!$B:$B,Q$2&amp;$P$1)</f>
        <v/>
      </c>
      <c r="R32" s="142">
        <f>SUMIFS(領用表!$L:$L,領用表!$E:$E,$B32,領用表!$B:$B,R$2&amp;$P$1)</f>
        <v/>
      </c>
      <c r="S32" s="142">
        <f>SUMIFS(領用表!$L:$L,領用表!$E:$E,$B32,領用表!$B:$B,S$2&amp;$P$1)</f>
        <v/>
      </c>
      <c r="T32" s="142">
        <f>SUMIFS(領用表!$L:$L,領用表!$E:$E,$B32,領用表!$B:$B,T$2&amp;$P$1)</f>
        <v/>
      </c>
      <c r="U32" s="142" t="n">
        <v>97</v>
      </c>
      <c r="V32" s="142">
        <f>SUMIFS(領用表!$L:$L,領用表!$E:$E,$B32,領用表!$B:$B,V$2&amp;$P$1)</f>
        <v/>
      </c>
      <c r="W32" s="142">
        <f>SUMIFS(領用表!$L:$L,領用表!$E:$E,$B32,領用表!$B:$B,W$2&amp;$P$1)</f>
        <v/>
      </c>
      <c r="X32" s="142">
        <f>SUMIFS(領用表!$L:$L,領用表!$E:$E,$B32,領用表!$B:$B,X$2&amp;$P$1)</f>
        <v/>
      </c>
      <c r="Y32" s="142">
        <f>SUMIFS(領用表!$L:$L,領用表!$E:$E,$B32,領用表!$B:$B,Y$2&amp;$P$1)</f>
        <v/>
      </c>
      <c r="Z32" s="142">
        <f>SUMIFS(領用表!$L:$L,領用表!$E:$E,$B32,領用表!$B:$B,Z$2&amp;$P$1)</f>
        <v/>
      </c>
      <c r="AA32" s="142">
        <f>SUMIFS(領用表!$L:$L,領用表!$E:$E,$B32,領用表!$B:$B,AA$2&amp;$P$1)</f>
        <v/>
      </c>
      <c r="AB32" s="142">
        <f>SUM(P32,Q32,R32,S32,T32,U32)</f>
        <v/>
      </c>
      <c r="AC32" s="142">
        <f>AVERAGE(P32,Q32,R32,S32,T32,U32)</f>
        <v/>
      </c>
      <c r="AD32" s="142">
        <f>SUMIF(Summary!B:B,B32,Summary!EC:EC)</f>
        <v/>
      </c>
      <c r="AE32" s="108" t="n"/>
      <c r="AF32" s="65" t="n"/>
      <c r="AG32" s="65" t="inlineStr">
        <is>
          <t>300-10/22</t>
        </is>
      </c>
      <c r="AH32" s="65" t="inlineStr">
        <is>
          <t>400-10/22</t>
        </is>
      </c>
      <c r="AI32" s="27" t="n"/>
      <c r="AJ32" s="69" t="n"/>
      <c r="AK32" s="14" t="n"/>
      <c r="AL32" s="14" t="n"/>
    </row>
    <row r="33" ht="15.75" customHeight="1" s="453">
      <c r="A33" s="27" t="n"/>
      <c r="B33" s="14" t="n">
        <v>6120009</v>
      </c>
      <c r="C33" s="136" t="inlineStr">
        <is>
          <t>B1 硫胺明 2ml</t>
        </is>
      </c>
      <c r="D33" s="72" t="n">
        <v>100</v>
      </c>
      <c r="E33" s="17" t="inlineStr">
        <is>
          <t>PCS</t>
        </is>
      </c>
      <c r="F33" s="18" t="n"/>
      <c r="G33" s="18" t="n">
        <v>139</v>
      </c>
      <c r="H33" s="20">
        <f>SUMIFS(領用表!$L:$L,領用表!$E:$E,$B33,領用表!$B:$B,H$2&amp;$P$1)</f>
        <v/>
      </c>
      <c r="I33" s="20">
        <f>SUMIFS(領用表!$L:$L,領用表!$E:$E,$B33,領用表!$B:$B,I$2&amp;$P$1)</f>
        <v/>
      </c>
      <c r="J33" s="20">
        <f>SUMIFS(領用表!$L:$L,領用表!$E:$E,$B33,領用表!$B:$B,J$2&amp;$P$1)</f>
        <v/>
      </c>
      <c r="K33" s="142">
        <f>SUMIFS(領用表!$L:$L,領用表!$E:$E,$B33,領用表!$B:$B,K$2&amp;$P$1)</f>
        <v/>
      </c>
      <c r="L33" s="142">
        <f>SUMIFS(領用表!$L:$L,領用表!$E:$E,$B33,領用表!$B:$B,L$2&amp;$P$1)</f>
        <v/>
      </c>
      <c r="M33" s="142">
        <f>SUMIFS(領用表!$L:$L,領用表!$E:$E,$B33,領用表!$B:$B,M$2&amp;$P$1)</f>
        <v/>
      </c>
      <c r="N33" s="23">
        <f>SUM(,H33,I33,J33,K33,L33,M33)</f>
        <v/>
      </c>
      <c r="O33" s="23">
        <f>AVERAGE(,H33,I33,J33,K33,L33,M33)</f>
        <v/>
      </c>
      <c r="P33" s="142">
        <f>SUMIFS(領用表!$L:$L,領用表!$E:$E,$B33,領用表!$B:$B,P$2&amp;$P$1)</f>
        <v/>
      </c>
      <c r="Q33" s="142">
        <f>SUMIFS(領用表!$L:$L,領用表!$E:$E,$B33,領用表!$B:$B,Q$2&amp;$P$1)</f>
        <v/>
      </c>
      <c r="R33" s="142">
        <f>SUMIFS(領用表!$L:$L,領用表!$E:$E,$B33,領用表!$B:$B,R$2&amp;$P$1)</f>
        <v/>
      </c>
      <c r="S33" s="142">
        <f>SUMIFS(領用表!$L:$L,領用表!$E:$E,$B33,領用表!$B:$B,S$2&amp;$P$1)</f>
        <v/>
      </c>
      <c r="T33" s="142">
        <f>SUMIFS(領用表!$L:$L,領用表!$E:$E,$B33,領用表!$B:$B,T$2&amp;$P$1)</f>
        <v/>
      </c>
      <c r="U33" s="142" t="n">
        <v>2</v>
      </c>
      <c r="V33" s="142">
        <f>SUMIFS(領用表!$L:$L,領用表!$E:$E,$B33,領用表!$B:$B,V$2&amp;$P$1)</f>
        <v/>
      </c>
      <c r="W33" s="142">
        <f>SUMIFS(領用表!$L:$L,領用表!$E:$E,$B33,領用表!$B:$B,W$2&amp;$P$1)</f>
        <v/>
      </c>
      <c r="X33" s="142">
        <f>SUMIFS(領用表!$L:$L,領用表!$E:$E,$B33,領用表!$B:$B,X$2&amp;$P$1)</f>
        <v/>
      </c>
      <c r="Y33" s="142">
        <f>SUMIFS(領用表!$L:$L,領用表!$E:$E,$B33,領用表!$B:$B,Y$2&amp;$P$1)</f>
        <v/>
      </c>
      <c r="Z33" s="142">
        <f>SUMIFS(領用表!$L:$L,領用表!$E:$E,$B33,領用表!$B:$B,Z$2&amp;$P$1)</f>
        <v/>
      </c>
      <c r="AA33" s="142">
        <f>SUMIFS(領用表!$L:$L,領用表!$E:$E,$B33,領用表!$B:$B,AA$2&amp;$P$1)</f>
        <v/>
      </c>
      <c r="AB33" s="142">
        <f>SUM(P33,Q33,R33,S33,T33,U33)</f>
        <v/>
      </c>
      <c r="AC33" s="142">
        <f>AVERAGE(P33,Q33,R33,S33,T33,U33)</f>
        <v/>
      </c>
      <c r="AD33" s="142">
        <f>SUMIF(Summary!B:B,B33,Summary!EC:EC)</f>
        <v/>
      </c>
      <c r="AE33" s="108" t="n"/>
      <c r="AF33" s="65" t="n"/>
      <c r="AG33" s="65" t="n"/>
      <c r="AH33" s="65" t="n"/>
      <c r="AI33" s="27" t="n"/>
      <c r="AJ33" s="69" t="n"/>
      <c r="AK33" s="14" t="n"/>
      <c r="AL33" s="14" t="n"/>
    </row>
    <row r="34" ht="15.75" customHeight="1" s="453">
      <c r="A34" s="27" t="n"/>
      <c r="B34" s="14" t="n">
        <v>6120010</v>
      </c>
      <c r="C34" s="136" t="inlineStr">
        <is>
          <t>B6 維他命乙6注射液 5毫克/毫升 2ml</t>
        </is>
      </c>
      <c r="D34" s="72" t="n">
        <v>100</v>
      </c>
      <c r="E34" s="17" t="inlineStr">
        <is>
          <t>PCS</t>
        </is>
      </c>
      <c r="F34" s="18" t="n"/>
      <c r="G34" s="18" t="n">
        <v>109</v>
      </c>
      <c r="H34" s="20">
        <f>SUMIFS(領用表!$L:$L,領用表!$E:$E,$B34,領用表!$B:$B,H$2&amp;$P$1)</f>
        <v/>
      </c>
      <c r="I34" s="20">
        <f>SUMIFS(領用表!$L:$L,領用表!$E:$E,$B34,領用表!$B:$B,I$2&amp;$P$1)</f>
        <v/>
      </c>
      <c r="J34" s="20">
        <f>SUMIFS(領用表!$L:$L,領用表!$E:$E,$B34,領用表!$B:$B,J$2&amp;$P$1)</f>
        <v/>
      </c>
      <c r="K34" s="142">
        <f>SUMIFS(領用表!$L:$L,領用表!$E:$E,$B34,領用表!$B:$B,K$2&amp;$P$1)</f>
        <v/>
      </c>
      <c r="L34" s="142">
        <f>SUMIFS(領用表!$L:$L,領用表!$E:$E,$B34,領用表!$B:$B,L$2&amp;$P$1)</f>
        <v/>
      </c>
      <c r="M34" s="142">
        <f>SUMIFS(領用表!$L:$L,領用表!$E:$E,$B34,領用表!$B:$B,M$2&amp;$P$1)</f>
        <v/>
      </c>
      <c r="N34" s="23">
        <f>SUM(,H34,I34,J34,K34,L34,M34)</f>
        <v/>
      </c>
      <c r="O34" s="23">
        <f>AVERAGE(,H34,I34,J34,K34,L34,M34)</f>
        <v/>
      </c>
      <c r="P34" s="142">
        <f>SUMIFS(領用表!$L:$L,領用表!$E:$E,$B34,領用表!$B:$B,P$2&amp;$P$1)</f>
        <v/>
      </c>
      <c r="Q34" s="142">
        <f>SUMIFS(領用表!$L:$L,領用表!$E:$E,$B34,領用表!$B:$B,Q$2&amp;$P$1)</f>
        <v/>
      </c>
      <c r="R34" s="142">
        <f>SUMIFS(領用表!$L:$L,領用表!$E:$E,$B34,領用表!$B:$B,R$2&amp;$P$1)</f>
        <v/>
      </c>
      <c r="S34" s="142">
        <f>SUMIFS(領用表!$L:$L,領用表!$E:$E,$B34,領用表!$B:$B,S$2&amp;$P$1)</f>
        <v/>
      </c>
      <c r="T34" s="142">
        <f>SUMIFS(領用表!$L:$L,領用表!$E:$E,$B34,領用表!$B:$B,T$2&amp;$P$1)</f>
        <v/>
      </c>
      <c r="U34" s="142" t="n">
        <v>2</v>
      </c>
      <c r="V34" s="142">
        <f>SUMIFS(領用表!$L:$L,領用表!$E:$E,$B34,領用表!$B:$B,V$2&amp;$P$1)</f>
        <v/>
      </c>
      <c r="W34" s="142">
        <f>SUMIFS(領用表!$L:$L,領用表!$E:$E,$B34,領用表!$B:$B,W$2&amp;$P$1)</f>
        <v/>
      </c>
      <c r="X34" s="142">
        <f>SUMIFS(領用表!$L:$L,領用表!$E:$E,$B34,領用表!$B:$B,X$2&amp;$P$1)</f>
        <v/>
      </c>
      <c r="Y34" s="142">
        <f>SUMIFS(領用表!$L:$L,領用表!$E:$E,$B34,領用表!$B:$B,Y$2&amp;$P$1)</f>
        <v/>
      </c>
      <c r="Z34" s="142">
        <f>SUMIFS(領用表!$L:$L,領用表!$E:$E,$B34,領用表!$B:$B,Z$2&amp;$P$1)</f>
        <v/>
      </c>
      <c r="AA34" s="142">
        <f>SUMIFS(領用表!$L:$L,領用表!$E:$E,$B34,領用表!$B:$B,AA$2&amp;$P$1)</f>
        <v/>
      </c>
      <c r="AB34" s="142">
        <f>SUM(P34,Q34,R34,S34,T34,U34)</f>
        <v/>
      </c>
      <c r="AC34" s="142">
        <f>AVERAGE(P34,Q34,R34,S34,T34,U34)</f>
        <v/>
      </c>
      <c r="AD34" s="142">
        <f>SUMIF(Summary!B:B,B34,Summary!EC:EC)</f>
        <v/>
      </c>
      <c r="AE34" s="108" t="n"/>
      <c r="AF34" s="65" t="n"/>
      <c r="AG34" s="65" t="n"/>
      <c r="AH34" s="65" t="n"/>
      <c r="AI34" s="27" t="n"/>
      <c r="AJ34" s="69" t="n"/>
      <c r="AK34" s="14" t="n"/>
      <c r="AL34" s="14" t="n"/>
    </row>
    <row r="35" ht="15.75" customHeight="1" s="453" thickBot="1">
      <c r="A35" s="27" t="n"/>
      <c r="B35" s="14" t="n">
        <v>6120015</v>
      </c>
      <c r="C35" s="136" t="inlineStr">
        <is>
          <t>B群 淘能美 2ml</t>
        </is>
      </c>
      <c r="D35" s="72" t="n"/>
      <c r="E35" s="17" t="inlineStr">
        <is>
          <t>PCS</t>
        </is>
      </c>
      <c r="F35" s="18" t="n"/>
      <c r="G35" s="18" t="n">
        <v>5</v>
      </c>
      <c r="H35" s="20">
        <f>SUMIFS(領用表!$L:$L,領用表!$E:$E,$B35,領用表!$B:$B,H$2&amp;$P$1)</f>
        <v/>
      </c>
      <c r="I35" s="20">
        <f>SUMIFS(領用表!$L:$L,領用表!$E:$E,$B35,領用表!$B:$B,I$2&amp;$P$1)</f>
        <v/>
      </c>
      <c r="J35" s="20">
        <f>SUMIFS(領用表!$L:$L,領用表!$E:$E,$B35,領用表!$B:$B,J$2&amp;$P$1)</f>
        <v/>
      </c>
      <c r="K35" s="142">
        <f>SUMIFS(領用表!$L:$L,領用表!$E:$E,$B35,領用表!$B:$B,K$2&amp;$P$1)</f>
        <v/>
      </c>
      <c r="L35" s="142">
        <f>SUMIFS(領用表!$L:$L,領用表!$E:$E,$B35,領用表!$B:$B,L$2&amp;$P$1)</f>
        <v/>
      </c>
      <c r="M35" s="142">
        <f>SUMIFS(領用表!$L:$L,領用表!$E:$E,$B35,領用表!$B:$B,M$2&amp;$P$1)</f>
        <v/>
      </c>
      <c r="N35" s="23">
        <f>SUM(,H35,I35,J35,K35,L35,M35)</f>
        <v/>
      </c>
      <c r="O35" s="23">
        <f>AVERAGE(,H35,I35,J35,K35,L35,M35)</f>
        <v/>
      </c>
      <c r="P35" s="142">
        <f>SUMIFS(領用表!$L:$L,領用表!$E:$E,$B35,領用表!$B:$B,P$2&amp;$P$1)</f>
        <v/>
      </c>
      <c r="Q35" s="142">
        <f>SUMIFS(領用表!$L:$L,領用表!$E:$E,$B35,領用表!$B:$B,Q$2&amp;$P$1)</f>
        <v/>
      </c>
      <c r="R35" s="142">
        <f>SUMIFS(領用表!$L:$L,領用表!$E:$E,$B35,領用表!$B:$B,R$2&amp;$P$1)</f>
        <v/>
      </c>
      <c r="S35" s="142">
        <f>SUMIFS(領用表!$L:$L,領用表!$E:$E,$B35,領用表!$B:$B,S$2&amp;$P$1)</f>
        <v/>
      </c>
      <c r="T35" s="142">
        <f>SUMIFS(領用表!$L:$L,領用表!$E:$E,$B35,領用表!$B:$B,T$2&amp;$P$1)</f>
        <v/>
      </c>
      <c r="U35" s="142" t="n">
        <v>2</v>
      </c>
      <c r="V35" s="142">
        <f>SUMIFS(領用表!$L:$L,領用表!$E:$E,$B35,領用表!$B:$B,V$2&amp;$P$1)</f>
        <v/>
      </c>
      <c r="W35" s="142">
        <f>SUMIFS(領用表!$L:$L,領用表!$E:$E,$B35,領用表!$B:$B,W$2&amp;$P$1)</f>
        <v/>
      </c>
      <c r="X35" s="142">
        <f>SUMIFS(領用表!$L:$L,領用表!$E:$E,$B35,領用表!$B:$B,X$2&amp;$P$1)</f>
        <v/>
      </c>
      <c r="Y35" s="142">
        <f>SUMIFS(領用表!$L:$L,領用表!$E:$E,$B35,領用表!$B:$B,Y$2&amp;$P$1)</f>
        <v/>
      </c>
      <c r="Z35" s="142">
        <f>SUMIFS(領用表!$L:$L,領用表!$E:$E,$B35,領用表!$B:$B,Z$2&amp;$P$1)</f>
        <v/>
      </c>
      <c r="AA35" s="142">
        <f>SUMIFS(領用表!$L:$L,領用表!$E:$E,$B35,領用表!$B:$B,AA$2&amp;$P$1)</f>
        <v/>
      </c>
      <c r="AB35" s="142">
        <f>SUM(P35,Q35,R35,S35,T35,U35)</f>
        <v/>
      </c>
      <c r="AC35" s="142">
        <f>AVERAGE(P35,Q35,R35,S35,T35,U35)</f>
        <v/>
      </c>
      <c r="AD35" s="142">
        <f>SUMIF(Summary!B:B,B35,Summary!EC:EC)</f>
        <v/>
      </c>
      <c r="AE35" s="108" t="n"/>
      <c r="AF35" s="65" t="n"/>
      <c r="AG35" s="76" t="inlineStr">
        <is>
          <t>100-10/22</t>
        </is>
      </c>
      <c r="AH35" s="65" t="n"/>
      <c r="AI35" s="27" t="n"/>
      <c r="AJ35" s="69" t="n"/>
      <c r="AK35" s="14" t="n"/>
      <c r="AL35" s="14" t="n"/>
    </row>
    <row r="36" ht="15.75" customHeight="1" s="453" thickBot="1">
      <c r="A36" s="196" t="inlineStr">
        <is>
          <t>MB3ME090038A</t>
        </is>
      </c>
      <c r="B36" s="191" t="n">
        <v>6120037</v>
      </c>
      <c r="C36" s="193" t="inlineStr">
        <is>
          <t>(B群) 美久奧林 20ml/支</t>
        </is>
      </c>
      <c r="D36" s="72" t="n"/>
      <c r="E36" s="17" t="n"/>
      <c r="F36" s="18" t="n"/>
      <c r="G36" s="18" t="n">
        <v>101</v>
      </c>
      <c r="H36" s="20">
        <f>SUMIFS(領用表!$L:$L,領用表!$E:$E,$B36,領用表!$B:$B,H$2&amp;$P$1)</f>
        <v/>
      </c>
      <c r="I36" s="20">
        <f>SUMIFS(領用表!$L:$L,領用表!$E:$E,$B36,領用表!$B:$B,I$2&amp;$P$1)</f>
        <v/>
      </c>
      <c r="J36" s="20">
        <f>SUMIFS(領用表!$L:$L,領用表!$E:$E,$B36,領用表!$B:$B,J$2&amp;$P$1)</f>
        <v/>
      </c>
      <c r="K36" s="142">
        <f>SUMIFS(領用表!$L:$L,領用表!$E:$E,$B36,領用表!$B:$B,K$2&amp;$P$1)</f>
        <v/>
      </c>
      <c r="L36" s="142">
        <f>SUMIFS(領用表!$L:$L,領用表!$E:$E,$B36,領用表!$B:$B,L$2&amp;$P$1)</f>
        <v/>
      </c>
      <c r="M36" s="142">
        <f>SUMIFS(領用表!$L:$L,領用表!$E:$E,$B36,領用表!$B:$B,M$2&amp;$P$1)</f>
        <v/>
      </c>
      <c r="N36" s="23">
        <f>SUM(,H36,I36,J36,K36,L36,M36)</f>
        <v/>
      </c>
      <c r="O36" s="23">
        <f>AVERAGE(,H36,I36,J36,K36,L36,M36)</f>
        <v/>
      </c>
      <c r="P36" s="142">
        <f>SUMIFS(領用表!$L:$L,領用表!$E:$E,$B36,領用表!$B:$B,P$2&amp;$P$1)</f>
        <v/>
      </c>
      <c r="Q36" s="142">
        <f>SUMIFS(領用表!$L:$L,領用表!$E:$E,$B36,領用表!$B:$B,Q$2&amp;$P$1)</f>
        <v/>
      </c>
      <c r="R36" s="142">
        <f>SUMIFS(領用表!$L:$L,領用表!$E:$E,$B36,領用表!$B:$B,R$2&amp;$P$1)</f>
        <v/>
      </c>
      <c r="S36" s="142">
        <f>SUMIFS(領用表!$L:$L,領用表!$E:$E,$B36,領用表!$B:$B,S$2&amp;$P$1)</f>
        <v/>
      </c>
      <c r="T36" s="142">
        <f>SUMIFS(領用表!$L:$L,領用表!$E:$E,$B36,領用表!$B:$B,T$2&amp;$P$1)</f>
        <v/>
      </c>
      <c r="U36" s="142" t="n"/>
      <c r="V36" s="142">
        <f>SUMIFS(領用表!$L:$L,領用表!$E:$E,$B36,領用表!$B:$B,V$2&amp;$P$1)</f>
        <v/>
      </c>
      <c r="W36" s="142">
        <f>SUMIFS(領用表!$L:$L,領用表!$E:$E,$B36,領用表!$B:$B,W$2&amp;$P$1)</f>
        <v/>
      </c>
      <c r="X36" s="142">
        <f>SUMIFS(領用表!$L:$L,領用表!$E:$E,$B36,領用表!$B:$B,X$2&amp;$P$1)</f>
        <v/>
      </c>
      <c r="Y36" s="142">
        <f>SUMIFS(領用表!$L:$L,領用表!$E:$E,$B36,領用表!$B:$B,Y$2&amp;$P$1)</f>
        <v/>
      </c>
      <c r="Z36" s="142">
        <f>SUMIFS(領用表!$L:$L,領用表!$E:$E,$B36,領用表!$B:$B,Z$2&amp;$P$1)</f>
        <v/>
      </c>
      <c r="AA36" s="142">
        <f>SUMIFS(領用表!$L:$L,領用表!$E:$E,$B36,領用表!$B:$B,AA$2&amp;$P$1)</f>
        <v/>
      </c>
      <c r="AB36" s="142">
        <f>SUM(P36,Q36,R36,S36,T36,U36)</f>
        <v/>
      </c>
      <c r="AC36" s="142">
        <f>AVERAGE(P36,Q36,R36,S36,T36,U36)</f>
        <v/>
      </c>
      <c r="AD36" s="142">
        <f>SUMIF(Summary!B:B,B36,Summary!EC:EC)</f>
        <v/>
      </c>
      <c r="AE36" s="108" t="n"/>
      <c r="AF36" s="65" t="n"/>
      <c r="AG36" s="76" t="n"/>
      <c r="AH36" s="65" t="n"/>
      <c r="AI36" s="27" t="n"/>
      <c r="AJ36" s="69" t="n"/>
      <c r="AK36" s="14" t="n"/>
      <c r="AL36" s="14" t="n"/>
    </row>
    <row r="37" ht="15.75" customHeight="1" s="453" thickBot="1">
      <c r="A37" s="196" t="inlineStr">
        <is>
          <t>MB3ME090039A</t>
        </is>
      </c>
      <c r="B37" s="191" t="n">
        <v>6120038</v>
      </c>
      <c r="C37" s="193" t="inlineStr">
        <is>
          <t>(Vit C+B) 維他補舒Vitaplex 20ml/支</t>
        </is>
      </c>
      <c r="D37" s="72" t="n"/>
      <c r="E37" s="17" t="n"/>
      <c r="F37" s="18" t="n"/>
      <c r="G37" s="18" t="n">
        <v>42</v>
      </c>
      <c r="H37" s="20">
        <f>SUMIFS(領用表!$L:$L,領用表!$E:$E,$B37,領用表!$B:$B,H$2&amp;$P$1)</f>
        <v/>
      </c>
      <c r="I37" s="20">
        <f>SUMIFS(領用表!$L:$L,領用表!$E:$E,$B37,領用表!$B:$B,I$2&amp;$P$1)</f>
        <v/>
      </c>
      <c r="J37" s="20">
        <f>SUMIFS(領用表!$L:$L,領用表!$E:$E,$B37,領用表!$B:$B,J$2&amp;$P$1)</f>
        <v/>
      </c>
      <c r="K37" s="142">
        <f>SUMIFS(領用表!$L:$L,領用表!$E:$E,$B37,領用表!$B:$B,K$2&amp;$P$1)</f>
        <v/>
      </c>
      <c r="L37" s="142">
        <f>SUMIFS(領用表!$L:$L,領用表!$E:$E,$B37,領用表!$B:$B,L$2&amp;$P$1)</f>
        <v/>
      </c>
      <c r="M37" s="142">
        <f>SUMIFS(領用表!$L:$L,領用表!$E:$E,$B37,領用表!$B:$B,M$2&amp;$P$1)</f>
        <v/>
      </c>
      <c r="N37" s="23">
        <f>SUM(,H37,I37,J37,K37,L37,M37)</f>
        <v/>
      </c>
      <c r="O37" s="23">
        <f>AVERAGE(,H37,I37,J37,K37,L37,M37)</f>
        <v/>
      </c>
      <c r="P37" s="142">
        <f>SUMIFS(領用表!$L:$L,領用表!$E:$E,$B37,領用表!$B:$B,P$2&amp;$P$1)</f>
        <v/>
      </c>
      <c r="Q37" s="142">
        <f>SUMIFS(領用表!$L:$L,領用表!$E:$E,$B37,領用表!$B:$B,Q$2&amp;$P$1)</f>
        <v/>
      </c>
      <c r="R37" s="142">
        <f>SUMIFS(領用表!$L:$L,領用表!$E:$E,$B37,領用表!$B:$B,R$2&amp;$P$1)</f>
        <v/>
      </c>
      <c r="S37" s="142">
        <f>SUMIFS(領用表!$L:$L,領用表!$E:$E,$B37,領用表!$B:$B,S$2&amp;$P$1)</f>
        <v/>
      </c>
      <c r="T37" s="142">
        <f>SUMIFS(領用表!$L:$L,領用表!$E:$E,$B37,領用表!$B:$B,T$2&amp;$P$1)</f>
        <v/>
      </c>
      <c r="U37" s="142" t="n"/>
      <c r="V37" s="142">
        <f>SUMIFS(領用表!$L:$L,領用表!$E:$E,$B37,領用表!$B:$B,V$2&amp;$P$1)</f>
        <v/>
      </c>
      <c r="W37" s="142">
        <f>SUMIFS(領用表!$L:$L,領用表!$E:$E,$B37,領用表!$B:$B,W$2&amp;$P$1)</f>
        <v/>
      </c>
      <c r="X37" s="142">
        <f>SUMIFS(領用表!$L:$L,領用表!$E:$E,$B37,領用表!$B:$B,X$2&amp;$P$1)</f>
        <v/>
      </c>
      <c r="Y37" s="142">
        <f>SUMIFS(領用表!$L:$L,領用表!$E:$E,$B37,領用表!$B:$B,Y$2&amp;$P$1)</f>
        <v/>
      </c>
      <c r="Z37" s="142">
        <f>SUMIFS(領用表!$L:$L,領用表!$E:$E,$B37,領用表!$B:$B,Z$2&amp;$P$1)</f>
        <v/>
      </c>
      <c r="AA37" s="142">
        <f>SUMIFS(領用表!$L:$L,領用表!$E:$E,$B37,領用表!$B:$B,AA$2&amp;$P$1)</f>
        <v/>
      </c>
      <c r="AB37" s="142">
        <f>SUM(P37,Q37,R37,S37,T37,U37)</f>
        <v/>
      </c>
      <c r="AC37" s="142">
        <f>AVERAGE(P37,Q37,R37,S37,T37,U37)</f>
        <v/>
      </c>
      <c r="AD37" s="142">
        <f>SUMIF(Summary!B:B,B37,Summary!EC:EC)</f>
        <v/>
      </c>
      <c r="AE37" s="108" t="n"/>
      <c r="AF37" s="65" t="n"/>
      <c r="AG37" s="76" t="n"/>
      <c r="AH37" s="65" t="n"/>
      <c r="AI37" s="27" t="n"/>
      <c r="AJ37" s="69" t="n"/>
      <c r="AK37" s="14" t="n"/>
      <c r="AL37" s="14" t="n"/>
    </row>
    <row r="38" ht="15.75" customHeight="1" s="453">
      <c r="A38" s="27" t="n"/>
      <c r="B38" s="14" t="n">
        <v>6120016</v>
      </c>
      <c r="C38" s="136" t="inlineStr">
        <is>
          <t>克樂達養 20ml</t>
        </is>
      </c>
      <c r="D38" s="72" t="n"/>
      <c r="E38" s="17" t="inlineStr">
        <is>
          <t>PCS</t>
        </is>
      </c>
      <c r="F38" s="18" t="n"/>
      <c r="G38" s="18" t="n">
        <v>85</v>
      </c>
      <c r="H38" s="20">
        <f>SUMIFS(領用表!$L:$L,領用表!$E:$E,$B38,領用表!$B:$B,H$2&amp;$P$1)</f>
        <v/>
      </c>
      <c r="I38" s="20">
        <f>SUMIFS(領用表!$L:$L,領用表!$E:$E,$B38,領用表!$B:$B,I$2&amp;$P$1)</f>
        <v/>
      </c>
      <c r="J38" s="20">
        <f>SUMIFS(領用表!$L:$L,領用表!$E:$E,$B38,領用表!$B:$B,J$2&amp;$P$1)</f>
        <v/>
      </c>
      <c r="K38" s="142">
        <f>SUMIFS(領用表!$L:$L,領用表!$E:$E,$B38,領用表!$B:$B,K$2&amp;$P$1)</f>
        <v/>
      </c>
      <c r="L38" s="142">
        <f>SUMIFS(領用表!$L:$L,領用表!$E:$E,$B38,領用表!$B:$B,L$2&amp;$P$1)</f>
        <v/>
      </c>
      <c r="M38" s="142">
        <f>SUMIFS(領用表!$L:$L,領用表!$E:$E,$B38,領用表!$B:$B,M$2&amp;$P$1)</f>
        <v/>
      </c>
      <c r="N38" s="23">
        <f>SUM(,H38,I38,J38,K38,L38,M38)</f>
        <v/>
      </c>
      <c r="O38" s="23">
        <f>AVERAGE(,H38,I38,J38,K38,L38,M38)</f>
        <v/>
      </c>
      <c r="P38" s="142">
        <f>SUMIFS(領用表!$L:$L,領用表!$E:$E,$B38,領用表!$B:$B,P$2&amp;$P$1)</f>
        <v/>
      </c>
      <c r="Q38" s="142">
        <f>SUMIFS(領用表!$L:$L,領用表!$E:$E,$B38,領用表!$B:$B,Q$2&amp;$P$1)</f>
        <v/>
      </c>
      <c r="R38" s="142">
        <f>SUMIFS(領用表!$L:$L,領用表!$E:$E,$B38,領用表!$B:$B,R$2&amp;$P$1)</f>
        <v/>
      </c>
      <c r="S38" s="142">
        <f>SUMIFS(領用表!$L:$L,領用表!$E:$E,$B38,領用表!$B:$B,S$2&amp;$P$1)</f>
        <v/>
      </c>
      <c r="T38" s="142">
        <f>SUMIFS(領用表!$L:$L,領用表!$E:$E,$B38,領用表!$B:$B,T$2&amp;$P$1)</f>
        <v/>
      </c>
      <c r="U38" s="142" t="n">
        <v>2</v>
      </c>
      <c r="V38" s="142">
        <f>SUMIFS(領用表!$L:$L,領用表!$E:$E,$B38,領用表!$B:$B,V$2&amp;$P$1)</f>
        <v/>
      </c>
      <c r="W38" s="142">
        <f>SUMIFS(領用表!$L:$L,領用表!$E:$E,$B38,領用表!$B:$B,W$2&amp;$P$1)</f>
        <v/>
      </c>
      <c r="X38" s="142">
        <f>SUMIFS(領用表!$L:$L,領用表!$E:$E,$B38,領用表!$B:$B,X$2&amp;$P$1)</f>
        <v/>
      </c>
      <c r="Y38" s="142">
        <f>SUMIFS(領用表!$L:$L,領用表!$E:$E,$B38,領用表!$B:$B,Y$2&amp;$P$1)</f>
        <v/>
      </c>
      <c r="Z38" s="142">
        <f>SUMIFS(領用表!$L:$L,領用表!$E:$E,$B38,領用表!$B:$B,Z$2&amp;$P$1)</f>
        <v/>
      </c>
      <c r="AA38" s="142">
        <f>SUMIFS(領用表!$L:$L,領用表!$E:$E,$B38,領用表!$B:$B,AA$2&amp;$P$1)</f>
        <v/>
      </c>
      <c r="AB38" s="142">
        <f>SUM(P38,Q38,R38,S38,T38,U38)</f>
        <v/>
      </c>
      <c r="AC38" s="142">
        <f>AVERAGE(P38,Q38,R38,S38,T38,U38)</f>
        <v/>
      </c>
      <c r="AD38" s="142">
        <f>SUMIF(Summary!B:B,B38,Summary!EC:EC)</f>
        <v/>
      </c>
      <c r="AE38" s="108" t="n"/>
      <c r="AF38" s="65" t="n"/>
      <c r="AG38" s="76" t="inlineStr">
        <is>
          <t>200-10/21</t>
        </is>
      </c>
      <c r="AH38" s="65" t="inlineStr">
        <is>
          <t>1000-10/21</t>
        </is>
      </c>
      <c r="AI38" s="27" t="n"/>
      <c r="AJ38" s="69" t="n"/>
      <c r="AK38" s="14" t="n"/>
      <c r="AL38" s="14" t="n"/>
    </row>
    <row r="39" ht="15.75" customHeight="1" s="453">
      <c r="A39" s="27" t="n"/>
      <c r="B39" s="14" t="n">
        <v>6120022</v>
      </c>
      <c r="C39" s="27" t="inlineStr">
        <is>
          <t>循必利</t>
        </is>
      </c>
      <c r="D39" s="72" t="n"/>
      <c r="E39" s="17" t="inlineStr">
        <is>
          <t>PCS</t>
        </is>
      </c>
      <c r="F39" s="18" t="n"/>
      <c r="G39" s="18" t="n">
        <v>50</v>
      </c>
      <c r="H39" s="20">
        <f>SUMIFS(領用表!$L:$L,領用表!$E:$E,$B39,領用表!$B:$B,H$2&amp;$P$1)</f>
        <v/>
      </c>
      <c r="I39" s="20">
        <f>SUMIFS(領用表!$L:$L,領用表!$E:$E,$B39,領用表!$B:$B,I$2&amp;$P$1)</f>
        <v/>
      </c>
      <c r="J39" s="20">
        <f>SUMIFS(領用表!$L:$L,領用表!$E:$E,$B39,領用表!$B:$B,J$2&amp;$P$1)</f>
        <v/>
      </c>
      <c r="K39" s="142">
        <f>SUMIFS(領用表!$L:$L,領用表!$E:$E,$B39,領用表!$B:$B,K$2&amp;$P$1)</f>
        <v/>
      </c>
      <c r="L39" s="142">
        <f>SUMIFS(領用表!$L:$L,領用表!$E:$E,$B39,領用表!$B:$B,L$2&amp;$P$1)</f>
        <v/>
      </c>
      <c r="M39" s="142">
        <f>SUMIFS(領用表!$L:$L,領用表!$E:$E,$B39,領用表!$B:$B,M$2&amp;$P$1)</f>
        <v/>
      </c>
      <c r="N39" s="23">
        <f>SUM(,H39,I39,J39,K39,L39,M39)</f>
        <v/>
      </c>
      <c r="O39" s="23">
        <f>AVERAGE(,H39,I39,J39,K39,L39,M39)</f>
        <v/>
      </c>
      <c r="P39" s="142">
        <f>SUMIFS(領用表!$L:$L,領用表!$E:$E,$B39,領用表!$B:$B,P$2&amp;$P$1)</f>
        <v/>
      </c>
      <c r="Q39" s="142">
        <f>SUMIFS(領用表!$L:$L,領用表!$E:$E,$B39,領用表!$B:$B,Q$2&amp;$P$1)</f>
        <v/>
      </c>
      <c r="R39" s="142">
        <f>SUMIFS(領用表!$L:$L,領用表!$E:$E,$B39,領用表!$B:$B,R$2&amp;$P$1)</f>
        <v/>
      </c>
      <c r="S39" s="142">
        <f>SUMIFS(領用表!$L:$L,領用表!$E:$E,$B39,領用表!$B:$B,S$2&amp;$P$1)</f>
        <v/>
      </c>
      <c r="T39" s="142">
        <f>SUMIFS(領用表!$L:$L,領用表!$E:$E,$B39,領用表!$B:$B,T$2&amp;$P$1)</f>
        <v/>
      </c>
      <c r="U39" s="142" t="n"/>
      <c r="V39" s="142">
        <f>SUMIFS(領用表!$L:$L,領用表!$E:$E,$B39,領用表!$B:$B,V$2&amp;$P$1)</f>
        <v/>
      </c>
      <c r="W39" s="142">
        <f>SUMIFS(領用表!$L:$L,領用表!$E:$E,$B39,領用表!$B:$B,W$2&amp;$P$1)</f>
        <v/>
      </c>
      <c r="X39" s="142">
        <f>SUMIFS(領用表!$L:$L,領用表!$E:$E,$B39,領用表!$B:$B,X$2&amp;$P$1)</f>
        <v/>
      </c>
      <c r="Y39" s="142">
        <f>SUMIFS(領用表!$L:$L,領用表!$E:$E,$B39,領用表!$B:$B,Y$2&amp;$P$1)</f>
        <v/>
      </c>
      <c r="Z39" s="142">
        <f>SUMIFS(領用表!$L:$L,領用表!$E:$E,$B39,領用表!$B:$B,Z$2&amp;$P$1)</f>
        <v/>
      </c>
      <c r="AA39" s="142">
        <f>SUMIFS(領用表!$L:$L,領用表!$E:$E,$B39,領用表!$B:$B,AA$2&amp;$P$1)</f>
        <v/>
      </c>
      <c r="AB39" s="142">
        <f>SUM(P39,Q39,R39,S39,T39,U39)</f>
        <v/>
      </c>
      <c r="AC39" s="142">
        <f>AVERAGE(P39,Q39,R39,S39,T39,U39)</f>
        <v/>
      </c>
      <c r="AD39" s="142">
        <f>SUMIF(Summary!B:B,B39,Summary!EC:EC)</f>
        <v/>
      </c>
      <c r="AE39" s="108" t="n"/>
      <c r="AF39" s="65" t="n"/>
      <c r="AG39" s="65" t="n"/>
      <c r="AH39" s="65" t="n"/>
      <c r="AI39" s="27" t="n"/>
      <c r="AJ39" s="69" t="n"/>
      <c r="AK39" s="14" t="n"/>
      <c r="AL39" s="14" t="n"/>
    </row>
    <row r="40" ht="15.75" customHeight="1" s="453">
      <c r="A40" s="27" t="n"/>
      <c r="B40" s="14" t="e">
        <v>#N/A</v>
      </c>
      <c r="C40" s="136" t="inlineStr">
        <is>
          <t>金恩特</t>
        </is>
      </c>
      <c r="D40" s="77" t="n"/>
      <c r="E40" s="17" t="inlineStr">
        <is>
          <t>PCS</t>
        </is>
      </c>
      <c r="F40" s="18" t="n"/>
      <c r="G40" s="18" t="n"/>
      <c r="H40" s="20">
        <f>SUMIFS(領用表!$L:$L,領用表!$E:$E,$B40,領用表!$B:$B,H$2&amp;$P$1)</f>
        <v/>
      </c>
      <c r="I40" s="20">
        <f>SUMIFS(領用表!$L:$L,領用表!$E:$E,$B40,領用表!$B:$B,I$2&amp;$P$1)</f>
        <v/>
      </c>
      <c r="J40" s="20">
        <f>SUMIFS(領用表!$L:$L,領用表!$E:$E,$B40,領用表!$B:$B,J$2&amp;$P$1)</f>
        <v/>
      </c>
      <c r="K40" s="142">
        <f>SUMIFS(領用表!$L:$L,領用表!$E:$E,$B40,領用表!$B:$B,K$2&amp;$P$1)</f>
        <v/>
      </c>
      <c r="L40" s="142">
        <f>SUMIFS(領用表!$L:$L,領用表!$E:$E,$B40,領用表!$B:$B,L$2&amp;$P$1)</f>
        <v/>
      </c>
      <c r="M40" s="142">
        <f>SUMIFS(領用表!$L:$L,領用表!$E:$E,$B40,領用表!$B:$B,M$2&amp;$P$1)</f>
        <v/>
      </c>
      <c r="N40" s="23">
        <f>SUM(,H40,I40,J40,K40,L40,M40)</f>
        <v/>
      </c>
      <c r="O40" s="23">
        <f>AVERAGE(,H40,I40,J40,K40,L40,M40)</f>
        <v/>
      </c>
      <c r="P40" s="142">
        <f>SUMIFS(領用表!$L:$L,領用表!$E:$E,$B40,領用表!$B:$B,P$2&amp;$P$1)</f>
        <v/>
      </c>
      <c r="Q40" s="142">
        <f>SUMIFS(領用表!$L:$L,領用表!$E:$E,$B40,領用表!$B:$B,Q$2&amp;$P$1)</f>
        <v/>
      </c>
      <c r="R40" s="142">
        <f>SUMIFS(領用表!$L:$L,領用表!$E:$E,$B40,領用表!$B:$B,R$2&amp;$P$1)</f>
        <v/>
      </c>
      <c r="S40" s="142">
        <f>SUMIFS(領用表!$L:$L,領用表!$E:$E,$B40,領用表!$B:$B,S$2&amp;$P$1)</f>
        <v/>
      </c>
      <c r="T40" s="142">
        <f>SUMIFS(領用表!$L:$L,領用表!$E:$E,$B40,領用表!$B:$B,T$2&amp;$P$1)</f>
        <v/>
      </c>
      <c r="U40" s="142">
        <f>SUMIFS(領用表!$L:$L,領用表!$E:$E,$B40,領用表!$B:$B,U$2&amp;$P$1)</f>
        <v/>
      </c>
      <c r="V40" s="142">
        <f>SUMIFS(領用表!$L:$L,領用表!$E:$E,$B40,領用表!$B:$B,V$2&amp;$P$1)</f>
        <v/>
      </c>
      <c r="W40" s="142">
        <f>SUMIFS(領用表!$L:$L,領用表!$E:$E,$B40,領用表!$B:$B,W$2&amp;$P$1)</f>
        <v/>
      </c>
      <c r="X40" s="142">
        <f>SUMIFS(領用表!$L:$L,領用表!$E:$E,$B40,領用表!$B:$B,X$2&amp;$P$1)</f>
        <v/>
      </c>
      <c r="Y40" s="142">
        <f>SUMIFS(領用表!$L:$L,領用表!$E:$E,$B40,領用表!$B:$B,Y$2&amp;$P$1)</f>
        <v/>
      </c>
      <c r="Z40" s="142">
        <f>SUMIFS(領用表!$L:$L,領用表!$E:$E,$B40,領用表!$B:$B,Z$2&amp;$P$1)</f>
        <v/>
      </c>
      <c r="AA40" s="142">
        <f>SUMIFS(領用表!$L:$L,領用表!$E:$E,$B40,領用表!$B:$B,AA$2&amp;$P$1)</f>
        <v/>
      </c>
      <c r="AB40" s="142">
        <f>SUM(P40,Q40,R40,S40,T40,U40)</f>
        <v/>
      </c>
      <c r="AC40" s="142">
        <f>AVERAGE(P40,Q40,R40,S40,T40,U40)</f>
        <v/>
      </c>
      <c r="AD40" s="142">
        <f>SUMIF(Summary!B:B,B40,Summary!EC:EC)</f>
        <v/>
      </c>
      <c r="AE40" s="108" t="n"/>
      <c r="AF40" s="65" t="n"/>
      <c r="AG40" s="65" t="n"/>
      <c r="AH40" s="65" t="n"/>
      <c r="AI40" s="27" t="n"/>
      <c r="AJ40" s="27" t="n"/>
      <c r="AK40" s="14" t="n"/>
      <c r="AL40" s="29" t="n"/>
    </row>
    <row r="41" ht="15.75" customHeight="1" s="453">
      <c r="A41" s="27" t="n"/>
      <c r="B41" s="14" t="n">
        <v>6120023</v>
      </c>
      <c r="C41" s="136" t="inlineStr">
        <is>
          <t>利卡因注射液20毫克/毫升</t>
        </is>
      </c>
      <c r="D41" s="77" t="n"/>
      <c r="E41" s="17" t="inlineStr">
        <is>
          <t>PCS</t>
        </is>
      </c>
      <c r="F41" s="18" t="n"/>
      <c r="G41" s="18" t="n"/>
      <c r="H41" s="20">
        <f>SUMIFS(領用表!$L:$L,領用表!$E:$E,$B41,領用表!$B:$B,H$2&amp;$P$1)</f>
        <v/>
      </c>
      <c r="I41" s="20">
        <f>SUMIFS(領用表!$L:$L,領用表!$E:$E,$B41,領用表!$B:$B,I$2&amp;$P$1)</f>
        <v/>
      </c>
      <c r="J41" s="20">
        <f>SUMIFS(領用表!$L:$L,領用表!$E:$E,$B41,領用表!$B:$B,J$2&amp;$P$1)</f>
        <v/>
      </c>
      <c r="K41" s="142">
        <f>SUMIFS(領用表!$L:$L,領用表!$E:$E,$B41,領用表!$B:$B,K$2&amp;$P$1)</f>
        <v/>
      </c>
      <c r="L41" s="142">
        <f>SUMIFS(領用表!$L:$L,領用表!$E:$E,$B41,領用表!$B:$B,L$2&amp;$P$1)</f>
        <v/>
      </c>
      <c r="M41" s="142">
        <f>SUMIFS(領用表!$L:$L,領用表!$E:$E,$B41,領用表!$B:$B,M$2&amp;$P$1)</f>
        <v/>
      </c>
      <c r="N41" s="23">
        <f>SUM(,H41,I41,J41,K41,L41,M41)</f>
        <v/>
      </c>
      <c r="O41" s="23">
        <f>AVERAGE(,H41,I41,J41,K41,L41,M41)</f>
        <v/>
      </c>
      <c r="P41" s="142">
        <f>SUMIFS(領用表!$L:$L,領用表!$E:$E,$B41,領用表!$B:$B,P$2&amp;$P$1)</f>
        <v/>
      </c>
      <c r="Q41" s="142">
        <f>SUMIFS(領用表!$L:$L,領用表!$E:$E,$B41,領用表!$B:$B,Q$2&amp;$P$1)</f>
        <v/>
      </c>
      <c r="R41" s="142">
        <f>SUMIFS(領用表!$L:$L,領用表!$E:$E,$B41,領用表!$B:$B,R$2&amp;$P$1)</f>
        <v/>
      </c>
      <c r="S41" s="142">
        <f>SUMIFS(領用表!$L:$L,領用表!$E:$E,$B41,領用表!$B:$B,S$2&amp;$P$1)</f>
        <v/>
      </c>
      <c r="T41" s="142">
        <f>SUMIFS(領用表!$L:$L,領用表!$E:$E,$B41,領用表!$B:$B,T$2&amp;$P$1)</f>
        <v/>
      </c>
      <c r="U41" s="142" t="n"/>
      <c r="V41" s="142">
        <f>SUMIFS(領用表!$L:$L,領用表!$E:$E,$B41,領用表!$B:$B,V$2&amp;$P$1)</f>
        <v/>
      </c>
      <c r="W41" s="142">
        <f>SUMIFS(領用表!$L:$L,領用表!$E:$E,$B41,領用表!$B:$B,W$2&amp;$P$1)</f>
        <v/>
      </c>
      <c r="X41" s="142">
        <f>SUMIFS(領用表!$L:$L,領用表!$E:$E,$B41,領用表!$B:$B,X$2&amp;$P$1)</f>
        <v/>
      </c>
      <c r="Y41" s="142">
        <f>SUMIFS(領用表!$L:$L,領用表!$E:$E,$B41,領用表!$B:$B,Y$2&amp;$P$1)</f>
        <v/>
      </c>
      <c r="Z41" s="142">
        <f>SUMIFS(領用表!$L:$L,領用表!$E:$E,$B41,領用表!$B:$B,Z$2&amp;$P$1)</f>
        <v/>
      </c>
      <c r="AA41" s="142">
        <f>SUMIFS(領用表!$L:$L,領用表!$E:$E,$B41,領用表!$B:$B,AA$2&amp;$P$1)</f>
        <v/>
      </c>
      <c r="AB41" s="142">
        <f>SUM(P41,Q41,R41,S41,T41,U41)</f>
        <v/>
      </c>
      <c r="AC41" s="142">
        <f>AVERAGE(P41,Q41,R41,S41,T41,U41)</f>
        <v/>
      </c>
      <c r="AD41" s="142">
        <f>SUMIF(Summary!B:B,B41,Summary!EC:EC)</f>
        <v/>
      </c>
      <c r="AE41" s="108" t="n"/>
      <c r="AF41" s="65" t="n"/>
      <c r="AG41" s="65" t="n"/>
      <c r="AH41" s="65" t="n"/>
      <c r="AI41" s="27" t="n"/>
      <c r="AJ41" s="27" t="n"/>
      <c r="AK41" s="14" t="n"/>
      <c r="AL41" s="29" t="n"/>
    </row>
    <row r="42" ht="15.75" customHeight="1" s="453">
      <c r="A42" s="27" t="n"/>
      <c r="B42" s="14" t="n">
        <v>6120024</v>
      </c>
      <c r="C42" s="136" t="inlineStr">
        <is>
          <t>利都卡因 注射液2% 20ml</t>
        </is>
      </c>
      <c r="D42" s="77" t="n"/>
      <c r="E42" s="17" t="inlineStr">
        <is>
          <t>PCS</t>
        </is>
      </c>
      <c r="F42" s="18" t="n"/>
      <c r="G42" s="18" t="n"/>
      <c r="H42" s="20">
        <f>SUMIFS(領用表!$L:$L,領用表!$E:$E,$B42,領用表!$B:$B,H$2&amp;$P$1)</f>
        <v/>
      </c>
      <c r="I42" s="20">
        <f>SUMIFS(領用表!$L:$L,領用表!$E:$E,$B42,領用表!$B:$B,I$2&amp;$P$1)</f>
        <v/>
      </c>
      <c r="J42" s="20">
        <f>SUMIFS(領用表!$L:$L,領用表!$E:$E,$B42,領用表!$B:$B,J$2&amp;$P$1)</f>
        <v/>
      </c>
      <c r="K42" s="142">
        <f>SUMIFS(領用表!$L:$L,領用表!$E:$E,$B42,領用表!$B:$B,K$2&amp;$P$1)</f>
        <v/>
      </c>
      <c r="L42" s="142">
        <f>SUMIFS(領用表!$L:$L,領用表!$E:$E,$B42,領用表!$B:$B,L$2&amp;$P$1)</f>
        <v/>
      </c>
      <c r="M42" s="142">
        <f>SUMIFS(領用表!$L:$L,領用表!$E:$E,$B42,領用表!$B:$B,M$2&amp;$P$1)</f>
        <v/>
      </c>
      <c r="N42" s="23">
        <f>SUM(,H42,I42,J42,K42,L42,M42)</f>
        <v/>
      </c>
      <c r="O42" s="23">
        <f>AVERAGE(,H42,I42,J42,K42,L42,M42)</f>
        <v/>
      </c>
      <c r="P42" s="142">
        <f>SUMIFS(領用表!$L:$L,領用表!$E:$E,$B42,領用表!$B:$B,P$2&amp;$P$1)</f>
        <v/>
      </c>
      <c r="Q42" s="142">
        <f>SUMIFS(領用表!$L:$L,領用表!$E:$E,$B42,領用表!$B:$B,Q$2&amp;$P$1)</f>
        <v/>
      </c>
      <c r="R42" s="142">
        <f>SUMIFS(領用表!$L:$L,領用表!$E:$E,$B42,領用表!$B:$B,R$2&amp;$P$1)</f>
        <v/>
      </c>
      <c r="S42" s="142">
        <f>SUMIFS(領用表!$L:$L,領用表!$E:$E,$B42,領用表!$B:$B,S$2&amp;$P$1)</f>
        <v/>
      </c>
      <c r="T42" s="142">
        <f>SUMIFS(領用表!$L:$L,領用表!$E:$E,$B42,領用表!$B:$B,T$2&amp;$P$1)</f>
        <v/>
      </c>
      <c r="U42" s="142" t="n"/>
      <c r="V42" s="142">
        <f>SUMIFS(領用表!$L:$L,領用表!$E:$E,$B42,領用表!$B:$B,V$2&amp;$P$1)</f>
        <v/>
      </c>
      <c r="W42" s="142">
        <f>SUMIFS(領用表!$L:$L,領用表!$E:$E,$B42,領用表!$B:$B,W$2&amp;$P$1)</f>
        <v/>
      </c>
      <c r="X42" s="142">
        <f>SUMIFS(領用表!$L:$L,領用表!$E:$E,$B42,領用表!$B:$B,X$2&amp;$P$1)</f>
        <v/>
      </c>
      <c r="Y42" s="142">
        <f>SUMIFS(領用表!$L:$L,領用表!$E:$E,$B42,領用表!$B:$B,Y$2&amp;$P$1)</f>
        <v/>
      </c>
      <c r="Z42" s="142">
        <f>SUMIFS(領用表!$L:$L,領用表!$E:$E,$B42,領用表!$B:$B,Z$2&amp;$P$1)</f>
        <v/>
      </c>
      <c r="AA42" s="142">
        <f>SUMIFS(領用表!$L:$L,領用表!$E:$E,$B42,領用表!$B:$B,AA$2&amp;$P$1)</f>
        <v/>
      </c>
      <c r="AB42" s="142">
        <f>SUM(P42,Q42,R42,S42,T42,U42)</f>
        <v/>
      </c>
      <c r="AC42" s="142">
        <f>AVERAGE(P42,Q42,R42,S42,T42,U42)</f>
        <v/>
      </c>
      <c r="AD42" s="142">
        <f>SUMIF(Summary!B:B,B42,Summary!EC:EC)</f>
        <v/>
      </c>
      <c r="AE42" s="109" t="n"/>
      <c r="AF42" s="65" t="n"/>
      <c r="AG42" s="65" t="n"/>
      <c r="AH42" s="65" t="n"/>
      <c r="AI42" s="27" t="n"/>
      <c r="AJ42" s="27" t="n"/>
      <c r="AK42" s="14" t="n"/>
      <c r="AL42" s="29" t="n"/>
    </row>
    <row r="43" ht="15.75" customHeight="1" s="453">
      <c r="A43" s="27" t="n"/>
      <c r="B43" s="14" t="n">
        <v>6120025</v>
      </c>
      <c r="C43" s="136" t="inlineStr">
        <is>
          <t>利度膚寧(含epinephrine) 20ml</t>
        </is>
      </c>
      <c r="D43" s="77" t="n"/>
      <c r="E43" s="17" t="inlineStr">
        <is>
          <t>PCS</t>
        </is>
      </c>
      <c r="F43" s="18" t="n"/>
      <c r="G43" s="18" t="n"/>
      <c r="H43" s="20">
        <f>SUMIFS(領用表!$L:$L,領用表!$E:$E,$B43,領用表!$B:$B,H$2&amp;$P$1)</f>
        <v/>
      </c>
      <c r="I43" s="20">
        <f>SUMIFS(領用表!$L:$L,領用表!$E:$E,$B43,領用表!$B:$B,I$2&amp;$P$1)</f>
        <v/>
      </c>
      <c r="J43" s="20">
        <f>SUMIFS(領用表!$L:$L,領用表!$E:$E,$B43,領用表!$B:$B,J$2&amp;$P$1)</f>
        <v/>
      </c>
      <c r="K43" s="142">
        <f>SUMIFS(領用表!$L:$L,領用表!$E:$E,$B43,領用表!$B:$B,K$2&amp;$P$1)</f>
        <v/>
      </c>
      <c r="L43" s="142">
        <f>SUMIFS(領用表!$L:$L,領用表!$E:$E,$B43,領用表!$B:$B,L$2&amp;$P$1)</f>
        <v/>
      </c>
      <c r="M43" s="142">
        <f>SUMIFS(領用表!$L:$L,領用表!$E:$E,$B43,領用表!$B:$B,M$2&amp;$P$1)</f>
        <v/>
      </c>
      <c r="N43" s="23">
        <f>SUM(,H43,I43,J43,K43,L43,M43)</f>
        <v/>
      </c>
      <c r="O43" s="23">
        <f>AVERAGE(,H43,I43,J43,K43,L43,M43)</f>
        <v/>
      </c>
      <c r="P43" s="142">
        <f>SUMIFS(領用表!$L:$L,領用表!$E:$E,$B43,領用表!$B:$B,P$2&amp;$P$1)</f>
        <v/>
      </c>
      <c r="Q43" s="142">
        <f>SUMIFS(領用表!$L:$L,領用表!$E:$E,$B43,領用表!$B:$B,Q$2&amp;$P$1)</f>
        <v/>
      </c>
      <c r="R43" s="142">
        <f>SUMIFS(領用表!$L:$L,領用表!$E:$E,$B43,領用表!$B:$B,R$2&amp;$P$1)</f>
        <v/>
      </c>
      <c r="S43" s="142">
        <f>SUMIFS(領用表!$L:$L,領用表!$E:$E,$B43,領用表!$B:$B,S$2&amp;$P$1)</f>
        <v/>
      </c>
      <c r="T43" s="142">
        <f>SUMIFS(領用表!$L:$L,領用表!$E:$E,$B43,領用表!$B:$B,T$2&amp;$P$1)</f>
        <v/>
      </c>
      <c r="U43" s="142" t="n"/>
      <c r="V43" s="142">
        <f>SUMIFS(領用表!$L:$L,領用表!$E:$E,$B43,領用表!$B:$B,V$2&amp;$P$1)</f>
        <v/>
      </c>
      <c r="W43" s="142">
        <f>SUMIFS(領用表!$L:$L,領用表!$E:$E,$B43,領用表!$B:$B,W$2&amp;$P$1)</f>
        <v/>
      </c>
      <c r="X43" s="142">
        <f>SUMIFS(領用表!$L:$L,領用表!$E:$E,$B43,領用表!$B:$B,X$2&amp;$P$1)</f>
        <v/>
      </c>
      <c r="Y43" s="142">
        <f>SUMIFS(領用表!$L:$L,領用表!$E:$E,$B43,領用表!$B:$B,Y$2&amp;$P$1)</f>
        <v/>
      </c>
      <c r="Z43" s="142">
        <f>SUMIFS(領用表!$L:$L,領用表!$E:$E,$B43,領用表!$B:$B,Z$2&amp;$P$1)</f>
        <v/>
      </c>
      <c r="AA43" s="142">
        <f>SUMIFS(領用表!$L:$L,領用表!$E:$E,$B43,領用表!$B:$B,AA$2&amp;$P$1)</f>
        <v/>
      </c>
      <c r="AB43" s="142">
        <f>SUM(P43,Q43,R43,S43,T43,U43)</f>
        <v/>
      </c>
      <c r="AC43" s="142">
        <f>AVERAGE(P43,Q43,R43,S43,T43,U43)</f>
        <v/>
      </c>
      <c r="AD43" s="142">
        <f>SUMIF(Summary!B:B,B43,Summary!EC:EC)</f>
        <v/>
      </c>
      <c r="AE43" s="109" t="n"/>
      <c r="AF43" s="65" t="n"/>
      <c r="AG43" s="65" t="n"/>
      <c r="AH43" s="65" t="n"/>
      <c r="AI43" s="27" t="n"/>
      <c r="AJ43" s="27" t="n"/>
      <c r="AK43" s="14" t="n"/>
      <c r="AL43" s="29" t="n"/>
    </row>
    <row r="44" ht="15.75" customHeight="1" s="453">
      <c r="A44" s="27" t="n"/>
      <c r="B44" s="14" t="e">
        <v>#N/A</v>
      </c>
      <c r="C44" s="136" t="inlineStr">
        <is>
          <t>可特1ml</t>
        </is>
      </c>
      <c r="D44" s="77" t="n"/>
      <c r="E44" s="17" t="inlineStr">
        <is>
          <t>PCS</t>
        </is>
      </c>
      <c r="F44" s="18" t="n"/>
      <c r="G44" s="18" t="n"/>
      <c r="H44" s="20">
        <f>SUMIFS(領用表!$L:$L,領用表!$E:$E,$B44,領用表!$B:$B,H$2&amp;$P$1)</f>
        <v/>
      </c>
      <c r="I44" s="20">
        <f>SUMIFS(領用表!$L:$L,領用表!$E:$E,$B44,領用表!$B:$B,I$2&amp;$P$1)</f>
        <v/>
      </c>
      <c r="J44" s="20">
        <f>SUMIFS(領用表!$L:$L,領用表!$E:$E,$B44,領用表!$B:$B,J$2&amp;$P$1)</f>
        <v/>
      </c>
      <c r="K44" s="142">
        <f>SUMIFS(領用表!$L:$L,領用表!$E:$E,$B44,領用表!$B:$B,K$2&amp;$P$1)</f>
        <v/>
      </c>
      <c r="L44" s="142">
        <f>SUMIFS(領用表!$L:$L,領用表!$E:$E,$B44,領用表!$B:$B,L$2&amp;$P$1)</f>
        <v/>
      </c>
      <c r="M44" s="142">
        <f>SUMIFS(領用表!$L:$L,領用表!$E:$E,$B44,領用表!$B:$B,M$2&amp;$P$1)</f>
        <v/>
      </c>
      <c r="N44" s="23">
        <f>SUM(,H44,I44,J44,K44,L44,M44)</f>
        <v/>
      </c>
      <c r="O44" s="23">
        <f>AVERAGE(,H44,I44,J44,K44,L44,M44)</f>
        <v/>
      </c>
      <c r="P44" s="142">
        <f>SUMIFS(領用表!$L:$L,領用表!$E:$E,$B44,領用表!$B:$B,P$2&amp;$P$1)</f>
        <v/>
      </c>
      <c r="Q44" s="142">
        <f>SUMIFS(領用表!$L:$L,領用表!$E:$E,$B44,領用表!$B:$B,Q$2&amp;$P$1)</f>
        <v/>
      </c>
      <c r="R44" s="142">
        <f>SUMIFS(領用表!$L:$L,領用表!$E:$E,$B44,領用表!$B:$B,R$2&amp;$P$1)</f>
        <v/>
      </c>
      <c r="S44" s="142">
        <f>SUMIFS(領用表!$L:$L,領用表!$E:$E,$B44,領用表!$B:$B,S$2&amp;$P$1)</f>
        <v/>
      </c>
      <c r="T44" s="142">
        <f>SUMIFS(領用表!$L:$L,領用表!$E:$E,$B44,領用表!$B:$B,T$2&amp;$P$1)</f>
        <v/>
      </c>
      <c r="U44" s="142">
        <f>SUMIFS(領用表!$L:$L,領用表!$E:$E,$B44,領用表!$B:$B,U$2&amp;$P$1)</f>
        <v/>
      </c>
      <c r="V44" s="142">
        <f>SUMIFS(領用表!$L:$L,領用表!$E:$E,$B44,領用表!$B:$B,V$2&amp;$P$1)</f>
        <v/>
      </c>
      <c r="W44" s="142">
        <f>SUMIFS(領用表!$L:$L,領用表!$E:$E,$B44,領用表!$B:$B,W$2&amp;$P$1)</f>
        <v/>
      </c>
      <c r="X44" s="142">
        <f>SUMIFS(領用表!$L:$L,領用表!$E:$E,$B44,領用表!$B:$B,X$2&amp;$P$1)</f>
        <v/>
      </c>
      <c r="Y44" s="142">
        <f>SUMIFS(領用表!$L:$L,領用表!$E:$E,$B44,領用表!$B:$B,Y$2&amp;$P$1)</f>
        <v/>
      </c>
      <c r="Z44" s="142">
        <f>SUMIFS(領用表!$L:$L,領用表!$E:$E,$B44,領用表!$B:$B,Z$2&amp;$P$1)</f>
        <v/>
      </c>
      <c r="AA44" s="142">
        <f>SUMIFS(領用表!$L:$L,領用表!$E:$E,$B44,領用表!$B:$B,AA$2&amp;$P$1)</f>
        <v/>
      </c>
      <c r="AB44" s="142">
        <f>SUM(P44,Q44,R44,S44,T44,U44)</f>
        <v/>
      </c>
      <c r="AC44" s="142">
        <f>AVERAGE(P44,Q44,R44,S44,T44,U44)</f>
        <v/>
      </c>
      <c r="AD44" s="142">
        <f>SUMIF(Summary!B:B,B44,Summary!EC:EC)</f>
        <v/>
      </c>
      <c r="AE44" s="109" t="n"/>
      <c r="AF44" s="65" t="n"/>
      <c r="AG44" s="65" t="n"/>
      <c r="AH44" s="65" t="n"/>
      <c r="AI44" s="27" t="n"/>
      <c r="AJ44" s="27" t="n"/>
      <c r="AK44" s="14" t="n"/>
      <c r="AL44" s="29" t="n"/>
    </row>
    <row r="45" ht="15.75" customHeight="1" s="453">
      <c r="A45" s="27" t="n"/>
      <c r="B45" s="14" t="n">
        <v>6120027</v>
      </c>
      <c r="C45" s="136" t="inlineStr">
        <is>
          <t>硫皙酸</t>
        </is>
      </c>
      <c r="D45" s="72" t="n"/>
      <c r="E45" s="17" t="inlineStr">
        <is>
          <t>PCS</t>
        </is>
      </c>
      <c r="F45" s="18" t="n"/>
      <c r="G45" s="18" t="n"/>
      <c r="H45" s="20">
        <f>SUMIFS(領用表!$L:$L,領用表!$E:$E,$B45,領用表!$B:$B,H$2&amp;$P$1)</f>
        <v/>
      </c>
      <c r="I45" s="20">
        <f>SUMIFS(領用表!$L:$L,領用表!$E:$E,$B45,領用表!$B:$B,I$2&amp;$P$1)</f>
        <v/>
      </c>
      <c r="J45" s="20">
        <f>SUMIFS(領用表!$L:$L,領用表!$E:$E,$B45,領用表!$B:$B,J$2&amp;$P$1)</f>
        <v/>
      </c>
      <c r="K45" s="142">
        <f>SUMIFS(領用表!$L:$L,領用表!$E:$E,$B45,領用表!$B:$B,K$2&amp;$P$1)</f>
        <v/>
      </c>
      <c r="L45" s="142">
        <f>SUMIFS(領用表!$L:$L,領用表!$E:$E,$B45,領用表!$B:$B,L$2&amp;$P$1)</f>
        <v/>
      </c>
      <c r="M45" s="142">
        <f>SUMIFS(領用表!$L:$L,領用表!$E:$E,$B45,領用表!$B:$B,M$2&amp;$P$1)</f>
        <v/>
      </c>
      <c r="N45" s="23">
        <f>SUM(,H45,I45,J45,K45,L45,M45)</f>
        <v/>
      </c>
      <c r="O45" s="23">
        <f>AVERAGE(,H45,I45,J45,K45,L45,M45)</f>
        <v/>
      </c>
      <c r="P45" s="142">
        <f>SUMIFS(領用表!$L:$L,領用表!$E:$E,$B45,領用表!$B:$B,P$2&amp;$P$1)</f>
        <v/>
      </c>
      <c r="Q45" s="142">
        <f>SUMIFS(領用表!$L:$L,領用表!$E:$E,$B45,領用表!$B:$B,Q$2&amp;$P$1)</f>
        <v/>
      </c>
      <c r="R45" s="142">
        <f>SUMIFS(領用表!$L:$L,領用表!$E:$E,$B45,領用表!$B:$B,R$2&amp;$P$1)</f>
        <v/>
      </c>
      <c r="S45" s="142">
        <f>SUMIFS(領用表!$L:$L,領用表!$E:$E,$B45,領用表!$B:$B,S$2&amp;$P$1)</f>
        <v/>
      </c>
      <c r="T45" s="142">
        <f>SUMIFS(領用表!$L:$L,領用表!$E:$E,$B45,領用表!$B:$B,T$2&amp;$P$1)</f>
        <v/>
      </c>
      <c r="U45" s="142" t="n"/>
      <c r="V45" s="142">
        <f>SUMIFS(領用表!$L:$L,領用表!$E:$E,$B45,領用表!$B:$B,V$2&amp;$P$1)</f>
        <v/>
      </c>
      <c r="W45" s="142">
        <f>SUMIFS(領用表!$L:$L,領用表!$E:$E,$B45,領用表!$B:$B,W$2&amp;$P$1)</f>
        <v/>
      </c>
      <c r="X45" s="142">
        <f>SUMIFS(領用表!$L:$L,領用表!$E:$E,$B45,領用表!$B:$B,X$2&amp;$P$1)</f>
        <v/>
      </c>
      <c r="Y45" s="142">
        <f>SUMIFS(領用表!$L:$L,領用表!$E:$E,$B45,領用表!$B:$B,Y$2&amp;$P$1)</f>
        <v/>
      </c>
      <c r="Z45" s="142">
        <f>SUMIFS(領用表!$L:$L,領用表!$E:$E,$B45,領用表!$B:$B,Z$2&amp;$P$1)</f>
        <v/>
      </c>
      <c r="AA45" s="142">
        <f>SUMIFS(領用表!$L:$L,領用表!$E:$E,$B45,領用表!$B:$B,AA$2&amp;$P$1)</f>
        <v/>
      </c>
      <c r="AB45" s="142">
        <f>SUM(P45,Q45,R45,S45,T45,U45)</f>
        <v/>
      </c>
      <c r="AC45" s="142">
        <f>AVERAGE(P45,Q45,R45,S45,T45,U45)</f>
        <v/>
      </c>
      <c r="AD45" s="142">
        <f>SUMIF(Summary!B:B,B45,Summary!EC:EC)</f>
        <v/>
      </c>
      <c r="AE45" s="109" t="n"/>
      <c r="AF45" s="65" t="n"/>
      <c r="AG45" s="65" t="n"/>
      <c r="AH45" s="76" t="n"/>
      <c r="AI45" s="27" t="n"/>
      <c r="AJ45" s="69" t="n"/>
      <c r="AK45" s="14" t="n"/>
      <c r="AL45" s="14" t="n"/>
    </row>
    <row r="46" ht="15.75" customHeight="1" s="453">
      <c r="A46" s="27" t="n"/>
      <c r="B46" s="14" t="n">
        <v>6120018</v>
      </c>
      <c r="C46" s="136" t="inlineStr">
        <is>
          <t>止血明(TRA)</t>
        </is>
      </c>
      <c r="D46" s="72" t="n"/>
      <c r="E46" s="17" t="inlineStr">
        <is>
          <t>PCS</t>
        </is>
      </c>
      <c r="F46" s="18" t="n"/>
      <c r="G46" s="18" t="n">
        <v>120</v>
      </c>
      <c r="H46" s="20">
        <f>SUMIFS(領用表!$L:$L,領用表!$E:$E,$B46,領用表!$B:$B,H$2&amp;$P$1)</f>
        <v/>
      </c>
      <c r="I46" s="20">
        <f>SUMIFS(領用表!$L:$L,領用表!$E:$E,$B46,領用表!$B:$B,I$2&amp;$P$1)</f>
        <v/>
      </c>
      <c r="J46" s="20">
        <f>SUMIFS(領用表!$L:$L,領用表!$E:$E,$B46,領用表!$B:$B,J$2&amp;$P$1)</f>
        <v/>
      </c>
      <c r="K46" s="142">
        <f>SUMIFS(領用表!$L:$L,領用表!$E:$E,$B46,領用表!$B:$B,K$2&amp;$P$1)</f>
        <v/>
      </c>
      <c r="L46" s="142">
        <f>SUMIFS(領用表!$L:$L,領用表!$E:$E,$B46,領用表!$B:$B,L$2&amp;$P$1)</f>
        <v/>
      </c>
      <c r="M46" s="142">
        <f>SUMIFS(領用表!$L:$L,領用表!$E:$E,$B46,領用表!$B:$B,M$2&amp;$P$1)</f>
        <v/>
      </c>
      <c r="N46" s="23">
        <f>SUM(,H46,I46,J46,K46,L46,M46)</f>
        <v/>
      </c>
      <c r="O46" s="23">
        <f>AVERAGE(,H46,I46,J46,K46,L46,M46)</f>
        <v/>
      </c>
      <c r="P46" s="142">
        <f>SUMIFS(領用表!$L:$L,領用表!$E:$E,$B46,領用表!$B:$B,P$2&amp;$P$1)</f>
        <v/>
      </c>
      <c r="Q46" s="142">
        <f>SUMIFS(領用表!$L:$L,領用表!$E:$E,$B46,領用表!$B:$B,Q$2&amp;$P$1)</f>
        <v/>
      </c>
      <c r="R46" s="142">
        <f>SUMIFS(領用表!$L:$L,領用表!$E:$E,$B46,領用表!$B:$B,R$2&amp;$P$1)</f>
        <v/>
      </c>
      <c r="S46" s="142">
        <f>SUMIFS(領用表!$L:$L,領用表!$E:$E,$B46,領用表!$B:$B,S$2&amp;$P$1)</f>
        <v/>
      </c>
      <c r="T46" s="142">
        <f>SUMIFS(領用表!$L:$L,領用表!$E:$E,$B46,領用表!$B:$B,T$2&amp;$P$1)</f>
        <v/>
      </c>
      <c r="U46" s="142" t="n"/>
      <c r="V46" s="142">
        <f>SUMIFS(領用表!$L:$L,領用表!$E:$E,$B46,領用表!$B:$B,V$2&amp;$P$1)</f>
        <v/>
      </c>
      <c r="W46" s="142">
        <f>SUMIFS(領用表!$L:$L,領用表!$E:$E,$B46,領用表!$B:$B,W$2&amp;$P$1)</f>
        <v/>
      </c>
      <c r="X46" s="142">
        <f>SUMIFS(領用表!$L:$L,領用表!$E:$E,$B46,領用表!$B:$B,X$2&amp;$P$1)</f>
        <v/>
      </c>
      <c r="Y46" s="142">
        <f>SUMIFS(領用表!$L:$L,領用表!$E:$E,$B46,領用表!$B:$B,Y$2&amp;$P$1)</f>
        <v/>
      </c>
      <c r="Z46" s="142">
        <f>SUMIFS(領用表!$L:$L,領用表!$E:$E,$B46,領用表!$B:$B,Z$2&amp;$P$1)</f>
        <v/>
      </c>
      <c r="AA46" s="142">
        <f>SUMIFS(領用表!$L:$L,領用表!$E:$E,$B46,領用表!$B:$B,AA$2&amp;$P$1)</f>
        <v/>
      </c>
      <c r="AB46" s="142">
        <f>SUM(P46,Q46,R46,S46,T46,U46)</f>
        <v/>
      </c>
      <c r="AC46" s="142">
        <f>AVERAGE(P46,Q46,R46,S46,T46,U46)</f>
        <v/>
      </c>
      <c r="AD46" s="142">
        <f>SUMIF(Summary!B:B,B46,Summary!EC:EC)</f>
        <v/>
      </c>
      <c r="AE46" s="109" t="n"/>
      <c r="AF46" s="65" t="n"/>
      <c r="AG46" s="76" t="inlineStr">
        <is>
          <t>100-10/24</t>
        </is>
      </c>
      <c r="AH46" s="65" t="n"/>
      <c r="AI46" s="27" t="n"/>
      <c r="AJ46" s="69" t="n"/>
      <c r="AK46" s="14" t="n"/>
      <c r="AL46" s="14" t="n"/>
    </row>
    <row r="47" ht="15.75" customHeight="1" s="453">
      <c r="A47" s="27" t="n"/>
      <c r="B47" s="14" t="n">
        <v>6120011</v>
      </c>
      <c r="C47" s="136" t="inlineStr">
        <is>
          <t>西寧特(硒)</t>
        </is>
      </c>
      <c r="D47" s="72" t="n">
        <v>10</v>
      </c>
      <c r="E47" s="17" t="inlineStr">
        <is>
          <t>PCS</t>
        </is>
      </c>
      <c r="F47" s="18" t="n"/>
      <c r="G47" s="18" t="n">
        <v>26</v>
      </c>
      <c r="H47" s="20">
        <f>SUMIFS(領用表!$L:$L,領用表!$E:$E,$B47,領用表!$B:$B,H$2&amp;$P$1)</f>
        <v/>
      </c>
      <c r="I47" s="20">
        <f>SUMIFS(領用表!$L:$L,領用表!$E:$E,$B47,領用表!$B:$B,I$2&amp;$P$1)</f>
        <v/>
      </c>
      <c r="J47" s="20">
        <f>SUMIFS(領用表!$L:$L,領用表!$E:$E,$B47,領用表!$B:$B,J$2&amp;$P$1)</f>
        <v/>
      </c>
      <c r="K47" s="142">
        <f>SUMIFS(領用表!$L:$L,領用表!$E:$E,$B47,領用表!$B:$B,K$2&amp;$P$1)</f>
        <v/>
      </c>
      <c r="L47" s="142">
        <f>SUMIFS(領用表!$L:$L,領用表!$E:$E,$B47,領用表!$B:$B,L$2&amp;$P$1)</f>
        <v/>
      </c>
      <c r="M47" s="142">
        <f>SUMIFS(領用表!$L:$L,領用表!$E:$E,$B47,領用表!$B:$B,M$2&amp;$P$1)</f>
        <v/>
      </c>
      <c r="N47" s="23">
        <f>SUM(,H47,I47,J47,K47,L47,M47)</f>
        <v/>
      </c>
      <c r="O47" s="23">
        <f>AVERAGE(,H47,I47,J47,K47,L47,M47)</f>
        <v/>
      </c>
      <c r="P47" s="142">
        <f>SUMIFS(領用表!$L:$L,領用表!$E:$E,$B47,領用表!$B:$B,P$2&amp;$P$1)</f>
        <v/>
      </c>
      <c r="Q47" s="142">
        <f>SUMIFS(領用表!$L:$L,領用表!$E:$E,$B47,領用表!$B:$B,Q$2&amp;$P$1)</f>
        <v/>
      </c>
      <c r="R47" s="142">
        <f>SUMIFS(領用表!$L:$L,領用表!$E:$E,$B47,領用表!$B:$B,R$2&amp;$P$1)</f>
        <v/>
      </c>
      <c r="S47" s="142">
        <f>SUMIFS(領用表!$L:$L,領用表!$E:$E,$B47,領用表!$B:$B,S$2&amp;$P$1)</f>
        <v/>
      </c>
      <c r="T47" s="142">
        <f>SUMIFS(領用表!$L:$L,領用表!$E:$E,$B47,領用表!$B:$B,T$2&amp;$P$1)</f>
        <v/>
      </c>
      <c r="U47" s="142" t="n">
        <v>4</v>
      </c>
      <c r="V47" s="142">
        <f>SUMIFS(領用表!$L:$L,領用表!$E:$E,$B47,領用表!$B:$B,V$2&amp;$P$1)</f>
        <v/>
      </c>
      <c r="W47" s="142">
        <f>SUMIFS(領用表!$L:$L,領用表!$E:$E,$B47,領用表!$B:$B,W$2&amp;$P$1)</f>
        <v/>
      </c>
      <c r="X47" s="142">
        <f>SUMIFS(領用表!$L:$L,領用表!$E:$E,$B47,領用表!$B:$B,X$2&amp;$P$1)</f>
        <v/>
      </c>
      <c r="Y47" s="142">
        <f>SUMIFS(領用表!$L:$L,領用表!$E:$E,$B47,領用表!$B:$B,Y$2&amp;$P$1)</f>
        <v/>
      </c>
      <c r="Z47" s="142">
        <f>SUMIFS(領用表!$L:$L,領用表!$E:$E,$B47,領用表!$B:$B,Z$2&amp;$P$1)</f>
        <v/>
      </c>
      <c r="AA47" s="142">
        <f>SUMIFS(領用表!$L:$L,領用表!$E:$E,$B47,領用表!$B:$B,AA$2&amp;$P$1)</f>
        <v/>
      </c>
      <c r="AB47" s="142">
        <f>SUM(P47,Q47,R47,S47,T47,U47)</f>
        <v/>
      </c>
      <c r="AC47" s="142">
        <f>AVERAGE(P47,Q47,R47,S47,T47,U47)</f>
        <v/>
      </c>
      <c r="AD47" s="142">
        <f>SUMIF(Summary!B:B,B47,Summary!EC:EC)</f>
        <v/>
      </c>
      <c r="AE47" s="109" t="n"/>
      <c r="AF47" s="65" t="n"/>
      <c r="AG47" s="65" t="inlineStr">
        <is>
          <t>20-10/22</t>
        </is>
      </c>
      <c r="AH47" s="65" t="n"/>
      <c r="AI47" s="27" t="n"/>
      <c r="AJ47" s="69" t="n"/>
      <c r="AK47" s="14" t="n"/>
      <c r="AL47" s="14" t="n"/>
    </row>
    <row r="48" ht="15.75" customHeight="1" s="453">
      <c r="A48" s="27" t="n"/>
      <c r="B48" s="14" t="n">
        <v>6120017</v>
      </c>
      <c r="C48" s="136" t="inlineStr">
        <is>
          <t>保肝</t>
        </is>
      </c>
      <c r="D48" s="72" t="n"/>
      <c r="E48" s="17" t="inlineStr">
        <is>
          <t>PCS</t>
        </is>
      </c>
      <c r="F48" s="18" t="n"/>
      <c r="G48" s="18" t="n">
        <v>70</v>
      </c>
      <c r="H48" s="20">
        <f>SUMIFS(領用表!$L:$L,領用表!$E:$E,$B48,領用表!$B:$B,H$2&amp;$P$1)</f>
        <v/>
      </c>
      <c r="I48" s="20">
        <f>SUMIFS(領用表!$L:$L,領用表!$E:$E,$B48,領用表!$B:$B,I$2&amp;$P$1)</f>
        <v/>
      </c>
      <c r="J48" s="20">
        <f>SUMIFS(領用表!$L:$L,領用表!$E:$E,$B48,領用表!$B:$B,J$2&amp;$P$1)</f>
        <v/>
      </c>
      <c r="K48" s="142">
        <f>SUMIFS(領用表!$L:$L,領用表!$E:$E,$B48,領用表!$B:$B,K$2&amp;$P$1)</f>
        <v/>
      </c>
      <c r="L48" s="142">
        <f>SUMIFS(領用表!$L:$L,領用表!$E:$E,$B48,領用表!$B:$B,L$2&amp;$P$1)</f>
        <v/>
      </c>
      <c r="M48" s="142">
        <f>SUMIFS(領用表!$L:$L,領用表!$E:$E,$B48,領用表!$B:$B,M$2&amp;$P$1)</f>
        <v/>
      </c>
      <c r="N48" s="23">
        <f>SUM(,H48,I48,J48,K48,L48,M48)</f>
        <v/>
      </c>
      <c r="O48" s="23">
        <f>AVERAGE(,H48,I48,J48,K48,L48,M48)</f>
        <v/>
      </c>
      <c r="P48" s="142">
        <f>SUMIFS(領用表!$L:$L,領用表!$E:$E,$B48,領用表!$B:$B,P$2&amp;$P$1)</f>
        <v/>
      </c>
      <c r="Q48" s="142">
        <f>SUMIFS(領用表!$L:$L,領用表!$E:$E,$B48,領用表!$B:$B,Q$2&amp;$P$1)</f>
        <v/>
      </c>
      <c r="R48" s="142">
        <f>SUMIFS(領用表!$L:$L,領用表!$E:$E,$B48,領用表!$B:$B,R$2&amp;$P$1)</f>
        <v/>
      </c>
      <c r="S48" s="142">
        <f>SUMIFS(領用表!$L:$L,領用表!$E:$E,$B48,領用表!$B:$B,S$2&amp;$P$1)</f>
        <v/>
      </c>
      <c r="T48" s="142">
        <f>SUMIFS(領用表!$L:$L,領用表!$E:$E,$B48,領用表!$B:$B,T$2&amp;$P$1)</f>
        <v/>
      </c>
      <c r="U48" s="142" t="n"/>
      <c r="V48" s="142">
        <f>SUMIFS(領用表!$L:$L,領用表!$E:$E,$B48,領用表!$B:$B,V$2&amp;$P$1)</f>
        <v/>
      </c>
      <c r="W48" s="142">
        <f>SUMIFS(領用表!$L:$L,領用表!$E:$E,$B48,領用表!$B:$B,W$2&amp;$P$1)</f>
        <v/>
      </c>
      <c r="X48" s="142">
        <f>SUMIFS(領用表!$L:$L,領用表!$E:$E,$B48,領用表!$B:$B,X$2&amp;$P$1)</f>
        <v/>
      </c>
      <c r="Y48" s="142">
        <f>SUMIFS(領用表!$L:$L,領用表!$E:$E,$B48,領用表!$B:$B,Y$2&amp;$P$1)</f>
        <v/>
      </c>
      <c r="Z48" s="142">
        <f>SUMIFS(領用表!$L:$L,領用表!$E:$E,$B48,領用表!$B:$B,Z$2&amp;$P$1)</f>
        <v/>
      </c>
      <c r="AA48" s="142">
        <f>SUMIFS(領用表!$L:$L,領用表!$E:$E,$B48,領用表!$B:$B,AA$2&amp;$P$1)</f>
        <v/>
      </c>
      <c r="AB48" s="142">
        <f>SUM(P48,Q48,R48,S48,T48,U48)</f>
        <v/>
      </c>
      <c r="AC48" s="142">
        <f>AVERAGE(P48,Q48,R48,S48,T48,U48)</f>
        <v/>
      </c>
      <c r="AD48" s="142">
        <f>SUMIF(Summary!B:B,B48,Summary!EC:EC)</f>
        <v/>
      </c>
      <c r="AE48" s="109" t="n"/>
      <c r="AF48" s="65" t="n"/>
      <c r="AG48" s="65" t="n"/>
      <c r="AH48" s="65" t="n"/>
      <c r="AI48" s="27" t="n"/>
      <c r="AJ48" s="69" t="n"/>
      <c r="AK48" s="14" t="n"/>
      <c r="AL48" s="14" t="n"/>
    </row>
    <row r="49" ht="15.75" customHeight="1" s="453">
      <c r="A49" s="27" t="n"/>
      <c r="B49" s="14" t="n">
        <v>6120028</v>
      </c>
      <c r="C49" s="136" t="inlineStr">
        <is>
          <t>治敏健 20ml</t>
        </is>
      </c>
      <c r="D49" s="77" t="n"/>
      <c r="E49" s="17" t="inlineStr">
        <is>
          <t>PCS</t>
        </is>
      </c>
      <c r="F49" s="18" t="n"/>
      <c r="G49" s="18" t="n"/>
      <c r="H49" s="20">
        <f>SUMIFS(領用表!$L:$L,領用表!$E:$E,$B49,領用表!$B:$B,H$2&amp;$P$1)</f>
        <v/>
      </c>
      <c r="I49" s="20">
        <f>SUMIFS(領用表!$L:$L,領用表!$E:$E,$B49,領用表!$B:$B,I$2&amp;$P$1)</f>
        <v/>
      </c>
      <c r="J49" s="20">
        <f>SUMIFS(領用表!$L:$L,領用表!$E:$E,$B49,領用表!$B:$B,J$2&amp;$P$1)</f>
        <v/>
      </c>
      <c r="K49" s="142">
        <f>SUMIFS(領用表!$L:$L,領用表!$E:$E,$B49,領用表!$B:$B,K$2&amp;$P$1)</f>
        <v/>
      </c>
      <c r="L49" s="142">
        <f>SUMIFS(領用表!$L:$L,領用表!$E:$E,$B49,領用表!$B:$B,L$2&amp;$P$1)</f>
        <v/>
      </c>
      <c r="M49" s="142">
        <f>SUMIFS(領用表!$L:$L,領用表!$E:$E,$B49,領用表!$B:$B,M$2&amp;$P$1)</f>
        <v/>
      </c>
      <c r="N49" s="23">
        <f>SUM(,H49,I49,J49,K49,L49,M49)</f>
        <v/>
      </c>
      <c r="O49" s="23">
        <f>AVERAGE(,H49,I49,J49,K49,L49,M49)</f>
        <v/>
      </c>
      <c r="P49" s="142">
        <f>SUMIFS(領用表!$L:$L,領用表!$E:$E,$B49,領用表!$B:$B,P$2&amp;$P$1)</f>
        <v/>
      </c>
      <c r="Q49" s="142">
        <f>SUMIFS(領用表!$L:$L,領用表!$E:$E,$B49,領用表!$B:$B,Q$2&amp;$P$1)</f>
        <v/>
      </c>
      <c r="R49" s="142">
        <f>SUMIFS(領用表!$L:$L,領用表!$E:$E,$B49,領用表!$B:$B,R$2&amp;$P$1)</f>
        <v/>
      </c>
      <c r="S49" s="142">
        <f>SUMIFS(領用表!$L:$L,領用表!$E:$E,$B49,領用表!$B:$B,S$2&amp;$P$1)</f>
        <v/>
      </c>
      <c r="T49" s="142">
        <f>SUMIFS(領用表!$L:$L,領用表!$E:$E,$B49,領用表!$B:$B,T$2&amp;$P$1)</f>
        <v/>
      </c>
      <c r="U49" s="142" t="n"/>
      <c r="V49" s="142">
        <f>SUMIFS(領用表!$L:$L,領用表!$E:$E,$B49,領用表!$B:$B,V$2&amp;$P$1)</f>
        <v/>
      </c>
      <c r="W49" s="142">
        <f>SUMIFS(領用表!$L:$L,領用表!$E:$E,$B49,領用表!$B:$B,W$2&amp;$P$1)</f>
        <v/>
      </c>
      <c r="X49" s="142">
        <f>SUMIFS(領用表!$L:$L,領用表!$E:$E,$B49,領用表!$B:$B,X$2&amp;$P$1)</f>
        <v/>
      </c>
      <c r="Y49" s="142">
        <f>SUMIFS(領用表!$L:$L,領用表!$E:$E,$B49,領用表!$B:$B,Y$2&amp;$P$1)</f>
        <v/>
      </c>
      <c r="Z49" s="142">
        <f>SUMIFS(領用表!$L:$L,領用表!$E:$E,$B49,領用表!$B:$B,Z$2&amp;$P$1)</f>
        <v/>
      </c>
      <c r="AA49" s="142">
        <f>SUMIFS(領用表!$L:$L,領用表!$E:$E,$B49,領用表!$B:$B,AA$2&amp;$P$1)</f>
        <v/>
      </c>
      <c r="AB49" s="142">
        <f>SUM(P49,Q49,R49,S49,T49,U49)</f>
        <v/>
      </c>
      <c r="AC49" s="142">
        <f>AVERAGE(P49,Q49,R49,S49,T49,U49)</f>
        <v/>
      </c>
      <c r="AD49" s="142">
        <f>SUMIF(Summary!B:B,B49,Summary!EC:EC)</f>
        <v/>
      </c>
      <c r="AE49" s="109" t="n"/>
      <c r="AF49" s="65" t="n"/>
      <c r="AG49" s="65" t="n"/>
      <c r="AH49" s="65" t="n"/>
      <c r="AI49" s="27" t="n"/>
      <c r="AJ49" s="27" t="n"/>
      <c r="AK49" s="14" t="n"/>
      <c r="AL49" s="29" t="n"/>
    </row>
    <row r="50" ht="15.75" customHeight="1" s="453">
      <c r="A50" s="27" t="n"/>
      <c r="B50" s="14" t="n">
        <v>6120007</v>
      </c>
      <c r="C50" s="136" t="inlineStr">
        <is>
          <t>硫酸鋅</t>
        </is>
      </c>
      <c r="D50" s="72" t="n">
        <v>100</v>
      </c>
      <c r="E50" s="17" t="inlineStr">
        <is>
          <t>PCS</t>
        </is>
      </c>
      <c r="F50" s="18" t="n"/>
      <c r="G50" s="18" t="n">
        <v>114</v>
      </c>
      <c r="H50" s="20">
        <f>SUMIFS(領用表!$L:$L,領用表!$E:$E,$B50,領用表!$B:$B,H$2&amp;$P$1)</f>
        <v/>
      </c>
      <c r="I50" s="20">
        <f>SUMIFS(領用表!$L:$L,領用表!$E:$E,$B50,領用表!$B:$B,I$2&amp;$P$1)</f>
        <v/>
      </c>
      <c r="J50" s="20">
        <f>SUMIFS(領用表!$L:$L,領用表!$E:$E,$B50,領用表!$B:$B,J$2&amp;$P$1)</f>
        <v/>
      </c>
      <c r="K50" s="142">
        <f>SUMIFS(領用表!$L:$L,領用表!$E:$E,$B50,領用表!$B:$B,K$2&amp;$P$1)</f>
        <v/>
      </c>
      <c r="L50" s="142">
        <f>SUMIFS(領用表!$L:$L,領用表!$E:$E,$B50,領用表!$B:$B,L$2&amp;$P$1)</f>
        <v/>
      </c>
      <c r="M50" s="142">
        <f>SUMIFS(領用表!$L:$L,領用表!$E:$E,$B50,領用表!$B:$B,M$2&amp;$P$1)</f>
        <v/>
      </c>
      <c r="N50" s="23">
        <f>SUM(,H50,I50,J50,K50,L50,M50)</f>
        <v/>
      </c>
      <c r="O50" s="23">
        <f>AVERAGE(,H50,I50,J50,K50,L50,M50)</f>
        <v/>
      </c>
      <c r="P50" s="142">
        <f>SUMIFS(領用表!$L:$L,領用表!$E:$E,$B50,領用表!$B:$B,P$2&amp;$P$1)</f>
        <v/>
      </c>
      <c r="Q50" s="142">
        <f>SUMIFS(領用表!$L:$L,領用表!$E:$E,$B50,領用表!$B:$B,Q$2&amp;$P$1)</f>
        <v/>
      </c>
      <c r="R50" s="142">
        <f>SUMIFS(領用表!$L:$L,領用表!$E:$E,$B50,領用表!$B:$B,R$2&amp;$P$1)</f>
        <v/>
      </c>
      <c r="S50" s="142">
        <f>SUMIFS(領用表!$L:$L,領用表!$E:$E,$B50,領用表!$B:$B,S$2&amp;$P$1)</f>
        <v/>
      </c>
      <c r="T50" s="142">
        <f>SUMIFS(領用表!$L:$L,領用表!$E:$E,$B50,領用表!$B:$B,T$2&amp;$P$1)</f>
        <v/>
      </c>
      <c r="U50" s="142" t="n">
        <v>4</v>
      </c>
      <c r="V50" s="142">
        <f>SUMIFS(領用表!$L:$L,領用表!$E:$E,$B50,領用表!$B:$B,V$2&amp;$P$1)</f>
        <v/>
      </c>
      <c r="W50" s="142">
        <f>SUMIFS(領用表!$L:$L,領用表!$E:$E,$B50,領用表!$B:$B,W$2&amp;$P$1)</f>
        <v/>
      </c>
      <c r="X50" s="142">
        <f>SUMIFS(領用表!$L:$L,領用表!$E:$E,$B50,領用表!$B:$B,X$2&amp;$P$1)</f>
        <v/>
      </c>
      <c r="Y50" s="142">
        <f>SUMIFS(領用表!$L:$L,領用表!$E:$E,$B50,領用表!$B:$B,Y$2&amp;$P$1)</f>
        <v/>
      </c>
      <c r="Z50" s="142">
        <f>SUMIFS(領用表!$L:$L,領用表!$E:$E,$B50,領用表!$B:$B,Z$2&amp;$P$1)</f>
        <v/>
      </c>
      <c r="AA50" s="142">
        <f>SUMIFS(領用表!$L:$L,領用表!$E:$E,$B50,領用表!$B:$B,AA$2&amp;$P$1)</f>
        <v/>
      </c>
      <c r="AB50" s="142">
        <f>SUM(P50,Q50,R50,S50,T50,U50)</f>
        <v/>
      </c>
      <c r="AC50" s="142">
        <f>AVERAGE(P50,Q50,R50,S50,T50,U50)</f>
        <v/>
      </c>
      <c r="AD50" s="142">
        <f>SUMIF(Summary!B:B,B50,Summary!EC:EC)</f>
        <v/>
      </c>
      <c r="AE50" s="109" t="n"/>
      <c r="AF50" s="65" t="n"/>
      <c r="AG50" s="65" t="n"/>
      <c r="AH50" s="65" t="n"/>
      <c r="AI50" s="27" t="n"/>
      <c r="AJ50" s="69" t="n"/>
      <c r="AK50" s="14" t="n"/>
      <c r="AL50" s="14" t="n"/>
    </row>
    <row r="51" ht="15.75" customHeight="1" s="453">
      <c r="A51" s="27" t="n"/>
      <c r="B51" s="14" t="n">
        <v>6120008</v>
      </c>
      <c r="C51" s="136" t="inlineStr">
        <is>
          <t>硫酸鎂</t>
        </is>
      </c>
      <c r="D51" s="72" t="n">
        <v>100</v>
      </c>
      <c r="E51" s="17" t="inlineStr">
        <is>
          <t>PCS</t>
        </is>
      </c>
      <c r="F51" s="18" t="n"/>
      <c r="G51" s="18" t="n">
        <v>23</v>
      </c>
      <c r="H51" s="20">
        <f>SUMIFS(領用表!$L:$L,領用表!$E:$E,$B51,領用表!$B:$B,H$2&amp;$P$1)</f>
        <v/>
      </c>
      <c r="I51" s="20">
        <f>SUMIFS(領用表!$L:$L,領用表!$E:$E,$B51,領用表!$B:$B,I$2&amp;$P$1)</f>
        <v/>
      </c>
      <c r="J51" s="20">
        <f>SUMIFS(領用表!$L:$L,領用表!$E:$E,$B51,領用表!$B:$B,J$2&amp;$P$1)</f>
        <v/>
      </c>
      <c r="K51" s="142">
        <f>SUMIFS(領用表!$L:$L,領用表!$E:$E,$B51,領用表!$B:$B,K$2&amp;$P$1)</f>
        <v/>
      </c>
      <c r="L51" s="142">
        <f>SUMIFS(領用表!$L:$L,領用表!$E:$E,$B51,領用表!$B:$B,L$2&amp;$P$1)</f>
        <v/>
      </c>
      <c r="M51" s="142">
        <f>SUMIFS(領用表!$L:$L,領用表!$E:$E,$B51,領用表!$B:$B,M$2&amp;$P$1)</f>
        <v/>
      </c>
      <c r="N51" s="23">
        <f>SUM(,H51,I51,J51,K51,L51,M51)</f>
        <v/>
      </c>
      <c r="O51" s="23">
        <f>AVERAGE(,H51,I51,J51,K51,L51,M51)</f>
        <v/>
      </c>
      <c r="P51" s="142">
        <f>SUMIFS(領用表!$L:$L,領用表!$E:$E,$B51,領用表!$B:$B,P$2&amp;$P$1)</f>
        <v/>
      </c>
      <c r="Q51" s="142">
        <f>SUMIFS(領用表!$L:$L,領用表!$E:$E,$B51,領用表!$B:$B,Q$2&amp;$P$1)</f>
        <v/>
      </c>
      <c r="R51" s="142">
        <f>SUMIFS(領用表!$L:$L,領用表!$E:$E,$B51,領用表!$B:$B,R$2&amp;$P$1)</f>
        <v/>
      </c>
      <c r="S51" s="142">
        <f>SUMIFS(領用表!$L:$L,領用表!$E:$E,$B51,領用表!$B:$B,S$2&amp;$P$1)</f>
        <v/>
      </c>
      <c r="T51" s="142">
        <f>SUMIFS(領用表!$L:$L,領用表!$E:$E,$B51,領用表!$B:$B,T$2&amp;$P$1)</f>
        <v/>
      </c>
      <c r="U51" s="142" t="n">
        <v>2</v>
      </c>
      <c r="V51" s="142">
        <f>SUMIFS(領用表!$L:$L,領用表!$E:$E,$B51,領用表!$B:$B,V$2&amp;$P$1)</f>
        <v/>
      </c>
      <c r="W51" s="142">
        <f>SUMIFS(領用表!$L:$L,領用表!$E:$E,$B51,領用表!$B:$B,W$2&amp;$P$1)</f>
        <v/>
      </c>
      <c r="X51" s="142">
        <f>SUMIFS(領用表!$L:$L,領用表!$E:$E,$B51,領用表!$B:$B,X$2&amp;$P$1)</f>
        <v/>
      </c>
      <c r="Y51" s="142">
        <f>SUMIFS(領用表!$L:$L,領用表!$E:$E,$B51,領用表!$B:$B,Y$2&amp;$P$1)</f>
        <v/>
      </c>
      <c r="Z51" s="142">
        <f>SUMIFS(領用表!$L:$L,領用表!$E:$E,$B51,領用表!$B:$B,Z$2&amp;$P$1)</f>
        <v/>
      </c>
      <c r="AA51" s="142">
        <f>SUMIFS(領用表!$L:$L,領用表!$E:$E,$B51,領用表!$B:$B,AA$2&amp;$P$1)</f>
        <v/>
      </c>
      <c r="AB51" s="142">
        <f>SUM(P51,Q51,R51,S51,T51,U51)</f>
        <v/>
      </c>
      <c r="AC51" s="142">
        <f>AVERAGE(P51,Q51,R51,S51,T51,U51)</f>
        <v/>
      </c>
      <c r="AD51" s="142">
        <f>SUMIF(Summary!B:B,B51,Summary!EC:EC)</f>
        <v/>
      </c>
      <c r="AE51" s="109" t="n"/>
      <c r="AF51" s="65" t="n"/>
      <c r="AG51" s="65" t="n"/>
      <c r="AH51" s="65" t="n"/>
      <c r="AI51" s="27" t="n"/>
      <c r="AJ51" s="69" t="n"/>
      <c r="AK51" s="14" t="n"/>
      <c r="AL51" s="14" t="n"/>
    </row>
    <row r="52" ht="15.75" customHeight="1" s="453">
      <c r="A52" s="27" t="n"/>
      <c r="B52" s="14" t="n">
        <v>6120029</v>
      </c>
      <c r="C52" s="136" t="inlineStr">
        <is>
          <t>鹽酸二苯胺明 1ml</t>
        </is>
      </c>
      <c r="D52" s="77" t="n"/>
      <c r="E52" s="17" t="inlineStr">
        <is>
          <t>PCS</t>
        </is>
      </c>
      <c r="F52" s="18" t="n"/>
      <c r="G52" s="18" t="n"/>
      <c r="H52" s="20">
        <f>SUMIFS(領用表!$L:$L,領用表!$E:$E,$B52,領用表!$B:$B,H$2&amp;$P$1)</f>
        <v/>
      </c>
      <c r="I52" s="20">
        <f>SUMIFS(領用表!$L:$L,領用表!$E:$E,$B52,領用表!$B:$B,I$2&amp;$P$1)</f>
        <v/>
      </c>
      <c r="J52" s="20">
        <f>SUMIFS(領用表!$L:$L,領用表!$E:$E,$B52,領用表!$B:$B,J$2&amp;$P$1)</f>
        <v/>
      </c>
      <c r="K52" s="142">
        <f>SUMIFS(領用表!$L:$L,領用表!$E:$E,$B52,領用表!$B:$B,K$2&amp;$P$1)</f>
        <v/>
      </c>
      <c r="L52" s="142">
        <f>SUMIFS(領用表!$L:$L,領用表!$E:$E,$B52,領用表!$B:$B,L$2&amp;$P$1)</f>
        <v/>
      </c>
      <c r="M52" s="142">
        <f>SUMIFS(領用表!$L:$L,領用表!$E:$E,$B52,領用表!$B:$B,M$2&amp;$P$1)</f>
        <v/>
      </c>
      <c r="N52" s="23">
        <f>SUM(,H52,I52,J52,K52,L52,M52)</f>
        <v/>
      </c>
      <c r="O52" s="23">
        <f>AVERAGE(,H52,I52,J52,K52,L52,M52)</f>
        <v/>
      </c>
      <c r="P52" s="142">
        <f>SUMIFS(領用表!$L:$L,領用表!$E:$E,$B52,領用表!$B:$B,P$2&amp;$P$1)</f>
        <v/>
      </c>
      <c r="Q52" s="142">
        <f>SUMIFS(領用表!$L:$L,領用表!$E:$E,$B52,領用表!$B:$B,Q$2&amp;$P$1)</f>
        <v/>
      </c>
      <c r="R52" s="142">
        <f>SUMIFS(領用表!$L:$L,領用表!$E:$E,$B52,領用表!$B:$B,R$2&amp;$P$1)</f>
        <v/>
      </c>
      <c r="S52" s="142">
        <f>SUMIFS(領用表!$L:$L,領用表!$E:$E,$B52,領用表!$B:$B,S$2&amp;$P$1)</f>
        <v/>
      </c>
      <c r="T52" s="142">
        <f>SUMIFS(領用表!$L:$L,領用表!$E:$E,$B52,領用表!$B:$B,T$2&amp;$P$1)</f>
        <v/>
      </c>
      <c r="U52" s="142" t="n"/>
      <c r="V52" s="142">
        <f>SUMIFS(領用表!$L:$L,領用表!$E:$E,$B52,領用表!$B:$B,V$2&amp;$P$1)</f>
        <v/>
      </c>
      <c r="W52" s="142">
        <f>SUMIFS(領用表!$L:$L,領用表!$E:$E,$B52,領用表!$B:$B,W$2&amp;$P$1)</f>
        <v/>
      </c>
      <c r="X52" s="142">
        <f>SUMIFS(領用表!$L:$L,領用表!$E:$E,$B52,領用表!$B:$B,X$2&amp;$P$1)</f>
        <v/>
      </c>
      <c r="Y52" s="142">
        <f>SUMIFS(領用表!$L:$L,領用表!$E:$E,$B52,領用表!$B:$B,Y$2&amp;$P$1)</f>
        <v/>
      </c>
      <c r="Z52" s="142">
        <f>SUMIFS(領用表!$L:$L,領用表!$E:$E,$B52,領用表!$B:$B,Z$2&amp;$P$1)</f>
        <v/>
      </c>
      <c r="AA52" s="142">
        <f>SUMIFS(領用表!$L:$L,領用表!$E:$E,$B52,領用表!$B:$B,AA$2&amp;$P$1)</f>
        <v/>
      </c>
      <c r="AB52" s="142">
        <f>SUM(P52,Q52,R52,S52,T52,U52)</f>
        <v/>
      </c>
      <c r="AC52" s="142">
        <f>AVERAGE(P52,Q52,R52,S52,T52,U52)</f>
        <v/>
      </c>
      <c r="AD52" s="142">
        <f>SUMIF(Summary!B:B,B52,Summary!EC:EC)</f>
        <v/>
      </c>
      <c r="AE52" s="109" t="n"/>
      <c r="AF52" s="65" t="n"/>
      <c r="AG52" s="65" t="n"/>
      <c r="AH52" s="65" t="inlineStr">
        <is>
          <t>10-10/22</t>
        </is>
      </c>
      <c r="AI52" s="27" t="n"/>
      <c r="AJ52" s="27" t="n"/>
      <c r="AK52" s="14" t="n"/>
      <c r="AL52" s="29" t="n"/>
    </row>
    <row r="53" ht="15.75" customHeight="1" s="453">
      <c r="A53" s="27" t="n"/>
      <c r="B53" s="14" t="n">
        <v>6120030</v>
      </c>
      <c r="C53" s="136" t="inlineStr">
        <is>
          <t>克多炎 1ml</t>
        </is>
      </c>
      <c r="D53" s="77" t="n"/>
      <c r="E53" s="17" t="inlineStr">
        <is>
          <t>PCS</t>
        </is>
      </c>
      <c r="F53" s="18" t="n"/>
      <c r="G53" s="18" t="n"/>
      <c r="H53" s="20">
        <f>SUMIFS(領用表!$L:$L,領用表!$E:$E,$B53,領用表!$B:$B,H$2&amp;$P$1)</f>
        <v/>
      </c>
      <c r="I53" s="20">
        <f>SUMIFS(領用表!$L:$L,領用表!$E:$E,$B53,領用表!$B:$B,I$2&amp;$P$1)</f>
        <v/>
      </c>
      <c r="J53" s="20">
        <f>SUMIFS(領用表!$L:$L,領用表!$E:$E,$B53,領用表!$B:$B,J$2&amp;$P$1)</f>
        <v/>
      </c>
      <c r="K53" s="142">
        <f>SUMIFS(領用表!$L:$L,領用表!$E:$E,$B53,領用表!$B:$B,K$2&amp;$P$1)</f>
        <v/>
      </c>
      <c r="L53" s="142">
        <f>SUMIFS(領用表!$L:$L,領用表!$E:$E,$B53,領用表!$B:$B,L$2&amp;$P$1)</f>
        <v/>
      </c>
      <c r="M53" s="142">
        <f>SUMIFS(領用表!$L:$L,領用表!$E:$E,$B53,領用表!$B:$B,M$2&amp;$P$1)</f>
        <v/>
      </c>
      <c r="N53" s="23">
        <f>SUM(,H53,I53,J53,K53,L53,M53)</f>
        <v/>
      </c>
      <c r="O53" s="23">
        <f>AVERAGE(,H53,I53,J53,K53,L53,M53)</f>
        <v/>
      </c>
      <c r="P53" s="142">
        <f>SUMIFS(領用表!$L:$L,領用表!$E:$E,$B53,領用表!$B:$B,P$2&amp;$P$1)</f>
        <v/>
      </c>
      <c r="Q53" s="142">
        <f>SUMIFS(領用表!$L:$L,領用表!$E:$E,$B53,領用表!$B:$B,Q$2&amp;$P$1)</f>
        <v/>
      </c>
      <c r="R53" s="142">
        <f>SUMIFS(領用表!$L:$L,領用表!$E:$E,$B53,領用表!$B:$B,R$2&amp;$P$1)</f>
        <v/>
      </c>
      <c r="S53" s="142">
        <f>SUMIFS(領用表!$L:$L,領用表!$E:$E,$B53,領用表!$B:$B,S$2&amp;$P$1)</f>
        <v/>
      </c>
      <c r="T53" s="142">
        <f>SUMIFS(領用表!$L:$L,領用表!$E:$E,$B53,領用表!$B:$B,T$2&amp;$P$1)</f>
        <v/>
      </c>
      <c r="U53" s="142" t="n"/>
      <c r="V53" s="142">
        <f>SUMIFS(領用表!$L:$L,領用表!$E:$E,$B53,領用表!$B:$B,V$2&amp;$P$1)</f>
        <v/>
      </c>
      <c r="W53" s="142">
        <f>SUMIFS(領用表!$L:$L,領用表!$E:$E,$B53,領用表!$B:$B,W$2&amp;$P$1)</f>
        <v/>
      </c>
      <c r="X53" s="142">
        <f>SUMIFS(領用表!$L:$L,領用表!$E:$E,$B53,領用表!$B:$B,X$2&amp;$P$1)</f>
        <v/>
      </c>
      <c r="Y53" s="142">
        <f>SUMIFS(領用表!$L:$L,領用表!$E:$E,$B53,領用表!$B:$B,Y$2&amp;$P$1)</f>
        <v/>
      </c>
      <c r="Z53" s="142">
        <f>SUMIFS(領用表!$L:$L,領用表!$E:$E,$B53,領用表!$B:$B,Z$2&amp;$P$1)</f>
        <v/>
      </c>
      <c r="AA53" s="142">
        <f>SUMIFS(領用表!$L:$L,領用表!$E:$E,$B53,領用表!$B:$B,AA$2&amp;$P$1)</f>
        <v/>
      </c>
      <c r="AB53" s="142">
        <f>SUM(P53,Q53,R53,S53,T53,U53)</f>
        <v/>
      </c>
      <c r="AC53" s="142">
        <f>AVERAGE(P53,Q53,R53,S53,T53,U53)</f>
        <v/>
      </c>
      <c r="AD53" s="142">
        <f>SUMIF(Summary!B:B,B53,Summary!EC:EC)</f>
        <v/>
      </c>
      <c r="AE53" s="109" t="n"/>
      <c r="AF53" s="65" t="n"/>
      <c r="AG53" s="65" t="n"/>
      <c r="AH53" s="65" t="n"/>
      <c r="AI53" s="27" t="n"/>
      <c r="AJ53" s="27" t="n"/>
      <c r="AK53" s="14" t="n"/>
      <c r="AL53" s="29" t="n"/>
    </row>
    <row r="54" ht="15.75" customHeight="1" s="453">
      <c r="A54" s="27" t="n"/>
      <c r="B54" s="14" t="n">
        <v>6120031</v>
      </c>
      <c r="C54" s="136" t="inlineStr">
        <is>
          <t>菲碧茵 2ml</t>
        </is>
      </c>
      <c r="D54" s="77" t="n"/>
      <c r="E54" s="17" t="inlineStr">
        <is>
          <t>PCS</t>
        </is>
      </c>
      <c r="F54" s="18" t="n"/>
      <c r="G54" s="18" t="n"/>
      <c r="H54" s="20">
        <f>SUMIFS(領用表!$L:$L,領用表!$E:$E,$B54,領用表!$B:$B,H$2&amp;$P$1)</f>
        <v/>
      </c>
      <c r="I54" s="20">
        <f>SUMIFS(領用表!$L:$L,領用表!$E:$E,$B54,領用表!$B:$B,I$2&amp;$P$1)</f>
        <v/>
      </c>
      <c r="J54" s="20">
        <f>SUMIFS(領用表!$L:$L,領用表!$E:$E,$B54,領用表!$B:$B,J$2&amp;$P$1)</f>
        <v/>
      </c>
      <c r="K54" s="142">
        <f>SUMIFS(領用表!$L:$L,領用表!$E:$E,$B54,領用表!$B:$B,K$2&amp;$P$1)</f>
        <v/>
      </c>
      <c r="L54" s="142">
        <f>SUMIFS(領用表!$L:$L,領用表!$E:$E,$B54,領用表!$B:$B,L$2&amp;$P$1)</f>
        <v/>
      </c>
      <c r="M54" s="142">
        <f>SUMIFS(領用表!$L:$L,領用表!$E:$E,$B54,領用表!$B:$B,M$2&amp;$P$1)</f>
        <v/>
      </c>
      <c r="N54" s="23">
        <f>SUM(,H54,I54,J54,K54,L54,M54)</f>
        <v/>
      </c>
      <c r="O54" s="23">
        <f>AVERAGE(,H54,I54,J54,K54,L54,M54)</f>
        <v/>
      </c>
      <c r="P54" s="142">
        <f>SUMIFS(領用表!$L:$L,領用表!$E:$E,$B54,領用表!$B:$B,P$2&amp;$P$1)</f>
        <v/>
      </c>
      <c r="Q54" s="142">
        <f>SUMIFS(領用表!$L:$L,領用表!$E:$E,$B54,領用表!$B:$B,Q$2&amp;$P$1)</f>
        <v/>
      </c>
      <c r="R54" s="142">
        <f>SUMIFS(領用表!$L:$L,領用表!$E:$E,$B54,領用表!$B:$B,R$2&amp;$P$1)</f>
        <v/>
      </c>
      <c r="S54" s="142">
        <f>SUMIFS(領用表!$L:$L,領用表!$E:$E,$B54,領用表!$B:$B,S$2&amp;$P$1)</f>
        <v/>
      </c>
      <c r="T54" s="142">
        <f>SUMIFS(領用表!$L:$L,領用表!$E:$E,$B54,領用表!$B:$B,T$2&amp;$P$1)</f>
        <v/>
      </c>
      <c r="U54" s="142" t="n"/>
      <c r="V54" s="142">
        <f>SUMIFS(領用表!$L:$L,領用表!$E:$E,$B54,領用表!$B:$B,V$2&amp;$P$1)</f>
        <v/>
      </c>
      <c r="W54" s="142">
        <f>SUMIFS(領用表!$L:$L,領用表!$E:$E,$B54,領用表!$B:$B,W$2&amp;$P$1)</f>
        <v/>
      </c>
      <c r="X54" s="142">
        <f>SUMIFS(領用表!$L:$L,領用表!$E:$E,$B54,領用表!$B:$B,X$2&amp;$P$1)</f>
        <v/>
      </c>
      <c r="Y54" s="142">
        <f>SUMIFS(領用表!$L:$L,領用表!$E:$E,$B54,領用表!$B:$B,Y$2&amp;$P$1)</f>
        <v/>
      </c>
      <c r="Z54" s="142">
        <f>SUMIFS(領用表!$L:$L,領用表!$E:$E,$B54,領用表!$B:$B,Z$2&amp;$P$1)</f>
        <v/>
      </c>
      <c r="AA54" s="142">
        <f>SUMIFS(領用表!$L:$L,領用表!$E:$E,$B54,領用表!$B:$B,AA$2&amp;$P$1)</f>
        <v/>
      </c>
      <c r="AB54" s="142">
        <f>SUM(P54,Q54,R54,S54,T54,U54)</f>
        <v/>
      </c>
      <c r="AC54" s="142">
        <f>AVERAGE(P54,Q54,R54,S54,T54,U54)</f>
        <v/>
      </c>
      <c r="AD54" s="142">
        <f>SUMIF(Summary!B:B,B54,Summary!EC:EC)</f>
        <v/>
      </c>
      <c r="AE54" s="109" t="n"/>
      <c r="AF54" s="65" t="n"/>
      <c r="AG54" s="65" t="n"/>
      <c r="AH54" s="65" t="n"/>
      <c r="AI54" s="27" t="n"/>
      <c r="AJ54" s="27" t="n"/>
      <c r="AK54" s="14" t="n"/>
      <c r="AL54" s="29" t="n"/>
    </row>
    <row r="55" ht="15.75" customHeight="1" s="453">
      <c r="A55" s="27" t="n"/>
      <c r="B55" s="14" t="n">
        <v>6120032</v>
      </c>
      <c r="C55" s="136" t="inlineStr">
        <is>
          <t>鹽酸副腎素 1ml</t>
        </is>
      </c>
      <c r="D55" s="77" t="n"/>
      <c r="E55" s="17" t="inlineStr">
        <is>
          <t>PCS</t>
        </is>
      </c>
      <c r="F55" s="18" t="n"/>
      <c r="G55" s="18" t="n"/>
      <c r="H55" s="20">
        <f>SUMIFS(領用表!$L:$L,領用表!$E:$E,$B55,領用表!$B:$B,H$2&amp;$P$1)</f>
        <v/>
      </c>
      <c r="I55" s="20">
        <f>SUMIFS(領用表!$L:$L,領用表!$E:$E,$B55,領用表!$B:$B,I$2&amp;$P$1)</f>
        <v/>
      </c>
      <c r="J55" s="20">
        <f>SUMIFS(領用表!$L:$L,領用表!$E:$E,$B55,領用表!$B:$B,J$2&amp;$P$1)</f>
        <v/>
      </c>
      <c r="K55" s="142">
        <f>SUMIFS(領用表!$L:$L,領用表!$E:$E,$B55,領用表!$B:$B,K$2&amp;$P$1)</f>
        <v/>
      </c>
      <c r="L55" s="142">
        <f>SUMIFS(領用表!$L:$L,領用表!$E:$E,$B55,領用表!$B:$B,L$2&amp;$P$1)</f>
        <v/>
      </c>
      <c r="M55" s="142">
        <f>SUMIFS(領用表!$L:$L,領用表!$E:$E,$B55,領用表!$B:$B,M$2&amp;$P$1)</f>
        <v/>
      </c>
      <c r="N55" s="23">
        <f>SUM(,H55,I55,J55,K55,L55,M55)</f>
        <v/>
      </c>
      <c r="O55" s="23">
        <f>AVERAGE(,H55,I55,J55,K55,L55,M55)</f>
        <v/>
      </c>
      <c r="P55" s="142">
        <f>SUMIFS(領用表!$L:$L,領用表!$E:$E,$B55,領用表!$B:$B,P$2&amp;$P$1)</f>
        <v/>
      </c>
      <c r="Q55" s="142">
        <f>SUMIFS(領用表!$L:$L,領用表!$E:$E,$B55,領用表!$B:$B,Q$2&amp;$P$1)</f>
        <v/>
      </c>
      <c r="R55" s="142">
        <f>SUMIFS(領用表!$L:$L,領用表!$E:$E,$B55,領用表!$B:$B,R$2&amp;$P$1)</f>
        <v/>
      </c>
      <c r="S55" s="142">
        <f>SUMIFS(領用表!$L:$L,領用表!$E:$E,$B55,領用表!$B:$B,S$2&amp;$P$1)</f>
        <v/>
      </c>
      <c r="T55" s="142">
        <f>SUMIFS(領用表!$L:$L,領用表!$E:$E,$B55,領用表!$B:$B,T$2&amp;$P$1)</f>
        <v/>
      </c>
      <c r="U55" s="142" t="n"/>
      <c r="V55" s="142">
        <f>SUMIFS(領用表!$L:$L,領用表!$E:$E,$B55,領用表!$B:$B,V$2&amp;$P$1)</f>
        <v/>
      </c>
      <c r="W55" s="142">
        <f>SUMIFS(領用表!$L:$L,領用表!$E:$E,$B55,領用表!$B:$B,W$2&amp;$P$1)</f>
        <v/>
      </c>
      <c r="X55" s="142">
        <f>SUMIFS(領用表!$L:$L,領用表!$E:$E,$B55,領用表!$B:$B,X$2&amp;$P$1)</f>
        <v/>
      </c>
      <c r="Y55" s="142">
        <f>SUMIFS(領用表!$L:$L,領用表!$E:$E,$B55,領用表!$B:$B,Y$2&amp;$P$1)</f>
        <v/>
      </c>
      <c r="Z55" s="142">
        <f>SUMIFS(領用表!$L:$L,領用表!$E:$E,$B55,領用表!$B:$B,Z$2&amp;$P$1)</f>
        <v/>
      </c>
      <c r="AA55" s="142">
        <f>SUMIFS(領用表!$L:$L,領用表!$E:$E,$B55,領用表!$B:$B,AA$2&amp;$P$1)</f>
        <v/>
      </c>
      <c r="AB55" s="142">
        <f>SUM(P55,Q55,R55,S55,T55,U55)</f>
        <v/>
      </c>
      <c r="AC55" s="142">
        <f>AVERAGE(P55,Q55,R55,S55,T55,U55)</f>
        <v/>
      </c>
      <c r="AD55" s="142">
        <f>SUMIF(Summary!B:B,B55,Summary!EC:EC)</f>
        <v/>
      </c>
      <c r="AE55" s="109" t="n"/>
      <c r="AF55" s="65" t="n"/>
      <c r="AG55" s="65" t="n"/>
      <c r="AH55" s="65" t="n"/>
      <c r="AI55" s="27" t="n"/>
      <c r="AJ55" s="27" t="n"/>
      <c r="AK55" s="14" t="n"/>
      <c r="AL55" s="29" t="n"/>
    </row>
    <row r="56" ht="15.75" customHeight="1" s="453">
      <c r="A56" s="27" t="n"/>
      <c r="B56" s="14" t="e">
        <v>#N/A</v>
      </c>
      <c r="C56" s="136" t="inlineStr">
        <is>
          <t>痘痘貼 60入/盒</t>
        </is>
      </c>
      <c r="D56" s="77" t="n">
        <v>60</v>
      </c>
      <c r="E56" s="17" t="inlineStr">
        <is>
          <t>PCS</t>
        </is>
      </c>
      <c r="F56" s="18" t="n"/>
      <c r="G56" s="18" t="n"/>
      <c r="H56" s="20">
        <f>SUMIFS(領用表!$L:$L,領用表!$E:$E,$B56,領用表!$B:$B,H$2&amp;$P$1)</f>
        <v/>
      </c>
      <c r="I56" s="20">
        <f>SUMIFS(領用表!$L:$L,領用表!$E:$E,$B56,領用表!$B:$B,I$2&amp;$P$1)</f>
        <v/>
      </c>
      <c r="J56" s="20">
        <f>SUMIFS(領用表!$L:$L,領用表!$E:$E,$B56,領用表!$B:$B,J$2&amp;$P$1)</f>
        <v/>
      </c>
      <c r="K56" s="142">
        <f>SUMIFS(領用表!$L:$L,領用表!$E:$E,$B56,領用表!$B:$B,K$2&amp;$P$1)</f>
        <v/>
      </c>
      <c r="L56" s="142">
        <f>SUMIFS(領用表!$L:$L,領用表!$E:$E,$B56,領用表!$B:$B,L$2&amp;$P$1)</f>
        <v/>
      </c>
      <c r="M56" s="142">
        <f>SUMIFS(領用表!$L:$L,領用表!$E:$E,$B56,領用表!$B:$B,M$2&amp;$P$1)</f>
        <v/>
      </c>
      <c r="N56" s="23">
        <f>SUM(,H56,I56,J56,K56,L56,M56)</f>
        <v/>
      </c>
      <c r="O56" s="23">
        <f>AVERAGE(,H56,I56,J56,K56,L56,M56)</f>
        <v/>
      </c>
      <c r="P56" s="142">
        <f>SUMIFS(領用表!$L:$L,領用表!$E:$E,$B56,領用表!$B:$B,P$2&amp;$P$1)</f>
        <v/>
      </c>
      <c r="Q56" s="142">
        <f>SUMIFS(領用表!$L:$L,領用表!$E:$E,$B56,領用表!$B:$B,Q$2&amp;$P$1)</f>
        <v/>
      </c>
      <c r="R56" s="142">
        <f>SUMIFS(領用表!$L:$L,領用表!$E:$E,$B56,領用表!$B:$B,R$2&amp;$P$1)</f>
        <v/>
      </c>
      <c r="S56" s="142">
        <f>SUMIFS(領用表!$L:$L,領用表!$E:$E,$B56,領用表!$B:$B,S$2&amp;$P$1)</f>
        <v/>
      </c>
      <c r="T56" s="142">
        <f>SUMIFS(領用表!$L:$L,領用表!$E:$E,$B56,領用表!$B:$B,T$2&amp;$P$1)</f>
        <v/>
      </c>
      <c r="U56" s="142">
        <f>SUMIFS(領用表!$L:$L,領用表!$E:$E,$B56,領用表!$B:$B,U$2&amp;$P$1)</f>
        <v/>
      </c>
      <c r="V56" s="142">
        <f>SUMIFS(領用表!$L:$L,領用表!$E:$E,$B56,領用表!$B:$B,V$2&amp;$P$1)</f>
        <v/>
      </c>
      <c r="W56" s="142">
        <f>SUMIFS(領用表!$L:$L,領用表!$E:$E,$B56,領用表!$B:$B,W$2&amp;$P$1)</f>
        <v/>
      </c>
      <c r="X56" s="142">
        <f>SUMIFS(領用表!$L:$L,領用表!$E:$E,$B56,領用表!$B:$B,X$2&amp;$P$1)</f>
        <v/>
      </c>
      <c r="Y56" s="142">
        <f>SUMIFS(領用表!$L:$L,領用表!$E:$E,$B56,領用表!$B:$B,Y$2&amp;$P$1)</f>
        <v/>
      </c>
      <c r="Z56" s="142">
        <f>SUMIFS(領用表!$L:$L,領用表!$E:$E,$B56,領用表!$B:$B,Z$2&amp;$P$1)</f>
        <v/>
      </c>
      <c r="AA56" s="142">
        <f>SUMIFS(領用表!$L:$L,領用表!$E:$E,$B56,領用表!$B:$B,AA$2&amp;$P$1)</f>
        <v/>
      </c>
      <c r="AB56" s="142">
        <f>SUM(P56,Q56,R56,S56,T56,U56)</f>
        <v/>
      </c>
      <c r="AC56" s="142">
        <f>AVERAGE(P56,Q56,R56,S56,T56,U56)</f>
        <v/>
      </c>
      <c r="AD56" s="142">
        <f>SUMIF(Summary!B:B,B56,Summary!EC:EC)</f>
        <v/>
      </c>
      <c r="AE56" s="109" t="n"/>
      <c r="AF56" s="65" t="n"/>
      <c r="AG56" s="65" t="n"/>
      <c r="AH56" s="65" t="n"/>
      <c r="AI56" s="27" t="n"/>
      <c r="AJ56" s="27" t="n"/>
      <c r="AK56" s="14" t="n"/>
      <c r="AL56" s="29" t="n"/>
    </row>
    <row r="57" ht="15.75" customHeight="1" s="453">
      <c r="A57" s="27" t="n"/>
      <c r="B57" s="14" t="n">
        <v>6120019</v>
      </c>
      <c r="C57" s="136" t="inlineStr">
        <is>
          <t>信可得</t>
        </is>
      </c>
      <c r="D57" s="77" t="n"/>
      <c r="E57" s="17" t="inlineStr">
        <is>
          <t>PCS</t>
        </is>
      </c>
      <c r="F57" s="18" t="n"/>
      <c r="G57" s="18" t="n"/>
      <c r="H57" s="20">
        <f>SUMIFS(領用表!$L:$L,領用表!$E:$E,$B57,領用表!$B:$B,H$2&amp;$P$1)</f>
        <v/>
      </c>
      <c r="I57" s="20">
        <f>SUMIFS(領用表!$L:$L,領用表!$E:$E,$B57,領用表!$B:$B,I$2&amp;$P$1)</f>
        <v/>
      </c>
      <c r="J57" s="20">
        <f>SUMIFS(領用表!$L:$L,領用表!$E:$E,$B57,領用表!$B:$B,J$2&amp;$P$1)</f>
        <v/>
      </c>
      <c r="K57" s="142">
        <f>SUMIFS(領用表!$L:$L,領用表!$E:$E,$B57,領用表!$B:$B,K$2&amp;$P$1)</f>
        <v/>
      </c>
      <c r="L57" s="142">
        <f>SUMIFS(領用表!$L:$L,領用表!$E:$E,$B57,領用表!$B:$B,L$2&amp;$P$1)</f>
        <v/>
      </c>
      <c r="M57" s="142">
        <f>SUMIFS(領用表!$L:$L,領用表!$E:$E,$B57,領用表!$B:$B,M$2&amp;$P$1)</f>
        <v/>
      </c>
      <c r="N57" s="23">
        <f>SUM(,H57,I57,J57,K57,L57,M57)</f>
        <v/>
      </c>
      <c r="O57" s="23">
        <f>AVERAGE(,H57,I57,J57,K57,L57,M57)</f>
        <v/>
      </c>
      <c r="P57" s="142">
        <f>SUMIFS(領用表!$L:$L,領用表!$E:$E,$B57,領用表!$B:$B,P$2&amp;$P$1)</f>
        <v/>
      </c>
      <c r="Q57" s="142">
        <f>SUMIFS(領用表!$L:$L,領用表!$E:$E,$B57,領用表!$B:$B,Q$2&amp;$P$1)</f>
        <v/>
      </c>
      <c r="R57" s="142">
        <f>SUMIFS(領用表!$L:$L,領用表!$E:$E,$B57,領用表!$B:$B,R$2&amp;$P$1)</f>
        <v/>
      </c>
      <c r="S57" s="142">
        <f>SUMIFS(領用表!$L:$L,領用表!$E:$E,$B57,領用表!$B:$B,S$2&amp;$P$1)</f>
        <v/>
      </c>
      <c r="T57" s="142">
        <f>SUMIFS(領用表!$L:$L,領用表!$E:$E,$B57,領用表!$B:$B,T$2&amp;$P$1)</f>
        <v/>
      </c>
      <c r="U57" s="142" t="n"/>
      <c r="V57" s="142">
        <f>SUMIFS(領用表!$L:$L,領用表!$E:$E,$B57,領用表!$B:$B,V$2&amp;$P$1)</f>
        <v/>
      </c>
      <c r="W57" s="142">
        <f>SUMIFS(領用表!$L:$L,領用表!$E:$E,$B57,領用表!$B:$B,W$2&amp;$P$1)</f>
        <v/>
      </c>
      <c r="X57" s="142">
        <f>SUMIFS(領用表!$L:$L,領用表!$E:$E,$B57,領用表!$B:$B,X$2&amp;$P$1)</f>
        <v/>
      </c>
      <c r="Y57" s="142">
        <f>SUMIFS(領用表!$L:$L,領用表!$E:$E,$B57,領用表!$B:$B,Y$2&amp;$P$1)</f>
        <v/>
      </c>
      <c r="Z57" s="142">
        <f>SUMIFS(領用表!$L:$L,領用表!$E:$E,$B57,領用表!$B:$B,Z$2&amp;$P$1)</f>
        <v/>
      </c>
      <c r="AA57" s="142">
        <f>SUMIFS(領用表!$L:$L,領用表!$E:$E,$B57,領用表!$B:$B,AA$2&amp;$P$1)</f>
        <v/>
      </c>
      <c r="AB57" s="142">
        <f>SUM(P57,Q57,R57,S57,T57,U57)</f>
        <v/>
      </c>
      <c r="AC57" s="142">
        <f>AVERAGE(P57,Q57,R57,S57,T57,U57)</f>
        <v/>
      </c>
      <c r="AD57" s="142">
        <f>SUMIF(Summary!B:B,B57,Summary!EC:EC)</f>
        <v/>
      </c>
      <c r="AE57" s="109" t="n"/>
      <c r="AF57" s="65" t="n"/>
      <c r="AG57" s="65" t="n"/>
      <c r="AH57" s="65" t="n"/>
      <c r="AI57" s="27" t="n"/>
      <c r="AJ57" s="27" t="n"/>
      <c r="AK57" s="14" t="n"/>
      <c r="AL57" s="29" t="n"/>
    </row>
    <row r="58" ht="15.75" customHeight="1" s="453">
      <c r="A58" s="27" t="n"/>
      <c r="B58" s="14" t="e">
        <v>#N/A</v>
      </c>
      <c r="C58" s="136" t="inlineStr">
        <is>
          <t>去氧氫化腎上腺皮質素</t>
        </is>
      </c>
      <c r="D58" s="77" t="n"/>
      <c r="E58" s="17" t="inlineStr">
        <is>
          <t>PCS</t>
        </is>
      </c>
      <c r="F58" s="18" t="n"/>
      <c r="G58" s="18" t="n"/>
      <c r="H58" s="20">
        <f>SUMIFS(領用表!$L:$L,領用表!$E:$E,$B58,領用表!$B:$B,H$2&amp;$P$1)</f>
        <v/>
      </c>
      <c r="I58" s="20">
        <f>SUMIFS(領用表!$L:$L,領用表!$E:$E,$B58,領用表!$B:$B,I$2&amp;$P$1)</f>
        <v/>
      </c>
      <c r="J58" s="20">
        <f>SUMIFS(領用表!$L:$L,領用表!$E:$E,$B58,領用表!$B:$B,J$2&amp;$P$1)</f>
        <v/>
      </c>
      <c r="K58" s="142">
        <f>SUMIFS(領用表!$L:$L,領用表!$E:$E,$B58,領用表!$B:$B,K$2&amp;$P$1)</f>
        <v/>
      </c>
      <c r="L58" s="142">
        <f>SUMIFS(領用表!$L:$L,領用表!$E:$E,$B58,領用表!$B:$B,L$2&amp;$P$1)</f>
        <v/>
      </c>
      <c r="M58" s="142">
        <f>SUMIFS(領用表!$L:$L,領用表!$E:$E,$B58,領用表!$B:$B,M$2&amp;$P$1)</f>
        <v/>
      </c>
      <c r="N58" s="23">
        <f>SUM(,H58,I58,J58,K58,L58,M58)</f>
        <v/>
      </c>
      <c r="O58" s="23">
        <f>AVERAGE(,H58,I58,J58,K58,L58,M58)</f>
        <v/>
      </c>
      <c r="P58" s="142">
        <f>SUMIFS(領用表!$L:$L,領用表!$E:$E,$B58,領用表!$B:$B,P$2&amp;$P$1)</f>
        <v/>
      </c>
      <c r="Q58" s="142">
        <f>SUMIFS(領用表!$L:$L,領用表!$E:$E,$B58,領用表!$B:$B,Q$2&amp;$P$1)</f>
        <v/>
      </c>
      <c r="R58" s="142">
        <f>SUMIFS(領用表!$L:$L,領用表!$E:$E,$B58,領用表!$B:$B,R$2&amp;$P$1)</f>
        <v/>
      </c>
      <c r="S58" s="142">
        <f>SUMIFS(領用表!$L:$L,領用表!$E:$E,$B58,領用表!$B:$B,S$2&amp;$P$1)</f>
        <v/>
      </c>
      <c r="T58" s="142">
        <f>SUMIFS(領用表!$L:$L,領用表!$E:$E,$B58,領用表!$B:$B,T$2&amp;$P$1)</f>
        <v/>
      </c>
      <c r="U58" s="142">
        <f>SUMIFS(領用表!$L:$L,領用表!$E:$E,$B58,領用表!$B:$B,U$2&amp;$P$1)</f>
        <v/>
      </c>
      <c r="V58" s="142">
        <f>SUMIFS(領用表!$L:$L,領用表!$E:$E,$B58,領用表!$B:$B,V$2&amp;$P$1)</f>
        <v/>
      </c>
      <c r="W58" s="142">
        <f>SUMIFS(領用表!$L:$L,領用表!$E:$E,$B58,領用表!$B:$B,W$2&amp;$P$1)</f>
        <v/>
      </c>
      <c r="X58" s="142">
        <f>SUMIFS(領用表!$L:$L,領用表!$E:$E,$B58,領用表!$B:$B,X$2&amp;$P$1)</f>
        <v/>
      </c>
      <c r="Y58" s="142">
        <f>SUMIFS(領用表!$L:$L,領用表!$E:$E,$B58,領用表!$B:$B,Y$2&amp;$P$1)</f>
        <v/>
      </c>
      <c r="Z58" s="142">
        <f>SUMIFS(領用表!$L:$L,領用表!$E:$E,$B58,領用表!$B:$B,Z$2&amp;$P$1)</f>
        <v/>
      </c>
      <c r="AA58" s="142">
        <f>SUMIFS(領用表!$L:$L,領用表!$E:$E,$B58,領用表!$B:$B,AA$2&amp;$P$1)</f>
        <v/>
      </c>
      <c r="AB58" s="142">
        <f>SUM(P58,Q58,R58,S58,T58,U58)</f>
        <v/>
      </c>
      <c r="AC58" s="142">
        <f>AVERAGE(P58,Q58,R58,S58,T58,U58)</f>
        <v/>
      </c>
      <c r="AD58" s="142">
        <f>SUMIF(Summary!B:B,B58,Summary!EC:EC)</f>
        <v/>
      </c>
      <c r="AE58" s="109" t="n"/>
      <c r="AF58" s="65" t="n"/>
      <c r="AG58" s="65" t="n"/>
      <c r="AH58" s="65" t="n"/>
      <c r="AI58" s="27" t="n"/>
      <c r="AJ58" s="27" t="n"/>
      <c r="AK58" s="14" t="n"/>
      <c r="AL58" s="29" t="n"/>
    </row>
    <row r="59" ht="15.75" customHeight="1" s="453" thickBot="1">
      <c r="A59" s="27" t="n"/>
      <c r="B59" s="14" t="n">
        <v>6130001</v>
      </c>
      <c r="C59" s="136" t="inlineStr">
        <is>
          <t>降解酶</t>
        </is>
      </c>
      <c r="D59" s="77" t="n"/>
      <c r="E59" s="17" t="inlineStr">
        <is>
          <t>PCS</t>
        </is>
      </c>
      <c r="F59" s="18" t="n"/>
      <c r="G59" s="18" t="n"/>
      <c r="H59" s="20">
        <f>SUMIFS(領用表!$L:$L,領用表!$E:$E,$B59,領用表!$B:$B,H$2&amp;$P$1)</f>
        <v/>
      </c>
      <c r="I59" s="20">
        <f>SUMIFS(領用表!$L:$L,領用表!$E:$E,$B59,領用表!$B:$B,I$2&amp;$P$1)</f>
        <v/>
      </c>
      <c r="J59" s="20">
        <f>SUMIFS(領用表!$L:$L,領用表!$E:$E,$B59,領用表!$B:$B,J$2&amp;$P$1)</f>
        <v/>
      </c>
      <c r="K59" s="142">
        <f>SUMIFS(領用表!$L:$L,領用表!$E:$E,$B59,領用表!$B:$B,K$2&amp;$P$1)</f>
        <v/>
      </c>
      <c r="L59" s="142">
        <f>SUMIFS(領用表!$L:$L,領用表!$E:$E,$B59,領用表!$B:$B,L$2&amp;$P$1)</f>
        <v/>
      </c>
      <c r="M59" s="142">
        <f>SUMIFS(領用表!$L:$L,領用表!$E:$E,$B59,領用表!$B:$B,M$2&amp;$P$1)</f>
        <v/>
      </c>
      <c r="N59" s="23">
        <f>SUM(,H59,I59,J59,K59,L59,M59)</f>
        <v/>
      </c>
      <c r="O59" s="23">
        <f>AVERAGE(,H59,I59,J59,K59,L59,M59)</f>
        <v/>
      </c>
      <c r="P59" s="142">
        <f>SUMIFS(領用表!$L:$L,領用表!$E:$E,$B59,領用表!$B:$B,P$2&amp;$P$1)</f>
        <v/>
      </c>
      <c r="Q59" s="142">
        <f>SUMIFS(領用表!$L:$L,領用表!$E:$E,$B59,領用表!$B:$B,Q$2&amp;$P$1)</f>
        <v/>
      </c>
      <c r="R59" s="142">
        <f>SUMIFS(領用表!$L:$L,領用表!$E:$E,$B59,領用表!$B:$B,R$2&amp;$P$1)</f>
        <v/>
      </c>
      <c r="S59" s="142">
        <f>SUMIFS(領用表!$L:$L,領用表!$E:$E,$B59,領用表!$B:$B,S$2&amp;$P$1)</f>
        <v/>
      </c>
      <c r="T59" s="142">
        <f>SUMIFS(領用表!$L:$L,領用表!$E:$E,$B59,領用表!$B:$B,T$2&amp;$P$1)</f>
        <v/>
      </c>
      <c r="U59" s="142" t="n"/>
      <c r="V59" s="142">
        <f>SUMIFS(領用表!$L:$L,領用表!$E:$E,$B59,領用表!$B:$B,V$2&amp;$P$1)</f>
        <v/>
      </c>
      <c r="W59" s="142">
        <f>SUMIFS(領用表!$L:$L,領用表!$E:$E,$B59,領用表!$B:$B,W$2&amp;$P$1)</f>
        <v/>
      </c>
      <c r="X59" s="142">
        <f>SUMIFS(領用表!$L:$L,領用表!$E:$E,$B59,領用表!$B:$B,X$2&amp;$P$1)</f>
        <v/>
      </c>
      <c r="Y59" s="142">
        <f>SUMIFS(領用表!$L:$L,領用表!$E:$E,$B59,領用表!$B:$B,Y$2&amp;$P$1)</f>
        <v/>
      </c>
      <c r="Z59" s="142">
        <f>SUMIFS(領用表!$L:$L,領用表!$E:$E,$B59,領用表!$B:$B,Z$2&amp;$P$1)</f>
        <v/>
      </c>
      <c r="AA59" s="142">
        <f>SUMIFS(領用表!$L:$L,領用表!$E:$E,$B59,領用表!$B:$B,AA$2&amp;$P$1)</f>
        <v/>
      </c>
      <c r="AB59" s="142">
        <f>SUM(P59,Q59,R59,S59,T59,U59)</f>
        <v/>
      </c>
      <c r="AC59" s="142">
        <f>AVERAGE(P59,Q59,R59,S59,T59,U59)</f>
        <v/>
      </c>
      <c r="AD59" s="142">
        <f>SUMIF(Summary!B:B,B59,Summary!EC:EC)</f>
        <v/>
      </c>
      <c r="AE59" s="109" t="n"/>
      <c r="AF59" s="65" t="n"/>
      <c r="AG59" s="65" t="n"/>
      <c r="AH59" s="65" t="n"/>
      <c r="AI59" s="27" t="n"/>
      <c r="AJ59" s="27" t="n"/>
      <c r="AK59" s="14" t="n"/>
      <c r="AL59" s="29" t="n"/>
    </row>
    <row r="60" ht="15.75" customHeight="1" s="453" thickBot="1">
      <c r="A60" s="78" t="inlineStr">
        <is>
          <t>MB3ME090040A</t>
        </is>
      </c>
      <c r="B60" s="190" t="n">
        <v>6120042</v>
      </c>
      <c r="C60" s="136" t="inlineStr">
        <is>
          <t>(類固醇)修克托懸濁Shincort 1ml/支</t>
        </is>
      </c>
      <c r="D60" s="77" t="n"/>
      <c r="E60" s="17" t="n"/>
      <c r="F60" s="18" t="n"/>
      <c r="G60" s="18" t="n"/>
      <c r="H60" s="20">
        <f>SUMIFS(領用表!$L:$L,領用表!$E:$E,$B60,領用表!$B:$B,H$2&amp;$P$1)</f>
        <v/>
      </c>
      <c r="I60" s="20">
        <f>SUMIFS(領用表!$L:$L,領用表!$E:$E,$B60,領用表!$B:$B,I$2&amp;$P$1)</f>
        <v/>
      </c>
      <c r="J60" s="20">
        <f>SUMIFS(領用表!$L:$L,領用表!$E:$E,$B60,領用表!$B:$B,J$2&amp;$P$1)</f>
        <v/>
      </c>
      <c r="K60" s="142">
        <f>SUMIFS(領用表!$L:$L,領用表!$E:$E,$B60,領用表!$B:$B,K$2&amp;$P$1)</f>
        <v/>
      </c>
      <c r="L60" s="142">
        <f>SUMIFS(領用表!$L:$L,領用表!$E:$E,$B60,領用表!$B:$B,L$2&amp;$P$1)</f>
        <v/>
      </c>
      <c r="M60" s="142">
        <f>SUMIFS(領用表!$L:$L,領用表!$E:$E,$B60,領用表!$B:$B,M$2&amp;$P$1)</f>
        <v/>
      </c>
      <c r="N60" s="23">
        <f>SUM(,H60,I60,J60,K60,L60,M60)</f>
        <v/>
      </c>
      <c r="O60" s="23">
        <f>AVERAGE(,H60,I60,J60,K60,L60,M60)</f>
        <v/>
      </c>
      <c r="P60" s="142">
        <f>SUMIFS(領用表!$L:$L,領用表!$E:$E,$B60,領用表!$B:$B,P$2&amp;$P$1)</f>
        <v/>
      </c>
      <c r="Q60" s="142">
        <f>SUMIFS(領用表!$L:$L,領用表!$E:$E,$B60,領用表!$B:$B,Q$2&amp;$P$1)</f>
        <v/>
      </c>
      <c r="R60" s="142">
        <f>SUMIFS(領用表!$L:$L,領用表!$E:$E,$B60,領用表!$B:$B,R$2&amp;$P$1)</f>
        <v/>
      </c>
      <c r="S60" s="142">
        <f>SUMIFS(領用表!$L:$L,領用表!$E:$E,$B60,領用表!$B:$B,S$2&amp;$P$1)</f>
        <v/>
      </c>
      <c r="T60" s="142">
        <f>SUMIFS(領用表!$L:$L,領用表!$E:$E,$B60,領用表!$B:$B,T$2&amp;$P$1)</f>
        <v/>
      </c>
      <c r="U60" s="142" t="n"/>
      <c r="V60" s="142">
        <f>SUMIFS(領用表!$L:$L,領用表!$E:$E,$B60,領用表!$B:$B,V$2&amp;$P$1)</f>
        <v/>
      </c>
      <c r="W60" s="142">
        <f>SUMIFS(領用表!$L:$L,領用表!$E:$E,$B60,領用表!$B:$B,W$2&amp;$P$1)</f>
        <v/>
      </c>
      <c r="X60" s="142">
        <f>SUMIFS(領用表!$L:$L,領用表!$E:$E,$B60,領用表!$B:$B,X$2&amp;$P$1)</f>
        <v/>
      </c>
      <c r="Y60" s="142">
        <f>SUMIFS(領用表!$L:$L,領用表!$E:$E,$B60,領用表!$B:$B,Y$2&amp;$P$1)</f>
        <v/>
      </c>
      <c r="Z60" s="142">
        <f>SUMIFS(領用表!$L:$L,領用表!$E:$E,$B60,領用表!$B:$B,Z$2&amp;$P$1)</f>
        <v/>
      </c>
      <c r="AA60" s="142">
        <f>SUMIFS(領用表!$L:$L,領用表!$E:$E,$B60,領用表!$B:$B,AA$2&amp;$P$1)</f>
        <v/>
      </c>
      <c r="AB60" s="142">
        <f>SUM(P60,Q60,R60,S60,T60,U60)</f>
        <v/>
      </c>
      <c r="AC60" s="142">
        <f>AVERAGE(P60,Q60,R60,S60,T60,U60)</f>
        <v/>
      </c>
      <c r="AD60" s="142">
        <f>SUMIF(Summary!B:B,B60,Summary!EC:EC)</f>
        <v/>
      </c>
      <c r="AE60" s="109" t="n"/>
      <c r="AF60" s="65" t="n"/>
      <c r="AG60" s="65" t="n"/>
      <c r="AH60" s="65" t="n"/>
      <c r="AI60" s="27" t="n"/>
      <c r="AJ60" s="27" t="n"/>
      <c r="AK60" s="14" t="n"/>
      <c r="AL60" s="29" t="n"/>
    </row>
    <row r="61" ht="15.75" customHeight="1" s="453" thickBot="1">
      <c r="A61" s="78" t="inlineStr">
        <is>
          <t>MB3ME090041A</t>
        </is>
      </c>
      <c r="B61" s="190" t="n">
        <v>6120043</v>
      </c>
      <c r="C61" s="136" t="inlineStr">
        <is>
          <t>(抗組織胺)力克樂 1ml/支</t>
        </is>
      </c>
      <c r="D61" s="77" t="n"/>
      <c r="E61" s="17" t="n"/>
      <c r="F61" s="18" t="n"/>
      <c r="G61" s="18" t="n"/>
      <c r="H61" s="20">
        <f>SUMIFS(領用表!$L:$L,領用表!$E:$E,$B61,領用表!$B:$B,H$2&amp;$P$1)</f>
        <v/>
      </c>
      <c r="I61" s="20">
        <f>SUMIFS(領用表!$L:$L,領用表!$E:$E,$B61,領用表!$B:$B,I$2&amp;$P$1)</f>
        <v/>
      </c>
      <c r="J61" s="20">
        <f>SUMIFS(領用表!$L:$L,領用表!$E:$E,$B61,領用表!$B:$B,J$2&amp;$P$1)</f>
        <v/>
      </c>
      <c r="K61" s="142">
        <f>SUMIFS(領用表!$L:$L,領用表!$E:$E,$B61,領用表!$B:$B,K$2&amp;$P$1)</f>
        <v/>
      </c>
      <c r="L61" s="142">
        <f>SUMIFS(領用表!$L:$L,領用表!$E:$E,$B61,領用表!$B:$B,L$2&amp;$P$1)</f>
        <v/>
      </c>
      <c r="M61" s="142">
        <f>SUMIFS(領用表!$L:$L,領用表!$E:$E,$B61,領用表!$B:$B,M$2&amp;$P$1)</f>
        <v/>
      </c>
      <c r="N61" s="23">
        <f>SUM(,H61,I61,J61,K61,L61,M61)</f>
        <v/>
      </c>
      <c r="O61" s="23">
        <f>AVERAGE(,H61,I61,J61,K61,L61,M61)</f>
        <v/>
      </c>
      <c r="P61" s="142">
        <f>SUMIFS(領用表!$L:$L,領用表!$E:$E,$B61,領用表!$B:$B,P$2&amp;$P$1)</f>
        <v/>
      </c>
      <c r="Q61" s="142">
        <f>SUMIFS(領用表!$L:$L,領用表!$E:$E,$B61,領用表!$B:$B,Q$2&amp;$P$1)</f>
        <v/>
      </c>
      <c r="R61" s="142">
        <f>SUMIFS(領用表!$L:$L,領用表!$E:$E,$B61,領用表!$B:$B,R$2&amp;$P$1)</f>
        <v/>
      </c>
      <c r="S61" s="142">
        <f>SUMIFS(領用表!$L:$L,領用表!$E:$E,$B61,領用表!$B:$B,S$2&amp;$P$1)</f>
        <v/>
      </c>
      <c r="T61" s="142">
        <f>SUMIFS(領用表!$L:$L,領用表!$E:$E,$B61,領用表!$B:$B,T$2&amp;$P$1)</f>
        <v/>
      </c>
      <c r="U61" s="142" t="n"/>
      <c r="V61" s="142">
        <f>SUMIFS(領用表!$L:$L,領用表!$E:$E,$B61,領用表!$B:$B,V$2&amp;$P$1)</f>
        <v/>
      </c>
      <c r="W61" s="142">
        <f>SUMIFS(領用表!$L:$L,領用表!$E:$E,$B61,領用表!$B:$B,W$2&amp;$P$1)</f>
        <v/>
      </c>
      <c r="X61" s="142">
        <f>SUMIFS(領用表!$L:$L,領用表!$E:$E,$B61,領用表!$B:$B,X$2&amp;$P$1)</f>
        <v/>
      </c>
      <c r="Y61" s="142">
        <f>SUMIFS(領用表!$L:$L,領用表!$E:$E,$B61,領用表!$B:$B,Y$2&amp;$P$1)</f>
        <v/>
      </c>
      <c r="Z61" s="142">
        <f>SUMIFS(領用表!$L:$L,領用表!$E:$E,$B61,領用表!$B:$B,Z$2&amp;$P$1)</f>
        <v/>
      </c>
      <c r="AA61" s="142">
        <f>SUMIFS(領用表!$L:$L,領用表!$E:$E,$B61,領用表!$B:$B,AA$2&amp;$P$1)</f>
        <v/>
      </c>
      <c r="AB61" s="142">
        <f>SUM(P61,Q61,R61,S61,T61,U61)</f>
        <v/>
      </c>
      <c r="AC61" s="142">
        <f>AVERAGE(P61,Q61,R61,S61,T61,U61)</f>
        <v/>
      </c>
      <c r="AD61" s="142">
        <f>SUMIF(Summary!B:B,B61,Summary!EC:EC)</f>
        <v/>
      </c>
      <c r="AE61" s="109" t="n"/>
      <c r="AF61" s="65" t="n"/>
      <c r="AG61" s="65" t="n"/>
      <c r="AH61" s="65" t="n"/>
      <c r="AI61" s="27" t="n"/>
      <c r="AJ61" s="27" t="n"/>
      <c r="AK61" s="14" t="n"/>
      <c r="AL61" s="29" t="n"/>
    </row>
    <row r="62" ht="15.75" customHeight="1" s="453" thickBot="1">
      <c r="A62" s="194" t="inlineStr">
        <is>
          <t>MB3ME090042A</t>
        </is>
      </c>
      <c r="B62" s="191" t="n">
        <v>6120044</v>
      </c>
      <c r="C62" s="195" t="inlineStr">
        <is>
          <t>舒疼消熱1ml/支</t>
        </is>
      </c>
      <c r="D62" s="77" t="n"/>
      <c r="E62" s="17" t="n"/>
      <c r="F62" s="18" t="n"/>
      <c r="G62" s="18" t="n"/>
      <c r="H62" s="20">
        <f>SUMIFS(領用表!$L:$L,領用表!$E:$E,$B62,領用表!$B:$B,H$2&amp;$P$1)</f>
        <v/>
      </c>
      <c r="I62" s="20">
        <f>SUMIFS(領用表!$L:$L,領用表!$E:$E,$B62,領用表!$B:$B,I$2&amp;$P$1)</f>
        <v/>
      </c>
      <c r="J62" s="20">
        <f>SUMIFS(領用表!$L:$L,領用表!$E:$E,$B62,領用表!$B:$B,J$2&amp;$P$1)</f>
        <v/>
      </c>
      <c r="K62" s="142">
        <f>SUMIFS(領用表!$L:$L,領用表!$E:$E,$B62,領用表!$B:$B,K$2&amp;$P$1)</f>
        <v/>
      </c>
      <c r="L62" s="142">
        <f>SUMIFS(領用表!$L:$L,領用表!$E:$E,$B62,領用表!$B:$B,L$2&amp;$P$1)</f>
        <v/>
      </c>
      <c r="M62" s="142">
        <f>SUMIFS(領用表!$L:$L,領用表!$E:$E,$B62,領用表!$B:$B,M$2&amp;$P$1)</f>
        <v/>
      </c>
      <c r="N62" s="23">
        <f>SUM(,H62,I62,J62,K62,L62,M62)</f>
        <v/>
      </c>
      <c r="O62" s="23">
        <f>AVERAGE(,H62,I62,J62,K62,L62,M62)</f>
        <v/>
      </c>
      <c r="P62" s="142">
        <f>SUMIFS(領用表!$L:$L,領用表!$E:$E,$B62,領用表!$B:$B,P$2&amp;$P$1)</f>
        <v/>
      </c>
      <c r="Q62" s="142">
        <f>SUMIFS(領用表!$L:$L,領用表!$E:$E,$B62,領用表!$B:$B,Q$2&amp;$P$1)</f>
        <v/>
      </c>
      <c r="R62" s="142">
        <f>SUMIFS(領用表!$L:$L,領用表!$E:$E,$B62,領用表!$B:$B,R$2&amp;$P$1)</f>
        <v/>
      </c>
      <c r="S62" s="142">
        <f>SUMIFS(領用表!$L:$L,領用表!$E:$E,$B62,領用表!$B:$B,S$2&amp;$P$1)</f>
        <v/>
      </c>
      <c r="T62" s="142">
        <f>SUMIFS(領用表!$L:$L,領用表!$E:$E,$B62,領用表!$B:$B,T$2&amp;$P$1)</f>
        <v/>
      </c>
      <c r="U62" s="142" t="n"/>
      <c r="V62" s="142">
        <f>SUMIFS(領用表!$L:$L,領用表!$E:$E,$B62,領用表!$B:$B,V$2&amp;$P$1)</f>
        <v/>
      </c>
      <c r="W62" s="142">
        <f>SUMIFS(領用表!$L:$L,領用表!$E:$E,$B62,領用表!$B:$B,W$2&amp;$P$1)</f>
        <v/>
      </c>
      <c r="X62" s="142">
        <f>SUMIFS(領用表!$L:$L,領用表!$E:$E,$B62,領用表!$B:$B,X$2&amp;$P$1)</f>
        <v/>
      </c>
      <c r="Y62" s="142">
        <f>SUMIFS(領用表!$L:$L,領用表!$E:$E,$B62,領用表!$B:$B,Y$2&amp;$P$1)</f>
        <v/>
      </c>
      <c r="Z62" s="142">
        <f>SUMIFS(領用表!$L:$L,領用表!$E:$E,$B62,領用表!$B:$B,Z$2&amp;$P$1)</f>
        <v/>
      </c>
      <c r="AA62" s="142">
        <f>SUMIFS(領用表!$L:$L,領用表!$E:$E,$B62,領用表!$B:$B,AA$2&amp;$P$1)</f>
        <v/>
      </c>
      <c r="AB62" s="142">
        <f>SUM(P62,Q62,R62,S62,T62,U62)</f>
        <v/>
      </c>
      <c r="AC62" s="142">
        <f>AVERAGE(P62,Q62,R62,S62,T62,U62)</f>
        <v/>
      </c>
      <c r="AD62" s="142">
        <f>SUMIF(Summary!B:B,B62,Summary!EC:EC)</f>
        <v/>
      </c>
      <c r="AE62" s="109" t="n"/>
      <c r="AF62" s="65" t="n"/>
      <c r="AG62" s="65" t="n"/>
      <c r="AH62" s="65" t="n"/>
      <c r="AI62" s="27" t="n"/>
      <c r="AJ62" s="27" t="n"/>
      <c r="AK62" s="14" t="n"/>
      <c r="AL62" s="29" t="n"/>
    </row>
    <row r="63" ht="15.75" customHeight="1" s="453">
      <c r="A63" s="27" t="n"/>
      <c r="B63" s="14" t="e">
        <v>#N/A</v>
      </c>
      <c r="C63" s="136" t="inlineStr">
        <is>
          <t>(售完不進)滾針1.0mm</t>
        </is>
      </c>
      <c r="D63" s="77" t="n"/>
      <c r="E63" s="17" t="inlineStr">
        <is>
          <t>支</t>
        </is>
      </c>
      <c r="F63" s="18" t="n"/>
      <c r="G63" s="18" t="n"/>
      <c r="H63" s="20">
        <f>SUMIFS(領用表!$L:$L,領用表!$E:$E,$B63,領用表!$B:$B,H$2&amp;$P$1)</f>
        <v/>
      </c>
      <c r="I63" s="20">
        <f>SUMIFS(領用表!$L:$L,領用表!$E:$E,$B63,領用表!$B:$B,I$2&amp;$P$1)</f>
        <v/>
      </c>
      <c r="J63" s="20">
        <f>SUMIFS(領用表!$L:$L,領用表!$E:$E,$B63,領用表!$B:$B,J$2&amp;$P$1)</f>
        <v/>
      </c>
      <c r="K63" s="142">
        <f>SUMIFS(領用表!$L:$L,領用表!$E:$E,$B63,領用表!$B:$B,K$2&amp;$P$1)</f>
        <v/>
      </c>
      <c r="L63" s="142">
        <f>SUMIFS(領用表!$L:$L,領用表!$E:$E,$B63,領用表!$B:$B,L$2&amp;$P$1)</f>
        <v/>
      </c>
      <c r="M63" s="142">
        <f>SUMIFS(領用表!$L:$L,領用表!$E:$E,$B63,領用表!$B:$B,M$2&amp;$P$1)</f>
        <v/>
      </c>
      <c r="N63" s="23">
        <f>SUM(,H63,I63,J63,K63,L63,M63)</f>
        <v/>
      </c>
      <c r="O63" s="23">
        <f>AVERAGE(,H63,I63,J63,K63,L63,M63)</f>
        <v/>
      </c>
      <c r="P63" s="142">
        <f>SUMIFS(領用表!$L:$L,領用表!$E:$E,$B63,領用表!$B:$B,P$2&amp;$P$1)</f>
        <v/>
      </c>
      <c r="Q63" s="142">
        <f>SUMIFS(領用表!$L:$L,領用表!$E:$E,$B63,領用表!$B:$B,Q$2&amp;$P$1)</f>
        <v/>
      </c>
      <c r="R63" s="142">
        <f>SUMIFS(領用表!$L:$L,領用表!$E:$E,$B63,領用表!$B:$B,R$2&amp;$P$1)</f>
        <v/>
      </c>
      <c r="S63" s="142">
        <f>SUMIFS(領用表!$L:$L,領用表!$E:$E,$B63,領用表!$B:$B,S$2&amp;$P$1)</f>
        <v/>
      </c>
      <c r="T63" s="142">
        <f>SUMIFS(領用表!$L:$L,領用表!$E:$E,$B63,領用表!$B:$B,T$2&amp;$P$1)</f>
        <v/>
      </c>
      <c r="U63" s="142">
        <f>SUMIFS(領用表!$L:$L,領用表!$E:$E,$B63,領用表!$B:$B,U$2&amp;$P$1)</f>
        <v/>
      </c>
      <c r="V63" s="142">
        <f>SUMIFS(領用表!$L:$L,領用表!$E:$E,$B63,領用表!$B:$B,V$2&amp;$P$1)</f>
        <v/>
      </c>
      <c r="W63" s="142">
        <f>SUMIFS(領用表!$L:$L,領用表!$E:$E,$B63,領用表!$B:$B,W$2&amp;$P$1)</f>
        <v/>
      </c>
      <c r="X63" s="142">
        <f>SUMIFS(領用表!$L:$L,領用表!$E:$E,$B63,領用表!$B:$B,X$2&amp;$P$1)</f>
        <v/>
      </c>
      <c r="Y63" s="142">
        <f>SUMIFS(領用表!$L:$L,領用表!$E:$E,$B63,領用表!$B:$B,Y$2&amp;$P$1)</f>
        <v/>
      </c>
      <c r="Z63" s="142">
        <f>SUMIFS(領用表!$L:$L,領用表!$E:$E,$B63,領用表!$B:$B,Z$2&amp;$P$1)</f>
        <v/>
      </c>
      <c r="AA63" s="142">
        <f>SUMIFS(領用表!$L:$L,領用表!$E:$E,$B63,領用表!$B:$B,AA$2&amp;$P$1)</f>
        <v/>
      </c>
      <c r="AB63" s="142">
        <f>SUM(P63,Q63,R63,S63,T63,U63)</f>
        <v/>
      </c>
      <c r="AC63" s="142">
        <f>AVERAGE(P63,Q63,R63,S63,T63,U63)</f>
        <v/>
      </c>
      <c r="AD63" s="142">
        <f>SUMIF(Summary!B:B,B63,Summary!EC:EC)</f>
        <v/>
      </c>
      <c r="AE63" s="109" t="n"/>
      <c r="AF63" s="65" t="n"/>
      <c r="AG63" s="65" t="n"/>
      <c r="AH63" s="65" t="n"/>
      <c r="AI63" s="27" t="n"/>
      <c r="AJ63" s="27" t="n"/>
      <c r="AK63" s="14" t="n"/>
      <c r="AL63" s="29" t="n"/>
    </row>
    <row r="64" ht="15.75" customHeight="1" s="453">
      <c r="A64" s="27" t="n"/>
      <c r="B64" s="14" t="e">
        <v>#N/A</v>
      </c>
      <c r="C64" s="136" t="inlineStr">
        <is>
          <t>(售完不進)滾針1.5mm</t>
        </is>
      </c>
      <c r="D64" s="77" t="n"/>
      <c r="E64" s="17" t="inlineStr">
        <is>
          <t>支</t>
        </is>
      </c>
      <c r="F64" s="18" t="n"/>
      <c r="G64" s="18" t="n"/>
      <c r="H64" s="20">
        <f>SUMIFS(領用表!$L:$L,領用表!$E:$E,$B64,領用表!$B:$B,H$2&amp;$P$1)</f>
        <v/>
      </c>
      <c r="I64" s="20">
        <f>SUMIFS(領用表!$L:$L,領用表!$E:$E,$B64,領用表!$B:$B,I$2&amp;$P$1)</f>
        <v/>
      </c>
      <c r="J64" s="20">
        <f>SUMIFS(領用表!$L:$L,領用表!$E:$E,$B64,領用表!$B:$B,J$2&amp;$P$1)</f>
        <v/>
      </c>
      <c r="K64" s="142">
        <f>SUMIFS(領用表!$L:$L,領用表!$E:$E,$B64,領用表!$B:$B,K$2&amp;$P$1)</f>
        <v/>
      </c>
      <c r="L64" s="142">
        <f>SUMIFS(領用表!$L:$L,領用表!$E:$E,$B64,領用表!$B:$B,L$2&amp;$P$1)</f>
        <v/>
      </c>
      <c r="M64" s="142">
        <f>SUMIFS(領用表!$L:$L,領用表!$E:$E,$B64,領用表!$B:$B,M$2&amp;$P$1)</f>
        <v/>
      </c>
      <c r="N64" s="23">
        <f>SUM(,H64,I64,J64,K64,L64,M64)</f>
        <v/>
      </c>
      <c r="O64" s="23">
        <f>AVERAGE(,H64,I64,J64,K64,L64,M64)</f>
        <v/>
      </c>
      <c r="P64" s="142">
        <f>SUMIFS(領用表!$L:$L,領用表!$E:$E,$B64,領用表!$B:$B,P$2&amp;$P$1)</f>
        <v/>
      </c>
      <c r="Q64" s="142">
        <f>SUMIFS(領用表!$L:$L,領用表!$E:$E,$B64,領用表!$B:$B,Q$2&amp;$P$1)</f>
        <v/>
      </c>
      <c r="R64" s="142">
        <f>SUMIFS(領用表!$L:$L,領用表!$E:$E,$B64,領用表!$B:$B,R$2&amp;$P$1)</f>
        <v/>
      </c>
      <c r="S64" s="142">
        <f>SUMIFS(領用表!$L:$L,領用表!$E:$E,$B64,領用表!$B:$B,S$2&amp;$P$1)</f>
        <v/>
      </c>
      <c r="T64" s="142">
        <f>SUMIFS(領用表!$L:$L,領用表!$E:$E,$B64,領用表!$B:$B,T$2&amp;$P$1)</f>
        <v/>
      </c>
      <c r="U64" s="142">
        <f>SUMIFS(領用表!$L:$L,領用表!$E:$E,$B64,領用表!$B:$B,U$2&amp;$P$1)</f>
        <v/>
      </c>
      <c r="V64" s="142">
        <f>SUMIFS(領用表!$L:$L,領用表!$E:$E,$B64,領用表!$B:$B,V$2&amp;$P$1)</f>
        <v/>
      </c>
      <c r="W64" s="142">
        <f>SUMIFS(領用表!$L:$L,領用表!$E:$E,$B64,領用表!$B:$B,W$2&amp;$P$1)</f>
        <v/>
      </c>
      <c r="X64" s="142">
        <f>SUMIFS(領用表!$L:$L,領用表!$E:$E,$B64,領用表!$B:$B,X$2&amp;$P$1)</f>
        <v/>
      </c>
      <c r="Y64" s="142">
        <f>SUMIFS(領用表!$L:$L,領用表!$E:$E,$B64,領用表!$B:$B,Y$2&amp;$P$1)</f>
        <v/>
      </c>
      <c r="Z64" s="142">
        <f>SUMIFS(領用表!$L:$L,領用表!$E:$E,$B64,領用表!$B:$B,Z$2&amp;$P$1)</f>
        <v/>
      </c>
      <c r="AA64" s="142">
        <f>SUMIFS(領用表!$L:$L,領用表!$E:$E,$B64,領用表!$B:$B,AA$2&amp;$P$1)</f>
        <v/>
      </c>
      <c r="AB64" s="142">
        <f>SUM(P64,Q64,R64,S64,T64,U64)</f>
        <v/>
      </c>
      <c r="AC64" s="142">
        <f>AVERAGE(P64,Q64,R64,S64,T64,U64)</f>
        <v/>
      </c>
      <c r="AD64" s="142">
        <f>SUMIF(Summary!B:B,B64,Summary!EC:EC)</f>
        <v/>
      </c>
      <c r="AE64" s="109" t="n"/>
      <c r="AF64" s="65" t="n"/>
      <c r="AG64" s="65" t="n"/>
      <c r="AH64" s="65" t="n"/>
      <c r="AI64" s="27" t="n"/>
      <c r="AJ64" s="27" t="n"/>
      <c r="AK64" s="14" t="n"/>
      <c r="AL64" s="29" t="n"/>
    </row>
    <row r="65" ht="15.75" customHeight="1" s="453">
      <c r="A65" s="27" t="n"/>
      <c r="B65" s="14" t="e">
        <v>#N/A</v>
      </c>
      <c r="C65" s="136" t="inlineStr">
        <is>
          <t>(售完不進)滾針2.0mm</t>
        </is>
      </c>
      <c r="D65" s="77" t="n"/>
      <c r="E65" s="17" t="inlineStr">
        <is>
          <t>支</t>
        </is>
      </c>
      <c r="F65" s="18" t="n"/>
      <c r="G65" s="18" t="n"/>
      <c r="H65" s="20">
        <f>SUMIFS(領用表!$L:$L,領用表!$E:$E,$B65,領用表!$B:$B,H$2&amp;$P$1)</f>
        <v/>
      </c>
      <c r="I65" s="20">
        <f>SUMIFS(領用表!$L:$L,領用表!$E:$E,$B65,領用表!$B:$B,I$2&amp;$P$1)</f>
        <v/>
      </c>
      <c r="J65" s="20">
        <f>SUMIFS(領用表!$L:$L,領用表!$E:$E,$B65,領用表!$B:$B,J$2&amp;$P$1)</f>
        <v/>
      </c>
      <c r="K65" s="142">
        <f>SUMIFS(領用表!$L:$L,領用表!$E:$E,$B65,領用表!$B:$B,K$2&amp;$P$1)</f>
        <v/>
      </c>
      <c r="L65" s="142">
        <f>SUMIFS(領用表!$L:$L,領用表!$E:$E,$B65,領用表!$B:$B,L$2&amp;$P$1)</f>
        <v/>
      </c>
      <c r="M65" s="142">
        <f>SUMIFS(領用表!$L:$L,領用表!$E:$E,$B65,領用表!$B:$B,M$2&amp;$P$1)</f>
        <v/>
      </c>
      <c r="N65" s="23">
        <f>SUM(,H65,I65,J65,K65,L65,M65)</f>
        <v/>
      </c>
      <c r="O65" s="23">
        <f>AVERAGE(,H65,I65,J65,K65,L65,M65)</f>
        <v/>
      </c>
      <c r="P65" s="142">
        <f>SUMIFS(領用表!$L:$L,領用表!$E:$E,$B65,領用表!$B:$B,P$2&amp;$P$1)</f>
        <v/>
      </c>
      <c r="Q65" s="142">
        <f>SUMIFS(領用表!$L:$L,領用表!$E:$E,$B65,領用表!$B:$B,Q$2&amp;$P$1)</f>
        <v/>
      </c>
      <c r="R65" s="142">
        <f>SUMIFS(領用表!$L:$L,領用表!$E:$E,$B65,領用表!$B:$B,R$2&amp;$P$1)</f>
        <v/>
      </c>
      <c r="S65" s="142">
        <f>SUMIFS(領用表!$L:$L,領用表!$E:$E,$B65,領用表!$B:$B,S$2&amp;$P$1)</f>
        <v/>
      </c>
      <c r="T65" s="142">
        <f>SUMIFS(領用表!$L:$L,領用表!$E:$E,$B65,領用表!$B:$B,T$2&amp;$P$1)</f>
        <v/>
      </c>
      <c r="U65" s="142">
        <f>SUMIFS(領用表!$L:$L,領用表!$E:$E,$B65,領用表!$B:$B,U$2&amp;$P$1)</f>
        <v/>
      </c>
      <c r="V65" s="142">
        <f>SUMIFS(領用表!$L:$L,領用表!$E:$E,$B65,領用表!$B:$B,V$2&amp;$P$1)</f>
        <v/>
      </c>
      <c r="W65" s="142">
        <f>SUMIFS(領用表!$L:$L,領用表!$E:$E,$B65,領用表!$B:$B,W$2&amp;$P$1)</f>
        <v/>
      </c>
      <c r="X65" s="142">
        <f>SUMIFS(領用表!$L:$L,領用表!$E:$E,$B65,領用表!$B:$B,X$2&amp;$P$1)</f>
        <v/>
      </c>
      <c r="Y65" s="142">
        <f>SUMIFS(領用表!$L:$L,領用表!$E:$E,$B65,領用表!$B:$B,Y$2&amp;$P$1)</f>
        <v/>
      </c>
      <c r="Z65" s="142">
        <f>SUMIFS(領用表!$L:$L,領用表!$E:$E,$B65,領用表!$B:$B,Z$2&amp;$P$1)</f>
        <v/>
      </c>
      <c r="AA65" s="142">
        <f>SUMIFS(領用表!$L:$L,領用表!$E:$E,$B65,領用表!$B:$B,AA$2&amp;$P$1)</f>
        <v/>
      </c>
      <c r="AB65" s="142">
        <f>SUM(P65,Q65,R65,S65,T65,U65)</f>
        <v/>
      </c>
      <c r="AC65" s="142">
        <f>AVERAGE(P65,Q65,R65,S65,T65,U65)</f>
        <v/>
      </c>
      <c r="AD65" s="142">
        <f>SUMIF(Summary!B:B,B65,Summary!EC:EC)</f>
        <v/>
      </c>
      <c r="AE65" s="109" t="n"/>
      <c r="AF65" s="65" t="n"/>
      <c r="AG65" s="65" t="n"/>
      <c r="AH65" s="65" t="n"/>
      <c r="AI65" s="27" t="n"/>
      <c r="AJ65" s="27" t="n"/>
      <c r="AK65" s="14" t="n"/>
      <c r="AL65" s="29" t="n"/>
    </row>
    <row r="66" ht="15.75" customHeight="1" s="453">
      <c r="A66" s="27" t="n"/>
      <c r="B66" s="14" t="e">
        <v>#N/A</v>
      </c>
      <c r="C66" s="136" t="inlineStr">
        <is>
          <t>鈍針_27G</t>
        </is>
      </c>
      <c r="D66" s="77" t="n"/>
      <c r="E66" s="17" t="inlineStr">
        <is>
          <t>支</t>
        </is>
      </c>
      <c r="F66" s="18" t="n"/>
      <c r="G66" s="18" t="n"/>
      <c r="H66" s="20">
        <f>SUMIFS(領用表!$L:$L,領用表!$E:$E,$B66,領用表!$B:$B,H$2&amp;$P$1)</f>
        <v/>
      </c>
      <c r="I66" s="20">
        <f>SUMIFS(領用表!$L:$L,領用表!$E:$E,$B66,領用表!$B:$B,I$2&amp;$P$1)</f>
        <v/>
      </c>
      <c r="J66" s="20">
        <f>SUMIFS(領用表!$L:$L,領用表!$E:$E,$B66,領用表!$B:$B,J$2&amp;$P$1)</f>
        <v/>
      </c>
      <c r="K66" s="142">
        <f>SUMIFS(領用表!$L:$L,領用表!$E:$E,$B66,領用表!$B:$B,K$2&amp;$P$1)</f>
        <v/>
      </c>
      <c r="L66" s="142">
        <f>SUMIFS(領用表!$L:$L,領用表!$E:$E,$B66,領用表!$B:$B,L$2&amp;$P$1)</f>
        <v/>
      </c>
      <c r="M66" s="142">
        <f>SUMIFS(領用表!$L:$L,領用表!$E:$E,$B66,領用表!$B:$B,M$2&amp;$P$1)</f>
        <v/>
      </c>
      <c r="N66" s="23">
        <f>SUM(,H66,I66,J66,K66,L66,M66)</f>
        <v/>
      </c>
      <c r="O66" s="23">
        <f>AVERAGE(,H66,I66,J66,K66,L66,M66)</f>
        <v/>
      </c>
      <c r="P66" s="142">
        <f>SUMIFS(領用表!$L:$L,領用表!$E:$E,$B66,領用表!$B:$B,P$2&amp;$P$1)</f>
        <v/>
      </c>
      <c r="Q66" s="142">
        <f>SUMIFS(領用表!$L:$L,領用表!$E:$E,$B66,領用表!$B:$B,Q$2&amp;$P$1)</f>
        <v/>
      </c>
      <c r="R66" s="142">
        <f>SUMIFS(領用表!$L:$L,領用表!$E:$E,$B66,領用表!$B:$B,R$2&amp;$P$1)</f>
        <v/>
      </c>
      <c r="S66" s="142">
        <f>SUMIFS(領用表!$L:$L,領用表!$E:$E,$B66,領用表!$B:$B,S$2&amp;$P$1)</f>
        <v/>
      </c>
      <c r="T66" s="142">
        <f>SUMIFS(領用表!$L:$L,領用表!$E:$E,$B66,領用表!$B:$B,T$2&amp;$P$1)</f>
        <v/>
      </c>
      <c r="U66" s="142">
        <f>SUMIFS(領用表!$L:$L,領用表!$E:$E,$B66,領用表!$B:$B,U$2&amp;$P$1)</f>
        <v/>
      </c>
      <c r="V66" s="142">
        <f>SUMIFS(領用表!$L:$L,領用表!$E:$E,$B66,領用表!$B:$B,V$2&amp;$P$1)</f>
        <v/>
      </c>
      <c r="W66" s="142">
        <f>SUMIFS(領用表!$L:$L,領用表!$E:$E,$B66,領用表!$B:$B,W$2&amp;$P$1)</f>
        <v/>
      </c>
      <c r="X66" s="142">
        <f>SUMIFS(領用表!$L:$L,領用表!$E:$E,$B66,領用表!$B:$B,X$2&amp;$P$1)</f>
        <v/>
      </c>
      <c r="Y66" s="142">
        <f>SUMIFS(領用表!$L:$L,領用表!$E:$E,$B66,領用表!$B:$B,Y$2&amp;$P$1)</f>
        <v/>
      </c>
      <c r="Z66" s="142">
        <f>SUMIFS(領用表!$L:$L,領用表!$E:$E,$B66,領用表!$B:$B,Z$2&amp;$P$1)</f>
        <v/>
      </c>
      <c r="AA66" s="142">
        <f>SUMIFS(領用表!$L:$L,領用表!$E:$E,$B66,領用表!$B:$B,AA$2&amp;$P$1)</f>
        <v/>
      </c>
      <c r="AB66" s="142">
        <f>SUM(P66,Q66,R66,S66,T66,U66)</f>
        <v/>
      </c>
      <c r="AC66" s="142">
        <f>AVERAGE(P66,Q66,R66,S66,T66,U66)</f>
        <v/>
      </c>
      <c r="AD66" s="142">
        <f>SUMIF(Summary!B:B,B66,Summary!EC:EC)</f>
        <v/>
      </c>
      <c r="AE66" s="109" t="n"/>
      <c r="AF66" s="65" t="n"/>
      <c r="AG66" s="65" t="n"/>
      <c r="AH66" s="65" t="n"/>
      <c r="AI66" s="27" t="n"/>
      <c r="AJ66" s="27" t="n"/>
      <c r="AK66" s="14" t="n"/>
      <c r="AL66" s="29" t="n"/>
    </row>
    <row r="67" ht="15.75" customHeight="1" s="453">
      <c r="A67" s="27" t="n"/>
      <c r="B67" s="14" t="e">
        <v>#N/A</v>
      </c>
      <c r="C67" s="136" t="inlineStr">
        <is>
          <t>寶寶針_32G 2mm</t>
        </is>
      </c>
      <c r="D67" s="77" t="n"/>
      <c r="E67" s="17" t="inlineStr">
        <is>
          <t>支</t>
        </is>
      </c>
      <c r="F67" s="18" t="n"/>
      <c r="G67" s="18" t="n"/>
      <c r="H67" s="20">
        <f>SUMIFS(領用表!$L:$L,領用表!$E:$E,$B67,領用表!$B:$B,H$2&amp;$P$1)</f>
        <v/>
      </c>
      <c r="I67" s="20">
        <f>SUMIFS(領用表!$L:$L,領用表!$E:$E,$B67,領用表!$B:$B,I$2&amp;$P$1)</f>
        <v/>
      </c>
      <c r="J67" s="20">
        <f>SUMIFS(領用表!$L:$L,領用表!$E:$E,$B67,領用表!$B:$B,J$2&amp;$P$1)</f>
        <v/>
      </c>
      <c r="K67" s="142">
        <f>SUMIFS(領用表!$L:$L,領用表!$E:$E,$B67,領用表!$B:$B,K$2&amp;$P$1)</f>
        <v/>
      </c>
      <c r="L67" s="142">
        <f>SUMIFS(領用表!$L:$L,領用表!$E:$E,$B67,領用表!$B:$B,L$2&amp;$P$1)</f>
        <v/>
      </c>
      <c r="M67" s="142">
        <f>SUMIFS(領用表!$L:$L,領用表!$E:$E,$B67,領用表!$B:$B,M$2&amp;$P$1)</f>
        <v/>
      </c>
      <c r="N67" s="23">
        <f>SUM(,H67,I67,J67,K67,L67,M67)</f>
        <v/>
      </c>
      <c r="O67" s="23">
        <f>AVERAGE(,H67,I67,J67,K67,L67,M67)</f>
        <v/>
      </c>
      <c r="P67" s="142">
        <f>SUMIFS(領用表!$L:$L,領用表!$E:$E,$B67,領用表!$B:$B,P$2&amp;$P$1)</f>
        <v/>
      </c>
      <c r="Q67" s="142">
        <f>SUMIFS(領用表!$L:$L,領用表!$E:$E,$B67,領用表!$B:$B,Q$2&amp;$P$1)</f>
        <v/>
      </c>
      <c r="R67" s="142">
        <f>SUMIFS(領用表!$L:$L,領用表!$E:$E,$B67,領用表!$B:$B,R$2&amp;$P$1)</f>
        <v/>
      </c>
      <c r="S67" s="142">
        <f>SUMIFS(領用表!$L:$L,領用表!$E:$E,$B67,領用表!$B:$B,S$2&amp;$P$1)</f>
        <v/>
      </c>
      <c r="T67" s="142">
        <f>SUMIFS(領用表!$L:$L,領用表!$E:$E,$B67,領用表!$B:$B,T$2&amp;$P$1)</f>
        <v/>
      </c>
      <c r="U67" s="142">
        <f>SUMIFS(領用表!$L:$L,領用表!$E:$E,$B67,領用表!$B:$B,U$2&amp;$P$1)</f>
        <v/>
      </c>
      <c r="V67" s="142">
        <f>SUMIFS(領用表!$L:$L,領用表!$E:$E,$B67,領用表!$B:$B,V$2&amp;$P$1)</f>
        <v/>
      </c>
      <c r="W67" s="142">
        <f>SUMIFS(領用表!$L:$L,領用表!$E:$E,$B67,領用表!$B:$B,W$2&amp;$P$1)</f>
        <v/>
      </c>
      <c r="X67" s="142">
        <f>SUMIFS(領用表!$L:$L,領用表!$E:$E,$B67,領用表!$B:$B,X$2&amp;$P$1)</f>
        <v/>
      </c>
      <c r="Y67" s="142">
        <f>SUMIFS(領用表!$L:$L,領用表!$E:$E,$B67,領用表!$B:$B,Y$2&amp;$P$1)</f>
        <v/>
      </c>
      <c r="Z67" s="142">
        <f>SUMIFS(領用表!$L:$L,領用表!$E:$E,$B67,領用表!$B:$B,Z$2&amp;$P$1)</f>
        <v/>
      </c>
      <c r="AA67" s="142">
        <f>SUMIFS(領用表!$L:$L,領用表!$E:$E,$B67,領用表!$B:$B,AA$2&amp;$P$1)</f>
        <v/>
      </c>
      <c r="AB67" s="142">
        <f>SUM(P67,Q67,R67,S67,T67,U67)</f>
        <v/>
      </c>
      <c r="AC67" s="142">
        <f>AVERAGE(P67,Q67,R67,S67,T67,U67)</f>
        <v/>
      </c>
      <c r="AD67" s="142">
        <f>SUMIF(Summary!B:B,B67,Summary!EC:EC)</f>
        <v/>
      </c>
      <c r="AE67" s="109" t="n"/>
      <c r="AF67" s="65" t="n"/>
      <c r="AG67" s="65" t="n"/>
      <c r="AH67" s="65" t="n"/>
      <c r="AI67" s="27" t="n"/>
      <c r="AJ67" s="27" t="n"/>
      <c r="AK67" s="14" t="n"/>
      <c r="AL67" s="29" t="n"/>
    </row>
    <row r="68" ht="15.75" customHeight="1" s="453">
      <c r="A68" s="27" t="n"/>
      <c r="B68" s="14" t="e">
        <v>#N/A</v>
      </c>
      <c r="C68" s="136" t="inlineStr">
        <is>
          <t>寶寶針_32G 4mm</t>
        </is>
      </c>
      <c r="D68" s="77" t="n"/>
      <c r="E68" s="17" t="inlineStr">
        <is>
          <t>支</t>
        </is>
      </c>
      <c r="F68" s="18" t="n"/>
      <c r="G68" s="18" t="n"/>
      <c r="H68" s="20">
        <f>SUMIFS(領用表!$L:$L,領用表!$E:$E,$B68,領用表!$B:$B,H$2&amp;$P$1)</f>
        <v/>
      </c>
      <c r="I68" s="20">
        <f>SUMIFS(領用表!$L:$L,領用表!$E:$E,$B68,領用表!$B:$B,I$2&amp;$P$1)</f>
        <v/>
      </c>
      <c r="J68" s="20">
        <f>SUMIFS(領用表!$L:$L,領用表!$E:$E,$B68,領用表!$B:$B,J$2&amp;$P$1)</f>
        <v/>
      </c>
      <c r="K68" s="142">
        <f>SUMIFS(領用表!$L:$L,領用表!$E:$E,$B68,領用表!$B:$B,K$2&amp;$P$1)</f>
        <v/>
      </c>
      <c r="L68" s="142">
        <f>SUMIFS(領用表!$L:$L,領用表!$E:$E,$B68,領用表!$B:$B,L$2&amp;$P$1)</f>
        <v/>
      </c>
      <c r="M68" s="142">
        <f>SUMIFS(領用表!$L:$L,領用表!$E:$E,$B68,領用表!$B:$B,M$2&amp;$P$1)</f>
        <v/>
      </c>
      <c r="N68" s="23">
        <f>SUM(,H68,I68,J68,K68,L68,M68)</f>
        <v/>
      </c>
      <c r="O68" s="23">
        <f>AVERAGE(,H68,I68,J68,K68,L68,M68)</f>
        <v/>
      </c>
      <c r="P68" s="142">
        <f>SUMIFS(領用表!$L:$L,領用表!$E:$E,$B68,領用表!$B:$B,P$2&amp;$P$1)</f>
        <v/>
      </c>
      <c r="Q68" s="142">
        <f>SUMIFS(領用表!$L:$L,領用表!$E:$E,$B68,領用表!$B:$B,Q$2&amp;$P$1)</f>
        <v/>
      </c>
      <c r="R68" s="142">
        <f>SUMIFS(領用表!$L:$L,領用表!$E:$E,$B68,領用表!$B:$B,R$2&amp;$P$1)</f>
        <v/>
      </c>
      <c r="S68" s="142">
        <f>SUMIFS(領用表!$L:$L,領用表!$E:$E,$B68,領用表!$B:$B,S$2&amp;$P$1)</f>
        <v/>
      </c>
      <c r="T68" s="142">
        <f>SUMIFS(領用表!$L:$L,領用表!$E:$E,$B68,領用表!$B:$B,T$2&amp;$P$1)</f>
        <v/>
      </c>
      <c r="U68" s="142">
        <f>SUMIFS(領用表!$L:$L,領用表!$E:$E,$B68,領用表!$B:$B,U$2&amp;$P$1)</f>
        <v/>
      </c>
      <c r="V68" s="142">
        <f>SUMIFS(領用表!$L:$L,領用表!$E:$E,$B68,領用表!$B:$B,V$2&amp;$P$1)</f>
        <v/>
      </c>
      <c r="W68" s="142">
        <f>SUMIFS(領用表!$L:$L,領用表!$E:$E,$B68,領用表!$B:$B,W$2&amp;$P$1)</f>
        <v/>
      </c>
      <c r="X68" s="142">
        <f>SUMIFS(領用表!$L:$L,領用表!$E:$E,$B68,領用表!$B:$B,X$2&amp;$P$1)</f>
        <v/>
      </c>
      <c r="Y68" s="142">
        <f>SUMIFS(領用表!$L:$L,領用表!$E:$E,$B68,領用表!$B:$B,Y$2&amp;$P$1)</f>
        <v/>
      </c>
      <c r="Z68" s="142">
        <f>SUMIFS(領用表!$L:$L,領用表!$E:$E,$B68,領用表!$B:$B,Z$2&amp;$P$1)</f>
        <v/>
      </c>
      <c r="AA68" s="142">
        <f>SUMIFS(領用表!$L:$L,領用表!$E:$E,$B68,領用表!$B:$B,AA$2&amp;$P$1)</f>
        <v/>
      </c>
      <c r="AB68" s="142">
        <f>SUM(P68,Q68,R68,S68,T68,U68)</f>
        <v/>
      </c>
      <c r="AC68" s="142">
        <f>AVERAGE(P68,Q68,R68,S68,T68,U68)</f>
        <v/>
      </c>
      <c r="AD68" s="142">
        <f>SUMIF(Summary!B:B,B68,Summary!EC:EC)</f>
        <v/>
      </c>
      <c r="AE68" s="109" t="n"/>
      <c r="AF68" s="65" t="n"/>
      <c r="AG68" s="65" t="n"/>
      <c r="AH68" s="65" t="n"/>
      <c r="AI68" s="27" t="n"/>
      <c r="AJ68" s="27" t="n"/>
      <c r="AK68" s="14" t="n"/>
      <c r="AL68" s="29" t="n"/>
    </row>
    <row r="69" ht="15.75" customHeight="1" s="453">
      <c r="A69" s="27" t="n"/>
      <c r="B69" s="14" t="e">
        <v>#N/A</v>
      </c>
      <c r="C69" s="136" t="inlineStr">
        <is>
          <t>寶寶針_33G 4mm</t>
        </is>
      </c>
      <c r="D69" s="77" t="n"/>
      <c r="E69" s="17" t="inlineStr">
        <is>
          <t>支</t>
        </is>
      </c>
      <c r="F69" s="18" t="n"/>
      <c r="G69" s="18" t="n"/>
      <c r="H69" s="20">
        <f>SUMIFS(領用表!$L:$L,領用表!$E:$E,$B69,領用表!$B:$B,H$2&amp;$P$1)</f>
        <v/>
      </c>
      <c r="I69" s="20">
        <f>SUMIFS(領用表!$L:$L,領用表!$E:$E,$B69,領用表!$B:$B,I$2&amp;$P$1)</f>
        <v/>
      </c>
      <c r="J69" s="20">
        <f>SUMIFS(領用表!$L:$L,領用表!$E:$E,$B69,領用表!$B:$B,J$2&amp;$P$1)</f>
        <v/>
      </c>
      <c r="K69" s="142">
        <f>SUMIFS(領用表!$L:$L,領用表!$E:$E,$B69,領用表!$B:$B,K$2&amp;$P$1)</f>
        <v/>
      </c>
      <c r="L69" s="142">
        <f>SUMIFS(領用表!$L:$L,領用表!$E:$E,$B69,領用表!$B:$B,L$2&amp;$P$1)</f>
        <v/>
      </c>
      <c r="M69" s="142">
        <f>SUMIFS(領用表!$L:$L,領用表!$E:$E,$B69,領用表!$B:$B,M$2&amp;$P$1)</f>
        <v/>
      </c>
      <c r="N69" s="23">
        <f>SUM(,H69,I69,J69,K69,L69,M69)</f>
        <v/>
      </c>
      <c r="O69" s="23">
        <f>AVERAGE(,H69,I69,J69,K69,L69,M69)</f>
        <v/>
      </c>
      <c r="P69" s="142">
        <f>SUMIFS(領用表!$L:$L,領用表!$E:$E,$B69,領用表!$B:$B,P$2&amp;$P$1)</f>
        <v/>
      </c>
      <c r="Q69" s="142">
        <f>SUMIFS(領用表!$L:$L,領用表!$E:$E,$B69,領用表!$B:$B,Q$2&amp;$P$1)</f>
        <v/>
      </c>
      <c r="R69" s="142">
        <f>SUMIFS(領用表!$L:$L,領用表!$E:$E,$B69,領用表!$B:$B,R$2&amp;$P$1)</f>
        <v/>
      </c>
      <c r="S69" s="142">
        <f>SUMIFS(領用表!$L:$L,領用表!$E:$E,$B69,領用表!$B:$B,S$2&amp;$P$1)</f>
        <v/>
      </c>
      <c r="T69" s="142">
        <f>SUMIFS(領用表!$L:$L,領用表!$E:$E,$B69,領用表!$B:$B,T$2&amp;$P$1)</f>
        <v/>
      </c>
      <c r="U69" s="142">
        <f>SUMIFS(領用表!$L:$L,領用表!$E:$E,$B69,領用表!$B:$B,U$2&amp;$P$1)</f>
        <v/>
      </c>
      <c r="V69" s="142">
        <f>SUMIFS(領用表!$L:$L,領用表!$E:$E,$B69,領用表!$B:$B,V$2&amp;$P$1)</f>
        <v/>
      </c>
      <c r="W69" s="142">
        <f>SUMIFS(領用表!$L:$L,領用表!$E:$E,$B69,領用表!$B:$B,W$2&amp;$P$1)</f>
        <v/>
      </c>
      <c r="X69" s="142">
        <f>SUMIFS(領用表!$L:$L,領用表!$E:$E,$B69,領用表!$B:$B,X$2&amp;$P$1)</f>
        <v/>
      </c>
      <c r="Y69" s="142">
        <f>SUMIFS(領用表!$L:$L,領用表!$E:$E,$B69,領用表!$B:$B,Y$2&amp;$P$1)</f>
        <v/>
      </c>
      <c r="Z69" s="142">
        <f>SUMIFS(領用表!$L:$L,領用表!$E:$E,$B69,領用表!$B:$B,Z$2&amp;$P$1)</f>
        <v/>
      </c>
      <c r="AA69" s="142">
        <f>SUMIFS(領用表!$L:$L,領用表!$E:$E,$B69,領用表!$B:$B,AA$2&amp;$P$1)</f>
        <v/>
      </c>
      <c r="AB69" s="142">
        <f>SUM(P69,Q69,R69,S69,T69,U69)</f>
        <v/>
      </c>
      <c r="AC69" s="142">
        <f>AVERAGE(P69,Q69,R69,S69,T69,U69)</f>
        <v/>
      </c>
      <c r="AD69" s="142">
        <f>SUMIF(Summary!B:B,B69,Summary!EC:EC)</f>
        <v/>
      </c>
      <c r="AE69" s="109" t="n"/>
      <c r="AF69" s="65" t="n"/>
      <c r="AG69" s="65" t="n"/>
      <c r="AH69" s="65" t="n"/>
      <c r="AI69" s="27" t="n"/>
      <c r="AJ69" s="27" t="n"/>
      <c r="AK69" s="14" t="n"/>
      <c r="AL69" s="29" t="n"/>
    </row>
    <row r="70" ht="15.75" customFormat="1" customHeight="1" s="154">
      <c r="A70" s="434" t="n"/>
      <c r="B70" s="434" t="n"/>
      <c r="C70" s="435" t="n"/>
      <c r="D70" s="436" t="n"/>
      <c r="E70" s="437" t="n"/>
      <c r="F70" s="438" t="n"/>
      <c r="G70" s="438" t="n"/>
      <c r="H70" s="439" t="n"/>
      <c r="I70" s="440" t="n"/>
      <c r="J70" s="440" t="n"/>
      <c r="K70" s="150" t="n"/>
      <c r="L70" s="150" t="n"/>
      <c r="M70" s="150" t="n"/>
      <c r="N70" s="441" t="n"/>
      <c r="O70" s="441" t="n"/>
      <c r="P70" s="150" t="n"/>
      <c r="Q70" s="150" t="n"/>
      <c r="R70" s="150" t="n"/>
      <c r="S70" s="150" t="n"/>
      <c r="T70" s="150" t="n"/>
      <c r="U70" s="150" t="n"/>
      <c r="V70" s="150" t="n"/>
      <c r="W70" s="150" t="n"/>
      <c r="X70" s="150" t="n"/>
      <c r="Y70" s="150" t="n"/>
      <c r="Z70" s="150" t="n"/>
      <c r="AA70" s="150" t="n"/>
      <c r="AB70" s="150">
        <f>SUM(P70,Q70,R70,S70,T70,U70)</f>
        <v/>
      </c>
      <c r="AC70" s="150">
        <f>AVERAGE(P70,Q70,R70,S70,T70,U70)</f>
        <v/>
      </c>
      <c r="AD70" s="150" t="n"/>
      <c r="AE70" s="442" t="n"/>
      <c r="AF70" s="443" t="n"/>
      <c r="AG70" s="443" t="n"/>
      <c r="AH70" s="443" t="n"/>
      <c r="AI70" s="434" t="n"/>
      <c r="AJ70" s="434" t="n"/>
      <c r="AK70" s="152" t="n"/>
      <c r="AL70" s="152" t="n"/>
    </row>
    <row r="71" ht="15.75" customHeight="1" s="453">
      <c r="A71" s="27" t="inlineStr">
        <is>
          <t>D99AA100001T</t>
        </is>
      </c>
      <c r="B71" s="14" t="n">
        <v>6090001</v>
      </c>
      <c r="C71" s="136" t="inlineStr">
        <is>
          <t>藍銅胜肽舒緩凍膜 180mL(從深坑廠出貨)-</t>
        </is>
      </c>
      <c r="D71" s="77" t="n"/>
      <c r="E71" s="17" t="inlineStr">
        <is>
          <t>PCS</t>
        </is>
      </c>
      <c r="F71" s="18" t="n"/>
      <c r="G71" s="18" t="n"/>
      <c r="H71" s="20">
        <f>SUMIFS(領用表!$L:$L,領用表!$E:$E,$B71,領用表!$B:$B,H$2&amp;$P$1)</f>
        <v/>
      </c>
      <c r="I71" s="20">
        <f>SUMIFS(領用表!$L:$L,領用表!$E:$E,$B71,領用表!$B:$B,I$2&amp;$P$1)</f>
        <v/>
      </c>
      <c r="J71" s="20">
        <f>SUMIFS(領用表!$L:$L,領用表!$E:$E,$B71,領用表!$B:$B,J$2&amp;$P$1)</f>
        <v/>
      </c>
      <c r="K71" s="142">
        <f>SUMIFS(領用表!$L:$L,領用表!$E:$E,$B71,領用表!$B:$B,K$2&amp;$P$1)</f>
        <v/>
      </c>
      <c r="L71" s="142">
        <f>SUMIFS(領用表!$L:$L,領用表!$E:$E,$B71,領用表!$B:$B,L$2&amp;$P$1)</f>
        <v/>
      </c>
      <c r="M71" s="142">
        <f>SUMIFS(領用表!$L:$L,領用表!$E:$E,$B71,領用表!$B:$B,M$2&amp;$P$1)</f>
        <v/>
      </c>
      <c r="N71" s="23">
        <f>SUM(,H71,I71,J71,K71,L71,M71)</f>
        <v/>
      </c>
      <c r="O71" s="23">
        <f>AVERAGE(,H71,I71,J71,K71,L71,M71)</f>
        <v/>
      </c>
      <c r="P71" s="142">
        <f>SUMIFS(領用表!$L:$L,領用表!$E:$E,$B71,領用表!$B:$B,P$2&amp;$P$1)</f>
        <v/>
      </c>
      <c r="Q71" s="142">
        <f>SUMIFS(領用表!$L:$L,領用表!$E:$E,$B71,領用表!$B:$B,Q$2&amp;$P$1)</f>
        <v/>
      </c>
      <c r="R71" s="142">
        <f>SUMIFS(領用表!$L:$L,領用表!$E:$E,$B71,領用表!$B:$B,R$2&amp;$P$1)</f>
        <v/>
      </c>
      <c r="S71" s="142">
        <f>SUMIFS(領用表!$L:$L,領用表!$E:$E,$B71,領用表!$B:$B,S$2&amp;$P$1)</f>
        <v/>
      </c>
      <c r="T71" s="142">
        <f>SUMIFS(領用表!$L:$L,領用表!$E:$E,$B71,領用表!$B:$B,T$2&amp;$P$1)</f>
        <v/>
      </c>
      <c r="U71" s="142" t="n"/>
      <c r="V71" s="142">
        <f>SUMIFS(領用表!$L:$L,領用表!$E:$E,$B71,領用表!$B:$B,V$2&amp;$P$1)</f>
        <v/>
      </c>
      <c r="W71" s="142">
        <f>SUMIFS(領用表!$L:$L,領用表!$E:$E,$B71,領用表!$B:$B,W$2&amp;$P$1)</f>
        <v/>
      </c>
      <c r="X71" s="142">
        <f>SUMIFS(領用表!$L:$L,領用表!$E:$E,$B71,領用表!$B:$B,X$2&amp;$P$1)</f>
        <v/>
      </c>
      <c r="Y71" s="142">
        <f>SUMIFS(領用表!$L:$L,領用表!$E:$E,$B71,領用表!$B:$B,Y$2&amp;$P$1)</f>
        <v/>
      </c>
      <c r="Z71" s="142">
        <f>SUMIFS(領用表!$L:$L,領用表!$E:$E,$B71,領用表!$B:$B,Z$2&amp;$P$1)</f>
        <v/>
      </c>
      <c r="AA71" s="142">
        <f>SUMIFS(領用表!$L:$L,領用表!$E:$E,$B71,領用表!$B:$B,AA$2&amp;$P$1)</f>
        <v/>
      </c>
      <c r="AB71" s="142">
        <f>SUM(P71,Q71,R71,S71,T71,U71)</f>
        <v/>
      </c>
      <c r="AC71" s="142">
        <f>AVERAGE(P71,Q71,R71,S71,T71,U71)</f>
        <v/>
      </c>
      <c r="AD71" s="142">
        <f>SUMIF(Summary!B:B,B71,Summary!EC:EC)</f>
        <v/>
      </c>
      <c r="AE71" s="109" t="n"/>
      <c r="AF71" s="76" t="n"/>
      <c r="AG71" s="76" t="n"/>
      <c r="AH71" s="76" t="n"/>
      <c r="AI71" s="27" t="inlineStr">
        <is>
          <t>專用料1kg可生產180pcs</t>
        </is>
      </c>
      <c r="AJ71" s="27" t="n"/>
      <c r="AK71" s="14" t="n"/>
      <c r="AL71" s="14" t="n"/>
    </row>
    <row r="72" ht="15.75" customHeight="1" s="453">
      <c r="A72" s="78" t="inlineStr">
        <is>
          <t>D99AA050002T</t>
        </is>
      </c>
      <c r="B72" s="14" t="n">
        <v>6050006</v>
      </c>
      <c r="C72" s="136" t="inlineStr">
        <is>
          <t>舒緩修護精萃 180mL(從深坑廠出貨)</t>
        </is>
      </c>
      <c r="D72" s="77" t="n"/>
      <c r="E72" s="17" t="inlineStr">
        <is>
          <t>PCS</t>
        </is>
      </c>
      <c r="F72" s="18" t="n"/>
      <c r="G72" s="18" t="n"/>
      <c r="H72" s="20">
        <f>SUMIFS(領用表!$L:$L,領用表!$E:$E,$B72,領用表!$B:$B,H$2&amp;$P$1)</f>
        <v/>
      </c>
      <c r="I72" s="20">
        <f>SUMIFS(領用表!$L:$L,領用表!$E:$E,$B72,領用表!$B:$B,I$2&amp;$P$1)</f>
        <v/>
      </c>
      <c r="J72" s="20">
        <f>SUMIFS(領用表!$L:$L,領用表!$E:$E,$B72,領用表!$B:$B,J$2&amp;$P$1)</f>
        <v/>
      </c>
      <c r="K72" s="142">
        <f>SUMIFS(領用表!$L:$L,領用表!$E:$E,$B72,領用表!$B:$B,K$2&amp;$P$1)</f>
        <v/>
      </c>
      <c r="L72" s="142">
        <f>SUMIFS(領用表!$L:$L,領用表!$E:$E,$B72,領用表!$B:$B,L$2&amp;$P$1)</f>
        <v/>
      </c>
      <c r="M72" s="142">
        <f>SUMIFS(領用表!$L:$L,領用表!$E:$E,$B72,領用表!$B:$B,M$2&amp;$P$1)</f>
        <v/>
      </c>
      <c r="N72" s="23">
        <f>SUM(,H72,I72,J72,K72,L72,M72)</f>
        <v/>
      </c>
      <c r="O72" s="23">
        <f>AVERAGE(,H72,I72,J72,K72,L72,M72)</f>
        <v/>
      </c>
      <c r="P72" s="142">
        <f>SUMIFS(領用表!$L:$L,領用表!$E:$E,$B72,領用表!$B:$B,P$2&amp;$P$1)</f>
        <v/>
      </c>
      <c r="Q72" s="405">
        <f>SUMIFS(領用表!$L:$L,領用表!$E:$E,$B72,領用表!$B:$B,Q$2&amp;$P$1)</f>
        <v/>
      </c>
      <c r="R72" s="405">
        <f>SUMIFS(領用表!$L:$L,領用表!$E:$E,$B72,領用表!$B:$B,R$2&amp;$P$1)</f>
        <v/>
      </c>
      <c r="S72" s="405">
        <f>SUMIFS(領用表!$L:$L,領用表!$E:$E,$B72,領用表!$B:$B,S$2&amp;$P$1)</f>
        <v/>
      </c>
      <c r="T72" s="405">
        <f>SUMIFS(領用表!$L:$L,領用表!$E:$E,$B72,領用表!$B:$B,T$2&amp;$P$1)</f>
        <v/>
      </c>
      <c r="U72" s="405" t="n"/>
      <c r="V72" s="405">
        <f>SUMIFS(領用表!$L:$L,領用表!$E:$E,$B72,領用表!$B:$B,V$2&amp;$P$1)</f>
        <v/>
      </c>
      <c r="W72" s="405">
        <f>SUMIFS(領用表!$L:$L,領用表!$E:$E,$B72,領用表!$B:$B,W$2&amp;$P$1)</f>
        <v/>
      </c>
      <c r="X72" s="405">
        <f>SUMIFS(領用表!$L:$L,領用表!$E:$E,$B72,領用表!$B:$B,X$2&amp;$P$1)</f>
        <v/>
      </c>
      <c r="Y72" s="405">
        <f>SUMIFS(領用表!$L:$L,領用表!$E:$E,$B72,領用表!$B:$B,Y$2&amp;$P$1)</f>
        <v/>
      </c>
      <c r="Z72" s="405">
        <f>SUMIFS(領用表!$L:$L,領用表!$E:$E,$B72,領用表!$B:$B,Z$2&amp;$P$1)</f>
        <v/>
      </c>
      <c r="AA72" s="405">
        <f>SUMIFS(領用表!$L:$L,領用表!$E:$E,$B72,領用表!$B:$B,AA$2&amp;$P$1)</f>
        <v/>
      </c>
      <c r="AB72" s="405">
        <f>SUM(P72,Q72,R72,S72,T72,U72)</f>
        <v/>
      </c>
      <c r="AC72" s="405">
        <f>AVERAGE(P72,Q72,R72,S72,T72,U72)</f>
        <v/>
      </c>
      <c r="AD72" s="405">
        <f>SUMIF(Summary!B:B,B72,Summary!EC:EC)</f>
        <v/>
      </c>
      <c r="AF72" s="80" t="n"/>
      <c r="AG72" s="76" t="n"/>
      <c r="AH72" s="76" t="n"/>
    </row>
    <row r="73" hidden="1" ht="15.75" customHeight="1" s="453">
      <c r="A73" s="27" t="inlineStr">
        <is>
          <t>DN1AA050044T</t>
        </is>
      </c>
      <c r="B73" s="14" t="e">
        <v>#N/A</v>
      </c>
      <c r="C73" s="136" t="inlineStr">
        <is>
          <t>舒緩修護精萃 30mL(2023年版)</t>
        </is>
      </c>
      <c r="D73" s="77" t="n"/>
      <c r="E73" s="17" t="inlineStr">
        <is>
          <t>PCS</t>
        </is>
      </c>
      <c r="F73" s="18" t="n"/>
      <c r="G73" s="18" t="n"/>
      <c r="H73" s="20">
        <f>SUMIFS(領用表!$L:$L,領用表!$E:$E,$B73,領用表!$B:$B,H$2&amp;$P$1)</f>
        <v/>
      </c>
      <c r="I73" s="20">
        <f>SUMIFS(領用表!$L:$L,領用表!$E:$E,$B73,領用表!$B:$B,I$2&amp;$P$1)</f>
        <v/>
      </c>
      <c r="J73" s="20">
        <f>SUMIFS(領用表!$L:$L,領用表!$E:$E,$B73,領用表!$B:$B,J$2&amp;$P$1)</f>
        <v/>
      </c>
      <c r="K73" s="142">
        <f>SUMIFS(領用表!$L:$L,領用表!$E:$E,$B73,領用表!$B:$B,K$2&amp;$P$1)</f>
        <v/>
      </c>
      <c r="L73" s="142">
        <f>SUMIFS(領用表!$L:$L,領用表!$E:$E,$B73,領用表!$B:$B,L$2&amp;$P$1)</f>
        <v/>
      </c>
      <c r="M73" s="142">
        <f>SUMIFS(領用表!$L:$L,領用表!$E:$E,$B73,領用表!$B:$B,M$2&amp;$P$1)</f>
        <v/>
      </c>
      <c r="N73" s="23">
        <f>SUM(,H73,I73,J73,K73,L73,M73)</f>
        <v/>
      </c>
      <c r="O73" s="23">
        <f>AVERAGE(,H73,I73,J73,K73,L73,M73)</f>
        <v/>
      </c>
      <c r="P73" s="142">
        <f>SUMIFS(領用表!$L:$L,領用表!$E:$E,$B73,領用表!$B:$B,P$2&amp;$P$1)</f>
        <v/>
      </c>
      <c r="Q73" s="142">
        <f>SUMIFS(領用表!$L:$L,領用表!$E:$E,$B73,領用表!$B:$B,Q$2&amp;$P$1)</f>
        <v/>
      </c>
      <c r="R73" s="142">
        <f>SUMIFS(領用表!$L:$L,領用表!$E:$E,$B73,領用表!$B:$B,R$2&amp;$P$1)</f>
        <v/>
      </c>
      <c r="S73" s="142">
        <f>SUMIFS(領用表!$L:$L,領用表!$E:$E,$B73,領用表!$B:$B,S$2&amp;$P$1)</f>
        <v/>
      </c>
      <c r="T73" s="142">
        <f>SUMIFS(領用表!$L:$L,領用表!$E:$E,$B73,領用表!$B:$B,T$2&amp;$P$1)</f>
        <v/>
      </c>
      <c r="U73" s="142">
        <f>SUMIFS(領用表!$L:$L,領用表!$E:$E,$B73,領用表!$B:$B,U$2&amp;$P$1)</f>
        <v/>
      </c>
      <c r="V73" s="142">
        <f>SUMIFS(領用表!$L:$L,領用表!$E:$E,$B73,領用表!$B:$B,V$2&amp;$P$1)</f>
        <v/>
      </c>
      <c r="W73" s="142">
        <f>SUMIFS(領用表!$L:$L,領用表!$E:$E,$B73,領用表!$B:$B,W$2&amp;$P$1)</f>
        <v/>
      </c>
      <c r="X73" s="142">
        <f>SUMIFS(領用表!$L:$L,領用表!$E:$E,$B73,領用表!$B:$B,X$2&amp;$P$1)</f>
        <v/>
      </c>
      <c r="Y73" s="142">
        <f>SUMIFS(領用表!$L:$L,領用表!$E:$E,$B73,領用表!$B:$B,Y$2&amp;$P$1)</f>
        <v/>
      </c>
      <c r="Z73" s="142">
        <f>SUMIFS(領用表!$L:$L,領用表!$E:$E,$B73,領用表!$B:$B,Z$2&amp;$P$1)</f>
        <v/>
      </c>
      <c r="AA73" s="142">
        <f>SUMIFS(領用表!$L:$L,領用表!$E:$E,$B73,領用表!$B:$B,AA$2&amp;$P$1)</f>
        <v/>
      </c>
      <c r="AB73" s="142">
        <f>SUM(P73,Q73,R73,S73,T73,U73)</f>
        <v/>
      </c>
      <c r="AC73" s="142">
        <f>AVERAGE(P73,Q73,R73,S73,T73,U73)</f>
        <v/>
      </c>
      <c r="AD73" s="142">
        <f>SUMIF(Summary!B:B,B73,Summary!EC:EC)</f>
        <v/>
      </c>
      <c r="AE73" s="109" t="n"/>
      <c r="AF73" s="65" t="n"/>
      <c r="AG73" s="76" t="n"/>
      <c r="AH73" s="76" t="n"/>
      <c r="AI73" s="27" t="n"/>
      <c r="AJ73" s="27" t="n"/>
      <c r="AK73" s="14" t="n"/>
      <c r="AL73" s="14" t="n"/>
    </row>
    <row r="74" hidden="1" ht="15.75" customHeight="1" s="453">
      <c r="A74" s="27" t="inlineStr">
        <is>
          <t>DN1AA050043T</t>
        </is>
      </c>
      <c r="B74" s="14" t="n">
        <v>6050005</v>
      </c>
      <c r="C74" s="136" t="inlineStr">
        <is>
          <t>肌本修護甦活精華 30mL (2023年版)</t>
        </is>
      </c>
      <c r="D74" s="77" t="n"/>
      <c r="E74" s="17" t="inlineStr">
        <is>
          <t>PCS</t>
        </is>
      </c>
      <c r="F74" s="18" t="n"/>
      <c r="G74" s="18" t="n"/>
      <c r="H74" s="20">
        <f>SUMIFS(領用表!$L:$L,領用表!$E:$E,$B74,領用表!$B:$B,H$2&amp;$P$1)</f>
        <v/>
      </c>
      <c r="I74" s="20">
        <f>SUMIFS(領用表!$L:$L,領用表!$E:$E,$B74,領用表!$B:$B,I$2&amp;$P$1)</f>
        <v/>
      </c>
      <c r="J74" s="20">
        <f>SUMIFS(領用表!$L:$L,領用表!$E:$E,$B74,領用表!$B:$B,J$2&amp;$P$1)</f>
        <v/>
      </c>
      <c r="K74" s="142">
        <f>SUMIFS(領用表!$L:$L,領用表!$E:$E,$B74,領用表!$B:$B,K$2&amp;$P$1)</f>
        <v/>
      </c>
      <c r="L74" s="142">
        <f>SUMIFS(領用表!$L:$L,領用表!$E:$E,$B74,領用表!$B:$B,L$2&amp;$P$1)</f>
        <v/>
      </c>
      <c r="M74" s="142">
        <f>SUMIFS(領用表!$L:$L,領用表!$E:$E,$B74,領用表!$B:$B,M$2&amp;$P$1)</f>
        <v/>
      </c>
      <c r="N74" s="23">
        <f>SUM(,H74,I74,J74,K74,L74,M74)</f>
        <v/>
      </c>
      <c r="O74" s="23">
        <f>AVERAGE(,H74,I74,J74,K74,L74,M74)</f>
        <v/>
      </c>
      <c r="P74" s="142">
        <f>SUMIFS(領用表!$L:$L,領用表!$E:$E,$B74,領用表!$B:$B,P$2&amp;$P$1)</f>
        <v/>
      </c>
      <c r="Q74" s="142">
        <f>SUMIFS(領用表!$L:$L,領用表!$E:$E,$B74,領用表!$B:$B,Q$2&amp;$P$1)</f>
        <v/>
      </c>
      <c r="R74" s="142">
        <f>SUMIFS(領用表!$L:$L,領用表!$E:$E,$B74,領用表!$B:$B,R$2&amp;$P$1)</f>
        <v/>
      </c>
      <c r="S74" s="142">
        <f>SUMIFS(領用表!$L:$L,領用表!$E:$E,$B74,領用表!$B:$B,S$2&amp;$P$1)</f>
        <v/>
      </c>
      <c r="T74" s="142">
        <f>SUMIFS(領用表!$L:$L,領用表!$E:$E,$B74,領用表!$B:$B,T$2&amp;$P$1)</f>
        <v/>
      </c>
      <c r="U74" s="142" t="n"/>
      <c r="V74" s="142">
        <f>SUMIFS(領用表!$L:$L,領用表!$E:$E,$B74,領用表!$B:$B,V$2&amp;$P$1)</f>
        <v/>
      </c>
      <c r="W74" s="142">
        <f>SUMIFS(領用表!$L:$L,領用表!$E:$E,$B74,領用表!$B:$B,W$2&amp;$P$1)</f>
        <v/>
      </c>
      <c r="X74" s="142">
        <f>SUMIFS(領用表!$L:$L,領用表!$E:$E,$B74,領用表!$B:$B,X$2&amp;$P$1)</f>
        <v/>
      </c>
      <c r="Y74" s="142">
        <f>SUMIFS(領用表!$L:$L,領用表!$E:$E,$B74,領用表!$B:$B,Y$2&amp;$P$1)</f>
        <v/>
      </c>
      <c r="Z74" s="142">
        <f>SUMIFS(領用表!$L:$L,領用表!$E:$E,$B74,領用表!$B:$B,Z$2&amp;$P$1)</f>
        <v/>
      </c>
      <c r="AA74" s="142">
        <f>SUMIFS(領用表!$L:$L,領用表!$E:$E,$B74,領用表!$B:$B,AA$2&amp;$P$1)</f>
        <v/>
      </c>
      <c r="AB74" s="142">
        <f>SUM(P74,Q74,R74,S74,T74,U74)</f>
        <v/>
      </c>
      <c r="AC74" s="142">
        <f>AVERAGE(P74,Q74,R74,S74,T74,U74)</f>
        <v/>
      </c>
      <c r="AD74" s="142">
        <f>SUMIF(Summary!B:B,B74,Summary!EC:EC)</f>
        <v/>
      </c>
      <c r="AE74" s="109" t="n"/>
      <c r="AF74" s="65" t="n"/>
      <c r="AG74" s="76" t="n"/>
      <c r="AH74" s="76" t="n"/>
    </row>
    <row r="75" hidden="1" ht="15.75" customHeight="1" s="453">
      <c r="A75" s="27" t="inlineStr">
        <is>
          <t>DN1AA090015T</t>
        </is>
      </c>
      <c r="B75" s="14" t="n">
        <v>1080002</v>
      </c>
      <c r="C75" s="136" t="inlineStr">
        <is>
          <t>神經醯胺水漾保濕面膜/ 30ml</t>
        </is>
      </c>
      <c r="D75" s="77" t="n"/>
      <c r="E75" s="17" t="inlineStr">
        <is>
          <t>PCS</t>
        </is>
      </c>
      <c r="F75" s="18" t="n"/>
      <c r="G75" s="18" t="n"/>
      <c r="H75" s="20">
        <f>SUMIFS(領用表!$L:$L,領用表!$E:$E,$B75,領用表!$B:$B,H$2&amp;$P$1)</f>
        <v/>
      </c>
      <c r="I75" s="20">
        <f>SUMIFS(領用表!$L:$L,領用表!$E:$E,$B75,領用表!$B:$B,I$2&amp;$P$1)</f>
        <v/>
      </c>
      <c r="J75" s="20">
        <f>SUMIFS(領用表!$L:$L,領用表!$E:$E,$B75,領用表!$B:$B,J$2&amp;$P$1)</f>
        <v/>
      </c>
      <c r="K75" s="142">
        <f>SUMIFS(領用表!$L:$L,領用表!$E:$E,$B75,領用表!$B:$B,K$2&amp;$P$1)</f>
        <v/>
      </c>
      <c r="L75" s="142">
        <f>SUMIFS(領用表!$L:$L,領用表!$E:$E,$B75,領用表!$B:$B,L$2&amp;$P$1)</f>
        <v/>
      </c>
      <c r="M75" s="142">
        <f>SUMIFS(領用表!$L:$L,領用表!$E:$E,$B75,領用表!$B:$B,M$2&amp;$P$1)</f>
        <v/>
      </c>
      <c r="N75" s="23">
        <f>SUM(,H75,I75,J75,K75,L75,M75)</f>
        <v/>
      </c>
      <c r="O75" s="23">
        <f>AVERAGE(,H75,I75,J75,K75,L75,M75)</f>
        <v/>
      </c>
      <c r="P75" s="142">
        <f>SUMIFS(領用表!$L:$L,領用表!$E:$E,$B75,領用表!$B:$B,P$2&amp;$P$1)</f>
        <v/>
      </c>
      <c r="Q75" s="142">
        <f>SUMIFS(領用表!$L:$L,領用表!$E:$E,$B75,領用表!$B:$B,Q$2&amp;$P$1)</f>
        <v/>
      </c>
      <c r="R75" s="142">
        <f>SUMIFS(領用表!$L:$L,領用表!$E:$E,$B75,領用表!$B:$B,R$2&amp;$P$1)</f>
        <v/>
      </c>
      <c r="S75" s="142">
        <f>SUMIFS(領用表!$L:$L,領用表!$E:$E,$B75,領用表!$B:$B,S$2&amp;$P$1)</f>
        <v/>
      </c>
      <c r="T75" s="142">
        <f>SUMIFS(領用表!$L:$L,領用表!$E:$E,$B75,領用表!$B:$B,T$2&amp;$P$1)</f>
        <v/>
      </c>
      <c r="U75" s="142">
        <f>SUMIFS(領用表!$L:$L,領用表!$E:$E,$B75,領用表!$B:$B,U$2&amp;$P$1)</f>
        <v/>
      </c>
      <c r="V75" s="142">
        <f>SUMIFS(領用表!$L:$L,領用表!$E:$E,$B75,領用表!$B:$B,V$2&amp;$P$1)</f>
        <v/>
      </c>
      <c r="W75" s="142">
        <f>SUMIFS(領用表!$L:$L,領用表!$E:$E,$B75,領用表!$B:$B,W$2&amp;$P$1)</f>
        <v/>
      </c>
      <c r="X75" s="142">
        <f>SUMIFS(領用表!$L:$L,領用表!$E:$E,$B75,領用表!$B:$B,X$2&amp;$P$1)</f>
        <v/>
      </c>
      <c r="Y75" s="142">
        <f>SUMIFS(領用表!$L:$L,領用表!$E:$E,$B75,領用表!$B:$B,Y$2&amp;$P$1)</f>
        <v/>
      </c>
      <c r="Z75" s="142">
        <f>SUMIFS(領用表!$L:$L,領用表!$E:$E,$B75,領用表!$B:$B,Z$2&amp;$P$1)</f>
        <v/>
      </c>
      <c r="AA75" s="142">
        <f>SUMIFS(領用表!$L:$L,領用表!$E:$E,$B75,領用表!$B:$B,AA$2&amp;$P$1)</f>
        <v/>
      </c>
      <c r="AB75" s="142">
        <f>SUM(P75,Q75,R75,S75,T75,U75)</f>
        <v/>
      </c>
      <c r="AC75" s="142">
        <f>AVERAGE(P75,Q75,R75,S75,T75,U75)</f>
        <v/>
      </c>
      <c r="AD75" s="142">
        <f>SUMIF(Summary!B:B,B75,Summary!EC:EC)</f>
        <v/>
      </c>
      <c r="AE75" s="109" t="n"/>
      <c r="AF75" s="65" t="n"/>
      <c r="AG75" s="76" t="n"/>
      <c r="AH75" s="76" t="n"/>
      <c r="AI75" s="27" t="n"/>
      <c r="AJ75" s="27" t="n"/>
      <c r="AK75" s="14" t="n"/>
      <c r="AL75" s="14" t="n"/>
    </row>
    <row r="76" ht="15.75" customHeight="1" s="453">
      <c r="A76" s="27" t="inlineStr">
        <is>
          <t>DN1AA090011T</t>
        </is>
      </c>
      <c r="B76" s="14" t="n">
        <v>1080006</v>
      </c>
      <c r="C76" s="136" t="inlineStr">
        <is>
          <t>肌因抗老修護微導膜 25ml (2015年版)</t>
        </is>
      </c>
      <c r="D76" s="77" t="n"/>
      <c r="E76" s="17" t="inlineStr">
        <is>
          <t>PCS</t>
        </is>
      </c>
      <c r="F76" s="18" t="n"/>
      <c r="G76" s="18" t="n"/>
      <c r="H76" s="20">
        <f>SUMIFS(領用表!$L:$L,領用表!$E:$E,$B76,領用表!$B:$B,H$2&amp;$P$1)</f>
        <v/>
      </c>
      <c r="I76" s="20">
        <f>SUMIFS(領用表!$L:$L,領用表!$E:$E,$B76,領用表!$B:$B,I$2&amp;$P$1)</f>
        <v/>
      </c>
      <c r="J76" s="20">
        <f>SUMIFS(領用表!$L:$L,領用表!$E:$E,$B76,領用表!$B:$B,J$2&amp;$P$1)</f>
        <v/>
      </c>
      <c r="K76" s="142">
        <f>SUMIFS(領用表!$L:$L,領用表!$E:$E,$B76,領用表!$B:$B,K$2&amp;$P$1)</f>
        <v/>
      </c>
      <c r="L76" s="142">
        <f>SUMIFS(領用表!$L:$L,領用表!$E:$E,$B76,領用表!$B:$B,L$2&amp;$P$1)</f>
        <v/>
      </c>
      <c r="M76" s="142">
        <f>SUMIFS(領用表!$L:$L,領用表!$E:$E,$B76,領用表!$B:$B,M$2&amp;$P$1)</f>
        <v/>
      </c>
      <c r="N76" s="23">
        <f>SUM(,H76,I76,J76,K76,L76,M76)</f>
        <v/>
      </c>
      <c r="O76" s="23">
        <f>AVERAGE(,H76,I76,J76,K76,L76,M76)</f>
        <v/>
      </c>
      <c r="P76" s="142">
        <f>SUMIFS(領用表!$L:$L,領用表!$E:$E,$B76,領用表!$B:$B,P$2&amp;$P$1)</f>
        <v/>
      </c>
      <c r="Q76" s="142">
        <f>SUMIFS(領用表!$L:$L,領用表!$E:$E,$B76,領用表!$B:$B,Q$2&amp;$P$1)</f>
        <v/>
      </c>
      <c r="R76" s="142">
        <f>SUMIFS(領用表!$L:$L,領用表!$E:$E,$B76,領用表!$B:$B,R$2&amp;$P$1)</f>
        <v/>
      </c>
      <c r="S76" s="142">
        <f>SUMIFS(領用表!$L:$L,領用表!$E:$E,$B76,領用表!$B:$B,S$2&amp;$P$1)</f>
        <v/>
      </c>
      <c r="T76" s="142">
        <f>SUMIFS(領用表!$L:$L,領用表!$E:$E,$B76,領用表!$B:$B,T$2&amp;$P$1)</f>
        <v/>
      </c>
      <c r="U76" s="142">
        <f>SUMIFS(領用表!$L:$L,領用表!$E:$E,$B76,領用表!$B:$B,U$2&amp;$P$1)</f>
        <v/>
      </c>
      <c r="V76" s="142">
        <f>SUMIFS(領用表!$L:$L,領用表!$E:$E,$B76,領用表!$B:$B,V$2&amp;$P$1)</f>
        <v/>
      </c>
      <c r="W76" s="142">
        <f>SUMIFS(領用表!$L:$L,領用表!$E:$E,$B76,領用表!$B:$B,W$2&amp;$P$1)</f>
        <v/>
      </c>
      <c r="X76" s="142">
        <f>SUMIFS(領用表!$L:$L,領用表!$E:$E,$B76,領用表!$B:$B,X$2&amp;$P$1)</f>
        <v/>
      </c>
      <c r="Y76" s="142">
        <f>SUMIFS(領用表!$L:$L,領用表!$E:$E,$B76,領用表!$B:$B,Y$2&amp;$P$1)</f>
        <v/>
      </c>
      <c r="Z76" s="142">
        <f>SUMIFS(領用表!$L:$L,領用表!$E:$E,$B76,領用表!$B:$B,Z$2&amp;$P$1)</f>
        <v/>
      </c>
      <c r="AA76" s="142">
        <f>SUMIFS(領用表!$L:$L,領用表!$E:$E,$B76,領用表!$B:$B,AA$2&amp;$P$1)</f>
        <v/>
      </c>
      <c r="AB76" s="142">
        <f>SUM(P76,Q76,R76,S76,T76,U76)</f>
        <v/>
      </c>
      <c r="AC76" s="142">
        <f>AVERAGE(P76,Q76,R76,S76,T76,U76)</f>
        <v/>
      </c>
      <c r="AD76" s="142">
        <f>SUMIF(Summary!B:B,B76,Summary!EC:EC)</f>
        <v/>
      </c>
      <c r="AE76" s="109" t="n"/>
      <c r="AF76" s="65" t="n"/>
      <c r="AG76" s="76" t="n"/>
      <c r="AH76" s="76" t="n"/>
    </row>
    <row r="77" ht="15.75" customHeight="1" s="453">
      <c r="A77" s="27" t="inlineStr">
        <is>
          <t>DL1AA090023T</t>
        </is>
      </c>
      <c r="B77" s="14" t="e">
        <v>#N/A</v>
      </c>
      <c r="C77" s="136" t="inlineStr">
        <is>
          <t>海洋紅藻面膜 30ml</t>
        </is>
      </c>
      <c r="D77" s="77" t="n"/>
      <c r="E77" s="17" t="inlineStr">
        <is>
          <t>PCS</t>
        </is>
      </c>
      <c r="F77" s="18" t="n"/>
      <c r="G77" s="18" t="n"/>
      <c r="H77" s="20">
        <f>SUMIFS(領用表!$L:$L,領用表!$E:$E,$B77,領用表!$B:$B,H$2&amp;$P$1)</f>
        <v/>
      </c>
      <c r="I77" s="20">
        <f>SUMIFS(領用表!$L:$L,領用表!$E:$E,$B77,領用表!$B:$B,I$2&amp;$P$1)</f>
        <v/>
      </c>
      <c r="J77" s="20">
        <f>SUMIFS(領用表!$L:$L,領用表!$E:$E,$B77,領用表!$B:$B,J$2&amp;$P$1)</f>
        <v/>
      </c>
      <c r="K77" s="142">
        <f>SUMIFS(領用表!$L:$L,領用表!$E:$E,$B77,領用表!$B:$B,K$2&amp;$P$1)</f>
        <v/>
      </c>
      <c r="L77" s="142">
        <f>SUMIFS(領用表!$L:$L,領用表!$E:$E,$B77,領用表!$B:$B,L$2&amp;$P$1)</f>
        <v/>
      </c>
      <c r="M77" s="142">
        <f>SUMIFS(領用表!$L:$L,領用表!$E:$E,$B77,領用表!$B:$B,M$2&amp;$P$1)</f>
        <v/>
      </c>
      <c r="N77" s="23">
        <f>SUM(,H77,I77,J77,K77,L77,M77)</f>
        <v/>
      </c>
      <c r="O77" s="23">
        <f>AVERAGE(,H77,I77,J77,K77,L77,M77)</f>
        <v/>
      </c>
      <c r="P77" s="142">
        <f>SUMIFS(領用表!$L:$L,領用表!$E:$E,$B77,領用表!$B:$B,P$2&amp;$P$1)</f>
        <v/>
      </c>
      <c r="Q77" s="142">
        <f>SUMIFS(領用表!$L:$L,領用表!$E:$E,$B77,領用表!$B:$B,Q$2&amp;$P$1)</f>
        <v/>
      </c>
      <c r="R77" s="142">
        <f>SUMIFS(領用表!$L:$L,領用表!$E:$E,$B77,領用表!$B:$B,R$2&amp;$P$1)</f>
        <v/>
      </c>
      <c r="S77" s="142">
        <f>SUMIFS(領用表!$L:$L,領用表!$E:$E,$B77,領用表!$B:$B,S$2&amp;$P$1)</f>
        <v/>
      </c>
      <c r="T77" s="142">
        <f>SUMIFS(領用表!$L:$L,領用表!$E:$E,$B77,領用表!$B:$B,T$2&amp;$P$1)</f>
        <v/>
      </c>
      <c r="U77" s="142">
        <f>SUMIFS(領用表!$L:$L,領用表!$E:$E,$B77,領用表!$B:$B,U$2&amp;$P$1)</f>
        <v/>
      </c>
      <c r="V77" s="142">
        <f>SUMIFS(領用表!$L:$L,領用表!$E:$E,$B77,領用表!$B:$B,V$2&amp;$P$1)</f>
        <v/>
      </c>
      <c r="W77" s="142">
        <f>SUMIFS(領用表!$L:$L,領用表!$E:$E,$B77,領用表!$B:$B,W$2&amp;$P$1)</f>
        <v/>
      </c>
      <c r="X77" s="142">
        <f>SUMIFS(領用表!$L:$L,領用表!$E:$E,$B77,領用表!$B:$B,X$2&amp;$P$1)</f>
        <v/>
      </c>
      <c r="Y77" s="142">
        <f>SUMIFS(領用表!$L:$L,領用表!$E:$E,$B77,領用表!$B:$B,Y$2&amp;$P$1)</f>
        <v/>
      </c>
      <c r="Z77" s="142">
        <f>SUMIFS(領用表!$L:$L,領用表!$E:$E,$B77,領用表!$B:$B,Z$2&amp;$P$1)</f>
        <v/>
      </c>
      <c r="AA77" s="142">
        <f>SUMIFS(領用表!$L:$L,領用表!$E:$E,$B77,領用表!$B:$B,AA$2&amp;$P$1)</f>
        <v/>
      </c>
      <c r="AB77" s="142">
        <f>SUM(P77,Q77,R77,S77,T77,U77)</f>
        <v/>
      </c>
      <c r="AC77" s="142">
        <f>AVERAGE(P77,Q77,R77,S77,T77,U77)</f>
        <v/>
      </c>
      <c r="AD77" s="142">
        <f>SUMIF(Summary!B:B,B77,Summary!EC:EC)</f>
        <v/>
      </c>
      <c r="AE77" s="109" t="n"/>
      <c r="AF77" s="65" t="n"/>
      <c r="AG77" s="76" t="n"/>
      <c r="AH77" s="76" t="n"/>
    </row>
    <row r="78" ht="15.75" customHeight="1" s="453">
      <c r="A78" s="27" t="inlineStr">
        <is>
          <t>DE1AA090013T</t>
        </is>
      </c>
      <c r="B78" s="14" t="n">
        <v>6080005</v>
      </c>
      <c r="C78" s="136" t="inlineStr">
        <is>
          <t>玻尿酸恆潤保濕面膜 30mL</t>
        </is>
      </c>
      <c r="D78" s="77" t="n"/>
      <c r="E78" s="17" t="inlineStr">
        <is>
          <t>PCS</t>
        </is>
      </c>
      <c r="F78" s="18" t="n"/>
      <c r="G78" s="18" t="n"/>
      <c r="H78" s="20">
        <f>SUMIFS(領用表!$L:$L,領用表!$E:$E,$B78,領用表!$B:$B,H$2&amp;$P$1)</f>
        <v/>
      </c>
      <c r="I78" s="20">
        <f>SUMIFS(領用表!$L:$L,領用表!$E:$E,$B78,領用表!$B:$B,I$2&amp;$P$1)</f>
        <v/>
      </c>
      <c r="J78" s="20">
        <f>SUMIFS(領用表!$L:$L,領用表!$E:$E,$B78,領用表!$B:$B,J$2&amp;$P$1)</f>
        <v/>
      </c>
      <c r="K78" s="142">
        <f>SUMIFS(領用表!$L:$L,領用表!$E:$E,$B78,領用表!$B:$B,K$2&amp;$P$1)</f>
        <v/>
      </c>
      <c r="L78" s="142">
        <f>SUMIFS(領用表!$L:$L,領用表!$E:$E,$B78,領用表!$B:$B,L$2&amp;$P$1)</f>
        <v/>
      </c>
      <c r="M78" s="142">
        <f>SUMIFS(領用表!$L:$L,領用表!$E:$E,$B78,領用表!$B:$B,M$2&amp;$P$1)</f>
        <v/>
      </c>
      <c r="N78" s="23">
        <f>SUM(,H78,I78,J78,K78,L78,M78)</f>
        <v/>
      </c>
      <c r="O78" s="23">
        <f>AVERAGE(,H78,I78,J78,K78,L78,M78)</f>
        <v/>
      </c>
      <c r="P78" s="142">
        <f>SUMIFS(領用表!$L:$L,領用表!$E:$E,$B78,領用表!$B:$B,P$2&amp;$P$1)</f>
        <v/>
      </c>
      <c r="Q78" s="142">
        <f>SUMIFS(領用表!$L:$L,領用表!$E:$E,$B78,領用表!$B:$B,Q$2&amp;$P$1)</f>
        <v/>
      </c>
      <c r="R78" s="142">
        <f>SUMIFS(領用表!$L:$L,領用表!$E:$E,$B78,領用表!$B:$B,R$2&amp;$P$1)</f>
        <v/>
      </c>
      <c r="S78" s="142">
        <f>SUMIFS(領用表!$L:$L,領用表!$E:$E,$B78,領用表!$B:$B,S$2&amp;$P$1)</f>
        <v/>
      </c>
      <c r="T78" s="142">
        <f>SUMIFS(領用表!$L:$L,領用表!$E:$E,$B78,領用表!$B:$B,T$2&amp;$P$1)</f>
        <v/>
      </c>
      <c r="U78" s="142">
        <f>SUMIFS(領用表!$L:$L,領用表!$E:$E,$B78,領用表!$B:$B,U$2&amp;$P$1)</f>
        <v/>
      </c>
      <c r="V78" s="142">
        <f>SUMIFS(領用表!$L:$L,領用表!$E:$E,$B78,領用表!$B:$B,V$2&amp;$P$1)</f>
        <v/>
      </c>
      <c r="W78" s="142">
        <f>SUMIFS(領用表!$L:$L,領用表!$E:$E,$B78,領用表!$B:$B,W$2&amp;$P$1)</f>
        <v/>
      </c>
      <c r="X78" s="142">
        <f>SUMIFS(領用表!$L:$L,領用表!$E:$E,$B78,領用表!$B:$B,X$2&amp;$P$1)</f>
        <v/>
      </c>
      <c r="Y78" s="142">
        <f>SUMIFS(領用表!$L:$L,領用表!$E:$E,$B78,領用表!$B:$B,Y$2&amp;$P$1)</f>
        <v/>
      </c>
      <c r="Z78" s="142">
        <f>SUMIFS(領用表!$L:$L,領用表!$E:$E,$B78,領用表!$B:$B,Z$2&amp;$P$1)</f>
        <v/>
      </c>
      <c r="AA78" s="142">
        <f>SUMIFS(領用表!$L:$L,領用表!$E:$E,$B78,領用表!$B:$B,AA$2&amp;$P$1)</f>
        <v/>
      </c>
      <c r="AB78" s="142">
        <f>SUM(P78,Q78,R78,S78,T78,U78)</f>
        <v/>
      </c>
      <c r="AC78" s="142">
        <f>AVERAGE(P78,Q78,R78,S78,T78,U78)</f>
        <v/>
      </c>
      <c r="AD78" s="142">
        <f>SUMIF(Summary!B:B,B78,Summary!EC:EC)</f>
        <v/>
      </c>
      <c r="AE78" s="109" t="n"/>
      <c r="AF78" s="65" t="n"/>
      <c r="AG78" s="83" t="n"/>
      <c r="AH78" s="76" t="n"/>
    </row>
    <row r="79" ht="15.75" customHeight="1" s="453">
      <c r="A79" s="27" t="inlineStr">
        <is>
          <t>DL1AA090025T</t>
        </is>
      </c>
      <c r="B79" s="14" t="n">
        <v>6080007</v>
      </c>
      <c r="C79" s="136" t="inlineStr">
        <is>
          <t>海洋膠原蛋白面膜 30ml</t>
        </is>
      </c>
      <c r="D79" s="77" t="n"/>
      <c r="E79" s="17" t="inlineStr">
        <is>
          <t>PCS</t>
        </is>
      </c>
      <c r="F79" s="18" t="n"/>
      <c r="G79" s="18" t="n"/>
      <c r="H79" s="20">
        <f>SUMIFS(領用表!$L:$L,領用表!$E:$E,$B79,領用表!$B:$B,H$2&amp;$P$1)</f>
        <v/>
      </c>
      <c r="I79" s="20">
        <f>SUMIFS(領用表!$L:$L,領用表!$E:$E,$B79,領用表!$B:$B,I$2&amp;$P$1)</f>
        <v/>
      </c>
      <c r="J79" s="20">
        <f>SUMIFS(領用表!$L:$L,領用表!$E:$E,$B79,領用表!$B:$B,J$2&amp;$P$1)</f>
        <v/>
      </c>
      <c r="K79" s="142">
        <f>SUMIFS(領用表!$L:$L,領用表!$E:$E,$B79,領用表!$B:$B,K$2&amp;$P$1)</f>
        <v/>
      </c>
      <c r="L79" s="142">
        <f>SUMIFS(領用表!$L:$L,領用表!$E:$E,$B79,領用表!$B:$B,L$2&amp;$P$1)</f>
        <v/>
      </c>
      <c r="M79" s="142">
        <f>SUMIFS(領用表!$L:$L,領用表!$E:$E,$B79,領用表!$B:$B,M$2&amp;$P$1)</f>
        <v/>
      </c>
      <c r="N79" s="23">
        <f>SUM(,H79,I79,J79,K79,L79,M79)</f>
        <v/>
      </c>
      <c r="O79" s="23">
        <f>AVERAGE(,H79,I79,J79,K79,L79,M79)</f>
        <v/>
      </c>
      <c r="P79" s="142">
        <f>SUMIFS(領用表!$L:$L,領用表!$E:$E,$B79,領用表!$B:$B,P$2&amp;$P$1)</f>
        <v/>
      </c>
      <c r="Q79" s="142">
        <f>SUMIFS(領用表!$L:$L,領用表!$E:$E,$B79,領用表!$B:$B,Q$2&amp;$P$1)</f>
        <v/>
      </c>
      <c r="R79" s="142">
        <f>SUMIFS(領用表!$L:$L,領用表!$E:$E,$B79,領用表!$B:$B,R$2&amp;$P$1)</f>
        <v/>
      </c>
      <c r="S79" s="142">
        <f>SUMIFS(領用表!$L:$L,領用表!$E:$E,$B79,領用表!$B:$B,S$2&amp;$P$1)</f>
        <v/>
      </c>
      <c r="T79" s="142">
        <f>SUMIFS(領用表!$L:$L,領用表!$E:$E,$B79,領用表!$B:$B,T$2&amp;$P$1)</f>
        <v/>
      </c>
      <c r="U79" s="142" t="n"/>
      <c r="V79" s="142">
        <f>SUMIFS(領用表!$L:$L,領用表!$E:$E,$B79,領用表!$B:$B,V$2&amp;$P$1)</f>
        <v/>
      </c>
      <c r="W79" s="142">
        <f>SUMIFS(領用表!$L:$L,領用表!$E:$E,$B79,領用表!$B:$B,W$2&amp;$P$1)</f>
        <v/>
      </c>
      <c r="X79" s="142">
        <f>SUMIFS(領用表!$L:$L,領用表!$E:$E,$B79,領用表!$B:$B,X$2&amp;$P$1)</f>
        <v/>
      </c>
      <c r="Y79" s="142">
        <f>SUMIFS(領用表!$L:$L,領用表!$E:$E,$B79,領用表!$B:$B,Y$2&amp;$P$1)</f>
        <v/>
      </c>
      <c r="Z79" s="142">
        <f>SUMIFS(領用表!$L:$L,領用表!$E:$E,$B79,領用表!$B:$B,Z$2&amp;$P$1)</f>
        <v/>
      </c>
      <c r="AA79" s="142">
        <f>SUMIFS(領用表!$L:$L,領用表!$E:$E,$B79,領用表!$B:$B,AA$2&amp;$P$1)</f>
        <v/>
      </c>
      <c r="AB79" s="142">
        <f>SUM(P79,Q79,R79,S79,T79,U79)</f>
        <v/>
      </c>
      <c r="AC79" s="142">
        <f>AVERAGE(P79,Q79,R79,S79,T79,U79)</f>
        <v/>
      </c>
      <c r="AD79" s="142">
        <f>SUMIF(Summary!B:B,B79,Summary!EC:EC)</f>
        <v/>
      </c>
      <c r="AE79" s="109" t="n"/>
      <c r="AF79" s="65" t="n"/>
      <c r="AG79" s="76" t="n"/>
      <c r="AH79" s="76" t="n"/>
      <c r="AI79" s="14" t="n"/>
      <c r="AJ79" s="14" t="n"/>
      <c r="AK79" s="14" t="n"/>
      <c r="AL79" s="14" t="n"/>
    </row>
    <row r="80" ht="15.75" customHeight="1" s="453">
      <c r="A80" s="27" t="inlineStr">
        <is>
          <t>DE1AB090012T</t>
        </is>
      </c>
      <c r="B80" s="14" t="e">
        <v>#N/A</v>
      </c>
      <c r="C80" s="136" t="inlineStr">
        <is>
          <t>多肽睛澈修護眼膜 10mL(鈦灰)</t>
        </is>
      </c>
      <c r="D80" s="77" t="n"/>
      <c r="E80" s="17" t="inlineStr">
        <is>
          <t>PCS</t>
        </is>
      </c>
      <c r="F80" s="18" t="n"/>
      <c r="G80" s="18" t="n"/>
      <c r="H80" s="20">
        <f>SUMIFS(領用表!$L:$L,領用表!$E:$E,$B80,領用表!$B:$B,H$2&amp;$P$1)</f>
        <v/>
      </c>
      <c r="I80" s="20">
        <f>SUMIFS(領用表!$L:$L,領用表!$E:$E,$B80,領用表!$B:$B,I$2&amp;$P$1)</f>
        <v/>
      </c>
      <c r="J80" s="20">
        <f>SUMIFS(領用表!$L:$L,領用表!$E:$E,$B80,領用表!$B:$B,J$2&amp;$P$1)</f>
        <v/>
      </c>
      <c r="K80" s="142">
        <f>SUMIFS(領用表!$L:$L,領用表!$E:$E,$B80,領用表!$B:$B,K$2&amp;$P$1)</f>
        <v/>
      </c>
      <c r="L80" s="142">
        <f>SUMIFS(領用表!$L:$L,領用表!$E:$E,$B80,領用表!$B:$B,L$2&amp;$P$1)</f>
        <v/>
      </c>
      <c r="M80" s="142">
        <f>SUMIFS(領用表!$L:$L,領用表!$E:$E,$B80,領用表!$B:$B,M$2&amp;$P$1)</f>
        <v/>
      </c>
      <c r="N80" s="23">
        <f>SUM(,H80,I80,J80,K80,L80,M80)</f>
        <v/>
      </c>
      <c r="O80" s="23">
        <f>AVERAGE(,H80,I80,J80,K80,L80,M80)</f>
        <v/>
      </c>
      <c r="P80" s="142">
        <f>SUMIFS(領用表!$L:$L,領用表!$E:$E,$B80,領用表!$B:$B,P$2&amp;$P$1)</f>
        <v/>
      </c>
      <c r="Q80" s="142">
        <f>SUMIFS(領用表!$L:$L,領用表!$E:$E,$B80,領用表!$B:$B,Q$2&amp;$P$1)</f>
        <v/>
      </c>
      <c r="R80" s="142">
        <f>SUMIFS(領用表!$L:$L,領用表!$E:$E,$B80,領用表!$B:$B,R$2&amp;$P$1)</f>
        <v/>
      </c>
      <c r="S80" s="142">
        <f>SUMIFS(領用表!$L:$L,領用表!$E:$E,$B80,領用表!$B:$B,S$2&amp;$P$1)</f>
        <v/>
      </c>
      <c r="T80" s="142">
        <f>SUMIFS(領用表!$L:$L,領用表!$E:$E,$B80,領用表!$B:$B,T$2&amp;$P$1)</f>
        <v/>
      </c>
      <c r="U80" s="142">
        <f>SUMIFS(領用表!$L:$L,領用表!$E:$E,$B80,領用表!$B:$B,U$2&amp;$P$1)</f>
        <v/>
      </c>
      <c r="V80" s="142">
        <f>SUMIFS(領用表!$L:$L,領用表!$E:$E,$B80,領用表!$B:$B,V$2&amp;$P$1)</f>
        <v/>
      </c>
      <c r="W80" s="142">
        <f>SUMIFS(領用表!$L:$L,領用表!$E:$E,$B80,領用表!$B:$B,W$2&amp;$P$1)</f>
        <v/>
      </c>
      <c r="X80" s="142">
        <f>SUMIFS(領用表!$L:$L,領用表!$E:$E,$B80,領用表!$B:$B,X$2&amp;$P$1)</f>
        <v/>
      </c>
      <c r="Y80" s="142">
        <f>SUMIFS(領用表!$L:$L,領用表!$E:$E,$B80,領用表!$B:$B,Y$2&amp;$P$1)</f>
        <v/>
      </c>
      <c r="Z80" s="142">
        <f>SUMIFS(領用表!$L:$L,領用表!$E:$E,$B80,領用表!$B:$B,Z$2&amp;$P$1)</f>
        <v/>
      </c>
      <c r="AA80" s="142">
        <f>SUMIFS(領用表!$L:$L,領用表!$E:$E,$B80,領用表!$B:$B,AA$2&amp;$P$1)</f>
        <v/>
      </c>
      <c r="AB80" s="142">
        <f>SUM(P80,Q80,R80,S80,T80,U80)</f>
        <v/>
      </c>
      <c r="AC80" s="142">
        <f>AVERAGE(P80,Q80,R80,S80,T80,U80)</f>
        <v/>
      </c>
      <c r="AD80" s="142">
        <f>SUMIF(Summary!B:B,B80,Summary!EC:EC)</f>
        <v/>
      </c>
      <c r="AE80" s="109" t="n"/>
      <c r="AF80" s="65" t="n"/>
      <c r="AG80" s="76" t="inlineStr">
        <is>
          <t>4000(10/22)</t>
        </is>
      </c>
      <c r="AH80" s="76" t="n"/>
      <c r="AI80" s="14" t="n"/>
      <c r="AJ80" s="14" t="n"/>
      <c r="AK80" s="14" t="n"/>
      <c r="AL80" s="14" t="n"/>
    </row>
    <row r="81" ht="15.75" customHeight="1" s="453">
      <c r="A81" s="27" t="inlineStr">
        <is>
          <t>DN1AA050029T</t>
        </is>
      </c>
      <c r="B81" s="14" t="n">
        <v>1050001</v>
      </c>
      <c r="C81" s="136" t="inlineStr">
        <is>
          <t>優菌防護精華安瓶 6ml(10入)</t>
        </is>
      </c>
      <c r="D81" s="77" t="n"/>
      <c r="E81" s="17" t="inlineStr">
        <is>
          <t>PCS</t>
        </is>
      </c>
      <c r="F81" s="18" t="n"/>
      <c r="G81" s="18" t="n"/>
      <c r="H81" s="20">
        <f>SUMIFS(領用表!$L:$L,領用表!$E:$E,$B81,領用表!$B:$B,H$2&amp;$P$1)</f>
        <v/>
      </c>
      <c r="I81" s="20">
        <f>SUMIFS(領用表!$L:$L,領用表!$E:$E,$B81,領用表!$B:$B,I$2&amp;$P$1)</f>
        <v/>
      </c>
      <c r="J81" s="20">
        <f>SUMIFS(領用表!$L:$L,領用表!$E:$E,$B81,領用表!$B:$B,J$2&amp;$P$1)</f>
        <v/>
      </c>
      <c r="K81" s="142">
        <f>SUMIFS(領用表!$L:$L,領用表!$E:$E,$B81,領用表!$B:$B,K$2&amp;$P$1)</f>
        <v/>
      </c>
      <c r="L81" s="142">
        <f>SUMIFS(領用表!$L:$L,領用表!$E:$E,$B81,領用表!$B:$B,L$2&amp;$P$1)</f>
        <v/>
      </c>
      <c r="M81" s="142">
        <f>SUMIFS(領用表!$L:$L,領用表!$E:$E,$B81,領用表!$B:$B,M$2&amp;$P$1)</f>
        <v/>
      </c>
      <c r="N81" s="23">
        <f>SUM(,H81,I81,J81,K81,L81,M81)</f>
        <v/>
      </c>
      <c r="O81" s="23">
        <f>AVERAGE(,H81,I81,J81,K81,L81,M81)</f>
        <v/>
      </c>
      <c r="P81" s="142">
        <f>SUMIFS(領用表!$L:$L,領用表!$E:$E,$B81,領用表!$B:$B,P$2&amp;$P$1)</f>
        <v/>
      </c>
      <c r="Q81" s="142">
        <f>SUMIFS(領用表!$L:$L,領用表!$E:$E,$B81,領用表!$B:$B,Q$2&amp;$P$1)</f>
        <v/>
      </c>
      <c r="R81" s="142">
        <f>SUMIFS(領用表!$L:$L,領用表!$E:$E,$B81,領用表!$B:$B,R$2&amp;$P$1)</f>
        <v/>
      </c>
      <c r="S81" s="142">
        <f>SUMIFS(領用表!$L:$L,領用表!$E:$E,$B81,領用表!$B:$B,S$2&amp;$P$1)</f>
        <v/>
      </c>
      <c r="T81" s="142">
        <f>SUMIFS(領用表!$L:$L,領用表!$E:$E,$B81,領用表!$B:$B,T$2&amp;$P$1)</f>
        <v/>
      </c>
      <c r="U81" s="142" t="n"/>
      <c r="V81" s="142">
        <f>SUMIFS(領用表!$L:$L,領用表!$E:$E,$B81,領用表!$B:$B,V$2&amp;$P$1)</f>
        <v/>
      </c>
      <c r="W81" s="142">
        <f>SUMIFS(領用表!$L:$L,領用表!$E:$E,$B81,領用表!$B:$B,W$2&amp;$P$1)</f>
        <v/>
      </c>
      <c r="X81" s="142">
        <f>SUMIFS(領用表!$L:$L,領用表!$E:$E,$B81,領用表!$B:$B,X$2&amp;$P$1)</f>
        <v/>
      </c>
      <c r="Y81" s="142">
        <f>SUMIFS(領用表!$L:$L,領用表!$E:$E,$B81,領用表!$B:$B,Y$2&amp;$P$1)</f>
        <v/>
      </c>
      <c r="Z81" s="142">
        <f>SUMIFS(領用表!$L:$L,領用表!$E:$E,$B81,領用表!$B:$B,Z$2&amp;$P$1)</f>
        <v/>
      </c>
      <c r="AA81" s="142">
        <f>SUMIFS(領用表!$L:$L,領用表!$E:$E,$B81,領用表!$B:$B,AA$2&amp;$P$1)</f>
        <v/>
      </c>
      <c r="AB81" s="142">
        <f>SUM(P81,Q81,R81,S81,T81,U81)</f>
        <v/>
      </c>
      <c r="AC81" s="142">
        <f>AVERAGE(P81,Q81,R81,S81,T81,U81)</f>
        <v/>
      </c>
      <c r="AD81" s="142">
        <f>SUMIF(Summary!B:B,B81,Summary!EC:EC)</f>
        <v/>
      </c>
      <c r="AE81" s="109" t="n"/>
      <c r="AF81" s="65" t="n"/>
      <c r="AG81" s="76" t="n"/>
      <c r="AH81" s="76" t="n"/>
      <c r="AI81" s="27" t="n"/>
      <c r="AJ81" s="27" t="n"/>
      <c r="AK81" s="14" t="n"/>
      <c r="AL81" s="14" t="n"/>
    </row>
    <row r="82" ht="15.75" customHeight="1" s="453">
      <c r="A82" s="27" t="inlineStr">
        <is>
          <t>DN1AA050030T</t>
        </is>
      </c>
      <c r="B82" s="14" t="n">
        <v>1050002</v>
      </c>
      <c r="C82" s="136" t="inlineStr">
        <is>
          <t>優菌防護安瓶精華 6ml</t>
        </is>
      </c>
      <c r="D82" s="77" t="n"/>
      <c r="E82" s="17" t="inlineStr">
        <is>
          <t>PCS</t>
        </is>
      </c>
      <c r="F82" s="18" t="n"/>
      <c r="G82" s="18" t="n"/>
      <c r="H82" s="20">
        <f>SUMIFS(領用表!$L:$L,領用表!$E:$E,$B82,領用表!$B:$B,H$2&amp;$P$1)</f>
        <v/>
      </c>
      <c r="I82" s="20">
        <f>SUMIFS(領用表!$L:$L,領用表!$E:$E,$B82,領用表!$B:$B,I$2&amp;$P$1)</f>
        <v/>
      </c>
      <c r="J82" s="20">
        <f>SUMIFS(領用表!$L:$L,領用表!$E:$E,$B82,領用表!$B:$B,J$2&amp;$P$1)</f>
        <v/>
      </c>
      <c r="K82" s="142">
        <f>SUMIFS(領用表!$L:$L,領用表!$E:$E,$B82,領用表!$B:$B,K$2&amp;$P$1)</f>
        <v/>
      </c>
      <c r="L82" s="142">
        <f>SUMIFS(領用表!$L:$L,領用表!$E:$E,$B82,領用表!$B:$B,L$2&amp;$P$1)</f>
        <v/>
      </c>
      <c r="M82" s="142">
        <f>SUMIFS(領用表!$L:$L,領用表!$E:$E,$B82,領用表!$B:$B,M$2&amp;$P$1)</f>
        <v/>
      </c>
      <c r="N82" s="23">
        <f>SUM(,H82,I82,J82,K82,L82,M82)</f>
        <v/>
      </c>
      <c r="O82" s="23">
        <f>AVERAGE(,H82,I82,J82,K82,L82,M82)</f>
        <v/>
      </c>
      <c r="P82" s="142">
        <f>SUMIFS(領用表!$L:$L,領用表!$E:$E,$B82,領用表!$B:$B,P$2&amp;$P$1)</f>
        <v/>
      </c>
      <c r="Q82" s="142">
        <f>SUMIFS(領用表!$L:$L,領用表!$E:$E,$B82,領用表!$B:$B,Q$2&amp;$P$1)</f>
        <v/>
      </c>
      <c r="R82" s="142">
        <f>SUMIFS(領用表!$L:$L,領用表!$E:$E,$B82,領用表!$B:$B,R$2&amp;$P$1)</f>
        <v/>
      </c>
      <c r="S82" s="142">
        <f>SUMIFS(領用表!$L:$L,領用表!$E:$E,$B82,領用表!$B:$B,S$2&amp;$P$1)</f>
        <v/>
      </c>
      <c r="T82" s="142">
        <f>SUMIFS(領用表!$L:$L,領用表!$E:$E,$B82,領用表!$B:$B,T$2&amp;$P$1)</f>
        <v/>
      </c>
      <c r="U82" s="142" t="n"/>
      <c r="V82" s="142">
        <f>SUMIFS(領用表!$L:$L,領用表!$E:$E,$B82,領用表!$B:$B,V$2&amp;$P$1)</f>
        <v/>
      </c>
      <c r="W82" s="142">
        <f>SUMIFS(領用表!$L:$L,領用表!$E:$E,$B82,領用表!$B:$B,W$2&amp;$P$1)</f>
        <v/>
      </c>
      <c r="X82" s="142">
        <f>SUMIFS(領用表!$L:$L,領用表!$E:$E,$B82,領用表!$B:$B,X$2&amp;$P$1)</f>
        <v/>
      </c>
      <c r="Y82" s="142">
        <f>SUMIFS(領用表!$L:$L,領用表!$E:$E,$B82,領用表!$B:$B,Y$2&amp;$P$1)</f>
        <v/>
      </c>
      <c r="Z82" s="142">
        <f>SUMIFS(領用表!$L:$L,領用表!$E:$E,$B82,領用表!$B:$B,Z$2&amp;$P$1)</f>
        <v/>
      </c>
      <c r="AA82" s="142">
        <f>SUMIFS(領用表!$L:$L,領用表!$E:$E,$B82,領用表!$B:$B,AA$2&amp;$P$1)</f>
        <v/>
      </c>
      <c r="AB82" s="142">
        <f>SUM(P82,Q82,R82,S82,T82,U82)</f>
        <v/>
      </c>
      <c r="AC82" s="142">
        <f>AVERAGE(P82,Q82,R82,S82,T82,U82)</f>
        <v/>
      </c>
      <c r="AD82" s="142">
        <f>SUMIF(Summary!B:B,B82,Summary!EC:EC)</f>
        <v/>
      </c>
      <c r="AE82" s="109" t="n"/>
      <c r="AF82" s="65" t="n"/>
      <c r="AG82" s="76" t="n"/>
      <c r="AH82" s="76" t="n"/>
      <c r="AI82" s="27" t="n"/>
      <c r="AJ82" s="27" t="n"/>
      <c r="AK82" s="14" t="n"/>
      <c r="AL82" s="14" t="n"/>
    </row>
    <row r="83" hidden="1" ht="15.75" customHeight="1" s="453">
      <c r="A83" s="27" t="inlineStr">
        <is>
          <t>DN1AA050041T</t>
        </is>
      </c>
      <c r="B83" s="14" t="n">
        <v>1050003</v>
      </c>
      <c r="C83" s="136" t="inlineStr">
        <is>
          <t>冰原天神草彈力超導精華 6mL(玫瑰金)</t>
        </is>
      </c>
      <c r="D83" s="77" t="n"/>
      <c r="E83" s="17" t="inlineStr">
        <is>
          <t>PCS</t>
        </is>
      </c>
      <c r="F83" s="18" t="n"/>
      <c r="G83" s="18" t="n"/>
      <c r="H83" s="20">
        <f>SUMIFS(領用表!$L:$L,領用表!$E:$E,$B83,領用表!$B:$B,H$2&amp;$P$1)</f>
        <v/>
      </c>
      <c r="I83" s="20">
        <f>SUMIFS(領用表!$L:$L,領用表!$E:$E,$B83,領用表!$B:$B,I$2&amp;$P$1)</f>
        <v/>
      </c>
      <c r="J83" s="20">
        <f>SUMIFS(領用表!$L:$L,領用表!$E:$E,$B83,領用表!$B:$B,J$2&amp;$P$1)</f>
        <v/>
      </c>
      <c r="K83" s="142">
        <f>SUMIFS(領用表!$L:$L,領用表!$E:$E,$B83,領用表!$B:$B,K$2&amp;$P$1)</f>
        <v/>
      </c>
      <c r="L83" s="142">
        <f>SUMIFS(領用表!$L:$L,領用表!$E:$E,$B83,領用表!$B:$B,L$2&amp;$P$1)</f>
        <v/>
      </c>
      <c r="M83" s="142">
        <f>SUMIFS(領用表!$L:$L,領用表!$E:$E,$B83,領用表!$B:$B,M$2&amp;$P$1)</f>
        <v/>
      </c>
      <c r="N83" s="23">
        <f>SUM(,H83,I83,J83,K83,L83,M83)</f>
        <v/>
      </c>
      <c r="O83" s="23">
        <f>AVERAGE(,H83,I83,J83,K83,L83,M83)</f>
        <v/>
      </c>
      <c r="P83" s="142">
        <f>SUMIFS(領用表!$L:$L,領用表!$E:$E,$B83,領用表!$B:$B,P$2&amp;$P$1)</f>
        <v/>
      </c>
      <c r="Q83" s="142">
        <f>SUMIFS(領用表!$L:$L,領用表!$E:$E,$B83,領用表!$B:$B,Q$2&amp;$P$1)</f>
        <v/>
      </c>
      <c r="R83" s="142">
        <f>SUMIFS(領用表!$L:$L,領用表!$E:$E,$B83,領用表!$B:$B,R$2&amp;$P$1)</f>
        <v/>
      </c>
      <c r="S83" s="142">
        <f>SUMIFS(領用表!$L:$L,領用表!$E:$E,$B83,領用表!$B:$B,S$2&amp;$P$1)</f>
        <v/>
      </c>
      <c r="T83" s="142">
        <f>SUMIFS(領用表!$L:$L,領用表!$E:$E,$B83,領用表!$B:$B,T$2&amp;$P$1)</f>
        <v/>
      </c>
      <c r="U83" s="142" t="n"/>
      <c r="V83" s="142">
        <f>SUMIFS(領用表!$L:$L,領用表!$E:$E,$B83,領用表!$B:$B,V$2&amp;$P$1)</f>
        <v/>
      </c>
      <c r="W83" s="142">
        <f>SUMIFS(領用表!$L:$L,領用表!$E:$E,$B83,領用表!$B:$B,W$2&amp;$P$1)</f>
        <v/>
      </c>
      <c r="X83" s="142">
        <f>SUMIFS(領用表!$L:$L,領用表!$E:$E,$B83,領用表!$B:$B,X$2&amp;$P$1)</f>
        <v/>
      </c>
      <c r="Y83" s="142">
        <f>SUMIFS(領用表!$L:$L,領用表!$E:$E,$B83,領用表!$B:$B,Y$2&amp;$P$1)</f>
        <v/>
      </c>
      <c r="Z83" s="142">
        <f>SUMIFS(領用表!$L:$L,領用表!$E:$E,$B83,領用表!$B:$B,Z$2&amp;$P$1)</f>
        <v/>
      </c>
      <c r="AA83" s="142">
        <f>SUMIFS(領用表!$L:$L,領用表!$E:$E,$B83,領用表!$B:$B,AA$2&amp;$P$1)</f>
        <v/>
      </c>
      <c r="AB83" s="142">
        <f>SUM(P83,Q83,R83,S83,T83,U83)</f>
        <v/>
      </c>
      <c r="AC83" s="142">
        <f>AVERAGE(P83,Q83,R83,S83,T83,U83)</f>
        <v/>
      </c>
      <c r="AD83" s="142">
        <f>SUMIF(Summary!B:B,B83,Summary!EC:EC)</f>
        <v/>
      </c>
      <c r="AE83" s="109" t="n"/>
      <c r="AF83" s="65" t="n"/>
      <c r="AG83" s="76" t="n"/>
      <c r="AH83" s="76" t="n"/>
      <c r="AI83" s="27" t="n"/>
      <c r="AJ83" s="27" t="n"/>
      <c r="AK83" s="14" t="n"/>
      <c r="AL83" s="14" t="n"/>
    </row>
    <row r="84" ht="15" customHeight="1" s="453">
      <c r="A84" s="27" t="inlineStr">
        <is>
          <t>DL1AA050016T</t>
        </is>
      </c>
      <c r="B84" s="14" t="n">
        <v>6050008</v>
      </c>
      <c r="C84" s="136" t="inlineStr">
        <is>
          <t>花神臻秘玫瑰舒膚安瓶 6ml(含紙套)</t>
        </is>
      </c>
      <c r="D84" s="77" t="n"/>
      <c r="E84" s="17" t="inlineStr">
        <is>
          <t>PCS</t>
        </is>
      </c>
      <c r="F84" s="18" t="n"/>
      <c r="G84" s="18" t="n"/>
      <c r="H84" s="20">
        <f>SUMIFS(領用表!$L:$L,領用表!$E:$E,$B84,領用表!$B:$B,H$2&amp;$P$1)</f>
        <v/>
      </c>
      <c r="I84" s="20">
        <f>SUMIFS(領用表!$L:$L,領用表!$E:$E,$B84,領用表!$B:$B,I$2&amp;$P$1)</f>
        <v/>
      </c>
      <c r="J84" s="20">
        <f>SUMIFS(領用表!$L:$L,領用表!$E:$E,$B84,領用表!$B:$B,J$2&amp;$P$1)</f>
        <v/>
      </c>
      <c r="K84" s="142">
        <f>SUMIFS(領用表!$L:$L,領用表!$E:$E,$B84,領用表!$B:$B,K$2&amp;$P$1)</f>
        <v/>
      </c>
      <c r="L84" s="142">
        <f>SUMIFS(領用表!$L:$L,領用表!$E:$E,$B84,領用表!$B:$B,L$2&amp;$P$1)</f>
        <v/>
      </c>
      <c r="M84" s="142">
        <f>SUMIFS(領用表!$L:$L,領用表!$E:$E,$B84,領用表!$B:$B,M$2&amp;$P$1)</f>
        <v/>
      </c>
      <c r="N84" s="23">
        <f>SUM(,H84,I84,J84,K84,L84,M84)</f>
        <v/>
      </c>
      <c r="O84" s="23">
        <f>AVERAGE(,H84,I84,J84,K84,L84,M84)</f>
        <v/>
      </c>
      <c r="P84" s="142">
        <f>SUMIFS(領用表!$L:$L,領用表!$E:$E,$B84,領用表!$B:$B,P$2&amp;$P$1)</f>
        <v/>
      </c>
      <c r="Q84" s="142">
        <f>SUMIFS(領用表!$L:$L,領用表!$E:$E,$B84,領用表!$B:$B,Q$2&amp;$P$1)</f>
        <v/>
      </c>
      <c r="R84" s="142">
        <f>SUMIFS(領用表!$L:$L,領用表!$E:$E,$B84,領用表!$B:$B,R$2&amp;$P$1)</f>
        <v/>
      </c>
      <c r="S84" s="142">
        <f>SUMIFS(領用表!$L:$L,領用表!$E:$E,$B84,領用表!$B:$B,S$2&amp;$P$1)</f>
        <v/>
      </c>
      <c r="T84" s="142">
        <f>SUMIFS(領用表!$L:$L,領用表!$E:$E,$B84,領用表!$B:$B,T$2&amp;$P$1)</f>
        <v/>
      </c>
      <c r="U84" s="142" t="n"/>
      <c r="V84" s="142">
        <f>SUMIFS(領用表!$L:$L,領用表!$E:$E,$B84,領用表!$B:$B,V$2&amp;$P$1)</f>
        <v/>
      </c>
      <c r="W84" s="142">
        <f>SUMIFS(領用表!$L:$L,領用表!$E:$E,$B84,領用表!$B:$B,W$2&amp;$P$1)</f>
        <v/>
      </c>
      <c r="X84" s="142">
        <f>SUMIFS(領用表!$L:$L,領用表!$E:$E,$B84,領用表!$B:$B,X$2&amp;$P$1)</f>
        <v/>
      </c>
      <c r="Y84" s="142">
        <f>SUMIFS(領用表!$L:$L,領用表!$E:$E,$B84,領用表!$B:$B,Y$2&amp;$P$1)</f>
        <v/>
      </c>
      <c r="Z84" s="142">
        <f>SUMIFS(領用表!$L:$L,領用表!$E:$E,$B84,領用表!$B:$B,Z$2&amp;$P$1)</f>
        <v/>
      </c>
      <c r="AA84" s="142">
        <f>SUMIFS(領用表!$L:$L,領用表!$E:$E,$B84,領用表!$B:$B,AA$2&amp;$P$1)</f>
        <v/>
      </c>
      <c r="AB84" s="142">
        <f>SUM(P84,Q84,R84,S84,T84,U84)</f>
        <v/>
      </c>
      <c r="AC84" s="142">
        <f>AVERAGE(P84,Q84,R84,S84,T84,U84)</f>
        <v/>
      </c>
      <c r="AD84" s="142">
        <f>SUMIF(Summary!B:B,B84,Summary!EC:EC)</f>
        <v/>
      </c>
      <c r="AE84" s="109" t="n"/>
      <c r="AF84" s="65" t="n"/>
      <c r="AG84" s="76" t="n"/>
      <c r="AH84" s="76" t="inlineStr">
        <is>
          <t>288(10/22)</t>
        </is>
      </c>
      <c r="AI84" s="27" t="n"/>
      <c r="AJ84" s="27" t="n"/>
      <c r="AK84" s="14" t="n"/>
      <c r="AL84" s="14" t="n"/>
    </row>
    <row r="85" ht="15" customHeight="1" s="453">
      <c r="A85" s="27" t="inlineStr">
        <is>
          <t>DN1AA060002T</t>
        </is>
      </c>
      <c r="B85" s="14" t="n">
        <v>1060001</v>
      </c>
      <c r="C85" s="136" t="inlineStr">
        <is>
          <t>金采賦活保濕精華霜 100ml</t>
        </is>
      </c>
      <c r="D85" s="77" t="n"/>
      <c r="E85" s="17" t="inlineStr">
        <is>
          <t>PCS</t>
        </is>
      </c>
      <c r="F85" s="18" t="n"/>
      <c r="G85" s="18" t="n"/>
      <c r="H85" s="20">
        <f>SUMIFS(領用表!$L:$L,領用表!$E:$E,$B85,領用表!$B:$B,H$2&amp;$P$1)</f>
        <v/>
      </c>
      <c r="I85" s="20">
        <f>SUMIFS(領用表!$L:$L,領用表!$E:$E,$B85,領用表!$B:$B,I$2&amp;$P$1)</f>
        <v/>
      </c>
      <c r="J85" s="20">
        <f>SUMIFS(領用表!$L:$L,領用表!$E:$E,$B85,領用表!$B:$B,J$2&amp;$P$1)</f>
        <v/>
      </c>
      <c r="K85" s="142">
        <f>SUMIFS(領用表!$L:$L,領用表!$E:$E,$B85,領用表!$B:$B,K$2&amp;$P$1)</f>
        <v/>
      </c>
      <c r="L85" s="142">
        <f>SUMIFS(領用表!$L:$L,領用表!$E:$E,$B85,領用表!$B:$B,L$2&amp;$P$1)</f>
        <v/>
      </c>
      <c r="M85" s="142">
        <f>SUMIFS(領用表!$L:$L,領用表!$E:$E,$B85,領用表!$B:$B,M$2&amp;$P$1)</f>
        <v/>
      </c>
      <c r="N85" s="23">
        <f>SUM(,H85,I85,J85,K85,L85,M85)</f>
        <v/>
      </c>
      <c r="O85" s="23">
        <f>AVERAGE(,H85,I85,J85,K85,L85,M85)</f>
        <v/>
      </c>
      <c r="P85" s="142">
        <f>SUMIFS(領用表!$L:$L,領用表!$E:$E,$B85,領用表!$B:$B,P$2&amp;$P$1)</f>
        <v/>
      </c>
      <c r="Q85" s="142">
        <f>SUMIFS(領用表!$L:$L,領用表!$E:$E,$B85,領用表!$B:$B,Q$2&amp;$P$1)</f>
        <v/>
      </c>
      <c r="R85" s="142">
        <f>SUMIFS(領用表!$L:$L,領用表!$E:$E,$B85,領用表!$B:$B,R$2&amp;$P$1)</f>
        <v/>
      </c>
      <c r="S85" s="142">
        <f>SUMIFS(領用表!$L:$L,領用表!$E:$E,$B85,領用表!$B:$B,S$2&amp;$P$1)</f>
        <v/>
      </c>
      <c r="T85" s="142">
        <f>SUMIFS(領用表!$L:$L,領用表!$E:$E,$B85,領用表!$B:$B,T$2&amp;$P$1)</f>
        <v/>
      </c>
      <c r="U85" s="142" t="n"/>
      <c r="V85" s="142">
        <f>SUMIFS(領用表!$L:$L,領用表!$E:$E,$B85,領用表!$B:$B,V$2&amp;$P$1)</f>
        <v/>
      </c>
      <c r="W85" s="142">
        <f>SUMIFS(領用表!$L:$L,領用表!$E:$E,$B85,領用表!$B:$B,W$2&amp;$P$1)</f>
        <v/>
      </c>
      <c r="X85" s="142">
        <f>SUMIFS(領用表!$L:$L,領用表!$E:$E,$B85,領用表!$B:$B,X$2&amp;$P$1)</f>
        <v/>
      </c>
      <c r="Y85" s="142">
        <f>SUMIFS(領用表!$L:$L,領用表!$E:$E,$B85,領用表!$B:$B,Y$2&amp;$P$1)</f>
        <v/>
      </c>
      <c r="Z85" s="142">
        <f>SUMIFS(領用表!$L:$L,領用表!$E:$E,$B85,領用表!$B:$B,Z$2&amp;$P$1)</f>
        <v/>
      </c>
      <c r="AA85" s="142">
        <f>SUMIFS(領用表!$L:$L,領用表!$E:$E,$B85,領用表!$B:$B,AA$2&amp;$P$1)</f>
        <v/>
      </c>
      <c r="AB85" s="142">
        <f>SUM(P85,Q85,R85,S85,T85,U85)</f>
        <v/>
      </c>
      <c r="AC85" s="142">
        <f>AVERAGE(P85,Q85,R85,S85,T85,U85)</f>
        <v/>
      </c>
      <c r="AD85" s="142">
        <f>SUMIF(Summary!B:B,B85,Summary!EC:EC)</f>
        <v/>
      </c>
      <c r="AE85" s="109" t="n"/>
      <c r="AF85" s="65" t="n"/>
      <c r="AG85" s="76" t="n"/>
      <c r="AH85" s="76" t="n"/>
      <c r="AI85" s="27" t="n"/>
      <c r="AJ85" s="27" t="n"/>
      <c r="AK85" s="14" t="n"/>
      <c r="AL85" s="14" t="n"/>
    </row>
    <row r="86" ht="15" customHeight="1" s="453">
      <c r="A86" s="27" t="inlineStr">
        <is>
          <t>DN1AA060004T</t>
        </is>
      </c>
      <c r="B86" s="14" t="n">
        <v>6070002</v>
      </c>
      <c r="C86" s="136" t="inlineStr">
        <is>
          <t>金采賦活保濕精華霜 30ml</t>
        </is>
      </c>
      <c r="D86" s="77" t="n"/>
      <c r="E86" s="17" t="inlineStr">
        <is>
          <t>PCS</t>
        </is>
      </c>
      <c r="F86" s="18" t="n"/>
      <c r="G86" s="18" t="n"/>
      <c r="H86" s="20">
        <f>SUMIFS(領用表!$L:$L,領用表!$E:$E,$B86,領用表!$B:$B,H$2&amp;$P$1)</f>
        <v/>
      </c>
      <c r="I86" s="20">
        <f>SUMIFS(領用表!$L:$L,領用表!$E:$E,$B86,領用表!$B:$B,I$2&amp;$P$1)</f>
        <v/>
      </c>
      <c r="J86" s="20">
        <f>SUMIFS(領用表!$L:$L,領用表!$E:$E,$B86,領用表!$B:$B,J$2&amp;$P$1)</f>
        <v/>
      </c>
      <c r="K86" s="142">
        <f>SUMIFS(領用表!$L:$L,領用表!$E:$E,$B86,領用表!$B:$B,K$2&amp;$P$1)</f>
        <v/>
      </c>
      <c r="L86" s="142">
        <f>SUMIFS(領用表!$L:$L,領用表!$E:$E,$B86,領用表!$B:$B,L$2&amp;$P$1)</f>
        <v/>
      </c>
      <c r="M86" s="142">
        <f>SUMIFS(領用表!$L:$L,領用表!$E:$E,$B86,領用表!$B:$B,M$2&amp;$P$1)</f>
        <v/>
      </c>
      <c r="N86" s="23">
        <f>SUM(,H86,I86,J86,K86,L86,M86)</f>
        <v/>
      </c>
      <c r="O86" s="23">
        <f>AVERAGE(,H86,I86,J86,K86,L86,M86)</f>
        <v/>
      </c>
      <c r="P86" s="142">
        <f>SUMIFS(領用表!$L:$L,領用表!$E:$E,$B86,領用表!$B:$B,P$2&amp;$P$1)</f>
        <v/>
      </c>
      <c r="Q86" s="405">
        <f>SUMIFS(領用表!$L:$L,領用表!$E:$E,$B86,領用表!$B:$B,Q$2&amp;$P$1)</f>
        <v/>
      </c>
      <c r="R86" s="405">
        <f>SUMIFS(領用表!$L:$L,領用表!$E:$E,$B86,領用表!$B:$B,R$2&amp;$P$1)</f>
        <v/>
      </c>
      <c r="S86" s="405">
        <f>SUMIFS(領用表!$L:$L,領用表!$E:$E,$B86,領用表!$B:$B,S$2&amp;$P$1)</f>
        <v/>
      </c>
      <c r="T86" s="405">
        <f>SUMIFS(領用表!$L:$L,領用表!$E:$E,$B86,領用表!$B:$B,T$2&amp;$P$1)</f>
        <v/>
      </c>
      <c r="U86" s="405" t="n"/>
      <c r="V86" s="405">
        <f>SUMIFS(領用表!$L:$L,領用表!$E:$E,$B86,領用表!$B:$B,V$2&amp;$P$1)</f>
        <v/>
      </c>
      <c r="W86" s="405">
        <f>SUMIFS(領用表!$L:$L,領用表!$E:$E,$B86,領用表!$B:$B,W$2&amp;$P$1)</f>
        <v/>
      </c>
      <c r="X86" s="405">
        <f>SUMIFS(領用表!$L:$L,領用表!$E:$E,$B86,領用表!$B:$B,X$2&amp;$P$1)</f>
        <v/>
      </c>
      <c r="Y86" s="405">
        <f>SUMIFS(領用表!$L:$L,領用表!$E:$E,$B86,領用表!$B:$B,Y$2&amp;$P$1)</f>
        <v/>
      </c>
      <c r="Z86" s="405">
        <f>SUMIFS(領用表!$L:$L,領用表!$E:$E,$B86,領用表!$B:$B,Z$2&amp;$P$1)</f>
        <v/>
      </c>
      <c r="AA86" s="405">
        <f>SUMIFS(領用表!$L:$L,領用表!$E:$E,$B86,領用表!$B:$B,AA$2&amp;$P$1)</f>
        <v/>
      </c>
      <c r="AB86" s="405">
        <f>SUM(P86,Q86,R86,S86,T86,U86)</f>
        <v/>
      </c>
      <c r="AC86" s="405">
        <f>AVERAGE(P86,Q86,R86,S86,T86,U86)</f>
        <v/>
      </c>
      <c r="AD86" s="405">
        <f>SUMIF(Summary!B:B,B86,Summary!EC:EC)</f>
        <v/>
      </c>
      <c r="AE86" s="111" t="n"/>
      <c r="AF86" s="80" t="n"/>
      <c r="AG86" s="76" t="n"/>
      <c r="AH86" s="76" t="n"/>
      <c r="AI86" s="27" t="n"/>
      <c r="AJ86" s="27" t="n"/>
      <c r="AK86" s="14" t="n"/>
      <c r="AL86" s="14" t="n"/>
    </row>
    <row r="87" ht="15" customHeight="1" s="453">
      <c r="A87" s="27" t="inlineStr">
        <is>
          <t>DE1AA050039T</t>
        </is>
      </c>
      <c r="B87" s="14" t="e">
        <v>#N/A</v>
      </c>
      <c r="C87" s="136" t="inlineStr">
        <is>
          <t>緊緻新生彈力精華 10ml</t>
        </is>
      </c>
      <c r="D87" s="77" t="n"/>
      <c r="E87" s="17" t="inlineStr">
        <is>
          <t>PCS</t>
        </is>
      </c>
      <c r="F87" s="18" t="n"/>
      <c r="G87" s="18" t="n"/>
      <c r="H87" s="20">
        <f>SUMIFS(領用表!$L:$L,領用表!$E:$E,$B87,領用表!$B:$B,H$2&amp;$P$1)</f>
        <v/>
      </c>
      <c r="I87" s="20">
        <f>SUMIFS(領用表!$L:$L,領用表!$E:$E,$B87,領用表!$B:$B,I$2&amp;$P$1)</f>
        <v/>
      </c>
      <c r="J87" s="20">
        <f>SUMIFS(領用表!$L:$L,領用表!$E:$E,$B87,領用表!$B:$B,J$2&amp;$P$1)</f>
        <v/>
      </c>
      <c r="K87" s="142">
        <f>SUMIFS(領用表!$L:$L,領用表!$E:$E,$B87,領用表!$B:$B,K$2&amp;$P$1)</f>
        <v/>
      </c>
      <c r="L87" s="142">
        <f>SUMIFS(領用表!$L:$L,領用表!$E:$E,$B87,領用表!$B:$B,L$2&amp;$P$1)</f>
        <v/>
      </c>
      <c r="M87" s="142">
        <f>SUMIFS(領用表!$L:$L,領用表!$E:$E,$B87,領用表!$B:$B,M$2&amp;$P$1)</f>
        <v/>
      </c>
      <c r="N87" s="23">
        <f>SUM(,H87,I87,J87,K87,L87,M87)</f>
        <v/>
      </c>
      <c r="O87" s="23">
        <f>AVERAGE(,H87,I87,J87,K87,L87,M87)</f>
        <v/>
      </c>
      <c r="P87" s="142">
        <f>SUMIFS(領用表!$L:$L,領用表!$E:$E,$B87,領用表!$B:$B,P$2&amp;$P$1)</f>
        <v/>
      </c>
      <c r="Q87" s="405">
        <f>SUMIFS(領用表!$L:$L,領用表!$E:$E,$B87,領用表!$B:$B,Q$2&amp;$P$1)</f>
        <v/>
      </c>
      <c r="R87" s="405">
        <f>SUMIFS(領用表!$L:$L,領用表!$E:$E,$B87,領用表!$B:$B,R$2&amp;$P$1)</f>
        <v/>
      </c>
      <c r="S87" s="405">
        <f>SUMIFS(領用表!$L:$L,領用表!$E:$E,$B87,領用表!$B:$B,S$2&amp;$P$1)</f>
        <v/>
      </c>
      <c r="T87" s="405">
        <f>SUMIFS(領用表!$L:$L,領用表!$E:$E,$B87,領用表!$B:$B,T$2&amp;$P$1)</f>
        <v/>
      </c>
      <c r="U87" s="405">
        <f>SUMIFS(領用表!$L:$L,領用表!$E:$E,$B87,領用表!$B:$B,U$2&amp;$P$1)</f>
        <v/>
      </c>
      <c r="V87" s="405">
        <f>SUMIFS(領用表!$L:$L,領用表!$E:$E,$B87,領用表!$B:$B,V$2&amp;$P$1)</f>
        <v/>
      </c>
      <c r="W87" s="405">
        <f>SUMIFS(領用表!$L:$L,領用表!$E:$E,$B87,領用表!$B:$B,W$2&amp;$P$1)</f>
        <v/>
      </c>
      <c r="X87" s="405">
        <f>SUMIFS(領用表!$L:$L,領用表!$E:$E,$B87,領用表!$B:$B,X$2&amp;$P$1)</f>
        <v/>
      </c>
      <c r="Y87" s="405">
        <f>SUMIFS(領用表!$L:$L,領用表!$E:$E,$B87,領用表!$B:$B,Y$2&amp;$P$1)</f>
        <v/>
      </c>
      <c r="Z87" s="405">
        <f>SUMIFS(領用表!$L:$L,領用表!$E:$E,$B87,領用表!$B:$B,Z$2&amp;$P$1)</f>
        <v/>
      </c>
      <c r="AA87" s="405">
        <f>SUMIFS(領用表!$L:$L,領用表!$E:$E,$B87,領用表!$B:$B,AA$2&amp;$P$1)</f>
        <v/>
      </c>
      <c r="AB87" s="405">
        <f>SUM(P87,Q87,R87,S87,T87,U87)</f>
        <v/>
      </c>
      <c r="AC87" s="405">
        <f>AVERAGE(P87,Q87,R87,S87,T87,U87)</f>
        <v/>
      </c>
      <c r="AD87" s="405">
        <f>SUMIF(Summary!B:B,B87,Summary!EC:EC)</f>
        <v/>
      </c>
      <c r="AE87" s="112" t="n"/>
      <c r="AF87" s="80" t="n"/>
      <c r="AG87" s="76" t="inlineStr">
        <is>
          <t>576(10/22)</t>
        </is>
      </c>
      <c r="AH87" s="76" t="n"/>
      <c r="AI87" s="27" t="n"/>
      <c r="AJ87" s="27" t="n"/>
      <c r="AK87" s="14" t="n"/>
      <c r="AL87" s="14" t="n"/>
    </row>
    <row r="88" ht="15" customHeight="1" s="453">
      <c r="A88" s="27" t="inlineStr">
        <is>
          <t>DE1AA090014T</t>
        </is>
      </c>
      <c r="B88" s="14" t="e">
        <v>#N/A</v>
      </c>
      <c r="C88" s="136" t="inlineStr">
        <is>
          <t>緊緻抗皺彈力面膜 30mL</t>
        </is>
      </c>
      <c r="D88" s="77" t="n"/>
      <c r="E88" s="17" t="inlineStr">
        <is>
          <t>PCS</t>
        </is>
      </c>
      <c r="F88" s="18" t="n"/>
      <c r="G88" s="18" t="n"/>
      <c r="H88" s="20">
        <f>SUMIFS(領用表!$L:$L,領用表!$E:$E,$B88,領用表!$B:$B,H$2&amp;$P$1)</f>
        <v/>
      </c>
      <c r="I88" s="20">
        <f>SUMIFS(領用表!$L:$L,領用表!$E:$E,$B88,領用表!$B:$B,I$2&amp;$P$1)</f>
        <v/>
      </c>
      <c r="J88" s="20">
        <f>SUMIFS(領用表!$L:$L,領用表!$E:$E,$B88,領用表!$B:$B,J$2&amp;$P$1)</f>
        <v/>
      </c>
      <c r="K88" s="142">
        <f>SUMIFS(領用表!$L:$L,領用表!$E:$E,$B88,領用表!$B:$B,K$2&amp;$P$1)</f>
        <v/>
      </c>
      <c r="L88" s="142">
        <f>SUMIFS(領用表!$L:$L,領用表!$E:$E,$B88,領用表!$B:$B,L$2&amp;$P$1)</f>
        <v/>
      </c>
      <c r="M88" s="142">
        <f>SUMIFS(領用表!$L:$L,領用表!$E:$E,$B88,領用表!$B:$B,M$2&amp;$P$1)</f>
        <v/>
      </c>
      <c r="N88" s="23">
        <f>SUM(,H88,I88,J88,K88,L88,M88)</f>
        <v/>
      </c>
      <c r="O88" s="23">
        <f>AVERAGE(,H88,I88,J88,K88,L88,M88)</f>
        <v/>
      </c>
      <c r="P88" s="142">
        <f>SUMIFS(領用表!$L:$L,領用表!$E:$E,$B88,領用表!$B:$B,P$2&amp;$P$1)</f>
        <v/>
      </c>
      <c r="Q88" s="405">
        <f>SUMIFS(領用表!$L:$L,領用表!$E:$E,$B88,領用表!$B:$B,Q$2&amp;$P$1)</f>
        <v/>
      </c>
      <c r="R88" s="405">
        <f>SUMIFS(領用表!$L:$L,領用表!$E:$E,$B88,領用表!$B:$B,R$2&amp;$P$1)</f>
        <v/>
      </c>
      <c r="S88" s="405">
        <f>SUMIFS(領用表!$L:$L,領用表!$E:$E,$B88,領用表!$B:$B,S$2&amp;$P$1)</f>
        <v/>
      </c>
      <c r="T88" s="405">
        <f>SUMIFS(領用表!$L:$L,領用表!$E:$E,$B88,領用表!$B:$B,T$2&amp;$P$1)</f>
        <v/>
      </c>
      <c r="U88" s="405">
        <f>SUMIFS(領用表!$L:$L,領用表!$E:$E,$B88,領用表!$B:$B,U$2&amp;$P$1)</f>
        <v/>
      </c>
      <c r="V88" s="405">
        <f>SUMIFS(領用表!$L:$L,領用表!$E:$E,$B88,領用表!$B:$B,V$2&amp;$P$1)</f>
        <v/>
      </c>
      <c r="W88" s="405">
        <f>SUMIFS(領用表!$L:$L,領用表!$E:$E,$B88,領用表!$B:$B,W$2&amp;$P$1)</f>
        <v/>
      </c>
      <c r="X88" s="405">
        <f>SUMIFS(領用表!$L:$L,領用表!$E:$E,$B88,領用表!$B:$B,X$2&amp;$P$1)</f>
        <v/>
      </c>
      <c r="Y88" s="405">
        <f>SUMIFS(領用表!$L:$L,領用表!$E:$E,$B88,領用表!$B:$B,Y$2&amp;$P$1)</f>
        <v/>
      </c>
      <c r="Z88" s="405">
        <f>SUMIFS(領用表!$L:$L,領用表!$E:$E,$B88,領用表!$B:$B,Z$2&amp;$P$1)</f>
        <v/>
      </c>
      <c r="AA88" s="405">
        <f>SUMIFS(領用表!$L:$L,領用表!$E:$E,$B88,領用表!$B:$B,AA$2&amp;$P$1)</f>
        <v/>
      </c>
      <c r="AB88" s="405">
        <f>SUM(P88,Q88,R88,S88,T88,U88)</f>
        <v/>
      </c>
      <c r="AC88" s="405">
        <f>AVERAGE(P88,Q88,R88,S88,T88,U88)</f>
        <v/>
      </c>
      <c r="AD88" s="405">
        <f>SUMIF(Summary!B:B,B88,Summary!EC:EC)</f>
        <v/>
      </c>
      <c r="AE88" s="112" t="n"/>
      <c r="AF88" s="80" t="n"/>
      <c r="AG88" s="76" t="inlineStr">
        <is>
          <t>600(10/22)</t>
        </is>
      </c>
      <c r="AH88" s="76" t="n"/>
      <c r="AI88" s="27" t="n"/>
      <c r="AJ88" s="27" t="n"/>
      <c r="AK88" s="14" t="n"/>
      <c r="AL88" s="14" t="n"/>
    </row>
    <row r="89" ht="15" customHeight="1" s="453">
      <c r="A89" s="27" t="inlineStr">
        <is>
          <t>TN1AA060003T</t>
        </is>
      </c>
      <c r="B89" s="14" t="n">
        <v>6060001</v>
      </c>
      <c r="C89" s="136" t="inlineStr">
        <is>
          <t>試用-金采賦活保濕精華霜 100ml</t>
        </is>
      </c>
      <c r="D89" s="77" t="n"/>
      <c r="E89" s="17" t="inlineStr">
        <is>
          <t>PCS</t>
        </is>
      </c>
      <c r="F89" s="18" t="n"/>
      <c r="G89" s="18" t="n"/>
      <c r="H89" s="20">
        <f>SUMIFS(領用表!$L:$L,領用表!$E:$E,$B89,領用表!$B:$B,H$2&amp;$P$1)</f>
        <v/>
      </c>
      <c r="I89" s="20">
        <f>SUMIFS(領用表!$L:$L,領用表!$E:$E,$B89,領用表!$B:$B,I$2&amp;$P$1)</f>
        <v/>
      </c>
      <c r="J89" s="20">
        <f>SUMIFS(領用表!$L:$L,領用表!$E:$E,$B89,領用表!$B:$B,J$2&amp;$P$1)</f>
        <v/>
      </c>
      <c r="K89" s="142">
        <f>SUMIFS(領用表!$L:$L,領用表!$E:$E,$B89,領用表!$B:$B,K$2&amp;$P$1)</f>
        <v/>
      </c>
      <c r="L89" s="142">
        <f>SUMIFS(領用表!$L:$L,領用表!$E:$E,$B89,領用表!$B:$B,L$2&amp;$P$1)</f>
        <v/>
      </c>
      <c r="M89" s="142">
        <f>SUMIFS(領用表!$L:$L,領用表!$E:$E,$B89,領用表!$B:$B,M$2&amp;$P$1)</f>
        <v/>
      </c>
      <c r="N89" s="23">
        <f>SUM(,H89,I89,J89,K89,L89,M89)</f>
        <v/>
      </c>
      <c r="O89" s="23">
        <f>AVERAGE(,H89,I89,J89,K89,L89,M89)</f>
        <v/>
      </c>
      <c r="P89" s="142">
        <f>SUMIFS(領用表!$L:$L,領用表!$E:$E,$B89,領用表!$B:$B,P$2&amp;$P$1)</f>
        <v/>
      </c>
      <c r="Q89" s="142">
        <f>SUMIFS(領用表!$L:$L,領用表!$E:$E,$B89,領用表!$B:$B,Q$2&amp;$P$1)</f>
        <v/>
      </c>
      <c r="R89" s="142">
        <f>SUMIFS(領用表!$L:$L,領用表!$E:$E,$B89,領用表!$B:$B,R$2&amp;$P$1)</f>
        <v/>
      </c>
      <c r="S89" s="142">
        <f>SUMIFS(領用表!$L:$L,領用表!$E:$E,$B89,領用表!$B:$B,S$2&amp;$P$1)</f>
        <v/>
      </c>
      <c r="T89" s="142">
        <f>SUMIFS(領用表!$L:$L,領用表!$E:$E,$B89,領用表!$B:$B,T$2&amp;$P$1)</f>
        <v/>
      </c>
      <c r="U89" s="142" t="n"/>
      <c r="V89" s="142">
        <f>SUMIFS(領用表!$L:$L,領用表!$E:$E,$B89,領用表!$B:$B,V$2&amp;$P$1)</f>
        <v/>
      </c>
      <c r="W89" s="142">
        <f>SUMIFS(領用表!$L:$L,領用表!$E:$E,$B89,領用表!$B:$B,W$2&amp;$P$1)</f>
        <v/>
      </c>
      <c r="X89" s="142">
        <f>SUMIFS(領用表!$L:$L,領用表!$E:$E,$B89,領用表!$B:$B,X$2&amp;$P$1)</f>
        <v/>
      </c>
      <c r="Y89" s="142">
        <f>SUMIFS(領用表!$L:$L,領用表!$E:$E,$B89,領用表!$B:$B,Y$2&amp;$P$1)</f>
        <v/>
      </c>
      <c r="Z89" s="142">
        <f>SUMIFS(領用表!$L:$L,領用表!$E:$E,$B89,領用表!$B:$B,Z$2&amp;$P$1)</f>
        <v/>
      </c>
      <c r="AA89" s="142">
        <f>SUMIFS(領用表!$L:$L,領用表!$E:$E,$B89,領用表!$B:$B,AA$2&amp;$P$1)</f>
        <v/>
      </c>
      <c r="AB89" s="142">
        <f>SUM(P89,Q89,R89,S89,T89,U89)</f>
        <v/>
      </c>
      <c r="AC89" s="142">
        <f>AVERAGE(P89,Q89,R89,S89,T89,U89)</f>
        <v/>
      </c>
      <c r="AD89" s="142">
        <f>SUMIF(Summary!B:B,B89,Summary!EC:EC)</f>
        <v/>
      </c>
      <c r="AE89" s="109" t="n"/>
      <c r="AF89" s="65" t="n"/>
      <c r="AG89" s="76" t="inlineStr">
        <is>
          <t>16(10/22)</t>
        </is>
      </c>
      <c r="AH89" s="76" t="n"/>
      <c r="AI89" s="27" t="n"/>
      <c r="AJ89" s="27" t="n"/>
      <c r="AK89" s="14" t="n"/>
      <c r="AL89" s="14" t="n"/>
    </row>
    <row r="90" ht="16.5" customHeight="1" s="453">
      <c r="A90" s="27" t="inlineStr">
        <is>
          <t>DN1AA200005T</t>
        </is>
      </c>
      <c r="B90" s="14" t="e">
        <v>#N/A</v>
      </c>
      <c r="C90" s="136" t="inlineStr">
        <is>
          <t>無瑕清透防護霜 30mL(潤色)</t>
        </is>
      </c>
      <c r="D90" s="77" t="n"/>
      <c r="E90" s="17" t="inlineStr">
        <is>
          <t>PCS</t>
        </is>
      </c>
      <c r="F90" s="18" t="n"/>
      <c r="G90" s="18" t="n"/>
      <c r="H90" s="20">
        <f>SUMIFS(領用表!$L:$L,領用表!$E:$E,$B90,領用表!$B:$B,H$2&amp;$P$1)</f>
        <v/>
      </c>
      <c r="I90" s="20">
        <f>SUMIFS(領用表!$L:$L,領用表!$E:$E,$B90,領用表!$B:$B,I$2&amp;$P$1)</f>
        <v/>
      </c>
      <c r="J90" s="20">
        <f>SUMIFS(領用表!$L:$L,領用表!$E:$E,$B90,領用表!$B:$B,J$2&amp;$P$1)</f>
        <v/>
      </c>
      <c r="K90" s="142">
        <f>SUMIFS(領用表!$L:$L,領用表!$E:$E,$B90,領用表!$B:$B,K$2&amp;$P$1)</f>
        <v/>
      </c>
      <c r="L90" s="142">
        <f>SUMIFS(領用表!$L:$L,領用表!$E:$E,$B90,領用表!$B:$B,L$2&amp;$P$1)</f>
        <v/>
      </c>
      <c r="M90" s="142">
        <f>SUMIFS(領用表!$L:$L,領用表!$E:$E,$B90,領用表!$B:$B,M$2&amp;$P$1)</f>
        <v/>
      </c>
      <c r="N90" s="23">
        <f>SUM(,H90,I90,J90,K90,L90,M90)</f>
        <v/>
      </c>
      <c r="O90" s="23">
        <f>AVERAGE(,H90,I90,J90,K90,L90,M90)</f>
        <v/>
      </c>
      <c r="P90" s="142">
        <f>SUMIFS(領用表!$L:$L,領用表!$E:$E,$B90,領用表!$B:$B,P$2&amp;$P$1)</f>
        <v/>
      </c>
      <c r="Q90" s="142">
        <f>SUMIFS(領用表!$L:$L,領用表!$E:$E,$B90,領用表!$B:$B,Q$2&amp;$P$1)</f>
        <v/>
      </c>
      <c r="R90" s="142">
        <f>SUMIFS(領用表!$L:$L,領用表!$E:$E,$B90,領用表!$B:$B,R$2&amp;$P$1)</f>
        <v/>
      </c>
      <c r="S90" s="142">
        <f>SUMIFS(領用表!$L:$L,領用表!$E:$E,$B90,領用表!$B:$B,S$2&amp;$P$1)</f>
        <v/>
      </c>
      <c r="T90" s="142">
        <f>SUMIFS(領用表!$L:$L,領用表!$E:$E,$B90,領用表!$B:$B,T$2&amp;$P$1)</f>
        <v/>
      </c>
      <c r="U90" s="142">
        <f>SUMIFS(領用表!$L:$L,領用表!$E:$E,$B90,領用表!$B:$B,U$2&amp;$P$1)</f>
        <v/>
      </c>
      <c r="V90" s="142">
        <f>SUMIFS(領用表!$L:$L,領用表!$E:$E,$B90,領用表!$B:$B,V$2&amp;$P$1)</f>
        <v/>
      </c>
      <c r="W90" s="142">
        <f>SUMIFS(領用表!$L:$L,領用表!$E:$E,$B90,領用表!$B:$B,W$2&amp;$P$1)</f>
        <v/>
      </c>
      <c r="X90" s="142">
        <f>SUMIFS(領用表!$L:$L,領用表!$E:$E,$B90,領用表!$B:$B,X$2&amp;$P$1)</f>
        <v/>
      </c>
      <c r="Y90" s="142">
        <f>SUMIFS(領用表!$L:$L,領用表!$E:$E,$B90,領用表!$B:$B,Y$2&amp;$P$1)</f>
        <v/>
      </c>
      <c r="Z90" s="142">
        <f>SUMIFS(領用表!$L:$L,領用表!$E:$E,$B90,領用表!$B:$B,Z$2&amp;$P$1)</f>
        <v/>
      </c>
      <c r="AA90" s="142">
        <f>SUMIFS(領用表!$L:$L,領用表!$E:$E,$B90,領用表!$B:$B,AA$2&amp;$P$1)</f>
        <v/>
      </c>
      <c r="AB90" s="142">
        <f>SUM(P90,Q90,R90,S90,T90,U90)</f>
        <v/>
      </c>
      <c r="AC90" s="142">
        <f>AVERAGE(P90,Q90,R90,S90,T90,U90)</f>
        <v/>
      </c>
      <c r="AD90" s="142">
        <f>SUMIF(Summary!B:B,B90,Summary!EC:EC)</f>
        <v/>
      </c>
      <c r="AE90" s="109" t="n"/>
      <c r="AF90" s="65" t="n"/>
      <c r="AG90" s="76" t="n"/>
      <c r="AH90" s="76" t="n"/>
      <c r="AI90" s="27" t="n"/>
      <c r="AJ90" s="27" t="n"/>
      <c r="AK90" s="14" t="n"/>
      <c r="AL90" s="14" t="n"/>
    </row>
    <row r="91" ht="16.5" customHeight="1" s="453">
      <c r="A91" s="27" t="inlineStr">
        <is>
          <t>DN1AA030002T</t>
        </is>
      </c>
      <c r="B91" s="14" t="e">
        <v>#N/A</v>
      </c>
      <c r="C91" s="136" t="inlineStr">
        <is>
          <t>亮采金球去角質凝膠 100ml (2015年版)</t>
        </is>
      </c>
      <c r="D91" s="77" t="n"/>
      <c r="E91" s="17" t="inlineStr">
        <is>
          <t>PCS</t>
        </is>
      </c>
      <c r="F91" s="18" t="n"/>
      <c r="G91" s="18" t="n"/>
      <c r="H91" s="20">
        <f>SUMIFS(領用表!$L:$L,領用表!$E:$E,$B91,領用表!$B:$B,H$2&amp;$P$1)</f>
        <v/>
      </c>
      <c r="I91" s="20">
        <f>SUMIFS(領用表!$L:$L,領用表!$E:$E,$B91,領用表!$B:$B,I$2&amp;$P$1)</f>
        <v/>
      </c>
      <c r="J91" s="20">
        <f>SUMIFS(領用表!$L:$L,領用表!$E:$E,$B91,領用表!$B:$B,J$2&amp;$P$1)</f>
        <v/>
      </c>
      <c r="K91" s="142">
        <f>SUMIFS(領用表!$L:$L,領用表!$E:$E,$B91,領用表!$B:$B,K$2&amp;$P$1)</f>
        <v/>
      </c>
      <c r="L91" s="142">
        <f>SUMIFS(領用表!$L:$L,領用表!$E:$E,$B91,領用表!$B:$B,L$2&amp;$P$1)</f>
        <v/>
      </c>
      <c r="M91" s="142">
        <f>SUMIFS(領用表!$L:$L,領用表!$E:$E,$B91,領用表!$B:$B,M$2&amp;$P$1)</f>
        <v/>
      </c>
      <c r="N91" s="23">
        <f>SUM(,H91,I91,J91,K91,L91,M91)</f>
        <v/>
      </c>
      <c r="O91" s="23">
        <f>AVERAGE(,H91,I91,J91,K91,L91,M91)</f>
        <v/>
      </c>
      <c r="P91" s="142">
        <f>SUMIFS(領用表!$L:$L,領用表!$E:$E,$B91,領用表!$B:$B,P$2&amp;$P$1)</f>
        <v/>
      </c>
      <c r="Q91" s="142">
        <f>SUMIFS(領用表!$L:$L,領用表!$E:$E,$B91,領用表!$B:$B,Q$2&amp;$P$1)</f>
        <v/>
      </c>
      <c r="R91" s="142">
        <f>SUMIFS(領用表!$L:$L,領用表!$E:$E,$B91,領用表!$B:$B,R$2&amp;$P$1)</f>
        <v/>
      </c>
      <c r="S91" s="142">
        <f>SUMIFS(領用表!$L:$L,領用表!$E:$E,$B91,領用表!$B:$B,S$2&amp;$P$1)</f>
        <v/>
      </c>
      <c r="T91" s="142">
        <f>SUMIFS(領用表!$L:$L,領用表!$E:$E,$B91,領用表!$B:$B,T$2&amp;$P$1)</f>
        <v/>
      </c>
      <c r="U91" s="142">
        <f>SUMIFS(領用表!$L:$L,領用表!$E:$E,$B91,領用表!$B:$B,U$2&amp;$P$1)</f>
        <v/>
      </c>
      <c r="V91" s="142">
        <f>SUMIFS(領用表!$L:$L,領用表!$E:$E,$B91,領用表!$B:$B,V$2&amp;$P$1)</f>
        <v/>
      </c>
      <c r="W91" s="142">
        <f>SUMIFS(領用表!$L:$L,領用表!$E:$E,$B91,領用表!$B:$B,W$2&amp;$P$1)</f>
        <v/>
      </c>
      <c r="X91" s="142">
        <f>SUMIFS(領用表!$L:$L,領用表!$E:$E,$B91,領用表!$B:$B,X$2&amp;$P$1)</f>
        <v/>
      </c>
      <c r="Y91" s="142">
        <f>SUMIFS(領用表!$L:$L,領用表!$E:$E,$B91,領用表!$B:$B,Y$2&amp;$P$1)</f>
        <v/>
      </c>
      <c r="Z91" s="142">
        <f>SUMIFS(領用表!$L:$L,領用表!$E:$E,$B91,領用表!$B:$B,Z$2&amp;$P$1)</f>
        <v/>
      </c>
      <c r="AA91" s="142">
        <f>SUMIFS(領用表!$L:$L,領用表!$E:$E,$B91,領用表!$B:$B,AA$2&amp;$P$1)</f>
        <v/>
      </c>
      <c r="AB91" s="142">
        <f>SUM(P91,Q91,R91,S91,T91,U91)</f>
        <v/>
      </c>
      <c r="AC91" s="142">
        <f>AVERAGE(P91,Q91,R91,S91,T91,U91)</f>
        <v/>
      </c>
      <c r="AD91" s="142">
        <f>SUMIF(Summary!B:B,B91,Summary!EC:EC)</f>
        <v/>
      </c>
      <c r="AE91" s="109" t="n"/>
      <c r="AF91" s="65" t="n"/>
      <c r="AG91" s="76" t="n"/>
      <c r="AH91" s="76" t="n"/>
    </row>
    <row r="92" ht="16.5" customHeight="1" s="453">
      <c r="A92" s="27" t="inlineStr">
        <is>
          <t>DN1AA040011T</t>
        </is>
      </c>
      <c r="B92" s="14" t="e">
        <v>#N/A</v>
      </c>
      <c r="C92" s="136" t="inlineStr">
        <is>
          <t>金采極緻晶凍凝露 125ml(升級)</t>
        </is>
      </c>
      <c r="D92" s="77" t="n"/>
      <c r="E92" s="17" t="inlineStr">
        <is>
          <t>PCS</t>
        </is>
      </c>
      <c r="F92" s="18" t="n"/>
      <c r="G92" s="18" t="n"/>
      <c r="H92" s="20">
        <f>SUMIFS(領用表!$L:$L,領用表!$E:$E,$B92,領用表!$B:$B,H$2&amp;$P$1)</f>
        <v/>
      </c>
      <c r="I92" s="20">
        <f>SUMIFS(領用表!$L:$L,領用表!$E:$E,$B92,領用表!$B:$B,I$2&amp;$P$1)</f>
        <v/>
      </c>
      <c r="J92" s="20">
        <f>SUMIFS(領用表!$L:$L,領用表!$E:$E,$B92,領用表!$B:$B,J$2&amp;$P$1)</f>
        <v/>
      </c>
      <c r="K92" s="142">
        <f>SUMIFS(領用表!$L:$L,領用表!$E:$E,$B92,領用表!$B:$B,K$2&amp;$P$1)</f>
        <v/>
      </c>
      <c r="L92" s="142">
        <f>SUMIFS(領用表!$L:$L,領用表!$E:$E,$B92,領用表!$B:$B,L$2&amp;$P$1)</f>
        <v/>
      </c>
      <c r="M92" s="142">
        <f>SUMIFS(領用表!$L:$L,領用表!$E:$E,$B92,領用表!$B:$B,M$2&amp;$P$1)</f>
        <v/>
      </c>
      <c r="N92" s="23">
        <f>SUM(,H92,I92,J92,K92,L92,M92)</f>
        <v/>
      </c>
      <c r="O92" s="23">
        <f>AVERAGE(,H92,I92,J92,K92,L92,M92)</f>
        <v/>
      </c>
      <c r="P92" s="142">
        <f>SUMIFS(領用表!$L:$L,領用表!$E:$E,$B92,領用表!$B:$B,P$2&amp;$P$1)</f>
        <v/>
      </c>
      <c r="Q92" s="142">
        <f>SUMIFS(領用表!$L:$L,領用表!$E:$E,$B92,領用表!$B:$B,Q$2&amp;$P$1)</f>
        <v/>
      </c>
      <c r="R92" s="142">
        <f>SUMIFS(領用表!$L:$L,領用表!$E:$E,$B92,領用表!$B:$B,R$2&amp;$P$1)</f>
        <v/>
      </c>
      <c r="S92" s="142">
        <f>SUMIFS(領用表!$L:$L,領用表!$E:$E,$B92,領用表!$B:$B,S$2&amp;$P$1)</f>
        <v/>
      </c>
      <c r="T92" s="142">
        <f>SUMIFS(領用表!$L:$L,領用表!$E:$E,$B92,領用表!$B:$B,T$2&amp;$P$1)</f>
        <v/>
      </c>
      <c r="U92" s="142">
        <f>SUMIFS(領用表!$L:$L,領用表!$E:$E,$B92,領用表!$B:$B,U$2&amp;$P$1)</f>
        <v/>
      </c>
      <c r="V92" s="142">
        <f>SUMIFS(領用表!$L:$L,領用表!$E:$E,$B92,領用表!$B:$B,V$2&amp;$P$1)</f>
        <v/>
      </c>
      <c r="W92" s="142">
        <f>SUMIFS(領用表!$L:$L,領用表!$E:$E,$B92,領用表!$B:$B,W$2&amp;$P$1)</f>
        <v/>
      </c>
      <c r="X92" s="142">
        <f>SUMIFS(領用表!$L:$L,領用表!$E:$E,$B92,領用表!$B:$B,X$2&amp;$P$1)</f>
        <v/>
      </c>
      <c r="Y92" s="142">
        <f>SUMIFS(領用表!$L:$L,領用表!$E:$E,$B92,領用表!$B:$B,Y$2&amp;$P$1)</f>
        <v/>
      </c>
      <c r="Z92" s="142">
        <f>SUMIFS(領用表!$L:$L,領用表!$E:$E,$B92,領用表!$B:$B,Z$2&amp;$P$1)</f>
        <v/>
      </c>
      <c r="AA92" s="142">
        <f>SUMIFS(領用表!$L:$L,領用表!$E:$E,$B92,領用表!$B:$B,AA$2&amp;$P$1)</f>
        <v/>
      </c>
      <c r="AB92" s="142">
        <f>SUM(P92,Q92,R92,S92,T92,U92)</f>
        <v/>
      </c>
      <c r="AC92" s="142">
        <f>AVERAGE(P92,Q92,R92,S92,T92,U92)</f>
        <v/>
      </c>
      <c r="AD92" s="142">
        <f>SUMIF(Summary!B:B,B92,Summary!EC:EC)</f>
        <v/>
      </c>
      <c r="AE92" s="109" t="n"/>
      <c r="AF92" s="65" t="n"/>
      <c r="AG92" s="76" t="n"/>
      <c r="AH92" s="76" t="n"/>
      <c r="AI92" s="14" t="n"/>
      <c r="AJ92" s="14" t="n"/>
      <c r="AK92" s="14" t="n"/>
      <c r="AL92" s="14" t="n"/>
    </row>
    <row r="93" ht="16.5" customHeight="1" s="453">
      <c r="A93" s="27" t="inlineStr">
        <is>
          <t>TN1AA050032T</t>
        </is>
      </c>
      <c r="B93" s="14" t="e">
        <v>#N/A</v>
      </c>
      <c r="C93" s="136" t="inlineStr">
        <is>
          <t>試用-優菌防護安瓶精華 50ml</t>
        </is>
      </c>
      <c r="D93" s="77" t="n"/>
      <c r="E93" s="17" t="inlineStr">
        <is>
          <t>PCS</t>
        </is>
      </c>
      <c r="F93" s="18" t="n"/>
      <c r="G93" s="18" t="n"/>
      <c r="H93" s="20">
        <f>SUMIFS(領用表!$L:$L,領用表!$E:$E,$B93,領用表!$B:$B,H$2&amp;$P$1)</f>
        <v/>
      </c>
      <c r="I93" s="20">
        <f>SUMIFS(領用表!$L:$L,領用表!$E:$E,$B93,領用表!$B:$B,I$2&amp;$P$1)</f>
        <v/>
      </c>
      <c r="J93" s="20">
        <f>SUMIFS(領用表!$L:$L,領用表!$E:$E,$B93,領用表!$B:$B,J$2&amp;$P$1)</f>
        <v/>
      </c>
      <c r="K93" s="142">
        <f>SUMIFS(領用表!$L:$L,領用表!$E:$E,$B93,領用表!$B:$B,K$2&amp;$P$1)</f>
        <v/>
      </c>
      <c r="L93" s="142">
        <f>SUMIFS(領用表!$L:$L,領用表!$E:$E,$B93,領用表!$B:$B,L$2&amp;$P$1)</f>
        <v/>
      </c>
      <c r="M93" s="142">
        <f>SUMIFS(領用表!$L:$L,領用表!$E:$E,$B93,領用表!$B:$B,M$2&amp;$P$1)</f>
        <v/>
      </c>
      <c r="N93" s="23">
        <f>SUM(,H93,I93,J93,K93,L93,M93)</f>
        <v/>
      </c>
      <c r="O93" s="23">
        <f>AVERAGE(,H93,I93,J93,K93,L93,M93)</f>
        <v/>
      </c>
      <c r="P93" s="142">
        <f>SUMIFS(領用表!$L:$L,領用表!$E:$E,$B93,領用表!$B:$B,P$2&amp;$P$1)</f>
        <v/>
      </c>
      <c r="Q93" s="142">
        <f>SUMIFS(領用表!$L:$L,領用表!$E:$E,$B93,領用表!$B:$B,Q$2&amp;$P$1)</f>
        <v/>
      </c>
      <c r="R93" s="142">
        <f>SUMIFS(領用表!$L:$L,領用表!$E:$E,$B93,領用表!$B:$B,R$2&amp;$P$1)</f>
        <v/>
      </c>
      <c r="S93" s="142">
        <f>SUMIFS(領用表!$L:$L,領用表!$E:$E,$B93,領用表!$B:$B,S$2&amp;$P$1)</f>
        <v/>
      </c>
      <c r="T93" s="142">
        <f>SUMIFS(領用表!$L:$L,領用表!$E:$E,$B93,領用表!$B:$B,T$2&amp;$P$1)</f>
        <v/>
      </c>
      <c r="U93" s="142">
        <f>SUMIFS(領用表!$L:$L,領用表!$E:$E,$B93,領用表!$B:$B,U$2&amp;$P$1)</f>
        <v/>
      </c>
      <c r="V93" s="142">
        <f>SUMIFS(領用表!$L:$L,領用表!$E:$E,$B93,領用表!$B:$B,V$2&amp;$P$1)</f>
        <v/>
      </c>
      <c r="W93" s="142">
        <f>SUMIFS(領用表!$L:$L,領用表!$E:$E,$B93,領用表!$B:$B,W$2&amp;$P$1)</f>
        <v/>
      </c>
      <c r="X93" s="142">
        <f>SUMIFS(領用表!$L:$L,領用表!$E:$E,$B93,領用表!$B:$B,X$2&amp;$P$1)</f>
        <v/>
      </c>
      <c r="Y93" s="142">
        <f>SUMIFS(領用表!$L:$L,領用表!$E:$E,$B93,領用表!$B:$B,Y$2&amp;$P$1)</f>
        <v/>
      </c>
      <c r="Z93" s="142">
        <f>SUMIFS(領用表!$L:$L,領用表!$E:$E,$B93,領用表!$B:$B,Z$2&amp;$P$1)</f>
        <v/>
      </c>
      <c r="AA93" s="142">
        <f>SUMIFS(領用表!$L:$L,領用表!$E:$E,$B93,領用表!$B:$B,AA$2&amp;$P$1)</f>
        <v/>
      </c>
      <c r="AB93" s="142">
        <f>SUM(P93,Q93,R93,S93,T93,U93)</f>
        <v/>
      </c>
      <c r="AC93" s="142">
        <f>AVERAGE(P93,Q93,R93,S93,T93,U93)</f>
        <v/>
      </c>
      <c r="AD93" s="142">
        <f>SUMIF(Summary!B:B,B93,Summary!EC:EC)</f>
        <v/>
      </c>
      <c r="AE93" s="109" t="n"/>
      <c r="AF93" s="65" t="n"/>
      <c r="AG93" s="76" t="n"/>
      <c r="AH93" s="76" t="n"/>
      <c r="AI93" s="27" t="n"/>
      <c r="AJ93" s="27" t="n"/>
      <c r="AK93" s="14" t="n"/>
      <c r="AL93" s="14" t="n"/>
    </row>
    <row r="94" ht="16.5" customHeight="1" s="453">
      <c r="A94" s="27" t="inlineStr">
        <is>
          <t>TN1AA050029T</t>
        </is>
      </c>
      <c r="B94" s="14" t="n">
        <v>6050007</v>
      </c>
      <c r="C94" s="136" t="inlineStr">
        <is>
          <t>試用-冰原天神草彈力超導精華 50mL</t>
        </is>
      </c>
      <c r="D94" s="77" t="n"/>
      <c r="E94" s="17" t="inlineStr">
        <is>
          <t>PCS</t>
        </is>
      </c>
      <c r="F94" s="18" t="n"/>
      <c r="G94" s="18" t="n"/>
      <c r="H94" s="20">
        <f>SUMIFS(領用表!$L:$L,領用表!$E:$E,$B94,領用表!$B:$B,H$2&amp;$P$1)</f>
        <v/>
      </c>
      <c r="I94" s="20">
        <f>SUMIFS(領用表!$L:$L,領用表!$E:$E,$B94,領用表!$B:$B,I$2&amp;$P$1)</f>
        <v/>
      </c>
      <c r="J94" s="20">
        <f>SUMIFS(領用表!$L:$L,領用表!$E:$E,$B94,領用表!$B:$B,J$2&amp;$P$1)</f>
        <v/>
      </c>
      <c r="K94" s="142">
        <f>SUMIFS(領用表!$L:$L,領用表!$E:$E,$B94,領用表!$B:$B,K$2&amp;$P$1)</f>
        <v/>
      </c>
      <c r="L94" s="142">
        <f>SUMIFS(領用表!$L:$L,領用表!$E:$E,$B94,領用表!$B:$B,L$2&amp;$P$1)</f>
        <v/>
      </c>
      <c r="M94" s="142">
        <f>SUMIFS(領用表!$L:$L,領用表!$E:$E,$B94,領用表!$B:$B,M$2&amp;$P$1)</f>
        <v/>
      </c>
      <c r="N94" s="23">
        <f>SUM(,H94,I94,J94,K94,L94,M94)</f>
        <v/>
      </c>
      <c r="O94" s="23">
        <f>AVERAGE(,H94,I94,J94,K94,L94,M94)</f>
        <v/>
      </c>
      <c r="P94" s="142">
        <f>SUMIFS(領用表!$L:$L,領用表!$E:$E,$B94,領用表!$B:$B,P$2&amp;$P$1)</f>
        <v/>
      </c>
      <c r="Q94" s="142">
        <f>SUMIFS(領用表!$L:$L,領用表!$E:$E,$B94,領用表!$B:$B,Q$2&amp;$P$1)</f>
        <v/>
      </c>
      <c r="R94" s="142">
        <f>SUMIFS(領用表!$L:$L,領用表!$E:$E,$B94,領用表!$B:$B,R$2&amp;$P$1)</f>
        <v/>
      </c>
      <c r="S94" s="142">
        <f>SUMIFS(領用表!$L:$L,領用表!$E:$E,$B94,領用表!$B:$B,S$2&amp;$P$1)</f>
        <v/>
      </c>
      <c r="T94" s="142">
        <f>SUMIFS(領用表!$L:$L,領用表!$E:$E,$B94,領用表!$B:$B,T$2&amp;$P$1)</f>
        <v/>
      </c>
      <c r="U94" s="142" t="n"/>
      <c r="V94" s="142">
        <f>SUMIFS(領用表!$L:$L,領用表!$E:$E,$B94,領用表!$B:$B,V$2&amp;$P$1)</f>
        <v/>
      </c>
      <c r="W94" s="142">
        <f>SUMIFS(領用表!$L:$L,領用表!$E:$E,$B94,領用表!$B:$B,W$2&amp;$P$1)</f>
        <v/>
      </c>
      <c r="X94" s="142">
        <f>SUMIFS(領用表!$L:$L,領用表!$E:$E,$B94,領用表!$B:$B,X$2&amp;$P$1)</f>
        <v/>
      </c>
      <c r="Y94" s="142">
        <f>SUMIFS(領用表!$L:$L,領用表!$E:$E,$B94,領用表!$B:$B,Y$2&amp;$P$1)</f>
        <v/>
      </c>
      <c r="Z94" s="142">
        <f>SUMIFS(領用表!$L:$L,領用表!$E:$E,$B94,領用表!$B:$B,Z$2&amp;$P$1)</f>
        <v/>
      </c>
      <c r="AA94" s="142">
        <f>SUMIFS(領用表!$L:$L,領用表!$E:$E,$B94,領用表!$B:$B,AA$2&amp;$P$1)</f>
        <v/>
      </c>
      <c r="AB94" s="142">
        <f>SUM(P94,Q94,R94,S94,T94,U94)</f>
        <v/>
      </c>
      <c r="AC94" s="142">
        <f>AVERAGE(P94,Q94,R94,S94,T94,U94)</f>
        <v/>
      </c>
      <c r="AD94" s="142">
        <f>SUMIF(Summary!B:B,B94,Summary!EC:EC)</f>
        <v/>
      </c>
      <c r="AE94" s="109" t="n"/>
      <c r="AF94" s="65" t="n"/>
      <c r="AG94" s="76" t="n"/>
      <c r="AH94" s="76" t="n"/>
      <c r="AI94" s="27" t="n"/>
      <c r="AJ94" s="27" t="n"/>
      <c r="AK94" s="14" t="n"/>
      <c r="AL94" s="14" t="n"/>
    </row>
    <row r="95" ht="15.75" customHeight="1" s="453">
      <c r="A95" s="27" t="inlineStr">
        <is>
          <t>TN1AA200006T</t>
        </is>
      </c>
      <c r="B95" s="14" t="n">
        <v>6230002</v>
      </c>
      <c r="C95" s="136" t="inlineStr">
        <is>
          <t>試用-無瑕清透防護霜 30mL(潤色)</t>
        </is>
      </c>
      <c r="D95" s="77" t="n"/>
      <c r="E95" s="17" t="inlineStr">
        <is>
          <t>PCS</t>
        </is>
      </c>
      <c r="F95" s="18" t="n"/>
      <c r="G95" s="18" t="n"/>
      <c r="H95" s="20">
        <f>SUMIFS(領用表!$L:$L,領用表!$E:$E,$B95,領用表!$B:$B,H$2&amp;$P$1)</f>
        <v/>
      </c>
      <c r="I95" s="20">
        <f>SUMIFS(領用表!$L:$L,領用表!$E:$E,$B95,領用表!$B:$B,I$2&amp;$P$1)</f>
        <v/>
      </c>
      <c r="J95" s="20">
        <f>SUMIFS(領用表!$L:$L,領用表!$E:$E,$B95,領用表!$B:$B,J$2&amp;$P$1)</f>
        <v/>
      </c>
      <c r="K95" s="142">
        <f>SUMIFS(領用表!$L:$L,領用表!$E:$E,$B95,領用表!$B:$B,K$2&amp;$P$1)</f>
        <v/>
      </c>
      <c r="L95" s="142">
        <f>SUMIFS(領用表!$L:$L,領用表!$E:$E,$B95,領用表!$B:$B,L$2&amp;$P$1)</f>
        <v/>
      </c>
      <c r="M95" s="142">
        <f>SUMIFS(領用表!$L:$L,領用表!$E:$E,$B95,領用表!$B:$B,M$2&amp;$P$1)</f>
        <v/>
      </c>
      <c r="N95" s="23">
        <f>SUM(,H95,I95,J95,K95,L95,M95)</f>
        <v/>
      </c>
      <c r="O95" s="23">
        <f>AVERAGE(,H95,I95,J95,K95,L95,M95)</f>
        <v/>
      </c>
      <c r="P95" s="142">
        <f>SUMIFS(領用表!$L:$L,領用表!$E:$E,$B95,領用表!$B:$B,P$2&amp;$P$1)</f>
        <v/>
      </c>
      <c r="Q95" s="142">
        <f>SUMIFS(領用表!$L:$L,領用表!$E:$E,$B95,領用表!$B:$B,Q$2&amp;$P$1)</f>
        <v/>
      </c>
      <c r="R95" s="142">
        <f>SUMIFS(領用表!$L:$L,領用表!$E:$E,$B95,領用表!$B:$B,R$2&amp;$P$1)</f>
        <v/>
      </c>
      <c r="S95" s="142">
        <f>SUMIFS(領用表!$L:$L,領用表!$E:$E,$B95,領用表!$B:$B,S$2&amp;$P$1)</f>
        <v/>
      </c>
      <c r="T95" s="142">
        <f>SUMIFS(領用表!$L:$L,領用表!$E:$E,$B95,領用表!$B:$B,T$2&amp;$P$1)</f>
        <v/>
      </c>
      <c r="U95" s="142" t="n"/>
      <c r="V95" s="142">
        <f>SUMIFS(領用表!$L:$L,領用表!$E:$E,$B95,領用表!$B:$B,V$2&amp;$P$1)</f>
        <v/>
      </c>
      <c r="W95" s="142">
        <f>SUMIFS(領用表!$L:$L,領用表!$E:$E,$B95,領用表!$B:$B,W$2&amp;$P$1)</f>
        <v/>
      </c>
      <c r="X95" s="142">
        <f>SUMIFS(領用表!$L:$L,領用表!$E:$E,$B95,領用表!$B:$B,X$2&amp;$P$1)</f>
        <v/>
      </c>
      <c r="Y95" s="142">
        <f>SUMIFS(領用表!$L:$L,領用表!$E:$E,$B95,領用表!$B:$B,Y$2&amp;$P$1)</f>
        <v/>
      </c>
      <c r="Z95" s="142">
        <f>SUMIFS(領用表!$L:$L,領用表!$E:$E,$B95,領用表!$B:$B,Z$2&amp;$P$1)</f>
        <v/>
      </c>
      <c r="AA95" s="142">
        <f>SUMIFS(領用表!$L:$L,領用表!$E:$E,$B95,領用表!$B:$B,AA$2&amp;$P$1)</f>
        <v/>
      </c>
      <c r="AB95" s="142">
        <f>SUM(P95,Q95,R95,S95,T95,U95)</f>
        <v/>
      </c>
      <c r="AC95" s="142">
        <f>AVERAGE(P95,Q95,R95,S95,T95,U95)</f>
        <v/>
      </c>
      <c r="AD95" s="142">
        <f>SUMIF(Summary!B:B,B95,Summary!EC:EC)</f>
        <v/>
      </c>
      <c r="AE95" s="109" t="n"/>
      <c r="AF95" s="65" t="n"/>
      <c r="AG95" s="76" t="n"/>
      <c r="AH95" s="76" t="n"/>
      <c r="AI95" s="27" t="n"/>
      <c r="AJ95" s="27" t="n"/>
      <c r="AK95" s="14" t="n"/>
      <c r="AL95" s="14" t="n"/>
    </row>
    <row r="96" hidden="1" ht="15.75" customHeight="1" s="453">
      <c r="A96" s="27" t="inlineStr">
        <is>
          <t>TN1AA020004T</t>
        </is>
      </c>
      <c r="B96" s="14" t="e">
        <v>#N/A</v>
      </c>
      <c r="C96" s="136" t="inlineStr">
        <is>
          <t>試用-超微纖深層淨膚乳100ml</t>
        </is>
      </c>
      <c r="D96" s="77" t="n"/>
      <c r="E96" s="17" t="inlineStr">
        <is>
          <t>PCS</t>
        </is>
      </c>
      <c r="F96" s="18" t="n"/>
      <c r="G96" s="18" t="n"/>
      <c r="H96" s="20">
        <f>SUMIFS(領用表!$L:$L,領用表!$E:$E,$B96,領用表!$B:$B,H$2&amp;$P$1)</f>
        <v/>
      </c>
      <c r="I96" s="20">
        <f>SUMIFS(領用表!$L:$L,領用表!$E:$E,$B96,領用表!$B:$B,I$2&amp;$P$1)</f>
        <v/>
      </c>
      <c r="J96" s="20">
        <f>SUMIFS(領用表!$L:$L,領用表!$E:$E,$B96,領用表!$B:$B,J$2&amp;$P$1)</f>
        <v/>
      </c>
      <c r="K96" s="142">
        <f>SUMIFS(領用表!$L:$L,領用表!$E:$E,$B96,領用表!$B:$B,K$2&amp;$P$1)</f>
        <v/>
      </c>
      <c r="L96" s="142">
        <f>SUMIFS(領用表!$L:$L,領用表!$E:$E,$B96,領用表!$B:$B,L$2&amp;$P$1)</f>
        <v/>
      </c>
      <c r="M96" s="142">
        <f>SUMIFS(領用表!$L:$L,領用表!$E:$E,$B96,領用表!$B:$B,M$2&amp;$P$1)</f>
        <v/>
      </c>
      <c r="N96" s="23">
        <f>SUM(,H96,I96,J96,K96,L96,M96)</f>
        <v/>
      </c>
      <c r="O96" s="23">
        <f>AVERAGE(,H96,I96,J96,K96,L96,M96)</f>
        <v/>
      </c>
      <c r="P96" s="142">
        <f>SUMIFS(領用表!$L:$L,領用表!$E:$E,$B96,領用表!$B:$B,P$2&amp;$P$1)</f>
        <v/>
      </c>
      <c r="Q96" s="142">
        <f>SUMIFS(領用表!$L:$L,領用表!$E:$E,$B96,領用表!$B:$B,Q$2&amp;$P$1)</f>
        <v/>
      </c>
      <c r="R96" s="142">
        <f>SUMIFS(領用表!$L:$L,領用表!$E:$E,$B96,領用表!$B:$B,R$2&amp;$P$1)</f>
        <v/>
      </c>
      <c r="S96" s="142">
        <f>SUMIFS(領用表!$L:$L,領用表!$E:$E,$B96,領用表!$B:$B,S$2&amp;$P$1)</f>
        <v/>
      </c>
      <c r="T96" s="142">
        <f>SUMIFS(領用表!$L:$L,領用表!$E:$E,$B96,領用表!$B:$B,T$2&amp;$P$1)</f>
        <v/>
      </c>
      <c r="U96" s="142">
        <f>SUMIFS(領用表!$L:$L,領用表!$E:$E,$B96,領用表!$B:$B,U$2&amp;$P$1)</f>
        <v/>
      </c>
      <c r="V96" s="142">
        <f>SUMIFS(領用表!$L:$L,領用表!$E:$E,$B96,領用表!$B:$B,V$2&amp;$P$1)</f>
        <v/>
      </c>
      <c r="W96" s="142">
        <f>SUMIFS(領用表!$L:$L,領用表!$E:$E,$B96,領用表!$B:$B,W$2&amp;$P$1)</f>
        <v/>
      </c>
      <c r="X96" s="142">
        <f>SUMIFS(領用表!$L:$L,領用表!$E:$E,$B96,領用表!$B:$B,X$2&amp;$P$1)</f>
        <v/>
      </c>
      <c r="Y96" s="142">
        <f>SUMIFS(領用表!$L:$L,領用表!$E:$E,$B96,領用表!$B:$B,Y$2&amp;$P$1)</f>
        <v/>
      </c>
      <c r="Z96" s="142">
        <f>SUMIFS(領用表!$L:$L,領用表!$E:$E,$B96,領用表!$B:$B,Z$2&amp;$P$1)</f>
        <v/>
      </c>
      <c r="AA96" s="142">
        <f>SUMIFS(領用表!$L:$L,領用表!$E:$E,$B96,領用表!$B:$B,AA$2&amp;$P$1)</f>
        <v/>
      </c>
      <c r="AB96" s="142">
        <f>SUM(P96,Q96,R96,S96,T96,U96)</f>
        <v/>
      </c>
      <c r="AC96" s="142">
        <f>AVERAGE(P96,Q96,R96,S96,T96,U96)</f>
        <v/>
      </c>
      <c r="AD96" s="142">
        <f>SUMIF(Summary!B:B,B96,Summary!EC:EC)</f>
        <v/>
      </c>
      <c r="AE96" s="109" t="n"/>
      <c r="AF96" s="65" t="n"/>
      <c r="AG96" s="65" t="n"/>
      <c r="AH96" s="65" t="n"/>
      <c r="AI96" s="27" t="n"/>
      <c r="AJ96" s="27" t="n"/>
      <c r="AK96" s="14" t="n"/>
      <c r="AL96" s="14" t="n"/>
    </row>
    <row r="97" ht="15.75" customHeight="1" s="453">
      <c r="A97" s="27" t="inlineStr">
        <is>
          <t>FN1AA060003T</t>
        </is>
      </c>
      <c r="B97" s="14" t="n">
        <v>6060002</v>
      </c>
      <c r="C97" s="136" t="inlineStr">
        <is>
          <t>試用包-金采賦活保濕精華霜 2mL(尖嘴單劑包)</t>
        </is>
      </c>
      <c r="D97" s="77" t="n"/>
      <c r="E97" s="17" t="inlineStr">
        <is>
          <t>PCS</t>
        </is>
      </c>
      <c r="F97" s="18" t="n"/>
      <c r="G97" s="18" t="n"/>
      <c r="H97" s="20">
        <f>SUMIFS(領用表!$L:$L,領用表!$E:$E,$B97,領用表!$B:$B,H$2&amp;$P$1)</f>
        <v/>
      </c>
      <c r="I97" s="20">
        <f>SUMIFS(領用表!$L:$L,領用表!$E:$E,$B97,領用表!$B:$B,I$2&amp;$P$1)</f>
        <v/>
      </c>
      <c r="J97" s="20">
        <f>SUMIFS(領用表!$L:$L,領用表!$E:$E,$B97,領用表!$B:$B,J$2&amp;$P$1)</f>
        <v/>
      </c>
      <c r="K97" s="142">
        <f>SUMIFS(領用表!$L:$L,領用表!$E:$E,$B97,領用表!$B:$B,K$2&amp;$P$1)</f>
        <v/>
      </c>
      <c r="L97" s="142">
        <f>SUMIFS(領用表!$L:$L,領用表!$E:$E,$B97,領用表!$B:$B,L$2&amp;$P$1)</f>
        <v/>
      </c>
      <c r="M97" s="142">
        <f>SUMIFS(領用表!$L:$L,領用表!$E:$E,$B97,領用表!$B:$B,M$2&amp;$P$1)</f>
        <v/>
      </c>
      <c r="N97" s="23">
        <f>SUM(,H97,I97,J97,K97,L97,M97)</f>
        <v/>
      </c>
      <c r="O97" s="23">
        <f>AVERAGE(,H97,I97,J97,K97,L97,M97)</f>
        <v/>
      </c>
      <c r="P97" s="142">
        <f>SUMIFS(領用表!$L:$L,領用表!$E:$E,$B97,領用表!$B:$B,P$2&amp;$P$1)</f>
        <v/>
      </c>
      <c r="Q97" s="142">
        <f>SUMIFS(領用表!$L:$L,領用表!$E:$E,$B97,領用表!$B:$B,Q$2&amp;$P$1)</f>
        <v/>
      </c>
      <c r="R97" s="142">
        <f>SUMIFS(領用表!$L:$L,領用表!$E:$E,$B97,領用表!$B:$B,R$2&amp;$P$1)</f>
        <v/>
      </c>
      <c r="S97" s="142">
        <f>SUMIFS(領用表!$L:$L,領用表!$E:$E,$B97,領用表!$B:$B,S$2&amp;$P$1)</f>
        <v/>
      </c>
      <c r="T97" s="142">
        <f>SUMIFS(領用表!$L:$L,領用表!$E:$E,$B97,領用表!$B:$B,T$2&amp;$P$1)</f>
        <v/>
      </c>
      <c r="U97" s="142" t="n"/>
      <c r="V97" s="142">
        <f>SUMIFS(領用表!$L:$L,領用表!$E:$E,$B97,領用表!$B:$B,V$2&amp;$P$1)</f>
        <v/>
      </c>
      <c r="W97" s="142">
        <f>SUMIFS(領用表!$L:$L,領用表!$E:$E,$B97,領用表!$B:$B,W$2&amp;$P$1)</f>
        <v/>
      </c>
      <c r="X97" s="142">
        <f>SUMIFS(領用表!$L:$L,領用表!$E:$E,$B97,領用表!$B:$B,X$2&amp;$P$1)</f>
        <v/>
      </c>
      <c r="Y97" s="142">
        <f>SUMIFS(領用表!$L:$L,領用表!$E:$E,$B97,領用表!$B:$B,Y$2&amp;$P$1)</f>
        <v/>
      </c>
      <c r="Z97" s="142">
        <f>SUMIFS(領用表!$L:$L,領用表!$E:$E,$B97,領用表!$B:$B,Z$2&amp;$P$1)</f>
        <v/>
      </c>
      <c r="AA97" s="142">
        <f>SUMIFS(領用表!$L:$L,領用表!$E:$E,$B97,領用表!$B:$B,AA$2&amp;$P$1)</f>
        <v/>
      </c>
      <c r="AB97" s="142">
        <f>SUM(P97,Q97,R97,S97,T97,U97)</f>
        <v/>
      </c>
      <c r="AC97" s="142">
        <f>AVERAGE(P97,Q97,R97,S97,T97,U97)</f>
        <v/>
      </c>
      <c r="AD97" s="142">
        <f>SUMIF(Summary!B:B,B97,Summary!EC:EC)</f>
        <v/>
      </c>
      <c r="AE97" s="109" t="n"/>
      <c r="AF97" s="65" t="n"/>
      <c r="AG97" s="65" t="n"/>
      <c r="AH97" s="65" t="n"/>
      <c r="AI97" s="27" t="n"/>
      <c r="AJ97" s="27" t="n"/>
      <c r="AK97" s="14" t="n"/>
      <c r="AL97" s="14" t="n"/>
    </row>
    <row r="98" ht="15.75" customHeight="1" s="453">
      <c r="A98" s="27" t="inlineStr">
        <is>
          <t>FN1AA200006T</t>
        </is>
      </c>
      <c r="B98" s="14" t="n">
        <v>6230001</v>
      </c>
      <c r="C98" s="136" t="inlineStr">
        <is>
          <t>試用包-無瑕清透防護霜 2ml(尖嘴單劑包)</t>
        </is>
      </c>
      <c r="D98" s="77" t="n"/>
      <c r="E98" s="17" t="inlineStr">
        <is>
          <t>PCS</t>
        </is>
      </c>
      <c r="F98" s="18" t="n"/>
      <c r="G98" s="18" t="n"/>
      <c r="H98" s="20">
        <f>SUMIFS(領用表!$L:$L,領用表!$E:$E,$B98,領用表!$B:$B,H$2&amp;$P$1)</f>
        <v/>
      </c>
      <c r="I98" s="20">
        <f>SUMIFS(領用表!$L:$L,領用表!$E:$E,$B98,領用表!$B:$B,I$2&amp;$P$1)</f>
        <v/>
      </c>
      <c r="J98" s="20">
        <f>SUMIFS(領用表!$L:$L,領用表!$E:$E,$B98,領用表!$B:$B,J$2&amp;$P$1)</f>
        <v/>
      </c>
      <c r="K98" s="142">
        <f>SUMIFS(領用表!$L:$L,領用表!$E:$E,$B98,領用表!$B:$B,K$2&amp;$P$1)</f>
        <v/>
      </c>
      <c r="L98" s="142">
        <f>SUMIFS(領用表!$L:$L,領用表!$E:$E,$B98,領用表!$B:$B,L$2&amp;$P$1)</f>
        <v/>
      </c>
      <c r="M98" s="142">
        <f>SUMIFS(領用表!$L:$L,領用表!$E:$E,$B98,領用表!$B:$B,M$2&amp;$P$1)</f>
        <v/>
      </c>
      <c r="N98" s="23">
        <f>SUM(,H98,I98,J98,K98,L98,M98)</f>
        <v/>
      </c>
      <c r="O98" s="23">
        <f>AVERAGE(,H98,I98,J98,K98,L98,M98)</f>
        <v/>
      </c>
      <c r="P98" s="142">
        <f>SUMIFS(領用表!$L:$L,領用表!$E:$E,$B98,領用表!$B:$B,P$2&amp;$P$1)</f>
        <v/>
      </c>
      <c r="Q98" s="142">
        <f>SUMIFS(領用表!$L:$L,領用表!$E:$E,$B98,領用表!$B:$B,Q$2&amp;$P$1)</f>
        <v/>
      </c>
      <c r="R98" s="142">
        <f>SUMIFS(領用表!$L:$L,領用表!$E:$E,$B98,領用表!$B:$B,R$2&amp;$P$1)</f>
        <v/>
      </c>
      <c r="S98" s="142">
        <f>SUMIFS(領用表!$L:$L,領用表!$E:$E,$B98,領用表!$B:$B,S$2&amp;$P$1)</f>
        <v/>
      </c>
      <c r="T98" s="142">
        <f>SUMIFS(領用表!$L:$L,領用表!$E:$E,$B98,領用表!$B:$B,T$2&amp;$P$1)</f>
        <v/>
      </c>
      <c r="U98" s="142" t="n"/>
      <c r="V98" s="142">
        <f>SUMIFS(領用表!$L:$L,領用表!$E:$E,$B98,領用表!$B:$B,V$2&amp;$P$1)</f>
        <v/>
      </c>
      <c r="W98" s="142">
        <f>SUMIFS(領用表!$L:$L,領用表!$E:$E,$B98,領用表!$B:$B,W$2&amp;$P$1)</f>
        <v/>
      </c>
      <c r="X98" s="142">
        <f>SUMIFS(領用表!$L:$L,領用表!$E:$E,$B98,領用表!$B:$B,X$2&amp;$P$1)</f>
        <v/>
      </c>
      <c r="Y98" s="142">
        <f>SUMIFS(領用表!$L:$L,領用表!$E:$E,$B98,領用表!$B:$B,Y$2&amp;$P$1)</f>
        <v/>
      </c>
      <c r="Z98" s="142">
        <f>SUMIFS(領用表!$L:$L,領用表!$E:$E,$B98,領用表!$B:$B,Z$2&amp;$P$1)</f>
        <v/>
      </c>
      <c r="AA98" s="142">
        <f>SUMIFS(領用表!$L:$L,領用表!$E:$E,$B98,領用表!$B:$B,AA$2&amp;$P$1)</f>
        <v/>
      </c>
      <c r="AB98" s="142">
        <f>SUM(P98,Q98,R98,S98,T98,U98)</f>
        <v/>
      </c>
      <c r="AC98" s="142">
        <f>AVERAGE(P98,Q98,R98,S98,T98,U98)</f>
        <v/>
      </c>
      <c r="AD98" s="142">
        <f>SUMIF(Summary!B:B,B98,Summary!EC:EC)</f>
        <v/>
      </c>
      <c r="AE98" s="109" t="n"/>
      <c r="AF98" s="65" t="n"/>
      <c r="AG98" s="65" t="n"/>
      <c r="AH98" s="65" t="n"/>
    </row>
    <row r="99" ht="15.75" customHeight="1" s="453">
      <c r="A99" s="27" t="inlineStr">
        <is>
          <t>TN1AA070012T</t>
        </is>
      </c>
      <c r="B99" s="14" t="n">
        <v>6070001</v>
      </c>
      <c r="C99" s="136" t="inlineStr">
        <is>
          <t>試用-365抗皺緊緻精質乳霜50ml(2016年版)</t>
        </is>
      </c>
      <c r="D99" s="77" t="n"/>
      <c r="E99" s="17" t="inlineStr">
        <is>
          <t>PCS</t>
        </is>
      </c>
      <c r="F99" s="18" t="n"/>
      <c r="G99" s="18" t="n"/>
      <c r="H99" s="20">
        <f>SUMIFS(領用表!$L:$L,領用表!$E:$E,$B99,領用表!$B:$B,H$2&amp;$P$1)</f>
        <v/>
      </c>
      <c r="I99" s="20">
        <f>SUMIFS(領用表!$L:$L,領用表!$E:$E,$B99,領用表!$B:$B,I$2&amp;$P$1)</f>
        <v/>
      </c>
      <c r="J99" s="20">
        <f>SUMIFS(領用表!$L:$L,領用表!$E:$E,$B99,領用表!$B:$B,J$2&amp;$P$1)</f>
        <v/>
      </c>
      <c r="K99" s="142">
        <f>SUMIFS(領用表!$L:$L,領用表!$E:$E,$B99,領用表!$B:$B,K$2&amp;$P$1)</f>
        <v/>
      </c>
      <c r="L99" s="142">
        <f>SUMIFS(領用表!$L:$L,領用表!$E:$E,$B99,領用表!$B:$B,L$2&amp;$P$1)</f>
        <v/>
      </c>
      <c r="M99" s="142">
        <f>SUMIFS(領用表!$L:$L,領用表!$E:$E,$B99,領用表!$B:$B,M$2&amp;$P$1)</f>
        <v/>
      </c>
      <c r="N99" s="23">
        <f>SUM(,H99,I99,J99,K99,L99,M99)</f>
        <v/>
      </c>
      <c r="O99" s="23">
        <f>AVERAGE(,H99,I99,J99,K99,L99,M99)</f>
        <v/>
      </c>
      <c r="P99" s="142">
        <f>SUMIFS(領用表!$L:$L,領用表!$E:$E,$B99,領用表!$B:$B,P$2&amp;$P$1)</f>
        <v/>
      </c>
      <c r="Q99" s="142">
        <f>SUMIFS(領用表!$L:$L,領用表!$E:$E,$B99,領用表!$B:$B,Q$2&amp;$P$1)</f>
        <v/>
      </c>
      <c r="R99" s="142">
        <f>SUMIFS(領用表!$L:$L,領用表!$E:$E,$B99,領用表!$B:$B,R$2&amp;$P$1)</f>
        <v/>
      </c>
      <c r="S99" s="142">
        <f>SUMIFS(領用表!$L:$L,領用表!$E:$E,$B99,領用表!$B:$B,S$2&amp;$P$1)</f>
        <v/>
      </c>
      <c r="T99" s="142">
        <f>SUMIFS(領用表!$L:$L,領用表!$E:$E,$B99,領用表!$B:$B,T$2&amp;$P$1)</f>
        <v/>
      </c>
      <c r="U99" s="142" t="n"/>
      <c r="V99" s="142">
        <f>SUMIFS(領用表!$L:$L,領用表!$E:$E,$B99,領用表!$B:$B,V$2&amp;$P$1)</f>
        <v/>
      </c>
      <c r="W99" s="142">
        <f>SUMIFS(領用表!$L:$L,領用表!$E:$E,$B99,領用表!$B:$B,W$2&amp;$P$1)</f>
        <v/>
      </c>
      <c r="X99" s="142">
        <f>SUMIFS(領用表!$L:$L,領用表!$E:$E,$B99,領用表!$B:$B,X$2&amp;$P$1)</f>
        <v/>
      </c>
      <c r="Y99" s="142">
        <f>SUMIFS(領用表!$L:$L,領用表!$E:$E,$B99,領用表!$B:$B,Y$2&amp;$P$1)</f>
        <v/>
      </c>
      <c r="Z99" s="142">
        <f>SUMIFS(領用表!$L:$L,領用表!$E:$E,$B99,領用表!$B:$B,Z$2&amp;$P$1)</f>
        <v/>
      </c>
      <c r="AA99" s="142">
        <f>SUMIFS(領用表!$L:$L,領用表!$E:$E,$B99,領用表!$B:$B,AA$2&amp;$P$1)</f>
        <v/>
      </c>
      <c r="AB99" s="142">
        <f>SUM(P99,Q99,R99,S99,T99,U99)</f>
        <v/>
      </c>
      <c r="AC99" s="142">
        <f>AVERAGE(P99,Q99,R99,S99,T99,U99)</f>
        <v/>
      </c>
      <c r="AD99" s="142">
        <f>SUMIF(Summary!B:B,B99,Summary!EC:EC)</f>
        <v/>
      </c>
      <c r="AE99" s="109" t="n"/>
      <c r="AF99" s="65" t="n"/>
      <c r="AG99" s="65" t="n"/>
      <c r="AH99" s="65" t="n"/>
    </row>
    <row r="100" hidden="1" ht="15.75" customHeight="1" s="453">
      <c r="A100" s="27" t="inlineStr">
        <is>
          <t>DL1GA000071T</t>
        </is>
      </c>
      <c r="B100" s="14" t="e">
        <v>#N/A</v>
      </c>
      <c r="C100" s="136" t="inlineStr">
        <is>
          <t>新纖有酵蔬果酵素飲50ml(15入)停產</t>
        </is>
      </c>
      <c r="D100" s="77" t="n"/>
      <c r="E100" s="17" t="inlineStr">
        <is>
          <t>PCS</t>
        </is>
      </c>
      <c r="F100" s="18" t="n"/>
      <c r="G100" s="18" t="n"/>
      <c r="H100" s="20">
        <f>SUMIFS(領用表!$L:$L,領用表!$E:$E,$B100,領用表!$B:$B,H$2&amp;$P$1)</f>
        <v/>
      </c>
      <c r="I100" s="20">
        <f>SUMIFS(領用表!$L:$L,領用表!$E:$E,$B100,領用表!$B:$B,I$2&amp;$P$1)</f>
        <v/>
      </c>
      <c r="J100" s="20">
        <f>SUMIFS(領用表!$L:$L,領用表!$E:$E,$B100,領用表!$B:$B,J$2&amp;$P$1)</f>
        <v/>
      </c>
      <c r="K100" s="142">
        <f>SUMIFS(領用表!$L:$L,領用表!$E:$E,$B100,領用表!$B:$B,K$2&amp;$P$1)</f>
        <v/>
      </c>
      <c r="L100" s="142">
        <f>SUMIFS(領用表!$L:$L,領用表!$E:$E,$B100,領用表!$B:$B,L$2&amp;$P$1)</f>
        <v/>
      </c>
      <c r="M100" s="142">
        <f>SUMIFS(領用表!$L:$L,領用表!$E:$E,$B100,領用表!$B:$B,M$2&amp;$P$1)</f>
        <v/>
      </c>
      <c r="N100" s="23">
        <f>SUM(,H100,I100,J100,K100,L100,M100)</f>
        <v/>
      </c>
      <c r="O100" s="23">
        <f>AVERAGE(,H100,I100,J100,K100,L100,M100)</f>
        <v/>
      </c>
      <c r="P100" s="142">
        <f>SUMIFS(領用表!$L:$L,領用表!$E:$E,$B100,領用表!$B:$B,P$2&amp;$P$1)</f>
        <v/>
      </c>
      <c r="Q100" s="142">
        <f>SUMIFS(領用表!$L:$L,領用表!$E:$E,$B100,領用表!$B:$B,Q$2&amp;$P$1)</f>
        <v/>
      </c>
      <c r="R100" s="142">
        <f>SUMIFS(領用表!$L:$L,領用表!$E:$E,$B100,領用表!$B:$B,R$2&amp;$P$1)</f>
        <v/>
      </c>
      <c r="S100" s="142">
        <f>SUMIFS(領用表!$L:$L,領用表!$E:$E,$B100,領用表!$B:$B,S$2&amp;$P$1)</f>
        <v/>
      </c>
      <c r="T100" s="142">
        <f>SUMIFS(領用表!$L:$L,領用表!$E:$E,$B100,領用表!$B:$B,T$2&amp;$P$1)</f>
        <v/>
      </c>
      <c r="U100" s="142">
        <f>SUMIFS(領用表!$L:$L,領用表!$E:$E,$B100,領用表!$B:$B,U$2&amp;$P$1)</f>
        <v/>
      </c>
      <c r="V100" s="142">
        <f>SUMIFS(領用表!$L:$L,領用表!$E:$E,$B100,領用表!$B:$B,V$2&amp;$P$1)</f>
        <v/>
      </c>
      <c r="W100" s="142">
        <f>SUMIFS(領用表!$L:$L,領用表!$E:$E,$B100,領用表!$B:$B,W$2&amp;$P$1)</f>
        <v/>
      </c>
      <c r="X100" s="142">
        <f>SUMIFS(領用表!$L:$L,領用表!$E:$E,$B100,領用表!$B:$B,X$2&amp;$P$1)</f>
        <v/>
      </c>
      <c r="Y100" s="142">
        <f>SUMIFS(領用表!$L:$L,領用表!$E:$E,$B100,領用表!$B:$B,Y$2&amp;$P$1)</f>
        <v/>
      </c>
      <c r="Z100" s="142">
        <f>SUMIFS(領用表!$L:$L,領用表!$E:$E,$B100,領用表!$B:$B,Z$2&amp;$P$1)</f>
        <v/>
      </c>
      <c r="AA100" s="142">
        <f>SUMIFS(領用表!$L:$L,領用表!$E:$E,$B100,領用表!$B:$B,AA$2&amp;$P$1)</f>
        <v/>
      </c>
      <c r="AB100" s="142">
        <f>SUM(P100,Q100,R100,S100,T100,U100)</f>
        <v/>
      </c>
      <c r="AC100" s="142">
        <f>AVERAGE(P100,Q100,R100,S100,T100,U100)</f>
        <v/>
      </c>
      <c r="AD100" s="142">
        <f>SUMIF(Summary!B:B,B100,Summary!EC:EC)</f>
        <v/>
      </c>
      <c r="AE100" s="109" t="n"/>
      <c r="AF100" s="65" t="n"/>
      <c r="AG100" s="65" t="n"/>
      <c r="AH100" s="65" t="n"/>
    </row>
    <row r="101" hidden="1" ht="15.75" customHeight="1" s="453">
      <c r="A101" s="27" t="inlineStr">
        <is>
          <t>DL1GA000066T</t>
        </is>
      </c>
      <c r="B101" s="14" t="e">
        <v>#N/A</v>
      </c>
      <c r="C101" s="136" t="inlineStr">
        <is>
          <t>青春機密膠原飲 60ml(10入)停產</t>
        </is>
      </c>
      <c r="D101" s="77" t="n"/>
      <c r="E101" s="17" t="inlineStr">
        <is>
          <t>PCS</t>
        </is>
      </c>
      <c r="F101" s="18" t="n"/>
      <c r="G101" s="18" t="n"/>
      <c r="H101" s="20">
        <f>SUMIFS(領用表!$L:$L,領用表!$E:$E,$B101,領用表!$B:$B,H$2&amp;$P$1)</f>
        <v/>
      </c>
      <c r="I101" s="20">
        <f>SUMIFS(領用表!$L:$L,領用表!$E:$E,$B101,領用表!$B:$B,I$2&amp;$P$1)</f>
        <v/>
      </c>
      <c r="J101" s="20">
        <f>SUMIFS(領用表!$L:$L,領用表!$E:$E,$B101,領用表!$B:$B,J$2&amp;$P$1)</f>
        <v/>
      </c>
      <c r="K101" s="142">
        <f>SUMIFS(領用表!$L:$L,領用表!$E:$E,$B101,領用表!$B:$B,K$2&amp;$P$1)</f>
        <v/>
      </c>
      <c r="L101" s="142">
        <f>SUMIFS(領用表!$L:$L,領用表!$E:$E,$B101,領用表!$B:$B,L$2&amp;$P$1)</f>
        <v/>
      </c>
      <c r="M101" s="142">
        <f>SUMIFS(領用表!$L:$L,領用表!$E:$E,$B101,領用表!$B:$B,M$2&amp;$P$1)</f>
        <v/>
      </c>
      <c r="N101" s="23">
        <f>SUM(,H101,I101,J101,K101,L101,M101)</f>
        <v/>
      </c>
      <c r="O101" s="23">
        <f>AVERAGE(,H101,I101,J101,K101,L101,M101)</f>
        <v/>
      </c>
      <c r="P101" s="142">
        <f>SUMIFS(領用表!$L:$L,領用表!$E:$E,$B101,領用表!$B:$B,P$2&amp;$P$1)</f>
        <v/>
      </c>
      <c r="Q101" s="142">
        <f>SUMIFS(領用表!$L:$L,領用表!$E:$E,$B101,領用表!$B:$B,Q$2&amp;$P$1)</f>
        <v/>
      </c>
      <c r="R101" s="142">
        <f>SUMIFS(領用表!$L:$L,領用表!$E:$E,$B101,領用表!$B:$B,R$2&amp;$P$1)</f>
        <v/>
      </c>
      <c r="S101" s="142">
        <f>SUMIFS(領用表!$L:$L,領用表!$E:$E,$B101,領用表!$B:$B,S$2&amp;$P$1)</f>
        <v/>
      </c>
      <c r="T101" s="142">
        <f>SUMIFS(領用表!$L:$L,領用表!$E:$E,$B101,領用表!$B:$B,T$2&amp;$P$1)</f>
        <v/>
      </c>
      <c r="U101" s="142">
        <f>SUMIFS(領用表!$L:$L,領用表!$E:$E,$B101,領用表!$B:$B,U$2&amp;$P$1)</f>
        <v/>
      </c>
      <c r="V101" s="142">
        <f>SUMIFS(領用表!$L:$L,領用表!$E:$E,$B101,領用表!$B:$B,V$2&amp;$P$1)</f>
        <v/>
      </c>
      <c r="W101" s="142">
        <f>SUMIFS(領用表!$L:$L,領用表!$E:$E,$B101,領用表!$B:$B,W$2&amp;$P$1)</f>
        <v/>
      </c>
      <c r="X101" s="142">
        <f>SUMIFS(領用表!$L:$L,領用表!$E:$E,$B101,領用表!$B:$B,X$2&amp;$P$1)</f>
        <v/>
      </c>
      <c r="Y101" s="142">
        <f>SUMIFS(領用表!$L:$L,領用表!$E:$E,$B101,領用表!$B:$B,Y$2&amp;$P$1)</f>
        <v/>
      </c>
      <c r="Z101" s="142">
        <f>SUMIFS(領用表!$L:$L,領用表!$E:$E,$B101,領用表!$B:$B,Z$2&amp;$P$1)</f>
        <v/>
      </c>
      <c r="AA101" s="142">
        <f>SUMIFS(領用表!$L:$L,領用表!$E:$E,$B101,領用表!$B:$B,AA$2&amp;$P$1)</f>
        <v/>
      </c>
      <c r="AB101" s="142">
        <f>SUM(P101,Q101,R101,S101,T101,U101)</f>
        <v/>
      </c>
      <c r="AC101" s="142">
        <f>AVERAGE(P101,Q101,R101,S101,T101,U101)</f>
        <v/>
      </c>
      <c r="AD101" s="142">
        <f>SUMIF(Summary!B:B,B101,Summary!EC:EC)</f>
        <v/>
      </c>
      <c r="AE101" s="109" t="n"/>
      <c r="AF101" s="65" t="n"/>
      <c r="AG101" s="65" t="n"/>
      <c r="AH101" s="65" t="n"/>
    </row>
    <row r="102" hidden="1" ht="15.75" customHeight="1" s="453">
      <c r="A102" s="27" t="inlineStr">
        <is>
          <t>DA1GD000017T</t>
        </is>
      </c>
      <c r="B102" s="14" t="e">
        <v>#N/A</v>
      </c>
      <c r="C102" s="136" t="inlineStr">
        <is>
          <t>R3 愛益菌 56盒/箱</t>
        </is>
      </c>
      <c r="D102" s="77" t="n"/>
      <c r="E102" s="17" t="inlineStr">
        <is>
          <t>PCS</t>
        </is>
      </c>
      <c r="F102" s="18" t="n"/>
      <c r="G102" s="18" t="n"/>
      <c r="H102" s="20">
        <f>SUMIFS(領用表!$L:$L,領用表!$E:$E,$B102,領用表!$B:$B,H$2&amp;$P$1)</f>
        <v/>
      </c>
      <c r="I102" s="20">
        <f>SUMIFS(領用表!$L:$L,領用表!$E:$E,$B102,領用表!$B:$B,I$2&amp;$P$1)</f>
        <v/>
      </c>
      <c r="J102" s="20">
        <f>SUMIFS(領用表!$L:$L,領用表!$E:$E,$B102,領用表!$B:$B,J$2&amp;$P$1)</f>
        <v/>
      </c>
      <c r="K102" s="142">
        <f>SUMIFS(領用表!$L:$L,領用表!$E:$E,$B102,領用表!$B:$B,K$2&amp;$P$1)</f>
        <v/>
      </c>
      <c r="L102" s="142">
        <f>SUMIFS(領用表!$L:$L,領用表!$E:$E,$B102,領用表!$B:$B,L$2&amp;$P$1)</f>
        <v/>
      </c>
      <c r="M102" s="142">
        <f>SUMIFS(領用表!$L:$L,領用表!$E:$E,$B102,領用表!$B:$B,M$2&amp;$P$1)</f>
        <v/>
      </c>
      <c r="N102" s="23">
        <f>SUM(,H102,I102,J102,K102,L102,M102)</f>
        <v/>
      </c>
      <c r="O102" s="23">
        <f>AVERAGE(,H102,I102,J102,K102,L102,M102)</f>
        <v/>
      </c>
      <c r="P102" s="142">
        <f>SUMIFS(領用表!$L:$L,領用表!$E:$E,$B102,領用表!$B:$B,P$2&amp;$P$1)</f>
        <v/>
      </c>
      <c r="Q102" s="142">
        <f>SUMIFS(領用表!$L:$L,領用表!$E:$E,$B102,領用表!$B:$B,Q$2&amp;$P$1)</f>
        <v/>
      </c>
      <c r="R102" s="142">
        <f>SUMIFS(領用表!$L:$L,領用表!$E:$E,$B102,領用表!$B:$B,R$2&amp;$P$1)</f>
        <v/>
      </c>
      <c r="S102" s="142">
        <f>SUMIFS(領用表!$L:$L,領用表!$E:$E,$B102,領用表!$B:$B,S$2&amp;$P$1)</f>
        <v/>
      </c>
      <c r="T102" s="142">
        <f>SUMIFS(領用表!$L:$L,領用表!$E:$E,$B102,領用表!$B:$B,T$2&amp;$P$1)</f>
        <v/>
      </c>
      <c r="U102" s="142">
        <f>SUMIFS(領用表!$L:$L,領用表!$E:$E,$B102,領用表!$B:$B,U$2&amp;$P$1)</f>
        <v/>
      </c>
      <c r="V102" s="142">
        <f>SUMIFS(領用表!$L:$L,領用表!$E:$E,$B102,領用表!$B:$B,V$2&amp;$P$1)</f>
        <v/>
      </c>
      <c r="W102" s="142">
        <f>SUMIFS(領用表!$L:$L,領用表!$E:$E,$B102,領用表!$B:$B,W$2&amp;$P$1)</f>
        <v/>
      </c>
      <c r="X102" s="142">
        <f>SUMIFS(領用表!$L:$L,領用表!$E:$E,$B102,領用表!$B:$B,X$2&amp;$P$1)</f>
        <v/>
      </c>
      <c r="Y102" s="142">
        <f>SUMIFS(領用表!$L:$L,領用表!$E:$E,$B102,領用表!$B:$B,Y$2&amp;$P$1)</f>
        <v/>
      </c>
      <c r="Z102" s="142">
        <f>SUMIFS(領用表!$L:$L,領用表!$E:$E,$B102,領用表!$B:$B,Z$2&amp;$P$1)</f>
        <v/>
      </c>
      <c r="AA102" s="142">
        <f>SUMIFS(領用表!$L:$L,領用表!$E:$E,$B102,領用表!$B:$B,AA$2&amp;$P$1)</f>
        <v/>
      </c>
      <c r="AB102" s="142">
        <f>SUM(P102,Q102,R102,S102,T102,U102)</f>
        <v/>
      </c>
      <c r="AC102" s="142">
        <f>AVERAGE(P102,Q102,R102,S102,T102,U102)</f>
        <v/>
      </c>
      <c r="AD102" s="142">
        <f>SUMIF(Summary!B:B,B102,Summary!EC:EC)</f>
        <v/>
      </c>
      <c r="AE102" s="109" t="n"/>
      <c r="AF102" s="65" t="n"/>
      <c r="AG102" s="65" t="n"/>
      <c r="AH102" s="65" t="n"/>
    </row>
    <row r="103" hidden="1" ht="15.75" customHeight="1" s="453">
      <c r="A103" s="27" t="inlineStr">
        <is>
          <t>DN1AA090023T</t>
        </is>
      </c>
      <c r="B103" s="14" t="e">
        <v>#N/A</v>
      </c>
      <c r="C103" s="136" t="inlineStr">
        <is>
          <t>金采肌效生物纖維面膜 30mL</t>
        </is>
      </c>
      <c r="D103" s="77" t="n"/>
      <c r="E103" s="17" t="inlineStr">
        <is>
          <t>PCS</t>
        </is>
      </c>
      <c r="F103" s="18" t="n"/>
      <c r="G103" s="18" t="n"/>
      <c r="H103" s="20">
        <f>SUMIFS(領用表!$L:$L,領用表!$E:$E,$B103,領用表!$B:$B,H$2&amp;$P$1)</f>
        <v/>
      </c>
      <c r="I103" s="20">
        <f>SUMIFS(領用表!$L:$L,領用表!$E:$E,$B103,領用表!$B:$B,I$2&amp;$P$1)</f>
        <v/>
      </c>
      <c r="J103" s="20">
        <f>SUMIFS(領用表!$L:$L,領用表!$E:$E,$B103,領用表!$B:$B,J$2&amp;$P$1)</f>
        <v/>
      </c>
      <c r="K103" s="142">
        <f>SUMIFS(領用表!$L:$L,領用表!$E:$E,$B103,領用表!$B:$B,K$2&amp;$P$1)</f>
        <v/>
      </c>
      <c r="L103" s="142">
        <f>SUMIFS(領用表!$L:$L,領用表!$E:$E,$B103,領用表!$B:$B,L$2&amp;$P$1)</f>
        <v/>
      </c>
      <c r="M103" s="142">
        <f>SUMIFS(領用表!$L:$L,領用表!$E:$E,$B103,領用表!$B:$B,M$2&amp;$P$1)</f>
        <v/>
      </c>
      <c r="N103" s="23">
        <f>SUM(,H103,I103,J103,K103,L103,M103)</f>
        <v/>
      </c>
      <c r="O103" s="23">
        <f>AVERAGE(,H103,I103,J103,K103,L103,M103)</f>
        <v/>
      </c>
      <c r="P103" s="142">
        <f>SUMIFS(領用表!$L:$L,領用表!$E:$E,$B103,領用表!$B:$B,P$2&amp;$P$1)</f>
        <v/>
      </c>
      <c r="Q103" s="142">
        <f>SUMIFS(領用表!$L:$L,領用表!$E:$E,$B103,領用表!$B:$B,Q$2&amp;$P$1)</f>
        <v/>
      </c>
      <c r="R103" s="142">
        <f>SUMIFS(領用表!$L:$L,領用表!$E:$E,$B103,領用表!$B:$B,R$2&amp;$P$1)</f>
        <v/>
      </c>
      <c r="S103" s="142">
        <f>SUMIFS(領用表!$L:$L,領用表!$E:$E,$B103,領用表!$B:$B,S$2&amp;$P$1)</f>
        <v/>
      </c>
      <c r="T103" s="142">
        <f>SUMIFS(領用表!$L:$L,領用表!$E:$E,$B103,領用表!$B:$B,T$2&amp;$P$1)</f>
        <v/>
      </c>
      <c r="U103" s="142">
        <f>SUMIFS(領用表!$L:$L,領用表!$E:$E,$B103,領用表!$B:$B,U$2&amp;$P$1)</f>
        <v/>
      </c>
      <c r="V103" s="142">
        <f>SUMIFS(領用表!$L:$L,領用表!$E:$E,$B103,領用表!$B:$B,V$2&amp;$P$1)</f>
        <v/>
      </c>
      <c r="W103" s="142">
        <f>SUMIFS(領用表!$L:$L,領用表!$E:$E,$B103,領用表!$B:$B,W$2&amp;$P$1)</f>
        <v/>
      </c>
      <c r="X103" s="142">
        <f>SUMIFS(領用表!$L:$L,領用表!$E:$E,$B103,領用表!$B:$B,X$2&amp;$P$1)</f>
        <v/>
      </c>
      <c r="Y103" s="142">
        <f>SUMIFS(領用表!$L:$L,領用表!$E:$E,$B103,領用表!$B:$B,Y$2&amp;$P$1)</f>
        <v/>
      </c>
      <c r="Z103" s="142">
        <f>SUMIFS(領用表!$L:$L,領用表!$E:$E,$B103,領用表!$B:$B,Z$2&amp;$P$1)</f>
        <v/>
      </c>
      <c r="AA103" s="142">
        <f>SUMIFS(領用表!$L:$L,領用表!$E:$E,$B103,領用表!$B:$B,AA$2&amp;$P$1)</f>
        <v/>
      </c>
      <c r="AB103" s="142">
        <f>SUM(P103,Q103,R103,S103,T103,U103)</f>
        <v/>
      </c>
      <c r="AC103" s="142">
        <f>AVERAGE(P103,Q103,R103,S103,T103,U103)</f>
        <v/>
      </c>
      <c r="AD103" s="142">
        <f>SUMIF(Summary!B:B,B103,Summary!EC:EC)</f>
        <v/>
      </c>
      <c r="AE103" s="109" t="n"/>
      <c r="AF103" s="65" t="n"/>
      <c r="AG103" s="65" t="n"/>
      <c r="AH103" s="65" t="n"/>
    </row>
    <row r="104" hidden="1" ht="15.75" customHeight="1" s="453">
      <c r="A104" s="27" t="inlineStr">
        <is>
          <t>DL1GD0100001T</t>
        </is>
      </c>
      <c r="B104" s="14" t="e">
        <v>#N/A</v>
      </c>
      <c r="C104" s="136" t="inlineStr">
        <is>
          <t>甜睡美膠原6g(30入)(繁體版) 24盒/箱</t>
        </is>
      </c>
      <c r="D104" s="77" t="n"/>
      <c r="E104" s="17" t="inlineStr">
        <is>
          <t>PCS</t>
        </is>
      </c>
      <c r="F104" s="18" t="n"/>
      <c r="G104" s="18" t="n"/>
      <c r="H104" s="20">
        <f>SUMIFS(領用表!$L:$L,領用表!$E:$E,$B104,領用表!$B:$B,H$2&amp;$P$1)</f>
        <v/>
      </c>
      <c r="I104" s="20">
        <f>SUMIFS(領用表!$L:$L,領用表!$E:$E,$B104,領用表!$B:$B,I$2&amp;$P$1)</f>
        <v/>
      </c>
      <c r="J104" s="20">
        <f>SUMIFS(領用表!$L:$L,領用表!$E:$E,$B104,領用表!$B:$B,J$2&amp;$P$1)</f>
        <v/>
      </c>
      <c r="K104" s="142">
        <f>SUMIFS(領用表!$L:$L,領用表!$E:$E,$B104,領用表!$B:$B,K$2&amp;$P$1)</f>
        <v/>
      </c>
      <c r="L104" s="142">
        <f>SUMIFS(領用表!$L:$L,領用表!$E:$E,$B104,領用表!$B:$B,L$2&amp;$P$1)</f>
        <v/>
      </c>
      <c r="M104" s="142">
        <f>SUMIFS(領用表!$L:$L,領用表!$E:$E,$B104,領用表!$B:$B,M$2&amp;$P$1)</f>
        <v/>
      </c>
      <c r="N104" s="23">
        <f>SUM(,H104,I104,J104,K104,L104,M104)</f>
        <v/>
      </c>
      <c r="O104" s="23">
        <f>AVERAGE(,H104,I104,J104,K104,L104,M104)</f>
        <v/>
      </c>
      <c r="P104" s="142">
        <f>SUMIFS(領用表!$L:$L,領用表!$E:$E,$B104,領用表!$B:$B,P$2&amp;$P$1)</f>
        <v/>
      </c>
      <c r="Q104" s="142">
        <f>SUMIFS(領用表!$L:$L,領用表!$E:$E,$B104,領用表!$B:$B,Q$2&amp;$P$1)</f>
        <v/>
      </c>
      <c r="R104" s="142">
        <f>SUMIFS(領用表!$L:$L,領用表!$E:$E,$B104,領用表!$B:$B,R$2&amp;$P$1)</f>
        <v/>
      </c>
      <c r="S104" s="142">
        <f>SUMIFS(領用表!$L:$L,領用表!$E:$E,$B104,領用表!$B:$B,S$2&amp;$P$1)</f>
        <v/>
      </c>
      <c r="T104" s="142">
        <f>SUMIFS(領用表!$L:$L,領用表!$E:$E,$B104,領用表!$B:$B,T$2&amp;$P$1)</f>
        <v/>
      </c>
      <c r="U104" s="142">
        <f>SUMIFS(領用表!$L:$L,領用表!$E:$E,$B104,領用表!$B:$B,U$2&amp;$P$1)</f>
        <v/>
      </c>
      <c r="V104" s="142">
        <f>SUMIFS(領用表!$L:$L,領用表!$E:$E,$B104,領用表!$B:$B,V$2&amp;$P$1)</f>
        <v/>
      </c>
      <c r="W104" s="142">
        <f>SUMIFS(領用表!$L:$L,領用表!$E:$E,$B104,領用表!$B:$B,W$2&amp;$P$1)</f>
        <v/>
      </c>
      <c r="X104" s="142">
        <f>SUMIFS(領用表!$L:$L,領用表!$E:$E,$B104,領用表!$B:$B,X$2&amp;$P$1)</f>
        <v/>
      </c>
      <c r="Y104" s="142">
        <f>SUMIFS(領用表!$L:$L,領用表!$E:$E,$B104,領用表!$B:$B,Y$2&amp;$P$1)</f>
        <v/>
      </c>
      <c r="Z104" s="142">
        <f>SUMIFS(領用表!$L:$L,領用表!$E:$E,$B104,領用表!$B:$B,Z$2&amp;$P$1)</f>
        <v/>
      </c>
      <c r="AA104" s="142">
        <f>SUMIFS(領用表!$L:$L,領用表!$E:$E,$B104,領用表!$B:$B,AA$2&amp;$P$1)</f>
        <v/>
      </c>
      <c r="AB104" s="142">
        <f>SUM(P104,Q104,R104,S104,T104,U104)</f>
        <v/>
      </c>
      <c r="AC104" s="142">
        <f>AVERAGE(P104,Q104,R104,S104,T104,U104)</f>
        <v/>
      </c>
      <c r="AD104" s="142">
        <f>SUMIF(Summary!B:B,B104,Summary!EC:EC)</f>
        <v/>
      </c>
      <c r="AE104" s="109" t="n"/>
      <c r="AF104" s="65" t="n"/>
      <c r="AG104" s="65" t="n"/>
      <c r="AH104" s="65" t="n"/>
    </row>
    <row r="105" ht="15.75" customHeight="1" s="453">
      <c r="A105" s="27" t="inlineStr">
        <is>
          <t>DE1AA020008T</t>
        </is>
      </c>
      <c r="B105" s="14" t="e">
        <v>#N/A</v>
      </c>
      <c r="C105" s="136" t="inlineStr">
        <is>
          <t>鑽石光感潔膚乳 100ml</t>
        </is>
      </c>
      <c r="D105" s="77" t="n"/>
      <c r="E105" s="17" t="inlineStr">
        <is>
          <t>PCS</t>
        </is>
      </c>
      <c r="F105" s="18" t="n"/>
      <c r="G105" s="18" t="n"/>
      <c r="H105" s="20">
        <f>SUMIFS(領用表!$L:$L,領用表!$E:$E,$B105,領用表!$B:$B,H$2&amp;$P$1)</f>
        <v/>
      </c>
      <c r="I105" s="20">
        <f>SUMIFS(領用表!$L:$L,領用表!$E:$E,$B105,領用表!$B:$B,I$2&amp;$P$1)</f>
        <v/>
      </c>
      <c r="J105" s="20">
        <f>SUMIFS(領用表!$L:$L,領用表!$E:$E,$B105,領用表!$B:$B,J$2&amp;$P$1)</f>
        <v/>
      </c>
      <c r="K105" s="142">
        <f>SUMIFS(領用表!$L:$L,領用表!$E:$E,$B105,領用表!$B:$B,K$2&amp;$P$1)</f>
        <v/>
      </c>
      <c r="L105" s="142">
        <f>SUMIFS(領用表!$L:$L,領用表!$E:$E,$B105,領用表!$B:$B,L$2&amp;$P$1)</f>
        <v/>
      </c>
      <c r="M105" s="142">
        <f>SUMIFS(領用表!$L:$L,領用表!$E:$E,$B105,領用表!$B:$B,M$2&amp;$P$1)</f>
        <v/>
      </c>
      <c r="N105" s="23">
        <f>SUM(,H105,I105,J105,K105,L105,M105)</f>
        <v/>
      </c>
      <c r="O105" s="23">
        <f>AVERAGE(,H105,I105,J105,K105,L105,M105)</f>
        <v/>
      </c>
      <c r="P105" s="142">
        <f>SUMIFS(領用表!$L:$L,領用表!$E:$E,$B105,領用表!$B:$B,P$2&amp;$P$1)</f>
        <v/>
      </c>
      <c r="Q105" s="405">
        <f>SUMIFS(領用表!$L:$L,領用表!$E:$E,$B105,領用表!$B:$B,Q$2&amp;$P$1)</f>
        <v/>
      </c>
      <c r="R105" s="405">
        <f>SUMIFS(領用表!$L:$L,領用表!$E:$E,$B105,領用表!$B:$B,R$2&amp;$P$1)</f>
        <v/>
      </c>
      <c r="S105" s="405">
        <f>SUMIFS(領用表!$L:$L,領用表!$E:$E,$B105,領用表!$B:$B,S$2&amp;$P$1)</f>
        <v/>
      </c>
      <c r="T105" s="405">
        <f>SUMIFS(領用表!$L:$L,領用表!$E:$E,$B105,領用表!$B:$B,T$2&amp;$P$1)</f>
        <v/>
      </c>
      <c r="U105" s="405">
        <f>SUMIFS(領用表!$L:$L,領用表!$E:$E,$B105,領用表!$B:$B,U$2&amp;$P$1)</f>
        <v/>
      </c>
      <c r="V105" s="405">
        <f>SUMIFS(領用表!$L:$L,領用表!$E:$E,$B105,領用表!$B:$B,V$2&amp;$P$1)</f>
        <v/>
      </c>
      <c r="W105" s="405">
        <f>SUMIFS(領用表!$L:$L,領用表!$E:$E,$B105,領用表!$B:$B,W$2&amp;$P$1)</f>
        <v/>
      </c>
      <c r="X105" s="405">
        <f>SUMIFS(領用表!$L:$L,領用表!$E:$E,$B105,領用表!$B:$B,X$2&amp;$P$1)</f>
        <v/>
      </c>
      <c r="Y105" s="405">
        <f>SUMIFS(領用表!$L:$L,領用表!$E:$E,$B105,領用表!$B:$B,Y$2&amp;$P$1)</f>
        <v/>
      </c>
      <c r="Z105" s="405">
        <f>SUMIFS(領用表!$L:$L,領用表!$E:$E,$B105,領用表!$B:$B,Z$2&amp;$P$1)</f>
        <v/>
      </c>
      <c r="AA105" s="405">
        <f>SUMIFS(領用表!$L:$L,領用表!$E:$E,$B105,領用表!$B:$B,AA$2&amp;$P$1)</f>
        <v/>
      </c>
      <c r="AB105" s="405">
        <f>SUM(P105,Q105,R105,S105,T105,U105)</f>
        <v/>
      </c>
      <c r="AC105" s="405">
        <f>AVERAGE(P105,Q105,R105,S105,T105,U105)</f>
        <v/>
      </c>
      <c r="AD105" s="405">
        <f>SUMIF(Summary!B:B,B105,Summary!EC:EC)</f>
        <v/>
      </c>
      <c r="AE105" s="111" t="n"/>
      <c r="AF105" s="80" t="n"/>
      <c r="AG105" s="83" t="n"/>
      <c r="AH105" s="83" t="n"/>
    </row>
    <row r="106" ht="15.75" customHeight="1" s="453">
      <c r="A106" s="27" t="inlineStr">
        <is>
          <t>TE1AA020007T</t>
        </is>
      </c>
      <c r="B106" s="14" t="n">
        <v>6020002</v>
      </c>
      <c r="C106" s="136" t="inlineStr">
        <is>
          <t>試用-鑽石光感潔膚乳 100ml</t>
        </is>
      </c>
      <c r="D106" s="77" t="n"/>
      <c r="E106" s="17" t="inlineStr">
        <is>
          <t>PCS</t>
        </is>
      </c>
      <c r="F106" s="18" t="n"/>
      <c r="G106" s="18" t="n"/>
      <c r="H106" s="20">
        <f>SUMIFS(領用表!$L:$L,領用表!$E:$E,$B106,領用表!$B:$B,H$2&amp;$P$1)</f>
        <v/>
      </c>
      <c r="I106" s="20">
        <f>SUMIFS(領用表!$L:$L,領用表!$E:$E,$B106,領用表!$B:$B,I$2&amp;$P$1)</f>
        <v/>
      </c>
      <c r="J106" s="20">
        <f>SUMIFS(領用表!$L:$L,領用表!$E:$E,$B106,領用表!$B:$B,J$2&amp;$P$1)</f>
        <v/>
      </c>
      <c r="K106" s="142">
        <f>SUMIFS(領用表!$L:$L,領用表!$E:$E,$B106,領用表!$B:$B,K$2&amp;$P$1)</f>
        <v/>
      </c>
      <c r="L106" s="142">
        <f>SUMIFS(領用表!$L:$L,領用表!$E:$E,$B106,領用表!$B:$B,L$2&amp;$P$1)</f>
        <v/>
      </c>
      <c r="M106" s="142">
        <f>SUMIFS(領用表!$L:$L,領用表!$E:$E,$B106,領用表!$B:$B,M$2&amp;$P$1)</f>
        <v/>
      </c>
      <c r="N106" s="23">
        <f>SUM(,H106,I106,J106,K106,L106,M106)</f>
        <v/>
      </c>
      <c r="O106" s="23">
        <f>AVERAGE(,H106,I106,J106,K106,L106,M106)</f>
        <v/>
      </c>
      <c r="P106" s="142">
        <f>SUMIFS(領用表!$L:$L,領用表!$E:$E,$B106,領用表!$B:$B,P$2&amp;$P$1)</f>
        <v/>
      </c>
      <c r="Q106" s="405">
        <f>SUMIFS(領用表!$L:$L,領用表!$E:$E,$B106,領用表!$B:$B,Q$2&amp;$P$1)</f>
        <v/>
      </c>
      <c r="R106" s="405">
        <f>SUMIFS(領用表!$L:$L,領用表!$E:$E,$B106,領用表!$B:$B,R$2&amp;$P$1)</f>
        <v/>
      </c>
      <c r="S106" s="405">
        <f>SUMIFS(領用表!$L:$L,領用表!$E:$E,$B106,領用表!$B:$B,S$2&amp;$P$1)</f>
        <v/>
      </c>
      <c r="T106" s="405">
        <f>SUMIFS(領用表!$L:$L,領用表!$E:$E,$B106,領用表!$B:$B,T$2&amp;$P$1)</f>
        <v/>
      </c>
      <c r="U106" s="405" t="n"/>
      <c r="V106" s="405">
        <f>SUMIFS(領用表!$L:$L,領用表!$E:$E,$B106,領用表!$B:$B,V$2&amp;$P$1)</f>
        <v/>
      </c>
      <c r="W106" s="405">
        <f>SUMIFS(領用表!$L:$L,領用表!$E:$E,$B106,領用表!$B:$B,W$2&amp;$P$1)</f>
        <v/>
      </c>
      <c r="X106" s="405">
        <f>SUMIFS(領用表!$L:$L,領用表!$E:$E,$B106,領用表!$B:$B,X$2&amp;$P$1)</f>
        <v/>
      </c>
      <c r="Y106" s="405">
        <f>SUMIFS(領用表!$L:$L,領用表!$E:$E,$B106,領用表!$B:$B,Y$2&amp;$P$1)</f>
        <v/>
      </c>
      <c r="Z106" s="405">
        <f>SUMIFS(領用表!$L:$L,領用表!$E:$E,$B106,領用表!$B:$B,Z$2&amp;$P$1)</f>
        <v/>
      </c>
      <c r="AA106" s="405">
        <f>SUMIFS(領用表!$L:$L,領用表!$E:$E,$B106,領用表!$B:$B,AA$2&amp;$P$1)</f>
        <v/>
      </c>
      <c r="AB106" s="405">
        <f>SUM(P106,Q106,R106,S106,T106,U106)</f>
        <v/>
      </c>
      <c r="AC106" s="405">
        <f>AVERAGE(P106,Q106,R106,S106,T106,U106)</f>
        <v/>
      </c>
      <c r="AD106" s="405">
        <f>SUMIF(Summary!B:B,B106,Summary!EC:EC)</f>
        <v/>
      </c>
      <c r="AE106" s="111" t="n"/>
      <c r="AF106" s="80" t="n"/>
      <c r="AG106" s="65" t="n"/>
      <c r="AH106" s="65" t="n"/>
    </row>
    <row r="107" ht="15.75" customHeight="1" s="453">
      <c r="A107" s="27" t="inlineStr">
        <is>
          <t>DN1AB090006T</t>
        </is>
      </c>
      <c r="B107" s="14" t="n">
        <v>1080005</v>
      </c>
      <c r="C107" s="136" t="inlineStr">
        <is>
          <t>明眸撫紋水嫩眼膜 10mL(玫瑰金)</t>
        </is>
      </c>
      <c r="D107" s="77" t="n"/>
      <c r="E107" s="17" t="inlineStr">
        <is>
          <t>PCS</t>
        </is>
      </c>
      <c r="F107" s="18" t="n"/>
      <c r="G107" s="18" t="n"/>
      <c r="H107" s="20">
        <f>SUMIFS(領用表!$L:$L,領用表!$E:$E,$B107,領用表!$B:$B,H$2&amp;$P$1)</f>
        <v/>
      </c>
      <c r="I107" s="20">
        <f>SUMIFS(領用表!$L:$L,領用表!$E:$E,$B107,領用表!$B:$B,I$2&amp;$P$1)</f>
        <v/>
      </c>
      <c r="J107" s="20">
        <f>SUMIFS(領用表!$L:$L,領用表!$E:$E,$B107,領用表!$B:$B,J$2&amp;$P$1)</f>
        <v/>
      </c>
      <c r="K107" s="142">
        <f>SUMIFS(領用表!$L:$L,領用表!$E:$E,$B107,領用表!$B:$B,K$2&amp;$P$1)</f>
        <v/>
      </c>
      <c r="L107" s="142">
        <f>SUMIFS(領用表!$L:$L,領用表!$E:$E,$B107,領用表!$B:$B,L$2&amp;$P$1)</f>
        <v/>
      </c>
      <c r="M107" s="142">
        <f>SUMIFS(領用表!$L:$L,領用表!$E:$E,$B107,領用表!$B:$B,M$2&amp;$P$1)</f>
        <v/>
      </c>
      <c r="N107" s="23">
        <f>SUM(,H107,I107,J107,K107,L107,M107)</f>
        <v/>
      </c>
      <c r="O107" s="23">
        <f>AVERAGE(,H107,I107,J107,K107,L107,M107)</f>
        <v/>
      </c>
      <c r="P107" s="142">
        <f>SUMIFS(領用表!$L:$L,領用表!$E:$E,$B107,領用表!$B:$B,P$2&amp;$P$1)</f>
        <v/>
      </c>
      <c r="Q107" s="142">
        <f>SUMIFS(領用表!$L:$L,領用表!$E:$E,$B107,領用表!$B:$B,Q$2&amp;$P$1)</f>
        <v/>
      </c>
      <c r="R107" s="142">
        <f>SUMIFS(領用表!$L:$L,領用表!$E:$E,$B107,領用表!$B:$B,R$2&amp;$P$1)</f>
        <v/>
      </c>
      <c r="S107" s="142">
        <f>SUMIFS(領用表!$L:$L,領用表!$E:$E,$B107,領用表!$B:$B,S$2&amp;$P$1)</f>
        <v/>
      </c>
      <c r="T107" s="142">
        <f>SUMIFS(領用表!$L:$L,領用表!$E:$E,$B107,領用表!$B:$B,T$2&amp;$P$1)</f>
        <v/>
      </c>
      <c r="U107" s="142">
        <f>SUMIFS(領用表!$L:$L,領用表!$E:$E,$B107,領用表!$B:$B,U$2&amp;$P$1)</f>
        <v/>
      </c>
      <c r="V107" s="142">
        <f>SUMIFS(領用表!$L:$L,領用表!$E:$E,$B107,領用表!$B:$B,V$2&amp;$P$1)</f>
        <v/>
      </c>
      <c r="W107" s="142">
        <f>SUMIFS(領用表!$L:$L,領用表!$E:$E,$B107,領用表!$B:$B,W$2&amp;$P$1)</f>
        <v/>
      </c>
      <c r="X107" s="142">
        <f>SUMIFS(領用表!$L:$L,領用表!$E:$E,$B107,領用表!$B:$B,X$2&amp;$P$1)</f>
        <v/>
      </c>
      <c r="Y107" s="142">
        <f>SUMIFS(領用表!$L:$L,領用表!$E:$E,$B107,領用表!$B:$B,Y$2&amp;$P$1)</f>
        <v/>
      </c>
      <c r="Z107" s="142">
        <f>SUMIFS(領用表!$L:$L,領用表!$E:$E,$B107,領用表!$B:$B,Z$2&amp;$P$1)</f>
        <v/>
      </c>
      <c r="AA107" s="142">
        <f>SUMIFS(領用表!$L:$L,領用表!$E:$E,$B107,領用表!$B:$B,AA$2&amp;$P$1)</f>
        <v/>
      </c>
      <c r="AB107" s="142">
        <f>SUM(P107,Q107,R107,S107,T107,U107)</f>
        <v/>
      </c>
      <c r="AC107" s="142">
        <f>AVERAGE(P107,Q107,R107,S107,T107,U107)</f>
        <v/>
      </c>
      <c r="AD107" s="142">
        <f>SUMIF(Summary!B:B,B107,Summary!EC:EC)</f>
        <v/>
      </c>
      <c r="AE107" s="109" t="n"/>
      <c r="AF107" s="65" t="n"/>
      <c r="AG107" s="65" t="n"/>
      <c r="AH107" s="65" t="n"/>
    </row>
    <row r="108" ht="15.75" customHeight="1" s="453">
      <c r="A108" s="27" t="inlineStr">
        <is>
          <t>DE1AB090013T</t>
        </is>
      </c>
      <c r="B108" s="14" t="n">
        <v>1080008</v>
      </c>
      <c r="C108" s="136" t="inlineStr">
        <is>
          <t>藍金活酵能量舒壓眼膜 8mL(白)</t>
        </is>
      </c>
      <c r="D108" s="77" t="n"/>
      <c r="E108" s="17" t="inlineStr">
        <is>
          <t>PCS</t>
        </is>
      </c>
      <c r="F108" s="18" t="n"/>
      <c r="G108" s="18" t="n"/>
      <c r="H108" s="20">
        <f>SUMIFS(領用表!$L:$L,領用表!$E:$E,$B108,領用表!$B:$B,H$2&amp;$P$1)</f>
        <v/>
      </c>
      <c r="I108" s="20">
        <f>SUMIFS(領用表!$L:$L,領用表!$E:$E,$B108,領用表!$B:$B,I$2&amp;$P$1)</f>
        <v/>
      </c>
      <c r="J108" s="20">
        <f>SUMIFS(領用表!$L:$L,領用表!$E:$E,$B108,領用表!$B:$B,J$2&amp;$P$1)</f>
        <v/>
      </c>
      <c r="K108" s="142">
        <f>SUMIFS(領用表!$L:$L,領用表!$E:$E,$B108,領用表!$B:$B,K$2&amp;$P$1)</f>
        <v/>
      </c>
      <c r="L108" s="142">
        <f>SUMIFS(領用表!$L:$L,領用表!$E:$E,$B108,領用表!$B:$B,L$2&amp;$P$1)</f>
        <v/>
      </c>
      <c r="M108" s="142">
        <f>SUMIFS(領用表!$L:$L,領用表!$E:$E,$B108,領用表!$B:$B,M$2&amp;$P$1)</f>
        <v/>
      </c>
      <c r="N108" s="23">
        <f>SUM(,H108,I108,J108,K108,L108,M108)</f>
        <v/>
      </c>
      <c r="O108" s="23">
        <f>AVERAGE(,H108,I108,J108,K108,L108,M108)</f>
        <v/>
      </c>
      <c r="P108" s="142">
        <f>SUMIFS(領用表!$L:$L,領用表!$E:$E,$B108,領用表!$B:$B,P$2&amp;$P$1)</f>
        <v/>
      </c>
      <c r="Q108" s="405">
        <f>SUMIFS(領用表!$L:$L,領用表!$E:$E,$B108,領用表!$B:$B,Q$2&amp;$P$1)</f>
        <v/>
      </c>
      <c r="R108" s="405">
        <f>SUMIFS(領用表!$L:$L,領用表!$E:$E,$B108,領用表!$B:$B,R$2&amp;$P$1)</f>
        <v/>
      </c>
      <c r="S108" s="405">
        <f>SUMIFS(領用表!$L:$L,領用表!$E:$E,$B108,領用表!$B:$B,S$2&amp;$P$1)</f>
        <v/>
      </c>
      <c r="T108" s="405">
        <f>SUMIFS(領用表!$L:$L,領用表!$E:$E,$B108,領用表!$B:$B,T$2&amp;$P$1)</f>
        <v/>
      </c>
      <c r="U108" s="405" t="n"/>
      <c r="V108" s="405">
        <f>SUMIFS(領用表!$L:$L,領用表!$E:$E,$B108,領用表!$B:$B,V$2&amp;$P$1)</f>
        <v/>
      </c>
      <c r="W108" s="405">
        <f>SUMIFS(領用表!$L:$L,領用表!$E:$E,$B108,領用表!$B:$B,W$2&amp;$P$1)</f>
        <v/>
      </c>
      <c r="X108" s="405">
        <f>SUMIFS(領用表!$L:$L,領用表!$E:$E,$B108,領用表!$B:$B,X$2&amp;$P$1)</f>
        <v/>
      </c>
      <c r="Y108" s="405">
        <f>SUMIFS(領用表!$L:$L,領用表!$E:$E,$B108,領用表!$B:$B,Y$2&amp;$P$1)</f>
        <v/>
      </c>
      <c r="Z108" s="405">
        <f>SUMIFS(領用表!$L:$L,領用表!$E:$E,$B108,領用表!$B:$B,Z$2&amp;$P$1)</f>
        <v/>
      </c>
      <c r="AA108" s="405">
        <f>SUMIFS(領用表!$L:$L,領用表!$E:$E,$B108,領用表!$B:$B,AA$2&amp;$P$1)</f>
        <v/>
      </c>
      <c r="AB108" s="405">
        <f>SUM(P108,Q108,R108,S108,T108,U108)</f>
        <v/>
      </c>
      <c r="AC108" s="405">
        <f>AVERAGE(P108,Q108,R108,S108,T108,U108)</f>
        <v/>
      </c>
      <c r="AD108" s="405">
        <f>SUMIF(Summary!B:B,B108,Summary!EC:EC)</f>
        <v/>
      </c>
      <c r="AE108" s="111" t="n"/>
      <c r="AF108" s="80" t="n"/>
      <c r="AG108" s="65" t="n"/>
      <c r="AH108" s="65" t="n"/>
    </row>
    <row r="109" ht="15.75" customHeight="1" s="453">
      <c r="A109" s="27" t="inlineStr">
        <is>
          <t>FE1AA200004T</t>
        </is>
      </c>
      <c r="B109" s="14" t="n">
        <v>6230003</v>
      </c>
      <c r="C109" s="136" t="inlineStr">
        <is>
          <t>試用包-光燦輕感防曬隔離乳 2mL(尖嘴單劑包)</t>
        </is>
      </c>
      <c r="D109" s="77" t="n"/>
      <c r="E109" s="17" t="inlineStr">
        <is>
          <t>PCS</t>
        </is>
      </c>
      <c r="F109" s="18" t="n"/>
      <c r="G109" s="18" t="n"/>
      <c r="H109" s="20">
        <f>SUMIFS(領用表!$L:$L,領用表!$E:$E,$B109,領用表!$B:$B,H$2&amp;$P$1)</f>
        <v/>
      </c>
      <c r="I109" s="20">
        <f>SUMIFS(領用表!$L:$L,領用表!$E:$E,$B109,領用表!$B:$B,I$2&amp;$P$1)</f>
        <v/>
      </c>
      <c r="J109" s="20">
        <f>SUMIFS(領用表!$L:$L,領用表!$E:$E,$B109,領用表!$B:$B,J$2&amp;$P$1)</f>
        <v/>
      </c>
      <c r="K109" s="142">
        <f>SUMIFS(領用表!$L:$L,領用表!$E:$E,$B109,領用表!$B:$B,K$2&amp;$P$1)</f>
        <v/>
      </c>
      <c r="L109" s="142">
        <f>SUMIFS(領用表!$L:$L,領用表!$E:$E,$B109,領用表!$B:$B,L$2&amp;$P$1)</f>
        <v/>
      </c>
      <c r="M109" s="142">
        <f>SUMIFS(領用表!$L:$L,領用表!$E:$E,$B109,領用表!$B:$B,M$2&amp;$P$1)</f>
        <v/>
      </c>
      <c r="N109" s="23">
        <f>SUM(,H109,I109,J109,K109,L109,M109)</f>
        <v/>
      </c>
      <c r="O109" s="23">
        <f>AVERAGE(,H109,I109,J109,K109,L109,M109)</f>
        <v/>
      </c>
      <c r="P109" s="142">
        <f>SUMIFS(領用表!$L:$L,領用表!$E:$E,$B109,領用表!$B:$B,P$2&amp;$P$1)</f>
        <v/>
      </c>
      <c r="Q109" s="405">
        <f>SUMIFS(領用表!$L:$L,領用表!$E:$E,$B109,領用表!$B:$B,Q$2&amp;$P$1)</f>
        <v/>
      </c>
      <c r="R109" s="405">
        <f>SUMIFS(領用表!$L:$L,領用表!$E:$E,$B109,領用表!$B:$B,R$2&amp;$P$1)</f>
        <v/>
      </c>
      <c r="S109" s="405">
        <f>SUMIFS(領用表!$L:$L,領用表!$E:$E,$B109,領用表!$B:$B,S$2&amp;$P$1)</f>
        <v/>
      </c>
      <c r="T109" s="405">
        <f>SUMIFS(領用表!$L:$L,領用表!$E:$E,$B109,領用表!$B:$B,T$2&amp;$P$1)</f>
        <v/>
      </c>
      <c r="U109" s="405" t="n"/>
      <c r="V109" s="405">
        <f>SUMIFS(領用表!$L:$L,領用表!$E:$E,$B109,領用表!$B:$B,V$2&amp;$P$1)</f>
        <v/>
      </c>
      <c r="W109" s="405">
        <f>SUMIFS(領用表!$L:$L,領用表!$E:$E,$B109,領用表!$B:$B,W$2&amp;$P$1)</f>
        <v/>
      </c>
      <c r="X109" s="405">
        <f>SUMIFS(領用表!$L:$L,領用表!$E:$E,$B109,領用表!$B:$B,X$2&amp;$P$1)</f>
        <v/>
      </c>
      <c r="Y109" s="405">
        <f>SUMIFS(領用表!$L:$L,領用表!$E:$E,$B109,領用表!$B:$B,Y$2&amp;$P$1)</f>
        <v/>
      </c>
      <c r="Z109" s="405">
        <f>SUMIFS(領用表!$L:$L,領用表!$E:$E,$B109,領用表!$B:$B,Z$2&amp;$P$1)</f>
        <v/>
      </c>
      <c r="AA109" s="405">
        <f>SUMIFS(領用表!$L:$L,領用表!$E:$E,$B109,領用表!$B:$B,AA$2&amp;$P$1)</f>
        <v/>
      </c>
      <c r="AB109" s="405">
        <f>SUM(P109,Q109,R109,S109,T109,U109)</f>
        <v/>
      </c>
      <c r="AC109" s="405">
        <f>AVERAGE(P109,Q109,R109,S109,T109,U109)</f>
        <v/>
      </c>
      <c r="AD109" s="405">
        <f>SUMIF(Summary!B:B,B109,Summary!EC:EC)</f>
        <v/>
      </c>
      <c r="AE109" s="111" t="n"/>
      <c r="AF109" s="80" t="n"/>
      <c r="AG109" s="76" t="n"/>
      <c r="AH109" s="83" t="n"/>
    </row>
    <row r="110" ht="15.75" customHeight="1" s="453">
      <c r="A110" s="27" t="inlineStr">
        <is>
          <t>FE1AA060003T</t>
        </is>
      </c>
      <c r="B110" s="14" t="e">
        <v>#N/A</v>
      </c>
      <c r="C110" s="136" t="inlineStr">
        <is>
          <t>試用包-富勒烯煥齡賦活水凝乳 2mL(尖嘴單劑包)</t>
        </is>
      </c>
      <c r="D110" s="77" t="n"/>
      <c r="E110" s="17" t="inlineStr">
        <is>
          <t>PCS</t>
        </is>
      </c>
      <c r="F110" s="18" t="n"/>
      <c r="G110" s="18" t="n"/>
      <c r="H110" s="20">
        <f>SUMIFS(領用表!$L:$L,領用表!$E:$E,$B110,領用表!$B:$B,H$2&amp;$P$1)</f>
        <v/>
      </c>
      <c r="I110" s="20">
        <f>SUMIFS(領用表!$L:$L,領用表!$E:$E,$B110,領用表!$B:$B,I$2&amp;$P$1)</f>
        <v/>
      </c>
      <c r="J110" s="20">
        <f>SUMIFS(領用表!$L:$L,領用表!$E:$E,$B110,領用表!$B:$B,J$2&amp;$P$1)</f>
        <v/>
      </c>
      <c r="K110" s="142">
        <f>SUMIFS(領用表!$L:$L,領用表!$E:$E,$B110,領用表!$B:$B,K$2&amp;$P$1)</f>
        <v/>
      </c>
      <c r="L110" s="142">
        <f>SUMIFS(領用表!$L:$L,領用表!$E:$E,$B110,領用表!$B:$B,L$2&amp;$P$1)</f>
        <v/>
      </c>
      <c r="M110" s="142">
        <f>SUMIFS(領用表!$L:$L,領用表!$E:$E,$B110,領用表!$B:$B,M$2&amp;$P$1)</f>
        <v/>
      </c>
      <c r="N110" s="23">
        <f>SUM(,H110,I110,J110,K110,L110,M110)</f>
        <v/>
      </c>
      <c r="O110" s="23">
        <f>AVERAGE(,H110,I110,J110,K110,L110,M110)</f>
        <v/>
      </c>
      <c r="P110" s="142">
        <f>SUMIFS(領用表!$L:$L,領用表!$E:$E,$B110,領用表!$B:$B,P$2&amp;$P$1)</f>
        <v/>
      </c>
      <c r="Q110" s="405">
        <f>SUMIFS(領用表!$L:$L,領用表!$E:$E,$B110,領用表!$B:$B,Q$2&amp;$P$1)</f>
        <v/>
      </c>
      <c r="R110" s="405">
        <f>SUMIFS(領用表!$L:$L,領用表!$E:$E,$B110,領用表!$B:$B,R$2&amp;$P$1)</f>
        <v/>
      </c>
      <c r="S110" s="405">
        <f>SUMIFS(領用表!$L:$L,領用表!$E:$E,$B110,領用表!$B:$B,S$2&amp;$P$1)</f>
        <v/>
      </c>
      <c r="T110" s="405">
        <f>SUMIFS(領用表!$L:$L,領用表!$E:$E,$B110,領用表!$B:$B,T$2&amp;$P$1)</f>
        <v/>
      </c>
      <c r="U110" s="405">
        <f>SUMIFS(領用表!$L:$L,領用表!$E:$E,$B110,領用表!$B:$B,U$2&amp;$P$1)</f>
        <v/>
      </c>
      <c r="V110" s="405">
        <f>SUMIFS(領用表!$L:$L,領用表!$E:$E,$B110,領用表!$B:$B,V$2&amp;$P$1)</f>
        <v/>
      </c>
      <c r="W110" s="405">
        <f>SUMIFS(領用表!$L:$L,領用表!$E:$E,$B110,領用表!$B:$B,W$2&amp;$P$1)</f>
        <v/>
      </c>
      <c r="X110" s="405">
        <f>SUMIFS(領用表!$L:$L,領用表!$E:$E,$B110,領用表!$B:$B,X$2&amp;$P$1)</f>
        <v/>
      </c>
      <c r="Y110" s="405">
        <f>SUMIFS(領用表!$L:$L,領用表!$E:$E,$B110,領用表!$B:$B,Y$2&amp;$P$1)</f>
        <v/>
      </c>
      <c r="Z110" s="405">
        <f>SUMIFS(領用表!$L:$L,領用表!$E:$E,$B110,領用表!$B:$B,Z$2&amp;$P$1)</f>
        <v/>
      </c>
      <c r="AA110" s="405">
        <f>SUMIFS(領用表!$L:$L,領用表!$E:$E,$B110,領用表!$B:$B,AA$2&amp;$P$1)</f>
        <v/>
      </c>
      <c r="AB110" s="405">
        <f>SUM(P110,Q110,R110,S110,T110,U110)</f>
        <v/>
      </c>
      <c r="AC110" s="405">
        <f>AVERAGE(P110,Q110,R110,S110,T110,U110)</f>
        <v/>
      </c>
      <c r="AD110" s="405">
        <f>SUMIF(Summary!B:B,B110,Summary!EC:EC)</f>
        <v/>
      </c>
      <c r="AE110" s="111" t="n"/>
      <c r="AF110" s="80" t="n"/>
      <c r="AG110" s="65" t="n"/>
      <c r="AH110" s="65" t="n"/>
    </row>
    <row r="111" ht="15.75" customHeight="1" s="453">
      <c r="A111" s="27" t="inlineStr">
        <is>
          <t>FL1AA030002T</t>
        </is>
      </c>
      <c r="B111" s="14" t="e">
        <v>#N/A</v>
      </c>
      <c r="C111" s="136" t="inlineStr">
        <is>
          <t>試用包 - 水盈潤去角質凝膠 3mL</t>
        </is>
      </c>
      <c r="D111" s="77" t="n"/>
      <c r="E111" s="17" t="inlineStr">
        <is>
          <t>PCS</t>
        </is>
      </c>
      <c r="F111" s="18" t="n"/>
      <c r="G111" s="18" t="n"/>
      <c r="H111" s="20">
        <f>SUMIFS(領用表!$L:$L,領用表!$E:$E,$B111,領用表!$B:$B,H$2&amp;$P$1)</f>
        <v/>
      </c>
      <c r="I111" s="20">
        <f>SUMIFS(領用表!$L:$L,領用表!$E:$E,$B111,領用表!$B:$B,I$2&amp;$P$1)</f>
        <v/>
      </c>
      <c r="J111" s="20">
        <f>SUMIFS(領用表!$L:$L,領用表!$E:$E,$B111,領用表!$B:$B,J$2&amp;$P$1)</f>
        <v/>
      </c>
      <c r="K111" s="142">
        <f>SUMIFS(領用表!$L:$L,領用表!$E:$E,$B111,領用表!$B:$B,K$2&amp;$P$1)</f>
        <v/>
      </c>
      <c r="L111" s="142">
        <f>SUMIFS(領用表!$L:$L,領用表!$E:$E,$B111,領用表!$B:$B,L$2&amp;$P$1)</f>
        <v/>
      </c>
      <c r="M111" s="142">
        <f>SUMIFS(領用表!$L:$L,領用表!$E:$E,$B111,領用表!$B:$B,M$2&amp;$P$1)</f>
        <v/>
      </c>
      <c r="N111" s="23">
        <f>SUM(,H111,I111,J111,K111,L111,M111)</f>
        <v/>
      </c>
      <c r="O111" s="23">
        <f>AVERAGE(,H111,I111,J111,K111,L111,M111)</f>
        <v/>
      </c>
      <c r="P111" s="142">
        <f>SUMIFS(領用表!$L:$L,領用表!$E:$E,$B111,領用表!$B:$B,P$2&amp;$P$1)</f>
        <v/>
      </c>
      <c r="Q111" s="405">
        <f>SUMIFS(領用表!$L:$L,領用表!$E:$E,$B111,領用表!$B:$B,Q$2&amp;$P$1)</f>
        <v/>
      </c>
      <c r="R111" s="405">
        <f>SUMIFS(領用表!$L:$L,領用表!$E:$E,$B111,領用表!$B:$B,R$2&amp;$P$1)</f>
        <v/>
      </c>
      <c r="S111" s="405">
        <f>SUMIFS(領用表!$L:$L,領用表!$E:$E,$B111,領用表!$B:$B,S$2&amp;$P$1)</f>
        <v/>
      </c>
      <c r="T111" s="405">
        <f>SUMIFS(領用表!$L:$L,領用表!$E:$E,$B111,領用表!$B:$B,T$2&amp;$P$1)</f>
        <v/>
      </c>
      <c r="U111" s="405">
        <f>SUMIFS(領用表!$L:$L,領用表!$E:$E,$B111,領用表!$B:$B,U$2&amp;$P$1)</f>
        <v/>
      </c>
      <c r="V111" s="405">
        <f>SUMIFS(領用表!$L:$L,領用表!$E:$E,$B111,領用表!$B:$B,V$2&amp;$P$1)</f>
        <v/>
      </c>
      <c r="W111" s="405">
        <f>SUMIFS(領用表!$L:$L,領用表!$E:$E,$B111,領用表!$B:$B,W$2&amp;$P$1)</f>
        <v/>
      </c>
      <c r="X111" s="405">
        <f>SUMIFS(領用表!$L:$L,領用表!$E:$E,$B111,領用表!$B:$B,X$2&amp;$P$1)</f>
        <v/>
      </c>
      <c r="Y111" s="405">
        <f>SUMIFS(領用表!$L:$L,領用表!$E:$E,$B111,領用表!$B:$B,Y$2&amp;$P$1)</f>
        <v/>
      </c>
      <c r="Z111" s="405">
        <f>SUMIFS(領用表!$L:$L,領用表!$E:$E,$B111,領用表!$B:$B,Z$2&amp;$P$1)</f>
        <v/>
      </c>
      <c r="AA111" s="405">
        <f>SUMIFS(領用表!$L:$L,領用表!$E:$E,$B111,領用表!$B:$B,AA$2&amp;$P$1)</f>
        <v/>
      </c>
      <c r="AB111" s="405">
        <f>SUM(P111,Q111,R111,S111,T111,U111)</f>
        <v/>
      </c>
      <c r="AC111" s="405">
        <f>AVERAGE(P111,Q111,R111,S111,T111,U111)</f>
        <v/>
      </c>
      <c r="AD111" s="405">
        <f>SUMIF(Summary!B:B,B111,Summary!EC:EC)</f>
        <v/>
      </c>
      <c r="AE111" s="111" t="n"/>
      <c r="AF111" s="80" t="n"/>
      <c r="AG111" s="65" t="n"/>
      <c r="AH111" s="65" t="n"/>
    </row>
    <row r="112" ht="15.75" customHeight="1" s="453">
      <c r="A112" s="27" t="inlineStr">
        <is>
          <t>FL1AA060007T</t>
        </is>
      </c>
      <c r="B112" s="14" t="e">
        <v>#N/A</v>
      </c>
      <c r="C112" s="136" t="inlineStr">
        <is>
          <t>試用包-花神臻秘玫瑰肌密晶凝霜 2mL(含紙卡)</t>
        </is>
      </c>
      <c r="D112" s="77" t="n"/>
      <c r="E112" s="17" t="inlineStr">
        <is>
          <t>PCS</t>
        </is>
      </c>
      <c r="F112" s="18" t="n"/>
      <c r="G112" s="18" t="n"/>
      <c r="H112" s="20">
        <f>SUMIFS(領用表!$L:$L,領用表!$E:$E,$B112,領用表!$B:$B,H$2&amp;$P$1)</f>
        <v/>
      </c>
      <c r="I112" s="20">
        <f>SUMIFS(領用表!$L:$L,領用表!$E:$E,$B112,領用表!$B:$B,I$2&amp;$P$1)</f>
        <v/>
      </c>
      <c r="J112" s="20">
        <f>SUMIFS(領用表!$L:$L,領用表!$E:$E,$B112,領用表!$B:$B,J$2&amp;$P$1)</f>
        <v/>
      </c>
      <c r="K112" s="142">
        <f>SUMIFS(領用表!$L:$L,領用表!$E:$E,$B112,領用表!$B:$B,K$2&amp;$P$1)</f>
        <v/>
      </c>
      <c r="L112" s="142">
        <f>SUMIFS(領用表!$L:$L,領用表!$E:$E,$B112,領用表!$B:$B,L$2&amp;$P$1)</f>
        <v/>
      </c>
      <c r="M112" s="142">
        <f>SUMIFS(領用表!$L:$L,領用表!$E:$E,$B112,領用表!$B:$B,M$2&amp;$P$1)</f>
        <v/>
      </c>
      <c r="N112" s="23">
        <f>SUM(,H112,I112,J112,K112,L112,M112)</f>
        <v/>
      </c>
      <c r="O112" s="23">
        <f>AVERAGE(,H112,I112,J112,K112,L112,M112)</f>
        <v/>
      </c>
      <c r="P112" s="142">
        <f>SUMIFS(領用表!$L:$L,領用表!$E:$E,$B112,領用表!$B:$B,P$2&amp;$P$1)</f>
        <v/>
      </c>
      <c r="Q112" s="405">
        <f>SUMIFS(領用表!$L:$L,領用表!$E:$E,$B112,領用表!$B:$B,Q$2&amp;$P$1)</f>
        <v/>
      </c>
      <c r="R112" s="405">
        <f>SUMIFS(領用表!$L:$L,領用表!$E:$E,$B112,領用表!$B:$B,R$2&amp;$P$1)</f>
        <v/>
      </c>
      <c r="S112" s="405">
        <f>SUMIFS(領用表!$L:$L,領用表!$E:$E,$B112,領用表!$B:$B,S$2&amp;$P$1)</f>
        <v/>
      </c>
      <c r="T112" s="405">
        <f>SUMIFS(領用表!$L:$L,領用表!$E:$E,$B112,領用表!$B:$B,T$2&amp;$P$1)</f>
        <v/>
      </c>
      <c r="U112" s="405">
        <f>SUMIFS(領用表!$L:$L,領用表!$E:$E,$B112,領用表!$B:$B,U$2&amp;$P$1)</f>
        <v/>
      </c>
      <c r="V112" s="405">
        <f>SUMIFS(領用表!$L:$L,領用表!$E:$E,$B112,領用表!$B:$B,V$2&amp;$P$1)</f>
        <v/>
      </c>
      <c r="W112" s="405">
        <f>SUMIFS(領用表!$L:$L,領用表!$E:$E,$B112,領用表!$B:$B,W$2&amp;$P$1)</f>
        <v/>
      </c>
      <c r="X112" s="405">
        <f>SUMIFS(領用表!$L:$L,領用表!$E:$E,$B112,領用表!$B:$B,X$2&amp;$P$1)</f>
        <v/>
      </c>
      <c r="Y112" s="405">
        <f>SUMIFS(領用表!$L:$L,領用表!$E:$E,$B112,領用表!$B:$B,Y$2&amp;$P$1)</f>
        <v/>
      </c>
      <c r="Z112" s="405">
        <f>SUMIFS(領用表!$L:$L,領用表!$E:$E,$B112,領用表!$B:$B,Z$2&amp;$P$1)</f>
        <v/>
      </c>
      <c r="AA112" s="405">
        <f>SUMIFS(領用表!$L:$L,領用表!$E:$E,$B112,領用表!$B:$B,AA$2&amp;$P$1)</f>
        <v/>
      </c>
      <c r="AB112" s="405">
        <f>SUM(P112,Q112,R112,S112,T112,U112)</f>
        <v/>
      </c>
      <c r="AC112" s="405">
        <f>AVERAGE(P112,Q112,R112,S112,T112,U112)</f>
        <v/>
      </c>
      <c r="AD112" s="405">
        <f>SUMIF(Summary!B:B,B112,Summary!EC:EC)</f>
        <v/>
      </c>
      <c r="AE112" s="111" t="n"/>
      <c r="AF112" s="80" t="n"/>
      <c r="AG112" s="65" t="n"/>
      <c r="AH112" s="65" t="n"/>
    </row>
    <row r="113" hidden="1" ht="16.5" customHeight="1" s="453">
      <c r="A113" s="27" t="inlineStr">
        <is>
          <t>DN1AA090015T</t>
        </is>
      </c>
      <c r="B113" s="14" t="n">
        <v>1080002</v>
      </c>
      <c r="C113" s="136" t="inlineStr">
        <is>
          <t>神經醯胺水漾保濕面膜/ 30ml</t>
        </is>
      </c>
      <c r="D113" s="77" t="n"/>
      <c r="E113" s="17" t="inlineStr">
        <is>
          <t>PCS</t>
        </is>
      </c>
      <c r="F113" s="18" t="n"/>
      <c r="G113" s="18" t="n"/>
      <c r="H113" s="20">
        <f>SUMIFS(領用表!$L:$L,領用表!$E:$E,$B113,領用表!$B:$B,H$2&amp;$P$1)</f>
        <v/>
      </c>
      <c r="I113" s="20">
        <f>SUMIFS(領用表!$L:$L,領用表!$E:$E,$B113,領用表!$B:$B,I$2&amp;$P$1)</f>
        <v/>
      </c>
      <c r="J113" s="20">
        <f>SUMIFS(領用表!$L:$L,領用表!$E:$E,$B113,領用表!$B:$B,J$2&amp;$P$1)</f>
        <v/>
      </c>
      <c r="K113" s="142">
        <f>SUMIFS(領用表!$L:$L,領用表!$E:$E,$B113,領用表!$B:$B,K$2&amp;$P$1)</f>
        <v/>
      </c>
      <c r="L113" s="142">
        <f>SUMIFS(領用表!$L:$L,領用表!$E:$E,$B113,領用表!$B:$B,L$2&amp;$P$1)</f>
        <v/>
      </c>
      <c r="M113" s="142">
        <f>SUMIFS(領用表!$L:$L,領用表!$E:$E,$B113,領用表!$B:$B,M$2&amp;$P$1)</f>
        <v/>
      </c>
      <c r="N113" s="23">
        <f>SUM(,H113,I113,J113,K113,L113,M113)</f>
        <v/>
      </c>
      <c r="O113" s="23">
        <f>AVERAGE(,H113,I113,J113,K113,L113,M113)</f>
        <v/>
      </c>
      <c r="P113" s="142">
        <f>SUMIFS(領用表!$L:$L,領用表!$E:$E,$B113,領用表!$B:$B,P$2&amp;$P$1)</f>
        <v/>
      </c>
      <c r="Q113" s="142">
        <f>SUMIFS(領用表!$L:$L,領用表!$E:$E,$B113,領用表!$B:$B,Q$2&amp;$P$1)</f>
        <v/>
      </c>
      <c r="R113" s="142">
        <f>SUMIFS(領用表!$L:$L,領用表!$E:$E,$B113,領用表!$B:$B,R$2&amp;$P$1)</f>
        <v/>
      </c>
      <c r="S113" s="142">
        <f>SUMIFS(領用表!$L:$L,領用表!$E:$E,$B113,領用表!$B:$B,S$2&amp;$P$1)</f>
        <v/>
      </c>
      <c r="T113" s="142">
        <f>SUMIFS(領用表!$L:$L,領用表!$E:$E,$B113,領用表!$B:$B,T$2&amp;$P$1)</f>
        <v/>
      </c>
      <c r="U113" s="142" t="n"/>
      <c r="V113" s="142">
        <f>SUMIFS(領用表!$L:$L,領用表!$E:$E,$B113,領用表!$B:$B,V$2&amp;$P$1)</f>
        <v/>
      </c>
      <c r="W113" s="142">
        <f>SUMIFS(領用表!$L:$L,領用表!$E:$E,$B113,領用表!$B:$B,W$2&amp;$P$1)</f>
        <v/>
      </c>
      <c r="X113" s="142">
        <f>SUMIFS(領用表!$L:$L,領用表!$E:$E,$B113,領用表!$B:$B,X$2&amp;$P$1)</f>
        <v/>
      </c>
      <c r="Y113" s="142">
        <f>SUMIFS(領用表!$L:$L,領用表!$E:$E,$B113,領用表!$B:$B,Y$2&amp;$P$1)</f>
        <v/>
      </c>
      <c r="Z113" s="142">
        <f>SUMIFS(領用表!$L:$L,領用表!$E:$E,$B113,領用表!$B:$B,Z$2&amp;$P$1)</f>
        <v/>
      </c>
      <c r="AA113" s="142">
        <f>SUMIFS(領用表!$L:$L,領用表!$E:$E,$B113,領用表!$B:$B,AA$2&amp;$P$1)</f>
        <v/>
      </c>
      <c r="AB113" s="142">
        <f>SUM(P113,Q113,R113,S113,T113,U113)</f>
        <v/>
      </c>
      <c r="AC113" s="142">
        <f>AVERAGE(P113,Q113,R113,S113,T113,U113)</f>
        <v/>
      </c>
      <c r="AD113" s="142">
        <f>SUMIF(Summary!B:B,B113,Summary!EC:EC)</f>
        <v/>
      </c>
      <c r="AE113" s="109" t="n"/>
      <c r="AF113" s="65" t="n"/>
      <c r="AG113" s="65" t="n"/>
      <c r="AH113" s="65" t="n"/>
      <c r="AI113" s="27" t="n"/>
      <c r="AJ113" s="27" t="n"/>
    </row>
    <row r="114" hidden="1" ht="16.5" customHeight="1" s="453">
      <c r="A114" s="27" t="inlineStr">
        <is>
          <t>DN1AA090011T</t>
        </is>
      </c>
      <c r="B114" s="14" t="n">
        <v>1080006</v>
      </c>
      <c r="C114" s="136" t="inlineStr">
        <is>
          <t>肌因抗老修護微導膜 25ml (2015年版)</t>
        </is>
      </c>
      <c r="D114" s="77" t="n"/>
      <c r="E114" s="17" t="inlineStr">
        <is>
          <t>PCS</t>
        </is>
      </c>
      <c r="F114" s="18" t="n"/>
      <c r="G114" s="18" t="n"/>
      <c r="H114" s="20">
        <f>SUMIFS(領用表!$L:$L,領用表!$E:$E,$B114,領用表!$B:$B,H$2&amp;$P$1)</f>
        <v/>
      </c>
      <c r="I114" s="20">
        <f>SUMIFS(領用表!$L:$L,領用表!$E:$E,$B114,領用表!$B:$B,I$2&amp;$P$1)</f>
        <v/>
      </c>
      <c r="J114" s="20">
        <f>SUMIFS(領用表!$L:$L,領用表!$E:$E,$B114,領用表!$B:$B,J$2&amp;$P$1)</f>
        <v/>
      </c>
      <c r="K114" s="142">
        <f>SUMIFS(領用表!$L:$L,領用表!$E:$E,$B114,領用表!$B:$B,K$2&amp;$P$1)</f>
        <v/>
      </c>
      <c r="L114" s="142">
        <f>SUMIFS(領用表!$L:$L,領用表!$E:$E,$B114,領用表!$B:$B,L$2&amp;$P$1)</f>
        <v/>
      </c>
      <c r="M114" s="142">
        <f>SUMIFS(領用表!$L:$L,領用表!$E:$E,$B114,領用表!$B:$B,M$2&amp;$P$1)</f>
        <v/>
      </c>
      <c r="N114" s="23">
        <f>SUM(,H114,I114,J114,K114,L114,M114)</f>
        <v/>
      </c>
      <c r="O114" s="23">
        <f>AVERAGE(,H114,I114,J114,K114,L114,M114)</f>
        <v/>
      </c>
      <c r="P114" s="142">
        <f>SUMIFS(領用表!$L:$L,領用表!$E:$E,$B114,領用表!$B:$B,P$2&amp;$P$1)</f>
        <v/>
      </c>
      <c r="Q114" s="142">
        <f>SUMIFS(領用表!$L:$L,領用表!$E:$E,$B114,領用表!$B:$B,Q$2&amp;$P$1)</f>
        <v/>
      </c>
      <c r="R114" s="142">
        <f>SUMIFS(領用表!$L:$L,領用表!$E:$E,$B114,領用表!$B:$B,R$2&amp;$P$1)</f>
        <v/>
      </c>
      <c r="S114" s="142">
        <f>SUMIFS(領用表!$L:$L,領用表!$E:$E,$B114,領用表!$B:$B,S$2&amp;$P$1)</f>
        <v/>
      </c>
      <c r="T114" s="142">
        <f>SUMIFS(領用表!$L:$L,領用表!$E:$E,$B114,領用表!$B:$B,T$2&amp;$P$1)</f>
        <v/>
      </c>
      <c r="U114" s="142" t="n"/>
      <c r="V114" s="142">
        <f>SUMIFS(領用表!$L:$L,領用表!$E:$E,$B114,領用表!$B:$B,V$2&amp;$P$1)</f>
        <v/>
      </c>
      <c r="W114" s="142">
        <f>SUMIFS(領用表!$L:$L,領用表!$E:$E,$B114,領用表!$B:$B,W$2&amp;$P$1)</f>
        <v/>
      </c>
      <c r="X114" s="142">
        <f>SUMIFS(領用表!$L:$L,領用表!$E:$E,$B114,領用表!$B:$B,X$2&amp;$P$1)</f>
        <v/>
      </c>
      <c r="Y114" s="142">
        <f>SUMIFS(領用表!$L:$L,領用表!$E:$E,$B114,領用表!$B:$B,Y$2&amp;$P$1)</f>
        <v/>
      </c>
      <c r="Z114" s="142">
        <f>SUMIFS(領用表!$L:$L,領用表!$E:$E,$B114,領用表!$B:$B,Z$2&amp;$P$1)</f>
        <v/>
      </c>
      <c r="AA114" s="142">
        <f>SUMIFS(領用表!$L:$L,領用表!$E:$E,$B114,領用表!$B:$B,AA$2&amp;$P$1)</f>
        <v/>
      </c>
      <c r="AB114" s="142">
        <f>SUM(P114,Q114,R114,S114,T114,U114)</f>
        <v/>
      </c>
      <c r="AC114" s="142">
        <f>AVERAGE(P114,Q114,R114,S114,T114,U114)</f>
        <v/>
      </c>
      <c r="AD114" s="142">
        <f>SUMIF(Summary!B:B,B114,Summary!EC:EC)</f>
        <v/>
      </c>
      <c r="AE114" s="109" t="n"/>
      <c r="AF114" s="65" t="n"/>
      <c r="AG114" s="65" t="n"/>
      <c r="AH114" s="76" t="n"/>
    </row>
    <row r="115" hidden="1" ht="16.5" customHeight="1" s="453">
      <c r="A115" s="27" t="inlineStr">
        <is>
          <t>DE1AA090013T</t>
        </is>
      </c>
      <c r="B115" s="14" t="n">
        <v>6080005</v>
      </c>
      <c r="C115" s="136" t="inlineStr">
        <is>
          <t>玻尿酸恆潤保濕面膜 30mL</t>
        </is>
      </c>
      <c r="D115" s="77" t="n"/>
      <c r="E115" s="17" t="inlineStr">
        <is>
          <t>PCS</t>
        </is>
      </c>
      <c r="F115" s="18" t="n"/>
      <c r="G115" s="18" t="n"/>
      <c r="H115" s="20">
        <f>SUMIFS(領用表!$L:$L,領用表!$E:$E,$B115,領用表!$B:$B,H$2&amp;$P$1)</f>
        <v/>
      </c>
      <c r="I115" s="20">
        <f>SUMIFS(領用表!$L:$L,領用表!$E:$E,$B115,領用表!$B:$B,I$2&amp;$P$1)</f>
        <v/>
      </c>
      <c r="J115" s="20">
        <f>SUMIFS(領用表!$L:$L,領用表!$E:$E,$B115,領用表!$B:$B,J$2&amp;$P$1)</f>
        <v/>
      </c>
      <c r="K115" s="142">
        <f>SUMIFS(領用表!$L:$L,領用表!$E:$E,$B115,領用表!$B:$B,K$2&amp;$P$1)</f>
        <v/>
      </c>
      <c r="L115" s="142">
        <f>SUMIFS(領用表!$L:$L,領用表!$E:$E,$B115,領用表!$B:$B,L$2&amp;$P$1)</f>
        <v/>
      </c>
      <c r="M115" s="142">
        <f>SUMIFS(領用表!$L:$L,領用表!$E:$E,$B115,領用表!$B:$B,M$2&amp;$P$1)</f>
        <v/>
      </c>
      <c r="N115" s="23">
        <f>SUM(,H115,I115,J115,K115,L115,M115)</f>
        <v/>
      </c>
      <c r="O115" s="23">
        <f>AVERAGE(,H115,I115,J115,K115,L115,M115)</f>
        <v/>
      </c>
      <c r="P115" s="142">
        <f>SUMIFS(領用表!$L:$L,領用表!$E:$E,$B115,領用表!$B:$B,P$2&amp;$P$1)</f>
        <v/>
      </c>
      <c r="Q115" s="142">
        <f>SUMIFS(領用表!$L:$L,領用表!$E:$E,$B115,領用表!$B:$B,Q$2&amp;$P$1)</f>
        <v/>
      </c>
      <c r="R115" s="142">
        <f>SUMIFS(領用表!$L:$L,領用表!$E:$E,$B115,領用表!$B:$B,R$2&amp;$P$1)</f>
        <v/>
      </c>
      <c r="S115" s="142">
        <f>SUMIFS(領用表!$L:$L,領用表!$E:$E,$B115,領用表!$B:$B,S$2&amp;$P$1)</f>
        <v/>
      </c>
      <c r="T115" s="142">
        <f>SUMIFS(領用表!$L:$L,領用表!$E:$E,$B115,領用表!$B:$B,T$2&amp;$P$1)</f>
        <v/>
      </c>
      <c r="U115" s="142" t="n"/>
      <c r="V115" s="142">
        <f>SUMIFS(領用表!$L:$L,領用表!$E:$E,$B115,領用表!$B:$B,V$2&amp;$P$1)</f>
        <v/>
      </c>
      <c r="W115" s="142">
        <f>SUMIFS(領用表!$L:$L,領用表!$E:$E,$B115,領用表!$B:$B,W$2&amp;$P$1)</f>
        <v/>
      </c>
      <c r="X115" s="142">
        <f>SUMIFS(領用表!$L:$L,領用表!$E:$E,$B115,領用表!$B:$B,X$2&amp;$P$1)</f>
        <v/>
      </c>
      <c r="Y115" s="142">
        <f>SUMIFS(領用表!$L:$L,領用表!$E:$E,$B115,領用表!$B:$B,Y$2&amp;$P$1)</f>
        <v/>
      </c>
      <c r="Z115" s="142">
        <f>SUMIFS(領用表!$L:$L,領用表!$E:$E,$B115,領用表!$B:$B,Z$2&amp;$P$1)</f>
        <v/>
      </c>
      <c r="AA115" s="142">
        <f>SUMIFS(領用表!$L:$L,領用表!$E:$E,$B115,領用表!$B:$B,AA$2&amp;$P$1)</f>
        <v/>
      </c>
      <c r="AB115" s="142">
        <f>SUM(P115,Q115,R115,S115,T115,U115)</f>
        <v/>
      </c>
      <c r="AC115" s="142">
        <f>AVERAGE(P115,Q115,R115,S115,T115,U115)</f>
        <v/>
      </c>
      <c r="AD115" s="142">
        <f>SUMIF(Summary!B:B,B115,Summary!EC:EC)</f>
        <v/>
      </c>
      <c r="AE115" s="109" t="n"/>
      <c r="AF115" s="65" t="n"/>
      <c r="AG115" s="65" t="n"/>
      <c r="AH115" s="65" t="n"/>
    </row>
    <row r="116" hidden="1" ht="16.5" customHeight="1" s="453">
      <c r="A116" s="27" t="inlineStr">
        <is>
          <t>DN1AB090006T</t>
        </is>
      </c>
      <c r="B116" s="14" t="n">
        <v>1080005</v>
      </c>
      <c r="C116" s="136" t="inlineStr">
        <is>
          <t>明眸撫紋水嫩眼膜 10mL(玫瑰金)</t>
        </is>
      </c>
      <c r="D116" s="77" t="n"/>
      <c r="E116" s="17" t="inlineStr">
        <is>
          <t>PCS</t>
        </is>
      </c>
      <c r="F116" s="18" t="n"/>
      <c r="G116" s="18" t="n"/>
      <c r="H116" s="20">
        <f>SUMIFS(領用表!$L:$L,領用表!$E:$E,$B116,領用表!$B:$B,H$2&amp;$P$1)</f>
        <v/>
      </c>
      <c r="I116" s="20">
        <f>SUMIFS(領用表!$L:$L,領用表!$E:$E,$B116,領用表!$B:$B,I$2&amp;$P$1)</f>
        <v/>
      </c>
      <c r="J116" s="20">
        <f>SUMIFS(領用表!$L:$L,領用表!$E:$E,$B116,領用表!$B:$B,J$2&amp;$P$1)</f>
        <v/>
      </c>
      <c r="K116" s="142">
        <f>SUMIFS(領用表!$L:$L,領用表!$E:$E,$B116,領用表!$B:$B,K$2&amp;$P$1)</f>
        <v/>
      </c>
      <c r="L116" s="142">
        <f>SUMIFS(領用表!$L:$L,領用表!$E:$E,$B116,領用表!$B:$B,L$2&amp;$P$1)</f>
        <v/>
      </c>
      <c r="M116" s="142">
        <f>SUMIFS(領用表!$L:$L,領用表!$E:$E,$B116,領用表!$B:$B,M$2&amp;$P$1)</f>
        <v/>
      </c>
      <c r="N116" s="23">
        <f>SUM(,H116,I116,J116,K116,L116,M116)</f>
        <v/>
      </c>
      <c r="O116" s="23">
        <f>AVERAGE(,H116,I116,J116,K116,L116,M116)</f>
        <v/>
      </c>
      <c r="P116" s="142">
        <f>SUMIFS(領用表!$L:$L,領用表!$E:$E,$B116,領用表!$B:$B,P$2&amp;$P$1)</f>
        <v/>
      </c>
      <c r="Q116" s="142">
        <f>SUMIFS(領用表!$L:$L,領用表!$E:$E,$B116,領用表!$B:$B,Q$2&amp;$P$1)</f>
        <v/>
      </c>
      <c r="R116" s="142">
        <f>SUMIFS(領用表!$L:$L,領用表!$E:$E,$B116,領用表!$B:$B,R$2&amp;$P$1)</f>
        <v/>
      </c>
      <c r="S116" s="142">
        <f>SUMIFS(領用表!$L:$L,領用表!$E:$E,$B116,領用表!$B:$B,S$2&amp;$P$1)</f>
        <v/>
      </c>
      <c r="T116" s="142">
        <f>SUMIFS(領用表!$L:$L,領用表!$E:$E,$B116,領用表!$B:$B,T$2&amp;$P$1)</f>
        <v/>
      </c>
      <c r="U116" s="142" t="n"/>
      <c r="V116" s="142">
        <f>SUMIFS(領用表!$L:$L,領用表!$E:$E,$B116,領用表!$B:$B,V$2&amp;$P$1)</f>
        <v/>
      </c>
      <c r="W116" s="142">
        <f>SUMIFS(領用表!$L:$L,領用表!$E:$E,$B116,領用表!$B:$B,W$2&amp;$P$1)</f>
        <v/>
      </c>
      <c r="X116" s="142">
        <f>SUMIFS(領用表!$L:$L,領用表!$E:$E,$B116,領用表!$B:$B,X$2&amp;$P$1)</f>
        <v/>
      </c>
      <c r="Y116" s="142">
        <f>SUMIFS(領用表!$L:$L,領用表!$E:$E,$B116,領用表!$B:$B,Y$2&amp;$P$1)</f>
        <v/>
      </c>
      <c r="Z116" s="142">
        <f>SUMIFS(領用表!$L:$L,領用表!$E:$E,$B116,領用表!$B:$B,Z$2&amp;$P$1)</f>
        <v/>
      </c>
      <c r="AA116" s="142">
        <f>SUMIFS(領用表!$L:$L,領用表!$E:$E,$B116,領用表!$B:$B,AA$2&amp;$P$1)</f>
        <v/>
      </c>
      <c r="AB116" s="142">
        <f>SUM(P116,Q116,R116,S116,T116,U116)</f>
        <v/>
      </c>
      <c r="AC116" s="142">
        <f>AVERAGE(P116,Q116,R116,S116,T116,U116)</f>
        <v/>
      </c>
      <c r="AD116" s="142">
        <f>SUMIF(Summary!B:B,B116,Summary!EC:EC)</f>
        <v/>
      </c>
      <c r="AE116" s="109" t="n"/>
      <c r="AF116" s="65" t="n"/>
      <c r="AG116" s="65" t="n"/>
      <c r="AH116" s="65" t="n"/>
    </row>
    <row r="117" hidden="1" ht="16.5" customHeight="1" s="453">
      <c r="A117" s="27" t="inlineStr">
        <is>
          <t>DL1GD000020T</t>
        </is>
      </c>
      <c r="B117" s="14" t="e">
        <v>#N/A</v>
      </c>
      <c r="C117" s="136" t="inlineStr">
        <is>
          <t>暢護菌益康粉包 3g(30入)(繁體版)</t>
        </is>
      </c>
      <c r="D117" s="77" t="n"/>
      <c r="E117" s="17" t="inlineStr">
        <is>
          <t>PCS</t>
        </is>
      </c>
      <c r="F117" s="18" t="n"/>
      <c r="G117" s="18" t="n"/>
      <c r="H117" s="20">
        <f>SUMIFS(領用表!$L:$L,領用表!$E:$E,$B117,領用表!$B:$B,H$2&amp;$P$1)</f>
        <v/>
      </c>
      <c r="I117" s="20">
        <f>SUMIFS(領用表!$L:$L,領用表!$E:$E,$B117,領用表!$B:$B,I$2&amp;$P$1)</f>
        <v/>
      </c>
      <c r="J117" s="20">
        <f>SUMIFS(領用表!$L:$L,領用表!$E:$E,$B117,領用表!$B:$B,J$2&amp;$P$1)</f>
        <v/>
      </c>
      <c r="K117" s="142">
        <f>SUMIFS(領用表!$L:$L,領用表!$E:$E,$B117,領用表!$B:$B,K$2&amp;$P$1)</f>
        <v/>
      </c>
      <c r="L117" s="142">
        <f>SUMIFS(領用表!$L:$L,領用表!$E:$E,$B117,領用表!$B:$B,L$2&amp;$P$1)</f>
        <v/>
      </c>
      <c r="M117" s="142">
        <f>SUMIFS(領用表!$L:$L,領用表!$E:$E,$B117,領用表!$B:$B,M$2&amp;$P$1)</f>
        <v/>
      </c>
      <c r="N117" s="23">
        <f>SUM(,H117,I117,J117,K117,L117,M117)</f>
        <v/>
      </c>
      <c r="O117" s="23">
        <f>AVERAGE(,H117,I117,J117,K117,L117,M117)</f>
        <v/>
      </c>
      <c r="P117" s="142">
        <f>SUMIFS(領用表!$L:$L,領用表!$E:$E,$B117,領用表!$B:$B,P$2&amp;$P$1)</f>
        <v/>
      </c>
      <c r="Q117" s="142">
        <f>SUMIFS(領用表!$L:$L,領用表!$E:$E,$B117,領用表!$B:$B,Q$2&amp;$P$1)</f>
        <v/>
      </c>
      <c r="R117" s="142">
        <f>SUMIFS(領用表!$L:$L,領用表!$E:$E,$B117,領用表!$B:$B,R$2&amp;$P$1)</f>
        <v/>
      </c>
      <c r="S117" s="142">
        <f>SUMIFS(領用表!$L:$L,領用表!$E:$E,$B117,領用表!$B:$B,S$2&amp;$P$1)</f>
        <v/>
      </c>
      <c r="T117" s="142">
        <f>SUMIFS(領用表!$L:$L,領用表!$E:$E,$B117,領用表!$B:$B,T$2&amp;$P$1)</f>
        <v/>
      </c>
      <c r="U117" s="142">
        <f>SUMIFS(領用表!$L:$L,領用表!$E:$E,$B117,領用表!$B:$B,U$2&amp;$P$1)</f>
        <v/>
      </c>
      <c r="V117" s="142">
        <f>SUMIFS(領用表!$L:$L,領用表!$E:$E,$B117,領用表!$B:$B,V$2&amp;$P$1)</f>
        <v/>
      </c>
      <c r="W117" s="142">
        <f>SUMIFS(領用表!$L:$L,領用表!$E:$E,$B117,領用表!$B:$B,W$2&amp;$P$1)</f>
        <v/>
      </c>
      <c r="X117" s="142">
        <f>SUMIFS(領用表!$L:$L,領用表!$E:$E,$B117,領用表!$B:$B,X$2&amp;$P$1)</f>
        <v/>
      </c>
      <c r="Y117" s="142">
        <f>SUMIFS(領用表!$L:$L,領用表!$E:$E,$B117,領用表!$B:$B,Y$2&amp;$P$1)</f>
        <v/>
      </c>
      <c r="Z117" s="142">
        <f>SUMIFS(領用表!$L:$L,領用表!$E:$E,$B117,領用表!$B:$B,Z$2&amp;$P$1)</f>
        <v/>
      </c>
      <c r="AA117" s="142">
        <f>SUMIFS(領用表!$L:$L,領用表!$E:$E,$B117,領用表!$B:$B,AA$2&amp;$P$1)</f>
        <v/>
      </c>
      <c r="AB117" s="142">
        <f>SUM(P117,Q117,R117,S117,T117,U117)</f>
        <v/>
      </c>
      <c r="AC117" s="142">
        <f>AVERAGE(P117,Q117,R117,S117,T117,U117)</f>
        <v/>
      </c>
      <c r="AD117" s="142">
        <f>SUMIF(Summary!B:B,B117,Summary!EC:EC)</f>
        <v/>
      </c>
      <c r="AE117" s="109" t="n"/>
      <c r="AF117" s="65" t="n"/>
      <c r="AG117" s="65" t="n"/>
      <c r="AH117" s="65" t="n"/>
    </row>
    <row r="118" hidden="1" ht="16.5" customHeight="1" s="453">
      <c r="A118" s="27" t="inlineStr">
        <is>
          <t>DA1GD000017T</t>
        </is>
      </c>
      <c r="B118" s="14" t="e">
        <v>#N/A</v>
      </c>
      <c r="C118" s="136" t="inlineStr">
        <is>
          <t>R3 愛益菌 56盒/箱</t>
        </is>
      </c>
      <c r="D118" s="77" t="n"/>
      <c r="E118" s="17" t="inlineStr">
        <is>
          <t>PCS</t>
        </is>
      </c>
      <c r="F118" s="18" t="n"/>
      <c r="G118" s="18" t="n"/>
      <c r="H118" s="20">
        <f>SUMIFS(領用表!$L:$L,領用表!$E:$E,$B118,領用表!$B:$B,H$2&amp;$P$1)</f>
        <v/>
      </c>
      <c r="I118" s="20">
        <f>SUMIFS(領用表!$L:$L,領用表!$E:$E,$B118,領用表!$B:$B,I$2&amp;$P$1)</f>
        <v/>
      </c>
      <c r="J118" s="20">
        <f>SUMIFS(領用表!$L:$L,領用表!$E:$E,$B118,領用表!$B:$B,J$2&amp;$P$1)</f>
        <v/>
      </c>
      <c r="K118" s="142">
        <f>SUMIFS(領用表!$L:$L,領用表!$E:$E,$B118,領用表!$B:$B,K$2&amp;$P$1)</f>
        <v/>
      </c>
      <c r="L118" s="142">
        <f>SUMIFS(領用表!$L:$L,領用表!$E:$E,$B118,領用表!$B:$B,L$2&amp;$P$1)</f>
        <v/>
      </c>
      <c r="M118" s="142">
        <f>SUMIFS(領用表!$L:$L,領用表!$E:$E,$B118,領用表!$B:$B,M$2&amp;$P$1)</f>
        <v/>
      </c>
      <c r="N118" s="23">
        <f>SUM(,H118,I118,J118,K118,L118,M118)</f>
        <v/>
      </c>
      <c r="O118" s="23">
        <f>AVERAGE(,H118,I118,J118,K118,L118,M118)</f>
        <v/>
      </c>
      <c r="P118" s="142">
        <f>SUMIFS(領用表!$L:$L,領用表!$E:$E,$B118,領用表!$B:$B,P$2&amp;$P$1)</f>
        <v/>
      </c>
      <c r="Q118" s="142">
        <f>SUMIFS(領用表!$L:$L,領用表!$E:$E,$B118,領用表!$B:$B,Q$2&amp;$P$1)</f>
        <v/>
      </c>
      <c r="R118" s="142">
        <f>SUMIFS(領用表!$L:$L,領用表!$E:$E,$B118,領用表!$B:$B,R$2&amp;$P$1)</f>
        <v/>
      </c>
      <c r="S118" s="142">
        <f>SUMIFS(領用表!$L:$L,領用表!$E:$E,$B118,領用表!$B:$B,S$2&amp;$P$1)</f>
        <v/>
      </c>
      <c r="T118" s="142">
        <f>SUMIFS(領用表!$L:$L,領用表!$E:$E,$B118,領用表!$B:$B,T$2&amp;$P$1)</f>
        <v/>
      </c>
      <c r="U118" s="142">
        <f>SUMIFS(領用表!$L:$L,領用表!$E:$E,$B118,領用表!$B:$B,U$2&amp;$P$1)</f>
        <v/>
      </c>
      <c r="V118" s="142">
        <f>SUMIFS(領用表!$L:$L,領用表!$E:$E,$B118,領用表!$B:$B,V$2&amp;$P$1)</f>
        <v/>
      </c>
      <c r="W118" s="142">
        <f>SUMIFS(領用表!$L:$L,領用表!$E:$E,$B118,領用表!$B:$B,W$2&amp;$P$1)</f>
        <v/>
      </c>
      <c r="X118" s="142">
        <f>SUMIFS(領用表!$L:$L,領用表!$E:$E,$B118,領用表!$B:$B,X$2&amp;$P$1)</f>
        <v/>
      </c>
      <c r="Y118" s="142">
        <f>SUMIFS(領用表!$L:$L,領用表!$E:$E,$B118,領用表!$B:$B,Y$2&amp;$P$1)</f>
        <v/>
      </c>
      <c r="Z118" s="142">
        <f>SUMIFS(領用表!$L:$L,領用表!$E:$E,$B118,領用表!$B:$B,Z$2&amp;$P$1)</f>
        <v/>
      </c>
      <c r="AA118" s="142">
        <f>SUMIFS(領用表!$L:$L,領用表!$E:$E,$B118,領用表!$B:$B,AA$2&amp;$P$1)</f>
        <v/>
      </c>
      <c r="AB118" s="142">
        <f>SUM(P118,Q118,R118,S118,T118,U118)</f>
        <v/>
      </c>
      <c r="AC118" s="142">
        <f>AVERAGE(P118,Q118,R118,S118,T118,U118)</f>
        <v/>
      </c>
      <c r="AD118" s="142">
        <f>SUMIF(Summary!B:B,B118,Summary!EC:EC)</f>
        <v/>
      </c>
      <c r="AE118" s="109" t="n"/>
      <c r="AF118" s="65" t="n"/>
      <c r="AG118" s="65" t="n"/>
      <c r="AH118" s="65" t="n"/>
    </row>
    <row r="119" hidden="1" ht="16.5" customHeight="1" s="453">
      <c r="A119" s="27" t="inlineStr">
        <is>
          <t>DN1AA090023T</t>
        </is>
      </c>
      <c r="B119" s="14" t="e">
        <v>#N/A</v>
      </c>
      <c r="C119" s="136" t="inlineStr">
        <is>
          <t>金采肌效生物纖維面膜 30mL</t>
        </is>
      </c>
      <c r="D119" s="77" t="n"/>
      <c r="E119" s="17" t="inlineStr">
        <is>
          <t>PCS</t>
        </is>
      </c>
      <c r="F119" s="18" t="n"/>
      <c r="G119" s="18" t="n"/>
      <c r="H119" s="20">
        <f>SUMIFS(領用表!$L:$L,領用表!$E:$E,$B119,領用表!$B:$B,H$2&amp;$P$1)</f>
        <v/>
      </c>
      <c r="I119" s="20">
        <f>SUMIFS(領用表!$L:$L,領用表!$E:$E,$B119,領用表!$B:$B,I$2&amp;$P$1)</f>
        <v/>
      </c>
      <c r="J119" s="20">
        <f>SUMIFS(領用表!$L:$L,領用表!$E:$E,$B119,領用表!$B:$B,J$2&amp;$P$1)</f>
        <v/>
      </c>
      <c r="K119" s="142">
        <f>SUMIFS(領用表!$L:$L,領用表!$E:$E,$B119,領用表!$B:$B,K$2&amp;$P$1)</f>
        <v/>
      </c>
      <c r="L119" s="142">
        <f>SUMIFS(領用表!$L:$L,領用表!$E:$E,$B119,領用表!$B:$B,L$2&amp;$P$1)</f>
        <v/>
      </c>
      <c r="M119" s="142">
        <f>SUMIFS(領用表!$L:$L,領用表!$E:$E,$B119,領用表!$B:$B,M$2&amp;$P$1)</f>
        <v/>
      </c>
      <c r="N119" s="23">
        <f>SUM(,H119,I119,J119,K119,L119,M119)</f>
        <v/>
      </c>
      <c r="O119" s="23">
        <f>AVERAGE(,H119,I119,J119,K119,L119,M119)</f>
        <v/>
      </c>
      <c r="P119" s="142">
        <f>SUMIFS(領用表!$L:$L,領用表!$E:$E,$B119,領用表!$B:$B,P$2&amp;$P$1)</f>
        <v/>
      </c>
      <c r="Q119" s="142">
        <f>SUMIFS(領用表!$L:$L,領用表!$E:$E,$B119,領用表!$B:$B,Q$2&amp;$P$1)</f>
        <v/>
      </c>
      <c r="R119" s="142">
        <f>SUMIFS(領用表!$L:$L,領用表!$E:$E,$B119,領用表!$B:$B,R$2&amp;$P$1)</f>
        <v/>
      </c>
      <c r="S119" s="142">
        <f>SUMIFS(領用表!$L:$L,領用表!$E:$E,$B119,領用表!$B:$B,S$2&amp;$P$1)</f>
        <v/>
      </c>
      <c r="T119" s="142">
        <f>SUMIFS(領用表!$L:$L,領用表!$E:$E,$B119,領用表!$B:$B,T$2&amp;$P$1)</f>
        <v/>
      </c>
      <c r="U119" s="142">
        <f>SUMIFS(領用表!$L:$L,領用表!$E:$E,$B119,領用表!$B:$B,U$2&amp;$P$1)</f>
        <v/>
      </c>
      <c r="V119" s="142">
        <f>SUMIFS(領用表!$L:$L,領用表!$E:$E,$B119,領用表!$B:$B,V$2&amp;$P$1)</f>
        <v/>
      </c>
      <c r="W119" s="142">
        <f>SUMIFS(領用表!$L:$L,領用表!$E:$E,$B119,領用表!$B:$B,W$2&amp;$P$1)</f>
        <v/>
      </c>
      <c r="X119" s="142">
        <f>SUMIFS(領用表!$L:$L,領用表!$E:$E,$B119,領用表!$B:$B,X$2&amp;$P$1)</f>
        <v/>
      </c>
      <c r="Y119" s="142">
        <f>SUMIFS(領用表!$L:$L,領用表!$E:$E,$B119,領用表!$B:$B,Y$2&amp;$P$1)</f>
        <v/>
      </c>
      <c r="Z119" s="142">
        <f>SUMIFS(領用表!$L:$L,領用表!$E:$E,$B119,領用表!$B:$B,Z$2&amp;$P$1)</f>
        <v/>
      </c>
      <c r="AA119" s="142">
        <f>SUMIFS(領用表!$L:$L,領用表!$E:$E,$B119,領用表!$B:$B,AA$2&amp;$P$1)</f>
        <v/>
      </c>
      <c r="AB119" s="142">
        <f>SUM(P119,Q119,R119,S119,T119,U119)</f>
        <v/>
      </c>
      <c r="AC119" s="142">
        <f>AVERAGE(P119,Q119,R119,S119,T119,U119)</f>
        <v/>
      </c>
      <c r="AD119" s="142">
        <f>SUMIF(Summary!B:B,B119,Summary!EC:EC)</f>
        <v/>
      </c>
      <c r="AE119" s="109" t="n"/>
      <c r="AF119" s="65" t="n"/>
      <c r="AG119" s="65" t="n"/>
      <c r="AH119" s="65" t="n"/>
    </row>
    <row r="120" hidden="1" ht="14.25" customHeight="1" s="453">
      <c r="A120" s="27" t="inlineStr">
        <is>
          <t>TL1BK130005T</t>
        </is>
      </c>
      <c r="B120" s="14" t="e">
        <v>#N/A</v>
      </c>
      <c r="C120" s="136" t="inlineStr">
        <is>
          <t>試用-日出朝陽按摩油 200ml</t>
        </is>
      </c>
      <c r="D120" s="77" t="n"/>
      <c r="E120" s="17" t="inlineStr">
        <is>
          <t>PCS</t>
        </is>
      </c>
      <c r="F120" s="18" t="n"/>
      <c r="G120" s="18" t="n"/>
      <c r="H120" s="20">
        <f>SUMIFS(領用表!$L:$L,領用表!$E:$E,$B120,領用表!$B:$B,H$2&amp;$P$1)</f>
        <v/>
      </c>
      <c r="I120" s="20">
        <f>SUMIFS(領用表!$L:$L,領用表!$E:$E,$B120,領用表!$B:$B,I$2&amp;$P$1)</f>
        <v/>
      </c>
      <c r="J120" s="20">
        <f>SUMIFS(領用表!$L:$L,領用表!$E:$E,$B120,領用表!$B:$B,J$2&amp;$P$1)</f>
        <v/>
      </c>
      <c r="K120" s="142">
        <f>SUMIFS(領用表!$L:$L,領用表!$E:$E,$B120,領用表!$B:$B,K$2&amp;$P$1)</f>
        <v/>
      </c>
      <c r="L120" s="142">
        <f>SUMIFS(領用表!$L:$L,領用表!$E:$E,$B120,領用表!$B:$B,L$2&amp;$P$1)</f>
        <v/>
      </c>
      <c r="M120" s="142">
        <f>SUMIFS(領用表!$L:$L,領用表!$E:$E,$B120,領用表!$B:$B,M$2&amp;$P$1)</f>
        <v/>
      </c>
      <c r="N120" s="23">
        <f>SUM(,H120,I120,J120,K120,L120,M120)</f>
        <v/>
      </c>
      <c r="O120" s="23">
        <f>AVERAGE(,H120,I120,J120,K120,L120,M120)</f>
        <v/>
      </c>
      <c r="P120" s="142">
        <f>SUMIFS(領用表!$L:$L,領用表!$E:$E,$B120,領用表!$B:$B,P$2&amp;$P$1)</f>
        <v/>
      </c>
      <c r="Q120" s="405">
        <f>SUMIFS(領用表!$L:$L,領用表!$E:$E,$B120,領用表!$B:$B,Q$2&amp;$P$1)</f>
        <v/>
      </c>
      <c r="R120" s="405">
        <f>SUMIFS(領用表!$L:$L,領用表!$E:$E,$B120,領用表!$B:$B,R$2&amp;$P$1)</f>
        <v/>
      </c>
      <c r="S120" s="405">
        <f>SUMIFS(領用表!$L:$L,領用表!$E:$E,$B120,領用表!$B:$B,S$2&amp;$P$1)</f>
        <v/>
      </c>
      <c r="T120" s="405">
        <f>SUMIFS(領用表!$L:$L,領用表!$E:$E,$B120,領用表!$B:$B,T$2&amp;$P$1)</f>
        <v/>
      </c>
      <c r="U120" s="405">
        <f>SUMIFS(領用表!$L:$L,領用表!$E:$E,$B120,領用表!$B:$B,U$2&amp;$P$1)</f>
        <v/>
      </c>
      <c r="V120" s="405">
        <f>SUMIFS(領用表!$L:$L,領用表!$E:$E,$B120,領用表!$B:$B,V$2&amp;$P$1)</f>
        <v/>
      </c>
      <c r="W120" s="405">
        <f>SUMIFS(領用表!$L:$L,領用表!$E:$E,$B120,領用表!$B:$B,W$2&amp;$P$1)</f>
        <v/>
      </c>
      <c r="X120" s="405">
        <f>SUMIFS(領用表!$L:$L,領用表!$E:$E,$B120,領用表!$B:$B,X$2&amp;$P$1)</f>
        <v/>
      </c>
      <c r="Y120" s="405">
        <f>SUMIFS(領用表!$L:$L,領用表!$E:$E,$B120,領用表!$B:$B,Y$2&amp;$P$1)</f>
        <v/>
      </c>
      <c r="Z120" s="405">
        <f>SUMIFS(領用表!$L:$L,領用表!$E:$E,$B120,領用表!$B:$B,Z$2&amp;$P$1)</f>
        <v/>
      </c>
      <c r="AA120" s="405">
        <f>SUMIFS(領用表!$L:$L,領用表!$E:$E,$B120,領用表!$B:$B,AA$2&amp;$P$1)</f>
        <v/>
      </c>
      <c r="AB120" s="405">
        <f>SUM(P120,Q120,R120,S120,T120,U120)</f>
        <v/>
      </c>
      <c r="AC120" s="405">
        <f>AVERAGE(P120,Q120,R120,S120,T120,U120)</f>
        <v/>
      </c>
      <c r="AD120" s="405">
        <f>SUMIF(Summary!B:B,B120,Summary!EC:EC)</f>
        <v/>
      </c>
      <c r="AE120" s="111" t="n"/>
      <c r="AF120" s="80" t="n"/>
      <c r="AG120" s="76" t="n"/>
      <c r="AH120" s="65" t="n"/>
    </row>
    <row r="121" ht="16.5" customHeight="1" s="453">
      <c r="A121" s="27" t="inlineStr">
        <is>
          <t>DL1BE070001T</t>
        </is>
      </c>
      <c r="B121" s="14" t="e">
        <v>#N/A</v>
      </c>
      <c r="C121" s="136" t="inlineStr">
        <is>
          <t>天使漫步腿部舒緩霜 250mL</t>
        </is>
      </c>
      <c r="D121" s="77" t="n"/>
      <c r="E121" s="17" t="inlineStr">
        <is>
          <t>PCS</t>
        </is>
      </c>
      <c r="F121" s="18" t="n"/>
      <c r="G121" s="18" t="n"/>
      <c r="H121" s="20">
        <f>SUMIFS(領用表!$L:$L,領用表!$E:$E,$B121,領用表!$B:$B,H$2&amp;$P$1)</f>
        <v/>
      </c>
      <c r="I121" s="20">
        <f>SUMIFS(領用表!$L:$L,領用表!$E:$E,$B121,領用表!$B:$B,I$2&amp;$P$1)</f>
        <v/>
      </c>
      <c r="J121" s="20">
        <f>SUMIFS(領用表!$L:$L,領用表!$E:$E,$B121,領用表!$B:$B,J$2&amp;$P$1)</f>
        <v/>
      </c>
      <c r="K121" s="142">
        <f>SUMIFS(領用表!$L:$L,領用表!$E:$E,$B121,領用表!$B:$B,K$2&amp;$P$1)</f>
        <v/>
      </c>
      <c r="L121" s="142">
        <f>SUMIFS(領用表!$L:$L,領用表!$E:$E,$B121,領用表!$B:$B,L$2&amp;$P$1)</f>
        <v/>
      </c>
      <c r="M121" s="142">
        <f>SUMIFS(領用表!$L:$L,領用表!$E:$E,$B121,領用表!$B:$B,M$2&amp;$P$1)</f>
        <v/>
      </c>
      <c r="N121" s="23">
        <f>SUM(,H121,I121,J121,K121,L121,M121)</f>
        <v/>
      </c>
      <c r="O121" s="23">
        <f>AVERAGE(,H121,I121,J121,K121,L121,M121)</f>
        <v/>
      </c>
      <c r="P121" s="142">
        <f>SUMIFS(領用表!$L:$L,領用表!$E:$E,$B121,領用表!$B:$B,P$2&amp;$P$1)</f>
        <v/>
      </c>
      <c r="Q121" s="405">
        <f>SUMIFS(領用表!$L:$L,領用表!$E:$E,$B121,領用表!$B:$B,Q$2&amp;$P$1)</f>
        <v/>
      </c>
      <c r="R121" s="405">
        <f>SUMIFS(領用表!$L:$L,領用表!$E:$E,$B121,領用表!$B:$B,R$2&amp;$P$1)</f>
        <v/>
      </c>
      <c r="S121" s="405">
        <f>SUMIFS(領用表!$L:$L,領用表!$E:$E,$B121,領用表!$B:$B,S$2&amp;$P$1)</f>
        <v/>
      </c>
      <c r="T121" s="405">
        <f>SUMIFS(領用表!$L:$L,領用表!$E:$E,$B121,領用表!$B:$B,T$2&amp;$P$1)</f>
        <v/>
      </c>
      <c r="U121" s="405">
        <f>SUMIFS(領用表!$L:$L,領用表!$E:$E,$B121,領用表!$B:$B,U$2&amp;$P$1)</f>
        <v/>
      </c>
      <c r="V121" s="405">
        <f>SUMIFS(領用表!$L:$L,領用表!$E:$E,$B121,領用表!$B:$B,V$2&amp;$P$1)</f>
        <v/>
      </c>
      <c r="W121" s="405">
        <f>SUMIFS(領用表!$L:$L,領用表!$E:$E,$B121,領用表!$B:$B,W$2&amp;$P$1)</f>
        <v/>
      </c>
      <c r="X121" s="405">
        <f>SUMIFS(領用表!$L:$L,領用表!$E:$E,$B121,領用表!$B:$B,X$2&amp;$P$1)</f>
        <v/>
      </c>
      <c r="Y121" s="405">
        <f>SUMIFS(領用表!$L:$L,領用表!$E:$E,$B121,領用表!$B:$B,Y$2&amp;$P$1)</f>
        <v/>
      </c>
      <c r="Z121" s="405">
        <f>SUMIFS(領用表!$L:$L,領用表!$E:$E,$B121,領用表!$B:$B,Z$2&amp;$P$1)</f>
        <v/>
      </c>
      <c r="AA121" s="405">
        <f>SUMIFS(領用表!$L:$L,領用表!$E:$E,$B121,領用表!$B:$B,AA$2&amp;$P$1)</f>
        <v/>
      </c>
      <c r="AB121" s="405">
        <f>SUM(P121,Q121,R121,S121,T121,U121)</f>
        <v/>
      </c>
      <c r="AC121" s="405">
        <f>AVERAGE(P121,Q121,R121,S121,T121,U121)</f>
        <v/>
      </c>
      <c r="AD121" s="405">
        <f>SUMIF(Summary!B:B,B121,Summary!EC:EC)</f>
        <v/>
      </c>
      <c r="AF121" s="80" t="n"/>
      <c r="AG121" s="65" t="n"/>
      <c r="AH121" s="65" t="n"/>
    </row>
    <row r="122" hidden="1" ht="16.5" customHeight="1" s="453">
      <c r="A122" s="27" t="inlineStr">
        <is>
          <t>DL1GA000071T</t>
        </is>
      </c>
      <c r="B122" s="14" t="e">
        <v>#N/A</v>
      </c>
      <c r="C122" s="136" t="inlineStr">
        <is>
          <t>新纖有酵蔬果酵素飲50ml(15入)停產</t>
        </is>
      </c>
      <c r="D122" s="77" t="n"/>
      <c r="E122" s="17" t="inlineStr">
        <is>
          <t>PCS</t>
        </is>
      </c>
      <c r="F122" s="18" t="n"/>
      <c r="G122" s="18" t="n"/>
      <c r="H122" s="20">
        <f>SUMIFS(領用表!$L:$L,領用表!$E:$E,$B122,領用表!$B:$B,H$2&amp;$P$1)</f>
        <v/>
      </c>
      <c r="I122" s="20">
        <f>SUMIFS(領用表!$L:$L,領用表!$E:$E,$B122,領用表!$B:$B,I$2&amp;$P$1)</f>
        <v/>
      </c>
      <c r="J122" s="20">
        <f>SUMIFS(領用表!$L:$L,領用表!$E:$E,$B122,領用表!$B:$B,J$2&amp;$P$1)</f>
        <v/>
      </c>
      <c r="K122" s="142">
        <f>SUMIFS(領用表!$L:$L,領用表!$E:$E,$B122,領用表!$B:$B,K$2&amp;$P$1)</f>
        <v/>
      </c>
      <c r="L122" s="142">
        <f>SUMIFS(領用表!$L:$L,領用表!$E:$E,$B122,領用表!$B:$B,L$2&amp;$P$1)</f>
        <v/>
      </c>
      <c r="M122" s="142">
        <f>SUMIFS(領用表!$L:$L,領用表!$E:$E,$B122,領用表!$B:$B,M$2&amp;$P$1)</f>
        <v/>
      </c>
      <c r="N122" s="23">
        <f>SUM(,H122,I122,J122,K122,L122,M122)</f>
        <v/>
      </c>
      <c r="O122" s="23">
        <f>AVERAGE(,H122,I122,J122,K122,L122,M122)</f>
        <v/>
      </c>
      <c r="P122" s="142">
        <f>SUMIFS(領用表!$L:$L,領用表!$E:$E,$B122,領用表!$B:$B,P$2&amp;$P$1)</f>
        <v/>
      </c>
      <c r="Q122" s="142">
        <f>SUMIFS(領用表!$L:$L,領用表!$E:$E,$B122,領用表!$B:$B,Q$2&amp;$P$1)</f>
        <v/>
      </c>
      <c r="R122" s="142">
        <f>SUMIFS(領用表!$L:$L,領用表!$E:$E,$B122,領用表!$B:$B,R$2&amp;$P$1)</f>
        <v/>
      </c>
      <c r="S122" s="142">
        <f>SUMIFS(領用表!$L:$L,領用表!$E:$E,$B122,領用表!$B:$B,S$2&amp;$P$1)</f>
        <v/>
      </c>
      <c r="T122" s="142">
        <f>SUMIFS(領用表!$L:$L,領用表!$E:$E,$B122,領用表!$B:$B,T$2&amp;$P$1)</f>
        <v/>
      </c>
      <c r="U122" s="142">
        <f>SUMIFS(領用表!$L:$L,領用表!$E:$E,$B122,領用表!$B:$B,U$2&amp;$P$1)</f>
        <v/>
      </c>
      <c r="V122" s="142">
        <f>SUMIFS(領用表!$L:$L,領用表!$E:$E,$B122,領用表!$B:$B,V$2&amp;$P$1)</f>
        <v/>
      </c>
      <c r="W122" s="142">
        <f>SUMIFS(領用表!$L:$L,領用表!$E:$E,$B122,領用表!$B:$B,W$2&amp;$P$1)</f>
        <v/>
      </c>
      <c r="X122" s="142">
        <f>SUMIFS(領用表!$L:$L,領用表!$E:$E,$B122,領用表!$B:$B,X$2&amp;$P$1)</f>
        <v/>
      </c>
      <c r="Y122" s="142">
        <f>SUMIFS(領用表!$L:$L,領用表!$E:$E,$B122,領用表!$B:$B,Y$2&amp;$P$1)</f>
        <v/>
      </c>
      <c r="Z122" s="142">
        <f>SUMIFS(領用表!$L:$L,領用表!$E:$E,$B122,領用表!$B:$B,Z$2&amp;$P$1)</f>
        <v/>
      </c>
      <c r="AA122" s="142">
        <f>SUMIFS(領用表!$L:$L,領用表!$E:$E,$B122,領用表!$B:$B,AA$2&amp;$P$1)</f>
        <v/>
      </c>
      <c r="AB122" s="142">
        <f>SUM(P122,Q122,R122,S122,T122,U122)</f>
        <v/>
      </c>
      <c r="AC122" s="142">
        <f>AVERAGE(P122,Q122,R122,S122,T122,U122)</f>
        <v/>
      </c>
      <c r="AD122" s="142">
        <f>SUMIF(Summary!B:B,B122,Summary!EC:EC)</f>
        <v/>
      </c>
      <c r="AE122" s="109" t="n"/>
      <c r="AF122" s="80" t="n"/>
      <c r="AG122" s="65" t="n"/>
      <c r="AH122" s="65" t="n"/>
    </row>
    <row r="123" hidden="1" ht="16.5" customHeight="1" s="453">
      <c r="A123" s="27" t="inlineStr">
        <is>
          <t>DL1GA000066T</t>
        </is>
      </c>
      <c r="B123" s="14" t="e">
        <v>#N/A</v>
      </c>
      <c r="C123" s="136" t="inlineStr">
        <is>
          <t>青春機密膠原飲 60ml(10入)停產</t>
        </is>
      </c>
      <c r="D123" s="77" t="n"/>
      <c r="E123" s="17" t="inlineStr">
        <is>
          <t>PCS</t>
        </is>
      </c>
      <c r="F123" s="18" t="n"/>
      <c r="G123" s="18" t="n"/>
      <c r="H123" s="20">
        <f>SUMIFS(領用表!$L:$L,領用表!$E:$E,$B123,領用表!$B:$B,H$2&amp;$P$1)</f>
        <v/>
      </c>
      <c r="I123" s="20">
        <f>SUMIFS(領用表!$L:$L,領用表!$E:$E,$B123,領用表!$B:$B,I$2&amp;$P$1)</f>
        <v/>
      </c>
      <c r="J123" s="20">
        <f>SUMIFS(領用表!$L:$L,領用表!$E:$E,$B123,領用表!$B:$B,J$2&amp;$P$1)</f>
        <v/>
      </c>
      <c r="K123" s="142">
        <f>SUMIFS(領用表!$L:$L,領用表!$E:$E,$B123,領用表!$B:$B,K$2&amp;$P$1)</f>
        <v/>
      </c>
      <c r="L123" s="142">
        <f>SUMIFS(領用表!$L:$L,領用表!$E:$E,$B123,領用表!$B:$B,L$2&amp;$P$1)</f>
        <v/>
      </c>
      <c r="M123" s="142">
        <f>SUMIFS(領用表!$L:$L,領用表!$E:$E,$B123,領用表!$B:$B,M$2&amp;$P$1)</f>
        <v/>
      </c>
      <c r="N123" s="23">
        <f>SUM(,H123,I123,J123,K123,L123,M123)</f>
        <v/>
      </c>
      <c r="O123" s="23">
        <f>AVERAGE(,H123,I123,J123,K123,L123,M123)</f>
        <v/>
      </c>
      <c r="P123" s="142">
        <f>SUMIFS(領用表!$L:$L,領用表!$E:$E,$B123,領用表!$B:$B,P$2&amp;$P$1)</f>
        <v/>
      </c>
      <c r="Q123" s="142">
        <f>SUMIFS(領用表!$L:$L,領用表!$E:$E,$B123,領用表!$B:$B,Q$2&amp;$P$1)</f>
        <v/>
      </c>
      <c r="R123" s="142">
        <f>SUMIFS(領用表!$L:$L,領用表!$E:$E,$B123,領用表!$B:$B,R$2&amp;$P$1)</f>
        <v/>
      </c>
      <c r="S123" s="142">
        <f>SUMIFS(領用表!$L:$L,領用表!$E:$E,$B123,領用表!$B:$B,S$2&amp;$P$1)</f>
        <v/>
      </c>
      <c r="T123" s="142">
        <f>SUMIFS(領用表!$L:$L,領用表!$E:$E,$B123,領用表!$B:$B,T$2&amp;$P$1)</f>
        <v/>
      </c>
      <c r="U123" s="142">
        <f>SUMIFS(領用表!$L:$L,領用表!$E:$E,$B123,領用表!$B:$B,U$2&amp;$P$1)</f>
        <v/>
      </c>
      <c r="V123" s="142">
        <f>SUMIFS(領用表!$L:$L,領用表!$E:$E,$B123,領用表!$B:$B,V$2&amp;$P$1)</f>
        <v/>
      </c>
      <c r="W123" s="142">
        <f>SUMIFS(領用表!$L:$L,領用表!$E:$E,$B123,領用表!$B:$B,W$2&amp;$P$1)</f>
        <v/>
      </c>
      <c r="X123" s="142">
        <f>SUMIFS(領用表!$L:$L,領用表!$E:$E,$B123,領用表!$B:$B,X$2&amp;$P$1)</f>
        <v/>
      </c>
      <c r="Y123" s="142">
        <f>SUMIFS(領用表!$L:$L,領用表!$E:$E,$B123,領用表!$B:$B,Y$2&amp;$P$1)</f>
        <v/>
      </c>
      <c r="Z123" s="142">
        <f>SUMIFS(領用表!$L:$L,領用表!$E:$E,$B123,領用表!$B:$B,Z$2&amp;$P$1)</f>
        <v/>
      </c>
      <c r="AA123" s="142">
        <f>SUMIFS(領用表!$L:$L,領用表!$E:$E,$B123,領用表!$B:$B,AA$2&amp;$P$1)</f>
        <v/>
      </c>
      <c r="AB123" s="142">
        <f>SUM(P123,Q123,R123,S123,T123,U123)</f>
        <v/>
      </c>
      <c r="AC123" s="142">
        <f>AVERAGE(P123,Q123,R123,S123,T123,U123)</f>
        <v/>
      </c>
      <c r="AD123" s="142">
        <f>SUMIF(Summary!B:B,B123,Summary!EC:EC)</f>
        <v/>
      </c>
      <c r="AE123" s="109" t="n"/>
      <c r="AF123" s="80" t="n"/>
      <c r="AG123" s="65" t="n"/>
      <c r="AH123" s="65" t="n"/>
    </row>
    <row r="124" hidden="1" ht="16.5" customHeight="1" s="453">
      <c r="A124" s="27" t="inlineStr">
        <is>
          <t>DL1GD0100001T</t>
        </is>
      </c>
      <c r="B124" s="14" t="e">
        <v>#N/A</v>
      </c>
      <c r="C124" s="136" t="inlineStr">
        <is>
          <t>甜睡美膠原6g(30入)(繁體版) 24盒/箱</t>
        </is>
      </c>
      <c r="D124" s="77" t="n"/>
      <c r="E124" s="17" t="inlineStr">
        <is>
          <t>PCS</t>
        </is>
      </c>
      <c r="F124" s="18" t="n"/>
      <c r="G124" s="18" t="n"/>
      <c r="H124" s="20">
        <f>SUMIFS(領用表!$L:$L,領用表!$E:$E,$B124,領用表!$B:$B,H$2&amp;$P$1)</f>
        <v/>
      </c>
      <c r="I124" s="20">
        <f>SUMIFS(領用表!$L:$L,領用表!$E:$E,$B124,領用表!$B:$B,I$2&amp;$P$1)</f>
        <v/>
      </c>
      <c r="J124" s="20">
        <f>SUMIFS(領用表!$L:$L,領用表!$E:$E,$B124,領用表!$B:$B,J$2&amp;$P$1)</f>
        <v/>
      </c>
      <c r="K124" s="142">
        <f>SUMIFS(領用表!$L:$L,領用表!$E:$E,$B124,領用表!$B:$B,K$2&amp;$P$1)</f>
        <v/>
      </c>
      <c r="L124" s="142">
        <f>SUMIFS(領用表!$L:$L,領用表!$E:$E,$B124,領用表!$B:$B,L$2&amp;$P$1)</f>
        <v/>
      </c>
      <c r="M124" s="142">
        <f>SUMIFS(領用表!$L:$L,領用表!$E:$E,$B124,領用表!$B:$B,M$2&amp;$P$1)</f>
        <v/>
      </c>
      <c r="N124" s="23">
        <f>SUM(,H124,I124,J124,K124,L124,M124)</f>
        <v/>
      </c>
      <c r="O124" s="23">
        <f>AVERAGE(,H124,I124,J124,K124,L124,M124)</f>
        <v/>
      </c>
      <c r="P124" s="142">
        <f>SUMIFS(領用表!$L:$L,領用表!$E:$E,$B124,領用表!$B:$B,P$2&amp;$P$1)</f>
        <v/>
      </c>
      <c r="Q124" s="142">
        <f>SUMIFS(領用表!$L:$L,領用表!$E:$E,$B124,領用表!$B:$B,Q$2&amp;$P$1)</f>
        <v/>
      </c>
      <c r="R124" s="142">
        <f>SUMIFS(領用表!$L:$L,領用表!$E:$E,$B124,領用表!$B:$B,R$2&amp;$P$1)</f>
        <v/>
      </c>
      <c r="S124" s="142">
        <f>SUMIFS(領用表!$L:$L,領用表!$E:$E,$B124,領用表!$B:$B,S$2&amp;$P$1)</f>
        <v/>
      </c>
      <c r="T124" s="142">
        <f>SUMIFS(領用表!$L:$L,領用表!$E:$E,$B124,領用表!$B:$B,T$2&amp;$P$1)</f>
        <v/>
      </c>
      <c r="U124" s="142">
        <f>SUMIFS(領用表!$L:$L,領用表!$E:$E,$B124,領用表!$B:$B,U$2&amp;$P$1)</f>
        <v/>
      </c>
      <c r="V124" s="142">
        <f>SUMIFS(領用表!$L:$L,領用表!$E:$E,$B124,領用表!$B:$B,V$2&amp;$P$1)</f>
        <v/>
      </c>
      <c r="W124" s="142">
        <f>SUMIFS(領用表!$L:$L,領用表!$E:$E,$B124,領用表!$B:$B,W$2&amp;$P$1)</f>
        <v/>
      </c>
      <c r="X124" s="142">
        <f>SUMIFS(領用表!$L:$L,領用表!$E:$E,$B124,領用表!$B:$B,X$2&amp;$P$1)</f>
        <v/>
      </c>
      <c r="Y124" s="142">
        <f>SUMIFS(領用表!$L:$L,領用表!$E:$E,$B124,領用表!$B:$B,Y$2&amp;$P$1)</f>
        <v/>
      </c>
      <c r="Z124" s="142">
        <f>SUMIFS(領用表!$L:$L,領用表!$E:$E,$B124,領用表!$B:$B,Z$2&amp;$P$1)</f>
        <v/>
      </c>
      <c r="AA124" s="142">
        <f>SUMIFS(領用表!$L:$L,領用表!$E:$E,$B124,領用表!$B:$B,AA$2&amp;$P$1)</f>
        <v/>
      </c>
      <c r="AB124" s="142">
        <f>SUM(P124,Q124,R124,S124,T124,U124)</f>
        <v/>
      </c>
      <c r="AC124" s="142">
        <f>AVERAGE(P124,Q124,R124,S124,T124,U124)</f>
        <v/>
      </c>
      <c r="AD124" s="142">
        <f>SUMIF(Summary!B:B,B124,Summary!EC:EC)</f>
        <v/>
      </c>
      <c r="AE124" s="109" t="n"/>
      <c r="AF124" s="80" t="n"/>
      <c r="AG124" s="65" t="n"/>
      <c r="AH124" s="65" t="n"/>
    </row>
    <row r="125" ht="16.5" customHeight="1" s="453">
      <c r="A125" s="27" t="inlineStr">
        <is>
          <t>DE1AB050005T</t>
        </is>
      </c>
      <c r="B125" s="14" t="e">
        <v>#N/A</v>
      </c>
      <c r="C125" s="136" t="inlineStr">
        <is>
          <t>防護肌密眼部修護精華</t>
        </is>
      </c>
      <c r="D125" s="77" t="n"/>
      <c r="E125" s="17" t="inlineStr">
        <is>
          <t>PCS</t>
        </is>
      </c>
      <c r="F125" s="18" t="n"/>
      <c r="G125" s="18" t="n"/>
      <c r="H125" s="20">
        <f>SUMIFS(領用表!$L:$L,領用表!$E:$E,$B125,領用表!$B:$B,H$2&amp;$P$1)</f>
        <v/>
      </c>
      <c r="I125" s="20">
        <f>SUMIFS(領用表!$L:$L,領用表!$E:$E,$B125,領用表!$B:$B,I$2&amp;$P$1)</f>
        <v/>
      </c>
      <c r="J125" s="20">
        <f>SUMIFS(領用表!$L:$L,領用表!$E:$E,$B125,領用表!$B:$B,J$2&amp;$P$1)</f>
        <v/>
      </c>
      <c r="K125" s="142">
        <f>SUMIFS(領用表!$L:$L,領用表!$E:$E,$B125,領用表!$B:$B,K$2&amp;$P$1)</f>
        <v/>
      </c>
      <c r="L125" s="142">
        <f>SUMIFS(領用表!$L:$L,領用表!$E:$E,$B125,領用表!$B:$B,L$2&amp;$P$1)</f>
        <v/>
      </c>
      <c r="M125" s="142">
        <f>SUMIFS(領用表!$L:$L,領用表!$E:$E,$B125,領用表!$B:$B,M$2&amp;$P$1)</f>
        <v/>
      </c>
      <c r="N125" s="23">
        <f>SUM(,H125,I125,J125,K125,L125,M125)</f>
        <v/>
      </c>
      <c r="O125" s="23">
        <f>AVERAGE(,H125,I125,J125,K125,L125,M125)</f>
        <v/>
      </c>
      <c r="P125" s="142">
        <f>SUMIFS(領用表!$L:$L,領用表!$E:$E,$B125,領用表!$B:$B,P$2&amp;$P$1)</f>
        <v/>
      </c>
      <c r="Q125" s="405">
        <f>SUMIFS(領用表!$L:$L,領用表!$E:$E,$B125,領用表!$B:$B,Q$2&amp;$P$1)</f>
        <v/>
      </c>
      <c r="R125" s="405">
        <f>SUMIFS(領用表!$L:$L,領用表!$E:$E,$B125,領用表!$B:$B,R$2&amp;$P$1)</f>
        <v/>
      </c>
      <c r="S125" s="405">
        <f>SUMIFS(領用表!$L:$L,領用表!$E:$E,$B125,領用表!$B:$B,S$2&amp;$P$1)</f>
        <v/>
      </c>
      <c r="T125" s="405">
        <f>SUMIFS(領用表!$L:$L,領用表!$E:$E,$B125,領用表!$B:$B,T$2&amp;$P$1)</f>
        <v/>
      </c>
      <c r="U125" s="405">
        <f>SUMIFS(領用表!$L:$L,領用表!$E:$E,$B125,領用表!$B:$B,U$2&amp;$P$1)</f>
        <v/>
      </c>
      <c r="V125" s="405">
        <f>SUMIFS(領用表!$L:$L,領用表!$E:$E,$B125,領用表!$B:$B,V$2&amp;$P$1)</f>
        <v/>
      </c>
      <c r="W125" s="405">
        <f>SUMIFS(領用表!$L:$L,領用表!$E:$E,$B125,領用表!$B:$B,W$2&amp;$P$1)</f>
        <v/>
      </c>
      <c r="X125" s="405">
        <f>SUMIFS(領用表!$L:$L,領用表!$E:$E,$B125,領用表!$B:$B,X$2&amp;$P$1)</f>
        <v/>
      </c>
      <c r="Y125" s="405">
        <f>SUMIFS(領用表!$L:$L,領用表!$E:$E,$B125,領用表!$B:$B,Y$2&amp;$P$1)</f>
        <v/>
      </c>
      <c r="Z125" s="405">
        <f>SUMIFS(領用表!$L:$L,領用表!$E:$E,$B125,領用表!$B:$B,Z$2&amp;$P$1)</f>
        <v/>
      </c>
      <c r="AA125" s="405">
        <f>SUMIFS(領用表!$L:$L,領用表!$E:$E,$B125,領用表!$B:$B,AA$2&amp;$P$1)</f>
        <v/>
      </c>
      <c r="AB125" s="405">
        <f>SUM(P125,Q125,R125,S125,T125,U125)</f>
        <v/>
      </c>
      <c r="AC125" s="405">
        <f>AVERAGE(P125,Q125,R125,S125,T125,U125)</f>
        <v/>
      </c>
      <c r="AD125" s="405">
        <f>SUMIF(Summary!B:B,B125,Summary!EC:EC)</f>
        <v/>
      </c>
      <c r="AF125" s="80" t="n"/>
      <c r="AG125" s="65" t="n"/>
      <c r="AH125" s="65" t="n"/>
    </row>
    <row r="126" ht="16.5" customHeight="1" s="453">
      <c r="A126" s="27" t="inlineStr">
        <is>
          <t>D99GA010001T</t>
        </is>
      </c>
      <c r="B126" s="14" t="n">
        <v>6100002</v>
      </c>
      <c r="C126" s="136" t="inlineStr">
        <is>
          <t>新纖有酵蔬果酵素飲50ml(15入)(繁體版)/盒</t>
        </is>
      </c>
      <c r="D126" s="77" t="n"/>
      <c r="E126" s="17" t="inlineStr">
        <is>
          <t>PCS</t>
        </is>
      </c>
      <c r="F126" s="18" t="n"/>
      <c r="G126" s="18" t="n">
        <v>104</v>
      </c>
      <c r="H126" s="20">
        <f>SUMIFS(領用表!$L:$L,領用表!$E:$E,$B126,領用表!$B:$B,H$2&amp;$P$1)</f>
        <v/>
      </c>
      <c r="I126" s="20">
        <f>SUMIFS(領用表!$L:$L,領用表!$E:$E,$B126,領用表!$B:$B,I$2&amp;$P$1)</f>
        <v/>
      </c>
      <c r="J126" s="20">
        <f>SUMIFS(領用表!$L:$L,領用表!$E:$E,$B126,領用表!$B:$B,J$2&amp;$P$1)</f>
        <v/>
      </c>
      <c r="K126" s="142">
        <f>SUMIFS(領用表!$L:$L,領用表!$E:$E,$B126,領用表!$B:$B,K$2&amp;$P$1)</f>
        <v/>
      </c>
      <c r="L126" s="142">
        <f>SUMIFS(領用表!$L:$L,領用表!$E:$E,$B126,領用表!$B:$B,L$2&amp;$P$1)</f>
        <v/>
      </c>
      <c r="M126" s="142">
        <f>SUMIFS(領用表!$L:$L,領用表!$E:$E,$B126,領用表!$B:$B,M$2&amp;$P$1)</f>
        <v/>
      </c>
      <c r="N126" s="23">
        <f>SUM(,H126,I126,J126,K126,L126,M126)</f>
        <v/>
      </c>
      <c r="O126" s="23">
        <f>AVERAGE(,H126,I126,J126,K126,L126,M126)</f>
        <v/>
      </c>
      <c r="P126" s="142">
        <f>SUMIFS(領用表!$L:$L,領用表!$E:$E,$B126,領用表!$B:$B,P$2&amp;$P$1)</f>
        <v/>
      </c>
      <c r="Q126" s="405">
        <f>SUMIFS(領用表!$L:$L,領用表!$E:$E,$B126,領用表!$B:$B,Q$2&amp;$P$1)</f>
        <v/>
      </c>
      <c r="R126" s="405">
        <f>SUMIFS(領用表!$L:$L,領用表!$E:$E,$B126,領用表!$B:$B,R$2&amp;$P$1)</f>
        <v/>
      </c>
      <c r="S126" s="405">
        <f>SUMIFS(領用表!$L:$L,領用表!$E:$E,$B126,領用表!$B:$B,S$2&amp;$P$1)</f>
        <v/>
      </c>
      <c r="T126" s="405">
        <f>SUMIFS(領用表!$L:$L,領用表!$E:$E,$B126,領用表!$B:$B,T$2&amp;$P$1)</f>
        <v/>
      </c>
      <c r="U126" s="405" t="n"/>
      <c r="V126" s="405">
        <f>SUMIFS(領用表!$L:$L,領用表!$E:$E,$B126,領用表!$B:$B,V$2&amp;$P$1)</f>
        <v/>
      </c>
      <c r="W126" s="405">
        <f>SUMIFS(領用表!$L:$L,領用表!$E:$E,$B126,領用表!$B:$B,W$2&amp;$P$1)</f>
        <v/>
      </c>
      <c r="X126" s="405">
        <f>SUMIFS(領用表!$L:$L,領用表!$E:$E,$B126,領用表!$B:$B,X$2&amp;$P$1)</f>
        <v/>
      </c>
      <c r="Y126" s="405">
        <f>SUMIFS(領用表!$L:$L,領用表!$E:$E,$B126,領用表!$B:$B,Y$2&amp;$P$1)</f>
        <v/>
      </c>
      <c r="Z126" s="405">
        <f>SUMIFS(領用表!$L:$L,領用表!$E:$E,$B126,領用表!$B:$B,Z$2&amp;$P$1)</f>
        <v/>
      </c>
      <c r="AA126" s="405">
        <f>SUMIFS(領用表!$L:$L,領用表!$E:$E,$B126,領用表!$B:$B,AA$2&amp;$P$1)</f>
        <v/>
      </c>
      <c r="AB126" s="405">
        <f>SUM(P126,Q126,R126,S126,T126,U126)</f>
        <v/>
      </c>
      <c r="AC126" s="405">
        <f>AVERAGE(P126,Q126,R126,S126,T126,U126)</f>
        <v/>
      </c>
      <c r="AD126" s="405">
        <f>SUMIF(Summary!B:B,B126,Summary!EC:EC)</f>
        <v/>
      </c>
      <c r="AF126" s="80" t="n"/>
      <c r="AG126" s="76" t="n"/>
      <c r="AH126" s="76" t="inlineStr">
        <is>
          <t>20(10/22)</t>
        </is>
      </c>
    </row>
    <row r="127" ht="16.5" customHeight="1" s="453">
      <c r="A127" s="27" t="inlineStr">
        <is>
          <t>DL1GD010001T</t>
        </is>
      </c>
      <c r="B127" s="14" t="n">
        <v>6100003</v>
      </c>
      <c r="C127" s="136" t="inlineStr">
        <is>
          <t>暢護菌益康粉包 3g(30入)(繁體版)</t>
        </is>
      </c>
      <c r="D127" s="77" t="n"/>
      <c r="E127" s="17" t="inlineStr">
        <is>
          <t>PCS</t>
        </is>
      </c>
      <c r="F127" s="18" t="n"/>
      <c r="G127" s="18" t="n">
        <v>208</v>
      </c>
      <c r="H127" s="20">
        <f>SUMIFS(領用表!$L:$L,領用表!$E:$E,$B127,領用表!$B:$B,H$2&amp;$P$1)</f>
        <v/>
      </c>
      <c r="I127" s="20">
        <f>SUMIFS(領用表!$L:$L,領用表!$E:$E,$B127,領用表!$B:$B,I$2&amp;$P$1)</f>
        <v/>
      </c>
      <c r="J127" s="20">
        <f>SUMIFS(領用表!$L:$L,領用表!$E:$E,$B127,領用表!$B:$B,J$2&amp;$P$1)</f>
        <v/>
      </c>
      <c r="K127" s="142">
        <f>SUMIFS(領用表!$L:$L,領用表!$E:$E,$B127,領用表!$B:$B,K$2&amp;$P$1)</f>
        <v/>
      </c>
      <c r="L127" s="142">
        <f>SUMIFS(領用表!$L:$L,領用表!$E:$E,$B127,領用表!$B:$B,L$2&amp;$P$1)</f>
        <v/>
      </c>
      <c r="M127" s="142">
        <f>SUMIFS(領用表!$L:$L,領用表!$E:$E,$B127,領用表!$B:$B,M$2&amp;$P$1)</f>
        <v/>
      </c>
      <c r="N127" s="23">
        <f>SUM(,H127,I127,J127,K127,L127,M127)</f>
        <v/>
      </c>
      <c r="O127" s="23">
        <f>AVERAGE(,H127,I127,J127,K127,L127,M127)</f>
        <v/>
      </c>
      <c r="P127" s="142">
        <f>SUMIFS(領用表!$L:$L,領用表!$E:$E,$B127,領用表!$B:$B,P$2&amp;$P$1)</f>
        <v/>
      </c>
      <c r="Q127" s="405">
        <f>SUMIFS(領用表!$L:$L,領用表!$E:$E,$B127,領用表!$B:$B,Q$2&amp;$P$1)</f>
        <v/>
      </c>
      <c r="R127" s="405">
        <f>SUMIFS(領用表!$L:$L,領用表!$E:$E,$B127,領用表!$B:$B,R$2&amp;$P$1)</f>
        <v/>
      </c>
      <c r="S127" s="405">
        <f>SUMIFS(領用表!$L:$L,領用表!$E:$E,$B127,領用表!$B:$B,S$2&amp;$P$1)</f>
        <v/>
      </c>
      <c r="T127" s="405">
        <f>SUMIFS(領用表!$L:$L,領用表!$E:$E,$B127,領用表!$B:$B,T$2&amp;$P$1)</f>
        <v/>
      </c>
      <c r="U127" s="405" t="n"/>
      <c r="V127" s="405">
        <f>SUMIFS(領用表!$L:$L,領用表!$E:$E,$B127,領用表!$B:$B,V$2&amp;$P$1)</f>
        <v/>
      </c>
      <c r="W127" s="405">
        <f>SUMIFS(領用表!$L:$L,領用表!$E:$E,$B127,領用表!$B:$B,W$2&amp;$P$1)</f>
        <v/>
      </c>
      <c r="X127" s="405">
        <f>SUMIFS(領用表!$L:$L,領用表!$E:$E,$B127,領用表!$B:$B,X$2&amp;$P$1)</f>
        <v/>
      </c>
      <c r="Y127" s="405">
        <f>SUMIFS(領用表!$L:$L,領用表!$E:$E,$B127,領用表!$B:$B,Y$2&amp;$P$1)</f>
        <v/>
      </c>
      <c r="Z127" s="405">
        <f>SUMIFS(領用表!$L:$L,領用表!$E:$E,$B127,領用表!$B:$B,Z$2&amp;$P$1)</f>
        <v/>
      </c>
      <c r="AA127" s="405">
        <f>SUMIFS(領用表!$L:$L,領用表!$E:$E,$B127,領用表!$B:$B,AA$2&amp;$P$1)</f>
        <v/>
      </c>
      <c r="AB127" s="405">
        <f>SUM(P127,Q127,R127,S127,T127,U127)</f>
        <v/>
      </c>
      <c r="AC127" s="405">
        <f>AVERAGE(P127,Q127,R127,S127,T127,U127)</f>
        <v/>
      </c>
      <c r="AD127" s="405">
        <f>SUMIF(Summary!B:B,B127,Summary!EC:EC)</f>
        <v/>
      </c>
      <c r="AF127" s="80" t="n"/>
      <c r="AG127" s="76" t="n"/>
      <c r="AH127" s="76" t="inlineStr">
        <is>
          <t>15(10/22)</t>
        </is>
      </c>
    </row>
    <row r="128" ht="16.5" customHeight="1" s="453">
      <c r="A128" s="27" t="inlineStr">
        <is>
          <t>MAX06M1A0001</t>
        </is>
      </c>
      <c r="B128" s="14" t="e">
        <v>#N/A</v>
      </c>
      <c r="C128" s="136" t="inlineStr">
        <is>
          <t>MIKOBEAUTE-提袋-S/22cm W*8cm D*18cm H</t>
        </is>
      </c>
      <c r="D128" s="77" t="n"/>
      <c r="E128" s="17" t="inlineStr">
        <is>
          <t>PCS</t>
        </is>
      </c>
      <c r="F128" s="18" t="n"/>
      <c r="G128" s="18" t="n"/>
      <c r="H128" s="20">
        <f>SUMIFS(領用表!$L:$L,領用表!$E:$E,$B128,領用表!$B:$B,H$2&amp;$P$1)</f>
        <v/>
      </c>
      <c r="I128" s="20">
        <f>SUMIFS(領用表!$L:$L,領用表!$E:$E,$B128,領用表!$B:$B,I$2&amp;$P$1)</f>
        <v/>
      </c>
      <c r="J128" s="20">
        <f>SUMIFS(領用表!$L:$L,領用表!$E:$E,$B128,領用表!$B:$B,J$2&amp;$P$1)</f>
        <v/>
      </c>
      <c r="K128" s="142">
        <f>SUMIFS(領用表!$L:$L,領用表!$E:$E,$B128,領用表!$B:$B,K$2&amp;$P$1)</f>
        <v/>
      </c>
      <c r="L128" s="142">
        <f>SUMIFS(領用表!$L:$L,領用表!$E:$E,$B128,領用表!$B:$B,L$2&amp;$P$1)</f>
        <v/>
      </c>
      <c r="M128" s="142">
        <f>SUMIFS(領用表!$L:$L,領用表!$E:$E,$B128,領用表!$B:$B,M$2&amp;$P$1)</f>
        <v/>
      </c>
      <c r="N128" s="23">
        <f>SUM(,H128,I128,J128,K128,L128,M128)</f>
        <v/>
      </c>
      <c r="O128" s="23">
        <f>AVERAGE(,H128,I128,J128,K128,L128,M128)</f>
        <v/>
      </c>
      <c r="P128" s="142">
        <f>SUMIFS(領用表!$L:$L,領用表!$E:$E,$B128,領用表!$B:$B,P$2&amp;$P$1)</f>
        <v/>
      </c>
      <c r="Q128" s="405">
        <f>SUMIFS(領用表!$L:$L,領用表!$E:$E,$B128,領用表!$B:$B,Q$2&amp;$P$1)</f>
        <v/>
      </c>
      <c r="R128" s="405">
        <f>SUMIFS(領用表!$L:$L,領用表!$E:$E,$B128,領用表!$B:$B,R$2&amp;$P$1)</f>
        <v/>
      </c>
      <c r="S128" s="405">
        <f>SUMIFS(領用表!$L:$L,領用表!$E:$E,$B128,領用表!$B:$B,S$2&amp;$P$1)</f>
        <v/>
      </c>
      <c r="T128" s="405">
        <f>SUMIFS(領用表!$L:$L,領用表!$E:$E,$B128,領用表!$B:$B,T$2&amp;$P$1)</f>
        <v/>
      </c>
      <c r="U128" s="405">
        <f>SUMIFS(領用表!$L:$L,領用表!$E:$E,$B128,領用表!$B:$B,U$2&amp;$P$1)</f>
        <v/>
      </c>
      <c r="V128" s="405">
        <f>SUMIFS(領用表!$L:$L,領用表!$E:$E,$B128,領用表!$B:$B,V$2&amp;$P$1)</f>
        <v/>
      </c>
      <c r="W128" s="405">
        <f>SUMIFS(領用表!$L:$L,領用表!$E:$E,$B128,領用表!$B:$B,W$2&amp;$P$1)</f>
        <v/>
      </c>
      <c r="X128" s="405">
        <f>SUMIFS(領用表!$L:$L,領用表!$E:$E,$B128,領用表!$B:$B,X$2&amp;$P$1)</f>
        <v/>
      </c>
      <c r="Y128" s="405">
        <f>SUMIFS(領用表!$L:$L,領用表!$E:$E,$B128,領用表!$B:$B,Y$2&amp;$P$1)</f>
        <v/>
      </c>
      <c r="Z128" s="405">
        <f>SUMIFS(領用表!$L:$L,領用表!$E:$E,$B128,領用表!$B:$B,Z$2&amp;$P$1)</f>
        <v/>
      </c>
      <c r="AA128" s="405">
        <f>SUMIFS(領用表!$L:$L,領用表!$E:$E,$B128,領用表!$B:$B,AA$2&amp;$P$1)</f>
        <v/>
      </c>
      <c r="AB128" s="405">
        <f>SUM(P128,Q128,R128,S128,T128,U128)</f>
        <v/>
      </c>
      <c r="AC128" s="405">
        <f>AVERAGE(P128,Q128,R128,S128,T128,U128)</f>
        <v/>
      </c>
      <c r="AD128" s="405">
        <f>SUMIF(Summary!B:B,B128,Summary!EC:EC)</f>
        <v/>
      </c>
      <c r="AE128" s="405">
        <f>SUMIF(Summary!B:B,B128,Summary!EC:EC)</f>
        <v/>
      </c>
      <c r="AF128" s="80" t="n"/>
      <c r="AG128" s="76" t="n"/>
      <c r="AH128" s="76" t="n"/>
    </row>
    <row r="129" ht="16.5" customHeight="1" s="453">
      <c r="A129" s="27" t="inlineStr">
        <is>
          <t>MAX06M1A0005</t>
        </is>
      </c>
      <c r="B129" s="14" t="e">
        <v>#N/A</v>
      </c>
      <c r="C129" s="136" t="inlineStr">
        <is>
          <t>MIKOBEAUTE-提袋-M/29cm W*11cm D*24cm H(2023.4)</t>
        </is>
      </c>
      <c r="D129" s="77" t="n"/>
      <c r="E129" s="17" t="inlineStr">
        <is>
          <t>PCS</t>
        </is>
      </c>
      <c r="F129" s="18" t="n"/>
      <c r="G129" s="18" t="n"/>
      <c r="H129" s="20">
        <f>SUMIFS(領用表!$L:$L,領用表!$E:$E,$B129,領用表!$B:$B,H$2&amp;$P$1)</f>
        <v/>
      </c>
      <c r="I129" s="20">
        <f>SUMIFS(領用表!$L:$L,領用表!$E:$E,$B129,領用表!$B:$B,I$2&amp;$P$1)</f>
        <v/>
      </c>
      <c r="J129" s="20">
        <f>SUMIFS(領用表!$L:$L,領用表!$E:$E,$B129,領用表!$B:$B,J$2&amp;$P$1)</f>
        <v/>
      </c>
      <c r="K129" s="142">
        <f>SUMIFS(領用表!$L:$L,領用表!$E:$E,$B129,領用表!$B:$B,K$2&amp;$P$1)</f>
        <v/>
      </c>
      <c r="L129" s="142">
        <f>SUMIFS(領用表!$L:$L,領用表!$E:$E,$B129,領用表!$B:$B,L$2&amp;$P$1)</f>
        <v/>
      </c>
      <c r="M129" s="142">
        <f>SUMIFS(領用表!$L:$L,領用表!$E:$E,$B129,領用表!$B:$B,M$2&amp;$P$1)</f>
        <v/>
      </c>
      <c r="N129" s="23">
        <f>SUM(,H129,I129,J129,K129,L129,M129)</f>
        <v/>
      </c>
      <c r="O129" s="23">
        <f>AVERAGE(,H129,I129,J129,K129,L129,M129)</f>
        <v/>
      </c>
      <c r="P129" s="142">
        <f>SUMIFS(領用表!$L:$L,領用表!$E:$E,$B129,領用表!$B:$B,P$2&amp;$P$1)</f>
        <v/>
      </c>
      <c r="Q129" s="405">
        <f>SUMIFS(領用表!$L:$L,領用表!$E:$E,$B129,領用表!$B:$B,Q$2&amp;$P$1)</f>
        <v/>
      </c>
      <c r="R129" s="405">
        <f>SUMIFS(領用表!$L:$L,領用表!$E:$E,$B129,領用表!$B:$B,R$2&amp;$P$1)</f>
        <v/>
      </c>
      <c r="S129" s="405">
        <f>SUMIFS(領用表!$L:$L,領用表!$E:$E,$B129,領用表!$B:$B,S$2&amp;$P$1)</f>
        <v/>
      </c>
      <c r="T129" s="405">
        <f>SUMIFS(領用表!$L:$L,領用表!$E:$E,$B129,領用表!$B:$B,T$2&amp;$P$1)</f>
        <v/>
      </c>
      <c r="U129" s="405" t="n"/>
      <c r="V129" s="405">
        <f>SUMIFS(領用表!$L:$L,領用表!$E:$E,$B129,領用表!$B:$B,V$2&amp;$P$1)</f>
        <v/>
      </c>
      <c r="W129" s="405">
        <f>SUMIFS(領用表!$L:$L,領用表!$E:$E,$B129,領用表!$B:$B,W$2&amp;$P$1)</f>
        <v/>
      </c>
      <c r="X129" s="405">
        <f>SUMIFS(領用表!$L:$L,領用表!$E:$E,$B129,領用表!$B:$B,X$2&amp;$P$1)</f>
        <v/>
      </c>
      <c r="Y129" s="405">
        <f>SUMIFS(領用表!$L:$L,領用表!$E:$E,$B129,領用表!$B:$B,Y$2&amp;$P$1)</f>
        <v/>
      </c>
      <c r="Z129" s="405">
        <f>SUMIFS(領用表!$L:$L,領用表!$E:$E,$B129,領用表!$B:$B,Z$2&amp;$P$1)</f>
        <v/>
      </c>
      <c r="AA129" s="405">
        <f>SUMIFS(領用表!$L:$L,領用表!$E:$E,$B129,領用表!$B:$B,AA$2&amp;$P$1)</f>
        <v/>
      </c>
      <c r="AB129" s="405">
        <f>SUM(P129,Q129,R129,S129,T129,U129)</f>
        <v/>
      </c>
      <c r="AC129" s="405">
        <f>AVERAGE(P129,Q129,R129,S129,T129,U129)</f>
        <v/>
      </c>
      <c r="AD129" s="405">
        <f>SUMIF(Summary!B:B,B129,Summary!EC:EC)</f>
        <v/>
      </c>
      <c r="AE129" s="405">
        <f>SUMIF(Summary!B:B,B129,Summary!EC:EC)</f>
        <v/>
      </c>
      <c r="AF129" s="80" t="n"/>
      <c r="AG129" s="76" t="n"/>
      <c r="AH129" s="76" t="n"/>
    </row>
    <row r="130">
      <c r="B130" s="118" t="n">
        <v>6080011</v>
      </c>
      <c r="C130" s="136" t="inlineStr">
        <is>
          <t>(V)水梨面膜 30ml</t>
        </is>
      </c>
      <c r="D130" s="11" t="n"/>
      <c r="E130" s="198" t="inlineStr">
        <is>
          <t>PCS</t>
        </is>
      </c>
      <c r="F130" s="85" t="n"/>
      <c r="G130" s="18" t="n"/>
      <c r="P130" s="142">
        <f>SUMIFS(領用表!$L:$L,領用表!$E:$E,$B130,領用表!$B:$B,P$2&amp;$P$1)</f>
        <v/>
      </c>
      <c r="Q130" s="405">
        <f>SUMIFS(領用表!$L:$L,領用表!$E:$E,$B130,領用表!$B:$B,Q$2&amp;$P$1)</f>
        <v/>
      </c>
      <c r="R130" s="405">
        <f>SUMIFS(領用表!$L:$L,領用表!$E:$E,$B130,領用表!$B:$B,R$2&amp;$P$1)</f>
        <v/>
      </c>
      <c r="S130" s="405">
        <f>SUMIFS(領用表!$L:$L,領用表!$E:$E,$B130,領用表!$B:$B,S$2&amp;$P$1)</f>
        <v/>
      </c>
      <c r="T130" s="405">
        <f>SUMIFS(領用表!$L:$L,領用表!$E:$E,$B130,領用表!$B:$B,T$2&amp;$P$1)</f>
        <v/>
      </c>
      <c r="U130" s="405" t="n"/>
      <c r="V130" s="405">
        <f>SUMIFS(領用表!$L:$L,領用表!$E:$E,$B130,領用表!$B:$B,V$2&amp;$P$1)</f>
        <v/>
      </c>
      <c r="W130" s="405">
        <f>SUMIFS(領用表!$L:$L,領用表!$E:$E,$B130,領用表!$B:$B,W$2&amp;$P$1)</f>
        <v/>
      </c>
      <c r="X130" s="405">
        <f>SUMIFS(領用表!$L:$L,領用表!$E:$E,$B130,領用表!$B:$B,X$2&amp;$P$1)</f>
        <v/>
      </c>
      <c r="Y130" s="405">
        <f>SUMIFS(領用表!$L:$L,領用表!$E:$E,$B130,領用表!$B:$B,Y$2&amp;$P$1)</f>
        <v/>
      </c>
      <c r="Z130" s="405">
        <f>SUMIFS(領用表!$L:$L,領用表!$E:$E,$B130,領用表!$B:$B,Z$2&amp;$P$1)</f>
        <v/>
      </c>
      <c r="AA130" s="405">
        <f>SUMIFS(領用表!$L:$L,領用表!$E:$E,$B130,領用表!$B:$B,AA$2&amp;$P$1)</f>
        <v/>
      </c>
      <c r="AB130" s="405">
        <f>SUM(P130,Q130,R130,S130,T130,U130)</f>
        <v/>
      </c>
      <c r="AC130" s="405">
        <f>AVERAGE(P130,Q130,R130,S130,T130,U130)</f>
        <v/>
      </c>
      <c r="AD130" s="405">
        <f>SUMIF(Summary!B:B,B130,Summary!EC:EC)</f>
        <v/>
      </c>
      <c r="AE130" s="405">
        <f>SUMIF(Summary!B:B,B130,Summary!EC:EC)</f>
        <v/>
      </c>
    </row>
    <row r="131">
      <c r="B131" s="118" t="n">
        <v>6080012</v>
      </c>
      <c r="C131" s="136" t="inlineStr">
        <is>
          <t>(V)小玉西瓜面膜 30ml</t>
        </is>
      </c>
      <c r="D131" s="11" t="n"/>
      <c r="E131" s="79" t="inlineStr">
        <is>
          <t>PCS</t>
        </is>
      </c>
      <c r="F131" s="85" t="n"/>
      <c r="G131" s="18" t="n"/>
      <c r="P131" s="142">
        <f>SUMIFS(領用表!$L:$L,領用表!$E:$E,$B131,領用表!$B:$B,P$2&amp;$P$1)</f>
        <v/>
      </c>
      <c r="Q131" s="405">
        <f>SUMIFS(領用表!$L:$L,領用表!$E:$E,$B131,領用表!$B:$B,Q$2&amp;$P$1)</f>
        <v/>
      </c>
      <c r="R131" s="405">
        <f>SUMIFS(領用表!$L:$L,領用表!$E:$E,$B131,領用表!$B:$B,R$2&amp;$P$1)</f>
        <v/>
      </c>
      <c r="S131" s="405">
        <f>SUMIFS(領用表!$L:$L,領用表!$E:$E,$B131,領用表!$B:$B,S$2&amp;$P$1)</f>
        <v/>
      </c>
      <c r="T131" s="405">
        <f>SUMIFS(領用表!$L:$L,領用表!$E:$E,$B131,領用表!$B:$B,T$2&amp;$P$1)</f>
        <v/>
      </c>
      <c r="U131" s="405" t="n"/>
      <c r="V131" s="405">
        <f>SUMIFS(領用表!$L:$L,領用表!$E:$E,$B131,領用表!$B:$B,V$2&amp;$P$1)</f>
        <v/>
      </c>
      <c r="W131" s="405">
        <f>SUMIFS(領用表!$L:$L,領用表!$E:$E,$B131,領用表!$B:$B,W$2&amp;$P$1)</f>
        <v/>
      </c>
      <c r="X131" s="405">
        <f>SUMIFS(領用表!$L:$L,領用表!$E:$E,$B131,領用表!$B:$B,X$2&amp;$P$1)</f>
        <v/>
      </c>
      <c r="Y131" s="405">
        <f>SUMIFS(領用表!$L:$L,領用表!$E:$E,$B131,領用表!$B:$B,Y$2&amp;$P$1)</f>
        <v/>
      </c>
      <c r="Z131" s="405">
        <f>SUMIFS(領用表!$L:$L,領用表!$E:$E,$B131,領用表!$B:$B,Z$2&amp;$P$1)</f>
        <v/>
      </c>
      <c r="AA131" s="405">
        <f>SUMIFS(領用表!$L:$L,領用表!$E:$E,$B131,領用表!$B:$B,AA$2&amp;$P$1)</f>
        <v/>
      </c>
      <c r="AB131" s="405">
        <f>SUM(P131,Q131,R131,S131,T131,U131)</f>
        <v/>
      </c>
      <c r="AC131" s="405">
        <f>AVERAGE(P131,Q131,R131,S131,T131,U131)</f>
        <v/>
      </c>
      <c r="AD131" s="405">
        <f>SUMIF(Summary!B:B,B130,Summary!EC:EC)</f>
        <v/>
      </c>
    </row>
    <row r="132">
      <c r="D132" s="11" t="n"/>
      <c r="E132" s="79" t="n"/>
      <c r="F132" s="85" t="n"/>
      <c r="G132" s="85" t="n"/>
      <c r="AD132" s="405" t="n"/>
    </row>
    <row r="133" ht="13.5" customHeight="1" s="453">
      <c r="D133" s="11" t="n"/>
      <c r="E133" s="79" t="n"/>
      <c r="F133" s="85" t="n"/>
      <c r="G133" s="85" t="n"/>
    </row>
    <row r="134" ht="13.5" customHeight="1" s="453">
      <c r="D134" s="11" t="n"/>
      <c r="E134" s="79" t="n"/>
      <c r="F134" s="85" t="n"/>
      <c r="G134" s="85" t="n"/>
    </row>
    <row r="135" ht="13.5" customHeight="1" s="453">
      <c r="D135" s="11" t="n"/>
      <c r="E135" s="79" t="n"/>
      <c r="F135" s="85" t="n"/>
      <c r="G135" s="85" t="n"/>
    </row>
    <row r="136" ht="13.5" customHeight="1" s="453">
      <c r="D136" s="11" t="n"/>
      <c r="E136" s="79" t="n"/>
      <c r="F136" s="85" t="n"/>
      <c r="G136" s="85" t="n"/>
    </row>
    <row r="137" ht="13.5" customHeight="1" s="453">
      <c r="D137" s="11" t="n"/>
      <c r="E137" s="79" t="n"/>
      <c r="F137" s="85" t="n"/>
      <c r="G137" s="85" t="n"/>
    </row>
    <row r="138" ht="13.5" customHeight="1" s="453">
      <c r="D138" s="11" t="n"/>
      <c r="E138" s="79" t="n"/>
      <c r="F138" s="85" t="n"/>
      <c r="G138" s="85" t="n"/>
    </row>
    <row r="139" ht="13.5" customHeight="1" s="453">
      <c r="D139" s="11" t="n"/>
      <c r="E139" s="79" t="n"/>
      <c r="F139" s="85" t="n"/>
      <c r="G139" s="85" t="n"/>
    </row>
    <row r="140" ht="13.5" customHeight="1" s="453">
      <c r="D140" s="11" t="n"/>
      <c r="E140" s="79" t="n"/>
      <c r="F140" s="85" t="n"/>
      <c r="G140" s="85" t="n"/>
    </row>
    <row r="141" ht="13.5" customHeight="1" s="453">
      <c r="D141" s="11" t="n"/>
      <c r="E141" s="86" t="n"/>
      <c r="F141" s="85" t="n"/>
      <c r="G141" s="85" t="n"/>
    </row>
    <row r="142" ht="13.5" customHeight="1" s="453">
      <c r="D142" s="11" t="n"/>
      <c r="E142" s="86" t="n"/>
      <c r="F142" s="85" t="n"/>
      <c r="G142" s="85" t="n"/>
    </row>
    <row r="143" ht="13.5" customHeight="1" s="453">
      <c r="D143" s="11" t="n"/>
      <c r="E143" s="86" t="n"/>
      <c r="F143" s="85" t="n"/>
      <c r="G143" s="85" t="n"/>
    </row>
    <row r="144" ht="13.5" customHeight="1" s="453">
      <c r="D144" s="11" t="n"/>
      <c r="E144" s="86" t="n"/>
      <c r="F144" s="85" t="n"/>
      <c r="G144" s="85" t="n"/>
    </row>
    <row r="145" ht="13.5" customHeight="1" s="453">
      <c r="D145" s="11" t="n"/>
      <c r="E145" s="86" t="n"/>
      <c r="F145" s="85" t="n"/>
      <c r="G145" s="85" t="n"/>
    </row>
    <row r="146" ht="13.5" customHeight="1" s="453">
      <c r="D146" s="11" t="n"/>
      <c r="E146" s="86" t="n"/>
      <c r="F146" s="85" t="n"/>
      <c r="G146" s="85" t="n"/>
    </row>
    <row r="147" ht="13.5" customHeight="1" s="453">
      <c r="D147" s="11" t="n"/>
      <c r="E147" s="86" t="n"/>
      <c r="F147" s="85" t="n"/>
      <c r="G147" s="85" t="n"/>
    </row>
    <row r="148" ht="13.5" customHeight="1" s="453">
      <c r="D148" s="11" t="n"/>
      <c r="E148" s="86" t="n"/>
      <c r="F148" s="85" t="n"/>
      <c r="G148" s="85" t="n"/>
    </row>
    <row r="149" ht="13.5" customHeight="1" s="453">
      <c r="D149" s="11" t="n"/>
      <c r="E149" s="86" t="n"/>
      <c r="F149" s="85" t="n"/>
      <c r="G149" s="85" t="n"/>
    </row>
    <row r="150" ht="13.5" customHeight="1" s="453">
      <c r="D150" s="11" t="n"/>
      <c r="E150" s="86" t="n"/>
      <c r="F150" s="85" t="n"/>
      <c r="G150" s="85" t="n"/>
    </row>
    <row r="151" ht="13.5" customHeight="1" s="453">
      <c r="D151" s="11" t="n"/>
      <c r="E151" s="86" t="n"/>
      <c r="F151" s="85" t="n"/>
      <c r="G151" s="85" t="n"/>
    </row>
    <row r="152" ht="13.5" customHeight="1" s="453">
      <c r="D152" s="11" t="n"/>
      <c r="E152" s="86" t="n"/>
      <c r="F152" s="85" t="n"/>
      <c r="G152" s="85" t="n"/>
    </row>
    <row r="153" ht="13.5" customHeight="1" s="453">
      <c r="D153" s="11" t="n"/>
      <c r="E153" s="86" t="n"/>
      <c r="F153" s="85" t="n"/>
      <c r="G153" s="85" t="n"/>
    </row>
    <row r="154" ht="13.5" customHeight="1" s="453">
      <c r="D154" s="11" t="n"/>
      <c r="E154" s="86" t="n"/>
      <c r="F154" s="85" t="n"/>
      <c r="G154" s="85" t="n"/>
    </row>
    <row r="155" ht="13.5" customHeight="1" s="453">
      <c r="D155" s="11" t="n"/>
      <c r="E155" s="86" t="n"/>
      <c r="F155" s="85" t="n"/>
      <c r="G155" s="85" t="n"/>
    </row>
    <row r="156" ht="13.5" customHeight="1" s="453">
      <c r="D156" s="11" t="n"/>
      <c r="E156" s="86" t="n"/>
      <c r="F156" s="85" t="n"/>
      <c r="G156" s="85" t="n"/>
    </row>
    <row r="157" ht="13.5" customHeight="1" s="453">
      <c r="D157" s="11" t="n"/>
      <c r="E157" s="86" t="n"/>
      <c r="F157" s="85" t="n"/>
      <c r="G157" s="85" t="n"/>
    </row>
    <row r="158" ht="13.5" customHeight="1" s="453">
      <c r="D158" s="11" t="n"/>
      <c r="E158" s="86" t="n"/>
      <c r="F158" s="85" t="n"/>
      <c r="G158" s="85" t="n"/>
    </row>
    <row r="159" ht="13.5" customHeight="1" s="453">
      <c r="D159" s="11" t="n"/>
      <c r="E159" s="86" t="n"/>
      <c r="F159" s="85" t="n"/>
      <c r="G159" s="85" t="n"/>
    </row>
    <row r="160" ht="13.5" customHeight="1" s="453">
      <c r="D160" s="11" t="n"/>
      <c r="E160" s="86" t="n"/>
      <c r="F160" s="85" t="n"/>
      <c r="G160" s="85" t="n"/>
    </row>
    <row r="161" ht="13.5" customHeight="1" s="453">
      <c r="D161" s="11" t="n"/>
      <c r="E161" s="86" t="n"/>
      <c r="F161" s="85" t="n"/>
      <c r="G161" s="85" t="n"/>
    </row>
    <row r="162" ht="13.5" customHeight="1" s="453">
      <c r="D162" s="11" t="n"/>
      <c r="E162" s="86" t="n"/>
      <c r="F162" s="85" t="n"/>
      <c r="G162" s="85" t="n"/>
    </row>
    <row r="163" ht="13.5" customHeight="1" s="453">
      <c r="D163" s="11" t="n"/>
      <c r="E163" s="86" t="n"/>
      <c r="F163" s="85" t="n"/>
      <c r="G163" s="85" t="n"/>
    </row>
    <row r="164" ht="13.5" customHeight="1" s="453">
      <c r="D164" s="11" t="n"/>
      <c r="E164" s="86" t="n"/>
      <c r="F164" s="85" t="n"/>
      <c r="G164" s="85" t="n"/>
    </row>
    <row r="165" ht="13.5" customHeight="1" s="453">
      <c r="D165" s="11" t="n"/>
      <c r="E165" s="86" t="n"/>
      <c r="F165" s="85" t="n"/>
      <c r="G165" s="85" t="n"/>
    </row>
    <row r="166" ht="13.5" customHeight="1" s="453">
      <c r="D166" s="11" t="n"/>
      <c r="E166" s="86" t="n"/>
      <c r="F166" s="85" t="n"/>
      <c r="G166" s="85" t="n"/>
    </row>
    <row r="167" ht="13.5" customHeight="1" s="453">
      <c r="D167" s="11" t="n"/>
      <c r="E167" s="86" t="n"/>
      <c r="F167" s="85" t="n"/>
      <c r="G167" s="85" t="n"/>
    </row>
    <row r="168" ht="13.5" customHeight="1" s="453">
      <c r="D168" s="11" t="n"/>
      <c r="E168" s="86" t="n"/>
      <c r="F168" s="85" t="n"/>
      <c r="G168" s="85" t="n"/>
    </row>
    <row r="169" ht="13.5" customHeight="1" s="453">
      <c r="D169" s="11" t="n"/>
      <c r="E169" s="86" t="n"/>
      <c r="F169" s="85" t="n"/>
      <c r="G169" s="85" t="n"/>
    </row>
    <row r="170" ht="13.5" customHeight="1" s="453">
      <c r="D170" s="11" t="n"/>
      <c r="E170" s="86" t="n"/>
      <c r="F170" s="85" t="n"/>
      <c r="G170" s="85" t="n"/>
    </row>
    <row r="171" ht="13.5" customHeight="1" s="453">
      <c r="D171" s="11" t="n"/>
      <c r="E171" s="86" t="n"/>
      <c r="F171" s="85" t="n"/>
      <c r="G171" s="85" t="n"/>
    </row>
    <row r="172" ht="13.5" customHeight="1" s="453">
      <c r="D172" s="11" t="n"/>
      <c r="E172" s="86" t="n"/>
      <c r="F172" s="85" t="n"/>
      <c r="G172" s="85" t="n"/>
    </row>
    <row r="173" ht="13.5" customHeight="1" s="453">
      <c r="D173" s="11" t="n"/>
      <c r="E173" s="86" t="n"/>
      <c r="F173" s="85" t="n"/>
      <c r="G173" s="85" t="n"/>
    </row>
    <row r="174" ht="13.5" customHeight="1" s="453">
      <c r="D174" s="11" t="n"/>
      <c r="E174" s="86" t="n"/>
      <c r="F174" s="85" t="n"/>
      <c r="G174" s="85" t="n"/>
    </row>
    <row r="175" ht="13.5" customHeight="1" s="453">
      <c r="D175" s="11" t="n"/>
      <c r="E175" s="86" t="n"/>
      <c r="F175" s="85" t="n"/>
      <c r="G175" s="85" t="n"/>
    </row>
    <row r="176" ht="13.5" customHeight="1" s="453">
      <c r="D176" s="11" t="n"/>
      <c r="E176" s="86" t="n"/>
      <c r="F176" s="85" t="n"/>
      <c r="G176" s="85" t="n"/>
    </row>
    <row r="177" ht="13.5" customHeight="1" s="453">
      <c r="D177" s="11" t="n"/>
      <c r="E177" s="86" t="n"/>
      <c r="F177" s="85" t="n"/>
      <c r="G177" s="85" t="n"/>
    </row>
    <row r="178" ht="13.5" customHeight="1" s="453">
      <c r="D178" s="11" t="n"/>
      <c r="E178" s="86" t="n"/>
      <c r="F178" s="85" t="n"/>
      <c r="G178" s="85" t="n"/>
    </row>
    <row r="179" ht="13.5" customHeight="1" s="453">
      <c r="D179" s="11" t="n"/>
      <c r="E179" s="86" t="n"/>
      <c r="F179" s="85" t="n"/>
      <c r="G179" s="85" t="n"/>
    </row>
    <row r="180" ht="13.5" customHeight="1" s="453">
      <c r="D180" s="11" t="n"/>
      <c r="E180" s="86" t="n"/>
      <c r="F180" s="85" t="n"/>
      <c r="G180" s="85" t="n"/>
    </row>
    <row r="181" ht="13.5" customHeight="1" s="453">
      <c r="D181" s="11" t="n"/>
      <c r="E181" s="86" t="n"/>
      <c r="F181" s="85" t="n"/>
      <c r="G181" s="85" t="n"/>
    </row>
    <row r="182" ht="13.5" customHeight="1" s="453">
      <c r="D182" s="11" t="n"/>
      <c r="E182" s="86" t="n"/>
      <c r="F182" s="85" t="n"/>
      <c r="G182" s="85" t="n"/>
    </row>
    <row r="183" ht="13.5" customHeight="1" s="453">
      <c r="D183" s="11" t="n"/>
      <c r="E183" s="86" t="n"/>
      <c r="F183" s="85" t="n"/>
      <c r="G183" s="85" t="n"/>
    </row>
    <row r="184" ht="13.5" customHeight="1" s="453">
      <c r="D184" s="11" t="n"/>
      <c r="E184" s="86" t="n"/>
      <c r="F184" s="85" t="n"/>
      <c r="G184" s="85" t="n"/>
    </row>
    <row r="185" ht="13.5" customHeight="1" s="453">
      <c r="D185" s="11" t="n"/>
      <c r="E185" s="86" t="n"/>
      <c r="F185" s="85" t="n"/>
      <c r="G185" s="85" t="n"/>
    </row>
    <row r="186" ht="13.5" customHeight="1" s="453">
      <c r="D186" s="11" t="n"/>
      <c r="E186" s="86" t="n"/>
      <c r="F186" s="85" t="n"/>
      <c r="G186" s="85" t="n"/>
    </row>
    <row r="187" ht="13.5" customHeight="1" s="453">
      <c r="D187" s="11" t="n"/>
      <c r="E187" s="86" t="n"/>
      <c r="F187" s="85" t="n"/>
      <c r="G187" s="85" t="n"/>
    </row>
    <row r="188" ht="13.5" customHeight="1" s="453">
      <c r="D188" s="11" t="n"/>
      <c r="E188" s="86" t="n"/>
      <c r="F188" s="85" t="n"/>
      <c r="G188" s="85" t="n"/>
    </row>
    <row r="189" ht="13.5" customHeight="1" s="453">
      <c r="D189" s="11" t="n"/>
      <c r="E189" s="86" t="n"/>
      <c r="F189" s="85" t="n"/>
      <c r="G189" s="85" t="n"/>
    </row>
    <row r="190" ht="13.5" customHeight="1" s="453">
      <c r="D190" s="11" t="n"/>
      <c r="E190" s="86" t="n"/>
      <c r="F190" s="85" t="n"/>
      <c r="G190" s="85" t="n"/>
    </row>
    <row r="191" ht="13.5" customHeight="1" s="453">
      <c r="D191" s="11" t="n"/>
      <c r="E191" s="86" t="n"/>
      <c r="F191" s="85" t="n"/>
      <c r="G191" s="85" t="n"/>
    </row>
    <row r="192" ht="13.5" customHeight="1" s="453">
      <c r="D192" s="11" t="n"/>
      <c r="E192" s="86" t="n"/>
      <c r="F192" s="85" t="n"/>
      <c r="G192" s="85" t="n"/>
    </row>
    <row r="193" ht="13.5" customHeight="1" s="453">
      <c r="D193" s="11" t="n"/>
      <c r="E193" s="86" t="n"/>
      <c r="F193" s="85" t="n"/>
      <c r="G193" s="85" t="n"/>
    </row>
    <row r="194" ht="13.5" customHeight="1" s="453">
      <c r="D194" s="11" t="n"/>
      <c r="E194" s="86" t="n"/>
      <c r="F194" s="85" t="n"/>
      <c r="G194" s="85" t="n"/>
    </row>
    <row r="195" ht="13.5" customHeight="1" s="453">
      <c r="D195" s="11" t="n"/>
      <c r="E195" s="86" t="n"/>
      <c r="F195" s="85" t="n"/>
      <c r="G195" s="85" t="n"/>
    </row>
    <row r="196" ht="13.5" customHeight="1" s="453">
      <c r="D196" s="11" t="n"/>
      <c r="E196" s="86" t="n"/>
      <c r="F196" s="85" t="n"/>
      <c r="G196" s="85" t="n"/>
    </row>
    <row r="197" ht="13.5" customHeight="1" s="453">
      <c r="D197" s="11" t="n"/>
      <c r="E197" s="86" t="n"/>
      <c r="F197" s="85" t="n"/>
      <c r="G197" s="85" t="n"/>
    </row>
    <row r="198" ht="13.5" customHeight="1" s="453">
      <c r="D198" s="11" t="n"/>
      <c r="E198" s="86" t="n"/>
      <c r="F198" s="85" t="n"/>
      <c r="G198" s="85" t="n"/>
    </row>
    <row r="199" ht="13.5" customHeight="1" s="453">
      <c r="D199" s="11" t="n"/>
      <c r="E199" s="86" t="n"/>
      <c r="F199" s="85" t="n"/>
      <c r="G199" s="85" t="n"/>
    </row>
    <row r="200" ht="13.5" customHeight="1" s="453">
      <c r="D200" s="11" t="n"/>
      <c r="E200" s="86" t="n"/>
      <c r="F200" s="85" t="n"/>
      <c r="G200" s="85" t="n"/>
    </row>
    <row r="201" ht="13.5" customHeight="1" s="453">
      <c r="D201" s="11" t="n"/>
      <c r="E201" s="86" t="n"/>
      <c r="F201" s="85" t="n"/>
      <c r="G201" s="85" t="n"/>
    </row>
    <row r="202" ht="13.5" customHeight="1" s="453">
      <c r="D202" s="11" t="n"/>
      <c r="E202" s="86" t="n"/>
      <c r="F202" s="85" t="n"/>
      <c r="G202" s="85" t="n"/>
    </row>
    <row r="203" ht="13.5" customHeight="1" s="453">
      <c r="D203" s="11" t="n"/>
      <c r="E203" s="86" t="n"/>
      <c r="F203" s="85" t="n"/>
      <c r="G203" s="85" t="n"/>
    </row>
    <row r="204" ht="13.5" customHeight="1" s="453">
      <c r="D204" s="11" t="n"/>
      <c r="E204" s="86" t="n"/>
      <c r="F204" s="85" t="n"/>
      <c r="G204" s="85" t="n"/>
    </row>
    <row r="205" ht="13.5" customHeight="1" s="453">
      <c r="D205" s="11" t="n"/>
      <c r="E205" s="86" t="n"/>
      <c r="F205" s="85" t="n"/>
      <c r="G205" s="85" t="n"/>
    </row>
    <row r="206" ht="13.5" customHeight="1" s="453">
      <c r="D206" s="11" t="n"/>
      <c r="E206" s="86" t="n"/>
      <c r="F206" s="85" t="n"/>
      <c r="G206" s="85" t="n"/>
    </row>
    <row r="207" ht="13.5" customHeight="1" s="453">
      <c r="D207" s="11" t="n"/>
      <c r="E207" s="86" t="n"/>
      <c r="F207" s="85" t="n"/>
      <c r="G207" s="85" t="n"/>
    </row>
    <row r="208" ht="13.5" customHeight="1" s="453">
      <c r="D208" s="11" t="n"/>
      <c r="E208" s="86" t="n"/>
      <c r="F208" s="85" t="n"/>
      <c r="G208" s="85" t="n"/>
    </row>
    <row r="209" ht="13.5" customHeight="1" s="453">
      <c r="D209" s="11" t="n"/>
      <c r="E209" s="86" t="n"/>
      <c r="F209" s="85" t="n"/>
      <c r="G209" s="85" t="n"/>
    </row>
    <row r="210" ht="13.5" customHeight="1" s="453">
      <c r="D210" s="11" t="n"/>
      <c r="E210" s="86" t="n"/>
      <c r="F210" s="85" t="n"/>
      <c r="G210" s="85" t="n"/>
    </row>
    <row r="211" ht="13.5" customHeight="1" s="453">
      <c r="D211" s="11" t="n"/>
      <c r="E211" s="86" t="n"/>
      <c r="F211" s="85" t="n"/>
      <c r="G211" s="85" t="n"/>
    </row>
    <row r="212" ht="13.5" customHeight="1" s="453">
      <c r="D212" s="11" t="n"/>
      <c r="E212" s="86" t="n"/>
      <c r="F212" s="85" t="n"/>
      <c r="G212" s="85" t="n"/>
    </row>
    <row r="213" ht="13.5" customHeight="1" s="453">
      <c r="D213" s="11" t="n"/>
      <c r="E213" s="86" t="n"/>
      <c r="F213" s="85" t="n"/>
      <c r="G213" s="85" t="n"/>
    </row>
    <row r="214" ht="13.5" customHeight="1" s="453">
      <c r="D214" s="11" t="n"/>
      <c r="E214" s="86" t="n"/>
      <c r="F214" s="85" t="n"/>
      <c r="G214" s="85" t="n"/>
    </row>
    <row r="215" ht="13.5" customHeight="1" s="453">
      <c r="D215" s="11" t="n"/>
      <c r="E215" s="86" t="n"/>
      <c r="F215" s="85" t="n"/>
      <c r="G215" s="85" t="n"/>
    </row>
    <row r="216" ht="13.5" customHeight="1" s="453">
      <c r="D216" s="11" t="n"/>
      <c r="E216" s="86" t="n"/>
      <c r="F216" s="85" t="n"/>
      <c r="G216" s="85" t="n"/>
    </row>
    <row r="217" ht="13.5" customHeight="1" s="453">
      <c r="D217" s="11" t="n"/>
      <c r="E217" s="86" t="n"/>
      <c r="F217" s="85" t="n"/>
      <c r="G217" s="85" t="n"/>
    </row>
    <row r="218" ht="13.5" customHeight="1" s="453">
      <c r="D218" s="11" t="n"/>
      <c r="E218" s="86" t="n"/>
      <c r="F218" s="85" t="n"/>
      <c r="G218" s="85" t="n"/>
    </row>
    <row r="219" ht="13.5" customHeight="1" s="453">
      <c r="D219" s="11" t="n"/>
      <c r="E219" s="86" t="n"/>
      <c r="F219" s="85" t="n"/>
      <c r="G219" s="85" t="n"/>
    </row>
    <row r="220" ht="13.5" customHeight="1" s="453">
      <c r="D220" s="11" t="n"/>
      <c r="E220" s="86" t="n"/>
      <c r="F220" s="85" t="n"/>
      <c r="G220" s="85" t="n"/>
    </row>
    <row r="221" ht="13.5" customHeight="1" s="453">
      <c r="D221" s="11" t="n"/>
      <c r="E221" s="86" t="n"/>
      <c r="F221" s="85" t="n"/>
      <c r="G221" s="85" t="n"/>
    </row>
    <row r="222" ht="13.5" customHeight="1" s="453">
      <c r="D222" s="11" t="n"/>
      <c r="E222" s="86" t="n"/>
      <c r="F222" s="85" t="n"/>
      <c r="G222" s="85" t="n"/>
    </row>
    <row r="223" ht="13.5" customHeight="1" s="453">
      <c r="D223" s="11" t="n"/>
      <c r="E223" s="86" t="n"/>
      <c r="F223" s="85" t="n"/>
      <c r="G223" s="85" t="n"/>
    </row>
    <row r="224" ht="13.5" customHeight="1" s="453">
      <c r="D224" s="11" t="n"/>
      <c r="E224" s="86" t="n"/>
      <c r="F224" s="85" t="n"/>
      <c r="G224" s="85" t="n"/>
    </row>
    <row r="225" ht="13.5" customHeight="1" s="453">
      <c r="D225" s="11" t="n"/>
      <c r="E225" s="86" t="n"/>
      <c r="F225" s="85" t="n"/>
      <c r="G225" s="85" t="n"/>
    </row>
    <row r="226" ht="13.5" customHeight="1" s="453">
      <c r="D226" s="11" t="n"/>
      <c r="E226" s="86" t="n"/>
      <c r="F226" s="85" t="n"/>
      <c r="G226" s="85" t="n"/>
    </row>
    <row r="227" ht="13.5" customHeight="1" s="453">
      <c r="D227" s="11" t="n"/>
      <c r="E227" s="86" t="n"/>
      <c r="F227" s="85" t="n"/>
      <c r="G227" s="85" t="n"/>
    </row>
    <row r="228" ht="13.5" customHeight="1" s="453">
      <c r="D228" s="11" t="n"/>
      <c r="E228" s="86" t="n"/>
      <c r="F228" s="85" t="n"/>
      <c r="G228" s="85" t="n"/>
    </row>
    <row r="229" ht="13.5" customHeight="1" s="453">
      <c r="D229" s="11" t="n"/>
      <c r="E229" s="86" t="n"/>
      <c r="F229" s="85" t="n"/>
      <c r="G229" s="85" t="n"/>
    </row>
    <row r="230" ht="13.5" customHeight="1" s="453">
      <c r="D230" s="11" t="n"/>
      <c r="E230" s="86" t="n"/>
      <c r="F230" s="85" t="n"/>
      <c r="G230" s="85" t="n"/>
    </row>
    <row r="231" ht="13.5" customHeight="1" s="453">
      <c r="D231" s="11" t="n"/>
      <c r="E231" s="86" t="n"/>
      <c r="F231" s="85" t="n"/>
      <c r="G231" s="85" t="n"/>
    </row>
    <row r="232" ht="13.5" customHeight="1" s="453">
      <c r="D232" s="11" t="n"/>
      <c r="E232" s="86" t="n"/>
      <c r="F232" s="85" t="n"/>
      <c r="G232" s="85" t="n"/>
    </row>
    <row r="233" ht="13.5" customHeight="1" s="453">
      <c r="D233" s="11" t="n"/>
      <c r="E233" s="86" t="n"/>
      <c r="F233" s="85" t="n"/>
      <c r="G233" s="85" t="n"/>
    </row>
    <row r="234" ht="13.5" customHeight="1" s="453">
      <c r="D234" s="11" t="n"/>
      <c r="E234" s="86" t="n"/>
      <c r="F234" s="85" t="n"/>
      <c r="G234" s="85" t="n"/>
    </row>
    <row r="235" ht="13.5" customHeight="1" s="453">
      <c r="D235" s="11" t="n"/>
      <c r="E235" s="86" t="n"/>
      <c r="F235" s="85" t="n"/>
      <c r="G235" s="85" t="n"/>
    </row>
    <row r="236" ht="13.5" customHeight="1" s="453">
      <c r="D236" s="11" t="n"/>
      <c r="E236" s="86" t="n"/>
      <c r="F236" s="85" t="n"/>
      <c r="G236" s="85" t="n"/>
    </row>
    <row r="237" ht="13.5" customHeight="1" s="453">
      <c r="D237" s="11" t="n"/>
      <c r="E237" s="86" t="n"/>
      <c r="F237" s="85" t="n"/>
      <c r="G237" s="85" t="n"/>
    </row>
    <row r="238" ht="13.5" customHeight="1" s="453">
      <c r="D238" s="11" t="n"/>
      <c r="E238" s="86" t="n"/>
      <c r="F238" s="85" t="n"/>
      <c r="G238" s="85" t="n"/>
    </row>
    <row r="239" ht="13.5" customHeight="1" s="453">
      <c r="D239" s="11" t="n"/>
      <c r="E239" s="86" t="n"/>
      <c r="F239" s="85" t="n"/>
      <c r="G239" s="85" t="n"/>
    </row>
    <row r="240" ht="13.5" customHeight="1" s="453">
      <c r="D240" s="11" t="n"/>
      <c r="E240" s="86" t="n"/>
      <c r="F240" s="85" t="n"/>
      <c r="G240" s="85" t="n"/>
    </row>
    <row r="241" ht="13.5" customHeight="1" s="453">
      <c r="D241" s="11" t="n"/>
      <c r="E241" s="86" t="n"/>
      <c r="F241" s="85" t="n"/>
      <c r="G241" s="85" t="n"/>
    </row>
    <row r="242" ht="13.5" customHeight="1" s="453">
      <c r="D242" s="11" t="n"/>
      <c r="E242" s="86" t="n"/>
      <c r="F242" s="85" t="n"/>
      <c r="G242" s="85" t="n"/>
    </row>
    <row r="243" ht="13.5" customHeight="1" s="453">
      <c r="D243" s="11" t="n"/>
      <c r="E243" s="86" t="n"/>
      <c r="F243" s="85" t="n"/>
      <c r="G243" s="85" t="n"/>
    </row>
    <row r="244" ht="13.5" customHeight="1" s="453">
      <c r="D244" s="11" t="n"/>
      <c r="E244" s="86" t="n"/>
      <c r="F244" s="85" t="n"/>
      <c r="G244" s="85" t="n"/>
    </row>
    <row r="245" ht="13.5" customHeight="1" s="453">
      <c r="D245" s="11" t="n"/>
      <c r="E245" s="86" t="n"/>
      <c r="F245" s="85" t="n"/>
      <c r="G245" s="85" t="n"/>
    </row>
    <row r="246" ht="13.5" customHeight="1" s="453">
      <c r="D246" s="11" t="n"/>
      <c r="E246" s="86" t="n"/>
      <c r="F246" s="85" t="n"/>
      <c r="G246" s="85" t="n"/>
    </row>
    <row r="247" ht="13.5" customHeight="1" s="453">
      <c r="D247" s="11" t="n"/>
      <c r="E247" s="86" t="n"/>
      <c r="F247" s="85" t="n"/>
      <c r="G247" s="85" t="n"/>
    </row>
    <row r="248" ht="13.5" customHeight="1" s="453">
      <c r="D248" s="11" t="n"/>
      <c r="E248" s="86" t="n"/>
      <c r="F248" s="85" t="n"/>
      <c r="G248" s="85" t="n"/>
    </row>
    <row r="249" ht="13.5" customHeight="1" s="453">
      <c r="D249" s="11" t="n"/>
      <c r="E249" s="86" t="n"/>
      <c r="F249" s="85" t="n"/>
      <c r="G249" s="85" t="n"/>
    </row>
    <row r="250" ht="13.5" customHeight="1" s="453">
      <c r="D250" s="11" t="n"/>
      <c r="E250" s="86" t="n"/>
      <c r="F250" s="85" t="n"/>
      <c r="G250" s="85" t="n"/>
    </row>
    <row r="251" ht="13.5" customHeight="1" s="453">
      <c r="D251" s="11" t="n"/>
      <c r="E251" s="86" t="n"/>
      <c r="F251" s="85" t="n"/>
      <c r="G251" s="85" t="n"/>
    </row>
    <row r="252" ht="13.5" customHeight="1" s="453">
      <c r="D252" s="11" t="n"/>
      <c r="E252" s="86" t="n"/>
      <c r="F252" s="85" t="n"/>
      <c r="G252" s="85" t="n"/>
    </row>
    <row r="253" ht="13.5" customHeight="1" s="453">
      <c r="D253" s="11" t="n"/>
      <c r="E253" s="86" t="n"/>
      <c r="F253" s="85" t="n"/>
      <c r="G253" s="85" t="n"/>
    </row>
    <row r="254" ht="13.5" customHeight="1" s="453">
      <c r="D254" s="11" t="n"/>
      <c r="E254" s="86" t="n"/>
      <c r="F254" s="85" t="n"/>
      <c r="G254" s="85" t="n"/>
    </row>
    <row r="255" ht="13.5" customHeight="1" s="453">
      <c r="D255" s="11" t="n"/>
      <c r="E255" s="86" t="n"/>
      <c r="F255" s="85" t="n"/>
      <c r="G255" s="85" t="n"/>
    </row>
    <row r="256" ht="13.5" customHeight="1" s="453">
      <c r="D256" s="11" t="n"/>
      <c r="E256" s="86" t="n"/>
      <c r="F256" s="85" t="n"/>
      <c r="G256" s="85" t="n"/>
    </row>
    <row r="257" ht="13.5" customHeight="1" s="453">
      <c r="D257" s="11" t="n"/>
      <c r="E257" s="86" t="n"/>
      <c r="F257" s="85" t="n"/>
      <c r="G257" s="85" t="n"/>
    </row>
    <row r="258" ht="13.5" customHeight="1" s="453">
      <c r="D258" s="11" t="n"/>
      <c r="E258" s="86" t="n"/>
      <c r="F258" s="85" t="n"/>
      <c r="G258" s="85" t="n"/>
    </row>
    <row r="259" ht="13.5" customHeight="1" s="453">
      <c r="D259" s="11" t="n"/>
      <c r="E259" s="86" t="n"/>
      <c r="F259" s="85" t="n"/>
      <c r="G259" s="85" t="n"/>
    </row>
    <row r="260" ht="13.5" customHeight="1" s="453">
      <c r="D260" s="11" t="n"/>
      <c r="E260" s="86" t="n"/>
      <c r="F260" s="85" t="n"/>
      <c r="G260" s="85" t="n"/>
    </row>
    <row r="261" ht="13.5" customHeight="1" s="453">
      <c r="D261" s="11" t="n"/>
      <c r="E261" s="86" t="n"/>
      <c r="F261" s="85" t="n"/>
      <c r="G261" s="85" t="n"/>
    </row>
    <row r="262" ht="13.5" customHeight="1" s="453">
      <c r="D262" s="11" t="n"/>
      <c r="E262" s="86" t="n"/>
      <c r="F262" s="85" t="n"/>
      <c r="G262" s="85" t="n"/>
    </row>
    <row r="263" ht="13.5" customHeight="1" s="453">
      <c r="D263" s="11" t="n"/>
      <c r="E263" s="86" t="n"/>
      <c r="F263" s="85" t="n"/>
      <c r="G263" s="85" t="n"/>
    </row>
    <row r="264" ht="13.5" customHeight="1" s="453">
      <c r="D264" s="11" t="n"/>
      <c r="E264" s="86" t="n"/>
      <c r="F264" s="85" t="n"/>
      <c r="G264" s="85" t="n"/>
    </row>
    <row r="265" ht="13.5" customHeight="1" s="453">
      <c r="D265" s="11" t="n"/>
      <c r="E265" s="86" t="n"/>
      <c r="F265" s="85" t="n"/>
      <c r="G265" s="85" t="n"/>
    </row>
    <row r="266" ht="13.5" customHeight="1" s="453">
      <c r="D266" s="11" t="n"/>
      <c r="E266" s="86" t="n"/>
      <c r="F266" s="85" t="n"/>
      <c r="G266" s="85" t="n"/>
    </row>
    <row r="267" ht="13.5" customHeight="1" s="453">
      <c r="D267" s="11" t="n"/>
      <c r="E267" s="86" t="n"/>
      <c r="F267" s="85" t="n"/>
      <c r="G267" s="85" t="n"/>
    </row>
    <row r="268" ht="13.5" customHeight="1" s="453">
      <c r="D268" s="11" t="n"/>
      <c r="E268" s="86" t="n"/>
      <c r="F268" s="85" t="n"/>
      <c r="G268" s="85" t="n"/>
    </row>
    <row r="269" ht="13.5" customHeight="1" s="453">
      <c r="D269" s="11" t="n"/>
      <c r="E269" s="86" t="n"/>
      <c r="F269" s="85" t="n"/>
      <c r="G269" s="85" t="n"/>
    </row>
    <row r="270" ht="13.5" customHeight="1" s="453">
      <c r="D270" s="11" t="n"/>
      <c r="E270" s="86" t="n"/>
      <c r="F270" s="85" t="n"/>
      <c r="G270" s="85" t="n"/>
    </row>
    <row r="271" ht="13.5" customHeight="1" s="453">
      <c r="D271" s="11" t="n"/>
      <c r="E271" s="86" t="n"/>
      <c r="F271" s="85" t="n"/>
      <c r="G271" s="85" t="n"/>
    </row>
    <row r="272" ht="13.5" customHeight="1" s="453">
      <c r="D272" s="11" t="n"/>
      <c r="E272" s="86" t="n"/>
      <c r="F272" s="85" t="n"/>
      <c r="G272" s="85" t="n"/>
    </row>
    <row r="273" ht="13.5" customHeight="1" s="453">
      <c r="D273" s="11" t="n"/>
      <c r="E273" s="86" t="n"/>
      <c r="F273" s="85" t="n"/>
      <c r="G273" s="85" t="n"/>
    </row>
    <row r="274" ht="13.5" customHeight="1" s="453">
      <c r="D274" s="11" t="n"/>
      <c r="E274" s="86" t="n"/>
      <c r="F274" s="85" t="n"/>
      <c r="G274" s="85" t="n"/>
    </row>
    <row r="275" ht="13.5" customHeight="1" s="453">
      <c r="D275" s="11" t="n"/>
      <c r="E275" s="86" t="n"/>
      <c r="F275" s="85" t="n"/>
      <c r="G275" s="85" t="n"/>
    </row>
    <row r="276" ht="13.5" customHeight="1" s="453">
      <c r="D276" s="11" t="n"/>
      <c r="E276" s="86" t="n"/>
      <c r="F276" s="85" t="n"/>
      <c r="G276" s="85" t="n"/>
    </row>
    <row r="277" ht="13.5" customHeight="1" s="453">
      <c r="D277" s="11" t="n"/>
      <c r="E277" s="86" t="n"/>
      <c r="F277" s="85" t="n"/>
      <c r="G277" s="85" t="n"/>
    </row>
    <row r="278" ht="13.5" customHeight="1" s="453">
      <c r="D278" s="11" t="n"/>
      <c r="E278" s="86" t="n"/>
      <c r="F278" s="85" t="n"/>
      <c r="G278" s="85" t="n"/>
    </row>
    <row r="279" ht="13.5" customHeight="1" s="453">
      <c r="D279" s="11" t="n"/>
      <c r="E279" s="86" t="n"/>
      <c r="F279" s="85" t="n"/>
      <c r="G279" s="85" t="n"/>
    </row>
    <row r="280" ht="13.5" customHeight="1" s="453">
      <c r="D280" s="11" t="n"/>
      <c r="E280" s="86" t="n"/>
      <c r="F280" s="85" t="n"/>
      <c r="G280" s="85" t="n"/>
    </row>
    <row r="281" ht="13.5" customHeight="1" s="453">
      <c r="D281" s="11" t="n"/>
      <c r="E281" s="86" t="n"/>
      <c r="F281" s="85" t="n"/>
      <c r="G281" s="85" t="n"/>
    </row>
    <row r="282" ht="13.5" customHeight="1" s="453">
      <c r="D282" s="11" t="n"/>
      <c r="E282" s="86" t="n"/>
      <c r="F282" s="85" t="n"/>
      <c r="G282" s="85" t="n"/>
    </row>
    <row r="283" ht="13.5" customHeight="1" s="453">
      <c r="D283" s="11" t="n"/>
      <c r="E283" s="86" t="n"/>
      <c r="F283" s="85" t="n"/>
      <c r="G283" s="85" t="n"/>
    </row>
    <row r="284" ht="13.5" customHeight="1" s="453">
      <c r="D284" s="11" t="n"/>
      <c r="E284" s="86" t="n"/>
      <c r="F284" s="85" t="n"/>
      <c r="G284" s="85" t="n"/>
    </row>
    <row r="285" ht="13.5" customHeight="1" s="453">
      <c r="D285" s="11" t="n"/>
      <c r="E285" s="86" t="n"/>
      <c r="F285" s="85" t="n"/>
      <c r="G285" s="85" t="n"/>
    </row>
    <row r="286" ht="13.5" customHeight="1" s="453">
      <c r="D286" s="11" t="n"/>
      <c r="E286" s="86" t="n"/>
      <c r="F286" s="85" t="n"/>
      <c r="G286" s="85" t="n"/>
    </row>
    <row r="287" ht="13.5" customHeight="1" s="453">
      <c r="D287" s="11" t="n"/>
      <c r="E287" s="86" t="n"/>
      <c r="F287" s="85" t="n"/>
      <c r="G287" s="85" t="n"/>
    </row>
    <row r="288" ht="13.5" customHeight="1" s="453">
      <c r="D288" s="11" t="n"/>
      <c r="E288" s="86" t="n"/>
      <c r="F288" s="85" t="n"/>
      <c r="G288" s="85" t="n"/>
    </row>
    <row r="289" ht="13.5" customHeight="1" s="453">
      <c r="D289" s="11" t="n"/>
      <c r="E289" s="86" t="n"/>
      <c r="F289" s="85" t="n"/>
      <c r="G289" s="85" t="n"/>
    </row>
    <row r="290" ht="13.5" customHeight="1" s="453">
      <c r="D290" s="11" t="n"/>
      <c r="E290" s="86" t="n"/>
      <c r="F290" s="85" t="n"/>
      <c r="G290" s="85" t="n"/>
    </row>
    <row r="291" ht="13.5" customHeight="1" s="453">
      <c r="D291" s="11" t="n"/>
      <c r="E291" s="86" t="n"/>
      <c r="F291" s="85" t="n"/>
      <c r="G291" s="85" t="n"/>
    </row>
    <row r="292" ht="13.5" customHeight="1" s="453">
      <c r="D292" s="11" t="n"/>
      <c r="E292" s="86" t="n"/>
      <c r="F292" s="85" t="n"/>
      <c r="G292" s="85" t="n"/>
    </row>
    <row r="293" ht="13.5" customHeight="1" s="453">
      <c r="D293" s="11" t="n"/>
      <c r="E293" s="86" t="n"/>
      <c r="F293" s="85" t="n"/>
      <c r="G293" s="85" t="n"/>
    </row>
    <row r="294" ht="13.5" customHeight="1" s="453">
      <c r="D294" s="11" t="n"/>
      <c r="E294" s="86" t="n"/>
      <c r="F294" s="85" t="n"/>
      <c r="G294" s="85" t="n"/>
    </row>
    <row r="295" ht="13.5" customHeight="1" s="453">
      <c r="D295" s="11" t="n"/>
      <c r="E295" s="86" t="n"/>
      <c r="F295" s="85" t="n"/>
      <c r="G295" s="85" t="n"/>
    </row>
    <row r="296" ht="13.5" customHeight="1" s="453">
      <c r="D296" s="11" t="n"/>
      <c r="E296" s="86" t="n"/>
      <c r="F296" s="85" t="n"/>
      <c r="G296" s="85" t="n"/>
    </row>
    <row r="297" ht="13.5" customHeight="1" s="453">
      <c r="D297" s="11" t="n"/>
      <c r="E297" s="86" t="n"/>
      <c r="F297" s="85" t="n"/>
      <c r="G297" s="85" t="n"/>
    </row>
    <row r="298" ht="13.5" customHeight="1" s="453">
      <c r="D298" s="11" t="n"/>
      <c r="E298" s="86" t="n"/>
      <c r="F298" s="85" t="n"/>
      <c r="G298" s="85" t="n"/>
    </row>
    <row r="299" ht="13.5" customHeight="1" s="453">
      <c r="D299" s="11" t="n"/>
      <c r="E299" s="86" t="n"/>
      <c r="F299" s="85" t="n"/>
      <c r="G299" s="85" t="n"/>
    </row>
    <row r="300" ht="13.5" customHeight="1" s="453">
      <c r="D300" s="11" t="n"/>
      <c r="E300" s="86" t="n"/>
      <c r="F300" s="85" t="n"/>
      <c r="G300" s="85" t="n"/>
    </row>
    <row r="301" ht="13.5" customHeight="1" s="453">
      <c r="D301" s="11" t="n"/>
      <c r="E301" s="86" t="n"/>
      <c r="F301" s="85" t="n"/>
      <c r="G301" s="85" t="n"/>
    </row>
    <row r="302" ht="13.5" customHeight="1" s="453">
      <c r="D302" s="11" t="n"/>
      <c r="E302" s="86" t="n"/>
      <c r="F302" s="85" t="n"/>
      <c r="G302" s="85" t="n"/>
    </row>
    <row r="303" ht="13.5" customHeight="1" s="453">
      <c r="D303" s="11" t="n"/>
      <c r="E303" s="86" t="n"/>
      <c r="F303" s="85" t="n"/>
      <c r="G303" s="85" t="n"/>
    </row>
    <row r="304" ht="13.5" customHeight="1" s="453">
      <c r="D304" s="11" t="n"/>
      <c r="E304" s="86" t="n"/>
      <c r="F304" s="85" t="n"/>
      <c r="G304" s="85" t="n"/>
    </row>
    <row r="305" ht="13.5" customHeight="1" s="453">
      <c r="D305" s="11" t="n"/>
      <c r="E305" s="86" t="n"/>
      <c r="F305" s="85" t="n"/>
      <c r="G305" s="85" t="n"/>
    </row>
    <row r="306" ht="13.5" customHeight="1" s="453">
      <c r="D306" s="11" t="n"/>
      <c r="E306" s="86" t="n"/>
      <c r="F306" s="85" t="n"/>
      <c r="G306" s="85" t="n"/>
    </row>
    <row r="307" ht="13.5" customHeight="1" s="453">
      <c r="D307" s="11" t="n"/>
      <c r="E307" s="86" t="n"/>
      <c r="F307" s="85" t="n"/>
      <c r="G307" s="85" t="n"/>
    </row>
    <row r="308" ht="13.5" customHeight="1" s="453">
      <c r="D308" s="11" t="n"/>
      <c r="E308" s="86" t="n"/>
      <c r="F308" s="85" t="n"/>
      <c r="G308" s="85" t="n"/>
    </row>
    <row r="309" ht="13.5" customHeight="1" s="453">
      <c r="D309" s="11" t="n"/>
      <c r="E309" s="86" t="n"/>
      <c r="F309" s="85" t="n"/>
      <c r="G309" s="85" t="n"/>
    </row>
    <row r="310" ht="13.5" customHeight="1" s="453">
      <c r="D310" s="11" t="n"/>
      <c r="E310" s="86" t="n"/>
      <c r="F310" s="85" t="n"/>
      <c r="G310" s="85" t="n"/>
    </row>
    <row r="311" ht="13.5" customHeight="1" s="453">
      <c r="D311" s="11" t="n"/>
      <c r="E311" s="86" t="n"/>
      <c r="F311" s="85" t="n"/>
      <c r="G311" s="85" t="n"/>
    </row>
    <row r="312" ht="13.5" customHeight="1" s="453">
      <c r="D312" s="11" t="n"/>
      <c r="E312" s="86" t="n"/>
      <c r="F312" s="85" t="n"/>
      <c r="G312" s="85" t="n"/>
    </row>
    <row r="313" ht="13.5" customHeight="1" s="453">
      <c r="D313" s="11" t="n"/>
      <c r="E313" s="86" t="n"/>
      <c r="F313" s="85" t="n"/>
      <c r="G313" s="85" t="n"/>
    </row>
    <row r="314" ht="13.5" customHeight="1" s="453">
      <c r="D314" s="11" t="n"/>
      <c r="E314" s="86" t="n"/>
      <c r="F314" s="85" t="n"/>
      <c r="G314" s="85" t="n"/>
    </row>
    <row r="315" ht="13.5" customHeight="1" s="453">
      <c r="D315" s="11" t="n"/>
      <c r="E315" s="86" t="n"/>
      <c r="F315" s="85" t="n"/>
      <c r="G315" s="85" t="n"/>
    </row>
    <row r="316" ht="13.5" customHeight="1" s="453">
      <c r="D316" s="11" t="n"/>
      <c r="E316" s="86" t="n"/>
      <c r="F316" s="85" t="n"/>
      <c r="G316" s="85" t="n"/>
    </row>
    <row r="317" ht="13.5" customHeight="1" s="453">
      <c r="D317" s="11" t="n"/>
      <c r="E317" s="86" t="n"/>
      <c r="F317" s="85" t="n"/>
      <c r="G317" s="85" t="n"/>
    </row>
    <row r="318" ht="13.5" customHeight="1" s="453">
      <c r="D318" s="11" t="n"/>
      <c r="E318" s="86" t="n"/>
      <c r="F318" s="85" t="n"/>
      <c r="G318" s="85" t="n"/>
    </row>
    <row r="319" ht="13.5" customHeight="1" s="453">
      <c r="D319" s="11" t="n"/>
      <c r="E319" s="86" t="n"/>
      <c r="F319" s="85" t="n"/>
      <c r="G319" s="85" t="n"/>
    </row>
    <row r="320" ht="13.5" customHeight="1" s="453">
      <c r="D320" s="11" t="n"/>
      <c r="E320" s="86" t="n"/>
      <c r="F320" s="85" t="n"/>
      <c r="G320" s="85" t="n"/>
    </row>
    <row r="321" ht="13.5" customHeight="1" s="453">
      <c r="D321" s="11" t="n"/>
      <c r="E321" s="86" t="n"/>
      <c r="F321" s="85" t="n"/>
      <c r="G321" s="85" t="n"/>
    </row>
    <row r="322" ht="13.5" customHeight="1" s="453">
      <c r="D322" s="11" t="n"/>
      <c r="E322" s="86" t="n"/>
      <c r="F322" s="85" t="n"/>
      <c r="G322" s="85" t="n"/>
    </row>
    <row r="323" ht="13.5" customHeight="1" s="453">
      <c r="D323" s="11" t="n"/>
      <c r="E323" s="86" t="n"/>
      <c r="F323" s="85" t="n"/>
      <c r="G323" s="85" t="n"/>
    </row>
    <row r="324" ht="13.5" customHeight="1" s="453">
      <c r="D324" s="11" t="n"/>
      <c r="E324" s="86" t="n"/>
      <c r="F324" s="85" t="n"/>
      <c r="G324" s="85" t="n"/>
    </row>
    <row r="325" ht="13.5" customHeight="1" s="453">
      <c r="D325" s="11" t="n"/>
      <c r="E325" s="86" t="n"/>
      <c r="F325" s="85" t="n"/>
      <c r="G325" s="85" t="n"/>
    </row>
    <row r="326" ht="13.5" customHeight="1" s="453">
      <c r="D326" s="11" t="n"/>
      <c r="E326" s="86" t="n"/>
      <c r="F326" s="85" t="n"/>
      <c r="G326" s="85" t="n"/>
    </row>
    <row r="327" ht="13.5" customHeight="1" s="453">
      <c r="D327" s="11" t="n"/>
      <c r="E327" s="86" t="n"/>
      <c r="F327" s="85" t="n"/>
      <c r="G327" s="85" t="n"/>
    </row>
    <row r="328" ht="13.5" customHeight="1" s="453">
      <c r="D328" s="11" t="n"/>
      <c r="E328" s="86" t="n"/>
      <c r="F328" s="85" t="n"/>
      <c r="G328" s="85" t="n"/>
    </row>
    <row r="329" ht="13.5" customHeight="1" s="453">
      <c r="D329" s="11" t="n"/>
      <c r="E329" s="86" t="n"/>
      <c r="F329" s="85" t="n"/>
      <c r="G329" s="85" t="n"/>
    </row>
    <row r="330" ht="13.5" customHeight="1" s="453">
      <c r="D330" s="11" t="n"/>
      <c r="E330" s="86" t="n"/>
      <c r="F330" s="85" t="n"/>
      <c r="G330" s="85" t="n"/>
    </row>
    <row r="331" ht="13.5" customHeight="1" s="453">
      <c r="D331" s="11" t="n"/>
      <c r="E331" s="86" t="n"/>
      <c r="F331" s="85" t="n"/>
      <c r="G331" s="85" t="n"/>
    </row>
    <row r="332" ht="13.5" customHeight="1" s="453">
      <c r="D332" s="11" t="n"/>
      <c r="E332" s="86" t="n"/>
      <c r="F332" s="85" t="n"/>
      <c r="G332" s="85" t="n"/>
    </row>
    <row r="333" ht="13.5" customHeight="1" s="453">
      <c r="D333" s="11" t="n"/>
      <c r="E333" s="86" t="n"/>
      <c r="F333" s="85" t="n"/>
      <c r="G333" s="85" t="n"/>
    </row>
    <row r="334" ht="13.5" customHeight="1" s="453">
      <c r="D334" s="11" t="n"/>
      <c r="E334" s="86" t="n"/>
      <c r="F334" s="85" t="n"/>
      <c r="G334" s="85" t="n"/>
    </row>
    <row r="335" ht="13.5" customHeight="1" s="453">
      <c r="D335" s="11" t="n"/>
      <c r="E335" s="86" t="n"/>
      <c r="F335" s="85" t="n"/>
      <c r="G335" s="85" t="n"/>
    </row>
    <row r="336" ht="13.5" customHeight="1" s="453">
      <c r="D336" s="11" t="n"/>
      <c r="E336" s="86" t="n"/>
      <c r="F336" s="85" t="n"/>
      <c r="G336" s="85" t="n"/>
    </row>
    <row r="337" ht="13.5" customHeight="1" s="453">
      <c r="D337" s="11" t="n"/>
      <c r="E337" s="86" t="n"/>
      <c r="F337" s="85" t="n"/>
      <c r="G337" s="85" t="n"/>
    </row>
    <row r="338" ht="13.5" customHeight="1" s="453">
      <c r="D338" s="11" t="n"/>
      <c r="E338" s="86" t="n"/>
      <c r="F338" s="85" t="n"/>
      <c r="G338" s="85" t="n"/>
    </row>
    <row r="339" ht="13.5" customHeight="1" s="453">
      <c r="D339" s="11" t="n"/>
      <c r="E339" s="86" t="n"/>
      <c r="F339" s="85" t="n"/>
      <c r="G339" s="85" t="n"/>
    </row>
    <row r="340" ht="13.5" customHeight="1" s="453">
      <c r="D340" s="11" t="n"/>
      <c r="E340" s="86" t="n"/>
      <c r="F340" s="85" t="n"/>
      <c r="G340" s="85" t="n"/>
    </row>
    <row r="341" ht="13.5" customHeight="1" s="453">
      <c r="D341" s="11" t="n"/>
      <c r="E341" s="86" t="n"/>
      <c r="F341" s="85" t="n"/>
      <c r="G341" s="85" t="n"/>
    </row>
    <row r="342" ht="13.5" customHeight="1" s="453">
      <c r="D342" s="11" t="n"/>
      <c r="E342" s="86" t="n"/>
      <c r="F342" s="85" t="n"/>
      <c r="G342" s="85" t="n"/>
    </row>
    <row r="343" ht="13.5" customHeight="1" s="453">
      <c r="D343" s="11" t="n"/>
      <c r="E343" s="86" t="n"/>
      <c r="F343" s="85" t="n"/>
      <c r="G343" s="85" t="n"/>
    </row>
    <row r="344" ht="13.5" customHeight="1" s="453">
      <c r="D344" s="11" t="n"/>
      <c r="E344" s="86" t="n"/>
      <c r="F344" s="85" t="n"/>
      <c r="G344" s="85" t="n"/>
    </row>
    <row r="345" ht="13.5" customHeight="1" s="453">
      <c r="D345" s="11" t="n"/>
      <c r="E345" s="86" t="n"/>
      <c r="F345" s="85" t="n"/>
      <c r="G345" s="85" t="n"/>
    </row>
    <row r="346" ht="13.5" customHeight="1" s="453">
      <c r="D346" s="11" t="n"/>
      <c r="E346" s="86" t="n"/>
      <c r="F346" s="85" t="n"/>
      <c r="G346" s="85" t="n"/>
    </row>
    <row r="347" ht="13.5" customHeight="1" s="453">
      <c r="D347" s="11" t="n"/>
      <c r="E347" s="86" t="n"/>
      <c r="F347" s="85" t="n"/>
      <c r="G347" s="85" t="n"/>
    </row>
    <row r="348" ht="13.5" customHeight="1" s="453">
      <c r="D348" s="11" t="n"/>
      <c r="E348" s="86" t="n"/>
      <c r="F348" s="85" t="n"/>
      <c r="G348" s="85" t="n"/>
    </row>
    <row r="349" ht="13.5" customHeight="1" s="453">
      <c r="D349" s="11" t="n"/>
      <c r="E349" s="86" t="n"/>
      <c r="F349" s="85" t="n"/>
      <c r="G349" s="85" t="n"/>
    </row>
    <row r="350" ht="13.5" customHeight="1" s="453">
      <c r="D350" s="11" t="n"/>
      <c r="E350" s="86" t="n"/>
      <c r="F350" s="85" t="n"/>
      <c r="G350" s="85" t="n"/>
    </row>
    <row r="351" ht="13.5" customHeight="1" s="453">
      <c r="D351" s="11" t="n"/>
      <c r="E351" s="86" t="n"/>
      <c r="F351" s="85" t="n"/>
      <c r="G351" s="85" t="n"/>
    </row>
    <row r="352" ht="13.5" customHeight="1" s="453">
      <c r="D352" s="11" t="n"/>
      <c r="E352" s="86" t="n"/>
      <c r="F352" s="85" t="n"/>
      <c r="G352" s="85" t="n"/>
    </row>
    <row r="353" ht="13.5" customHeight="1" s="453">
      <c r="D353" s="11" t="n"/>
      <c r="E353" s="86" t="n"/>
      <c r="F353" s="85" t="n"/>
      <c r="G353" s="85" t="n"/>
    </row>
    <row r="354" ht="13.5" customHeight="1" s="453">
      <c r="D354" s="11" t="n"/>
      <c r="E354" s="86" t="n"/>
      <c r="F354" s="85" t="n"/>
      <c r="G354" s="85" t="n"/>
    </row>
    <row r="355" ht="13.5" customHeight="1" s="453">
      <c r="D355" s="11" t="n"/>
      <c r="E355" s="86" t="n"/>
      <c r="F355" s="85" t="n"/>
      <c r="G355" s="85" t="n"/>
    </row>
    <row r="356" ht="13.5" customHeight="1" s="453">
      <c r="D356" s="11" t="n"/>
      <c r="E356" s="86" t="n"/>
      <c r="F356" s="85" t="n"/>
      <c r="G356" s="85" t="n"/>
    </row>
    <row r="357" ht="13.5" customHeight="1" s="453">
      <c r="D357" s="11" t="n"/>
      <c r="E357" s="86" t="n"/>
      <c r="F357" s="85" t="n"/>
      <c r="G357" s="85" t="n"/>
    </row>
    <row r="358" ht="13.5" customHeight="1" s="453">
      <c r="D358" s="11" t="n"/>
      <c r="E358" s="86" t="n"/>
      <c r="F358" s="85" t="n"/>
      <c r="G358" s="85" t="n"/>
    </row>
    <row r="359" ht="13.5" customHeight="1" s="453">
      <c r="D359" s="11" t="n"/>
      <c r="E359" s="86" t="n"/>
      <c r="F359" s="85" t="n"/>
      <c r="G359" s="85" t="n"/>
    </row>
    <row r="360" ht="13.5" customHeight="1" s="453">
      <c r="D360" s="11" t="n"/>
      <c r="E360" s="86" t="n"/>
      <c r="F360" s="85" t="n"/>
      <c r="G360" s="85" t="n"/>
    </row>
    <row r="361" ht="13.5" customHeight="1" s="453">
      <c r="D361" s="11" t="n"/>
      <c r="E361" s="86" t="n"/>
      <c r="F361" s="85" t="n"/>
      <c r="G361" s="85" t="n"/>
    </row>
    <row r="362" ht="13.5" customHeight="1" s="453">
      <c r="D362" s="11" t="n"/>
      <c r="E362" s="86" t="n"/>
      <c r="F362" s="85" t="n"/>
      <c r="G362" s="85" t="n"/>
    </row>
    <row r="363" ht="13.5" customHeight="1" s="453">
      <c r="D363" s="11" t="n"/>
      <c r="E363" s="86" t="n"/>
      <c r="F363" s="85" t="n"/>
      <c r="G363" s="85" t="n"/>
    </row>
    <row r="364" ht="13.5" customHeight="1" s="453">
      <c r="D364" s="11" t="n"/>
      <c r="E364" s="86" t="n"/>
      <c r="F364" s="85" t="n"/>
      <c r="G364" s="85" t="n"/>
    </row>
    <row r="365" ht="13.5" customHeight="1" s="453">
      <c r="D365" s="11" t="n"/>
      <c r="E365" s="86" t="n"/>
      <c r="F365" s="85" t="n"/>
      <c r="G365" s="85" t="n"/>
    </row>
    <row r="366" ht="13.5" customHeight="1" s="453">
      <c r="D366" s="11" t="n"/>
      <c r="E366" s="86" t="n"/>
      <c r="F366" s="85" t="n"/>
      <c r="G366" s="85" t="n"/>
    </row>
    <row r="367" ht="13.5" customHeight="1" s="453">
      <c r="D367" s="11" t="n"/>
      <c r="E367" s="86" t="n"/>
      <c r="F367" s="85" t="n"/>
      <c r="G367" s="85" t="n"/>
    </row>
    <row r="368" ht="13.5" customHeight="1" s="453">
      <c r="D368" s="11" t="n"/>
      <c r="E368" s="86" t="n"/>
      <c r="F368" s="85" t="n"/>
      <c r="G368" s="85" t="n"/>
    </row>
    <row r="369" ht="13.5" customHeight="1" s="453">
      <c r="D369" s="11" t="n"/>
      <c r="E369" s="86" t="n"/>
      <c r="F369" s="85" t="n"/>
      <c r="G369" s="85" t="n"/>
    </row>
    <row r="370" ht="13.5" customHeight="1" s="453">
      <c r="D370" s="11" t="n"/>
      <c r="E370" s="86" t="n"/>
      <c r="F370" s="85" t="n"/>
      <c r="G370" s="85" t="n"/>
    </row>
    <row r="371" ht="13.5" customHeight="1" s="453">
      <c r="D371" s="11" t="n"/>
      <c r="E371" s="86" t="n"/>
      <c r="F371" s="85" t="n"/>
      <c r="G371" s="85" t="n"/>
    </row>
    <row r="372" ht="13.5" customHeight="1" s="453">
      <c r="D372" s="11" t="n"/>
      <c r="E372" s="86" t="n"/>
      <c r="F372" s="85" t="n"/>
      <c r="G372" s="85" t="n"/>
    </row>
    <row r="373" ht="13.5" customHeight="1" s="453">
      <c r="D373" s="11" t="n"/>
      <c r="E373" s="86" t="n"/>
      <c r="F373" s="85" t="n"/>
      <c r="G373" s="85" t="n"/>
    </row>
    <row r="374" ht="13.5" customHeight="1" s="453">
      <c r="D374" s="11" t="n"/>
      <c r="E374" s="86" t="n"/>
      <c r="F374" s="85" t="n"/>
      <c r="G374" s="85" t="n"/>
    </row>
    <row r="375" ht="13.5" customHeight="1" s="453">
      <c r="D375" s="11" t="n"/>
      <c r="E375" s="86" t="n"/>
      <c r="F375" s="85" t="n"/>
      <c r="G375" s="85" t="n"/>
    </row>
    <row r="376" ht="13.5" customHeight="1" s="453">
      <c r="D376" s="11" t="n"/>
      <c r="E376" s="86" t="n"/>
      <c r="F376" s="85" t="n"/>
      <c r="G376" s="85" t="n"/>
    </row>
    <row r="377" ht="13.5" customHeight="1" s="453">
      <c r="D377" s="11" t="n"/>
      <c r="E377" s="86" t="n"/>
      <c r="F377" s="85" t="n"/>
      <c r="G377" s="85" t="n"/>
    </row>
    <row r="378" ht="13.5" customHeight="1" s="453">
      <c r="D378" s="11" t="n"/>
      <c r="E378" s="86" t="n"/>
      <c r="F378" s="85" t="n"/>
      <c r="G378" s="85" t="n"/>
    </row>
    <row r="379" ht="13.5" customHeight="1" s="453">
      <c r="D379" s="11" t="n"/>
      <c r="E379" s="86" t="n"/>
      <c r="F379" s="85" t="n"/>
      <c r="G379" s="85" t="n"/>
    </row>
    <row r="380" ht="13.5" customHeight="1" s="453">
      <c r="D380" s="11" t="n"/>
      <c r="E380" s="86" t="n"/>
      <c r="F380" s="85" t="n"/>
      <c r="G380" s="85" t="n"/>
    </row>
    <row r="381" ht="13.5" customHeight="1" s="453">
      <c r="D381" s="11" t="n"/>
      <c r="E381" s="86" t="n"/>
      <c r="F381" s="85" t="n"/>
      <c r="G381" s="85" t="n"/>
    </row>
    <row r="382" ht="13.5" customHeight="1" s="453">
      <c r="D382" s="11" t="n"/>
      <c r="E382" s="86" t="n"/>
      <c r="F382" s="85" t="n"/>
      <c r="G382" s="85" t="n"/>
    </row>
    <row r="383" ht="13.5" customHeight="1" s="453">
      <c r="D383" s="11" t="n"/>
      <c r="E383" s="86" t="n"/>
      <c r="F383" s="85" t="n"/>
      <c r="G383" s="85" t="n"/>
    </row>
    <row r="384" ht="13.5" customHeight="1" s="453">
      <c r="D384" s="11" t="n"/>
      <c r="E384" s="86" t="n"/>
      <c r="F384" s="85" t="n"/>
      <c r="G384" s="85" t="n"/>
    </row>
    <row r="385" ht="13.5" customHeight="1" s="453">
      <c r="D385" s="11" t="n"/>
      <c r="E385" s="86" t="n"/>
      <c r="F385" s="85" t="n"/>
      <c r="G385" s="85" t="n"/>
    </row>
    <row r="386" ht="13.5" customHeight="1" s="453">
      <c r="D386" s="11" t="n"/>
      <c r="E386" s="86" t="n"/>
      <c r="F386" s="85" t="n"/>
      <c r="G386" s="85" t="n"/>
    </row>
    <row r="387" ht="13.5" customHeight="1" s="453">
      <c r="D387" s="11" t="n"/>
      <c r="E387" s="86" t="n"/>
      <c r="F387" s="85" t="n"/>
      <c r="G387" s="85" t="n"/>
    </row>
    <row r="388" ht="13.5" customHeight="1" s="453">
      <c r="D388" s="11" t="n"/>
      <c r="E388" s="86" t="n"/>
      <c r="F388" s="85" t="n"/>
      <c r="G388" s="85" t="n"/>
    </row>
    <row r="389" ht="13.5" customHeight="1" s="453">
      <c r="D389" s="11" t="n"/>
      <c r="E389" s="86" t="n"/>
      <c r="F389" s="85" t="n"/>
      <c r="G389" s="85" t="n"/>
    </row>
    <row r="390" ht="13.5" customHeight="1" s="453">
      <c r="D390" s="11" t="n"/>
      <c r="E390" s="86" t="n"/>
      <c r="F390" s="85" t="n"/>
      <c r="G390" s="85" t="n"/>
    </row>
    <row r="391" ht="13.5" customHeight="1" s="453">
      <c r="D391" s="11" t="n"/>
      <c r="E391" s="86" t="n"/>
      <c r="F391" s="85" t="n"/>
      <c r="G391" s="85" t="n"/>
    </row>
    <row r="392" ht="13.5" customHeight="1" s="453">
      <c r="D392" s="11" t="n"/>
      <c r="E392" s="86" t="n"/>
      <c r="F392" s="85" t="n"/>
      <c r="G392" s="85" t="n"/>
    </row>
    <row r="393" ht="13.5" customHeight="1" s="453">
      <c r="D393" s="11" t="n"/>
      <c r="E393" s="86" t="n"/>
      <c r="F393" s="85" t="n"/>
      <c r="G393" s="85" t="n"/>
    </row>
    <row r="394" ht="13.5" customHeight="1" s="453">
      <c r="D394" s="11" t="n"/>
      <c r="E394" s="86" t="n"/>
      <c r="F394" s="85" t="n"/>
      <c r="G394" s="85" t="n"/>
    </row>
    <row r="395" ht="13.5" customHeight="1" s="453">
      <c r="D395" s="11" t="n"/>
      <c r="E395" s="86" t="n"/>
      <c r="F395" s="85" t="n"/>
      <c r="G395" s="85" t="n"/>
    </row>
    <row r="396" ht="13.5" customHeight="1" s="453">
      <c r="D396" s="11" t="n"/>
      <c r="E396" s="86" t="n"/>
      <c r="F396" s="85" t="n"/>
      <c r="G396" s="85" t="n"/>
    </row>
    <row r="397" ht="13.5" customHeight="1" s="453">
      <c r="D397" s="11" t="n"/>
      <c r="E397" s="86" t="n"/>
      <c r="F397" s="85" t="n"/>
      <c r="G397" s="85" t="n"/>
    </row>
    <row r="398" ht="13.5" customHeight="1" s="453">
      <c r="D398" s="11" t="n"/>
      <c r="E398" s="86" t="n"/>
      <c r="F398" s="85" t="n"/>
      <c r="G398" s="85" t="n"/>
    </row>
    <row r="399" ht="13.5" customHeight="1" s="453">
      <c r="D399" s="11" t="n"/>
      <c r="E399" s="86" t="n"/>
      <c r="F399" s="85" t="n"/>
      <c r="G399" s="85" t="n"/>
    </row>
    <row r="400" ht="13.5" customHeight="1" s="453">
      <c r="D400" s="11" t="n"/>
      <c r="E400" s="86" t="n"/>
      <c r="F400" s="85" t="n"/>
      <c r="G400" s="85" t="n"/>
    </row>
    <row r="401" ht="13.5" customHeight="1" s="453">
      <c r="D401" s="11" t="n"/>
      <c r="E401" s="86" t="n"/>
      <c r="F401" s="85" t="n"/>
      <c r="G401" s="85" t="n"/>
    </row>
    <row r="402" ht="13.5" customHeight="1" s="453">
      <c r="D402" s="11" t="n"/>
      <c r="E402" s="86" t="n"/>
      <c r="F402" s="85" t="n"/>
      <c r="G402" s="85" t="n"/>
    </row>
    <row r="403" ht="13.5" customHeight="1" s="453">
      <c r="D403" s="11" t="n"/>
      <c r="E403" s="86" t="n"/>
      <c r="F403" s="85" t="n"/>
      <c r="G403" s="85" t="n"/>
    </row>
    <row r="404" ht="13.5" customHeight="1" s="453">
      <c r="D404" s="11" t="n"/>
      <c r="E404" s="86" t="n"/>
      <c r="F404" s="85" t="n"/>
      <c r="G404" s="85" t="n"/>
    </row>
    <row r="405" ht="13.5" customHeight="1" s="453">
      <c r="D405" s="11" t="n"/>
      <c r="E405" s="86" t="n"/>
      <c r="F405" s="85" t="n"/>
      <c r="G405" s="85" t="n"/>
    </row>
    <row r="406" ht="13.5" customHeight="1" s="453">
      <c r="D406" s="11" t="n"/>
      <c r="E406" s="86" t="n"/>
      <c r="F406" s="85" t="n"/>
      <c r="G406" s="85" t="n"/>
    </row>
    <row r="407" ht="13.5" customHeight="1" s="453">
      <c r="D407" s="11" t="n"/>
      <c r="E407" s="86" t="n"/>
      <c r="F407" s="85" t="n"/>
      <c r="G407" s="85" t="n"/>
    </row>
    <row r="408" ht="13.5" customHeight="1" s="453">
      <c r="D408" s="11" t="n"/>
      <c r="E408" s="86" t="n"/>
      <c r="F408" s="85" t="n"/>
      <c r="G408" s="85" t="n"/>
    </row>
    <row r="409" ht="13.5" customHeight="1" s="453">
      <c r="D409" s="11" t="n"/>
      <c r="E409" s="86" t="n"/>
      <c r="F409" s="85" t="n"/>
      <c r="G409" s="85" t="n"/>
    </row>
    <row r="410" ht="13.5" customHeight="1" s="453">
      <c r="D410" s="11" t="n"/>
      <c r="E410" s="86" t="n"/>
      <c r="F410" s="85" t="n"/>
      <c r="G410" s="85" t="n"/>
    </row>
    <row r="411" ht="13.5" customHeight="1" s="453">
      <c r="D411" s="11" t="n"/>
      <c r="E411" s="86" t="n"/>
      <c r="F411" s="85" t="n"/>
      <c r="G411" s="85" t="n"/>
    </row>
    <row r="412" ht="13.5" customHeight="1" s="453">
      <c r="D412" s="11" t="n"/>
      <c r="E412" s="86" t="n"/>
      <c r="F412" s="85" t="n"/>
      <c r="G412" s="85" t="n"/>
    </row>
    <row r="413" ht="13.5" customHeight="1" s="453">
      <c r="D413" s="11" t="n"/>
      <c r="E413" s="86" t="n"/>
      <c r="F413" s="85" t="n"/>
      <c r="G413" s="85" t="n"/>
    </row>
    <row r="414" ht="13.5" customHeight="1" s="453">
      <c r="D414" s="11" t="n"/>
      <c r="E414" s="86" t="n"/>
      <c r="F414" s="85" t="n"/>
      <c r="G414" s="85" t="n"/>
    </row>
    <row r="415" ht="13.5" customHeight="1" s="453">
      <c r="D415" s="11" t="n"/>
      <c r="E415" s="86" t="n"/>
      <c r="F415" s="85" t="n"/>
      <c r="G415" s="85" t="n"/>
    </row>
    <row r="416" ht="13.5" customHeight="1" s="453">
      <c r="D416" s="11" t="n"/>
      <c r="E416" s="86" t="n"/>
      <c r="F416" s="85" t="n"/>
      <c r="G416" s="85" t="n"/>
    </row>
    <row r="417" ht="13.5" customHeight="1" s="453">
      <c r="D417" s="11" t="n"/>
      <c r="E417" s="86" t="n"/>
      <c r="F417" s="85" t="n"/>
      <c r="G417" s="85" t="n"/>
    </row>
    <row r="418" ht="13.5" customHeight="1" s="453">
      <c r="D418" s="11" t="n"/>
      <c r="E418" s="86" t="n"/>
      <c r="F418" s="85" t="n"/>
      <c r="G418" s="85" t="n"/>
    </row>
    <row r="419" ht="13.5" customHeight="1" s="453">
      <c r="D419" s="11" t="n"/>
      <c r="E419" s="86" t="n"/>
      <c r="F419" s="85" t="n"/>
      <c r="G419" s="85" t="n"/>
    </row>
    <row r="420" ht="13.5" customHeight="1" s="453">
      <c r="D420" s="11" t="n"/>
      <c r="E420" s="86" t="n"/>
      <c r="F420" s="85" t="n"/>
      <c r="G420" s="85" t="n"/>
    </row>
    <row r="421" ht="13.5" customHeight="1" s="453">
      <c r="D421" s="11" t="n"/>
      <c r="E421" s="86" t="n"/>
      <c r="F421" s="85" t="n"/>
      <c r="G421" s="85" t="n"/>
    </row>
    <row r="422" ht="13.5" customHeight="1" s="453">
      <c r="D422" s="11" t="n"/>
      <c r="E422" s="86" t="n"/>
      <c r="F422" s="85" t="n"/>
      <c r="G422" s="85" t="n"/>
    </row>
    <row r="423" ht="13.5" customHeight="1" s="453">
      <c r="D423" s="11" t="n"/>
      <c r="E423" s="86" t="n"/>
      <c r="F423" s="85" t="n"/>
      <c r="G423" s="85" t="n"/>
    </row>
    <row r="424" ht="13.5" customHeight="1" s="453">
      <c r="D424" s="11" t="n"/>
      <c r="E424" s="86" t="n"/>
      <c r="F424" s="85" t="n"/>
      <c r="G424" s="85" t="n"/>
    </row>
    <row r="425" ht="13.5" customHeight="1" s="453">
      <c r="D425" s="11" t="n"/>
      <c r="E425" s="86" t="n"/>
      <c r="F425" s="85" t="n"/>
      <c r="G425" s="85" t="n"/>
    </row>
    <row r="426" ht="13.5" customHeight="1" s="453">
      <c r="D426" s="11" t="n"/>
      <c r="E426" s="86" t="n"/>
      <c r="F426" s="85" t="n"/>
      <c r="G426" s="85" t="n"/>
    </row>
    <row r="427" ht="13.5" customHeight="1" s="453">
      <c r="D427" s="11" t="n"/>
      <c r="E427" s="86" t="n"/>
      <c r="F427" s="85" t="n"/>
      <c r="G427" s="85" t="n"/>
    </row>
    <row r="428" ht="13.5" customHeight="1" s="453">
      <c r="D428" s="11" t="n"/>
      <c r="E428" s="86" t="n"/>
      <c r="F428" s="85" t="n"/>
      <c r="G428" s="85" t="n"/>
    </row>
    <row r="429" ht="13.5" customHeight="1" s="453">
      <c r="D429" s="11" t="n"/>
      <c r="E429" s="86" t="n"/>
      <c r="F429" s="85" t="n"/>
      <c r="G429" s="85" t="n"/>
    </row>
    <row r="430" ht="13.5" customHeight="1" s="453">
      <c r="D430" s="11" t="n"/>
      <c r="E430" s="86" t="n"/>
      <c r="F430" s="85" t="n"/>
      <c r="G430" s="85" t="n"/>
    </row>
    <row r="431" ht="13.5" customHeight="1" s="453">
      <c r="D431" s="11" t="n"/>
      <c r="E431" s="86" t="n"/>
      <c r="F431" s="85" t="n"/>
      <c r="G431" s="85" t="n"/>
    </row>
    <row r="432" ht="13.5" customHeight="1" s="453">
      <c r="D432" s="11" t="n"/>
      <c r="E432" s="86" t="n"/>
      <c r="F432" s="85" t="n"/>
      <c r="G432" s="85" t="n"/>
    </row>
    <row r="433" ht="13.5" customHeight="1" s="453">
      <c r="D433" s="11" t="n"/>
      <c r="E433" s="86" t="n"/>
      <c r="F433" s="85" t="n"/>
      <c r="G433" s="85" t="n"/>
    </row>
    <row r="434" ht="13.5" customHeight="1" s="453">
      <c r="D434" s="11" t="n"/>
      <c r="E434" s="86" t="n"/>
      <c r="F434" s="85" t="n"/>
      <c r="G434" s="85" t="n"/>
    </row>
    <row r="435" ht="13.5" customHeight="1" s="453">
      <c r="D435" s="11" t="n"/>
      <c r="E435" s="86" t="n"/>
      <c r="F435" s="85" t="n"/>
      <c r="G435" s="85" t="n"/>
    </row>
    <row r="436" ht="13.5" customHeight="1" s="453">
      <c r="D436" s="11" t="n"/>
      <c r="E436" s="86" t="n"/>
      <c r="F436" s="85" t="n"/>
      <c r="G436" s="85" t="n"/>
    </row>
    <row r="437" ht="13.5" customHeight="1" s="453">
      <c r="D437" s="11" t="n"/>
      <c r="E437" s="86" t="n"/>
      <c r="F437" s="85" t="n"/>
      <c r="G437" s="85" t="n"/>
    </row>
    <row r="438" ht="13.5" customHeight="1" s="453">
      <c r="D438" s="11" t="n"/>
      <c r="E438" s="86" t="n"/>
      <c r="F438" s="85" t="n"/>
      <c r="G438" s="85" t="n"/>
    </row>
    <row r="439" ht="13.5" customHeight="1" s="453">
      <c r="D439" s="11" t="n"/>
      <c r="E439" s="86" t="n"/>
      <c r="F439" s="85" t="n"/>
      <c r="G439" s="85" t="n"/>
    </row>
    <row r="440" ht="13.5" customHeight="1" s="453">
      <c r="D440" s="11" t="n"/>
      <c r="E440" s="86" t="n"/>
      <c r="F440" s="85" t="n"/>
      <c r="G440" s="85" t="n"/>
    </row>
    <row r="441" ht="13.5" customHeight="1" s="453">
      <c r="D441" s="11" t="n"/>
      <c r="E441" s="86" t="n"/>
      <c r="F441" s="85" t="n"/>
      <c r="G441" s="85" t="n"/>
    </row>
    <row r="442" ht="13.5" customHeight="1" s="453">
      <c r="D442" s="11" t="n"/>
      <c r="E442" s="86" t="n"/>
      <c r="F442" s="85" t="n"/>
      <c r="G442" s="85" t="n"/>
    </row>
    <row r="443" ht="13.5" customHeight="1" s="453">
      <c r="D443" s="11" t="n"/>
      <c r="E443" s="86" t="n"/>
      <c r="F443" s="85" t="n"/>
      <c r="G443" s="85" t="n"/>
    </row>
    <row r="444" ht="13.5" customHeight="1" s="453">
      <c r="D444" s="11" t="n"/>
      <c r="E444" s="86" t="n"/>
      <c r="F444" s="85" t="n"/>
      <c r="G444" s="85" t="n"/>
    </row>
    <row r="445" ht="13.5" customHeight="1" s="453">
      <c r="D445" s="11" t="n"/>
      <c r="E445" s="86" t="n"/>
      <c r="F445" s="85" t="n"/>
      <c r="G445" s="85" t="n"/>
    </row>
    <row r="446" ht="13.5" customHeight="1" s="453">
      <c r="D446" s="11" t="n"/>
      <c r="E446" s="86" t="n"/>
      <c r="F446" s="85" t="n"/>
      <c r="G446" s="85" t="n"/>
    </row>
    <row r="447" ht="13.5" customHeight="1" s="453">
      <c r="D447" s="11" t="n"/>
      <c r="E447" s="86" t="n"/>
      <c r="F447" s="85" t="n"/>
      <c r="G447" s="85" t="n"/>
    </row>
    <row r="448" ht="13.5" customHeight="1" s="453">
      <c r="D448" s="11" t="n"/>
      <c r="E448" s="86" t="n"/>
      <c r="F448" s="85" t="n"/>
      <c r="G448" s="85" t="n"/>
    </row>
    <row r="449" ht="13.5" customHeight="1" s="453">
      <c r="D449" s="11" t="n"/>
      <c r="E449" s="86" t="n"/>
      <c r="F449" s="85" t="n"/>
      <c r="G449" s="85" t="n"/>
    </row>
    <row r="450" ht="13.5" customHeight="1" s="453">
      <c r="D450" s="11" t="n"/>
      <c r="E450" s="86" t="n"/>
      <c r="F450" s="85" t="n"/>
      <c r="G450" s="85" t="n"/>
    </row>
    <row r="451" ht="13.5" customHeight="1" s="453">
      <c r="D451" s="11" t="n"/>
      <c r="E451" s="86" t="n"/>
      <c r="F451" s="85" t="n"/>
      <c r="G451" s="85" t="n"/>
    </row>
    <row r="452" ht="13.5" customHeight="1" s="453">
      <c r="D452" s="11" t="n"/>
      <c r="E452" s="86" t="n"/>
      <c r="F452" s="85" t="n"/>
      <c r="G452" s="85" t="n"/>
    </row>
    <row r="453" ht="13.5" customHeight="1" s="453">
      <c r="D453" s="11" t="n"/>
      <c r="E453" s="86" t="n"/>
      <c r="F453" s="85" t="n"/>
      <c r="G453" s="85" t="n"/>
    </row>
    <row r="454" ht="13.5" customHeight="1" s="453">
      <c r="D454" s="11" t="n"/>
      <c r="E454" s="86" t="n"/>
      <c r="F454" s="85" t="n"/>
      <c r="G454" s="85" t="n"/>
    </row>
    <row r="455" ht="13.5" customHeight="1" s="453">
      <c r="D455" s="11" t="n"/>
      <c r="E455" s="86" t="n"/>
      <c r="F455" s="85" t="n"/>
      <c r="G455" s="85" t="n"/>
    </row>
    <row r="456" ht="13.5" customHeight="1" s="453">
      <c r="D456" s="11" t="n"/>
      <c r="E456" s="86" t="n"/>
      <c r="F456" s="85" t="n"/>
      <c r="G456" s="85" t="n"/>
    </row>
    <row r="457" ht="13.5" customHeight="1" s="453">
      <c r="D457" s="11" t="n"/>
      <c r="E457" s="86" t="n"/>
      <c r="F457" s="85" t="n"/>
      <c r="G457" s="85" t="n"/>
    </row>
    <row r="458" ht="13.5" customHeight="1" s="453">
      <c r="D458" s="11" t="n"/>
      <c r="E458" s="86" t="n"/>
      <c r="F458" s="85" t="n"/>
      <c r="G458" s="85" t="n"/>
    </row>
    <row r="459" ht="13.5" customHeight="1" s="453">
      <c r="D459" s="11" t="n"/>
      <c r="E459" s="86" t="n"/>
      <c r="F459" s="85" t="n"/>
      <c r="G459" s="85" t="n"/>
    </row>
    <row r="460" ht="13.5" customHeight="1" s="453">
      <c r="D460" s="11" t="n"/>
      <c r="E460" s="86" t="n"/>
      <c r="F460" s="85" t="n"/>
      <c r="G460" s="85" t="n"/>
    </row>
    <row r="461" ht="13.5" customHeight="1" s="453">
      <c r="D461" s="11" t="n"/>
      <c r="E461" s="86" t="n"/>
      <c r="F461" s="85" t="n"/>
      <c r="G461" s="85" t="n"/>
    </row>
    <row r="462" ht="13.5" customHeight="1" s="453">
      <c r="D462" s="11" t="n"/>
      <c r="E462" s="86" t="n"/>
      <c r="F462" s="85" t="n"/>
      <c r="G462" s="85" t="n"/>
    </row>
    <row r="463" ht="13.5" customHeight="1" s="453">
      <c r="D463" s="11" t="n"/>
      <c r="E463" s="86" t="n"/>
      <c r="F463" s="85" t="n"/>
      <c r="G463" s="85" t="n"/>
    </row>
    <row r="464" ht="13.5" customHeight="1" s="453">
      <c r="D464" s="11" t="n"/>
      <c r="E464" s="86" t="n"/>
      <c r="F464" s="85" t="n"/>
      <c r="G464" s="85" t="n"/>
    </row>
    <row r="465" ht="13.5" customHeight="1" s="453">
      <c r="D465" s="11" t="n"/>
      <c r="E465" s="86" t="n"/>
      <c r="F465" s="85" t="n"/>
      <c r="G465" s="85" t="n"/>
    </row>
    <row r="466" ht="13.5" customHeight="1" s="453">
      <c r="D466" s="11" t="n"/>
      <c r="E466" s="86" t="n"/>
      <c r="F466" s="85" t="n"/>
      <c r="G466" s="85" t="n"/>
    </row>
    <row r="467" ht="13.5" customHeight="1" s="453">
      <c r="D467" s="11" t="n"/>
      <c r="E467" s="86" t="n"/>
      <c r="F467" s="85" t="n"/>
      <c r="G467" s="85" t="n"/>
    </row>
    <row r="468" ht="13.5" customHeight="1" s="453">
      <c r="D468" s="11" t="n"/>
      <c r="E468" s="86" t="n"/>
      <c r="F468" s="85" t="n"/>
      <c r="G468" s="85" t="n"/>
    </row>
    <row r="469" ht="13.5" customHeight="1" s="453">
      <c r="D469" s="11" t="n"/>
      <c r="E469" s="86" t="n"/>
      <c r="F469" s="85" t="n"/>
      <c r="G469" s="85" t="n"/>
    </row>
    <row r="470" ht="13.5" customHeight="1" s="453">
      <c r="D470" s="11" t="n"/>
      <c r="E470" s="86" t="n"/>
      <c r="F470" s="85" t="n"/>
      <c r="G470" s="85" t="n"/>
    </row>
    <row r="471" ht="13.5" customHeight="1" s="453">
      <c r="D471" s="11" t="n"/>
      <c r="E471" s="86" t="n"/>
      <c r="F471" s="85" t="n"/>
      <c r="G471" s="85" t="n"/>
    </row>
    <row r="472" ht="13.5" customHeight="1" s="453">
      <c r="D472" s="11" t="n"/>
      <c r="E472" s="86" t="n"/>
      <c r="F472" s="85" t="n"/>
      <c r="G472" s="85" t="n"/>
    </row>
    <row r="473" ht="13.5" customHeight="1" s="453">
      <c r="D473" s="11" t="n"/>
      <c r="E473" s="86" t="n"/>
      <c r="F473" s="85" t="n"/>
      <c r="G473" s="85" t="n"/>
    </row>
    <row r="474" ht="13.5" customHeight="1" s="453">
      <c r="D474" s="11" t="n"/>
      <c r="E474" s="86" t="n"/>
      <c r="F474" s="85" t="n"/>
      <c r="G474" s="85" t="n"/>
    </row>
    <row r="475" ht="13.5" customHeight="1" s="453">
      <c r="D475" s="11" t="n"/>
      <c r="E475" s="86" t="n"/>
      <c r="F475" s="85" t="n"/>
      <c r="G475" s="85" t="n"/>
    </row>
    <row r="476" ht="13.5" customHeight="1" s="453">
      <c r="D476" s="11" t="n"/>
      <c r="E476" s="86" t="n"/>
      <c r="F476" s="85" t="n"/>
      <c r="G476" s="85" t="n"/>
    </row>
    <row r="477" ht="13.5" customHeight="1" s="453">
      <c r="D477" s="11" t="n"/>
      <c r="E477" s="86" t="n"/>
      <c r="F477" s="85" t="n"/>
      <c r="G477" s="85" t="n"/>
    </row>
    <row r="478" ht="13.5" customHeight="1" s="453">
      <c r="D478" s="11" t="n"/>
      <c r="E478" s="86" t="n"/>
      <c r="F478" s="85" t="n"/>
      <c r="G478" s="85" t="n"/>
    </row>
    <row r="479" ht="13.5" customHeight="1" s="453">
      <c r="D479" s="11" t="n"/>
      <c r="E479" s="86" t="n"/>
      <c r="F479" s="85" t="n"/>
      <c r="G479" s="85" t="n"/>
    </row>
    <row r="480" ht="13.5" customHeight="1" s="453">
      <c r="D480" s="11" t="n"/>
      <c r="E480" s="86" t="n"/>
      <c r="F480" s="85" t="n"/>
      <c r="G480" s="85" t="n"/>
    </row>
    <row r="481" ht="13.5" customHeight="1" s="453">
      <c r="D481" s="11" t="n"/>
      <c r="E481" s="86" t="n"/>
      <c r="F481" s="85" t="n"/>
      <c r="G481" s="85" t="n"/>
    </row>
    <row r="482" ht="13.5" customHeight="1" s="453">
      <c r="D482" s="11" t="n"/>
      <c r="E482" s="86" t="n"/>
      <c r="F482" s="85" t="n"/>
      <c r="G482" s="85" t="n"/>
    </row>
    <row r="483" ht="13.5" customHeight="1" s="453">
      <c r="D483" s="11" t="n"/>
      <c r="E483" s="86" t="n"/>
      <c r="F483" s="85" t="n"/>
      <c r="G483" s="85" t="n"/>
    </row>
    <row r="484" ht="13.5" customHeight="1" s="453">
      <c r="D484" s="11" t="n"/>
      <c r="E484" s="86" t="n"/>
      <c r="F484" s="85" t="n"/>
      <c r="G484" s="85" t="n"/>
    </row>
    <row r="485" ht="13.5" customHeight="1" s="453">
      <c r="D485" s="11" t="n"/>
      <c r="E485" s="86" t="n"/>
      <c r="F485" s="85" t="n"/>
      <c r="G485" s="85" t="n"/>
    </row>
    <row r="486" ht="13.5" customHeight="1" s="453">
      <c r="D486" s="11" t="n"/>
      <c r="E486" s="86" t="n"/>
      <c r="F486" s="85" t="n"/>
      <c r="G486" s="85" t="n"/>
    </row>
    <row r="487" ht="13.5" customHeight="1" s="453">
      <c r="D487" s="11" t="n"/>
      <c r="E487" s="86" t="n"/>
      <c r="F487" s="85" t="n"/>
      <c r="G487" s="85" t="n"/>
    </row>
    <row r="488" ht="13.5" customHeight="1" s="453">
      <c r="D488" s="11" t="n"/>
      <c r="E488" s="86" t="n"/>
      <c r="F488" s="85" t="n"/>
      <c r="G488" s="85" t="n"/>
    </row>
    <row r="489" ht="13.5" customHeight="1" s="453">
      <c r="D489" s="11" t="n"/>
      <c r="E489" s="86" t="n"/>
      <c r="F489" s="85" t="n"/>
      <c r="G489" s="85" t="n"/>
    </row>
    <row r="490" ht="13.5" customHeight="1" s="453">
      <c r="D490" s="11" t="n"/>
      <c r="E490" s="86" t="n"/>
      <c r="F490" s="85" t="n"/>
      <c r="G490" s="85" t="n"/>
    </row>
    <row r="491" ht="13.5" customHeight="1" s="453">
      <c r="D491" s="11" t="n"/>
      <c r="E491" s="86" t="n"/>
      <c r="F491" s="85" t="n"/>
      <c r="G491" s="85" t="n"/>
    </row>
    <row r="492" ht="13.5" customHeight="1" s="453">
      <c r="D492" s="11" t="n"/>
      <c r="E492" s="86" t="n"/>
      <c r="F492" s="85" t="n"/>
      <c r="G492" s="85" t="n"/>
    </row>
    <row r="493" ht="13.5" customHeight="1" s="453">
      <c r="D493" s="11" t="n"/>
      <c r="E493" s="86" t="n"/>
      <c r="F493" s="85" t="n"/>
      <c r="G493" s="85" t="n"/>
    </row>
    <row r="494" ht="13.5" customHeight="1" s="453">
      <c r="D494" s="11" t="n"/>
      <c r="E494" s="86" t="n"/>
      <c r="F494" s="85" t="n"/>
      <c r="G494" s="85" t="n"/>
    </row>
    <row r="495" ht="13.5" customHeight="1" s="453">
      <c r="D495" s="11" t="n"/>
      <c r="E495" s="86" t="n"/>
      <c r="F495" s="85" t="n"/>
      <c r="G495" s="85" t="n"/>
    </row>
    <row r="496" ht="13.5" customHeight="1" s="453">
      <c r="D496" s="11" t="n"/>
      <c r="E496" s="86" t="n"/>
      <c r="F496" s="85" t="n"/>
      <c r="G496" s="85" t="n"/>
    </row>
    <row r="497" ht="13.5" customHeight="1" s="453">
      <c r="D497" s="11" t="n"/>
      <c r="E497" s="86" t="n"/>
      <c r="F497" s="85" t="n"/>
      <c r="G497" s="85" t="n"/>
    </row>
    <row r="498" ht="13.5" customHeight="1" s="453">
      <c r="D498" s="11" t="n"/>
      <c r="E498" s="86" t="n"/>
      <c r="F498" s="85" t="n"/>
      <c r="G498" s="85" t="n"/>
    </row>
    <row r="499" ht="13.5" customHeight="1" s="453">
      <c r="D499" s="11" t="n"/>
      <c r="E499" s="86" t="n"/>
      <c r="F499" s="85" t="n"/>
      <c r="G499" s="85" t="n"/>
    </row>
    <row r="500" ht="13.5" customHeight="1" s="453">
      <c r="D500" s="11" t="n"/>
      <c r="E500" s="86" t="n"/>
      <c r="F500" s="85" t="n"/>
      <c r="G500" s="85" t="n"/>
    </row>
    <row r="501" ht="13.5" customHeight="1" s="453">
      <c r="D501" s="11" t="n"/>
      <c r="E501" s="86" t="n"/>
      <c r="F501" s="85" t="n"/>
      <c r="G501" s="85" t="n"/>
    </row>
    <row r="502" ht="13.5" customHeight="1" s="453">
      <c r="D502" s="11" t="n"/>
      <c r="E502" s="86" t="n"/>
      <c r="F502" s="85" t="n"/>
      <c r="G502" s="85" t="n"/>
    </row>
    <row r="503" ht="13.5" customHeight="1" s="453">
      <c r="D503" s="11" t="n"/>
      <c r="E503" s="86" t="n"/>
      <c r="F503" s="85" t="n"/>
      <c r="G503" s="85" t="n"/>
    </row>
    <row r="504" ht="13.5" customHeight="1" s="453">
      <c r="D504" s="11" t="n"/>
      <c r="E504" s="86" t="n"/>
      <c r="F504" s="85" t="n"/>
      <c r="G504" s="85" t="n"/>
    </row>
    <row r="505" ht="13.5" customHeight="1" s="453">
      <c r="D505" s="11" t="n"/>
      <c r="E505" s="86" t="n"/>
      <c r="F505" s="85" t="n"/>
      <c r="G505" s="85" t="n"/>
    </row>
    <row r="506" ht="13.5" customHeight="1" s="453">
      <c r="D506" s="11" t="n"/>
      <c r="E506" s="86" t="n"/>
      <c r="F506" s="85" t="n"/>
      <c r="G506" s="85" t="n"/>
    </row>
    <row r="507" ht="13.5" customHeight="1" s="453">
      <c r="D507" s="11" t="n"/>
      <c r="E507" s="86" t="n"/>
      <c r="F507" s="85" t="n"/>
      <c r="G507" s="85" t="n"/>
    </row>
    <row r="508" ht="13.5" customHeight="1" s="453">
      <c r="D508" s="11" t="n"/>
      <c r="E508" s="86" t="n"/>
      <c r="F508" s="85" t="n"/>
      <c r="G508" s="85" t="n"/>
    </row>
    <row r="509" ht="13.5" customHeight="1" s="453">
      <c r="D509" s="11" t="n"/>
      <c r="E509" s="86" t="n"/>
      <c r="F509" s="85" t="n"/>
      <c r="G509" s="85" t="n"/>
    </row>
    <row r="510" ht="13.5" customHeight="1" s="453">
      <c r="D510" s="11" t="n"/>
      <c r="E510" s="86" t="n"/>
      <c r="F510" s="85" t="n"/>
      <c r="G510" s="85" t="n"/>
    </row>
    <row r="511" ht="13.5" customHeight="1" s="453">
      <c r="D511" s="11" t="n"/>
      <c r="E511" s="86" t="n"/>
      <c r="F511" s="85" t="n"/>
      <c r="G511" s="85" t="n"/>
    </row>
    <row r="512" ht="13.5" customHeight="1" s="453">
      <c r="D512" s="11" t="n"/>
      <c r="E512" s="86" t="n"/>
      <c r="F512" s="85" t="n"/>
      <c r="G512" s="85" t="n"/>
    </row>
    <row r="513" ht="13.5" customHeight="1" s="453">
      <c r="D513" s="11" t="n"/>
      <c r="E513" s="86" t="n"/>
      <c r="F513" s="85" t="n"/>
      <c r="G513" s="85" t="n"/>
    </row>
    <row r="514" ht="13.5" customHeight="1" s="453">
      <c r="D514" s="11" t="n"/>
      <c r="E514" s="86" t="n"/>
      <c r="F514" s="85" t="n"/>
      <c r="G514" s="85" t="n"/>
    </row>
    <row r="515" ht="13.5" customHeight="1" s="453">
      <c r="D515" s="11" t="n"/>
      <c r="E515" s="86" t="n"/>
      <c r="F515" s="85" t="n"/>
      <c r="G515" s="85" t="n"/>
    </row>
    <row r="516" ht="13.5" customHeight="1" s="453">
      <c r="D516" s="11" t="n"/>
      <c r="E516" s="86" t="n"/>
      <c r="F516" s="85" t="n"/>
      <c r="G516" s="85" t="n"/>
    </row>
    <row r="517" ht="13.5" customHeight="1" s="453">
      <c r="D517" s="11" t="n"/>
      <c r="E517" s="86" t="n"/>
      <c r="F517" s="85" t="n"/>
      <c r="G517" s="85" t="n"/>
    </row>
    <row r="518" ht="13.5" customHeight="1" s="453">
      <c r="D518" s="11" t="n"/>
      <c r="E518" s="86" t="n"/>
      <c r="F518" s="85" t="n"/>
      <c r="G518" s="85" t="n"/>
    </row>
    <row r="519" ht="13.5" customHeight="1" s="453">
      <c r="D519" s="11" t="n"/>
      <c r="E519" s="86" t="n"/>
      <c r="F519" s="85" t="n"/>
      <c r="G519" s="85" t="n"/>
    </row>
    <row r="520" ht="13.5" customHeight="1" s="453">
      <c r="D520" s="11" t="n"/>
      <c r="E520" s="86" t="n"/>
      <c r="F520" s="85" t="n"/>
      <c r="G520" s="85" t="n"/>
    </row>
    <row r="521" ht="13.5" customHeight="1" s="453">
      <c r="D521" s="11" t="n"/>
      <c r="E521" s="86" t="n"/>
      <c r="F521" s="85" t="n"/>
      <c r="G521" s="85" t="n"/>
    </row>
    <row r="522" ht="13.5" customHeight="1" s="453">
      <c r="D522" s="11" t="n"/>
      <c r="E522" s="86" t="n"/>
      <c r="F522" s="85" t="n"/>
      <c r="G522" s="85" t="n"/>
    </row>
    <row r="523" ht="13.5" customHeight="1" s="453">
      <c r="D523" s="11" t="n"/>
      <c r="E523" s="86" t="n"/>
      <c r="F523" s="85" t="n"/>
      <c r="G523" s="85" t="n"/>
    </row>
    <row r="524" ht="13.5" customHeight="1" s="453">
      <c r="D524" s="11" t="n"/>
      <c r="E524" s="86" t="n"/>
      <c r="F524" s="85" t="n"/>
      <c r="G524" s="85" t="n"/>
    </row>
    <row r="525" ht="13.5" customHeight="1" s="453">
      <c r="D525" s="11" t="n"/>
      <c r="E525" s="86" t="n"/>
      <c r="F525" s="85" t="n"/>
      <c r="G525" s="85" t="n"/>
    </row>
    <row r="526" ht="13.5" customHeight="1" s="453">
      <c r="D526" s="11" t="n"/>
      <c r="E526" s="86" t="n"/>
      <c r="F526" s="85" t="n"/>
      <c r="G526" s="85" t="n"/>
    </row>
    <row r="527" ht="13.5" customHeight="1" s="453">
      <c r="D527" s="11" t="n"/>
      <c r="E527" s="86" t="n"/>
      <c r="F527" s="85" t="n"/>
      <c r="G527" s="85" t="n"/>
    </row>
    <row r="528" ht="13.5" customHeight="1" s="453">
      <c r="D528" s="11" t="n"/>
      <c r="E528" s="86" t="n"/>
      <c r="F528" s="85" t="n"/>
      <c r="G528" s="85" t="n"/>
    </row>
    <row r="529" ht="13.5" customHeight="1" s="453">
      <c r="D529" s="11" t="n"/>
      <c r="E529" s="86" t="n"/>
      <c r="F529" s="85" t="n"/>
      <c r="G529" s="85" t="n"/>
    </row>
    <row r="530" ht="13.5" customHeight="1" s="453">
      <c r="D530" s="11" t="n"/>
      <c r="E530" s="86" t="n"/>
      <c r="F530" s="85" t="n"/>
      <c r="G530" s="85" t="n"/>
    </row>
    <row r="531" ht="13.5" customHeight="1" s="453">
      <c r="D531" s="11" t="n"/>
      <c r="E531" s="86" t="n"/>
      <c r="F531" s="85" t="n"/>
      <c r="G531" s="85" t="n"/>
    </row>
    <row r="532" ht="13.5" customHeight="1" s="453">
      <c r="D532" s="11" t="n"/>
      <c r="E532" s="86" t="n"/>
      <c r="F532" s="85" t="n"/>
      <c r="G532" s="85" t="n"/>
    </row>
    <row r="533" ht="13.5" customHeight="1" s="453">
      <c r="D533" s="11" t="n"/>
      <c r="E533" s="86" t="n"/>
      <c r="F533" s="85" t="n"/>
      <c r="G533" s="85" t="n"/>
    </row>
    <row r="534" ht="13.5" customHeight="1" s="453">
      <c r="D534" s="11" t="n"/>
      <c r="E534" s="86" t="n"/>
      <c r="F534" s="85" t="n"/>
      <c r="G534" s="85" t="n"/>
    </row>
    <row r="535" ht="13.5" customHeight="1" s="453">
      <c r="D535" s="11" t="n"/>
      <c r="E535" s="86" t="n"/>
      <c r="F535" s="85" t="n"/>
      <c r="G535" s="85" t="n"/>
    </row>
    <row r="536" ht="13.5" customHeight="1" s="453">
      <c r="D536" s="11" t="n"/>
      <c r="E536" s="86" t="n"/>
      <c r="F536" s="85" t="n"/>
      <c r="G536" s="85" t="n"/>
    </row>
    <row r="537" ht="13.5" customHeight="1" s="453">
      <c r="D537" s="11" t="n"/>
      <c r="E537" s="86" t="n"/>
      <c r="F537" s="85" t="n"/>
      <c r="G537" s="85" t="n"/>
    </row>
    <row r="538" ht="13.5" customHeight="1" s="453">
      <c r="D538" s="11" t="n"/>
      <c r="E538" s="86" t="n"/>
      <c r="F538" s="85" t="n"/>
      <c r="G538" s="85" t="n"/>
    </row>
    <row r="539" ht="13.5" customHeight="1" s="453">
      <c r="D539" s="11" t="n"/>
      <c r="E539" s="86" t="n"/>
      <c r="F539" s="85" t="n"/>
      <c r="G539" s="85" t="n"/>
    </row>
    <row r="540" ht="13.5" customHeight="1" s="453">
      <c r="D540" s="11" t="n"/>
      <c r="E540" s="86" t="n"/>
      <c r="F540" s="85" t="n"/>
      <c r="G540" s="85" t="n"/>
    </row>
    <row r="541" ht="13.5" customHeight="1" s="453">
      <c r="D541" s="11" t="n"/>
      <c r="E541" s="86" t="n"/>
      <c r="F541" s="85" t="n"/>
      <c r="G541" s="85" t="n"/>
    </row>
    <row r="542" ht="13.5" customHeight="1" s="453">
      <c r="D542" s="11" t="n"/>
      <c r="E542" s="86" t="n"/>
      <c r="F542" s="85" t="n"/>
      <c r="G542" s="85" t="n"/>
    </row>
    <row r="543" ht="13.5" customHeight="1" s="453">
      <c r="D543" s="11" t="n"/>
      <c r="E543" s="86" t="n"/>
      <c r="F543" s="85" t="n"/>
      <c r="G543" s="85" t="n"/>
    </row>
    <row r="544" ht="13.5" customHeight="1" s="453">
      <c r="D544" s="11" t="n"/>
      <c r="E544" s="86" t="n"/>
      <c r="F544" s="85" t="n"/>
      <c r="G544" s="85" t="n"/>
    </row>
    <row r="545" ht="13.5" customHeight="1" s="453">
      <c r="D545" s="11" t="n"/>
      <c r="E545" s="86" t="n"/>
      <c r="F545" s="85" t="n"/>
      <c r="G545" s="85" t="n"/>
    </row>
    <row r="546" ht="13.5" customHeight="1" s="453">
      <c r="D546" s="11" t="n"/>
      <c r="E546" s="86" t="n"/>
      <c r="F546" s="85" t="n"/>
      <c r="G546" s="85" t="n"/>
    </row>
    <row r="547" ht="13.5" customHeight="1" s="453">
      <c r="D547" s="11" t="n"/>
      <c r="E547" s="86" t="n"/>
      <c r="F547" s="85" t="n"/>
      <c r="G547" s="85" t="n"/>
    </row>
    <row r="548" ht="13.5" customHeight="1" s="453">
      <c r="D548" s="11" t="n"/>
      <c r="E548" s="86" t="n"/>
      <c r="F548" s="85" t="n"/>
      <c r="G548" s="85" t="n"/>
    </row>
    <row r="549" ht="13.5" customHeight="1" s="453">
      <c r="D549" s="11" t="n"/>
      <c r="E549" s="86" t="n"/>
      <c r="F549" s="85" t="n"/>
      <c r="G549" s="85" t="n"/>
    </row>
    <row r="550" ht="13.5" customHeight="1" s="453">
      <c r="D550" s="11" t="n"/>
      <c r="E550" s="86" t="n"/>
      <c r="F550" s="85" t="n"/>
      <c r="G550" s="85" t="n"/>
    </row>
    <row r="551" ht="13.5" customHeight="1" s="453">
      <c r="D551" s="11" t="n"/>
      <c r="E551" s="86" t="n"/>
      <c r="F551" s="85" t="n"/>
      <c r="G551" s="85" t="n"/>
    </row>
    <row r="552" ht="13.5" customHeight="1" s="453">
      <c r="D552" s="11" t="n"/>
      <c r="E552" s="86" t="n"/>
      <c r="F552" s="85" t="n"/>
      <c r="G552" s="85" t="n"/>
    </row>
    <row r="553" ht="13.5" customHeight="1" s="453">
      <c r="D553" s="11" t="n"/>
      <c r="E553" s="86" t="n"/>
      <c r="F553" s="85" t="n"/>
      <c r="G553" s="85" t="n"/>
    </row>
    <row r="554" ht="13.5" customHeight="1" s="453">
      <c r="D554" s="11" t="n"/>
      <c r="E554" s="86" t="n"/>
      <c r="F554" s="85" t="n"/>
      <c r="G554" s="85" t="n"/>
    </row>
    <row r="555" ht="13.5" customHeight="1" s="453">
      <c r="D555" s="11" t="n"/>
      <c r="E555" s="86" t="n"/>
      <c r="F555" s="85" t="n"/>
      <c r="G555" s="85" t="n"/>
    </row>
    <row r="556" ht="13.5" customHeight="1" s="453">
      <c r="D556" s="11" t="n"/>
      <c r="E556" s="86" t="n"/>
      <c r="F556" s="85" t="n"/>
      <c r="G556" s="85" t="n"/>
    </row>
    <row r="557" ht="13.5" customHeight="1" s="453">
      <c r="D557" s="11" t="n"/>
      <c r="E557" s="86" t="n"/>
      <c r="F557" s="85" t="n"/>
      <c r="G557" s="85" t="n"/>
    </row>
    <row r="558" ht="13.5" customHeight="1" s="453">
      <c r="D558" s="11" t="n"/>
      <c r="E558" s="86" t="n"/>
      <c r="F558" s="85" t="n"/>
      <c r="G558" s="85" t="n"/>
    </row>
    <row r="559" ht="13.5" customHeight="1" s="453">
      <c r="D559" s="11" t="n"/>
      <c r="E559" s="86" t="n"/>
      <c r="F559" s="85" t="n"/>
      <c r="G559" s="85" t="n"/>
    </row>
    <row r="560" ht="13.5" customHeight="1" s="453">
      <c r="D560" s="11" t="n"/>
      <c r="E560" s="86" t="n"/>
      <c r="F560" s="85" t="n"/>
      <c r="G560" s="85" t="n"/>
    </row>
    <row r="561" ht="13.5" customHeight="1" s="453">
      <c r="D561" s="11" t="n"/>
      <c r="E561" s="86" t="n"/>
      <c r="F561" s="85" t="n"/>
      <c r="G561" s="85" t="n"/>
    </row>
    <row r="562" ht="13.5" customHeight="1" s="453">
      <c r="D562" s="11" t="n"/>
      <c r="E562" s="86" t="n"/>
      <c r="F562" s="85" t="n"/>
      <c r="G562" s="85" t="n"/>
    </row>
    <row r="563" ht="13.5" customHeight="1" s="453">
      <c r="D563" s="11" t="n"/>
      <c r="E563" s="86" t="n"/>
      <c r="F563" s="85" t="n"/>
      <c r="G563" s="85" t="n"/>
    </row>
    <row r="564" ht="13.5" customHeight="1" s="453">
      <c r="D564" s="11" t="n"/>
      <c r="E564" s="86" t="n"/>
      <c r="F564" s="85" t="n"/>
      <c r="G564" s="85" t="n"/>
    </row>
    <row r="565" ht="13.5" customHeight="1" s="453">
      <c r="D565" s="11" t="n"/>
      <c r="E565" s="86" t="n"/>
      <c r="F565" s="85" t="n"/>
      <c r="G565" s="85" t="n"/>
    </row>
    <row r="566" ht="13.5" customHeight="1" s="453">
      <c r="D566" s="11" t="n"/>
      <c r="E566" s="86" t="n"/>
      <c r="F566" s="85" t="n"/>
      <c r="G566" s="85" t="n"/>
    </row>
    <row r="567" ht="13.5" customHeight="1" s="453">
      <c r="D567" s="11" t="n"/>
      <c r="E567" s="86" t="n"/>
      <c r="F567" s="85" t="n"/>
      <c r="G567" s="85" t="n"/>
    </row>
    <row r="568" ht="13.5" customHeight="1" s="453">
      <c r="D568" s="11" t="n"/>
      <c r="E568" s="86" t="n"/>
      <c r="F568" s="85" t="n"/>
      <c r="G568" s="85" t="n"/>
    </row>
    <row r="569" ht="13.5" customHeight="1" s="453">
      <c r="D569" s="11" t="n"/>
      <c r="E569" s="86" t="n"/>
      <c r="F569" s="85" t="n"/>
      <c r="G569" s="85" t="n"/>
    </row>
    <row r="570" ht="13.5" customHeight="1" s="453">
      <c r="D570" s="11" t="n"/>
      <c r="E570" s="86" t="n"/>
      <c r="F570" s="85" t="n"/>
      <c r="G570" s="85" t="n"/>
    </row>
    <row r="571" ht="13.5" customHeight="1" s="453">
      <c r="D571" s="11" t="n"/>
      <c r="E571" s="86" t="n"/>
      <c r="F571" s="85" t="n"/>
      <c r="G571" s="85" t="n"/>
    </row>
    <row r="572" ht="13.5" customHeight="1" s="453">
      <c r="D572" s="11" t="n"/>
      <c r="E572" s="86" t="n"/>
      <c r="F572" s="85" t="n"/>
      <c r="G572" s="85" t="n"/>
    </row>
    <row r="573" ht="13.5" customHeight="1" s="453">
      <c r="D573" s="11" t="n"/>
      <c r="E573" s="86" t="n"/>
      <c r="F573" s="85" t="n"/>
      <c r="G573" s="85" t="n"/>
    </row>
    <row r="574" ht="13.5" customHeight="1" s="453">
      <c r="D574" s="11" t="n"/>
      <c r="E574" s="86" t="n"/>
      <c r="F574" s="85" t="n"/>
      <c r="G574" s="85" t="n"/>
    </row>
    <row r="575" ht="13.5" customHeight="1" s="453">
      <c r="D575" s="11" t="n"/>
      <c r="E575" s="86" t="n"/>
      <c r="F575" s="85" t="n"/>
      <c r="G575" s="85" t="n"/>
    </row>
    <row r="576" ht="13.5" customHeight="1" s="453">
      <c r="D576" s="11" t="n"/>
      <c r="E576" s="86" t="n"/>
      <c r="F576" s="85" t="n"/>
      <c r="G576" s="85" t="n"/>
    </row>
    <row r="577" ht="13.5" customHeight="1" s="453">
      <c r="D577" s="11" t="n"/>
      <c r="E577" s="86" t="n"/>
      <c r="F577" s="85" t="n"/>
      <c r="G577" s="85" t="n"/>
    </row>
    <row r="578" ht="13.5" customHeight="1" s="453">
      <c r="D578" s="11" t="n"/>
      <c r="E578" s="86" t="n"/>
      <c r="F578" s="85" t="n"/>
      <c r="G578" s="85" t="n"/>
    </row>
    <row r="579" ht="13.5" customHeight="1" s="453">
      <c r="D579" s="11" t="n"/>
      <c r="E579" s="86" t="n"/>
      <c r="F579" s="85" t="n"/>
      <c r="G579" s="85" t="n"/>
    </row>
    <row r="580" ht="13.5" customHeight="1" s="453">
      <c r="D580" s="11" t="n"/>
      <c r="E580" s="86" t="n"/>
      <c r="F580" s="85" t="n"/>
      <c r="G580" s="85" t="n"/>
    </row>
    <row r="581" ht="13.5" customHeight="1" s="453">
      <c r="D581" s="11" t="n"/>
      <c r="E581" s="86" t="n"/>
      <c r="F581" s="85" t="n"/>
      <c r="G581" s="85" t="n"/>
    </row>
    <row r="582" ht="13.5" customHeight="1" s="453">
      <c r="D582" s="11" t="n"/>
      <c r="E582" s="86" t="n"/>
      <c r="F582" s="85" t="n"/>
      <c r="G582" s="85" t="n"/>
    </row>
    <row r="583" ht="13.5" customHeight="1" s="453">
      <c r="D583" s="11" t="n"/>
      <c r="E583" s="86" t="n"/>
      <c r="F583" s="85" t="n"/>
      <c r="G583" s="85" t="n"/>
    </row>
    <row r="584" ht="13.5" customHeight="1" s="453">
      <c r="D584" s="11" t="n"/>
      <c r="E584" s="86" t="n"/>
      <c r="F584" s="85" t="n"/>
      <c r="G584" s="85" t="n"/>
    </row>
    <row r="585" ht="13.5" customHeight="1" s="453">
      <c r="D585" s="11" t="n"/>
      <c r="E585" s="86" t="n"/>
      <c r="F585" s="85" t="n"/>
      <c r="G585" s="85" t="n"/>
    </row>
    <row r="586" ht="13.5" customHeight="1" s="453">
      <c r="D586" s="11" t="n"/>
      <c r="E586" s="86" t="n"/>
      <c r="F586" s="85" t="n"/>
      <c r="G586" s="85" t="n"/>
    </row>
    <row r="587" ht="13.5" customHeight="1" s="453">
      <c r="D587" s="11" t="n"/>
      <c r="E587" s="86" t="n"/>
      <c r="F587" s="85" t="n"/>
      <c r="G587" s="85" t="n"/>
    </row>
    <row r="588" ht="13.5" customHeight="1" s="453">
      <c r="D588" s="11" t="n"/>
      <c r="E588" s="86" t="n"/>
      <c r="F588" s="85" t="n"/>
      <c r="G588" s="85" t="n"/>
    </row>
    <row r="589" ht="13.5" customHeight="1" s="453">
      <c r="D589" s="11" t="n"/>
      <c r="E589" s="86" t="n"/>
      <c r="F589" s="85" t="n"/>
      <c r="G589" s="85" t="n"/>
    </row>
    <row r="590" ht="13.5" customHeight="1" s="453">
      <c r="D590" s="11" t="n"/>
      <c r="E590" s="86" t="n"/>
      <c r="F590" s="85" t="n"/>
      <c r="G590" s="85" t="n"/>
    </row>
    <row r="591" ht="13.5" customHeight="1" s="453">
      <c r="D591" s="11" t="n"/>
      <c r="E591" s="86" t="n"/>
      <c r="F591" s="85" t="n"/>
      <c r="G591" s="85" t="n"/>
    </row>
    <row r="592" ht="13.5" customHeight="1" s="453">
      <c r="D592" s="11" t="n"/>
      <c r="E592" s="86" t="n"/>
      <c r="F592" s="85" t="n"/>
      <c r="G592" s="85" t="n"/>
    </row>
    <row r="593" ht="13.5" customHeight="1" s="453">
      <c r="D593" s="11" t="n"/>
      <c r="E593" s="86" t="n"/>
      <c r="F593" s="85" t="n"/>
      <c r="G593" s="85" t="n"/>
    </row>
    <row r="594" ht="13.5" customHeight="1" s="453">
      <c r="D594" s="11" t="n"/>
      <c r="E594" s="86" t="n"/>
      <c r="F594" s="85" t="n"/>
      <c r="G594" s="85" t="n"/>
    </row>
    <row r="595" ht="13.5" customHeight="1" s="453">
      <c r="D595" s="11" t="n"/>
      <c r="E595" s="86" t="n"/>
      <c r="F595" s="85" t="n"/>
      <c r="G595" s="85" t="n"/>
    </row>
    <row r="596" ht="13.5" customHeight="1" s="453">
      <c r="D596" s="11" t="n"/>
      <c r="E596" s="86" t="n"/>
      <c r="F596" s="85" t="n"/>
      <c r="G596" s="85" t="n"/>
    </row>
    <row r="597" ht="13.5" customHeight="1" s="453">
      <c r="D597" s="11" t="n"/>
      <c r="E597" s="86" t="n"/>
      <c r="F597" s="85" t="n"/>
      <c r="G597" s="85" t="n"/>
    </row>
    <row r="598" ht="13.5" customHeight="1" s="453">
      <c r="D598" s="11" t="n"/>
      <c r="E598" s="86" t="n"/>
      <c r="F598" s="85" t="n"/>
      <c r="G598" s="85" t="n"/>
    </row>
    <row r="599" ht="13.5" customHeight="1" s="453">
      <c r="D599" s="11" t="n"/>
      <c r="E599" s="86" t="n"/>
      <c r="F599" s="85" t="n"/>
      <c r="G599" s="85" t="n"/>
    </row>
    <row r="600" ht="13.5" customHeight="1" s="453">
      <c r="D600" s="11" t="n"/>
      <c r="E600" s="86" t="n"/>
      <c r="F600" s="85" t="n"/>
      <c r="G600" s="85" t="n"/>
    </row>
    <row r="601" ht="13.5" customHeight="1" s="453">
      <c r="D601" s="11" t="n"/>
      <c r="E601" s="86" t="n"/>
      <c r="F601" s="85" t="n"/>
      <c r="G601" s="85" t="n"/>
    </row>
    <row r="602" ht="13.5" customHeight="1" s="453">
      <c r="D602" s="11" t="n"/>
      <c r="E602" s="86" t="n"/>
      <c r="F602" s="85" t="n"/>
      <c r="G602" s="85" t="n"/>
    </row>
    <row r="603" ht="13.5" customHeight="1" s="453">
      <c r="D603" s="11" t="n"/>
      <c r="E603" s="86" t="n"/>
      <c r="F603" s="85" t="n"/>
      <c r="G603" s="85" t="n"/>
    </row>
    <row r="604" ht="13.5" customHeight="1" s="453">
      <c r="D604" s="11" t="n"/>
      <c r="E604" s="86" t="n"/>
      <c r="F604" s="85" t="n"/>
      <c r="G604" s="85" t="n"/>
    </row>
    <row r="605" ht="13.5" customHeight="1" s="453">
      <c r="D605" s="11" t="n"/>
      <c r="E605" s="86" t="n"/>
      <c r="F605" s="85" t="n"/>
      <c r="G605" s="85" t="n"/>
    </row>
    <row r="606" ht="13.5" customHeight="1" s="453">
      <c r="D606" s="11" t="n"/>
      <c r="E606" s="86" t="n"/>
      <c r="F606" s="85" t="n"/>
      <c r="G606" s="85" t="n"/>
    </row>
    <row r="607" ht="13.5" customHeight="1" s="453">
      <c r="D607" s="11" t="n"/>
      <c r="E607" s="86" t="n"/>
      <c r="F607" s="85" t="n"/>
      <c r="G607" s="85" t="n"/>
    </row>
    <row r="608" ht="13.5" customHeight="1" s="453">
      <c r="D608" s="11" t="n"/>
      <c r="E608" s="86" t="n"/>
      <c r="F608" s="85" t="n"/>
      <c r="G608" s="85" t="n"/>
    </row>
    <row r="609" ht="13.5" customHeight="1" s="453">
      <c r="D609" s="11" t="n"/>
      <c r="E609" s="86" t="n"/>
      <c r="F609" s="85" t="n"/>
      <c r="G609" s="85" t="n"/>
    </row>
    <row r="610" ht="13.5" customHeight="1" s="453">
      <c r="D610" s="11" t="n"/>
      <c r="E610" s="86" t="n"/>
      <c r="F610" s="85" t="n"/>
      <c r="G610" s="85" t="n"/>
    </row>
    <row r="611" ht="13.5" customHeight="1" s="453">
      <c r="D611" s="11" t="n"/>
      <c r="E611" s="86" t="n"/>
      <c r="F611" s="85" t="n"/>
      <c r="G611" s="85" t="n"/>
    </row>
    <row r="612" ht="13.5" customHeight="1" s="453">
      <c r="D612" s="11" t="n"/>
      <c r="E612" s="86" t="n"/>
      <c r="F612" s="85" t="n"/>
      <c r="G612" s="85" t="n"/>
    </row>
    <row r="613" ht="13.5" customHeight="1" s="453">
      <c r="D613" s="11" t="n"/>
      <c r="E613" s="86" t="n"/>
      <c r="F613" s="85" t="n"/>
      <c r="G613" s="85" t="n"/>
    </row>
    <row r="614" ht="13.5" customHeight="1" s="453">
      <c r="D614" s="11" t="n"/>
      <c r="E614" s="86" t="n"/>
      <c r="F614" s="85" t="n"/>
      <c r="G614" s="85" t="n"/>
    </row>
    <row r="615" ht="13.5" customHeight="1" s="453">
      <c r="D615" s="11" t="n"/>
      <c r="E615" s="86" t="n"/>
      <c r="F615" s="85" t="n"/>
      <c r="G615" s="85" t="n"/>
    </row>
    <row r="616" ht="13.5" customHeight="1" s="453">
      <c r="D616" s="11" t="n"/>
      <c r="E616" s="86" t="n"/>
      <c r="F616" s="85" t="n"/>
      <c r="G616" s="85" t="n"/>
    </row>
    <row r="617" ht="13.5" customHeight="1" s="453">
      <c r="D617" s="11" t="n"/>
      <c r="E617" s="86" t="n"/>
      <c r="F617" s="85" t="n"/>
      <c r="G617" s="85" t="n"/>
    </row>
    <row r="618" ht="13.5" customHeight="1" s="453">
      <c r="D618" s="11" t="n"/>
      <c r="E618" s="86" t="n"/>
      <c r="F618" s="85" t="n"/>
      <c r="G618" s="85" t="n"/>
    </row>
    <row r="619" ht="13.5" customHeight="1" s="453">
      <c r="D619" s="11" t="n"/>
      <c r="E619" s="86" t="n"/>
      <c r="F619" s="85" t="n"/>
      <c r="G619" s="85" t="n"/>
    </row>
    <row r="620" ht="13.5" customHeight="1" s="453">
      <c r="D620" s="11" t="n"/>
      <c r="E620" s="86" t="n"/>
      <c r="F620" s="85" t="n"/>
      <c r="G620" s="85" t="n"/>
    </row>
    <row r="621" ht="13.5" customHeight="1" s="453">
      <c r="D621" s="11" t="n"/>
      <c r="E621" s="86" t="n"/>
      <c r="F621" s="85" t="n"/>
      <c r="G621" s="85" t="n"/>
    </row>
    <row r="622" ht="13.5" customHeight="1" s="453">
      <c r="D622" s="11" t="n"/>
      <c r="E622" s="86" t="n"/>
      <c r="F622" s="85" t="n"/>
      <c r="G622" s="85" t="n"/>
    </row>
    <row r="623" ht="13.5" customHeight="1" s="453">
      <c r="D623" s="11" t="n"/>
      <c r="E623" s="86" t="n"/>
      <c r="F623" s="85" t="n"/>
      <c r="G623" s="85" t="n"/>
    </row>
    <row r="624" ht="13.5" customHeight="1" s="453">
      <c r="D624" s="11" t="n"/>
      <c r="E624" s="86" t="n"/>
      <c r="F624" s="85" t="n"/>
      <c r="G624" s="85" t="n"/>
    </row>
    <row r="625" ht="13.5" customHeight="1" s="453">
      <c r="D625" s="11" t="n"/>
      <c r="E625" s="86" t="n"/>
      <c r="F625" s="85" t="n"/>
      <c r="G625" s="85" t="n"/>
    </row>
    <row r="626" ht="13.5" customHeight="1" s="453">
      <c r="D626" s="11" t="n"/>
      <c r="E626" s="86" t="n"/>
      <c r="F626" s="85" t="n"/>
      <c r="G626" s="85" t="n"/>
    </row>
    <row r="627" ht="13.5" customHeight="1" s="453">
      <c r="D627" s="11" t="n"/>
      <c r="E627" s="86" t="n"/>
      <c r="F627" s="85" t="n"/>
      <c r="G627" s="85" t="n"/>
    </row>
    <row r="628" ht="13.5" customHeight="1" s="453">
      <c r="D628" s="11" t="n"/>
      <c r="E628" s="86" t="n"/>
      <c r="F628" s="85" t="n"/>
      <c r="G628" s="85" t="n"/>
    </row>
    <row r="629" ht="13.5" customHeight="1" s="453">
      <c r="D629" s="11" t="n"/>
      <c r="E629" s="86" t="n"/>
      <c r="F629" s="85" t="n"/>
      <c r="G629" s="85" t="n"/>
    </row>
    <row r="630" ht="13.5" customHeight="1" s="453">
      <c r="D630" s="11" t="n"/>
      <c r="E630" s="86" t="n"/>
      <c r="F630" s="85" t="n"/>
      <c r="G630" s="85" t="n"/>
    </row>
    <row r="631" ht="13.5" customHeight="1" s="453">
      <c r="D631" s="11" t="n"/>
      <c r="E631" s="86" t="n"/>
      <c r="F631" s="85" t="n"/>
      <c r="G631" s="85" t="n"/>
    </row>
    <row r="632" ht="13.5" customHeight="1" s="453">
      <c r="D632" s="11" t="n"/>
      <c r="E632" s="86" t="n"/>
      <c r="F632" s="85" t="n"/>
      <c r="G632" s="85" t="n"/>
    </row>
    <row r="633" ht="13.5" customHeight="1" s="453">
      <c r="D633" s="11" t="n"/>
      <c r="E633" s="86" t="n"/>
      <c r="F633" s="85" t="n"/>
      <c r="G633" s="85" t="n"/>
    </row>
    <row r="634" ht="13.5" customHeight="1" s="453">
      <c r="D634" s="11" t="n"/>
      <c r="E634" s="86" t="n"/>
      <c r="F634" s="85" t="n"/>
      <c r="G634" s="85" t="n"/>
    </row>
    <row r="635" ht="13.5" customHeight="1" s="453">
      <c r="D635" s="11" t="n"/>
      <c r="E635" s="86" t="n"/>
      <c r="F635" s="85" t="n"/>
      <c r="G635" s="85" t="n"/>
    </row>
    <row r="636" ht="13.5" customHeight="1" s="453">
      <c r="D636" s="11" t="n"/>
      <c r="E636" s="86" t="n"/>
      <c r="F636" s="85" t="n"/>
      <c r="G636" s="85" t="n"/>
    </row>
    <row r="637" ht="13.5" customHeight="1" s="453">
      <c r="D637" s="11" t="n"/>
      <c r="E637" s="86" t="n"/>
      <c r="F637" s="85" t="n"/>
      <c r="G637" s="85" t="n"/>
    </row>
    <row r="638" ht="13.5" customHeight="1" s="453">
      <c r="D638" s="11" t="n"/>
      <c r="E638" s="86" t="n"/>
      <c r="F638" s="85" t="n"/>
      <c r="G638" s="85" t="n"/>
    </row>
    <row r="639" ht="13.5" customHeight="1" s="453">
      <c r="D639" s="11" t="n"/>
      <c r="E639" s="86" t="n"/>
      <c r="F639" s="85" t="n"/>
      <c r="G639" s="85" t="n"/>
    </row>
    <row r="640" ht="13.5" customHeight="1" s="453">
      <c r="D640" s="11" t="n"/>
      <c r="E640" s="86" t="n"/>
      <c r="F640" s="85" t="n"/>
      <c r="G640" s="85" t="n"/>
    </row>
    <row r="641" ht="13.5" customHeight="1" s="453">
      <c r="D641" s="11" t="n"/>
      <c r="E641" s="86" t="n"/>
      <c r="F641" s="85" t="n"/>
      <c r="G641" s="85" t="n"/>
    </row>
    <row r="642" ht="13.5" customHeight="1" s="453">
      <c r="D642" s="11" t="n"/>
      <c r="E642" s="86" t="n"/>
      <c r="F642" s="85" t="n"/>
      <c r="G642" s="85" t="n"/>
    </row>
    <row r="643" ht="13.5" customHeight="1" s="453">
      <c r="D643" s="11" t="n"/>
      <c r="E643" s="86" t="n"/>
      <c r="F643" s="85" t="n"/>
      <c r="G643" s="85" t="n"/>
    </row>
    <row r="644" ht="13.5" customHeight="1" s="453">
      <c r="D644" s="11" t="n"/>
      <c r="E644" s="86" t="n"/>
      <c r="F644" s="85" t="n"/>
      <c r="G644" s="85" t="n"/>
    </row>
    <row r="645" ht="13.5" customHeight="1" s="453">
      <c r="D645" s="11" t="n"/>
      <c r="E645" s="86" t="n"/>
      <c r="F645" s="85" t="n"/>
      <c r="G645" s="85" t="n"/>
    </row>
    <row r="646" ht="13.5" customHeight="1" s="453">
      <c r="D646" s="11" t="n"/>
      <c r="E646" s="86" t="n"/>
      <c r="F646" s="85" t="n"/>
      <c r="G646" s="85" t="n"/>
    </row>
    <row r="647" ht="13.5" customHeight="1" s="453">
      <c r="D647" s="11" t="n"/>
      <c r="E647" s="86" t="n"/>
      <c r="F647" s="85" t="n"/>
      <c r="G647" s="85" t="n"/>
    </row>
    <row r="648" ht="13.5" customHeight="1" s="453">
      <c r="D648" s="11" t="n"/>
      <c r="E648" s="86" t="n"/>
      <c r="F648" s="85" t="n"/>
      <c r="G648" s="85" t="n"/>
    </row>
    <row r="649" ht="13.5" customHeight="1" s="453">
      <c r="D649" s="11" t="n"/>
      <c r="E649" s="86" t="n"/>
      <c r="F649" s="85" t="n"/>
      <c r="G649" s="85" t="n"/>
    </row>
    <row r="650" ht="13.5" customHeight="1" s="453">
      <c r="D650" s="11" t="n"/>
      <c r="E650" s="86" t="n"/>
      <c r="F650" s="85" t="n"/>
      <c r="G650" s="85" t="n"/>
    </row>
    <row r="651" ht="13.5" customHeight="1" s="453">
      <c r="D651" s="11" t="n"/>
      <c r="E651" s="86" t="n"/>
      <c r="F651" s="85" t="n"/>
      <c r="G651" s="85" t="n"/>
    </row>
    <row r="652" ht="13.5" customHeight="1" s="453">
      <c r="D652" s="11" t="n"/>
      <c r="E652" s="86" t="n"/>
      <c r="F652" s="85" t="n"/>
      <c r="G652" s="85" t="n"/>
    </row>
    <row r="653" ht="13.5" customHeight="1" s="453">
      <c r="D653" s="11" t="n"/>
      <c r="E653" s="86" t="n"/>
      <c r="F653" s="85" t="n"/>
      <c r="G653" s="85" t="n"/>
    </row>
    <row r="654" ht="13.5" customHeight="1" s="453">
      <c r="D654" s="11" t="n"/>
      <c r="E654" s="86" t="n"/>
      <c r="F654" s="85" t="n"/>
      <c r="G654" s="85" t="n"/>
    </row>
    <row r="655" ht="13.5" customHeight="1" s="453">
      <c r="D655" s="11" t="n"/>
      <c r="E655" s="86" t="n"/>
      <c r="F655" s="85" t="n"/>
      <c r="G655" s="85" t="n"/>
    </row>
    <row r="656" ht="13.5" customHeight="1" s="453">
      <c r="D656" s="11" t="n"/>
      <c r="E656" s="86" t="n"/>
      <c r="F656" s="85" t="n"/>
      <c r="G656" s="85" t="n"/>
    </row>
    <row r="657" ht="13.5" customHeight="1" s="453">
      <c r="D657" s="11" t="n"/>
      <c r="E657" s="86" t="n"/>
      <c r="F657" s="85" t="n"/>
      <c r="G657" s="85" t="n"/>
    </row>
    <row r="658" ht="13.5" customHeight="1" s="453">
      <c r="D658" s="11" t="n"/>
      <c r="E658" s="86" t="n"/>
      <c r="F658" s="85" t="n"/>
      <c r="G658" s="85" t="n"/>
    </row>
    <row r="659" ht="13.5" customHeight="1" s="453">
      <c r="D659" s="11" t="n"/>
      <c r="E659" s="86" t="n"/>
      <c r="F659" s="85" t="n"/>
      <c r="G659" s="85" t="n"/>
    </row>
    <row r="660" ht="13.5" customHeight="1" s="453">
      <c r="D660" s="11" t="n"/>
      <c r="E660" s="86" t="n"/>
      <c r="F660" s="85" t="n"/>
      <c r="G660" s="85" t="n"/>
    </row>
    <row r="661" ht="13.5" customHeight="1" s="453">
      <c r="D661" s="11" t="n"/>
      <c r="E661" s="86" t="n"/>
      <c r="F661" s="85" t="n"/>
      <c r="G661" s="85" t="n"/>
    </row>
    <row r="662" ht="13.5" customHeight="1" s="453">
      <c r="D662" s="11" t="n"/>
      <c r="E662" s="86" t="n"/>
      <c r="F662" s="85" t="n"/>
      <c r="G662" s="85" t="n"/>
    </row>
    <row r="663" ht="13.5" customHeight="1" s="453">
      <c r="D663" s="11" t="n"/>
      <c r="E663" s="86" t="n"/>
      <c r="F663" s="85" t="n"/>
      <c r="G663" s="85" t="n"/>
    </row>
    <row r="664" ht="13.5" customHeight="1" s="453">
      <c r="D664" s="11" t="n"/>
      <c r="E664" s="86" t="n"/>
      <c r="F664" s="85" t="n"/>
      <c r="G664" s="85" t="n"/>
    </row>
    <row r="665" ht="13.5" customHeight="1" s="453">
      <c r="D665" s="11" t="n"/>
      <c r="E665" s="86" t="n"/>
      <c r="F665" s="85" t="n"/>
      <c r="G665" s="85" t="n"/>
    </row>
    <row r="666" ht="13.5" customHeight="1" s="453">
      <c r="D666" s="11" t="n"/>
      <c r="E666" s="86" t="n"/>
      <c r="F666" s="85" t="n"/>
      <c r="G666" s="85" t="n"/>
    </row>
    <row r="667" ht="13.5" customHeight="1" s="453">
      <c r="D667" s="11" t="n"/>
      <c r="E667" s="86" t="n"/>
      <c r="F667" s="85" t="n"/>
      <c r="G667" s="85" t="n"/>
    </row>
    <row r="668" ht="13.5" customHeight="1" s="453">
      <c r="D668" s="11" t="n"/>
      <c r="E668" s="86" t="n"/>
      <c r="F668" s="85" t="n"/>
      <c r="G668" s="85" t="n"/>
    </row>
    <row r="669" ht="13.5" customHeight="1" s="453">
      <c r="D669" s="11" t="n"/>
      <c r="E669" s="86" t="n"/>
      <c r="F669" s="85" t="n"/>
      <c r="G669" s="85" t="n"/>
    </row>
    <row r="670" ht="13.5" customHeight="1" s="453">
      <c r="D670" s="11" t="n"/>
      <c r="E670" s="86" t="n"/>
      <c r="F670" s="85" t="n"/>
      <c r="G670" s="85" t="n"/>
    </row>
    <row r="671" ht="13.5" customHeight="1" s="453">
      <c r="D671" s="11" t="n"/>
      <c r="E671" s="86" t="n"/>
      <c r="F671" s="85" t="n"/>
      <c r="G671" s="85" t="n"/>
    </row>
    <row r="672" ht="13.5" customHeight="1" s="453">
      <c r="D672" s="11" t="n"/>
      <c r="E672" s="86" t="n"/>
      <c r="F672" s="85" t="n"/>
      <c r="G672" s="85" t="n"/>
    </row>
    <row r="673" ht="13.5" customHeight="1" s="453">
      <c r="D673" s="11" t="n"/>
      <c r="E673" s="86" t="n"/>
      <c r="F673" s="85" t="n"/>
      <c r="G673" s="85" t="n"/>
    </row>
    <row r="674" ht="13.5" customHeight="1" s="453">
      <c r="D674" s="11" t="n"/>
      <c r="E674" s="86" t="n"/>
      <c r="F674" s="85" t="n"/>
      <c r="G674" s="85" t="n"/>
    </row>
    <row r="675" ht="13.5" customHeight="1" s="453">
      <c r="D675" s="11" t="n"/>
      <c r="E675" s="86" t="n"/>
      <c r="F675" s="85" t="n"/>
      <c r="G675" s="85" t="n"/>
    </row>
    <row r="676" ht="13.5" customHeight="1" s="453">
      <c r="D676" s="11" t="n"/>
      <c r="E676" s="86" t="n"/>
      <c r="F676" s="85" t="n"/>
      <c r="G676" s="85" t="n"/>
    </row>
    <row r="677" ht="13.5" customHeight="1" s="453">
      <c r="D677" s="11" t="n"/>
      <c r="E677" s="86" t="n"/>
      <c r="F677" s="85" t="n"/>
      <c r="G677" s="85" t="n"/>
    </row>
    <row r="678" ht="13.5" customHeight="1" s="453">
      <c r="D678" s="11" t="n"/>
      <c r="E678" s="86" t="n"/>
      <c r="F678" s="85" t="n"/>
      <c r="G678" s="85" t="n"/>
    </row>
    <row r="679" ht="13.5" customHeight="1" s="453">
      <c r="D679" s="11" t="n"/>
      <c r="E679" s="86" t="n"/>
      <c r="F679" s="85" t="n"/>
      <c r="G679" s="85" t="n"/>
    </row>
    <row r="680" ht="13.5" customHeight="1" s="453">
      <c r="D680" s="11" t="n"/>
      <c r="E680" s="86" t="n"/>
      <c r="F680" s="85" t="n"/>
      <c r="G680" s="85" t="n"/>
    </row>
    <row r="681" ht="13.5" customHeight="1" s="453">
      <c r="D681" s="11" t="n"/>
      <c r="E681" s="86" t="n"/>
      <c r="F681" s="85" t="n"/>
      <c r="G681" s="85" t="n"/>
    </row>
    <row r="682" ht="13.5" customHeight="1" s="453">
      <c r="D682" s="11" t="n"/>
      <c r="E682" s="86" t="n"/>
      <c r="F682" s="85" t="n"/>
      <c r="G682" s="85" t="n"/>
    </row>
    <row r="683" ht="13.5" customHeight="1" s="453">
      <c r="D683" s="11" t="n"/>
      <c r="E683" s="86" t="n"/>
      <c r="F683" s="85" t="n"/>
      <c r="G683" s="85" t="n"/>
    </row>
    <row r="684" ht="13.5" customHeight="1" s="453">
      <c r="D684" s="11" t="n"/>
      <c r="E684" s="86" t="n"/>
      <c r="F684" s="85" t="n"/>
      <c r="G684" s="85" t="n"/>
    </row>
    <row r="685" ht="13.5" customHeight="1" s="453">
      <c r="D685" s="11" t="n"/>
      <c r="E685" s="86" t="n"/>
      <c r="F685" s="85" t="n"/>
      <c r="G685" s="85" t="n"/>
    </row>
    <row r="686" ht="13.5" customHeight="1" s="453">
      <c r="D686" s="11" t="n"/>
      <c r="E686" s="86" t="n"/>
      <c r="F686" s="85" t="n"/>
      <c r="G686" s="85" t="n"/>
    </row>
    <row r="687" ht="13.5" customHeight="1" s="453">
      <c r="D687" s="11" t="n"/>
      <c r="E687" s="86" t="n"/>
      <c r="F687" s="85" t="n"/>
      <c r="G687" s="85" t="n"/>
    </row>
    <row r="688" ht="13.5" customHeight="1" s="453">
      <c r="D688" s="11" t="n"/>
      <c r="E688" s="86" t="n"/>
      <c r="F688" s="85" t="n"/>
      <c r="G688" s="85" t="n"/>
    </row>
    <row r="689" ht="13.5" customHeight="1" s="453">
      <c r="D689" s="11" t="n"/>
      <c r="E689" s="86" t="n"/>
      <c r="F689" s="85" t="n"/>
      <c r="G689" s="85" t="n"/>
    </row>
    <row r="690" ht="13.5" customHeight="1" s="453">
      <c r="D690" s="11" t="n"/>
      <c r="E690" s="86" t="n"/>
      <c r="F690" s="85" t="n"/>
      <c r="G690" s="85" t="n"/>
    </row>
    <row r="691" ht="13.5" customHeight="1" s="453">
      <c r="D691" s="11" t="n"/>
      <c r="E691" s="86" t="n"/>
      <c r="F691" s="85" t="n"/>
      <c r="G691" s="85" t="n"/>
    </row>
    <row r="692" ht="13.5" customHeight="1" s="453">
      <c r="D692" s="11" t="n"/>
      <c r="E692" s="86" t="n"/>
      <c r="F692" s="85" t="n"/>
      <c r="G692" s="85" t="n"/>
    </row>
    <row r="693" ht="13.5" customHeight="1" s="453">
      <c r="D693" s="11" t="n"/>
      <c r="E693" s="86" t="n"/>
      <c r="F693" s="85" t="n"/>
      <c r="G693" s="85" t="n"/>
    </row>
    <row r="694" ht="13.5" customHeight="1" s="453">
      <c r="D694" s="11" t="n"/>
      <c r="E694" s="86" t="n"/>
      <c r="F694" s="85" t="n"/>
      <c r="G694" s="85" t="n"/>
    </row>
    <row r="695" ht="13.5" customHeight="1" s="453">
      <c r="D695" s="11" t="n"/>
      <c r="E695" s="86" t="n"/>
      <c r="F695" s="85" t="n"/>
      <c r="G695" s="85" t="n"/>
    </row>
    <row r="696" ht="13.5" customHeight="1" s="453">
      <c r="D696" s="11" t="n"/>
      <c r="E696" s="86" t="n"/>
      <c r="F696" s="85" t="n"/>
      <c r="G696" s="85" t="n"/>
    </row>
    <row r="697" ht="13.5" customHeight="1" s="453">
      <c r="D697" s="11" t="n"/>
      <c r="E697" s="86" t="n"/>
      <c r="F697" s="85" t="n"/>
      <c r="G697" s="85" t="n"/>
    </row>
    <row r="698" ht="13.5" customHeight="1" s="453">
      <c r="D698" s="11" t="n"/>
      <c r="E698" s="86" t="n"/>
      <c r="F698" s="85" t="n"/>
      <c r="G698" s="85" t="n"/>
    </row>
    <row r="699" ht="13.5" customHeight="1" s="453">
      <c r="D699" s="11" t="n"/>
      <c r="E699" s="86" t="n"/>
      <c r="F699" s="85" t="n"/>
      <c r="G699" s="85" t="n"/>
    </row>
    <row r="700" ht="13.5" customHeight="1" s="453">
      <c r="D700" s="11" t="n"/>
      <c r="E700" s="86" t="n"/>
      <c r="F700" s="85" t="n"/>
      <c r="G700" s="85" t="n"/>
    </row>
    <row r="701" ht="13.5" customHeight="1" s="453">
      <c r="D701" s="11" t="n"/>
      <c r="E701" s="86" t="n"/>
      <c r="F701" s="85" t="n"/>
      <c r="G701" s="85" t="n"/>
    </row>
    <row r="702" ht="13.5" customHeight="1" s="453">
      <c r="D702" s="11" t="n"/>
      <c r="E702" s="86" t="n"/>
      <c r="F702" s="85" t="n"/>
      <c r="G702" s="85" t="n"/>
    </row>
    <row r="703" ht="13.5" customHeight="1" s="453">
      <c r="D703" s="11" t="n"/>
      <c r="E703" s="86" t="n"/>
      <c r="F703" s="85" t="n"/>
      <c r="G703" s="85" t="n"/>
    </row>
    <row r="704" ht="13.5" customHeight="1" s="453">
      <c r="D704" s="11" t="n"/>
      <c r="E704" s="86" t="n"/>
      <c r="F704" s="85" t="n"/>
      <c r="G704" s="85" t="n"/>
    </row>
    <row r="705" ht="13.5" customHeight="1" s="453">
      <c r="D705" s="11" t="n"/>
      <c r="E705" s="86" t="n"/>
      <c r="F705" s="85" t="n"/>
      <c r="G705" s="85" t="n"/>
    </row>
    <row r="706" ht="13.5" customHeight="1" s="453">
      <c r="D706" s="11" t="n"/>
      <c r="E706" s="86" t="n"/>
      <c r="F706" s="85" t="n"/>
      <c r="G706" s="85" t="n"/>
    </row>
    <row r="707" ht="13.5" customHeight="1" s="453">
      <c r="D707" s="11" t="n"/>
      <c r="E707" s="86" t="n"/>
      <c r="F707" s="85" t="n"/>
      <c r="G707" s="85" t="n"/>
    </row>
    <row r="708" ht="13.5" customHeight="1" s="453">
      <c r="D708" s="11" t="n"/>
      <c r="E708" s="86" t="n"/>
      <c r="F708" s="85" t="n"/>
      <c r="G708" s="85" t="n"/>
    </row>
    <row r="709" ht="13.5" customHeight="1" s="453">
      <c r="D709" s="11" t="n"/>
      <c r="E709" s="86" t="n"/>
      <c r="F709" s="85" t="n"/>
      <c r="G709" s="85" t="n"/>
    </row>
    <row r="710" ht="13.5" customHeight="1" s="453">
      <c r="D710" s="11" t="n"/>
      <c r="E710" s="86" t="n"/>
      <c r="F710" s="85" t="n"/>
      <c r="G710" s="85" t="n"/>
    </row>
    <row r="711" ht="13.5" customHeight="1" s="453">
      <c r="D711" s="11" t="n"/>
      <c r="E711" s="86" t="n"/>
      <c r="F711" s="85" t="n"/>
      <c r="G711" s="85" t="n"/>
    </row>
    <row r="712" ht="13.5" customHeight="1" s="453">
      <c r="D712" s="11" t="n"/>
      <c r="E712" s="86" t="n"/>
      <c r="F712" s="85" t="n"/>
      <c r="G712" s="85" t="n"/>
    </row>
    <row r="713" ht="13.5" customHeight="1" s="453">
      <c r="D713" s="11" t="n"/>
      <c r="E713" s="86" t="n"/>
      <c r="F713" s="85" t="n"/>
      <c r="G713" s="85" t="n"/>
    </row>
    <row r="714" ht="13.5" customHeight="1" s="453">
      <c r="D714" s="11" t="n"/>
      <c r="E714" s="86" t="n"/>
      <c r="F714" s="85" t="n"/>
      <c r="G714" s="85" t="n"/>
    </row>
    <row r="715" ht="13.5" customHeight="1" s="453">
      <c r="D715" s="11" t="n"/>
      <c r="E715" s="86" t="n"/>
      <c r="F715" s="85" t="n"/>
      <c r="G715" s="85" t="n"/>
    </row>
    <row r="716" ht="13.5" customHeight="1" s="453">
      <c r="D716" s="11" t="n"/>
      <c r="E716" s="86" t="n"/>
      <c r="F716" s="85" t="n"/>
      <c r="G716" s="85" t="n"/>
    </row>
    <row r="717" ht="13.5" customHeight="1" s="453">
      <c r="D717" s="11" t="n"/>
      <c r="E717" s="86" t="n"/>
      <c r="F717" s="85" t="n"/>
      <c r="G717" s="85" t="n"/>
    </row>
    <row r="718" ht="13.5" customHeight="1" s="453">
      <c r="D718" s="11" t="n"/>
      <c r="E718" s="86" t="n"/>
      <c r="F718" s="85" t="n"/>
      <c r="G718" s="85" t="n"/>
    </row>
    <row r="719" ht="13.5" customHeight="1" s="453">
      <c r="D719" s="11" t="n"/>
      <c r="E719" s="86" t="n"/>
      <c r="F719" s="85" t="n"/>
      <c r="G719" s="85" t="n"/>
    </row>
    <row r="720" ht="13.5" customHeight="1" s="453">
      <c r="D720" s="11" t="n"/>
      <c r="E720" s="86" t="n"/>
      <c r="F720" s="85" t="n"/>
      <c r="G720" s="85" t="n"/>
    </row>
    <row r="721" ht="13.5" customHeight="1" s="453">
      <c r="D721" s="11" t="n"/>
      <c r="E721" s="86" t="n"/>
      <c r="F721" s="85" t="n"/>
      <c r="G721" s="85" t="n"/>
    </row>
    <row r="722" ht="13.5" customHeight="1" s="453">
      <c r="D722" s="11" t="n"/>
      <c r="E722" s="86" t="n"/>
      <c r="F722" s="85" t="n"/>
      <c r="G722" s="85" t="n"/>
    </row>
    <row r="723" ht="13.5" customHeight="1" s="453">
      <c r="D723" s="11" t="n"/>
      <c r="E723" s="86" t="n"/>
      <c r="F723" s="85" t="n"/>
      <c r="G723" s="85" t="n"/>
    </row>
    <row r="724" ht="13.5" customHeight="1" s="453">
      <c r="D724" s="11" t="n"/>
      <c r="E724" s="86" t="n"/>
      <c r="F724" s="85" t="n"/>
      <c r="G724" s="85" t="n"/>
    </row>
    <row r="725" ht="13.5" customHeight="1" s="453">
      <c r="D725" s="11" t="n"/>
      <c r="E725" s="86" t="n"/>
      <c r="F725" s="85" t="n"/>
      <c r="G725" s="85" t="n"/>
    </row>
    <row r="726" ht="13.5" customHeight="1" s="453">
      <c r="D726" s="11" t="n"/>
      <c r="E726" s="86" t="n"/>
      <c r="F726" s="85" t="n"/>
      <c r="G726" s="85" t="n"/>
    </row>
    <row r="727" ht="13.5" customHeight="1" s="453">
      <c r="D727" s="11" t="n"/>
      <c r="E727" s="86" t="n"/>
      <c r="F727" s="85" t="n"/>
      <c r="G727" s="85" t="n"/>
    </row>
    <row r="728" ht="13.5" customHeight="1" s="453">
      <c r="D728" s="11" t="n"/>
      <c r="E728" s="86" t="n"/>
      <c r="F728" s="85" t="n"/>
      <c r="G728" s="85" t="n"/>
    </row>
    <row r="729" ht="13.5" customHeight="1" s="453">
      <c r="D729" s="11" t="n"/>
      <c r="E729" s="86" t="n"/>
      <c r="F729" s="85" t="n"/>
      <c r="G729" s="85" t="n"/>
    </row>
    <row r="730" ht="13.5" customHeight="1" s="453">
      <c r="D730" s="11" t="n"/>
      <c r="E730" s="86" t="n"/>
      <c r="F730" s="85" t="n"/>
      <c r="G730" s="85" t="n"/>
    </row>
    <row r="731" ht="13.5" customHeight="1" s="453">
      <c r="D731" s="11" t="n"/>
      <c r="E731" s="86" t="n"/>
      <c r="F731" s="85" t="n"/>
      <c r="G731" s="85" t="n"/>
    </row>
    <row r="732" ht="13.5" customHeight="1" s="453">
      <c r="D732" s="11" t="n"/>
      <c r="E732" s="86" t="n"/>
      <c r="F732" s="85" t="n"/>
      <c r="G732" s="85" t="n"/>
    </row>
    <row r="733" ht="13.5" customHeight="1" s="453">
      <c r="D733" s="11" t="n"/>
      <c r="E733" s="86" t="n"/>
      <c r="F733" s="85" t="n"/>
      <c r="G733" s="85" t="n"/>
    </row>
    <row r="734" ht="13.5" customHeight="1" s="453">
      <c r="D734" s="11" t="n"/>
      <c r="E734" s="86" t="n"/>
      <c r="F734" s="85" t="n"/>
      <c r="G734" s="85" t="n"/>
    </row>
    <row r="735" ht="13.5" customHeight="1" s="453">
      <c r="D735" s="11" t="n"/>
      <c r="E735" s="86" t="n"/>
      <c r="F735" s="85" t="n"/>
      <c r="G735" s="85" t="n"/>
    </row>
    <row r="736" ht="13.5" customHeight="1" s="453">
      <c r="D736" s="11" t="n"/>
      <c r="E736" s="86" t="n"/>
      <c r="F736" s="85" t="n"/>
      <c r="G736" s="85" t="n"/>
    </row>
    <row r="737" ht="13.5" customHeight="1" s="453">
      <c r="D737" s="11" t="n"/>
      <c r="E737" s="86" t="n"/>
      <c r="F737" s="85" t="n"/>
      <c r="G737" s="85" t="n"/>
    </row>
    <row r="738" ht="13.5" customHeight="1" s="453">
      <c r="D738" s="11" t="n"/>
      <c r="E738" s="86" t="n"/>
      <c r="F738" s="85" t="n"/>
      <c r="G738" s="85" t="n"/>
    </row>
    <row r="739" ht="13.5" customHeight="1" s="453">
      <c r="D739" s="11" t="n"/>
      <c r="E739" s="86" t="n"/>
      <c r="F739" s="85" t="n"/>
      <c r="G739" s="85" t="n"/>
    </row>
    <row r="740" ht="13.5" customHeight="1" s="453">
      <c r="D740" s="11" t="n"/>
      <c r="E740" s="86" t="n"/>
      <c r="F740" s="85" t="n"/>
      <c r="G740" s="85" t="n"/>
    </row>
    <row r="741" ht="13.5" customHeight="1" s="453">
      <c r="D741" s="11" t="n"/>
      <c r="E741" s="86" t="n"/>
      <c r="F741" s="85" t="n"/>
      <c r="G741" s="85" t="n"/>
    </row>
    <row r="742" ht="13.5" customHeight="1" s="453">
      <c r="D742" s="11" t="n"/>
      <c r="E742" s="86" t="n"/>
      <c r="F742" s="85" t="n"/>
      <c r="G742" s="85" t="n"/>
    </row>
    <row r="743" ht="13.5" customHeight="1" s="453">
      <c r="D743" s="11" t="n"/>
      <c r="E743" s="86" t="n"/>
      <c r="F743" s="85" t="n"/>
      <c r="G743" s="85" t="n"/>
    </row>
    <row r="744" ht="13.5" customHeight="1" s="453">
      <c r="D744" s="11" t="n"/>
      <c r="E744" s="86" t="n"/>
      <c r="F744" s="85" t="n"/>
      <c r="G744" s="85" t="n"/>
    </row>
    <row r="745" ht="13.5" customHeight="1" s="453">
      <c r="D745" s="11" t="n"/>
      <c r="E745" s="86" t="n"/>
      <c r="F745" s="85" t="n"/>
      <c r="G745" s="85" t="n"/>
    </row>
    <row r="746" ht="13.5" customHeight="1" s="453">
      <c r="D746" s="11" t="n"/>
      <c r="E746" s="86" t="n"/>
      <c r="F746" s="85" t="n"/>
      <c r="G746" s="85" t="n"/>
    </row>
    <row r="747" ht="13.5" customHeight="1" s="453">
      <c r="D747" s="11" t="n"/>
      <c r="E747" s="86" t="n"/>
      <c r="F747" s="85" t="n"/>
      <c r="G747" s="85" t="n"/>
    </row>
    <row r="748" ht="13.5" customHeight="1" s="453">
      <c r="D748" s="11" t="n"/>
      <c r="E748" s="86" t="n"/>
      <c r="F748" s="85" t="n"/>
      <c r="G748" s="85" t="n"/>
    </row>
    <row r="749" ht="13.5" customHeight="1" s="453">
      <c r="D749" s="11" t="n"/>
      <c r="E749" s="86" t="n"/>
      <c r="F749" s="85" t="n"/>
      <c r="G749" s="85" t="n"/>
    </row>
    <row r="750" ht="13.5" customHeight="1" s="453">
      <c r="D750" s="11" t="n"/>
      <c r="E750" s="86" t="n"/>
      <c r="F750" s="85" t="n"/>
      <c r="G750" s="85" t="n"/>
    </row>
    <row r="751" ht="13.5" customHeight="1" s="453">
      <c r="D751" s="11" t="n"/>
      <c r="E751" s="86" t="n"/>
      <c r="F751" s="85" t="n"/>
      <c r="G751" s="85" t="n"/>
    </row>
    <row r="752" ht="13.5" customHeight="1" s="453">
      <c r="D752" s="11" t="n"/>
      <c r="E752" s="86" t="n"/>
      <c r="F752" s="85" t="n"/>
      <c r="G752" s="85" t="n"/>
    </row>
    <row r="753" ht="13.5" customHeight="1" s="453">
      <c r="D753" s="11" t="n"/>
      <c r="E753" s="86" t="n"/>
      <c r="F753" s="85" t="n"/>
      <c r="G753" s="85" t="n"/>
    </row>
    <row r="754" ht="13.5" customHeight="1" s="453">
      <c r="D754" s="11" t="n"/>
      <c r="E754" s="86" t="n"/>
      <c r="F754" s="85" t="n"/>
      <c r="G754" s="85" t="n"/>
    </row>
    <row r="755" ht="13.5" customHeight="1" s="453">
      <c r="D755" s="11" t="n"/>
      <c r="E755" s="86" t="n"/>
      <c r="F755" s="85" t="n"/>
      <c r="G755" s="85" t="n"/>
    </row>
    <row r="756" ht="13.5" customHeight="1" s="453">
      <c r="D756" s="11" t="n"/>
      <c r="E756" s="86" t="n"/>
      <c r="F756" s="85" t="n"/>
      <c r="G756" s="85" t="n"/>
    </row>
    <row r="757" ht="13.5" customHeight="1" s="453">
      <c r="D757" s="11" t="n"/>
      <c r="E757" s="86" t="n"/>
      <c r="F757" s="85" t="n"/>
      <c r="G757" s="85" t="n"/>
    </row>
    <row r="758" ht="13.5" customHeight="1" s="453">
      <c r="D758" s="11" t="n"/>
      <c r="E758" s="86" t="n"/>
      <c r="F758" s="85" t="n"/>
      <c r="G758" s="85" t="n"/>
    </row>
    <row r="759" ht="13.5" customHeight="1" s="453">
      <c r="D759" s="11" t="n"/>
      <c r="E759" s="86" t="n"/>
      <c r="F759" s="85" t="n"/>
      <c r="G759" s="85" t="n"/>
    </row>
    <row r="760" ht="13.5" customHeight="1" s="453">
      <c r="D760" s="11" t="n"/>
      <c r="E760" s="86" t="n"/>
      <c r="F760" s="85" t="n"/>
      <c r="G760" s="85" t="n"/>
    </row>
    <row r="761" ht="13.5" customHeight="1" s="453">
      <c r="D761" s="11" t="n"/>
      <c r="E761" s="86" t="n"/>
      <c r="F761" s="85" t="n"/>
      <c r="G761" s="85" t="n"/>
    </row>
    <row r="762" ht="13.5" customHeight="1" s="453">
      <c r="D762" s="11" t="n"/>
      <c r="E762" s="86" t="n"/>
      <c r="F762" s="85" t="n"/>
      <c r="G762" s="85" t="n"/>
    </row>
    <row r="763" ht="13.5" customHeight="1" s="453">
      <c r="D763" s="11" t="n"/>
      <c r="E763" s="86" t="n"/>
      <c r="F763" s="85" t="n"/>
      <c r="G763" s="85" t="n"/>
    </row>
    <row r="764" ht="13.5" customHeight="1" s="453">
      <c r="D764" s="11" t="n"/>
      <c r="E764" s="86" t="n"/>
      <c r="F764" s="85" t="n"/>
      <c r="G764" s="85" t="n"/>
    </row>
    <row r="765" ht="13.5" customHeight="1" s="453">
      <c r="D765" s="11" t="n"/>
      <c r="E765" s="86" t="n"/>
      <c r="F765" s="85" t="n"/>
      <c r="G765" s="85" t="n"/>
    </row>
    <row r="766" ht="13.5" customHeight="1" s="453">
      <c r="D766" s="11" t="n"/>
      <c r="E766" s="86" t="n"/>
      <c r="F766" s="85" t="n"/>
      <c r="G766" s="85" t="n"/>
    </row>
    <row r="767" ht="13.5" customHeight="1" s="453">
      <c r="D767" s="11" t="n"/>
      <c r="E767" s="86" t="n"/>
      <c r="F767" s="85" t="n"/>
      <c r="G767" s="85" t="n"/>
    </row>
    <row r="768" ht="13.5" customHeight="1" s="453">
      <c r="D768" s="11" t="n"/>
      <c r="E768" s="86" t="n"/>
      <c r="F768" s="85" t="n"/>
      <c r="G768" s="85" t="n"/>
    </row>
    <row r="769" ht="13.5" customHeight="1" s="453">
      <c r="D769" s="11" t="n"/>
      <c r="E769" s="86" t="n"/>
      <c r="F769" s="85" t="n"/>
      <c r="G769" s="85" t="n"/>
    </row>
    <row r="770" ht="13.5" customHeight="1" s="453">
      <c r="D770" s="11" t="n"/>
      <c r="E770" s="86" t="n"/>
      <c r="F770" s="85" t="n"/>
      <c r="G770" s="85" t="n"/>
    </row>
    <row r="771" ht="13.5" customHeight="1" s="453">
      <c r="D771" s="11" t="n"/>
      <c r="E771" s="86" t="n"/>
      <c r="F771" s="85" t="n"/>
      <c r="G771" s="85" t="n"/>
    </row>
    <row r="772" ht="13.5" customHeight="1" s="453">
      <c r="D772" s="11" t="n"/>
      <c r="E772" s="86" t="n"/>
      <c r="F772" s="85" t="n"/>
      <c r="G772" s="85" t="n"/>
    </row>
    <row r="773" ht="13.5" customHeight="1" s="453">
      <c r="D773" s="11" t="n"/>
      <c r="E773" s="86" t="n"/>
      <c r="F773" s="85" t="n"/>
      <c r="G773" s="85" t="n"/>
    </row>
    <row r="774" ht="13.5" customHeight="1" s="453">
      <c r="D774" s="11" t="n"/>
      <c r="E774" s="86" t="n"/>
      <c r="F774" s="85" t="n"/>
      <c r="G774" s="85" t="n"/>
    </row>
    <row r="775" ht="13.5" customHeight="1" s="453">
      <c r="D775" s="11" t="n"/>
      <c r="E775" s="86" t="n"/>
      <c r="F775" s="85" t="n"/>
      <c r="G775" s="85" t="n"/>
    </row>
    <row r="776" ht="13.5" customHeight="1" s="453">
      <c r="D776" s="11" t="n"/>
      <c r="E776" s="86" t="n"/>
      <c r="F776" s="85" t="n"/>
      <c r="G776" s="85" t="n"/>
    </row>
    <row r="777" ht="13.5" customHeight="1" s="453">
      <c r="D777" s="11" t="n"/>
      <c r="E777" s="86" t="n"/>
      <c r="F777" s="85" t="n"/>
      <c r="G777" s="85" t="n"/>
    </row>
    <row r="778" ht="13.5" customHeight="1" s="453">
      <c r="D778" s="11" t="n"/>
      <c r="E778" s="86" t="n"/>
      <c r="F778" s="85" t="n"/>
      <c r="G778" s="85" t="n"/>
    </row>
    <row r="779" ht="13.5" customHeight="1" s="453">
      <c r="D779" s="11" t="n"/>
      <c r="E779" s="86" t="n"/>
      <c r="F779" s="85" t="n"/>
      <c r="G779" s="85" t="n"/>
    </row>
    <row r="780" ht="13.5" customHeight="1" s="453">
      <c r="D780" s="11" t="n"/>
      <c r="E780" s="86" t="n"/>
      <c r="F780" s="85" t="n"/>
      <c r="G780" s="85" t="n"/>
    </row>
    <row r="781" ht="13.5" customHeight="1" s="453">
      <c r="D781" s="11" t="n"/>
      <c r="E781" s="86" t="n"/>
      <c r="F781" s="85" t="n"/>
      <c r="G781" s="85" t="n"/>
    </row>
    <row r="782" ht="13.5" customHeight="1" s="453">
      <c r="D782" s="11" t="n"/>
      <c r="E782" s="86" t="n"/>
      <c r="F782" s="85" t="n"/>
      <c r="G782" s="85" t="n"/>
    </row>
    <row r="783" ht="13.5" customHeight="1" s="453">
      <c r="D783" s="11" t="n"/>
      <c r="E783" s="86" t="n"/>
      <c r="F783" s="85" t="n"/>
      <c r="G783" s="85" t="n"/>
    </row>
    <row r="784" ht="13.5" customHeight="1" s="453">
      <c r="D784" s="11" t="n"/>
      <c r="E784" s="86" t="n"/>
      <c r="F784" s="85" t="n"/>
      <c r="G784" s="85" t="n"/>
    </row>
    <row r="785" ht="13.5" customHeight="1" s="453">
      <c r="D785" s="11" t="n"/>
      <c r="E785" s="86" t="n"/>
      <c r="F785" s="85" t="n"/>
      <c r="G785" s="85" t="n"/>
    </row>
    <row r="786" ht="13.5" customHeight="1" s="453">
      <c r="D786" s="11" t="n"/>
      <c r="E786" s="86" t="n"/>
      <c r="F786" s="85" t="n"/>
      <c r="G786" s="85" t="n"/>
    </row>
    <row r="787" ht="13.5" customHeight="1" s="453">
      <c r="D787" s="11" t="n"/>
      <c r="E787" s="86" t="n"/>
      <c r="F787" s="85" t="n"/>
      <c r="G787" s="85" t="n"/>
    </row>
    <row r="788" ht="13.5" customHeight="1" s="453">
      <c r="D788" s="11" t="n"/>
      <c r="E788" s="86" t="n"/>
      <c r="F788" s="85" t="n"/>
      <c r="G788" s="85" t="n"/>
    </row>
    <row r="789" ht="13.5" customHeight="1" s="453">
      <c r="D789" s="11" t="n"/>
      <c r="E789" s="86" t="n"/>
      <c r="F789" s="85" t="n"/>
      <c r="G789" s="85" t="n"/>
    </row>
    <row r="790" ht="13.5" customHeight="1" s="453">
      <c r="D790" s="11" t="n"/>
      <c r="E790" s="86" t="n"/>
      <c r="F790" s="85" t="n"/>
      <c r="G790" s="85" t="n"/>
    </row>
    <row r="791" ht="13.5" customHeight="1" s="453">
      <c r="D791" s="11" t="n"/>
      <c r="E791" s="86" t="n"/>
      <c r="F791" s="85" t="n"/>
      <c r="G791" s="85" t="n"/>
    </row>
    <row r="792" ht="13.5" customHeight="1" s="453">
      <c r="D792" s="11" t="n"/>
      <c r="E792" s="86" t="n"/>
      <c r="F792" s="85" t="n"/>
      <c r="G792" s="85" t="n"/>
    </row>
    <row r="793" ht="13.5" customHeight="1" s="453">
      <c r="D793" s="11" t="n"/>
      <c r="E793" s="86" t="n"/>
      <c r="F793" s="85" t="n"/>
      <c r="G793" s="85" t="n"/>
    </row>
    <row r="794" ht="13.5" customHeight="1" s="453">
      <c r="D794" s="11" t="n"/>
      <c r="E794" s="86" t="n"/>
      <c r="F794" s="85" t="n"/>
      <c r="G794" s="85" t="n"/>
    </row>
    <row r="795" ht="13.5" customHeight="1" s="453">
      <c r="D795" s="11" t="n"/>
      <c r="E795" s="86" t="n"/>
      <c r="F795" s="85" t="n"/>
      <c r="G795" s="85" t="n"/>
    </row>
    <row r="796" ht="13.5" customHeight="1" s="453">
      <c r="D796" s="11" t="n"/>
      <c r="E796" s="86" t="n"/>
      <c r="F796" s="85" t="n"/>
      <c r="G796" s="85" t="n"/>
    </row>
    <row r="797" ht="13.5" customHeight="1" s="453">
      <c r="D797" s="11" t="n"/>
      <c r="E797" s="86" t="n"/>
      <c r="F797" s="85" t="n"/>
      <c r="G797" s="85" t="n"/>
    </row>
    <row r="798" ht="13.5" customHeight="1" s="453">
      <c r="D798" s="11" t="n"/>
      <c r="E798" s="86" t="n"/>
      <c r="F798" s="85" t="n"/>
      <c r="G798" s="85" t="n"/>
    </row>
    <row r="799" ht="13.5" customHeight="1" s="453">
      <c r="D799" s="11" t="n"/>
      <c r="E799" s="86" t="n"/>
      <c r="F799" s="85" t="n"/>
      <c r="G799" s="85" t="n"/>
    </row>
    <row r="800" ht="13.5" customHeight="1" s="453">
      <c r="D800" s="11" t="n"/>
      <c r="E800" s="86" t="n"/>
      <c r="F800" s="85" t="n"/>
      <c r="G800" s="85" t="n"/>
    </row>
    <row r="801" ht="13.5" customHeight="1" s="453">
      <c r="D801" s="11" t="n"/>
      <c r="E801" s="86" t="n"/>
      <c r="F801" s="85" t="n"/>
      <c r="G801" s="85" t="n"/>
    </row>
    <row r="802" ht="13.5" customHeight="1" s="453">
      <c r="D802" s="11" t="n"/>
      <c r="E802" s="86" t="n"/>
      <c r="F802" s="85" t="n"/>
      <c r="G802" s="85" t="n"/>
    </row>
    <row r="803" ht="13.5" customHeight="1" s="453">
      <c r="D803" s="11" t="n"/>
      <c r="E803" s="86" t="n"/>
      <c r="F803" s="85" t="n"/>
      <c r="G803" s="85" t="n"/>
    </row>
    <row r="804" ht="13.5" customHeight="1" s="453">
      <c r="D804" s="11" t="n"/>
      <c r="E804" s="86" t="n"/>
      <c r="F804" s="85" t="n"/>
      <c r="G804" s="85" t="n"/>
    </row>
    <row r="805" ht="13.5" customHeight="1" s="453">
      <c r="D805" s="11" t="n"/>
      <c r="E805" s="86" t="n"/>
      <c r="F805" s="85" t="n"/>
      <c r="G805" s="85" t="n"/>
    </row>
    <row r="806" ht="13.5" customHeight="1" s="453">
      <c r="D806" s="11" t="n"/>
      <c r="E806" s="86" t="n"/>
      <c r="F806" s="85" t="n"/>
      <c r="G806" s="85" t="n"/>
    </row>
    <row r="807" ht="13.5" customHeight="1" s="453">
      <c r="D807" s="11" t="n"/>
      <c r="E807" s="86" t="n"/>
      <c r="F807" s="85" t="n"/>
      <c r="G807" s="85" t="n"/>
    </row>
    <row r="808" ht="13.5" customHeight="1" s="453">
      <c r="D808" s="11" t="n"/>
      <c r="E808" s="86" t="n"/>
      <c r="F808" s="85" t="n"/>
      <c r="G808" s="85" t="n"/>
    </row>
    <row r="809" ht="13.5" customHeight="1" s="453">
      <c r="D809" s="11" t="n"/>
      <c r="E809" s="86" t="n"/>
      <c r="F809" s="85" t="n"/>
      <c r="G809" s="85" t="n"/>
    </row>
    <row r="810" ht="13.5" customHeight="1" s="453">
      <c r="D810" s="11" t="n"/>
      <c r="E810" s="86" t="n"/>
      <c r="F810" s="85" t="n"/>
      <c r="G810" s="85" t="n"/>
    </row>
    <row r="811" ht="13.5" customHeight="1" s="453">
      <c r="D811" s="11" t="n"/>
      <c r="E811" s="86" t="n"/>
      <c r="F811" s="85" t="n"/>
      <c r="G811" s="85" t="n"/>
    </row>
    <row r="812" ht="13.5" customHeight="1" s="453">
      <c r="D812" s="11" t="n"/>
      <c r="E812" s="86" t="n"/>
      <c r="F812" s="85" t="n"/>
      <c r="G812" s="85" t="n"/>
    </row>
    <row r="813" ht="13.5" customHeight="1" s="453">
      <c r="D813" s="11" t="n"/>
      <c r="E813" s="86" t="n"/>
      <c r="F813" s="85" t="n"/>
      <c r="G813" s="85" t="n"/>
    </row>
    <row r="814" ht="13.5" customHeight="1" s="453">
      <c r="D814" s="11" t="n"/>
      <c r="E814" s="86" t="n"/>
      <c r="F814" s="85" t="n"/>
      <c r="G814" s="85" t="n"/>
    </row>
    <row r="815" ht="13.5" customHeight="1" s="453">
      <c r="D815" s="11" t="n"/>
      <c r="E815" s="86" t="n"/>
      <c r="F815" s="85" t="n"/>
      <c r="G815" s="85" t="n"/>
    </row>
    <row r="816" ht="13.5" customHeight="1" s="453">
      <c r="D816" s="11" t="n"/>
      <c r="E816" s="86" t="n"/>
      <c r="F816" s="85" t="n"/>
      <c r="G816" s="85" t="n"/>
    </row>
    <row r="817" ht="13.5" customHeight="1" s="453">
      <c r="D817" s="11" t="n"/>
      <c r="E817" s="86" t="n"/>
      <c r="F817" s="85" t="n"/>
      <c r="G817" s="85" t="n"/>
    </row>
    <row r="818" ht="13.5" customHeight="1" s="453">
      <c r="D818" s="11" t="n"/>
      <c r="E818" s="86" t="n"/>
      <c r="F818" s="85" t="n"/>
      <c r="G818" s="85" t="n"/>
    </row>
    <row r="819" ht="13.5" customHeight="1" s="453">
      <c r="D819" s="11" t="n"/>
      <c r="E819" s="86" t="n"/>
      <c r="F819" s="85" t="n"/>
      <c r="G819" s="85" t="n"/>
    </row>
    <row r="820" ht="13.5" customHeight="1" s="453">
      <c r="D820" s="11" t="n"/>
      <c r="E820" s="86" t="n"/>
      <c r="F820" s="85" t="n"/>
      <c r="G820" s="85" t="n"/>
    </row>
    <row r="821" ht="13.5" customHeight="1" s="453">
      <c r="D821" s="11" t="n"/>
      <c r="E821" s="86" t="n"/>
      <c r="F821" s="85" t="n"/>
      <c r="G821" s="85" t="n"/>
    </row>
    <row r="822" ht="13.5" customHeight="1" s="453">
      <c r="D822" s="11" t="n"/>
      <c r="E822" s="86" t="n"/>
      <c r="F822" s="85" t="n"/>
      <c r="G822" s="85" t="n"/>
    </row>
    <row r="823" ht="13.5" customHeight="1" s="453">
      <c r="D823" s="11" t="n"/>
      <c r="E823" s="86" t="n"/>
      <c r="F823" s="85" t="n"/>
      <c r="G823" s="85" t="n"/>
    </row>
    <row r="824" ht="13.5" customHeight="1" s="453">
      <c r="D824" s="11" t="n"/>
      <c r="E824" s="86" t="n"/>
      <c r="F824" s="85" t="n"/>
      <c r="G824" s="85" t="n"/>
    </row>
    <row r="825" ht="13.5" customHeight="1" s="453">
      <c r="D825" s="11" t="n"/>
      <c r="E825" s="86" t="n"/>
      <c r="F825" s="85" t="n"/>
      <c r="G825" s="85" t="n"/>
    </row>
    <row r="826" ht="13.5" customHeight="1" s="453">
      <c r="D826" s="11" t="n"/>
      <c r="E826" s="86" t="n"/>
      <c r="F826" s="85" t="n"/>
      <c r="G826" s="85" t="n"/>
    </row>
    <row r="827" ht="13.5" customHeight="1" s="453">
      <c r="D827" s="11" t="n"/>
      <c r="E827" s="86" t="n"/>
      <c r="F827" s="85" t="n"/>
      <c r="G827" s="85" t="n"/>
    </row>
    <row r="828" ht="13.5" customHeight="1" s="453">
      <c r="D828" s="11" t="n"/>
      <c r="E828" s="86" t="n"/>
      <c r="F828" s="85" t="n"/>
      <c r="G828" s="85" t="n"/>
    </row>
    <row r="829" ht="13.5" customHeight="1" s="453">
      <c r="D829" s="11" t="n"/>
      <c r="E829" s="86" t="n"/>
      <c r="F829" s="85" t="n"/>
      <c r="G829" s="85" t="n"/>
    </row>
    <row r="830" ht="13.5" customHeight="1" s="453">
      <c r="D830" s="11" t="n"/>
      <c r="E830" s="86" t="n"/>
      <c r="F830" s="85" t="n"/>
      <c r="G830" s="85" t="n"/>
    </row>
    <row r="831" ht="13.5" customHeight="1" s="453">
      <c r="D831" s="11" t="n"/>
      <c r="E831" s="86" t="n"/>
      <c r="F831" s="85" t="n"/>
      <c r="G831" s="85" t="n"/>
    </row>
    <row r="832" ht="13.5" customHeight="1" s="453">
      <c r="D832" s="11" t="n"/>
      <c r="E832" s="86" t="n"/>
      <c r="F832" s="85" t="n"/>
      <c r="G832" s="85" t="n"/>
    </row>
    <row r="833" ht="13.5" customHeight="1" s="453">
      <c r="D833" s="11" t="n"/>
      <c r="E833" s="86" t="n"/>
      <c r="F833" s="85" t="n"/>
      <c r="G833" s="85" t="n"/>
    </row>
    <row r="834" ht="13.5" customHeight="1" s="453">
      <c r="D834" s="11" t="n"/>
      <c r="E834" s="86" t="n"/>
      <c r="F834" s="85" t="n"/>
      <c r="G834" s="85" t="n"/>
    </row>
    <row r="835" ht="13.5" customHeight="1" s="453">
      <c r="D835" s="11" t="n"/>
      <c r="E835" s="86" t="n"/>
      <c r="F835" s="85" t="n"/>
      <c r="G835" s="85" t="n"/>
    </row>
    <row r="836" ht="13.5" customHeight="1" s="453">
      <c r="D836" s="11" t="n"/>
      <c r="E836" s="86" t="n"/>
      <c r="F836" s="85" t="n"/>
      <c r="G836" s="85" t="n"/>
    </row>
    <row r="837" ht="13.5" customHeight="1" s="453">
      <c r="D837" s="11" t="n"/>
      <c r="E837" s="86" t="n"/>
      <c r="F837" s="85" t="n"/>
      <c r="G837" s="85" t="n"/>
    </row>
    <row r="838" ht="13.5" customHeight="1" s="453">
      <c r="D838" s="11" t="n"/>
      <c r="E838" s="86" t="n"/>
      <c r="F838" s="85" t="n"/>
      <c r="G838" s="85" t="n"/>
    </row>
    <row r="839" ht="13.5" customHeight="1" s="453">
      <c r="D839" s="11" t="n"/>
      <c r="E839" s="86" t="n"/>
      <c r="F839" s="85" t="n"/>
      <c r="G839" s="85" t="n"/>
    </row>
    <row r="840" ht="13.5" customHeight="1" s="453">
      <c r="D840" s="11" t="n"/>
      <c r="E840" s="86" t="n"/>
      <c r="F840" s="85" t="n"/>
      <c r="G840" s="85" t="n"/>
    </row>
    <row r="841" ht="13.5" customHeight="1" s="453">
      <c r="D841" s="11" t="n"/>
      <c r="E841" s="86" t="n"/>
      <c r="F841" s="85" t="n"/>
      <c r="G841" s="85" t="n"/>
    </row>
    <row r="842" ht="13.5" customHeight="1" s="453">
      <c r="D842" s="11" t="n"/>
      <c r="E842" s="86" t="n"/>
      <c r="F842" s="85" t="n"/>
      <c r="G842" s="85" t="n"/>
    </row>
    <row r="843" ht="13.5" customHeight="1" s="453">
      <c r="D843" s="11" t="n"/>
      <c r="E843" s="86" t="n"/>
      <c r="F843" s="85" t="n"/>
      <c r="G843" s="85" t="n"/>
    </row>
    <row r="844" ht="13.5" customHeight="1" s="453">
      <c r="D844" s="11" t="n"/>
      <c r="E844" s="86" t="n"/>
      <c r="F844" s="85" t="n"/>
      <c r="G844" s="85" t="n"/>
    </row>
    <row r="845" ht="13.5" customHeight="1" s="453">
      <c r="D845" s="11" t="n"/>
      <c r="E845" s="86" t="n"/>
      <c r="F845" s="85" t="n"/>
      <c r="G845" s="85" t="n"/>
    </row>
    <row r="846" ht="13.5" customHeight="1" s="453">
      <c r="D846" s="11" t="n"/>
      <c r="E846" s="86" t="n"/>
      <c r="F846" s="85" t="n"/>
      <c r="G846" s="85" t="n"/>
    </row>
    <row r="847" ht="13.5" customHeight="1" s="453">
      <c r="D847" s="11" t="n"/>
      <c r="E847" s="86" t="n"/>
      <c r="F847" s="85" t="n"/>
      <c r="G847" s="85" t="n"/>
    </row>
    <row r="848" ht="13.5" customHeight="1" s="453">
      <c r="D848" s="11" t="n"/>
      <c r="E848" s="86" t="n"/>
      <c r="F848" s="85" t="n"/>
      <c r="G848" s="85" t="n"/>
    </row>
    <row r="849" ht="13.5" customHeight="1" s="453">
      <c r="D849" s="11" t="n"/>
      <c r="E849" s="86" t="n"/>
      <c r="F849" s="85" t="n"/>
      <c r="G849" s="85" t="n"/>
    </row>
    <row r="850" ht="13.5" customHeight="1" s="453">
      <c r="D850" s="11" t="n"/>
      <c r="E850" s="86" t="n"/>
      <c r="F850" s="85" t="n"/>
      <c r="G850" s="85" t="n"/>
    </row>
    <row r="851" ht="13.5" customHeight="1" s="453">
      <c r="D851" s="11" t="n"/>
      <c r="E851" s="86" t="n"/>
      <c r="F851" s="85" t="n"/>
      <c r="G851" s="85" t="n"/>
    </row>
    <row r="852" ht="13.5" customHeight="1" s="453">
      <c r="D852" s="11" t="n"/>
      <c r="E852" s="86" t="n"/>
      <c r="F852" s="85" t="n"/>
      <c r="G852" s="85" t="n"/>
    </row>
    <row r="853" ht="13.5" customHeight="1" s="453">
      <c r="D853" s="11" t="n"/>
      <c r="E853" s="86" t="n"/>
      <c r="F853" s="85" t="n"/>
      <c r="G853" s="85" t="n"/>
    </row>
    <row r="854" ht="13.5" customHeight="1" s="453">
      <c r="D854" s="11" t="n"/>
      <c r="E854" s="86" t="n"/>
      <c r="F854" s="85" t="n"/>
      <c r="G854" s="85" t="n"/>
    </row>
    <row r="855" ht="13.5" customHeight="1" s="453">
      <c r="D855" s="11" t="n"/>
      <c r="E855" s="86" t="n"/>
      <c r="F855" s="85" t="n"/>
      <c r="G855" s="85" t="n"/>
    </row>
    <row r="856" ht="13.5" customHeight="1" s="453">
      <c r="D856" s="11" t="n"/>
      <c r="E856" s="86" t="n"/>
      <c r="F856" s="85" t="n"/>
      <c r="G856" s="85" t="n"/>
    </row>
    <row r="857" ht="13.5" customHeight="1" s="453">
      <c r="D857" s="11" t="n"/>
      <c r="E857" s="86" t="n"/>
      <c r="F857" s="85" t="n"/>
      <c r="G857" s="85" t="n"/>
    </row>
    <row r="858" ht="13.5" customHeight="1" s="453">
      <c r="D858" s="11" t="n"/>
      <c r="E858" s="86" t="n"/>
      <c r="F858" s="85" t="n"/>
      <c r="G858" s="85" t="n"/>
    </row>
    <row r="859" ht="13.5" customHeight="1" s="453">
      <c r="D859" s="11" t="n"/>
      <c r="E859" s="86" t="n"/>
      <c r="F859" s="85" t="n"/>
      <c r="G859" s="85" t="n"/>
    </row>
    <row r="860" ht="13.5" customHeight="1" s="453">
      <c r="D860" s="11" t="n"/>
      <c r="E860" s="86" t="n"/>
      <c r="F860" s="85" t="n"/>
      <c r="G860" s="85" t="n"/>
    </row>
    <row r="861" ht="13.5" customHeight="1" s="453">
      <c r="D861" s="11" t="n"/>
      <c r="E861" s="86" t="n"/>
      <c r="F861" s="85" t="n"/>
      <c r="G861" s="85" t="n"/>
    </row>
    <row r="862" ht="13.5" customHeight="1" s="453">
      <c r="D862" s="11" t="n"/>
      <c r="E862" s="86" t="n"/>
      <c r="F862" s="85" t="n"/>
      <c r="G862" s="85" t="n"/>
    </row>
    <row r="863" ht="13.5" customHeight="1" s="453">
      <c r="D863" s="11" t="n"/>
      <c r="E863" s="86" t="n"/>
      <c r="F863" s="85" t="n"/>
      <c r="G863" s="85" t="n"/>
    </row>
    <row r="864" ht="13.5" customHeight="1" s="453">
      <c r="D864" s="11" t="n"/>
      <c r="E864" s="86" t="n"/>
      <c r="F864" s="85" t="n"/>
      <c r="G864" s="85" t="n"/>
    </row>
    <row r="865" ht="13.5" customHeight="1" s="453">
      <c r="D865" s="11" t="n"/>
      <c r="E865" s="86" t="n"/>
      <c r="F865" s="85" t="n"/>
      <c r="G865" s="85" t="n"/>
    </row>
    <row r="866" ht="13.5" customHeight="1" s="453">
      <c r="D866" s="11" t="n"/>
      <c r="E866" s="86" t="n"/>
      <c r="F866" s="85" t="n"/>
      <c r="G866" s="85" t="n"/>
    </row>
    <row r="867" ht="13.5" customHeight="1" s="453">
      <c r="D867" s="11" t="n"/>
      <c r="E867" s="86" t="n"/>
      <c r="F867" s="85" t="n"/>
      <c r="G867" s="85" t="n"/>
    </row>
    <row r="868" ht="13.5" customHeight="1" s="453">
      <c r="D868" s="11" t="n"/>
      <c r="E868" s="86" t="n"/>
      <c r="F868" s="85" t="n"/>
      <c r="G868" s="85" t="n"/>
    </row>
    <row r="869" ht="13.5" customHeight="1" s="453">
      <c r="D869" s="11" t="n"/>
      <c r="E869" s="86" t="n"/>
      <c r="F869" s="85" t="n"/>
      <c r="G869" s="85" t="n"/>
    </row>
    <row r="870" ht="13.5" customHeight="1" s="453">
      <c r="D870" s="11" t="n"/>
      <c r="E870" s="86" t="n"/>
      <c r="F870" s="85" t="n"/>
      <c r="G870" s="85" t="n"/>
    </row>
    <row r="871" ht="13.5" customHeight="1" s="453">
      <c r="D871" s="11" t="n"/>
      <c r="E871" s="86" t="n"/>
      <c r="F871" s="85" t="n"/>
      <c r="G871" s="85" t="n"/>
    </row>
    <row r="872" ht="13.5" customHeight="1" s="453">
      <c r="D872" s="11" t="n"/>
      <c r="E872" s="86" t="n"/>
      <c r="F872" s="85" t="n"/>
      <c r="G872" s="85" t="n"/>
    </row>
    <row r="873" ht="13.5" customHeight="1" s="453">
      <c r="D873" s="11" t="n"/>
      <c r="E873" s="86" t="n"/>
      <c r="F873" s="85" t="n"/>
      <c r="G873" s="85" t="n"/>
    </row>
    <row r="874" ht="13.5" customHeight="1" s="453">
      <c r="D874" s="11" t="n"/>
      <c r="E874" s="86" t="n"/>
      <c r="F874" s="85" t="n"/>
      <c r="G874" s="85" t="n"/>
    </row>
    <row r="875" ht="13.5" customHeight="1" s="453">
      <c r="D875" s="11" t="n"/>
      <c r="E875" s="86" t="n"/>
      <c r="F875" s="85" t="n"/>
      <c r="G875" s="85" t="n"/>
    </row>
    <row r="876" ht="13.5" customHeight="1" s="453">
      <c r="D876" s="11" t="n"/>
      <c r="E876" s="86" t="n"/>
      <c r="F876" s="85" t="n"/>
      <c r="G876" s="85" t="n"/>
    </row>
    <row r="877" ht="13.5" customHeight="1" s="453">
      <c r="D877" s="11" t="n"/>
      <c r="E877" s="86" t="n"/>
      <c r="F877" s="85" t="n"/>
      <c r="G877" s="85" t="n"/>
    </row>
    <row r="878" ht="13.5" customHeight="1" s="453">
      <c r="D878" s="11" t="n"/>
      <c r="E878" s="86" t="n"/>
      <c r="F878" s="85" t="n"/>
      <c r="G878" s="85" t="n"/>
    </row>
    <row r="879" ht="13.5" customHeight="1" s="453">
      <c r="D879" s="11" t="n"/>
      <c r="E879" s="86" t="n"/>
      <c r="F879" s="85" t="n"/>
      <c r="G879" s="85" t="n"/>
    </row>
    <row r="880" ht="13.5" customHeight="1" s="453">
      <c r="D880" s="11" t="n"/>
      <c r="E880" s="86" t="n"/>
      <c r="F880" s="85" t="n"/>
      <c r="G880" s="85" t="n"/>
    </row>
    <row r="881" ht="13.5" customHeight="1" s="453">
      <c r="D881" s="11" t="n"/>
      <c r="E881" s="86" t="n"/>
      <c r="F881" s="85" t="n"/>
      <c r="G881" s="85" t="n"/>
    </row>
    <row r="882" ht="13.5" customHeight="1" s="453">
      <c r="D882" s="11" t="n"/>
      <c r="E882" s="86" t="n"/>
      <c r="F882" s="85" t="n"/>
      <c r="G882" s="85" t="n"/>
    </row>
    <row r="883" ht="13.5" customHeight="1" s="453">
      <c r="D883" s="11" t="n"/>
      <c r="E883" s="86" t="n"/>
      <c r="F883" s="85" t="n"/>
      <c r="G883" s="85" t="n"/>
    </row>
    <row r="884" ht="13.5" customHeight="1" s="453">
      <c r="D884" s="11" t="n"/>
      <c r="E884" s="86" t="n"/>
      <c r="F884" s="85" t="n"/>
      <c r="G884" s="85" t="n"/>
    </row>
    <row r="885" ht="13.5" customHeight="1" s="453">
      <c r="D885" s="11" t="n"/>
      <c r="E885" s="86" t="n"/>
      <c r="F885" s="85" t="n"/>
      <c r="G885" s="85" t="n"/>
    </row>
    <row r="886" ht="13.5" customHeight="1" s="453">
      <c r="D886" s="11" t="n"/>
      <c r="E886" s="86" t="n"/>
      <c r="F886" s="85" t="n"/>
      <c r="G886" s="85" t="n"/>
    </row>
    <row r="887" ht="13.5" customHeight="1" s="453">
      <c r="D887" s="11" t="n"/>
      <c r="E887" s="86" t="n"/>
      <c r="F887" s="85" t="n"/>
      <c r="G887" s="85" t="n"/>
    </row>
    <row r="888" ht="13.5" customHeight="1" s="453">
      <c r="D888" s="11" t="n"/>
      <c r="E888" s="86" t="n"/>
      <c r="F888" s="85" t="n"/>
      <c r="G888" s="85" t="n"/>
    </row>
    <row r="889" ht="13.5" customHeight="1" s="453">
      <c r="D889" s="11" t="n"/>
      <c r="E889" s="86" t="n"/>
      <c r="F889" s="85" t="n"/>
      <c r="G889" s="85" t="n"/>
    </row>
    <row r="890" ht="13.5" customHeight="1" s="453">
      <c r="D890" s="11" t="n"/>
      <c r="E890" s="86" t="n"/>
      <c r="F890" s="85" t="n"/>
      <c r="G890" s="85" t="n"/>
    </row>
    <row r="891" ht="13.5" customHeight="1" s="453">
      <c r="D891" s="11" t="n"/>
      <c r="E891" s="86" t="n"/>
      <c r="F891" s="85" t="n"/>
      <c r="G891" s="85" t="n"/>
    </row>
    <row r="892" ht="13.5" customHeight="1" s="453">
      <c r="D892" s="11" t="n"/>
      <c r="E892" s="86" t="n"/>
      <c r="F892" s="85" t="n"/>
      <c r="G892" s="85" t="n"/>
    </row>
    <row r="893" ht="13.5" customHeight="1" s="453">
      <c r="D893" s="11" t="n"/>
      <c r="E893" s="86" t="n"/>
      <c r="F893" s="85" t="n"/>
      <c r="G893" s="85" t="n"/>
    </row>
    <row r="894" ht="13.5" customHeight="1" s="453">
      <c r="D894" s="11" t="n"/>
      <c r="E894" s="86" t="n"/>
      <c r="F894" s="85" t="n"/>
      <c r="G894" s="85" t="n"/>
    </row>
    <row r="895" ht="13.5" customHeight="1" s="453">
      <c r="D895" s="11" t="n"/>
      <c r="E895" s="86" t="n"/>
      <c r="F895" s="85" t="n"/>
      <c r="G895" s="85" t="n"/>
    </row>
    <row r="896" ht="13.5" customHeight="1" s="453">
      <c r="D896" s="11" t="n"/>
      <c r="E896" s="86" t="n"/>
      <c r="F896" s="85" t="n"/>
      <c r="G896" s="85" t="n"/>
    </row>
    <row r="897" ht="13.5" customHeight="1" s="453">
      <c r="D897" s="11" t="n"/>
      <c r="E897" s="86" t="n"/>
      <c r="F897" s="85" t="n"/>
      <c r="G897" s="85" t="n"/>
    </row>
    <row r="898" ht="13.5" customHeight="1" s="453">
      <c r="D898" s="11" t="n"/>
      <c r="E898" s="86" t="n"/>
      <c r="F898" s="85" t="n"/>
      <c r="G898" s="85" t="n"/>
    </row>
    <row r="899" ht="13.5" customHeight="1" s="453">
      <c r="D899" s="11" t="n"/>
      <c r="E899" s="86" t="n"/>
      <c r="F899" s="85" t="n"/>
      <c r="G899" s="85" t="n"/>
    </row>
    <row r="900" ht="13.5" customHeight="1" s="453">
      <c r="D900" s="11" t="n"/>
      <c r="E900" s="86" t="n"/>
      <c r="F900" s="85" t="n"/>
      <c r="G900" s="85" t="n"/>
    </row>
    <row r="901" ht="13.5" customHeight="1" s="453">
      <c r="D901" s="11" t="n"/>
      <c r="E901" s="86" t="n"/>
      <c r="F901" s="85" t="n"/>
      <c r="G901" s="85" t="n"/>
    </row>
    <row r="902" ht="13.5" customHeight="1" s="453">
      <c r="D902" s="11" t="n"/>
      <c r="E902" s="86" t="n"/>
      <c r="F902" s="85" t="n"/>
      <c r="G902" s="85" t="n"/>
    </row>
    <row r="903" ht="13.5" customHeight="1" s="453">
      <c r="D903" s="11" t="n"/>
      <c r="E903" s="86" t="n"/>
      <c r="F903" s="85" t="n"/>
      <c r="G903" s="85" t="n"/>
    </row>
    <row r="904" ht="13.5" customHeight="1" s="453">
      <c r="D904" s="11" t="n"/>
      <c r="E904" s="86" t="n"/>
      <c r="F904" s="85" t="n"/>
      <c r="G904" s="85" t="n"/>
    </row>
    <row r="905" ht="13.5" customHeight="1" s="453">
      <c r="D905" s="11" t="n"/>
      <c r="E905" s="86" t="n"/>
      <c r="F905" s="85" t="n"/>
      <c r="G905" s="85" t="n"/>
    </row>
    <row r="906" ht="13.5" customHeight="1" s="453">
      <c r="D906" s="11" t="n"/>
      <c r="E906" s="86" t="n"/>
      <c r="F906" s="85" t="n"/>
      <c r="G906" s="85" t="n"/>
    </row>
    <row r="907" ht="13.5" customHeight="1" s="453">
      <c r="D907" s="11" t="n"/>
      <c r="E907" s="86" t="n"/>
      <c r="F907" s="85" t="n"/>
      <c r="G907" s="85" t="n"/>
    </row>
    <row r="908" ht="13.5" customHeight="1" s="453">
      <c r="D908" s="11" t="n"/>
      <c r="E908" s="86" t="n"/>
      <c r="F908" s="85" t="n"/>
      <c r="G908" s="85" t="n"/>
    </row>
    <row r="909" ht="13.5" customHeight="1" s="453">
      <c r="D909" s="11" t="n"/>
      <c r="E909" s="86" t="n"/>
      <c r="F909" s="85" t="n"/>
      <c r="G909" s="85" t="n"/>
    </row>
    <row r="910" ht="13.5" customHeight="1" s="453">
      <c r="D910" s="11" t="n"/>
      <c r="E910" s="86" t="n"/>
      <c r="F910" s="85" t="n"/>
      <c r="G910" s="85" t="n"/>
    </row>
    <row r="911" ht="13.5" customHeight="1" s="453">
      <c r="D911" s="11" t="n"/>
      <c r="E911" s="86" t="n"/>
      <c r="F911" s="85" t="n"/>
      <c r="G911" s="85" t="n"/>
    </row>
    <row r="912" ht="13.5" customHeight="1" s="453">
      <c r="D912" s="11" t="n"/>
      <c r="E912" s="86" t="n"/>
      <c r="F912" s="85" t="n"/>
      <c r="G912" s="85" t="n"/>
    </row>
    <row r="913" ht="13.5" customHeight="1" s="453">
      <c r="D913" s="11" t="n"/>
      <c r="E913" s="86" t="n"/>
      <c r="F913" s="85" t="n"/>
      <c r="G913" s="85" t="n"/>
    </row>
    <row r="914" ht="13.5" customHeight="1" s="453">
      <c r="D914" s="11" t="n"/>
      <c r="E914" s="86" t="n"/>
      <c r="F914" s="85" t="n"/>
      <c r="G914" s="85" t="n"/>
    </row>
    <row r="915" ht="13.5" customHeight="1" s="453">
      <c r="D915" s="11" t="n"/>
      <c r="E915" s="86" t="n"/>
      <c r="F915" s="85" t="n"/>
      <c r="G915" s="85" t="n"/>
    </row>
    <row r="916" ht="13.5" customHeight="1" s="453">
      <c r="D916" s="11" t="n"/>
      <c r="E916" s="86" t="n"/>
      <c r="F916" s="85" t="n"/>
      <c r="G916" s="85" t="n"/>
    </row>
    <row r="917" ht="13.5" customHeight="1" s="453">
      <c r="D917" s="11" t="n"/>
      <c r="E917" s="86" t="n"/>
      <c r="F917" s="85" t="n"/>
      <c r="G917" s="85" t="n"/>
    </row>
    <row r="918" ht="13.5" customHeight="1" s="453">
      <c r="D918" s="11" t="n"/>
      <c r="E918" s="86" t="n"/>
      <c r="F918" s="85" t="n"/>
      <c r="G918" s="85" t="n"/>
    </row>
    <row r="919" ht="13.5" customHeight="1" s="453">
      <c r="D919" s="11" t="n"/>
      <c r="E919" s="86" t="n"/>
      <c r="F919" s="85" t="n"/>
      <c r="G919" s="85" t="n"/>
    </row>
    <row r="920" ht="13.5" customHeight="1" s="453">
      <c r="D920" s="11" t="n"/>
      <c r="E920" s="86" t="n"/>
      <c r="F920" s="85" t="n"/>
      <c r="G920" s="85" t="n"/>
    </row>
    <row r="921" ht="13.5" customHeight="1" s="453">
      <c r="D921" s="11" t="n"/>
      <c r="E921" s="86" t="n"/>
      <c r="F921" s="85" t="n"/>
      <c r="G921" s="85" t="n"/>
    </row>
    <row r="922" ht="13.5" customHeight="1" s="453">
      <c r="D922" s="11" t="n"/>
      <c r="E922" s="86" t="n"/>
      <c r="F922" s="85" t="n"/>
      <c r="G922" s="85" t="n"/>
    </row>
    <row r="923" ht="13.5" customHeight="1" s="453">
      <c r="D923" s="11" t="n"/>
      <c r="E923" s="86" t="n"/>
      <c r="F923" s="85" t="n"/>
      <c r="G923" s="85" t="n"/>
    </row>
    <row r="924" ht="13.5" customHeight="1" s="453">
      <c r="D924" s="11" t="n"/>
      <c r="E924" s="86" t="n"/>
      <c r="F924" s="85" t="n"/>
      <c r="G924" s="85" t="n"/>
    </row>
    <row r="925" ht="13.5" customHeight="1" s="453">
      <c r="D925" s="11" t="n"/>
      <c r="E925" s="86" t="n"/>
      <c r="F925" s="85" t="n"/>
      <c r="G925" s="85" t="n"/>
    </row>
    <row r="926" ht="13.5" customHeight="1" s="453">
      <c r="D926" s="11" t="n"/>
      <c r="E926" s="86" t="n"/>
      <c r="F926" s="85" t="n"/>
      <c r="G926" s="85" t="n"/>
    </row>
    <row r="927" ht="13.5" customHeight="1" s="453">
      <c r="D927" s="11" t="n"/>
      <c r="E927" s="86" t="n"/>
      <c r="F927" s="85" t="n"/>
      <c r="G927" s="85" t="n"/>
    </row>
    <row r="928" ht="13.5" customHeight="1" s="453">
      <c r="D928" s="11" t="n"/>
      <c r="E928" s="86" t="n"/>
      <c r="F928" s="85" t="n"/>
      <c r="G928" s="85" t="n"/>
    </row>
    <row r="929" ht="13.5" customHeight="1" s="453">
      <c r="D929" s="11" t="n"/>
      <c r="E929" s="86" t="n"/>
      <c r="F929" s="85" t="n"/>
      <c r="G929" s="85" t="n"/>
    </row>
    <row r="930" ht="13.5" customHeight="1" s="453">
      <c r="D930" s="11" t="n"/>
      <c r="E930" s="86" t="n"/>
      <c r="F930" s="85" t="n"/>
      <c r="G930" s="85" t="n"/>
    </row>
    <row r="931" ht="13.5" customHeight="1" s="453">
      <c r="D931" s="11" t="n"/>
      <c r="E931" s="86" t="n"/>
      <c r="F931" s="85" t="n"/>
      <c r="G931" s="85" t="n"/>
    </row>
    <row r="932" ht="13.5" customHeight="1" s="453">
      <c r="D932" s="11" t="n"/>
      <c r="E932" s="86" t="n"/>
      <c r="F932" s="85" t="n"/>
      <c r="G932" s="85" t="n"/>
    </row>
    <row r="933" ht="13.5" customHeight="1" s="453">
      <c r="D933" s="11" t="n"/>
      <c r="E933" s="86" t="n"/>
      <c r="F933" s="85" t="n"/>
      <c r="G933" s="85" t="n"/>
    </row>
    <row r="934" ht="13.5" customHeight="1" s="453">
      <c r="D934" s="11" t="n"/>
      <c r="E934" s="86" t="n"/>
      <c r="F934" s="85" t="n"/>
      <c r="G934" s="85" t="n"/>
    </row>
    <row r="935" ht="13.5" customHeight="1" s="453">
      <c r="D935" s="11" t="n"/>
      <c r="E935" s="86" t="n"/>
      <c r="F935" s="85" t="n"/>
      <c r="G935" s="85" t="n"/>
    </row>
    <row r="936" ht="13.5" customHeight="1" s="453">
      <c r="D936" s="11" t="n"/>
      <c r="E936" s="86" t="n"/>
      <c r="F936" s="85" t="n"/>
      <c r="G936" s="85" t="n"/>
    </row>
    <row r="937" ht="13.5" customHeight="1" s="453">
      <c r="D937" s="11" t="n"/>
      <c r="E937" s="86" t="n"/>
      <c r="F937" s="85" t="n"/>
      <c r="G937" s="85" t="n"/>
    </row>
    <row r="938" ht="13.5" customHeight="1" s="453">
      <c r="D938" s="11" t="n"/>
      <c r="E938" s="86" t="n"/>
      <c r="F938" s="85" t="n"/>
      <c r="G938" s="85" t="n"/>
    </row>
    <row r="939" ht="13.5" customHeight="1" s="453">
      <c r="D939" s="11" t="n"/>
      <c r="E939" s="86" t="n"/>
      <c r="F939" s="85" t="n"/>
      <c r="G939" s="85" t="n"/>
    </row>
    <row r="940" ht="13.5" customHeight="1" s="453">
      <c r="D940" s="11" t="n"/>
      <c r="E940" s="86" t="n"/>
      <c r="F940" s="85" t="n"/>
      <c r="G940" s="85" t="n"/>
    </row>
    <row r="941" ht="13.5" customHeight="1" s="453">
      <c r="D941" s="11" t="n"/>
      <c r="E941" s="86" t="n"/>
      <c r="F941" s="85" t="n"/>
      <c r="G941" s="85" t="n"/>
    </row>
    <row r="942" ht="13.5" customHeight="1" s="453">
      <c r="D942" s="11" t="n"/>
      <c r="E942" s="86" t="n"/>
      <c r="F942" s="85" t="n"/>
      <c r="G942" s="85" t="n"/>
    </row>
    <row r="943" ht="13.5" customHeight="1" s="453">
      <c r="D943" s="11" t="n"/>
      <c r="E943" s="86" t="n"/>
      <c r="F943" s="85" t="n"/>
      <c r="G943" s="85" t="n"/>
    </row>
    <row r="944" ht="13.5" customHeight="1" s="453">
      <c r="D944" s="11" t="n"/>
      <c r="E944" s="86" t="n"/>
      <c r="F944" s="85" t="n"/>
      <c r="G944" s="85" t="n"/>
    </row>
    <row r="945" ht="13.5" customHeight="1" s="453">
      <c r="D945" s="11" t="n"/>
      <c r="E945" s="86" t="n"/>
      <c r="F945" s="85" t="n"/>
      <c r="G945" s="85" t="n"/>
    </row>
    <row r="946" ht="13.5" customHeight="1" s="453">
      <c r="D946" s="11" t="n"/>
      <c r="E946" s="86" t="n"/>
      <c r="F946" s="85" t="n"/>
      <c r="G946" s="85" t="n"/>
    </row>
    <row r="947" ht="13.5" customHeight="1" s="453">
      <c r="D947" s="11" t="n"/>
      <c r="E947" s="86" t="n"/>
      <c r="F947" s="85" t="n"/>
      <c r="G947" s="85" t="n"/>
    </row>
    <row r="948" ht="13.5" customHeight="1" s="453">
      <c r="D948" s="11" t="n"/>
      <c r="E948" s="86" t="n"/>
      <c r="F948" s="85" t="n"/>
      <c r="G948" s="85" t="n"/>
    </row>
    <row r="949" ht="13.5" customHeight="1" s="453">
      <c r="D949" s="11" t="n"/>
      <c r="E949" s="86" t="n"/>
      <c r="F949" s="85" t="n"/>
      <c r="G949" s="85" t="n"/>
    </row>
    <row r="950" ht="13.5" customHeight="1" s="453">
      <c r="D950" s="11" t="n"/>
      <c r="E950" s="86" t="n"/>
      <c r="F950" s="85" t="n"/>
      <c r="G950" s="85" t="n"/>
    </row>
    <row r="951" ht="13.5" customHeight="1" s="453">
      <c r="D951" s="11" t="n"/>
      <c r="E951" s="86" t="n"/>
      <c r="F951" s="85" t="n"/>
      <c r="G951" s="85" t="n"/>
    </row>
    <row r="952" ht="13.5" customHeight="1" s="453">
      <c r="D952" s="11" t="n"/>
      <c r="E952" s="86" t="n"/>
      <c r="F952" s="85" t="n"/>
      <c r="G952" s="85" t="n"/>
    </row>
    <row r="953" ht="13.5" customHeight="1" s="453">
      <c r="D953" s="11" t="n"/>
      <c r="E953" s="86" t="n"/>
      <c r="F953" s="85" t="n"/>
      <c r="G953" s="85" t="n"/>
    </row>
    <row r="954" ht="13.5" customHeight="1" s="453">
      <c r="D954" s="11" t="n"/>
      <c r="E954" s="86" t="n"/>
      <c r="F954" s="85" t="n"/>
      <c r="G954" s="85" t="n"/>
    </row>
    <row r="955" ht="13.5" customHeight="1" s="453">
      <c r="D955" s="11" t="n"/>
      <c r="E955" s="86" t="n"/>
      <c r="F955" s="85" t="n"/>
      <c r="G955" s="85" t="n"/>
    </row>
    <row r="956" ht="13.5" customHeight="1" s="453">
      <c r="D956" s="11" t="n"/>
      <c r="E956" s="86" t="n"/>
      <c r="F956" s="85" t="n"/>
      <c r="G956" s="85" t="n"/>
    </row>
    <row r="957" ht="13.5" customHeight="1" s="453">
      <c r="D957" s="11" t="n"/>
      <c r="E957" s="86" t="n"/>
      <c r="F957" s="85" t="n"/>
      <c r="G957" s="85" t="n"/>
    </row>
    <row r="958" ht="13.5" customHeight="1" s="453">
      <c r="D958" s="11" t="n"/>
      <c r="E958" s="86" t="n"/>
      <c r="F958" s="85" t="n"/>
      <c r="G958" s="85" t="n"/>
    </row>
    <row r="959" ht="13.5" customHeight="1" s="453">
      <c r="D959" s="11" t="n"/>
      <c r="E959" s="86" t="n"/>
      <c r="F959" s="85" t="n"/>
      <c r="G959" s="85" t="n"/>
    </row>
    <row r="960" ht="13.5" customHeight="1" s="453">
      <c r="D960" s="11" t="n"/>
      <c r="E960" s="86" t="n"/>
      <c r="F960" s="85" t="n"/>
      <c r="G960" s="85" t="n"/>
    </row>
    <row r="961" ht="13.5" customHeight="1" s="453">
      <c r="D961" s="11" t="n"/>
      <c r="E961" s="86" t="n"/>
      <c r="F961" s="85" t="n"/>
      <c r="G961" s="85" t="n"/>
    </row>
    <row r="962" ht="13.5" customHeight="1" s="453">
      <c r="D962" s="11" t="n"/>
      <c r="E962" s="86" t="n"/>
      <c r="F962" s="85" t="n"/>
      <c r="G962" s="85" t="n"/>
    </row>
    <row r="963" ht="13.5" customHeight="1" s="453">
      <c r="D963" s="11" t="n"/>
      <c r="E963" s="86" t="n"/>
      <c r="F963" s="85" t="n"/>
      <c r="G963" s="85" t="n"/>
    </row>
    <row r="964" ht="13.5" customHeight="1" s="453">
      <c r="D964" s="11" t="n"/>
      <c r="E964" s="86" t="n"/>
      <c r="F964" s="85" t="n"/>
      <c r="G964" s="85" t="n"/>
    </row>
    <row r="965" ht="13.5" customHeight="1" s="453">
      <c r="D965" s="11" t="n"/>
      <c r="E965" s="86" t="n"/>
      <c r="F965" s="85" t="n"/>
      <c r="G965" s="85" t="n"/>
    </row>
    <row r="966" ht="13.5" customHeight="1" s="453">
      <c r="D966" s="11" t="n"/>
      <c r="E966" s="86" t="n"/>
      <c r="F966" s="85" t="n"/>
      <c r="G966" s="85" t="n"/>
    </row>
    <row r="967" ht="13.5" customHeight="1" s="453">
      <c r="D967" s="11" t="n"/>
      <c r="E967" s="86" t="n"/>
      <c r="F967" s="85" t="n"/>
      <c r="G967" s="85" t="n"/>
    </row>
    <row r="968" ht="13.5" customHeight="1" s="453">
      <c r="D968" s="11" t="n"/>
      <c r="E968" s="86" t="n"/>
      <c r="F968" s="85" t="n"/>
      <c r="G968" s="85" t="n"/>
    </row>
    <row r="969" ht="13.5" customHeight="1" s="453">
      <c r="D969" s="11" t="n"/>
      <c r="E969" s="86" t="n"/>
      <c r="F969" s="85" t="n"/>
      <c r="G969" s="85" t="n"/>
    </row>
    <row r="970" ht="13.5" customHeight="1" s="453">
      <c r="D970" s="11" t="n"/>
      <c r="E970" s="86" t="n"/>
      <c r="F970" s="85" t="n"/>
      <c r="G970" s="85" t="n"/>
    </row>
    <row r="971" ht="13.5" customHeight="1" s="453">
      <c r="D971" s="11" t="n"/>
      <c r="E971" s="86" t="n"/>
      <c r="F971" s="85" t="n"/>
      <c r="G971" s="85" t="n"/>
    </row>
    <row r="972" ht="13.5" customHeight="1" s="453">
      <c r="D972" s="11" t="n"/>
      <c r="E972" s="86" t="n"/>
      <c r="F972" s="85" t="n"/>
      <c r="G972" s="85" t="n"/>
    </row>
    <row r="973" ht="13.5" customHeight="1" s="453">
      <c r="D973" s="11" t="n"/>
      <c r="E973" s="86" t="n"/>
      <c r="F973" s="85" t="n"/>
      <c r="G973" s="85" t="n"/>
    </row>
    <row r="974" ht="13.5" customHeight="1" s="453">
      <c r="D974" s="11" t="n"/>
      <c r="E974" s="86" t="n"/>
      <c r="F974" s="85" t="n"/>
      <c r="G974" s="85" t="n"/>
    </row>
    <row r="975" ht="13.5" customHeight="1" s="453">
      <c r="D975" s="11" t="n"/>
      <c r="E975" s="86" t="n"/>
      <c r="F975" s="85" t="n"/>
      <c r="G975" s="85" t="n"/>
    </row>
    <row r="976" ht="13.5" customHeight="1" s="453">
      <c r="D976" s="11" t="n"/>
      <c r="E976" s="86" t="n"/>
      <c r="F976" s="85" t="n"/>
      <c r="G976" s="85" t="n"/>
    </row>
    <row r="977" ht="13.5" customHeight="1" s="453">
      <c r="D977" s="11" t="n"/>
      <c r="E977" s="86" t="n"/>
      <c r="F977" s="85" t="n"/>
      <c r="G977" s="85" t="n"/>
    </row>
    <row r="978" ht="13.5" customHeight="1" s="453">
      <c r="D978" s="11" t="n"/>
      <c r="E978" s="86" t="n"/>
      <c r="F978" s="85" t="n"/>
      <c r="G978" s="85" t="n"/>
    </row>
    <row r="979" ht="13.5" customHeight="1" s="453">
      <c r="D979" s="11" t="n"/>
      <c r="E979" s="86" t="n"/>
      <c r="F979" s="85" t="n"/>
      <c r="G979" s="85" t="n"/>
    </row>
    <row r="980" ht="13.5" customHeight="1" s="453">
      <c r="D980" s="11" t="n"/>
      <c r="E980" s="86" t="n"/>
      <c r="F980" s="85" t="n"/>
      <c r="G980" s="85" t="n"/>
    </row>
    <row r="981" ht="13.5" customHeight="1" s="453">
      <c r="D981" s="11" t="n"/>
      <c r="E981" s="86" t="n"/>
      <c r="F981" s="85" t="n"/>
      <c r="G981" s="85" t="n"/>
    </row>
    <row r="982" ht="13.5" customHeight="1" s="453">
      <c r="D982" s="11" t="n"/>
      <c r="E982" s="86" t="n"/>
      <c r="F982" s="85" t="n"/>
      <c r="G982" s="85" t="n"/>
    </row>
    <row r="983" ht="13.5" customHeight="1" s="453">
      <c r="D983" s="11" t="n"/>
      <c r="E983" s="86" t="n"/>
      <c r="F983" s="85" t="n"/>
      <c r="G983" s="85" t="n"/>
    </row>
    <row r="984" ht="13.5" customHeight="1" s="453">
      <c r="D984" s="11" t="n"/>
      <c r="E984" s="86" t="n"/>
      <c r="F984" s="85" t="n"/>
      <c r="G984" s="85" t="n"/>
    </row>
    <row r="985" ht="13.5" customHeight="1" s="453">
      <c r="D985" s="11" t="n"/>
      <c r="E985" s="86" t="n"/>
      <c r="F985" s="85" t="n"/>
      <c r="G985" s="85" t="n"/>
    </row>
    <row r="986" ht="13.5" customHeight="1" s="453">
      <c r="D986" s="11" t="n"/>
      <c r="E986" s="86" t="n"/>
      <c r="F986" s="85" t="n"/>
      <c r="G986" s="85" t="n"/>
    </row>
    <row r="987" ht="13.5" customHeight="1" s="453">
      <c r="D987" s="11" t="n"/>
      <c r="E987" s="86" t="n"/>
      <c r="F987" s="85" t="n"/>
      <c r="G987" s="85" t="n"/>
    </row>
    <row r="988" ht="13.5" customHeight="1" s="453">
      <c r="D988" s="11" t="n"/>
      <c r="E988" s="86" t="n"/>
      <c r="F988" s="85" t="n"/>
      <c r="G988" s="85" t="n"/>
    </row>
    <row r="989" ht="13.5" customHeight="1" s="453">
      <c r="D989" s="11" t="n"/>
      <c r="E989" s="86" t="n"/>
      <c r="F989" s="85" t="n"/>
      <c r="G989" s="85" t="n"/>
    </row>
    <row r="990" ht="13.5" customHeight="1" s="453">
      <c r="D990" s="11" t="n"/>
      <c r="E990" s="86" t="n"/>
      <c r="F990" s="85" t="n"/>
      <c r="G990" s="85" t="n"/>
    </row>
  </sheetData>
  <mergeCells count="17">
    <mergeCell ref="F2:G2"/>
    <mergeCell ref="N2:N3"/>
    <mergeCell ref="E2:E3"/>
    <mergeCell ref="C2:C3"/>
    <mergeCell ref="AG1:AH1"/>
    <mergeCell ref="AG2:AH2"/>
    <mergeCell ref="D2:D3"/>
    <mergeCell ref="O2:O3"/>
    <mergeCell ref="A2:A3"/>
    <mergeCell ref="B2:B3"/>
    <mergeCell ref="AE2:AE3"/>
    <mergeCell ref="AC2:AC3"/>
    <mergeCell ref="AI2:AI3"/>
    <mergeCell ref="AF2:AF3"/>
    <mergeCell ref="F1:G1"/>
    <mergeCell ref="AJ2:AJ3"/>
    <mergeCell ref="AB2:AB3"/>
  </mergeCells>
  <conditionalFormatting sqref="B130">
    <cfRule type="duplicateValues" priority="2" dxfId="0"/>
  </conditionalFormatting>
  <conditionalFormatting sqref="B131">
    <cfRule type="duplicateValues" priority="1" dxfId="0"/>
  </conditionalFormatting>
  <printOptions horizontalCentered="1" gridLines="1"/>
  <pageMargins left="0.7" right="0.7" top="0.75" bottom="0.75" header="0" footer="0"/>
  <pageSetup orientation="landscape" paperSize="9" scale="34" fitToHeight="0" pageOrder="overThenDown" cellComments="atEnd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B050"/>
    <outlinePr summaryBelow="0" summaryRight="0"/>
    <pageSetUpPr fitToPage="1"/>
  </sheetPr>
  <dimension ref="A1:AN1047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G107" sqref="G107"/>
    </sheetView>
  </sheetViews>
  <sheetFormatPr baseColWidth="8" defaultColWidth="12.5703125" defaultRowHeight="15.75" customHeight="1"/>
  <cols>
    <col width="19.5703125" customWidth="1" style="453" min="1" max="1"/>
    <col width="11" customWidth="1" style="453" min="2" max="2"/>
    <col width="53.85546875" customWidth="1" style="98" min="3" max="3"/>
    <col width="10.28515625" bestFit="1" customWidth="1" style="453" min="4" max="4"/>
    <col width="6.85546875" bestFit="1" customWidth="1" style="453" min="5" max="5"/>
    <col hidden="1" width="10.5703125" customWidth="1" style="453" min="6" max="6"/>
    <col width="12.28515625" bestFit="1" customWidth="1" style="453" min="7" max="7"/>
    <col hidden="1" width="12.5703125" customWidth="1" style="453" min="8" max="9"/>
    <col width="10.5703125" customWidth="1" style="453" min="10" max="10"/>
    <col width="9.85546875" customWidth="1" style="453" min="11" max="11"/>
    <col width="11.7109375" customWidth="1" style="453" min="12" max="12"/>
    <col width="12.140625" customWidth="1" style="453" min="13" max="15"/>
    <col width="11.42578125" customWidth="1" style="453" min="16" max="17"/>
    <col width="12.140625" customWidth="1" style="453" min="18" max="18"/>
    <col width="13" customWidth="1" style="453" min="19" max="19"/>
    <col width="13" customWidth="1" style="453" min="20" max="20"/>
    <col width="13" customWidth="1" style="453" min="21" max="21"/>
    <col width="12.140625" customWidth="1" style="453" min="22" max="22"/>
    <col collapsed="1" width="12.140625" customWidth="1" style="453" min="23" max="23"/>
    <col hidden="1" outlineLevel="1" width="13" customWidth="1" style="453" min="24" max="29"/>
    <col width="12.140625" customWidth="1" style="453" min="30" max="32"/>
    <col width="10.140625" customWidth="1" style="110" min="33" max="33"/>
    <col hidden="1" width="13.85546875" customWidth="1" style="453" min="34" max="34"/>
    <col width="15" customWidth="1" style="453" min="35" max="36"/>
    <col width="38.140625" customWidth="1" style="453" min="37" max="37"/>
    <col width="9.28515625" customWidth="1" style="453" min="39" max="40"/>
  </cols>
  <sheetData>
    <row r="1" ht="17.25" customHeight="1" s="453">
      <c r="A1" s="87" t="inlineStr">
        <is>
          <t>*自2025/1起調整為最小單位(發/點/支)</t>
        </is>
      </c>
      <c r="B1" s="87" t="n"/>
      <c r="C1" s="97" t="n"/>
      <c r="D1" s="1" t="n"/>
      <c r="E1" s="2" t="n"/>
      <c r="F1" s="452" t="n"/>
      <c r="H1" s="6" t="n"/>
      <c r="I1" s="6" t="n"/>
      <c r="M1" s="6" t="n"/>
      <c r="N1" s="6" t="n"/>
      <c r="P1" s="6" t="n"/>
      <c r="Q1" s="6" t="n"/>
      <c r="R1" s="12" t="inlineStr">
        <is>
          <t>忠孝7樓</t>
        </is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99" t="n"/>
      <c r="AH1" s="452" t="n"/>
      <c r="AI1" s="452" t="n"/>
      <c r="AK1" s="13" t="n"/>
      <c r="AL1" s="13" t="n"/>
      <c r="AM1" s="14" t="n"/>
      <c r="AN1" s="14" t="n"/>
    </row>
    <row r="2" ht="33" customFormat="1" customHeight="1" s="92">
      <c r="A2" s="495" t="inlineStr">
        <is>
          <t>料件編號 新</t>
        </is>
      </c>
      <c r="B2" s="496" t="n"/>
      <c r="C2" s="496" t="inlineStr">
        <is>
          <t>品名</t>
        </is>
      </c>
      <c r="D2" s="496" t="inlineStr">
        <is>
          <t>盒入數</t>
        </is>
      </c>
      <c r="E2" s="532" t="inlineStr">
        <is>
          <t>庫存
 單位</t>
        </is>
      </c>
      <c r="F2" s="449">
        <f>站前4樓!F2</f>
        <v/>
      </c>
      <c r="G2" s="500" t="n"/>
      <c r="H2" s="503" t="inlineStr">
        <is>
          <t>2024
總銷量
(盒裝)</t>
        </is>
      </c>
      <c r="I2" s="503" t="inlineStr">
        <is>
          <t>2024
月均銷
(盒裝)</t>
        </is>
      </c>
      <c r="J2" s="505" t="inlineStr">
        <is>
          <t>2025/07</t>
        </is>
      </c>
      <c r="K2" s="505" t="inlineStr">
        <is>
          <t>2025/08</t>
        </is>
      </c>
      <c r="L2" s="505" t="inlineStr">
        <is>
          <t>2025/09</t>
        </is>
      </c>
      <c r="M2" s="505" t="inlineStr">
        <is>
          <t>2025/10</t>
        </is>
      </c>
      <c r="N2" s="505" t="inlineStr">
        <is>
          <t>2025/11</t>
        </is>
      </c>
      <c r="O2" s="505" t="inlineStr">
        <is>
          <t>2025/12</t>
        </is>
      </c>
      <c r="P2" s="507" t="inlineStr">
        <is>
          <t>2025
總銷量
(單支/條/點)</t>
        </is>
      </c>
      <c r="Q2" s="507" t="inlineStr">
        <is>
          <t>2025
月均銷
(單支/條/點)</t>
        </is>
      </c>
      <c r="R2" s="505" t="inlineStr">
        <is>
          <t>2026/01</t>
        </is>
      </c>
      <c r="S2" s="505" t="inlineStr">
        <is>
          <t>2026/02</t>
        </is>
      </c>
      <c r="T2" s="505" t="inlineStr">
        <is>
          <t>2026/03</t>
        </is>
      </c>
      <c r="U2" s="505" t="inlineStr">
        <is>
          <t>2026/04</t>
        </is>
      </c>
      <c r="V2" s="505" t="inlineStr">
        <is>
          <t>2026/05</t>
        </is>
      </c>
      <c r="W2" s="505" t="inlineStr">
        <is>
          <t>2026/06</t>
        </is>
      </c>
      <c r="X2" s="505" t="inlineStr">
        <is>
          <t>2026/07</t>
        </is>
      </c>
      <c r="Y2" s="505" t="inlineStr">
        <is>
          <t>2026/08</t>
        </is>
      </c>
      <c r="Z2" s="505" t="inlineStr">
        <is>
          <t>2026/09</t>
        </is>
      </c>
      <c r="AA2" s="505" t="inlineStr">
        <is>
          <t>2026/10</t>
        </is>
      </c>
      <c r="AB2" s="505" t="inlineStr">
        <is>
          <t>2026/11</t>
        </is>
      </c>
      <c r="AC2" s="505" t="inlineStr">
        <is>
          <t>2026/12</t>
        </is>
      </c>
      <c r="AD2" s="507" t="inlineStr">
        <is>
          <t>2026
總銷量
(單支/條/點)</t>
        </is>
      </c>
      <c r="AE2" s="507" t="inlineStr">
        <is>
          <t>2026
月均銷
(單支/條/點)</t>
        </is>
      </c>
      <c r="AF2" s="505" t="inlineStr">
        <is>
          <t>2026/06</t>
        </is>
      </c>
      <c r="AG2" s="508" t="inlineStr">
        <is>
          <t>安庫</t>
        </is>
      </c>
      <c r="AH2" s="509" t="inlineStr">
        <is>
          <t>已簽約
寄庫數量</t>
        </is>
      </c>
      <c r="AI2" s="509" t="inlineStr">
        <is>
          <t>10/17在途</t>
        </is>
      </c>
      <c r="AJ2" s="500" t="n"/>
      <c r="AK2" s="510" t="inlineStr">
        <is>
          <t>備註</t>
        </is>
      </c>
      <c r="AL2" s="510" t="n"/>
      <c r="AM2" s="91" t="n"/>
      <c r="AN2" s="91" t="n"/>
    </row>
    <row r="3" ht="33" customFormat="1" customHeight="1" s="92">
      <c r="A3" s="511" t="n"/>
      <c r="B3" s="511" t="n"/>
      <c r="C3" s="511" t="n"/>
      <c r="D3" s="511" t="n"/>
      <c r="E3" s="511" t="n"/>
      <c r="F3" s="93" t="inlineStr">
        <is>
          <t>站前庫存</t>
        </is>
      </c>
      <c r="G3" s="189" t="inlineStr">
        <is>
          <t>忠孝7樓
庫存</t>
        </is>
      </c>
      <c r="H3" s="511" t="n"/>
      <c r="I3" s="511" t="n"/>
      <c r="J3" s="95" t="inlineStr">
        <is>
          <t>Actual</t>
        </is>
      </c>
      <c r="K3" s="95" t="inlineStr">
        <is>
          <t>Actual</t>
        </is>
      </c>
      <c r="L3" s="95" t="inlineStr">
        <is>
          <t>Actual</t>
        </is>
      </c>
      <c r="M3" s="95" t="inlineStr">
        <is>
          <t>Actual</t>
        </is>
      </c>
      <c r="N3" s="95" t="inlineStr">
        <is>
          <t>Actual</t>
        </is>
      </c>
      <c r="O3" s="95" t="inlineStr">
        <is>
          <t>Actual</t>
        </is>
      </c>
      <c r="P3" s="511" t="n"/>
      <c r="Q3" s="511" t="n"/>
      <c r="R3" s="95" t="inlineStr">
        <is>
          <t>Actual</t>
        </is>
      </c>
      <c r="S3" s="95" t="inlineStr">
        <is>
          <t>Actual</t>
        </is>
      </c>
      <c r="T3" s="95" t="inlineStr">
        <is>
          <t>Actual</t>
        </is>
      </c>
      <c r="U3" s="95" t="inlineStr">
        <is>
          <t>Actual</t>
        </is>
      </c>
      <c r="V3" s="95" t="inlineStr">
        <is>
          <t>Actual</t>
        </is>
      </c>
      <c r="W3" s="95" t="inlineStr">
        <is>
          <t>Actual</t>
        </is>
      </c>
      <c r="X3" s="95" t="inlineStr">
        <is>
          <t>Actual</t>
        </is>
      </c>
      <c r="Y3" s="95" t="inlineStr">
        <is>
          <t>Actual</t>
        </is>
      </c>
      <c r="Z3" s="95" t="inlineStr">
        <is>
          <t>Actual</t>
        </is>
      </c>
      <c r="AA3" s="95" t="inlineStr">
        <is>
          <t>Actual</t>
        </is>
      </c>
      <c r="AB3" s="95" t="inlineStr">
        <is>
          <t>Actual</t>
        </is>
      </c>
      <c r="AC3" s="95" t="inlineStr">
        <is>
          <t>Actual</t>
        </is>
      </c>
      <c r="AD3" s="511" t="n"/>
      <c r="AE3" s="511" t="n"/>
      <c r="AF3" s="403" t="inlineStr">
        <is>
          <t>Forecast</t>
        </is>
      </c>
      <c r="AG3" s="511" t="n"/>
      <c r="AH3" s="511" t="n"/>
      <c r="AI3" s="113" t="inlineStr">
        <is>
          <t>站前診所</t>
        </is>
      </c>
      <c r="AJ3" s="113" t="inlineStr">
        <is>
          <t>忠孝診所</t>
        </is>
      </c>
      <c r="AK3" s="511" t="n"/>
      <c r="AL3" s="511" t="n"/>
      <c r="AM3" s="91" t="n"/>
      <c r="AN3" s="91" t="n"/>
    </row>
    <row r="4" ht="16.5" customHeight="1" s="453">
      <c r="A4" s="27" t="inlineStr">
        <is>
          <t>MP1MA020019A</t>
        </is>
      </c>
      <c r="B4" s="14" t="n">
        <v>6150001</v>
      </c>
      <c r="C4" s="118" t="inlineStr">
        <is>
          <t>喬雅登豐麗緹玻尿酸植入物Voluma 1ml/ syringe(1支)</t>
        </is>
      </c>
      <c r="D4" s="16" t="n">
        <v>2</v>
      </c>
      <c r="E4" s="17" t="inlineStr">
        <is>
          <t>PCS</t>
        </is>
      </c>
      <c r="F4" s="18" t="n"/>
      <c r="G4" s="18" t="n">
        <v>44</v>
      </c>
      <c r="H4" s="21">
        <f>SUM(#REF!)</f>
        <v/>
      </c>
      <c r="I4" s="542">
        <f>H4/12</f>
        <v/>
      </c>
      <c r="J4" s="20">
        <f>SUMIFS(領用表!$L:$L,領用表!$E:$E,$B4,領用表!$B:$B,J$2&amp;$R$1)</f>
        <v/>
      </c>
      <c r="K4" s="20">
        <f>SUMIFS(領用表!$L:$L,領用表!$E:$E,$B4,領用表!$B:$B,K$2&amp;$R$1)</f>
        <v/>
      </c>
      <c r="L4" s="20">
        <f>SUMIFS(領用表!$L:$L,領用表!$E:$E,$B4,領用表!$B:$B,L$2&amp;$R$1)</f>
        <v/>
      </c>
      <c r="M4" s="142">
        <f>SUMIFS(領用表!$L:$L,領用表!$E:$E,$B4,領用表!$B:$B,M$2&amp;$R$1)</f>
        <v/>
      </c>
      <c r="N4" s="142">
        <f>SUMIFS(領用表!$L:$L,領用表!$E:$E,$B4,領用表!$B:$B,N$2&amp;$R$1)</f>
        <v/>
      </c>
      <c r="O4" s="142">
        <f>SUMIFS(領用表!$L:$L,領用表!$E:$E,$B4,領用表!$B:$B,O$2&amp;$R$1)</f>
        <v/>
      </c>
      <c r="P4" s="23">
        <f>SUM(,J4,K4,L4,M4,N4,O4)</f>
        <v/>
      </c>
      <c r="Q4" s="23">
        <f>AVERAGE(,J4,K4,L4,M4,N4,O4)</f>
        <v/>
      </c>
      <c r="R4" s="142">
        <f>SUMIFS(領用表!$L:$L,領用表!$E:$E,$B4,領用表!$B:$B,R$2&amp;$R$1)</f>
        <v/>
      </c>
      <c r="S4" s="142">
        <f>SUMIFS(領用表!$L:$L,領用表!$E:$E,$B4,領用表!$B:$B,S$2&amp;$R$1)</f>
        <v/>
      </c>
      <c r="T4" s="142">
        <f>SUMIFS(領用表!$L:$L,領用表!$E:$E,$B4,領用表!$B:$B,T$2&amp;$R$1)</f>
        <v/>
      </c>
      <c r="U4" s="142">
        <f>SUMIFS(領用表!$L:$L,領用表!$E:$E,$B4,領用表!$B:$B,U$2&amp;$R$1)</f>
        <v/>
      </c>
      <c r="V4" s="142">
        <f>SUMIFS(領用表!$L:$L,領用表!$E:$E,$B4,領用表!$B:$B,V$2&amp;$R$1)</f>
        <v/>
      </c>
      <c r="W4" s="142" t="n">
        <v>34</v>
      </c>
      <c r="X4" s="142">
        <f>SUMIFS(領用表!$L:$L,領用表!$E:$E,$B4,領用表!$B:$B,X$2&amp;$R$1)</f>
        <v/>
      </c>
      <c r="Y4" s="142">
        <f>SUMIFS(領用表!$L:$L,領用表!$E:$E,$B4,領用表!$B:$B,Y$2&amp;$R$1)</f>
        <v/>
      </c>
      <c r="Z4" s="142">
        <f>SUMIFS(領用表!$L:$L,領用表!$E:$E,$B4,領用表!$B:$B,Z$2&amp;$R$1)</f>
        <v/>
      </c>
      <c r="AA4" s="142">
        <f>SUMIFS(領用表!$L:$L,領用表!$E:$E,$B4,領用表!$B:$B,AA$2&amp;$R$1)</f>
        <v/>
      </c>
      <c r="AB4" s="142">
        <f>SUMIFS(領用表!$L:$L,領用表!$E:$E,$B4,領用表!$B:$B,AB$2&amp;$R$1)</f>
        <v/>
      </c>
      <c r="AC4" s="142">
        <f>SUMIFS(領用表!$L:$L,領用表!$E:$E,$B4,領用表!$B:$B,AC$2&amp;$R$1)</f>
        <v/>
      </c>
      <c r="AD4" s="208">
        <f>SUM(R4,S4,T4,U4,V4,W4)</f>
        <v/>
      </c>
      <c r="AE4" s="208">
        <f>AVERAGE(R4,S4,T4,U4,V4,W4)</f>
        <v/>
      </c>
      <c r="AF4" s="142">
        <f>SUMIF(Summary!B:B,B4,Summary!EB:EB)</f>
        <v/>
      </c>
      <c r="AG4" s="100" t="n">
        <v>55</v>
      </c>
      <c r="AH4" s="24" t="n">
        <v>0</v>
      </c>
      <c r="AI4" s="25" t="inlineStr">
        <is>
          <t>40盒(10/21)</t>
        </is>
      </c>
      <c r="AJ4" s="25" t="inlineStr">
        <is>
          <t>10盒(10/21)</t>
        </is>
      </c>
      <c r="AK4" s="27" t="n"/>
      <c r="AL4" s="28" t="n"/>
      <c r="AM4" s="14" t="n"/>
      <c r="AN4" s="29" t="n"/>
    </row>
    <row r="5" ht="15.75" customHeight="1" s="453">
      <c r="A5" s="27" t="inlineStr">
        <is>
          <t>MP1MA020020A</t>
        </is>
      </c>
      <c r="B5" s="14" t="n">
        <v>6150002</v>
      </c>
      <c r="C5" s="118" t="inlineStr">
        <is>
          <t>喬雅登夢蓓菈玻尿酸植入物Volbella 1ml/ syringe(1支)</t>
        </is>
      </c>
      <c r="D5" s="16" t="n">
        <v>2</v>
      </c>
      <c r="E5" s="17" t="inlineStr">
        <is>
          <t>PCS</t>
        </is>
      </c>
      <c r="F5" s="18" t="n"/>
      <c r="G5" s="18" t="n">
        <v>22</v>
      </c>
      <c r="H5" s="21">
        <f>SUM(#REF!)</f>
        <v/>
      </c>
      <c r="I5" s="542">
        <f>H5/12</f>
        <v/>
      </c>
      <c r="J5" s="20">
        <f>SUMIFS(領用表!$L:$L,領用表!$E:$E,$B5,領用表!$B:$B,J$2&amp;$R$1)</f>
        <v/>
      </c>
      <c r="K5" s="20">
        <f>SUMIFS(領用表!$L:$L,領用表!$E:$E,$B5,領用表!$B:$B,K$2&amp;$R$1)</f>
        <v/>
      </c>
      <c r="L5" s="20">
        <f>SUMIFS(領用表!$L:$L,領用表!$E:$E,$B5,領用表!$B:$B,L$2&amp;$R$1)</f>
        <v/>
      </c>
      <c r="M5" s="142">
        <f>SUMIFS(領用表!$L:$L,領用表!$E:$E,$B5,領用表!$B:$B,M$2&amp;$R$1)</f>
        <v/>
      </c>
      <c r="N5" s="142">
        <f>SUMIFS(領用表!$L:$L,領用表!$E:$E,$B5,領用表!$B:$B,N$2&amp;$R$1)</f>
        <v/>
      </c>
      <c r="O5" s="142">
        <f>SUMIFS(領用表!$L:$L,領用表!$E:$E,$B5,領用表!$B:$B,O$2&amp;$R$1)</f>
        <v/>
      </c>
      <c r="P5" s="23">
        <f>SUM(,J5,K5,L5,M5,N5,O5)</f>
        <v/>
      </c>
      <c r="Q5" s="23">
        <f>AVERAGE(,J5,K5,L5,M5,N5,O5)</f>
        <v/>
      </c>
      <c r="R5" s="142">
        <f>SUMIFS(領用表!$L:$L,領用表!$E:$E,$B5,領用表!$B:$B,R$2&amp;$R$1)</f>
        <v/>
      </c>
      <c r="S5" s="142">
        <f>SUMIFS(領用表!$L:$L,領用表!$E:$E,$B5,領用表!$B:$B,S$2&amp;$R$1)</f>
        <v/>
      </c>
      <c r="T5" s="142">
        <f>SUMIFS(領用表!$L:$L,領用表!$E:$E,$B5,領用表!$B:$B,T$2&amp;$R$1)</f>
        <v/>
      </c>
      <c r="U5" s="142">
        <f>SUMIFS(領用表!$L:$L,領用表!$E:$E,$B5,領用表!$B:$B,U$2&amp;$R$1)</f>
        <v/>
      </c>
      <c r="V5" s="142">
        <f>SUMIFS(領用表!$L:$L,領用表!$E:$E,$B5,領用表!$B:$B,V$2&amp;$R$1)</f>
        <v/>
      </c>
      <c r="W5" s="142" t="n">
        <v>1</v>
      </c>
      <c r="X5" s="142">
        <f>SUMIFS(領用表!$L:$L,領用表!$E:$E,$B5,領用表!$B:$B,X$2&amp;$R$1)</f>
        <v/>
      </c>
      <c r="Y5" s="142">
        <f>SUMIFS(領用表!$L:$L,領用表!$E:$E,$B5,領用表!$B:$B,Y$2&amp;$R$1)</f>
        <v/>
      </c>
      <c r="Z5" s="142">
        <f>SUMIFS(領用表!$L:$L,領用表!$E:$E,$B5,領用表!$B:$B,Z$2&amp;$R$1)</f>
        <v/>
      </c>
      <c r="AA5" s="142">
        <f>SUMIFS(領用表!$L:$L,領用表!$E:$E,$B5,領用表!$B:$B,AA$2&amp;$R$1)</f>
        <v/>
      </c>
      <c r="AB5" s="142">
        <f>SUMIFS(領用表!$L:$L,領用表!$E:$E,$B5,領用表!$B:$B,AB$2&amp;$R$1)</f>
        <v/>
      </c>
      <c r="AC5" s="142">
        <f>SUMIFS(領用表!$L:$L,領用表!$E:$E,$B5,領用表!$B:$B,AC$2&amp;$R$1)</f>
        <v/>
      </c>
      <c r="AD5" s="142">
        <f>SUM(R5,S5,T5,U5,V5,W5)</f>
        <v/>
      </c>
      <c r="AE5" s="142">
        <f>AVERAGE(R5,S5,T5,U5,V5,W5)</f>
        <v/>
      </c>
      <c r="AF5" s="142">
        <f>SUMIF(Summary!B:B,B5,Summary!EB:EB)</f>
        <v/>
      </c>
      <c r="AG5" s="100" t="n">
        <v>8</v>
      </c>
      <c r="AH5" s="24" t="n">
        <v>0</v>
      </c>
      <c r="AI5" s="25" t="n"/>
      <c r="AJ5" s="25" t="inlineStr">
        <is>
          <t>10盒(10/21)</t>
        </is>
      </c>
      <c r="AK5" s="27" t="n"/>
      <c r="AL5" s="28" t="n"/>
      <c r="AM5" s="14" t="n"/>
      <c r="AN5" s="29" t="n"/>
    </row>
    <row r="6" ht="15.75" customHeight="1" s="453">
      <c r="A6" s="27" t="inlineStr">
        <is>
          <t>MP1MA020021A</t>
        </is>
      </c>
      <c r="B6" s="14" t="n">
        <v>6150003</v>
      </c>
      <c r="C6" s="118" t="inlineStr">
        <is>
          <t>喬雅登豐麗緹玻尿酸植入物Volift 1ml/ syringe(1支)</t>
        </is>
      </c>
      <c r="D6" s="16" t="n">
        <v>2</v>
      </c>
      <c r="E6" s="17" t="inlineStr">
        <is>
          <t>PCS</t>
        </is>
      </c>
      <c r="F6" s="18" t="n"/>
      <c r="G6" s="18" t="n">
        <v>4</v>
      </c>
      <c r="H6" s="21">
        <f>SUM(#REF!)</f>
        <v/>
      </c>
      <c r="I6" s="542">
        <f>H6/12</f>
        <v/>
      </c>
      <c r="J6" s="20">
        <f>SUMIFS(領用表!$L:$L,領用表!$E:$E,$B6,領用表!$B:$B,J$2&amp;$R$1)</f>
        <v/>
      </c>
      <c r="K6" s="20">
        <f>SUMIFS(領用表!$L:$L,領用表!$E:$E,$B6,領用表!$B:$B,K$2&amp;$R$1)</f>
        <v/>
      </c>
      <c r="L6" s="20">
        <f>SUMIFS(領用表!$L:$L,領用表!$E:$E,$B6,領用表!$B:$B,L$2&amp;$R$1)</f>
        <v/>
      </c>
      <c r="M6" s="142">
        <f>SUMIFS(領用表!$L:$L,領用表!$E:$E,$B6,領用表!$B:$B,M$2&amp;$R$1)</f>
        <v/>
      </c>
      <c r="N6" s="142">
        <f>SUMIFS(領用表!$L:$L,領用表!$E:$E,$B6,領用表!$B:$B,N$2&amp;$R$1)</f>
        <v/>
      </c>
      <c r="O6" s="142">
        <f>SUMIFS(領用表!$L:$L,領用表!$E:$E,$B6,領用表!$B:$B,O$2&amp;$R$1)</f>
        <v/>
      </c>
      <c r="P6" s="23">
        <f>SUM(,J6,K6,L6,M6,N6,O6)</f>
        <v/>
      </c>
      <c r="Q6" s="23">
        <f>AVERAGE(,J6,K6,L6,M6,N6,O6)</f>
        <v/>
      </c>
      <c r="R6" s="142">
        <f>SUMIFS(領用表!$L:$L,領用表!$E:$E,$B6,領用表!$B:$B,R$2&amp;$R$1)</f>
        <v/>
      </c>
      <c r="S6" s="142">
        <f>SUMIFS(領用表!$L:$L,領用表!$E:$E,$B6,領用表!$B:$B,S$2&amp;$R$1)</f>
        <v/>
      </c>
      <c r="T6" s="142">
        <f>SUMIFS(領用表!$L:$L,領用表!$E:$E,$B6,領用表!$B:$B,T$2&amp;$R$1)</f>
        <v/>
      </c>
      <c r="U6" s="142">
        <f>SUMIFS(領用表!$L:$L,領用表!$E:$E,$B6,領用表!$B:$B,U$2&amp;$R$1)</f>
        <v/>
      </c>
      <c r="V6" s="142">
        <f>SUMIFS(領用表!$L:$L,領用表!$E:$E,$B6,領用表!$B:$B,V$2&amp;$R$1)</f>
        <v/>
      </c>
      <c r="W6" s="142" t="n">
        <v>7</v>
      </c>
      <c r="X6" s="142">
        <f>SUMIFS(領用表!$L:$L,領用表!$E:$E,$B6,領用表!$B:$B,X$2&amp;$R$1)</f>
        <v/>
      </c>
      <c r="Y6" s="142">
        <f>SUMIFS(領用表!$L:$L,領用表!$E:$E,$B6,領用表!$B:$B,Y$2&amp;$R$1)</f>
        <v/>
      </c>
      <c r="Z6" s="142">
        <f>SUMIFS(領用表!$L:$L,領用表!$E:$E,$B6,領用表!$B:$B,Z$2&amp;$R$1)</f>
        <v/>
      </c>
      <c r="AA6" s="142">
        <f>SUMIFS(領用表!$L:$L,領用表!$E:$E,$B6,領用表!$B:$B,AA$2&amp;$R$1)</f>
        <v/>
      </c>
      <c r="AB6" s="142">
        <f>SUMIFS(領用表!$L:$L,領用表!$E:$E,$B6,領用表!$B:$B,AB$2&amp;$R$1)</f>
        <v/>
      </c>
      <c r="AC6" s="142">
        <f>SUMIFS(領用表!$L:$L,領用表!$E:$E,$B6,領用表!$B:$B,AC$2&amp;$R$1)</f>
        <v/>
      </c>
      <c r="AD6" s="142">
        <f>SUM(R6,S6,T6,U6,V6,W6)</f>
        <v/>
      </c>
      <c r="AE6" s="142">
        <f>AVERAGE(R6,S6,T6,U6,V6,W6)</f>
        <v/>
      </c>
      <c r="AF6" s="142">
        <f>SUMIF(Summary!B:B,B6,Summary!EB:EB)</f>
        <v/>
      </c>
      <c r="AG6" s="101" t="n">
        <v>3</v>
      </c>
      <c r="AH6" s="24" t="n">
        <v>0</v>
      </c>
      <c r="AI6" s="25" t="n"/>
      <c r="AJ6" s="25" t="n"/>
      <c r="AK6" s="27" t="n"/>
      <c r="AL6" s="28" t="n"/>
      <c r="AM6" s="14" t="n"/>
      <c r="AN6" s="29" t="n"/>
    </row>
    <row r="7" ht="15.75" customHeight="1" s="453">
      <c r="A7" s="27" t="inlineStr">
        <is>
          <t>MP1MA020022A</t>
        </is>
      </c>
      <c r="B7" s="14" t="n">
        <v>6150004</v>
      </c>
      <c r="C7" s="118" t="inlineStr">
        <is>
          <t>喬雅登豐塑玻尿酸植入物Volux 1ml/ syringe(1支)</t>
        </is>
      </c>
      <c r="D7" s="16" t="n">
        <v>2</v>
      </c>
      <c r="E7" s="17" t="inlineStr">
        <is>
          <t>PCS</t>
        </is>
      </c>
      <c r="F7" s="18" t="n"/>
      <c r="G7" s="18" t="n">
        <v>3</v>
      </c>
      <c r="H7" s="21">
        <f>SUM(#REF!)</f>
        <v/>
      </c>
      <c r="I7" s="542">
        <f>H7/12</f>
        <v/>
      </c>
      <c r="J7" s="20">
        <f>SUMIFS(領用表!$L:$L,領用表!$E:$E,$B7,領用表!$B:$B,J$2&amp;$R$1)</f>
        <v/>
      </c>
      <c r="K7" s="20">
        <f>SUMIFS(領用表!$L:$L,領用表!$E:$E,$B7,領用表!$B:$B,K$2&amp;$R$1)</f>
        <v/>
      </c>
      <c r="L7" s="20">
        <f>SUMIFS(領用表!$L:$L,領用表!$E:$E,$B7,領用表!$B:$B,L$2&amp;$R$1)</f>
        <v/>
      </c>
      <c r="M7" s="142">
        <f>SUMIFS(領用表!$L:$L,領用表!$E:$E,$B7,領用表!$B:$B,M$2&amp;$R$1)</f>
        <v/>
      </c>
      <c r="N7" s="142">
        <f>SUMIFS(領用表!$L:$L,領用表!$E:$E,$B7,領用表!$B:$B,N$2&amp;$R$1)</f>
        <v/>
      </c>
      <c r="O7" s="142">
        <f>SUMIFS(領用表!$L:$L,領用表!$E:$E,$B7,領用表!$B:$B,O$2&amp;$R$1)</f>
        <v/>
      </c>
      <c r="P7" s="23">
        <f>SUM(,J7,K7,L7,M7,N7,O7)</f>
        <v/>
      </c>
      <c r="Q7" s="23">
        <f>AVERAGE(,J7,K7,L7,M7,N7,O7)</f>
        <v/>
      </c>
      <c r="R7" s="142">
        <f>SUMIFS(領用表!$L:$L,領用表!$E:$E,$B7,領用表!$B:$B,R$2&amp;$R$1)</f>
        <v/>
      </c>
      <c r="S7" s="142">
        <f>SUMIFS(領用表!$L:$L,領用表!$E:$E,$B7,領用表!$B:$B,S$2&amp;$R$1)</f>
        <v/>
      </c>
      <c r="T7" s="142">
        <f>SUMIFS(領用表!$L:$L,領用表!$E:$E,$B7,領用表!$B:$B,T$2&amp;$R$1)</f>
        <v/>
      </c>
      <c r="U7" s="142">
        <f>SUMIFS(領用表!$L:$L,領用表!$E:$E,$B7,領用表!$B:$B,U$2&amp;$R$1)</f>
        <v/>
      </c>
      <c r="V7" s="142">
        <f>SUMIFS(領用表!$L:$L,領用表!$E:$E,$B7,領用表!$B:$B,V$2&amp;$R$1)</f>
        <v/>
      </c>
      <c r="W7" s="142" t="n">
        <v>3</v>
      </c>
      <c r="X7" s="142">
        <f>SUMIFS(領用表!$L:$L,領用表!$E:$E,$B7,領用表!$B:$B,X$2&amp;$R$1)</f>
        <v/>
      </c>
      <c r="Y7" s="142">
        <f>SUMIFS(領用表!$L:$L,領用表!$E:$E,$B7,領用表!$B:$B,Y$2&amp;$R$1)</f>
        <v/>
      </c>
      <c r="Z7" s="142">
        <f>SUMIFS(領用表!$L:$L,領用表!$E:$E,$B7,領用表!$B:$B,Z$2&amp;$R$1)</f>
        <v/>
      </c>
      <c r="AA7" s="142">
        <f>SUMIFS(領用表!$L:$L,領用表!$E:$E,$B7,領用表!$B:$B,AA$2&amp;$R$1)</f>
        <v/>
      </c>
      <c r="AB7" s="142">
        <f>SUMIFS(領用表!$L:$L,領用表!$E:$E,$B7,領用表!$B:$B,AB$2&amp;$R$1)</f>
        <v/>
      </c>
      <c r="AC7" s="142">
        <f>SUMIFS(領用表!$L:$L,領用表!$E:$E,$B7,領用表!$B:$B,AC$2&amp;$R$1)</f>
        <v/>
      </c>
      <c r="AD7" s="142">
        <f>SUM(R7,S7,T7,U7,V7,W7)</f>
        <v/>
      </c>
      <c r="AE7" s="142">
        <f>AVERAGE(R7,S7,T7,U7,V7,W7)</f>
        <v/>
      </c>
      <c r="AF7" s="142">
        <f>SUMIF(Summary!B:B,B7,Summary!EB:EB)</f>
        <v/>
      </c>
      <c r="AG7" s="101" t="n">
        <v>20</v>
      </c>
      <c r="AH7" s="24" t="n">
        <v>0</v>
      </c>
      <c r="AI7" s="25" t="n"/>
      <c r="AJ7" s="25" t="inlineStr">
        <is>
          <t>15盒(10/21)</t>
        </is>
      </c>
      <c r="AK7" s="27" t="n"/>
      <c r="AL7" s="28" t="n"/>
      <c r="AM7" s="14" t="n"/>
      <c r="AN7" s="29" t="n"/>
    </row>
    <row r="8" ht="15.75" customHeight="1" s="453">
      <c r="A8" s="27" t="inlineStr">
        <is>
          <t>MP1MA020023A</t>
        </is>
      </c>
      <c r="B8" s="14" t="n">
        <v>6150005</v>
      </c>
      <c r="C8" s="118" t="inlineStr">
        <is>
          <t>喬雅登芙潤玻尿酸植入物Volite 1ml/ Syringe(1支)</t>
        </is>
      </c>
      <c r="D8" s="16" t="n">
        <v>2</v>
      </c>
      <c r="E8" s="17" t="inlineStr">
        <is>
          <t>PCS</t>
        </is>
      </c>
      <c r="F8" s="18" t="n"/>
      <c r="G8" s="18" t="n"/>
      <c r="H8" s="21">
        <f>SUM(#REF!)</f>
        <v/>
      </c>
      <c r="I8" s="542">
        <f>H8/12</f>
        <v/>
      </c>
      <c r="J8" s="20">
        <f>SUMIFS(領用表!$L:$L,領用表!$E:$E,$B8,領用表!$B:$B,J$2&amp;$R$1)</f>
        <v/>
      </c>
      <c r="K8" s="20">
        <f>SUMIFS(領用表!$L:$L,領用表!$E:$E,$B8,領用表!$B:$B,K$2&amp;$R$1)</f>
        <v/>
      </c>
      <c r="L8" s="20">
        <f>SUMIFS(領用表!$L:$L,領用表!$E:$E,$B8,領用表!$B:$B,L$2&amp;$R$1)</f>
        <v/>
      </c>
      <c r="M8" s="142">
        <f>SUMIFS(領用表!$L:$L,領用表!$E:$E,$B8,領用表!$B:$B,M$2&amp;$R$1)</f>
        <v/>
      </c>
      <c r="N8" s="142">
        <f>SUMIFS(領用表!$L:$L,領用表!$E:$E,$B8,領用表!$B:$B,N$2&amp;$R$1)</f>
        <v/>
      </c>
      <c r="O8" s="142">
        <f>SUMIFS(領用表!$L:$L,領用表!$E:$E,$B8,領用表!$B:$B,O$2&amp;$R$1)</f>
        <v/>
      </c>
      <c r="P8" s="23">
        <f>SUM(,J8,K8,L8,M8,N8,O8)</f>
        <v/>
      </c>
      <c r="Q8" s="23">
        <f>AVERAGE(,J8,K8,L8,M8,N8,O8)</f>
        <v/>
      </c>
      <c r="R8" s="142">
        <f>SUMIFS(領用表!$L:$L,領用表!$E:$E,$B8,領用表!$B:$B,R$2&amp;$R$1)</f>
        <v/>
      </c>
      <c r="S8" s="142">
        <f>SUMIFS(領用表!$L:$L,領用表!$E:$E,$B8,領用表!$B:$B,S$2&amp;$R$1)</f>
        <v/>
      </c>
      <c r="T8" s="142">
        <f>SUMIFS(領用表!$L:$L,領用表!$E:$E,$B8,領用表!$B:$B,T$2&amp;$R$1)</f>
        <v/>
      </c>
      <c r="U8" s="142">
        <f>SUMIFS(領用表!$L:$L,領用表!$E:$E,$B8,領用表!$B:$B,U$2&amp;$R$1)</f>
        <v/>
      </c>
      <c r="V8" s="142">
        <f>SUMIFS(領用表!$L:$L,領用表!$E:$E,$B8,領用表!$B:$B,V$2&amp;$R$1)</f>
        <v/>
      </c>
      <c r="W8" s="142" t="n"/>
      <c r="X8" s="142">
        <f>SUMIFS(領用表!$L:$L,領用表!$E:$E,$B8,領用表!$B:$B,X$2&amp;$R$1)</f>
        <v/>
      </c>
      <c r="Y8" s="142">
        <f>SUMIFS(領用表!$L:$L,領用表!$E:$E,$B8,領用表!$B:$B,Y$2&amp;$R$1)</f>
        <v/>
      </c>
      <c r="Z8" s="142">
        <f>SUMIFS(領用表!$L:$L,領用表!$E:$E,$B8,領用表!$B:$B,Z$2&amp;$R$1)</f>
        <v/>
      </c>
      <c r="AA8" s="142">
        <f>SUMIFS(領用表!$L:$L,領用表!$E:$E,$B8,領用表!$B:$B,AA$2&amp;$R$1)</f>
        <v/>
      </c>
      <c r="AB8" s="142">
        <f>SUMIFS(領用表!$L:$L,領用表!$E:$E,$B8,領用表!$B:$B,AB$2&amp;$R$1)</f>
        <v/>
      </c>
      <c r="AC8" s="142">
        <f>SUMIFS(領用表!$L:$L,領用表!$E:$E,$B8,領用表!$B:$B,AC$2&amp;$R$1)</f>
        <v/>
      </c>
      <c r="AD8" s="142">
        <f>SUM(R8,S8,T8,U8,V8,W8)</f>
        <v/>
      </c>
      <c r="AE8" s="142">
        <f>AVERAGE(R8,S8,T8,U8,V8,W8)</f>
        <v/>
      </c>
      <c r="AF8" s="142">
        <f>SUMIF(Summary!B:B,B8,Summary!EB:EB)</f>
        <v/>
      </c>
      <c r="AG8" s="101" t="n"/>
      <c r="AH8" s="24" t="n">
        <v>0</v>
      </c>
      <c r="AI8" s="25" t="n"/>
      <c r="AJ8" s="25" t="n"/>
      <c r="AK8" s="27" t="n"/>
      <c r="AL8" s="28" t="n"/>
      <c r="AM8" s="14" t="n"/>
      <c r="AN8" s="29" t="n"/>
    </row>
    <row r="9" ht="15.75" customHeight="1" s="453">
      <c r="A9" s="27" t="n"/>
      <c r="B9" s="118" t="n">
        <v>6150015</v>
      </c>
      <c r="C9" s="118" t="inlineStr">
        <is>
          <t>喬雅登絲漾膚玻尿酸植入物Skinvive 1ml/支</t>
        </is>
      </c>
      <c r="D9" s="16" t="n">
        <v>2</v>
      </c>
      <c r="E9" s="17" t="inlineStr">
        <is>
          <t>PCS</t>
        </is>
      </c>
      <c r="F9" s="18" t="n"/>
      <c r="G9" s="18" t="n">
        <v>5</v>
      </c>
      <c r="H9" s="21" t="n"/>
      <c r="I9" s="542" t="n"/>
      <c r="J9" s="20" t="n"/>
      <c r="K9" s="20" t="n"/>
      <c r="L9" s="20" t="n"/>
      <c r="M9" s="142" t="n"/>
      <c r="N9" s="142" t="n"/>
      <c r="O9" s="142" t="n"/>
      <c r="P9" s="23" t="n"/>
      <c r="Q9" s="23" t="n"/>
      <c r="R9" s="142">
        <f>SUMIFS(領用表!$L:$L,領用表!$E:$E,$B9,領用表!$B:$B,R$2&amp;$R$1)</f>
        <v/>
      </c>
      <c r="S9" s="142">
        <f>SUMIFS(領用表!$L:$L,領用表!$E:$E,$B9,領用表!$B:$B,S$2&amp;$R$1)</f>
        <v/>
      </c>
      <c r="T9" s="142">
        <f>SUMIFS(領用表!$L:$L,領用表!$E:$E,$B9,領用表!$B:$B,T$2&amp;$R$1)</f>
        <v/>
      </c>
      <c r="U9" s="142">
        <f>SUMIFS(領用表!$L:$L,領用表!$E:$E,$B9,領用表!$B:$B,U$2&amp;$R$1)</f>
        <v/>
      </c>
      <c r="V9" s="142">
        <f>SUMIFS(領用表!$L:$L,領用表!$E:$E,$B9,領用表!$B:$B,V$2&amp;$R$1)</f>
        <v/>
      </c>
      <c r="W9" s="142" t="n">
        <v>1</v>
      </c>
      <c r="X9" s="142">
        <f>SUMIFS(領用表!$L:$L,領用表!$E:$E,$B9,領用表!$B:$B,X$2&amp;$R$1)</f>
        <v/>
      </c>
      <c r="Y9" s="142">
        <f>SUMIFS(領用表!$L:$L,領用表!$E:$E,$B9,領用表!$B:$B,Y$2&amp;$R$1)</f>
        <v/>
      </c>
      <c r="Z9" s="142">
        <f>SUMIFS(領用表!$L:$L,領用表!$E:$E,$B9,領用表!$B:$B,Z$2&amp;$R$1)</f>
        <v/>
      </c>
      <c r="AA9" s="142">
        <f>SUMIFS(領用表!$L:$L,領用表!$E:$E,$B9,領用表!$B:$B,AA$2&amp;$R$1)</f>
        <v/>
      </c>
      <c r="AB9" s="142">
        <f>SUMIFS(領用表!$L:$L,領用表!$E:$E,$B9,領用表!$B:$B,AB$2&amp;$R$1)</f>
        <v/>
      </c>
      <c r="AC9" s="142">
        <f>SUMIFS(領用表!$L:$L,領用表!$E:$E,$B9,領用表!$B:$B,AC$2&amp;$R$1)</f>
        <v/>
      </c>
      <c r="AD9" s="142">
        <f>SUM(R9,S9,T9,U9,V9,W9)</f>
        <v/>
      </c>
      <c r="AE9" s="142">
        <f>AVERAGE(R9,S9,T9,U9,V9,W9)</f>
        <v/>
      </c>
      <c r="AF9" s="142">
        <f>SUMIF(Summary!B:B,B9,Summary!EB:EB)</f>
        <v/>
      </c>
      <c r="AG9" s="101" t="n"/>
      <c r="AH9" s="477" t="n"/>
      <c r="AI9" s="25" t="n"/>
      <c r="AJ9" s="25" t="n"/>
      <c r="AK9" s="27" t="n"/>
      <c r="AL9" s="28" t="n"/>
      <c r="AM9" s="14" t="n"/>
      <c r="AN9" s="29" t="n"/>
    </row>
    <row r="10" ht="15.75" customHeight="1" s="453">
      <c r="A10" s="27" t="n"/>
      <c r="B10" s="118" t="n">
        <v>6150016</v>
      </c>
      <c r="C10" s="432" t="inlineStr">
        <is>
          <t>彈力針(1支/盒)</t>
        </is>
      </c>
      <c r="D10" s="16" t="n">
        <v>1</v>
      </c>
      <c r="E10" s="17" t="inlineStr">
        <is>
          <t>PCS</t>
        </is>
      </c>
      <c r="F10" s="18" t="n"/>
      <c r="G10" s="18" t="n">
        <v>14</v>
      </c>
      <c r="H10" s="21" t="n"/>
      <c r="I10" s="542" t="n"/>
      <c r="J10" s="20" t="n"/>
      <c r="K10" s="20" t="n"/>
      <c r="L10" s="20" t="n"/>
      <c r="M10" s="142" t="n"/>
      <c r="N10" s="142" t="n"/>
      <c r="O10" s="142" t="n"/>
      <c r="P10" s="23" t="n"/>
      <c r="Q10" s="23" t="n"/>
      <c r="R10" s="142" t="n"/>
      <c r="S10" s="142" t="n"/>
      <c r="T10" s="142" t="n"/>
      <c r="U10" s="142" t="n"/>
      <c r="V10" s="142">
        <f>SUMIFS(領用表!$L:$L,領用表!$E:$E,$B10,領用表!$B:$B,V$2&amp;$R$1)</f>
        <v/>
      </c>
      <c r="W10" s="142" t="n"/>
      <c r="X10" s="142">
        <f>SUMIFS(領用表!$L:$L,領用表!$E:$E,$B10,領用表!$B:$B,X$2&amp;$R$1)</f>
        <v/>
      </c>
      <c r="Y10" s="142">
        <f>SUMIFS(領用表!$L:$L,領用表!$E:$E,$B10,領用表!$B:$B,Y$2&amp;$R$1)</f>
        <v/>
      </c>
      <c r="Z10" s="142">
        <f>SUMIFS(領用表!$L:$L,領用表!$E:$E,$B10,領用表!$B:$B,Z$2&amp;$R$1)</f>
        <v/>
      </c>
      <c r="AA10" s="142">
        <f>SUMIFS(領用表!$L:$L,領用表!$E:$E,$B10,領用表!$B:$B,AA$2&amp;$R$1)</f>
        <v/>
      </c>
      <c r="AB10" s="142">
        <f>SUMIFS(領用表!$L:$L,領用表!$E:$E,$B10,領用表!$B:$B,AB$2&amp;$R$1)</f>
        <v/>
      </c>
      <c r="AC10" s="142">
        <f>SUMIFS(領用表!$L:$L,領用表!$E:$E,$B10,領用表!$B:$B,AC$2&amp;$R$1)</f>
        <v/>
      </c>
      <c r="AD10" s="142">
        <f>SUM(R10,S10,T10,U10,V10,W10)</f>
        <v/>
      </c>
      <c r="AE10" s="142">
        <f>AVERAGE(R10,S10,T10,U10,V10,W10)</f>
        <v/>
      </c>
      <c r="AF10" s="142">
        <f>SUMIF(Summary!B:B,B10,Summary!EB:EB)</f>
        <v/>
      </c>
      <c r="AG10" s="101" t="n"/>
      <c r="AH10" s="477" t="n"/>
      <c r="AI10" s="25" t="n"/>
      <c r="AJ10" s="25" t="n"/>
      <c r="AK10" s="27" t="n"/>
      <c r="AL10" s="28" t="n"/>
      <c r="AM10" s="14" t="n"/>
      <c r="AN10" s="29" t="n"/>
    </row>
    <row r="11" ht="15.75" customHeight="1" s="453">
      <c r="A11" s="27" t="inlineStr">
        <is>
          <t>MP1MA010011A</t>
        </is>
      </c>
      <c r="B11" s="14" t="n">
        <v>6180015</v>
      </c>
      <c r="C11" s="118" t="inlineStr">
        <is>
          <t>MINT秘特拉提線EASY 42.4CM(1支)</t>
        </is>
      </c>
      <c r="D11" s="16" t="n">
        <v>2</v>
      </c>
      <c r="E11" s="17" t="inlineStr">
        <is>
          <t>PCS</t>
        </is>
      </c>
      <c r="F11" s="18" t="n"/>
      <c r="G11" s="18" t="n">
        <v>2</v>
      </c>
      <c r="H11" s="21">
        <f>SUM(#REF!)</f>
        <v/>
      </c>
      <c r="I11" s="542">
        <f>H11/12</f>
        <v/>
      </c>
      <c r="J11" s="20">
        <f>SUMIFS(領用表!$L:$L,領用表!$E:$E,$B11,領用表!$B:$B,J$2&amp;$R$1)</f>
        <v/>
      </c>
      <c r="K11" s="20">
        <f>SUMIFS(領用表!$L:$L,領用表!$E:$E,$B11,領用表!$B:$B,K$2&amp;$R$1)</f>
        <v/>
      </c>
      <c r="L11" s="20">
        <f>SUMIFS(領用表!$L:$L,領用表!$E:$E,$B11,領用表!$B:$B,L$2&amp;$R$1)</f>
        <v/>
      </c>
      <c r="M11" s="142">
        <f>SUMIFS(領用表!$L:$L,領用表!$E:$E,$B11,領用表!$B:$B,M$2&amp;$R$1)</f>
        <v/>
      </c>
      <c r="N11" s="142">
        <f>SUMIFS(領用表!$L:$L,領用表!$E:$E,$B11,領用表!$B:$B,N$2&amp;$R$1)</f>
        <v/>
      </c>
      <c r="O11" s="142">
        <f>SUMIFS(領用表!$L:$L,領用表!$E:$E,$B11,領用表!$B:$B,O$2&amp;$R$1)</f>
        <v/>
      </c>
      <c r="P11" s="23">
        <f>SUM(,J11,K11,L11,M11,N11,O11)</f>
        <v/>
      </c>
      <c r="Q11" s="23">
        <f>AVERAGE(,J11,K11,L11,M11,N11,O11)</f>
        <v/>
      </c>
      <c r="R11" s="142">
        <f>SUMIFS(領用表!$L:$L,領用表!$E:$E,$B11,領用表!$B:$B,R$2&amp;$R$1)</f>
        <v/>
      </c>
      <c r="S11" s="142">
        <f>SUMIFS(領用表!$L:$L,領用表!$E:$E,$B11,領用表!$B:$B,S$2&amp;$R$1)</f>
        <v/>
      </c>
      <c r="T11" s="142">
        <f>SUMIFS(領用表!$L:$L,領用表!$E:$E,$B11,領用表!$B:$B,T$2&amp;$R$1)</f>
        <v/>
      </c>
      <c r="U11" s="142">
        <f>SUMIFS(領用表!$L:$L,領用表!$E:$E,$B11,領用表!$B:$B,U$2&amp;$R$1)</f>
        <v/>
      </c>
      <c r="V11" s="142">
        <f>SUMIFS(領用表!$L:$L,領用表!$E:$E,$B11,領用表!$B:$B,V$2&amp;$R$1)</f>
        <v/>
      </c>
      <c r="W11" s="142" t="n"/>
      <c r="X11" s="142">
        <f>SUMIFS(領用表!$L:$L,領用表!$E:$E,$B11,領用表!$B:$B,X$2&amp;$R$1)</f>
        <v/>
      </c>
      <c r="Y11" s="142">
        <f>SUMIFS(領用表!$L:$L,領用表!$E:$E,$B11,領用表!$B:$B,Y$2&amp;$R$1)</f>
        <v/>
      </c>
      <c r="Z11" s="142">
        <f>SUMIFS(領用表!$L:$L,領用表!$E:$E,$B11,領用表!$B:$B,Z$2&amp;$R$1)</f>
        <v/>
      </c>
      <c r="AA11" s="142">
        <f>SUMIFS(領用表!$L:$L,領用表!$E:$E,$B11,領用表!$B:$B,AA$2&amp;$R$1)</f>
        <v/>
      </c>
      <c r="AB11" s="142">
        <f>SUMIFS(領用表!$L:$L,領用表!$E:$E,$B11,領用表!$B:$B,AB$2&amp;$R$1)</f>
        <v/>
      </c>
      <c r="AC11" s="142">
        <f>SUMIFS(領用表!$L:$L,領用表!$E:$E,$B11,領用表!$B:$B,AC$2&amp;$R$1)</f>
        <v/>
      </c>
      <c r="AD11" s="142">
        <f>SUM(R11,S11,T11,U11,V11,W11)</f>
        <v/>
      </c>
      <c r="AE11" s="142">
        <f>AVERAGE(R11,S11,T11,U11,V11,W11)</f>
        <v/>
      </c>
      <c r="AF11" s="142">
        <f>SUMIF(Summary!B:B,B11,Summary!EB:EB)</f>
        <v/>
      </c>
      <c r="AG11" s="101" t="n">
        <v>0</v>
      </c>
      <c r="AH11" s="36" t="n"/>
      <c r="AI11" s="25" t="n"/>
      <c r="AJ11" s="25" t="n"/>
      <c r="AK11" s="27" t="n"/>
      <c r="AL11" s="28" t="n"/>
      <c r="AM11" s="14" t="n"/>
      <c r="AN11" s="29" t="n"/>
    </row>
    <row r="12" ht="15.75" customHeight="1" s="453">
      <c r="A12" s="27" t="inlineStr">
        <is>
          <t>MP1MA010012A</t>
        </is>
      </c>
      <c r="B12" s="14" t="n">
        <v>6180005</v>
      </c>
      <c r="C12" s="118" t="inlineStr">
        <is>
          <t>MINT秘特拉提線FINE 18CM(1支)</t>
        </is>
      </c>
      <c r="D12" s="16" t="n">
        <v>20</v>
      </c>
      <c r="E12" s="17" t="inlineStr">
        <is>
          <t>PCS</t>
        </is>
      </c>
      <c r="F12" s="18" t="n"/>
      <c r="G12" s="18" t="n">
        <v>28</v>
      </c>
      <c r="H12" s="21">
        <f>SUM(#REF!)</f>
        <v/>
      </c>
      <c r="I12" s="542">
        <f>H12/12</f>
        <v/>
      </c>
      <c r="J12" s="20">
        <f>SUMIFS(領用表!$L:$L,領用表!$E:$E,$B12,領用表!$B:$B,J$2&amp;$R$1)</f>
        <v/>
      </c>
      <c r="K12" s="20">
        <f>SUMIFS(領用表!$L:$L,領用表!$E:$E,$B12,領用表!$B:$B,K$2&amp;$R$1)</f>
        <v/>
      </c>
      <c r="L12" s="20">
        <f>SUMIFS(領用表!$L:$L,領用表!$E:$E,$B12,領用表!$B:$B,L$2&amp;$R$1)</f>
        <v/>
      </c>
      <c r="M12" s="142">
        <f>SUMIFS(領用表!$L:$L,領用表!$E:$E,$B12,領用表!$B:$B,M$2&amp;$R$1)</f>
        <v/>
      </c>
      <c r="N12" s="142">
        <f>SUMIFS(領用表!$L:$L,領用表!$E:$E,$B12,領用表!$B:$B,N$2&amp;$R$1)</f>
        <v/>
      </c>
      <c r="O12" s="142">
        <f>SUMIFS(領用表!$L:$L,領用表!$E:$E,$B12,領用表!$B:$B,O$2&amp;$R$1)</f>
        <v/>
      </c>
      <c r="P12" s="23">
        <f>SUM(,J12,K12,L12,M12,N12,O12)</f>
        <v/>
      </c>
      <c r="Q12" s="23">
        <f>AVERAGE(,J12,K12,L12,M12,N12,O12)</f>
        <v/>
      </c>
      <c r="R12" s="142">
        <f>SUMIFS(領用表!$L:$L,領用表!$E:$E,$B12,領用表!$B:$B,R$2&amp;$R$1)</f>
        <v/>
      </c>
      <c r="S12" s="142">
        <f>SUMIFS(領用表!$L:$L,領用表!$E:$E,$B12,領用表!$B:$B,S$2&amp;$R$1)</f>
        <v/>
      </c>
      <c r="T12" s="142">
        <f>SUMIFS(領用表!$L:$L,領用表!$E:$E,$B12,領用表!$B:$B,T$2&amp;$R$1)</f>
        <v/>
      </c>
      <c r="U12" s="142">
        <f>SUMIFS(領用表!$L:$L,領用表!$E:$E,$B12,領用表!$B:$B,U$2&amp;$R$1)</f>
        <v/>
      </c>
      <c r="V12" s="142">
        <f>SUMIFS(領用表!$L:$L,領用表!$E:$E,$B12,領用表!$B:$B,V$2&amp;$R$1)</f>
        <v/>
      </c>
      <c r="W12" s="142" t="n"/>
      <c r="X12" s="142">
        <f>SUMIFS(領用表!$L:$L,領用表!$E:$E,$B12,領用表!$B:$B,X$2&amp;$R$1)</f>
        <v/>
      </c>
      <c r="Y12" s="142">
        <f>SUMIFS(領用表!$L:$L,領用表!$E:$E,$B12,領用表!$B:$B,Y$2&amp;$R$1)</f>
        <v/>
      </c>
      <c r="Z12" s="142">
        <f>SUMIFS(領用表!$L:$L,領用表!$E:$E,$B12,領用表!$B:$B,Z$2&amp;$R$1)</f>
        <v/>
      </c>
      <c r="AA12" s="142">
        <f>SUMIFS(領用表!$L:$L,領用表!$E:$E,$B12,領用表!$B:$B,AA$2&amp;$R$1)</f>
        <v/>
      </c>
      <c r="AB12" s="142">
        <f>SUMIFS(領用表!$L:$L,領用表!$E:$E,$B12,領用表!$B:$B,AB$2&amp;$R$1)</f>
        <v/>
      </c>
      <c r="AC12" s="142">
        <f>SUMIFS(領用表!$L:$L,領用表!$E:$E,$B12,領用表!$B:$B,AC$2&amp;$R$1)</f>
        <v/>
      </c>
      <c r="AD12" s="142">
        <f>SUM(R12,S12,T12,U12,V12,W12)</f>
        <v/>
      </c>
      <c r="AE12" s="142">
        <f>AVERAGE(R12,S12,T12,U12,V12,W12)</f>
        <v/>
      </c>
      <c r="AF12" s="142">
        <f>SUMIF(Summary!B:B,B12,Summary!EB:EB)</f>
        <v/>
      </c>
      <c r="AG12" s="101" t="n">
        <v>0</v>
      </c>
      <c r="AH12" s="514" t="n"/>
      <c r="AI12" s="25" t="n"/>
      <c r="AJ12" s="25" t="n"/>
      <c r="AK12" s="27" t="n"/>
      <c r="AL12" s="28" t="n"/>
      <c r="AM12" s="14" t="n"/>
      <c r="AN12" s="29" t="n"/>
    </row>
    <row r="13" ht="15.75" customHeight="1" s="453">
      <c r="A13" s="27" t="inlineStr">
        <is>
          <t>MP1MA010013A</t>
        </is>
      </c>
      <c r="B13" s="14" t="n">
        <v>6180013</v>
      </c>
      <c r="C13" s="118" t="inlineStr">
        <is>
          <t>MINT秘特拉提線FIX 18CM(1支)</t>
        </is>
      </c>
      <c r="D13" s="16" t="n">
        <v>20</v>
      </c>
      <c r="E13" s="17" t="inlineStr">
        <is>
          <t>PCS</t>
        </is>
      </c>
      <c r="F13" s="18" t="n"/>
      <c r="G13" s="18" t="n">
        <v>12</v>
      </c>
      <c r="H13" s="21">
        <f>SUM(#REF!)</f>
        <v/>
      </c>
      <c r="I13" s="542">
        <f>H13/12</f>
        <v/>
      </c>
      <c r="J13" s="20">
        <f>SUMIFS(領用表!$L:$L,領用表!$E:$E,$B13,領用表!$B:$B,J$2&amp;$R$1)</f>
        <v/>
      </c>
      <c r="K13" s="20">
        <f>SUMIFS(領用表!$L:$L,領用表!$E:$E,$B13,領用表!$B:$B,K$2&amp;$R$1)</f>
        <v/>
      </c>
      <c r="L13" s="20">
        <f>SUMIFS(領用表!$L:$L,領用表!$E:$E,$B13,領用表!$B:$B,L$2&amp;$R$1)</f>
        <v/>
      </c>
      <c r="M13" s="142">
        <f>SUMIFS(領用表!$L:$L,領用表!$E:$E,$B13,領用表!$B:$B,M$2&amp;$R$1)</f>
        <v/>
      </c>
      <c r="N13" s="142">
        <f>SUMIFS(領用表!$L:$L,領用表!$E:$E,$B13,領用表!$B:$B,N$2&amp;$R$1)</f>
        <v/>
      </c>
      <c r="O13" s="142">
        <f>SUMIFS(領用表!$L:$L,領用表!$E:$E,$B13,領用表!$B:$B,O$2&amp;$R$1)</f>
        <v/>
      </c>
      <c r="P13" s="23">
        <f>SUM(,J13,K13,L13,M13,N13,O13)</f>
        <v/>
      </c>
      <c r="Q13" s="23">
        <f>AVERAGE(,J13,K13,L13,M13,N13,O13)</f>
        <v/>
      </c>
      <c r="R13" s="142">
        <f>SUMIFS(領用表!$L:$L,領用表!$E:$E,$B13,領用表!$B:$B,R$2&amp;$R$1)</f>
        <v/>
      </c>
      <c r="S13" s="142">
        <f>SUMIFS(領用表!$L:$L,領用表!$E:$E,$B13,領用表!$B:$B,S$2&amp;$R$1)</f>
        <v/>
      </c>
      <c r="T13" s="142">
        <f>SUMIFS(領用表!$L:$L,領用表!$E:$E,$B13,領用表!$B:$B,T$2&amp;$R$1)</f>
        <v/>
      </c>
      <c r="U13" s="142">
        <f>SUMIFS(領用表!$L:$L,領用表!$E:$E,$B13,領用表!$B:$B,U$2&amp;$R$1)</f>
        <v/>
      </c>
      <c r="V13" s="142">
        <f>SUMIFS(領用表!$L:$L,領用表!$E:$E,$B13,領用表!$B:$B,V$2&amp;$R$1)</f>
        <v/>
      </c>
      <c r="W13" s="142" t="n"/>
      <c r="X13" s="142">
        <f>SUMIFS(領用表!$L:$L,領用表!$E:$E,$B13,領用表!$B:$B,X$2&amp;$R$1)</f>
        <v/>
      </c>
      <c r="Y13" s="142">
        <f>SUMIFS(領用表!$L:$L,領用表!$E:$E,$B13,領用表!$B:$B,Y$2&amp;$R$1)</f>
        <v/>
      </c>
      <c r="Z13" s="142">
        <f>SUMIFS(領用表!$L:$L,領用表!$E:$E,$B13,領用表!$B:$B,Z$2&amp;$R$1)</f>
        <v/>
      </c>
      <c r="AA13" s="142">
        <f>SUMIFS(領用表!$L:$L,領用表!$E:$E,$B13,領用表!$B:$B,AA$2&amp;$R$1)</f>
        <v/>
      </c>
      <c r="AB13" s="142">
        <f>SUMIFS(領用表!$L:$L,領用表!$E:$E,$B13,領用表!$B:$B,AB$2&amp;$R$1)</f>
        <v/>
      </c>
      <c r="AC13" s="142">
        <f>SUMIFS(領用表!$L:$L,領用表!$E:$E,$B13,領用表!$B:$B,AC$2&amp;$R$1)</f>
        <v/>
      </c>
      <c r="AD13" s="142">
        <f>SUM(R13,S13,T13,U13,V13,W13)</f>
        <v/>
      </c>
      <c r="AE13" s="142">
        <f>AVERAGE(R13,S13,T13,U13,V13,W13)</f>
        <v/>
      </c>
      <c r="AF13" s="142">
        <f>SUMIF(Summary!B:B,B13,Summary!EB:EB)</f>
        <v/>
      </c>
      <c r="AG13" s="101" t="n">
        <v>5</v>
      </c>
      <c r="AH13" s="514" t="n"/>
      <c r="AI13" s="25" t="n"/>
      <c r="AJ13" s="25" t="n"/>
      <c r="AK13" s="27" t="n"/>
      <c r="AL13" s="28" t="n"/>
      <c r="AM13" s="14" t="n"/>
      <c r="AN13" s="29" t="n"/>
    </row>
    <row r="14" ht="15.75" customHeight="1" s="453">
      <c r="A14" s="27" t="inlineStr">
        <is>
          <t>MP1MA010014A</t>
        </is>
      </c>
      <c r="B14" s="14" t="n">
        <v>6180007</v>
      </c>
      <c r="C14" s="118" t="inlineStr">
        <is>
          <t>MINT秘特拉提線PETIT 15CM(1支)</t>
        </is>
      </c>
      <c r="D14" s="16" t="n">
        <v>20</v>
      </c>
      <c r="E14" s="17" t="inlineStr">
        <is>
          <t>PCS</t>
        </is>
      </c>
      <c r="F14" s="18" t="n"/>
      <c r="G14" s="18" t="n">
        <v>16</v>
      </c>
      <c r="H14" s="21">
        <f>SUM(#REF!)</f>
        <v/>
      </c>
      <c r="I14" s="542">
        <f>H14/12</f>
        <v/>
      </c>
      <c r="J14" s="20">
        <f>SUMIFS(領用表!$L:$L,領用表!$E:$E,$B14,領用表!$B:$B,J$2&amp;$R$1)</f>
        <v/>
      </c>
      <c r="K14" s="20">
        <f>SUMIFS(領用表!$L:$L,領用表!$E:$E,$B14,領用表!$B:$B,K$2&amp;$R$1)</f>
        <v/>
      </c>
      <c r="L14" s="20">
        <f>SUMIFS(領用表!$L:$L,領用表!$E:$E,$B14,領用表!$B:$B,L$2&amp;$R$1)</f>
        <v/>
      </c>
      <c r="M14" s="142">
        <f>SUMIFS(領用表!$L:$L,領用表!$E:$E,$B14,領用表!$B:$B,M$2&amp;$R$1)</f>
        <v/>
      </c>
      <c r="N14" s="142">
        <f>SUMIFS(領用表!$L:$L,領用表!$E:$E,$B14,領用表!$B:$B,N$2&amp;$R$1)</f>
        <v/>
      </c>
      <c r="O14" s="142">
        <f>SUMIFS(領用表!$L:$L,領用表!$E:$E,$B14,領用表!$B:$B,O$2&amp;$R$1)</f>
        <v/>
      </c>
      <c r="P14" s="23">
        <f>SUM(,J14,K14,L14,M14,N14,O14)</f>
        <v/>
      </c>
      <c r="Q14" s="23">
        <f>AVERAGE(,J14,K14,L14,M14,N14,O14)</f>
        <v/>
      </c>
      <c r="R14" s="142">
        <f>SUMIFS(領用表!$L:$L,領用表!$E:$E,$B14,領用表!$B:$B,R$2&amp;$R$1)</f>
        <v/>
      </c>
      <c r="S14" s="142">
        <f>SUMIFS(領用表!$L:$L,領用表!$E:$E,$B14,領用表!$B:$B,S$2&amp;$R$1)</f>
        <v/>
      </c>
      <c r="T14" s="142">
        <f>SUMIFS(領用表!$L:$L,領用表!$E:$E,$B14,領用表!$B:$B,T$2&amp;$R$1)</f>
        <v/>
      </c>
      <c r="U14" s="142">
        <f>SUMIFS(領用表!$L:$L,領用表!$E:$E,$B14,領用表!$B:$B,U$2&amp;$R$1)</f>
        <v/>
      </c>
      <c r="V14" s="142">
        <f>SUMIFS(領用表!$L:$L,領用表!$E:$E,$B14,領用表!$B:$B,V$2&amp;$R$1)</f>
        <v/>
      </c>
      <c r="W14" s="142" t="n"/>
      <c r="X14" s="142">
        <f>SUMIFS(領用表!$L:$L,領用表!$E:$E,$B14,領用表!$B:$B,X$2&amp;$R$1)</f>
        <v/>
      </c>
      <c r="Y14" s="142">
        <f>SUMIFS(領用表!$L:$L,領用表!$E:$E,$B14,領用表!$B:$B,Y$2&amp;$R$1)</f>
        <v/>
      </c>
      <c r="Z14" s="142">
        <f>SUMIFS(領用表!$L:$L,領用表!$E:$E,$B14,領用表!$B:$B,Z$2&amp;$R$1)</f>
        <v/>
      </c>
      <c r="AA14" s="142">
        <f>SUMIFS(領用表!$L:$L,領用表!$E:$E,$B14,領用表!$B:$B,AA$2&amp;$R$1)</f>
        <v/>
      </c>
      <c r="AB14" s="142">
        <f>SUMIFS(領用表!$L:$L,領用表!$E:$E,$B14,領用表!$B:$B,AB$2&amp;$R$1)</f>
        <v/>
      </c>
      <c r="AC14" s="142">
        <f>SUMIFS(領用表!$L:$L,領用表!$E:$E,$B14,領用表!$B:$B,AC$2&amp;$R$1)</f>
        <v/>
      </c>
      <c r="AD14" s="142">
        <f>SUM(R14,S14,T14,U14,V14,W14)</f>
        <v/>
      </c>
      <c r="AE14" s="142">
        <f>AVERAGE(R14,S14,T14,U14,V14,W14)</f>
        <v/>
      </c>
      <c r="AF14" s="142">
        <f>SUMIF(Summary!B:B,B14,Summary!EB:EB)</f>
        <v/>
      </c>
      <c r="AG14" s="101" t="n">
        <v>12</v>
      </c>
      <c r="AH14" s="514" t="n"/>
      <c r="AI14" s="25" t="n"/>
      <c r="AJ14" s="25" t="n"/>
      <c r="AK14" s="27" t="n"/>
      <c r="AL14" s="28" t="n"/>
      <c r="AM14" s="14" t="n"/>
      <c r="AN14" s="29" t="n"/>
    </row>
    <row r="15" ht="15.75" customHeight="1" s="453">
      <c r="A15" s="27" t="inlineStr">
        <is>
          <t>MP1MA010015A</t>
        </is>
      </c>
      <c r="B15" s="14" t="n">
        <v>6180009</v>
      </c>
      <c r="C15" s="118" t="inlineStr">
        <is>
          <t>MINT秘特拉提線TIP 4CM(1支)</t>
        </is>
      </c>
      <c r="D15" s="16" t="n">
        <v>10</v>
      </c>
      <c r="E15" s="17" t="inlineStr">
        <is>
          <t>PCS</t>
        </is>
      </c>
      <c r="F15" s="18" t="n"/>
      <c r="G15" s="18" t="n">
        <v>20</v>
      </c>
      <c r="H15" s="21">
        <f>SUM(#REF!)</f>
        <v/>
      </c>
      <c r="I15" s="542">
        <f>H15/12</f>
        <v/>
      </c>
      <c r="J15" s="20">
        <f>SUMIFS(領用表!$L:$L,領用表!$E:$E,$B15,領用表!$B:$B,J$2&amp;$R$1)</f>
        <v/>
      </c>
      <c r="K15" s="20">
        <f>SUMIFS(領用表!$L:$L,領用表!$E:$E,$B15,領用表!$B:$B,K$2&amp;$R$1)</f>
        <v/>
      </c>
      <c r="L15" s="20">
        <f>SUMIFS(領用表!$L:$L,領用表!$E:$E,$B15,領用表!$B:$B,L$2&amp;$R$1)</f>
        <v/>
      </c>
      <c r="M15" s="142">
        <f>SUMIFS(領用表!$L:$L,領用表!$E:$E,$B15,領用表!$B:$B,M$2&amp;$R$1)</f>
        <v/>
      </c>
      <c r="N15" s="142">
        <f>SUMIFS(領用表!$L:$L,領用表!$E:$E,$B15,領用表!$B:$B,N$2&amp;$R$1)</f>
        <v/>
      </c>
      <c r="O15" s="142">
        <f>SUMIFS(領用表!$L:$L,領用表!$E:$E,$B15,領用表!$B:$B,O$2&amp;$R$1)</f>
        <v/>
      </c>
      <c r="P15" s="23">
        <f>SUM(,J15,K15,L15,M15,N15,O15)</f>
        <v/>
      </c>
      <c r="Q15" s="23">
        <f>AVERAGE(,J15,K15,L15,M15,N15,O15)</f>
        <v/>
      </c>
      <c r="R15" s="142">
        <f>SUMIFS(領用表!$L:$L,領用表!$E:$E,$B15,領用表!$B:$B,R$2&amp;$R$1)</f>
        <v/>
      </c>
      <c r="S15" s="142">
        <f>SUMIFS(領用表!$L:$L,領用表!$E:$E,$B15,領用表!$B:$B,S$2&amp;$R$1)</f>
        <v/>
      </c>
      <c r="T15" s="142">
        <f>SUMIFS(領用表!$L:$L,領用表!$E:$E,$B15,領用表!$B:$B,T$2&amp;$R$1)</f>
        <v/>
      </c>
      <c r="U15" s="142">
        <f>SUMIFS(領用表!$L:$L,領用表!$E:$E,$B15,領用表!$B:$B,U$2&amp;$R$1)</f>
        <v/>
      </c>
      <c r="V15" s="142">
        <f>SUMIFS(領用表!$L:$L,領用表!$E:$E,$B15,領用表!$B:$B,V$2&amp;$R$1)</f>
        <v/>
      </c>
      <c r="W15" s="142" t="n">
        <v>4</v>
      </c>
      <c r="X15" s="142">
        <f>SUMIFS(領用表!$L:$L,領用表!$E:$E,$B15,領用表!$B:$B,X$2&amp;$R$1)</f>
        <v/>
      </c>
      <c r="Y15" s="142">
        <f>SUMIFS(領用表!$L:$L,領用表!$E:$E,$B15,領用表!$B:$B,Y$2&amp;$R$1)</f>
        <v/>
      </c>
      <c r="Z15" s="142">
        <f>SUMIFS(領用表!$L:$L,領用表!$E:$E,$B15,領用表!$B:$B,Z$2&amp;$R$1)</f>
        <v/>
      </c>
      <c r="AA15" s="142">
        <f>SUMIFS(領用表!$L:$L,領用表!$E:$E,$B15,領用表!$B:$B,AA$2&amp;$R$1)</f>
        <v/>
      </c>
      <c r="AB15" s="142">
        <f>SUMIFS(領用表!$L:$L,領用表!$E:$E,$B15,領用表!$B:$B,AB$2&amp;$R$1)</f>
        <v/>
      </c>
      <c r="AC15" s="142">
        <f>SUMIFS(領用表!$L:$L,領用表!$E:$E,$B15,領用表!$B:$B,AC$2&amp;$R$1)</f>
        <v/>
      </c>
      <c r="AD15" s="142">
        <f>SUM(R15,S15,T15,U15,V15,W15)</f>
        <v/>
      </c>
      <c r="AE15" s="142">
        <f>AVERAGE(R15,S15,T15,U15,V15,W15)</f>
        <v/>
      </c>
      <c r="AF15" s="142">
        <f>SUMIF(Summary!B:B,B15,Summary!EB:EB)</f>
        <v/>
      </c>
      <c r="AG15" s="101" t="n">
        <v>5</v>
      </c>
      <c r="AH15" s="514" t="n"/>
      <c r="AI15" s="25" t="n"/>
      <c r="AJ15" s="25" t="n"/>
      <c r="AK15" s="27" t="n"/>
      <c r="AL15" s="28" t="n"/>
      <c r="AM15" s="14" t="n"/>
      <c r="AN15" s="29" t="n"/>
    </row>
    <row r="16" ht="15.75" customHeight="1" s="453">
      <c r="A16" s="27" t="inlineStr">
        <is>
          <t>MP1MA010016A</t>
        </is>
      </c>
      <c r="B16" s="14" t="n">
        <v>6180011</v>
      </c>
      <c r="C16" s="118" t="inlineStr">
        <is>
          <t>MINT秘特拉提線UP 9.5CM(1支)</t>
        </is>
      </c>
      <c r="D16" s="16" t="n">
        <v>10</v>
      </c>
      <c r="E16" s="17" t="inlineStr">
        <is>
          <t>PCS</t>
        </is>
      </c>
      <c r="F16" s="31" t="n"/>
      <c r="G16" s="18" t="n">
        <v>48</v>
      </c>
      <c r="H16" s="21">
        <f>SUM(#REF!)</f>
        <v/>
      </c>
      <c r="I16" s="542">
        <f>H16/12</f>
        <v/>
      </c>
      <c r="J16" s="20">
        <f>SUMIFS(領用表!$L:$L,領用表!$E:$E,$B16,領用表!$B:$B,J$2&amp;$R$1)</f>
        <v/>
      </c>
      <c r="K16" s="20">
        <f>SUMIFS(領用表!$L:$L,領用表!$E:$E,$B16,領用表!$B:$B,K$2&amp;$R$1)</f>
        <v/>
      </c>
      <c r="L16" s="20">
        <f>SUMIFS(領用表!$L:$L,領用表!$E:$E,$B16,領用表!$B:$B,L$2&amp;$R$1)</f>
        <v/>
      </c>
      <c r="M16" s="142">
        <f>SUMIFS(領用表!$L:$L,領用表!$E:$E,$B16,領用表!$B:$B,M$2&amp;$R$1)</f>
        <v/>
      </c>
      <c r="N16" s="142">
        <f>SUMIFS(領用表!$L:$L,領用表!$E:$E,$B16,領用表!$B:$B,N$2&amp;$R$1)</f>
        <v/>
      </c>
      <c r="O16" s="142">
        <f>SUMIFS(領用表!$L:$L,領用表!$E:$E,$B16,領用表!$B:$B,O$2&amp;$R$1)</f>
        <v/>
      </c>
      <c r="P16" s="23">
        <f>SUM(,J16,K16,L16,M16,N16,O16)</f>
        <v/>
      </c>
      <c r="Q16" s="23">
        <f>AVERAGE(,J16,K16,L16,M16,N16,O16)</f>
        <v/>
      </c>
      <c r="R16" s="142">
        <f>SUMIFS(領用表!$L:$L,領用表!$E:$E,$B16,領用表!$B:$B,R$2&amp;$R$1)</f>
        <v/>
      </c>
      <c r="S16" s="142">
        <f>SUMIFS(領用表!$L:$L,領用表!$E:$E,$B16,領用表!$B:$B,S$2&amp;$R$1)</f>
        <v/>
      </c>
      <c r="T16" s="142">
        <f>SUMIFS(領用表!$L:$L,領用表!$E:$E,$B16,領用表!$B:$B,T$2&amp;$R$1)</f>
        <v/>
      </c>
      <c r="U16" s="142">
        <f>SUMIFS(領用表!$L:$L,領用表!$E:$E,$B16,領用表!$B:$B,U$2&amp;$R$1)</f>
        <v/>
      </c>
      <c r="V16" s="142">
        <f>SUMIFS(領用表!$L:$L,領用表!$E:$E,$B16,領用表!$B:$B,V$2&amp;$R$1)</f>
        <v/>
      </c>
      <c r="W16" s="142" t="n"/>
      <c r="X16" s="142">
        <f>SUMIFS(領用表!$L:$L,領用表!$E:$E,$B16,領用表!$B:$B,X$2&amp;$R$1)</f>
        <v/>
      </c>
      <c r="Y16" s="142">
        <f>SUMIFS(領用表!$L:$L,領用表!$E:$E,$B16,領用表!$B:$B,Y$2&amp;$R$1)</f>
        <v/>
      </c>
      <c r="Z16" s="142">
        <f>SUMIFS(領用表!$L:$L,領用表!$E:$E,$B16,領用表!$B:$B,Z$2&amp;$R$1)</f>
        <v/>
      </c>
      <c r="AA16" s="142">
        <f>SUMIFS(領用表!$L:$L,領用表!$E:$E,$B16,領用表!$B:$B,AA$2&amp;$R$1)</f>
        <v/>
      </c>
      <c r="AB16" s="142">
        <f>SUMIFS(領用表!$L:$L,領用表!$E:$E,$B16,領用表!$B:$B,AB$2&amp;$R$1)</f>
        <v/>
      </c>
      <c r="AC16" s="142">
        <f>SUMIFS(領用表!$L:$L,領用表!$E:$E,$B16,領用表!$B:$B,AC$2&amp;$R$1)</f>
        <v/>
      </c>
      <c r="AD16" s="142">
        <f>SUM(R16,S16,T16,U16,V16,W16)</f>
        <v/>
      </c>
      <c r="AE16" s="142">
        <f>AVERAGE(R16,S16,T16,U16,V16,W16)</f>
        <v/>
      </c>
      <c r="AF16" s="142">
        <f>SUMIF(Summary!B:B,B16,Summary!EB:EB)</f>
        <v/>
      </c>
      <c r="AG16" s="101" t="n">
        <v>12</v>
      </c>
      <c r="AH16" s="515" t="n"/>
      <c r="AI16" s="25" t="n"/>
      <c r="AJ16" s="25" t="n"/>
      <c r="AK16" s="27" t="n"/>
      <c r="AL16" s="27" t="n"/>
      <c r="AM16" s="14" t="n"/>
      <c r="AN16" s="29" t="n"/>
    </row>
    <row r="17" ht="15.75" customHeight="1" s="453">
      <c r="A17" s="27" t="inlineStr">
        <is>
          <t>MP1MA070006A</t>
        </is>
      </c>
      <c r="B17" s="14" t="n">
        <v>6210001</v>
      </c>
      <c r="C17" s="118" t="inlineStr">
        <is>
          <t>水光針針頭/ 31G/ 9pin/ 1.0mm(1支)</t>
        </is>
      </c>
      <c r="D17" s="16" t="n">
        <v>20</v>
      </c>
      <c r="E17" s="17" t="inlineStr">
        <is>
          <t>PCS</t>
        </is>
      </c>
      <c r="F17" s="18" t="n"/>
      <c r="G17" s="18" t="n">
        <v>21</v>
      </c>
      <c r="H17" s="21">
        <f>SUM(#REF!)</f>
        <v/>
      </c>
      <c r="I17" s="542">
        <f>H17/12</f>
        <v/>
      </c>
      <c r="J17" s="20">
        <f>SUMIFS(領用表!$L:$L,領用表!$E:$E,$B17,領用表!$B:$B,J$2&amp;$R$1)</f>
        <v/>
      </c>
      <c r="K17" s="20">
        <f>SUMIFS(領用表!$L:$L,領用表!$E:$E,$B17,領用表!$B:$B,K$2&amp;$R$1)</f>
        <v/>
      </c>
      <c r="L17" s="20">
        <f>SUMIFS(領用表!$L:$L,領用表!$E:$E,$B17,領用表!$B:$B,L$2&amp;$R$1)</f>
        <v/>
      </c>
      <c r="M17" s="142">
        <f>SUMIFS(領用表!$L:$L,領用表!$E:$E,$B17,領用表!$B:$B,M$2&amp;$R$1)</f>
        <v/>
      </c>
      <c r="N17" s="142">
        <f>SUMIFS(領用表!$L:$L,領用表!$E:$E,$B17,領用表!$B:$B,N$2&amp;$R$1)</f>
        <v/>
      </c>
      <c r="O17" s="142">
        <f>SUMIFS(領用表!$L:$L,領用表!$E:$E,$B17,領用表!$B:$B,O$2&amp;$R$1)</f>
        <v/>
      </c>
      <c r="P17" s="23">
        <f>SUM(,J17,K17,L17,M17,N17,O17)</f>
        <v/>
      </c>
      <c r="Q17" s="23">
        <f>AVERAGE(,J17,K17,L17,M17,N17,O17)</f>
        <v/>
      </c>
      <c r="R17" s="142">
        <f>SUMIFS(領用表!$L:$L,領用表!$E:$E,$B17,領用表!$B:$B,R$2&amp;$R$1)</f>
        <v/>
      </c>
      <c r="S17" s="142">
        <f>SUMIFS(領用表!$L:$L,領用表!$E:$E,$B17,領用表!$B:$B,S$2&amp;$R$1)</f>
        <v/>
      </c>
      <c r="T17" s="142">
        <f>SUMIFS(領用表!$L:$L,領用表!$E:$E,$B17,領用表!$B:$B,T$2&amp;$R$1)</f>
        <v/>
      </c>
      <c r="U17" s="142">
        <f>SUMIFS(領用表!$L:$L,領用表!$E:$E,$B17,領用表!$B:$B,U$2&amp;$R$1)</f>
        <v/>
      </c>
      <c r="V17" s="142">
        <f>SUMIFS(領用表!$L:$L,領用表!$E:$E,$B17,領用表!$B:$B,V$2&amp;$R$1)</f>
        <v/>
      </c>
      <c r="W17" s="142" t="n"/>
      <c r="X17" s="142">
        <f>SUMIFS(領用表!$L:$L,領用表!$E:$E,$B17,領用表!$B:$B,X$2&amp;$R$1)</f>
        <v/>
      </c>
      <c r="Y17" s="142">
        <f>SUMIFS(領用表!$L:$L,領用表!$E:$E,$B17,領用表!$B:$B,Y$2&amp;$R$1)</f>
        <v/>
      </c>
      <c r="Z17" s="142">
        <f>SUMIFS(領用表!$L:$L,領用表!$E:$E,$B17,領用表!$B:$B,Z$2&amp;$R$1)</f>
        <v/>
      </c>
      <c r="AA17" s="142">
        <f>SUMIFS(領用表!$L:$L,領用表!$E:$E,$B17,領用表!$B:$B,AA$2&amp;$R$1)</f>
        <v/>
      </c>
      <c r="AB17" s="142">
        <f>SUMIFS(領用表!$L:$L,領用表!$E:$E,$B17,領用表!$B:$B,AB$2&amp;$R$1)</f>
        <v/>
      </c>
      <c r="AC17" s="142">
        <f>SUMIFS(領用表!$L:$L,領用表!$E:$E,$B17,領用表!$B:$B,AC$2&amp;$R$1)</f>
        <v/>
      </c>
      <c r="AD17" s="142">
        <f>SUM(R17,S17,T17,U17,V17,W17)</f>
        <v/>
      </c>
      <c r="AE17" s="142">
        <f>AVERAGE(R17,S17,T17,U17,V17,W17)</f>
        <v/>
      </c>
      <c r="AF17" s="142">
        <f>SUMIF(Summary!B:B,B17,Summary!EB:EB)</f>
        <v/>
      </c>
      <c r="AG17" s="101" t="n">
        <v>15</v>
      </c>
      <c r="AH17" s="477" t="n"/>
      <c r="AI17" s="25" t="n"/>
      <c r="AJ17" s="25" t="n"/>
      <c r="AK17" s="27" t="n"/>
      <c r="AL17" s="28" t="n"/>
      <c r="AM17" s="14" t="n"/>
      <c r="AN17" s="29" t="n"/>
    </row>
    <row r="18" ht="15.75" customHeight="1" s="453">
      <c r="A18" s="27" t="inlineStr">
        <is>
          <t>MP1MA070007A</t>
        </is>
      </c>
      <c r="B18" s="14" t="n">
        <v>6210002</v>
      </c>
      <c r="C18" s="118" t="inlineStr">
        <is>
          <t>水光針針頭/ 31G/ 9pin/ 1.2mm(1支)</t>
        </is>
      </c>
      <c r="D18" s="16" t="n">
        <v>20</v>
      </c>
      <c r="E18" s="17" t="inlineStr">
        <is>
          <t>PCS</t>
        </is>
      </c>
      <c r="F18" s="18" t="n"/>
      <c r="G18" s="18" t="n">
        <v>123</v>
      </c>
      <c r="H18" s="21">
        <f>SUM(#REF!)</f>
        <v/>
      </c>
      <c r="I18" s="542">
        <f>H18/12</f>
        <v/>
      </c>
      <c r="J18" s="20">
        <f>SUMIFS(領用表!$L:$L,領用表!$E:$E,$B18,領用表!$B:$B,J$2&amp;$R$1)</f>
        <v/>
      </c>
      <c r="K18" s="20">
        <f>SUMIFS(領用表!$L:$L,領用表!$E:$E,$B18,領用表!$B:$B,K$2&amp;$R$1)</f>
        <v/>
      </c>
      <c r="L18" s="20">
        <f>SUMIFS(領用表!$L:$L,領用表!$E:$E,$B18,領用表!$B:$B,L$2&amp;$R$1)</f>
        <v/>
      </c>
      <c r="M18" s="142">
        <f>SUMIFS(領用表!$L:$L,領用表!$E:$E,$B18,領用表!$B:$B,M$2&amp;$R$1)</f>
        <v/>
      </c>
      <c r="N18" s="142">
        <f>SUMIFS(領用表!$L:$L,領用表!$E:$E,$B18,領用表!$B:$B,N$2&amp;$R$1)</f>
        <v/>
      </c>
      <c r="O18" s="142">
        <f>SUMIFS(領用表!$L:$L,領用表!$E:$E,$B18,領用表!$B:$B,O$2&amp;$R$1)</f>
        <v/>
      </c>
      <c r="P18" s="23">
        <f>SUM(,J18,K18,L18,M18,N18,O18)</f>
        <v/>
      </c>
      <c r="Q18" s="23">
        <f>AVERAGE(,J18,K18,L18,M18,N18,O18)</f>
        <v/>
      </c>
      <c r="R18" s="142">
        <f>SUMIFS(領用表!$L:$L,領用表!$E:$E,$B18,領用表!$B:$B,R$2&amp;$R$1)</f>
        <v/>
      </c>
      <c r="S18" s="142">
        <f>SUMIFS(領用表!$L:$L,領用表!$E:$E,$B18,領用表!$B:$B,S$2&amp;$R$1)</f>
        <v/>
      </c>
      <c r="T18" s="142">
        <f>SUMIFS(領用表!$L:$L,領用表!$E:$E,$B18,領用表!$B:$B,T$2&amp;$R$1)</f>
        <v/>
      </c>
      <c r="U18" s="142">
        <f>SUMIFS(領用表!$L:$L,領用表!$E:$E,$B18,領用表!$B:$B,U$2&amp;$R$1)</f>
        <v/>
      </c>
      <c r="V18" s="142">
        <f>SUMIFS(領用表!$L:$L,領用表!$E:$E,$B18,領用表!$B:$B,V$2&amp;$R$1)</f>
        <v/>
      </c>
      <c r="W18" s="142" t="n">
        <v>59</v>
      </c>
      <c r="X18" s="142">
        <f>SUMIFS(領用表!$L:$L,領用表!$E:$E,$B18,領用表!$B:$B,X$2&amp;$R$1)</f>
        <v/>
      </c>
      <c r="Y18" s="142">
        <f>SUMIFS(領用表!$L:$L,領用表!$E:$E,$B18,領用表!$B:$B,Y$2&amp;$R$1)</f>
        <v/>
      </c>
      <c r="Z18" s="142">
        <f>SUMIFS(領用表!$L:$L,領用表!$E:$E,$B18,領用表!$B:$B,Z$2&amp;$R$1)</f>
        <v/>
      </c>
      <c r="AA18" s="142">
        <f>SUMIFS(領用表!$L:$L,領用表!$E:$E,$B18,領用表!$B:$B,AA$2&amp;$R$1)</f>
        <v/>
      </c>
      <c r="AB18" s="142">
        <f>SUMIFS(領用表!$L:$L,領用表!$E:$E,$B18,領用表!$B:$B,AB$2&amp;$R$1)</f>
        <v/>
      </c>
      <c r="AC18" s="142">
        <f>SUMIFS(領用表!$L:$L,領用表!$E:$E,$B18,領用表!$B:$B,AC$2&amp;$R$1)</f>
        <v/>
      </c>
      <c r="AD18" s="142">
        <f>SUM(R18,S18,T18,U18,V18,W18)</f>
        <v/>
      </c>
      <c r="AE18" s="142">
        <f>AVERAGE(R18,S18,T18,U18,V18,W18)</f>
        <v/>
      </c>
      <c r="AF18" s="142">
        <f>SUMIF(Summary!B:B,B18,Summary!EB:EB)</f>
        <v/>
      </c>
      <c r="AG18" s="101" t="n">
        <v>40</v>
      </c>
      <c r="AH18" s="477" t="n"/>
      <c r="AI18" s="25" t="inlineStr">
        <is>
          <t>4盒(10/21)</t>
        </is>
      </c>
      <c r="AJ18" s="25" t="inlineStr">
        <is>
          <t>15盒(10/17)</t>
        </is>
      </c>
      <c r="AK18" s="27" t="n"/>
      <c r="AL18" s="27" t="n"/>
      <c r="AM18" s="14" t="n"/>
      <c r="AN18" s="29" t="n"/>
    </row>
    <row r="19" ht="15.75" customHeight="1" s="453">
      <c r="A19" s="27" t="inlineStr">
        <is>
          <t>MP1MA070008A</t>
        </is>
      </c>
      <c r="B19" s="14" t="n">
        <v>6210003</v>
      </c>
      <c r="C19" s="118" t="inlineStr">
        <is>
          <t>水光針針頭/ 31G/ 9pin/ 1.5mm(1支)</t>
        </is>
      </c>
      <c r="D19" s="16" t="n">
        <v>20</v>
      </c>
      <c r="E19" s="17" t="inlineStr">
        <is>
          <t>PCS</t>
        </is>
      </c>
      <c r="F19" s="18" t="n"/>
      <c r="G19" s="18" t="n">
        <v>13</v>
      </c>
      <c r="H19" s="21">
        <f>SUM(#REF!)</f>
        <v/>
      </c>
      <c r="I19" s="542">
        <f>H19/12</f>
        <v/>
      </c>
      <c r="J19" s="20">
        <f>SUMIFS(領用表!$L:$L,領用表!$E:$E,$B19,領用表!$B:$B,J$2&amp;$R$1)</f>
        <v/>
      </c>
      <c r="K19" s="20">
        <f>SUMIFS(領用表!$L:$L,領用表!$E:$E,$B19,領用表!$B:$B,K$2&amp;$R$1)</f>
        <v/>
      </c>
      <c r="L19" s="20">
        <f>SUMIFS(領用表!$L:$L,領用表!$E:$E,$B19,領用表!$B:$B,L$2&amp;$R$1)</f>
        <v/>
      </c>
      <c r="M19" s="142">
        <f>SUMIFS(領用表!$L:$L,領用表!$E:$E,$B19,領用表!$B:$B,M$2&amp;$R$1)</f>
        <v/>
      </c>
      <c r="N19" s="142">
        <f>SUMIFS(領用表!$L:$L,領用表!$E:$E,$B19,領用表!$B:$B,N$2&amp;$R$1)</f>
        <v/>
      </c>
      <c r="O19" s="142">
        <f>SUMIFS(領用表!$L:$L,領用表!$E:$E,$B19,領用表!$B:$B,O$2&amp;$R$1)</f>
        <v/>
      </c>
      <c r="P19" s="23">
        <f>SUM(,J19,K19,L19,M19,N19,O19)</f>
        <v/>
      </c>
      <c r="Q19" s="23">
        <f>AVERAGE(,J19,K19,L19,M19,N19,O19)</f>
        <v/>
      </c>
      <c r="R19" s="142">
        <f>SUMIFS(領用表!$L:$L,領用表!$E:$E,$B19,領用表!$B:$B,R$2&amp;$R$1)</f>
        <v/>
      </c>
      <c r="S19" s="142">
        <f>SUMIFS(領用表!$L:$L,領用表!$E:$E,$B19,領用表!$B:$B,S$2&amp;$R$1)</f>
        <v/>
      </c>
      <c r="T19" s="142">
        <f>SUMIFS(領用表!$L:$L,領用表!$E:$E,$B19,領用表!$B:$B,T$2&amp;$R$1)</f>
        <v/>
      </c>
      <c r="U19" s="142">
        <f>SUMIFS(領用表!$L:$L,領用表!$E:$E,$B19,領用表!$B:$B,U$2&amp;$R$1)</f>
        <v/>
      </c>
      <c r="V19" s="142">
        <f>SUMIFS(領用表!$L:$L,領用表!$E:$E,$B19,領用表!$B:$B,V$2&amp;$R$1)</f>
        <v/>
      </c>
      <c r="W19" s="142" t="n">
        <v>9</v>
      </c>
      <c r="X19" s="142">
        <f>SUMIFS(領用表!$L:$L,領用表!$E:$E,$B19,領用表!$B:$B,X$2&amp;$R$1)</f>
        <v/>
      </c>
      <c r="Y19" s="142">
        <f>SUMIFS(領用表!$L:$L,領用表!$E:$E,$B19,領用表!$B:$B,Y$2&amp;$R$1)</f>
        <v/>
      </c>
      <c r="Z19" s="142">
        <f>SUMIFS(領用表!$L:$L,領用表!$E:$E,$B19,領用表!$B:$B,Z$2&amp;$R$1)</f>
        <v/>
      </c>
      <c r="AA19" s="142">
        <f>SUMIFS(領用表!$L:$L,領用表!$E:$E,$B19,領用表!$B:$B,AA$2&amp;$R$1)</f>
        <v/>
      </c>
      <c r="AB19" s="142">
        <f>SUMIFS(領用表!$L:$L,領用表!$E:$E,$B19,領用表!$B:$B,AB$2&amp;$R$1)</f>
        <v/>
      </c>
      <c r="AC19" s="142">
        <f>SUMIFS(領用表!$L:$L,領用表!$E:$E,$B19,領用表!$B:$B,AC$2&amp;$R$1)</f>
        <v/>
      </c>
      <c r="AD19" s="142">
        <f>SUM(R19,S19,T19,U19,V19,W19)</f>
        <v/>
      </c>
      <c r="AE19" s="142">
        <f>AVERAGE(R19,S19,T19,U19,V19,W19)</f>
        <v/>
      </c>
      <c r="AF19" s="142">
        <f>SUMIF(Summary!B:B,B19,Summary!EB:EB)</f>
        <v/>
      </c>
      <c r="AG19" s="101" t="n">
        <v>10</v>
      </c>
      <c r="AH19" s="477" t="n"/>
      <c r="AI19" s="25" t="inlineStr">
        <is>
          <t>1盒(10/21)</t>
        </is>
      </c>
      <c r="AJ19" s="25" t="inlineStr">
        <is>
          <t>1盒(10/17)</t>
        </is>
      </c>
      <c r="AK19" s="27" t="n"/>
      <c r="AL19" s="28" t="n"/>
      <c r="AM19" s="14" t="n"/>
      <c r="AN19" s="29" t="n"/>
    </row>
    <row r="20" ht="15.75" customHeight="1" s="453">
      <c r="A20" s="27" t="inlineStr">
        <is>
          <t>MP1MA070005A</t>
        </is>
      </c>
      <c r="B20" s="14" t="n">
        <v>6210005</v>
      </c>
      <c r="C20" s="131" t="inlineStr">
        <is>
          <t>水光針針頭/ 32G/ 9pin/ 1.0mm(1支)</t>
        </is>
      </c>
      <c r="D20" s="33" t="n">
        <v>20</v>
      </c>
      <c r="E20" s="17" t="inlineStr">
        <is>
          <t>PCS</t>
        </is>
      </c>
      <c r="F20" s="18" t="n"/>
      <c r="G20" s="18" t="n"/>
      <c r="H20" s="21">
        <f>SUM(#REF!)</f>
        <v/>
      </c>
      <c r="I20" s="542">
        <f>H20/12</f>
        <v/>
      </c>
      <c r="J20" s="20">
        <f>SUMIFS(領用表!$L:$L,領用表!$E:$E,$B20,領用表!$B:$B,J$2&amp;$R$1)</f>
        <v/>
      </c>
      <c r="K20" s="20">
        <f>SUMIFS(領用表!$L:$L,領用表!$E:$E,$B20,領用表!$B:$B,K$2&amp;$R$1)</f>
        <v/>
      </c>
      <c r="L20" s="20">
        <f>SUMIFS(領用表!$L:$L,領用表!$E:$E,$B20,領用表!$B:$B,L$2&amp;$R$1)</f>
        <v/>
      </c>
      <c r="M20" s="142">
        <f>SUMIFS(領用表!$L:$L,領用表!$E:$E,$B20,領用表!$B:$B,M$2&amp;$R$1)</f>
        <v/>
      </c>
      <c r="N20" s="142">
        <f>SUMIFS(領用表!$L:$L,領用表!$E:$E,$B20,領用表!$B:$B,N$2&amp;$R$1)</f>
        <v/>
      </c>
      <c r="O20" s="142">
        <f>SUMIFS(領用表!$L:$L,領用表!$E:$E,$B20,領用表!$B:$B,O$2&amp;$R$1)</f>
        <v/>
      </c>
      <c r="P20" s="23">
        <f>SUM(,J20,K20,L20,M20,N20,O20)</f>
        <v/>
      </c>
      <c r="Q20" s="23">
        <f>AVERAGE(,J20,K20,L20,M20,N20,O20)</f>
        <v/>
      </c>
      <c r="R20" s="142">
        <f>SUMIFS(領用表!$L:$L,領用表!$E:$E,$B20,領用表!$B:$B,R$2&amp;$R$1)</f>
        <v/>
      </c>
      <c r="S20" s="142">
        <f>SUMIFS(領用表!$L:$L,領用表!$E:$E,$B20,領用表!$B:$B,S$2&amp;$R$1)</f>
        <v/>
      </c>
      <c r="T20" s="142">
        <f>SUMIFS(領用表!$L:$L,領用表!$E:$E,$B20,領用表!$B:$B,T$2&amp;$R$1)</f>
        <v/>
      </c>
      <c r="U20" s="142">
        <f>SUMIFS(領用表!$L:$L,領用表!$E:$E,$B20,領用表!$B:$B,U$2&amp;$R$1)</f>
        <v/>
      </c>
      <c r="V20" s="142">
        <f>SUMIFS(領用表!$L:$L,領用表!$E:$E,$B20,領用表!$B:$B,V$2&amp;$R$1)</f>
        <v/>
      </c>
      <c r="W20" s="142" t="n"/>
      <c r="X20" s="142">
        <f>SUMIFS(領用表!$L:$L,領用表!$E:$E,$B20,領用表!$B:$B,X$2&amp;$R$1)</f>
        <v/>
      </c>
      <c r="Y20" s="142">
        <f>SUMIFS(領用表!$L:$L,領用表!$E:$E,$B20,領用表!$B:$B,Y$2&amp;$R$1)</f>
        <v/>
      </c>
      <c r="Z20" s="142">
        <f>SUMIFS(領用表!$L:$L,領用表!$E:$E,$B20,領用表!$B:$B,Z$2&amp;$R$1)</f>
        <v/>
      </c>
      <c r="AA20" s="142">
        <f>SUMIFS(領用表!$L:$L,領用表!$E:$E,$B20,領用表!$B:$B,AA$2&amp;$R$1)</f>
        <v/>
      </c>
      <c r="AB20" s="142">
        <f>SUMIFS(領用表!$L:$L,領用表!$E:$E,$B20,領用表!$B:$B,AB$2&amp;$R$1)</f>
        <v/>
      </c>
      <c r="AC20" s="142">
        <f>SUMIFS(領用表!$L:$L,領用表!$E:$E,$B20,領用表!$B:$B,AC$2&amp;$R$1)</f>
        <v/>
      </c>
      <c r="AD20" s="142">
        <f>SUM(R20,S20,T20,U20,V20,W20)</f>
        <v/>
      </c>
      <c r="AE20" s="142">
        <f>AVERAGE(R20,S20,T20,U20,V20,W20)</f>
        <v/>
      </c>
      <c r="AF20" s="142">
        <f>SUMIF(Summary!B:B,B20,Summary!EB:EB)</f>
        <v/>
      </c>
      <c r="AG20" s="102" t="n">
        <v>10</v>
      </c>
      <c r="AH20" s="24" t="n"/>
      <c r="AI20" s="25" t="n"/>
      <c r="AJ20" s="25" t="n"/>
      <c r="AK20" s="34" t="n"/>
      <c r="AL20" s="35" t="n"/>
      <c r="AM20" s="14" t="n"/>
      <c r="AN20" s="29" t="n"/>
    </row>
    <row r="21" ht="15.75" customHeight="1" s="453">
      <c r="A21" s="27" t="inlineStr">
        <is>
          <t>MM2MA070005A</t>
        </is>
      </c>
      <c r="B21" s="14" t="n">
        <v>6210008</v>
      </c>
      <c r="C21" s="131" t="inlineStr">
        <is>
          <t>得美微針筆 33G針頭(支)</t>
        </is>
      </c>
      <c r="D21" s="33" t="n">
        <v>33</v>
      </c>
      <c r="E21" s="17" t="inlineStr">
        <is>
          <t>PCS</t>
        </is>
      </c>
      <c r="F21" s="18" t="n"/>
      <c r="G21" s="18" t="n">
        <v>24</v>
      </c>
      <c r="H21" s="21" t="n"/>
      <c r="I21" s="542" t="n"/>
      <c r="J21" s="20">
        <f>SUMIFS(領用表!$L:$L,領用表!$E:$E,$B21,領用表!$B:$B,J$2&amp;$R$1)</f>
        <v/>
      </c>
      <c r="K21" s="20">
        <f>SUMIFS(領用表!$L:$L,領用表!$E:$E,$B21,領用表!$B:$B,K$2&amp;$R$1)</f>
        <v/>
      </c>
      <c r="L21" s="20">
        <f>SUMIFS(領用表!$L:$L,領用表!$E:$E,$B21,領用表!$B:$B,L$2&amp;$R$1)</f>
        <v/>
      </c>
      <c r="M21" s="142">
        <f>SUMIFS(領用表!$L:$L,領用表!$E:$E,$B21,領用表!$B:$B,M$2&amp;$R$1)</f>
        <v/>
      </c>
      <c r="N21" s="142">
        <f>SUMIFS(領用表!$L:$L,領用表!$E:$E,$B21,領用表!$B:$B,N$2&amp;$R$1)</f>
        <v/>
      </c>
      <c r="O21" s="142">
        <f>SUMIFS(領用表!$L:$L,領用表!$E:$E,$B21,領用表!$B:$B,O$2&amp;$R$1)</f>
        <v/>
      </c>
      <c r="P21" s="23">
        <f>SUM(,J21,K21,L21,M21,N21,O21)</f>
        <v/>
      </c>
      <c r="Q21" s="23">
        <f>AVERAGE(,J21,K21,L21,M21,N21,O21)</f>
        <v/>
      </c>
      <c r="R21" s="142">
        <f>SUMIFS(領用表!$L:$L,領用表!$E:$E,$B21,領用表!$B:$B,R$2&amp;$R$1)</f>
        <v/>
      </c>
      <c r="S21" s="142">
        <f>SUMIFS(領用表!$L:$L,領用表!$E:$E,$B21,領用表!$B:$B,S$2&amp;$R$1)</f>
        <v/>
      </c>
      <c r="T21" s="142">
        <f>SUMIFS(領用表!$L:$L,領用表!$E:$E,$B21,領用表!$B:$B,T$2&amp;$R$1)</f>
        <v/>
      </c>
      <c r="U21" s="142">
        <f>SUMIFS(領用表!$L:$L,領用表!$E:$E,$B21,領用表!$B:$B,U$2&amp;$R$1)</f>
        <v/>
      </c>
      <c r="V21" s="142">
        <f>SUMIFS(領用表!$L:$L,領用表!$E:$E,$B21,領用表!$B:$B,V$2&amp;$R$1)</f>
        <v/>
      </c>
      <c r="W21" s="142" t="n">
        <v>4</v>
      </c>
      <c r="X21" s="142">
        <f>SUMIFS(領用表!$L:$L,領用表!$E:$E,$B21,領用表!$B:$B,X$2&amp;$R$1)</f>
        <v/>
      </c>
      <c r="Y21" s="142">
        <f>SUMIFS(領用表!$L:$L,領用表!$E:$E,$B21,領用表!$B:$B,Y$2&amp;$R$1)</f>
        <v/>
      </c>
      <c r="Z21" s="142">
        <f>SUMIFS(領用表!$L:$L,領用表!$E:$E,$B21,領用表!$B:$B,Z$2&amp;$R$1)</f>
        <v/>
      </c>
      <c r="AA21" s="142">
        <f>SUMIFS(領用表!$L:$L,領用表!$E:$E,$B21,領用表!$B:$B,AA$2&amp;$R$1)</f>
        <v/>
      </c>
      <c r="AB21" s="142">
        <f>SUMIFS(領用表!$L:$L,領用表!$E:$E,$B21,領用表!$B:$B,AB$2&amp;$R$1)</f>
        <v/>
      </c>
      <c r="AC21" s="142">
        <f>SUMIFS(領用表!$L:$L,領用表!$E:$E,$B21,領用表!$B:$B,AC$2&amp;$R$1)</f>
        <v/>
      </c>
      <c r="AD21" s="142">
        <f>SUM(R21,S21,T21,U21,V21,W21)</f>
        <v/>
      </c>
      <c r="AE21" s="142">
        <f>AVERAGE(R21,S21,T21,U21,V21,W21)</f>
        <v/>
      </c>
      <c r="AF21" s="142">
        <f>SUMIF(Summary!B:B,B21,Summary!EB:EB)</f>
        <v/>
      </c>
      <c r="AG21" s="101" t="n">
        <v>0</v>
      </c>
      <c r="AH21" s="36" t="inlineStr">
        <is>
          <t>726支</t>
        </is>
      </c>
      <c r="AI21" s="25" t="n"/>
      <c r="AJ21" s="25" t="n"/>
      <c r="AK21" s="27" t="n"/>
      <c r="AL21" s="28" t="n"/>
      <c r="AM21" s="14" t="n"/>
      <c r="AN21" s="29" t="n"/>
    </row>
    <row r="22" hidden="1" ht="15.75" customHeight="1" s="453">
      <c r="A22" s="27" t="inlineStr">
        <is>
          <t>MP1MA020016A</t>
        </is>
      </c>
      <c r="B22" s="14" t="e">
        <v>#N/A</v>
      </c>
      <c r="C22" s="132" t="inlineStr">
        <is>
          <t>薇貝拉軟組織植入劑-小分子白童針 50mg</t>
        </is>
      </c>
      <c r="D22" s="37" t="n">
        <v>1</v>
      </c>
      <c r="E22" s="38" t="inlineStr">
        <is>
          <t>PCS</t>
        </is>
      </c>
      <c r="F22" s="18" t="n"/>
      <c r="G22" s="18" t="n"/>
      <c r="H22" s="40">
        <f>SUM(#REF!)</f>
        <v/>
      </c>
      <c r="I22" s="543">
        <f>H22/4</f>
        <v/>
      </c>
      <c r="J22" s="39">
        <f>SUMIFS(領用表!$L:$L,領用表!$E:$E,$B22,領用表!$B:$B,J$2&amp;$R$1)</f>
        <v/>
      </c>
      <c r="K22" s="39">
        <f>SUMIFS(領用表!$L:$L,領用表!$E:$E,$B22,領用表!$B:$B,K$2&amp;$R$1)</f>
        <v/>
      </c>
      <c r="L22" s="39">
        <f>SUMIFS(領用表!$L:$L,領用表!$E:$E,$B22,領用表!$B:$B,L$2&amp;$R$1)</f>
        <v/>
      </c>
      <c r="M22" s="142">
        <f>SUMIFS(領用表!$L:$L,領用表!$E:$E,$B22,領用表!$B:$B,M$2&amp;$R$1)</f>
        <v/>
      </c>
      <c r="N22" s="142">
        <f>SUMIFS(領用表!$L:$L,領用表!$E:$E,$B22,領用表!$B:$B,N$2&amp;$R$1)</f>
        <v/>
      </c>
      <c r="O22" s="142">
        <f>SUMIFS(領用表!$L:$L,領用表!$E:$E,$B22,領用表!$B:$B,O$2&amp;$R$1)</f>
        <v/>
      </c>
      <c r="P22" s="42">
        <f>SUM(,J22,K22,L22,M22,N22,O22)</f>
        <v/>
      </c>
      <c r="Q22" s="42">
        <f>AVERAGE(,J22,K22,L22,M22,N22,O22)</f>
        <v/>
      </c>
      <c r="R22" s="142">
        <f>SUMIFS(領用表!$L:$L,領用表!$E:$E,$B22,領用表!$B:$B,R$2&amp;$R$1)</f>
        <v/>
      </c>
      <c r="S22" s="142">
        <f>SUMIFS(領用表!$L:$L,領用表!$E:$E,$B22,領用表!$B:$B,S$2&amp;$R$1)</f>
        <v/>
      </c>
      <c r="T22" s="142">
        <f>SUMIFS(領用表!$L:$L,領用表!$E:$E,$B22,領用表!$B:$B,T$2&amp;$R$1)</f>
        <v/>
      </c>
      <c r="U22" s="142">
        <f>SUMIFS(領用表!$L:$L,領用表!$E:$E,$B22,領用表!$B:$B,U$2&amp;$R$1)</f>
        <v/>
      </c>
      <c r="V22" s="142">
        <f>SUMIFS(領用表!$L:$L,領用表!$E:$E,$B22,領用表!$B:$B,V$2&amp;$R$1)</f>
        <v/>
      </c>
      <c r="W22" s="142">
        <f>SUMIFS(領用表!$L:$L,領用表!$E:$E,$B22,領用表!$B:$B,W$2&amp;$R$1)</f>
        <v/>
      </c>
      <c r="X22" s="142">
        <f>SUMIFS(領用表!$L:$L,領用表!$E:$E,$B22,領用表!$B:$B,X$2&amp;$R$1)</f>
        <v/>
      </c>
      <c r="Y22" s="142">
        <f>SUMIFS(領用表!$L:$L,領用表!$E:$E,$B22,領用表!$B:$B,Y$2&amp;$R$1)</f>
        <v/>
      </c>
      <c r="Z22" s="142">
        <f>SUMIFS(領用表!$L:$L,領用表!$E:$E,$B22,領用表!$B:$B,Z$2&amp;$R$1)</f>
        <v/>
      </c>
      <c r="AA22" s="142">
        <f>SUMIFS(領用表!$L:$L,領用表!$E:$E,$B22,領用表!$B:$B,AA$2&amp;$R$1)</f>
        <v/>
      </c>
      <c r="AB22" s="142">
        <f>SUMIFS(領用表!$L:$L,領用表!$E:$E,$B22,領用表!$B:$B,AB$2&amp;$R$1)</f>
        <v/>
      </c>
      <c r="AC22" s="142">
        <f>SUMIFS(領用表!$L:$L,領用表!$E:$E,$B22,領用表!$B:$B,AC$2&amp;$R$1)</f>
        <v/>
      </c>
      <c r="AD22" s="142">
        <f>SUM(R22,S22,T22,U22,V22,W22)</f>
        <v/>
      </c>
      <c r="AE22" s="142">
        <f>AVERAGE(R22,S22,T22,U22,V22,W22)</f>
        <v/>
      </c>
      <c r="AF22" s="142">
        <f>SUMIF(Summary!B:B,B22,Summary!EB:EB)</f>
        <v/>
      </c>
      <c r="AG22" s="103" t="n"/>
      <c r="AH22" s="36" t="n"/>
      <c r="AI22" s="25" t="n"/>
      <c r="AJ22" s="25" t="n"/>
      <c r="AK22" s="27" t="n"/>
      <c r="AL22" s="28" t="n"/>
      <c r="AM22" s="14" t="n"/>
      <c r="AN22" s="29" t="n"/>
    </row>
    <row r="23" hidden="1" s="453">
      <c r="A23" s="27" t="inlineStr">
        <is>
          <t>MP1MA020017A</t>
        </is>
      </c>
      <c r="B23" s="14" t="e">
        <v>#N/A</v>
      </c>
      <c r="C23" s="132" t="inlineStr">
        <is>
          <t>薇貝拉軟組織植入劑-大分子黑童針 200mg</t>
        </is>
      </c>
      <c r="D23" s="37" t="n">
        <v>1</v>
      </c>
      <c r="E23" s="38" t="inlineStr">
        <is>
          <t>PCS</t>
        </is>
      </c>
      <c r="F23" s="18" t="n"/>
      <c r="G23" s="18" t="n"/>
      <c r="H23" s="40">
        <f>SUM(#REF!)</f>
        <v/>
      </c>
      <c r="I23" s="543">
        <f>H23/4</f>
        <v/>
      </c>
      <c r="J23" s="39">
        <f>SUMIFS(領用表!$L:$L,領用表!$E:$E,$B23,領用表!$B:$B,J$2&amp;$R$1)</f>
        <v/>
      </c>
      <c r="K23" s="39">
        <f>SUMIFS(領用表!$L:$L,領用表!$E:$E,$B23,領用表!$B:$B,K$2&amp;$R$1)</f>
        <v/>
      </c>
      <c r="L23" s="39">
        <f>SUMIFS(領用表!$L:$L,領用表!$E:$E,$B23,領用表!$B:$B,L$2&amp;$R$1)</f>
        <v/>
      </c>
      <c r="M23" s="142">
        <f>SUMIFS(領用表!$L:$L,領用表!$E:$E,$B23,領用表!$B:$B,M$2&amp;$R$1)</f>
        <v/>
      </c>
      <c r="N23" s="142">
        <f>SUMIFS(領用表!$L:$L,領用表!$E:$E,$B23,領用表!$B:$B,N$2&amp;$R$1)</f>
        <v/>
      </c>
      <c r="O23" s="142">
        <f>SUMIFS(領用表!$L:$L,領用表!$E:$E,$B23,領用表!$B:$B,O$2&amp;$R$1)</f>
        <v/>
      </c>
      <c r="P23" s="42">
        <f>SUM(,J23,K23,L23,M23,N23,O23)</f>
        <v/>
      </c>
      <c r="Q23" s="42">
        <f>AVERAGE(,J23,K23,L23,M23,N23,O23)</f>
        <v/>
      </c>
      <c r="R23" s="142">
        <f>SUMIFS(領用表!$L:$L,領用表!$E:$E,$B23,領用表!$B:$B,R$2&amp;$R$1)</f>
        <v/>
      </c>
      <c r="S23" s="142">
        <f>SUMIFS(領用表!$L:$L,領用表!$E:$E,$B23,領用表!$B:$B,S$2&amp;$R$1)</f>
        <v/>
      </c>
      <c r="T23" s="142">
        <f>SUMIFS(領用表!$L:$L,領用表!$E:$E,$B23,領用表!$B:$B,T$2&amp;$R$1)</f>
        <v/>
      </c>
      <c r="U23" s="142">
        <f>SUMIFS(領用表!$L:$L,領用表!$E:$E,$B23,領用表!$B:$B,U$2&amp;$R$1)</f>
        <v/>
      </c>
      <c r="V23" s="142">
        <f>SUMIFS(領用表!$L:$L,領用表!$E:$E,$B23,領用表!$B:$B,V$2&amp;$R$1)</f>
        <v/>
      </c>
      <c r="W23" s="142">
        <f>SUMIFS(領用表!$L:$L,領用表!$E:$E,$B23,領用表!$B:$B,W$2&amp;$R$1)</f>
        <v/>
      </c>
      <c r="X23" s="142">
        <f>SUMIFS(領用表!$L:$L,領用表!$E:$E,$B23,領用表!$B:$B,X$2&amp;$R$1)</f>
        <v/>
      </c>
      <c r="Y23" s="142">
        <f>SUMIFS(領用表!$L:$L,領用表!$E:$E,$B23,領用表!$B:$B,Y$2&amp;$R$1)</f>
        <v/>
      </c>
      <c r="Z23" s="142">
        <f>SUMIFS(領用表!$L:$L,領用表!$E:$E,$B23,領用表!$B:$B,Z$2&amp;$R$1)</f>
        <v/>
      </c>
      <c r="AA23" s="142">
        <f>SUMIFS(領用表!$L:$L,領用表!$E:$E,$B23,領用表!$B:$B,AA$2&amp;$R$1)</f>
        <v/>
      </c>
      <c r="AB23" s="142">
        <f>SUMIFS(領用表!$L:$L,領用表!$E:$E,$B23,領用表!$B:$B,AB$2&amp;$R$1)</f>
        <v/>
      </c>
      <c r="AC23" s="142">
        <f>SUMIFS(領用表!$L:$L,領用表!$E:$E,$B23,領用表!$B:$B,AC$2&amp;$R$1)</f>
        <v/>
      </c>
      <c r="AD23" s="142">
        <f>SUM(R23,S23,T23,U23,V23,W23)</f>
        <v/>
      </c>
      <c r="AE23" s="142">
        <f>AVERAGE(R23,S23,T23,U23,V23,W23)</f>
        <v/>
      </c>
      <c r="AF23" s="142">
        <f>SUMIF(Summary!B:B,B23,Summary!EB:EB)</f>
        <v/>
      </c>
      <c r="AG23" s="103" t="n"/>
      <c r="AH23" s="515" t="n"/>
      <c r="AI23" s="25" t="n"/>
      <c r="AJ23" s="25" t="n"/>
      <c r="AK23" s="27" t="n"/>
      <c r="AL23" s="28" t="n"/>
      <c r="AM23" s="14" t="n"/>
      <c r="AN23" s="29" t="n"/>
    </row>
    <row r="24" ht="15.75" customHeight="1" s="453">
      <c r="A24" s="27" t="inlineStr">
        <is>
          <t>MP1MA020032A</t>
        </is>
      </c>
      <c r="B24" s="14" t="n">
        <v>6160008</v>
      </c>
      <c r="C24" s="133" t="inlineStr">
        <is>
          <t>薇貝拉軟組織植入劑-小分子白童針(1cc)</t>
        </is>
      </c>
      <c r="D24" s="16" t="n">
        <v>6</v>
      </c>
      <c r="E24" s="17" t="inlineStr">
        <is>
          <t>ml</t>
        </is>
      </c>
      <c r="F24" s="18" t="n"/>
      <c r="G24" s="18">
        <f>(D24*80)+4</f>
        <v/>
      </c>
      <c r="H24" s="21" t="n"/>
      <c r="I24" s="21" t="n"/>
      <c r="J24" s="20">
        <f>SUMIFS(領用表!$L:$L,領用表!$E:$E,$B24,領用表!$B:$B,J$2&amp;$R$1)</f>
        <v/>
      </c>
      <c r="K24" s="20">
        <f>SUMIFS(領用表!$L:$L,領用表!$E:$E,$B24,領用表!$B:$B,K$2&amp;$R$1)</f>
        <v/>
      </c>
      <c r="L24" s="20">
        <f>SUMIFS(領用表!$L:$L,領用表!$E:$E,$B24,領用表!$B:$B,L$2&amp;$R$1)</f>
        <v/>
      </c>
      <c r="M24" s="142">
        <f>SUMIFS(領用表!$L:$L,領用表!$E:$E,$B24,領用表!$B:$B,M$2&amp;$R$1)</f>
        <v/>
      </c>
      <c r="N24" s="142">
        <f>SUMIFS(領用表!$L:$L,領用表!$E:$E,$B24,領用表!$B:$B,N$2&amp;$R$1)</f>
        <v/>
      </c>
      <c r="O24" s="142">
        <f>SUMIFS(領用表!$L:$L,領用表!$E:$E,$B24,領用表!$B:$B,O$2&amp;$R$1)</f>
        <v/>
      </c>
      <c r="P24" s="23">
        <f>SUM(,J24,K24,L24,M24,N24,O24)</f>
        <v/>
      </c>
      <c r="Q24" s="23">
        <f>AVERAGE(,J24,K24,L24,M24,N24,O24)</f>
        <v/>
      </c>
      <c r="R24" s="142">
        <f>SUMIFS(領用表!$L:$L,領用表!$E:$E,$B24,領用表!$B:$B,R$2&amp;$R$1)</f>
        <v/>
      </c>
      <c r="S24" s="142">
        <f>SUMIFS(領用表!$L:$L,領用表!$E:$E,$B24,領用表!$B:$B,S$2&amp;$R$1)</f>
        <v/>
      </c>
      <c r="T24" s="142">
        <f>SUMIFS(領用表!$L:$L,領用表!$E:$E,$B24,領用表!$B:$B,T$2&amp;$R$1)</f>
        <v/>
      </c>
      <c r="U24" s="142">
        <f>SUMIFS(領用表!$L:$L,領用表!$E:$E,$B24,領用表!$B:$B,U$2&amp;$R$1)</f>
        <v/>
      </c>
      <c r="V24" s="142">
        <f>SUMIFS(領用表!$L:$L,領用表!$E:$E,$B24,領用表!$B:$B,V$2&amp;$R$1)</f>
        <v/>
      </c>
      <c r="W24" s="142" t="n">
        <v>37</v>
      </c>
      <c r="X24" s="142">
        <f>SUMIFS(領用表!$L:$L,領用表!$E:$E,$B24,領用表!$B:$B,X$2&amp;$R$1)</f>
        <v/>
      </c>
      <c r="Y24" s="142">
        <f>SUMIFS(領用表!$L:$L,領用表!$E:$E,$B24,領用表!$B:$B,Y$2&amp;$R$1)</f>
        <v/>
      </c>
      <c r="Z24" s="142">
        <f>SUMIFS(領用表!$L:$L,領用表!$E:$E,$B24,領用表!$B:$B,Z$2&amp;$R$1)</f>
        <v/>
      </c>
      <c r="AA24" s="142">
        <f>SUMIFS(領用表!$L:$L,領用表!$E:$E,$B24,領用表!$B:$B,AA$2&amp;$R$1)</f>
        <v/>
      </c>
      <c r="AB24" s="142">
        <f>SUMIFS(領用表!$L:$L,領用表!$E:$E,$B24,領用表!$B:$B,AB$2&amp;$R$1)</f>
        <v/>
      </c>
      <c r="AC24" s="142">
        <f>SUMIFS(領用表!$L:$L,領用表!$E:$E,$B24,領用表!$B:$B,AC$2&amp;$R$1)</f>
        <v/>
      </c>
      <c r="AD24" s="142">
        <f>SUM(R24,S24,T24,U24,V24,W24)</f>
        <v/>
      </c>
      <c r="AE24" s="142">
        <f>AVERAGE(R24,S24,T24,U24,V24,W24)</f>
        <v/>
      </c>
      <c r="AF24" s="142">
        <f>SUMIF(Summary!B:B,B24,Summary!EB:EB)</f>
        <v/>
      </c>
      <c r="AG24" s="101" t="n">
        <v>120</v>
      </c>
      <c r="AH24" s="24" t="n"/>
      <c r="AI24" s="25" t="inlineStr">
        <is>
          <t>110瓶(10/21)</t>
        </is>
      </c>
      <c r="AJ24" s="25" t="inlineStr">
        <is>
          <t>40瓶(10/17)</t>
        </is>
      </c>
      <c r="AK24" s="27" t="n"/>
      <c r="AL24" s="28" t="n"/>
      <c r="AM24" s="14" t="n"/>
      <c r="AN24" s="29" t="n"/>
    </row>
    <row r="25" ht="15.75" customHeight="1" s="453">
      <c r="A25" s="27" t="inlineStr">
        <is>
          <t>MP1MA020033A</t>
        </is>
      </c>
      <c r="B25" s="14" t="n">
        <v>6160009</v>
      </c>
      <c r="C25" s="133" t="inlineStr">
        <is>
          <t>薇貝拉軟組織植入劑-大分子黑童針(1cc)</t>
        </is>
      </c>
      <c r="D25" s="16" t="n">
        <v>8</v>
      </c>
      <c r="E25" s="17" t="inlineStr">
        <is>
          <t>ml</t>
        </is>
      </c>
      <c r="F25" s="18" t="n"/>
      <c r="G25" s="18">
        <f>(D25*14)+0</f>
        <v/>
      </c>
      <c r="H25" s="21" t="n"/>
      <c r="I25" s="21" t="n"/>
      <c r="J25" s="20">
        <f>SUMIFS(領用表!$L:$L,領用表!$E:$E,$B25,領用表!$B:$B,J$2&amp;$R$1)</f>
        <v/>
      </c>
      <c r="K25" s="20">
        <f>SUMIFS(領用表!$L:$L,領用表!$E:$E,$B25,領用表!$B:$B,K$2&amp;$R$1)</f>
        <v/>
      </c>
      <c r="L25" s="20">
        <f>SUMIFS(領用表!$L:$L,領用表!$E:$E,$B25,領用表!$B:$B,L$2&amp;$R$1)</f>
        <v/>
      </c>
      <c r="M25" s="142">
        <f>SUMIFS(領用表!$L:$L,領用表!$E:$E,$B25,領用表!$B:$B,M$2&amp;$R$1)</f>
        <v/>
      </c>
      <c r="N25" s="142">
        <f>SUMIFS(領用表!$L:$L,領用表!$E:$E,$B25,領用表!$B:$B,N$2&amp;$R$1)</f>
        <v/>
      </c>
      <c r="O25" s="142">
        <f>SUMIFS(領用表!$L:$L,領用表!$E:$E,$B25,領用表!$B:$B,O$2&amp;$R$1)</f>
        <v/>
      </c>
      <c r="P25" s="23">
        <f>SUM(,J25,K25,L25,M25,N25,O25)</f>
        <v/>
      </c>
      <c r="Q25" s="23">
        <f>AVERAGE(,J25,K25,L25,M25,N25,O25)</f>
        <v/>
      </c>
      <c r="R25" s="142">
        <f>SUMIFS(領用表!$L:$L,領用表!$E:$E,$B25,領用表!$B:$B,R$2&amp;$R$1)</f>
        <v/>
      </c>
      <c r="S25" s="142">
        <f>SUMIFS(領用表!$L:$L,領用表!$E:$E,$B25,領用表!$B:$B,S$2&amp;$R$1)</f>
        <v/>
      </c>
      <c r="T25" s="142">
        <f>SUMIFS(領用表!$L:$L,領用表!$E:$E,$B25,領用表!$B:$B,T$2&amp;$R$1)</f>
        <v/>
      </c>
      <c r="U25" s="142">
        <f>SUMIFS(領用表!$L:$L,領用表!$E:$E,$B25,領用表!$B:$B,U$2&amp;$R$1)</f>
        <v/>
      </c>
      <c r="V25" s="142">
        <f>SUMIFS(領用表!$L:$L,領用表!$E:$E,$B25,領用表!$B:$B,V$2&amp;$R$1)</f>
        <v/>
      </c>
      <c r="W25" s="142" t="n">
        <v>6</v>
      </c>
      <c r="X25" s="142">
        <f>SUMIFS(領用表!$L:$L,領用表!$E:$E,$B25,領用表!$B:$B,X$2&amp;$R$1)</f>
        <v/>
      </c>
      <c r="Y25" s="142">
        <f>SUMIFS(領用表!$L:$L,領用表!$E:$E,$B25,領用表!$B:$B,Y$2&amp;$R$1)</f>
        <v/>
      </c>
      <c r="Z25" s="142">
        <f>SUMIFS(領用表!$L:$L,領用表!$E:$E,$B25,領用表!$B:$B,Z$2&amp;$R$1)</f>
        <v/>
      </c>
      <c r="AA25" s="142">
        <f>SUMIFS(領用表!$L:$L,領用表!$E:$E,$B25,領用表!$B:$B,AA$2&amp;$R$1)</f>
        <v/>
      </c>
      <c r="AB25" s="142">
        <f>SUMIFS(領用表!$L:$L,領用表!$E:$E,$B25,領用表!$B:$B,AB$2&amp;$R$1)</f>
        <v/>
      </c>
      <c r="AC25" s="142">
        <f>SUMIFS(領用表!$L:$L,領用表!$E:$E,$B25,領用表!$B:$B,AC$2&amp;$R$1)</f>
        <v/>
      </c>
      <c r="AD25" s="142">
        <f>SUM(R25,S25,T25,U25,V25,W25)</f>
        <v/>
      </c>
      <c r="AE25" s="142">
        <f>AVERAGE(R25,S25,T25,U25,V25,W25)</f>
        <v/>
      </c>
      <c r="AF25" s="142">
        <f>SUMIF(Summary!B:B,B25,Summary!EB:EB)</f>
        <v/>
      </c>
      <c r="AG25" s="101" t="n">
        <v>20</v>
      </c>
      <c r="AH25" s="24" t="n"/>
      <c r="AI25" s="25" t="inlineStr">
        <is>
          <t>40瓶(10/21)</t>
        </is>
      </c>
      <c r="AJ25" s="25" t="inlineStr">
        <is>
          <t>10瓶(10/17)</t>
        </is>
      </c>
      <c r="AK25" s="27" t="n"/>
      <c r="AL25" s="28" t="n"/>
      <c r="AM25" s="14" t="n"/>
      <c r="AN25" s="29" t="n"/>
    </row>
    <row r="26" hidden="1" ht="15.75" customHeight="1" s="453">
      <c r="A26" s="27" t="inlineStr">
        <is>
          <t>MP1MA020026A</t>
        </is>
      </c>
      <c r="B26" s="14" t="e">
        <v>#N/A</v>
      </c>
      <c r="C26" s="134" t="inlineStr">
        <is>
          <t>(喬雅露)芳蜜軟組織注射植入物-Juvelook 50mg</t>
        </is>
      </c>
      <c r="D26" s="37" t="n">
        <v>1</v>
      </c>
      <c r="E26" s="38" t="inlineStr">
        <is>
          <t>PCS</t>
        </is>
      </c>
      <c r="F26" s="18" t="n"/>
      <c r="G26" s="18">
        <f>D26*0</f>
        <v/>
      </c>
      <c r="H26" s="40" t="inlineStr">
        <is>
          <t>-</t>
        </is>
      </c>
      <c r="I26" s="40" t="inlineStr">
        <is>
          <t>-</t>
        </is>
      </c>
      <c r="J26" s="39">
        <f>SUMIFS(領用表!$L:$L,領用表!$E:$E,$B26,領用表!$B:$B,J$2&amp;$R$1)</f>
        <v/>
      </c>
      <c r="K26" s="39">
        <f>SUMIFS(領用表!$L:$L,領用表!$E:$E,$B26,領用表!$B:$B,K$2&amp;$R$1)</f>
        <v/>
      </c>
      <c r="L26" s="39">
        <f>SUMIFS(領用表!$L:$L,領用表!$E:$E,$B26,領用表!$B:$B,L$2&amp;$R$1)</f>
        <v/>
      </c>
      <c r="M26" s="142">
        <f>SUMIFS(領用表!$L:$L,領用表!$E:$E,$B26,領用表!$B:$B,M$2&amp;$R$1)</f>
        <v/>
      </c>
      <c r="N26" s="142">
        <f>SUMIFS(領用表!$L:$L,領用表!$E:$E,$B26,領用表!$B:$B,N$2&amp;$R$1)</f>
        <v/>
      </c>
      <c r="O26" s="142">
        <f>SUMIFS(領用表!$L:$L,領用表!$E:$E,$B26,領用表!$B:$B,O$2&amp;$R$1)</f>
        <v/>
      </c>
      <c r="P26" s="42">
        <f>SUM(,J26,K26,L26,M26,N26,O26)</f>
        <v/>
      </c>
      <c r="Q26" s="42">
        <f>AVERAGE(,J26,K26,L26,M26,N26,O26)</f>
        <v/>
      </c>
      <c r="R26" s="142">
        <f>SUMIFS(領用表!$L:$L,領用表!$E:$E,$B26,領用表!$B:$B,R$2&amp;$R$1)</f>
        <v/>
      </c>
      <c r="S26" s="142">
        <f>SUMIFS(領用表!$L:$L,領用表!$E:$E,$B26,領用表!$B:$B,S$2&amp;$R$1)</f>
        <v/>
      </c>
      <c r="T26" s="142">
        <f>SUMIFS(領用表!$L:$L,領用表!$E:$E,$B26,領用表!$B:$B,T$2&amp;$R$1)</f>
        <v/>
      </c>
      <c r="U26" s="142">
        <f>SUMIFS(領用表!$L:$L,領用表!$E:$E,$B26,領用表!$B:$B,U$2&amp;$R$1)</f>
        <v/>
      </c>
      <c r="V26" s="142">
        <f>SUMIFS(領用表!$L:$L,領用表!$E:$E,$B26,領用表!$B:$B,V$2&amp;$R$1)</f>
        <v/>
      </c>
      <c r="W26" s="142">
        <f>SUMIFS(領用表!$L:$L,領用表!$E:$E,$B26,領用表!$B:$B,W$2&amp;$R$1)</f>
        <v/>
      </c>
      <c r="X26" s="142">
        <f>SUMIFS(領用表!$L:$L,領用表!$E:$E,$B26,領用表!$B:$B,X$2&amp;$R$1)</f>
        <v/>
      </c>
      <c r="Y26" s="142">
        <f>SUMIFS(領用表!$L:$L,領用表!$E:$E,$B26,領用表!$B:$B,Y$2&amp;$R$1)</f>
        <v/>
      </c>
      <c r="Z26" s="142">
        <f>SUMIFS(領用表!$L:$L,領用表!$E:$E,$B26,領用表!$B:$B,Z$2&amp;$R$1)</f>
        <v/>
      </c>
      <c r="AA26" s="142">
        <f>SUMIFS(領用表!$L:$L,領用表!$E:$E,$B26,領用表!$B:$B,AA$2&amp;$R$1)</f>
        <v/>
      </c>
      <c r="AB26" s="142">
        <f>SUMIFS(領用表!$L:$L,領用表!$E:$E,$B26,領用表!$B:$B,AB$2&amp;$R$1)</f>
        <v/>
      </c>
      <c r="AC26" s="142">
        <f>SUMIFS(領用表!$L:$L,領用表!$E:$E,$B26,領用表!$B:$B,AC$2&amp;$R$1)</f>
        <v/>
      </c>
      <c r="AD26" s="142">
        <f>SUM(R26,S26,T26,U26,V26,W26)</f>
        <v/>
      </c>
      <c r="AE26" s="142">
        <f>AVERAGE(R26,S26,T26,U26,V26,W26)</f>
        <v/>
      </c>
      <c r="AF26" s="142">
        <f>SUMIF(Summary!B:B,B26,Summary!EB:EB)</f>
        <v/>
      </c>
      <c r="AG26" s="103" t="n"/>
      <c r="AH26" s="24" t="n"/>
      <c r="AI26" s="25" t="n"/>
      <c r="AJ26" s="25" t="n"/>
      <c r="AK26" s="27" t="inlineStr">
        <is>
          <t>叫貨單位「盒(10瓶)」</t>
        </is>
      </c>
      <c r="AL26" s="28" t="n"/>
      <c r="AM26" s="14" t="n"/>
      <c r="AN26" s="29" t="n"/>
    </row>
    <row r="27" hidden="1" ht="15.75" customHeight="1" s="453">
      <c r="A27" s="27" t="inlineStr">
        <is>
          <t>MP1MA020027A</t>
        </is>
      </c>
      <c r="B27" s="14" t="e">
        <v>#N/A</v>
      </c>
      <c r="C27" s="134" t="inlineStr">
        <is>
          <t>(喬雅露)芳蜜軟組織注射植入物-Lenisna 200mg</t>
        </is>
      </c>
      <c r="D27" s="37" t="n">
        <v>1</v>
      </c>
      <c r="E27" s="38" t="inlineStr">
        <is>
          <t>PCS</t>
        </is>
      </c>
      <c r="F27" s="18" t="n"/>
      <c r="G27" s="18">
        <f>D27*0</f>
        <v/>
      </c>
      <c r="H27" s="40" t="inlineStr">
        <is>
          <t>-</t>
        </is>
      </c>
      <c r="I27" s="40" t="inlineStr">
        <is>
          <t>-</t>
        </is>
      </c>
      <c r="J27" s="39">
        <f>SUMIFS(領用表!$L:$L,領用表!$E:$E,$B27,領用表!$B:$B,J$2&amp;$R$1)</f>
        <v/>
      </c>
      <c r="K27" s="39">
        <f>SUMIFS(領用表!$L:$L,領用表!$E:$E,$B27,領用表!$B:$B,K$2&amp;$R$1)</f>
        <v/>
      </c>
      <c r="L27" s="39">
        <f>SUMIFS(領用表!$L:$L,領用表!$E:$E,$B27,領用表!$B:$B,L$2&amp;$R$1)</f>
        <v/>
      </c>
      <c r="M27" s="142">
        <f>SUMIFS(領用表!$L:$L,領用表!$E:$E,$B27,領用表!$B:$B,M$2&amp;$R$1)</f>
        <v/>
      </c>
      <c r="N27" s="142">
        <f>SUMIFS(領用表!$L:$L,領用表!$E:$E,$B27,領用表!$B:$B,N$2&amp;$R$1)</f>
        <v/>
      </c>
      <c r="O27" s="142">
        <f>SUMIFS(領用表!$L:$L,領用表!$E:$E,$B27,領用表!$B:$B,O$2&amp;$R$1)</f>
        <v/>
      </c>
      <c r="P27" s="42">
        <f>SUM(,J27,K27,L27,M27,N27,O27)</f>
        <v/>
      </c>
      <c r="Q27" s="42">
        <f>AVERAGE(,J27,K27,L27,M27,N27,O27)</f>
        <v/>
      </c>
      <c r="R27" s="142">
        <f>SUMIFS(領用表!$L:$L,領用表!$E:$E,$B27,領用表!$B:$B,R$2&amp;$R$1)</f>
        <v/>
      </c>
      <c r="S27" s="142">
        <f>SUMIFS(領用表!$L:$L,領用表!$E:$E,$B27,領用表!$B:$B,S$2&amp;$R$1)</f>
        <v/>
      </c>
      <c r="T27" s="142">
        <f>SUMIFS(領用表!$L:$L,領用表!$E:$E,$B27,領用表!$B:$B,T$2&amp;$R$1)</f>
        <v/>
      </c>
      <c r="U27" s="142">
        <f>SUMIFS(領用表!$L:$L,領用表!$E:$E,$B27,領用表!$B:$B,U$2&amp;$R$1)</f>
        <v/>
      </c>
      <c r="V27" s="142">
        <f>SUMIFS(領用表!$L:$L,領用表!$E:$E,$B27,領用表!$B:$B,V$2&amp;$R$1)</f>
        <v/>
      </c>
      <c r="W27" s="142">
        <f>SUMIFS(領用表!$L:$L,領用表!$E:$E,$B27,領用表!$B:$B,W$2&amp;$R$1)</f>
        <v/>
      </c>
      <c r="X27" s="142">
        <f>SUMIFS(領用表!$L:$L,領用表!$E:$E,$B27,領用表!$B:$B,X$2&amp;$R$1)</f>
        <v/>
      </c>
      <c r="Y27" s="142">
        <f>SUMIFS(領用表!$L:$L,領用表!$E:$E,$B27,領用表!$B:$B,Y$2&amp;$R$1)</f>
        <v/>
      </c>
      <c r="Z27" s="142">
        <f>SUMIFS(領用表!$L:$L,領用表!$E:$E,$B27,領用表!$B:$B,Z$2&amp;$R$1)</f>
        <v/>
      </c>
      <c r="AA27" s="142">
        <f>SUMIFS(領用表!$L:$L,領用表!$E:$E,$B27,領用表!$B:$B,AA$2&amp;$R$1)</f>
        <v/>
      </c>
      <c r="AB27" s="142">
        <f>SUMIFS(領用表!$L:$L,領用表!$E:$E,$B27,領用表!$B:$B,AB$2&amp;$R$1)</f>
        <v/>
      </c>
      <c r="AC27" s="142">
        <f>SUMIFS(領用表!$L:$L,領用表!$E:$E,$B27,領用表!$B:$B,AC$2&amp;$R$1)</f>
        <v/>
      </c>
      <c r="AD27" s="142">
        <f>SUM(R27,S27,T27,U27,V27,W27)</f>
        <v/>
      </c>
      <c r="AE27" s="142">
        <f>AVERAGE(R27,S27,T27,U27,V27,W27)</f>
        <v/>
      </c>
      <c r="AF27" s="142">
        <f>SUMIF(Summary!B:B,B27,Summary!EB:EB)</f>
        <v/>
      </c>
      <c r="AG27" s="103" t="n"/>
      <c r="AH27" s="515" t="n"/>
      <c r="AI27" s="25" t="n"/>
      <c r="AJ27" s="25" t="n"/>
      <c r="AK27" s="27" t="inlineStr">
        <is>
          <t>叫貨單位「盒(10瓶)」</t>
        </is>
      </c>
      <c r="AL27" s="28" t="n"/>
      <c r="AM27" s="14" t="n"/>
      <c r="AN27" s="29" t="n"/>
    </row>
    <row r="28" ht="15.75" customHeight="1" s="453">
      <c r="A28" s="27" t="inlineStr">
        <is>
          <t>MP1MA020030A</t>
        </is>
      </c>
      <c r="B28" s="14" t="n">
        <v>6160011</v>
      </c>
      <c r="C28" s="133" t="inlineStr">
        <is>
          <t>(喬雅露)芳蜜軟組織注射植入物-Juvelook 50mg (1cc)</t>
        </is>
      </c>
      <c r="D28" s="16" t="n">
        <v>6</v>
      </c>
      <c r="E28" s="17" t="inlineStr">
        <is>
          <t>ml</t>
        </is>
      </c>
      <c r="F28" s="18" t="n"/>
      <c r="G28" s="18">
        <f>D28*(36)+0.5</f>
        <v/>
      </c>
      <c r="H28" s="21" t="n"/>
      <c r="I28" s="542" t="n"/>
      <c r="J28" s="20">
        <f>SUMIFS(領用表!$L:$L,領用表!$E:$E,$B28,領用表!$B:$B,J$2&amp;$R$1)</f>
        <v/>
      </c>
      <c r="K28" s="20">
        <f>SUMIFS(領用表!$L:$L,領用表!$E:$E,$B28,領用表!$B:$B,K$2&amp;$R$1)</f>
        <v/>
      </c>
      <c r="L28" s="20">
        <f>SUMIFS(領用表!$L:$L,領用表!$E:$E,$B28,領用表!$B:$B,L$2&amp;$R$1)</f>
        <v/>
      </c>
      <c r="M28" s="142">
        <f>SUMIFS(領用表!$L:$L,領用表!$E:$E,$B28,領用表!$B:$B,M$2&amp;$R$1)</f>
        <v/>
      </c>
      <c r="N28" s="142">
        <f>SUMIFS(領用表!$L:$L,領用表!$E:$E,$B28,領用表!$B:$B,N$2&amp;$R$1)</f>
        <v/>
      </c>
      <c r="O28" s="142">
        <f>SUMIFS(領用表!$L:$L,領用表!$E:$E,$B28,領用表!$B:$B,O$2&amp;$R$1)</f>
        <v/>
      </c>
      <c r="P28" s="23">
        <f>SUM(,J28,K28,L28,M28,N28,O28)</f>
        <v/>
      </c>
      <c r="Q28" s="23">
        <f>AVERAGE(,J28,K28,L28,M28,N28,O28)</f>
        <v/>
      </c>
      <c r="R28" s="142">
        <f>SUMIFS(領用表!$L:$L,領用表!$E:$E,$B28,領用表!$B:$B,R$2&amp;$R$1)</f>
        <v/>
      </c>
      <c r="S28" s="142">
        <f>SUMIFS(領用表!$L:$L,領用表!$E:$E,$B28,領用表!$B:$B,S$2&amp;$R$1)</f>
        <v/>
      </c>
      <c r="T28" s="142">
        <f>SUMIFS(領用表!$L:$L,領用表!$E:$E,$B28,領用表!$B:$B,T$2&amp;$R$1)</f>
        <v/>
      </c>
      <c r="U28" s="142">
        <f>SUMIFS(領用表!$L:$L,領用表!$E:$E,$B28,領用表!$B:$B,U$2&amp;$R$1)</f>
        <v/>
      </c>
      <c r="V28" s="142">
        <f>SUMIFS(領用表!$L:$L,領用表!$E:$E,$B28,領用表!$B:$B,V$2&amp;$R$1)</f>
        <v/>
      </c>
      <c r="W28" s="142" t="n">
        <v>138</v>
      </c>
      <c r="X28" s="142">
        <f>SUMIFS(領用表!$L:$L,領用表!$E:$E,$B28,領用表!$B:$B,X$2&amp;$R$1)</f>
        <v/>
      </c>
      <c r="Y28" s="142">
        <f>SUMIFS(領用表!$L:$L,領用表!$E:$E,$B28,領用表!$B:$B,Y$2&amp;$R$1)</f>
        <v/>
      </c>
      <c r="Z28" s="142">
        <f>SUMIFS(領用表!$L:$L,領用表!$E:$E,$B28,領用表!$B:$B,Z$2&amp;$R$1)</f>
        <v/>
      </c>
      <c r="AA28" s="142">
        <f>SUMIFS(領用表!$L:$L,領用表!$E:$E,$B28,領用表!$B:$B,AA$2&amp;$R$1)</f>
        <v/>
      </c>
      <c r="AB28" s="142">
        <f>SUMIFS(領用表!$L:$L,領用表!$E:$E,$B28,領用表!$B:$B,AB$2&amp;$R$1)</f>
        <v/>
      </c>
      <c r="AC28" s="142">
        <f>SUMIFS(領用表!$L:$L,領用表!$E:$E,$B28,領用表!$B:$B,AC$2&amp;$R$1)</f>
        <v/>
      </c>
      <c r="AD28" s="142">
        <f>SUM(R28,S28,T28,U28,V28,W28)</f>
        <v/>
      </c>
      <c r="AE28" s="142">
        <f>AVERAGE(R28,S28,T28,U28,V28,W28)</f>
        <v/>
      </c>
      <c r="AF28" s="142">
        <f>SUMIF(Summary!B:B,B28,Summary!EB:EB)</f>
        <v/>
      </c>
      <c r="AG28" s="101" t="n">
        <v>175</v>
      </c>
      <c r="AH28" s="544" t="inlineStr">
        <is>
          <t>25 (出完改叫薇貝拉)</t>
        </is>
      </c>
      <c r="AI28" s="25" t="inlineStr">
        <is>
          <t>10瓶(10/21)</t>
        </is>
      </c>
      <c r="AJ28" s="25" t="n"/>
      <c r="AK28" s="27" t="inlineStr">
        <is>
          <t>叫貨單位「盒(10瓶)」</t>
        </is>
      </c>
      <c r="AL28" s="28" t="n"/>
      <c r="AM28" s="14" t="n"/>
      <c r="AN28" s="29" t="n"/>
    </row>
    <row r="29" ht="15.75" customHeight="1" s="453">
      <c r="A29" s="27" t="inlineStr">
        <is>
          <t>MP1MA020031A</t>
        </is>
      </c>
      <c r="B29" s="14" t="n">
        <v>6160010</v>
      </c>
      <c r="C29" s="133" t="inlineStr">
        <is>
          <t>(喬雅露)芳蜜軟組織注射植入物-Lenisna 200mg(1cc)</t>
        </is>
      </c>
      <c r="D29" s="16" t="n">
        <v>8</v>
      </c>
      <c r="E29" s="17" t="inlineStr">
        <is>
          <t>ml</t>
        </is>
      </c>
      <c r="F29" s="18" t="n"/>
      <c r="G29" s="18">
        <f>D29*(24)+1</f>
        <v/>
      </c>
      <c r="H29" s="21" t="n"/>
      <c r="I29" s="542" t="n"/>
      <c r="J29" s="20">
        <f>SUMIFS(領用表!$L:$L,領用表!$E:$E,$B29,領用表!$B:$B,J$2&amp;$R$1)</f>
        <v/>
      </c>
      <c r="K29" s="20">
        <f>SUMIFS(領用表!$L:$L,領用表!$E:$E,$B29,領用表!$B:$B,K$2&amp;$R$1)</f>
        <v/>
      </c>
      <c r="L29" s="20">
        <f>SUMIFS(領用表!$L:$L,領用表!$E:$E,$B29,領用表!$B:$B,L$2&amp;$R$1)</f>
        <v/>
      </c>
      <c r="M29" s="142">
        <f>SUMIFS(領用表!$L:$L,領用表!$E:$E,$B29,領用表!$B:$B,M$2&amp;$R$1)</f>
        <v/>
      </c>
      <c r="N29" s="142">
        <f>SUMIFS(領用表!$L:$L,領用表!$E:$E,$B29,領用表!$B:$B,N$2&amp;$R$1)</f>
        <v/>
      </c>
      <c r="O29" s="142">
        <f>SUMIFS(領用表!$L:$L,領用表!$E:$E,$B29,領用表!$B:$B,O$2&amp;$R$1)</f>
        <v/>
      </c>
      <c r="P29" s="23">
        <f>SUM(,J29,K29,L29,M29,N29,O29)</f>
        <v/>
      </c>
      <c r="Q29" s="23">
        <f>AVERAGE(,J29,K29,L29,M29,N29,O29)</f>
        <v/>
      </c>
      <c r="R29" s="142">
        <f>SUMIFS(領用表!$L:$L,領用表!$E:$E,$B29,領用表!$B:$B,R$2&amp;$R$1)</f>
        <v/>
      </c>
      <c r="S29" s="142">
        <f>SUMIFS(領用表!$L:$L,領用表!$E:$E,$B29,領用表!$B:$B,S$2&amp;$R$1)</f>
        <v/>
      </c>
      <c r="T29" s="142">
        <f>SUMIFS(領用表!$L:$L,領用表!$E:$E,$B29,領用表!$B:$B,T$2&amp;$R$1)</f>
        <v/>
      </c>
      <c r="U29" s="142">
        <f>SUMIFS(領用表!$L:$L,領用表!$E:$E,$B29,領用表!$B:$B,U$2&amp;$R$1)</f>
        <v/>
      </c>
      <c r="V29" s="142">
        <f>SUMIFS(領用表!$L:$L,領用表!$E:$E,$B29,領用表!$B:$B,V$2&amp;$R$1)</f>
        <v/>
      </c>
      <c r="W29" s="142" t="n">
        <v>22</v>
      </c>
      <c r="X29" s="142">
        <f>SUMIFS(領用表!$L:$L,領用表!$E:$E,$B29,領用表!$B:$B,X$2&amp;$R$1)</f>
        <v/>
      </c>
      <c r="Y29" s="142">
        <f>SUMIFS(領用表!$L:$L,領用表!$E:$E,$B29,領用表!$B:$B,Y$2&amp;$R$1)</f>
        <v/>
      </c>
      <c r="Z29" s="142">
        <f>SUMIFS(領用表!$L:$L,領用表!$E:$E,$B29,領用表!$B:$B,Z$2&amp;$R$1)</f>
        <v/>
      </c>
      <c r="AA29" s="142">
        <f>SUMIFS(領用表!$L:$L,領用表!$E:$E,$B29,領用表!$B:$B,AA$2&amp;$R$1)</f>
        <v/>
      </c>
      <c r="AB29" s="142">
        <f>SUMIFS(領用表!$L:$L,領用表!$E:$E,$B29,領用表!$B:$B,AB$2&amp;$R$1)</f>
        <v/>
      </c>
      <c r="AC29" s="142">
        <f>SUMIFS(領用表!$L:$L,領用表!$E:$E,$B29,領用表!$B:$B,AC$2&amp;$R$1)</f>
        <v/>
      </c>
      <c r="AD29" s="142">
        <f>SUM(R29,S29,T29,U29,V29,W29)</f>
        <v/>
      </c>
      <c r="AE29" s="142">
        <f>AVERAGE(R29,S29,T29,U29,V29,W29)</f>
        <v/>
      </c>
      <c r="AF29" s="142">
        <f>SUMIF(Summary!B:B,B29,Summary!EB:EB)</f>
        <v/>
      </c>
      <c r="AG29" s="101" t="n">
        <v>60</v>
      </c>
      <c r="AH29" s="515" t="n"/>
      <c r="AI29" s="25" t="n"/>
      <c r="AJ29" s="25" t="inlineStr">
        <is>
          <t>10瓶(10/21)</t>
        </is>
      </c>
      <c r="AK29" s="27" t="inlineStr">
        <is>
          <t>叫貨單位「盒(10瓶)」</t>
        </is>
      </c>
      <c r="AL29" s="28" t="n"/>
      <c r="AM29" s="14" t="n"/>
      <c r="AN29" s="29" t="n"/>
    </row>
    <row r="30" ht="15.75" customHeight="1" s="453">
      <c r="A30" s="27" t="inlineStr">
        <is>
          <t>MP1MX080004A</t>
        </is>
      </c>
      <c r="B30" s="14" t="n">
        <v>6190002</v>
      </c>
      <c r="C30" s="118" t="inlineStr">
        <is>
          <t>PLT生長因子凍晶製備6入(單瓶)</t>
        </is>
      </c>
      <c r="D30" s="16" t="n">
        <v>6</v>
      </c>
      <c r="E30" s="17" t="inlineStr">
        <is>
          <t>BOT</t>
        </is>
      </c>
      <c r="F30" s="18" t="n"/>
      <c r="G30" s="18" t="n">
        <v>42</v>
      </c>
      <c r="H30" s="21">
        <f>SUM(#REF!)</f>
        <v/>
      </c>
      <c r="I30" s="542">
        <f>H30/12</f>
        <v/>
      </c>
      <c r="J30" s="20">
        <f>SUMIFS(領用表!$L:$L,領用表!$E:$E,$B30,領用表!$B:$B,J$2&amp;$R$1)</f>
        <v/>
      </c>
      <c r="K30" s="20">
        <f>SUMIFS(領用表!$L:$L,領用表!$E:$E,$B30,領用表!$B:$B,K$2&amp;$R$1)</f>
        <v/>
      </c>
      <c r="L30" s="20">
        <f>SUMIFS(領用表!$L:$L,領用表!$E:$E,$B30,領用表!$B:$B,L$2&amp;$R$1)</f>
        <v/>
      </c>
      <c r="M30" s="142">
        <f>SUMIFS(領用表!$L:$L,領用表!$E:$E,$B30,領用表!$B:$B,M$2&amp;$R$1)</f>
        <v/>
      </c>
      <c r="N30" s="142">
        <f>SUMIFS(領用表!$L:$L,領用表!$E:$E,$B30,領用表!$B:$B,N$2&amp;$R$1)</f>
        <v/>
      </c>
      <c r="O30" s="142">
        <f>SUMIFS(領用表!$L:$L,領用表!$E:$E,$B30,領用表!$B:$B,O$2&amp;$R$1)</f>
        <v/>
      </c>
      <c r="P30" s="23">
        <f>SUM(,J30,K30,L30,M30,N30,O30)</f>
        <v/>
      </c>
      <c r="Q30" s="23">
        <f>AVERAGE(,J30,K30,L30,M30,N30,O30)</f>
        <v/>
      </c>
      <c r="R30" s="142">
        <f>SUMIFS(領用表!$L:$L,領用表!$E:$E,$B30,領用表!$B:$B,R$2&amp;$R$1)</f>
        <v/>
      </c>
      <c r="S30" s="142">
        <f>SUMIFS(領用表!$L:$L,領用表!$E:$E,$B30,領用表!$B:$B,S$2&amp;$R$1)</f>
        <v/>
      </c>
      <c r="T30" s="142">
        <f>SUMIFS(領用表!$L:$L,領用表!$E:$E,$B30,領用表!$B:$B,T$2&amp;$R$1)</f>
        <v/>
      </c>
      <c r="U30" s="142">
        <f>SUMIFS(領用表!$L:$L,領用表!$E:$E,$B30,領用表!$B:$B,U$2&amp;$R$1)</f>
        <v/>
      </c>
      <c r="V30" s="142">
        <f>SUMIFS(領用表!$L:$L,領用表!$E:$E,$B30,領用表!$B:$B,V$2&amp;$R$1)</f>
        <v/>
      </c>
      <c r="W30" s="142" t="n"/>
      <c r="X30" s="142">
        <f>SUMIFS(領用表!$L:$L,領用表!$E:$E,$B30,領用表!$B:$B,X$2&amp;$R$1)</f>
        <v/>
      </c>
      <c r="Y30" s="142">
        <f>SUMIFS(領用表!$L:$L,領用表!$E:$E,$B30,領用表!$B:$B,Y$2&amp;$R$1)</f>
        <v/>
      </c>
      <c r="Z30" s="142">
        <f>SUMIFS(領用表!$L:$L,領用表!$E:$E,$B30,領用表!$B:$B,Z$2&amp;$R$1)</f>
        <v/>
      </c>
      <c r="AA30" s="142">
        <f>SUMIFS(領用表!$L:$L,領用表!$E:$E,$B30,領用表!$B:$B,AA$2&amp;$R$1)</f>
        <v/>
      </c>
      <c r="AB30" s="142">
        <f>SUMIFS(領用表!$L:$L,領用表!$E:$E,$B30,領用表!$B:$B,AB$2&amp;$R$1)</f>
        <v/>
      </c>
      <c r="AC30" s="142">
        <f>SUMIFS(領用表!$L:$L,領用表!$E:$E,$B30,領用表!$B:$B,AC$2&amp;$R$1)</f>
        <v/>
      </c>
      <c r="AD30" s="142">
        <f>SUM(R30,S30,T30,U30,V30,W30)</f>
        <v/>
      </c>
      <c r="AE30" s="142">
        <f>AVERAGE(R30,S30,T30,U30,V30,W30)</f>
        <v/>
      </c>
      <c r="AF30" s="142">
        <f>SUMIF(Summary!B:B,B30,Summary!EB:EB)</f>
        <v/>
      </c>
      <c r="AG30" s="101" t="n">
        <v>5</v>
      </c>
      <c r="AH30" s="24" t="n">
        <v>0</v>
      </c>
      <c r="AI30" s="25" t="n"/>
      <c r="AJ30" s="25" t="n"/>
      <c r="AK30" s="27" t="n"/>
      <c r="AL30" s="28" t="n"/>
      <c r="AM30" s="14" t="n"/>
      <c r="AN30" s="29" t="n"/>
    </row>
    <row r="31" ht="15.75" customHeight="1" s="453">
      <c r="A31" s="27" t="inlineStr">
        <is>
          <t>MP1MX080005A</t>
        </is>
      </c>
      <c r="B31" s="14" t="n">
        <v>6190003</v>
      </c>
      <c r="C31" s="118" t="inlineStr">
        <is>
          <t>PLT生長因子凍晶製備10入(單瓶)</t>
        </is>
      </c>
      <c r="D31" s="16" t="n">
        <v>10</v>
      </c>
      <c r="E31" s="17" t="inlineStr">
        <is>
          <t>BOT</t>
        </is>
      </c>
      <c r="F31" s="18" t="n"/>
      <c r="G31" s="18" t="n">
        <v>38</v>
      </c>
      <c r="H31" s="21">
        <f>SUM(#REF!)</f>
        <v/>
      </c>
      <c r="I31" s="542">
        <f>H31/12</f>
        <v/>
      </c>
      <c r="J31" s="20">
        <f>SUMIFS(領用表!$L:$L,領用表!$E:$E,$B31,領用表!$B:$B,J$2&amp;$R$1)</f>
        <v/>
      </c>
      <c r="K31" s="20">
        <f>SUMIFS(領用表!$L:$L,領用表!$E:$E,$B31,領用表!$B:$B,K$2&amp;$R$1)</f>
        <v/>
      </c>
      <c r="L31" s="20">
        <f>SUMIFS(領用表!$L:$L,領用表!$E:$E,$B31,領用表!$B:$B,L$2&amp;$R$1)</f>
        <v/>
      </c>
      <c r="M31" s="142">
        <f>SUMIFS(領用表!$L:$L,領用表!$E:$E,$B31,領用表!$B:$B,M$2&amp;$R$1)</f>
        <v/>
      </c>
      <c r="N31" s="142">
        <f>SUMIFS(領用表!$L:$L,領用表!$E:$E,$B31,領用表!$B:$B,N$2&amp;$R$1)</f>
        <v/>
      </c>
      <c r="O31" s="142">
        <f>SUMIFS(領用表!$L:$L,領用表!$E:$E,$B31,領用表!$B:$B,O$2&amp;$R$1)</f>
        <v/>
      </c>
      <c r="P31" s="23">
        <f>SUM(,J31,K31,L31,M31,N31,O31)</f>
        <v/>
      </c>
      <c r="Q31" s="23">
        <f>AVERAGE(,J31,K31,L31,M31,N31,O31)</f>
        <v/>
      </c>
      <c r="R31" s="142">
        <f>SUMIFS(領用表!$L:$L,領用表!$E:$E,$B31,領用表!$B:$B,R$2&amp;$R$1)</f>
        <v/>
      </c>
      <c r="S31" s="142">
        <f>SUMIFS(領用表!$L:$L,領用表!$E:$E,$B31,領用表!$B:$B,S$2&amp;$R$1)</f>
        <v/>
      </c>
      <c r="T31" s="142">
        <f>SUMIFS(領用表!$L:$L,領用表!$E:$E,$B31,領用表!$B:$B,T$2&amp;$R$1)</f>
        <v/>
      </c>
      <c r="U31" s="142">
        <f>SUMIFS(領用表!$L:$L,領用表!$E:$E,$B31,領用表!$B:$B,U$2&amp;$R$1)</f>
        <v/>
      </c>
      <c r="V31" s="142">
        <f>SUMIFS(領用表!$L:$L,領用表!$E:$E,$B31,領用表!$B:$B,V$2&amp;$R$1)</f>
        <v/>
      </c>
      <c r="W31" s="142" t="n">
        <v>5</v>
      </c>
      <c r="X31" s="142">
        <f>SUMIFS(領用表!$L:$L,領用表!$E:$E,$B31,領用表!$B:$B,X$2&amp;$R$1)</f>
        <v/>
      </c>
      <c r="Y31" s="142">
        <f>SUMIFS(領用表!$L:$L,領用表!$E:$E,$B31,領用表!$B:$B,Y$2&amp;$R$1)</f>
        <v/>
      </c>
      <c r="Z31" s="142">
        <f>SUMIFS(領用表!$L:$L,領用表!$E:$E,$B31,領用表!$B:$B,Z$2&amp;$R$1)</f>
        <v/>
      </c>
      <c r="AA31" s="142">
        <f>SUMIFS(領用表!$L:$L,領用表!$E:$E,$B31,領用表!$B:$B,AA$2&amp;$R$1)</f>
        <v/>
      </c>
      <c r="AB31" s="142">
        <f>SUMIFS(領用表!$L:$L,領用表!$E:$E,$B31,領用表!$B:$B,AB$2&amp;$R$1)</f>
        <v/>
      </c>
      <c r="AC31" s="142">
        <f>SUMIFS(領用表!$L:$L,領用表!$E:$E,$B31,領用表!$B:$B,AC$2&amp;$R$1)</f>
        <v/>
      </c>
      <c r="AD31" s="142">
        <f>SUM(R31,S31,T31,U31,V31,W31)</f>
        <v/>
      </c>
      <c r="AE31" s="142">
        <f>AVERAGE(R31,S31,T31,U31,V31,W31)</f>
        <v/>
      </c>
      <c r="AF31" s="142">
        <f>SUMIF(Summary!B:B,B31,Summary!EB:EB)</f>
        <v/>
      </c>
      <c r="AG31" s="101" t="n">
        <v>5</v>
      </c>
      <c r="AH31" s="24" t="n">
        <v>0</v>
      </c>
      <c r="AI31" s="25" t="n"/>
      <c r="AJ31" s="25" t="n"/>
      <c r="AK31" s="27" t="n"/>
      <c r="AL31" s="28" t="n"/>
      <c r="AM31" s="14" t="n"/>
      <c r="AN31" s="29" t="n"/>
    </row>
    <row r="32" ht="15.75" customHeight="1" s="453">
      <c r="A32" s="27" t="inlineStr">
        <is>
          <t>MP1MX080006A</t>
        </is>
      </c>
      <c r="B32" s="14" t="n">
        <v>6190004</v>
      </c>
      <c r="C32" s="118" t="inlineStr">
        <is>
          <t>PLT生長因子凍晶製備20入(單瓶)</t>
        </is>
      </c>
      <c r="D32" s="16" t="n">
        <v>20</v>
      </c>
      <c r="E32" s="17" t="inlineStr">
        <is>
          <t>BOT</t>
        </is>
      </c>
      <c r="F32" s="18" t="n"/>
      <c r="G32" s="18" t="n">
        <v>454</v>
      </c>
      <c r="H32" s="21">
        <f>SUM(#REF!)</f>
        <v/>
      </c>
      <c r="I32" s="542">
        <f>H32/12</f>
        <v/>
      </c>
      <c r="J32" s="20">
        <f>SUMIFS(領用表!$L:$L,領用表!$E:$E,$B32,領用表!$B:$B,J$2&amp;$R$1)</f>
        <v/>
      </c>
      <c r="K32" s="20">
        <f>SUMIFS(領用表!$L:$L,領用表!$E:$E,$B32,領用表!$B:$B,K$2&amp;$R$1)</f>
        <v/>
      </c>
      <c r="L32" s="20">
        <f>SUMIFS(領用表!$L:$L,領用表!$E:$E,$B32,領用表!$B:$B,L$2&amp;$R$1)</f>
        <v/>
      </c>
      <c r="M32" s="142">
        <f>SUMIFS(領用表!$L:$L,領用表!$E:$E,$B32,領用表!$B:$B,M$2&amp;$R$1)</f>
        <v/>
      </c>
      <c r="N32" s="142">
        <f>SUMIFS(領用表!$L:$L,領用表!$E:$E,$B32,領用表!$B:$B,N$2&amp;$R$1)</f>
        <v/>
      </c>
      <c r="O32" s="142">
        <f>SUMIFS(領用表!$L:$L,領用表!$E:$E,$B32,領用表!$B:$B,O$2&amp;$R$1)</f>
        <v/>
      </c>
      <c r="P32" s="23">
        <f>SUM(,J32,K32,L32,M32,N32,O32)</f>
        <v/>
      </c>
      <c r="Q32" s="23">
        <f>AVERAGE(,J32,K32,L32,M32,N32,O32)</f>
        <v/>
      </c>
      <c r="R32" s="142">
        <f>SUMIFS(領用表!$L:$L,領用表!$E:$E,$B32,領用表!$B:$B,R$2&amp;$R$1)</f>
        <v/>
      </c>
      <c r="S32" s="142">
        <f>SUMIFS(領用表!$L:$L,領用表!$E:$E,$B32,領用表!$B:$B,S$2&amp;$R$1)</f>
        <v/>
      </c>
      <c r="T32" s="142">
        <f>SUMIFS(領用表!$L:$L,領用表!$E:$E,$B32,領用表!$B:$B,T$2&amp;$R$1)</f>
        <v/>
      </c>
      <c r="U32" s="142">
        <f>SUMIFS(領用表!$L:$L,領用表!$E:$E,$B32,領用表!$B:$B,U$2&amp;$R$1)</f>
        <v/>
      </c>
      <c r="V32" s="142">
        <f>SUMIFS(領用表!$L:$L,領用表!$E:$E,$B32,領用表!$B:$B,V$2&amp;$R$1)</f>
        <v/>
      </c>
      <c r="W32" s="142" t="n">
        <v>5</v>
      </c>
      <c r="X32" s="142">
        <f>SUMIFS(領用表!$L:$L,領用表!$E:$E,$B32,領用表!$B:$B,X$2&amp;$R$1)</f>
        <v/>
      </c>
      <c r="Y32" s="142">
        <f>SUMIFS(領用表!$L:$L,領用表!$E:$E,$B32,領用表!$B:$B,Y$2&amp;$R$1)</f>
        <v/>
      </c>
      <c r="Z32" s="142">
        <f>SUMIFS(領用表!$L:$L,領用表!$E:$E,$B32,領用表!$B:$B,Z$2&amp;$R$1)</f>
        <v/>
      </c>
      <c r="AA32" s="142">
        <f>SUMIFS(領用表!$L:$L,領用表!$E:$E,$B32,領用表!$B:$B,AA$2&amp;$R$1)</f>
        <v/>
      </c>
      <c r="AB32" s="142">
        <f>SUMIFS(領用表!$L:$L,領用表!$E:$E,$B32,領用表!$B:$B,AB$2&amp;$R$1)</f>
        <v/>
      </c>
      <c r="AC32" s="142">
        <f>SUMIFS(領用表!$L:$L,領用表!$E:$E,$B32,領用表!$B:$B,AC$2&amp;$R$1)</f>
        <v/>
      </c>
      <c r="AD32" s="142">
        <f>SUM(R32,S32,T32,U32,V32,W32)</f>
        <v/>
      </c>
      <c r="AE32" s="142">
        <f>AVERAGE(R32,S32,T32,U32,V32,W32)</f>
        <v/>
      </c>
      <c r="AF32" s="142">
        <f>SUMIF(Summary!B:B,B32,Summary!EB:EB)</f>
        <v/>
      </c>
      <c r="AG32" s="101" t="n">
        <v>15</v>
      </c>
      <c r="AH32" s="24" t="n">
        <v>0</v>
      </c>
      <c r="AI32" s="25" t="n"/>
      <c r="AJ32" s="25" t="n"/>
      <c r="AK32" s="27" t="n"/>
      <c r="AL32" s="28" t="n"/>
      <c r="AM32" s="14" t="n"/>
      <c r="AN32" s="29" t="n"/>
    </row>
    <row r="33" ht="15.75" customHeight="1" s="453">
      <c r="A33" s="27" t="n"/>
      <c r="B33" s="14" t="n">
        <v>6190006</v>
      </c>
      <c r="C33" s="14" t="inlineStr">
        <is>
          <t>ExoPower 泌力機泌凍晶 5mg</t>
        </is>
      </c>
      <c r="D33" s="426" t="n">
        <v>1</v>
      </c>
      <c r="E33" s="17" t="inlineStr">
        <is>
          <t>PCS</t>
        </is>
      </c>
      <c r="F33" s="18" t="n"/>
      <c r="G33" s="18" t="n">
        <v>143</v>
      </c>
      <c r="H33" s="21" t="n"/>
      <c r="I33" s="542" t="n"/>
      <c r="J33" s="20" t="n"/>
      <c r="K33" s="20" t="n"/>
      <c r="L33" s="20" t="n"/>
      <c r="M33" s="142" t="n"/>
      <c r="N33" s="142" t="n"/>
      <c r="O33" s="142" t="n"/>
      <c r="P33" s="23" t="n"/>
      <c r="Q33" s="23" t="n"/>
      <c r="R33" s="142">
        <f>SUMIFS(領用表!$L:$L,領用表!$E:$E,$B33,領用表!$B:$B,R$2&amp;$R$1)</f>
        <v/>
      </c>
      <c r="S33" s="142">
        <f>SUMIFS(領用表!$L:$L,領用表!$E:$E,$B33,領用表!$B:$B,S$2&amp;$R$1)</f>
        <v/>
      </c>
      <c r="T33" s="142">
        <f>SUMIFS(領用表!$L:$L,領用表!$E:$E,$B33,領用表!$B:$B,T$2&amp;$R$1)</f>
        <v/>
      </c>
      <c r="U33" s="142">
        <f>SUMIFS(領用表!$L:$L,領用表!$E:$E,$B33,領用表!$B:$B,U$2&amp;$R$1)</f>
        <v/>
      </c>
      <c r="V33" s="142">
        <f>SUMIFS(領用表!$L:$L,領用表!$E:$E,$B33,領用表!$B:$B,V$2&amp;$R$1)</f>
        <v/>
      </c>
      <c r="W33" s="142" t="n">
        <v>11</v>
      </c>
      <c r="X33" s="142">
        <f>SUMIFS(領用表!$L:$L,領用表!$E:$E,$B33,領用表!$B:$B,X$2&amp;$R$1)</f>
        <v/>
      </c>
      <c r="Y33" s="142">
        <f>SUMIFS(領用表!$L:$L,領用表!$E:$E,$B33,領用表!$B:$B,Y$2&amp;$R$1)</f>
        <v/>
      </c>
      <c r="Z33" s="142">
        <f>SUMIFS(領用表!$L:$L,領用表!$E:$E,$B33,領用表!$B:$B,Z$2&amp;$R$1)</f>
        <v/>
      </c>
      <c r="AA33" s="142">
        <f>SUMIFS(領用表!$L:$L,領用表!$E:$E,$B33,領用表!$B:$B,AA$2&amp;$R$1)</f>
        <v/>
      </c>
      <c r="AB33" s="142">
        <f>SUMIFS(領用表!$L:$L,領用表!$E:$E,$B33,領用表!$B:$B,AB$2&amp;$R$1)</f>
        <v/>
      </c>
      <c r="AC33" s="142">
        <f>SUMIFS(領用表!$L:$L,領用表!$E:$E,$B33,領用表!$B:$B,AC$2&amp;$R$1)</f>
        <v/>
      </c>
      <c r="AD33" s="142">
        <f>SUM(R33,S33,T33,U33,V33,W33)</f>
        <v/>
      </c>
      <c r="AE33" s="142">
        <f>AVERAGE(R33,S33,T33,U33,V33,W33)</f>
        <v/>
      </c>
      <c r="AF33" s="142">
        <f>SUMIF(Summary!B:B,B33,Summary!EB:EB)</f>
        <v/>
      </c>
      <c r="AG33" s="101" t="n"/>
      <c r="AH33" s="24" t="n"/>
      <c r="AI33" s="25" t="n"/>
      <c r="AJ33" s="25" t="n"/>
      <c r="AK33" s="27" t="n"/>
      <c r="AL33" s="28" t="n"/>
      <c r="AM33" s="14" t="n"/>
      <c r="AN33" s="29" t="n"/>
    </row>
    <row r="34" ht="15.75" customHeight="1" s="453">
      <c r="A34" s="27" t="n"/>
      <c r="B34" s="433" t="n">
        <v>6050010</v>
      </c>
      <c r="C34" s="14" t="inlineStr">
        <is>
          <t>ExoPower 機泌導入安瓶/ 6mL</t>
        </is>
      </c>
      <c r="D34" s="426" t="n">
        <v>1</v>
      </c>
      <c r="E34" s="17" t="inlineStr">
        <is>
          <t>PCS</t>
        </is>
      </c>
      <c r="F34" s="18" t="n"/>
      <c r="G34" s="18" t="n">
        <v>96</v>
      </c>
      <c r="H34" s="21" t="n"/>
      <c r="I34" s="542" t="n"/>
      <c r="J34" s="20" t="n"/>
      <c r="K34" s="20" t="n"/>
      <c r="L34" s="20" t="n"/>
      <c r="M34" s="142" t="n"/>
      <c r="N34" s="142" t="n"/>
      <c r="O34" s="142" t="n"/>
      <c r="P34" s="23" t="n"/>
      <c r="Q34" s="23" t="n"/>
      <c r="R34" s="142" t="n"/>
      <c r="S34" s="142" t="n"/>
      <c r="T34" s="142" t="n"/>
      <c r="U34" s="142" t="n"/>
      <c r="V34" s="142">
        <f>SUMIFS(領用表!$L:$L,領用表!$E:$E,$B34,領用表!$B:$B,V$2&amp;$R$1)</f>
        <v/>
      </c>
      <c r="W34" s="142" t="n"/>
      <c r="X34" s="142" t="n"/>
      <c r="Y34" s="142" t="n"/>
      <c r="Z34" s="142" t="n"/>
      <c r="AA34" s="142" t="n"/>
      <c r="AB34" s="142" t="n"/>
      <c r="AC34" s="142" t="n"/>
      <c r="AD34" s="142">
        <f>SUM(R34,S34,T34,U34,V34,W34)</f>
        <v/>
      </c>
      <c r="AE34" s="142">
        <f>AVERAGE(R34,S34,T34,U34,V34,W34)</f>
        <v/>
      </c>
      <c r="AF34" s="142">
        <f>SUMIF(Summary!B:B,B34,Summary!EB:EB)</f>
        <v/>
      </c>
      <c r="AG34" s="101" t="n"/>
      <c r="AH34" s="24" t="n"/>
      <c r="AI34" s="25" t="n"/>
      <c r="AJ34" s="25" t="n"/>
      <c r="AK34" s="27" t="n"/>
      <c r="AL34" s="28" t="n"/>
      <c r="AM34" s="14" t="n"/>
      <c r="AN34" s="29" t="n"/>
    </row>
    <row r="35" ht="15.75" customHeight="1" s="453">
      <c r="A35" s="27" t="inlineStr">
        <is>
          <t>MP1MA020009A</t>
        </is>
      </c>
      <c r="B35" s="14" t="n">
        <v>6160001</v>
      </c>
      <c r="C35" s="131" t="inlineStr">
        <is>
          <t>艾麗斯皮下填補劑 Aesthe Fill-200mg/ vial</t>
        </is>
      </c>
      <c r="D35" s="43" t="n">
        <v>1</v>
      </c>
      <c r="E35" s="17" t="inlineStr">
        <is>
          <t>PCS</t>
        </is>
      </c>
      <c r="F35" s="18" t="n"/>
      <c r="G35" s="18" t="n">
        <v>7</v>
      </c>
      <c r="H35" s="21">
        <f>SUM(#REF!)</f>
        <v/>
      </c>
      <c r="I35" s="542">
        <f>H35/12</f>
        <v/>
      </c>
      <c r="J35" s="20">
        <f>SUMIFS(領用表!$L:$L,領用表!$E:$E,$B35,領用表!$B:$B,J$2&amp;$R$1)</f>
        <v/>
      </c>
      <c r="K35" s="20">
        <f>SUMIFS(領用表!$L:$L,領用表!$E:$E,$B35,領用表!$B:$B,K$2&amp;$R$1)</f>
        <v/>
      </c>
      <c r="L35" s="20">
        <f>SUMIFS(領用表!$L:$L,領用表!$E:$E,$B35,領用表!$B:$B,L$2&amp;$R$1)</f>
        <v/>
      </c>
      <c r="M35" s="142">
        <f>SUMIFS(領用表!$L:$L,領用表!$E:$E,$B35,領用表!$B:$B,M$2&amp;$R$1)</f>
        <v/>
      </c>
      <c r="N35" s="142">
        <f>SUMIFS(領用表!$L:$L,領用表!$E:$E,$B35,領用表!$B:$B,N$2&amp;$R$1)</f>
        <v/>
      </c>
      <c r="O35" s="142">
        <f>SUMIFS(領用表!$L:$L,領用表!$E:$E,$B35,領用表!$B:$B,O$2&amp;$R$1)</f>
        <v/>
      </c>
      <c r="P35" s="23">
        <f>SUM(,J35,K35,L35,M35,N35,O35)</f>
        <v/>
      </c>
      <c r="Q35" s="23">
        <f>AVERAGE(,J35,K35,L35,M35,N35,O35)</f>
        <v/>
      </c>
      <c r="R35" s="142">
        <f>SUMIFS(領用表!$L:$L,領用表!$E:$E,$B35,領用表!$B:$B,R$2&amp;$R$1)</f>
        <v/>
      </c>
      <c r="S35" s="142">
        <f>SUMIFS(領用表!$L:$L,領用表!$E:$E,$B35,領用表!$B:$B,S$2&amp;$R$1)</f>
        <v/>
      </c>
      <c r="T35" s="142">
        <f>SUMIFS(領用表!$L:$L,領用表!$E:$E,$B35,領用表!$B:$B,T$2&amp;$R$1)</f>
        <v/>
      </c>
      <c r="U35" s="142">
        <f>SUMIFS(領用表!$L:$L,領用表!$E:$E,$B35,領用表!$B:$B,U$2&amp;$R$1)</f>
        <v/>
      </c>
      <c r="V35" s="142">
        <f>SUMIFS(領用表!$L:$L,領用表!$E:$E,$B35,領用表!$B:$B,V$2&amp;$R$1)</f>
        <v/>
      </c>
      <c r="W35" s="142" t="n"/>
      <c r="X35" s="142">
        <f>SUMIFS(領用表!$L:$L,領用表!$E:$E,$B35,領用表!$B:$B,X$2&amp;$R$1)</f>
        <v/>
      </c>
      <c r="Y35" s="142">
        <f>SUMIFS(領用表!$L:$L,領用表!$E:$E,$B35,領用表!$B:$B,Y$2&amp;$R$1)</f>
        <v/>
      </c>
      <c r="Z35" s="142">
        <f>SUMIFS(領用表!$L:$L,領用表!$E:$E,$B35,領用表!$B:$B,Z$2&amp;$R$1)</f>
        <v/>
      </c>
      <c r="AA35" s="142">
        <f>SUMIFS(領用表!$L:$L,領用表!$E:$E,$B35,領用表!$B:$B,AA$2&amp;$R$1)</f>
        <v/>
      </c>
      <c r="AB35" s="142">
        <f>SUMIFS(領用表!$L:$L,領用表!$E:$E,$B35,領用表!$B:$B,AB$2&amp;$R$1)</f>
        <v/>
      </c>
      <c r="AC35" s="142">
        <f>SUMIFS(領用表!$L:$L,領用表!$E:$E,$B35,領用表!$B:$B,AC$2&amp;$R$1)</f>
        <v/>
      </c>
      <c r="AD35" s="142">
        <f>SUM(R35,S35,T35,U35,V35,W35)</f>
        <v/>
      </c>
      <c r="AE35" s="142">
        <f>AVERAGE(R35,S35,T35,U35,V35,W35)</f>
        <v/>
      </c>
      <c r="AF35" s="142">
        <f>SUMIF(Summary!B:B,B35,Summary!EB:EB)</f>
        <v/>
      </c>
      <c r="AG35" s="101" t="n">
        <v>0</v>
      </c>
      <c r="AH35" s="24" t="n"/>
      <c r="AI35" s="25" t="n"/>
      <c r="AJ35" s="25" t="n"/>
      <c r="AK35" s="27" t="n"/>
      <c r="AL35" s="28" t="n"/>
      <c r="AM35" s="14" t="n"/>
      <c r="AN35" s="29" t="n"/>
    </row>
    <row r="36" ht="15.75" customHeight="1" s="453" thickBot="1">
      <c r="A36" s="27" t="inlineStr">
        <is>
          <t>MP1MA020028A</t>
        </is>
      </c>
      <c r="B36" s="14" t="n">
        <v>6150012</v>
      </c>
      <c r="C36" s="131" t="inlineStr">
        <is>
          <t>膚美康 2.5cc/支</t>
        </is>
      </c>
      <c r="D36" s="43" t="n">
        <v>1</v>
      </c>
      <c r="E36" s="17" t="inlineStr">
        <is>
          <t>PCS</t>
        </is>
      </c>
      <c r="F36" s="18" t="n"/>
      <c r="G36" s="18" t="n">
        <v>9</v>
      </c>
      <c r="H36" s="21" t="inlineStr">
        <is>
          <t>-</t>
        </is>
      </c>
      <c r="I36" s="542" t="inlineStr">
        <is>
          <t>-</t>
        </is>
      </c>
      <c r="J36" s="20">
        <f>SUMIFS(領用表!$L:$L,領用表!$E:$E,$B36,領用表!$B:$B,J$2&amp;$R$1)</f>
        <v/>
      </c>
      <c r="K36" s="20">
        <f>SUMIFS(領用表!$L:$L,領用表!$E:$E,$B36,領用表!$B:$B,K$2&amp;$R$1)</f>
        <v/>
      </c>
      <c r="L36" s="20">
        <f>SUMIFS(領用表!$L:$L,領用表!$E:$E,$B36,領用表!$B:$B,L$2&amp;$R$1)</f>
        <v/>
      </c>
      <c r="M36" s="142">
        <f>SUMIFS(領用表!$L:$L,領用表!$E:$E,$B36,領用表!$B:$B,M$2&amp;$R$1)</f>
        <v/>
      </c>
      <c r="N36" s="142">
        <f>SUMIFS(領用表!$L:$L,領用表!$E:$E,$B36,領用表!$B:$B,N$2&amp;$R$1)</f>
        <v/>
      </c>
      <c r="O36" s="142">
        <f>SUMIFS(領用表!$L:$L,領用表!$E:$E,$B36,領用表!$B:$B,O$2&amp;$R$1)</f>
        <v/>
      </c>
      <c r="P36" s="23">
        <f>SUM(,J36,K36,L36,M36,N36,O36)</f>
        <v/>
      </c>
      <c r="Q36" s="23">
        <f>AVERAGE(,J36,K36,L36,M36,N36,O36)</f>
        <v/>
      </c>
      <c r="R36" s="142">
        <f>SUMIFS(領用表!$L:$L,領用表!$E:$E,$B36,領用表!$B:$B,R$2&amp;$R$1)</f>
        <v/>
      </c>
      <c r="S36" s="142">
        <f>SUMIFS(領用表!$L:$L,領用表!$E:$E,$B36,領用表!$B:$B,S$2&amp;$R$1)</f>
        <v/>
      </c>
      <c r="T36" s="142">
        <f>SUMIFS(領用表!$L:$L,領用表!$E:$E,$B36,領用表!$B:$B,T$2&amp;$R$1)</f>
        <v/>
      </c>
      <c r="U36" s="142">
        <f>SUMIFS(領用表!$L:$L,領用表!$E:$E,$B36,領用表!$B:$B,U$2&amp;$R$1)</f>
        <v/>
      </c>
      <c r="V36" s="142">
        <f>SUMIFS(領用表!$L:$L,領用表!$E:$E,$B36,領用表!$B:$B,V$2&amp;$R$1)</f>
        <v/>
      </c>
      <c r="W36" s="142" t="n"/>
      <c r="X36" s="142">
        <f>SUMIFS(領用表!$L:$L,領用表!$E:$E,$B36,領用表!$B:$B,X$2&amp;$R$1)</f>
        <v/>
      </c>
      <c r="Y36" s="142">
        <f>SUMIFS(領用表!$L:$L,領用表!$E:$E,$B36,領用表!$B:$B,Y$2&amp;$R$1)</f>
        <v/>
      </c>
      <c r="Z36" s="142">
        <f>SUMIFS(領用表!$L:$L,領用表!$E:$E,$B36,領用表!$B:$B,Z$2&amp;$R$1)</f>
        <v/>
      </c>
      <c r="AA36" s="142">
        <f>SUMIFS(領用表!$L:$L,領用表!$E:$E,$B36,領用表!$B:$B,AA$2&amp;$R$1)</f>
        <v/>
      </c>
      <c r="AB36" s="142">
        <f>SUMIFS(領用表!$L:$L,領用表!$E:$E,$B36,領用表!$B:$B,AB$2&amp;$R$1)</f>
        <v/>
      </c>
      <c r="AC36" s="142">
        <f>SUMIFS(領用表!$L:$L,領用表!$E:$E,$B36,領用表!$B:$B,AC$2&amp;$R$1)</f>
        <v/>
      </c>
      <c r="AD36" s="142">
        <f>SUM(R36,S36,T36,U36,V36,W36)</f>
        <v/>
      </c>
      <c r="AE36" s="142">
        <f>AVERAGE(R36,S36,T36,U36,V36,W36)</f>
        <v/>
      </c>
      <c r="AF36" s="142">
        <f>SUMIF(Summary!B:B,B36,Summary!EB:EB)</f>
        <v/>
      </c>
      <c r="AG36" s="101" t="n">
        <v>0</v>
      </c>
      <c r="AH36" s="36" t="n"/>
      <c r="AI36" s="25" t="n"/>
      <c r="AJ36" s="25" t="n"/>
      <c r="AK36" s="27" t="n"/>
      <c r="AL36" s="28" t="n"/>
      <c r="AM36" s="14" t="n"/>
      <c r="AN36" s="29" t="n"/>
    </row>
    <row r="37" ht="15.75" customHeight="1" s="453" thickBot="1">
      <c r="A37" s="229" t="inlineStr">
        <is>
          <t>MP1MA020034A</t>
        </is>
      </c>
      <c r="B37" s="230" t="n">
        <v>6150014</v>
      </c>
      <c r="C37" s="231" t="inlineStr">
        <is>
          <t>膚美康(1c.c.)</t>
        </is>
      </c>
      <c r="D37" s="232" t="n">
        <v>2.5</v>
      </c>
      <c r="E37" s="233" t="inlineStr">
        <is>
          <t>c.c.</t>
        </is>
      </c>
      <c r="F37" s="18" t="n"/>
      <c r="G37" s="545">
        <f>G36*2.5</f>
        <v/>
      </c>
      <c r="H37" s="21" t="n"/>
      <c r="I37" s="542" t="n"/>
      <c r="J37" s="20">
        <f>SUMIFS(領用表!$L:$L,領用表!$E:$E,$B37,領用表!$B:$B,J$2&amp;$R$1)</f>
        <v/>
      </c>
      <c r="K37" s="20">
        <f>SUMIFS(領用表!$L:$L,領用表!$E:$E,$B37,領用表!$B:$B,K$2&amp;$R$1)</f>
        <v/>
      </c>
      <c r="L37" s="20">
        <f>SUMIFS(領用表!$L:$L,領用表!$E:$E,$B37,領用表!$B:$B,L$2&amp;$R$1)</f>
        <v/>
      </c>
      <c r="M37" s="142">
        <f>SUMIFS(領用表!$L:$L,領用表!$E:$E,$B37,領用表!$B:$B,M$2&amp;$R$1)</f>
        <v/>
      </c>
      <c r="N37" s="142">
        <f>SUMIFS(領用表!$L:$L,領用表!$E:$E,$B37,領用表!$B:$B,N$2&amp;$R$1)</f>
        <v/>
      </c>
      <c r="O37" s="142">
        <f>SUMIFS(領用表!$L:$L,領用表!$E:$E,$B37,領用表!$B:$B,O$2&amp;$R$1)</f>
        <v/>
      </c>
      <c r="P37" s="23">
        <f>SUM(,J37,K37,L37,M37,N37,O37)</f>
        <v/>
      </c>
      <c r="Q37" s="23">
        <f>AVERAGE(,J37,K37,L37,M37,N37,O37)</f>
        <v/>
      </c>
      <c r="R37" s="142">
        <f>SUMIFS(領用表!$L:$L,領用表!$E:$E,$B37,領用表!$B:$B,R$2&amp;$R$1)</f>
        <v/>
      </c>
      <c r="S37" s="142">
        <f>SUMIFS(領用表!$L:$L,領用表!$E:$E,$B37,領用表!$B:$B,S$2&amp;$R$1)</f>
        <v/>
      </c>
      <c r="T37" s="142">
        <f>SUMIFS(領用表!$L:$L,領用表!$E:$E,$B37,領用表!$B:$B,T$2&amp;$R$1)</f>
        <v/>
      </c>
      <c r="U37" s="142">
        <f>SUMIFS(領用表!$L:$L,領用表!$E:$E,$B37,領用表!$B:$B,U$2&amp;$R$1)</f>
        <v/>
      </c>
      <c r="V37" s="142">
        <f>SUMIFS(領用表!$L:$L,領用表!$E:$E,$B37,領用表!$B:$B,V$2&amp;$R$1)</f>
        <v/>
      </c>
      <c r="W37" s="142" t="n"/>
      <c r="X37" s="142">
        <f>SUMIFS(領用表!$L:$L,領用表!$E:$E,$B37,領用表!$B:$B,X$2&amp;$R$1)</f>
        <v/>
      </c>
      <c r="Y37" s="142">
        <f>SUMIFS(領用表!$L:$L,領用表!$E:$E,$B37,領用表!$B:$B,Y$2&amp;$R$1)</f>
        <v/>
      </c>
      <c r="Z37" s="142">
        <f>SUMIFS(領用表!$L:$L,領用表!$E:$E,$B37,領用表!$B:$B,Z$2&amp;$R$1)</f>
        <v/>
      </c>
      <c r="AA37" s="142">
        <f>SUMIFS(領用表!$L:$L,領用表!$E:$E,$B37,領用表!$B:$B,AA$2&amp;$R$1)</f>
        <v/>
      </c>
      <c r="AB37" s="142">
        <f>SUMIFS(領用表!$L:$L,領用表!$E:$E,$B37,領用表!$B:$B,AB$2&amp;$R$1)</f>
        <v/>
      </c>
      <c r="AC37" s="142">
        <f>SUMIFS(領用表!$L:$L,領用表!$E:$E,$B37,領用表!$B:$B,AC$2&amp;$R$1)</f>
        <v/>
      </c>
      <c r="AD37" s="142">
        <f>SUM(R37,S37,T37,U37,V37,W37)</f>
        <v/>
      </c>
      <c r="AE37" s="142">
        <f>AVERAGE(R37,S37,T37,U37,V37,W37)</f>
        <v/>
      </c>
      <c r="AF37" s="142">
        <f>SUMIF(Summary!B:B,B37,Summary!EB:EB)</f>
        <v/>
      </c>
      <c r="AG37" s="101" t="n"/>
      <c r="AH37" s="482" t="n"/>
      <c r="AI37" s="25" t="n"/>
      <c r="AJ37" s="25" t="n"/>
      <c r="AK37" s="27" t="n"/>
      <c r="AL37" s="28" t="n"/>
      <c r="AM37" s="14" t="n"/>
      <c r="AN37" s="29" t="n"/>
    </row>
    <row r="38" ht="15.75" customHeight="1" s="453">
      <c r="A38" s="27" t="inlineStr">
        <is>
          <t>DP1AA050001E</t>
        </is>
      </c>
      <c r="B38" s="14" t="n">
        <v>6210006</v>
      </c>
      <c r="C38" s="131" t="inlineStr">
        <is>
          <t>麗珠蘭REJURAN Skin Booster修復水光</t>
        </is>
      </c>
      <c r="D38" s="43" t="n">
        <v>3</v>
      </c>
      <c r="E38" s="17" t="inlineStr">
        <is>
          <t>SET</t>
        </is>
      </c>
      <c r="F38" s="18" t="n"/>
      <c r="G38" s="18" t="n">
        <v>6</v>
      </c>
      <c r="H38" s="21" t="inlineStr">
        <is>
          <t>-</t>
        </is>
      </c>
      <c r="I38" s="21" t="inlineStr">
        <is>
          <t>-</t>
        </is>
      </c>
      <c r="J38" s="20">
        <f>SUMIFS(領用表!$L:$L,領用表!$E:$E,$B38,領用表!$B:$B,J$2&amp;$R$1)</f>
        <v/>
      </c>
      <c r="K38" s="20">
        <f>SUMIFS(領用表!$L:$L,領用表!$E:$E,$B38,領用表!$B:$B,K$2&amp;$R$1)</f>
        <v/>
      </c>
      <c r="L38" s="20">
        <f>SUMIFS(領用表!$L:$L,領用表!$E:$E,$B38,領用表!$B:$B,L$2&amp;$R$1)</f>
        <v/>
      </c>
      <c r="M38" s="142">
        <f>SUMIFS(領用表!$L:$L,領用表!$E:$E,$B38,領用表!$B:$B,M$2&amp;$R$1)</f>
        <v/>
      </c>
      <c r="N38" s="142">
        <f>SUMIFS(領用表!$L:$L,領用表!$E:$E,$B38,領用表!$B:$B,N$2&amp;$R$1)</f>
        <v/>
      </c>
      <c r="O38" s="142">
        <f>SUMIFS(領用表!$L:$L,領用表!$E:$E,$B38,領用表!$B:$B,O$2&amp;$R$1)</f>
        <v/>
      </c>
      <c r="P38" s="23">
        <f>SUM(,J38,K38,L38,M38,N38,O38)</f>
        <v/>
      </c>
      <c r="Q38" s="23">
        <f>AVERAGE(,J38,K38,L38,M38,N38,O38)</f>
        <v/>
      </c>
      <c r="R38" s="142">
        <f>SUMIFS(領用表!$L:$L,領用表!$E:$E,$B38,領用表!$B:$B,R$2&amp;$R$1)</f>
        <v/>
      </c>
      <c r="S38" s="142">
        <f>SUMIFS(領用表!$L:$L,領用表!$E:$E,$B38,領用表!$B:$B,S$2&amp;$R$1)</f>
        <v/>
      </c>
      <c r="T38" s="142">
        <f>SUMIFS(領用表!$L:$L,領用表!$E:$E,$B38,領用表!$B:$B,T$2&amp;$R$1)</f>
        <v/>
      </c>
      <c r="U38" s="142">
        <f>SUMIFS(領用表!$L:$L,領用表!$E:$E,$B38,領用表!$B:$B,U$2&amp;$R$1)</f>
        <v/>
      </c>
      <c r="V38" s="142">
        <f>SUMIFS(領用表!$L:$L,領用表!$E:$E,$B38,領用表!$B:$B,V$2&amp;$R$1)</f>
        <v/>
      </c>
      <c r="W38" s="142" t="n"/>
      <c r="X38" s="142">
        <f>SUMIFS(領用表!$L:$L,領用表!$E:$E,$B38,領用表!$B:$B,X$2&amp;$R$1)</f>
        <v/>
      </c>
      <c r="Y38" s="142">
        <f>SUMIFS(領用表!$L:$L,領用表!$E:$E,$B38,領用表!$B:$B,Y$2&amp;$R$1)</f>
        <v/>
      </c>
      <c r="Z38" s="142">
        <f>SUMIFS(領用表!$L:$L,領用表!$E:$E,$B38,領用表!$B:$B,Z$2&amp;$R$1)</f>
        <v/>
      </c>
      <c r="AA38" s="142">
        <f>SUMIFS(領用表!$L:$L,領用表!$E:$E,$B38,領用表!$B:$B,AA$2&amp;$R$1)</f>
        <v/>
      </c>
      <c r="AB38" s="142">
        <f>SUMIFS(領用表!$L:$L,領用表!$E:$E,$B38,領用表!$B:$B,AB$2&amp;$R$1)</f>
        <v/>
      </c>
      <c r="AC38" s="142">
        <f>SUMIFS(領用表!$L:$L,領用表!$E:$E,$B38,領用表!$B:$B,AC$2&amp;$R$1)</f>
        <v/>
      </c>
      <c r="AD38" s="142">
        <f>SUM(R38,S38,T38,U38,V38,W38)</f>
        <v/>
      </c>
      <c r="AE38" s="142">
        <f>AVERAGE(R38,S38,T38,U38,V38,W38)</f>
        <v/>
      </c>
      <c r="AF38" s="142">
        <f>SUMIF(Summary!B:B,B38,Summary!EB:EB)</f>
        <v/>
      </c>
      <c r="AG38" s="101" t="n">
        <v>5</v>
      </c>
      <c r="AH38" s="36" t="n"/>
      <c r="AI38" s="25" t="n"/>
      <c r="AJ38" s="25" t="n"/>
      <c r="AK38" s="27" t="n"/>
      <c r="AL38" s="28" t="n"/>
      <c r="AM38" s="14" t="n"/>
      <c r="AN38" s="29" t="n"/>
    </row>
    <row r="39" ht="15.75" customHeight="1" s="453">
      <c r="A39" s="27" t="inlineStr">
        <is>
          <t>DP1AA050002E</t>
        </is>
      </c>
      <c r="B39" s="14" t="n">
        <v>6210007</v>
      </c>
      <c r="C39" s="131" t="inlineStr">
        <is>
          <t>麗珠蘭REJURAN Tone-Up Booster白瓷水光</t>
        </is>
      </c>
      <c r="D39" s="43" t="n">
        <v>3</v>
      </c>
      <c r="E39" s="17" t="inlineStr">
        <is>
          <t>SET</t>
        </is>
      </c>
      <c r="F39" s="44" t="n"/>
      <c r="G39" s="18" t="n">
        <v>13</v>
      </c>
      <c r="H39" s="21" t="inlineStr">
        <is>
          <t>-</t>
        </is>
      </c>
      <c r="I39" s="21" t="inlineStr">
        <is>
          <t>-</t>
        </is>
      </c>
      <c r="J39" s="20">
        <f>SUMIFS(領用表!$L:$L,領用表!$E:$E,$B39,領用表!$B:$B,J$2&amp;$R$1)</f>
        <v/>
      </c>
      <c r="K39" s="20">
        <f>SUMIFS(領用表!$L:$L,領用表!$E:$E,$B39,領用表!$B:$B,K$2&amp;$R$1)</f>
        <v/>
      </c>
      <c r="L39" s="20">
        <f>SUMIFS(領用表!$L:$L,領用表!$E:$E,$B39,領用表!$B:$B,L$2&amp;$R$1)</f>
        <v/>
      </c>
      <c r="M39" s="142">
        <f>SUMIFS(領用表!$L:$L,領用表!$E:$E,$B39,領用表!$B:$B,M$2&amp;$R$1)</f>
        <v/>
      </c>
      <c r="N39" s="142">
        <f>SUMIFS(領用表!$L:$L,領用表!$E:$E,$B39,領用表!$B:$B,N$2&amp;$R$1)</f>
        <v/>
      </c>
      <c r="O39" s="142">
        <f>SUMIFS(領用表!$L:$L,領用表!$E:$E,$B39,領用表!$B:$B,O$2&amp;$R$1)</f>
        <v/>
      </c>
      <c r="P39" s="23">
        <f>SUM(,J39,K39,L39,M39,N39,O39)</f>
        <v/>
      </c>
      <c r="Q39" s="23">
        <f>AVERAGE(,J39,K39,L39,M39,N39,O39)</f>
        <v/>
      </c>
      <c r="R39" s="142">
        <f>SUMIFS(領用表!$L:$L,領用表!$E:$E,$B39,領用表!$B:$B,R$2&amp;$R$1)</f>
        <v/>
      </c>
      <c r="S39" s="142">
        <f>SUMIFS(領用表!$L:$L,領用表!$E:$E,$B39,領用表!$B:$B,S$2&amp;$R$1)</f>
        <v/>
      </c>
      <c r="T39" s="142">
        <f>SUMIFS(領用表!$L:$L,領用表!$E:$E,$B39,領用表!$B:$B,T$2&amp;$R$1)</f>
        <v/>
      </c>
      <c r="U39" s="142">
        <f>SUMIFS(領用表!$L:$L,領用表!$E:$E,$B39,領用表!$B:$B,U$2&amp;$R$1)</f>
        <v/>
      </c>
      <c r="V39" s="142">
        <f>SUMIFS(領用表!$L:$L,領用表!$E:$E,$B39,領用表!$B:$B,V$2&amp;$R$1)</f>
        <v/>
      </c>
      <c r="W39" s="142" t="n">
        <v>1</v>
      </c>
      <c r="X39" s="142">
        <f>SUMIFS(領用表!$L:$L,領用表!$E:$E,$B39,領用表!$B:$B,X$2&amp;$R$1)</f>
        <v/>
      </c>
      <c r="Y39" s="142">
        <f>SUMIFS(領用表!$L:$L,領用表!$E:$E,$B39,領用表!$B:$B,Y$2&amp;$R$1)</f>
        <v/>
      </c>
      <c r="Z39" s="142">
        <f>SUMIFS(領用表!$L:$L,領用表!$E:$E,$B39,領用表!$B:$B,Z$2&amp;$R$1)</f>
        <v/>
      </c>
      <c r="AA39" s="142">
        <f>SUMIFS(領用表!$L:$L,領用表!$E:$E,$B39,領用表!$B:$B,AA$2&amp;$R$1)</f>
        <v/>
      </c>
      <c r="AB39" s="142">
        <f>SUMIFS(領用表!$L:$L,領用表!$E:$E,$B39,領用表!$B:$B,AB$2&amp;$R$1)</f>
        <v/>
      </c>
      <c r="AC39" s="142">
        <f>SUMIFS(領用表!$L:$L,領用表!$E:$E,$B39,領用表!$B:$B,AC$2&amp;$R$1)</f>
        <v/>
      </c>
      <c r="AD39" s="142">
        <f>SUM(R39,S39,T39,U39,V39,W39)</f>
        <v/>
      </c>
      <c r="AE39" s="142">
        <f>AVERAGE(R39,S39,T39,U39,V39,W39)</f>
        <v/>
      </c>
      <c r="AF39" s="142">
        <f>SUMIF(Summary!B:B,B39,Summary!EB:EB)</f>
        <v/>
      </c>
      <c r="AG39" s="101" t="n">
        <v>5</v>
      </c>
      <c r="AH39" s="515" t="n"/>
      <c r="AI39" s="25" t="n"/>
      <c r="AJ39" s="25" t="n"/>
      <c r="AK39" s="27" t="n"/>
      <c r="AL39" s="28" t="n"/>
      <c r="AM39" s="14" t="n"/>
      <c r="AN39" s="29" t="n"/>
    </row>
    <row r="40" ht="15.75" customHeight="1" s="453">
      <c r="A40" s="27" t="inlineStr">
        <is>
          <t>MP1MA020014A</t>
        </is>
      </c>
      <c r="B40" s="14" t="n">
        <v>6150010</v>
      </c>
      <c r="C40" s="131" t="inlineStr">
        <is>
          <t>優美施豐潤 Neuramis Volume 1c.c/ 支</t>
        </is>
      </c>
      <c r="D40" s="43" t="n">
        <v>1</v>
      </c>
      <c r="E40" s="17" t="inlineStr">
        <is>
          <t>PCS</t>
        </is>
      </c>
      <c r="F40" s="44" t="n"/>
      <c r="G40" s="18" t="n">
        <v>74</v>
      </c>
      <c r="H40" s="21">
        <f>SUM(#REF!)</f>
        <v/>
      </c>
      <c r="I40" s="542">
        <f>H40/12</f>
        <v/>
      </c>
      <c r="J40" s="20">
        <f>SUMIFS(領用表!$L:$L,領用表!$E:$E,$B40,領用表!$B:$B,J$2&amp;$R$1)</f>
        <v/>
      </c>
      <c r="K40" s="20">
        <f>SUMIFS(領用表!$L:$L,領用表!$E:$E,$B40,領用表!$B:$B,K$2&amp;$R$1)</f>
        <v/>
      </c>
      <c r="L40" s="20">
        <f>SUMIFS(領用表!$L:$L,領用表!$E:$E,$B40,領用表!$B:$B,L$2&amp;$R$1)</f>
        <v/>
      </c>
      <c r="M40" s="142">
        <f>SUMIFS(領用表!$L:$L,領用表!$E:$E,$B40,領用表!$B:$B,M$2&amp;$R$1)</f>
        <v/>
      </c>
      <c r="N40" s="142">
        <f>SUMIFS(領用表!$L:$L,領用表!$E:$E,$B40,領用表!$B:$B,N$2&amp;$R$1)</f>
        <v/>
      </c>
      <c r="O40" s="142">
        <f>SUMIFS(領用表!$L:$L,領用表!$E:$E,$B40,領用表!$B:$B,O$2&amp;$R$1)</f>
        <v/>
      </c>
      <c r="P40" s="23">
        <f>SUM(,J40,K40,L40,M40,N40,O40)</f>
        <v/>
      </c>
      <c r="Q40" s="23">
        <f>AVERAGE(,J40,K40,L40,M40,N40,O40)</f>
        <v/>
      </c>
      <c r="R40" s="142">
        <f>SUMIFS(領用表!$L:$L,領用表!$E:$E,$B40,領用表!$B:$B,R$2&amp;$R$1)</f>
        <v/>
      </c>
      <c r="S40" s="142">
        <f>SUMIFS(領用表!$L:$L,領用表!$E:$E,$B40,領用表!$B:$B,S$2&amp;$R$1)</f>
        <v/>
      </c>
      <c r="T40" s="142">
        <f>SUMIFS(領用表!$L:$L,領用表!$E:$E,$B40,領用表!$B:$B,T$2&amp;$R$1)</f>
        <v/>
      </c>
      <c r="U40" s="142">
        <f>SUMIFS(領用表!$L:$L,領用表!$E:$E,$B40,領用表!$B:$B,U$2&amp;$R$1)</f>
        <v/>
      </c>
      <c r="V40" s="142">
        <f>SUMIFS(領用表!$L:$L,領用表!$E:$E,$B40,領用表!$B:$B,V$2&amp;$R$1)</f>
        <v/>
      </c>
      <c r="W40" s="142" t="n">
        <v>12</v>
      </c>
      <c r="X40" s="142">
        <f>SUMIFS(領用表!$L:$L,領用表!$E:$E,$B40,領用表!$B:$B,X$2&amp;$R$1)</f>
        <v/>
      </c>
      <c r="Y40" s="142">
        <f>SUMIFS(領用表!$L:$L,領用表!$E:$E,$B40,領用表!$B:$B,Y$2&amp;$R$1)</f>
        <v/>
      </c>
      <c r="Z40" s="142">
        <f>SUMIFS(領用表!$L:$L,領用表!$E:$E,$B40,領用表!$B:$B,Z$2&amp;$R$1)</f>
        <v/>
      </c>
      <c r="AA40" s="142">
        <f>SUMIFS(領用表!$L:$L,領用表!$E:$E,$B40,領用表!$B:$B,AA$2&amp;$R$1)</f>
        <v/>
      </c>
      <c r="AB40" s="142">
        <f>SUMIFS(領用表!$L:$L,領用表!$E:$E,$B40,領用表!$B:$B,AB$2&amp;$R$1)</f>
        <v/>
      </c>
      <c r="AC40" s="142">
        <f>SUMIFS(領用表!$L:$L,領用表!$E:$E,$B40,領用表!$B:$B,AC$2&amp;$R$1)</f>
        <v/>
      </c>
      <c r="AD40" s="142">
        <f>SUM(R40,S40,T40,U40,V40,W40)</f>
        <v/>
      </c>
      <c r="AE40" s="142">
        <f>AVERAGE(R40,S40,T40,U40,V40,W40)</f>
        <v/>
      </c>
      <c r="AF40" s="142">
        <f>SUMIF(Summary!B:B,B40,Summary!EB:EB)</f>
        <v/>
      </c>
      <c r="AG40" s="101" t="n">
        <v>65</v>
      </c>
      <c r="AH40" s="36" t="n"/>
      <c r="AI40" s="25" t="inlineStr">
        <is>
          <t>35盒(10/21)</t>
        </is>
      </c>
      <c r="AJ40" s="25" t="inlineStr">
        <is>
          <t>40盒(10/21)</t>
        </is>
      </c>
      <c r="AK40" s="27" t="n"/>
      <c r="AL40" s="28" t="n"/>
      <c r="AM40" s="14" t="n"/>
      <c r="AN40" s="29" t="n"/>
    </row>
    <row r="41" ht="15.75" customHeight="1" s="453">
      <c r="A41" s="27" t="inlineStr">
        <is>
          <t>MP1MA020018A</t>
        </is>
      </c>
      <c r="B41" s="14" t="n">
        <v>6150011</v>
      </c>
      <c r="C41" s="131" t="inlineStr">
        <is>
          <t>優美施豐潤 Neuramis Deep Lidocaine 1c.c/ 支</t>
        </is>
      </c>
      <c r="D41" s="43" t="n">
        <v>1</v>
      </c>
      <c r="E41" s="17" t="inlineStr">
        <is>
          <t>PCS</t>
        </is>
      </c>
      <c r="F41" s="18" t="n"/>
      <c r="G41" s="18" t="n">
        <v>17</v>
      </c>
      <c r="H41" s="21">
        <f>SUM(#REF!)</f>
        <v/>
      </c>
      <c r="I41" s="542">
        <f>H41/12</f>
        <v/>
      </c>
      <c r="J41" s="20">
        <f>SUMIFS(領用表!$L:$L,領用表!$E:$E,$B41,領用表!$B:$B,J$2&amp;$R$1)</f>
        <v/>
      </c>
      <c r="K41" s="20">
        <f>SUMIFS(領用表!$L:$L,領用表!$E:$E,$B41,領用表!$B:$B,K$2&amp;$R$1)</f>
        <v/>
      </c>
      <c r="L41" s="20">
        <f>SUMIFS(領用表!$L:$L,領用表!$E:$E,$B41,領用表!$B:$B,L$2&amp;$R$1)</f>
        <v/>
      </c>
      <c r="M41" s="142">
        <f>SUMIFS(領用表!$L:$L,領用表!$E:$E,$B41,領用表!$B:$B,M$2&amp;$R$1)</f>
        <v/>
      </c>
      <c r="N41" s="142">
        <f>SUMIFS(領用表!$L:$L,領用表!$E:$E,$B41,領用表!$B:$B,N$2&amp;$R$1)</f>
        <v/>
      </c>
      <c r="O41" s="142">
        <f>SUMIFS(領用表!$L:$L,領用表!$E:$E,$B41,領用表!$B:$B,O$2&amp;$R$1)</f>
        <v/>
      </c>
      <c r="P41" s="23">
        <f>SUM(,J41,K41,L41,M41,N41,O41)</f>
        <v/>
      </c>
      <c r="Q41" s="23">
        <f>AVERAGE(,J41,K41,L41,M41,N41,O41)</f>
        <v/>
      </c>
      <c r="R41" s="142">
        <f>SUMIFS(領用表!$L:$L,領用表!$E:$E,$B41,領用表!$B:$B,R$2&amp;$R$1)</f>
        <v/>
      </c>
      <c r="S41" s="142">
        <f>SUMIFS(領用表!$L:$L,領用表!$E:$E,$B41,領用表!$B:$B,S$2&amp;$R$1)</f>
        <v/>
      </c>
      <c r="T41" s="142">
        <f>SUMIFS(領用表!$L:$L,領用表!$E:$E,$B41,領用表!$B:$B,T$2&amp;$R$1)</f>
        <v/>
      </c>
      <c r="U41" s="142">
        <f>SUMIFS(領用表!$L:$L,領用表!$E:$E,$B41,領用表!$B:$B,U$2&amp;$R$1)</f>
        <v/>
      </c>
      <c r="V41" s="142">
        <f>SUMIFS(領用表!$L:$L,領用表!$E:$E,$B41,領用表!$B:$B,V$2&amp;$R$1)</f>
        <v/>
      </c>
      <c r="W41" s="142" t="n"/>
      <c r="X41" s="142">
        <f>SUMIFS(領用表!$L:$L,領用表!$E:$E,$B41,領用表!$B:$B,X$2&amp;$R$1)</f>
        <v/>
      </c>
      <c r="Y41" s="142">
        <f>SUMIFS(領用表!$L:$L,領用表!$E:$E,$B41,領用表!$B:$B,Y$2&amp;$R$1)</f>
        <v/>
      </c>
      <c r="Z41" s="142">
        <f>SUMIFS(領用表!$L:$L,領用表!$E:$E,$B41,領用表!$B:$B,Z$2&amp;$R$1)</f>
        <v/>
      </c>
      <c r="AA41" s="142">
        <f>SUMIFS(領用表!$L:$L,領用表!$E:$E,$B41,領用表!$B:$B,AA$2&amp;$R$1)</f>
        <v/>
      </c>
      <c r="AB41" s="142">
        <f>SUMIFS(領用表!$L:$L,領用表!$E:$E,$B41,領用表!$B:$B,AB$2&amp;$R$1)</f>
        <v/>
      </c>
      <c r="AC41" s="142">
        <f>SUMIFS(領用表!$L:$L,領用表!$E:$E,$B41,領用表!$B:$B,AC$2&amp;$R$1)</f>
        <v/>
      </c>
      <c r="AD41" s="142">
        <f>SUM(R41,S41,T41,U41,V41,W41)</f>
        <v/>
      </c>
      <c r="AE41" s="142">
        <f>AVERAGE(R41,S41,T41,U41,V41,W41)</f>
        <v/>
      </c>
      <c r="AF41" s="142">
        <f>SUMIF(Summary!B:B,B41,Summary!EB:EB)</f>
        <v/>
      </c>
      <c r="AG41" s="101" t="n">
        <v>10</v>
      </c>
      <c r="AH41" s="515" t="n"/>
      <c r="AI41" s="25" t="n"/>
      <c r="AJ41" s="25" t="n"/>
      <c r="AK41" s="27" t="n"/>
      <c r="AL41" s="28" t="n"/>
      <c r="AM41" s="14" t="n"/>
      <c r="AN41" s="29" t="n"/>
    </row>
    <row r="42">
      <c r="A42" s="27" t="inlineStr">
        <is>
          <t>MP1MA020024A</t>
        </is>
      </c>
      <c r="B42" s="14" t="n">
        <v>6160002</v>
      </c>
      <c r="C42" s="118" t="inlineStr">
        <is>
          <t>洢蓮絲植入劑ELLANSÉ-S 1ml(支)</t>
        </is>
      </c>
      <c r="D42" s="16" t="n">
        <v>2</v>
      </c>
      <c r="E42" s="17" t="inlineStr">
        <is>
          <t>PCS</t>
        </is>
      </c>
      <c r="F42" s="18" t="n"/>
      <c r="G42" s="18" t="n">
        <v>33</v>
      </c>
      <c r="H42" s="21">
        <f>SUM(#REF!)</f>
        <v/>
      </c>
      <c r="I42" s="542">
        <f>H42/12</f>
        <v/>
      </c>
      <c r="J42" s="20">
        <f>SUMIFS(領用表!$L:$L,領用表!$E:$E,$B42,領用表!$B:$B,J$2&amp;$R$1)</f>
        <v/>
      </c>
      <c r="K42" s="20">
        <f>SUMIFS(領用表!$L:$L,領用表!$E:$E,$B42,領用表!$B:$B,K$2&amp;$R$1)</f>
        <v/>
      </c>
      <c r="L42" s="20">
        <f>SUMIFS(領用表!$L:$L,領用表!$E:$E,$B42,領用表!$B:$B,L$2&amp;$R$1)</f>
        <v/>
      </c>
      <c r="M42" s="142">
        <f>SUMIFS(領用表!$L:$L,領用表!$E:$E,$B42,領用表!$B:$B,M$2&amp;$R$1)</f>
        <v/>
      </c>
      <c r="N42" s="142">
        <f>SUMIFS(領用表!$L:$L,領用表!$E:$E,$B42,領用表!$B:$B,N$2&amp;$R$1)</f>
        <v/>
      </c>
      <c r="O42" s="142">
        <f>SUMIFS(領用表!$L:$L,領用表!$E:$E,$B42,領用表!$B:$B,O$2&amp;$R$1)</f>
        <v/>
      </c>
      <c r="P42" s="23">
        <f>SUM(,J42,K42,L42,M42,N42,O42)</f>
        <v/>
      </c>
      <c r="Q42" s="23">
        <f>AVERAGE(,J42,K42,L42,M42,N42,O42)</f>
        <v/>
      </c>
      <c r="R42" s="142">
        <f>SUMIFS(領用表!$L:$L,領用表!$E:$E,$B42,領用表!$B:$B,R$2&amp;$R$1)</f>
        <v/>
      </c>
      <c r="S42" s="142">
        <f>SUMIFS(領用表!$L:$L,領用表!$E:$E,$B42,領用表!$B:$B,S$2&amp;$R$1)</f>
        <v/>
      </c>
      <c r="T42" s="142">
        <f>SUMIFS(領用表!$L:$L,領用表!$E:$E,$B42,領用表!$B:$B,T$2&amp;$R$1)</f>
        <v/>
      </c>
      <c r="U42" s="142">
        <f>SUMIFS(領用表!$L:$L,領用表!$E:$E,$B42,領用表!$B:$B,U$2&amp;$R$1)</f>
        <v/>
      </c>
      <c r="V42" s="142">
        <f>SUMIFS(領用表!$L:$L,領用表!$E:$E,$B42,領用表!$B:$B,V$2&amp;$R$1)</f>
        <v/>
      </c>
      <c r="W42" s="142" t="n">
        <v>19</v>
      </c>
      <c r="X42" s="142">
        <f>SUMIFS(領用表!$L:$L,領用表!$E:$E,$B42,領用表!$B:$B,X$2&amp;$R$1)</f>
        <v/>
      </c>
      <c r="Y42" s="142">
        <f>SUMIFS(領用表!$L:$L,領用表!$E:$E,$B42,領用表!$B:$B,Y$2&amp;$R$1)</f>
        <v/>
      </c>
      <c r="Z42" s="142">
        <f>SUMIFS(領用表!$L:$L,領用表!$E:$E,$B42,領用表!$B:$B,Z$2&amp;$R$1)</f>
        <v/>
      </c>
      <c r="AA42" s="142">
        <f>SUMIFS(領用表!$L:$L,領用表!$E:$E,$B42,領用表!$B:$B,AA$2&amp;$R$1)</f>
        <v/>
      </c>
      <c r="AB42" s="142">
        <f>SUMIFS(領用表!$L:$L,領用表!$E:$E,$B42,領用表!$B:$B,AB$2&amp;$R$1)</f>
        <v/>
      </c>
      <c r="AC42" s="142">
        <f>SUMIFS(領用表!$L:$L,領用表!$E:$E,$B42,領用表!$B:$B,AC$2&amp;$R$1)</f>
        <v/>
      </c>
      <c r="AD42" s="142">
        <f>SUM(R42,S42,T42,U42,V42,W42)</f>
        <v/>
      </c>
      <c r="AE42" s="142">
        <f>AVERAGE(R42,S42,T42,U42,V42,W42)</f>
        <v/>
      </c>
      <c r="AF42" s="142">
        <f>SUMIF(Summary!B:B,B42,Summary!EB:EB)</f>
        <v/>
      </c>
      <c r="AG42" s="101" t="n">
        <v>100</v>
      </c>
      <c r="AH42" s="24" t="n"/>
      <c r="AI42" s="25" t="inlineStr">
        <is>
          <t>45盒(10/21)</t>
        </is>
      </c>
      <c r="AJ42" s="25" t="inlineStr">
        <is>
          <t>10盒(10/21)
10盒(10/27)</t>
        </is>
      </c>
      <c r="AK42" s="27" t="n"/>
      <c r="AL42" s="28" t="n"/>
      <c r="AM42" s="14" t="n"/>
      <c r="AN42" s="29" t="n"/>
    </row>
    <row r="43" ht="15" customHeight="1" s="453">
      <c r="A43" s="27" t="inlineStr">
        <is>
          <t>MP1MA020025A</t>
        </is>
      </c>
      <c r="B43" s="14" t="n">
        <v>6160003</v>
      </c>
      <c r="C43" s="118" t="inlineStr">
        <is>
          <t>洢蓮絲植入劑ELLANSÉ-M 1ml(支)</t>
        </is>
      </c>
      <c r="D43" s="16" t="n">
        <v>2</v>
      </c>
      <c r="E43" s="17" t="inlineStr">
        <is>
          <t>PCS</t>
        </is>
      </c>
      <c r="F43" s="18" t="n"/>
      <c r="G43" s="18" t="n">
        <v>2</v>
      </c>
      <c r="H43" s="21">
        <f>SUM(#REF!)</f>
        <v/>
      </c>
      <c r="I43" s="542">
        <f>H43/12</f>
        <v/>
      </c>
      <c r="J43" s="20">
        <f>SUMIFS(領用表!$L:$L,領用表!$E:$E,$B43,領用表!$B:$B,J$2&amp;$R$1)</f>
        <v/>
      </c>
      <c r="K43" s="20">
        <f>SUMIFS(領用表!$L:$L,領用表!$E:$E,$B43,領用表!$B:$B,K$2&amp;$R$1)</f>
        <v/>
      </c>
      <c r="L43" s="20">
        <f>SUMIFS(領用表!$L:$L,領用表!$E:$E,$B43,領用表!$B:$B,L$2&amp;$R$1)</f>
        <v/>
      </c>
      <c r="M43" s="142">
        <f>SUMIFS(領用表!$L:$L,領用表!$E:$E,$B43,領用表!$B:$B,M$2&amp;$R$1)</f>
        <v/>
      </c>
      <c r="N43" s="142">
        <f>SUMIFS(領用表!$L:$L,領用表!$E:$E,$B43,領用表!$B:$B,N$2&amp;$R$1)</f>
        <v/>
      </c>
      <c r="O43" s="142">
        <f>SUMIFS(領用表!$L:$L,領用表!$E:$E,$B43,領用表!$B:$B,O$2&amp;$R$1)</f>
        <v/>
      </c>
      <c r="P43" s="23">
        <f>SUM(,J43,K43,L43,M43,N43,O43)</f>
        <v/>
      </c>
      <c r="Q43" s="23">
        <f>AVERAGE(,J43,K43,L43,M43,N43,O43)</f>
        <v/>
      </c>
      <c r="R43" s="142">
        <f>SUMIFS(領用表!$L:$L,領用表!$E:$E,$B43,領用表!$B:$B,R$2&amp;$R$1)</f>
        <v/>
      </c>
      <c r="S43" s="142">
        <f>SUMIFS(領用表!$L:$L,領用表!$E:$E,$B43,領用表!$B:$B,S$2&amp;$R$1)</f>
        <v/>
      </c>
      <c r="T43" s="142">
        <f>SUMIFS(領用表!$L:$L,領用表!$E:$E,$B43,領用表!$B:$B,T$2&amp;$R$1)</f>
        <v/>
      </c>
      <c r="U43" s="142">
        <f>SUMIFS(領用表!$L:$L,領用表!$E:$E,$B43,領用表!$B:$B,U$2&amp;$R$1)</f>
        <v/>
      </c>
      <c r="V43" s="142">
        <f>SUMIFS(領用表!$L:$L,領用表!$E:$E,$B43,領用表!$B:$B,V$2&amp;$R$1)</f>
        <v/>
      </c>
      <c r="W43" s="142" t="n">
        <v>7</v>
      </c>
      <c r="X43" s="142">
        <f>SUMIFS(領用表!$L:$L,領用表!$E:$E,$B43,領用表!$B:$B,X$2&amp;$R$1)</f>
        <v/>
      </c>
      <c r="Y43" s="142">
        <f>SUMIFS(領用表!$L:$L,領用表!$E:$E,$B43,領用表!$B:$B,Y$2&amp;$R$1)</f>
        <v/>
      </c>
      <c r="Z43" s="142">
        <f>SUMIFS(領用表!$L:$L,領用表!$E:$E,$B43,領用表!$B:$B,Z$2&amp;$R$1)</f>
        <v/>
      </c>
      <c r="AA43" s="142">
        <f>SUMIFS(領用表!$L:$L,領用表!$E:$E,$B43,領用表!$B:$B,AA$2&amp;$R$1)</f>
        <v/>
      </c>
      <c r="AB43" s="142">
        <f>SUMIFS(領用表!$L:$L,領用表!$E:$E,$B43,領用表!$B:$B,AB$2&amp;$R$1)</f>
        <v/>
      </c>
      <c r="AC43" s="142">
        <f>SUMIFS(領用表!$L:$L,領用表!$E:$E,$B43,領用表!$B:$B,AC$2&amp;$R$1)</f>
        <v/>
      </c>
      <c r="AD43" s="142">
        <f>SUM(R43,S43,T43,U43,V43,W43)</f>
        <v/>
      </c>
      <c r="AE43" s="142">
        <f>AVERAGE(R43,S43,T43,U43,V43,W43)</f>
        <v/>
      </c>
      <c r="AF43" s="142">
        <f>SUMIF(Summary!B:B,B43,Summary!EB:EB)</f>
        <v/>
      </c>
      <c r="AG43" s="101" t="n">
        <v>20</v>
      </c>
      <c r="AH43" s="24" t="n">
        <v>0</v>
      </c>
      <c r="AI43" s="25" t="n"/>
      <c r="AJ43" s="25" t="n"/>
      <c r="AK43" s="45" t="n"/>
      <c r="AL43" s="46" t="n"/>
      <c r="AM43" s="47" t="n"/>
      <c r="AN43" s="48" t="n"/>
    </row>
    <row r="44" ht="15.75" customHeight="1" s="453">
      <c r="A44" s="27" t="inlineStr">
        <is>
          <t>MP1MA020029A</t>
        </is>
      </c>
      <c r="B44" s="14" t="n">
        <v>6150013</v>
      </c>
      <c r="C44" s="131" t="inlineStr">
        <is>
          <t>(逆時針)璞菲洛高低分子玻尿酸皮下植入劑 PROFHILO HiLow 2c.c/ 支</t>
        </is>
      </c>
      <c r="D44" s="16" t="n">
        <v>1</v>
      </c>
      <c r="E44" s="17" t="inlineStr">
        <is>
          <t>PCS</t>
        </is>
      </c>
      <c r="F44" s="18" t="n"/>
      <c r="G44" s="18" t="n">
        <v>19</v>
      </c>
      <c r="H44" s="21" t="n"/>
      <c r="I44" s="542" t="n"/>
      <c r="J44" s="20">
        <f>SUMIFS(領用表!$L:$L,領用表!$E:$E,$B44,領用表!$B:$B,J$2&amp;$R$1)</f>
        <v/>
      </c>
      <c r="K44" s="20">
        <f>SUMIFS(領用表!$L:$L,領用表!$E:$E,$B44,領用表!$B:$B,K$2&amp;$R$1)</f>
        <v/>
      </c>
      <c r="L44" s="20">
        <f>SUMIFS(領用表!$L:$L,領用表!$E:$E,$B44,領用表!$B:$B,L$2&amp;$R$1)</f>
        <v/>
      </c>
      <c r="M44" s="142">
        <f>SUMIFS(領用表!$L:$L,領用表!$E:$E,$B44,領用表!$B:$B,M$2&amp;$R$1)</f>
        <v/>
      </c>
      <c r="N44" s="142">
        <f>SUMIFS(領用表!$L:$L,領用表!$E:$E,$B44,領用表!$B:$B,N$2&amp;$R$1)</f>
        <v/>
      </c>
      <c r="O44" s="142">
        <f>SUMIFS(領用表!$L:$L,領用表!$E:$E,$B44,領用表!$B:$B,O$2&amp;$R$1)</f>
        <v/>
      </c>
      <c r="P44" s="23">
        <f>SUM(,J44,K44,L44,M44,N44,O44)</f>
        <v/>
      </c>
      <c r="Q44" s="23">
        <f>AVERAGE(,J44,K44,L44,M44,N44,O44)</f>
        <v/>
      </c>
      <c r="R44" s="142">
        <f>SUMIFS(領用表!$L:$L,領用表!$E:$E,$B44,領用表!$B:$B,R$2&amp;$R$1)</f>
        <v/>
      </c>
      <c r="S44" s="142">
        <f>SUMIFS(領用表!$L:$L,領用表!$E:$E,$B44,領用表!$B:$B,S$2&amp;$R$1)</f>
        <v/>
      </c>
      <c r="T44" s="142">
        <f>SUMIFS(領用表!$L:$L,領用表!$E:$E,$B44,領用表!$B:$B,T$2&amp;$R$1)</f>
        <v/>
      </c>
      <c r="U44" s="142">
        <f>SUMIFS(領用表!$L:$L,領用表!$E:$E,$B44,領用表!$B:$B,U$2&amp;$R$1)</f>
        <v/>
      </c>
      <c r="V44" s="142">
        <f>SUMIFS(領用表!$L:$L,領用表!$E:$E,$B44,領用表!$B:$B,V$2&amp;$R$1)</f>
        <v/>
      </c>
      <c r="W44" s="142" t="n">
        <v>7</v>
      </c>
      <c r="X44" s="142">
        <f>SUMIFS(領用表!$L:$L,領用表!$E:$E,$B44,領用表!$B:$B,X$2&amp;$R$1)</f>
        <v/>
      </c>
      <c r="Y44" s="142">
        <f>SUMIFS(領用表!$L:$L,領用表!$E:$E,$B44,領用表!$B:$B,Y$2&amp;$R$1)</f>
        <v/>
      </c>
      <c r="Z44" s="142">
        <f>SUMIFS(領用表!$L:$L,領用表!$E:$E,$B44,領用表!$B:$B,Z$2&amp;$R$1)</f>
        <v/>
      </c>
      <c r="AA44" s="142">
        <f>SUMIFS(領用表!$L:$L,領用表!$E:$E,$B44,領用表!$B:$B,AA$2&amp;$R$1)</f>
        <v/>
      </c>
      <c r="AB44" s="142">
        <f>SUMIFS(領用表!$L:$L,領用表!$E:$E,$B44,領用表!$B:$B,AB$2&amp;$R$1)</f>
        <v/>
      </c>
      <c r="AC44" s="142">
        <f>SUMIFS(領用表!$L:$L,領用表!$E:$E,$B44,領用表!$B:$B,AC$2&amp;$R$1)</f>
        <v/>
      </c>
      <c r="AD44" s="142">
        <f>SUM(R44,S44,T44,U44,V44,W44)</f>
        <v/>
      </c>
      <c r="AE44" s="142">
        <f>AVERAGE(R44,S44,T44,U44,V44,W44)</f>
        <v/>
      </c>
      <c r="AF44" s="142">
        <f>SUMIF(Summary!B:B,B44,Summary!EB:EB)</f>
        <v/>
      </c>
      <c r="AG44" s="101" t="n">
        <v>10</v>
      </c>
      <c r="AH44" s="24" t="n"/>
      <c r="AI44" s="25" t="inlineStr">
        <is>
          <t>50盒(10/27)</t>
        </is>
      </c>
      <c r="AJ44" s="25" t="inlineStr">
        <is>
          <t>10盒(10/17)</t>
        </is>
      </c>
      <c r="AK44" s="27" t="n"/>
      <c r="AL44" s="28" t="n"/>
      <c r="AM44" s="14" t="n"/>
      <c r="AN44" s="29" t="n"/>
    </row>
    <row r="45" ht="15.75" customHeight="1" s="453">
      <c r="A45" s="27" t="inlineStr">
        <is>
          <t>MP1MA020015A</t>
        </is>
      </c>
      <c r="B45" s="14" t="n">
        <v>6160005</v>
      </c>
      <c r="C45" s="133" t="inlineStr">
        <is>
          <t>双美Ⅰ號膠原蛋白植入劑-加強型(含利度卡因) 1ml/ 支(型號P03041)</t>
        </is>
      </c>
      <c r="D45" s="16" t="n">
        <v>1</v>
      </c>
      <c r="E45" s="17" t="inlineStr">
        <is>
          <t>PCS</t>
        </is>
      </c>
      <c r="F45" s="18" t="n"/>
      <c r="G45" s="18" t="n">
        <v>36</v>
      </c>
      <c r="H45" s="21">
        <f>SUM(#REF!)</f>
        <v/>
      </c>
      <c r="I45" s="542">
        <f>H45/12</f>
        <v/>
      </c>
      <c r="J45" s="20">
        <f>SUMIFS(領用表!$L:$L,領用表!$E:$E,$B45,領用表!$B:$B,J$2&amp;$R$1)</f>
        <v/>
      </c>
      <c r="K45" s="20">
        <f>SUMIFS(領用表!$L:$L,領用表!$E:$E,$B45,領用表!$B:$B,K$2&amp;$R$1)</f>
        <v/>
      </c>
      <c r="L45" s="20">
        <f>SUMIFS(領用表!$L:$L,領用表!$E:$E,$B45,領用表!$B:$B,L$2&amp;$R$1)</f>
        <v/>
      </c>
      <c r="M45" s="142">
        <f>SUMIFS(領用表!$L:$L,領用表!$E:$E,$B45,領用表!$B:$B,M$2&amp;$R$1)</f>
        <v/>
      </c>
      <c r="N45" s="142">
        <f>SUMIFS(領用表!$L:$L,領用表!$E:$E,$B45,領用表!$B:$B,N$2&amp;$R$1)</f>
        <v/>
      </c>
      <c r="O45" s="142">
        <f>SUMIFS(領用表!$L:$L,領用表!$E:$E,$B45,領用表!$B:$B,O$2&amp;$R$1)</f>
        <v/>
      </c>
      <c r="P45" s="23">
        <f>SUM(,J45,K45,L45,M45,N45,O45)</f>
        <v/>
      </c>
      <c r="Q45" s="23">
        <f>AVERAGE(,J45,K45,L45,M45,N45,O45)</f>
        <v/>
      </c>
      <c r="R45" s="142">
        <f>SUMIFS(領用表!$L:$L,領用表!$E:$E,$B45,領用表!$B:$B,R$2&amp;$R$1)</f>
        <v/>
      </c>
      <c r="S45" s="142">
        <f>SUMIFS(領用表!$L:$L,領用表!$E:$E,$B45,領用表!$B:$B,S$2&amp;$R$1)</f>
        <v/>
      </c>
      <c r="T45" s="142">
        <f>SUMIFS(領用表!$L:$L,領用表!$E:$E,$B45,領用表!$B:$B,T$2&amp;$R$1)</f>
        <v/>
      </c>
      <c r="U45" s="142">
        <f>SUMIFS(領用表!$L:$L,領用表!$E:$E,$B45,領用表!$B:$B,U$2&amp;$R$1)</f>
        <v/>
      </c>
      <c r="V45" s="142">
        <f>SUMIFS(領用表!$L:$L,領用表!$E:$E,$B45,領用表!$B:$B,V$2&amp;$R$1)</f>
        <v/>
      </c>
      <c r="W45" s="142" t="n">
        <v>17</v>
      </c>
      <c r="X45" s="142">
        <f>SUMIFS(領用表!$L:$L,領用表!$E:$E,$B45,領用表!$B:$B,X$2&amp;$R$1)</f>
        <v/>
      </c>
      <c r="Y45" s="142">
        <f>SUMIFS(領用表!$L:$L,領用表!$E:$E,$B45,領用表!$B:$B,Y$2&amp;$R$1)</f>
        <v/>
      </c>
      <c r="Z45" s="142">
        <f>SUMIFS(領用表!$L:$L,領用表!$E:$E,$B45,領用表!$B:$B,Z$2&amp;$R$1)</f>
        <v/>
      </c>
      <c r="AA45" s="142">
        <f>SUMIFS(領用表!$L:$L,領用表!$E:$E,$B45,領用表!$B:$B,AA$2&amp;$R$1)</f>
        <v/>
      </c>
      <c r="AB45" s="142">
        <f>SUMIFS(領用表!$L:$L,領用表!$E:$E,$B45,領用表!$B:$B,AB$2&amp;$R$1)</f>
        <v/>
      </c>
      <c r="AC45" s="142">
        <f>SUMIFS(領用表!$L:$L,領用表!$E:$E,$B45,領用表!$B:$B,AC$2&amp;$R$1)</f>
        <v/>
      </c>
      <c r="AD45" s="142">
        <f>SUM(R45,S45,T45,U45,V45,W45)</f>
        <v/>
      </c>
      <c r="AE45" s="142">
        <f>AVERAGE(R45,S45,T45,U45,V45,W45)</f>
        <v/>
      </c>
      <c r="AF45" s="142">
        <f>SUMIF(Summary!B:B,B45,Summary!EB:EB)</f>
        <v/>
      </c>
      <c r="AG45" s="101" t="n">
        <v>8</v>
      </c>
      <c r="AH45" s="24" t="n">
        <v>0</v>
      </c>
      <c r="AI45" s="25" t="inlineStr">
        <is>
          <t>22支(10/23)</t>
        </is>
      </c>
      <c r="AJ45" s="25" t="inlineStr">
        <is>
          <t>22支(10/23)</t>
        </is>
      </c>
      <c r="AK45" s="27" t="n"/>
      <c r="AL45" s="28" t="n"/>
      <c r="AM45" s="14" t="n"/>
      <c r="AN45" s="29" t="n"/>
    </row>
    <row r="46" ht="15.75" customHeight="1" s="453">
      <c r="A46" s="27" t="inlineStr">
        <is>
          <t>MM2MB030006A</t>
        </is>
      </c>
      <c r="B46" s="14" t="n">
        <v>6170034</v>
      </c>
      <c r="C46" s="133" t="inlineStr">
        <is>
          <t>十蓓電波臉部探頭5平方公分(1發)</t>
        </is>
      </c>
      <c r="D46" s="23" t="n">
        <v>900</v>
      </c>
      <c r="E46" s="17" t="inlineStr">
        <is>
          <t>SHOT</t>
        </is>
      </c>
      <c r="F46" s="18" t="n"/>
      <c r="G46" s="18">
        <f>((D46*22)+143)+((D46*36)+77)+((D46*26)+300)</f>
        <v/>
      </c>
      <c r="H46" s="21" t="n"/>
      <c r="I46" s="542" t="n"/>
      <c r="J46" s="20">
        <f>SUMIFS(領用表!$L:$L,領用表!$E:$E,$B46,領用表!$B:$B,J$2&amp;$R$1)</f>
        <v/>
      </c>
      <c r="K46" s="20">
        <f>SUMIFS(領用表!$L:$L,領用表!$E:$E,$B46,領用表!$B:$B,K$2&amp;$R$1)</f>
        <v/>
      </c>
      <c r="L46" s="20">
        <f>SUMIFS(領用表!$L:$L,領用表!$E:$E,$B46,領用表!$B:$B,L$2&amp;$R$1)</f>
        <v/>
      </c>
      <c r="M46" s="142">
        <f>SUMIFS(領用表!$L:$L,領用表!$E:$E,$B46,領用表!$B:$B,M$2&amp;$R$1)</f>
        <v/>
      </c>
      <c r="N46" s="142">
        <f>SUMIFS(領用表!$L:$L,領用表!$E:$E,$B46,領用表!$B:$B,N$2&amp;$R$1)</f>
        <v/>
      </c>
      <c r="O46" s="142">
        <f>SUMIFS(領用表!$L:$L,領用表!$E:$E,$B46,領用表!$B:$B,O$2&amp;$R$1)</f>
        <v/>
      </c>
      <c r="P46" s="23">
        <f>SUM(,J46,K46,L46,M46,N46,O46)</f>
        <v/>
      </c>
      <c r="Q46" s="23">
        <f>AVERAGE(,J46,K46,L46,M46,N46,O46)</f>
        <v/>
      </c>
      <c r="R46" s="142">
        <f>SUMIFS(領用表!$L:$L,領用表!$E:$E,$B46,領用表!$B:$B,R$2&amp;$R$1)</f>
        <v/>
      </c>
      <c r="S46" s="142">
        <f>SUMIFS(領用表!$L:$L,領用表!$E:$E,$B46,領用表!$B:$B,S$2&amp;$R$1)</f>
        <v/>
      </c>
      <c r="T46" s="142">
        <f>SUMIFS(領用表!$L:$L,領用表!$E:$E,$B46,領用表!$B:$B,T$2&amp;$R$1)</f>
        <v/>
      </c>
      <c r="U46" s="142">
        <f>SUMIFS(領用表!$L:$L,領用表!$E:$E,$B46,領用表!$B:$B,U$2&amp;$R$1)</f>
        <v/>
      </c>
      <c r="V46" s="142">
        <f>SUMIFS(領用表!$L:$L,領用表!$E:$E,$B46,領用表!$B:$B,V$2&amp;$R$1)</f>
        <v/>
      </c>
      <c r="W46" s="142" t="n">
        <v>47900</v>
      </c>
      <c r="X46" s="142">
        <f>SUMIFS(領用表!$L:$L,領用表!$E:$E,$B46,領用表!$B:$B,X$2&amp;$R$1)</f>
        <v/>
      </c>
      <c r="Y46" s="142">
        <f>SUMIFS(領用表!$L:$L,領用表!$E:$E,$B46,領用表!$B:$B,Y$2&amp;$R$1)</f>
        <v/>
      </c>
      <c r="Z46" s="142">
        <f>SUMIFS(領用表!$L:$L,領用表!$E:$E,$B46,領用表!$B:$B,Z$2&amp;$R$1)</f>
        <v/>
      </c>
      <c r="AA46" s="142">
        <f>SUMIFS(領用表!$L:$L,領用表!$E:$E,$B46,領用表!$B:$B,AA$2&amp;$R$1)</f>
        <v/>
      </c>
      <c r="AB46" s="142">
        <f>SUMIFS(領用表!$L:$L,領用表!$E:$E,$B46,領用表!$B:$B,AB$2&amp;$R$1)</f>
        <v/>
      </c>
      <c r="AC46" s="142">
        <f>SUMIFS(領用表!$L:$L,領用表!$E:$E,$B46,領用表!$B:$B,AC$2&amp;$R$1)</f>
        <v/>
      </c>
      <c r="AD46" s="142">
        <f>SUM(R46,S46,T46,U46,V46,W46)</f>
        <v/>
      </c>
      <c r="AE46" s="142">
        <f>AVERAGE(R46,S46,T46,U46,V46,W46)</f>
        <v/>
      </c>
      <c r="AF46" s="142">
        <f>SUMIF(Summary!B:B,B46,Summary!EB:EB)</f>
        <v/>
      </c>
      <c r="AG46" s="104" t="n">
        <v>20000</v>
      </c>
      <c r="AH46" s="24" t="n"/>
      <c r="AI46" s="25" t="inlineStr">
        <is>
          <t>40顆(10/21)</t>
        </is>
      </c>
      <c r="AJ46" s="25" t="inlineStr">
        <is>
          <t>40顆(10/21)</t>
        </is>
      </c>
      <c r="AK46" s="546" t="n"/>
      <c r="AL46" s="28" t="n"/>
      <c r="AM46" s="14" t="n"/>
      <c r="AN46" s="29" t="n"/>
    </row>
    <row r="47">
      <c r="A47" s="27" t="inlineStr">
        <is>
          <t>MM2MB030007A</t>
        </is>
      </c>
      <c r="B47" s="14" t="n">
        <v>6170035</v>
      </c>
      <c r="C47" s="133" t="inlineStr">
        <is>
          <t>十蓓電波眼周探頭0.25平方公分(1發)</t>
        </is>
      </c>
      <c r="D47" s="23" t="n">
        <v>600</v>
      </c>
      <c r="E47" s="17" t="inlineStr">
        <is>
          <t>SHOT</t>
        </is>
      </c>
      <c r="F47" s="18" t="n"/>
      <c r="G47" s="18">
        <f>((D47*0)+0)+((D47*11)+439)+(D47*0)</f>
        <v/>
      </c>
      <c r="H47" s="21" t="n"/>
      <c r="I47" s="542" t="n"/>
      <c r="J47" s="20">
        <f>SUMIFS(領用表!$L:$L,領用表!$E:$E,$B47,領用表!$B:$B,J$2&amp;$R$1)</f>
        <v/>
      </c>
      <c r="K47" s="20">
        <f>SUMIFS(領用表!$L:$L,領用表!$E:$E,$B47,領用表!$B:$B,K$2&amp;$R$1)</f>
        <v/>
      </c>
      <c r="L47" s="20">
        <f>SUMIFS(領用表!$L:$L,領用表!$E:$E,$B47,領用表!$B:$B,L$2&amp;$R$1)</f>
        <v/>
      </c>
      <c r="M47" s="142">
        <f>SUMIFS(領用表!$L:$L,領用表!$E:$E,$B47,領用表!$B:$B,M$2&amp;$R$1)</f>
        <v/>
      </c>
      <c r="N47" s="142">
        <f>SUMIFS(領用表!$L:$L,領用表!$E:$E,$B47,領用表!$B:$B,N$2&amp;$R$1)</f>
        <v/>
      </c>
      <c r="O47" s="142">
        <f>SUMIFS(領用表!$L:$L,領用表!$E:$E,$B47,領用表!$B:$B,O$2&amp;$R$1)</f>
        <v/>
      </c>
      <c r="P47" s="23">
        <f>SUM(,J47,K47,L47,M47,N47,O47)</f>
        <v/>
      </c>
      <c r="Q47" s="23">
        <f>AVERAGE(,J47,K47,L47,M47,N47,O47)</f>
        <v/>
      </c>
      <c r="R47" s="142">
        <f>SUMIFS(領用表!$L:$L,領用表!$E:$E,$B47,領用表!$B:$B,R$2&amp;$R$1)</f>
        <v/>
      </c>
      <c r="S47" s="142">
        <f>SUMIFS(領用表!$L:$L,領用表!$E:$E,$B47,領用表!$B:$B,S$2&amp;$R$1)</f>
        <v/>
      </c>
      <c r="T47" s="142">
        <f>SUMIFS(領用表!$L:$L,領用表!$E:$E,$B47,領用表!$B:$B,T$2&amp;$R$1)</f>
        <v/>
      </c>
      <c r="U47" s="142">
        <f>SUMIFS(領用表!$L:$L,領用表!$E:$E,$B47,領用表!$B:$B,U$2&amp;$R$1)</f>
        <v/>
      </c>
      <c r="V47" s="142">
        <f>SUMIFS(領用表!$L:$L,領用表!$E:$E,$B47,領用表!$B:$B,V$2&amp;$R$1)</f>
        <v/>
      </c>
      <c r="W47" s="142" t="n">
        <v>6900</v>
      </c>
      <c r="X47" s="142">
        <f>SUMIFS(領用表!$L:$L,領用表!$E:$E,$B47,領用表!$B:$B,X$2&amp;$R$1)</f>
        <v/>
      </c>
      <c r="Y47" s="142">
        <f>SUMIFS(領用表!$L:$L,領用表!$E:$E,$B47,領用表!$B:$B,Y$2&amp;$R$1)</f>
        <v/>
      </c>
      <c r="Z47" s="142">
        <f>SUMIFS(領用表!$L:$L,領用表!$E:$E,$B47,領用表!$B:$B,Z$2&amp;$R$1)</f>
        <v/>
      </c>
      <c r="AA47" s="142">
        <f>SUMIFS(領用表!$L:$L,領用表!$E:$E,$B47,領用表!$B:$B,AA$2&amp;$R$1)</f>
        <v/>
      </c>
      <c r="AB47" s="142">
        <f>SUMIFS(領用表!$L:$L,領用表!$E:$E,$B47,領用表!$B:$B,AB$2&amp;$R$1)</f>
        <v/>
      </c>
      <c r="AC47" s="142">
        <f>SUMIFS(領用表!$L:$L,領用表!$E:$E,$B47,領用表!$B:$B,AC$2&amp;$R$1)</f>
        <v/>
      </c>
      <c r="AD47" s="142">
        <f>SUM(R47,S47,T47,U47,V47,W47)</f>
        <v/>
      </c>
      <c r="AE47" s="142">
        <f>AVERAGE(R47,S47,T47,U47,V47,W47)</f>
        <v/>
      </c>
      <c r="AF47" s="142">
        <f>SUMIF(Summary!B:B,B47,Summary!EB:EB)</f>
        <v/>
      </c>
      <c r="AG47" s="104" t="n">
        <v>6500</v>
      </c>
      <c r="AH47" s="24" t="n"/>
      <c r="AI47" s="25" t="n"/>
      <c r="AJ47" s="25" t="inlineStr">
        <is>
          <t>40顆(10/21)</t>
        </is>
      </c>
      <c r="AK47" s="546" t="n"/>
      <c r="AL47" s="28" t="n"/>
      <c r="AM47" s="14" t="n"/>
      <c r="AN47" s="29" t="n"/>
    </row>
    <row r="48" ht="15.75" customHeight="1" s="453">
      <c r="A48" s="27" t="inlineStr">
        <is>
          <t>MM2MB030002A</t>
        </is>
      </c>
      <c r="B48" s="14" t="n">
        <v>6170028</v>
      </c>
      <c r="C48" s="118" t="inlineStr">
        <is>
          <t>海芙電波 I探頭 0.25cm(1發)</t>
        </is>
      </c>
      <c r="D48" s="23" t="n">
        <v>6050</v>
      </c>
      <c r="E48" s="17" t="inlineStr">
        <is>
          <t>SHOT</t>
        </is>
      </c>
      <c r="F48" s="18" t="n"/>
      <c r="G48" s="18">
        <f>(D48*0)+(0)</f>
        <v/>
      </c>
      <c r="H48" s="21" t="inlineStr">
        <is>
          <t>-</t>
        </is>
      </c>
      <c r="I48" s="542" t="inlineStr">
        <is>
          <t>-</t>
        </is>
      </c>
      <c r="J48" s="20">
        <f>SUMIFS(領用表!$L:$L,領用表!$E:$E,$B48,領用表!$B:$B,J$2&amp;$R$1)</f>
        <v/>
      </c>
      <c r="K48" s="20">
        <f>SUMIFS(領用表!$L:$L,領用表!$E:$E,$B48,領用表!$B:$B,K$2&amp;$R$1)</f>
        <v/>
      </c>
      <c r="L48" s="20">
        <f>SUMIFS(領用表!$L:$L,領用表!$E:$E,$B48,領用表!$B:$B,L$2&amp;$R$1)</f>
        <v/>
      </c>
      <c r="M48" s="142">
        <f>SUMIFS(領用表!$L:$L,領用表!$E:$E,$B48,領用表!$B:$B,M$2&amp;$R$1)</f>
        <v/>
      </c>
      <c r="N48" s="142">
        <f>SUMIFS(領用表!$L:$L,領用表!$E:$E,$B48,領用表!$B:$B,N$2&amp;$R$1)</f>
        <v/>
      </c>
      <c r="O48" s="142">
        <f>SUMIFS(領用表!$L:$L,領用表!$E:$E,$B48,領用表!$B:$B,O$2&amp;$R$1)</f>
        <v/>
      </c>
      <c r="P48" s="23">
        <f>SUM(,J48,K48,L48,M48,N48,O48)</f>
        <v/>
      </c>
      <c r="Q48" s="23">
        <f>AVERAGE(,J48,K48,L48,M48,N48,O48)</f>
        <v/>
      </c>
      <c r="R48" s="142">
        <f>SUMIFS(領用表!$L:$L,領用表!$E:$E,$B48,領用表!$B:$B,R$2&amp;$R$1)</f>
        <v/>
      </c>
      <c r="S48" s="142">
        <f>SUMIFS(領用表!$L:$L,領用表!$E:$E,$B48,領用表!$B:$B,S$2&amp;$R$1)</f>
        <v/>
      </c>
      <c r="T48" s="142">
        <f>SUMIFS(領用表!$L:$L,領用表!$E:$E,$B48,領用表!$B:$B,T$2&amp;$R$1)</f>
        <v/>
      </c>
      <c r="U48" s="142">
        <f>SUMIFS(領用表!$L:$L,領用表!$E:$E,$B48,領用表!$B:$B,U$2&amp;$R$1)</f>
        <v/>
      </c>
      <c r="V48" s="142">
        <f>SUMIFS(領用表!$L:$L,領用表!$E:$E,$B48,領用表!$B:$B,V$2&amp;$R$1)</f>
        <v/>
      </c>
      <c r="W48" s="142" t="n"/>
      <c r="X48" s="142">
        <f>SUMIFS(領用表!$L:$L,領用表!$E:$E,$B48,領用表!$B:$B,X$2&amp;$R$1)</f>
        <v/>
      </c>
      <c r="Y48" s="142">
        <f>SUMIFS(領用表!$L:$L,領用表!$E:$E,$B48,領用表!$B:$B,Y$2&amp;$R$1)</f>
        <v/>
      </c>
      <c r="Z48" s="142">
        <f>SUMIFS(領用表!$L:$L,領用表!$E:$E,$B48,領用表!$B:$B,Z$2&amp;$R$1)</f>
        <v/>
      </c>
      <c r="AA48" s="142">
        <f>SUMIFS(領用表!$L:$L,領用表!$E:$E,$B48,領用表!$B:$B,AA$2&amp;$R$1)</f>
        <v/>
      </c>
      <c r="AB48" s="142">
        <f>SUMIFS(領用表!$L:$L,領用表!$E:$E,$B48,領用表!$B:$B,AB$2&amp;$R$1)</f>
        <v/>
      </c>
      <c r="AC48" s="142">
        <f>SUMIFS(領用表!$L:$L,領用表!$E:$E,$B48,領用表!$B:$B,AC$2&amp;$R$1)</f>
        <v/>
      </c>
      <c r="AD48" s="142">
        <f>SUM(R48,S48,T48,U48,V48,W48)</f>
        <v/>
      </c>
      <c r="AE48" s="142">
        <f>AVERAGE(R48,S48,T48,U48,V48,W48)</f>
        <v/>
      </c>
      <c r="AF48" s="142">
        <f>SUMIF(Summary!B:B,B48,Summary!EB:EB)</f>
        <v/>
      </c>
      <c r="AG48" s="104" t="n">
        <v>7500</v>
      </c>
      <c r="AH48" s="24" t="n">
        <v>0</v>
      </c>
      <c r="AI48" s="25" t="inlineStr">
        <is>
          <t>3顆(10/23)</t>
        </is>
      </c>
      <c r="AJ48" s="25" t="inlineStr">
        <is>
          <t>2顆(10/23)</t>
        </is>
      </c>
      <c r="AK48" s="547" t="inlineStr">
        <is>
          <t>2025/4/1站前交機1台</t>
        </is>
      </c>
      <c r="AL48" s="28" t="n"/>
      <c r="AM48" s="14" t="n"/>
      <c r="AN48" s="29" t="n"/>
    </row>
    <row r="49" ht="15.75" customHeight="1" s="453">
      <c r="A49" s="27" t="inlineStr">
        <is>
          <t>MM2MB030003A</t>
        </is>
      </c>
      <c r="B49" s="14" t="n">
        <v>6170029</v>
      </c>
      <c r="C49" s="118" t="inlineStr">
        <is>
          <t>海芙電波 F探頭 3.0cm(1發)</t>
        </is>
      </c>
      <c r="D49" s="23" t="n">
        <v>4050</v>
      </c>
      <c r="E49" s="17" t="inlineStr">
        <is>
          <t>SHOT</t>
        </is>
      </c>
      <c r="F49" s="18" t="n"/>
      <c r="G49" s="18" t="n"/>
      <c r="H49" s="21" t="inlineStr">
        <is>
          <t>-</t>
        </is>
      </c>
      <c r="I49" s="542" t="inlineStr">
        <is>
          <t>-</t>
        </is>
      </c>
      <c r="J49" s="20">
        <f>SUMIFS(領用表!$L:$L,領用表!$E:$E,$B49,領用表!$B:$B,J$2&amp;$R$1)</f>
        <v/>
      </c>
      <c r="K49" s="20">
        <f>SUMIFS(領用表!$L:$L,領用表!$E:$E,$B49,領用表!$B:$B,K$2&amp;$R$1)</f>
        <v/>
      </c>
      <c r="L49" s="20">
        <f>SUMIFS(領用表!$L:$L,領用表!$E:$E,$B49,領用表!$B:$B,L$2&amp;$R$1)</f>
        <v/>
      </c>
      <c r="M49" s="142">
        <f>SUMIFS(領用表!$L:$L,領用表!$E:$E,$B49,領用表!$B:$B,M$2&amp;$R$1)</f>
        <v/>
      </c>
      <c r="N49" s="142">
        <f>SUMIFS(領用表!$L:$L,領用表!$E:$E,$B49,領用表!$B:$B,N$2&amp;$R$1)</f>
        <v/>
      </c>
      <c r="O49" s="142">
        <f>SUMIFS(領用表!$L:$L,領用表!$E:$E,$B49,領用表!$B:$B,O$2&amp;$R$1)</f>
        <v/>
      </c>
      <c r="P49" s="23">
        <f>SUM(,J49,K49,L49,M49,N49,O49)</f>
        <v/>
      </c>
      <c r="Q49" s="23">
        <f>AVERAGE(,J49,K49,L49,M49,N49,O49)</f>
        <v/>
      </c>
      <c r="R49" s="142">
        <f>SUMIFS(領用表!$L:$L,領用表!$E:$E,$B49,領用表!$B:$B,R$2&amp;$R$1)</f>
        <v/>
      </c>
      <c r="S49" s="142">
        <f>SUMIFS(領用表!$L:$L,領用表!$E:$E,$B49,領用表!$B:$B,S$2&amp;$R$1)</f>
        <v/>
      </c>
      <c r="T49" s="142">
        <f>SUMIFS(領用表!$L:$L,領用表!$E:$E,$B49,領用表!$B:$B,T$2&amp;$R$1)</f>
        <v/>
      </c>
      <c r="U49" s="142">
        <f>SUMIFS(領用表!$L:$L,領用表!$E:$E,$B49,領用表!$B:$B,U$2&amp;$R$1)</f>
        <v/>
      </c>
      <c r="V49" s="142">
        <f>SUMIFS(領用表!$L:$L,領用表!$E:$E,$B49,領用表!$B:$B,V$2&amp;$R$1)</f>
        <v/>
      </c>
      <c r="W49" s="142" t="n"/>
      <c r="X49" s="142">
        <f>SUMIFS(領用表!$L:$L,領用表!$E:$E,$B49,領用表!$B:$B,X$2&amp;$R$1)</f>
        <v/>
      </c>
      <c r="Y49" s="142">
        <f>SUMIFS(領用表!$L:$L,領用表!$E:$E,$B49,領用表!$B:$B,Y$2&amp;$R$1)</f>
        <v/>
      </c>
      <c r="Z49" s="142">
        <f>SUMIFS(領用表!$L:$L,領用表!$E:$E,$B49,領用表!$B:$B,Z$2&amp;$R$1)</f>
        <v/>
      </c>
      <c r="AA49" s="142">
        <f>SUMIFS(領用表!$L:$L,領用表!$E:$E,$B49,領用表!$B:$B,AA$2&amp;$R$1)</f>
        <v/>
      </c>
      <c r="AB49" s="142">
        <f>SUMIFS(領用表!$L:$L,領用表!$E:$E,$B49,領用表!$B:$B,AB$2&amp;$R$1)</f>
        <v/>
      </c>
      <c r="AC49" s="142">
        <f>SUMIFS(領用表!$L:$L,領用表!$E:$E,$B49,領用表!$B:$B,AC$2&amp;$R$1)</f>
        <v/>
      </c>
      <c r="AD49" s="142">
        <f>SUM(R49,S49,T49,U49,V49,W49)</f>
        <v/>
      </c>
      <c r="AE49" s="142">
        <f>AVERAGE(R49,S49,T49,U49,V49,W49)</f>
        <v/>
      </c>
      <c r="AF49" s="142">
        <f>SUMIF(Summary!B:B,B49,Summary!EB:EB)</f>
        <v/>
      </c>
      <c r="AG49" s="104" t="n">
        <v>20000</v>
      </c>
      <c r="AH49" s="24" t="n">
        <v>0</v>
      </c>
      <c r="AI49" s="25" t="inlineStr">
        <is>
          <t>4顆(10/23)</t>
        </is>
      </c>
      <c r="AJ49" s="25" t="inlineStr">
        <is>
          <t>4顆(10/23)</t>
        </is>
      </c>
      <c r="AK49" s="547" t="inlineStr">
        <is>
          <t>2025/4/1站前交機1台</t>
        </is>
      </c>
      <c r="AL49" s="28" t="n"/>
      <c r="AM49" s="14" t="n"/>
      <c r="AN49" s="29" t="n"/>
    </row>
    <row r="50" ht="15.75" customHeight="1" s="453">
      <c r="A50" s="27" t="inlineStr">
        <is>
          <t>MM2MB030004A</t>
        </is>
      </c>
      <c r="B50" s="14" t="n">
        <v>6170030</v>
      </c>
      <c r="C50" s="118" t="inlineStr">
        <is>
          <t>海芙電波 V探頭 4.0cm(1發)</t>
        </is>
      </c>
      <c r="D50" s="37" t="n">
        <v>3050</v>
      </c>
      <c r="E50" s="38" t="inlineStr">
        <is>
          <t>SHOT</t>
        </is>
      </c>
      <c r="F50" s="18" t="n"/>
      <c r="G50" s="18">
        <f>(D50*7)+(1480)</f>
        <v/>
      </c>
      <c r="H50" s="40" t="inlineStr">
        <is>
          <t>-</t>
        </is>
      </c>
      <c r="I50" s="543" t="inlineStr">
        <is>
          <t>-</t>
        </is>
      </c>
      <c r="J50" s="39">
        <f>SUMIFS(領用表!$L:$L,領用表!$E:$E,$B50,領用表!$B:$B,J$2&amp;$R$1)</f>
        <v/>
      </c>
      <c r="K50" s="39">
        <f>SUMIFS(領用表!$L:$L,領用表!$E:$E,$B50,領用表!$B:$B,K$2&amp;$R$1)</f>
        <v/>
      </c>
      <c r="L50" s="39">
        <f>SUMIFS(領用表!$L:$L,領用表!$E:$E,$B50,領用表!$B:$B,L$2&amp;$R$1)</f>
        <v/>
      </c>
      <c r="M50" s="142">
        <f>SUMIFS(領用表!$L:$L,領用表!$E:$E,$B50,領用表!$B:$B,M$2&amp;$R$1)</f>
        <v/>
      </c>
      <c r="N50" s="142">
        <f>SUMIFS(領用表!$L:$L,領用表!$E:$E,$B50,領用表!$B:$B,N$2&amp;$R$1)</f>
        <v/>
      </c>
      <c r="O50" s="142">
        <f>SUMIFS(領用表!$L:$L,領用表!$E:$E,$B50,領用表!$B:$B,O$2&amp;$R$1)</f>
        <v/>
      </c>
      <c r="P50" s="42">
        <f>SUM(,J50,K50,L50,M50,N50,O50)</f>
        <v/>
      </c>
      <c r="Q50" s="42">
        <f>AVERAGE(,J50,K50,L50,M50,N50,O50)</f>
        <v/>
      </c>
      <c r="R50" s="142">
        <f>SUMIFS(領用表!$L:$L,領用表!$E:$E,$B50,領用表!$B:$B,R$2&amp;$R$1)</f>
        <v/>
      </c>
      <c r="S50" s="142">
        <f>SUMIFS(領用表!$L:$L,領用表!$E:$E,$B50,領用表!$B:$B,S$2&amp;$R$1)</f>
        <v/>
      </c>
      <c r="T50" s="142">
        <f>SUMIFS(領用表!$L:$L,領用表!$E:$E,$B50,領用表!$B:$B,T$2&amp;$R$1)</f>
        <v/>
      </c>
      <c r="U50" s="142">
        <f>SUMIFS(領用表!$L:$L,領用表!$E:$E,$B50,領用表!$B:$B,U$2&amp;$R$1)</f>
        <v/>
      </c>
      <c r="V50" s="142">
        <f>SUMIFS(領用表!$L:$L,領用表!$E:$E,$B50,領用表!$B:$B,V$2&amp;$R$1)</f>
        <v/>
      </c>
      <c r="W50" s="142" t="n">
        <v>11901</v>
      </c>
      <c r="X50" s="142">
        <f>SUMIFS(領用表!$L:$L,領用表!$E:$E,$B50,領用表!$B:$B,X$2&amp;$R$1)</f>
        <v/>
      </c>
      <c r="Y50" s="142">
        <f>SUMIFS(領用表!$L:$L,領用表!$E:$E,$B50,領用表!$B:$B,Y$2&amp;$R$1)</f>
        <v/>
      </c>
      <c r="Z50" s="142">
        <f>SUMIFS(領用表!$L:$L,領用表!$E:$E,$B50,領用表!$B:$B,Z$2&amp;$R$1)</f>
        <v/>
      </c>
      <c r="AA50" s="142">
        <f>SUMIFS(領用表!$L:$L,領用表!$E:$E,$B50,領用表!$B:$B,AA$2&amp;$R$1)</f>
        <v/>
      </c>
      <c r="AB50" s="142">
        <f>SUMIFS(領用表!$L:$L,領用表!$E:$E,$B50,領用表!$B:$B,AB$2&amp;$R$1)</f>
        <v/>
      </c>
      <c r="AC50" s="142">
        <f>SUMIFS(領用表!$L:$L,領用表!$E:$E,$B50,領用表!$B:$B,AC$2&amp;$R$1)</f>
        <v/>
      </c>
      <c r="AD50" s="142">
        <f>SUM(R50,S50,T50,U50,V50,W50)</f>
        <v/>
      </c>
      <c r="AE50" s="142">
        <f>AVERAGE(R50,S50,T50,U50,V50,W50)</f>
        <v/>
      </c>
      <c r="AF50" s="142">
        <f>SUMIF(Summary!B:B,B50,Summary!EB:EB)</f>
        <v/>
      </c>
      <c r="AG50" s="105" t="n"/>
      <c r="AH50" s="40" t="n">
        <v>0</v>
      </c>
      <c r="AI50" s="40" t="n"/>
      <c r="AJ50" s="40" t="n"/>
      <c r="AK50" s="548" t="inlineStr">
        <is>
          <t>5/2 EVA不再進貨V探頭</t>
        </is>
      </c>
      <c r="AL50" s="52" t="n"/>
      <c r="AM50" s="14" t="n"/>
      <c r="AN50" s="29" t="n"/>
    </row>
    <row r="51" ht="15.75" customHeight="1" s="453">
      <c r="A51" s="27" t="inlineStr">
        <is>
          <t>MM2MB040003A</t>
        </is>
      </c>
      <c r="B51" s="14" t="n">
        <v>6170005</v>
      </c>
      <c r="C51" s="118" t="inlineStr">
        <is>
          <t>海芙三代音波探頭2mm(1條)</t>
        </is>
      </c>
      <c r="D51" s="23" t="n">
        <v>20099</v>
      </c>
      <c r="E51" s="17" t="inlineStr">
        <is>
          <t>SHOT</t>
        </is>
      </c>
      <c r="F51" s="18" t="n"/>
      <c r="G51" s="18">
        <f>(D51*4)+(8893)+(2276)</f>
        <v/>
      </c>
      <c r="H51" s="21">
        <f>SUM(#REF!)</f>
        <v/>
      </c>
      <c r="I51" s="542">
        <f>H51/12</f>
        <v/>
      </c>
      <c r="J51" s="20">
        <f>SUMIFS(領用表!$L:$L,領用表!$E:$E,$B51,領用表!$B:$B,J$2&amp;$R$1)</f>
        <v/>
      </c>
      <c r="K51" s="20">
        <f>SUMIFS(領用表!$L:$L,領用表!$E:$E,$B51,領用表!$B:$B,K$2&amp;$R$1)</f>
        <v/>
      </c>
      <c r="L51" s="20">
        <f>SUMIFS(領用表!$L:$L,領用表!$E:$E,$B51,領用表!$B:$B,L$2&amp;$R$1)</f>
        <v/>
      </c>
      <c r="M51" s="142">
        <f>SUMIFS(領用表!$L:$L,領用表!$E:$E,$B51,領用表!$B:$B,M$2&amp;$R$1)</f>
        <v/>
      </c>
      <c r="N51" s="142">
        <f>SUMIFS(領用表!$L:$L,領用表!$E:$E,$B51,領用表!$B:$B,N$2&amp;$R$1)</f>
        <v/>
      </c>
      <c r="O51" s="142">
        <f>SUMIFS(領用表!$L:$L,領用表!$E:$E,$B51,領用表!$B:$B,O$2&amp;$R$1)</f>
        <v/>
      </c>
      <c r="P51" s="23">
        <f>SUM(,J51,K51,L51,M51,N51,O51)</f>
        <v/>
      </c>
      <c r="Q51" s="23">
        <f>AVERAGE(,J51,K51,L51,M51,N51,O51)</f>
        <v/>
      </c>
      <c r="R51" s="142">
        <f>SUMIFS(領用表!$L:$L,領用表!$E:$E,$B51,領用表!$B:$B,R$2&amp;$R$1)</f>
        <v/>
      </c>
      <c r="S51" s="142">
        <f>SUMIFS(領用表!$L:$L,領用表!$E:$E,$B51,領用表!$B:$B,S$2&amp;$R$1)</f>
        <v/>
      </c>
      <c r="T51" s="142">
        <f>SUMIFS(領用表!$L:$L,領用表!$E:$E,$B51,領用表!$B:$B,T$2&amp;$R$1)</f>
        <v/>
      </c>
      <c r="U51" s="142">
        <f>SUMIFS(領用表!$L:$L,領用表!$E:$E,$B51,領用表!$B:$B,U$2&amp;$R$1)</f>
        <v/>
      </c>
      <c r="V51" s="142">
        <f>SUMIFS(領用表!$L:$L,領用表!$E:$E,$B51,領用表!$B:$B,V$2&amp;$R$1)</f>
        <v/>
      </c>
      <c r="W51" s="142" t="n">
        <v>1493</v>
      </c>
      <c r="X51" s="142">
        <f>SUMIFS(領用表!$L:$L,領用表!$E:$E,$B51,領用表!$B:$B,X$2&amp;$R$1)</f>
        <v/>
      </c>
      <c r="Y51" s="142">
        <f>SUMIFS(領用表!$L:$L,領用表!$E:$E,$B51,領用表!$B:$B,Y$2&amp;$R$1)</f>
        <v/>
      </c>
      <c r="Z51" s="142">
        <f>SUMIFS(領用表!$L:$L,領用表!$E:$E,$B51,領用表!$B:$B,Z$2&amp;$R$1)</f>
        <v/>
      </c>
      <c r="AA51" s="142">
        <f>SUMIFS(領用表!$L:$L,領用表!$E:$E,$B51,領用表!$B:$B,AA$2&amp;$R$1)</f>
        <v/>
      </c>
      <c r="AB51" s="142">
        <f>SUMIFS(領用表!$L:$L,領用表!$E:$E,$B51,領用表!$B:$B,AB$2&amp;$R$1)</f>
        <v/>
      </c>
      <c r="AC51" s="142">
        <f>SUMIFS(領用表!$L:$L,領用表!$E:$E,$B51,領用表!$B:$B,AC$2&amp;$R$1)</f>
        <v/>
      </c>
      <c r="AD51" s="142">
        <f>SUM(R51,S51,T51,U51,V51,W51)</f>
        <v/>
      </c>
      <c r="AE51" s="142">
        <f>AVERAGE(R51,S51,T51,U51,V51,W51)</f>
        <v/>
      </c>
      <c r="AF51" s="142">
        <f>SUMIF(Summary!B:B,B51,Summary!EB:EB)</f>
        <v/>
      </c>
      <c r="AG51" s="101" t="n">
        <v>25000</v>
      </c>
      <c r="AH51" s="24" t="inlineStr">
        <is>
          <t>3,226,071條</t>
        </is>
      </c>
      <c r="AI51" s="24" t="n"/>
      <c r="AJ51" s="53" t="n"/>
      <c r="AK51" s="547" t="n">
        <v>20000</v>
      </c>
      <c r="AL51" s="28" t="n"/>
      <c r="AM51" s="14" t="n"/>
      <c r="AN51" s="29" t="n"/>
    </row>
    <row r="52" ht="15.75" customHeight="1" s="453">
      <c r="A52" s="27" t="inlineStr">
        <is>
          <t>MM2MB040004A</t>
        </is>
      </c>
      <c r="B52" s="14" t="n">
        <v>6170007</v>
      </c>
      <c r="C52" s="118" t="inlineStr">
        <is>
          <t>海芙三代音波探頭3mm(1條)</t>
        </is>
      </c>
      <c r="D52" s="23" t="n">
        <v>20099</v>
      </c>
      <c r="E52" s="17" t="inlineStr">
        <is>
          <t>SHOT</t>
        </is>
      </c>
      <c r="F52" s="18" t="n"/>
      <c r="G52" s="18">
        <f>(D52*1)+(8529)+(9796)</f>
        <v/>
      </c>
      <c r="H52" s="21">
        <f>SUM(#REF!)</f>
        <v/>
      </c>
      <c r="I52" s="542">
        <f>H52/12</f>
        <v/>
      </c>
      <c r="J52" s="20">
        <f>SUMIFS(領用表!$L:$L,領用表!$E:$E,$B52,領用表!$B:$B,J$2&amp;$R$1)</f>
        <v/>
      </c>
      <c r="K52" s="20">
        <f>SUMIFS(領用表!$L:$L,領用表!$E:$E,$B52,領用表!$B:$B,K$2&amp;$R$1)</f>
        <v/>
      </c>
      <c r="L52" s="20">
        <f>SUMIFS(領用表!$L:$L,領用表!$E:$E,$B52,領用表!$B:$B,L$2&amp;$R$1)</f>
        <v/>
      </c>
      <c r="M52" s="142">
        <f>SUMIFS(領用表!$L:$L,領用表!$E:$E,$B52,領用表!$B:$B,M$2&amp;$R$1)</f>
        <v/>
      </c>
      <c r="N52" s="142">
        <f>SUMIFS(領用表!$L:$L,領用表!$E:$E,$B52,領用表!$B:$B,N$2&amp;$R$1)</f>
        <v/>
      </c>
      <c r="O52" s="142">
        <f>SUMIFS(領用表!$L:$L,領用表!$E:$E,$B52,領用表!$B:$B,O$2&amp;$R$1)</f>
        <v/>
      </c>
      <c r="P52" s="23">
        <f>SUM(,J52,K52,L52,M52,N52,O52)</f>
        <v/>
      </c>
      <c r="Q52" s="23">
        <f>AVERAGE(,J52,K52,L52,M52,N52,O52)</f>
        <v/>
      </c>
      <c r="R52" s="142">
        <f>SUMIFS(領用表!$L:$L,領用表!$E:$E,$B52,領用表!$B:$B,R$2&amp;$R$1)</f>
        <v/>
      </c>
      <c r="S52" s="142">
        <f>SUMIFS(領用表!$L:$L,領用表!$E:$E,$B52,領用表!$B:$B,S$2&amp;$R$1)</f>
        <v/>
      </c>
      <c r="T52" s="142">
        <f>SUMIFS(領用表!$L:$L,領用表!$E:$E,$B52,領用表!$B:$B,T$2&amp;$R$1)</f>
        <v/>
      </c>
      <c r="U52" s="142">
        <f>SUMIFS(領用表!$L:$L,領用表!$E:$E,$B52,領用表!$B:$B,U$2&amp;$R$1)</f>
        <v/>
      </c>
      <c r="V52" s="142">
        <f>SUMIFS(領用表!$L:$L,領用表!$E:$E,$B52,領用表!$B:$B,V$2&amp;$R$1)</f>
        <v/>
      </c>
      <c r="W52" s="142" t="n">
        <v>9255</v>
      </c>
      <c r="X52" s="142">
        <f>SUMIFS(領用表!$L:$L,領用表!$E:$E,$B52,領用表!$B:$B,X$2&amp;$R$1)</f>
        <v/>
      </c>
      <c r="Y52" s="142">
        <f>SUMIFS(領用表!$L:$L,領用表!$E:$E,$B52,領用表!$B:$B,Y$2&amp;$R$1)</f>
        <v/>
      </c>
      <c r="Z52" s="142">
        <f>SUMIFS(領用表!$L:$L,領用表!$E:$E,$B52,領用表!$B:$B,Z$2&amp;$R$1)</f>
        <v/>
      </c>
      <c r="AA52" s="142">
        <f>SUMIFS(領用表!$L:$L,領用表!$E:$E,$B52,領用表!$B:$B,AA$2&amp;$R$1)</f>
        <v/>
      </c>
      <c r="AB52" s="142">
        <f>SUMIFS(領用表!$L:$L,領用表!$E:$E,$B52,領用表!$B:$B,AB$2&amp;$R$1)</f>
        <v/>
      </c>
      <c r="AC52" s="142">
        <f>SUMIFS(領用表!$L:$L,領用表!$E:$E,$B52,領用表!$B:$B,AC$2&amp;$R$1)</f>
        <v/>
      </c>
      <c r="AD52" s="142">
        <f>SUM(R52,S52,T52,U52,V52,W52)</f>
        <v/>
      </c>
      <c r="AE52" s="142">
        <f>AVERAGE(R52,S52,T52,U52,V52,W52)</f>
        <v/>
      </c>
      <c r="AF52" s="142">
        <f>SUMIF(Summary!B:B,B52,Summary!EB:EB)</f>
        <v/>
      </c>
      <c r="AG52" s="101" t="n">
        <v>50000</v>
      </c>
      <c r="AH52" s="514" t="n"/>
      <c r="AI52" s="24" t="n"/>
      <c r="AJ52" s="53" t="n"/>
      <c r="AK52" s="547" t="n">
        <v>20000</v>
      </c>
      <c r="AL52" s="28" t="n"/>
      <c r="AM52" s="14" t="n"/>
      <c r="AN52" s="29" t="n"/>
    </row>
    <row r="53" ht="15.75" customHeight="1" s="453">
      <c r="A53" s="27" t="inlineStr">
        <is>
          <t>MM2MB040005A</t>
        </is>
      </c>
      <c r="B53" s="14" t="n">
        <v>6170009</v>
      </c>
      <c r="C53" s="118" t="inlineStr">
        <is>
          <t>海芙三代音波探頭4.5mm(1條)</t>
        </is>
      </c>
      <c r="D53" s="23" t="n">
        <v>20099</v>
      </c>
      <c r="E53" s="17" t="inlineStr">
        <is>
          <t>SHOT</t>
        </is>
      </c>
      <c r="F53" s="18" t="n"/>
      <c r="G53" s="18">
        <f>(D53*2)+(14614)+(9091)</f>
        <v/>
      </c>
      <c r="H53" s="21">
        <f>SUM(#REF!)</f>
        <v/>
      </c>
      <c r="I53" s="542">
        <f>H53/12</f>
        <v/>
      </c>
      <c r="J53" s="20">
        <f>SUMIFS(領用表!$L:$L,領用表!$E:$E,$B53,領用表!$B:$B,J$2&amp;$R$1)</f>
        <v/>
      </c>
      <c r="K53" s="20">
        <f>SUMIFS(領用表!$L:$L,領用表!$E:$E,$B53,領用表!$B:$B,K$2&amp;$R$1)</f>
        <v/>
      </c>
      <c r="L53" s="20">
        <f>SUMIFS(領用表!$L:$L,領用表!$E:$E,$B53,領用表!$B:$B,L$2&amp;$R$1)</f>
        <v/>
      </c>
      <c r="M53" s="142">
        <f>SUMIFS(領用表!$L:$L,領用表!$E:$E,$B53,領用表!$B:$B,M$2&amp;$R$1)</f>
        <v/>
      </c>
      <c r="N53" s="142">
        <f>SUMIFS(領用表!$L:$L,領用表!$E:$E,$B53,領用表!$B:$B,N$2&amp;$R$1)</f>
        <v/>
      </c>
      <c r="O53" s="142">
        <f>SUMIFS(領用表!$L:$L,領用表!$E:$E,$B53,領用表!$B:$B,O$2&amp;$R$1)</f>
        <v/>
      </c>
      <c r="P53" s="23">
        <f>SUM(,J53,K53,L53,M53,N53,O53)</f>
        <v/>
      </c>
      <c r="Q53" s="23">
        <f>AVERAGE(,J53,K53,L53,M53,N53,O53)</f>
        <v/>
      </c>
      <c r="R53" s="142">
        <f>SUMIFS(領用表!$L:$L,領用表!$E:$E,$B53,領用表!$B:$B,R$2&amp;$R$1)</f>
        <v/>
      </c>
      <c r="S53" s="142">
        <f>SUMIFS(領用表!$L:$L,領用表!$E:$E,$B53,領用表!$B:$B,S$2&amp;$R$1)</f>
        <v/>
      </c>
      <c r="T53" s="142">
        <f>SUMIFS(領用表!$L:$L,領用表!$E:$E,$B53,領用表!$B:$B,T$2&amp;$R$1)</f>
        <v/>
      </c>
      <c r="U53" s="142">
        <f>SUMIFS(領用表!$L:$L,領用表!$E:$E,$B53,領用表!$B:$B,U$2&amp;$R$1)</f>
        <v/>
      </c>
      <c r="V53" s="142">
        <f>SUMIFS(領用表!$L:$L,領用表!$E:$E,$B53,領用表!$B:$B,V$2&amp;$R$1)</f>
        <v/>
      </c>
      <c r="W53" s="142" t="n">
        <v>11132</v>
      </c>
      <c r="X53" s="142">
        <f>SUMIFS(領用表!$L:$L,領用表!$E:$E,$B53,領用表!$B:$B,X$2&amp;$R$1)</f>
        <v/>
      </c>
      <c r="Y53" s="142">
        <f>SUMIFS(領用表!$L:$L,領用表!$E:$E,$B53,領用表!$B:$B,Y$2&amp;$R$1)</f>
        <v/>
      </c>
      <c r="Z53" s="142">
        <f>SUMIFS(領用表!$L:$L,領用表!$E:$E,$B53,領用表!$B:$B,Z$2&amp;$R$1)</f>
        <v/>
      </c>
      <c r="AA53" s="142">
        <f>SUMIFS(領用表!$L:$L,領用表!$E:$E,$B53,領用表!$B:$B,AA$2&amp;$R$1)</f>
        <v/>
      </c>
      <c r="AB53" s="142">
        <f>SUMIFS(領用表!$L:$L,領用表!$E:$E,$B53,領用表!$B:$B,AB$2&amp;$R$1)</f>
        <v/>
      </c>
      <c r="AC53" s="142">
        <f>SUMIFS(領用表!$L:$L,領用表!$E:$E,$B53,領用表!$B:$B,AC$2&amp;$R$1)</f>
        <v/>
      </c>
      <c r="AD53" s="142">
        <f>SUM(R53,S53,T53,U53,V53,W53)</f>
        <v/>
      </c>
      <c r="AE53" s="142">
        <f>AVERAGE(R53,S53,T53,U53,V53,W53)</f>
        <v/>
      </c>
      <c r="AF53" s="142">
        <f>SUMIF(Summary!B:B,B53,Summary!EB:EB)</f>
        <v/>
      </c>
      <c r="AG53" s="101" t="n">
        <v>95000</v>
      </c>
      <c r="AH53" s="514" t="n"/>
      <c r="AI53" s="24" t="n"/>
      <c r="AJ53" s="54" t="inlineStr">
        <is>
          <t>3顆(10/23)</t>
        </is>
      </c>
      <c r="AK53" s="547" t="n">
        <v>20000</v>
      </c>
      <c r="AL53" s="28" t="n"/>
      <c r="AM53" s="14" t="n"/>
      <c r="AN53" s="29" t="n"/>
    </row>
    <row r="54">
      <c r="A54" s="27" t="inlineStr">
        <is>
          <t>MM2MB040006A</t>
        </is>
      </c>
      <c r="B54" s="14" t="n">
        <v>6170011</v>
      </c>
      <c r="C54" s="118" t="inlineStr">
        <is>
          <t>海芙三代音波探頭6mm(1條)</t>
        </is>
      </c>
      <c r="D54" s="23" t="n">
        <v>30099</v>
      </c>
      <c r="E54" s="17" t="inlineStr">
        <is>
          <t>SHOT</t>
        </is>
      </c>
      <c r="F54" s="18" t="n"/>
      <c r="G54" s="18">
        <f>(D54*4)+(268)+(12786)</f>
        <v/>
      </c>
      <c r="H54" s="21">
        <f>SUM(#REF!)</f>
        <v/>
      </c>
      <c r="I54" s="542">
        <f>H54/12</f>
        <v/>
      </c>
      <c r="J54" s="20">
        <f>SUMIFS(領用表!$L:$L,領用表!$E:$E,$B54,領用表!$B:$B,J$2&amp;$R$1)</f>
        <v/>
      </c>
      <c r="K54" s="20">
        <f>SUMIFS(領用表!$L:$L,領用表!$E:$E,$B54,領用表!$B:$B,K$2&amp;$R$1)</f>
        <v/>
      </c>
      <c r="L54" s="20">
        <f>SUMIFS(領用表!$L:$L,領用表!$E:$E,$B54,領用表!$B:$B,L$2&amp;$R$1)</f>
        <v/>
      </c>
      <c r="M54" s="142">
        <f>SUMIFS(領用表!$L:$L,領用表!$E:$E,$B54,領用表!$B:$B,M$2&amp;$R$1)</f>
        <v/>
      </c>
      <c r="N54" s="142">
        <f>SUMIFS(領用表!$L:$L,領用表!$E:$E,$B54,領用表!$B:$B,N$2&amp;$R$1)</f>
        <v/>
      </c>
      <c r="O54" s="142">
        <f>SUMIFS(領用表!$L:$L,領用表!$E:$E,$B54,領用表!$B:$B,O$2&amp;$R$1)</f>
        <v/>
      </c>
      <c r="P54" s="23">
        <f>SUM(,J54,K54,L54,M54,N54,O54)</f>
        <v/>
      </c>
      <c r="Q54" s="23">
        <f>AVERAGE(,J54,K54,L54,M54,N54,O54)</f>
        <v/>
      </c>
      <c r="R54" s="142">
        <f>SUMIFS(領用表!$L:$L,領用表!$E:$E,$B54,領用表!$B:$B,R$2&amp;$R$1)</f>
        <v/>
      </c>
      <c r="S54" s="142">
        <f>SUMIFS(領用表!$L:$L,領用表!$E:$E,$B54,領用表!$B:$B,S$2&amp;$R$1)</f>
        <v/>
      </c>
      <c r="T54" s="142">
        <f>SUMIFS(領用表!$L:$L,領用表!$E:$E,$B54,領用表!$B:$B,T$2&amp;$R$1)</f>
        <v/>
      </c>
      <c r="U54" s="142">
        <f>SUMIFS(領用表!$L:$L,領用表!$E:$E,$B54,領用表!$B:$B,U$2&amp;$R$1)</f>
        <v/>
      </c>
      <c r="V54" s="142">
        <f>SUMIFS(領用表!$L:$L,領用表!$E:$E,$B54,領用表!$B:$B,V$2&amp;$R$1)</f>
        <v/>
      </c>
      <c r="W54" s="142" t="n">
        <v>2520</v>
      </c>
      <c r="X54" s="142">
        <f>SUMIFS(領用表!$L:$L,領用表!$E:$E,$B54,領用表!$B:$B,X$2&amp;$R$1)</f>
        <v/>
      </c>
      <c r="Y54" s="142">
        <f>SUMIFS(領用表!$L:$L,領用表!$E:$E,$B54,領用表!$B:$B,Y$2&amp;$R$1)</f>
        <v/>
      </c>
      <c r="Z54" s="142">
        <f>SUMIFS(領用表!$L:$L,領用表!$E:$E,$B54,領用表!$B:$B,Z$2&amp;$R$1)</f>
        <v/>
      </c>
      <c r="AA54" s="142">
        <f>SUMIFS(領用表!$L:$L,領用表!$E:$E,$B54,領用表!$B:$B,AA$2&amp;$R$1)</f>
        <v/>
      </c>
      <c r="AB54" s="142">
        <f>SUMIFS(領用表!$L:$L,領用表!$E:$E,$B54,領用表!$B:$B,AB$2&amp;$R$1)</f>
        <v/>
      </c>
      <c r="AC54" s="142">
        <f>SUMIFS(領用表!$L:$L,領用表!$E:$E,$B54,領用表!$B:$B,AC$2&amp;$R$1)</f>
        <v/>
      </c>
      <c r="AD54" s="142">
        <f>SUM(R54,S54,T54,U54,V54,W54)</f>
        <v/>
      </c>
      <c r="AE54" s="142">
        <f>AVERAGE(R54,S54,T54,U54,V54,W54)</f>
        <v/>
      </c>
      <c r="AF54" s="142">
        <f>SUMIF(Summary!B:B,B54,Summary!EB:EB)</f>
        <v/>
      </c>
      <c r="AG54" s="101" t="n">
        <v>35000</v>
      </c>
      <c r="AH54" s="515" t="n"/>
      <c r="AI54" s="24" t="n"/>
      <c r="AJ54" s="54" t="inlineStr">
        <is>
          <t>1顆(10/23)</t>
        </is>
      </c>
      <c r="AK54" s="547" t="n">
        <v>30000</v>
      </c>
      <c r="AL54" s="28" t="n"/>
      <c r="AM54" s="14" t="n"/>
      <c r="AN54" s="29" t="n"/>
    </row>
    <row r="55" ht="15.75" customHeight="1" s="453">
      <c r="A55" s="27" t="inlineStr">
        <is>
          <t>MM2MB040008A</t>
        </is>
      </c>
      <c r="B55" s="14" t="n">
        <v>6170019</v>
      </c>
      <c r="C55" s="133" t="inlineStr">
        <is>
          <t>媚必提直線探頭2.0mm(1條)</t>
        </is>
      </c>
      <c r="D55" s="23" t="n">
        <v>20099</v>
      </c>
      <c r="E55" s="17" t="inlineStr">
        <is>
          <t>SHOT</t>
        </is>
      </c>
      <c r="F55" s="44" t="n"/>
      <c r="G55" s="18">
        <f>(D55*1)+(17125)+(17957)+(11318)</f>
        <v/>
      </c>
      <c r="H55" s="21" t="inlineStr">
        <is>
          <t>-</t>
        </is>
      </c>
      <c r="I55" s="542" t="inlineStr">
        <is>
          <t>-</t>
        </is>
      </c>
      <c r="J55" s="20">
        <f>SUMIFS(領用表!$L:$L,領用表!$E:$E,$B55,領用表!$B:$B,J$2&amp;$R$1)</f>
        <v/>
      </c>
      <c r="K55" s="20">
        <f>SUMIFS(領用表!$L:$L,領用表!$E:$E,$B55,領用表!$B:$B,K$2&amp;$R$1)</f>
        <v/>
      </c>
      <c r="L55" s="20">
        <f>SUMIFS(領用表!$L:$L,領用表!$E:$E,$B55,領用表!$B:$B,L$2&amp;$R$1)</f>
        <v/>
      </c>
      <c r="M55" s="142">
        <f>SUMIFS(領用表!$L:$L,領用表!$E:$E,$B55,領用表!$B:$B,M$2&amp;$R$1)</f>
        <v/>
      </c>
      <c r="N55" s="142">
        <f>SUMIFS(領用表!$L:$L,領用表!$E:$E,$B55,領用表!$B:$B,N$2&amp;$R$1)</f>
        <v/>
      </c>
      <c r="O55" s="142">
        <f>SUMIFS(領用表!$L:$L,領用表!$E:$E,$B55,領用表!$B:$B,O$2&amp;$R$1)</f>
        <v/>
      </c>
      <c r="P55" s="23">
        <f>SUM(,J55,K55,L55,M55,N55,O55)</f>
        <v/>
      </c>
      <c r="Q55" s="23">
        <f>AVERAGE(,J55,K55,L55,M55,N55,O55)</f>
        <v/>
      </c>
      <c r="R55" s="142">
        <f>SUMIFS(領用表!$L:$L,領用表!$E:$E,$B55,領用表!$B:$B,R$2&amp;$R$1)</f>
        <v/>
      </c>
      <c r="S55" s="142">
        <f>SUMIFS(領用表!$L:$L,領用表!$E:$E,$B55,領用表!$B:$B,S$2&amp;$R$1)</f>
        <v/>
      </c>
      <c r="T55" s="142">
        <f>SUMIFS(領用表!$L:$L,領用表!$E:$E,$B55,領用表!$B:$B,T$2&amp;$R$1)</f>
        <v/>
      </c>
      <c r="U55" s="142">
        <f>SUMIFS(領用表!$L:$L,領用表!$E:$E,$B55,領用表!$B:$B,U$2&amp;$R$1)</f>
        <v/>
      </c>
      <c r="V55" s="142">
        <f>SUMIFS(領用表!$L:$L,領用表!$E:$E,$B55,領用表!$B:$B,V$2&amp;$R$1)</f>
        <v/>
      </c>
      <c r="W55" s="142" t="n">
        <v>2814</v>
      </c>
      <c r="X55" s="142">
        <f>SUMIFS(領用表!$L:$L,領用表!$E:$E,$B55,領用表!$B:$B,X$2&amp;$R$1)</f>
        <v/>
      </c>
      <c r="Y55" s="142">
        <f>SUMIFS(領用表!$L:$L,領用表!$E:$E,$B55,領用表!$B:$B,Y$2&amp;$R$1)</f>
        <v/>
      </c>
      <c r="Z55" s="142">
        <f>SUMIFS(領用表!$L:$L,領用表!$E:$E,$B55,領用表!$B:$B,Z$2&amp;$R$1)</f>
        <v/>
      </c>
      <c r="AA55" s="142">
        <f>SUMIFS(領用表!$L:$L,領用表!$E:$E,$B55,領用表!$B:$B,AA$2&amp;$R$1)</f>
        <v/>
      </c>
      <c r="AB55" s="142">
        <f>SUMIFS(領用表!$L:$L,領用表!$E:$E,$B55,領用表!$B:$B,AB$2&amp;$R$1)</f>
        <v/>
      </c>
      <c r="AC55" s="142">
        <f>SUMIFS(領用表!$L:$L,領用表!$E:$E,$B55,領用表!$B:$B,AC$2&amp;$R$1)</f>
        <v/>
      </c>
      <c r="AD55" s="142">
        <f>SUM(R55,S55,T55,U55,V55,W55)</f>
        <v/>
      </c>
      <c r="AE55" s="142">
        <f>AVERAGE(R55,S55,T55,U55,V55,W55)</f>
        <v/>
      </c>
      <c r="AF55" s="142">
        <f>SUMIF(Summary!B:B,B55,Summary!EB:EB)</f>
        <v/>
      </c>
      <c r="AG55" s="101" t="n">
        <v>2800</v>
      </c>
      <c r="AH55" s="24" t="n">
        <v>0</v>
      </c>
      <c r="AI55" s="24" t="n"/>
      <c r="AJ55" s="53" t="n"/>
      <c r="AK55" s="547" t="inlineStr">
        <is>
          <t>2025/4/1站前交機2台</t>
        </is>
      </c>
      <c r="AL55" s="28" t="n"/>
      <c r="AM55" s="14" t="n"/>
      <c r="AN55" s="29" t="n"/>
    </row>
    <row r="56" ht="15.75" customHeight="1" s="453">
      <c r="A56" s="27" t="inlineStr">
        <is>
          <t>MM2MB040009A</t>
        </is>
      </c>
      <c r="B56" s="14" t="n">
        <v>6170020</v>
      </c>
      <c r="C56" s="133" t="inlineStr">
        <is>
          <t>媚必提直線探頭3.0mm(1條)</t>
        </is>
      </c>
      <c r="D56" s="23" t="n">
        <v>20099</v>
      </c>
      <c r="E56" s="17" t="inlineStr">
        <is>
          <t>SHOT</t>
        </is>
      </c>
      <c r="F56" s="18" t="n"/>
      <c r="G56" s="18">
        <f>(D56*3)+(15859)+(8862)+(12518)</f>
        <v/>
      </c>
      <c r="H56" s="21" t="inlineStr">
        <is>
          <t>-</t>
        </is>
      </c>
      <c r="I56" s="542" t="inlineStr">
        <is>
          <t>-</t>
        </is>
      </c>
      <c r="J56" s="20">
        <f>SUMIFS(領用表!$L:$L,領用表!$E:$E,$B56,領用表!$B:$B,J$2&amp;$R$1)</f>
        <v/>
      </c>
      <c r="K56" s="20">
        <f>SUMIFS(領用表!$L:$L,領用表!$E:$E,$B56,領用表!$B:$B,K$2&amp;$R$1)</f>
        <v/>
      </c>
      <c r="L56" s="20">
        <f>SUMIFS(領用表!$L:$L,領用表!$E:$E,$B56,領用表!$B:$B,L$2&amp;$R$1)</f>
        <v/>
      </c>
      <c r="M56" s="142">
        <f>SUMIFS(領用表!$L:$L,領用表!$E:$E,$B56,領用表!$B:$B,M$2&amp;$R$1)</f>
        <v/>
      </c>
      <c r="N56" s="142">
        <f>SUMIFS(領用表!$L:$L,領用表!$E:$E,$B56,領用表!$B:$B,N$2&amp;$R$1)</f>
        <v/>
      </c>
      <c r="O56" s="142">
        <f>SUMIFS(領用表!$L:$L,領用表!$E:$E,$B56,領用表!$B:$B,O$2&amp;$R$1)</f>
        <v/>
      </c>
      <c r="P56" s="23">
        <f>SUM(,J56,K56,L56,M56,N56,O56)</f>
        <v/>
      </c>
      <c r="Q56" s="23">
        <f>AVERAGE(,J56,K56,L56,M56,N56,O56)</f>
        <v/>
      </c>
      <c r="R56" s="142">
        <f>SUMIFS(領用表!$L:$L,領用表!$E:$E,$B56,領用表!$B:$B,R$2&amp;$R$1)</f>
        <v/>
      </c>
      <c r="S56" s="142">
        <f>SUMIFS(領用表!$L:$L,領用表!$E:$E,$B56,領用表!$B:$B,S$2&amp;$R$1)</f>
        <v/>
      </c>
      <c r="T56" s="142">
        <f>SUMIFS(領用表!$L:$L,領用表!$E:$E,$B56,領用表!$B:$B,T$2&amp;$R$1)</f>
        <v/>
      </c>
      <c r="U56" s="142">
        <f>SUMIFS(領用表!$L:$L,領用表!$E:$E,$B56,領用表!$B:$B,U$2&amp;$R$1)</f>
        <v/>
      </c>
      <c r="V56" s="142">
        <f>SUMIFS(領用表!$L:$L,領用表!$E:$E,$B56,領用表!$B:$B,V$2&amp;$R$1)</f>
        <v/>
      </c>
      <c r="W56" s="142" t="n">
        <v>4139</v>
      </c>
      <c r="X56" s="142">
        <f>SUMIFS(領用表!$L:$L,領用表!$E:$E,$B56,領用表!$B:$B,X$2&amp;$R$1)</f>
        <v/>
      </c>
      <c r="Y56" s="142">
        <f>SUMIFS(領用表!$L:$L,領用表!$E:$E,$B56,領用表!$B:$B,Y$2&amp;$R$1)</f>
        <v/>
      </c>
      <c r="Z56" s="142">
        <f>SUMIFS(領用表!$L:$L,領用表!$E:$E,$B56,領用表!$B:$B,Z$2&amp;$R$1)</f>
        <v/>
      </c>
      <c r="AA56" s="142">
        <f>SUMIFS(領用表!$L:$L,領用表!$E:$E,$B56,領用表!$B:$B,AA$2&amp;$R$1)</f>
        <v/>
      </c>
      <c r="AB56" s="142">
        <f>SUMIFS(領用表!$L:$L,領用表!$E:$E,$B56,領用表!$B:$B,AB$2&amp;$R$1)</f>
        <v/>
      </c>
      <c r="AC56" s="142">
        <f>SUMIFS(領用表!$L:$L,領用表!$E:$E,$B56,領用表!$B:$B,AC$2&amp;$R$1)</f>
        <v/>
      </c>
      <c r="AD56" s="142">
        <f>SUM(R56,S56,T56,U56,V56,W56)</f>
        <v/>
      </c>
      <c r="AE56" s="142">
        <f>AVERAGE(R56,S56,T56,U56,V56,W56)</f>
        <v/>
      </c>
      <c r="AF56" s="142">
        <f>SUMIF(Summary!B:B,B56,Summary!EB:EB)</f>
        <v/>
      </c>
      <c r="AG56" s="101" t="n">
        <v>7000</v>
      </c>
      <c r="AH56" s="514" t="n"/>
      <c r="AI56" s="24" t="n"/>
      <c r="AJ56" s="53" t="n"/>
      <c r="AK56" s="547" t="inlineStr">
        <is>
          <t>2025/4/1站前交機2台</t>
        </is>
      </c>
      <c r="AL56" s="28" t="n"/>
      <c r="AM56" s="14" t="n"/>
      <c r="AN56" s="29" t="n"/>
    </row>
    <row r="57" ht="15.75" customHeight="1" s="453">
      <c r="A57" s="27" t="inlineStr">
        <is>
          <t>MM2MB040010A</t>
        </is>
      </c>
      <c r="B57" s="14" t="n">
        <v>6170021</v>
      </c>
      <c r="C57" s="133" t="inlineStr">
        <is>
          <t>媚必提直線探頭4.5mm(1條)</t>
        </is>
      </c>
      <c r="D57" s="23" t="n">
        <v>20099</v>
      </c>
      <c r="E57" s="17" t="inlineStr">
        <is>
          <t>SHOT</t>
        </is>
      </c>
      <c r="F57" s="44" t="n"/>
      <c r="G57" s="18">
        <f>(D57*1)+(17011)+(4519)+(19955)</f>
        <v/>
      </c>
      <c r="H57" s="21" t="inlineStr">
        <is>
          <t>-</t>
        </is>
      </c>
      <c r="I57" s="542" t="inlineStr">
        <is>
          <t>-</t>
        </is>
      </c>
      <c r="J57" s="20">
        <f>SUMIFS(領用表!$L:$L,領用表!$E:$E,$B57,領用表!$B:$B,J$2&amp;$R$1)</f>
        <v/>
      </c>
      <c r="K57" s="20">
        <f>SUMIFS(領用表!$L:$L,領用表!$E:$E,$B57,領用表!$B:$B,K$2&amp;$R$1)</f>
        <v/>
      </c>
      <c r="L57" s="20">
        <f>SUMIFS(領用表!$L:$L,領用表!$E:$E,$B57,領用表!$B:$B,L$2&amp;$R$1)</f>
        <v/>
      </c>
      <c r="M57" s="142">
        <f>SUMIFS(領用表!$L:$L,領用表!$E:$E,$B57,領用表!$B:$B,M$2&amp;$R$1)</f>
        <v/>
      </c>
      <c r="N57" s="142">
        <f>SUMIFS(領用表!$L:$L,領用表!$E:$E,$B57,領用表!$B:$B,N$2&amp;$R$1)</f>
        <v/>
      </c>
      <c r="O57" s="142">
        <f>SUMIFS(領用表!$L:$L,領用表!$E:$E,$B57,領用表!$B:$B,O$2&amp;$R$1)</f>
        <v/>
      </c>
      <c r="P57" s="23">
        <f>SUM(,J57,K57,L57,M57,N57,O57)</f>
        <v/>
      </c>
      <c r="Q57" s="23">
        <f>AVERAGE(,J57,K57,L57,M57,N57,O57)</f>
        <v/>
      </c>
      <c r="R57" s="142">
        <f>SUMIFS(領用表!$L:$L,領用表!$E:$E,$B57,領用表!$B:$B,R$2&amp;$R$1)</f>
        <v/>
      </c>
      <c r="S57" s="142">
        <f>SUMIFS(領用表!$L:$L,領用表!$E:$E,$B57,領用表!$B:$B,S$2&amp;$R$1)</f>
        <v/>
      </c>
      <c r="T57" s="142">
        <f>SUMIFS(領用表!$L:$L,領用表!$E:$E,$B57,領用表!$B:$B,T$2&amp;$R$1)</f>
        <v/>
      </c>
      <c r="U57" s="142">
        <f>SUMIFS(領用表!$L:$L,領用表!$E:$E,$B57,領用表!$B:$B,U$2&amp;$R$1)</f>
        <v/>
      </c>
      <c r="V57" s="142">
        <f>SUMIFS(領用表!$L:$L,領用表!$E:$E,$B57,領用表!$B:$B,V$2&amp;$R$1)</f>
        <v/>
      </c>
      <c r="W57" s="142" t="n">
        <v>11227</v>
      </c>
      <c r="X57" s="142">
        <f>SUMIFS(領用表!$L:$L,領用表!$E:$E,$B57,領用表!$B:$B,X$2&amp;$R$1)</f>
        <v/>
      </c>
      <c r="Y57" s="142">
        <f>SUMIFS(領用表!$L:$L,領用表!$E:$E,$B57,領用表!$B:$B,Y$2&amp;$R$1)</f>
        <v/>
      </c>
      <c r="Z57" s="142">
        <f>SUMIFS(領用表!$L:$L,領用表!$E:$E,$B57,領用表!$B:$B,Z$2&amp;$R$1)</f>
        <v/>
      </c>
      <c r="AA57" s="142">
        <f>SUMIFS(領用表!$L:$L,領用表!$E:$E,$B57,領用表!$B:$B,AA$2&amp;$R$1)</f>
        <v/>
      </c>
      <c r="AB57" s="142">
        <f>SUMIFS(領用表!$L:$L,領用表!$E:$E,$B57,領用表!$B:$B,AB$2&amp;$R$1)</f>
        <v/>
      </c>
      <c r="AC57" s="142">
        <f>SUMIFS(領用表!$L:$L,領用表!$E:$E,$B57,領用表!$B:$B,AC$2&amp;$R$1)</f>
        <v/>
      </c>
      <c r="AD57" s="142">
        <f>SUM(R57,S57,T57,U57,V57,W57)</f>
        <v/>
      </c>
      <c r="AE57" s="142">
        <f>AVERAGE(R57,S57,T57,U57,V57,W57)</f>
        <v/>
      </c>
      <c r="AF57" s="142">
        <f>SUMIF(Summary!B:B,B57,Summary!EB:EB)</f>
        <v/>
      </c>
      <c r="AG57" s="101" t="n">
        <v>18000</v>
      </c>
      <c r="AH57" s="514" t="n"/>
      <c r="AI57" s="24" t="n"/>
      <c r="AJ57" s="54" t="inlineStr">
        <is>
          <t>2顆(10/23)</t>
        </is>
      </c>
      <c r="AK57" s="547" t="inlineStr">
        <is>
          <t>2025/4/1站前交機2台</t>
        </is>
      </c>
      <c r="AL57" s="28" t="n"/>
      <c r="AM57" s="14" t="n"/>
      <c r="AN57" s="29" t="n"/>
    </row>
    <row r="58" ht="15.75" customHeight="1" s="453">
      <c r="A58" s="27" t="inlineStr">
        <is>
          <t>MM2MB040011A</t>
        </is>
      </c>
      <c r="B58" s="14" t="n">
        <v>6170022</v>
      </c>
      <c r="C58" s="133" t="inlineStr">
        <is>
          <t>媚必提直線探頭6.0mm(1條)</t>
        </is>
      </c>
      <c r="D58" s="23" t="n">
        <v>20099</v>
      </c>
      <c r="E58" s="17" t="inlineStr">
        <is>
          <t>SHOT</t>
        </is>
      </c>
      <c r="F58" s="44" t="n"/>
      <c r="G58" s="18">
        <f>(D58*1)+(17971)+(19156)+(579)</f>
        <v/>
      </c>
      <c r="H58" s="21" t="inlineStr">
        <is>
          <t>-</t>
        </is>
      </c>
      <c r="I58" s="542" t="inlineStr">
        <is>
          <t>-</t>
        </is>
      </c>
      <c r="J58" s="20">
        <f>SUMIFS(領用表!$L:$L,領用表!$E:$E,$B58,領用表!$B:$B,J$2&amp;$R$1)</f>
        <v/>
      </c>
      <c r="K58" s="20">
        <f>SUMIFS(領用表!$L:$L,領用表!$E:$E,$B58,領用表!$B:$B,K$2&amp;$R$1)</f>
        <v/>
      </c>
      <c r="L58" s="20">
        <f>SUMIFS(領用表!$L:$L,領用表!$E:$E,$B58,領用表!$B:$B,L$2&amp;$R$1)</f>
        <v/>
      </c>
      <c r="M58" s="142">
        <f>SUMIFS(領用表!$L:$L,領用表!$E:$E,$B58,領用表!$B:$B,M$2&amp;$R$1)</f>
        <v/>
      </c>
      <c r="N58" s="142">
        <f>SUMIFS(領用表!$L:$L,領用表!$E:$E,$B58,領用表!$B:$B,N$2&amp;$R$1)</f>
        <v/>
      </c>
      <c r="O58" s="142">
        <f>SUMIFS(領用表!$L:$L,領用表!$E:$E,$B58,領用表!$B:$B,O$2&amp;$R$1)</f>
        <v/>
      </c>
      <c r="P58" s="23">
        <f>SUM(,J58,K58,L58,M58,N58,O58)</f>
        <v/>
      </c>
      <c r="Q58" s="23">
        <f>AVERAGE(,J58,K58,L58,M58,N58,O58)</f>
        <v/>
      </c>
      <c r="R58" s="142">
        <f>SUMIFS(領用表!$L:$L,領用表!$E:$E,$B58,領用表!$B:$B,R$2&amp;$R$1)</f>
        <v/>
      </c>
      <c r="S58" s="142">
        <f>SUMIFS(領用表!$L:$L,領用表!$E:$E,$B58,領用表!$B:$B,S$2&amp;$R$1)</f>
        <v/>
      </c>
      <c r="T58" s="142">
        <f>SUMIFS(領用表!$L:$L,領用表!$E:$E,$B58,領用表!$B:$B,T$2&amp;$R$1)</f>
        <v/>
      </c>
      <c r="U58" s="142">
        <f>SUMIFS(領用表!$L:$L,領用表!$E:$E,$B58,領用表!$B:$B,U$2&amp;$R$1)</f>
        <v/>
      </c>
      <c r="V58" s="142">
        <f>SUMIFS(領用表!$L:$L,領用表!$E:$E,$B58,領用表!$B:$B,V$2&amp;$R$1)</f>
        <v/>
      </c>
      <c r="W58" s="142" t="n">
        <v>2974</v>
      </c>
      <c r="X58" s="142">
        <f>SUMIFS(領用表!$L:$L,領用表!$E:$E,$B58,領用表!$B:$B,X$2&amp;$R$1)</f>
        <v/>
      </c>
      <c r="Y58" s="142">
        <f>SUMIFS(領用表!$L:$L,領用表!$E:$E,$B58,領用表!$B:$B,Y$2&amp;$R$1)</f>
        <v/>
      </c>
      <c r="Z58" s="142">
        <f>SUMIFS(領用表!$L:$L,領用表!$E:$E,$B58,領用表!$B:$B,Z$2&amp;$R$1)</f>
        <v/>
      </c>
      <c r="AA58" s="142">
        <f>SUMIFS(領用表!$L:$L,領用表!$E:$E,$B58,領用表!$B:$B,AA$2&amp;$R$1)</f>
        <v/>
      </c>
      <c r="AB58" s="142">
        <f>SUMIFS(領用表!$L:$L,領用表!$E:$E,$B58,領用表!$B:$B,AB$2&amp;$R$1)</f>
        <v/>
      </c>
      <c r="AC58" s="142">
        <f>SUMIFS(領用表!$L:$L,領用表!$E:$E,$B58,領用表!$B:$B,AC$2&amp;$R$1)</f>
        <v/>
      </c>
      <c r="AD58" s="142">
        <f>SUM(R58,S58,T58,U58,V58,W58)</f>
        <v/>
      </c>
      <c r="AE58" s="142">
        <f>AVERAGE(R58,S58,T58,U58,V58,W58)</f>
        <v/>
      </c>
      <c r="AF58" s="142">
        <f>SUMIF(Summary!B:B,B58,Summary!EB:EB)</f>
        <v/>
      </c>
      <c r="AG58" s="101" t="n">
        <v>7000</v>
      </c>
      <c r="AH58" s="514" t="n"/>
      <c r="AI58" s="24" t="n"/>
      <c r="AJ58" s="53" t="n"/>
      <c r="AK58" s="547" t="inlineStr">
        <is>
          <t>2025/4/1站前交機2台</t>
        </is>
      </c>
      <c r="AL58" s="28" t="n"/>
      <c r="AM58" s="14" t="n"/>
      <c r="AN58" s="29" t="n"/>
    </row>
    <row r="59" ht="15.75" customHeight="1" s="453">
      <c r="A59" s="27" t="inlineStr">
        <is>
          <t>MM2MB040014A</t>
        </is>
      </c>
      <c r="B59" s="14" t="n">
        <v>6170025</v>
      </c>
      <c r="C59" s="407" t="inlineStr">
        <is>
          <t>媚必提圓周探頭1.5mm(1條)</t>
        </is>
      </c>
      <c r="D59" s="23" t="n">
        <v>20099</v>
      </c>
      <c r="E59" s="17" t="inlineStr">
        <is>
          <t>SHOT</t>
        </is>
      </c>
      <c r="F59" s="18" t="n"/>
      <c r="G59" s="18">
        <f>(D59*1)+16191+19999</f>
        <v/>
      </c>
      <c r="H59" s="21" t="inlineStr">
        <is>
          <t>-</t>
        </is>
      </c>
      <c r="I59" s="542" t="inlineStr">
        <is>
          <t>-</t>
        </is>
      </c>
      <c r="J59" s="20">
        <f>SUMIFS(領用表!$L:$L,領用表!$E:$E,$B59,領用表!$B:$B,J$2&amp;$R$1)</f>
        <v/>
      </c>
      <c r="K59" s="20">
        <f>SUMIFS(領用表!$L:$L,領用表!$E:$E,$B59,領用表!$B:$B,K$2&amp;$R$1)</f>
        <v/>
      </c>
      <c r="L59" s="20">
        <f>SUMIFS(領用表!$L:$L,領用表!$E:$E,$B59,領用表!$B:$B,L$2&amp;$R$1)</f>
        <v/>
      </c>
      <c r="M59" s="142">
        <f>SUMIFS(領用表!$L:$L,領用表!$E:$E,$B59,領用表!$B:$B,M$2&amp;$R$1)</f>
        <v/>
      </c>
      <c r="N59" s="142">
        <f>SUMIFS(領用表!$L:$L,領用表!$E:$E,$B59,領用表!$B:$B,N$2&amp;$R$1)</f>
        <v/>
      </c>
      <c r="O59" s="142">
        <f>SUMIFS(領用表!$L:$L,領用表!$E:$E,$B59,領用表!$B:$B,O$2&amp;$R$1)</f>
        <v/>
      </c>
      <c r="P59" s="23">
        <f>SUM(,J59,K59,L59,M59,N59,O59)</f>
        <v/>
      </c>
      <c r="Q59" s="23">
        <f>AVERAGE(,J59,K59,L59,M59,N59,O59)</f>
        <v/>
      </c>
      <c r="R59" s="142">
        <f>SUMIFS(領用表!$L:$L,領用表!$E:$E,$B59,領用表!$B:$B,R$2&amp;$R$1)</f>
        <v/>
      </c>
      <c r="S59" s="142">
        <f>SUMIFS(領用表!$L:$L,領用表!$E:$E,$B59,領用表!$B:$B,S$2&amp;$R$1)</f>
        <v/>
      </c>
      <c r="T59" s="142">
        <f>SUMIFS(領用表!$L:$L,領用表!$E:$E,$B59,領用表!$B:$B,T$2&amp;$R$1)</f>
        <v/>
      </c>
      <c r="U59" s="142">
        <f>SUMIFS(領用表!$L:$L,領用表!$E:$E,$B59,領用表!$B:$B,U$2&amp;$R$1)</f>
        <v/>
      </c>
      <c r="V59" s="142">
        <f>SUMIFS(領用表!$L:$L,領用表!$E:$E,$B59,領用表!$B:$B,V$2&amp;$R$1)</f>
        <v/>
      </c>
      <c r="W59" s="142" t="n">
        <v>652</v>
      </c>
      <c r="X59" s="142">
        <f>SUMIFS(領用表!$L:$L,領用表!$E:$E,$B59,領用表!$B:$B,X$2&amp;$R$1)</f>
        <v/>
      </c>
      <c r="Y59" s="142">
        <f>SUMIFS(領用表!$L:$L,領用表!$E:$E,$B59,領用表!$B:$B,Y$2&amp;$R$1)</f>
        <v/>
      </c>
      <c r="Z59" s="142">
        <f>SUMIFS(領用表!$L:$L,領用表!$E:$E,$B59,領用表!$B:$B,Z$2&amp;$R$1)</f>
        <v/>
      </c>
      <c r="AA59" s="142">
        <f>SUMIFS(領用表!$L:$L,領用表!$E:$E,$B59,領用表!$B:$B,AA$2&amp;$R$1)</f>
        <v/>
      </c>
      <c r="AB59" s="142">
        <f>SUMIFS(領用表!$L:$L,領用表!$E:$E,$B59,領用表!$B:$B,AB$2&amp;$R$1)</f>
        <v/>
      </c>
      <c r="AC59" s="142">
        <f>SUMIFS(領用表!$L:$L,領用表!$E:$E,$B59,領用表!$B:$B,AC$2&amp;$R$1)</f>
        <v/>
      </c>
      <c r="AD59" s="142">
        <f>SUM(R59,S59,T59,U59,V59,W59)</f>
        <v/>
      </c>
      <c r="AE59" s="142">
        <f>AVERAGE(R59,S59,T59,U59,V59,W59)</f>
        <v/>
      </c>
      <c r="AF59" s="142">
        <f>SUMIF(Summary!B:B,B59,Summary!EB:EB)</f>
        <v/>
      </c>
      <c r="AG59" s="101" t="n">
        <v>180</v>
      </c>
      <c r="AH59" s="515" t="n"/>
      <c r="AI59" s="24" t="n"/>
      <c r="AJ59" s="54" t="n"/>
      <c r="AK59" s="547" t="inlineStr">
        <is>
          <t>2025/4/1站前交機2台</t>
        </is>
      </c>
      <c r="AL59" s="28" t="n"/>
      <c r="AM59" s="14" t="n"/>
      <c r="AN59" s="29" t="n"/>
    </row>
    <row r="60" hidden="1" ht="15.75" customHeight="1" s="453">
      <c r="A60" s="27" t="inlineStr">
        <is>
          <t>MM2MB040001A</t>
        </is>
      </c>
      <c r="B60" s="14" t="e">
        <v>#N/A</v>
      </c>
      <c r="C60" s="133" t="inlineStr">
        <is>
          <t>立特拉渦旋音波探頭3.0mm(1條)_一代機</t>
        </is>
      </c>
      <c r="D60" s="40" t="n">
        <v>150000</v>
      </c>
      <c r="E60" s="59" t="inlineStr">
        <is>
          <t>SHOT</t>
        </is>
      </c>
      <c r="F60" s="60" t="n"/>
      <c r="G60" s="18" t="n"/>
      <c r="H60" s="40">
        <f>SUM(#REF!)</f>
        <v/>
      </c>
      <c r="I60" s="543">
        <f>H60/12</f>
        <v/>
      </c>
      <c r="J60" s="39">
        <f>SUMIFS(領用表!$L:$L,領用表!$E:$E,$B60,領用表!$B:$B,J$2&amp;$R$1)</f>
        <v/>
      </c>
      <c r="K60" s="39">
        <f>SUMIFS(領用表!$L:$L,領用表!$E:$E,$B60,領用表!$B:$B,K$2&amp;$R$1)</f>
        <v/>
      </c>
      <c r="L60" s="39">
        <f>SUMIFS(領用表!$L:$L,領用表!$E:$E,$B60,領用表!$B:$B,L$2&amp;$R$1)</f>
        <v/>
      </c>
      <c r="M60" s="142">
        <f>SUMIFS(領用表!$L:$L,領用表!$E:$E,$B60,領用表!$B:$B,M$2&amp;$R$1)</f>
        <v/>
      </c>
      <c r="N60" s="142">
        <f>SUMIFS(領用表!$L:$L,領用表!$E:$E,$B60,領用表!$B:$B,N$2&amp;$R$1)</f>
        <v/>
      </c>
      <c r="O60" s="142">
        <f>SUMIFS(領用表!$L:$L,領用表!$E:$E,$B60,領用表!$B:$B,O$2&amp;$R$1)</f>
        <v/>
      </c>
      <c r="P60" s="42">
        <f>SUM(,J60,K60,L60,M60,N60,O60)</f>
        <v/>
      </c>
      <c r="Q60" s="42">
        <f>AVERAGE(,J60,K60,L60,M60,N60,O60)</f>
        <v/>
      </c>
      <c r="R60" s="142">
        <f>SUMIFS(領用表!$L:$L,領用表!$E:$E,$B60,領用表!$B:$B,R$2&amp;$R$1)</f>
        <v/>
      </c>
      <c r="S60" s="142">
        <f>SUMIFS(領用表!$L:$L,領用表!$E:$E,$B60,領用表!$B:$B,S$2&amp;$R$1)</f>
        <v/>
      </c>
      <c r="T60" s="142">
        <f>SUMIFS(領用表!$L:$L,領用表!$E:$E,$B60,領用表!$B:$B,T$2&amp;$R$1)</f>
        <v/>
      </c>
      <c r="U60" s="142">
        <f>SUMIFS(領用表!$L:$L,領用表!$E:$E,$B60,領用表!$B:$B,U$2&amp;$R$1)</f>
        <v/>
      </c>
      <c r="V60" s="142">
        <f>SUMIFS(領用表!$L:$L,領用表!$E:$E,$B60,領用表!$B:$B,V$2&amp;$R$1)</f>
        <v/>
      </c>
      <c r="W60" s="142">
        <f>SUMIFS(領用表!$L:$L,領用表!$E:$E,$B60,領用表!$B:$B,W$2&amp;$R$1)</f>
        <v/>
      </c>
      <c r="X60" s="142">
        <f>SUMIFS(領用表!$L:$L,領用表!$E:$E,$B60,領用表!$B:$B,X$2&amp;$R$1)</f>
        <v/>
      </c>
      <c r="Y60" s="142">
        <f>SUMIFS(領用表!$L:$L,領用表!$E:$E,$B60,領用表!$B:$B,Y$2&amp;$R$1)</f>
        <v/>
      </c>
      <c r="Z60" s="142">
        <f>SUMIFS(領用表!$L:$L,領用表!$E:$E,$B60,領用表!$B:$B,Z$2&amp;$R$1)</f>
        <v/>
      </c>
      <c r="AA60" s="142">
        <f>SUMIFS(領用表!$L:$L,領用表!$E:$E,$B60,領用表!$B:$B,AA$2&amp;$R$1)</f>
        <v/>
      </c>
      <c r="AB60" s="142">
        <f>SUMIFS(領用表!$L:$L,領用表!$E:$E,$B60,領用表!$B:$B,AB$2&amp;$R$1)</f>
        <v/>
      </c>
      <c r="AC60" s="142">
        <f>SUMIFS(領用表!$L:$L,領用表!$E:$E,$B60,領用表!$B:$B,AC$2&amp;$R$1)</f>
        <v/>
      </c>
      <c r="AD60" s="142">
        <f>SUM(R60,S60,T60,U60,V60,W60)</f>
        <v/>
      </c>
      <c r="AE60" s="142">
        <f>AVERAGE(R60,S60,T60,U60,V60,W60)</f>
        <v/>
      </c>
      <c r="AF60" s="142">
        <f>SUMIF(Summary!B:B,B60,Summary!EB:EB)</f>
        <v/>
      </c>
      <c r="AG60" s="106" t="n"/>
      <c r="AH60" s="61" t="n"/>
      <c r="AI60" s="40" t="n"/>
      <c r="AJ60" s="40" t="n"/>
      <c r="AK60" s="548" t="inlineStr">
        <is>
          <t>2025/5/22站前收回2台</t>
        </is>
      </c>
      <c r="AL60" s="62" t="n"/>
      <c r="AM60" s="14" t="n"/>
      <c r="AN60" s="29" t="n"/>
    </row>
    <row r="61" hidden="1" ht="15.75" customHeight="1" s="453">
      <c r="A61" s="27" t="inlineStr">
        <is>
          <t>MM2MB040002A</t>
        </is>
      </c>
      <c r="B61" s="14" t="e">
        <v>#N/A</v>
      </c>
      <c r="C61" s="133" t="inlineStr">
        <is>
          <t>立特拉渦旋音波探頭4.5mm(1條)_一代機</t>
        </is>
      </c>
      <c r="D61" s="40" t="n">
        <v>150000</v>
      </c>
      <c r="E61" s="59" t="inlineStr">
        <is>
          <t>SHOT</t>
        </is>
      </c>
      <c r="F61" s="60" t="n"/>
      <c r="G61" s="18" t="n"/>
      <c r="H61" s="40">
        <f>SUM(#REF!)</f>
        <v/>
      </c>
      <c r="I61" s="543">
        <f>H61/12</f>
        <v/>
      </c>
      <c r="J61" s="39">
        <f>SUMIFS(領用表!$L:$L,領用表!$E:$E,$B61,領用表!$B:$B,J$2&amp;$R$1)</f>
        <v/>
      </c>
      <c r="K61" s="39">
        <f>SUMIFS(領用表!$L:$L,領用表!$E:$E,$B61,領用表!$B:$B,K$2&amp;$R$1)</f>
        <v/>
      </c>
      <c r="L61" s="39">
        <f>SUMIFS(領用表!$L:$L,領用表!$E:$E,$B61,領用表!$B:$B,L$2&amp;$R$1)</f>
        <v/>
      </c>
      <c r="M61" s="142">
        <f>SUMIFS(領用表!$L:$L,領用表!$E:$E,$B61,領用表!$B:$B,M$2&amp;$R$1)</f>
        <v/>
      </c>
      <c r="N61" s="142">
        <f>SUMIFS(領用表!$L:$L,領用表!$E:$E,$B61,領用表!$B:$B,N$2&amp;$R$1)</f>
        <v/>
      </c>
      <c r="O61" s="142">
        <f>SUMIFS(領用表!$L:$L,領用表!$E:$E,$B61,領用表!$B:$B,O$2&amp;$R$1)</f>
        <v/>
      </c>
      <c r="P61" s="42">
        <f>SUM(,J61,K61,L61,M61,N61,O61)</f>
        <v/>
      </c>
      <c r="Q61" s="42">
        <f>AVERAGE(,J61,K61,L61,M61,N61,O61)</f>
        <v/>
      </c>
      <c r="R61" s="142">
        <f>SUMIFS(領用表!$L:$L,領用表!$E:$E,$B61,領用表!$B:$B,R$2&amp;$R$1)</f>
        <v/>
      </c>
      <c r="S61" s="142">
        <f>SUMIFS(領用表!$L:$L,領用表!$E:$E,$B61,領用表!$B:$B,S$2&amp;$R$1)</f>
        <v/>
      </c>
      <c r="T61" s="142">
        <f>SUMIFS(領用表!$L:$L,領用表!$E:$E,$B61,領用表!$B:$B,T$2&amp;$R$1)</f>
        <v/>
      </c>
      <c r="U61" s="142">
        <f>SUMIFS(領用表!$L:$L,領用表!$E:$E,$B61,領用表!$B:$B,U$2&amp;$R$1)</f>
        <v/>
      </c>
      <c r="V61" s="142">
        <f>SUMIFS(領用表!$L:$L,領用表!$E:$E,$B61,領用表!$B:$B,V$2&amp;$R$1)</f>
        <v/>
      </c>
      <c r="W61" s="142">
        <f>SUMIFS(領用表!$L:$L,領用表!$E:$E,$B61,領用表!$B:$B,W$2&amp;$R$1)</f>
        <v/>
      </c>
      <c r="X61" s="142">
        <f>SUMIFS(領用表!$L:$L,領用表!$E:$E,$B61,領用表!$B:$B,X$2&amp;$R$1)</f>
        <v/>
      </c>
      <c r="Y61" s="142">
        <f>SUMIFS(領用表!$L:$L,領用表!$E:$E,$B61,領用表!$B:$B,Y$2&amp;$R$1)</f>
        <v/>
      </c>
      <c r="Z61" s="142">
        <f>SUMIFS(領用表!$L:$L,領用表!$E:$E,$B61,領用表!$B:$B,Z$2&amp;$R$1)</f>
        <v/>
      </c>
      <c r="AA61" s="142">
        <f>SUMIFS(領用表!$L:$L,領用表!$E:$E,$B61,領用表!$B:$B,AA$2&amp;$R$1)</f>
        <v/>
      </c>
      <c r="AB61" s="142">
        <f>SUMIFS(領用表!$L:$L,領用表!$E:$E,$B61,領用表!$B:$B,AB$2&amp;$R$1)</f>
        <v/>
      </c>
      <c r="AC61" s="142">
        <f>SUMIFS(領用表!$L:$L,領用表!$E:$E,$B61,領用表!$B:$B,AC$2&amp;$R$1)</f>
        <v/>
      </c>
      <c r="AD61" s="142">
        <f>SUM(R61,S61,T61,U61,V61,W61)</f>
        <v/>
      </c>
      <c r="AE61" s="142">
        <f>AVERAGE(R61,S61,T61,U61,V61,W61)</f>
        <v/>
      </c>
      <c r="AF61" s="142">
        <f>SUMIF(Summary!B:B,B61,Summary!EB:EB)</f>
        <v/>
      </c>
      <c r="AG61" s="106" t="n"/>
      <c r="AH61" s="61" t="n"/>
      <c r="AI61" s="40" t="n"/>
      <c r="AJ61" s="40" t="n"/>
      <c r="AK61" s="548" t="inlineStr">
        <is>
          <t>2025/5/22站前收回2台</t>
        </is>
      </c>
      <c r="AL61" s="62" t="n"/>
      <c r="AM61" s="14" t="n"/>
      <c r="AN61" s="29" t="n"/>
    </row>
    <row r="62" ht="15.75" customHeight="1" s="453">
      <c r="A62" s="27" t="inlineStr">
        <is>
          <t>MM2MB040018A</t>
        </is>
      </c>
      <c r="B62" s="14" t="n">
        <v>6170032</v>
      </c>
      <c r="C62" s="133" t="inlineStr">
        <is>
          <t>立特拉A2筆型探頭3.0mm(1發)</t>
        </is>
      </c>
      <c r="D62" s="23" t="n">
        <v>240500</v>
      </c>
      <c r="E62" s="63" t="inlineStr">
        <is>
          <t>SHOT</t>
        </is>
      </c>
      <c r="F62" s="44" t="n"/>
      <c r="G62" s="18">
        <f>(D62*0)+(238183)+(186980)+(180177)</f>
        <v/>
      </c>
      <c r="H62" s="21" t="inlineStr">
        <is>
          <t>-</t>
        </is>
      </c>
      <c r="I62" s="21" t="inlineStr">
        <is>
          <t>-</t>
        </is>
      </c>
      <c r="J62" s="20">
        <f>SUMIFS(領用表!$L:$L,領用表!$E:$E,$B62,領用表!$B:$B,J$2&amp;$R$1)</f>
        <v/>
      </c>
      <c r="K62" s="20">
        <f>SUMIFS(領用表!$L:$L,領用表!$E:$E,$B62,領用表!$B:$B,K$2&amp;$R$1)</f>
        <v/>
      </c>
      <c r="L62" s="20">
        <f>SUMIFS(領用表!$L:$L,領用表!$E:$E,$B62,領用表!$B:$B,L$2&amp;$R$1)</f>
        <v/>
      </c>
      <c r="M62" s="142">
        <f>SUMIFS(領用表!$L:$L,領用表!$E:$E,$B62,領用表!$B:$B,M$2&amp;$R$1)</f>
        <v/>
      </c>
      <c r="N62" s="142">
        <f>SUMIFS(領用表!$L:$L,領用表!$E:$E,$B62,領用表!$B:$B,N$2&amp;$R$1)</f>
        <v/>
      </c>
      <c r="O62" s="142">
        <f>SUMIFS(領用表!$L:$L,領用表!$E:$E,$B62,領用表!$B:$B,O$2&amp;$R$1)</f>
        <v/>
      </c>
      <c r="P62" s="23">
        <f>SUM(,J62,K62,L62,M62,N62,O62)</f>
        <v/>
      </c>
      <c r="Q62" s="23">
        <f>AVERAGE(,J62,K62,L62,M62,N62,O62)</f>
        <v/>
      </c>
      <c r="R62" s="142">
        <f>SUMIFS(領用表!$L:$L,領用表!$E:$E,$B62,領用表!$B:$B,R$2&amp;$R$1)</f>
        <v/>
      </c>
      <c r="S62" s="142">
        <f>SUMIFS(領用表!$L:$L,領用表!$E:$E,$B62,領用表!$B:$B,S$2&amp;$R$1)</f>
        <v/>
      </c>
      <c r="T62" s="142">
        <f>SUMIFS(領用表!$L:$L,領用表!$E:$E,$B62,領用表!$B:$B,T$2&amp;$R$1)</f>
        <v/>
      </c>
      <c r="U62" s="142">
        <f>SUMIFS(領用表!$L:$L,領用表!$E:$E,$B62,領用表!$B:$B,U$2&amp;$R$1)</f>
        <v/>
      </c>
      <c r="V62" s="142">
        <f>SUMIFS(領用表!$L:$L,領用表!$E:$E,$B62,領用表!$B:$B,V$2&amp;$R$1)</f>
        <v/>
      </c>
      <c r="W62" s="142" t="n">
        <v>60000</v>
      </c>
      <c r="X62" s="142">
        <f>SUMIFS(領用表!$L:$L,領用表!$E:$E,$B62,領用表!$B:$B,X$2&amp;$R$1)</f>
        <v/>
      </c>
      <c r="Y62" s="142">
        <f>SUMIFS(領用表!$L:$L,領用表!$E:$E,$B62,領用表!$B:$B,Y$2&amp;$R$1)</f>
        <v/>
      </c>
      <c r="Z62" s="142">
        <f>SUMIFS(領用表!$L:$L,領用表!$E:$E,$B62,領用表!$B:$B,Z$2&amp;$R$1)</f>
        <v/>
      </c>
      <c r="AA62" s="142">
        <f>SUMIFS(領用表!$L:$L,領用表!$E:$E,$B62,領用表!$B:$B,AA$2&amp;$R$1)</f>
        <v/>
      </c>
      <c r="AB62" s="142">
        <f>SUMIFS(領用表!$L:$L,領用表!$E:$E,$B62,領用表!$B:$B,AB$2&amp;$R$1)</f>
        <v/>
      </c>
      <c r="AC62" s="142">
        <f>SUMIFS(領用表!$L:$L,領用表!$E:$E,$B62,領用表!$B:$B,AC$2&amp;$R$1)</f>
        <v/>
      </c>
      <c r="AD62" s="142">
        <f>SUM(R62,S62,T62,U62,V62,W62)</f>
        <v/>
      </c>
      <c r="AE62" s="142">
        <f>AVERAGE(R62,S62,T62,U62,V62,W62)</f>
        <v/>
      </c>
      <c r="AF62" s="142">
        <f>SUMIF(Summary!B:B,B62,Summary!EB:EB)</f>
        <v/>
      </c>
      <c r="AG62" s="101" t="n">
        <v>200000</v>
      </c>
      <c r="AH62" s="549" t="n">
        <v>3455980</v>
      </c>
      <c r="AI62" s="54" t="inlineStr">
        <is>
          <t>3顆(10/20)</t>
        </is>
      </c>
      <c r="AJ62" s="54" t="inlineStr">
        <is>
          <t>2顆(10/20)</t>
        </is>
      </c>
      <c r="AK62" s="547" t="inlineStr">
        <is>
          <t>2025/5/22站前交機2台</t>
        </is>
      </c>
      <c r="AL62" s="27" t="n"/>
      <c r="AM62" s="14" t="n"/>
      <c r="AN62" s="29" t="n"/>
    </row>
    <row r="63" ht="15.75" customHeight="1" s="453">
      <c r="A63" s="27" t="inlineStr">
        <is>
          <t>MM2MB040019A</t>
        </is>
      </c>
      <c r="B63" s="14" t="n">
        <v>6170033</v>
      </c>
      <c r="C63" s="407" t="inlineStr">
        <is>
          <t>立特拉A2筆型探頭4.5mm(1發)</t>
        </is>
      </c>
      <c r="D63" s="23" t="n">
        <v>240500</v>
      </c>
      <c r="E63" s="63" t="inlineStr">
        <is>
          <t>SHOT</t>
        </is>
      </c>
      <c r="F63" s="44" t="n"/>
      <c r="G63" s="18">
        <f>(D63*3)+(26621)+(194623)+(114002)</f>
        <v/>
      </c>
      <c r="H63" s="21" t="inlineStr">
        <is>
          <t>-</t>
        </is>
      </c>
      <c r="I63" s="21" t="inlineStr">
        <is>
          <t>-</t>
        </is>
      </c>
      <c r="J63" s="20">
        <f>SUMIFS(領用表!$L:$L,領用表!$E:$E,$B63,領用表!$B:$B,J$2&amp;$R$1)</f>
        <v/>
      </c>
      <c r="K63" s="20">
        <f>SUMIFS(領用表!$L:$L,領用表!$E:$E,$B63,領用表!$B:$B,K$2&amp;$R$1)</f>
        <v/>
      </c>
      <c r="L63" s="20">
        <f>SUMIFS(領用表!$L:$L,領用表!$E:$E,$B63,領用表!$B:$B,L$2&amp;$R$1)</f>
        <v/>
      </c>
      <c r="M63" s="142">
        <f>SUMIFS(領用表!$L:$L,領用表!$E:$E,$B63,領用表!$B:$B,M$2&amp;$R$1)</f>
        <v/>
      </c>
      <c r="N63" s="142">
        <f>SUMIFS(領用表!$L:$L,領用表!$E:$E,$B63,領用表!$B:$B,N$2&amp;$R$1)</f>
        <v/>
      </c>
      <c r="O63" s="142">
        <f>SUMIFS(領用表!$L:$L,領用表!$E:$E,$B63,領用表!$B:$B,O$2&amp;$R$1)</f>
        <v/>
      </c>
      <c r="P63" s="23">
        <f>SUM(,J63,K63,L63,M63,N63,O63)</f>
        <v/>
      </c>
      <c r="Q63" s="23">
        <f>AVERAGE(,J63,K63,L63,M63,N63,O63)</f>
        <v/>
      </c>
      <c r="R63" s="142">
        <f>SUMIFS(領用表!$L:$L,領用表!$E:$E,$B63,領用表!$B:$B,R$2&amp;$R$1)</f>
        <v/>
      </c>
      <c r="S63" s="142">
        <f>SUMIFS(領用表!$L:$L,領用表!$E:$E,$B63,領用表!$B:$B,S$2&amp;$R$1)</f>
        <v/>
      </c>
      <c r="T63" s="142">
        <f>SUMIFS(領用表!$L:$L,領用表!$E:$E,$B63,領用表!$B:$B,T$2&amp;$R$1)</f>
        <v/>
      </c>
      <c r="U63" s="142">
        <f>SUMIFS(領用表!$L:$L,領用表!$E:$E,$B63,領用表!$B:$B,U$2&amp;$R$1)</f>
        <v/>
      </c>
      <c r="V63" s="142">
        <f>SUMIFS(領用表!$L:$L,領用表!$E:$E,$B63,領用表!$B:$B,V$2&amp;$R$1)</f>
        <v/>
      </c>
      <c r="W63" s="142" t="n">
        <v>22000</v>
      </c>
      <c r="X63" s="142">
        <f>SUMIFS(領用表!$L:$L,領用表!$E:$E,$B63,領用表!$B:$B,X$2&amp;$R$1)</f>
        <v/>
      </c>
      <c r="Y63" s="142">
        <f>SUMIFS(領用表!$L:$L,領用表!$E:$E,$B63,領用表!$B:$B,Y$2&amp;$R$1)</f>
        <v/>
      </c>
      <c r="Z63" s="142">
        <f>SUMIFS(領用表!$L:$L,領用表!$E:$E,$B63,領用表!$B:$B,Z$2&amp;$R$1)</f>
        <v/>
      </c>
      <c r="AA63" s="142">
        <f>SUMIFS(領用表!$L:$L,領用表!$E:$E,$B63,領用表!$B:$B,AA$2&amp;$R$1)</f>
        <v/>
      </c>
      <c r="AB63" s="142">
        <f>SUMIFS(領用表!$L:$L,領用表!$E:$E,$B63,領用表!$B:$B,AB$2&amp;$R$1)</f>
        <v/>
      </c>
      <c r="AC63" s="142">
        <f>SUMIFS(領用表!$L:$L,領用表!$E:$E,$B63,領用表!$B:$B,AC$2&amp;$R$1)</f>
        <v/>
      </c>
      <c r="AD63" s="142">
        <f>SUM(R63,S63,T63,U63,V63,W63)</f>
        <v/>
      </c>
      <c r="AE63" s="142">
        <f>AVERAGE(R63,S63,T63,U63,V63,W63)</f>
        <v/>
      </c>
      <c r="AF63" s="142">
        <f>SUMIF(Summary!B:B,B63,Summary!EB:EB)</f>
        <v/>
      </c>
      <c r="AG63" s="101" t="n">
        <v>110000</v>
      </c>
      <c r="AH63" s="515" t="n"/>
      <c r="AI63" s="54" t="inlineStr">
        <is>
          <t>1顆(10/20)</t>
        </is>
      </c>
      <c r="AJ63" s="54" t="inlineStr">
        <is>
          <t>2顆(10/20)</t>
        </is>
      </c>
      <c r="AK63" s="547" t="inlineStr">
        <is>
          <t>2025/5/22站前交機2台</t>
        </is>
      </c>
      <c r="AL63" s="27" t="n"/>
      <c r="AM63" s="14" t="n"/>
      <c r="AN63" s="29" t="n"/>
    </row>
    <row r="64" ht="15.75" customHeight="1" s="453">
      <c r="A64" s="27" t="inlineStr">
        <is>
          <t>MM2MD070001A</t>
        </is>
      </c>
      <c r="B64" s="14" t="n">
        <v>6220005</v>
      </c>
      <c r="C64" s="118" t="inlineStr">
        <is>
          <t>海菲秀深藍端頭(1入)</t>
        </is>
      </c>
      <c r="D64" s="23" t="n">
        <v>15</v>
      </c>
      <c r="E64" s="17" t="inlineStr">
        <is>
          <t>PCS</t>
        </is>
      </c>
      <c r="F64" s="18" t="n"/>
      <c r="G64" s="18" t="n">
        <v>491</v>
      </c>
      <c r="H64" s="21">
        <f>SUM(#REF!)</f>
        <v/>
      </c>
      <c r="I64" s="542">
        <f>H64/12</f>
        <v/>
      </c>
      <c r="J64" s="20">
        <f>SUMIFS(領用表!$L:$L,領用表!$E:$E,$B64,領用表!$B:$B,J$2&amp;$R$1)</f>
        <v/>
      </c>
      <c r="K64" s="20">
        <f>SUMIFS(領用表!$L:$L,領用表!$E:$E,$B64,領用表!$B:$B,K$2&amp;$R$1)</f>
        <v/>
      </c>
      <c r="L64" s="20">
        <f>SUMIFS(領用表!$L:$L,領用表!$E:$E,$B64,領用表!$B:$B,L$2&amp;$R$1)</f>
        <v/>
      </c>
      <c r="M64" s="142">
        <f>SUMIFS(領用表!$L:$L,領用表!$E:$E,$B64,領用表!$B:$B,M$2&amp;$R$1)</f>
        <v/>
      </c>
      <c r="N64" s="142">
        <f>SUMIFS(領用表!$L:$L,領用表!$E:$E,$B64,領用表!$B:$B,N$2&amp;$R$1)</f>
        <v/>
      </c>
      <c r="O64" s="142">
        <f>SUMIFS(領用表!$L:$L,領用表!$E:$E,$B64,領用表!$B:$B,O$2&amp;$R$1)</f>
        <v/>
      </c>
      <c r="P64" s="23">
        <f>SUM(,J64,K64,L64,M64,N64,O64)</f>
        <v/>
      </c>
      <c r="Q64" s="23">
        <f>AVERAGE(,J64,K64,L64,M64,N64,O64)</f>
        <v/>
      </c>
      <c r="R64" s="142">
        <f>SUMIFS(領用表!$L:$L,領用表!$E:$E,$B64,領用表!$B:$B,R$2&amp;$R$1)</f>
        <v/>
      </c>
      <c r="S64" s="142">
        <f>SUMIFS(領用表!$L:$L,領用表!$E:$E,$B64,領用表!$B:$B,S$2&amp;$R$1)</f>
        <v/>
      </c>
      <c r="T64" s="142">
        <f>SUMIFS(領用表!$L:$L,領用表!$E:$E,$B64,領用表!$B:$B,T$2&amp;$R$1)</f>
        <v/>
      </c>
      <c r="U64" s="142">
        <f>SUMIFS(領用表!$L:$L,領用表!$E:$E,$B64,領用表!$B:$B,U$2&amp;$R$1)</f>
        <v/>
      </c>
      <c r="V64" s="142">
        <f>SUMIFS(領用表!$L:$L,領用表!$E:$E,$B64,領用表!$B:$B,V$2&amp;$R$1)</f>
        <v/>
      </c>
      <c r="W64" s="142" t="n">
        <v>186</v>
      </c>
      <c r="X64" s="142">
        <f>SUMIFS(領用表!$L:$L,領用表!$E:$E,$B64,領用表!$B:$B,X$2&amp;$R$1)</f>
        <v/>
      </c>
      <c r="Y64" s="142">
        <f>SUMIFS(領用表!$L:$L,領用表!$E:$E,$B64,領用表!$B:$B,Y$2&amp;$R$1)</f>
        <v/>
      </c>
      <c r="Z64" s="142">
        <f>SUMIFS(領用表!$L:$L,領用表!$E:$E,$B64,領用表!$B:$B,Z$2&amp;$R$1)</f>
        <v/>
      </c>
      <c r="AA64" s="142">
        <f>SUMIFS(領用表!$L:$L,領用表!$E:$E,$B64,領用表!$B:$B,AA$2&amp;$R$1)</f>
        <v/>
      </c>
      <c r="AB64" s="142">
        <f>SUMIFS(領用表!$L:$L,領用表!$E:$E,$B64,領用表!$B:$B,AB$2&amp;$R$1)</f>
        <v/>
      </c>
      <c r="AC64" s="142">
        <f>SUMIFS(領用表!$L:$L,領用表!$E:$E,$B64,領用表!$B:$B,AC$2&amp;$R$1)</f>
        <v/>
      </c>
      <c r="AD64" s="142">
        <f>SUM(R64,S64,T64,U64,V64,W64)</f>
        <v/>
      </c>
      <c r="AE64" s="142">
        <f>AVERAGE(R64,S64,T64,U64,V64,W64)</f>
        <v/>
      </c>
      <c r="AF64" s="142">
        <f>SUMIF(Summary!B:B,B64,Summary!EB:EB)</f>
        <v/>
      </c>
      <c r="AG64" s="101" t="n">
        <v>580</v>
      </c>
      <c r="AH64" s="550" t="n"/>
      <c r="AI64" s="54" t="inlineStr">
        <is>
          <t>825(10/23)</t>
        </is>
      </c>
      <c r="AJ64" s="54" t="inlineStr">
        <is>
          <t>750(10/23)</t>
        </is>
      </c>
      <c r="AK64" s="27" t="n"/>
      <c r="AL64" s="27" t="n"/>
      <c r="AM64" s="14" t="n"/>
      <c r="AN64" s="29" t="n"/>
    </row>
    <row r="65" ht="15.75" customHeight="1" s="453">
      <c r="A65" s="27" t="inlineStr">
        <is>
          <t>MM2MD070002A</t>
        </is>
      </c>
      <c r="B65" s="14" t="n">
        <v>6220006</v>
      </c>
      <c r="C65" s="118" t="inlineStr">
        <is>
          <t>海菲秀淺藍端頭(1入)</t>
        </is>
      </c>
      <c r="D65" s="23" t="n">
        <v>15</v>
      </c>
      <c r="E65" s="17" t="inlineStr">
        <is>
          <t>PCS</t>
        </is>
      </c>
      <c r="F65" s="18" t="n"/>
      <c r="G65" s="18" t="n">
        <v>491</v>
      </c>
      <c r="H65" s="21">
        <f>SUM(#REF!)</f>
        <v/>
      </c>
      <c r="I65" s="542">
        <f>H65/12</f>
        <v/>
      </c>
      <c r="J65" s="20">
        <f>SUMIFS(領用表!$L:$L,領用表!$E:$E,$B65,領用表!$B:$B,J$2&amp;$R$1)</f>
        <v/>
      </c>
      <c r="K65" s="20">
        <f>SUMIFS(領用表!$L:$L,領用表!$E:$E,$B65,領用表!$B:$B,K$2&amp;$R$1)</f>
        <v/>
      </c>
      <c r="L65" s="20">
        <f>SUMIFS(領用表!$L:$L,領用表!$E:$E,$B65,領用表!$B:$B,L$2&amp;$R$1)</f>
        <v/>
      </c>
      <c r="M65" s="142">
        <f>SUMIFS(領用表!$L:$L,領用表!$E:$E,$B65,領用表!$B:$B,M$2&amp;$R$1)</f>
        <v/>
      </c>
      <c r="N65" s="142">
        <f>SUMIFS(領用表!$L:$L,領用表!$E:$E,$B65,領用表!$B:$B,N$2&amp;$R$1)</f>
        <v/>
      </c>
      <c r="O65" s="142">
        <f>SUMIFS(領用表!$L:$L,領用表!$E:$E,$B65,領用表!$B:$B,O$2&amp;$R$1)</f>
        <v/>
      </c>
      <c r="P65" s="23">
        <f>SUM(,J65,K65,L65,M65,N65,O65)</f>
        <v/>
      </c>
      <c r="Q65" s="23">
        <f>AVERAGE(,J65,K65,L65,M65,N65,O65)</f>
        <v/>
      </c>
      <c r="R65" s="142">
        <f>SUMIFS(領用表!$L:$L,領用表!$E:$E,$B65,領用表!$B:$B,R$2&amp;$R$1)</f>
        <v/>
      </c>
      <c r="S65" s="142">
        <f>SUMIFS(領用表!$L:$L,領用表!$E:$E,$B65,領用表!$B:$B,S$2&amp;$R$1)</f>
        <v/>
      </c>
      <c r="T65" s="142">
        <f>SUMIFS(領用表!$L:$L,領用表!$E:$E,$B65,領用表!$B:$B,T$2&amp;$R$1)</f>
        <v/>
      </c>
      <c r="U65" s="142">
        <f>SUMIFS(領用表!$L:$L,領用表!$E:$E,$B65,領用表!$B:$B,U$2&amp;$R$1)</f>
        <v/>
      </c>
      <c r="V65" s="142">
        <f>SUMIFS(領用表!$L:$L,領用表!$E:$E,$B65,領用表!$B:$B,V$2&amp;$R$1)</f>
        <v/>
      </c>
      <c r="W65" s="142" t="n">
        <v>186</v>
      </c>
      <c r="X65" s="142">
        <f>SUMIFS(領用表!$L:$L,領用表!$E:$E,$B65,領用表!$B:$B,X$2&amp;$R$1)</f>
        <v/>
      </c>
      <c r="Y65" s="142">
        <f>SUMIFS(領用表!$L:$L,領用表!$E:$E,$B65,領用表!$B:$B,Y$2&amp;$R$1)</f>
        <v/>
      </c>
      <c r="Z65" s="142">
        <f>SUMIFS(領用表!$L:$L,領用表!$E:$E,$B65,領用表!$B:$B,Z$2&amp;$R$1)</f>
        <v/>
      </c>
      <c r="AA65" s="142">
        <f>SUMIFS(領用表!$L:$L,領用表!$E:$E,$B65,領用表!$B:$B,AA$2&amp;$R$1)</f>
        <v/>
      </c>
      <c r="AB65" s="142">
        <f>SUMIFS(領用表!$L:$L,領用表!$E:$E,$B65,領用表!$B:$B,AB$2&amp;$R$1)</f>
        <v/>
      </c>
      <c r="AC65" s="142">
        <f>SUMIFS(領用表!$L:$L,領用表!$E:$E,$B65,領用表!$B:$B,AC$2&amp;$R$1)</f>
        <v/>
      </c>
      <c r="AD65" s="142">
        <f>SUM(R65,S65,T65,U65,V65,W65)</f>
        <v/>
      </c>
      <c r="AE65" s="142">
        <f>AVERAGE(R65,S65,T65,U65,V65,W65)</f>
        <v/>
      </c>
      <c r="AF65" s="142">
        <f>SUMIF(Summary!B:B,B65,Summary!EB:EB)</f>
        <v/>
      </c>
      <c r="AG65" s="101" t="n">
        <v>580</v>
      </c>
      <c r="AH65" s="514" t="n"/>
      <c r="AI65" s="54" t="inlineStr">
        <is>
          <t>825(10/23)</t>
        </is>
      </c>
      <c r="AJ65" s="54" t="inlineStr">
        <is>
          <t>750(10/23)</t>
        </is>
      </c>
      <c r="AK65" s="27" t="n"/>
      <c r="AL65" s="27" t="n"/>
      <c r="AM65" s="14" t="n"/>
      <c r="AN65" s="29" t="n"/>
    </row>
    <row r="66" ht="15.75" customHeight="1" s="453">
      <c r="A66" s="27" t="inlineStr">
        <is>
          <t>MM2MD070003A</t>
        </is>
      </c>
      <c r="B66" s="14" t="n">
        <v>6220007</v>
      </c>
      <c r="C66" s="118" t="inlineStr">
        <is>
          <t>海菲秀透明端頭(1入)</t>
        </is>
      </c>
      <c r="D66" s="23" t="n">
        <v>15</v>
      </c>
      <c r="E66" s="17" t="inlineStr">
        <is>
          <t>PCS</t>
        </is>
      </c>
      <c r="F66" s="18" t="n"/>
      <c r="G66" s="18" t="n">
        <v>491</v>
      </c>
      <c r="H66" s="21">
        <f>SUM(#REF!)</f>
        <v/>
      </c>
      <c r="I66" s="542">
        <f>H66/12</f>
        <v/>
      </c>
      <c r="J66" s="20">
        <f>SUMIFS(領用表!$L:$L,領用表!$E:$E,$B66,領用表!$B:$B,J$2&amp;$R$1)</f>
        <v/>
      </c>
      <c r="K66" s="20">
        <f>SUMIFS(領用表!$L:$L,領用表!$E:$E,$B66,領用表!$B:$B,K$2&amp;$R$1)</f>
        <v/>
      </c>
      <c r="L66" s="20">
        <f>SUMIFS(領用表!$L:$L,領用表!$E:$E,$B66,領用表!$B:$B,L$2&amp;$R$1)</f>
        <v/>
      </c>
      <c r="M66" s="142">
        <f>SUMIFS(領用表!$L:$L,領用表!$E:$E,$B66,領用表!$B:$B,M$2&amp;$R$1)</f>
        <v/>
      </c>
      <c r="N66" s="142">
        <f>SUMIFS(領用表!$L:$L,領用表!$E:$E,$B66,領用表!$B:$B,N$2&amp;$R$1)</f>
        <v/>
      </c>
      <c r="O66" s="142">
        <f>SUMIFS(領用表!$L:$L,領用表!$E:$E,$B66,領用表!$B:$B,O$2&amp;$R$1)</f>
        <v/>
      </c>
      <c r="P66" s="23">
        <f>SUM(,J66,K66,L66,M66,N66,O66)</f>
        <v/>
      </c>
      <c r="Q66" s="23">
        <f>AVERAGE(,J66,K66,L66,M66,N66,O66)</f>
        <v/>
      </c>
      <c r="R66" s="142">
        <f>SUMIFS(領用表!$L:$L,領用表!$E:$E,$B66,領用表!$B:$B,R$2&amp;$R$1)</f>
        <v/>
      </c>
      <c r="S66" s="142">
        <f>SUMIFS(領用表!$L:$L,領用表!$E:$E,$B66,領用表!$B:$B,S$2&amp;$R$1)</f>
        <v/>
      </c>
      <c r="T66" s="142">
        <f>SUMIFS(領用表!$L:$L,領用表!$E:$E,$B66,領用表!$B:$B,T$2&amp;$R$1)</f>
        <v/>
      </c>
      <c r="U66" s="142">
        <f>SUMIFS(領用表!$L:$L,領用表!$E:$E,$B66,領用表!$B:$B,U$2&amp;$R$1)</f>
        <v/>
      </c>
      <c r="V66" s="142">
        <f>SUMIFS(領用表!$L:$L,領用表!$E:$E,$B66,領用表!$B:$B,V$2&amp;$R$1)</f>
        <v/>
      </c>
      <c r="W66" s="142" t="n">
        <v>186</v>
      </c>
      <c r="X66" s="142">
        <f>SUMIFS(領用表!$L:$L,領用表!$E:$E,$B66,領用表!$B:$B,X$2&amp;$R$1)</f>
        <v/>
      </c>
      <c r="Y66" s="142">
        <f>SUMIFS(領用表!$L:$L,領用表!$E:$E,$B66,領用表!$B:$B,Y$2&amp;$R$1)</f>
        <v/>
      </c>
      <c r="Z66" s="142">
        <f>SUMIFS(領用表!$L:$L,領用表!$E:$E,$B66,領用表!$B:$B,Z$2&amp;$R$1)</f>
        <v/>
      </c>
      <c r="AA66" s="142">
        <f>SUMIFS(領用表!$L:$L,領用表!$E:$E,$B66,領用表!$B:$B,AA$2&amp;$R$1)</f>
        <v/>
      </c>
      <c r="AB66" s="142">
        <f>SUMIFS(領用表!$L:$L,領用表!$E:$E,$B66,領用表!$B:$B,AB$2&amp;$R$1)</f>
        <v/>
      </c>
      <c r="AC66" s="142">
        <f>SUMIFS(領用表!$L:$L,領用表!$E:$E,$B66,領用表!$B:$B,AC$2&amp;$R$1)</f>
        <v/>
      </c>
      <c r="AD66" s="142">
        <f>SUM(R66,S66,T66,U66,V66,W66)</f>
        <v/>
      </c>
      <c r="AE66" s="142">
        <f>AVERAGE(R66,S66,T66,U66,V66,W66)</f>
        <v/>
      </c>
      <c r="AF66" s="142">
        <f>SUMIF(Summary!B:B,B66,Summary!EB:EB)</f>
        <v/>
      </c>
      <c r="AG66" s="101" t="n">
        <v>580</v>
      </c>
      <c r="AH66" s="514" t="n"/>
      <c r="AI66" s="54" t="inlineStr">
        <is>
          <t>825(10/23)</t>
        </is>
      </c>
      <c r="AJ66" s="54" t="inlineStr">
        <is>
          <t>750(10/23)</t>
        </is>
      </c>
      <c r="AK66" s="27" t="inlineStr">
        <is>
          <t>已無一代</t>
        </is>
      </c>
      <c r="AL66" s="27" t="n"/>
      <c r="AM66" s="14" t="n"/>
      <c r="AN66" s="29" t="n"/>
    </row>
    <row r="67" ht="15.75" customHeight="1" s="453">
      <c r="A67" s="27" t="inlineStr">
        <is>
          <t>MP1MD070012A</t>
        </is>
      </c>
      <c r="B67" s="14" t="n">
        <v>6220012</v>
      </c>
      <c r="C67" s="118" t="inlineStr">
        <is>
          <t>海菲秀 Activ-4 Skin Solution (ml) 二代</t>
        </is>
      </c>
      <c r="D67" s="23" t="n">
        <v>236</v>
      </c>
      <c r="E67" s="17" t="inlineStr">
        <is>
          <t>ML</t>
        </is>
      </c>
      <c r="F67" s="18" t="n"/>
      <c r="G67" s="18">
        <f>D67*(39)</f>
        <v/>
      </c>
      <c r="H67" s="21">
        <f>SUM(#REF!)</f>
        <v/>
      </c>
      <c r="I67" s="542">
        <f>H67/12</f>
        <v/>
      </c>
      <c r="J67" s="20">
        <f>SUMIFS(領用表!$L:$L,領用表!$E:$E,$B67,領用表!$B:$B,J$2&amp;$R$1)</f>
        <v/>
      </c>
      <c r="K67" s="20">
        <f>SUMIFS(領用表!$L:$L,領用表!$E:$E,$B67,領用表!$B:$B,K$2&amp;$R$1)</f>
        <v/>
      </c>
      <c r="L67" s="20">
        <f>SUMIFS(領用表!$L:$L,領用表!$E:$E,$B67,領用表!$B:$B,L$2&amp;$R$1)</f>
        <v/>
      </c>
      <c r="M67" s="142">
        <f>SUMIFS(領用表!$L:$L,領用表!$E:$E,$B67,領用表!$B:$B,M$2&amp;$R$1)</f>
        <v/>
      </c>
      <c r="N67" s="142">
        <f>SUMIFS(領用表!$L:$L,領用表!$E:$E,$B67,領用表!$B:$B,N$2&amp;$R$1)</f>
        <v/>
      </c>
      <c r="O67" s="142">
        <f>SUMIFS(領用表!$L:$L,領用表!$E:$E,$B67,領用表!$B:$B,O$2&amp;$R$1)</f>
        <v/>
      </c>
      <c r="P67" s="23">
        <f>SUM(,J67,K67,L67,M67,N67,O67)</f>
        <v/>
      </c>
      <c r="Q67" s="23">
        <f>AVERAGE(,J67,K67,L67,M67,N67,O67)</f>
        <v/>
      </c>
      <c r="R67" s="142">
        <f>SUMIFS(領用表!$L:$L,領用表!$E:$E,$B67,領用表!$B:$B,R$2&amp;$R$1)</f>
        <v/>
      </c>
      <c r="S67" s="142">
        <f>SUMIFS(領用表!$L:$L,領用表!$E:$E,$B67,領用表!$B:$B,S$2&amp;$R$1)</f>
        <v/>
      </c>
      <c r="T67" s="142">
        <f>SUMIFS(領用表!$L:$L,領用表!$E:$E,$B67,領用表!$B:$B,T$2&amp;$R$1)</f>
        <v/>
      </c>
      <c r="U67" s="142">
        <f>SUMIFS(領用表!$L:$L,領用表!$E:$E,$B67,領用表!$B:$B,U$2&amp;$R$1)</f>
        <v/>
      </c>
      <c r="V67" s="142">
        <f>SUMIFS(領用表!$L:$L,領用表!$E:$E,$B67,領用表!$B:$B,V$2&amp;$R$1)</f>
        <v/>
      </c>
      <c r="W67" s="142" t="n">
        <v>2790</v>
      </c>
      <c r="X67" s="142">
        <f>SUMIFS(領用表!$L:$L,領用表!$E:$E,$B67,領用表!$B:$B,X$2&amp;$R$1)</f>
        <v/>
      </c>
      <c r="Y67" s="142">
        <f>SUMIFS(領用表!$L:$L,領用表!$E:$E,$B67,領用表!$B:$B,Y$2&amp;$R$1)</f>
        <v/>
      </c>
      <c r="Z67" s="142">
        <f>SUMIFS(領用表!$L:$L,領用表!$E:$E,$B67,領用表!$B:$B,Z$2&amp;$R$1)</f>
        <v/>
      </c>
      <c r="AA67" s="142">
        <f>SUMIFS(領用表!$L:$L,領用表!$E:$E,$B67,領用表!$B:$B,AA$2&amp;$R$1)</f>
        <v/>
      </c>
      <c r="AB67" s="142">
        <f>SUMIFS(領用表!$L:$L,領用表!$E:$E,$B67,領用表!$B:$B,AB$2&amp;$R$1)</f>
        <v/>
      </c>
      <c r="AC67" s="142">
        <f>SUMIFS(領用表!$L:$L,領用表!$E:$E,$B67,領用表!$B:$B,AC$2&amp;$R$1)</f>
        <v/>
      </c>
      <c r="AD67" s="142">
        <f>SUM(R67,S67,T67,U67,V67,W67)</f>
        <v/>
      </c>
      <c r="AE67" s="142">
        <f>AVERAGE(R67,S67,T67,U67,V67,W67)</f>
        <v/>
      </c>
      <c r="AF67" s="142">
        <f>SUMIF(Summary!B:B,B67,Summary!EB:EB)</f>
        <v/>
      </c>
      <c r="AG67" s="101" t="n">
        <v>7500</v>
      </c>
      <c r="AH67" s="514" t="n"/>
      <c r="AI67" s="54" t="inlineStr">
        <is>
          <t>70瓶(10/23)</t>
        </is>
      </c>
      <c r="AJ67" s="54" t="inlineStr">
        <is>
          <t>80瓶(10/23)</t>
        </is>
      </c>
      <c r="AK67" s="27" t="inlineStr">
        <is>
          <t>已無一代</t>
        </is>
      </c>
      <c r="AL67" s="28" t="n"/>
      <c r="AM67" s="14" t="n"/>
      <c r="AN67" s="29" t="n"/>
    </row>
    <row r="68" ht="15.75" customHeight="1" s="453">
      <c r="A68" s="27" t="inlineStr">
        <is>
          <t>MP1MD070013A</t>
        </is>
      </c>
      <c r="B68" s="14" t="n">
        <v>6220013</v>
      </c>
      <c r="C68" s="118" t="inlineStr">
        <is>
          <t>海菲秀 Beta-HD Skin Solution (ml) 二代</t>
        </is>
      </c>
      <c r="D68" s="23" t="n">
        <v>236</v>
      </c>
      <c r="E68" s="17" t="inlineStr">
        <is>
          <t>ML</t>
        </is>
      </c>
      <c r="F68" s="18" t="n"/>
      <c r="G68" s="18">
        <f>D68*42</f>
        <v/>
      </c>
      <c r="H68" s="21">
        <f>SUM(#REF!)</f>
        <v/>
      </c>
      <c r="I68" s="542">
        <f>H68/12</f>
        <v/>
      </c>
      <c r="J68" s="20">
        <f>SUMIFS(領用表!$L:$L,領用表!$E:$E,$B68,領用表!$B:$B,J$2&amp;$R$1)</f>
        <v/>
      </c>
      <c r="K68" s="20">
        <f>SUMIFS(領用表!$L:$L,領用表!$E:$E,$B68,領用表!$B:$B,K$2&amp;$R$1)</f>
        <v/>
      </c>
      <c r="L68" s="20">
        <f>SUMIFS(領用表!$L:$L,領用表!$E:$E,$B68,領用表!$B:$B,L$2&amp;$R$1)</f>
        <v/>
      </c>
      <c r="M68" s="142">
        <f>SUMIFS(領用表!$L:$L,領用表!$E:$E,$B68,領用表!$B:$B,M$2&amp;$R$1)</f>
        <v/>
      </c>
      <c r="N68" s="142">
        <f>SUMIFS(領用表!$L:$L,領用表!$E:$E,$B68,領用表!$B:$B,N$2&amp;$R$1)</f>
        <v/>
      </c>
      <c r="O68" s="142">
        <f>SUMIFS(領用表!$L:$L,領用表!$E:$E,$B68,領用表!$B:$B,O$2&amp;$R$1)</f>
        <v/>
      </c>
      <c r="P68" s="23">
        <f>SUM(,J68,K68,L68,M68,N68,O68)</f>
        <v/>
      </c>
      <c r="Q68" s="23">
        <f>AVERAGE(,J68,K68,L68,M68,N68,O68)</f>
        <v/>
      </c>
      <c r="R68" s="142">
        <f>SUMIFS(領用表!$L:$L,領用表!$E:$E,$B68,領用表!$B:$B,R$2&amp;$R$1)</f>
        <v/>
      </c>
      <c r="S68" s="142">
        <f>SUMIFS(領用表!$L:$L,領用表!$E:$E,$B68,領用表!$B:$B,S$2&amp;$R$1)</f>
        <v/>
      </c>
      <c r="T68" s="142">
        <f>SUMIFS(領用表!$L:$L,領用表!$E:$E,$B68,領用表!$B:$B,T$2&amp;$R$1)</f>
        <v/>
      </c>
      <c r="U68" s="142">
        <f>SUMIFS(領用表!$L:$L,領用表!$E:$E,$B68,領用表!$B:$B,U$2&amp;$R$1)</f>
        <v/>
      </c>
      <c r="V68" s="142">
        <f>SUMIFS(領用表!$L:$L,領用表!$E:$E,$B68,領用表!$B:$B,V$2&amp;$R$1)</f>
        <v/>
      </c>
      <c r="W68" s="142" t="n">
        <v>2790</v>
      </c>
      <c r="X68" s="142">
        <f>SUMIFS(領用表!$L:$L,領用表!$E:$E,$B68,領用表!$B:$B,X$2&amp;$R$1)</f>
        <v/>
      </c>
      <c r="Y68" s="142">
        <f>SUMIFS(領用表!$L:$L,領用表!$E:$E,$B68,領用表!$B:$B,Y$2&amp;$R$1)</f>
        <v/>
      </c>
      <c r="Z68" s="142">
        <f>SUMIFS(領用表!$L:$L,領用表!$E:$E,$B68,領用表!$B:$B,Z$2&amp;$R$1)</f>
        <v/>
      </c>
      <c r="AA68" s="142">
        <f>SUMIFS(領用表!$L:$L,領用表!$E:$E,$B68,領用表!$B:$B,AA$2&amp;$R$1)</f>
        <v/>
      </c>
      <c r="AB68" s="142">
        <f>SUMIFS(領用表!$L:$L,領用表!$E:$E,$B68,領用表!$B:$B,AB$2&amp;$R$1)</f>
        <v/>
      </c>
      <c r="AC68" s="142">
        <f>SUMIFS(領用表!$L:$L,領用表!$E:$E,$B68,領用表!$B:$B,AC$2&amp;$R$1)</f>
        <v/>
      </c>
      <c r="AD68" s="142">
        <f>SUM(R68,S68,T68,U68,V68,W68)</f>
        <v/>
      </c>
      <c r="AE68" s="142">
        <f>AVERAGE(R68,S68,T68,U68,V68,W68)</f>
        <v/>
      </c>
      <c r="AF68" s="142">
        <f>SUMIF(Summary!B:B,B68,Summary!EB:EB)</f>
        <v/>
      </c>
      <c r="AG68" s="101" t="n">
        <v>10000</v>
      </c>
      <c r="AH68" s="514" t="n"/>
      <c r="AI68" s="54" t="inlineStr">
        <is>
          <t>80瓶(10/23)</t>
        </is>
      </c>
      <c r="AJ68" s="54" t="inlineStr">
        <is>
          <t>80瓶(10/23)</t>
        </is>
      </c>
      <c r="AK68" s="27" t="inlineStr">
        <is>
          <t>已無一代, 10/5後續都為二代(有貼晶片)</t>
        </is>
      </c>
      <c r="AL68" s="28" t="n"/>
      <c r="AM68" s="14" t="n"/>
      <c r="AN68" s="29" t="n"/>
    </row>
    <row r="69" ht="15.75" customHeight="1" s="453">
      <c r="A69" s="27" t="inlineStr">
        <is>
          <t>MP1MD070014A</t>
        </is>
      </c>
      <c r="B69" s="14" t="n">
        <v>6220014</v>
      </c>
      <c r="C69" s="118" t="inlineStr">
        <is>
          <t>海菲秀 Antiox-6 Skin Solution (ml) 二代</t>
        </is>
      </c>
      <c r="D69" s="23" t="n">
        <v>236</v>
      </c>
      <c r="E69" s="17" t="inlineStr">
        <is>
          <t>ML</t>
        </is>
      </c>
      <c r="F69" s="18" t="n"/>
      <c r="G69" s="18">
        <f>D69*46</f>
        <v/>
      </c>
      <c r="H69" s="21">
        <f>SUM(#REF!)</f>
        <v/>
      </c>
      <c r="I69" s="542">
        <f>H69/12</f>
        <v/>
      </c>
      <c r="J69" s="20">
        <f>SUMIFS(領用表!$L:$L,領用表!$E:$E,$B69,領用表!$B:$B,J$2&amp;$R$1)</f>
        <v/>
      </c>
      <c r="K69" s="20">
        <f>SUMIFS(領用表!$L:$L,領用表!$E:$E,$B69,領用表!$B:$B,K$2&amp;$R$1)</f>
        <v/>
      </c>
      <c r="L69" s="20">
        <f>SUMIFS(領用表!$L:$L,領用表!$E:$E,$B69,領用表!$B:$B,L$2&amp;$R$1)</f>
        <v/>
      </c>
      <c r="M69" s="142">
        <f>SUMIFS(領用表!$L:$L,領用表!$E:$E,$B69,領用表!$B:$B,M$2&amp;$R$1)</f>
        <v/>
      </c>
      <c r="N69" s="142">
        <f>SUMIFS(領用表!$L:$L,領用表!$E:$E,$B69,領用表!$B:$B,N$2&amp;$R$1)</f>
        <v/>
      </c>
      <c r="O69" s="142">
        <f>SUMIFS(領用表!$L:$L,領用表!$E:$E,$B69,領用表!$B:$B,O$2&amp;$R$1)</f>
        <v/>
      </c>
      <c r="P69" s="23">
        <f>SUM(,J69,K69,L69,M69,N69,O69)</f>
        <v/>
      </c>
      <c r="Q69" s="23">
        <f>AVERAGE(,J69,K69,L69,M69,N69,O69)</f>
        <v/>
      </c>
      <c r="R69" s="142">
        <f>SUMIFS(領用表!$L:$L,領用表!$E:$E,$B69,領用表!$B:$B,R$2&amp;$R$1)</f>
        <v/>
      </c>
      <c r="S69" s="142">
        <f>SUMIFS(領用表!$L:$L,領用表!$E:$E,$B69,領用表!$B:$B,S$2&amp;$R$1)</f>
        <v/>
      </c>
      <c r="T69" s="142">
        <f>SUMIFS(領用表!$L:$L,領用表!$E:$E,$B69,領用表!$B:$B,T$2&amp;$R$1)</f>
        <v/>
      </c>
      <c r="U69" s="142">
        <f>SUMIFS(領用表!$L:$L,領用表!$E:$E,$B69,領用表!$B:$B,U$2&amp;$R$1)</f>
        <v/>
      </c>
      <c r="V69" s="142">
        <f>SUMIFS(領用表!$L:$L,領用表!$E:$E,$B69,領用表!$B:$B,V$2&amp;$R$1)</f>
        <v/>
      </c>
      <c r="W69" s="142" t="n">
        <v>2790</v>
      </c>
      <c r="X69" s="142">
        <f>SUMIFS(領用表!$L:$L,領用表!$E:$E,$B69,領用表!$B:$B,X$2&amp;$R$1)</f>
        <v/>
      </c>
      <c r="Y69" s="142">
        <f>SUMIFS(領用表!$L:$L,領用表!$E:$E,$B69,領用表!$B:$B,Y$2&amp;$R$1)</f>
        <v/>
      </c>
      <c r="Z69" s="142">
        <f>SUMIFS(領用表!$L:$L,領用表!$E:$E,$B69,領用表!$B:$B,Z$2&amp;$R$1)</f>
        <v/>
      </c>
      <c r="AA69" s="142">
        <f>SUMIFS(領用表!$L:$L,領用表!$E:$E,$B69,領用表!$B:$B,AA$2&amp;$R$1)</f>
        <v/>
      </c>
      <c r="AB69" s="142">
        <f>SUMIFS(領用表!$L:$L,領用表!$E:$E,$B69,領用表!$B:$B,AB$2&amp;$R$1)</f>
        <v/>
      </c>
      <c r="AC69" s="142">
        <f>SUMIFS(領用表!$L:$L,領用表!$E:$E,$B69,領用表!$B:$B,AC$2&amp;$R$1)</f>
        <v/>
      </c>
      <c r="AD69" s="142">
        <f>SUM(R69,S69,T69,U69,V69,W69)</f>
        <v/>
      </c>
      <c r="AE69" s="142">
        <f>AVERAGE(R69,S69,T69,U69,V69,W69)</f>
        <v/>
      </c>
      <c r="AF69" s="142">
        <f>SUMIF(Summary!B:B,B69,Summary!EB:EB)</f>
        <v/>
      </c>
      <c r="AG69" s="101" t="n">
        <v>5500</v>
      </c>
      <c r="AH69" s="514" t="n"/>
      <c r="AI69" s="54" t="inlineStr">
        <is>
          <t>30瓶(10/23)</t>
        </is>
      </c>
      <c r="AJ69" s="54" t="inlineStr">
        <is>
          <t>80瓶(10/23)</t>
        </is>
      </c>
      <c r="AK69" s="27" t="n"/>
      <c r="AL69" s="28" t="n"/>
      <c r="AM69" s="14" t="n"/>
      <c r="AN69" s="29" t="n"/>
    </row>
    <row r="70" ht="15.75" customHeight="1" s="453">
      <c r="A70" s="27" t="inlineStr">
        <is>
          <t>MP1MD070015A</t>
        </is>
      </c>
      <c r="B70" s="14" t="n">
        <v>6220015</v>
      </c>
      <c r="C70" s="118" t="inlineStr">
        <is>
          <t>海菲秀 Rinseaway System Cleaning Solution (ml) 二代</t>
        </is>
      </c>
      <c r="D70" s="23" t="n">
        <v>236</v>
      </c>
      <c r="E70" s="17" t="inlineStr">
        <is>
          <t>ML</t>
        </is>
      </c>
      <c r="F70" s="18" t="n"/>
      <c r="G70" s="18">
        <f>D70*48</f>
        <v/>
      </c>
      <c r="H70" s="21">
        <f>SUM(#REF!)</f>
        <v/>
      </c>
      <c r="I70" s="542">
        <f>H70/12</f>
        <v/>
      </c>
      <c r="J70" s="20">
        <f>SUMIFS(領用表!$L:$L,領用表!$E:$E,$B70,領用表!$B:$B,J$2&amp;$R$1)</f>
        <v/>
      </c>
      <c r="K70" s="20">
        <f>SUMIFS(領用表!$L:$L,領用表!$E:$E,$B70,領用表!$B:$B,K$2&amp;$R$1)</f>
        <v/>
      </c>
      <c r="L70" s="20">
        <f>SUMIFS(領用表!$L:$L,領用表!$E:$E,$B70,領用表!$B:$B,L$2&amp;$R$1)</f>
        <v/>
      </c>
      <c r="M70" s="142">
        <f>SUMIFS(領用表!$L:$L,領用表!$E:$E,$B70,領用表!$B:$B,M$2&amp;$R$1)</f>
        <v/>
      </c>
      <c r="N70" s="142">
        <f>SUMIFS(領用表!$L:$L,領用表!$E:$E,$B70,領用表!$B:$B,N$2&amp;$R$1)</f>
        <v/>
      </c>
      <c r="O70" s="142">
        <f>SUMIFS(領用表!$L:$L,領用表!$E:$E,$B70,領用表!$B:$B,O$2&amp;$R$1)</f>
        <v/>
      </c>
      <c r="P70" s="23">
        <f>SUM(,J70,K70,L70,M70,N70,O70)</f>
        <v/>
      </c>
      <c r="Q70" s="23">
        <f>AVERAGE(,J70,K70,L70,M70,N70,O70)</f>
        <v/>
      </c>
      <c r="R70" s="142">
        <f>SUMIFS(領用表!$L:$L,領用表!$E:$E,$B70,領用表!$B:$B,R$2&amp;$R$1)</f>
        <v/>
      </c>
      <c r="S70" s="142">
        <f>SUMIFS(領用表!$L:$L,領用表!$E:$E,$B70,領用表!$B:$B,S$2&amp;$R$1)</f>
        <v/>
      </c>
      <c r="T70" s="142">
        <f>SUMIFS(領用表!$L:$L,領用表!$E:$E,$B70,領用表!$B:$B,T$2&amp;$R$1)</f>
        <v/>
      </c>
      <c r="U70" s="142">
        <f>SUMIFS(領用表!$L:$L,領用表!$E:$E,$B70,領用表!$B:$B,U$2&amp;$R$1)</f>
        <v/>
      </c>
      <c r="V70" s="142">
        <f>SUMIFS(領用表!$L:$L,領用表!$E:$E,$B70,領用表!$B:$B,V$2&amp;$R$1)</f>
        <v/>
      </c>
      <c r="W70" s="142" t="n">
        <v>2790</v>
      </c>
      <c r="X70" s="142">
        <f>SUMIFS(領用表!$L:$L,領用表!$E:$E,$B70,領用表!$B:$B,X$2&amp;$R$1)</f>
        <v/>
      </c>
      <c r="Y70" s="142">
        <f>SUMIFS(領用表!$L:$L,領用表!$E:$E,$B70,領用表!$B:$B,Y$2&amp;$R$1)</f>
        <v/>
      </c>
      <c r="Z70" s="142">
        <f>SUMIFS(領用表!$L:$L,領用表!$E:$E,$B70,領用表!$B:$B,Z$2&amp;$R$1)</f>
        <v/>
      </c>
      <c r="AA70" s="142">
        <f>SUMIFS(領用表!$L:$L,領用表!$E:$E,$B70,領用表!$B:$B,AA$2&amp;$R$1)</f>
        <v/>
      </c>
      <c r="AB70" s="142">
        <f>SUMIFS(領用表!$L:$L,領用表!$E:$E,$B70,領用表!$B:$B,AB$2&amp;$R$1)</f>
        <v/>
      </c>
      <c r="AC70" s="142">
        <f>SUMIFS(領用表!$L:$L,領用表!$E:$E,$B70,領用表!$B:$B,AC$2&amp;$R$1)</f>
        <v/>
      </c>
      <c r="AD70" s="142">
        <f>SUM(R70,S70,T70,U70,V70,W70)</f>
        <v/>
      </c>
      <c r="AE70" s="142">
        <f>AVERAGE(R70,S70,T70,U70,V70,W70)</f>
        <v/>
      </c>
      <c r="AF70" s="142">
        <f>SUMIF(Summary!B:B,B70,Summary!EB:EB)</f>
        <v/>
      </c>
      <c r="AG70" s="100" t="n">
        <v>3000</v>
      </c>
      <c r="AH70" s="515" t="n"/>
      <c r="AI70" s="54" t="inlineStr">
        <is>
          <t>45瓶(10/23)</t>
        </is>
      </c>
      <c r="AJ70" s="54" t="inlineStr">
        <is>
          <t>40瓶(10/23)</t>
        </is>
      </c>
      <c r="AK70" s="27" t="n"/>
      <c r="AL70" s="28" t="n"/>
      <c r="AM70" s="14" t="n"/>
      <c r="AN70" s="29" t="n"/>
    </row>
    <row r="71" ht="15.75" customFormat="1" customHeight="1" s="172">
      <c r="A71" s="162" t="n"/>
      <c r="B71" s="162" t="n"/>
      <c r="C71" s="163" t="n"/>
      <c r="D71" s="164" t="n"/>
      <c r="E71" s="165" t="n"/>
      <c r="F71" s="166" t="n"/>
      <c r="G71" s="444" t="n"/>
      <c r="H71" s="162" t="n"/>
      <c r="I71" s="162" t="n"/>
      <c r="J71" s="167" t="n"/>
      <c r="K71" s="167" t="n"/>
      <c r="L71" s="167" t="n"/>
      <c r="M71" s="167" t="n"/>
      <c r="N71" s="167" t="n"/>
      <c r="O71" s="167" t="n"/>
      <c r="P71" s="167" t="n"/>
      <c r="Q71" s="167" t="n"/>
      <c r="R71" s="167" t="n"/>
      <c r="S71" s="167" t="n"/>
      <c r="T71" s="167" t="n"/>
      <c r="U71" s="167" t="n"/>
      <c r="V71" s="167" t="n"/>
      <c r="W71" s="167" t="n"/>
      <c r="X71" s="167" t="n"/>
      <c r="Y71" s="167" t="n"/>
      <c r="Z71" s="167" t="n"/>
      <c r="AA71" s="167" t="n"/>
      <c r="AB71" s="167" t="n"/>
      <c r="AC71" s="167" t="n"/>
      <c r="AD71" s="167">
        <f>SUM(R71,S71,T71,U71,V71,W71)</f>
        <v/>
      </c>
      <c r="AE71" s="167">
        <f>AVERAGE(R71,S71,T71,U71,V71,W71)</f>
        <v/>
      </c>
      <c r="AF71" s="167" t="n"/>
      <c r="AG71" s="167" t="n"/>
      <c r="AH71" s="167" t="n"/>
      <c r="AI71" s="167" t="n"/>
      <c r="AJ71" s="162" t="n"/>
      <c r="AK71" s="162" t="n"/>
      <c r="AL71" s="162" t="n"/>
      <c r="AM71" s="170" t="n"/>
      <c r="AN71" s="171" t="n"/>
    </row>
    <row r="72" ht="15.75" customHeight="1" s="453">
      <c r="A72" s="27" t="inlineStr">
        <is>
          <t>MP1MB030003A</t>
        </is>
      </c>
      <c r="B72" s="14" t="n">
        <v>6170014</v>
      </c>
      <c r="C72" s="118" t="inlineStr">
        <is>
          <t>鳳凰電波0.25平方公分碧眼探頭(450發)</t>
        </is>
      </c>
      <c r="D72" s="43" t="n">
        <v>1</v>
      </c>
      <c r="E72" s="17" t="inlineStr">
        <is>
          <t>PCS</t>
        </is>
      </c>
      <c r="F72" s="18" t="n"/>
      <c r="G72" s="18" t="n">
        <v>11</v>
      </c>
      <c r="H72" s="21" t="n">
        <v>15</v>
      </c>
      <c r="I72" s="542">
        <f>H72/12</f>
        <v/>
      </c>
      <c r="J72" s="20">
        <f>SUMIFS(領用表!$L:$L,領用表!$E:$E,$B72,領用表!$B:$B,J$2&amp;$R$1)</f>
        <v/>
      </c>
      <c r="K72" s="20">
        <f>SUMIFS(領用表!$L:$L,領用表!$E:$E,$B72,領用表!$B:$B,K$2&amp;$R$1)</f>
        <v/>
      </c>
      <c r="L72" s="20">
        <f>SUMIFS(領用表!$L:$L,領用表!$E:$E,$B72,領用表!$B:$B,L$2&amp;$R$1)</f>
        <v/>
      </c>
      <c r="M72" s="142">
        <f>SUMIFS(領用表!$L:$L,領用表!$E:$E,$B72,領用表!$B:$B,M$2&amp;$R$1)</f>
        <v/>
      </c>
      <c r="N72" s="142">
        <f>SUMIFS(領用表!$L:$L,領用表!$E:$E,$B72,領用表!$B:$B,N$2&amp;$R$1)</f>
        <v/>
      </c>
      <c r="O72" s="142">
        <f>SUMIFS(領用表!$L:$L,領用表!$E:$E,$B72,領用表!$B:$B,O$2&amp;$R$1)</f>
        <v/>
      </c>
      <c r="P72" s="23">
        <f>SUM(,J72,K72,L72,M72,N72,O72)</f>
        <v/>
      </c>
      <c r="Q72" s="23">
        <f>AVERAGE(,J72,K72,L72,M72,N72,O72)</f>
        <v/>
      </c>
      <c r="R72" s="142">
        <f>SUMIFS(領用表!$L:$L,領用表!$E:$E,$B72,領用表!$B:$B,R$2&amp;$R$1)</f>
        <v/>
      </c>
      <c r="S72" s="142">
        <f>SUMIFS(領用表!$L:$L,領用表!$E:$E,$B72,領用表!$B:$B,S$2&amp;$R$1)</f>
        <v/>
      </c>
      <c r="T72" s="142">
        <f>SUMIFS(領用表!$L:$L,領用表!$E:$E,$B72,領用表!$B:$B,T$2&amp;$R$1)</f>
        <v/>
      </c>
      <c r="U72" s="142">
        <f>SUMIFS(領用表!$L:$L,領用表!$E:$E,$B72,領用表!$B:$B,U$2&amp;$R$1)</f>
        <v/>
      </c>
      <c r="V72" s="142">
        <f>SUMIFS(領用表!$L:$L,領用表!$E:$E,$B72,領用表!$B:$B,V$2&amp;$R$1)</f>
        <v/>
      </c>
      <c r="W72" s="142" t="n">
        <v>9</v>
      </c>
      <c r="X72" s="142">
        <f>SUMIFS(領用表!$L:$L,領用表!$E:$E,$B72,領用表!$B:$B,X$2&amp;$R$1)</f>
        <v/>
      </c>
      <c r="Y72" s="142">
        <f>SUMIFS(領用表!$L:$L,領用表!$E:$E,$B72,領用表!$B:$B,Y$2&amp;$R$1)</f>
        <v/>
      </c>
      <c r="Z72" s="142">
        <f>SUMIFS(領用表!$L:$L,領用表!$E:$E,$B72,領用表!$B:$B,Z$2&amp;$R$1)</f>
        <v/>
      </c>
      <c r="AA72" s="142">
        <f>SUMIFS(領用表!$L:$L,領用表!$E:$E,$B72,領用表!$B:$B,AA$2&amp;$R$1)</f>
        <v/>
      </c>
      <c r="AB72" s="142">
        <f>SUMIFS(領用表!$L:$L,領用表!$E:$E,$B72,領用表!$B:$B,AB$2&amp;$R$1)</f>
        <v/>
      </c>
      <c r="AC72" s="142">
        <f>SUMIFS(領用表!$L:$L,領用表!$E:$E,$B72,領用表!$B:$B,AC$2&amp;$R$1)</f>
        <v/>
      </c>
      <c r="AD72" s="142">
        <f>SUM(R72,S72,T72,U72,V72,W72)</f>
        <v/>
      </c>
      <c r="AE72" s="142">
        <f>AVERAGE(R72,S72,T72,U72,V72,W72)</f>
        <v/>
      </c>
      <c r="AF72" s="142">
        <f>SUMIF(Summary!B:B,B72,Summary!EB:EB)</f>
        <v/>
      </c>
      <c r="AG72" s="107" t="n">
        <v>5</v>
      </c>
      <c r="AH72" s="24" t="n"/>
      <c r="AI72" s="65" t="n"/>
      <c r="AJ72" s="24" t="inlineStr">
        <is>
          <t>13500-10/22</t>
        </is>
      </c>
      <c r="AK72" s="27" t="n"/>
      <c r="AL72" s="28" t="n"/>
      <c r="AM72" s="14" t="n"/>
      <c r="AN72" s="29" t="n"/>
    </row>
    <row r="73" ht="15.75" customHeight="1" s="453">
      <c r="A73" s="27" t="inlineStr">
        <is>
          <t>MP1MB030002A</t>
        </is>
      </c>
      <c r="B73" s="14" t="n">
        <v>6170013</v>
      </c>
      <c r="C73" s="118" t="inlineStr">
        <is>
          <t>鳳凰電波4平方公分紫鑽探頭(900發)</t>
        </is>
      </c>
      <c r="D73" s="43" t="n">
        <v>1</v>
      </c>
      <c r="E73" s="17" t="inlineStr">
        <is>
          <t>PCS</t>
        </is>
      </c>
      <c r="F73" s="18" t="n"/>
      <c r="G73" s="18" t="n">
        <v>19</v>
      </c>
      <c r="H73" s="21">
        <f>SUM(#REF!)</f>
        <v/>
      </c>
      <c r="I73" s="542">
        <f>H73/12</f>
        <v/>
      </c>
      <c r="J73" s="20">
        <f>SUMIFS(領用表!$L:$L,領用表!$E:$E,$B73,領用表!$B:$B,J$2&amp;$R$1)</f>
        <v/>
      </c>
      <c r="K73" s="20">
        <f>SUMIFS(領用表!$L:$L,領用表!$E:$E,$B73,領用表!$B:$B,K$2&amp;$R$1)</f>
        <v/>
      </c>
      <c r="L73" s="20">
        <f>SUMIFS(領用表!$L:$L,領用表!$E:$E,$B73,領用表!$B:$B,L$2&amp;$R$1)</f>
        <v/>
      </c>
      <c r="M73" s="142">
        <f>SUMIFS(領用表!$L:$L,領用表!$E:$E,$B73,領用表!$B:$B,M$2&amp;$R$1)</f>
        <v/>
      </c>
      <c r="N73" s="142">
        <f>SUMIFS(領用表!$L:$L,領用表!$E:$E,$B73,領用表!$B:$B,N$2&amp;$R$1)</f>
        <v/>
      </c>
      <c r="O73" s="142">
        <f>SUMIFS(領用表!$L:$L,領用表!$E:$E,$B73,領用表!$B:$B,O$2&amp;$R$1)</f>
        <v/>
      </c>
      <c r="P73" s="23">
        <f>SUM(,J73,K73,L73,M73,N73,O73)</f>
        <v/>
      </c>
      <c r="Q73" s="23">
        <f>AVERAGE(,J73,K73,L73,M73,N73,O73)</f>
        <v/>
      </c>
      <c r="R73" s="142">
        <f>SUMIFS(領用表!$L:$L,領用表!$E:$E,$B73,領用表!$B:$B,R$2&amp;$R$1)</f>
        <v/>
      </c>
      <c r="S73" s="142">
        <f>SUMIFS(領用表!$L:$L,領用表!$E:$E,$B73,領用表!$B:$B,S$2&amp;$R$1)</f>
        <v/>
      </c>
      <c r="T73" s="142">
        <f>SUMIFS(領用表!$L:$L,領用表!$E:$E,$B73,領用表!$B:$B,T$2&amp;$R$1)</f>
        <v/>
      </c>
      <c r="U73" s="142">
        <f>SUMIFS(領用表!$L:$L,領用表!$E:$E,$B73,領用表!$B:$B,U$2&amp;$R$1)</f>
        <v/>
      </c>
      <c r="V73" s="142">
        <f>SUMIFS(領用表!$L:$L,領用表!$E:$E,$B73,領用表!$B:$B,V$2&amp;$R$1)</f>
        <v/>
      </c>
      <c r="W73" s="142" t="n">
        <v>12</v>
      </c>
      <c r="X73" s="142">
        <f>SUMIFS(領用表!$L:$L,領用表!$E:$E,$B73,領用表!$B:$B,X$2&amp;$R$1)</f>
        <v/>
      </c>
      <c r="Y73" s="142">
        <f>SUMIFS(領用表!$L:$L,領用表!$E:$E,$B73,領用表!$B:$B,Y$2&amp;$R$1)</f>
        <v/>
      </c>
      <c r="Z73" s="142">
        <f>SUMIFS(領用表!$L:$L,領用表!$E:$E,$B73,領用表!$B:$B,Z$2&amp;$R$1)</f>
        <v/>
      </c>
      <c r="AA73" s="142">
        <f>SUMIFS(領用表!$L:$L,領用表!$E:$E,$B73,領用表!$B:$B,AA$2&amp;$R$1)</f>
        <v/>
      </c>
      <c r="AB73" s="142">
        <f>SUMIFS(領用表!$L:$L,領用表!$E:$E,$B73,領用表!$B:$B,AB$2&amp;$R$1)</f>
        <v/>
      </c>
      <c r="AC73" s="142">
        <f>SUMIFS(領用表!$L:$L,領用表!$E:$E,$B73,領用表!$B:$B,AC$2&amp;$R$1)</f>
        <v/>
      </c>
      <c r="AD73" s="142">
        <f>SUM(R73,S73,T73,U73,V73,W73)</f>
        <v/>
      </c>
      <c r="AE73" s="142">
        <f>AVERAGE(R73,S73,T73,U73,V73,W73)</f>
        <v/>
      </c>
      <c r="AF73" s="142">
        <f>SUMIF(Summary!B:B,B73,Summary!EB:EB)</f>
        <v/>
      </c>
      <c r="AG73" s="107" t="n">
        <v>20</v>
      </c>
      <c r="AH73" s="24" t="n"/>
      <c r="AI73" s="24" t="n"/>
      <c r="AJ73" s="24" t="inlineStr">
        <is>
          <t>27000-10/22</t>
        </is>
      </c>
      <c r="AK73" s="66" t="n"/>
      <c r="AL73" s="28" t="n"/>
      <c r="AM73" s="14" t="n"/>
      <c r="AN73" s="29" t="n"/>
    </row>
    <row r="74" ht="15.75" customHeight="1" s="453">
      <c r="A74" s="27" t="inlineStr">
        <is>
          <t>MP1MC030001A</t>
        </is>
      </c>
      <c r="B74" s="118" t="n">
        <v>6170015</v>
      </c>
      <c r="C74" s="411" t="inlineStr">
        <is>
          <t>鳳凰電波16平方公分黃金美體探頭(500發)</t>
        </is>
      </c>
      <c r="D74" s="43" t="n">
        <v>1</v>
      </c>
      <c r="E74" s="17" t="inlineStr">
        <is>
          <t>PCS</t>
        </is>
      </c>
      <c r="F74" s="18" t="n"/>
      <c r="G74" s="18" t="n">
        <v>1</v>
      </c>
      <c r="H74" s="21">
        <f>SUM(#REF!)</f>
        <v/>
      </c>
      <c r="I74" s="542">
        <f>H74/12</f>
        <v/>
      </c>
      <c r="J74" s="20">
        <f>SUMIFS(領用表!$L:$L,領用表!$E:$E,$B74,領用表!$B:$B,J$2&amp;$R$1)</f>
        <v/>
      </c>
      <c r="K74" s="20">
        <f>SUMIFS(領用表!$L:$L,領用表!$E:$E,$B74,領用表!$B:$B,K$2&amp;$R$1)</f>
        <v/>
      </c>
      <c r="L74" s="20">
        <f>SUMIFS(領用表!$L:$L,領用表!$E:$E,$B74,領用表!$B:$B,L$2&amp;$R$1)</f>
        <v/>
      </c>
      <c r="M74" s="142">
        <f>SUMIFS(領用表!$L:$L,領用表!$E:$E,$B74,領用表!$B:$B,M$2&amp;$R$1)</f>
        <v/>
      </c>
      <c r="N74" s="142">
        <f>SUMIFS(領用表!$L:$L,領用表!$E:$E,$B74,領用表!$B:$B,N$2&amp;$R$1)</f>
        <v/>
      </c>
      <c r="O74" s="142">
        <f>SUMIFS(領用表!$L:$L,領用表!$E:$E,$B74,領用表!$B:$B,O$2&amp;$R$1)</f>
        <v/>
      </c>
      <c r="P74" s="23">
        <f>SUM(,J74,K74,L74,M74,N74,O74)</f>
        <v/>
      </c>
      <c r="Q74" s="23">
        <f>AVERAGE(,J74,K74,L74,M74,N74,O74)</f>
        <v/>
      </c>
      <c r="R74" s="142">
        <f>SUMIFS(領用表!$L:$L,領用表!$E:$E,$B74,領用表!$B:$B,R$2&amp;$R$1)</f>
        <v/>
      </c>
      <c r="S74" s="142">
        <f>SUMIFS(領用表!$L:$L,領用表!$E:$E,$B74,領用表!$B:$B,S$2&amp;$R$1)</f>
        <v/>
      </c>
      <c r="T74" s="142">
        <f>SUMIFS(領用表!$L:$L,領用表!$E:$E,$B74,領用表!$B:$B,T$2&amp;$R$1)</f>
        <v/>
      </c>
      <c r="U74" s="142">
        <f>SUMIFS(領用表!$L:$L,領用表!$E:$E,$B74,領用表!$B:$B,U$2&amp;$R$1)</f>
        <v/>
      </c>
      <c r="V74" s="142">
        <f>SUMIFS(領用表!$L:$L,領用表!$E:$E,$B74,領用表!$B:$B,V$2&amp;$R$1)</f>
        <v/>
      </c>
      <c r="W74" s="142" t="n"/>
      <c r="X74" s="142">
        <f>SUMIFS(領用表!$L:$L,領用表!$E:$E,$B74,領用表!$B:$B,X$2&amp;$R$1)</f>
        <v/>
      </c>
      <c r="Y74" s="142">
        <f>SUMIFS(領用表!$L:$L,領用表!$E:$E,$B74,領用表!$B:$B,Y$2&amp;$R$1)</f>
        <v/>
      </c>
      <c r="Z74" s="142">
        <f>SUMIFS(領用表!$L:$L,領用表!$E:$E,$B74,領用表!$B:$B,Z$2&amp;$R$1)</f>
        <v/>
      </c>
      <c r="AA74" s="142">
        <f>SUMIFS(領用表!$L:$L,領用表!$E:$E,$B74,領用表!$B:$B,AA$2&amp;$R$1)</f>
        <v/>
      </c>
      <c r="AB74" s="142">
        <f>SUMIFS(領用表!$L:$L,領用表!$E:$E,$B74,領用表!$B:$B,AB$2&amp;$R$1)</f>
        <v/>
      </c>
      <c r="AC74" s="142">
        <f>SUMIFS(領用表!$L:$L,領用表!$E:$E,$B74,領用表!$B:$B,AC$2&amp;$R$1)</f>
        <v/>
      </c>
      <c r="AD74" s="142">
        <f>SUM(R74,S74,T74,U74,V74,W74)</f>
        <v/>
      </c>
      <c r="AE74" s="142">
        <f>AVERAGE(R74,S74,T74,U74,V74,W74)</f>
        <v/>
      </c>
      <c r="AF74" s="142">
        <f>SUMIF(Summary!B:B,B74,Summary!EB:EB)</f>
        <v/>
      </c>
      <c r="AG74" s="107" t="n">
        <v>0</v>
      </c>
      <c r="AH74" s="24" t="n"/>
      <c r="AI74" s="65" t="n"/>
      <c r="AJ74" s="65" t="n"/>
      <c r="AK74" s="58" t="n"/>
      <c r="AL74" s="28" t="n"/>
      <c r="AM74" s="14" t="n"/>
      <c r="AN74" s="29" t="n"/>
    </row>
    <row r="75" ht="15.75" customHeight="1" s="453">
      <c r="A75" s="27" t="inlineStr">
        <is>
          <t>MB3ME100001A</t>
        </is>
      </c>
      <c r="B75" s="14" t="n">
        <v>6140001</v>
      </c>
      <c r="C75" s="118" t="inlineStr">
        <is>
          <t>保妥適Botox 100u/ vial  (因稀釋手法會有些許差異)</t>
        </is>
      </c>
      <c r="D75" s="67" t="n">
        <v>100</v>
      </c>
      <c r="E75" s="17" t="inlineStr">
        <is>
          <t>U</t>
        </is>
      </c>
      <c r="F75" s="18" t="n"/>
      <c r="G75" s="18">
        <f>D75*(58)+45</f>
        <v/>
      </c>
      <c r="H75" s="68">
        <f>SUM(#REF!)</f>
        <v/>
      </c>
      <c r="I75" s="26">
        <f>H75/12</f>
        <v/>
      </c>
      <c r="J75" s="20">
        <f>SUMIFS(領用表!$L:$L,領用表!$E:$E,$B75,領用表!$B:$B,J$2&amp;$R$1)</f>
        <v/>
      </c>
      <c r="K75" s="20">
        <f>SUMIFS(領用表!$L:$L,領用表!$E:$E,$B75,領用表!$B:$B,K$2&amp;$R$1)</f>
        <v/>
      </c>
      <c r="L75" s="20">
        <f>SUMIFS(領用表!$L:$L,領用表!$E:$E,$B75,領用表!$B:$B,L$2&amp;$R$1)</f>
        <v/>
      </c>
      <c r="M75" s="142">
        <f>SUMIFS(領用表!$L:$L,領用表!$E:$E,$B75,領用表!$B:$B,M$2&amp;$R$1)</f>
        <v/>
      </c>
      <c r="N75" s="142">
        <f>SUMIFS(領用表!$L:$L,領用表!$E:$E,$B75,領用表!$B:$B,N$2&amp;$R$1)</f>
        <v/>
      </c>
      <c r="O75" s="142">
        <f>SUMIFS(領用表!$L:$L,領用表!$E:$E,$B75,領用表!$B:$B,O$2&amp;$R$1)</f>
        <v/>
      </c>
      <c r="P75" s="23">
        <f>SUM(,J75,K75,L75,M75,N75,O75)</f>
        <v/>
      </c>
      <c r="Q75" s="23">
        <f>AVERAGE(,J75,K75,L75,M75,N75,O75)</f>
        <v/>
      </c>
      <c r="R75" s="142">
        <f>SUMIFS(領用表!$L:$L,領用表!$E:$E,$B75,領用表!$B:$B,R$2&amp;$R$1)</f>
        <v/>
      </c>
      <c r="S75" s="142">
        <f>SUMIFS(領用表!$L:$L,領用表!$E:$E,$B75,領用表!$B:$B,S$2&amp;$R$1)</f>
        <v/>
      </c>
      <c r="T75" s="142">
        <f>SUMIFS(領用表!$L:$L,領用表!$E:$E,$B75,領用表!$B:$B,T$2&amp;$R$1)</f>
        <v/>
      </c>
      <c r="U75" s="142">
        <f>SUMIFS(領用表!$L:$L,領用表!$E:$E,$B75,領用表!$B:$B,U$2&amp;$R$1)</f>
        <v/>
      </c>
      <c r="V75" s="142">
        <f>SUMIFS(領用表!$L:$L,領用表!$E:$E,$B75,領用表!$B:$B,V$2&amp;$R$1)</f>
        <v/>
      </c>
      <c r="W75" s="142" t="n">
        <v>1893</v>
      </c>
      <c r="X75" s="142">
        <f>SUMIFS(領用表!$L:$L,領用表!$E:$E,$B75,領用表!$B:$B,X$2&amp;$R$1)</f>
        <v/>
      </c>
      <c r="Y75" s="142">
        <f>SUMIFS(領用表!$L:$L,領用表!$E:$E,$B75,領用表!$B:$B,Y$2&amp;$R$1)</f>
        <v/>
      </c>
      <c r="Z75" s="142">
        <f>SUMIFS(領用表!$L:$L,領用表!$E:$E,$B75,領用表!$B:$B,Z$2&amp;$R$1)</f>
        <v/>
      </c>
      <c r="AA75" s="142">
        <f>SUMIFS(領用表!$L:$L,領用表!$E:$E,$B75,領用表!$B:$B,AA$2&amp;$R$1)</f>
        <v/>
      </c>
      <c r="AB75" s="142">
        <f>SUMIFS(領用表!$L:$L,領用表!$E:$E,$B75,領用表!$B:$B,AB$2&amp;$R$1)</f>
        <v/>
      </c>
      <c r="AC75" s="142">
        <f>SUMIFS(領用表!$L:$L,領用表!$E:$E,$B75,領用表!$B:$B,AC$2&amp;$R$1)</f>
        <v/>
      </c>
      <c r="AD75" s="142">
        <f>SUM(R75,S75,T75,U75,V75,W75)</f>
        <v/>
      </c>
      <c r="AE75" s="142">
        <f>AVERAGE(R75,S75,T75,U75,V75,W75)</f>
        <v/>
      </c>
      <c r="AF75" s="142">
        <f>SUMIF(Summary!B:B,B75,Summary!EB:EB)</f>
        <v/>
      </c>
      <c r="AG75" s="108" t="n">
        <v>2200</v>
      </c>
      <c r="AH75" s="65" t="n"/>
      <c r="AI75" s="65" t="inlineStr">
        <is>
          <t>3500-10/28</t>
        </is>
      </c>
      <c r="AJ75" s="65" t="inlineStr">
        <is>
          <t>1000-10/28</t>
        </is>
      </c>
      <c r="AK75" s="27" t="n"/>
      <c r="AL75" s="69" t="n"/>
      <c r="AM75" s="14" t="n"/>
      <c r="AN75" s="29" t="n"/>
    </row>
    <row r="76" ht="15.75" customHeight="1" s="453">
      <c r="A76" s="27" t="inlineStr">
        <is>
          <t>MB3ME100002A</t>
        </is>
      </c>
      <c r="B76" s="14" t="n">
        <v>6140003</v>
      </c>
      <c r="C76" s="118" t="inlineStr">
        <is>
          <t>保提拉凍晶注射劑Letybo 200u/ vial</t>
        </is>
      </c>
      <c r="D76" s="67" t="n">
        <v>200</v>
      </c>
      <c r="E76" s="17" t="inlineStr">
        <is>
          <t>U</t>
        </is>
      </c>
      <c r="F76" s="18" t="n"/>
      <c r="G76" s="18">
        <f>(D76*52)+51</f>
        <v/>
      </c>
      <c r="H76" s="68">
        <f>SUM(#REF!)</f>
        <v/>
      </c>
      <c r="I76" s="26">
        <f>H76/12</f>
        <v/>
      </c>
      <c r="J76" s="20">
        <f>SUMIFS(領用表!$L:$L,領用表!$E:$E,$B76,領用表!$B:$B,J$2&amp;$R$1)</f>
        <v/>
      </c>
      <c r="K76" s="20">
        <f>SUMIFS(領用表!$L:$L,領用表!$E:$E,$B76,領用表!$B:$B,K$2&amp;$R$1)</f>
        <v/>
      </c>
      <c r="L76" s="20">
        <f>SUMIFS(領用表!$L:$L,領用表!$E:$E,$B76,領用表!$B:$B,L$2&amp;$R$1)</f>
        <v/>
      </c>
      <c r="M76" s="142">
        <f>SUMIFS(領用表!$L:$L,領用表!$E:$E,$B76,領用表!$B:$B,M$2&amp;$R$1)</f>
        <v/>
      </c>
      <c r="N76" s="142">
        <f>SUMIFS(領用表!$L:$L,領用表!$E:$E,$B76,領用表!$B:$B,N$2&amp;$R$1)</f>
        <v/>
      </c>
      <c r="O76" s="142">
        <f>SUMIFS(領用表!$L:$L,領用表!$E:$E,$B76,領用表!$B:$B,O$2&amp;$R$1)</f>
        <v/>
      </c>
      <c r="P76" s="23">
        <f>SUM(,J76,K76,L76,M76,N76,O76)</f>
        <v/>
      </c>
      <c r="Q76" s="23">
        <f>AVERAGE(,J76,K76,L76,M76,N76,O76)</f>
        <v/>
      </c>
      <c r="R76" s="142">
        <f>SUMIFS(領用表!$L:$L,領用表!$E:$E,$B76,領用表!$B:$B,R$2&amp;$R$1)</f>
        <v/>
      </c>
      <c r="S76" s="142">
        <f>SUMIFS(領用表!$L:$L,領用表!$E:$E,$B76,領用表!$B:$B,S$2&amp;$R$1)</f>
        <v/>
      </c>
      <c r="T76" s="142">
        <f>SUMIFS(領用表!$L:$L,領用表!$E:$E,$B76,領用表!$B:$B,T$2&amp;$R$1)</f>
        <v/>
      </c>
      <c r="U76" s="142">
        <f>SUMIFS(領用表!$L:$L,領用表!$E:$E,$B76,領用表!$B:$B,U$2&amp;$R$1)</f>
        <v/>
      </c>
      <c r="V76" s="142">
        <f>SUMIFS(領用表!$L:$L,領用表!$E:$E,$B76,領用表!$B:$B,V$2&amp;$R$1)</f>
        <v/>
      </c>
      <c r="W76" s="142" t="n">
        <v>2746</v>
      </c>
      <c r="X76" s="142">
        <f>SUMIFS(領用表!$L:$L,領用表!$E:$E,$B76,領用表!$B:$B,X$2&amp;$R$1)</f>
        <v/>
      </c>
      <c r="Y76" s="142">
        <f>SUMIFS(領用表!$L:$L,領用表!$E:$E,$B76,領用表!$B:$B,Y$2&amp;$R$1)</f>
        <v/>
      </c>
      <c r="Z76" s="142">
        <f>SUMIFS(領用表!$L:$L,領用表!$E:$E,$B76,領用表!$B:$B,Z$2&amp;$R$1)</f>
        <v/>
      </c>
      <c r="AA76" s="142">
        <f>SUMIFS(領用表!$L:$L,領用表!$E:$E,$B76,領用表!$B:$B,AA$2&amp;$R$1)</f>
        <v/>
      </c>
      <c r="AB76" s="142">
        <f>SUMIFS(領用表!$L:$L,領用表!$E:$E,$B76,領用表!$B:$B,AB$2&amp;$R$1)</f>
        <v/>
      </c>
      <c r="AC76" s="142">
        <f>SUMIFS(領用表!$L:$L,領用表!$E:$E,$B76,領用表!$B:$B,AC$2&amp;$R$1)</f>
        <v/>
      </c>
      <c r="AD76" s="142">
        <f>SUM(R76,S76,T76,U76,V76,W76)</f>
        <v/>
      </c>
      <c r="AE76" s="142">
        <f>AVERAGE(R76,S76,T76,U76,V76,W76)</f>
        <v/>
      </c>
      <c r="AF76" s="142">
        <f>SUMIF(Summary!B:B,B76,Summary!EB:EB)</f>
        <v/>
      </c>
      <c r="AG76" s="108" t="n">
        <v>5000</v>
      </c>
      <c r="AH76" s="65" t="n"/>
      <c r="AI76" s="65" t="inlineStr">
        <is>
          <t>4000-10/22</t>
        </is>
      </c>
      <c r="AJ76" s="65" t="n"/>
      <c r="AK76" s="27" t="n"/>
      <c r="AL76" s="69" t="n"/>
      <c r="AM76" s="14" t="n"/>
      <c r="AN76" s="29" t="n"/>
    </row>
    <row r="77" ht="15.75" customHeight="1" s="453">
      <c r="A77" s="27" t="inlineStr">
        <is>
          <t>MB3ME100003A</t>
        </is>
      </c>
      <c r="B77" s="14" t="n">
        <v>6140005</v>
      </c>
      <c r="C77" s="118" t="inlineStr">
        <is>
          <t>奇肌肉毒 200u/ vial  (因稀釋手法會有些許差異)</t>
        </is>
      </c>
      <c r="D77" s="67" t="n">
        <v>200</v>
      </c>
      <c r="E77" s="17" t="inlineStr">
        <is>
          <t>U</t>
        </is>
      </c>
      <c r="F77" s="18" t="n"/>
      <c r="G77" s="18">
        <f>D77*(30)+104</f>
        <v/>
      </c>
      <c r="H77" s="68">
        <f>SUM(#REF!)</f>
        <v/>
      </c>
      <c r="I77" s="26">
        <f>H77/12</f>
        <v/>
      </c>
      <c r="J77" s="20">
        <f>SUMIFS(領用表!$L:$L,領用表!$E:$E,$B77,領用表!$B:$B,J$2&amp;$R$1)</f>
        <v/>
      </c>
      <c r="K77" s="20">
        <f>SUMIFS(領用表!$L:$L,領用表!$E:$E,$B77,領用表!$B:$B,K$2&amp;$R$1)</f>
        <v/>
      </c>
      <c r="L77" s="20">
        <f>SUMIFS(領用表!$L:$L,領用表!$E:$E,$B77,領用表!$B:$B,L$2&amp;$R$1)</f>
        <v/>
      </c>
      <c r="M77" s="142">
        <f>SUMIFS(領用表!$L:$L,領用表!$E:$E,$B77,領用表!$B:$B,M$2&amp;$R$1)</f>
        <v/>
      </c>
      <c r="N77" s="142">
        <f>SUMIFS(領用表!$L:$L,領用表!$E:$E,$B77,領用表!$B:$B,N$2&amp;$R$1)</f>
        <v/>
      </c>
      <c r="O77" s="142">
        <f>SUMIFS(領用表!$L:$L,領用表!$E:$E,$B77,領用表!$B:$B,O$2&amp;$R$1)</f>
        <v/>
      </c>
      <c r="P77" s="23">
        <f>SUM(,J77,K77,L77,M77,N77,O77)</f>
        <v/>
      </c>
      <c r="Q77" s="23">
        <f>AVERAGE(,J77,K77,L77,M77,N77,O77)</f>
        <v/>
      </c>
      <c r="R77" s="142">
        <f>SUMIFS(領用表!$L:$L,領用表!$E:$E,$B77,領用表!$B:$B,R$2&amp;$R$1)</f>
        <v/>
      </c>
      <c r="S77" s="142">
        <f>SUMIFS(領用表!$L:$L,領用表!$E:$E,$B77,領用表!$B:$B,S$2&amp;$R$1)</f>
        <v/>
      </c>
      <c r="T77" s="142">
        <f>SUMIFS(領用表!$L:$L,領用表!$E:$E,$B77,領用表!$B:$B,T$2&amp;$R$1)</f>
        <v/>
      </c>
      <c r="U77" s="142">
        <f>SUMIFS(領用表!$L:$L,領用表!$E:$E,$B77,領用表!$B:$B,U$2&amp;$R$1)</f>
        <v/>
      </c>
      <c r="V77" s="142">
        <f>SUMIFS(領用表!$L:$L,領用表!$E:$E,$B77,領用表!$B:$B,V$2&amp;$R$1)</f>
        <v/>
      </c>
      <c r="W77" s="142" t="n">
        <v>1044</v>
      </c>
      <c r="X77" s="142">
        <f>SUMIFS(領用表!$L:$L,領用表!$E:$E,$B77,領用表!$B:$B,X$2&amp;$R$1)</f>
        <v/>
      </c>
      <c r="Y77" s="142">
        <f>SUMIFS(領用表!$L:$L,領用表!$E:$E,$B77,領用表!$B:$B,Y$2&amp;$R$1)</f>
        <v/>
      </c>
      <c r="Z77" s="142">
        <f>SUMIFS(領用表!$L:$L,領用表!$E:$E,$B77,領用表!$B:$B,Z$2&amp;$R$1)</f>
        <v/>
      </c>
      <c r="AA77" s="142">
        <f>SUMIFS(領用表!$L:$L,領用表!$E:$E,$B77,領用表!$B:$B,AA$2&amp;$R$1)</f>
        <v/>
      </c>
      <c r="AB77" s="142">
        <f>SUMIFS(領用表!$L:$L,領用表!$E:$E,$B77,領用表!$B:$B,AB$2&amp;$R$1)</f>
        <v/>
      </c>
      <c r="AC77" s="142">
        <f>SUMIFS(領用表!$L:$L,領用表!$E:$E,$B77,領用表!$B:$B,AC$2&amp;$R$1)</f>
        <v/>
      </c>
      <c r="AD77" s="142">
        <f>SUM(R77,S77,T77,U77,V77,W77)</f>
        <v/>
      </c>
      <c r="AE77" s="142">
        <f>AVERAGE(R77,S77,T77,U77,V77,W77)</f>
        <v/>
      </c>
      <c r="AF77" s="142">
        <f>SUMIF(Summary!B:B,B77,Summary!EB:EB)</f>
        <v/>
      </c>
      <c r="AG77" s="108" t="n">
        <v>2200</v>
      </c>
      <c r="AH77" s="65" t="n"/>
      <c r="AI77" s="65" t="n"/>
      <c r="AJ77" s="65" t="n"/>
      <c r="AK77" s="27" t="n"/>
      <c r="AL77" s="69" t="n"/>
      <c r="AM77" s="14" t="n"/>
      <c r="AN77" s="29" t="n"/>
    </row>
    <row r="78" ht="15.75" customHeight="1" s="453">
      <c r="A78" s="27" t="inlineStr">
        <is>
          <t>MB3ME090001A</t>
        </is>
      </c>
      <c r="B78" s="14" t="n">
        <v>6120001</v>
      </c>
      <c r="C78" s="118" t="inlineStr">
        <is>
          <t>肝得健(20入)</t>
        </is>
      </c>
      <c r="D78" s="67" t="n">
        <v>20</v>
      </c>
      <c r="E78" s="17" t="inlineStr">
        <is>
          <t>PCS</t>
        </is>
      </c>
      <c r="F78" s="18" t="n"/>
      <c r="G78" s="18" t="n"/>
      <c r="H78" s="68">
        <f>SUM(#REF!)</f>
        <v/>
      </c>
      <c r="I78" s="26">
        <f>H78/12</f>
        <v/>
      </c>
      <c r="J78" s="20">
        <f>SUMIFS(領用表!$L:$L,領用表!$E:$E,$B78,領用表!$B:$B,J$2&amp;$R$1)</f>
        <v/>
      </c>
      <c r="K78" s="20">
        <f>SUMIFS(領用表!$L:$L,領用表!$E:$E,$B78,領用表!$B:$B,K$2&amp;$R$1)</f>
        <v/>
      </c>
      <c r="L78" s="20">
        <f>SUMIFS(領用表!$L:$L,領用表!$E:$E,$B78,領用表!$B:$B,L$2&amp;$R$1)</f>
        <v/>
      </c>
      <c r="M78" s="142">
        <f>SUMIFS(領用表!$L:$L,領用表!$E:$E,$B78,領用表!$B:$B,M$2&amp;$R$1)</f>
        <v/>
      </c>
      <c r="N78" s="142">
        <f>SUMIFS(領用表!$L:$L,領用表!$E:$E,$B78,領用表!$B:$B,N$2&amp;$R$1)</f>
        <v/>
      </c>
      <c r="O78" s="142">
        <f>SUMIFS(領用表!$L:$L,領用表!$E:$E,$B78,領用表!$B:$B,O$2&amp;$R$1)</f>
        <v/>
      </c>
      <c r="P78" s="23">
        <f>SUM(,J78,K78,L78,M78,N78,O78)</f>
        <v/>
      </c>
      <c r="Q78" s="23">
        <f>AVERAGE(,J78,K78,L78,M78,N78,O78)</f>
        <v/>
      </c>
      <c r="R78" s="142">
        <f>SUMIFS(領用表!$L:$L,領用表!$E:$E,$B78,領用表!$B:$B,R$2&amp;$R$1)</f>
        <v/>
      </c>
      <c r="S78" s="142">
        <f>SUMIFS(領用表!$L:$L,領用表!$E:$E,$B78,領用表!$B:$B,S$2&amp;$R$1)</f>
        <v/>
      </c>
      <c r="T78" s="142">
        <f>SUMIFS(領用表!$L:$L,領用表!$E:$E,$B78,領用表!$B:$B,T$2&amp;$R$1)</f>
        <v/>
      </c>
      <c r="U78" s="142">
        <f>SUMIFS(領用表!$L:$L,領用表!$E:$E,$B78,領用表!$B:$B,U$2&amp;$R$1)</f>
        <v/>
      </c>
      <c r="V78" s="142">
        <f>SUMIFS(領用表!$L:$L,領用表!$E:$E,$B78,領用表!$B:$B,V$2&amp;$R$1)</f>
        <v/>
      </c>
      <c r="W78" s="142" t="n"/>
      <c r="X78" s="142">
        <f>SUMIFS(領用表!$L:$L,領用表!$E:$E,$B78,領用表!$B:$B,X$2&amp;$R$1)</f>
        <v/>
      </c>
      <c r="Y78" s="142">
        <f>SUMIFS(領用表!$L:$L,領用表!$E:$E,$B78,領用表!$B:$B,Y$2&amp;$R$1)</f>
        <v/>
      </c>
      <c r="Z78" s="142">
        <f>SUMIFS(領用表!$L:$L,領用表!$E:$E,$B78,領用表!$B:$B,Z$2&amp;$R$1)</f>
        <v/>
      </c>
      <c r="AA78" s="142">
        <f>SUMIFS(領用表!$L:$L,領用表!$E:$E,$B78,領用表!$B:$B,AA$2&amp;$R$1)</f>
        <v/>
      </c>
      <c r="AB78" s="142">
        <f>SUMIFS(領用表!$L:$L,領用表!$E:$E,$B78,領用表!$B:$B,AB$2&amp;$R$1)</f>
        <v/>
      </c>
      <c r="AC78" s="142">
        <f>SUMIFS(領用表!$L:$L,領用表!$E:$E,$B78,領用表!$B:$B,AC$2&amp;$R$1)</f>
        <v/>
      </c>
      <c r="AD78" s="142">
        <f>SUM(R78,S78,T78,U78,V78,W78)</f>
        <v/>
      </c>
      <c r="AE78" s="142">
        <f>AVERAGE(R78,S78,T78,U78,V78,W78)</f>
        <v/>
      </c>
      <c r="AF78" s="142">
        <f>SUMIF(Summary!B:B,B78,Summary!EB:EB)</f>
        <v/>
      </c>
      <c r="AG78" s="108" t="n">
        <v>180</v>
      </c>
      <c r="AH78" s="65" t="n"/>
      <c r="AI78" s="65" t="inlineStr">
        <is>
          <t>440-10/22</t>
        </is>
      </c>
      <c r="AJ78" s="65" t="inlineStr">
        <is>
          <t>220-10/22</t>
        </is>
      </c>
      <c r="AK78" s="27" t="n"/>
      <c r="AL78" s="69" t="n"/>
      <c r="AM78" s="14" t="n"/>
      <c r="AN78" s="29" t="n"/>
    </row>
    <row r="79" ht="15.75" customHeight="1" s="453">
      <c r="A79" s="27" t="inlineStr">
        <is>
          <t>MB3ME090002A</t>
        </is>
      </c>
      <c r="B79" s="14" t="n">
        <v>6120002</v>
      </c>
      <c r="C79" s="118" t="inlineStr">
        <is>
          <t>卡尼丁(20入)</t>
        </is>
      </c>
      <c r="D79" s="67" t="n">
        <v>20</v>
      </c>
      <c r="E79" s="17" t="inlineStr">
        <is>
          <t>PCS</t>
        </is>
      </c>
      <c r="F79" s="18" t="n"/>
      <c r="G79" s="18" t="n"/>
      <c r="H79" s="68">
        <f>SUM(#REF!)</f>
        <v/>
      </c>
      <c r="I79" s="26">
        <f>H79/12</f>
        <v/>
      </c>
      <c r="J79" s="20">
        <f>SUMIFS(領用表!$L:$L,領用表!$E:$E,$B79,領用表!$B:$B,J$2&amp;$R$1)</f>
        <v/>
      </c>
      <c r="K79" s="20">
        <f>SUMIFS(領用表!$L:$L,領用表!$E:$E,$B79,領用表!$B:$B,K$2&amp;$R$1)</f>
        <v/>
      </c>
      <c r="L79" s="20">
        <f>SUMIFS(領用表!$L:$L,領用表!$E:$E,$B79,領用表!$B:$B,L$2&amp;$R$1)</f>
        <v/>
      </c>
      <c r="M79" s="142">
        <f>SUMIFS(領用表!$L:$L,領用表!$E:$E,$B79,領用表!$B:$B,M$2&amp;$R$1)</f>
        <v/>
      </c>
      <c r="N79" s="142">
        <f>SUMIFS(領用表!$L:$L,領用表!$E:$E,$B79,領用表!$B:$B,N$2&amp;$R$1)</f>
        <v/>
      </c>
      <c r="O79" s="142">
        <f>SUMIFS(領用表!$L:$L,領用表!$E:$E,$B79,領用表!$B:$B,O$2&amp;$R$1)</f>
        <v/>
      </c>
      <c r="P79" s="23">
        <f>SUM(,J79,K79,L79,M79,N79,O79)</f>
        <v/>
      </c>
      <c r="Q79" s="23">
        <f>AVERAGE(,J79,K79,L79,M79,N79,O79)</f>
        <v/>
      </c>
      <c r="R79" s="142">
        <f>SUMIFS(領用表!$L:$L,領用表!$E:$E,$B79,領用表!$B:$B,R$2&amp;$R$1)</f>
        <v/>
      </c>
      <c r="S79" s="142">
        <f>SUMIFS(領用表!$L:$L,領用表!$E:$E,$B79,領用表!$B:$B,S$2&amp;$R$1)</f>
        <v/>
      </c>
      <c r="T79" s="142">
        <f>SUMIFS(領用表!$L:$L,領用表!$E:$E,$B79,領用表!$B:$B,T$2&amp;$R$1)</f>
        <v/>
      </c>
      <c r="U79" s="142">
        <f>SUMIFS(領用表!$L:$L,領用表!$E:$E,$B79,領用表!$B:$B,U$2&amp;$R$1)</f>
        <v/>
      </c>
      <c r="V79" s="142">
        <f>SUMIFS(領用表!$L:$L,領用表!$E:$E,$B79,領用表!$B:$B,V$2&amp;$R$1)</f>
        <v/>
      </c>
      <c r="W79" s="142" t="n"/>
      <c r="X79" s="142">
        <f>SUMIFS(領用表!$L:$L,領用表!$E:$E,$B79,領用表!$B:$B,X$2&amp;$R$1)</f>
        <v/>
      </c>
      <c r="Y79" s="142">
        <f>SUMIFS(領用表!$L:$L,領用表!$E:$E,$B79,領用表!$B:$B,Y$2&amp;$R$1)</f>
        <v/>
      </c>
      <c r="Z79" s="142">
        <f>SUMIFS(領用表!$L:$L,領用表!$E:$E,$B79,領用表!$B:$B,Z$2&amp;$R$1)</f>
        <v/>
      </c>
      <c r="AA79" s="142">
        <f>SUMIFS(領用表!$L:$L,領用表!$E:$E,$B79,領用表!$B:$B,AA$2&amp;$R$1)</f>
        <v/>
      </c>
      <c r="AB79" s="142">
        <f>SUMIFS(領用表!$L:$L,領用表!$E:$E,$B79,領用表!$B:$B,AB$2&amp;$R$1)</f>
        <v/>
      </c>
      <c r="AC79" s="142">
        <f>SUMIFS(領用表!$L:$L,領用表!$E:$E,$B79,領用表!$B:$B,AC$2&amp;$R$1)</f>
        <v/>
      </c>
      <c r="AD79" s="142">
        <f>SUM(R79,S79,T79,U79,V79,W79)</f>
        <v/>
      </c>
      <c r="AE79" s="142">
        <f>AVERAGE(R79,S79,T79,U79,V79,W79)</f>
        <v/>
      </c>
      <c r="AF79" s="142">
        <f>SUMIF(Summary!B:B,B79,Summary!EB:EB)</f>
        <v/>
      </c>
      <c r="AG79" s="108" t="n">
        <v>230</v>
      </c>
      <c r="AH79" s="65" t="n"/>
      <c r="AI79" s="65" t="inlineStr">
        <is>
          <t>440-10/22</t>
        </is>
      </c>
      <c r="AJ79" s="65" t="inlineStr">
        <is>
          <t>660-10/22</t>
        </is>
      </c>
      <c r="AK79" s="27" t="n"/>
      <c r="AL79" s="69" t="n"/>
      <c r="AM79" s="14" t="n"/>
      <c r="AN79" s="29" t="n"/>
    </row>
    <row r="80" ht="15.75" customHeight="1" s="453">
      <c r="A80" s="27" t="inlineStr">
        <is>
          <t>MB3ME090003A</t>
        </is>
      </c>
      <c r="B80" s="14" t="n">
        <v>6120003</v>
      </c>
      <c r="C80" s="14" t="inlineStr">
        <is>
          <t>貝力多(雙胜胺) 20% 30mL/ 瓶</t>
        </is>
      </c>
      <c r="D80" s="67" t="n">
        <v>10</v>
      </c>
      <c r="E80" s="17" t="inlineStr">
        <is>
          <t>PCS</t>
        </is>
      </c>
      <c r="F80" s="18" t="n"/>
      <c r="G80" s="18" t="n">
        <v>23</v>
      </c>
      <c r="H80" s="68">
        <f>SUM(#REF!)</f>
        <v/>
      </c>
      <c r="I80" s="26">
        <f>H80/12</f>
        <v/>
      </c>
      <c r="J80" s="20">
        <f>SUMIFS(領用表!$L:$L,領用表!$E:$E,$B80,領用表!$B:$B,J$2&amp;$R$1)</f>
        <v/>
      </c>
      <c r="K80" s="20">
        <f>SUMIFS(領用表!$L:$L,領用表!$E:$E,$B80,領用表!$B:$B,K$2&amp;$R$1)</f>
        <v/>
      </c>
      <c r="L80" s="20">
        <f>SUMIFS(領用表!$L:$L,領用表!$E:$E,$B80,領用表!$B:$B,L$2&amp;$R$1)</f>
        <v/>
      </c>
      <c r="M80" s="142">
        <f>SUMIFS(領用表!$L:$L,領用表!$E:$E,$B80,領用表!$B:$B,M$2&amp;$R$1)</f>
        <v/>
      </c>
      <c r="N80" s="142">
        <f>SUMIFS(領用表!$L:$L,領用表!$E:$E,$B80,領用表!$B:$B,N$2&amp;$R$1)</f>
        <v/>
      </c>
      <c r="O80" s="142">
        <f>SUMIFS(領用表!$L:$L,領用表!$E:$E,$B80,領用表!$B:$B,O$2&amp;$R$1)</f>
        <v/>
      </c>
      <c r="P80" s="23">
        <f>SUM(,J80,K80,L80,M80,N80,O80)</f>
        <v/>
      </c>
      <c r="Q80" s="23">
        <f>AVERAGE(,J80,K80,L80,M80,N80,O80)</f>
        <v/>
      </c>
      <c r="R80" s="142">
        <f>SUMIFS(領用表!$L:$L,領用表!$E:$E,$B80,領用表!$B:$B,R$2&amp;$R$1)</f>
        <v/>
      </c>
      <c r="S80" s="142">
        <f>SUMIFS(領用表!$L:$L,領用表!$E:$E,$B80,領用表!$B:$B,S$2&amp;$R$1)</f>
        <v/>
      </c>
      <c r="T80" s="142">
        <f>SUMIFS(領用表!$L:$L,領用表!$E:$E,$B80,領用表!$B:$B,T$2&amp;$R$1)</f>
        <v/>
      </c>
      <c r="U80" s="142">
        <f>SUMIFS(領用表!$L:$L,領用表!$E:$E,$B80,領用表!$B:$B,U$2&amp;$R$1)</f>
        <v/>
      </c>
      <c r="V80" s="142">
        <f>SUMIFS(領用表!$L:$L,領用表!$E:$E,$B80,領用表!$B:$B,V$2&amp;$R$1)</f>
        <v/>
      </c>
      <c r="W80" s="142" t="n"/>
      <c r="X80" s="142">
        <f>SUMIFS(領用表!$L:$L,領用表!$E:$E,$B80,領用表!$B:$B,X$2&amp;$R$1)</f>
        <v/>
      </c>
      <c r="Y80" s="142">
        <f>SUMIFS(領用表!$L:$L,領用表!$E:$E,$B80,領用表!$B:$B,Y$2&amp;$R$1)</f>
        <v/>
      </c>
      <c r="Z80" s="142">
        <f>SUMIFS(領用表!$L:$L,領用表!$E:$E,$B80,領用表!$B:$B,Z$2&amp;$R$1)</f>
        <v/>
      </c>
      <c r="AA80" s="142">
        <f>SUMIFS(領用表!$L:$L,領用表!$E:$E,$B80,領用表!$B:$B,AA$2&amp;$R$1)</f>
        <v/>
      </c>
      <c r="AB80" s="142">
        <f>SUMIFS(領用表!$L:$L,領用表!$E:$E,$B80,領用表!$B:$B,AB$2&amp;$R$1)</f>
        <v/>
      </c>
      <c r="AC80" s="142">
        <f>SUMIFS(領用表!$L:$L,領用表!$E:$E,$B80,領用表!$B:$B,AC$2&amp;$R$1)</f>
        <v/>
      </c>
      <c r="AD80" s="142">
        <f>SUM(R80,S80,T80,U80,V80,W80)</f>
        <v/>
      </c>
      <c r="AE80" s="142">
        <f>AVERAGE(R80,S80,T80,U80,V80,W80)</f>
        <v/>
      </c>
      <c r="AF80" s="142">
        <f>SUMIF(Summary!B:B,B80,Summary!EB:EB)</f>
        <v/>
      </c>
      <c r="AG80" s="108" t="n">
        <v>0</v>
      </c>
      <c r="AH80" s="65" t="n"/>
      <c r="AI80" s="65" t="n"/>
      <c r="AJ80" s="65" t="n"/>
      <c r="AK80" s="27" t="n"/>
      <c r="AL80" s="69" t="n"/>
      <c r="AM80" s="14" t="n"/>
      <c r="AN80" s="29" t="n"/>
    </row>
    <row r="81" ht="15.75" customHeight="1" s="453">
      <c r="A81" s="27" t="inlineStr">
        <is>
          <t>MB3ME090037A</t>
        </is>
      </c>
      <c r="B81" s="14" t="n">
        <v>6120036</v>
      </c>
      <c r="C81" s="14" t="inlineStr">
        <is>
          <t>貝力多(雙胜胺) 20% 50mL/ 瓶</t>
        </is>
      </c>
      <c r="D81" s="67" t="n">
        <v>10</v>
      </c>
      <c r="E81" s="17" t="inlineStr">
        <is>
          <t>PCS</t>
        </is>
      </c>
      <c r="F81" s="18" t="n"/>
      <c r="G81" s="18" t="n">
        <v>103</v>
      </c>
      <c r="H81" s="68" t="n"/>
      <c r="I81" s="26" t="n"/>
      <c r="J81" s="20">
        <f>SUMIFS(領用表!$L:$L,領用表!$E:$E,$B81,領用表!$B:$B,J$2&amp;$R$1)</f>
        <v/>
      </c>
      <c r="K81" s="20">
        <f>SUMIFS(領用表!$L:$L,領用表!$E:$E,$B81,領用表!$B:$B,K$2&amp;$R$1)</f>
        <v/>
      </c>
      <c r="L81" s="20">
        <f>SUMIFS(領用表!$L:$L,領用表!$E:$E,$B81,領用表!$B:$B,L$2&amp;$R$1)</f>
        <v/>
      </c>
      <c r="M81" s="142">
        <f>SUMIFS(領用表!$L:$L,領用表!$E:$E,$B81,領用表!$B:$B,M$2&amp;$R$1)</f>
        <v/>
      </c>
      <c r="N81" s="142">
        <f>SUMIFS(領用表!$L:$L,領用表!$E:$E,$B81,領用表!$B:$B,N$2&amp;$R$1)</f>
        <v/>
      </c>
      <c r="O81" s="142">
        <f>SUMIFS(領用表!$L:$L,領用表!$E:$E,$B81,領用表!$B:$B,O$2&amp;$R$1)</f>
        <v/>
      </c>
      <c r="P81" s="23">
        <f>SUM(,J81,K81,L81,M81,N81,O81)</f>
        <v/>
      </c>
      <c r="Q81" s="23">
        <f>AVERAGE(,J81,K81,L81,M81,N81,O81)</f>
        <v/>
      </c>
      <c r="R81" s="142">
        <f>SUMIFS(領用表!$L:$L,領用表!$E:$E,$B81,領用表!$B:$B,R$2&amp;$R$1)</f>
        <v/>
      </c>
      <c r="S81" s="142">
        <f>SUMIFS(領用表!$L:$L,領用表!$E:$E,$B81,領用表!$B:$B,S$2&amp;$R$1)</f>
        <v/>
      </c>
      <c r="T81" s="142">
        <f>SUMIFS(領用表!$L:$L,領用表!$E:$E,$B81,領用表!$B:$B,T$2&amp;$R$1)</f>
        <v/>
      </c>
      <c r="U81" s="142">
        <f>SUMIFS(領用表!$L:$L,領用表!$E:$E,$B81,領用表!$B:$B,U$2&amp;$R$1)</f>
        <v/>
      </c>
      <c r="V81" s="142">
        <f>SUMIFS(領用表!$L:$L,領用表!$E:$E,$B81,領用表!$B:$B,V$2&amp;$R$1)</f>
        <v/>
      </c>
      <c r="W81" s="142" t="n">
        <v>13</v>
      </c>
      <c r="X81" s="142">
        <f>SUMIFS(領用表!$L:$L,領用表!$E:$E,$B81,領用表!$B:$B,X$2&amp;$R$1)</f>
        <v/>
      </c>
      <c r="Y81" s="142">
        <f>SUMIFS(領用表!$L:$L,領用表!$E:$E,$B81,領用表!$B:$B,Y$2&amp;$R$1)</f>
        <v/>
      </c>
      <c r="Z81" s="142">
        <f>SUMIFS(領用表!$L:$L,領用表!$E:$E,$B81,領用表!$B:$B,Z$2&amp;$R$1)</f>
        <v/>
      </c>
      <c r="AA81" s="142">
        <f>SUMIFS(領用表!$L:$L,領用表!$E:$E,$B81,領用表!$B:$B,AA$2&amp;$R$1)</f>
        <v/>
      </c>
      <c r="AB81" s="142">
        <f>SUMIFS(領用表!$L:$L,領用表!$E:$E,$B81,領用表!$B:$B,AB$2&amp;$R$1)</f>
        <v/>
      </c>
      <c r="AC81" s="142">
        <f>SUMIFS(領用表!$L:$L,領用表!$E:$E,$B81,領用表!$B:$B,AC$2&amp;$R$1)</f>
        <v/>
      </c>
      <c r="AD81" s="142">
        <f>SUM(R81,S81,T81,U81,V81,W81)</f>
        <v/>
      </c>
      <c r="AE81" s="142">
        <f>AVERAGE(R81,S81,T81,U81,V81,W81)</f>
        <v/>
      </c>
      <c r="AF81" s="142">
        <f>SUMIF(Summary!B:B,B81,Summary!EB:EB)</f>
        <v/>
      </c>
      <c r="AG81" s="108" t="n">
        <v>0</v>
      </c>
      <c r="AH81" s="65" t="n"/>
      <c r="AI81" s="65" t="n"/>
      <c r="AJ81" s="65" t="n"/>
      <c r="AK81" s="27" t="n"/>
      <c r="AL81" s="69" t="n"/>
      <c r="AM81" s="14" t="n"/>
      <c r="AN81" s="29" t="n"/>
    </row>
    <row r="82" ht="15.75" customHeight="1" s="453">
      <c r="A82" s="27" t="inlineStr">
        <is>
          <t>MB3ME090004A</t>
        </is>
      </c>
      <c r="B82" s="14" t="n">
        <v>6200003</v>
      </c>
      <c r="C82" s="14" t="inlineStr">
        <is>
          <t>倍克脂</t>
        </is>
      </c>
      <c r="D82" s="75" t="n">
        <v>1</v>
      </c>
      <c r="E82" s="17" t="inlineStr">
        <is>
          <t>PCS</t>
        </is>
      </c>
      <c r="F82" s="18" t="n"/>
      <c r="G82" s="18" t="n">
        <v>13</v>
      </c>
      <c r="H82" s="68">
        <f>SUM(#REF!)</f>
        <v/>
      </c>
      <c r="I82" s="26">
        <f>H82/12</f>
        <v/>
      </c>
      <c r="J82" s="20">
        <f>SUMIFS(領用表!$L:$L,領用表!$E:$E,$B82,領用表!$B:$B,J$2&amp;$R$1)</f>
        <v/>
      </c>
      <c r="K82" s="20">
        <f>SUMIFS(領用表!$L:$L,領用表!$E:$E,$B82,領用表!$B:$B,K$2&amp;$R$1)</f>
        <v/>
      </c>
      <c r="L82" s="20">
        <f>SUMIFS(領用表!$L:$L,領用表!$E:$E,$B82,領用表!$B:$B,L$2&amp;$R$1)</f>
        <v/>
      </c>
      <c r="M82" s="142">
        <f>SUMIFS(領用表!$L:$L,領用表!$E:$E,$B82,領用表!$B:$B,M$2&amp;$R$1)</f>
        <v/>
      </c>
      <c r="N82" s="142">
        <f>SUMIFS(領用表!$L:$L,領用表!$E:$E,$B82,領用表!$B:$B,N$2&amp;$R$1)</f>
        <v/>
      </c>
      <c r="O82" s="142">
        <f>SUMIFS(領用表!$L:$L,領用表!$E:$E,$B82,領用表!$B:$B,O$2&amp;$R$1)</f>
        <v/>
      </c>
      <c r="P82" s="23">
        <f>SUM(,J82,K82,L82,M82,N82,O82)</f>
        <v/>
      </c>
      <c r="Q82" s="23">
        <f>AVERAGE(,J82,K82,L82,M82,N82,O82)</f>
        <v/>
      </c>
      <c r="R82" s="142">
        <f>SUMIFS(領用表!$L:$L,領用表!$E:$E,$B82,領用表!$B:$B,R$2&amp;$R$1)</f>
        <v/>
      </c>
      <c r="S82" s="142">
        <f>SUMIFS(領用表!$L:$L,領用表!$E:$E,$B82,領用表!$B:$B,S$2&amp;$R$1)</f>
        <v/>
      </c>
      <c r="T82" s="142">
        <f>SUMIFS(領用表!$L:$L,領用表!$E:$E,$B82,領用表!$B:$B,T$2&amp;$R$1)</f>
        <v/>
      </c>
      <c r="U82" s="142">
        <f>SUMIFS(領用表!$L:$L,領用表!$E:$E,$B82,領用表!$B:$B,U$2&amp;$R$1)</f>
        <v/>
      </c>
      <c r="V82" s="142">
        <f>SUMIFS(領用表!$L:$L,領用表!$E:$E,$B82,領用表!$B:$B,V$2&amp;$R$1)</f>
        <v/>
      </c>
      <c r="W82" s="142" t="n">
        <v>3</v>
      </c>
      <c r="X82" s="142">
        <f>SUMIFS(領用表!$L:$L,領用表!$E:$E,$B82,領用表!$B:$B,X$2&amp;$R$1)</f>
        <v/>
      </c>
      <c r="Y82" s="142">
        <f>SUMIFS(領用表!$L:$L,領用表!$E:$E,$B82,領用表!$B:$B,Y$2&amp;$R$1)</f>
        <v/>
      </c>
      <c r="Z82" s="142">
        <f>SUMIFS(領用表!$L:$L,領用表!$E:$E,$B82,領用表!$B:$B,Z$2&amp;$R$1)</f>
        <v/>
      </c>
      <c r="AA82" s="142">
        <f>SUMIFS(領用表!$L:$L,領用表!$E:$E,$B82,領用表!$B:$B,AA$2&amp;$R$1)</f>
        <v/>
      </c>
      <c r="AB82" s="142">
        <f>SUMIFS(領用表!$L:$L,領用表!$E:$E,$B82,領用表!$B:$B,AB$2&amp;$R$1)</f>
        <v/>
      </c>
      <c r="AC82" s="142">
        <f>SUMIFS(領用表!$L:$L,領用表!$E:$E,$B82,領用表!$B:$B,AC$2&amp;$R$1)</f>
        <v/>
      </c>
      <c r="AD82" s="142">
        <f>SUM(R82,S82,T82,U82,V82,W82)</f>
        <v/>
      </c>
      <c r="AE82" s="142">
        <f>AVERAGE(R82,S82,T82,U82,V82,W82)</f>
        <v/>
      </c>
      <c r="AF82" s="142">
        <f>SUMIF(Summary!B:B,B82,Summary!EB:EB)</f>
        <v/>
      </c>
      <c r="AG82" s="108" t="n">
        <v>10</v>
      </c>
      <c r="AH82" s="65" t="n"/>
      <c r="AI82" s="65" t="n"/>
      <c r="AJ82" s="65" t="n"/>
      <c r="AK82" s="27" t="n"/>
      <c r="AL82" s="69" t="n"/>
      <c r="AM82" s="14" t="n"/>
      <c r="AN82" s="29" t="n"/>
    </row>
    <row r="83" ht="15.75" customHeight="1" s="453">
      <c r="A83" s="27" t="inlineStr">
        <is>
          <t>MB3ME090005A</t>
        </is>
      </c>
      <c r="B83" s="14" t="n">
        <v>6200006</v>
      </c>
      <c r="C83" s="136" t="inlineStr">
        <is>
          <t>容脂</t>
        </is>
      </c>
      <c r="D83" s="75" t="n">
        <v>1</v>
      </c>
      <c r="E83" s="17" t="inlineStr">
        <is>
          <t>PCS</t>
        </is>
      </c>
      <c r="F83" s="18" t="n"/>
      <c r="G83" s="18" t="n">
        <v>2</v>
      </c>
      <c r="H83" s="68">
        <f>SUM(#REF!)</f>
        <v/>
      </c>
      <c r="I83" s="26">
        <f>H83/12</f>
        <v/>
      </c>
      <c r="J83" s="20">
        <f>SUMIFS(領用表!$L:$L,領用表!$E:$E,$B83,領用表!$B:$B,J$2&amp;$R$1)</f>
        <v/>
      </c>
      <c r="K83" s="20">
        <f>SUMIFS(領用表!$L:$L,領用表!$E:$E,$B83,領用表!$B:$B,K$2&amp;$R$1)</f>
        <v/>
      </c>
      <c r="L83" s="20">
        <f>SUMIFS(領用表!$L:$L,領用表!$E:$E,$B83,領用表!$B:$B,L$2&amp;$R$1)</f>
        <v/>
      </c>
      <c r="M83" s="142">
        <f>SUMIFS(領用表!$L:$L,領用表!$E:$E,$B83,領用表!$B:$B,M$2&amp;$R$1)</f>
        <v/>
      </c>
      <c r="N83" s="142">
        <f>SUMIFS(領用表!$L:$L,領用表!$E:$E,$B83,領用表!$B:$B,N$2&amp;$R$1)</f>
        <v/>
      </c>
      <c r="O83" s="142">
        <f>SUMIFS(領用表!$L:$L,領用表!$E:$E,$B83,領用表!$B:$B,O$2&amp;$R$1)</f>
        <v/>
      </c>
      <c r="P83" s="23">
        <f>SUM(,J83,K83,L83,M83,N83,O83)</f>
        <v/>
      </c>
      <c r="Q83" s="23">
        <f>AVERAGE(,J83,K83,L83,M83,N83,O83)</f>
        <v/>
      </c>
      <c r="R83" s="142">
        <f>SUMIFS(領用表!$L:$L,領用表!$E:$E,$B83,領用表!$B:$B,R$2&amp;$R$1)</f>
        <v/>
      </c>
      <c r="S83" s="142">
        <f>SUMIFS(領用表!$L:$L,領用表!$E:$E,$B83,領用表!$B:$B,S$2&amp;$R$1)</f>
        <v/>
      </c>
      <c r="T83" s="142">
        <f>SUMIFS(領用表!$L:$L,領用表!$E:$E,$B83,領用表!$B:$B,T$2&amp;$R$1)</f>
        <v/>
      </c>
      <c r="U83" s="142">
        <f>SUMIFS(領用表!$L:$L,領用表!$E:$E,$B83,領用表!$B:$B,U$2&amp;$R$1)</f>
        <v/>
      </c>
      <c r="V83" s="142">
        <f>SUMIFS(領用表!$L:$L,領用表!$E:$E,$B83,領用表!$B:$B,V$2&amp;$R$1)</f>
        <v/>
      </c>
      <c r="W83" s="142" t="n"/>
      <c r="X83" s="142">
        <f>SUMIFS(領用表!$L:$L,領用表!$E:$E,$B83,領用表!$B:$B,X$2&amp;$R$1)</f>
        <v/>
      </c>
      <c r="Y83" s="142">
        <f>SUMIFS(領用表!$L:$L,領用表!$E:$E,$B83,領用表!$B:$B,Y$2&amp;$R$1)</f>
        <v/>
      </c>
      <c r="Z83" s="142">
        <f>SUMIFS(領用表!$L:$L,領用表!$E:$E,$B83,領用表!$B:$B,Z$2&amp;$R$1)</f>
        <v/>
      </c>
      <c r="AA83" s="142">
        <f>SUMIFS(領用表!$L:$L,領用表!$E:$E,$B83,領用表!$B:$B,AA$2&amp;$R$1)</f>
        <v/>
      </c>
      <c r="AB83" s="142">
        <f>SUMIFS(領用表!$L:$L,領用表!$E:$E,$B83,領用表!$B:$B,AB$2&amp;$R$1)</f>
        <v/>
      </c>
      <c r="AC83" s="142">
        <f>SUMIFS(領用表!$L:$L,領用表!$E:$E,$B83,領用表!$B:$B,AC$2&amp;$R$1)</f>
        <v/>
      </c>
      <c r="AD83" s="142">
        <f>SUM(R83,S83,T83,U83,V83,W83)</f>
        <v/>
      </c>
      <c r="AE83" s="142">
        <f>AVERAGE(R83,S83,T83,U83,V83,W83)</f>
        <v/>
      </c>
      <c r="AF83" s="142">
        <f>SUMIF(Summary!B:B,B83,Summary!EB:EB)</f>
        <v/>
      </c>
      <c r="AG83" s="108" t="n">
        <v>5</v>
      </c>
      <c r="AH83" s="65" t="n"/>
      <c r="AI83" s="65" t="n"/>
      <c r="AJ83" s="65" t="n"/>
      <c r="AK83" s="27" t="n"/>
      <c r="AL83" s="27" t="n"/>
      <c r="AM83" s="14" t="n"/>
      <c r="AN83" s="29" t="n"/>
    </row>
    <row r="84" ht="15.75" customHeight="1" s="453">
      <c r="A84" s="27" t="n"/>
      <c r="B84" s="14" t="n">
        <v>6120004</v>
      </c>
      <c r="C84" s="135" t="inlineStr">
        <is>
          <t>安命活源 250ML</t>
        </is>
      </c>
      <c r="D84" s="75" t="n">
        <v>10</v>
      </c>
      <c r="E84" s="17" t="inlineStr">
        <is>
          <t>袋</t>
        </is>
      </c>
      <c r="F84" s="18" t="n"/>
      <c r="G84" s="18" t="n">
        <v>86</v>
      </c>
      <c r="H84" s="68">
        <f>SUM(#REF!)</f>
        <v/>
      </c>
      <c r="I84" s="26">
        <f>H84/12</f>
        <v/>
      </c>
      <c r="J84" s="20">
        <f>SUMIFS(領用表!$L:$L,領用表!$E:$E,$B84,領用表!$B:$B,J$2&amp;$R$1)</f>
        <v/>
      </c>
      <c r="K84" s="20">
        <f>SUMIFS(領用表!$L:$L,領用表!$E:$E,$B84,領用表!$B:$B,K$2&amp;$R$1)</f>
        <v/>
      </c>
      <c r="L84" s="20">
        <f>SUMIFS(領用表!$L:$L,領用表!$E:$E,$B84,領用表!$B:$B,L$2&amp;$R$1)</f>
        <v/>
      </c>
      <c r="M84" s="142">
        <f>SUMIFS(領用表!$L:$L,領用表!$E:$E,$B84,領用表!$B:$B,M$2&amp;$R$1)</f>
        <v/>
      </c>
      <c r="N84" s="142">
        <f>SUMIFS(領用表!$L:$L,領用表!$E:$E,$B84,領用表!$B:$B,N$2&amp;$R$1)</f>
        <v/>
      </c>
      <c r="O84" s="142">
        <f>SUMIFS(領用表!$L:$L,領用表!$E:$E,$B84,領用表!$B:$B,O$2&amp;$R$1)</f>
        <v/>
      </c>
      <c r="P84" s="23">
        <f>SUM(,J84,K84,L84,M84,N84,O84)</f>
        <v/>
      </c>
      <c r="Q84" s="23">
        <f>AVERAGE(,J84,K84,L84,M84,N84,O84)</f>
        <v/>
      </c>
      <c r="R84" s="142">
        <f>SUMIFS(領用表!$L:$L,領用表!$E:$E,$B84,領用表!$B:$B,R$2&amp;$R$1)</f>
        <v/>
      </c>
      <c r="S84" s="142">
        <f>SUMIFS(領用表!$L:$L,領用表!$E:$E,$B84,領用表!$B:$B,S$2&amp;$R$1)</f>
        <v/>
      </c>
      <c r="T84" s="142">
        <f>SUMIFS(領用表!$L:$L,領用表!$E:$E,$B84,領用表!$B:$B,T$2&amp;$R$1)</f>
        <v/>
      </c>
      <c r="U84" s="142">
        <f>SUMIFS(領用表!$L:$L,領用表!$E:$E,$B84,領用表!$B:$B,U$2&amp;$R$1)</f>
        <v/>
      </c>
      <c r="V84" s="142">
        <f>SUMIFS(領用表!$L:$L,領用表!$E:$E,$B84,領用表!$B:$B,V$2&amp;$R$1)</f>
        <v/>
      </c>
      <c r="W84" s="142" t="n">
        <v>13</v>
      </c>
      <c r="X84" s="142">
        <f>SUMIFS(領用表!$L:$L,領用表!$E:$E,$B84,領用表!$B:$B,X$2&amp;$R$1)</f>
        <v/>
      </c>
      <c r="Y84" s="142">
        <f>SUMIFS(領用表!$L:$L,領用表!$E:$E,$B84,領用表!$B:$B,Y$2&amp;$R$1)</f>
        <v/>
      </c>
      <c r="Z84" s="142">
        <f>SUMIFS(領用表!$L:$L,領用表!$E:$E,$B84,領用表!$B:$B,Z$2&amp;$R$1)</f>
        <v/>
      </c>
      <c r="AA84" s="142">
        <f>SUMIFS(領用表!$L:$L,領用表!$E:$E,$B84,領用表!$B:$B,AA$2&amp;$R$1)</f>
        <v/>
      </c>
      <c r="AB84" s="142">
        <f>SUMIFS(領用表!$L:$L,領用表!$E:$E,$B84,領用表!$B:$B,AB$2&amp;$R$1)</f>
        <v/>
      </c>
      <c r="AC84" s="142">
        <f>SUMIFS(領用表!$L:$L,領用表!$E:$E,$B84,領用表!$B:$B,AC$2&amp;$R$1)</f>
        <v/>
      </c>
      <c r="AD84" s="142">
        <f>SUM(R84,S84,T84,U84,V84,W84)</f>
        <v/>
      </c>
      <c r="AE84" s="142">
        <f>AVERAGE(R84,S84,T84,U84,V84,W84)</f>
        <v/>
      </c>
      <c r="AF84" s="142">
        <f>SUMIF(Summary!B:B,B84,Summary!EB:EB)</f>
        <v/>
      </c>
      <c r="AG84" s="108" t="n">
        <v>10</v>
      </c>
      <c r="AH84" s="65" t="n"/>
      <c r="AI84" s="65" t="n"/>
      <c r="AJ84" s="65" t="n"/>
      <c r="AK84" s="27" t="n"/>
      <c r="AL84" s="27" t="n"/>
      <c r="AM84" s="14" t="n"/>
      <c r="AN84" s="29" t="n"/>
    </row>
    <row r="85" ht="15.75" customHeight="1" s="453">
      <c r="A85" s="27" t="n"/>
      <c r="B85" s="14" t="n">
        <v>6120006</v>
      </c>
      <c r="C85" s="136" t="inlineStr">
        <is>
          <t>B12 愛壽命注射液 2ml</t>
        </is>
      </c>
      <c r="D85" s="72" t="n">
        <v>100</v>
      </c>
      <c r="E85" s="17" t="inlineStr">
        <is>
          <t>PCS</t>
        </is>
      </c>
      <c r="F85" s="18" t="n"/>
      <c r="G85" s="18" t="n">
        <v>111</v>
      </c>
      <c r="H85" s="68">
        <f>SUM(#REF!)</f>
        <v/>
      </c>
      <c r="I85" s="26">
        <f>H85/12</f>
        <v/>
      </c>
      <c r="J85" s="20">
        <f>SUMIFS(領用表!$L:$L,領用表!$E:$E,$B85,領用表!$B:$B,J$2&amp;$R$1)</f>
        <v/>
      </c>
      <c r="K85" s="20">
        <f>SUMIFS(領用表!$L:$L,領用表!$E:$E,$B85,領用表!$B:$B,K$2&amp;$R$1)</f>
        <v/>
      </c>
      <c r="L85" s="20">
        <f>SUMIFS(領用表!$L:$L,領用表!$E:$E,$B85,領用表!$B:$B,L$2&amp;$R$1)</f>
        <v/>
      </c>
      <c r="M85" s="142">
        <f>SUMIFS(領用表!$L:$L,領用表!$E:$E,$B85,領用表!$B:$B,M$2&amp;$R$1)</f>
        <v/>
      </c>
      <c r="N85" s="142">
        <f>SUMIFS(領用表!$L:$L,領用表!$E:$E,$B85,領用表!$B:$B,N$2&amp;$R$1)</f>
        <v/>
      </c>
      <c r="O85" s="142">
        <f>SUMIFS(領用表!$L:$L,領用表!$E:$E,$B85,領用表!$B:$B,O$2&amp;$R$1)</f>
        <v/>
      </c>
      <c r="P85" s="23">
        <f>SUM(,J85,K85,L85,M85,N85,O85)</f>
        <v/>
      </c>
      <c r="Q85" s="23">
        <f>AVERAGE(,J85,K85,L85,M85,N85,O85)</f>
        <v/>
      </c>
      <c r="R85" s="142">
        <f>SUMIFS(領用表!$L:$L,領用表!$E:$E,$B85,領用表!$B:$B,R$2&amp;$R$1)</f>
        <v/>
      </c>
      <c r="S85" s="142">
        <f>SUMIFS(領用表!$L:$L,領用表!$E:$E,$B85,領用表!$B:$B,S$2&amp;$R$1)</f>
        <v/>
      </c>
      <c r="T85" s="142">
        <f>SUMIFS(領用表!$L:$L,領用表!$E:$E,$B85,領用表!$B:$B,T$2&amp;$R$1)</f>
        <v/>
      </c>
      <c r="U85" s="142">
        <f>SUMIFS(領用表!$L:$L,領用表!$E:$E,$B85,領用表!$B:$B,U$2&amp;$R$1)</f>
        <v/>
      </c>
      <c r="V85" s="142">
        <f>SUMIFS(領用表!$L:$L,領用表!$E:$E,$B85,領用表!$B:$B,V$2&amp;$R$1)</f>
        <v/>
      </c>
      <c r="W85" s="142" t="n">
        <v>15</v>
      </c>
      <c r="X85" s="142">
        <f>SUMIFS(領用表!$L:$L,領用表!$E:$E,$B85,領用表!$B:$B,X$2&amp;$R$1)</f>
        <v/>
      </c>
      <c r="Y85" s="142">
        <f>SUMIFS(領用表!$L:$L,領用表!$E:$E,$B85,領用表!$B:$B,Y$2&amp;$R$1)</f>
        <v/>
      </c>
      <c r="Z85" s="142">
        <f>SUMIFS(領用表!$L:$L,領用表!$E:$E,$B85,領用表!$B:$B,Z$2&amp;$R$1)</f>
        <v/>
      </c>
      <c r="AA85" s="142">
        <f>SUMIFS(領用表!$L:$L,領用表!$E:$E,$B85,領用表!$B:$B,AA$2&amp;$R$1)</f>
        <v/>
      </c>
      <c r="AB85" s="142">
        <f>SUMIFS(領用表!$L:$L,領用表!$E:$E,$B85,領用表!$B:$B,AB$2&amp;$R$1)</f>
        <v/>
      </c>
      <c r="AC85" s="142">
        <f>SUMIFS(領用表!$L:$L,領用表!$E:$E,$B85,領用表!$B:$B,AC$2&amp;$R$1)</f>
        <v/>
      </c>
      <c r="AD85" s="142">
        <f>SUM(R85,S85,T85,U85,V85,W85)</f>
        <v/>
      </c>
      <c r="AE85" s="142">
        <f>AVERAGE(R85,S85,T85,U85,V85,W85)</f>
        <v/>
      </c>
      <c r="AF85" s="142">
        <f>SUMIF(Summary!B:B,B85,Summary!EB:EB)</f>
        <v/>
      </c>
      <c r="AG85" s="108" t="n">
        <v>100</v>
      </c>
      <c r="AH85" s="65" t="n"/>
      <c r="AI85" s="65" t="inlineStr">
        <is>
          <t>300-10/22</t>
        </is>
      </c>
      <c r="AJ85" s="65" t="inlineStr">
        <is>
          <t>400-10/22</t>
        </is>
      </c>
      <c r="AK85" s="27" t="n"/>
      <c r="AL85" s="69" t="n"/>
      <c r="AM85" s="14" t="n"/>
      <c r="AN85" s="14" t="n"/>
    </row>
    <row r="86" ht="15.75" customHeight="1" s="453">
      <c r="A86" s="27" t="n"/>
      <c r="B86" s="14" t="n">
        <v>6120007</v>
      </c>
      <c r="C86" s="136" t="inlineStr">
        <is>
          <t>硫酸鋅</t>
        </is>
      </c>
      <c r="D86" s="72" t="n">
        <v>100</v>
      </c>
      <c r="E86" s="17" t="inlineStr">
        <is>
          <t>PCS</t>
        </is>
      </c>
      <c r="F86" s="18" t="n"/>
      <c r="G86" s="18" t="n">
        <v>79</v>
      </c>
      <c r="H86" s="68">
        <f>SUM(#REF!)</f>
        <v/>
      </c>
      <c r="I86" s="26">
        <f>H86/12</f>
        <v/>
      </c>
      <c r="J86" s="20">
        <f>SUMIFS(領用表!$L:$L,領用表!$E:$E,$B86,領用表!$B:$B,J$2&amp;$R$1)</f>
        <v/>
      </c>
      <c r="K86" s="20">
        <f>SUMIFS(領用表!$L:$L,領用表!$E:$E,$B86,領用表!$B:$B,K$2&amp;$R$1)</f>
        <v/>
      </c>
      <c r="L86" s="20">
        <f>SUMIFS(領用表!$L:$L,領用表!$E:$E,$B86,領用表!$B:$B,L$2&amp;$R$1)</f>
        <v/>
      </c>
      <c r="M86" s="142">
        <f>SUMIFS(領用表!$L:$L,領用表!$E:$E,$B86,領用表!$B:$B,M$2&amp;$R$1)</f>
        <v/>
      </c>
      <c r="N86" s="142">
        <f>SUMIFS(領用表!$L:$L,領用表!$E:$E,$B86,領用表!$B:$B,N$2&amp;$R$1)</f>
        <v/>
      </c>
      <c r="O86" s="142">
        <f>SUMIFS(領用表!$L:$L,領用表!$E:$E,$B86,領用表!$B:$B,O$2&amp;$R$1)</f>
        <v/>
      </c>
      <c r="P86" s="23">
        <f>SUM(,J86,K86,L86,M86,N86,O86)</f>
        <v/>
      </c>
      <c r="Q86" s="23">
        <f>AVERAGE(,J86,K86,L86,M86,N86,O86)</f>
        <v/>
      </c>
      <c r="R86" s="142">
        <f>SUMIFS(領用表!$L:$L,領用表!$E:$E,$B86,領用表!$B:$B,R$2&amp;$R$1)</f>
        <v/>
      </c>
      <c r="S86" s="142">
        <f>SUMIFS(領用表!$L:$L,領用表!$E:$E,$B86,領用表!$B:$B,S$2&amp;$R$1)</f>
        <v/>
      </c>
      <c r="T86" s="142">
        <f>SUMIFS(領用表!$L:$L,領用表!$E:$E,$B86,領用表!$B:$B,T$2&amp;$R$1)</f>
        <v/>
      </c>
      <c r="U86" s="142">
        <f>SUMIFS(領用表!$L:$L,領用表!$E:$E,$B86,領用表!$B:$B,U$2&amp;$R$1)</f>
        <v/>
      </c>
      <c r="V86" s="142">
        <f>SUMIFS(領用表!$L:$L,領用表!$E:$E,$B86,領用表!$B:$B,V$2&amp;$R$1)</f>
        <v/>
      </c>
      <c r="W86" s="142" t="n">
        <v>5</v>
      </c>
      <c r="X86" s="142">
        <f>SUMIFS(領用表!$L:$L,領用表!$E:$E,$B86,領用表!$B:$B,X$2&amp;$R$1)</f>
        <v/>
      </c>
      <c r="Y86" s="142">
        <f>SUMIFS(領用表!$L:$L,領用表!$E:$E,$B86,領用表!$B:$B,Y$2&amp;$R$1)</f>
        <v/>
      </c>
      <c r="Z86" s="142">
        <f>SUMIFS(領用表!$L:$L,領用表!$E:$E,$B86,領用表!$B:$B,Z$2&amp;$R$1)</f>
        <v/>
      </c>
      <c r="AA86" s="142">
        <f>SUMIFS(領用表!$L:$L,領用表!$E:$E,$B86,領用表!$B:$B,AA$2&amp;$R$1)</f>
        <v/>
      </c>
      <c r="AB86" s="142">
        <f>SUMIFS(領用表!$L:$L,領用表!$E:$E,$B86,領用表!$B:$B,AB$2&amp;$R$1)</f>
        <v/>
      </c>
      <c r="AC86" s="142">
        <f>SUMIFS(領用表!$L:$L,領用表!$E:$E,$B86,領用表!$B:$B,AC$2&amp;$R$1)</f>
        <v/>
      </c>
      <c r="AD86" s="142">
        <f>SUM(R86,S86,T86,U86,V86,W86)</f>
        <v/>
      </c>
      <c r="AE86" s="142">
        <f>AVERAGE(R86,S86,T86,U86,V86,W86)</f>
        <v/>
      </c>
      <c r="AF86" s="142">
        <f>SUMIF(Summary!B:B,B86,Summary!EB:EB)</f>
        <v/>
      </c>
      <c r="AG86" s="109" t="n">
        <v>3</v>
      </c>
      <c r="AH86" s="65" t="n"/>
      <c r="AI86" s="65" t="n"/>
      <c r="AJ86" s="65" t="n"/>
      <c r="AK86" s="27" t="n"/>
      <c r="AL86" s="69" t="n"/>
      <c r="AM86" s="14" t="n"/>
      <c r="AN86" s="14" t="n"/>
    </row>
    <row r="87" ht="15.75" customHeight="1" s="453">
      <c r="A87" s="27" t="n"/>
      <c r="B87" s="14" t="n">
        <v>6120008</v>
      </c>
      <c r="C87" s="136" t="inlineStr">
        <is>
          <t>硫酸鎂</t>
        </is>
      </c>
      <c r="D87" s="72" t="n">
        <v>100</v>
      </c>
      <c r="E87" s="17" t="inlineStr">
        <is>
          <t>PCS</t>
        </is>
      </c>
      <c r="F87" s="18" t="n"/>
      <c r="G87" s="18" t="n">
        <v>8</v>
      </c>
      <c r="H87" s="68">
        <f>SUM(#REF!)</f>
        <v/>
      </c>
      <c r="I87" s="26">
        <f>H87/12</f>
        <v/>
      </c>
      <c r="J87" s="20">
        <f>SUMIFS(領用表!$L:$L,領用表!$E:$E,$B87,領用表!$B:$B,J$2&amp;$R$1)</f>
        <v/>
      </c>
      <c r="K87" s="20">
        <f>SUMIFS(領用表!$L:$L,領用表!$E:$E,$B87,領用表!$B:$B,K$2&amp;$R$1)</f>
        <v/>
      </c>
      <c r="L87" s="20">
        <f>SUMIFS(領用表!$L:$L,領用表!$E:$E,$B87,領用表!$B:$B,L$2&amp;$R$1)</f>
        <v/>
      </c>
      <c r="M87" s="142">
        <f>SUMIFS(領用表!$L:$L,領用表!$E:$E,$B87,領用表!$B:$B,M$2&amp;$R$1)</f>
        <v/>
      </c>
      <c r="N87" s="142">
        <f>SUMIFS(領用表!$L:$L,領用表!$E:$E,$B87,領用表!$B:$B,N$2&amp;$R$1)</f>
        <v/>
      </c>
      <c r="O87" s="142">
        <f>SUMIFS(領用表!$L:$L,領用表!$E:$E,$B87,領用表!$B:$B,O$2&amp;$R$1)</f>
        <v/>
      </c>
      <c r="P87" s="23">
        <f>SUM(,J87,K87,L87,M87,N87,O87)</f>
        <v/>
      </c>
      <c r="Q87" s="23">
        <f>AVERAGE(,J87,K87,L87,M87,N87,O87)</f>
        <v/>
      </c>
      <c r="R87" s="142">
        <f>SUMIFS(領用表!$L:$L,領用表!$E:$E,$B87,領用表!$B:$B,R$2&amp;$R$1)</f>
        <v/>
      </c>
      <c r="S87" s="142">
        <f>SUMIFS(領用表!$L:$L,領用表!$E:$E,$B87,領用表!$B:$B,S$2&amp;$R$1)</f>
        <v/>
      </c>
      <c r="T87" s="142">
        <f>SUMIFS(領用表!$L:$L,領用表!$E:$E,$B87,領用表!$B:$B,T$2&amp;$R$1)</f>
        <v/>
      </c>
      <c r="U87" s="142">
        <f>SUMIFS(領用表!$L:$L,領用表!$E:$E,$B87,領用表!$B:$B,U$2&amp;$R$1)</f>
        <v/>
      </c>
      <c r="V87" s="142">
        <f>SUMIFS(領用表!$L:$L,領用表!$E:$E,$B87,領用表!$B:$B,V$2&amp;$R$1)</f>
        <v/>
      </c>
      <c r="W87" s="142" t="n"/>
      <c r="X87" s="142">
        <f>SUMIFS(領用表!$L:$L,領用表!$E:$E,$B87,領用表!$B:$B,X$2&amp;$R$1)</f>
        <v/>
      </c>
      <c r="Y87" s="142">
        <f>SUMIFS(領用表!$L:$L,領用表!$E:$E,$B87,領用表!$B:$B,Y$2&amp;$R$1)</f>
        <v/>
      </c>
      <c r="Z87" s="142">
        <f>SUMIFS(領用表!$L:$L,領用表!$E:$E,$B87,領用表!$B:$B,Z$2&amp;$R$1)</f>
        <v/>
      </c>
      <c r="AA87" s="142">
        <f>SUMIFS(領用表!$L:$L,領用表!$E:$E,$B87,領用表!$B:$B,AA$2&amp;$R$1)</f>
        <v/>
      </c>
      <c r="AB87" s="142">
        <f>SUMIFS(領用表!$L:$L,領用表!$E:$E,$B87,領用表!$B:$B,AB$2&amp;$R$1)</f>
        <v/>
      </c>
      <c r="AC87" s="142">
        <f>SUMIFS(領用表!$L:$L,領用表!$E:$E,$B87,領用表!$B:$B,AC$2&amp;$R$1)</f>
        <v/>
      </c>
      <c r="AD87" s="142">
        <f>SUM(R87,S87,T87,U87,V87,W87)</f>
        <v/>
      </c>
      <c r="AE87" s="142">
        <f>AVERAGE(R87,S87,T87,U87,V87,W87)</f>
        <v/>
      </c>
      <c r="AF87" s="142">
        <f>SUMIF(Summary!B:B,B87,Summary!EB:EB)</f>
        <v/>
      </c>
      <c r="AG87" s="109" t="n">
        <v>0</v>
      </c>
      <c r="AH87" s="65" t="n"/>
      <c r="AI87" s="65" t="n"/>
      <c r="AJ87" s="65" t="n"/>
      <c r="AK87" s="27" t="n"/>
      <c r="AL87" s="69" t="n"/>
      <c r="AM87" s="14" t="n"/>
      <c r="AN87" s="14" t="n"/>
    </row>
    <row r="88" ht="15.75" customHeight="1" s="453">
      <c r="A88" s="27" t="n"/>
      <c r="B88" s="14" t="n">
        <v>6120009</v>
      </c>
      <c r="C88" s="136" t="inlineStr">
        <is>
          <t>B1 硫胺明 2ml</t>
        </is>
      </c>
      <c r="D88" s="72" t="n">
        <v>100</v>
      </c>
      <c r="E88" s="17" t="inlineStr">
        <is>
          <t>PCS</t>
        </is>
      </c>
      <c r="F88" s="18" t="n"/>
      <c r="G88" s="18" t="n">
        <v>100</v>
      </c>
      <c r="H88" s="68">
        <f>SUM(#REF!)</f>
        <v/>
      </c>
      <c r="I88" s="26">
        <f>H88/12</f>
        <v/>
      </c>
      <c r="J88" s="20">
        <f>SUMIFS(領用表!$L:$L,領用表!$E:$E,$B88,領用表!$B:$B,J$2&amp;$R$1)</f>
        <v/>
      </c>
      <c r="K88" s="20">
        <f>SUMIFS(領用表!$L:$L,領用表!$E:$E,$B88,領用表!$B:$B,K$2&amp;$R$1)</f>
        <v/>
      </c>
      <c r="L88" s="20">
        <f>SUMIFS(領用表!$L:$L,領用表!$E:$E,$B88,領用表!$B:$B,L$2&amp;$R$1)</f>
        <v/>
      </c>
      <c r="M88" s="142">
        <f>SUMIFS(領用表!$L:$L,領用表!$E:$E,$B88,領用表!$B:$B,M$2&amp;$R$1)</f>
        <v/>
      </c>
      <c r="N88" s="142">
        <f>SUMIFS(領用表!$L:$L,領用表!$E:$E,$B88,領用表!$B:$B,N$2&amp;$R$1)</f>
        <v/>
      </c>
      <c r="O88" s="142">
        <f>SUMIFS(領用表!$L:$L,領用表!$E:$E,$B88,領用表!$B:$B,O$2&amp;$R$1)</f>
        <v/>
      </c>
      <c r="P88" s="23">
        <f>SUM(,J88,K88,L88,M88,N88,O88)</f>
        <v/>
      </c>
      <c r="Q88" s="23">
        <f>AVERAGE(,J88,K88,L88,M88,N88,O88)</f>
        <v/>
      </c>
      <c r="R88" s="142">
        <f>SUMIFS(領用表!$L:$L,領用表!$E:$E,$B88,領用表!$B:$B,R$2&amp;$R$1)</f>
        <v/>
      </c>
      <c r="S88" s="142">
        <f>SUMIFS(領用表!$L:$L,領用表!$E:$E,$B88,領用表!$B:$B,S$2&amp;$R$1)</f>
        <v/>
      </c>
      <c r="T88" s="142">
        <f>SUMIFS(領用表!$L:$L,領用表!$E:$E,$B88,領用表!$B:$B,T$2&amp;$R$1)</f>
        <v/>
      </c>
      <c r="U88" s="142">
        <f>SUMIFS(領用表!$L:$L,領用表!$E:$E,$B88,領用表!$B:$B,U$2&amp;$R$1)</f>
        <v/>
      </c>
      <c r="V88" s="142">
        <f>SUMIFS(領用表!$L:$L,領用表!$E:$E,$B88,領用表!$B:$B,V$2&amp;$R$1)</f>
        <v/>
      </c>
      <c r="W88" s="142" t="n"/>
      <c r="X88" s="142">
        <f>SUMIFS(領用表!$L:$L,領用表!$E:$E,$B88,領用表!$B:$B,X$2&amp;$R$1)</f>
        <v/>
      </c>
      <c r="Y88" s="142">
        <f>SUMIFS(領用表!$L:$L,領用表!$E:$E,$B88,領用表!$B:$B,Y$2&amp;$R$1)</f>
        <v/>
      </c>
      <c r="Z88" s="142">
        <f>SUMIFS(領用表!$L:$L,領用表!$E:$E,$B88,領用表!$B:$B,Z$2&amp;$R$1)</f>
        <v/>
      </c>
      <c r="AA88" s="142">
        <f>SUMIFS(領用表!$L:$L,領用表!$E:$E,$B88,領用表!$B:$B,AA$2&amp;$R$1)</f>
        <v/>
      </c>
      <c r="AB88" s="142">
        <f>SUMIFS(領用表!$L:$L,領用表!$E:$E,$B88,領用表!$B:$B,AB$2&amp;$R$1)</f>
        <v/>
      </c>
      <c r="AC88" s="142">
        <f>SUMIFS(領用表!$L:$L,領用表!$E:$E,$B88,領用表!$B:$B,AC$2&amp;$R$1)</f>
        <v/>
      </c>
      <c r="AD88" s="142">
        <f>SUM(R88,S88,T88,U88,V88,W88)</f>
        <v/>
      </c>
      <c r="AE88" s="142">
        <f>AVERAGE(R88,S88,T88,U88,V88,W88)</f>
        <v/>
      </c>
      <c r="AF88" s="142">
        <f>SUMIF(Summary!B:B,B88,Summary!EB:EB)</f>
        <v/>
      </c>
      <c r="AG88" s="108" t="n">
        <v>5</v>
      </c>
      <c r="AH88" s="65" t="n"/>
      <c r="AI88" s="65" t="n"/>
      <c r="AJ88" s="65" t="n"/>
      <c r="AK88" s="27" t="n"/>
      <c r="AL88" s="69" t="n"/>
      <c r="AM88" s="14" t="n"/>
      <c r="AN88" s="14" t="n"/>
    </row>
    <row r="89" ht="15.75" customHeight="1" s="453">
      <c r="A89" s="27" t="n"/>
      <c r="B89" s="14" t="n">
        <v>6120011</v>
      </c>
      <c r="C89" s="136" t="inlineStr">
        <is>
          <t>西寧特(硒)</t>
        </is>
      </c>
      <c r="D89" s="72" t="n">
        <v>10</v>
      </c>
      <c r="E89" s="17" t="inlineStr">
        <is>
          <t>PCS</t>
        </is>
      </c>
      <c r="F89" s="18" t="n"/>
      <c r="G89" s="18" t="n">
        <v>0</v>
      </c>
      <c r="H89" s="68">
        <f>SUM(#REF!)</f>
        <v/>
      </c>
      <c r="I89" s="26">
        <f>H89/12</f>
        <v/>
      </c>
      <c r="J89" s="20">
        <f>SUMIFS(領用表!$L:$L,領用表!$E:$E,$B89,領用表!$B:$B,J$2&amp;$R$1)</f>
        <v/>
      </c>
      <c r="K89" s="20">
        <f>SUMIFS(領用表!$L:$L,領用表!$E:$E,$B89,領用表!$B:$B,K$2&amp;$R$1)</f>
        <v/>
      </c>
      <c r="L89" s="20">
        <f>SUMIFS(領用表!$L:$L,領用表!$E:$E,$B89,領用表!$B:$B,L$2&amp;$R$1)</f>
        <v/>
      </c>
      <c r="M89" s="142">
        <f>SUMIFS(領用表!$L:$L,領用表!$E:$E,$B89,領用表!$B:$B,M$2&amp;$R$1)</f>
        <v/>
      </c>
      <c r="N89" s="142">
        <f>SUMIFS(領用表!$L:$L,領用表!$E:$E,$B89,領用表!$B:$B,N$2&amp;$R$1)</f>
        <v/>
      </c>
      <c r="O89" s="142">
        <f>SUMIFS(領用表!$L:$L,領用表!$E:$E,$B89,領用表!$B:$B,O$2&amp;$R$1)</f>
        <v/>
      </c>
      <c r="P89" s="23">
        <f>SUM(,J89,K89,L89,M89,N89,O89)</f>
        <v/>
      </c>
      <c r="Q89" s="23">
        <f>AVERAGE(,J89,K89,L89,M89,N89,O89)</f>
        <v/>
      </c>
      <c r="R89" s="142">
        <f>SUMIFS(領用表!$L:$L,領用表!$E:$E,$B89,領用表!$B:$B,R$2&amp;$R$1)</f>
        <v/>
      </c>
      <c r="S89" s="142">
        <f>SUMIFS(領用表!$L:$L,領用表!$E:$E,$B89,領用表!$B:$B,S$2&amp;$R$1)</f>
        <v/>
      </c>
      <c r="T89" s="142">
        <f>SUMIFS(領用表!$L:$L,領用表!$E:$E,$B89,領用表!$B:$B,T$2&amp;$R$1)</f>
        <v/>
      </c>
      <c r="U89" s="142">
        <f>SUMIFS(領用表!$L:$L,領用表!$E:$E,$B89,領用表!$B:$B,U$2&amp;$R$1)</f>
        <v/>
      </c>
      <c r="V89" s="142">
        <f>SUMIFS(領用表!$L:$L,領用表!$E:$E,$B89,領用表!$B:$B,V$2&amp;$R$1)</f>
        <v/>
      </c>
      <c r="W89" s="142" t="n"/>
      <c r="X89" s="142">
        <f>SUMIFS(領用表!$L:$L,領用表!$E:$E,$B89,領用表!$B:$B,X$2&amp;$R$1)</f>
        <v/>
      </c>
      <c r="Y89" s="142">
        <f>SUMIFS(領用表!$L:$L,領用表!$E:$E,$B89,領用表!$B:$B,Y$2&amp;$R$1)</f>
        <v/>
      </c>
      <c r="Z89" s="142">
        <f>SUMIFS(領用表!$L:$L,領用表!$E:$E,$B89,領用表!$B:$B,Z$2&amp;$R$1)</f>
        <v/>
      </c>
      <c r="AA89" s="142">
        <f>SUMIFS(領用表!$L:$L,領用表!$E:$E,$B89,領用表!$B:$B,AA$2&amp;$R$1)</f>
        <v/>
      </c>
      <c r="AB89" s="142">
        <f>SUMIFS(領用表!$L:$L,領用表!$E:$E,$B89,領用表!$B:$B,AB$2&amp;$R$1)</f>
        <v/>
      </c>
      <c r="AC89" s="142">
        <f>SUMIFS(領用表!$L:$L,領用表!$E:$E,$B89,領用表!$B:$B,AC$2&amp;$R$1)</f>
        <v/>
      </c>
      <c r="AD89" s="142">
        <f>SUM(R89,S89,T89,U89,V89,W89)</f>
        <v/>
      </c>
      <c r="AE89" s="142">
        <f>AVERAGE(R89,S89,T89,U89,V89,W89)</f>
        <v/>
      </c>
      <c r="AF89" s="142">
        <f>SUMIF(Summary!B:B,B89,Summary!EB:EB)</f>
        <v/>
      </c>
      <c r="AG89" s="109" t="n">
        <v>3</v>
      </c>
      <c r="AH89" s="65" t="n"/>
      <c r="AI89" s="65" t="inlineStr">
        <is>
          <t>20-10/22</t>
        </is>
      </c>
      <c r="AJ89" s="65" t="n"/>
      <c r="AK89" s="27" t="n"/>
      <c r="AL89" s="69" t="n"/>
      <c r="AM89" s="14" t="n"/>
      <c r="AN89" s="14" t="n"/>
    </row>
    <row r="90" ht="15.75" customHeight="1" s="453">
      <c r="A90" s="27" t="n"/>
      <c r="B90" s="27" t="n">
        <v>6120013</v>
      </c>
      <c r="C90" s="135" t="inlineStr">
        <is>
          <t>NS生理食鹽水 250ML</t>
        </is>
      </c>
      <c r="D90" s="75" t="n"/>
      <c r="E90" s="17" t="inlineStr">
        <is>
          <t>袋</t>
        </is>
      </c>
      <c r="F90" s="18" t="n"/>
      <c r="G90" s="18" t="n">
        <v>620</v>
      </c>
      <c r="H90" s="68">
        <f>SUM(#REF!)</f>
        <v/>
      </c>
      <c r="I90" s="26">
        <f>H90/12</f>
        <v/>
      </c>
      <c r="J90" s="20">
        <f>SUMIFS(領用表!$L:$L,領用表!$E:$E,$B90,領用表!$B:$B,J$2&amp;$R$1)</f>
        <v/>
      </c>
      <c r="K90" s="20">
        <f>SUMIFS(領用表!$L:$L,領用表!$E:$E,$B90,領用表!$B:$B,K$2&amp;$R$1)</f>
        <v/>
      </c>
      <c r="L90" s="20">
        <f>SUMIFS(領用表!$L:$L,領用表!$E:$E,$B90,領用表!$B:$B,L$2&amp;$R$1)</f>
        <v/>
      </c>
      <c r="M90" s="142">
        <f>SUMIFS(領用表!$L:$L,領用表!$E:$E,$B90,領用表!$B:$B,M$2&amp;$R$1)</f>
        <v/>
      </c>
      <c r="N90" s="142">
        <f>SUMIFS(領用表!$L:$L,領用表!$E:$E,$B90,領用表!$B:$B,N$2&amp;$R$1)</f>
        <v/>
      </c>
      <c r="O90" s="142">
        <f>SUMIFS(領用表!$L:$L,領用表!$E:$E,$B90,領用表!$B:$B,O$2&amp;$R$1)</f>
        <v/>
      </c>
      <c r="P90" s="23">
        <f>SUM(,J90,K90,L90,M90,N90,O90)</f>
        <v/>
      </c>
      <c r="Q90" s="23">
        <f>AVERAGE(,J90,K90,L90,M90,N90,O90)</f>
        <v/>
      </c>
      <c r="R90" s="142">
        <f>SUMIFS(領用表!$L:$L,領用表!$E:$E,$B90,領用表!$B:$B,R$2&amp;$R$1)</f>
        <v/>
      </c>
      <c r="S90" s="142">
        <f>SUMIFS(領用表!$L:$L,領用表!$E:$E,$B90,領用表!$B:$B,S$2&amp;$R$1)</f>
        <v/>
      </c>
      <c r="T90" s="142">
        <f>SUMIFS(領用表!$L:$L,領用表!$E:$E,$B90,領用表!$B:$B,T$2&amp;$R$1)</f>
        <v/>
      </c>
      <c r="U90" s="142">
        <f>SUMIFS(領用表!$L:$L,領用表!$E:$E,$B90,領用表!$B:$B,U$2&amp;$R$1)</f>
        <v/>
      </c>
      <c r="V90" s="142">
        <f>SUMIFS(領用表!$L:$L,領用表!$E:$E,$B90,領用表!$B:$B,V$2&amp;$R$1)</f>
        <v/>
      </c>
      <c r="W90" s="142" t="n">
        <v>32</v>
      </c>
      <c r="X90" s="142">
        <f>SUMIFS(領用表!$L:$L,領用表!$E:$E,$B90,領用表!$B:$B,X$2&amp;$R$1)</f>
        <v/>
      </c>
      <c r="Y90" s="142">
        <f>SUMIFS(領用表!$L:$L,領用表!$E:$E,$B90,領用表!$B:$B,Y$2&amp;$R$1)</f>
        <v/>
      </c>
      <c r="Z90" s="142">
        <f>SUMIFS(領用表!$L:$L,領用表!$E:$E,$B90,領用表!$B:$B,Z$2&amp;$R$1)</f>
        <v/>
      </c>
      <c r="AA90" s="142">
        <f>SUMIFS(領用表!$L:$L,領用表!$E:$E,$B90,領用表!$B:$B,AA$2&amp;$R$1)</f>
        <v/>
      </c>
      <c r="AB90" s="142">
        <f>SUMIFS(領用表!$L:$L,領用表!$E:$E,$B90,領用表!$B:$B,AB$2&amp;$R$1)</f>
        <v/>
      </c>
      <c r="AC90" s="142">
        <f>SUMIFS(領用表!$L:$L,領用表!$E:$E,$B90,領用表!$B:$B,AC$2&amp;$R$1)</f>
        <v/>
      </c>
      <c r="AD90" s="142">
        <f>SUM(R90,S90,T90,U90,V90,W90)</f>
        <v/>
      </c>
      <c r="AE90" s="142">
        <f>AVERAGE(R90,S90,T90,U90,V90,W90)</f>
        <v/>
      </c>
      <c r="AF90" s="142">
        <f>SUMIF(Summary!B:B,B90,Summary!EB:EB)</f>
        <v/>
      </c>
      <c r="AG90" s="108" t="n">
        <v>150</v>
      </c>
      <c r="AH90" s="65" t="n"/>
      <c r="AI90" s="76" t="n"/>
      <c r="AJ90" s="65" t="n"/>
      <c r="AK90" s="27" t="n"/>
      <c r="AL90" s="27" t="n"/>
      <c r="AM90" s="14" t="n"/>
      <c r="AN90" s="29" t="n"/>
    </row>
    <row r="91" ht="15.75" customHeight="1" s="453">
      <c r="A91" s="27" t="n"/>
      <c r="B91" s="14" t="n">
        <v>6120014</v>
      </c>
      <c r="C91" s="135" t="inlineStr">
        <is>
          <t xml:space="preserve">D5W 葡萄糖水 250ml </t>
        </is>
      </c>
      <c r="D91" s="75" t="n"/>
      <c r="E91" s="17" t="inlineStr">
        <is>
          <t>袋</t>
        </is>
      </c>
      <c r="F91" s="18" t="n"/>
      <c r="G91" s="18" t="n"/>
      <c r="H91" s="68">
        <f>SUM(#REF!)</f>
        <v/>
      </c>
      <c r="I91" s="26">
        <f>H91/12</f>
        <v/>
      </c>
      <c r="J91" s="20">
        <f>SUMIFS(領用表!$L:$L,領用表!$E:$E,$B91,領用表!$B:$B,J$2&amp;$R$1)</f>
        <v/>
      </c>
      <c r="K91" s="20">
        <f>SUMIFS(領用表!$L:$L,領用表!$E:$E,$B91,領用表!$B:$B,K$2&amp;$R$1)</f>
        <v/>
      </c>
      <c r="L91" s="20">
        <f>SUMIFS(領用表!$L:$L,領用表!$E:$E,$B91,領用表!$B:$B,L$2&amp;$R$1)</f>
        <v/>
      </c>
      <c r="M91" s="142">
        <f>SUMIFS(領用表!$L:$L,領用表!$E:$E,$B91,領用表!$B:$B,M$2&amp;$R$1)</f>
        <v/>
      </c>
      <c r="N91" s="142">
        <f>SUMIFS(領用表!$L:$L,領用表!$E:$E,$B91,領用表!$B:$B,N$2&amp;$R$1)</f>
        <v/>
      </c>
      <c r="O91" s="142">
        <f>SUMIFS(領用表!$L:$L,領用表!$E:$E,$B91,領用表!$B:$B,O$2&amp;$R$1)</f>
        <v/>
      </c>
      <c r="P91" s="23">
        <f>SUM(,J91,K91,L91,M91,N91,O91)</f>
        <v/>
      </c>
      <c r="Q91" s="23">
        <f>AVERAGE(,J91,K91,L91,M91,N91,O91)</f>
        <v/>
      </c>
      <c r="R91" s="142">
        <f>SUMIFS(領用表!$L:$L,領用表!$E:$E,$B91,領用表!$B:$B,R$2&amp;$R$1)</f>
        <v/>
      </c>
      <c r="S91" s="142">
        <f>SUMIFS(領用表!$L:$L,領用表!$E:$E,$B91,領用表!$B:$B,S$2&amp;$R$1)</f>
        <v/>
      </c>
      <c r="T91" s="142">
        <f>SUMIFS(領用表!$L:$L,領用表!$E:$E,$B91,領用表!$B:$B,T$2&amp;$R$1)</f>
        <v/>
      </c>
      <c r="U91" s="142">
        <f>SUMIFS(領用表!$L:$L,領用表!$E:$E,$B91,領用表!$B:$B,U$2&amp;$R$1)</f>
        <v/>
      </c>
      <c r="V91" s="142">
        <f>SUMIFS(領用表!$L:$L,領用表!$E:$E,$B91,領用表!$B:$B,V$2&amp;$R$1)</f>
        <v/>
      </c>
      <c r="W91" s="142" t="n"/>
      <c r="X91" s="142">
        <f>SUMIFS(領用表!$L:$L,領用表!$E:$E,$B91,領用表!$B:$B,X$2&amp;$R$1)</f>
        <v/>
      </c>
      <c r="Y91" s="142">
        <f>SUMIFS(領用表!$L:$L,領用表!$E:$E,$B91,領用表!$B:$B,Y$2&amp;$R$1)</f>
        <v/>
      </c>
      <c r="Z91" s="142">
        <f>SUMIFS(領用表!$L:$L,領用表!$E:$E,$B91,領用表!$B:$B,Z$2&amp;$R$1)</f>
        <v/>
      </c>
      <c r="AA91" s="142">
        <f>SUMIFS(領用表!$L:$L,領用表!$E:$E,$B91,領用表!$B:$B,AA$2&amp;$R$1)</f>
        <v/>
      </c>
      <c r="AB91" s="142">
        <f>SUMIFS(領用表!$L:$L,領用表!$E:$E,$B91,領用表!$B:$B,AB$2&amp;$R$1)</f>
        <v/>
      </c>
      <c r="AC91" s="142">
        <f>SUMIFS(領用表!$L:$L,領用表!$E:$E,$B91,領用表!$B:$B,AC$2&amp;$R$1)</f>
        <v/>
      </c>
      <c r="AD91" s="142">
        <f>SUM(R91,S91,T91,U91,V91,W91)</f>
        <v/>
      </c>
      <c r="AE91" s="142">
        <f>AVERAGE(R91,S91,T91,U91,V91,W91)</f>
        <v/>
      </c>
      <c r="AF91" s="142">
        <f>SUMIF(Summary!B:B,B91,Summary!EB:EB)</f>
        <v/>
      </c>
      <c r="AG91" s="108" t="n">
        <v>35</v>
      </c>
      <c r="AH91" s="65" t="n"/>
      <c r="AI91" s="65" t="n"/>
      <c r="AJ91" s="65" t="n"/>
      <c r="AK91" s="27" t="n"/>
      <c r="AL91" s="27" t="n"/>
      <c r="AM91" s="14" t="n"/>
      <c r="AN91" s="29" t="n"/>
    </row>
    <row r="92" ht="15.75" customHeight="1" s="453">
      <c r="A92" s="27" t="n"/>
      <c r="B92" s="14" t="n">
        <v>6120015</v>
      </c>
      <c r="C92" s="136" t="inlineStr">
        <is>
          <t>B群 淘能美 2ml</t>
        </is>
      </c>
      <c r="D92" s="72" t="n"/>
      <c r="E92" s="17" t="inlineStr">
        <is>
          <t>PCS</t>
        </is>
      </c>
      <c r="F92" s="18" t="n"/>
      <c r="G92" s="18" t="n">
        <v>209</v>
      </c>
      <c r="H92" s="68">
        <f>SUM(#REF!)</f>
        <v/>
      </c>
      <c r="I92" s="26">
        <f>H92/12</f>
        <v/>
      </c>
      <c r="J92" s="20">
        <f>SUMIFS(領用表!$L:$L,領用表!$E:$E,$B92,領用表!$B:$B,J$2&amp;$R$1)</f>
        <v/>
      </c>
      <c r="K92" s="20">
        <f>SUMIFS(領用表!$L:$L,領用表!$E:$E,$B92,領用表!$B:$B,K$2&amp;$R$1)</f>
        <v/>
      </c>
      <c r="L92" s="20">
        <f>SUMIFS(領用表!$L:$L,領用表!$E:$E,$B92,領用表!$B:$B,L$2&amp;$R$1)</f>
        <v/>
      </c>
      <c r="M92" s="142">
        <f>SUMIFS(領用表!$L:$L,領用表!$E:$E,$B92,領用表!$B:$B,M$2&amp;$R$1)</f>
        <v/>
      </c>
      <c r="N92" s="142">
        <f>SUMIFS(領用表!$L:$L,領用表!$E:$E,$B92,領用表!$B:$B,N$2&amp;$R$1)</f>
        <v/>
      </c>
      <c r="O92" s="142">
        <f>SUMIFS(領用表!$L:$L,領用表!$E:$E,$B92,領用表!$B:$B,O$2&amp;$R$1)</f>
        <v/>
      </c>
      <c r="P92" s="23">
        <f>SUM(,J92,K92,L92,M92,N92,O92)</f>
        <v/>
      </c>
      <c r="Q92" s="23">
        <f>AVERAGE(,J92,K92,L92,M92,N92,O92)</f>
        <v/>
      </c>
      <c r="R92" s="142">
        <f>SUMIFS(領用表!$L:$L,領用表!$E:$E,$B92,領用表!$B:$B,R$2&amp;$R$1)</f>
        <v/>
      </c>
      <c r="S92" s="142">
        <f>SUMIFS(領用表!$L:$L,領用表!$E:$E,$B92,領用表!$B:$B,S$2&amp;$R$1)</f>
        <v/>
      </c>
      <c r="T92" s="142">
        <f>SUMIFS(領用表!$L:$L,領用表!$E:$E,$B92,領用表!$B:$B,T$2&amp;$R$1)</f>
        <v/>
      </c>
      <c r="U92" s="142">
        <f>SUMIFS(領用表!$L:$L,領用表!$E:$E,$B92,領用表!$B:$B,U$2&amp;$R$1)</f>
        <v/>
      </c>
      <c r="V92" s="142">
        <f>SUMIFS(領用表!$L:$L,領用表!$E:$E,$B92,領用表!$B:$B,V$2&amp;$R$1)</f>
        <v/>
      </c>
      <c r="W92" s="142" t="n">
        <v>45</v>
      </c>
      <c r="X92" s="142">
        <f>SUMIFS(領用表!$L:$L,領用表!$E:$E,$B92,領用表!$B:$B,X$2&amp;$R$1)</f>
        <v/>
      </c>
      <c r="Y92" s="142">
        <f>SUMIFS(領用表!$L:$L,領用表!$E:$E,$B92,領用表!$B:$B,Y$2&amp;$R$1)</f>
        <v/>
      </c>
      <c r="Z92" s="142">
        <f>SUMIFS(領用表!$L:$L,領用表!$E:$E,$B92,領用表!$B:$B,Z$2&amp;$R$1)</f>
        <v/>
      </c>
      <c r="AA92" s="142">
        <f>SUMIFS(領用表!$L:$L,領用表!$E:$E,$B92,領用表!$B:$B,AA$2&amp;$R$1)</f>
        <v/>
      </c>
      <c r="AB92" s="142">
        <f>SUMIFS(領用表!$L:$L,領用表!$E:$E,$B92,領用表!$B:$B,AB$2&amp;$R$1)</f>
        <v/>
      </c>
      <c r="AC92" s="142">
        <f>SUMIFS(領用表!$L:$L,領用表!$E:$E,$B92,領用表!$B:$B,AC$2&amp;$R$1)</f>
        <v/>
      </c>
      <c r="AD92" s="142">
        <f>SUM(R92,S92,T92,U92,V92,W92)</f>
        <v/>
      </c>
      <c r="AE92" s="142">
        <f>AVERAGE(R92,S92,T92,U92,V92,W92)</f>
        <v/>
      </c>
      <c r="AF92" s="142">
        <f>SUMIF(Summary!B:B,B92,Summary!EB:EB)</f>
        <v/>
      </c>
      <c r="AG92" s="108" t="n">
        <v>20</v>
      </c>
      <c r="AH92" s="65" t="n"/>
      <c r="AI92" s="76" t="inlineStr">
        <is>
          <t>100-10/22</t>
        </is>
      </c>
      <c r="AJ92" s="65" t="n"/>
      <c r="AK92" s="27" t="n"/>
      <c r="AL92" s="69" t="n"/>
      <c r="AM92" s="14" t="n"/>
      <c r="AN92" s="14" t="n"/>
    </row>
    <row r="93" ht="15.75" customHeight="1" s="453">
      <c r="A93" s="27" t="n"/>
      <c r="B93" s="14" t="n">
        <v>6120016</v>
      </c>
      <c r="C93" s="427" t="inlineStr">
        <is>
          <t>克樂達養 20ml</t>
        </is>
      </c>
      <c r="D93" s="72" t="n"/>
      <c r="E93" s="17" t="inlineStr">
        <is>
          <t>PCS</t>
        </is>
      </c>
      <c r="F93" s="18" t="n"/>
      <c r="G93" s="18" t="n">
        <v>84</v>
      </c>
      <c r="H93" s="68">
        <f>SUM(#REF!)</f>
        <v/>
      </c>
      <c r="I93" s="26">
        <f>H93/12</f>
        <v/>
      </c>
      <c r="J93" s="20">
        <f>SUMIFS(領用表!$L:$L,領用表!$E:$E,$B93,領用表!$B:$B,J$2&amp;$R$1)</f>
        <v/>
      </c>
      <c r="K93" s="20">
        <f>SUMIFS(領用表!$L:$L,領用表!$E:$E,$B93,領用表!$B:$B,K$2&amp;$R$1)</f>
        <v/>
      </c>
      <c r="L93" s="20">
        <f>SUMIFS(領用表!$L:$L,領用表!$E:$E,$B93,領用表!$B:$B,L$2&amp;$R$1)</f>
        <v/>
      </c>
      <c r="M93" s="142">
        <f>SUMIFS(領用表!$L:$L,領用表!$E:$E,$B93,領用表!$B:$B,M$2&amp;$R$1)</f>
        <v/>
      </c>
      <c r="N93" s="142">
        <f>SUMIFS(領用表!$L:$L,領用表!$E:$E,$B93,領用表!$B:$B,N$2&amp;$R$1)</f>
        <v/>
      </c>
      <c r="O93" s="142">
        <f>SUMIFS(領用表!$L:$L,領用表!$E:$E,$B93,領用表!$B:$B,O$2&amp;$R$1)</f>
        <v/>
      </c>
      <c r="P93" s="23">
        <f>SUM(,J93,K93,L93,M93,N93,O93)</f>
        <v/>
      </c>
      <c r="Q93" s="23">
        <f>AVERAGE(,J93,K93,L93,M93,N93,O93)</f>
        <v/>
      </c>
      <c r="R93" s="142">
        <f>SUMIFS(領用表!$L:$L,領用表!$E:$E,$B93,領用表!$B:$B,R$2&amp;$R$1)</f>
        <v/>
      </c>
      <c r="S93" s="142">
        <f>SUMIFS(領用表!$L:$L,領用表!$E:$E,$B93,領用表!$B:$B,S$2&amp;$R$1)</f>
        <v/>
      </c>
      <c r="T93" s="142">
        <f>SUMIFS(領用表!$L:$L,領用表!$E:$E,$B93,領用表!$B:$B,T$2&amp;$R$1)</f>
        <v/>
      </c>
      <c r="U93" s="142">
        <f>SUMIFS(領用表!$L:$L,領用表!$E:$E,$B93,領用表!$B:$B,U$2&amp;$R$1)</f>
        <v/>
      </c>
      <c r="V93" s="142">
        <f>SUMIFS(領用表!$L:$L,領用表!$E:$E,$B93,領用表!$B:$B,V$2&amp;$R$1)</f>
        <v/>
      </c>
      <c r="W93" s="142" t="n">
        <v>43</v>
      </c>
      <c r="X93" s="142">
        <f>SUMIFS(領用表!$L:$L,領用表!$E:$E,$B93,領用表!$B:$B,X$2&amp;$R$1)</f>
        <v/>
      </c>
      <c r="Y93" s="142">
        <f>SUMIFS(領用表!$L:$L,領用表!$E:$E,$B93,領用表!$B:$B,Y$2&amp;$R$1)</f>
        <v/>
      </c>
      <c r="Z93" s="142">
        <f>SUMIFS(領用表!$L:$L,領用表!$E:$E,$B93,領用表!$B:$B,Z$2&amp;$R$1)</f>
        <v/>
      </c>
      <c r="AA93" s="142">
        <f>SUMIFS(領用表!$L:$L,領用表!$E:$E,$B93,領用表!$B:$B,AA$2&amp;$R$1)</f>
        <v/>
      </c>
      <c r="AB93" s="142">
        <f>SUMIFS(領用表!$L:$L,領用表!$E:$E,$B93,領用表!$B:$B,AB$2&amp;$R$1)</f>
        <v/>
      </c>
      <c r="AC93" s="142">
        <f>SUMIFS(領用表!$L:$L,領用表!$E:$E,$B93,領用表!$B:$B,AC$2&amp;$R$1)</f>
        <v/>
      </c>
      <c r="AD93" s="142">
        <f>SUM(R93,S93,T93,U93,V93,W93)</f>
        <v/>
      </c>
      <c r="AE93" s="142">
        <f>AVERAGE(R93,S93,T93,U93,V93,W93)</f>
        <v/>
      </c>
      <c r="AF93" s="142">
        <f>SUMIF(Summary!B:B,B93,Summary!EB:EB)</f>
        <v/>
      </c>
      <c r="AG93" s="108" t="n">
        <v>20</v>
      </c>
      <c r="AH93" s="65" t="n"/>
      <c r="AI93" s="76" t="inlineStr">
        <is>
          <t>200-10/21</t>
        </is>
      </c>
      <c r="AJ93" s="65" t="inlineStr">
        <is>
          <t>1000-10/21</t>
        </is>
      </c>
      <c r="AK93" s="27" t="n"/>
      <c r="AL93" s="69" t="n"/>
      <c r="AM93" s="14" t="n"/>
      <c r="AN93" s="14" t="n"/>
    </row>
    <row r="94" ht="15.75" customHeight="1" s="453">
      <c r="A94" s="27" t="n"/>
      <c r="B94" s="14" t="n">
        <v>6120017</v>
      </c>
      <c r="C94" s="136" t="inlineStr">
        <is>
          <t>保肝</t>
        </is>
      </c>
      <c r="D94" s="72" t="n"/>
      <c r="E94" s="17" t="inlineStr">
        <is>
          <t>PCS</t>
        </is>
      </c>
      <c r="F94" s="18" t="n"/>
      <c r="G94" s="18" t="n">
        <v>42</v>
      </c>
      <c r="H94" s="68">
        <f>SUM(#REF!)</f>
        <v/>
      </c>
      <c r="I94" s="26">
        <f>H94/12</f>
        <v/>
      </c>
      <c r="J94" s="20">
        <f>SUMIFS(領用表!$L:$L,領用表!$E:$E,$B94,領用表!$B:$B,J$2&amp;$R$1)</f>
        <v/>
      </c>
      <c r="K94" s="20">
        <f>SUMIFS(領用表!$L:$L,領用表!$E:$E,$B94,領用表!$B:$B,K$2&amp;$R$1)</f>
        <v/>
      </c>
      <c r="L94" s="20">
        <f>SUMIFS(領用表!$L:$L,領用表!$E:$E,$B94,領用表!$B:$B,L$2&amp;$R$1)</f>
        <v/>
      </c>
      <c r="M94" s="142">
        <f>SUMIFS(領用表!$L:$L,領用表!$E:$E,$B94,領用表!$B:$B,M$2&amp;$R$1)</f>
        <v/>
      </c>
      <c r="N94" s="142">
        <f>SUMIFS(領用表!$L:$L,領用表!$E:$E,$B94,領用表!$B:$B,N$2&amp;$R$1)</f>
        <v/>
      </c>
      <c r="O94" s="142">
        <f>SUMIFS(領用表!$L:$L,領用表!$E:$E,$B94,領用表!$B:$B,O$2&amp;$R$1)</f>
        <v/>
      </c>
      <c r="P94" s="23">
        <f>SUM(,J94,K94,L94,M94,N94,O94)</f>
        <v/>
      </c>
      <c r="Q94" s="23">
        <f>AVERAGE(,J94,K94,L94,M94,N94,O94)</f>
        <v/>
      </c>
      <c r="R94" s="142">
        <f>SUMIFS(領用表!$L:$L,領用表!$E:$E,$B94,領用表!$B:$B,R$2&amp;$R$1)</f>
        <v/>
      </c>
      <c r="S94" s="142">
        <f>SUMIFS(領用表!$L:$L,領用表!$E:$E,$B94,領用表!$B:$B,S$2&amp;$R$1)</f>
        <v/>
      </c>
      <c r="T94" s="142">
        <f>SUMIFS(領用表!$L:$L,領用表!$E:$E,$B94,領用表!$B:$B,T$2&amp;$R$1)</f>
        <v/>
      </c>
      <c r="U94" s="142">
        <f>SUMIFS(領用表!$L:$L,領用表!$E:$E,$B94,領用表!$B:$B,U$2&amp;$R$1)</f>
        <v/>
      </c>
      <c r="V94" s="142">
        <f>SUMIFS(領用表!$L:$L,領用表!$E:$E,$B94,領用表!$B:$B,V$2&amp;$R$1)</f>
        <v/>
      </c>
      <c r="W94" s="142" t="n">
        <v>1</v>
      </c>
      <c r="X94" s="142">
        <f>SUMIFS(領用表!$L:$L,領用表!$E:$E,$B94,領用表!$B:$B,X$2&amp;$R$1)</f>
        <v/>
      </c>
      <c r="Y94" s="142">
        <f>SUMIFS(領用表!$L:$L,領用表!$E:$E,$B94,領用表!$B:$B,Y$2&amp;$R$1)</f>
        <v/>
      </c>
      <c r="Z94" s="142">
        <f>SUMIFS(領用表!$L:$L,領用表!$E:$E,$B94,領用表!$B:$B,Z$2&amp;$R$1)</f>
        <v/>
      </c>
      <c r="AA94" s="142">
        <f>SUMIFS(領用表!$L:$L,領用表!$E:$E,$B94,領用表!$B:$B,AA$2&amp;$R$1)</f>
        <v/>
      </c>
      <c r="AB94" s="142">
        <f>SUMIFS(領用表!$L:$L,領用表!$E:$E,$B94,領用表!$B:$B,AB$2&amp;$R$1)</f>
        <v/>
      </c>
      <c r="AC94" s="142">
        <f>SUMIFS(領用表!$L:$L,領用表!$E:$E,$B94,領用表!$B:$B,AC$2&amp;$R$1)</f>
        <v/>
      </c>
      <c r="AD94" s="142">
        <f>SUM(R94,S94,T94,U94,V94,W94)</f>
        <v/>
      </c>
      <c r="AE94" s="142">
        <f>AVERAGE(R94,S94,T94,U94,V94,W94)</f>
        <v/>
      </c>
      <c r="AF94" s="142">
        <f>SUMIF(Summary!B:B,B94,Summary!EB:EB)</f>
        <v/>
      </c>
      <c r="AG94" s="109" t="n">
        <v>0</v>
      </c>
      <c r="AH94" s="65" t="n"/>
      <c r="AI94" s="65" t="n"/>
      <c r="AJ94" s="65" t="n"/>
      <c r="AK94" s="27" t="n"/>
      <c r="AL94" s="69" t="n"/>
      <c r="AM94" s="14" t="n"/>
      <c r="AN94" s="14" t="n"/>
    </row>
    <row r="95" ht="15.75" customHeight="1" s="453">
      <c r="A95" s="27" t="n"/>
      <c r="B95" s="14" t="n">
        <v>6120018</v>
      </c>
      <c r="C95" s="136" t="inlineStr">
        <is>
          <t>止血明(TRA)</t>
        </is>
      </c>
      <c r="D95" s="72" t="n"/>
      <c r="E95" s="17" t="inlineStr">
        <is>
          <t>PCS</t>
        </is>
      </c>
      <c r="F95" s="18" t="n"/>
      <c r="G95" s="18" t="n">
        <v>185</v>
      </c>
      <c r="H95" s="68">
        <f>SUM(#REF!)</f>
        <v/>
      </c>
      <c r="I95" s="26">
        <f>H95/12</f>
        <v/>
      </c>
      <c r="J95" s="20">
        <f>SUMIFS(領用表!$L:$L,領用表!$E:$E,$B95,領用表!$B:$B,J$2&amp;$R$1)</f>
        <v/>
      </c>
      <c r="K95" s="20">
        <f>SUMIFS(領用表!$L:$L,領用表!$E:$E,$B95,領用表!$B:$B,K$2&amp;$R$1)</f>
        <v/>
      </c>
      <c r="L95" s="20">
        <f>SUMIFS(領用表!$L:$L,領用表!$E:$E,$B95,領用表!$B:$B,L$2&amp;$R$1)</f>
        <v/>
      </c>
      <c r="M95" s="142">
        <f>SUMIFS(領用表!$L:$L,領用表!$E:$E,$B95,領用表!$B:$B,M$2&amp;$R$1)</f>
        <v/>
      </c>
      <c r="N95" s="142">
        <f>SUMIFS(領用表!$L:$L,領用表!$E:$E,$B95,領用表!$B:$B,N$2&amp;$R$1)</f>
        <v/>
      </c>
      <c r="O95" s="142">
        <f>SUMIFS(領用表!$L:$L,領用表!$E:$E,$B95,領用表!$B:$B,O$2&amp;$R$1)</f>
        <v/>
      </c>
      <c r="P95" s="23">
        <f>SUM(,J95,K95,L95,M95,N95,O95)</f>
        <v/>
      </c>
      <c r="Q95" s="23">
        <f>AVERAGE(,J95,K95,L95,M95,N95,O95)</f>
        <v/>
      </c>
      <c r="R95" s="142">
        <f>SUMIFS(領用表!$L:$L,領用表!$E:$E,$B95,領用表!$B:$B,R$2&amp;$R$1)</f>
        <v/>
      </c>
      <c r="S95" s="142">
        <f>SUMIFS(領用表!$L:$L,領用表!$E:$E,$B95,領用表!$B:$B,S$2&amp;$R$1)</f>
        <v/>
      </c>
      <c r="T95" s="142">
        <f>SUMIFS(領用表!$L:$L,領用表!$E:$E,$B95,領用表!$B:$B,T$2&amp;$R$1)</f>
        <v/>
      </c>
      <c r="U95" s="142">
        <f>SUMIFS(領用表!$L:$L,領用表!$E:$E,$B95,領用表!$B:$B,U$2&amp;$R$1)</f>
        <v/>
      </c>
      <c r="V95" s="142">
        <f>SUMIFS(領用表!$L:$L,領用表!$E:$E,$B95,領用表!$B:$B,V$2&amp;$R$1)</f>
        <v/>
      </c>
      <c r="W95" s="142" t="n">
        <v>54</v>
      </c>
      <c r="X95" s="142">
        <f>SUMIFS(領用表!$L:$L,領用表!$E:$E,$B95,領用表!$B:$B,X$2&amp;$R$1)</f>
        <v/>
      </c>
      <c r="Y95" s="142">
        <f>SUMIFS(領用表!$L:$L,領用表!$E:$E,$B95,領用表!$B:$B,Y$2&amp;$R$1)</f>
        <v/>
      </c>
      <c r="Z95" s="142">
        <f>SUMIFS(領用表!$L:$L,領用表!$E:$E,$B95,領用表!$B:$B,Z$2&amp;$R$1)</f>
        <v/>
      </c>
      <c r="AA95" s="142">
        <f>SUMIFS(領用表!$L:$L,領用表!$E:$E,$B95,領用表!$B:$B,AA$2&amp;$R$1)</f>
        <v/>
      </c>
      <c r="AB95" s="142">
        <f>SUMIFS(領用表!$L:$L,領用表!$E:$E,$B95,領用表!$B:$B,AB$2&amp;$R$1)</f>
        <v/>
      </c>
      <c r="AC95" s="142">
        <f>SUMIFS(領用表!$L:$L,領用表!$E:$E,$B95,領用表!$B:$B,AC$2&amp;$R$1)</f>
        <v/>
      </c>
      <c r="AD95" s="142">
        <f>SUM(R95,S95,T95,U95,V95,W95)</f>
        <v/>
      </c>
      <c r="AE95" s="142">
        <f>AVERAGE(R95,S95,T95,U95,V95,W95)</f>
        <v/>
      </c>
      <c r="AF95" s="142">
        <f>SUMIF(Summary!B:B,B95,Summary!EB:EB)</f>
        <v/>
      </c>
      <c r="AG95" s="109" t="n">
        <v>5</v>
      </c>
      <c r="AH95" s="65" t="n"/>
      <c r="AI95" s="76" t="inlineStr">
        <is>
          <t>100-10/24</t>
        </is>
      </c>
      <c r="AJ95" s="65" t="n"/>
      <c r="AK95" s="27" t="n"/>
      <c r="AL95" s="69" t="n"/>
      <c r="AM95" s="14" t="n"/>
      <c r="AN95" s="14" t="n"/>
    </row>
    <row r="96" ht="15.75" customHeight="1" s="453">
      <c r="A96" s="27" t="n"/>
      <c r="B96" s="14" t="n">
        <v>6120020</v>
      </c>
      <c r="C96" s="135" t="inlineStr">
        <is>
          <t>抗壞血酸 2ml(維他命C)</t>
        </is>
      </c>
      <c r="D96" s="77" t="n">
        <v>100</v>
      </c>
      <c r="E96" s="17" t="inlineStr">
        <is>
          <t>PCS</t>
        </is>
      </c>
      <c r="F96" s="18" t="n"/>
      <c r="G96" s="18" t="n">
        <v>291</v>
      </c>
      <c r="H96" s="68">
        <f>SUM(#REF!)</f>
        <v/>
      </c>
      <c r="I96" s="26">
        <f>H96/12</f>
        <v/>
      </c>
      <c r="J96" s="20">
        <f>SUMIFS(領用表!$L:$L,領用表!$E:$E,$B96,領用表!$B:$B,J$2&amp;$R$1)</f>
        <v/>
      </c>
      <c r="K96" s="20">
        <f>SUMIFS(領用表!$L:$L,領用表!$E:$E,$B96,領用表!$B:$B,K$2&amp;$R$1)</f>
        <v/>
      </c>
      <c r="L96" s="20">
        <f>SUMIFS(領用表!$L:$L,領用表!$E:$E,$B96,領用表!$B:$B,L$2&amp;$R$1)</f>
        <v/>
      </c>
      <c r="M96" s="142">
        <f>SUMIFS(領用表!$L:$L,領用表!$E:$E,$B96,領用表!$B:$B,M$2&amp;$R$1)</f>
        <v/>
      </c>
      <c r="N96" s="142">
        <f>SUMIFS(領用表!$L:$L,領用表!$E:$E,$B96,領用表!$B:$B,N$2&amp;$R$1)</f>
        <v/>
      </c>
      <c r="O96" s="142">
        <f>SUMIFS(領用表!$L:$L,領用表!$E:$E,$B96,領用表!$B:$B,O$2&amp;$R$1)</f>
        <v/>
      </c>
      <c r="P96" s="23">
        <f>SUM(,J96,K96,L96,M96,N96,O96)</f>
        <v/>
      </c>
      <c r="Q96" s="23">
        <f>AVERAGE(,J96,K96,L96,M96,N96,O96)</f>
        <v/>
      </c>
      <c r="R96" s="142">
        <f>SUMIFS(領用表!$L:$L,領用表!$E:$E,$B96,領用表!$B:$B,R$2&amp;$R$1)</f>
        <v/>
      </c>
      <c r="S96" s="142">
        <f>SUMIFS(領用表!$L:$L,領用表!$E:$E,$B96,領用表!$B:$B,S$2&amp;$R$1)</f>
        <v/>
      </c>
      <c r="T96" s="142">
        <f>SUMIFS(領用表!$L:$L,領用表!$E:$E,$B96,領用表!$B:$B,T$2&amp;$R$1)</f>
        <v/>
      </c>
      <c r="U96" s="142">
        <f>SUMIFS(領用表!$L:$L,領用表!$E:$E,$B96,領用表!$B:$B,U$2&amp;$R$1)</f>
        <v/>
      </c>
      <c r="V96" s="142">
        <f>SUMIFS(領用表!$L:$L,領用表!$E:$E,$B96,領用表!$B:$B,V$2&amp;$R$1)</f>
        <v/>
      </c>
      <c r="W96" s="142" t="n">
        <v>6</v>
      </c>
      <c r="X96" s="142">
        <f>SUMIFS(領用表!$L:$L,領用表!$E:$E,$B96,領用表!$B:$B,X$2&amp;$R$1)</f>
        <v/>
      </c>
      <c r="Y96" s="142">
        <f>SUMIFS(領用表!$L:$L,領用表!$E:$E,$B96,領用表!$B:$B,Y$2&amp;$R$1)</f>
        <v/>
      </c>
      <c r="Z96" s="142">
        <f>SUMIFS(領用表!$L:$L,領用表!$E:$E,$B96,領用表!$B:$B,Z$2&amp;$R$1)</f>
        <v/>
      </c>
      <c r="AA96" s="142">
        <f>SUMIFS(領用表!$L:$L,領用表!$E:$E,$B96,領用表!$B:$B,AA$2&amp;$R$1)</f>
        <v/>
      </c>
      <c r="AB96" s="142">
        <f>SUMIFS(領用表!$L:$L,領用表!$E:$E,$B96,領用表!$B:$B,AB$2&amp;$R$1)</f>
        <v/>
      </c>
      <c r="AC96" s="142">
        <f>SUMIFS(領用表!$L:$L,領用表!$E:$E,$B96,領用表!$B:$B,AC$2&amp;$R$1)</f>
        <v/>
      </c>
      <c r="AD96" s="142">
        <f>SUM(R96,S96,T96,U96,V96,W96)</f>
        <v/>
      </c>
      <c r="AE96" s="142">
        <f>AVERAGE(R96,S96,T96,U96,V96,W96)</f>
        <v/>
      </c>
      <c r="AF96" s="142">
        <f>SUMIF(Summary!B:B,B96,Summary!EB:EB)</f>
        <v/>
      </c>
      <c r="AG96" s="108" t="n">
        <v>20</v>
      </c>
      <c r="AH96" s="65" t="n"/>
      <c r="AI96" s="76" t="inlineStr">
        <is>
          <t>100-10/22</t>
        </is>
      </c>
      <c r="AJ96" s="65" t="inlineStr">
        <is>
          <t>200-10/22</t>
        </is>
      </c>
      <c r="AK96" s="27" t="n"/>
      <c r="AL96" s="27" t="n"/>
      <c r="AM96" s="14" t="n"/>
      <c r="AN96" s="29" t="n"/>
    </row>
    <row r="97" ht="15.75" customHeight="1" s="453">
      <c r="A97" s="27" t="n"/>
      <c r="B97" s="14" t="n">
        <v>6120021</v>
      </c>
      <c r="C97" s="136" t="inlineStr">
        <is>
          <t>諾貝爾(維他命C 20ml)</t>
        </is>
      </c>
      <c r="D97" s="72" t="n">
        <v>50</v>
      </c>
      <c r="E97" s="17" t="inlineStr">
        <is>
          <t>PCS</t>
        </is>
      </c>
      <c r="F97" s="18" t="n"/>
      <c r="G97" s="18" t="n">
        <v>0</v>
      </c>
      <c r="H97" s="68">
        <f>SUM(#REF!)</f>
        <v/>
      </c>
      <c r="I97" s="26">
        <f>H97/12</f>
        <v/>
      </c>
      <c r="J97" s="20">
        <f>SUMIFS(領用表!$L:$L,領用表!$E:$E,$B97,領用表!$B:$B,J$2&amp;$R$1)</f>
        <v/>
      </c>
      <c r="K97" s="20">
        <f>SUMIFS(領用表!$L:$L,領用表!$E:$E,$B97,領用表!$B:$B,K$2&amp;$R$1)</f>
        <v/>
      </c>
      <c r="L97" s="20">
        <f>SUMIFS(領用表!$L:$L,領用表!$E:$E,$B97,領用表!$B:$B,L$2&amp;$R$1)</f>
        <v/>
      </c>
      <c r="M97" s="142">
        <f>SUMIFS(領用表!$L:$L,領用表!$E:$E,$B97,領用表!$B:$B,M$2&amp;$R$1)</f>
        <v/>
      </c>
      <c r="N97" s="142">
        <f>SUMIFS(領用表!$L:$L,領用表!$E:$E,$B97,領用表!$B:$B,N$2&amp;$R$1)</f>
        <v/>
      </c>
      <c r="O97" s="142">
        <f>SUMIFS(領用表!$L:$L,領用表!$E:$E,$B97,領用表!$B:$B,O$2&amp;$R$1)</f>
        <v/>
      </c>
      <c r="P97" s="23">
        <f>SUM(,J97,K97,L97,M97,N97,O97)</f>
        <v/>
      </c>
      <c r="Q97" s="23">
        <f>AVERAGE(,J97,K97,L97,M97,N97,O97)</f>
        <v/>
      </c>
      <c r="R97" s="142">
        <f>SUMIFS(領用表!$L:$L,領用表!$E:$E,$B97,領用表!$B:$B,R$2&amp;$R$1)</f>
        <v/>
      </c>
      <c r="S97" s="142">
        <f>SUMIFS(領用表!$L:$L,領用表!$E:$E,$B97,領用表!$B:$B,S$2&amp;$R$1)</f>
        <v/>
      </c>
      <c r="T97" s="142">
        <f>SUMIFS(領用表!$L:$L,領用表!$E:$E,$B97,領用表!$B:$B,T$2&amp;$R$1)</f>
        <v/>
      </c>
      <c r="U97" s="142">
        <f>SUMIFS(領用表!$L:$L,領用表!$E:$E,$B97,領用表!$B:$B,U$2&amp;$R$1)</f>
        <v/>
      </c>
      <c r="V97" s="142">
        <f>SUMIFS(領用表!$L:$L,領用表!$E:$E,$B97,領用表!$B:$B,V$2&amp;$R$1)</f>
        <v/>
      </c>
      <c r="W97" s="142" t="n">
        <v>52</v>
      </c>
      <c r="X97" s="142">
        <f>SUMIFS(領用表!$L:$L,領用表!$E:$E,$B97,領用表!$B:$B,X$2&amp;$R$1)</f>
        <v/>
      </c>
      <c r="Y97" s="142">
        <f>SUMIFS(領用表!$L:$L,領用表!$E:$E,$B97,領用表!$B:$B,Y$2&amp;$R$1)</f>
        <v/>
      </c>
      <c r="Z97" s="142">
        <f>SUMIFS(領用表!$L:$L,領用表!$E:$E,$B97,領用表!$B:$B,Z$2&amp;$R$1)</f>
        <v/>
      </c>
      <c r="AA97" s="142">
        <f>SUMIFS(領用表!$L:$L,領用表!$E:$E,$B97,領用表!$B:$B,AA$2&amp;$R$1)</f>
        <v/>
      </c>
      <c r="AB97" s="142">
        <f>SUMIFS(領用表!$L:$L,領用表!$E:$E,$B97,領用表!$B:$B,AB$2&amp;$R$1)</f>
        <v/>
      </c>
      <c r="AC97" s="142">
        <f>SUMIFS(領用表!$L:$L,領用表!$E:$E,$B97,領用表!$B:$B,AC$2&amp;$R$1)</f>
        <v/>
      </c>
      <c r="AD97" s="142">
        <f>SUM(R97,S97,T97,U97,V97,W97)</f>
        <v/>
      </c>
      <c r="AE97" s="142">
        <f>AVERAGE(R97,S97,T97,U97,V97,W97)</f>
        <v/>
      </c>
      <c r="AF97" s="142">
        <f>SUMIF(Summary!B:B,B97,Summary!EB:EB)</f>
        <v/>
      </c>
      <c r="AG97" s="108" t="n">
        <v>20</v>
      </c>
      <c r="AH97" s="65" t="n"/>
      <c r="AI97" s="76" t="inlineStr">
        <is>
          <t>50-10/22</t>
        </is>
      </c>
      <c r="AJ97" s="65" t="n"/>
      <c r="AK97" s="27" t="n"/>
      <c r="AL97" s="69" t="n"/>
      <c r="AM97" s="14" t="n"/>
      <c r="AN97" s="14" t="n"/>
    </row>
    <row r="98" ht="15.75" customHeight="1" s="453">
      <c r="A98" s="27" t="n"/>
      <c r="B98" s="14" t="n">
        <v>6120022</v>
      </c>
      <c r="C98" s="136" t="inlineStr">
        <is>
          <t>循必利</t>
        </is>
      </c>
      <c r="D98" s="72" t="n"/>
      <c r="E98" s="17" t="inlineStr">
        <is>
          <t>PCS</t>
        </is>
      </c>
      <c r="F98" s="18" t="n"/>
      <c r="G98" s="18" t="n">
        <v>34</v>
      </c>
      <c r="H98" s="68">
        <f>SUM(#REF!)</f>
        <v/>
      </c>
      <c r="I98" s="26">
        <f>H98/12</f>
        <v/>
      </c>
      <c r="J98" s="20">
        <f>SUMIFS(領用表!$L:$L,領用表!$E:$E,$B98,領用表!$B:$B,J$2&amp;$R$1)</f>
        <v/>
      </c>
      <c r="K98" s="20">
        <f>SUMIFS(領用表!$L:$L,領用表!$E:$E,$B98,領用表!$B:$B,K$2&amp;$R$1)</f>
        <v/>
      </c>
      <c r="L98" s="20">
        <f>SUMIFS(領用表!$L:$L,領用表!$E:$E,$B98,領用表!$B:$B,L$2&amp;$R$1)</f>
        <v/>
      </c>
      <c r="M98" s="142">
        <f>SUMIFS(領用表!$L:$L,領用表!$E:$E,$B98,領用表!$B:$B,M$2&amp;$R$1)</f>
        <v/>
      </c>
      <c r="N98" s="142">
        <f>SUMIFS(領用表!$L:$L,領用表!$E:$E,$B98,領用表!$B:$B,N$2&amp;$R$1)</f>
        <v/>
      </c>
      <c r="O98" s="142">
        <f>SUMIFS(領用表!$L:$L,領用表!$E:$E,$B98,領用表!$B:$B,O$2&amp;$R$1)</f>
        <v/>
      </c>
      <c r="P98" s="23">
        <f>SUM(,J98,K98,L98,M98,N98,O98)</f>
        <v/>
      </c>
      <c r="Q98" s="23">
        <f>AVERAGE(,J98,K98,L98,M98,N98,O98)</f>
        <v/>
      </c>
      <c r="R98" s="142">
        <f>SUMIFS(領用表!$L:$L,領用表!$E:$E,$B98,領用表!$B:$B,R$2&amp;$R$1)</f>
        <v/>
      </c>
      <c r="S98" s="142">
        <f>SUMIFS(領用表!$L:$L,領用表!$E:$E,$B98,領用表!$B:$B,S$2&amp;$R$1)</f>
        <v/>
      </c>
      <c r="T98" s="142">
        <f>SUMIFS(領用表!$L:$L,領用表!$E:$E,$B98,領用表!$B:$B,T$2&amp;$R$1)</f>
        <v/>
      </c>
      <c r="U98" s="142">
        <f>SUMIFS(領用表!$L:$L,領用表!$E:$E,$B98,領用表!$B:$B,U$2&amp;$R$1)</f>
        <v/>
      </c>
      <c r="V98" s="142">
        <f>SUMIFS(領用表!$L:$L,領用表!$E:$E,$B98,領用表!$B:$B,V$2&amp;$R$1)</f>
        <v/>
      </c>
      <c r="W98" s="142" t="n">
        <v>2</v>
      </c>
      <c r="X98" s="142">
        <f>SUMIFS(領用表!$L:$L,領用表!$E:$E,$B98,領用表!$B:$B,X$2&amp;$R$1)</f>
        <v/>
      </c>
      <c r="Y98" s="142">
        <f>SUMIFS(領用表!$L:$L,領用表!$E:$E,$B98,領用表!$B:$B,Y$2&amp;$R$1)</f>
        <v/>
      </c>
      <c r="Z98" s="142">
        <f>SUMIFS(領用表!$L:$L,領用表!$E:$E,$B98,領用表!$B:$B,Z$2&amp;$R$1)</f>
        <v/>
      </c>
      <c r="AA98" s="142">
        <f>SUMIFS(領用表!$L:$L,領用表!$E:$E,$B98,領用表!$B:$B,AA$2&amp;$R$1)</f>
        <v/>
      </c>
      <c r="AB98" s="142">
        <f>SUMIFS(領用表!$L:$L,領用表!$E:$E,$B98,領用表!$B:$B,AB$2&amp;$R$1)</f>
        <v/>
      </c>
      <c r="AC98" s="142">
        <f>SUMIFS(領用表!$L:$L,領用表!$E:$E,$B98,領用表!$B:$B,AC$2&amp;$R$1)</f>
        <v/>
      </c>
      <c r="AD98" s="142">
        <f>SUM(R98,S98,T98,U98,V98,W98)</f>
        <v/>
      </c>
      <c r="AE98" s="142">
        <f>AVERAGE(R98,S98,T98,U98,V98,W98)</f>
        <v/>
      </c>
      <c r="AF98" s="142">
        <f>SUMIF(Summary!B:B,B98,Summary!EB:EB)</f>
        <v/>
      </c>
      <c r="AG98" s="108" t="n">
        <v>3</v>
      </c>
      <c r="AH98" s="65" t="n"/>
      <c r="AI98" s="65" t="n"/>
      <c r="AJ98" s="65" t="n"/>
      <c r="AK98" s="27" t="n"/>
      <c r="AL98" s="69" t="n"/>
      <c r="AM98" s="14" t="n"/>
      <c r="AN98" s="14" t="n"/>
    </row>
    <row r="99" ht="15.75" customHeight="1" s="453">
      <c r="A99" s="27" t="n"/>
      <c r="B99" s="14" t="n">
        <v>6120024</v>
      </c>
      <c r="C99" s="136" t="inlineStr">
        <is>
          <t>利都卡因 注射液2% 20ml</t>
        </is>
      </c>
      <c r="D99" s="77" t="n"/>
      <c r="E99" s="17" t="inlineStr">
        <is>
          <t>PCS</t>
        </is>
      </c>
      <c r="F99" s="18" t="n"/>
      <c r="G99" s="18" t="n">
        <v>27</v>
      </c>
      <c r="H99" s="68">
        <f>SUM(#REF!)</f>
        <v/>
      </c>
      <c r="I99" s="26">
        <f>H99/12</f>
        <v/>
      </c>
      <c r="J99" s="20">
        <f>SUMIFS(領用表!$L:$L,領用表!$E:$E,$B99,領用表!$B:$B,J$2&amp;$R$1)</f>
        <v/>
      </c>
      <c r="K99" s="20">
        <f>SUMIFS(領用表!$L:$L,領用表!$E:$E,$B99,領用表!$B:$B,K$2&amp;$R$1)</f>
        <v/>
      </c>
      <c r="L99" s="20">
        <f>SUMIFS(領用表!$L:$L,領用表!$E:$E,$B99,領用表!$B:$B,L$2&amp;$R$1)</f>
        <v/>
      </c>
      <c r="M99" s="142">
        <f>SUMIFS(領用表!$L:$L,領用表!$E:$E,$B99,領用表!$B:$B,M$2&amp;$R$1)</f>
        <v/>
      </c>
      <c r="N99" s="142">
        <f>SUMIFS(領用表!$L:$L,領用表!$E:$E,$B99,領用表!$B:$B,N$2&amp;$R$1)</f>
        <v/>
      </c>
      <c r="O99" s="142">
        <f>SUMIFS(領用表!$L:$L,領用表!$E:$E,$B99,領用表!$B:$B,O$2&amp;$R$1)</f>
        <v/>
      </c>
      <c r="P99" s="23">
        <f>SUM(,J99,K99,L99,M99,N99,O99)</f>
        <v/>
      </c>
      <c r="Q99" s="23">
        <f>AVERAGE(,J99,K99,L99,M99,N99,O99)</f>
        <v/>
      </c>
      <c r="R99" s="142">
        <f>SUMIFS(領用表!$L:$L,領用表!$E:$E,$B99,領用表!$B:$B,R$2&amp;$R$1)</f>
        <v/>
      </c>
      <c r="S99" s="142">
        <f>SUMIFS(領用表!$L:$L,領用表!$E:$E,$B99,領用表!$B:$B,S$2&amp;$R$1)</f>
        <v/>
      </c>
      <c r="T99" s="142">
        <f>SUMIFS(領用表!$L:$L,領用表!$E:$E,$B99,領用表!$B:$B,T$2&amp;$R$1)</f>
        <v/>
      </c>
      <c r="U99" s="142">
        <f>SUMIFS(領用表!$L:$L,領用表!$E:$E,$B99,領用表!$B:$B,U$2&amp;$R$1)</f>
        <v/>
      </c>
      <c r="V99" s="142">
        <f>SUMIFS(領用表!$L:$L,領用表!$E:$E,$B99,領用表!$B:$B,V$2&amp;$R$1)</f>
        <v/>
      </c>
      <c r="W99" s="142" t="n"/>
      <c r="X99" s="142">
        <f>SUMIFS(領用表!$L:$L,領用表!$E:$E,$B99,領用表!$B:$B,X$2&amp;$R$1)</f>
        <v/>
      </c>
      <c r="Y99" s="142">
        <f>SUMIFS(領用表!$L:$L,領用表!$E:$E,$B99,領用表!$B:$B,Y$2&amp;$R$1)</f>
        <v/>
      </c>
      <c r="Z99" s="142">
        <f>SUMIFS(領用表!$L:$L,領用表!$E:$E,$B99,領用表!$B:$B,Z$2&amp;$R$1)</f>
        <v/>
      </c>
      <c r="AA99" s="142">
        <f>SUMIFS(領用表!$L:$L,領用表!$E:$E,$B99,領用表!$B:$B,AA$2&amp;$R$1)</f>
        <v/>
      </c>
      <c r="AB99" s="142">
        <f>SUMIFS(領用表!$L:$L,領用表!$E:$E,$B99,領用表!$B:$B,AB$2&amp;$R$1)</f>
        <v/>
      </c>
      <c r="AC99" s="142">
        <f>SUMIFS(領用表!$L:$L,領用表!$E:$E,$B99,領用表!$B:$B,AC$2&amp;$R$1)</f>
        <v/>
      </c>
      <c r="AD99" s="142">
        <f>SUM(R99,S99,T99,U99,V99,W99)</f>
        <v/>
      </c>
      <c r="AE99" s="142">
        <f>AVERAGE(R99,S99,T99,U99,V99,W99)</f>
        <v/>
      </c>
      <c r="AF99" s="142">
        <f>SUMIF(Summary!B:B,B99,Summary!EB:EB)</f>
        <v/>
      </c>
      <c r="AG99" s="109" t="n">
        <v>3</v>
      </c>
      <c r="AH99" s="65" t="n"/>
      <c r="AI99" s="65" t="n"/>
      <c r="AJ99" s="65" t="n"/>
      <c r="AK99" s="27" t="n"/>
      <c r="AL99" s="27" t="n"/>
      <c r="AM99" s="14" t="n"/>
      <c r="AN99" s="29" t="n"/>
    </row>
    <row r="100" ht="15.75" customHeight="1" s="453">
      <c r="A100" s="27" t="n"/>
      <c r="B100" s="14" t="n">
        <v>6120025</v>
      </c>
      <c r="C100" s="136" t="inlineStr">
        <is>
          <t>利度膚寧(含epinephrine) 20ml</t>
        </is>
      </c>
      <c r="D100" s="77" t="n"/>
      <c r="E100" s="17" t="inlineStr">
        <is>
          <t>PCS</t>
        </is>
      </c>
      <c r="F100" s="18" t="n"/>
      <c r="G100" s="18" t="n">
        <v>53</v>
      </c>
      <c r="H100" s="68">
        <f>SUM(#REF!)</f>
        <v/>
      </c>
      <c r="I100" s="26">
        <f>H100/12</f>
        <v/>
      </c>
      <c r="J100" s="20">
        <f>SUMIFS(領用表!$L:$L,領用表!$E:$E,$B100,領用表!$B:$B,J$2&amp;$R$1)</f>
        <v/>
      </c>
      <c r="K100" s="20">
        <f>SUMIFS(領用表!$L:$L,領用表!$E:$E,$B100,領用表!$B:$B,K$2&amp;$R$1)</f>
        <v/>
      </c>
      <c r="L100" s="20">
        <f>SUMIFS(領用表!$L:$L,領用表!$E:$E,$B100,領用表!$B:$B,L$2&amp;$R$1)</f>
        <v/>
      </c>
      <c r="M100" s="142">
        <f>SUMIFS(領用表!$L:$L,領用表!$E:$E,$B100,領用表!$B:$B,M$2&amp;$R$1)</f>
        <v/>
      </c>
      <c r="N100" s="142">
        <f>SUMIFS(領用表!$L:$L,領用表!$E:$E,$B100,領用表!$B:$B,N$2&amp;$R$1)</f>
        <v/>
      </c>
      <c r="O100" s="142">
        <f>SUMIFS(領用表!$L:$L,領用表!$E:$E,$B100,領用表!$B:$B,O$2&amp;$R$1)</f>
        <v/>
      </c>
      <c r="P100" s="23">
        <f>SUM(,J100,K100,L100,M100,N100,O100)</f>
        <v/>
      </c>
      <c r="Q100" s="23">
        <f>AVERAGE(,J100,K100,L100,M100,N100,O100)</f>
        <v/>
      </c>
      <c r="R100" s="142">
        <f>SUMIFS(領用表!$L:$L,領用表!$E:$E,$B100,領用表!$B:$B,R$2&amp;$R$1)</f>
        <v/>
      </c>
      <c r="S100" s="142">
        <f>SUMIFS(領用表!$L:$L,領用表!$E:$E,$B100,領用表!$B:$B,S$2&amp;$R$1)</f>
        <v/>
      </c>
      <c r="T100" s="142">
        <f>SUMIFS(領用表!$L:$L,領用表!$E:$E,$B100,領用表!$B:$B,T$2&amp;$R$1)</f>
        <v/>
      </c>
      <c r="U100" s="142">
        <f>SUMIFS(領用表!$L:$L,領用表!$E:$E,$B100,領用表!$B:$B,U$2&amp;$R$1)</f>
        <v/>
      </c>
      <c r="V100" s="142">
        <f>SUMIFS(領用表!$L:$L,領用表!$E:$E,$B100,領用表!$B:$B,V$2&amp;$R$1)</f>
        <v/>
      </c>
      <c r="W100" s="142" t="n"/>
      <c r="X100" s="142">
        <f>SUMIFS(領用表!$L:$L,領用表!$E:$E,$B100,領用表!$B:$B,X$2&amp;$R$1)</f>
        <v/>
      </c>
      <c r="Y100" s="142">
        <f>SUMIFS(領用表!$L:$L,領用表!$E:$E,$B100,領用表!$B:$B,Y$2&amp;$R$1)</f>
        <v/>
      </c>
      <c r="Z100" s="142">
        <f>SUMIFS(領用表!$L:$L,領用表!$E:$E,$B100,領用表!$B:$B,Z$2&amp;$R$1)</f>
        <v/>
      </c>
      <c r="AA100" s="142">
        <f>SUMIFS(領用表!$L:$L,領用表!$E:$E,$B100,領用表!$B:$B,AA$2&amp;$R$1)</f>
        <v/>
      </c>
      <c r="AB100" s="142">
        <f>SUMIFS(領用表!$L:$L,領用表!$E:$E,$B100,領用表!$B:$B,AB$2&amp;$R$1)</f>
        <v/>
      </c>
      <c r="AC100" s="142">
        <f>SUMIFS(領用表!$L:$L,領用表!$E:$E,$B100,領用表!$B:$B,AC$2&amp;$R$1)</f>
        <v/>
      </c>
      <c r="AD100" s="142">
        <f>SUM(R100,S100,T100,U100,V100,W100)</f>
        <v/>
      </c>
      <c r="AE100" s="142">
        <f>AVERAGE(R100,S100,T100,U100,V100,W100)</f>
        <v/>
      </c>
      <c r="AF100" s="142">
        <f>SUMIF(Summary!B:B,B100,Summary!EB:EB)</f>
        <v/>
      </c>
      <c r="AG100" s="109" t="n">
        <v>0</v>
      </c>
      <c r="AH100" s="65" t="n"/>
      <c r="AI100" s="65" t="n"/>
      <c r="AJ100" s="65" t="n"/>
      <c r="AK100" s="27" t="n"/>
      <c r="AL100" s="27" t="n"/>
      <c r="AM100" s="14" t="n"/>
      <c r="AN100" s="29" t="n"/>
    </row>
    <row r="101" ht="15.75" customHeight="1" s="453">
      <c r="A101" s="27" t="n"/>
      <c r="B101" s="14" t="n">
        <v>6120028</v>
      </c>
      <c r="C101" s="136" t="inlineStr">
        <is>
          <t>治敏健 20ml</t>
        </is>
      </c>
      <c r="D101" s="77" t="n"/>
      <c r="E101" s="17" t="inlineStr">
        <is>
          <t>PCS</t>
        </is>
      </c>
      <c r="F101" s="18" t="n"/>
      <c r="G101" s="18" t="n">
        <v>48</v>
      </c>
      <c r="H101" s="68">
        <f>SUM(#REF!)</f>
        <v/>
      </c>
      <c r="I101" s="26">
        <f>H101/12</f>
        <v/>
      </c>
      <c r="J101" s="20">
        <f>SUMIFS(領用表!$L:$L,領用表!$E:$E,$B101,領用表!$B:$B,J$2&amp;$R$1)</f>
        <v/>
      </c>
      <c r="K101" s="20">
        <f>SUMIFS(領用表!$L:$L,領用表!$E:$E,$B101,領用表!$B:$B,K$2&amp;$R$1)</f>
        <v/>
      </c>
      <c r="L101" s="20">
        <f>SUMIFS(領用表!$L:$L,領用表!$E:$E,$B101,領用表!$B:$B,L$2&amp;$R$1)</f>
        <v/>
      </c>
      <c r="M101" s="142">
        <f>SUMIFS(領用表!$L:$L,領用表!$E:$E,$B101,領用表!$B:$B,M$2&amp;$R$1)</f>
        <v/>
      </c>
      <c r="N101" s="142">
        <f>SUMIFS(領用表!$L:$L,領用表!$E:$E,$B101,領用表!$B:$B,N$2&amp;$R$1)</f>
        <v/>
      </c>
      <c r="O101" s="142">
        <f>SUMIFS(領用表!$L:$L,領用表!$E:$E,$B101,領用表!$B:$B,O$2&amp;$R$1)</f>
        <v/>
      </c>
      <c r="P101" s="23">
        <f>SUM(,J101,K101,L101,M101,N101,O101)</f>
        <v/>
      </c>
      <c r="Q101" s="23">
        <f>AVERAGE(,J101,K101,L101,M101,N101,O101)</f>
        <v/>
      </c>
      <c r="R101" s="142">
        <f>SUMIFS(領用表!$L:$L,領用表!$E:$E,$B101,領用表!$B:$B,R$2&amp;$R$1)</f>
        <v/>
      </c>
      <c r="S101" s="142">
        <f>SUMIFS(領用表!$L:$L,領用表!$E:$E,$B101,領用表!$B:$B,S$2&amp;$R$1)</f>
        <v/>
      </c>
      <c r="T101" s="142">
        <f>SUMIFS(領用表!$L:$L,領用表!$E:$E,$B101,領用表!$B:$B,T$2&amp;$R$1)</f>
        <v/>
      </c>
      <c r="U101" s="142">
        <f>SUMIFS(領用表!$L:$L,領用表!$E:$E,$B101,領用表!$B:$B,U$2&amp;$R$1)</f>
        <v/>
      </c>
      <c r="V101" s="142">
        <f>SUMIFS(領用表!$L:$L,領用表!$E:$E,$B101,領用表!$B:$B,V$2&amp;$R$1)</f>
        <v/>
      </c>
      <c r="W101" s="142" t="n"/>
      <c r="X101" s="142">
        <f>SUMIFS(領用表!$L:$L,領用表!$E:$E,$B101,領用表!$B:$B,X$2&amp;$R$1)</f>
        <v/>
      </c>
      <c r="Y101" s="142">
        <f>SUMIFS(領用表!$L:$L,領用表!$E:$E,$B101,領用表!$B:$B,Y$2&amp;$R$1)</f>
        <v/>
      </c>
      <c r="Z101" s="142">
        <f>SUMIFS(領用表!$L:$L,領用表!$E:$E,$B101,領用表!$B:$B,Z$2&amp;$R$1)</f>
        <v/>
      </c>
      <c r="AA101" s="142">
        <f>SUMIFS(領用表!$L:$L,領用表!$E:$E,$B101,領用表!$B:$B,AA$2&amp;$R$1)</f>
        <v/>
      </c>
      <c r="AB101" s="142">
        <f>SUMIFS(領用表!$L:$L,領用表!$E:$E,$B101,領用表!$B:$B,AB$2&amp;$R$1)</f>
        <v/>
      </c>
      <c r="AC101" s="142">
        <f>SUMIFS(領用表!$L:$L,領用表!$E:$E,$B101,領用表!$B:$B,AC$2&amp;$R$1)</f>
        <v/>
      </c>
      <c r="AD101" s="142">
        <f>SUM(R101,S101,T101,U101,V101,W101)</f>
        <v/>
      </c>
      <c r="AE101" s="142">
        <f>AVERAGE(R101,S101,T101,U101,V101,W101)</f>
        <v/>
      </c>
      <c r="AF101" s="142">
        <f>SUMIF(Summary!B:B,B101,Summary!EB:EB)</f>
        <v/>
      </c>
      <c r="AG101" s="109" t="n">
        <v>3</v>
      </c>
      <c r="AH101" s="65" t="n"/>
      <c r="AI101" s="65" t="n"/>
      <c r="AJ101" s="65" t="n"/>
      <c r="AK101" s="27" t="n"/>
      <c r="AL101" s="27" t="n"/>
      <c r="AM101" s="14" t="n"/>
      <c r="AN101" s="29" t="n"/>
    </row>
    <row r="102" ht="15.75" customHeight="1" s="453" thickBot="1">
      <c r="A102" s="27" t="n"/>
      <c r="B102" s="14" t="e">
        <v>#N/A</v>
      </c>
      <c r="C102" s="136" t="inlineStr">
        <is>
          <t>B6 維他命乙6注射液 5毫克/毫升 2ml</t>
        </is>
      </c>
      <c r="D102" s="72" t="n">
        <v>100</v>
      </c>
      <c r="E102" s="17" t="inlineStr">
        <is>
          <t>PCS</t>
        </is>
      </c>
      <c r="F102" s="18" t="n"/>
      <c r="G102" s="18" t="n"/>
      <c r="H102" s="68">
        <f>SUM(#REF!)</f>
        <v/>
      </c>
      <c r="I102" s="26">
        <f>H102/12</f>
        <v/>
      </c>
      <c r="J102" s="20">
        <f>SUMIFS(領用表!$L:$L,領用表!$E:$E,$B102,領用表!$B:$B,J$2&amp;$R$1)</f>
        <v/>
      </c>
      <c r="K102" s="20">
        <f>SUMIFS(領用表!$L:$L,領用表!$E:$E,$B102,領用表!$B:$B,K$2&amp;$R$1)</f>
        <v/>
      </c>
      <c r="L102" s="20">
        <f>SUMIFS(領用表!$L:$L,領用表!$E:$E,$B102,領用表!$B:$B,L$2&amp;$R$1)</f>
        <v/>
      </c>
      <c r="M102" s="142">
        <f>SUMIFS(領用表!$L:$L,領用表!$E:$E,$B102,領用表!$B:$B,M$2&amp;$R$1)</f>
        <v/>
      </c>
      <c r="N102" s="142">
        <f>SUMIFS(領用表!$L:$L,領用表!$E:$E,$B102,領用表!$B:$B,N$2&amp;$R$1)</f>
        <v/>
      </c>
      <c r="O102" s="142">
        <f>SUMIFS(領用表!$L:$L,領用表!$E:$E,$B102,領用表!$B:$B,O$2&amp;$R$1)</f>
        <v/>
      </c>
      <c r="P102" s="23">
        <f>SUM(,J102,K102,L102,M102,N102,O102)</f>
        <v/>
      </c>
      <c r="Q102" s="23">
        <f>AVERAGE(,J102,K102,L102,M102,N102,O102)</f>
        <v/>
      </c>
      <c r="R102" s="142">
        <f>SUMIFS(領用表!$L:$L,領用表!$E:$E,$B102,領用表!$B:$B,R$2&amp;$R$1)</f>
        <v/>
      </c>
      <c r="S102" s="142">
        <f>SUMIFS(領用表!$L:$L,領用表!$E:$E,$B102,領用表!$B:$B,S$2&amp;$R$1)</f>
        <v/>
      </c>
      <c r="T102" s="142">
        <f>SUMIFS(領用表!$L:$L,領用表!$E:$E,$B102,領用表!$B:$B,T$2&amp;$R$1)</f>
        <v/>
      </c>
      <c r="U102" s="142">
        <f>SUMIFS(領用表!$L:$L,領用表!$E:$E,$B102,領用表!$B:$B,U$2&amp;$R$1)</f>
        <v/>
      </c>
      <c r="V102" s="142">
        <f>SUMIFS(領用表!$L:$L,領用表!$E:$E,$B102,領用表!$B:$B,V$2&amp;$R$1)</f>
        <v/>
      </c>
      <c r="W102" s="142">
        <f>SUMIFS(領用表!$L:$L,領用表!$E:$E,$B102,領用表!$B:$B,W$2&amp;$R$1)</f>
        <v/>
      </c>
      <c r="X102" s="142">
        <f>SUMIFS(領用表!$L:$L,領用表!$E:$E,$B102,領用表!$B:$B,X$2&amp;$R$1)</f>
        <v/>
      </c>
      <c r="Y102" s="142">
        <f>SUMIFS(領用表!$L:$L,領用表!$E:$E,$B102,領用表!$B:$B,Y$2&amp;$R$1)</f>
        <v/>
      </c>
      <c r="Z102" s="142">
        <f>SUMIFS(領用表!$L:$L,領用表!$E:$E,$B102,領用表!$B:$B,Z$2&amp;$R$1)</f>
        <v/>
      </c>
      <c r="AA102" s="142">
        <f>SUMIFS(領用表!$L:$L,領用表!$E:$E,$B102,領用表!$B:$B,AA$2&amp;$R$1)</f>
        <v/>
      </c>
      <c r="AB102" s="142">
        <f>SUMIFS(領用表!$L:$L,領用表!$E:$E,$B102,領用表!$B:$B,AB$2&amp;$R$1)</f>
        <v/>
      </c>
      <c r="AC102" s="142">
        <f>SUMIFS(領用表!$L:$L,領用表!$E:$E,$B102,領用表!$B:$B,AC$2&amp;$R$1)</f>
        <v/>
      </c>
      <c r="AD102" s="142">
        <f>SUM(R102,S102,T102,U102,V102,W102)</f>
        <v/>
      </c>
      <c r="AE102" s="142">
        <f>AVERAGE(R102,S102,T102,U102,V102,W102)</f>
        <v/>
      </c>
      <c r="AF102" s="142">
        <f>SUMIF(Summary!B:B,B102,Summary!EB:EB)</f>
        <v/>
      </c>
      <c r="AG102" s="108" t="n">
        <v>5</v>
      </c>
      <c r="AH102" s="65" t="n"/>
      <c r="AI102" s="65" t="n"/>
      <c r="AJ102" s="65" t="n"/>
      <c r="AK102" s="27" t="n"/>
      <c r="AL102" s="69" t="n"/>
      <c r="AM102" s="14" t="n"/>
      <c r="AN102" s="14" t="n"/>
    </row>
    <row r="103" ht="15.75" customHeight="1" s="453" thickBot="1">
      <c r="A103" s="196" t="inlineStr">
        <is>
          <t>MB3ME090038A</t>
        </is>
      </c>
      <c r="B103" s="191" t="n">
        <v>6120037</v>
      </c>
      <c r="C103" s="193" t="inlineStr">
        <is>
          <t>(B群) 美久奧林 20ml/支</t>
        </is>
      </c>
      <c r="D103" s="72" t="n"/>
      <c r="E103" s="17" t="n"/>
      <c r="F103" s="18" t="n"/>
      <c r="G103" s="18" t="n"/>
      <c r="H103" s="68">
        <f>SUM(#REF!)</f>
        <v/>
      </c>
      <c r="I103" s="26">
        <f>H103/12</f>
        <v/>
      </c>
      <c r="J103" s="20">
        <f>SUMIFS(領用表!$L:$L,領用表!$E:$E,$B103,領用表!$B:$B,J$2&amp;$R$1)</f>
        <v/>
      </c>
      <c r="K103" s="20">
        <f>SUMIFS(領用表!$L:$L,領用表!$E:$E,$B103,領用表!$B:$B,K$2&amp;$R$1)</f>
        <v/>
      </c>
      <c r="L103" s="20">
        <f>SUMIFS(領用表!$L:$L,領用表!$E:$E,$B103,領用表!$B:$B,L$2&amp;$R$1)</f>
        <v/>
      </c>
      <c r="M103" s="142">
        <f>SUMIFS(領用表!$L:$L,領用表!$E:$E,$B103,領用表!$B:$B,M$2&amp;$R$1)</f>
        <v/>
      </c>
      <c r="N103" s="142">
        <f>SUMIFS(領用表!$L:$L,領用表!$E:$E,$B103,領用表!$B:$B,N$2&amp;$R$1)</f>
        <v/>
      </c>
      <c r="O103" s="142">
        <f>SUMIFS(領用表!$L:$L,領用表!$E:$E,$B103,領用表!$B:$B,O$2&amp;$R$1)</f>
        <v/>
      </c>
      <c r="P103" s="23">
        <f>SUM(,J103,K103,L103,M103,N103,O103)</f>
        <v/>
      </c>
      <c r="Q103" s="23">
        <f>AVERAGE(,J103,K103,L103,M103,N103,O103)</f>
        <v/>
      </c>
      <c r="R103" s="142">
        <f>SUMIFS(領用表!$L:$L,領用表!$E:$E,$B103,領用表!$B:$B,R$2&amp;$R$1)</f>
        <v/>
      </c>
      <c r="S103" s="142">
        <f>SUMIFS(領用表!$L:$L,領用表!$E:$E,$B103,領用表!$B:$B,S$2&amp;$R$1)</f>
        <v/>
      </c>
      <c r="T103" s="142">
        <f>SUMIFS(領用表!$L:$L,領用表!$E:$E,$B103,領用表!$B:$B,T$2&amp;$R$1)</f>
        <v/>
      </c>
      <c r="U103" s="142">
        <f>SUMIFS(領用表!$L:$L,領用表!$E:$E,$B103,領用表!$B:$B,U$2&amp;$R$1)</f>
        <v/>
      </c>
      <c r="V103" s="142">
        <f>SUMIFS(領用表!$L:$L,領用表!$E:$E,$B103,領用表!$B:$B,V$2&amp;$R$1)</f>
        <v/>
      </c>
      <c r="W103" s="142" t="n"/>
      <c r="X103" s="142">
        <f>SUMIFS(領用表!$L:$L,領用表!$E:$E,$B103,領用表!$B:$B,X$2&amp;$R$1)</f>
        <v/>
      </c>
      <c r="Y103" s="142">
        <f>SUMIFS(領用表!$L:$L,領用表!$E:$E,$B103,領用表!$B:$B,Y$2&amp;$R$1)</f>
        <v/>
      </c>
      <c r="Z103" s="142">
        <f>SUMIFS(領用表!$L:$L,領用表!$E:$E,$B103,領用表!$B:$B,Z$2&amp;$R$1)</f>
        <v/>
      </c>
      <c r="AA103" s="142">
        <f>SUMIFS(領用表!$L:$L,領用表!$E:$E,$B103,領用表!$B:$B,AA$2&amp;$R$1)</f>
        <v/>
      </c>
      <c r="AB103" s="142">
        <f>SUMIFS(領用表!$L:$L,領用表!$E:$E,$B103,領用表!$B:$B,AB$2&amp;$R$1)</f>
        <v/>
      </c>
      <c r="AC103" s="142">
        <f>SUMIFS(領用表!$L:$L,領用表!$E:$E,$B103,領用表!$B:$B,AC$2&amp;$R$1)</f>
        <v/>
      </c>
      <c r="AD103" s="142">
        <f>SUM(R103,S103,T103,U103,V103,W103)</f>
        <v/>
      </c>
      <c r="AE103" s="142">
        <f>AVERAGE(R103,S103,T103,U103,V103,W103)</f>
        <v/>
      </c>
      <c r="AF103" s="142">
        <f>SUMIF(Summary!B:B,B103,Summary!EB:EB)</f>
        <v/>
      </c>
      <c r="AG103" s="108" t="n"/>
      <c r="AH103" s="65" t="n"/>
      <c r="AI103" s="76" t="n"/>
      <c r="AJ103" s="65" t="n"/>
      <c r="AK103" s="27" t="n"/>
      <c r="AL103" s="69" t="n"/>
      <c r="AM103" s="14" t="n"/>
      <c r="AN103" s="14" t="n"/>
    </row>
    <row r="104" ht="15.75" customHeight="1" s="453" thickBot="1">
      <c r="A104" s="196" t="inlineStr">
        <is>
          <t>MB3ME090039A</t>
        </is>
      </c>
      <c r="B104" s="191" t="n">
        <v>6120038</v>
      </c>
      <c r="C104" s="193" t="inlineStr">
        <is>
          <t>(Vit C+B) 維他補舒Vitaplex 20ml/支</t>
        </is>
      </c>
      <c r="D104" s="72" t="n"/>
      <c r="E104" s="17" t="n"/>
      <c r="F104" s="18" t="n"/>
      <c r="G104" s="18" t="n">
        <v>609</v>
      </c>
      <c r="H104" s="68">
        <f>SUM(#REF!)</f>
        <v/>
      </c>
      <c r="I104" s="26">
        <f>H104/12</f>
        <v/>
      </c>
      <c r="J104" s="20">
        <f>SUMIFS(領用表!$L:$L,領用表!$E:$E,$B104,領用表!$B:$B,J$2&amp;$R$1)</f>
        <v/>
      </c>
      <c r="K104" s="20">
        <f>SUMIFS(領用表!$L:$L,領用表!$E:$E,$B104,領用表!$B:$B,K$2&amp;$R$1)</f>
        <v/>
      </c>
      <c r="L104" s="20">
        <f>SUMIFS(領用表!$L:$L,領用表!$E:$E,$B104,領用表!$B:$B,L$2&amp;$R$1)</f>
        <v/>
      </c>
      <c r="M104" s="142">
        <f>SUMIFS(領用表!$L:$L,領用表!$E:$E,$B104,領用表!$B:$B,M$2&amp;$R$1)</f>
        <v/>
      </c>
      <c r="N104" s="142">
        <f>SUMIFS(領用表!$L:$L,領用表!$E:$E,$B104,領用表!$B:$B,N$2&amp;$R$1)</f>
        <v/>
      </c>
      <c r="O104" s="142">
        <f>SUMIFS(領用表!$L:$L,領用表!$E:$E,$B104,領用表!$B:$B,O$2&amp;$R$1)</f>
        <v/>
      </c>
      <c r="P104" s="23">
        <f>SUM(,J104,K104,L104,M104,N104,O104)</f>
        <v/>
      </c>
      <c r="Q104" s="23">
        <f>AVERAGE(,J104,K104,L104,M104,N104,O104)</f>
        <v/>
      </c>
      <c r="R104" s="142">
        <f>SUMIFS(領用表!$L:$L,領用表!$E:$E,$B104,領用表!$B:$B,R$2&amp;$R$1)</f>
        <v/>
      </c>
      <c r="S104" s="142">
        <f>SUMIFS(領用表!$L:$L,領用表!$E:$E,$B104,領用表!$B:$B,S$2&amp;$R$1)</f>
        <v/>
      </c>
      <c r="T104" s="142">
        <f>SUMIFS(領用表!$L:$L,領用表!$E:$E,$B104,領用表!$B:$B,T$2&amp;$R$1)</f>
        <v/>
      </c>
      <c r="U104" s="142">
        <f>SUMIFS(領用表!$L:$L,領用表!$E:$E,$B104,領用表!$B:$B,U$2&amp;$R$1)</f>
        <v/>
      </c>
      <c r="V104" s="142">
        <f>SUMIFS(領用表!$L:$L,領用表!$E:$E,$B104,領用表!$B:$B,V$2&amp;$R$1)</f>
        <v/>
      </c>
      <c r="W104" s="142" t="n"/>
      <c r="X104" s="142">
        <f>SUMIFS(領用表!$L:$L,領用表!$E:$E,$B104,領用表!$B:$B,X$2&amp;$R$1)</f>
        <v/>
      </c>
      <c r="Y104" s="142">
        <f>SUMIFS(領用表!$L:$L,領用表!$E:$E,$B104,領用表!$B:$B,Y$2&amp;$R$1)</f>
        <v/>
      </c>
      <c r="Z104" s="142">
        <f>SUMIFS(領用表!$L:$L,領用表!$E:$E,$B104,領用表!$B:$B,Z$2&amp;$R$1)</f>
        <v/>
      </c>
      <c r="AA104" s="142">
        <f>SUMIFS(領用表!$L:$L,領用表!$E:$E,$B104,領用表!$B:$B,AA$2&amp;$R$1)</f>
        <v/>
      </c>
      <c r="AB104" s="142">
        <f>SUMIFS(領用表!$L:$L,領用表!$E:$E,$B104,領用表!$B:$B,AB$2&amp;$R$1)</f>
        <v/>
      </c>
      <c r="AC104" s="142">
        <f>SUMIFS(領用表!$L:$L,領用表!$E:$E,$B104,領用表!$B:$B,AC$2&amp;$R$1)</f>
        <v/>
      </c>
      <c r="AD104" s="142">
        <f>SUM(R104,S104,T104,U104,V104,W104)</f>
        <v/>
      </c>
      <c r="AE104" s="142">
        <f>AVERAGE(R104,S104,T104,U104,V104,W104)</f>
        <v/>
      </c>
      <c r="AF104" s="142">
        <f>SUMIF(Summary!B:B,B104,Summary!EB:EB)</f>
        <v/>
      </c>
      <c r="AG104" s="108" t="n"/>
      <c r="AH104" s="65" t="n"/>
      <c r="AI104" s="76" t="n"/>
      <c r="AJ104" s="65" t="n"/>
      <c r="AK104" s="27" t="n"/>
      <c r="AL104" s="69" t="n"/>
      <c r="AM104" s="14" t="n"/>
      <c r="AN104" s="14" t="n"/>
    </row>
    <row r="105" ht="15.75" customHeight="1" s="453">
      <c r="A105" s="27" t="n"/>
      <c r="B105" s="14" t="e">
        <v>#N/A</v>
      </c>
      <c r="C105" s="27" t="inlineStr">
        <is>
          <t>金恩特</t>
        </is>
      </c>
      <c r="D105" s="77" t="n"/>
      <c r="E105" s="17" t="inlineStr">
        <is>
          <t>PCS</t>
        </is>
      </c>
      <c r="F105" s="18" t="n"/>
      <c r="G105" s="18" t="n"/>
      <c r="H105" s="68">
        <f>SUM(#REF!)</f>
        <v/>
      </c>
      <c r="I105" s="26">
        <f>H105/12</f>
        <v/>
      </c>
      <c r="J105" s="20">
        <f>SUMIFS(領用表!$L:$L,領用表!$E:$E,$B105,領用表!$B:$B,J$2&amp;$R$1)</f>
        <v/>
      </c>
      <c r="K105" s="20">
        <f>SUMIFS(領用表!$L:$L,領用表!$E:$E,$B105,領用表!$B:$B,K$2&amp;$R$1)</f>
        <v/>
      </c>
      <c r="L105" s="20">
        <f>SUMIFS(領用表!$L:$L,領用表!$E:$E,$B105,領用表!$B:$B,L$2&amp;$R$1)</f>
        <v/>
      </c>
      <c r="M105" s="142">
        <f>SUMIFS(領用表!$L:$L,領用表!$E:$E,$B105,領用表!$B:$B,M$2&amp;$R$1)</f>
        <v/>
      </c>
      <c r="N105" s="142">
        <f>SUMIFS(領用表!$L:$L,領用表!$E:$E,$B105,領用表!$B:$B,N$2&amp;$R$1)</f>
        <v/>
      </c>
      <c r="O105" s="142">
        <f>SUMIFS(領用表!$L:$L,領用表!$E:$E,$B105,領用表!$B:$B,O$2&amp;$R$1)</f>
        <v/>
      </c>
      <c r="P105" s="23">
        <f>SUM(,J105,K105,L105,M105,N105,O105)</f>
        <v/>
      </c>
      <c r="Q105" s="23">
        <f>AVERAGE(,J105,K105,L105,M105,N105,O105)</f>
        <v/>
      </c>
      <c r="R105" s="142">
        <f>SUMIFS(領用表!$L:$L,領用表!$E:$E,$B105,領用表!$B:$B,R$2&amp;$R$1)</f>
        <v/>
      </c>
      <c r="S105" s="142">
        <f>SUMIFS(領用表!$L:$L,領用表!$E:$E,$B105,領用表!$B:$B,S$2&amp;$R$1)</f>
        <v/>
      </c>
      <c r="T105" s="142">
        <f>SUMIFS(領用表!$L:$L,領用表!$E:$E,$B105,領用表!$B:$B,T$2&amp;$R$1)</f>
        <v/>
      </c>
      <c r="U105" s="142">
        <f>SUMIFS(領用表!$L:$L,領用表!$E:$E,$B105,領用表!$B:$B,U$2&amp;$R$1)</f>
        <v/>
      </c>
      <c r="V105" s="142">
        <f>SUMIFS(領用表!$L:$L,領用表!$E:$E,$B105,領用表!$B:$B,V$2&amp;$R$1)</f>
        <v/>
      </c>
      <c r="W105" s="142">
        <f>SUMIFS(領用表!$L:$L,領用表!$E:$E,$B105,領用表!$B:$B,W$2&amp;$R$1)</f>
        <v/>
      </c>
      <c r="X105" s="142">
        <f>SUMIFS(領用表!$L:$L,領用表!$E:$E,$B105,領用表!$B:$B,X$2&amp;$R$1)</f>
        <v/>
      </c>
      <c r="Y105" s="142">
        <f>SUMIFS(領用表!$L:$L,領用表!$E:$E,$B105,領用表!$B:$B,Y$2&amp;$R$1)</f>
        <v/>
      </c>
      <c r="Z105" s="142">
        <f>SUMIFS(領用表!$L:$L,領用表!$E:$E,$B105,領用表!$B:$B,Z$2&amp;$R$1)</f>
        <v/>
      </c>
      <c r="AA105" s="142">
        <f>SUMIFS(領用表!$L:$L,領用表!$E:$E,$B105,領用表!$B:$B,AA$2&amp;$R$1)</f>
        <v/>
      </c>
      <c r="AB105" s="142">
        <f>SUMIFS(領用表!$L:$L,領用表!$E:$E,$B105,領用表!$B:$B,AB$2&amp;$R$1)</f>
        <v/>
      </c>
      <c r="AC105" s="142">
        <f>SUMIFS(領用表!$L:$L,領用表!$E:$E,$B105,領用表!$B:$B,AC$2&amp;$R$1)</f>
        <v/>
      </c>
      <c r="AD105" s="142">
        <f>SUM(R105,S105,T105,U105,V105,W105)</f>
        <v/>
      </c>
      <c r="AE105" s="142">
        <f>AVERAGE(R105,S105,T105,U105,V105,W105)</f>
        <v/>
      </c>
      <c r="AF105" s="142">
        <f>SUMIF(Summary!B:B,B105,Summary!EB:EB)</f>
        <v/>
      </c>
      <c r="AG105" s="108" t="n">
        <v>0</v>
      </c>
      <c r="AH105" s="65" t="n"/>
      <c r="AI105" s="65" t="n"/>
      <c r="AJ105" s="65" t="n"/>
      <c r="AK105" s="27" t="n"/>
      <c r="AL105" s="27" t="n"/>
      <c r="AM105" s="14" t="n"/>
      <c r="AN105" s="29" t="n"/>
    </row>
    <row r="106" ht="15.75" customHeight="1" s="453">
      <c r="A106" s="27" t="n"/>
      <c r="B106" s="14" t="n">
        <v>6120023</v>
      </c>
      <c r="C106" s="136" t="inlineStr">
        <is>
          <t>利卡因注射液20毫克/毫升</t>
        </is>
      </c>
      <c r="D106" s="77" t="n"/>
      <c r="E106" s="17" t="inlineStr">
        <is>
          <t>PCS</t>
        </is>
      </c>
      <c r="F106" s="18" t="n"/>
      <c r="G106" s="18" t="n"/>
      <c r="H106" s="68">
        <f>SUM(#REF!)</f>
        <v/>
      </c>
      <c r="I106" s="26">
        <f>H106/12</f>
        <v/>
      </c>
      <c r="J106" s="20">
        <f>SUMIFS(領用表!$L:$L,領用表!$E:$E,$B106,領用表!$B:$B,J$2&amp;$R$1)</f>
        <v/>
      </c>
      <c r="K106" s="20">
        <f>SUMIFS(領用表!$L:$L,領用表!$E:$E,$B106,領用表!$B:$B,K$2&amp;$R$1)</f>
        <v/>
      </c>
      <c r="L106" s="20">
        <f>SUMIFS(領用表!$L:$L,領用表!$E:$E,$B106,領用表!$B:$B,L$2&amp;$R$1)</f>
        <v/>
      </c>
      <c r="M106" s="142">
        <f>SUMIFS(領用表!$L:$L,領用表!$E:$E,$B106,領用表!$B:$B,M$2&amp;$R$1)</f>
        <v/>
      </c>
      <c r="N106" s="142">
        <f>SUMIFS(領用表!$L:$L,領用表!$E:$E,$B106,領用表!$B:$B,N$2&amp;$R$1)</f>
        <v/>
      </c>
      <c r="O106" s="142">
        <f>SUMIFS(領用表!$L:$L,領用表!$E:$E,$B106,領用表!$B:$B,O$2&amp;$R$1)</f>
        <v/>
      </c>
      <c r="P106" s="23">
        <f>SUM(,J106,K106,L106,M106,N106,O106)</f>
        <v/>
      </c>
      <c r="Q106" s="23">
        <f>AVERAGE(,J106,K106,L106,M106,N106,O106)</f>
        <v/>
      </c>
      <c r="R106" s="142">
        <f>SUMIFS(領用表!$L:$L,領用表!$E:$E,$B106,領用表!$B:$B,R$2&amp;$R$1)</f>
        <v/>
      </c>
      <c r="S106" s="142">
        <f>SUMIFS(領用表!$L:$L,領用表!$E:$E,$B106,領用表!$B:$B,S$2&amp;$R$1)</f>
        <v/>
      </c>
      <c r="T106" s="142">
        <f>SUMIFS(領用表!$L:$L,領用表!$E:$E,$B106,領用表!$B:$B,T$2&amp;$R$1)</f>
        <v/>
      </c>
      <c r="U106" s="142">
        <f>SUMIFS(領用表!$L:$L,領用表!$E:$E,$B106,領用表!$B:$B,U$2&amp;$R$1)</f>
        <v/>
      </c>
      <c r="V106" s="142">
        <f>SUMIFS(領用表!$L:$L,領用表!$E:$E,$B106,領用表!$B:$B,V$2&amp;$R$1)</f>
        <v/>
      </c>
      <c r="W106" s="142" t="n"/>
      <c r="X106" s="142">
        <f>SUMIFS(領用表!$L:$L,領用表!$E:$E,$B106,領用表!$B:$B,X$2&amp;$R$1)</f>
        <v/>
      </c>
      <c r="Y106" s="142">
        <f>SUMIFS(領用表!$L:$L,領用表!$E:$E,$B106,領用表!$B:$B,Y$2&amp;$R$1)</f>
        <v/>
      </c>
      <c r="Z106" s="142">
        <f>SUMIFS(領用表!$L:$L,領用表!$E:$E,$B106,領用表!$B:$B,Z$2&amp;$R$1)</f>
        <v/>
      </c>
      <c r="AA106" s="142">
        <f>SUMIFS(領用表!$L:$L,領用表!$E:$E,$B106,領用表!$B:$B,AA$2&amp;$R$1)</f>
        <v/>
      </c>
      <c r="AB106" s="142">
        <f>SUMIFS(領用表!$L:$L,領用表!$E:$E,$B106,領用表!$B:$B,AB$2&amp;$R$1)</f>
        <v/>
      </c>
      <c r="AC106" s="142">
        <f>SUMIFS(領用表!$L:$L,領用表!$E:$E,$B106,領用表!$B:$B,AC$2&amp;$R$1)</f>
        <v/>
      </c>
      <c r="AD106" s="142">
        <f>SUM(R106,S106,T106,U106,V106,W106)</f>
        <v/>
      </c>
      <c r="AE106" s="142">
        <f>AVERAGE(R106,S106,T106,U106,V106,W106)</f>
        <v/>
      </c>
      <c r="AF106" s="142">
        <f>SUMIF(Summary!B:B,B106,Summary!EB:EB)</f>
        <v/>
      </c>
      <c r="AG106" s="108" t="n">
        <v>3</v>
      </c>
      <c r="AH106" s="65" t="n"/>
      <c r="AI106" s="65" t="n"/>
      <c r="AJ106" s="65" t="n"/>
      <c r="AK106" s="27" t="n"/>
      <c r="AL106" s="27" t="n"/>
      <c r="AM106" s="14" t="n"/>
      <c r="AN106" s="29" t="n"/>
    </row>
    <row r="107" ht="15.75" customHeight="1" s="453">
      <c r="A107" s="27" t="n"/>
      <c r="B107" s="14" t="e">
        <v>#N/A</v>
      </c>
      <c r="C107" s="136" t="inlineStr">
        <is>
          <t>可特1ml</t>
        </is>
      </c>
      <c r="D107" s="77" t="n"/>
      <c r="E107" s="17" t="inlineStr">
        <is>
          <t>PCS</t>
        </is>
      </c>
      <c r="F107" s="18" t="n"/>
      <c r="G107" s="18" t="n"/>
      <c r="H107" s="68">
        <f>SUM(#REF!)</f>
        <v/>
      </c>
      <c r="I107" s="26">
        <f>H107/12</f>
        <v/>
      </c>
      <c r="J107" s="20">
        <f>SUMIFS(領用表!$L:$L,領用表!$E:$E,$B107,領用表!$B:$B,J$2&amp;$R$1)</f>
        <v/>
      </c>
      <c r="K107" s="20">
        <f>SUMIFS(領用表!$L:$L,領用表!$E:$E,$B107,領用表!$B:$B,K$2&amp;$R$1)</f>
        <v/>
      </c>
      <c r="L107" s="20">
        <f>SUMIFS(領用表!$L:$L,領用表!$E:$E,$B107,領用表!$B:$B,L$2&amp;$R$1)</f>
        <v/>
      </c>
      <c r="M107" s="142">
        <f>SUMIFS(領用表!$L:$L,領用表!$E:$E,$B107,領用表!$B:$B,M$2&amp;$R$1)</f>
        <v/>
      </c>
      <c r="N107" s="142">
        <f>SUMIFS(領用表!$L:$L,領用表!$E:$E,$B107,領用表!$B:$B,N$2&amp;$R$1)</f>
        <v/>
      </c>
      <c r="O107" s="142">
        <f>SUMIFS(領用表!$L:$L,領用表!$E:$E,$B107,領用表!$B:$B,O$2&amp;$R$1)</f>
        <v/>
      </c>
      <c r="P107" s="23">
        <f>SUM(,J107,K107,L107,M107,N107,O107)</f>
        <v/>
      </c>
      <c r="Q107" s="23">
        <f>AVERAGE(,J107,K107,L107,M107,N107,O107)</f>
        <v/>
      </c>
      <c r="R107" s="142">
        <f>SUMIFS(領用表!$L:$L,領用表!$E:$E,$B107,領用表!$B:$B,R$2&amp;$R$1)</f>
        <v/>
      </c>
      <c r="S107" s="142">
        <f>SUMIFS(領用表!$L:$L,領用表!$E:$E,$B107,領用表!$B:$B,S$2&amp;$R$1)</f>
        <v/>
      </c>
      <c r="T107" s="142">
        <f>SUMIFS(領用表!$L:$L,領用表!$E:$E,$B107,領用表!$B:$B,T$2&amp;$R$1)</f>
        <v/>
      </c>
      <c r="U107" s="142">
        <f>SUMIFS(領用表!$L:$L,領用表!$E:$E,$B107,領用表!$B:$B,U$2&amp;$R$1)</f>
        <v/>
      </c>
      <c r="V107" s="142">
        <f>SUMIFS(領用表!$L:$L,領用表!$E:$E,$B107,領用表!$B:$B,V$2&amp;$R$1)</f>
        <v/>
      </c>
      <c r="W107" s="142">
        <f>SUMIFS(領用表!$L:$L,領用表!$E:$E,$B107,領用表!$B:$B,W$2&amp;$R$1)</f>
        <v/>
      </c>
      <c r="X107" s="142">
        <f>SUMIFS(領用表!$L:$L,領用表!$E:$E,$B107,領用表!$B:$B,X$2&amp;$R$1)</f>
        <v/>
      </c>
      <c r="Y107" s="142">
        <f>SUMIFS(領用表!$L:$L,領用表!$E:$E,$B107,領用表!$B:$B,Y$2&amp;$R$1)</f>
        <v/>
      </c>
      <c r="Z107" s="142">
        <f>SUMIFS(領用表!$L:$L,領用表!$E:$E,$B107,領用表!$B:$B,Z$2&amp;$R$1)</f>
        <v/>
      </c>
      <c r="AA107" s="142">
        <f>SUMIFS(領用表!$L:$L,領用表!$E:$E,$B107,領用表!$B:$B,AA$2&amp;$R$1)</f>
        <v/>
      </c>
      <c r="AB107" s="142">
        <f>SUMIFS(領用表!$L:$L,領用表!$E:$E,$B107,領用表!$B:$B,AB$2&amp;$R$1)</f>
        <v/>
      </c>
      <c r="AC107" s="142">
        <f>SUMIFS(領用表!$L:$L,領用表!$E:$E,$B107,領用表!$B:$B,AC$2&amp;$R$1)</f>
        <v/>
      </c>
      <c r="AD107" s="142">
        <f>SUM(R107,S107,T107,U107,V107,W107)</f>
        <v/>
      </c>
      <c r="AE107" s="142">
        <f>AVERAGE(R107,S107,T107,U107,V107,W107)</f>
        <v/>
      </c>
      <c r="AF107" s="142">
        <f>SUMIF(Summary!B:B,B107,Summary!EB:EB)</f>
        <v/>
      </c>
      <c r="AG107" s="109" t="n">
        <v>0</v>
      </c>
      <c r="AH107" s="65" t="n"/>
      <c r="AI107" s="65" t="n"/>
      <c r="AJ107" s="65" t="n"/>
      <c r="AK107" s="27" t="n"/>
      <c r="AL107" s="27" t="n"/>
      <c r="AM107" s="14" t="n"/>
      <c r="AN107" s="29" t="n"/>
    </row>
    <row r="108" ht="15.75" customHeight="1" s="453">
      <c r="A108" s="27" t="n"/>
      <c r="B108" s="14" t="n">
        <v>6120027</v>
      </c>
      <c r="C108" s="136" t="inlineStr">
        <is>
          <t>硫皙酸</t>
        </is>
      </c>
      <c r="D108" s="72" t="n"/>
      <c r="E108" s="17" t="inlineStr">
        <is>
          <t>PCS</t>
        </is>
      </c>
      <c r="F108" s="18" t="n"/>
      <c r="G108" s="18" t="n"/>
      <c r="H108" s="68">
        <f>SUM(#REF!)</f>
        <v/>
      </c>
      <c r="I108" s="26">
        <f>H108/12</f>
        <v/>
      </c>
      <c r="J108" s="20">
        <f>SUMIFS(領用表!$L:$L,領用表!$E:$E,$B108,領用表!$B:$B,J$2&amp;$R$1)</f>
        <v/>
      </c>
      <c r="K108" s="20">
        <f>SUMIFS(領用表!$L:$L,領用表!$E:$E,$B108,領用表!$B:$B,K$2&amp;$R$1)</f>
        <v/>
      </c>
      <c r="L108" s="20">
        <f>SUMIFS(領用表!$L:$L,領用表!$E:$E,$B108,領用表!$B:$B,L$2&amp;$R$1)</f>
        <v/>
      </c>
      <c r="M108" s="142">
        <f>SUMIFS(領用表!$L:$L,領用表!$E:$E,$B108,領用表!$B:$B,M$2&amp;$R$1)</f>
        <v/>
      </c>
      <c r="N108" s="142">
        <f>SUMIFS(領用表!$L:$L,領用表!$E:$E,$B108,領用表!$B:$B,N$2&amp;$R$1)</f>
        <v/>
      </c>
      <c r="O108" s="142">
        <f>SUMIFS(領用表!$L:$L,領用表!$E:$E,$B108,領用表!$B:$B,O$2&amp;$R$1)</f>
        <v/>
      </c>
      <c r="P108" s="23">
        <f>SUM(,J108,K108,L108,M108,N108,O108)</f>
        <v/>
      </c>
      <c r="Q108" s="23">
        <f>AVERAGE(,J108,K108,L108,M108,N108,O108)</f>
        <v/>
      </c>
      <c r="R108" s="142">
        <f>SUMIFS(領用表!$L:$L,領用表!$E:$E,$B108,領用表!$B:$B,R$2&amp;$R$1)</f>
        <v/>
      </c>
      <c r="S108" s="142">
        <f>SUMIFS(領用表!$L:$L,領用表!$E:$E,$B108,領用表!$B:$B,S$2&amp;$R$1)</f>
        <v/>
      </c>
      <c r="T108" s="142">
        <f>SUMIFS(領用表!$L:$L,領用表!$E:$E,$B108,領用表!$B:$B,T$2&amp;$R$1)</f>
        <v/>
      </c>
      <c r="U108" s="142">
        <f>SUMIFS(領用表!$L:$L,領用表!$E:$E,$B108,領用表!$B:$B,U$2&amp;$R$1)</f>
        <v/>
      </c>
      <c r="V108" s="142">
        <f>SUMIFS(領用表!$L:$L,領用表!$E:$E,$B108,領用表!$B:$B,V$2&amp;$R$1)</f>
        <v/>
      </c>
      <c r="W108" s="142" t="n"/>
      <c r="X108" s="142">
        <f>SUMIFS(領用表!$L:$L,領用表!$E:$E,$B108,領用表!$B:$B,X$2&amp;$R$1)</f>
        <v/>
      </c>
      <c r="Y108" s="142">
        <f>SUMIFS(領用表!$L:$L,領用表!$E:$E,$B108,領用表!$B:$B,Y$2&amp;$R$1)</f>
        <v/>
      </c>
      <c r="Z108" s="142">
        <f>SUMIFS(領用表!$L:$L,領用表!$E:$E,$B108,領用表!$B:$B,Z$2&amp;$R$1)</f>
        <v/>
      </c>
      <c r="AA108" s="142">
        <f>SUMIFS(領用表!$L:$L,領用表!$E:$E,$B108,領用表!$B:$B,AA$2&amp;$R$1)</f>
        <v/>
      </c>
      <c r="AB108" s="142">
        <f>SUMIFS(領用表!$L:$L,領用表!$E:$E,$B108,領用表!$B:$B,AB$2&amp;$R$1)</f>
        <v/>
      </c>
      <c r="AC108" s="142">
        <f>SUMIFS(領用表!$L:$L,領用表!$E:$E,$B108,領用表!$B:$B,AC$2&amp;$R$1)</f>
        <v/>
      </c>
      <c r="AD108" s="142">
        <f>SUM(R108,S108,T108,U108,V108,W108)</f>
        <v/>
      </c>
      <c r="AE108" s="142">
        <f>AVERAGE(R108,S108,T108,U108,V108,W108)</f>
        <v/>
      </c>
      <c r="AF108" s="142">
        <f>SUMIF(Summary!B:B,B108,Summary!EB:EB)</f>
        <v/>
      </c>
      <c r="AG108" s="109" t="n">
        <v>3</v>
      </c>
      <c r="AH108" s="65" t="n"/>
      <c r="AI108" s="65" t="n"/>
      <c r="AJ108" s="76" t="n"/>
      <c r="AK108" s="27" t="n"/>
      <c r="AL108" s="69" t="n"/>
      <c r="AM108" s="14" t="n"/>
      <c r="AN108" s="14" t="n"/>
    </row>
    <row r="109" ht="15.75" customHeight="1" s="453">
      <c r="A109" s="27" t="n"/>
      <c r="B109" s="14" t="n">
        <v>6120029</v>
      </c>
      <c r="C109" s="136" t="inlineStr">
        <is>
          <t>鹽酸二苯胺明 1ml</t>
        </is>
      </c>
      <c r="D109" s="77" t="n"/>
      <c r="E109" s="17" t="inlineStr">
        <is>
          <t>PCS</t>
        </is>
      </c>
      <c r="F109" s="18" t="n"/>
      <c r="G109" s="18" t="n"/>
      <c r="H109" s="68">
        <f>SUM(#REF!)</f>
        <v/>
      </c>
      <c r="I109" s="26">
        <f>H109/12</f>
        <v/>
      </c>
      <c r="J109" s="20">
        <f>SUMIFS(領用表!$L:$L,領用表!$E:$E,$B109,領用表!$B:$B,J$2&amp;$R$1)</f>
        <v/>
      </c>
      <c r="K109" s="20">
        <f>SUMIFS(領用表!$L:$L,領用表!$E:$E,$B109,領用表!$B:$B,K$2&amp;$R$1)</f>
        <v/>
      </c>
      <c r="L109" s="20">
        <f>SUMIFS(領用表!$L:$L,領用表!$E:$E,$B109,領用表!$B:$B,L$2&amp;$R$1)</f>
        <v/>
      </c>
      <c r="M109" s="142">
        <f>SUMIFS(領用表!$L:$L,領用表!$E:$E,$B109,領用表!$B:$B,M$2&amp;$R$1)</f>
        <v/>
      </c>
      <c r="N109" s="142">
        <f>SUMIFS(領用表!$L:$L,領用表!$E:$E,$B109,領用表!$B:$B,N$2&amp;$R$1)</f>
        <v/>
      </c>
      <c r="O109" s="142">
        <f>SUMIFS(領用表!$L:$L,領用表!$E:$E,$B109,領用表!$B:$B,O$2&amp;$R$1)</f>
        <v/>
      </c>
      <c r="P109" s="23">
        <f>SUM(,J109,K109,L109,M109,N109,O109)</f>
        <v/>
      </c>
      <c r="Q109" s="23">
        <f>AVERAGE(,J109,K109,L109,M109,N109,O109)</f>
        <v/>
      </c>
      <c r="R109" s="142">
        <f>SUMIFS(領用表!$L:$L,領用表!$E:$E,$B109,領用表!$B:$B,R$2&amp;$R$1)</f>
        <v/>
      </c>
      <c r="S109" s="142">
        <f>SUMIFS(領用表!$L:$L,領用表!$E:$E,$B109,領用表!$B:$B,S$2&amp;$R$1)</f>
        <v/>
      </c>
      <c r="T109" s="142">
        <f>SUMIFS(領用表!$L:$L,領用表!$E:$E,$B109,領用表!$B:$B,T$2&amp;$R$1)</f>
        <v/>
      </c>
      <c r="U109" s="142">
        <f>SUMIFS(領用表!$L:$L,領用表!$E:$E,$B109,領用表!$B:$B,U$2&amp;$R$1)</f>
        <v/>
      </c>
      <c r="V109" s="142">
        <f>SUMIFS(領用表!$L:$L,領用表!$E:$E,$B109,領用表!$B:$B,V$2&amp;$R$1)</f>
        <v/>
      </c>
      <c r="W109" s="142" t="n"/>
      <c r="X109" s="142">
        <f>SUMIFS(領用表!$L:$L,領用表!$E:$E,$B109,領用表!$B:$B,X$2&amp;$R$1)</f>
        <v/>
      </c>
      <c r="Y109" s="142">
        <f>SUMIFS(領用表!$L:$L,領用表!$E:$E,$B109,領用表!$B:$B,Y$2&amp;$R$1)</f>
        <v/>
      </c>
      <c r="Z109" s="142">
        <f>SUMIFS(領用表!$L:$L,領用表!$E:$E,$B109,領用表!$B:$B,Z$2&amp;$R$1)</f>
        <v/>
      </c>
      <c r="AA109" s="142">
        <f>SUMIFS(領用表!$L:$L,領用表!$E:$E,$B109,領用表!$B:$B,AA$2&amp;$R$1)</f>
        <v/>
      </c>
      <c r="AB109" s="142">
        <f>SUMIFS(領用表!$L:$L,領用表!$E:$E,$B109,領用表!$B:$B,AB$2&amp;$R$1)</f>
        <v/>
      </c>
      <c r="AC109" s="142">
        <f>SUMIFS(領用表!$L:$L,領用表!$E:$E,$B109,領用表!$B:$B,AC$2&amp;$R$1)</f>
        <v/>
      </c>
      <c r="AD109" s="142">
        <f>SUM(R109,S109,T109,U109,V109,W109)</f>
        <v/>
      </c>
      <c r="AE109" s="142">
        <f>AVERAGE(R109,S109,T109,U109,V109,W109)</f>
        <v/>
      </c>
      <c r="AF109" s="142">
        <f>SUMIF(Summary!B:B,B109,Summary!EB:EB)</f>
        <v/>
      </c>
      <c r="AG109" s="109" t="n">
        <v>3</v>
      </c>
      <c r="AH109" s="65" t="n"/>
      <c r="AI109" s="65" t="n"/>
      <c r="AJ109" s="65" t="inlineStr">
        <is>
          <t>10-10/22</t>
        </is>
      </c>
      <c r="AK109" s="27" t="n"/>
      <c r="AL109" s="27" t="n"/>
      <c r="AM109" s="14" t="n"/>
      <c r="AN109" s="29" t="n"/>
    </row>
    <row r="110" ht="15.75" customHeight="1" s="453">
      <c r="A110" s="27" t="n"/>
      <c r="B110" s="14" t="n">
        <v>6120030</v>
      </c>
      <c r="C110" s="136" t="inlineStr">
        <is>
          <t>克多炎 1ml</t>
        </is>
      </c>
      <c r="D110" s="77" t="n"/>
      <c r="E110" s="17" t="inlineStr">
        <is>
          <t>PCS</t>
        </is>
      </c>
      <c r="F110" s="18" t="n"/>
      <c r="G110" s="18" t="n"/>
      <c r="H110" s="68">
        <f>SUM(#REF!)</f>
        <v/>
      </c>
      <c r="I110" s="26">
        <f>H110/12</f>
        <v/>
      </c>
      <c r="J110" s="20">
        <f>SUMIFS(領用表!$L:$L,領用表!$E:$E,$B110,領用表!$B:$B,J$2&amp;$R$1)</f>
        <v/>
      </c>
      <c r="K110" s="20">
        <f>SUMIFS(領用表!$L:$L,領用表!$E:$E,$B110,領用表!$B:$B,K$2&amp;$R$1)</f>
        <v/>
      </c>
      <c r="L110" s="20">
        <f>SUMIFS(領用表!$L:$L,領用表!$E:$E,$B110,領用表!$B:$B,L$2&amp;$R$1)</f>
        <v/>
      </c>
      <c r="M110" s="142">
        <f>SUMIFS(領用表!$L:$L,領用表!$E:$E,$B110,領用表!$B:$B,M$2&amp;$R$1)</f>
        <v/>
      </c>
      <c r="N110" s="142">
        <f>SUMIFS(領用表!$L:$L,領用表!$E:$E,$B110,領用表!$B:$B,N$2&amp;$R$1)</f>
        <v/>
      </c>
      <c r="O110" s="142">
        <f>SUMIFS(領用表!$L:$L,領用表!$E:$E,$B110,領用表!$B:$B,O$2&amp;$R$1)</f>
        <v/>
      </c>
      <c r="P110" s="23">
        <f>SUM(,J110,K110,L110,M110,N110,O110)</f>
        <v/>
      </c>
      <c r="Q110" s="23">
        <f>AVERAGE(,J110,K110,L110,M110,N110,O110)</f>
        <v/>
      </c>
      <c r="R110" s="142">
        <f>SUMIFS(領用表!$L:$L,領用表!$E:$E,$B110,領用表!$B:$B,R$2&amp;$R$1)</f>
        <v/>
      </c>
      <c r="S110" s="142">
        <f>SUMIFS(領用表!$L:$L,領用表!$E:$E,$B110,領用表!$B:$B,S$2&amp;$R$1)</f>
        <v/>
      </c>
      <c r="T110" s="142">
        <f>SUMIFS(領用表!$L:$L,領用表!$E:$E,$B110,領用表!$B:$B,T$2&amp;$R$1)</f>
        <v/>
      </c>
      <c r="U110" s="142">
        <f>SUMIFS(領用表!$L:$L,領用表!$E:$E,$B110,領用表!$B:$B,U$2&amp;$R$1)</f>
        <v/>
      </c>
      <c r="V110" s="142">
        <f>SUMIFS(領用表!$L:$L,領用表!$E:$E,$B110,領用表!$B:$B,V$2&amp;$R$1)</f>
        <v/>
      </c>
      <c r="W110" s="142" t="n"/>
      <c r="X110" s="142">
        <f>SUMIFS(領用表!$L:$L,領用表!$E:$E,$B110,領用表!$B:$B,X$2&amp;$R$1)</f>
        <v/>
      </c>
      <c r="Y110" s="142">
        <f>SUMIFS(領用表!$L:$L,領用表!$E:$E,$B110,領用表!$B:$B,Y$2&amp;$R$1)</f>
        <v/>
      </c>
      <c r="Z110" s="142">
        <f>SUMIFS(領用表!$L:$L,領用表!$E:$E,$B110,領用表!$B:$B,Z$2&amp;$R$1)</f>
        <v/>
      </c>
      <c r="AA110" s="142">
        <f>SUMIFS(領用表!$L:$L,領用表!$E:$E,$B110,領用表!$B:$B,AA$2&amp;$R$1)</f>
        <v/>
      </c>
      <c r="AB110" s="142">
        <f>SUMIFS(領用表!$L:$L,領用表!$E:$E,$B110,領用表!$B:$B,AB$2&amp;$R$1)</f>
        <v/>
      </c>
      <c r="AC110" s="142">
        <f>SUMIFS(領用表!$L:$L,領用表!$E:$E,$B110,領用表!$B:$B,AC$2&amp;$R$1)</f>
        <v/>
      </c>
      <c r="AD110" s="142">
        <f>SUM(R110,S110,T110,U110,V110,W110)</f>
        <v/>
      </c>
      <c r="AE110" s="142">
        <f>AVERAGE(R110,S110,T110,U110,V110,W110)</f>
        <v/>
      </c>
      <c r="AF110" s="142">
        <f>SUMIF(Summary!B:B,B110,Summary!EB:EB)</f>
        <v/>
      </c>
      <c r="AG110" s="109" t="n">
        <v>3</v>
      </c>
      <c r="AH110" s="65" t="n"/>
      <c r="AI110" s="65" t="n"/>
      <c r="AJ110" s="65" t="n"/>
      <c r="AK110" s="27" t="n"/>
      <c r="AL110" s="27" t="n"/>
      <c r="AM110" s="14" t="n"/>
      <c r="AN110" s="29" t="n"/>
    </row>
    <row r="111" ht="15.75" customHeight="1" s="453">
      <c r="A111" s="27" t="n"/>
      <c r="B111" s="14" t="n">
        <v>6120031</v>
      </c>
      <c r="C111" s="136" t="inlineStr">
        <is>
          <t>菲碧茵 2ml</t>
        </is>
      </c>
      <c r="D111" s="77" t="n"/>
      <c r="E111" s="17" t="inlineStr">
        <is>
          <t>PCS</t>
        </is>
      </c>
      <c r="F111" s="18" t="n"/>
      <c r="G111" s="18" t="n"/>
      <c r="H111" s="68">
        <f>SUM(#REF!)</f>
        <v/>
      </c>
      <c r="I111" s="26">
        <f>H111/12</f>
        <v/>
      </c>
      <c r="J111" s="20">
        <f>SUMIFS(領用表!$L:$L,領用表!$E:$E,$B111,領用表!$B:$B,J$2&amp;$R$1)</f>
        <v/>
      </c>
      <c r="K111" s="20">
        <f>SUMIFS(領用表!$L:$L,領用表!$E:$E,$B111,領用表!$B:$B,K$2&amp;$R$1)</f>
        <v/>
      </c>
      <c r="L111" s="20">
        <f>SUMIFS(領用表!$L:$L,領用表!$E:$E,$B111,領用表!$B:$B,L$2&amp;$R$1)</f>
        <v/>
      </c>
      <c r="M111" s="142">
        <f>SUMIFS(領用表!$L:$L,領用表!$E:$E,$B111,領用表!$B:$B,M$2&amp;$R$1)</f>
        <v/>
      </c>
      <c r="N111" s="142">
        <f>SUMIFS(領用表!$L:$L,領用表!$E:$E,$B111,領用表!$B:$B,N$2&amp;$R$1)</f>
        <v/>
      </c>
      <c r="O111" s="142">
        <f>SUMIFS(領用表!$L:$L,領用表!$E:$E,$B111,領用表!$B:$B,O$2&amp;$R$1)</f>
        <v/>
      </c>
      <c r="P111" s="23">
        <f>SUM(,J111,K111,L111,M111,N111,O111)</f>
        <v/>
      </c>
      <c r="Q111" s="23">
        <f>AVERAGE(,J111,K111,L111,M111,N111,O111)</f>
        <v/>
      </c>
      <c r="R111" s="142">
        <f>SUMIFS(領用表!$L:$L,領用表!$E:$E,$B111,領用表!$B:$B,R$2&amp;$R$1)</f>
        <v/>
      </c>
      <c r="S111" s="142">
        <f>SUMIFS(領用表!$L:$L,領用表!$E:$E,$B111,領用表!$B:$B,S$2&amp;$R$1)</f>
        <v/>
      </c>
      <c r="T111" s="142">
        <f>SUMIFS(領用表!$L:$L,領用表!$E:$E,$B111,領用表!$B:$B,T$2&amp;$R$1)</f>
        <v/>
      </c>
      <c r="U111" s="142">
        <f>SUMIFS(領用表!$L:$L,領用表!$E:$E,$B111,領用表!$B:$B,U$2&amp;$R$1)</f>
        <v/>
      </c>
      <c r="V111" s="142">
        <f>SUMIFS(領用表!$L:$L,領用表!$E:$E,$B111,領用表!$B:$B,V$2&amp;$R$1)</f>
        <v/>
      </c>
      <c r="W111" s="142" t="n"/>
      <c r="X111" s="142">
        <f>SUMIFS(領用表!$L:$L,領用表!$E:$E,$B111,領用表!$B:$B,X$2&amp;$R$1)</f>
        <v/>
      </c>
      <c r="Y111" s="142">
        <f>SUMIFS(領用表!$L:$L,領用表!$E:$E,$B111,領用表!$B:$B,Y$2&amp;$R$1)</f>
        <v/>
      </c>
      <c r="Z111" s="142">
        <f>SUMIFS(領用表!$L:$L,領用表!$E:$E,$B111,領用表!$B:$B,Z$2&amp;$R$1)</f>
        <v/>
      </c>
      <c r="AA111" s="142">
        <f>SUMIFS(領用表!$L:$L,領用表!$E:$E,$B111,領用表!$B:$B,AA$2&amp;$R$1)</f>
        <v/>
      </c>
      <c r="AB111" s="142">
        <f>SUMIFS(領用表!$L:$L,領用表!$E:$E,$B111,領用表!$B:$B,AB$2&amp;$R$1)</f>
        <v/>
      </c>
      <c r="AC111" s="142">
        <f>SUMIFS(領用表!$L:$L,領用表!$E:$E,$B111,領用表!$B:$B,AC$2&amp;$R$1)</f>
        <v/>
      </c>
      <c r="AD111" s="142">
        <f>SUM(R111,S111,T111,U111,V111,W111)</f>
        <v/>
      </c>
      <c r="AE111" s="142">
        <f>AVERAGE(R111,S111,T111,U111,V111,W111)</f>
        <v/>
      </c>
      <c r="AF111" s="142">
        <f>SUMIF(Summary!B:B,B111,Summary!EB:EB)</f>
        <v/>
      </c>
      <c r="AG111" s="109" t="n">
        <v>3</v>
      </c>
      <c r="AH111" s="65" t="n"/>
      <c r="AI111" s="65" t="n"/>
      <c r="AJ111" s="65" t="n"/>
      <c r="AK111" s="27" t="n"/>
      <c r="AL111" s="27" t="n"/>
      <c r="AM111" s="14" t="n"/>
      <c r="AN111" s="29" t="n"/>
    </row>
    <row r="112" ht="15.75" customHeight="1" s="453">
      <c r="A112" s="27" t="n"/>
      <c r="B112" s="14" t="n">
        <v>6120032</v>
      </c>
      <c r="C112" s="136" t="inlineStr">
        <is>
          <t>鹽酸副腎素 1ml</t>
        </is>
      </c>
      <c r="D112" s="77" t="n"/>
      <c r="E112" s="17" t="inlineStr">
        <is>
          <t>PCS</t>
        </is>
      </c>
      <c r="F112" s="18" t="n"/>
      <c r="G112" s="18" t="n"/>
      <c r="H112" s="68">
        <f>SUM(#REF!)</f>
        <v/>
      </c>
      <c r="I112" s="26">
        <f>H112/12</f>
        <v/>
      </c>
      <c r="J112" s="20">
        <f>SUMIFS(領用表!$L:$L,領用表!$E:$E,$B112,領用表!$B:$B,J$2&amp;$R$1)</f>
        <v/>
      </c>
      <c r="K112" s="20">
        <f>SUMIFS(領用表!$L:$L,領用表!$E:$E,$B112,領用表!$B:$B,K$2&amp;$R$1)</f>
        <v/>
      </c>
      <c r="L112" s="20">
        <f>SUMIFS(領用表!$L:$L,領用表!$E:$E,$B112,領用表!$B:$B,L$2&amp;$R$1)</f>
        <v/>
      </c>
      <c r="M112" s="142">
        <f>SUMIFS(領用表!$L:$L,領用表!$E:$E,$B112,領用表!$B:$B,M$2&amp;$R$1)</f>
        <v/>
      </c>
      <c r="N112" s="142">
        <f>SUMIFS(領用表!$L:$L,領用表!$E:$E,$B112,領用表!$B:$B,N$2&amp;$R$1)</f>
        <v/>
      </c>
      <c r="O112" s="142">
        <f>SUMIFS(領用表!$L:$L,領用表!$E:$E,$B112,領用表!$B:$B,O$2&amp;$R$1)</f>
        <v/>
      </c>
      <c r="P112" s="23">
        <f>SUM(,J112,K112,L112,M112,N112,O112)</f>
        <v/>
      </c>
      <c r="Q112" s="23">
        <f>AVERAGE(,J112,K112,L112,M112,N112,O112)</f>
        <v/>
      </c>
      <c r="R112" s="142">
        <f>SUMIFS(領用表!$L:$L,領用表!$E:$E,$B112,領用表!$B:$B,R$2&amp;$R$1)</f>
        <v/>
      </c>
      <c r="S112" s="142">
        <f>SUMIFS(領用表!$L:$L,領用表!$E:$E,$B112,領用表!$B:$B,S$2&amp;$R$1)</f>
        <v/>
      </c>
      <c r="T112" s="142">
        <f>SUMIFS(領用表!$L:$L,領用表!$E:$E,$B112,領用表!$B:$B,T$2&amp;$R$1)</f>
        <v/>
      </c>
      <c r="U112" s="142">
        <f>SUMIFS(領用表!$L:$L,領用表!$E:$E,$B112,領用表!$B:$B,U$2&amp;$R$1)</f>
        <v/>
      </c>
      <c r="V112" s="142">
        <f>SUMIFS(領用表!$L:$L,領用表!$E:$E,$B112,領用表!$B:$B,V$2&amp;$R$1)</f>
        <v/>
      </c>
      <c r="W112" s="142" t="n"/>
      <c r="X112" s="142">
        <f>SUMIFS(領用表!$L:$L,領用表!$E:$E,$B112,領用表!$B:$B,X$2&amp;$R$1)</f>
        <v/>
      </c>
      <c r="Y112" s="142">
        <f>SUMIFS(領用表!$L:$L,領用表!$E:$E,$B112,領用表!$B:$B,Y$2&amp;$R$1)</f>
        <v/>
      </c>
      <c r="Z112" s="142">
        <f>SUMIFS(領用表!$L:$L,領用表!$E:$E,$B112,領用表!$B:$B,Z$2&amp;$R$1)</f>
        <v/>
      </c>
      <c r="AA112" s="142">
        <f>SUMIFS(領用表!$L:$L,領用表!$E:$E,$B112,領用表!$B:$B,AA$2&amp;$R$1)</f>
        <v/>
      </c>
      <c r="AB112" s="142">
        <f>SUMIFS(領用表!$L:$L,領用表!$E:$E,$B112,領用表!$B:$B,AB$2&amp;$R$1)</f>
        <v/>
      </c>
      <c r="AC112" s="142">
        <f>SUMIFS(領用表!$L:$L,領用表!$E:$E,$B112,領用表!$B:$B,AC$2&amp;$R$1)</f>
        <v/>
      </c>
      <c r="AD112" s="142">
        <f>SUM(R112,S112,T112,U112,V112,W112)</f>
        <v/>
      </c>
      <c r="AE112" s="142">
        <f>AVERAGE(R112,S112,T112,U112,V112,W112)</f>
        <v/>
      </c>
      <c r="AF112" s="142">
        <f>SUMIF(Summary!B:B,B112,Summary!EB:EB)</f>
        <v/>
      </c>
      <c r="AG112" s="109" t="n">
        <v>0</v>
      </c>
      <c r="AH112" s="65" t="n"/>
      <c r="AI112" s="65" t="n"/>
      <c r="AJ112" s="65" t="n"/>
      <c r="AK112" s="27" t="n"/>
      <c r="AL112" s="27" t="n"/>
      <c r="AM112" s="14" t="n"/>
      <c r="AN112" s="29" t="n"/>
    </row>
    <row r="113" ht="15.75" customHeight="1" s="453">
      <c r="A113" s="27" t="n"/>
      <c r="B113" s="14" t="e">
        <v>#N/A</v>
      </c>
      <c r="C113" s="136" t="inlineStr">
        <is>
          <t>痘痘貼 60入/盒</t>
        </is>
      </c>
      <c r="D113" s="77" t="n">
        <v>60</v>
      </c>
      <c r="E113" s="17" t="inlineStr">
        <is>
          <t>PCS</t>
        </is>
      </c>
      <c r="F113" s="18" t="n"/>
      <c r="G113" s="18" t="n"/>
      <c r="H113" s="68">
        <f>SUM(#REF!)</f>
        <v/>
      </c>
      <c r="I113" s="26">
        <f>H113/12</f>
        <v/>
      </c>
      <c r="J113" s="20">
        <f>SUMIFS(領用表!$L:$L,領用表!$E:$E,$B113,領用表!$B:$B,J$2&amp;$R$1)</f>
        <v/>
      </c>
      <c r="K113" s="20">
        <f>SUMIFS(領用表!$L:$L,領用表!$E:$E,$B113,領用表!$B:$B,K$2&amp;$R$1)</f>
        <v/>
      </c>
      <c r="L113" s="20">
        <f>SUMIFS(領用表!$L:$L,領用表!$E:$E,$B113,領用表!$B:$B,L$2&amp;$R$1)</f>
        <v/>
      </c>
      <c r="M113" s="142">
        <f>SUMIFS(領用表!$L:$L,領用表!$E:$E,$B113,領用表!$B:$B,M$2&amp;$R$1)</f>
        <v/>
      </c>
      <c r="N113" s="142">
        <f>SUMIFS(領用表!$L:$L,領用表!$E:$E,$B113,領用表!$B:$B,N$2&amp;$R$1)</f>
        <v/>
      </c>
      <c r="O113" s="142">
        <f>SUMIFS(領用表!$L:$L,領用表!$E:$E,$B113,領用表!$B:$B,O$2&amp;$R$1)</f>
        <v/>
      </c>
      <c r="P113" s="23">
        <f>SUM(,J113,K113,L113,M113,N113,O113)</f>
        <v/>
      </c>
      <c r="Q113" s="23">
        <f>AVERAGE(,J113,K113,L113,M113,N113,O113)</f>
        <v/>
      </c>
      <c r="R113" s="142">
        <f>SUMIFS(領用表!$L:$L,領用表!$E:$E,$B113,領用表!$B:$B,R$2&amp;$R$1)</f>
        <v/>
      </c>
      <c r="S113" s="142">
        <f>SUMIFS(領用表!$L:$L,領用表!$E:$E,$B113,領用表!$B:$B,S$2&amp;$R$1)</f>
        <v/>
      </c>
      <c r="T113" s="142">
        <f>SUMIFS(領用表!$L:$L,領用表!$E:$E,$B113,領用表!$B:$B,T$2&amp;$R$1)</f>
        <v/>
      </c>
      <c r="U113" s="142">
        <f>SUMIFS(領用表!$L:$L,領用表!$E:$E,$B113,領用表!$B:$B,U$2&amp;$R$1)</f>
        <v/>
      </c>
      <c r="V113" s="142">
        <f>SUMIFS(領用表!$L:$L,領用表!$E:$E,$B113,領用表!$B:$B,V$2&amp;$R$1)</f>
        <v/>
      </c>
      <c r="W113" s="142">
        <f>SUMIFS(領用表!$L:$L,領用表!$E:$E,$B113,領用表!$B:$B,W$2&amp;$R$1)</f>
        <v/>
      </c>
      <c r="X113" s="142">
        <f>SUMIFS(領用表!$L:$L,領用表!$E:$E,$B113,領用表!$B:$B,X$2&amp;$R$1)</f>
        <v/>
      </c>
      <c r="Y113" s="142">
        <f>SUMIFS(領用表!$L:$L,領用表!$E:$E,$B113,領用表!$B:$B,Y$2&amp;$R$1)</f>
        <v/>
      </c>
      <c r="Z113" s="142">
        <f>SUMIFS(領用表!$L:$L,領用表!$E:$E,$B113,領用表!$B:$B,Z$2&amp;$R$1)</f>
        <v/>
      </c>
      <c r="AA113" s="142">
        <f>SUMIFS(領用表!$L:$L,領用表!$E:$E,$B113,領用表!$B:$B,AA$2&amp;$R$1)</f>
        <v/>
      </c>
      <c r="AB113" s="142">
        <f>SUMIFS(領用表!$L:$L,領用表!$E:$E,$B113,領用表!$B:$B,AB$2&amp;$R$1)</f>
        <v/>
      </c>
      <c r="AC113" s="142">
        <f>SUMIFS(領用表!$L:$L,領用表!$E:$E,$B113,領用表!$B:$B,AC$2&amp;$R$1)</f>
        <v/>
      </c>
      <c r="AD113" s="142">
        <f>SUM(R113,S113,T113,U113,V113,W113)</f>
        <v/>
      </c>
      <c r="AE113" s="142">
        <f>AVERAGE(R113,S113,T113,U113,V113,W113)</f>
        <v/>
      </c>
      <c r="AF113" s="142">
        <f>SUMIF(Summary!B:B,B113,Summary!EB:EB)</f>
        <v/>
      </c>
      <c r="AG113" s="109" t="n">
        <v>3</v>
      </c>
      <c r="AH113" s="65" t="n"/>
      <c r="AI113" s="65" t="n"/>
      <c r="AJ113" s="65" t="n"/>
      <c r="AK113" s="27" t="n"/>
      <c r="AL113" s="27" t="n"/>
      <c r="AM113" s="14" t="n"/>
      <c r="AN113" s="29" t="n"/>
    </row>
    <row r="114" ht="15.75" customHeight="1" s="453">
      <c r="A114" s="27" t="n"/>
      <c r="B114" s="14" t="n">
        <v>6120019</v>
      </c>
      <c r="C114" s="136" t="inlineStr">
        <is>
          <t>信可得</t>
        </is>
      </c>
      <c r="D114" s="77" t="n"/>
      <c r="E114" s="17" t="inlineStr">
        <is>
          <t>PCS</t>
        </is>
      </c>
      <c r="F114" s="18" t="n"/>
      <c r="G114" s="18" t="n"/>
      <c r="H114" s="68">
        <f>SUM(#REF!)</f>
        <v/>
      </c>
      <c r="I114" s="26">
        <f>H114/12</f>
        <v/>
      </c>
      <c r="J114" s="20">
        <f>SUMIFS(領用表!$L:$L,領用表!$E:$E,$B114,領用表!$B:$B,J$2&amp;$R$1)</f>
        <v/>
      </c>
      <c r="K114" s="20">
        <f>SUMIFS(領用表!$L:$L,領用表!$E:$E,$B114,領用表!$B:$B,K$2&amp;$R$1)</f>
        <v/>
      </c>
      <c r="L114" s="20">
        <f>SUMIFS(領用表!$L:$L,領用表!$E:$E,$B114,領用表!$B:$B,L$2&amp;$R$1)</f>
        <v/>
      </c>
      <c r="M114" s="142">
        <f>SUMIFS(領用表!$L:$L,領用表!$E:$E,$B114,領用表!$B:$B,M$2&amp;$R$1)</f>
        <v/>
      </c>
      <c r="N114" s="142">
        <f>SUMIFS(領用表!$L:$L,領用表!$E:$E,$B114,領用表!$B:$B,N$2&amp;$R$1)</f>
        <v/>
      </c>
      <c r="O114" s="142">
        <f>SUMIFS(領用表!$L:$L,領用表!$E:$E,$B114,領用表!$B:$B,O$2&amp;$R$1)</f>
        <v/>
      </c>
      <c r="P114" s="23">
        <f>SUM(,J114,K114,L114,M114,N114,O114)</f>
        <v/>
      </c>
      <c r="Q114" s="23">
        <f>AVERAGE(,J114,K114,L114,M114,N114,O114)</f>
        <v/>
      </c>
      <c r="R114" s="142">
        <f>SUMIFS(領用表!$L:$L,領用表!$E:$E,$B114,領用表!$B:$B,R$2&amp;$R$1)</f>
        <v/>
      </c>
      <c r="S114" s="142">
        <f>SUMIFS(領用表!$L:$L,領用表!$E:$E,$B114,領用表!$B:$B,S$2&amp;$R$1)</f>
        <v/>
      </c>
      <c r="T114" s="142">
        <f>SUMIFS(領用表!$L:$L,領用表!$E:$E,$B114,領用表!$B:$B,T$2&amp;$R$1)</f>
        <v/>
      </c>
      <c r="U114" s="142">
        <f>SUMIFS(領用表!$L:$L,領用表!$E:$E,$B114,領用表!$B:$B,U$2&amp;$R$1)</f>
        <v/>
      </c>
      <c r="V114" s="142">
        <f>SUMIFS(領用表!$L:$L,領用表!$E:$E,$B114,領用表!$B:$B,V$2&amp;$R$1)</f>
        <v/>
      </c>
      <c r="W114" s="142" t="n"/>
      <c r="X114" s="142">
        <f>SUMIFS(領用表!$L:$L,領用表!$E:$E,$B114,領用表!$B:$B,X$2&amp;$R$1)</f>
        <v/>
      </c>
      <c r="Y114" s="142">
        <f>SUMIFS(領用表!$L:$L,領用表!$E:$E,$B114,領用表!$B:$B,Y$2&amp;$R$1)</f>
        <v/>
      </c>
      <c r="Z114" s="142">
        <f>SUMIFS(領用表!$L:$L,領用表!$E:$E,$B114,領用表!$B:$B,Z$2&amp;$R$1)</f>
        <v/>
      </c>
      <c r="AA114" s="142">
        <f>SUMIFS(領用表!$L:$L,領用表!$E:$E,$B114,領用表!$B:$B,AA$2&amp;$R$1)</f>
        <v/>
      </c>
      <c r="AB114" s="142">
        <f>SUMIFS(領用表!$L:$L,領用表!$E:$E,$B114,領用表!$B:$B,AB$2&amp;$R$1)</f>
        <v/>
      </c>
      <c r="AC114" s="142">
        <f>SUMIFS(領用表!$L:$L,領用表!$E:$E,$B114,領用表!$B:$B,AC$2&amp;$R$1)</f>
        <v/>
      </c>
      <c r="AD114" s="142">
        <f>SUM(R114,S114,T114,U114,V114,W114)</f>
        <v/>
      </c>
      <c r="AE114" s="142">
        <f>AVERAGE(R114,S114,T114,U114,V114,W114)</f>
        <v/>
      </c>
      <c r="AF114" s="142">
        <f>SUMIF(Summary!B:B,B114,Summary!EB:EB)</f>
        <v/>
      </c>
      <c r="AG114" s="109" t="n">
        <v>3</v>
      </c>
      <c r="AH114" s="65" t="n"/>
      <c r="AI114" s="65" t="n"/>
      <c r="AJ114" s="65" t="n"/>
      <c r="AK114" s="27" t="n"/>
      <c r="AL114" s="27" t="n"/>
      <c r="AM114" s="14" t="n"/>
      <c r="AN114" s="29" t="n"/>
    </row>
    <row r="115" ht="15.75" customHeight="1" s="453">
      <c r="A115" s="27" t="n"/>
      <c r="B115" s="14" t="e">
        <v>#N/A</v>
      </c>
      <c r="C115" s="136" t="inlineStr">
        <is>
          <t>去氧氫化腎上腺皮質素</t>
        </is>
      </c>
      <c r="D115" s="77" t="n"/>
      <c r="E115" s="17" t="inlineStr">
        <is>
          <t>PCS</t>
        </is>
      </c>
      <c r="F115" s="18" t="n"/>
      <c r="G115" s="18" t="n"/>
      <c r="H115" s="68">
        <f>SUM(#REF!)</f>
        <v/>
      </c>
      <c r="I115" s="26">
        <f>H115/12</f>
        <v/>
      </c>
      <c r="J115" s="20">
        <f>SUMIFS(領用表!$L:$L,領用表!$E:$E,$B115,領用表!$B:$B,J$2&amp;$R$1)</f>
        <v/>
      </c>
      <c r="K115" s="20">
        <f>SUMIFS(領用表!$L:$L,領用表!$E:$E,$B115,領用表!$B:$B,K$2&amp;$R$1)</f>
        <v/>
      </c>
      <c r="L115" s="20">
        <f>SUMIFS(領用表!$L:$L,領用表!$E:$E,$B115,領用表!$B:$B,L$2&amp;$R$1)</f>
        <v/>
      </c>
      <c r="M115" s="142">
        <f>SUMIFS(領用表!$L:$L,領用表!$E:$E,$B115,領用表!$B:$B,M$2&amp;$R$1)</f>
        <v/>
      </c>
      <c r="N115" s="142">
        <f>SUMIFS(領用表!$L:$L,領用表!$E:$E,$B115,領用表!$B:$B,N$2&amp;$R$1)</f>
        <v/>
      </c>
      <c r="O115" s="142">
        <f>SUMIFS(領用表!$L:$L,領用表!$E:$E,$B115,領用表!$B:$B,O$2&amp;$R$1)</f>
        <v/>
      </c>
      <c r="P115" s="23">
        <f>SUM(,J115,K115,L115,M115,N115,O115)</f>
        <v/>
      </c>
      <c r="Q115" s="23">
        <f>AVERAGE(,J115,K115,L115,M115,N115,O115)</f>
        <v/>
      </c>
      <c r="R115" s="142">
        <f>SUMIFS(領用表!$L:$L,領用表!$E:$E,$B115,領用表!$B:$B,R$2&amp;$R$1)</f>
        <v/>
      </c>
      <c r="S115" s="142">
        <f>SUMIFS(領用表!$L:$L,領用表!$E:$E,$B115,領用表!$B:$B,S$2&amp;$R$1)</f>
        <v/>
      </c>
      <c r="T115" s="142">
        <f>SUMIFS(領用表!$L:$L,領用表!$E:$E,$B115,領用表!$B:$B,T$2&amp;$R$1)</f>
        <v/>
      </c>
      <c r="U115" s="142">
        <f>SUMIFS(領用表!$L:$L,領用表!$E:$E,$B115,領用表!$B:$B,U$2&amp;$R$1)</f>
        <v/>
      </c>
      <c r="V115" s="142">
        <f>SUMIFS(領用表!$L:$L,領用表!$E:$E,$B115,領用表!$B:$B,V$2&amp;$R$1)</f>
        <v/>
      </c>
      <c r="W115" s="142">
        <f>SUMIFS(領用表!$L:$L,領用表!$E:$E,$B115,領用表!$B:$B,W$2&amp;$R$1)</f>
        <v/>
      </c>
      <c r="X115" s="142">
        <f>SUMIFS(領用表!$L:$L,領用表!$E:$E,$B115,領用表!$B:$B,X$2&amp;$R$1)</f>
        <v/>
      </c>
      <c r="Y115" s="142">
        <f>SUMIFS(領用表!$L:$L,領用表!$E:$E,$B115,領用表!$B:$B,Y$2&amp;$R$1)</f>
        <v/>
      </c>
      <c r="Z115" s="142">
        <f>SUMIFS(領用表!$L:$L,領用表!$E:$E,$B115,領用表!$B:$B,Z$2&amp;$R$1)</f>
        <v/>
      </c>
      <c r="AA115" s="142">
        <f>SUMIFS(領用表!$L:$L,領用表!$E:$E,$B115,領用表!$B:$B,AA$2&amp;$R$1)</f>
        <v/>
      </c>
      <c r="AB115" s="142">
        <f>SUMIFS(領用表!$L:$L,領用表!$E:$E,$B115,領用表!$B:$B,AB$2&amp;$R$1)</f>
        <v/>
      </c>
      <c r="AC115" s="142">
        <f>SUMIFS(領用表!$L:$L,領用表!$E:$E,$B115,領用表!$B:$B,AC$2&amp;$R$1)</f>
        <v/>
      </c>
      <c r="AD115" s="142">
        <f>SUM(R115,S115,T115,U115,V115,W115)</f>
        <v/>
      </c>
      <c r="AE115" s="142">
        <f>AVERAGE(R115,S115,T115,U115,V115,W115)</f>
        <v/>
      </c>
      <c r="AF115" s="142">
        <f>SUMIF(Summary!B:B,B115,Summary!EB:EB)</f>
        <v/>
      </c>
      <c r="AG115" s="109" t="n">
        <v>0</v>
      </c>
      <c r="AH115" s="65" t="n"/>
      <c r="AI115" s="65" t="n"/>
      <c r="AJ115" s="65" t="n"/>
      <c r="AK115" s="27" t="n"/>
      <c r="AL115" s="27" t="n"/>
      <c r="AM115" s="14" t="n"/>
      <c r="AN115" s="29" t="n"/>
    </row>
    <row r="116" ht="15.75" customHeight="1" s="453" thickBot="1">
      <c r="A116" s="27" t="n"/>
      <c r="B116" s="14" t="n">
        <v>6130001</v>
      </c>
      <c r="C116" s="136" t="inlineStr">
        <is>
          <t>降解酶</t>
        </is>
      </c>
      <c r="D116" s="77" t="n"/>
      <c r="E116" s="17" t="inlineStr">
        <is>
          <t>PCS</t>
        </is>
      </c>
      <c r="F116" s="18" t="n"/>
      <c r="G116" s="18" t="n">
        <v>0</v>
      </c>
      <c r="H116" s="68">
        <f>SUM(#REF!)</f>
        <v/>
      </c>
      <c r="I116" s="26">
        <f>H116/12</f>
        <v/>
      </c>
      <c r="J116" s="20">
        <f>SUMIFS(領用表!$L:$L,領用表!$E:$E,$B116,領用表!$B:$B,J$2&amp;$R$1)</f>
        <v/>
      </c>
      <c r="K116" s="20">
        <f>SUMIFS(領用表!$L:$L,領用表!$E:$E,$B116,領用表!$B:$B,K$2&amp;$R$1)</f>
        <v/>
      </c>
      <c r="L116" s="20">
        <f>SUMIFS(領用表!$L:$L,領用表!$E:$E,$B116,領用表!$B:$B,L$2&amp;$R$1)</f>
        <v/>
      </c>
      <c r="M116" s="142">
        <f>SUMIFS(領用表!$L:$L,領用表!$E:$E,$B116,領用表!$B:$B,M$2&amp;$R$1)</f>
        <v/>
      </c>
      <c r="N116" s="142">
        <f>SUMIFS(領用表!$L:$L,領用表!$E:$E,$B116,領用表!$B:$B,N$2&amp;$R$1)</f>
        <v/>
      </c>
      <c r="O116" s="142">
        <f>SUMIFS(領用表!$L:$L,領用表!$E:$E,$B116,領用表!$B:$B,O$2&amp;$R$1)</f>
        <v/>
      </c>
      <c r="P116" s="23">
        <f>SUM(,J116,K116,L116,M116,N116,O116)</f>
        <v/>
      </c>
      <c r="Q116" s="23">
        <f>AVERAGE(,J116,K116,L116,M116,N116,O116)</f>
        <v/>
      </c>
      <c r="R116" s="142">
        <f>SUMIFS(領用表!$L:$L,領用表!$E:$E,$B116,領用表!$B:$B,R$2&amp;$R$1)</f>
        <v/>
      </c>
      <c r="S116" s="142">
        <f>SUMIFS(領用表!$L:$L,領用表!$E:$E,$B116,領用表!$B:$B,S$2&amp;$R$1)</f>
        <v/>
      </c>
      <c r="T116" s="142">
        <f>SUMIFS(領用表!$L:$L,領用表!$E:$E,$B116,領用表!$B:$B,T$2&amp;$R$1)</f>
        <v/>
      </c>
      <c r="U116" s="142">
        <f>SUMIFS(領用表!$L:$L,領用表!$E:$E,$B116,領用表!$B:$B,U$2&amp;$R$1)</f>
        <v/>
      </c>
      <c r="V116" s="142">
        <f>SUMIFS(領用表!$L:$L,領用表!$E:$E,$B116,領用表!$B:$B,V$2&amp;$R$1)</f>
        <v/>
      </c>
      <c r="W116" s="142" t="n"/>
      <c r="X116" s="142">
        <f>SUMIFS(領用表!$L:$L,領用表!$E:$E,$B116,領用表!$B:$B,X$2&amp;$R$1)</f>
        <v/>
      </c>
      <c r="Y116" s="142">
        <f>SUMIFS(領用表!$L:$L,領用表!$E:$E,$B116,領用表!$B:$B,Y$2&amp;$R$1)</f>
        <v/>
      </c>
      <c r="Z116" s="142">
        <f>SUMIFS(領用表!$L:$L,領用表!$E:$E,$B116,領用表!$B:$B,Z$2&amp;$R$1)</f>
        <v/>
      </c>
      <c r="AA116" s="142">
        <f>SUMIFS(領用表!$L:$L,領用表!$E:$E,$B116,領用表!$B:$B,AA$2&amp;$R$1)</f>
        <v/>
      </c>
      <c r="AB116" s="142">
        <f>SUMIFS(領用表!$L:$L,領用表!$E:$E,$B116,領用表!$B:$B,AB$2&amp;$R$1)</f>
        <v/>
      </c>
      <c r="AC116" s="142">
        <f>SUMIFS(領用表!$L:$L,領用表!$E:$E,$B116,領用表!$B:$B,AC$2&amp;$R$1)</f>
        <v/>
      </c>
      <c r="AD116" s="142">
        <f>SUM(R116,S116,T116,U116,V116,W116)</f>
        <v/>
      </c>
      <c r="AE116" s="142">
        <f>AVERAGE(R116,S116,T116,U116,V116,W116)</f>
        <v/>
      </c>
      <c r="AF116" s="142">
        <f>SUMIF(Summary!B:B,B116,Summary!EB:EB)</f>
        <v/>
      </c>
      <c r="AG116" s="109" t="n">
        <v>3</v>
      </c>
      <c r="AH116" s="65" t="n"/>
      <c r="AI116" s="65" t="n"/>
      <c r="AJ116" s="65" t="n"/>
      <c r="AK116" s="27" t="n"/>
      <c r="AL116" s="27" t="n"/>
      <c r="AM116" s="14" t="n"/>
      <c r="AN116" s="29" t="n"/>
    </row>
    <row r="117" ht="15.75" customHeight="1" s="453" thickBot="1">
      <c r="A117" s="78" t="inlineStr">
        <is>
          <t>MB3ME090040A</t>
        </is>
      </c>
      <c r="B117" s="190" t="n">
        <v>6120042</v>
      </c>
      <c r="C117" s="136" t="inlineStr">
        <is>
          <t>(類固醇)修克托懸濁Shincort 1ml/支</t>
        </is>
      </c>
      <c r="D117" s="77" t="n"/>
      <c r="E117" s="17" t="n"/>
      <c r="F117" s="18" t="n"/>
      <c r="G117" s="18" t="n">
        <v>41</v>
      </c>
      <c r="H117" s="68" t="n"/>
      <c r="I117" s="26" t="n"/>
      <c r="J117" s="20">
        <f>SUMIFS(領用表!$L:$L,領用表!$E:$E,$B117,領用表!$B:$B,J$2&amp;$R$1)</f>
        <v/>
      </c>
      <c r="K117" s="20">
        <f>SUMIFS(領用表!$L:$L,領用表!$E:$E,$B117,領用表!$B:$B,K$2&amp;$R$1)</f>
        <v/>
      </c>
      <c r="L117" s="20">
        <f>SUMIFS(領用表!$L:$L,領用表!$E:$E,$B117,領用表!$B:$B,L$2&amp;$R$1)</f>
        <v/>
      </c>
      <c r="M117" s="142">
        <f>SUMIFS(領用表!$L:$L,領用表!$E:$E,$B117,領用表!$B:$B,M$2&amp;$R$1)</f>
        <v/>
      </c>
      <c r="N117" s="142">
        <f>SUMIFS(領用表!$L:$L,領用表!$E:$E,$B117,領用表!$B:$B,N$2&amp;$R$1)</f>
        <v/>
      </c>
      <c r="O117" s="142">
        <f>SUMIFS(領用表!$L:$L,領用表!$E:$E,$B117,領用表!$B:$B,O$2&amp;$R$1)</f>
        <v/>
      </c>
      <c r="P117" s="23">
        <f>SUM(,J117,K117,L117,M117,N117,O117)</f>
        <v/>
      </c>
      <c r="Q117" s="23">
        <f>AVERAGE(,J117,K117,L117,M117,N117,O117)</f>
        <v/>
      </c>
      <c r="R117" s="142">
        <f>SUMIFS(領用表!$L:$L,領用表!$E:$E,$B117,領用表!$B:$B,R$2&amp;$R$1)</f>
        <v/>
      </c>
      <c r="S117" s="142">
        <f>SUMIFS(領用表!$L:$L,領用表!$E:$E,$B117,領用表!$B:$B,S$2&amp;$R$1)</f>
        <v/>
      </c>
      <c r="T117" s="142">
        <f>SUMIFS(領用表!$L:$L,領用表!$E:$E,$B117,領用表!$B:$B,T$2&amp;$R$1)</f>
        <v/>
      </c>
      <c r="U117" s="142">
        <f>SUMIFS(領用表!$L:$L,領用表!$E:$E,$B117,領用表!$B:$B,U$2&amp;$R$1)</f>
        <v/>
      </c>
      <c r="V117" s="142">
        <f>SUMIFS(領用表!$L:$L,領用表!$E:$E,$B117,領用表!$B:$B,V$2&amp;$R$1)</f>
        <v/>
      </c>
      <c r="W117" s="142" t="n"/>
      <c r="X117" s="142">
        <f>SUMIFS(領用表!$L:$L,領用表!$E:$E,$B117,領用表!$B:$B,X$2&amp;$R$1)</f>
        <v/>
      </c>
      <c r="Y117" s="142">
        <f>SUMIFS(領用表!$L:$L,領用表!$E:$E,$B117,領用表!$B:$B,Y$2&amp;$R$1)</f>
        <v/>
      </c>
      <c r="Z117" s="142">
        <f>SUMIFS(領用表!$L:$L,領用表!$E:$E,$B117,領用表!$B:$B,Z$2&amp;$R$1)</f>
        <v/>
      </c>
      <c r="AA117" s="142">
        <f>SUMIFS(領用表!$L:$L,領用表!$E:$E,$B117,領用表!$B:$B,AA$2&amp;$R$1)</f>
        <v/>
      </c>
      <c r="AB117" s="142">
        <f>SUMIFS(領用表!$L:$L,領用表!$E:$E,$B117,領用表!$B:$B,AB$2&amp;$R$1)</f>
        <v/>
      </c>
      <c r="AC117" s="142">
        <f>SUMIFS(領用表!$L:$L,領用表!$E:$E,$B117,領用表!$B:$B,AC$2&amp;$R$1)</f>
        <v/>
      </c>
      <c r="AD117" s="142">
        <f>SUM(R117,S117,T117,U117,V117,W117)</f>
        <v/>
      </c>
      <c r="AE117" s="142">
        <f>AVERAGE(R117,S117,T117,U117,V117,W117)</f>
        <v/>
      </c>
      <c r="AF117" s="142">
        <f>SUMIF(Summary!B:B,B117,Summary!EB:EB)</f>
        <v/>
      </c>
      <c r="AG117" s="109" t="n"/>
      <c r="AH117" s="65" t="n"/>
      <c r="AI117" s="65" t="n"/>
      <c r="AJ117" s="65" t="n"/>
      <c r="AK117" s="27" t="n"/>
      <c r="AL117" s="27" t="n"/>
      <c r="AM117" s="14" t="n"/>
      <c r="AN117" s="29" t="n"/>
    </row>
    <row r="118" ht="15.75" customHeight="1" s="453" thickBot="1">
      <c r="A118" s="78" t="inlineStr">
        <is>
          <t>MB3ME090041A</t>
        </is>
      </c>
      <c r="B118" s="190" t="n">
        <v>6120043</v>
      </c>
      <c r="C118" s="136" t="inlineStr">
        <is>
          <t>(抗組織胺)力克樂 1ml/支</t>
        </is>
      </c>
      <c r="D118" s="77" t="n"/>
      <c r="E118" s="17" t="n"/>
      <c r="F118" s="18" t="n"/>
      <c r="G118" s="18" t="n"/>
      <c r="H118" s="68" t="n"/>
      <c r="I118" s="26" t="n"/>
      <c r="J118" s="20">
        <f>SUMIFS(領用表!$L:$L,領用表!$E:$E,$B118,領用表!$B:$B,J$2&amp;$R$1)</f>
        <v/>
      </c>
      <c r="K118" s="20">
        <f>SUMIFS(領用表!$L:$L,領用表!$E:$E,$B118,領用表!$B:$B,K$2&amp;$R$1)</f>
        <v/>
      </c>
      <c r="L118" s="20">
        <f>SUMIFS(領用表!$L:$L,領用表!$E:$E,$B118,領用表!$B:$B,L$2&amp;$R$1)</f>
        <v/>
      </c>
      <c r="M118" s="142">
        <f>SUMIFS(領用表!$L:$L,領用表!$E:$E,$B118,領用表!$B:$B,M$2&amp;$R$1)</f>
        <v/>
      </c>
      <c r="N118" s="142">
        <f>SUMIFS(領用表!$L:$L,領用表!$E:$E,$B118,領用表!$B:$B,N$2&amp;$R$1)</f>
        <v/>
      </c>
      <c r="O118" s="142">
        <f>SUMIFS(領用表!$L:$L,領用表!$E:$E,$B118,領用表!$B:$B,O$2&amp;$R$1)</f>
        <v/>
      </c>
      <c r="P118" s="23">
        <f>SUM(,J118,K118,L118,M118,N118,O118)</f>
        <v/>
      </c>
      <c r="Q118" s="23">
        <f>AVERAGE(,J118,K118,L118,M118,N118,O118)</f>
        <v/>
      </c>
      <c r="R118" s="142">
        <f>SUMIFS(領用表!$L:$L,領用表!$E:$E,$B118,領用表!$B:$B,R$2&amp;$R$1)</f>
        <v/>
      </c>
      <c r="S118" s="142">
        <f>SUMIFS(領用表!$L:$L,領用表!$E:$E,$B118,領用表!$B:$B,S$2&amp;$R$1)</f>
        <v/>
      </c>
      <c r="T118" s="142">
        <f>SUMIFS(領用表!$L:$L,領用表!$E:$E,$B118,領用表!$B:$B,T$2&amp;$R$1)</f>
        <v/>
      </c>
      <c r="U118" s="142">
        <f>SUMIFS(領用表!$L:$L,領用表!$E:$E,$B118,領用表!$B:$B,U$2&amp;$R$1)</f>
        <v/>
      </c>
      <c r="V118" s="142">
        <f>SUMIFS(領用表!$L:$L,領用表!$E:$E,$B118,領用表!$B:$B,V$2&amp;$R$1)</f>
        <v/>
      </c>
      <c r="W118" s="142" t="n"/>
      <c r="X118" s="142">
        <f>SUMIFS(領用表!$L:$L,領用表!$E:$E,$B118,領用表!$B:$B,X$2&amp;$R$1)</f>
        <v/>
      </c>
      <c r="Y118" s="142">
        <f>SUMIFS(領用表!$L:$L,領用表!$E:$E,$B118,領用表!$B:$B,Y$2&amp;$R$1)</f>
        <v/>
      </c>
      <c r="Z118" s="142">
        <f>SUMIFS(領用表!$L:$L,領用表!$E:$E,$B118,領用表!$B:$B,Z$2&amp;$R$1)</f>
        <v/>
      </c>
      <c r="AA118" s="142">
        <f>SUMIFS(領用表!$L:$L,領用表!$E:$E,$B118,領用表!$B:$B,AA$2&amp;$R$1)</f>
        <v/>
      </c>
      <c r="AB118" s="142">
        <f>SUMIFS(領用表!$L:$L,領用表!$E:$E,$B118,領用表!$B:$B,AB$2&amp;$R$1)</f>
        <v/>
      </c>
      <c r="AC118" s="142">
        <f>SUMIFS(領用表!$L:$L,領用表!$E:$E,$B118,領用表!$B:$B,AC$2&amp;$R$1)</f>
        <v/>
      </c>
      <c r="AD118" s="142">
        <f>SUM(R118,S118,T118,U118,V118,W118)</f>
        <v/>
      </c>
      <c r="AE118" s="142">
        <f>AVERAGE(R118,S118,T118,U118,V118,W118)</f>
        <v/>
      </c>
      <c r="AF118" s="142">
        <f>SUMIF(Summary!B:B,B118,Summary!EB:EB)</f>
        <v/>
      </c>
      <c r="AG118" s="109" t="n"/>
      <c r="AH118" s="65" t="n"/>
      <c r="AI118" s="65" t="n"/>
      <c r="AJ118" s="65" t="n"/>
      <c r="AK118" s="27" t="n"/>
      <c r="AL118" s="27" t="n"/>
      <c r="AM118" s="14" t="n"/>
      <c r="AN118" s="29" t="n"/>
    </row>
    <row r="119" ht="15.75" customHeight="1" s="453" thickBot="1">
      <c r="A119" s="194" t="inlineStr">
        <is>
          <t>MB3ME090042A</t>
        </is>
      </c>
      <c r="B119" s="191" t="n">
        <v>6120044</v>
      </c>
      <c r="C119" s="195" t="inlineStr">
        <is>
          <t>舒疼消熱1ml/支(Acetamol)</t>
        </is>
      </c>
      <c r="D119" s="77" t="n"/>
      <c r="E119" s="17" t="n"/>
      <c r="F119" s="18" t="n"/>
      <c r="G119" s="18" t="n">
        <v>8</v>
      </c>
      <c r="H119" s="68" t="n"/>
      <c r="I119" s="26" t="n"/>
      <c r="J119" s="20">
        <f>SUMIFS(領用表!$L:$L,領用表!$E:$E,$B119,領用表!$B:$B,J$2&amp;$R$1)</f>
        <v/>
      </c>
      <c r="K119" s="20">
        <f>SUMIFS(領用表!$L:$L,領用表!$E:$E,$B119,領用表!$B:$B,K$2&amp;$R$1)</f>
        <v/>
      </c>
      <c r="L119" s="20">
        <f>SUMIFS(領用表!$L:$L,領用表!$E:$E,$B119,領用表!$B:$B,L$2&amp;$R$1)</f>
        <v/>
      </c>
      <c r="M119" s="142">
        <f>SUMIFS(領用表!$L:$L,領用表!$E:$E,$B119,領用表!$B:$B,M$2&amp;$R$1)</f>
        <v/>
      </c>
      <c r="N119" s="142">
        <f>SUMIFS(領用表!$L:$L,領用表!$E:$E,$B119,領用表!$B:$B,N$2&amp;$R$1)</f>
        <v/>
      </c>
      <c r="O119" s="142">
        <f>SUMIFS(領用表!$L:$L,領用表!$E:$E,$B119,領用表!$B:$B,O$2&amp;$R$1)</f>
        <v/>
      </c>
      <c r="P119" s="23">
        <f>SUM(,J119,K119,L119,M119,N119,O119)</f>
        <v/>
      </c>
      <c r="Q119" s="23">
        <f>AVERAGE(,J119,K119,L119,M119,N119,O119)</f>
        <v/>
      </c>
      <c r="R119" s="142">
        <f>SUMIFS(領用表!$L:$L,領用表!$E:$E,$B119,領用表!$B:$B,R$2&amp;$R$1)</f>
        <v/>
      </c>
      <c r="S119" s="142">
        <f>SUMIFS(領用表!$L:$L,領用表!$E:$E,$B119,領用表!$B:$B,S$2&amp;$R$1)</f>
        <v/>
      </c>
      <c r="T119" s="142">
        <f>SUMIFS(領用表!$L:$L,領用表!$E:$E,$B119,領用表!$B:$B,T$2&amp;$R$1)</f>
        <v/>
      </c>
      <c r="U119" s="142">
        <f>SUMIFS(領用表!$L:$L,領用表!$E:$E,$B119,領用表!$B:$B,U$2&amp;$R$1)</f>
        <v/>
      </c>
      <c r="V119" s="142">
        <f>SUMIFS(領用表!$L:$L,領用表!$E:$E,$B119,領用表!$B:$B,V$2&amp;$R$1)</f>
        <v/>
      </c>
      <c r="W119" s="142" t="n"/>
      <c r="X119" s="142">
        <f>SUMIFS(領用表!$L:$L,領用表!$E:$E,$B119,領用表!$B:$B,X$2&amp;$R$1)</f>
        <v/>
      </c>
      <c r="Y119" s="142">
        <f>SUMIFS(領用表!$L:$L,領用表!$E:$E,$B119,領用表!$B:$B,Y$2&amp;$R$1)</f>
        <v/>
      </c>
      <c r="Z119" s="142">
        <f>SUMIFS(領用表!$L:$L,領用表!$E:$E,$B119,領用表!$B:$B,Z$2&amp;$R$1)</f>
        <v/>
      </c>
      <c r="AA119" s="142">
        <f>SUMIFS(領用表!$L:$L,領用表!$E:$E,$B119,領用表!$B:$B,AA$2&amp;$R$1)</f>
        <v/>
      </c>
      <c r="AB119" s="142">
        <f>SUMIFS(領用表!$L:$L,領用表!$E:$E,$B119,領用表!$B:$B,AB$2&amp;$R$1)</f>
        <v/>
      </c>
      <c r="AC119" s="142">
        <f>SUMIFS(領用表!$L:$L,領用表!$E:$E,$B119,領用表!$B:$B,AC$2&amp;$R$1)</f>
        <v/>
      </c>
      <c r="AD119" s="142">
        <f>SUM(R119,S119,T119,U119,V119,W119)</f>
        <v/>
      </c>
      <c r="AE119" s="142">
        <f>AVERAGE(R119,S119,T119,U119,V119,W119)</f>
        <v/>
      </c>
      <c r="AF119" s="142">
        <f>SUMIF(Summary!B:B,B119,Summary!EB:EB)</f>
        <v/>
      </c>
      <c r="AG119" s="109" t="n"/>
      <c r="AH119" s="65" t="n"/>
      <c r="AI119" s="65" t="n"/>
      <c r="AJ119" s="65" t="n"/>
      <c r="AK119" s="27" t="n"/>
      <c r="AL119" s="27" t="n"/>
      <c r="AM119" s="14" t="n"/>
      <c r="AN119" s="29" t="n"/>
    </row>
    <row r="120" ht="15.75" customHeight="1" s="453">
      <c r="A120" s="27" t="n"/>
      <c r="B120" s="14" t="e">
        <v>#N/A</v>
      </c>
      <c r="C120" s="136" t="inlineStr">
        <is>
          <t>(售完不進)滾針1.0mm</t>
        </is>
      </c>
      <c r="D120" s="77" t="n"/>
      <c r="E120" s="17" t="inlineStr">
        <is>
          <t>支</t>
        </is>
      </c>
      <c r="F120" s="18" t="n"/>
      <c r="G120" s="18" t="n"/>
      <c r="H120" s="68">
        <f>SUM(#REF!)</f>
        <v/>
      </c>
      <c r="I120" s="26">
        <f>H120/12</f>
        <v/>
      </c>
      <c r="J120" s="20">
        <f>SUMIFS(領用表!$L:$L,領用表!$E:$E,$B120,領用表!$B:$B,J$2&amp;$R$1)</f>
        <v/>
      </c>
      <c r="K120" s="20">
        <f>SUMIFS(領用表!$L:$L,領用表!$E:$E,$B120,領用表!$B:$B,K$2&amp;$R$1)</f>
        <v/>
      </c>
      <c r="L120" s="20">
        <f>SUMIFS(領用表!$L:$L,領用表!$E:$E,$B120,領用表!$B:$B,L$2&amp;$R$1)</f>
        <v/>
      </c>
      <c r="M120" s="142">
        <f>SUMIFS(領用表!$L:$L,領用表!$E:$E,$B120,領用表!$B:$B,M$2&amp;$R$1)</f>
        <v/>
      </c>
      <c r="N120" s="142">
        <f>SUMIFS(領用表!$L:$L,領用表!$E:$E,$B120,領用表!$B:$B,N$2&amp;$R$1)</f>
        <v/>
      </c>
      <c r="O120" s="142">
        <f>SUMIFS(領用表!$L:$L,領用表!$E:$E,$B120,領用表!$B:$B,O$2&amp;$R$1)</f>
        <v/>
      </c>
      <c r="P120" s="23">
        <f>SUM(,J120,K120,L120,M120,N120,O120)</f>
        <v/>
      </c>
      <c r="Q120" s="23">
        <f>AVERAGE(,J120,K120,L120,M120,N120,O120)</f>
        <v/>
      </c>
      <c r="R120" s="142">
        <f>SUMIFS(領用表!$L:$L,領用表!$E:$E,$B120,領用表!$B:$B,R$2&amp;$R$1)</f>
        <v/>
      </c>
      <c r="S120" s="142">
        <f>SUMIFS(領用表!$L:$L,領用表!$E:$E,$B120,領用表!$B:$B,S$2&amp;$R$1)</f>
        <v/>
      </c>
      <c r="T120" s="142">
        <f>SUMIFS(領用表!$L:$L,領用表!$E:$E,$B120,領用表!$B:$B,T$2&amp;$R$1)</f>
        <v/>
      </c>
      <c r="U120" s="142">
        <f>SUMIFS(領用表!$L:$L,領用表!$E:$E,$B120,領用表!$B:$B,U$2&amp;$R$1)</f>
        <v/>
      </c>
      <c r="V120" s="142">
        <f>SUMIFS(領用表!$L:$L,領用表!$E:$E,$B120,領用表!$B:$B,V$2&amp;$R$1)</f>
        <v/>
      </c>
      <c r="W120" s="142">
        <f>SUMIFS(領用表!$L:$L,領用表!$E:$E,$B120,領用表!$B:$B,W$2&amp;$R$1)</f>
        <v/>
      </c>
      <c r="X120" s="142">
        <f>SUMIFS(領用表!$L:$L,領用表!$E:$E,$B120,領用表!$B:$B,X$2&amp;$R$1)</f>
        <v/>
      </c>
      <c r="Y120" s="142">
        <f>SUMIFS(領用表!$L:$L,領用表!$E:$E,$B120,領用表!$B:$B,Y$2&amp;$R$1)</f>
        <v/>
      </c>
      <c r="Z120" s="142">
        <f>SUMIFS(領用表!$L:$L,領用表!$E:$E,$B120,領用表!$B:$B,Z$2&amp;$R$1)</f>
        <v/>
      </c>
      <c r="AA120" s="142">
        <f>SUMIFS(領用表!$L:$L,領用表!$E:$E,$B120,領用表!$B:$B,AA$2&amp;$R$1)</f>
        <v/>
      </c>
      <c r="AB120" s="142">
        <f>SUMIFS(領用表!$L:$L,領用表!$E:$E,$B120,領用表!$B:$B,AB$2&amp;$R$1)</f>
        <v/>
      </c>
      <c r="AC120" s="142">
        <f>SUMIFS(領用表!$L:$L,領用表!$E:$E,$B120,領用表!$B:$B,AC$2&amp;$R$1)</f>
        <v/>
      </c>
      <c r="AD120" s="142">
        <f>SUM(R120,S120,T120,U120,V120,W120)</f>
        <v/>
      </c>
      <c r="AE120" s="142">
        <f>AVERAGE(R120,S120,T120,U120,V120,W120)</f>
        <v/>
      </c>
      <c r="AF120" s="142">
        <f>SUMIF(Summary!B:B,B120,Summary!EB:EB)</f>
        <v/>
      </c>
      <c r="AG120" s="109" t="n">
        <v>0</v>
      </c>
      <c r="AH120" s="65" t="n"/>
      <c r="AI120" s="65" t="n"/>
      <c r="AJ120" s="65" t="n"/>
      <c r="AK120" s="27" t="n"/>
      <c r="AL120" s="27" t="n"/>
      <c r="AM120" s="14" t="n"/>
      <c r="AN120" s="29" t="n"/>
    </row>
    <row r="121" ht="15.75" customHeight="1" s="453">
      <c r="A121" s="27" t="n"/>
      <c r="B121" s="14" t="e">
        <v>#N/A</v>
      </c>
      <c r="C121" s="136" t="inlineStr">
        <is>
          <t>(售完不進)滾針1.5mm</t>
        </is>
      </c>
      <c r="D121" s="77" t="n"/>
      <c r="E121" s="17" t="inlineStr">
        <is>
          <t>支</t>
        </is>
      </c>
      <c r="F121" s="18" t="n"/>
      <c r="G121" s="18" t="n"/>
      <c r="H121" s="68">
        <f>SUM(#REF!)</f>
        <v/>
      </c>
      <c r="I121" s="26">
        <f>H121/12</f>
        <v/>
      </c>
      <c r="J121" s="20">
        <f>SUMIFS(領用表!$L:$L,領用表!$E:$E,$B121,領用表!$B:$B,J$2&amp;$R$1)</f>
        <v/>
      </c>
      <c r="K121" s="20">
        <f>SUMIFS(領用表!$L:$L,領用表!$E:$E,$B121,領用表!$B:$B,K$2&amp;$R$1)</f>
        <v/>
      </c>
      <c r="L121" s="20">
        <f>SUMIFS(領用表!$L:$L,領用表!$E:$E,$B121,領用表!$B:$B,L$2&amp;$R$1)</f>
        <v/>
      </c>
      <c r="M121" s="142">
        <f>SUMIFS(領用表!$L:$L,領用表!$E:$E,$B121,領用表!$B:$B,M$2&amp;$R$1)</f>
        <v/>
      </c>
      <c r="N121" s="142">
        <f>SUMIFS(領用表!$L:$L,領用表!$E:$E,$B121,領用表!$B:$B,N$2&amp;$R$1)</f>
        <v/>
      </c>
      <c r="O121" s="142">
        <f>SUMIFS(領用表!$L:$L,領用表!$E:$E,$B121,領用表!$B:$B,O$2&amp;$R$1)</f>
        <v/>
      </c>
      <c r="P121" s="23">
        <f>SUM(,J121,K121,L121,M121,N121,O121)</f>
        <v/>
      </c>
      <c r="Q121" s="23">
        <f>AVERAGE(,J121,K121,L121,M121,N121,O121)</f>
        <v/>
      </c>
      <c r="R121" s="142">
        <f>SUMIFS(領用表!$L:$L,領用表!$E:$E,$B121,領用表!$B:$B,R$2&amp;$R$1)</f>
        <v/>
      </c>
      <c r="S121" s="142">
        <f>SUMIFS(領用表!$L:$L,領用表!$E:$E,$B121,領用表!$B:$B,S$2&amp;$R$1)</f>
        <v/>
      </c>
      <c r="T121" s="142">
        <f>SUMIFS(領用表!$L:$L,領用表!$E:$E,$B121,領用表!$B:$B,T$2&amp;$R$1)</f>
        <v/>
      </c>
      <c r="U121" s="142">
        <f>SUMIFS(領用表!$L:$L,領用表!$E:$E,$B121,領用表!$B:$B,U$2&amp;$R$1)</f>
        <v/>
      </c>
      <c r="V121" s="142">
        <f>SUMIFS(領用表!$L:$L,領用表!$E:$E,$B121,領用表!$B:$B,V$2&amp;$R$1)</f>
        <v/>
      </c>
      <c r="W121" s="142">
        <f>SUMIFS(領用表!$L:$L,領用表!$E:$E,$B121,領用表!$B:$B,W$2&amp;$R$1)</f>
        <v/>
      </c>
      <c r="X121" s="142">
        <f>SUMIFS(領用表!$L:$L,領用表!$E:$E,$B121,領用表!$B:$B,X$2&amp;$R$1)</f>
        <v/>
      </c>
      <c r="Y121" s="142">
        <f>SUMIFS(領用表!$L:$L,領用表!$E:$E,$B121,領用表!$B:$B,Y$2&amp;$R$1)</f>
        <v/>
      </c>
      <c r="Z121" s="142">
        <f>SUMIFS(領用表!$L:$L,領用表!$E:$E,$B121,領用表!$B:$B,Z$2&amp;$R$1)</f>
        <v/>
      </c>
      <c r="AA121" s="142">
        <f>SUMIFS(領用表!$L:$L,領用表!$E:$E,$B121,領用表!$B:$B,AA$2&amp;$R$1)</f>
        <v/>
      </c>
      <c r="AB121" s="142">
        <f>SUMIFS(領用表!$L:$L,領用表!$E:$E,$B121,領用表!$B:$B,AB$2&amp;$R$1)</f>
        <v/>
      </c>
      <c r="AC121" s="142">
        <f>SUMIFS(領用表!$L:$L,領用表!$E:$E,$B121,領用表!$B:$B,AC$2&amp;$R$1)</f>
        <v/>
      </c>
      <c r="AD121" s="142">
        <f>SUM(R121,S121,T121,U121,V121,W121)</f>
        <v/>
      </c>
      <c r="AE121" s="142">
        <f>AVERAGE(R121,S121,T121,U121,V121,W121)</f>
        <v/>
      </c>
      <c r="AF121" s="142">
        <f>SUMIF(Summary!B:B,B121,Summary!EB:EB)</f>
        <v/>
      </c>
      <c r="AG121" s="109" t="n">
        <v>0</v>
      </c>
      <c r="AH121" s="65" t="n"/>
      <c r="AI121" s="65" t="n"/>
      <c r="AJ121" s="65" t="n"/>
      <c r="AK121" s="27" t="n"/>
      <c r="AL121" s="27" t="n"/>
      <c r="AM121" s="14" t="n"/>
      <c r="AN121" s="29" t="n"/>
    </row>
    <row r="122" ht="15.75" customHeight="1" s="453">
      <c r="A122" s="27" t="n"/>
      <c r="B122" s="14" t="e">
        <v>#N/A</v>
      </c>
      <c r="C122" s="136" t="inlineStr">
        <is>
          <t>(售完不進)滾針2.0mm</t>
        </is>
      </c>
      <c r="D122" s="77" t="n"/>
      <c r="E122" s="17" t="inlineStr">
        <is>
          <t>支</t>
        </is>
      </c>
      <c r="F122" s="18" t="n"/>
      <c r="G122" s="18" t="n"/>
      <c r="H122" s="68">
        <f>SUM(#REF!)</f>
        <v/>
      </c>
      <c r="I122" s="26">
        <f>H122/12</f>
        <v/>
      </c>
      <c r="J122" s="20">
        <f>SUMIFS(領用表!$L:$L,領用表!$E:$E,$B122,領用表!$B:$B,J$2&amp;$R$1)</f>
        <v/>
      </c>
      <c r="K122" s="20">
        <f>SUMIFS(領用表!$L:$L,領用表!$E:$E,$B122,領用表!$B:$B,K$2&amp;$R$1)</f>
        <v/>
      </c>
      <c r="L122" s="20">
        <f>SUMIFS(領用表!$L:$L,領用表!$E:$E,$B122,領用表!$B:$B,L$2&amp;$R$1)</f>
        <v/>
      </c>
      <c r="M122" s="142">
        <f>SUMIFS(領用表!$L:$L,領用表!$E:$E,$B122,領用表!$B:$B,M$2&amp;$R$1)</f>
        <v/>
      </c>
      <c r="N122" s="142">
        <f>SUMIFS(領用表!$L:$L,領用表!$E:$E,$B122,領用表!$B:$B,N$2&amp;$R$1)</f>
        <v/>
      </c>
      <c r="O122" s="142">
        <f>SUMIFS(領用表!$L:$L,領用表!$E:$E,$B122,領用表!$B:$B,O$2&amp;$R$1)</f>
        <v/>
      </c>
      <c r="P122" s="23">
        <f>SUM(,J122,K122,L122,M122,N122,O122)</f>
        <v/>
      </c>
      <c r="Q122" s="23">
        <f>AVERAGE(,J122,K122,L122,M122,N122,O122)</f>
        <v/>
      </c>
      <c r="R122" s="142">
        <f>SUMIFS(領用表!$L:$L,領用表!$E:$E,$B122,領用表!$B:$B,R$2&amp;$R$1)</f>
        <v/>
      </c>
      <c r="S122" s="142">
        <f>SUMIFS(領用表!$L:$L,領用表!$E:$E,$B122,領用表!$B:$B,S$2&amp;$R$1)</f>
        <v/>
      </c>
      <c r="T122" s="142">
        <f>SUMIFS(領用表!$L:$L,領用表!$E:$E,$B122,領用表!$B:$B,T$2&amp;$R$1)</f>
        <v/>
      </c>
      <c r="U122" s="142">
        <f>SUMIFS(領用表!$L:$L,領用表!$E:$E,$B122,領用表!$B:$B,U$2&amp;$R$1)</f>
        <v/>
      </c>
      <c r="V122" s="142">
        <f>SUMIFS(領用表!$L:$L,領用表!$E:$E,$B122,領用表!$B:$B,V$2&amp;$R$1)</f>
        <v/>
      </c>
      <c r="W122" s="142">
        <f>SUMIFS(領用表!$L:$L,領用表!$E:$E,$B122,領用表!$B:$B,W$2&amp;$R$1)</f>
        <v/>
      </c>
      <c r="X122" s="142">
        <f>SUMIFS(領用表!$L:$L,領用表!$E:$E,$B122,領用表!$B:$B,X$2&amp;$R$1)</f>
        <v/>
      </c>
      <c r="Y122" s="142">
        <f>SUMIFS(領用表!$L:$L,領用表!$E:$E,$B122,領用表!$B:$B,Y$2&amp;$R$1)</f>
        <v/>
      </c>
      <c r="Z122" s="142">
        <f>SUMIFS(領用表!$L:$L,領用表!$E:$E,$B122,領用表!$B:$B,Z$2&amp;$R$1)</f>
        <v/>
      </c>
      <c r="AA122" s="142">
        <f>SUMIFS(領用表!$L:$L,領用表!$E:$E,$B122,領用表!$B:$B,AA$2&amp;$R$1)</f>
        <v/>
      </c>
      <c r="AB122" s="142">
        <f>SUMIFS(領用表!$L:$L,領用表!$E:$E,$B122,領用表!$B:$B,AB$2&amp;$R$1)</f>
        <v/>
      </c>
      <c r="AC122" s="142">
        <f>SUMIFS(領用表!$L:$L,領用表!$E:$E,$B122,領用表!$B:$B,AC$2&amp;$R$1)</f>
        <v/>
      </c>
      <c r="AD122" s="142">
        <f>SUM(R122,S122,T122,U122,V122,W122)</f>
        <v/>
      </c>
      <c r="AE122" s="142">
        <f>AVERAGE(R122,S122,T122,U122,V122,W122)</f>
        <v/>
      </c>
      <c r="AF122" s="142">
        <f>SUMIF(Summary!B:B,B122,Summary!EB:EB)</f>
        <v/>
      </c>
      <c r="AG122" s="109" t="n">
        <v>0</v>
      </c>
      <c r="AH122" s="65" t="n"/>
      <c r="AI122" s="65" t="n"/>
      <c r="AJ122" s="65" t="n"/>
      <c r="AK122" s="27" t="n"/>
      <c r="AL122" s="27" t="n"/>
      <c r="AM122" s="14" t="n"/>
      <c r="AN122" s="29" t="n"/>
    </row>
    <row r="123" ht="15.75" customHeight="1" s="453">
      <c r="A123" s="27" t="n"/>
      <c r="B123" s="14" t="e">
        <v>#N/A</v>
      </c>
      <c r="C123" s="136" t="inlineStr">
        <is>
          <t>鈍針_27G</t>
        </is>
      </c>
      <c r="D123" s="77" t="n"/>
      <c r="E123" s="17" t="inlineStr">
        <is>
          <t>支</t>
        </is>
      </c>
      <c r="F123" s="18" t="n"/>
      <c r="G123" s="18" t="n"/>
      <c r="H123" s="68" t="n"/>
      <c r="I123" s="26" t="n"/>
      <c r="J123" s="20">
        <f>SUMIFS(領用表!$L:$L,領用表!$E:$E,$B123,領用表!$B:$B,J$2&amp;$R$1)</f>
        <v/>
      </c>
      <c r="K123" s="20">
        <f>SUMIFS(領用表!$L:$L,領用表!$E:$E,$B123,領用表!$B:$B,K$2&amp;$R$1)</f>
        <v/>
      </c>
      <c r="L123" s="20">
        <f>SUMIFS(領用表!$L:$L,領用表!$E:$E,$B123,領用表!$B:$B,L$2&amp;$R$1)</f>
        <v/>
      </c>
      <c r="M123" s="142">
        <f>SUMIFS(領用表!$L:$L,領用表!$E:$E,$B123,領用表!$B:$B,M$2&amp;$R$1)</f>
        <v/>
      </c>
      <c r="N123" s="142">
        <f>SUMIFS(領用表!$L:$L,領用表!$E:$E,$B123,領用表!$B:$B,N$2&amp;$R$1)</f>
        <v/>
      </c>
      <c r="O123" s="142">
        <f>SUMIFS(領用表!$L:$L,領用表!$E:$E,$B123,領用表!$B:$B,O$2&amp;$R$1)</f>
        <v/>
      </c>
      <c r="P123" s="23">
        <f>SUM(,J123,K123,L123,M123,N123,O123)</f>
        <v/>
      </c>
      <c r="Q123" s="23">
        <f>AVERAGE(,J123,K123,L123,M123,N123,O123)</f>
        <v/>
      </c>
      <c r="R123" s="142">
        <f>SUMIFS(領用表!$L:$L,領用表!$E:$E,$B123,領用表!$B:$B,R$2&amp;$R$1)</f>
        <v/>
      </c>
      <c r="S123" s="142">
        <f>SUMIFS(領用表!$L:$L,領用表!$E:$E,$B123,領用表!$B:$B,S$2&amp;$R$1)</f>
        <v/>
      </c>
      <c r="T123" s="142">
        <f>SUMIFS(領用表!$L:$L,領用表!$E:$E,$B123,領用表!$B:$B,T$2&amp;$R$1)</f>
        <v/>
      </c>
      <c r="U123" s="142">
        <f>SUMIFS(領用表!$L:$L,領用表!$E:$E,$B123,領用表!$B:$B,U$2&amp;$R$1)</f>
        <v/>
      </c>
      <c r="V123" s="142">
        <f>SUMIFS(領用表!$L:$L,領用表!$E:$E,$B123,領用表!$B:$B,V$2&amp;$R$1)</f>
        <v/>
      </c>
      <c r="W123" s="142">
        <f>SUMIFS(領用表!$L:$L,領用表!$E:$E,$B123,領用表!$B:$B,W$2&amp;$R$1)</f>
        <v/>
      </c>
      <c r="X123" s="142">
        <f>SUMIFS(領用表!$L:$L,領用表!$E:$E,$B123,領用表!$B:$B,X$2&amp;$R$1)</f>
        <v/>
      </c>
      <c r="Y123" s="142">
        <f>SUMIFS(領用表!$L:$L,領用表!$E:$E,$B123,領用表!$B:$B,Y$2&amp;$R$1)</f>
        <v/>
      </c>
      <c r="Z123" s="142">
        <f>SUMIFS(領用表!$L:$L,領用表!$E:$E,$B123,領用表!$B:$B,Z$2&amp;$R$1)</f>
        <v/>
      </c>
      <c r="AA123" s="142">
        <f>SUMIFS(領用表!$L:$L,領用表!$E:$E,$B123,領用表!$B:$B,AA$2&amp;$R$1)</f>
        <v/>
      </c>
      <c r="AB123" s="142">
        <f>SUMIFS(領用表!$L:$L,領用表!$E:$E,$B123,領用表!$B:$B,AB$2&amp;$R$1)</f>
        <v/>
      </c>
      <c r="AC123" s="142">
        <f>SUMIFS(領用表!$L:$L,領用表!$E:$E,$B123,領用表!$B:$B,AC$2&amp;$R$1)</f>
        <v/>
      </c>
      <c r="AD123" s="142">
        <f>SUM(R123,S123,T123,U123,V123,W123)</f>
        <v/>
      </c>
      <c r="AE123" s="142">
        <f>AVERAGE(R123,S123,T123,U123,V123,W123)</f>
        <v/>
      </c>
      <c r="AF123" s="142">
        <f>SUMIF(Summary!B:B,B123,Summary!EB:EB)</f>
        <v/>
      </c>
      <c r="AG123" s="109" t="n">
        <v>0</v>
      </c>
      <c r="AH123" s="65" t="n"/>
      <c r="AI123" s="65" t="n"/>
      <c r="AJ123" s="65" t="n"/>
      <c r="AK123" s="27" t="n"/>
      <c r="AL123" s="27" t="n"/>
      <c r="AM123" s="14" t="n"/>
      <c r="AN123" s="29" t="n"/>
    </row>
    <row r="124" ht="15.75" customHeight="1" s="453">
      <c r="A124" s="27" t="n"/>
      <c r="B124" s="14" t="e">
        <v>#N/A</v>
      </c>
      <c r="C124" s="136" t="inlineStr">
        <is>
          <t>寶寶針_32G 2mm</t>
        </is>
      </c>
      <c r="D124" s="77" t="n"/>
      <c r="E124" s="17" t="inlineStr">
        <is>
          <t>支</t>
        </is>
      </c>
      <c r="F124" s="18" t="n"/>
      <c r="G124" s="18" t="n"/>
      <c r="H124" s="68" t="n"/>
      <c r="I124" s="26" t="n"/>
      <c r="J124" s="20">
        <f>SUMIFS(領用表!$L:$L,領用表!$E:$E,$B124,領用表!$B:$B,J$2&amp;$R$1)</f>
        <v/>
      </c>
      <c r="K124" s="20">
        <f>SUMIFS(領用表!$L:$L,領用表!$E:$E,$B124,領用表!$B:$B,K$2&amp;$R$1)</f>
        <v/>
      </c>
      <c r="L124" s="20">
        <f>SUMIFS(領用表!$L:$L,領用表!$E:$E,$B124,領用表!$B:$B,L$2&amp;$R$1)</f>
        <v/>
      </c>
      <c r="M124" s="142">
        <f>SUMIFS(領用表!$L:$L,領用表!$E:$E,$B124,領用表!$B:$B,M$2&amp;$R$1)</f>
        <v/>
      </c>
      <c r="N124" s="142">
        <f>SUMIFS(領用表!$L:$L,領用表!$E:$E,$B124,領用表!$B:$B,N$2&amp;$R$1)</f>
        <v/>
      </c>
      <c r="O124" s="142">
        <f>SUMIFS(領用表!$L:$L,領用表!$E:$E,$B124,領用表!$B:$B,O$2&amp;$R$1)</f>
        <v/>
      </c>
      <c r="P124" s="23">
        <f>SUM(,J124,K124,L124,M124,N124,O124)</f>
        <v/>
      </c>
      <c r="Q124" s="23">
        <f>AVERAGE(,J124,K124,L124,M124,N124,O124)</f>
        <v/>
      </c>
      <c r="R124" s="142">
        <f>SUMIFS(領用表!$L:$L,領用表!$E:$E,$B124,領用表!$B:$B,R$2&amp;$R$1)</f>
        <v/>
      </c>
      <c r="S124" s="142">
        <f>SUMIFS(領用表!$L:$L,領用表!$E:$E,$B124,領用表!$B:$B,S$2&amp;$R$1)</f>
        <v/>
      </c>
      <c r="T124" s="142">
        <f>SUMIFS(領用表!$L:$L,領用表!$E:$E,$B124,領用表!$B:$B,T$2&amp;$R$1)</f>
        <v/>
      </c>
      <c r="U124" s="142">
        <f>SUMIFS(領用表!$L:$L,領用表!$E:$E,$B124,領用表!$B:$B,U$2&amp;$R$1)</f>
        <v/>
      </c>
      <c r="V124" s="142">
        <f>SUMIFS(領用表!$L:$L,領用表!$E:$E,$B124,領用表!$B:$B,V$2&amp;$R$1)</f>
        <v/>
      </c>
      <c r="W124" s="142">
        <f>SUMIFS(領用表!$L:$L,領用表!$E:$E,$B124,領用表!$B:$B,W$2&amp;$R$1)</f>
        <v/>
      </c>
      <c r="X124" s="142">
        <f>SUMIFS(領用表!$L:$L,領用表!$E:$E,$B124,領用表!$B:$B,X$2&amp;$R$1)</f>
        <v/>
      </c>
      <c r="Y124" s="142">
        <f>SUMIFS(領用表!$L:$L,領用表!$E:$E,$B124,領用表!$B:$B,Y$2&amp;$R$1)</f>
        <v/>
      </c>
      <c r="Z124" s="142">
        <f>SUMIFS(領用表!$L:$L,領用表!$E:$E,$B124,領用表!$B:$B,Z$2&amp;$R$1)</f>
        <v/>
      </c>
      <c r="AA124" s="142">
        <f>SUMIFS(領用表!$L:$L,領用表!$E:$E,$B124,領用表!$B:$B,AA$2&amp;$R$1)</f>
        <v/>
      </c>
      <c r="AB124" s="142">
        <f>SUMIFS(領用表!$L:$L,領用表!$E:$E,$B124,領用表!$B:$B,AB$2&amp;$R$1)</f>
        <v/>
      </c>
      <c r="AC124" s="142">
        <f>SUMIFS(領用表!$L:$L,領用表!$E:$E,$B124,領用表!$B:$B,AC$2&amp;$R$1)</f>
        <v/>
      </c>
      <c r="AD124" s="142">
        <f>SUM(R124,S124,T124,U124,V124,W124)</f>
        <v/>
      </c>
      <c r="AE124" s="142">
        <f>AVERAGE(R124,S124,T124,U124,V124,W124)</f>
        <v/>
      </c>
      <c r="AF124" s="142">
        <f>SUMIF(Summary!B:B,B124,Summary!EB:EB)</f>
        <v/>
      </c>
      <c r="AG124" s="109" t="n">
        <v>0</v>
      </c>
      <c r="AH124" s="65" t="n"/>
      <c r="AI124" s="65" t="n"/>
      <c r="AJ124" s="65" t="n"/>
      <c r="AK124" s="27" t="n"/>
      <c r="AL124" s="27" t="n"/>
      <c r="AM124" s="14" t="n"/>
      <c r="AN124" s="29" t="n"/>
    </row>
    <row r="125" ht="15.75" customHeight="1" s="453">
      <c r="A125" s="27" t="n"/>
      <c r="B125" s="14" t="e">
        <v>#N/A</v>
      </c>
      <c r="C125" s="136" t="inlineStr">
        <is>
          <t>寶寶針_32G 4mm</t>
        </is>
      </c>
      <c r="D125" s="77" t="n"/>
      <c r="E125" s="17" t="inlineStr">
        <is>
          <t>支</t>
        </is>
      </c>
      <c r="F125" s="18" t="n"/>
      <c r="G125" s="18" t="n"/>
      <c r="H125" s="68" t="n"/>
      <c r="I125" s="26" t="n"/>
      <c r="J125" s="20">
        <f>SUMIFS(領用表!$L:$L,領用表!$E:$E,$B125,領用表!$B:$B,J$2&amp;$R$1)</f>
        <v/>
      </c>
      <c r="K125" s="20">
        <f>SUMIFS(領用表!$L:$L,領用表!$E:$E,$B125,領用表!$B:$B,K$2&amp;$R$1)</f>
        <v/>
      </c>
      <c r="L125" s="20">
        <f>SUMIFS(領用表!$L:$L,領用表!$E:$E,$B125,領用表!$B:$B,L$2&amp;$R$1)</f>
        <v/>
      </c>
      <c r="M125" s="142">
        <f>SUMIFS(領用表!$L:$L,領用表!$E:$E,$B125,領用表!$B:$B,M$2&amp;$R$1)</f>
        <v/>
      </c>
      <c r="N125" s="142">
        <f>SUMIFS(領用表!$L:$L,領用表!$E:$E,$B125,領用表!$B:$B,N$2&amp;$R$1)</f>
        <v/>
      </c>
      <c r="O125" s="142">
        <f>SUMIFS(領用表!$L:$L,領用表!$E:$E,$B125,領用表!$B:$B,O$2&amp;$R$1)</f>
        <v/>
      </c>
      <c r="P125" s="23">
        <f>SUM(,J125,K125,L125,M125,N125,O125)</f>
        <v/>
      </c>
      <c r="Q125" s="23">
        <f>AVERAGE(,J125,K125,L125,M125,N125,O125)</f>
        <v/>
      </c>
      <c r="R125" s="142">
        <f>SUMIFS(領用表!$L:$L,領用表!$E:$E,$B125,領用表!$B:$B,R$2&amp;$R$1)</f>
        <v/>
      </c>
      <c r="S125" s="142">
        <f>SUMIFS(領用表!$L:$L,領用表!$E:$E,$B125,領用表!$B:$B,S$2&amp;$R$1)</f>
        <v/>
      </c>
      <c r="T125" s="142">
        <f>SUMIFS(領用表!$L:$L,領用表!$E:$E,$B125,領用表!$B:$B,T$2&amp;$R$1)</f>
        <v/>
      </c>
      <c r="U125" s="142">
        <f>SUMIFS(領用表!$L:$L,領用表!$E:$E,$B125,領用表!$B:$B,U$2&amp;$R$1)</f>
        <v/>
      </c>
      <c r="V125" s="142">
        <f>SUMIFS(領用表!$L:$L,領用表!$E:$E,$B125,領用表!$B:$B,V$2&amp;$R$1)</f>
        <v/>
      </c>
      <c r="W125" s="142">
        <f>SUMIFS(領用表!$L:$L,領用表!$E:$E,$B125,領用表!$B:$B,W$2&amp;$R$1)</f>
        <v/>
      </c>
      <c r="X125" s="142">
        <f>SUMIFS(領用表!$L:$L,領用表!$E:$E,$B125,領用表!$B:$B,X$2&amp;$R$1)</f>
        <v/>
      </c>
      <c r="Y125" s="142">
        <f>SUMIFS(領用表!$L:$L,領用表!$E:$E,$B125,領用表!$B:$B,Y$2&amp;$R$1)</f>
        <v/>
      </c>
      <c r="Z125" s="142">
        <f>SUMIFS(領用表!$L:$L,領用表!$E:$E,$B125,領用表!$B:$B,Z$2&amp;$R$1)</f>
        <v/>
      </c>
      <c r="AA125" s="142">
        <f>SUMIFS(領用表!$L:$L,領用表!$E:$E,$B125,領用表!$B:$B,AA$2&amp;$R$1)</f>
        <v/>
      </c>
      <c r="AB125" s="142">
        <f>SUMIFS(領用表!$L:$L,領用表!$E:$E,$B125,領用表!$B:$B,AB$2&amp;$R$1)</f>
        <v/>
      </c>
      <c r="AC125" s="142">
        <f>SUMIFS(領用表!$L:$L,領用表!$E:$E,$B125,領用表!$B:$B,AC$2&amp;$R$1)</f>
        <v/>
      </c>
      <c r="AD125" s="142">
        <f>SUM(R125,S125,T125,U125,V125,W125)</f>
        <v/>
      </c>
      <c r="AE125" s="142">
        <f>AVERAGE(R125,S125,T125,U125,V125,W125)</f>
        <v/>
      </c>
      <c r="AF125" s="142">
        <f>SUMIF(Summary!B:B,B125,Summary!EB:EB)</f>
        <v/>
      </c>
      <c r="AG125" s="109" t="n">
        <v>0</v>
      </c>
      <c r="AH125" s="65" t="n"/>
      <c r="AI125" s="65" t="n"/>
      <c r="AJ125" s="65" t="n"/>
      <c r="AK125" s="27" t="n"/>
      <c r="AL125" s="27" t="n"/>
      <c r="AM125" s="14" t="n"/>
      <c r="AN125" s="29" t="n"/>
    </row>
    <row r="126" ht="15.75" customHeight="1" s="453">
      <c r="A126" s="27" t="n"/>
      <c r="B126" s="14" t="e">
        <v>#N/A</v>
      </c>
      <c r="C126" s="136" t="inlineStr">
        <is>
          <t>寶寶針_33G 4mm</t>
        </is>
      </c>
      <c r="D126" s="77" t="n"/>
      <c r="E126" s="17" t="inlineStr">
        <is>
          <t>支</t>
        </is>
      </c>
      <c r="F126" s="18" t="n"/>
      <c r="G126" s="18" t="n"/>
      <c r="H126" s="68" t="n"/>
      <c r="I126" s="26" t="n"/>
      <c r="J126" s="20">
        <f>SUMIFS(領用表!$L:$L,領用表!$E:$E,$B126,領用表!$B:$B,J$2&amp;$R$1)</f>
        <v/>
      </c>
      <c r="K126" s="20">
        <f>SUMIFS(領用表!$L:$L,領用表!$E:$E,$B126,領用表!$B:$B,K$2&amp;$R$1)</f>
        <v/>
      </c>
      <c r="L126" s="20">
        <f>SUMIFS(領用表!$L:$L,領用表!$E:$E,$B126,領用表!$B:$B,L$2&amp;$R$1)</f>
        <v/>
      </c>
      <c r="M126" s="142">
        <f>SUMIFS(領用表!$L:$L,領用表!$E:$E,$B126,領用表!$B:$B,M$2&amp;$R$1)</f>
        <v/>
      </c>
      <c r="N126" s="142">
        <f>SUMIFS(領用表!$L:$L,領用表!$E:$E,$B126,領用表!$B:$B,N$2&amp;$R$1)</f>
        <v/>
      </c>
      <c r="O126" s="142">
        <f>SUMIFS(領用表!$L:$L,領用表!$E:$E,$B126,領用表!$B:$B,O$2&amp;$R$1)</f>
        <v/>
      </c>
      <c r="P126" s="23">
        <f>SUM(,J126,K126,L126,M126,N126,O126)</f>
        <v/>
      </c>
      <c r="Q126" s="23">
        <f>AVERAGE(,J126,K126,L126,M126,N126,O126)</f>
        <v/>
      </c>
      <c r="R126" s="142">
        <f>SUMIFS(領用表!$L:$L,領用表!$E:$E,$B126,領用表!$B:$B,R$2&amp;$R$1)</f>
        <v/>
      </c>
      <c r="S126" s="142">
        <f>SUMIFS(領用表!$L:$L,領用表!$E:$E,$B126,領用表!$B:$B,S$2&amp;$R$1)</f>
        <v/>
      </c>
      <c r="T126" s="142">
        <f>SUMIFS(領用表!$L:$L,領用表!$E:$E,$B126,領用表!$B:$B,T$2&amp;$R$1)</f>
        <v/>
      </c>
      <c r="U126" s="142">
        <f>SUMIFS(領用表!$L:$L,領用表!$E:$E,$B126,領用表!$B:$B,U$2&amp;$R$1)</f>
        <v/>
      </c>
      <c r="V126" s="142">
        <f>SUMIFS(領用表!$L:$L,領用表!$E:$E,$B126,領用表!$B:$B,V$2&amp;$R$1)</f>
        <v/>
      </c>
      <c r="W126" s="142">
        <f>SUMIFS(領用表!$L:$L,領用表!$E:$E,$B126,領用表!$B:$B,W$2&amp;$R$1)</f>
        <v/>
      </c>
      <c r="X126" s="142">
        <f>SUMIFS(領用表!$L:$L,領用表!$E:$E,$B126,領用表!$B:$B,X$2&amp;$R$1)</f>
        <v/>
      </c>
      <c r="Y126" s="142">
        <f>SUMIFS(領用表!$L:$L,領用表!$E:$E,$B126,領用表!$B:$B,Y$2&amp;$R$1)</f>
        <v/>
      </c>
      <c r="Z126" s="142">
        <f>SUMIFS(領用表!$L:$L,領用表!$E:$E,$B126,領用表!$B:$B,Z$2&amp;$R$1)</f>
        <v/>
      </c>
      <c r="AA126" s="142">
        <f>SUMIFS(領用表!$L:$L,領用表!$E:$E,$B126,領用表!$B:$B,AA$2&amp;$R$1)</f>
        <v/>
      </c>
      <c r="AB126" s="142">
        <f>SUMIFS(領用表!$L:$L,領用表!$E:$E,$B126,領用表!$B:$B,AB$2&amp;$R$1)</f>
        <v/>
      </c>
      <c r="AC126" s="142">
        <f>SUMIFS(領用表!$L:$L,領用表!$E:$E,$B126,領用表!$B:$B,AC$2&amp;$R$1)</f>
        <v/>
      </c>
      <c r="AD126" s="142">
        <f>SUM(R126,S126,T126,U126,V126,W126)</f>
        <v/>
      </c>
      <c r="AE126" s="142">
        <f>AVERAGE(R126,S126,T126,U126,V126,W126)</f>
        <v/>
      </c>
      <c r="AF126" s="142">
        <f>SUMIF(Summary!B:B,B126,Summary!EB:EB)</f>
        <v/>
      </c>
      <c r="AG126" s="109" t="n">
        <v>0</v>
      </c>
      <c r="AH126" s="65" t="n"/>
      <c r="AI126" s="65" t="n"/>
      <c r="AJ126" s="65" t="n"/>
      <c r="AK126" s="27" t="n"/>
      <c r="AL126" s="27" t="n"/>
      <c r="AM126" s="14" t="n"/>
      <c r="AN126" s="29" t="n"/>
    </row>
    <row r="127" ht="15.75" customFormat="1" customHeight="1" s="172">
      <c r="A127" s="173" t="n"/>
      <c r="B127" s="173" t="n"/>
      <c r="C127" s="163" t="n"/>
      <c r="D127" s="174" t="n"/>
      <c r="E127" s="175" t="n"/>
      <c r="F127" s="176" t="n"/>
      <c r="G127" s="176" t="n"/>
      <c r="H127" s="177" t="n"/>
      <c r="I127" s="177" t="n"/>
      <c r="J127" s="162" t="n"/>
      <c r="K127" s="167" t="n"/>
      <c r="L127" s="167" t="n"/>
      <c r="M127" s="167" t="n"/>
      <c r="N127" s="167" t="n"/>
      <c r="O127" s="167" t="n"/>
      <c r="P127" s="167" t="n"/>
      <c r="Q127" s="167" t="n"/>
      <c r="R127" s="167" t="n"/>
      <c r="S127" s="167" t="n"/>
      <c r="T127" s="167" t="n"/>
      <c r="U127" s="167" t="n"/>
      <c r="V127" s="167" t="n"/>
      <c r="W127" s="167" t="n"/>
      <c r="X127" s="167" t="n"/>
      <c r="Y127" s="167" t="n"/>
      <c r="Z127" s="167" t="n"/>
      <c r="AA127" s="167" t="n"/>
      <c r="AB127" s="167" t="n"/>
      <c r="AC127" s="167" t="n"/>
      <c r="AD127" s="167">
        <f>SUM(R127,S127,T127,U127,V127,W127)</f>
        <v/>
      </c>
      <c r="AE127" s="167">
        <f>AVERAGE(R127,S127,T127,U127,V127,W127)</f>
        <v/>
      </c>
      <c r="AF127" s="167" t="n"/>
      <c r="AG127" s="167" t="n"/>
      <c r="AH127" s="167" t="n"/>
      <c r="AI127" s="177" t="n"/>
      <c r="AJ127" s="177" t="n"/>
      <c r="AK127" s="173" t="n"/>
      <c r="AL127" s="173" t="n"/>
      <c r="AM127" s="170" t="n"/>
      <c r="AN127" s="170" t="n"/>
    </row>
    <row r="128" ht="15.75" customHeight="1" s="453">
      <c r="A128" s="27" t="inlineStr">
        <is>
          <t>D99AA100001T</t>
        </is>
      </c>
      <c r="B128" s="14" t="n">
        <v>6090001</v>
      </c>
      <c r="C128" s="136" t="inlineStr">
        <is>
          <t>藍銅胜肽舒緩凍膜 180mL(從深坑廠出貨)-</t>
        </is>
      </c>
      <c r="D128" s="77" t="n"/>
      <c r="E128" s="17" t="inlineStr">
        <is>
          <t>PCS</t>
        </is>
      </c>
      <c r="F128" s="70" t="n"/>
      <c r="G128" s="18" t="n"/>
      <c r="H128" s="68">
        <f>SUM(#REF!)</f>
        <v/>
      </c>
      <c r="I128" s="26">
        <f>H128/12</f>
        <v/>
      </c>
      <c r="J128" s="20">
        <f>SUMIFS(領用表!$L:$L,領用表!$E:$E,$B128,領用表!$B:$B,J$2&amp;$R$1)</f>
        <v/>
      </c>
      <c r="K128" s="20">
        <f>SUMIFS(領用表!$L:$L,領用表!$E:$E,$B128,領用表!$B:$B,K$2&amp;$R$1)</f>
        <v/>
      </c>
      <c r="L128" s="20">
        <f>SUMIFS(領用表!$L:$L,領用表!$E:$E,$B128,領用表!$B:$B,L$2&amp;$R$1)</f>
        <v/>
      </c>
      <c r="M128" s="142">
        <f>SUMIFS(領用表!$L:$L,領用表!$E:$E,$B128,領用表!$B:$B,M$2&amp;$R$1)</f>
        <v/>
      </c>
      <c r="N128" s="142">
        <f>SUMIFS(領用表!$L:$L,領用表!$E:$E,$B128,領用表!$B:$B,N$2&amp;$R$1)</f>
        <v/>
      </c>
      <c r="O128" s="142">
        <f>SUMIFS(領用表!$L:$L,領用表!$E:$E,$B128,領用表!$B:$B,O$2&amp;$R$1)</f>
        <v/>
      </c>
      <c r="P128" s="23">
        <f>SUM(,J128,K128,L128,M128,N128,O128)</f>
        <v/>
      </c>
      <c r="Q128" s="23">
        <f>AVERAGE(,J128,K128,L128,M128,N128,O128)</f>
        <v/>
      </c>
      <c r="R128" s="142">
        <f>SUMIFS(領用表!$L:$L,領用表!$E:$E,$B128,領用表!$B:$B,R$2&amp;$R$1)</f>
        <v/>
      </c>
      <c r="S128" s="142">
        <f>SUMIFS(領用表!$L:$L,領用表!$E:$E,$B128,領用表!$B:$B,S$2&amp;$R$1)</f>
        <v/>
      </c>
      <c r="T128" s="142">
        <f>SUMIFS(領用表!$L:$L,領用表!$E:$E,$B128,領用表!$B:$B,T$2&amp;$R$1)</f>
        <v/>
      </c>
      <c r="U128" s="142">
        <f>SUMIFS(領用表!$L:$L,領用表!$E:$E,$B128,領用表!$B:$B,U$2&amp;$R$1)</f>
        <v/>
      </c>
      <c r="V128" s="142">
        <f>SUMIFS(領用表!$L:$L,領用表!$E:$E,$B128,領用表!$B:$B,V$2&amp;$R$1)</f>
        <v/>
      </c>
      <c r="W128" s="142" t="n"/>
      <c r="X128" s="142">
        <f>SUMIFS(領用表!$L:$L,領用表!$E:$E,$B128,領用表!$B:$B,X$2&amp;$R$1)</f>
        <v/>
      </c>
      <c r="Y128" s="142">
        <f>SUMIFS(領用表!$L:$L,領用表!$E:$E,$B128,領用表!$B:$B,Y$2&amp;$R$1)</f>
        <v/>
      </c>
      <c r="Z128" s="142">
        <f>SUMIFS(領用表!$L:$L,領用表!$E:$E,$B128,領用表!$B:$B,Z$2&amp;$R$1)</f>
        <v/>
      </c>
      <c r="AA128" s="142">
        <f>SUMIFS(領用表!$L:$L,領用表!$E:$E,$B128,領用表!$B:$B,AA$2&amp;$R$1)</f>
        <v/>
      </c>
      <c r="AB128" s="142">
        <f>SUMIFS(領用表!$L:$L,領用表!$E:$E,$B128,領用表!$B:$B,AB$2&amp;$R$1)</f>
        <v/>
      </c>
      <c r="AC128" s="142">
        <f>SUMIFS(領用表!$L:$L,領用表!$E:$E,$B128,領用表!$B:$B,AC$2&amp;$R$1)</f>
        <v/>
      </c>
      <c r="AD128" s="142">
        <f>SUM(R128,S128,T128,U128,V128,W128)</f>
        <v/>
      </c>
      <c r="AE128" s="142">
        <f>AVERAGE(R128,S128,T128,U128,V128,W128)</f>
        <v/>
      </c>
      <c r="AF128" s="142">
        <f>SUMIF(Summary!B:B,B128,Summary!EB:EB)</f>
        <v/>
      </c>
      <c r="AG128" s="109" t="n">
        <v>20</v>
      </c>
      <c r="AH128" s="76" t="n"/>
      <c r="AI128" s="76" t="n"/>
      <c r="AJ128" s="76" t="n"/>
      <c r="AK128" s="27" t="inlineStr">
        <is>
          <t>專用料1kg可生產180pcs</t>
        </is>
      </c>
      <c r="AL128" s="27" t="n"/>
      <c r="AM128" s="14" t="n"/>
      <c r="AN128" s="14" t="n"/>
    </row>
    <row r="129" ht="15.75" customHeight="1" s="453">
      <c r="A129" s="78" t="inlineStr">
        <is>
          <t>D99AA050002T</t>
        </is>
      </c>
      <c r="B129" s="14" t="n">
        <v>6050006</v>
      </c>
      <c r="C129" s="136" t="inlineStr">
        <is>
          <t>舒緩修護精萃 180mL(從深坑廠出貨)</t>
        </is>
      </c>
      <c r="D129" s="77" t="n"/>
      <c r="E129" s="17" t="inlineStr">
        <is>
          <t>PCS</t>
        </is>
      </c>
      <c r="F129" s="70" t="n"/>
      <c r="G129" s="18" t="n">
        <v>87</v>
      </c>
      <c r="H129" s="64" t="inlineStr">
        <is>
          <t>-</t>
        </is>
      </c>
      <c r="I129" s="64" t="inlineStr">
        <is>
          <t>-</t>
        </is>
      </c>
      <c r="J129" s="20">
        <f>SUMIFS(領用表!$L:$L,領用表!$E:$E,$B129,領用表!$B:$B,J$2&amp;$R$1)</f>
        <v/>
      </c>
      <c r="K129" s="20">
        <f>SUMIFS(領用表!$L:$L,領用表!$E:$E,$B129,領用表!$B:$B,K$2&amp;$R$1)</f>
        <v/>
      </c>
      <c r="L129" s="20">
        <f>SUMIFS(領用表!$L:$L,領用表!$E:$E,$B129,領用表!$B:$B,L$2&amp;$R$1)</f>
        <v/>
      </c>
      <c r="M129" s="142">
        <f>SUMIFS(領用表!$L:$L,領用表!$E:$E,$B129,領用表!$B:$B,M$2&amp;$R$1)</f>
        <v/>
      </c>
      <c r="N129" s="142">
        <f>SUMIFS(領用表!$L:$L,領用表!$E:$E,$B129,領用表!$B:$B,N$2&amp;$R$1)</f>
        <v/>
      </c>
      <c r="O129" s="142">
        <f>SUMIFS(領用表!$L:$L,領用表!$E:$E,$B129,領用表!$B:$B,O$2&amp;$R$1)</f>
        <v/>
      </c>
      <c r="P129" s="23">
        <f>SUM(,J129,K129,L129,M129,N129,O129)</f>
        <v/>
      </c>
      <c r="Q129" s="23">
        <f>AVERAGE(,J129,K129,L129,M129,N129,O129)</f>
        <v/>
      </c>
      <c r="R129" s="142">
        <f>SUMIFS(領用表!$L:$L,領用表!$E:$E,$B129,領用表!$B:$B,R$2&amp;$R$1)</f>
        <v/>
      </c>
      <c r="S129" s="405">
        <f>SUMIFS(領用表!$L:$L,領用表!$E:$E,$B129,領用表!$B:$B,S$2&amp;$R$1)</f>
        <v/>
      </c>
      <c r="T129" s="405">
        <f>SUMIFS(領用表!$L:$L,領用表!$E:$E,$B129,領用表!$B:$B,T$2&amp;$R$1)</f>
        <v/>
      </c>
      <c r="U129" s="405">
        <f>SUMIFS(領用表!$L:$L,領用表!$E:$E,$B129,領用表!$B:$B,U$2&amp;$R$1)</f>
        <v/>
      </c>
      <c r="V129" s="405">
        <f>SUMIFS(領用表!$L:$L,領用表!$E:$E,$B129,領用表!$B:$B,V$2&amp;$R$1)</f>
        <v/>
      </c>
      <c r="W129" s="405" t="n"/>
      <c r="X129" s="405">
        <f>SUMIFS(領用表!$L:$L,領用表!$E:$E,$B129,領用表!$B:$B,X$2&amp;$R$1)</f>
        <v/>
      </c>
      <c r="Y129" s="405">
        <f>SUMIFS(領用表!$L:$L,領用表!$E:$E,$B129,領用表!$B:$B,Y$2&amp;$R$1)</f>
        <v/>
      </c>
      <c r="Z129" s="405">
        <f>SUMIFS(領用表!$L:$L,領用表!$E:$E,$B129,領用表!$B:$B,Z$2&amp;$R$1)</f>
        <v/>
      </c>
      <c r="AA129" s="405">
        <f>SUMIFS(領用表!$L:$L,領用表!$E:$E,$B129,領用表!$B:$B,AA$2&amp;$R$1)</f>
        <v/>
      </c>
      <c r="AB129" s="405">
        <f>SUMIFS(領用表!$L:$L,領用表!$E:$E,$B129,領用表!$B:$B,AB$2&amp;$R$1)</f>
        <v/>
      </c>
      <c r="AC129" s="405">
        <f>SUMIFS(領用表!$L:$L,領用表!$E:$E,$B129,領用表!$B:$B,AC$2&amp;$R$1)</f>
        <v/>
      </c>
      <c r="AD129" s="405">
        <f>SUM(R129,S129,T129,U129,V129,W129)</f>
        <v/>
      </c>
      <c r="AE129" s="405">
        <f>AVERAGE(R129,S129,T129,U129,V129,W129)</f>
        <v/>
      </c>
      <c r="AF129" s="405">
        <f>SUMIF(Summary!B:B,B129,Summary!EB:EB)</f>
        <v/>
      </c>
      <c r="AG129" s="110" t="n">
        <v>8</v>
      </c>
      <c r="AH129" s="80" t="n"/>
      <c r="AI129" s="76" t="n"/>
      <c r="AJ129" s="76" t="n"/>
    </row>
    <row r="130" hidden="1" ht="15.75" customHeight="1" s="453">
      <c r="A130" s="27" t="inlineStr">
        <is>
          <t>DN1AA050044T</t>
        </is>
      </c>
      <c r="B130" s="14" t="e">
        <v>#N/A</v>
      </c>
      <c r="C130" s="136" t="inlineStr">
        <is>
          <t>舒緩修護精萃 30mL(2023年版)</t>
        </is>
      </c>
      <c r="D130" s="77" t="n"/>
      <c r="E130" s="17" t="inlineStr">
        <is>
          <t>PCS</t>
        </is>
      </c>
      <c r="F130" s="70" t="n"/>
      <c r="G130" s="18" t="n"/>
      <c r="H130" s="68">
        <f>SUM(#REF!)</f>
        <v/>
      </c>
      <c r="I130" s="26">
        <f>H130/12</f>
        <v/>
      </c>
      <c r="J130" s="20">
        <f>SUMIFS(領用表!$L:$L,領用表!$E:$E,$B130,領用表!$B:$B,J$2&amp;$R$1)</f>
        <v/>
      </c>
      <c r="K130" s="20">
        <f>SUMIFS(領用表!$L:$L,領用表!$E:$E,$B130,領用表!$B:$B,K$2&amp;$R$1)</f>
        <v/>
      </c>
      <c r="L130" s="20">
        <f>SUMIFS(領用表!$L:$L,領用表!$E:$E,$B130,領用表!$B:$B,L$2&amp;$R$1)</f>
        <v/>
      </c>
      <c r="M130" s="142">
        <f>SUMIFS(領用表!$L:$L,領用表!$E:$E,$B130,領用表!$B:$B,M$2&amp;$R$1)</f>
        <v/>
      </c>
      <c r="N130" s="142">
        <f>SUMIFS(領用表!$L:$L,領用表!$E:$E,$B130,領用表!$B:$B,N$2&amp;$R$1)</f>
        <v/>
      </c>
      <c r="O130" s="142">
        <f>SUMIFS(領用表!$L:$L,領用表!$E:$E,$B130,領用表!$B:$B,O$2&amp;$R$1)</f>
        <v/>
      </c>
      <c r="P130" s="23">
        <f>SUM(,J130,K130,L130,M130,N130,O130)</f>
        <v/>
      </c>
      <c r="Q130" s="23">
        <f>AVERAGE(,J130,K130,L130,M130,N130,O130)</f>
        <v/>
      </c>
      <c r="R130" s="142">
        <f>SUMIFS(領用表!$L:$L,領用表!$E:$E,$B130,領用表!$B:$B,R$2&amp;$R$1)</f>
        <v/>
      </c>
      <c r="S130" s="142">
        <f>SUMIFS(領用表!$L:$L,領用表!$E:$E,$B130,領用表!$B:$B,S$2&amp;$R$1)</f>
        <v/>
      </c>
      <c r="T130" s="142">
        <f>SUMIFS(領用表!$L:$L,領用表!$E:$E,$B130,領用表!$B:$B,T$2&amp;$R$1)</f>
        <v/>
      </c>
      <c r="U130" s="142">
        <f>SUMIFS(領用表!$L:$L,領用表!$E:$E,$B130,領用表!$B:$B,U$2&amp;$R$1)</f>
        <v/>
      </c>
      <c r="V130" s="142">
        <f>SUMIFS(領用表!$L:$L,領用表!$E:$E,$B130,領用表!$B:$B,V$2&amp;$R$1)</f>
        <v/>
      </c>
      <c r="W130" s="142">
        <f>SUMIFS(領用表!$L:$L,領用表!$E:$E,$B130,領用表!$B:$B,W$2&amp;$R$1)</f>
        <v/>
      </c>
      <c r="X130" s="142">
        <f>SUMIFS(領用表!$L:$L,領用表!$E:$E,$B130,領用表!$B:$B,X$2&amp;$R$1)</f>
        <v/>
      </c>
      <c r="Y130" s="142">
        <f>SUMIFS(領用表!$L:$L,領用表!$E:$E,$B130,領用表!$B:$B,Y$2&amp;$R$1)</f>
        <v/>
      </c>
      <c r="Z130" s="142">
        <f>SUMIFS(領用表!$L:$L,領用表!$E:$E,$B130,領用表!$B:$B,Z$2&amp;$R$1)</f>
        <v/>
      </c>
      <c r="AA130" s="142">
        <f>SUMIFS(領用表!$L:$L,領用表!$E:$E,$B130,領用表!$B:$B,AA$2&amp;$R$1)</f>
        <v/>
      </c>
      <c r="AB130" s="142">
        <f>SUMIFS(領用表!$L:$L,領用表!$E:$E,$B130,領用表!$B:$B,AB$2&amp;$R$1)</f>
        <v/>
      </c>
      <c r="AC130" s="142">
        <f>SUMIFS(領用表!$L:$L,領用表!$E:$E,$B130,領用表!$B:$B,AC$2&amp;$R$1)</f>
        <v/>
      </c>
      <c r="AD130" s="142">
        <f>SUM(R130,S130,T130,U130,V130,W130)</f>
        <v/>
      </c>
      <c r="AE130" s="142">
        <f>AVERAGE(R130,S130,T130,U130,V130,W130)</f>
        <v/>
      </c>
      <c r="AF130" s="142">
        <f>SUMIF(Summary!B:B,B130,Summary!EB:EB)</f>
        <v/>
      </c>
      <c r="AG130" s="109" t="n"/>
      <c r="AH130" s="65" t="n"/>
      <c r="AI130" s="76" t="n"/>
      <c r="AJ130" s="76" t="n"/>
      <c r="AK130" s="27" t="n"/>
      <c r="AL130" s="27" t="n"/>
      <c r="AM130" s="14" t="n"/>
      <c r="AN130" s="14" t="n"/>
    </row>
    <row r="131" hidden="1" ht="15.75" customHeight="1" s="453">
      <c r="A131" s="27" t="inlineStr">
        <is>
          <t>DN1AA050043T</t>
        </is>
      </c>
      <c r="B131" s="14" t="n">
        <v>6050005</v>
      </c>
      <c r="C131" s="136" t="inlineStr">
        <is>
          <t>肌本修護甦活精華 30mL (2023年版)</t>
        </is>
      </c>
      <c r="D131" s="77" t="n"/>
      <c r="E131" s="17" t="inlineStr">
        <is>
          <t>PCS</t>
        </is>
      </c>
      <c r="F131" s="70" t="n"/>
      <c r="G131" s="18" t="n"/>
      <c r="H131" s="68">
        <f>SUM(#REF!)</f>
        <v/>
      </c>
      <c r="I131" s="26">
        <f>H131/12</f>
        <v/>
      </c>
      <c r="J131" s="20">
        <f>SUMIFS(領用表!$L:$L,領用表!$E:$E,$B131,領用表!$B:$B,J$2&amp;$R$1)</f>
        <v/>
      </c>
      <c r="K131" s="20">
        <f>SUMIFS(領用表!$L:$L,領用表!$E:$E,$B131,領用表!$B:$B,K$2&amp;$R$1)</f>
        <v/>
      </c>
      <c r="L131" s="20">
        <f>SUMIFS(領用表!$L:$L,領用表!$E:$E,$B131,領用表!$B:$B,L$2&amp;$R$1)</f>
        <v/>
      </c>
      <c r="M131" s="142">
        <f>SUMIFS(領用表!$L:$L,領用表!$E:$E,$B131,領用表!$B:$B,M$2&amp;$R$1)</f>
        <v/>
      </c>
      <c r="N131" s="142">
        <f>SUMIFS(領用表!$L:$L,領用表!$E:$E,$B131,領用表!$B:$B,N$2&amp;$R$1)</f>
        <v/>
      </c>
      <c r="O131" s="142">
        <f>SUMIFS(領用表!$L:$L,領用表!$E:$E,$B131,領用表!$B:$B,O$2&amp;$R$1)</f>
        <v/>
      </c>
      <c r="P131" s="23">
        <f>SUM(,J131,K131,L131,M131,N131,O131)</f>
        <v/>
      </c>
      <c r="Q131" s="23">
        <f>AVERAGE(,J131,K131,L131,M131,N131,O131)</f>
        <v/>
      </c>
      <c r="R131" s="142">
        <f>SUMIFS(領用表!$L:$L,領用表!$E:$E,$B131,領用表!$B:$B,R$2&amp;$R$1)</f>
        <v/>
      </c>
      <c r="S131" s="142">
        <f>SUMIFS(領用表!$L:$L,領用表!$E:$E,$B131,領用表!$B:$B,S$2&amp;$R$1)</f>
        <v/>
      </c>
      <c r="T131" s="142">
        <f>SUMIFS(領用表!$L:$L,領用表!$E:$E,$B131,領用表!$B:$B,T$2&amp;$R$1)</f>
        <v/>
      </c>
      <c r="U131" s="142">
        <f>SUMIFS(領用表!$L:$L,領用表!$E:$E,$B131,領用表!$B:$B,U$2&amp;$R$1)</f>
        <v/>
      </c>
      <c r="V131" s="142">
        <f>SUMIFS(領用表!$L:$L,領用表!$E:$E,$B131,領用表!$B:$B,V$2&amp;$R$1)</f>
        <v/>
      </c>
      <c r="W131" s="142" t="n"/>
      <c r="X131" s="142">
        <f>SUMIFS(領用表!$L:$L,領用表!$E:$E,$B131,領用表!$B:$B,X$2&amp;$R$1)</f>
        <v/>
      </c>
      <c r="Y131" s="142">
        <f>SUMIFS(領用表!$L:$L,領用表!$E:$E,$B131,領用表!$B:$B,Y$2&amp;$R$1)</f>
        <v/>
      </c>
      <c r="Z131" s="142">
        <f>SUMIFS(領用表!$L:$L,領用表!$E:$E,$B131,領用表!$B:$B,Z$2&amp;$R$1)</f>
        <v/>
      </c>
      <c r="AA131" s="142">
        <f>SUMIFS(領用表!$L:$L,領用表!$E:$E,$B131,領用表!$B:$B,AA$2&amp;$R$1)</f>
        <v/>
      </c>
      <c r="AB131" s="142">
        <f>SUMIFS(領用表!$L:$L,領用表!$E:$E,$B131,領用表!$B:$B,AB$2&amp;$R$1)</f>
        <v/>
      </c>
      <c r="AC131" s="142">
        <f>SUMIFS(領用表!$L:$L,領用表!$E:$E,$B131,領用表!$B:$B,AC$2&amp;$R$1)</f>
        <v/>
      </c>
      <c r="AD131" s="142">
        <f>SUM(R131,S131,T131,U131,V131,W131)</f>
        <v/>
      </c>
      <c r="AE131" s="142">
        <f>AVERAGE(R131,S131,T131,U131,V131,W131)</f>
        <v/>
      </c>
      <c r="AF131" s="142">
        <f>SUMIF(Summary!B:B,B131,Summary!EB:EB)</f>
        <v/>
      </c>
      <c r="AG131" s="109" t="n"/>
      <c r="AH131" s="65" t="n"/>
      <c r="AI131" s="76" t="n"/>
      <c r="AJ131" s="76" t="n"/>
    </row>
    <row r="132" hidden="1" ht="15.75" customHeight="1" s="453">
      <c r="A132" s="27" t="inlineStr">
        <is>
          <t>DN1AA090015T</t>
        </is>
      </c>
      <c r="B132" s="14" t="n">
        <v>1080002</v>
      </c>
      <c r="C132" s="136" t="inlineStr">
        <is>
          <t>神經醯胺水漾保濕面膜/ 30ml</t>
        </is>
      </c>
      <c r="D132" s="77" t="n"/>
      <c r="E132" s="17" t="inlineStr">
        <is>
          <t>PCS</t>
        </is>
      </c>
      <c r="F132" s="70" t="n"/>
      <c r="G132" s="18" t="n"/>
      <c r="H132" s="68">
        <f>SUM(#REF!)</f>
        <v/>
      </c>
      <c r="I132" s="26">
        <f>H132/12</f>
        <v/>
      </c>
      <c r="J132" s="20">
        <f>SUMIFS(領用表!$L:$L,領用表!$E:$E,$B132,領用表!$B:$B,J$2&amp;$R$1)</f>
        <v/>
      </c>
      <c r="K132" s="20">
        <f>SUMIFS(領用表!$L:$L,領用表!$E:$E,$B132,領用表!$B:$B,K$2&amp;$R$1)</f>
        <v/>
      </c>
      <c r="L132" s="20">
        <f>SUMIFS(領用表!$L:$L,領用表!$E:$E,$B132,領用表!$B:$B,L$2&amp;$R$1)</f>
        <v/>
      </c>
      <c r="M132" s="142">
        <f>SUMIFS(領用表!$L:$L,領用表!$E:$E,$B132,領用表!$B:$B,M$2&amp;$R$1)</f>
        <v/>
      </c>
      <c r="N132" s="142">
        <f>SUMIFS(領用表!$L:$L,領用表!$E:$E,$B132,領用表!$B:$B,N$2&amp;$R$1)</f>
        <v/>
      </c>
      <c r="O132" s="142">
        <f>SUMIFS(領用表!$L:$L,領用表!$E:$E,$B132,領用表!$B:$B,O$2&amp;$R$1)</f>
        <v/>
      </c>
      <c r="P132" s="23">
        <f>SUM(,J132,K132,L132,M132,N132,O132)</f>
        <v/>
      </c>
      <c r="Q132" s="23">
        <f>AVERAGE(,J132,K132,L132,M132,N132,O132)</f>
        <v/>
      </c>
      <c r="R132" s="142">
        <f>SUMIFS(領用表!$L:$L,領用表!$E:$E,$B132,領用表!$B:$B,R$2&amp;$R$1)</f>
        <v/>
      </c>
      <c r="S132" s="142">
        <f>SUMIFS(領用表!$L:$L,領用表!$E:$E,$B132,領用表!$B:$B,S$2&amp;$R$1)</f>
        <v/>
      </c>
      <c r="T132" s="142">
        <f>SUMIFS(領用表!$L:$L,領用表!$E:$E,$B132,領用表!$B:$B,T$2&amp;$R$1)</f>
        <v/>
      </c>
      <c r="U132" s="142">
        <f>SUMIFS(領用表!$L:$L,領用表!$E:$E,$B132,領用表!$B:$B,U$2&amp;$R$1)</f>
        <v/>
      </c>
      <c r="V132" s="142">
        <f>SUMIFS(領用表!$L:$L,領用表!$E:$E,$B132,領用表!$B:$B,V$2&amp;$R$1)</f>
        <v/>
      </c>
      <c r="W132" s="142">
        <f>SUMIFS(領用表!$L:$L,領用表!$E:$E,$B132,領用表!$B:$B,W$2&amp;$R$1)</f>
        <v/>
      </c>
      <c r="X132" s="142">
        <f>SUMIFS(領用表!$L:$L,領用表!$E:$E,$B132,領用表!$B:$B,X$2&amp;$R$1)</f>
        <v/>
      </c>
      <c r="Y132" s="142">
        <f>SUMIFS(領用表!$L:$L,領用表!$E:$E,$B132,領用表!$B:$B,Y$2&amp;$R$1)</f>
        <v/>
      </c>
      <c r="Z132" s="142">
        <f>SUMIFS(領用表!$L:$L,領用表!$E:$E,$B132,領用表!$B:$B,Z$2&amp;$R$1)</f>
        <v/>
      </c>
      <c r="AA132" s="142">
        <f>SUMIFS(領用表!$L:$L,領用表!$E:$E,$B132,領用表!$B:$B,AA$2&amp;$R$1)</f>
        <v/>
      </c>
      <c r="AB132" s="142">
        <f>SUMIFS(領用表!$L:$L,領用表!$E:$E,$B132,領用表!$B:$B,AB$2&amp;$R$1)</f>
        <v/>
      </c>
      <c r="AC132" s="142">
        <f>SUMIFS(領用表!$L:$L,領用表!$E:$E,$B132,領用表!$B:$B,AC$2&amp;$R$1)</f>
        <v/>
      </c>
      <c r="AD132" s="142">
        <f>SUM(R132,S132,T132,U132,V132,W132)</f>
        <v/>
      </c>
      <c r="AE132" s="142">
        <f>AVERAGE(R132,S132,T132,U132,V132,W132)</f>
        <v/>
      </c>
      <c r="AF132" s="142">
        <f>SUMIF(Summary!B:B,B132,Summary!EB:EB)</f>
        <v/>
      </c>
      <c r="AG132" s="109" t="n"/>
      <c r="AH132" s="65" t="n"/>
      <c r="AI132" s="76" t="n"/>
      <c r="AJ132" s="76" t="n"/>
      <c r="AK132" s="27" t="n"/>
      <c r="AL132" s="27" t="n"/>
      <c r="AM132" s="14" t="n"/>
      <c r="AN132" s="14" t="n"/>
    </row>
    <row r="133" ht="15.75" customHeight="1" s="453">
      <c r="A133" s="27" t="inlineStr">
        <is>
          <t>DN1AA090011T</t>
        </is>
      </c>
      <c r="B133" s="14" t="n">
        <v>1080006</v>
      </c>
      <c r="C133" s="136" t="inlineStr">
        <is>
          <t>肌因抗老修護微導膜 25ml (2015年版)</t>
        </is>
      </c>
      <c r="D133" s="77" t="n"/>
      <c r="E133" s="17" t="inlineStr">
        <is>
          <t>PCS</t>
        </is>
      </c>
      <c r="F133" s="70" t="n"/>
      <c r="G133" s="18" t="n"/>
      <c r="H133" s="68">
        <f>SUM(#REF!)</f>
        <v/>
      </c>
      <c r="I133" s="26">
        <f>H133/12</f>
        <v/>
      </c>
      <c r="J133" s="20">
        <f>SUMIFS(領用表!$L:$L,領用表!$E:$E,$B133,領用表!$B:$B,J$2&amp;$R$1)</f>
        <v/>
      </c>
      <c r="K133" s="20">
        <f>SUMIFS(領用表!$L:$L,領用表!$E:$E,$B133,領用表!$B:$B,K$2&amp;$R$1)</f>
        <v/>
      </c>
      <c r="L133" s="20">
        <f>SUMIFS(領用表!$L:$L,領用表!$E:$E,$B133,領用表!$B:$B,L$2&amp;$R$1)</f>
        <v/>
      </c>
      <c r="M133" s="142">
        <f>SUMIFS(領用表!$L:$L,領用表!$E:$E,$B133,領用表!$B:$B,M$2&amp;$R$1)</f>
        <v/>
      </c>
      <c r="N133" s="142">
        <f>SUMIFS(領用表!$L:$L,領用表!$E:$E,$B133,領用表!$B:$B,N$2&amp;$R$1)</f>
        <v/>
      </c>
      <c r="O133" s="142">
        <f>SUMIFS(領用表!$L:$L,領用表!$E:$E,$B133,領用表!$B:$B,O$2&amp;$R$1)</f>
        <v/>
      </c>
      <c r="P133" s="23">
        <f>SUM(,J133,K133,L133,M133,N133,O133)</f>
        <v/>
      </c>
      <c r="Q133" s="23">
        <f>AVERAGE(,J133,K133,L133,M133,N133,O133)</f>
        <v/>
      </c>
      <c r="R133" s="142">
        <f>SUMIFS(領用表!$L:$L,領用表!$E:$E,$B133,領用表!$B:$B,R$2&amp;$R$1)</f>
        <v/>
      </c>
      <c r="S133" s="142">
        <f>SUMIFS(領用表!$L:$L,領用表!$E:$E,$B133,領用表!$B:$B,S$2&amp;$R$1)</f>
        <v/>
      </c>
      <c r="T133" s="142">
        <f>SUMIFS(領用表!$L:$L,領用表!$E:$E,$B133,領用表!$B:$B,T$2&amp;$R$1)</f>
        <v/>
      </c>
      <c r="U133" s="142">
        <f>SUMIFS(領用表!$L:$L,領用表!$E:$E,$B133,領用表!$B:$B,U$2&amp;$R$1)</f>
        <v/>
      </c>
      <c r="V133" s="142">
        <f>SUMIFS(領用表!$L:$L,領用表!$E:$E,$B133,領用表!$B:$B,V$2&amp;$R$1)</f>
        <v/>
      </c>
      <c r="W133" s="142">
        <f>SUMIFS(領用表!$L:$L,領用表!$E:$E,$B133,領用表!$B:$B,W$2&amp;$R$1)</f>
        <v/>
      </c>
      <c r="X133" s="142">
        <f>SUMIFS(領用表!$L:$L,領用表!$E:$E,$B133,領用表!$B:$B,X$2&amp;$R$1)</f>
        <v/>
      </c>
      <c r="Y133" s="142">
        <f>SUMIFS(領用表!$L:$L,領用表!$E:$E,$B133,領用表!$B:$B,Y$2&amp;$R$1)</f>
        <v/>
      </c>
      <c r="Z133" s="142">
        <f>SUMIFS(領用表!$L:$L,領用表!$E:$E,$B133,領用表!$B:$B,Z$2&amp;$R$1)</f>
        <v/>
      </c>
      <c r="AA133" s="142">
        <f>SUMIFS(領用表!$L:$L,領用表!$E:$E,$B133,領用表!$B:$B,AA$2&amp;$R$1)</f>
        <v/>
      </c>
      <c r="AB133" s="142">
        <f>SUMIFS(領用表!$L:$L,領用表!$E:$E,$B133,領用表!$B:$B,AB$2&amp;$R$1)</f>
        <v/>
      </c>
      <c r="AC133" s="142">
        <f>SUMIFS(領用表!$L:$L,領用表!$E:$E,$B133,領用表!$B:$B,AC$2&amp;$R$1)</f>
        <v/>
      </c>
      <c r="AD133" s="142">
        <f>SUM(R133,S133,T133,U133,V133,W133)</f>
        <v/>
      </c>
      <c r="AE133" s="142">
        <f>AVERAGE(R133,S133,T133,U133,V133,W133)</f>
        <v/>
      </c>
      <c r="AF133" s="142">
        <f>SUMIF(Summary!B:B,B133,Summary!EB:EB)</f>
        <v/>
      </c>
      <c r="AG133" s="109" t="n">
        <v>1500</v>
      </c>
      <c r="AH133" s="65" t="n"/>
      <c r="AI133" s="76" t="n"/>
      <c r="AJ133" s="76" t="n"/>
    </row>
    <row r="134" ht="15.75" customHeight="1" s="453">
      <c r="A134" s="27" t="inlineStr">
        <is>
          <t>DL1AA090023T</t>
        </is>
      </c>
      <c r="B134" s="14" t="e">
        <v>#N/A</v>
      </c>
      <c r="C134" s="136" t="inlineStr">
        <is>
          <t>海洋紅藻面膜 30ml</t>
        </is>
      </c>
      <c r="D134" s="77" t="n"/>
      <c r="E134" s="17" t="inlineStr">
        <is>
          <t>PCS</t>
        </is>
      </c>
      <c r="F134" s="70" t="n"/>
      <c r="G134" s="18" t="n"/>
      <c r="H134" s="68" t="n"/>
      <c r="I134" s="26" t="n"/>
      <c r="J134" s="20">
        <f>SUMIFS(領用表!$L:$L,領用表!$E:$E,$B134,領用表!$B:$B,J$2&amp;$R$1)</f>
        <v/>
      </c>
      <c r="K134" s="20">
        <f>SUMIFS(領用表!$L:$L,領用表!$E:$E,$B134,領用表!$B:$B,K$2&amp;$R$1)</f>
        <v/>
      </c>
      <c r="L134" s="20">
        <f>SUMIFS(領用表!$L:$L,領用表!$E:$E,$B134,領用表!$B:$B,L$2&amp;$R$1)</f>
        <v/>
      </c>
      <c r="M134" s="142">
        <f>SUMIFS(領用表!$L:$L,領用表!$E:$E,$B134,領用表!$B:$B,M$2&amp;$R$1)</f>
        <v/>
      </c>
      <c r="N134" s="142">
        <f>SUMIFS(領用表!$L:$L,領用表!$E:$E,$B134,領用表!$B:$B,N$2&amp;$R$1)</f>
        <v/>
      </c>
      <c r="O134" s="142">
        <f>SUMIFS(領用表!$L:$L,領用表!$E:$E,$B134,領用表!$B:$B,O$2&amp;$R$1)</f>
        <v/>
      </c>
      <c r="P134" s="23">
        <f>SUM(,J134,K134,L134,M134,N134,O134)</f>
        <v/>
      </c>
      <c r="Q134" s="23">
        <f>AVERAGE(,J134,K134,L134,M134,N134,O134)</f>
        <v/>
      </c>
      <c r="R134" s="142">
        <f>SUMIFS(領用表!$L:$L,領用表!$E:$E,$B134,領用表!$B:$B,R$2&amp;$R$1)</f>
        <v/>
      </c>
      <c r="S134" s="142">
        <f>SUMIFS(領用表!$L:$L,領用表!$E:$E,$B134,領用表!$B:$B,S$2&amp;$R$1)</f>
        <v/>
      </c>
      <c r="T134" s="142">
        <f>SUMIFS(領用表!$L:$L,領用表!$E:$E,$B134,領用表!$B:$B,T$2&amp;$R$1)</f>
        <v/>
      </c>
      <c r="U134" s="142">
        <f>SUMIFS(領用表!$L:$L,領用表!$E:$E,$B134,領用表!$B:$B,U$2&amp;$R$1)</f>
        <v/>
      </c>
      <c r="V134" s="142">
        <f>SUMIFS(領用表!$L:$L,領用表!$E:$E,$B134,領用表!$B:$B,V$2&amp;$R$1)</f>
        <v/>
      </c>
      <c r="W134" s="142">
        <f>SUMIFS(領用表!$L:$L,領用表!$E:$E,$B134,領用表!$B:$B,W$2&amp;$R$1)</f>
        <v/>
      </c>
      <c r="X134" s="142">
        <f>SUMIFS(領用表!$L:$L,領用表!$E:$E,$B134,領用表!$B:$B,X$2&amp;$R$1)</f>
        <v/>
      </c>
      <c r="Y134" s="142">
        <f>SUMIFS(領用表!$L:$L,領用表!$E:$E,$B134,領用表!$B:$B,Y$2&amp;$R$1)</f>
        <v/>
      </c>
      <c r="Z134" s="142">
        <f>SUMIFS(領用表!$L:$L,領用表!$E:$E,$B134,領用表!$B:$B,Z$2&amp;$R$1)</f>
        <v/>
      </c>
      <c r="AA134" s="142">
        <f>SUMIFS(領用表!$L:$L,領用表!$E:$E,$B134,領用表!$B:$B,AA$2&amp;$R$1)</f>
        <v/>
      </c>
      <c r="AB134" s="142">
        <f>SUMIFS(領用表!$L:$L,領用表!$E:$E,$B134,領用表!$B:$B,AB$2&amp;$R$1)</f>
        <v/>
      </c>
      <c r="AC134" s="142">
        <f>SUMIFS(領用表!$L:$L,領用表!$E:$E,$B134,領用表!$B:$B,AC$2&amp;$R$1)</f>
        <v/>
      </c>
      <c r="AD134" s="142">
        <f>SUM(R134,S134,T134,U134,V134,W134)</f>
        <v/>
      </c>
      <c r="AE134" s="142">
        <f>AVERAGE(R134,S134,T134,U134,V134,W134)</f>
        <v/>
      </c>
      <c r="AF134" s="142">
        <f>SUMIF(Summary!B:B,B134,Summary!EB:EB)</f>
        <v/>
      </c>
      <c r="AG134" s="109" t="n">
        <v>0</v>
      </c>
      <c r="AH134" s="65" t="n"/>
      <c r="AI134" s="76" t="n"/>
      <c r="AJ134" s="76" t="n"/>
    </row>
    <row r="135" ht="15.75" customHeight="1" s="453">
      <c r="A135" s="27" t="inlineStr">
        <is>
          <t>DE1AA090013T</t>
        </is>
      </c>
      <c r="B135" s="14" t="n">
        <v>6080005</v>
      </c>
      <c r="C135" s="136" t="inlineStr">
        <is>
          <t>玻尿酸恆潤保濕面膜 30mL</t>
        </is>
      </c>
      <c r="D135" s="77" t="n"/>
      <c r="E135" s="17" t="inlineStr">
        <is>
          <t>PCS</t>
        </is>
      </c>
      <c r="F135" s="70" t="n"/>
      <c r="G135" s="18" t="n"/>
      <c r="H135" s="68" t="n">
        <v>0</v>
      </c>
      <c r="I135" s="26" t="n">
        <v>0</v>
      </c>
      <c r="J135" s="20">
        <f>SUMIFS(領用表!$L:$L,領用表!$E:$E,$B135,領用表!$B:$B,J$2&amp;$R$1)</f>
        <v/>
      </c>
      <c r="K135" s="20">
        <f>SUMIFS(領用表!$L:$L,領用表!$E:$E,$B135,領用表!$B:$B,K$2&amp;$R$1)</f>
        <v/>
      </c>
      <c r="L135" s="20">
        <f>SUMIFS(領用表!$L:$L,領用表!$E:$E,$B135,領用表!$B:$B,L$2&amp;$R$1)</f>
        <v/>
      </c>
      <c r="M135" s="142">
        <f>SUMIFS(領用表!$L:$L,領用表!$E:$E,$B135,領用表!$B:$B,M$2&amp;$R$1)</f>
        <v/>
      </c>
      <c r="N135" s="142">
        <f>SUMIFS(領用表!$L:$L,領用表!$E:$E,$B135,領用表!$B:$B,N$2&amp;$R$1)</f>
        <v/>
      </c>
      <c r="O135" s="142">
        <f>SUMIFS(領用表!$L:$L,領用表!$E:$E,$B135,領用表!$B:$B,O$2&amp;$R$1)</f>
        <v/>
      </c>
      <c r="P135" s="23">
        <f>SUM(,J135,K135,L135,M135,N135,O135)</f>
        <v/>
      </c>
      <c r="Q135" s="23">
        <f>AVERAGE(,J135,K135,L135,M135,N135,O135)</f>
        <v/>
      </c>
      <c r="R135" s="142">
        <f>SUMIFS(領用表!$L:$L,領用表!$E:$E,$B135,領用表!$B:$B,R$2&amp;$R$1)</f>
        <v/>
      </c>
      <c r="S135" s="142">
        <f>SUMIFS(領用表!$L:$L,領用表!$E:$E,$B135,領用表!$B:$B,S$2&amp;$R$1)</f>
        <v/>
      </c>
      <c r="T135" s="142">
        <f>SUMIFS(領用表!$L:$L,領用表!$E:$E,$B135,領用表!$B:$B,T$2&amp;$R$1)</f>
        <v/>
      </c>
      <c r="U135" s="142">
        <f>SUMIFS(領用表!$L:$L,領用表!$E:$E,$B135,領用表!$B:$B,U$2&amp;$R$1)</f>
        <v/>
      </c>
      <c r="V135" s="142">
        <f>SUMIFS(領用表!$L:$L,領用表!$E:$E,$B135,領用表!$B:$B,V$2&amp;$R$1)</f>
        <v/>
      </c>
      <c r="W135" s="142">
        <f>SUMIFS(領用表!$L:$L,領用表!$E:$E,$B135,領用表!$B:$B,W$2&amp;$R$1)</f>
        <v/>
      </c>
      <c r="X135" s="142">
        <f>SUMIFS(領用表!$L:$L,領用表!$E:$E,$B135,領用表!$B:$B,X$2&amp;$R$1)</f>
        <v/>
      </c>
      <c r="Y135" s="142">
        <f>SUMIFS(領用表!$L:$L,領用表!$E:$E,$B135,領用表!$B:$B,Y$2&amp;$R$1)</f>
        <v/>
      </c>
      <c r="Z135" s="142">
        <f>SUMIFS(領用表!$L:$L,領用表!$E:$E,$B135,領用表!$B:$B,Z$2&amp;$R$1)</f>
        <v/>
      </c>
      <c r="AA135" s="142">
        <f>SUMIFS(領用表!$L:$L,領用表!$E:$E,$B135,領用表!$B:$B,AA$2&amp;$R$1)</f>
        <v/>
      </c>
      <c r="AB135" s="142">
        <f>SUMIFS(領用表!$L:$L,領用表!$E:$E,$B135,領用表!$B:$B,AB$2&amp;$R$1)</f>
        <v/>
      </c>
      <c r="AC135" s="142">
        <f>SUMIFS(領用表!$L:$L,領用表!$E:$E,$B135,領用表!$B:$B,AC$2&amp;$R$1)</f>
        <v/>
      </c>
      <c r="AD135" s="142">
        <f>SUM(R135,S135,T135,U135,V135,W135)</f>
        <v/>
      </c>
      <c r="AE135" s="142">
        <f>AVERAGE(R135,S135,T135,U135,V135,W135)</f>
        <v/>
      </c>
      <c r="AF135" s="142">
        <f>SUMIF(Summary!B:B,B135,Summary!EB:EB)</f>
        <v/>
      </c>
      <c r="AG135" s="109" t="n">
        <v>300</v>
      </c>
      <c r="AH135" s="65" t="n"/>
      <c r="AI135" s="83" t="n"/>
      <c r="AJ135" s="76" t="n"/>
    </row>
    <row r="136" ht="15.75" customHeight="1" s="453">
      <c r="A136" s="27" t="inlineStr">
        <is>
          <t>DL1AA090025T</t>
        </is>
      </c>
      <c r="B136" s="14" t="n">
        <v>6080007</v>
      </c>
      <c r="C136" s="136" t="inlineStr">
        <is>
          <t>海洋膠原蛋白面膜 30ml</t>
        </is>
      </c>
      <c r="D136" s="77" t="n"/>
      <c r="E136" s="17" t="inlineStr">
        <is>
          <t>PCS</t>
        </is>
      </c>
      <c r="F136" s="70" t="n"/>
      <c r="G136" s="18" t="n"/>
      <c r="H136" s="68" t="n"/>
      <c r="I136" s="26" t="n"/>
      <c r="J136" s="20">
        <f>SUMIFS(領用表!$L:$L,領用表!$E:$E,$B136,領用表!$B:$B,J$2&amp;$R$1)</f>
        <v/>
      </c>
      <c r="K136" s="20">
        <f>SUMIFS(領用表!$L:$L,領用表!$E:$E,$B136,領用表!$B:$B,K$2&amp;$R$1)</f>
        <v/>
      </c>
      <c r="L136" s="20">
        <f>SUMIFS(領用表!$L:$L,領用表!$E:$E,$B136,領用表!$B:$B,L$2&amp;$R$1)</f>
        <v/>
      </c>
      <c r="M136" s="142">
        <f>SUMIFS(領用表!$L:$L,領用表!$E:$E,$B136,領用表!$B:$B,M$2&amp;$R$1)</f>
        <v/>
      </c>
      <c r="N136" s="142">
        <f>SUMIFS(領用表!$L:$L,領用表!$E:$E,$B136,領用表!$B:$B,N$2&amp;$R$1)</f>
        <v/>
      </c>
      <c r="O136" s="142">
        <f>SUMIFS(領用表!$L:$L,領用表!$E:$E,$B136,領用表!$B:$B,O$2&amp;$R$1)</f>
        <v/>
      </c>
      <c r="P136" s="23">
        <f>SUM(,J136,K136,L136,M136,N136,O136)</f>
        <v/>
      </c>
      <c r="Q136" s="23">
        <f>AVERAGE(,J136,K136,L136,M136,N136,O136)</f>
        <v/>
      </c>
      <c r="R136" s="142">
        <f>SUMIFS(領用表!$L:$L,領用表!$E:$E,$B136,領用表!$B:$B,R$2&amp;$R$1)</f>
        <v/>
      </c>
      <c r="S136" s="142">
        <f>SUMIFS(領用表!$L:$L,領用表!$E:$E,$B136,領用表!$B:$B,S$2&amp;$R$1)</f>
        <v/>
      </c>
      <c r="T136" s="142">
        <f>SUMIFS(領用表!$L:$L,領用表!$E:$E,$B136,領用表!$B:$B,T$2&amp;$R$1)</f>
        <v/>
      </c>
      <c r="U136" s="142">
        <f>SUMIFS(領用表!$L:$L,領用表!$E:$E,$B136,領用表!$B:$B,U$2&amp;$R$1)</f>
        <v/>
      </c>
      <c r="V136" s="142">
        <f>SUMIFS(領用表!$L:$L,領用表!$E:$E,$B136,領用表!$B:$B,V$2&amp;$R$1)</f>
        <v/>
      </c>
      <c r="W136" s="142" t="n"/>
      <c r="X136" s="142">
        <f>SUMIFS(領用表!$L:$L,領用表!$E:$E,$B136,領用表!$B:$B,X$2&amp;$R$1)</f>
        <v/>
      </c>
      <c r="Y136" s="142">
        <f>SUMIFS(領用表!$L:$L,領用表!$E:$E,$B136,領用表!$B:$B,Y$2&amp;$R$1)</f>
        <v/>
      </c>
      <c r="Z136" s="142">
        <f>SUMIFS(領用表!$L:$L,領用表!$E:$E,$B136,領用表!$B:$B,Z$2&amp;$R$1)</f>
        <v/>
      </c>
      <c r="AA136" s="142">
        <f>SUMIFS(領用表!$L:$L,領用表!$E:$E,$B136,領用表!$B:$B,AA$2&amp;$R$1)</f>
        <v/>
      </c>
      <c r="AB136" s="142">
        <f>SUMIFS(領用表!$L:$L,領用表!$E:$E,$B136,領用表!$B:$B,AB$2&amp;$R$1)</f>
        <v/>
      </c>
      <c r="AC136" s="142">
        <f>SUMIFS(領用表!$L:$L,領用表!$E:$E,$B136,領用表!$B:$B,AC$2&amp;$R$1)</f>
        <v/>
      </c>
      <c r="AD136" s="142">
        <f>SUM(R136,S136,T136,U136,V136,W136)</f>
        <v/>
      </c>
      <c r="AE136" s="142">
        <f>AVERAGE(R136,S136,T136,U136,V136,W136)</f>
        <v/>
      </c>
      <c r="AF136" s="142">
        <f>SUMIF(Summary!B:B,B136,Summary!EB:EB)</f>
        <v/>
      </c>
      <c r="AG136" s="109" t="n">
        <v>0</v>
      </c>
      <c r="AH136" s="65" t="n"/>
      <c r="AI136" s="76" t="n"/>
      <c r="AJ136" s="76" t="n"/>
      <c r="AK136" s="14" t="n"/>
      <c r="AL136" s="14" t="n"/>
      <c r="AM136" s="14" t="n"/>
      <c r="AN136" s="14" t="n"/>
    </row>
    <row r="137" ht="15.75" customHeight="1" s="453">
      <c r="A137" s="27" t="inlineStr">
        <is>
          <t>DE1AB090012T</t>
        </is>
      </c>
      <c r="B137" s="14" t="n">
        <v>6080008</v>
      </c>
      <c r="C137" s="136" t="inlineStr">
        <is>
          <t>多肽睛澈修護眼膜 10mL(鈦灰)</t>
        </is>
      </c>
      <c r="D137" s="77" t="n"/>
      <c r="E137" s="17" t="inlineStr">
        <is>
          <t>PCS</t>
        </is>
      </c>
      <c r="F137" s="70" t="n"/>
      <c r="G137" s="18" t="n"/>
      <c r="H137" s="68" t="n"/>
      <c r="I137" s="26" t="n"/>
      <c r="J137" s="20">
        <f>SUMIFS(領用表!$L:$L,領用表!$E:$E,$B137,領用表!$B:$B,J$2&amp;$R$1)</f>
        <v/>
      </c>
      <c r="K137" s="20">
        <f>SUMIFS(領用表!$L:$L,領用表!$E:$E,$B137,領用表!$B:$B,K$2&amp;$R$1)</f>
        <v/>
      </c>
      <c r="L137" s="20">
        <f>SUMIFS(領用表!$L:$L,領用表!$E:$E,$B137,領用表!$B:$B,L$2&amp;$R$1)</f>
        <v/>
      </c>
      <c r="M137" s="142">
        <f>SUMIFS(領用表!$L:$L,領用表!$E:$E,$B137,領用表!$B:$B,M$2&amp;$R$1)</f>
        <v/>
      </c>
      <c r="N137" s="142">
        <f>SUMIFS(領用表!$L:$L,領用表!$E:$E,$B137,領用表!$B:$B,N$2&amp;$R$1)</f>
        <v/>
      </c>
      <c r="O137" s="142">
        <f>SUMIFS(領用表!$L:$L,領用表!$E:$E,$B137,領用表!$B:$B,O$2&amp;$R$1)</f>
        <v/>
      </c>
      <c r="P137" s="23">
        <f>SUM(,J137,K137,L137,M137,N137,O137)</f>
        <v/>
      </c>
      <c r="Q137" s="23">
        <f>AVERAGE(,J137,K137,L137,M137,N137,O137)</f>
        <v/>
      </c>
      <c r="R137" s="142">
        <f>SUMIFS(領用表!$L:$L,領用表!$E:$E,$B137,領用表!$B:$B,R$2&amp;$R$1)</f>
        <v/>
      </c>
      <c r="S137" s="142">
        <f>SUMIFS(領用表!$L:$L,領用表!$E:$E,$B137,領用表!$B:$B,S$2&amp;$R$1)</f>
        <v/>
      </c>
      <c r="T137" s="142">
        <f>SUMIFS(領用表!$L:$L,領用表!$E:$E,$B137,領用表!$B:$B,T$2&amp;$R$1)</f>
        <v/>
      </c>
      <c r="U137" s="142">
        <f>SUMIFS(領用表!$L:$L,領用表!$E:$E,$B137,領用表!$B:$B,U$2&amp;$R$1)</f>
        <v/>
      </c>
      <c r="V137" s="142">
        <f>SUMIFS(領用表!$L:$L,領用表!$E:$E,$B137,領用表!$B:$B,V$2&amp;$R$1)</f>
        <v/>
      </c>
      <c r="W137" s="142" t="n"/>
      <c r="X137" s="142">
        <f>SUMIFS(領用表!$L:$L,領用表!$E:$E,$B137,領用表!$B:$B,X$2&amp;$R$1)</f>
        <v/>
      </c>
      <c r="Y137" s="142">
        <f>SUMIFS(領用表!$L:$L,領用表!$E:$E,$B137,領用表!$B:$B,Y$2&amp;$R$1)</f>
        <v/>
      </c>
      <c r="Z137" s="142">
        <f>SUMIFS(領用表!$L:$L,領用表!$E:$E,$B137,領用表!$B:$B,Z$2&amp;$R$1)</f>
        <v/>
      </c>
      <c r="AA137" s="142">
        <f>SUMIFS(領用表!$L:$L,領用表!$E:$E,$B137,領用表!$B:$B,AA$2&amp;$R$1)</f>
        <v/>
      </c>
      <c r="AB137" s="142">
        <f>SUMIFS(領用表!$L:$L,領用表!$E:$E,$B137,領用表!$B:$B,AB$2&amp;$R$1)</f>
        <v/>
      </c>
      <c r="AC137" s="142">
        <f>SUMIFS(領用表!$L:$L,領用表!$E:$E,$B137,領用表!$B:$B,AC$2&amp;$R$1)</f>
        <v/>
      </c>
      <c r="AD137" s="142">
        <f>SUM(R137,S137,T137,U137,V137,W137)</f>
        <v/>
      </c>
      <c r="AE137" s="142">
        <f>AVERAGE(R137,S137,T137,U137,V137,W137)</f>
        <v/>
      </c>
      <c r="AF137" s="142">
        <f>SUMIF(Summary!B:B,B137,Summary!EB:EB)</f>
        <v/>
      </c>
      <c r="AG137" s="109" t="n"/>
      <c r="AH137" s="65" t="n"/>
      <c r="AI137" s="76" t="inlineStr">
        <is>
          <t>4000(10/22)</t>
        </is>
      </c>
      <c r="AJ137" s="76" t="n"/>
      <c r="AK137" s="14" t="n"/>
      <c r="AL137" s="14" t="n"/>
      <c r="AM137" s="14" t="n"/>
      <c r="AN137" s="14" t="n"/>
    </row>
    <row r="138" ht="15.75" customHeight="1" s="453">
      <c r="A138" s="27" t="inlineStr">
        <is>
          <t>DN1AA050029T</t>
        </is>
      </c>
      <c r="B138" s="14" t="n">
        <v>1050001</v>
      </c>
      <c r="C138" s="136" t="inlineStr">
        <is>
          <t>優菌防護精華安瓶 6ml(10入)</t>
        </is>
      </c>
      <c r="D138" s="77" t="n"/>
      <c r="E138" s="17" t="inlineStr">
        <is>
          <t>PCS</t>
        </is>
      </c>
      <c r="F138" s="70" t="n"/>
      <c r="G138" s="18" t="n"/>
      <c r="H138" s="68">
        <f>SUM(#REF!)</f>
        <v/>
      </c>
      <c r="I138" s="26">
        <f>H138/12</f>
        <v/>
      </c>
      <c r="J138" s="20">
        <f>SUMIFS(領用表!$L:$L,領用表!$E:$E,$B138,領用表!$B:$B,J$2&amp;$R$1)</f>
        <v/>
      </c>
      <c r="K138" s="20">
        <f>SUMIFS(領用表!$L:$L,領用表!$E:$E,$B138,領用表!$B:$B,K$2&amp;$R$1)</f>
        <v/>
      </c>
      <c r="L138" s="20">
        <f>SUMIFS(領用表!$L:$L,領用表!$E:$E,$B138,領用表!$B:$B,L$2&amp;$R$1)</f>
        <v/>
      </c>
      <c r="M138" s="142">
        <f>SUMIFS(領用表!$L:$L,領用表!$E:$E,$B138,領用表!$B:$B,M$2&amp;$R$1)</f>
        <v/>
      </c>
      <c r="N138" s="142">
        <f>SUMIFS(領用表!$L:$L,領用表!$E:$E,$B138,領用表!$B:$B,N$2&amp;$R$1)</f>
        <v/>
      </c>
      <c r="O138" s="142">
        <f>SUMIFS(領用表!$L:$L,領用表!$E:$E,$B138,領用表!$B:$B,O$2&amp;$R$1)</f>
        <v/>
      </c>
      <c r="P138" s="23">
        <f>SUM(,J138,K138,L138,M138,N138,O138)</f>
        <v/>
      </c>
      <c r="Q138" s="23">
        <f>AVERAGE(,J138,K138,L138,M138,N138,O138)</f>
        <v/>
      </c>
      <c r="R138" s="142">
        <f>SUMIFS(領用表!$L:$L,領用表!$E:$E,$B138,領用表!$B:$B,R$2&amp;$R$1)</f>
        <v/>
      </c>
      <c r="S138" s="142">
        <f>SUMIFS(領用表!$L:$L,領用表!$E:$E,$B138,領用表!$B:$B,S$2&amp;$R$1)</f>
        <v/>
      </c>
      <c r="T138" s="142">
        <f>SUMIFS(領用表!$L:$L,領用表!$E:$E,$B138,領用表!$B:$B,T$2&amp;$R$1)</f>
        <v/>
      </c>
      <c r="U138" s="142">
        <f>SUMIFS(領用表!$L:$L,領用表!$E:$E,$B138,領用表!$B:$B,U$2&amp;$R$1)</f>
        <v/>
      </c>
      <c r="V138" s="142">
        <f>SUMIFS(領用表!$L:$L,領用表!$E:$E,$B138,領用表!$B:$B,V$2&amp;$R$1)</f>
        <v/>
      </c>
      <c r="W138" s="142" t="n"/>
      <c r="X138" s="142">
        <f>SUMIFS(領用表!$L:$L,領用表!$E:$E,$B138,領用表!$B:$B,X$2&amp;$R$1)</f>
        <v/>
      </c>
      <c r="Y138" s="142">
        <f>SUMIFS(領用表!$L:$L,領用表!$E:$E,$B138,領用表!$B:$B,Y$2&amp;$R$1)</f>
        <v/>
      </c>
      <c r="Z138" s="142">
        <f>SUMIFS(領用表!$L:$L,領用表!$E:$E,$B138,領用表!$B:$B,Z$2&amp;$R$1)</f>
        <v/>
      </c>
      <c r="AA138" s="142">
        <f>SUMIFS(領用表!$L:$L,領用表!$E:$E,$B138,領用表!$B:$B,AA$2&amp;$R$1)</f>
        <v/>
      </c>
      <c r="AB138" s="142">
        <f>SUMIFS(領用表!$L:$L,領用表!$E:$E,$B138,領用表!$B:$B,AB$2&amp;$R$1)</f>
        <v/>
      </c>
      <c r="AC138" s="142">
        <f>SUMIFS(領用表!$L:$L,領用表!$E:$E,$B138,領用表!$B:$B,AC$2&amp;$R$1)</f>
        <v/>
      </c>
      <c r="AD138" s="142">
        <f>SUM(R138,S138,T138,U138,V138,W138)</f>
        <v/>
      </c>
      <c r="AE138" s="142">
        <f>AVERAGE(R138,S138,T138,U138,V138,W138)</f>
        <v/>
      </c>
      <c r="AF138" s="142">
        <f>SUMIF(Summary!B:B,B138,Summary!EB:EB)</f>
        <v/>
      </c>
      <c r="AG138" s="109" t="n">
        <v>10</v>
      </c>
      <c r="AH138" s="65" t="n"/>
      <c r="AI138" s="76" t="n"/>
      <c r="AJ138" s="76" t="n"/>
      <c r="AK138" s="27" t="n"/>
      <c r="AL138" s="27" t="n"/>
      <c r="AM138" s="14" t="n"/>
      <c r="AN138" s="14" t="n"/>
    </row>
    <row r="139" ht="15.75" customHeight="1" s="453">
      <c r="A139" s="27" t="inlineStr">
        <is>
          <t>DN1AA050030T</t>
        </is>
      </c>
      <c r="B139" s="14" t="n">
        <v>1050002</v>
      </c>
      <c r="C139" s="136" t="inlineStr">
        <is>
          <t>優菌防護安瓶精華 6ml</t>
        </is>
      </c>
      <c r="D139" s="77" t="n"/>
      <c r="E139" s="17" t="inlineStr">
        <is>
          <t>PCS</t>
        </is>
      </c>
      <c r="F139" s="70" t="n"/>
      <c r="G139" s="18" t="n"/>
      <c r="H139" s="68">
        <f>SUM(#REF!)</f>
        <v/>
      </c>
      <c r="I139" s="26">
        <f>H139/12</f>
        <v/>
      </c>
      <c r="J139" s="20">
        <f>SUMIFS(領用表!$L:$L,領用表!$E:$E,$B139,領用表!$B:$B,J$2&amp;$R$1)</f>
        <v/>
      </c>
      <c r="K139" s="20">
        <f>SUMIFS(領用表!$L:$L,領用表!$E:$E,$B139,領用表!$B:$B,K$2&amp;$R$1)</f>
        <v/>
      </c>
      <c r="L139" s="20">
        <f>SUMIFS(領用表!$L:$L,領用表!$E:$E,$B139,領用表!$B:$B,L$2&amp;$R$1)</f>
        <v/>
      </c>
      <c r="M139" s="142">
        <f>SUMIFS(領用表!$L:$L,領用表!$E:$E,$B139,領用表!$B:$B,M$2&amp;$R$1)</f>
        <v/>
      </c>
      <c r="N139" s="142">
        <f>SUMIFS(領用表!$L:$L,領用表!$E:$E,$B139,領用表!$B:$B,N$2&amp;$R$1)</f>
        <v/>
      </c>
      <c r="O139" s="142">
        <f>SUMIFS(領用表!$L:$L,領用表!$E:$E,$B139,領用表!$B:$B,O$2&amp;$R$1)</f>
        <v/>
      </c>
      <c r="P139" s="23">
        <f>SUM(,J139,K139,L139,M139,N139,O139)</f>
        <v/>
      </c>
      <c r="Q139" s="23">
        <f>AVERAGE(,J139,K139,L139,M139,N139,O139)</f>
        <v/>
      </c>
      <c r="R139" s="142">
        <f>SUMIFS(領用表!$L:$L,領用表!$E:$E,$B139,領用表!$B:$B,R$2&amp;$R$1)</f>
        <v/>
      </c>
      <c r="S139" s="142">
        <f>SUMIFS(領用表!$L:$L,領用表!$E:$E,$B139,領用表!$B:$B,S$2&amp;$R$1)</f>
        <v/>
      </c>
      <c r="T139" s="142">
        <f>SUMIFS(領用表!$L:$L,領用表!$E:$E,$B139,領用表!$B:$B,T$2&amp;$R$1)</f>
        <v/>
      </c>
      <c r="U139" s="142">
        <f>SUMIFS(領用表!$L:$L,領用表!$E:$E,$B139,領用表!$B:$B,U$2&amp;$R$1)</f>
        <v/>
      </c>
      <c r="V139" s="142">
        <f>SUMIFS(領用表!$L:$L,領用表!$E:$E,$B139,領用表!$B:$B,V$2&amp;$R$1)</f>
        <v/>
      </c>
      <c r="W139" s="142" t="n"/>
      <c r="X139" s="142">
        <f>SUMIFS(領用表!$L:$L,領用表!$E:$E,$B139,領用表!$B:$B,X$2&amp;$R$1)</f>
        <v/>
      </c>
      <c r="Y139" s="142">
        <f>SUMIFS(領用表!$L:$L,領用表!$E:$E,$B139,領用表!$B:$B,Y$2&amp;$R$1)</f>
        <v/>
      </c>
      <c r="Z139" s="142">
        <f>SUMIFS(領用表!$L:$L,領用表!$E:$E,$B139,領用表!$B:$B,Z$2&amp;$R$1)</f>
        <v/>
      </c>
      <c r="AA139" s="142">
        <f>SUMIFS(領用表!$L:$L,領用表!$E:$E,$B139,領用表!$B:$B,AA$2&amp;$R$1)</f>
        <v/>
      </c>
      <c r="AB139" s="142">
        <f>SUMIFS(領用表!$L:$L,領用表!$E:$E,$B139,領用表!$B:$B,AB$2&amp;$R$1)</f>
        <v/>
      </c>
      <c r="AC139" s="142">
        <f>SUMIFS(領用表!$L:$L,領用表!$E:$E,$B139,領用表!$B:$B,AC$2&amp;$R$1)</f>
        <v/>
      </c>
      <c r="AD139" s="142">
        <f>SUM(R139,S139,T139,U139,V139,W139)</f>
        <v/>
      </c>
      <c r="AE139" s="142">
        <f>AVERAGE(R139,S139,T139,U139,V139,W139)</f>
        <v/>
      </c>
      <c r="AF139" s="142">
        <f>SUMIF(Summary!B:B,B139,Summary!EB:EB)</f>
        <v/>
      </c>
      <c r="AG139" s="109" t="n">
        <v>0</v>
      </c>
      <c r="AH139" s="65" t="n"/>
      <c r="AI139" s="76" t="n"/>
      <c r="AJ139" s="76" t="n"/>
      <c r="AK139" s="27" t="n"/>
      <c r="AL139" s="27" t="n"/>
      <c r="AM139" s="14" t="n"/>
      <c r="AN139" s="14" t="n"/>
    </row>
    <row r="140" hidden="1" ht="15.75" customHeight="1" s="453">
      <c r="A140" s="27" t="inlineStr">
        <is>
          <t>DN1AA050041T</t>
        </is>
      </c>
      <c r="B140" s="14" t="n">
        <v>1050003</v>
      </c>
      <c r="C140" s="136" t="inlineStr">
        <is>
          <t>冰原天神草彈力超導精華 6mL(玫瑰金)</t>
        </is>
      </c>
      <c r="D140" s="77" t="n"/>
      <c r="E140" s="17" t="inlineStr">
        <is>
          <t>PCS</t>
        </is>
      </c>
      <c r="F140" s="70" t="n"/>
      <c r="G140" s="18" t="n"/>
      <c r="H140" s="68">
        <f>SUM(#REF!)</f>
        <v/>
      </c>
      <c r="I140" s="26">
        <f>H140/12</f>
        <v/>
      </c>
      <c r="J140" s="20">
        <f>SUMIFS(領用表!$L:$L,領用表!$E:$E,$B140,領用表!$B:$B,J$2&amp;$R$1)</f>
        <v/>
      </c>
      <c r="K140" s="20">
        <f>SUMIFS(領用表!$L:$L,領用表!$E:$E,$B140,領用表!$B:$B,K$2&amp;$R$1)</f>
        <v/>
      </c>
      <c r="L140" s="20">
        <f>SUMIFS(領用表!$L:$L,領用表!$E:$E,$B140,領用表!$B:$B,L$2&amp;$R$1)</f>
        <v/>
      </c>
      <c r="M140" s="142">
        <f>SUMIFS(領用表!$L:$L,領用表!$E:$E,$B140,領用表!$B:$B,M$2&amp;$R$1)</f>
        <v/>
      </c>
      <c r="N140" s="142">
        <f>SUMIFS(領用表!$L:$L,領用表!$E:$E,$B140,領用表!$B:$B,N$2&amp;$R$1)</f>
        <v/>
      </c>
      <c r="O140" s="142">
        <f>SUMIFS(領用表!$L:$L,領用表!$E:$E,$B140,領用表!$B:$B,O$2&amp;$R$1)</f>
        <v/>
      </c>
      <c r="P140" s="23">
        <f>SUM(,J140,K140,L140,M140,N140,O140)</f>
        <v/>
      </c>
      <c r="Q140" s="23">
        <f>AVERAGE(,J140,K140,L140,M140,N140,O140)</f>
        <v/>
      </c>
      <c r="R140" s="142">
        <f>SUMIFS(領用表!$L:$L,領用表!$E:$E,$B140,領用表!$B:$B,R$2&amp;$R$1)</f>
        <v/>
      </c>
      <c r="S140" s="142">
        <f>SUMIFS(領用表!$L:$L,領用表!$E:$E,$B140,領用表!$B:$B,S$2&amp;$R$1)</f>
        <v/>
      </c>
      <c r="T140" s="142">
        <f>SUMIFS(領用表!$L:$L,領用表!$E:$E,$B140,領用表!$B:$B,T$2&amp;$R$1)</f>
        <v/>
      </c>
      <c r="U140" s="142">
        <f>SUMIFS(領用表!$L:$L,領用表!$E:$E,$B140,領用表!$B:$B,U$2&amp;$R$1)</f>
        <v/>
      </c>
      <c r="V140" s="142">
        <f>SUMIFS(領用表!$L:$L,領用表!$E:$E,$B140,領用表!$B:$B,V$2&amp;$R$1)</f>
        <v/>
      </c>
      <c r="W140" s="142" t="n"/>
      <c r="X140" s="142">
        <f>SUMIFS(領用表!$L:$L,領用表!$E:$E,$B140,領用表!$B:$B,X$2&amp;$R$1)</f>
        <v/>
      </c>
      <c r="Y140" s="142">
        <f>SUMIFS(領用表!$L:$L,領用表!$E:$E,$B140,領用表!$B:$B,Y$2&amp;$R$1)</f>
        <v/>
      </c>
      <c r="Z140" s="142">
        <f>SUMIFS(領用表!$L:$L,領用表!$E:$E,$B140,領用表!$B:$B,Z$2&amp;$R$1)</f>
        <v/>
      </c>
      <c r="AA140" s="142">
        <f>SUMIFS(領用表!$L:$L,領用表!$E:$E,$B140,領用表!$B:$B,AA$2&amp;$R$1)</f>
        <v/>
      </c>
      <c r="AB140" s="142">
        <f>SUMIFS(領用表!$L:$L,領用表!$E:$E,$B140,領用表!$B:$B,AB$2&amp;$R$1)</f>
        <v/>
      </c>
      <c r="AC140" s="142">
        <f>SUMIFS(領用表!$L:$L,領用表!$E:$E,$B140,領用表!$B:$B,AC$2&amp;$R$1)</f>
        <v/>
      </c>
      <c r="AD140" s="142">
        <f>SUM(R140,S140,T140,U140,V140,W140)</f>
        <v/>
      </c>
      <c r="AE140" s="142">
        <f>AVERAGE(R140,S140,T140,U140,V140,W140)</f>
        <v/>
      </c>
      <c r="AF140" s="142">
        <f>SUMIF(Summary!B:B,B140,Summary!EB:EB)</f>
        <v/>
      </c>
      <c r="AG140" s="109" t="n"/>
      <c r="AH140" s="65" t="n"/>
      <c r="AI140" s="76" t="n"/>
      <c r="AJ140" s="76" t="n"/>
      <c r="AK140" s="27" t="n"/>
      <c r="AL140" s="27" t="n"/>
      <c r="AM140" s="14" t="n"/>
      <c r="AN140" s="14" t="n"/>
    </row>
    <row r="141" ht="15" customHeight="1" s="453">
      <c r="A141" s="27" t="inlineStr">
        <is>
          <t>DL1AA050016T</t>
        </is>
      </c>
      <c r="B141" s="14" t="n">
        <v>6050008</v>
      </c>
      <c r="C141" s="136" t="inlineStr">
        <is>
          <t>花神臻秘玫瑰舒膚安瓶 6ml(含紙套)</t>
        </is>
      </c>
      <c r="D141" s="77" t="n"/>
      <c r="E141" s="17" t="inlineStr">
        <is>
          <t>PCS</t>
        </is>
      </c>
      <c r="F141" s="70" t="n"/>
      <c r="G141" s="18" t="n">
        <v>0</v>
      </c>
      <c r="H141" s="68" t="n"/>
      <c r="I141" s="26" t="n"/>
      <c r="J141" s="20">
        <f>SUMIFS(領用表!$L:$L,領用表!$E:$E,$B141,領用表!$B:$B,J$2&amp;$R$1)</f>
        <v/>
      </c>
      <c r="K141" s="20">
        <f>SUMIFS(領用表!$L:$L,領用表!$E:$E,$B141,領用表!$B:$B,K$2&amp;$R$1)</f>
        <v/>
      </c>
      <c r="L141" s="20">
        <f>SUMIFS(領用表!$L:$L,領用表!$E:$E,$B141,領用表!$B:$B,L$2&amp;$R$1)</f>
        <v/>
      </c>
      <c r="M141" s="142">
        <f>SUMIFS(領用表!$L:$L,領用表!$E:$E,$B141,領用表!$B:$B,M$2&amp;$R$1)</f>
        <v/>
      </c>
      <c r="N141" s="142">
        <f>SUMIFS(領用表!$L:$L,領用表!$E:$E,$B141,領用表!$B:$B,N$2&amp;$R$1)</f>
        <v/>
      </c>
      <c r="O141" s="142">
        <f>SUMIFS(領用表!$L:$L,領用表!$E:$E,$B141,領用表!$B:$B,O$2&amp;$R$1)</f>
        <v/>
      </c>
      <c r="P141" s="23">
        <f>SUM(,J141,K141,L141,M141,N141,O141)</f>
        <v/>
      </c>
      <c r="Q141" s="23">
        <f>AVERAGE(,J141,K141,L141,M141,N141,O141)</f>
        <v/>
      </c>
      <c r="R141" s="142">
        <f>SUMIFS(領用表!$L:$L,領用表!$E:$E,$B141,領用表!$B:$B,R$2&amp;$R$1)</f>
        <v/>
      </c>
      <c r="S141" s="142">
        <f>SUMIFS(領用表!$L:$L,領用表!$E:$E,$B141,領用表!$B:$B,S$2&amp;$R$1)</f>
        <v/>
      </c>
      <c r="T141" s="142">
        <f>SUMIFS(領用表!$L:$L,領用表!$E:$E,$B141,領用表!$B:$B,T$2&amp;$R$1)</f>
        <v/>
      </c>
      <c r="U141" s="142">
        <f>SUMIFS(領用表!$L:$L,領用表!$E:$E,$B141,領用表!$B:$B,U$2&amp;$R$1)</f>
        <v/>
      </c>
      <c r="V141" s="142">
        <f>SUMIFS(領用表!$L:$L,領用表!$E:$E,$B141,領用表!$B:$B,V$2&amp;$R$1)</f>
        <v/>
      </c>
      <c r="W141" s="142" t="n"/>
      <c r="X141" s="142">
        <f>SUMIFS(領用表!$L:$L,領用表!$E:$E,$B141,領用表!$B:$B,X$2&amp;$R$1)</f>
        <v/>
      </c>
      <c r="Y141" s="142">
        <f>SUMIFS(領用表!$L:$L,領用表!$E:$E,$B141,領用表!$B:$B,Y$2&amp;$R$1)</f>
        <v/>
      </c>
      <c r="Z141" s="142">
        <f>SUMIFS(領用表!$L:$L,領用表!$E:$E,$B141,領用表!$B:$B,Z$2&amp;$R$1)</f>
        <v/>
      </c>
      <c r="AA141" s="142">
        <f>SUMIFS(領用表!$L:$L,領用表!$E:$E,$B141,領用表!$B:$B,AA$2&amp;$R$1)</f>
        <v/>
      </c>
      <c r="AB141" s="142">
        <f>SUMIFS(領用表!$L:$L,領用表!$E:$E,$B141,領用表!$B:$B,AB$2&amp;$R$1)</f>
        <v/>
      </c>
      <c r="AC141" s="142">
        <f>SUMIFS(領用表!$L:$L,領用表!$E:$E,$B141,領用表!$B:$B,AC$2&amp;$R$1)</f>
        <v/>
      </c>
      <c r="AD141" s="142">
        <f>SUM(R141,S141,T141,U141,V141,W141)</f>
        <v/>
      </c>
      <c r="AE141" s="142">
        <f>AVERAGE(R141,S141,T141,U141,V141,W141)</f>
        <v/>
      </c>
      <c r="AF141" s="142">
        <f>SUMIF(Summary!B:B,B141,Summary!EB:EB)</f>
        <v/>
      </c>
      <c r="AG141" s="109" t="n">
        <v>0</v>
      </c>
      <c r="AH141" s="65" t="n"/>
      <c r="AI141" s="76" t="n"/>
      <c r="AJ141" s="76" t="inlineStr">
        <is>
          <t>288(10/22)</t>
        </is>
      </c>
      <c r="AK141" s="27" t="n"/>
      <c r="AL141" s="27" t="n"/>
      <c r="AM141" s="14" t="n"/>
      <c r="AN141" s="14" t="n"/>
    </row>
    <row r="142" ht="15" customHeight="1" s="453">
      <c r="A142" s="27" t="inlineStr">
        <is>
          <t>DN1AA060002T</t>
        </is>
      </c>
      <c r="B142" s="14" t="n">
        <v>1060001</v>
      </c>
      <c r="C142" s="136" t="inlineStr">
        <is>
          <t>金采賦活保濕精華霜 100ml</t>
        </is>
      </c>
      <c r="D142" s="77" t="n"/>
      <c r="E142" s="17" t="inlineStr">
        <is>
          <t>PCS</t>
        </is>
      </c>
      <c r="F142" s="70" t="n"/>
      <c r="G142" s="18" t="n">
        <v>1</v>
      </c>
      <c r="H142" s="68">
        <f>SUM(#REF!)</f>
        <v/>
      </c>
      <c r="I142" s="26">
        <f>H142/12</f>
        <v/>
      </c>
      <c r="J142" s="20">
        <f>SUMIFS(領用表!$L:$L,領用表!$E:$E,$B142,領用表!$B:$B,J$2&amp;$R$1)</f>
        <v/>
      </c>
      <c r="K142" s="20">
        <f>SUMIFS(領用表!$L:$L,領用表!$E:$E,$B142,領用表!$B:$B,K$2&amp;$R$1)</f>
        <v/>
      </c>
      <c r="L142" s="20">
        <f>SUMIFS(領用表!$L:$L,領用表!$E:$E,$B142,領用表!$B:$B,L$2&amp;$R$1)</f>
        <v/>
      </c>
      <c r="M142" s="142">
        <f>SUMIFS(領用表!$L:$L,領用表!$E:$E,$B142,領用表!$B:$B,M$2&amp;$R$1)</f>
        <v/>
      </c>
      <c r="N142" s="142">
        <f>SUMIFS(領用表!$L:$L,領用表!$E:$E,$B142,領用表!$B:$B,N$2&amp;$R$1)</f>
        <v/>
      </c>
      <c r="O142" s="142">
        <f>SUMIFS(領用表!$L:$L,領用表!$E:$E,$B142,領用表!$B:$B,O$2&amp;$R$1)</f>
        <v/>
      </c>
      <c r="P142" s="23">
        <f>SUM(,J142,K142,L142,M142,N142,O142)</f>
        <v/>
      </c>
      <c r="Q142" s="23">
        <f>AVERAGE(,J142,K142,L142,M142,N142,O142)</f>
        <v/>
      </c>
      <c r="R142" s="142">
        <f>SUMIFS(領用表!$L:$L,領用表!$E:$E,$B142,領用表!$B:$B,R$2&amp;$R$1)</f>
        <v/>
      </c>
      <c r="S142" s="142">
        <f>SUMIFS(領用表!$L:$L,領用表!$E:$E,$B142,領用表!$B:$B,S$2&amp;$R$1)</f>
        <v/>
      </c>
      <c r="T142" s="142">
        <f>SUMIFS(領用表!$L:$L,領用表!$E:$E,$B142,領用表!$B:$B,T$2&amp;$R$1)</f>
        <v/>
      </c>
      <c r="U142" s="142">
        <f>SUMIFS(領用表!$L:$L,領用表!$E:$E,$B142,領用表!$B:$B,U$2&amp;$R$1)</f>
        <v/>
      </c>
      <c r="V142" s="142">
        <f>SUMIFS(領用表!$L:$L,領用表!$E:$E,$B142,領用表!$B:$B,V$2&amp;$R$1)</f>
        <v/>
      </c>
      <c r="W142" s="142" t="n"/>
      <c r="X142" s="142">
        <f>SUMIFS(領用表!$L:$L,領用表!$E:$E,$B142,領用表!$B:$B,X$2&amp;$R$1)</f>
        <v/>
      </c>
      <c r="Y142" s="142">
        <f>SUMIFS(領用表!$L:$L,領用表!$E:$E,$B142,領用表!$B:$B,Y$2&amp;$R$1)</f>
        <v/>
      </c>
      <c r="Z142" s="142">
        <f>SUMIFS(領用表!$L:$L,領用表!$E:$E,$B142,領用表!$B:$B,Z$2&amp;$R$1)</f>
        <v/>
      </c>
      <c r="AA142" s="142">
        <f>SUMIFS(領用表!$L:$L,領用表!$E:$E,$B142,領用表!$B:$B,AA$2&amp;$R$1)</f>
        <v/>
      </c>
      <c r="AB142" s="142">
        <f>SUMIFS(領用表!$L:$L,領用表!$E:$E,$B142,領用表!$B:$B,AB$2&amp;$R$1)</f>
        <v/>
      </c>
      <c r="AC142" s="142">
        <f>SUMIFS(領用表!$L:$L,領用表!$E:$E,$B142,領用表!$B:$B,AC$2&amp;$R$1)</f>
        <v/>
      </c>
      <c r="AD142" s="142">
        <f>SUM(R142,S142,T142,U142,V142,W142)</f>
        <v/>
      </c>
      <c r="AE142" s="142">
        <f>AVERAGE(R142,S142,T142,U142,V142,W142)</f>
        <v/>
      </c>
      <c r="AF142" s="142">
        <f>SUMIF(Summary!B:B,B142,Summary!EB:EB)</f>
        <v/>
      </c>
      <c r="AG142" s="109" t="n">
        <v>10</v>
      </c>
      <c r="AH142" s="65" t="n"/>
      <c r="AI142" s="76" t="n"/>
      <c r="AJ142" s="76" t="n"/>
      <c r="AK142" s="27" t="n"/>
      <c r="AL142" s="27" t="n"/>
      <c r="AM142" s="14" t="n"/>
      <c r="AN142" s="14" t="n"/>
    </row>
    <row r="143" ht="15" customHeight="1" s="453">
      <c r="A143" s="27" t="inlineStr">
        <is>
          <t>DN1AA060004T</t>
        </is>
      </c>
      <c r="B143" s="14" t="n">
        <v>6070002</v>
      </c>
      <c r="C143" s="136" t="inlineStr">
        <is>
          <t>金采賦活保濕精華霜 30ml</t>
        </is>
      </c>
      <c r="D143" s="77" t="n"/>
      <c r="E143" s="17" t="inlineStr">
        <is>
          <t>PCS</t>
        </is>
      </c>
      <c r="F143" s="70" t="n"/>
      <c r="G143" s="18" t="n"/>
      <c r="H143" s="64" t="inlineStr">
        <is>
          <t>-</t>
        </is>
      </c>
      <c r="I143" s="64" t="inlineStr">
        <is>
          <t>-</t>
        </is>
      </c>
      <c r="J143" s="20">
        <f>SUMIFS(領用表!$L:$L,領用表!$E:$E,$B143,領用表!$B:$B,J$2&amp;$R$1)</f>
        <v/>
      </c>
      <c r="K143" s="20">
        <f>SUMIFS(領用表!$L:$L,領用表!$E:$E,$B143,領用表!$B:$B,K$2&amp;$R$1)</f>
        <v/>
      </c>
      <c r="L143" s="20">
        <f>SUMIFS(領用表!$L:$L,領用表!$E:$E,$B143,領用表!$B:$B,L$2&amp;$R$1)</f>
        <v/>
      </c>
      <c r="M143" s="142">
        <f>SUMIFS(領用表!$L:$L,領用表!$E:$E,$B143,領用表!$B:$B,M$2&amp;$R$1)</f>
        <v/>
      </c>
      <c r="N143" s="142">
        <f>SUMIFS(領用表!$L:$L,領用表!$E:$E,$B143,領用表!$B:$B,N$2&amp;$R$1)</f>
        <v/>
      </c>
      <c r="O143" s="142">
        <f>SUMIFS(領用表!$L:$L,領用表!$E:$E,$B143,領用表!$B:$B,O$2&amp;$R$1)</f>
        <v/>
      </c>
      <c r="P143" s="23">
        <f>SUM(,J143,K143,L143,M143,N143,O143)</f>
        <v/>
      </c>
      <c r="Q143" s="23">
        <f>AVERAGE(,J143,K143,L143,M143,N143,O143)</f>
        <v/>
      </c>
      <c r="R143" s="142">
        <f>SUMIFS(領用表!$L:$L,領用表!$E:$E,$B143,領用表!$B:$B,R$2&amp;$R$1)</f>
        <v/>
      </c>
      <c r="S143" s="405">
        <f>SUMIFS(領用表!$L:$L,領用表!$E:$E,$B143,領用表!$B:$B,S$2&amp;$R$1)</f>
        <v/>
      </c>
      <c r="T143" s="405">
        <f>SUMIFS(領用表!$L:$L,領用表!$E:$E,$B143,領用表!$B:$B,T$2&amp;$R$1)</f>
        <v/>
      </c>
      <c r="U143" s="405">
        <f>SUMIFS(領用表!$L:$L,領用表!$E:$E,$B143,領用表!$B:$B,U$2&amp;$R$1)</f>
        <v/>
      </c>
      <c r="V143" s="405">
        <f>SUMIFS(領用表!$L:$L,領用表!$E:$E,$B143,領用表!$B:$B,V$2&amp;$R$1)</f>
        <v/>
      </c>
      <c r="W143" s="405" t="n"/>
      <c r="X143" s="405">
        <f>SUMIFS(領用表!$L:$L,領用表!$E:$E,$B143,領用表!$B:$B,X$2&amp;$R$1)</f>
        <v/>
      </c>
      <c r="Y143" s="405">
        <f>SUMIFS(領用表!$L:$L,領用表!$E:$E,$B143,領用表!$B:$B,Y$2&amp;$R$1)</f>
        <v/>
      </c>
      <c r="Z143" s="405">
        <f>SUMIFS(領用表!$L:$L,領用表!$E:$E,$B143,領用表!$B:$B,Z$2&amp;$R$1)</f>
        <v/>
      </c>
      <c r="AA143" s="405">
        <f>SUMIFS(領用表!$L:$L,領用表!$E:$E,$B143,領用表!$B:$B,AA$2&amp;$R$1)</f>
        <v/>
      </c>
      <c r="AB143" s="405">
        <f>SUMIFS(領用表!$L:$L,領用表!$E:$E,$B143,領用表!$B:$B,AB$2&amp;$R$1)</f>
        <v/>
      </c>
      <c r="AC143" s="405">
        <f>SUMIFS(領用表!$L:$L,領用表!$E:$E,$B143,領用表!$B:$B,AC$2&amp;$R$1)</f>
        <v/>
      </c>
      <c r="AD143" s="405">
        <f>SUM(R143,S143,T143,U143,V143,W143)</f>
        <v/>
      </c>
      <c r="AE143" s="405">
        <f>AVERAGE(R143,S143,T143,U143,V143,W143)</f>
        <v/>
      </c>
      <c r="AF143" s="405">
        <f>SUMIF(Summary!B:B,B143,Summary!EB:EB)</f>
        <v/>
      </c>
      <c r="AG143" s="111" t="n">
        <v>15</v>
      </c>
      <c r="AH143" s="80" t="n"/>
      <c r="AI143" s="76" t="n"/>
      <c r="AJ143" s="76" t="n"/>
      <c r="AK143" s="27" t="n"/>
      <c r="AL143" s="27" t="n"/>
      <c r="AM143" s="14" t="n"/>
      <c r="AN143" s="14" t="n"/>
    </row>
    <row r="144" ht="15" customHeight="1" s="453">
      <c r="A144" s="27" t="inlineStr">
        <is>
          <t>DE1AA050039T</t>
        </is>
      </c>
      <c r="B144" s="14" t="e">
        <v>#N/A</v>
      </c>
      <c r="C144" s="136" t="inlineStr">
        <is>
          <t>緊緻新生彈力精華 10ml</t>
        </is>
      </c>
      <c r="D144" s="77" t="n"/>
      <c r="E144" s="17" t="inlineStr">
        <is>
          <t>PCS</t>
        </is>
      </c>
      <c r="F144" s="70" t="n"/>
      <c r="G144" s="18" t="n"/>
      <c r="H144" s="15" t="n"/>
      <c r="I144" s="84" t="n"/>
      <c r="J144" s="20">
        <f>SUMIFS(領用表!$L:$L,領用表!$E:$E,$B144,領用表!$B:$B,J$2&amp;$R$1)</f>
        <v/>
      </c>
      <c r="K144" s="20">
        <f>SUMIFS(領用表!$L:$L,領用表!$E:$E,$B144,領用表!$B:$B,K$2&amp;$R$1)</f>
        <v/>
      </c>
      <c r="L144" s="20">
        <f>SUMIFS(領用表!$L:$L,領用表!$E:$E,$B144,領用表!$B:$B,L$2&amp;$R$1)</f>
        <v/>
      </c>
      <c r="M144" s="142">
        <f>SUMIFS(領用表!$L:$L,領用表!$E:$E,$B144,領用表!$B:$B,M$2&amp;$R$1)</f>
        <v/>
      </c>
      <c r="N144" s="142">
        <f>SUMIFS(領用表!$L:$L,領用表!$E:$E,$B144,領用表!$B:$B,N$2&amp;$R$1)</f>
        <v/>
      </c>
      <c r="O144" s="142">
        <f>SUMIFS(領用表!$L:$L,領用表!$E:$E,$B144,領用表!$B:$B,O$2&amp;$R$1)</f>
        <v/>
      </c>
      <c r="P144" s="23">
        <f>SUM(,J144,K144,L144,M144,N144,O144)</f>
        <v/>
      </c>
      <c r="Q144" s="23">
        <f>AVERAGE(,J144,K144,L144,M144,N144,O144)</f>
        <v/>
      </c>
      <c r="R144" s="142">
        <f>SUMIFS(領用表!$L:$L,領用表!$E:$E,$B144,領用表!$B:$B,R$2&amp;$R$1)</f>
        <v/>
      </c>
      <c r="S144" s="405">
        <f>SUMIFS(領用表!$L:$L,領用表!$E:$E,$B144,領用表!$B:$B,S$2&amp;$R$1)</f>
        <v/>
      </c>
      <c r="T144" s="405">
        <f>SUMIFS(領用表!$L:$L,領用表!$E:$E,$B144,領用表!$B:$B,T$2&amp;$R$1)</f>
        <v/>
      </c>
      <c r="U144" s="405">
        <f>SUMIFS(領用表!$L:$L,領用表!$E:$E,$B144,領用表!$B:$B,U$2&amp;$R$1)</f>
        <v/>
      </c>
      <c r="V144" s="405">
        <f>SUMIFS(領用表!$L:$L,領用表!$E:$E,$B144,領用表!$B:$B,V$2&amp;$R$1)</f>
        <v/>
      </c>
      <c r="W144" s="405">
        <f>SUMIFS(領用表!$L:$L,領用表!$E:$E,$B144,領用表!$B:$B,W$2&amp;$R$1)</f>
        <v/>
      </c>
      <c r="X144" s="405">
        <f>SUMIFS(領用表!$L:$L,領用表!$E:$E,$B144,領用表!$B:$B,X$2&amp;$R$1)</f>
        <v/>
      </c>
      <c r="Y144" s="405">
        <f>SUMIFS(領用表!$L:$L,領用表!$E:$E,$B144,領用表!$B:$B,Y$2&amp;$R$1)</f>
        <v/>
      </c>
      <c r="Z144" s="405">
        <f>SUMIFS(領用表!$L:$L,領用表!$E:$E,$B144,領用表!$B:$B,Z$2&amp;$R$1)</f>
        <v/>
      </c>
      <c r="AA144" s="405">
        <f>SUMIFS(領用表!$L:$L,領用表!$E:$E,$B144,領用表!$B:$B,AA$2&amp;$R$1)</f>
        <v/>
      </c>
      <c r="AB144" s="405">
        <f>SUMIFS(領用表!$L:$L,領用表!$E:$E,$B144,領用表!$B:$B,AB$2&amp;$R$1)</f>
        <v/>
      </c>
      <c r="AC144" s="405">
        <f>SUMIFS(領用表!$L:$L,領用表!$E:$E,$B144,領用表!$B:$B,AC$2&amp;$R$1)</f>
        <v/>
      </c>
      <c r="AD144" s="405">
        <f>SUM(R144,S144,T144,U144,V144,W144)</f>
        <v/>
      </c>
      <c r="AE144" s="405">
        <f>AVERAGE(R144,S144,T144,U144,V144,W144)</f>
        <v/>
      </c>
      <c r="AF144" s="405">
        <f>SUMIF(Summary!B:B,B144,Summary!EB:EB)</f>
        <v/>
      </c>
      <c r="AG144" s="112" t="n">
        <v>0</v>
      </c>
      <c r="AH144" s="80" t="n"/>
      <c r="AI144" s="76" t="inlineStr">
        <is>
          <t>576(10/22)</t>
        </is>
      </c>
      <c r="AJ144" s="76" t="n"/>
      <c r="AK144" s="27" t="n"/>
      <c r="AL144" s="27" t="n"/>
      <c r="AM144" s="14" t="n"/>
      <c r="AN144" s="14" t="n"/>
    </row>
    <row r="145" ht="15" customHeight="1" s="453">
      <c r="A145" s="27" t="inlineStr">
        <is>
          <t>DE1AA090014T</t>
        </is>
      </c>
      <c r="B145" s="14" t="e">
        <v>#N/A</v>
      </c>
      <c r="C145" s="136" t="inlineStr">
        <is>
          <t>緊緻抗皺彈力面膜 30mL</t>
        </is>
      </c>
      <c r="D145" s="77" t="n"/>
      <c r="E145" s="17" t="inlineStr">
        <is>
          <t>PCS</t>
        </is>
      </c>
      <c r="F145" s="70" t="n"/>
      <c r="G145" s="18" t="n"/>
      <c r="H145" s="15" t="n"/>
      <c r="I145" s="84" t="n"/>
      <c r="J145" s="20">
        <f>SUMIFS(領用表!$L:$L,領用表!$E:$E,$B145,領用表!$B:$B,J$2&amp;$R$1)</f>
        <v/>
      </c>
      <c r="K145" s="20">
        <f>SUMIFS(領用表!$L:$L,領用表!$E:$E,$B145,領用表!$B:$B,K$2&amp;$R$1)</f>
        <v/>
      </c>
      <c r="L145" s="20">
        <f>SUMIFS(領用表!$L:$L,領用表!$E:$E,$B145,領用表!$B:$B,L$2&amp;$R$1)</f>
        <v/>
      </c>
      <c r="M145" s="142">
        <f>SUMIFS(領用表!$L:$L,領用表!$E:$E,$B145,領用表!$B:$B,M$2&amp;$R$1)</f>
        <v/>
      </c>
      <c r="N145" s="142">
        <f>SUMIFS(領用表!$L:$L,領用表!$E:$E,$B145,領用表!$B:$B,N$2&amp;$R$1)</f>
        <v/>
      </c>
      <c r="O145" s="142">
        <f>SUMIFS(領用表!$L:$L,領用表!$E:$E,$B145,領用表!$B:$B,O$2&amp;$R$1)</f>
        <v/>
      </c>
      <c r="P145" s="23">
        <f>SUM(,J145,K145,L145,M145,N145,O145)</f>
        <v/>
      </c>
      <c r="Q145" s="23">
        <f>AVERAGE(,J145,K145,L145,M145,N145,O145)</f>
        <v/>
      </c>
      <c r="R145" s="142">
        <f>SUMIFS(領用表!$L:$L,領用表!$E:$E,$B145,領用表!$B:$B,R$2&amp;$R$1)</f>
        <v/>
      </c>
      <c r="S145" s="405">
        <f>SUMIFS(領用表!$L:$L,領用表!$E:$E,$B145,領用表!$B:$B,S$2&amp;$R$1)</f>
        <v/>
      </c>
      <c r="T145" s="405">
        <f>SUMIFS(領用表!$L:$L,領用表!$E:$E,$B145,領用表!$B:$B,T$2&amp;$R$1)</f>
        <v/>
      </c>
      <c r="U145" s="405">
        <f>SUMIFS(領用表!$L:$L,領用表!$E:$E,$B145,領用表!$B:$B,U$2&amp;$R$1)</f>
        <v/>
      </c>
      <c r="V145" s="405">
        <f>SUMIFS(領用表!$L:$L,領用表!$E:$E,$B145,領用表!$B:$B,V$2&amp;$R$1)</f>
        <v/>
      </c>
      <c r="W145" s="405">
        <f>SUMIFS(領用表!$L:$L,領用表!$E:$E,$B145,領用表!$B:$B,W$2&amp;$R$1)</f>
        <v/>
      </c>
      <c r="X145" s="405">
        <f>SUMIFS(領用表!$L:$L,領用表!$E:$E,$B145,領用表!$B:$B,X$2&amp;$R$1)</f>
        <v/>
      </c>
      <c r="Y145" s="405">
        <f>SUMIFS(領用表!$L:$L,領用表!$E:$E,$B145,領用表!$B:$B,Y$2&amp;$R$1)</f>
        <v/>
      </c>
      <c r="Z145" s="405">
        <f>SUMIFS(領用表!$L:$L,領用表!$E:$E,$B145,領用表!$B:$B,Z$2&amp;$R$1)</f>
        <v/>
      </c>
      <c r="AA145" s="405">
        <f>SUMIFS(領用表!$L:$L,領用表!$E:$E,$B145,領用表!$B:$B,AA$2&amp;$R$1)</f>
        <v/>
      </c>
      <c r="AB145" s="405">
        <f>SUMIFS(領用表!$L:$L,領用表!$E:$E,$B145,領用表!$B:$B,AB$2&amp;$R$1)</f>
        <v/>
      </c>
      <c r="AC145" s="405">
        <f>SUMIFS(領用表!$L:$L,領用表!$E:$E,$B145,領用表!$B:$B,AC$2&amp;$R$1)</f>
        <v/>
      </c>
      <c r="AD145" s="405">
        <f>SUM(R145,S145,T145,U145,V145,W145)</f>
        <v/>
      </c>
      <c r="AE145" s="405">
        <f>AVERAGE(R145,S145,T145,U145,V145,W145)</f>
        <v/>
      </c>
      <c r="AF145" s="405">
        <f>SUMIF(Summary!B:B,B145,Summary!EB:EB)</f>
        <v/>
      </c>
      <c r="AG145" s="112" t="n">
        <v>0</v>
      </c>
      <c r="AH145" s="80" t="n"/>
      <c r="AI145" s="76" t="inlineStr">
        <is>
          <t>600(10/22)</t>
        </is>
      </c>
      <c r="AJ145" s="76" t="n"/>
      <c r="AK145" s="27" t="n"/>
      <c r="AL145" s="27" t="n"/>
      <c r="AM145" s="14" t="n"/>
      <c r="AN145" s="14" t="n"/>
    </row>
    <row r="146" ht="15" customHeight="1" s="453">
      <c r="A146" s="27" t="inlineStr">
        <is>
          <t>TN1AA060003T</t>
        </is>
      </c>
      <c r="B146" s="14" t="n">
        <v>6060001</v>
      </c>
      <c r="C146" s="136" t="inlineStr">
        <is>
          <t>試用-金采賦活保濕精華霜 100ml</t>
        </is>
      </c>
      <c r="D146" s="77" t="n"/>
      <c r="E146" s="17" t="inlineStr">
        <is>
          <t>PCS</t>
        </is>
      </c>
      <c r="F146" s="70" t="n"/>
      <c r="G146" s="18" t="n"/>
      <c r="H146" s="68">
        <f>SUM(#REF!)</f>
        <v/>
      </c>
      <c r="I146" s="26">
        <f>H146/12</f>
        <v/>
      </c>
      <c r="J146" s="20">
        <f>SUMIFS(領用表!$L:$L,領用表!$E:$E,$B146,領用表!$B:$B,J$2&amp;$R$1)</f>
        <v/>
      </c>
      <c r="K146" s="20">
        <f>SUMIFS(領用表!$L:$L,領用表!$E:$E,$B146,領用表!$B:$B,K$2&amp;$R$1)</f>
        <v/>
      </c>
      <c r="L146" s="20">
        <f>SUMIFS(領用表!$L:$L,領用表!$E:$E,$B146,領用表!$B:$B,L$2&amp;$R$1)</f>
        <v/>
      </c>
      <c r="M146" s="142">
        <f>SUMIFS(領用表!$L:$L,領用表!$E:$E,$B146,領用表!$B:$B,M$2&amp;$R$1)</f>
        <v/>
      </c>
      <c r="N146" s="142">
        <f>SUMIFS(領用表!$L:$L,領用表!$E:$E,$B146,領用表!$B:$B,N$2&amp;$R$1)</f>
        <v/>
      </c>
      <c r="O146" s="142">
        <f>SUMIFS(領用表!$L:$L,領用表!$E:$E,$B146,領用表!$B:$B,O$2&amp;$R$1)</f>
        <v/>
      </c>
      <c r="P146" s="23">
        <f>SUM(,J146,K146,L146,M146,N146,O146)</f>
        <v/>
      </c>
      <c r="Q146" s="23">
        <f>AVERAGE(,J146,K146,L146,M146,N146,O146)</f>
        <v/>
      </c>
      <c r="R146" s="142">
        <f>SUMIFS(領用表!$L:$L,領用表!$E:$E,$B146,領用表!$B:$B,R$2&amp;$R$1)</f>
        <v/>
      </c>
      <c r="S146" s="142">
        <f>SUMIFS(領用表!$L:$L,領用表!$E:$E,$B146,領用表!$B:$B,S$2&amp;$R$1)</f>
        <v/>
      </c>
      <c r="T146" s="142">
        <f>SUMIFS(領用表!$L:$L,領用表!$E:$E,$B146,領用表!$B:$B,T$2&amp;$R$1)</f>
        <v/>
      </c>
      <c r="U146" s="142">
        <f>SUMIFS(領用表!$L:$L,領用表!$E:$E,$B146,領用表!$B:$B,U$2&amp;$R$1)</f>
        <v/>
      </c>
      <c r="V146" s="142">
        <f>SUMIFS(領用表!$L:$L,領用表!$E:$E,$B146,領用表!$B:$B,V$2&amp;$R$1)</f>
        <v/>
      </c>
      <c r="W146" s="142" t="n"/>
      <c r="X146" s="142">
        <f>SUMIFS(領用表!$L:$L,領用表!$E:$E,$B146,領用表!$B:$B,X$2&amp;$R$1)</f>
        <v/>
      </c>
      <c r="Y146" s="142">
        <f>SUMIFS(領用表!$L:$L,領用表!$E:$E,$B146,領用表!$B:$B,Y$2&amp;$R$1)</f>
        <v/>
      </c>
      <c r="Z146" s="142">
        <f>SUMIFS(領用表!$L:$L,領用表!$E:$E,$B146,領用表!$B:$B,Z$2&amp;$R$1)</f>
        <v/>
      </c>
      <c r="AA146" s="142">
        <f>SUMIFS(領用表!$L:$L,領用表!$E:$E,$B146,領用表!$B:$B,AA$2&amp;$R$1)</f>
        <v/>
      </c>
      <c r="AB146" s="142">
        <f>SUMIFS(領用表!$L:$L,領用表!$E:$E,$B146,領用表!$B:$B,AB$2&amp;$R$1)</f>
        <v/>
      </c>
      <c r="AC146" s="142">
        <f>SUMIFS(領用表!$L:$L,領用表!$E:$E,$B146,領用表!$B:$B,AC$2&amp;$R$1)</f>
        <v/>
      </c>
      <c r="AD146" s="142">
        <f>SUM(R146,S146,T146,U146,V146,W146)</f>
        <v/>
      </c>
      <c r="AE146" s="142">
        <f>AVERAGE(R146,S146,T146,U146,V146,W146)</f>
        <v/>
      </c>
      <c r="AF146" s="142">
        <f>SUMIF(Summary!B:B,B146,Summary!EB:EB)</f>
        <v/>
      </c>
      <c r="AG146" s="109" t="n">
        <v>5</v>
      </c>
      <c r="AH146" s="65" t="n"/>
      <c r="AI146" s="76" t="inlineStr">
        <is>
          <t>16(10/22)</t>
        </is>
      </c>
      <c r="AJ146" s="76" t="n"/>
      <c r="AK146" s="27" t="n"/>
      <c r="AL146" s="27" t="n"/>
      <c r="AM146" s="14" t="n"/>
      <c r="AN146" s="14" t="n"/>
    </row>
    <row r="147" ht="15.75" customHeight="1" s="453">
      <c r="A147" s="27" t="inlineStr">
        <is>
          <t>DN1AA200005T</t>
        </is>
      </c>
      <c r="B147" s="14" t="e">
        <v>#N/A</v>
      </c>
      <c r="C147" s="136" t="inlineStr">
        <is>
          <t>無瑕清透防護霜 30mL(潤色)</t>
        </is>
      </c>
      <c r="D147" s="77" t="n"/>
      <c r="E147" s="17" t="inlineStr">
        <is>
          <t>PCS</t>
        </is>
      </c>
      <c r="F147" s="70" t="n"/>
      <c r="G147" s="18" t="n"/>
      <c r="H147" s="68">
        <f>SUM(#REF!)</f>
        <v/>
      </c>
      <c r="I147" s="26">
        <f>H147/12</f>
        <v/>
      </c>
      <c r="J147" s="20">
        <f>SUMIFS(領用表!$L:$L,領用表!$E:$E,$B147,領用表!$B:$B,J$2&amp;$R$1)</f>
        <v/>
      </c>
      <c r="K147" s="20">
        <f>SUMIFS(領用表!$L:$L,領用表!$E:$E,$B147,領用表!$B:$B,K$2&amp;$R$1)</f>
        <v/>
      </c>
      <c r="L147" s="20">
        <f>SUMIFS(領用表!$L:$L,領用表!$E:$E,$B147,領用表!$B:$B,L$2&amp;$R$1)</f>
        <v/>
      </c>
      <c r="M147" s="142">
        <f>SUMIFS(領用表!$L:$L,領用表!$E:$E,$B147,領用表!$B:$B,M$2&amp;$R$1)</f>
        <v/>
      </c>
      <c r="N147" s="142">
        <f>SUMIFS(領用表!$L:$L,領用表!$E:$E,$B147,領用表!$B:$B,N$2&amp;$R$1)</f>
        <v/>
      </c>
      <c r="O147" s="142">
        <f>SUMIFS(領用表!$L:$L,領用表!$E:$E,$B147,領用表!$B:$B,O$2&amp;$R$1)</f>
        <v/>
      </c>
      <c r="P147" s="23">
        <f>SUM(,J147,K147,L147,M147,N147,O147)</f>
        <v/>
      </c>
      <c r="Q147" s="23">
        <f>AVERAGE(,J147,K147,L147,M147,N147,O147)</f>
        <v/>
      </c>
      <c r="R147" s="142">
        <f>SUMIFS(領用表!$L:$L,領用表!$E:$E,$B147,領用表!$B:$B,R$2&amp;$R$1)</f>
        <v/>
      </c>
      <c r="S147" s="142">
        <f>SUMIFS(領用表!$L:$L,領用表!$E:$E,$B147,領用表!$B:$B,S$2&amp;$R$1)</f>
        <v/>
      </c>
      <c r="T147" s="142">
        <f>SUMIFS(領用表!$L:$L,領用表!$E:$E,$B147,領用表!$B:$B,T$2&amp;$R$1)</f>
        <v/>
      </c>
      <c r="U147" s="142">
        <f>SUMIFS(領用表!$L:$L,領用表!$E:$E,$B147,領用表!$B:$B,U$2&amp;$R$1)</f>
        <v/>
      </c>
      <c r="V147" s="142">
        <f>SUMIFS(領用表!$L:$L,領用表!$E:$E,$B147,領用表!$B:$B,V$2&amp;$R$1)</f>
        <v/>
      </c>
      <c r="W147" s="142">
        <f>SUMIFS(領用表!$L:$L,領用表!$E:$E,$B147,領用表!$B:$B,W$2&amp;$R$1)</f>
        <v/>
      </c>
      <c r="X147" s="142">
        <f>SUMIFS(領用表!$L:$L,領用表!$E:$E,$B147,領用表!$B:$B,X$2&amp;$R$1)</f>
        <v/>
      </c>
      <c r="Y147" s="142">
        <f>SUMIFS(領用表!$L:$L,領用表!$E:$E,$B147,領用表!$B:$B,Y$2&amp;$R$1)</f>
        <v/>
      </c>
      <c r="Z147" s="142">
        <f>SUMIFS(領用表!$L:$L,領用表!$E:$E,$B147,領用表!$B:$B,Z$2&amp;$R$1)</f>
        <v/>
      </c>
      <c r="AA147" s="142">
        <f>SUMIFS(領用表!$L:$L,領用表!$E:$E,$B147,領用表!$B:$B,AA$2&amp;$R$1)</f>
        <v/>
      </c>
      <c r="AB147" s="142">
        <f>SUMIFS(領用表!$L:$L,領用表!$E:$E,$B147,領用表!$B:$B,AB$2&amp;$R$1)</f>
        <v/>
      </c>
      <c r="AC147" s="142">
        <f>SUMIFS(領用表!$L:$L,領用表!$E:$E,$B147,領用表!$B:$B,AC$2&amp;$R$1)</f>
        <v/>
      </c>
      <c r="AD147" s="142">
        <f>SUM(R147,S147,T147,U147,V147,W147)</f>
        <v/>
      </c>
      <c r="AE147" s="142">
        <f>AVERAGE(R147,S147,T147,U147,V147,W147)</f>
        <v/>
      </c>
      <c r="AF147" s="142">
        <f>SUMIF(Summary!B:B,B147,Summary!EB:EB)</f>
        <v/>
      </c>
      <c r="AG147" s="109" t="n">
        <v>10</v>
      </c>
      <c r="AH147" s="65" t="n"/>
      <c r="AI147" s="76" t="n"/>
      <c r="AJ147" s="76" t="n"/>
      <c r="AK147" s="27" t="n"/>
      <c r="AL147" s="27" t="n"/>
      <c r="AM147" s="14" t="n"/>
      <c r="AN147" s="14" t="n"/>
    </row>
    <row r="148" hidden="1" ht="15.75" customHeight="1" s="453">
      <c r="A148" s="27" t="inlineStr">
        <is>
          <t>DN1AA030002T</t>
        </is>
      </c>
      <c r="B148" s="14" t="e">
        <v>#N/A</v>
      </c>
      <c r="C148" s="136" t="inlineStr">
        <is>
          <t>亮采金球去角質凝膠 100ml (2015年版)</t>
        </is>
      </c>
      <c r="D148" s="77" t="n"/>
      <c r="E148" s="17" t="inlineStr">
        <is>
          <t>PCS</t>
        </is>
      </c>
      <c r="F148" s="70" t="n"/>
      <c r="G148" s="18" t="n"/>
      <c r="H148" s="68">
        <f>SUM(#REF!)</f>
        <v/>
      </c>
      <c r="I148" s="26">
        <f>H148/12</f>
        <v/>
      </c>
      <c r="J148" s="20">
        <f>SUMIFS(領用表!$L:$L,領用表!$E:$E,$B148,領用表!$B:$B,J$2&amp;$R$1)</f>
        <v/>
      </c>
      <c r="K148" s="20">
        <f>SUMIFS(領用表!$L:$L,領用表!$E:$E,$B148,領用表!$B:$B,K$2&amp;$R$1)</f>
        <v/>
      </c>
      <c r="L148" s="20">
        <f>SUMIFS(領用表!$L:$L,領用表!$E:$E,$B148,領用表!$B:$B,L$2&amp;$R$1)</f>
        <v/>
      </c>
      <c r="M148" s="142">
        <f>SUMIFS(領用表!$L:$L,領用表!$E:$E,$B148,領用表!$B:$B,M$2&amp;$R$1)</f>
        <v/>
      </c>
      <c r="N148" s="142">
        <f>SUMIFS(領用表!$L:$L,領用表!$E:$E,$B148,領用表!$B:$B,N$2&amp;$R$1)</f>
        <v/>
      </c>
      <c r="O148" s="142">
        <f>SUMIFS(領用表!$L:$L,領用表!$E:$E,$B148,領用表!$B:$B,O$2&amp;$R$1)</f>
        <v/>
      </c>
      <c r="P148" s="23">
        <f>SUM(,J148,K148,L148,M148,N148,O148)</f>
        <v/>
      </c>
      <c r="Q148" s="23">
        <f>AVERAGE(,J148,K148,L148,M148,N148,O148)</f>
        <v/>
      </c>
      <c r="R148" s="142">
        <f>SUMIFS(領用表!$L:$L,領用表!$E:$E,$B148,領用表!$B:$B,R$2&amp;$R$1)</f>
        <v/>
      </c>
      <c r="S148" s="142">
        <f>SUMIFS(領用表!$L:$L,領用表!$E:$E,$B148,領用表!$B:$B,S$2&amp;$R$1)</f>
        <v/>
      </c>
      <c r="T148" s="142">
        <f>SUMIFS(領用表!$L:$L,領用表!$E:$E,$B148,領用表!$B:$B,T$2&amp;$R$1)</f>
        <v/>
      </c>
      <c r="U148" s="142">
        <f>SUMIFS(領用表!$L:$L,領用表!$E:$E,$B148,領用表!$B:$B,U$2&amp;$R$1)</f>
        <v/>
      </c>
      <c r="V148" s="142">
        <f>SUMIFS(領用表!$L:$L,領用表!$E:$E,$B148,領用表!$B:$B,V$2&amp;$R$1)</f>
        <v/>
      </c>
      <c r="W148" s="142">
        <f>SUMIFS(領用表!$L:$L,領用表!$E:$E,$B148,領用表!$B:$B,W$2&amp;$R$1)</f>
        <v/>
      </c>
      <c r="X148" s="142">
        <f>SUMIFS(領用表!$L:$L,領用表!$E:$E,$B148,領用表!$B:$B,X$2&amp;$R$1)</f>
        <v/>
      </c>
      <c r="Y148" s="142">
        <f>SUMIFS(領用表!$L:$L,領用表!$E:$E,$B148,領用表!$B:$B,Y$2&amp;$R$1)</f>
        <v/>
      </c>
      <c r="Z148" s="142">
        <f>SUMIFS(領用表!$L:$L,領用表!$E:$E,$B148,領用表!$B:$B,Z$2&amp;$R$1)</f>
        <v/>
      </c>
      <c r="AA148" s="142">
        <f>SUMIFS(領用表!$L:$L,領用表!$E:$E,$B148,領用表!$B:$B,AA$2&amp;$R$1)</f>
        <v/>
      </c>
      <c r="AB148" s="142">
        <f>SUMIFS(領用表!$L:$L,領用表!$E:$E,$B148,領用表!$B:$B,AB$2&amp;$R$1)</f>
        <v/>
      </c>
      <c r="AC148" s="142">
        <f>SUMIFS(領用表!$L:$L,領用表!$E:$E,$B148,領用表!$B:$B,AC$2&amp;$R$1)</f>
        <v/>
      </c>
      <c r="AD148" s="142">
        <f>SUM(R148,S148,T148,U148,V148,W148)</f>
        <v/>
      </c>
      <c r="AE148" s="142">
        <f>AVERAGE(R148,S148,T148,U148,V148,W148)</f>
        <v/>
      </c>
      <c r="AF148" s="142">
        <f>SUMIF(Summary!B:B,B148,Summary!EB:EB)</f>
        <v/>
      </c>
      <c r="AG148" s="109" t="n"/>
      <c r="AH148" s="65" t="n"/>
      <c r="AI148" s="76" t="n"/>
      <c r="AJ148" s="76" t="n"/>
    </row>
    <row r="149" hidden="1" ht="15.75" customHeight="1" s="453">
      <c r="A149" s="27" t="inlineStr">
        <is>
          <t>DN1AA040011T</t>
        </is>
      </c>
      <c r="B149" s="14" t="e">
        <v>#N/A</v>
      </c>
      <c r="C149" s="136" t="inlineStr">
        <is>
          <t>金采極緻晶凍凝露 125ml(升級)</t>
        </is>
      </c>
      <c r="D149" s="77" t="n"/>
      <c r="E149" s="17" t="inlineStr">
        <is>
          <t>PCS</t>
        </is>
      </c>
      <c r="F149" s="70" t="n"/>
      <c r="G149" s="18" t="n"/>
      <c r="H149" s="68">
        <f>SUM(#REF!)</f>
        <v/>
      </c>
      <c r="I149" s="26">
        <f>H149/12</f>
        <v/>
      </c>
      <c r="J149" s="20">
        <f>SUMIFS(領用表!$L:$L,領用表!$E:$E,$B149,領用表!$B:$B,J$2&amp;$R$1)</f>
        <v/>
      </c>
      <c r="K149" s="20">
        <f>SUMIFS(領用表!$L:$L,領用表!$E:$E,$B149,領用表!$B:$B,K$2&amp;$R$1)</f>
        <v/>
      </c>
      <c r="L149" s="20">
        <f>SUMIFS(領用表!$L:$L,領用表!$E:$E,$B149,領用表!$B:$B,L$2&amp;$R$1)</f>
        <v/>
      </c>
      <c r="M149" s="142">
        <f>SUMIFS(領用表!$L:$L,領用表!$E:$E,$B149,領用表!$B:$B,M$2&amp;$R$1)</f>
        <v/>
      </c>
      <c r="N149" s="142">
        <f>SUMIFS(領用表!$L:$L,領用表!$E:$E,$B149,領用表!$B:$B,N$2&amp;$R$1)</f>
        <v/>
      </c>
      <c r="O149" s="142">
        <f>SUMIFS(領用表!$L:$L,領用表!$E:$E,$B149,領用表!$B:$B,O$2&amp;$R$1)</f>
        <v/>
      </c>
      <c r="P149" s="23">
        <f>SUM(,J149,K149,L149,M149,N149,O149)</f>
        <v/>
      </c>
      <c r="Q149" s="23">
        <f>AVERAGE(,J149,K149,L149,M149,N149,O149)</f>
        <v/>
      </c>
      <c r="R149" s="142">
        <f>SUMIFS(領用表!$L:$L,領用表!$E:$E,$B149,領用表!$B:$B,R$2&amp;$R$1)</f>
        <v/>
      </c>
      <c r="S149" s="142">
        <f>SUMIFS(領用表!$L:$L,領用表!$E:$E,$B149,領用表!$B:$B,S$2&amp;$R$1)</f>
        <v/>
      </c>
      <c r="T149" s="142">
        <f>SUMIFS(領用表!$L:$L,領用表!$E:$E,$B149,領用表!$B:$B,T$2&amp;$R$1)</f>
        <v/>
      </c>
      <c r="U149" s="142">
        <f>SUMIFS(領用表!$L:$L,領用表!$E:$E,$B149,領用表!$B:$B,U$2&amp;$R$1)</f>
        <v/>
      </c>
      <c r="V149" s="142">
        <f>SUMIFS(領用表!$L:$L,領用表!$E:$E,$B149,領用表!$B:$B,V$2&amp;$R$1)</f>
        <v/>
      </c>
      <c r="W149" s="142">
        <f>SUMIFS(領用表!$L:$L,領用表!$E:$E,$B149,領用表!$B:$B,W$2&amp;$R$1)</f>
        <v/>
      </c>
      <c r="X149" s="142">
        <f>SUMIFS(領用表!$L:$L,領用表!$E:$E,$B149,領用表!$B:$B,X$2&amp;$R$1)</f>
        <v/>
      </c>
      <c r="Y149" s="142">
        <f>SUMIFS(領用表!$L:$L,領用表!$E:$E,$B149,領用表!$B:$B,Y$2&amp;$R$1)</f>
        <v/>
      </c>
      <c r="Z149" s="142">
        <f>SUMIFS(領用表!$L:$L,領用表!$E:$E,$B149,領用表!$B:$B,Z$2&amp;$R$1)</f>
        <v/>
      </c>
      <c r="AA149" s="142">
        <f>SUMIFS(領用表!$L:$L,領用表!$E:$E,$B149,領用表!$B:$B,AA$2&amp;$R$1)</f>
        <v/>
      </c>
      <c r="AB149" s="142">
        <f>SUMIFS(領用表!$L:$L,領用表!$E:$E,$B149,領用表!$B:$B,AB$2&amp;$R$1)</f>
        <v/>
      </c>
      <c r="AC149" s="142">
        <f>SUMIFS(領用表!$L:$L,領用表!$E:$E,$B149,領用表!$B:$B,AC$2&amp;$R$1)</f>
        <v/>
      </c>
      <c r="AD149" s="142">
        <f>SUM(R149,S149,T149,U149,V149,W149)</f>
        <v/>
      </c>
      <c r="AE149" s="142">
        <f>AVERAGE(R149,S149,T149,U149,V149,W149)</f>
        <v/>
      </c>
      <c r="AF149" s="142">
        <f>SUMIF(Summary!B:B,B149,Summary!EB:EB)</f>
        <v/>
      </c>
      <c r="AG149" s="109" t="n"/>
      <c r="AH149" s="65" t="n"/>
      <c r="AI149" s="76" t="n"/>
      <c r="AJ149" s="76" t="n"/>
      <c r="AK149" s="14" t="n"/>
      <c r="AL149" s="14" t="n"/>
      <c r="AM149" s="14" t="n"/>
      <c r="AN149" s="14" t="n"/>
    </row>
    <row r="150" hidden="1" ht="15.75" customHeight="1" s="453">
      <c r="A150" s="27" t="inlineStr">
        <is>
          <t>TN1AA050032T</t>
        </is>
      </c>
      <c r="B150" s="14" t="e">
        <v>#N/A</v>
      </c>
      <c r="C150" s="136" t="inlineStr">
        <is>
          <t>試用-優菌防護安瓶精華 50ml</t>
        </is>
      </c>
      <c r="D150" s="77" t="n"/>
      <c r="E150" s="17" t="inlineStr">
        <is>
          <t>PCS</t>
        </is>
      </c>
      <c r="F150" s="70" t="n"/>
      <c r="G150" s="18" t="n"/>
      <c r="H150" s="68">
        <f>SUM(#REF!)</f>
        <v/>
      </c>
      <c r="I150" s="26">
        <f>H150/12</f>
        <v/>
      </c>
      <c r="J150" s="20">
        <f>SUMIFS(領用表!$L:$L,領用表!$E:$E,$B150,領用表!$B:$B,J$2&amp;$R$1)</f>
        <v/>
      </c>
      <c r="K150" s="20">
        <f>SUMIFS(領用表!$L:$L,領用表!$E:$E,$B150,領用表!$B:$B,K$2&amp;$R$1)</f>
        <v/>
      </c>
      <c r="L150" s="20">
        <f>SUMIFS(領用表!$L:$L,領用表!$E:$E,$B150,領用表!$B:$B,L$2&amp;$R$1)</f>
        <v/>
      </c>
      <c r="M150" s="142">
        <f>SUMIFS(領用表!$L:$L,領用表!$E:$E,$B150,領用表!$B:$B,M$2&amp;$R$1)</f>
        <v/>
      </c>
      <c r="N150" s="142">
        <f>SUMIFS(領用表!$L:$L,領用表!$E:$E,$B150,領用表!$B:$B,N$2&amp;$R$1)</f>
        <v/>
      </c>
      <c r="O150" s="142">
        <f>SUMIFS(領用表!$L:$L,領用表!$E:$E,$B150,領用表!$B:$B,O$2&amp;$R$1)</f>
        <v/>
      </c>
      <c r="P150" s="23">
        <f>SUM(,J150,K150,L150,M150,N150,O150)</f>
        <v/>
      </c>
      <c r="Q150" s="23">
        <f>AVERAGE(,J150,K150,L150,M150,N150,O150)</f>
        <v/>
      </c>
      <c r="R150" s="142">
        <f>SUMIFS(領用表!$L:$L,領用表!$E:$E,$B150,領用表!$B:$B,R$2&amp;$R$1)</f>
        <v/>
      </c>
      <c r="S150" s="142">
        <f>SUMIFS(領用表!$L:$L,領用表!$E:$E,$B150,領用表!$B:$B,S$2&amp;$R$1)</f>
        <v/>
      </c>
      <c r="T150" s="142">
        <f>SUMIFS(領用表!$L:$L,領用表!$E:$E,$B150,領用表!$B:$B,T$2&amp;$R$1)</f>
        <v/>
      </c>
      <c r="U150" s="142">
        <f>SUMIFS(領用表!$L:$L,領用表!$E:$E,$B150,領用表!$B:$B,U$2&amp;$R$1)</f>
        <v/>
      </c>
      <c r="V150" s="142">
        <f>SUMIFS(領用表!$L:$L,領用表!$E:$E,$B150,領用表!$B:$B,V$2&amp;$R$1)</f>
        <v/>
      </c>
      <c r="W150" s="142">
        <f>SUMIFS(領用表!$L:$L,領用表!$E:$E,$B150,領用表!$B:$B,W$2&amp;$R$1)</f>
        <v/>
      </c>
      <c r="X150" s="142">
        <f>SUMIFS(領用表!$L:$L,領用表!$E:$E,$B150,領用表!$B:$B,X$2&amp;$R$1)</f>
        <v/>
      </c>
      <c r="Y150" s="142">
        <f>SUMIFS(領用表!$L:$L,領用表!$E:$E,$B150,領用表!$B:$B,Y$2&amp;$R$1)</f>
        <v/>
      </c>
      <c r="Z150" s="142">
        <f>SUMIFS(領用表!$L:$L,領用表!$E:$E,$B150,領用表!$B:$B,Z$2&amp;$R$1)</f>
        <v/>
      </c>
      <c r="AA150" s="142">
        <f>SUMIFS(領用表!$L:$L,領用表!$E:$E,$B150,領用表!$B:$B,AA$2&amp;$R$1)</f>
        <v/>
      </c>
      <c r="AB150" s="142">
        <f>SUMIFS(領用表!$L:$L,領用表!$E:$E,$B150,領用表!$B:$B,AB$2&amp;$R$1)</f>
        <v/>
      </c>
      <c r="AC150" s="142">
        <f>SUMIFS(領用表!$L:$L,領用表!$E:$E,$B150,領用表!$B:$B,AC$2&amp;$R$1)</f>
        <v/>
      </c>
      <c r="AD150" s="142">
        <f>SUM(R150,S150,T150,U150,V150,W150)</f>
        <v/>
      </c>
      <c r="AE150" s="142">
        <f>AVERAGE(R150,S150,T150,U150,V150,W150)</f>
        <v/>
      </c>
      <c r="AF150" s="142">
        <f>SUMIF(Summary!B:B,B150,Summary!EB:EB)</f>
        <v/>
      </c>
      <c r="AG150" s="109" t="n"/>
      <c r="AH150" s="65" t="n"/>
      <c r="AI150" s="76" t="n"/>
      <c r="AJ150" s="76" t="n"/>
      <c r="AK150" s="27" t="n"/>
      <c r="AL150" s="27" t="n"/>
      <c r="AM150" s="14" t="n"/>
      <c r="AN150" s="14" t="n"/>
    </row>
    <row r="151" hidden="1" ht="15.75" customHeight="1" s="453">
      <c r="A151" s="27" t="inlineStr">
        <is>
          <t>TN1AA050029T</t>
        </is>
      </c>
      <c r="B151" s="14" t="n">
        <v>6050007</v>
      </c>
      <c r="C151" s="136" t="inlineStr">
        <is>
          <t>試用-冰原天神草彈力超導精華 50mL</t>
        </is>
      </c>
      <c r="D151" s="77" t="n"/>
      <c r="E151" s="17" t="inlineStr">
        <is>
          <t>PCS</t>
        </is>
      </c>
      <c r="F151" s="70" t="n"/>
      <c r="G151" s="18" t="n"/>
      <c r="H151" s="68">
        <f>SUM(#REF!)</f>
        <v/>
      </c>
      <c r="I151" s="26">
        <f>H151/12</f>
        <v/>
      </c>
      <c r="J151" s="20">
        <f>SUMIFS(領用表!$L:$L,領用表!$E:$E,$B151,領用表!$B:$B,J$2&amp;$R$1)</f>
        <v/>
      </c>
      <c r="K151" s="20">
        <f>SUMIFS(領用表!$L:$L,領用表!$E:$E,$B151,領用表!$B:$B,K$2&amp;$R$1)</f>
        <v/>
      </c>
      <c r="L151" s="20">
        <f>SUMIFS(領用表!$L:$L,領用表!$E:$E,$B151,領用表!$B:$B,L$2&amp;$R$1)</f>
        <v/>
      </c>
      <c r="M151" s="142">
        <f>SUMIFS(領用表!$L:$L,領用表!$E:$E,$B151,領用表!$B:$B,M$2&amp;$R$1)</f>
        <v/>
      </c>
      <c r="N151" s="142">
        <f>SUMIFS(領用表!$L:$L,領用表!$E:$E,$B151,領用表!$B:$B,N$2&amp;$R$1)</f>
        <v/>
      </c>
      <c r="O151" s="142">
        <f>SUMIFS(領用表!$L:$L,領用表!$E:$E,$B151,領用表!$B:$B,O$2&amp;$R$1)</f>
        <v/>
      </c>
      <c r="P151" s="23">
        <f>SUM(,J151,K151,L151,M151,N151,O151)</f>
        <v/>
      </c>
      <c r="Q151" s="23">
        <f>AVERAGE(,J151,K151,L151,M151,N151,O151)</f>
        <v/>
      </c>
      <c r="R151" s="142">
        <f>SUMIFS(領用表!$L:$L,領用表!$E:$E,$B151,領用表!$B:$B,R$2&amp;$R$1)</f>
        <v/>
      </c>
      <c r="S151" s="142">
        <f>SUMIFS(領用表!$L:$L,領用表!$E:$E,$B151,領用表!$B:$B,S$2&amp;$R$1)</f>
        <v/>
      </c>
      <c r="T151" s="142">
        <f>SUMIFS(領用表!$L:$L,領用表!$E:$E,$B151,領用表!$B:$B,T$2&amp;$R$1)</f>
        <v/>
      </c>
      <c r="U151" s="142">
        <f>SUMIFS(領用表!$L:$L,領用表!$E:$E,$B151,領用表!$B:$B,U$2&amp;$R$1)</f>
        <v/>
      </c>
      <c r="V151" s="142">
        <f>SUMIFS(領用表!$L:$L,領用表!$E:$E,$B151,領用表!$B:$B,V$2&amp;$R$1)</f>
        <v/>
      </c>
      <c r="W151" s="142" t="n"/>
      <c r="X151" s="142">
        <f>SUMIFS(領用表!$L:$L,領用表!$E:$E,$B151,領用表!$B:$B,X$2&amp;$R$1)</f>
        <v/>
      </c>
      <c r="Y151" s="142">
        <f>SUMIFS(領用表!$L:$L,領用表!$E:$E,$B151,領用表!$B:$B,Y$2&amp;$R$1)</f>
        <v/>
      </c>
      <c r="Z151" s="142">
        <f>SUMIFS(領用表!$L:$L,領用表!$E:$E,$B151,領用表!$B:$B,Z$2&amp;$R$1)</f>
        <v/>
      </c>
      <c r="AA151" s="142">
        <f>SUMIFS(領用表!$L:$L,領用表!$E:$E,$B151,領用表!$B:$B,AA$2&amp;$R$1)</f>
        <v/>
      </c>
      <c r="AB151" s="142">
        <f>SUMIFS(領用表!$L:$L,領用表!$E:$E,$B151,領用表!$B:$B,AB$2&amp;$R$1)</f>
        <v/>
      </c>
      <c r="AC151" s="142">
        <f>SUMIFS(領用表!$L:$L,領用表!$E:$E,$B151,領用表!$B:$B,AC$2&amp;$R$1)</f>
        <v/>
      </c>
      <c r="AD151" s="142">
        <f>SUM(R151,S151,T151,U151,V151,W151)</f>
        <v/>
      </c>
      <c r="AE151" s="142">
        <f>AVERAGE(R151,S151,T151,U151,V151,W151)</f>
        <v/>
      </c>
      <c r="AF151" s="142">
        <f>SUMIF(Summary!B:B,B151,Summary!EB:EB)</f>
        <v/>
      </c>
      <c r="AG151" s="109" t="n"/>
      <c r="AH151" s="65" t="n"/>
      <c r="AI151" s="76" t="n"/>
      <c r="AJ151" s="76" t="n"/>
      <c r="AK151" s="27" t="n"/>
      <c r="AL151" s="27" t="n"/>
      <c r="AM151" s="14" t="n"/>
      <c r="AN151" s="14" t="n"/>
    </row>
    <row r="152" ht="15.75" customHeight="1" s="453">
      <c r="A152" s="27" t="inlineStr">
        <is>
          <t>TN1AA200006T</t>
        </is>
      </c>
      <c r="B152" s="14" t="n">
        <v>6230002</v>
      </c>
      <c r="C152" s="136" t="inlineStr">
        <is>
          <t>試用-無瑕清透防護霜 30mL(潤色)</t>
        </is>
      </c>
      <c r="D152" s="77" t="n"/>
      <c r="E152" s="17" t="inlineStr">
        <is>
          <t>PCS</t>
        </is>
      </c>
      <c r="F152" s="70" t="n"/>
      <c r="G152" s="18" t="n"/>
      <c r="H152" s="68">
        <f>SUM(#REF!)</f>
        <v/>
      </c>
      <c r="I152" s="26">
        <f>H152/12</f>
        <v/>
      </c>
      <c r="J152" s="20">
        <f>SUMIFS(領用表!$L:$L,領用表!$E:$E,$B152,領用表!$B:$B,J$2&amp;$R$1)</f>
        <v/>
      </c>
      <c r="K152" s="20">
        <f>SUMIFS(領用表!$L:$L,領用表!$E:$E,$B152,領用表!$B:$B,K$2&amp;$R$1)</f>
        <v/>
      </c>
      <c r="L152" s="20">
        <f>SUMIFS(領用表!$L:$L,領用表!$E:$E,$B152,領用表!$B:$B,L$2&amp;$R$1)</f>
        <v/>
      </c>
      <c r="M152" s="142">
        <f>SUMIFS(領用表!$L:$L,領用表!$E:$E,$B152,領用表!$B:$B,M$2&amp;$R$1)</f>
        <v/>
      </c>
      <c r="N152" s="142">
        <f>SUMIFS(領用表!$L:$L,領用表!$E:$E,$B152,領用表!$B:$B,N$2&amp;$R$1)</f>
        <v/>
      </c>
      <c r="O152" s="142">
        <f>SUMIFS(領用表!$L:$L,領用表!$E:$E,$B152,領用表!$B:$B,O$2&amp;$R$1)</f>
        <v/>
      </c>
      <c r="P152" s="23">
        <f>SUM(,J152,K152,L152,M152,N152,O152)</f>
        <v/>
      </c>
      <c r="Q152" s="23">
        <f>AVERAGE(,J152,K152,L152,M152,N152,O152)</f>
        <v/>
      </c>
      <c r="R152" s="142">
        <f>SUMIFS(領用表!$L:$L,領用表!$E:$E,$B152,領用表!$B:$B,R$2&amp;$R$1)</f>
        <v/>
      </c>
      <c r="S152" s="142">
        <f>SUMIFS(領用表!$L:$L,領用表!$E:$E,$B152,領用表!$B:$B,S$2&amp;$R$1)</f>
        <v/>
      </c>
      <c r="T152" s="142">
        <f>SUMIFS(領用表!$L:$L,領用表!$E:$E,$B152,領用表!$B:$B,T$2&amp;$R$1)</f>
        <v/>
      </c>
      <c r="U152" s="142">
        <f>SUMIFS(領用表!$L:$L,領用表!$E:$E,$B152,領用表!$B:$B,U$2&amp;$R$1)</f>
        <v/>
      </c>
      <c r="V152" s="142">
        <f>SUMIFS(領用表!$L:$L,領用表!$E:$E,$B152,領用表!$B:$B,V$2&amp;$R$1)</f>
        <v/>
      </c>
      <c r="W152" s="142" t="n">
        <v>15</v>
      </c>
      <c r="X152" s="142">
        <f>SUMIFS(領用表!$L:$L,領用表!$E:$E,$B152,領用表!$B:$B,X$2&amp;$R$1)</f>
        <v/>
      </c>
      <c r="Y152" s="142">
        <f>SUMIFS(領用表!$L:$L,領用表!$E:$E,$B152,領用表!$B:$B,Y$2&amp;$R$1)</f>
        <v/>
      </c>
      <c r="Z152" s="142">
        <f>SUMIFS(領用表!$L:$L,領用表!$E:$E,$B152,領用表!$B:$B,Z$2&amp;$R$1)</f>
        <v/>
      </c>
      <c r="AA152" s="142">
        <f>SUMIFS(領用表!$L:$L,領用表!$E:$E,$B152,領用表!$B:$B,AA$2&amp;$R$1)</f>
        <v/>
      </c>
      <c r="AB152" s="142">
        <f>SUMIFS(領用表!$L:$L,領用表!$E:$E,$B152,領用表!$B:$B,AB$2&amp;$R$1)</f>
        <v/>
      </c>
      <c r="AC152" s="142">
        <f>SUMIFS(領用表!$L:$L,領用表!$E:$E,$B152,領用表!$B:$B,AC$2&amp;$R$1)</f>
        <v/>
      </c>
      <c r="AD152" s="142">
        <f>SUM(R152,S152,T152,U152,V152,W152)</f>
        <v/>
      </c>
      <c r="AE152" s="142">
        <f>AVERAGE(R152,S152,T152,U152,V152,W152)</f>
        <v/>
      </c>
      <c r="AF152" s="142">
        <f>SUMIF(Summary!B:B,B152,Summary!EB:EB)</f>
        <v/>
      </c>
      <c r="AG152" s="109" t="n">
        <v>0</v>
      </c>
      <c r="AH152" s="65" t="n"/>
      <c r="AI152" s="76" t="n"/>
      <c r="AJ152" s="76" t="n"/>
      <c r="AK152" s="27" t="n"/>
      <c r="AL152" s="27" t="n"/>
      <c r="AM152" s="14" t="n"/>
      <c r="AN152" s="14" t="n"/>
    </row>
    <row r="153" ht="15.75" customHeight="1" s="453">
      <c r="A153" s="27" t="inlineStr">
        <is>
          <t>TN1AA020004T</t>
        </is>
      </c>
      <c r="B153" s="14" t="e">
        <v>#N/A</v>
      </c>
      <c r="C153" s="136" t="inlineStr">
        <is>
          <t>試用-超微纖深層淨膚乳100ml</t>
        </is>
      </c>
      <c r="D153" s="77" t="n"/>
      <c r="E153" s="17" t="inlineStr">
        <is>
          <t>PCS</t>
        </is>
      </c>
      <c r="F153" s="70" t="n"/>
      <c r="G153" s="18" t="n"/>
      <c r="H153" s="68">
        <f>SUM(#REF!)</f>
        <v/>
      </c>
      <c r="I153" s="26">
        <f>H153/12</f>
        <v/>
      </c>
      <c r="J153" s="20">
        <f>SUMIFS(領用表!$L:$L,領用表!$E:$E,$B153,領用表!$B:$B,J$2&amp;$R$1)</f>
        <v/>
      </c>
      <c r="K153" s="20">
        <f>SUMIFS(領用表!$L:$L,領用表!$E:$E,$B153,領用表!$B:$B,K$2&amp;$R$1)</f>
        <v/>
      </c>
      <c r="L153" s="20">
        <f>SUMIFS(領用表!$L:$L,領用表!$E:$E,$B153,領用表!$B:$B,L$2&amp;$R$1)</f>
        <v/>
      </c>
      <c r="M153" s="142">
        <f>SUMIFS(領用表!$L:$L,領用表!$E:$E,$B153,領用表!$B:$B,M$2&amp;$R$1)</f>
        <v/>
      </c>
      <c r="N153" s="142">
        <f>SUMIFS(領用表!$L:$L,領用表!$E:$E,$B153,領用表!$B:$B,N$2&amp;$R$1)</f>
        <v/>
      </c>
      <c r="O153" s="142">
        <f>SUMIFS(領用表!$L:$L,領用表!$E:$E,$B153,領用表!$B:$B,O$2&amp;$R$1)</f>
        <v/>
      </c>
      <c r="P153" s="23">
        <f>SUM(,J153,K153,L153,M153,N153,O153)</f>
        <v/>
      </c>
      <c r="Q153" s="23">
        <f>AVERAGE(,J153,K153,L153,M153,N153,O153)</f>
        <v/>
      </c>
      <c r="R153" s="142">
        <f>SUMIFS(領用表!$L:$L,領用表!$E:$E,$B153,領用表!$B:$B,R$2&amp;$R$1)</f>
        <v/>
      </c>
      <c r="S153" s="142">
        <f>SUMIFS(領用表!$L:$L,領用表!$E:$E,$B153,領用表!$B:$B,S$2&amp;$R$1)</f>
        <v/>
      </c>
      <c r="T153" s="142">
        <f>SUMIFS(領用表!$L:$L,領用表!$E:$E,$B153,領用表!$B:$B,T$2&amp;$R$1)</f>
        <v/>
      </c>
      <c r="U153" s="142">
        <f>SUMIFS(領用表!$L:$L,領用表!$E:$E,$B153,領用表!$B:$B,U$2&amp;$R$1)</f>
        <v/>
      </c>
      <c r="V153" s="142">
        <f>SUMIFS(領用表!$L:$L,領用表!$E:$E,$B153,領用表!$B:$B,V$2&amp;$R$1)</f>
        <v/>
      </c>
      <c r="W153" s="142">
        <f>SUMIFS(領用表!$L:$L,領用表!$E:$E,$B153,領用表!$B:$B,W$2&amp;$R$1)</f>
        <v/>
      </c>
      <c r="X153" s="142">
        <f>SUMIFS(領用表!$L:$L,領用表!$E:$E,$B153,領用表!$B:$B,X$2&amp;$R$1)</f>
        <v/>
      </c>
      <c r="Y153" s="142">
        <f>SUMIFS(領用表!$L:$L,領用表!$E:$E,$B153,領用表!$B:$B,Y$2&amp;$R$1)</f>
        <v/>
      </c>
      <c r="Z153" s="142">
        <f>SUMIFS(領用表!$L:$L,領用表!$E:$E,$B153,領用表!$B:$B,Z$2&amp;$R$1)</f>
        <v/>
      </c>
      <c r="AA153" s="142">
        <f>SUMIFS(領用表!$L:$L,領用表!$E:$E,$B153,領用表!$B:$B,AA$2&amp;$R$1)</f>
        <v/>
      </c>
      <c r="AB153" s="142">
        <f>SUMIFS(領用表!$L:$L,領用表!$E:$E,$B153,領用表!$B:$B,AB$2&amp;$R$1)</f>
        <v/>
      </c>
      <c r="AC153" s="142">
        <f>SUMIFS(領用表!$L:$L,領用表!$E:$E,$B153,領用表!$B:$B,AC$2&amp;$R$1)</f>
        <v/>
      </c>
      <c r="AD153" s="142">
        <f>SUM(R153,S153,T153,U153,V153,W153)</f>
        <v/>
      </c>
      <c r="AE153" s="142">
        <f>AVERAGE(R153,S153,T153,U153,V153,W153)</f>
        <v/>
      </c>
      <c r="AF153" s="142">
        <f>SUMIF(Summary!B:B,B153,Summary!EB:EB)</f>
        <v/>
      </c>
      <c r="AG153" s="109" t="n"/>
      <c r="AH153" s="65" t="n"/>
      <c r="AI153" s="65" t="n"/>
      <c r="AJ153" s="65" t="n"/>
      <c r="AK153" s="27" t="n"/>
      <c r="AL153" s="27" t="n"/>
      <c r="AM153" s="14" t="n"/>
      <c r="AN153" s="14" t="n"/>
    </row>
    <row r="154" ht="15.75" customHeight="1" s="453">
      <c r="A154" s="27" t="inlineStr">
        <is>
          <t>FN1AA060003T</t>
        </is>
      </c>
      <c r="B154" s="14" t="n">
        <v>6060002</v>
      </c>
      <c r="C154" s="136" t="inlineStr">
        <is>
          <t>試用包-金采賦活保濕精華霜 2mL(尖嘴單劑包)</t>
        </is>
      </c>
      <c r="D154" s="77" t="n"/>
      <c r="E154" s="17" t="inlineStr">
        <is>
          <t>PCS</t>
        </is>
      </c>
      <c r="F154" s="70" t="n"/>
      <c r="G154" s="18" t="n"/>
      <c r="H154" s="68">
        <f>SUM(#REF!)</f>
        <v/>
      </c>
      <c r="I154" s="26">
        <f>H154/12</f>
        <v/>
      </c>
      <c r="J154" s="20">
        <f>SUMIFS(領用表!$L:$L,領用表!$E:$E,$B154,領用表!$B:$B,J$2&amp;$R$1)</f>
        <v/>
      </c>
      <c r="K154" s="20">
        <f>SUMIFS(領用表!$L:$L,領用表!$E:$E,$B154,領用表!$B:$B,K$2&amp;$R$1)</f>
        <v/>
      </c>
      <c r="L154" s="20">
        <f>SUMIFS(領用表!$L:$L,領用表!$E:$E,$B154,領用表!$B:$B,L$2&amp;$R$1)</f>
        <v/>
      </c>
      <c r="M154" s="142">
        <f>SUMIFS(領用表!$L:$L,領用表!$E:$E,$B154,領用表!$B:$B,M$2&amp;$R$1)</f>
        <v/>
      </c>
      <c r="N154" s="142">
        <f>SUMIFS(領用表!$L:$L,領用表!$E:$E,$B154,領用表!$B:$B,N$2&amp;$R$1)</f>
        <v/>
      </c>
      <c r="O154" s="142">
        <f>SUMIFS(領用表!$L:$L,領用表!$E:$E,$B154,領用表!$B:$B,O$2&amp;$R$1)</f>
        <v/>
      </c>
      <c r="P154" s="23">
        <f>SUM(,J154,K154,L154,M154,N154,O154)</f>
        <v/>
      </c>
      <c r="Q154" s="23">
        <f>AVERAGE(,J154,K154,L154,M154,N154,O154)</f>
        <v/>
      </c>
      <c r="R154" s="142">
        <f>SUMIFS(領用表!$L:$L,領用表!$E:$E,$B154,領用表!$B:$B,R$2&amp;$R$1)</f>
        <v/>
      </c>
      <c r="S154" s="142">
        <f>SUMIFS(領用表!$L:$L,領用表!$E:$E,$B154,領用表!$B:$B,S$2&amp;$R$1)</f>
        <v/>
      </c>
      <c r="T154" s="142">
        <f>SUMIFS(領用表!$L:$L,領用表!$E:$E,$B154,領用表!$B:$B,T$2&amp;$R$1)</f>
        <v/>
      </c>
      <c r="U154" s="142">
        <f>SUMIFS(領用表!$L:$L,領用表!$E:$E,$B154,領用表!$B:$B,U$2&amp;$R$1)</f>
        <v/>
      </c>
      <c r="V154" s="142">
        <f>SUMIFS(領用表!$L:$L,領用表!$E:$E,$B154,領用表!$B:$B,V$2&amp;$R$1)</f>
        <v/>
      </c>
      <c r="W154" s="142" t="n"/>
      <c r="X154" s="142">
        <f>SUMIFS(領用表!$L:$L,領用表!$E:$E,$B154,領用表!$B:$B,X$2&amp;$R$1)</f>
        <v/>
      </c>
      <c r="Y154" s="142">
        <f>SUMIFS(領用表!$L:$L,領用表!$E:$E,$B154,領用表!$B:$B,Y$2&amp;$R$1)</f>
        <v/>
      </c>
      <c r="Z154" s="142">
        <f>SUMIFS(領用表!$L:$L,領用表!$E:$E,$B154,領用表!$B:$B,Z$2&amp;$R$1)</f>
        <v/>
      </c>
      <c r="AA154" s="142">
        <f>SUMIFS(領用表!$L:$L,領用表!$E:$E,$B154,領用表!$B:$B,AA$2&amp;$R$1)</f>
        <v/>
      </c>
      <c r="AB154" s="142">
        <f>SUMIFS(領用表!$L:$L,領用表!$E:$E,$B154,領用表!$B:$B,AB$2&amp;$R$1)</f>
        <v/>
      </c>
      <c r="AC154" s="142">
        <f>SUMIFS(領用表!$L:$L,領用表!$E:$E,$B154,領用表!$B:$B,AC$2&amp;$R$1)</f>
        <v/>
      </c>
      <c r="AD154" s="142">
        <f>SUM(R154,S154,T154,U154,V154,W154)</f>
        <v/>
      </c>
      <c r="AE154" s="142">
        <f>AVERAGE(R154,S154,T154,U154,V154,W154)</f>
        <v/>
      </c>
      <c r="AF154" s="142">
        <f>SUMIF(Summary!B:B,B154,Summary!EB:EB)</f>
        <v/>
      </c>
      <c r="AG154" s="109" t="n">
        <v>25</v>
      </c>
      <c r="AH154" s="65" t="n"/>
      <c r="AI154" s="65" t="n"/>
      <c r="AJ154" s="65" t="n"/>
      <c r="AK154" s="27" t="n"/>
      <c r="AL154" s="27" t="n"/>
      <c r="AM154" s="14" t="n"/>
      <c r="AN154" s="14" t="n"/>
    </row>
    <row r="155" ht="15.75" customHeight="1" s="453">
      <c r="A155" s="27" t="inlineStr">
        <is>
          <t>FN1AA200006T</t>
        </is>
      </c>
      <c r="B155" s="14" t="n">
        <v>6230001</v>
      </c>
      <c r="C155" s="136" t="inlineStr">
        <is>
          <t>試用包-無瑕清透防護霜 2ml(尖嘴單劑包)</t>
        </is>
      </c>
      <c r="D155" s="77" t="n"/>
      <c r="E155" s="17" t="inlineStr">
        <is>
          <t>PCS</t>
        </is>
      </c>
      <c r="F155" s="70" t="n"/>
      <c r="G155" s="18" t="n"/>
      <c r="H155" s="68">
        <f>SUM(#REF!)</f>
        <v/>
      </c>
      <c r="I155" s="26">
        <f>H155/12</f>
        <v/>
      </c>
      <c r="J155" s="20">
        <f>SUMIFS(領用表!$L:$L,領用表!$E:$E,$B155,領用表!$B:$B,J$2&amp;$R$1)</f>
        <v/>
      </c>
      <c r="K155" s="20">
        <f>SUMIFS(領用表!$L:$L,領用表!$E:$E,$B155,領用表!$B:$B,K$2&amp;$R$1)</f>
        <v/>
      </c>
      <c r="L155" s="20">
        <f>SUMIFS(領用表!$L:$L,領用表!$E:$E,$B155,領用表!$B:$B,L$2&amp;$R$1)</f>
        <v/>
      </c>
      <c r="M155" s="142">
        <f>SUMIFS(領用表!$L:$L,領用表!$E:$E,$B155,領用表!$B:$B,M$2&amp;$R$1)</f>
        <v/>
      </c>
      <c r="N155" s="142">
        <f>SUMIFS(領用表!$L:$L,領用表!$E:$E,$B155,領用表!$B:$B,N$2&amp;$R$1)</f>
        <v/>
      </c>
      <c r="O155" s="142">
        <f>SUMIFS(領用表!$L:$L,領用表!$E:$E,$B155,領用表!$B:$B,O$2&amp;$R$1)</f>
        <v/>
      </c>
      <c r="P155" s="23">
        <f>SUM(,J155,K155,L155,M155,N155,O155)</f>
        <v/>
      </c>
      <c r="Q155" s="23">
        <f>AVERAGE(,J155,K155,L155,M155,N155,O155)</f>
        <v/>
      </c>
      <c r="R155" s="142">
        <f>SUMIFS(領用表!$L:$L,領用表!$E:$E,$B155,領用表!$B:$B,R$2&amp;$R$1)</f>
        <v/>
      </c>
      <c r="S155" s="142">
        <f>SUMIFS(領用表!$L:$L,領用表!$E:$E,$B155,領用表!$B:$B,S$2&amp;$R$1)</f>
        <v/>
      </c>
      <c r="T155" s="142">
        <f>SUMIFS(領用表!$L:$L,領用表!$E:$E,$B155,領用表!$B:$B,T$2&amp;$R$1)</f>
        <v/>
      </c>
      <c r="U155" s="142">
        <f>SUMIFS(領用表!$L:$L,領用表!$E:$E,$B155,領用表!$B:$B,U$2&amp;$R$1)</f>
        <v/>
      </c>
      <c r="V155" s="142">
        <f>SUMIFS(領用表!$L:$L,領用表!$E:$E,$B155,領用表!$B:$B,V$2&amp;$R$1)</f>
        <v/>
      </c>
      <c r="W155" s="142" t="n"/>
      <c r="X155" s="142">
        <f>SUMIFS(領用表!$L:$L,領用表!$E:$E,$B155,領用表!$B:$B,X$2&amp;$R$1)</f>
        <v/>
      </c>
      <c r="Y155" s="142">
        <f>SUMIFS(領用表!$L:$L,領用表!$E:$E,$B155,領用表!$B:$B,Y$2&amp;$R$1)</f>
        <v/>
      </c>
      <c r="Z155" s="142">
        <f>SUMIFS(領用表!$L:$L,領用表!$E:$E,$B155,領用表!$B:$B,Z$2&amp;$R$1)</f>
        <v/>
      </c>
      <c r="AA155" s="142">
        <f>SUMIFS(領用表!$L:$L,領用表!$E:$E,$B155,領用表!$B:$B,AA$2&amp;$R$1)</f>
        <v/>
      </c>
      <c r="AB155" s="142">
        <f>SUMIFS(領用表!$L:$L,領用表!$E:$E,$B155,領用表!$B:$B,AB$2&amp;$R$1)</f>
        <v/>
      </c>
      <c r="AC155" s="142">
        <f>SUMIFS(領用表!$L:$L,領用表!$E:$E,$B155,領用表!$B:$B,AC$2&amp;$R$1)</f>
        <v/>
      </c>
      <c r="AD155" s="142">
        <f>SUM(R155,S155,T155,U155,V155,W155)</f>
        <v/>
      </c>
      <c r="AE155" s="142">
        <f>AVERAGE(R155,S155,T155,U155,V155,W155)</f>
        <v/>
      </c>
      <c r="AF155" s="142">
        <f>SUMIF(Summary!B:B,B155,Summary!EB:EB)</f>
        <v/>
      </c>
      <c r="AG155" s="109" t="n">
        <v>25</v>
      </c>
      <c r="AH155" s="65" t="n"/>
      <c r="AI155" s="65" t="n"/>
      <c r="AJ155" s="65" t="n"/>
    </row>
    <row r="156" ht="15.75" customHeight="1" s="453">
      <c r="A156" s="27" t="inlineStr">
        <is>
          <t>TN1AA070012T</t>
        </is>
      </c>
      <c r="B156" s="14" t="n">
        <v>6070001</v>
      </c>
      <c r="C156" s="136" t="inlineStr">
        <is>
          <t>試用-365抗皺緊緻精質乳霜50ml(2016年版)</t>
        </is>
      </c>
      <c r="D156" s="77" t="n"/>
      <c r="E156" s="17" t="inlineStr">
        <is>
          <t>PCS</t>
        </is>
      </c>
      <c r="F156" s="70" t="n"/>
      <c r="G156" s="18" t="n"/>
      <c r="H156" s="68">
        <f>SUM(#REF!)</f>
        <v/>
      </c>
      <c r="I156" s="26">
        <f>H156/12</f>
        <v/>
      </c>
      <c r="J156" s="20">
        <f>SUMIFS(領用表!$L:$L,領用表!$E:$E,$B156,領用表!$B:$B,J$2&amp;$R$1)</f>
        <v/>
      </c>
      <c r="K156" s="20">
        <f>SUMIFS(領用表!$L:$L,領用表!$E:$E,$B156,領用表!$B:$B,K$2&amp;$R$1)</f>
        <v/>
      </c>
      <c r="L156" s="20">
        <f>SUMIFS(領用表!$L:$L,領用表!$E:$E,$B156,領用表!$B:$B,L$2&amp;$R$1)</f>
        <v/>
      </c>
      <c r="M156" s="142">
        <f>SUMIFS(領用表!$L:$L,領用表!$E:$E,$B156,領用表!$B:$B,M$2&amp;$R$1)</f>
        <v/>
      </c>
      <c r="N156" s="142">
        <f>SUMIFS(領用表!$L:$L,領用表!$E:$E,$B156,領用表!$B:$B,N$2&amp;$R$1)</f>
        <v/>
      </c>
      <c r="O156" s="142">
        <f>SUMIFS(領用表!$L:$L,領用表!$E:$E,$B156,領用表!$B:$B,O$2&amp;$R$1)</f>
        <v/>
      </c>
      <c r="P156" s="23">
        <f>SUM(,J156,K156,L156,M156,N156,O156)</f>
        <v/>
      </c>
      <c r="Q156" s="23">
        <f>AVERAGE(,J156,K156,L156,M156,N156,O156)</f>
        <v/>
      </c>
      <c r="R156" s="142">
        <f>SUMIFS(領用表!$L:$L,領用表!$E:$E,$B156,領用表!$B:$B,R$2&amp;$R$1)</f>
        <v/>
      </c>
      <c r="S156" s="142">
        <f>SUMIFS(領用表!$L:$L,領用表!$E:$E,$B156,領用表!$B:$B,S$2&amp;$R$1)</f>
        <v/>
      </c>
      <c r="T156" s="142">
        <f>SUMIFS(領用表!$L:$L,領用表!$E:$E,$B156,領用表!$B:$B,T$2&amp;$R$1)</f>
        <v/>
      </c>
      <c r="U156" s="142">
        <f>SUMIFS(領用表!$L:$L,領用表!$E:$E,$B156,領用表!$B:$B,U$2&amp;$R$1)</f>
        <v/>
      </c>
      <c r="V156" s="142">
        <f>SUMIFS(領用表!$L:$L,領用表!$E:$E,$B156,領用表!$B:$B,V$2&amp;$R$1)</f>
        <v/>
      </c>
      <c r="W156" s="142" t="n"/>
      <c r="X156" s="142">
        <f>SUMIFS(領用表!$L:$L,領用表!$E:$E,$B156,領用表!$B:$B,X$2&amp;$R$1)</f>
        <v/>
      </c>
      <c r="Y156" s="142">
        <f>SUMIFS(領用表!$L:$L,領用表!$E:$E,$B156,領用表!$B:$B,Y$2&amp;$R$1)</f>
        <v/>
      </c>
      <c r="Z156" s="142">
        <f>SUMIFS(領用表!$L:$L,領用表!$E:$E,$B156,領用表!$B:$B,Z$2&amp;$R$1)</f>
        <v/>
      </c>
      <c r="AA156" s="142">
        <f>SUMIFS(領用表!$L:$L,領用表!$E:$E,$B156,領用表!$B:$B,AA$2&amp;$R$1)</f>
        <v/>
      </c>
      <c r="AB156" s="142">
        <f>SUMIFS(領用表!$L:$L,領用表!$E:$E,$B156,領用表!$B:$B,AB$2&amp;$R$1)</f>
        <v/>
      </c>
      <c r="AC156" s="142">
        <f>SUMIFS(領用表!$L:$L,領用表!$E:$E,$B156,領用表!$B:$B,AC$2&amp;$R$1)</f>
        <v/>
      </c>
      <c r="AD156" s="142">
        <f>SUM(R156,S156,T156,U156,V156,W156)</f>
        <v/>
      </c>
      <c r="AE156" s="142">
        <f>AVERAGE(R156,S156,T156,U156,V156,W156)</f>
        <v/>
      </c>
      <c r="AF156" s="142">
        <f>SUMIF(Summary!B:B,B156,Summary!EB:EB)</f>
        <v/>
      </c>
      <c r="AG156" s="109" t="n">
        <v>3</v>
      </c>
      <c r="AH156" s="65" t="n"/>
      <c r="AI156" s="65" t="n"/>
      <c r="AJ156" s="65" t="n"/>
    </row>
    <row r="157" hidden="1" ht="15.75" customHeight="1" s="453">
      <c r="A157" s="27" t="inlineStr">
        <is>
          <t>DL1GA000071T</t>
        </is>
      </c>
      <c r="B157" s="14" t="e">
        <v>#N/A</v>
      </c>
      <c r="C157" s="136" t="inlineStr">
        <is>
          <t>新纖有酵蔬果酵素飲50ml(15入)停產</t>
        </is>
      </c>
      <c r="D157" s="77" t="n"/>
      <c r="E157" s="17" t="inlineStr">
        <is>
          <t>PCS</t>
        </is>
      </c>
      <c r="F157" s="70" t="n"/>
      <c r="G157" s="18" t="n"/>
      <c r="H157" s="68">
        <f>SUM(#REF!)</f>
        <v/>
      </c>
      <c r="I157" s="26">
        <f>H157/12</f>
        <v/>
      </c>
      <c r="J157" s="20">
        <f>SUMIFS(領用表!$L:$L,領用表!$E:$E,$B157,領用表!$B:$B,J$2&amp;$R$1)</f>
        <v/>
      </c>
      <c r="K157" s="20">
        <f>SUMIFS(領用表!$L:$L,領用表!$E:$E,$B157,領用表!$B:$B,K$2&amp;$R$1)</f>
        <v/>
      </c>
      <c r="L157" s="20">
        <f>SUMIFS(領用表!$L:$L,領用表!$E:$E,$B157,領用表!$B:$B,L$2&amp;$R$1)</f>
        <v/>
      </c>
      <c r="M157" s="142">
        <f>SUMIFS(領用表!$L:$L,領用表!$E:$E,$B157,領用表!$B:$B,M$2&amp;$R$1)</f>
        <v/>
      </c>
      <c r="N157" s="142">
        <f>SUMIFS(領用表!$L:$L,領用表!$E:$E,$B157,領用表!$B:$B,N$2&amp;$R$1)</f>
        <v/>
      </c>
      <c r="O157" s="142">
        <f>SUMIFS(領用表!$L:$L,領用表!$E:$E,$B157,領用表!$B:$B,O$2&amp;$R$1)</f>
        <v/>
      </c>
      <c r="P157" s="23">
        <f>SUM(,J157,K157,L157,M157,N157,O157)</f>
        <v/>
      </c>
      <c r="Q157" s="23">
        <f>AVERAGE(,J157,K157,L157,M157,N157,O157)</f>
        <v/>
      </c>
      <c r="R157" s="142">
        <f>SUMIFS(領用表!$L:$L,領用表!$E:$E,$B157,領用表!$B:$B,R$2&amp;$R$1)</f>
        <v/>
      </c>
      <c r="S157" s="142">
        <f>SUMIFS(領用表!$L:$L,領用表!$E:$E,$B157,領用表!$B:$B,S$2&amp;$R$1)</f>
        <v/>
      </c>
      <c r="T157" s="142">
        <f>SUMIFS(領用表!$L:$L,領用表!$E:$E,$B157,領用表!$B:$B,T$2&amp;$R$1)</f>
        <v/>
      </c>
      <c r="U157" s="142">
        <f>SUMIFS(領用表!$L:$L,領用表!$E:$E,$B157,領用表!$B:$B,U$2&amp;$R$1)</f>
        <v/>
      </c>
      <c r="V157" s="142">
        <f>SUMIFS(領用表!$L:$L,領用表!$E:$E,$B157,領用表!$B:$B,V$2&amp;$R$1)</f>
        <v/>
      </c>
      <c r="W157" s="142">
        <f>SUMIFS(領用表!$L:$L,領用表!$E:$E,$B157,領用表!$B:$B,W$2&amp;$R$1)</f>
        <v/>
      </c>
      <c r="X157" s="142">
        <f>SUMIFS(領用表!$L:$L,領用表!$E:$E,$B157,領用表!$B:$B,X$2&amp;$R$1)</f>
        <v/>
      </c>
      <c r="Y157" s="142">
        <f>SUMIFS(領用表!$L:$L,領用表!$E:$E,$B157,領用表!$B:$B,Y$2&amp;$R$1)</f>
        <v/>
      </c>
      <c r="Z157" s="142">
        <f>SUMIFS(領用表!$L:$L,領用表!$E:$E,$B157,領用表!$B:$B,Z$2&amp;$R$1)</f>
        <v/>
      </c>
      <c r="AA157" s="142">
        <f>SUMIFS(領用表!$L:$L,領用表!$E:$E,$B157,領用表!$B:$B,AA$2&amp;$R$1)</f>
        <v/>
      </c>
      <c r="AB157" s="142">
        <f>SUMIFS(領用表!$L:$L,領用表!$E:$E,$B157,領用表!$B:$B,AB$2&amp;$R$1)</f>
        <v/>
      </c>
      <c r="AC157" s="142">
        <f>SUMIFS(領用表!$L:$L,領用表!$E:$E,$B157,領用表!$B:$B,AC$2&amp;$R$1)</f>
        <v/>
      </c>
      <c r="AD157" s="142">
        <f>SUM(R157,S157,T157,U157,V157,W157)</f>
        <v/>
      </c>
      <c r="AE157" s="142">
        <f>AVERAGE(R157,S157,T157,U157,V157,W157)</f>
        <v/>
      </c>
      <c r="AF157" s="142">
        <f>SUMIF(Summary!B:B,B157,Summary!EB:EB)</f>
        <v/>
      </c>
      <c r="AG157" s="109" t="n"/>
      <c r="AH157" s="65" t="n"/>
      <c r="AI157" s="65" t="n"/>
      <c r="AJ157" s="65" t="n"/>
    </row>
    <row r="158" hidden="1" ht="15.75" customHeight="1" s="453">
      <c r="A158" s="27" t="inlineStr">
        <is>
          <t>DL1GA000066T</t>
        </is>
      </c>
      <c r="B158" s="14" t="e">
        <v>#N/A</v>
      </c>
      <c r="C158" s="136" t="inlineStr">
        <is>
          <t>青春機密膠原飲 60ml(10入)停產</t>
        </is>
      </c>
      <c r="D158" s="77" t="n"/>
      <c r="E158" s="17" t="inlineStr">
        <is>
          <t>PCS</t>
        </is>
      </c>
      <c r="F158" s="70" t="n"/>
      <c r="G158" s="18" t="n"/>
      <c r="H158" s="68">
        <f>SUM(#REF!)</f>
        <v/>
      </c>
      <c r="I158" s="26">
        <f>H158/12</f>
        <v/>
      </c>
      <c r="J158" s="20">
        <f>SUMIFS(領用表!$L:$L,領用表!$E:$E,$B158,領用表!$B:$B,J$2&amp;$R$1)</f>
        <v/>
      </c>
      <c r="K158" s="20">
        <f>SUMIFS(領用表!$L:$L,領用表!$E:$E,$B158,領用表!$B:$B,K$2&amp;$R$1)</f>
        <v/>
      </c>
      <c r="L158" s="20">
        <f>SUMIFS(領用表!$L:$L,領用表!$E:$E,$B158,領用表!$B:$B,L$2&amp;$R$1)</f>
        <v/>
      </c>
      <c r="M158" s="142">
        <f>SUMIFS(領用表!$L:$L,領用表!$E:$E,$B158,領用表!$B:$B,M$2&amp;$R$1)</f>
        <v/>
      </c>
      <c r="N158" s="142">
        <f>SUMIFS(領用表!$L:$L,領用表!$E:$E,$B158,領用表!$B:$B,N$2&amp;$R$1)</f>
        <v/>
      </c>
      <c r="O158" s="142">
        <f>SUMIFS(領用表!$L:$L,領用表!$E:$E,$B158,領用表!$B:$B,O$2&amp;$R$1)</f>
        <v/>
      </c>
      <c r="P158" s="23">
        <f>SUM(,J158,K158,L158,M158,N158,O158)</f>
        <v/>
      </c>
      <c r="Q158" s="23">
        <f>AVERAGE(,J158,K158,L158,M158,N158,O158)</f>
        <v/>
      </c>
      <c r="R158" s="142">
        <f>SUMIFS(領用表!$L:$L,領用表!$E:$E,$B158,領用表!$B:$B,R$2&amp;$R$1)</f>
        <v/>
      </c>
      <c r="S158" s="142">
        <f>SUMIFS(領用表!$L:$L,領用表!$E:$E,$B158,領用表!$B:$B,S$2&amp;$R$1)</f>
        <v/>
      </c>
      <c r="T158" s="142">
        <f>SUMIFS(領用表!$L:$L,領用表!$E:$E,$B158,領用表!$B:$B,T$2&amp;$R$1)</f>
        <v/>
      </c>
      <c r="U158" s="142">
        <f>SUMIFS(領用表!$L:$L,領用表!$E:$E,$B158,領用表!$B:$B,U$2&amp;$R$1)</f>
        <v/>
      </c>
      <c r="V158" s="142">
        <f>SUMIFS(領用表!$L:$L,領用表!$E:$E,$B158,領用表!$B:$B,V$2&amp;$R$1)</f>
        <v/>
      </c>
      <c r="W158" s="142">
        <f>SUMIFS(領用表!$L:$L,領用表!$E:$E,$B158,領用表!$B:$B,W$2&amp;$R$1)</f>
        <v/>
      </c>
      <c r="X158" s="142">
        <f>SUMIFS(領用表!$L:$L,領用表!$E:$E,$B158,領用表!$B:$B,X$2&amp;$R$1)</f>
        <v/>
      </c>
      <c r="Y158" s="142">
        <f>SUMIFS(領用表!$L:$L,領用表!$E:$E,$B158,領用表!$B:$B,Y$2&amp;$R$1)</f>
        <v/>
      </c>
      <c r="Z158" s="142">
        <f>SUMIFS(領用表!$L:$L,領用表!$E:$E,$B158,領用表!$B:$B,Z$2&amp;$R$1)</f>
        <v/>
      </c>
      <c r="AA158" s="142">
        <f>SUMIFS(領用表!$L:$L,領用表!$E:$E,$B158,領用表!$B:$B,AA$2&amp;$R$1)</f>
        <v/>
      </c>
      <c r="AB158" s="142">
        <f>SUMIFS(領用表!$L:$L,領用表!$E:$E,$B158,領用表!$B:$B,AB$2&amp;$R$1)</f>
        <v/>
      </c>
      <c r="AC158" s="142">
        <f>SUMIFS(領用表!$L:$L,領用表!$E:$E,$B158,領用表!$B:$B,AC$2&amp;$R$1)</f>
        <v/>
      </c>
      <c r="AD158" s="142">
        <f>SUM(R158,S158,T158,U158,V158,W158)</f>
        <v/>
      </c>
      <c r="AE158" s="142">
        <f>AVERAGE(R158,S158,T158,U158,V158,W158)</f>
        <v/>
      </c>
      <c r="AF158" s="142">
        <f>SUMIF(Summary!B:B,B158,Summary!EB:EB)</f>
        <v/>
      </c>
      <c r="AG158" s="109" t="n"/>
      <c r="AH158" s="65" t="n"/>
      <c r="AI158" s="65" t="n"/>
      <c r="AJ158" s="65" t="n"/>
    </row>
    <row r="159" hidden="1" ht="15.75" customHeight="1" s="453">
      <c r="A159" s="27" t="inlineStr">
        <is>
          <t>DA1GD000017T</t>
        </is>
      </c>
      <c r="B159" s="14" t="e">
        <v>#N/A</v>
      </c>
      <c r="C159" s="136" t="inlineStr">
        <is>
          <t>R3 愛益菌 56盒/箱</t>
        </is>
      </c>
      <c r="D159" s="77" t="n"/>
      <c r="E159" s="17" t="inlineStr">
        <is>
          <t>PCS</t>
        </is>
      </c>
      <c r="F159" s="70" t="n"/>
      <c r="G159" s="18" t="n"/>
      <c r="H159" s="64" t="n">
        <v>0</v>
      </c>
      <c r="I159" s="64" t="n">
        <v>0</v>
      </c>
      <c r="J159" s="20">
        <f>SUMIFS(領用表!$L:$L,領用表!$E:$E,$B159,領用表!$B:$B,J$2&amp;$R$1)</f>
        <v/>
      </c>
      <c r="K159" s="20">
        <f>SUMIFS(領用表!$L:$L,領用表!$E:$E,$B159,領用表!$B:$B,K$2&amp;$R$1)</f>
        <v/>
      </c>
      <c r="L159" s="20">
        <f>SUMIFS(領用表!$L:$L,領用表!$E:$E,$B159,領用表!$B:$B,L$2&amp;$R$1)</f>
        <v/>
      </c>
      <c r="M159" s="142">
        <f>SUMIFS(領用表!$L:$L,領用表!$E:$E,$B159,領用表!$B:$B,M$2&amp;$R$1)</f>
        <v/>
      </c>
      <c r="N159" s="142">
        <f>SUMIFS(領用表!$L:$L,領用表!$E:$E,$B159,領用表!$B:$B,N$2&amp;$R$1)</f>
        <v/>
      </c>
      <c r="O159" s="142">
        <f>SUMIFS(領用表!$L:$L,領用表!$E:$E,$B159,領用表!$B:$B,O$2&amp;$R$1)</f>
        <v/>
      </c>
      <c r="P159" s="23">
        <f>SUM(,J159,K159,L159,M159,N159,O159)</f>
        <v/>
      </c>
      <c r="Q159" s="23">
        <f>AVERAGE(,J159,K159,L159,M159,N159,O159)</f>
        <v/>
      </c>
      <c r="R159" s="142">
        <f>SUMIFS(領用表!$L:$L,領用表!$E:$E,$B159,領用表!$B:$B,R$2&amp;$R$1)</f>
        <v/>
      </c>
      <c r="S159" s="142">
        <f>SUMIFS(領用表!$L:$L,領用表!$E:$E,$B159,領用表!$B:$B,S$2&amp;$R$1)</f>
        <v/>
      </c>
      <c r="T159" s="142">
        <f>SUMIFS(領用表!$L:$L,領用表!$E:$E,$B159,領用表!$B:$B,T$2&amp;$R$1)</f>
        <v/>
      </c>
      <c r="U159" s="142">
        <f>SUMIFS(領用表!$L:$L,領用表!$E:$E,$B159,領用表!$B:$B,U$2&amp;$R$1)</f>
        <v/>
      </c>
      <c r="V159" s="142">
        <f>SUMIFS(領用表!$L:$L,領用表!$E:$E,$B159,領用表!$B:$B,V$2&amp;$R$1)</f>
        <v/>
      </c>
      <c r="W159" s="142">
        <f>SUMIFS(領用表!$L:$L,領用表!$E:$E,$B159,領用表!$B:$B,W$2&amp;$R$1)</f>
        <v/>
      </c>
      <c r="X159" s="142">
        <f>SUMIFS(領用表!$L:$L,領用表!$E:$E,$B159,領用表!$B:$B,X$2&amp;$R$1)</f>
        <v/>
      </c>
      <c r="Y159" s="142">
        <f>SUMIFS(領用表!$L:$L,領用表!$E:$E,$B159,領用表!$B:$B,Y$2&amp;$R$1)</f>
        <v/>
      </c>
      <c r="Z159" s="142">
        <f>SUMIFS(領用表!$L:$L,領用表!$E:$E,$B159,領用表!$B:$B,Z$2&amp;$R$1)</f>
        <v/>
      </c>
      <c r="AA159" s="142">
        <f>SUMIFS(領用表!$L:$L,領用表!$E:$E,$B159,領用表!$B:$B,AA$2&amp;$R$1)</f>
        <v/>
      </c>
      <c r="AB159" s="142">
        <f>SUMIFS(領用表!$L:$L,領用表!$E:$E,$B159,領用表!$B:$B,AB$2&amp;$R$1)</f>
        <v/>
      </c>
      <c r="AC159" s="142">
        <f>SUMIFS(領用表!$L:$L,領用表!$E:$E,$B159,領用表!$B:$B,AC$2&amp;$R$1)</f>
        <v/>
      </c>
      <c r="AD159" s="142">
        <f>SUM(R159,S159,T159,U159,V159,W159)</f>
        <v/>
      </c>
      <c r="AE159" s="142">
        <f>AVERAGE(R159,S159,T159,U159,V159,W159)</f>
        <v/>
      </c>
      <c r="AF159" s="142">
        <f>SUMIF(Summary!B:B,B159,Summary!EB:EB)</f>
        <v/>
      </c>
      <c r="AG159" s="109" t="n"/>
      <c r="AH159" s="65" t="n"/>
      <c r="AI159" s="65" t="n"/>
      <c r="AJ159" s="65" t="n"/>
    </row>
    <row r="160" hidden="1" ht="15.75" customHeight="1" s="453">
      <c r="A160" s="27" t="inlineStr">
        <is>
          <t>DN1AA090023T</t>
        </is>
      </c>
      <c r="B160" s="14" t="e">
        <v>#N/A</v>
      </c>
      <c r="C160" s="136" t="inlineStr">
        <is>
          <t>金采肌效生物纖維面膜 30mL</t>
        </is>
      </c>
      <c r="D160" s="77" t="n"/>
      <c r="E160" s="17" t="inlineStr">
        <is>
          <t>PCS</t>
        </is>
      </c>
      <c r="F160" s="70" t="n"/>
      <c r="G160" s="18" t="n"/>
      <c r="H160" s="64" t="n">
        <v>0</v>
      </c>
      <c r="I160" s="64" t="n">
        <v>0</v>
      </c>
      <c r="J160" s="20">
        <f>SUMIFS(領用表!$L:$L,領用表!$E:$E,$B160,領用表!$B:$B,J$2&amp;$R$1)</f>
        <v/>
      </c>
      <c r="K160" s="20">
        <f>SUMIFS(領用表!$L:$L,領用表!$E:$E,$B160,領用表!$B:$B,K$2&amp;$R$1)</f>
        <v/>
      </c>
      <c r="L160" s="20">
        <f>SUMIFS(領用表!$L:$L,領用表!$E:$E,$B160,領用表!$B:$B,L$2&amp;$R$1)</f>
        <v/>
      </c>
      <c r="M160" s="142">
        <f>SUMIFS(領用表!$L:$L,領用表!$E:$E,$B160,領用表!$B:$B,M$2&amp;$R$1)</f>
        <v/>
      </c>
      <c r="N160" s="142">
        <f>SUMIFS(領用表!$L:$L,領用表!$E:$E,$B160,領用表!$B:$B,N$2&amp;$R$1)</f>
        <v/>
      </c>
      <c r="O160" s="142">
        <f>SUMIFS(領用表!$L:$L,領用表!$E:$E,$B160,領用表!$B:$B,O$2&amp;$R$1)</f>
        <v/>
      </c>
      <c r="P160" s="23">
        <f>SUM(,J160,K160,L160,M160,N160,O160)</f>
        <v/>
      </c>
      <c r="Q160" s="23">
        <f>AVERAGE(,J160,K160,L160,M160,N160,O160)</f>
        <v/>
      </c>
      <c r="R160" s="142">
        <f>SUMIFS(領用表!$L:$L,領用表!$E:$E,$B160,領用表!$B:$B,R$2&amp;$R$1)</f>
        <v/>
      </c>
      <c r="S160" s="142">
        <f>SUMIFS(領用表!$L:$L,領用表!$E:$E,$B160,領用表!$B:$B,S$2&amp;$R$1)</f>
        <v/>
      </c>
      <c r="T160" s="142">
        <f>SUMIFS(領用表!$L:$L,領用表!$E:$E,$B160,領用表!$B:$B,T$2&amp;$R$1)</f>
        <v/>
      </c>
      <c r="U160" s="142">
        <f>SUMIFS(領用表!$L:$L,領用表!$E:$E,$B160,領用表!$B:$B,U$2&amp;$R$1)</f>
        <v/>
      </c>
      <c r="V160" s="142">
        <f>SUMIFS(領用表!$L:$L,領用表!$E:$E,$B160,領用表!$B:$B,V$2&amp;$R$1)</f>
        <v/>
      </c>
      <c r="W160" s="142">
        <f>SUMIFS(領用表!$L:$L,領用表!$E:$E,$B160,領用表!$B:$B,W$2&amp;$R$1)</f>
        <v/>
      </c>
      <c r="X160" s="142">
        <f>SUMIFS(領用表!$L:$L,領用表!$E:$E,$B160,領用表!$B:$B,X$2&amp;$R$1)</f>
        <v/>
      </c>
      <c r="Y160" s="142">
        <f>SUMIFS(領用表!$L:$L,領用表!$E:$E,$B160,領用表!$B:$B,Y$2&amp;$R$1)</f>
        <v/>
      </c>
      <c r="Z160" s="142">
        <f>SUMIFS(領用表!$L:$L,領用表!$E:$E,$B160,領用表!$B:$B,Z$2&amp;$R$1)</f>
        <v/>
      </c>
      <c r="AA160" s="142">
        <f>SUMIFS(領用表!$L:$L,領用表!$E:$E,$B160,領用表!$B:$B,AA$2&amp;$R$1)</f>
        <v/>
      </c>
      <c r="AB160" s="142">
        <f>SUMIFS(領用表!$L:$L,領用表!$E:$E,$B160,領用表!$B:$B,AB$2&amp;$R$1)</f>
        <v/>
      </c>
      <c r="AC160" s="142">
        <f>SUMIFS(領用表!$L:$L,領用表!$E:$E,$B160,領用表!$B:$B,AC$2&amp;$R$1)</f>
        <v/>
      </c>
      <c r="AD160" s="142">
        <f>SUM(R160,S160,T160,U160,V160,W160)</f>
        <v/>
      </c>
      <c r="AE160" s="142">
        <f>AVERAGE(R160,S160,T160,U160,V160,W160)</f>
        <v/>
      </c>
      <c r="AF160" s="142">
        <f>SUMIF(Summary!B:B,B160,Summary!EB:EB)</f>
        <v/>
      </c>
      <c r="AG160" s="109" t="n"/>
      <c r="AH160" s="65" t="n"/>
      <c r="AI160" s="65" t="n"/>
      <c r="AJ160" s="65" t="n"/>
    </row>
    <row r="161" hidden="1" ht="15.75" customHeight="1" s="453">
      <c r="A161" s="27" t="inlineStr">
        <is>
          <t>DL1GD0100001T</t>
        </is>
      </c>
      <c r="B161" s="14" t="e">
        <v>#N/A</v>
      </c>
      <c r="C161" s="136" t="inlineStr">
        <is>
          <t>甜睡美膠原6g(30入)(繁體版) 24盒/箱</t>
        </is>
      </c>
      <c r="D161" s="77" t="n"/>
      <c r="E161" s="17" t="inlineStr">
        <is>
          <t>PCS</t>
        </is>
      </c>
      <c r="F161" s="70" t="n"/>
      <c r="G161" s="18" t="n"/>
      <c r="H161" s="64" t="n">
        <v>0</v>
      </c>
      <c r="I161" s="64" t="n">
        <v>0</v>
      </c>
      <c r="J161" s="20">
        <f>SUMIFS(領用表!$L:$L,領用表!$E:$E,$B161,領用表!$B:$B,J$2&amp;$R$1)</f>
        <v/>
      </c>
      <c r="K161" s="20">
        <f>SUMIFS(領用表!$L:$L,領用表!$E:$E,$B161,領用表!$B:$B,K$2&amp;$R$1)</f>
        <v/>
      </c>
      <c r="L161" s="20">
        <f>SUMIFS(領用表!$L:$L,領用表!$E:$E,$B161,領用表!$B:$B,L$2&amp;$R$1)</f>
        <v/>
      </c>
      <c r="M161" s="142">
        <f>SUMIFS(領用表!$L:$L,領用表!$E:$E,$B161,領用表!$B:$B,M$2&amp;$R$1)</f>
        <v/>
      </c>
      <c r="N161" s="142">
        <f>SUMIFS(領用表!$L:$L,領用表!$E:$E,$B161,領用表!$B:$B,N$2&amp;$R$1)</f>
        <v/>
      </c>
      <c r="O161" s="142">
        <f>SUMIFS(領用表!$L:$L,領用表!$E:$E,$B161,領用表!$B:$B,O$2&amp;$R$1)</f>
        <v/>
      </c>
      <c r="P161" s="23">
        <f>SUM(,J161,K161,L161,M161,N161,O161)</f>
        <v/>
      </c>
      <c r="Q161" s="23">
        <f>AVERAGE(,J161,K161,L161,M161,N161,O161)</f>
        <v/>
      </c>
      <c r="R161" s="142">
        <f>SUMIFS(領用表!$L:$L,領用表!$E:$E,$B161,領用表!$B:$B,R$2&amp;$R$1)</f>
        <v/>
      </c>
      <c r="S161" s="142">
        <f>SUMIFS(領用表!$L:$L,領用表!$E:$E,$B161,領用表!$B:$B,S$2&amp;$R$1)</f>
        <v/>
      </c>
      <c r="T161" s="142">
        <f>SUMIFS(領用表!$L:$L,領用表!$E:$E,$B161,領用表!$B:$B,T$2&amp;$R$1)</f>
        <v/>
      </c>
      <c r="U161" s="142">
        <f>SUMIFS(領用表!$L:$L,領用表!$E:$E,$B161,領用表!$B:$B,U$2&amp;$R$1)</f>
        <v/>
      </c>
      <c r="V161" s="142">
        <f>SUMIFS(領用表!$L:$L,領用表!$E:$E,$B161,領用表!$B:$B,V$2&amp;$R$1)</f>
        <v/>
      </c>
      <c r="W161" s="142">
        <f>SUMIFS(領用表!$L:$L,領用表!$E:$E,$B161,領用表!$B:$B,W$2&amp;$R$1)</f>
        <v/>
      </c>
      <c r="X161" s="142">
        <f>SUMIFS(領用表!$L:$L,領用表!$E:$E,$B161,領用表!$B:$B,X$2&amp;$R$1)</f>
        <v/>
      </c>
      <c r="Y161" s="142">
        <f>SUMIFS(領用表!$L:$L,領用表!$E:$E,$B161,領用表!$B:$B,Y$2&amp;$R$1)</f>
        <v/>
      </c>
      <c r="Z161" s="142">
        <f>SUMIFS(領用表!$L:$L,領用表!$E:$E,$B161,領用表!$B:$B,Z$2&amp;$R$1)</f>
        <v/>
      </c>
      <c r="AA161" s="142">
        <f>SUMIFS(領用表!$L:$L,領用表!$E:$E,$B161,領用表!$B:$B,AA$2&amp;$R$1)</f>
        <v/>
      </c>
      <c r="AB161" s="142">
        <f>SUMIFS(領用表!$L:$L,領用表!$E:$E,$B161,領用表!$B:$B,AB$2&amp;$R$1)</f>
        <v/>
      </c>
      <c r="AC161" s="142">
        <f>SUMIFS(領用表!$L:$L,領用表!$E:$E,$B161,領用表!$B:$B,AC$2&amp;$R$1)</f>
        <v/>
      </c>
      <c r="AD161" s="142">
        <f>SUM(R161,S161,T161,U161,V161,W161)</f>
        <v/>
      </c>
      <c r="AE161" s="142">
        <f>AVERAGE(R161,S161,T161,U161,V161,W161)</f>
        <v/>
      </c>
      <c r="AF161" s="142">
        <f>SUMIF(Summary!B:B,B161,Summary!EB:EB)</f>
        <v/>
      </c>
      <c r="AG161" s="109" t="n"/>
      <c r="AH161" s="65" t="n"/>
      <c r="AI161" s="65" t="n"/>
      <c r="AJ161" s="65" t="n"/>
    </row>
    <row r="162" ht="15.75" customHeight="1" s="453">
      <c r="A162" s="27" t="inlineStr">
        <is>
          <t>DE1AA020008T</t>
        </is>
      </c>
      <c r="B162" s="14" t="e">
        <v>#N/A</v>
      </c>
      <c r="C162" s="136" t="inlineStr">
        <is>
          <t>鑽石光感潔膚乳 100ml</t>
        </is>
      </c>
      <c r="D162" s="77" t="n"/>
      <c r="E162" s="17" t="inlineStr">
        <is>
          <t>PCS</t>
        </is>
      </c>
      <c r="F162" s="70" t="n"/>
      <c r="G162" s="18" t="n"/>
      <c r="H162" s="64" t="n">
        <v>0</v>
      </c>
      <c r="I162" s="64" t="n">
        <v>0</v>
      </c>
      <c r="J162" s="20">
        <f>SUMIFS(領用表!$L:$L,領用表!$E:$E,$B162,領用表!$B:$B,J$2&amp;$R$1)</f>
        <v/>
      </c>
      <c r="K162" s="20">
        <f>SUMIFS(領用表!$L:$L,領用表!$E:$E,$B162,領用表!$B:$B,K$2&amp;$R$1)</f>
        <v/>
      </c>
      <c r="L162" s="20">
        <f>SUMIFS(領用表!$L:$L,領用表!$E:$E,$B162,領用表!$B:$B,L$2&amp;$R$1)</f>
        <v/>
      </c>
      <c r="M162" s="142">
        <f>SUMIFS(領用表!$L:$L,領用表!$E:$E,$B162,領用表!$B:$B,M$2&amp;$R$1)</f>
        <v/>
      </c>
      <c r="N162" s="142">
        <f>SUMIFS(領用表!$L:$L,領用表!$E:$E,$B162,領用表!$B:$B,N$2&amp;$R$1)</f>
        <v/>
      </c>
      <c r="O162" s="142">
        <f>SUMIFS(領用表!$L:$L,領用表!$E:$E,$B162,領用表!$B:$B,O$2&amp;$R$1)</f>
        <v/>
      </c>
      <c r="P162" s="23">
        <f>SUM(,J162,K162,L162,M162,N162,O162)</f>
        <v/>
      </c>
      <c r="Q162" s="23">
        <f>AVERAGE(,J162,K162,L162,M162,N162,O162)</f>
        <v/>
      </c>
      <c r="R162" s="142">
        <f>SUMIFS(領用表!$L:$L,領用表!$E:$E,$B162,領用表!$B:$B,R$2&amp;$R$1)</f>
        <v/>
      </c>
      <c r="S162" s="405">
        <f>SUMIFS(領用表!$L:$L,領用表!$E:$E,$B162,領用表!$B:$B,S$2&amp;$R$1)</f>
        <v/>
      </c>
      <c r="T162" s="405">
        <f>SUMIFS(領用表!$L:$L,領用表!$E:$E,$B162,領用表!$B:$B,T$2&amp;$R$1)</f>
        <v/>
      </c>
      <c r="U162" s="405">
        <f>SUMIFS(領用表!$L:$L,領用表!$E:$E,$B162,領用表!$B:$B,U$2&amp;$R$1)</f>
        <v/>
      </c>
      <c r="V162" s="405">
        <f>SUMIFS(領用表!$L:$L,領用表!$E:$E,$B162,領用表!$B:$B,V$2&amp;$R$1)</f>
        <v/>
      </c>
      <c r="W162" s="405">
        <f>SUMIFS(領用表!$L:$L,領用表!$E:$E,$B162,領用表!$B:$B,W$2&amp;$R$1)</f>
        <v/>
      </c>
      <c r="X162" s="405">
        <f>SUMIFS(領用表!$L:$L,領用表!$E:$E,$B162,領用表!$B:$B,X$2&amp;$R$1)</f>
        <v/>
      </c>
      <c r="Y162" s="405">
        <f>SUMIFS(領用表!$L:$L,領用表!$E:$E,$B162,領用表!$B:$B,Y$2&amp;$R$1)</f>
        <v/>
      </c>
      <c r="Z162" s="405">
        <f>SUMIFS(領用表!$L:$L,領用表!$E:$E,$B162,領用表!$B:$B,Z$2&amp;$R$1)</f>
        <v/>
      </c>
      <c r="AA162" s="405">
        <f>SUMIFS(領用表!$L:$L,領用表!$E:$E,$B162,領用表!$B:$B,AA$2&amp;$R$1)</f>
        <v/>
      </c>
      <c r="AB162" s="405">
        <f>SUMIFS(領用表!$L:$L,領用表!$E:$E,$B162,領用表!$B:$B,AB$2&amp;$R$1)</f>
        <v/>
      </c>
      <c r="AC162" s="405">
        <f>SUMIFS(領用表!$L:$L,領用表!$E:$E,$B162,領用表!$B:$B,AC$2&amp;$R$1)</f>
        <v/>
      </c>
      <c r="AD162" s="405">
        <f>SUM(R162,S162,T162,U162,V162,W162)</f>
        <v/>
      </c>
      <c r="AE162" s="405">
        <f>AVERAGE(R162,S162,T162,U162,V162,W162)</f>
        <v/>
      </c>
      <c r="AF162" s="405">
        <f>SUMIF(Summary!B:B,B162,Summary!EB:EB)</f>
        <v/>
      </c>
      <c r="AG162" s="111" t="n">
        <v>10</v>
      </c>
      <c r="AH162" s="80" t="n"/>
      <c r="AI162" s="83" t="n"/>
      <c r="AJ162" s="83" t="n"/>
    </row>
    <row r="163" ht="15.75" customHeight="1" s="453">
      <c r="A163" s="27" t="inlineStr">
        <is>
          <t>TE1AA020007T</t>
        </is>
      </c>
      <c r="B163" s="14" t="n">
        <v>6020002</v>
      </c>
      <c r="C163" s="136" t="inlineStr">
        <is>
          <t>試用-鑽石光感潔膚乳 100ml</t>
        </is>
      </c>
      <c r="D163" s="77" t="n"/>
      <c r="E163" s="17" t="inlineStr">
        <is>
          <t>PCS</t>
        </is>
      </c>
      <c r="F163" s="70" t="n"/>
      <c r="G163" s="18" t="n"/>
      <c r="H163" s="64" t="n"/>
      <c r="I163" s="64" t="n"/>
      <c r="J163" s="20">
        <f>SUMIFS(領用表!$L:$L,領用表!$E:$E,$B163,領用表!$B:$B,J$2&amp;$R$1)</f>
        <v/>
      </c>
      <c r="K163" s="20">
        <f>SUMIFS(領用表!$L:$L,領用表!$E:$E,$B163,領用表!$B:$B,K$2&amp;$R$1)</f>
        <v/>
      </c>
      <c r="L163" s="20">
        <f>SUMIFS(領用表!$L:$L,領用表!$E:$E,$B163,領用表!$B:$B,L$2&amp;$R$1)</f>
        <v/>
      </c>
      <c r="M163" s="142">
        <f>SUMIFS(領用表!$L:$L,領用表!$E:$E,$B163,領用表!$B:$B,M$2&amp;$R$1)</f>
        <v/>
      </c>
      <c r="N163" s="142">
        <f>SUMIFS(領用表!$L:$L,領用表!$E:$E,$B163,領用表!$B:$B,N$2&amp;$R$1)</f>
        <v/>
      </c>
      <c r="O163" s="142">
        <f>SUMIFS(領用表!$L:$L,領用表!$E:$E,$B163,領用表!$B:$B,O$2&amp;$R$1)</f>
        <v/>
      </c>
      <c r="P163" s="23">
        <f>SUM(,J163,K163,L163,M163,N163,O163)</f>
        <v/>
      </c>
      <c r="Q163" s="23">
        <f>AVERAGE(,J163,K163,L163,M163,N163,O163)</f>
        <v/>
      </c>
      <c r="R163" s="142">
        <f>SUMIFS(領用表!$L:$L,領用表!$E:$E,$B163,領用表!$B:$B,R$2&amp;$R$1)</f>
        <v/>
      </c>
      <c r="S163" s="405">
        <f>SUMIFS(領用表!$L:$L,領用表!$E:$E,$B163,領用表!$B:$B,S$2&amp;$R$1)</f>
        <v/>
      </c>
      <c r="T163" s="405">
        <f>SUMIFS(領用表!$L:$L,領用表!$E:$E,$B163,領用表!$B:$B,T$2&amp;$R$1)</f>
        <v/>
      </c>
      <c r="U163" s="405">
        <f>SUMIFS(領用表!$L:$L,領用表!$E:$E,$B163,領用表!$B:$B,U$2&amp;$R$1)</f>
        <v/>
      </c>
      <c r="V163" s="405">
        <f>SUMIFS(領用表!$L:$L,領用表!$E:$E,$B163,領用表!$B:$B,V$2&amp;$R$1)</f>
        <v/>
      </c>
      <c r="W163" s="405" t="n"/>
      <c r="X163" s="405">
        <f>SUMIFS(領用表!$L:$L,領用表!$E:$E,$B163,領用表!$B:$B,X$2&amp;$R$1)</f>
        <v/>
      </c>
      <c r="Y163" s="405">
        <f>SUMIFS(領用表!$L:$L,領用表!$E:$E,$B163,領用表!$B:$B,Y$2&amp;$R$1)</f>
        <v/>
      </c>
      <c r="Z163" s="405">
        <f>SUMIFS(領用表!$L:$L,領用表!$E:$E,$B163,領用表!$B:$B,Z$2&amp;$R$1)</f>
        <v/>
      </c>
      <c r="AA163" s="405">
        <f>SUMIFS(領用表!$L:$L,領用表!$E:$E,$B163,領用表!$B:$B,AA$2&amp;$R$1)</f>
        <v/>
      </c>
      <c r="AB163" s="405">
        <f>SUMIFS(領用表!$L:$L,領用表!$E:$E,$B163,領用表!$B:$B,AB$2&amp;$R$1)</f>
        <v/>
      </c>
      <c r="AC163" s="405">
        <f>SUMIFS(領用表!$L:$L,領用表!$E:$E,$B163,領用表!$B:$B,AC$2&amp;$R$1)</f>
        <v/>
      </c>
      <c r="AD163" s="405">
        <f>SUM(R163,S163,T163,U163,V163,W163)</f>
        <v/>
      </c>
      <c r="AE163" s="405">
        <f>AVERAGE(R163,S163,T163,U163,V163,W163)</f>
        <v/>
      </c>
      <c r="AF163" s="405">
        <f>SUMIF(Summary!B:B,B163,Summary!EB:EB)</f>
        <v/>
      </c>
      <c r="AG163" s="111" t="n">
        <v>0</v>
      </c>
      <c r="AH163" s="80" t="n"/>
      <c r="AI163" s="65" t="n"/>
      <c r="AJ163" s="65" t="n"/>
    </row>
    <row r="164" ht="15.75" customHeight="1" s="453">
      <c r="A164" s="27" t="inlineStr">
        <is>
          <t>DN1AB090006T</t>
        </is>
      </c>
      <c r="B164" s="14" t="n">
        <v>1080005</v>
      </c>
      <c r="C164" s="136" t="inlineStr">
        <is>
          <t>明眸撫紋水嫩眼膜 10mL(玫瑰金)</t>
        </is>
      </c>
      <c r="D164" s="77" t="n"/>
      <c r="E164" s="17" t="inlineStr">
        <is>
          <t>PCS</t>
        </is>
      </c>
      <c r="F164" s="70" t="n"/>
      <c r="G164" s="18" t="n"/>
      <c r="H164" s="68">
        <f>SUM(#REF!)</f>
        <v/>
      </c>
      <c r="I164" s="26">
        <f>H164/12</f>
        <v/>
      </c>
      <c r="J164" s="20">
        <f>SUMIFS(領用表!$L:$L,領用表!$E:$E,$B164,領用表!$B:$B,J$2&amp;$R$1)</f>
        <v/>
      </c>
      <c r="K164" s="20">
        <f>SUMIFS(領用表!$L:$L,領用表!$E:$E,$B164,領用表!$B:$B,K$2&amp;$R$1)</f>
        <v/>
      </c>
      <c r="L164" s="20">
        <f>SUMIFS(領用表!$L:$L,領用表!$E:$E,$B164,領用表!$B:$B,L$2&amp;$R$1)</f>
        <v/>
      </c>
      <c r="M164" s="142">
        <f>SUMIFS(領用表!$L:$L,領用表!$E:$E,$B164,領用表!$B:$B,M$2&amp;$R$1)</f>
        <v/>
      </c>
      <c r="N164" s="142">
        <f>SUMIFS(領用表!$L:$L,領用表!$E:$E,$B164,領用表!$B:$B,N$2&amp;$R$1)</f>
        <v/>
      </c>
      <c r="O164" s="142">
        <f>SUMIFS(領用表!$L:$L,領用表!$E:$E,$B164,領用表!$B:$B,O$2&amp;$R$1)</f>
        <v/>
      </c>
      <c r="P164" s="23">
        <f>SUM(,J164,K164,L164,M164,N164,O164)</f>
        <v/>
      </c>
      <c r="Q164" s="23">
        <f>AVERAGE(,J164,K164,L164,M164,N164,O164)</f>
        <v/>
      </c>
      <c r="R164" s="142">
        <f>SUMIFS(領用表!$L:$L,領用表!$E:$E,$B164,領用表!$B:$B,R$2&amp;$R$1)</f>
        <v/>
      </c>
      <c r="S164" s="142">
        <f>SUMIFS(領用表!$L:$L,領用表!$E:$E,$B164,領用表!$B:$B,S$2&amp;$R$1)</f>
        <v/>
      </c>
      <c r="T164" s="142">
        <f>SUMIFS(領用表!$L:$L,領用表!$E:$E,$B164,領用表!$B:$B,T$2&amp;$R$1)</f>
        <v/>
      </c>
      <c r="U164" s="142">
        <f>SUMIFS(領用表!$L:$L,領用表!$E:$E,$B164,領用表!$B:$B,U$2&amp;$R$1)</f>
        <v/>
      </c>
      <c r="V164" s="142">
        <f>SUMIFS(領用表!$L:$L,領用表!$E:$E,$B164,領用表!$B:$B,V$2&amp;$R$1)</f>
        <v/>
      </c>
      <c r="W164" s="142">
        <f>SUMIFS(領用表!$L:$L,領用表!$E:$E,$B164,領用表!$B:$B,W$2&amp;$R$1)</f>
        <v/>
      </c>
      <c r="X164" s="142">
        <f>SUMIFS(領用表!$L:$L,領用表!$E:$E,$B164,領用表!$B:$B,X$2&amp;$R$1)</f>
        <v/>
      </c>
      <c r="Y164" s="142">
        <f>SUMIFS(領用表!$L:$L,領用表!$E:$E,$B164,領用表!$B:$B,Y$2&amp;$R$1)</f>
        <v/>
      </c>
      <c r="Z164" s="142">
        <f>SUMIFS(領用表!$L:$L,領用表!$E:$E,$B164,領用表!$B:$B,Z$2&amp;$R$1)</f>
        <v/>
      </c>
      <c r="AA164" s="142">
        <f>SUMIFS(領用表!$L:$L,領用表!$E:$E,$B164,領用表!$B:$B,AA$2&amp;$R$1)</f>
        <v/>
      </c>
      <c r="AB164" s="142">
        <f>SUMIFS(領用表!$L:$L,領用表!$E:$E,$B164,領用表!$B:$B,AB$2&amp;$R$1)</f>
        <v/>
      </c>
      <c r="AC164" s="142">
        <f>SUMIFS(領用表!$L:$L,領用表!$E:$E,$B164,領用表!$B:$B,AC$2&amp;$R$1)</f>
        <v/>
      </c>
      <c r="AD164" s="142">
        <f>SUM(R164,S164,T164,U164,V164,W164)</f>
        <v/>
      </c>
      <c r="AE164" s="142">
        <f>AVERAGE(R164,S164,T164,U164,V164,W164)</f>
        <v/>
      </c>
      <c r="AF164" s="142">
        <f>SUMIF(Summary!B:B,B164,Summary!EB:EB)</f>
        <v/>
      </c>
      <c r="AG164" s="109" t="n">
        <v>1000</v>
      </c>
      <c r="AH164" s="65" t="n"/>
      <c r="AI164" s="65" t="n"/>
      <c r="AJ164" s="65" t="n"/>
    </row>
    <row r="165" ht="15.75" customHeight="1" s="453">
      <c r="A165" s="27" t="inlineStr">
        <is>
          <t>DE1AB090013T</t>
        </is>
      </c>
      <c r="B165" s="14" t="n">
        <v>1080008</v>
      </c>
      <c r="C165" s="136" t="inlineStr">
        <is>
          <t>藍金活酵能量舒壓眼膜 8mL(白)</t>
        </is>
      </c>
      <c r="D165" s="77" t="n"/>
      <c r="E165" s="17" t="inlineStr">
        <is>
          <t>PCS</t>
        </is>
      </c>
      <c r="F165" s="70" t="n"/>
      <c r="G165" s="18" t="n"/>
      <c r="H165" s="64" t="n"/>
      <c r="I165" s="64" t="n"/>
      <c r="J165" s="20">
        <f>SUMIFS(領用表!$L:$L,領用表!$E:$E,$B165,領用表!$B:$B,J$2&amp;$R$1)</f>
        <v/>
      </c>
      <c r="K165" s="20">
        <f>SUMIFS(領用表!$L:$L,領用表!$E:$E,$B165,領用表!$B:$B,K$2&amp;$R$1)</f>
        <v/>
      </c>
      <c r="L165" s="20">
        <f>SUMIFS(領用表!$L:$L,領用表!$E:$E,$B165,領用表!$B:$B,L$2&amp;$R$1)</f>
        <v/>
      </c>
      <c r="M165" s="142">
        <f>SUMIFS(領用表!$L:$L,領用表!$E:$E,$B165,領用表!$B:$B,M$2&amp;$R$1)</f>
        <v/>
      </c>
      <c r="N165" s="142">
        <f>SUMIFS(領用表!$L:$L,領用表!$E:$E,$B165,領用表!$B:$B,N$2&amp;$R$1)</f>
        <v/>
      </c>
      <c r="O165" s="142">
        <f>SUMIFS(領用表!$L:$L,領用表!$E:$E,$B165,領用表!$B:$B,O$2&amp;$R$1)</f>
        <v/>
      </c>
      <c r="P165" s="23">
        <f>SUM(,J165,K165,L165,M165,N165,O165)</f>
        <v/>
      </c>
      <c r="Q165" s="23">
        <f>AVERAGE(,J165,K165,L165,M165,N165,O165)</f>
        <v/>
      </c>
      <c r="R165" s="142">
        <f>SUMIFS(領用表!$L:$L,領用表!$E:$E,$B165,領用表!$B:$B,R$2&amp;$R$1)</f>
        <v/>
      </c>
      <c r="S165" s="405">
        <f>SUMIFS(領用表!$L:$L,領用表!$E:$E,$B165,領用表!$B:$B,S$2&amp;$R$1)</f>
        <v/>
      </c>
      <c r="T165" s="405">
        <f>SUMIFS(領用表!$L:$L,領用表!$E:$E,$B165,領用表!$B:$B,T$2&amp;$R$1)</f>
        <v/>
      </c>
      <c r="U165" s="405">
        <f>SUMIFS(領用表!$L:$L,領用表!$E:$E,$B165,領用表!$B:$B,U$2&amp;$R$1)</f>
        <v/>
      </c>
      <c r="V165" s="405">
        <f>SUMIFS(領用表!$L:$L,領用表!$E:$E,$B165,領用表!$B:$B,V$2&amp;$R$1)</f>
        <v/>
      </c>
      <c r="W165" s="405" t="n"/>
      <c r="X165" s="405">
        <f>SUMIFS(領用表!$L:$L,領用表!$E:$E,$B165,領用表!$B:$B,X$2&amp;$R$1)</f>
        <v/>
      </c>
      <c r="Y165" s="405">
        <f>SUMIFS(領用表!$L:$L,領用表!$E:$E,$B165,領用表!$B:$B,Y$2&amp;$R$1)</f>
        <v/>
      </c>
      <c r="Z165" s="405">
        <f>SUMIFS(領用表!$L:$L,領用表!$E:$E,$B165,領用表!$B:$B,Z$2&amp;$R$1)</f>
        <v/>
      </c>
      <c r="AA165" s="405">
        <f>SUMIFS(領用表!$L:$L,領用表!$E:$E,$B165,領用表!$B:$B,AA$2&amp;$R$1)</f>
        <v/>
      </c>
      <c r="AB165" s="405">
        <f>SUMIFS(領用表!$L:$L,領用表!$E:$E,$B165,領用表!$B:$B,AB$2&amp;$R$1)</f>
        <v/>
      </c>
      <c r="AC165" s="405">
        <f>SUMIFS(領用表!$L:$L,領用表!$E:$E,$B165,領用表!$B:$B,AC$2&amp;$R$1)</f>
        <v/>
      </c>
      <c r="AD165" s="405">
        <f>SUM(R165,S165,T165,U165,V165,W165)</f>
        <v/>
      </c>
      <c r="AE165" s="405">
        <f>AVERAGE(R165,S165,T165,U165,V165,W165)</f>
        <v/>
      </c>
      <c r="AF165" s="405">
        <f>SUMIF(Summary!B:B,B165,Summary!EB:EB)</f>
        <v/>
      </c>
      <c r="AG165" s="111" t="n">
        <v>0</v>
      </c>
      <c r="AH165" s="80" t="n"/>
      <c r="AI165" s="65" t="n"/>
      <c r="AJ165" s="65" t="n"/>
    </row>
    <row r="166" ht="15.75" customHeight="1" s="453">
      <c r="A166" s="27" t="inlineStr">
        <is>
          <t>FE1AA200004T</t>
        </is>
      </c>
      <c r="B166" s="14" t="n">
        <v>6230003</v>
      </c>
      <c r="C166" s="136" t="inlineStr">
        <is>
          <t>試用包-光燦輕感防曬隔離乳 2mL(尖嘴單劑包)</t>
        </is>
      </c>
      <c r="D166" s="77" t="n"/>
      <c r="E166" s="17" t="inlineStr">
        <is>
          <t>PCS</t>
        </is>
      </c>
      <c r="F166" s="70" t="n"/>
      <c r="G166" s="18" t="n"/>
      <c r="H166" s="64" t="n"/>
      <c r="I166" s="64" t="n"/>
      <c r="J166" s="20">
        <f>SUMIFS(領用表!$L:$L,領用表!$E:$E,$B166,領用表!$B:$B,J$2&amp;$R$1)</f>
        <v/>
      </c>
      <c r="K166" s="20">
        <f>SUMIFS(領用表!$L:$L,領用表!$E:$E,$B166,領用表!$B:$B,K$2&amp;$R$1)</f>
        <v/>
      </c>
      <c r="L166" s="20">
        <f>SUMIFS(領用表!$L:$L,領用表!$E:$E,$B166,領用表!$B:$B,L$2&amp;$R$1)</f>
        <v/>
      </c>
      <c r="M166" s="142">
        <f>SUMIFS(領用表!$L:$L,領用表!$E:$E,$B166,領用表!$B:$B,M$2&amp;$R$1)</f>
        <v/>
      </c>
      <c r="N166" s="142">
        <f>SUMIFS(領用表!$L:$L,領用表!$E:$E,$B166,領用表!$B:$B,N$2&amp;$R$1)</f>
        <v/>
      </c>
      <c r="O166" s="142">
        <f>SUMIFS(領用表!$L:$L,領用表!$E:$E,$B166,領用表!$B:$B,O$2&amp;$R$1)</f>
        <v/>
      </c>
      <c r="P166" s="23">
        <f>SUM(,J166,K166,L166,M166,N166,O166)</f>
        <v/>
      </c>
      <c r="Q166" s="23">
        <f>AVERAGE(,J166,K166,L166,M166,N166,O166)</f>
        <v/>
      </c>
      <c r="R166" s="142">
        <f>SUMIFS(領用表!$L:$L,領用表!$E:$E,$B166,領用表!$B:$B,R$2&amp;$R$1)</f>
        <v/>
      </c>
      <c r="S166" s="405">
        <f>SUMIFS(領用表!$L:$L,領用表!$E:$E,$B166,領用表!$B:$B,S$2&amp;$R$1)</f>
        <v/>
      </c>
      <c r="T166" s="405">
        <f>SUMIFS(領用表!$L:$L,領用表!$E:$E,$B166,領用表!$B:$B,T$2&amp;$R$1)</f>
        <v/>
      </c>
      <c r="U166" s="405">
        <f>SUMIFS(領用表!$L:$L,領用表!$E:$E,$B166,領用表!$B:$B,U$2&amp;$R$1)</f>
        <v/>
      </c>
      <c r="V166" s="405">
        <f>SUMIFS(領用表!$L:$L,領用表!$E:$E,$B166,領用表!$B:$B,V$2&amp;$R$1)</f>
        <v/>
      </c>
      <c r="W166" s="405" t="n"/>
      <c r="X166" s="405">
        <f>SUMIFS(領用表!$L:$L,領用表!$E:$E,$B166,領用表!$B:$B,X$2&amp;$R$1)</f>
        <v/>
      </c>
      <c r="Y166" s="405">
        <f>SUMIFS(領用表!$L:$L,領用表!$E:$E,$B166,領用表!$B:$B,Y$2&amp;$R$1)</f>
        <v/>
      </c>
      <c r="Z166" s="405">
        <f>SUMIFS(領用表!$L:$L,領用表!$E:$E,$B166,領用表!$B:$B,Z$2&amp;$R$1)</f>
        <v/>
      </c>
      <c r="AA166" s="405">
        <f>SUMIFS(領用表!$L:$L,領用表!$E:$E,$B166,領用表!$B:$B,AA$2&amp;$R$1)</f>
        <v/>
      </c>
      <c r="AB166" s="405">
        <f>SUMIFS(領用表!$L:$L,領用表!$E:$E,$B166,領用表!$B:$B,AB$2&amp;$R$1)</f>
        <v/>
      </c>
      <c r="AC166" s="405">
        <f>SUMIFS(領用表!$L:$L,領用表!$E:$E,$B166,領用表!$B:$B,AC$2&amp;$R$1)</f>
        <v/>
      </c>
      <c r="AD166" s="405">
        <f>SUM(R166,S166,T166,U166,V166,W166)</f>
        <v/>
      </c>
      <c r="AE166" s="405">
        <f>AVERAGE(R166,S166,T166,U166,V166,W166)</f>
        <v/>
      </c>
      <c r="AF166" s="405">
        <f>SUMIF(Summary!B:B,B166,Summary!EB:EB)</f>
        <v/>
      </c>
      <c r="AG166" s="111" t="n">
        <v>0</v>
      </c>
      <c r="AH166" s="80" t="n"/>
      <c r="AI166" s="76" t="n"/>
      <c r="AJ166" s="83" t="n"/>
    </row>
    <row r="167" ht="15.75" customHeight="1" s="453">
      <c r="A167" s="27" t="inlineStr">
        <is>
          <t>FE1AA060003T</t>
        </is>
      </c>
      <c r="B167" s="14" t="e">
        <v>#N/A</v>
      </c>
      <c r="C167" s="136" t="inlineStr">
        <is>
          <t>試用包-富勒烯煥齡賦活水凝乳 2mL(尖嘴單劑包)</t>
        </is>
      </c>
      <c r="D167" s="77" t="n"/>
      <c r="E167" s="17" t="inlineStr">
        <is>
          <t>PCS</t>
        </is>
      </c>
      <c r="F167" s="70" t="n"/>
      <c r="G167" s="18" t="n"/>
      <c r="H167" s="64" t="n"/>
      <c r="I167" s="64" t="n"/>
      <c r="J167" s="20">
        <f>SUMIFS(領用表!$L:$L,領用表!$E:$E,$B167,領用表!$B:$B,J$2&amp;$R$1)</f>
        <v/>
      </c>
      <c r="K167" s="20">
        <f>SUMIFS(領用表!$L:$L,領用表!$E:$E,$B167,領用表!$B:$B,K$2&amp;$R$1)</f>
        <v/>
      </c>
      <c r="L167" s="20">
        <f>SUMIFS(領用表!$L:$L,領用表!$E:$E,$B167,領用表!$B:$B,L$2&amp;$R$1)</f>
        <v/>
      </c>
      <c r="M167" s="142">
        <f>SUMIFS(領用表!$L:$L,領用表!$E:$E,$B167,領用表!$B:$B,M$2&amp;$R$1)</f>
        <v/>
      </c>
      <c r="N167" s="142">
        <f>SUMIFS(領用表!$L:$L,領用表!$E:$E,$B167,領用表!$B:$B,N$2&amp;$R$1)</f>
        <v/>
      </c>
      <c r="O167" s="142">
        <f>SUMIFS(領用表!$L:$L,領用表!$E:$E,$B167,領用表!$B:$B,O$2&amp;$R$1)</f>
        <v/>
      </c>
      <c r="P167" s="23">
        <f>SUM(,J167,K167,L167,M167,N167,O167)</f>
        <v/>
      </c>
      <c r="Q167" s="23">
        <f>AVERAGE(,J167,K167,L167,M167,N167,O167)</f>
        <v/>
      </c>
      <c r="R167" s="142">
        <f>SUMIFS(領用表!$L:$L,領用表!$E:$E,$B167,領用表!$B:$B,R$2&amp;$R$1)</f>
        <v/>
      </c>
      <c r="S167" s="405">
        <f>SUMIFS(領用表!$L:$L,領用表!$E:$E,$B167,領用表!$B:$B,S$2&amp;$R$1)</f>
        <v/>
      </c>
      <c r="T167" s="405">
        <f>SUMIFS(領用表!$L:$L,領用表!$E:$E,$B167,領用表!$B:$B,T$2&amp;$R$1)</f>
        <v/>
      </c>
      <c r="U167" s="405">
        <f>SUMIFS(領用表!$L:$L,領用表!$E:$E,$B167,領用表!$B:$B,U$2&amp;$R$1)</f>
        <v/>
      </c>
      <c r="V167" s="405">
        <f>SUMIFS(領用表!$L:$L,領用表!$E:$E,$B167,領用表!$B:$B,V$2&amp;$R$1)</f>
        <v/>
      </c>
      <c r="W167" s="405">
        <f>SUMIFS(領用表!$L:$L,領用表!$E:$E,$B167,領用表!$B:$B,W$2&amp;$R$1)</f>
        <v/>
      </c>
      <c r="X167" s="405">
        <f>SUMIFS(領用表!$L:$L,領用表!$E:$E,$B167,領用表!$B:$B,X$2&amp;$R$1)</f>
        <v/>
      </c>
      <c r="Y167" s="405">
        <f>SUMIFS(領用表!$L:$L,領用表!$E:$E,$B167,領用表!$B:$B,Y$2&amp;$R$1)</f>
        <v/>
      </c>
      <c r="Z167" s="405">
        <f>SUMIFS(領用表!$L:$L,領用表!$E:$E,$B167,領用表!$B:$B,Z$2&amp;$R$1)</f>
        <v/>
      </c>
      <c r="AA167" s="405">
        <f>SUMIFS(領用表!$L:$L,領用表!$E:$E,$B167,領用表!$B:$B,AA$2&amp;$R$1)</f>
        <v/>
      </c>
      <c r="AB167" s="405">
        <f>SUMIFS(領用表!$L:$L,領用表!$E:$E,$B167,領用表!$B:$B,AB$2&amp;$R$1)</f>
        <v/>
      </c>
      <c r="AC167" s="405">
        <f>SUMIFS(領用表!$L:$L,領用表!$E:$E,$B167,領用表!$B:$B,AC$2&amp;$R$1)</f>
        <v/>
      </c>
      <c r="AD167" s="405">
        <f>SUM(R167,S167,T167,U167,V167,W167)</f>
        <v/>
      </c>
      <c r="AE167" s="405">
        <f>AVERAGE(R167,S167,T167,U167,V167,W167)</f>
        <v/>
      </c>
      <c r="AF167" s="405">
        <f>SUMIF(Summary!B:B,B167,Summary!EB:EB)</f>
        <v/>
      </c>
      <c r="AG167" s="111" t="n">
        <v>0</v>
      </c>
      <c r="AH167" s="80" t="n"/>
      <c r="AI167" s="65" t="n"/>
      <c r="AJ167" s="65" t="n"/>
    </row>
    <row r="168" ht="15.75" customHeight="1" s="453">
      <c r="A168" s="27" t="inlineStr">
        <is>
          <t>FL1AA030002T</t>
        </is>
      </c>
      <c r="B168" s="14" t="e">
        <v>#N/A</v>
      </c>
      <c r="C168" s="136" t="inlineStr">
        <is>
          <t>試用包 - 水盈潤去角質凝膠 3mL</t>
        </is>
      </c>
      <c r="D168" s="77" t="n"/>
      <c r="E168" s="17" t="inlineStr">
        <is>
          <t>PCS</t>
        </is>
      </c>
      <c r="F168" s="70" t="n"/>
      <c r="G168" s="18" t="n"/>
      <c r="H168" s="64" t="n"/>
      <c r="I168" s="64" t="n"/>
      <c r="J168" s="20">
        <f>SUMIFS(領用表!$L:$L,領用表!$E:$E,$B168,領用表!$B:$B,J$2&amp;$R$1)</f>
        <v/>
      </c>
      <c r="K168" s="20">
        <f>SUMIFS(領用表!$L:$L,領用表!$E:$E,$B168,領用表!$B:$B,K$2&amp;$R$1)</f>
        <v/>
      </c>
      <c r="L168" s="20">
        <f>SUMIFS(領用表!$L:$L,領用表!$E:$E,$B168,領用表!$B:$B,L$2&amp;$R$1)</f>
        <v/>
      </c>
      <c r="M168" s="142">
        <f>SUMIFS(領用表!$L:$L,領用表!$E:$E,$B168,領用表!$B:$B,M$2&amp;$R$1)</f>
        <v/>
      </c>
      <c r="N168" s="142">
        <f>SUMIFS(領用表!$L:$L,領用表!$E:$E,$B168,領用表!$B:$B,N$2&amp;$R$1)</f>
        <v/>
      </c>
      <c r="O168" s="142">
        <f>SUMIFS(領用表!$L:$L,領用表!$E:$E,$B168,領用表!$B:$B,O$2&amp;$R$1)</f>
        <v/>
      </c>
      <c r="P168" s="23">
        <f>SUM(,J168,K168,L168,M168,N168,O168)</f>
        <v/>
      </c>
      <c r="Q168" s="23">
        <f>AVERAGE(,J168,K168,L168,M168,N168,O168)</f>
        <v/>
      </c>
      <c r="R168" s="142">
        <f>SUMIFS(領用表!$L:$L,領用表!$E:$E,$B168,領用表!$B:$B,R$2&amp;$R$1)</f>
        <v/>
      </c>
      <c r="S168" s="405">
        <f>SUMIFS(領用表!$L:$L,領用表!$E:$E,$B168,領用表!$B:$B,S$2&amp;$R$1)</f>
        <v/>
      </c>
      <c r="T168" s="405">
        <f>SUMIFS(領用表!$L:$L,領用表!$E:$E,$B168,領用表!$B:$B,T$2&amp;$R$1)</f>
        <v/>
      </c>
      <c r="U168" s="405">
        <f>SUMIFS(領用表!$L:$L,領用表!$E:$E,$B168,領用表!$B:$B,U$2&amp;$R$1)</f>
        <v/>
      </c>
      <c r="V168" s="405">
        <f>SUMIFS(領用表!$L:$L,領用表!$E:$E,$B168,領用表!$B:$B,V$2&amp;$R$1)</f>
        <v/>
      </c>
      <c r="W168" s="405">
        <f>SUMIFS(領用表!$L:$L,領用表!$E:$E,$B168,領用表!$B:$B,W$2&amp;$R$1)</f>
        <v/>
      </c>
      <c r="X168" s="405">
        <f>SUMIFS(領用表!$L:$L,領用表!$E:$E,$B168,領用表!$B:$B,X$2&amp;$R$1)</f>
        <v/>
      </c>
      <c r="Y168" s="405">
        <f>SUMIFS(領用表!$L:$L,領用表!$E:$E,$B168,領用表!$B:$B,Y$2&amp;$R$1)</f>
        <v/>
      </c>
      <c r="Z168" s="405">
        <f>SUMIFS(領用表!$L:$L,領用表!$E:$E,$B168,領用表!$B:$B,Z$2&amp;$R$1)</f>
        <v/>
      </c>
      <c r="AA168" s="405">
        <f>SUMIFS(領用表!$L:$L,領用表!$E:$E,$B168,領用表!$B:$B,AA$2&amp;$R$1)</f>
        <v/>
      </c>
      <c r="AB168" s="405">
        <f>SUMIFS(領用表!$L:$L,領用表!$E:$E,$B168,領用表!$B:$B,AB$2&amp;$R$1)</f>
        <v/>
      </c>
      <c r="AC168" s="405">
        <f>SUMIFS(領用表!$L:$L,領用表!$E:$E,$B168,領用表!$B:$B,AC$2&amp;$R$1)</f>
        <v/>
      </c>
      <c r="AD168" s="405">
        <f>SUM(R168,S168,T168,U168,V168,W168)</f>
        <v/>
      </c>
      <c r="AE168" s="405">
        <f>AVERAGE(R168,S168,T168,U168,V168,W168)</f>
        <v/>
      </c>
      <c r="AF168" s="405">
        <f>SUMIF(Summary!B:B,B168,Summary!EB:EB)</f>
        <v/>
      </c>
      <c r="AG168" s="111" t="n">
        <v>0</v>
      </c>
      <c r="AH168" s="80" t="n"/>
      <c r="AI168" s="65" t="n"/>
      <c r="AJ168" s="65" t="n"/>
    </row>
    <row r="169" ht="15.75" customHeight="1" s="453">
      <c r="A169" s="27" t="inlineStr">
        <is>
          <t>FL1AA060007T</t>
        </is>
      </c>
      <c r="B169" s="14" t="e">
        <v>#N/A</v>
      </c>
      <c r="C169" s="136" t="inlineStr">
        <is>
          <t>試用包-花神臻秘玫瑰肌密晶凝霜 2mL(含紙卡)</t>
        </is>
      </c>
      <c r="D169" s="77" t="n"/>
      <c r="E169" s="17" t="inlineStr">
        <is>
          <t>PCS</t>
        </is>
      </c>
      <c r="F169" s="70" t="n"/>
      <c r="G169" s="18" t="n"/>
      <c r="H169" s="64" t="n"/>
      <c r="I169" s="64" t="n"/>
      <c r="J169" s="20">
        <f>SUMIFS(領用表!$L:$L,領用表!$E:$E,$B169,領用表!$B:$B,J$2&amp;$R$1)</f>
        <v/>
      </c>
      <c r="K169" s="20">
        <f>SUMIFS(領用表!$L:$L,領用表!$E:$E,$B169,領用表!$B:$B,K$2&amp;$R$1)</f>
        <v/>
      </c>
      <c r="L169" s="20">
        <f>SUMIFS(領用表!$L:$L,領用表!$E:$E,$B169,領用表!$B:$B,L$2&amp;$R$1)</f>
        <v/>
      </c>
      <c r="M169" s="142">
        <f>SUMIFS(領用表!$L:$L,領用表!$E:$E,$B169,領用表!$B:$B,M$2&amp;$R$1)</f>
        <v/>
      </c>
      <c r="N169" s="142">
        <f>SUMIFS(領用表!$L:$L,領用表!$E:$E,$B169,領用表!$B:$B,N$2&amp;$R$1)</f>
        <v/>
      </c>
      <c r="O169" s="142">
        <f>SUMIFS(領用表!$L:$L,領用表!$E:$E,$B169,領用表!$B:$B,O$2&amp;$R$1)</f>
        <v/>
      </c>
      <c r="P169" s="23">
        <f>SUM(,J169,K169,L169,M169,N169,O169)</f>
        <v/>
      </c>
      <c r="Q169" s="23">
        <f>AVERAGE(,J169,K169,L169,M169,N169,O169)</f>
        <v/>
      </c>
      <c r="R169" s="142">
        <f>SUMIFS(領用表!$L:$L,領用表!$E:$E,$B169,領用表!$B:$B,R$2&amp;$R$1)</f>
        <v/>
      </c>
      <c r="S169" s="405">
        <f>SUMIFS(領用表!$L:$L,領用表!$E:$E,$B169,領用表!$B:$B,S$2&amp;$R$1)</f>
        <v/>
      </c>
      <c r="T169" s="405">
        <f>SUMIFS(領用表!$L:$L,領用表!$E:$E,$B169,領用表!$B:$B,T$2&amp;$R$1)</f>
        <v/>
      </c>
      <c r="U169" s="405">
        <f>SUMIFS(領用表!$L:$L,領用表!$E:$E,$B169,領用表!$B:$B,U$2&amp;$R$1)</f>
        <v/>
      </c>
      <c r="V169" s="405">
        <f>SUMIFS(領用表!$L:$L,領用表!$E:$E,$B169,領用表!$B:$B,V$2&amp;$R$1)</f>
        <v/>
      </c>
      <c r="W169" s="405">
        <f>SUMIFS(領用表!$L:$L,領用表!$E:$E,$B169,領用表!$B:$B,W$2&amp;$R$1)</f>
        <v/>
      </c>
      <c r="X169" s="405">
        <f>SUMIFS(領用表!$L:$L,領用表!$E:$E,$B169,領用表!$B:$B,X$2&amp;$R$1)</f>
        <v/>
      </c>
      <c r="Y169" s="405">
        <f>SUMIFS(領用表!$L:$L,領用表!$E:$E,$B169,領用表!$B:$B,Y$2&amp;$R$1)</f>
        <v/>
      </c>
      <c r="Z169" s="405">
        <f>SUMIFS(領用表!$L:$L,領用表!$E:$E,$B169,領用表!$B:$B,Z$2&amp;$R$1)</f>
        <v/>
      </c>
      <c r="AA169" s="405">
        <f>SUMIFS(領用表!$L:$L,領用表!$E:$E,$B169,領用表!$B:$B,AA$2&amp;$R$1)</f>
        <v/>
      </c>
      <c r="AB169" s="405">
        <f>SUMIFS(領用表!$L:$L,領用表!$E:$E,$B169,領用表!$B:$B,AB$2&amp;$R$1)</f>
        <v/>
      </c>
      <c r="AC169" s="405">
        <f>SUMIFS(領用表!$L:$L,領用表!$E:$E,$B169,領用表!$B:$B,AC$2&amp;$R$1)</f>
        <v/>
      </c>
      <c r="AD169" s="405">
        <f>SUM(R169,S169,T169,U169,V169,W169)</f>
        <v/>
      </c>
      <c r="AE169" s="405">
        <f>AVERAGE(R169,S169,T169,U169,V169,W169)</f>
        <v/>
      </c>
      <c r="AF169" s="405">
        <f>SUMIF(Summary!B:B,B169,Summary!EB:EB)</f>
        <v/>
      </c>
      <c r="AG169" s="111" t="n">
        <v>0</v>
      </c>
      <c r="AH169" s="80" t="n"/>
      <c r="AI169" s="65" t="n"/>
      <c r="AJ169" s="65" t="n"/>
    </row>
    <row r="170" hidden="1" ht="16.5" customHeight="1" s="453">
      <c r="A170" s="27" t="inlineStr">
        <is>
          <t>DN1AA090015T</t>
        </is>
      </c>
      <c r="B170" s="14" t="n">
        <v>1080002</v>
      </c>
      <c r="C170" s="136" t="inlineStr">
        <is>
          <t>神經醯胺水漾保濕面膜/ 30ml</t>
        </is>
      </c>
      <c r="D170" s="77" t="n"/>
      <c r="E170" s="17" t="inlineStr">
        <is>
          <t>PCS</t>
        </is>
      </c>
      <c r="F170" s="70" t="n"/>
      <c r="G170" s="18" t="n"/>
      <c r="H170" s="68">
        <f>SUM(#REF!)</f>
        <v/>
      </c>
      <c r="I170" s="26">
        <f>H170/12</f>
        <v/>
      </c>
      <c r="J170" s="20">
        <f>SUMIFS(領用表!$L:$L,領用表!$E:$E,$B170,領用表!$B:$B,J$2&amp;$R$1)</f>
        <v/>
      </c>
      <c r="K170" s="20">
        <f>SUMIFS(領用表!$L:$L,領用表!$E:$E,$B170,領用表!$B:$B,K$2&amp;$R$1)</f>
        <v/>
      </c>
      <c r="L170" s="20">
        <f>SUMIFS(領用表!$L:$L,領用表!$E:$E,$B170,領用表!$B:$B,L$2&amp;$R$1)</f>
        <v/>
      </c>
      <c r="M170" s="142">
        <f>SUMIFS(領用表!$L:$L,領用表!$E:$E,$B170,領用表!$B:$B,M$2&amp;$R$1)</f>
        <v/>
      </c>
      <c r="N170" s="142">
        <f>SUMIFS(領用表!$L:$L,領用表!$E:$E,$B170,領用表!$B:$B,N$2&amp;$R$1)</f>
        <v/>
      </c>
      <c r="O170" s="142">
        <f>SUMIFS(領用表!$L:$L,領用表!$E:$E,$B170,領用表!$B:$B,O$2&amp;$R$1)</f>
        <v/>
      </c>
      <c r="P170" s="23">
        <f>SUM(,J170,K170,L170,M170,N170,O170)</f>
        <v/>
      </c>
      <c r="Q170" s="23">
        <f>AVERAGE(,J170,K170,L170,M170,N170,O170)</f>
        <v/>
      </c>
      <c r="R170" s="142">
        <f>SUMIFS(領用表!$L:$L,領用表!$E:$E,$B170,領用表!$B:$B,R$2&amp;$R$1)</f>
        <v/>
      </c>
      <c r="S170" s="142">
        <f>SUMIFS(領用表!$L:$L,領用表!$E:$E,$B170,領用表!$B:$B,S$2&amp;$R$1)</f>
        <v/>
      </c>
      <c r="T170" s="142">
        <f>SUMIFS(領用表!$L:$L,領用表!$E:$E,$B170,領用表!$B:$B,T$2&amp;$R$1)</f>
        <v/>
      </c>
      <c r="U170" s="142">
        <f>SUMIFS(領用表!$L:$L,領用表!$E:$E,$B170,領用表!$B:$B,U$2&amp;$R$1)</f>
        <v/>
      </c>
      <c r="V170" s="142">
        <f>SUMIFS(領用表!$L:$L,領用表!$E:$E,$B170,領用表!$B:$B,V$2&amp;$R$1)</f>
        <v/>
      </c>
      <c r="W170" s="142" t="n"/>
      <c r="X170" s="142">
        <f>SUMIFS(領用表!$L:$L,領用表!$E:$E,$B170,領用表!$B:$B,X$2&amp;$R$1)</f>
        <v/>
      </c>
      <c r="Y170" s="142">
        <f>SUMIFS(領用表!$L:$L,領用表!$E:$E,$B170,領用表!$B:$B,Y$2&amp;$R$1)</f>
        <v/>
      </c>
      <c r="Z170" s="142">
        <f>SUMIFS(領用表!$L:$L,領用表!$E:$E,$B170,領用表!$B:$B,Z$2&amp;$R$1)</f>
        <v/>
      </c>
      <c r="AA170" s="142">
        <f>SUMIFS(領用表!$L:$L,領用表!$E:$E,$B170,領用表!$B:$B,AA$2&amp;$R$1)</f>
        <v/>
      </c>
      <c r="AB170" s="142">
        <f>SUMIFS(領用表!$L:$L,領用表!$E:$E,$B170,領用表!$B:$B,AB$2&amp;$R$1)</f>
        <v/>
      </c>
      <c r="AC170" s="142">
        <f>SUMIFS(領用表!$L:$L,領用表!$E:$E,$B170,領用表!$B:$B,AC$2&amp;$R$1)</f>
        <v/>
      </c>
      <c r="AD170" s="142">
        <f>SUM(R170,S170,T170,U170,V170,W170)</f>
        <v/>
      </c>
      <c r="AE170" s="142">
        <f>AVERAGE(R170,S170,T170,U170,V170,W170)</f>
        <v/>
      </c>
      <c r="AF170" s="142">
        <f>SUMIF(Summary!B:B,B170,Summary!EB:EB)</f>
        <v/>
      </c>
      <c r="AG170" s="109" t="n"/>
      <c r="AH170" s="65" t="n"/>
      <c r="AI170" s="65" t="n"/>
      <c r="AJ170" s="65" t="n"/>
      <c r="AK170" s="27" t="n"/>
      <c r="AL170" s="27" t="n"/>
    </row>
    <row r="171" hidden="1" ht="16.5" customHeight="1" s="453">
      <c r="A171" s="27" t="inlineStr">
        <is>
          <t>DN1AA090011T</t>
        </is>
      </c>
      <c r="B171" s="14" t="n">
        <v>1080006</v>
      </c>
      <c r="C171" s="136" t="inlineStr">
        <is>
          <t>肌因抗老修護微導膜 25ml (2015年版)</t>
        </is>
      </c>
      <c r="D171" s="77" t="n"/>
      <c r="E171" s="17" t="inlineStr">
        <is>
          <t>PCS</t>
        </is>
      </c>
      <c r="F171" s="70" t="n"/>
      <c r="G171" s="18" t="n"/>
      <c r="H171" s="68">
        <f>SUM(#REF!)</f>
        <v/>
      </c>
      <c r="I171" s="26">
        <f>H171/12</f>
        <v/>
      </c>
      <c r="J171" s="20">
        <f>SUMIFS(領用表!$L:$L,領用表!$E:$E,$B171,領用表!$B:$B,J$2&amp;$R$1)</f>
        <v/>
      </c>
      <c r="K171" s="20">
        <f>SUMIFS(領用表!$L:$L,領用表!$E:$E,$B171,領用表!$B:$B,K$2&amp;$R$1)</f>
        <v/>
      </c>
      <c r="L171" s="20">
        <f>SUMIFS(領用表!$L:$L,領用表!$E:$E,$B171,領用表!$B:$B,L$2&amp;$R$1)</f>
        <v/>
      </c>
      <c r="M171" s="142">
        <f>SUMIFS(領用表!$L:$L,領用表!$E:$E,$B171,領用表!$B:$B,M$2&amp;$R$1)</f>
        <v/>
      </c>
      <c r="N171" s="142">
        <f>SUMIFS(領用表!$L:$L,領用表!$E:$E,$B171,領用表!$B:$B,N$2&amp;$R$1)</f>
        <v/>
      </c>
      <c r="O171" s="142">
        <f>SUMIFS(領用表!$L:$L,領用表!$E:$E,$B171,領用表!$B:$B,O$2&amp;$R$1)</f>
        <v/>
      </c>
      <c r="P171" s="23">
        <f>SUM(,J171,K171,L171,M171,N171,O171)</f>
        <v/>
      </c>
      <c r="Q171" s="23">
        <f>AVERAGE(,J171,K171,L171,M171,N171,O171)</f>
        <v/>
      </c>
      <c r="R171" s="142">
        <f>SUMIFS(領用表!$L:$L,領用表!$E:$E,$B171,領用表!$B:$B,R$2&amp;$R$1)</f>
        <v/>
      </c>
      <c r="S171" s="142">
        <f>SUMIFS(領用表!$L:$L,領用表!$E:$E,$B171,領用表!$B:$B,S$2&amp;$R$1)</f>
        <v/>
      </c>
      <c r="T171" s="142">
        <f>SUMIFS(領用表!$L:$L,領用表!$E:$E,$B171,領用表!$B:$B,T$2&amp;$R$1)</f>
        <v/>
      </c>
      <c r="U171" s="142">
        <f>SUMIFS(領用表!$L:$L,領用表!$E:$E,$B171,領用表!$B:$B,U$2&amp;$R$1)</f>
        <v/>
      </c>
      <c r="V171" s="142">
        <f>SUMIFS(領用表!$L:$L,領用表!$E:$E,$B171,領用表!$B:$B,V$2&amp;$R$1)</f>
        <v/>
      </c>
      <c r="W171" s="142" t="n"/>
      <c r="X171" s="142">
        <f>SUMIFS(領用表!$L:$L,領用表!$E:$E,$B171,領用表!$B:$B,X$2&amp;$R$1)</f>
        <v/>
      </c>
      <c r="Y171" s="142">
        <f>SUMIFS(領用表!$L:$L,領用表!$E:$E,$B171,領用表!$B:$B,Y$2&amp;$R$1)</f>
        <v/>
      </c>
      <c r="Z171" s="142">
        <f>SUMIFS(領用表!$L:$L,領用表!$E:$E,$B171,領用表!$B:$B,Z$2&amp;$R$1)</f>
        <v/>
      </c>
      <c r="AA171" s="142">
        <f>SUMIFS(領用表!$L:$L,領用表!$E:$E,$B171,領用表!$B:$B,AA$2&amp;$R$1)</f>
        <v/>
      </c>
      <c r="AB171" s="142">
        <f>SUMIFS(領用表!$L:$L,領用表!$E:$E,$B171,領用表!$B:$B,AB$2&amp;$R$1)</f>
        <v/>
      </c>
      <c r="AC171" s="142">
        <f>SUMIFS(領用表!$L:$L,領用表!$E:$E,$B171,領用表!$B:$B,AC$2&amp;$R$1)</f>
        <v/>
      </c>
      <c r="AD171" s="142">
        <f>SUM(R171,S171,T171,U171,V171,W171)</f>
        <v/>
      </c>
      <c r="AE171" s="142">
        <f>AVERAGE(R171,S171,T171,U171,V171,W171)</f>
        <v/>
      </c>
      <c r="AF171" s="142">
        <f>SUMIF(Summary!B:B,B171,Summary!EB:EB)</f>
        <v/>
      </c>
      <c r="AG171" s="109" t="n"/>
      <c r="AH171" s="65" t="n"/>
      <c r="AI171" s="65" t="n"/>
      <c r="AJ171" s="76" t="n"/>
    </row>
    <row r="172" hidden="1" ht="16.5" customHeight="1" s="453">
      <c r="A172" s="27" t="inlineStr">
        <is>
          <t>DE1AA090013T</t>
        </is>
      </c>
      <c r="B172" s="14" t="n">
        <v>6080005</v>
      </c>
      <c r="C172" s="136" t="inlineStr">
        <is>
          <t>玻尿酸恆潤保濕面膜 30mL</t>
        </is>
      </c>
      <c r="D172" s="77" t="n"/>
      <c r="E172" s="17" t="inlineStr">
        <is>
          <t>PCS</t>
        </is>
      </c>
      <c r="F172" s="70" t="n"/>
      <c r="G172" s="18" t="n"/>
      <c r="H172" s="68" t="n">
        <v>0</v>
      </c>
      <c r="I172" s="26" t="n">
        <v>0</v>
      </c>
      <c r="J172" s="20">
        <f>SUMIFS(領用表!$L:$L,領用表!$E:$E,$B172,領用表!$B:$B,J$2&amp;$R$1)</f>
        <v/>
      </c>
      <c r="K172" s="20">
        <f>SUMIFS(領用表!$L:$L,領用表!$E:$E,$B172,領用表!$B:$B,K$2&amp;$R$1)</f>
        <v/>
      </c>
      <c r="L172" s="20">
        <f>SUMIFS(領用表!$L:$L,領用表!$E:$E,$B172,領用表!$B:$B,L$2&amp;$R$1)</f>
        <v/>
      </c>
      <c r="M172" s="142">
        <f>SUMIFS(領用表!$L:$L,領用表!$E:$E,$B172,領用表!$B:$B,M$2&amp;$R$1)</f>
        <v/>
      </c>
      <c r="N172" s="142">
        <f>SUMIFS(領用表!$L:$L,領用表!$E:$E,$B172,領用表!$B:$B,N$2&amp;$R$1)</f>
        <v/>
      </c>
      <c r="O172" s="142">
        <f>SUMIFS(領用表!$L:$L,領用表!$E:$E,$B172,領用表!$B:$B,O$2&amp;$R$1)</f>
        <v/>
      </c>
      <c r="P172" s="23">
        <f>SUM(,J172,K172,L172,M172,N172,O172)</f>
        <v/>
      </c>
      <c r="Q172" s="23">
        <f>AVERAGE(,J172,K172,L172,M172,N172,O172)</f>
        <v/>
      </c>
      <c r="R172" s="142">
        <f>SUMIFS(領用表!$L:$L,領用表!$E:$E,$B172,領用表!$B:$B,R$2&amp;$R$1)</f>
        <v/>
      </c>
      <c r="S172" s="142">
        <f>SUMIFS(領用表!$L:$L,領用表!$E:$E,$B172,領用表!$B:$B,S$2&amp;$R$1)</f>
        <v/>
      </c>
      <c r="T172" s="142">
        <f>SUMIFS(領用表!$L:$L,領用表!$E:$E,$B172,領用表!$B:$B,T$2&amp;$R$1)</f>
        <v/>
      </c>
      <c r="U172" s="142">
        <f>SUMIFS(領用表!$L:$L,領用表!$E:$E,$B172,領用表!$B:$B,U$2&amp;$R$1)</f>
        <v/>
      </c>
      <c r="V172" s="142">
        <f>SUMIFS(領用表!$L:$L,領用表!$E:$E,$B172,領用表!$B:$B,V$2&amp;$R$1)</f>
        <v/>
      </c>
      <c r="W172" s="142" t="n"/>
      <c r="X172" s="142">
        <f>SUMIFS(領用表!$L:$L,領用表!$E:$E,$B172,領用表!$B:$B,X$2&amp;$R$1)</f>
        <v/>
      </c>
      <c r="Y172" s="142">
        <f>SUMIFS(領用表!$L:$L,領用表!$E:$E,$B172,領用表!$B:$B,Y$2&amp;$R$1)</f>
        <v/>
      </c>
      <c r="Z172" s="142">
        <f>SUMIFS(領用表!$L:$L,領用表!$E:$E,$B172,領用表!$B:$B,Z$2&amp;$R$1)</f>
        <v/>
      </c>
      <c r="AA172" s="142">
        <f>SUMIFS(領用表!$L:$L,領用表!$E:$E,$B172,領用表!$B:$B,AA$2&amp;$R$1)</f>
        <v/>
      </c>
      <c r="AB172" s="142">
        <f>SUMIFS(領用表!$L:$L,領用表!$E:$E,$B172,領用表!$B:$B,AB$2&amp;$R$1)</f>
        <v/>
      </c>
      <c r="AC172" s="142">
        <f>SUMIFS(領用表!$L:$L,領用表!$E:$E,$B172,領用表!$B:$B,AC$2&amp;$R$1)</f>
        <v/>
      </c>
      <c r="AD172" s="142">
        <f>SUM(R172,S172,T172,U172,V172,W172)</f>
        <v/>
      </c>
      <c r="AE172" s="142">
        <f>AVERAGE(R172,S172,T172,U172,V172,W172)</f>
        <v/>
      </c>
      <c r="AF172" s="142">
        <f>SUMIF(Summary!B:B,B172,Summary!EB:EB)</f>
        <v/>
      </c>
      <c r="AG172" s="109" t="n"/>
      <c r="AH172" s="65" t="n"/>
      <c r="AI172" s="65" t="n"/>
      <c r="AJ172" s="65" t="n"/>
    </row>
    <row r="173" hidden="1" ht="16.5" customHeight="1" s="453">
      <c r="A173" s="27" t="inlineStr">
        <is>
          <t>DN1AB090006T</t>
        </is>
      </c>
      <c r="B173" s="14" t="n">
        <v>1080005</v>
      </c>
      <c r="C173" s="136" t="inlineStr">
        <is>
          <t>明眸撫紋水嫩眼膜 10mL(玫瑰金)</t>
        </is>
      </c>
      <c r="D173" s="77" t="n"/>
      <c r="E173" s="17" t="inlineStr">
        <is>
          <t>PCS</t>
        </is>
      </c>
      <c r="F173" s="70" t="n"/>
      <c r="G173" s="18" t="n"/>
      <c r="H173" s="68">
        <f>SUM(#REF!)</f>
        <v/>
      </c>
      <c r="I173" s="26">
        <f>H173/12</f>
        <v/>
      </c>
      <c r="J173" s="20">
        <f>SUMIFS(領用表!$L:$L,領用表!$E:$E,$B173,領用表!$B:$B,J$2&amp;$R$1)</f>
        <v/>
      </c>
      <c r="K173" s="20">
        <f>SUMIFS(領用表!$L:$L,領用表!$E:$E,$B173,領用表!$B:$B,K$2&amp;$R$1)</f>
        <v/>
      </c>
      <c r="L173" s="20">
        <f>SUMIFS(領用表!$L:$L,領用表!$E:$E,$B173,領用表!$B:$B,L$2&amp;$R$1)</f>
        <v/>
      </c>
      <c r="M173" s="142">
        <f>SUMIFS(領用表!$L:$L,領用表!$E:$E,$B173,領用表!$B:$B,M$2&amp;$R$1)</f>
        <v/>
      </c>
      <c r="N173" s="142">
        <f>SUMIFS(領用表!$L:$L,領用表!$E:$E,$B173,領用表!$B:$B,N$2&amp;$R$1)</f>
        <v/>
      </c>
      <c r="O173" s="142">
        <f>SUMIFS(領用表!$L:$L,領用表!$E:$E,$B173,領用表!$B:$B,O$2&amp;$R$1)</f>
        <v/>
      </c>
      <c r="P173" s="23">
        <f>SUM(,J173,K173,L173,M173,N173,O173)</f>
        <v/>
      </c>
      <c r="Q173" s="23">
        <f>AVERAGE(,J173,K173,L173,M173,N173,O173)</f>
        <v/>
      </c>
      <c r="R173" s="142">
        <f>SUMIFS(領用表!$L:$L,領用表!$E:$E,$B173,領用表!$B:$B,R$2&amp;$R$1)</f>
        <v/>
      </c>
      <c r="S173" s="142">
        <f>SUMIFS(領用表!$L:$L,領用表!$E:$E,$B173,領用表!$B:$B,S$2&amp;$R$1)</f>
        <v/>
      </c>
      <c r="T173" s="142">
        <f>SUMIFS(領用表!$L:$L,領用表!$E:$E,$B173,領用表!$B:$B,T$2&amp;$R$1)</f>
        <v/>
      </c>
      <c r="U173" s="142">
        <f>SUMIFS(領用表!$L:$L,領用表!$E:$E,$B173,領用表!$B:$B,U$2&amp;$R$1)</f>
        <v/>
      </c>
      <c r="V173" s="142">
        <f>SUMIFS(領用表!$L:$L,領用表!$E:$E,$B173,領用表!$B:$B,V$2&amp;$R$1)</f>
        <v/>
      </c>
      <c r="W173" s="142" t="n"/>
      <c r="X173" s="142">
        <f>SUMIFS(領用表!$L:$L,領用表!$E:$E,$B173,領用表!$B:$B,X$2&amp;$R$1)</f>
        <v/>
      </c>
      <c r="Y173" s="142">
        <f>SUMIFS(領用表!$L:$L,領用表!$E:$E,$B173,領用表!$B:$B,Y$2&amp;$R$1)</f>
        <v/>
      </c>
      <c r="Z173" s="142">
        <f>SUMIFS(領用表!$L:$L,領用表!$E:$E,$B173,領用表!$B:$B,Z$2&amp;$R$1)</f>
        <v/>
      </c>
      <c r="AA173" s="142">
        <f>SUMIFS(領用表!$L:$L,領用表!$E:$E,$B173,領用表!$B:$B,AA$2&amp;$R$1)</f>
        <v/>
      </c>
      <c r="AB173" s="142">
        <f>SUMIFS(領用表!$L:$L,領用表!$E:$E,$B173,領用表!$B:$B,AB$2&amp;$R$1)</f>
        <v/>
      </c>
      <c r="AC173" s="142">
        <f>SUMIFS(領用表!$L:$L,領用表!$E:$E,$B173,領用表!$B:$B,AC$2&amp;$R$1)</f>
        <v/>
      </c>
      <c r="AD173" s="142">
        <f>SUM(R173,S173,T173,U173,V173,W173)</f>
        <v/>
      </c>
      <c r="AE173" s="142">
        <f>AVERAGE(R173,S173,T173,U173,V173,W173)</f>
        <v/>
      </c>
      <c r="AF173" s="142">
        <f>SUMIF(Summary!B:B,B173,Summary!EB:EB)</f>
        <v/>
      </c>
      <c r="AG173" s="109" t="n"/>
      <c r="AH173" s="65" t="n"/>
      <c r="AI173" s="65" t="n"/>
      <c r="AJ173" s="65" t="n"/>
    </row>
    <row r="174" hidden="1" ht="16.5" customHeight="1" s="453">
      <c r="A174" s="27" t="inlineStr">
        <is>
          <t>DL1GD000020T</t>
        </is>
      </c>
      <c r="B174" s="14" t="e">
        <v>#N/A</v>
      </c>
      <c r="C174" s="136" t="inlineStr">
        <is>
          <t>暢護菌益康粉包 3g(30入)(繁體版)</t>
        </is>
      </c>
      <c r="D174" s="77" t="n"/>
      <c r="E174" s="17" t="inlineStr">
        <is>
          <t>PCS</t>
        </is>
      </c>
      <c r="F174" s="70" t="n"/>
      <c r="G174" s="18" t="n"/>
      <c r="H174" s="68">
        <f>SUM(#REF!)</f>
        <v/>
      </c>
      <c r="I174" s="26">
        <f>H174/12</f>
        <v/>
      </c>
      <c r="J174" s="20">
        <f>SUMIFS(領用表!$L:$L,領用表!$E:$E,$B174,領用表!$B:$B,J$2&amp;$R$1)</f>
        <v/>
      </c>
      <c r="K174" s="20">
        <f>SUMIFS(領用表!$L:$L,領用表!$E:$E,$B174,領用表!$B:$B,K$2&amp;$R$1)</f>
        <v/>
      </c>
      <c r="L174" s="20">
        <f>SUMIFS(領用表!$L:$L,領用表!$E:$E,$B174,領用表!$B:$B,L$2&amp;$R$1)</f>
        <v/>
      </c>
      <c r="M174" s="142">
        <f>SUMIFS(領用表!$L:$L,領用表!$E:$E,$B174,領用表!$B:$B,M$2&amp;$R$1)</f>
        <v/>
      </c>
      <c r="N174" s="142">
        <f>SUMIFS(領用表!$L:$L,領用表!$E:$E,$B174,領用表!$B:$B,N$2&amp;$R$1)</f>
        <v/>
      </c>
      <c r="O174" s="142">
        <f>SUMIFS(領用表!$L:$L,領用表!$E:$E,$B174,領用表!$B:$B,O$2&amp;$R$1)</f>
        <v/>
      </c>
      <c r="P174" s="23">
        <f>SUM(,J174,K174,L174,M174,N174,O174)</f>
        <v/>
      </c>
      <c r="Q174" s="23">
        <f>AVERAGE(,J174,K174,L174,M174,N174,O174)</f>
        <v/>
      </c>
      <c r="R174" s="142">
        <f>SUMIFS(領用表!$L:$L,領用表!$E:$E,$B174,領用表!$B:$B,R$2&amp;$R$1)</f>
        <v/>
      </c>
      <c r="S174" s="142">
        <f>SUMIFS(領用表!$L:$L,領用表!$E:$E,$B174,領用表!$B:$B,S$2&amp;$R$1)</f>
        <v/>
      </c>
      <c r="T174" s="142">
        <f>SUMIFS(領用表!$L:$L,領用表!$E:$E,$B174,領用表!$B:$B,T$2&amp;$R$1)</f>
        <v/>
      </c>
      <c r="U174" s="142">
        <f>SUMIFS(領用表!$L:$L,領用表!$E:$E,$B174,領用表!$B:$B,U$2&amp;$R$1)</f>
        <v/>
      </c>
      <c r="V174" s="142">
        <f>SUMIFS(領用表!$L:$L,領用表!$E:$E,$B174,領用表!$B:$B,V$2&amp;$R$1)</f>
        <v/>
      </c>
      <c r="W174" s="142">
        <f>SUMIFS(領用表!$L:$L,領用表!$E:$E,$B174,領用表!$B:$B,W$2&amp;$R$1)</f>
        <v/>
      </c>
      <c r="X174" s="142">
        <f>SUMIFS(領用表!$L:$L,領用表!$E:$E,$B174,領用表!$B:$B,X$2&amp;$R$1)</f>
        <v/>
      </c>
      <c r="Y174" s="142">
        <f>SUMIFS(領用表!$L:$L,領用表!$E:$E,$B174,領用表!$B:$B,Y$2&amp;$R$1)</f>
        <v/>
      </c>
      <c r="Z174" s="142">
        <f>SUMIFS(領用表!$L:$L,領用表!$E:$E,$B174,領用表!$B:$B,Z$2&amp;$R$1)</f>
        <v/>
      </c>
      <c r="AA174" s="142">
        <f>SUMIFS(領用表!$L:$L,領用表!$E:$E,$B174,領用表!$B:$B,AA$2&amp;$R$1)</f>
        <v/>
      </c>
      <c r="AB174" s="142">
        <f>SUMIFS(領用表!$L:$L,領用表!$E:$E,$B174,領用表!$B:$B,AB$2&amp;$R$1)</f>
        <v/>
      </c>
      <c r="AC174" s="142">
        <f>SUMIFS(領用表!$L:$L,領用表!$E:$E,$B174,領用表!$B:$B,AC$2&amp;$R$1)</f>
        <v/>
      </c>
      <c r="AD174" s="142">
        <f>SUM(R174,S174,T174,U174,V174,W174)</f>
        <v/>
      </c>
      <c r="AE174" s="142">
        <f>AVERAGE(R174,S174,T174,U174,V174,W174)</f>
        <v/>
      </c>
      <c r="AF174" s="142">
        <f>SUMIF(Summary!B:B,B174,Summary!EB:EB)</f>
        <v/>
      </c>
      <c r="AG174" s="109" t="n"/>
      <c r="AH174" s="65" t="n"/>
      <c r="AI174" s="65" t="n"/>
      <c r="AJ174" s="65" t="n"/>
    </row>
    <row r="175" hidden="1" ht="16.5" customHeight="1" s="453">
      <c r="A175" s="27" t="inlineStr">
        <is>
          <t>DA1GD000017T</t>
        </is>
      </c>
      <c r="B175" s="14" t="e">
        <v>#N/A</v>
      </c>
      <c r="C175" s="136" t="inlineStr">
        <is>
          <t>R3 愛益菌 56盒/箱</t>
        </is>
      </c>
      <c r="D175" s="77" t="n"/>
      <c r="E175" s="17" t="inlineStr">
        <is>
          <t>PCS</t>
        </is>
      </c>
      <c r="F175" s="70" t="n"/>
      <c r="G175" s="18" t="n"/>
      <c r="H175" s="64" t="n">
        <v>0</v>
      </c>
      <c r="I175" s="64" t="n">
        <v>0</v>
      </c>
      <c r="J175" s="20">
        <f>SUMIFS(領用表!$L:$L,領用表!$E:$E,$B175,領用表!$B:$B,J$2&amp;$R$1)</f>
        <v/>
      </c>
      <c r="K175" s="20">
        <f>SUMIFS(領用表!$L:$L,領用表!$E:$E,$B175,領用表!$B:$B,K$2&amp;$R$1)</f>
        <v/>
      </c>
      <c r="L175" s="20">
        <f>SUMIFS(領用表!$L:$L,領用表!$E:$E,$B175,領用表!$B:$B,L$2&amp;$R$1)</f>
        <v/>
      </c>
      <c r="M175" s="142">
        <f>SUMIFS(領用表!$L:$L,領用表!$E:$E,$B175,領用表!$B:$B,M$2&amp;$R$1)</f>
        <v/>
      </c>
      <c r="N175" s="142">
        <f>SUMIFS(領用表!$L:$L,領用表!$E:$E,$B175,領用表!$B:$B,N$2&amp;$R$1)</f>
        <v/>
      </c>
      <c r="O175" s="142">
        <f>SUMIFS(領用表!$L:$L,領用表!$E:$E,$B175,領用表!$B:$B,O$2&amp;$R$1)</f>
        <v/>
      </c>
      <c r="P175" s="23">
        <f>SUM(,J175,K175,L175,M175,N175,O175)</f>
        <v/>
      </c>
      <c r="Q175" s="23">
        <f>AVERAGE(,J175,K175,L175,M175,N175,O175)</f>
        <v/>
      </c>
      <c r="R175" s="142">
        <f>SUMIFS(領用表!$L:$L,領用表!$E:$E,$B175,領用表!$B:$B,R$2&amp;$R$1)</f>
        <v/>
      </c>
      <c r="S175" s="142">
        <f>SUMIFS(領用表!$L:$L,領用表!$E:$E,$B175,領用表!$B:$B,S$2&amp;$R$1)</f>
        <v/>
      </c>
      <c r="T175" s="142">
        <f>SUMIFS(領用表!$L:$L,領用表!$E:$E,$B175,領用表!$B:$B,T$2&amp;$R$1)</f>
        <v/>
      </c>
      <c r="U175" s="142">
        <f>SUMIFS(領用表!$L:$L,領用表!$E:$E,$B175,領用表!$B:$B,U$2&amp;$R$1)</f>
        <v/>
      </c>
      <c r="V175" s="142">
        <f>SUMIFS(領用表!$L:$L,領用表!$E:$E,$B175,領用表!$B:$B,V$2&amp;$R$1)</f>
        <v/>
      </c>
      <c r="W175" s="142">
        <f>SUMIFS(領用表!$L:$L,領用表!$E:$E,$B175,領用表!$B:$B,W$2&amp;$R$1)</f>
        <v/>
      </c>
      <c r="X175" s="142">
        <f>SUMIFS(領用表!$L:$L,領用表!$E:$E,$B175,領用表!$B:$B,X$2&amp;$R$1)</f>
        <v/>
      </c>
      <c r="Y175" s="142">
        <f>SUMIFS(領用表!$L:$L,領用表!$E:$E,$B175,領用表!$B:$B,Y$2&amp;$R$1)</f>
        <v/>
      </c>
      <c r="Z175" s="142">
        <f>SUMIFS(領用表!$L:$L,領用表!$E:$E,$B175,領用表!$B:$B,Z$2&amp;$R$1)</f>
        <v/>
      </c>
      <c r="AA175" s="142">
        <f>SUMIFS(領用表!$L:$L,領用表!$E:$E,$B175,領用表!$B:$B,AA$2&amp;$R$1)</f>
        <v/>
      </c>
      <c r="AB175" s="142">
        <f>SUMIFS(領用表!$L:$L,領用表!$E:$E,$B175,領用表!$B:$B,AB$2&amp;$R$1)</f>
        <v/>
      </c>
      <c r="AC175" s="142">
        <f>SUMIFS(領用表!$L:$L,領用表!$E:$E,$B175,領用表!$B:$B,AC$2&amp;$R$1)</f>
        <v/>
      </c>
      <c r="AD175" s="142">
        <f>SUM(R175,S175,T175,U175,V175,W175)</f>
        <v/>
      </c>
      <c r="AE175" s="142">
        <f>AVERAGE(R175,S175,T175,U175,V175,W175)</f>
        <v/>
      </c>
      <c r="AF175" s="142">
        <f>SUMIF(Summary!B:B,B175,Summary!EB:EB)</f>
        <v/>
      </c>
      <c r="AG175" s="109" t="n"/>
      <c r="AH175" s="65" t="n"/>
      <c r="AI175" s="65" t="n"/>
      <c r="AJ175" s="65" t="n"/>
    </row>
    <row r="176" hidden="1" ht="16.5" customHeight="1" s="453">
      <c r="A176" s="27" t="inlineStr">
        <is>
          <t>DN1AA090023T</t>
        </is>
      </c>
      <c r="B176" s="14" t="e">
        <v>#N/A</v>
      </c>
      <c r="C176" s="136" t="inlineStr">
        <is>
          <t>金采肌效生物纖維面膜 30mL</t>
        </is>
      </c>
      <c r="D176" s="77" t="n"/>
      <c r="E176" s="17" t="inlineStr">
        <is>
          <t>PCS</t>
        </is>
      </c>
      <c r="F176" s="70" t="n"/>
      <c r="G176" s="18" t="n"/>
      <c r="H176" s="64" t="n">
        <v>0</v>
      </c>
      <c r="I176" s="64" t="n">
        <v>0</v>
      </c>
      <c r="J176" s="20">
        <f>SUMIFS(領用表!$L:$L,領用表!$E:$E,$B176,領用表!$B:$B,J$2&amp;$R$1)</f>
        <v/>
      </c>
      <c r="K176" s="20">
        <f>SUMIFS(領用表!$L:$L,領用表!$E:$E,$B176,領用表!$B:$B,K$2&amp;$R$1)</f>
        <v/>
      </c>
      <c r="L176" s="20">
        <f>SUMIFS(領用表!$L:$L,領用表!$E:$E,$B176,領用表!$B:$B,L$2&amp;$R$1)</f>
        <v/>
      </c>
      <c r="M176" s="142">
        <f>SUMIFS(領用表!$L:$L,領用表!$E:$E,$B176,領用表!$B:$B,M$2&amp;$R$1)</f>
        <v/>
      </c>
      <c r="N176" s="142">
        <f>SUMIFS(領用表!$L:$L,領用表!$E:$E,$B176,領用表!$B:$B,N$2&amp;$R$1)</f>
        <v/>
      </c>
      <c r="O176" s="142">
        <f>SUMIFS(領用表!$L:$L,領用表!$E:$E,$B176,領用表!$B:$B,O$2&amp;$R$1)</f>
        <v/>
      </c>
      <c r="P176" s="23">
        <f>SUM(,J176,K176,L176,M176,N176,O176)</f>
        <v/>
      </c>
      <c r="Q176" s="23">
        <f>AVERAGE(,J176,K176,L176,M176,N176,O176)</f>
        <v/>
      </c>
      <c r="R176" s="142">
        <f>SUMIFS(領用表!$L:$L,領用表!$E:$E,$B176,領用表!$B:$B,R$2&amp;$R$1)</f>
        <v/>
      </c>
      <c r="S176" s="142">
        <f>SUMIFS(領用表!$L:$L,領用表!$E:$E,$B176,領用表!$B:$B,S$2&amp;$R$1)</f>
        <v/>
      </c>
      <c r="T176" s="142">
        <f>SUMIFS(領用表!$L:$L,領用表!$E:$E,$B176,領用表!$B:$B,T$2&amp;$R$1)</f>
        <v/>
      </c>
      <c r="U176" s="142">
        <f>SUMIFS(領用表!$L:$L,領用表!$E:$E,$B176,領用表!$B:$B,U$2&amp;$R$1)</f>
        <v/>
      </c>
      <c r="V176" s="142">
        <f>SUMIFS(領用表!$L:$L,領用表!$E:$E,$B176,領用表!$B:$B,V$2&amp;$R$1)</f>
        <v/>
      </c>
      <c r="W176" s="142">
        <f>SUMIFS(領用表!$L:$L,領用表!$E:$E,$B176,領用表!$B:$B,W$2&amp;$R$1)</f>
        <v/>
      </c>
      <c r="X176" s="142">
        <f>SUMIFS(領用表!$L:$L,領用表!$E:$E,$B176,領用表!$B:$B,X$2&amp;$R$1)</f>
        <v/>
      </c>
      <c r="Y176" s="142">
        <f>SUMIFS(領用表!$L:$L,領用表!$E:$E,$B176,領用表!$B:$B,Y$2&amp;$R$1)</f>
        <v/>
      </c>
      <c r="Z176" s="142">
        <f>SUMIFS(領用表!$L:$L,領用表!$E:$E,$B176,領用表!$B:$B,Z$2&amp;$R$1)</f>
        <v/>
      </c>
      <c r="AA176" s="142">
        <f>SUMIFS(領用表!$L:$L,領用表!$E:$E,$B176,領用表!$B:$B,AA$2&amp;$R$1)</f>
        <v/>
      </c>
      <c r="AB176" s="142">
        <f>SUMIFS(領用表!$L:$L,領用表!$E:$E,$B176,領用表!$B:$B,AB$2&amp;$R$1)</f>
        <v/>
      </c>
      <c r="AC176" s="142">
        <f>SUMIFS(領用表!$L:$L,領用表!$E:$E,$B176,領用表!$B:$B,AC$2&amp;$R$1)</f>
        <v/>
      </c>
      <c r="AD176" s="142">
        <f>SUM(R176,S176,T176,U176,V176,W176)</f>
        <v/>
      </c>
      <c r="AE176" s="142">
        <f>AVERAGE(R176,S176,T176,U176,V176,W176)</f>
        <v/>
      </c>
      <c r="AF176" s="142">
        <f>SUMIF(Summary!B:B,B176,Summary!EB:EB)</f>
        <v/>
      </c>
      <c r="AG176" s="109" t="n"/>
      <c r="AH176" s="65" t="n"/>
      <c r="AI176" s="65" t="n"/>
      <c r="AJ176" s="65" t="n"/>
    </row>
    <row r="177" hidden="1" ht="14.25" customHeight="1" s="453">
      <c r="A177" s="27" t="inlineStr">
        <is>
          <t>TL1BK130005T</t>
        </is>
      </c>
      <c r="B177" s="14" t="e">
        <v>#N/A</v>
      </c>
      <c r="C177" s="136" t="inlineStr">
        <is>
          <t>試用-日出朝陽按摩油 200ml</t>
        </is>
      </c>
      <c r="D177" s="77" t="n"/>
      <c r="E177" s="17" t="inlineStr">
        <is>
          <t>PCS</t>
        </is>
      </c>
      <c r="F177" s="70" t="n"/>
      <c r="G177" s="18" t="n"/>
      <c r="H177" s="64" t="n">
        <v>0</v>
      </c>
      <c r="I177" s="64" t="n">
        <v>0</v>
      </c>
      <c r="J177" s="20">
        <f>SUMIFS(領用表!$L:$L,領用表!$E:$E,$B177,領用表!$B:$B,J$2&amp;$R$1)</f>
        <v/>
      </c>
      <c r="K177" s="20">
        <f>SUMIFS(領用表!$L:$L,領用表!$E:$E,$B177,領用表!$B:$B,K$2&amp;$R$1)</f>
        <v/>
      </c>
      <c r="L177" s="20">
        <f>SUMIFS(領用表!$L:$L,領用表!$E:$E,$B177,領用表!$B:$B,L$2&amp;$R$1)</f>
        <v/>
      </c>
      <c r="M177" s="142">
        <f>SUMIFS(領用表!$L:$L,領用表!$E:$E,$B177,領用表!$B:$B,M$2&amp;$R$1)</f>
        <v/>
      </c>
      <c r="N177" s="142">
        <f>SUMIFS(領用表!$L:$L,領用表!$E:$E,$B177,領用表!$B:$B,N$2&amp;$R$1)</f>
        <v/>
      </c>
      <c r="O177" s="142">
        <f>SUMIFS(領用表!$L:$L,領用表!$E:$E,$B177,領用表!$B:$B,O$2&amp;$R$1)</f>
        <v/>
      </c>
      <c r="P177" s="23">
        <f>SUM(,J177,K177,L177,M177,N177,O177)</f>
        <v/>
      </c>
      <c r="Q177" s="23">
        <f>AVERAGE(,J177,K177,L177,M177,N177,O177)</f>
        <v/>
      </c>
      <c r="R177" s="142">
        <f>SUMIFS(領用表!$L:$L,領用表!$E:$E,$B177,領用表!$B:$B,R$2&amp;$R$1)</f>
        <v/>
      </c>
      <c r="S177" s="405">
        <f>SUMIFS(領用表!$L:$L,領用表!$E:$E,$B177,領用表!$B:$B,S$2&amp;$R$1)</f>
        <v/>
      </c>
      <c r="T177" s="405">
        <f>SUMIFS(領用表!$L:$L,領用表!$E:$E,$B177,領用表!$B:$B,T$2&amp;$R$1)</f>
        <v/>
      </c>
      <c r="U177" s="405">
        <f>SUMIFS(領用表!$L:$L,領用表!$E:$E,$B177,領用表!$B:$B,U$2&amp;$R$1)</f>
        <v/>
      </c>
      <c r="V177" s="405">
        <f>SUMIFS(領用表!$L:$L,領用表!$E:$E,$B177,領用表!$B:$B,V$2&amp;$R$1)</f>
        <v/>
      </c>
      <c r="W177" s="405">
        <f>SUMIFS(領用表!$L:$L,領用表!$E:$E,$B177,領用表!$B:$B,W$2&amp;$R$1)</f>
        <v/>
      </c>
      <c r="X177" s="405">
        <f>SUMIFS(領用表!$L:$L,領用表!$E:$E,$B177,領用表!$B:$B,X$2&amp;$R$1)</f>
        <v/>
      </c>
      <c r="Y177" s="405">
        <f>SUMIFS(領用表!$L:$L,領用表!$E:$E,$B177,領用表!$B:$B,Y$2&amp;$R$1)</f>
        <v/>
      </c>
      <c r="Z177" s="405">
        <f>SUMIFS(領用表!$L:$L,領用表!$E:$E,$B177,領用表!$B:$B,Z$2&amp;$R$1)</f>
        <v/>
      </c>
      <c r="AA177" s="405">
        <f>SUMIFS(領用表!$L:$L,領用表!$E:$E,$B177,領用表!$B:$B,AA$2&amp;$R$1)</f>
        <v/>
      </c>
      <c r="AB177" s="405">
        <f>SUMIFS(領用表!$L:$L,領用表!$E:$E,$B177,領用表!$B:$B,AB$2&amp;$R$1)</f>
        <v/>
      </c>
      <c r="AC177" s="405">
        <f>SUMIFS(領用表!$L:$L,領用表!$E:$E,$B177,領用表!$B:$B,AC$2&amp;$R$1)</f>
        <v/>
      </c>
      <c r="AD177" s="405">
        <f>SUM(R177,S177,T177,U177,V177,W177)</f>
        <v/>
      </c>
      <c r="AE177" s="405">
        <f>AVERAGE(R177,S177,T177,U177,V177,W177)</f>
        <v/>
      </c>
      <c r="AF177" s="405">
        <f>SUMIF(Summary!B:B,B177,Summary!EB:EB)</f>
        <v/>
      </c>
      <c r="AG177" s="111" t="n"/>
      <c r="AH177" s="80" t="n"/>
      <c r="AI177" s="76" t="n"/>
      <c r="AJ177" s="65" t="n"/>
    </row>
    <row r="178" ht="16.5" customHeight="1" s="453">
      <c r="A178" s="27" t="inlineStr">
        <is>
          <t>DL1BE070001T</t>
        </is>
      </c>
      <c r="B178" s="14" t="e">
        <v>#N/A</v>
      </c>
      <c r="C178" s="136" t="inlineStr">
        <is>
          <t>天使漫步腿部舒緩霜 250mL</t>
        </is>
      </c>
      <c r="D178" s="77" t="n"/>
      <c r="E178" s="17" t="inlineStr">
        <is>
          <t>PCS</t>
        </is>
      </c>
      <c r="F178" s="70" t="n"/>
      <c r="G178" s="18" t="n"/>
      <c r="H178" s="64" t="inlineStr">
        <is>
          <t>-</t>
        </is>
      </c>
      <c r="I178" s="64" t="inlineStr">
        <is>
          <t>-</t>
        </is>
      </c>
      <c r="J178" s="20">
        <f>SUMIFS(領用表!$L:$L,領用表!$E:$E,$B178,領用表!$B:$B,J$2&amp;$R$1)</f>
        <v/>
      </c>
      <c r="K178" s="20">
        <f>SUMIFS(領用表!$L:$L,領用表!$E:$E,$B178,領用表!$B:$B,K$2&amp;$R$1)</f>
        <v/>
      </c>
      <c r="L178" s="20">
        <f>SUMIFS(領用表!$L:$L,領用表!$E:$E,$B178,領用表!$B:$B,L$2&amp;$R$1)</f>
        <v/>
      </c>
      <c r="M178" s="142">
        <f>SUMIFS(領用表!$L:$L,領用表!$E:$E,$B178,領用表!$B:$B,M$2&amp;$R$1)</f>
        <v/>
      </c>
      <c r="N178" s="142">
        <f>SUMIFS(領用表!$L:$L,領用表!$E:$E,$B178,領用表!$B:$B,N$2&amp;$R$1)</f>
        <v/>
      </c>
      <c r="O178" s="142">
        <f>SUMIFS(領用表!$L:$L,領用表!$E:$E,$B178,領用表!$B:$B,O$2&amp;$R$1)</f>
        <v/>
      </c>
      <c r="P178" s="23">
        <f>SUM(,J178,K178,L178,M178,N178,O178)</f>
        <v/>
      </c>
      <c r="Q178" s="23">
        <f>AVERAGE(,J178,K178,L178,M178,N178,O178)</f>
        <v/>
      </c>
      <c r="R178" s="142">
        <f>SUMIFS(領用表!$L:$L,領用表!$E:$E,$B178,領用表!$B:$B,R$2&amp;$R$1)</f>
        <v/>
      </c>
      <c r="S178" s="405">
        <f>SUMIFS(領用表!$L:$L,領用表!$E:$E,$B178,領用表!$B:$B,S$2&amp;$R$1)</f>
        <v/>
      </c>
      <c r="T178" s="405">
        <f>SUMIFS(領用表!$L:$L,領用表!$E:$E,$B178,領用表!$B:$B,T$2&amp;$R$1)</f>
        <v/>
      </c>
      <c r="U178" s="405">
        <f>SUMIFS(領用表!$L:$L,領用表!$E:$E,$B178,領用表!$B:$B,U$2&amp;$R$1)</f>
        <v/>
      </c>
      <c r="V178" s="405">
        <f>SUMIFS(領用表!$L:$L,領用表!$E:$E,$B178,領用表!$B:$B,V$2&amp;$R$1)</f>
        <v/>
      </c>
      <c r="W178" s="405">
        <f>SUMIFS(領用表!$L:$L,領用表!$E:$E,$B178,領用表!$B:$B,W$2&amp;$R$1)</f>
        <v/>
      </c>
      <c r="X178" s="405">
        <f>SUMIFS(領用表!$L:$L,領用表!$E:$E,$B178,領用表!$B:$B,X$2&amp;$R$1)</f>
        <v/>
      </c>
      <c r="Y178" s="405">
        <f>SUMIFS(領用表!$L:$L,領用表!$E:$E,$B178,領用表!$B:$B,Y$2&amp;$R$1)</f>
        <v/>
      </c>
      <c r="Z178" s="405">
        <f>SUMIFS(領用表!$L:$L,領用表!$E:$E,$B178,領用表!$B:$B,Z$2&amp;$R$1)</f>
        <v/>
      </c>
      <c r="AA178" s="405">
        <f>SUMIFS(領用表!$L:$L,領用表!$E:$E,$B178,領用表!$B:$B,AA$2&amp;$R$1)</f>
        <v/>
      </c>
      <c r="AB178" s="405">
        <f>SUMIFS(領用表!$L:$L,領用表!$E:$E,$B178,領用表!$B:$B,AB$2&amp;$R$1)</f>
        <v/>
      </c>
      <c r="AC178" s="405">
        <f>SUMIFS(領用表!$L:$L,領用表!$E:$E,$B178,領用表!$B:$B,AC$2&amp;$R$1)</f>
        <v/>
      </c>
      <c r="AD178" s="405">
        <f>SUM(R178,S178,T178,U178,V178,W178)</f>
        <v/>
      </c>
      <c r="AE178" s="405">
        <f>AVERAGE(R178,S178,T178,U178,V178,W178)</f>
        <v/>
      </c>
      <c r="AF178" s="405">
        <f>SUMIF(Summary!B:B,B178,Summary!EB:EB)</f>
        <v/>
      </c>
      <c r="AG178" s="111" t="n">
        <v>15</v>
      </c>
      <c r="AH178" s="80" t="n"/>
      <c r="AI178" s="65" t="n"/>
      <c r="AJ178" s="65" t="n"/>
    </row>
    <row r="179" hidden="1" ht="16.5" customHeight="1" s="453">
      <c r="A179" s="27" t="inlineStr">
        <is>
          <t>DL1GA000071T</t>
        </is>
      </c>
      <c r="B179" s="14" t="e">
        <v>#N/A</v>
      </c>
      <c r="C179" s="136" t="inlineStr">
        <is>
          <t>新纖有酵蔬果酵素飲50ml(15入)停產</t>
        </is>
      </c>
      <c r="D179" s="77" t="n"/>
      <c r="E179" s="17" t="inlineStr">
        <is>
          <t>PCS</t>
        </is>
      </c>
      <c r="F179" s="70" t="n"/>
      <c r="G179" s="18" t="n"/>
      <c r="H179" s="68">
        <f>SUM(#REF!)</f>
        <v/>
      </c>
      <c r="I179" s="26">
        <f>H179/12</f>
        <v/>
      </c>
      <c r="J179" s="20">
        <f>SUMIFS(領用表!$L:$L,領用表!$E:$E,$B179,領用表!$B:$B,J$2&amp;$R$1)</f>
        <v/>
      </c>
      <c r="K179" s="20">
        <f>SUMIFS(領用表!$L:$L,領用表!$E:$E,$B179,領用表!$B:$B,K$2&amp;$R$1)</f>
        <v/>
      </c>
      <c r="L179" s="20">
        <f>SUMIFS(領用表!$L:$L,領用表!$E:$E,$B179,領用表!$B:$B,L$2&amp;$R$1)</f>
        <v/>
      </c>
      <c r="M179" s="142">
        <f>SUMIFS(領用表!$L:$L,領用表!$E:$E,$B179,領用表!$B:$B,M$2&amp;$R$1)</f>
        <v/>
      </c>
      <c r="N179" s="142">
        <f>SUMIFS(領用表!$L:$L,領用表!$E:$E,$B179,領用表!$B:$B,N$2&amp;$R$1)</f>
        <v/>
      </c>
      <c r="O179" s="142">
        <f>SUMIFS(領用表!$L:$L,領用表!$E:$E,$B179,領用表!$B:$B,O$2&amp;$R$1)</f>
        <v/>
      </c>
      <c r="P179" s="23">
        <f>SUM(,J179,K179,L179,M179,N179,O179)</f>
        <v/>
      </c>
      <c r="Q179" s="23">
        <f>AVERAGE(,J179,K179,L179,M179,N179,O179)</f>
        <v/>
      </c>
      <c r="R179" s="142">
        <f>SUMIFS(領用表!$L:$L,領用表!$E:$E,$B179,領用表!$B:$B,R$2&amp;$R$1)</f>
        <v/>
      </c>
      <c r="S179" s="405">
        <f>SUMIFS(領用表!$L:$L,領用表!$E:$E,$B179,領用表!$B:$B,S$2&amp;$R$1)</f>
        <v/>
      </c>
      <c r="T179" s="405">
        <f>SUMIFS(領用表!$L:$L,領用表!$E:$E,$B179,領用表!$B:$B,T$2&amp;$R$1)</f>
        <v/>
      </c>
      <c r="U179" s="405">
        <f>SUMIFS(領用表!$L:$L,領用表!$E:$E,$B179,領用表!$B:$B,U$2&amp;$R$1)</f>
        <v/>
      </c>
      <c r="V179" s="405">
        <f>SUMIFS(領用表!$L:$L,領用表!$E:$E,$B179,領用表!$B:$B,V$2&amp;$R$1)</f>
        <v/>
      </c>
      <c r="W179" s="405">
        <f>SUMIFS(領用表!$L:$L,領用表!$E:$E,$B179,領用表!$B:$B,W$2&amp;$R$1)</f>
        <v/>
      </c>
      <c r="X179" s="405">
        <f>SUMIFS(領用表!$L:$L,領用表!$E:$E,$B179,領用表!$B:$B,X$2&amp;$R$1)</f>
        <v/>
      </c>
      <c r="Y179" s="405">
        <f>SUMIFS(領用表!$L:$L,領用表!$E:$E,$B179,領用表!$B:$B,Y$2&amp;$R$1)</f>
        <v/>
      </c>
      <c r="Z179" s="405">
        <f>SUMIFS(領用表!$L:$L,領用表!$E:$E,$B179,領用表!$B:$B,Z$2&amp;$R$1)</f>
        <v/>
      </c>
      <c r="AA179" s="405">
        <f>SUMIFS(領用表!$L:$L,領用表!$E:$E,$B179,領用表!$B:$B,AA$2&amp;$R$1)</f>
        <v/>
      </c>
      <c r="AB179" s="405">
        <f>SUMIFS(領用表!$L:$L,領用表!$E:$E,$B179,領用表!$B:$B,AB$2&amp;$R$1)</f>
        <v/>
      </c>
      <c r="AC179" s="405">
        <f>SUMIFS(領用表!$L:$L,領用表!$E:$E,$B179,領用表!$B:$B,AC$2&amp;$R$1)</f>
        <v/>
      </c>
      <c r="AD179" s="405">
        <f>SUM(R179,S179,T179,U179,V179,W179)</f>
        <v/>
      </c>
      <c r="AE179" s="405">
        <f>AVERAGE(R179,S179,T179,U179,V179,W179)</f>
        <v/>
      </c>
      <c r="AF179" s="405">
        <f>SUMIF(Summary!B:B,B179,Summary!EB:EB)</f>
        <v/>
      </c>
      <c r="AG179" s="111" t="n"/>
      <c r="AH179" s="80" t="n"/>
      <c r="AI179" s="65" t="n"/>
      <c r="AJ179" s="65" t="n"/>
    </row>
    <row r="180" hidden="1" ht="16.5" customHeight="1" s="453">
      <c r="A180" s="27" t="inlineStr">
        <is>
          <t>DL1GA000066T</t>
        </is>
      </c>
      <c r="B180" s="14" t="e">
        <v>#N/A</v>
      </c>
      <c r="C180" s="136" t="inlineStr">
        <is>
          <t>青春機密膠原飲 60ml(10入)停產</t>
        </is>
      </c>
      <c r="D180" s="77" t="n"/>
      <c r="E180" s="17" t="inlineStr">
        <is>
          <t>PCS</t>
        </is>
      </c>
      <c r="F180" s="70" t="n"/>
      <c r="G180" s="18" t="n"/>
      <c r="H180" s="68">
        <f>SUM(#REF!)</f>
        <v/>
      </c>
      <c r="I180" s="26">
        <f>H180/12</f>
        <v/>
      </c>
      <c r="J180" s="20">
        <f>SUMIFS(領用表!$L:$L,領用表!$E:$E,$B180,領用表!$B:$B,J$2&amp;$R$1)</f>
        <v/>
      </c>
      <c r="K180" s="20">
        <f>SUMIFS(領用表!$L:$L,領用表!$E:$E,$B180,領用表!$B:$B,K$2&amp;$R$1)</f>
        <v/>
      </c>
      <c r="L180" s="20">
        <f>SUMIFS(領用表!$L:$L,領用表!$E:$E,$B180,領用表!$B:$B,L$2&amp;$R$1)</f>
        <v/>
      </c>
      <c r="M180" s="142">
        <f>SUMIFS(領用表!$L:$L,領用表!$E:$E,$B180,領用表!$B:$B,M$2&amp;$R$1)</f>
        <v/>
      </c>
      <c r="N180" s="142">
        <f>SUMIFS(領用表!$L:$L,領用表!$E:$E,$B180,領用表!$B:$B,N$2&amp;$R$1)</f>
        <v/>
      </c>
      <c r="O180" s="142">
        <f>SUMIFS(領用表!$L:$L,領用表!$E:$E,$B180,領用表!$B:$B,O$2&amp;$R$1)</f>
        <v/>
      </c>
      <c r="P180" s="23">
        <f>SUM(,J180,K180,L180,M180,N180,O180)</f>
        <v/>
      </c>
      <c r="Q180" s="23">
        <f>AVERAGE(,J180,K180,L180,M180,N180,O180)</f>
        <v/>
      </c>
      <c r="R180" s="142">
        <f>SUMIFS(領用表!$L:$L,領用表!$E:$E,$B180,領用表!$B:$B,R$2&amp;$R$1)</f>
        <v/>
      </c>
      <c r="S180" s="405">
        <f>SUMIFS(領用表!$L:$L,領用表!$E:$E,$B180,領用表!$B:$B,S$2&amp;$R$1)</f>
        <v/>
      </c>
      <c r="T180" s="405">
        <f>SUMIFS(領用表!$L:$L,領用表!$E:$E,$B180,領用表!$B:$B,T$2&amp;$R$1)</f>
        <v/>
      </c>
      <c r="U180" s="405">
        <f>SUMIFS(領用表!$L:$L,領用表!$E:$E,$B180,領用表!$B:$B,U$2&amp;$R$1)</f>
        <v/>
      </c>
      <c r="V180" s="405">
        <f>SUMIFS(領用表!$L:$L,領用表!$E:$E,$B180,領用表!$B:$B,V$2&amp;$R$1)</f>
        <v/>
      </c>
      <c r="W180" s="405">
        <f>SUMIFS(領用表!$L:$L,領用表!$E:$E,$B180,領用表!$B:$B,W$2&amp;$R$1)</f>
        <v/>
      </c>
      <c r="X180" s="405">
        <f>SUMIFS(領用表!$L:$L,領用表!$E:$E,$B180,領用表!$B:$B,X$2&amp;$R$1)</f>
        <v/>
      </c>
      <c r="Y180" s="405">
        <f>SUMIFS(領用表!$L:$L,領用表!$E:$E,$B180,領用表!$B:$B,Y$2&amp;$R$1)</f>
        <v/>
      </c>
      <c r="Z180" s="405">
        <f>SUMIFS(領用表!$L:$L,領用表!$E:$E,$B180,領用表!$B:$B,Z$2&amp;$R$1)</f>
        <v/>
      </c>
      <c r="AA180" s="405">
        <f>SUMIFS(領用表!$L:$L,領用表!$E:$E,$B180,領用表!$B:$B,AA$2&amp;$R$1)</f>
        <v/>
      </c>
      <c r="AB180" s="405">
        <f>SUMIFS(領用表!$L:$L,領用表!$E:$E,$B180,領用表!$B:$B,AB$2&amp;$R$1)</f>
        <v/>
      </c>
      <c r="AC180" s="405">
        <f>SUMIFS(領用表!$L:$L,領用表!$E:$E,$B180,領用表!$B:$B,AC$2&amp;$R$1)</f>
        <v/>
      </c>
      <c r="AD180" s="405">
        <f>SUM(R180,S180,T180,U180,V180,W180)</f>
        <v/>
      </c>
      <c r="AE180" s="405">
        <f>AVERAGE(R180,S180,T180,U180,V180,W180)</f>
        <v/>
      </c>
      <c r="AF180" s="405">
        <f>SUMIF(Summary!B:B,B180,Summary!EB:EB)</f>
        <v/>
      </c>
      <c r="AG180" s="111" t="n"/>
      <c r="AH180" s="80" t="n"/>
      <c r="AI180" s="65" t="n"/>
      <c r="AJ180" s="65" t="n"/>
    </row>
    <row r="181" hidden="1" ht="16.5" customHeight="1" s="453">
      <c r="A181" s="27" t="inlineStr">
        <is>
          <t>DL1GD0100001T</t>
        </is>
      </c>
      <c r="B181" s="14" t="e">
        <v>#N/A</v>
      </c>
      <c r="C181" s="136" t="inlineStr">
        <is>
          <t>甜睡美膠原6g(30入)(繁體版) 24盒/箱</t>
        </is>
      </c>
      <c r="D181" s="77" t="n"/>
      <c r="E181" s="17" t="inlineStr">
        <is>
          <t>PCS</t>
        </is>
      </c>
      <c r="F181" s="70" t="n"/>
      <c r="G181" s="18" t="n"/>
      <c r="H181" s="64" t="n">
        <v>0</v>
      </c>
      <c r="I181" s="64" t="n">
        <v>0</v>
      </c>
      <c r="J181" s="20">
        <f>SUMIFS(領用表!$L:$L,領用表!$E:$E,$B181,領用表!$B:$B,J$2&amp;$R$1)</f>
        <v/>
      </c>
      <c r="K181" s="20">
        <f>SUMIFS(領用表!$L:$L,領用表!$E:$E,$B181,領用表!$B:$B,K$2&amp;$R$1)</f>
        <v/>
      </c>
      <c r="L181" s="20">
        <f>SUMIFS(領用表!$L:$L,領用表!$E:$E,$B181,領用表!$B:$B,L$2&amp;$R$1)</f>
        <v/>
      </c>
      <c r="M181" s="142">
        <f>SUMIFS(領用表!$L:$L,領用表!$E:$E,$B181,領用表!$B:$B,M$2&amp;$R$1)</f>
        <v/>
      </c>
      <c r="N181" s="142">
        <f>SUMIFS(領用表!$L:$L,領用表!$E:$E,$B181,領用表!$B:$B,N$2&amp;$R$1)</f>
        <v/>
      </c>
      <c r="O181" s="142">
        <f>SUMIFS(領用表!$L:$L,領用表!$E:$E,$B181,領用表!$B:$B,O$2&amp;$R$1)</f>
        <v/>
      </c>
      <c r="P181" s="23">
        <f>SUM(,J181,K181,L181,M181,N181,O181)</f>
        <v/>
      </c>
      <c r="Q181" s="23">
        <f>AVERAGE(,J181,K181,L181,M181,N181,O181)</f>
        <v/>
      </c>
      <c r="R181" s="142">
        <f>SUMIFS(領用表!$L:$L,領用表!$E:$E,$B181,領用表!$B:$B,R$2&amp;$R$1)</f>
        <v/>
      </c>
      <c r="S181" s="405">
        <f>SUMIFS(領用表!$L:$L,領用表!$E:$E,$B181,領用表!$B:$B,S$2&amp;$R$1)</f>
        <v/>
      </c>
      <c r="T181" s="405">
        <f>SUMIFS(領用表!$L:$L,領用表!$E:$E,$B181,領用表!$B:$B,T$2&amp;$R$1)</f>
        <v/>
      </c>
      <c r="U181" s="405">
        <f>SUMIFS(領用表!$L:$L,領用表!$E:$E,$B181,領用表!$B:$B,U$2&amp;$R$1)</f>
        <v/>
      </c>
      <c r="V181" s="405">
        <f>SUMIFS(領用表!$L:$L,領用表!$E:$E,$B181,領用表!$B:$B,V$2&amp;$R$1)</f>
        <v/>
      </c>
      <c r="W181" s="405">
        <f>SUMIFS(領用表!$L:$L,領用表!$E:$E,$B181,領用表!$B:$B,W$2&amp;$R$1)</f>
        <v/>
      </c>
      <c r="X181" s="405">
        <f>SUMIFS(領用表!$L:$L,領用表!$E:$E,$B181,領用表!$B:$B,X$2&amp;$R$1)</f>
        <v/>
      </c>
      <c r="Y181" s="405">
        <f>SUMIFS(領用表!$L:$L,領用表!$E:$E,$B181,領用表!$B:$B,Y$2&amp;$R$1)</f>
        <v/>
      </c>
      <c r="Z181" s="405">
        <f>SUMIFS(領用表!$L:$L,領用表!$E:$E,$B181,領用表!$B:$B,Z$2&amp;$R$1)</f>
        <v/>
      </c>
      <c r="AA181" s="405">
        <f>SUMIFS(領用表!$L:$L,領用表!$E:$E,$B181,領用表!$B:$B,AA$2&amp;$R$1)</f>
        <v/>
      </c>
      <c r="AB181" s="405">
        <f>SUMIFS(領用表!$L:$L,領用表!$E:$E,$B181,領用表!$B:$B,AB$2&amp;$R$1)</f>
        <v/>
      </c>
      <c r="AC181" s="405">
        <f>SUMIFS(領用表!$L:$L,領用表!$E:$E,$B181,領用表!$B:$B,AC$2&amp;$R$1)</f>
        <v/>
      </c>
      <c r="AD181" s="405">
        <f>SUM(R181,S181,T181,U181,V181,W181)</f>
        <v/>
      </c>
      <c r="AE181" s="405">
        <f>AVERAGE(R181,S181,T181,U181,V181,W181)</f>
        <v/>
      </c>
      <c r="AF181" s="405">
        <f>SUMIF(Summary!B:B,B181,Summary!EB:EB)</f>
        <v/>
      </c>
      <c r="AG181" s="111" t="n"/>
      <c r="AH181" s="80" t="n"/>
      <c r="AI181" s="65" t="n"/>
      <c r="AJ181" s="65" t="n"/>
    </row>
    <row r="182" ht="16.5" customHeight="1" s="453">
      <c r="A182" s="27" t="inlineStr">
        <is>
          <t>DE1AB050005T</t>
        </is>
      </c>
      <c r="B182" s="14" t="e">
        <v>#N/A</v>
      </c>
      <c r="C182" s="136" t="inlineStr">
        <is>
          <t>防護肌密眼部修護精華</t>
        </is>
      </c>
      <c r="D182" s="77" t="n"/>
      <c r="E182" s="17" t="inlineStr">
        <is>
          <t>PCS</t>
        </is>
      </c>
      <c r="F182" s="70" t="n"/>
      <c r="G182" s="18" t="n"/>
      <c r="H182" s="64" t="inlineStr">
        <is>
          <t>-</t>
        </is>
      </c>
      <c r="I182" s="64" t="inlineStr">
        <is>
          <t>-</t>
        </is>
      </c>
      <c r="J182" s="20">
        <f>SUMIFS(領用表!$L:$L,領用表!$E:$E,$B182,領用表!$B:$B,J$2&amp;$R$1)</f>
        <v/>
      </c>
      <c r="K182" s="20">
        <f>SUMIFS(領用表!$L:$L,領用表!$E:$E,$B182,領用表!$B:$B,K$2&amp;$R$1)</f>
        <v/>
      </c>
      <c r="L182" s="20">
        <f>SUMIFS(領用表!$L:$L,領用表!$E:$E,$B182,領用表!$B:$B,L$2&amp;$R$1)</f>
        <v/>
      </c>
      <c r="M182" s="142">
        <f>SUMIFS(領用表!$L:$L,領用表!$E:$E,$B182,領用表!$B:$B,M$2&amp;$R$1)</f>
        <v/>
      </c>
      <c r="N182" s="142">
        <f>SUMIFS(領用表!$L:$L,領用表!$E:$E,$B182,領用表!$B:$B,N$2&amp;$R$1)</f>
        <v/>
      </c>
      <c r="O182" s="142">
        <f>SUMIFS(領用表!$L:$L,領用表!$E:$E,$B182,領用表!$B:$B,O$2&amp;$R$1)</f>
        <v/>
      </c>
      <c r="P182" s="23">
        <f>SUM(,J182,K182,L182,M182,N182,O182)</f>
        <v/>
      </c>
      <c r="Q182" s="23">
        <f>AVERAGE(,J182,K182,L182,M182,N182,O182)</f>
        <v/>
      </c>
      <c r="R182" s="142">
        <f>SUMIFS(領用表!$L:$L,領用表!$E:$E,$B182,領用表!$B:$B,R$2&amp;$R$1)</f>
        <v/>
      </c>
      <c r="S182" s="405">
        <f>SUMIFS(領用表!$L:$L,領用表!$E:$E,$B182,領用表!$B:$B,S$2&amp;$R$1)</f>
        <v/>
      </c>
      <c r="T182" s="405">
        <f>SUMIFS(領用表!$L:$L,領用表!$E:$E,$B182,領用表!$B:$B,T$2&amp;$R$1)</f>
        <v/>
      </c>
      <c r="U182" s="405">
        <f>SUMIFS(領用表!$L:$L,領用表!$E:$E,$B182,領用表!$B:$B,U$2&amp;$R$1)</f>
        <v/>
      </c>
      <c r="V182" s="405">
        <f>SUMIFS(領用表!$L:$L,領用表!$E:$E,$B182,領用表!$B:$B,V$2&amp;$R$1)</f>
        <v/>
      </c>
      <c r="W182" s="405">
        <f>SUMIFS(領用表!$L:$L,領用表!$E:$E,$B182,領用表!$B:$B,W$2&amp;$R$1)</f>
        <v/>
      </c>
      <c r="X182" s="405">
        <f>SUMIFS(領用表!$L:$L,領用表!$E:$E,$B182,領用表!$B:$B,X$2&amp;$R$1)</f>
        <v/>
      </c>
      <c r="Y182" s="405">
        <f>SUMIFS(領用表!$L:$L,領用表!$E:$E,$B182,領用表!$B:$B,Y$2&amp;$R$1)</f>
        <v/>
      </c>
      <c r="Z182" s="405">
        <f>SUMIFS(領用表!$L:$L,領用表!$E:$E,$B182,領用表!$B:$B,Z$2&amp;$R$1)</f>
        <v/>
      </c>
      <c r="AA182" s="405">
        <f>SUMIFS(領用表!$L:$L,領用表!$E:$E,$B182,領用表!$B:$B,AA$2&amp;$R$1)</f>
        <v/>
      </c>
      <c r="AB182" s="405">
        <f>SUMIFS(領用表!$L:$L,領用表!$E:$E,$B182,領用表!$B:$B,AB$2&amp;$R$1)</f>
        <v/>
      </c>
      <c r="AC182" s="405">
        <f>SUMIFS(領用表!$L:$L,領用表!$E:$E,$B182,領用表!$B:$B,AC$2&amp;$R$1)</f>
        <v/>
      </c>
      <c r="AD182" s="405">
        <f>SUM(R182,S182,T182,U182,V182,W182)</f>
        <v/>
      </c>
      <c r="AE182" s="405">
        <f>AVERAGE(R182,S182,T182,U182,V182,W182)</f>
        <v/>
      </c>
      <c r="AF182" s="405">
        <f>SUMIF(Summary!B:B,B182,Summary!EB:EB)</f>
        <v/>
      </c>
      <c r="AG182" s="111" t="n">
        <v>0</v>
      </c>
      <c r="AH182" s="80" t="n"/>
      <c r="AI182" s="65" t="n"/>
      <c r="AJ182" s="65" t="n"/>
    </row>
    <row r="183" ht="16.5" customHeight="1" s="453">
      <c r="A183" s="27" t="inlineStr">
        <is>
          <t>D99GA010001T</t>
        </is>
      </c>
      <c r="B183" s="14" t="e">
        <v>#N/A</v>
      </c>
      <c r="C183" s="136" t="inlineStr">
        <is>
          <t>新纖有酵蔬果酵素飲50ml(15入)(繁體版)/盒</t>
        </is>
      </c>
      <c r="D183" s="77" t="n"/>
      <c r="E183" s="17" t="inlineStr">
        <is>
          <t>PCS</t>
        </is>
      </c>
      <c r="F183" s="70" t="n"/>
      <c r="G183" s="18" t="n"/>
      <c r="J183" s="20">
        <f>SUMIFS(領用表!$L:$L,領用表!$E:$E,$B183,領用表!$B:$B,J$2&amp;$R$1)</f>
        <v/>
      </c>
      <c r="K183" s="20">
        <f>SUMIFS(領用表!$L:$L,領用表!$E:$E,$B183,領用表!$B:$B,K$2&amp;$R$1)</f>
        <v/>
      </c>
      <c r="L183" s="20">
        <f>SUMIFS(領用表!$L:$L,領用表!$E:$E,$B183,領用表!$B:$B,L$2&amp;$R$1)</f>
        <v/>
      </c>
      <c r="M183" s="142">
        <f>SUMIFS(領用表!$L:$L,領用表!$E:$E,$B183,領用表!$B:$B,M$2&amp;$R$1)</f>
        <v/>
      </c>
      <c r="N183" s="142">
        <f>SUMIFS(領用表!$L:$L,領用表!$E:$E,$B183,領用表!$B:$B,N$2&amp;$R$1)</f>
        <v/>
      </c>
      <c r="O183" s="142">
        <f>SUMIFS(領用表!$L:$L,領用表!$E:$E,$B183,領用表!$B:$B,O$2&amp;$R$1)</f>
        <v/>
      </c>
      <c r="P183" s="23">
        <f>SUM(,J183,K183,L183,M183,N183,O183)</f>
        <v/>
      </c>
      <c r="Q183" s="23">
        <f>AVERAGE(,J183,K183,L183,M183,N183,O183)</f>
        <v/>
      </c>
      <c r="R183" s="142">
        <f>SUMIFS(領用表!$L:$L,領用表!$E:$E,$B183,領用表!$B:$B,R$2&amp;$R$1)</f>
        <v/>
      </c>
      <c r="S183" s="405">
        <f>SUMIFS(領用表!$L:$L,領用表!$E:$E,$B183,領用表!$B:$B,S$2&amp;$R$1)</f>
        <v/>
      </c>
      <c r="T183" s="405">
        <f>SUMIFS(領用表!$L:$L,領用表!$E:$E,$B183,領用表!$B:$B,T$2&amp;$R$1)</f>
        <v/>
      </c>
      <c r="U183" s="405">
        <f>SUMIFS(領用表!$L:$L,領用表!$E:$E,$B183,領用表!$B:$B,U$2&amp;$R$1)</f>
        <v/>
      </c>
      <c r="V183" s="405">
        <f>SUMIFS(領用表!$L:$L,領用表!$E:$E,$B183,領用表!$B:$B,V$2&amp;$R$1)</f>
        <v/>
      </c>
      <c r="W183" s="405">
        <f>SUMIFS(領用表!$L:$L,領用表!$E:$E,$B183,領用表!$B:$B,W$2&amp;$R$1)</f>
        <v/>
      </c>
      <c r="X183" s="405">
        <f>SUMIFS(領用表!$L:$L,領用表!$E:$E,$B183,領用表!$B:$B,X$2&amp;$R$1)</f>
        <v/>
      </c>
      <c r="Y183" s="405">
        <f>SUMIFS(領用表!$L:$L,領用表!$E:$E,$B183,領用表!$B:$B,Y$2&amp;$R$1)</f>
        <v/>
      </c>
      <c r="Z183" s="405">
        <f>SUMIFS(領用表!$L:$L,領用表!$E:$E,$B183,領用表!$B:$B,Z$2&amp;$R$1)</f>
        <v/>
      </c>
      <c r="AA183" s="405">
        <f>SUMIFS(領用表!$L:$L,領用表!$E:$E,$B183,領用表!$B:$B,AA$2&amp;$R$1)</f>
        <v/>
      </c>
      <c r="AB183" s="405">
        <f>SUMIFS(領用表!$L:$L,領用表!$E:$E,$B183,領用表!$B:$B,AB$2&amp;$R$1)</f>
        <v/>
      </c>
      <c r="AC183" s="405">
        <f>SUMIFS(領用表!$L:$L,領用表!$E:$E,$B183,領用表!$B:$B,AC$2&amp;$R$1)</f>
        <v/>
      </c>
      <c r="AD183" s="405">
        <f>SUM(R183,S183,T183,U183,V183,W183)</f>
        <v/>
      </c>
      <c r="AE183" s="405">
        <f>AVERAGE(R183,S183,T183,U183,V183,W183)</f>
        <v/>
      </c>
      <c r="AF183" s="405">
        <f>SUMIF(Summary!B:B,B183,Summary!EB:EB)</f>
        <v/>
      </c>
      <c r="AG183" s="111" t="n">
        <v>0</v>
      </c>
      <c r="AH183" s="80" t="n"/>
      <c r="AI183" s="76" t="n"/>
      <c r="AJ183" s="76" t="inlineStr">
        <is>
          <t>20(10/22)</t>
        </is>
      </c>
    </row>
    <row r="184" ht="16.5" customHeight="1" s="453">
      <c r="A184" s="27" t="inlineStr">
        <is>
          <t>DL1GD010001T</t>
        </is>
      </c>
      <c r="B184" s="14" t="e">
        <v>#N/A</v>
      </c>
      <c r="C184" s="136" t="inlineStr">
        <is>
          <t>暢護菌益康粉包 3g(30入)(繁體版)</t>
        </is>
      </c>
      <c r="D184" s="77" t="n"/>
      <c r="E184" s="17" t="inlineStr">
        <is>
          <t>PCS</t>
        </is>
      </c>
      <c r="F184" s="70" t="n"/>
      <c r="G184" s="18" t="n"/>
      <c r="J184" s="20">
        <f>SUMIFS(領用表!$L:$L,領用表!$E:$E,$B184,領用表!$B:$B,J$2&amp;$R$1)</f>
        <v/>
      </c>
      <c r="K184" s="20">
        <f>SUMIFS(領用表!$L:$L,領用表!$E:$E,$B184,領用表!$B:$B,K$2&amp;$R$1)</f>
        <v/>
      </c>
      <c r="L184" s="20">
        <f>SUMIFS(領用表!$L:$L,領用表!$E:$E,$B184,領用表!$B:$B,L$2&amp;$R$1)</f>
        <v/>
      </c>
      <c r="M184" s="142">
        <f>SUMIFS(領用表!$L:$L,領用表!$E:$E,$B184,領用表!$B:$B,M$2&amp;$R$1)</f>
        <v/>
      </c>
      <c r="N184" s="142">
        <f>SUMIFS(領用表!$L:$L,領用表!$E:$E,$B184,領用表!$B:$B,N$2&amp;$R$1)</f>
        <v/>
      </c>
      <c r="O184" s="142">
        <f>SUMIFS(領用表!$L:$L,領用表!$E:$E,$B184,領用表!$B:$B,O$2&amp;$R$1)</f>
        <v/>
      </c>
      <c r="P184" s="23">
        <f>SUM(,J184,K184,L184,M184,N184,O184)</f>
        <v/>
      </c>
      <c r="Q184" s="23">
        <f>AVERAGE(,J184,K184,L184,M184,N184,O184)</f>
        <v/>
      </c>
      <c r="R184" s="142">
        <f>SUMIFS(領用表!$L:$L,領用表!$E:$E,$B184,領用表!$B:$B,R$2&amp;$R$1)</f>
        <v/>
      </c>
      <c r="S184" s="405">
        <f>SUMIFS(領用表!$L:$L,領用表!$E:$E,$B184,領用表!$B:$B,S$2&amp;$R$1)</f>
        <v/>
      </c>
      <c r="T184" s="405">
        <f>SUMIFS(領用表!$L:$L,領用表!$E:$E,$B184,領用表!$B:$B,T$2&amp;$R$1)</f>
        <v/>
      </c>
      <c r="U184" s="405">
        <f>SUMIFS(領用表!$L:$L,領用表!$E:$E,$B184,領用表!$B:$B,U$2&amp;$R$1)</f>
        <v/>
      </c>
      <c r="V184" s="405">
        <f>SUMIFS(領用表!$L:$L,領用表!$E:$E,$B184,領用表!$B:$B,V$2&amp;$R$1)</f>
        <v/>
      </c>
      <c r="W184" s="405">
        <f>SUMIFS(領用表!$L:$L,領用表!$E:$E,$B184,領用表!$B:$B,W$2&amp;$R$1)</f>
        <v/>
      </c>
      <c r="X184" s="405">
        <f>SUMIFS(領用表!$L:$L,領用表!$E:$E,$B184,領用表!$B:$B,X$2&amp;$R$1)</f>
        <v/>
      </c>
      <c r="Y184" s="405">
        <f>SUMIFS(領用表!$L:$L,領用表!$E:$E,$B184,領用表!$B:$B,Y$2&amp;$R$1)</f>
        <v/>
      </c>
      <c r="Z184" s="405">
        <f>SUMIFS(領用表!$L:$L,領用表!$E:$E,$B184,領用表!$B:$B,Z$2&amp;$R$1)</f>
        <v/>
      </c>
      <c r="AA184" s="405">
        <f>SUMIFS(領用表!$L:$L,領用表!$E:$E,$B184,領用表!$B:$B,AA$2&amp;$R$1)</f>
        <v/>
      </c>
      <c r="AB184" s="405">
        <f>SUMIFS(領用表!$L:$L,領用表!$E:$E,$B184,領用表!$B:$B,AB$2&amp;$R$1)</f>
        <v/>
      </c>
      <c r="AC184" s="405">
        <f>SUMIFS(領用表!$L:$L,領用表!$E:$E,$B184,領用表!$B:$B,AC$2&amp;$R$1)</f>
        <v/>
      </c>
      <c r="AD184" s="405">
        <f>SUM(R184,S184,T184,U184,V184,W184)</f>
        <v/>
      </c>
      <c r="AE184" s="405">
        <f>AVERAGE(R184,S184,T184,U184,V184,W184)</f>
        <v/>
      </c>
      <c r="AF184" s="405">
        <f>SUMIF(Summary!B:B,B184,Summary!EB:EB)</f>
        <v/>
      </c>
      <c r="AG184" s="111" t="n">
        <v>0</v>
      </c>
      <c r="AH184" s="80" t="n"/>
      <c r="AI184" s="76" t="n"/>
      <c r="AJ184" s="76" t="inlineStr">
        <is>
          <t>15(10/22)</t>
        </is>
      </c>
    </row>
    <row r="185" ht="16.5" customHeight="1" s="453">
      <c r="A185" s="27" t="inlineStr">
        <is>
          <t>MAX06M1A0001</t>
        </is>
      </c>
      <c r="B185" s="14" t="e">
        <v>#N/A</v>
      </c>
      <c r="C185" s="136" t="inlineStr">
        <is>
          <t>MIKOBEAUTE-提袋-S/22cm W*8cm D*18cm H</t>
        </is>
      </c>
      <c r="D185" s="77" t="n"/>
      <c r="E185" s="17" t="inlineStr">
        <is>
          <t>PCS</t>
        </is>
      </c>
      <c r="F185" s="70" t="n"/>
      <c r="G185" s="18" t="n"/>
      <c r="J185" s="20">
        <f>SUMIFS(領用表!$L:$L,領用表!$E:$E,$B185,領用表!$B:$B,J$2&amp;$R$1)</f>
        <v/>
      </c>
      <c r="K185" s="20">
        <f>SUMIFS(領用表!$L:$L,領用表!$E:$E,$B185,領用表!$B:$B,K$2&amp;$R$1)</f>
        <v/>
      </c>
      <c r="L185" s="20">
        <f>SUMIFS(領用表!$L:$L,領用表!$E:$E,$B185,領用表!$B:$B,L$2&amp;$R$1)</f>
        <v/>
      </c>
      <c r="M185" s="142">
        <f>SUMIFS(領用表!$L:$L,領用表!$E:$E,$B185,領用表!$B:$B,M$2&amp;$R$1)</f>
        <v/>
      </c>
      <c r="N185" s="142">
        <f>SUMIFS(領用表!$L:$L,領用表!$E:$E,$B185,領用表!$B:$B,N$2&amp;$R$1)</f>
        <v/>
      </c>
      <c r="O185" s="142">
        <f>SUMIFS(領用表!$L:$L,領用表!$E:$E,$B185,領用表!$B:$B,O$2&amp;$R$1)</f>
        <v/>
      </c>
      <c r="P185" s="23">
        <f>SUM(,J185,K185,L185,M185,N185,O185)</f>
        <v/>
      </c>
      <c r="Q185" s="23">
        <f>AVERAGE(,J185,K185,L185,M185,N185,O185)</f>
        <v/>
      </c>
      <c r="R185" s="142">
        <f>SUMIFS(領用表!$L:$L,領用表!$E:$E,$B185,領用表!$B:$B,R$2&amp;$R$1)</f>
        <v/>
      </c>
      <c r="S185" s="405">
        <f>SUMIFS(領用表!$L:$L,領用表!$E:$E,$B185,領用表!$B:$B,S$2&amp;$R$1)</f>
        <v/>
      </c>
      <c r="T185" s="405">
        <f>SUMIFS(領用表!$L:$L,領用表!$E:$E,$B185,領用表!$B:$B,T$2&amp;$R$1)</f>
        <v/>
      </c>
      <c r="U185" s="405">
        <f>SUMIFS(領用表!$L:$L,領用表!$E:$E,$B185,領用表!$B:$B,U$2&amp;$R$1)</f>
        <v/>
      </c>
      <c r="V185" s="405">
        <f>SUMIFS(領用表!$L:$L,領用表!$E:$E,$B185,領用表!$B:$B,V$2&amp;$R$1)</f>
        <v/>
      </c>
      <c r="W185" s="405">
        <f>SUMIFS(領用表!$L:$L,領用表!$E:$E,$B185,領用表!$B:$B,W$2&amp;$R$1)</f>
        <v/>
      </c>
      <c r="X185" s="405">
        <f>SUMIFS(領用表!$L:$L,領用表!$E:$E,$B185,領用表!$B:$B,X$2&amp;$R$1)</f>
        <v/>
      </c>
      <c r="Y185" s="405">
        <f>SUMIFS(領用表!$L:$L,領用表!$E:$E,$B185,領用表!$B:$B,Y$2&amp;$R$1)</f>
        <v/>
      </c>
      <c r="Z185" s="405">
        <f>SUMIFS(領用表!$L:$L,領用表!$E:$E,$B185,領用表!$B:$B,Z$2&amp;$R$1)</f>
        <v/>
      </c>
      <c r="AA185" s="405">
        <f>SUMIFS(領用表!$L:$L,領用表!$E:$E,$B185,領用表!$B:$B,AA$2&amp;$R$1)</f>
        <v/>
      </c>
      <c r="AB185" s="405">
        <f>SUMIFS(領用表!$L:$L,領用表!$E:$E,$B185,領用表!$B:$B,AB$2&amp;$R$1)</f>
        <v/>
      </c>
      <c r="AC185" s="405">
        <f>SUMIFS(領用表!$L:$L,領用表!$E:$E,$B185,領用表!$B:$B,AC$2&amp;$R$1)</f>
        <v/>
      </c>
      <c r="AD185" s="405">
        <f>SUM(R185,S185,T185,U185,V185,W185)</f>
        <v/>
      </c>
      <c r="AE185" s="405">
        <f>AVERAGE(R185,S185,T185,U185,V185,W185)</f>
        <v/>
      </c>
      <c r="AF185" s="405">
        <f>SUMIF(Summary!B:B,B185,Summary!EB:EB)</f>
        <v/>
      </c>
      <c r="AG185" s="111" t="n">
        <v>0</v>
      </c>
      <c r="AH185" s="80" t="n"/>
      <c r="AI185" s="76" t="n"/>
      <c r="AJ185" s="76" t="n"/>
    </row>
    <row r="186" ht="16.5" customHeight="1" s="453">
      <c r="A186" s="27" t="inlineStr">
        <is>
          <t>MAX06M1A0005</t>
        </is>
      </c>
      <c r="B186" s="14" t="e">
        <v>#N/A</v>
      </c>
      <c r="C186" s="136" t="inlineStr">
        <is>
          <t>MIKOBEAUTE-提袋-M/29cm W*11cm D*24cm H(2023.4)</t>
        </is>
      </c>
      <c r="D186" s="77" t="n"/>
      <c r="E186" s="17" t="inlineStr">
        <is>
          <t>PCS</t>
        </is>
      </c>
      <c r="F186" s="70" t="n"/>
      <c r="G186" s="18" t="n"/>
      <c r="J186" s="20">
        <f>SUMIFS(領用表!$L:$L,領用表!$E:$E,$B186,領用表!$B:$B,J$2&amp;$R$1)</f>
        <v/>
      </c>
      <c r="K186" s="20">
        <f>SUMIFS(領用表!$L:$L,領用表!$E:$E,$B186,領用表!$B:$B,K$2&amp;$R$1)</f>
        <v/>
      </c>
      <c r="L186" s="20">
        <f>SUMIFS(領用表!$L:$L,領用表!$E:$E,$B186,領用表!$B:$B,L$2&amp;$R$1)</f>
        <v/>
      </c>
      <c r="M186" s="142">
        <f>SUMIFS(領用表!$L:$L,領用表!$E:$E,$B186,領用表!$B:$B,M$2&amp;$R$1)</f>
        <v/>
      </c>
      <c r="N186" s="142">
        <f>SUMIFS(領用表!$L:$L,領用表!$E:$E,$B186,領用表!$B:$B,N$2&amp;$R$1)</f>
        <v/>
      </c>
      <c r="O186" s="142">
        <f>SUMIFS(領用表!$L:$L,領用表!$E:$E,$B186,領用表!$B:$B,O$2&amp;$R$1)</f>
        <v/>
      </c>
      <c r="P186" s="23">
        <f>SUM(,J186,K186,L186,M186,N186,O186)</f>
        <v/>
      </c>
      <c r="Q186" s="23">
        <f>AVERAGE(,J186,K186,L186,M186,N186,O186)</f>
        <v/>
      </c>
      <c r="R186" s="142">
        <f>SUMIFS(領用表!$L:$L,領用表!$E:$E,$B186,領用表!$B:$B,R$2&amp;$R$1)</f>
        <v/>
      </c>
      <c r="S186" s="405">
        <f>SUMIFS(領用表!$L:$L,領用表!$E:$E,$B186,領用表!$B:$B,S$2&amp;$R$1)</f>
        <v/>
      </c>
      <c r="T186" s="405">
        <f>SUMIFS(領用表!$L:$L,領用表!$E:$E,$B186,領用表!$B:$B,T$2&amp;$R$1)</f>
        <v/>
      </c>
      <c r="U186" s="405">
        <f>SUMIFS(領用表!$L:$L,領用表!$E:$E,$B186,領用表!$B:$B,U$2&amp;$R$1)</f>
        <v/>
      </c>
      <c r="V186" s="405">
        <f>SUMIFS(領用表!$L:$L,領用表!$E:$E,$B186,領用表!$B:$B,V$2&amp;$R$1)</f>
        <v/>
      </c>
      <c r="AD186" s="405">
        <f>SUM(R186,S186,T186,U186,V186,W186)</f>
        <v/>
      </c>
      <c r="AE186" s="405">
        <f>AVERAGE(R186,S186,T186,U186,V186,W186)</f>
        <v/>
      </c>
      <c r="AF186" s="405">
        <f>SUMIF(Summary!B:B,B186,Summary!EB:EB)</f>
        <v/>
      </c>
      <c r="AG186" s="111" t="n">
        <v>0</v>
      </c>
      <c r="AH186" s="80" t="n"/>
      <c r="AI186" s="76" t="n"/>
      <c r="AJ186" s="76" t="n"/>
    </row>
    <row r="187" ht="16.5" customHeight="1" s="453">
      <c r="B187" s="14" t="n">
        <v>6080011</v>
      </c>
      <c r="C187" s="136" t="inlineStr">
        <is>
          <t>(V)水梨面膜 30ml</t>
        </is>
      </c>
      <c r="D187" s="77" t="n"/>
      <c r="E187" s="17" t="inlineStr">
        <is>
          <t>PCS</t>
        </is>
      </c>
      <c r="F187" s="85" t="n"/>
      <c r="G187" s="18" t="n">
        <v>0</v>
      </c>
      <c r="J187" s="20">
        <f>SUMIFS(領用表!$L:$L,領用表!$E:$E,$B187,領用表!$B:$B,J$2&amp;$R$1)</f>
        <v/>
      </c>
      <c r="K187" s="20">
        <f>SUMIFS(領用表!$L:$L,領用表!$E:$E,$B187,領用表!$B:$B,K$2&amp;$R$1)</f>
        <v/>
      </c>
      <c r="L187" s="20">
        <f>SUMIFS(領用表!$L:$L,領用表!$E:$E,$B187,領用表!$B:$B,L$2&amp;$R$1)</f>
        <v/>
      </c>
      <c r="M187" s="142">
        <f>SUMIFS(領用表!$L:$L,領用表!$E:$E,$B187,領用表!$B:$B,M$2&amp;$R$1)</f>
        <v/>
      </c>
      <c r="N187" s="142">
        <f>SUMIFS(領用表!$L:$L,領用表!$E:$E,$B187,領用表!$B:$B,N$2&amp;$R$1)</f>
        <v/>
      </c>
      <c r="O187" s="142">
        <f>SUMIFS(領用表!$L:$L,領用表!$E:$E,$B187,領用表!$B:$B,O$2&amp;$R$1)</f>
        <v/>
      </c>
      <c r="P187" s="23">
        <f>SUM(,J187,K187,L187,M187,N187,O187)</f>
        <v/>
      </c>
      <c r="Q187" s="23">
        <f>AVERAGE(,J187,K187,L187,M187,N187,O187)</f>
        <v/>
      </c>
      <c r="R187" s="142">
        <f>SUMIFS(領用表!$L:$L,領用表!$E:$E,$B187,領用表!$B:$B,R$2&amp;$R$1)</f>
        <v/>
      </c>
      <c r="S187" s="405">
        <f>SUMIFS(領用表!$L:$L,領用表!$E:$E,$B187,領用表!$B:$B,S$2&amp;$R$1)</f>
        <v/>
      </c>
      <c r="T187" s="405">
        <f>SUMIFS(領用表!$L:$L,領用表!$E:$E,$B187,領用表!$B:$B,T$2&amp;$R$1)</f>
        <v/>
      </c>
      <c r="U187" s="405">
        <f>SUMIFS(領用表!$L:$L,領用表!$E:$E,$B187,領用表!$B:$B,U$2&amp;$R$1)</f>
        <v/>
      </c>
      <c r="V187" s="405">
        <f>SUMIFS(領用表!$L:$L,領用表!$E:$E,$B187,領用表!$B:$B,V$2&amp;$R$1)</f>
        <v/>
      </c>
      <c r="W187" s="405" t="n"/>
      <c r="X187" s="405">
        <f>SUMIFS(領用表!$L:$L,領用表!$E:$E,$B186,領用表!$B:$B,X$2&amp;$R$1)</f>
        <v/>
      </c>
      <c r="Y187" s="405">
        <f>SUMIFS(領用表!$L:$L,領用表!$E:$E,$B186,領用表!$B:$B,Y$2&amp;$R$1)</f>
        <v/>
      </c>
      <c r="Z187" s="405">
        <f>SUMIFS(領用表!$L:$L,領用表!$E:$E,$B186,領用表!$B:$B,Z$2&amp;$R$1)</f>
        <v/>
      </c>
      <c r="AA187" s="405">
        <f>SUMIFS(領用表!$L:$L,領用表!$E:$E,$B186,領用表!$B:$B,AA$2&amp;$R$1)</f>
        <v/>
      </c>
      <c r="AB187" s="405">
        <f>SUMIFS(領用表!$L:$L,領用表!$E:$E,$B186,領用表!$B:$B,AB$2&amp;$R$1)</f>
        <v/>
      </c>
      <c r="AC187" s="405">
        <f>SUMIFS(領用表!$L:$L,領用表!$E:$E,$B186,領用表!$B:$B,AC$2&amp;$R$1)</f>
        <v/>
      </c>
      <c r="AD187" s="405">
        <f>SUM(R187,S187,T187,U187,V187,W187)</f>
        <v/>
      </c>
      <c r="AE187" s="405">
        <f>AVERAGE(R187,S187,T187,U187,V187,W187)</f>
        <v/>
      </c>
      <c r="AF187" s="405">
        <f>SUMIF(Summary!B:B,B187,Summary!EB:EB)</f>
        <v/>
      </c>
    </row>
    <row r="188" ht="16.5" customHeight="1" s="453">
      <c r="B188" s="14" t="n">
        <v>6080012</v>
      </c>
      <c r="C188" s="136" t="inlineStr">
        <is>
          <t>(V)小玉西瓜面膜 30ml</t>
        </is>
      </c>
      <c r="D188" s="77" t="n"/>
      <c r="E188" s="17" t="inlineStr">
        <is>
          <t>PCS</t>
        </is>
      </c>
      <c r="F188" s="85" t="n"/>
      <c r="G188" s="18" t="n">
        <v>3100</v>
      </c>
      <c r="J188" s="20">
        <f>SUMIFS(領用表!$L:$L,領用表!$E:$E,$B188,領用表!$B:$B,J$2&amp;$R$1)</f>
        <v/>
      </c>
      <c r="K188" s="20">
        <f>SUMIFS(領用表!$L:$L,領用表!$E:$E,$B188,領用表!$B:$B,K$2&amp;$R$1)</f>
        <v/>
      </c>
      <c r="L188" s="20">
        <f>SUMIFS(領用表!$L:$L,領用表!$E:$E,$B188,領用表!$B:$B,L$2&amp;$R$1)</f>
        <v/>
      </c>
      <c r="M188" s="142">
        <f>SUMIFS(領用表!$L:$L,領用表!$E:$E,$B188,領用表!$B:$B,M$2&amp;$R$1)</f>
        <v/>
      </c>
      <c r="N188" s="142">
        <f>SUMIFS(領用表!$L:$L,領用表!$E:$E,$B188,領用表!$B:$B,N$2&amp;$R$1)</f>
        <v/>
      </c>
      <c r="O188" s="142">
        <f>SUMIFS(領用表!$L:$L,領用表!$E:$E,$B188,領用表!$B:$B,O$2&amp;$R$1)</f>
        <v/>
      </c>
      <c r="P188" s="23">
        <f>SUM(,J188,K188,L188,M188,N188,O188)</f>
        <v/>
      </c>
      <c r="Q188" s="23">
        <f>AVERAGE(,J188,K188,L188,M188,N188,O188)</f>
        <v/>
      </c>
      <c r="R188" s="142">
        <f>SUMIFS(領用表!$L:$L,領用表!$E:$E,$B188,領用表!$B:$B,R$2&amp;$R$1)</f>
        <v/>
      </c>
      <c r="S188" s="405">
        <f>SUMIFS(領用表!$L:$L,領用表!$E:$E,$B188,領用表!$B:$B,S$2&amp;$R$1)</f>
        <v/>
      </c>
      <c r="T188" s="405">
        <f>SUMIFS(領用表!$L:$L,領用表!$E:$E,$B188,領用表!$B:$B,T$2&amp;$R$1)</f>
        <v/>
      </c>
      <c r="U188" s="405">
        <f>SUMIFS(領用表!$L:$L,領用表!$E:$E,$B188,領用表!$B:$B,U$2&amp;$R$1)</f>
        <v/>
      </c>
      <c r="V188" s="405">
        <f>SUMIFS(領用表!$L:$L,領用表!$E:$E,$B188,領用表!$B:$B,V$2&amp;$R$1)</f>
        <v/>
      </c>
      <c r="W188" s="405" t="n"/>
      <c r="X188" s="405">
        <f>SUMIFS(領用表!$L:$L,領用表!$E:$E,$B187,領用表!$B:$B,X$2&amp;$R$1)</f>
        <v/>
      </c>
      <c r="Y188" s="405">
        <f>SUMIFS(領用表!$L:$L,領用表!$E:$E,$B187,領用表!$B:$B,Y$2&amp;$R$1)</f>
        <v/>
      </c>
      <c r="Z188" s="405">
        <f>SUMIFS(領用表!$L:$L,領用表!$E:$E,$B187,領用表!$B:$B,Z$2&amp;$R$1)</f>
        <v/>
      </c>
      <c r="AA188" s="405">
        <f>SUMIFS(領用表!$L:$L,領用表!$E:$E,$B187,領用表!$B:$B,AA$2&amp;$R$1)</f>
        <v/>
      </c>
      <c r="AB188" s="405">
        <f>SUMIFS(領用表!$L:$L,領用表!$E:$E,$B187,領用表!$B:$B,AB$2&amp;$R$1)</f>
        <v/>
      </c>
      <c r="AC188" s="405">
        <f>SUMIFS(領用表!$L:$L,領用表!$E:$E,$B187,領用表!$B:$B,AC$2&amp;$R$1)</f>
        <v/>
      </c>
      <c r="AD188" s="405">
        <f>SUM(R188,S188,T188,U188,V188,W188)</f>
        <v/>
      </c>
      <c r="AE188" s="405">
        <f>AVERAGE(R188,S188,T188,U188,V188,W188)</f>
        <v/>
      </c>
      <c r="AF188" s="405">
        <f>SUMIF(Summary!B:B,B188,Summary!EB:EB)</f>
        <v/>
      </c>
    </row>
    <row r="189">
      <c r="B189" s="14" t="inlineStr">
        <is>
          <t>6110181</t>
        </is>
      </c>
      <c r="C189" s="136" t="inlineStr">
        <is>
          <t>需自選沙貨進行手動扣庫</t>
        </is>
      </c>
      <c r="D189" s="77" t="n"/>
      <c r="E189" s="17" t="n"/>
      <c r="F189" s="85" t="n"/>
      <c r="G189" s="18" t="n"/>
      <c r="J189" s="20">
        <f>SUMIFS(領用表!$L:$L,領用表!$E:$E,$B189,領用表!$B:$B,J$2&amp;$R$1)</f>
        <v/>
      </c>
      <c r="K189" s="20">
        <f>SUMIFS(領用表!$L:$L,領用表!$E:$E,$B189,領用表!$B:$B,K$2&amp;$R$1)</f>
        <v/>
      </c>
      <c r="L189" s="20">
        <f>SUMIFS(領用表!$L:$L,領用表!$E:$E,$B189,領用表!$B:$B,L$2&amp;$R$1)</f>
        <v/>
      </c>
      <c r="M189" s="142">
        <f>SUMIFS(領用表!$L:$L,領用表!$E:$E,$B189,領用表!$B:$B,M$2&amp;$R$1)</f>
        <v/>
      </c>
      <c r="N189" s="142">
        <f>SUMIFS(領用表!$L:$L,領用表!$E:$E,$B189,領用表!$B:$B,N$2&amp;$R$1)</f>
        <v/>
      </c>
      <c r="O189" s="142">
        <f>SUMIFS(領用表!$L:$L,領用表!$E:$E,$B189,領用表!$B:$B,O$2&amp;$R$1)</f>
        <v/>
      </c>
      <c r="P189" s="23">
        <f>SUM(,J189,K189,L189,M189,N189,O189)</f>
        <v/>
      </c>
      <c r="Q189" s="23">
        <f>AVERAGE(,J189,K189,L189,M189,N189,O189)</f>
        <v/>
      </c>
      <c r="R189" s="142">
        <f>SUMIFS(領用表!$L:$L,領用表!$E:$E,$B189,領用表!$B:$B,R$2&amp;$R$1)</f>
        <v/>
      </c>
      <c r="S189" s="405">
        <f>SUMIFS(領用表!$L:$L,領用表!$E:$E,$B189,領用表!$B:$B,S$2&amp;$R$1)</f>
        <v/>
      </c>
      <c r="T189" s="405">
        <f>SUMIFS(領用表!$L:$L,領用表!$E:$E,$B189,領用表!$B:$B,T$2&amp;$R$1)</f>
        <v/>
      </c>
      <c r="U189" s="405">
        <f>SUMIFS(領用表!$L:$L,領用表!$E:$E,$B189,領用表!$B:$B,U$2&amp;$R$1)</f>
        <v/>
      </c>
      <c r="V189" s="405">
        <f>SUMIFS(領用表!$L:$L,領用表!$E:$E,$B189,領用表!$B:$B,V$2&amp;$R$1)</f>
        <v/>
      </c>
      <c r="W189" s="405" t="n">
        <v>1</v>
      </c>
      <c r="X189" s="405">
        <f>SUMIFS(領用表!$L:$L,領用表!$E:$E,$B188,領用表!$B:$B,X$2&amp;$R$1)</f>
        <v/>
      </c>
      <c r="Y189" s="405">
        <f>SUMIFS(領用表!$L:$L,領用表!$E:$E,$B188,領用表!$B:$B,Y$2&amp;$R$1)</f>
        <v/>
      </c>
      <c r="Z189" s="405">
        <f>SUMIFS(領用表!$L:$L,領用表!$E:$E,$B188,領用表!$B:$B,Z$2&amp;$R$1)</f>
        <v/>
      </c>
      <c r="AA189" s="405">
        <f>SUMIFS(領用表!$L:$L,領用表!$E:$E,$B188,領用表!$B:$B,AA$2&amp;$R$1)</f>
        <v/>
      </c>
      <c r="AB189" s="405">
        <f>SUMIFS(領用表!$L:$L,領用表!$E:$E,$B188,領用表!$B:$B,AB$2&amp;$R$1)</f>
        <v/>
      </c>
      <c r="AC189" s="405">
        <f>SUMIFS(領用表!$L:$L,領用表!$E:$E,$B188,領用表!$B:$B,AC$2&amp;$R$1)</f>
        <v/>
      </c>
      <c r="AD189" s="405">
        <f>SUM(R189,S189,T189,U189,V189,W189)</f>
        <v/>
      </c>
      <c r="AE189" s="405">
        <f>AVERAGE(R189,S189,T189,U189,V189,W189)</f>
        <v/>
      </c>
      <c r="AF189" s="405">
        <f>SUMIF(Summary!B:B,B189,Summary!EB:EB)</f>
        <v/>
      </c>
    </row>
    <row r="190" ht="13.5" customHeight="1" s="453">
      <c r="B190" s="14" t="inlineStr">
        <is>
          <t>6190001</t>
        </is>
      </c>
      <c r="C190" s="136" t="inlineStr">
        <is>
          <t>PLT生長因子凍晶製備/ 瓶</t>
        </is>
      </c>
      <c r="D190" s="77" t="n"/>
      <c r="E190" s="17" t="n"/>
      <c r="F190" s="85" t="n"/>
      <c r="G190" s="18" t="n"/>
      <c r="J190" s="20">
        <f>SUMIFS(領用表!$L:$L,領用表!$E:$E,$B190,領用表!$B:$B,J$2&amp;$R$1)</f>
        <v/>
      </c>
      <c r="K190" s="20">
        <f>SUMIFS(領用表!$L:$L,領用表!$E:$E,$B190,領用表!$B:$B,K$2&amp;$R$1)</f>
        <v/>
      </c>
      <c r="L190" s="20">
        <f>SUMIFS(領用表!$L:$L,領用表!$E:$E,$B190,領用表!$B:$B,L$2&amp;$R$1)</f>
        <v/>
      </c>
      <c r="M190" s="142">
        <f>SUMIFS(領用表!$L:$L,領用表!$E:$E,$B190,領用表!$B:$B,M$2&amp;$R$1)</f>
        <v/>
      </c>
      <c r="N190" s="142">
        <f>SUMIFS(領用表!$L:$L,領用表!$E:$E,$B190,領用表!$B:$B,N$2&amp;$R$1)</f>
        <v/>
      </c>
      <c r="O190" s="142">
        <f>SUMIFS(領用表!$L:$L,領用表!$E:$E,$B190,領用表!$B:$B,O$2&amp;$R$1)</f>
        <v/>
      </c>
      <c r="P190" s="23">
        <f>SUM(,J190,K190,L190,M190,N190,O190)</f>
        <v/>
      </c>
      <c r="Q190" s="23">
        <f>AVERAGE(,J190,K190,L190,M190,N190,O190)</f>
        <v/>
      </c>
      <c r="R190" s="142">
        <f>SUMIFS(領用表!$L:$L,領用表!$E:$E,$B190,領用表!$B:$B,R$2&amp;$R$1)</f>
        <v/>
      </c>
      <c r="S190" s="405">
        <f>SUMIFS(領用表!$L:$L,領用表!$E:$E,$B190,領用表!$B:$B,S$2&amp;$R$1)</f>
        <v/>
      </c>
      <c r="T190" s="405">
        <f>SUMIFS(領用表!$L:$L,領用表!$E:$E,$B190,領用表!$B:$B,T$2&amp;$R$1)</f>
        <v/>
      </c>
      <c r="U190" s="405">
        <f>SUMIFS(領用表!$L:$L,領用表!$E:$E,$B190,領用表!$B:$B,U$2&amp;$R$1)</f>
        <v/>
      </c>
      <c r="V190" s="405">
        <f>SUMIFS(領用表!$L:$L,領用表!$E:$E,$B190,領用表!$B:$B,V$2&amp;$R$1)</f>
        <v/>
      </c>
      <c r="W190" s="405" t="n">
        <v>2</v>
      </c>
      <c r="X190" s="405">
        <f>SUMIFS(領用表!$L:$L,領用表!$E:$E,$B189,領用表!$B:$B,X$2&amp;$R$1)</f>
        <v/>
      </c>
      <c r="Y190" s="405">
        <f>SUMIFS(領用表!$L:$L,領用表!$E:$E,$B189,領用表!$B:$B,Y$2&amp;$R$1)</f>
        <v/>
      </c>
      <c r="Z190" s="405">
        <f>SUMIFS(領用表!$L:$L,領用表!$E:$E,$B189,領用表!$B:$B,Z$2&amp;$R$1)</f>
        <v/>
      </c>
      <c r="AA190" s="405">
        <f>SUMIFS(領用表!$L:$L,領用表!$E:$E,$B189,領用表!$B:$B,AA$2&amp;$R$1)</f>
        <v/>
      </c>
      <c r="AB190" s="405">
        <f>SUMIFS(領用表!$L:$L,領用表!$E:$E,$B189,領用表!$B:$B,AB$2&amp;$R$1)</f>
        <v/>
      </c>
      <c r="AC190" s="405">
        <f>SUMIFS(領用表!$L:$L,領用表!$E:$E,$B189,領用表!$B:$B,AC$2&amp;$R$1)</f>
        <v/>
      </c>
      <c r="AD190" s="405">
        <f>SUM(R190,S190,T190,U190,V190,W190)</f>
        <v/>
      </c>
      <c r="AE190" s="405">
        <f>AVERAGE(R190,S190,T190,U190,V190,W190)</f>
        <v/>
      </c>
      <c r="AF190" s="405">
        <f>SUMIF(Summary!B:B,B190,Summary!EB:EB)</f>
        <v/>
      </c>
    </row>
    <row r="191" ht="13.5" customHeight="1" s="453">
      <c r="D191" s="11" t="n"/>
      <c r="E191" s="79" t="n"/>
      <c r="F191" s="85" t="n"/>
      <c r="G191" s="85" t="n"/>
    </row>
    <row r="192" ht="13.5" customHeight="1" s="453">
      <c r="D192" s="11" t="n"/>
      <c r="E192" s="79" t="n"/>
      <c r="F192" s="85" t="n"/>
      <c r="G192" s="85" t="n"/>
    </row>
    <row r="193" ht="13.5" customHeight="1" s="453">
      <c r="D193" s="11" t="n"/>
      <c r="E193" s="79" t="n"/>
      <c r="F193" s="85" t="n"/>
      <c r="G193" s="85" t="n"/>
    </row>
    <row r="194" ht="13.5" customHeight="1" s="453">
      <c r="D194" s="11" t="n"/>
      <c r="E194" s="79" t="n"/>
      <c r="F194" s="85" t="n"/>
      <c r="G194" s="85" t="n"/>
    </row>
    <row r="195" ht="13.5" customHeight="1" s="453">
      <c r="D195" s="11" t="n"/>
      <c r="E195" s="79" t="n"/>
      <c r="F195" s="85" t="n"/>
      <c r="G195" s="85" t="n"/>
    </row>
    <row r="196" ht="13.5" customHeight="1" s="453">
      <c r="D196" s="11" t="n"/>
      <c r="E196" s="79" t="n"/>
      <c r="F196" s="85" t="n"/>
      <c r="G196" s="85" t="n"/>
    </row>
    <row r="197" ht="13.5" customHeight="1" s="453">
      <c r="D197" s="11" t="n"/>
      <c r="E197" s="79" t="n"/>
      <c r="F197" s="85" t="n"/>
      <c r="G197" s="85" t="n"/>
    </row>
    <row r="198" ht="13.5" customHeight="1" s="453">
      <c r="D198" s="11" t="n"/>
      <c r="E198" s="86" t="n"/>
      <c r="F198" s="85" t="n"/>
      <c r="G198" s="85" t="n"/>
    </row>
    <row r="199" ht="13.5" customHeight="1" s="453">
      <c r="D199" s="11" t="n"/>
      <c r="E199" s="86" t="n"/>
      <c r="F199" s="85" t="n"/>
      <c r="G199" s="85" t="n"/>
    </row>
    <row r="200" ht="13.5" customHeight="1" s="453">
      <c r="D200" s="11" t="n"/>
      <c r="E200" s="86" t="n"/>
      <c r="F200" s="85" t="n"/>
      <c r="G200" s="85" t="n"/>
    </row>
    <row r="201" ht="13.5" customHeight="1" s="453">
      <c r="D201" s="11" t="n"/>
      <c r="E201" s="86" t="n"/>
      <c r="F201" s="85" t="n"/>
      <c r="G201" s="85" t="n"/>
    </row>
    <row r="202" ht="13.5" customHeight="1" s="453">
      <c r="D202" s="11" t="n"/>
      <c r="E202" s="86" t="n"/>
      <c r="F202" s="85" t="n"/>
      <c r="G202" s="85" t="n"/>
    </row>
    <row r="203" ht="13.5" customHeight="1" s="453">
      <c r="D203" s="11" t="n"/>
      <c r="E203" s="86" t="n"/>
      <c r="F203" s="85" t="n"/>
      <c r="G203" s="85" t="n"/>
    </row>
    <row r="204" ht="13.5" customHeight="1" s="453">
      <c r="D204" s="11" t="n"/>
      <c r="E204" s="86" t="n"/>
      <c r="F204" s="85" t="n"/>
      <c r="G204" s="85" t="n"/>
    </row>
    <row r="205" ht="13.5" customHeight="1" s="453">
      <c r="D205" s="11" t="n"/>
      <c r="E205" s="86" t="n"/>
      <c r="F205" s="85" t="n"/>
      <c r="G205" s="85" t="n"/>
    </row>
    <row r="206" ht="13.5" customHeight="1" s="453">
      <c r="D206" s="11" t="n"/>
      <c r="E206" s="86" t="n"/>
      <c r="F206" s="85" t="n"/>
      <c r="G206" s="85" t="n"/>
    </row>
    <row r="207" ht="13.5" customHeight="1" s="453">
      <c r="D207" s="11" t="n"/>
      <c r="E207" s="86" t="n"/>
      <c r="F207" s="85" t="n"/>
      <c r="G207" s="85" t="n"/>
    </row>
    <row r="208" ht="13.5" customHeight="1" s="453">
      <c r="D208" s="11" t="n"/>
      <c r="E208" s="86" t="n"/>
      <c r="F208" s="85" t="n"/>
      <c r="G208" s="85" t="n"/>
    </row>
    <row r="209" ht="13.5" customHeight="1" s="453">
      <c r="D209" s="11" t="n"/>
      <c r="E209" s="86" t="n"/>
      <c r="F209" s="85" t="n"/>
      <c r="G209" s="85" t="n"/>
    </row>
    <row r="210" ht="13.5" customHeight="1" s="453">
      <c r="D210" s="11" t="n"/>
      <c r="E210" s="86" t="n"/>
      <c r="F210" s="85" t="n"/>
      <c r="G210" s="85" t="n"/>
    </row>
    <row r="211" ht="13.5" customHeight="1" s="453">
      <c r="D211" s="11" t="n"/>
      <c r="E211" s="86" t="n"/>
      <c r="F211" s="85" t="n"/>
      <c r="G211" s="85" t="n"/>
    </row>
    <row r="212" ht="13.5" customHeight="1" s="453">
      <c r="D212" s="11" t="n"/>
      <c r="E212" s="86" t="n"/>
      <c r="F212" s="85" t="n"/>
      <c r="G212" s="85" t="n"/>
    </row>
    <row r="213" ht="13.5" customHeight="1" s="453">
      <c r="D213" s="11" t="n"/>
      <c r="E213" s="86" t="n"/>
      <c r="F213" s="85" t="n"/>
      <c r="G213" s="85" t="n"/>
    </row>
    <row r="214" ht="13.5" customHeight="1" s="453">
      <c r="D214" s="11" t="n"/>
      <c r="E214" s="86" t="n"/>
      <c r="F214" s="85" t="n"/>
      <c r="G214" s="85" t="n"/>
    </row>
    <row r="215" ht="13.5" customHeight="1" s="453">
      <c r="D215" s="11" t="n"/>
      <c r="E215" s="86" t="n"/>
      <c r="F215" s="85" t="n"/>
      <c r="G215" s="85" t="n"/>
    </row>
    <row r="216" ht="13.5" customHeight="1" s="453">
      <c r="D216" s="11" t="n"/>
      <c r="E216" s="86" t="n"/>
      <c r="F216" s="85" t="n"/>
      <c r="G216" s="85" t="n"/>
    </row>
    <row r="217" ht="13.5" customHeight="1" s="453">
      <c r="D217" s="11" t="n"/>
      <c r="E217" s="86" t="n"/>
      <c r="F217" s="85" t="n"/>
      <c r="G217" s="85" t="n"/>
    </row>
    <row r="218" ht="13.5" customHeight="1" s="453">
      <c r="D218" s="11" t="n"/>
      <c r="E218" s="86" t="n"/>
      <c r="F218" s="85" t="n"/>
      <c r="G218" s="85" t="n"/>
    </row>
    <row r="219" ht="13.5" customHeight="1" s="453">
      <c r="D219" s="11" t="n"/>
      <c r="E219" s="86" t="n"/>
      <c r="F219" s="85" t="n"/>
      <c r="G219" s="85" t="n"/>
    </row>
    <row r="220" ht="13.5" customHeight="1" s="453">
      <c r="D220" s="11" t="n"/>
      <c r="E220" s="86" t="n"/>
      <c r="F220" s="85" t="n"/>
      <c r="G220" s="85" t="n"/>
    </row>
    <row r="221" ht="13.5" customHeight="1" s="453">
      <c r="D221" s="11" t="n"/>
      <c r="E221" s="86" t="n"/>
      <c r="F221" s="85" t="n"/>
      <c r="G221" s="85" t="n"/>
    </row>
    <row r="222" ht="13.5" customHeight="1" s="453">
      <c r="D222" s="11" t="n"/>
      <c r="E222" s="86" t="n"/>
      <c r="F222" s="85" t="n"/>
      <c r="G222" s="85" t="n"/>
    </row>
    <row r="223" ht="13.5" customHeight="1" s="453">
      <c r="D223" s="11" t="n"/>
      <c r="E223" s="86" t="n"/>
      <c r="F223" s="85" t="n"/>
      <c r="G223" s="85" t="n"/>
    </row>
    <row r="224" ht="13.5" customHeight="1" s="453">
      <c r="D224" s="11" t="n"/>
      <c r="E224" s="86" t="n"/>
      <c r="F224" s="85" t="n"/>
      <c r="G224" s="85" t="n"/>
    </row>
    <row r="225" ht="13.5" customHeight="1" s="453">
      <c r="D225" s="11" t="n"/>
      <c r="E225" s="86" t="n"/>
      <c r="F225" s="85" t="n"/>
      <c r="G225" s="85" t="n"/>
    </row>
    <row r="226" ht="13.5" customHeight="1" s="453">
      <c r="D226" s="11" t="n"/>
      <c r="E226" s="86" t="n"/>
      <c r="F226" s="85" t="n"/>
      <c r="G226" s="85" t="n"/>
    </row>
    <row r="227" ht="13.5" customHeight="1" s="453">
      <c r="D227" s="11" t="n"/>
      <c r="E227" s="86" t="n"/>
      <c r="F227" s="85" t="n"/>
      <c r="G227" s="85" t="n"/>
    </row>
    <row r="228" ht="13.5" customHeight="1" s="453">
      <c r="D228" s="11" t="n"/>
      <c r="E228" s="86" t="n"/>
      <c r="F228" s="85" t="n"/>
      <c r="G228" s="85" t="n"/>
    </row>
    <row r="229" ht="13.5" customHeight="1" s="453">
      <c r="D229" s="11" t="n"/>
      <c r="E229" s="86" t="n"/>
      <c r="F229" s="85" t="n"/>
      <c r="G229" s="85" t="n"/>
    </row>
    <row r="230" ht="13.5" customHeight="1" s="453">
      <c r="D230" s="11" t="n"/>
      <c r="E230" s="86" t="n"/>
      <c r="F230" s="85" t="n"/>
      <c r="G230" s="85" t="n"/>
    </row>
    <row r="231" ht="13.5" customHeight="1" s="453">
      <c r="D231" s="11" t="n"/>
      <c r="E231" s="86" t="n"/>
      <c r="F231" s="85" t="n"/>
      <c r="G231" s="85" t="n"/>
    </row>
    <row r="232" ht="13.5" customHeight="1" s="453">
      <c r="D232" s="11" t="n"/>
      <c r="E232" s="86" t="n"/>
      <c r="F232" s="85" t="n"/>
      <c r="G232" s="85" t="n"/>
    </row>
    <row r="233" ht="13.5" customHeight="1" s="453">
      <c r="D233" s="11" t="n"/>
      <c r="E233" s="86" t="n"/>
      <c r="F233" s="85" t="n"/>
      <c r="G233" s="85" t="n"/>
    </row>
    <row r="234" ht="13.5" customHeight="1" s="453">
      <c r="D234" s="11" t="n"/>
      <c r="E234" s="86" t="n"/>
      <c r="F234" s="85" t="n"/>
      <c r="G234" s="85" t="n"/>
    </row>
    <row r="235" ht="13.5" customHeight="1" s="453">
      <c r="D235" s="11" t="n"/>
      <c r="E235" s="86" t="n"/>
      <c r="F235" s="85" t="n"/>
      <c r="G235" s="85" t="n"/>
    </row>
    <row r="236" ht="13.5" customHeight="1" s="453">
      <c r="D236" s="11" t="n"/>
      <c r="E236" s="86" t="n"/>
      <c r="F236" s="85" t="n"/>
      <c r="G236" s="85" t="n"/>
    </row>
    <row r="237" ht="13.5" customHeight="1" s="453">
      <c r="D237" s="11" t="n"/>
      <c r="E237" s="86" t="n"/>
      <c r="F237" s="85" t="n"/>
      <c r="G237" s="85" t="n"/>
    </row>
    <row r="238" ht="13.5" customHeight="1" s="453">
      <c r="D238" s="11" t="n"/>
      <c r="E238" s="86" t="n"/>
      <c r="F238" s="85" t="n"/>
      <c r="G238" s="85" t="n"/>
    </row>
    <row r="239" ht="13.5" customHeight="1" s="453">
      <c r="D239" s="11" t="n"/>
      <c r="E239" s="86" t="n"/>
      <c r="F239" s="85" t="n"/>
      <c r="G239" s="85" t="n"/>
    </row>
    <row r="240" ht="13.5" customHeight="1" s="453">
      <c r="D240" s="11" t="n"/>
      <c r="E240" s="86" t="n"/>
      <c r="F240" s="85" t="n"/>
      <c r="G240" s="85" t="n"/>
    </row>
    <row r="241" ht="13.5" customHeight="1" s="453">
      <c r="D241" s="11" t="n"/>
      <c r="E241" s="86" t="n"/>
      <c r="F241" s="85" t="n"/>
      <c r="G241" s="85" t="n"/>
    </row>
    <row r="242" ht="13.5" customHeight="1" s="453">
      <c r="D242" s="11" t="n"/>
      <c r="E242" s="86" t="n"/>
      <c r="F242" s="85" t="n"/>
      <c r="G242" s="85" t="n"/>
    </row>
    <row r="243" ht="13.5" customHeight="1" s="453">
      <c r="D243" s="11" t="n"/>
      <c r="E243" s="86" t="n"/>
      <c r="F243" s="85" t="n"/>
      <c r="G243" s="85" t="n"/>
    </row>
    <row r="244" ht="13.5" customHeight="1" s="453">
      <c r="D244" s="11" t="n"/>
      <c r="E244" s="86" t="n"/>
      <c r="F244" s="85" t="n"/>
      <c r="G244" s="85" t="n"/>
    </row>
    <row r="245" ht="13.5" customHeight="1" s="453">
      <c r="D245" s="11" t="n"/>
      <c r="E245" s="86" t="n"/>
      <c r="F245" s="85" t="n"/>
      <c r="G245" s="85" t="n"/>
    </row>
    <row r="246" ht="13.5" customHeight="1" s="453">
      <c r="D246" s="11" t="n"/>
      <c r="E246" s="86" t="n"/>
      <c r="F246" s="85" t="n"/>
      <c r="G246" s="85" t="n"/>
    </row>
    <row r="247" ht="13.5" customHeight="1" s="453">
      <c r="D247" s="11" t="n"/>
      <c r="E247" s="86" t="n"/>
      <c r="F247" s="85" t="n"/>
      <c r="G247" s="85" t="n"/>
    </row>
    <row r="248" ht="13.5" customHeight="1" s="453">
      <c r="D248" s="11" t="n"/>
      <c r="E248" s="86" t="n"/>
      <c r="F248" s="85" t="n"/>
      <c r="G248" s="85" t="n"/>
    </row>
    <row r="249" ht="13.5" customHeight="1" s="453">
      <c r="D249" s="11" t="n"/>
      <c r="E249" s="86" t="n"/>
      <c r="F249" s="85" t="n"/>
      <c r="G249" s="85" t="n"/>
    </row>
    <row r="250" ht="13.5" customHeight="1" s="453">
      <c r="D250" s="11" t="n"/>
      <c r="E250" s="86" t="n"/>
      <c r="F250" s="85" t="n"/>
      <c r="G250" s="85" t="n"/>
    </row>
    <row r="251" ht="13.5" customHeight="1" s="453">
      <c r="D251" s="11" t="n"/>
      <c r="E251" s="86" t="n"/>
      <c r="F251" s="85" t="n"/>
      <c r="G251" s="85" t="n"/>
    </row>
    <row r="252" ht="13.5" customHeight="1" s="453">
      <c r="D252" s="11" t="n"/>
      <c r="E252" s="86" t="n"/>
      <c r="F252" s="85" t="n"/>
      <c r="G252" s="85" t="n"/>
    </row>
    <row r="253" ht="13.5" customHeight="1" s="453">
      <c r="D253" s="11" t="n"/>
      <c r="E253" s="86" t="n"/>
      <c r="F253" s="85" t="n"/>
      <c r="G253" s="85" t="n"/>
    </row>
    <row r="254" ht="13.5" customHeight="1" s="453">
      <c r="D254" s="11" t="n"/>
      <c r="E254" s="86" t="n"/>
      <c r="F254" s="85" t="n"/>
      <c r="G254" s="85" t="n"/>
    </row>
    <row r="255" ht="13.5" customHeight="1" s="453">
      <c r="D255" s="11" t="n"/>
      <c r="E255" s="86" t="n"/>
      <c r="F255" s="85" t="n"/>
      <c r="G255" s="85" t="n"/>
    </row>
    <row r="256" ht="13.5" customHeight="1" s="453">
      <c r="D256" s="11" t="n"/>
      <c r="E256" s="86" t="n"/>
      <c r="F256" s="85" t="n"/>
      <c r="G256" s="85" t="n"/>
    </row>
    <row r="257" ht="13.5" customHeight="1" s="453">
      <c r="D257" s="11" t="n"/>
      <c r="E257" s="86" t="n"/>
      <c r="F257" s="85" t="n"/>
      <c r="G257" s="85" t="n"/>
    </row>
    <row r="258" ht="13.5" customHeight="1" s="453">
      <c r="D258" s="11" t="n"/>
      <c r="E258" s="86" t="n"/>
      <c r="F258" s="85" t="n"/>
      <c r="G258" s="85" t="n"/>
    </row>
    <row r="259" ht="13.5" customHeight="1" s="453">
      <c r="D259" s="11" t="n"/>
      <c r="E259" s="86" t="n"/>
      <c r="F259" s="85" t="n"/>
      <c r="G259" s="85" t="n"/>
    </row>
    <row r="260" ht="13.5" customHeight="1" s="453">
      <c r="D260" s="11" t="n"/>
      <c r="E260" s="86" t="n"/>
      <c r="F260" s="85" t="n"/>
      <c r="G260" s="85" t="n"/>
    </row>
    <row r="261" ht="13.5" customHeight="1" s="453">
      <c r="D261" s="11" t="n"/>
      <c r="E261" s="86" t="n"/>
      <c r="F261" s="85" t="n"/>
      <c r="G261" s="85" t="n"/>
    </row>
    <row r="262" ht="13.5" customHeight="1" s="453">
      <c r="D262" s="11" t="n"/>
      <c r="E262" s="86" t="n"/>
      <c r="F262" s="85" t="n"/>
      <c r="G262" s="85" t="n"/>
    </row>
    <row r="263" ht="13.5" customHeight="1" s="453">
      <c r="D263" s="11" t="n"/>
      <c r="E263" s="86" t="n"/>
      <c r="F263" s="85" t="n"/>
      <c r="G263" s="85" t="n"/>
    </row>
    <row r="264" ht="13.5" customHeight="1" s="453">
      <c r="D264" s="11" t="n"/>
      <c r="E264" s="86" t="n"/>
      <c r="F264" s="85" t="n"/>
      <c r="G264" s="85" t="n"/>
    </row>
    <row r="265" ht="13.5" customHeight="1" s="453">
      <c r="D265" s="11" t="n"/>
      <c r="E265" s="86" t="n"/>
      <c r="F265" s="85" t="n"/>
      <c r="G265" s="85" t="n"/>
    </row>
    <row r="266" ht="13.5" customHeight="1" s="453">
      <c r="D266" s="11" t="n"/>
      <c r="E266" s="86" t="n"/>
      <c r="F266" s="85" t="n"/>
      <c r="G266" s="85" t="n"/>
    </row>
    <row r="267" ht="13.5" customHeight="1" s="453">
      <c r="D267" s="11" t="n"/>
      <c r="E267" s="86" t="n"/>
      <c r="F267" s="85" t="n"/>
      <c r="G267" s="85" t="n"/>
    </row>
    <row r="268" ht="13.5" customHeight="1" s="453">
      <c r="D268" s="11" t="n"/>
      <c r="E268" s="86" t="n"/>
      <c r="F268" s="85" t="n"/>
      <c r="G268" s="85" t="n"/>
    </row>
    <row r="269" ht="13.5" customHeight="1" s="453">
      <c r="D269" s="11" t="n"/>
      <c r="E269" s="86" t="n"/>
      <c r="F269" s="85" t="n"/>
      <c r="G269" s="85" t="n"/>
    </row>
    <row r="270" ht="13.5" customHeight="1" s="453">
      <c r="D270" s="11" t="n"/>
      <c r="E270" s="86" t="n"/>
      <c r="F270" s="85" t="n"/>
      <c r="G270" s="85" t="n"/>
    </row>
    <row r="271" ht="13.5" customHeight="1" s="453">
      <c r="D271" s="11" t="n"/>
      <c r="E271" s="86" t="n"/>
      <c r="F271" s="85" t="n"/>
      <c r="G271" s="85" t="n"/>
    </row>
    <row r="272" ht="13.5" customHeight="1" s="453">
      <c r="D272" s="11" t="n"/>
      <c r="E272" s="86" t="n"/>
      <c r="F272" s="85" t="n"/>
      <c r="G272" s="85" t="n"/>
    </row>
    <row r="273" ht="13.5" customHeight="1" s="453">
      <c r="D273" s="11" t="n"/>
      <c r="E273" s="86" t="n"/>
      <c r="F273" s="85" t="n"/>
      <c r="G273" s="85" t="n"/>
    </row>
    <row r="274" ht="13.5" customHeight="1" s="453">
      <c r="D274" s="11" t="n"/>
      <c r="E274" s="86" t="n"/>
      <c r="F274" s="85" t="n"/>
      <c r="G274" s="85" t="n"/>
    </row>
    <row r="275" ht="13.5" customHeight="1" s="453">
      <c r="D275" s="11" t="n"/>
      <c r="E275" s="86" t="n"/>
      <c r="F275" s="85" t="n"/>
      <c r="G275" s="85" t="n"/>
    </row>
    <row r="276" ht="13.5" customHeight="1" s="453">
      <c r="D276" s="11" t="n"/>
      <c r="E276" s="86" t="n"/>
      <c r="F276" s="85" t="n"/>
      <c r="G276" s="85" t="n"/>
    </row>
    <row r="277" ht="13.5" customHeight="1" s="453">
      <c r="D277" s="11" t="n"/>
      <c r="E277" s="86" t="n"/>
      <c r="F277" s="85" t="n"/>
      <c r="G277" s="85" t="n"/>
    </row>
    <row r="278" ht="13.5" customHeight="1" s="453">
      <c r="D278" s="11" t="n"/>
      <c r="E278" s="86" t="n"/>
      <c r="F278" s="85" t="n"/>
      <c r="G278" s="85" t="n"/>
    </row>
    <row r="279" ht="13.5" customHeight="1" s="453">
      <c r="D279" s="11" t="n"/>
      <c r="E279" s="86" t="n"/>
      <c r="F279" s="85" t="n"/>
      <c r="G279" s="85" t="n"/>
    </row>
    <row r="280" ht="13.5" customHeight="1" s="453">
      <c r="D280" s="11" t="n"/>
      <c r="E280" s="86" t="n"/>
      <c r="F280" s="85" t="n"/>
      <c r="G280" s="85" t="n"/>
    </row>
    <row r="281" ht="13.5" customHeight="1" s="453">
      <c r="D281" s="11" t="n"/>
      <c r="E281" s="86" t="n"/>
      <c r="F281" s="85" t="n"/>
      <c r="G281" s="85" t="n"/>
    </row>
    <row r="282" ht="13.5" customHeight="1" s="453">
      <c r="D282" s="11" t="n"/>
      <c r="E282" s="86" t="n"/>
      <c r="F282" s="85" t="n"/>
      <c r="G282" s="85" t="n"/>
    </row>
    <row r="283" ht="13.5" customHeight="1" s="453">
      <c r="D283" s="11" t="n"/>
      <c r="E283" s="86" t="n"/>
      <c r="F283" s="85" t="n"/>
      <c r="G283" s="85" t="n"/>
    </row>
    <row r="284" ht="13.5" customHeight="1" s="453">
      <c r="D284" s="11" t="n"/>
      <c r="E284" s="86" t="n"/>
      <c r="F284" s="85" t="n"/>
      <c r="G284" s="85" t="n"/>
    </row>
    <row r="285" ht="13.5" customHeight="1" s="453">
      <c r="D285" s="11" t="n"/>
      <c r="E285" s="86" t="n"/>
      <c r="F285" s="85" t="n"/>
      <c r="G285" s="85" t="n"/>
    </row>
    <row r="286" ht="13.5" customHeight="1" s="453">
      <c r="D286" s="11" t="n"/>
      <c r="E286" s="86" t="n"/>
      <c r="F286" s="85" t="n"/>
      <c r="G286" s="85" t="n"/>
    </row>
    <row r="287" ht="13.5" customHeight="1" s="453">
      <c r="D287" s="11" t="n"/>
      <c r="E287" s="86" t="n"/>
      <c r="F287" s="85" t="n"/>
      <c r="G287" s="85" t="n"/>
    </row>
    <row r="288" ht="13.5" customHeight="1" s="453">
      <c r="D288" s="11" t="n"/>
      <c r="E288" s="86" t="n"/>
      <c r="F288" s="85" t="n"/>
      <c r="G288" s="85" t="n"/>
    </row>
    <row r="289" ht="13.5" customHeight="1" s="453">
      <c r="D289" s="11" t="n"/>
      <c r="E289" s="86" t="n"/>
      <c r="F289" s="85" t="n"/>
      <c r="G289" s="85" t="n"/>
    </row>
    <row r="290" ht="13.5" customHeight="1" s="453">
      <c r="D290" s="11" t="n"/>
      <c r="E290" s="86" t="n"/>
      <c r="F290" s="85" t="n"/>
      <c r="G290" s="85" t="n"/>
    </row>
    <row r="291" ht="13.5" customHeight="1" s="453">
      <c r="D291" s="11" t="n"/>
      <c r="E291" s="86" t="n"/>
      <c r="F291" s="85" t="n"/>
      <c r="G291" s="85" t="n"/>
    </row>
    <row r="292" ht="13.5" customHeight="1" s="453">
      <c r="D292" s="11" t="n"/>
      <c r="E292" s="86" t="n"/>
      <c r="F292" s="85" t="n"/>
      <c r="G292" s="85" t="n"/>
    </row>
    <row r="293" ht="13.5" customHeight="1" s="453">
      <c r="D293" s="11" t="n"/>
      <c r="E293" s="86" t="n"/>
      <c r="F293" s="85" t="n"/>
      <c r="G293" s="85" t="n"/>
    </row>
    <row r="294" ht="13.5" customHeight="1" s="453">
      <c r="D294" s="11" t="n"/>
      <c r="E294" s="86" t="n"/>
      <c r="F294" s="85" t="n"/>
      <c r="G294" s="85" t="n"/>
    </row>
    <row r="295" ht="13.5" customHeight="1" s="453">
      <c r="D295" s="11" t="n"/>
      <c r="E295" s="86" t="n"/>
      <c r="F295" s="85" t="n"/>
      <c r="G295" s="85" t="n"/>
    </row>
    <row r="296" ht="13.5" customHeight="1" s="453">
      <c r="D296" s="11" t="n"/>
      <c r="E296" s="86" t="n"/>
      <c r="F296" s="85" t="n"/>
      <c r="G296" s="85" t="n"/>
    </row>
    <row r="297" ht="13.5" customHeight="1" s="453">
      <c r="D297" s="11" t="n"/>
      <c r="E297" s="86" t="n"/>
      <c r="F297" s="85" t="n"/>
      <c r="G297" s="85" t="n"/>
    </row>
    <row r="298" ht="13.5" customHeight="1" s="453">
      <c r="D298" s="11" t="n"/>
      <c r="E298" s="86" t="n"/>
      <c r="F298" s="85" t="n"/>
      <c r="G298" s="85" t="n"/>
    </row>
    <row r="299" ht="13.5" customHeight="1" s="453">
      <c r="D299" s="11" t="n"/>
      <c r="E299" s="86" t="n"/>
      <c r="F299" s="85" t="n"/>
      <c r="G299" s="85" t="n"/>
    </row>
    <row r="300" ht="13.5" customHeight="1" s="453">
      <c r="D300" s="11" t="n"/>
      <c r="E300" s="86" t="n"/>
      <c r="F300" s="85" t="n"/>
      <c r="G300" s="85" t="n"/>
    </row>
    <row r="301" ht="13.5" customHeight="1" s="453">
      <c r="D301" s="11" t="n"/>
      <c r="E301" s="86" t="n"/>
      <c r="F301" s="85" t="n"/>
      <c r="G301" s="85" t="n"/>
    </row>
    <row r="302" ht="13.5" customHeight="1" s="453">
      <c r="D302" s="11" t="n"/>
      <c r="E302" s="86" t="n"/>
      <c r="F302" s="85" t="n"/>
      <c r="G302" s="85" t="n"/>
    </row>
    <row r="303" ht="13.5" customHeight="1" s="453">
      <c r="D303" s="11" t="n"/>
      <c r="E303" s="86" t="n"/>
      <c r="F303" s="85" t="n"/>
      <c r="G303" s="85" t="n"/>
    </row>
    <row r="304" ht="13.5" customHeight="1" s="453">
      <c r="D304" s="11" t="n"/>
      <c r="E304" s="86" t="n"/>
      <c r="F304" s="85" t="n"/>
      <c r="G304" s="85" t="n"/>
    </row>
    <row r="305" ht="13.5" customHeight="1" s="453">
      <c r="D305" s="11" t="n"/>
      <c r="E305" s="86" t="n"/>
      <c r="F305" s="85" t="n"/>
      <c r="G305" s="85" t="n"/>
    </row>
    <row r="306" ht="13.5" customHeight="1" s="453">
      <c r="D306" s="11" t="n"/>
      <c r="E306" s="86" t="n"/>
      <c r="F306" s="85" t="n"/>
      <c r="G306" s="85" t="n"/>
    </row>
    <row r="307" ht="13.5" customHeight="1" s="453">
      <c r="D307" s="11" t="n"/>
      <c r="E307" s="86" t="n"/>
      <c r="F307" s="85" t="n"/>
      <c r="G307" s="85" t="n"/>
    </row>
    <row r="308" ht="13.5" customHeight="1" s="453">
      <c r="D308" s="11" t="n"/>
      <c r="E308" s="86" t="n"/>
      <c r="F308" s="85" t="n"/>
      <c r="G308" s="85" t="n"/>
    </row>
    <row r="309" ht="13.5" customHeight="1" s="453">
      <c r="D309" s="11" t="n"/>
      <c r="E309" s="86" t="n"/>
      <c r="F309" s="85" t="n"/>
      <c r="G309" s="85" t="n"/>
    </row>
    <row r="310" ht="13.5" customHeight="1" s="453">
      <c r="D310" s="11" t="n"/>
      <c r="E310" s="86" t="n"/>
      <c r="F310" s="85" t="n"/>
      <c r="G310" s="85" t="n"/>
    </row>
    <row r="311" ht="13.5" customHeight="1" s="453">
      <c r="D311" s="11" t="n"/>
      <c r="E311" s="86" t="n"/>
      <c r="F311" s="85" t="n"/>
      <c r="G311" s="85" t="n"/>
    </row>
    <row r="312" ht="13.5" customHeight="1" s="453">
      <c r="D312" s="11" t="n"/>
      <c r="E312" s="86" t="n"/>
      <c r="F312" s="85" t="n"/>
      <c r="G312" s="85" t="n"/>
    </row>
    <row r="313" ht="13.5" customHeight="1" s="453">
      <c r="D313" s="11" t="n"/>
      <c r="E313" s="86" t="n"/>
      <c r="F313" s="85" t="n"/>
      <c r="G313" s="85" t="n"/>
    </row>
    <row r="314" ht="13.5" customHeight="1" s="453">
      <c r="D314" s="11" t="n"/>
      <c r="E314" s="86" t="n"/>
      <c r="F314" s="85" t="n"/>
      <c r="G314" s="85" t="n"/>
    </row>
    <row r="315" ht="13.5" customHeight="1" s="453">
      <c r="D315" s="11" t="n"/>
      <c r="E315" s="86" t="n"/>
      <c r="F315" s="85" t="n"/>
      <c r="G315" s="85" t="n"/>
    </row>
    <row r="316" ht="13.5" customHeight="1" s="453">
      <c r="D316" s="11" t="n"/>
      <c r="E316" s="86" t="n"/>
      <c r="F316" s="85" t="n"/>
      <c r="G316" s="85" t="n"/>
    </row>
    <row r="317" ht="13.5" customHeight="1" s="453">
      <c r="D317" s="11" t="n"/>
      <c r="E317" s="86" t="n"/>
      <c r="F317" s="85" t="n"/>
      <c r="G317" s="85" t="n"/>
    </row>
    <row r="318" ht="13.5" customHeight="1" s="453">
      <c r="D318" s="11" t="n"/>
      <c r="E318" s="86" t="n"/>
      <c r="F318" s="85" t="n"/>
      <c r="G318" s="85" t="n"/>
    </row>
    <row r="319" ht="13.5" customHeight="1" s="453">
      <c r="D319" s="11" t="n"/>
      <c r="E319" s="86" t="n"/>
      <c r="F319" s="85" t="n"/>
      <c r="G319" s="85" t="n"/>
    </row>
    <row r="320" ht="13.5" customHeight="1" s="453">
      <c r="D320" s="11" t="n"/>
      <c r="E320" s="86" t="n"/>
      <c r="F320" s="85" t="n"/>
      <c r="G320" s="85" t="n"/>
    </row>
    <row r="321" ht="13.5" customHeight="1" s="453">
      <c r="D321" s="11" t="n"/>
      <c r="E321" s="86" t="n"/>
      <c r="F321" s="85" t="n"/>
      <c r="G321" s="85" t="n"/>
    </row>
    <row r="322" ht="13.5" customHeight="1" s="453">
      <c r="D322" s="11" t="n"/>
      <c r="E322" s="86" t="n"/>
      <c r="F322" s="85" t="n"/>
      <c r="G322" s="85" t="n"/>
    </row>
    <row r="323" ht="13.5" customHeight="1" s="453">
      <c r="D323" s="11" t="n"/>
      <c r="E323" s="86" t="n"/>
      <c r="F323" s="85" t="n"/>
      <c r="G323" s="85" t="n"/>
    </row>
    <row r="324" ht="13.5" customHeight="1" s="453">
      <c r="D324" s="11" t="n"/>
      <c r="E324" s="86" t="n"/>
      <c r="F324" s="85" t="n"/>
      <c r="G324" s="85" t="n"/>
    </row>
    <row r="325" ht="13.5" customHeight="1" s="453">
      <c r="D325" s="11" t="n"/>
      <c r="E325" s="86" t="n"/>
      <c r="F325" s="85" t="n"/>
      <c r="G325" s="85" t="n"/>
    </row>
    <row r="326" ht="13.5" customHeight="1" s="453">
      <c r="D326" s="11" t="n"/>
      <c r="E326" s="86" t="n"/>
      <c r="F326" s="85" t="n"/>
      <c r="G326" s="85" t="n"/>
    </row>
    <row r="327" ht="13.5" customHeight="1" s="453">
      <c r="D327" s="11" t="n"/>
      <c r="E327" s="86" t="n"/>
      <c r="F327" s="85" t="n"/>
      <c r="G327" s="85" t="n"/>
    </row>
    <row r="328" ht="13.5" customHeight="1" s="453">
      <c r="D328" s="11" t="n"/>
      <c r="E328" s="86" t="n"/>
      <c r="F328" s="85" t="n"/>
      <c r="G328" s="85" t="n"/>
    </row>
    <row r="329" ht="13.5" customHeight="1" s="453">
      <c r="D329" s="11" t="n"/>
      <c r="E329" s="86" t="n"/>
      <c r="F329" s="85" t="n"/>
      <c r="G329" s="85" t="n"/>
    </row>
    <row r="330" ht="13.5" customHeight="1" s="453">
      <c r="D330" s="11" t="n"/>
      <c r="E330" s="86" t="n"/>
      <c r="F330" s="85" t="n"/>
      <c r="G330" s="85" t="n"/>
    </row>
    <row r="331" ht="13.5" customHeight="1" s="453">
      <c r="D331" s="11" t="n"/>
      <c r="E331" s="86" t="n"/>
      <c r="F331" s="85" t="n"/>
      <c r="G331" s="85" t="n"/>
    </row>
    <row r="332" ht="13.5" customHeight="1" s="453">
      <c r="D332" s="11" t="n"/>
      <c r="E332" s="86" t="n"/>
      <c r="F332" s="85" t="n"/>
      <c r="G332" s="85" t="n"/>
    </row>
    <row r="333" ht="13.5" customHeight="1" s="453">
      <c r="D333" s="11" t="n"/>
      <c r="E333" s="86" t="n"/>
      <c r="F333" s="85" t="n"/>
      <c r="G333" s="85" t="n"/>
    </row>
    <row r="334" ht="13.5" customHeight="1" s="453">
      <c r="D334" s="11" t="n"/>
      <c r="E334" s="86" t="n"/>
      <c r="F334" s="85" t="n"/>
      <c r="G334" s="85" t="n"/>
    </row>
    <row r="335" ht="13.5" customHeight="1" s="453">
      <c r="D335" s="11" t="n"/>
      <c r="E335" s="86" t="n"/>
      <c r="F335" s="85" t="n"/>
      <c r="G335" s="85" t="n"/>
    </row>
    <row r="336" ht="13.5" customHeight="1" s="453">
      <c r="D336" s="11" t="n"/>
      <c r="E336" s="86" t="n"/>
      <c r="F336" s="85" t="n"/>
      <c r="G336" s="85" t="n"/>
    </row>
    <row r="337" ht="13.5" customHeight="1" s="453">
      <c r="D337" s="11" t="n"/>
      <c r="E337" s="86" t="n"/>
      <c r="F337" s="85" t="n"/>
      <c r="G337" s="85" t="n"/>
    </row>
    <row r="338" ht="13.5" customHeight="1" s="453">
      <c r="D338" s="11" t="n"/>
      <c r="E338" s="86" t="n"/>
      <c r="F338" s="85" t="n"/>
      <c r="G338" s="85" t="n"/>
    </row>
    <row r="339" ht="13.5" customHeight="1" s="453">
      <c r="D339" s="11" t="n"/>
      <c r="E339" s="86" t="n"/>
      <c r="F339" s="85" t="n"/>
      <c r="G339" s="85" t="n"/>
    </row>
    <row r="340" ht="13.5" customHeight="1" s="453">
      <c r="D340" s="11" t="n"/>
      <c r="E340" s="86" t="n"/>
      <c r="F340" s="85" t="n"/>
      <c r="G340" s="85" t="n"/>
    </row>
    <row r="341" ht="13.5" customHeight="1" s="453">
      <c r="D341" s="11" t="n"/>
      <c r="E341" s="86" t="n"/>
      <c r="F341" s="85" t="n"/>
      <c r="G341" s="85" t="n"/>
    </row>
    <row r="342" ht="13.5" customHeight="1" s="453">
      <c r="D342" s="11" t="n"/>
      <c r="E342" s="86" t="n"/>
      <c r="F342" s="85" t="n"/>
      <c r="G342" s="85" t="n"/>
    </row>
    <row r="343" ht="13.5" customHeight="1" s="453">
      <c r="D343" s="11" t="n"/>
      <c r="E343" s="86" t="n"/>
      <c r="F343" s="85" t="n"/>
      <c r="G343" s="85" t="n"/>
    </row>
    <row r="344" ht="13.5" customHeight="1" s="453">
      <c r="D344" s="11" t="n"/>
      <c r="E344" s="86" t="n"/>
      <c r="F344" s="85" t="n"/>
      <c r="G344" s="85" t="n"/>
    </row>
    <row r="345" ht="13.5" customHeight="1" s="453">
      <c r="D345" s="11" t="n"/>
      <c r="E345" s="86" t="n"/>
      <c r="F345" s="85" t="n"/>
      <c r="G345" s="85" t="n"/>
    </row>
    <row r="346" ht="13.5" customHeight="1" s="453">
      <c r="D346" s="11" t="n"/>
      <c r="E346" s="86" t="n"/>
      <c r="F346" s="85" t="n"/>
      <c r="G346" s="85" t="n"/>
    </row>
    <row r="347" ht="13.5" customHeight="1" s="453">
      <c r="D347" s="11" t="n"/>
      <c r="E347" s="86" t="n"/>
      <c r="F347" s="85" t="n"/>
      <c r="G347" s="85" t="n"/>
    </row>
    <row r="348" ht="13.5" customHeight="1" s="453">
      <c r="D348" s="11" t="n"/>
      <c r="E348" s="86" t="n"/>
      <c r="F348" s="85" t="n"/>
      <c r="G348" s="85" t="n"/>
    </row>
    <row r="349" ht="13.5" customHeight="1" s="453">
      <c r="D349" s="11" t="n"/>
      <c r="E349" s="86" t="n"/>
      <c r="F349" s="85" t="n"/>
      <c r="G349" s="85" t="n"/>
    </row>
    <row r="350" ht="13.5" customHeight="1" s="453">
      <c r="D350" s="11" t="n"/>
      <c r="E350" s="86" t="n"/>
      <c r="F350" s="85" t="n"/>
      <c r="G350" s="85" t="n"/>
    </row>
    <row r="351" ht="13.5" customHeight="1" s="453">
      <c r="D351" s="11" t="n"/>
      <c r="E351" s="86" t="n"/>
      <c r="F351" s="85" t="n"/>
      <c r="G351" s="85" t="n"/>
    </row>
    <row r="352" ht="13.5" customHeight="1" s="453">
      <c r="D352" s="11" t="n"/>
      <c r="E352" s="86" t="n"/>
      <c r="F352" s="85" t="n"/>
      <c r="G352" s="85" t="n"/>
    </row>
    <row r="353" ht="13.5" customHeight="1" s="453">
      <c r="D353" s="11" t="n"/>
      <c r="E353" s="86" t="n"/>
      <c r="F353" s="85" t="n"/>
      <c r="G353" s="85" t="n"/>
    </row>
    <row r="354" ht="13.5" customHeight="1" s="453">
      <c r="D354" s="11" t="n"/>
      <c r="E354" s="86" t="n"/>
      <c r="F354" s="85" t="n"/>
      <c r="G354" s="85" t="n"/>
    </row>
    <row r="355" ht="13.5" customHeight="1" s="453">
      <c r="D355" s="11" t="n"/>
      <c r="E355" s="86" t="n"/>
      <c r="F355" s="85" t="n"/>
      <c r="G355" s="85" t="n"/>
    </row>
    <row r="356" ht="13.5" customHeight="1" s="453">
      <c r="D356" s="11" t="n"/>
      <c r="E356" s="86" t="n"/>
      <c r="F356" s="85" t="n"/>
      <c r="G356" s="85" t="n"/>
    </row>
    <row r="357" ht="13.5" customHeight="1" s="453">
      <c r="D357" s="11" t="n"/>
      <c r="E357" s="86" t="n"/>
      <c r="F357" s="85" t="n"/>
      <c r="G357" s="85" t="n"/>
    </row>
    <row r="358" ht="13.5" customHeight="1" s="453">
      <c r="D358" s="11" t="n"/>
      <c r="E358" s="86" t="n"/>
      <c r="F358" s="85" t="n"/>
      <c r="G358" s="85" t="n"/>
    </row>
    <row r="359" ht="13.5" customHeight="1" s="453">
      <c r="D359" s="11" t="n"/>
      <c r="E359" s="86" t="n"/>
      <c r="F359" s="85" t="n"/>
      <c r="G359" s="85" t="n"/>
    </row>
    <row r="360" ht="13.5" customHeight="1" s="453">
      <c r="D360" s="11" t="n"/>
      <c r="E360" s="86" t="n"/>
      <c r="F360" s="85" t="n"/>
      <c r="G360" s="85" t="n"/>
    </row>
    <row r="361" ht="13.5" customHeight="1" s="453">
      <c r="D361" s="11" t="n"/>
      <c r="E361" s="86" t="n"/>
      <c r="F361" s="85" t="n"/>
      <c r="G361" s="85" t="n"/>
    </row>
    <row r="362" ht="13.5" customHeight="1" s="453">
      <c r="D362" s="11" t="n"/>
      <c r="E362" s="86" t="n"/>
      <c r="F362" s="85" t="n"/>
      <c r="G362" s="85" t="n"/>
    </row>
    <row r="363" ht="13.5" customHeight="1" s="453">
      <c r="D363" s="11" t="n"/>
      <c r="E363" s="86" t="n"/>
      <c r="F363" s="85" t="n"/>
      <c r="G363" s="85" t="n"/>
    </row>
    <row r="364" ht="13.5" customHeight="1" s="453">
      <c r="D364" s="11" t="n"/>
      <c r="E364" s="86" t="n"/>
      <c r="F364" s="85" t="n"/>
      <c r="G364" s="85" t="n"/>
    </row>
    <row r="365" ht="13.5" customHeight="1" s="453">
      <c r="D365" s="11" t="n"/>
      <c r="E365" s="86" t="n"/>
      <c r="F365" s="85" t="n"/>
      <c r="G365" s="85" t="n"/>
    </row>
    <row r="366" ht="13.5" customHeight="1" s="453">
      <c r="D366" s="11" t="n"/>
      <c r="E366" s="86" t="n"/>
      <c r="F366" s="85" t="n"/>
      <c r="G366" s="85" t="n"/>
    </row>
    <row r="367" ht="13.5" customHeight="1" s="453">
      <c r="D367" s="11" t="n"/>
      <c r="E367" s="86" t="n"/>
      <c r="F367" s="85" t="n"/>
      <c r="G367" s="85" t="n"/>
    </row>
    <row r="368" ht="13.5" customHeight="1" s="453">
      <c r="D368" s="11" t="n"/>
      <c r="E368" s="86" t="n"/>
      <c r="F368" s="85" t="n"/>
      <c r="G368" s="85" t="n"/>
    </row>
    <row r="369" ht="13.5" customHeight="1" s="453">
      <c r="D369" s="11" t="n"/>
      <c r="E369" s="86" t="n"/>
      <c r="F369" s="85" t="n"/>
      <c r="G369" s="85" t="n"/>
    </row>
    <row r="370" ht="13.5" customHeight="1" s="453">
      <c r="D370" s="11" t="n"/>
      <c r="E370" s="86" t="n"/>
      <c r="F370" s="85" t="n"/>
      <c r="G370" s="85" t="n"/>
    </row>
    <row r="371" ht="13.5" customHeight="1" s="453">
      <c r="D371" s="11" t="n"/>
      <c r="E371" s="86" t="n"/>
      <c r="F371" s="85" t="n"/>
      <c r="G371" s="85" t="n"/>
    </row>
    <row r="372" ht="13.5" customHeight="1" s="453">
      <c r="D372" s="11" t="n"/>
      <c r="E372" s="86" t="n"/>
      <c r="F372" s="85" t="n"/>
      <c r="G372" s="85" t="n"/>
    </row>
    <row r="373" ht="13.5" customHeight="1" s="453">
      <c r="D373" s="11" t="n"/>
      <c r="E373" s="86" t="n"/>
      <c r="F373" s="85" t="n"/>
      <c r="G373" s="85" t="n"/>
    </row>
    <row r="374" ht="13.5" customHeight="1" s="453">
      <c r="D374" s="11" t="n"/>
      <c r="E374" s="86" t="n"/>
      <c r="F374" s="85" t="n"/>
      <c r="G374" s="85" t="n"/>
    </row>
    <row r="375" ht="13.5" customHeight="1" s="453">
      <c r="D375" s="11" t="n"/>
      <c r="E375" s="86" t="n"/>
      <c r="F375" s="85" t="n"/>
      <c r="G375" s="85" t="n"/>
    </row>
    <row r="376" ht="13.5" customHeight="1" s="453">
      <c r="D376" s="11" t="n"/>
      <c r="E376" s="86" t="n"/>
      <c r="F376" s="85" t="n"/>
      <c r="G376" s="85" t="n"/>
    </row>
    <row r="377" ht="13.5" customHeight="1" s="453">
      <c r="D377" s="11" t="n"/>
      <c r="E377" s="86" t="n"/>
      <c r="F377" s="85" t="n"/>
      <c r="G377" s="85" t="n"/>
    </row>
    <row r="378" ht="13.5" customHeight="1" s="453">
      <c r="D378" s="11" t="n"/>
      <c r="E378" s="86" t="n"/>
      <c r="F378" s="85" t="n"/>
      <c r="G378" s="85" t="n"/>
    </row>
    <row r="379" ht="13.5" customHeight="1" s="453">
      <c r="D379" s="11" t="n"/>
      <c r="E379" s="86" t="n"/>
      <c r="F379" s="85" t="n"/>
      <c r="G379" s="85" t="n"/>
    </row>
    <row r="380" ht="13.5" customHeight="1" s="453">
      <c r="D380" s="11" t="n"/>
      <c r="E380" s="86" t="n"/>
      <c r="F380" s="85" t="n"/>
      <c r="G380" s="85" t="n"/>
    </row>
    <row r="381" ht="13.5" customHeight="1" s="453">
      <c r="D381" s="11" t="n"/>
      <c r="E381" s="86" t="n"/>
      <c r="F381" s="85" t="n"/>
      <c r="G381" s="85" t="n"/>
    </row>
    <row r="382" ht="13.5" customHeight="1" s="453">
      <c r="D382" s="11" t="n"/>
      <c r="E382" s="86" t="n"/>
      <c r="F382" s="85" t="n"/>
      <c r="G382" s="85" t="n"/>
    </row>
    <row r="383" ht="13.5" customHeight="1" s="453">
      <c r="D383" s="11" t="n"/>
      <c r="E383" s="86" t="n"/>
      <c r="F383" s="85" t="n"/>
      <c r="G383" s="85" t="n"/>
    </row>
    <row r="384" ht="13.5" customHeight="1" s="453">
      <c r="D384" s="11" t="n"/>
      <c r="E384" s="86" t="n"/>
      <c r="F384" s="85" t="n"/>
      <c r="G384" s="85" t="n"/>
    </row>
    <row r="385" ht="13.5" customHeight="1" s="453">
      <c r="D385" s="11" t="n"/>
      <c r="E385" s="86" t="n"/>
      <c r="F385" s="85" t="n"/>
      <c r="G385" s="85" t="n"/>
    </row>
    <row r="386" ht="13.5" customHeight="1" s="453">
      <c r="D386" s="11" t="n"/>
      <c r="E386" s="86" t="n"/>
      <c r="F386" s="85" t="n"/>
      <c r="G386" s="85" t="n"/>
    </row>
    <row r="387" ht="13.5" customHeight="1" s="453">
      <c r="D387" s="11" t="n"/>
      <c r="E387" s="86" t="n"/>
      <c r="F387" s="85" t="n"/>
      <c r="G387" s="85" t="n"/>
    </row>
    <row r="388" ht="13.5" customHeight="1" s="453">
      <c r="D388" s="11" t="n"/>
      <c r="E388" s="86" t="n"/>
      <c r="F388" s="85" t="n"/>
      <c r="G388" s="85" t="n"/>
    </row>
    <row r="389" ht="13.5" customHeight="1" s="453">
      <c r="D389" s="11" t="n"/>
      <c r="E389" s="86" t="n"/>
      <c r="F389" s="85" t="n"/>
      <c r="G389" s="85" t="n"/>
    </row>
    <row r="390" ht="13.5" customHeight="1" s="453">
      <c r="D390" s="11" t="n"/>
      <c r="E390" s="86" t="n"/>
      <c r="F390" s="85" t="n"/>
      <c r="G390" s="85" t="n"/>
    </row>
    <row r="391" ht="13.5" customHeight="1" s="453">
      <c r="D391" s="11" t="n"/>
      <c r="E391" s="86" t="n"/>
      <c r="F391" s="85" t="n"/>
      <c r="G391" s="85" t="n"/>
    </row>
    <row r="392" ht="13.5" customHeight="1" s="453">
      <c r="D392" s="11" t="n"/>
      <c r="E392" s="86" t="n"/>
      <c r="F392" s="85" t="n"/>
      <c r="G392" s="85" t="n"/>
    </row>
    <row r="393" ht="13.5" customHeight="1" s="453">
      <c r="D393" s="11" t="n"/>
      <c r="E393" s="86" t="n"/>
      <c r="F393" s="85" t="n"/>
      <c r="G393" s="85" t="n"/>
    </row>
    <row r="394" ht="13.5" customHeight="1" s="453">
      <c r="D394" s="11" t="n"/>
      <c r="E394" s="86" t="n"/>
      <c r="F394" s="85" t="n"/>
      <c r="G394" s="85" t="n"/>
    </row>
    <row r="395" ht="13.5" customHeight="1" s="453">
      <c r="D395" s="11" t="n"/>
      <c r="E395" s="86" t="n"/>
      <c r="F395" s="85" t="n"/>
      <c r="G395" s="85" t="n"/>
    </row>
    <row r="396" ht="13.5" customHeight="1" s="453">
      <c r="D396" s="11" t="n"/>
      <c r="E396" s="86" t="n"/>
      <c r="F396" s="85" t="n"/>
      <c r="G396" s="85" t="n"/>
    </row>
    <row r="397" ht="13.5" customHeight="1" s="453">
      <c r="D397" s="11" t="n"/>
      <c r="E397" s="86" t="n"/>
      <c r="F397" s="85" t="n"/>
      <c r="G397" s="85" t="n"/>
    </row>
    <row r="398" ht="13.5" customHeight="1" s="453">
      <c r="D398" s="11" t="n"/>
      <c r="E398" s="86" t="n"/>
      <c r="F398" s="85" t="n"/>
      <c r="G398" s="85" t="n"/>
    </row>
    <row r="399" ht="13.5" customHeight="1" s="453">
      <c r="D399" s="11" t="n"/>
      <c r="E399" s="86" t="n"/>
      <c r="F399" s="85" t="n"/>
      <c r="G399" s="85" t="n"/>
    </row>
    <row r="400" ht="13.5" customHeight="1" s="453">
      <c r="D400" s="11" t="n"/>
      <c r="E400" s="86" t="n"/>
      <c r="F400" s="85" t="n"/>
      <c r="G400" s="85" t="n"/>
    </row>
    <row r="401" ht="13.5" customHeight="1" s="453">
      <c r="D401" s="11" t="n"/>
      <c r="E401" s="86" t="n"/>
      <c r="F401" s="85" t="n"/>
      <c r="G401" s="85" t="n"/>
    </row>
    <row r="402" ht="13.5" customHeight="1" s="453">
      <c r="D402" s="11" t="n"/>
      <c r="E402" s="86" t="n"/>
      <c r="F402" s="85" t="n"/>
      <c r="G402" s="85" t="n"/>
    </row>
    <row r="403" ht="13.5" customHeight="1" s="453">
      <c r="D403" s="11" t="n"/>
      <c r="E403" s="86" t="n"/>
      <c r="F403" s="85" t="n"/>
      <c r="G403" s="85" t="n"/>
    </row>
    <row r="404" ht="13.5" customHeight="1" s="453">
      <c r="D404" s="11" t="n"/>
      <c r="E404" s="86" t="n"/>
      <c r="F404" s="85" t="n"/>
      <c r="G404" s="85" t="n"/>
    </row>
    <row r="405" ht="13.5" customHeight="1" s="453">
      <c r="D405" s="11" t="n"/>
      <c r="E405" s="86" t="n"/>
      <c r="F405" s="85" t="n"/>
      <c r="G405" s="85" t="n"/>
    </row>
    <row r="406" ht="13.5" customHeight="1" s="453">
      <c r="D406" s="11" t="n"/>
      <c r="E406" s="86" t="n"/>
      <c r="F406" s="85" t="n"/>
      <c r="G406" s="85" t="n"/>
    </row>
    <row r="407" ht="13.5" customHeight="1" s="453">
      <c r="D407" s="11" t="n"/>
      <c r="E407" s="86" t="n"/>
      <c r="F407" s="85" t="n"/>
      <c r="G407" s="85" t="n"/>
    </row>
    <row r="408" ht="13.5" customHeight="1" s="453">
      <c r="D408" s="11" t="n"/>
      <c r="E408" s="86" t="n"/>
      <c r="F408" s="85" t="n"/>
      <c r="G408" s="85" t="n"/>
    </row>
    <row r="409" ht="13.5" customHeight="1" s="453">
      <c r="D409" s="11" t="n"/>
      <c r="E409" s="86" t="n"/>
      <c r="F409" s="85" t="n"/>
      <c r="G409" s="85" t="n"/>
    </row>
    <row r="410" ht="13.5" customHeight="1" s="453">
      <c r="D410" s="11" t="n"/>
      <c r="E410" s="86" t="n"/>
      <c r="F410" s="85" t="n"/>
      <c r="G410" s="85" t="n"/>
    </row>
    <row r="411" ht="13.5" customHeight="1" s="453">
      <c r="D411" s="11" t="n"/>
      <c r="E411" s="86" t="n"/>
      <c r="F411" s="85" t="n"/>
      <c r="G411" s="85" t="n"/>
    </row>
    <row r="412" ht="13.5" customHeight="1" s="453">
      <c r="D412" s="11" t="n"/>
      <c r="E412" s="86" t="n"/>
      <c r="F412" s="85" t="n"/>
      <c r="G412" s="85" t="n"/>
    </row>
    <row r="413" ht="13.5" customHeight="1" s="453">
      <c r="D413" s="11" t="n"/>
      <c r="E413" s="86" t="n"/>
      <c r="F413" s="85" t="n"/>
      <c r="G413" s="85" t="n"/>
    </row>
    <row r="414" ht="13.5" customHeight="1" s="453">
      <c r="D414" s="11" t="n"/>
      <c r="E414" s="86" t="n"/>
      <c r="F414" s="85" t="n"/>
      <c r="G414" s="85" t="n"/>
    </row>
    <row r="415" ht="13.5" customHeight="1" s="453">
      <c r="D415" s="11" t="n"/>
      <c r="E415" s="86" t="n"/>
      <c r="F415" s="85" t="n"/>
      <c r="G415" s="85" t="n"/>
    </row>
    <row r="416" ht="13.5" customHeight="1" s="453">
      <c r="D416" s="11" t="n"/>
      <c r="E416" s="86" t="n"/>
      <c r="F416" s="85" t="n"/>
      <c r="G416" s="85" t="n"/>
    </row>
    <row r="417" ht="13.5" customHeight="1" s="453">
      <c r="D417" s="11" t="n"/>
      <c r="E417" s="86" t="n"/>
      <c r="F417" s="85" t="n"/>
      <c r="G417" s="85" t="n"/>
    </row>
    <row r="418" ht="13.5" customHeight="1" s="453">
      <c r="D418" s="11" t="n"/>
      <c r="E418" s="86" t="n"/>
      <c r="F418" s="85" t="n"/>
      <c r="G418" s="85" t="n"/>
    </row>
    <row r="419" ht="13.5" customHeight="1" s="453">
      <c r="D419" s="11" t="n"/>
      <c r="E419" s="86" t="n"/>
      <c r="F419" s="85" t="n"/>
      <c r="G419" s="85" t="n"/>
    </row>
    <row r="420" ht="13.5" customHeight="1" s="453">
      <c r="D420" s="11" t="n"/>
      <c r="E420" s="86" t="n"/>
      <c r="F420" s="85" t="n"/>
      <c r="G420" s="85" t="n"/>
    </row>
    <row r="421" ht="13.5" customHeight="1" s="453">
      <c r="D421" s="11" t="n"/>
      <c r="E421" s="86" t="n"/>
      <c r="F421" s="85" t="n"/>
      <c r="G421" s="85" t="n"/>
    </row>
    <row r="422" ht="13.5" customHeight="1" s="453">
      <c r="D422" s="11" t="n"/>
      <c r="E422" s="86" t="n"/>
      <c r="F422" s="85" t="n"/>
      <c r="G422" s="85" t="n"/>
    </row>
    <row r="423" ht="13.5" customHeight="1" s="453">
      <c r="D423" s="11" t="n"/>
      <c r="E423" s="86" t="n"/>
      <c r="F423" s="85" t="n"/>
      <c r="G423" s="85" t="n"/>
    </row>
    <row r="424" ht="13.5" customHeight="1" s="453">
      <c r="D424" s="11" t="n"/>
      <c r="E424" s="86" t="n"/>
      <c r="F424" s="85" t="n"/>
      <c r="G424" s="85" t="n"/>
    </row>
    <row r="425" ht="13.5" customHeight="1" s="453">
      <c r="D425" s="11" t="n"/>
      <c r="E425" s="86" t="n"/>
      <c r="F425" s="85" t="n"/>
      <c r="G425" s="85" t="n"/>
    </row>
    <row r="426" ht="13.5" customHeight="1" s="453">
      <c r="D426" s="11" t="n"/>
      <c r="E426" s="86" t="n"/>
      <c r="F426" s="85" t="n"/>
      <c r="G426" s="85" t="n"/>
    </row>
    <row r="427" ht="13.5" customHeight="1" s="453">
      <c r="D427" s="11" t="n"/>
      <c r="E427" s="86" t="n"/>
      <c r="F427" s="85" t="n"/>
      <c r="G427" s="85" t="n"/>
    </row>
    <row r="428" ht="13.5" customHeight="1" s="453">
      <c r="D428" s="11" t="n"/>
      <c r="E428" s="86" t="n"/>
      <c r="F428" s="85" t="n"/>
      <c r="G428" s="85" t="n"/>
    </row>
    <row r="429" ht="13.5" customHeight="1" s="453">
      <c r="D429" s="11" t="n"/>
      <c r="E429" s="86" t="n"/>
      <c r="F429" s="85" t="n"/>
      <c r="G429" s="85" t="n"/>
    </row>
    <row r="430" ht="13.5" customHeight="1" s="453">
      <c r="D430" s="11" t="n"/>
      <c r="E430" s="86" t="n"/>
      <c r="F430" s="85" t="n"/>
      <c r="G430" s="85" t="n"/>
    </row>
    <row r="431" ht="13.5" customHeight="1" s="453">
      <c r="D431" s="11" t="n"/>
      <c r="E431" s="86" t="n"/>
      <c r="F431" s="85" t="n"/>
      <c r="G431" s="85" t="n"/>
    </row>
    <row r="432" ht="13.5" customHeight="1" s="453">
      <c r="D432" s="11" t="n"/>
      <c r="E432" s="86" t="n"/>
      <c r="F432" s="85" t="n"/>
      <c r="G432" s="85" t="n"/>
    </row>
    <row r="433" ht="13.5" customHeight="1" s="453">
      <c r="D433" s="11" t="n"/>
      <c r="E433" s="86" t="n"/>
      <c r="F433" s="85" t="n"/>
      <c r="G433" s="85" t="n"/>
    </row>
    <row r="434" ht="13.5" customHeight="1" s="453">
      <c r="D434" s="11" t="n"/>
      <c r="E434" s="86" t="n"/>
      <c r="F434" s="85" t="n"/>
      <c r="G434" s="85" t="n"/>
    </row>
    <row r="435" ht="13.5" customHeight="1" s="453">
      <c r="D435" s="11" t="n"/>
      <c r="E435" s="86" t="n"/>
      <c r="F435" s="85" t="n"/>
      <c r="G435" s="85" t="n"/>
    </row>
    <row r="436" ht="13.5" customHeight="1" s="453">
      <c r="D436" s="11" t="n"/>
      <c r="E436" s="86" t="n"/>
      <c r="F436" s="85" t="n"/>
      <c r="G436" s="85" t="n"/>
    </row>
    <row r="437" ht="13.5" customHeight="1" s="453">
      <c r="D437" s="11" t="n"/>
      <c r="E437" s="86" t="n"/>
      <c r="F437" s="85" t="n"/>
      <c r="G437" s="85" t="n"/>
    </row>
    <row r="438" ht="13.5" customHeight="1" s="453">
      <c r="D438" s="11" t="n"/>
      <c r="E438" s="86" t="n"/>
      <c r="F438" s="85" t="n"/>
      <c r="G438" s="85" t="n"/>
    </row>
    <row r="439" ht="13.5" customHeight="1" s="453">
      <c r="D439" s="11" t="n"/>
      <c r="E439" s="86" t="n"/>
      <c r="F439" s="85" t="n"/>
      <c r="G439" s="85" t="n"/>
    </row>
    <row r="440" ht="13.5" customHeight="1" s="453">
      <c r="D440" s="11" t="n"/>
      <c r="E440" s="86" t="n"/>
      <c r="F440" s="85" t="n"/>
      <c r="G440" s="85" t="n"/>
    </row>
    <row r="441" ht="13.5" customHeight="1" s="453">
      <c r="D441" s="11" t="n"/>
      <c r="E441" s="86" t="n"/>
      <c r="F441" s="85" t="n"/>
      <c r="G441" s="85" t="n"/>
    </row>
    <row r="442" ht="13.5" customHeight="1" s="453">
      <c r="D442" s="11" t="n"/>
      <c r="E442" s="86" t="n"/>
      <c r="F442" s="85" t="n"/>
      <c r="G442" s="85" t="n"/>
    </row>
    <row r="443" ht="13.5" customHeight="1" s="453">
      <c r="D443" s="11" t="n"/>
      <c r="E443" s="86" t="n"/>
      <c r="F443" s="85" t="n"/>
      <c r="G443" s="85" t="n"/>
    </row>
    <row r="444" ht="13.5" customHeight="1" s="453">
      <c r="D444" s="11" t="n"/>
      <c r="E444" s="86" t="n"/>
      <c r="F444" s="85" t="n"/>
      <c r="G444" s="85" t="n"/>
    </row>
    <row r="445" ht="13.5" customHeight="1" s="453">
      <c r="D445" s="11" t="n"/>
      <c r="E445" s="86" t="n"/>
      <c r="F445" s="85" t="n"/>
      <c r="G445" s="85" t="n"/>
    </row>
    <row r="446" ht="13.5" customHeight="1" s="453">
      <c r="D446" s="11" t="n"/>
      <c r="E446" s="86" t="n"/>
      <c r="F446" s="85" t="n"/>
      <c r="G446" s="85" t="n"/>
    </row>
    <row r="447" ht="13.5" customHeight="1" s="453">
      <c r="D447" s="11" t="n"/>
      <c r="E447" s="86" t="n"/>
      <c r="F447" s="85" t="n"/>
      <c r="G447" s="85" t="n"/>
    </row>
    <row r="448" ht="13.5" customHeight="1" s="453">
      <c r="D448" s="11" t="n"/>
      <c r="E448" s="86" t="n"/>
      <c r="F448" s="85" t="n"/>
      <c r="G448" s="85" t="n"/>
    </row>
    <row r="449" ht="13.5" customHeight="1" s="453">
      <c r="D449" s="11" t="n"/>
      <c r="E449" s="86" t="n"/>
      <c r="F449" s="85" t="n"/>
      <c r="G449" s="85" t="n"/>
    </row>
    <row r="450" ht="13.5" customHeight="1" s="453">
      <c r="D450" s="11" t="n"/>
      <c r="E450" s="86" t="n"/>
      <c r="F450" s="85" t="n"/>
      <c r="G450" s="85" t="n"/>
    </row>
    <row r="451" ht="13.5" customHeight="1" s="453">
      <c r="D451" s="11" t="n"/>
      <c r="E451" s="86" t="n"/>
      <c r="F451" s="85" t="n"/>
      <c r="G451" s="85" t="n"/>
    </row>
    <row r="452" ht="13.5" customHeight="1" s="453">
      <c r="D452" s="11" t="n"/>
      <c r="E452" s="86" t="n"/>
      <c r="F452" s="85" t="n"/>
      <c r="G452" s="85" t="n"/>
    </row>
    <row r="453" ht="13.5" customHeight="1" s="453">
      <c r="D453" s="11" t="n"/>
      <c r="E453" s="86" t="n"/>
      <c r="F453" s="85" t="n"/>
      <c r="G453" s="85" t="n"/>
    </row>
    <row r="454" ht="13.5" customHeight="1" s="453">
      <c r="D454" s="11" t="n"/>
      <c r="E454" s="86" t="n"/>
      <c r="F454" s="85" t="n"/>
      <c r="G454" s="85" t="n"/>
    </row>
    <row r="455" ht="13.5" customHeight="1" s="453">
      <c r="D455" s="11" t="n"/>
      <c r="E455" s="86" t="n"/>
      <c r="F455" s="85" t="n"/>
      <c r="G455" s="85" t="n"/>
    </row>
    <row r="456" ht="13.5" customHeight="1" s="453">
      <c r="D456" s="11" t="n"/>
      <c r="E456" s="86" t="n"/>
      <c r="F456" s="85" t="n"/>
      <c r="G456" s="85" t="n"/>
    </row>
    <row r="457" ht="13.5" customHeight="1" s="453">
      <c r="D457" s="11" t="n"/>
      <c r="E457" s="86" t="n"/>
      <c r="F457" s="85" t="n"/>
      <c r="G457" s="85" t="n"/>
    </row>
    <row r="458" ht="13.5" customHeight="1" s="453">
      <c r="D458" s="11" t="n"/>
      <c r="E458" s="86" t="n"/>
      <c r="F458" s="85" t="n"/>
      <c r="G458" s="85" t="n"/>
    </row>
    <row r="459" ht="13.5" customHeight="1" s="453">
      <c r="D459" s="11" t="n"/>
      <c r="E459" s="86" t="n"/>
      <c r="F459" s="85" t="n"/>
      <c r="G459" s="85" t="n"/>
    </row>
    <row r="460" ht="13.5" customHeight="1" s="453">
      <c r="D460" s="11" t="n"/>
      <c r="E460" s="86" t="n"/>
      <c r="F460" s="85" t="n"/>
      <c r="G460" s="85" t="n"/>
    </row>
    <row r="461" ht="13.5" customHeight="1" s="453">
      <c r="D461" s="11" t="n"/>
      <c r="E461" s="86" t="n"/>
      <c r="F461" s="85" t="n"/>
      <c r="G461" s="85" t="n"/>
    </row>
    <row r="462" ht="13.5" customHeight="1" s="453">
      <c r="D462" s="11" t="n"/>
      <c r="E462" s="86" t="n"/>
      <c r="F462" s="85" t="n"/>
      <c r="G462" s="85" t="n"/>
    </row>
    <row r="463" ht="13.5" customHeight="1" s="453">
      <c r="D463" s="11" t="n"/>
      <c r="E463" s="86" t="n"/>
      <c r="F463" s="85" t="n"/>
      <c r="G463" s="85" t="n"/>
    </row>
    <row r="464" ht="13.5" customHeight="1" s="453">
      <c r="D464" s="11" t="n"/>
      <c r="E464" s="86" t="n"/>
      <c r="F464" s="85" t="n"/>
      <c r="G464" s="85" t="n"/>
    </row>
    <row r="465" ht="13.5" customHeight="1" s="453">
      <c r="D465" s="11" t="n"/>
      <c r="E465" s="86" t="n"/>
      <c r="F465" s="85" t="n"/>
      <c r="G465" s="85" t="n"/>
    </row>
    <row r="466" ht="13.5" customHeight="1" s="453">
      <c r="D466" s="11" t="n"/>
      <c r="E466" s="86" t="n"/>
      <c r="F466" s="85" t="n"/>
      <c r="G466" s="85" t="n"/>
    </row>
    <row r="467" ht="13.5" customHeight="1" s="453">
      <c r="D467" s="11" t="n"/>
      <c r="E467" s="86" t="n"/>
      <c r="F467" s="85" t="n"/>
      <c r="G467" s="85" t="n"/>
    </row>
    <row r="468" ht="13.5" customHeight="1" s="453">
      <c r="D468" s="11" t="n"/>
      <c r="E468" s="86" t="n"/>
      <c r="F468" s="85" t="n"/>
      <c r="G468" s="85" t="n"/>
    </row>
    <row r="469" ht="13.5" customHeight="1" s="453">
      <c r="D469" s="11" t="n"/>
      <c r="E469" s="86" t="n"/>
      <c r="F469" s="85" t="n"/>
      <c r="G469" s="85" t="n"/>
    </row>
    <row r="470" ht="13.5" customHeight="1" s="453">
      <c r="D470" s="11" t="n"/>
      <c r="E470" s="86" t="n"/>
      <c r="F470" s="85" t="n"/>
      <c r="G470" s="85" t="n"/>
    </row>
    <row r="471" ht="13.5" customHeight="1" s="453">
      <c r="D471" s="11" t="n"/>
      <c r="E471" s="86" t="n"/>
      <c r="F471" s="85" t="n"/>
      <c r="G471" s="85" t="n"/>
    </row>
    <row r="472" ht="13.5" customHeight="1" s="453">
      <c r="D472" s="11" t="n"/>
      <c r="E472" s="86" t="n"/>
      <c r="F472" s="85" t="n"/>
      <c r="G472" s="85" t="n"/>
    </row>
    <row r="473" ht="13.5" customHeight="1" s="453">
      <c r="D473" s="11" t="n"/>
      <c r="E473" s="86" t="n"/>
      <c r="F473" s="85" t="n"/>
      <c r="G473" s="85" t="n"/>
    </row>
    <row r="474" ht="13.5" customHeight="1" s="453">
      <c r="D474" s="11" t="n"/>
      <c r="E474" s="86" t="n"/>
      <c r="F474" s="85" t="n"/>
      <c r="G474" s="85" t="n"/>
    </row>
    <row r="475" ht="13.5" customHeight="1" s="453">
      <c r="D475" s="11" t="n"/>
      <c r="E475" s="86" t="n"/>
      <c r="F475" s="85" t="n"/>
      <c r="G475" s="85" t="n"/>
    </row>
    <row r="476" ht="13.5" customHeight="1" s="453">
      <c r="D476" s="11" t="n"/>
      <c r="E476" s="86" t="n"/>
      <c r="F476" s="85" t="n"/>
      <c r="G476" s="85" t="n"/>
    </row>
    <row r="477" ht="13.5" customHeight="1" s="453">
      <c r="D477" s="11" t="n"/>
      <c r="E477" s="86" t="n"/>
      <c r="F477" s="85" t="n"/>
      <c r="G477" s="85" t="n"/>
    </row>
    <row r="478" ht="13.5" customHeight="1" s="453">
      <c r="D478" s="11" t="n"/>
      <c r="E478" s="86" t="n"/>
      <c r="F478" s="85" t="n"/>
      <c r="G478" s="85" t="n"/>
    </row>
    <row r="479" ht="13.5" customHeight="1" s="453">
      <c r="D479" s="11" t="n"/>
      <c r="E479" s="86" t="n"/>
      <c r="F479" s="85" t="n"/>
      <c r="G479" s="85" t="n"/>
    </row>
    <row r="480" ht="13.5" customHeight="1" s="453">
      <c r="D480" s="11" t="n"/>
      <c r="E480" s="86" t="n"/>
      <c r="F480" s="85" t="n"/>
      <c r="G480" s="85" t="n"/>
    </row>
    <row r="481" ht="13.5" customHeight="1" s="453">
      <c r="D481" s="11" t="n"/>
      <c r="E481" s="86" t="n"/>
      <c r="F481" s="85" t="n"/>
      <c r="G481" s="85" t="n"/>
    </row>
    <row r="482" ht="13.5" customHeight="1" s="453">
      <c r="D482" s="11" t="n"/>
      <c r="E482" s="86" t="n"/>
      <c r="F482" s="85" t="n"/>
      <c r="G482" s="85" t="n"/>
    </row>
    <row r="483" ht="13.5" customHeight="1" s="453">
      <c r="D483" s="11" t="n"/>
      <c r="E483" s="86" t="n"/>
      <c r="F483" s="85" t="n"/>
      <c r="G483" s="85" t="n"/>
    </row>
    <row r="484" ht="13.5" customHeight="1" s="453">
      <c r="D484" s="11" t="n"/>
      <c r="E484" s="86" t="n"/>
      <c r="F484" s="85" t="n"/>
      <c r="G484" s="85" t="n"/>
    </row>
    <row r="485" ht="13.5" customHeight="1" s="453">
      <c r="D485" s="11" t="n"/>
      <c r="E485" s="86" t="n"/>
      <c r="F485" s="85" t="n"/>
      <c r="G485" s="85" t="n"/>
    </row>
    <row r="486" ht="13.5" customHeight="1" s="453">
      <c r="D486" s="11" t="n"/>
      <c r="E486" s="86" t="n"/>
      <c r="F486" s="85" t="n"/>
      <c r="G486" s="85" t="n"/>
    </row>
    <row r="487" ht="13.5" customHeight="1" s="453">
      <c r="D487" s="11" t="n"/>
      <c r="E487" s="86" t="n"/>
      <c r="F487" s="85" t="n"/>
      <c r="G487" s="85" t="n"/>
    </row>
    <row r="488" ht="13.5" customHeight="1" s="453">
      <c r="D488" s="11" t="n"/>
      <c r="E488" s="86" t="n"/>
      <c r="F488" s="85" t="n"/>
      <c r="G488" s="85" t="n"/>
    </row>
    <row r="489" ht="13.5" customHeight="1" s="453">
      <c r="D489" s="11" t="n"/>
      <c r="E489" s="86" t="n"/>
      <c r="F489" s="85" t="n"/>
      <c r="G489" s="85" t="n"/>
    </row>
    <row r="490" ht="13.5" customHeight="1" s="453">
      <c r="D490" s="11" t="n"/>
      <c r="E490" s="86" t="n"/>
      <c r="F490" s="85" t="n"/>
      <c r="G490" s="85" t="n"/>
    </row>
    <row r="491" ht="13.5" customHeight="1" s="453">
      <c r="D491" s="11" t="n"/>
      <c r="E491" s="86" t="n"/>
      <c r="F491" s="85" t="n"/>
      <c r="G491" s="85" t="n"/>
    </row>
    <row r="492" ht="13.5" customHeight="1" s="453">
      <c r="D492" s="11" t="n"/>
      <c r="E492" s="86" t="n"/>
      <c r="F492" s="85" t="n"/>
      <c r="G492" s="85" t="n"/>
    </row>
    <row r="493" ht="13.5" customHeight="1" s="453">
      <c r="D493" s="11" t="n"/>
      <c r="E493" s="86" t="n"/>
      <c r="F493" s="85" t="n"/>
      <c r="G493" s="85" t="n"/>
    </row>
    <row r="494" ht="13.5" customHeight="1" s="453">
      <c r="D494" s="11" t="n"/>
      <c r="E494" s="86" t="n"/>
      <c r="F494" s="85" t="n"/>
      <c r="G494" s="85" t="n"/>
    </row>
    <row r="495" ht="13.5" customHeight="1" s="453">
      <c r="D495" s="11" t="n"/>
      <c r="E495" s="86" t="n"/>
      <c r="F495" s="85" t="n"/>
      <c r="G495" s="85" t="n"/>
    </row>
    <row r="496" ht="13.5" customHeight="1" s="453">
      <c r="D496" s="11" t="n"/>
      <c r="E496" s="86" t="n"/>
      <c r="F496" s="85" t="n"/>
      <c r="G496" s="85" t="n"/>
    </row>
    <row r="497" ht="13.5" customHeight="1" s="453">
      <c r="D497" s="11" t="n"/>
      <c r="E497" s="86" t="n"/>
      <c r="F497" s="85" t="n"/>
      <c r="G497" s="85" t="n"/>
    </row>
    <row r="498" ht="13.5" customHeight="1" s="453">
      <c r="D498" s="11" t="n"/>
      <c r="E498" s="86" t="n"/>
      <c r="F498" s="85" t="n"/>
      <c r="G498" s="85" t="n"/>
    </row>
    <row r="499" ht="13.5" customHeight="1" s="453">
      <c r="D499" s="11" t="n"/>
      <c r="E499" s="86" t="n"/>
      <c r="F499" s="85" t="n"/>
      <c r="G499" s="85" t="n"/>
    </row>
    <row r="500" ht="13.5" customHeight="1" s="453">
      <c r="D500" s="11" t="n"/>
      <c r="E500" s="86" t="n"/>
      <c r="F500" s="85" t="n"/>
      <c r="G500" s="85" t="n"/>
    </row>
    <row r="501" ht="13.5" customHeight="1" s="453">
      <c r="D501" s="11" t="n"/>
      <c r="E501" s="86" t="n"/>
      <c r="F501" s="85" t="n"/>
      <c r="G501" s="85" t="n"/>
    </row>
    <row r="502" ht="13.5" customHeight="1" s="453">
      <c r="D502" s="11" t="n"/>
      <c r="E502" s="86" t="n"/>
      <c r="F502" s="85" t="n"/>
      <c r="G502" s="85" t="n"/>
    </row>
    <row r="503" ht="13.5" customHeight="1" s="453">
      <c r="D503" s="11" t="n"/>
      <c r="E503" s="86" t="n"/>
      <c r="F503" s="85" t="n"/>
      <c r="G503" s="85" t="n"/>
    </row>
    <row r="504" ht="13.5" customHeight="1" s="453">
      <c r="D504" s="11" t="n"/>
      <c r="E504" s="86" t="n"/>
      <c r="F504" s="85" t="n"/>
      <c r="G504" s="85" t="n"/>
    </row>
    <row r="505" ht="13.5" customHeight="1" s="453">
      <c r="D505" s="11" t="n"/>
      <c r="E505" s="86" t="n"/>
      <c r="F505" s="85" t="n"/>
      <c r="G505" s="85" t="n"/>
    </row>
    <row r="506" ht="13.5" customHeight="1" s="453">
      <c r="D506" s="11" t="n"/>
      <c r="E506" s="86" t="n"/>
      <c r="F506" s="85" t="n"/>
      <c r="G506" s="85" t="n"/>
    </row>
    <row r="507" ht="13.5" customHeight="1" s="453">
      <c r="D507" s="11" t="n"/>
      <c r="E507" s="86" t="n"/>
      <c r="F507" s="85" t="n"/>
      <c r="G507" s="85" t="n"/>
    </row>
    <row r="508" ht="13.5" customHeight="1" s="453">
      <c r="D508" s="11" t="n"/>
      <c r="E508" s="86" t="n"/>
      <c r="F508" s="85" t="n"/>
      <c r="G508" s="85" t="n"/>
    </row>
    <row r="509" ht="13.5" customHeight="1" s="453">
      <c r="D509" s="11" t="n"/>
      <c r="E509" s="86" t="n"/>
      <c r="F509" s="85" t="n"/>
      <c r="G509" s="85" t="n"/>
    </row>
    <row r="510" ht="13.5" customHeight="1" s="453">
      <c r="D510" s="11" t="n"/>
      <c r="E510" s="86" t="n"/>
      <c r="F510" s="85" t="n"/>
      <c r="G510" s="85" t="n"/>
    </row>
    <row r="511" ht="13.5" customHeight="1" s="453">
      <c r="D511" s="11" t="n"/>
      <c r="E511" s="86" t="n"/>
      <c r="F511" s="85" t="n"/>
      <c r="G511" s="85" t="n"/>
    </row>
    <row r="512" ht="13.5" customHeight="1" s="453">
      <c r="D512" s="11" t="n"/>
      <c r="E512" s="86" t="n"/>
      <c r="F512" s="85" t="n"/>
      <c r="G512" s="85" t="n"/>
    </row>
    <row r="513" ht="13.5" customHeight="1" s="453">
      <c r="D513" s="11" t="n"/>
      <c r="E513" s="86" t="n"/>
      <c r="F513" s="85" t="n"/>
      <c r="G513" s="85" t="n"/>
    </row>
    <row r="514" ht="13.5" customHeight="1" s="453">
      <c r="D514" s="11" t="n"/>
      <c r="E514" s="86" t="n"/>
      <c r="F514" s="85" t="n"/>
      <c r="G514" s="85" t="n"/>
    </row>
    <row r="515" ht="13.5" customHeight="1" s="453">
      <c r="D515" s="11" t="n"/>
      <c r="E515" s="86" t="n"/>
      <c r="F515" s="85" t="n"/>
      <c r="G515" s="85" t="n"/>
    </row>
    <row r="516" ht="13.5" customHeight="1" s="453">
      <c r="D516" s="11" t="n"/>
      <c r="E516" s="86" t="n"/>
      <c r="F516" s="85" t="n"/>
      <c r="G516" s="85" t="n"/>
    </row>
    <row r="517" ht="13.5" customHeight="1" s="453">
      <c r="D517" s="11" t="n"/>
      <c r="E517" s="86" t="n"/>
      <c r="F517" s="85" t="n"/>
      <c r="G517" s="85" t="n"/>
    </row>
    <row r="518" ht="13.5" customHeight="1" s="453">
      <c r="D518" s="11" t="n"/>
      <c r="E518" s="86" t="n"/>
      <c r="F518" s="85" t="n"/>
      <c r="G518" s="85" t="n"/>
    </row>
    <row r="519" ht="13.5" customHeight="1" s="453">
      <c r="D519" s="11" t="n"/>
      <c r="E519" s="86" t="n"/>
      <c r="F519" s="85" t="n"/>
      <c r="G519" s="85" t="n"/>
    </row>
    <row r="520" ht="13.5" customHeight="1" s="453">
      <c r="D520" s="11" t="n"/>
      <c r="E520" s="86" t="n"/>
      <c r="F520" s="85" t="n"/>
      <c r="G520" s="85" t="n"/>
    </row>
    <row r="521" ht="13.5" customHeight="1" s="453">
      <c r="D521" s="11" t="n"/>
      <c r="E521" s="86" t="n"/>
      <c r="F521" s="85" t="n"/>
      <c r="G521" s="85" t="n"/>
    </row>
    <row r="522" ht="13.5" customHeight="1" s="453">
      <c r="D522" s="11" t="n"/>
      <c r="E522" s="86" t="n"/>
      <c r="F522" s="85" t="n"/>
      <c r="G522" s="85" t="n"/>
    </row>
    <row r="523" ht="13.5" customHeight="1" s="453">
      <c r="D523" s="11" t="n"/>
      <c r="E523" s="86" t="n"/>
      <c r="F523" s="85" t="n"/>
      <c r="G523" s="85" t="n"/>
    </row>
    <row r="524" ht="13.5" customHeight="1" s="453">
      <c r="D524" s="11" t="n"/>
      <c r="E524" s="86" t="n"/>
      <c r="F524" s="85" t="n"/>
      <c r="G524" s="85" t="n"/>
    </row>
    <row r="525" ht="13.5" customHeight="1" s="453">
      <c r="D525" s="11" t="n"/>
      <c r="E525" s="86" t="n"/>
      <c r="F525" s="85" t="n"/>
      <c r="G525" s="85" t="n"/>
    </row>
    <row r="526" ht="13.5" customHeight="1" s="453">
      <c r="D526" s="11" t="n"/>
      <c r="E526" s="86" t="n"/>
      <c r="F526" s="85" t="n"/>
      <c r="G526" s="85" t="n"/>
    </row>
    <row r="527" ht="13.5" customHeight="1" s="453">
      <c r="D527" s="11" t="n"/>
      <c r="E527" s="86" t="n"/>
      <c r="F527" s="85" t="n"/>
      <c r="G527" s="85" t="n"/>
    </row>
    <row r="528" ht="13.5" customHeight="1" s="453">
      <c r="D528" s="11" t="n"/>
      <c r="E528" s="86" t="n"/>
      <c r="F528" s="85" t="n"/>
      <c r="G528" s="85" t="n"/>
    </row>
    <row r="529" ht="13.5" customHeight="1" s="453">
      <c r="D529" s="11" t="n"/>
      <c r="E529" s="86" t="n"/>
      <c r="F529" s="85" t="n"/>
      <c r="G529" s="85" t="n"/>
    </row>
    <row r="530" ht="13.5" customHeight="1" s="453">
      <c r="D530" s="11" t="n"/>
      <c r="E530" s="86" t="n"/>
      <c r="F530" s="85" t="n"/>
      <c r="G530" s="85" t="n"/>
    </row>
    <row r="531" ht="13.5" customHeight="1" s="453">
      <c r="D531" s="11" t="n"/>
      <c r="E531" s="86" t="n"/>
      <c r="F531" s="85" t="n"/>
      <c r="G531" s="85" t="n"/>
    </row>
    <row r="532" ht="13.5" customHeight="1" s="453">
      <c r="D532" s="11" t="n"/>
      <c r="E532" s="86" t="n"/>
      <c r="F532" s="85" t="n"/>
      <c r="G532" s="85" t="n"/>
    </row>
    <row r="533" ht="13.5" customHeight="1" s="453">
      <c r="D533" s="11" t="n"/>
      <c r="E533" s="86" t="n"/>
      <c r="F533" s="85" t="n"/>
      <c r="G533" s="85" t="n"/>
    </row>
    <row r="534" ht="13.5" customHeight="1" s="453">
      <c r="D534" s="11" t="n"/>
      <c r="E534" s="86" t="n"/>
      <c r="F534" s="85" t="n"/>
      <c r="G534" s="85" t="n"/>
    </row>
    <row r="535" ht="13.5" customHeight="1" s="453">
      <c r="D535" s="11" t="n"/>
      <c r="E535" s="86" t="n"/>
      <c r="F535" s="85" t="n"/>
      <c r="G535" s="85" t="n"/>
    </row>
    <row r="536" ht="13.5" customHeight="1" s="453">
      <c r="D536" s="11" t="n"/>
      <c r="E536" s="86" t="n"/>
      <c r="F536" s="85" t="n"/>
      <c r="G536" s="85" t="n"/>
    </row>
    <row r="537" ht="13.5" customHeight="1" s="453">
      <c r="D537" s="11" t="n"/>
      <c r="E537" s="86" t="n"/>
      <c r="F537" s="85" t="n"/>
      <c r="G537" s="85" t="n"/>
    </row>
    <row r="538" ht="13.5" customHeight="1" s="453">
      <c r="D538" s="11" t="n"/>
      <c r="E538" s="86" t="n"/>
      <c r="F538" s="85" t="n"/>
      <c r="G538" s="85" t="n"/>
    </row>
    <row r="539" ht="13.5" customHeight="1" s="453">
      <c r="D539" s="11" t="n"/>
      <c r="E539" s="86" t="n"/>
      <c r="F539" s="85" t="n"/>
      <c r="G539" s="85" t="n"/>
    </row>
    <row r="540" ht="13.5" customHeight="1" s="453">
      <c r="D540" s="11" t="n"/>
      <c r="E540" s="86" t="n"/>
      <c r="F540" s="85" t="n"/>
      <c r="G540" s="85" t="n"/>
    </row>
    <row r="541" ht="13.5" customHeight="1" s="453">
      <c r="D541" s="11" t="n"/>
      <c r="E541" s="86" t="n"/>
      <c r="F541" s="85" t="n"/>
      <c r="G541" s="85" t="n"/>
    </row>
    <row r="542" ht="13.5" customHeight="1" s="453">
      <c r="D542" s="11" t="n"/>
      <c r="E542" s="86" t="n"/>
      <c r="F542" s="85" t="n"/>
      <c r="G542" s="85" t="n"/>
    </row>
    <row r="543" ht="13.5" customHeight="1" s="453">
      <c r="D543" s="11" t="n"/>
      <c r="E543" s="86" t="n"/>
      <c r="F543" s="85" t="n"/>
      <c r="G543" s="85" t="n"/>
    </row>
    <row r="544" ht="13.5" customHeight="1" s="453">
      <c r="D544" s="11" t="n"/>
      <c r="E544" s="86" t="n"/>
      <c r="F544" s="85" t="n"/>
      <c r="G544" s="85" t="n"/>
    </row>
    <row r="545" ht="13.5" customHeight="1" s="453">
      <c r="D545" s="11" t="n"/>
      <c r="E545" s="86" t="n"/>
      <c r="F545" s="85" t="n"/>
      <c r="G545" s="85" t="n"/>
    </row>
    <row r="546" ht="13.5" customHeight="1" s="453">
      <c r="D546" s="11" t="n"/>
      <c r="E546" s="86" t="n"/>
      <c r="F546" s="85" t="n"/>
      <c r="G546" s="85" t="n"/>
    </row>
    <row r="547" ht="13.5" customHeight="1" s="453">
      <c r="D547" s="11" t="n"/>
      <c r="E547" s="86" t="n"/>
      <c r="F547" s="85" t="n"/>
      <c r="G547" s="85" t="n"/>
    </row>
    <row r="548" ht="13.5" customHeight="1" s="453">
      <c r="D548" s="11" t="n"/>
      <c r="E548" s="86" t="n"/>
      <c r="F548" s="85" t="n"/>
      <c r="G548" s="85" t="n"/>
    </row>
    <row r="549" ht="13.5" customHeight="1" s="453">
      <c r="D549" s="11" t="n"/>
      <c r="E549" s="86" t="n"/>
      <c r="F549" s="85" t="n"/>
      <c r="G549" s="85" t="n"/>
    </row>
    <row r="550" ht="13.5" customHeight="1" s="453">
      <c r="D550" s="11" t="n"/>
      <c r="E550" s="86" t="n"/>
      <c r="F550" s="85" t="n"/>
      <c r="G550" s="85" t="n"/>
    </row>
    <row r="551" ht="13.5" customHeight="1" s="453">
      <c r="D551" s="11" t="n"/>
      <c r="E551" s="86" t="n"/>
      <c r="F551" s="85" t="n"/>
      <c r="G551" s="85" t="n"/>
    </row>
    <row r="552" ht="13.5" customHeight="1" s="453">
      <c r="D552" s="11" t="n"/>
      <c r="E552" s="86" t="n"/>
      <c r="F552" s="85" t="n"/>
      <c r="G552" s="85" t="n"/>
    </row>
    <row r="553" ht="13.5" customHeight="1" s="453">
      <c r="D553" s="11" t="n"/>
      <c r="E553" s="86" t="n"/>
      <c r="F553" s="85" t="n"/>
      <c r="G553" s="85" t="n"/>
    </row>
    <row r="554" ht="13.5" customHeight="1" s="453">
      <c r="D554" s="11" t="n"/>
      <c r="E554" s="86" t="n"/>
      <c r="F554" s="85" t="n"/>
      <c r="G554" s="85" t="n"/>
    </row>
    <row r="555" ht="13.5" customHeight="1" s="453">
      <c r="D555" s="11" t="n"/>
      <c r="E555" s="86" t="n"/>
      <c r="F555" s="85" t="n"/>
      <c r="G555" s="85" t="n"/>
    </row>
    <row r="556" ht="13.5" customHeight="1" s="453">
      <c r="D556" s="11" t="n"/>
      <c r="E556" s="86" t="n"/>
      <c r="F556" s="85" t="n"/>
      <c r="G556" s="85" t="n"/>
    </row>
    <row r="557" ht="13.5" customHeight="1" s="453">
      <c r="D557" s="11" t="n"/>
      <c r="E557" s="86" t="n"/>
      <c r="F557" s="85" t="n"/>
      <c r="G557" s="85" t="n"/>
    </row>
    <row r="558" ht="13.5" customHeight="1" s="453">
      <c r="D558" s="11" t="n"/>
      <c r="E558" s="86" t="n"/>
      <c r="F558" s="85" t="n"/>
      <c r="G558" s="85" t="n"/>
    </row>
    <row r="559" ht="13.5" customHeight="1" s="453">
      <c r="D559" s="11" t="n"/>
      <c r="E559" s="86" t="n"/>
      <c r="F559" s="85" t="n"/>
      <c r="G559" s="85" t="n"/>
    </row>
    <row r="560" ht="13.5" customHeight="1" s="453">
      <c r="D560" s="11" t="n"/>
      <c r="E560" s="86" t="n"/>
      <c r="F560" s="85" t="n"/>
      <c r="G560" s="85" t="n"/>
    </row>
    <row r="561" ht="13.5" customHeight="1" s="453">
      <c r="D561" s="11" t="n"/>
      <c r="E561" s="86" t="n"/>
      <c r="F561" s="85" t="n"/>
      <c r="G561" s="85" t="n"/>
    </row>
    <row r="562" ht="13.5" customHeight="1" s="453">
      <c r="D562" s="11" t="n"/>
      <c r="E562" s="86" t="n"/>
      <c r="F562" s="85" t="n"/>
      <c r="G562" s="85" t="n"/>
    </row>
    <row r="563" ht="13.5" customHeight="1" s="453">
      <c r="D563" s="11" t="n"/>
      <c r="E563" s="86" t="n"/>
      <c r="F563" s="85" t="n"/>
      <c r="G563" s="85" t="n"/>
    </row>
    <row r="564" ht="13.5" customHeight="1" s="453">
      <c r="D564" s="11" t="n"/>
      <c r="E564" s="86" t="n"/>
      <c r="F564" s="85" t="n"/>
      <c r="G564" s="85" t="n"/>
    </row>
    <row r="565" ht="13.5" customHeight="1" s="453">
      <c r="D565" s="11" t="n"/>
      <c r="E565" s="86" t="n"/>
      <c r="F565" s="85" t="n"/>
      <c r="G565" s="85" t="n"/>
    </row>
    <row r="566" ht="13.5" customHeight="1" s="453">
      <c r="D566" s="11" t="n"/>
      <c r="E566" s="86" t="n"/>
      <c r="F566" s="85" t="n"/>
      <c r="G566" s="85" t="n"/>
    </row>
    <row r="567" ht="13.5" customHeight="1" s="453">
      <c r="D567" s="11" t="n"/>
      <c r="E567" s="86" t="n"/>
      <c r="F567" s="85" t="n"/>
      <c r="G567" s="85" t="n"/>
    </row>
    <row r="568" ht="13.5" customHeight="1" s="453">
      <c r="D568" s="11" t="n"/>
      <c r="E568" s="86" t="n"/>
      <c r="F568" s="85" t="n"/>
      <c r="G568" s="85" t="n"/>
    </row>
    <row r="569" ht="13.5" customHeight="1" s="453">
      <c r="D569" s="11" t="n"/>
      <c r="E569" s="86" t="n"/>
      <c r="F569" s="85" t="n"/>
      <c r="G569" s="85" t="n"/>
    </row>
    <row r="570" ht="13.5" customHeight="1" s="453">
      <c r="D570" s="11" t="n"/>
      <c r="E570" s="86" t="n"/>
      <c r="F570" s="85" t="n"/>
      <c r="G570" s="85" t="n"/>
    </row>
    <row r="571" ht="13.5" customHeight="1" s="453">
      <c r="D571" s="11" t="n"/>
      <c r="E571" s="86" t="n"/>
      <c r="F571" s="85" t="n"/>
      <c r="G571" s="85" t="n"/>
    </row>
    <row r="572" ht="13.5" customHeight="1" s="453">
      <c r="D572" s="11" t="n"/>
      <c r="E572" s="86" t="n"/>
      <c r="F572" s="85" t="n"/>
      <c r="G572" s="85" t="n"/>
    </row>
    <row r="573" ht="13.5" customHeight="1" s="453">
      <c r="D573" s="11" t="n"/>
      <c r="E573" s="86" t="n"/>
      <c r="F573" s="85" t="n"/>
      <c r="G573" s="85" t="n"/>
    </row>
    <row r="574" ht="13.5" customHeight="1" s="453">
      <c r="D574" s="11" t="n"/>
      <c r="E574" s="86" t="n"/>
      <c r="F574" s="85" t="n"/>
      <c r="G574" s="85" t="n"/>
    </row>
    <row r="575" ht="13.5" customHeight="1" s="453">
      <c r="D575" s="11" t="n"/>
      <c r="E575" s="86" t="n"/>
      <c r="F575" s="85" t="n"/>
      <c r="G575" s="85" t="n"/>
    </row>
    <row r="576" ht="13.5" customHeight="1" s="453">
      <c r="D576" s="11" t="n"/>
      <c r="E576" s="86" t="n"/>
      <c r="F576" s="85" t="n"/>
      <c r="G576" s="85" t="n"/>
    </row>
    <row r="577" ht="13.5" customHeight="1" s="453">
      <c r="D577" s="11" t="n"/>
      <c r="E577" s="86" t="n"/>
      <c r="F577" s="85" t="n"/>
      <c r="G577" s="85" t="n"/>
    </row>
    <row r="578" ht="13.5" customHeight="1" s="453">
      <c r="D578" s="11" t="n"/>
      <c r="E578" s="86" t="n"/>
      <c r="F578" s="85" t="n"/>
      <c r="G578" s="85" t="n"/>
    </row>
    <row r="579" ht="13.5" customHeight="1" s="453">
      <c r="D579" s="11" t="n"/>
      <c r="E579" s="86" t="n"/>
      <c r="F579" s="85" t="n"/>
      <c r="G579" s="85" t="n"/>
    </row>
    <row r="580" ht="13.5" customHeight="1" s="453">
      <c r="D580" s="11" t="n"/>
      <c r="E580" s="86" t="n"/>
      <c r="F580" s="85" t="n"/>
      <c r="G580" s="85" t="n"/>
    </row>
    <row r="581" ht="13.5" customHeight="1" s="453">
      <c r="D581" s="11" t="n"/>
      <c r="E581" s="86" t="n"/>
      <c r="F581" s="85" t="n"/>
      <c r="G581" s="85" t="n"/>
    </row>
    <row r="582" ht="13.5" customHeight="1" s="453">
      <c r="D582" s="11" t="n"/>
      <c r="E582" s="86" t="n"/>
      <c r="F582" s="85" t="n"/>
      <c r="G582" s="85" t="n"/>
    </row>
    <row r="583" ht="13.5" customHeight="1" s="453">
      <c r="D583" s="11" t="n"/>
      <c r="E583" s="86" t="n"/>
      <c r="F583" s="85" t="n"/>
      <c r="G583" s="85" t="n"/>
    </row>
    <row r="584" ht="13.5" customHeight="1" s="453">
      <c r="D584" s="11" t="n"/>
      <c r="E584" s="86" t="n"/>
      <c r="F584" s="85" t="n"/>
      <c r="G584" s="85" t="n"/>
    </row>
    <row r="585" ht="13.5" customHeight="1" s="453">
      <c r="D585" s="11" t="n"/>
      <c r="E585" s="86" t="n"/>
      <c r="F585" s="85" t="n"/>
      <c r="G585" s="85" t="n"/>
    </row>
    <row r="586" ht="13.5" customHeight="1" s="453">
      <c r="D586" s="11" t="n"/>
      <c r="E586" s="86" t="n"/>
      <c r="F586" s="85" t="n"/>
      <c r="G586" s="85" t="n"/>
    </row>
    <row r="587" ht="13.5" customHeight="1" s="453">
      <c r="D587" s="11" t="n"/>
      <c r="E587" s="86" t="n"/>
      <c r="F587" s="85" t="n"/>
      <c r="G587" s="85" t="n"/>
    </row>
    <row r="588" ht="13.5" customHeight="1" s="453">
      <c r="D588" s="11" t="n"/>
      <c r="E588" s="86" t="n"/>
      <c r="F588" s="85" t="n"/>
      <c r="G588" s="85" t="n"/>
    </row>
    <row r="589" ht="13.5" customHeight="1" s="453">
      <c r="D589" s="11" t="n"/>
      <c r="E589" s="86" t="n"/>
      <c r="F589" s="85" t="n"/>
      <c r="G589" s="85" t="n"/>
    </row>
    <row r="590" ht="13.5" customHeight="1" s="453">
      <c r="D590" s="11" t="n"/>
      <c r="E590" s="86" t="n"/>
      <c r="F590" s="85" t="n"/>
      <c r="G590" s="85" t="n"/>
    </row>
    <row r="591" ht="13.5" customHeight="1" s="453">
      <c r="D591" s="11" t="n"/>
      <c r="E591" s="86" t="n"/>
      <c r="F591" s="85" t="n"/>
      <c r="G591" s="85" t="n"/>
    </row>
    <row r="592" ht="13.5" customHeight="1" s="453">
      <c r="D592" s="11" t="n"/>
      <c r="E592" s="86" t="n"/>
      <c r="F592" s="85" t="n"/>
      <c r="G592" s="85" t="n"/>
    </row>
    <row r="593" ht="13.5" customHeight="1" s="453">
      <c r="D593" s="11" t="n"/>
      <c r="E593" s="86" t="n"/>
      <c r="F593" s="85" t="n"/>
      <c r="G593" s="85" t="n"/>
    </row>
    <row r="594" ht="13.5" customHeight="1" s="453">
      <c r="D594" s="11" t="n"/>
      <c r="E594" s="86" t="n"/>
      <c r="F594" s="85" t="n"/>
      <c r="G594" s="85" t="n"/>
    </row>
    <row r="595" ht="13.5" customHeight="1" s="453">
      <c r="D595" s="11" t="n"/>
      <c r="E595" s="86" t="n"/>
      <c r="F595" s="85" t="n"/>
      <c r="G595" s="85" t="n"/>
    </row>
    <row r="596" ht="13.5" customHeight="1" s="453">
      <c r="D596" s="11" t="n"/>
      <c r="E596" s="86" t="n"/>
      <c r="F596" s="85" t="n"/>
      <c r="G596" s="85" t="n"/>
    </row>
    <row r="597" ht="13.5" customHeight="1" s="453">
      <c r="D597" s="11" t="n"/>
      <c r="E597" s="86" t="n"/>
      <c r="F597" s="85" t="n"/>
      <c r="G597" s="85" t="n"/>
    </row>
    <row r="598" ht="13.5" customHeight="1" s="453">
      <c r="D598" s="11" t="n"/>
      <c r="E598" s="86" t="n"/>
      <c r="F598" s="85" t="n"/>
      <c r="G598" s="85" t="n"/>
    </row>
    <row r="599" ht="13.5" customHeight="1" s="453">
      <c r="D599" s="11" t="n"/>
      <c r="E599" s="86" t="n"/>
      <c r="F599" s="85" t="n"/>
      <c r="G599" s="85" t="n"/>
    </row>
    <row r="600" ht="13.5" customHeight="1" s="453">
      <c r="D600" s="11" t="n"/>
      <c r="E600" s="86" t="n"/>
      <c r="F600" s="85" t="n"/>
      <c r="G600" s="85" t="n"/>
    </row>
    <row r="601" ht="13.5" customHeight="1" s="453">
      <c r="D601" s="11" t="n"/>
      <c r="E601" s="86" t="n"/>
      <c r="F601" s="85" t="n"/>
      <c r="G601" s="85" t="n"/>
    </row>
    <row r="602" ht="13.5" customHeight="1" s="453">
      <c r="D602" s="11" t="n"/>
      <c r="E602" s="86" t="n"/>
      <c r="F602" s="85" t="n"/>
      <c r="G602" s="85" t="n"/>
    </row>
    <row r="603" ht="13.5" customHeight="1" s="453">
      <c r="D603" s="11" t="n"/>
      <c r="E603" s="86" t="n"/>
      <c r="F603" s="85" t="n"/>
      <c r="G603" s="85" t="n"/>
    </row>
    <row r="604" ht="13.5" customHeight="1" s="453">
      <c r="D604" s="11" t="n"/>
      <c r="E604" s="86" t="n"/>
      <c r="F604" s="85" t="n"/>
      <c r="G604" s="85" t="n"/>
    </row>
    <row r="605" ht="13.5" customHeight="1" s="453">
      <c r="D605" s="11" t="n"/>
      <c r="E605" s="86" t="n"/>
      <c r="F605" s="85" t="n"/>
      <c r="G605" s="85" t="n"/>
    </row>
    <row r="606" ht="13.5" customHeight="1" s="453">
      <c r="D606" s="11" t="n"/>
      <c r="E606" s="86" t="n"/>
      <c r="F606" s="85" t="n"/>
      <c r="G606" s="85" t="n"/>
    </row>
    <row r="607" ht="13.5" customHeight="1" s="453">
      <c r="D607" s="11" t="n"/>
      <c r="E607" s="86" t="n"/>
      <c r="F607" s="85" t="n"/>
      <c r="G607" s="85" t="n"/>
    </row>
    <row r="608" ht="13.5" customHeight="1" s="453">
      <c r="D608" s="11" t="n"/>
      <c r="E608" s="86" t="n"/>
      <c r="F608" s="85" t="n"/>
      <c r="G608" s="85" t="n"/>
    </row>
    <row r="609" ht="13.5" customHeight="1" s="453">
      <c r="D609" s="11" t="n"/>
      <c r="E609" s="86" t="n"/>
      <c r="F609" s="85" t="n"/>
      <c r="G609" s="85" t="n"/>
    </row>
    <row r="610" ht="13.5" customHeight="1" s="453">
      <c r="D610" s="11" t="n"/>
      <c r="E610" s="86" t="n"/>
      <c r="F610" s="85" t="n"/>
      <c r="G610" s="85" t="n"/>
    </row>
    <row r="611" ht="13.5" customHeight="1" s="453">
      <c r="D611" s="11" t="n"/>
      <c r="E611" s="86" t="n"/>
      <c r="F611" s="85" t="n"/>
      <c r="G611" s="85" t="n"/>
    </row>
    <row r="612" ht="13.5" customHeight="1" s="453">
      <c r="D612" s="11" t="n"/>
      <c r="E612" s="86" t="n"/>
      <c r="F612" s="85" t="n"/>
      <c r="G612" s="85" t="n"/>
    </row>
    <row r="613" ht="13.5" customHeight="1" s="453">
      <c r="D613" s="11" t="n"/>
      <c r="E613" s="86" t="n"/>
      <c r="F613" s="85" t="n"/>
      <c r="G613" s="85" t="n"/>
    </row>
    <row r="614" ht="13.5" customHeight="1" s="453">
      <c r="D614" s="11" t="n"/>
      <c r="E614" s="86" t="n"/>
      <c r="F614" s="85" t="n"/>
      <c r="G614" s="85" t="n"/>
    </row>
    <row r="615" ht="13.5" customHeight="1" s="453">
      <c r="D615" s="11" t="n"/>
      <c r="E615" s="86" t="n"/>
      <c r="F615" s="85" t="n"/>
      <c r="G615" s="85" t="n"/>
    </row>
    <row r="616" ht="13.5" customHeight="1" s="453">
      <c r="D616" s="11" t="n"/>
      <c r="E616" s="86" t="n"/>
      <c r="F616" s="85" t="n"/>
      <c r="G616" s="85" t="n"/>
    </row>
    <row r="617" ht="13.5" customHeight="1" s="453">
      <c r="D617" s="11" t="n"/>
      <c r="E617" s="86" t="n"/>
      <c r="F617" s="85" t="n"/>
      <c r="G617" s="85" t="n"/>
    </row>
    <row r="618" ht="13.5" customHeight="1" s="453">
      <c r="D618" s="11" t="n"/>
      <c r="E618" s="86" t="n"/>
      <c r="F618" s="85" t="n"/>
      <c r="G618" s="85" t="n"/>
    </row>
    <row r="619" ht="13.5" customHeight="1" s="453">
      <c r="D619" s="11" t="n"/>
      <c r="E619" s="86" t="n"/>
      <c r="F619" s="85" t="n"/>
      <c r="G619" s="85" t="n"/>
    </row>
    <row r="620" ht="13.5" customHeight="1" s="453">
      <c r="D620" s="11" t="n"/>
      <c r="E620" s="86" t="n"/>
      <c r="F620" s="85" t="n"/>
      <c r="G620" s="85" t="n"/>
    </row>
    <row r="621" ht="13.5" customHeight="1" s="453">
      <c r="D621" s="11" t="n"/>
      <c r="E621" s="86" t="n"/>
      <c r="F621" s="85" t="n"/>
      <c r="G621" s="85" t="n"/>
    </row>
    <row r="622" ht="13.5" customHeight="1" s="453">
      <c r="D622" s="11" t="n"/>
      <c r="E622" s="86" t="n"/>
      <c r="F622" s="85" t="n"/>
      <c r="G622" s="85" t="n"/>
    </row>
    <row r="623" ht="13.5" customHeight="1" s="453">
      <c r="D623" s="11" t="n"/>
      <c r="E623" s="86" t="n"/>
      <c r="F623" s="85" t="n"/>
      <c r="G623" s="85" t="n"/>
    </row>
    <row r="624" ht="13.5" customHeight="1" s="453">
      <c r="D624" s="11" t="n"/>
      <c r="E624" s="86" t="n"/>
      <c r="F624" s="85" t="n"/>
      <c r="G624" s="85" t="n"/>
    </row>
    <row r="625" ht="13.5" customHeight="1" s="453">
      <c r="D625" s="11" t="n"/>
      <c r="E625" s="86" t="n"/>
      <c r="F625" s="85" t="n"/>
      <c r="G625" s="85" t="n"/>
    </row>
    <row r="626" ht="13.5" customHeight="1" s="453">
      <c r="D626" s="11" t="n"/>
      <c r="E626" s="86" t="n"/>
      <c r="F626" s="85" t="n"/>
      <c r="G626" s="85" t="n"/>
    </row>
    <row r="627" ht="13.5" customHeight="1" s="453">
      <c r="D627" s="11" t="n"/>
      <c r="E627" s="86" t="n"/>
      <c r="F627" s="85" t="n"/>
      <c r="G627" s="85" t="n"/>
    </row>
    <row r="628" ht="13.5" customHeight="1" s="453">
      <c r="D628" s="11" t="n"/>
      <c r="E628" s="86" t="n"/>
      <c r="F628" s="85" t="n"/>
      <c r="G628" s="85" t="n"/>
    </row>
    <row r="629" ht="13.5" customHeight="1" s="453">
      <c r="D629" s="11" t="n"/>
      <c r="E629" s="86" t="n"/>
      <c r="F629" s="85" t="n"/>
      <c r="G629" s="85" t="n"/>
    </row>
    <row r="630" ht="13.5" customHeight="1" s="453">
      <c r="D630" s="11" t="n"/>
      <c r="E630" s="86" t="n"/>
      <c r="F630" s="85" t="n"/>
      <c r="G630" s="85" t="n"/>
    </row>
    <row r="631" ht="13.5" customHeight="1" s="453">
      <c r="D631" s="11" t="n"/>
      <c r="E631" s="86" t="n"/>
      <c r="F631" s="85" t="n"/>
      <c r="G631" s="85" t="n"/>
    </row>
    <row r="632" ht="13.5" customHeight="1" s="453">
      <c r="D632" s="11" t="n"/>
      <c r="E632" s="86" t="n"/>
      <c r="F632" s="85" t="n"/>
      <c r="G632" s="85" t="n"/>
    </row>
    <row r="633" ht="13.5" customHeight="1" s="453">
      <c r="D633" s="11" t="n"/>
      <c r="E633" s="86" t="n"/>
      <c r="F633" s="85" t="n"/>
      <c r="G633" s="85" t="n"/>
    </row>
    <row r="634" ht="13.5" customHeight="1" s="453">
      <c r="D634" s="11" t="n"/>
      <c r="E634" s="86" t="n"/>
      <c r="F634" s="85" t="n"/>
      <c r="G634" s="85" t="n"/>
    </row>
    <row r="635" ht="13.5" customHeight="1" s="453">
      <c r="D635" s="11" t="n"/>
      <c r="E635" s="86" t="n"/>
      <c r="F635" s="85" t="n"/>
      <c r="G635" s="85" t="n"/>
    </row>
    <row r="636" ht="13.5" customHeight="1" s="453">
      <c r="D636" s="11" t="n"/>
      <c r="E636" s="86" t="n"/>
      <c r="F636" s="85" t="n"/>
      <c r="G636" s="85" t="n"/>
    </row>
    <row r="637" ht="13.5" customHeight="1" s="453">
      <c r="D637" s="11" t="n"/>
      <c r="E637" s="86" t="n"/>
      <c r="F637" s="85" t="n"/>
      <c r="G637" s="85" t="n"/>
    </row>
    <row r="638" ht="13.5" customHeight="1" s="453">
      <c r="D638" s="11" t="n"/>
      <c r="E638" s="86" t="n"/>
      <c r="F638" s="85" t="n"/>
      <c r="G638" s="85" t="n"/>
    </row>
    <row r="639" ht="13.5" customHeight="1" s="453">
      <c r="D639" s="11" t="n"/>
      <c r="E639" s="86" t="n"/>
      <c r="F639" s="85" t="n"/>
      <c r="G639" s="85" t="n"/>
    </row>
    <row r="640" ht="13.5" customHeight="1" s="453">
      <c r="D640" s="11" t="n"/>
      <c r="E640" s="86" t="n"/>
      <c r="F640" s="85" t="n"/>
      <c r="G640" s="85" t="n"/>
    </row>
    <row r="641" ht="13.5" customHeight="1" s="453">
      <c r="D641" s="11" t="n"/>
      <c r="E641" s="86" t="n"/>
      <c r="F641" s="85" t="n"/>
      <c r="G641" s="85" t="n"/>
    </row>
    <row r="642" ht="13.5" customHeight="1" s="453">
      <c r="D642" s="11" t="n"/>
      <c r="E642" s="86" t="n"/>
      <c r="F642" s="85" t="n"/>
      <c r="G642" s="85" t="n"/>
    </row>
    <row r="643" ht="13.5" customHeight="1" s="453">
      <c r="D643" s="11" t="n"/>
      <c r="E643" s="86" t="n"/>
      <c r="F643" s="85" t="n"/>
      <c r="G643" s="85" t="n"/>
    </row>
    <row r="644" ht="13.5" customHeight="1" s="453">
      <c r="D644" s="11" t="n"/>
      <c r="E644" s="86" t="n"/>
      <c r="F644" s="85" t="n"/>
      <c r="G644" s="85" t="n"/>
    </row>
    <row r="645" ht="13.5" customHeight="1" s="453">
      <c r="D645" s="11" t="n"/>
      <c r="E645" s="86" t="n"/>
      <c r="F645" s="85" t="n"/>
      <c r="G645" s="85" t="n"/>
    </row>
    <row r="646" ht="13.5" customHeight="1" s="453">
      <c r="D646" s="11" t="n"/>
      <c r="E646" s="86" t="n"/>
      <c r="F646" s="85" t="n"/>
      <c r="G646" s="85" t="n"/>
    </row>
    <row r="647" ht="13.5" customHeight="1" s="453">
      <c r="D647" s="11" t="n"/>
      <c r="E647" s="86" t="n"/>
      <c r="F647" s="85" t="n"/>
      <c r="G647" s="85" t="n"/>
    </row>
    <row r="648" ht="13.5" customHeight="1" s="453">
      <c r="D648" s="11" t="n"/>
      <c r="E648" s="86" t="n"/>
      <c r="F648" s="85" t="n"/>
      <c r="G648" s="85" t="n"/>
    </row>
    <row r="649" ht="13.5" customHeight="1" s="453">
      <c r="D649" s="11" t="n"/>
      <c r="E649" s="86" t="n"/>
      <c r="F649" s="85" t="n"/>
      <c r="G649" s="85" t="n"/>
    </row>
    <row r="650" ht="13.5" customHeight="1" s="453">
      <c r="D650" s="11" t="n"/>
      <c r="E650" s="86" t="n"/>
      <c r="F650" s="85" t="n"/>
      <c r="G650" s="85" t="n"/>
    </row>
    <row r="651" ht="13.5" customHeight="1" s="453">
      <c r="D651" s="11" t="n"/>
      <c r="E651" s="86" t="n"/>
      <c r="F651" s="85" t="n"/>
      <c r="G651" s="85" t="n"/>
    </row>
    <row r="652" ht="13.5" customHeight="1" s="453">
      <c r="D652" s="11" t="n"/>
      <c r="E652" s="86" t="n"/>
      <c r="F652" s="85" t="n"/>
      <c r="G652" s="85" t="n"/>
    </row>
    <row r="653" ht="13.5" customHeight="1" s="453">
      <c r="D653" s="11" t="n"/>
      <c r="E653" s="86" t="n"/>
      <c r="F653" s="85" t="n"/>
      <c r="G653" s="85" t="n"/>
    </row>
    <row r="654" ht="13.5" customHeight="1" s="453">
      <c r="D654" s="11" t="n"/>
      <c r="E654" s="86" t="n"/>
      <c r="F654" s="85" t="n"/>
      <c r="G654" s="85" t="n"/>
    </row>
    <row r="655" ht="13.5" customHeight="1" s="453">
      <c r="D655" s="11" t="n"/>
      <c r="E655" s="86" t="n"/>
      <c r="F655" s="85" t="n"/>
      <c r="G655" s="85" t="n"/>
    </row>
    <row r="656" ht="13.5" customHeight="1" s="453">
      <c r="D656" s="11" t="n"/>
      <c r="E656" s="86" t="n"/>
      <c r="F656" s="85" t="n"/>
      <c r="G656" s="85" t="n"/>
    </row>
    <row r="657" ht="13.5" customHeight="1" s="453">
      <c r="D657" s="11" t="n"/>
      <c r="E657" s="86" t="n"/>
      <c r="F657" s="85" t="n"/>
      <c r="G657" s="85" t="n"/>
    </row>
    <row r="658" ht="13.5" customHeight="1" s="453">
      <c r="D658" s="11" t="n"/>
      <c r="E658" s="86" t="n"/>
      <c r="F658" s="85" t="n"/>
      <c r="G658" s="85" t="n"/>
    </row>
    <row r="659" ht="13.5" customHeight="1" s="453">
      <c r="D659" s="11" t="n"/>
      <c r="E659" s="86" t="n"/>
      <c r="F659" s="85" t="n"/>
      <c r="G659" s="85" t="n"/>
    </row>
    <row r="660" ht="13.5" customHeight="1" s="453">
      <c r="D660" s="11" t="n"/>
      <c r="E660" s="86" t="n"/>
      <c r="F660" s="85" t="n"/>
      <c r="G660" s="85" t="n"/>
    </row>
    <row r="661" ht="13.5" customHeight="1" s="453">
      <c r="D661" s="11" t="n"/>
      <c r="E661" s="86" t="n"/>
      <c r="F661" s="85" t="n"/>
      <c r="G661" s="85" t="n"/>
    </row>
    <row r="662" ht="13.5" customHeight="1" s="453">
      <c r="D662" s="11" t="n"/>
      <c r="E662" s="86" t="n"/>
      <c r="F662" s="85" t="n"/>
      <c r="G662" s="85" t="n"/>
    </row>
    <row r="663" ht="13.5" customHeight="1" s="453">
      <c r="D663" s="11" t="n"/>
      <c r="E663" s="86" t="n"/>
      <c r="F663" s="85" t="n"/>
      <c r="G663" s="85" t="n"/>
    </row>
    <row r="664" ht="13.5" customHeight="1" s="453">
      <c r="D664" s="11" t="n"/>
      <c r="E664" s="86" t="n"/>
      <c r="F664" s="85" t="n"/>
      <c r="G664" s="85" t="n"/>
    </row>
    <row r="665" ht="13.5" customHeight="1" s="453">
      <c r="D665" s="11" t="n"/>
      <c r="E665" s="86" t="n"/>
      <c r="F665" s="85" t="n"/>
      <c r="G665" s="85" t="n"/>
    </row>
    <row r="666" ht="13.5" customHeight="1" s="453">
      <c r="D666" s="11" t="n"/>
      <c r="E666" s="86" t="n"/>
      <c r="F666" s="85" t="n"/>
      <c r="G666" s="85" t="n"/>
    </row>
    <row r="667" ht="13.5" customHeight="1" s="453">
      <c r="D667" s="11" t="n"/>
      <c r="E667" s="86" t="n"/>
      <c r="F667" s="85" t="n"/>
      <c r="G667" s="85" t="n"/>
    </row>
    <row r="668" ht="13.5" customHeight="1" s="453">
      <c r="D668" s="11" t="n"/>
      <c r="E668" s="86" t="n"/>
      <c r="F668" s="85" t="n"/>
      <c r="G668" s="85" t="n"/>
    </row>
    <row r="669" ht="13.5" customHeight="1" s="453">
      <c r="D669" s="11" t="n"/>
      <c r="E669" s="86" t="n"/>
      <c r="F669" s="85" t="n"/>
      <c r="G669" s="85" t="n"/>
    </row>
    <row r="670" ht="13.5" customHeight="1" s="453">
      <c r="D670" s="11" t="n"/>
      <c r="E670" s="86" t="n"/>
      <c r="F670" s="85" t="n"/>
      <c r="G670" s="85" t="n"/>
    </row>
    <row r="671" ht="13.5" customHeight="1" s="453">
      <c r="D671" s="11" t="n"/>
      <c r="E671" s="86" t="n"/>
      <c r="F671" s="85" t="n"/>
      <c r="G671" s="85" t="n"/>
    </row>
    <row r="672" ht="13.5" customHeight="1" s="453">
      <c r="D672" s="11" t="n"/>
      <c r="E672" s="86" t="n"/>
      <c r="F672" s="85" t="n"/>
      <c r="G672" s="85" t="n"/>
    </row>
    <row r="673" ht="13.5" customHeight="1" s="453">
      <c r="D673" s="11" t="n"/>
      <c r="E673" s="86" t="n"/>
      <c r="F673" s="85" t="n"/>
      <c r="G673" s="85" t="n"/>
    </row>
    <row r="674" ht="13.5" customHeight="1" s="453">
      <c r="D674" s="11" t="n"/>
      <c r="E674" s="86" t="n"/>
      <c r="F674" s="85" t="n"/>
      <c r="G674" s="85" t="n"/>
    </row>
    <row r="675" ht="13.5" customHeight="1" s="453">
      <c r="D675" s="11" t="n"/>
      <c r="E675" s="86" t="n"/>
      <c r="F675" s="85" t="n"/>
      <c r="G675" s="85" t="n"/>
    </row>
    <row r="676" ht="13.5" customHeight="1" s="453">
      <c r="D676" s="11" t="n"/>
      <c r="E676" s="86" t="n"/>
      <c r="F676" s="85" t="n"/>
      <c r="G676" s="85" t="n"/>
    </row>
    <row r="677" ht="13.5" customHeight="1" s="453">
      <c r="D677" s="11" t="n"/>
      <c r="E677" s="86" t="n"/>
      <c r="F677" s="85" t="n"/>
      <c r="G677" s="85" t="n"/>
    </row>
    <row r="678" ht="13.5" customHeight="1" s="453">
      <c r="D678" s="11" t="n"/>
      <c r="E678" s="86" t="n"/>
      <c r="F678" s="85" t="n"/>
      <c r="G678" s="85" t="n"/>
    </row>
    <row r="679" ht="13.5" customHeight="1" s="453">
      <c r="D679" s="11" t="n"/>
      <c r="E679" s="86" t="n"/>
      <c r="F679" s="85" t="n"/>
      <c r="G679" s="85" t="n"/>
    </row>
    <row r="680" ht="13.5" customHeight="1" s="453">
      <c r="D680" s="11" t="n"/>
      <c r="E680" s="86" t="n"/>
      <c r="F680" s="85" t="n"/>
      <c r="G680" s="85" t="n"/>
    </row>
    <row r="681" ht="13.5" customHeight="1" s="453">
      <c r="D681" s="11" t="n"/>
      <c r="E681" s="86" t="n"/>
      <c r="F681" s="85" t="n"/>
      <c r="G681" s="85" t="n"/>
    </row>
    <row r="682" ht="13.5" customHeight="1" s="453">
      <c r="D682" s="11" t="n"/>
      <c r="E682" s="86" t="n"/>
      <c r="F682" s="85" t="n"/>
      <c r="G682" s="85" t="n"/>
    </row>
    <row r="683" ht="13.5" customHeight="1" s="453">
      <c r="D683" s="11" t="n"/>
      <c r="E683" s="86" t="n"/>
      <c r="F683" s="85" t="n"/>
      <c r="G683" s="85" t="n"/>
    </row>
    <row r="684" ht="13.5" customHeight="1" s="453">
      <c r="D684" s="11" t="n"/>
      <c r="E684" s="86" t="n"/>
      <c r="F684" s="85" t="n"/>
      <c r="G684" s="85" t="n"/>
    </row>
    <row r="685" ht="13.5" customHeight="1" s="453">
      <c r="D685" s="11" t="n"/>
      <c r="E685" s="86" t="n"/>
      <c r="F685" s="85" t="n"/>
      <c r="G685" s="85" t="n"/>
    </row>
    <row r="686" ht="13.5" customHeight="1" s="453">
      <c r="D686" s="11" t="n"/>
      <c r="E686" s="86" t="n"/>
      <c r="F686" s="85" t="n"/>
      <c r="G686" s="85" t="n"/>
    </row>
    <row r="687" ht="13.5" customHeight="1" s="453">
      <c r="D687" s="11" t="n"/>
      <c r="E687" s="86" t="n"/>
      <c r="F687" s="85" t="n"/>
      <c r="G687" s="85" t="n"/>
    </row>
    <row r="688" ht="13.5" customHeight="1" s="453">
      <c r="D688" s="11" t="n"/>
      <c r="E688" s="86" t="n"/>
      <c r="F688" s="85" t="n"/>
      <c r="G688" s="85" t="n"/>
    </row>
    <row r="689" ht="13.5" customHeight="1" s="453">
      <c r="D689" s="11" t="n"/>
      <c r="E689" s="86" t="n"/>
      <c r="F689" s="85" t="n"/>
      <c r="G689" s="85" t="n"/>
    </row>
    <row r="690" ht="13.5" customHeight="1" s="453">
      <c r="D690" s="11" t="n"/>
      <c r="E690" s="86" t="n"/>
      <c r="F690" s="85" t="n"/>
      <c r="G690" s="85" t="n"/>
    </row>
    <row r="691" ht="13.5" customHeight="1" s="453">
      <c r="D691" s="11" t="n"/>
      <c r="E691" s="86" t="n"/>
      <c r="F691" s="85" t="n"/>
      <c r="G691" s="85" t="n"/>
    </row>
    <row r="692" ht="13.5" customHeight="1" s="453">
      <c r="D692" s="11" t="n"/>
      <c r="E692" s="86" t="n"/>
      <c r="F692" s="85" t="n"/>
      <c r="G692" s="85" t="n"/>
    </row>
    <row r="693" ht="13.5" customHeight="1" s="453">
      <c r="D693" s="11" t="n"/>
      <c r="E693" s="86" t="n"/>
      <c r="F693" s="85" t="n"/>
      <c r="G693" s="85" t="n"/>
    </row>
    <row r="694" ht="13.5" customHeight="1" s="453">
      <c r="D694" s="11" t="n"/>
      <c r="E694" s="86" t="n"/>
      <c r="F694" s="85" t="n"/>
      <c r="G694" s="85" t="n"/>
    </row>
    <row r="695" ht="13.5" customHeight="1" s="453">
      <c r="D695" s="11" t="n"/>
      <c r="E695" s="86" t="n"/>
      <c r="F695" s="85" t="n"/>
      <c r="G695" s="85" t="n"/>
    </row>
    <row r="696" ht="13.5" customHeight="1" s="453">
      <c r="D696" s="11" t="n"/>
      <c r="E696" s="86" t="n"/>
      <c r="F696" s="85" t="n"/>
      <c r="G696" s="85" t="n"/>
    </row>
    <row r="697" ht="13.5" customHeight="1" s="453">
      <c r="D697" s="11" t="n"/>
      <c r="E697" s="86" t="n"/>
      <c r="F697" s="85" t="n"/>
      <c r="G697" s="85" t="n"/>
    </row>
    <row r="698" ht="13.5" customHeight="1" s="453">
      <c r="D698" s="11" t="n"/>
      <c r="E698" s="86" t="n"/>
      <c r="F698" s="85" t="n"/>
      <c r="G698" s="85" t="n"/>
    </row>
    <row r="699" ht="13.5" customHeight="1" s="453">
      <c r="D699" s="11" t="n"/>
      <c r="E699" s="86" t="n"/>
      <c r="F699" s="85" t="n"/>
      <c r="G699" s="85" t="n"/>
    </row>
    <row r="700" ht="13.5" customHeight="1" s="453">
      <c r="D700" s="11" t="n"/>
      <c r="E700" s="86" t="n"/>
      <c r="F700" s="85" t="n"/>
      <c r="G700" s="85" t="n"/>
    </row>
    <row r="701" ht="13.5" customHeight="1" s="453">
      <c r="D701" s="11" t="n"/>
      <c r="E701" s="86" t="n"/>
      <c r="F701" s="85" t="n"/>
      <c r="G701" s="85" t="n"/>
    </row>
    <row r="702" ht="13.5" customHeight="1" s="453">
      <c r="D702" s="11" t="n"/>
      <c r="E702" s="86" t="n"/>
      <c r="F702" s="85" t="n"/>
      <c r="G702" s="85" t="n"/>
    </row>
    <row r="703" ht="13.5" customHeight="1" s="453">
      <c r="D703" s="11" t="n"/>
      <c r="E703" s="86" t="n"/>
      <c r="F703" s="85" t="n"/>
      <c r="G703" s="85" t="n"/>
    </row>
    <row r="704" ht="13.5" customHeight="1" s="453">
      <c r="D704" s="11" t="n"/>
      <c r="E704" s="86" t="n"/>
      <c r="F704" s="85" t="n"/>
      <c r="G704" s="85" t="n"/>
    </row>
    <row r="705" ht="13.5" customHeight="1" s="453">
      <c r="D705" s="11" t="n"/>
      <c r="E705" s="86" t="n"/>
      <c r="F705" s="85" t="n"/>
      <c r="G705" s="85" t="n"/>
    </row>
    <row r="706" ht="13.5" customHeight="1" s="453">
      <c r="D706" s="11" t="n"/>
      <c r="E706" s="86" t="n"/>
      <c r="F706" s="85" t="n"/>
      <c r="G706" s="85" t="n"/>
    </row>
    <row r="707" ht="13.5" customHeight="1" s="453">
      <c r="D707" s="11" t="n"/>
      <c r="E707" s="86" t="n"/>
      <c r="F707" s="85" t="n"/>
      <c r="G707" s="85" t="n"/>
    </row>
    <row r="708" ht="13.5" customHeight="1" s="453">
      <c r="D708" s="11" t="n"/>
      <c r="E708" s="86" t="n"/>
      <c r="F708" s="85" t="n"/>
      <c r="G708" s="85" t="n"/>
    </row>
    <row r="709" ht="13.5" customHeight="1" s="453">
      <c r="D709" s="11" t="n"/>
      <c r="E709" s="86" t="n"/>
      <c r="F709" s="85" t="n"/>
      <c r="G709" s="85" t="n"/>
    </row>
    <row r="710" ht="13.5" customHeight="1" s="453">
      <c r="D710" s="11" t="n"/>
      <c r="E710" s="86" t="n"/>
      <c r="F710" s="85" t="n"/>
      <c r="G710" s="85" t="n"/>
    </row>
    <row r="711" ht="13.5" customHeight="1" s="453">
      <c r="D711" s="11" t="n"/>
      <c r="E711" s="86" t="n"/>
      <c r="F711" s="85" t="n"/>
      <c r="G711" s="85" t="n"/>
    </row>
    <row r="712" ht="13.5" customHeight="1" s="453">
      <c r="D712" s="11" t="n"/>
      <c r="E712" s="86" t="n"/>
      <c r="F712" s="85" t="n"/>
      <c r="G712" s="85" t="n"/>
    </row>
    <row r="713" ht="13.5" customHeight="1" s="453">
      <c r="D713" s="11" t="n"/>
      <c r="E713" s="86" t="n"/>
      <c r="F713" s="85" t="n"/>
      <c r="G713" s="85" t="n"/>
    </row>
    <row r="714" ht="13.5" customHeight="1" s="453">
      <c r="D714" s="11" t="n"/>
      <c r="E714" s="86" t="n"/>
      <c r="F714" s="85" t="n"/>
      <c r="G714" s="85" t="n"/>
    </row>
    <row r="715" ht="13.5" customHeight="1" s="453">
      <c r="D715" s="11" t="n"/>
      <c r="E715" s="86" t="n"/>
      <c r="F715" s="85" t="n"/>
      <c r="G715" s="85" t="n"/>
    </row>
    <row r="716" ht="13.5" customHeight="1" s="453">
      <c r="D716" s="11" t="n"/>
      <c r="E716" s="86" t="n"/>
      <c r="F716" s="85" t="n"/>
      <c r="G716" s="85" t="n"/>
    </row>
    <row r="717" ht="13.5" customHeight="1" s="453">
      <c r="D717" s="11" t="n"/>
      <c r="E717" s="86" t="n"/>
      <c r="F717" s="85" t="n"/>
      <c r="G717" s="85" t="n"/>
    </row>
    <row r="718" ht="13.5" customHeight="1" s="453">
      <c r="D718" s="11" t="n"/>
      <c r="E718" s="86" t="n"/>
      <c r="F718" s="85" t="n"/>
      <c r="G718" s="85" t="n"/>
    </row>
    <row r="719" ht="13.5" customHeight="1" s="453">
      <c r="D719" s="11" t="n"/>
      <c r="E719" s="86" t="n"/>
      <c r="F719" s="85" t="n"/>
      <c r="G719" s="85" t="n"/>
    </row>
    <row r="720" ht="13.5" customHeight="1" s="453">
      <c r="D720" s="11" t="n"/>
      <c r="E720" s="86" t="n"/>
      <c r="F720" s="85" t="n"/>
      <c r="G720" s="85" t="n"/>
    </row>
    <row r="721" ht="13.5" customHeight="1" s="453">
      <c r="D721" s="11" t="n"/>
      <c r="E721" s="86" t="n"/>
      <c r="F721" s="85" t="n"/>
      <c r="G721" s="85" t="n"/>
    </row>
    <row r="722" ht="13.5" customHeight="1" s="453">
      <c r="D722" s="11" t="n"/>
      <c r="E722" s="86" t="n"/>
      <c r="F722" s="85" t="n"/>
      <c r="G722" s="85" t="n"/>
    </row>
    <row r="723" ht="13.5" customHeight="1" s="453">
      <c r="D723" s="11" t="n"/>
      <c r="E723" s="86" t="n"/>
      <c r="F723" s="85" t="n"/>
      <c r="G723" s="85" t="n"/>
    </row>
    <row r="724" ht="13.5" customHeight="1" s="453">
      <c r="D724" s="11" t="n"/>
      <c r="E724" s="86" t="n"/>
      <c r="F724" s="85" t="n"/>
      <c r="G724" s="85" t="n"/>
    </row>
    <row r="725" ht="13.5" customHeight="1" s="453">
      <c r="D725" s="11" t="n"/>
      <c r="E725" s="86" t="n"/>
      <c r="F725" s="85" t="n"/>
      <c r="G725" s="85" t="n"/>
    </row>
    <row r="726" ht="13.5" customHeight="1" s="453">
      <c r="D726" s="11" t="n"/>
      <c r="E726" s="86" t="n"/>
      <c r="F726" s="85" t="n"/>
      <c r="G726" s="85" t="n"/>
    </row>
    <row r="727" ht="13.5" customHeight="1" s="453">
      <c r="D727" s="11" t="n"/>
      <c r="E727" s="86" t="n"/>
      <c r="F727" s="85" t="n"/>
      <c r="G727" s="85" t="n"/>
    </row>
    <row r="728" ht="13.5" customHeight="1" s="453">
      <c r="D728" s="11" t="n"/>
      <c r="E728" s="86" t="n"/>
      <c r="F728" s="85" t="n"/>
      <c r="G728" s="85" t="n"/>
    </row>
    <row r="729" ht="13.5" customHeight="1" s="453">
      <c r="D729" s="11" t="n"/>
      <c r="E729" s="86" t="n"/>
      <c r="F729" s="85" t="n"/>
      <c r="G729" s="85" t="n"/>
    </row>
    <row r="730" ht="13.5" customHeight="1" s="453">
      <c r="D730" s="11" t="n"/>
      <c r="E730" s="86" t="n"/>
      <c r="F730" s="85" t="n"/>
      <c r="G730" s="85" t="n"/>
    </row>
    <row r="731" ht="13.5" customHeight="1" s="453">
      <c r="D731" s="11" t="n"/>
      <c r="E731" s="86" t="n"/>
      <c r="F731" s="85" t="n"/>
      <c r="G731" s="85" t="n"/>
    </row>
    <row r="732" ht="13.5" customHeight="1" s="453">
      <c r="D732" s="11" t="n"/>
      <c r="E732" s="86" t="n"/>
      <c r="F732" s="85" t="n"/>
      <c r="G732" s="85" t="n"/>
    </row>
    <row r="733" ht="13.5" customHeight="1" s="453">
      <c r="D733" s="11" t="n"/>
      <c r="E733" s="86" t="n"/>
      <c r="F733" s="85" t="n"/>
      <c r="G733" s="85" t="n"/>
    </row>
    <row r="734" ht="13.5" customHeight="1" s="453">
      <c r="D734" s="11" t="n"/>
      <c r="E734" s="86" t="n"/>
      <c r="F734" s="85" t="n"/>
      <c r="G734" s="85" t="n"/>
    </row>
    <row r="735" ht="13.5" customHeight="1" s="453">
      <c r="D735" s="11" t="n"/>
      <c r="E735" s="86" t="n"/>
      <c r="F735" s="85" t="n"/>
      <c r="G735" s="85" t="n"/>
    </row>
    <row r="736" ht="13.5" customHeight="1" s="453">
      <c r="D736" s="11" t="n"/>
      <c r="E736" s="86" t="n"/>
      <c r="F736" s="85" t="n"/>
      <c r="G736" s="85" t="n"/>
    </row>
    <row r="737" ht="13.5" customHeight="1" s="453">
      <c r="D737" s="11" t="n"/>
      <c r="E737" s="86" t="n"/>
      <c r="F737" s="85" t="n"/>
      <c r="G737" s="85" t="n"/>
    </row>
    <row r="738" ht="13.5" customHeight="1" s="453">
      <c r="D738" s="11" t="n"/>
      <c r="E738" s="86" t="n"/>
      <c r="F738" s="85" t="n"/>
      <c r="G738" s="85" t="n"/>
    </row>
    <row r="739" ht="13.5" customHeight="1" s="453">
      <c r="D739" s="11" t="n"/>
      <c r="E739" s="86" t="n"/>
      <c r="F739" s="85" t="n"/>
      <c r="G739" s="85" t="n"/>
    </row>
    <row r="740" ht="13.5" customHeight="1" s="453">
      <c r="D740" s="11" t="n"/>
      <c r="E740" s="86" t="n"/>
      <c r="F740" s="85" t="n"/>
      <c r="G740" s="85" t="n"/>
    </row>
    <row r="741" ht="13.5" customHeight="1" s="453">
      <c r="D741" s="11" t="n"/>
      <c r="E741" s="86" t="n"/>
      <c r="F741" s="85" t="n"/>
      <c r="G741" s="85" t="n"/>
    </row>
    <row r="742" ht="13.5" customHeight="1" s="453">
      <c r="D742" s="11" t="n"/>
      <c r="E742" s="86" t="n"/>
      <c r="F742" s="85" t="n"/>
      <c r="G742" s="85" t="n"/>
    </row>
    <row r="743" ht="13.5" customHeight="1" s="453">
      <c r="D743" s="11" t="n"/>
      <c r="E743" s="86" t="n"/>
      <c r="F743" s="85" t="n"/>
      <c r="G743" s="85" t="n"/>
    </row>
    <row r="744" ht="13.5" customHeight="1" s="453">
      <c r="D744" s="11" t="n"/>
      <c r="E744" s="86" t="n"/>
      <c r="F744" s="85" t="n"/>
      <c r="G744" s="85" t="n"/>
    </row>
    <row r="745" ht="13.5" customHeight="1" s="453">
      <c r="D745" s="11" t="n"/>
      <c r="E745" s="86" t="n"/>
      <c r="F745" s="85" t="n"/>
      <c r="G745" s="85" t="n"/>
    </row>
    <row r="746" ht="13.5" customHeight="1" s="453">
      <c r="D746" s="11" t="n"/>
      <c r="E746" s="86" t="n"/>
      <c r="F746" s="85" t="n"/>
      <c r="G746" s="85" t="n"/>
    </row>
    <row r="747" ht="13.5" customHeight="1" s="453">
      <c r="D747" s="11" t="n"/>
      <c r="E747" s="86" t="n"/>
      <c r="F747" s="85" t="n"/>
      <c r="G747" s="85" t="n"/>
    </row>
    <row r="748" ht="13.5" customHeight="1" s="453">
      <c r="D748" s="11" t="n"/>
      <c r="E748" s="86" t="n"/>
      <c r="F748" s="85" t="n"/>
      <c r="G748" s="85" t="n"/>
    </row>
    <row r="749" ht="13.5" customHeight="1" s="453">
      <c r="D749" s="11" t="n"/>
      <c r="E749" s="86" t="n"/>
      <c r="F749" s="85" t="n"/>
      <c r="G749" s="85" t="n"/>
    </row>
    <row r="750" ht="13.5" customHeight="1" s="453">
      <c r="D750" s="11" t="n"/>
      <c r="E750" s="86" t="n"/>
      <c r="F750" s="85" t="n"/>
      <c r="G750" s="85" t="n"/>
    </row>
    <row r="751" ht="13.5" customHeight="1" s="453">
      <c r="D751" s="11" t="n"/>
      <c r="E751" s="86" t="n"/>
      <c r="F751" s="85" t="n"/>
      <c r="G751" s="85" t="n"/>
    </row>
    <row r="752" ht="13.5" customHeight="1" s="453">
      <c r="D752" s="11" t="n"/>
      <c r="E752" s="86" t="n"/>
      <c r="F752" s="85" t="n"/>
      <c r="G752" s="85" t="n"/>
    </row>
    <row r="753" ht="13.5" customHeight="1" s="453">
      <c r="D753" s="11" t="n"/>
      <c r="E753" s="86" t="n"/>
      <c r="F753" s="85" t="n"/>
      <c r="G753" s="85" t="n"/>
    </row>
    <row r="754" ht="13.5" customHeight="1" s="453">
      <c r="D754" s="11" t="n"/>
      <c r="E754" s="86" t="n"/>
      <c r="F754" s="85" t="n"/>
      <c r="G754" s="85" t="n"/>
    </row>
    <row r="755" ht="13.5" customHeight="1" s="453">
      <c r="D755" s="11" t="n"/>
      <c r="E755" s="86" t="n"/>
      <c r="F755" s="85" t="n"/>
      <c r="G755" s="85" t="n"/>
    </row>
    <row r="756" ht="13.5" customHeight="1" s="453">
      <c r="D756" s="11" t="n"/>
      <c r="E756" s="86" t="n"/>
      <c r="F756" s="85" t="n"/>
      <c r="G756" s="85" t="n"/>
    </row>
    <row r="757" ht="13.5" customHeight="1" s="453">
      <c r="D757" s="11" t="n"/>
      <c r="E757" s="86" t="n"/>
      <c r="F757" s="85" t="n"/>
      <c r="G757" s="85" t="n"/>
    </row>
    <row r="758" ht="13.5" customHeight="1" s="453">
      <c r="D758" s="11" t="n"/>
      <c r="E758" s="86" t="n"/>
      <c r="F758" s="85" t="n"/>
      <c r="G758" s="85" t="n"/>
    </row>
    <row r="759" ht="13.5" customHeight="1" s="453">
      <c r="D759" s="11" t="n"/>
      <c r="E759" s="86" t="n"/>
      <c r="F759" s="85" t="n"/>
      <c r="G759" s="85" t="n"/>
    </row>
    <row r="760" ht="13.5" customHeight="1" s="453">
      <c r="D760" s="11" t="n"/>
      <c r="E760" s="86" t="n"/>
      <c r="F760" s="85" t="n"/>
      <c r="G760" s="85" t="n"/>
    </row>
    <row r="761" ht="13.5" customHeight="1" s="453">
      <c r="D761" s="11" t="n"/>
      <c r="E761" s="86" t="n"/>
      <c r="F761" s="85" t="n"/>
      <c r="G761" s="85" t="n"/>
    </row>
    <row r="762" ht="13.5" customHeight="1" s="453">
      <c r="D762" s="11" t="n"/>
      <c r="E762" s="86" t="n"/>
      <c r="F762" s="85" t="n"/>
      <c r="G762" s="85" t="n"/>
    </row>
    <row r="763" ht="13.5" customHeight="1" s="453">
      <c r="D763" s="11" t="n"/>
      <c r="E763" s="86" t="n"/>
      <c r="F763" s="85" t="n"/>
      <c r="G763" s="85" t="n"/>
    </row>
    <row r="764" ht="13.5" customHeight="1" s="453">
      <c r="D764" s="11" t="n"/>
      <c r="E764" s="86" t="n"/>
      <c r="F764" s="85" t="n"/>
      <c r="G764" s="85" t="n"/>
    </row>
    <row r="765" ht="13.5" customHeight="1" s="453">
      <c r="D765" s="11" t="n"/>
      <c r="E765" s="86" t="n"/>
      <c r="F765" s="85" t="n"/>
      <c r="G765" s="85" t="n"/>
    </row>
    <row r="766" ht="13.5" customHeight="1" s="453">
      <c r="D766" s="11" t="n"/>
      <c r="E766" s="86" t="n"/>
      <c r="F766" s="85" t="n"/>
      <c r="G766" s="85" t="n"/>
    </row>
    <row r="767" ht="13.5" customHeight="1" s="453">
      <c r="D767" s="11" t="n"/>
      <c r="E767" s="86" t="n"/>
      <c r="F767" s="85" t="n"/>
      <c r="G767" s="85" t="n"/>
    </row>
    <row r="768" ht="13.5" customHeight="1" s="453">
      <c r="D768" s="11" t="n"/>
      <c r="E768" s="86" t="n"/>
      <c r="F768" s="85" t="n"/>
      <c r="G768" s="85" t="n"/>
    </row>
    <row r="769" ht="13.5" customHeight="1" s="453">
      <c r="D769" s="11" t="n"/>
      <c r="E769" s="86" t="n"/>
      <c r="F769" s="85" t="n"/>
      <c r="G769" s="85" t="n"/>
    </row>
    <row r="770" ht="13.5" customHeight="1" s="453">
      <c r="D770" s="11" t="n"/>
      <c r="E770" s="86" t="n"/>
      <c r="F770" s="85" t="n"/>
      <c r="G770" s="85" t="n"/>
    </row>
    <row r="771" ht="13.5" customHeight="1" s="453">
      <c r="D771" s="11" t="n"/>
      <c r="E771" s="86" t="n"/>
      <c r="F771" s="85" t="n"/>
      <c r="G771" s="85" t="n"/>
    </row>
    <row r="772" ht="13.5" customHeight="1" s="453">
      <c r="D772" s="11" t="n"/>
      <c r="E772" s="86" t="n"/>
      <c r="F772" s="85" t="n"/>
      <c r="G772" s="85" t="n"/>
    </row>
    <row r="773" ht="13.5" customHeight="1" s="453">
      <c r="D773" s="11" t="n"/>
      <c r="E773" s="86" t="n"/>
      <c r="F773" s="85" t="n"/>
      <c r="G773" s="85" t="n"/>
    </row>
    <row r="774" ht="13.5" customHeight="1" s="453">
      <c r="D774" s="11" t="n"/>
      <c r="E774" s="86" t="n"/>
      <c r="F774" s="85" t="n"/>
      <c r="G774" s="85" t="n"/>
    </row>
    <row r="775" ht="13.5" customHeight="1" s="453">
      <c r="D775" s="11" t="n"/>
      <c r="E775" s="86" t="n"/>
      <c r="F775" s="85" t="n"/>
      <c r="G775" s="85" t="n"/>
    </row>
    <row r="776" ht="13.5" customHeight="1" s="453">
      <c r="D776" s="11" t="n"/>
      <c r="E776" s="86" t="n"/>
      <c r="F776" s="85" t="n"/>
      <c r="G776" s="85" t="n"/>
    </row>
    <row r="777" ht="13.5" customHeight="1" s="453">
      <c r="D777" s="11" t="n"/>
      <c r="E777" s="86" t="n"/>
      <c r="F777" s="85" t="n"/>
      <c r="G777" s="85" t="n"/>
    </row>
    <row r="778" ht="13.5" customHeight="1" s="453">
      <c r="D778" s="11" t="n"/>
      <c r="E778" s="86" t="n"/>
      <c r="F778" s="85" t="n"/>
      <c r="G778" s="85" t="n"/>
    </row>
    <row r="779" ht="13.5" customHeight="1" s="453">
      <c r="D779" s="11" t="n"/>
      <c r="E779" s="86" t="n"/>
      <c r="F779" s="85" t="n"/>
      <c r="G779" s="85" t="n"/>
    </row>
    <row r="780" ht="13.5" customHeight="1" s="453">
      <c r="D780" s="11" t="n"/>
      <c r="E780" s="86" t="n"/>
      <c r="F780" s="85" t="n"/>
      <c r="G780" s="85" t="n"/>
    </row>
    <row r="781" ht="13.5" customHeight="1" s="453">
      <c r="D781" s="11" t="n"/>
      <c r="E781" s="86" t="n"/>
      <c r="F781" s="85" t="n"/>
      <c r="G781" s="85" t="n"/>
    </row>
    <row r="782" ht="13.5" customHeight="1" s="453">
      <c r="D782" s="11" t="n"/>
      <c r="E782" s="86" t="n"/>
      <c r="F782" s="85" t="n"/>
      <c r="G782" s="85" t="n"/>
    </row>
    <row r="783" ht="13.5" customHeight="1" s="453">
      <c r="D783" s="11" t="n"/>
      <c r="E783" s="86" t="n"/>
      <c r="F783" s="85" t="n"/>
      <c r="G783" s="85" t="n"/>
    </row>
    <row r="784" ht="13.5" customHeight="1" s="453">
      <c r="D784" s="11" t="n"/>
      <c r="E784" s="86" t="n"/>
      <c r="F784" s="85" t="n"/>
      <c r="G784" s="85" t="n"/>
    </row>
    <row r="785" ht="13.5" customHeight="1" s="453">
      <c r="D785" s="11" t="n"/>
      <c r="E785" s="86" t="n"/>
      <c r="F785" s="85" t="n"/>
      <c r="G785" s="85" t="n"/>
    </row>
    <row r="786" ht="13.5" customHeight="1" s="453">
      <c r="D786" s="11" t="n"/>
      <c r="E786" s="86" t="n"/>
      <c r="F786" s="85" t="n"/>
      <c r="G786" s="85" t="n"/>
    </row>
    <row r="787" ht="13.5" customHeight="1" s="453">
      <c r="D787" s="11" t="n"/>
      <c r="E787" s="86" t="n"/>
      <c r="F787" s="85" t="n"/>
      <c r="G787" s="85" t="n"/>
    </row>
    <row r="788" ht="13.5" customHeight="1" s="453">
      <c r="D788" s="11" t="n"/>
      <c r="E788" s="86" t="n"/>
      <c r="F788" s="85" t="n"/>
      <c r="G788" s="85" t="n"/>
    </row>
    <row r="789" ht="13.5" customHeight="1" s="453">
      <c r="D789" s="11" t="n"/>
      <c r="E789" s="86" t="n"/>
      <c r="F789" s="85" t="n"/>
      <c r="G789" s="85" t="n"/>
    </row>
    <row r="790" ht="13.5" customHeight="1" s="453">
      <c r="D790" s="11" t="n"/>
      <c r="E790" s="86" t="n"/>
      <c r="F790" s="85" t="n"/>
      <c r="G790" s="85" t="n"/>
    </row>
    <row r="791" ht="13.5" customHeight="1" s="453">
      <c r="D791" s="11" t="n"/>
      <c r="E791" s="86" t="n"/>
      <c r="F791" s="85" t="n"/>
      <c r="G791" s="85" t="n"/>
    </row>
    <row r="792" ht="13.5" customHeight="1" s="453">
      <c r="D792" s="11" t="n"/>
      <c r="E792" s="86" t="n"/>
      <c r="F792" s="85" t="n"/>
      <c r="G792" s="85" t="n"/>
    </row>
    <row r="793" ht="13.5" customHeight="1" s="453">
      <c r="D793" s="11" t="n"/>
      <c r="E793" s="86" t="n"/>
      <c r="F793" s="85" t="n"/>
      <c r="G793" s="85" t="n"/>
    </row>
    <row r="794" ht="13.5" customHeight="1" s="453">
      <c r="D794" s="11" t="n"/>
      <c r="E794" s="86" t="n"/>
      <c r="F794" s="85" t="n"/>
      <c r="G794" s="85" t="n"/>
    </row>
    <row r="795" ht="13.5" customHeight="1" s="453">
      <c r="D795" s="11" t="n"/>
      <c r="E795" s="86" t="n"/>
      <c r="F795" s="85" t="n"/>
      <c r="G795" s="85" t="n"/>
    </row>
    <row r="796" ht="13.5" customHeight="1" s="453">
      <c r="D796" s="11" t="n"/>
      <c r="E796" s="86" t="n"/>
      <c r="F796" s="85" t="n"/>
      <c r="G796" s="85" t="n"/>
    </row>
    <row r="797" ht="13.5" customHeight="1" s="453">
      <c r="D797" s="11" t="n"/>
      <c r="E797" s="86" t="n"/>
      <c r="F797" s="85" t="n"/>
      <c r="G797" s="85" t="n"/>
    </row>
    <row r="798" ht="13.5" customHeight="1" s="453">
      <c r="D798" s="11" t="n"/>
      <c r="E798" s="86" t="n"/>
      <c r="F798" s="85" t="n"/>
      <c r="G798" s="85" t="n"/>
    </row>
    <row r="799" ht="13.5" customHeight="1" s="453">
      <c r="D799" s="11" t="n"/>
      <c r="E799" s="86" t="n"/>
      <c r="F799" s="85" t="n"/>
      <c r="G799" s="85" t="n"/>
    </row>
    <row r="800" ht="13.5" customHeight="1" s="453">
      <c r="D800" s="11" t="n"/>
      <c r="E800" s="86" t="n"/>
      <c r="F800" s="85" t="n"/>
      <c r="G800" s="85" t="n"/>
    </row>
    <row r="801" ht="13.5" customHeight="1" s="453">
      <c r="D801" s="11" t="n"/>
      <c r="E801" s="86" t="n"/>
      <c r="F801" s="85" t="n"/>
      <c r="G801" s="85" t="n"/>
    </row>
    <row r="802" ht="13.5" customHeight="1" s="453">
      <c r="D802" s="11" t="n"/>
      <c r="E802" s="86" t="n"/>
      <c r="F802" s="85" t="n"/>
      <c r="G802" s="85" t="n"/>
    </row>
    <row r="803" ht="13.5" customHeight="1" s="453">
      <c r="D803" s="11" t="n"/>
      <c r="E803" s="86" t="n"/>
      <c r="F803" s="85" t="n"/>
      <c r="G803" s="85" t="n"/>
    </row>
    <row r="804" ht="13.5" customHeight="1" s="453">
      <c r="D804" s="11" t="n"/>
      <c r="E804" s="86" t="n"/>
      <c r="F804" s="85" t="n"/>
      <c r="G804" s="85" t="n"/>
    </row>
    <row r="805" ht="13.5" customHeight="1" s="453">
      <c r="D805" s="11" t="n"/>
      <c r="E805" s="86" t="n"/>
      <c r="F805" s="85" t="n"/>
      <c r="G805" s="85" t="n"/>
    </row>
    <row r="806" ht="13.5" customHeight="1" s="453">
      <c r="D806" s="11" t="n"/>
      <c r="E806" s="86" t="n"/>
      <c r="F806" s="85" t="n"/>
      <c r="G806" s="85" t="n"/>
    </row>
    <row r="807" ht="13.5" customHeight="1" s="453">
      <c r="D807" s="11" t="n"/>
      <c r="E807" s="86" t="n"/>
      <c r="F807" s="85" t="n"/>
      <c r="G807" s="85" t="n"/>
    </row>
    <row r="808" ht="13.5" customHeight="1" s="453">
      <c r="D808" s="11" t="n"/>
      <c r="E808" s="86" t="n"/>
      <c r="F808" s="85" t="n"/>
      <c r="G808" s="85" t="n"/>
    </row>
    <row r="809" ht="13.5" customHeight="1" s="453">
      <c r="D809" s="11" t="n"/>
      <c r="E809" s="86" t="n"/>
      <c r="F809" s="85" t="n"/>
      <c r="G809" s="85" t="n"/>
    </row>
    <row r="810" ht="13.5" customHeight="1" s="453">
      <c r="D810" s="11" t="n"/>
      <c r="E810" s="86" t="n"/>
      <c r="F810" s="85" t="n"/>
      <c r="G810" s="85" t="n"/>
    </row>
    <row r="811" ht="13.5" customHeight="1" s="453">
      <c r="D811" s="11" t="n"/>
      <c r="E811" s="86" t="n"/>
      <c r="F811" s="85" t="n"/>
      <c r="G811" s="85" t="n"/>
    </row>
    <row r="812" ht="13.5" customHeight="1" s="453">
      <c r="D812" s="11" t="n"/>
      <c r="E812" s="86" t="n"/>
      <c r="F812" s="85" t="n"/>
      <c r="G812" s="85" t="n"/>
    </row>
    <row r="813" ht="13.5" customHeight="1" s="453">
      <c r="D813" s="11" t="n"/>
      <c r="E813" s="86" t="n"/>
      <c r="F813" s="85" t="n"/>
      <c r="G813" s="85" t="n"/>
    </row>
    <row r="814" ht="13.5" customHeight="1" s="453">
      <c r="D814" s="11" t="n"/>
      <c r="E814" s="86" t="n"/>
      <c r="F814" s="85" t="n"/>
      <c r="G814" s="85" t="n"/>
    </row>
    <row r="815" ht="13.5" customHeight="1" s="453">
      <c r="D815" s="11" t="n"/>
      <c r="E815" s="86" t="n"/>
      <c r="F815" s="85" t="n"/>
      <c r="G815" s="85" t="n"/>
    </row>
    <row r="816" ht="13.5" customHeight="1" s="453">
      <c r="D816" s="11" t="n"/>
      <c r="E816" s="86" t="n"/>
      <c r="F816" s="85" t="n"/>
      <c r="G816" s="85" t="n"/>
    </row>
    <row r="817" ht="13.5" customHeight="1" s="453">
      <c r="D817" s="11" t="n"/>
      <c r="E817" s="86" t="n"/>
      <c r="F817" s="85" t="n"/>
      <c r="G817" s="85" t="n"/>
    </row>
    <row r="818" ht="13.5" customHeight="1" s="453">
      <c r="D818" s="11" t="n"/>
      <c r="E818" s="86" t="n"/>
      <c r="F818" s="85" t="n"/>
      <c r="G818" s="85" t="n"/>
    </row>
    <row r="819" ht="13.5" customHeight="1" s="453">
      <c r="D819" s="11" t="n"/>
      <c r="E819" s="86" t="n"/>
      <c r="F819" s="85" t="n"/>
      <c r="G819" s="85" t="n"/>
    </row>
    <row r="820" ht="13.5" customHeight="1" s="453">
      <c r="D820" s="11" t="n"/>
      <c r="E820" s="86" t="n"/>
      <c r="F820" s="85" t="n"/>
      <c r="G820" s="85" t="n"/>
    </row>
    <row r="821" ht="13.5" customHeight="1" s="453">
      <c r="D821" s="11" t="n"/>
      <c r="E821" s="86" t="n"/>
      <c r="F821" s="85" t="n"/>
      <c r="G821" s="85" t="n"/>
    </row>
    <row r="822" ht="13.5" customHeight="1" s="453">
      <c r="D822" s="11" t="n"/>
      <c r="E822" s="86" t="n"/>
      <c r="F822" s="85" t="n"/>
      <c r="G822" s="85" t="n"/>
    </row>
    <row r="823" ht="13.5" customHeight="1" s="453">
      <c r="D823" s="11" t="n"/>
      <c r="E823" s="86" t="n"/>
      <c r="F823" s="85" t="n"/>
      <c r="G823" s="85" t="n"/>
    </row>
    <row r="824" ht="13.5" customHeight="1" s="453">
      <c r="D824" s="11" t="n"/>
      <c r="E824" s="86" t="n"/>
      <c r="F824" s="85" t="n"/>
      <c r="G824" s="85" t="n"/>
    </row>
    <row r="825" ht="13.5" customHeight="1" s="453">
      <c r="D825" s="11" t="n"/>
      <c r="E825" s="86" t="n"/>
      <c r="F825" s="85" t="n"/>
      <c r="G825" s="85" t="n"/>
    </row>
    <row r="826" ht="13.5" customHeight="1" s="453">
      <c r="D826" s="11" t="n"/>
      <c r="E826" s="86" t="n"/>
      <c r="F826" s="85" t="n"/>
      <c r="G826" s="85" t="n"/>
    </row>
    <row r="827" ht="13.5" customHeight="1" s="453">
      <c r="D827" s="11" t="n"/>
      <c r="E827" s="86" t="n"/>
      <c r="F827" s="85" t="n"/>
      <c r="G827" s="85" t="n"/>
    </row>
    <row r="828" ht="13.5" customHeight="1" s="453">
      <c r="D828" s="11" t="n"/>
      <c r="E828" s="86" t="n"/>
      <c r="F828" s="85" t="n"/>
      <c r="G828" s="85" t="n"/>
    </row>
    <row r="829" ht="13.5" customHeight="1" s="453">
      <c r="D829" s="11" t="n"/>
      <c r="E829" s="86" t="n"/>
      <c r="F829" s="85" t="n"/>
      <c r="G829" s="85" t="n"/>
    </row>
    <row r="830" ht="13.5" customHeight="1" s="453">
      <c r="D830" s="11" t="n"/>
      <c r="E830" s="86" t="n"/>
      <c r="F830" s="85" t="n"/>
      <c r="G830" s="85" t="n"/>
    </row>
    <row r="831" ht="13.5" customHeight="1" s="453">
      <c r="D831" s="11" t="n"/>
      <c r="E831" s="86" t="n"/>
      <c r="F831" s="85" t="n"/>
      <c r="G831" s="85" t="n"/>
    </row>
    <row r="832" ht="13.5" customHeight="1" s="453">
      <c r="D832" s="11" t="n"/>
      <c r="E832" s="86" t="n"/>
      <c r="F832" s="85" t="n"/>
      <c r="G832" s="85" t="n"/>
    </row>
    <row r="833" ht="13.5" customHeight="1" s="453">
      <c r="D833" s="11" t="n"/>
      <c r="E833" s="86" t="n"/>
      <c r="F833" s="85" t="n"/>
      <c r="G833" s="85" t="n"/>
    </row>
    <row r="834" ht="13.5" customHeight="1" s="453">
      <c r="D834" s="11" t="n"/>
      <c r="E834" s="86" t="n"/>
      <c r="F834" s="85" t="n"/>
      <c r="G834" s="85" t="n"/>
    </row>
    <row r="835" ht="13.5" customHeight="1" s="453">
      <c r="D835" s="11" t="n"/>
      <c r="E835" s="86" t="n"/>
      <c r="F835" s="85" t="n"/>
      <c r="G835" s="85" t="n"/>
    </row>
    <row r="836" ht="13.5" customHeight="1" s="453">
      <c r="D836" s="11" t="n"/>
      <c r="E836" s="86" t="n"/>
      <c r="F836" s="85" t="n"/>
      <c r="G836" s="85" t="n"/>
    </row>
    <row r="837" ht="13.5" customHeight="1" s="453">
      <c r="D837" s="11" t="n"/>
      <c r="E837" s="86" t="n"/>
      <c r="F837" s="85" t="n"/>
      <c r="G837" s="85" t="n"/>
    </row>
    <row r="838" ht="13.5" customHeight="1" s="453">
      <c r="D838" s="11" t="n"/>
      <c r="E838" s="86" t="n"/>
      <c r="F838" s="85" t="n"/>
      <c r="G838" s="85" t="n"/>
    </row>
    <row r="839" ht="13.5" customHeight="1" s="453">
      <c r="D839" s="11" t="n"/>
      <c r="E839" s="86" t="n"/>
      <c r="F839" s="85" t="n"/>
      <c r="G839" s="85" t="n"/>
    </row>
    <row r="840" ht="13.5" customHeight="1" s="453">
      <c r="D840" s="11" t="n"/>
      <c r="E840" s="86" t="n"/>
      <c r="F840" s="85" t="n"/>
      <c r="G840" s="85" t="n"/>
    </row>
    <row r="841" ht="13.5" customHeight="1" s="453">
      <c r="D841" s="11" t="n"/>
      <c r="E841" s="86" t="n"/>
      <c r="F841" s="85" t="n"/>
      <c r="G841" s="85" t="n"/>
    </row>
    <row r="842" ht="13.5" customHeight="1" s="453">
      <c r="D842" s="11" t="n"/>
      <c r="E842" s="86" t="n"/>
      <c r="F842" s="85" t="n"/>
      <c r="G842" s="85" t="n"/>
    </row>
    <row r="843" ht="13.5" customHeight="1" s="453">
      <c r="D843" s="11" t="n"/>
      <c r="E843" s="86" t="n"/>
      <c r="F843" s="85" t="n"/>
      <c r="G843" s="85" t="n"/>
    </row>
    <row r="844" ht="13.5" customHeight="1" s="453">
      <c r="D844" s="11" t="n"/>
      <c r="E844" s="86" t="n"/>
      <c r="F844" s="85" t="n"/>
      <c r="G844" s="85" t="n"/>
    </row>
    <row r="845" ht="13.5" customHeight="1" s="453">
      <c r="D845" s="11" t="n"/>
      <c r="E845" s="86" t="n"/>
      <c r="F845" s="85" t="n"/>
      <c r="G845" s="85" t="n"/>
    </row>
    <row r="846" ht="13.5" customHeight="1" s="453">
      <c r="D846" s="11" t="n"/>
      <c r="E846" s="86" t="n"/>
      <c r="F846" s="85" t="n"/>
      <c r="G846" s="85" t="n"/>
    </row>
    <row r="847" ht="13.5" customHeight="1" s="453">
      <c r="D847" s="11" t="n"/>
      <c r="E847" s="86" t="n"/>
      <c r="F847" s="85" t="n"/>
      <c r="G847" s="85" t="n"/>
    </row>
    <row r="848" ht="13.5" customHeight="1" s="453">
      <c r="D848" s="11" t="n"/>
      <c r="E848" s="86" t="n"/>
      <c r="F848" s="85" t="n"/>
      <c r="G848" s="85" t="n"/>
    </row>
    <row r="849" ht="13.5" customHeight="1" s="453">
      <c r="D849" s="11" t="n"/>
      <c r="E849" s="86" t="n"/>
      <c r="F849" s="85" t="n"/>
      <c r="G849" s="85" t="n"/>
    </row>
    <row r="850" ht="13.5" customHeight="1" s="453">
      <c r="D850" s="11" t="n"/>
      <c r="E850" s="86" t="n"/>
      <c r="F850" s="85" t="n"/>
      <c r="G850" s="85" t="n"/>
    </row>
    <row r="851" ht="13.5" customHeight="1" s="453">
      <c r="D851" s="11" t="n"/>
      <c r="E851" s="86" t="n"/>
      <c r="F851" s="85" t="n"/>
      <c r="G851" s="85" t="n"/>
    </row>
    <row r="852" ht="13.5" customHeight="1" s="453">
      <c r="D852" s="11" t="n"/>
      <c r="E852" s="86" t="n"/>
      <c r="F852" s="85" t="n"/>
      <c r="G852" s="85" t="n"/>
    </row>
    <row r="853" ht="13.5" customHeight="1" s="453">
      <c r="D853" s="11" t="n"/>
      <c r="E853" s="86" t="n"/>
      <c r="F853" s="85" t="n"/>
      <c r="G853" s="85" t="n"/>
    </row>
    <row r="854" ht="13.5" customHeight="1" s="453">
      <c r="D854" s="11" t="n"/>
      <c r="E854" s="86" t="n"/>
      <c r="F854" s="85" t="n"/>
      <c r="G854" s="85" t="n"/>
    </row>
    <row r="855" ht="13.5" customHeight="1" s="453">
      <c r="D855" s="11" t="n"/>
      <c r="E855" s="86" t="n"/>
      <c r="F855" s="85" t="n"/>
      <c r="G855" s="85" t="n"/>
    </row>
    <row r="856" ht="13.5" customHeight="1" s="453">
      <c r="D856" s="11" t="n"/>
      <c r="E856" s="86" t="n"/>
      <c r="F856" s="85" t="n"/>
      <c r="G856" s="85" t="n"/>
    </row>
    <row r="857" ht="13.5" customHeight="1" s="453">
      <c r="D857" s="11" t="n"/>
      <c r="E857" s="86" t="n"/>
      <c r="F857" s="85" t="n"/>
      <c r="G857" s="85" t="n"/>
    </row>
    <row r="858" ht="13.5" customHeight="1" s="453">
      <c r="D858" s="11" t="n"/>
      <c r="E858" s="86" t="n"/>
      <c r="F858" s="85" t="n"/>
      <c r="G858" s="85" t="n"/>
    </row>
    <row r="859" ht="13.5" customHeight="1" s="453">
      <c r="D859" s="11" t="n"/>
      <c r="E859" s="86" t="n"/>
      <c r="F859" s="85" t="n"/>
      <c r="G859" s="85" t="n"/>
    </row>
    <row r="860" ht="13.5" customHeight="1" s="453">
      <c r="D860" s="11" t="n"/>
      <c r="E860" s="86" t="n"/>
      <c r="F860" s="85" t="n"/>
      <c r="G860" s="85" t="n"/>
    </row>
    <row r="861" ht="13.5" customHeight="1" s="453">
      <c r="D861" s="11" t="n"/>
      <c r="E861" s="86" t="n"/>
      <c r="F861" s="85" t="n"/>
      <c r="G861" s="85" t="n"/>
    </row>
    <row r="862" ht="13.5" customHeight="1" s="453">
      <c r="D862" s="11" t="n"/>
      <c r="E862" s="86" t="n"/>
      <c r="F862" s="85" t="n"/>
      <c r="G862" s="85" t="n"/>
    </row>
    <row r="863" ht="13.5" customHeight="1" s="453">
      <c r="D863" s="11" t="n"/>
      <c r="E863" s="86" t="n"/>
      <c r="F863" s="85" t="n"/>
      <c r="G863" s="85" t="n"/>
    </row>
    <row r="864" ht="13.5" customHeight="1" s="453">
      <c r="D864" s="11" t="n"/>
      <c r="E864" s="86" t="n"/>
      <c r="F864" s="85" t="n"/>
      <c r="G864" s="85" t="n"/>
    </row>
    <row r="865" ht="13.5" customHeight="1" s="453">
      <c r="D865" s="11" t="n"/>
      <c r="E865" s="86" t="n"/>
      <c r="F865" s="85" t="n"/>
      <c r="G865" s="85" t="n"/>
    </row>
    <row r="866" ht="13.5" customHeight="1" s="453">
      <c r="D866" s="11" t="n"/>
      <c r="E866" s="86" t="n"/>
      <c r="F866" s="85" t="n"/>
      <c r="G866" s="85" t="n"/>
    </row>
    <row r="867" ht="13.5" customHeight="1" s="453">
      <c r="D867" s="11" t="n"/>
      <c r="E867" s="86" t="n"/>
      <c r="F867" s="85" t="n"/>
      <c r="G867" s="85" t="n"/>
    </row>
    <row r="868" ht="13.5" customHeight="1" s="453">
      <c r="D868" s="11" t="n"/>
      <c r="E868" s="86" t="n"/>
      <c r="F868" s="85" t="n"/>
      <c r="G868" s="85" t="n"/>
    </row>
    <row r="869" ht="13.5" customHeight="1" s="453">
      <c r="D869" s="11" t="n"/>
      <c r="E869" s="86" t="n"/>
      <c r="F869" s="85" t="n"/>
      <c r="G869" s="85" t="n"/>
    </row>
    <row r="870" ht="13.5" customHeight="1" s="453">
      <c r="D870" s="11" t="n"/>
      <c r="E870" s="86" t="n"/>
      <c r="F870" s="85" t="n"/>
      <c r="G870" s="85" t="n"/>
    </row>
    <row r="871" ht="13.5" customHeight="1" s="453">
      <c r="D871" s="11" t="n"/>
      <c r="E871" s="86" t="n"/>
      <c r="F871" s="85" t="n"/>
      <c r="G871" s="85" t="n"/>
    </row>
    <row r="872" ht="13.5" customHeight="1" s="453">
      <c r="D872" s="11" t="n"/>
      <c r="E872" s="86" t="n"/>
      <c r="F872" s="85" t="n"/>
      <c r="G872" s="85" t="n"/>
    </row>
    <row r="873" ht="13.5" customHeight="1" s="453">
      <c r="D873" s="11" t="n"/>
      <c r="E873" s="86" t="n"/>
      <c r="F873" s="85" t="n"/>
      <c r="G873" s="85" t="n"/>
    </row>
    <row r="874" ht="13.5" customHeight="1" s="453">
      <c r="D874" s="11" t="n"/>
      <c r="E874" s="86" t="n"/>
      <c r="F874" s="85" t="n"/>
      <c r="G874" s="85" t="n"/>
    </row>
    <row r="875" ht="13.5" customHeight="1" s="453">
      <c r="D875" s="11" t="n"/>
      <c r="E875" s="86" t="n"/>
      <c r="F875" s="85" t="n"/>
      <c r="G875" s="85" t="n"/>
    </row>
    <row r="876" ht="13.5" customHeight="1" s="453">
      <c r="D876" s="11" t="n"/>
      <c r="E876" s="86" t="n"/>
      <c r="F876" s="85" t="n"/>
      <c r="G876" s="85" t="n"/>
    </row>
    <row r="877" ht="13.5" customHeight="1" s="453">
      <c r="D877" s="11" t="n"/>
      <c r="E877" s="86" t="n"/>
      <c r="F877" s="85" t="n"/>
      <c r="G877" s="85" t="n"/>
    </row>
    <row r="878" ht="13.5" customHeight="1" s="453">
      <c r="D878" s="11" t="n"/>
      <c r="E878" s="86" t="n"/>
      <c r="F878" s="85" t="n"/>
      <c r="G878" s="85" t="n"/>
    </row>
    <row r="879" ht="13.5" customHeight="1" s="453">
      <c r="D879" s="11" t="n"/>
      <c r="E879" s="86" t="n"/>
      <c r="F879" s="85" t="n"/>
      <c r="G879" s="85" t="n"/>
    </row>
    <row r="880" ht="13.5" customHeight="1" s="453">
      <c r="D880" s="11" t="n"/>
      <c r="E880" s="86" t="n"/>
      <c r="F880" s="85" t="n"/>
      <c r="G880" s="85" t="n"/>
    </row>
    <row r="881" ht="13.5" customHeight="1" s="453">
      <c r="D881" s="11" t="n"/>
      <c r="E881" s="86" t="n"/>
      <c r="F881" s="85" t="n"/>
      <c r="G881" s="85" t="n"/>
    </row>
    <row r="882" ht="13.5" customHeight="1" s="453">
      <c r="D882" s="11" t="n"/>
      <c r="E882" s="86" t="n"/>
      <c r="F882" s="85" t="n"/>
      <c r="G882" s="85" t="n"/>
    </row>
    <row r="883" ht="13.5" customHeight="1" s="453">
      <c r="D883" s="11" t="n"/>
      <c r="E883" s="86" t="n"/>
      <c r="F883" s="85" t="n"/>
      <c r="G883" s="85" t="n"/>
    </row>
    <row r="884" ht="13.5" customHeight="1" s="453">
      <c r="D884" s="11" t="n"/>
      <c r="E884" s="86" t="n"/>
      <c r="F884" s="85" t="n"/>
      <c r="G884" s="85" t="n"/>
    </row>
    <row r="885" ht="13.5" customHeight="1" s="453">
      <c r="D885" s="11" t="n"/>
      <c r="E885" s="86" t="n"/>
      <c r="F885" s="85" t="n"/>
      <c r="G885" s="85" t="n"/>
    </row>
    <row r="886" ht="13.5" customHeight="1" s="453">
      <c r="D886" s="11" t="n"/>
      <c r="E886" s="86" t="n"/>
      <c r="F886" s="85" t="n"/>
      <c r="G886" s="85" t="n"/>
    </row>
    <row r="887" ht="13.5" customHeight="1" s="453">
      <c r="D887" s="11" t="n"/>
      <c r="E887" s="86" t="n"/>
      <c r="F887" s="85" t="n"/>
      <c r="G887" s="85" t="n"/>
    </row>
    <row r="888" ht="13.5" customHeight="1" s="453">
      <c r="D888" s="11" t="n"/>
      <c r="E888" s="86" t="n"/>
      <c r="F888" s="85" t="n"/>
      <c r="G888" s="85" t="n"/>
    </row>
    <row r="889" ht="13.5" customHeight="1" s="453">
      <c r="D889" s="11" t="n"/>
      <c r="E889" s="86" t="n"/>
      <c r="F889" s="85" t="n"/>
      <c r="G889" s="85" t="n"/>
    </row>
    <row r="890" ht="13.5" customHeight="1" s="453">
      <c r="D890" s="11" t="n"/>
      <c r="E890" s="86" t="n"/>
      <c r="F890" s="85" t="n"/>
      <c r="G890" s="85" t="n"/>
    </row>
    <row r="891" ht="13.5" customHeight="1" s="453">
      <c r="D891" s="11" t="n"/>
      <c r="E891" s="86" t="n"/>
      <c r="F891" s="85" t="n"/>
      <c r="G891" s="85" t="n"/>
    </row>
    <row r="892" ht="13.5" customHeight="1" s="453">
      <c r="D892" s="11" t="n"/>
      <c r="E892" s="86" t="n"/>
      <c r="F892" s="85" t="n"/>
      <c r="G892" s="85" t="n"/>
    </row>
    <row r="893" ht="13.5" customHeight="1" s="453">
      <c r="D893" s="11" t="n"/>
      <c r="E893" s="86" t="n"/>
      <c r="F893" s="85" t="n"/>
      <c r="G893" s="85" t="n"/>
    </row>
    <row r="894" ht="13.5" customHeight="1" s="453">
      <c r="D894" s="11" t="n"/>
      <c r="E894" s="86" t="n"/>
      <c r="F894" s="85" t="n"/>
      <c r="G894" s="85" t="n"/>
    </row>
    <row r="895" ht="13.5" customHeight="1" s="453">
      <c r="D895" s="11" t="n"/>
      <c r="E895" s="86" t="n"/>
      <c r="F895" s="85" t="n"/>
      <c r="G895" s="85" t="n"/>
    </row>
    <row r="896" ht="13.5" customHeight="1" s="453">
      <c r="D896" s="11" t="n"/>
      <c r="E896" s="86" t="n"/>
      <c r="F896" s="85" t="n"/>
      <c r="G896" s="85" t="n"/>
    </row>
    <row r="897" ht="13.5" customHeight="1" s="453">
      <c r="D897" s="11" t="n"/>
      <c r="E897" s="86" t="n"/>
      <c r="F897" s="85" t="n"/>
      <c r="G897" s="85" t="n"/>
    </row>
    <row r="898" ht="13.5" customHeight="1" s="453">
      <c r="D898" s="11" t="n"/>
      <c r="E898" s="86" t="n"/>
      <c r="F898" s="85" t="n"/>
      <c r="G898" s="85" t="n"/>
    </row>
    <row r="899" ht="13.5" customHeight="1" s="453">
      <c r="D899" s="11" t="n"/>
      <c r="E899" s="86" t="n"/>
      <c r="F899" s="85" t="n"/>
      <c r="G899" s="85" t="n"/>
    </row>
    <row r="900" ht="13.5" customHeight="1" s="453">
      <c r="D900" s="11" t="n"/>
      <c r="E900" s="86" t="n"/>
      <c r="F900" s="85" t="n"/>
      <c r="G900" s="85" t="n"/>
    </row>
    <row r="901" ht="13.5" customHeight="1" s="453">
      <c r="D901" s="11" t="n"/>
      <c r="E901" s="86" t="n"/>
      <c r="F901" s="85" t="n"/>
      <c r="G901" s="85" t="n"/>
    </row>
    <row r="902" ht="13.5" customHeight="1" s="453">
      <c r="D902" s="11" t="n"/>
      <c r="E902" s="86" t="n"/>
      <c r="F902" s="85" t="n"/>
      <c r="G902" s="85" t="n"/>
    </row>
    <row r="903" ht="13.5" customHeight="1" s="453">
      <c r="D903" s="11" t="n"/>
      <c r="E903" s="86" t="n"/>
      <c r="F903" s="85" t="n"/>
      <c r="G903" s="85" t="n"/>
    </row>
    <row r="904" ht="13.5" customHeight="1" s="453">
      <c r="D904" s="11" t="n"/>
      <c r="E904" s="86" t="n"/>
      <c r="F904" s="85" t="n"/>
      <c r="G904" s="85" t="n"/>
    </row>
    <row r="905" ht="13.5" customHeight="1" s="453">
      <c r="D905" s="11" t="n"/>
      <c r="E905" s="86" t="n"/>
      <c r="F905" s="85" t="n"/>
      <c r="G905" s="85" t="n"/>
    </row>
    <row r="906" ht="13.5" customHeight="1" s="453">
      <c r="D906" s="11" t="n"/>
      <c r="E906" s="86" t="n"/>
      <c r="F906" s="85" t="n"/>
      <c r="G906" s="85" t="n"/>
    </row>
    <row r="907" ht="13.5" customHeight="1" s="453">
      <c r="D907" s="11" t="n"/>
      <c r="E907" s="86" t="n"/>
      <c r="F907" s="85" t="n"/>
      <c r="G907" s="85" t="n"/>
    </row>
    <row r="908" ht="13.5" customHeight="1" s="453">
      <c r="D908" s="11" t="n"/>
      <c r="E908" s="86" t="n"/>
      <c r="F908" s="85" t="n"/>
      <c r="G908" s="85" t="n"/>
    </row>
    <row r="909" ht="13.5" customHeight="1" s="453">
      <c r="D909" s="11" t="n"/>
      <c r="E909" s="86" t="n"/>
      <c r="F909" s="85" t="n"/>
      <c r="G909" s="85" t="n"/>
    </row>
    <row r="910" ht="13.5" customHeight="1" s="453">
      <c r="D910" s="11" t="n"/>
      <c r="E910" s="86" t="n"/>
      <c r="F910" s="85" t="n"/>
      <c r="G910" s="85" t="n"/>
    </row>
    <row r="911" ht="13.5" customHeight="1" s="453">
      <c r="D911" s="11" t="n"/>
      <c r="E911" s="86" t="n"/>
      <c r="F911" s="85" t="n"/>
      <c r="G911" s="85" t="n"/>
    </row>
    <row r="912" ht="13.5" customHeight="1" s="453">
      <c r="D912" s="11" t="n"/>
      <c r="E912" s="86" t="n"/>
      <c r="F912" s="85" t="n"/>
      <c r="G912" s="85" t="n"/>
    </row>
    <row r="913" ht="13.5" customHeight="1" s="453">
      <c r="D913" s="11" t="n"/>
      <c r="E913" s="86" t="n"/>
      <c r="F913" s="85" t="n"/>
      <c r="G913" s="85" t="n"/>
    </row>
    <row r="914" ht="13.5" customHeight="1" s="453">
      <c r="D914" s="11" t="n"/>
      <c r="E914" s="86" t="n"/>
      <c r="F914" s="85" t="n"/>
      <c r="G914" s="85" t="n"/>
    </row>
    <row r="915" ht="13.5" customHeight="1" s="453">
      <c r="D915" s="11" t="n"/>
      <c r="E915" s="86" t="n"/>
      <c r="F915" s="85" t="n"/>
      <c r="G915" s="85" t="n"/>
    </row>
    <row r="916" ht="13.5" customHeight="1" s="453">
      <c r="D916" s="11" t="n"/>
      <c r="E916" s="86" t="n"/>
      <c r="F916" s="85" t="n"/>
      <c r="G916" s="85" t="n"/>
    </row>
    <row r="917" ht="13.5" customHeight="1" s="453">
      <c r="D917" s="11" t="n"/>
      <c r="E917" s="86" t="n"/>
      <c r="F917" s="85" t="n"/>
      <c r="G917" s="85" t="n"/>
    </row>
    <row r="918" ht="13.5" customHeight="1" s="453">
      <c r="D918" s="11" t="n"/>
      <c r="E918" s="86" t="n"/>
      <c r="F918" s="85" t="n"/>
      <c r="G918" s="85" t="n"/>
    </row>
    <row r="919" ht="13.5" customHeight="1" s="453">
      <c r="D919" s="11" t="n"/>
      <c r="E919" s="86" t="n"/>
      <c r="F919" s="85" t="n"/>
      <c r="G919" s="85" t="n"/>
    </row>
    <row r="920" ht="13.5" customHeight="1" s="453">
      <c r="D920" s="11" t="n"/>
      <c r="E920" s="86" t="n"/>
      <c r="F920" s="85" t="n"/>
      <c r="G920" s="85" t="n"/>
    </row>
    <row r="921" ht="13.5" customHeight="1" s="453">
      <c r="D921" s="11" t="n"/>
      <c r="E921" s="86" t="n"/>
      <c r="F921" s="85" t="n"/>
      <c r="G921" s="85" t="n"/>
    </row>
    <row r="922" ht="13.5" customHeight="1" s="453">
      <c r="D922" s="11" t="n"/>
      <c r="E922" s="86" t="n"/>
      <c r="F922" s="85" t="n"/>
      <c r="G922" s="85" t="n"/>
    </row>
    <row r="923" ht="13.5" customHeight="1" s="453">
      <c r="D923" s="11" t="n"/>
      <c r="E923" s="86" t="n"/>
      <c r="F923" s="85" t="n"/>
      <c r="G923" s="85" t="n"/>
    </row>
    <row r="924" ht="13.5" customHeight="1" s="453">
      <c r="D924" s="11" t="n"/>
      <c r="E924" s="86" t="n"/>
      <c r="F924" s="85" t="n"/>
      <c r="G924" s="85" t="n"/>
    </row>
    <row r="925" ht="13.5" customHeight="1" s="453">
      <c r="D925" s="11" t="n"/>
      <c r="E925" s="86" t="n"/>
      <c r="F925" s="85" t="n"/>
      <c r="G925" s="85" t="n"/>
    </row>
    <row r="926" ht="13.5" customHeight="1" s="453">
      <c r="D926" s="11" t="n"/>
      <c r="E926" s="86" t="n"/>
      <c r="F926" s="85" t="n"/>
      <c r="G926" s="85" t="n"/>
    </row>
    <row r="927" ht="13.5" customHeight="1" s="453">
      <c r="D927" s="11" t="n"/>
      <c r="E927" s="86" t="n"/>
      <c r="F927" s="85" t="n"/>
      <c r="G927" s="85" t="n"/>
    </row>
    <row r="928" ht="13.5" customHeight="1" s="453">
      <c r="D928" s="11" t="n"/>
      <c r="E928" s="86" t="n"/>
      <c r="F928" s="85" t="n"/>
      <c r="G928" s="85" t="n"/>
    </row>
    <row r="929" ht="13.5" customHeight="1" s="453">
      <c r="D929" s="11" t="n"/>
      <c r="E929" s="86" t="n"/>
      <c r="F929" s="85" t="n"/>
      <c r="G929" s="85" t="n"/>
    </row>
    <row r="930" ht="13.5" customHeight="1" s="453">
      <c r="D930" s="11" t="n"/>
      <c r="E930" s="86" t="n"/>
      <c r="F930" s="85" t="n"/>
      <c r="G930" s="85" t="n"/>
    </row>
    <row r="931" ht="13.5" customHeight="1" s="453">
      <c r="D931" s="11" t="n"/>
      <c r="E931" s="86" t="n"/>
      <c r="F931" s="85" t="n"/>
      <c r="G931" s="85" t="n"/>
    </row>
    <row r="932" ht="13.5" customHeight="1" s="453">
      <c r="D932" s="11" t="n"/>
      <c r="E932" s="86" t="n"/>
      <c r="F932" s="85" t="n"/>
      <c r="G932" s="85" t="n"/>
    </row>
    <row r="933" ht="13.5" customHeight="1" s="453">
      <c r="D933" s="11" t="n"/>
      <c r="E933" s="86" t="n"/>
      <c r="F933" s="85" t="n"/>
      <c r="G933" s="85" t="n"/>
    </row>
    <row r="934" ht="13.5" customHeight="1" s="453">
      <c r="D934" s="11" t="n"/>
      <c r="E934" s="86" t="n"/>
      <c r="F934" s="85" t="n"/>
      <c r="G934" s="85" t="n"/>
    </row>
    <row r="935" ht="13.5" customHeight="1" s="453">
      <c r="D935" s="11" t="n"/>
      <c r="E935" s="86" t="n"/>
      <c r="F935" s="85" t="n"/>
      <c r="G935" s="85" t="n"/>
    </row>
    <row r="936" ht="13.5" customHeight="1" s="453">
      <c r="D936" s="11" t="n"/>
      <c r="E936" s="86" t="n"/>
      <c r="F936" s="85" t="n"/>
      <c r="G936" s="85" t="n"/>
    </row>
    <row r="937" ht="13.5" customHeight="1" s="453">
      <c r="D937" s="11" t="n"/>
      <c r="E937" s="86" t="n"/>
      <c r="F937" s="85" t="n"/>
      <c r="G937" s="85" t="n"/>
    </row>
    <row r="938" ht="13.5" customHeight="1" s="453">
      <c r="D938" s="11" t="n"/>
      <c r="E938" s="86" t="n"/>
      <c r="F938" s="85" t="n"/>
      <c r="G938" s="85" t="n"/>
    </row>
    <row r="939" ht="13.5" customHeight="1" s="453">
      <c r="D939" s="11" t="n"/>
      <c r="E939" s="86" t="n"/>
      <c r="F939" s="85" t="n"/>
      <c r="G939" s="85" t="n"/>
    </row>
    <row r="940" ht="13.5" customHeight="1" s="453">
      <c r="D940" s="11" t="n"/>
      <c r="E940" s="86" t="n"/>
      <c r="F940" s="85" t="n"/>
      <c r="G940" s="85" t="n"/>
    </row>
    <row r="941" ht="13.5" customHeight="1" s="453">
      <c r="D941" s="11" t="n"/>
      <c r="E941" s="86" t="n"/>
      <c r="F941" s="85" t="n"/>
      <c r="G941" s="85" t="n"/>
    </row>
    <row r="942" ht="13.5" customHeight="1" s="453">
      <c r="D942" s="11" t="n"/>
      <c r="E942" s="86" t="n"/>
      <c r="F942" s="85" t="n"/>
      <c r="G942" s="85" t="n"/>
    </row>
    <row r="943" ht="13.5" customHeight="1" s="453">
      <c r="D943" s="11" t="n"/>
      <c r="E943" s="86" t="n"/>
      <c r="F943" s="85" t="n"/>
      <c r="G943" s="85" t="n"/>
    </row>
    <row r="944" ht="13.5" customHeight="1" s="453">
      <c r="D944" s="11" t="n"/>
      <c r="E944" s="86" t="n"/>
      <c r="F944" s="85" t="n"/>
      <c r="G944" s="85" t="n"/>
    </row>
    <row r="945" ht="13.5" customHeight="1" s="453">
      <c r="D945" s="11" t="n"/>
      <c r="E945" s="86" t="n"/>
      <c r="F945" s="85" t="n"/>
      <c r="G945" s="85" t="n"/>
    </row>
    <row r="946" ht="13.5" customHeight="1" s="453">
      <c r="D946" s="11" t="n"/>
      <c r="E946" s="86" t="n"/>
      <c r="F946" s="85" t="n"/>
      <c r="G946" s="85" t="n"/>
    </row>
    <row r="947" ht="13.5" customHeight="1" s="453">
      <c r="D947" s="11" t="n"/>
      <c r="E947" s="86" t="n"/>
      <c r="F947" s="85" t="n"/>
      <c r="G947" s="85" t="n"/>
    </row>
    <row r="948" ht="13.5" customHeight="1" s="453">
      <c r="D948" s="11" t="n"/>
      <c r="E948" s="86" t="n"/>
      <c r="F948" s="85" t="n"/>
      <c r="G948" s="85" t="n"/>
    </row>
    <row r="949" ht="13.5" customHeight="1" s="453">
      <c r="D949" s="11" t="n"/>
      <c r="E949" s="86" t="n"/>
      <c r="F949" s="85" t="n"/>
      <c r="G949" s="85" t="n"/>
    </row>
    <row r="950" ht="13.5" customHeight="1" s="453">
      <c r="D950" s="11" t="n"/>
      <c r="E950" s="86" t="n"/>
      <c r="F950" s="85" t="n"/>
      <c r="G950" s="85" t="n"/>
    </row>
    <row r="951" ht="13.5" customHeight="1" s="453">
      <c r="D951" s="11" t="n"/>
      <c r="E951" s="86" t="n"/>
      <c r="F951" s="85" t="n"/>
      <c r="G951" s="85" t="n"/>
    </row>
    <row r="952" ht="13.5" customHeight="1" s="453">
      <c r="D952" s="11" t="n"/>
      <c r="E952" s="86" t="n"/>
      <c r="F952" s="85" t="n"/>
      <c r="G952" s="85" t="n"/>
    </row>
    <row r="953" ht="13.5" customHeight="1" s="453">
      <c r="D953" s="11" t="n"/>
      <c r="E953" s="86" t="n"/>
      <c r="F953" s="85" t="n"/>
      <c r="G953" s="85" t="n"/>
    </row>
    <row r="954" ht="13.5" customHeight="1" s="453">
      <c r="D954" s="11" t="n"/>
      <c r="E954" s="86" t="n"/>
      <c r="F954" s="85" t="n"/>
      <c r="G954" s="85" t="n"/>
    </row>
    <row r="955" ht="13.5" customHeight="1" s="453">
      <c r="D955" s="11" t="n"/>
      <c r="E955" s="86" t="n"/>
      <c r="F955" s="85" t="n"/>
      <c r="G955" s="85" t="n"/>
    </row>
    <row r="956" ht="13.5" customHeight="1" s="453">
      <c r="D956" s="11" t="n"/>
      <c r="E956" s="86" t="n"/>
      <c r="F956" s="85" t="n"/>
      <c r="G956" s="85" t="n"/>
    </row>
    <row r="957" ht="13.5" customHeight="1" s="453">
      <c r="D957" s="11" t="n"/>
      <c r="E957" s="86" t="n"/>
      <c r="F957" s="85" t="n"/>
      <c r="G957" s="85" t="n"/>
    </row>
    <row r="958" ht="13.5" customHeight="1" s="453">
      <c r="D958" s="11" t="n"/>
      <c r="E958" s="86" t="n"/>
      <c r="F958" s="85" t="n"/>
      <c r="G958" s="85" t="n"/>
    </row>
    <row r="959" ht="13.5" customHeight="1" s="453">
      <c r="D959" s="11" t="n"/>
      <c r="E959" s="86" t="n"/>
      <c r="F959" s="85" t="n"/>
      <c r="G959" s="85" t="n"/>
    </row>
    <row r="960" ht="13.5" customHeight="1" s="453">
      <c r="D960" s="11" t="n"/>
      <c r="E960" s="86" t="n"/>
      <c r="F960" s="85" t="n"/>
      <c r="G960" s="85" t="n"/>
    </row>
    <row r="961" ht="13.5" customHeight="1" s="453">
      <c r="D961" s="11" t="n"/>
      <c r="E961" s="86" t="n"/>
      <c r="F961" s="85" t="n"/>
      <c r="G961" s="85" t="n"/>
    </row>
    <row r="962" ht="13.5" customHeight="1" s="453">
      <c r="D962" s="11" t="n"/>
      <c r="E962" s="86" t="n"/>
      <c r="F962" s="85" t="n"/>
      <c r="G962" s="85" t="n"/>
    </row>
    <row r="963" ht="13.5" customHeight="1" s="453">
      <c r="D963" s="11" t="n"/>
      <c r="E963" s="86" t="n"/>
      <c r="F963" s="85" t="n"/>
      <c r="G963" s="85" t="n"/>
    </row>
    <row r="964" ht="13.5" customHeight="1" s="453">
      <c r="D964" s="11" t="n"/>
      <c r="E964" s="86" t="n"/>
      <c r="F964" s="85" t="n"/>
      <c r="G964" s="85" t="n"/>
    </row>
    <row r="965" ht="13.5" customHeight="1" s="453">
      <c r="D965" s="11" t="n"/>
      <c r="E965" s="86" t="n"/>
      <c r="F965" s="85" t="n"/>
      <c r="G965" s="85" t="n"/>
    </row>
    <row r="966" ht="13.5" customHeight="1" s="453">
      <c r="D966" s="11" t="n"/>
      <c r="E966" s="86" t="n"/>
      <c r="F966" s="85" t="n"/>
      <c r="G966" s="85" t="n"/>
    </row>
    <row r="967" ht="13.5" customHeight="1" s="453">
      <c r="D967" s="11" t="n"/>
      <c r="E967" s="86" t="n"/>
      <c r="F967" s="85" t="n"/>
      <c r="G967" s="85" t="n"/>
    </row>
    <row r="968" ht="13.5" customHeight="1" s="453">
      <c r="D968" s="11" t="n"/>
      <c r="E968" s="86" t="n"/>
      <c r="F968" s="85" t="n"/>
      <c r="G968" s="85" t="n"/>
    </row>
    <row r="969" ht="13.5" customHeight="1" s="453">
      <c r="D969" s="11" t="n"/>
      <c r="E969" s="86" t="n"/>
      <c r="F969" s="85" t="n"/>
      <c r="G969" s="85" t="n"/>
    </row>
    <row r="970" ht="13.5" customHeight="1" s="453">
      <c r="D970" s="11" t="n"/>
      <c r="E970" s="86" t="n"/>
      <c r="F970" s="85" t="n"/>
      <c r="G970" s="85" t="n"/>
    </row>
    <row r="971" ht="13.5" customHeight="1" s="453">
      <c r="D971" s="11" t="n"/>
      <c r="E971" s="86" t="n"/>
      <c r="F971" s="85" t="n"/>
      <c r="G971" s="85" t="n"/>
    </row>
    <row r="972" ht="13.5" customHeight="1" s="453">
      <c r="D972" s="11" t="n"/>
      <c r="E972" s="86" t="n"/>
      <c r="F972" s="85" t="n"/>
      <c r="G972" s="85" t="n"/>
    </row>
    <row r="973" ht="13.5" customHeight="1" s="453">
      <c r="D973" s="11" t="n"/>
      <c r="E973" s="86" t="n"/>
      <c r="F973" s="85" t="n"/>
      <c r="G973" s="85" t="n"/>
    </row>
    <row r="974" ht="13.5" customHeight="1" s="453">
      <c r="D974" s="11" t="n"/>
      <c r="E974" s="86" t="n"/>
      <c r="F974" s="85" t="n"/>
      <c r="G974" s="85" t="n"/>
    </row>
    <row r="975" ht="13.5" customHeight="1" s="453">
      <c r="D975" s="11" t="n"/>
      <c r="E975" s="86" t="n"/>
      <c r="F975" s="85" t="n"/>
      <c r="G975" s="85" t="n"/>
    </row>
    <row r="976" ht="13.5" customHeight="1" s="453">
      <c r="D976" s="11" t="n"/>
      <c r="E976" s="86" t="n"/>
      <c r="F976" s="85" t="n"/>
      <c r="G976" s="85" t="n"/>
    </row>
    <row r="977" ht="13.5" customHeight="1" s="453">
      <c r="D977" s="11" t="n"/>
      <c r="E977" s="86" t="n"/>
      <c r="F977" s="85" t="n"/>
      <c r="G977" s="85" t="n"/>
    </row>
    <row r="978" ht="13.5" customHeight="1" s="453">
      <c r="D978" s="11" t="n"/>
      <c r="E978" s="86" t="n"/>
      <c r="F978" s="85" t="n"/>
      <c r="G978" s="85" t="n"/>
    </row>
    <row r="979" ht="13.5" customHeight="1" s="453">
      <c r="D979" s="11" t="n"/>
      <c r="E979" s="86" t="n"/>
      <c r="F979" s="85" t="n"/>
      <c r="G979" s="85" t="n"/>
    </row>
    <row r="980" ht="13.5" customHeight="1" s="453">
      <c r="D980" s="11" t="n"/>
      <c r="E980" s="86" t="n"/>
      <c r="F980" s="85" t="n"/>
      <c r="G980" s="85" t="n"/>
    </row>
    <row r="981" ht="13.5" customHeight="1" s="453">
      <c r="D981" s="11" t="n"/>
      <c r="E981" s="86" t="n"/>
      <c r="F981" s="85" t="n"/>
      <c r="G981" s="85" t="n"/>
    </row>
    <row r="982" ht="13.5" customHeight="1" s="453">
      <c r="D982" s="11" t="n"/>
      <c r="E982" s="86" t="n"/>
      <c r="F982" s="85" t="n"/>
      <c r="G982" s="85" t="n"/>
    </row>
    <row r="983" ht="13.5" customHeight="1" s="453">
      <c r="D983" s="11" t="n"/>
      <c r="E983" s="86" t="n"/>
      <c r="F983" s="85" t="n"/>
      <c r="G983" s="85" t="n"/>
    </row>
    <row r="984" ht="13.5" customHeight="1" s="453">
      <c r="D984" s="11" t="n"/>
      <c r="E984" s="86" t="n"/>
      <c r="F984" s="85" t="n"/>
      <c r="G984" s="85" t="n"/>
    </row>
    <row r="985" ht="13.5" customHeight="1" s="453">
      <c r="D985" s="11" t="n"/>
      <c r="E985" s="86" t="n"/>
      <c r="F985" s="85" t="n"/>
      <c r="G985" s="85" t="n"/>
    </row>
    <row r="986" ht="13.5" customHeight="1" s="453">
      <c r="D986" s="11" t="n"/>
      <c r="E986" s="86" t="n"/>
      <c r="F986" s="85" t="n"/>
      <c r="G986" s="85" t="n"/>
    </row>
    <row r="987" ht="13.5" customHeight="1" s="453">
      <c r="D987" s="11" t="n"/>
      <c r="E987" s="86" t="n"/>
      <c r="F987" s="85" t="n"/>
      <c r="G987" s="85" t="n"/>
    </row>
    <row r="988" ht="13.5" customHeight="1" s="453">
      <c r="D988" s="11" t="n"/>
      <c r="E988" s="86" t="n"/>
      <c r="F988" s="85" t="n"/>
      <c r="G988" s="85" t="n"/>
    </row>
    <row r="989" ht="13.5" customHeight="1" s="453">
      <c r="D989" s="11" t="n"/>
      <c r="E989" s="86" t="n"/>
      <c r="F989" s="85" t="n"/>
      <c r="G989" s="85" t="n"/>
    </row>
    <row r="990" ht="13.5" customHeight="1" s="453">
      <c r="D990" s="11" t="n"/>
      <c r="E990" s="86" t="n"/>
      <c r="F990" s="85" t="n"/>
      <c r="G990" s="85" t="n"/>
    </row>
    <row r="991" ht="13.5" customHeight="1" s="453">
      <c r="D991" s="11" t="n"/>
      <c r="E991" s="86" t="n"/>
      <c r="F991" s="85" t="n"/>
      <c r="G991" s="85" t="n"/>
    </row>
    <row r="992" ht="13.5" customHeight="1" s="453">
      <c r="D992" s="11" t="n"/>
      <c r="E992" s="86" t="n"/>
      <c r="F992" s="85" t="n"/>
      <c r="G992" s="85" t="n"/>
    </row>
    <row r="993" ht="13.5" customHeight="1" s="453">
      <c r="D993" s="11" t="n"/>
      <c r="E993" s="86" t="n"/>
      <c r="F993" s="85" t="n"/>
      <c r="G993" s="85" t="n"/>
    </row>
    <row r="994" ht="13.5" customHeight="1" s="453">
      <c r="D994" s="11" t="n"/>
      <c r="E994" s="86" t="n"/>
      <c r="F994" s="85" t="n"/>
      <c r="G994" s="85" t="n"/>
    </row>
    <row r="995" ht="13.5" customHeight="1" s="453">
      <c r="D995" s="11" t="n"/>
      <c r="E995" s="86" t="n"/>
      <c r="F995" s="85" t="n"/>
      <c r="G995" s="85" t="n"/>
    </row>
    <row r="996" ht="13.5" customHeight="1" s="453">
      <c r="D996" s="11" t="n"/>
      <c r="E996" s="86" t="n"/>
      <c r="F996" s="85" t="n"/>
      <c r="G996" s="85" t="n"/>
    </row>
    <row r="997" ht="13.5" customHeight="1" s="453">
      <c r="D997" s="11" t="n"/>
      <c r="E997" s="86" t="n"/>
      <c r="F997" s="85" t="n"/>
      <c r="G997" s="85" t="n"/>
    </row>
    <row r="998" ht="13.5" customHeight="1" s="453">
      <c r="D998" s="11" t="n"/>
      <c r="E998" s="86" t="n"/>
      <c r="F998" s="85" t="n"/>
      <c r="G998" s="85" t="n"/>
    </row>
    <row r="999" ht="13.5" customHeight="1" s="453">
      <c r="D999" s="11" t="n"/>
      <c r="E999" s="86" t="n"/>
      <c r="F999" s="85" t="n"/>
      <c r="G999" s="85" t="n"/>
    </row>
    <row r="1000" ht="13.5" customHeight="1" s="453">
      <c r="D1000" s="11" t="n"/>
      <c r="E1000" s="86" t="n"/>
      <c r="F1000" s="85" t="n"/>
      <c r="G1000" s="85" t="n"/>
    </row>
    <row r="1001" ht="13.5" customHeight="1" s="453">
      <c r="D1001" s="11" t="n"/>
      <c r="E1001" s="86" t="n"/>
      <c r="F1001" s="85" t="n"/>
      <c r="G1001" s="85" t="n"/>
    </row>
    <row r="1002" ht="13.5" customHeight="1" s="453">
      <c r="D1002" s="11" t="n"/>
      <c r="E1002" s="86" t="n"/>
      <c r="F1002" s="85" t="n"/>
      <c r="G1002" s="85" t="n"/>
    </row>
    <row r="1003" ht="13.5" customHeight="1" s="453">
      <c r="D1003" s="11" t="n"/>
      <c r="E1003" s="86" t="n"/>
      <c r="F1003" s="85" t="n"/>
      <c r="G1003" s="85" t="n"/>
    </row>
    <row r="1004" ht="13.5" customHeight="1" s="453">
      <c r="D1004" s="11" t="n"/>
      <c r="E1004" s="86" t="n"/>
      <c r="F1004" s="85" t="n"/>
      <c r="G1004" s="85" t="n"/>
    </row>
    <row r="1005" ht="13.5" customHeight="1" s="453">
      <c r="D1005" s="11" t="n"/>
      <c r="E1005" s="86" t="n"/>
      <c r="F1005" s="85" t="n"/>
      <c r="G1005" s="85" t="n"/>
    </row>
    <row r="1006" ht="13.5" customHeight="1" s="453">
      <c r="D1006" s="11" t="n"/>
      <c r="E1006" s="86" t="n"/>
      <c r="F1006" s="85" t="n"/>
      <c r="G1006" s="85" t="n"/>
    </row>
    <row r="1007" ht="13.5" customHeight="1" s="453">
      <c r="D1007" s="11" t="n"/>
      <c r="E1007" s="86" t="n"/>
      <c r="F1007" s="85" t="n"/>
      <c r="G1007" s="85" t="n"/>
    </row>
    <row r="1008" ht="13.5" customHeight="1" s="453">
      <c r="D1008" s="11" t="n"/>
      <c r="E1008" s="86" t="n"/>
      <c r="F1008" s="85" t="n"/>
      <c r="G1008" s="85" t="n"/>
    </row>
    <row r="1009" ht="13.5" customHeight="1" s="453">
      <c r="D1009" s="11" t="n"/>
      <c r="E1009" s="86" t="n"/>
      <c r="F1009" s="85" t="n"/>
      <c r="G1009" s="85" t="n"/>
    </row>
    <row r="1010" ht="13.5" customHeight="1" s="453">
      <c r="D1010" s="11" t="n"/>
      <c r="E1010" s="86" t="n"/>
      <c r="F1010" s="85" t="n"/>
      <c r="G1010" s="85" t="n"/>
    </row>
    <row r="1011" ht="13.5" customHeight="1" s="453">
      <c r="D1011" s="11" t="n"/>
      <c r="E1011" s="86" t="n"/>
      <c r="F1011" s="85" t="n"/>
      <c r="G1011" s="85" t="n"/>
    </row>
    <row r="1012" ht="13.5" customHeight="1" s="453">
      <c r="D1012" s="11" t="n"/>
      <c r="E1012" s="86" t="n"/>
      <c r="F1012" s="85" t="n"/>
      <c r="G1012" s="85" t="n"/>
    </row>
    <row r="1013" ht="13.5" customHeight="1" s="453">
      <c r="D1013" s="11" t="n"/>
      <c r="E1013" s="86" t="n"/>
      <c r="F1013" s="85" t="n"/>
      <c r="G1013" s="85" t="n"/>
    </row>
    <row r="1014" ht="13.5" customHeight="1" s="453">
      <c r="D1014" s="11" t="n"/>
      <c r="E1014" s="86" t="n"/>
      <c r="F1014" s="85" t="n"/>
      <c r="G1014" s="85" t="n"/>
    </row>
    <row r="1015" ht="13.5" customHeight="1" s="453">
      <c r="D1015" s="11" t="n"/>
      <c r="E1015" s="86" t="n"/>
      <c r="F1015" s="85" t="n"/>
      <c r="G1015" s="85" t="n"/>
    </row>
    <row r="1016" ht="13.5" customHeight="1" s="453">
      <c r="D1016" s="11" t="n"/>
      <c r="E1016" s="86" t="n"/>
      <c r="F1016" s="85" t="n"/>
      <c r="G1016" s="85" t="n"/>
    </row>
    <row r="1017" ht="13.5" customHeight="1" s="453">
      <c r="D1017" s="11" t="n"/>
      <c r="E1017" s="86" t="n"/>
      <c r="F1017" s="85" t="n"/>
      <c r="G1017" s="85" t="n"/>
    </row>
    <row r="1018" ht="13.5" customHeight="1" s="453">
      <c r="D1018" s="11" t="n"/>
      <c r="E1018" s="86" t="n"/>
      <c r="F1018" s="85" t="n"/>
      <c r="G1018" s="85" t="n"/>
    </row>
    <row r="1019" ht="13.5" customHeight="1" s="453">
      <c r="D1019" s="11" t="n"/>
      <c r="E1019" s="86" t="n"/>
      <c r="F1019" s="85" t="n"/>
      <c r="G1019" s="85" t="n"/>
    </row>
    <row r="1020" ht="13.5" customHeight="1" s="453">
      <c r="D1020" s="11" t="n"/>
      <c r="E1020" s="86" t="n"/>
      <c r="F1020" s="85" t="n"/>
      <c r="G1020" s="85" t="n"/>
    </row>
    <row r="1021" ht="13.5" customHeight="1" s="453">
      <c r="D1021" s="11" t="n"/>
      <c r="E1021" s="86" t="n"/>
      <c r="F1021" s="85" t="n"/>
      <c r="G1021" s="85" t="n"/>
    </row>
    <row r="1022" ht="13.5" customHeight="1" s="453">
      <c r="D1022" s="11" t="n"/>
      <c r="E1022" s="86" t="n"/>
      <c r="F1022" s="85" t="n"/>
      <c r="G1022" s="85" t="n"/>
    </row>
    <row r="1023" ht="13.5" customHeight="1" s="453">
      <c r="D1023" s="11" t="n"/>
      <c r="E1023" s="86" t="n"/>
      <c r="F1023" s="85" t="n"/>
      <c r="G1023" s="85" t="n"/>
    </row>
    <row r="1024" ht="13.5" customHeight="1" s="453">
      <c r="D1024" s="11" t="n"/>
      <c r="E1024" s="86" t="n"/>
      <c r="F1024" s="85" t="n"/>
      <c r="G1024" s="85" t="n"/>
    </row>
    <row r="1025" ht="13.5" customHeight="1" s="453">
      <c r="D1025" s="11" t="n"/>
      <c r="E1025" s="86" t="n"/>
      <c r="F1025" s="85" t="n"/>
      <c r="G1025" s="85" t="n"/>
    </row>
    <row r="1026" ht="13.5" customHeight="1" s="453">
      <c r="D1026" s="11" t="n"/>
      <c r="E1026" s="86" t="n"/>
      <c r="F1026" s="85" t="n"/>
      <c r="G1026" s="85" t="n"/>
    </row>
    <row r="1027" ht="13.5" customHeight="1" s="453">
      <c r="D1027" s="11" t="n"/>
      <c r="E1027" s="86" t="n"/>
      <c r="F1027" s="85" t="n"/>
      <c r="G1027" s="85" t="n"/>
    </row>
    <row r="1028" ht="13.5" customHeight="1" s="453">
      <c r="D1028" s="11" t="n"/>
      <c r="E1028" s="86" t="n"/>
      <c r="F1028" s="85" t="n"/>
      <c r="G1028" s="85" t="n"/>
    </row>
    <row r="1029" ht="13.5" customHeight="1" s="453">
      <c r="D1029" s="11" t="n"/>
      <c r="E1029" s="86" t="n"/>
      <c r="F1029" s="85" t="n"/>
      <c r="G1029" s="85" t="n"/>
    </row>
    <row r="1030" ht="13.5" customHeight="1" s="453">
      <c r="D1030" s="11" t="n"/>
      <c r="E1030" s="86" t="n"/>
      <c r="F1030" s="85" t="n"/>
      <c r="G1030" s="85" t="n"/>
    </row>
    <row r="1031" ht="13.5" customHeight="1" s="453">
      <c r="D1031" s="11" t="n"/>
      <c r="E1031" s="86" t="n"/>
      <c r="F1031" s="85" t="n"/>
      <c r="G1031" s="85" t="n"/>
    </row>
    <row r="1032" ht="13.5" customHeight="1" s="453">
      <c r="D1032" s="11" t="n"/>
      <c r="E1032" s="86" t="n"/>
      <c r="F1032" s="85" t="n"/>
      <c r="G1032" s="85" t="n"/>
    </row>
    <row r="1033" ht="13.5" customHeight="1" s="453">
      <c r="D1033" s="11" t="n"/>
      <c r="E1033" s="86" t="n"/>
      <c r="F1033" s="85" t="n"/>
      <c r="G1033" s="85" t="n"/>
    </row>
    <row r="1034" ht="13.5" customHeight="1" s="453">
      <c r="D1034" s="11" t="n"/>
      <c r="E1034" s="86" t="n"/>
      <c r="F1034" s="85" t="n"/>
      <c r="G1034" s="85" t="n"/>
    </row>
    <row r="1035" ht="13.5" customHeight="1" s="453">
      <c r="D1035" s="11" t="n"/>
      <c r="E1035" s="86" t="n"/>
      <c r="F1035" s="85" t="n"/>
      <c r="G1035" s="85" t="n"/>
    </row>
    <row r="1036" ht="13.5" customHeight="1" s="453">
      <c r="D1036" s="11" t="n"/>
      <c r="E1036" s="86" t="n"/>
      <c r="F1036" s="85" t="n"/>
      <c r="G1036" s="85" t="n"/>
    </row>
    <row r="1037" ht="13.5" customHeight="1" s="453">
      <c r="D1037" s="11" t="n"/>
      <c r="E1037" s="86" t="n"/>
      <c r="F1037" s="85" t="n"/>
      <c r="G1037" s="85" t="n"/>
    </row>
    <row r="1038" ht="13.5" customHeight="1" s="453">
      <c r="D1038" s="11" t="n"/>
      <c r="E1038" s="86" t="n"/>
      <c r="F1038" s="85" t="n"/>
      <c r="G1038" s="85" t="n"/>
    </row>
    <row r="1039" ht="13.5" customHeight="1" s="453">
      <c r="D1039" s="11" t="n"/>
      <c r="E1039" s="86" t="n"/>
      <c r="F1039" s="85" t="n"/>
      <c r="G1039" s="85" t="n"/>
    </row>
    <row r="1040" ht="13.5" customHeight="1" s="453">
      <c r="D1040" s="11" t="n"/>
      <c r="E1040" s="86" t="n"/>
      <c r="F1040" s="85" t="n"/>
      <c r="G1040" s="85" t="n"/>
    </row>
    <row r="1041" ht="13.5" customHeight="1" s="453">
      <c r="D1041" s="11" t="n"/>
      <c r="E1041" s="86" t="n"/>
      <c r="F1041" s="85" t="n"/>
      <c r="G1041" s="85" t="n"/>
    </row>
    <row r="1042" ht="13.5" customHeight="1" s="453">
      <c r="D1042" s="11" t="n"/>
      <c r="E1042" s="86" t="n"/>
      <c r="F1042" s="85" t="n"/>
      <c r="G1042" s="85" t="n"/>
    </row>
    <row r="1043" ht="13.5" customHeight="1" s="453">
      <c r="D1043" s="11" t="n"/>
      <c r="E1043" s="86" t="n"/>
      <c r="F1043" s="85" t="n"/>
      <c r="G1043" s="85" t="n"/>
    </row>
    <row r="1044" ht="13.5" customHeight="1" s="453">
      <c r="D1044" s="11" t="n"/>
      <c r="E1044" s="86" t="n"/>
      <c r="F1044" s="85" t="n"/>
      <c r="G1044" s="85" t="n"/>
    </row>
    <row r="1045" ht="13.5" customHeight="1" s="453">
      <c r="D1045" s="11" t="n"/>
      <c r="E1045" s="86" t="n"/>
      <c r="F1045" s="85" t="n"/>
      <c r="G1045" s="85" t="n"/>
    </row>
    <row r="1046" ht="13.5" customHeight="1" s="453">
      <c r="D1046" s="11" t="n"/>
      <c r="E1046" s="86" t="n"/>
      <c r="F1046" s="85" t="n"/>
      <c r="G1046" s="85" t="n"/>
    </row>
    <row r="1047" ht="13.5" customHeight="1" s="453">
      <c r="D1047" s="11" t="n"/>
      <c r="E1047" s="86" t="n"/>
      <c r="F1047" s="85" t="n"/>
      <c r="G1047" s="85" t="n"/>
    </row>
  </sheetData>
  <mergeCells count="29">
    <mergeCell ref="AL2:AL3"/>
    <mergeCell ref="AI1:AJ1"/>
    <mergeCell ref="B2:B3"/>
    <mergeCell ref="AE2:AE3"/>
    <mergeCell ref="D2:D3"/>
    <mergeCell ref="AG2:AG3"/>
    <mergeCell ref="AH64:AH70"/>
    <mergeCell ref="P2:P3"/>
    <mergeCell ref="H2:H3"/>
    <mergeCell ref="AH38:AH39"/>
    <mergeCell ref="A2:A3"/>
    <mergeCell ref="AD2:AD3"/>
    <mergeCell ref="C2:C3"/>
    <mergeCell ref="E2:E3"/>
    <mergeCell ref="AH40:AH41"/>
    <mergeCell ref="AH2:AH3"/>
    <mergeCell ref="F2:G2"/>
    <mergeCell ref="Q2:Q3"/>
    <mergeCell ref="AK2:AK3"/>
    <mergeCell ref="AH26:AH27"/>
    <mergeCell ref="AH11:AH16"/>
    <mergeCell ref="AH51:AH54"/>
    <mergeCell ref="AH62:AH63"/>
    <mergeCell ref="AI2:AJ2"/>
    <mergeCell ref="AH22:AH23"/>
    <mergeCell ref="AH28:AH29"/>
    <mergeCell ref="F1:G1"/>
    <mergeCell ref="I2:I3"/>
    <mergeCell ref="AH55:AH59"/>
  </mergeCells>
  <conditionalFormatting sqref="B74">
    <cfRule type="duplicateValues" priority="2" dxfId="0"/>
  </conditionalFormatting>
  <printOptions horizontalCentered="1" gridLines="1"/>
  <pageMargins left="0.7" right="0.7" top="0.75" bottom="0.75" header="0" footer="0"/>
  <pageSetup orientation="landscape" paperSize="9" scale="35" fitToHeight="0" pageOrder="overThenDown" cellComments="atEnd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C000"/>
    <outlinePr summaryBelow="0" summaryRight="0"/>
    <pageSetUpPr fitToPage="1"/>
  </sheetPr>
  <dimension ref="A1:AL1047"/>
  <sheetViews>
    <sheetView zoomScale="90" zoomScaleNormal="90" workbookViewId="0">
      <pane xSplit="7" ySplit="3" topLeftCell="H4" activePane="bottomRight" state="frozen"/>
      <selection pane="topRight" activeCell="J1" sqref="J1"/>
      <selection pane="bottomLeft" activeCell="A4" sqref="A4"/>
      <selection pane="bottomRight" activeCell="G77" sqref="G77"/>
    </sheetView>
  </sheetViews>
  <sheetFormatPr baseColWidth="8" defaultColWidth="12.5703125" defaultRowHeight="15.75" customHeight="1"/>
  <cols>
    <col width="19.5703125" customWidth="1" style="453" min="1" max="1"/>
    <col width="11" customWidth="1" style="453" min="2" max="2"/>
    <col width="44.28515625" customWidth="1" style="98" min="3" max="3"/>
    <col width="10.28515625" bestFit="1" customWidth="1" style="453" min="4" max="4"/>
    <col width="6.85546875" bestFit="1" customWidth="1" style="453" min="5" max="5"/>
    <col hidden="1" width="10.5703125" customWidth="1" style="453" min="6" max="6"/>
    <col collapsed="1" width="12.28515625" bestFit="1" customWidth="1" style="453" min="7" max="7"/>
    <col hidden="1" outlineLevel="1" width="10.5703125" customWidth="1" style="453" min="8" max="8"/>
    <col hidden="1" outlineLevel="1" width="9.85546875" customWidth="1" style="453" min="9" max="9"/>
    <col hidden="1" outlineLevel="1" width="11.7109375" customWidth="1" style="453" min="10" max="10"/>
    <col hidden="1" outlineLevel="1" width="12.140625" customWidth="1" style="453" min="11" max="13"/>
    <col hidden="1" outlineLevel="1" width="11.42578125" customWidth="1" style="453" min="14" max="15"/>
    <col width="12.140625" customWidth="1" style="453" min="16" max="16"/>
    <col width="13" customWidth="1" style="453" min="17" max="17"/>
    <col width="13" customWidth="1" style="453" min="18" max="18"/>
    <col width="13" customWidth="1" style="453" min="19" max="19"/>
    <col width="12.140625" customWidth="1" style="453" min="20" max="20"/>
    <col collapsed="1" width="12.140625" customWidth="1" style="453" min="21" max="21"/>
    <col hidden="1" outlineLevel="1" width="13" customWidth="1" style="453" min="22" max="27"/>
    <col width="12.140625" customWidth="1" style="453" min="28" max="30"/>
    <col width="10.140625" customWidth="1" style="110" min="31" max="31"/>
    <col hidden="1" width="13.85546875" customWidth="1" style="453" min="32" max="32"/>
    <col width="15" customWidth="1" style="453" min="33" max="34"/>
    <col width="38.140625" customWidth="1" style="453" min="35" max="35"/>
    <col width="9.28515625" customWidth="1" style="453" min="37" max="38"/>
  </cols>
  <sheetData>
    <row r="1" ht="17.25" customHeight="1" s="453">
      <c r="A1" s="87" t="inlineStr">
        <is>
          <t>*自2025/1起調整為最小單位(發/點/支)</t>
        </is>
      </c>
      <c r="B1" s="87" t="n"/>
      <c r="C1" s="97" t="n"/>
      <c r="D1" s="1" t="n"/>
      <c r="E1" s="2" t="n"/>
      <c r="F1" s="452" t="n"/>
      <c r="K1" s="6" t="n"/>
      <c r="L1" s="6" t="n"/>
      <c r="N1" s="6" t="n"/>
      <c r="O1" s="6" t="n"/>
      <c r="P1" s="397" t="inlineStr">
        <is>
          <t>忠孝健康7樓</t>
        </is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99" t="n"/>
      <c r="AF1" s="452" t="n"/>
      <c r="AG1" s="452" t="n"/>
      <c r="AI1" s="13" t="n"/>
      <c r="AJ1" s="13" t="n"/>
      <c r="AK1" s="14" t="n"/>
      <c r="AL1" s="14" t="n"/>
    </row>
    <row r="2" ht="33" customFormat="1" customHeight="1" s="92">
      <c r="A2" s="495" t="inlineStr">
        <is>
          <t>料件編號 新</t>
        </is>
      </c>
      <c r="B2" s="496" t="n"/>
      <c r="C2" s="496" t="inlineStr">
        <is>
          <t>品名</t>
        </is>
      </c>
      <c r="D2" s="496" t="inlineStr">
        <is>
          <t>盒入數</t>
        </is>
      </c>
      <c r="E2" s="532" t="inlineStr">
        <is>
          <t>庫存
 單位</t>
        </is>
      </c>
      <c r="F2" s="449">
        <f>站前4樓!F2</f>
        <v/>
      </c>
      <c r="G2" s="500" t="n"/>
      <c r="H2" s="505" t="inlineStr">
        <is>
          <t>2025/07</t>
        </is>
      </c>
      <c r="I2" s="505" t="inlineStr">
        <is>
          <t>2025/08</t>
        </is>
      </c>
      <c r="J2" s="505" t="inlineStr">
        <is>
          <t>2025/09</t>
        </is>
      </c>
      <c r="K2" s="505" t="inlineStr">
        <is>
          <t>2025/10</t>
        </is>
      </c>
      <c r="L2" s="505" t="inlineStr">
        <is>
          <t>2025/11</t>
        </is>
      </c>
      <c r="M2" s="505" t="inlineStr">
        <is>
          <t>2025/12</t>
        </is>
      </c>
      <c r="N2" s="507" t="inlineStr">
        <is>
          <t>2025
總銷量
(單支/條/點)</t>
        </is>
      </c>
      <c r="O2" s="507" t="inlineStr">
        <is>
          <t>2025
月均銷
(單支/條/點)</t>
        </is>
      </c>
      <c r="P2" s="505" t="inlineStr">
        <is>
          <t>2026/01</t>
        </is>
      </c>
      <c r="Q2" s="505" t="inlineStr">
        <is>
          <t>2026/02</t>
        </is>
      </c>
      <c r="R2" s="505" t="inlineStr">
        <is>
          <t>2026/03</t>
        </is>
      </c>
      <c r="S2" s="505" t="inlineStr">
        <is>
          <t>2026/04</t>
        </is>
      </c>
      <c r="T2" s="505" t="inlineStr">
        <is>
          <t>2026/05</t>
        </is>
      </c>
      <c r="U2" s="505" t="inlineStr">
        <is>
          <t>2026/06</t>
        </is>
      </c>
      <c r="V2" s="505" t="inlineStr">
        <is>
          <t>2026/07</t>
        </is>
      </c>
      <c r="W2" s="505" t="inlineStr">
        <is>
          <t>2026/08</t>
        </is>
      </c>
      <c r="X2" s="505" t="inlineStr">
        <is>
          <t>2026/09</t>
        </is>
      </c>
      <c r="Y2" s="505" t="inlineStr">
        <is>
          <t>2026/10</t>
        </is>
      </c>
      <c r="Z2" s="505" t="inlineStr">
        <is>
          <t>2026/11</t>
        </is>
      </c>
      <c r="AA2" s="505" t="inlineStr">
        <is>
          <t>2026/12</t>
        </is>
      </c>
      <c r="AB2" s="507" t="inlineStr">
        <is>
          <t>2026
總銷量
(單支/條/點)</t>
        </is>
      </c>
      <c r="AC2" s="507" t="inlineStr">
        <is>
          <t>2026
月均銷
(單支/條/點)</t>
        </is>
      </c>
      <c r="AD2" s="505" t="inlineStr">
        <is>
          <t>2026/06</t>
        </is>
      </c>
      <c r="AE2" s="508" t="inlineStr">
        <is>
          <t>安庫</t>
        </is>
      </c>
      <c r="AF2" s="509" t="inlineStr">
        <is>
          <t>已簽約
寄庫數量</t>
        </is>
      </c>
      <c r="AG2" s="509" t="inlineStr">
        <is>
          <t>10/17在途</t>
        </is>
      </c>
      <c r="AH2" s="500" t="n"/>
      <c r="AI2" s="510" t="inlineStr">
        <is>
          <t>備註</t>
        </is>
      </c>
      <c r="AJ2" s="510" t="n"/>
      <c r="AK2" s="91" t="n"/>
      <c r="AL2" s="91" t="n"/>
    </row>
    <row r="3" ht="49.5" customFormat="1" customHeight="1" s="92">
      <c r="A3" s="511" t="n"/>
      <c r="B3" s="511" t="n"/>
      <c r="C3" s="511" t="n"/>
      <c r="D3" s="511" t="n"/>
      <c r="E3" s="511" t="n"/>
      <c r="F3" s="93" t="inlineStr">
        <is>
          <t>站前庫存</t>
        </is>
      </c>
      <c r="G3" s="189" t="inlineStr">
        <is>
          <t>忠孝健康7樓
庫存</t>
        </is>
      </c>
      <c r="H3" s="95" t="inlineStr">
        <is>
          <t>Actual</t>
        </is>
      </c>
      <c r="I3" s="95" t="inlineStr">
        <is>
          <t>Actual</t>
        </is>
      </c>
      <c r="J3" s="95" t="inlineStr">
        <is>
          <t>Actual</t>
        </is>
      </c>
      <c r="K3" s="95" t="inlineStr">
        <is>
          <t>Actual</t>
        </is>
      </c>
      <c r="L3" s="95" t="inlineStr">
        <is>
          <t>Actual</t>
        </is>
      </c>
      <c r="M3" s="95" t="inlineStr">
        <is>
          <t>Actual</t>
        </is>
      </c>
      <c r="N3" s="511" t="n"/>
      <c r="O3" s="511" t="n"/>
      <c r="P3" s="95" t="inlineStr">
        <is>
          <t>Actual</t>
        </is>
      </c>
      <c r="Q3" s="95" t="inlineStr">
        <is>
          <t>Actual</t>
        </is>
      </c>
      <c r="R3" s="95" t="inlineStr">
        <is>
          <t>Actual</t>
        </is>
      </c>
      <c r="S3" s="95" t="inlineStr">
        <is>
          <t>Actual</t>
        </is>
      </c>
      <c r="T3" s="95" t="inlineStr">
        <is>
          <t>Actual</t>
        </is>
      </c>
      <c r="U3" s="95" t="inlineStr">
        <is>
          <t>Actual</t>
        </is>
      </c>
      <c r="V3" s="95" t="inlineStr">
        <is>
          <t>Actual</t>
        </is>
      </c>
      <c r="W3" s="95" t="inlineStr">
        <is>
          <t>Actual</t>
        </is>
      </c>
      <c r="X3" s="95" t="inlineStr">
        <is>
          <t>Actual</t>
        </is>
      </c>
      <c r="Y3" s="95" t="inlineStr">
        <is>
          <t>Actual</t>
        </is>
      </c>
      <c r="Z3" s="95" t="inlineStr">
        <is>
          <t>Actual</t>
        </is>
      </c>
      <c r="AA3" s="95" t="inlineStr">
        <is>
          <t>Actual</t>
        </is>
      </c>
      <c r="AB3" s="511" t="n"/>
      <c r="AC3" s="511" t="n"/>
      <c r="AD3" s="403" t="inlineStr">
        <is>
          <t>Forecast</t>
        </is>
      </c>
      <c r="AE3" s="511" t="n"/>
      <c r="AF3" s="511" t="n"/>
      <c r="AG3" s="113" t="inlineStr">
        <is>
          <t>站前診所</t>
        </is>
      </c>
      <c r="AH3" s="113" t="inlineStr">
        <is>
          <t>忠孝診所</t>
        </is>
      </c>
      <c r="AI3" s="511" t="n"/>
      <c r="AJ3" s="511" t="n"/>
      <c r="AK3" s="91" t="n"/>
      <c r="AL3" s="91" t="n"/>
    </row>
    <row r="4" ht="16.5" customHeight="1" s="453">
      <c r="A4" s="27" t="inlineStr">
        <is>
          <t>MP1MA020019A</t>
        </is>
      </c>
      <c r="B4" s="14" t="n">
        <v>6150001</v>
      </c>
      <c r="C4" s="118" t="inlineStr">
        <is>
          <t>喬雅登豐麗緹玻尿酸植入物Voluma 1ml/ syringe(1支)</t>
        </is>
      </c>
      <c r="D4" s="16" t="n">
        <v>2</v>
      </c>
      <c r="E4" s="17" t="inlineStr">
        <is>
          <t>PCS</t>
        </is>
      </c>
      <c r="F4" s="18" t="n"/>
      <c r="G4" s="18" t="n">
        <v>15</v>
      </c>
      <c r="H4" s="20">
        <f>SUMIFS(領用表!$L:$L,領用表!$E:$E,$B4,領用表!$B:$B,H$2&amp;$P$1)</f>
        <v/>
      </c>
      <c r="I4" s="20">
        <f>SUMIFS(領用表!$L:$L,領用表!$E:$E,$B4,領用表!$B:$B,I$2&amp;$P$1)</f>
        <v/>
      </c>
      <c r="J4" s="20">
        <f>SUMIFS(領用表!$L:$L,領用表!$E:$E,$B4,領用表!$B:$B,J$2&amp;$P$1)</f>
        <v/>
      </c>
      <c r="K4" s="142">
        <f>SUMIFS(領用表!$L:$L,領用表!$E:$E,$B4,領用表!$B:$B,K$2&amp;$P$1)</f>
        <v/>
      </c>
      <c r="L4" s="142">
        <f>SUMIFS(領用表!$L:$L,領用表!$E:$E,$B4,領用表!$B:$B,L$2&amp;$P$1)</f>
        <v/>
      </c>
      <c r="M4" s="142">
        <f>SUMIFS(領用表!$L:$L,領用表!$E:$E,$B4,領用表!$B:$B,M$2&amp;$P$1)</f>
        <v/>
      </c>
      <c r="N4" s="23">
        <f>SUM(,H4,I4,J4,K4,L4,M4)</f>
        <v/>
      </c>
      <c r="O4" s="23">
        <f>AVERAGE(,H4,I4,J4,K4,L4,M4)</f>
        <v/>
      </c>
      <c r="P4" s="142">
        <f>SUMIFS(領用表!$L:$L,領用表!$E:$E,$B4,領用表!$B:$B,P$2&amp;$P$1)</f>
        <v/>
      </c>
      <c r="Q4" s="142">
        <f>SUMIFS(領用表!$L:$L,領用表!$E:$E,$B4,領用表!$B:$B,Q$2&amp;$P$1)</f>
        <v/>
      </c>
      <c r="R4" s="142">
        <f>SUMIFS(領用表!$L:$L,領用表!$E:$E,$B4,領用表!$B:$B,R$2&amp;$P$1)</f>
        <v/>
      </c>
      <c r="S4" s="142">
        <f>SUMIFS(領用表!$L:$L,領用表!$E:$E,$B4,領用表!$B:$B,S$2&amp;$P$1)</f>
        <v/>
      </c>
      <c r="T4" s="142">
        <f>SUMIFS(領用表!$L:$L,領用表!$E:$E,$B4,領用表!$B:$B,T$2&amp;$P$1)</f>
        <v/>
      </c>
      <c r="U4" s="142" t="n">
        <v>15</v>
      </c>
      <c r="V4" s="142">
        <f>SUMIFS(領用表!$L:$L,領用表!$E:$E,$B4,領用表!$B:$B,V$2&amp;$P$1)</f>
        <v/>
      </c>
      <c r="W4" s="142">
        <f>SUMIFS(領用表!$L:$L,領用表!$E:$E,$B4,領用表!$B:$B,W$2&amp;$P$1)</f>
        <v/>
      </c>
      <c r="X4" s="142">
        <f>SUMIFS(領用表!$L:$L,領用表!$E:$E,$B4,領用表!$B:$B,X$2&amp;$P$1)</f>
        <v/>
      </c>
      <c r="Y4" s="142">
        <f>SUMIFS(領用表!$L:$L,領用表!$E:$E,$B4,領用表!$B:$B,Y$2&amp;$P$1)</f>
        <v/>
      </c>
      <c r="Z4" s="142">
        <f>SUMIFS(領用表!$L:$L,領用表!$E:$E,$B4,領用表!$B:$B,Z$2&amp;$P$1)</f>
        <v/>
      </c>
      <c r="AA4" s="142">
        <f>SUMIFS(領用表!$L:$L,領用表!$E:$E,$B4,領用表!$B:$B,AA$2&amp;$P$1)</f>
        <v/>
      </c>
      <c r="AB4" s="208">
        <f>SUM(P4,Q4,R4,S4,T4,U4)</f>
        <v/>
      </c>
      <c r="AC4" s="142">
        <f>AVERAGE(P4,Q4,R4,S4,T4,U4)</f>
        <v/>
      </c>
      <c r="AD4" s="142">
        <f>SUMIF(Summary!B:B,B4,Summary!EB:EB)</f>
        <v/>
      </c>
      <c r="AE4" s="100" t="n">
        <v>55</v>
      </c>
      <c r="AF4" s="24" t="n">
        <v>0</v>
      </c>
      <c r="AG4" s="25" t="inlineStr">
        <is>
          <t>40盒(10/21)</t>
        </is>
      </c>
      <c r="AH4" s="25" t="inlineStr">
        <is>
          <t>10盒(10/21)</t>
        </is>
      </c>
      <c r="AI4" s="27" t="n"/>
      <c r="AJ4" s="28" t="n"/>
      <c r="AK4" s="14" t="n"/>
      <c r="AL4" s="29" t="n"/>
    </row>
    <row r="5" ht="15.75" customHeight="1" s="453">
      <c r="A5" s="27" t="inlineStr">
        <is>
          <t>MP1MA020020A</t>
        </is>
      </c>
      <c r="B5" s="14" t="n">
        <v>6150002</v>
      </c>
      <c r="C5" s="118" t="inlineStr">
        <is>
          <t>喬雅登夢蓓菈玻尿酸植入物Volbella 1ml/ syringe(1支)</t>
        </is>
      </c>
      <c r="D5" s="16" t="n">
        <v>2</v>
      </c>
      <c r="E5" s="17" t="inlineStr">
        <is>
          <t>PCS</t>
        </is>
      </c>
      <c r="F5" s="18" t="n"/>
      <c r="G5" s="18" t="n">
        <v>9</v>
      </c>
      <c r="H5" s="20">
        <f>SUMIFS(領用表!$L:$L,領用表!$E:$E,$B5,領用表!$B:$B,H$2&amp;$P$1)</f>
        <v/>
      </c>
      <c r="I5" s="20">
        <f>SUMIFS(領用表!$L:$L,領用表!$E:$E,$B5,領用表!$B:$B,I$2&amp;$P$1)</f>
        <v/>
      </c>
      <c r="J5" s="20">
        <f>SUMIFS(領用表!$L:$L,領用表!$E:$E,$B5,領用表!$B:$B,J$2&amp;$P$1)</f>
        <v/>
      </c>
      <c r="K5" s="142">
        <f>SUMIFS(領用表!$L:$L,領用表!$E:$E,$B5,領用表!$B:$B,K$2&amp;$P$1)</f>
        <v/>
      </c>
      <c r="L5" s="142">
        <f>SUMIFS(領用表!$L:$L,領用表!$E:$E,$B5,領用表!$B:$B,L$2&amp;$P$1)</f>
        <v/>
      </c>
      <c r="M5" s="142">
        <f>SUMIFS(領用表!$L:$L,領用表!$E:$E,$B5,領用表!$B:$B,M$2&amp;$P$1)</f>
        <v/>
      </c>
      <c r="N5" s="23">
        <f>SUM(,H5,I5,J5,K5,L5,M5)</f>
        <v/>
      </c>
      <c r="O5" s="23">
        <f>AVERAGE(,H5,I5,J5,K5,L5,M5)</f>
        <v/>
      </c>
      <c r="P5" s="142">
        <f>SUMIFS(領用表!$L:$L,領用表!$E:$E,$B5,領用表!$B:$B,P$2&amp;$P$1)</f>
        <v/>
      </c>
      <c r="Q5" s="142">
        <f>SUMIFS(領用表!$L:$L,領用表!$E:$E,$B5,領用表!$B:$B,Q$2&amp;$P$1)</f>
        <v/>
      </c>
      <c r="R5" s="142">
        <f>SUMIFS(領用表!$L:$L,領用表!$E:$E,$B5,領用表!$B:$B,R$2&amp;$P$1)</f>
        <v/>
      </c>
      <c r="S5" s="142">
        <f>SUMIFS(領用表!$L:$L,領用表!$E:$E,$B5,領用表!$B:$B,S$2&amp;$P$1)</f>
        <v/>
      </c>
      <c r="T5" s="142">
        <f>SUMIFS(領用表!$L:$L,領用表!$E:$E,$B5,領用表!$B:$B,T$2&amp;$P$1)</f>
        <v/>
      </c>
      <c r="U5" s="142" t="n">
        <v>4</v>
      </c>
      <c r="V5" s="142">
        <f>SUMIFS(領用表!$L:$L,領用表!$E:$E,$B5,領用表!$B:$B,V$2&amp;$P$1)</f>
        <v/>
      </c>
      <c r="W5" s="142">
        <f>SUMIFS(領用表!$L:$L,領用表!$E:$E,$B5,領用表!$B:$B,W$2&amp;$P$1)</f>
        <v/>
      </c>
      <c r="X5" s="142">
        <f>SUMIFS(領用表!$L:$L,領用表!$E:$E,$B5,領用表!$B:$B,X$2&amp;$P$1)</f>
        <v/>
      </c>
      <c r="Y5" s="142">
        <f>SUMIFS(領用表!$L:$L,領用表!$E:$E,$B5,領用表!$B:$B,Y$2&amp;$P$1)</f>
        <v/>
      </c>
      <c r="Z5" s="142">
        <f>SUMIFS(領用表!$L:$L,領用表!$E:$E,$B5,領用表!$B:$B,Z$2&amp;$P$1)</f>
        <v/>
      </c>
      <c r="AA5" s="142">
        <f>SUMIFS(領用表!$L:$L,領用表!$E:$E,$B5,領用表!$B:$B,AA$2&amp;$P$1)</f>
        <v/>
      </c>
      <c r="AB5" s="142">
        <f>SUM(P5,Q5,R5,S5,T5,U5)</f>
        <v/>
      </c>
      <c r="AC5" s="142">
        <f>AVERAGE(P5,Q5,R5,S5,T5,U5)</f>
        <v/>
      </c>
      <c r="AD5" s="142">
        <f>SUMIF(Summary!B:B,B5,Summary!EB:EB)</f>
        <v/>
      </c>
      <c r="AE5" s="100" t="n">
        <v>8</v>
      </c>
      <c r="AF5" s="24" t="n">
        <v>0</v>
      </c>
      <c r="AG5" s="25" t="n"/>
      <c r="AH5" s="25" t="inlineStr">
        <is>
          <t>10盒(10/21)</t>
        </is>
      </c>
      <c r="AI5" s="27" t="n"/>
      <c r="AJ5" s="28" t="n"/>
      <c r="AK5" s="14" t="n"/>
      <c r="AL5" s="29" t="n"/>
    </row>
    <row r="6" ht="15.75" customHeight="1" s="453">
      <c r="A6" s="27" t="inlineStr">
        <is>
          <t>MP1MA020021A</t>
        </is>
      </c>
      <c r="B6" s="14" t="n">
        <v>6150003</v>
      </c>
      <c r="C6" s="118" t="inlineStr">
        <is>
          <t>喬雅登豐麗緹玻尿酸植入物Volift 1ml/ syringe(1支)</t>
        </is>
      </c>
      <c r="D6" s="16" t="n">
        <v>2</v>
      </c>
      <c r="E6" s="17" t="inlineStr">
        <is>
          <t>PCS</t>
        </is>
      </c>
      <c r="F6" s="18" t="n"/>
      <c r="G6" s="18" t="n">
        <v>10</v>
      </c>
      <c r="H6" s="20">
        <f>SUMIFS(領用表!$L:$L,領用表!$E:$E,$B6,領用表!$B:$B,H$2&amp;$P$1)</f>
        <v/>
      </c>
      <c r="I6" s="20">
        <f>SUMIFS(領用表!$L:$L,領用表!$E:$E,$B6,領用表!$B:$B,I$2&amp;$P$1)</f>
        <v/>
      </c>
      <c r="J6" s="20">
        <f>SUMIFS(領用表!$L:$L,領用表!$E:$E,$B6,領用表!$B:$B,J$2&amp;$P$1)</f>
        <v/>
      </c>
      <c r="K6" s="142">
        <f>SUMIFS(領用表!$L:$L,領用表!$E:$E,$B6,領用表!$B:$B,K$2&amp;$P$1)</f>
        <v/>
      </c>
      <c r="L6" s="142">
        <f>SUMIFS(領用表!$L:$L,領用表!$E:$E,$B6,領用表!$B:$B,L$2&amp;$P$1)</f>
        <v/>
      </c>
      <c r="M6" s="142">
        <f>SUMIFS(領用表!$L:$L,領用表!$E:$E,$B6,領用表!$B:$B,M$2&amp;$P$1)</f>
        <v/>
      </c>
      <c r="N6" s="23">
        <f>SUM(,H6,I6,J6,K6,L6,M6)</f>
        <v/>
      </c>
      <c r="O6" s="23">
        <f>AVERAGE(,H6,I6,J6,K6,L6,M6)</f>
        <v/>
      </c>
      <c r="P6" s="142">
        <f>SUMIFS(領用表!$L:$L,領用表!$E:$E,$B6,領用表!$B:$B,P$2&amp;$P$1)</f>
        <v/>
      </c>
      <c r="Q6" s="142">
        <f>SUMIFS(領用表!$L:$L,領用表!$E:$E,$B6,領用表!$B:$B,Q$2&amp;$P$1)</f>
        <v/>
      </c>
      <c r="R6" s="142">
        <f>SUMIFS(領用表!$L:$L,領用表!$E:$E,$B6,領用表!$B:$B,R$2&amp;$P$1)</f>
        <v/>
      </c>
      <c r="S6" s="142">
        <f>SUMIFS(領用表!$L:$L,領用表!$E:$E,$B6,領用表!$B:$B,S$2&amp;$P$1)</f>
        <v/>
      </c>
      <c r="T6" s="142">
        <f>SUMIFS(領用表!$L:$L,領用表!$E:$E,$B6,領用表!$B:$B,T$2&amp;$P$1)</f>
        <v/>
      </c>
      <c r="U6" s="142" t="n">
        <v>2</v>
      </c>
      <c r="V6" s="142">
        <f>SUMIFS(領用表!$L:$L,領用表!$E:$E,$B6,領用表!$B:$B,V$2&amp;$P$1)</f>
        <v/>
      </c>
      <c r="W6" s="142">
        <f>SUMIFS(領用表!$L:$L,領用表!$E:$E,$B6,領用表!$B:$B,W$2&amp;$P$1)</f>
        <v/>
      </c>
      <c r="X6" s="142">
        <f>SUMIFS(領用表!$L:$L,領用表!$E:$E,$B6,領用表!$B:$B,X$2&amp;$P$1)</f>
        <v/>
      </c>
      <c r="Y6" s="142">
        <f>SUMIFS(領用表!$L:$L,領用表!$E:$E,$B6,領用表!$B:$B,Y$2&amp;$P$1)</f>
        <v/>
      </c>
      <c r="Z6" s="142">
        <f>SUMIFS(領用表!$L:$L,領用表!$E:$E,$B6,領用表!$B:$B,Z$2&amp;$P$1)</f>
        <v/>
      </c>
      <c r="AA6" s="142">
        <f>SUMIFS(領用表!$L:$L,領用表!$E:$E,$B6,領用表!$B:$B,AA$2&amp;$P$1)</f>
        <v/>
      </c>
      <c r="AB6" s="142">
        <f>SUM(P6,Q6,R6,S6,T6,U6)</f>
        <v/>
      </c>
      <c r="AC6" s="142">
        <f>AVERAGE(P6,Q6,R6,S6,T6,U6)</f>
        <v/>
      </c>
      <c r="AD6" s="142">
        <f>SUMIF(Summary!B:B,B6,Summary!EB:EB)</f>
        <v/>
      </c>
      <c r="AE6" s="101" t="n">
        <v>3</v>
      </c>
      <c r="AF6" s="24" t="n">
        <v>0</v>
      </c>
      <c r="AG6" s="25" t="n"/>
      <c r="AH6" s="25" t="n"/>
      <c r="AI6" s="27" t="n"/>
      <c r="AJ6" s="28" t="n"/>
      <c r="AK6" s="14" t="n"/>
      <c r="AL6" s="29" t="n"/>
    </row>
    <row r="7" ht="15.75" customHeight="1" s="453">
      <c r="A7" s="27" t="inlineStr">
        <is>
          <t>MP1MA020022A</t>
        </is>
      </c>
      <c r="B7" s="14" t="n">
        <v>6150004</v>
      </c>
      <c r="C7" s="118" t="inlineStr">
        <is>
          <t>喬雅登豐塑玻尿酸植入物Volux 1ml/ syringe(1支)</t>
        </is>
      </c>
      <c r="D7" s="16" t="n">
        <v>2</v>
      </c>
      <c r="E7" s="17" t="inlineStr">
        <is>
          <t>PCS</t>
        </is>
      </c>
      <c r="F7" s="18" t="n"/>
      <c r="G7" s="18" t="n">
        <v>3</v>
      </c>
      <c r="H7" s="20">
        <f>SUMIFS(領用表!$L:$L,領用表!$E:$E,$B7,領用表!$B:$B,H$2&amp;$P$1)</f>
        <v/>
      </c>
      <c r="I7" s="20">
        <f>SUMIFS(領用表!$L:$L,領用表!$E:$E,$B7,領用表!$B:$B,I$2&amp;$P$1)</f>
        <v/>
      </c>
      <c r="J7" s="20">
        <f>SUMIFS(領用表!$L:$L,領用表!$E:$E,$B7,領用表!$B:$B,J$2&amp;$P$1)</f>
        <v/>
      </c>
      <c r="K7" s="142">
        <f>SUMIFS(領用表!$L:$L,領用表!$E:$E,$B7,領用表!$B:$B,K$2&amp;$P$1)</f>
        <v/>
      </c>
      <c r="L7" s="142">
        <f>SUMIFS(領用表!$L:$L,領用表!$E:$E,$B7,領用表!$B:$B,L$2&amp;$P$1)</f>
        <v/>
      </c>
      <c r="M7" s="142">
        <f>SUMIFS(領用表!$L:$L,領用表!$E:$E,$B7,領用表!$B:$B,M$2&amp;$P$1)</f>
        <v/>
      </c>
      <c r="N7" s="23">
        <f>SUM(,H7,I7,J7,K7,L7,M7)</f>
        <v/>
      </c>
      <c r="O7" s="23">
        <f>AVERAGE(,H7,I7,J7,K7,L7,M7)</f>
        <v/>
      </c>
      <c r="P7" s="142">
        <f>SUMIFS(領用表!$L:$L,領用表!$E:$E,$B7,領用表!$B:$B,P$2&amp;$P$1)</f>
        <v/>
      </c>
      <c r="Q7" s="142">
        <f>SUMIFS(領用表!$L:$L,領用表!$E:$E,$B7,領用表!$B:$B,Q$2&amp;$P$1)</f>
        <v/>
      </c>
      <c r="R7" s="142">
        <f>SUMIFS(領用表!$L:$L,領用表!$E:$E,$B7,領用表!$B:$B,R$2&amp;$P$1)</f>
        <v/>
      </c>
      <c r="S7" s="142">
        <f>SUMIFS(領用表!$L:$L,領用表!$E:$E,$B7,領用表!$B:$B,S$2&amp;$P$1)</f>
        <v/>
      </c>
      <c r="T7" s="142">
        <f>SUMIFS(領用表!$L:$L,領用表!$E:$E,$B7,領用表!$B:$B,T$2&amp;$P$1)</f>
        <v/>
      </c>
      <c r="U7" s="142" t="n"/>
      <c r="V7" s="142">
        <f>SUMIFS(領用表!$L:$L,領用表!$E:$E,$B7,領用表!$B:$B,V$2&amp;$P$1)</f>
        <v/>
      </c>
      <c r="W7" s="142">
        <f>SUMIFS(領用表!$L:$L,領用表!$E:$E,$B7,領用表!$B:$B,W$2&amp;$P$1)</f>
        <v/>
      </c>
      <c r="X7" s="142">
        <f>SUMIFS(領用表!$L:$L,領用表!$E:$E,$B7,領用表!$B:$B,X$2&amp;$P$1)</f>
        <v/>
      </c>
      <c r="Y7" s="142">
        <f>SUMIFS(領用表!$L:$L,領用表!$E:$E,$B7,領用表!$B:$B,Y$2&amp;$P$1)</f>
        <v/>
      </c>
      <c r="Z7" s="142">
        <f>SUMIFS(領用表!$L:$L,領用表!$E:$E,$B7,領用表!$B:$B,Z$2&amp;$P$1)</f>
        <v/>
      </c>
      <c r="AA7" s="142">
        <f>SUMIFS(領用表!$L:$L,領用表!$E:$E,$B7,領用表!$B:$B,AA$2&amp;$P$1)</f>
        <v/>
      </c>
      <c r="AB7" s="142">
        <f>SUM(P7,Q7,R7,S7,T7,U7)</f>
        <v/>
      </c>
      <c r="AC7" s="142">
        <f>AVERAGE(P7,Q7,R7,S7,T7,U7)</f>
        <v/>
      </c>
      <c r="AD7" s="142">
        <f>SUMIF(Summary!B:B,B7,Summary!EB:EB)</f>
        <v/>
      </c>
      <c r="AE7" s="101" t="n">
        <v>20</v>
      </c>
      <c r="AF7" s="24" t="n">
        <v>0</v>
      </c>
      <c r="AG7" s="25" t="n"/>
      <c r="AH7" s="25" t="inlineStr">
        <is>
          <t>15盒(10/21)</t>
        </is>
      </c>
      <c r="AI7" s="27" t="n"/>
      <c r="AJ7" s="28" t="n"/>
      <c r="AK7" s="14" t="n"/>
      <c r="AL7" s="29" t="n"/>
    </row>
    <row r="8" ht="15.75" customHeight="1" s="453">
      <c r="A8" s="27" t="inlineStr">
        <is>
          <t>MP1MA020023A</t>
        </is>
      </c>
      <c r="B8" s="14" t="n">
        <v>6150005</v>
      </c>
      <c r="C8" s="411" t="inlineStr">
        <is>
          <t>喬雅登芙潤玻尿酸植入物Volite 1ml/ Syringe(1支)</t>
        </is>
      </c>
      <c r="D8" s="16" t="n">
        <v>2</v>
      </c>
      <c r="E8" s="17" t="inlineStr">
        <is>
          <t>PCS</t>
        </is>
      </c>
      <c r="F8" s="18" t="n"/>
      <c r="G8" s="18" t="n">
        <v>0</v>
      </c>
      <c r="H8" s="20">
        <f>SUMIFS(領用表!$L:$L,領用表!$E:$E,$B8,領用表!$B:$B,H$2&amp;$P$1)</f>
        <v/>
      </c>
      <c r="I8" s="20">
        <f>SUMIFS(領用表!$L:$L,領用表!$E:$E,$B8,領用表!$B:$B,I$2&amp;$P$1)</f>
        <v/>
      </c>
      <c r="J8" s="20">
        <f>SUMIFS(領用表!$L:$L,領用表!$E:$E,$B8,領用表!$B:$B,J$2&amp;$P$1)</f>
        <v/>
      </c>
      <c r="K8" s="142">
        <f>SUMIFS(領用表!$L:$L,領用表!$E:$E,$B8,領用表!$B:$B,K$2&amp;$P$1)</f>
        <v/>
      </c>
      <c r="L8" s="142">
        <f>SUMIFS(領用表!$L:$L,領用表!$E:$E,$B8,領用表!$B:$B,L$2&amp;$P$1)</f>
        <v/>
      </c>
      <c r="M8" s="142">
        <f>SUMIFS(領用表!$L:$L,領用表!$E:$E,$B8,領用表!$B:$B,M$2&amp;$P$1)</f>
        <v/>
      </c>
      <c r="N8" s="23">
        <f>SUM(,H8,I8,J8,K8,L8,M8)</f>
        <v/>
      </c>
      <c r="O8" s="23">
        <f>AVERAGE(,H8,I8,J8,K8,L8,M8)</f>
        <v/>
      </c>
      <c r="P8" s="142">
        <f>SUMIFS(領用表!$L:$L,領用表!$E:$E,$B8,領用表!$B:$B,P$2&amp;$P$1)</f>
        <v/>
      </c>
      <c r="Q8" s="142">
        <f>SUMIFS(領用表!$L:$L,領用表!$E:$E,$B8,領用表!$B:$B,Q$2&amp;$P$1)</f>
        <v/>
      </c>
      <c r="R8" s="142">
        <f>SUMIFS(領用表!$L:$L,領用表!$E:$E,$B8,領用表!$B:$B,R$2&amp;$P$1)</f>
        <v/>
      </c>
      <c r="S8" s="142">
        <f>SUMIFS(領用表!$L:$L,領用表!$E:$E,$B8,領用表!$B:$B,S$2&amp;$P$1)</f>
        <v/>
      </c>
      <c r="T8" s="142">
        <f>SUMIFS(領用表!$L:$L,領用表!$E:$E,$B8,領用表!$B:$B,T$2&amp;$P$1)</f>
        <v/>
      </c>
      <c r="U8" s="142" t="n"/>
      <c r="V8" s="142">
        <f>SUMIFS(領用表!$L:$L,領用表!$E:$E,$B8,領用表!$B:$B,V$2&amp;$P$1)</f>
        <v/>
      </c>
      <c r="W8" s="142">
        <f>SUMIFS(領用表!$L:$L,領用表!$E:$E,$B8,領用表!$B:$B,W$2&amp;$P$1)</f>
        <v/>
      </c>
      <c r="X8" s="142">
        <f>SUMIFS(領用表!$L:$L,領用表!$E:$E,$B8,領用表!$B:$B,X$2&amp;$P$1)</f>
        <v/>
      </c>
      <c r="Y8" s="142">
        <f>SUMIFS(領用表!$L:$L,領用表!$E:$E,$B8,領用表!$B:$B,Y$2&amp;$P$1)</f>
        <v/>
      </c>
      <c r="Z8" s="142">
        <f>SUMIFS(領用表!$L:$L,領用表!$E:$E,$B8,領用表!$B:$B,Z$2&amp;$P$1)</f>
        <v/>
      </c>
      <c r="AA8" s="142">
        <f>SUMIFS(領用表!$L:$L,領用表!$E:$E,$B8,領用表!$B:$B,AA$2&amp;$P$1)</f>
        <v/>
      </c>
      <c r="AB8" s="142">
        <f>SUM(P8,Q8,R8,S8,T8,U8)</f>
        <v/>
      </c>
      <c r="AC8" s="142">
        <f>AVERAGE(P8,Q8,R8,S8,T8,U8)</f>
        <v/>
      </c>
      <c r="AD8" s="142">
        <f>SUMIF(Summary!B:B,B8,Summary!EB:EB)</f>
        <v/>
      </c>
      <c r="AE8" s="101" t="n"/>
      <c r="AF8" s="24" t="n">
        <v>0</v>
      </c>
      <c r="AG8" s="25" t="n"/>
      <c r="AH8" s="25" t="n"/>
      <c r="AI8" s="27" t="n"/>
      <c r="AJ8" s="28" t="n"/>
      <c r="AK8" s="14" t="n"/>
      <c r="AL8" s="29" t="n"/>
    </row>
    <row r="9" ht="15.75" customHeight="1" s="453">
      <c r="A9" s="27" t="n"/>
      <c r="B9" s="118" t="n">
        <v>6150015</v>
      </c>
      <c r="C9" s="118" t="inlineStr">
        <is>
          <t>喬雅登絲漾膚玻尿酸植入物Skinvive 1ml/支</t>
        </is>
      </c>
      <c r="D9" s="16" t="n">
        <v>2</v>
      </c>
      <c r="E9" s="17" t="inlineStr">
        <is>
          <t>PCS</t>
        </is>
      </c>
      <c r="F9" s="18" t="n"/>
      <c r="G9" s="18" t="n">
        <v>1</v>
      </c>
      <c r="H9" s="20" t="n"/>
      <c r="I9" s="20" t="n"/>
      <c r="J9" s="20" t="n"/>
      <c r="K9" s="142" t="n"/>
      <c r="L9" s="142" t="n"/>
      <c r="M9" s="142" t="n"/>
      <c r="N9" s="23" t="n"/>
      <c r="O9" s="23" t="n"/>
      <c r="P9" s="142">
        <f>SUMIFS(領用表!$L:$L,領用表!$E:$E,$B9,領用表!$B:$B,P$2&amp;$P$1)</f>
        <v/>
      </c>
      <c r="Q9" s="142">
        <f>SUMIFS(領用表!$L:$L,領用表!$E:$E,$B9,領用表!$B:$B,Q$2&amp;$P$1)</f>
        <v/>
      </c>
      <c r="R9" s="142">
        <f>SUMIFS(領用表!$L:$L,領用表!$E:$E,$B9,領用表!$B:$B,R$2&amp;$P$1)</f>
        <v/>
      </c>
      <c r="S9" s="142">
        <f>SUMIFS(領用表!$L:$L,領用表!$E:$E,$B9,領用表!$B:$B,S$2&amp;$P$1)</f>
        <v/>
      </c>
      <c r="T9" s="142">
        <f>SUMIFS(領用表!$L:$L,領用表!$E:$E,$B9,領用表!$B:$B,T$2&amp;$P$1)</f>
        <v/>
      </c>
      <c r="U9" s="142" t="n">
        <v>2</v>
      </c>
      <c r="V9" s="142">
        <f>SUMIFS(領用表!$L:$L,領用表!$E:$E,$B9,領用表!$B:$B,V$2&amp;$P$1)</f>
        <v/>
      </c>
      <c r="W9" s="142">
        <f>SUMIFS(領用表!$L:$L,領用表!$E:$E,$B9,領用表!$B:$B,W$2&amp;$P$1)</f>
        <v/>
      </c>
      <c r="X9" s="142">
        <f>SUMIFS(領用表!$L:$L,領用表!$E:$E,$B9,領用表!$B:$B,X$2&amp;$P$1)</f>
        <v/>
      </c>
      <c r="Y9" s="142">
        <f>SUMIFS(領用表!$L:$L,領用表!$E:$E,$B9,領用表!$B:$B,Y$2&amp;$P$1)</f>
        <v/>
      </c>
      <c r="Z9" s="142">
        <f>SUMIFS(領用表!$L:$L,領用表!$E:$E,$B9,領用表!$B:$B,Z$2&amp;$P$1)</f>
        <v/>
      </c>
      <c r="AA9" s="142">
        <f>SUMIFS(領用表!$L:$L,領用表!$E:$E,$B9,領用表!$B:$B,AA$2&amp;$P$1)</f>
        <v/>
      </c>
      <c r="AB9" s="142">
        <f>SUM(P9,Q9,R9,S9,T9,U9)</f>
        <v/>
      </c>
      <c r="AC9" s="142">
        <f>AVERAGE(P9,Q9,R9,S9,T9,U9)</f>
        <v/>
      </c>
      <c r="AD9" s="142">
        <f>SUMIF(Summary!B:B,B9,Summary!EB:EB)</f>
        <v/>
      </c>
      <c r="AE9" s="101" t="n"/>
      <c r="AF9" s="477" t="n"/>
      <c r="AG9" s="25" t="n"/>
      <c r="AH9" s="25" t="n"/>
      <c r="AI9" s="27" t="n"/>
      <c r="AJ9" s="28" t="n"/>
      <c r="AK9" s="14" t="n"/>
      <c r="AL9" s="29" t="n"/>
    </row>
    <row r="10" ht="15.75" customHeight="1" s="453">
      <c r="A10" s="27" t="n"/>
      <c r="B10" s="118" t="n">
        <v>6150016</v>
      </c>
      <c r="C10" s="432" t="inlineStr">
        <is>
          <t>彈力針(1支/盒)</t>
        </is>
      </c>
      <c r="D10" s="16" t="n">
        <v>1</v>
      </c>
      <c r="E10" s="17" t="inlineStr">
        <is>
          <t>PCS</t>
        </is>
      </c>
      <c r="F10" s="18" t="n"/>
      <c r="G10" s="18" t="n">
        <v>3</v>
      </c>
      <c r="H10" s="20" t="n"/>
      <c r="I10" s="20" t="n"/>
      <c r="J10" s="20" t="n"/>
      <c r="K10" s="142" t="n"/>
      <c r="L10" s="142" t="n"/>
      <c r="M10" s="142" t="n"/>
      <c r="N10" s="23" t="n"/>
      <c r="O10" s="23" t="n"/>
      <c r="P10" s="142" t="n"/>
      <c r="Q10" s="142" t="n"/>
      <c r="R10" s="142" t="n"/>
      <c r="S10" s="142" t="n"/>
      <c r="T10" s="142">
        <f>SUMIFS(領用表!$L:$L,領用表!$E:$E,$B10,領用表!$B:$B,T$2&amp;$P$1)</f>
        <v/>
      </c>
      <c r="U10" s="142" t="n"/>
      <c r="V10" s="142" t="n"/>
      <c r="W10" s="142" t="n"/>
      <c r="X10" s="142" t="n"/>
      <c r="Y10" s="142" t="n"/>
      <c r="Z10" s="142" t="n"/>
      <c r="AA10" s="142" t="n"/>
      <c r="AB10" s="142">
        <f>SUM(P10,Q10,R10,S10,T10,U10)</f>
        <v/>
      </c>
      <c r="AC10" s="142">
        <f>AVERAGE(P10,Q10,R10,S10,T10,U10)</f>
        <v/>
      </c>
      <c r="AD10" s="142">
        <f>SUMIF(Summary!B:B,B10,Summary!EB:EB)</f>
        <v/>
      </c>
      <c r="AE10" s="101" t="n"/>
      <c r="AF10" s="477" t="n"/>
      <c r="AG10" s="25" t="n"/>
      <c r="AH10" s="25" t="n"/>
      <c r="AI10" s="27" t="n"/>
      <c r="AJ10" s="28" t="n"/>
      <c r="AK10" s="14" t="n"/>
      <c r="AL10" s="29" t="n"/>
    </row>
    <row r="11" ht="15.75" customHeight="1" s="453">
      <c r="A11" s="27" t="inlineStr">
        <is>
          <t>MP1MA010011A</t>
        </is>
      </c>
      <c r="B11" s="14" t="n">
        <v>6180015</v>
      </c>
      <c r="C11" s="118" t="inlineStr">
        <is>
          <t>MINT秘特拉提線EASY 42.4CM(1支)</t>
        </is>
      </c>
      <c r="D11" s="16" t="n">
        <v>2</v>
      </c>
      <c r="E11" s="17" t="inlineStr">
        <is>
          <t>PCS</t>
        </is>
      </c>
      <c r="F11" s="18" t="n"/>
      <c r="G11" s="18" t="n">
        <v>0</v>
      </c>
      <c r="H11" s="20">
        <f>SUMIFS(領用表!$L:$L,領用表!$E:$E,$B11,領用表!$B:$B,H$2&amp;$P$1)</f>
        <v/>
      </c>
      <c r="I11" s="20">
        <f>SUMIFS(領用表!$L:$L,領用表!$E:$E,$B11,領用表!$B:$B,I$2&amp;$P$1)</f>
        <v/>
      </c>
      <c r="J11" s="20">
        <f>SUMIFS(領用表!$L:$L,領用表!$E:$E,$B11,領用表!$B:$B,J$2&amp;$P$1)</f>
        <v/>
      </c>
      <c r="K11" s="142">
        <f>SUMIFS(領用表!$L:$L,領用表!$E:$E,$B11,領用表!$B:$B,K$2&amp;$P$1)</f>
        <v/>
      </c>
      <c r="L11" s="142">
        <f>SUMIFS(領用表!$L:$L,領用表!$E:$E,$B11,領用表!$B:$B,L$2&amp;$P$1)</f>
        <v/>
      </c>
      <c r="M11" s="142">
        <f>SUMIFS(領用表!$L:$L,領用表!$E:$E,$B11,領用表!$B:$B,M$2&amp;$P$1)</f>
        <v/>
      </c>
      <c r="N11" s="23">
        <f>SUM(,H11,I11,J11,K11,L11,M11)</f>
        <v/>
      </c>
      <c r="O11" s="23">
        <f>AVERAGE(,H11,I11,J11,K11,L11,M11)</f>
        <v/>
      </c>
      <c r="P11" s="142">
        <f>SUMIFS(領用表!$L:$L,領用表!$E:$E,$B11,領用表!$B:$B,P$2&amp;$P$1)</f>
        <v/>
      </c>
      <c r="Q11" s="142">
        <f>SUMIFS(領用表!$L:$L,領用表!$E:$E,$B11,領用表!$B:$B,Q$2&amp;$P$1)</f>
        <v/>
      </c>
      <c r="R11" s="142">
        <f>SUMIFS(領用表!$L:$L,領用表!$E:$E,$B11,領用表!$B:$B,R$2&amp;$P$1)</f>
        <v/>
      </c>
      <c r="S11" s="142">
        <f>SUMIFS(領用表!$L:$L,領用表!$E:$E,$B11,領用表!$B:$B,S$2&amp;$P$1)</f>
        <v/>
      </c>
      <c r="T11" s="142">
        <f>SUMIFS(領用表!$L:$L,領用表!$E:$E,$B11,領用表!$B:$B,T$2&amp;$P$1)</f>
        <v/>
      </c>
      <c r="U11" s="142" t="n"/>
      <c r="V11" s="142">
        <f>SUMIFS(領用表!$L:$L,領用表!$E:$E,$B11,領用表!$B:$B,V$2&amp;$P$1)</f>
        <v/>
      </c>
      <c r="W11" s="142">
        <f>SUMIFS(領用表!$L:$L,領用表!$E:$E,$B11,領用表!$B:$B,W$2&amp;$P$1)</f>
        <v/>
      </c>
      <c r="X11" s="142">
        <f>SUMIFS(領用表!$L:$L,領用表!$E:$E,$B11,領用表!$B:$B,X$2&amp;$P$1)</f>
        <v/>
      </c>
      <c r="Y11" s="142">
        <f>SUMIFS(領用表!$L:$L,領用表!$E:$E,$B11,領用表!$B:$B,Y$2&amp;$P$1)</f>
        <v/>
      </c>
      <c r="Z11" s="142">
        <f>SUMIFS(領用表!$L:$L,領用表!$E:$E,$B11,領用表!$B:$B,Z$2&amp;$P$1)</f>
        <v/>
      </c>
      <c r="AA11" s="142">
        <f>SUMIFS(領用表!$L:$L,領用表!$E:$E,$B11,領用表!$B:$B,AA$2&amp;$P$1)</f>
        <v/>
      </c>
      <c r="AB11" s="142">
        <f>SUM(P11,Q11,R11,S11,T11,U11)</f>
        <v/>
      </c>
      <c r="AC11" s="142">
        <f>AVERAGE(P11,Q11,R11,S11,T11,U11)</f>
        <v/>
      </c>
      <c r="AD11" s="142">
        <f>SUMIF(Summary!B:B,B11,Summary!EB:EB)</f>
        <v/>
      </c>
      <c r="AE11" s="101" t="n">
        <v>0</v>
      </c>
      <c r="AF11" s="36" t="n"/>
      <c r="AG11" s="25" t="n"/>
      <c r="AH11" s="25" t="n"/>
      <c r="AI11" s="27" t="n"/>
      <c r="AJ11" s="28" t="n"/>
      <c r="AK11" s="14" t="n"/>
      <c r="AL11" s="29" t="n"/>
    </row>
    <row r="12" ht="15.75" customHeight="1" s="453">
      <c r="A12" s="27" t="inlineStr">
        <is>
          <t>MP1MA010012A</t>
        </is>
      </c>
      <c r="B12" s="14" t="n">
        <v>6180005</v>
      </c>
      <c r="C12" s="118" t="inlineStr">
        <is>
          <t>MINT秘特拉提線FINE 18CM(1支)</t>
        </is>
      </c>
      <c r="D12" s="16" t="n">
        <v>20</v>
      </c>
      <c r="E12" s="17" t="inlineStr">
        <is>
          <t>PCS</t>
        </is>
      </c>
      <c r="F12" s="18" t="n"/>
      <c r="G12" s="18" t="n">
        <v>4</v>
      </c>
      <c r="H12" s="20">
        <f>SUMIFS(領用表!$L:$L,領用表!$E:$E,$B12,領用表!$B:$B,H$2&amp;$P$1)</f>
        <v/>
      </c>
      <c r="I12" s="20">
        <f>SUMIFS(領用表!$L:$L,領用表!$E:$E,$B12,領用表!$B:$B,I$2&amp;$P$1)</f>
        <v/>
      </c>
      <c r="J12" s="20">
        <f>SUMIFS(領用表!$L:$L,領用表!$E:$E,$B12,領用表!$B:$B,J$2&amp;$P$1)</f>
        <v/>
      </c>
      <c r="K12" s="142">
        <f>SUMIFS(領用表!$L:$L,領用表!$E:$E,$B12,領用表!$B:$B,K$2&amp;$P$1)</f>
        <v/>
      </c>
      <c r="L12" s="142">
        <f>SUMIFS(領用表!$L:$L,領用表!$E:$E,$B12,領用表!$B:$B,L$2&amp;$P$1)</f>
        <v/>
      </c>
      <c r="M12" s="142">
        <f>SUMIFS(領用表!$L:$L,領用表!$E:$E,$B12,領用表!$B:$B,M$2&amp;$P$1)</f>
        <v/>
      </c>
      <c r="N12" s="23">
        <f>SUM(,H12,I12,J12,K12,L12,M12)</f>
        <v/>
      </c>
      <c r="O12" s="23">
        <f>AVERAGE(,H12,I12,J12,K12,L12,M12)</f>
        <v/>
      </c>
      <c r="P12" s="142">
        <f>SUMIFS(領用表!$L:$L,領用表!$E:$E,$B12,領用表!$B:$B,P$2&amp;$P$1)</f>
        <v/>
      </c>
      <c r="Q12" s="142">
        <f>SUMIFS(領用表!$L:$L,領用表!$E:$E,$B12,領用表!$B:$B,Q$2&amp;$P$1)</f>
        <v/>
      </c>
      <c r="R12" s="142">
        <f>SUMIFS(領用表!$L:$L,領用表!$E:$E,$B12,領用表!$B:$B,R$2&amp;$P$1)</f>
        <v/>
      </c>
      <c r="S12" s="142">
        <f>SUMIFS(領用表!$L:$L,領用表!$E:$E,$B12,領用表!$B:$B,S$2&amp;$P$1)</f>
        <v/>
      </c>
      <c r="T12" s="142">
        <f>SUMIFS(領用表!$L:$L,領用表!$E:$E,$B12,領用表!$B:$B,T$2&amp;$P$1)</f>
        <v/>
      </c>
      <c r="U12" s="142" t="n"/>
      <c r="V12" s="142">
        <f>SUMIFS(領用表!$L:$L,領用表!$E:$E,$B12,領用表!$B:$B,V$2&amp;$P$1)</f>
        <v/>
      </c>
      <c r="W12" s="142">
        <f>SUMIFS(領用表!$L:$L,領用表!$E:$E,$B12,領用表!$B:$B,W$2&amp;$P$1)</f>
        <v/>
      </c>
      <c r="X12" s="142">
        <f>SUMIFS(領用表!$L:$L,領用表!$E:$E,$B12,領用表!$B:$B,X$2&amp;$P$1)</f>
        <v/>
      </c>
      <c r="Y12" s="142">
        <f>SUMIFS(領用表!$L:$L,領用表!$E:$E,$B12,領用表!$B:$B,Y$2&amp;$P$1)</f>
        <v/>
      </c>
      <c r="Z12" s="142">
        <f>SUMIFS(領用表!$L:$L,領用表!$E:$E,$B12,領用表!$B:$B,Z$2&amp;$P$1)</f>
        <v/>
      </c>
      <c r="AA12" s="142">
        <f>SUMIFS(領用表!$L:$L,領用表!$E:$E,$B12,領用表!$B:$B,AA$2&amp;$P$1)</f>
        <v/>
      </c>
      <c r="AB12" s="142">
        <f>SUM(P12,Q12,R12,S12,T12,U12)</f>
        <v/>
      </c>
      <c r="AC12" s="142">
        <f>AVERAGE(P12,Q12,R12,S12,T12,U12)</f>
        <v/>
      </c>
      <c r="AD12" s="142">
        <f>SUMIF(Summary!B:B,B12,Summary!EB:EB)</f>
        <v/>
      </c>
      <c r="AE12" s="101" t="n">
        <v>0</v>
      </c>
      <c r="AF12" s="514" t="n"/>
      <c r="AG12" s="25" t="n"/>
      <c r="AH12" s="25" t="n"/>
      <c r="AI12" s="27" t="n"/>
      <c r="AJ12" s="28" t="n"/>
      <c r="AK12" s="14" t="n"/>
      <c r="AL12" s="29" t="n"/>
    </row>
    <row r="13" ht="15.75" customHeight="1" s="453">
      <c r="A13" s="27" t="inlineStr">
        <is>
          <t>MP1MA010013A</t>
        </is>
      </c>
      <c r="B13" s="14" t="n">
        <v>6180013</v>
      </c>
      <c r="C13" s="118" t="inlineStr">
        <is>
          <t>MINT秘特拉提線FIX 18CM(1支)</t>
        </is>
      </c>
      <c r="D13" s="16" t="n">
        <v>20</v>
      </c>
      <c r="E13" s="17" t="inlineStr">
        <is>
          <t>PCS</t>
        </is>
      </c>
      <c r="F13" s="18" t="n"/>
      <c r="G13" s="18" t="n">
        <v>0</v>
      </c>
      <c r="H13" s="20">
        <f>SUMIFS(領用表!$L:$L,領用表!$E:$E,$B13,領用表!$B:$B,H$2&amp;$P$1)</f>
        <v/>
      </c>
      <c r="I13" s="20">
        <f>SUMIFS(領用表!$L:$L,領用表!$E:$E,$B13,領用表!$B:$B,I$2&amp;$P$1)</f>
        <v/>
      </c>
      <c r="J13" s="20">
        <f>SUMIFS(領用表!$L:$L,領用表!$E:$E,$B13,領用表!$B:$B,J$2&amp;$P$1)</f>
        <v/>
      </c>
      <c r="K13" s="142">
        <f>SUMIFS(領用表!$L:$L,領用表!$E:$E,$B13,領用表!$B:$B,K$2&amp;$P$1)</f>
        <v/>
      </c>
      <c r="L13" s="142">
        <f>SUMIFS(領用表!$L:$L,領用表!$E:$E,$B13,領用表!$B:$B,L$2&amp;$P$1)</f>
        <v/>
      </c>
      <c r="M13" s="142">
        <f>SUMIFS(領用表!$L:$L,領用表!$E:$E,$B13,領用表!$B:$B,M$2&amp;$P$1)</f>
        <v/>
      </c>
      <c r="N13" s="23">
        <f>SUM(,H13,I13,J13,K13,L13,M13)</f>
        <v/>
      </c>
      <c r="O13" s="23">
        <f>AVERAGE(,H13,I13,J13,K13,L13,M13)</f>
        <v/>
      </c>
      <c r="P13" s="142">
        <f>SUMIFS(領用表!$L:$L,領用表!$E:$E,$B13,領用表!$B:$B,P$2&amp;$P$1)</f>
        <v/>
      </c>
      <c r="Q13" s="142">
        <f>SUMIFS(領用表!$L:$L,領用表!$E:$E,$B13,領用表!$B:$B,Q$2&amp;$P$1)</f>
        <v/>
      </c>
      <c r="R13" s="142">
        <f>SUMIFS(領用表!$L:$L,領用表!$E:$E,$B13,領用表!$B:$B,R$2&amp;$P$1)</f>
        <v/>
      </c>
      <c r="S13" s="142">
        <f>SUMIFS(領用表!$L:$L,領用表!$E:$E,$B13,領用表!$B:$B,S$2&amp;$P$1)</f>
        <v/>
      </c>
      <c r="T13" s="142">
        <f>SUMIFS(領用表!$L:$L,領用表!$E:$E,$B13,領用表!$B:$B,T$2&amp;$P$1)</f>
        <v/>
      </c>
      <c r="U13" s="142" t="n"/>
      <c r="V13" s="142">
        <f>SUMIFS(領用表!$L:$L,領用表!$E:$E,$B13,領用表!$B:$B,V$2&amp;$P$1)</f>
        <v/>
      </c>
      <c r="W13" s="142">
        <f>SUMIFS(領用表!$L:$L,領用表!$E:$E,$B13,領用表!$B:$B,W$2&amp;$P$1)</f>
        <v/>
      </c>
      <c r="X13" s="142">
        <f>SUMIFS(領用表!$L:$L,領用表!$E:$E,$B13,領用表!$B:$B,X$2&amp;$P$1)</f>
        <v/>
      </c>
      <c r="Y13" s="142">
        <f>SUMIFS(領用表!$L:$L,領用表!$E:$E,$B13,領用表!$B:$B,Y$2&amp;$P$1)</f>
        <v/>
      </c>
      <c r="Z13" s="142">
        <f>SUMIFS(領用表!$L:$L,領用表!$E:$E,$B13,領用表!$B:$B,Z$2&amp;$P$1)</f>
        <v/>
      </c>
      <c r="AA13" s="142">
        <f>SUMIFS(領用表!$L:$L,領用表!$E:$E,$B13,領用表!$B:$B,AA$2&amp;$P$1)</f>
        <v/>
      </c>
      <c r="AB13" s="142">
        <f>SUM(P13,Q13,R13,S13,T13,U13)</f>
        <v/>
      </c>
      <c r="AC13" s="142">
        <f>AVERAGE(P13,Q13,R13,S13,T13,U13)</f>
        <v/>
      </c>
      <c r="AD13" s="142">
        <f>SUMIF(Summary!B:B,B13,Summary!EB:EB)</f>
        <v/>
      </c>
      <c r="AE13" s="101" t="n">
        <v>5</v>
      </c>
      <c r="AF13" s="514" t="n"/>
      <c r="AG13" s="25" t="n"/>
      <c r="AH13" s="25" t="n"/>
      <c r="AI13" s="27" t="n"/>
      <c r="AJ13" s="28" t="n"/>
      <c r="AK13" s="14" t="n"/>
      <c r="AL13" s="29" t="n"/>
    </row>
    <row r="14" ht="15.75" customHeight="1" s="453">
      <c r="A14" s="27" t="inlineStr">
        <is>
          <t>MP1MA010014A</t>
        </is>
      </c>
      <c r="B14" s="14" t="n">
        <v>6180007</v>
      </c>
      <c r="C14" s="118" t="inlineStr">
        <is>
          <t>MINT秘特拉提線PETIT 15CM(1支)</t>
        </is>
      </c>
      <c r="D14" s="16" t="n">
        <v>20</v>
      </c>
      <c r="E14" s="17" t="inlineStr">
        <is>
          <t>PCS</t>
        </is>
      </c>
      <c r="F14" s="18" t="n"/>
      <c r="G14" s="18" t="n">
        <v>8</v>
      </c>
      <c r="H14" s="20">
        <f>SUMIFS(領用表!$L:$L,領用表!$E:$E,$B14,領用表!$B:$B,H$2&amp;$P$1)</f>
        <v/>
      </c>
      <c r="I14" s="20">
        <f>SUMIFS(領用表!$L:$L,領用表!$E:$E,$B14,領用表!$B:$B,I$2&amp;$P$1)</f>
        <v/>
      </c>
      <c r="J14" s="20">
        <f>SUMIFS(領用表!$L:$L,領用表!$E:$E,$B14,領用表!$B:$B,J$2&amp;$P$1)</f>
        <v/>
      </c>
      <c r="K14" s="142">
        <f>SUMIFS(領用表!$L:$L,領用表!$E:$E,$B14,領用表!$B:$B,K$2&amp;$P$1)</f>
        <v/>
      </c>
      <c r="L14" s="142">
        <f>SUMIFS(領用表!$L:$L,領用表!$E:$E,$B14,領用表!$B:$B,L$2&amp;$P$1)</f>
        <v/>
      </c>
      <c r="M14" s="142">
        <f>SUMIFS(領用表!$L:$L,領用表!$E:$E,$B14,領用表!$B:$B,M$2&amp;$P$1)</f>
        <v/>
      </c>
      <c r="N14" s="23">
        <f>SUM(,H14,I14,J14,K14,L14,M14)</f>
        <v/>
      </c>
      <c r="O14" s="23">
        <f>AVERAGE(,H14,I14,J14,K14,L14,M14)</f>
        <v/>
      </c>
      <c r="P14" s="142">
        <f>SUMIFS(領用表!$L:$L,領用表!$E:$E,$B14,領用表!$B:$B,P$2&amp;$P$1)</f>
        <v/>
      </c>
      <c r="Q14" s="142">
        <f>SUMIFS(領用表!$L:$L,領用表!$E:$E,$B14,領用表!$B:$B,Q$2&amp;$P$1)</f>
        <v/>
      </c>
      <c r="R14" s="142">
        <f>SUMIFS(領用表!$L:$L,領用表!$E:$E,$B14,領用表!$B:$B,R$2&amp;$P$1)</f>
        <v/>
      </c>
      <c r="S14" s="142">
        <f>SUMIFS(領用表!$L:$L,領用表!$E:$E,$B14,領用表!$B:$B,S$2&amp;$P$1)</f>
        <v/>
      </c>
      <c r="T14" s="142">
        <f>SUMIFS(領用表!$L:$L,領用表!$E:$E,$B14,領用表!$B:$B,T$2&amp;$P$1)</f>
        <v/>
      </c>
      <c r="U14" s="142" t="n"/>
      <c r="V14" s="142">
        <f>SUMIFS(領用表!$L:$L,領用表!$E:$E,$B14,領用表!$B:$B,V$2&amp;$P$1)</f>
        <v/>
      </c>
      <c r="W14" s="142">
        <f>SUMIFS(領用表!$L:$L,領用表!$E:$E,$B14,領用表!$B:$B,W$2&amp;$P$1)</f>
        <v/>
      </c>
      <c r="X14" s="142">
        <f>SUMIFS(領用表!$L:$L,領用表!$E:$E,$B14,領用表!$B:$B,X$2&amp;$P$1)</f>
        <v/>
      </c>
      <c r="Y14" s="142">
        <f>SUMIFS(領用表!$L:$L,領用表!$E:$E,$B14,領用表!$B:$B,Y$2&amp;$P$1)</f>
        <v/>
      </c>
      <c r="Z14" s="142">
        <f>SUMIFS(領用表!$L:$L,領用表!$E:$E,$B14,領用表!$B:$B,Z$2&amp;$P$1)</f>
        <v/>
      </c>
      <c r="AA14" s="142">
        <f>SUMIFS(領用表!$L:$L,領用表!$E:$E,$B14,領用表!$B:$B,AA$2&amp;$P$1)</f>
        <v/>
      </c>
      <c r="AB14" s="142">
        <f>SUM(P14,Q14,R14,S14,T14,U14)</f>
        <v/>
      </c>
      <c r="AC14" s="142">
        <f>AVERAGE(P14,Q14,R14,S14,T14,U14)</f>
        <v/>
      </c>
      <c r="AD14" s="142">
        <f>SUMIF(Summary!B:B,B14,Summary!EB:EB)</f>
        <v/>
      </c>
      <c r="AE14" s="101" t="n">
        <v>12</v>
      </c>
      <c r="AF14" s="514" t="n"/>
      <c r="AG14" s="25" t="n"/>
      <c r="AH14" s="25" t="n"/>
      <c r="AI14" s="27" t="n"/>
      <c r="AJ14" s="28" t="n"/>
      <c r="AK14" s="14" t="n"/>
      <c r="AL14" s="29" t="n"/>
    </row>
    <row r="15" ht="15.75" customHeight="1" s="453">
      <c r="A15" s="27" t="inlineStr">
        <is>
          <t>MP1MA010015A</t>
        </is>
      </c>
      <c r="B15" s="14" t="n">
        <v>6180009</v>
      </c>
      <c r="C15" s="118" t="inlineStr">
        <is>
          <t>MINT秘特拉提線TIP 4CM(1支)</t>
        </is>
      </c>
      <c r="D15" s="16" t="n">
        <v>10</v>
      </c>
      <c r="E15" s="17" t="inlineStr">
        <is>
          <t>PCS</t>
        </is>
      </c>
      <c r="F15" s="18" t="n"/>
      <c r="G15" s="18" t="n">
        <v>6</v>
      </c>
      <c r="H15" s="20">
        <f>SUMIFS(領用表!$L:$L,領用表!$E:$E,$B15,領用表!$B:$B,H$2&amp;$P$1)</f>
        <v/>
      </c>
      <c r="I15" s="20">
        <f>SUMIFS(領用表!$L:$L,領用表!$E:$E,$B15,領用表!$B:$B,I$2&amp;$P$1)</f>
        <v/>
      </c>
      <c r="J15" s="20">
        <f>SUMIFS(領用表!$L:$L,領用表!$E:$E,$B15,領用表!$B:$B,J$2&amp;$P$1)</f>
        <v/>
      </c>
      <c r="K15" s="142">
        <f>SUMIFS(領用表!$L:$L,領用表!$E:$E,$B15,領用表!$B:$B,K$2&amp;$P$1)</f>
        <v/>
      </c>
      <c r="L15" s="142">
        <f>SUMIFS(領用表!$L:$L,領用表!$E:$E,$B15,領用表!$B:$B,L$2&amp;$P$1)</f>
        <v/>
      </c>
      <c r="M15" s="142">
        <f>SUMIFS(領用表!$L:$L,領用表!$E:$E,$B15,領用表!$B:$B,M$2&amp;$P$1)</f>
        <v/>
      </c>
      <c r="N15" s="23">
        <f>SUM(,H15,I15,J15,K15,L15,M15)</f>
        <v/>
      </c>
      <c r="O15" s="23">
        <f>AVERAGE(,H15,I15,J15,K15,L15,M15)</f>
        <v/>
      </c>
      <c r="P15" s="142">
        <f>SUMIFS(領用表!$L:$L,領用表!$E:$E,$B15,領用表!$B:$B,P$2&amp;$P$1)</f>
        <v/>
      </c>
      <c r="Q15" s="142">
        <f>SUMIFS(領用表!$L:$L,領用表!$E:$E,$B15,領用表!$B:$B,Q$2&amp;$P$1)</f>
        <v/>
      </c>
      <c r="R15" s="142">
        <f>SUMIFS(領用表!$L:$L,領用表!$E:$E,$B15,領用表!$B:$B,R$2&amp;$P$1)</f>
        <v/>
      </c>
      <c r="S15" s="142">
        <f>SUMIFS(領用表!$L:$L,領用表!$E:$E,$B15,領用表!$B:$B,S$2&amp;$P$1)</f>
        <v/>
      </c>
      <c r="T15" s="142">
        <f>SUMIFS(領用表!$L:$L,領用表!$E:$E,$B15,領用表!$B:$B,T$2&amp;$P$1)</f>
        <v/>
      </c>
      <c r="U15" s="142" t="n"/>
      <c r="V15" s="142">
        <f>SUMIFS(領用表!$L:$L,領用表!$E:$E,$B15,領用表!$B:$B,V$2&amp;$P$1)</f>
        <v/>
      </c>
      <c r="W15" s="142">
        <f>SUMIFS(領用表!$L:$L,領用表!$E:$E,$B15,領用表!$B:$B,W$2&amp;$P$1)</f>
        <v/>
      </c>
      <c r="X15" s="142">
        <f>SUMIFS(領用表!$L:$L,領用表!$E:$E,$B15,領用表!$B:$B,X$2&amp;$P$1)</f>
        <v/>
      </c>
      <c r="Y15" s="142">
        <f>SUMIFS(領用表!$L:$L,領用表!$E:$E,$B15,領用表!$B:$B,Y$2&amp;$P$1)</f>
        <v/>
      </c>
      <c r="Z15" s="142">
        <f>SUMIFS(領用表!$L:$L,領用表!$E:$E,$B15,領用表!$B:$B,Z$2&amp;$P$1)</f>
        <v/>
      </c>
      <c r="AA15" s="142">
        <f>SUMIFS(領用表!$L:$L,領用表!$E:$E,$B15,領用表!$B:$B,AA$2&amp;$P$1)</f>
        <v/>
      </c>
      <c r="AB15" s="142">
        <f>SUM(P15,Q15,R15,S15,T15,U15)</f>
        <v/>
      </c>
      <c r="AC15" s="142">
        <f>AVERAGE(P15,Q15,R15,S15,T15,U15)</f>
        <v/>
      </c>
      <c r="AD15" s="142">
        <f>SUMIF(Summary!B:B,B15,Summary!EB:EB)</f>
        <v/>
      </c>
      <c r="AE15" s="101" t="n">
        <v>5</v>
      </c>
      <c r="AF15" s="514" t="n"/>
      <c r="AG15" s="25" t="n"/>
      <c r="AH15" s="25" t="n"/>
      <c r="AI15" s="27" t="n"/>
      <c r="AJ15" s="28" t="n"/>
      <c r="AK15" s="14" t="n"/>
      <c r="AL15" s="29" t="n"/>
    </row>
    <row r="16" ht="15.75" customHeight="1" s="453">
      <c r="A16" s="27" t="inlineStr">
        <is>
          <t>MP1MA010016A</t>
        </is>
      </c>
      <c r="B16" s="14" t="n">
        <v>6180011</v>
      </c>
      <c r="C16" s="118" t="inlineStr">
        <is>
          <t>MINT秘特拉提線UP 9.5CM(1支)</t>
        </is>
      </c>
      <c r="D16" s="16" t="n">
        <v>10</v>
      </c>
      <c r="E16" s="17" t="inlineStr">
        <is>
          <t>PCS</t>
        </is>
      </c>
      <c r="F16" s="31" t="n"/>
      <c r="G16" s="18" t="n">
        <v>12</v>
      </c>
      <c r="H16" s="20">
        <f>SUMIFS(領用表!$L:$L,領用表!$E:$E,$B16,領用表!$B:$B,H$2&amp;$P$1)</f>
        <v/>
      </c>
      <c r="I16" s="20">
        <f>SUMIFS(領用表!$L:$L,領用表!$E:$E,$B16,領用表!$B:$B,I$2&amp;$P$1)</f>
        <v/>
      </c>
      <c r="J16" s="20">
        <f>SUMIFS(領用表!$L:$L,領用表!$E:$E,$B16,領用表!$B:$B,J$2&amp;$P$1)</f>
        <v/>
      </c>
      <c r="K16" s="142">
        <f>SUMIFS(領用表!$L:$L,領用表!$E:$E,$B16,領用表!$B:$B,K$2&amp;$P$1)</f>
        <v/>
      </c>
      <c r="L16" s="142">
        <f>SUMIFS(領用表!$L:$L,領用表!$E:$E,$B16,領用表!$B:$B,L$2&amp;$P$1)</f>
        <v/>
      </c>
      <c r="M16" s="142">
        <f>SUMIFS(領用表!$L:$L,領用表!$E:$E,$B16,領用表!$B:$B,M$2&amp;$P$1)</f>
        <v/>
      </c>
      <c r="N16" s="23">
        <f>SUM(,H16,I16,J16,K16,L16,M16)</f>
        <v/>
      </c>
      <c r="O16" s="23">
        <f>AVERAGE(,H16,I16,J16,K16,L16,M16)</f>
        <v/>
      </c>
      <c r="P16" s="142">
        <f>SUMIFS(領用表!$L:$L,領用表!$E:$E,$B16,領用表!$B:$B,P$2&amp;$P$1)</f>
        <v/>
      </c>
      <c r="Q16" s="142">
        <f>SUMIFS(領用表!$L:$L,領用表!$E:$E,$B16,領用表!$B:$B,Q$2&amp;$P$1)</f>
        <v/>
      </c>
      <c r="R16" s="142">
        <f>SUMIFS(領用表!$L:$L,領用表!$E:$E,$B16,領用表!$B:$B,R$2&amp;$P$1)</f>
        <v/>
      </c>
      <c r="S16" s="142">
        <f>SUMIFS(領用表!$L:$L,領用表!$E:$E,$B16,領用表!$B:$B,S$2&amp;$P$1)</f>
        <v/>
      </c>
      <c r="T16" s="142">
        <f>SUMIFS(領用表!$L:$L,領用表!$E:$E,$B16,領用表!$B:$B,T$2&amp;$P$1)</f>
        <v/>
      </c>
      <c r="U16" s="142" t="n"/>
      <c r="V16" s="142">
        <f>SUMIFS(領用表!$L:$L,領用表!$E:$E,$B16,領用表!$B:$B,V$2&amp;$P$1)</f>
        <v/>
      </c>
      <c r="W16" s="142">
        <f>SUMIFS(領用表!$L:$L,領用表!$E:$E,$B16,領用表!$B:$B,W$2&amp;$P$1)</f>
        <v/>
      </c>
      <c r="X16" s="142">
        <f>SUMIFS(領用表!$L:$L,領用表!$E:$E,$B16,領用表!$B:$B,X$2&amp;$P$1)</f>
        <v/>
      </c>
      <c r="Y16" s="142">
        <f>SUMIFS(領用表!$L:$L,領用表!$E:$E,$B16,領用表!$B:$B,Y$2&amp;$P$1)</f>
        <v/>
      </c>
      <c r="Z16" s="142">
        <f>SUMIFS(領用表!$L:$L,領用表!$E:$E,$B16,領用表!$B:$B,Z$2&amp;$P$1)</f>
        <v/>
      </c>
      <c r="AA16" s="142">
        <f>SUMIFS(領用表!$L:$L,領用表!$E:$E,$B16,領用表!$B:$B,AA$2&amp;$P$1)</f>
        <v/>
      </c>
      <c r="AB16" s="142">
        <f>SUM(P16,Q16,R16,S16,T16,U16)</f>
        <v/>
      </c>
      <c r="AC16" s="142">
        <f>AVERAGE(P16,Q16,R16,S16,T16,U16)</f>
        <v/>
      </c>
      <c r="AD16" s="142">
        <f>SUMIF(Summary!B:B,B16,Summary!EB:EB)</f>
        <v/>
      </c>
      <c r="AE16" s="101" t="n">
        <v>12</v>
      </c>
      <c r="AF16" s="515" t="n"/>
      <c r="AG16" s="25" t="n"/>
      <c r="AH16" s="25" t="n"/>
      <c r="AI16" s="27" t="n"/>
      <c r="AJ16" s="27" t="n"/>
      <c r="AK16" s="14" t="n"/>
      <c r="AL16" s="29" t="n"/>
    </row>
    <row r="17" ht="15.75" customHeight="1" s="453">
      <c r="A17" s="27" t="inlineStr">
        <is>
          <t>MP1MA070006A</t>
        </is>
      </c>
      <c r="B17" s="14" t="n">
        <v>6210001</v>
      </c>
      <c r="C17" s="118" t="inlineStr">
        <is>
          <t>水光針針頭/ 31G/ 9pin/ 1.0mm(1支)</t>
        </is>
      </c>
      <c r="D17" s="16" t="n">
        <v>20</v>
      </c>
      <c r="E17" s="17" t="inlineStr">
        <is>
          <t>PCS</t>
        </is>
      </c>
      <c r="F17" s="18" t="n"/>
      <c r="G17" s="18" t="n">
        <v>19</v>
      </c>
      <c r="H17" s="20">
        <f>SUMIFS(領用表!$L:$L,領用表!$E:$E,$B17,領用表!$B:$B,H$2&amp;$P$1)</f>
        <v/>
      </c>
      <c r="I17" s="20">
        <f>SUMIFS(領用表!$L:$L,領用表!$E:$E,$B17,領用表!$B:$B,I$2&amp;$P$1)</f>
        <v/>
      </c>
      <c r="J17" s="20">
        <f>SUMIFS(領用表!$L:$L,領用表!$E:$E,$B17,領用表!$B:$B,J$2&amp;$P$1)</f>
        <v/>
      </c>
      <c r="K17" s="142">
        <f>SUMIFS(領用表!$L:$L,領用表!$E:$E,$B17,領用表!$B:$B,K$2&amp;$P$1)</f>
        <v/>
      </c>
      <c r="L17" s="142">
        <f>SUMIFS(領用表!$L:$L,領用表!$E:$E,$B17,領用表!$B:$B,L$2&amp;$P$1)</f>
        <v/>
      </c>
      <c r="M17" s="142">
        <f>SUMIFS(領用表!$L:$L,領用表!$E:$E,$B17,領用表!$B:$B,M$2&amp;$P$1)</f>
        <v/>
      </c>
      <c r="N17" s="23">
        <f>SUM(,H17,I17,J17,K17,L17,M17)</f>
        <v/>
      </c>
      <c r="O17" s="23">
        <f>AVERAGE(,H17,I17,J17,K17,L17,M17)</f>
        <v/>
      </c>
      <c r="P17" s="142">
        <f>SUMIFS(領用表!$L:$L,領用表!$E:$E,$B17,領用表!$B:$B,P$2&amp;$P$1)</f>
        <v/>
      </c>
      <c r="Q17" s="142">
        <f>SUMIFS(領用表!$L:$L,領用表!$E:$E,$B17,領用表!$B:$B,Q$2&amp;$P$1)</f>
        <v/>
      </c>
      <c r="R17" s="142">
        <f>SUMIFS(領用表!$L:$L,領用表!$E:$E,$B17,領用表!$B:$B,R$2&amp;$P$1)</f>
        <v/>
      </c>
      <c r="S17" s="142">
        <f>SUMIFS(領用表!$L:$L,領用表!$E:$E,$B17,領用表!$B:$B,S$2&amp;$P$1)</f>
        <v/>
      </c>
      <c r="T17" s="142">
        <f>SUMIFS(領用表!$L:$L,領用表!$E:$E,$B17,領用表!$B:$B,T$2&amp;$P$1)</f>
        <v/>
      </c>
      <c r="U17" s="142" t="n"/>
      <c r="V17" s="142">
        <f>SUMIFS(領用表!$L:$L,領用表!$E:$E,$B17,領用表!$B:$B,V$2&amp;$P$1)</f>
        <v/>
      </c>
      <c r="W17" s="142">
        <f>SUMIFS(領用表!$L:$L,領用表!$E:$E,$B17,領用表!$B:$B,W$2&amp;$P$1)</f>
        <v/>
      </c>
      <c r="X17" s="142">
        <f>SUMIFS(領用表!$L:$L,領用表!$E:$E,$B17,領用表!$B:$B,X$2&amp;$P$1)</f>
        <v/>
      </c>
      <c r="Y17" s="142">
        <f>SUMIFS(領用表!$L:$L,領用表!$E:$E,$B17,領用表!$B:$B,Y$2&amp;$P$1)</f>
        <v/>
      </c>
      <c r="Z17" s="142">
        <f>SUMIFS(領用表!$L:$L,領用表!$E:$E,$B17,領用表!$B:$B,Z$2&amp;$P$1)</f>
        <v/>
      </c>
      <c r="AA17" s="142">
        <f>SUMIFS(領用表!$L:$L,領用表!$E:$E,$B17,領用表!$B:$B,AA$2&amp;$P$1)</f>
        <v/>
      </c>
      <c r="AB17" s="142">
        <f>SUM(P17,Q17,R17,S17,T17,U17)</f>
        <v/>
      </c>
      <c r="AC17" s="142">
        <f>AVERAGE(P17,Q17,R17,S17,T17,U17)</f>
        <v/>
      </c>
      <c r="AD17" s="142">
        <f>SUMIF(Summary!B:B,B17,Summary!EB:EB)</f>
        <v/>
      </c>
      <c r="AE17" s="101" t="n">
        <v>15</v>
      </c>
      <c r="AF17" s="477" t="n"/>
      <c r="AG17" s="25" t="n"/>
      <c r="AH17" s="25" t="n"/>
      <c r="AI17" s="27" t="n"/>
      <c r="AJ17" s="28" t="n"/>
      <c r="AK17" s="14" t="n"/>
      <c r="AL17" s="29" t="n"/>
    </row>
    <row r="18" ht="15.75" customHeight="1" s="453">
      <c r="A18" s="27" t="inlineStr">
        <is>
          <t>MP1MA070007A</t>
        </is>
      </c>
      <c r="B18" s="14" t="n">
        <v>6210002</v>
      </c>
      <c r="C18" s="118" t="inlineStr">
        <is>
          <t>水光針針頭/ 31G/ 9pin/ 1.2mm(1支)</t>
        </is>
      </c>
      <c r="D18" s="16" t="n">
        <v>20</v>
      </c>
      <c r="E18" s="17" t="inlineStr">
        <is>
          <t>PCS</t>
        </is>
      </c>
      <c r="F18" s="18" t="n"/>
      <c r="G18" s="18" t="n">
        <v>24</v>
      </c>
      <c r="H18" s="20">
        <f>SUMIFS(領用表!$L:$L,領用表!$E:$E,$B18,領用表!$B:$B,H$2&amp;$P$1)</f>
        <v/>
      </c>
      <c r="I18" s="20">
        <f>SUMIFS(領用表!$L:$L,領用表!$E:$E,$B18,領用表!$B:$B,I$2&amp;$P$1)</f>
        <v/>
      </c>
      <c r="J18" s="20">
        <f>SUMIFS(領用表!$L:$L,領用表!$E:$E,$B18,領用表!$B:$B,J$2&amp;$P$1)</f>
        <v/>
      </c>
      <c r="K18" s="142">
        <f>SUMIFS(領用表!$L:$L,領用表!$E:$E,$B18,領用表!$B:$B,K$2&amp;$P$1)</f>
        <v/>
      </c>
      <c r="L18" s="142">
        <f>SUMIFS(領用表!$L:$L,領用表!$E:$E,$B18,領用表!$B:$B,L$2&amp;$P$1)</f>
        <v/>
      </c>
      <c r="M18" s="142">
        <f>SUMIFS(領用表!$L:$L,領用表!$E:$E,$B18,領用表!$B:$B,M$2&amp;$P$1)</f>
        <v/>
      </c>
      <c r="N18" s="23">
        <f>SUM(,H18,I18,J18,K18,L18,M18)</f>
        <v/>
      </c>
      <c r="O18" s="23">
        <f>AVERAGE(,H18,I18,J18,K18,L18,M18)</f>
        <v/>
      </c>
      <c r="P18" s="142">
        <f>SUMIFS(領用表!$L:$L,領用表!$E:$E,$B18,領用表!$B:$B,P$2&amp;$P$1)</f>
        <v/>
      </c>
      <c r="Q18" s="142">
        <f>SUMIFS(領用表!$L:$L,領用表!$E:$E,$B18,領用表!$B:$B,Q$2&amp;$P$1)</f>
        <v/>
      </c>
      <c r="R18" s="142">
        <f>SUMIFS(領用表!$L:$L,領用表!$E:$E,$B18,領用表!$B:$B,R$2&amp;$P$1)</f>
        <v/>
      </c>
      <c r="S18" s="142">
        <f>SUMIFS(領用表!$L:$L,領用表!$E:$E,$B18,領用表!$B:$B,S$2&amp;$P$1)</f>
        <v/>
      </c>
      <c r="T18" s="142">
        <f>SUMIFS(領用表!$L:$L,領用表!$E:$E,$B18,領用表!$B:$B,T$2&amp;$P$1)</f>
        <v/>
      </c>
      <c r="U18" s="142" t="n">
        <v>24</v>
      </c>
      <c r="V18" s="142">
        <f>SUMIFS(領用表!$L:$L,領用表!$E:$E,$B18,領用表!$B:$B,V$2&amp;$P$1)</f>
        <v/>
      </c>
      <c r="W18" s="142">
        <f>SUMIFS(領用表!$L:$L,領用表!$E:$E,$B18,領用表!$B:$B,W$2&amp;$P$1)</f>
        <v/>
      </c>
      <c r="X18" s="142">
        <f>SUMIFS(領用表!$L:$L,領用表!$E:$E,$B18,領用表!$B:$B,X$2&amp;$P$1)</f>
        <v/>
      </c>
      <c r="Y18" s="142">
        <f>SUMIFS(領用表!$L:$L,領用表!$E:$E,$B18,領用表!$B:$B,Y$2&amp;$P$1)</f>
        <v/>
      </c>
      <c r="Z18" s="142">
        <f>SUMIFS(領用表!$L:$L,領用表!$E:$E,$B18,領用表!$B:$B,Z$2&amp;$P$1)</f>
        <v/>
      </c>
      <c r="AA18" s="142">
        <f>SUMIFS(領用表!$L:$L,領用表!$E:$E,$B18,領用表!$B:$B,AA$2&amp;$P$1)</f>
        <v/>
      </c>
      <c r="AB18" s="142">
        <f>SUM(P18,Q18,R18,S18,T18,U18)</f>
        <v/>
      </c>
      <c r="AC18" s="142">
        <f>AVERAGE(P18,Q18,R18,S18,T18,U18)</f>
        <v/>
      </c>
      <c r="AD18" s="142">
        <f>SUMIF(Summary!B:B,B18,Summary!EB:EB)</f>
        <v/>
      </c>
      <c r="AE18" s="101" t="n">
        <v>40</v>
      </c>
      <c r="AF18" s="477" t="n"/>
      <c r="AG18" s="25" t="inlineStr">
        <is>
          <t>4盒(10/21)</t>
        </is>
      </c>
      <c r="AH18" s="25" t="inlineStr">
        <is>
          <t>15盒(10/17)</t>
        </is>
      </c>
      <c r="AI18" s="27" t="n"/>
      <c r="AJ18" s="27" t="n"/>
      <c r="AK18" s="14" t="n"/>
      <c r="AL18" s="29" t="n"/>
    </row>
    <row r="19" ht="15.75" customHeight="1" s="453">
      <c r="A19" s="27" t="inlineStr">
        <is>
          <t>MP1MA070008A</t>
        </is>
      </c>
      <c r="B19" s="14" t="n">
        <v>6210003</v>
      </c>
      <c r="C19" s="118" t="inlineStr">
        <is>
          <t>水光針針頭/ 31G/ 9pin/ 1.5mm(1支)</t>
        </is>
      </c>
      <c r="D19" s="16" t="n">
        <v>20</v>
      </c>
      <c r="E19" s="17" t="inlineStr">
        <is>
          <t>PCS</t>
        </is>
      </c>
      <c r="F19" s="18" t="n"/>
      <c r="G19" s="18" t="n">
        <v>14</v>
      </c>
      <c r="H19" s="20">
        <f>SUMIFS(領用表!$L:$L,領用表!$E:$E,$B19,領用表!$B:$B,H$2&amp;$P$1)</f>
        <v/>
      </c>
      <c r="I19" s="20">
        <f>SUMIFS(領用表!$L:$L,領用表!$E:$E,$B19,領用表!$B:$B,I$2&amp;$P$1)</f>
        <v/>
      </c>
      <c r="J19" s="20">
        <f>SUMIFS(領用表!$L:$L,領用表!$E:$E,$B19,領用表!$B:$B,J$2&amp;$P$1)</f>
        <v/>
      </c>
      <c r="K19" s="142">
        <f>SUMIFS(領用表!$L:$L,領用表!$E:$E,$B19,領用表!$B:$B,K$2&amp;$P$1)</f>
        <v/>
      </c>
      <c r="L19" s="142">
        <f>SUMIFS(領用表!$L:$L,領用表!$E:$E,$B19,領用表!$B:$B,L$2&amp;$P$1)</f>
        <v/>
      </c>
      <c r="M19" s="142">
        <f>SUMIFS(領用表!$L:$L,領用表!$E:$E,$B19,領用表!$B:$B,M$2&amp;$P$1)</f>
        <v/>
      </c>
      <c r="N19" s="23">
        <f>SUM(,H19,I19,J19,K19,L19,M19)</f>
        <v/>
      </c>
      <c r="O19" s="23">
        <f>AVERAGE(,H19,I19,J19,K19,L19,M19)</f>
        <v/>
      </c>
      <c r="P19" s="142">
        <f>SUMIFS(領用表!$L:$L,領用表!$E:$E,$B19,領用表!$B:$B,P$2&amp;$P$1)</f>
        <v/>
      </c>
      <c r="Q19" s="142">
        <f>SUMIFS(領用表!$L:$L,領用表!$E:$E,$B19,領用表!$B:$B,Q$2&amp;$P$1)</f>
        <v/>
      </c>
      <c r="R19" s="142">
        <f>SUMIFS(領用表!$L:$L,領用表!$E:$E,$B19,領用表!$B:$B,R$2&amp;$P$1)</f>
        <v/>
      </c>
      <c r="S19" s="142">
        <f>SUMIFS(領用表!$L:$L,領用表!$E:$E,$B19,領用表!$B:$B,S$2&amp;$P$1)</f>
        <v/>
      </c>
      <c r="T19" s="142">
        <f>SUMIFS(領用表!$L:$L,領用表!$E:$E,$B19,領用表!$B:$B,T$2&amp;$P$1)</f>
        <v/>
      </c>
      <c r="U19" s="142" t="n">
        <v>2</v>
      </c>
      <c r="V19" s="142">
        <f>SUMIFS(領用表!$L:$L,領用表!$E:$E,$B19,領用表!$B:$B,V$2&amp;$P$1)</f>
        <v/>
      </c>
      <c r="W19" s="142">
        <f>SUMIFS(領用表!$L:$L,領用表!$E:$E,$B19,領用表!$B:$B,W$2&amp;$P$1)</f>
        <v/>
      </c>
      <c r="X19" s="142">
        <f>SUMIFS(領用表!$L:$L,領用表!$E:$E,$B19,領用表!$B:$B,X$2&amp;$P$1)</f>
        <v/>
      </c>
      <c r="Y19" s="142">
        <f>SUMIFS(領用表!$L:$L,領用表!$E:$E,$B19,領用表!$B:$B,Y$2&amp;$P$1)</f>
        <v/>
      </c>
      <c r="Z19" s="142">
        <f>SUMIFS(領用表!$L:$L,領用表!$E:$E,$B19,領用表!$B:$B,Z$2&amp;$P$1)</f>
        <v/>
      </c>
      <c r="AA19" s="142">
        <f>SUMIFS(領用表!$L:$L,領用表!$E:$E,$B19,領用表!$B:$B,AA$2&amp;$P$1)</f>
        <v/>
      </c>
      <c r="AB19" s="142">
        <f>SUM(P19,Q19,R19,S19,T19,U19)</f>
        <v/>
      </c>
      <c r="AC19" s="142">
        <f>AVERAGE(P19,Q19,R19,S19,T19,U19)</f>
        <v/>
      </c>
      <c r="AD19" s="142">
        <f>SUMIF(Summary!B:B,B19,Summary!EB:EB)</f>
        <v/>
      </c>
      <c r="AE19" s="101" t="n">
        <v>10</v>
      </c>
      <c r="AF19" s="477" t="n"/>
      <c r="AG19" s="25" t="inlineStr">
        <is>
          <t>1盒(10/21)</t>
        </is>
      </c>
      <c r="AH19" s="25" t="inlineStr">
        <is>
          <t>1盒(10/17)</t>
        </is>
      </c>
      <c r="AI19" s="27" t="n"/>
      <c r="AJ19" s="28" t="n"/>
      <c r="AK19" s="14" t="n"/>
      <c r="AL19" s="29" t="n"/>
    </row>
    <row r="20" ht="15.75" customHeight="1" s="453">
      <c r="A20" s="27" t="inlineStr">
        <is>
          <t>MP1MA070005A</t>
        </is>
      </c>
      <c r="B20" s="14" t="n">
        <v>6210005</v>
      </c>
      <c r="C20" s="131" t="inlineStr">
        <is>
          <t>水光針針頭/ 32G/ 9pin/ 1.0mm(1支)</t>
        </is>
      </c>
      <c r="D20" s="33" t="n">
        <v>20</v>
      </c>
      <c r="E20" s="17" t="inlineStr">
        <is>
          <t>PCS</t>
        </is>
      </c>
      <c r="F20" s="18" t="n"/>
      <c r="G20" s="18" t="n"/>
      <c r="H20" s="20">
        <f>SUMIFS(領用表!$L:$L,領用表!$E:$E,$B20,領用表!$B:$B,H$2&amp;$P$1)</f>
        <v/>
      </c>
      <c r="I20" s="20">
        <f>SUMIFS(領用表!$L:$L,領用表!$E:$E,$B20,領用表!$B:$B,I$2&amp;$P$1)</f>
        <v/>
      </c>
      <c r="J20" s="20">
        <f>SUMIFS(領用表!$L:$L,領用表!$E:$E,$B20,領用表!$B:$B,J$2&amp;$P$1)</f>
        <v/>
      </c>
      <c r="K20" s="142">
        <f>SUMIFS(領用表!$L:$L,領用表!$E:$E,$B20,領用表!$B:$B,K$2&amp;$P$1)</f>
        <v/>
      </c>
      <c r="L20" s="142">
        <f>SUMIFS(領用表!$L:$L,領用表!$E:$E,$B20,領用表!$B:$B,L$2&amp;$P$1)</f>
        <v/>
      </c>
      <c r="M20" s="142">
        <f>SUMIFS(領用表!$L:$L,領用表!$E:$E,$B20,領用表!$B:$B,M$2&amp;$P$1)</f>
        <v/>
      </c>
      <c r="N20" s="23">
        <f>SUM(,H20,I20,J20,K20,L20,M20)</f>
        <v/>
      </c>
      <c r="O20" s="23">
        <f>AVERAGE(,H20,I20,J20,K20,L20,M20)</f>
        <v/>
      </c>
      <c r="P20" s="142">
        <f>SUMIFS(領用表!$L:$L,領用表!$E:$E,$B20,領用表!$B:$B,P$2&amp;$P$1)</f>
        <v/>
      </c>
      <c r="Q20" s="142">
        <f>SUMIFS(領用表!$L:$L,領用表!$E:$E,$B20,領用表!$B:$B,Q$2&amp;$P$1)</f>
        <v/>
      </c>
      <c r="R20" s="142">
        <f>SUMIFS(領用表!$L:$L,領用表!$E:$E,$B20,領用表!$B:$B,R$2&amp;$P$1)</f>
        <v/>
      </c>
      <c r="S20" s="142">
        <f>SUMIFS(領用表!$L:$L,領用表!$E:$E,$B20,領用表!$B:$B,S$2&amp;$P$1)</f>
        <v/>
      </c>
      <c r="T20" s="142">
        <f>SUMIFS(領用表!$L:$L,領用表!$E:$E,$B20,領用表!$B:$B,T$2&amp;$P$1)</f>
        <v/>
      </c>
      <c r="U20" s="142" t="n"/>
      <c r="V20" s="142">
        <f>SUMIFS(領用表!$L:$L,領用表!$E:$E,$B20,領用表!$B:$B,V$2&amp;$P$1)</f>
        <v/>
      </c>
      <c r="W20" s="142">
        <f>SUMIFS(領用表!$L:$L,領用表!$E:$E,$B20,領用表!$B:$B,W$2&amp;$P$1)</f>
        <v/>
      </c>
      <c r="X20" s="142">
        <f>SUMIFS(領用表!$L:$L,領用表!$E:$E,$B20,領用表!$B:$B,X$2&amp;$P$1)</f>
        <v/>
      </c>
      <c r="Y20" s="142">
        <f>SUMIFS(領用表!$L:$L,領用表!$E:$E,$B20,領用表!$B:$B,Y$2&amp;$P$1)</f>
        <v/>
      </c>
      <c r="Z20" s="142">
        <f>SUMIFS(領用表!$L:$L,領用表!$E:$E,$B20,領用表!$B:$B,Z$2&amp;$P$1)</f>
        <v/>
      </c>
      <c r="AA20" s="142">
        <f>SUMIFS(領用表!$L:$L,領用表!$E:$E,$B20,領用表!$B:$B,AA$2&amp;$P$1)</f>
        <v/>
      </c>
      <c r="AB20" s="142">
        <f>SUM(P20,Q20,R20,S20,T20,U20)</f>
        <v/>
      </c>
      <c r="AC20" s="142">
        <f>AVERAGE(P20,Q20,R20,S20,T20,U20)</f>
        <v/>
      </c>
      <c r="AD20" s="142">
        <f>SUMIF(Summary!B:B,B20,Summary!EB:EB)</f>
        <v/>
      </c>
      <c r="AE20" s="102" t="n">
        <v>10</v>
      </c>
      <c r="AF20" s="24" t="n"/>
      <c r="AG20" s="25" t="n"/>
      <c r="AH20" s="25" t="n"/>
      <c r="AI20" s="34" t="n"/>
      <c r="AJ20" s="35" t="n"/>
      <c r="AK20" s="14" t="n"/>
      <c r="AL20" s="29" t="n"/>
    </row>
    <row r="21" ht="15.75" customHeight="1" s="453">
      <c r="A21" s="27" t="inlineStr">
        <is>
          <t>MM2MA070005A</t>
        </is>
      </c>
      <c r="B21" s="14" t="n">
        <v>6210008</v>
      </c>
      <c r="C21" s="131" t="inlineStr">
        <is>
          <t>得美微針筆 33G針頭(支)</t>
        </is>
      </c>
      <c r="D21" s="33" t="n">
        <v>33</v>
      </c>
      <c r="E21" s="17" t="inlineStr">
        <is>
          <t>PCS</t>
        </is>
      </c>
      <c r="F21" s="18" t="n"/>
      <c r="G21" s="18" t="n">
        <v>0</v>
      </c>
      <c r="H21" s="20">
        <f>SUMIFS(領用表!$L:$L,領用表!$E:$E,$B21,領用表!$B:$B,H$2&amp;$P$1)</f>
        <v/>
      </c>
      <c r="I21" s="20">
        <f>SUMIFS(領用表!$L:$L,領用表!$E:$E,$B21,領用表!$B:$B,I$2&amp;$P$1)</f>
        <v/>
      </c>
      <c r="J21" s="20">
        <f>SUMIFS(領用表!$L:$L,領用表!$E:$E,$B21,領用表!$B:$B,J$2&amp;$P$1)</f>
        <v/>
      </c>
      <c r="K21" s="142">
        <f>SUMIFS(領用表!$L:$L,領用表!$E:$E,$B21,領用表!$B:$B,K$2&amp;$P$1)</f>
        <v/>
      </c>
      <c r="L21" s="142">
        <f>SUMIFS(領用表!$L:$L,領用表!$E:$E,$B21,領用表!$B:$B,L$2&amp;$P$1)</f>
        <v/>
      </c>
      <c r="M21" s="142">
        <f>SUMIFS(領用表!$L:$L,領用表!$E:$E,$B21,領用表!$B:$B,M$2&amp;$P$1)</f>
        <v/>
      </c>
      <c r="N21" s="23">
        <f>SUM(,H21,I21,J21,K21,L21,M21)</f>
        <v/>
      </c>
      <c r="O21" s="23">
        <f>AVERAGE(,H21,I21,J21,K21,L21,M21)</f>
        <v/>
      </c>
      <c r="P21" s="142">
        <f>SUMIFS(領用表!$L:$L,領用表!$E:$E,$B21,領用表!$B:$B,P$2&amp;$P$1)</f>
        <v/>
      </c>
      <c r="Q21" s="142">
        <f>SUMIFS(領用表!$L:$L,領用表!$E:$E,$B21,領用表!$B:$B,Q$2&amp;$P$1)</f>
        <v/>
      </c>
      <c r="R21" s="142">
        <f>SUMIFS(領用表!$L:$L,領用表!$E:$E,$B21,領用表!$B:$B,R$2&amp;$P$1)</f>
        <v/>
      </c>
      <c r="S21" s="142">
        <f>SUMIFS(領用表!$L:$L,領用表!$E:$E,$B21,領用表!$B:$B,S$2&amp;$P$1)</f>
        <v/>
      </c>
      <c r="T21" s="142">
        <f>SUMIFS(領用表!$L:$L,領用表!$E:$E,$B21,領用表!$B:$B,T$2&amp;$P$1)</f>
        <v/>
      </c>
      <c r="U21" s="142" t="n"/>
      <c r="V21" s="142">
        <f>SUMIFS(領用表!$L:$L,領用表!$E:$E,$B21,領用表!$B:$B,V$2&amp;$P$1)</f>
        <v/>
      </c>
      <c r="W21" s="142">
        <f>SUMIFS(領用表!$L:$L,領用表!$E:$E,$B21,領用表!$B:$B,W$2&amp;$P$1)</f>
        <v/>
      </c>
      <c r="X21" s="142">
        <f>SUMIFS(領用表!$L:$L,領用表!$E:$E,$B21,領用表!$B:$B,X$2&amp;$P$1)</f>
        <v/>
      </c>
      <c r="Y21" s="142">
        <f>SUMIFS(領用表!$L:$L,領用表!$E:$E,$B21,領用表!$B:$B,Y$2&amp;$P$1)</f>
        <v/>
      </c>
      <c r="Z21" s="142">
        <f>SUMIFS(領用表!$L:$L,領用表!$E:$E,$B21,領用表!$B:$B,Z$2&amp;$P$1)</f>
        <v/>
      </c>
      <c r="AA21" s="142">
        <f>SUMIFS(領用表!$L:$L,領用表!$E:$E,$B21,領用表!$B:$B,AA$2&amp;$P$1)</f>
        <v/>
      </c>
      <c r="AB21" s="142">
        <f>SUM(P21,Q21,R21,S21,T21,U21)</f>
        <v/>
      </c>
      <c r="AC21" s="142">
        <f>AVERAGE(P21,Q21,R21,S21,T21,U21)</f>
        <v/>
      </c>
      <c r="AD21" s="142">
        <f>SUMIF(Summary!B:B,B21,Summary!EB:EB)</f>
        <v/>
      </c>
      <c r="AE21" s="101" t="n">
        <v>0</v>
      </c>
      <c r="AF21" s="36" t="inlineStr">
        <is>
          <t>726支</t>
        </is>
      </c>
      <c r="AG21" s="25" t="n"/>
      <c r="AH21" s="25" t="n"/>
      <c r="AI21" s="27" t="n"/>
      <c r="AJ21" s="28" t="n"/>
      <c r="AK21" s="14" t="n"/>
      <c r="AL21" s="29" t="n"/>
    </row>
    <row r="22" hidden="1" ht="15.75" customHeight="1" s="453">
      <c r="A22" s="27" t="inlineStr">
        <is>
          <t>MP1MA020016A</t>
        </is>
      </c>
      <c r="B22" s="14" t="e">
        <v>#N/A</v>
      </c>
      <c r="C22" s="132" t="inlineStr">
        <is>
          <t>薇貝拉軟組織植入劑-小分子白童針 50mg</t>
        </is>
      </c>
      <c r="D22" s="37" t="n">
        <v>1</v>
      </c>
      <c r="E22" s="38" t="inlineStr">
        <is>
          <t>PCS</t>
        </is>
      </c>
      <c r="F22" s="18" t="n"/>
      <c r="G22" s="18" t="n"/>
      <c r="H22" s="39">
        <f>SUMIFS(領用表!$L:$L,領用表!$E:$E,$B22,領用表!$B:$B,H$2&amp;$P$1)</f>
        <v/>
      </c>
      <c r="I22" s="39">
        <f>SUMIFS(領用表!$L:$L,領用表!$E:$E,$B22,領用表!$B:$B,I$2&amp;$P$1)</f>
        <v/>
      </c>
      <c r="J22" s="39">
        <f>SUMIFS(領用表!$L:$L,領用表!$E:$E,$B22,領用表!$B:$B,J$2&amp;$P$1)</f>
        <v/>
      </c>
      <c r="K22" s="142">
        <f>SUMIFS(領用表!$L:$L,領用表!$E:$E,$B22,領用表!$B:$B,K$2&amp;$P$1)</f>
        <v/>
      </c>
      <c r="L22" s="142">
        <f>SUMIFS(領用表!$L:$L,領用表!$E:$E,$B22,領用表!$B:$B,L$2&amp;$P$1)</f>
        <v/>
      </c>
      <c r="M22" s="142">
        <f>SUMIFS(領用表!$L:$L,領用表!$E:$E,$B22,領用表!$B:$B,M$2&amp;$P$1)</f>
        <v/>
      </c>
      <c r="N22" s="42">
        <f>SUM(,H22,I22,J22,K22,L22,M22)</f>
        <v/>
      </c>
      <c r="O22" s="42">
        <f>AVERAGE(,H22,I22,J22,K22,L22,M22)</f>
        <v/>
      </c>
      <c r="P22" s="142">
        <f>SUMIFS(領用表!$L:$L,領用表!$E:$E,$B22,領用表!$B:$B,P$2&amp;$P$1)</f>
        <v/>
      </c>
      <c r="Q22" s="142">
        <f>SUMIFS(領用表!$L:$L,領用表!$E:$E,$B22,領用表!$B:$B,Q$2&amp;$P$1)</f>
        <v/>
      </c>
      <c r="R22" s="142">
        <f>SUMIFS(領用表!$L:$L,領用表!$E:$E,$B22,領用表!$B:$B,R$2&amp;$P$1)</f>
        <v/>
      </c>
      <c r="S22" s="142">
        <f>SUMIFS(領用表!$L:$L,領用表!$E:$E,$B22,領用表!$B:$B,S$2&amp;$P$1)</f>
        <v/>
      </c>
      <c r="T22" s="142">
        <f>SUMIFS(領用表!$L:$L,領用表!$E:$E,$B22,領用表!$B:$B,T$2&amp;$P$1)</f>
        <v/>
      </c>
      <c r="U22" s="142">
        <f>SUMIFS(領用表!$L:$L,領用表!$E:$E,$B22,領用表!$B:$B,U$2&amp;$P$1)</f>
        <v/>
      </c>
      <c r="V22" s="142">
        <f>SUMIFS(領用表!$L:$L,領用表!$E:$E,$B22,領用表!$B:$B,V$2&amp;$P$1)</f>
        <v/>
      </c>
      <c r="W22" s="142">
        <f>SUMIFS(領用表!$L:$L,領用表!$E:$E,$B22,領用表!$B:$B,W$2&amp;$P$1)</f>
        <v/>
      </c>
      <c r="X22" s="142">
        <f>SUMIFS(領用表!$L:$L,領用表!$E:$E,$B22,領用表!$B:$B,X$2&amp;$P$1)</f>
        <v/>
      </c>
      <c r="Y22" s="142">
        <f>SUMIFS(領用表!$L:$L,領用表!$E:$E,$B22,領用表!$B:$B,Y$2&amp;$P$1)</f>
        <v/>
      </c>
      <c r="Z22" s="142">
        <f>SUMIFS(領用表!$L:$L,領用表!$E:$E,$B22,領用表!$B:$B,Z$2&amp;$P$1)</f>
        <v/>
      </c>
      <c r="AA22" s="142">
        <f>SUMIFS(領用表!$L:$L,領用表!$E:$E,$B22,領用表!$B:$B,AA$2&amp;$P$1)</f>
        <v/>
      </c>
      <c r="AB22" s="142">
        <f>SUM(P22,Q22,R22,S22,T22,U22)</f>
        <v/>
      </c>
      <c r="AC22" s="142">
        <f>AVERAGE(P22,Q22,R22,S22,T22,U22)</f>
        <v/>
      </c>
      <c r="AD22" s="142">
        <f>SUMIF(Summary!B:B,B22,Summary!EB:EB)</f>
        <v/>
      </c>
      <c r="AE22" s="103" t="n"/>
      <c r="AF22" s="36" t="n"/>
      <c r="AG22" s="25" t="n"/>
      <c r="AH22" s="25" t="n"/>
      <c r="AI22" s="27" t="n"/>
      <c r="AJ22" s="28" t="n"/>
      <c r="AK22" s="14" t="n"/>
      <c r="AL22" s="29" t="n"/>
    </row>
    <row r="23" hidden="1" s="453">
      <c r="A23" s="27" t="inlineStr">
        <is>
          <t>MP1MA020017A</t>
        </is>
      </c>
      <c r="B23" s="14" t="e">
        <v>#N/A</v>
      </c>
      <c r="C23" s="132" t="inlineStr">
        <is>
          <t>薇貝拉軟組織植入劑-大分子黑童針 200mg</t>
        </is>
      </c>
      <c r="D23" s="37" t="n">
        <v>1</v>
      </c>
      <c r="E23" s="38" t="inlineStr">
        <is>
          <t>PCS</t>
        </is>
      </c>
      <c r="F23" s="18" t="n"/>
      <c r="G23" s="18" t="n"/>
      <c r="H23" s="39">
        <f>SUMIFS(領用表!$L:$L,領用表!$E:$E,$B23,領用表!$B:$B,H$2&amp;$P$1)</f>
        <v/>
      </c>
      <c r="I23" s="39">
        <f>SUMIFS(領用表!$L:$L,領用表!$E:$E,$B23,領用表!$B:$B,I$2&amp;$P$1)</f>
        <v/>
      </c>
      <c r="J23" s="39">
        <f>SUMIFS(領用表!$L:$L,領用表!$E:$E,$B23,領用表!$B:$B,J$2&amp;$P$1)</f>
        <v/>
      </c>
      <c r="K23" s="142">
        <f>SUMIFS(領用表!$L:$L,領用表!$E:$E,$B23,領用表!$B:$B,K$2&amp;$P$1)</f>
        <v/>
      </c>
      <c r="L23" s="142">
        <f>SUMIFS(領用表!$L:$L,領用表!$E:$E,$B23,領用表!$B:$B,L$2&amp;$P$1)</f>
        <v/>
      </c>
      <c r="M23" s="142">
        <f>SUMIFS(領用表!$L:$L,領用表!$E:$E,$B23,領用表!$B:$B,M$2&amp;$P$1)</f>
        <v/>
      </c>
      <c r="N23" s="42">
        <f>SUM(,H23,I23,J23,K23,L23,M23)</f>
        <v/>
      </c>
      <c r="O23" s="42">
        <f>AVERAGE(,H23,I23,J23,K23,L23,M23)</f>
        <v/>
      </c>
      <c r="P23" s="142">
        <f>SUMIFS(領用表!$L:$L,領用表!$E:$E,$B23,領用表!$B:$B,P$2&amp;$P$1)</f>
        <v/>
      </c>
      <c r="Q23" s="142">
        <f>SUMIFS(領用表!$L:$L,領用表!$E:$E,$B23,領用表!$B:$B,Q$2&amp;$P$1)</f>
        <v/>
      </c>
      <c r="R23" s="142">
        <f>SUMIFS(領用表!$L:$L,領用表!$E:$E,$B23,領用表!$B:$B,R$2&amp;$P$1)</f>
        <v/>
      </c>
      <c r="S23" s="142">
        <f>SUMIFS(領用表!$L:$L,領用表!$E:$E,$B23,領用表!$B:$B,S$2&amp;$P$1)</f>
        <v/>
      </c>
      <c r="T23" s="142">
        <f>SUMIFS(領用表!$L:$L,領用表!$E:$E,$B23,領用表!$B:$B,T$2&amp;$P$1)</f>
        <v/>
      </c>
      <c r="U23" s="142">
        <f>SUMIFS(領用表!$L:$L,領用表!$E:$E,$B23,領用表!$B:$B,U$2&amp;$P$1)</f>
        <v/>
      </c>
      <c r="V23" s="142">
        <f>SUMIFS(領用表!$L:$L,領用表!$E:$E,$B23,領用表!$B:$B,V$2&amp;$P$1)</f>
        <v/>
      </c>
      <c r="W23" s="142">
        <f>SUMIFS(領用表!$L:$L,領用表!$E:$E,$B23,領用表!$B:$B,W$2&amp;$P$1)</f>
        <v/>
      </c>
      <c r="X23" s="142">
        <f>SUMIFS(領用表!$L:$L,領用表!$E:$E,$B23,領用表!$B:$B,X$2&amp;$P$1)</f>
        <v/>
      </c>
      <c r="Y23" s="142">
        <f>SUMIFS(領用表!$L:$L,領用表!$E:$E,$B23,領用表!$B:$B,Y$2&amp;$P$1)</f>
        <v/>
      </c>
      <c r="Z23" s="142">
        <f>SUMIFS(領用表!$L:$L,領用表!$E:$E,$B23,領用表!$B:$B,Z$2&amp;$P$1)</f>
        <v/>
      </c>
      <c r="AA23" s="142">
        <f>SUMIFS(領用表!$L:$L,領用表!$E:$E,$B23,領用表!$B:$B,AA$2&amp;$P$1)</f>
        <v/>
      </c>
      <c r="AB23" s="142">
        <f>SUM(P23,Q23,R23,S23,T23,U23)</f>
        <v/>
      </c>
      <c r="AC23" s="142">
        <f>AVERAGE(P23,Q23,R23,S23,T23,U23)</f>
        <v/>
      </c>
      <c r="AD23" s="142">
        <f>SUMIF(Summary!B:B,B23,Summary!EB:EB)</f>
        <v/>
      </c>
      <c r="AE23" s="103" t="n"/>
      <c r="AF23" s="515" t="n"/>
      <c r="AG23" s="25" t="n"/>
      <c r="AH23" s="25" t="n"/>
      <c r="AI23" s="27" t="n"/>
      <c r="AJ23" s="28" t="n"/>
      <c r="AK23" s="14" t="n"/>
      <c r="AL23" s="29" t="n"/>
    </row>
    <row r="24" ht="15.75" customHeight="1" s="453">
      <c r="A24" s="27" t="inlineStr">
        <is>
          <t>MP1MA020032A</t>
        </is>
      </c>
      <c r="B24" s="14" t="n">
        <v>6160008</v>
      </c>
      <c r="C24" s="133" t="inlineStr">
        <is>
          <t>薇貝拉軟組織植入劑-小分子白童針(1cc)</t>
        </is>
      </c>
      <c r="D24" s="16" t="n">
        <v>6</v>
      </c>
      <c r="E24" s="17" t="inlineStr">
        <is>
          <t>ml</t>
        </is>
      </c>
      <c r="F24" s="18" t="n"/>
      <c r="G24" s="18">
        <f>(D24*29)+5</f>
        <v/>
      </c>
      <c r="H24" s="20">
        <f>SUMIFS(領用表!$L:$L,領用表!$E:$E,$B24,領用表!$B:$B,H$2&amp;$P$1)</f>
        <v/>
      </c>
      <c r="I24" s="20">
        <f>SUMIFS(領用表!$L:$L,領用表!$E:$E,$B24,領用表!$B:$B,I$2&amp;$P$1)</f>
        <v/>
      </c>
      <c r="J24" s="20">
        <f>SUMIFS(領用表!$L:$L,領用表!$E:$E,$B24,領用表!$B:$B,J$2&amp;$P$1)</f>
        <v/>
      </c>
      <c r="K24" s="142">
        <f>SUMIFS(領用表!$L:$L,領用表!$E:$E,$B24,領用表!$B:$B,K$2&amp;$P$1)</f>
        <v/>
      </c>
      <c r="L24" s="142">
        <f>SUMIFS(領用表!$L:$L,領用表!$E:$E,$B24,領用表!$B:$B,L$2&amp;$P$1)</f>
        <v/>
      </c>
      <c r="M24" s="142">
        <f>SUMIFS(領用表!$L:$L,領用表!$E:$E,$B24,領用表!$B:$B,M$2&amp;$P$1)</f>
        <v/>
      </c>
      <c r="N24" s="23">
        <f>SUM(,H24,I24,J24,K24,L24,M24)</f>
        <v/>
      </c>
      <c r="O24" s="23">
        <f>AVERAGE(,H24,I24,J24,K24,L24,M24)</f>
        <v/>
      </c>
      <c r="P24" s="142">
        <f>SUMIFS(領用表!$L:$L,領用表!$E:$E,$B24,領用表!$B:$B,P$2&amp;$P$1)</f>
        <v/>
      </c>
      <c r="Q24" s="142">
        <f>SUMIFS(領用表!$L:$L,領用表!$E:$E,$B24,領用表!$B:$B,Q$2&amp;$P$1)</f>
        <v/>
      </c>
      <c r="R24" s="142">
        <f>SUMIFS(領用表!$L:$L,領用表!$E:$E,$B24,領用表!$B:$B,R$2&amp;$P$1)</f>
        <v/>
      </c>
      <c r="S24" s="142">
        <f>SUMIFS(領用表!$L:$L,領用表!$E:$E,$B24,領用表!$B:$B,S$2&amp;$P$1)</f>
        <v/>
      </c>
      <c r="T24" s="142">
        <f>SUMIFS(領用表!$L:$L,領用表!$E:$E,$B24,領用表!$B:$B,T$2&amp;$P$1)</f>
        <v/>
      </c>
      <c r="U24" s="142" t="n">
        <v>2</v>
      </c>
      <c r="V24" s="142">
        <f>SUMIFS(領用表!$L:$L,領用表!$E:$E,$B24,領用表!$B:$B,V$2&amp;$P$1)</f>
        <v/>
      </c>
      <c r="W24" s="142">
        <f>SUMIFS(領用表!$L:$L,領用表!$E:$E,$B24,領用表!$B:$B,W$2&amp;$P$1)</f>
        <v/>
      </c>
      <c r="X24" s="142">
        <f>SUMIFS(領用表!$L:$L,領用表!$E:$E,$B24,領用表!$B:$B,X$2&amp;$P$1)</f>
        <v/>
      </c>
      <c r="Y24" s="142">
        <f>SUMIFS(領用表!$L:$L,領用表!$E:$E,$B24,領用表!$B:$B,Y$2&amp;$P$1)</f>
        <v/>
      </c>
      <c r="Z24" s="142">
        <f>SUMIFS(領用表!$L:$L,領用表!$E:$E,$B24,領用表!$B:$B,Z$2&amp;$P$1)</f>
        <v/>
      </c>
      <c r="AA24" s="142">
        <f>SUMIFS(領用表!$L:$L,領用表!$E:$E,$B24,領用表!$B:$B,AA$2&amp;$P$1)</f>
        <v/>
      </c>
      <c r="AB24" s="142">
        <f>SUM(P24,Q24,R24,S24,T24,U24)</f>
        <v/>
      </c>
      <c r="AC24" s="142">
        <f>AVERAGE(P24,Q24,R24,S24,T24,U24)</f>
        <v/>
      </c>
      <c r="AD24" s="142">
        <f>SUMIF(Summary!B:B,B24,Summary!EB:EB)</f>
        <v/>
      </c>
      <c r="AE24" s="101" t="n">
        <v>120</v>
      </c>
      <c r="AF24" s="24" t="n"/>
      <c r="AG24" s="25" t="inlineStr">
        <is>
          <t>110瓶(10/21)</t>
        </is>
      </c>
      <c r="AH24" s="25" t="inlineStr">
        <is>
          <t>40瓶(10/17)</t>
        </is>
      </c>
      <c r="AI24" s="27" t="n"/>
      <c r="AJ24" s="28" t="n"/>
      <c r="AK24" s="14" t="n"/>
      <c r="AL24" s="29" t="n"/>
    </row>
    <row r="25" ht="15.75" customHeight="1" s="453">
      <c r="A25" s="27" t="inlineStr">
        <is>
          <t>MP1MA020033A</t>
        </is>
      </c>
      <c r="B25" s="14" t="n">
        <v>6160009</v>
      </c>
      <c r="C25" s="133" t="inlineStr">
        <is>
          <t>薇貝拉軟組織植入劑-大分子黑童針(1cc)</t>
        </is>
      </c>
      <c r="D25" s="16" t="n">
        <v>8</v>
      </c>
      <c r="E25" s="17" t="inlineStr">
        <is>
          <t>ml</t>
        </is>
      </c>
      <c r="F25" s="18" t="n"/>
      <c r="G25" s="18">
        <f>(D25*0)+7</f>
        <v/>
      </c>
      <c r="H25" s="20">
        <f>SUMIFS(領用表!$L:$L,領用表!$E:$E,$B25,領用表!$B:$B,H$2&amp;$P$1)</f>
        <v/>
      </c>
      <c r="I25" s="20">
        <f>SUMIFS(領用表!$L:$L,領用表!$E:$E,$B25,領用表!$B:$B,I$2&amp;$P$1)</f>
        <v/>
      </c>
      <c r="J25" s="20">
        <f>SUMIFS(領用表!$L:$L,領用表!$E:$E,$B25,領用表!$B:$B,J$2&amp;$P$1)</f>
        <v/>
      </c>
      <c r="K25" s="142">
        <f>SUMIFS(領用表!$L:$L,領用表!$E:$E,$B25,領用表!$B:$B,K$2&amp;$P$1)</f>
        <v/>
      </c>
      <c r="L25" s="142">
        <f>SUMIFS(領用表!$L:$L,領用表!$E:$E,$B25,領用表!$B:$B,L$2&amp;$P$1)</f>
        <v/>
      </c>
      <c r="M25" s="142">
        <f>SUMIFS(領用表!$L:$L,領用表!$E:$E,$B25,領用表!$B:$B,M$2&amp;$P$1)</f>
        <v/>
      </c>
      <c r="N25" s="23">
        <f>SUM(,H25,I25,J25,K25,L25,M25)</f>
        <v/>
      </c>
      <c r="O25" s="23">
        <f>AVERAGE(,H25,I25,J25,K25,L25,M25)</f>
        <v/>
      </c>
      <c r="P25" s="142">
        <f>SUMIFS(領用表!$L:$L,領用表!$E:$E,$B25,領用表!$B:$B,P$2&amp;$P$1)</f>
        <v/>
      </c>
      <c r="Q25" s="142">
        <f>SUMIFS(領用表!$L:$L,領用表!$E:$E,$B25,領用表!$B:$B,Q$2&amp;$P$1)</f>
        <v/>
      </c>
      <c r="R25" s="142">
        <f>SUMIFS(領用表!$L:$L,領用表!$E:$E,$B25,領用表!$B:$B,R$2&amp;$P$1)</f>
        <v/>
      </c>
      <c r="S25" s="142">
        <f>SUMIFS(領用表!$L:$L,領用表!$E:$E,$B25,領用表!$B:$B,S$2&amp;$P$1)</f>
        <v/>
      </c>
      <c r="T25" s="142">
        <f>SUMIFS(領用表!$L:$L,領用表!$E:$E,$B25,領用表!$B:$B,T$2&amp;$P$1)</f>
        <v/>
      </c>
      <c r="U25" s="142" t="n"/>
      <c r="V25" s="142">
        <f>SUMIFS(領用表!$L:$L,領用表!$E:$E,$B25,領用表!$B:$B,V$2&amp;$P$1)</f>
        <v/>
      </c>
      <c r="W25" s="142">
        <f>SUMIFS(領用表!$L:$L,領用表!$E:$E,$B25,領用表!$B:$B,W$2&amp;$P$1)</f>
        <v/>
      </c>
      <c r="X25" s="142">
        <f>SUMIFS(領用表!$L:$L,領用表!$E:$E,$B25,領用表!$B:$B,X$2&amp;$P$1)</f>
        <v/>
      </c>
      <c r="Y25" s="142">
        <f>SUMIFS(領用表!$L:$L,領用表!$E:$E,$B25,領用表!$B:$B,Y$2&amp;$P$1)</f>
        <v/>
      </c>
      <c r="Z25" s="142">
        <f>SUMIFS(領用表!$L:$L,領用表!$E:$E,$B25,領用表!$B:$B,Z$2&amp;$P$1)</f>
        <v/>
      </c>
      <c r="AA25" s="142">
        <f>SUMIFS(領用表!$L:$L,領用表!$E:$E,$B25,領用表!$B:$B,AA$2&amp;$P$1)</f>
        <v/>
      </c>
      <c r="AB25" s="142">
        <f>SUM(P25,Q25,R25,S25,T25,U25)</f>
        <v/>
      </c>
      <c r="AC25" s="142">
        <f>AVERAGE(P25,Q25,R25,S25,T25,U25)</f>
        <v/>
      </c>
      <c r="AD25" s="142">
        <f>SUMIF(Summary!B:B,B25,Summary!EB:EB)</f>
        <v/>
      </c>
      <c r="AE25" s="101" t="n">
        <v>20</v>
      </c>
      <c r="AF25" s="24" t="n"/>
      <c r="AG25" s="25" t="inlineStr">
        <is>
          <t>40瓶(10/21)</t>
        </is>
      </c>
      <c r="AH25" s="25" t="inlineStr">
        <is>
          <t>10瓶(10/17)</t>
        </is>
      </c>
      <c r="AI25" s="27" t="n"/>
      <c r="AJ25" s="28" t="n"/>
      <c r="AK25" s="14" t="n"/>
      <c r="AL25" s="29" t="n"/>
    </row>
    <row r="26" hidden="1" ht="15.75" customHeight="1" s="453">
      <c r="A26" s="27" t="inlineStr">
        <is>
          <t>MP1MA020026A</t>
        </is>
      </c>
      <c r="B26" s="14" t="e">
        <v>#N/A</v>
      </c>
      <c r="C26" s="134" t="inlineStr">
        <is>
          <t>(喬雅露)芳蜜軟組織注射植入物-Juvelook 50mg</t>
        </is>
      </c>
      <c r="D26" s="37" t="n">
        <v>1</v>
      </c>
      <c r="E26" s="38" t="inlineStr">
        <is>
          <t>PCS</t>
        </is>
      </c>
      <c r="F26" s="18" t="n"/>
      <c r="G26" s="18">
        <f>D26*0</f>
        <v/>
      </c>
      <c r="H26" s="39">
        <f>SUMIFS(領用表!$L:$L,領用表!$E:$E,$B26,領用表!$B:$B,H$2&amp;$P$1)</f>
        <v/>
      </c>
      <c r="I26" s="39">
        <f>SUMIFS(領用表!$L:$L,領用表!$E:$E,$B26,領用表!$B:$B,I$2&amp;$P$1)</f>
        <v/>
      </c>
      <c r="J26" s="39">
        <f>SUMIFS(領用表!$L:$L,領用表!$E:$E,$B26,領用表!$B:$B,J$2&amp;$P$1)</f>
        <v/>
      </c>
      <c r="K26" s="142">
        <f>SUMIFS(領用表!$L:$L,領用表!$E:$E,$B26,領用表!$B:$B,K$2&amp;$P$1)</f>
        <v/>
      </c>
      <c r="L26" s="142">
        <f>SUMIFS(領用表!$L:$L,領用表!$E:$E,$B26,領用表!$B:$B,L$2&amp;$P$1)</f>
        <v/>
      </c>
      <c r="M26" s="142">
        <f>SUMIFS(領用表!$L:$L,領用表!$E:$E,$B26,領用表!$B:$B,M$2&amp;$P$1)</f>
        <v/>
      </c>
      <c r="N26" s="42">
        <f>SUM(,H26,I26,J26,K26,L26,M26)</f>
        <v/>
      </c>
      <c r="O26" s="42">
        <f>AVERAGE(,H26,I26,J26,K26,L26,M26)</f>
        <v/>
      </c>
      <c r="P26" s="142">
        <f>SUMIFS(領用表!$L:$L,領用表!$E:$E,$B26,領用表!$B:$B,P$2&amp;$P$1)</f>
        <v/>
      </c>
      <c r="Q26" s="142">
        <f>SUMIFS(領用表!$L:$L,領用表!$E:$E,$B26,領用表!$B:$B,Q$2&amp;$P$1)</f>
        <v/>
      </c>
      <c r="R26" s="142">
        <f>SUMIFS(領用表!$L:$L,領用表!$E:$E,$B26,領用表!$B:$B,R$2&amp;$P$1)</f>
        <v/>
      </c>
      <c r="S26" s="142">
        <f>SUMIFS(領用表!$L:$L,領用表!$E:$E,$B26,領用表!$B:$B,S$2&amp;$P$1)</f>
        <v/>
      </c>
      <c r="T26" s="142">
        <f>SUMIFS(領用表!$L:$L,領用表!$E:$E,$B26,領用表!$B:$B,T$2&amp;$P$1)</f>
        <v/>
      </c>
      <c r="U26" s="142">
        <f>SUMIFS(領用表!$L:$L,領用表!$E:$E,$B26,領用表!$B:$B,U$2&amp;$P$1)</f>
        <v/>
      </c>
      <c r="V26" s="142">
        <f>SUMIFS(領用表!$L:$L,領用表!$E:$E,$B26,領用表!$B:$B,V$2&amp;$P$1)</f>
        <v/>
      </c>
      <c r="W26" s="142">
        <f>SUMIFS(領用表!$L:$L,領用表!$E:$E,$B26,領用表!$B:$B,W$2&amp;$P$1)</f>
        <v/>
      </c>
      <c r="X26" s="142">
        <f>SUMIFS(領用表!$L:$L,領用表!$E:$E,$B26,領用表!$B:$B,X$2&amp;$P$1)</f>
        <v/>
      </c>
      <c r="Y26" s="142">
        <f>SUMIFS(領用表!$L:$L,領用表!$E:$E,$B26,領用表!$B:$B,Y$2&amp;$P$1)</f>
        <v/>
      </c>
      <c r="Z26" s="142">
        <f>SUMIFS(領用表!$L:$L,領用表!$E:$E,$B26,領用表!$B:$B,Z$2&amp;$P$1)</f>
        <v/>
      </c>
      <c r="AA26" s="142">
        <f>SUMIFS(領用表!$L:$L,領用表!$E:$E,$B26,領用表!$B:$B,AA$2&amp;$P$1)</f>
        <v/>
      </c>
      <c r="AB26" s="142">
        <f>SUM(P26,Q26,R26,S26,T26,U26)</f>
        <v/>
      </c>
      <c r="AC26" s="142">
        <f>AVERAGE(P26,Q26,R26,S26,T26,U26)</f>
        <v/>
      </c>
      <c r="AD26" s="142">
        <f>SUMIF(Summary!B:B,B26,Summary!EB:EB)</f>
        <v/>
      </c>
      <c r="AE26" s="103" t="n"/>
      <c r="AF26" s="24" t="n"/>
      <c r="AG26" s="25" t="n"/>
      <c r="AH26" s="25" t="n"/>
      <c r="AI26" s="27" t="inlineStr">
        <is>
          <t>叫貨單位「盒(10瓶)」</t>
        </is>
      </c>
      <c r="AJ26" s="28" t="n"/>
      <c r="AK26" s="14" t="n"/>
      <c r="AL26" s="29" t="n"/>
    </row>
    <row r="27" hidden="1" ht="15.75" customHeight="1" s="453">
      <c r="A27" s="27" t="inlineStr">
        <is>
          <t>MP1MA020027A</t>
        </is>
      </c>
      <c r="B27" s="14" t="e">
        <v>#N/A</v>
      </c>
      <c r="C27" s="134" t="inlineStr">
        <is>
          <t>(喬雅露)芳蜜軟組織注射植入物-Lenisna 200mg</t>
        </is>
      </c>
      <c r="D27" s="37" t="n">
        <v>1</v>
      </c>
      <c r="E27" s="38" t="inlineStr">
        <is>
          <t>PCS</t>
        </is>
      </c>
      <c r="F27" s="18" t="n"/>
      <c r="G27" s="18">
        <f>D27*0</f>
        <v/>
      </c>
      <c r="H27" s="39">
        <f>SUMIFS(領用表!$L:$L,領用表!$E:$E,$B27,領用表!$B:$B,H$2&amp;$P$1)</f>
        <v/>
      </c>
      <c r="I27" s="39">
        <f>SUMIFS(領用表!$L:$L,領用表!$E:$E,$B27,領用表!$B:$B,I$2&amp;$P$1)</f>
        <v/>
      </c>
      <c r="J27" s="39">
        <f>SUMIFS(領用表!$L:$L,領用表!$E:$E,$B27,領用表!$B:$B,J$2&amp;$P$1)</f>
        <v/>
      </c>
      <c r="K27" s="142">
        <f>SUMIFS(領用表!$L:$L,領用表!$E:$E,$B27,領用表!$B:$B,K$2&amp;$P$1)</f>
        <v/>
      </c>
      <c r="L27" s="142">
        <f>SUMIFS(領用表!$L:$L,領用表!$E:$E,$B27,領用表!$B:$B,L$2&amp;$P$1)</f>
        <v/>
      </c>
      <c r="M27" s="142">
        <f>SUMIFS(領用表!$L:$L,領用表!$E:$E,$B27,領用表!$B:$B,M$2&amp;$P$1)</f>
        <v/>
      </c>
      <c r="N27" s="42">
        <f>SUM(,H27,I27,J27,K27,L27,M27)</f>
        <v/>
      </c>
      <c r="O27" s="42">
        <f>AVERAGE(,H27,I27,J27,K27,L27,M27)</f>
        <v/>
      </c>
      <c r="P27" s="142">
        <f>SUMIFS(領用表!$L:$L,領用表!$E:$E,$B27,領用表!$B:$B,P$2&amp;$P$1)</f>
        <v/>
      </c>
      <c r="Q27" s="142">
        <f>SUMIFS(領用表!$L:$L,領用表!$E:$E,$B27,領用表!$B:$B,Q$2&amp;$P$1)</f>
        <v/>
      </c>
      <c r="R27" s="142">
        <f>SUMIFS(領用表!$L:$L,領用表!$E:$E,$B27,領用表!$B:$B,R$2&amp;$P$1)</f>
        <v/>
      </c>
      <c r="S27" s="142">
        <f>SUMIFS(領用表!$L:$L,領用表!$E:$E,$B27,領用表!$B:$B,S$2&amp;$P$1)</f>
        <v/>
      </c>
      <c r="T27" s="142">
        <f>SUMIFS(領用表!$L:$L,領用表!$E:$E,$B27,領用表!$B:$B,T$2&amp;$P$1)</f>
        <v/>
      </c>
      <c r="U27" s="142">
        <f>SUMIFS(領用表!$L:$L,領用表!$E:$E,$B27,領用表!$B:$B,U$2&amp;$P$1)</f>
        <v/>
      </c>
      <c r="V27" s="142">
        <f>SUMIFS(領用表!$L:$L,領用表!$E:$E,$B27,領用表!$B:$B,V$2&amp;$P$1)</f>
        <v/>
      </c>
      <c r="W27" s="142">
        <f>SUMIFS(領用表!$L:$L,領用表!$E:$E,$B27,領用表!$B:$B,W$2&amp;$P$1)</f>
        <v/>
      </c>
      <c r="X27" s="142">
        <f>SUMIFS(領用表!$L:$L,領用表!$E:$E,$B27,領用表!$B:$B,X$2&amp;$P$1)</f>
        <v/>
      </c>
      <c r="Y27" s="142">
        <f>SUMIFS(領用表!$L:$L,領用表!$E:$E,$B27,領用表!$B:$B,Y$2&amp;$P$1)</f>
        <v/>
      </c>
      <c r="Z27" s="142">
        <f>SUMIFS(領用表!$L:$L,領用表!$E:$E,$B27,領用表!$B:$B,Z$2&amp;$P$1)</f>
        <v/>
      </c>
      <c r="AA27" s="142">
        <f>SUMIFS(領用表!$L:$L,領用表!$E:$E,$B27,領用表!$B:$B,AA$2&amp;$P$1)</f>
        <v/>
      </c>
      <c r="AB27" s="142">
        <f>SUM(P27,Q27,R27,S27,T27,U27)</f>
        <v/>
      </c>
      <c r="AC27" s="142">
        <f>AVERAGE(P27,Q27,R27,S27,T27,U27)</f>
        <v/>
      </c>
      <c r="AD27" s="142">
        <f>SUMIF(Summary!B:B,B27,Summary!EB:EB)</f>
        <v/>
      </c>
      <c r="AE27" s="103" t="n"/>
      <c r="AF27" s="515" t="n"/>
      <c r="AG27" s="25" t="n"/>
      <c r="AH27" s="25" t="n"/>
      <c r="AI27" s="27" t="inlineStr">
        <is>
          <t>叫貨單位「盒(10瓶)」</t>
        </is>
      </c>
      <c r="AJ27" s="28" t="n"/>
      <c r="AK27" s="14" t="n"/>
      <c r="AL27" s="29" t="n"/>
    </row>
    <row r="28" ht="15.75" customHeight="1" s="453">
      <c r="A28" s="27" t="inlineStr">
        <is>
          <t>MP1MA020030A</t>
        </is>
      </c>
      <c r="B28" s="14" t="n">
        <v>6160011</v>
      </c>
      <c r="C28" s="133" t="inlineStr">
        <is>
          <t>(喬雅露)芳蜜軟組織注射植入物-Juvelook 50mg (1cc)</t>
        </is>
      </c>
      <c r="D28" s="16" t="n">
        <v>6</v>
      </c>
      <c r="E28" s="17" t="inlineStr">
        <is>
          <t>ml</t>
        </is>
      </c>
      <c r="F28" s="18" t="n"/>
      <c r="G28" s="18">
        <f>(D28*0)+3</f>
        <v/>
      </c>
      <c r="H28" s="20">
        <f>SUMIFS(領用表!$L:$L,領用表!$E:$E,$B28,領用表!$B:$B,H$2&amp;$P$1)</f>
        <v/>
      </c>
      <c r="I28" s="20">
        <f>SUMIFS(領用表!$L:$L,領用表!$E:$E,$B28,領用表!$B:$B,I$2&amp;$P$1)</f>
        <v/>
      </c>
      <c r="J28" s="20">
        <f>SUMIFS(領用表!$L:$L,領用表!$E:$E,$B28,領用表!$B:$B,J$2&amp;$P$1)</f>
        <v/>
      </c>
      <c r="K28" s="142">
        <f>SUMIFS(領用表!$L:$L,領用表!$E:$E,$B28,領用表!$B:$B,K$2&amp;$P$1)</f>
        <v/>
      </c>
      <c r="L28" s="142">
        <f>SUMIFS(領用表!$L:$L,領用表!$E:$E,$B28,領用表!$B:$B,L$2&amp;$P$1)</f>
        <v/>
      </c>
      <c r="M28" s="142">
        <f>SUMIFS(領用表!$L:$L,領用表!$E:$E,$B28,領用表!$B:$B,M$2&amp;$P$1)</f>
        <v/>
      </c>
      <c r="N28" s="23">
        <f>SUM(,H28,I28,J28,K28,L28,M28)</f>
        <v/>
      </c>
      <c r="O28" s="23">
        <f>AVERAGE(,H28,I28,J28,K28,L28,M28)</f>
        <v/>
      </c>
      <c r="P28" s="142">
        <f>SUMIFS(領用表!$L:$L,領用表!$E:$E,$B28,領用表!$B:$B,P$2&amp;$P$1)</f>
        <v/>
      </c>
      <c r="Q28" s="142">
        <f>SUMIFS(領用表!$L:$L,領用表!$E:$E,$B28,領用表!$B:$B,Q$2&amp;$P$1)</f>
        <v/>
      </c>
      <c r="R28" s="142">
        <f>SUMIFS(領用表!$L:$L,領用表!$E:$E,$B28,領用表!$B:$B,R$2&amp;$P$1)</f>
        <v/>
      </c>
      <c r="S28" s="142">
        <f>SUMIFS(領用表!$L:$L,領用表!$E:$E,$B28,領用表!$B:$B,S$2&amp;$P$1)</f>
        <v/>
      </c>
      <c r="T28" s="142">
        <f>SUMIFS(領用表!$L:$L,領用表!$E:$E,$B28,領用表!$B:$B,T$2&amp;$P$1)</f>
        <v/>
      </c>
      <c r="U28" s="142" t="n">
        <v>63</v>
      </c>
      <c r="V28" s="142">
        <f>SUMIFS(領用表!$L:$L,領用表!$E:$E,$B28,領用表!$B:$B,V$2&amp;$P$1)</f>
        <v/>
      </c>
      <c r="W28" s="142">
        <f>SUMIFS(領用表!$L:$L,領用表!$E:$E,$B28,領用表!$B:$B,W$2&amp;$P$1)</f>
        <v/>
      </c>
      <c r="X28" s="142">
        <f>SUMIFS(領用表!$L:$L,領用表!$E:$E,$B28,領用表!$B:$B,X$2&amp;$P$1)</f>
        <v/>
      </c>
      <c r="Y28" s="142">
        <f>SUMIFS(領用表!$L:$L,領用表!$E:$E,$B28,領用表!$B:$B,Y$2&amp;$P$1)</f>
        <v/>
      </c>
      <c r="Z28" s="142">
        <f>SUMIFS(領用表!$L:$L,領用表!$E:$E,$B28,領用表!$B:$B,Z$2&amp;$P$1)</f>
        <v/>
      </c>
      <c r="AA28" s="142">
        <f>SUMIFS(領用表!$L:$L,領用表!$E:$E,$B28,領用表!$B:$B,AA$2&amp;$P$1)</f>
        <v/>
      </c>
      <c r="AB28" s="142">
        <f>SUM(P28,Q28,R28,S28,T28,U28)</f>
        <v/>
      </c>
      <c r="AC28" s="142">
        <f>AVERAGE(P28,Q28,R28,S28,T28,U28)</f>
        <v/>
      </c>
      <c r="AD28" s="142">
        <f>SUMIF(Summary!B:B,B28,Summary!EB:EB)</f>
        <v/>
      </c>
      <c r="AE28" s="101" t="n">
        <v>175</v>
      </c>
      <c r="AF28" s="544" t="inlineStr">
        <is>
          <t>25 (出完改叫薇貝拉)</t>
        </is>
      </c>
      <c r="AG28" s="25" t="inlineStr">
        <is>
          <t>10瓶(10/21)</t>
        </is>
      </c>
      <c r="AH28" s="25" t="n"/>
      <c r="AI28" s="27" t="inlineStr">
        <is>
          <t>叫貨單位「盒(10瓶)」</t>
        </is>
      </c>
      <c r="AJ28" s="28" t="n"/>
      <c r="AK28" s="14" t="n"/>
      <c r="AL28" s="29" t="n"/>
    </row>
    <row r="29" ht="15.75" customHeight="1" s="453">
      <c r="A29" s="27" t="inlineStr">
        <is>
          <t>MP1MA020031A</t>
        </is>
      </c>
      <c r="B29" s="14" t="n">
        <v>6160010</v>
      </c>
      <c r="C29" s="133" t="inlineStr">
        <is>
          <t>(喬雅露)芳蜜軟組織注射植入物-Lenisna 200mg(1cc)</t>
        </is>
      </c>
      <c r="D29" s="16" t="n">
        <v>8</v>
      </c>
      <c r="E29" s="17" t="inlineStr">
        <is>
          <t>ml</t>
        </is>
      </c>
      <c r="F29" s="18" t="n"/>
      <c r="G29" s="18">
        <f>(D29*2)+2</f>
        <v/>
      </c>
      <c r="H29" s="20">
        <f>SUMIFS(領用表!$L:$L,領用表!$E:$E,$B29,領用表!$B:$B,H$2&amp;$P$1)</f>
        <v/>
      </c>
      <c r="I29" s="20">
        <f>SUMIFS(領用表!$L:$L,領用表!$E:$E,$B29,領用表!$B:$B,I$2&amp;$P$1)</f>
        <v/>
      </c>
      <c r="J29" s="20">
        <f>SUMIFS(領用表!$L:$L,領用表!$E:$E,$B29,領用表!$B:$B,J$2&amp;$P$1)</f>
        <v/>
      </c>
      <c r="K29" s="142">
        <f>SUMIFS(領用表!$L:$L,領用表!$E:$E,$B29,領用表!$B:$B,K$2&amp;$P$1)</f>
        <v/>
      </c>
      <c r="L29" s="142">
        <f>SUMIFS(領用表!$L:$L,領用表!$E:$E,$B29,領用表!$B:$B,L$2&amp;$P$1)</f>
        <v/>
      </c>
      <c r="M29" s="142">
        <f>SUMIFS(領用表!$L:$L,領用表!$E:$E,$B29,領用表!$B:$B,M$2&amp;$P$1)</f>
        <v/>
      </c>
      <c r="N29" s="23">
        <f>SUM(,H29,I29,J29,K29,L29,M29)</f>
        <v/>
      </c>
      <c r="O29" s="23">
        <f>AVERAGE(,H29,I29,J29,K29,L29,M29)</f>
        <v/>
      </c>
      <c r="P29" s="142">
        <f>SUMIFS(領用表!$L:$L,領用表!$E:$E,$B29,領用表!$B:$B,P$2&amp;$P$1)</f>
        <v/>
      </c>
      <c r="Q29" s="142">
        <f>SUMIFS(領用表!$L:$L,領用表!$E:$E,$B29,領用表!$B:$B,Q$2&amp;$P$1)</f>
        <v/>
      </c>
      <c r="R29" s="142">
        <f>SUMIFS(領用表!$L:$L,領用表!$E:$E,$B29,領用表!$B:$B,R$2&amp;$P$1)</f>
        <v/>
      </c>
      <c r="S29" s="142">
        <f>SUMIFS(領用表!$L:$L,領用表!$E:$E,$B29,領用表!$B:$B,S$2&amp;$P$1)</f>
        <v/>
      </c>
      <c r="T29" s="142">
        <f>SUMIFS(領用表!$L:$L,領用表!$E:$E,$B29,領用表!$B:$B,T$2&amp;$P$1)</f>
        <v/>
      </c>
      <c r="U29" s="142" t="n"/>
      <c r="V29" s="142">
        <f>SUMIFS(領用表!$L:$L,領用表!$E:$E,$B29,領用表!$B:$B,V$2&amp;$P$1)</f>
        <v/>
      </c>
      <c r="W29" s="142">
        <f>SUMIFS(領用表!$L:$L,領用表!$E:$E,$B29,領用表!$B:$B,W$2&amp;$P$1)</f>
        <v/>
      </c>
      <c r="X29" s="142">
        <f>SUMIFS(領用表!$L:$L,領用表!$E:$E,$B29,領用表!$B:$B,X$2&amp;$P$1)</f>
        <v/>
      </c>
      <c r="Y29" s="142">
        <f>SUMIFS(領用表!$L:$L,領用表!$E:$E,$B29,領用表!$B:$B,Y$2&amp;$P$1)</f>
        <v/>
      </c>
      <c r="Z29" s="142">
        <f>SUMIFS(領用表!$L:$L,領用表!$E:$E,$B29,領用表!$B:$B,Z$2&amp;$P$1)</f>
        <v/>
      </c>
      <c r="AA29" s="142">
        <f>SUMIFS(領用表!$L:$L,領用表!$E:$E,$B29,領用表!$B:$B,AA$2&amp;$P$1)</f>
        <v/>
      </c>
      <c r="AB29" s="142">
        <f>SUM(P29,Q29,R29,S29,T29,U29)</f>
        <v/>
      </c>
      <c r="AC29" s="142">
        <f>AVERAGE(P29,Q29,R29,S29,T29,U29)</f>
        <v/>
      </c>
      <c r="AD29" s="142">
        <f>SUMIF(Summary!B:B,B29,Summary!EB:EB)</f>
        <v/>
      </c>
      <c r="AE29" s="101" t="n">
        <v>60</v>
      </c>
      <c r="AF29" s="515" t="n"/>
      <c r="AG29" s="25" t="n"/>
      <c r="AH29" s="25" t="inlineStr">
        <is>
          <t>10瓶(10/21)</t>
        </is>
      </c>
      <c r="AI29" s="27" t="inlineStr">
        <is>
          <t>叫貨單位「盒(10瓶)」</t>
        </is>
      </c>
      <c r="AJ29" s="28" t="n"/>
      <c r="AK29" s="14" t="n"/>
      <c r="AL29" s="29" t="n"/>
    </row>
    <row r="30" ht="15.75" customHeight="1" s="453">
      <c r="A30" s="27" t="inlineStr">
        <is>
          <t>MP1MX080004A</t>
        </is>
      </c>
      <c r="B30" s="14" t="n">
        <v>6190002</v>
      </c>
      <c r="C30" s="118" t="inlineStr">
        <is>
          <t>PLT生長因子凍晶製備6入(單瓶)</t>
        </is>
      </c>
      <c r="D30" s="16" t="n">
        <v>6</v>
      </c>
      <c r="E30" s="17" t="inlineStr">
        <is>
          <t>BOT</t>
        </is>
      </c>
      <c r="F30" s="18" t="n"/>
      <c r="G30" s="18" t="n">
        <v>2</v>
      </c>
      <c r="H30" s="20">
        <f>SUMIFS(領用表!$L:$L,領用表!$E:$E,$B30,領用表!$B:$B,H$2&amp;$P$1)</f>
        <v/>
      </c>
      <c r="I30" s="20">
        <f>SUMIFS(領用表!$L:$L,領用表!$E:$E,$B30,領用表!$B:$B,I$2&amp;$P$1)</f>
        <v/>
      </c>
      <c r="J30" s="20">
        <f>SUMIFS(領用表!$L:$L,領用表!$E:$E,$B30,領用表!$B:$B,J$2&amp;$P$1)</f>
        <v/>
      </c>
      <c r="K30" s="142">
        <f>SUMIFS(領用表!$L:$L,領用表!$E:$E,$B30,領用表!$B:$B,K$2&amp;$P$1)</f>
        <v/>
      </c>
      <c r="L30" s="142">
        <f>SUMIFS(領用表!$L:$L,領用表!$E:$E,$B30,領用表!$B:$B,L$2&amp;$P$1)</f>
        <v/>
      </c>
      <c r="M30" s="142">
        <f>SUMIFS(領用表!$L:$L,領用表!$E:$E,$B30,領用表!$B:$B,M$2&amp;$P$1)</f>
        <v/>
      </c>
      <c r="N30" s="23">
        <f>SUM(,H30,I30,J30,K30,L30,M30)</f>
        <v/>
      </c>
      <c r="O30" s="23">
        <f>AVERAGE(,H30,I30,J30,K30,L30,M30)</f>
        <v/>
      </c>
      <c r="P30" s="142">
        <f>SUMIFS(領用表!$L:$L,領用表!$E:$E,$B30,領用表!$B:$B,P$2&amp;$P$1)</f>
        <v/>
      </c>
      <c r="Q30" s="142">
        <f>SUMIFS(領用表!$L:$L,領用表!$E:$E,$B30,領用表!$B:$B,Q$2&amp;$P$1)</f>
        <v/>
      </c>
      <c r="R30" s="142">
        <f>SUMIFS(領用表!$L:$L,領用表!$E:$E,$B30,領用表!$B:$B,R$2&amp;$P$1)</f>
        <v/>
      </c>
      <c r="S30" s="142">
        <f>SUMIFS(領用表!$L:$L,領用表!$E:$E,$B30,領用表!$B:$B,S$2&amp;$P$1)</f>
        <v/>
      </c>
      <c r="T30" s="142">
        <f>SUMIFS(領用表!$L:$L,領用表!$E:$E,$B30,領用表!$B:$B,T$2&amp;$P$1)</f>
        <v/>
      </c>
      <c r="U30" s="142" t="n"/>
      <c r="V30" s="142">
        <f>SUMIFS(領用表!$L:$L,領用表!$E:$E,$B30,領用表!$B:$B,V$2&amp;$P$1)</f>
        <v/>
      </c>
      <c r="W30" s="142">
        <f>SUMIFS(領用表!$L:$L,領用表!$E:$E,$B30,領用表!$B:$B,W$2&amp;$P$1)</f>
        <v/>
      </c>
      <c r="X30" s="142">
        <f>SUMIFS(領用表!$L:$L,領用表!$E:$E,$B30,領用表!$B:$B,X$2&amp;$P$1)</f>
        <v/>
      </c>
      <c r="Y30" s="142">
        <f>SUMIFS(領用表!$L:$L,領用表!$E:$E,$B30,領用表!$B:$B,Y$2&amp;$P$1)</f>
        <v/>
      </c>
      <c r="Z30" s="142">
        <f>SUMIFS(領用表!$L:$L,領用表!$E:$E,$B30,領用表!$B:$B,Z$2&amp;$P$1)</f>
        <v/>
      </c>
      <c r="AA30" s="142">
        <f>SUMIFS(領用表!$L:$L,領用表!$E:$E,$B30,領用表!$B:$B,AA$2&amp;$P$1)</f>
        <v/>
      </c>
      <c r="AB30" s="142">
        <f>SUM(P30,Q30,R30,S30,T30,U30)</f>
        <v/>
      </c>
      <c r="AC30" s="142">
        <f>AVERAGE(P30,Q30,R30,S30,T30,U30)</f>
        <v/>
      </c>
      <c r="AD30" s="142">
        <f>SUMIF(Summary!B:B,B30,Summary!EB:EB)</f>
        <v/>
      </c>
      <c r="AE30" s="101" t="n">
        <v>5</v>
      </c>
      <c r="AF30" s="24" t="n">
        <v>0</v>
      </c>
      <c r="AG30" s="25" t="n"/>
      <c r="AH30" s="25" t="n"/>
      <c r="AI30" s="27" t="n"/>
      <c r="AJ30" s="28" t="n"/>
      <c r="AK30" s="14" t="n"/>
      <c r="AL30" s="29" t="n"/>
    </row>
    <row r="31" ht="15.75" customHeight="1" s="453">
      <c r="A31" s="27" t="inlineStr">
        <is>
          <t>MP1MX080005A</t>
        </is>
      </c>
      <c r="B31" s="14" t="n">
        <v>6190003</v>
      </c>
      <c r="C31" s="118" t="inlineStr">
        <is>
          <t>PLT生長因子凍晶製備10入(單瓶)</t>
        </is>
      </c>
      <c r="D31" s="16" t="n">
        <v>10</v>
      </c>
      <c r="E31" s="17" t="inlineStr">
        <is>
          <t>BOT</t>
        </is>
      </c>
      <c r="F31" s="18" t="n"/>
      <c r="G31" s="18" t="n"/>
      <c r="H31" s="20">
        <f>SUMIFS(領用表!$L:$L,領用表!$E:$E,$B31,領用表!$B:$B,H$2&amp;$P$1)</f>
        <v/>
      </c>
      <c r="I31" s="20">
        <f>SUMIFS(領用表!$L:$L,領用表!$E:$E,$B31,領用表!$B:$B,I$2&amp;$P$1)</f>
        <v/>
      </c>
      <c r="J31" s="20">
        <f>SUMIFS(領用表!$L:$L,領用表!$E:$E,$B31,領用表!$B:$B,J$2&amp;$P$1)</f>
        <v/>
      </c>
      <c r="K31" s="142">
        <f>SUMIFS(領用表!$L:$L,領用表!$E:$E,$B31,領用表!$B:$B,K$2&amp;$P$1)</f>
        <v/>
      </c>
      <c r="L31" s="142">
        <f>SUMIFS(領用表!$L:$L,領用表!$E:$E,$B31,領用表!$B:$B,L$2&amp;$P$1)</f>
        <v/>
      </c>
      <c r="M31" s="142">
        <f>SUMIFS(領用表!$L:$L,領用表!$E:$E,$B31,領用表!$B:$B,M$2&amp;$P$1)</f>
        <v/>
      </c>
      <c r="N31" s="23">
        <f>SUM(,H31,I31,J31,K31,L31,M31)</f>
        <v/>
      </c>
      <c r="O31" s="23">
        <f>AVERAGE(,H31,I31,J31,K31,L31,M31)</f>
        <v/>
      </c>
      <c r="P31" s="142">
        <f>SUMIFS(領用表!$L:$L,領用表!$E:$E,$B31,領用表!$B:$B,P$2&amp;$P$1)</f>
        <v/>
      </c>
      <c r="Q31" s="142">
        <f>SUMIFS(領用表!$L:$L,領用表!$E:$E,$B31,領用表!$B:$B,Q$2&amp;$P$1)</f>
        <v/>
      </c>
      <c r="R31" s="142">
        <f>SUMIFS(領用表!$L:$L,領用表!$E:$E,$B31,領用表!$B:$B,R$2&amp;$P$1)</f>
        <v/>
      </c>
      <c r="S31" s="142">
        <f>SUMIFS(領用表!$L:$L,領用表!$E:$E,$B31,領用表!$B:$B,S$2&amp;$P$1)</f>
        <v/>
      </c>
      <c r="T31" s="142">
        <f>SUMIFS(領用表!$L:$L,領用表!$E:$E,$B31,領用表!$B:$B,T$2&amp;$P$1)</f>
        <v/>
      </c>
      <c r="U31" s="142" t="n">
        <v>5</v>
      </c>
      <c r="V31" s="142">
        <f>SUMIFS(領用表!$L:$L,領用表!$E:$E,$B31,領用表!$B:$B,V$2&amp;$P$1)</f>
        <v/>
      </c>
      <c r="W31" s="142">
        <f>SUMIFS(領用表!$L:$L,領用表!$E:$E,$B31,領用表!$B:$B,W$2&amp;$P$1)</f>
        <v/>
      </c>
      <c r="X31" s="142">
        <f>SUMIFS(領用表!$L:$L,領用表!$E:$E,$B31,領用表!$B:$B,X$2&amp;$P$1)</f>
        <v/>
      </c>
      <c r="Y31" s="142">
        <f>SUMIFS(領用表!$L:$L,領用表!$E:$E,$B31,領用表!$B:$B,Y$2&amp;$P$1)</f>
        <v/>
      </c>
      <c r="Z31" s="142">
        <f>SUMIFS(領用表!$L:$L,領用表!$E:$E,$B31,領用表!$B:$B,Z$2&amp;$P$1)</f>
        <v/>
      </c>
      <c r="AA31" s="142">
        <f>SUMIFS(領用表!$L:$L,領用表!$E:$E,$B31,領用表!$B:$B,AA$2&amp;$P$1)</f>
        <v/>
      </c>
      <c r="AB31" s="142">
        <f>SUM(P31,Q31,R31,S31,T31,U31)</f>
        <v/>
      </c>
      <c r="AC31" s="142">
        <f>AVERAGE(P31,Q31,R31,S31,T31,U31)</f>
        <v/>
      </c>
      <c r="AD31" s="142">
        <f>SUMIF(Summary!B:B,B31,Summary!EB:EB)</f>
        <v/>
      </c>
      <c r="AE31" s="101" t="n">
        <v>5</v>
      </c>
      <c r="AF31" s="24" t="n">
        <v>0</v>
      </c>
      <c r="AG31" s="25" t="n"/>
      <c r="AH31" s="25" t="n"/>
      <c r="AI31" s="27" t="n"/>
      <c r="AJ31" s="28" t="n"/>
      <c r="AK31" s="14" t="n"/>
      <c r="AL31" s="29" t="n"/>
    </row>
    <row r="32" ht="15.75" customHeight="1" s="453">
      <c r="A32" s="27" t="inlineStr">
        <is>
          <t>MP1MX080006A</t>
        </is>
      </c>
      <c r="B32" s="14" t="n">
        <v>6190004</v>
      </c>
      <c r="C32" s="118" t="inlineStr">
        <is>
          <t>PLT生長因子凍晶製備20入(單瓶)</t>
        </is>
      </c>
      <c r="D32" s="16" t="n">
        <v>20</v>
      </c>
      <c r="E32" s="17" t="inlineStr">
        <is>
          <t>BOT</t>
        </is>
      </c>
      <c r="F32" s="18" t="n"/>
      <c r="G32" s="18" t="n">
        <v>20</v>
      </c>
      <c r="H32" s="20">
        <f>SUMIFS(領用表!$L:$L,領用表!$E:$E,$B32,領用表!$B:$B,H$2&amp;$P$1)</f>
        <v/>
      </c>
      <c r="I32" s="20">
        <f>SUMIFS(領用表!$L:$L,領用表!$E:$E,$B32,領用表!$B:$B,I$2&amp;$P$1)</f>
        <v/>
      </c>
      <c r="J32" s="20">
        <f>SUMIFS(領用表!$L:$L,領用表!$E:$E,$B32,領用表!$B:$B,J$2&amp;$P$1)</f>
        <v/>
      </c>
      <c r="K32" s="142">
        <f>SUMIFS(領用表!$L:$L,領用表!$E:$E,$B32,領用表!$B:$B,K$2&amp;$P$1)</f>
        <v/>
      </c>
      <c r="L32" s="142">
        <f>SUMIFS(領用表!$L:$L,領用表!$E:$E,$B32,領用表!$B:$B,L$2&amp;$P$1)</f>
        <v/>
      </c>
      <c r="M32" s="142">
        <f>SUMIFS(領用表!$L:$L,領用表!$E:$E,$B32,領用表!$B:$B,M$2&amp;$P$1)</f>
        <v/>
      </c>
      <c r="N32" s="23">
        <f>SUM(,H32,I32,J32,K32,L32,M32)</f>
        <v/>
      </c>
      <c r="O32" s="23">
        <f>AVERAGE(,H32,I32,J32,K32,L32,M32)</f>
        <v/>
      </c>
      <c r="P32" s="142">
        <f>SUMIFS(領用表!$L:$L,領用表!$E:$E,$B32,領用表!$B:$B,P$2&amp;$P$1)</f>
        <v/>
      </c>
      <c r="Q32" s="142">
        <f>SUMIFS(領用表!$L:$L,領用表!$E:$E,$B32,領用表!$B:$B,Q$2&amp;$P$1)</f>
        <v/>
      </c>
      <c r="R32" s="142">
        <f>SUMIFS(領用表!$L:$L,領用表!$E:$E,$B32,領用表!$B:$B,R$2&amp;$P$1)</f>
        <v/>
      </c>
      <c r="S32" s="142">
        <f>SUMIFS(領用表!$L:$L,領用表!$E:$E,$B32,領用表!$B:$B,S$2&amp;$P$1)</f>
        <v/>
      </c>
      <c r="T32" s="142">
        <f>SUMIFS(領用表!$L:$L,領用表!$E:$E,$B32,領用表!$B:$B,T$2&amp;$P$1)</f>
        <v/>
      </c>
      <c r="U32" s="142" t="n"/>
      <c r="V32" s="142">
        <f>SUMIFS(領用表!$L:$L,領用表!$E:$E,$B32,領用表!$B:$B,V$2&amp;$P$1)</f>
        <v/>
      </c>
      <c r="W32" s="142">
        <f>SUMIFS(領用表!$L:$L,領用表!$E:$E,$B32,領用表!$B:$B,W$2&amp;$P$1)</f>
        <v/>
      </c>
      <c r="X32" s="142">
        <f>SUMIFS(領用表!$L:$L,領用表!$E:$E,$B32,領用表!$B:$B,X$2&amp;$P$1)</f>
        <v/>
      </c>
      <c r="Y32" s="142">
        <f>SUMIFS(領用表!$L:$L,領用表!$E:$E,$B32,領用表!$B:$B,Y$2&amp;$P$1)</f>
        <v/>
      </c>
      <c r="Z32" s="142">
        <f>SUMIFS(領用表!$L:$L,領用表!$E:$E,$B32,領用表!$B:$B,Z$2&amp;$P$1)</f>
        <v/>
      </c>
      <c r="AA32" s="142">
        <f>SUMIFS(領用表!$L:$L,領用表!$E:$E,$B32,領用表!$B:$B,AA$2&amp;$P$1)</f>
        <v/>
      </c>
      <c r="AB32" s="142">
        <f>SUM(P32,Q32,R32,S32,T32,U32)</f>
        <v/>
      </c>
      <c r="AC32" s="142">
        <f>AVERAGE(P32,Q32,R32,S32,T32,U32)</f>
        <v/>
      </c>
      <c r="AD32" s="142">
        <f>SUMIF(Summary!B:B,B32,Summary!EB:EB)</f>
        <v/>
      </c>
      <c r="AE32" s="101" t="n">
        <v>15</v>
      </c>
      <c r="AF32" s="24" t="n">
        <v>0</v>
      </c>
      <c r="AG32" s="25" t="n"/>
      <c r="AH32" s="25" t="n"/>
      <c r="AI32" s="27" t="n"/>
      <c r="AJ32" s="28" t="n"/>
      <c r="AK32" s="14" t="n"/>
      <c r="AL32" s="29" t="n"/>
    </row>
    <row r="33" ht="15.75" customHeight="1" s="453">
      <c r="A33" s="27" t="n"/>
      <c r="B33" s="14" t="n">
        <v>6190006</v>
      </c>
      <c r="C33" s="118" t="inlineStr">
        <is>
          <t>ExoPower 泌力機泌凍晶 5mg</t>
        </is>
      </c>
      <c r="D33" s="16" t="n">
        <v>1</v>
      </c>
      <c r="E33" s="17" t="inlineStr">
        <is>
          <t>PCS</t>
        </is>
      </c>
      <c r="F33" s="18" t="n"/>
      <c r="G33" s="18" t="n">
        <v>81</v>
      </c>
      <c r="H33" s="20" t="n"/>
      <c r="I33" s="20" t="n"/>
      <c r="J33" s="20" t="n"/>
      <c r="K33" s="142" t="n"/>
      <c r="L33" s="142" t="n"/>
      <c r="M33" s="142" t="n"/>
      <c r="N33" s="23" t="n"/>
      <c r="O33" s="23" t="n"/>
      <c r="P33" s="142">
        <f>SUMIFS(領用表!$L:$L,領用表!$E:$E,$B33,領用表!$B:$B,P$2&amp;$P$1)</f>
        <v/>
      </c>
      <c r="Q33" s="142">
        <f>SUMIFS(領用表!$L:$L,領用表!$E:$E,$B33,領用表!$B:$B,Q$2&amp;$P$1)</f>
        <v/>
      </c>
      <c r="R33" s="142">
        <f>SUMIFS(領用表!$L:$L,領用表!$E:$E,$B33,領用表!$B:$B,R$2&amp;$P$1)</f>
        <v/>
      </c>
      <c r="S33" s="142">
        <f>SUMIFS(領用表!$L:$L,領用表!$E:$E,$B33,領用表!$B:$B,S$2&amp;$P$1)</f>
        <v/>
      </c>
      <c r="T33" s="142">
        <f>SUMIFS(領用表!$L:$L,領用表!$E:$E,$B33,領用表!$B:$B,T$2&amp;$P$1)</f>
        <v/>
      </c>
      <c r="U33" s="142" t="n">
        <v>7</v>
      </c>
      <c r="V33" s="142">
        <f>SUMIFS(領用表!$L:$L,領用表!$E:$E,$B33,領用表!$B:$B,V$2&amp;$P$1)</f>
        <v/>
      </c>
      <c r="W33" s="142">
        <f>SUMIFS(領用表!$L:$L,領用表!$E:$E,$B33,領用表!$B:$B,W$2&amp;$P$1)</f>
        <v/>
      </c>
      <c r="X33" s="142">
        <f>SUMIFS(領用表!$L:$L,領用表!$E:$E,$B33,領用表!$B:$B,X$2&amp;$P$1)</f>
        <v/>
      </c>
      <c r="Y33" s="142">
        <f>SUMIFS(領用表!$L:$L,領用表!$E:$E,$B33,領用表!$B:$B,Y$2&amp;$P$1)</f>
        <v/>
      </c>
      <c r="Z33" s="142">
        <f>SUMIFS(領用表!$L:$L,領用表!$E:$E,$B33,領用表!$B:$B,Z$2&amp;$P$1)</f>
        <v/>
      </c>
      <c r="AA33" s="142">
        <f>SUMIFS(領用表!$L:$L,領用表!$E:$E,$B33,領用表!$B:$B,AA$2&amp;$P$1)</f>
        <v/>
      </c>
      <c r="AB33" s="142">
        <f>SUM(P33,Q33,R33,S33,T33,U33)</f>
        <v/>
      </c>
      <c r="AC33" s="142">
        <f>AVERAGE(P33,Q33,R33,S33,T33,U33)</f>
        <v/>
      </c>
      <c r="AD33" s="142">
        <f>SUMIF(Summary!B:B,B33,Summary!EB:EB)</f>
        <v/>
      </c>
      <c r="AE33" s="101" t="n"/>
      <c r="AF33" s="24" t="n"/>
      <c r="AG33" s="25" t="n"/>
      <c r="AH33" s="25" t="n"/>
      <c r="AI33" s="27" t="n"/>
      <c r="AJ33" s="28" t="n"/>
      <c r="AK33" s="14" t="n"/>
      <c r="AL33" s="29" t="n"/>
    </row>
    <row r="34" ht="15.75" customHeight="1" s="453">
      <c r="A34" s="27" t="n"/>
      <c r="B34" s="433" t="n">
        <v>6050010</v>
      </c>
      <c r="C34" s="14" t="inlineStr">
        <is>
          <t>ExoPower 機泌導入安瓶/ 6mL</t>
        </is>
      </c>
      <c r="D34" s="16" t="n"/>
      <c r="E34" s="17" t="n"/>
      <c r="F34" s="18" t="n"/>
      <c r="G34" s="18" t="n">
        <v>98</v>
      </c>
      <c r="H34" s="20" t="n"/>
      <c r="I34" s="20" t="n"/>
      <c r="J34" s="20" t="n"/>
      <c r="K34" s="142" t="n"/>
      <c r="L34" s="142" t="n"/>
      <c r="M34" s="142" t="n"/>
      <c r="N34" s="23" t="n"/>
      <c r="O34" s="23" t="n"/>
      <c r="P34" s="142" t="n"/>
      <c r="Q34" s="142" t="n"/>
      <c r="R34" s="142" t="n"/>
      <c r="S34" s="142" t="n"/>
      <c r="T34" s="142">
        <f>SUMIFS(領用表!$L:$L,領用表!$E:$E,$B34,領用表!$B:$B,T$2&amp;$P$1)</f>
        <v/>
      </c>
      <c r="U34" s="142" t="n"/>
      <c r="V34" s="142" t="n"/>
      <c r="W34" s="142" t="n"/>
      <c r="X34" s="142" t="n"/>
      <c r="Y34" s="142" t="n"/>
      <c r="Z34" s="142" t="n"/>
      <c r="AA34" s="142" t="n"/>
      <c r="AB34" s="142">
        <f>SUM(P34,Q34,R34,S34,T34,U34)</f>
        <v/>
      </c>
      <c r="AC34" s="142">
        <f>AVERAGE(P34,Q34,R34,S34,T34,U34)</f>
        <v/>
      </c>
      <c r="AD34" s="142">
        <f>SUMIF(Summary!B:B,B34,Summary!EB:EB)</f>
        <v/>
      </c>
      <c r="AE34" s="101" t="n"/>
      <c r="AF34" s="24" t="n"/>
      <c r="AG34" s="25" t="n"/>
      <c r="AH34" s="25" t="n"/>
      <c r="AI34" s="27" t="n"/>
      <c r="AJ34" s="28" t="n"/>
      <c r="AK34" s="14" t="n"/>
      <c r="AL34" s="29" t="n"/>
    </row>
    <row r="35" ht="15.75" customHeight="1" s="453">
      <c r="A35" s="27" t="inlineStr">
        <is>
          <t>MP1MA020009A</t>
        </is>
      </c>
      <c r="B35" s="14" t="n">
        <v>6160001</v>
      </c>
      <c r="C35" s="131" t="inlineStr">
        <is>
          <t>艾麗斯皮下填補劑 Aesthe Fill-200mg/ vial</t>
        </is>
      </c>
      <c r="D35" s="43" t="n">
        <v>1</v>
      </c>
      <c r="E35" s="17" t="inlineStr">
        <is>
          <t>PCS</t>
        </is>
      </c>
      <c r="F35" s="18" t="n"/>
      <c r="G35" s="18" t="n">
        <v>0</v>
      </c>
      <c r="H35" s="20">
        <f>SUMIFS(領用表!$L:$L,領用表!$E:$E,$B35,領用表!$B:$B,H$2&amp;$P$1)</f>
        <v/>
      </c>
      <c r="I35" s="20">
        <f>SUMIFS(領用表!$L:$L,領用表!$E:$E,$B35,領用表!$B:$B,I$2&amp;$P$1)</f>
        <v/>
      </c>
      <c r="J35" s="20">
        <f>SUMIFS(領用表!$L:$L,領用表!$E:$E,$B35,領用表!$B:$B,J$2&amp;$P$1)</f>
        <v/>
      </c>
      <c r="K35" s="142">
        <f>SUMIFS(領用表!$L:$L,領用表!$E:$E,$B35,領用表!$B:$B,K$2&amp;$P$1)</f>
        <v/>
      </c>
      <c r="L35" s="142">
        <f>SUMIFS(領用表!$L:$L,領用表!$E:$E,$B35,領用表!$B:$B,L$2&amp;$P$1)</f>
        <v/>
      </c>
      <c r="M35" s="142">
        <f>SUMIFS(領用表!$L:$L,領用表!$E:$E,$B35,領用表!$B:$B,M$2&amp;$P$1)</f>
        <v/>
      </c>
      <c r="N35" s="23">
        <f>SUM(,H35,I35,J35,K35,L35,M35)</f>
        <v/>
      </c>
      <c r="O35" s="23">
        <f>AVERAGE(,H35,I35,J35,K35,L35,M35)</f>
        <v/>
      </c>
      <c r="P35" s="142">
        <f>SUMIFS(領用表!$L:$L,領用表!$E:$E,$B35,領用表!$B:$B,P$2&amp;$P$1)</f>
        <v/>
      </c>
      <c r="Q35" s="142">
        <f>SUMIFS(領用表!$L:$L,領用表!$E:$E,$B35,領用表!$B:$B,Q$2&amp;$P$1)</f>
        <v/>
      </c>
      <c r="R35" s="142">
        <f>SUMIFS(領用表!$L:$L,領用表!$E:$E,$B35,領用表!$B:$B,R$2&amp;$P$1)</f>
        <v/>
      </c>
      <c r="S35" s="142">
        <f>SUMIFS(領用表!$L:$L,領用表!$E:$E,$B35,領用表!$B:$B,S$2&amp;$P$1)</f>
        <v/>
      </c>
      <c r="T35" s="142">
        <f>SUMIFS(領用表!$L:$L,領用表!$E:$E,$B35,領用表!$B:$B,T$2&amp;$P$1)</f>
        <v/>
      </c>
      <c r="U35" s="142" t="n"/>
      <c r="V35" s="142">
        <f>SUMIFS(領用表!$L:$L,領用表!$E:$E,$B35,領用表!$B:$B,V$2&amp;$P$1)</f>
        <v/>
      </c>
      <c r="W35" s="142">
        <f>SUMIFS(領用表!$L:$L,領用表!$E:$E,$B35,領用表!$B:$B,W$2&amp;$P$1)</f>
        <v/>
      </c>
      <c r="X35" s="142">
        <f>SUMIFS(領用表!$L:$L,領用表!$E:$E,$B35,領用表!$B:$B,X$2&amp;$P$1)</f>
        <v/>
      </c>
      <c r="Y35" s="142">
        <f>SUMIFS(領用表!$L:$L,領用表!$E:$E,$B35,領用表!$B:$B,Y$2&amp;$P$1)</f>
        <v/>
      </c>
      <c r="Z35" s="142">
        <f>SUMIFS(領用表!$L:$L,領用表!$E:$E,$B35,領用表!$B:$B,Z$2&amp;$P$1)</f>
        <v/>
      </c>
      <c r="AA35" s="142">
        <f>SUMIFS(領用表!$L:$L,領用表!$E:$E,$B35,領用表!$B:$B,AA$2&amp;$P$1)</f>
        <v/>
      </c>
      <c r="AB35" s="142">
        <f>SUM(P35,Q35,R35,S35,T35,U35)</f>
        <v/>
      </c>
      <c r="AC35" s="142">
        <f>AVERAGE(P35,Q35,R35,S35,T35,U35)</f>
        <v/>
      </c>
      <c r="AD35" s="142">
        <f>SUMIF(Summary!B:B,B35,Summary!EB:EB)</f>
        <v/>
      </c>
      <c r="AE35" s="101" t="n">
        <v>0</v>
      </c>
      <c r="AF35" s="24" t="n"/>
      <c r="AG35" s="25" t="n"/>
      <c r="AH35" s="25" t="n"/>
      <c r="AI35" s="27" t="n"/>
      <c r="AJ35" s="28" t="n"/>
      <c r="AK35" s="14" t="n"/>
      <c r="AL35" s="29" t="n"/>
    </row>
    <row r="36" ht="15.75" customHeight="1" s="453" thickBot="1">
      <c r="A36" s="27" t="inlineStr">
        <is>
          <t>MP1MA020028A</t>
        </is>
      </c>
      <c r="B36" s="14" t="n">
        <v>6150012</v>
      </c>
      <c r="C36" s="131" t="inlineStr">
        <is>
          <t>膚美康 2.5cc/支</t>
        </is>
      </c>
      <c r="D36" s="43" t="n">
        <v>1</v>
      </c>
      <c r="E36" s="17" t="inlineStr">
        <is>
          <t>PCS</t>
        </is>
      </c>
      <c r="F36" s="18" t="n"/>
      <c r="G36" s="18" t="n">
        <v>0</v>
      </c>
      <c r="H36" s="20">
        <f>SUMIFS(領用表!$L:$L,領用表!$E:$E,$B36,領用表!$B:$B,H$2&amp;$P$1)</f>
        <v/>
      </c>
      <c r="I36" s="20">
        <f>SUMIFS(領用表!$L:$L,領用表!$E:$E,$B36,領用表!$B:$B,I$2&amp;$P$1)</f>
        <v/>
      </c>
      <c r="J36" s="20">
        <f>SUMIFS(領用表!$L:$L,領用表!$E:$E,$B36,領用表!$B:$B,J$2&amp;$P$1)</f>
        <v/>
      </c>
      <c r="K36" s="142">
        <f>SUMIFS(領用表!$L:$L,領用表!$E:$E,$B36,領用表!$B:$B,K$2&amp;$P$1)</f>
        <v/>
      </c>
      <c r="L36" s="142">
        <f>SUMIFS(領用表!$L:$L,領用表!$E:$E,$B36,領用表!$B:$B,L$2&amp;$P$1)</f>
        <v/>
      </c>
      <c r="M36" s="142">
        <f>SUMIFS(領用表!$L:$L,領用表!$E:$E,$B36,領用表!$B:$B,M$2&amp;$P$1)</f>
        <v/>
      </c>
      <c r="N36" s="23">
        <f>SUM(,H36,I36,J36,K36,L36,M36)</f>
        <v/>
      </c>
      <c r="O36" s="23">
        <f>AVERAGE(,H36,I36,J36,K36,L36,M36)</f>
        <v/>
      </c>
      <c r="P36" s="142">
        <f>SUMIFS(領用表!$L:$L,領用表!$E:$E,$B36,領用表!$B:$B,P$2&amp;$P$1)</f>
        <v/>
      </c>
      <c r="Q36" s="142">
        <f>SUMIFS(領用表!$L:$L,領用表!$E:$E,$B36,領用表!$B:$B,Q$2&amp;$P$1)</f>
        <v/>
      </c>
      <c r="R36" s="142">
        <f>SUMIFS(領用表!$L:$L,領用表!$E:$E,$B36,領用表!$B:$B,R$2&amp;$P$1)</f>
        <v/>
      </c>
      <c r="S36" s="142">
        <f>SUMIFS(領用表!$L:$L,領用表!$E:$E,$B36,領用表!$B:$B,S$2&amp;$P$1)</f>
        <v/>
      </c>
      <c r="T36" s="142">
        <f>SUMIFS(領用表!$L:$L,領用表!$E:$E,$B36,領用表!$B:$B,T$2&amp;$P$1)</f>
        <v/>
      </c>
      <c r="U36" s="142" t="n"/>
      <c r="V36" s="142">
        <f>SUMIFS(領用表!$L:$L,領用表!$E:$E,$B36,領用表!$B:$B,V$2&amp;$P$1)</f>
        <v/>
      </c>
      <c r="W36" s="142">
        <f>SUMIFS(領用表!$L:$L,領用表!$E:$E,$B36,領用表!$B:$B,W$2&amp;$P$1)</f>
        <v/>
      </c>
      <c r="X36" s="142">
        <f>SUMIFS(領用表!$L:$L,領用表!$E:$E,$B36,領用表!$B:$B,X$2&amp;$P$1)</f>
        <v/>
      </c>
      <c r="Y36" s="142">
        <f>SUMIFS(領用表!$L:$L,領用表!$E:$E,$B36,領用表!$B:$B,Y$2&amp;$P$1)</f>
        <v/>
      </c>
      <c r="Z36" s="142">
        <f>SUMIFS(領用表!$L:$L,領用表!$E:$E,$B36,領用表!$B:$B,Z$2&amp;$P$1)</f>
        <v/>
      </c>
      <c r="AA36" s="142">
        <f>SUMIFS(領用表!$L:$L,領用表!$E:$E,$B36,領用表!$B:$B,AA$2&amp;$P$1)</f>
        <v/>
      </c>
      <c r="AB36" s="142">
        <f>SUM(P36,Q36,R36,S36,T36,U36)</f>
        <v/>
      </c>
      <c r="AC36" s="142">
        <f>AVERAGE(P36,Q36,R36,S36,T36,U36)</f>
        <v/>
      </c>
      <c r="AD36" s="142">
        <f>SUMIF(Summary!B:B,B36,Summary!EB:EB)</f>
        <v/>
      </c>
      <c r="AE36" s="101" t="n">
        <v>0</v>
      </c>
      <c r="AF36" s="36" t="n"/>
      <c r="AG36" s="25" t="n"/>
      <c r="AH36" s="25" t="n"/>
      <c r="AI36" s="27" t="n"/>
      <c r="AJ36" s="28" t="n"/>
      <c r="AK36" s="14" t="n"/>
      <c r="AL36" s="29" t="n"/>
    </row>
    <row r="37" ht="15.75" customHeight="1" s="453" thickBot="1">
      <c r="A37" s="229" t="inlineStr">
        <is>
          <t>MP1MA020034A</t>
        </is>
      </c>
      <c r="B37" s="230" t="n">
        <v>6150014</v>
      </c>
      <c r="C37" s="231" t="inlineStr">
        <is>
          <t>膚美康(1c.c.)</t>
        </is>
      </c>
      <c r="D37" s="232" t="n">
        <v>2.5</v>
      </c>
      <c r="E37" s="233" t="inlineStr">
        <is>
          <t>c.c.</t>
        </is>
      </c>
      <c r="F37" s="18" t="n"/>
      <c r="G37" s="18">
        <f>G36*D37</f>
        <v/>
      </c>
      <c r="H37" s="20">
        <f>SUMIFS(領用表!$L:$L,領用表!$E:$E,$B37,領用表!$B:$B,H$2&amp;$P$1)</f>
        <v/>
      </c>
      <c r="I37" s="20">
        <f>SUMIFS(領用表!$L:$L,領用表!$E:$E,$B37,領用表!$B:$B,I$2&amp;$P$1)</f>
        <v/>
      </c>
      <c r="J37" s="20">
        <f>SUMIFS(領用表!$L:$L,領用表!$E:$E,$B37,領用表!$B:$B,J$2&amp;$P$1)</f>
        <v/>
      </c>
      <c r="K37" s="142">
        <f>SUMIFS(領用表!$L:$L,領用表!$E:$E,$B37,領用表!$B:$B,K$2&amp;$P$1)</f>
        <v/>
      </c>
      <c r="L37" s="142">
        <f>SUMIFS(領用表!$L:$L,領用表!$E:$E,$B37,領用表!$B:$B,L$2&amp;$P$1)</f>
        <v/>
      </c>
      <c r="M37" s="142">
        <f>SUMIFS(領用表!$L:$L,領用表!$E:$E,$B37,領用表!$B:$B,M$2&amp;$P$1)</f>
        <v/>
      </c>
      <c r="N37" s="23">
        <f>SUM(,H37,I37,J37,K37,L37,M37)</f>
        <v/>
      </c>
      <c r="O37" s="23">
        <f>AVERAGE(,H37,I37,J37,K37,L37,M37)</f>
        <v/>
      </c>
      <c r="P37" s="142">
        <f>SUMIFS(領用表!$L:$L,領用表!$E:$E,$B37,領用表!$B:$B,P$2&amp;$P$1)</f>
        <v/>
      </c>
      <c r="Q37" s="142">
        <f>SUMIFS(領用表!$L:$L,領用表!$E:$E,$B37,領用表!$B:$B,Q$2&amp;$P$1)</f>
        <v/>
      </c>
      <c r="R37" s="142">
        <f>SUMIFS(領用表!$L:$L,領用表!$E:$E,$B37,領用表!$B:$B,R$2&amp;$P$1)</f>
        <v/>
      </c>
      <c r="S37" s="142">
        <f>SUMIFS(領用表!$L:$L,領用表!$E:$E,$B37,領用表!$B:$B,S$2&amp;$P$1)</f>
        <v/>
      </c>
      <c r="T37" s="142">
        <f>SUMIFS(領用表!$L:$L,領用表!$E:$E,$B37,領用表!$B:$B,T$2&amp;$P$1)</f>
        <v/>
      </c>
      <c r="U37" s="142" t="n"/>
      <c r="V37" s="142">
        <f>SUMIFS(領用表!$L:$L,領用表!$E:$E,$B37,領用表!$B:$B,V$2&amp;$P$1)</f>
        <v/>
      </c>
      <c r="W37" s="142">
        <f>SUMIFS(領用表!$L:$L,領用表!$E:$E,$B37,領用表!$B:$B,W$2&amp;$P$1)</f>
        <v/>
      </c>
      <c r="X37" s="142">
        <f>SUMIFS(領用表!$L:$L,領用表!$E:$E,$B37,領用表!$B:$B,X$2&amp;$P$1)</f>
        <v/>
      </c>
      <c r="Y37" s="142">
        <f>SUMIFS(領用表!$L:$L,領用表!$E:$E,$B37,領用表!$B:$B,Y$2&amp;$P$1)</f>
        <v/>
      </c>
      <c r="Z37" s="142">
        <f>SUMIFS(領用表!$L:$L,領用表!$E:$E,$B37,領用表!$B:$B,Z$2&amp;$P$1)</f>
        <v/>
      </c>
      <c r="AA37" s="142">
        <f>SUMIFS(領用表!$L:$L,領用表!$E:$E,$B37,領用表!$B:$B,AA$2&amp;$P$1)</f>
        <v/>
      </c>
      <c r="AB37" s="142">
        <f>SUM(P37,Q37,R37,S37,T37,U37)</f>
        <v/>
      </c>
      <c r="AC37" s="142">
        <f>AVERAGE(P37,Q37,R37,S37,T37,U37)</f>
        <v/>
      </c>
      <c r="AD37" s="142">
        <f>SUMIF(Summary!B:B,B37,Summary!EB:EB)</f>
        <v/>
      </c>
      <c r="AE37" s="101" t="n"/>
      <c r="AF37" s="482" t="n"/>
      <c r="AG37" s="25" t="n"/>
      <c r="AH37" s="25" t="n"/>
      <c r="AI37" s="27" t="n"/>
      <c r="AJ37" s="28" t="n"/>
      <c r="AK37" s="14" t="n"/>
      <c r="AL37" s="29" t="n"/>
    </row>
    <row r="38" ht="15.75" customHeight="1" s="453">
      <c r="A38" s="27" t="inlineStr">
        <is>
          <t>DP1AA050001E</t>
        </is>
      </c>
      <c r="B38" s="14" t="n">
        <v>6210006</v>
      </c>
      <c r="C38" s="131" t="inlineStr">
        <is>
          <t>麗珠蘭REJURAN Skin Booster修復水光</t>
        </is>
      </c>
      <c r="D38" s="43" t="n">
        <v>3</v>
      </c>
      <c r="E38" s="17" t="inlineStr">
        <is>
          <t>SET</t>
        </is>
      </c>
      <c r="F38" s="18" t="n"/>
      <c r="G38" s="18" t="n">
        <v>0</v>
      </c>
      <c r="H38" s="20">
        <f>SUMIFS(領用表!$L:$L,領用表!$E:$E,$B38,領用表!$B:$B,H$2&amp;$P$1)</f>
        <v/>
      </c>
      <c r="I38" s="20">
        <f>SUMIFS(領用表!$L:$L,領用表!$E:$E,$B38,領用表!$B:$B,I$2&amp;$P$1)</f>
        <v/>
      </c>
      <c r="J38" s="20">
        <f>SUMIFS(領用表!$L:$L,領用表!$E:$E,$B38,領用表!$B:$B,J$2&amp;$P$1)</f>
        <v/>
      </c>
      <c r="K38" s="142">
        <f>SUMIFS(領用表!$L:$L,領用表!$E:$E,$B38,領用表!$B:$B,K$2&amp;$P$1)</f>
        <v/>
      </c>
      <c r="L38" s="142">
        <f>SUMIFS(領用表!$L:$L,領用表!$E:$E,$B38,領用表!$B:$B,L$2&amp;$P$1)</f>
        <v/>
      </c>
      <c r="M38" s="142">
        <f>SUMIFS(領用表!$L:$L,領用表!$E:$E,$B38,領用表!$B:$B,M$2&amp;$P$1)</f>
        <v/>
      </c>
      <c r="N38" s="23">
        <f>SUM(,H38,I38,J38,K38,L38,M38)</f>
        <v/>
      </c>
      <c r="O38" s="23">
        <f>AVERAGE(,H38,I38,J38,K38,L38,M38)</f>
        <v/>
      </c>
      <c r="P38" s="142">
        <f>SUMIFS(領用表!$L:$L,領用表!$E:$E,$B38,領用表!$B:$B,P$2&amp;$P$1)</f>
        <v/>
      </c>
      <c r="Q38" s="142">
        <f>SUMIFS(領用表!$L:$L,領用表!$E:$E,$B38,領用表!$B:$B,Q$2&amp;$P$1)</f>
        <v/>
      </c>
      <c r="R38" s="142">
        <f>SUMIFS(領用表!$L:$L,領用表!$E:$E,$B38,領用表!$B:$B,R$2&amp;$P$1)</f>
        <v/>
      </c>
      <c r="S38" s="142">
        <f>SUMIFS(領用表!$L:$L,領用表!$E:$E,$B38,領用表!$B:$B,S$2&amp;$P$1)</f>
        <v/>
      </c>
      <c r="T38" s="142">
        <f>SUMIFS(領用表!$L:$L,領用表!$E:$E,$B38,領用表!$B:$B,T$2&amp;$P$1)</f>
        <v/>
      </c>
      <c r="U38" s="142" t="n"/>
      <c r="V38" s="142">
        <f>SUMIFS(領用表!$L:$L,領用表!$E:$E,$B38,領用表!$B:$B,V$2&amp;$P$1)</f>
        <v/>
      </c>
      <c r="W38" s="142">
        <f>SUMIFS(領用表!$L:$L,領用表!$E:$E,$B38,領用表!$B:$B,W$2&amp;$P$1)</f>
        <v/>
      </c>
      <c r="X38" s="142">
        <f>SUMIFS(領用表!$L:$L,領用表!$E:$E,$B38,領用表!$B:$B,X$2&amp;$P$1)</f>
        <v/>
      </c>
      <c r="Y38" s="142">
        <f>SUMIFS(領用表!$L:$L,領用表!$E:$E,$B38,領用表!$B:$B,Y$2&amp;$P$1)</f>
        <v/>
      </c>
      <c r="Z38" s="142">
        <f>SUMIFS(領用表!$L:$L,領用表!$E:$E,$B38,領用表!$B:$B,Z$2&amp;$P$1)</f>
        <v/>
      </c>
      <c r="AA38" s="142">
        <f>SUMIFS(領用表!$L:$L,領用表!$E:$E,$B38,領用表!$B:$B,AA$2&amp;$P$1)</f>
        <v/>
      </c>
      <c r="AB38" s="142">
        <f>SUM(P38,Q38,R38,S38,T38,U38)</f>
        <v/>
      </c>
      <c r="AC38" s="142">
        <f>AVERAGE(P38,Q38,R38,S38,T38,U38)</f>
        <v/>
      </c>
      <c r="AD38" s="142">
        <f>SUMIF(Summary!B:B,B38,Summary!EB:EB)</f>
        <v/>
      </c>
      <c r="AE38" s="101" t="n">
        <v>5</v>
      </c>
      <c r="AF38" s="36" t="n"/>
      <c r="AG38" s="25" t="n"/>
      <c r="AH38" s="25" t="n"/>
      <c r="AI38" s="27" t="n"/>
      <c r="AJ38" s="28" t="n"/>
      <c r="AK38" s="14" t="n"/>
      <c r="AL38" s="29" t="n"/>
    </row>
    <row r="39" ht="15.75" customHeight="1" s="453">
      <c r="A39" s="27" t="inlineStr">
        <is>
          <t>DP1AA050002E</t>
        </is>
      </c>
      <c r="B39" s="14" t="n">
        <v>6210007</v>
      </c>
      <c r="C39" s="131" t="inlineStr">
        <is>
          <t>麗珠蘭REJURAN Tone-Up Booster白瓷水光</t>
        </is>
      </c>
      <c r="D39" s="43" t="n">
        <v>3</v>
      </c>
      <c r="E39" s="17" t="inlineStr">
        <is>
          <t>SET</t>
        </is>
      </c>
      <c r="F39" s="44" t="n"/>
      <c r="G39" s="18" t="n">
        <v>7</v>
      </c>
      <c r="H39" s="20">
        <f>SUMIFS(領用表!$L:$L,領用表!$E:$E,$B39,領用表!$B:$B,H$2&amp;$P$1)</f>
        <v/>
      </c>
      <c r="I39" s="20">
        <f>SUMIFS(領用表!$L:$L,領用表!$E:$E,$B39,領用表!$B:$B,I$2&amp;$P$1)</f>
        <v/>
      </c>
      <c r="J39" s="20">
        <f>SUMIFS(領用表!$L:$L,領用表!$E:$E,$B39,領用表!$B:$B,J$2&amp;$P$1)</f>
        <v/>
      </c>
      <c r="K39" s="142">
        <f>SUMIFS(領用表!$L:$L,領用表!$E:$E,$B39,領用表!$B:$B,K$2&amp;$P$1)</f>
        <v/>
      </c>
      <c r="L39" s="142">
        <f>SUMIFS(領用表!$L:$L,領用表!$E:$E,$B39,領用表!$B:$B,L$2&amp;$P$1)</f>
        <v/>
      </c>
      <c r="M39" s="142">
        <f>SUMIFS(領用表!$L:$L,領用表!$E:$E,$B39,領用表!$B:$B,M$2&amp;$P$1)</f>
        <v/>
      </c>
      <c r="N39" s="23">
        <f>SUM(,H39,I39,J39,K39,L39,M39)</f>
        <v/>
      </c>
      <c r="O39" s="23">
        <f>AVERAGE(,H39,I39,J39,K39,L39,M39)</f>
        <v/>
      </c>
      <c r="P39" s="142">
        <f>SUMIFS(領用表!$L:$L,領用表!$E:$E,$B39,領用表!$B:$B,P$2&amp;$P$1)</f>
        <v/>
      </c>
      <c r="Q39" s="142">
        <f>SUMIFS(領用表!$L:$L,領用表!$E:$E,$B39,領用表!$B:$B,Q$2&amp;$P$1)</f>
        <v/>
      </c>
      <c r="R39" s="142">
        <f>SUMIFS(領用表!$L:$L,領用表!$E:$E,$B39,領用表!$B:$B,R$2&amp;$P$1)</f>
        <v/>
      </c>
      <c r="S39" s="142">
        <f>SUMIFS(領用表!$L:$L,領用表!$E:$E,$B39,領用表!$B:$B,S$2&amp;$P$1)</f>
        <v/>
      </c>
      <c r="T39" s="142">
        <f>SUMIFS(領用表!$L:$L,領用表!$E:$E,$B39,領用表!$B:$B,T$2&amp;$P$1)</f>
        <v/>
      </c>
      <c r="U39" s="142" t="n">
        <v>1</v>
      </c>
      <c r="V39" s="142">
        <f>SUMIFS(領用表!$L:$L,領用表!$E:$E,$B39,領用表!$B:$B,V$2&amp;$P$1)</f>
        <v/>
      </c>
      <c r="W39" s="142">
        <f>SUMIFS(領用表!$L:$L,領用表!$E:$E,$B39,領用表!$B:$B,W$2&amp;$P$1)</f>
        <v/>
      </c>
      <c r="X39" s="142">
        <f>SUMIFS(領用表!$L:$L,領用表!$E:$E,$B39,領用表!$B:$B,X$2&amp;$P$1)</f>
        <v/>
      </c>
      <c r="Y39" s="142">
        <f>SUMIFS(領用表!$L:$L,領用表!$E:$E,$B39,領用表!$B:$B,Y$2&amp;$P$1)</f>
        <v/>
      </c>
      <c r="Z39" s="142">
        <f>SUMIFS(領用表!$L:$L,領用表!$E:$E,$B39,領用表!$B:$B,Z$2&amp;$P$1)</f>
        <v/>
      </c>
      <c r="AA39" s="142">
        <f>SUMIFS(領用表!$L:$L,領用表!$E:$E,$B39,領用表!$B:$B,AA$2&amp;$P$1)</f>
        <v/>
      </c>
      <c r="AB39" s="142">
        <f>SUM(P39,Q39,R39,S39,T39,U39)</f>
        <v/>
      </c>
      <c r="AC39" s="142">
        <f>AVERAGE(P39,Q39,R39,S39,T39,U39)</f>
        <v/>
      </c>
      <c r="AD39" s="142">
        <f>SUMIF(Summary!B:B,B39,Summary!EB:EB)</f>
        <v/>
      </c>
      <c r="AE39" s="101" t="n">
        <v>5</v>
      </c>
      <c r="AF39" s="515" t="n"/>
      <c r="AG39" s="25" t="n"/>
      <c r="AH39" s="25" t="n"/>
      <c r="AI39" s="27" t="n"/>
      <c r="AJ39" s="28" t="n"/>
      <c r="AK39" s="14" t="n"/>
      <c r="AL39" s="29" t="n"/>
    </row>
    <row r="40" ht="15.75" customHeight="1" s="453">
      <c r="A40" s="27" t="inlineStr">
        <is>
          <t>MP1MA020014A</t>
        </is>
      </c>
      <c r="B40" s="14" t="n">
        <v>6150010</v>
      </c>
      <c r="C40" s="131" t="inlineStr">
        <is>
          <t>優美施豐潤 Neuramis Volume 1c.c/ 支</t>
        </is>
      </c>
      <c r="D40" s="43" t="n">
        <v>1</v>
      </c>
      <c r="E40" s="17" t="inlineStr">
        <is>
          <t>PCS</t>
        </is>
      </c>
      <c r="F40" s="44" t="n"/>
      <c r="G40" s="18" t="n">
        <v>15</v>
      </c>
      <c r="H40" s="20">
        <f>SUMIFS(領用表!$L:$L,領用表!$E:$E,$B40,領用表!$B:$B,H$2&amp;$P$1)</f>
        <v/>
      </c>
      <c r="I40" s="20">
        <f>SUMIFS(領用表!$L:$L,領用表!$E:$E,$B40,領用表!$B:$B,I$2&amp;$P$1)</f>
        <v/>
      </c>
      <c r="J40" s="20">
        <f>SUMIFS(領用表!$L:$L,領用表!$E:$E,$B40,領用表!$B:$B,J$2&amp;$P$1)</f>
        <v/>
      </c>
      <c r="K40" s="142">
        <f>SUMIFS(領用表!$L:$L,領用表!$E:$E,$B40,領用表!$B:$B,K$2&amp;$P$1)</f>
        <v/>
      </c>
      <c r="L40" s="142">
        <f>SUMIFS(領用表!$L:$L,領用表!$E:$E,$B40,領用表!$B:$B,L$2&amp;$P$1)</f>
        <v/>
      </c>
      <c r="M40" s="142">
        <f>SUMIFS(領用表!$L:$L,領用表!$E:$E,$B40,領用表!$B:$B,M$2&amp;$P$1)</f>
        <v/>
      </c>
      <c r="N40" s="23">
        <f>SUM(,H40,I40,J40,K40,L40,M40)</f>
        <v/>
      </c>
      <c r="O40" s="23">
        <f>AVERAGE(,H40,I40,J40,K40,L40,M40)</f>
        <v/>
      </c>
      <c r="P40" s="142">
        <f>SUMIFS(領用表!$L:$L,領用表!$E:$E,$B40,領用表!$B:$B,P$2&amp;$P$1)</f>
        <v/>
      </c>
      <c r="Q40" s="142">
        <f>SUMIFS(領用表!$L:$L,領用表!$E:$E,$B40,領用表!$B:$B,Q$2&amp;$P$1)</f>
        <v/>
      </c>
      <c r="R40" s="142">
        <f>SUMIFS(領用表!$L:$L,領用表!$E:$E,$B40,領用表!$B:$B,R$2&amp;$P$1)</f>
        <v/>
      </c>
      <c r="S40" s="142">
        <f>SUMIFS(領用表!$L:$L,領用表!$E:$E,$B40,領用表!$B:$B,S$2&amp;$P$1)</f>
        <v/>
      </c>
      <c r="T40" s="142">
        <f>SUMIFS(領用表!$L:$L,領用表!$E:$E,$B40,領用表!$B:$B,T$2&amp;$P$1)</f>
        <v/>
      </c>
      <c r="U40" s="142" t="n">
        <v>3</v>
      </c>
      <c r="V40" s="142">
        <f>SUMIFS(領用表!$L:$L,領用表!$E:$E,$B40,領用表!$B:$B,V$2&amp;$P$1)</f>
        <v/>
      </c>
      <c r="W40" s="142">
        <f>SUMIFS(領用表!$L:$L,領用表!$E:$E,$B40,領用表!$B:$B,W$2&amp;$P$1)</f>
        <v/>
      </c>
      <c r="X40" s="142">
        <f>SUMIFS(領用表!$L:$L,領用表!$E:$E,$B40,領用表!$B:$B,X$2&amp;$P$1)</f>
        <v/>
      </c>
      <c r="Y40" s="142">
        <f>SUMIFS(領用表!$L:$L,領用表!$E:$E,$B40,領用表!$B:$B,Y$2&amp;$P$1)</f>
        <v/>
      </c>
      <c r="Z40" s="142">
        <f>SUMIFS(領用表!$L:$L,領用表!$E:$E,$B40,領用表!$B:$B,Z$2&amp;$P$1)</f>
        <v/>
      </c>
      <c r="AA40" s="142">
        <f>SUMIFS(領用表!$L:$L,領用表!$E:$E,$B40,領用表!$B:$B,AA$2&amp;$P$1)</f>
        <v/>
      </c>
      <c r="AB40" s="142">
        <f>SUM(P40,Q40,R40,S40,T40,U40)</f>
        <v/>
      </c>
      <c r="AC40" s="142">
        <f>AVERAGE(P40,Q40,R40,S40,T40,U40)</f>
        <v/>
      </c>
      <c r="AD40" s="142">
        <f>SUMIF(Summary!B:B,B40,Summary!EB:EB)</f>
        <v/>
      </c>
      <c r="AE40" s="101" t="n">
        <v>65</v>
      </c>
      <c r="AF40" s="36" t="n"/>
      <c r="AG40" s="25" t="inlineStr">
        <is>
          <t>35盒(10/21)</t>
        </is>
      </c>
      <c r="AH40" s="25" t="inlineStr">
        <is>
          <t>40盒(10/21)</t>
        </is>
      </c>
      <c r="AI40" s="27" t="n"/>
      <c r="AJ40" s="28" t="n"/>
      <c r="AK40" s="14" t="n"/>
      <c r="AL40" s="29" t="n"/>
    </row>
    <row r="41" ht="15.75" customHeight="1" s="453">
      <c r="A41" s="27" t="inlineStr">
        <is>
          <t>MP1MA020018A</t>
        </is>
      </c>
      <c r="B41" s="14" t="n">
        <v>6150011</v>
      </c>
      <c r="C41" s="131" t="inlineStr">
        <is>
          <t>優美施豐潤 Neuramis Deep Lidocaine 1c.c/ 支</t>
        </is>
      </c>
      <c r="D41" s="43" t="n">
        <v>1</v>
      </c>
      <c r="E41" s="17" t="inlineStr">
        <is>
          <t>PCS</t>
        </is>
      </c>
      <c r="F41" s="18" t="n"/>
      <c r="G41" s="18" t="n">
        <v>20</v>
      </c>
      <c r="H41" s="20">
        <f>SUMIFS(領用表!$L:$L,領用表!$E:$E,$B41,領用表!$B:$B,H$2&amp;$P$1)</f>
        <v/>
      </c>
      <c r="I41" s="20">
        <f>SUMIFS(領用表!$L:$L,領用表!$E:$E,$B41,領用表!$B:$B,I$2&amp;$P$1)</f>
        <v/>
      </c>
      <c r="J41" s="20">
        <f>SUMIFS(領用表!$L:$L,領用表!$E:$E,$B41,領用表!$B:$B,J$2&amp;$P$1)</f>
        <v/>
      </c>
      <c r="K41" s="142">
        <f>SUMIFS(領用表!$L:$L,領用表!$E:$E,$B41,領用表!$B:$B,K$2&amp;$P$1)</f>
        <v/>
      </c>
      <c r="L41" s="142">
        <f>SUMIFS(領用表!$L:$L,領用表!$E:$E,$B41,領用表!$B:$B,L$2&amp;$P$1)</f>
        <v/>
      </c>
      <c r="M41" s="142">
        <f>SUMIFS(領用表!$L:$L,領用表!$E:$E,$B41,領用表!$B:$B,M$2&amp;$P$1)</f>
        <v/>
      </c>
      <c r="N41" s="23">
        <f>SUM(,H41,I41,J41,K41,L41,M41)</f>
        <v/>
      </c>
      <c r="O41" s="23">
        <f>AVERAGE(,H41,I41,J41,K41,L41,M41)</f>
        <v/>
      </c>
      <c r="P41" s="142">
        <f>SUMIFS(領用表!$L:$L,領用表!$E:$E,$B41,領用表!$B:$B,P$2&amp;$P$1)</f>
        <v/>
      </c>
      <c r="Q41" s="142">
        <f>SUMIFS(領用表!$L:$L,領用表!$E:$E,$B41,領用表!$B:$B,Q$2&amp;$P$1)</f>
        <v/>
      </c>
      <c r="R41" s="142">
        <f>SUMIFS(領用表!$L:$L,領用表!$E:$E,$B41,領用表!$B:$B,R$2&amp;$P$1)</f>
        <v/>
      </c>
      <c r="S41" s="142">
        <f>SUMIFS(領用表!$L:$L,領用表!$E:$E,$B41,領用表!$B:$B,S$2&amp;$P$1)</f>
        <v/>
      </c>
      <c r="T41" s="142">
        <f>SUMIFS(領用表!$L:$L,領用表!$E:$E,$B41,領用表!$B:$B,T$2&amp;$P$1)</f>
        <v/>
      </c>
      <c r="U41" s="142" t="n">
        <v>5</v>
      </c>
      <c r="V41" s="142">
        <f>SUMIFS(領用表!$L:$L,領用表!$E:$E,$B41,領用表!$B:$B,V$2&amp;$P$1)</f>
        <v/>
      </c>
      <c r="W41" s="142">
        <f>SUMIFS(領用表!$L:$L,領用表!$E:$E,$B41,領用表!$B:$B,W$2&amp;$P$1)</f>
        <v/>
      </c>
      <c r="X41" s="142">
        <f>SUMIFS(領用表!$L:$L,領用表!$E:$E,$B41,領用表!$B:$B,X$2&amp;$P$1)</f>
        <v/>
      </c>
      <c r="Y41" s="142">
        <f>SUMIFS(領用表!$L:$L,領用表!$E:$E,$B41,領用表!$B:$B,Y$2&amp;$P$1)</f>
        <v/>
      </c>
      <c r="Z41" s="142">
        <f>SUMIFS(領用表!$L:$L,領用表!$E:$E,$B41,領用表!$B:$B,Z$2&amp;$P$1)</f>
        <v/>
      </c>
      <c r="AA41" s="142">
        <f>SUMIFS(領用表!$L:$L,領用表!$E:$E,$B41,領用表!$B:$B,AA$2&amp;$P$1)</f>
        <v/>
      </c>
      <c r="AB41" s="142">
        <f>SUM(P41,Q41,R41,S41,T41,U41)</f>
        <v/>
      </c>
      <c r="AC41" s="142">
        <f>AVERAGE(P41,Q41,R41,S41,T41,U41)</f>
        <v/>
      </c>
      <c r="AD41" s="142">
        <f>SUMIF(Summary!B:B,B41,Summary!EB:EB)</f>
        <v/>
      </c>
      <c r="AE41" s="101" t="n">
        <v>10</v>
      </c>
      <c r="AF41" s="515" t="n"/>
      <c r="AG41" s="25" t="n"/>
      <c r="AH41" s="25" t="n"/>
      <c r="AI41" s="27" t="n"/>
      <c r="AJ41" s="28" t="n"/>
      <c r="AK41" s="14" t="n"/>
      <c r="AL41" s="29" t="n"/>
    </row>
    <row r="42">
      <c r="A42" s="27" t="inlineStr">
        <is>
          <t>MP1MA020024A</t>
        </is>
      </c>
      <c r="B42" s="14" t="n">
        <v>6160002</v>
      </c>
      <c r="C42" s="118" t="inlineStr">
        <is>
          <t>洢蓮絲植入劑ELLANSÉ-S 1ml(支)</t>
        </is>
      </c>
      <c r="D42" s="16" t="n">
        <v>2</v>
      </c>
      <c r="E42" s="17" t="inlineStr">
        <is>
          <t>PCS</t>
        </is>
      </c>
      <c r="F42" s="18" t="n"/>
      <c r="G42" s="18" t="n">
        <v>2</v>
      </c>
      <c r="H42" s="20">
        <f>SUMIFS(領用表!$L:$L,領用表!$E:$E,$B42,領用表!$B:$B,H$2&amp;$P$1)</f>
        <v/>
      </c>
      <c r="I42" s="20">
        <f>SUMIFS(領用表!$L:$L,領用表!$E:$E,$B42,領用表!$B:$B,I$2&amp;$P$1)</f>
        <v/>
      </c>
      <c r="J42" s="20">
        <f>SUMIFS(領用表!$L:$L,領用表!$E:$E,$B42,領用表!$B:$B,J$2&amp;$P$1)</f>
        <v/>
      </c>
      <c r="K42" s="142">
        <f>SUMIFS(領用表!$L:$L,領用表!$E:$E,$B42,領用表!$B:$B,K$2&amp;$P$1)</f>
        <v/>
      </c>
      <c r="L42" s="142">
        <f>SUMIFS(領用表!$L:$L,領用表!$E:$E,$B42,領用表!$B:$B,L$2&amp;$P$1)</f>
        <v/>
      </c>
      <c r="M42" s="142">
        <f>SUMIFS(領用表!$L:$L,領用表!$E:$E,$B42,領用表!$B:$B,M$2&amp;$P$1)</f>
        <v/>
      </c>
      <c r="N42" s="23">
        <f>SUM(,H42,I42,J42,K42,L42,M42)</f>
        <v/>
      </c>
      <c r="O42" s="23">
        <f>AVERAGE(,H42,I42,J42,K42,L42,M42)</f>
        <v/>
      </c>
      <c r="P42" s="142">
        <f>SUMIFS(領用表!$L:$L,領用表!$E:$E,$B42,領用表!$B:$B,P$2&amp;$P$1)</f>
        <v/>
      </c>
      <c r="Q42" s="142">
        <f>SUMIFS(領用表!$L:$L,領用表!$E:$E,$B42,領用表!$B:$B,Q$2&amp;$P$1)</f>
        <v/>
      </c>
      <c r="R42" s="142">
        <f>SUMIFS(領用表!$L:$L,領用表!$E:$E,$B42,領用表!$B:$B,R$2&amp;$P$1)</f>
        <v/>
      </c>
      <c r="S42" s="142">
        <f>SUMIFS(領用表!$L:$L,領用表!$E:$E,$B42,領用表!$B:$B,S$2&amp;$P$1)</f>
        <v/>
      </c>
      <c r="T42" s="142">
        <f>SUMIFS(領用表!$L:$L,領用表!$E:$E,$B42,領用表!$B:$B,T$2&amp;$P$1)</f>
        <v/>
      </c>
      <c r="U42" s="142" t="n">
        <v>2</v>
      </c>
      <c r="V42" s="142">
        <f>SUMIFS(領用表!$L:$L,領用表!$E:$E,$B42,領用表!$B:$B,V$2&amp;$P$1)</f>
        <v/>
      </c>
      <c r="W42" s="142">
        <f>SUMIFS(領用表!$L:$L,領用表!$E:$E,$B42,領用表!$B:$B,W$2&amp;$P$1)</f>
        <v/>
      </c>
      <c r="X42" s="142">
        <f>SUMIFS(領用表!$L:$L,領用表!$E:$E,$B42,領用表!$B:$B,X$2&amp;$P$1)</f>
        <v/>
      </c>
      <c r="Y42" s="142">
        <f>SUMIFS(領用表!$L:$L,領用表!$E:$E,$B42,領用表!$B:$B,Y$2&amp;$P$1)</f>
        <v/>
      </c>
      <c r="Z42" s="142">
        <f>SUMIFS(領用表!$L:$L,領用表!$E:$E,$B42,領用表!$B:$B,Z$2&amp;$P$1)</f>
        <v/>
      </c>
      <c r="AA42" s="142">
        <f>SUMIFS(領用表!$L:$L,領用表!$E:$E,$B42,領用表!$B:$B,AA$2&amp;$P$1)</f>
        <v/>
      </c>
      <c r="AB42" s="142">
        <f>SUM(P42,Q42,R42,S42,T42,U42)</f>
        <v/>
      </c>
      <c r="AC42" s="142">
        <f>AVERAGE(P42,Q42,R42,S42,T42,U42)</f>
        <v/>
      </c>
      <c r="AD42" s="142">
        <f>SUMIF(Summary!B:B,B42,Summary!EB:EB)</f>
        <v/>
      </c>
      <c r="AE42" s="101" t="n">
        <v>100</v>
      </c>
      <c r="AF42" s="24" t="n"/>
      <c r="AG42" s="25" t="inlineStr">
        <is>
          <t>45盒(10/21)</t>
        </is>
      </c>
      <c r="AH42" s="25" t="inlineStr">
        <is>
          <t>10盒(10/21)
10盒(10/27)</t>
        </is>
      </c>
      <c r="AI42" s="27" t="n"/>
      <c r="AJ42" s="28" t="n"/>
      <c r="AK42" s="14" t="n"/>
      <c r="AL42" s="29" t="n"/>
    </row>
    <row r="43" ht="15" customHeight="1" s="453">
      <c r="A43" s="27" t="inlineStr">
        <is>
          <t>MP1MA020025A</t>
        </is>
      </c>
      <c r="B43" s="14" t="n">
        <v>6160003</v>
      </c>
      <c r="C43" s="118" t="inlineStr">
        <is>
          <t>洢蓮絲植入劑ELLANSÉ-M 1ml(支)</t>
        </is>
      </c>
      <c r="D43" s="16" t="n">
        <v>2</v>
      </c>
      <c r="E43" s="17" t="inlineStr">
        <is>
          <t>PCS</t>
        </is>
      </c>
      <c r="F43" s="18" t="n"/>
      <c r="G43" s="18" t="n">
        <v>12</v>
      </c>
      <c r="H43" s="20">
        <f>SUMIFS(領用表!$L:$L,領用表!$E:$E,$B43,領用表!$B:$B,H$2&amp;$P$1)</f>
        <v/>
      </c>
      <c r="I43" s="20">
        <f>SUMIFS(領用表!$L:$L,領用表!$E:$E,$B43,領用表!$B:$B,I$2&amp;$P$1)</f>
        <v/>
      </c>
      <c r="J43" s="20">
        <f>SUMIFS(領用表!$L:$L,領用表!$E:$E,$B43,領用表!$B:$B,J$2&amp;$P$1)</f>
        <v/>
      </c>
      <c r="K43" s="142">
        <f>SUMIFS(領用表!$L:$L,領用表!$E:$E,$B43,領用表!$B:$B,K$2&amp;$P$1)</f>
        <v/>
      </c>
      <c r="L43" s="142">
        <f>SUMIFS(領用表!$L:$L,領用表!$E:$E,$B43,領用表!$B:$B,L$2&amp;$P$1)</f>
        <v/>
      </c>
      <c r="M43" s="142">
        <f>SUMIFS(領用表!$L:$L,領用表!$E:$E,$B43,領用表!$B:$B,M$2&amp;$P$1)</f>
        <v/>
      </c>
      <c r="N43" s="23">
        <f>SUM(,H43,I43,J43,K43,L43,M43)</f>
        <v/>
      </c>
      <c r="O43" s="23">
        <f>AVERAGE(,H43,I43,J43,K43,L43,M43)</f>
        <v/>
      </c>
      <c r="P43" s="142">
        <f>SUMIFS(領用表!$L:$L,領用表!$E:$E,$B43,領用表!$B:$B,P$2&amp;$P$1)</f>
        <v/>
      </c>
      <c r="Q43" s="142">
        <f>SUMIFS(領用表!$L:$L,領用表!$E:$E,$B43,領用表!$B:$B,Q$2&amp;$P$1)</f>
        <v/>
      </c>
      <c r="R43" s="142">
        <f>SUMIFS(領用表!$L:$L,領用表!$E:$E,$B43,領用表!$B:$B,R$2&amp;$P$1)</f>
        <v/>
      </c>
      <c r="S43" s="142">
        <f>SUMIFS(領用表!$L:$L,領用表!$E:$E,$B43,領用表!$B:$B,S$2&amp;$P$1)</f>
        <v/>
      </c>
      <c r="T43" s="142">
        <f>SUMIFS(領用表!$L:$L,領用表!$E:$E,$B43,領用表!$B:$B,T$2&amp;$P$1)</f>
        <v/>
      </c>
      <c r="U43" s="142" t="n">
        <v>2</v>
      </c>
      <c r="V43" s="142">
        <f>SUMIFS(領用表!$L:$L,領用表!$E:$E,$B43,領用表!$B:$B,V$2&amp;$P$1)</f>
        <v/>
      </c>
      <c r="W43" s="142">
        <f>SUMIFS(領用表!$L:$L,領用表!$E:$E,$B43,領用表!$B:$B,W$2&amp;$P$1)</f>
        <v/>
      </c>
      <c r="X43" s="142">
        <f>SUMIFS(領用表!$L:$L,領用表!$E:$E,$B43,領用表!$B:$B,X$2&amp;$P$1)</f>
        <v/>
      </c>
      <c r="Y43" s="142">
        <f>SUMIFS(領用表!$L:$L,領用表!$E:$E,$B43,領用表!$B:$B,Y$2&amp;$P$1)</f>
        <v/>
      </c>
      <c r="Z43" s="142">
        <f>SUMIFS(領用表!$L:$L,領用表!$E:$E,$B43,領用表!$B:$B,Z$2&amp;$P$1)</f>
        <v/>
      </c>
      <c r="AA43" s="142">
        <f>SUMIFS(領用表!$L:$L,領用表!$E:$E,$B43,領用表!$B:$B,AA$2&amp;$P$1)</f>
        <v/>
      </c>
      <c r="AB43" s="142">
        <f>SUM(P43,Q43,R43,S43,T43,U43)</f>
        <v/>
      </c>
      <c r="AC43" s="142">
        <f>AVERAGE(P43,Q43,R43,S43,T43,U43)</f>
        <v/>
      </c>
      <c r="AD43" s="142">
        <f>SUMIF(Summary!B:B,B43,Summary!EB:EB)</f>
        <v/>
      </c>
      <c r="AE43" s="101" t="n">
        <v>20</v>
      </c>
      <c r="AF43" s="24" t="n">
        <v>0</v>
      </c>
      <c r="AG43" s="25" t="n"/>
      <c r="AH43" s="25" t="n"/>
      <c r="AI43" s="45" t="n"/>
      <c r="AJ43" s="46" t="n"/>
      <c r="AK43" s="47" t="n"/>
      <c r="AL43" s="48" t="n"/>
    </row>
    <row r="44" ht="15.75" customHeight="1" s="453">
      <c r="A44" s="27" t="inlineStr">
        <is>
          <t>MP1MA020029A</t>
        </is>
      </c>
      <c r="B44" s="14" t="n">
        <v>6150013</v>
      </c>
      <c r="C44" s="131" t="inlineStr">
        <is>
          <t>(逆時針)璞菲洛高低分子玻尿酸皮下植入劑 PROFHILO HiLow 2c.c/ 支</t>
        </is>
      </c>
      <c r="D44" s="16" t="n">
        <v>1</v>
      </c>
      <c r="E44" s="17" t="inlineStr">
        <is>
          <t>PCS</t>
        </is>
      </c>
      <c r="F44" s="18" t="n"/>
      <c r="G44" s="18" t="n">
        <v>10</v>
      </c>
      <c r="H44" s="20">
        <f>SUMIFS(領用表!$L:$L,領用表!$E:$E,$B44,領用表!$B:$B,H$2&amp;$P$1)</f>
        <v/>
      </c>
      <c r="I44" s="20">
        <f>SUMIFS(領用表!$L:$L,領用表!$E:$E,$B44,領用表!$B:$B,I$2&amp;$P$1)</f>
        <v/>
      </c>
      <c r="J44" s="20">
        <f>SUMIFS(領用表!$L:$L,領用表!$E:$E,$B44,領用表!$B:$B,J$2&amp;$P$1)</f>
        <v/>
      </c>
      <c r="K44" s="142">
        <f>SUMIFS(領用表!$L:$L,領用表!$E:$E,$B44,領用表!$B:$B,K$2&amp;$P$1)</f>
        <v/>
      </c>
      <c r="L44" s="142">
        <f>SUMIFS(領用表!$L:$L,領用表!$E:$E,$B44,領用表!$B:$B,L$2&amp;$P$1)</f>
        <v/>
      </c>
      <c r="M44" s="142">
        <f>SUMIFS(領用表!$L:$L,領用表!$E:$E,$B44,領用表!$B:$B,M$2&amp;$P$1)</f>
        <v/>
      </c>
      <c r="N44" s="23">
        <f>SUM(,H44,I44,J44,K44,L44,M44)</f>
        <v/>
      </c>
      <c r="O44" s="23">
        <f>AVERAGE(,H44,I44,J44,K44,L44,M44)</f>
        <v/>
      </c>
      <c r="P44" s="142">
        <f>SUMIFS(領用表!$L:$L,領用表!$E:$E,$B44,領用表!$B:$B,P$2&amp;$P$1)</f>
        <v/>
      </c>
      <c r="Q44" s="142">
        <f>SUMIFS(領用表!$L:$L,領用表!$E:$E,$B44,領用表!$B:$B,Q$2&amp;$P$1)</f>
        <v/>
      </c>
      <c r="R44" s="142">
        <f>SUMIFS(領用表!$L:$L,領用表!$E:$E,$B44,領用表!$B:$B,R$2&amp;$P$1)</f>
        <v/>
      </c>
      <c r="S44" s="142">
        <f>SUMIFS(領用表!$L:$L,領用表!$E:$E,$B44,領用表!$B:$B,S$2&amp;$P$1)</f>
        <v/>
      </c>
      <c r="T44" s="142">
        <f>SUMIFS(領用表!$L:$L,領用表!$E:$E,$B44,領用表!$B:$B,T$2&amp;$P$1)</f>
        <v/>
      </c>
      <c r="U44" s="142" t="n">
        <v>1</v>
      </c>
      <c r="V44" s="142">
        <f>SUMIFS(領用表!$L:$L,領用表!$E:$E,$B44,領用表!$B:$B,V$2&amp;$P$1)</f>
        <v/>
      </c>
      <c r="W44" s="142">
        <f>SUMIFS(領用表!$L:$L,領用表!$E:$E,$B44,領用表!$B:$B,W$2&amp;$P$1)</f>
        <v/>
      </c>
      <c r="X44" s="142">
        <f>SUMIFS(領用表!$L:$L,領用表!$E:$E,$B44,領用表!$B:$B,X$2&amp;$P$1)</f>
        <v/>
      </c>
      <c r="Y44" s="142">
        <f>SUMIFS(領用表!$L:$L,領用表!$E:$E,$B44,領用表!$B:$B,Y$2&amp;$P$1)</f>
        <v/>
      </c>
      <c r="Z44" s="142">
        <f>SUMIFS(領用表!$L:$L,領用表!$E:$E,$B44,領用表!$B:$B,Z$2&amp;$P$1)</f>
        <v/>
      </c>
      <c r="AA44" s="142">
        <f>SUMIFS(領用表!$L:$L,領用表!$E:$E,$B44,領用表!$B:$B,AA$2&amp;$P$1)</f>
        <v/>
      </c>
      <c r="AB44" s="142">
        <f>SUM(P44,Q44,R44,S44,T44,U44)</f>
        <v/>
      </c>
      <c r="AC44" s="142">
        <f>AVERAGE(P44,Q44,R44,S44,T44,U44)</f>
        <v/>
      </c>
      <c r="AD44" s="142">
        <f>SUMIF(Summary!B:B,B44,Summary!EB:EB)</f>
        <v/>
      </c>
      <c r="AE44" s="101" t="n">
        <v>10</v>
      </c>
      <c r="AF44" s="24" t="n"/>
      <c r="AG44" s="25" t="inlineStr">
        <is>
          <t>50盒(10/27)</t>
        </is>
      </c>
      <c r="AH44" s="25" t="inlineStr">
        <is>
          <t>10盒(10/17)</t>
        </is>
      </c>
      <c r="AI44" s="27" t="n"/>
      <c r="AJ44" s="28" t="n"/>
      <c r="AK44" s="14" t="n"/>
      <c r="AL44" s="29" t="n"/>
    </row>
    <row r="45" ht="15.75" customHeight="1" s="453">
      <c r="A45" s="27" t="inlineStr">
        <is>
          <t>MP1MA020015A</t>
        </is>
      </c>
      <c r="B45" s="14" t="n">
        <v>6160005</v>
      </c>
      <c r="C45" s="133" t="inlineStr">
        <is>
          <t>双美Ⅰ號膠原蛋白植入劑-加強型(含利度卡因) 1ml/ 支(型號P03041)</t>
        </is>
      </c>
      <c r="D45" s="16" t="n">
        <v>1</v>
      </c>
      <c r="E45" s="17" t="inlineStr">
        <is>
          <t>PCS</t>
        </is>
      </c>
      <c r="F45" s="18" t="n"/>
      <c r="G45" s="18" t="n">
        <v>19</v>
      </c>
      <c r="H45" s="20">
        <f>SUMIFS(領用表!$L:$L,領用表!$E:$E,$B45,領用表!$B:$B,H$2&amp;$P$1)</f>
        <v/>
      </c>
      <c r="I45" s="20">
        <f>SUMIFS(領用表!$L:$L,領用表!$E:$E,$B45,領用表!$B:$B,I$2&amp;$P$1)</f>
        <v/>
      </c>
      <c r="J45" s="20">
        <f>SUMIFS(領用表!$L:$L,領用表!$E:$E,$B45,領用表!$B:$B,J$2&amp;$P$1)</f>
        <v/>
      </c>
      <c r="K45" s="142">
        <f>SUMIFS(領用表!$L:$L,領用表!$E:$E,$B45,領用表!$B:$B,K$2&amp;$P$1)</f>
        <v/>
      </c>
      <c r="L45" s="142">
        <f>SUMIFS(領用表!$L:$L,領用表!$E:$E,$B45,領用表!$B:$B,L$2&amp;$P$1)</f>
        <v/>
      </c>
      <c r="M45" s="142">
        <f>SUMIFS(領用表!$L:$L,領用表!$E:$E,$B45,領用表!$B:$B,M$2&amp;$P$1)</f>
        <v/>
      </c>
      <c r="N45" s="23">
        <f>SUM(,H45,I45,J45,K45,L45,M45)</f>
        <v/>
      </c>
      <c r="O45" s="23">
        <f>AVERAGE(,H45,I45,J45,K45,L45,M45)</f>
        <v/>
      </c>
      <c r="P45" s="142">
        <f>SUMIFS(領用表!$L:$L,領用表!$E:$E,$B45,領用表!$B:$B,P$2&amp;$P$1)</f>
        <v/>
      </c>
      <c r="Q45" s="142">
        <f>SUMIFS(領用表!$L:$L,領用表!$E:$E,$B45,領用表!$B:$B,Q$2&amp;$P$1)</f>
        <v/>
      </c>
      <c r="R45" s="142">
        <f>SUMIFS(領用表!$L:$L,領用表!$E:$E,$B45,領用表!$B:$B,R$2&amp;$P$1)</f>
        <v/>
      </c>
      <c r="S45" s="142">
        <f>SUMIFS(領用表!$L:$L,領用表!$E:$E,$B45,領用表!$B:$B,S$2&amp;$P$1)</f>
        <v/>
      </c>
      <c r="T45" s="142">
        <f>SUMIFS(領用表!$L:$L,領用表!$E:$E,$B45,領用表!$B:$B,T$2&amp;$P$1)</f>
        <v/>
      </c>
      <c r="U45" s="142" t="n">
        <v>10</v>
      </c>
      <c r="V45" s="142">
        <f>SUMIFS(領用表!$L:$L,領用表!$E:$E,$B45,領用表!$B:$B,V$2&amp;$P$1)</f>
        <v/>
      </c>
      <c r="W45" s="142">
        <f>SUMIFS(領用表!$L:$L,領用表!$E:$E,$B45,領用表!$B:$B,W$2&amp;$P$1)</f>
        <v/>
      </c>
      <c r="X45" s="142">
        <f>SUMIFS(領用表!$L:$L,領用表!$E:$E,$B45,領用表!$B:$B,X$2&amp;$P$1)</f>
        <v/>
      </c>
      <c r="Y45" s="142">
        <f>SUMIFS(領用表!$L:$L,領用表!$E:$E,$B45,領用表!$B:$B,Y$2&amp;$P$1)</f>
        <v/>
      </c>
      <c r="Z45" s="142">
        <f>SUMIFS(領用表!$L:$L,領用表!$E:$E,$B45,領用表!$B:$B,Z$2&amp;$P$1)</f>
        <v/>
      </c>
      <c r="AA45" s="142">
        <f>SUMIFS(領用表!$L:$L,領用表!$E:$E,$B45,領用表!$B:$B,AA$2&amp;$P$1)</f>
        <v/>
      </c>
      <c r="AB45" s="142">
        <f>SUM(P45,Q45,R45,S45,T45,U45)</f>
        <v/>
      </c>
      <c r="AC45" s="142">
        <f>AVERAGE(P45,Q45,R45,S45,T45,U45)</f>
        <v/>
      </c>
      <c r="AD45" s="142">
        <f>SUMIF(Summary!B:B,B45,Summary!EB:EB)</f>
        <v/>
      </c>
      <c r="AE45" s="101" t="n">
        <v>8</v>
      </c>
      <c r="AF45" s="24" t="n">
        <v>0</v>
      </c>
      <c r="AG45" s="25" t="inlineStr">
        <is>
          <t>22支(10/23)</t>
        </is>
      </c>
      <c r="AH45" s="25" t="inlineStr">
        <is>
          <t>22支(10/23)</t>
        </is>
      </c>
      <c r="AI45" s="27" t="n"/>
      <c r="AJ45" s="28" t="n"/>
      <c r="AK45" s="14" t="n"/>
      <c r="AL45" s="29" t="n"/>
    </row>
    <row r="46" ht="15.75" customHeight="1" s="453">
      <c r="A46" s="27" t="inlineStr">
        <is>
          <t>MM2MB030006A</t>
        </is>
      </c>
      <c r="B46" s="14" t="n">
        <v>6170034</v>
      </c>
      <c r="C46" s="133" t="inlineStr">
        <is>
          <t>十蓓電波臉部探頭5平方公分(1發)</t>
        </is>
      </c>
      <c r="D46" s="23" t="n">
        <v>900</v>
      </c>
      <c r="E46" s="17" t="inlineStr">
        <is>
          <t>SHOT</t>
        </is>
      </c>
      <c r="F46" s="18" t="n"/>
      <c r="G46" s="18">
        <f>(D46*17)+348</f>
        <v/>
      </c>
      <c r="H46" s="20">
        <f>SUMIFS(領用表!$L:$L,領用表!$E:$E,$B46,領用表!$B:$B,H$2&amp;$P$1)</f>
        <v/>
      </c>
      <c r="I46" s="20">
        <f>SUMIFS(領用表!$L:$L,領用表!$E:$E,$B46,領用表!$B:$B,I$2&amp;$P$1)</f>
        <v/>
      </c>
      <c r="J46" s="20">
        <f>SUMIFS(領用表!$L:$L,領用表!$E:$E,$B46,領用表!$B:$B,J$2&amp;$P$1)</f>
        <v/>
      </c>
      <c r="K46" s="142">
        <f>SUMIFS(領用表!$L:$L,領用表!$E:$E,$B46,領用表!$B:$B,K$2&amp;$P$1)</f>
        <v/>
      </c>
      <c r="L46" s="142">
        <f>SUMIFS(領用表!$L:$L,領用表!$E:$E,$B46,領用表!$B:$B,L$2&amp;$P$1)</f>
        <v/>
      </c>
      <c r="M46" s="142">
        <f>SUMIFS(領用表!$L:$L,領用表!$E:$E,$B46,領用表!$B:$B,M$2&amp;$P$1)</f>
        <v/>
      </c>
      <c r="N46" s="23">
        <f>SUM(,H46,I46,J46,K46,L46,M46)</f>
        <v/>
      </c>
      <c r="O46" s="23">
        <f>AVERAGE(,H46,I46,J46,K46,L46,M46)</f>
        <v/>
      </c>
      <c r="P46" s="142">
        <f>SUMIFS(領用表!$L:$L,領用表!$E:$E,$B46,領用表!$B:$B,P$2&amp;$P$1)</f>
        <v/>
      </c>
      <c r="Q46" s="142">
        <f>SUMIFS(領用表!$L:$L,領用表!$E:$E,$B46,領用表!$B:$B,Q$2&amp;$P$1)</f>
        <v/>
      </c>
      <c r="R46" s="142">
        <f>SUMIFS(領用表!$L:$L,領用表!$E:$E,$B46,領用表!$B:$B,R$2&amp;$P$1)</f>
        <v/>
      </c>
      <c r="S46" s="142">
        <f>SUMIFS(領用表!$L:$L,領用表!$E:$E,$B46,領用表!$B:$B,S$2&amp;$P$1)</f>
        <v/>
      </c>
      <c r="T46" s="142">
        <f>SUMIFS(領用表!$L:$L,領用表!$E:$E,$B46,領用表!$B:$B,T$2&amp;$P$1)</f>
        <v/>
      </c>
      <c r="U46" s="142" t="n">
        <v>14999</v>
      </c>
      <c r="V46" s="142">
        <f>SUMIFS(領用表!$L:$L,領用表!$E:$E,$B46,領用表!$B:$B,V$2&amp;$P$1)</f>
        <v/>
      </c>
      <c r="W46" s="142">
        <f>SUMIFS(領用表!$L:$L,領用表!$E:$E,$B46,領用表!$B:$B,W$2&amp;$P$1)</f>
        <v/>
      </c>
      <c r="X46" s="142">
        <f>SUMIFS(領用表!$L:$L,領用表!$E:$E,$B46,領用表!$B:$B,X$2&amp;$P$1)</f>
        <v/>
      </c>
      <c r="Y46" s="142">
        <f>SUMIFS(領用表!$L:$L,領用表!$E:$E,$B46,領用表!$B:$B,Y$2&amp;$P$1)</f>
        <v/>
      </c>
      <c r="Z46" s="142">
        <f>SUMIFS(領用表!$L:$L,領用表!$E:$E,$B46,領用表!$B:$B,Z$2&amp;$P$1)</f>
        <v/>
      </c>
      <c r="AA46" s="142">
        <f>SUMIFS(領用表!$L:$L,領用表!$E:$E,$B46,領用表!$B:$B,AA$2&amp;$P$1)</f>
        <v/>
      </c>
      <c r="AB46" s="142">
        <f>SUM(P46,Q46,R46,S46,T46,U46)</f>
        <v/>
      </c>
      <c r="AC46" s="142">
        <f>AVERAGE(P46,Q46,R46,S46,T46,U46)</f>
        <v/>
      </c>
      <c r="AD46" s="142">
        <f>SUMIF(Summary!B:B,B46,Summary!EB:EB)</f>
        <v/>
      </c>
      <c r="AE46" s="104" t="n">
        <v>20000</v>
      </c>
      <c r="AF46" s="24" t="n"/>
      <c r="AG46" s="25" t="inlineStr">
        <is>
          <t>40顆(10/21)</t>
        </is>
      </c>
      <c r="AH46" s="25" t="inlineStr">
        <is>
          <t>40顆(10/21)</t>
        </is>
      </c>
      <c r="AI46" s="546" t="n"/>
      <c r="AJ46" s="28" t="n"/>
      <c r="AK46" s="14" t="n"/>
      <c r="AL46" s="29" t="n"/>
    </row>
    <row r="47">
      <c r="A47" s="27" t="inlineStr">
        <is>
          <t>MM2MB030007A</t>
        </is>
      </c>
      <c r="B47" s="14" t="n">
        <v>6170035</v>
      </c>
      <c r="C47" s="133" t="inlineStr">
        <is>
          <t>十蓓電波眼周探頭0.25平方公分(1發)</t>
        </is>
      </c>
      <c r="D47" s="23" t="n">
        <v>600</v>
      </c>
      <c r="E47" s="17" t="inlineStr">
        <is>
          <t>SHOT</t>
        </is>
      </c>
      <c r="F47" s="18" t="n"/>
      <c r="G47" s="18">
        <f>(D47*35)+550</f>
        <v/>
      </c>
      <c r="H47" s="20">
        <f>SUMIFS(領用表!$L:$L,領用表!$E:$E,$B47,領用表!$B:$B,H$2&amp;$P$1)</f>
        <v/>
      </c>
      <c r="I47" s="20">
        <f>SUMIFS(領用表!$L:$L,領用表!$E:$E,$B47,領用表!$B:$B,I$2&amp;$P$1)</f>
        <v/>
      </c>
      <c r="J47" s="20">
        <f>SUMIFS(領用表!$L:$L,領用表!$E:$E,$B47,領用表!$B:$B,J$2&amp;$P$1)</f>
        <v/>
      </c>
      <c r="K47" s="142">
        <f>SUMIFS(領用表!$L:$L,領用表!$E:$E,$B47,領用表!$B:$B,K$2&amp;$P$1)</f>
        <v/>
      </c>
      <c r="L47" s="142">
        <f>SUMIFS(領用表!$L:$L,領用表!$E:$E,$B47,領用表!$B:$B,L$2&amp;$P$1)</f>
        <v/>
      </c>
      <c r="M47" s="142">
        <f>SUMIFS(領用表!$L:$L,領用表!$E:$E,$B47,領用表!$B:$B,M$2&amp;$P$1)</f>
        <v/>
      </c>
      <c r="N47" s="23">
        <f>SUM(,H47,I47,J47,K47,L47,M47)</f>
        <v/>
      </c>
      <c r="O47" s="23">
        <f>AVERAGE(,H47,I47,J47,K47,L47,M47)</f>
        <v/>
      </c>
      <c r="P47" s="142">
        <f>SUMIFS(領用表!$L:$L,領用表!$E:$E,$B47,領用表!$B:$B,P$2&amp;$P$1)</f>
        <v/>
      </c>
      <c r="Q47" s="142">
        <f>SUMIFS(領用表!$L:$L,領用表!$E:$E,$B47,領用表!$B:$B,Q$2&amp;$P$1)</f>
        <v/>
      </c>
      <c r="R47" s="142">
        <f>SUMIFS(領用表!$L:$L,領用表!$E:$E,$B47,領用表!$B:$B,R$2&amp;$P$1)</f>
        <v/>
      </c>
      <c r="S47" s="142">
        <f>SUMIFS(領用表!$L:$L,領用表!$E:$E,$B47,領用表!$B:$B,S$2&amp;$P$1)</f>
        <v/>
      </c>
      <c r="T47" s="142">
        <f>SUMIFS(領用表!$L:$L,領用表!$E:$E,$B47,領用表!$B:$B,T$2&amp;$P$1)</f>
        <v/>
      </c>
      <c r="U47" s="142" t="n">
        <v>6501</v>
      </c>
      <c r="V47" s="142">
        <f>SUMIFS(領用表!$L:$L,領用表!$E:$E,$B47,領用表!$B:$B,V$2&amp;$P$1)</f>
        <v/>
      </c>
      <c r="W47" s="142">
        <f>SUMIFS(領用表!$L:$L,領用表!$E:$E,$B47,領用表!$B:$B,W$2&amp;$P$1)</f>
        <v/>
      </c>
      <c r="X47" s="142">
        <f>SUMIFS(領用表!$L:$L,領用表!$E:$E,$B47,領用表!$B:$B,X$2&amp;$P$1)</f>
        <v/>
      </c>
      <c r="Y47" s="142">
        <f>SUMIFS(領用表!$L:$L,領用表!$E:$E,$B47,領用表!$B:$B,Y$2&amp;$P$1)</f>
        <v/>
      </c>
      <c r="Z47" s="142">
        <f>SUMIFS(領用表!$L:$L,領用表!$E:$E,$B47,領用表!$B:$B,Z$2&amp;$P$1)</f>
        <v/>
      </c>
      <c r="AA47" s="142">
        <f>SUMIFS(領用表!$L:$L,領用表!$E:$E,$B47,領用表!$B:$B,AA$2&amp;$P$1)</f>
        <v/>
      </c>
      <c r="AB47" s="142">
        <f>SUM(P47,Q47,R47,S47,T47,U47)</f>
        <v/>
      </c>
      <c r="AC47" s="142">
        <f>AVERAGE(P47,Q47,R47,S47,T47,U47)</f>
        <v/>
      </c>
      <c r="AD47" s="142">
        <f>SUMIF(Summary!B:B,B47,Summary!EB:EB)</f>
        <v/>
      </c>
      <c r="AE47" s="104" t="n">
        <v>6500</v>
      </c>
      <c r="AF47" s="24" t="n"/>
      <c r="AG47" s="25" t="n"/>
      <c r="AH47" s="25" t="inlineStr">
        <is>
          <t>40顆(10/21)</t>
        </is>
      </c>
      <c r="AI47" s="546" t="n"/>
      <c r="AJ47" s="28" t="n"/>
      <c r="AK47" s="14" t="n"/>
      <c r="AL47" s="29" t="n"/>
    </row>
    <row r="48" ht="15.75" customHeight="1" s="453">
      <c r="A48" s="27" t="inlineStr">
        <is>
          <t>MM2MB030002A</t>
        </is>
      </c>
      <c r="B48" s="14" t="n">
        <v>6170028</v>
      </c>
      <c r="C48" s="118" t="inlineStr">
        <is>
          <t>海芙電波 I探頭 0.25cm(1發)</t>
        </is>
      </c>
      <c r="D48" s="23" t="n">
        <v>6050</v>
      </c>
      <c r="E48" s="17" t="inlineStr">
        <is>
          <t>SHOT</t>
        </is>
      </c>
      <c r="F48" s="18" t="n"/>
      <c r="G48" s="18">
        <f>(D48*0)+141</f>
        <v/>
      </c>
      <c r="H48" s="20">
        <f>SUMIFS(領用表!$L:$L,領用表!$E:$E,$B48,領用表!$B:$B,H$2&amp;$P$1)</f>
        <v/>
      </c>
      <c r="I48" s="20">
        <f>SUMIFS(領用表!$L:$L,領用表!$E:$E,$B48,領用表!$B:$B,I$2&amp;$P$1)</f>
        <v/>
      </c>
      <c r="J48" s="20">
        <f>SUMIFS(領用表!$L:$L,領用表!$E:$E,$B48,領用表!$B:$B,J$2&amp;$P$1)</f>
        <v/>
      </c>
      <c r="K48" s="142">
        <f>SUMIFS(領用表!$L:$L,領用表!$E:$E,$B48,領用表!$B:$B,K$2&amp;$P$1)</f>
        <v/>
      </c>
      <c r="L48" s="142">
        <f>SUMIFS(領用表!$L:$L,領用表!$E:$E,$B48,領用表!$B:$B,L$2&amp;$P$1)</f>
        <v/>
      </c>
      <c r="M48" s="142">
        <f>SUMIFS(領用表!$L:$L,領用表!$E:$E,$B48,領用表!$B:$B,M$2&amp;$P$1)</f>
        <v/>
      </c>
      <c r="N48" s="23">
        <f>SUM(,H48,I48,J48,K48,L48,M48)</f>
        <v/>
      </c>
      <c r="O48" s="23">
        <f>AVERAGE(,H48,I48,J48,K48,L48,M48)</f>
        <v/>
      </c>
      <c r="P48" s="142">
        <f>SUMIFS(領用表!$L:$L,領用表!$E:$E,$B48,領用表!$B:$B,P$2&amp;$P$1)</f>
        <v/>
      </c>
      <c r="Q48" s="142">
        <f>SUMIFS(領用表!$L:$L,領用表!$E:$E,$B48,領用表!$B:$B,Q$2&amp;$P$1)</f>
        <v/>
      </c>
      <c r="R48" s="142">
        <f>SUMIFS(領用表!$L:$L,領用表!$E:$E,$B48,領用表!$B:$B,R$2&amp;$P$1)</f>
        <v/>
      </c>
      <c r="S48" s="142">
        <f>SUMIFS(領用表!$L:$L,領用表!$E:$E,$B48,領用表!$B:$B,S$2&amp;$P$1)</f>
        <v/>
      </c>
      <c r="T48" s="142">
        <f>SUMIFS(領用表!$L:$L,領用表!$E:$E,$B48,領用表!$B:$B,T$2&amp;$P$1)</f>
        <v/>
      </c>
      <c r="U48" s="142" t="n"/>
      <c r="V48" s="142">
        <f>SUMIFS(領用表!$L:$L,領用表!$E:$E,$B48,領用表!$B:$B,V$2&amp;$P$1)</f>
        <v/>
      </c>
      <c r="W48" s="142">
        <f>SUMIFS(領用表!$L:$L,領用表!$E:$E,$B48,領用表!$B:$B,W$2&amp;$P$1)</f>
        <v/>
      </c>
      <c r="X48" s="142">
        <f>SUMIFS(領用表!$L:$L,領用表!$E:$E,$B48,領用表!$B:$B,X$2&amp;$P$1)</f>
        <v/>
      </c>
      <c r="Y48" s="142">
        <f>SUMIFS(領用表!$L:$L,領用表!$E:$E,$B48,領用表!$B:$B,Y$2&amp;$P$1)</f>
        <v/>
      </c>
      <c r="Z48" s="142">
        <f>SUMIFS(領用表!$L:$L,領用表!$E:$E,$B48,領用表!$B:$B,Z$2&amp;$P$1)</f>
        <v/>
      </c>
      <c r="AA48" s="142">
        <f>SUMIFS(領用表!$L:$L,領用表!$E:$E,$B48,領用表!$B:$B,AA$2&amp;$P$1)</f>
        <v/>
      </c>
      <c r="AB48" s="142">
        <f>SUM(P48,Q48,R48,S48,T48,U48)</f>
        <v/>
      </c>
      <c r="AC48" s="142">
        <f>AVERAGE(P48,Q48,R48,S48,T48,U48)</f>
        <v/>
      </c>
      <c r="AD48" s="142">
        <f>SUMIF(Summary!B:B,B48,Summary!EB:EB)</f>
        <v/>
      </c>
      <c r="AE48" s="104" t="n">
        <v>7500</v>
      </c>
      <c r="AF48" s="24" t="n">
        <v>0</v>
      </c>
      <c r="AG48" s="25" t="inlineStr">
        <is>
          <t>3顆(10/23)</t>
        </is>
      </c>
      <c r="AH48" s="25" t="inlineStr">
        <is>
          <t>2顆(10/23)</t>
        </is>
      </c>
      <c r="AI48" s="547" t="inlineStr">
        <is>
          <t>2025/4/1站前交機1台</t>
        </is>
      </c>
      <c r="AJ48" s="28" t="n"/>
      <c r="AK48" s="14" t="n"/>
      <c r="AL48" s="29" t="n"/>
    </row>
    <row r="49" ht="15.75" customHeight="1" s="453">
      <c r="A49" s="27" t="inlineStr">
        <is>
          <t>MM2MB030003A</t>
        </is>
      </c>
      <c r="B49" s="14" t="n">
        <v>6170029</v>
      </c>
      <c r="C49" s="118" t="inlineStr">
        <is>
          <t>海芙電波 F探頭 3.0cm(1發)</t>
        </is>
      </c>
      <c r="D49" s="23" t="n">
        <v>4000</v>
      </c>
      <c r="E49" s="17" t="inlineStr">
        <is>
          <t>SHOT</t>
        </is>
      </c>
      <c r="F49" s="18" t="n"/>
      <c r="G49" s="18">
        <f>(D49*0)*0</f>
        <v/>
      </c>
      <c r="H49" s="20">
        <f>SUMIFS(領用表!$L:$L,領用表!$E:$E,$B49,領用表!$B:$B,H$2&amp;$P$1)</f>
        <v/>
      </c>
      <c r="I49" s="20">
        <f>SUMIFS(領用表!$L:$L,領用表!$E:$E,$B49,領用表!$B:$B,I$2&amp;$P$1)</f>
        <v/>
      </c>
      <c r="J49" s="20">
        <f>SUMIFS(領用表!$L:$L,領用表!$E:$E,$B49,領用表!$B:$B,J$2&amp;$P$1)</f>
        <v/>
      </c>
      <c r="K49" s="142">
        <f>SUMIFS(領用表!$L:$L,領用表!$E:$E,$B49,領用表!$B:$B,K$2&amp;$P$1)</f>
        <v/>
      </c>
      <c r="L49" s="142">
        <f>SUMIFS(領用表!$L:$L,領用表!$E:$E,$B49,領用表!$B:$B,L$2&amp;$P$1)</f>
        <v/>
      </c>
      <c r="M49" s="142">
        <f>SUMIFS(領用表!$L:$L,領用表!$E:$E,$B49,領用表!$B:$B,M$2&amp;$P$1)</f>
        <v/>
      </c>
      <c r="N49" s="23">
        <f>SUM(,H49,I49,J49,K49,L49,M49)</f>
        <v/>
      </c>
      <c r="O49" s="23">
        <f>AVERAGE(,H49,I49,J49,K49,L49,M49)</f>
        <v/>
      </c>
      <c r="P49" s="142">
        <f>SUMIFS(領用表!$L:$L,領用表!$E:$E,$B49,領用表!$B:$B,P$2&amp;$P$1)</f>
        <v/>
      </c>
      <c r="Q49" s="142">
        <f>SUMIFS(領用表!$L:$L,領用表!$E:$E,$B49,領用表!$B:$B,Q$2&amp;$P$1)</f>
        <v/>
      </c>
      <c r="R49" s="142">
        <f>SUMIFS(領用表!$L:$L,領用表!$E:$E,$B49,領用表!$B:$B,R$2&amp;$P$1)</f>
        <v/>
      </c>
      <c r="S49" s="142">
        <f>SUMIFS(領用表!$L:$L,領用表!$E:$E,$B49,領用表!$B:$B,S$2&amp;$P$1)</f>
        <v/>
      </c>
      <c r="T49" s="142">
        <f>SUMIFS(領用表!$L:$L,領用表!$E:$E,$B49,領用表!$B:$B,T$2&amp;$P$1)</f>
        <v/>
      </c>
      <c r="U49" s="142" t="n"/>
      <c r="V49" s="142">
        <f>SUMIFS(領用表!$L:$L,領用表!$E:$E,$B49,領用表!$B:$B,V$2&amp;$P$1)</f>
        <v/>
      </c>
      <c r="W49" s="142">
        <f>SUMIFS(領用表!$L:$L,領用表!$E:$E,$B49,領用表!$B:$B,W$2&amp;$P$1)</f>
        <v/>
      </c>
      <c r="X49" s="142">
        <f>SUMIFS(領用表!$L:$L,領用表!$E:$E,$B49,領用表!$B:$B,X$2&amp;$P$1)</f>
        <v/>
      </c>
      <c r="Y49" s="142">
        <f>SUMIFS(領用表!$L:$L,領用表!$E:$E,$B49,領用表!$B:$B,Y$2&amp;$P$1)</f>
        <v/>
      </c>
      <c r="Z49" s="142">
        <f>SUMIFS(領用表!$L:$L,領用表!$E:$E,$B49,領用表!$B:$B,Z$2&amp;$P$1)</f>
        <v/>
      </c>
      <c r="AA49" s="142">
        <f>SUMIFS(領用表!$L:$L,領用表!$E:$E,$B49,領用表!$B:$B,AA$2&amp;$P$1)</f>
        <v/>
      </c>
      <c r="AB49" s="142">
        <f>SUM(P49,Q49,R49,S49,T49,U49)</f>
        <v/>
      </c>
      <c r="AC49" s="142">
        <f>AVERAGE(P49,Q49,R49,S49,T49,U49)</f>
        <v/>
      </c>
      <c r="AD49" s="142">
        <f>SUMIF(Summary!B:B,B49,Summary!EB:EB)</f>
        <v/>
      </c>
      <c r="AE49" s="104" t="n">
        <v>20000</v>
      </c>
      <c r="AF49" s="24" t="n">
        <v>0</v>
      </c>
      <c r="AG49" s="25" t="inlineStr">
        <is>
          <t>4顆(10/23)</t>
        </is>
      </c>
      <c r="AH49" s="25" t="inlineStr">
        <is>
          <t>4顆(10/23)</t>
        </is>
      </c>
      <c r="AI49" s="547" t="inlineStr">
        <is>
          <t>2025/4/1站前交機1台</t>
        </is>
      </c>
      <c r="AJ49" s="28" t="n"/>
      <c r="AK49" s="14" t="n"/>
      <c r="AL49" s="29" t="n"/>
    </row>
    <row r="50" ht="15.75" customHeight="1" s="453">
      <c r="A50" s="27" t="inlineStr">
        <is>
          <t>MM2MB030004A</t>
        </is>
      </c>
      <c r="B50" s="14" t="n">
        <v>6170030</v>
      </c>
      <c r="C50" s="118" t="inlineStr">
        <is>
          <t>海芙電波 V探頭 4.0cm(1發)</t>
        </is>
      </c>
      <c r="D50" s="23" t="n">
        <v>3050</v>
      </c>
      <c r="E50" s="17" t="inlineStr">
        <is>
          <t>SHOT</t>
        </is>
      </c>
      <c r="F50" s="18" t="n"/>
      <c r="G50" s="18">
        <f>(D50*11)+916</f>
        <v/>
      </c>
      <c r="H50" s="39">
        <f>SUMIFS(領用表!$L:$L,領用表!$E:$E,$B50,領用表!$B:$B,H$2&amp;$P$1)</f>
        <v/>
      </c>
      <c r="I50" s="39">
        <f>SUMIFS(領用表!$L:$L,領用表!$E:$E,$B50,領用表!$B:$B,I$2&amp;$P$1)</f>
        <v/>
      </c>
      <c r="J50" s="39">
        <f>SUMIFS(領用表!$L:$L,領用表!$E:$E,$B50,領用表!$B:$B,J$2&amp;$P$1)</f>
        <v/>
      </c>
      <c r="K50" s="142">
        <f>SUMIFS(領用表!$L:$L,領用表!$E:$E,$B50,領用表!$B:$B,K$2&amp;$P$1)</f>
        <v/>
      </c>
      <c r="L50" s="142">
        <f>SUMIFS(領用表!$L:$L,領用表!$E:$E,$B50,領用表!$B:$B,L$2&amp;$P$1)</f>
        <v/>
      </c>
      <c r="M50" s="142">
        <f>SUMIFS(領用表!$L:$L,領用表!$E:$E,$B50,領用表!$B:$B,M$2&amp;$P$1)</f>
        <v/>
      </c>
      <c r="N50" s="42">
        <f>SUM(,H50,I50,J50,K50,L50,M50)</f>
        <v/>
      </c>
      <c r="O50" s="42">
        <f>AVERAGE(,H50,I50,J50,K50,L50,M50)</f>
        <v/>
      </c>
      <c r="P50" s="142">
        <f>SUMIFS(領用表!$L:$L,領用表!$E:$E,$B50,領用表!$B:$B,P$2&amp;$P$1)</f>
        <v/>
      </c>
      <c r="Q50" s="142">
        <f>SUMIFS(領用表!$L:$L,領用表!$E:$E,$B50,領用表!$B:$B,Q$2&amp;$P$1)</f>
        <v/>
      </c>
      <c r="R50" s="142">
        <f>SUMIFS(領用表!$L:$L,領用表!$E:$E,$B50,領用表!$B:$B,R$2&amp;$P$1)</f>
        <v/>
      </c>
      <c r="S50" s="142">
        <f>SUMIFS(領用表!$L:$L,領用表!$E:$E,$B50,領用表!$B:$B,S$2&amp;$P$1)</f>
        <v/>
      </c>
      <c r="T50" s="142">
        <f>SUMIFS(領用表!$L:$L,領用表!$E:$E,$B50,領用表!$B:$B,T$2&amp;$P$1)</f>
        <v/>
      </c>
      <c r="U50" s="142" t="n">
        <v>2100</v>
      </c>
      <c r="V50" s="142">
        <f>SUMIFS(領用表!$L:$L,領用表!$E:$E,$B50,領用表!$B:$B,V$2&amp;$P$1)</f>
        <v/>
      </c>
      <c r="W50" s="142">
        <f>SUMIFS(領用表!$L:$L,領用表!$E:$E,$B50,領用表!$B:$B,W$2&amp;$P$1)</f>
        <v/>
      </c>
      <c r="X50" s="142">
        <f>SUMIFS(領用表!$L:$L,領用表!$E:$E,$B50,領用表!$B:$B,X$2&amp;$P$1)</f>
        <v/>
      </c>
      <c r="Y50" s="142">
        <f>SUMIFS(領用表!$L:$L,領用表!$E:$E,$B50,領用表!$B:$B,Y$2&amp;$P$1)</f>
        <v/>
      </c>
      <c r="Z50" s="142">
        <f>SUMIFS(領用表!$L:$L,領用表!$E:$E,$B50,領用表!$B:$B,Z$2&amp;$P$1)</f>
        <v/>
      </c>
      <c r="AA50" s="142">
        <f>SUMIFS(領用表!$L:$L,領用表!$E:$E,$B50,領用表!$B:$B,AA$2&amp;$P$1)</f>
        <v/>
      </c>
      <c r="AB50" s="142">
        <f>SUM(P50,Q50,R50,S50,T50,U50)</f>
        <v/>
      </c>
      <c r="AC50" s="142">
        <f>AVERAGE(P50,Q50,R50,S50,T50,U50)</f>
        <v/>
      </c>
      <c r="AD50" s="142">
        <f>SUMIF(Summary!B:B,B50,Summary!EB:EB)</f>
        <v/>
      </c>
      <c r="AE50" s="105" t="n"/>
      <c r="AF50" s="40" t="n">
        <v>0</v>
      </c>
      <c r="AG50" s="40" t="n"/>
      <c r="AH50" s="40" t="n"/>
      <c r="AI50" s="548" t="inlineStr">
        <is>
          <t>5/2 EVA不再進貨V探頭</t>
        </is>
      </c>
      <c r="AJ50" s="52" t="n"/>
      <c r="AK50" s="14" t="n"/>
      <c r="AL50" s="29" t="n"/>
    </row>
    <row r="51" ht="15.75" customHeight="1" s="453">
      <c r="A51" s="27" t="inlineStr">
        <is>
          <t>MM2MB040003A</t>
        </is>
      </c>
      <c r="B51" s="14" t="n">
        <v>6170005</v>
      </c>
      <c r="C51" s="118" t="inlineStr">
        <is>
          <t>海芙三代音波探頭2mm(1條)</t>
        </is>
      </c>
      <c r="D51" s="23" t="n">
        <v>20099</v>
      </c>
      <c r="E51" s="17" t="inlineStr">
        <is>
          <t>SHOT</t>
        </is>
      </c>
      <c r="F51" s="18" t="n"/>
      <c r="G51" s="18">
        <f>(D51*0)+1286</f>
        <v/>
      </c>
      <c r="H51" s="20">
        <f>SUMIFS(領用表!$L:$L,領用表!$E:$E,$B51,領用表!$B:$B,H$2&amp;$P$1)</f>
        <v/>
      </c>
      <c r="I51" s="20">
        <f>SUMIFS(領用表!$L:$L,領用表!$E:$E,$B51,領用表!$B:$B,I$2&amp;$P$1)</f>
        <v/>
      </c>
      <c r="J51" s="20">
        <f>SUMIFS(領用表!$L:$L,領用表!$E:$E,$B51,領用表!$B:$B,J$2&amp;$P$1)</f>
        <v/>
      </c>
      <c r="K51" s="142">
        <f>SUMIFS(領用表!$L:$L,領用表!$E:$E,$B51,領用表!$B:$B,K$2&amp;$P$1)</f>
        <v/>
      </c>
      <c r="L51" s="142">
        <f>SUMIFS(領用表!$L:$L,領用表!$E:$E,$B51,領用表!$B:$B,L$2&amp;$P$1)</f>
        <v/>
      </c>
      <c r="M51" s="142">
        <f>SUMIFS(領用表!$L:$L,領用表!$E:$E,$B51,領用表!$B:$B,M$2&amp;$P$1)</f>
        <v/>
      </c>
      <c r="N51" s="23">
        <f>SUM(,H51,I51,J51,K51,L51,M51)</f>
        <v/>
      </c>
      <c r="O51" s="23">
        <f>AVERAGE(,H51,I51,J51,K51,L51,M51)</f>
        <v/>
      </c>
      <c r="P51" s="142">
        <f>SUMIFS(領用表!$L:$L,領用表!$E:$E,$B51,領用表!$B:$B,P$2&amp;$P$1)</f>
        <v/>
      </c>
      <c r="Q51" s="142">
        <f>SUMIFS(領用表!$L:$L,領用表!$E:$E,$B51,領用表!$B:$B,Q$2&amp;$P$1)</f>
        <v/>
      </c>
      <c r="R51" s="142">
        <f>SUMIFS(領用表!$L:$L,領用表!$E:$E,$B51,領用表!$B:$B,R$2&amp;$P$1)</f>
        <v/>
      </c>
      <c r="S51" s="142">
        <f>SUMIFS(領用表!$L:$L,領用表!$E:$E,$B51,領用表!$B:$B,S$2&amp;$P$1)</f>
        <v/>
      </c>
      <c r="T51" s="142">
        <f>SUMIFS(領用表!$L:$L,領用表!$E:$E,$B51,領用表!$B:$B,T$2&amp;$P$1)</f>
        <v/>
      </c>
      <c r="U51" s="142" t="n">
        <v>1190</v>
      </c>
      <c r="V51" s="142">
        <f>SUMIFS(領用表!$L:$L,領用表!$E:$E,$B51,領用表!$B:$B,V$2&amp;$P$1)</f>
        <v/>
      </c>
      <c r="W51" s="142">
        <f>SUMIFS(領用表!$L:$L,領用表!$E:$E,$B51,領用表!$B:$B,W$2&amp;$P$1)</f>
        <v/>
      </c>
      <c r="X51" s="142">
        <f>SUMIFS(領用表!$L:$L,領用表!$E:$E,$B51,領用表!$B:$B,X$2&amp;$P$1)</f>
        <v/>
      </c>
      <c r="Y51" s="142">
        <f>SUMIFS(領用表!$L:$L,領用表!$E:$E,$B51,領用表!$B:$B,Y$2&amp;$P$1)</f>
        <v/>
      </c>
      <c r="Z51" s="142">
        <f>SUMIFS(領用表!$L:$L,領用表!$E:$E,$B51,領用表!$B:$B,Z$2&amp;$P$1)</f>
        <v/>
      </c>
      <c r="AA51" s="142">
        <f>SUMIFS(領用表!$L:$L,領用表!$E:$E,$B51,領用表!$B:$B,AA$2&amp;$P$1)</f>
        <v/>
      </c>
      <c r="AB51" s="142">
        <f>SUM(P51,Q51,R51,S51,T51,U51)</f>
        <v/>
      </c>
      <c r="AC51" s="142">
        <f>AVERAGE(P51,Q51,R51,S51,T51,U51)</f>
        <v/>
      </c>
      <c r="AD51" s="142">
        <f>SUMIF(Summary!B:B,B51,Summary!EB:EB)</f>
        <v/>
      </c>
      <c r="AE51" s="101" t="n">
        <v>25000</v>
      </c>
      <c r="AF51" s="24" t="inlineStr">
        <is>
          <t>3,226,071條</t>
        </is>
      </c>
      <c r="AG51" s="24" t="n"/>
      <c r="AH51" s="53" t="n"/>
      <c r="AI51" s="547" t="n">
        <v>20000</v>
      </c>
      <c r="AJ51" s="28" t="n"/>
      <c r="AK51" s="14" t="n"/>
      <c r="AL51" s="29" t="n"/>
    </row>
    <row r="52" ht="15.75" customHeight="1" s="453">
      <c r="A52" s="27" t="inlineStr">
        <is>
          <t>MM2MB040004A</t>
        </is>
      </c>
      <c r="B52" s="14" t="n">
        <v>6170007</v>
      </c>
      <c r="C52" s="118" t="inlineStr">
        <is>
          <t>海芙三代音波探頭3mm(1條)</t>
        </is>
      </c>
      <c r="D52" s="23" t="n">
        <v>20099</v>
      </c>
      <c r="E52" s="17" t="inlineStr">
        <is>
          <t>SHOT</t>
        </is>
      </c>
      <c r="F52" s="18" t="n"/>
      <c r="G52" s="18">
        <f>(D52*1)+10161+18337</f>
        <v/>
      </c>
      <c r="H52" s="20">
        <f>SUMIFS(領用表!$L:$L,領用表!$E:$E,$B52,領用表!$B:$B,H$2&amp;$P$1)</f>
        <v/>
      </c>
      <c r="I52" s="20">
        <f>SUMIFS(領用表!$L:$L,領用表!$E:$E,$B52,領用表!$B:$B,I$2&amp;$P$1)</f>
        <v/>
      </c>
      <c r="J52" s="20">
        <f>SUMIFS(領用表!$L:$L,領用表!$E:$E,$B52,領用表!$B:$B,J$2&amp;$P$1)</f>
        <v/>
      </c>
      <c r="K52" s="142">
        <f>SUMIFS(領用表!$L:$L,領用表!$E:$E,$B52,領用表!$B:$B,K$2&amp;$P$1)</f>
        <v/>
      </c>
      <c r="L52" s="142">
        <f>SUMIFS(領用表!$L:$L,領用表!$E:$E,$B52,領用表!$B:$B,L$2&amp;$P$1)</f>
        <v/>
      </c>
      <c r="M52" s="142">
        <f>SUMIFS(領用表!$L:$L,領用表!$E:$E,$B52,領用表!$B:$B,M$2&amp;$P$1)</f>
        <v/>
      </c>
      <c r="N52" s="23">
        <f>SUM(,H52,I52,J52,K52,L52,M52)</f>
        <v/>
      </c>
      <c r="O52" s="23">
        <f>AVERAGE(,H52,I52,J52,K52,L52,M52)</f>
        <v/>
      </c>
      <c r="P52" s="142">
        <f>SUMIFS(領用表!$L:$L,領用表!$E:$E,$B52,領用表!$B:$B,P$2&amp;$P$1)</f>
        <v/>
      </c>
      <c r="Q52" s="142">
        <f>SUMIFS(領用表!$L:$L,領用表!$E:$E,$B52,領用表!$B:$B,Q$2&amp;$P$1)</f>
        <v/>
      </c>
      <c r="R52" s="142">
        <f>SUMIFS(領用表!$L:$L,領用表!$E:$E,$B52,領用表!$B:$B,R$2&amp;$P$1)</f>
        <v/>
      </c>
      <c r="S52" s="142">
        <f>SUMIFS(領用表!$L:$L,領用表!$E:$E,$B52,領用表!$B:$B,S$2&amp;$P$1)</f>
        <v/>
      </c>
      <c r="T52" s="142">
        <f>SUMIFS(領用表!$L:$L,領用表!$E:$E,$B52,領用表!$B:$B,T$2&amp;$P$1)</f>
        <v/>
      </c>
      <c r="U52" s="142" t="n">
        <v>5844</v>
      </c>
      <c r="V52" s="142">
        <f>SUMIFS(領用表!$L:$L,領用表!$E:$E,$B52,領用表!$B:$B,V$2&amp;$P$1)</f>
        <v/>
      </c>
      <c r="W52" s="142">
        <f>SUMIFS(領用表!$L:$L,領用表!$E:$E,$B52,領用表!$B:$B,W$2&amp;$P$1)</f>
        <v/>
      </c>
      <c r="X52" s="142">
        <f>SUMIFS(領用表!$L:$L,領用表!$E:$E,$B52,領用表!$B:$B,X$2&amp;$P$1)</f>
        <v/>
      </c>
      <c r="Y52" s="142">
        <f>SUMIFS(領用表!$L:$L,領用表!$E:$E,$B52,領用表!$B:$B,Y$2&amp;$P$1)</f>
        <v/>
      </c>
      <c r="Z52" s="142">
        <f>SUMIFS(領用表!$L:$L,領用表!$E:$E,$B52,領用表!$B:$B,Z$2&amp;$P$1)</f>
        <v/>
      </c>
      <c r="AA52" s="142">
        <f>SUMIFS(領用表!$L:$L,領用表!$E:$E,$B52,領用表!$B:$B,AA$2&amp;$P$1)</f>
        <v/>
      </c>
      <c r="AB52" s="142">
        <f>SUM(P52,Q52,R52,S52,T52,U52)</f>
        <v/>
      </c>
      <c r="AC52" s="142">
        <f>AVERAGE(P52,Q52,R52,S52,T52,U52)</f>
        <v/>
      </c>
      <c r="AD52" s="142">
        <f>SUMIF(Summary!B:B,B52,Summary!EB:EB)</f>
        <v/>
      </c>
      <c r="AE52" s="101" t="n">
        <v>50000</v>
      </c>
      <c r="AF52" s="514" t="n"/>
      <c r="AG52" s="24" t="n"/>
      <c r="AH52" s="53" t="n"/>
      <c r="AI52" s="547" t="n">
        <v>20000</v>
      </c>
      <c r="AJ52" s="28" t="n"/>
      <c r="AK52" s="14" t="n"/>
      <c r="AL52" s="29" t="n"/>
    </row>
    <row r="53" ht="15.75" customHeight="1" s="453">
      <c r="A53" s="27" t="inlineStr">
        <is>
          <t>MM2MB040005A</t>
        </is>
      </c>
      <c r="B53" s="14" t="n">
        <v>6170009</v>
      </c>
      <c r="C53" s="118" t="inlineStr">
        <is>
          <t>海芙三代音波探頭4.5mm(1條)</t>
        </is>
      </c>
      <c r="D53" s="23" t="n">
        <v>20099</v>
      </c>
      <c r="E53" s="17" t="inlineStr">
        <is>
          <t>SHOT</t>
        </is>
      </c>
      <c r="F53" s="18" t="n"/>
      <c r="G53" s="18">
        <f>(D53*0)+17201</f>
        <v/>
      </c>
      <c r="H53" s="20">
        <f>SUMIFS(領用表!$L:$L,領用表!$E:$E,$B53,領用表!$B:$B,H$2&amp;$P$1)</f>
        <v/>
      </c>
      <c r="I53" s="20">
        <f>SUMIFS(領用表!$L:$L,領用表!$E:$E,$B53,領用表!$B:$B,I$2&amp;$P$1)</f>
        <v/>
      </c>
      <c r="J53" s="20">
        <f>SUMIFS(領用表!$L:$L,領用表!$E:$E,$B53,領用表!$B:$B,J$2&amp;$P$1)</f>
        <v/>
      </c>
      <c r="K53" s="142">
        <f>SUMIFS(領用表!$L:$L,領用表!$E:$E,$B53,領用表!$B:$B,K$2&amp;$P$1)</f>
        <v/>
      </c>
      <c r="L53" s="142">
        <f>SUMIFS(領用表!$L:$L,領用表!$E:$E,$B53,領用表!$B:$B,L$2&amp;$P$1)</f>
        <v/>
      </c>
      <c r="M53" s="142">
        <f>SUMIFS(領用表!$L:$L,領用表!$E:$E,$B53,領用表!$B:$B,M$2&amp;$P$1)</f>
        <v/>
      </c>
      <c r="N53" s="23">
        <f>SUM(,H53,I53,J53,K53,L53,M53)</f>
        <v/>
      </c>
      <c r="O53" s="23">
        <f>AVERAGE(,H53,I53,J53,K53,L53,M53)</f>
        <v/>
      </c>
      <c r="P53" s="142">
        <f>SUMIFS(領用表!$L:$L,領用表!$E:$E,$B53,領用表!$B:$B,P$2&amp;$P$1)</f>
        <v/>
      </c>
      <c r="Q53" s="142">
        <f>SUMIFS(領用表!$L:$L,領用表!$E:$E,$B53,領用表!$B:$B,Q$2&amp;$P$1)</f>
        <v/>
      </c>
      <c r="R53" s="142">
        <f>SUMIFS(領用表!$L:$L,領用表!$E:$E,$B53,領用表!$B:$B,R$2&amp;$P$1)</f>
        <v/>
      </c>
      <c r="S53" s="142">
        <f>SUMIFS(領用表!$L:$L,領用表!$E:$E,$B53,領用表!$B:$B,S$2&amp;$P$1)</f>
        <v/>
      </c>
      <c r="T53" s="142">
        <f>SUMIFS(領用表!$L:$L,領用表!$E:$E,$B53,領用表!$B:$B,T$2&amp;$P$1)</f>
        <v/>
      </c>
      <c r="U53" s="142" t="n">
        <v>7486</v>
      </c>
      <c r="V53" s="142">
        <f>SUMIFS(領用表!$L:$L,領用表!$E:$E,$B53,領用表!$B:$B,V$2&amp;$P$1)</f>
        <v/>
      </c>
      <c r="W53" s="142">
        <f>SUMIFS(領用表!$L:$L,領用表!$E:$E,$B53,領用表!$B:$B,W$2&amp;$P$1)</f>
        <v/>
      </c>
      <c r="X53" s="142">
        <f>SUMIFS(領用表!$L:$L,領用表!$E:$E,$B53,領用表!$B:$B,X$2&amp;$P$1)</f>
        <v/>
      </c>
      <c r="Y53" s="142">
        <f>SUMIFS(領用表!$L:$L,領用表!$E:$E,$B53,領用表!$B:$B,Y$2&amp;$P$1)</f>
        <v/>
      </c>
      <c r="Z53" s="142">
        <f>SUMIFS(領用表!$L:$L,領用表!$E:$E,$B53,領用表!$B:$B,Z$2&amp;$P$1)</f>
        <v/>
      </c>
      <c r="AA53" s="142">
        <f>SUMIFS(領用表!$L:$L,領用表!$E:$E,$B53,領用表!$B:$B,AA$2&amp;$P$1)</f>
        <v/>
      </c>
      <c r="AB53" s="142">
        <f>SUM(P53,Q53,R53,S53,T53,U53)</f>
        <v/>
      </c>
      <c r="AC53" s="142">
        <f>AVERAGE(P53,Q53,R53,S53,T53,U53)</f>
        <v/>
      </c>
      <c r="AD53" s="142">
        <f>SUMIF(Summary!B:B,B53,Summary!EB:EB)</f>
        <v/>
      </c>
      <c r="AE53" s="101" t="n">
        <v>95000</v>
      </c>
      <c r="AF53" s="514" t="n"/>
      <c r="AG53" s="24" t="n"/>
      <c r="AH53" s="54" t="inlineStr">
        <is>
          <t>3顆(10/23)</t>
        </is>
      </c>
      <c r="AI53" s="547" t="n">
        <v>20000</v>
      </c>
      <c r="AJ53" s="28" t="n"/>
      <c r="AK53" s="14" t="n"/>
      <c r="AL53" s="29" t="n"/>
    </row>
    <row r="54">
      <c r="A54" s="27" t="inlineStr">
        <is>
          <t>MM2MB040006A</t>
        </is>
      </c>
      <c r="B54" s="14" t="n">
        <v>6170011</v>
      </c>
      <c r="C54" s="118" t="inlineStr">
        <is>
          <t>海芙三代音波探頭6mm(1條)</t>
        </is>
      </c>
      <c r="D54" s="23" t="n">
        <v>30099</v>
      </c>
      <c r="E54" s="17" t="inlineStr">
        <is>
          <t>SHOT</t>
        </is>
      </c>
      <c r="F54" s="18" t="n"/>
      <c r="G54" s="18">
        <f>(D54*0)+27232</f>
        <v/>
      </c>
      <c r="H54" s="20">
        <f>SUMIFS(領用表!$L:$L,領用表!$E:$E,$B54,領用表!$B:$B,H$2&amp;$P$1)</f>
        <v/>
      </c>
      <c r="I54" s="20">
        <f>SUMIFS(領用表!$L:$L,領用表!$E:$E,$B54,領用表!$B:$B,I$2&amp;$P$1)</f>
        <v/>
      </c>
      <c r="J54" s="20">
        <f>SUMIFS(領用表!$L:$L,領用表!$E:$E,$B54,領用表!$B:$B,J$2&amp;$P$1)</f>
        <v/>
      </c>
      <c r="K54" s="142">
        <f>SUMIFS(領用表!$L:$L,領用表!$E:$E,$B54,領用表!$B:$B,K$2&amp;$P$1)</f>
        <v/>
      </c>
      <c r="L54" s="142">
        <f>SUMIFS(領用表!$L:$L,領用表!$E:$E,$B54,領用表!$B:$B,L$2&amp;$P$1)</f>
        <v/>
      </c>
      <c r="M54" s="142">
        <f>SUMIFS(領用表!$L:$L,領用表!$E:$E,$B54,領用表!$B:$B,M$2&amp;$P$1)</f>
        <v/>
      </c>
      <c r="N54" s="23">
        <f>SUM(,H54,I54,J54,K54,L54,M54)</f>
        <v/>
      </c>
      <c r="O54" s="23">
        <f>AVERAGE(,H54,I54,J54,K54,L54,M54)</f>
        <v/>
      </c>
      <c r="P54" s="142">
        <f>SUMIFS(領用表!$L:$L,領用表!$E:$E,$B54,領用表!$B:$B,P$2&amp;$P$1)</f>
        <v/>
      </c>
      <c r="Q54" s="142">
        <f>SUMIFS(領用表!$L:$L,領用表!$E:$E,$B54,領用表!$B:$B,Q$2&amp;$P$1)</f>
        <v/>
      </c>
      <c r="R54" s="142">
        <f>SUMIFS(領用表!$L:$L,領用表!$E:$E,$B54,領用表!$B:$B,R$2&amp;$P$1)</f>
        <v/>
      </c>
      <c r="S54" s="142">
        <f>SUMIFS(領用表!$L:$L,領用表!$E:$E,$B54,領用表!$B:$B,S$2&amp;$P$1)</f>
        <v/>
      </c>
      <c r="T54" s="142">
        <f>SUMIFS(領用表!$L:$L,領用表!$E:$E,$B54,領用表!$B:$B,T$2&amp;$P$1)</f>
        <v/>
      </c>
      <c r="U54" s="142" t="n">
        <v>980</v>
      </c>
      <c r="V54" s="142">
        <f>SUMIFS(領用表!$L:$L,領用表!$E:$E,$B54,領用表!$B:$B,V$2&amp;$P$1)</f>
        <v/>
      </c>
      <c r="W54" s="142">
        <f>SUMIFS(領用表!$L:$L,領用表!$E:$E,$B54,領用表!$B:$B,W$2&amp;$P$1)</f>
        <v/>
      </c>
      <c r="X54" s="142">
        <f>SUMIFS(領用表!$L:$L,領用表!$E:$E,$B54,領用表!$B:$B,X$2&amp;$P$1)</f>
        <v/>
      </c>
      <c r="Y54" s="142">
        <f>SUMIFS(領用表!$L:$L,領用表!$E:$E,$B54,領用表!$B:$B,Y$2&amp;$P$1)</f>
        <v/>
      </c>
      <c r="Z54" s="142">
        <f>SUMIFS(領用表!$L:$L,領用表!$E:$E,$B54,領用表!$B:$B,Z$2&amp;$P$1)</f>
        <v/>
      </c>
      <c r="AA54" s="142">
        <f>SUMIFS(領用表!$L:$L,領用表!$E:$E,$B54,領用表!$B:$B,AA$2&amp;$P$1)</f>
        <v/>
      </c>
      <c r="AB54" s="142">
        <f>SUM(P54,Q54,R54,S54,T54,U54)</f>
        <v/>
      </c>
      <c r="AC54" s="142">
        <f>AVERAGE(P54,Q54,R54,S54,T54,U54)</f>
        <v/>
      </c>
      <c r="AD54" s="142">
        <f>SUMIF(Summary!B:B,B54,Summary!EB:EB)</f>
        <v/>
      </c>
      <c r="AE54" s="101" t="n">
        <v>35000</v>
      </c>
      <c r="AF54" s="515" t="n"/>
      <c r="AG54" s="24" t="n"/>
      <c r="AH54" s="54" t="inlineStr">
        <is>
          <t>1顆(10/23)</t>
        </is>
      </c>
      <c r="AI54" s="547" t="n">
        <v>30000</v>
      </c>
      <c r="AJ54" s="28" t="n"/>
      <c r="AK54" s="14" t="n"/>
      <c r="AL54" s="29" t="n"/>
    </row>
    <row r="55" ht="15.75" customHeight="1" s="453">
      <c r="A55" s="27" t="inlineStr">
        <is>
          <t>MM2MB040008A</t>
        </is>
      </c>
      <c r="B55" s="14" t="n">
        <v>6170019</v>
      </c>
      <c r="C55" s="118" t="inlineStr">
        <is>
          <t>媚必提直線探頭2.0mm(1條)</t>
        </is>
      </c>
      <c r="D55" s="23" t="n">
        <v>20099</v>
      </c>
      <c r="E55" s="17" t="inlineStr">
        <is>
          <t>SHOT</t>
        </is>
      </c>
      <c r="F55" s="44" t="n"/>
      <c r="G55" s="18">
        <f>(D55*1)+15983</f>
        <v/>
      </c>
      <c r="H55" s="20">
        <f>SUMIFS(領用表!$L:$L,領用表!$E:$E,$B55,領用表!$B:$B,H$2&amp;$P$1)</f>
        <v/>
      </c>
      <c r="I55" s="20">
        <f>SUMIFS(領用表!$L:$L,領用表!$E:$E,$B55,領用表!$B:$B,I$2&amp;$P$1)</f>
        <v/>
      </c>
      <c r="J55" s="20">
        <f>SUMIFS(領用表!$L:$L,領用表!$E:$E,$B55,領用表!$B:$B,J$2&amp;$P$1)</f>
        <v/>
      </c>
      <c r="K55" s="142">
        <f>SUMIFS(領用表!$L:$L,領用表!$E:$E,$B55,領用表!$B:$B,K$2&amp;$P$1)</f>
        <v/>
      </c>
      <c r="L55" s="142">
        <f>SUMIFS(領用表!$L:$L,領用表!$E:$E,$B55,領用表!$B:$B,L$2&amp;$P$1)</f>
        <v/>
      </c>
      <c r="M55" s="142">
        <f>SUMIFS(領用表!$L:$L,領用表!$E:$E,$B55,領用表!$B:$B,M$2&amp;$P$1)</f>
        <v/>
      </c>
      <c r="N55" s="23">
        <f>SUM(,H55,I55,J55,K55,L55,M55)</f>
        <v/>
      </c>
      <c r="O55" s="23">
        <f>AVERAGE(,H55,I55,J55,K55,L55,M55)</f>
        <v/>
      </c>
      <c r="P55" s="142">
        <f>SUMIFS(領用表!$L:$L,領用表!$E:$E,$B55,領用表!$B:$B,P$2&amp;$P$1)</f>
        <v/>
      </c>
      <c r="Q55" s="142">
        <f>SUMIFS(領用表!$L:$L,領用表!$E:$E,$B55,領用表!$B:$B,Q$2&amp;$P$1)</f>
        <v/>
      </c>
      <c r="R55" s="142">
        <f>SUMIFS(領用表!$L:$L,領用表!$E:$E,$B55,領用表!$B:$B,R$2&amp;$P$1)</f>
        <v/>
      </c>
      <c r="S55" s="142">
        <f>SUMIFS(領用表!$L:$L,領用表!$E:$E,$B55,領用表!$B:$B,S$2&amp;$P$1)</f>
        <v/>
      </c>
      <c r="T55" s="142">
        <f>SUMIFS(領用表!$L:$L,領用表!$E:$E,$B55,領用表!$B:$B,T$2&amp;$P$1)</f>
        <v/>
      </c>
      <c r="U55" s="142" t="n">
        <v>284</v>
      </c>
      <c r="V55" s="142">
        <f>SUMIFS(領用表!$L:$L,領用表!$E:$E,$B55,領用表!$B:$B,V$2&amp;$P$1)</f>
        <v/>
      </c>
      <c r="W55" s="142">
        <f>SUMIFS(領用表!$L:$L,領用表!$E:$E,$B55,領用表!$B:$B,W$2&amp;$P$1)</f>
        <v/>
      </c>
      <c r="X55" s="142">
        <f>SUMIFS(領用表!$L:$L,領用表!$E:$E,$B55,領用表!$B:$B,X$2&amp;$P$1)</f>
        <v/>
      </c>
      <c r="Y55" s="142">
        <f>SUMIFS(領用表!$L:$L,領用表!$E:$E,$B55,領用表!$B:$B,Y$2&amp;$P$1)</f>
        <v/>
      </c>
      <c r="Z55" s="142">
        <f>SUMIFS(領用表!$L:$L,領用表!$E:$E,$B55,領用表!$B:$B,Z$2&amp;$P$1)</f>
        <v/>
      </c>
      <c r="AA55" s="142">
        <f>SUMIFS(領用表!$L:$L,領用表!$E:$E,$B55,領用表!$B:$B,AA$2&amp;$P$1)</f>
        <v/>
      </c>
      <c r="AB55" s="142">
        <f>SUM(P55,Q55,R55,S55,T55,U55)</f>
        <v/>
      </c>
      <c r="AC55" s="142">
        <f>AVERAGE(P55,Q55,R55,S55,T55,U55)</f>
        <v/>
      </c>
      <c r="AD55" s="142">
        <f>SUMIF(Summary!B:B,B55,Summary!EB:EB)</f>
        <v/>
      </c>
      <c r="AE55" s="101" t="n">
        <v>2800</v>
      </c>
      <c r="AF55" s="24" t="n">
        <v>0</v>
      </c>
      <c r="AG55" s="24" t="n"/>
      <c r="AH55" s="53" t="n"/>
      <c r="AI55" s="547" t="inlineStr">
        <is>
          <t>2025/4/1站前交機2台</t>
        </is>
      </c>
      <c r="AJ55" s="28" t="n"/>
      <c r="AK55" s="14" t="n"/>
      <c r="AL55" s="29" t="n"/>
    </row>
    <row r="56" ht="15.75" customHeight="1" s="453">
      <c r="A56" s="27" t="inlineStr">
        <is>
          <t>MM2MB040009A</t>
        </is>
      </c>
      <c r="B56" s="14" t="n">
        <v>6170020</v>
      </c>
      <c r="C56" s="133" t="inlineStr">
        <is>
          <t>媚必提直線探頭3.0mm(1條)</t>
        </is>
      </c>
      <c r="D56" s="23" t="n">
        <v>20099</v>
      </c>
      <c r="E56" s="17" t="inlineStr">
        <is>
          <t>SHOT</t>
        </is>
      </c>
      <c r="F56" s="18" t="n"/>
      <c r="G56" s="18">
        <f>(D56*2)+9432</f>
        <v/>
      </c>
      <c r="H56" s="20">
        <f>SUMIFS(領用表!$L:$L,領用表!$E:$E,$B56,領用表!$B:$B,H$2&amp;$P$1)</f>
        <v/>
      </c>
      <c r="I56" s="20">
        <f>SUMIFS(領用表!$L:$L,領用表!$E:$E,$B56,領用表!$B:$B,I$2&amp;$P$1)</f>
        <v/>
      </c>
      <c r="J56" s="20">
        <f>SUMIFS(領用表!$L:$L,領用表!$E:$E,$B56,領用表!$B:$B,J$2&amp;$P$1)</f>
        <v/>
      </c>
      <c r="K56" s="142">
        <f>SUMIFS(領用表!$L:$L,領用表!$E:$E,$B56,領用表!$B:$B,K$2&amp;$P$1)</f>
        <v/>
      </c>
      <c r="L56" s="142">
        <f>SUMIFS(領用表!$L:$L,領用表!$E:$E,$B56,領用表!$B:$B,L$2&amp;$P$1)</f>
        <v/>
      </c>
      <c r="M56" s="142">
        <f>SUMIFS(領用表!$L:$L,領用表!$E:$E,$B56,領用表!$B:$B,M$2&amp;$P$1)</f>
        <v/>
      </c>
      <c r="N56" s="23">
        <f>SUM(,H56,I56,J56,K56,L56,M56)</f>
        <v/>
      </c>
      <c r="O56" s="23">
        <f>AVERAGE(,H56,I56,J56,K56,L56,M56)</f>
        <v/>
      </c>
      <c r="P56" s="142">
        <f>SUMIFS(領用表!$L:$L,領用表!$E:$E,$B56,領用表!$B:$B,P$2&amp;$P$1)</f>
        <v/>
      </c>
      <c r="Q56" s="142">
        <f>SUMIFS(領用表!$L:$L,領用表!$E:$E,$B56,領用表!$B:$B,Q$2&amp;$P$1)</f>
        <v/>
      </c>
      <c r="R56" s="142">
        <f>SUMIFS(領用表!$L:$L,領用表!$E:$E,$B56,領用表!$B:$B,R$2&amp;$P$1)</f>
        <v/>
      </c>
      <c r="S56" s="142">
        <f>SUMIFS(領用表!$L:$L,領用表!$E:$E,$B56,領用表!$B:$B,S$2&amp;$P$1)</f>
        <v/>
      </c>
      <c r="T56" s="142">
        <f>SUMIFS(領用表!$L:$L,領用表!$E:$E,$B56,領用表!$B:$B,T$2&amp;$P$1)</f>
        <v/>
      </c>
      <c r="U56" s="142" t="n">
        <v>1893</v>
      </c>
      <c r="V56" s="142">
        <f>SUMIFS(領用表!$L:$L,領用表!$E:$E,$B56,領用表!$B:$B,V$2&amp;$P$1)</f>
        <v/>
      </c>
      <c r="W56" s="142">
        <f>SUMIFS(領用表!$L:$L,領用表!$E:$E,$B56,領用表!$B:$B,W$2&amp;$P$1)</f>
        <v/>
      </c>
      <c r="X56" s="142">
        <f>SUMIFS(領用表!$L:$L,領用表!$E:$E,$B56,領用表!$B:$B,X$2&amp;$P$1)</f>
        <v/>
      </c>
      <c r="Y56" s="142">
        <f>SUMIFS(領用表!$L:$L,領用表!$E:$E,$B56,領用表!$B:$B,Y$2&amp;$P$1)</f>
        <v/>
      </c>
      <c r="Z56" s="142">
        <f>SUMIFS(領用表!$L:$L,領用表!$E:$E,$B56,領用表!$B:$B,Z$2&amp;$P$1)</f>
        <v/>
      </c>
      <c r="AA56" s="142">
        <f>SUMIFS(領用表!$L:$L,領用表!$E:$E,$B56,領用表!$B:$B,AA$2&amp;$P$1)</f>
        <v/>
      </c>
      <c r="AB56" s="142">
        <f>SUM(P56,Q56,R56,S56,T56,U56)</f>
        <v/>
      </c>
      <c r="AC56" s="142">
        <f>AVERAGE(P56,Q56,R56,S56,T56,U56)</f>
        <v/>
      </c>
      <c r="AD56" s="142">
        <f>SUMIF(Summary!B:B,B56,Summary!EB:EB)</f>
        <v/>
      </c>
      <c r="AE56" s="101" t="n">
        <v>7000</v>
      </c>
      <c r="AF56" s="514" t="n"/>
      <c r="AG56" s="24" t="n"/>
      <c r="AH56" s="53" t="n"/>
      <c r="AI56" s="547" t="inlineStr">
        <is>
          <t>2025/4/1站前交機2台</t>
        </is>
      </c>
      <c r="AJ56" s="28" t="n"/>
      <c r="AK56" s="14" t="n"/>
      <c r="AL56" s="29" t="n"/>
    </row>
    <row r="57" ht="15.75" customHeight="1" s="453">
      <c r="A57" s="27" t="inlineStr">
        <is>
          <t>MM2MB040010A</t>
        </is>
      </c>
      <c r="B57" s="14" t="n">
        <v>6170021</v>
      </c>
      <c r="C57" s="133" t="inlineStr">
        <is>
          <t>媚必提直線探頭4.5mm(1條)</t>
        </is>
      </c>
      <c r="D57" s="23" t="n">
        <v>20099</v>
      </c>
      <c r="E57" s="17" t="inlineStr">
        <is>
          <t>SHOT</t>
        </is>
      </c>
      <c r="F57" s="44" t="n"/>
      <c r="G57" s="18">
        <f>(D57*3)+14571</f>
        <v/>
      </c>
      <c r="H57" s="20">
        <f>SUMIFS(領用表!$L:$L,領用表!$E:$E,$B57,領用表!$B:$B,H$2&amp;$P$1)</f>
        <v/>
      </c>
      <c r="I57" s="20">
        <f>SUMIFS(領用表!$L:$L,領用表!$E:$E,$B57,領用表!$B:$B,I$2&amp;$P$1)</f>
        <v/>
      </c>
      <c r="J57" s="20">
        <f>SUMIFS(領用表!$L:$L,領用表!$E:$E,$B57,領用表!$B:$B,J$2&amp;$P$1)</f>
        <v/>
      </c>
      <c r="K57" s="142">
        <f>SUMIFS(領用表!$L:$L,領用表!$E:$E,$B57,領用表!$B:$B,K$2&amp;$P$1)</f>
        <v/>
      </c>
      <c r="L57" s="142">
        <f>SUMIFS(領用表!$L:$L,領用表!$E:$E,$B57,領用表!$B:$B,L$2&amp;$P$1)</f>
        <v/>
      </c>
      <c r="M57" s="142">
        <f>SUMIFS(領用表!$L:$L,領用表!$E:$E,$B57,領用表!$B:$B,M$2&amp;$P$1)</f>
        <v/>
      </c>
      <c r="N57" s="23">
        <f>SUM(,H57,I57,J57,K57,L57,M57)</f>
        <v/>
      </c>
      <c r="O57" s="23">
        <f>AVERAGE(,H57,I57,J57,K57,L57,M57)</f>
        <v/>
      </c>
      <c r="P57" s="142">
        <f>SUMIFS(領用表!$L:$L,領用表!$E:$E,$B57,領用表!$B:$B,P$2&amp;$P$1)</f>
        <v/>
      </c>
      <c r="Q57" s="142">
        <f>SUMIFS(領用表!$L:$L,領用表!$E:$E,$B57,領用表!$B:$B,Q$2&amp;$P$1)</f>
        <v/>
      </c>
      <c r="R57" s="142">
        <f>SUMIFS(領用表!$L:$L,領用表!$E:$E,$B57,領用表!$B:$B,R$2&amp;$P$1)</f>
        <v/>
      </c>
      <c r="S57" s="142">
        <f>SUMIFS(領用表!$L:$L,領用表!$E:$E,$B57,領用表!$B:$B,S$2&amp;$P$1)</f>
        <v/>
      </c>
      <c r="T57" s="142">
        <f>SUMIFS(領用表!$L:$L,領用表!$E:$E,$B57,領用表!$B:$B,T$2&amp;$P$1)</f>
        <v/>
      </c>
      <c r="U57" s="142" t="n">
        <v>4819</v>
      </c>
      <c r="V57" s="142">
        <f>SUMIFS(領用表!$L:$L,領用表!$E:$E,$B57,領用表!$B:$B,V$2&amp;$P$1)</f>
        <v/>
      </c>
      <c r="W57" s="142">
        <f>SUMIFS(領用表!$L:$L,領用表!$E:$E,$B57,領用表!$B:$B,W$2&amp;$P$1)</f>
        <v/>
      </c>
      <c r="X57" s="142">
        <f>SUMIFS(領用表!$L:$L,領用表!$E:$E,$B57,領用表!$B:$B,X$2&amp;$P$1)</f>
        <v/>
      </c>
      <c r="Y57" s="142">
        <f>SUMIFS(領用表!$L:$L,領用表!$E:$E,$B57,領用表!$B:$B,Y$2&amp;$P$1)</f>
        <v/>
      </c>
      <c r="Z57" s="142">
        <f>SUMIFS(領用表!$L:$L,領用表!$E:$E,$B57,領用表!$B:$B,Z$2&amp;$P$1)</f>
        <v/>
      </c>
      <c r="AA57" s="142">
        <f>SUMIFS(領用表!$L:$L,領用表!$E:$E,$B57,領用表!$B:$B,AA$2&amp;$P$1)</f>
        <v/>
      </c>
      <c r="AB57" s="142">
        <f>SUM(P57,Q57,R57,S57,T57,U57)</f>
        <v/>
      </c>
      <c r="AC57" s="142">
        <f>AVERAGE(P57,Q57,R57,S57,T57,U57)</f>
        <v/>
      </c>
      <c r="AD57" s="142">
        <f>SUMIF(Summary!B:B,B57,Summary!EB:EB)</f>
        <v/>
      </c>
      <c r="AE57" s="101" t="n">
        <v>18000</v>
      </c>
      <c r="AF57" s="514" t="n"/>
      <c r="AG57" s="24" t="n"/>
      <c r="AH57" s="54" t="inlineStr">
        <is>
          <t>2顆(10/23)</t>
        </is>
      </c>
      <c r="AI57" s="547" t="inlineStr">
        <is>
          <t>2025/4/1站前交機2台</t>
        </is>
      </c>
      <c r="AJ57" s="28" t="n"/>
      <c r="AK57" s="14" t="n"/>
      <c r="AL57" s="29" t="n"/>
    </row>
    <row r="58" ht="15.75" customHeight="1" s="453">
      <c r="A58" s="27" t="inlineStr">
        <is>
          <t>MM2MB040011A</t>
        </is>
      </c>
      <c r="B58" s="14" t="n">
        <v>6170022</v>
      </c>
      <c r="C58" s="133" t="inlineStr">
        <is>
          <t>媚必提直線探頭6.0mm(1條)</t>
        </is>
      </c>
      <c r="D58" s="23" t="n">
        <v>20099</v>
      </c>
      <c r="E58" s="17" t="inlineStr">
        <is>
          <t>SHOT</t>
        </is>
      </c>
      <c r="F58" s="44" t="n"/>
      <c r="G58" s="18">
        <f>(D58*1)+12792</f>
        <v/>
      </c>
      <c r="H58" s="20">
        <f>SUMIFS(領用表!$L:$L,領用表!$E:$E,$B58,領用表!$B:$B,H$2&amp;$P$1)</f>
        <v/>
      </c>
      <c r="I58" s="20">
        <f>SUMIFS(領用表!$L:$L,領用表!$E:$E,$B58,領用表!$B:$B,I$2&amp;$P$1)</f>
        <v/>
      </c>
      <c r="J58" s="20">
        <f>SUMIFS(領用表!$L:$L,領用表!$E:$E,$B58,領用表!$B:$B,J$2&amp;$P$1)</f>
        <v/>
      </c>
      <c r="K58" s="142">
        <f>SUMIFS(領用表!$L:$L,領用表!$E:$E,$B58,領用表!$B:$B,K$2&amp;$P$1)</f>
        <v/>
      </c>
      <c r="L58" s="142">
        <f>SUMIFS(領用表!$L:$L,領用表!$E:$E,$B58,領用表!$B:$B,L$2&amp;$P$1)</f>
        <v/>
      </c>
      <c r="M58" s="142">
        <f>SUMIFS(領用表!$L:$L,領用表!$E:$E,$B58,領用表!$B:$B,M$2&amp;$P$1)</f>
        <v/>
      </c>
      <c r="N58" s="23">
        <f>SUM(,H58,I58,J58,K58,L58,M58)</f>
        <v/>
      </c>
      <c r="O58" s="23">
        <f>AVERAGE(,H58,I58,J58,K58,L58,M58)</f>
        <v/>
      </c>
      <c r="P58" s="142">
        <f>SUMIFS(領用表!$L:$L,領用表!$E:$E,$B58,領用表!$B:$B,P$2&amp;$P$1)</f>
        <v/>
      </c>
      <c r="Q58" s="142">
        <f>SUMIFS(領用表!$L:$L,領用表!$E:$E,$B58,領用表!$B:$B,Q$2&amp;$P$1)</f>
        <v/>
      </c>
      <c r="R58" s="142">
        <f>SUMIFS(領用表!$L:$L,領用表!$E:$E,$B58,領用表!$B:$B,R$2&amp;$P$1)</f>
        <v/>
      </c>
      <c r="S58" s="142">
        <f>SUMIFS(領用表!$L:$L,領用表!$E:$E,$B58,領用表!$B:$B,S$2&amp;$P$1)</f>
        <v/>
      </c>
      <c r="T58" s="142">
        <f>SUMIFS(領用表!$L:$L,領用表!$E:$E,$B58,領用表!$B:$B,T$2&amp;$P$1)</f>
        <v/>
      </c>
      <c r="U58" s="142" t="n">
        <v>1904</v>
      </c>
      <c r="V58" s="142">
        <f>SUMIFS(領用表!$L:$L,領用表!$E:$E,$B58,領用表!$B:$B,V$2&amp;$P$1)</f>
        <v/>
      </c>
      <c r="W58" s="142">
        <f>SUMIFS(領用表!$L:$L,領用表!$E:$E,$B58,領用表!$B:$B,W$2&amp;$P$1)</f>
        <v/>
      </c>
      <c r="X58" s="142">
        <f>SUMIFS(領用表!$L:$L,領用表!$E:$E,$B58,領用表!$B:$B,X$2&amp;$P$1)</f>
        <v/>
      </c>
      <c r="Y58" s="142">
        <f>SUMIFS(領用表!$L:$L,領用表!$E:$E,$B58,領用表!$B:$B,Y$2&amp;$P$1)</f>
        <v/>
      </c>
      <c r="Z58" s="142">
        <f>SUMIFS(領用表!$L:$L,領用表!$E:$E,$B58,領用表!$B:$B,Z$2&amp;$P$1)</f>
        <v/>
      </c>
      <c r="AA58" s="142">
        <f>SUMIFS(領用表!$L:$L,領用表!$E:$E,$B58,領用表!$B:$B,AA$2&amp;$P$1)</f>
        <v/>
      </c>
      <c r="AB58" s="142">
        <f>SUM(P58,Q58,R58,S58,T58,U58)</f>
        <v/>
      </c>
      <c r="AC58" s="142">
        <f>AVERAGE(P58,Q58,R58,S58,T58,U58)</f>
        <v/>
      </c>
      <c r="AD58" s="142">
        <f>SUMIF(Summary!B:B,B58,Summary!EB:EB)</f>
        <v/>
      </c>
      <c r="AE58" s="101" t="n">
        <v>7000</v>
      </c>
      <c r="AF58" s="514" t="n"/>
      <c r="AG58" s="24" t="n"/>
      <c r="AH58" s="53" t="n"/>
      <c r="AI58" s="547" t="inlineStr">
        <is>
          <t>2025/4/1站前交機2台</t>
        </is>
      </c>
      <c r="AJ58" s="28" t="n"/>
      <c r="AK58" s="14" t="n"/>
      <c r="AL58" s="29" t="n"/>
    </row>
    <row r="59" ht="15.75" customHeight="1" s="453">
      <c r="A59" s="27" t="inlineStr">
        <is>
          <t>MM2MB040014A</t>
        </is>
      </c>
      <c r="B59" s="14" t="n">
        <v>6170025</v>
      </c>
      <c r="C59" s="407" t="inlineStr">
        <is>
          <t>媚必提圓周探頭1.5mm(1條)</t>
        </is>
      </c>
      <c r="D59" s="23" t="n">
        <v>20099</v>
      </c>
      <c r="E59" s="17" t="inlineStr">
        <is>
          <t>SHOT</t>
        </is>
      </c>
      <c r="F59" s="18" t="n"/>
      <c r="G59" s="18">
        <f>(D59*0)+19754</f>
        <v/>
      </c>
      <c r="H59" s="20">
        <f>SUMIFS(領用表!$L:$L,領用表!$E:$E,$B59,領用表!$B:$B,H$2&amp;$P$1)</f>
        <v/>
      </c>
      <c r="I59" s="20">
        <f>SUMIFS(領用表!$L:$L,領用表!$E:$E,$B59,領用表!$B:$B,I$2&amp;$P$1)</f>
        <v/>
      </c>
      <c r="J59" s="20">
        <f>SUMIFS(領用表!$L:$L,領用表!$E:$E,$B59,領用表!$B:$B,J$2&amp;$P$1)</f>
        <v/>
      </c>
      <c r="K59" s="142">
        <f>SUMIFS(領用表!$L:$L,領用表!$E:$E,$B59,領用表!$B:$B,K$2&amp;$P$1)</f>
        <v/>
      </c>
      <c r="L59" s="142">
        <f>SUMIFS(領用表!$L:$L,領用表!$E:$E,$B59,領用表!$B:$B,L$2&amp;$P$1)</f>
        <v/>
      </c>
      <c r="M59" s="142">
        <f>SUMIFS(領用表!$L:$L,領用表!$E:$E,$B59,領用表!$B:$B,M$2&amp;$P$1)</f>
        <v/>
      </c>
      <c r="N59" s="23">
        <f>SUM(,H59,I59,J59,K59,L59,M59)</f>
        <v/>
      </c>
      <c r="O59" s="23">
        <f>AVERAGE(,H59,I59,J59,K59,L59,M59)</f>
        <v/>
      </c>
      <c r="P59" s="142">
        <f>SUMIFS(領用表!$L:$L,領用表!$E:$E,$B59,領用表!$B:$B,P$2&amp;$P$1)</f>
        <v/>
      </c>
      <c r="Q59" s="142">
        <f>SUMIFS(領用表!$L:$L,領用表!$E:$E,$B59,領用表!$B:$B,Q$2&amp;$P$1)</f>
        <v/>
      </c>
      <c r="R59" s="142">
        <f>SUMIFS(領用表!$L:$L,領用表!$E:$E,$B59,領用表!$B:$B,R$2&amp;$P$1)</f>
        <v/>
      </c>
      <c r="S59" s="142">
        <f>SUMIFS(領用表!$L:$L,領用表!$E:$E,$B59,領用表!$B:$B,S$2&amp;$P$1)</f>
        <v/>
      </c>
      <c r="T59" s="142">
        <f>SUMIFS(領用表!$L:$L,領用表!$E:$E,$B59,領用表!$B:$B,T$2&amp;$P$1)</f>
        <v/>
      </c>
      <c r="U59" s="142" t="n">
        <v>300</v>
      </c>
      <c r="V59" s="142">
        <f>SUMIFS(領用表!$L:$L,領用表!$E:$E,$B59,領用表!$B:$B,V$2&amp;$P$1)</f>
        <v/>
      </c>
      <c r="W59" s="142">
        <f>SUMIFS(領用表!$L:$L,領用表!$E:$E,$B59,領用表!$B:$B,W$2&amp;$P$1)</f>
        <v/>
      </c>
      <c r="X59" s="142">
        <f>SUMIFS(領用表!$L:$L,領用表!$E:$E,$B59,領用表!$B:$B,X$2&amp;$P$1)</f>
        <v/>
      </c>
      <c r="Y59" s="142">
        <f>SUMIFS(領用表!$L:$L,領用表!$E:$E,$B59,領用表!$B:$B,Y$2&amp;$P$1)</f>
        <v/>
      </c>
      <c r="Z59" s="142">
        <f>SUMIFS(領用表!$L:$L,領用表!$E:$E,$B59,領用表!$B:$B,Z$2&amp;$P$1)</f>
        <v/>
      </c>
      <c r="AA59" s="142">
        <f>SUMIFS(領用表!$L:$L,領用表!$E:$E,$B59,領用表!$B:$B,AA$2&amp;$P$1)</f>
        <v/>
      </c>
      <c r="AB59" s="142">
        <f>SUM(P59,Q59,R59,S59,T59,U59)</f>
        <v/>
      </c>
      <c r="AC59" s="142">
        <f>AVERAGE(P59,Q59,R59,S59,T59,U59)</f>
        <v/>
      </c>
      <c r="AD59" s="142">
        <f>SUMIF(Summary!B:B,B59,Summary!EB:EB)</f>
        <v/>
      </c>
      <c r="AE59" s="101" t="n">
        <v>180</v>
      </c>
      <c r="AF59" s="515" t="n"/>
      <c r="AG59" s="24" t="n"/>
      <c r="AH59" s="54" t="n"/>
      <c r="AI59" s="547" t="inlineStr">
        <is>
          <t>2025/4/1站前交機2台</t>
        </is>
      </c>
      <c r="AJ59" s="28" t="n"/>
      <c r="AK59" s="14" t="n"/>
      <c r="AL59" s="29" t="n"/>
    </row>
    <row r="60" hidden="1" ht="15.75" customHeight="1" s="453">
      <c r="A60" s="27" t="inlineStr">
        <is>
          <t>MM2MB040001A</t>
        </is>
      </c>
      <c r="B60" s="14" t="e">
        <v>#N/A</v>
      </c>
      <c r="C60" s="133" t="inlineStr">
        <is>
          <t>立特拉渦旋音波探頭3.0mm(1條)_一代機</t>
        </is>
      </c>
      <c r="D60" s="40" t="n">
        <v>150000</v>
      </c>
      <c r="E60" s="59" t="inlineStr">
        <is>
          <t>SHOT</t>
        </is>
      </c>
      <c r="F60" s="60" t="n"/>
      <c r="G60" s="18">
        <f>(D60*0)</f>
        <v/>
      </c>
      <c r="H60" s="39">
        <f>SUMIFS(領用表!$L:$L,領用表!$E:$E,$B60,領用表!$B:$B,H$2&amp;$P$1)</f>
        <v/>
      </c>
      <c r="I60" s="39">
        <f>SUMIFS(領用表!$L:$L,領用表!$E:$E,$B60,領用表!$B:$B,I$2&amp;$P$1)</f>
        <v/>
      </c>
      <c r="J60" s="39">
        <f>SUMIFS(領用表!$L:$L,領用表!$E:$E,$B60,領用表!$B:$B,J$2&amp;$P$1)</f>
        <v/>
      </c>
      <c r="K60" s="142">
        <f>SUMIFS(領用表!$L:$L,領用表!$E:$E,$B60,領用表!$B:$B,K$2&amp;$P$1)</f>
        <v/>
      </c>
      <c r="L60" s="142">
        <f>SUMIFS(領用表!$L:$L,領用表!$E:$E,$B60,領用表!$B:$B,L$2&amp;$P$1)</f>
        <v/>
      </c>
      <c r="M60" s="142">
        <f>SUMIFS(領用表!$L:$L,領用表!$E:$E,$B60,領用表!$B:$B,M$2&amp;$P$1)</f>
        <v/>
      </c>
      <c r="N60" s="42">
        <f>SUM(,H60,I60,J60,K60,L60,M60)</f>
        <v/>
      </c>
      <c r="O60" s="42">
        <f>AVERAGE(,H60,I60,J60,K60,L60,M60)</f>
        <v/>
      </c>
      <c r="P60" s="142">
        <f>SUMIFS(領用表!$L:$L,領用表!$E:$E,$B60,領用表!$B:$B,P$2&amp;$P$1)</f>
        <v/>
      </c>
      <c r="Q60" s="142">
        <f>SUMIFS(領用表!$L:$L,領用表!$E:$E,$B60,領用表!$B:$B,Q$2&amp;$P$1)</f>
        <v/>
      </c>
      <c r="R60" s="142">
        <f>SUMIFS(領用表!$L:$L,領用表!$E:$E,$B60,領用表!$B:$B,R$2&amp;$P$1)</f>
        <v/>
      </c>
      <c r="S60" s="142">
        <f>SUMIFS(領用表!$L:$L,領用表!$E:$E,$B60,領用表!$B:$B,S$2&amp;$P$1)</f>
        <v/>
      </c>
      <c r="T60" s="142">
        <f>SUMIFS(領用表!$L:$L,領用表!$E:$E,$B60,領用表!$B:$B,T$2&amp;$P$1)</f>
        <v/>
      </c>
      <c r="U60" s="142">
        <f>SUMIFS(領用表!$L:$L,領用表!$E:$E,$B60,領用表!$B:$B,U$2&amp;$P$1)</f>
        <v/>
      </c>
      <c r="V60" s="142">
        <f>SUMIFS(領用表!$L:$L,領用表!$E:$E,$B60,領用表!$B:$B,V$2&amp;$P$1)</f>
        <v/>
      </c>
      <c r="W60" s="142">
        <f>SUMIFS(領用表!$L:$L,領用表!$E:$E,$B60,領用表!$B:$B,W$2&amp;$P$1)</f>
        <v/>
      </c>
      <c r="X60" s="142">
        <f>SUMIFS(領用表!$L:$L,領用表!$E:$E,$B60,領用表!$B:$B,X$2&amp;$P$1)</f>
        <v/>
      </c>
      <c r="Y60" s="142">
        <f>SUMIFS(領用表!$L:$L,領用表!$E:$E,$B60,領用表!$B:$B,Y$2&amp;$P$1)</f>
        <v/>
      </c>
      <c r="Z60" s="142">
        <f>SUMIFS(領用表!$L:$L,領用表!$E:$E,$B60,領用表!$B:$B,Z$2&amp;$P$1)</f>
        <v/>
      </c>
      <c r="AA60" s="142">
        <f>SUMIFS(領用表!$L:$L,領用表!$E:$E,$B60,領用表!$B:$B,AA$2&amp;$P$1)</f>
        <v/>
      </c>
      <c r="AB60" s="142">
        <f>SUM(P60,Q60,R60,S60,T60,U60)</f>
        <v/>
      </c>
      <c r="AC60" s="142">
        <f>AVERAGE(P60,Q60,R60,S60,T60,U60)</f>
        <v/>
      </c>
      <c r="AD60" s="142">
        <f>SUMIF(Summary!B:B,B60,Summary!EB:EB)</f>
        <v/>
      </c>
      <c r="AE60" s="106" t="n"/>
      <c r="AF60" s="61" t="n"/>
      <c r="AG60" s="40" t="n"/>
      <c r="AH60" s="40" t="n"/>
      <c r="AI60" s="548" t="inlineStr">
        <is>
          <t>2025/5/22站前收回2台</t>
        </is>
      </c>
      <c r="AJ60" s="62" t="n"/>
      <c r="AK60" s="14" t="n"/>
      <c r="AL60" s="29" t="n"/>
    </row>
    <row r="61" hidden="1" ht="15.75" customHeight="1" s="453">
      <c r="A61" s="27" t="inlineStr">
        <is>
          <t>MM2MB040002A</t>
        </is>
      </c>
      <c r="B61" s="14" t="e">
        <v>#N/A</v>
      </c>
      <c r="C61" s="133" t="inlineStr">
        <is>
          <t>立特拉渦旋音波探頭4.5mm(1條)_一代機</t>
        </is>
      </c>
      <c r="D61" s="40" t="n">
        <v>150000</v>
      </c>
      <c r="E61" s="59" t="inlineStr">
        <is>
          <t>SHOT</t>
        </is>
      </c>
      <c r="F61" s="60" t="n"/>
      <c r="G61" s="18">
        <f>(D61*0)</f>
        <v/>
      </c>
      <c r="H61" s="39">
        <f>SUMIFS(領用表!$L:$L,領用表!$E:$E,$B61,領用表!$B:$B,H$2&amp;$P$1)</f>
        <v/>
      </c>
      <c r="I61" s="39">
        <f>SUMIFS(領用表!$L:$L,領用表!$E:$E,$B61,領用表!$B:$B,I$2&amp;$P$1)</f>
        <v/>
      </c>
      <c r="J61" s="39">
        <f>SUMIFS(領用表!$L:$L,領用表!$E:$E,$B61,領用表!$B:$B,J$2&amp;$P$1)</f>
        <v/>
      </c>
      <c r="K61" s="142">
        <f>SUMIFS(領用表!$L:$L,領用表!$E:$E,$B61,領用表!$B:$B,K$2&amp;$P$1)</f>
        <v/>
      </c>
      <c r="L61" s="142">
        <f>SUMIFS(領用表!$L:$L,領用表!$E:$E,$B61,領用表!$B:$B,L$2&amp;$P$1)</f>
        <v/>
      </c>
      <c r="M61" s="142">
        <f>SUMIFS(領用表!$L:$L,領用表!$E:$E,$B61,領用表!$B:$B,M$2&amp;$P$1)</f>
        <v/>
      </c>
      <c r="N61" s="42">
        <f>SUM(,H61,I61,J61,K61,L61,M61)</f>
        <v/>
      </c>
      <c r="O61" s="42">
        <f>AVERAGE(,H61,I61,J61,K61,L61,M61)</f>
        <v/>
      </c>
      <c r="P61" s="142">
        <f>SUMIFS(領用表!$L:$L,領用表!$E:$E,$B61,領用表!$B:$B,P$2&amp;$P$1)</f>
        <v/>
      </c>
      <c r="Q61" s="142">
        <f>SUMIFS(領用表!$L:$L,領用表!$E:$E,$B61,領用表!$B:$B,Q$2&amp;$P$1)</f>
        <v/>
      </c>
      <c r="R61" s="142">
        <f>SUMIFS(領用表!$L:$L,領用表!$E:$E,$B61,領用表!$B:$B,R$2&amp;$P$1)</f>
        <v/>
      </c>
      <c r="S61" s="142">
        <f>SUMIFS(領用表!$L:$L,領用表!$E:$E,$B61,領用表!$B:$B,S$2&amp;$P$1)</f>
        <v/>
      </c>
      <c r="T61" s="142">
        <f>SUMIFS(領用表!$L:$L,領用表!$E:$E,$B61,領用表!$B:$B,T$2&amp;$P$1)</f>
        <v/>
      </c>
      <c r="U61" s="142">
        <f>SUMIFS(領用表!$L:$L,領用表!$E:$E,$B61,領用表!$B:$B,U$2&amp;$P$1)</f>
        <v/>
      </c>
      <c r="V61" s="142">
        <f>SUMIFS(領用表!$L:$L,領用表!$E:$E,$B61,領用表!$B:$B,V$2&amp;$P$1)</f>
        <v/>
      </c>
      <c r="W61" s="142">
        <f>SUMIFS(領用表!$L:$L,領用表!$E:$E,$B61,領用表!$B:$B,W$2&amp;$P$1)</f>
        <v/>
      </c>
      <c r="X61" s="142">
        <f>SUMIFS(領用表!$L:$L,領用表!$E:$E,$B61,領用表!$B:$B,X$2&amp;$P$1)</f>
        <v/>
      </c>
      <c r="Y61" s="142">
        <f>SUMIFS(領用表!$L:$L,領用表!$E:$E,$B61,領用表!$B:$B,Y$2&amp;$P$1)</f>
        <v/>
      </c>
      <c r="Z61" s="142">
        <f>SUMIFS(領用表!$L:$L,領用表!$E:$E,$B61,領用表!$B:$B,Z$2&amp;$P$1)</f>
        <v/>
      </c>
      <c r="AA61" s="142">
        <f>SUMIFS(領用表!$L:$L,領用表!$E:$E,$B61,領用表!$B:$B,AA$2&amp;$P$1)</f>
        <v/>
      </c>
      <c r="AB61" s="142">
        <f>SUM(P61,Q61,R61,S61,T61,U61)</f>
        <v/>
      </c>
      <c r="AC61" s="142">
        <f>AVERAGE(P61,Q61,R61,S61,T61,U61)</f>
        <v/>
      </c>
      <c r="AD61" s="142">
        <f>SUMIF(Summary!B:B,B61,Summary!EB:EB)</f>
        <v/>
      </c>
      <c r="AE61" s="106" t="n"/>
      <c r="AF61" s="61" t="n"/>
      <c r="AG61" s="40" t="n"/>
      <c r="AH61" s="40" t="n"/>
      <c r="AI61" s="548" t="inlineStr">
        <is>
          <t>2025/5/22站前收回2台</t>
        </is>
      </c>
      <c r="AJ61" s="62" t="n"/>
      <c r="AK61" s="14" t="n"/>
      <c r="AL61" s="29" t="n"/>
    </row>
    <row r="62" ht="15.75" customHeight="1" s="453">
      <c r="A62" s="27" t="inlineStr">
        <is>
          <t>MM2MB040018A</t>
        </is>
      </c>
      <c r="B62" s="14" t="n">
        <v>6170032</v>
      </c>
      <c r="C62" s="133" t="inlineStr">
        <is>
          <t>立特拉A2筆型探頭3.0mm(1發)</t>
        </is>
      </c>
      <c r="D62" s="23" t="n">
        <v>240500</v>
      </c>
      <c r="E62" s="63" t="inlineStr">
        <is>
          <t>SHOT</t>
        </is>
      </c>
      <c r="F62" s="44" t="n"/>
      <c r="G62" s="18">
        <f>(D62*0)+48998+237000</f>
        <v/>
      </c>
      <c r="H62" s="20">
        <f>SUMIFS(領用表!$L:$L,領用表!$E:$E,$B62,領用表!$B:$B,H$2&amp;$P$1)</f>
        <v/>
      </c>
      <c r="I62" s="20">
        <f>SUMIFS(領用表!$L:$L,領用表!$E:$E,$B62,領用表!$B:$B,I$2&amp;$P$1)</f>
        <v/>
      </c>
      <c r="J62" s="20">
        <f>SUMIFS(領用表!$L:$L,領用表!$E:$E,$B62,領用表!$B:$B,J$2&amp;$P$1)</f>
        <v/>
      </c>
      <c r="K62" s="142">
        <f>SUMIFS(領用表!$L:$L,領用表!$E:$E,$B62,領用表!$B:$B,K$2&amp;$P$1)</f>
        <v/>
      </c>
      <c r="L62" s="142">
        <f>SUMIFS(領用表!$L:$L,領用表!$E:$E,$B62,領用表!$B:$B,L$2&amp;$P$1)</f>
        <v/>
      </c>
      <c r="M62" s="142">
        <f>SUMIFS(領用表!$L:$L,領用表!$E:$E,$B62,領用表!$B:$B,M$2&amp;$P$1)</f>
        <v/>
      </c>
      <c r="N62" s="23">
        <f>SUM(,H62,I62,J62,K62,L62,M62)</f>
        <v/>
      </c>
      <c r="O62" s="23">
        <f>AVERAGE(,H62,I62,J62,K62,L62,M62)</f>
        <v/>
      </c>
      <c r="P62" s="142">
        <f>SUMIFS(領用表!$L:$L,領用表!$E:$E,$B62,領用表!$B:$B,P$2&amp;$P$1)</f>
        <v/>
      </c>
      <c r="Q62" s="142">
        <f>SUMIFS(領用表!$L:$L,領用表!$E:$E,$B62,領用表!$B:$B,Q$2&amp;$P$1)</f>
        <v/>
      </c>
      <c r="R62" s="142">
        <f>SUMIFS(領用表!$L:$L,領用表!$E:$E,$B62,領用表!$B:$B,R$2&amp;$P$1)</f>
        <v/>
      </c>
      <c r="S62" s="142">
        <f>SUMIFS(領用表!$L:$L,領用表!$E:$E,$B62,領用表!$B:$B,S$2&amp;$P$1)</f>
        <v/>
      </c>
      <c r="T62" s="142">
        <f>SUMIFS(領用表!$L:$L,領用表!$E:$E,$B62,領用表!$B:$B,T$2&amp;$P$1)</f>
        <v/>
      </c>
      <c r="U62" s="142" t="n">
        <v>32000</v>
      </c>
      <c r="V62" s="142">
        <f>SUMIFS(領用表!$L:$L,領用表!$E:$E,$B62,領用表!$B:$B,V$2&amp;$P$1)</f>
        <v/>
      </c>
      <c r="W62" s="142">
        <f>SUMIFS(領用表!$L:$L,領用表!$E:$E,$B62,領用表!$B:$B,W$2&amp;$P$1)</f>
        <v/>
      </c>
      <c r="X62" s="142">
        <f>SUMIFS(領用表!$L:$L,領用表!$E:$E,$B62,領用表!$B:$B,X$2&amp;$P$1)</f>
        <v/>
      </c>
      <c r="Y62" s="142">
        <f>SUMIFS(領用表!$L:$L,領用表!$E:$E,$B62,領用表!$B:$B,Y$2&amp;$P$1)</f>
        <v/>
      </c>
      <c r="Z62" s="142">
        <f>SUMIFS(領用表!$L:$L,領用表!$E:$E,$B62,領用表!$B:$B,Z$2&amp;$P$1)</f>
        <v/>
      </c>
      <c r="AA62" s="142">
        <f>SUMIFS(領用表!$L:$L,領用表!$E:$E,$B62,領用表!$B:$B,AA$2&amp;$P$1)</f>
        <v/>
      </c>
      <c r="AB62" s="142">
        <f>SUM(P62,Q62,R62,S62,T62,U62)</f>
        <v/>
      </c>
      <c r="AC62" s="142">
        <f>AVERAGE(P62,Q62,R62,S62,T62,U62)</f>
        <v/>
      </c>
      <c r="AD62" s="142">
        <f>SUMIF(Summary!B:B,B62,Summary!EB:EB)</f>
        <v/>
      </c>
      <c r="AE62" s="101" t="n">
        <v>200000</v>
      </c>
      <c r="AF62" s="549" t="n">
        <v>3455980</v>
      </c>
      <c r="AG62" s="54" t="inlineStr">
        <is>
          <t>3顆(10/20)</t>
        </is>
      </c>
      <c r="AH62" s="54" t="inlineStr">
        <is>
          <t>2顆(10/20)</t>
        </is>
      </c>
      <c r="AI62" s="547" t="inlineStr">
        <is>
          <t>2025/5/22站前交機2台</t>
        </is>
      </c>
      <c r="AJ62" s="27" t="n"/>
      <c r="AK62" s="14" t="n"/>
      <c r="AL62" s="29" t="n"/>
    </row>
    <row r="63" ht="15.75" customHeight="1" s="453">
      <c r="A63" s="27" t="inlineStr">
        <is>
          <t>MM2MB040019A</t>
        </is>
      </c>
      <c r="B63" s="14" t="n">
        <v>6170033</v>
      </c>
      <c r="C63" s="133" t="inlineStr">
        <is>
          <t>立特拉A2筆型探頭4.5mm(1發)</t>
        </is>
      </c>
      <c r="D63" s="23" t="n">
        <v>240500</v>
      </c>
      <c r="E63" s="63" t="inlineStr">
        <is>
          <t>SHOT</t>
        </is>
      </c>
      <c r="F63" s="44" t="n"/>
      <c r="G63" s="18">
        <f>(D63*3)+135472</f>
        <v/>
      </c>
      <c r="H63" s="20">
        <f>SUMIFS(領用表!$L:$L,領用表!$E:$E,$B63,領用表!$B:$B,H$2&amp;$P$1)</f>
        <v/>
      </c>
      <c r="I63" s="20">
        <f>SUMIFS(領用表!$L:$L,領用表!$E:$E,$B63,領用表!$B:$B,I$2&amp;$P$1)</f>
        <v/>
      </c>
      <c r="J63" s="20">
        <f>SUMIFS(領用表!$L:$L,領用表!$E:$E,$B63,領用表!$B:$B,J$2&amp;$P$1)</f>
        <v/>
      </c>
      <c r="K63" s="142">
        <f>SUMIFS(領用表!$L:$L,領用表!$E:$E,$B63,領用表!$B:$B,K$2&amp;$P$1)</f>
        <v/>
      </c>
      <c r="L63" s="142">
        <f>SUMIFS(領用表!$L:$L,領用表!$E:$E,$B63,領用表!$B:$B,L$2&amp;$P$1)</f>
        <v/>
      </c>
      <c r="M63" s="142">
        <f>SUMIFS(領用表!$L:$L,領用表!$E:$E,$B63,領用表!$B:$B,M$2&amp;$P$1)</f>
        <v/>
      </c>
      <c r="N63" s="23">
        <f>SUM(,H63,I63,J63,K63,L63,M63)</f>
        <v/>
      </c>
      <c r="O63" s="23">
        <f>AVERAGE(,H63,I63,J63,K63,L63,M63)</f>
        <v/>
      </c>
      <c r="P63" s="142">
        <f>SUMIFS(領用表!$L:$L,領用表!$E:$E,$B63,領用表!$B:$B,P$2&amp;$P$1)</f>
        <v/>
      </c>
      <c r="Q63" s="142">
        <f>SUMIFS(領用表!$L:$L,領用表!$E:$E,$B63,領用表!$B:$B,Q$2&amp;$P$1)</f>
        <v/>
      </c>
      <c r="R63" s="142">
        <f>SUMIFS(領用表!$L:$L,領用表!$E:$E,$B63,領用表!$B:$B,R$2&amp;$P$1)</f>
        <v/>
      </c>
      <c r="S63" s="142">
        <f>SUMIFS(領用表!$L:$L,領用表!$E:$E,$B63,領用表!$B:$B,S$2&amp;$P$1)</f>
        <v/>
      </c>
      <c r="T63" s="142">
        <f>SUMIFS(領用表!$L:$L,領用表!$E:$E,$B63,領用表!$B:$B,T$2&amp;$P$1)</f>
        <v/>
      </c>
      <c r="U63" s="142" t="n">
        <v>11500</v>
      </c>
      <c r="V63" s="142">
        <f>SUMIFS(領用表!$L:$L,領用表!$E:$E,$B63,領用表!$B:$B,V$2&amp;$P$1)</f>
        <v/>
      </c>
      <c r="W63" s="142">
        <f>SUMIFS(領用表!$L:$L,領用表!$E:$E,$B63,領用表!$B:$B,W$2&amp;$P$1)</f>
        <v/>
      </c>
      <c r="X63" s="142">
        <f>SUMIFS(領用表!$L:$L,領用表!$E:$E,$B63,領用表!$B:$B,X$2&amp;$P$1)</f>
        <v/>
      </c>
      <c r="Y63" s="142">
        <f>SUMIFS(領用表!$L:$L,領用表!$E:$E,$B63,領用表!$B:$B,Y$2&amp;$P$1)</f>
        <v/>
      </c>
      <c r="Z63" s="142">
        <f>SUMIFS(領用表!$L:$L,領用表!$E:$E,$B63,領用表!$B:$B,Z$2&amp;$P$1)</f>
        <v/>
      </c>
      <c r="AA63" s="142">
        <f>SUMIFS(領用表!$L:$L,領用表!$E:$E,$B63,領用表!$B:$B,AA$2&amp;$P$1)</f>
        <v/>
      </c>
      <c r="AB63" s="142">
        <f>SUM(P63,Q63,R63,S63,T63,U63)</f>
        <v/>
      </c>
      <c r="AC63" s="142">
        <f>AVERAGE(P63,Q63,R63,S63,T63,U63)</f>
        <v/>
      </c>
      <c r="AD63" s="142">
        <f>SUMIF(Summary!B:B,B63,Summary!EB:EB)</f>
        <v/>
      </c>
      <c r="AE63" s="101" t="n">
        <v>110000</v>
      </c>
      <c r="AF63" s="515" t="n"/>
      <c r="AG63" s="54" t="inlineStr">
        <is>
          <t>1顆(10/20)</t>
        </is>
      </c>
      <c r="AH63" s="54" t="inlineStr">
        <is>
          <t>2顆(10/20)</t>
        </is>
      </c>
      <c r="AI63" s="547" t="inlineStr">
        <is>
          <t>2025/5/22站前交機2台</t>
        </is>
      </c>
      <c r="AJ63" s="27" t="n"/>
      <c r="AK63" s="14" t="n"/>
      <c r="AL63" s="29" t="n"/>
    </row>
    <row r="64" ht="15.75" customHeight="1" s="453">
      <c r="A64" s="27" t="inlineStr">
        <is>
          <t>MM2MD070001A</t>
        </is>
      </c>
      <c r="B64" s="14" t="n">
        <v>6220005</v>
      </c>
      <c r="C64" s="118" t="inlineStr">
        <is>
          <t>海菲秀深藍端頭(1入)</t>
        </is>
      </c>
      <c r="D64" s="23" t="n">
        <v>15</v>
      </c>
      <c r="E64" s="17" t="inlineStr">
        <is>
          <t>PCS</t>
        </is>
      </c>
      <c r="F64" s="18" t="n"/>
      <c r="G64" s="18" t="n">
        <v>205</v>
      </c>
      <c r="H64" s="20">
        <f>SUMIFS(領用表!$L:$L,領用表!$E:$E,$B64,領用表!$B:$B,H$2&amp;$P$1)</f>
        <v/>
      </c>
      <c r="I64" s="20">
        <f>SUMIFS(領用表!$L:$L,領用表!$E:$E,$B64,領用表!$B:$B,I$2&amp;$P$1)</f>
        <v/>
      </c>
      <c r="J64" s="20">
        <f>SUMIFS(領用表!$L:$L,領用表!$E:$E,$B64,領用表!$B:$B,J$2&amp;$P$1)</f>
        <v/>
      </c>
      <c r="K64" s="142">
        <f>SUMIFS(領用表!$L:$L,領用表!$E:$E,$B64,領用表!$B:$B,K$2&amp;$P$1)</f>
        <v/>
      </c>
      <c r="L64" s="142">
        <f>SUMIFS(領用表!$L:$L,領用表!$E:$E,$B64,領用表!$B:$B,L$2&amp;$P$1)</f>
        <v/>
      </c>
      <c r="M64" s="142">
        <f>SUMIFS(領用表!$L:$L,領用表!$E:$E,$B64,領用表!$B:$B,M$2&amp;$P$1)</f>
        <v/>
      </c>
      <c r="N64" s="23">
        <f>SUM(,H64,I64,J64,K64,L64,M64)</f>
        <v/>
      </c>
      <c r="O64" s="23">
        <f>AVERAGE(,H64,I64,J64,K64,L64,M64)</f>
        <v/>
      </c>
      <c r="P64" s="142">
        <f>SUMIFS(領用表!$L:$L,領用表!$E:$E,$B64,領用表!$B:$B,P$2&amp;$P$1)</f>
        <v/>
      </c>
      <c r="Q64" s="142">
        <f>SUMIFS(領用表!$L:$L,領用表!$E:$E,$B64,領用表!$B:$B,Q$2&amp;$P$1)</f>
        <v/>
      </c>
      <c r="R64" s="142">
        <f>SUMIFS(領用表!$L:$L,領用表!$E:$E,$B64,領用表!$B:$B,R$2&amp;$P$1)</f>
        <v/>
      </c>
      <c r="S64" s="142">
        <f>SUMIFS(領用表!$L:$L,領用表!$E:$E,$B64,領用表!$B:$B,S$2&amp;$P$1)</f>
        <v/>
      </c>
      <c r="T64" s="142">
        <f>SUMIFS(領用表!$L:$L,領用表!$E:$E,$B64,領用表!$B:$B,T$2&amp;$P$1)</f>
        <v/>
      </c>
      <c r="U64" s="142" t="n">
        <v>99</v>
      </c>
      <c r="V64" s="142">
        <f>SUMIFS(領用表!$L:$L,領用表!$E:$E,$B64,領用表!$B:$B,V$2&amp;$P$1)</f>
        <v/>
      </c>
      <c r="W64" s="142">
        <f>SUMIFS(領用表!$L:$L,領用表!$E:$E,$B64,領用表!$B:$B,W$2&amp;$P$1)</f>
        <v/>
      </c>
      <c r="X64" s="142">
        <f>SUMIFS(領用表!$L:$L,領用表!$E:$E,$B64,領用表!$B:$B,X$2&amp;$P$1)</f>
        <v/>
      </c>
      <c r="Y64" s="142">
        <f>SUMIFS(領用表!$L:$L,領用表!$E:$E,$B64,領用表!$B:$B,Y$2&amp;$P$1)</f>
        <v/>
      </c>
      <c r="Z64" s="142">
        <f>SUMIFS(領用表!$L:$L,領用表!$E:$E,$B64,領用表!$B:$B,Z$2&amp;$P$1)</f>
        <v/>
      </c>
      <c r="AA64" s="142">
        <f>SUMIFS(領用表!$L:$L,領用表!$E:$E,$B64,領用表!$B:$B,AA$2&amp;$P$1)</f>
        <v/>
      </c>
      <c r="AB64" s="142">
        <f>SUM(P64,Q64,R64,S64,T64,U64)</f>
        <v/>
      </c>
      <c r="AC64" s="142">
        <f>AVERAGE(P64,Q64,R64,S64,T64,U64)</f>
        <v/>
      </c>
      <c r="AD64" s="142">
        <f>SUMIF(Summary!B:B,B64,Summary!EB:EB)</f>
        <v/>
      </c>
      <c r="AE64" s="101" t="n">
        <v>580</v>
      </c>
      <c r="AF64" s="550" t="n"/>
      <c r="AG64" s="54" t="inlineStr">
        <is>
          <t>825(10/23)</t>
        </is>
      </c>
      <c r="AH64" s="54" t="inlineStr">
        <is>
          <t>750(10/23)</t>
        </is>
      </c>
      <c r="AI64" s="27" t="n"/>
      <c r="AJ64" s="27" t="n"/>
      <c r="AK64" s="14" t="n"/>
      <c r="AL64" s="29" t="n"/>
    </row>
    <row r="65" ht="15.75" customHeight="1" s="453">
      <c r="A65" s="27" t="inlineStr">
        <is>
          <t>MM2MD070002A</t>
        </is>
      </c>
      <c r="B65" s="14" t="n">
        <v>6220006</v>
      </c>
      <c r="C65" s="118" t="inlineStr">
        <is>
          <t>海菲秀淺藍端頭(1入)</t>
        </is>
      </c>
      <c r="D65" s="23" t="n">
        <v>15</v>
      </c>
      <c r="E65" s="17" t="inlineStr">
        <is>
          <t>PCS</t>
        </is>
      </c>
      <c r="F65" s="18" t="n"/>
      <c r="G65" s="18" t="n">
        <v>205</v>
      </c>
      <c r="H65" s="20">
        <f>SUMIFS(領用表!$L:$L,領用表!$E:$E,$B65,領用表!$B:$B,H$2&amp;$P$1)</f>
        <v/>
      </c>
      <c r="I65" s="20">
        <f>SUMIFS(領用表!$L:$L,領用表!$E:$E,$B65,領用表!$B:$B,I$2&amp;$P$1)</f>
        <v/>
      </c>
      <c r="J65" s="20">
        <f>SUMIFS(領用表!$L:$L,領用表!$E:$E,$B65,領用表!$B:$B,J$2&amp;$P$1)</f>
        <v/>
      </c>
      <c r="K65" s="142">
        <f>SUMIFS(領用表!$L:$L,領用表!$E:$E,$B65,領用表!$B:$B,K$2&amp;$P$1)</f>
        <v/>
      </c>
      <c r="L65" s="142">
        <f>SUMIFS(領用表!$L:$L,領用表!$E:$E,$B65,領用表!$B:$B,L$2&amp;$P$1)</f>
        <v/>
      </c>
      <c r="M65" s="142">
        <f>SUMIFS(領用表!$L:$L,領用表!$E:$E,$B65,領用表!$B:$B,M$2&amp;$P$1)</f>
        <v/>
      </c>
      <c r="N65" s="23">
        <f>SUM(,H65,I65,J65,K65,L65,M65)</f>
        <v/>
      </c>
      <c r="O65" s="23">
        <f>AVERAGE(,H65,I65,J65,K65,L65,M65)</f>
        <v/>
      </c>
      <c r="P65" s="142">
        <f>SUMIFS(領用表!$L:$L,領用表!$E:$E,$B65,領用表!$B:$B,P$2&amp;$P$1)</f>
        <v/>
      </c>
      <c r="Q65" s="142">
        <f>SUMIFS(領用表!$L:$L,領用表!$E:$E,$B65,領用表!$B:$B,Q$2&amp;$P$1)</f>
        <v/>
      </c>
      <c r="R65" s="142">
        <f>SUMIFS(領用表!$L:$L,領用表!$E:$E,$B65,領用表!$B:$B,R$2&amp;$P$1)</f>
        <v/>
      </c>
      <c r="S65" s="142">
        <f>SUMIFS(領用表!$L:$L,領用表!$E:$E,$B65,領用表!$B:$B,S$2&amp;$P$1)</f>
        <v/>
      </c>
      <c r="T65" s="142">
        <f>SUMIFS(領用表!$L:$L,領用表!$E:$E,$B65,領用表!$B:$B,T$2&amp;$P$1)</f>
        <v/>
      </c>
      <c r="U65" s="142" t="n">
        <v>99</v>
      </c>
      <c r="V65" s="142">
        <f>SUMIFS(領用表!$L:$L,領用表!$E:$E,$B65,領用表!$B:$B,V$2&amp;$P$1)</f>
        <v/>
      </c>
      <c r="W65" s="142">
        <f>SUMIFS(領用表!$L:$L,領用表!$E:$E,$B65,領用表!$B:$B,W$2&amp;$P$1)</f>
        <v/>
      </c>
      <c r="X65" s="142">
        <f>SUMIFS(領用表!$L:$L,領用表!$E:$E,$B65,領用表!$B:$B,X$2&amp;$P$1)</f>
        <v/>
      </c>
      <c r="Y65" s="142">
        <f>SUMIFS(領用表!$L:$L,領用表!$E:$E,$B65,領用表!$B:$B,Y$2&amp;$P$1)</f>
        <v/>
      </c>
      <c r="Z65" s="142">
        <f>SUMIFS(領用表!$L:$L,領用表!$E:$E,$B65,領用表!$B:$B,Z$2&amp;$P$1)</f>
        <v/>
      </c>
      <c r="AA65" s="142">
        <f>SUMIFS(領用表!$L:$L,領用表!$E:$E,$B65,領用表!$B:$B,AA$2&amp;$P$1)</f>
        <v/>
      </c>
      <c r="AB65" s="142">
        <f>SUM(P65,Q65,R65,S65,T65,U65)</f>
        <v/>
      </c>
      <c r="AC65" s="142">
        <f>AVERAGE(P65,Q65,R65,S65,T65,U65)</f>
        <v/>
      </c>
      <c r="AD65" s="142">
        <f>SUMIF(Summary!B:B,B65,Summary!EB:EB)</f>
        <v/>
      </c>
      <c r="AE65" s="101" t="n">
        <v>580</v>
      </c>
      <c r="AF65" s="514" t="n"/>
      <c r="AG65" s="54" t="inlineStr">
        <is>
          <t>825(10/23)</t>
        </is>
      </c>
      <c r="AH65" s="54" t="inlineStr">
        <is>
          <t>750(10/23)</t>
        </is>
      </c>
      <c r="AI65" s="27" t="n"/>
      <c r="AJ65" s="27" t="n"/>
      <c r="AK65" s="14" t="n"/>
      <c r="AL65" s="29" t="n"/>
    </row>
    <row r="66" ht="15.75" customHeight="1" s="453">
      <c r="A66" s="27" t="inlineStr">
        <is>
          <t>MM2MD070003A</t>
        </is>
      </c>
      <c r="B66" s="14" t="n">
        <v>6220007</v>
      </c>
      <c r="C66" s="118" t="inlineStr">
        <is>
          <t>海菲秀透明端頭(1入)</t>
        </is>
      </c>
      <c r="D66" s="23" t="n">
        <v>15</v>
      </c>
      <c r="E66" s="17" t="inlineStr">
        <is>
          <t>PCS</t>
        </is>
      </c>
      <c r="F66" s="18" t="n"/>
      <c r="G66" s="18" t="n">
        <v>205</v>
      </c>
      <c r="H66" s="20">
        <f>SUMIFS(領用表!$L:$L,領用表!$E:$E,$B66,領用表!$B:$B,H$2&amp;$P$1)</f>
        <v/>
      </c>
      <c r="I66" s="20">
        <f>SUMIFS(領用表!$L:$L,領用表!$E:$E,$B66,領用表!$B:$B,I$2&amp;$P$1)</f>
        <v/>
      </c>
      <c r="J66" s="20">
        <f>SUMIFS(領用表!$L:$L,領用表!$E:$E,$B66,領用表!$B:$B,J$2&amp;$P$1)</f>
        <v/>
      </c>
      <c r="K66" s="142">
        <f>SUMIFS(領用表!$L:$L,領用表!$E:$E,$B66,領用表!$B:$B,K$2&amp;$P$1)</f>
        <v/>
      </c>
      <c r="L66" s="142">
        <f>SUMIFS(領用表!$L:$L,領用表!$E:$E,$B66,領用表!$B:$B,L$2&amp;$P$1)</f>
        <v/>
      </c>
      <c r="M66" s="142">
        <f>SUMIFS(領用表!$L:$L,領用表!$E:$E,$B66,領用表!$B:$B,M$2&amp;$P$1)</f>
        <v/>
      </c>
      <c r="N66" s="23">
        <f>SUM(,H66,I66,J66,K66,L66,M66)</f>
        <v/>
      </c>
      <c r="O66" s="23">
        <f>AVERAGE(,H66,I66,J66,K66,L66,M66)</f>
        <v/>
      </c>
      <c r="P66" s="142">
        <f>SUMIFS(領用表!$L:$L,領用表!$E:$E,$B66,領用表!$B:$B,P$2&amp;$P$1)</f>
        <v/>
      </c>
      <c r="Q66" s="142">
        <f>SUMIFS(領用表!$L:$L,領用表!$E:$E,$B66,領用表!$B:$B,Q$2&amp;$P$1)</f>
        <v/>
      </c>
      <c r="R66" s="142">
        <f>SUMIFS(領用表!$L:$L,領用表!$E:$E,$B66,領用表!$B:$B,R$2&amp;$P$1)</f>
        <v/>
      </c>
      <c r="S66" s="142">
        <f>SUMIFS(領用表!$L:$L,領用表!$E:$E,$B66,領用表!$B:$B,S$2&amp;$P$1)</f>
        <v/>
      </c>
      <c r="T66" s="142">
        <f>SUMIFS(領用表!$L:$L,領用表!$E:$E,$B66,領用表!$B:$B,T$2&amp;$P$1)</f>
        <v/>
      </c>
      <c r="U66" s="142" t="n">
        <v>99</v>
      </c>
      <c r="V66" s="142">
        <f>SUMIFS(領用表!$L:$L,領用表!$E:$E,$B66,領用表!$B:$B,V$2&amp;$P$1)</f>
        <v/>
      </c>
      <c r="W66" s="142">
        <f>SUMIFS(領用表!$L:$L,領用表!$E:$E,$B66,領用表!$B:$B,W$2&amp;$P$1)</f>
        <v/>
      </c>
      <c r="X66" s="142">
        <f>SUMIFS(領用表!$L:$L,領用表!$E:$E,$B66,領用表!$B:$B,X$2&amp;$P$1)</f>
        <v/>
      </c>
      <c r="Y66" s="142">
        <f>SUMIFS(領用表!$L:$L,領用表!$E:$E,$B66,領用表!$B:$B,Y$2&amp;$P$1)</f>
        <v/>
      </c>
      <c r="Z66" s="142">
        <f>SUMIFS(領用表!$L:$L,領用表!$E:$E,$B66,領用表!$B:$B,Z$2&amp;$P$1)</f>
        <v/>
      </c>
      <c r="AA66" s="142">
        <f>SUMIFS(領用表!$L:$L,領用表!$E:$E,$B66,領用表!$B:$B,AA$2&amp;$P$1)</f>
        <v/>
      </c>
      <c r="AB66" s="142">
        <f>SUM(P66,Q66,R66,S66,T66,U66)</f>
        <v/>
      </c>
      <c r="AC66" s="142">
        <f>AVERAGE(P66,Q66,R66,S66,T66,U66)</f>
        <v/>
      </c>
      <c r="AD66" s="142">
        <f>SUMIF(Summary!B:B,B66,Summary!EB:EB)</f>
        <v/>
      </c>
      <c r="AE66" s="101" t="n">
        <v>580</v>
      </c>
      <c r="AF66" s="514" t="n"/>
      <c r="AG66" s="54" t="inlineStr">
        <is>
          <t>825(10/23)</t>
        </is>
      </c>
      <c r="AH66" s="54" t="inlineStr">
        <is>
          <t>750(10/23)</t>
        </is>
      </c>
      <c r="AI66" s="27" t="inlineStr">
        <is>
          <t>已無一代</t>
        </is>
      </c>
      <c r="AJ66" s="27" t="n"/>
      <c r="AK66" s="14" t="n"/>
      <c r="AL66" s="29" t="n"/>
    </row>
    <row r="67" ht="15.75" customHeight="1" s="453">
      <c r="A67" s="27" t="inlineStr">
        <is>
          <t>MP1MD070012A</t>
        </is>
      </c>
      <c r="B67" s="14" t="n">
        <v>6220012</v>
      </c>
      <c r="C67" s="118" t="inlineStr">
        <is>
          <t>海菲秀 Activ-4 Skin Solution (ml) 二代</t>
        </is>
      </c>
      <c r="D67" s="23" t="n">
        <v>236</v>
      </c>
      <c r="E67" s="17" t="inlineStr">
        <is>
          <t>ML</t>
        </is>
      </c>
      <c r="F67" s="18" t="n"/>
      <c r="G67" s="18">
        <f>D67*4</f>
        <v/>
      </c>
      <c r="H67" s="20">
        <f>SUMIFS(領用表!$L:$L,領用表!$E:$E,$B67,領用表!$B:$B,H$2&amp;$P$1)</f>
        <v/>
      </c>
      <c r="I67" s="20">
        <f>SUMIFS(領用表!$L:$L,領用表!$E:$E,$B67,領用表!$B:$B,I$2&amp;$P$1)</f>
        <v/>
      </c>
      <c r="J67" s="20">
        <f>SUMIFS(領用表!$L:$L,領用表!$E:$E,$B67,領用表!$B:$B,J$2&amp;$P$1)</f>
        <v/>
      </c>
      <c r="K67" s="142">
        <f>SUMIFS(領用表!$L:$L,領用表!$E:$E,$B67,領用表!$B:$B,K$2&amp;$P$1)</f>
        <v/>
      </c>
      <c r="L67" s="142">
        <f>SUMIFS(領用表!$L:$L,領用表!$E:$E,$B67,領用表!$B:$B,L$2&amp;$P$1)</f>
        <v/>
      </c>
      <c r="M67" s="142">
        <f>SUMIFS(領用表!$L:$L,領用表!$E:$E,$B67,領用表!$B:$B,M$2&amp;$P$1)</f>
        <v/>
      </c>
      <c r="N67" s="23">
        <f>SUM(,H67,I67,J67,K67,L67,M67)</f>
        <v/>
      </c>
      <c r="O67" s="23">
        <f>AVERAGE(,H67,I67,J67,K67,L67,M67)</f>
        <v/>
      </c>
      <c r="P67" s="142">
        <f>SUMIFS(領用表!$L:$L,領用表!$E:$E,$B67,領用表!$B:$B,P$2&amp;$P$1)</f>
        <v/>
      </c>
      <c r="Q67" s="142">
        <f>SUMIFS(領用表!$L:$L,領用表!$E:$E,$B67,領用表!$B:$B,Q$2&amp;$P$1)</f>
        <v/>
      </c>
      <c r="R67" s="142">
        <f>SUMIFS(領用表!$L:$L,領用表!$E:$E,$B67,領用表!$B:$B,R$2&amp;$P$1)</f>
        <v/>
      </c>
      <c r="S67" s="142">
        <f>SUMIFS(領用表!$L:$L,領用表!$E:$E,$B67,領用表!$B:$B,S$2&amp;$P$1)</f>
        <v/>
      </c>
      <c r="T67" s="142">
        <f>SUMIFS(領用表!$L:$L,領用表!$E:$E,$B67,領用表!$B:$B,T$2&amp;$P$1)</f>
        <v/>
      </c>
      <c r="U67" s="142" t="n">
        <v>1485</v>
      </c>
      <c r="V67" s="142">
        <f>SUMIFS(領用表!$L:$L,領用表!$E:$E,$B67,領用表!$B:$B,V$2&amp;$P$1)</f>
        <v/>
      </c>
      <c r="W67" s="142">
        <f>SUMIFS(領用表!$L:$L,領用表!$E:$E,$B67,領用表!$B:$B,W$2&amp;$P$1)</f>
        <v/>
      </c>
      <c r="X67" s="142">
        <f>SUMIFS(領用表!$L:$L,領用表!$E:$E,$B67,領用表!$B:$B,X$2&amp;$P$1)</f>
        <v/>
      </c>
      <c r="Y67" s="142">
        <f>SUMIFS(領用表!$L:$L,領用表!$E:$E,$B67,領用表!$B:$B,Y$2&amp;$P$1)</f>
        <v/>
      </c>
      <c r="Z67" s="142">
        <f>SUMIFS(領用表!$L:$L,領用表!$E:$E,$B67,領用表!$B:$B,Z$2&amp;$P$1)</f>
        <v/>
      </c>
      <c r="AA67" s="142">
        <f>SUMIFS(領用表!$L:$L,領用表!$E:$E,$B67,領用表!$B:$B,AA$2&amp;$P$1)</f>
        <v/>
      </c>
      <c r="AB67" s="142">
        <f>SUM(P67,Q67,R67,S67,T67,U67)</f>
        <v/>
      </c>
      <c r="AC67" s="142">
        <f>AVERAGE(P67,Q67,R67,S67,T67,U67)</f>
        <v/>
      </c>
      <c r="AD67" s="142">
        <f>SUMIF(Summary!B:B,B67,Summary!EB:EB)</f>
        <v/>
      </c>
      <c r="AE67" s="101" t="n">
        <v>7500</v>
      </c>
      <c r="AF67" s="514" t="n"/>
      <c r="AG67" s="54" t="inlineStr">
        <is>
          <t>70瓶(10/23)</t>
        </is>
      </c>
      <c r="AH67" s="54" t="inlineStr">
        <is>
          <t>80瓶(10/23)</t>
        </is>
      </c>
      <c r="AI67" s="27" t="inlineStr">
        <is>
          <t>已無一代</t>
        </is>
      </c>
      <c r="AJ67" s="28" t="n"/>
      <c r="AK67" s="14" t="n"/>
      <c r="AL67" s="29" t="n"/>
    </row>
    <row r="68" ht="15.75" customHeight="1" s="453">
      <c r="A68" s="27" t="inlineStr">
        <is>
          <t>MP1MD070013A</t>
        </is>
      </c>
      <c r="B68" s="14" t="n">
        <v>6220013</v>
      </c>
      <c r="C68" s="118" t="inlineStr">
        <is>
          <t>海菲秀 Beta-HD Skin Solution (ml) 二代</t>
        </is>
      </c>
      <c r="D68" s="23" t="n">
        <v>236</v>
      </c>
      <c r="E68" s="17" t="inlineStr">
        <is>
          <t>ML</t>
        </is>
      </c>
      <c r="F68" s="18" t="n"/>
      <c r="G68" s="18">
        <f>D68*13</f>
        <v/>
      </c>
      <c r="H68" s="20">
        <f>SUMIFS(領用表!$L:$L,領用表!$E:$E,$B68,領用表!$B:$B,H$2&amp;$P$1)</f>
        <v/>
      </c>
      <c r="I68" s="20">
        <f>SUMIFS(領用表!$L:$L,領用表!$E:$E,$B68,領用表!$B:$B,I$2&amp;$P$1)</f>
        <v/>
      </c>
      <c r="J68" s="20">
        <f>SUMIFS(領用表!$L:$L,領用表!$E:$E,$B68,領用表!$B:$B,J$2&amp;$P$1)</f>
        <v/>
      </c>
      <c r="K68" s="142">
        <f>SUMIFS(領用表!$L:$L,領用表!$E:$E,$B68,領用表!$B:$B,K$2&amp;$P$1)</f>
        <v/>
      </c>
      <c r="L68" s="142">
        <f>SUMIFS(領用表!$L:$L,領用表!$E:$E,$B68,領用表!$B:$B,L$2&amp;$P$1)</f>
        <v/>
      </c>
      <c r="M68" s="142">
        <f>SUMIFS(領用表!$L:$L,領用表!$E:$E,$B68,領用表!$B:$B,M$2&amp;$P$1)</f>
        <v/>
      </c>
      <c r="N68" s="23">
        <f>SUM(,H68,I68,J68,K68,L68,M68)</f>
        <v/>
      </c>
      <c r="O68" s="23">
        <f>AVERAGE(,H68,I68,J68,K68,L68,M68)</f>
        <v/>
      </c>
      <c r="P68" s="142">
        <f>SUMIFS(領用表!$L:$L,領用表!$E:$E,$B68,領用表!$B:$B,P$2&amp;$P$1)</f>
        <v/>
      </c>
      <c r="Q68" s="142">
        <f>SUMIFS(領用表!$L:$L,領用表!$E:$E,$B68,領用表!$B:$B,Q$2&amp;$P$1)</f>
        <v/>
      </c>
      <c r="R68" s="142">
        <f>SUMIFS(領用表!$L:$L,領用表!$E:$E,$B68,領用表!$B:$B,R$2&amp;$P$1)</f>
        <v/>
      </c>
      <c r="S68" s="142">
        <f>SUMIFS(領用表!$L:$L,領用表!$E:$E,$B68,領用表!$B:$B,S$2&amp;$P$1)</f>
        <v/>
      </c>
      <c r="T68" s="142">
        <f>SUMIFS(領用表!$L:$L,領用表!$E:$E,$B68,領用表!$B:$B,T$2&amp;$P$1)</f>
        <v/>
      </c>
      <c r="U68" s="142" t="n">
        <v>1485</v>
      </c>
      <c r="V68" s="142">
        <f>SUMIFS(領用表!$L:$L,領用表!$E:$E,$B68,領用表!$B:$B,V$2&amp;$P$1)</f>
        <v/>
      </c>
      <c r="W68" s="142">
        <f>SUMIFS(領用表!$L:$L,領用表!$E:$E,$B68,領用表!$B:$B,W$2&amp;$P$1)</f>
        <v/>
      </c>
      <c r="X68" s="142">
        <f>SUMIFS(領用表!$L:$L,領用表!$E:$E,$B68,領用表!$B:$B,X$2&amp;$P$1)</f>
        <v/>
      </c>
      <c r="Y68" s="142">
        <f>SUMIFS(領用表!$L:$L,領用表!$E:$E,$B68,領用表!$B:$B,Y$2&amp;$P$1)</f>
        <v/>
      </c>
      <c r="Z68" s="142">
        <f>SUMIFS(領用表!$L:$L,領用表!$E:$E,$B68,領用表!$B:$B,Z$2&amp;$P$1)</f>
        <v/>
      </c>
      <c r="AA68" s="142">
        <f>SUMIFS(領用表!$L:$L,領用表!$E:$E,$B68,領用表!$B:$B,AA$2&amp;$P$1)</f>
        <v/>
      </c>
      <c r="AB68" s="142">
        <f>SUM(P68,Q68,R68,S68,T68,U68)</f>
        <v/>
      </c>
      <c r="AC68" s="142">
        <f>AVERAGE(P68,Q68,R68,S68,T68,U68)</f>
        <v/>
      </c>
      <c r="AD68" s="142">
        <f>SUMIF(Summary!B:B,B68,Summary!EB:EB)</f>
        <v/>
      </c>
      <c r="AE68" s="101" t="n">
        <v>10000</v>
      </c>
      <c r="AF68" s="514" t="n"/>
      <c r="AG68" s="54" t="inlineStr">
        <is>
          <t>80瓶(10/23)</t>
        </is>
      </c>
      <c r="AH68" s="54" t="inlineStr">
        <is>
          <t>80瓶(10/23)</t>
        </is>
      </c>
      <c r="AI68" s="27" t="inlineStr">
        <is>
          <t>已無一代, 10/5後續都為二代(有貼晶片)</t>
        </is>
      </c>
      <c r="AJ68" s="28" t="n"/>
      <c r="AK68" s="14" t="n"/>
      <c r="AL68" s="29" t="n"/>
    </row>
    <row r="69" ht="15.75" customHeight="1" s="453">
      <c r="A69" s="27" t="inlineStr">
        <is>
          <t>MP1MD070014A</t>
        </is>
      </c>
      <c r="B69" s="14" t="n">
        <v>6220014</v>
      </c>
      <c r="C69" s="118" t="inlineStr">
        <is>
          <t>海菲秀 Antiox-6 Skin Solution (ml) 二代</t>
        </is>
      </c>
      <c r="D69" s="23" t="n">
        <v>236</v>
      </c>
      <c r="E69" s="17" t="inlineStr">
        <is>
          <t>ML</t>
        </is>
      </c>
      <c r="F69" s="18" t="n"/>
      <c r="G69" s="18">
        <f>D69*9</f>
        <v/>
      </c>
      <c r="H69" s="20">
        <f>SUMIFS(領用表!$L:$L,領用表!$E:$E,$B69,領用表!$B:$B,H$2&amp;$P$1)</f>
        <v/>
      </c>
      <c r="I69" s="20">
        <f>SUMIFS(領用表!$L:$L,領用表!$E:$E,$B69,領用表!$B:$B,I$2&amp;$P$1)</f>
        <v/>
      </c>
      <c r="J69" s="20">
        <f>SUMIFS(領用表!$L:$L,領用表!$E:$E,$B69,領用表!$B:$B,J$2&amp;$P$1)</f>
        <v/>
      </c>
      <c r="K69" s="142">
        <f>SUMIFS(領用表!$L:$L,領用表!$E:$E,$B69,領用表!$B:$B,K$2&amp;$P$1)</f>
        <v/>
      </c>
      <c r="L69" s="142">
        <f>SUMIFS(領用表!$L:$L,領用表!$E:$E,$B69,領用表!$B:$B,L$2&amp;$P$1)</f>
        <v/>
      </c>
      <c r="M69" s="142">
        <f>SUMIFS(領用表!$L:$L,領用表!$E:$E,$B69,領用表!$B:$B,M$2&amp;$P$1)</f>
        <v/>
      </c>
      <c r="N69" s="23">
        <f>SUM(,H69,I69,J69,K69,L69,M69)</f>
        <v/>
      </c>
      <c r="O69" s="23">
        <f>AVERAGE(,H69,I69,J69,K69,L69,M69)</f>
        <v/>
      </c>
      <c r="P69" s="142">
        <f>SUMIFS(領用表!$L:$L,領用表!$E:$E,$B69,領用表!$B:$B,P$2&amp;$P$1)</f>
        <v/>
      </c>
      <c r="Q69" s="142">
        <f>SUMIFS(領用表!$L:$L,領用表!$E:$E,$B69,領用表!$B:$B,Q$2&amp;$P$1)</f>
        <v/>
      </c>
      <c r="R69" s="142">
        <f>SUMIFS(領用表!$L:$L,領用表!$E:$E,$B69,領用表!$B:$B,R$2&amp;$P$1)</f>
        <v/>
      </c>
      <c r="S69" s="142">
        <f>SUMIFS(領用表!$L:$L,領用表!$E:$E,$B69,領用表!$B:$B,S$2&amp;$P$1)</f>
        <v/>
      </c>
      <c r="T69" s="142">
        <f>SUMIFS(領用表!$L:$L,領用表!$E:$E,$B69,領用表!$B:$B,T$2&amp;$P$1)</f>
        <v/>
      </c>
      <c r="U69" s="142" t="n">
        <v>1485</v>
      </c>
      <c r="V69" s="142">
        <f>SUMIFS(領用表!$L:$L,領用表!$E:$E,$B69,領用表!$B:$B,V$2&amp;$P$1)</f>
        <v/>
      </c>
      <c r="W69" s="142">
        <f>SUMIFS(領用表!$L:$L,領用表!$E:$E,$B69,領用表!$B:$B,W$2&amp;$P$1)</f>
        <v/>
      </c>
      <c r="X69" s="142">
        <f>SUMIFS(領用表!$L:$L,領用表!$E:$E,$B69,領用表!$B:$B,X$2&amp;$P$1)</f>
        <v/>
      </c>
      <c r="Y69" s="142">
        <f>SUMIFS(領用表!$L:$L,領用表!$E:$E,$B69,領用表!$B:$B,Y$2&amp;$P$1)</f>
        <v/>
      </c>
      <c r="Z69" s="142">
        <f>SUMIFS(領用表!$L:$L,領用表!$E:$E,$B69,領用表!$B:$B,Z$2&amp;$P$1)</f>
        <v/>
      </c>
      <c r="AA69" s="142">
        <f>SUMIFS(領用表!$L:$L,領用表!$E:$E,$B69,領用表!$B:$B,AA$2&amp;$P$1)</f>
        <v/>
      </c>
      <c r="AB69" s="142">
        <f>SUM(P69,Q69,R69,S69,T69,U69)</f>
        <v/>
      </c>
      <c r="AC69" s="142">
        <f>AVERAGE(P69,Q69,R69,S69,T69,U69)</f>
        <v/>
      </c>
      <c r="AD69" s="142">
        <f>SUMIF(Summary!B:B,B69,Summary!EB:EB)</f>
        <v/>
      </c>
      <c r="AE69" s="101" t="n">
        <v>5500</v>
      </c>
      <c r="AF69" s="514" t="n"/>
      <c r="AG69" s="54" t="inlineStr">
        <is>
          <t>30瓶(10/23)</t>
        </is>
      </c>
      <c r="AH69" s="54" t="inlineStr">
        <is>
          <t>80瓶(10/23)</t>
        </is>
      </c>
      <c r="AI69" s="27" t="n"/>
      <c r="AJ69" s="28" t="n"/>
      <c r="AK69" s="14" t="n"/>
      <c r="AL69" s="29" t="n"/>
    </row>
    <row r="70" ht="15.75" customHeight="1" s="453">
      <c r="A70" s="27" t="inlineStr">
        <is>
          <t>MP1MD070015A</t>
        </is>
      </c>
      <c r="B70" s="14" t="n">
        <v>6220015</v>
      </c>
      <c r="C70" s="118" t="inlineStr">
        <is>
          <t>海菲秀 Rinseaway System Cleaning Solution (ml) 二代</t>
        </is>
      </c>
      <c r="D70" s="23" t="n">
        <v>236</v>
      </c>
      <c r="E70" s="17" t="inlineStr">
        <is>
          <t>ML</t>
        </is>
      </c>
      <c r="F70" s="18" t="n"/>
      <c r="G70" s="18">
        <f>D70*9</f>
        <v/>
      </c>
      <c r="H70" s="20">
        <f>SUMIFS(領用表!$L:$L,領用表!$E:$E,$B70,領用表!$B:$B,H$2&amp;$P$1)</f>
        <v/>
      </c>
      <c r="I70" s="20">
        <f>SUMIFS(領用表!$L:$L,領用表!$E:$E,$B70,領用表!$B:$B,I$2&amp;$P$1)</f>
        <v/>
      </c>
      <c r="J70" s="20">
        <f>SUMIFS(領用表!$L:$L,領用表!$E:$E,$B70,領用表!$B:$B,J$2&amp;$P$1)</f>
        <v/>
      </c>
      <c r="K70" s="142">
        <f>SUMIFS(領用表!$L:$L,領用表!$E:$E,$B70,領用表!$B:$B,K$2&amp;$P$1)</f>
        <v/>
      </c>
      <c r="L70" s="142">
        <f>SUMIFS(領用表!$L:$L,領用表!$E:$E,$B70,領用表!$B:$B,L$2&amp;$P$1)</f>
        <v/>
      </c>
      <c r="M70" s="142">
        <f>SUMIFS(領用表!$L:$L,領用表!$E:$E,$B70,領用表!$B:$B,M$2&amp;$P$1)</f>
        <v/>
      </c>
      <c r="N70" s="23">
        <f>SUM(,H70,I70,J70,K70,L70,M70)</f>
        <v/>
      </c>
      <c r="O70" s="23">
        <f>AVERAGE(,H70,I70,J70,K70,L70,M70)</f>
        <v/>
      </c>
      <c r="P70" s="142">
        <f>SUMIFS(領用表!$L:$L,領用表!$E:$E,$B70,領用表!$B:$B,P$2&amp;$P$1)</f>
        <v/>
      </c>
      <c r="Q70" s="142">
        <f>SUMIFS(領用表!$L:$L,領用表!$E:$E,$B70,領用表!$B:$B,Q$2&amp;$P$1)</f>
        <v/>
      </c>
      <c r="R70" s="142">
        <f>SUMIFS(領用表!$L:$L,領用表!$E:$E,$B70,領用表!$B:$B,R$2&amp;$P$1)</f>
        <v/>
      </c>
      <c r="S70" s="142">
        <f>SUMIFS(領用表!$L:$L,領用表!$E:$E,$B70,領用表!$B:$B,S$2&amp;$P$1)</f>
        <v/>
      </c>
      <c r="T70" s="142">
        <f>SUMIFS(領用表!$L:$L,領用表!$E:$E,$B70,領用表!$B:$B,T$2&amp;$P$1)</f>
        <v/>
      </c>
      <c r="U70" s="142" t="n">
        <v>1485</v>
      </c>
      <c r="V70" s="142">
        <f>SUMIFS(領用表!$L:$L,領用表!$E:$E,$B70,領用表!$B:$B,V$2&amp;$P$1)</f>
        <v/>
      </c>
      <c r="W70" s="142">
        <f>SUMIFS(領用表!$L:$L,領用表!$E:$E,$B70,領用表!$B:$B,W$2&amp;$P$1)</f>
        <v/>
      </c>
      <c r="X70" s="142">
        <f>SUMIFS(領用表!$L:$L,領用表!$E:$E,$B70,領用表!$B:$B,X$2&amp;$P$1)</f>
        <v/>
      </c>
      <c r="Y70" s="142">
        <f>SUMIFS(領用表!$L:$L,領用表!$E:$E,$B70,領用表!$B:$B,Y$2&amp;$P$1)</f>
        <v/>
      </c>
      <c r="Z70" s="142">
        <f>SUMIFS(領用表!$L:$L,領用表!$E:$E,$B70,領用表!$B:$B,Z$2&amp;$P$1)</f>
        <v/>
      </c>
      <c r="AA70" s="142">
        <f>SUMIFS(領用表!$L:$L,領用表!$E:$E,$B70,領用表!$B:$B,AA$2&amp;$P$1)</f>
        <v/>
      </c>
      <c r="AB70" s="142">
        <f>SUM(P70,Q70,R70,S70,T70,U70)</f>
        <v/>
      </c>
      <c r="AC70" s="142">
        <f>AVERAGE(P70,Q70,R70,S70,T70,U70)</f>
        <v/>
      </c>
      <c r="AD70" s="142">
        <f>SUMIF(Summary!B:B,B70,Summary!EB:EB)</f>
        <v/>
      </c>
      <c r="AE70" s="100" t="n">
        <v>3000</v>
      </c>
      <c r="AF70" s="515" t="n"/>
      <c r="AG70" s="54" t="inlineStr">
        <is>
          <t>45瓶(10/23)</t>
        </is>
      </c>
      <c r="AH70" s="54" t="inlineStr">
        <is>
          <t>40瓶(10/23)</t>
        </is>
      </c>
      <c r="AI70" s="27" t="n"/>
      <c r="AJ70" s="28" t="n"/>
      <c r="AK70" s="14" t="n"/>
      <c r="AL70" s="29" t="n"/>
    </row>
    <row r="71" ht="15.75" customFormat="1" customHeight="1" s="172">
      <c r="A71" s="162" t="n"/>
      <c r="B71" s="162" t="n"/>
      <c r="C71" s="163" t="n"/>
      <c r="D71" s="164" t="n"/>
      <c r="E71" s="165" t="n"/>
      <c r="F71" s="166" t="n"/>
      <c r="G71" s="166" t="n"/>
      <c r="H71" s="167" t="n"/>
      <c r="I71" s="167" t="n"/>
      <c r="J71" s="167" t="n"/>
      <c r="K71" s="168">
        <f>SUMIFS(領用表!$L:$L,領用表!$E:$E,$B71,領用表!$B:$B,K$2&amp;$P$1)</f>
        <v/>
      </c>
      <c r="L71" s="168">
        <f>SUMIFS(領用表!$L:$L,領用表!$E:$E,$B71,領用表!$B:$B,L$2&amp;$P$1)</f>
        <v/>
      </c>
      <c r="M71" s="168">
        <f>SUMIFS(領用表!$L:$L,領用表!$E:$E,$B71,領用表!$B:$B,M$2&amp;$P$1)</f>
        <v/>
      </c>
      <c r="N71" s="168">
        <f>SUM(,H71,I71,J71,K71,L71,M71)</f>
        <v/>
      </c>
      <c r="O71" s="168">
        <f>AVERAGE(,H71,I71,J71,K71,L71,M71)</f>
        <v/>
      </c>
      <c r="P71" s="168" t="n"/>
      <c r="Q71" s="168" t="n"/>
      <c r="R71" s="168" t="n"/>
      <c r="S71" s="168" t="n"/>
      <c r="T71" s="168" t="n"/>
      <c r="U71" s="168" t="n"/>
      <c r="V71" s="168" t="n"/>
      <c r="W71" s="168" t="n"/>
      <c r="X71" s="168" t="n"/>
      <c r="Y71" s="168" t="n"/>
      <c r="Z71" s="168" t="n"/>
      <c r="AA71" s="168" t="n"/>
      <c r="AB71" s="168">
        <f>SUM(P71,Q71,R71,S71,T71,U71)</f>
        <v/>
      </c>
      <c r="AC71" s="168">
        <f>AVERAGE(P71,Q71,R71,S71,T71,U71)</f>
        <v/>
      </c>
      <c r="AD71" s="168" t="n"/>
      <c r="AE71" s="169" t="n"/>
      <c r="AF71" s="162" t="n"/>
      <c r="AG71" s="162" t="n"/>
      <c r="AH71" s="162" t="n"/>
      <c r="AI71" s="162" t="n"/>
      <c r="AJ71" s="162" t="n"/>
      <c r="AK71" s="170" t="n"/>
      <c r="AL71" s="171" t="n"/>
    </row>
    <row r="72" ht="15.75" customHeight="1" s="453">
      <c r="A72" s="27" t="inlineStr">
        <is>
          <t>MP1MB030003A</t>
        </is>
      </c>
      <c r="B72" s="14" t="n">
        <v>6170014</v>
      </c>
      <c r="C72" s="118" t="inlineStr">
        <is>
          <t>鳳凰電波0.25平方公分碧眼探頭(450發)</t>
        </is>
      </c>
      <c r="D72" s="43" t="n">
        <v>1</v>
      </c>
      <c r="E72" s="17" t="inlineStr">
        <is>
          <t>PCS</t>
        </is>
      </c>
      <c r="F72" s="18" t="n"/>
      <c r="G72" s="18" t="n">
        <v>9</v>
      </c>
      <c r="H72" s="20">
        <f>SUMIFS(領用表!$L:$L,領用表!$E:$E,$B72,領用表!$B:$B,H$2&amp;$P$1)</f>
        <v/>
      </c>
      <c r="I72" s="20">
        <f>SUMIFS(領用表!$L:$L,領用表!$E:$E,$B72,領用表!$B:$B,I$2&amp;$P$1)</f>
        <v/>
      </c>
      <c r="J72" s="20">
        <f>SUMIFS(領用表!$L:$L,領用表!$E:$E,$B72,領用表!$B:$B,J$2&amp;$P$1)</f>
        <v/>
      </c>
      <c r="K72" s="142">
        <f>SUMIFS(領用表!$L:$L,領用表!$E:$E,$B72,領用表!$B:$B,K$2&amp;$P$1)</f>
        <v/>
      </c>
      <c r="L72" s="142">
        <f>SUMIFS(領用表!$L:$L,領用表!$E:$E,$B72,領用表!$B:$B,L$2&amp;$P$1)</f>
        <v/>
      </c>
      <c r="M72" s="142">
        <f>SUMIFS(領用表!$L:$L,領用表!$E:$E,$B72,領用表!$B:$B,M$2&amp;$P$1)</f>
        <v/>
      </c>
      <c r="N72" s="23">
        <f>SUM(,H72,I72,J72,K72,L72,M72)</f>
        <v/>
      </c>
      <c r="O72" s="23">
        <f>AVERAGE(,H72,I72,J72,K72,L72,M72)</f>
        <v/>
      </c>
      <c r="P72" s="142">
        <f>SUMIFS(領用表!$L:$L,領用表!$E:$E,$B72,領用表!$B:$B,P$2&amp;$P$1)</f>
        <v/>
      </c>
      <c r="Q72" s="142">
        <f>SUMIFS(領用表!$L:$L,領用表!$E:$E,$B72,領用表!$B:$B,Q$2&amp;$P$1)</f>
        <v/>
      </c>
      <c r="R72" s="142">
        <f>SUMIFS(領用表!$L:$L,領用表!$E:$E,$B72,領用表!$B:$B,R$2&amp;$P$1)</f>
        <v/>
      </c>
      <c r="S72" s="142">
        <f>SUMIFS(領用表!$L:$L,領用表!$E:$E,$B72,領用表!$B:$B,S$2&amp;$P$1)</f>
        <v/>
      </c>
      <c r="T72" s="142">
        <f>SUMIFS(領用表!$L:$L,領用表!$E:$E,$B72,領用表!$B:$B,T$2&amp;$P$1)</f>
        <v/>
      </c>
      <c r="U72" s="142" t="n"/>
      <c r="V72" s="142">
        <f>SUMIFS(領用表!$L:$L,領用表!$E:$E,$B72,領用表!$B:$B,V$2&amp;$P$1)</f>
        <v/>
      </c>
      <c r="W72" s="142">
        <f>SUMIFS(領用表!$L:$L,領用表!$E:$E,$B72,領用表!$B:$B,W$2&amp;$P$1)</f>
        <v/>
      </c>
      <c r="X72" s="142">
        <f>SUMIFS(領用表!$L:$L,領用表!$E:$E,$B72,領用表!$B:$B,X$2&amp;$P$1)</f>
        <v/>
      </c>
      <c r="Y72" s="142">
        <f>SUMIFS(領用表!$L:$L,領用表!$E:$E,$B72,領用表!$B:$B,Y$2&amp;$P$1)</f>
        <v/>
      </c>
      <c r="Z72" s="142">
        <f>SUMIFS(領用表!$L:$L,領用表!$E:$E,$B72,領用表!$B:$B,Z$2&amp;$P$1)</f>
        <v/>
      </c>
      <c r="AA72" s="142">
        <f>SUMIFS(領用表!$L:$L,領用表!$E:$E,$B72,領用表!$B:$B,AA$2&amp;$P$1)</f>
        <v/>
      </c>
      <c r="AB72" s="142">
        <f>SUM(P72,Q72,R72,S72,T72,U72)</f>
        <v/>
      </c>
      <c r="AC72" s="142">
        <f>AVERAGE(P72,Q72,R72,S72,T72,U72)</f>
        <v/>
      </c>
      <c r="AD72" s="142">
        <f>SUMIF(Summary!B:B,B72,Summary!EB:EB)</f>
        <v/>
      </c>
      <c r="AE72" s="107" t="n">
        <v>5</v>
      </c>
      <c r="AF72" s="24" t="n"/>
      <c r="AG72" s="65" t="n"/>
      <c r="AH72" s="24" t="inlineStr">
        <is>
          <t>13500-10/22</t>
        </is>
      </c>
      <c r="AI72" s="27" t="n"/>
      <c r="AJ72" s="28" t="n"/>
      <c r="AK72" s="14" t="n"/>
      <c r="AL72" s="29" t="n"/>
    </row>
    <row r="73" ht="15.75" customHeight="1" s="453">
      <c r="A73" s="27" t="inlineStr">
        <is>
          <t>MP1MB030002A</t>
        </is>
      </c>
      <c r="B73" s="14" t="n">
        <v>6170013</v>
      </c>
      <c r="C73" s="118" t="inlineStr">
        <is>
          <t>鳳凰電波4平方公分紫鑽探頭(900發)</t>
        </is>
      </c>
      <c r="D73" s="43" t="n">
        <v>1</v>
      </c>
      <c r="E73" s="17" t="inlineStr">
        <is>
          <t>PCS</t>
        </is>
      </c>
      <c r="F73" s="18" t="n"/>
      <c r="G73" s="18" t="n">
        <v>12</v>
      </c>
      <c r="H73" s="20">
        <f>SUMIFS(領用表!$L:$L,領用表!$E:$E,$B73,領用表!$B:$B,H$2&amp;$P$1)</f>
        <v/>
      </c>
      <c r="I73" s="20">
        <f>SUMIFS(領用表!$L:$L,領用表!$E:$E,$B73,領用表!$B:$B,I$2&amp;$P$1)</f>
        <v/>
      </c>
      <c r="J73" s="20">
        <f>SUMIFS(領用表!$L:$L,領用表!$E:$E,$B73,領用表!$B:$B,J$2&amp;$P$1)</f>
        <v/>
      </c>
      <c r="K73" s="142">
        <f>SUMIFS(領用表!$L:$L,領用表!$E:$E,$B73,領用表!$B:$B,K$2&amp;$P$1)</f>
        <v/>
      </c>
      <c r="L73" s="142">
        <f>SUMIFS(領用表!$L:$L,領用表!$E:$E,$B73,領用表!$B:$B,L$2&amp;$P$1)</f>
        <v/>
      </c>
      <c r="M73" s="142">
        <f>SUMIFS(領用表!$L:$L,領用表!$E:$E,$B73,領用表!$B:$B,M$2&amp;$P$1)</f>
        <v/>
      </c>
      <c r="N73" s="23">
        <f>SUM(,H73,I73,J73,K73,L73,M73)</f>
        <v/>
      </c>
      <c r="O73" s="23">
        <f>AVERAGE(,H73,I73,J73,K73,L73,M73)</f>
        <v/>
      </c>
      <c r="P73" s="142">
        <f>SUMIFS(領用表!$L:$L,領用表!$E:$E,$B73,領用表!$B:$B,P$2&amp;$P$1)</f>
        <v/>
      </c>
      <c r="Q73" s="142">
        <f>SUMIFS(領用表!$L:$L,領用表!$E:$E,$B73,領用表!$B:$B,Q$2&amp;$P$1)</f>
        <v/>
      </c>
      <c r="R73" s="142">
        <f>SUMIFS(領用表!$L:$L,領用表!$E:$E,$B73,領用表!$B:$B,R$2&amp;$P$1)</f>
        <v/>
      </c>
      <c r="S73" s="142">
        <f>SUMIFS(領用表!$L:$L,領用表!$E:$E,$B73,領用表!$B:$B,S$2&amp;$P$1)</f>
        <v/>
      </c>
      <c r="T73" s="142">
        <f>SUMIFS(領用表!$L:$L,領用表!$E:$E,$B73,領用表!$B:$B,T$2&amp;$P$1)</f>
        <v/>
      </c>
      <c r="U73" s="142" t="n">
        <v>1</v>
      </c>
      <c r="V73" s="142">
        <f>SUMIFS(領用表!$L:$L,領用表!$E:$E,$B73,領用表!$B:$B,V$2&amp;$P$1)</f>
        <v/>
      </c>
      <c r="W73" s="142">
        <f>SUMIFS(領用表!$L:$L,領用表!$E:$E,$B73,領用表!$B:$B,W$2&amp;$P$1)</f>
        <v/>
      </c>
      <c r="X73" s="142">
        <f>SUMIFS(領用表!$L:$L,領用表!$E:$E,$B73,領用表!$B:$B,X$2&amp;$P$1)</f>
        <v/>
      </c>
      <c r="Y73" s="142">
        <f>SUMIFS(領用表!$L:$L,領用表!$E:$E,$B73,領用表!$B:$B,Y$2&amp;$P$1)</f>
        <v/>
      </c>
      <c r="Z73" s="142">
        <f>SUMIFS(領用表!$L:$L,領用表!$E:$E,$B73,領用表!$B:$B,Z$2&amp;$P$1)</f>
        <v/>
      </c>
      <c r="AA73" s="142">
        <f>SUMIFS(領用表!$L:$L,領用表!$E:$E,$B73,領用表!$B:$B,AA$2&amp;$P$1)</f>
        <v/>
      </c>
      <c r="AB73" s="142">
        <f>SUM(P73,Q73,R73,S73,T73,U73)</f>
        <v/>
      </c>
      <c r="AC73" s="142">
        <f>AVERAGE(P73,Q73,R73,S73,T73,U73)</f>
        <v/>
      </c>
      <c r="AD73" s="142">
        <f>SUMIF(Summary!B:B,B73,Summary!EB:EB)</f>
        <v/>
      </c>
      <c r="AE73" s="107" t="n">
        <v>20</v>
      </c>
      <c r="AF73" s="24" t="n"/>
      <c r="AG73" s="24" t="n"/>
      <c r="AH73" s="24" t="inlineStr">
        <is>
          <t>27000-10/22</t>
        </is>
      </c>
      <c r="AI73" s="66" t="n"/>
      <c r="AJ73" s="28" t="n"/>
      <c r="AK73" s="14" t="n"/>
      <c r="AL73" s="29" t="n"/>
    </row>
    <row r="74" ht="15.75" customHeight="1" s="453">
      <c r="A74" s="27" t="inlineStr">
        <is>
          <t>MP1MC030001A</t>
        </is>
      </c>
      <c r="B74" s="118" t="n">
        <v>6170015</v>
      </c>
      <c r="C74" s="411" t="inlineStr">
        <is>
          <t>鳳凰電波16平方公分黃金美體探頭(500發)</t>
        </is>
      </c>
      <c r="D74" s="43" t="n">
        <v>1</v>
      </c>
      <c r="E74" s="17" t="inlineStr">
        <is>
          <t>PCS</t>
        </is>
      </c>
      <c r="F74" s="18" t="n"/>
      <c r="G74" s="18" t="n">
        <v>0</v>
      </c>
      <c r="H74" s="20">
        <f>SUMIFS(領用表!$L:$L,領用表!$E:$E,$B74,領用表!$B:$B,H$2&amp;$P$1)</f>
        <v/>
      </c>
      <c r="I74" s="20">
        <f>SUMIFS(領用表!$L:$L,領用表!$E:$E,$B74,領用表!$B:$B,I$2&amp;$P$1)</f>
        <v/>
      </c>
      <c r="J74" s="20">
        <f>SUMIFS(領用表!$L:$L,領用表!$E:$E,$B74,領用表!$B:$B,J$2&amp;$P$1)</f>
        <v/>
      </c>
      <c r="K74" s="142">
        <f>SUMIFS(領用表!$L:$L,領用表!$E:$E,$B74,領用表!$B:$B,K$2&amp;$P$1)</f>
        <v/>
      </c>
      <c r="L74" s="142">
        <f>SUMIFS(領用表!$L:$L,領用表!$E:$E,$B74,領用表!$B:$B,L$2&amp;$P$1)</f>
        <v/>
      </c>
      <c r="M74" s="142">
        <f>SUMIFS(領用表!$L:$L,領用表!$E:$E,$B74,領用表!$B:$B,M$2&amp;$P$1)</f>
        <v/>
      </c>
      <c r="N74" s="23">
        <f>SUM(,H74,I74,J74,K74,L74,M74)</f>
        <v/>
      </c>
      <c r="O74" s="23">
        <f>AVERAGE(,H74,I74,J74,K74,L74,M74)</f>
        <v/>
      </c>
      <c r="P74" s="142">
        <f>SUMIFS(領用表!$L:$L,領用表!$E:$E,$B74,領用表!$B:$B,P$2&amp;$P$1)</f>
        <v/>
      </c>
      <c r="Q74" s="142">
        <f>SUMIFS(領用表!$L:$L,領用表!$E:$E,$B74,領用表!$B:$B,Q$2&amp;$P$1)</f>
        <v/>
      </c>
      <c r="R74" s="142">
        <f>SUMIFS(領用表!$L:$L,領用表!$E:$E,$B74,領用表!$B:$B,R$2&amp;$P$1)</f>
        <v/>
      </c>
      <c r="S74" s="142">
        <f>SUMIFS(領用表!$L:$L,領用表!$E:$E,$B74,領用表!$B:$B,S$2&amp;$P$1)</f>
        <v/>
      </c>
      <c r="T74" s="142">
        <f>SUMIFS(領用表!$L:$L,領用表!$E:$E,$B74,領用表!$B:$B,T$2&amp;$P$1)</f>
        <v/>
      </c>
      <c r="U74" s="142" t="n"/>
      <c r="V74" s="142">
        <f>SUMIFS(領用表!$L:$L,領用表!$E:$E,$B74,領用表!$B:$B,V$2&amp;$P$1)</f>
        <v/>
      </c>
      <c r="W74" s="142">
        <f>SUMIFS(領用表!$L:$L,領用表!$E:$E,$B74,領用表!$B:$B,W$2&amp;$P$1)</f>
        <v/>
      </c>
      <c r="X74" s="142">
        <f>SUMIFS(領用表!$L:$L,領用表!$E:$E,$B74,領用表!$B:$B,X$2&amp;$P$1)</f>
        <v/>
      </c>
      <c r="Y74" s="142">
        <f>SUMIFS(領用表!$L:$L,領用表!$E:$E,$B74,領用表!$B:$B,Y$2&amp;$P$1)</f>
        <v/>
      </c>
      <c r="Z74" s="142">
        <f>SUMIFS(領用表!$L:$L,領用表!$E:$E,$B74,領用表!$B:$B,Z$2&amp;$P$1)</f>
        <v/>
      </c>
      <c r="AA74" s="142">
        <f>SUMIFS(領用表!$L:$L,領用表!$E:$E,$B74,領用表!$B:$B,AA$2&amp;$P$1)</f>
        <v/>
      </c>
      <c r="AB74" s="142">
        <f>SUM(P74,Q74,R74,S74,T74,U74)</f>
        <v/>
      </c>
      <c r="AC74" s="142">
        <f>AVERAGE(P74,Q74,R74,S74,T74,U74)</f>
        <v/>
      </c>
      <c r="AD74" s="142">
        <f>SUMIF(Summary!B:B,B74,Summary!EB:EB)</f>
        <v/>
      </c>
      <c r="AE74" s="107" t="n">
        <v>0</v>
      </c>
      <c r="AF74" s="24" t="n"/>
      <c r="AG74" s="65" t="n"/>
      <c r="AH74" s="65" t="n"/>
      <c r="AI74" s="58" t="n"/>
      <c r="AJ74" s="28" t="n"/>
      <c r="AK74" s="14" t="n"/>
      <c r="AL74" s="29" t="n"/>
    </row>
    <row r="75" ht="15.75" customHeight="1" s="453">
      <c r="A75" s="27" t="inlineStr">
        <is>
          <t>MB3ME100001A</t>
        </is>
      </c>
      <c r="B75" s="14" t="n">
        <v>6140001</v>
      </c>
      <c r="C75" s="118" t="inlineStr">
        <is>
          <t>保妥適Botox 100u/ vial  (因稀釋手法會有些許差異)</t>
        </is>
      </c>
      <c r="D75" s="67" t="n">
        <v>100</v>
      </c>
      <c r="E75" s="17" t="inlineStr">
        <is>
          <t>U</t>
        </is>
      </c>
      <c r="F75" s="18" t="n"/>
      <c r="G75" s="18">
        <f>(D75*53)+12</f>
        <v/>
      </c>
      <c r="H75" s="20">
        <f>SUMIFS(領用表!$L:$L,領用表!$E:$E,$B75,領用表!$B:$B,H$2&amp;$P$1)</f>
        <v/>
      </c>
      <c r="I75" s="20">
        <f>SUMIFS(領用表!$L:$L,領用表!$E:$E,$B75,領用表!$B:$B,I$2&amp;$P$1)</f>
        <v/>
      </c>
      <c r="J75" s="20">
        <f>SUMIFS(領用表!$L:$L,領用表!$E:$E,$B75,領用表!$B:$B,J$2&amp;$P$1)</f>
        <v/>
      </c>
      <c r="K75" s="142">
        <f>SUMIFS(領用表!$L:$L,領用表!$E:$E,$B75,領用表!$B:$B,K$2&amp;$P$1)</f>
        <v/>
      </c>
      <c r="L75" s="142">
        <f>SUMIFS(領用表!$L:$L,領用表!$E:$E,$B75,領用表!$B:$B,L$2&amp;$P$1)</f>
        <v/>
      </c>
      <c r="M75" s="142">
        <f>SUMIFS(領用表!$L:$L,領用表!$E:$E,$B75,領用表!$B:$B,M$2&amp;$P$1)</f>
        <v/>
      </c>
      <c r="N75" s="23">
        <f>SUM(,H75,I75,J75,K75,L75,M75)</f>
        <v/>
      </c>
      <c r="O75" s="23">
        <f>AVERAGE(,H75,I75,J75,K75,L75,M75)</f>
        <v/>
      </c>
      <c r="P75" s="142">
        <f>SUMIFS(領用表!$L:$L,領用表!$E:$E,$B75,領用表!$B:$B,P$2&amp;$P$1)</f>
        <v/>
      </c>
      <c r="Q75" s="142">
        <f>SUMIFS(領用表!$L:$L,領用表!$E:$E,$B75,領用表!$B:$B,Q$2&amp;$P$1)</f>
        <v/>
      </c>
      <c r="R75" s="142">
        <f>SUMIFS(領用表!$L:$L,領用表!$E:$E,$B75,領用表!$B:$B,R$2&amp;$P$1)</f>
        <v/>
      </c>
      <c r="S75" s="142">
        <f>SUMIFS(領用表!$L:$L,領用表!$E:$E,$B75,領用表!$B:$B,S$2&amp;$P$1)</f>
        <v/>
      </c>
      <c r="T75" s="142">
        <f>SUMIFS(領用表!$L:$L,領用表!$E:$E,$B75,領用表!$B:$B,T$2&amp;$P$1)</f>
        <v/>
      </c>
      <c r="U75" s="142" t="n">
        <v>403</v>
      </c>
      <c r="V75" s="142">
        <f>SUMIFS(領用表!$L:$L,領用表!$E:$E,$B75,領用表!$B:$B,V$2&amp;$P$1)</f>
        <v/>
      </c>
      <c r="W75" s="142">
        <f>SUMIFS(領用表!$L:$L,領用表!$E:$E,$B75,領用表!$B:$B,W$2&amp;$P$1)</f>
        <v/>
      </c>
      <c r="X75" s="142">
        <f>SUMIFS(領用表!$L:$L,領用表!$E:$E,$B75,領用表!$B:$B,X$2&amp;$P$1)</f>
        <v/>
      </c>
      <c r="Y75" s="142">
        <f>SUMIFS(領用表!$L:$L,領用表!$E:$E,$B75,領用表!$B:$B,Y$2&amp;$P$1)</f>
        <v/>
      </c>
      <c r="Z75" s="142">
        <f>SUMIFS(領用表!$L:$L,領用表!$E:$E,$B75,領用表!$B:$B,Z$2&amp;$P$1)</f>
        <v/>
      </c>
      <c r="AA75" s="142">
        <f>SUMIFS(領用表!$L:$L,領用表!$E:$E,$B75,領用表!$B:$B,AA$2&amp;$P$1)</f>
        <v/>
      </c>
      <c r="AB75" s="142">
        <f>SUM(P75,Q75,R75,S75,T75,U75)</f>
        <v/>
      </c>
      <c r="AC75" s="142">
        <f>AVERAGE(P75,Q75,R75,S75,T75,U75)</f>
        <v/>
      </c>
      <c r="AD75" s="142">
        <f>SUMIF(Summary!B:B,B75,Summary!EB:EB)</f>
        <v/>
      </c>
      <c r="AE75" s="108" t="n">
        <v>2200</v>
      </c>
      <c r="AF75" s="65" t="n"/>
      <c r="AG75" s="65" t="inlineStr">
        <is>
          <t>3500-10/28</t>
        </is>
      </c>
      <c r="AH75" s="65" t="inlineStr">
        <is>
          <t>1000-10/28</t>
        </is>
      </c>
      <c r="AI75" s="27" t="n"/>
      <c r="AJ75" s="69" t="n"/>
      <c r="AK75" s="14" t="n"/>
      <c r="AL75" s="29" t="n"/>
    </row>
    <row r="76" ht="15.75" customHeight="1" s="453">
      <c r="A76" s="27" t="inlineStr">
        <is>
          <t>MB3ME100002A</t>
        </is>
      </c>
      <c r="B76" s="14" t="n">
        <v>6140003</v>
      </c>
      <c r="C76" s="118" t="inlineStr">
        <is>
          <t>保提拉凍晶注射劑Letybo 200u/ vial</t>
        </is>
      </c>
      <c r="D76" s="67" t="n">
        <v>200</v>
      </c>
      <c r="E76" s="17" t="inlineStr">
        <is>
          <t>U</t>
        </is>
      </c>
      <c r="F76" s="18" t="n"/>
      <c r="G76" s="18">
        <f>(D76*22)+88</f>
        <v/>
      </c>
      <c r="H76" s="20">
        <f>SUMIFS(領用表!$L:$L,領用表!$E:$E,$B76,領用表!$B:$B,H$2&amp;$P$1)</f>
        <v/>
      </c>
      <c r="I76" s="20">
        <f>SUMIFS(領用表!$L:$L,領用表!$E:$E,$B76,領用表!$B:$B,I$2&amp;$P$1)</f>
        <v/>
      </c>
      <c r="J76" s="20">
        <f>SUMIFS(領用表!$L:$L,領用表!$E:$E,$B76,領用表!$B:$B,J$2&amp;$P$1)</f>
        <v/>
      </c>
      <c r="K76" s="142">
        <f>SUMIFS(領用表!$L:$L,領用表!$E:$E,$B76,領用表!$B:$B,K$2&amp;$P$1)</f>
        <v/>
      </c>
      <c r="L76" s="142">
        <f>SUMIFS(領用表!$L:$L,領用表!$E:$E,$B76,領用表!$B:$B,L$2&amp;$P$1)</f>
        <v/>
      </c>
      <c r="M76" s="142">
        <f>SUMIFS(領用表!$L:$L,領用表!$E:$E,$B76,領用表!$B:$B,M$2&amp;$P$1)</f>
        <v/>
      </c>
      <c r="N76" s="23">
        <f>SUM(,H76,I76,J76,K76,L76,M76)</f>
        <v/>
      </c>
      <c r="O76" s="23">
        <f>AVERAGE(,H76,I76,J76,K76,L76,M76)</f>
        <v/>
      </c>
      <c r="P76" s="142">
        <f>SUMIFS(領用表!$L:$L,領用表!$E:$E,$B76,領用表!$B:$B,P$2&amp;$P$1)</f>
        <v/>
      </c>
      <c r="Q76" s="142">
        <f>SUMIFS(領用表!$L:$L,領用表!$E:$E,$B76,領用表!$B:$B,Q$2&amp;$P$1)</f>
        <v/>
      </c>
      <c r="R76" s="142">
        <f>SUMIFS(領用表!$L:$L,領用表!$E:$E,$B76,領用表!$B:$B,R$2&amp;$P$1)</f>
        <v/>
      </c>
      <c r="S76" s="142">
        <f>SUMIFS(領用表!$L:$L,領用表!$E:$E,$B76,領用表!$B:$B,S$2&amp;$P$1)</f>
        <v/>
      </c>
      <c r="T76" s="142">
        <f>SUMIFS(領用表!$L:$L,領用表!$E:$E,$B76,領用表!$B:$B,T$2&amp;$P$1)</f>
        <v/>
      </c>
      <c r="U76" s="142" t="n">
        <v>746</v>
      </c>
      <c r="V76" s="142">
        <f>SUMIFS(領用表!$L:$L,領用表!$E:$E,$B76,領用表!$B:$B,V$2&amp;$P$1)</f>
        <v/>
      </c>
      <c r="W76" s="142">
        <f>SUMIFS(領用表!$L:$L,領用表!$E:$E,$B76,領用表!$B:$B,W$2&amp;$P$1)</f>
        <v/>
      </c>
      <c r="X76" s="142">
        <f>SUMIFS(領用表!$L:$L,領用表!$E:$E,$B76,領用表!$B:$B,X$2&amp;$P$1)</f>
        <v/>
      </c>
      <c r="Y76" s="142">
        <f>SUMIFS(領用表!$L:$L,領用表!$E:$E,$B76,領用表!$B:$B,Y$2&amp;$P$1)</f>
        <v/>
      </c>
      <c r="Z76" s="142">
        <f>SUMIFS(領用表!$L:$L,領用表!$E:$E,$B76,領用表!$B:$B,Z$2&amp;$P$1)</f>
        <v/>
      </c>
      <c r="AA76" s="142">
        <f>SUMIFS(領用表!$L:$L,領用表!$E:$E,$B76,領用表!$B:$B,AA$2&amp;$P$1)</f>
        <v/>
      </c>
      <c r="AB76" s="142">
        <f>SUM(P76,Q76,R76,S76,T76,U76)</f>
        <v/>
      </c>
      <c r="AC76" s="142">
        <f>AVERAGE(P76,Q76,R76,S76,T76,U76)</f>
        <v/>
      </c>
      <c r="AD76" s="142">
        <f>SUMIF(Summary!B:B,B76,Summary!EB:EB)</f>
        <v/>
      </c>
      <c r="AE76" s="108" t="n">
        <v>5000</v>
      </c>
      <c r="AF76" s="65" t="n"/>
      <c r="AG76" s="65" t="inlineStr">
        <is>
          <t>4000-10/22</t>
        </is>
      </c>
      <c r="AH76" s="65" t="n"/>
      <c r="AI76" s="27" t="n"/>
      <c r="AJ76" s="69" t="n"/>
      <c r="AK76" s="14" t="n"/>
      <c r="AL76" s="29" t="n"/>
    </row>
    <row r="77" ht="15.75" customHeight="1" s="453">
      <c r="A77" s="27" t="inlineStr">
        <is>
          <t>MB3ME100003A</t>
        </is>
      </c>
      <c r="B77" s="14" t="n">
        <v>6140005</v>
      </c>
      <c r="C77" s="118" t="inlineStr">
        <is>
          <t>奇肌肉毒 200u/ vial  (因稀釋手法會有些許差異)</t>
        </is>
      </c>
      <c r="D77" s="67" t="n">
        <v>200</v>
      </c>
      <c r="E77" s="17" t="inlineStr">
        <is>
          <t>U</t>
        </is>
      </c>
      <c r="F77" s="18" t="n"/>
      <c r="G77" s="18">
        <f>(D77*111)+158</f>
        <v/>
      </c>
      <c r="H77" s="20">
        <f>SUMIFS(領用表!$L:$L,領用表!$E:$E,$B77,領用表!$B:$B,H$2&amp;$P$1)</f>
        <v/>
      </c>
      <c r="I77" s="20">
        <f>SUMIFS(領用表!$L:$L,領用表!$E:$E,$B77,領用表!$B:$B,I$2&amp;$P$1)</f>
        <v/>
      </c>
      <c r="J77" s="20">
        <f>SUMIFS(領用表!$L:$L,領用表!$E:$E,$B77,領用表!$B:$B,J$2&amp;$P$1)</f>
        <v/>
      </c>
      <c r="K77" s="142">
        <f>SUMIFS(領用表!$L:$L,領用表!$E:$E,$B77,領用表!$B:$B,K$2&amp;$P$1)</f>
        <v/>
      </c>
      <c r="L77" s="142">
        <f>SUMIFS(領用表!$L:$L,領用表!$E:$E,$B77,領用表!$B:$B,L$2&amp;$P$1)</f>
        <v/>
      </c>
      <c r="M77" s="142">
        <f>SUMIFS(領用表!$L:$L,領用表!$E:$E,$B77,領用表!$B:$B,M$2&amp;$P$1)</f>
        <v/>
      </c>
      <c r="N77" s="23">
        <f>SUM(,H77,I77,J77,K77,L77,M77)</f>
        <v/>
      </c>
      <c r="O77" s="23">
        <f>AVERAGE(,H77,I77,J77,K77,L77,M77)</f>
        <v/>
      </c>
      <c r="P77" s="142">
        <f>SUMIFS(領用表!$L:$L,領用表!$E:$E,$B77,領用表!$B:$B,P$2&amp;$P$1)</f>
        <v/>
      </c>
      <c r="Q77" s="142">
        <f>SUMIFS(領用表!$L:$L,領用表!$E:$E,$B77,領用表!$B:$B,Q$2&amp;$P$1)</f>
        <v/>
      </c>
      <c r="R77" s="142">
        <f>SUMIFS(領用表!$L:$L,領用表!$E:$E,$B77,領用表!$B:$B,R$2&amp;$P$1)</f>
        <v/>
      </c>
      <c r="S77" s="142">
        <f>SUMIFS(領用表!$L:$L,領用表!$E:$E,$B77,領用表!$B:$B,S$2&amp;$P$1)</f>
        <v/>
      </c>
      <c r="T77" s="142">
        <f>SUMIFS(領用表!$L:$L,領用表!$E:$E,$B77,領用表!$B:$B,T$2&amp;$P$1)</f>
        <v/>
      </c>
      <c r="U77" s="142" t="n">
        <v>589</v>
      </c>
      <c r="V77" s="142">
        <f>SUMIFS(領用表!$L:$L,領用表!$E:$E,$B77,領用表!$B:$B,V$2&amp;$P$1)</f>
        <v/>
      </c>
      <c r="W77" s="142">
        <f>SUMIFS(領用表!$L:$L,領用表!$E:$E,$B77,領用表!$B:$B,W$2&amp;$P$1)</f>
        <v/>
      </c>
      <c r="X77" s="142">
        <f>SUMIFS(領用表!$L:$L,領用表!$E:$E,$B77,領用表!$B:$B,X$2&amp;$P$1)</f>
        <v/>
      </c>
      <c r="Y77" s="142">
        <f>SUMIFS(領用表!$L:$L,領用表!$E:$E,$B77,領用表!$B:$B,Y$2&amp;$P$1)</f>
        <v/>
      </c>
      <c r="Z77" s="142">
        <f>SUMIFS(領用表!$L:$L,領用表!$E:$E,$B77,領用表!$B:$B,Z$2&amp;$P$1)</f>
        <v/>
      </c>
      <c r="AA77" s="142">
        <f>SUMIFS(領用表!$L:$L,領用表!$E:$E,$B77,領用表!$B:$B,AA$2&amp;$P$1)</f>
        <v/>
      </c>
      <c r="AB77" s="142">
        <f>SUM(P77,Q77,R77,S77,T77,U77)</f>
        <v/>
      </c>
      <c r="AC77" s="142">
        <f>AVERAGE(P77,Q77,R77,S77,T77,U77)</f>
        <v/>
      </c>
      <c r="AD77" s="142">
        <f>SUMIF(Summary!B:B,B77,Summary!EB:EB)</f>
        <v/>
      </c>
      <c r="AE77" s="108" t="n">
        <v>2200</v>
      </c>
      <c r="AF77" s="65" t="n"/>
      <c r="AG77" s="65" t="n"/>
      <c r="AH77" s="65" t="n"/>
      <c r="AI77" s="27" t="n"/>
      <c r="AJ77" s="69" t="n"/>
      <c r="AK77" s="14" t="n"/>
      <c r="AL77" s="29" t="n"/>
    </row>
    <row r="78" ht="15.75" customHeight="1" s="453">
      <c r="A78" s="27" t="inlineStr">
        <is>
          <t>MB3ME090001A</t>
        </is>
      </c>
      <c r="B78" s="14" t="n">
        <v>6120001</v>
      </c>
      <c r="C78" s="118" t="inlineStr">
        <is>
          <t>肝得健(20入)</t>
        </is>
      </c>
      <c r="D78" s="67" t="n">
        <v>20</v>
      </c>
      <c r="E78" s="17" t="inlineStr">
        <is>
          <t>PCS</t>
        </is>
      </c>
      <c r="F78" s="18" t="n"/>
      <c r="G78" s="18" t="n">
        <v>0</v>
      </c>
      <c r="H78" s="20">
        <f>SUMIFS(領用表!$L:$L,領用表!$E:$E,$B78,領用表!$B:$B,H$2&amp;$P$1)</f>
        <v/>
      </c>
      <c r="I78" s="20">
        <f>SUMIFS(領用表!$L:$L,領用表!$E:$E,$B78,領用表!$B:$B,I$2&amp;$P$1)</f>
        <v/>
      </c>
      <c r="J78" s="20">
        <f>SUMIFS(領用表!$L:$L,領用表!$E:$E,$B78,領用表!$B:$B,J$2&amp;$P$1)</f>
        <v/>
      </c>
      <c r="K78" s="142">
        <f>SUMIFS(領用表!$L:$L,領用表!$E:$E,$B78,領用表!$B:$B,K$2&amp;$P$1)</f>
        <v/>
      </c>
      <c r="L78" s="142">
        <f>SUMIFS(領用表!$L:$L,領用表!$E:$E,$B78,領用表!$B:$B,L$2&amp;$P$1)</f>
        <v/>
      </c>
      <c r="M78" s="142">
        <f>SUMIFS(領用表!$L:$L,領用表!$E:$E,$B78,領用表!$B:$B,M$2&amp;$P$1)</f>
        <v/>
      </c>
      <c r="N78" s="23">
        <f>SUM(,H78,I78,J78,K78,L78,M78)</f>
        <v/>
      </c>
      <c r="O78" s="23">
        <f>AVERAGE(,H78,I78,J78,K78,L78,M78)</f>
        <v/>
      </c>
      <c r="P78" s="142">
        <f>SUMIFS(領用表!$L:$L,領用表!$E:$E,$B78,領用表!$B:$B,P$2&amp;$P$1)</f>
        <v/>
      </c>
      <c r="Q78" s="142">
        <f>SUMIFS(領用表!$L:$L,領用表!$E:$E,$B78,領用表!$B:$B,Q$2&amp;$P$1)</f>
        <v/>
      </c>
      <c r="R78" s="142">
        <f>SUMIFS(領用表!$L:$L,領用表!$E:$E,$B78,領用表!$B:$B,R$2&amp;$P$1)</f>
        <v/>
      </c>
      <c r="S78" s="142">
        <f>SUMIFS(領用表!$L:$L,領用表!$E:$E,$B78,領用表!$B:$B,S$2&amp;$P$1)</f>
        <v/>
      </c>
      <c r="T78" s="142">
        <f>SUMIFS(領用表!$L:$L,領用表!$E:$E,$B78,領用表!$B:$B,T$2&amp;$P$1)</f>
        <v/>
      </c>
      <c r="U78" s="142" t="n"/>
      <c r="V78" s="142">
        <f>SUMIFS(領用表!$L:$L,領用表!$E:$E,$B78,領用表!$B:$B,V$2&amp;$P$1)</f>
        <v/>
      </c>
      <c r="W78" s="142">
        <f>SUMIFS(領用表!$L:$L,領用表!$E:$E,$B78,領用表!$B:$B,W$2&amp;$P$1)</f>
        <v/>
      </c>
      <c r="X78" s="142">
        <f>SUMIFS(領用表!$L:$L,領用表!$E:$E,$B78,領用表!$B:$B,X$2&amp;$P$1)</f>
        <v/>
      </c>
      <c r="Y78" s="142">
        <f>SUMIFS(領用表!$L:$L,領用表!$E:$E,$B78,領用表!$B:$B,Y$2&amp;$P$1)</f>
        <v/>
      </c>
      <c r="Z78" s="142">
        <f>SUMIFS(領用表!$L:$L,領用表!$E:$E,$B78,領用表!$B:$B,Z$2&amp;$P$1)</f>
        <v/>
      </c>
      <c r="AA78" s="142">
        <f>SUMIFS(領用表!$L:$L,領用表!$E:$E,$B78,領用表!$B:$B,AA$2&amp;$P$1)</f>
        <v/>
      </c>
      <c r="AB78" s="142">
        <f>SUM(P78,Q78,R78,S78,T78,U78)</f>
        <v/>
      </c>
      <c r="AC78" s="142">
        <f>AVERAGE(P78,Q78,R78,S78,T78,U78)</f>
        <v/>
      </c>
      <c r="AD78" s="142">
        <f>SUMIF(Summary!B:B,B78,Summary!EB:EB)</f>
        <v/>
      </c>
      <c r="AE78" s="108" t="n">
        <v>180</v>
      </c>
      <c r="AF78" s="65" t="n"/>
      <c r="AG78" s="65" t="inlineStr">
        <is>
          <t>440-10/22</t>
        </is>
      </c>
      <c r="AH78" s="65" t="inlineStr">
        <is>
          <t>220-10/22</t>
        </is>
      </c>
      <c r="AI78" s="27" t="n"/>
      <c r="AJ78" s="69" t="n"/>
      <c r="AK78" s="14" t="n"/>
      <c r="AL78" s="29" t="n"/>
    </row>
    <row r="79" ht="15.75" customHeight="1" s="453">
      <c r="A79" s="27" t="inlineStr">
        <is>
          <t>MB3ME090002A</t>
        </is>
      </c>
      <c r="B79" s="14" t="n">
        <v>6120002</v>
      </c>
      <c r="C79" s="118" t="inlineStr">
        <is>
          <t>卡尼丁(20入)</t>
        </is>
      </c>
      <c r="D79" s="67" t="n">
        <v>20</v>
      </c>
      <c r="E79" s="17" t="inlineStr">
        <is>
          <t>PCS</t>
        </is>
      </c>
      <c r="F79" s="18" t="n"/>
      <c r="G79" s="18" t="n">
        <v>0</v>
      </c>
      <c r="H79" s="20">
        <f>SUMIFS(領用表!$L:$L,領用表!$E:$E,$B79,領用表!$B:$B,H$2&amp;$P$1)</f>
        <v/>
      </c>
      <c r="I79" s="20">
        <f>SUMIFS(領用表!$L:$L,領用表!$E:$E,$B79,領用表!$B:$B,I$2&amp;$P$1)</f>
        <v/>
      </c>
      <c r="J79" s="20">
        <f>SUMIFS(領用表!$L:$L,領用表!$E:$E,$B79,領用表!$B:$B,J$2&amp;$P$1)</f>
        <v/>
      </c>
      <c r="K79" s="142">
        <f>SUMIFS(領用表!$L:$L,領用表!$E:$E,$B79,領用表!$B:$B,K$2&amp;$P$1)</f>
        <v/>
      </c>
      <c r="L79" s="142">
        <f>SUMIFS(領用表!$L:$L,領用表!$E:$E,$B79,領用表!$B:$B,L$2&amp;$P$1)</f>
        <v/>
      </c>
      <c r="M79" s="142">
        <f>SUMIFS(領用表!$L:$L,領用表!$E:$E,$B79,領用表!$B:$B,M$2&amp;$P$1)</f>
        <v/>
      </c>
      <c r="N79" s="23">
        <f>SUM(,H79,I79,J79,K79,L79,M79)</f>
        <v/>
      </c>
      <c r="O79" s="23">
        <f>AVERAGE(,H79,I79,J79,K79,L79,M79)</f>
        <v/>
      </c>
      <c r="P79" s="142">
        <f>SUMIFS(領用表!$L:$L,領用表!$E:$E,$B79,領用表!$B:$B,P$2&amp;$P$1)</f>
        <v/>
      </c>
      <c r="Q79" s="142">
        <f>SUMIFS(領用表!$L:$L,領用表!$E:$E,$B79,領用表!$B:$B,Q$2&amp;$P$1)</f>
        <v/>
      </c>
      <c r="R79" s="142">
        <f>SUMIFS(領用表!$L:$L,領用表!$E:$E,$B79,領用表!$B:$B,R$2&amp;$P$1)</f>
        <v/>
      </c>
      <c r="S79" s="142">
        <f>SUMIFS(領用表!$L:$L,領用表!$E:$E,$B79,領用表!$B:$B,S$2&amp;$P$1)</f>
        <v/>
      </c>
      <c r="T79" s="142">
        <f>SUMIFS(領用表!$L:$L,領用表!$E:$E,$B79,領用表!$B:$B,T$2&amp;$P$1)</f>
        <v/>
      </c>
      <c r="U79" s="142" t="n"/>
      <c r="V79" s="142">
        <f>SUMIFS(領用表!$L:$L,領用表!$E:$E,$B79,領用表!$B:$B,V$2&amp;$P$1)</f>
        <v/>
      </c>
      <c r="W79" s="142">
        <f>SUMIFS(領用表!$L:$L,領用表!$E:$E,$B79,領用表!$B:$B,W$2&amp;$P$1)</f>
        <v/>
      </c>
      <c r="X79" s="142">
        <f>SUMIFS(領用表!$L:$L,領用表!$E:$E,$B79,領用表!$B:$B,X$2&amp;$P$1)</f>
        <v/>
      </c>
      <c r="Y79" s="142">
        <f>SUMIFS(領用表!$L:$L,領用表!$E:$E,$B79,領用表!$B:$B,Y$2&amp;$P$1)</f>
        <v/>
      </c>
      <c r="Z79" s="142">
        <f>SUMIFS(領用表!$L:$L,領用表!$E:$E,$B79,領用表!$B:$B,Z$2&amp;$P$1)</f>
        <v/>
      </c>
      <c r="AA79" s="142">
        <f>SUMIFS(領用表!$L:$L,領用表!$E:$E,$B79,領用表!$B:$B,AA$2&amp;$P$1)</f>
        <v/>
      </c>
      <c r="AB79" s="142">
        <f>SUM(P79,Q79,R79,S79,T79,U79)</f>
        <v/>
      </c>
      <c r="AC79" s="142">
        <f>AVERAGE(P79,Q79,R79,S79,T79,U79)</f>
        <v/>
      </c>
      <c r="AD79" s="142">
        <f>SUMIF(Summary!B:B,B79,Summary!EB:EB)</f>
        <v/>
      </c>
      <c r="AE79" s="108" t="n">
        <v>230</v>
      </c>
      <c r="AF79" s="65" t="n"/>
      <c r="AG79" s="65" t="inlineStr">
        <is>
          <t>440-10/22</t>
        </is>
      </c>
      <c r="AH79" s="65" t="inlineStr">
        <is>
          <t>660-10/22</t>
        </is>
      </c>
      <c r="AI79" s="27" t="n"/>
      <c r="AJ79" s="69" t="n"/>
      <c r="AK79" s="14" t="n"/>
      <c r="AL79" s="29" t="n"/>
    </row>
    <row r="80" ht="15.75" customHeight="1" s="453">
      <c r="A80" s="27" t="inlineStr">
        <is>
          <t>MB3ME090003A</t>
        </is>
      </c>
      <c r="B80" s="14" t="n">
        <v>6120003</v>
      </c>
      <c r="C80" s="14" t="inlineStr">
        <is>
          <t>貝力多(雙胜胺) 20% 30mL/ 瓶</t>
        </is>
      </c>
      <c r="D80" s="67" t="n">
        <v>10</v>
      </c>
      <c r="E80" s="17" t="inlineStr">
        <is>
          <t>PCS</t>
        </is>
      </c>
      <c r="F80" s="18" t="n"/>
      <c r="G80" s="18" t="n">
        <v>1</v>
      </c>
      <c r="H80" s="20">
        <f>SUMIFS(領用表!$L:$L,領用表!$E:$E,$B80,領用表!$B:$B,H$2&amp;$P$1)</f>
        <v/>
      </c>
      <c r="I80" s="20">
        <f>SUMIFS(領用表!$L:$L,領用表!$E:$E,$B80,領用表!$B:$B,I$2&amp;$P$1)</f>
        <v/>
      </c>
      <c r="J80" s="20">
        <f>SUMIFS(領用表!$L:$L,領用表!$E:$E,$B80,領用表!$B:$B,J$2&amp;$P$1)</f>
        <v/>
      </c>
      <c r="K80" s="142">
        <f>SUMIFS(領用表!$L:$L,領用表!$E:$E,$B80,領用表!$B:$B,K$2&amp;$P$1)</f>
        <v/>
      </c>
      <c r="L80" s="142">
        <f>SUMIFS(領用表!$L:$L,領用表!$E:$E,$B80,領用表!$B:$B,L$2&amp;$P$1)</f>
        <v/>
      </c>
      <c r="M80" s="142">
        <f>SUMIFS(領用表!$L:$L,領用表!$E:$E,$B80,領用表!$B:$B,M$2&amp;$P$1)</f>
        <v/>
      </c>
      <c r="N80" s="23">
        <f>SUM(,H80,I80,J80,K80,L80,M80)</f>
        <v/>
      </c>
      <c r="O80" s="23">
        <f>AVERAGE(,H80,I80,J80,K80,L80,M80)</f>
        <v/>
      </c>
      <c r="P80" s="142">
        <f>SUMIFS(領用表!$L:$L,領用表!$E:$E,$B80,領用表!$B:$B,P$2&amp;$P$1)</f>
        <v/>
      </c>
      <c r="Q80" s="142">
        <f>SUMIFS(領用表!$L:$L,領用表!$E:$E,$B80,領用表!$B:$B,Q$2&amp;$P$1)</f>
        <v/>
      </c>
      <c r="R80" s="142">
        <f>SUMIFS(領用表!$L:$L,領用表!$E:$E,$B80,領用表!$B:$B,R$2&amp;$P$1)</f>
        <v/>
      </c>
      <c r="S80" s="142">
        <f>SUMIFS(領用表!$L:$L,領用表!$E:$E,$B80,領用表!$B:$B,S$2&amp;$P$1)</f>
        <v/>
      </c>
      <c r="T80" s="142">
        <f>SUMIFS(領用表!$L:$L,領用表!$E:$E,$B80,領用表!$B:$B,T$2&amp;$P$1)</f>
        <v/>
      </c>
      <c r="U80" s="142" t="n"/>
      <c r="V80" s="142">
        <f>SUMIFS(領用表!$L:$L,領用表!$E:$E,$B80,領用表!$B:$B,V$2&amp;$P$1)</f>
        <v/>
      </c>
      <c r="W80" s="142">
        <f>SUMIFS(領用表!$L:$L,領用表!$E:$E,$B80,領用表!$B:$B,W$2&amp;$P$1)</f>
        <v/>
      </c>
      <c r="X80" s="142">
        <f>SUMIFS(領用表!$L:$L,領用表!$E:$E,$B80,領用表!$B:$B,X$2&amp;$P$1)</f>
        <v/>
      </c>
      <c r="Y80" s="142">
        <f>SUMIFS(領用表!$L:$L,領用表!$E:$E,$B80,領用表!$B:$B,Y$2&amp;$P$1)</f>
        <v/>
      </c>
      <c r="Z80" s="142">
        <f>SUMIFS(領用表!$L:$L,領用表!$E:$E,$B80,領用表!$B:$B,Z$2&amp;$P$1)</f>
        <v/>
      </c>
      <c r="AA80" s="142">
        <f>SUMIFS(領用表!$L:$L,領用表!$E:$E,$B80,領用表!$B:$B,AA$2&amp;$P$1)</f>
        <v/>
      </c>
      <c r="AB80" s="142">
        <f>SUM(P80,Q80,R80,S80,T80,U80)</f>
        <v/>
      </c>
      <c r="AC80" s="142">
        <f>AVERAGE(P80,Q80,R80,S80,T80,U80)</f>
        <v/>
      </c>
      <c r="AD80" s="142">
        <f>SUMIF(Summary!B:B,B80,Summary!EB:EB)</f>
        <v/>
      </c>
      <c r="AE80" s="108" t="n">
        <v>0</v>
      </c>
      <c r="AF80" s="65" t="n"/>
      <c r="AG80" s="65" t="n"/>
      <c r="AH80" s="65" t="n"/>
      <c r="AI80" s="27" t="n"/>
      <c r="AJ80" s="69" t="n"/>
      <c r="AK80" s="14" t="n"/>
      <c r="AL80" s="29" t="n"/>
    </row>
    <row r="81" ht="15.75" customHeight="1" s="453">
      <c r="A81" s="27" t="inlineStr">
        <is>
          <t>MB3ME090037A</t>
        </is>
      </c>
      <c r="B81" s="14" t="n">
        <v>6120036</v>
      </c>
      <c r="C81" s="14" t="inlineStr">
        <is>
          <t>貝力多(雙胜胺) 20% 50mL/ 瓶</t>
        </is>
      </c>
      <c r="D81" s="67" t="n">
        <v>10</v>
      </c>
      <c r="E81" s="17" t="inlineStr">
        <is>
          <t>PCS</t>
        </is>
      </c>
      <c r="F81" s="18" t="n"/>
      <c r="G81" s="18" t="n">
        <v>117</v>
      </c>
      <c r="H81" s="20">
        <f>SUMIFS(領用表!$L:$L,領用表!$E:$E,$B81,領用表!$B:$B,H$2&amp;$P$1)</f>
        <v/>
      </c>
      <c r="I81" s="20">
        <f>SUMIFS(領用表!$L:$L,領用表!$E:$E,$B81,領用表!$B:$B,I$2&amp;$P$1)</f>
        <v/>
      </c>
      <c r="J81" s="20">
        <f>SUMIFS(領用表!$L:$L,領用表!$E:$E,$B81,領用表!$B:$B,J$2&amp;$P$1)</f>
        <v/>
      </c>
      <c r="K81" s="142">
        <f>SUMIFS(領用表!$L:$L,領用表!$E:$E,$B81,領用表!$B:$B,K$2&amp;$P$1)</f>
        <v/>
      </c>
      <c r="L81" s="142">
        <f>SUMIFS(領用表!$L:$L,領用表!$E:$E,$B81,領用表!$B:$B,L$2&amp;$P$1)</f>
        <v/>
      </c>
      <c r="M81" s="142">
        <f>SUMIFS(領用表!$L:$L,領用表!$E:$E,$B81,領用表!$B:$B,M$2&amp;$P$1)</f>
        <v/>
      </c>
      <c r="N81" s="23">
        <f>SUM(,H81,I81,J81,K81,L81,M81)</f>
        <v/>
      </c>
      <c r="O81" s="23">
        <f>AVERAGE(,H81,I81,J81,K81,L81,M81)</f>
        <v/>
      </c>
      <c r="P81" s="142">
        <f>SUMIFS(領用表!$L:$L,領用表!$E:$E,$B81,領用表!$B:$B,P$2&amp;$P$1)</f>
        <v/>
      </c>
      <c r="Q81" s="142">
        <f>SUMIFS(領用表!$L:$L,領用表!$E:$E,$B81,領用表!$B:$B,Q$2&amp;$P$1)</f>
        <v/>
      </c>
      <c r="R81" s="142">
        <f>SUMIFS(領用表!$L:$L,領用表!$E:$E,$B81,領用表!$B:$B,R$2&amp;$P$1)</f>
        <v/>
      </c>
      <c r="S81" s="142">
        <f>SUMIFS(領用表!$L:$L,領用表!$E:$E,$B81,領用表!$B:$B,S$2&amp;$P$1)</f>
        <v/>
      </c>
      <c r="T81" s="142">
        <f>SUMIFS(領用表!$L:$L,領用表!$E:$E,$B81,領用表!$B:$B,T$2&amp;$P$1)</f>
        <v/>
      </c>
      <c r="U81" s="142" t="n">
        <v>1</v>
      </c>
      <c r="V81" s="142">
        <f>SUMIFS(領用表!$L:$L,領用表!$E:$E,$B81,領用表!$B:$B,V$2&amp;$P$1)</f>
        <v/>
      </c>
      <c r="W81" s="142">
        <f>SUMIFS(領用表!$L:$L,領用表!$E:$E,$B81,領用表!$B:$B,W$2&amp;$P$1)</f>
        <v/>
      </c>
      <c r="X81" s="142">
        <f>SUMIFS(領用表!$L:$L,領用表!$E:$E,$B81,領用表!$B:$B,X$2&amp;$P$1)</f>
        <v/>
      </c>
      <c r="Y81" s="142">
        <f>SUMIFS(領用表!$L:$L,領用表!$E:$E,$B81,領用表!$B:$B,Y$2&amp;$P$1)</f>
        <v/>
      </c>
      <c r="Z81" s="142">
        <f>SUMIFS(領用表!$L:$L,領用表!$E:$E,$B81,領用表!$B:$B,Z$2&amp;$P$1)</f>
        <v/>
      </c>
      <c r="AA81" s="142">
        <f>SUMIFS(領用表!$L:$L,領用表!$E:$E,$B81,領用表!$B:$B,AA$2&amp;$P$1)</f>
        <v/>
      </c>
      <c r="AB81" s="142">
        <f>SUM(P81,Q81,R81,S81,T81,U81)</f>
        <v/>
      </c>
      <c r="AC81" s="142">
        <f>AVERAGE(P81,Q81,R81,S81,T81,U81)</f>
        <v/>
      </c>
      <c r="AD81" s="142">
        <f>SUMIF(Summary!B:B,B81,Summary!EB:EB)</f>
        <v/>
      </c>
      <c r="AE81" s="108" t="n">
        <v>0</v>
      </c>
      <c r="AF81" s="65" t="n"/>
      <c r="AG81" s="65" t="n"/>
      <c r="AH81" s="65" t="n"/>
      <c r="AI81" s="27" t="n"/>
      <c r="AJ81" s="69" t="n"/>
      <c r="AK81" s="14" t="n"/>
      <c r="AL81" s="29" t="n"/>
    </row>
    <row r="82" ht="15.75" customHeight="1" s="453">
      <c r="A82" s="27" t="inlineStr">
        <is>
          <t>MB3ME090004A</t>
        </is>
      </c>
      <c r="B82" s="14" t="n">
        <v>6200003</v>
      </c>
      <c r="C82" s="14" t="inlineStr">
        <is>
          <t>倍克脂</t>
        </is>
      </c>
      <c r="D82" s="75" t="n">
        <v>1</v>
      </c>
      <c r="E82" s="17" t="inlineStr">
        <is>
          <t>PCS</t>
        </is>
      </c>
      <c r="F82" s="18" t="n"/>
      <c r="G82" s="18" t="n">
        <v>22</v>
      </c>
      <c r="H82" s="20">
        <f>SUMIFS(領用表!$L:$L,領用表!$E:$E,$B82,領用表!$B:$B,H$2&amp;$P$1)</f>
        <v/>
      </c>
      <c r="I82" s="20">
        <f>SUMIFS(領用表!$L:$L,領用表!$E:$E,$B82,領用表!$B:$B,I$2&amp;$P$1)</f>
        <v/>
      </c>
      <c r="J82" s="20">
        <f>SUMIFS(領用表!$L:$L,領用表!$E:$E,$B82,領用表!$B:$B,J$2&amp;$P$1)</f>
        <v/>
      </c>
      <c r="K82" s="142">
        <f>SUMIFS(領用表!$L:$L,領用表!$E:$E,$B82,領用表!$B:$B,K$2&amp;$P$1)</f>
        <v/>
      </c>
      <c r="L82" s="142">
        <f>SUMIFS(領用表!$L:$L,領用表!$E:$E,$B82,領用表!$B:$B,L$2&amp;$P$1)</f>
        <v/>
      </c>
      <c r="M82" s="142">
        <f>SUMIFS(領用表!$L:$L,領用表!$E:$E,$B82,領用表!$B:$B,M$2&amp;$P$1)</f>
        <v/>
      </c>
      <c r="N82" s="23">
        <f>SUM(,H82,I82,J82,K82,L82,M82)</f>
        <v/>
      </c>
      <c r="O82" s="23">
        <f>AVERAGE(,H82,I82,J82,K82,L82,M82)</f>
        <v/>
      </c>
      <c r="P82" s="142">
        <f>SUMIFS(領用表!$L:$L,領用表!$E:$E,$B82,領用表!$B:$B,P$2&amp;$P$1)</f>
        <v/>
      </c>
      <c r="Q82" s="142">
        <f>SUMIFS(領用表!$L:$L,領用表!$E:$E,$B82,領用表!$B:$B,Q$2&amp;$P$1)</f>
        <v/>
      </c>
      <c r="R82" s="142">
        <f>SUMIFS(領用表!$L:$L,領用表!$E:$E,$B82,領用表!$B:$B,R$2&amp;$P$1)</f>
        <v/>
      </c>
      <c r="S82" s="142">
        <f>SUMIFS(領用表!$L:$L,領用表!$E:$E,$B82,領用表!$B:$B,S$2&amp;$P$1)</f>
        <v/>
      </c>
      <c r="T82" s="142">
        <f>SUMIFS(領用表!$L:$L,領用表!$E:$E,$B82,領用表!$B:$B,T$2&amp;$P$1)</f>
        <v/>
      </c>
      <c r="U82" s="142" t="n"/>
      <c r="V82" s="142">
        <f>SUMIFS(領用表!$L:$L,領用表!$E:$E,$B82,領用表!$B:$B,V$2&amp;$P$1)</f>
        <v/>
      </c>
      <c r="W82" s="142">
        <f>SUMIFS(領用表!$L:$L,領用表!$E:$E,$B82,領用表!$B:$B,W$2&amp;$P$1)</f>
        <v/>
      </c>
      <c r="X82" s="142">
        <f>SUMIFS(領用表!$L:$L,領用表!$E:$E,$B82,領用表!$B:$B,X$2&amp;$P$1)</f>
        <v/>
      </c>
      <c r="Y82" s="142">
        <f>SUMIFS(領用表!$L:$L,領用表!$E:$E,$B82,領用表!$B:$B,Y$2&amp;$P$1)</f>
        <v/>
      </c>
      <c r="Z82" s="142">
        <f>SUMIFS(領用表!$L:$L,領用表!$E:$E,$B82,領用表!$B:$B,Z$2&amp;$P$1)</f>
        <v/>
      </c>
      <c r="AA82" s="142">
        <f>SUMIFS(領用表!$L:$L,領用表!$E:$E,$B82,領用表!$B:$B,AA$2&amp;$P$1)</f>
        <v/>
      </c>
      <c r="AB82" s="142">
        <f>SUM(P82,Q82,R82,S82,T82,U82)</f>
        <v/>
      </c>
      <c r="AC82" s="142">
        <f>AVERAGE(P82,Q82,R82,S82,T82,U82)</f>
        <v/>
      </c>
      <c r="AD82" s="142">
        <f>SUMIF(Summary!B:B,B82,Summary!EB:EB)</f>
        <v/>
      </c>
      <c r="AE82" s="108" t="n">
        <v>10</v>
      </c>
      <c r="AF82" s="65" t="n"/>
      <c r="AG82" s="65" t="n"/>
      <c r="AH82" s="65" t="n"/>
      <c r="AI82" s="27" t="n"/>
      <c r="AJ82" s="69" t="n"/>
      <c r="AK82" s="14" t="n"/>
      <c r="AL82" s="29" t="n"/>
    </row>
    <row r="83" ht="15.75" customHeight="1" s="453">
      <c r="A83" s="27" t="inlineStr">
        <is>
          <t>MB3ME090005A</t>
        </is>
      </c>
      <c r="B83" s="14" t="n">
        <v>6200006</v>
      </c>
      <c r="C83" s="136" t="inlineStr">
        <is>
          <t>容脂</t>
        </is>
      </c>
      <c r="D83" s="75" t="n">
        <v>1</v>
      </c>
      <c r="E83" s="17" t="inlineStr">
        <is>
          <t>PCS</t>
        </is>
      </c>
      <c r="F83" s="18" t="n"/>
      <c r="G83" s="18" t="n">
        <v>0</v>
      </c>
      <c r="H83" s="20">
        <f>SUMIFS(領用表!$L:$L,領用表!$E:$E,$B83,領用表!$B:$B,H$2&amp;$P$1)</f>
        <v/>
      </c>
      <c r="I83" s="20">
        <f>SUMIFS(領用表!$L:$L,領用表!$E:$E,$B83,領用表!$B:$B,I$2&amp;$P$1)</f>
        <v/>
      </c>
      <c r="J83" s="20">
        <f>SUMIFS(領用表!$L:$L,領用表!$E:$E,$B83,領用表!$B:$B,J$2&amp;$P$1)</f>
        <v/>
      </c>
      <c r="K83" s="142">
        <f>SUMIFS(領用表!$L:$L,領用表!$E:$E,$B83,領用表!$B:$B,K$2&amp;$P$1)</f>
        <v/>
      </c>
      <c r="L83" s="142">
        <f>SUMIFS(領用表!$L:$L,領用表!$E:$E,$B83,領用表!$B:$B,L$2&amp;$P$1)</f>
        <v/>
      </c>
      <c r="M83" s="142">
        <f>SUMIFS(領用表!$L:$L,領用表!$E:$E,$B83,領用表!$B:$B,M$2&amp;$P$1)</f>
        <v/>
      </c>
      <c r="N83" s="23">
        <f>SUM(,H83,I83,J83,K83,L83,M83)</f>
        <v/>
      </c>
      <c r="O83" s="23">
        <f>AVERAGE(,H83,I83,J83,K83,L83,M83)</f>
        <v/>
      </c>
      <c r="P83" s="142">
        <f>SUMIFS(領用表!$L:$L,領用表!$E:$E,$B83,領用表!$B:$B,P$2&amp;$P$1)</f>
        <v/>
      </c>
      <c r="Q83" s="142">
        <f>SUMIFS(領用表!$L:$L,領用表!$E:$E,$B83,領用表!$B:$B,Q$2&amp;$P$1)</f>
        <v/>
      </c>
      <c r="R83" s="142">
        <f>SUMIFS(領用表!$L:$L,領用表!$E:$E,$B83,領用表!$B:$B,R$2&amp;$P$1)</f>
        <v/>
      </c>
      <c r="S83" s="142">
        <f>SUMIFS(領用表!$L:$L,領用表!$E:$E,$B83,領用表!$B:$B,S$2&amp;$P$1)</f>
        <v/>
      </c>
      <c r="T83" s="142">
        <f>SUMIFS(領用表!$L:$L,領用表!$E:$E,$B83,領用表!$B:$B,T$2&amp;$P$1)</f>
        <v/>
      </c>
      <c r="U83" s="142" t="n"/>
      <c r="V83" s="142">
        <f>SUMIFS(領用表!$L:$L,領用表!$E:$E,$B83,領用表!$B:$B,V$2&amp;$P$1)</f>
        <v/>
      </c>
      <c r="W83" s="142">
        <f>SUMIFS(領用表!$L:$L,領用表!$E:$E,$B83,領用表!$B:$B,W$2&amp;$P$1)</f>
        <v/>
      </c>
      <c r="X83" s="142">
        <f>SUMIFS(領用表!$L:$L,領用表!$E:$E,$B83,領用表!$B:$B,X$2&amp;$P$1)</f>
        <v/>
      </c>
      <c r="Y83" s="142">
        <f>SUMIFS(領用表!$L:$L,領用表!$E:$E,$B83,領用表!$B:$B,Y$2&amp;$P$1)</f>
        <v/>
      </c>
      <c r="Z83" s="142">
        <f>SUMIFS(領用表!$L:$L,領用表!$E:$E,$B83,領用表!$B:$B,Z$2&amp;$P$1)</f>
        <v/>
      </c>
      <c r="AA83" s="142">
        <f>SUMIFS(領用表!$L:$L,領用表!$E:$E,$B83,領用表!$B:$B,AA$2&amp;$P$1)</f>
        <v/>
      </c>
      <c r="AB83" s="142">
        <f>SUM(P83,Q83,R83,S83,T83,U83)</f>
        <v/>
      </c>
      <c r="AC83" s="142">
        <f>AVERAGE(P83,Q83,R83,S83,T83,U83)</f>
        <v/>
      </c>
      <c r="AD83" s="142">
        <f>SUMIF(Summary!B:B,B83,Summary!EB:EB)</f>
        <v/>
      </c>
      <c r="AE83" s="108" t="n">
        <v>5</v>
      </c>
      <c r="AF83" s="65" t="n"/>
      <c r="AG83" s="65" t="n"/>
      <c r="AH83" s="65" t="n"/>
      <c r="AI83" s="27" t="n"/>
      <c r="AJ83" s="27" t="n"/>
      <c r="AK83" s="14" t="n"/>
      <c r="AL83" s="29" t="n"/>
    </row>
    <row r="84" ht="15.75" customHeight="1" s="453">
      <c r="A84" s="27" t="n"/>
      <c r="B84" s="14" t="n">
        <v>6120004</v>
      </c>
      <c r="C84" s="135" t="inlineStr">
        <is>
          <t>安命活源 250ML</t>
        </is>
      </c>
      <c r="D84" s="75" t="n">
        <v>10</v>
      </c>
      <c r="E84" s="17" t="inlineStr">
        <is>
          <t>袋</t>
        </is>
      </c>
      <c r="F84" s="18" t="n"/>
      <c r="G84" s="18" t="n">
        <v>196</v>
      </c>
      <c r="H84" s="20">
        <f>SUMIFS(領用表!$L:$L,領用表!$E:$E,$B84,領用表!$B:$B,H$2&amp;$P$1)</f>
        <v/>
      </c>
      <c r="I84" s="20">
        <f>SUMIFS(領用表!$L:$L,領用表!$E:$E,$B84,領用表!$B:$B,I$2&amp;$P$1)</f>
        <v/>
      </c>
      <c r="J84" s="20">
        <f>SUMIFS(領用表!$L:$L,領用表!$E:$E,$B84,領用表!$B:$B,J$2&amp;$P$1)</f>
        <v/>
      </c>
      <c r="K84" s="142">
        <f>SUMIFS(領用表!$L:$L,領用表!$E:$E,$B84,領用表!$B:$B,K$2&amp;$P$1)</f>
        <v/>
      </c>
      <c r="L84" s="142">
        <f>SUMIFS(領用表!$L:$L,領用表!$E:$E,$B84,領用表!$B:$B,L$2&amp;$P$1)</f>
        <v/>
      </c>
      <c r="M84" s="142">
        <f>SUMIFS(領用表!$L:$L,領用表!$E:$E,$B84,領用表!$B:$B,M$2&amp;$P$1)</f>
        <v/>
      </c>
      <c r="N84" s="23">
        <f>SUM(,H84,I84,J84,K84,L84,M84)</f>
        <v/>
      </c>
      <c r="O84" s="23">
        <f>AVERAGE(,H84,I84,J84,K84,L84,M84)</f>
        <v/>
      </c>
      <c r="P84" s="142">
        <f>SUMIFS(領用表!$L:$L,領用表!$E:$E,$B84,領用表!$B:$B,P$2&amp;$P$1)</f>
        <v/>
      </c>
      <c r="Q84" s="142">
        <f>SUMIFS(領用表!$L:$L,領用表!$E:$E,$B84,領用表!$B:$B,Q$2&amp;$P$1)</f>
        <v/>
      </c>
      <c r="R84" s="142">
        <f>SUMIFS(領用表!$L:$L,領用表!$E:$E,$B84,領用表!$B:$B,R$2&amp;$P$1)</f>
        <v/>
      </c>
      <c r="S84" s="142">
        <f>SUMIFS(領用表!$L:$L,領用表!$E:$E,$B84,領用表!$B:$B,S$2&amp;$P$1)</f>
        <v/>
      </c>
      <c r="T84" s="142">
        <f>SUMIFS(領用表!$L:$L,領用表!$E:$E,$B84,領用表!$B:$B,T$2&amp;$P$1)</f>
        <v/>
      </c>
      <c r="U84" s="142" t="n">
        <v>1</v>
      </c>
      <c r="V84" s="142">
        <f>SUMIFS(領用表!$L:$L,領用表!$E:$E,$B84,領用表!$B:$B,V$2&amp;$P$1)</f>
        <v/>
      </c>
      <c r="W84" s="142">
        <f>SUMIFS(領用表!$L:$L,領用表!$E:$E,$B84,領用表!$B:$B,W$2&amp;$P$1)</f>
        <v/>
      </c>
      <c r="X84" s="142">
        <f>SUMIFS(領用表!$L:$L,領用表!$E:$E,$B84,領用表!$B:$B,X$2&amp;$P$1)</f>
        <v/>
      </c>
      <c r="Y84" s="142">
        <f>SUMIFS(領用表!$L:$L,領用表!$E:$E,$B84,領用表!$B:$B,Y$2&amp;$P$1)</f>
        <v/>
      </c>
      <c r="Z84" s="142">
        <f>SUMIFS(領用表!$L:$L,領用表!$E:$E,$B84,領用表!$B:$B,Z$2&amp;$P$1)</f>
        <v/>
      </c>
      <c r="AA84" s="142">
        <f>SUMIFS(領用表!$L:$L,領用表!$E:$E,$B84,領用表!$B:$B,AA$2&amp;$P$1)</f>
        <v/>
      </c>
      <c r="AB84" s="142">
        <f>SUM(P84,Q84,R84,S84,T84,U84)</f>
        <v/>
      </c>
      <c r="AC84" s="142">
        <f>AVERAGE(P84,Q84,R84,S84,T84,U84)</f>
        <v/>
      </c>
      <c r="AD84" s="142">
        <f>SUMIF(Summary!B:B,B84,Summary!EB:EB)</f>
        <v/>
      </c>
      <c r="AE84" s="108" t="n">
        <v>10</v>
      </c>
      <c r="AF84" s="65" t="n"/>
      <c r="AG84" s="65" t="n"/>
      <c r="AH84" s="65" t="n"/>
      <c r="AI84" s="27" t="n"/>
      <c r="AJ84" s="27" t="n"/>
      <c r="AK84" s="14" t="n"/>
      <c r="AL84" s="29" t="n"/>
    </row>
    <row r="85" ht="15.75" customHeight="1" s="453">
      <c r="A85" s="27" t="n"/>
      <c r="B85" s="14" t="n">
        <v>6120006</v>
      </c>
      <c r="C85" s="136" t="inlineStr">
        <is>
          <t>B12 愛壽命注射液 2ml</t>
        </is>
      </c>
      <c r="D85" s="72" t="n">
        <v>100</v>
      </c>
      <c r="E85" s="17" t="inlineStr">
        <is>
          <t>PCS</t>
        </is>
      </c>
      <c r="F85" s="18" t="n"/>
      <c r="G85" s="18" t="n">
        <v>751</v>
      </c>
      <c r="H85" s="20">
        <f>SUMIFS(領用表!$L:$L,領用表!$E:$E,$B85,領用表!$B:$B,H$2&amp;$P$1)</f>
        <v/>
      </c>
      <c r="I85" s="20">
        <f>SUMIFS(領用表!$L:$L,領用表!$E:$E,$B85,領用表!$B:$B,I$2&amp;$P$1)</f>
        <v/>
      </c>
      <c r="J85" s="20">
        <f>SUMIFS(領用表!$L:$L,領用表!$E:$E,$B85,領用表!$B:$B,J$2&amp;$P$1)</f>
        <v/>
      </c>
      <c r="K85" s="142">
        <f>SUMIFS(領用表!$L:$L,領用表!$E:$E,$B85,領用表!$B:$B,K$2&amp;$P$1)</f>
        <v/>
      </c>
      <c r="L85" s="142">
        <f>SUMIFS(領用表!$L:$L,領用表!$E:$E,$B85,領用表!$B:$B,L$2&amp;$P$1)</f>
        <v/>
      </c>
      <c r="M85" s="142">
        <f>SUMIFS(領用表!$L:$L,領用表!$E:$E,$B85,領用表!$B:$B,M$2&amp;$P$1)</f>
        <v/>
      </c>
      <c r="N85" s="23">
        <f>SUM(,H85,I85,J85,K85,L85,M85)</f>
        <v/>
      </c>
      <c r="O85" s="23">
        <f>AVERAGE(,H85,I85,J85,K85,L85,M85)</f>
        <v/>
      </c>
      <c r="P85" s="142">
        <f>SUMIFS(領用表!$L:$L,領用表!$E:$E,$B85,領用表!$B:$B,P$2&amp;$P$1)</f>
        <v/>
      </c>
      <c r="Q85" s="142">
        <f>SUMIFS(領用表!$L:$L,領用表!$E:$E,$B85,領用表!$B:$B,Q$2&amp;$P$1)</f>
        <v/>
      </c>
      <c r="R85" s="142">
        <f>SUMIFS(領用表!$L:$L,領用表!$E:$E,$B85,領用表!$B:$B,R$2&amp;$P$1)</f>
        <v/>
      </c>
      <c r="S85" s="142">
        <f>SUMIFS(領用表!$L:$L,領用表!$E:$E,$B85,領用表!$B:$B,S$2&amp;$P$1)</f>
        <v/>
      </c>
      <c r="T85" s="142">
        <f>SUMIFS(領用表!$L:$L,領用表!$E:$E,$B85,領用表!$B:$B,T$2&amp;$P$1)</f>
        <v/>
      </c>
      <c r="U85" s="142" t="n">
        <v>1</v>
      </c>
      <c r="V85" s="142">
        <f>SUMIFS(領用表!$L:$L,領用表!$E:$E,$B85,領用表!$B:$B,V$2&amp;$P$1)</f>
        <v/>
      </c>
      <c r="W85" s="142">
        <f>SUMIFS(領用表!$L:$L,領用表!$E:$E,$B85,領用表!$B:$B,W$2&amp;$P$1)</f>
        <v/>
      </c>
      <c r="X85" s="142">
        <f>SUMIFS(領用表!$L:$L,領用表!$E:$E,$B85,領用表!$B:$B,X$2&amp;$P$1)</f>
        <v/>
      </c>
      <c r="Y85" s="142">
        <f>SUMIFS(領用表!$L:$L,領用表!$E:$E,$B85,領用表!$B:$B,Y$2&amp;$P$1)</f>
        <v/>
      </c>
      <c r="Z85" s="142">
        <f>SUMIFS(領用表!$L:$L,領用表!$E:$E,$B85,領用表!$B:$B,Z$2&amp;$P$1)</f>
        <v/>
      </c>
      <c r="AA85" s="142">
        <f>SUMIFS(領用表!$L:$L,領用表!$E:$E,$B85,領用表!$B:$B,AA$2&amp;$P$1)</f>
        <v/>
      </c>
      <c r="AB85" s="142">
        <f>SUM(P85,Q85,R85,S85,T85,U85)</f>
        <v/>
      </c>
      <c r="AC85" s="142">
        <f>AVERAGE(P85,Q85,R85,S85,T85,U85)</f>
        <v/>
      </c>
      <c r="AD85" s="142">
        <f>SUMIF(Summary!B:B,B85,Summary!EB:EB)</f>
        <v/>
      </c>
      <c r="AE85" s="108" t="n">
        <v>100</v>
      </c>
      <c r="AF85" s="65" t="n"/>
      <c r="AG85" s="65" t="inlineStr">
        <is>
          <t>300-10/22</t>
        </is>
      </c>
      <c r="AH85" s="65" t="inlineStr">
        <is>
          <t>400-10/22</t>
        </is>
      </c>
      <c r="AI85" s="27" t="n"/>
      <c r="AJ85" s="69" t="n"/>
      <c r="AK85" s="14" t="n"/>
      <c r="AL85" s="14" t="n"/>
    </row>
    <row r="86" ht="15.75" customHeight="1" s="453">
      <c r="A86" s="27" t="n"/>
      <c r="B86" s="27" t="n">
        <v>6120013</v>
      </c>
      <c r="C86" s="135" t="inlineStr">
        <is>
          <t>NS生理食鹽水 250ML</t>
        </is>
      </c>
      <c r="D86" s="75" t="n"/>
      <c r="E86" s="17" t="inlineStr">
        <is>
          <t>袋</t>
        </is>
      </c>
      <c r="F86" s="18" t="n"/>
      <c r="G86" s="18" t="n">
        <v>163</v>
      </c>
      <c r="H86" s="20">
        <f>SUMIFS(領用表!$L:$L,領用表!$E:$E,$B86,領用表!$B:$B,H$2&amp;$P$1)</f>
        <v/>
      </c>
      <c r="I86" s="20">
        <f>SUMIFS(領用表!$L:$L,領用表!$E:$E,$B86,領用表!$B:$B,I$2&amp;$P$1)</f>
        <v/>
      </c>
      <c r="J86" s="20">
        <f>SUMIFS(領用表!$L:$L,領用表!$E:$E,$B86,領用表!$B:$B,J$2&amp;$P$1)</f>
        <v/>
      </c>
      <c r="K86" s="142">
        <f>SUMIFS(領用表!$L:$L,領用表!$E:$E,$B86,領用表!$B:$B,K$2&amp;$P$1)</f>
        <v/>
      </c>
      <c r="L86" s="142">
        <f>SUMIFS(領用表!$L:$L,領用表!$E:$E,$B86,領用表!$B:$B,L$2&amp;$P$1)</f>
        <v/>
      </c>
      <c r="M86" s="142">
        <f>SUMIFS(領用表!$L:$L,領用表!$E:$E,$B86,領用表!$B:$B,M$2&amp;$P$1)</f>
        <v/>
      </c>
      <c r="N86" s="23">
        <f>SUM(,H86,I86,J86,K86,L86,M86)</f>
        <v/>
      </c>
      <c r="O86" s="23">
        <f>AVERAGE(,H86,I86,J86,K86,L86,M86)</f>
        <v/>
      </c>
      <c r="P86" s="142">
        <f>SUMIFS(領用表!$L:$L,領用表!$E:$E,$B86,領用表!$B:$B,P$2&amp;$P$1)</f>
        <v/>
      </c>
      <c r="Q86" s="142">
        <f>SUMIFS(領用表!$L:$L,領用表!$E:$E,$B86,領用表!$B:$B,Q$2&amp;$P$1)</f>
        <v/>
      </c>
      <c r="R86" s="142">
        <f>SUMIFS(領用表!$L:$L,領用表!$E:$E,$B86,領用表!$B:$B,R$2&amp;$P$1)</f>
        <v/>
      </c>
      <c r="S86" s="142">
        <f>SUMIFS(領用表!$L:$L,領用表!$E:$E,$B86,領用表!$B:$B,S$2&amp;$P$1)</f>
        <v/>
      </c>
      <c r="T86" s="142">
        <f>SUMIFS(領用表!$L:$L,領用表!$E:$E,$B86,領用表!$B:$B,T$2&amp;$P$1)</f>
        <v/>
      </c>
      <c r="U86" s="142" t="n">
        <v>10</v>
      </c>
      <c r="V86" s="142">
        <f>SUMIFS(領用表!$L:$L,領用表!$E:$E,$B86,領用表!$B:$B,V$2&amp;$P$1)</f>
        <v/>
      </c>
      <c r="W86" s="142">
        <f>SUMIFS(領用表!$L:$L,領用表!$E:$E,$B86,領用表!$B:$B,W$2&amp;$P$1)</f>
        <v/>
      </c>
      <c r="X86" s="142">
        <f>SUMIFS(領用表!$L:$L,領用表!$E:$E,$B86,領用表!$B:$B,X$2&amp;$P$1)</f>
        <v/>
      </c>
      <c r="Y86" s="142">
        <f>SUMIFS(領用表!$L:$L,領用表!$E:$E,$B86,領用表!$B:$B,Y$2&amp;$P$1)</f>
        <v/>
      </c>
      <c r="Z86" s="142">
        <f>SUMIFS(領用表!$L:$L,領用表!$E:$E,$B86,領用表!$B:$B,Z$2&amp;$P$1)</f>
        <v/>
      </c>
      <c r="AA86" s="142">
        <f>SUMIFS(領用表!$L:$L,領用表!$E:$E,$B86,領用表!$B:$B,AA$2&amp;$P$1)</f>
        <v/>
      </c>
      <c r="AB86" s="142">
        <f>SUM(P86,Q86,R86,S86,T86,U86)</f>
        <v/>
      </c>
      <c r="AC86" s="142">
        <f>AVERAGE(P86,Q86,R86,S86,T86,U86)</f>
        <v/>
      </c>
      <c r="AD86" s="142">
        <f>SUMIF(Summary!B:B,B86,Summary!EB:EB)</f>
        <v/>
      </c>
      <c r="AE86" s="108" t="n">
        <v>150</v>
      </c>
      <c r="AF86" s="65" t="n"/>
      <c r="AG86" s="76" t="n"/>
      <c r="AH86" s="65" t="n"/>
      <c r="AI86" s="27" t="n"/>
      <c r="AJ86" s="27" t="n"/>
      <c r="AK86" s="14" t="n"/>
      <c r="AL86" s="29" t="n"/>
    </row>
    <row r="87" ht="15.75" customHeight="1" s="453">
      <c r="A87" s="27" t="n"/>
      <c r="B87" s="14" t="n">
        <v>6120014</v>
      </c>
      <c r="C87" s="135" t="inlineStr">
        <is>
          <t xml:space="preserve">D5W 葡萄糖水 250ml </t>
        </is>
      </c>
      <c r="D87" s="75" t="n"/>
      <c r="E87" s="17" t="inlineStr">
        <is>
          <t>袋</t>
        </is>
      </c>
      <c r="F87" s="18" t="n"/>
      <c r="G87" s="18" t="n"/>
      <c r="H87" s="20">
        <f>SUMIFS(領用表!$L:$L,領用表!$E:$E,$B87,領用表!$B:$B,H$2&amp;$P$1)</f>
        <v/>
      </c>
      <c r="I87" s="20">
        <f>SUMIFS(領用表!$L:$L,領用表!$E:$E,$B87,領用表!$B:$B,I$2&amp;$P$1)</f>
        <v/>
      </c>
      <c r="J87" s="20">
        <f>SUMIFS(領用表!$L:$L,領用表!$E:$E,$B87,領用表!$B:$B,J$2&amp;$P$1)</f>
        <v/>
      </c>
      <c r="K87" s="142">
        <f>SUMIFS(領用表!$L:$L,領用表!$E:$E,$B87,領用表!$B:$B,K$2&amp;$P$1)</f>
        <v/>
      </c>
      <c r="L87" s="142">
        <f>SUMIFS(領用表!$L:$L,領用表!$E:$E,$B87,領用表!$B:$B,L$2&amp;$P$1)</f>
        <v/>
      </c>
      <c r="M87" s="142">
        <f>SUMIFS(領用表!$L:$L,領用表!$E:$E,$B87,領用表!$B:$B,M$2&amp;$P$1)</f>
        <v/>
      </c>
      <c r="N87" s="23">
        <f>SUM(,H87,I87,J87,K87,L87,M87)</f>
        <v/>
      </c>
      <c r="O87" s="23">
        <f>AVERAGE(,H87,I87,J87,K87,L87,M87)</f>
        <v/>
      </c>
      <c r="P87" s="142">
        <f>SUMIFS(領用表!$L:$L,領用表!$E:$E,$B87,領用表!$B:$B,P$2&amp;$P$1)</f>
        <v/>
      </c>
      <c r="Q87" s="142">
        <f>SUMIFS(領用表!$L:$L,領用表!$E:$E,$B87,領用表!$B:$B,Q$2&amp;$P$1)</f>
        <v/>
      </c>
      <c r="R87" s="142">
        <f>SUMIFS(領用表!$L:$L,領用表!$E:$E,$B87,領用表!$B:$B,R$2&amp;$P$1)</f>
        <v/>
      </c>
      <c r="S87" s="142">
        <f>SUMIFS(領用表!$L:$L,領用表!$E:$E,$B87,領用表!$B:$B,S$2&amp;$P$1)</f>
        <v/>
      </c>
      <c r="T87" s="142">
        <f>SUMIFS(領用表!$L:$L,領用表!$E:$E,$B87,領用表!$B:$B,T$2&amp;$P$1)</f>
        <v/>
      </c>
      <c r="U87" s="142" t="n"/>
      <c r="V87" s="142">
        <f>SUMIFS(領用表!$L:$L,領用表!$E:$E,$B87,領用表!$B:$B,V$2&amp;$P$1)</f>
        <v/>
      </c>
      <c r="W87" s="142">
        <f>SUMIFS(領用表!$L:$L,領用表!$E:$E,$B87,領用表!$B:$B,W$2&amp;$P$1)</f>
        <v/>
      </c>
      <c r="X87" s="142">
        <f>SUMIFS(領用表!$L:$L,領用表!$E:$E,$B87,領用表!$B:$B,X$2&amp;$P$1)</f>
        <v/>
      </c>
      <c r="Y87" s="142">
        <f>SUMIFS(領用表!$L:$L,領用表!$E:$E,$B87,領用表!$B:$B,Y$2&amp;$P$1)</f>
        <v/>
      </c>
      <c r="Z87" s="142">
        <f>SUMIFS(領用表!$L:$L,領用表!$E:$E,$B87,領用表!$B:$B,Z$2&amp;$P$1)</f>
        <v/>
      </c>
      <c r="AA87" s="142">
        <f>SUMIFS(領用表!$L:$L,領用表!$E:$E,$B87,領用表!$B:$B,AA$2&amp;$P$1)</f>
        <v/>
      </c>
      <c r="AB87" s="142">
        <f>SUM(P87,Q87,R87,S87,T87,U87)</f>
        <v/>
      </c>
      <c r="AC87" s="142">
        <f>AVERAGE(P87,Q87,R87,S87,T87,U87)</f>
        <v/>
      </c>
      <c r="AD87" s="142">
        <f>SUMIF(Summary!B:B,B87,Summary!EB:EB)</f>
        <v/>
      </c>
      <c r="AE87" s="108" t="n">
        <v>35</v>
      </c>
      <c r="AF87" s="65" t="n"/>
      <c r="AG87" s="65" t="n"/>
      <c r="AH87" s="65" t="n"/>
      <c r="AI87" s="27" t="n"/>
      <c r="AJ87" s="27" t="n"/>
      <c r="AK87" s="14" t="n"/>
      <c r="AL87" s="29" t="n"/>
    </row>
    <row r="88" ht="15.75" customHeight="1" s="453">
      <c r="A88" s="27" t="n"/>
      <c r="B88" s="14" t="n">
        <v>6120015</v>
      </c>
      <c r="C88" s="136" t="inlineStr">
        <is>
          <t>B群 淘能美 2ml</t>
        </is>
      </c>
      <c r="D88" s="72" t="n"/>
      <c r="E88" s="17" t="inlineStr">
        <is>
          <t>PCS</t>
        </is>
      </c>
      <c r="F88" s="18" t="n"/>
      <c r="G88" s="18" t="n">
        <v>60</v>
      </c>
      <c r="H88" s="20">
        <f>SUMIFS(領用表!$L:$L,領用表!$E:$E,$B88,領用表!$B:$B,H$2&amp;$P$1)</f>
        <v/>
      </c>
      <c r="I88" s="20">
        <f>SUMIFS(領用表!$L:$L,領用表!$E:$E,$B88,領用表!$B:$B,I$2&amp;$P$1)</f>
        <v/>
      </c>
      <c r="J88" s="20">
        <f>SUMIFS(領用表!$L:$L,領用表!$E:$E,$B88,領用表!$B:$B,J$2&amp;$P$1)</f>
        <v/>
      </c>
      <c r="K88" s="142">
        <f>SUMIFS(領用表!$L:$L,領用表!$E:$E,$B88,領用表!$B:$B,K$2&amp;$P$1)</f>
        <v/>
      </c>
      <c r="L88" s="142">
        <f>SUMIFS(領用表!$L:$L,領用表!$E:$E,$B88,領用表!$B:$B,L$2&amp;$P$1)</f>
        <v/>
      </c>
      <c r="M88" s="142">
        <f>SUMIFS(領用表!$L:$L,領用表!$E:$E,$B88,領用表!$B:$B,M$2&amp;$P$1)</f>
        <v/>
      </c>
      <c r="N88" s="23">
        <f>SUM(,H88,I88,J88,K88,L88,M88)</f>
        <v/>
      </c>
      <c r="O88" s="23">
        <f>AVERAGE(,H88,I88,J88,K88,L88,M88)</f>
        <v/>
      </c>
      <c r="P88" s="142">
        <f>SUMIFS(領用表!$L:$L,領用表!$E:$E,$B88,領用表!$B:$B,P$2&amp;$P$1)</f>
        <v/>
      </c>
      <c r="Q88" s="142">
        <f>SUMIFS(領用表!$L:$L,領用表!$E:$E,$B88,領用表!$B:$B,Q$2&amp;$P$1)</f>
        <v/>
      </c>
      <c r="R88" s="142">
        <f>SUMIFS(領用表!$L:$L,領用表!$E:$E,$B88,領用表!$B:$B,R$2&amp;$P$1)</f>
        <v/>
      </c>
      <c r="S88" s="142">
        <f>SUMIFS(領用表!$L:$L,領用表!$E:$E,$B88,領用表!$B:$B,S$2&amp;$P$1)</f>
        <v/>
      </c>
      <c r="T88" s="142">
        <f>SUMIFS(領用表!$L:$L,領用表!$E:$E,$B88,領用表!$B:$B,T$2&amp;$P$1)</f>
        <v/>
      </c>
      <c r="U88" s="142" t="n">
        <v>11</v>
      </c>
      <c r="V88" s="142">
        <f>SUMIFS(領用表!$L:$L,領用表!$E:$E,$B88,領用表!$B:$B,V$2&amp;$P$1)</f>
        <v/>
      </c>
      <c r="W88" s="142">
        <f>SUMIFS(領用表!$L:$L,領用表!$E:$E,$B88,領用表!$B:$B,W$2&amp;$P$1)</f>
        <v/>
      </c>
      <c r="X88" s="142">
        <f>SUMIFS(領用表!$L:$L,領用表!$E:$E,$B88,領用表!$B:$B,X$2&amp;$P$1)</f>
        <v/>
      </c>
      <c r="Y88" s="142">
        <f>SUMIFS(領用表!$L:$L,領用表!$E:$E,$B88,領用表!$B:$B,Y$2&amp;$P$1)</f>
        <v/>
      </c>
      <c r="Z88" s="142">
        <f>SUMIFS(領用表!$L:$L,領用表!$E:$E,$B88,領用表!$B:$B,Z$2&amp;$P$1)</f>
        <v/>
      </c>
      <c r="AA88" s="142">
        <f>SUMIFS(領用表!$L:$L,領用表!$E:$E,$B88,領用表!$B:$B,AA$2&amp;$P$1)</f>
        <v/>
      </c>
      <c r="AB88" s="142">
        <f>SUM(P88,Q88,R88,S88,T88,U88)</f>
        <v/>
      </c>
      <c r="AC88" s="142">
        <f>AVERAGE(P88,Q88,R88,S88,T88,U88)</f>
        <v/>
      </c>
      <c r="AD88" s="142">
        <f>SUMIF(Summary!B:B,B88,Summary!EB:EB)</f>
        <v/>
      </c>
      <c r="AE88" s="108" t="n">
        <v>20</v>
      </c>
      <c r="AF88" s="65" t="n"/>
      <c r="AG88" s="76" t="inlineStr">
        <is>
          <t>100-10/22</t>
        </is>
      </c>
      <c r="AH88" s="65" t="n"/>
      <c r="AI88" s="27" t="n"/>
      <c r="AJ88" s="69" t="n"/>
      <c r="AK88" s="14" t="n"/>
      <c r="AL88" s="14" t="n"/>
    </row>
    <row r="89" ht="15.75" customHeight="1" s="453">
      <c r="A89" s="27" t="n"/>
      <c r="B89" s="14" t="n">
        <v>6120016</v>
      </c>
      <c r="C89" s="136" t="inlineStr">
        <is>
          <t>克樂達養 20ml</t>
        </is>
      </c>
      <c r="D89" s="72" t="n"/>
      <c r="E89" s="17" t="inlineStr">
        <is>
          <t>PCS</t>
        </is>
      </c>
      <c r="F89" s="18" t="n"/>
      <c r="G89" s="18" t="n">
        <v>202</v>
      </c>
      <c r="H89" s="20">
        <f>SUMIFS(領用表!$L:$L,領用表!$E:$E,$B89,領用表!$B:$B,H$2&amp;$P$1)</f>
        <v/>
      </c>
      <c r="I89" s="20">
        <f>SUMIFS(領用表!$L:$L,領用表!$E:$E,$B89,領用表!$B:$B,I$2&amp;$P$1)</f>
        <v/>
      </c>
      <c r="J89" s="20">
        <f>SUMIFS(領用表!$L:$L,領用表!$E:$E,$B89,領用表!$B:$B,J$2&amp;$P$1)</f>
        <v/>
      </c>
      <c r="K89" s="142">
        <f>SUMIFS(領用表!$L:$L,領用表!$E:$E,$B89,領用表!$B:$B,K$2&amp;$P$1)</f>
        <v/>
      </c>
      <c r="L89" s="142">
        <f>SUMIFS(領用表!$L:$L,領用表!$E:$E,$B89,領用表!$B:$B,L$2&amp;$P$1)</f>
        <v/>
      </c>
      <c r="M89" s="142">
        <f>SUMIFS(領用表!$L:$L,領用表!$E:$E,$B89,領用表!$B:$B,M$2&amp;$P$1)</f>
        <v/>
      </c>
      <c r="N89" s="23">
        <f>SUM(,H89,I89,J89,K89,L89,M89)</f>
        <v/>
      </c>
      <c r="O89" s="23">
        <f>AVERAGE(,H89,I89,J89,K89,L89,M89)</f>
        <v/>
      </c>
      <c r="P89" s="142">
        <f>SUMIFS(領用表!$L:$L,領用表!$E:$E,$B89,領用表!$B:$B,P$2&amp;$P$1)</f>
        <v/>
      </c>
      <c r="Q89" s="142">
        <f>SUMIFS(領用表!$L:$L,領用表!$E:$E,$B89,領用表!$B:$B,Q$2&amp;$P$1)</f>
        <v/>
      </c>
      <c r="R89" s="142">
        <f>SUMIFS(領用表!$L:$L,領用表!$E:$E,$B89,領用表!$B:$B,R$2&amp;$P$1)</f>
        <v/>
      </c>
      <c r="S89" s="142">
        <f>SUMIFS(領用表!$L:$L,領用表!$E:$E,$B89,領用表!$B:$B,S$2&amp;$P$1)</f>
        <v/>
      </c>
      <c r="T89" s="142">
        <f>SUMIFS(領用表!$L:$L,領用表!$E:$E,$B89,領用表!$B:$B,T$2&amp;$P$1)</f>
        <v/>
      </c>
      <c r="U89" s="142" t="n">
        <v>11</v>
      </c>
      <c r="V89" s="142">
        <f>SUMIFS(領用表!$L:$L,領用表!$E:$E,$B89,領用表!$B:$B,V$2&amp;$P$1)</f>
        <v/>
      </c>
      <c r="W89" s="142">
        <f>SUMIFS(領用表!$L:$L,領用表!$E:$E,$B89,領用表!$B:$B,W$2&amp;$P$1)</f>
        <v/>
      </c>
      <c r="X89" s="142">
        <f>SUMIFS(領用表!$L:$L,領用表!$E:$E,$B89,領用表!$B:$B,X$2&amp;$P$1)</f>
        <v/>
      </c>
      <c r="Y89" s="142">
        <f>SUMIFS(領用表!$L:$L,領用表!$E:$E,$B89,領用表!$B:$B,Y$2&amp;$P$1)</f>
        <v/>
      </c>
      <c r="Z89" s="142">
        <f>SUMIFS(領用表!$L:$L,領用表!$E:$E,$B89,領用表!$B:$B,Z$2&amp;$P$1)</f>
        <v/>
      </c>
      <c r="AA89" s="142">
        <f>SUMIFS(領用表!$L:$L,領用表!$E:$E,$B89,領用表!$B:$B,AA$2&amp;$P$1)</f>
        <v/>
      </c>
      <c r="AB89" s="142">
        <f>SUM(P89,Q89,R89,S89,T89,U89)</f>
        <v/>
      </c>
      <c r="AC89" s="142">
        <f>AVERAGE(P89,Q89,R89,S89,T89,U89)</f>
        <v/>
      </c>
      <c r="AD89" s="142">
        <f>SUMIF(Summary!B:B,B89,Summary!EB:EB)</f>
        <v/>
      </c>
      <c r="AE89" s="108" t="n">
        <v>20</v>
      </c>
      <c r="AF89" s="65" t="n"/>
      <c r="AG89" s="76" t="inlineStr">
        <is>
          <t>200-10/21</t>
        </is>
      </c>
      <c r="AH89" s="65" t="inlineStr">
        <is>
          <t>1000-10/21</t>
        </is>
      </c>
      <c r="AI89" s="27" t="n"/>
      <c r="AJ89" s="69" t="n"/>
      <c r="AK89" s="14" t="n"/>
      <c r="AL89" s="14" t="n"/>
    </row>
    <row r="90" ht="15.75" customHeight="1" s="453">
      <c r="A90" s="27" t="n"/>
      <c r="B90" s="14" t="n">
        <v>6120020</v>
      </c>
      <c r="C90" s="135" t="inlineStr">
        <is>
          <t>抗壞血酸 2ml(維他命C)</t>
        </is>
      </c>
      <c r="D90" s="77" t="n">
        <v>100</v>
      </c>
      <c r="E90" s="17" t="inlineStr">
        <is>
          <t>PCS</t>
        </is>
      </c>
      <c r="F90" s="18" t="n"/>
      <c r="G90" s="18" t="n">
        <v>233</v>
      </c>
      <c r="H90" s="20">
        <f>SUMIFS(領用表!$L:$L,領用表!$E:$E,$B90,領用表!$B:$B,H$2&amp;$P$1)</f>
        <v/>
      </c>
      <c r="I90" s="20">
        <f>SUMIFS(領用表!$L:$L,領用表!$E:$E,$B90,領用表!$B:$B,I$2&amp;$P$1)</f>
        <v/>
      </c>
      <c r="J90" s="20">
        <f>SUMIFS(領用表!$L:$L,領用表!$E:$E,$B90,領用表!$B:$B,J$2&amp;$P$1)</f>
        <v/>
      </c>
      <c r="K90" s="142">
        <f>SUMIFS(領用表!$L:$L,領用表!$E:$E,$B90,領用表!$B:$B,K$2&amp;$P$1)</f>
        <v/>
      </c>
      <c r="L90" s="142">
        <f>SUMIFS(領用表!$L:$L,領用表!$E:$E,$B90,領用表!$B:$B,L$2&amp;$P$1)</f>
        <v/>
      </c>
      <c r="M90" s="142">
        <f>SUMIFS(領用表!$L:$L,領用表!$E:$E,$B90,領用表!$B:$B,M$2&amp;$P$1)</f>
        <v/>
      </c>
      <c r="N90" s="23">
        <f>SUM(,H90,I90,J90,K90,L90,M90)</f>
        <v/>
      </c>
      <c r="O90" s="23">
        <f>AVERAGE(,H90,I90,J90,K90,L90,M90)</f>
        <v/>
      </c>
      <c r="P90" s="142">
        <f>SUMIFS(領用表!$L:$L,領用表!$E:$E,$B90,領用表!$B:$B,P$2&amp;$P$1)</f>
        <v/>
      </c>
      <c r="Q90" s="142">
        <f>SUMIFS(領用表!$L:$L,領用表!$E:$E,$B90,領用表!$B:$B,Q$2&amp;$P$1)</f>
        <v/>
      </c>
      <c r="R90" s="142">
        <f>SUMIFS(領用表!$L:$L,領用表!$E:$E,$B90,領用表!$B:$B,R$2&amp;$P$1)</f>
        <v/>
      </c>
      <c r="S90" s="142">
        <f>SUMIFS(領用表!$L:$L,領用表!$E:$E,$B90,領用表!$B:$B,S$2&amp;$P$1)</f>
        <v/>
      </c>
      <c r="T90" s="142">
        <f>SUMIFS(領用表!$L:$L,領用表!$E:$E,$B90,領用表!$B:$B,T$2&amp;$P$1)</f>
        <v/>
      </c>
      <c r="U90" s="142" t="n">
        <v>2</v>
      </c>
      <c r="V90" s="142">
        <f>SUMIFS(領用表!$L:$L,領用表!$E:$E,$B90,領用表!$B:$B,V$2&amp;$P$1)</f>
        <v/>
      </c>
      <c r="W90" s="142">
        <f>SUMIFS(領用表!$L:$L,領用表!$E:$E,$B90,領用表!$B:$B,W$2&amp;$P$1)</f>
        <v/>
      </c>
      <c r="X90" s="142">
        <f>SUMIFS(領用表!$L:$L,領用表!$E:$E,$B90,領用表!$B:$B,X$2&amp;$P$1)</f>
        <v/>
      </c>
      <c r="Y90" s="142">
        <f>SUMIFS(領用表!$L:$L,領用表!$E:$E,$B90,領用表!$B:$B,Y$2&amp;$P$1)</f>
        <v/>
      </c>
      <c r="Z90" s="142">
        <f>SUMIFS(領用表!$L:$L,領用表!$E:$E,$B90,領用表!$B:$B,Z$2&amp;$P$1)</f>
        <v/>
      </c>
      <c r="AA90" s="142">
        <f>SUMIFS(領用表!$L:$L,領用表!$E:$E,$B90,領用表!$B:$B,AA$2&amp;$P$1)</f>
        <v/>
      </c>
      <c r="AB90" s="142">
        <f>SUM(P90,Q90,R90,S90,T90,U90)</f>
        <v/>
      </c>
      <c r="AC90" s="142">
        <f>AVERAGE(P90,Q90,R90,S90,T90,U90)</f>
        <v/>
      </c>
      <c r="AD90" s="142">
        <f>SUMIF(Summary!B:B,B90,Summary!EB:EB)</f>
        <v/>
      </c>
      <c r="AE90" s="108" t="n">
        <v>20</v>
      </c>
      <c r="AF90" s="65" t="n"/>
      <c r="AG90" s="76" t="inlineStr">
        <is>
          <t>100-10/22</t>
        </is>
      </c>
      <c r="AH90" s="65" t="inlineStr">
        <is>
          <t>200-10/22</t>
        </is>
      </c>
      <c r="AI90" s="27" t="n"/>
      <c r="AJ90" s="27" t="n"/>
      <c r="AK90" s="14" t="n"/>
      <c r="AL90" s="29" t="n"/>
    </row>
    <row r="91" ht="15.75" customHeight="1" s="453">
      <c r="A91" s="27" t="n"/>
      <c r="B91" s="14" t="n">
        <v>6120021</v>
      </c>
      <c r="C91" s="136" t="inlineStr">
        <is>
          <t>諾貝爾(維他命C 20ml)</t>
        </is>
      </c>
      <c r="D91" s="72" t="n">
        <v>50</v>
      </c>
      <c r="E91" s="17" t="inlineStr">
        <is>
          <t>PCS</t>
        </is>
      </c>
      <c r="F91" s="18" t="n"/>
      <c r="G91" s="18" t="n">
        <v>104</v>
      </c>
      <c r="H91" s="20">
        <f>SUMIFS(領用表!$L:$L,領用表!$E:$E,$B91,領用表!$B:$B,H$2&amp;$P$1)</f>
        <v/>
      </c>
      <c r="I91" s="20">
        <f>SUMIFS(領用表!$L:$L,領用表!$E:$E,$B91,領用表!$B:$B,I$2&amp;$P$1)</f>
        <v/>
      </c>
      <c r="J91" s="20">
        <f>SUMIFS(領用表!$L:$L,領用表!$E:$E,$B91,領用表!$B:$B,J$2&amp;$P$1)</f>
        <v/>
      </c>
      <c r="K91" s="142">
        <f>SUMIFS(領用表!$L:$L,領用表!$E:$E,$B91,領用表!$B:$B,K$2&amp;$P$1)</f>
        <v/>
      </c>
      <c r="L91" s="142">
        <f>SUMIFS(領用表!$L:$L,領用表!$E:$E,$B91,領用表!$B:$B,L$2&amp;$P$1)</f>
        <v/>
      </c>
      <c r="M91" s="142">
        <f>SUMIFS(領用表!$L:$L,領用表!$E:$E,$B91,領用表!$B:$B,M$2&amp;$P$1)</f>
        <v/>
      </c>
      <c r="N91" s="23">
        <f>SUM(,H91,I91,J91,K91,L91,M91)</f>
        <v/>
      </c>
      <c r="O91" s="23">
        <f>AVERAGE(,H91,I91,J91,K91,L91,M91)</f>
        <v/>
      </c>
      <c r="P91" s="142">
        <f>SUMIFS(領用表!$L:$L,領用表!$E:$E,$B91,領用表!$B:$B,P$2&amp;$P$1)</f>
        <v/>
      </c>
      <c r="Q91" s="142">
        <f>SUMIFS(領用表!$L:$L,領用表!$E:$E,$B91,領用表!$B:$B,Q$2&amp;$P$1)</f>
        <v/>
      </c>
      <c r="R91" s="142">
        <f>SUMIFS(領用表!$L:$L,領用表!$E:$E,$B91,領用表!$B:$B,R$2&amp;$P$1)</f>
        <v/>
      </c>
      <c r="S91" s="142">
        <f>SUMIFS(領用表!$L:$L,領用表!$E:$E,$B91,領用表!$B:$B,S$2&amp;$P$1)</f>
        <v/>
      </c>
      <c r="T91" s="142">
        <f>SUMIFS(領用表!$L:$L,領用表!$E:$E,$B91,領用表!$B:$B,T$2&amp;$P$1)</f>
        <v/>
      </c>
      <c r="U91" s="142" t="n">
        <v>11</v>
      </c>
      <c r="V91" s="142">
        <f>SUMIFS(領用表!$L:$L,領用表!$E:$E,$B91,領用表!$B:$B,V$2&amp;$P$1)</f>
        <v/>
      </c>
      <c r="W91" s="142">
        <f>SUMIFS(領用表!$L:$L,領用表!$E:$E,$B91,領用表!$B:$B,W$2&amp;$P$1)</f>
        <v/>
      </c>
      <c r="X91" s="142">
        <f>SUMIFS(領用表!$L:$L,領用表!$E:$E,$B91,領用表!$B:$B,X$2&amp;$P$1)</f>
        <v/>
      </c>
      <c r="Y91" s="142">
        <f>SUMIFS(領用表!$L:$L,領用表!$E:$E,$B91,領用表!$B:$B,Y$2&amp;$P$1)</f>
        <v/>
      </c>
      <c r="Z91" s="142">
        <f>SUMIFS(領用表!$L:$L,領用表!$E:$E,$B91,領用表!$B:$B,Z$2&amp;$P$1)</f>
        <v/>
      </c>
      <c r="AA91" s="142">
        <f>SUMIFS(領用表!$L:$L,領用表!$E:$E,$B91,領用表!$B:$B,AA$2&amp;$P$1)</f>
        <v/>
      </c>
      <c r="AB91" s="142">
        <f>SUM(P91,Q91,R91,S91,T91,U91)</f>
        <v/>
      </c>
      <c r="AC91" s="142">
        <f>AVERAGE(P91,Q91,R91,S91,T91,U91)</f>
        <v/>
      </c>
      <c r="AD91" s="142">
        <f>SUMIF(Summary!B:B,B91,Summary!EB:EB)</f>
        <v/>
      </c>
      <c r="AE91" s="108" t="n">
        <v>20</v>
      </c>
      <c r="AF91" s="65" t="n"/>
      <c r="AG91" s="76" t="inlineStr">
        <is>
          <t>50-10/22</t>
        </is>
      </c>
      <c r="AH91" s="65" t="n"/>
      <c r="AI91" s="27" t="n"/>
      <c r="AJ91" s="69" t="n"/>
      <c r="AK91" s="14" t="n"/>
      <c r="AL91" s="14" t="n"/>
    </row>
    <row r="92" ht="15.75" customHeight="1" s="453">
      <c r="A92" s="27" t="n"/>
      <c r="B92" s="14" t="n">
        <v>6120009</v>
      </c>
      <c r="C92" s="136" t="inlineStr">
        <is>
          <t>B1 硫胺明 2ml</t>
        </is>
      </c>
      <c r="D92" s="72" t="n">
        <v>100</v>
      </c>
      <c r="E92" s="17" t="inlineStr">
        <is>
          <t>PCS</t>
        </is>
      </c>
      <c r="F92" s="18" t="n"/>
      <c r="G92" s="18" t="n"/>
      <c r="H92" s="20">
        <f>SUMIFS(領用表!$L:$L,領用表!$E:$E,$B92,領用表!$B:$B,H$2&amp;$P$1)</f>
        <v/>
      </c>
      <c r="I92" s="20">
        <f>SUMIFS(領用表!$L:$L,領用表!$E:$E,$B92,領用表!$B:$B,I$2&amp;$P$1)</f>
        <v/>
      </c>
      <c r="J92" s="20">
        <f>SUMIFS(領用表!$L:$L,領用表!$E:$E,$B92,領用表!$B:$B,J$2&amp;$P$1)</f>
        <v/>
      </c>
      <c r="K92" s="142">
        <f>SUMIFS(領用表!$L:$L,領用表!$E:$E,$B92,領用表!$B:$B,K$2&amp;$P$1)</f>
        <v/>
      </c>
      <c r="L92" s="142">
        <f>SUMIFS(領用表!$L:$L,領用表!$E:$E,$B92,領用表!$B:$B,L$2&amp;$P$1)</f>
        <v/>
      </c>
      <c r="M92" s="142">
        <f>SUMIFS(領用表!$L:$L,領用表!$E:$E,$B92,領用表!$B:$B,M$2&amp;$P$1)</f>
        <v/>
      </c>
      <c r="N92" s="23">
        <f>SUM(,H92,I92,J92,K92,L92,M92)</f>
        <v/>
      </c>
      <c r="O92" s="23">
        <f>AVERAGE(,H92,I92,J92,K92,L92,M92)</f>
        <v/>
      </c>
      <c r="P92" s="142">
        <f>SUMIFS(領用表!$L:$L,領用表!$E:$E,$B92,領用表!$B:$B,P$2&amp;$P$1)</f>
        <v/>
      </c>
      <c r="Q92" s="142">
        <f>SUMIFS(領用表!$L:$L,領用表!$E:$E,$B92,領用表!$B:$B,Q$2&amp;$P$1)</f>
        <v/>
      </c>
      <c r="R92" s="142">
        <f>SUMIFS(領用表!$L:$L,領用表!$E:$E,$B92,領用表!$B:$B,R$2&amp;$P$1)</f>
        <v/>
      </c>
      <c r="S92" s="142">
        <f>SUMIFS(領用表!$L:$L,領用表!$E:$E,$B92,領用表!$B:$B,S$2&amp;$P$1)</f>
        <v/>
      </c>
      <c r="T92" s="142">
        <f>SUMIFS(領用表!$L:$L,領用表!$E:$E,$B92,領用表!$B:$B,T$2&amp;$P$1)</f>
        <v/>
      </c>
      <c r="U92" s="142" t="n"/>
      <c r="V92" s="142">
        <f>SUMIFS(領用表!$L:$L,領用表!$E:$E,$B92,領用表!$B:$B,V$2&amp;$P$1)</f>
        <v/>
      </c>
      <c r="W92" s="142">
        <f>SUMIFS(領用表!$L:$L,領用表!$E:$E,$B92,領用表!$B:$B,W$2&amp;$P$1)</f>
        <v/>
      </c>
      <c r="X92" s="142">
        <f>SUMIFS(領用表!$L:$L,領用表!$E:$E,$B92,領用表!$B:$B,X$2&amp;$P$1)</f>
        <v/>
      </c>
      <c r="Y92" s="142">
        <f>SUMIFS(領用表!$L:$L,領用表!$E:$E,$B92,領用表!$B:$B,Y$2&amp;$P$1)</f>
        <v/>
      </c>
      <c r="Z92" s="142">
        <f>SUMIFS(領用表!$L:$L,領用表!$E:$E,$B92,領用表!$B:$B,Z$2&amp;$P$1)</f>
        <v/>
      </c>
      <c r="AA92" s="142">
        <f>SUMIFS(領用表!$L:$L,領用表!$E:$E,$B92,領用表!$B:$B,AA$2&amp;$P$1)</f>
        <v/>
      </c>
      <c r="AB92" s="142">
        <f>SUM(P92,Q92,R92,S92,T92,U92)</f>
        <v/>
      </c>
      <c r="AC92" s="142">
        <f>AVERAGE(P92,Q92,R92,S92,T92,U92)</f>
        <v/>
      </c>
      <c r="AD92" s="142">
        <f>SUMIF(Summary!B:B,B92,Summary!EB:EB)</f>
        <v/>
      </c>
      <c r="AE92" s="108" t="n">
        <v>5</v>
      </c>
      <c r="AF92" s="65" t="n"/>
      <c r="AG92" s="65" t="n"/>
      <c r="AH92" s="65" t="n"/>
      <c r="AI92" s="27" t="n"/>
      <c r="AJ92" s="69" t="n"/>
      <c r="AK92" s="14" t="n"/>
      <c r="AL92" s="14" t="n"/>
    </row>
    <row r="93" ht="15.75" customHeight="1" s="453" thickBot="1">
      <c r="A93" s="27" t="n"/>
      <c r="B93" s="14" t="e">
        <v>#N/A</v>
      </c>
      <c r="C93" s="136" t="inlineStr">
        <is>
          <t>B6 維他命乙6注射液 5毫克/毫升 2ml</t>
        </is>
      </c>
      <c r="D93" s="72" t="n">
        <v>100</v>
      </c>
      <c r="E93" s="17" t="inlineStr">
        <is>
          <t>PCS</t>
        </is>
      </c>
      <c r="F93" s="18" t="n"/>
      <c r="G93" s="18" t="n"/>
      <c r="H93" s="20">
        <f>SUMIFS(領用表!$L:$L,領用表!$E:$E,$B93,領用表!$B:$B,H$2&amp;$P$1)</f>
        <v/>
      </c>
      <c r="I93" s="20">
        <f>SUMIFS(領用表!$L:$L,領用表!$E:$E,$B93,領用表!$B:$B,I$2&amp;$P$1)</f>
        <v/>
      </c>
      <c r="J93" s="20">
        <f>SUMIFS(領用表!$L:$L,領用表!$E:$E,$B93,領用表!$B:$B,J$2&amp;$P$1)</f>
        <v/>
      </c>
      <c r="K93" s="142">
        <f>SUMIFS(領用表!$L:$L,領用表!$E:$E,$B93,領用表!$B:$B,K$2&amp;$P$1)</f>
        <v/>
      </c>
      <c r="L93" s="142">
        <f>SUMIFS(領用表!$L:$L,領用表!$E:$E,$B93,領用表!$B:$B,L$2&amp;$P$1)</f>
        <v/>
      </c>
      <c r="M93" s="142">
        <f>SUMIFS(領用表!$L:$L,領用表!$E:$E,$B93,領用表!$B:$B,M$2&amp;$P$1)</f>
        <v/>
      </c>
      <c r="N93" s="23">
        <f>SUM(,H93,I93,J93,K93,L93,M93)</f>
        <v/>
      </c>
      <c r="O93" s="23">
        <f>AVERAGE(,H93,I93,J93,K93,L93,M93)</f>
        <v/>
      </c>
      <c r="P93" s="142">
        <f>SUMIFS(領用表!$L:$L,領用表!$E:$E,$B93,領用表!$B:$B,P$2&amp;$P$1)</f>
        <v/>
      </c>
      <c r="Q93" s="142">
        <f>SUMIFS(領用表!$L:$L,領用表!$E:$E,$B93,領用表!$B:$B,Q$2&amp;$P$1)</f>
        <v/>
      </c>
      <c r="R93" s="142">
        <f>SUMIFS(領用表!$L:$L,領用表!$E:$E,$B93,領用表!$B:$B,R$2&amp;$P$1)</f>
        <v/>
      </c>
      <c r="S93" s="142">
        <f>SUMIFS(領用表!$L:$L,領用表!$E:$E,$B93,領用表!$B:$B,S$2&amp;$P$1)</f>
        <v/>
      </c>
      <c r="T93" s="142">
        <f>SUMIFS(領用表!$L:$L,領用表!$E:$E,$B93,領用表!$B:$B,T$2&amp;$P$1)</f>
        <v/>
      </c>
      <c r="U93" s="142">
        <f>SUMIFS(領用表!$L:$L,領用表!$E:$E,$B93,領用表!$B:$B,U$2&amp;$P$1)</f>
        <v/>
      </c>
      <c r="V93" s="142">
        <f>SUMIFS(領用表!$L:$L,領用表!$E:$E,$B93,領用表!$B:$B,V$2&amp;$P$1)</f>
        <v/>
      </c>
      <c r="W93" s="142">
        <f>SUMIFS(領用表!$L:$L,領用表!$E:$E,$B93,領用表!$B:$B,W$2&amp;$P$1)</f>
        <v/>
      </c>
      <c r="X93" s="142">
        <f>SUMIFS(領用表!$L:$L,領用表!$E:$E,$B93,領用表!$B:$B,X$2&amp;$P$1)</f>
        <v/>
      </c>
      <c r="Y93" s="142">
        <f>SUMIFS(領用表!$L:$L,領用表!$E:$E,$B93,領用表!$B:$B,Y$2&amp;$P$1)</f>
        <v/>
      </c>
      <c r="Z93" s="142">
        <f>SUMIFS(領用表!$L:$L,領用表!$E:$E,$B93,領用表!$B:$B,Z$2&amp;$P$1)</f>
        <v/>
      </c>
      <c r="AA93" s="142">
        <f>SUMIFS(領用表!$L:$L,領用表!$E:$E,$B93,領用表!$B:$B,AA$2&amp;$P$1)</f>
        <v/>
      </c>
      <c r="AB93" s="142">
        <f>SUM(P93,Q93,R93,S93,T93,U93)</f>
        <v/>
      </c>
      <c r="AC93" s="142">
        <f>AVERAGE(P93,Q93,R93,S93,T93,U93)</f>
        <v/>
      </c>
      <c r="AD93" s="142">
        <f>SUMIF(Summary!B:B,B93,Summary!EB:EB)</f>
        <v/>
      </c>
      <c r="AE93" s="108" t="n">
        <v>5</v>
      </c>
      <c r="AF93" s="65" t="n"/>
      <c r="AG93" s="65" t="n"/>
      <c r="AH93" s="65" t="n"/>
      <c r="AI93" s="27" t="n"/>
      <c r="AJ93" s="69" t="n"/>
      <c r="AK93" s="14" t="n"/>
      <c r="AL93" s="14" t="n"/>
    </row>
    <row r="94" ht="15.75" customHeight="1" s="453" thickBot="1">
      <c r="A94" s="196" t="inlineStr">
        <is>
          <t>MB3ME090038A</t>
        </is>
      </c>
      <c r="B94" s="191" t="n">
        <v>6120037</v>
      </c>
      <c r="C94" s="193" t="inlineStr">
        <is>
          <t>(B群) 美久奧林 20ml/支</t>
        </is>
      </c>
      <c r="D94" s="72" t="n"/>
      <c r="E94" s="17" t="n"/>
      <c r="F94" s="18" t="n"/>
      <c r="G94" s="18" t="n"/>
      <c r="H94" s="20">
        <f>SUMIFS(領用表!$L:$L,領用表!$E:$E,$B94,領用表!$B:$B,H$2&amp;$P$1)</f>
        <v/>
      </c>
      <c r="I94" s="20">
        <f>SUMIFS(領用表!$L:$L,領用表!$E:$E,$B94,領用表!$B:$B,I$2&amp;$P$1)</f>
        <v/>
      </c>
      <c r="J94" s="20">
        <f>SUMIFS(領用表!$L:$L,領用表!$E:$E,$B94,領用表!$B:$B,J$2&amp;$P$1)</f>
        <v/>
      </c>
      <c r="K94" s="142">
        <f>SUMIFS(領用表!$L:$L,領用表!$E:$E,$B94,領用表!$B:$B,K$2&amp;$P$1)</f>
        <v/>
      </c>
      <c r="L94" s="142">
        <f>SUMIFS(領用表!$L:$L,領用表!$E:$E,$B94,領用表!$B:$B,L$2&amp;$P$1)</f>
        <v/>
      </c>
      <c r="M94" s="142">
        <f>SUMIFS(領用表!$L:$L,領用表!$E:$E,$B94,領用表!$B:$B,M$2&amp;$P$1)</f>
        <v/>
      </c>
      <c r="N94" s="23">
        <f>SUM(,H94,I94,J94,K94,L94,M94)</f>
        <v/>
      </c>
      <c r="O94" s="23">
        <f>AVERAGE(,H94,I94,J94,K94,L94,M94)</f>
        <v/>
      </c>
      <c r="P94" s="142">
        <f>SUMIFS(領用表!$L:$L,領用表!$E:$E,$B94,領用表!$B:$B,P$2&amp;$P$1)</f>
        <v/>
      </c>
      <c r="Q94" s="142">
        <f>SUMIFS(領用表!$L:$L,領用表!$E:$E,$B94,領用表!$B:$B,Q$2&amp;$P$1)</f>
        <v/>
      </c>
      <c r="R94" s="142">
        <f>SUMIFS(領用表!$L:$L,領用表!$E:$E,$B94,領用表!$B:$B,R$2&amp;$P$1)</f>
        <v/>
      </c>
      <c r="S94" s="142">
        <f>SUMIFS(領用表!$L:$L,領用表!$E:$E,$B94,領用表!$B:$B,S$2&amp;$P$1)</f>
        <v/>
      </c>
      <c r="T94" s="142">
        <f>SUMIFS(領用表!$L:$L,領用表!$E:$E,$B94,領用表!$B:$B,T$2&amp;$P$1)</f>
        <v/>
      </c>
      <c r="U94" s="142" t="n"/>
      <c r="V94" s="142">
        <f>SUMIFS(領用表!$L:$L,領用表!$E:$E,$B94,領用表!$B:$B,V$2&amp;$P$1)</f>
        <v/>
      </c>
      <c r="W94" s="142">
        <f>SUMIFS(領用表!$L:$L,領用表!$E:$E,$B94,領用表!$B:$B,W$2&amp;$P$1)</f>
        <v/>
      </c>
      <c r="X94" s="142">
        <f>SUMIFS(領用表!$L:$L,領用表!$E:$E,$B94,領用表!$B:$B,X$2&amp;$P$1)</f>
        <v/>
      </c>
      <c r="Y94" s="142">
        <f>SUMIFS(領用表!$L:$L,領用表!$E:$E,$B94,領用表!$B:$B,Y$2&amp;$P$1)</f>
        <v/>
      </c>
      <c r="Z94" s="142">
        <f>SUMIFS(領用表!$L:$L,領用表!$E:$E,$B94,領用表!$B:$B,Z$2&amp;$P$1)</f>
        <v/>
      </c>
      <c r="AA94" s="142">
        <f>SUMIFS(領用表!$L:$L,領用表!$E:$E,$B94,領用表!$B:$B,AA$2&amp;$P$1)</f>
        <v/>
      </c>
      <c r="AB94" s="142">
        <f>SUM(P94,Q94,R94,S94,T94,U94)</f>
        <v/>
      </c>
      <c r="AC94" s="142">
        <f>AVERAGE(P94,Q94,R94,S94,T94,U94)</f>
        <v/>
      </c>
      <c r="AD94" s="142">
        <f>SUMIF(Summary!B:B,B94,Summary!EB:EB)</f>
        <v/>
      </c>
      <c r="AE94" s="108" t="n"/>
      <c r="AF94" s="65" t="n"/>
      <c r="AG94" s="76" t="n"/>
      <c r="AH94" s="65" t="n"/>
      <c r="AI94" s="27" t="n"/>
      <c r="AJ94" s="69" t="n"/>
      <c r="AK94" s="14" t="n"/>
      <c r="AL94" s="14" t="n"/>
    </row>
    <row r="95" ht="15.75" customHeight="1" s="453" thickBot="1">
      <c r="A95" s="196" t="inlineStr">
        <is>
          <t>MB3ME090039A</t>
        </is>
      </c>
      <c r="B95" s="191" t="n">
        <v>6120038</v>
      </c>
      <c r="C95" s="193" t="inlineStr">
        <is>
          <t>(Vit C+B) 維他補舒Vitaplex 20ml/支</t>
        </is>
      </c>
      <c r="D95" s="72" t="n"/>
      <c r="E95" s="17" t="n"/>
      <c r="F95" s="18" t="n"/>
      <c r="G95" s="18" t="n">
        <v>207</v>
      </c>
      <c r="H95" s="20">
        <f>SUMIFS(領用表!$L:$L,領用表!$E:$E,$B95,領用表!$B:$B,H$2&amp;$P$1)</f>
        <v/>
      </c>
      <c r="I95" s="20">
        <f>SUMIFS(領用表!$L:$L,領用表!$E:$E,$B95,領用表!$B:$B,I$2&amp;$P$1)</f>
        <v/>
      </c>
      <c r="J95" s="20">
        <f>SUMIFS(領用表!$L:$L,領用表!$E:$E,$B95,領用表!$B:$B,J$2&amp;$P$1)</f>
        <v/>
      </c>
      <c r="K95" s="142">
        <f>SUMIFS(領用表!$L:$L,領用表!$E:$E,$B95,領用表!$B:$B,K$2&amp;$P$1)</f>
        <v/>
      </c>
      <c r="L95" s="142">
        <f>SUMIFS(領用表!$L:$L,領用表!$E:$E,$B95,領用表!$B:$B,L$2&amp;$P$1)</f>
        <v/>
      </c>
      <c r="M95" s="142">
        <f>SUMIFS(領用表!$L:$L,領用表!$E:$E,$B95,領用表!$B:$B,M$2&amp;$P$1)</f>
        <v/>
      </c>
      <c r="N95" s="23">
        <f>SUM(,H95,I95,J95,K95,L95,M95)</f>
        <v/>
      </c>
      <c r="O95" s="23">
        <f>AVERAGE(,H95,I95,J95,K95,L95,M95)</f>
        <v/>
      </c>
      <c r="P95" s="142">
        <f>SUMIFS(領用表!$L:$L,領用表!$E:$E,$B95,領用表!$B:$B,P$2&amp;$P$1)</f>
        <v/>
      </c>
      <c r="Q95" s="142">
        <f>SUMIFS(領用表!$L:$L,領用表!$E:$E,$B95,領用表!$B:$B,Q$2&amp;$P$1)</f>
        <v/>
      </c>
      <c r="R95" s="142">
        <f>SUMIFS(領用表!$L:$L,領用表!$E:$E,$B95,領用表!$B:$B,R$2&amp;$P$1)</f>
        <v/>
      </c>
      <c r="S95" s="142">
        <f>SUMIFS(領用表!$L:$L,領用表!$E:$E,$B95,領用表!$B:$B,S$2&amp;$P$1)</f>
        <v/>
      </c>
      <c r="T95" s="142">
        <f>SUMIFS(領用表!$L:$L,領用表!$E:$E,$B95,領用表!$B:$B,T$2&amp;$P$1)</f>
        <v/>
      </c>
      <c r="U95" s="142" t="n"/>
      <c r="V95" s="142">
        <f>SUMIFS(領用表!$L:$L,領用表!$E:$E,$B95,領用表!$B:$B,V$2&amp;$P$1)</f>
        <v/>
      </c>
      <c r="W95" s="142">
        <f>SUMIFS(領用表!$L:$L,領用表!$E:$E,$B95,領用表!$B:$B,W$2&amp;$P$1)</f>
        <v/>
      </c>
      <c r="X95" s="142">
        <f>SUMIFS(領用表!$L:$L,領用表!$E:$E,$B95,領用表!$B:$B,X$2&amp;$P$1)</f>
        <v/>
      </c>
      <c r="Y95" s="142">
        <f>SUMIFS(領用表!$L:$L,領用表!$E:$E,$B95,領用表!$B:$B,Y$2&amp;$P$1)</f>
        <v/>
      </c>
      <c r="Z95" s="142">
        <f>SUMIFS(領用表!$L:$L,領用表!$E:$E,$B95,領用表!$B:$B,Z$2&amp;$P$1)</f>
        <v/>
      </c>
      <c r="AA95" s="142">
        <f>SUMIFS(領用表!$L:$L,領用表!$E:$E,$B95,領用表!$B:$B,AA$2&amp;$P$1)</f>
        <v/>
      </c>
      <c r="AB95" s="142">
        <f>SUM(P95,Q95,R95,S95,T95,U95)</f>
        <v/>
      </c>
      <c r="AC95" s="142">
        <f>AVERAGE(P95,Q95,R95,S95,T95,U95)</f>
        <v/>
      </c>
      <c r="AD95" s="142">
        <f>SUMIF(Summary!B:B,B95,Summary!EB:EB)</f>
        <v/>
      </c>
      <c r="AE95" s="108" t="n"/>
      <c r="AF95" s="65" t="n"/>
      <c r="AG95" s="76" t="n"/>
      <c r="AH95" s="65" t="n"/>
      <c r="AI95" s="27" t="n"/>
      <c r="AJ95" s="69" t="n"/>
      <c r="AK95" s="14" t="n"/>
      <c r="AL95" s="14" t="n"/>
    </row>
    <row r="96" ht="15.75" customHeight="1" s="453">
      <c r="A96" s="27" t="n"/>
      <c r="B96" s="14" t="n">
        <v>6120022</v>
      </c>
      <c r="C96" s="136" t="inlineStr">
        <is>
          <t>循必利</t>
        </is>
      </c>
      <c r="D96" s="72" t="n"/>
      <c r="E96" s="17" t="inlineStr">
        <is>
          <t>PCS</t>
        </is>
      </c>
      <c r="F96" s="18" t="n"/>
      <c r="G96" s="18" t="n"/>
      <c r="H96" s="20">
        <f>SUMIFS(領用表!$L:$L,領用表!$E:$E,$B96,領用表!$B:$B,H$2&amp;$P$1)</f>
        <v/>
      </c>
      <c r="I96" s="20">
        <f>SUMIFS(領用表!$L:$L,領用表!$E:$E,$B96,領用表!$B:$B,I$2&amp;$P$1)</f>
        <v/>
      </c>
      <c r="J96" s="20">
        <f>SUMIFS(領用表!$L:$L,領用表!$E:$E,$B96,領用表!$B:$B,J$2&amp;$P$1)</f>
        <v/>
      </c>
      <c r="K96" s="142">
        <f>SUMIFS(領用表!$L:$L,領用表!$E:$E,$B96,領用表!$B:$B,K$2&amp;$P$1)</f>
        <v/>
      </c>
      <c r="L96" s="142">
        <f>SUMIFS(領用表!$L:$L,領用表!$E:$E,$B96,領用表!$B:$B,L$2&amp;$P$1)</f>
        <v/>
      </c>
      <c r="M96" s="142">
        <f>SUMIFS(領用表!$L:$L,領用表!$E:$E,$B96,領用表!$B:$B,M$2&amp;$P$1)</f>
        <v/>
      </c>
      <c r="N96" s="23">
        <f>SUM(,H96,I96,J96,K96,L96,M96)</f>
        <v/>
      </c>
      <c r="O96" s="23">
        <f>AVERAGE(,H96,I96,J96,K96,L96,M96)</f>
        <v/>
      </c>
      <c r="P96" s="142">
        <f>SUMIFS(領用表!$L:$L,領用表!$E:$E,$B96,領用表!$B:$B,P$2&amp;$P$1)</f>
        <v/>
      </c>
      <c r="Q96" s="142">
        <f>SUMIFS(領用表!$L:$L,領用表!$E:$E,$B96,領用表!$B:$B,Q$2&amp;$P$1)</f>
        <v/>
      </c>
      <c r="R96" s="142">
        <f>SUMIFS(領用表!$L:$L,領用表!$E:$E,$B96,領用表!$B:$B,R$2&amp;$P$1)</f>
        <v/>
      </c>
      <c r="S96" s="142">
        <f>SUMIFS(領用表!$L:$L,領用表!$E:$E,$B96,領用表!$B:$B,S$2&amp;$P$1)</f>
        <v/>
      </c>
      <c r="T96" s="142">
        <f>SUMIFS(領用表!$L:$L,領用表!$E:$E,$B96,領用表!$B:$B,T$2&amp;$P$1)</f>
        <v/>
      </c>
      <c r="U96" s="142" t="n"/>
      <c r="V96" s="142">
        <f>SUMIFS(領用表!$L:$L,領用表!$E:$E,$B96,領用表!$B:$B,V$2&amp;$P$1)</f>
        <v/>
      </c>
      <c r="W96" s="142">
        <f>SUMIFS(領用表!$L:$L,領用表!$E:$E,$B96,領用表!$B:$B,W$2&amp;$P$1)</f>
        <v/>
      </c>
      <c r="X96" s="142">
        <f>SUMIFS(領用表!$L:$L,領用表!$E:$E,$B96,領用表!$B:$B,X$2&amp;$P$1)</f>
        <v/>
      </c>
      <c r="Y96" s="142">
        <f>SUMIFS(領用表!$L:$L,領用表!$E:$E,$B96,領用表!$B:$B,Y$2&amp;$P$1)</f>
        <v/>
      </c>
      <c r="Z96" s="142">
        <f>SUMIFS(領用表!$L:$L,領用表!$E:$E,$B96,領用表!$B:$B,Z$2&amp;$P$1)</f>
        <v/>
      </c>
      <c r="AA96" s="142">
        <f>SUMIFS(領用表!$L:$L,領用表!$E:$E,$B96,領用表!$B:$B,AA$2&amp;$P$1)</f>
        <v/>
      </c>
      <c r="AB96" s="142">
        <f>SUM(P96,Q96,R96,S96,T96,U96)</f>
        <v/>
      </c>
      <c r="AC96" s="142">
        <f>AVERAGE(P96,Q96,R96,S96,T96,U96)</f>
        <v/>
      </c>
      <c r="AD96" s="142">
        <f>SUMIF(Summary!B:B,B96,Summary!EB:EB)</f>
        <v/>
      </c>
      <c r="AE96" s="108" t="n">
        <v>3</v>
      </c>
      <c r="AF96" s="65" t="n"/>
      <c r="AG96" s="65" t="n"/>
      <c r="AH96" s="65" t="n"/>
      <c r="AI96" s="27" t="n"/>
      <c r="AJ96" s="69" t="n"/>
      <c r="AK96" s="14" t="n"/>
      <c r="AL96" s="14" t="n"/>
    </row>
    <row r="97" ht="15.75" customHeight="1" s="453">
      <c r="A97" s="27" t="n"/>
      <c r="B97" s="14" t="e">
        <v>#N/A</v>
      </c>
      <c r="C97" s="27" t="inlineStr">
        <is>
          <t>金恩特</t>
        </is>
      </c>
      <c r="D97" s="77" t="n"/>
      <c r="E97" s="17" t="inlineStr">
        <is>
          <t>PCS</t>
        </is>
      </c>
      <c r="F97" s="18" t="n"/>
      <c r="G97" s="18" t="n"/>
      <c r="H97" s="20">
        <f>SUMIFS(領用表!$L:$L,領用表!$E:$E,$B97,領用表!$B:$B,H$2&amp;$P$1)</f>
        <v/>
      </c>
      <c r="I97" s="20">
        <f>SUMIFS(領用表!$L:$L,領用表!$E:$E,$B97,領用表!$B:$B,I$2&amp;$P$1)</f>
        <v/>
      </c>
      <c r="J97" s="20">
        <f>SUMIFS(領用表!$L:$L,領用表!$E:$E,$B97,領用表!$B:$B,J$2&amp;$P$1)</f>
        <v/>
      </c>
      <c r="K97" s="142">
        <f>SUMIFS(領用表!$L:$L,領用表!$E:$E,$B97,領用表!$B:$B,K$2&amp;$P$1)</f>
        <v/>
      </c>
      <c r="L97" s="142">
        <f>SUMIFS(領用表!$L:$L,領用表!$E:$E,$B97,領用表!$B:$B,L$2&amp;$P$1)</f>
        <v/>
      </c>
      <c r="M97" s="142">
        <f>SUMIFS(領用表!$L:$L,領用表!$E:$E,$B97,領用表!$B:$B,M$2&amp;$P$1)</f>
        <v/>
      </c>
      <c r="N97" s="23">
        <f>SUM(,H97,I97,J97,K97,L97,M97)</f>
        <v/>
      </c>
      <c r="O97" s="23">
        <f>AVERAGE(,H97,I97,J97,K97,L97,M97)</f>
        <v/>
      </c>
      <c r="P97" s="142">
        <f>SUMIFS(領用表!$L:$L,領用表!$E:$E,$B97,領用表!$B:$B,P$2&amp;$P$1)</f>
        <v/>
      </c>
      <c r="Q97" s="142">
        <f>SUMIFS(領用表!$L:$L,領用表!$E:$E,$B97,領用表!$B:$B,Q$2&amp;$P$1)</f>
        <v/>
      </c>
      <c r="R97" s="142">
        <f>SUMIFS(領用表!$L:$L,領用表!$E:$E,$B97,領用表!$B:$B,R$2&amp;$P$1)</f>
        <v/>
      </c>
      <c r="S97" s="142">
        <f>SUMIFS(領用表!$L:$L,領用表!$E:$E,$B97,領用表!$B:$B,S$2&amp;$P$1)</f>
        <v/>
      </c>
      <c r="T97" s="142">
        <f>SUMIFS(領用表!$L:$L,領用表!$E:$E,$B97,領用表!$B:$B,T$2&amp;$P$1)</f>
        <v/>
      </c>
      <c r="U97" s="142">
        <f>SUMIFS(領用表!$L:$L,領用表!$E:$E,$B97,領用表!$B:$B,U$2&amp;$P$1)</f>
        <v/>
      </c>
      <c r="V97" s="142">
        <f>SUMIFS(領用表!$L:$L,領用表!$E:$E,$B97,領用表!$B:$B,V$2&amp;$P$1)</f>
        <v/>
      </c>
      <c r="W97" s="142">
        <f>SUMIFS(領用表!$L:$L,領用表!$E:$E,$B97,領用表!$B:$B,W$2&amp;$P$1)</f>
        <v/>
      </c>
      <c r="X97" s="142">
        <f>SUMIFS(領用表!$L:$L,領用表!$E:$E,$B97,領用表!$B:$B,X$2&amp;$P$1)</f>
        <v/>
      </c>
      <c r="Y97" s="142">
        <f>SUMIFS(領用表!$L:$L,領用表!$E:$E,$B97,領用表!$B:$B,Y$2&amp;$P$1)</f>
        <v/>
      </c>
      <c r="Z97" s="142">
        <f>SUMIFS(領用表!$L:$L,領用表!$E:$E,$B97,領用表!$B:$B,Z$2&amp;$P$1)</f>
        <v/>
      </c>
      <c r="AA97" s="142">
        <f>SUMIFS(領用表!$L:$L,領用表!$E:$E,$B97,領用表!$B:$B,AA$2&amp;$P$1)</f>
        <v/>
      </c>
      <c r="AB97" s="142">
        <f>SUM(P97,Q97,R97,S97,T97,U97)</f>
        <v/>
      </c>
      <c r="AC97" s="142">
        <f>AVERAGE(P97,Q97,R97,S97,T97,U97)</f>
        <v/>
      </c>
      <c r="AD97" s="142">
        <f>SUMIF(Summary!B:B,B97,Summary!EB:EB)</f>
        <v/>
      </c>
      <c r="AE97" s="108" t="n">
        <v>0</v>
      </c>
      <c r="AF97" s="65" t="n"/>
      <c r="AG97" s="65" t="n"/>
      <c r="AH97" s="65" t="n"/>
      <c r="AI97" s="27" t="n"/>
      <c r="AJ97" s="27" t="n"/>
      <c r="AK97" s="14" t="n"/>
      <c r="AL97" s="29" t="n"/>
    </row>
    <row r="98" ht="15.75" customHeight="1" s="453">
      <c r="A98" s="27" t="n"/>
      <c r="B98" s="14" t="n">
        <v>6120023</v>
      </c>
      <c r="C98" s="136" t="inlineStr">
        <is>
          <t>利卡因注射液20毫克/毫升</t>
        </is>
      </c>
      <c r="D98" s="77" t="n"/>
      <c r="E98" s="17" t="inlineStr">
        <is>
          <t>PCS</t>
        </is>
      </c>
      <c r="F98" s="18" t="n"/>
      <c r="G98" s="18" t="n"/>
      <c r="H98" s="20">
        <f>SUMIFS(領用表!$L:$L,領用表!$E:$E,$B98,領用表!$B:$B,H$2&amp;$P$1)</f>
        <v/>
      </c>
      <c r="I98" s="20">
        <f>SUMIFS(領用表!$L:$L,領用表!$E:$E,$B98,領用表!$B:$B,I$2&amp;$P$1)</f>
        <v/>
      </c>
      <c r="J98" s="20">
        <f>SUMIFS(領用表!$L:$L,領用表!$E:$E,$B98,領用表!$B:$B,J$2&amp;$P$1)</f>
        <v/>
      </c>
      <c r="K98" s="142">
        <f>SUMIFS(領用表!$L:$L,領用表!$E:$E,$B98,領用表!$B:$B,K$2&amp;$P$1)</f>
        <v/>
      </c>
      <c r="L98" s="142">
        <f>SUMIFS(領用表!$L:$L,領用表!$E:$E,$B98,領用表!$B:$B,L$2&amp;$P$1)</f>
        <v/>
      </c>
      <c r="M98" s="142">
        <f>SUMIFS(領用表!$L:$L,領用表!$E:$E,$B98,領用表!$B:$B,M$2&amp;$P$1)</f>
        <v/>
      </c>
      <c r="N98" s="23">
        <f>SUM(,H98,I98,J98,K98,L98,M98)</f>
        <v/>
      </c>
      <c r="O98" s="23">
        <f>AVERAGE(,H98,I98,J98,K98,L98,M98)</f>
        <v/>
      </c>
      <c r="P98" s="142">
        <f>SUMIFS(領用表!$L:$L,領用表!$E:$E,$B98,領用表!$B:$B,P$2&amp;$P$1)</f>
        <v/>
      </c>
      <c r="Q98" s="142">
        <f>SUMIFS(領用表!$L:$L,領用表!$E:$E,$B98,領用表!$B:$B,Q$2&amp;$P$1)</f>
        <v/>
      </c>
      <c r="R98" s="142">
        <f>SUMIFS(領用表!$L:$L,領用表!$E:$E,$B98,領用表!$B:$B,R$2&amp;$P$1)</f>
        <v/>
      </c>
      <c r="S98" s="142">
        <f>SUMIFS(領用表!$L:$L,領用表!$E:$E,$B98,領用表!$B:$B,S$2&amp;$P$1)</f>
        <v/>
      </c>
      <c r="T98" s="142">
        <f>SUMIFS(領用表!$L:$L,領用表!$E:$E,$B98,領用表!$B:$B,T$2&amp;$P$1)</f>
        <v/>
      </c>
      <c r="U98" s="142" t="n"/>
      <c r="V98" s="142">
        <f>SUMIFS(領用表!$L:$L,領用表!$E:$E,$B98,領用表!$B:$B,V$2&amp;$P$1)</f>
        <v/>
      </c>
      <c r="W98" s="142">
        <f>SUMIFS(領用表!$L:$L,領用表!$E:$E,$B98,領用表!$B:$B,W$2&amp;$P$1)</f>
        <v/>
      </c>
      <c r="X98" s="142">
        <f>SUMIFS(領用表!$L:$L,領用表!$E:$E,$B98,領用表!$B:$B,X$2&amp;$P$1)</f>
        <v/>
      </c>
      <c r="Y98" s="142">
        <f>SUMIFS(領用表!$L:$L,領用表!$E:$E,$B98,領用表!$B:$B,Y$2&amp;$P$1)</f>
        <v/>
      </c>
      <c r="Z98" s="142">
        <f>SUMIFS(領用表!$L:$L,領用表!$E:$E,$B98,領用表!$B:$B,Z$2&amp;$P$1)</f>
        <v/>
      </c>
      <c r="AA98" s="142">
        <f>SUMIFS(領用表!$L:$L,領用表!$E:$E,$B98,領用表!$B:$B,AA$2&amp;$P$1)</f>
        <v/>
      </c>
      <c r="AB98" s="142">
        <f>SUM(P98,Q98,R98,S98,T98,U98)</f>
        <v/>
      </c>
      <c r="AC98" s="142">
        <f>AVERAGE(P98,Q98,R98,S98,T98,U98)</f>
        <v/>
      </c>
      <c r="AD98" s="142">
        <f>SUMIF(Summary!B:B,B98,Summary!EB:EB)</f>
        <v/>
      </c>
      <c r="AE98" s="108" t="n">
        <v>3</v>
      </c>
      <c r="AF98" s="65" t="n"/>
      <c r="AG98" s="65" t="n"/>
      <c r="AH98" s="65" t="n"/>
      <c r="AI98" s="27" t="n"/>
      <c r="AJ98" s="27" t="n"/>
      <c r="AK98" s="14" t="n"/>
      <c r="AL98" s="29" t="n"/>
    </row>
    <row r="99" ht="15.75" customHeight="1" s="453">
      <c r="A99" s="27" t="n"/>
      <c r="B99" s="14" t="n">
        <v>6120024</v>
      </c>
      <c r="C99" s="136" t="inlineStr">
        <is>
          <t>利都卡因 注射液2% 20ml</t>
        </is>
      </c>
      <c r="D99" s="77" t="n"/>
      <c r="E99" s="17" t="inlineStr">
        <is>
          <t>PCS</t>
        </is>
      </c>
      <c r="F99" s="18" t="n"/>
      <c r="G99" s="18" t="n">
        <v>42</v>
      </c>
      <c r="H99" s="20">
        <f>SUMIFS(領用表!$L:$L,領用表!$E:$E,$B99,領用表!$B:$B,H$2&amp;$P$1)</f>
        <v/>
      </c>
      <c r="I99" s="20">
        <f>SUMIFS(領用表!$L:$L,領用表!$E:$E,$B99,領用表!$B:$B,I$2&amp;$P$1)</f>
        <v/>
      </c>
      <c r="J99" s="20">
        <f>SUMIFS(領用表!$L:$L,領用表!$E:$E,$B99,領用表!$B:$B,J$2&amp;$P$1)</f>
        <v/>
      </c>
      <c r="K99" s="142">
        <f>SUMIFS(領用表!$L:$L,領用表!$E:$E,$B99,領用表!$B:$B,K$2&amp;$P$1)</f>
        <v/>
      </c>
      <c r="L99" s="142">
        <f>SUMIFS(領用表!$L:$L,領用表!$E:$E,$B99,領用表!$B:$B,L$2&amp;$P$1)</f>
        <v/>
      </c>
      <c r="M99" s="142">
        <f>SUMIFS(領用表!$L:$L,領用表!$E:$E,$B99,領用表!$B:$B,M$2&amp;$P$1)</f>
        <v/>
      </c>
      <c r="N99" s="23">
        <f>SUM(,H99,I99,J99,K99,L99,M99)</f>
        <v/>
      </c>
      <c r="O99" s="23">
        <f>AVERAGE(,H99,I99,J99,K99,L99,M99)</f>
        <v/>
      </c>
      <c r="P99" s="142">
        <f>SUMIFS(領用表!$L:$L,領用表!$E:$E,$B99,領用表!$B:$B,P$2&amp;$P$1)</f>
        <v/>
      </c>
      <c r="Q99" s="142">
        <f>SUMIFS(領用表!$L:$L,領用表!$E:$E,$B99,領用表!$B:$B,Q$2&amp;$P$1)</f>
        <v/>
      </c>
      <c r="R99" s="142">
        <f>SUMIFS(領用表!$L:$L,領用表!$E:$E,$B99,領用表!$B:$B,R$2&amp;$P$1)</f>
        <v/>
      </c>
      <c r="S99" s="142">
        <f>SUMIFS(領用表!$L:$L,領用表!$E:$E,$B99,領用表!$B:$B,S$2&amp;$P$1)</f>
        <v/>
      </c>
      <c r="T99" s="142">
        <f>SUMIFS(領用表!$L:$L,領用表!$E:$E,$B99,領用表!$B:$B,T$2&amp;$P$1)</f>
        <v/>
      </c>
      <c r="U99" s="142" t="n"/>
      <c r="V99" s="142">
        <f>SUMIFS(領用表!$L:$L,領用表!$E:$E,$B99,領用表!$B:$B,V$2&amp;$P$1)</f>
        <v/>
      </c>
      <c r="W99" s="142">
        <f>SUMIFS(領用表!$L:$L,領用表!$E:$E,$B99,領用表!$B:$B,W$2&amp;$P$1)</f>
        <v/>
      </c>
      <c r="X99" s="142">
        <f>SUMIFS(領用表!$L:$L,領用表!$E:$E,$B99,領用表!$B:$B,X$2&amp;$P$1)</f>
        <v/>
      </c>
      <c r="Y99" s="142">
        <f>SUMIFS(領用表!$L:$L,領用表!$E:$E,$B99,領用表!$B:$B,Y$2&amp;$P$1)</f>
        <v/>
      </c>
      <c r="Z99" s="142">
        <f>SUMIFS(領用表!$L:$L,領用表!$E:$E,$B99,領用表!$B:$B,Z$2&amp;$P$1)</f>
        <v/>
      </c>
      <c r="AA99" s="142">
        <f>SUMIFS(領用表!$L:$L,領用表!$E:$E,$B99,領用表!$B:$B,AA$2&amp;$P$1)</f>
        <v/>
      </c>
      <c r="AB99" s="142">
        <f>SUM(P99,Q99,R99,S99,T99,U99)</f>
        <v/>
      </c>
      <c r="AC99" s="142">
        <f>AVERAGE(P99,Q99,R99,S99,T99,U99)</f>
        <v/>
      </c>
      <c r="AD99" s="142">
        <f>SUMIF(Summary!B:B,B99,Summary!EB:EB)</f>
        <v/>
      </c>
      <c r="AE99" s="109" t="n">
        <v>3</v>
      </c>
      <c r="AF99" s="65" t="n"/>
      <c r="AG99" s="65" t="n"/>
      <c r="AH99" s="65" t="n"/>
      <c r="AI99" s="27" t="n"/>
      <c r="AJ99" s="27" t="n"/>
      <c r="AK99" s="14" t="n"/>
      <c r="AL99" s="29" t="n"/>
    </row>
    <row r="100" ht="15.75" customHeight="1" s="453">
      <c r="A100" s="27" t="n"/>
      <c r="B100" s="14" t="n">
        <v>6120025</v>
      </c>
      <c r="C100" s="136" t="inlineStr">
        <is>
          <t>利度膚寧(含epinephrine) 20ml</t>
        </is>
      </c>
      <c r="D100" s="77" t="n"/>
      <c r="E100" s="17" t="inlineStr">
        <is>
          <t>PCS</t>
        </is>
      </c>
      <c r="F100" s="18" t="n"/>
      <c r="G100" s="18" t="n">
        <v>40</v>
      </c>
      <c r="H100" s="20">
        <f>SUMIFS(領用表!$L:$L,領用表!$E:$E,$B100,領用表!$B:$B,H$2&amp;$P$1)</f>
        <v/>
      </c>
      <c r="I100" s="20">
        <f>SUMIFS(領用表!$L:$L,領用表!$E:$E,$B100,領用表!$B:$B,I$2&amp;$P$1)</f>
        <v/>
      </c>
      <c r="J100" s="20">
        <f>SUMIFS(領用表!$L:$L,領用表!$E:$E,$B100,領用表!$B:$B,J$2&amp;$P$1)</f>
        <v/>
      </c>
      <c r="K100" s="142">
        <f>SUMIFS(領用表!$L:$L,領用表!$E:$E,$B100,領用表!$B:$B,K$2&amp;$P$1)</f>
        <v/>
      </c>
      <c r="L100" s="142">
        <f>SUMIFS(領用表!$L:$L,領用表!$E:$E,$B100,領用表!$B:$B,L$2&amp;$P$1)</f>
        <v/>
      </c>
      <c r="M100" s="142">
        <f>SUMIFS(領用表!$L:$L,領用表!$E:$E,$B100,領用表!$B:$B,M$2&amp;$P$1)</f>
        <v/>
      </c>
      <c r="N100" s="23">
        <f>SUM(,H100,I100,J100,K100,L100,M100)</f>
        <v/>
      </c>
      <c r="O100" s="23">
        <f>AVERAGE(,H100,I100,J100,K100,L100,M100)</f>
        <v/>
      </c>
      <c r="P100" s="142">
        <f>SUMIFS(領用表!$L:$L,領用表!$E:$E,$B100,領用表!$B:$B,P$2&amp;$P$1)</f>
        <v/>
      </c>
      <c r="Q100" s="142">
        <f>SUMIFS(領用表!$L:$L,領用表!$E:$E,$B100,領用表!$B:$B,Q$2&amp;$P$1)</f>
        <v/>
      </c>
      <c r="R100" s="142">
        <f>SUMIFS(領用表!$L:$L,領用表!$E:$E,$B100,領用表!$B:$B,R$2&amp;$P$1)</f>
        <v/>
      </c>
      <c r="S100" s="142">
        <f>SUMIFS(領用表!$L:$L,領用表!$E:$E,$B100,領用表!$B:$B,S$2&amp;$P$1)</f>
        <v/>
      </c>
      <c r="T100" s="142">
        <f>SUMIFS(領用表!$L:$L,領用表!$E:$E,$B100,領用表!$B:$B,T$2&amp;$P$1)</f>
        <v/>
      </c>
      <c r="U100" s="142" t="n"/>
      <c r="V100" s="142">
        <f>SUMIFS(領用表!$L:$L,領用表!$E:$E,$B100,領用表!$B:$B,V$2&amp;$P$1)</f>
        <v/>
      </c>
      <c r="W100" s="142">
        <f>SUMIFS(領用表!$L:$L,領用表!$E:$E,$B100,領用表!$B:$B,W$2&amp;$P$1)</f>
        <v/>
      </c>
      <c r="X100" s="142">
        <f>SUMIFS(領用表!$L:$L,領用表!$E:$E,$B100,領用表!$B:$B,X$2&amp;$P$1)</f>
        <v/>
      </c>
      <c r="Y100" s="142">
        <f>SUMIFS(領用表!$L:$L,領用表!$E:$E,$B100,領用表!$B:$B,Y$2&amp;$P$1)</f>
        <v/>
      </c>
      <c r="Z100" s="142">
        <f>SUMIFS(領用表!$L:$L,領用表!$E:$E,$B100,領用表!$B:$B,Z$2&amp;$P$1)</f>
        <v/>
      </c>
      <c r="AA100" s="142">
        <f>SUMIFS(領用表!$L:$L,領用表!$E:$E,$B100,領用表!$B:$B,AA$2&amp;$P$1)</f>
        <v/>
      </c>
      <c r="AB100" s="142">
        <f>SUM(P100,Q100,R100,S100,T100,U100)</f>
        <v/>
      </c>
      <c r="AC100" s="142">
        <f>AVERAGE(P100,Q100,R100,S100,T100,U100)</f>
        <v/>
      </c>
      <c r="AD100" s="142">
        <f>SUMIF(Summary!B:B,B100,Summary!EB:EB)</f>
        <v/>
      </c>
      <c r="AE100" s="109" t="n">
        <v>0</v>
      </c>
      <c r="AF100" s="65" t="n"/>
      <c r="AG100" s="65" t="n"/>
      <c r="AH100" s="65" t="n"/>
      <c r="AI100" s="27" t="n"/>
      <c r="AJ100" s="27" t="n"/>
      <c r="AK100" s="14" t="n"/>
      <c r="AL100" s="29" t="n"/>
    </row>
    <row r="101" ht="15.75" customHeight="1" s="453">
      <c r="A101" s="27" t="n"/>
      <c r="B101" s="14" t="e">
        <v>#N/A</v>
      </c>
      <c r="C101" s="136" t="inlineStr">
        <is>
          <t>可特1ml</t>
        </is>
      </c>
      <c r="D101" s="77" t="n"/>
      <c r="E101" s="17" t="inlineStr">
        <is>
          <t>PCS</t>
        </is>
      </c>
      <c r="F101" s="18" t="n"/>
      <c r="G101" s="18" t="n"/>
      <c r="H101" s="20">
        <f>SUMIFS(領用表!$L:$L,領用表!$E:$E,$B101,領用表!$B:$B,H$2&amp;$P$1)</f>
        <v/>
      </c>
      <c r="I101" s="20">
        <f>SUMIFS(領用表!$L:$L,領用表!$E:$E,$B101,領用表!$B:$B,I$2&amp;$P$1)</f>
        <v/>
      </c>
      <c r="J101" s="20">
        <f>SUMIFS(領用表!$L:$L,領用表!$E:$E,$B101,領用表!$B:$B,J$2&amp;$P$1)</f>
        <v/>
      </c>
      <c r="K101" s="142">
        <f>SUMIFS(領用表!$L:$L,領用表!$E:$E,$B101,領用表!$B:$B,K$2&amp;$P$1)</f>
        <v/>
      </c>
      <c r="L101" s="142">
        <f>SUMIFS(領用表!$L:$L,領用表!$E:$E,$B101,領用表!$B:$B,L$2&amp;$P$1)</f>
        <v/>
      </c>
      <c r="M101" s="142">
        <f>SUMIFS(領用表!$L:$L,領用表!$E:$E,$B101,領用表!$B:$B,M$2&amp;$P$1)</f>
        <v/>
      </c>
      <c r="N101" s="23">
        <f>SUM(,H101,I101,J101,K101,L101,M101)</f>
        <v/>
      </c>
      <c r="O101" s="23">
        <f>AVERAGE(,H101,I101,J101,K101,L101,M101)</f>
        <v/>
      </c>
      <c r="P101" s="142">
        <f>SUMIFS(領用表!$L:$L,領用表!$E:$E,$B101,領用表!$B:$B,P$2&amp;$P$1)</f>
        <v/>
      </c>
      <c r="Q101" s="142">
        <f>SUMIFS(領用表!$L:$L,領用表!$E:$E,$B101,領用表!$B:$B,Q$2&amp;$P$1)</f>
        <v/>
      </c>
      <c r="R101" s="142">
        <f>SUMIFS(領用表!$L:$L,領用表!$E:$E,$B101,領用表!$B:$B,R$2&amp;$P$1)</f>
        <v/>
      </c>
      <c r="S101" s="142">
        <f>SUMIFS(領用表!$L:$L,領用表!$E:$E,$B101,領用表!$B:$B,S$2&amp;$P$1)</f>
        <v/>
      </c>
      <c r="T101" s="142">
        <f>SUMIFS(領用表!$L:$L,領用表!$E:$E,$B101,領用表!$B:$B,T$2&amp;$P$1)</f>
        <v/>
      </c>
      <c r="U101" s="142">
        <f>SUMIFS(領用表!$L:$L,領用表!$E:$E,$B101,領用表!$B:$B,U$2&amp;$P$1)</f>
        <v/>
      </c>
      <c r="V101" s="142">
        <f>SUMIFS(領用表!$L:$L,領用表!$E:$E,$B101,領用表!$B:$B,V$2&amp;$P$1)</f>
        <v/>
      </c>
      <c r="W101" s="142">
        <f>SUMIFS(領用表!$L:$L,領用表!$E:$E,$B101,領用表!$B:$B,W$2&amp;$P$1)</f>
        <v/>
      </c>
      <c r="X101" s="142">
        <f>SUMIFS(領用表!$L:$L,領用表!$E:$E,$B101,領用表!$B:$B,X$2&amp;$P$1)</f>
        <v/>
      </c>
      <c r="Y101" s="142">
        <f>SUMIFS(領用表!$L:$L,領用表!$E:$E,$B101,領用表!$B:$B,Y$2&amp;$P$1)</f>
        <v/>
      </c>
      <c r="Z101" s="142">
        <f>SUMIFS(領用表!$L:$L,領用表!$E:$E,$B101,領用表!$B:$B,Z$2&amp;$P$1)</f>
        <v/>
      </c>
      <c r="AA101" s="142">
        <f>SUMIFS(領用表!$L:$L,領用表!$E:$E,$B101,領用表!$B:$B,AA$2&amp;$P$1)</f>
        <v/>
      </c>
      <c r="AB101" s="142">
        <f>SUM(P101,Q101,R101,S101,T101,U101)</f>
        <v/>
      </c>
      <c r="AC101" s="142">
        <f>AVERAGE(P101,Q101,R101,S101,T101,U101)</f>
        <v/>
      </c>
      <c r="AD101" s="142">
        <f>SUMIF(Summary!B:B,B101,Summary!EB:EB)</f>
        <v/>
      </c>
      <c r="AE101" s="109" t="n">
        <v>0</v>
      </c>
      <c r="AF101" s="65" t="n"/>
      <c r="AG101" s="65" t="n"/>
      <c r="AH101" s="65" t="n"/>
      <c r="AI101" s="27" t="n"/>
      <c r="AJ101" s="27" t="n"/>
      <c r="AK101" s="14" t="n"/>
      <c r="AL101" s="29" t="n"/>
    </row>
    <row r="102" ht="15.75" customHeight="1" s="453">
      <c r="A102" s="27" t="n"/>
      <c r="B102" s="14" t="n">
        <v>6120027</v>
      </c>
      <c r="C102" s="136" t="inlineStr">
        <is>
          <t>硫皙酸</t>
        </is>
      </c>
      <c r="D102" s="72" t="n"/>
      <c r="E102" s="17" t="inlineStr">
        <is>
          <t>PCS</t>
        </is>
      </c>
      <c r="F102" s="18" t="n"/>
      <c r="G102" s="18" t="n"/>
      <c r="H102" s="20">
        <f>SUMIFS(領用表!$L:$L,領用表!$E:$E,$B102,領用表!$B:$B,H$2&amp;$P$1)</f>
        <v/>
      </c>
      <c r="I102" s="20">
        <f>SUMIFS(領用表!$L:$L,領用表!$E:$E,$B102,領用表!$B:$B,I$2&amp;$P$1)</f>
        <v/>
      </c>
      <c r="J102" s="20">
        <f>SUMIFS(領用表!$L:$L,領用表!$E:$E,$B102,領用表!$B:$B,J$2&amp;$P$1)</f>
        <v/>
      </c>
      <c r="K102" s="142">
        <f>SUMIFS(領用表!$L:$L,領用表!$E:$E,$B102,領用表!$B:$B,K$2&amp;$P$1)</f>
        <v/>
      </c>
      <c r="L102" s="142">
        <f>SUMIFS(領用表!$L:$L,領用表!$E:$E,$B102,領用表!$B:$B,L$2&amp;$P$1)</f>
        <v/>
      </c>
      <c r="M102" s="142">
        <f>SUMIFS(領用表!$L:$L,領用表!$E:$E,$B102,領用表!$B:$B,M$2&amp;$P$1)</f>
        <v/>
      </c>
      <c r="N102" s="23">
        <f>SUM(,H102,I102,J102,K102,L102,M102)</f>
        <v/>
      </c>
      <c r="O102" s="23">
        <f>AVERAGE(,H102,I102,J102,K102,L102,M102)</f>
        <v/>
      </c>
      <c r="P102" s="142">
        <f>SUMIFS(領用表!$L:$L,領用表!$E:$E,$B102,領用表!$B:$B,P$2&amp;$P$1)</f>
        <v/>
      </c>
      <c r="Q102" s="142">
        <f>SUMIFS(領用表!$L:$L,領用表!$E:$E,$B102,領用表!$B:$B,Q$2&amp;$P$1)</f>
        <v/>
      </c>
      <c r="R102" s="142">
        <f>SUMIFS(領用表!$L:$L,領用表!$E:$E,$B102,領用表!$B:$B,R$2&amp;$P$1)</f>
        <v/>
      </c>
      <c r="S102" s="142">
        <f>SUMIFS(領用表!$L:$L,領用表!$E:$E,$B102,領用表!$B:$B,S$2&amp;$P$1)</f>
        <v/>
      </c>
      <c r="T102" s="142">
        <f>SUMIFS(領用表!$L:$L,領用表!$E:$E,$B102,領用表!$B:$B,T$2&amp;$P$1)</f>
        <v/>
      </c>
      <c r="U102" s="142" t="n"/>
      <c r="V102" s="142">
        <f>SUMIFS(領用表!$L:$L,領用表!$E:$E,$B102,領用表!$B:$B,V$2&amp;$P$1)</f>
        <v/>
      </c>
      <c r="W102" s="142">
        <f>SUMIFS(領用表!$L:$L,領用表!$E:$E,$B102,領用表!$B:$B,W$2&amp;$P$1)</f>
        <v/>
      </c>
      <c r="X102" s="142">
        <f>SUMIFS(領用表!$L:$L,領用表!$E:$E,$B102,領用表!$B:$B,X$2&amp;$P$1)</f>
        <v/>
      </c>
      <c r="Y102" s="142">
        <f>SUMIFS(領用表!$L:$L,領用表!$E:$E,$B102,領用表!$B:$B,Y$2&amp;$P$1)</f>
        <v/>
      </c>
      <c r="Z102" s="142">
        <f>SUMIFS(領用表!$L:$L,領用表!$E:$E,$B102,領用表!$B:$B,Z$2&amp;$P$1)</f>
        <v/>
      </c>
      <c r="AA102" s="142">
        <f>SUMIFS(領用表!$L:$L,領用表!$E:$E,$B102,領用表!$B:$B,AA$2&amp;$P$1)</f>
        <v/>
      </c>
      <c r="AB102" s="142">
        <f>SUM(P102,Q102,R102,S102,T102,U102)</f>
        <v/>
      </c>
      <c r="AC102" s="142">
        <f>AVERAGE(P102,Q102,R102,S102,T102,U102)</f>
        <v/>
      </c>
      <c r="AD102" s="142">
        <f>SUMIF(Summary!B:B,B102,Summary!EB:EB)</f>
        <v/>
      </c>
      <c r="AE102" s="109" t="n">
        <v>3</v>
      </c>
      <c r="AF102" s="65" t="n"/>
      <c r="AG102" s="65" t="n"/>
      <c r="AH102" s="76" t="n"/>
      <c r="AI102" s="27" t="n"/>
      <c r="AJ102" s="69" t="n"/>
      <c r="AK102" s="14" t="n"/>
      <c r="AL102" s="14" t="n"/>
    </row>
    <row r="103" ht="15.75" customHeight="1" s="453">
      <c r="A103" s="27" t="n"/>
      <c r="B103" s="14" t="n">
        <v>6120018</v>
      </c>
      <c r="C103" s="136" t="inlineStr">
        <is>
          <t>止血明(TRA)</t>
        </is>
      </c>
      <c r="D103" s="72" t="n"/>
      <c r="E103" s="17" t="inlineStr">
        <is>
          <t>PCS</t>
        </is>
      </c>
      <c r="F103" s="18" t="n"/>
      <c r="G103" s="18" t="n">
        <v>132</v>
      </c>
      <c r="H103" s="20">
        <f>SUMIFS(領用表!$L:$L,領用表!$E:$E,$B103,領用表!$B:$B,H$2&amp;$P$1)</f>
        <v/>
      </c>
      <c r="I103" s="20">
        <f>SUMIFS(領用表!$L:$L,領用表!$E:$E,$B103,領用表!$B:$B,I$2&amp;$P$1)</f>
        <v/>
      </c>
      <c r="J103" s="20">
        <f>SUMIFS(領用表!$L:$L,領用表!$E:$E,$B103,領用表!$B:$B,J$2&amp;$P$1)</f>
        <v/>
      </c>
      <c r="K103" s="142">
        <f>SUMIFS(領用表!$L:$L,領用表!$E:$E,$B103,領用表!$B:$B,K$2&amp;$P$1)</f>
        <v/>
      </c>
      <c r="L103" s="142">
        <f>SUMIFS(領用表!$L:$L,領用表!$E:$E,$B103,領用表!$B:$B,L$2&amp;$P$1)</f>
        <v/>
      </c>
      <c r="M103" s="142">
        <f>SUMIFS(領用表!$L:$L,領用表!$E:$E,$B103,領用表!$B:$B,M$2&amp;$P$1)</f>
        <v/>
      </c>
      <c r="N103" s="23">
        <f>SUM(,H103,I103,J103,K103,L103,M103)</f>
        <v/>
      </c>
      <c r="O103" s="23">
        <f>AVERAGE(,H103,I103,J103,K103,L103,M103)</f>
        <v/>
      </c>
      <c r="P103" s="142">
        <f>SUMIFS(領用表!$L:$L,領用表!$E:$E,$B103,領用表!$B:$B,P$2&amp;$P$1)</f>
        <v/>
      </c>
      <c r="Q103" s="142">
        <f>SUMIFS(領用表!$L:$L,領用表!$E:$E,$B103,領用表!$B:$B,Q$2&amp;$P$1)</f>
        <v/>
      </c>
      <c r="R103" s="142">
        <f>SUMIFS(領用表!$L:$L,領用表!$E:$E,$B103,領用表!$B:$B,R$2&amp;$P$1)</f>
        <v/>
      </c>
      <c r="S103" s="142">
        <f>SUMIFS(領用表!$L:$L,領用表!$E:$E,$B103,領用表!$B:$B,S$2&amp;$P$1)</f>
        <v/>
      </c>
      <c r="T103" s="142">
        <f>SUMIFS(領用表!$L:$L,領用表!$E:$E,$B103,領用表!$B:$B,T$2&amp;$P$1)</f>
        <v/>
      </c>
      <c r="U103" s="142" t="n">
        <v>25</v>
      </c>
      <c r="V103" s="142">
        <f>SUMIFS(領用表!$L:$L,領用表!$E:$E,$B103,領用表!$B:$B,V$2&amp;$P$1)</f>
        <v/>
      </c>
      <c r="W103" s="142">
        <f>SUMIFS(領用表!$L:$L,領用表!$E:$E,$B103,領用表!$B:$B,W$2&amp;$P$1)</f>
        <v/>
      </c>
      <c r="X103" s="142">
        <f>SUMIFS(領用表!$L:$L,領用表!$E:$E,$B103,領用表!$B:$B,X$2&amp;$P$1)</f>
        <v/>
      </c>
      <c r="Y103" s="142">
        <f>SUMIFS(領用表!$L:$L,領用表!$E:$E,$B103,領用表!$B:$B,Y$2&amp;$P$1)</f>
        <v/>
      </c>
      <c r="Z103" s="142">
        <f>SUMIFS(領用表!$L:$L,領用表!$E:$E,$B103,領用表!$B:$B,Z$2&amp;$P$1)</f>
        <v/>
      </c>
      <c r="AA103" s="142">
        <f>SUMIFS(領用表!$L:$L,領用表!$E:$E,$B103,領用表!$B:$B,AA$2&amp;$P$1)</f>
        <v/>
      </c>
      <c r="AB103" s="142">
        <f>SUM(P103,Q103,R103,S103,T103,U103)</f>
        <v/>
      </c>
      <c r="AC103" s="142">
        <f>AVERAGE(P103,Q103,R103,S103,T103,U103)</f>
        <v/>
      </c>
      <c r="AD103" s="142">
        <f>SUMIF(Summary!B:B,B103,Summary!EB:EB)</f>
        <v/>
      </c>
      <c r="AE103" s="109" t="n">
        <v>5</v>
      </c>
      <c r="AF103" s="65" t="n"/>
      <c r="AG103" s="76" t="inlineStr">
        <is>
          <t>100-10/24</t>
        </is>
      </c>
      <c r="AH103" s="65" t="n"/>
      <c r="AI103" s="27" t="n"/>
      <c r="AJ103" s="69" t="n"/>
      <c r="AK103" s="14" t="n"/>
      <c r="AL103" s="14" t="n"/>
    </row>
    <row r="104" ht="15.75" customHeight="1" s="453">
      <c r="A104" s="27" t="n"/>
      <c r="B104" s="14" t="n">
        <v>6120011</v>
      </c>
      <c r="C104" s="136" t="inlineStr">
        <is>
          <t>西寧特(硒)</t>
        </is>
      </c>
      <c r="D104" s="72" t="n">
        <v>10</v>
      </c>
      <c r="E104" s="17" t="inlineStr">
        <is>
          <t>PCS</t>
        </is>
      </c>
      <c r="F104" s="18" t="n"/>
      <c r="G104" s="18" t="n"/>
      <c r="H104" s="20">
        <f>SUMIFS(領用表!$L:$L,領用表!$E:$E,$B104,領用表!$B:$B,H$2&amp;$P$1)</f>
        <v/>
      </c>
      <c r="I104" s="20">
        <f>SUMIFS(領用表!$L:$L,領用表!$E:$E,$B104,領用表!$B:$B,I$2&amp;$P$1)</f>
        <v/>
      </c>
      <c r="J104" s="20">
        <f>SUMIFS(領用表!$L:$L,領用表!$E:$E,$B104,領用表!$B:$B,J$2&amp;$P$1)</f>
        <v/>
      </c>
      <c r="K104" s="142">
        <f>SUMIFS(領用表!$L:$L,領用表!$E:$E,$B104,領用表!$B:$B,K$2&amp;$P$1)</f>
        <v/>
      </c>
      <c r="L104" s="142">
        <f>SUMIFS(領用表!$L:$L,領用表!$E:$E,$B104,領用表!$B:$B,L$2&amp;$P$1)</f>
        <v/>
      </c>
      <c r="M104" s="142">
        <f>SUMIFS(領用表!$L:$L,領用表!$E:$E,$B104,領用表!$B:$B,M$2&amp;$P$1)</f>
        <v/>
      </c>
      <c r="N104" s="23">
        <f>SUM(,H104,I104,J104,K104,L104,M104)</f>
        <v/>
      </c>
      <c r="O104" s="23">
        <f>AVERAGE(,H104,I104,J104,K104,L104,M104)</f>
        <v/>
      </c>
      <c r="P104" s="142">
        <f>SUMIFS(領用表!$L:$L,領用表!$E:$E,$B104,領用表!$B:$B,P$2&amp;$P$1)</f>
        <v/>
      </c>
      <c r="Q104" s="142">
        <f>SUMIFS(領用表!$L:$L,領用表!$E:$E,$B104,領用表!$B:$B,Q$2&amp;$P$1)</f>
        <v/>
      </c>
      <c r="R104" s="142">
        <f>SUMIFS(領用表!$L:$L,領用表!$E:$E,$B104,領用表!$B:$B,R$2&amp;$P$1)</f>
        <v/>
      </c>
      <c r="S104" s="142">
        <f>SUMIFS(領用表!$L:$L,領用表!$E:$E,$B104,領用表!$B:$B,S$2&amp;$P$1)</f>
        <v/>
      </c>
      <c r="T104" s="142">
        <f>SUMIFS(領用表!$L:$L,領用表!$E:$E,$B104,領用表!$B:$B,T$2&amp;$P$1)</f>
        <v/>
      </c>
      <c r="U104" s="142" t="n"/>
      <c r="V104" s="142">
        <f>SUMIFS(領用表!$L:$L,領用表!$E:$E,$B104,領用表!$B:$B,V$2&amp;$P$1)</f>
        <v/>
      </c>
      <c r="W104" s="142">
        <f>SUMIFS(領用表!$L:$L,領用表!$E:$E,$B104,領用表!$B:$B,W$2&amp;$P$1)</f>
        <v/>
      </c>
      <c r="X104" s="142">
        <f>SUMIFS(領用表!$L:$L,領用表!$E:$E,$B104,領用表!$B:$B,X$2&amp;$P$1)</f>
        <v/>
      </c>
      <c r="Y104" s="142">
        <f>SUMIFS(領用表!$L:$L,領用表!$E:$E,$B104,領用表!$B:$B,Y$2&amp;$P$1)</f>
        <v/>
      </c>
      <c r="Z104" s="142">
        <f>SUMIFS(領用表!$L:$L,領用表!$E:$E,$B104,領用表!$B:$B,Z$2&amp;$P$1)</f>
        <v/>
      </c>
      <c r="AA104" s="142">
        <f>SUMIFS(領用表!$L:$L,領用表!$E:$E,$B104,領用表!$B:$B,AA$2&amp;$P$1)</f>
        <v/>
      </c>
      <c r="AB104" s="142">
        <f>SUM(P104,Q104,R104,S104,T104,U104)</f>
        <v/>
      </c>
      <c r="AC104" s="142">
        <f>AVERAGE(P104,Q104,R104,S104,T104,U104)</f>
        <v/>
      </c>
      <c r="AD104" s="142">
        <f>SUMIF(Summary!B:B,B104,Summary!EB:EB)</f>
        <v/>
      </c>
      <c r="AE104" s="109" t="n">
        <v>3</v>
      </c>
      <c r="AF104" s="65" t="n"/>
      <c r="AG104" s="65" t="inlineStr">
        <is>
          <t>20-10/22</t>
        </is>
      </c>
      <c r="AH104" s="65" t="n"/>
      <c r="AI104" s="27" t="n"/>
      <c r="AJ104" s="69" t="n"/>
      <c r="AK104" s="14" t="n"/>
      <c r="AL104" s="14" t="n"/>
    </row>
    <row r="105" ht="15.75" customHeight="1" s="453">
      <c r="A105" s="27" t="n"/>
      <c r="B105" s="14" t="n">
        <v>6120028</v>
      </c>
      <c r="C105" s="136" t="inlineStr">
        <is>
          <t>治敏健 20ml</t>
        </is>
      </c>
      <c r="D105" s="77" t="n"/>
      <c r="E105" s="17" t="inlineStr">
        <is>
          <t>PCS</t>
        </is>
      </c>
      <c r="F105" s="18" t="n"/>
      <c r="G105" s="18" t="n"/>
      <c r="H105" s="20">
        <f>SUMIFS(領用表!$L:$L,領用表!$E:$E,$B105,領用表!$B:$B,H$2&amp;$P$1)</f>
        <v/>
      </c>
      <c r="I105" s="20">
        <f>SUMIFS(領用表!$L:$L,領用表!$E:$E,$B105,領用表!$B:$B,I$2&amp;$P$1)</f>
        <v/>
      </c>
      <c r="J105" s="20">
        <f>SUMIFS(領用表!$L:$L,領用表!$E:$E,$B105,領用表!$B:$B,J$2&amp;$P$1)</f>
        <v/>
      </c>
      <c r="K105" s="142">
        <f>SUMIFS(領用表!$L:$L,領用表!$E:$E,$B105,領用表!$B:$B,K$2&amp;$P$1)</f>
        <v/>
      </c>
      <c r="L105" s="142">
        <f>SUMIFS(領用表!$L:$L,領用表!$E:$E,$B105,領用表!$B:$B,L$2&amp;$P$1)</f>
        <v/>
      </c>
      <c r="M105" s="142">
        <f>SUMIFS(領用表!$L:$L,領用表!$E:$E,$B105,領用表!$B:$B,M$2&amp;$P$1)</f>
        <v/>
      </c>
      <c r="N105" s="23">
        <f>SUM(,H105,I105,J105,K105,L105,M105)</f>
        <v/>
      </c>
      <c r="O105" s="23">
        <f>AVERAGE(,H105,I105,J105,K105,L105,M105)</f>
        <v/>
      </c>
      <c r="P105" s="142">
        <f>SUMIFS(領用表!$L:$L,領用表!$E:$E,$B105,領用表!$B:$B,P$2&amp;$P$1)</f>
        <v/>
      </c>
      <c r="Q105" s="142">
        <f>SUMIFS(領用表!$L:$L,領用表!$E:$E,$B105,領用表!$B:$B,Q$2&amp;$P$1)</f>
        <v/>
      </c>
      <c r="R105" s="142">
        <f>SUMIFS(領用表!$L:$L,領用表!$E:$E,$B105,領用表!$B:$B,R$2&amp;$P$1)</f>
        <v/>
      </c>
      <c r="S105" s="142">
        <f>SUMIFS(領用表!$L:$L,領用表!$E:$E,$B105,領用表!$B:$B,S$2&amp;$P$1)</f>
        <v/>
      </c>
      <c r="T105" s="142">
        <f>SUMIFS(領用表!$L:$L,領用表!$E:$E,$B105,領用表!$B:$B,T$2&amp;$P$1)</f>
        <v/>
      </c>
      <c r="U105" s="142" t="n"/>
      <c r="V105" s="142">
        <f>SUMIFS(領用表!$L:$L,領用表!$E:$E,$B105,領用表!$B:$B,V$2&amp;$P$1)</f>
        <v/>
      </c>
      <c r="W105" s="142">
        <f>SUMIFS(領用表!$L:$L,領用表!$E:$E,$B105,領用表!$B:$B,W$2&amp;$P$1)</f>
        <v/>
      </c>
      <c r="X105" s="142">
        <f>SUMIFS(領用表!$L:$L,領用表!$E:$E,$B105,領用表!$B:$B,X$2&amp;$P$1)</f>
        <v/>
      </c>
      <c r="Y105" s="142">
        <f>SUMIFS(領用表!$L:$L,領用表!$E:$E,$B105,領用表!$B:$B,Y$2&amp;$P$1)</f>
        <v/>
      </c>
      <c r="Z105" s="142">
        <f>SUMIFS(領用表!$L:$L,領用表!$E:$E,$B105,領用表!$B:$B,Z$2&amp;$P$1)</f>
        <v/>
      </c>
      <c r="AA105" s="142">
        <f>SUMIFS(領用表!$L:$L,領用表!$E:$E,$B105,領用表!$B:$B,AA$2&amp;$P$1)</f>
        <v/>
      </c>
      <c r="AB105" s="142">
        <f>SUM(P105,Q105,R105,S105,T105,U105)</f>
        <v/>
      </c>
      <c r="AC105" s="142">
        <f>AVERAGE(P105,Q105,R105,S105,T105,U105)</f>
        <v/>
      </c>
      <c r="AD105" s="142">
        <f>SUMIF(Summary!B:B,B105,Summary!EB:EB)</f>
        <v/>
      </c>
      <c r="AE105" s="109" t="n">
        <v>3</v>
      </c>
      <c r="AF105" s="65" t="n"/>
      <c r="AG105" s="65" t="n"/>
      <c r="AH105" s="65" t="n"/>
      <c r="AI105" s="27" t="n"/>
      <c r="AJ105" s="27" t="n"/>
      <c r="AK105" s="14" t="n"/>
      <c r="AL105" s="29" t="n"/>
    </row>
    <row r="106" ht="15.75" customHeight="1" s="453">
      <c r="A106" s="27" t="n"/>
      <c r="B106" s="14" t="n">
        <v>6120017</v>
      </c>
      <c r="C106" s="136" t="inlineStr">
        <is>
          <t>保肝</t>
        </is>
      </c>
      <c r="D106" s="72" t="n"/>
      <c r="E106" s="17" t="inlineStr">
        <is>
          <t>PCS</t>
        </is>
      </c>
      <c r="F106" s="18" t="n"/>
      <c r="G106" s="18" t="n"/>
      <c r="H106" s="20">
        <f>SUMIFS(領用表!$L:$L,領用表!$E:$E,$B106,領用表!$B:$B,H$2&amp;$P$1)</f>
        <v/>
      </c>
      <c r="I106" s="20">
        <f>SUMIFS(領用表!$L:$L,領用表!$E:$E,$B106,領用表!$B:$B,I$2&amp;$P$1)</f>
        <v/>
      </c>
      <c r="J106" s="20">
        <f>SUMIFS(領用表!$L:$L,領用表!$E:$E,$B106,領用表!$B:$B,J$2&amp;$P$1)</f>
        <v/>
      </c>
      <c r="K106" s="142">
        <f>SUMIFS(領用表!$L:$L,領用表!$E:$E,$B106,領用表!$B:$B,K$2&amp;$P$1)</f>
        <v/>
      </c>
      <c r="L106" s="142">
        <f>SUMIFS(領用表!$L:$L,領用表!$E:$E,$B106,領用表!$B:$B,L$2&amp;$P$1)</f>
        <v/>
      </c>
      <c r="M106" s="142">
        <f>SUMIFS(領用表!$L:$L,領用表!$E:$E,$B106,領用表!$B:$B,M$2&amp;$P$1)</f>
        <v/>
      </c>
      <c r="N106" s="23">
        <f>SUM(,H106,I106,J106,K106,L106,M106)</f>
        <v/>
      </c>
      <c r="O106" s="23">
        <f>AVERAGE(,H106,I106,J106,K106,L106,M106)</f>
        <v/>
      </c>
      <c r="P106" s="142">
        <f>SUMIFS(領用表!$L:$L,領用表!$E:$E,$B106,領用表!$B:$B,P$2&amp;$P$1)</f>
        <v/>
      </c>
      <c r="Q106" s="142">
        <f>SUMIFS(領用表!$L:$L,領用表!$E:$E,$B106,領用表!$B:$B,Q$2&amp;$P$1)</f>
        <v/>
      </c>
      <c r="R106" s="142">
        <f>SUMIFS(領用表!$L:$L,領用表!$E:$E,$B106,領用表!$B:$B,R$2&amp;$P$1)</f>
        <v/>
      </c>
      <c r="S106" s="142">
        <f>SUMIFS(領用表!$L:$L,領用表!$E:$E,$B106,領用表!$B:$B,S$2&amp;$P$1)</f>
        <v/>
      </c>
      <c r="T106" s="142">
        <f>SUMIFS(領用表!$L:$L,領用表!$E:$E,$B106,領用表!$B:$B,T$2&amp;$P$1)</f>
        <v/>
      </c>
      <c r="U106" s="142" t="n"/>
      <c r="V106" s="142">
        <f>SUMIFS(領用表!$L:$L,領用表!$E:$E,$B106,領用表!$B:$B,V$2&amp;$P$1)</f>
        <v/>
      </c>
      <c r="W106" s="142">
        <f>SUMIFS(領用表!$L:$L,領用表!$E:$E,$B106,領用表!$B:$B,W$2&amp;$P$1)</f>
        <v/>
      </c>
      <c r="X106" s="142">
        <f>SUMIFS(領用表!$L:$L,領用表!$E:$E,$B106,領用表!$B:$B,X$2&amp;$P$1)</f>
        <v/>
      </c>
      <c r="Y106" s="142">
        <f>SUMIFS(領用表!$L:$L,領用表!$E:$E,$B106,領用表!$B:$B,Y$2&amp;$P$1)</f>
        <v/>
      </c>
      <c r="Z106" s="142">
        <f>SUMIFS(領用表!$L:$L,領用表!$E:$E,$B106,領用表!$B:$B,Z$2&amp;$P$1)</f>
        <v/>
      </c>
      <c r="AA106" s="142">
        <f>SUMIFS(領用表!$L:$L,領用表!$E:$E,$B106,領用表!$B:$B,AA$2&amp;$P$1)</f>
        <v/>
      </c>
      <c r="AB106" s="142">
        <f>SUM(P106,Q106,R106,S106,T106,U106)</f>
        <v/>
      </c>
      <c r="AC106" s="142">
        <f>AVERAGE(P106,Q106,R106,S106,T106,U106)</f>
        <v/>
      </c>
      <c r="AD106" s="142">
        <f>SUMIF(Summary!B:B,B106,Summary!EB:EB)</f>
        <v/>
      </c>
      <c r="AE106" s="109" t="n">
        <v>0</v>
      </c>
      <c r="AF106" s="65" t="n"/>
      <c r="AG106" s="65" t="n"/>
      <c r="AH106" s="65" t="n"/>
      <c r="AI106" s="27" t="n"/>
      <c r="AJ106" s="69" t="n"/>
      <c r="AK106" s="14" t="n"/>
      <c r="AL106" s="14" t="n"/>
    </row>
    <row r="107" ht="15.75" customHeight="1" s="453">
      <c r="A107" s="27" t="n"/>
      <c r="B107" s="14" t="n">
        <v>6120007</v>
      </c>
      <c r="C107" s="136" t="inlineStr">
        <is>
          <t>硫酸鋅</t>
        </is>
      </c>
      <c r="D107" s="72" t="n">
        <v>100</v>
      </c>
      <c r="E107" s="17" t="inlineStr">
        <is>
          <t>PCS</t>
        </is>
      </c>
      <c r="F107" s="18" t="n"/>
      <c r="G107" s="18" t="n"/>
      <c r="H107" s="20">
        <f>SUMIFS(領用表!$L:$L,領用表!$E:$E,$B107,領用表!$B:$B,H$2&amp;$P$1)</f>
        <v/>
      </c>
      <c r="I107" s="20">
        <f>SUMIFS(領用表!$L:$L,領用表!$E:$E,$B107,領用表!$B:$B,I$2&amp;$P$1)</f>
        <v/>
      </c>
      <c r="J107" s="20">
        <f>SUMIFS(領用表!$L:$L,領用表!$E:$E,$B107,領用表!$B:$B,J$2&amp;$P$1)</f>
        <v/>
      </c>
      <c r="K107" s="142">
        <f>SUMIFS(領用表!$L:$L,領用表!$E:$E,$B107,領用表!$B:$B,K$2&amp;$P$1)</f>
        <v/>
      </c>
      <c r="L107" s="142">
        <f>SUMIFS(領用表!$L:$L,領用表!$E:$E,$B107,領用表!$B:$B,L$2&amp;$P$1)</f>
        <v/>
      </c>
      <c r="M107" s="142">
        <f>SUMIFS(領用表!$L:$L,領用表!$E:$E,$B107,領用表!$B:$B,M$2&amp;$P$1)</f>
        <v/>
      </c>
      <c r="N107" s="23">
        <f>SUM(,H107,I107,J107,K107,L107,M107)</f>
        <v/>
      </c>
      <c r="O107" s="23">
        <f>AVERAGE(,H107,I107,J107,K107,L107,M107)</f>
        <v/>
      </c>
      <c r="P107" s="142">
        <f>SUMIFS(領用表!$L:$L,領用表!$E:$E,$B107,領用表!$B:$B,P$2&amp;$P$1)</f>
        <v/>
      </c>
      <c r="Q107" s="142">
        <f>SUMIFS(領用表!$L:$L,領用表!$E:$E,$B107,領用表!$B:$B,Q$2&amp;$P$1)</f>
        <v/>
      </c>
      <c r="R107" s="142">
        <f>SUMIFS(領用表!$L:$L,領用表!$E:$E,$B107,領用表!$B:$B,R$2&amp;$P$1)</f>
        <v/>
      </c>
      <c r="S107" s="142">
        <f>SUMIFS(領用表!$L:$L,領用表!$E:$E,$B107,領用表!$B:$B,S$2&amp;$P$1)</f>
        <v/>
      </c>
      <c r="T107" s="142">
        <f>SUMIFS(領用表!$L:$L,領用表!$E:$E,$B107,領用表!$B:$B,T$2&amp;$P$1)</f>
        <v/>
      </c>
      <c r="U107" s="142" t="n"/>
      <c r="V107" s="142">
        <f>SUMIFS(領用表!$L:$L,領用表!$E:$E,$B107,領用表!$B:$B,V$2&amp;$P$1)</f>
        <v/>
      </c>
      <c r="W107" s="142">
        <f>SUMIFS(領用表!$L:$L,領用表!$E:$E,$B107,領用表!$B:$B,W$2&amp;$P$1)</f>
        <v/>
      </c>
      <c r="X107" s="142">
        <f>SUMIFS(領用表!$L:$L,領用表!$E:$E,$B107,領用表!$B:$B,X$2&amp;$P$1)</f>
        <v/>
      </c>
      <c r="Y107" s="142">
        <f>SUMIFS(領用表!$L:$L,領用表!$E:$E,$B107,領用表!$B:$B,Y$2&amp;$P$1)</f>
        <v/>
      </c>
      <c r="Z107" s="142">
        <f>SUMIFS(領用表!$L:$L,領用表!$E:$E,$B107,領用表!$B:$B,Z$2&amp;$P$1)</f>
        <v/>
      </c>
      <c r="AA107" s="142">
        <f>SUMIFS(領用表!$L:$L,領用表!$E:$E,$B107,領用表!$B:$B,AA$2&amp;$P$1)</f>
        <v/>
      </c>
      <c r="AB107" s="142">
        <f>SUM(P107,Q107,R107,S107,T107,U107)</f>
        <v/>
      </c>
      <c r="AC107" s="142">
        <f>AVERAGE(P107,Q107,R107,S107,T107,U107)</f>
        <v/>
      </c>
      <c r="AD107" s="142">
        <f>SUMIF(Summary!B:B,B107,Summary!EB:EB)</f>
        <v/>
      </c>
      <c r="AE107" s="109" t="n">
        <v>3</v>
      </c>
      <c r="AF107" s="65" t="n"/>
      <c r="AG107" s="65" t="n"/>
      <c r="AH107" s="65" t="n"/>
      <c r="AI107" s="27" t="n"/>
      <c r="AJ107" s="69" t="n"/>
      <c r="AK107" s="14" t="n"/>
      <c r="AL107" s="14" t="n"/>
    </row>
    <row r="108" ht="15.75" customHeight="1" s="453">
      <c r="A108" s="27" t="n"/>
      <c r="B108" s="14" t="n">
        <v>6120008</v>
      </c>
      <c r="C108" s="136" t="inlineStr">
        <is>
          <t>硫酸鎂</t>
        </is>
      </c>
      <c r="D108" s="72" t="n">
        <v>100</v>
      </c>
      <c r="E108" s="17" t="inlineStr">
        <is>
          <t>PCS</t>
        </is>
      </c>
      <c r="F108" s="18" t="n"/>
      <c r="G108" s="18" t="n"/>
      <c r="H108" s="20">
        <f>SUMIFS(領用表!$L:$L,領用表!$E:$E,$B108,領用表!$B:$B,H$2&amp;$P$1)</f>
        <v/>
      </c>
      <c r="I108" s="20">
        <f>SUMIFS(領用表!$L:$L,領用表!$E:$E,$B108,領用表!$B:$B,I$2&amp;$P$1)</f>
        <v/>
      </c>
      <c r="J108" s="20">
        <f>SUMIFS(領用表!$L:$L,領用表!$E:$E,$B108,領用表!$B:$B,J$2&amp;$P$1)</f>
        <v/>
      </c>
      <c r="K108" s="142">
        <f>SUMIFS(領用表!$L:$L,領用表!$E:$E,$B108,領用表!$B:$B,K$2&amp;$P$1)</f>
        <v/>
      </c>
      <c r="L108" s="142">
        <f>SUMIFS(領用表!$L:$L,領用表!$E:$E,$B108,領用表!$B:$B,L$2&amp;$P$1)</f>
        <v/>
      </c>
      <c r="M108" s="142">
        <f>SUMIFS(領用表!$L:$L,領用表!$E:$E,$B108,領用表!$B:$B,M$2&amp;$P$1)</f>
        <v/>
      </c>
      <c r="N108" s="23">
        <f>SUM(,H108,I108,J108,K108,L108,M108)</f>
        <v/>
      </c>
      <c r="O108" s="23">
        <f>AVERAGE(,H108,I108,J108,K108,L108,M108)</f>
        <v/>
      </c>
      <c r="P108" s="142">
        <f>SUMIFS(領用表!$L:$L,領用表!$E:$E,$B108,領用表!$B:$B,P$2&amp;$P$1)</f>
        <v/>
      </c>
      <c r="Q108" s="142">
        <f>SUMIFS(領用表!$L:$L,領用表!$E:$E,$B108,領用表!$B:$B,Q$2&amp;$P$1)</f>
        <v/>
      </c>
      <c r="R108" s="142">
        <f>SUMIFS(領用表!$L:$L,領用表!$E:$E,$B108,領用表!$B:$B,R$2&amp;$P$1)</f>
        <v/>
      </c>
      <c r="S108" s="142">
        <f>SUMIFS(領用表!$L:$L,領用表!$E:$E,$B108,領用表!$B:$B,S$2&amp;$P$1)</f>
        <v/>
      </c>
      <c r="T108" s="142">
        <f>SUMIFS(領用表!$L:$L,領用表!$E:$E,$B108,領用表!$B:$B,T$2&amp;$P$1)</f>
        <v/>
      </c>
      <c r="U108" s="142" t="n"/>
      <c r="V108" s="142">
        <f>SUMIFS(領用表!$L:$L,領用表!$E:$E,$B108,領用表!$B:$B,V$2&amp;$P$1)</f>
        <v/>
      </c>
      <c r="W108" s="142">
        <f>SUMIFS(領用表!$L:$L,領用表!$E:$E,$B108,領用表!$B:$B,W$2&amp;$P$1)</f>
        <v/>
      </c>
      <c r="X108" s="142">
        <f>SUMIFS(領用表!$L:$L,領用表!$E:$E,$B108,領用表!$B:$B,X$2&amp;$P$1)</f>
        <v/>
      </c>
      <c r="Y108" s="142">
        <f>SUMIFS(領用表!$L:$L,領用表!$E:$E,$B108,領用表!$B:$B,Y$2&amp;$P$1)</f>
        <v/>
      </c>
      <c r="Z108" s="142">
        <f>SUMIFS(領用表!$L:$L,領用表!$E:$E,$B108,領用表!$B:$B,Z$2&amp;$P$1)</f>
        <v/>
      </c>
      <c r="AA108" s="142">
        <f>SUMIFS(領用表!$L:$L,領用表!$E:$E,$B108,領用表!$B:$B,AA$2&amp;$P$1)</f>
        <v/>
      </c>
      <c r="AB108" s="142">
        <f>SUM(P108,Q108,R108,S108,T108,U108)</f>
        <v/>
      </c>
      <c r="AC108" s="142">
        <f>AVERAGE(P108,Q108,R108,S108,T108,U108)</f>
        <v/>
      </c>
      <c r="AD108" s="142">
        <f>SUMIF(Summary!B:B,B108,Summary!EB:EB)</f>
        <v/>
      </c>
      <c r="AE108" s="109" t="n">
        <v>0</v>
      </c>
      <c r="AF108" s="65" t="n"/>
      <c r="AG108" s="65" t="n"/>
      <c r="AH108" s="65" t="n"/>
      <c r="AI108" s="27" t="n"/>
      <c r="AJ108" s="69" t="n"/>
      <c r="AK108" s="14" t="n"/>
      <c r="AL108" s="14" t="n"/>
    </row>
    <row r="109" ht="15.75" customHeight="1" s="453">
      <c r="A109" s="27" t="n"/>
      <c r="B109" s="14" t="n">
        <v>6120029</v>
      </c>
      <c r="C109" s="136" t="inlineStr">
        <is>
          <t>鹽酸二苯胺明 1ml</t>
        </is>
      </c>
      <c r="D109" s="77" t="n"/>
      <c r="E109" s="17" t="inlineStr">
        <is>
          <t>PCS</t>
        </is>
      </c>
      <c r="F109" s="18" t="n"/>
      <c r="G109" s="18" t="n"/>
      <c r="H109" s="20">
        <f>SUMIFS(領用表!$L:$L,領用表!$E:$E,$B109,領用表!$B:$B,H$2&amp;$P$1)</f>
        <v/>
      </c>
      <c r="I109" s="20">
        <f>SUMIFS(領用表!$L:$L,領用表!$E:$E,$B109,領用表!$B:$B,I$2&amp;$P$1)</f>
        <v/>
      </c>
      <c r="J109" s="20">
        <f>SUMIFS(領用表!$L:$L,領用表!$E:$E,$B109,領用表!$B:$B,J$2&amp;$P$1)</f>
        <v/>
      </c>
      <c r="K109" s="142">
        <f>SUMIFS(領用表!$L:$L,領用表!$E:$E,$B109,領用表!$B:$B,K$2&amp;$P$1)</f>
        <v/>
      </c>
      <c r="L109" s="142">
        <f>SUMIFS(領用表!$L:$L,領用表!$E:$E,$B109,領用表!$B:$B,L$2&amp;$P$1)</f>
        <v/>
      </c>
      <c r="M109" s="142">
        <f>SUMIFS(領用表!$L:$L,領用表!$E:$E,$B109,領用表!$B:$B,M$2&amp;$P$1)</f>
        <v/>
      </c>
      <c r="N109" s="23">
        <f>SUM(,H109,I109,J109,K109,L109,M109)</f>
        <v/>
      </c>
      <c r="O109" s="23">
        <f>AVERAGE(,H109,I109,J109,K109,L109,M109)</f>
        <v/>
      </c>
      <c r="P109" s="142">
        <f>SUMIFS(領用表!$L:$L,領用表!$E:$E,$B109,領用表!$B:$B,P$2&amp;$P$1)</f>
        <v/>
      </c>
      <c r="Q109" s="142">
        <f>SUMIFS(領用表!$L:$L,領用表!$E:$E,$B109,領用表!$B:$B,Q$2&amp;$P$1)</f>
        <v/>
      </c>
      <c r="R109" s="142">
        <f>SUMIFS(領用表!$L:$L,領用表!$E:$E,$B109,領用表!$B:$B,R$2&amp;$P$1)</f>
        <v/>
      </c>
      <c r="S109" s="142">
        <f>SUMIFS(領用表!$L:$L,領用表!$E:$E,$B109,領用表!$B:$B,S$2&amp;$P$1)</f>
        <v/>
      </c>
      <c r="T109" s="142">
        <f>SUMIFS(領用表!$L:$L,領用表!$E:$E,$B109,領用表!$B:$B,T$2&amp;$P$1)</f>
        <v/>
      </c>
      <c r="U109" s="142" t="n"/>
      <c r="V109" s="142">
        <f>SUMIFS(領用表!$L:$L,領用表!$E:$E,$B109,領用表!$B:$B,V$2&amp;$P$1)</f>
        <v/>
      </c>
      <c r="W109" s="142">
        <f>SUMIFS(領用表!$L:$L,領用表!$E:$E,$B109,領用表!$B:$B,W$2&amp;$P$1)</f>
        <v/>
      </c>
      <c r="X109" s="142">
        <f>SUMIFS(領用表!$L:$L,領用表!$E:$E,$B109,領用表!$B:$B,X$2&amp;$P$1)</f>
        <v/>
      </c>
      <c r="Y109" s="142">
        <f>SUMIFS(領用表!$L:$L,領用表!$E:$E,$B109,領用表!$B:$B,Y$2&amp;$P$1)</f>
        <v/>
      </c>
      <c r="Z109" s="142">
        <f>SUMIFS(領用表!$L:$L,領用表!$E:$E,$B109,領用表!$B:$B,Z$2&amp;$P$1)</f>
        <v/>
      </c>
      <c r="AA109" s="142">
        <f>SUMIFS(領用表!$L:$L,領用表!$E:$E,$B109,領用表!$B:$B,AA$2&amp;$P$1)</f>
        <v/>
      </c>
      <c r="AB109" s="142">
        <f>SUM(P109,Q109,R109,S109,T109,U109)</f>
        <v/>
      </c>
      <c r="AC109" s="142">
        <f>AVERAGE(P109,Q109,R109,S109,T109,U109)</f>
        <v/>
      </c>
      <c r="AD109" s="142">
        <f>SUMIF(Summary!B:B,B109,Summary!EB:EB)</f>
        <v/>
      </c>
      <c r="AE109" s="109" t="n">
        <v>3</v>
      </c>
      <c r="AF109" s="65" t="n"/>
      <c r="AG109" s="65" t="n"/>
      <c r="AH109" s="65" t="inlineStr">
        <is>
          <t>10-10/22</t>
        </is>
      </c>
      <c r="AI109" s="27" t="n"/>
      <c r="AJ109" s="27" t="n"/>
      <c r="AK109" s="14" t="n"/>
      <c r="AL109" s="29" t="n"/>
    </row>
    <row r="110" ht="15.75" customHeight="1" s="453">
      <c r="A110" s="27" t="n"/>
      <c r="B110" s="14" t="n">
        <v>6120030</v>
      </c>
      <c r="C110" s="136" t="inlineStr">
        <is>
          <t>克多炎 1ml</t>
        </is>
      </c>
      <c r="D110" s="77" t="n"/>
      <c r="E110" s="17" t="inlineStr">
        <is>
          <t>PCS</t>
        </is>
      </c>
      <c r="F110" s="18" t="n"/>
      <c r="G110" s="18" t="n"/>
      <c r="H110" s="20">
        <f>SUMIFS(領用表!$L:$L,領用表!$E:$E,$B110,領用表!$B:$B,H$2&amp;$P$1)</f>
        <v/>
      </c>
      <c r="I110" s="20">
        <f>SUMIFS(領用表!$L:$L,領用表!$E:$E,$B110,領用表!$B:$B,I$2&amp;$P$1)</f>
        <v/>
      </c>
      <c r="J110" s="20">
        <f>SUMIFS(領用表!$L:$L,領用表!$E:$E,$B110,領用表!$B:$B,J$2&amp;$P$1)</f>
        <v/>
      </c>
      <c r="K110" s="142">
        <f>SUMIFS(領用表!$L:$L,領用表!$E:$E,$B110,領用表!$B:$B,K$2&amp;$P$1)</f>
        <v/>
      </c>
      <c r="L110" s="142">
        <f>SUMIFS(領用表!$L:$L,領用表!$E:$E,$B110,領用表!$B:$B,L$2&amp;$P$1)</f>
        <v/>
      </c>
      <c r="M110" s="142">
        <f>SUMIFS(領用表!$L:$L,領用表!$E:$E,$B110,領用表!$B:$B,M$2&amp;$P$1)</f>
        <v/>
      </c>
      <c r="N110" s="23">
        <f>SUM(,H110,I110,J110,K110,L110,M110)</f>
        <v/>
      </c>
      <c r="O110" s="23">
        <f>AVERAGE(,H110,I110,J110,K110,L110,M110)</f>
        <v/>
      </c>
      <c r="P110" s="142">
        <f>SUMIFS(領用表!$L:$L,領用表!$E:$E,$B110,領用表!$B:$B,P$2&amp;$P$1)</f>
        <v/>
      </c>
      <c r="Q110" s="142">
        <f>SUMIFS(領用表!$L:$L,領用表!$E:$E,$B110,領用表!$B:$B,Q$2&amp;$P$1)</f>
        <v/>
      </c>
      <c r="R110" s="142">
        <f>SUMIFS(領用表!$L:$L,領用表!$E:$E,$B110,領用表!$B:$B,R$2&amp;$P$1)</f>
        <v/>
      </c>
      <c r="S110" s="142">
        <f>SUMIFS(領用表!$L:$L,領用表!$E:$E,$B110,領用表!$B:$B,S$2&amp;$P$1)</f>
        <v/>
      </c>
      <c r="T110" s="142">
        <f>SUMIFS(領用表!$L:$L,領用表!$E:$E,$B110,領用表!$B:$B,T$2&amp;$P$1)</f>
        <v/>
      </c>
      <c r="U110" s="142" t="n"/>
      <c r="V110" s="142">
        <f>SUMIFS(領用表!$L:$L,領用表!$E:$E,$B110,領用表!$B:$B,V$2&amp;$P$1)</f>
        <v/>
      </c>
      <c r="W110" s="142">
        <f>SUMIFS(領用表!$L:$L,領用表!$E:$E,$B110,領用表!$B:$B,W$2&amp;$P$1)</f>
        <v/>
      </c>
      <c r="X110" s="142">
        <f>SUMIFS(領用表!$L:$L,領用表!$E:$E,$B110,領用表!$B:$B,X$2&amp;$P$1)</f>
        <v/>
      </c>
      <c r="Y110" s="142">
        <f>SUMIFS(領用表!$L:$L,領用表!$E:$E,$B110,領用表!$B:$B,Y$2&amp;$P$1)</f>
        <v/>
      </c>
      <c r="Z110" s="142">
        <f>SUMIFS(領用表!$L:$L,領用表!$E:$E,$B110,領用表!$B:$B,Z$2&amp;$P$1)</f>
        <v/>
      </c>
      <c r="AA110" s="142">
        <f>SUMIFS(領用表!$L:$L,領用表!$E:$E,$B110,領用表!$B:$B,AA$2&amp;$P$1)</f>
        <v/>
      </c>
      <c r="AB110" s="142">
        <f>SUM(P110,Q110,R110,S110,T110,U110)</f>
        <v/>
      </c>
      <c r="AC110" s="142">
        <f>AVERAGE(P110,Q110,R110,S110,T110,U110)</f>
        <v/>
      </c>
      <c r="AD110" s="142">
        <f>SUMIF(Summary!B:B,B110,Summary!EB:EB)</f>
        <v/>
      </c>
      <c r="AE110" s="109" t="n">
        <v>3</v>
      </c>
      <c r="AF110" s="65" t="n"/>
      <c r="AG110" s="65" t="n"/>
      <c r="AH110" s="65" t="n"/>
      <c r="AI110" s="27" t="n"/>
      <c r="AJ110" s="27" t="n"/>
      <c r="AK110" s="14" t="n"/>
      <c r="AL110" s="29" t="n"/>
    </row>
    <row r="111" ht="15.75" customHeight="1" s="453">
      <c r="A111" s="27" t="n"/>
      <c r="B111" s="14" t="n">
        <v>6120031</v>
      </c>
      <c r="C111" s="136" t="inlineStr">
        <is>
          <t>菲碧茵 2ml</t>
        </is>
      </c>
      <c r="D111" s="77" t="n"/>
      <c r="E111" s="17" t="inlineStr">
        <is>
          <t>PCS</t>
        </is>
      </c>
      <c r="F111" s="18" t="n"/>
      <c r="G111" s="18" t="n"/>
      <c r="H111" s="20">
        <f>SUMIFS(領用表!$L:$L,領用表!$E:$E,$B111,領用表!$B:$B,H$2&amp;$P$1)</f>
        <v/>
      </c>
      <c r="I111" s="20">
        <f>SUMIFS(領用表!$L:$L,領用表!$E:$E,$B111,領用表!$B:$B,I$2&amp;$P$1)</f>
        <v/>
      </c>
      <c r="J111" s="20">
        <f>SUMIFS(領用表!$L:$L,領用表!$E:$E,$B111,領用表!$B:$B,J$2&amp;$P$1)</f>
        <v/>
      </c>
      <c r="K111" s="142">
        <f>SUMIFS(領用表!$L:$L,領用表!$E:$E,$B111,領用表!$B:$B,K$2&amp;$P$1)</f>
        <v/>
      </c>
      <c r="L111" s="142">
        <f>SUMIFS(領用表!$L:$L,領用表!$E:$E,$B111,領用表!$B:$B,L$2&amp;$P$1)</f>
        <v/>
      </c>
      <c r="M111" s="142">
        <f>SUMIFS(領用表!$L:$L,領用表!$E:$E,$B111,領用表!$B:$B,M$2&amp;$P$1)</f>
        <v/>
      </c>
      <c r="N111" s="23">
        <f>SUM(,H111,I111,J111,K111,L111,M111)</f>
        <v/>
      </c>
      <c r="O111" s="23">
        <f>AVERAGE(,H111,I111,J111,K111,L111,M111)</f>
        <v/>
      </c>
      <c r="P111" s="142">
        <f>SUMIFS(領用表!$L:$L,領用表!$E:$E,$B111,領用表!$B:$B,P$2&amp;$P$1)</f>
        <v/>
      </c>
      <c r="Q111" s="142">
        <f>SUMIFS(領用表!$L:$L,領用表!$E:$E,$B111,領用表!$B:$B,Q$2&amp;$P$1)</f>
        <v/>
      </c>
      <c r="R111" s="142">
        <f>SUMIFS(領用表!$L:$L,領用表!$E:$E,$B111,領用表!$B:$B,R$2&amp;$P$1)</f>
        <v/>
      </c>
      <c r="S111" s="142">
        <f>SUMIFS(領用表!$L:$L,領用表!$E:$E,$B111,領用表!$B:$B,S$2&amp;$P$1)</f>
        <v/>
      </c>
      <c r="T111" s="142">
        <f>SUMIFS(領用表!$L:$L,領用表!$E:$E,$B111,領用表!$B:$B,T$2&amp;$P$1)</f>
        <v/>
      </c>
      <c r="U111" s="142" t="n"/>
      <c r="V111" s="142">
        <f>SUMIFS(領用表!$L:$L,領用表!$E:$E,$B111,領用表!$B:$B,V$2&amp;$P$1)</f>
        <v/>
      </c>
      <c r="W111" s="142">
        <f>SUMIFS(領用表!$L:$L,領用表!$E:$E,$B111,領用表!$B:$B,W$2&amp;$P$1)</f>
        <v/>
      </c>
      <c r="X111" s="142">
        <f>SUMIFS(領用表!$L:$L,領用表!$E:$E,$B111,領用表!$B:$B,X$2&amp;$P$1)</f>
        <v/>
      </c>
      <c r="Y111" s="142">
        <f>SUMIFS(領用表!$L:$L,領用表!$E:$E,$B111,領用表!$B:$B,Y$2&amp;$P$1)</f>
        <v/>
      </c>
      <c r="Z111" s="142">
        <f>SUMIFS(領用表!$L:$L,領用表!$E:$E,$B111,領用表!$B:$B,Z$2&amp;$P$1)</f>
        <v/>
      </c>
      <c r="AA111" s="142">
        <f>SUMIFS(領用表!$L:$L,領用表!$E:$E,$B111,領用表!$B:$B,AA$2&amp;$P$1)</f>
        <v/>
      </c>
      <c r="AB111" s="142">
        <f>SUM(P111,Q111,R111,S111,T111,U111)</f>
        <v/>
      </c>
      <c r="AC111" s="142">
        <f>AVERAGE(P111,Q111,R111,S111,T111,U111)</f>
        <v/>
      </c>
      <c r="AD111" s="142">
        <f>SUMIF(Summary!B:B,B111,Summary!EB:EB)</f>
        <v/>
      </c>
      <c r="AE111" s="109" t="n">
        <v>3</v>
      </c>
      <c r="AF111" s="65" t="n"/>
      <c r="AG111" s="65" t="n"/>
      <c r="AH111" s="65" t="n"/>
      <c r="AI111" s="27" t="n"/>
      <c r="AJ111" s="27" t="n"/>
      <c r="AK111" s="14" t="n"/>
      <c r="AL111" s="29" t="n"/>
    </row>
    <row r="112" ht="15.75" customHeight="1" s="453">
      <c r="A112" s="27" t="n"/>
      <c r="B112" s="14" t="n">
        <v>6120032</v>
      </c>
      <c r="C112" s="136" t="inlineStr">
        <is>
          <t>鹽酸副腎素 1ml</t>
        </is>
      </c>
      <c r="D112" s="77" t="n"/>
      <c r="E112" s="17" t="inlineStr">
        <is>
          <t>PCS</t>
        </is>
      </c>
      <c r="F112" s="18" t="n"/>
      <c r="G112" s="18" t="n"/>
      <c r="H112" s="20">
        <f>SUMIFS(領用表!$L:$L,領用表!$E:$E,$B112,領用表!$B:$B,H$2&amp;$P$1)</f>
        <v/>
      </c>
      <c r="I112" s="20">
        <f>SUMIFS(領用表!$L:$L,領用表!$E:$E,$B112,領用表!$B:$B,I$2&amp;$P$1)</f>
        <v/>
      </c>
      <c r="J112" s="20">
        <f>SUMIFS(領用表!$L:$L,領用表!$E:$E,$B112,領用表!$B:$B,J$2&amp;$P$1)</f>
        <v/>
      </c>
      <c r="K112" s="142">
        <f>SUMIFS(領用表!$L:$L,領用表!$E:$E,$B112,領用表!$B:$B,K$2&amp;$P$1)</f>
        <v/>
      </c>
      <c r="L112" s="142">
        <f>SUMIFS(領用表!$L:$L,領用表!$E:$E,$B112,領用表!$B:$B,L$2&amp;$P$1)</f>
        <v/>
      </c>
      <c r="M112" s="142">
        <f>SUMIFS(領用表!$L:$L,領用表!$E:$E,$B112,領用表!$B:$B,M$2&amp;$P$1)</f>
        <v/>
      </c>
      <c r="N112" s="23">
        <f>SUM(,H112,I112,J112,K112,L112,M112)</f>
        <v/>
      </c>
      <c r="O112" s="23">
        <f>AVERAGE(,H112,I112,J112,K112,L112,M112)</f>
        <v/>
      </c>
      <c r="P112" s="142">
        <f>SUMIFS(領用表!$L:$L,領用表!$E:$E,$B112,領用表!$B:$B,P$2&amp;$P$1)</f>
        <v/>
      </c>
      <c r="Q112" s="142">
        <f>SUMIFS(領用表!$L:$L,領用表!$E:$E,$B112,領用表!$B:$B,Q$2&amp;$P$1)</f>
        <v/>
      </c>
      <c r="R112" s="142">
        <f>SUMIFS(領用表!$L:$L,領用表!$E:$E,$B112,領用表!$B:$B,R$2&amp;$P$1)</f>
        <v/>
      </c>
      <c r="S112" s="142">
        <f>SUMIFS(領用表!$L:$L,領用表!$E:$E,$B112,領用表!$B:$B,S$2&amp;$P$1)</f>
        <v/>
      </c>
      <c r="T112" s="142">
        <f>SUMIFS(領用表!$L:$L,領用表!$E:$E,$B112,領用表!$B:$B,T$2&amp;$P$1)</f>
        <v/>
      </c>
      <c r="U112" s="142" t="n"/>
      <c r="V112" s="142">
        <f>SUMIFS(領用表!$L:$L,領用表!$E:$E,$B112,領用表!$B:$B,V$2&amp;$P$1)</f>
        <v/>
      </c>
      <c r="W112" s="142">
        <f>SUMIFS(領用表!$L:$L,領用表!$E:$E,$B112,領用表!$B:$B,W$2&amp;$P$1)</f>
        <v/>
      </c>
      <c r="X112" s="142">
        <f>SUMIFS(領用表!$L:$L,領用表!$E:$E,$B112,領用表!$B:$B,X$2&amp;$P$1)</f>
        <v/>
      </c>
      <c r="Y112" s="142">
        <f>SUMIFS(領用表!$L:$L,領用表!$E:$E,$B112,領用表!$B:$B,Y$2&amp;$P$1)</f>
        <v/>
      </c>
      <c r="Z112" s="142">
        <f>SUMIFS(領用表!$L:$L,領用表!$E:$E,$B112,領用表!$B:$B,Z$2&amp;$P$1)</f>
        <v/>
      </c>
      <c r="AA112" s="142">
        <f>SUMIFS(領用表!$L:$L,領用表!$E:$E,$B112,領用表!$B:$B,AA$2&amp;$P$1)</f>
        <v/>
      </c>
      <c r="AB112" s="142">
        <f>SUM(P112,Q112,R112,S112,T112,U112)</f>
        <v/>
      </c>
      <c r="AC112" s="142">
        <f>AVERAGE(P112,Q112,R112,S112,T112,U112)</f>
        <v/>
      </c>
      <c r="AD112" s="142">
        <f>SUMIF(Summary!B:B,B112,Summary!EB:EB)</f>
        <v/>
      </c>
      <c r="AE112" s="109" t="n">
        <v>0</v>
      </c>
      <c r="AF112" s="65" t="n"/>
      <c r="AG112" s="65" t="n"/>
      <c r="AH112" s="65" t="n"/>
      <c r="AI112" s="27" t="n"/>
      <c r="AJ112" s="27" t="n"/>
      <c r="AK112" s="14" t="n"/>
      <c r="AL112" s="29" t="n"/>
    </row>
    <row r="113" ht="15.75" customHeight="1" s="453">
      <c r="A113" s="27" t="n"/>
      <c r="B113" s="14" t="e">
        <v>#N/A</v>
      </c>
      <c r="C113" s="136" t="inlineStr">
        <is>
          <t>痘痘貼 60入/盒</t>
        </is>
      </c>
      <c r="D113" s="77" t="n">
        <v>60</v>
      </c>
      <c r="E113" s="17" t="inlineStr">
        <is>
          <t>PCS</t>
        </is>
      </c>
      <c r="F113" s="18" t="n"/>
      <c r="G113" s="18" t="n"/>
      <c r="H113" s="20">
        <f>SUMIFS(領用表!$L:$L,領用表!$E:$E,$B113,領用表!$B:$B,H$2&amp;$P$1)</f>
        <v/>
      </c>
      <c r="I113" s="20">
        <f>SUMIFS(領用表!$L:$L,領用表!$E:$E,$B113,領用表!$B:$B,I$2&amp;$P$1)</f>
        <v/>
      </c>
      <c r="J113" s="20">
        <f>SUMIFS(領用表!$L:$L,領用表!$E:$E,$B113,領用表!$B:$B,J$2&amp;$P$1)</f>
        <v/>
      </c>
      <c r="K113" s="142">
        <f>SUMIFS(領用表!$L:$L,領用表!$E:$E,$B113,領用表!$B:$B,K$2&amp;$P$1)</f>
        <v/>
      </c>
      <c r="L113" s="142">
        <f>SUMIFS(領用表!$L:$L,領用表!$E:$E,$B113,領用表!$B:$B,L$2&amp;$P$1)</f>
        <v/>
      </c>
      <c r="M113" s="142">
        <f>SUMIFS(領用表!$L:$L,領用表!$E:$E,$B113,領用表!$B:$B,M$2&amp;$P$1)</f>
        <v/>
      </c>
      <c r="N113" s="23">
        <f>SUM(,H113,I113,J113,K113,L113,M113)</f>
        <v/>
      </c>
      <c r="O113" s="23">
        <f>AVERAGE(,H113,I113,J113,K113,L113,M113)</f>
        <v/>
      </c>
      <c r="P113" s="142">
        <f>SUMIFS(領用表!$L:$L,領用表!$E:$E,$B113,領用表!$B:$B,P$2&amp;$P$1)</f>
        <v/>
      </c>
      <c r="Q113" s="142">
        <f>SUMIFS(領用表!$L:$L,領用表!$E:$E,$B113,領用表!$B:$B,Q$2&amp;$P$1)</f>
        <v/>
      </c>
      <c r="R113" s="142">
        <f>SUMIFS(領用表!$L:$L,領用表!$E:$E,$B113,領用表!$B:$B,R$2&amp;$P$1)</f>
        <v/>
      </c>
      <c r="S113" s="142">
        <f>SUMIFS(領用表!$L:$L,領用表!$E:$E,$B113,領用表!$B:$B,S$2&amp;$P$1)</f>
        <v/>
      </c>
      <c r="T113" s="142">
        <f>SUMIFS(領用表!$L:$L,領用表!$E:$E,$B113,領用表!$B:$B,T$2&amp;$P$1)</f>
        <v/>
      </c>
      <c r="U113" s="142">
        <f>SUMIFS(領用表!$L:$L,領用表!$E:$E,$B113,領用表!$B:$B,U$2&amp;$P$1)</f>
        <v/>
      </c>
      <c r="V113" s="142">
        <f>SUMIFS(領用表!$L:$L,領用表!$E:$E,$B113,領用表!$B:$B,V$2&amp;$P$1)</f>
        <v/>
      </c>
      <c r="W113" s="142">
        <f>SUMIFS(領用表!$L:$L,領用表!$E:$E,$B113,領用表!$B:$B,W$2&amp;$P$1)</f>
        <v/>
      </c>
      <c r="X113" s="142">
        <f>SUMIFS(領用表!$L:$L,領用表!$E:$E,$B113,領用表!$B:$B,X$2&amp;$P$1)</f>
        <v/>
      </c>
      <c r="Y113" s="142">
        <f>SUMIFS(領用表!$L:$L,領用表!$E:$E,$B113,領用表!$B:$B,Y$2&amp;$P$1)</f>
        <v/>
      </c>
      <c r="Z113" s="142">
        <f>SUMIFS(領用表!$L:$L,領用表!$E:$E,$B113,領用表!$B:$B,Z$2&amp;$P$1)</f>
        <v/>
      </c>
      <c r="AA113" s="142">
        <f>SUMIFS(領用表!$L:$L,領用表!$E:$E,$B113,領用表!$B:$B,AA$2&amp;$P$1)</f>
        <v/>
      </c>
      <c r="AB113" s="142">
        <f>SUM(P113,Q113,R113,S113,T113,U113)</f>
        <v/>
      </c>
      <c r="AC113" s="142">
        <f>AVERAGE(P113,Q113,R113,S113,T113,U113)</f>
        <v/>
      </c>
      <c r="AD113" s="142">
        <f>SUMIF(Summary!B:B,B113,Summary!EB:EB)</f>
        <v/>
      </c>
      <c r="AE113" s="109" t="n">
        <v>3</v>
      </c>
      <c r="AF113" s="65" t="n"/>
      <c r="AG113" s="65" t="n"/>
      <c r="AH113" s="65" t="n"/>
      <c r="AI113" s="27" t="n"/>
      <c r="AJ113" s="27" t="n"/>
      <c r="AK113" s="14" t="n"/>
      <c r="AL113" s="29" t="n"/>
    </row>
    <row r="114" ht="15.75" customHeight="1" s="453">
      <c r="A114" s="27" t="n"/>
      <c r="B114" s="14" t="n">
        <v>6120019</v>
      </c>
      <c r="C114" s="136" t="inlineStr">
        <is>
          <t>信可得</t>
        </is>
      </c>
      <c r="D114" s="77" t="n"/>
      <c r="E114" s="17" t="inlineStr">
        <is>
          <t>PCS</t>
        </is>
      </c>
      <c r="F114" s="18" t="n"/>
      <c r="G114" s="18" t="n"/>
      <c r="H114" s="20">
        <f>SUMIFS(領用表!$L:$L,領用表!$E:$E,$B114,領用表!$B:$B,H$2&amp;$P$1)</f>
        <v/>
      </c>
      <c r="I114" s="20">
        <f>SUMIFS(領用表!$L:$L,領用表!$E:$E,$B114,領用表!$B:$B,I$2&amp;$P$1)</f>
        <v/>
      </c>
      <c r="J114" s="20">
        <f>SUMIFS(領用表!$L:$L,領用表!$E:$E,$B114,領用表!$B:$B,J$2&amp;$P$1)</f>
        <v/>
      </c>
      <c r="K114" s="142">
        <f>SUMIFS(領用表!$L:$L,領用表!$E:$E,$B114,領用表!$B:$B,K$2&amp;$P$1)</f>
        <v/>
      </c>
      <c r="L114" s="142">
        <f>SUMIFS(領用表!$L:$L,領用表!$E:$E,$B114,領用表!$B:$B,L$2&amp;$P$1)</f>
        <v/>
      </c>
      <c r="M114" s="142">
        <f>SUMIFS(領用表!$L:$L,領用表!$E:$E,$B114,領用表!$B:$B,M$2&amp;$P$1)</f>
        <v/>
      </c>
      <c r="N114" s="23">
        <f>SUM(,H114,I114,J114,K114,L114,M114)</f>
        <v/>
      </c>
      <c r="O114" s="23">
        <f>AVERAGE(,H114,I114,J114,K114,L114,M114)</f>
        <v/>
      </c>
      <c r="P114" s="142">
        <f>SUMIFS(領用表!$L:$L,領用表!$E:$E,$B114,領用表!$B:$B,P$2&amp;$P$1)</f>
        <v/>
      </c>
      <c r="Q114" s="142">
        <f>SUMIFS(領用表!$L:$L,領用表!$E:$E,$B114,領用表!$B:$B,Q$2&amp;$P$1)</f>
        <v/>
      </c>
      <c r="R114" s="142">
        <f>SUMIFS(領用表!$L:$L,領用表!$E:$E,$B114,領用表!$B:$B,R$2&amp;$P$1)</f>
        <v/>
      </c>
      <c r="S114" s="142">
        <f>SUMIFS(領用表!$L:$L,領用表!$E:$E,$B114,領用表!$B:$B,S$2&amp;$P$1)</f>
        <v/>
      </c>
      <c r="T114" s="142">
        <f>SUMIFS(領用表!$L:$L,領用表!$E:$E,$B114,領用表!$B:$B,T$2&amp;$P$1)</f>
        <v/>
      </c>
      <c r="U114" s="142" t="n"/>
      <c r="V114" s="142">
        <f>SUMIFS(領用表!$L:$L,領用表!$E:$E,$B114,領用表!$B:$B,V$2&amp;$P$1)</f>
        <v/>
      </c>
      <c r="W114" s="142">
        <f>SUMIFS(領用表!$L:$L,領用表!$E:$E,$B114,領用表!$B:$B,W$2&amp;$P$1)</f>
        <v/>
      </c>
      <c r="X114" s="142">
        <f>SUMIFS(領用表!$L:$L,領用表!$E:$E,$B114,領用表!$B:$B,X$2&amp;$P$1)</f>
        <v/>
      </c>
      <c r="Y114" s="142">
        <f>SUMIFS(領用表!$L:$L,領用表!$E:$E,$B114,領用表!$B:$B,Y$2&amp;$P$1)</f>
        <v/>
      </c>
      <c r="Z114" s="142">
        <f>SUMIFS(領用表!$L:$L,領用表!$E:$E,$B114,領用表!$B:$B,Z$2&amp;$P$1)</f>
        <v/>
      </c>
      <c r="AA114" s="142">
        <f>SUMIFS(領用表!$L:$L,領用表!$E:$E,$B114,領用表!$B:$B,AA$2&amp;$P$1)</f>
        <v/>
      </c>
      <c r="AB114" s="142">
        <f>SUM(P114,Q114,R114,S114,T114,U114)</f>
        <v/>
      </c>
      <c r="AC114" s="142">
        <f>AVERAGE(P114,Q114,R114,S114,T114,U114)</f>
        <v/>
      </c>
      <c r="AD114" s="142">
        <f>SUMIF(Summary!B:B,B114,Summary!EB:EB)</f>
        <v/>
      </c>
      <c r="AE114" s="109" t="n">
        <v>3</v>
      </c>
      <c r="AF114" s="65" t="n"/>
      <c r="AG114" s="65" t="n"/>
      <c r="AH114" s="65" t="n"/>
      <c r="AI114" s="27" t="n"/>
      <c r="AJ114" s="27" t="n"/>
      <c r="AK114" s="14" t="n"/>
      <c r="AL114" s="29" t="n"/>
    </row>
    <row r="115" ht="15.75" customHeight="1" s="453">
      <c r="A115" s="27" t="n"/>
      <c r="B115" s="14" t="e">
        <v>#N/A</v>
      </c>
      <c r="C115" s="136" t="inlineStr">
        <is>
          <t>去氧氫化腎上腺皮質素</t>
        </is>
      </c>
      <c r="D115" s="77" t="n"/>
      <c r="E115" s="17" t="inlineStr">
        <is>
          <t>PCS</t>
        </is>
      </c>
      <c r="F115" s="18" t="n"/>
      <c r="G115" s="18" t="n"/>
      <c r="H115" s="20">
        <f>SUMIFS(領用表!$L:$L,領用表!$E:$E,$B115,領用表!$B:$B,H$2&amp;$P$1)</f>
        <v/>
      </c>
      <c r="I115" s="20">
        <f>SUMIFS(領用表!$L:$L,領用表!$E:$E,$B115,領用表!$B:$B,I$2&amp;$P$1)</f>
        <v/>
      </c>
      <c r="J115" s="20">
        <f>SUMIFS(領用表!$L:$L,領用表!$E:$E,$B115,領用表!$B:$B,J$2&amp;$P$1)</f>
        <v/>
      </c>
      <c r="K115" s="142">
        <f>SUMIFS(領用表!$L:$L,領用表!$E:$E,$B115,領用表!$B:$B,K$2&amp;$P$1)</f>
        <v/>
      </c>
      <c r="L115" s="142">
        <f>SUMIFS(領用表!$L:$L,領用表!$E:$E,$B115,領用表!$B:$B,L$2&amp;$P$1)</f>
        <v/>
      </c>
      <c r="M115" s="142">
        <f>SUMIFS(領用表!$L:$L,領用表!$E:$E,$B115,領用表!$B:$B,M$2&amp;$P$1)</f>
        <v/>
      </c>
      <c r="N115" s="23">
        <f>SUM(,H115,I115,J115,K115,L115,M115)</f>
        <v/>
      </c>
      <c r="O115" s="23">
        <f>AVERAGE(,H115,I115,J115,K115,L115,M115)</f>
        <v/>
      </c>
      <c r="P115" s="142">
        <f>SUMIFS(領用表!$L:$L,領用表!$E:$E,$B115,領用表!$B:$B,P$2&amp;$P$1)</f>
        <v/>
      </c>
      <c r="Q115" s="142">
        <f>SUMIFS(領用表!$L:$L,領用表!$E:$E,$B115,領用表!$B:$B,Q$2&amp;$P$1)</f>
        <v/>
      </c>
      <c r="R115" s="142">
        <f>SUMIFS(領用表!$L:$L,領用表!$E:$E,$B115,領用表!$B:$B,R$2&amp;$P$1)</f>
        <v/>
      </c>
      <c r="S115" s="142">
        <f>SUMIFS(領用表!$L:$L,領用表!$E:$E,$B115,領用表!$B:$B,S$2&amp;$P$1)</f>
        <v/>
      </c>
      <c r="T115" s="142">
        <f>SUMIFS(領用表!$L:$L,領用表!$E:$E,$B115,領用表!$B:$B,T$2&amp;$P$1)</f>
        <v/>
      </c>
      <c r="U115" s="142">
        <f>SUMIFS(領用表!$L:$L,領用表!$E:$E,$B115,領用表!$B:$B,U$2&amp;$P$1)</f>
        <v/>
      </c>
      <c r="V115" s="142">
        <f>SUMIFS(領用表!$L:$L,領用表!$E:$E,$B115,領用表!$B:$B,V$2&amp;$P$1)</f>
        <v/>
      </c>
      <c r="W115" s="142">
        <f>SUMIFS(領用表!$L:$L,領用表!$E:$E,$B115,領用表!$B:$B,W$2&amp;$P$1)</f>
        <v/>
      </c>
      <c r="X115" s="142">
        <f>SUMIFS(領用表!$L:$L,領用表!$E:$E,$B115,領用表!$B:$B,X$2&amp;$P$1)</f>
        <v/>
      </c>
      <c r="Y115" s="142">
        <f>SUMIFS(領用表!$L:$L,領用表!$E:$E,$B115,領用表!$B:$B,Y$2&amp;$P$1)</f>
        <v/>
      </c>
      <c r="Z115" s="142">
        <f>SUMIFS(領用表!$L:$L,領用表!$E:$E,$B115,領用表!$B:$B,Z$2&amp;$P$1)</f>
        <v/>
      </c>
      <c r="AA115" s="142">
        <f>SUMIFS(領用表!$L:$L,領用表!$E:$E,$B115,領用表!$B:$B,AA$2&amp;$P$1)</f>
        <v/>
      </c>
      <c r="AB115" s="142">
        <f>SUM(P115,Q115,R115,S115,T115,U115)</f>
        <v/>
      </c>
      <c r="AC115" s="142">
        <f>AVERAGE(P115,Q115,R115,S115,T115,U115)</f>
        <v/>
      </c>
      <c r="AD115" s="142">
        <f>SUMIF(Summary!B:B,B115,Summary!EB:EB)</f>
        <v/>
      </c>
      <c r="AE115" s="109" t="n">
        <v>0</v>
      </c>
      <c r="AF115" s="65" t="n"/>
      <c r="AG115" s="65" t="n"/>
      <c r="AH115" s="65" t="n"/>
      <c r="AI115" s="27" t="n"/>
      <c r="AJ115" s="27" t="n"/>
      <c r="AK115" s="14" t="n"/>
      <c r="AL115" s="29" t="n"/>
    </row>
    <row r="116" ht="15.75" customHeight="1" s="453" thickBot="1">
      <c r="A116" s="27" t="n"/>
      <c r="B116" s="14" t="n">
        <v>6130001</v>
      </c>
      <c r="C116" s="136" t="inlineStr">
        <is>
          <t>降解酶</t>
        </is>
      </c>
      <c r="D116" s="77" t="n"/>
      <c r="E116" s="17" t="inlineStr">
        <is>
          <t>PCS</t>
        </is>
      </c>
      <c r="F116" s="18" t="n"/>
      <c r="G116" s="18" t="n"/>
      <c r="H116" s="20">
        <f>SUMIFS(領用表!$L:$L,領用表!$E:$E,$B116,領用表!$B:$B,H$2&amp;$P$1)</f>
        <v/>
      </c>
      <c r="I116" s="20">
        <f>SUMIFS(領用表!$L:$L,領用表!$E:$E,$B116,領用表!$B:$B,I$2&amp;$P$1)</f>
        <v/>
      </c>
      <c r="J116" s="20">
        <f>SUMIFS(領用表!$L:$L,領用表!$E:$E,$B116,領用表!$B:$B,J$2&amp;$P$1)</f>
        <v/>
      </c>
      <c r="K116" s="142">
        <f>SUMIFS(領用表!$L:$L,領用表!$E:$E,$B116,領用表!$B:$B,K$2&amp;$P$1)</f>
        <v/>
      </c>
      <c r="L116" s="142">
        <f>SUMIFS(領用表!$L:$L,領用表!$E:$E,$B116,領用表!$B:$B,L$2&amp;$P$1)</f>
        <v/>
      </c>
      <c r="M116" s="142">
        <f>SUMIFS(領用表!$L:$L,領用表!$E:$E,$B116,領用表!$B:$B,M$2&amp;$P$1)</f>
        <v/>
      </c>
      <c r="N116" s="23">
        <f>SUM(,H116,I116,J116,K116,L116,M116)</f>
        <v/>
      </c>
      <c r="O116" s="23">
        <f>AVERAGE(,H116,I116,J116,K116,L116,M116)</f>
        <v/>
      </c>
      <c r="P116" s="142">
        <f>SUMIFS(領用表!$L:$L,領用表!$E:$E,$B116,領用表!$B:$B,P$2&amp;$P$1)</f>
        <v/>
      </c>
      <c r="Q116" s="142">
        <f>SUMIFS(領用表!$L:$L,領用表!$E:$E,$B116,領用表!$B:$B,Q$2&amp;$P$1)</f>
        <v/>
      </c>
      <c r="R116" s="142">
        <f>SUMIFS(領用表!$L:$L,領用表!$E:$E,$B116,領用表!$B:$B,R$2&amp;$P$1)</f>
        <v/>
      </c>
      <c r="S116" s="142">
        <f>SUMIFS(領用表!$L:$L,領用表!$E:$E,$B116,領用表!$B:$B,S$2&amp;$P$1)</f>
        <v/>
      </c>
      <c r="T116" s="142">
        <f>SUMIFS(領用表!$L:$L,領用表!$E:$E,$B116,領用表!$B:$B,T$2&amp;$P$1)</f>
        <v/>
      </c>
      <c r="U116" s="142" t="n"/>
      <c r="V116" s="142">
        <f>SUMIFS(領用表!$L:$L,領用表!$E:$E,$B116,領用表!$B:$B,V$2&amp;$P$1)</f>
        <v/>
      </c>
      <c r="W116" s="142">
        <f>SUMIFS(領用表!$L:$L,領用表!$E:$E,$B116,領用表!$B:$B,W$2&amp;$P$1)</f>
        <v/>
      </c>
      <c r="X116" s="142">
        <f>SUMIFS(領用表!$L:$L,領用表!$E:$E,$B116,領用表!$B:$B,X$2&amp;$P$1)</f>
        <v/>
      </c>
      <c r="Y116" s="142">
        <f>SUMIFS(領用表!$L:$L,領用表!$E:$E,$B116,領用表!$B:$B,Y$2&amp;$P$1)</f>
        <v/>
      </c>
      <c r="Z116" s="142">
        <f>SUMIFS(領用表!$L:$L,領用表!$E:$E,$B116,領用表!$B:$B,Z$2&amp;$P$1)</f>
        <v/>
      </c>
      <c r="AA116" s="142">
        <f>SUMIFS(領用表!$L:$L,領用表!$E:$E,$B116,領用表!$B:$B,AA$2&amp;$P$1)</f>
        <v/>
      </c>
      <c r="AB116" s="142">
        <f>SUM(P116,Q116,R116,S116,T116,U116)</f>
        <v/>
      </c>
      <c r="AC116" s="142">
        <f>AVERAGE(P116,Q116,R116,S116,T116,U116)</f>
        <v/>
      </c>
      <c r="AD116" s="142">
        <f>SUMIF(Summary!B:B,B116,Summary!EB:EB)</f>
        <v/>
      </c>
      <c r="AE116" s="109" t="n">
        <v>3</v>
      </c>
      <c r="AF116" s="65" t="n"/>
      <c r="AG116" s="65" t="n"/>
      <c r="AH116" s="65" t="n"/>
      <c r="AI116" s="27" t="n"/>
      <c r="AJ116" s="27" t="n"/>
      <c r="AK116" s="14" t="n"/>
      <c r="AL116" s="29" t="n"/>
    </row>
    <row r="117" ht="15.75" customHeight="1" s="453" thickBot="1">
      <c r="A117" s="78" t="inlineStr">
        <is>
          <t>MB3ME090040A</t>
        </is>
      </c>
      <c r="B117" s="190" t="n">
        <v>6120042</v>
      </c>
      <c r="C117" s="136" t="inlineStr">
        <is>
          <t>(類固醇)修克托懸濁Shincort 1ml/支</t>
        </is>
      </c>
      <c r="D117" s="77" t="n"/>
      <c r="E117" s="17" t="n"/>
      <c r="F117" s="18" t="n"/>
      <c r="G117" s="18" t="n"/>
      <c r="H117" s="20">
        <f>SUMIFS(領用表!$L:$L,領用表!$E:$E,$B117,領用表!$B:$B,H$2&amp;$P$1)</f>
        <v/>
      </c>
      <c r="I117" s="20">
        <f>SUMIFS(領用表!$L:$L,領用表!$E:$E,$B117,領用表!$B:$B,I$2&amp;$P$1)</f>
        <v/>
      </c>
      <c r="J117" s="20">
        <f>SUMIFS(領用表!$L:$L,領用表!$E:$E,$B117,領用表!$B:$B,J$2&amp;$P$1)</f>
        <v/>
      </c>
      <c r="K117" s="142">
        <f>SUMIFS(領用表!$L:$L,領用表!$E:$E,$B117,領用表!$B:$B,K$2&amp;$P$1)</f>
        <v/>
      </c>
      <c r="L117" s="142">
        <f>SUMIFS(領用表!$L:$L,領用表!$E:$E,$B117,領用表!$B:$B,L$2&amp;$P$1)</f>
        <v/>
      </c>
      <c r="M117" s="142">
        <f>SUMIFS(領用表!$L:$L,領用表!$E:$E,$B117,領用表!$B:$B,M$2&amp;$P$1)</f>
        <v/>
      </c>
      <c r="N117" s="23">
        <f>SUM(,H117,I117,J117,K117,L117,M117)</f>
        <v/>
      </c>
      <c r="O117" s="23">
        <f>AVERAGE(,H117,I117,J117,K117,L117,M117)</f>
        <v/>
      </c>
      <c r="P117" s="142">
        <f>SUMIFS(領用表!$L:$L,領用表!$E:$E,$B117,領用表!$B:$B,P$2&amp;$P$1)</f>
        <v/>
      </c>
      <c r="Q117" s="142">
        <f>SUMIFS(領用表!$L:$L,領用表!$E:$E,$B117,領用表!$B:$B,Q$2&amp;$P$1)</f>
        <v/>
      </c>
      <c r="R117" s="142">
        <f>SUMIFS(領用表!$L:$L,領用表!$E:$E,$B117,領用表!$B:$B,R$2&amp;$P$1)</f>
        <v/>
      </c>
      <c r="S117" s="142">
        <f>SUMIFS(領用表!$L:$L,領用表!$E:$E,$B117,領用表!$B:$B,S$2&amp;$P$1)</f>
        <v/>
      </c>
      <c r="T117" s="142">
        <f>SUMIFS(領用表!$L:$L,領用表!$E:$E,$B117,領用表!$B:$B,T$2&amp;$P$1)</f>
        <v/>
      </c>
      <c r="U117" s="142" t="n"/>
      <c r="V117" s="142">
        <f>SUMIFS(領用表!$L:$L,領用表!$E:$E,$B117,領用表!$B:$B,V$2&amp;$P$1)</f>
        <v/>
      </c>
      <c r="W117" s="142">
        <f>SUMIFS(領用表!$L:$L,領用表!$E:$E,$B117,領用表!$B:$B,W$2&amp;$P$1)</f>
        <v/>
      </c>
      <c r="X117" s="142">
        <f>SUMIFS(領用表!$L:$L,領用表!$E:$E,$B117,領用表!$B:$B,X$2&amp;$P$1)</f>
        <v/>
      </c>
      <c r="Y117" s="142">
        <f>SUMIFS(領用表!$L:$L,領用表!$E:$E,$B117,領用表!$B:$B,Y$2&amp;$P$1)</f>
        <v/>
      </c>
      <c r="Z117" s="142">
        <f>SUMIFS(領用表!$L:$L,領用表!$E:$E,$B117,領用表!$B:$B,Z$2&amp;$P$1)</f>
        <v/>
      </c>
      <c r="AA117" s="142">
        <f>SUMIFS(領用表!$L:$L,領用表!$E:$E,$B117,領用表!$B:$B,AA$2&amp;$P$1)</f>
        <v/>
      </c>
      <c r="AB117" s="142">
        <f>SUM(P117,Q117,R117,S117,T117,U117)</f>
        <v/>
      </c>
      <c r="AC117" s="142">
        <f>AVERAGE(P117,Q117,R117,S117,T117,U117)</f>
        <v/>
      </c>
      <c r="AD117" s="142">
        <f>SUMIF(Summary!B:B,B117,Summary!EB:EB)</f>
        <v/>
      </c>
      <c r="AE117" s="109" t="n"/>
      <c r="AF117" s="65" t="n"/>
      <c r="AG117" s="65" t="n"/>
      <c r="AH117" s="65" t="n"/>
      <c r="AI117" s="27" t="n"/>
      <c r="AJ117" s="27" t="n"/>
      <c r="AK117" s="14" t="n"/>
      <c r="AL117" s="29" t="n"/>
    </row>
    <row r="118" ht="15.75" customHeight="1" s="453" thickBot="1">
      <c r="A118" s="78" t="inlineStr">
        <is>
          <t>MB3ME090041A</t>
        </is>
      </c>
      <c r="B118" s="190" t="n">
        <v>6120043</v>
      </c>
      <c r="C118" s="136" t="inlineStr">
        <is>
          <t>(抗組織胺)力克樂 1ml/支</t>
        </is>
      </c>
      <c r="D118" s="77" t="n"/>
      <c r="E118" s="17" t="n"/>
      <c r="F118" s="18" t="n"/>
      <c r="G118" s="18" t="n"/>
      <c r="H118" s="20">
        <f>SUMIFS(領用表!$L:$L,領用表!$E:$E,$B118,領用表!$B:$B,H$2&amp;$P$1)</f>
        <v/>
      </c>
      <c r="I118" s="20">
        <f>SUMIFS(領用表!$L:$L,領用表!$E:$E,$B118,領用表!$B:$B,I$2&amp;$P$1)</f>
        <v/>
      </c>
      <c r="J118" s="20">
        <f>SUMIFS(領用表!$L:$L,領用表!$E:$E,$B118,領用表!$B:$B,J$2&amp;$P$1)</f>
        <v/>
      </c>
      <c r="K118" s="142">
        <f>SUMIFS(領用表!$L:$L,領用表!$E:$E,$B118,領用表!$B:$B,K$2&amp;$P$1)</f>
        <v/>
      </c>
      <c r="L118" s="142">
        <f>SUMIFS(領用表!$L:$L,領用表!$E:$E,$B118,領用表!$B:$B,L$2&amp;$P$1)</f>
        <v/>
      </c>
      <c r="M118" s="142">
        <f>SUMIFS(領用表!$L:$L,領用表!$E:$E,$B118,領用表!$B:$B,M$2&amp;$P$1)</f>
        <v/>
      </c>
      <c r="N118" s="23">
        <f>SUM(,H118,I118,J118,K118,L118,M118)</f>
        <v/>
      </c>
      <c r="O118" s="23">
        <f>AVERAGE(,H118,I118,J118,K118,L118,M118)</f>
        <v/>
      </c>
      <c r="P118" s="142">
        <f>SUMIFS(領用表!$L:$L,領用表!$E:$E,$B118,領用表!$B:$B,P$2&amp;$P$1)</f>
        <v/>
      </c>
      <c r="Q118" s="142">
        <f>SUMIFS(領用表!$L:$L,領用表!$E:$E,$B118,領用表!$B:$B,Q$2&amp;$P$1)</f>
        <v/>
      </c>
      <c r="R118" s="142">
        <f>SUMIFS(領用表!$L:$L,領用表!$E:$E,$B118,領用表!$B:$B,R$2&amp;$P$1)</f>
        <v/>
      </c>
      <c r="S118" s="142">
        <f>SUMIFS(領用表!$L:$L,領用表!$E:$E,$B118,領用表!$B:$B,S$2&amp;$P$1)</f>
        <v/>
      </c>
      <c r="T118" s="142">
        <f>SUMIFS(領用表!$L:$L,領用表!$E:$E,$B118,領用表!$B:$B,T$2&amp;$P$1)</f>
        <v/>
      </c>
      <c r="U118" s="142" t="n"/>
      <c r="V118" s="142">
        <f>SUMIFS(領用表!$L:$L,領用表!$E:$E,$B118,領用表!$B:$B,V$2&amp;$P$1)</f>
        <v/>
      </c>
      <c r="W118" s="142">
        <f>SUMIFS(領用表!$L:$L,領用表!$E:$E,$B118,領用表!$B:$B,W$2&amp;$P$1)</f>
        <v/>
      </c>
      <c r="X118" s="142">
        <f>SUMIFS(領用表!$L:$L,領用表!$E:$E,$B118,領用表!$B:$B,X$2&amp;$P$1)</f>
        <v/>
      </c>
      <c r="Y118" s="142">
        <f>SUMIFS(領用表!$L:$L,領用表!$E:$E,$B118,領用表!$B:$B,Y$2&amp;$P$1)</f>
        <v/>
      </c>
      <c r="Z118" s="142">
        <f>SUMIFS(領用表!$L:$L,領用表!$E:$E,$B118,領用表!$B:$B,Z$2&amp;$P$1)</f>
        <v/>
      </c>
      <c r="AA118" s="142">
        <f>SUMIFS(領用表!$L:$L,領用表!$E:$E,$B118,領用表!$B:$B,AA$2&amp;$P$1)</f>
        <v/>
      </c>
      <c r="AB118" s="142">
        <f>SUM(P118,Q118,R118,S118,T118,U118)</f>
        <v/>
      </c>
      <c r="AC118" s="142">
        <f>AVERAGE(P118,Q118,R118,S118,T118,U118)</f>
        <v/>
      </c>
      <c r="AD118" s="142">
        <f>SUMIF(Summary!B:B,B118,Summary!EB:EB)</f>
        <v/>
      </c>
      <c r="AE118" s="109" t="n"/>
      <c r="AF118" s="65" t="n"/>
      <c r="AG118" s="65" t="n"/>
      <c r="AH118" s="65" t="n"/>
      <c r="AI118" s="27" t="n"/>
      <c r="AJ118" s="27" t="n"/>
      <c r="AK118" s="14" t="n"/>
      <c r="AL118" s="29" t="n"/>
    </row>
    <row r="119" ht="15.75" customHeight="1" s="453" thickBot="1">
      <c r="A119" s="194" t="inlineStr">
        <is>
          <t>MB3ME090042A</t>
        </is>
      </c>
      <c r="B119" s="191" t="n">
        <v>6120044</v>
      </c>
      <c r="C119" s="195" t="inlineStr">
        <is>
          <t>舒疼消熱1ml/支</t>
        </is>
      </c>
      <c r="D119" s="77" t="n"/>
      <c r="E119" s="17" t="n"/>
      <c r="F119" s="18" t="n"/>
      <c r="G119" s="18" t="n"/>
      <c r="H119" s="20">
        <f>SUMIFS(領用表!$L:$L,領用表!$E:$E,$B119,領用表!$B:$B,H$2&amp;$P$1)</f>
        <v/>
      </c>
      <c r="I119" s="20">
        <f>SUMIFS(領用表!$L:$L,領用表!$E:$E,$B119,領用表!$B:$B,I$2&amp;$P$1)</f>
        <v/>
      </c>
      <c r="J119" s="20">
        <f>SUMIFS(領用表!$L:$L,領用表!$E:$E,$B119,領用表!$B:$B,J$2&amp;$P$1)</f>
        <v/>
      </c>
      <c r="K119" s="142">
        <f>SUMIFS(領用表!$L:$L,領用表!$E:$E,$B119,領用表!$B:$B,K$2&amp;$P$1)</f>
        <v/>
      </c>
      <c r="L119" s="142">
        <f>SUMIFS(領用表!$L:$L,領用表!$E:$E,$B119,領用表!$B:$B,L$2&amp;$P$1)</f>
        <v/>
      </c>
      <c r="M119" s="142">
        <f>SUMIFS(領用表!$L:$L,領用表!$E:$E,$B119,領用表!$B:$B,M$2&amp;$P$1)</f>
        <v/>
      </c>
      <c r="N119" s="23">
        <f>SUM(,H119,I119,J119,K119,L119,M119)</f>
        <v/>
      </c>
      <c r="O119" s="23">
        <f>AVERAGE(,H119,I119,J119,K119,L119,M119)</f>
        <v/>
      </c>
      <c r="P119" s="142">
        <f>SUMIFS(領用表!$L:$L,領用表!$E:$E,$B119,領用表!$B:$B,P$2&amp;$P$1)</f>
        <v/>
      </c>
      <c r="Q119" s="142">
        <f>SUMIFS(領用表!$L:$L,領用表!$E:$E,$B119,領用表!$B:$B,Q$2&amp;$P$1)</f>
        <v/>
      </c>
      <c r="R119" s="142">
        <f>SUMIFS(領用表!$L:$L,領用表!$E:$E,$B119,領用表!$B:$B,R$2&amp;$P$1)</f>
        <v/>
      </c>
      <c r="S119" s="142">
        <f>SUMIFS(領用表!$L:$L,領用表!$E:$E,$B119,領用表!$B:$B,S$2&amp;$P$1)</f>
        <v/>
      </c>
      <c r="T119" s="142">
        <f>SUMIFS(領用表!$L:$L,領用表!$E:$E,$B119,領用表!$B:$B,T$2&amp;$P$1)</f>
        <v/>
      </c>
      <c r="U119" s="142" t="n"/>
      <c r="V119" s="142">
        <f>SUMIFS(領用表!$L:$L,領用表!$E:$E,$B119,領用表!$B:$B,V$2&amp;$P$1)</f>
        <v/>
      </c>
      <c r="W119" s="142">
        <f>SUMIFS(領用表!$L:$L,領用表!$E:$E,$B119,領用表!$B:$B,W$2&amp;$P$1)</f>
        <v/>
      </c>
      <c r="X119" s="142">
        <f>SUMIFS(領用表!$L:$L,領用表!$E:$E,$B119,領用表!$B:$B,X$2&amp;$P$1)</f>
        <v/>
      </c>
      <c r="Y119" s="142">
        <f>SUMIFS(領用表!$L:$L,領用表!$E:$E,$B119,領用表!$B:$B,Y$2&amp;$P$1)</f>
        <v/>
      </c>
      <c r="Z119" s="142">
        <f>SUMIFS(領用表!$L:$L,領用表!$E:$E,$B119,領用表!$B:$B,Z$2&amp;$P$1)</f>
        <v/>
      </c>
      <c r="AA119" s="142">
        <f>SUMIFS(領用表!$L:$L,領用表!$E:$E,$B119,領用表!$B:$B,AA$2&amp;$P$1)</f>
        <v/>
      </c>
      <c r="AB119" s="142">
        <f>SUM(P119,Q119,R119,S119,T119,U119)</f>
        <v/>
      </c>
      <c r="AC119" s="142">
        <f>AVERAGE(P119,Q119,R119,S119,T119,U119)</f>
        <v/>
      </c>
      <c r="AD119" s="142">
        <f>SUMIF(Summary!B:B,B119,Summary!EB:EB)</f>
        <v/>
      </c>
      <c r="AE119" s="109" t="n"/>
      <c r="AF119" s="65" t="n"/>
      <c r="AG119" s="65" t="n"/>
      <c r="AH119" s="65" t="n"/>
      <c r="AI119" s="27" t="n"/>
      <c r="AJ119" s="27" t="n"/>
      <c r="AK119" s="14" t="n"/>
      <c r="AL119" s="29" t="n"/>
    </row>
    <row r="120" ht="15.75" customHeight="1" s="453">
      <c r="A120" s="27" t="n"/>
      <c r="B120" s="14" t="e">
        <v>#N/A</v>
      </c>
      <c r="C120" s="136" t="inlineStr">
        <is>
          <t>(售完不進)滾針1.0mm</t>
        </is>
      </c>
      <c r="D120" s="77" t="n"/>
      <c r="E120" s="17" t="inlineStr">
        <is>
          <t>支</t>
        </is>
      </c>
      <c r="F120" s="18" t="n"/>
      <c r="G120" s="18" t="n"/>
      <c r="H120" s="20">
        <f>SUMIFS(領用表!$L:$L,領用表!$E:$E,$B120,領用表!$B:$B,H$2&amp;$P$1)</f>
        <v/>
      </c>
      <c r="I120" s="20">
        <f>SUMIFS(領用表!$L:$L,領用表!$E:$E,$B120,領用表!$B:$B,I$2&amp;$P$1)</f>
        <v/>
      </c>
      <c r="J120" s="20">
        <f>SUMIFS(領用表!$L:$L,領用表!$E:$E,$B120,領用表!$B:$B,J$2&amp;$P$1)</f>
        <v/>
      </c>
      <c r="K120" s="142">
        <f>SUMIFS(領用表!$L:$L,領用表!$E:$E,$B120,領用表!$B:$B,K$2&amp;$P$1)</f>
        <v/>
      </c>
      <c r="L120" s="142">
        <f>SUMIFS(領用表!$L:$L,領用表!$E:$E,$B120,領用表!$B:$B,L$2&amp;$P$1)</f>
        <v/>
      </c>
      <c r="M120" s="142">
        <f>SUMIFS(領用表!$L:$L,領用表!$E:$E,$B120,領用表!$B:$B,M$2&amp;$P$1)</f>
        <v/>
      </c>
      <c r="N120" s="23">
        <f>SUM(,H120,I120,J120,K120,L120,M120)</f>
        <v/>
      </c>
      <c r="O120" s="23">
        <f>AVERAGE(,H120,I120,J120,K120,L120,M120)</f>
        <v/>
      </c>
      <c r="P120" s="142">
        <f>SUMIFS(領用表!$L:$L,領用表!$E:$E,$B120,領用表!$B:$B,P$2&amp;$P$1)</f>
        <v/>
      </c>
      <c r="Q120" s="142">
        <f>SUMIFS(領用表!$L:$L,領用表!$E:$E,$B120,領用表!$B:$B,Q$2&amp;$P$1)</f>
        <v/>
      </c>
      <c r="R120" s="142">
        <f>SUMIFS(領用表!$L:$L,領用表!$E:$E,$B120,領用表!$B:$B,R$2&amp;$P$1)</f>
        <v/>
      </c>
      <c r="S120" s="142">
        <f>SUMIFS(領用表!$L:$L,領用表!$E:$E,$B120,領用表!$B:$B,S$2&amp;$P$1)</f>
        <v/>
      </c>
      <c r="T120" s="142">
        <f>SUMIFS(領用表!$L:$L,領用表!$E:$E,$B120,領用表!$B:$B,T$2&amp;$P$1)</f>
        <v/>
      </c>
      <c r="U120" s="142">
        <f>SUMIFS(領用表!$L:$L,領用表!$E:$E,$B120,領用表!$B:$B,U$2&amp;$P$1)</f>
        <v/>
      </c>
      <c r="V120" s="142">
        <f>SUMIFS(領用表!$L:$L,領用表!$E:$E,$B120,領用表!$B:$B,V$2&amp;$P$1)</f>
        <v/>
      </c>
      <c r="W120" s="142">
        <f>SUMIFS(領用表!$L:$L,領用表!$E:$E,$B120,領用表!$B:$B,W$2&amp;$P$1)</f>
        <v/>
      </c>
      <c r="X120" s="142">
        <f>SUMIFS(領用表!$L:$L,領用表!$E:$E,$B120,領用表!$B:$B,X$2&amp;$P$1)</f>
        <v/>
      </c>
      <c r="Y120" s="142">
        <f>SUMIFS(領用表!$L:$L,領用表!$E:$E,$B120,領用表!$B:$B,Y$2&amp;$P$1)</f>
        <v/>
      </c>
      <c r="Z120" s="142">
        <f>SUMIFS(領用表!$L:$L,領用表!$E:$E,$B120,領用表!$B:$B,Z$2&amp;$P$1)</f>
        <v/>
      </c>
      <c r="AA120" s="142">
        <f>SUMIFS(領用表!$L:$L,領用表!$E:$E,$B120,領用表!$B:$B,AA$2&amp;$P$1)</f>
        <v/>
      </c>
      <c r="AB120" s="142">
        <f>SUM(P120,Q120,R120,S120,T120,U120)</f>
        <v/>
      </c>
      <c r="AC120" s="142">
        <f>AVERAGE(P120,Q120,R120,S120,T120,U120)</f>
        <v/>
      </c>
      <c r="AD120" s="142">
        <f>SUMIF(Summary!B:B,B120,Summary!EB:EB)</f>
        <v/>
      </c>
      <c r="AE120" s="109" t="n">
        <v>0</v>
      </c>
      <c r="AF120" s="65" t="n"/>
      <c r="AG120" s="65" t="n"/>
      <c r="AH120" s="65" t="n"/>
      <c r="AI120" s="27" t="n"/>
      <c r="AJ120" s="27" t="n"/>
      <c r="AK120" s="14" t="n"/>
      <c r="AL120" s="29" t="n"/>
    </row>
    <row r="121" ht="15.75" customHeight="1" s="453">
      <c r="A121" s="27" t="n"/>
      <c r="B121" s="14" t="e">
        <v>#N/A</v>
      </c>
      <c r="C121" s="136" t="inlineStr">
        <is>
          <t>(售完不進)滾針1.5mm</t>
        </is>
      </c>
      <c r="D121" s="77" t="n"/>
      <c r="E121" s="17" t="inlineStr">
        <is>
          <t>支</t>
        </is>
      </c>
      <c r="F121" s="18" t="n"/>
      <c r="G121" s="18" t="n"/>
      <c r="H121" s="20">
        <f>SUMIFS(領用表!$L:$L,領用表!$E:$E,$B121,領用表!$B:$B,H$2&amp;$P$1)</f>
        <v/>
      </c>
      <c r="I121" s="20">
        <f>SUMIFS(領用表!$L:$L,領用表!$E:$E,$B121,領用表!$B:$B,I$2&amp;$P$1)</f>
        <v/>
      </c>
      <c r="J121" s="20">
        <f>SUMIFS(領用表!$L:$L,領用表!$E:$E,$B121,領用表!$B:$B,J$2&amp;$P$1)</f>
        <v/>
      </c>
      <c r="K121" s="142">
        <f>SUMIFS(領用表!$L:$L,領用表!$E:$E,$B121,領用表!$B:$B,K$2&amp;$P$1)</f>
        <v/>
      </c>
      <c r="L121" s="142">
        <f>SUMIFS(領用表!$L:$L,領用表!$E:$E,$B121,領用表!$B:$B,L$2&amp;$P$1)</f>
        <v/>
      </c>
      <c r="M121" s="142">
        <f>SUMIFS(領用表!$L:$L,領用表!$E:$E,$B121,領用表!$B:$B,M$2&amp;$P$1)</f>
        <v/>
      </c>
      <c r="N121" s="23">
        <f>SUM(,H121,I121,J121,K121,L121,M121)</f>
        <v/>
      </c>
      <c r="O121" s="23">
        <f>AVERAGE(,H121,I121,J121,K121,L121,M121)</f>
        <v/>
      </c>
      <c r="P121" s="142">
        <f>SUMIFS(領用表!$L:$L,領用表!$E:$E,$B121,領用表!$B:$B,P$2&amp;$P$1)</f>
        <v/>
      </c>
      <c r="Q121" s="142">
        <f>SUMIFS(領用表!$L:$L,領用表!$E:$E,$B121,領用表!$B:$B,Q$2&amp;$P$1)</f>
        <v/>
      </c>
      <c r="R121" s="142">
        <f>SUMIFS(領用表!$L:$L,領用表!$E:$E,$B121,領用表!$B:$B,R$2&amp;$P$1)</f>
        <v/>
      </c>
      <c r="S121" s="142">
        <f>SUMIFS(領用表!$L:$L,領用表!$E:$E,$B121,領用表!$B:$B,S$2&amp;$P$1)</f>
        <v/>
      </c>
      <c r="T121" s="142">
        <f>SUMIFS(領用表!$L:$L,領用表!$E:$E,$B121,領用表!$B:$B,T$2&amp;$P$1)</f>
        <v/>
      </c>
      <c r="U121" s="142">
        <f>SUMIFS(領用表!$L:$L,領用表!$E:$E,$B121,領用表!$B:$B,U$2&amp;$P$1)</f>
        <v/>
      </c>
      <c r="V121" s="142">
        <f>SUMIFS(領用表!$L:$L,領用表!$E:$E,$B121,領用表!$B:$B,V$2&amp;$P$1)</f>
        <v/>
      </c>
      <c r="W121" s="142">
        <f>SUMIFS(領用表!$L:$L,領用表!$E:$E,$B121,領用表!$B:$B,W$2&amp;$P$1)</f>
        <v/>
      </c>
      <c r="X121" s="142">
        <f>SUMIFS(領用表!$L:$L,領用表!$E:$E,$B121,領用表!$B:$B,X$2&amp;$P$1)</f>
        <v/>
      </c>
      <c r="Y121" s="142">
        <f>SUMIFS(領用表!$L:$L,領用表!$E:$E,$B121,領用表!$B:$B,Y$2&amp;$P$1)</f>
        <v/>
      </c>
      <c r="Z121" s="142">
        <f>SUMIFS(領用表!$L:$L,領用表!$E:$E,$B121,領用表!$B:$B,Z$2&amp;$P$1)</f>
        <v/>
      </c>
      <c r="AA121" s="142">
        <f>SUMIFS(領用表!$L:$L,領用表!$E:$E,$B121,領用表!$B:$B,AA$2&amp;$P$1)</f>
        <v/>
      </c>
      <c r="AB121" s="142">
        <f>SUM(P121,Q121,R121,S121,T121,U121)</f>
        <v/>
      </c>
      <c r="AC121" s="142">
        <f>AVERAGE(P121,Q121,R121,S121,T121,U121)</f>
        <v/>
      </c>
      <c r="AD121" s="142">
        <f>SUMIF(Summary!B:B,B121,Summary!EB:EB)</f>
        <v/>
      </c>
      <c r="AE121" s="109" t="n">
        <v>0</v>
      </c>
      <c r="AF121" s="65" t="n"/>
      <c r="AG121" s="65" t="n"/>
      <c r="AH121" s="65" t="n"/>
      <c r="AI121" s="27" t="n"/>
      <c r="AJ121" s="27" t="n"/>
      <c r="AK121" s="14" t="n"/>
      <c r="AL121" s="29" t="n"/>
    </row>
    <row r="122" ht="15.75" customHeight="1" s="453">
      <c r="A122" s="27" t="n"/>
      <c r="B122" s="14" t="e">
        <v>#N/A</v>
      </c>
      <c r="C122" s="136" t="inlineStr">
        <is>
          <t>(售完不進)滾針2.0mm</t>
        </is>
      </c>
      <c r="D122" s="77" t="n"/>
      <c r="E122" s="17" t="inlineStr">
        <is>
          <t>支</t>
        </is>
      </c>
      <c r="F122" s="18" t="n"/>
      <c r="G122" s="18" t="n"/>
      <c r="H122" s="20">
        <f>SUMIFS(領用表!$L:$L,領用表!$E:$E,$B122,領用表!$B:$B,H$2&amp;$P$1)</f>
        <v/>
      </c>
      <c r="I122" s="20">
        <f>SUMIFS(領用表!$L:$L,領用表!$E:$E,$B122,領用表!$B:$B,I$2&amp;$P$1)</f>
        <v/>
      </c>
      <c r="J122" s="20">
        <f>SUMIFS(領用表!$L:$L,領用表!$E:$E,$B122,領用表!$B:$B,J$2&amp;$P$1)</f>
        <v/>
      </c>
      <c r="K122" s="142">
        <f>SUMIFS(領用表!$L:$L,領用表!$E:$E,$B122,領用表!$B:$B,K$2&amp;$P$1)</f>
        <v/>
      </c>
      <c r="L122" s="142">
        <f>SUMIFS(領用表!$L:$L,領用表!$E:$E,$B122,領用表!$B:$B,L$2&amp;$P$1)</f>
        <v/>
      </c>
      <c r="M122" s="142">
        <f>SUMIFS(領用表!$L:$L,領用表!$E:$E,$B122,領用表!$B:$B,M$2&amp;$P$1)</f>
        <v/>
      </c>
      <c r="N122" s="23">
        <f>SUM(,H122,I122,J122,K122,L122,M122)</f>
        <v/>
      </c>
      <c r="O122" s="23">
        <f>AVERAGE(,H122,I122,J122,K122,L122,M122)</f>
        <v/>
      </c>
      <c r="P122" s="142">
        <f>SUMIFS(領用表!$L:$L,領用表!$E:$E,$B122,領用表!$B:$B,P$2&amp;$P$1)</f>
        <v/>
      </c>
      <c r="Q122" s="142">
        <f>SUMIFS(領用表!$L:$L,領用表!$E:$E,$B122,領用表!$B:$B,Q$2&amp;$P$1)</f>
        <v/>
      </c>
      <c r="R122" s="142">
        <f>SUMIFS(領用表!$L:$L,領用表!$E:$E,$B122,領用表!$B:$B,R$2&amp;$P$1)</f>
        <v/>
      </c>
      <c r="S122" s="142">
        <f>SUMIFS(領用表!$L:$L,領用表!$E:$E,$B122,領用表!$B:$B,S$2&amp;$P$1)</f>
        <v/>
      </c>
      <c r="T122" s="142">
        <f>SUMIFS(領用表!$L:$L,領用表!$E:$E,$B122,領用表!$B:$B,T$2&amp;$P$1)</f>
        <v/>
      </c>
      <c r="U122" s="142">
        <f>SUMIFS(領用表!$L:$L,領用表!$E:$E,$B122,領用表!$B:$B,U$2&amp;$P$1)</f>
        <v/>
      </c>
      <c r="V122" s="142">
        <f>SUMIFS(領用表!$L:$L,領用表!$E:$E,$B122,領用表!$B:$B,V$2&amp;$P$1)</f>
        <v/>
      </c>
      <c r="W122" s="142">
        <f>SUMIFS(領用表!$L:$L,領用表!$E:$E,$B122,領用表!$B:$B,W$2&amp;$P$1)</f>
        <v/>
      </c>
      <c r="X122" s="142">
        <f>SUMIFS(領用表!$L:$L,領用表!$E:$E,$B122,領用表!$B:$B,X$2&amp;$P$1)</f>
        <v/>
      </c>
      <c r="Y122" s="142">
        <f>SUMIFS(領用表!$L:$L,領用表!$E:$E,$B122,領用表!$B:$B,Y$2&amp;$P$1)</f>
        <v/>
      </c>
      <c r="Z122" s="142">
        <f>SUMIFS(領用表!$L:$L,領用表!$E:$E,$B122,領用表!$B:$B,Z$2&amp;$P$1)</f>
        <v/>
      </c>
      <c r="AA122" s="142">
        <f>SUMIFS(領用表!$L:$L,領用表!$E:$E,$B122,領用表!$B:$B,AA$2&amp;$P$1)</f>
        <v/>
      </c>
      <c r="AB122" s="142">
        <f>SUM(P122,Q122,R122,S122,T122,U122)</f>
        <v/>
      </c>
      <c r="AC122" s="142">
        <f>AVERAGE(P122,Q122,R122,S122,T122,U122)</f>
        <v/>
      </c>
      <c r="AD122" s="142">
        <f>SUMIF(Summary!B:B,B122,Summary!EB:EB)</f>
        <v/>
      </c>
      <c r="AE122" s="109" t="n">
        <v>0</v>
      </c>
      <c r="AF122" s="65" t="n"/>
      <c r="AG122" s="65" t="n"/>
      <c r="AH122" s="65" t="n"/>
      <c r="AI122" s="27" t="n"/>
      <c r="AJ122" s="27" t="n"/>
      <c r="AK122" s="14" t="n"/>
      <c r="AL122" s="29" t="n"/>
    </row>
    <row r="123" ht="15.75" customHeight="1" s="453">
      <c r="A123" s="27" t="n"/>
      <c r="B123" s="14" t="e">
        <v>#N/A</v>
      </c>
      <c r="C123" s="136" t="inlineStr">
        <is>
          <t>鈍針_27G</t>
        </is>
      </c>
      <c r="D123" s="77" t="n"/>
      <c r="E123" s="17" t="inlineStr">
        <is>
          <t>支</t>
        </is>
      </c>
      <c r="F123" s="18" t="n"/>
      <c r="G123" s="18" t="n"/>
      <c r="H123" s="20">
        <f>SUMIFS(領用表!$L:$L,領用表!$E:$E,$B123,領用表!$B:$B,H$2&amp;$P$1)</f>
        <v/>
      </c>
      <c r="I123" s="20">
        <f>SUMIFS(領用表!$L:$L,領用表!$E:$E,$B123,領用表!$B:$B,I$2&amp;$P$1)</f>
        <v/>
      </c>
      <c r="J123" s="20">
        <f>SUMIFS(領用表!$L:$L,領用表!$E:$E,$B123,領用表!$B:$B,J$2&amp;$P$1)</f>
        <v/>
      </c>
      <c r="K123" s="142">
        <f>SUMIFS(領用表!$L:$L,領用表!$E:$E,$B123,領用表!$B:$B,K$2&amp;$P$1)</f>
        <v/>
      </c>
      <c r="L123" s="142">
        <f>SUMIFS(領用表!$L:$L,領用表!$E:$E,$B123,領用表!$B:$B,L$2&amp;$P$1)</f>
        <v/>
      </c>
      <c r="M123" s="142">
        <f>SUMIFS(領用表!$L:$L,領用表!$E:$E,$B123,領用表!$B:$B,M$2&amp;$P$1)</f>
        <v/>
      </c>
      <c r="N123" s="23">
        <f>SUM(,H123,I123,J123,K123,L123,M123)</f>
        <v/>
      </c>
      <c r="O123" s="23">
        <f>AVERAGE(,H123,I123,J123,K123,L123,M123)</f>
        <v/>
      </c>
      <c r="P123" s="142">
        <f>SUMIFS(領用表!$L:$L,領用表!$E:$E,$B123,領用表!$B:$B,P$2&amp;$P$1)</f>
        <v/>
      </c>
      <c r="Q123" s="142">
        <f>SUMIFS(領用表!$L:$L,領用表!$E:$E,$B123,領用表!$B:$B,Q$2&amp;$P$1)</f>
        <v/>
      </c>
      <c r="R123" s="142">
        <f>SUMIFS(領用表!$L:$L,領用表!$E:$E,$B123,領用表!$B:$B,R$2&amp;$P$1)</f>
        <v/>
      </c>
      <c r="S123" s="142">
        <f>SUMIFS(領用表!$L:$L,領用表!$E:$E,$B123,領用表!$B:$B,S$2&amp;$P$1)</f>
        <v/>
      </c>
      <c r="T123" s="142">
        <f>SUMIFS(領用表!$L:$L,領用表!$E:$E,$B123,領用表!$B:$B,T$2&amp;$P$1)</f>
        <v/>
      </c>
      <c r="U123" s="142">
        <f>SUMIFS(領用表!$L:$L,領用表!$E:$E,$B123,領用表!$B:$B,U$2&amp;$P$1)</f>
        <v/>
      </c>
      <c r="V123" s="142">
        <f>SUMIFS(領用表!$L:$L,領用表!$E:$E,$B123,領用表!$B:$B,V$2&amp;$P$1)</f>
        <v/>
      </c>
      <c r="W123" s="142">
        <f>SUMIFS(領用表!$L:$L,領用表!$E:$E,$B123,領用表!$B:$B,W$2&amp;$P$1)</f>
        <v/>
      </c>
      <c r="X123" s="142">
        <f>SUMIFS(領用表!$L:$L,領用表!$E:$E,$B123,領用表!$B:$B,X$2&amp;$P$1)</f>
        <v/>
      </c>
      <c r="Y123" s="142">
        <f>SUMIFS(領用表!$L:$L,領用表!$E:$E,$B123,領用表!$B:$B,Y$2&amp;$P$1)</f>
        <v/>
      </c>
      <c r="Z123" s="142">
        <f>SUMIFS(領用表!$L:$L,領用表!$E:$E,$B123,領用表!$B:$B,Z$2&amp;$P$1)</f>
        <v/>
      </c>
      <c r="AA123" s="142">
        <f>SUMIFS(領用表!$L:$L,領用表!$E:$E,$B123,領用表!$B:$B,AA$2&amp;$P$1)</f>
        <v/>
      </c>
      <c r="AB123" s="142">
        <f>SUM(P123,Q123,R123,S123,T123,U123)</f>
        <v/>
      </c>
      <c r="AC123" s="142">
        <f>AVERAGE(P123,Q123,R123,S123,T123,U123)</f>
        <v/>
      </c>
      <c r="AD123" s="142">
        <f>SUMIF(Summary!B:B,B123,Summary!EB:EB)</f>
        <v/>
      </c>
      <c r="AE123" s="109" t="n">
        <v>0</v>
      </c>
      <c r="AF123" s="65" t="n"/>
      <c r="AG123" s="65" t="n"/>
      <c r="AH123" s="65" t="n"/>
      <c r="AI123" s="27" t="n"/>
      <c r="AJ123" s="27" t="n"/>
      <c r="AK123" s="14" t="n"/>
      <c r="AL123" s="29" t="n"/>
    </row>
    <row r="124" ht="15.75" customHeight="1" s="453">
      <c r="A124" s="27" t="n"/>
      <c r="B124" s="14" t="e">
        <v>#N/A</v>
      </c>
      <c r="C124" s="136" t="inlineStr">
        <is>
          <t>寶寶針_32G 2mm</t>
        </is>
      </c>
      <c r="D124" s="77" t="n"/>
      <c r="E124" s="17" t="inlineStr">
        <is>
          <t>支</t>
        </is>
      </c>
      <c r="F124" s="18" t="n"/>
      <c r="G124" s="18" t="n"/>
      <c r="H124" s="20">
        <f>SUMIFS(領用表!$L:$L,領用表!$E:$E,$B124,領用表!$B:$B,H$2&amp;$P$1)</f>
        <v/>
      </c>
      <c r="I124" s="20">
        <f>SUMIFS(領用表!$L:$L,領用表!$E:$E,$B124,領用表!$B:$B,I$2&amp;$P$1)</f>
        <v/>
      </c>
      <c r="J124" s="20">
        <f>SUMIFS(領用表!$L:$L,領用表!$E:$E,$B124,領用表!$B:$B,J$2&amp;$P$1)</f>
        <v/>
      </c>
      <c r="K124" s="142">
        <f>SUMIFS(領用表!$L:$L,領用表!$E:$E,$B124,領用表!$B:$B,K$2&amp;$P$1)</f>
        <v/>
      </c>
      <c r="L124" s="142">
        <f>SUMIFS(領用表!$L:$L,領用表!$E:$E,$B124,領用表!$B:$B,L$2&amp;$P$1)</f>
        <v/>
      </c>
      <c r="M124" s="142">
        <f>SUMIFS(領用表!$L:$L,領用表!$E:$E,$B124,領用表!$B:$B,M$2&amp;$P$1)</f>
        <v/>
      </c>
      <c r="N124" s="23">
        <f>SUM(,H124,I124,J124,K124,L124,M124)</f>
        <v/>
      </c>
      <c r="O124" s="23">
        <f>AVERAGE(,H124,I124,J124,K124,L124,M124)</f>
        <v/>
      </c>
      <c r="P124" s="142">
        <f>SUMIFS(領用表!$L:$L,領用表!$E:$E,$B124,領用表!$B:$B,P$2&amp;$P$1)</f>
        <v/>
      </c>
      <c r="Q124" s="142">
        <f>SUMIFS(領用表!$L:$L,領用表!$E:$E,$B124,領用表!$B:$B,Q$2&amp;$P$1)</f>
        <v/>
      </c>
      <c r="R124" s="142">
        <f>SUMIFS(領用表!$L:$L,領用表!$E:$E,$B124,領用表!$B:$B,R$2&amp;$P$1)</f>
        <v/>
      </c>
      <c r="S124" s="142">
        <f>SUMIFS(領用表!$L:$L,領用表!$E:$E,$B124,領用表!$B:$B,S$2&amp;$P$1)</f>
        <v/>
      </c>
      <c r="T124" s="142">
        <f>SUMIFS(領用表!$L:$L,領用表!$E:$E,$B124,領用表!$B:$B,T$2&amp;$P$1)</f>
        <v/>
      </c>
      <c r="U124" s="142">
        <f>SUMIFS(領用表!$L:$L,領用表!$E:$E,$B124,領用表!$B:$B,U$2&amp;$P$1)</f>
        <v/>
      </c>
      <c r="V124" s="142">
        <f>SUMIFS(領用表!$L:$L,領用表!$E:$E,$B124,領用表!$B:$B,V$2&amp;$P$1)</f>
        <v/>
      </c>
      <c r="W124" s="142">
        <f>SUMIFS(領用表!$L:$L,領用表!$E:$E,$B124,領用表!$B:$B,W$2&amp;$P$1)</f>
        <v/>
      </c>
      <c r="X124" s="142">
        <f>SUMIFS(領用表!$L:$L,領用表!$E:$E,$B124,領用表!$B:$B,X$2&amp;$P$1)</f>
        <v/>
      </c>
      <c r="Y124" s="142">
        <f>SUMIFS(領用表!$L:$L,領用表!$E:$E,$B124,領用表!$B:$B,Y$2&amp;$P$1)</f>
        <v/>
      </c>
      <c r="Z124" s="142">
        <f>SUMIFS(領用表!$L:$L,領用表!$E:$E,$B124,領用表!$B:$B,Z$2&amp;$P$1)</f>
        <v/>
      </c>
      <c r="AA124" s="142">
        <f>SUMIFS(領用表!$L:$L,領用表!$E:$E,$B124,領用表!$B:$B,AA$2&amp;$P$1)</f>
        <v/>
      </c>
      <c r="AB124" s="142">
        <f>SUM(P124,Q124,R124,S124,T124,U124)</f>
        <v/>
      </c>
      <c r="AC124" s="142">
        <f>AVERAGE(P124,Q124,R124,S124,T124,U124)</f>
        <v/>
      </c>
      <c r="AD124" s="142">
        <f>SUMIF(Summary!B:B,B124,Summary!EB:EB)</f>
        <v/>
      </c>
      <c r="AE124" s="109" t="n">
        <v>0</v>
      </c>
      <c r="AF124" s="65" t="n"/>
      <c r="AG124" s="65" t="n"/>
      <c r="AH124" s="65" t="n"/>
      <c r="AI124" s="27" t="n"/>
      <c r="AJ124" s="27" t="n"/>
      <c r="AK124" s="14" t="n"/>
      <c r="AL124" s="29" t="n"/>
    </row>
    <row r="125" ht="15.75" customHeight="1" s="453">
      <c r="A125" s="27" t="n"/>
      <c r="B125" s="14" t="e">
        <v>#N/A</v>
      </c>
      <c r="C125" s="136" t="inlineStr">
        <is>
          <t>寶寶針_32G 4mm</t>
        </is>
      </c>
      <c r="D125" s="77" t="n"/>
      <c r="E125" s="17" t="inlineStr">
        <is>
          <t>支</t>
        </is>
      </c>
      <c r="F125" s="18" t="n"/>
      <c r="G125" s="18" t="n"/>
      <c r="H125" s="20">
        <f>SUMIFS(領用表!$L:$L,領用表!$E:$E,$B125,領用表!$B:$B,H$2&amp;$P$1)</f>
        <v/>
      </c>
      <c r="I125" s="20">
        <f>SUMIFS(領用表!$L:$L,領用表!$E:$E,$B125,領用表!$B:$B,I$2&amp;$P$1)</f>
        <v/>
      </c>
      <c r="J125" s="20">
        <f>SUMIFS(領用表!$L:$L,領用表!$E:$E,$B125,領用表!$B:$B,J$2&amp;$P$1)</f>
        <v/>
      </c>
      <c r="K125" s="142">
        <f>SUMIFS(領用表!$L:$L,領用表!$E:$E,$B125,領用表!$B:$B,K$2&amp;$P$1)</f>
        <v/>
      </c>
      <c r="L125" s="142">
        <f>SUMIFS(領用表!$L:$L,領用表!$E:$E,$B125,領用表!$B:$B,L$2&amp;$P$1)</f>
        <v/>
      </c>
      <c r="M125" s="142">
        <f>SUMIFS(領用表!$L:$L,領用表!$E:$E,$B125,領用表!$B:$B,M$2&amp;$P$1)</f>
        <v/>
      </c>
      <c r="N125" s="23">
        <f>SUM(,H125,I125,J125,K125,L125,M125)</f>
        <v/>
      </c>
      <c r="O125" s="23">
        <f>AVERAGE(,H125,I125,J125,K125,L125,M125)</f>
        <v/>
      </c>
      <c r="P125" s="142">
        <f>SUMIFS(領用表!$L:$L,領用表!$E:$E,$B125,領用表!$B:$B,P$2&amp;$P$1)</f>
        <v/>
      </c>
      <c r="Q125" s="142">
        <f>SUMIFS(領用表!$L:$L,領用表!$E:$E,$B125,領用表!$B:$B,Q$2&amp;$P$1)</f>
        <v/>
      </c>
      <c r="R125" s="142">
        <f>SUMIFS(領用表!$L:$L,領用表!$E:$E,$B125,領用表!$B:$B,R$2&amp;$P$1)</f>
        <v/>
      </c>
      <c r="S125" s="142">
        <f>SUMIFS(領用表!$L:$L,領用表!$E:$E,$B125,領用表!$B:$B,S$2&amp;$P$1)</f>
        <v/>
      </c>
      <c r="T125" s="142">
        <f>SUMIFS(領用表!$L:$L,領用表!$E:$E,$B125,領用表!$B:$B,T$2&amp;$P$1)</f>
        <v/>
      </c>
      <c r="U125" s="142">
        <f>SUMIFS(領用表!$L:$L,領用表!$E:$E,$B125,領用表!$B:$B,U$2&amp;$P$1)</f>
        <v/>
      </c>
      <c r="V125" s="142">
        <f>SUMIFS(領用表!$L:$L,領用表!$E:$E,$B125,領用表!$B:$B,V$2&amp;$P$1)</f>
        <v/>
      </c>
      <c r="W125" s="142">
        <f>SUMIFS(領用表!$L:$L,領用表!$E:$E,$B125,領用表!$B:$B,W$2&amp;$P$1)</f>
        <v/>
      </c>
      <c r="X125" s="142">
        <f>SUMIFS(領用表!$L:$L,領用表!$E:$E,$B125,領用表!$B:$B,X$2&amp;$P$1)</f>
        <v/>
      </c>
      <c r="Y125" s="142">
        <f>SUMIFS(領用表!$L:$L,領用表!$E:$E,$B125,領用表!$B:$B,Y$2&amp;$P$1)</f>
        <v/>
      </c>
      <c r="Z125" s="142">
        <f>SUMIFS(領用表!$L:$L,領用表!$E:$E,$B125,領用表!$B:$B,Z$2&amp;$P$1)</f>
        <v/>
      </c>
      <c r="AA125" s="142">
        <f>SUMIFS(領用表!$L:$L,領用表!$E:$E,$B125,領用表!$B:$B,AA$2&amp;$P$1)</f>
        <v/>
      </c>
      <c r="AB125" s="142">
        <f>SUM(P125,Q125,R125,S125,T125,U125)</f>
        <v/>
      </c>
      <c r="AC125" s="142">
        <f>AVERAGE(P125,Q125,R125,S125,T125,U125)</f>
        <v/>
      </c>
      <c r="AD125" s="142">
        <f>SUMIF(Summary!B:B,B125,Summary!EB:EB)</f>
        <v/>
      </c>
      <c r="AE125" s="109" t="n">
        <v>0</v>
      </c>
      <c r="AF125" s="65" t="n"/>
      <c r="AG125" s="65" t="n"/>
      <c r="AH125" s="65" t="n"/>
      <c r="AI125" s="27" t="n"/>
      <c r="AJ125" s="27" t="n"/>
      <c r="AK125" s="14" t="n"/>
      <c r="AL125" s="29" t="n"/>
    </row>
    <row r="126" ht="15.75" customHeight="1" s="453">
      <c r="A126" s="27" t="n"/>
      <c r="B126" s="14" t="e">
        <v>#N/A</v>
      </c>
      <c r="C126" s="136" t="inlineStr">
        <is>
          <t>寶寶針_33G 4mm</t>
        </is>
      </c>
      <c r="D126" s="77" t="n"/>
      <c r="E126" s="17" t="inlineStr">
        <is>
          <t>支</t>
        </is>
      </c>
      <c r="F126" s="18" t="n"/>
      <c r="G126" s="18" t="n"/>
      <c r="H126" s="20">
        <f>SUMIFS(領用表!$L:$L,領用表!$E:$E,$B126,領用表!$B:$B,H$2&amp;$P$1)</f>
        <v/>
      </c>
      <c r="I126" s="20">
        <f>SUMIFS(領用表!$L:$L,領用表!$E:$E,$B126,領用表!$B:$B,I$2&amp;$P$1)</f>
        <v/>
      </c>
      <c r="J126" s="20">
        <f>SUMIFS(領用表!$L:$L,領用表!$E:$E,$B126,領用表!$B:$B,J$2&amp;$P$1)</f>
        <v/>
      </c>
      <c r="K126" s="142">
        <f>SUMIFS(領用表!$L:$L,領用表!$E:$E,$B126,領用表!$B:$B,K$2&amp;$P$1)</f>
        <v/>
      </c>
      <c r="L126" s="142">
        <f>SUMIFS(領用表!$L:$L,領用表!$E:$E,$B126,領用表!$B:$B,L$2&amp;$P$1)</f>
        <v/>
      </c>
      <c r="M126" s="142">
        <f>SUMIFS(領用表!$L:$L,領用表!$E:$E,$B126,領用表!$B:$B,M$2&amp;$P$1)</f>
        <v/>
      </c>
      <c r="N126" s="23">
        <f>SUM(,H126,I126,J126,K126,L126,M126)</f>
        <v/>
      </c>
      <c r="O126" s="23">
        <f>AVERAGE(,H126,I126,J126,K126,L126,M126)</f>
        <v/>
      </c>
      <c r="P126" s="142">
        <f>SUMIFS(領用表!$L:$L,領用表!$E:$E,$B126,領用表!$B:$B,P$2&amp;$P$1)</f>
        <v/>
      </c>
      <c r="Q126" s="142">
        <f>SUMIFS(領用表!$L:$L,領用表!$E:$E,$B126,領用表!$B:$B,Q$2&amp;$P$1)</f>
        <v/>
      </c>
      <c r="R126" s="142">
        <f>SUMIFS(領用表!$L:$L,領用表!$E:$E,$B126,領用表!$B:$B,R$2&amp;$P$1)</f>
        <v/>
      </c>
      <c r="S126" s="142">
        <f>SUMIFS(領用表!$L:$L,領用表!$E:$E,$B126,領用表!$B:$B,S$2&amp;$P$1)</f>
        <v/>
      </c>
      <c r="T126" s="142">
        <f>SUMIFS(領用表!$L:$L,領用表!$E:$E,$B126,領用表!$B:$B,T$2&amp;$P$1)</f>
        <v/>
      </c>
      <c r="U126" s="142">
        <f>SUMIFS(領用表!$L:$L,領用表!$E:$E,$B126,領用表!$B:$B,U$2&amp;$P$1)</f>
        <v/>
      </c>
      <c r="V126" s="142">
        <f>SUMIFS(領用表!$L:$L,領用表!$E:$E,$B126,領用表!$B:$B,V$2&amp;$P$1)</f>
        <v/>
      </c>
      <c r="W126" s="142">
        <f>SUMIFS(領用表!$L:$L,領用表!$E:$E,$B126,領用表!$B:$B,W$2&amp;$P$1)</f>
        <v/>
      </c>
      <c r="X126" s="142">
        <f>SUMIFS(領用表!$L:$L,領用表!$E:$E,$B126,領用表!$B:$B,X$2&amp;$P$1)</f>
        <v/>
      </c>
      <c r="Y126" s="142">
        <f>SUMIFS(領用表!$L:$L,領用表!$E:$E,$B126,領用表!$B:$B,Y$2&amp;$P$1)</f>
        <v/>
      </c>
      <c r="Z126" s="142">
        <f>SUMIFS(領用表!$L:$L,領用表!$E:$E,$B126,領用表!$B:$B,Z$2&amp;$P$1)</f>
        <v/>
      </c>
      <c r="AA126" s="142">
        <f>SUMIFS(領用表!$L:$L,領用表!$E:$E,$B126,領用表!$B:$B,AA$2&amp;$P$1)</f>
        <v/>
      </c>
      <c r="AB126" s="142">
        <f>SUM(P126,Q126,R126,S126,T126,U126)</f>
        <v/>
      </c>
      <c r="AC126" s="142">
        <f>AVERAGE(P126,Q126,R126,S126,T126,U126)</f>
        <v/>
      </c>
      <c r="AD126" s="142">
        <f>SUMIF(Summary!B:B,B126,Summary!EB:EB)</f>
        <v/>
      </c>
      <c r="AE126" s="109" t="n">
        <v>0</v>
      </c>
      <c r="AF126" s="65" t="n"/>
      <c r="AG126" s="65" t="n"/>
      <c r="AH126" s="65" t="n"/>
      <c r="AI126" s="27" t="n"/>
      <c r="AJ126" s="27" t="n"/>
      <c r="AK126" s="14" t="n"/>
      <c r="AL126" s="29" t="n"/>
    </row>
    <row r="127" ht="15.75" customFormat="1" customHeight="1" s="172">
      <c r="A127" s="173" t="n"/>
      <c r="B127" s="173" t="n"/>
      <c r="C127" s="163" t="n"/>
      <c r="D127" s="174" t="n"/>
      <c r="E127" s="175" t="n"/>
      <c r="F127" s="176" t="n"/>
      <c r="G127" s="176" t="n"/>
      <c r="H127" s="162" t="n"/>
      <c r="I127" s="167" t="n"/>
      <c r="J127" s="167" t="n"/>
      <c r="K127" s="167" t="n"/>
      <c r="L127" s="167" t="n"/>
      <c r="M127" s="167" t="n"/>
      <c r="N127" s="167" t="n"/>
      <c r="O127" s="167" t="n"/>
      <c r="P127" s="167" t="n"/>
      <c r="Q127" s="167" t="n"/>
      <c r="R127" s="167" t="n"/>
      <c r="S127" s="167" t="n"/>
      <c r="T127" s="167" t="n"/>
      <c r="U127" s="167" t="n"/>
      <c r="V127" s="167" t="n"/>
      <c r="W127" s="167" t="n"/>
      <c r="X127" s="167" t="n"/>
      <c r="Y127" s="167" t="n"/>
      <c r="Z127" s="167" t="n"/>
      <c r="AA127" s="167" t="n"/>
      <c r="AB127" s="167">
        <f>SUM(P127,Q127,R127,S127,T127,U127)</f>
        <v/>
      </c>
      <c r="AC127" s="167">
        <f>AVERAGE(P127,Q127,R127,S127,T127,U127)</f>
        <v/>
      </c>
      <c r="AD127" s="167" t="n"/>
      <c r="AE127" s="167" t="n"/>
      <c r="AF127" s="167" t="n"/>
      <c r="AG127" s="177" t="n"/>
      <c r="AH127" s="177" t="n"/>
      <c r="AI127" s="173" t="n"/>
      <c r="AJ127" s="173" t="n"/>
      <c r="AK127" s="170" t="n"/>
      <c r="AL127" s="170" t="n"/>
    </row>
    <row r="128" ht="15.75" customHeight="1" s="453">
      <c r="A128" s="27" t="inlineStr">
        <is>
          <t>D99AA100001T</t>
        </is>
      </c>
      <c r="B128" s="14" t="n">
        <v>6090001</v>
      </c>
      <c r="C128" s="136" t="inlineStr">
        <is>
          <t>藍銅胜肽舒緩凍膜 180mL(從深坑廠出貨)-</t>
        </is>
      </c>
      <c r="D128" s="77" t="n"/>
      <c r="E128" s="17" t="inlineStr">
        <is>
          <t>PCS</t>
        </is>
      </c>
      <c r="F128" s="70" t="n"/>
      <c r="G128" s="18" t="n">
        <v>31</v>
      </c>
      <c r="H128" s="20">
        <f>SUMIFS(領用表!$L:$L,領用表!$E:$E,$B128,領用表!$B:$B,H$2&amp;$P$1)</f>
        <v/>
      </c>
      <c r="I128" s="20">
        <f>SUMIFS(領用表!$L:$L,領用表!$E:$E,$B128,領用表!$B:$B,I$2&amp;$P$1)</f>
        <v/>
      </c>
      <c r="J128" s="20">
        <f>SUMIFS(領用表!$L:$L,領用表!$E:$E,$B128,領用表!$B:$B,J$2&amp;$P$1)</f>
        <v/>
      </c>
      <c r="K128" s="142">
        <f>SUMIFS(領用表!$L:$L,領用表!$E:$E,$B128,領用表!$B:$B,K$2&amp;$P$1)</f>
        <v/>
      </c>
      <c r="L128" s="142">
        <f>SUMIFS(領用表!$L:$L,領用表!$E:$E,$B128,領用表!$B:$B,L$2&amp;$P$1)</f>
        <v/>
      </c>
      <c r="M128" s="142">
        <f>SUMIFS(領用表!$L:$L,領用表!$E:$E,$B128,領用表!$B:$B,M$2&amp;$P$1)</f>
        <v/>
      </c>
      <c r="N128" s="23">
        <f>SUM(,H128,I128,J128,K128,L128,M128)</f>
        <v/>
      </c>
      <c r="O128" s="23">
        <f>AVERAGE(,H128,I128,J128,K128,L128,M128)</f>
        <v/>
      </c>
      <c r="P128" s="142">
        <f>SUMIFS(領用表!$L:$L,領用表!$E:$E,$B128,領用表!$B:$B,P$2&amp;$P$1)</f>
        <v/>
      </c>
      <c r="Q128" s="142">
        <f>SUMIFS(領用表!$L:$L,領用表!$E:$E,$B128,領用表!$B:$B,Q$2&amp;$P$1)</f>
        <v/>
      </c>
      <c r="R128" s="142">
        <f>SUMIFS(領用表!$L:$L,領用表!$E:$E,$B128,領用表!$B:$B,R$2&amp;$P$1)</f>
        <v/>
      </c>
      <c r="S128" s="142">
        <f>SUMIFS(領用表!$L:$L,領用表!$E:$E,$B128,領用表!$B:$B,S$2&amp;$P$1)</f>
        <v/>
      </c>
      <c r="T128" s="142">
        <f>SUMIFS(領用表!$L:$L,領用表!$E:$E,$B128,領用表!$B:$B,T$2&amp;$P$1)</f>
        <v/>
      </c>
      <c r="U128" s="142" t="n"/>
      <c r="V128" s="142">
        <f>SUMIFS(領用表!$L:$L,領用表!$E:$E,$B128,領用表!$B:$B,V$2&amp;$P$1)</f>
        <v/>
      </c>
      <c r="W128" s="142">
        <f>SUMIFS(領用表!$L:$L,領用表!$E:$E,$B128,領用表!$B:$B,W$2&amp;$P$1)</f>
        <v/>
      </c>
      <c r="X128" s="142">
        <f>SUMIFS(領用表!$L:$L,領用表!$E:$E,$B128,領用表!$B:$B,X$2&amp;$P$1)</f>
        <v/>
      </c>
      <c r="Y128" s="142">
        <f>SUMIFS(領用表!$L:$L,領用表!$E:$E,$B128,領用表!$B:$B,Y$2&amp;$P$1)</f>
        <v/>
      </c>
      <c r="Z128" s="142">
        <f>SUMIFS(領用表!$L:$L,領用表!$E:$E,$B128,領用表!$B:$B,Z$2&amp;$P$1)</f>
        <v/>
      </c>
      <c r="AA128" s="142">
        <f>SUMIFS(領用表!$L:$L,領用表!$E:$E,$B128,領用表!$B:$B,AA$2&amp;$P$1)</f>
        <v/>
      </c>
      <c r="AB128" s="142">
        <f>SUM(P128,Q128,R128,S128,T128,U128)</f>
        <v/>
      </c>
      <c r="AC128" s="142">
        <f>AVERAGE(P128,Q128,R128,S128,T128,U128)</f>
        <v/>
      </c>
      <c r="AD128" s="142">
        <f>SUMIF(Summary!B:B,B128,Summary!EB:EB)</f>
        <v/>
      </c>
      <c r="AE128" s="109" t="n">
        <v>20</v>
      </c>
      <c r="AF128" s="76" t="n"/>
      <c r="AG128" s="76" t="n"/>
      <c r="AH128" s="76" t="n"/>
      <c r="AI128" s="27" t="inlineStr">
        <is>
          <t>專用料1kg可生產180pcs</t>
        </is>
      </c>
      <c r="AJ128" s="27" t="n"/>
      <c r="AK128" s="14" t="n"/>
      <c r="AL128" s="14" t="n"/>
    </row>
    <row r="129" ht="15.75" customHeight="1" s="453">
      <c r="A129" s="78" t="inlineStr">
        <is>
          <t>D99AA050002T</t>
        </is>
      </c>
      <c r="B129" s="14" t="n">
        <v>6050006</v>
      </c>
      <c r="C129" s="136" t="inlineStr">
        <is>
          <t>舒緩修護精萃 180mL(從深坑廠出貨)</t>
        </is>
      </c>
      <c r="D129" s="77" t="n"/>
      <c r="E129" s="17" t="inlineStr">
        <is>
          <t>PCS</t>
        </is>
      </c>
      <c r="F129" s="70" t="n"/>
      <c r="G129" s="18" t="n">
        <v>113</v>
      </c>
      <c r="H129" s="20">
        <f>SUMIFS(領用表!$L:$L,領用表!$E:$E,$B129,領用表!$B:$B,H$2&amp;$P$1)</f>
        <v/>
      </c>
      <c r="I129" s="20">
        <f>SUMIFS(領用表!$L:$L,領用表!$E:$E,$B129,領用表!$B:$B,I$2&amp;$P$1)</f>
        <v/>
      </c>
      <c r="J129" s="20">
        <f>SUMIFS(領用表!$L:$L,領用表!$E:$E,$B129,領用表!$B:$B,J$2&amp;$P$1)</f>
        <v/>
      </c>
      <c r="K129" s="142">
        <f>SUMIFS(領用表!$L:$L,領用表!$E:$E,$B129,領用表!$B:$B,K$2&amp;$P$1)</f>
        <v/>
      </c>
      <c r="L129" s="142">
        <f>SUMIFS(領用表!$L:$L,領用表!$E:$E,$B129,領用表!$B:$B,L$2&amp;$P$1)</f>
        <v/>
      </c>
      <c r="M129" s="142">
        <f>SUMIFS(領用表!$L:$L,領用表!$E:$E,$B129,領用表!$B:$B,M$2&amp;$P$1)</f>
        <v/>
      </c>
      <c r="N129" s="23">
        <f>SUM(,H129,I129,J129,K129,L129,M129)</f>
        <v/>
      </c>
      <c r="O129" s="23">
        <f>AVERAGE(,H129,I129,J129,K129,L129,M129)</f>
        <v/>
      </c>
      <c r="P129" s="142">
        <f>SUMIFS(領用表!$L:$L,領用表!$E:$E,$B129,領用表!$B:$B,P$2&amp;$P$1)</f>
        <v/>
      </c>
      <c r="Q129" s="405">
        <f>SUMIFS(領用表!$L:$L,領用表!$E:$E,$B129,領用表!$B:$B,Q$2&amp;$P$1)</f>
        <v/>
      </c>
      <c r="R129" s="405">
        <f>SUMIFS(領用表!$L:$L,領用表!$E:$E,$B129,領用表!$B:$B,R$2&amp;$P$1)</f>
        <v/>
      </c>
      <c r="S129" s="405">
        <f>SUMIFS(領用表!$L:$L,領用表!$E:$E,$B129,領用表!$B:$B,S$2&amp;$P$1)</f>
        <v/>
      </c>
      <c r="T129" s="405">
        <f>SUMIFS(領用表!$L:$L,領用表!$E:$E,$B129,領用表!$B:$B,T$2&amp;$P$1)</f>
        <v/>
      </c>
      <c r="U129" s="405" t="n"/>
      <c r="V129" s="405">
        <f>SUMIFS(領用表!$L:$L,領用表!$E:$E,$B129,領用表!$B:$B,V$2&amp;$P$1)</f>
        <v/>
      </c>
      <c r="W129" s="405">
        <f>SUMIFS(領用表!$L:$L,領用表!$E:$E,$B129,領用表!$B:$B,W$2&amp;$P$1)</f>
        <v/>
      </c>
      <c r="X129" s="405">
        <f>SUMIFS(領用表!$L:$L,領用表!$E:$E,$B129,領用表!$B:$B,X$2&amp;$P$1)</f>
        <v/>
      </c>
      <c r="Y129" s="405">
        <f>SUMIFS(領用表!$L:$L,領用表!$E:$E,$B129,領用表!$B:$B,Y$2&amp;$P$1)</f>
        <v/>
      </c>
      <c r="Z129" s="405">
        <f>SUMIFS(領用表!$L:$L,領用表!$E:$E,$B129,領用表!$B:$B,Z$2&amp;$P$1)</f>
        <v/>
      </c>
      <c r="AA129" s="405">
        <f>SUMIFS(領用表!$L:$L,領用表!$E:$E,$B129,領用表!$B:$B,AA$2&amp;$P$1)</f>
        <v/>
      </c>
      <c r="AB129" s="405">
        <f>SUM(P129,Q129,R129,S129,T129,U129)</f>
        <v/>
      </c>
      <c r="AC129" s="405">
        <f>AVERAGE(P129,Q129,R129,S129,T129,U129)</f>
        <v/>
      </c>
      <c r="AD129" s="405">
        <f>SUMIF(Summary!B:B,B129,Summary!EB:EB)</f>
        <v/>
      </c>
      <c r="AE129" s="110" t="n">
        <v>8</v>
      </c>
      <c r="AF129" s="80" t="n"/>
      <c r="AG129" s="76" t="n"/>
      <c r="AH129" s="76" t="n"/>
    </row>
    <row r="130" hidden="1" ht="15.75" customHeight="1" s="453">
      <c r="A130" s="27" t="inlineStr">
        <is>
          <t>DN1AA050044T</t>
        </is>
      </c>
      <c r="B130" s="14" t="e">
        <v>#N/A</v>
      </c>
      <c r="C130" s="136" t="inlineStr">
        <is>
          <t>舒緩修護精萃 30mL(2023年版)</t>
        </is>
      </c>
      <c r="D130" s="77" t="n"/>
      <c r="E130" s="17" t="inlineStr">
        <is>
          <t>PCS</t>
        </is>
      </c>
      <c r="F130" s="70" t="n"/>
      <c r="G130" s="18" t="n"/>
      <c r="H130" s="20">
        <f>SUMIFS(領用表!$L:$L,領用表!$E:$E,$B130,領用表!$B:$B,H$2&amp;$P$1)</f>
        <v/>
      </c>
      <c r="I130" s="20">
        <f>SUMIFS(領用表!$L:$L,領用表!$E:$E,$B130,領用表!$B:$B,I$2&amp;$P$1)</f>
        <v/>
      </c>
      <c r="J130" s="20">
        <f>SUMIFS(領用表!$L:$L,領用表!$E:$E,$B130,領用表!$B:$B,J$2&amp;$P$1)</f>
        <v/>
      </c>
      <c r="K130" s="142">
        <f>SUMIFS(領用表!$L:$L,領用表!$E:$E,$B130,領用表!$B:$B,K$2&amp;$P$1)</f>
        <v/>
      </c>
      <c r="L130" s="142">
        <f>SUMIFS(領用表!$L:$L,領用表!$E:$E,$B130,領用表!$B:$B,L$2&amp;$P$1)</f>
        <v/>
      </c>
      <c r="M130" s="142">
        <f>SUMIFS(領用表!$L:$L,領用表!$E:$E,$B130,領用表!$B:$B,M$2&amp;$P$1)</f>
        <v/>
      </c>
      <c r="N130" s="23">
        <f>SUM(,H130,I130,J130,K130,L130,M130)</f>
        <v/>
      </c>
      <c r="O130" s="23">
        <f>AVERAGE(,H130,I130,J130,K130,L130,M130)</f>
        <v/>
      </c>
      <c r="P130" s="142">
        <f>SUMIFS(領用表!$L:$L,領用表!$E:$E,$B130,領用表!$B:$B,P$2&amp;$P$1)</f>
        <v/>
      </c>
      <c r="Q130" s="142">
        <f>SUMIFS(領用表!$L:$L,領用表!$E:$E,$B130,領用表!$B:$B,Q$2&amp;$P$1)</f>
        <v/>
      </c>
      <c r="R130" s="142">
        <f>SUMIFS(領用表!$L:$L,領用表!$E:$E,$B130,領用表!$B:$B,R$2&amp;$P$1)</f>
        <v/>
      </c>
      <c r="S130" s="142">
        <f>SUMIFS(領用表!$L:$L,領用表!$E:$E,$B130,領用表!$B:$B,S$2&amp;$P$1)</f>
        <v/>
      </c>
      <c r="T130" s="142">
        <f>SUMIFS(領用表!$L:$L,領用表!$E:$E,$B130,領用表!$B:$B,T$2&amp;$P$1)</f>
        <v/>
      </c>
      <c r="U130" s="142">
        <f>SUMIFS(領用表!$L:$L,領用表!$E:$E,$B130,領用表!$B:$B,U$2&amp;$P$1)</f>
        <v/>
      </c>
      <c r="V130" s="142">
        <f>SUMIFS(領用表!$L:$L,領用表!$E:$E,$B130,領用表!$B:$B,V$2&amp;$P$1)</f>
        <v/>
      </c>
      <c r="W130" s="142">
        <f>SUMIFS(領用表!$L:$L,領用表!$E:$E,$B130,領用表!$B:$B,W$2&amp;$P$1)</f>
        <v/>
      </c>
      <c r="X130" s="142">
        <f>SUMIFS(領用表!$L:$L,領用表!$E:$E,$B130,領用表!$B:$B,X$2&amp;$P$1)</f>
        <v/>
      </c>
      <c r="Y130" s="142">
        <f>SUMIFS(領用表!$L:$L,領用表!$E:$E,$B130,領用表!$B:$B,Y$2&amp;$P$1)</f>
        <v/>
      </c>
      <c r="Z130" s="142">
        <f>SUMIFS(領用表!$L:$L,領用表!$E:$E,$B130,領用表!$B:$B,Z$2&amp;$P$1)</f>
        <v/>
      </c>
      <c r="AA130" s="142">
        <f>SUMIFS(領用表!$L:$L,領用表!$E:$E,$B130,領用表!$B:$B,AA$2&amp;$P$1)</f>
        <v/>
      </c>
      <c r="AB130" s="142">
        <f>SUM(P130,Q130,R130,S130,T130,U130)</f>
        <v/>
      </c>
      <c r="AC130" s="142">
        <f>AVERAGE(P130,Q130,R130,S130,T130,U130)</f>
        <v/>
      </c>
      <c r="AD130" s="142">
        <f>SUMIF(Summary!B:B,B130,Summary!EB:EB)</f>
        <v/>
      </c>
      <c r="AE130" s="109" t="n"/>
      <c r="AF130" s="65" t="n"/>
      <c r="AG130" s="76" t="n"/>
      <c r="AH130" s="76" t="n"/>
      <c r="AI130" s="27" t="n"/>
      <c r="AJ130" s="27" t="n"/>
      <c r="AK130" s="14" t="n"/>
      <c r="AL130" s="14" t="n"/>
    </row>
    <row r="131" hidden="1" ht="15.75" customHeight="1" s="453">
      <c r="A131" s="27" t="inlineStr">
        <is>
          <t>DN1AA050043T</t>
        </is>
      </c>
      <c r="B131" s="14" t="n">
        <v>6050005</v>
      </c>
      <c r="C131" s="136" t="inlineStr">
        <is>
          <t>肌本修護甦活精華 30mL (2023年版)</t>
        </is>
      </c>
      <c r="D131" s="77" t="n"/>
      <c r="E131" s="17" t="inlineStr">
        <is>
          <t>PCS</t>
        </is>
      </c>
      <c r="F131" s="70" t="n"/>
      <c r="G131" s="18" t="n"/>
      <c r="H131" s="20">
        <f>SUMIFS(領用表!$L:$L,領用表!$E:$E,$B131,領用表!$B:$B,H$2&amp;$P$1)</f>
        <v/>
      </c>
      <c r="I131" s="20">
        <f>SUMIFS(領用表!$L:$L,領用表!$E:$E,$B131,領用表!$B:$B,I$2&amp;$P$1)</f>
        <v/>
      </c>
      <c r="J131" s="20">
        <f>SUMIFS(領用表!$L:$L,領用表!$E:$E,$B131,領用表!$B:$B,J$2&amp;$P$1)</f>
        <v/>
      </c>
      <c r="K131" s="142">
        <f>SUMIFS(領用表!$L:$L,領用表!$E:$E,$B131,領用表!$B:$B,K$2&amp;$P$1)</f>
        <v/>
      </c>
      <c r="L131" s="142">
        <f>SUMIFS(領用表!$L:$L,領用表!$E:$E,$B131,領用表!$B:$B,L$2&amp;$P$1)</f>
        <v/>
      </c>
      <c r="M131" s="142">
        <f>SUMIFS(領用表!$L:$L,領用表!$E:$E,$B131,領用表!$B:$B,M$2&amp;$P$1)</f>
        <v/>
      </c>
      <c r="N131" s="23">
        <f>SUM(,H131,I131,J131,K131,L131,M131)</f>
        <v/>
      </c>
      <c r="O131" s="23">
        <f>AVERAGE(,H131,I131,J131,K131,L131,M131)</f>
        <v/>
      </c>
      <c r="P131" s="142">
        <f>SUMIFS(領用表!$L:$L,領用表!$E:$E,$B131,領用表!$B:$B,P$2&amp;$P$1)</f>
        <v/>
      </c>
      <c r="Q131" s="142">
        <f>SUMIFS(領用表!$L:$L,領用表!$E:$E,$B131,領用表!$B:$B,Q$2&amp;$P$1)</f>
        <v/>
      </c>
      <c r="R131" s="142">
        <f>SUMIFS(領用表!$L:$L,領用表!$E:$E,$B131,領用表!$B:$B,R$2&amp;$P$1)</f>
        <v/>
      </c>
      <c r="S131" s="142">
        <f>SUMIFS(領用表!$L:$L,領用表!$E:$E,$B131,領用表!$B:$B,S$2&amp;$P$1)</f>
        <v/>
      </c>
      <c r="T131" s="142">
        <f>SUMIFS(領用表!$L:$L,領用表!$E:$E,$B131,領用表!$B:$B,T$2&amp;$P$1)</f>
        <v/>
      </c>
      <c r="U131" s="142" t="n"/>
      <c r="V131" s="142">
        <f>SUMIFS(領用表!$L:$L,領用表!$E:$E,$B131,領用表!$B:$B,V$2&amp;$P$1)</f>
        <v/>
      </c>
      <c r="W131" s="142">
        <f>SUMIFS(領用表!$L:$L,領用表!$E:$E,$B131,領用表!$B:$B,W$2&amp;$P$1)</f>
        <v/>
      </c>
      <c r="X131" s="142">
        <f>SUMIFS(領用表!$L:$L,領用表!$E:$E,$B131,領用表!$B:$B,X$2&amp;$P$1)</f>
        <v/>
      </c>
      <c r="Y131" s="142">
        <f>SUMIFS(領用表!$L:$L,領用表!$E:$E,$B131,領用表!$B:$B,Y$2&amp;$P$1)</f>
        <v/>
      </c>
      <c r="Z131" s="142">
        <f>SUMIFS(領用表!$L:$L,領用表!$E:$E,$B131,領用表!$B:$B,Z$2&amp;$P$1)</f>
        <v/>
      </c>
      <c r="AA131" s="142">
        <f>SUMIFS(領用表!$L:$L,領用表!$E:$E,$B131,領用表!$B:$B,AA$2&amp;$P$1)</f>
        <v/>
      </c>
      <c r="AB131" s="142">
        <f>SUM(P131,Q131,R131,S131,T131,U131)</f>
        <v/>
      </c>
      <c r="AC131" s="142">
        <f>AVERAGE(P131,Q131,R131,S131,T131,U131)</f>
        <v/>
      </c>
      <c r="AD131" s="142">
        <f>SUMIF(Summary!B:B,B131,Summary!EB:EB)</f>
        <v/>
      </c>
      <c r="AE131" s="109" t="n"/>
      <c r="AF131" s="65" t="n"/>
      <c r="AG131" s="76" t="n"/>
      <c r="AH131" s="76" t="n"/>
    </row>
    <row r="132" hidden="1" ht="15.75" customHeight="1" s="453">
      <c r="A132" s="27" t="inlineStr">
        <is>
          <t>DN1AA090015T</t>
        </is>
      </c>
      <c r="B132" s="14" t="n">
        <v>1080002</v>
      </c>
      <c r="C132" s="136" t="inlineStr">
        <is>
          <t>神經醯胺水漾保濕面膜/ 30ml</t>
        </is>
      </c>
      <c r="D132" s="77" t="n"/>
      <c r="E132" s="17" t="inlineStr">
        <is>
          <t>PCS</t>
        </is>
      </c>
      <c r="F132" s="70" t="n"/>
      <c r="G132" s="18" t="n"/>
      <c r="H132" s="20">
        <f>SUMIFS(領用表!$L:$L,領用表!$E:$E,$B132,領用表!$B:$B,H$2&amp;$P$1)</f>
        <v/>
      </c>
      <c r="I132" s="20">
        <f>SUMIFS(領用表!$L:$L,領用表!$E:$E,$B132,領用表!$B:$B,I$2&amp;$P$1)</f>
        <v/>
      </c>
      <c r="J132" s="20">
        <f>SUMIFS(領用表!$L:$L,領用表!$E:$E,$B132,領用表!$B:$B,J$2&amp;$P$1)</f>
        <v/>
      </c>
      <c r="K132" s="142">
        <f>SUMIFS(領用表!$L:$L,領用表!$E:$E,$B132,領用表!$B:$B,K$2&amp;$P$1)</f>
        <v/>
      </c>
      <c r="L132" s="142">
        <f>SUMIFS(領用表!$L:$L,領用表!$E:$E,$B132,領用表!$B:$B,L$2&amp;$P$1)</f>
        <v/>
      </c>
      <c r="M132" s="142">
        <f>SUMIFS(領用表!$L:$L,領用表!$E:$E,$B132,領用表!$B:$B,M$2&amp;$P$1)</f>
        <v/>
      </c>
      <c r="N132" s="23">
        <f>SUM(,H132,I132,J132,K132,L132,M132)</f>
        <v/>
      </c>
      <c r="O132" s="23">
        <f>AVERAGE(,H132,I132,J132,K132,L132,M132)</f>
        <v/>
      </c>
      <c r="P132" s="142">
        <f>SUMIFS(領用表!$L:$L,領用表!$E:$E,$B132,領用表!$B:$B,P$2&amp;$P$1)</f>
        <v/>
      </c>
      <c r="Q132" s="142">
        <f>SUMIFS(領用表!$L:$L,領用表!$E:$E,$B132,領用表!$B:$B,Q$2&amp;$P$1)</f>
        <v/>
      </c>
      <c r="R132" s="142">
        <f>SUMIFS(領用表!$L:$L,領用表!$E:$E,$B132,領用表!$B:$B,R$2&amp;$P$1)</f>
        <v/>
      </c>
      <c r="S132" s="142">
        <f>SUMIFS(領用表!$L:$L,領用表!$E:$E,$B132,領用表!$B:$B,S$2&amp;$P$1)</f>
        <v/>
      </c>
      <c r="T132" s="142">
        <f>SUMIFS(領用表!$L:$L,領用表!$E:$E,$B132,領用表!$B:$B,T$2&amp;$P$1)</f>
        <v/>
      </c>
      <c r="U132" s="142">
        <f>SUMIFS(領用表!$L:$L,領用表!$E:$E,$B132,領用表!$B:$B,U$2&amp;$P$1)</f>
        <v/>
      </c>
      <c r="V132" s="142">
        <f>SUMIFS(領用表!$L:$L,領用表!$E:$E,$B132,領用表!$B:$B,V$2&amp;$P$1)</f>
        <v/>
      </c>
      <c r="W132" s="142">
        <f>SUMIFS(領用表!$L:$L,領用表!$E:$E,$B132,領用表!$B:$B,W$2&amp;$P$1)</f>
        <v/>
      </c>
      <c r="X132" s="142">
        <f>SUMIFS(領用表!$L:$L,領用表!$E:$E,$B132,領用表!$B:$B,X$2&amp;$P$1)</f>
        <v/>
      </c>
      <c r="Y132" s="142">
        <f>SUMIFS(領用表!$L:$L,領用表!$E:$E,$B132,領用表!$B:$B,Y$2&amp;$P$1)</f>
        <v/>
      </c>
      <c r="Z132" s="142">
        <f>SUMIFS(領用表!$L:$L,領用表!$E:$E,$B132,領用表!$B:$B,Z$2&amp;$P$1)</f>
        <v/>
      </c>
      <c r="AA132" s="142">
        <f>SUMIFS(領用表!$L:$L,領用表!$E:$E,$B132,領用表!$B:$B,AA$2&amp;$P$1)</f>
        <v/>
      </c>
      <c r="AB132" s="142">
        <f>SUM(P132,Q132,R132,S132,T132,U132)</f>
        <v/>
      </c>
      <c r="AC132" s="142">
        <f>AVERAGE(P132,Q132,R132,S132,T132,U132)</f>
        <v/>
      </c>
      <c r="AD132" s="142">
        <f>SUMIF(Summary!B:B,B132,Summary!EB:EB)</f>
        <v/>
      </c>
      <c r="AE132" s="109" t="n"/>
      <c r="AF132" s="65" t="n"/>
      <c r="AG132" s="76" t="n"/>
      <c r="AH132" s="76" t="n"/>
      <c r="AI132" s="27" t="n"/>
      <c r="AJ132" s="27" t="n"/>
      <c r="AK132" s="14" t="n"/>
      <c r="AL132" s="14" t="n"/>
    </row>
    <row r="133" ht="15.75" customHeight="1" s="453">
      <c r="A133" s="27" t="inlineStr">
        <is>
          <t>DN1AA090011T</t>
        </is>
      </c>
      <c r="B133" s="14" t="n">
        <v>1080006</v>
      </c>
      <c r="C133" s="136" t="inlineStr">
        <is>
          <t>肌因抗老修護微導膜 25ml (2015年版)</t>
        </is>
      </c>
      <c r="D133" s="77" t="n"/>
      <c r="E133" s="17" t="inlineStr">
        <is>
          <t>PCS</t>
        </is>
      </c>
      <c r="F133" s="70" t="n"/>
      <c r="G133" s="18" t="n"/>
      <c r="H133" s="20">
        <f>SUMIFS(領用表!$L:$L,領用表!$E:$E,$B133,領用表!$B:$B,H$2&amp;$P$1)</f>
        <v/>
      </c>
      <c r="I133" s="20">
        <f>SUMIFS(領用表!$L:$L,領用表!$E:$E,$B133,領用表!$B:$B,I$2&amp;$P$1)</f>
        <v/>
      </c>
      <c r="J133" s="20">
        <f>SUMIFS(領用表!$L:$L,領用表!$E:$E,$B133,領用表!$B:$B,J$2&amp;$P$1)</f>
        <v/>
      </c>
      <c r="K133" s="142">
        <f>SUMIFS(領用表!$L:$L,領用表!$E:$E,$B133,領用表!$B:$B,K$2&amp;$P$1)</f>
        <v/>
      </c>
      <c r="L133" s="142">
        <f>SUMIFS(領用表!$L:$L,領用表!$E:$E,$B133,領用表!$B:$B,L$2&amp;$P$1)</f>
        <v/>
      </c>
      <c r="M133" s="142">
        <f>SUMIFS(領用表!$L:$L,領用表!$E:$E,$B133,領用表!$B:$B,M$2&amp;$P$1)</f>
        <v/>
      </c>
      <c r="N133" s="23">
        <f>SUM(,H133,I133,J133,K133,L133,M133)</f>
        <v/>
      </c>
      <c r="O133" s="23">
        <f>AVERAGE(,H133,I133,J133,K133,L133,M133)</f>
        <v/>
      </c>
      <c r="P133" s="142">
        <f>SUMIFS(領用表!$L:$L,領用表!$E:$E,$B133,領用表!$B:$B,P$2&amp;$P$1)</f>
        <v/>
      </c>
      <c r="Q133" s="142">
        <f>SUMIFS(領用表!$L:$L,領用表!$E:$E,$B133,領用表!$B:$B,Q$2&amp;$P$1)</f>
        <v/>
      </c>
      <c r="R133" s="142">
        <f>SUMIFS(領用表!$L:$L,領用表!$E:$E,$B133,領用表!$B:$B,R$2&amp;$P$1)</f>
        <v/>
      </c>
      <c r="S133" s="142">
        <f>SUMIFS(領用表!$L:$L,領用表!$E:$E,$B133,領用表!$B:$B,S$2&amp;$P$1)</f>
        <v/>
      </c>
      <c r="T133" s="142">
        <f>SUMIFS(領用表!$L:$L,領用表!$E:$E,$B133,領用表!$B:$B,T$2&amp;$P$1)</f>
        <v/>
      </c>
      <c r="U133" s="142">
        <f>SUMIFS(領用表!$L:$L,領用表!$E:$E,$B133,領用表!$B:$B,U$2&amp;$P$1)</f>
        <v/>
      </c>
      <c r="V133" s="142">
        <f>SUMIFS(領用表!$L:$L,領用表!$E:$E,$B133,領用表!$B:$B,V$2&amp;$P$1)</f>
        <v/>
      </c>
      <c r="W133" s="142">
        <f>SUMIFS(領用表!$L:$L,領用表!$E:$E,$B133,領用表!$B:$B,W$2&amp;$P$1)</f>
        <v/>
      </c>
      <c r="X133" s="142">
        <f>SUMIFS(領用表!$L:$L,領用表!$E:$E,$B133,領用表!$B:$B,X$2&amp;$P$1)</f>
        <v/>
      </c>
      <c r="Y133" s="142">
        <f>SUMIFS(領用表!$L:$L,領用表!$E:$E,$B133,領用表!$B:$B,Y$2&amp;$P$1)</f>
        <v/>
      </c>
      <c r="Z133" s="142">
        <f>SUMIFS(領用表!$L:$L,領用表!$E:$E,$B133,領用表!$B:$B,Z$2&amp;$P$1)</f>
        <v/>
      </c>
      <c r="AA133" s="142">
        <f>SUMIFS(領用表!$L:$L,領用表!$E:$E,$B133,領用表!$B:$B,AA$2&amp;$P$1)</f>
        <v/>
      </c>
      <c r="AB133" s="142">
        <f>SUM(P133,Q133,R133,S133,T133,U133)</f>
        <v/>
      </c>
      <c r="AC133" s="142">
        <f>AVERAGE(P133,Q133,R133,S133,T133,U133)</f>
        <v/>
      </c>
      <c r="AD133" s="142">
        <f>SUMIF(Summary!B:B,B133,Summary!EB:EB)</f>
        <v/>
      </c>
      <c r="AE133" s="109" t="n">
        <v>1500</v>
      </c>
      <c r="AF133" s="65" t="n"/>
      <c r="AG133" s="76" t="n"/>
      <c r="AH133" s="76" t="n"/>
    </row>
    <row r="134" ht="15.75" customHeight="1" s="453">
      <c r="A134" s="27" t="inlineStr">
        <is>
          <t>DL1AA090023T</t>
        </is>
      </c>
      <c r="B134" s="14" t="e">
        <v>#N/A</v>
      </c>
      <c r="C134" s="136" t="inlineStr">
        <is>
          <t>海洋紅藻面膜 30ml</t>
        </is>
      </c>
      <c r="D134" s="77" t="n"/>
      <c r="E134" s="17" t="inlineStr">
        <is>
          <t>PCS</t>
        </is>
      </c>
      <c r="F134" s="70" t="n"/>
      <c r="G134" s="18" t="n"/>
      <c r="H134" s="20">
        <f>SUMIFS(領用表!$L:$L,領用表!$E:$E,$B134,領用表!$B:$B,H$2&amp;$P$1)</f>
        <v/>
      </c>
      <c r="I134" s="20">
        <f>SUMIFS(領用表!$L:$L,領用表!$E:$E,$B134,領用表!$B:$B,I$2&amp;$P$1)</f>
        <v/>
      </c>
      <c r="J134" s="20">
        <f>SUMIFS(領用表!$L:$L,領用表!$E:$E,$B134,領用表!$B:$B,J$2&amp;$P$1)</f>
        <v/>
      </c>
      <c r="K134" s="142">
        <f>SUMIFS(領用表!$L:$L,領用表!$E:$E,$B134,領用表!$B:$B,K$2&amp;$P$1)</f>
        <v/>
      </c>
      <c r="L134" s="142">
        <f>SUMIFS(領用表!$L:$L,領用表!$E:$E,$B134,領用表!$B:$B,L$2&amp;$P$1)</f>
        <v/>
      </c>
      <c r="M134" s="142">
        <f>SUMIFS(領用表!$L:$L,領用表!$E:$E,$B134,領用表!$B:$B,M$2&amp;$P$1)</f>
        <v/>
      </c>
      <c r="N134" s="23">
        <f>SUM(,H134,I134,J134,K134,L134,M134)</f>
        <v/>
      </c>
      <c r="O134" s="23">
        <f>AVERAGE(,H134,I134,J134,K134,L134,M134)</f>
        <v/>
      </c>
      <c r="P134" s="142">
        <f>SUMIFS(領用表!$L:$L,領用表!$E:$E,$B134,領用表!$B:$B,P$2&amp;$P$1)</f>
        <v/>
      </c>
      <c r="Q134" s="142">
        <f>SUMIFS(領用表!$L:$L,領用表!$E:$E,$B134,領用表!$B:$B,Q$2&amp;$P$1)</f>
        <v/>
      </c>
      <c r="R134" s="142">
        <f>SUMIFS(領用表!$L:$L,領用表!$E:$E,$B134,領用表!$B:$B,R$2&amp;$P$1)</f>
        <v/>
      </c>
      <c r="S134" s="142">
        <f>SUMIFS(領用表!$L:$L,領用表!$E:$E,$B134,領用表!$B:$B,S$2&amp;$P$1)</f>
        <v/>
      </c>
      <c r="T134" s="142">
        <f>SUMIFS(領用表!$L:$L,領用表!$E:$E,$B134,領用表!$B:$B,T$2&amp;$P$1)</f>
        <v/>
      </c>
      <c r="U134" s="142">
        <f>SUMIFS(領用表!$L:$L,領用表!$E:$E,$B134,領用表!$B:$B,U$2&amp;$P$1)</f>
        <v/>
      </c>
      <c r="V134" s="142">
        <f>SUMIFS(領用表!$L:$L,領用表!$E:$E,$B134,領用表!$B:$B,V$2&amp;$P$1)</f>
        <v/>
      </c>
      <c r="W134" s="142">
        <f>SUMIFS(領用表!$L:$L,領用表!$E:$E,$B134,領用表!$B:$B,W$2&amp;$P$1)</f>
        <v/>
      </c>
      <c r="X134" s="142">
        <f>SUMIFS(領用表!$L:$L,領用表!$E:$E,$B134,領用表!$B:$B,X$2&amp;$P$1)</f>
        <v/>
      </c>
      <c r="Y134" s="142">
        <f>SUMIFS(領用表!$L:$L,領用表!$E:$E,$B134,領用表!$B:$B,Y$2&amp;$P$1)</f>
        <v/>
      </c>
      <c r="Z134" s="142">
        <f>SUMIFS(領用表!$L:$L,領用表!$E:$E,$B134,領用表!$B:$B,Z$2&amp;$P$1)</f>
        <v/>
      </c>
      <c r="AA134" s="142">
        <f>SUMIFS(領用表!$L:$L,領用表!$E:$E,$B134,領用表!$B:$B,AA$2&amp;$P$1)</f>
        <v/>
      </c>
      <c r="AB134" s="142">
        <f>SUM(P134,Q134,R134,S134,T134,U134)</f>
        <v/>
      </c>
      <c r="AC134" s="142">
        <f>AVERAGE(P134,Q134,R134,S134,T134,U134)</f>
        <v/>
      </c>
      <c r="AD134" s="142">
        <f>SUMIF(Summary!B:B,B134,Summary!EB:EB)</f>
        <v/>
      </c>
      <c r="AE134" s="109" t="n">
        <v>0</v>
      </c>
      <c r="AF134" s="65" t="n"/>
      <c r="AG134" s="76" t="n"/>
      <c r="AH134" s="76" t="n"/>
    </row>
    <row r="135" ht="15.75" customHeight="1" s="453">
      <c r="A135" s="27" t="inlineStr">
        <is>
          <t>DE1AA090013T</t>
        </is>
      </c>
      <c r="B135" s="14" t="n">
        <v>6080005</v>
      </c>
      <c r="C135" s="136" t="inlineStr">
        <is>
          <t>玻尿酸恆潤保濕面膜 30mL</t>
        </is>
      </c>
      <c r="D135" s="77" t="n"/>
      <c r="E135" s="17" t="inlineStr">
        <is>
          <t>PCS</t>
        </is>
      </c>
      <c r="F135" s="70" t="n"/>
      <c r="G135" s="18" t="n"/>
      <c r="H135" s="20">
        <f>SUMIFS(領用表!$L:$L,領用表!$E:$E,$B135,領用表!$B:$B,H$2&amp;$P$1)</f>
        <v/>
      </c>
      <c r="I135" s="20">
        <f>SUMIFS(領用表!$L:$L,領用表!$E:$E,$B135,領用表!$B:$B,I$2&amp;$P$1)</f>
        <v/>
      </c>
      <c r="J135" s="20">
        <f>SUMIFS(領用表!$L:$L,領用表!$E:$E,$B135,領用表!$B:$B,J$2&amp;$P$1)</f>
        <v/>
      </c>
      <c r="K135" s="142">
        <f>SUMIFS(領用表!$L:$L,領用表!$E:$E,$B135,領用表!$B:$B,K$2&amp;$P$1)</f>
        <v/>
      </c>
      <c r="L135" s="142">
        <f>SUMIFS(領用表!$L:$L,領用表!$E:$E,$B135,領用表!$B:$B,L$2&amp;$P$1)</f>
        <v/>
      </c>
      <c r="M135" s="142">
        <f>SUMIFS(領用表!$L:$L,領用表!$E:$E,$B135,領用表!$B:$B,M$2&amp;$P$1)</f>
        <v/>
      </c>
      <c r="N135" s="23">
        <f>SUM(,H135,I135,J135,K135,L135,M135)</f>
        <v/>
      </c>
      <c r="O135" s="23">
        <f>AVERAGE(,H135,I135,J135,K135,L135,M135)</f>
        <v/>
      </c>
      <c r="P135" s="142">
        <f>SUMIFS(領用表!$L:$L,領用表!$E:$E,$B135,領用表!$B:$B,P$2&amp;$P$1)</f>
        <v/>
      </c>
      <c r="Q135" s="142">
        <f>SUMIFS(領用表!$L:$L,領用表!$E:$E,$B135,領用表!$B:$B,Q$2&amp;$P$1)</f>
        <v/>
      </c>
      <c r="R135" s="142">
        <f>SUMIFS(領用表!$L:$L,領用表!$E:$E,$B135,領用表!$B:$B,R$2&amp;$P$1)</f>
        <v/>
      </c>
      <c r="S135" s="142">
        <f>SUMIFS(領用表!$L:$L,領用表!$E:$E,$B135,領用表!$B:$B,S$2&amp;$P$1)</f>
        <v/>
      </c>
      <c r="T135" s="142">
        <f>SUMIFS(領用表!$L:$L,領用表!$E:$E,$B135,領用表!$B:$B,T$2&amp;$P$1)</f>
        <v/>
      </c>
      <c r="U135" s="142">
        <f>SUMIFS(領用表!$L:$L,領用表!$E:$E,$B135,領用表!$B:$B,U$2&amp;$P$1)</f>
        <v/>
      </c>
      <c r="V135" s="142">
        <f>SUMIFS(領用表!$L:$L,領用表!$E:$E,$B135,領用表!$B:$B,V$2&amp;$P$1)</f>
        <v/>
      </c>
      <c r="W135" s="142">
        <f>SUMIFS(領用表!$L:$L,領用表!$E:$E,$B135,領用表!$B:$B,W$2&amp;$P$1)</f>
        <v/>
      </c>
      <c r="X135" s="142">
        <f>SUMIFS(領用表!$L:$L,領用表!$E:$E,$B135,領用表!$B:$B,X$2&amp;$P$1)</f>
        <v/>
      </c>
      <c r="Y135" s="142">
        <f>SUMIFS(領用表!$L:$L,領用表!$E:$E,$B135,領用表!$B:$B,Y$2&amp;$P$1)</f>
        <v/>
      </c>
      <c r="Z135" s="142">
        <f>SUMIFS(領用表!$L:$L,領用表!$E:$E,$B135,領用表!$B:$B,Z$2&amp;$P$1)</f>
        <v/>
      </c>
      <c r="AA135" s="142">
        <f>SUMIFS(領用表!$L:$L,領用表!$E:$E,$B135,領用表!$B:$B,AA$2&amp;$P$1)</f>
        <v/>
      </c>
      <c r="AB135" s="142">
        <f>SUM(P135,Q135,R135,S135,T135,U135)</f>
        <v/>
      </c>
      <c r="AC135" s="142">
        <f>AVERAGE(P135,Q135,R135,S135,T135,U135)</f>
        <v/>
      </c>
      <c r="AD135" s="142">
        <f>SUMIF(Summary!B:B,B135,Summary!EB:EB)</f>
        <v/>
      </c>
      <c r="AE135" s="109" t="n">
        <v>300</v>
      </c>
      <c r="AF135" s="65" t="n"/>
      <c r="AG135" s="83" t="n"/>
      <c r="AH135" s="76" t="n"/>
    </row>
    <row r="136" ht="15.75" customHeight="1" s="453">
      <c r="A136" s="27" t="inlineStr">
        <is>
          <t>DL1AA090025T</t>
        </is>
      </c>
      <c r="B136" s="14" t="n">
        <v>6080007</v>
      </c>
      <c r="C136" s="136" t="inlineStr">
        <is>
          <t>海洋膠原蛋白面膜 30ml</t>
        </is>
      </c>
      <c r="D136" s="77" t="n"/>
      <c r="E136" s="17" t="inlineStr">
        <is>
          <t>PCS</t>
        </is>
      </c>
      <c r="F136" s="70" t="n"/>
      <c r="G136" s="18" t="n"/>
      <c r="H136" s="20">
        <f>SUMIFS(領用表!$L:$L,領用表!$E:$E,$B136,領用表!$B:$B,H$2&amp;$P$1)</f>
        <v/>
      </c>
      <c r="I136" s="20">
        <f>SUMIFS(領用表!$L:$L,領用表!$E:$E,$B136,領用表!$B:$B,I$2&amp;$P$1)</f>
        <v/>
      </c>
      <c r="J136" s="20">
        <f>SUMIFS(領用表!$L:$L,領用表!$E:$E,$B136,領用表!$B:$B,J$2&amp;$P$1)</f>
        <v/>
      </c>
      <c r="K136" s="142">
        <f>SUMIFS(領用表!$L:$L,領用表!$E:$E,$B136,領用表!$B:$B,K$2&amp;$P$1)</f>
        <v/>
      </c>
      <c r="L136" s="142">
        <f>SUMIFS(領用表!$L:$L,領用表!$E:$E,$B136,領用表!$B:$B,L$2&amp;$P$1)</f>
        <v/>
      </c>
      <c r="M136" s="142">
        <f>SUMIFS(領用表!$L:$L,領用表!$E:$E,$B136,領用表!$B:$B,M$2&amp;$P$1)</f>
        <v/>
      </c>
      <c r="N136" s="23">
        <f>SUM(,H136,I136,J136,K136,L136,M136)</f>
        <v/>
      </c>
      <c r="O136" s="23">
        <f>AVERAGE(,H136,I136,J136,K136,L136,M136)</f>
        <v/>
      </c>
      <c r="P136" s="142">
        <f>SUMIFS(領用表!$L:$L,領用表!$E:$E,$B136,領用表!$B:$B,P$2&amp;$P$1)</f>
        <v/>
      </c>
      <c r="Q136" s="142">
        <f>SUMIFS(領用表!$L:$L,領用表!$E:$E,$B136,領用表!$B:$B,Q$2&amp;$P$1)</f>
        <v/>
      </c>
      <c r="R136" s="142">
        <f>SUMIFS(領用表!$L:$L,領用表!$E:$E,$B136,領用表!$B:$B,R$2&amp;$P$1)</f>
        <v/>
      </c>
      <c r="S136" s="142">
        <f>SUMIFS(領用表!$L:$L,領用表!$E:$E,$B136,領用表!$B:$B,S$2&amp;$P$1)</f>
        <v/>
      </c>
      <c r="T136" s="142">
        <f>SUMIFS(領用表!$L:$L,領用表!$E:$E,$B136,領用表!$B:$B,T$2&amp;$P$1)</f>
        <v/>
      </c>
      <c r="U136" s="142" t="n"/>
      <c r="V136" s="142">
        <f>SUMIFS(領用表!$L:$L,領用表!$E:$E,$B136,領用表!$B:$B,V$2&amp;$P$1)</f>
        <v/>
      </c>
      <c r="W136" s="142">
        <f>SUMIFS(領用表!$L:$L,領用表!$E:$E,$B136,領用表!$B:$B,W$2&amp;$P$1)</f>
        <v/>
      </c>
      <c r="X136" s="142">
        <f>SUMIFS(領用表!$L:$L,領用表!$E:$E,$B136,領用表!$B:$B,X$2&amp;$P$1)</f>
        <v/>
      </c>
      <c r="Y136" s="142">
        <f>SUMIFS(領用表!$L:$L,領用表!$E:$E,$B136,領用表!$B:$B,Y$2&amp;$P$1)</f>
        <v/>
      </c>
      <c r="Z136" s="142">
        <f>SUMIFS(領用表!$L:$L,領用表!$E:$E,$B136,領用表!$B:$B,Z$2&amp;$P$1)</f>
        <v/>
      </c>
      <c r="AA136" s="142">
        <f>SUMIFS(領用表!$L:$L,領用表!$E:$E,$B136,領用表!$B:$B,AA$2&amp;$P$1)</f>
        <v/>
      </c>
      <c r="AB136" s="142">
        <f>SUM(P136,Q136,R136,S136,T136,U136)</f>
        <v/>
      </c>
      <c r="AC136" s="142">
        <f>AVERAGE(P136,Q136,R136,S136,T136,U136)</f>
        <v/>
      </c>
      <c r="AD136" s="142">
        <f>SUMIF(Summary!B:B,B136,Summary!EB:EB)</f>
        <v/>
      </c>
      <c r="AE136" s="109" t="n">
        <v>0</v>
      </c>
      <c r="AF136" s="65" t="n"/>
      <c r="AG136" s="76" t="n"/>
      <c r="AH136" s="76" t="n"/>
      <c r="AI136" s="14" t="n"/>
      <c r="AJ136" s="14" t="n"/>
      <c r="AK136" s="14" t="n"/>
      <c r="AL136" s="14" t="n"/>
    </row>
    <row r="137" ht="15.75" customHeight="1" s="453">
      <c r="A137" s="27" t="inlineStr">
        <is>
          <t>DE1AB090012T</t>
        </is>
      </c>
      <c r="B137" s="14" t="e">
        <v>#N/A</v>
      </c>
      <c r="C137" s="136" t="inlineStr">
        <is>
          <t>多肽睛澈修護眼膜 10mL(鈦灰)</t>
        </is>
      </c>
      <c r="D137" s="77" t="n"/>
      <c r="E137" s="17" t="inlineStr">
        <is>
          <t>PCS</t>
        </is>
      </c>
      <c r="F137" s="70" t="n"/>
      <c r="G137" s="18" t="n"/>
      <c r="H137" s="20">
        <f>SUMIFS(領用表!$L:$L,領用表!$E:$E,$B137,領用表!$B:$B,H$2&amp;$P$1)</f>
        <v/>
      </c>
      <c r="I137" s="20">
        <f>SUMIFS(領用表!$L:$L,領用表!$E:$E,$B137,領用表!$B:$B,I$2&amp;$P$1)</f>
        <v/>
      </c>
      <c r="J137" s="20">
        <f>SUMIFS(領用表!$L:$L,領用表!$E:$E,$B137,領用表!$B:$B,J$2&amp;$P$1)</f>
        <v/>
      </c>
      <c r="K137" s="142">
        <f>SUMIFS(領用表!$L:$L,領用表!$E:$E,$B137,領用表!$B:$B,K$2&amp;$P$1)</f>
        <v/>
      </c>
      <c r="L137" s="142">
        <f>SUMIFS(領用表!$L:$L,領用表!$E:$E,$B137,領用表!$B:$B,L$2&amp;$P$1)</f>
        <v/>
      </c>
      <c r="M137" s="142">
        <f>SUMIFS(領用表!$L:$L,領用表!$E:$E,$B137,領用表!$B:$B,M$2&amp;$P$1)</f>
        <v/>
      </c>
      <c r="N137" s="23">
        <f>SUM(,H137,I137,J137,K137,L137,M137)</f>
        <v/>
      </c>
      <c r="O137" s="23">
        <f>AVERAGE(,H137,I137,J137,K137,L137,M137)</f>
        <v/>
      </c>
      <c r="P137" s="142">
        <f>SUMIFS(領用表!$L:$L,領用表!$E:$E,$B137,領用表!$B:$B,P$2&amp;$P$1)</f>
        <v/>
      </c>
      <c r="Q137" s="142">
        <f>SUMIFS(領用表!$L:$L,領用表!$E:$E,$B137,領用表!$B:$B,Q$2&amp;$P$1)</f>
        <v/>
      </c>
      <c r="R137" s="142">
        <f>SUMIFS(領用表!$L:$L,領用表!$E:$E,$B137,領用表!$B:$B,R$2&amp;$P$1)</f>
        <v/>
      </c>
      <c r="S137" s="142">
        <f>SUMIFS(領用表!$L:$L,領用表!$E:$E,$B137,領用表!$B:$B,S$2&amp;$P$1)</f>
        <v/>
      </c>
      <c r="T137" s="142">
        <f>SUMIFS(領用表!$L:$L,領用表!$E:$E,$B137,領用表!$B:$B,T$2&amp;$P$1)</f>
        <v/>
      </c>
      <c r="U137" s="142">
        <f>SUMIFS(領用表!$L:$L,領用表!$E:$E,$B137,領用表!$B:$B,U$2&amp;$P$1)</f>
        <v/>
      </c>
      <c r="V137" s="142">
        <f>SUMIFS(領用表!$L:$L,領用表!$E:$E,$B137,領用表!$B:$B,V$2&amp;$P$1)</f>
        <v/>
      </c>
      <c r="W137" s="142">
        <f>SUMIFS(領用表!$L:$L,領用表!$E:$E,$B137,領用表!$B:$B,W$2&amp;$P$1)</f>
        <v/>
      </c>
      <c r="X137" s="142">
        <f>SUMIFS(領用表!$L:$L,領用表!$E:$E,$B137,領用表!$B:$B,X$2&amp;$P$1)</f>
        <v/>
      </c>
      <c r="Y137" s="142">
        <f>SUMIFS(領用表!$L:$L,領用表!$E:$E,$B137,領用表!$B:$B,Y$2&amp;$P$1)</f>
        <v/>
      </c>
      <c r="Z137" s="142">
        <f>SUMIFS(領用表!$L:$L,領用表!$E:$E,$B137,領用表!$B:$B,Z$2&amp;$P$1)</f>
        <v/>
      </c>
      <c r="AA137" s="142">
        <f>SUMIFS(領用表!$L:$L,領用表!$E:$E,$B137,領用表!$B:$B,AA$2&amp;$P$1)</f>
        <v/>
      </c>
      <c r="AB137" s="142">
        <f>SUM(P137,Q137,R137,S137,T137,U137)</f>
        <v/>
      </c>
      <c r="AC137" s="142">
        <f>AVERAGE(P137,Q137,R137,S137,T137,U137)</f>
        <v/>
      </c>
      <c r="AD137" s="142">
        <f>SUMIF(Summary!B:B,B137,Summary!EB:EB)</f>
        <v/>
      </c>
      <c r="AE137" s="109" t="n"/>
      <c r="AF137" s="65" t="n"/>
      <c r="AG137" s="76" t="inlineStr">
        <is>
          <t>4000(10/22)</t>
        </is>
      </c>
      <c r="AH137" s="76" t="n"/>
      <c r="AI137" s="14" t="n"/>
      <c r="AJ137" s="14" t="n"/>
      <c r="AK137" s="14" t="n"/>
      <c r="AL137" s="14" t="n"/>
    </row>
    <row r="138" ht="15.75" customHeight="1" s="453">
      <c r="A138" s="27" t="inlineStr">
        <is>
          <t>DN1AA050029T</t>
        </is>
      </c>
      <c r="B138" s="14" t="n">
        <v>1050001</v>
      </c>
      <c r="C138" s="136" t="inlineStr">
        <is>
          <t>優菌防護精華安瓶 6ml(10入)</t>
        </is>
      </c>
      <c r="D138" s="77" t="n"/>
      <c r="E138" s="17" t="inlineStr">
        <is>
          <t>PCS</t>
        </is>
      </c>
      <c r="F138" s="70" t="n"/>
      <c r="G138" s="18" t="n"/>
      <c r="H138" s="20">
        <f>SUMIFS(領用表!$L:$L,領用表!$E:$E,$B138,領用表!$B:$B,H$2&amp;$P$1)</f>
        <v/>
      </c>
      <c r="I138" s="20">
        <f>SUMIFS(領用表!$L:$L,領用表!$E:$E,$B138,領用表!$B:$B,I$2&amp;$P$1)</f>
        <v/>
      </c>
      <c r="J138" s="20">
        <f>SUMIFS(領用表!$L:$L,領用表!$E:$E,$B138,領用表!$B:$B,J$2&amp;$P$1)</f>
        <v/>
      </c>
      <c r="K138" s="142">
        <f>SUMIFS(領用表!$L:$L,領用表!$E:$E,$B138,領用表!$B:$B,K$2&amp;$P$1)</f>
        <v/>
      </c>
      <c r="L138" s="142">
        <f>SUMIFS(領用表!$L:$L,領用表!$E:$E,$B138,領用表!$B:$B,L$2&amp;$P$1)</f>
        <v/>
      </c>
      <c r="M138" s="142">
        <f>SUMIFS(領用表!$L:$L,領用表!$E:$E,$B138,領用表!$B:$B,M$2&amp;$P$1)</f>
        <v/>
      </c>
      <c r="N138" s="23">
        <f>SUM(,H138,I138,J138,K138,L138,M138)</f>
        <v/>
      </c>
      <c r="O138" s="23">
        <f>AVERAGE(,H138,I138,J138,K138,L138,M138)</f>
        <v/>
      </c>
      <c r="P138" s="142">
        <f>SUMIFS(領用表!$L:$L,領用表!$E:$E,$B138,領用表!$B:$B,P$2&amp;$P$1)</f>
        <v/>
      </c>
      <c r="Q138" s="142">
        <f>SUMIFS(領用表!$L:$L,領用表!$E:$E,$B138,領用表!$B:$B,Q$2&amp;$P$1)</f>
        <v/>
      </c>
      <c r="R138" s="142">
        <f>SUMIFS(領用表!$L:$L,領用表!$E:$E,$B138,領用表!$B:$B,R$2&amp;$P$1)</f>
        <v/>
      </c>
      <c r="S138" s="142">
        <f>SUMIFS(領用表!$L:$L,領用表!$E:$E,$B138,領用表!$B:$B,S$2&amp;$P$1)</f>
        <v/>
      </c>
      <c r="T138" s="142">
        <f>SUMIFS(領用表!$L:$L,領用表!$E:$E,$B138,領用表!$B:$B,T$2&amp;$P$1)</f>
        <v/>
      </c>
      <c r="U138" s="142" t="n"/>
      <c r="V138" s="142">
        <f>SUMIFS(領用表!$L:$L,領用表!$E:$E,$B138,領用表!$B:$B,V$2&amp;$P$1)</f>
        <v/>
      </c>
      <c r="W138" s="142">
        <f>SUMIFS(領用表!$L:$L,領用表!$E:$E,$B138,領用表!$B:$B,W$2&amp;$P$1)</f>
        <v/>
      </c>
      <c r="X138" s="142">
        <f>SUMIFS(領用表!$L:$L,領用表!$E:$E,$B138,領用表!$B:$B,X$2&amp;$P$1)</f>
        <v/>
      </c>
      <c r="Y138" s="142">
        <f>SUMIFS(領用表!$L:$L,領用表!$E:$E,$B138,領用表!$B:$B,Y$2&amp;$P$1)</f>
        <v/>
      </c>
      <c r="Z138" s="142">
        <f>SUMIFS(領用表!$L:$L,領用表!$E:$E,$B138,領用表!$B:$B,Z$2&amp;$P$1)</f>
        <v/>
      </c>
      <c r="AA138" s="142">
        <f>SUMIFS(領用表!$L:$L,領用表!$E:$E,$B138,領用表!$B:$B,AA$2&amp;$P$1)</f>
        <v/>
      </c>
      <c r="AB138" s="142">
        <f>SUM(P138,Q138,R138,S138,T138,U138)</f>
        <v/>
      </c>
      <c r="AC138" s="142">
        <f>AVERAGE(P138,Q138,R138,S138,T138,U138)</f>
        <v/>
      </c>
      <c r="AD138" s="142">
        <f>SUMIF(Summary!B:B,B138,Summary!EB:EB)</f>
        <v/>
      </c>
      <c r="AE138" s="109" t="n">
        <v>10</v>
      </c>
      <c r="AF138" s="65" t="n"/>
      <c r="AG138" s="76" t="n"/>
      <c r="AH138" s="76" t="n"/>
      <c r="AI138" s="27" t="n"/>
      <c r="AJ138" s="27" t="n"/>
      <c r="AK138" s="14" t="n"/>
      <c r="AL138" s="14" t="n"/>
    </row>
    <row r="139" ht="15.75" customHeight="1" s="453">
      <c r="A139" s="27" t="inlineStr">
        <is>
          <t>DN1AA050030T</t>
        </is>
      </c>
      <c r="B139" s="14" t="n">
        <v>1050002</v>
      </c>
      <c r="C139" s="136" t="inlineStr">
        <is>
          <t>優菌防護安瓶精華 6ml</t>
        </is>
      </c>
      <c r="D139" s="77" t="n"/>
      <c r="E139" s="17" t="inlineStr">
        <is>
          <t>PCS</t>
        </is>
      </c>
      <c r="F139" s="70" t="n"/>
      <c r="G139" s="18" t="n"/>
      <c r="H139" s="20">
        <f>SUMIFS(領用表!$L:$L,領用表!$E:$E,$B139,領用表!$B:$B,H$2&amp;$P$1)</f>
        <v/>
      </c>
      <c r="I139" s="20">
        <f>SUMIFS(領用表!$L:$L,領用表!$E:$E,$B139,領用表!$B:$B,I$2&amp;$P$1)</f>
        <v/>
      </c>
      <c r="J139" s="20">
        <f>SUMIFS(領用表!$L:$L,領用表!$E:$E,$B139,領用表!$B:$B,J$2&amp;$P$1)</f>
        <v/>
      </c>
      <c r="K139" s="142">
        <f>SUMIFS(領用表!$L:$L,領用表!$E:$E,$B139,領用表!$B:$B,K$2&amp;$P$1)</f>
        <v/>
      </c>
      <c r="L139" s="142">
        <f>SUMIFS(領用表!$L:$L,領用表!$E:$E,$B139,領用表!$B:$B,L$2&amp;$P$1)</f>
        <v/>
      </c>
      <c r="M139" s="142">
        <f>SUMIFS(領用表!$L:$L,領用表!$E:$E,$B139,領用表!$B:$B,M$2&amp;$P$1)</f>
        <v/>
      </c>
      <c r="N139" s="23">
        <f>SUM(,H139,I139,J139,K139,L139,M139)</f>
        <v/>
      </c>
      <c r="O139" s="23">
        <f>AVERAGE(,H139,I139,J139,K139,L139,M139)</f>
        <v/>
      </c>
      <c r="P139" s="142">
        <f>SUMIFS(領用表!$L:$L,領用表!$E:$E,$B139,領用表!$B:$B,P$2&amp;$P$1)</f>
        <v/>
      </c>
      <c r="Q139" s="142">
        <f>SUMIFS(領用表!$L:$L,領用表!$E:$E,$B139,領用表!$B:$B,Q$2&amp;$P$1)</f>
        <v/>
      </c>
      <c r="R139" s="142">
        <f>SUMIFS(領用表!$L:$L,領用表!$E:$E,$B139,領用表!$B:$B,R$2&amp;$P$1)</f>
        <v/>
      </c>
      <c r="S139" s="142">
        <f>SUMIFS(領用表!$L:$L,領用表!$E:$E,$B139,領用表!$B:$B,S$2&amp;$P$1)</f>
        <v/>
      </c>
      <c r="T139" s="142">
        <f>SUMIFS(領用表!$L:$L,領用表!$E:$E,$B139,領用表!$B:$B,T$2&amp;$P$1)</f>
        <v/>
      </c>
      <c r="U139" s="142" t="n"/>
      <c r="V139" s="142">
        <f>SUMIFS(領用表!$L:$L,領用表!$E:$E,$B139,領用表!$B:$B,V$2&amp;$P$1)</f>
        <v/>
      </c>
      <c r="W139" s="142">
        <f>SUMIFS(領用表!$L:$L,領用表!$E:$E,$B139,領用表!$B:$B,W$2&amp;$P$1)</f>
        <v/>
      </c>
      <c r="X139" s="142">
        <f>SUMIFS(領用表!$L:$L,領用表!$E:$E,$B139,領用表!$B:$B,X$2&amp;$P$1)</f>
        <v/>
      </c>
      <c r="Y139" s="142">
        <f>SUMIFS(領用表!$L:$L,領用表!$E:$E,$B139,領用表!$B:$B,Y$2&amp;$P$1)</f>
        <v/>
      </c>
      <c r="Z139" s="142">
        <f>SUMIFS(領用表!$L:$L,領用表!$E:$E,$B139,領用表!$B:$B,Z$2&amp;$P$1)</f>
        <v/>
      </c>
      <c r="AA139" s="142">
        <f>SUMIFS(領用表!$L:$L,領用表!$E:$E,$B139,領用表!$B:$B,AA$2&amp;$P$1)</f>
        <v/>
      </c>
      <c r="AB139" s="142">
        <f>SUM(P139,Q139,R139,S139,T139,U139)</f>
        <v/>
      </c>
      <c r="AC139" s="142">
        <f>AVERAGE(P139,Q139,R139,S139,T139,U139)</f>
        <v/>
      </c>
      <c r="AD139" s="142">
        <f>SUMIF(Summary!B:B,B139,Summary!EB:EB)</f>
        <v/>
      </c>
      <c r="AE139" s="109" t="n">
        <v>0</v>
      </c>
      <c r="AF139" s="65" t="n"/>
      <c r="AG139" s="76" t="n"/>
      <c r="AH139" s="76" t="n"/>
      <c r="AI139" s="27" t="n"/>
      <c r="AJ139" s="27" t="n"/>
      <c r="AK139" s="14" t="n"/>
      <c r="AL139" s="14" t="n"/>
    </row>
    <row r="140" hidden="1" ht="15.75" customHeight="1" s="453">
      <c r="A140" s="27" t="inlineStr">
        <is>
          <t>DN1AA050041T</t>
        </is>
      </c>
      <c r="B140" s="14" t="n">
        <v>1050003</v>
      </c>
      <c r="C140" s="136" t="inlineStr">
        <is>
          <t>冰原天神草彈力超導精華 6mL(玫瑰金)</t>
        </is>
      </c>
      <c r="D140" s="77" t="n"/>
      <c r="E140" s="17" t="inlineStr">
        <is>
          <t>PCS</t>
        </is>
      </c>
      <c r="F140" s="70" t="n"/>
      <c r="G140" s="18" t="n"/>
      <c r="H140" s="20">
        <f>SUMIFS(領用表!$L:$L,領用表!$E:$E,$B140,領用表!$B:$B,H$2&amp;$P$1)</f>
        <v/>
      </c>
      <c r="I140" s="20">
        <f>SUMIFS(領用表!$L:$L,領用表!$E:$E,$B140,領用表!$B:$B,I$2&amp;$P$1)</f>
        <v/>
      </c>
      <c r="J140" s="20">
        <f>SUMIFS(領用表!$L:$L,領用表!$E:$E,$B140,領用表!$B:$B,J$2&amp;$P$1)</f>
        <v/>
      </c>
      <c r="K140" s="142">
        <f>SUMIFS(領用表!$L:$L,領用表!$E:$E,$B140,領用表!$B:$B,K$2&amp;$P$1)</f>
        <v/>
      </c>
      <c r="L140" s="142">
        <f>SUMIFS(領用表!$L:$L,領用表!$E:$E,$B140,領用表!$B:$B,L$2&amp;$P$1)</f>
        <v/>
      </c>
      <c r="M140" s="142">
        <f>SUMIFS(領用表!$L:$L,領用表!$E:$E,$B140,領用表!$B:$B,M$2&amp;$P$1)</f>
        <v/>
      </c>
      <c r="N140" s="23">
        <f>SUM(,H140,I140,J140,K140,L140,M140)</f>
        <v/>
      </c>
      <c r="O140" s="23">
        <f>AVERAGE(,H140,I140,J140,K140,L140,M140)</f>
        <v/>
      </c>
      <c r="P140" s="142">
        <f>SUMIFS(領用表!$L:$L,領用表!$E:$E,$B140,領用表!$B:$B,P$2&amp;$P$1)</f>
        <v/>
      </c>
      <c r="Q140" s="142">
        <f>SUMIFS(領用表!$L:$L,領用表!$E:$E,$B140,領用表!$B:$B,Q$2&amp;$P$1)</f>
        <v/>
      </c>
      <c r="R140" s="142">
        <f>SUMIFS(領用表!$L:$L,領用表!$E:$E,$B140,領用表!$B:$B,R$2&amp;$P$1)</f>
        <v/>
      </c>
      <c r="S140" s="142">
        <f>SUMIFS(領用表!$L:$L,領用表!$E:$E,$B140,領用表!$B:$B,S$2&amp;$P$1)</f>
        <v/>
      </c>
      <c r="T140" s="142">
        <f>SUMIFS(領用表!$L:$L,領用表!$E:$E,$B140,領用表!$B:$B,T$2&amp;$P$1)</f>
        <v/>
      </c>
      <c r="U140" s="142" t="n"/>
      <c r="V140" s="142">
        <f>SUMIFS(領用表!$L:$L,領用表!$E:$E,$B140,領用表!$B:$B,V$2&amp;$P$1)</f>
        <v/>
      </c>
      <c r="W140" s="142">
        <f>SUMIFS(領用表!$L:$L,領用表!$E:$E,$B140,領用表!$B:$B,W$2&amp;$P$1)</f>
        <v/>
      </c>
      <c r="X140" s="142">
        <f>SUMIFS(領用表!$L:$L,領用表!$E:$E,$B140,領用表!$B:$B,X$2&amp;$P$1)</f>
        <v/>
      </c>
      <c r="Y140" s="142">
        <f>SUMIFS(領用表!$L:$L,領用表!$E:$E,$B140,領用表!$B:$B,Y$2&amp;$P$1)</f>
        <v/>
      </c>
      <c r="Z140" s="142">
        <f>SUMIFS(領用表!$L:$L,領用表!$E:$E,$B140,領用表!$B:$B,Z$2&amp;$P$1)</f>
        <v/>
      </c>
      <c r="AA140" s="142">
        <f>SUMIFS(領用表!$L:$L,領用表!$E:$E,$B140,領用表!$B:$B,AA$2&amp;$P$1)</f>
        <v/>
      </c>
      <c r="AB140" s="142">
        <f>SUM(P140,Q140,R140,S140,T140,U140)</f>
        <v/>
      </c>
      <c r="AC140" s="142">
        <f>AVERAGE(P140,Q140,R140,S140,T140,U140)</f>
        <v/>
      </c>
      <c r="AD140" s="142">
        <f>SUMIF(Summary!B:B,B140,Summary!EB:EB)</f>
        <v/>
      </c>
      <c r="AE140" s="109" t="n"/>
      <c r="AF140" s="65" t="n"/>
      <c r="AG140" s="76" t="n"/>
      <c r="AH140" s="76" t="n"/>
      <c r="AI140" s="27" t="n"/>
      <c r="AJ140" s="27" t="n"/>
      <c r="AK140" s="14" t="n"/>
      <c r="AL140" s="14" t="n"/>
    </row>
    <row r="141" ht="15" customHeight="1" s="453">
      <c r="A141" s="27" t="inlineStr">
        <is>
          <t>DL1AA050016T</t>
        </is>
      </c>
      <c r="B141" s="14" t="n">
        <v>6050008</v>
      </c>
      <c r="C141" s="136" t="inlineStr">
        <is>
          <t>花神臻秘玫瑰舒膚安瓶 6ml(含紙套)</t>
        </is>
      </c>
      <c r="D141" s="77" t="n"/>
      <c r="E141" s="17" t="inlineStr">
        <is>
          <t>PCS</t>
        </is>
      </c>
      <c r="F141" s="70" t="n"/>
      <c r="G141" s="18" t="n"/>
      <c r="H141" s="20">
        <f>SUMIFS(領用表!$L:$L,領用表!$E:$E,$B141,領用表!$B:$B,H$2&amp;$P$1)</f>
        <v/>
      </c>
      <c r="I141" s="20">
        <f>SUMIFS(領用表!$L:$L,領用表!$E:$E,$B141,領用表!$B:$B,I$2&amp;$P$1)</f>
        <v/>
      </c>
      <c r="J141" s="20">
        <f>SUMIFS(領用表!$L:$L,領用表!$E:$E,$B141,領用表!$B:$B,J$2&amp;$P$1)</f>
        <v/>
      </c>
      <c r="K141" s="142">
        <f>SUMIFS(領用表!$L:$L,領用表!$E:$E,$B141,領用表!$B:$B,K$2&amp;$P$1)</f>
        <v/>
      </c>
      <c r="L141" s="142">
        <f>SUMIFS(領用表!$L:$L,領用表!$E:$E,$B141,領用表!$B:$B,L$2&amp;$P$1)</f>
        <v/>
      </c>
      <c r="M141" s="142">
        <f>SUMIFS(領用表!$L:$L,領用表!$E:$E,$B141,領用表!$B:$B,M$2&amp;$P$1)</f>
        <v/>
      </c>
      <c r="N141" s="23">
        <f>SUM(,H141,I141,J141,K141,L141,M141)</f>
        <v/>
      </c>
      <c r="O141" s="23">
        <f>AVERAGE(,H141,I141,J141,K141,L141,M141)</f>
        <v/>
      </c>
      <c r="P141" s="142">
        <f>SUMIFS(領用表!$L:$L,領用表!$E:$E,$B141,領用表!$B:$B,P$2&amp;$P$1)</f>
        <v/>
      </c>
      <c r="Q141" s="142">
        <f>SUMIFS(領用表!$L:$L,領用表!$E:$E,$B141,領用表!$B:$B,Q$2&amp;$P$1)</f>
        <v/>
      </c>
      <c r="R141" s="142">
        <f>SUMIFS(領用表!$L:$L,領用表!$E:$E,$B141,領用表!$B:$B,R$2&amp;$P$1)</f>
        <v/>
      </c>
      <c r="S141" s="142">
        <f>SUMIFS(領用表!$L:$L,領用表!$E:$E,$B141,領用表!$B:$B,S$2&amp;$P$1)</f>
        <v/>
      </c>
      <c r="T141" s="142">
        <f>SUMIFS(領用表!$L:$L,領用表!$E:$E,$B141,領用表!$B:$B,T$2&amp;$P$1)</f>
        <v/>
      </c>
      <c r="U141" s="142" t="n"/>
      <c r="V141" s="142">
        <f>SUMIFS(領用表!$L:$L,領用表!$E:$E,$B141,領用表!$B:$B,V$2&amp;$P$1)</f>
        <v/>
      </c>
      <c r="W141" s="142">
        <f>SUMIFS(領用表!$L:$L,領用表!$E:$E,$B141,領用表!$B:$B,W$2&amp;$P$1)</f>
        <v/>
      </c>
      <c r="X141" s="142">
        <f>SUMIFS(領用表!$L:$L,領用表!$E:$E,$B141,領用表!$B:$B,X$2&amp;$P$1)</f>
        <v/>
      </c>
      <c r="Y141" s="142">
        <f>SUMIFS(領用表!$L:$L,領用表!$E:$E,$B141,領用表!$B:$B,Y$2&amp;$P$1)</f>
        <v/>
      </c>
      <c r="Z141" s="142">
        <f>SUMIFS(領用表!$L:$L,領用表!$E:$E,$B141,領用表!$B:$B,Z$2&amp;$P$1)</f>
        <v/>
      </c>
      <c r="AA141" s="142">
        <f>SUMIFS(領用表!$L:$L,領用表!$E:$E,$B141,領用表!$B:$B,AA$2&amp;$P$1)</f>
        <v/>
      </c>
      <c r="AB141" s="142">
        <f>SUM(P141,Q141,R141,S141,T141,U141)</f>
        <v/>
      </c>
      <c r="AC141" s="142">
        <f>AVERAGE(P141,Q141,R141,S141,T141,U141)</f>
        <v/>
      </c>
      <c r="AD141" s="142">
        <f>SUMIF(Summary!B:B,B141,Summary!EB:EB)</f>
        <v/>
      </c>
      <c r="AE141" s="109" t="n">
        <v>0</v>
      </c>
      <c r="AF141" s="65" t="n"/>
      <c r="AG141" s="76" t="n"/>
      <c r="AH141" s="76" t="inlineStr">
        <is>
          <t>288(10/22)</t>
        </is>
      </c>
      <c r="AI141" s="27" t="n"/>
      <c r="AJ141" s="27" t="n"/>
      <c r="AK141" s="14" t="n"/>
      <c r="AL141" s="14" t="n"/>
    </row>
    <row r="142" ht="15" customHeight="1" s="453">
      <c r="A142" s="27" t="inlineStr">
        <is>
          <t>DN1AA060002T</t>
        </is>
      </c>
      <c r="B142" s="14" t="n">
        <v>1060001</v>
      </c>
      <c r="C142" s="136" t="inlineStr">
        <is>
          <t>金采賦活保濕精華霜 100ml</t>
        </is>
      </c>
      <c r="D142" s="77" t="n"/>
      <c r="E142" s="17" t="inlineStr">
        <is>
          <t>PCS</t>
        </is>
      </c>
      <c r="F142" s="70" t="n"/>
      <c r="G142" s="18" t="n"/>
      <c r="H142" s="20">
        <f>SUMIFS(領用表!$L:$L,領用表!$E:$E,$B142,領用表!$B:$B,H$2&amp;$P$1)</f>
        <v/>
      </c>
      <c r="I142" s="20">
        <f>SUMIFS(領用表!$L:$L,領用表!$E:$E,$B142,領用表!$B:$B,I$2&amp;$P$1)</f>
        <v/>
      </c>
      <c r="J142" s="20">
        <f>SUMIFS(領用表!$L:$L,領用表!$E:$E,$B142,領用表!$B:$B,J$2&amp;$P$1)</f>
        <v/>
      </c>
      <c r="K142" s="142">
        <f>SUMIFS(領用表!$L:$L,領用表!$E:$E,$B142,領用表!$B:$B,K$2&amp;$P$1)</f>
        <v/>
      </c>
      <c r="L142" s="142">
        <f>SUMIFS(領用表!$L:$L,領用表!$E:$E,$B142,領用表!$B:$B,L$2&amp;$P$1)</f>
        <v/>
      </c>
      <c r="M142" s="142">
        <f>SUMIFS(領用表!$L:$L,領用表!$E:$E,$B142,領用表!$B:$B,M$2&amp;$P$1)</f>
        <v/>
      </c>
      <c r="N142" s="23">
        <f>SUM(,H142,I142,J142,K142,L142,M142)</f>
        <v/>
      </c>
      <c r="O142" s="23">
        <f>AVERAGE(,H142,I142,J142,K142,L142,M142)</f>
        <v/>
      </c>
      <c r="P142" s="142">
        <f>SUMIFS(領用表!$L:$L,領用表!$E:$E,$B142,領用表!$B:$B,P$2&amp;$P$1)</f>
        <v/>
      </c>
      <c r="Q142" s="142">
        <f>SUMIFS(領用表!$L:$L,領用表!$E:$E,$B142,領用表!$B:$B,Q$2&amp;$P$1)</f>
        <v/>
      </c>
      <c r="R142" s="142">
        <f>SUMIFS(領用表!$L:$L,領用表!$E:$E,$B142,領用表!$B:$B,R$2&amp;$P$1)</f>
        <v/>
      </c>
      <c r="S142" s="142">
        <f>SUMIFS(領用表!$L:$L,領用表!$E:$E,$B142,領用表!$B:$B,S$2&amp;$P$1)</f>
        <v/>
      </c>
      <c r="T142" s="142">
        <f>SUMIFS(領用表!$L:$L,領用表!$E:$E,$B142,領用表!$B:$B,T$2&amp;$P$1)</f>
        <v/>
      </c>
      <c r="U142" s="142" t="n"/>
      <c r="V142" s="142">
        <f>SUMIFS(領用表!$L:$L,領用表!$E:$E,$B142,領用表!$B:$B,V$2&amp;$P$1)</f>
        <v/>
      </c>
      <c r="W142" s="142">
        <f>SUMIFS(領用表!$L:$L,領用表!$E:$E,$B142,領用表!$B:$B,W$2&amp;$P$1)</f>
        <v/>
      </c>
      <c r="X142" s="142">
        <f>SUMIFS(領用表!$L:$L,領用表!$E:$E,$B142,領用表!$B:$B,X$2&amp;$P$1)</f>
        <v/>
      </c>
      <c r="Y142" s="142">
        <f>SUMIFS(領用表!$L:$L,領用表!$E:$E,$B142,領用表!$B:$B,Y$2&amp;$P$1)</f>
        <v/>
      </c>
      <c r="Z142" s="142">
        <f>SUMIFS(領用表!$L:$L,領用表!$E:$E,$B142,領用表!$B:$B,Z$2&amp;$P$1)</f>
        <v/>
      </c>
      <c r="AA142" s="142">
        <f>SUMIFS(領用表!$L:$L,領用表!$E:$E,$B142,領用表!$B:$B,AA$2&amp;$P$1)</f>
        <v/>
      </c>
      <c r="AB142" s="142">
        <f>SUM(P142,Q142,R142,S142,T142,U142)</f>
        <v/>
      </c>
      <c r="AC142" s="142">
        <f>AVERAGE(P142,Q142,R142,S142,T142,U142)</f>
        <v/>
      </c>
      <c r="AD142" s="142">
        <f>SUMIF(Summary!B:B,B142,Summary!EB:EB)</f>
        <v/>
      </c>
      <c r="AE142" s="109" t="n">
        <v>10</v>
      </c>
      <c r="AF142" s="65" t="n"/>
      <c r="AG142" s="76" t="n"/>
      <c r="AH142" s="76" t="n"/>
      <c r="AI142" s="27" t="n"/>
      <c r="AJ142" s="27" t="n"/>
      <c r="AK142" s="14" t="n"/>
      <c r="AL142" s="14" t="n"/>
    </row>
    <row r="143" ht="15" customHeight="1" s="453">
      <c r="A143" s="27" t="inlineStr">
        <is>
          <t>DN1AA060004T</t>
        </is>
      </c>
      <c r="B143" s="14" t="n">
        <v>6070002</v>
      </c>
      <c r="C143" s="136" t="inlineStr">
        <is>
          <t>金采賦活保濕精華霜 30ml</t>
        </is>
      </c>
      <c r="D143" s="77" t="n"/>
      <c r="E143" s="17" t="inlineStr">
        <is>
          <t>PCS</t>
        </is>
      </c>
      <c r="F143" s="70" t="n"/>
      <c r="G143" s="18" t="n"/>
      <c r="H143" s="20">
        <f>SUMIFS(領用表!$L:$L,領用表!$E:$E,$B143,領用表!$B:$B,H$2&amp;$P$1)</f>
        <v/>
      </c>
      <c r="I143" s="20">
        <f>SUMIFS(領用表!$L:$L,領用表!$E:$E,$B143,領用表!$B:$B,I$2&amp;$P$1)</f>
        <v/>
      </c>
      <c r="J143" s="20">
        <f>SUMIFS(領用表!$L:$L,領用表!$E:$E,$B143,領用表!$B:$B,J$2&amp;$P$1)</f>
        <v/>
      </c>
      <c r="K143" s="142">
        <f>SUMIFS(領用表!$L:$L,領用表!$E:$E,$B143,領用表!$B:$B,K$2&amp;$P$1)</f>
        <v/>
      </c>
      <c r="L143" s="142">
        <f>SUMIFS(領用表!$L:$L,領用表!$E:$E,$B143,領用表!$B:$B,L$2&amp;$P$1)</f>
        <v/>
      </c>
      <c r="M143" s="142">
        <f>SUMIFS(領用表!$L:$L,領用表!$E:$E,$B143,領用表!$B:$B,M$2&amp;$P$1)</f>
        <v/>
      </c>
      <c r="N143" s="23">
        <f>SUM(,H143,I143,J143,K143,L143,M143)</f>
        <v/>
      </c>
      <c r="O143" s="23">
        <f>AVERAGE(,H143,I143,J143,K143,L143,M143)</f>
        <v/>
      </c>
      <c r="P143" s="142">
        <f>SUMIFS(領用表!$L:$L,領用表!$E:$E,$B143,領用表!$B:$B,P$2&amp;$P$1)</f>
        <v/>
      </c>
      <c r="Q143" s="405">
        <f>SUMIFS(領用表!$L:$L,領用表!$E:$E,$B143,領用表!$B:$B,Q$2&amp;$P$1)</f>
        <v/>
      </c>
      <c r="R143" s="405">
        <f>SUMIFS(領用表!$L:$L,領用表!$E:$E,$B143,領用表!$B:$B,R$2&amp;$P$1)</f>
        <v/>
      </c>
      <c r="S143" s="405">
        <f>SUMIFS(領用表!$L:$L,領用表!$E:$E,$B143,領用表!$B:$B,S$2&amp;$P$1)</f>
        <v/>
      </c>
      <c r="T143" s="405">
        <f>SUMIFS(領用表!$L:$L,領用表!$E:$E,$B143,領用表!$B:$B,T$2&amp;$P$1)</f>
        <v/>
      </c>
      <c r="U143" s="405" t="n"/>
      <c r="V143" s="405">
        <f>SUMIFS(領用表!$L:$L,領用表!$E:$E,$B143,領用表!$B:$B,V$2&amp;$P$1)</f>
        <v/>
      </c>
      <c r="W143" s="405">
        <f>SUMIFS(領用表!$L:$L,領用表!$E:$E,$B143,領用表!$B:$B,W$2&amp;$P$1)</f>
        <v/>
      </c>
      <c r="X143" s="405">
        <f>SUMIFS(領用表!$L:$L,領用表!$E:$E,$B143,領用表!$B:$B,X$2&amp;$P$1)</f>
        <v/>
      </c>
      <c r="Y143" s="405">
        <f>SUMIFS(領用表!$L:$L,領用表!$E:$E,$B143,領用表!$B:$B,Y$2&amp;$P$1)</f>
        <v/>
      </c>
      <c r="Z143" s="405">
        <f>SUMIFS(領用表!$L:$L,領用表!$E:$E,$B143,領用表!$B:$B,Z$2&amp;$P$1)</f>
        <v/>
      </c>
      <c r="AA143" s="405">
        <f>SUMIFS(領用表!$L:$L,領用表!$E:$E,$B143,領用表!$B:$B,AA$2&amp;$P$1)</f>
        <v/>
      </c>
      <c r="AB143" s="405">
        <f>SUM(P143,Q143,R143,S143,T143,U143)</f>
        <v/>
      </c>
      <c r="AC143" s="405">
        <f>AVERAGE(P143,Q143,R143,S143,T143,U143)</f>
        <v/>
      </c>
      <c r="AD143" s="405">
        <f>SUMIF(Summary!B:B,B143,Summary!EB:EB)</f>
        <v/>
      </c>
      <c r="AE143" s="111" t="n">
        <v>15</v>
      </c>
      <c r="AF143" s="80" t="n"/>
      <c r="AG143" s="76" t="n"/>
      <c r="AH143" s="76" t="n"/>
      <c r="AI143" s="27" t="n"/>
      <c r="AJ143" s="27" t="n"/>
      <c r="AK143" s="14" t="n"/>
      <c r="AL143" s="14" t="n"/>
    </row>
    <row r="144" ht="15" customHeight="1" s="453">
      <c r="A144" s="27" t="inlineStr">
        <is>
          <t>DE1AA050039T</t>
        </is>
      </c>
      <c r="B144" s="14" t="e">
        <v>#N/A</v>
      </c>
      <c r="C144" s="136" t="inlineStr">
        <is>
          <t>緊緻新生彈力精華 10ml</t>
        </is>
      </c>
      <c r="D144" s="77" t="n"/>
      <c r="E144" s="17" t="inlineStr">
        <is>
          <t>PCS</t>
        </is>
      </c>
      <c r="F144" s="70" t="n"/>
      <c r="G144" s="18" t="n">
        <v>3769</v>
      </c>
      <c r="H144" s="20">
        <f>SUMIFS(領用表!$L:$L,領用表!$E:$E,$B144,領用表!$B:$B,H$2&amp;$P$1)</f>
        <v/>
      </c>
      <c r="I144" s="20">
        <f>SUMIFS(領用表!$L:$L,領用表!$E:$E,$B144,領用表!$B:$B,I$2&amp;$P$1)</f>
        <v/>
      </c>
      <c r="J144" s="20">
        <f>SUMIFS(領用表!$L:$L,領用表!$E:$E,$B144,領用表!$B:$B,J$2&amp;$P$1)</f>
        <v/>
      </c>
      <c r="K144" s="142">
        <f>SUMIFS(領用表!$L:$L,領用表!$E:$E,$B144,領用表!$B:$B,K$2&amp;$P$1)</f>
        <v/>
      </c>
      <c r="L144" s="142">
        <f>SUMIFS(領用表!$L:$L,領用表!$E:$E,$B144,領用表!$B:$B,L$2&amp;$P$1)</f>
        <v/>
      </c>
      <c r="M144" s="142">
        <f>SUMIFS(領用表!$L:$L,領用表!$E:$E,$B144,領用表!$B:$B,M$2&amp;$P$1)</f>
        <v/>
      </c>
      <c r="N144" s="23">
        <f>SUM(,H144,I144,J144,K144,L144,M144)</f>
        <v/>
      </c>
      <c r="O144" s="23">
        <f>AVERAGE(,H144,I144,J144,K144,L144,M144)</f>
        <v/>
      </c>
      <c r="P144" s="142">
        <f>SUMIFS(領用表!$L:$L,領用表!$E:$E,$B144,領用表!$B:$B,P$2&amp;$P$1)</f>
        <v/>
      </c>
      <c r="Q144" s="405">
        <f>SUMIFS(領用表!$L:$L,領用表!$E:$E,$B144,領用表!$B:$B,Q$2&amp;$P$1)</f>
        <v/>
      </c>
      <c r="R144" s="405">
        <f>SUMIFS(領用表!$L:$L,領用表!$E:$E,$B144,領用表!$B:$B,R$2&amp;$P$1)</f>
        <v/>
      </c>
      <c r="S144" s="405">
        <f>SUMIFS(領用表!$L:$L,領用表!$E:$E,$B144,領用表!$B:$B,S$2&amp;$P$1)</f>
        <v/>
      </c>
      <c r="T144" s="405">
        <f>SUMIFS(領用表!$L:$L,領用表!$E:$E,$B144,領用表!$B:$B,T$2&amp;$P$1)</f>
        <v/>
      </c>
      <c r="U144" s="405">
        <f>SUMIFS(領用表!$L:$L,領用表!$E:$E,$B144,領用表!$B:$B,U$2&amp;$P$1)</f>
        <v/>
      </c>
      <c r="V144" s="405">
        <f>SUMIFS(領用表!$L:$L,領用表!$E:$E,$B144,領用表!$B:$B,V$2&amp;$P$1)</f>
        <v/>
      </c>
      <c r="W144" s="405">
        <f>SUMIFS(領用表!$L:$L,領用表!$E:$E,$B144,領用表!$B:$B,W$2&amp;$P$1)</f>
        <v/>
      </c>
      <c r="X144" s="405">
        <f>SUMIFS(領用表!$L:$L,領用表!$E:$E,$B144,領用表!$B:$B,X$2&amp;$P$1)</f>
        <v/>
      </c>
      <c r="Y144" s="405">
        <f>SUMIFS(領用表!$L:$L,領用表!$E:$E,$B144,領用表!$B:$B,Y$2&amp;$P$1)</f>
        <v/>
      </c>
      <c r="Z144" s="405">
        <f>SUMIFS(領用表!$L:$L,領用表!$E:$E,$B144,領用表!$B:$B,Z$2&amp;$P$1)</f>
        <v/>
      </c>
      <c r="AA144" s="405">
        <f>SUMIFS(領用表!$L:$L,領用表!$E:$E,$B144,領用表!$B:$B,AA$2&amp;$P$1)</f>
        <v/>
      </c>
      <c r="AB144" s="405">
        <f>SUM(P144,Q144,R144,S144,T144,U144)</f>
        <v/>
      </c>
      <c r="AC144" s="405">
        <f>AVERAGE(P144,Q144,R144,S144,T144,U144)</f>
        <v/>
      </c>
      <c r="AD144" s="405">
        <f>SUMIF(Summary!B:B,B144,Summary!EB:EB)</f>
        <v/>
      </c>
      <c r="AE144" s="112" t="n">
        <v>0</v>
      </c>
      <c r="AF144" s="80" t="n"/>
      <c r="AG144" s="76" t="inlineStr">
        <is>
          <t>576(10/22)</t>
        </is>
      </c>
      <c r="AH144" s="76" t="n"/>
      <c r="AI144" s="27" t="n"/>
      <c r="AJ144" s="27" t="n"/>
      <c r="AK144" s="14" t="n"/>
      <c r="AL144" s="14" t="n"/>
    </row>
    <row r="145" ht="15" customHeight="1" s="453">
      <c r="A145" s="27" t="inlineStr">
        <is>
          <t>DE1AA090014T</t>
        </is>
      </c>
      <c r="B145" s="14" t="e">
        <v>#N/A</v>
      </c>
      <c r="C145" s="136" t="inlineStr">
        <is>
          <t>緊緻抗皺彈力面膜 30mL</t>
        </is>
      </c>
      <c r="D145" s="77" t="n"/>
      <c r="E145" s="17" t="inlineStr">
        <is>
          <t>PCS</t>
        </is>
      </c>
      <c r="F145" s="70" t="n"/>
      <c r="G145" s="18" t="n"/>
      <c r="H145" s="20">
        <f>SUMIFS(領用表!$L:$L,領用表!$E:$E,$B145,領用表!$B:$B,H$2&amp;$P$1)</f>
        <v/>
      </c>
      <c r="I145" s="20">
        <f>SUMIFS(領用表!$L:$L,領用表!$E:$E,$B145,領用表!$B:$B,I$2&amp;$P$1)</f>
        <v/>
      </c>
      <c r="J145" s="20">
        <f>SUMIFS(領用表!$L:$L,領用表!$E:$E,$B145,領用表!$B:$B,J$2&amp;$P$1)</f>
        <v/>
      </c>
      <c r="K145" s="142">
        <f>SUMIFS(領用表!$L:$L,領用表!$E:$E,$B145,領用表!$B:$B,K$2&amp;$P$1)</f>
        <v/>
      </c>
      <c r="L145" s="142">
        <f>SUMIFS(領用表!$L:$L,領用表!$E:$E,$B145,領用表!$B:$B,L$2&amp;$P$1)</f>
        <v/>
      </c>
      <c r="M145" s="142">
        <f>SUMIFS(領用表!$L:$L,領用表!$E:$E,$B145,領用表!$B:$B,M$2&amp;$P$1)</f>
        <v/>
      </c>
      <c r="N145" s="23">
        <f>SUM(,H145,I145,J145,K145,L145,M145)</f>
        <v/>
      </c>
      <c r="O145" s="23">
        <f>AVERAGE(,H145,I145,J145,K145,L145,M145)</f>
        <v/>
      </c>
      <c r="P145" s="142">
        <f>SUMIFS(領用表!$L:$L,領用表!$E:$E,$B145,領用表!$B:$B,P$2&amp;$P$1)</f>
        <v/>
      </c>
      <c r="Q145" s="405">
        <f>SUMIFS(領用表!$L:$L,領用表!$E:$E,$B145,領用表!$B:$B,Q$2&amp;$P$1)</f>
        <v/>
      </c>
      <c r="R145" s="405">
        <f>SUMIFS(領用表!$L:$L,領用表!$E:$E,$B145,領用表!$B:$B,R$2&amp;$P$1)</f>
        <v/>
      </c>
      <c r="S145" s="405">
        <f>SUMIFS(領用表!$L:$L,領用表!$E:$E,$B145,領用表!$B:$B,S$2&amp;$P$1)</f>
        <v/>
      </c>
      <c r="T145" s="405">
        <f>SUMIFS(領用表!$L:$L,領用表!$E:$E,$B145,領用表!$B:$B,T$2&amp;$P$1)</f>
        <v/>
      </c>
      <c r="U145" s="405">
        <f>SUMIFS(領用表!$L:$L,領用表!$E:$E,$B145,領用表!$B:$B,U$2&amp;$P$1)</f>
        <v/>
      </c>
      <c r="V145" s="405">
        <f>SUMIFS(領用表!$L:$L,領用表!$E:$E,$B145,領用表!$B:$B,V$2&amp;$P$1)</f>
        <v/>
      </c>
      <c r="W145" s="405">
        <f>SUMIFS(領用表!$L:$L,領用表!$E:$E,$B145,領用表!$B:$B,W$2&amp;$P$1)</f>
        <v/>
      </c>
      <c r="X145" s="405">
        <f>SUMIFS(領用表!$L:$L,領用表!$E:$E,$B145,領用表!$B:$B,X$2&amp;$P$1)</f>
        <v/>
      </c>
      <c r="Y145" s="405">
        <f>SUMIFS(領用表!$L:$L,領用表!$E:$E,$B145,領用表!$B:$B,Y$2&amp;$P$1)</f>
        <v/>
      </c>
      <c r="Z145" s="405">
        <f>SUMIFS(領用表!$L:$L,領用表!$E:$E,$B145,領用表!$B:$B,Z$2&amp;$P$1)</f>
        <v/>
      </c>
      <c r="AA145" s="405">
        <f>SUMIFS(領用表!$L:$L,領用表!$E:$E,$B145,領用表!$B:$B,AA$2&amp;$P$1)</f>
        <v/>
      </c>
      <c r="AB145" s="405">
        <f>SUM(P145,Q145,R145,S145,T145,U145)</f>
        <v/>
      </c>
      <c r="AC145" s="405">
        <f>AVERAGE(P145,Q145,R145,S145,T145,U145)</f>
        <v/>
      </c>
      <c r="AD145" s="405">
        <f>SUMIF(Summary!B:B,B145,Summary!EB:EB)</f>
        <v/>
      </c>
      <c r="AE145" s="112" t="n">
        <v>0</v>
      </c>
      <c r="AF145" s="80" t="n"/>
      <c r="AG145" s="76" t="inlineStr">
        <is>
          <t>600(10/22)</t>
        </is>
      </c>
      <c r="AH145" s="76" t="n"/>
      <c r="AI145" s="27" t="n"/>
      <c r="AJ145" s="27" t="n"/>
      <c r="AK145" s="14" t="n"/>
      <c r="AL145" s="14" t="n"/>
    </row>
    <row r="146" ht="15" customHeight="1" s="453">
      <c r="A146" s="27" t="inlineStr">
        <is>
          <t>TN1AA060003T</t>
        </is>
      </c>
      <c r="B146" s="14" t="n">
        <v>6060001</v>
      </c>
      <c r="C146" s="136" t="inlineStr">
        <is>
          <t>試用-金采賦活保濕精華霜 100ml</t>
        </is>
      </c>
      <c r="D146" s="77" t="n"/>
      <c r="E146" s="17" t="inlineStr">
        <is>
          <t>PCS</t>
        </is>
      </c>
      <c r="F146" s="70" t="n"/>
      <c r="G146" s="18" t="n"/>
      <c r="H146" s="20">
        <f>SUMIFS(領用表!$L:$L,領用表!$E:$E,$B146,領用表!$B:$B,H$2&amp;$P$1)</f>
        <v/>
      </c>
      <c r="I146" s="20">
        <f>SUMIFS(領用表!$L:$L,領用表!$E:$E,$B146,領用表!$B:$B,I$2&amp;$P$1)</f>
        <v/>
      </c>
      <c r="J146" s="20">
        <f>SUMIFS(領用表!$L:$L,領用表!$E:$E,$B146,領用表!$B:$B,J$2&amp;$P$1)</f>
        <v/>
      </c>
      <c r="K146" s="142">
        <f>SUMIFS(領用表!$L:$L,領用表!$E:$E,$B146,領用表!$B:$B,K$2&amp;$P$1)</f>
        <v/>
      </c>
      <c r="L146" s="142">
        <f>SUMIFS(領用表!$L:$L,領用表!$E:$E,$B146,領用表!$B:$B,L$2&amp;$P$1)</f>
        <v/>
      </c>
      <c r="M146" s="142">
        <f>SUMIFS(領用表!$L:$L,領用表!$E:$E,$B146,領用表!$B:$B,M$2&amp;$P$1)</f>
        <v/>
      </c>
      <c r="N146" s="23">
        <f>SUM(,H146,I146,J146,K146,L146,M146)</f>
        <v/>
      </c>
      <c r="O146" s="23">
        <f>AVERAGE(,H146,I146,J146,K146,L146,M146)</f>
        <v/>
      </c>
      <c r="P146" s="142">
        <f>SUMIFS(領用表!$L:$L,領用表!$E:$E,$B146,領用表!$B:$B,P$2&amp;$P$1)</f>
        <v/>
      </c>
      <c r="Q146" s="142">
        <f>SUMIFS(領用表!$L:$L,領用表!$E:$E,$B146,領用表!$B:$B,Q$2&amp;$P$1)</f>
        <v/>
      </c>
      <c r="R146" s="142">
        <f>SUMIFS(領用表!$L:$L,領用表!$E:$E,$B146,領用表!$B:$B,R$2&amp;$P$1)</f>
        <v/>
      </c>
      <c r="S146" s="142">
        <f>SUMIFS(領用表!$L:$L,領用表!$E:$E,$B146,領用表!$B:$B,S$2&amp;$P$1)</f>
        <v/>
      </c>
      <c r="T146" s="142">
        <f>SUMIFS(領用表!$L:$L,領用表!$E:$E,$B146,領用表!$B:$B,T$2&amp;$P$1)</f>
        <v/>
      </c>
      <c r="U146" s="142" t="n"/>
      <c r="V146" s="142">
        <f>SUMIFS(領用表!$L:$L,領用表!$E:$E,$B146,領用表!$B:$B,V$2&amp;$P$1)</f>
        <v/>
      </c>
      <c r="W146" s="142">
        <f>SUMIFS(領用表!$L:$L,領用表!$E:$E,$B146,領用表!$B:$B,W$2&amp;$P$1)</f>
        <v/>
      </c>
      <c r="X146" s="142">
        <f>SUMIFS(領用表!$L:$L,領用表!$E:$E,$B146,領用表!$B:$B,X$2&amp;$P$1)</f>
        <v/>
      </c>
      <c r="Y146" s="142">
        <f>SUMIFS(領用表!$L:$L,領用表!$E:$E,$B146,領用表!$B:$B,Y$2&amp;$P$1)</f>
        <v/>
      </c>
      <c r="Z146" s="142">
        <f>SUMIFS(領用表!$L:$L,領用表!$E:$E,$B146,領用表!$B:$B,Z$2&amp;$P$1)</f>
        <v/>
      </c>
      <c r="AA146" s="142">
        <f>SUMIFS(領用表!$L:$L,領用表!$E:$E,$B146,領用表!$B:$B,AA$2&amp;$P$1)</f>
        <v/>
      </c>
      <c r="AB146" s="142">
        <f>SUM(P146,Q146,R146,S146,T146,U146)</f>
        <v/>
      </c>
      <c r="AC146" s="142">
        <f>AVERAGE(P146,Q146,R146,S146,T146,U146)</f>
        <v/>
      </c>
      <c r="AD146" s="142">
        <f>SUMIF(Summary!B:B,B146,Summary!EB:EB)</f>
        <v/>
      </c>
      <c r="AE146" s="109" t="n">
        <v>5</v>
      </c>
      <c r="AF146" s="65" t="n"/>
      <c r="AG146" s="76" t="inlineStr">
        <is>
          <t>16(10/22)</t>
        </is>
      </c>
      <c r="AH146" s="76" t="n"/>
      <c r="AI146" s="27" t="n"/>
      <c r="AJ146" s="27" t="n"/>
      <c r="AK146" s="14" t="n"/>
      <c r="AL146" s="14" t="n"/>
    </row>
    <row r="147" ht="15.75" customHeight="1" s="453">
      <c r="A147" s="27" t="inlineStr">
        <is>
          <t>DN1AA200005T</t>
        </is>
      </c>
      <c r="B147" s="14" t="e">
        <v>#N/A</v>
      </c>
      <c r="C147" s="136" t="inlineStr">
        <is>
          <t>無瑕清透防護霜 30mL(潤色)</t>
        </is>
      </c>
      <c r="D147" s="77" t="n"/>
      <c r="E147" s="17" t="inlineStr">
        <is>
          <t>PCS</t>
        </is>
      </c>
      <c r="F147" s="70" t="n"/>
      <c r="G147" s="18" t="n"/>
      <c r="H147" s="20">
        <f>SUMIFS(領用表!$L:$L,領用表!$E:$E,$B147,領用表!$B:$B,H$2&amp;$P$1)</f>
        <v/>
      </c>
      <c r="I147" s="20">
        <f>SUMIFS(領用表!$L:$L,領用表!$E:$E,$B147,領用表!$B:$B,I$2&amp;$P$1)</f>
        <v/>
      </c>
      <c r="J147" s="20">
        <f>SUMIFS(領用表!$L:$L,領用表!$E:$E,$B147,領用表!$B:$B,J$2&amp;$P$1)</f>
        <v/>
      </c>
      <c r="K147" s="142">
        <f>SUMIFS(領用表!$L:$L,領用表!$E:$E,$B147,領用表!$B:$B,K$2&amp;$P$1)</f>
        <v/>
      </c>
      <c r="L147" s="142">
        <f>SUMIFS(領用表!$L:$L,領用表!$E:$E,$B147,領用表!$B:$B,L$2&amp;$P$1)</f>
        <v/>
      </c>
      <c r="M147" s="142">
        <f>SUMIFS(領用表!$L:$L,領用表!$E:$E,$B147,領用表!$B:$B,M$2&amp;$P$1)</f>
        <v/>
      </c>
      <c r="N147" s="23">
        <f>SUM(,H147,I147,J147,K147,L147,M147)</f>
        <v/>
      </c>
      <c r="O147" s="23">
        <f>AVERAGE(,H147,I147,J147,K147,L147,M147)</f>
        <v/>
      </c>
      <c r="P147" s="142">
        <f>SUMIFS(領用表!$L:$L,領用表!$E:$E,$B147,領用表!$B:$B,P$2&amp;$P$1)</f>
        <v/>
      </c>
      <c r="Q147" s="142">
        <f>SUMIFS(領用表!$L:$L,領用表!$E:$E,$B147,領用表!$B:$B,Q$2&amp;$P$1)</f>
        <v/>
      </c>
      <c r="R147" s="142">
        <f>SUMIFS(領用表!$L:$L,領用表!$E:$E,$B147,領用表!$B:$B,R$2&amp;$P$1)</f>
        <v/>
      </c>
      <c r="S147" s="142">
        <f>SUMIFS(領用表!$L:$L,領用表!$E:$E,$B147,領用表!$B:$B,S$2&amp;$P$1)</f>
        <v/>
      </c>
      <c r="T147" s="142">
        <f>SUMIFS(領用表!$L:$L,領用表!$E:$E,$B147,領用表!$B:$B,T$2&amp;$P$1)</f>
        <v/>
      </c>
      <c r="U147" s="142">
        <f>SUMIFS(領用表!$L:$L,領用表!$E:$E,$B147,領用表!$B:$B,U$2&amp;$P$1)</f>
        <v/>
      </c>
      <c r="V147" s="142">
        <f>SUMIFS(領用表!$L:$L,領用表!$E:$E,$B147,領用表!$B:$B,V$2&amp;$P$1)</f>
        <v/>
      </c>
      <c r="W147" s="142">
        <f>SUMIFS(領用表!$L:$L,領用表!$E:$E,$B147,領用表!$B:$B,W$2&amp;$P$1)</f>
        <v/>
      </c>
      <c r="X147" s="142">
        <f>SUMIFS(領用表!$L:$L,領用表!$E:$E,$B147,領用表!$B:$B,X$2&amp;$P$1)</f>
        <v/>
      </c>
      <c r="Y147" s="142">
        <f>SUMIFS(領用表!$L:$L,領用表!$E:$E,$B147,領用表!$B:$B,Y$2&amp;$P$1)</f>
        <v/>
      </c>
      <c r="Z147" s="142">
        <f>SUMIFS(領用表!$L:$L,領用表!$E:$E,$B147,領用表!$B:$B,Z$2&amp;$P$1)</f>
        <v/>
      </c>
      <c r="AA147" s="142">
        <f>SUMIFS(領用表!$L:$L,領用表!$E:$E,$B147,領用表!$B:$B,AA$2&amp;$P$1)</f>
        <v/>
      </c>
      <c r="AB147" s="142">
        <f>SUM(P147,Q147,R147,S147,T147,U147)</f>
        <v/>
      </c>
      <c r="AC147" s="142">
        <f>AVERAGE(P147,Q147,R147,S147,T147,U147)</f>
        <v/>
      </c>
      <c r="AD147" s="142">
        <f>SUMIF(Summary!B:B,B147,Summary!EB:EB)</f>
        <v/>
      </c>
      <c r="AE147" s="109" t="n">
        <v>10</v>
      </c>
      <c r="AF147" s="65" t="n"/>
      <c r="AG147" s="76" t="n"/>
      <c r="AH147" s="76" t="n"/>
      <c r="AI147" s="27" t="n"/>
      <c r="AJ147" s="27" t="n"/>
      <c r="AK147" s="14" t="n"/>
      <c r="AL147" s="14" t="n"/>
    </row>
    <row r="148" hidden="1" ht="15.75" customHeight="1" s="453">
      <c r="A148" s="27" t="inlineStr">
        <is>
          <t>DN1AA030002T</t>
        </is>
      </c>
      <c r="B148" s="14" t="e">
        <v>#N/A</v>
      </c>
      <c r="C148" s="136" t="inlineStr">
        <is>
          <t>亮采金球去角質凝膠 100ml (2015年版)</t>
        </is>
      </c>
      <c r="D148" s="77" t="n"/>
      <c r="E148" s="17" t="inlineStr">
        <is>
          <t>PCS</t>
        </is>
      </c>
      <c r="F148" s="70" t="n"/>
      <c r="G148" s="18" t="n"/>
      <c r="H148" s="20">
        <f>SUMIFS(領用表!$L:$L,領用表!$E:$E,$B148,領用表!$B:$B,H$2&amp;$P$1)</f>
        <v/>
      </c>
      <c r="I148" s="20">
        <f>SUMIFS(領用表!$L:$L,領用表!$E:$E,$B148,領用表!$B:$B,I$2&amp;$P$1)</f>
        <v/>
      </c>
      <c r="J148" s="20">
        <f>SUMIFS(領用表!$L:$L,領用表!$E:$E,$B148,領用表!$B:$B,J$2&amp;$P$1)</f>
        <v/>
      </c>
      <c r="K148" s="142">
        <f>SUMIFS(領用表!$L:$L,領用表!$E:$E,$B148,領用表!$B:$B,K$2&amp;$P$1)</f>
        <v/>
      </c>
      <c r="L148" s="142">
        <f>SUMIFS(領用表!$L:$L,領用表!$E:$E,$B148,領用表!$B:$B,L$2&amp;$P$1)</f>
        <v/>
      </c>
      <c r="M148" s="142">
        <f>SUMIFS(領用表!$L:$L,領用表!$E:$E,$B148,領用表!$B:$B,M$2&amp;$P$1)</f>
        <v/>
      </c>
      <c r="N148" s="23">
        <f>SUM(,H148,I148,J148,K148,L148,M148)</f>
        <v/>
      </c>
      <c r="O148" s="23">
        <f>AVERAGE(,H148,I148,J148,K148,L148,M148)</f>
        <v/>
      </c>
      <c r="P148" s="142">
        <f>SUMIFS(領用表!$L:$L,領用表!$E:$E,$B148,領用表!$B:$B,P$2&amp;$P$1)</f>
        <v/>
      </c>
      <c r="Q148" s="142">
        <f>SUMIFS(領用表!$L:$L,領用表!$E:$E,$B148,領用表!$B:$B,Q$2&amp;$P$1)</f>
        <v/>
      </c>
      <c r="R148" s="142">
        <f>SUMIFS(領用表!$L:$L,領用表!$E:$E,$B148,領用表!$B:$B,R$2&amp;$P$1)</f>
        <v/>
      </c>
      <c r="S148" s="142">
        <f>SUMIFS(領用表!$L:$L,領用表!$E:$E,$B148,領用表!$B:$B,S$2&amp;$P$1)</f>
        <v/>
      </c>
      <c r="T148" s="142">
        <f>SUMIFS(領用表!$L:$L,領用表!$E:$E,$B148,領用表!$B:$B,T$2&amp;$P$1)</f>
        <v/>
      </c>
      <c r="U148" s="142">
        <f>SUMIFS(領用表!$L:$L,領用表!$E:$E,$B148,領用表!$B:$B,U$2&amp;$P$1)</f>
        <v/>
      </c>
      <c r="V148" s="142">
        <f>SUMIFS(領用表!$L:$L,領用表!$E:$E,$B148,領用表!$B:$B,V$2&amp;$P$1)</f>
        <v/>
      </c>
      <c r="W148" s="142">
        <f>SUMIFS(領用表!$L:$L,領用表!$E:$E,$B148,領用表!$B:$B,W$2&amp;$P$1)</f>
        <v/>
      </c>
      <c r="X148" s="142">
        <f>SUMIFS(領用表!$L:$L,領用表!$E:$E,$B148,領用表!$B:$B,X$2&amp;$P$1)</f>
        <v/>
      </c>
      <c r="Y148" s="142">
        <f>SUMIFS(領用表!$L:$L,領用表!$E:$E,$B148,領用表!$B:$B,Y$2&amp;$P$1)</f>
        <v/>
      </c>
      <c r="Z148" s="142">
        <f>SUMIFS(領用表!$L:$L,領用表!$E:$E,$B148,領用表!$B:$B,Z$2&amp;$P$1)</f>
        <v/>
      </c>
      <c r="AA148" s="142">
        <f>SUMIFS(領用表!$L:$L,領用表!$E:$E,$B148,領用表!$B:$B,AA$2&amp;$P$1)</f>
        <v/>
      </c>
      <c r="AB148" s="142">
        <f>SUM(P148,Q148,R148,S148,T148,U148)</f>
        <v/>
      </c>
      <c r="AC148" s="142">
        <f>AVERAGE(P148,Q148,R148,S148,T148,U148)</f>
        <v/>
      </c>
      <c r="AD148" s="142">
        <f>SUMIF(Summary!B:B,B148,Summary!EB:EB)</f>
        <v/>
      </c>
      <c r="AE148" s="109" t="n"/>
      <c r="AF148" s="65" t="n"/>
      <c r="AG148" s="76" t="n"/>
      <c r="AH148" s="76" t="n"/>
    </row>
    <row r="149" hidden="1" ht="15.75" customHeight="1" s="453">
      <c r="A149" s="27" t="inlineStr">
        <is>
          <t>DN1AA040011T</t>
        </is>
      </c>
      <c r="B149" s="14" t="e">
        <v>#N/A</v>
      </c>
      <c r="C149" s="136" t="inlineStr">
        <is>
          <t>金采極緻晶凍凝露 125ml(升級)</t>
        </is>
      </c>
      <c r="D149" s="77" t="n"/>
      <c r="E149" s="17" t="inlineStr">
        <is>
          <t>PCS</t>
        </is>
      </c>
      <c r="F149" s="70" t="n"/>
      <c r="G149" s="18" t="n"/>
      <c r="H149" s="20">
        <f>SUMIFS(領用表!$L:$L,領用表!$E:$E,$B149,領用表!$B:$B,H$2&amp;$P$1)</f>
        <v/>
      </c>
      <c r="I149" s="20">
        <f>SUMIFS(領用表!$L:$L,領用表!$E:$E,$B149,領用表!$B:$B,I$2&amp;$P$1)</f>
        <v/>
      </c>
      <c r="J149" s="20">
        <f>SUMIFS(領用表!$L:$L,領用表!$E:$E,$B149,領用表!$B:$B,J$2&amp;$P$1)</f>
        <v/>
      </c>
      <c r="K149" s="142">
        <f>SUMIFS(領用表!$L:$L,領用表!$E:$E,$B149,領用表!$B:$B,K$2&amp;$P$1)</f>
        <v/>
      </c>
      <c r="L149" s="142">
        <f>SUMIFS(領用表!$L:$L,領用表!$E:$E,$B149,領用表!$B:$B,L$2&amp;$P$1)</f>
        <v/>
      </c>
      <c r="M149" s="142">
        <f>SUMIFS(領用表!$L:$L,領用表!$E:$E,$B149,領用表!$B:$B,M$2&amp;$P$1)</f>
        <v/>
      </c>
      <c r="N149" s="23">
        <f>SUM(,H149,I149,J149,K149,L149,M149)</f>
        <v/>
      </c>
      <c r="O149" s="23">
        <f>AVERAGE(,H149,I149,J149,K149,L149,M149)</f>
        <v/>
      </c>
      <c r="P149" s="142">
        <f>SUMIFS(領用表!$L:$L,領用表!$E:$E,$B149,領用表!$B:$B,P$2&amp;$P$1)</f>
        <v/>
      </c>
      <c r="Q149" s="142">
        <f>SUMIFS(領用表!$L:$L,領用表!$E:$E,$B149,領用表!$B:$B,Q$2&amp;$P$1)</f>
        <v/>
      </c>
      <c r="R149" s="142">
        <f>SUMIFS(領用表!$L:$L,領用表!$E:$E,$B149,領用表!$B:$B,R$2&amp;$P$1)</f>
        <v/>
      </c>
      <c r="S149" s="142">
        <f>SUMIFS(領用表!$L:$L,領用表!$E:$E,$B149,領用表!$B:$B,S$2&amp;$P$1)</f>
        <v/>
      </c>
      <c r="T149" s="142">
        <f>SUMIFS(領用表!$L:$L,領用表!$E:$E,$B149,領用表!$B:$B,T$2&amp;$P$1)</f>
        <v/>
      </c>
      <c r="U149" s="142">
        <f>SUMIFS(領用表!$L:$L,領用表!$E:$E,$B149,領用表!$B:$B,U$2&amp;$P$1)</f>
        <v/>
      </c>
      <c r="V149" s="142">
        <f>SUMIFS(領用表!$L:$L,領用表!$E:$E,$B149,領用表!$B:$B,V$2&amp;$P$1)</f>
        <v/>
      </c>
      <c r="W149" s="142">
        <f>SUMIFS(領用表!$L:$L,領用表!$E:$E,$B149,領用表!$B:$B,W$2&amp;$P$1)</f>
        <v/>
      </c>
      <c r="X149" s="142">
        <f>SUMIFS(領用表!$L:$L,領用表!$E:$E,$B149,領用表!$B:$B,X$2&amp;$P$1)</f>
        <v/>
      </c>
      <c r="Y149" s="142">
        <f>SUMIFS(領用表!$L:$L,領用表!$E:$E,$B149,領用表!$B:$B,Y$2&amp;$P$1)</f>
        <v/>
      </c>
      <c r="Z149" s="142">
        <f>SUMIFS(領用表!$L:$L,領用表!$E:$E,$B149,領用表!$B:$B,Z$2&amp;$P$1)</f>
        <v/>
      </c>
      <c r="AA149" s="142">
        <f>SUMIFS(領用表!$L:$L,領用表!$E:$E,$B149,領用表!$B:$B,AA$2&amp;$P$1)</f>
        <v/>
      </c>
      <c r="AB149" s="142">
        <f>SUM(P149,Q149,R149,S149,T149,U149)</f>
        <v/>
      </c>
      <c r="AC149" s="142">
        <f>AVERAGE(P149,Q149,R149,S149,T149,U149)</f>
        <v/>
      </c>
      <c r="AD149" s="142">
        <f>SUMIF(Summary!B:B,B149,Summary!EB:EB)</f>
        <v/>
      </c>
      <c r="AE149" s="109" t="n"/>
      <c r="AF149" s="65" t="n"/>
      <c r="AG149" s="76" t="n"/>
      <c r="AH149" s="76" t="n"/>
      <c r="AI149" s="14" t="n"/>
      <c r="AJ149" s="14" t="n"/>
      <c r="AK149" s="14" t="n"/>
      <c r="AL149" s="14" t="n"/>
    </row>
    <row r="150" hidden="1" ht="15.75" customHeight="1" s="453">
      <c r="A150" s="27" t="inlineStr">
        <is>
          <t>TN1AA050032T</t>
        </is>
      </c>
      <c r="B150" s="14" t="e">
        <v>#N/A</v>
      </c>
      <c r="C150" s="136" t="inlineStr">
        <is>
          <t>試用-優菌防護安瓶精華 50ml</t>
        </is>
      </c>
      <c r="D150" s="77" t="n"/>
      <c r="E150" s="17" t="inlineStr">
        <is>
          <t>PCS</t>
        </is>
      </c>
      <c r="F150" s="70" t="n"/>
      <c r="G150" s="18" t="n"/>
      <c r="H150" s="20">
        <f>SUMIFS(領用表!$L:$L,領用表!$E:$E,$B150,領用表!$B:$B,H$2&amp;$P$1)</f>
        <v/>
      </c>
      <c r="I150" s="20">
        <f>SUMIFS(領用表!$L:$L,領用表!$E:$E,$B150,領用表!$B:$B,I$2&amp;$P$1)</f>
        <v/>
      </c>
      <c r="J150" s="20">
        <f>SUMIFS(領用表!$L:$L,領用表!$E:$E,$B150,領用表!$B:$B,J$2&amp;$P$1)</f>
        <v/>
      </c>
      <c r="K150" s="142">
        <f>SUMIFS(領用表!$L:$L,領用表!$E:$E,$B150,領用表!$B:$B,K$2&amp;$P$1)</f>
        <v/>
      </c>
      <c r="L150" s="142">
        <f>SUMIFS(領用表!$L:$L,領用表!$E:$E,$B150,領用表!$B:$B,L$2&amp;$P$1)</f>
        <v/>
      </c>
      <c r="M150" s="142">
        <f>SUMIFS(領用表!$L:$L,領用表!$E:$E,$B150,領用表!$B:$B,M$2&amp;$P$1)</f>
        <v/>
      </c>
      <c r="N150" s="23">
        <f>SUM(,H150,I150,J150,K150,L150,M150)</f>
        <v/>
      </c>
      <c r="O150" s="23">
        <f>AVERAGE(,H150,I150,J150,K150,L150,M150)</f>
        <v/>
      </c>
      <c r="P150" s="142">
        <f>SUMIFS(領用表!$L:$L,領用表!$E:$E,$B150,領用表!$B:$B,P$2&amp;$P$1)</f>
        <v/>
      </c>
      <c r="Q150" s="142">
        <f>SUMIFS(領用表!$L:$L,領用表!$E:$E,$B150,領用表!$B:$B,Q$2&amp;$P$1)</f>
        <v/>
      </c>
      <c r="R150" s="142">
        <f>SUMIFS(領用表!$L:$L,領用表!$E:$E,$B150,領用表!$B:$B,R$2&amp;$P$1)</f>
        <v/>
      </c>
      <c r="S150" s="142">
        <f>SUMIFS(領用表!$L:$L,領用表!$E:$E,$B150,領用表!$B:$B,S$2&amp;$P$1)</f>
        <v/>
      </c>
      <c r="T150" s="142">
        <f>SUMIFS(領用表!$L:$L,領用表!$E:$E,$B150,領用表!$B:$B,T$2&amp;$P$1)</f>
        <v/>
      </c>
      <c r="U150" s="142">
        <f>SUMIFS(領用表!$L:$L,領用表!$E:$E,$B150,領用表!$B:$B,U$2&amp;$P$1)</f>
        <v/>
      </c>
      <c r="V150" s="142">
        <f>SUMIFS(領用表!$L:$L,領用表!$E:$E,$B150,領用表!$B:$B,V$2&amp;$P$1)</f>
        <v/>
      </c>
      <c r="W150" s="142">
        <f>SUMIFS(領用表!$L:$L,領用表!$E:$E,$B150,領用表!$B:$B,W$2&amp;$P$1)</f>
        <v/>
      </c>
      <c r="X150" s="142">
        <f>SUMIFS(領用表!$L:$L,領用表!$E:$E,$B150,領用表!$B:$B,X$2&amp;$P$1)</f>
        <v/>
      </c>
      <c r="Y150" s="142">
        <f>SUMIFS(領用表!$L:$L,領用表!$E:$E,$B150,領用表!$B:$B,Y$2&amp;$P$1)</f>
        <v/>
      </c>
      <c r="Z150" s="142">
        <f>SUMIFS(領用表!$L:$L,領用表!$E:$E,$B150,領用表!$B:$B,Z$2&amp;$P$1)</f>
        <v/>
      </c>
      <c r="AA150" s="142">
        <f>SUMIFS(領用表!$L:$L,領用表!$E:$E,$B150,領用表!$B:$B,AA$2&amp;$P$1)</f>
        <v/>
      </c>
      <c r="AB150" s="142">
        <f>SUM(P150,Q150,R150,S150,T150,U150)</f>
        <v/>
      </c>
      <c r="AC150" s="142">
        <f>AVERAGE(P150,Q150,R150,S150,T150,U150)</f>
        <v/>
      </c>
      <c r="AD150" s="142">
        <f>SUMIF(Summary!B:B,B150,Summary!EB:EB)</f>
        <v/>
      </c>
      <c r="AE150" s="109" t="n"/>
      <c r="AF150" s="65" t="n"/>
      <c r="AG150" s="76" t="n"/>
      <c r="AH150" s="76" t="n"/>
      <c r="AI150" s="27" t="n"/>
      <c r="AJ150" s="27" t="n"/>
      <c r="AK150" s="14" t="n"/>
      <c r="AL150" s="14" t="n"/>
    </row>
    <row r="151" hidden="1" ht="15.75" customHeight="1" s="453">
      <c r="A151" s="27" t="inlineStr">
        <is>
          <t>TN1AA050029T</t>
        </is>
      </c>
      <c r="B151" s="14" t="n">
        <v>6050007</v>
      </c>
      <c r="C151" s="136" t="inlineStr">
        <is>
          <t>試用-冰原天神草彈力超導精華 50mL</t>
        </is>
      </c>
      <c r="D151" s="77" t="n"/>
      <c r="E151" s="17" t="inlineStr">
        <is>
          <t>PCS</t>
        </is>
      </c>
      <c r="F151" s="70" t="n"/>
      <c r="G151" s="18" t="n"/>
      <c r="H151" s="20">
        <f>SUMIFS(領用表!$L:$L,領用表!$E:$E,$B151,領用表!$B:$B,H$2&amp;$P$1)</f>
        <v/>
      </c>
      <c r="I151" s="20">
        <f>SUMIFS(領用表!$L:$L,領用表!$E:$E,$B151,領用表!$B:$B,I$2&amp;$P$1)</f>
        <v/>
      </c>
      <c r="J151" s="20">
        <f>SUMIFS(領用表!$L:$L,領用表!$E:$E,$B151,領用表!$B:$B,J$2&amp;$P$1)</f>
        <v/>
      </c>
      <c r="K151" s="142">
        <f>SUMIFS(領用表!$L:$L,領用表!$E:$E,$B151,領用表!$B:$B,K$2&amp;$P$1)</f>
        <v/>
      </c>
      <c r="L151" s="142">
        <f>SUMIFS(領用表!$L:$L,領用表!$E:$E,$B151,領用表!$B:$B,L$2&amp;$P$1)</f>
        <v/>
      </c>
      <c r="M151" s="142">
        <f>SUMIFS(領用表!$L:$L,領用表!$E:$E,$B151,領用表!$B:$B,M$2&amp;$P$1)</f>
        <v/>
      </c>
      <c r="N151" s="23">
        <f>SUM(,H151,I151,J151,K151,L151,M151)</f>
        <v/>
      </c>
      <c r="O151" s="23">
        <f>AVERAGE(,H151,I151,J151,K151,L151,M151)</f>
        <v/>
      </c>
      <c r="P151" s="142">
        <f>SUMIFS(領用表!$L:$L,領用表!$E:$E,$B151,領用表!$B:$B,P$2&amp;$P$1)</f>
        <v/>
      </c>
      <c r="Q151" s="142">
        <f>SUMIFS(領用表!$L:$L,領用表!$E:$E,$B151,領用表!$B:$B,Q$2&amp;$P$1)</f>
        <v/>
      </c>
      <c r="R151" s="142">
        <f>SUMIFS(領用表!$L:$L,領用表!$E:$E,$B151,領用表!$B:$B,R$2&amp;$P$1)</f>
        <v/>
      </c>
      <c r="S151" s="142">
        <f>SUMIFS(領用表!$L:$L,領用表!$E:$E,$B151,領用表!$B:$B,S$2&amp;$P$1)</f>
        <v/>
      </c>
      <c r="T151" s="142">
        <f>SUMIFS(領用表!$L:$L,領用表!$E:$E,$B151,領用表!$B:$B,T$2&amp;$P$1)</f>
        <v/>
      </c>
      <c r="U151" s="142" t="n"/>
      <c r="V151" s="142">
        <f>SUMIFS(領用表!$L:$L,領用表!$E:$E,$B151,領用表!$B:$B,V$2&amp;$P$1)</f>
        <v/>
      </c>
      <c r="W151" s="142">
        <f>SUMIFS(領用表!$L:$L,領用表!$E:$E,$B151,領用表!$B:$B,W$2&amp;$P$1)</f>
        <v/>
      </c>
      <c r="X151" s="142">
        <f>SUMIFS(領用表!$L:$L,領用表!$E:$E,$B151,領用表!$B:$B,X$2&amp;$P$1)</f>
        <v/>
      </c>
      <c r="Y151" s="142">
        <f>SUMIFS(領用表!$L:$L,領用表!$E:$E,$B151,領用表!$B:$B,Y$2&amp;$P$1)</f>
        <v/>
      </c>
      <c r="Z151" s="142">
        <f>SUMIFS(領用表!$L:$L,領用表!$E:$E,$B151,領用表!$B:$B,Z$2&amp;$P$1)</f>
        <v/>
      </c>
      <c r="AA151" s="142">
        <f>SUMIFS(領用表!$L:$L,領用表!$E:$E,$B151,領用表!$B:$B,AA$2&amp;$P$1)</f>
        <v/>
      </c>
      <c r="AB151" s="142">
        <f>SUM(P151,Q151,R151,S151,T151,U151)</f>
        <v/>
      </c>
      <c r="AC151" s="142">
        <f>AVERAGE(P151,Q151,R151,S151,T151,U151)</f>
        <v/>
      </c>
      <c r="AD151" s="142">
        <f>SUMIF(Summary!B:B,B151,Summary!EB:EB)</f>
        <v/>
      </c>
      <c r="AE151" s="109" t="n"/>
      <c r="AF151" s="65" t="n"/>
      <c r="AG151" s="76" t="n"/>
      <c r="AH151" s="76" t="n"/>
      <c r="AI151" s="27" t="n"/>
      <c r="AJ151" s="27" t="n"/>
      <c r="AK151" s="14" t="n"/>
      <c r="AL151" s="14" t="n"/>
    </row>
    <row r="152" ht="15.75" customHeight="1" s="453">
      <c r="A152" s="27" t="inlineStr">
        <is>
          <t>TN1AA200006T</t>
        </is>
      </c>
      <c r="B152" s="14" t="n">
        <v>6230002</v>
      </c>
      <c r="C152" s="136" t="inlineStr">
        <is>
          <t>試用-無瑕清透防護霜 30mL(潤色)</t>
        </is>
      </c>
      <c r="D152" s="77" t="n"/>
      <c r="E152" s="17" t="inlineStr">
        <is>
          <t>PCS</t>
        </is>
      </c>
      <c r="F152" s="70" t="n"/>
      <c r="G152" s="18" t="n"/>
      <c r="H152" s="20">
        <f>SUMIFS(領用表!$L:$L,領用表!$E:$E,$B152,領用表!$B:$B,H$2&amp;$P$1)</f>
        <v/>
      </c>
      <c r="I152" s="20">
        <f>SUMIFS(領用表!$L:$L,領用表!$E:$E,$B152,領用表!$B:$B,I$2&amp;$P$1)</f>
        <v/>
      </c>
      <c r="J152" s="20">
        <f>SUMIFS(領用表!$L:$L,領用表!$E:$E,$B152,領用表!$B:$B,J$2&amp;$P$1)</f>
        <v/>
      </c>
      <c r="K152" s="142">
        <f>SUMIFS(領用表!$L:$L,領用表!$E:$E,$B152,領用表!$B:$B,K$2&amp;$P$1)</f>
        <v/>
      </c>
      <c r="L152" s="142">
        <f>SUMIFS(領用表!$L:$L,領用表!$E:$E,$B152,領用表!$B:$B,L$2&amp;$P$1)</f>
        <v/>
      </c>
      <c r="M152" s="142">
        <f>SUMIFS(領用表!$L:$L,領用表!$E:$E,$B152,領用表!$B:$B,M$2&amp;$P$1)</f>
        <v/>
      </c>
      <c r="N152" s="23">
        <f>SUM(,H152,I152,J152,K152,L152,M152)</f>
        <v/>
      </c>
      <c r="O152" s="23">
        <f>AVERAGE(,H152,I152,J152,K152,L152,M152)</f>
        <v/>
      </c>
      <c r="P152" s="142">
        <f>SUMIFS(領用表!$L:$L,領用表!$E:$E,$B152,領用表!$B:$B,P$2&amp;$P$1)</f>
        <v/>
      </c>
      <c r="Q152" s="142">
        <f>SUMIFS(領用表!$L:$L,領用表!$E:$E,$B152,領用表!$B:$B,Q$2&amp;$P$1)</f>
        <v/>
      </c>
      <c r="R152" s="142">
        <f>SUMIFS(領用表!$L:$L,領用表!$E:$E,$B152,領用表!$B:$B,R$2&amp;$P$1)</f>
        <v/>
      </c>
      <c r="S152" s="142">
        <f>SUMIFS(領用表!$L:$L,領用表!$E:$E,$B152,領用表!$B:$B,S$2&amp;$P$1)</f>
        <v/>
      </c>
      <c r="T152" s="142">
        <f>SUMIFS(領用表!$L:$L,領用表!$E:$E,$B152,領用表!$B:$B,T$2&amp;$P$1)</f>
        <v/>
      </c>
      <c r="U152" s="142" t="n"/>
      <c r="V152" s="142">
        <f>SUMIFS(領用表!$L:$L,領用表!$E:$E,$B152,領用表!$B:$B,V$2&amp;$P$1)</f>
        <v/>
      </c>
      <c r="W152" s="142">
        <f>SUMIFS(領用表!$L:$L,領用表!$E:$E,$B152,領用表!$B:$B,W$2&amp;$P$1)</f>
        <v/>
      </c>
      <c r="X152" s="142">
        <f>SUMIFS(領用表!$L:$L,領用表!$E:$E,$B152,領用表!$B:$B,X$2&amp;$P$1)</f>
        <v/>
      </c>
      <c r="Y152" s="142">
        <f>SUMIFS(領用表!$L:$L,領用表!$E:$E,$B152,領用表!$B:$B,Y$2&amp;$P$1)</f>
        <v/>
      </c>
      <c r="Z152" s="142">
        <f>SUMIFS(領用表!$L:$L,領用表!$E:$E,$B152,領用表!$B:$B,Z$2&amp;$P$1)</f>
        <v/>
      </c>
      <c r="AA152" s="142">
        <f>SUMIFS(領用表!$L:$L,領用表!$E:$E,$B152,領用表!$B:$B,AA$2&amp;$P$1)</f>
        <v/>
      </c>
      <c r="AB152" s="142">
        <f>SUM(P152,Q152,R152,S152,T152,U152)</f>
        <v/>
      </c>
      <c r="AC152" s="142">
        <f>AVERAGE(P152,Q152,R152,S152,T152,U152)</f>
        <v/>
      </c>
      <c r="AD152" s="142">
        <f>SUMIF(Summary!B:B,B152,Summary!EB:EB)</f>
        <v/>
      </c>
      <c r="AE152" s="109" t="n">
        <v>0</v>
      </c>
      <c r="AF152" s="65" t="n"/>
      <c r="AG152" s="76" t="n"/>
      <c r="AH152" s="76" t="n"/>
      <c r="AI152" s="27" t="n"/>
      <c r="AJ152" s="27" t="n"/>
      <c r="AK152" s="14" t="n"/>
      <c r="AL152" s="14" t="n"/>
    </row>
    <row r="153" ht="15.75" customHeight="1" s="453">
      <c r="A153" s="27" t="inlineStr">
        <is>
          <t>TN1AA020004T</t>
        </is>
      </c>
      <c r="B153" s="14" t="e">
        <v>#N/A</v>
      </c>
      <c r="C153" s="136" t="inlineStr">
        <is>
          <t>試用-超微纖深層淨膚乳100ml</t>
        </is>
      </c>
      <c r="D153" s="77" t="n"/>
      <c r="E153" s="17" t="inlineStr">
        <is>
          <t>PCS</t>
        </is>
      </c>
      <c r="F153" s="70" t="n"/>
      <c r="G153" s="18" t="n"/>
      <c r="H153" s="20">
        <f>SUMIFS(領用表!$L:$L,領用表!$E:$E,$B153,領用表!$B:$B,H$2&amp;$P$1)</f>
        <v/>
      </c>
      <c r="I153" s="20">
        <f>SUMIFS(領用表!$L:$L,領用表!$E:$E,$B153,領用表!$B:$B,I$2&amp;$P$1)</f>
        <v/>
      </c>
      <c r="J153" s="20">
        <f>SUMIFS(領用表!$L:$L,領用表!$E:$E,$B153,領用表!$B:$B,J$2&amp;$P$1)</f>
        <v/>
      </c>
      <c r="K153" s="142">
        <f>SUMIFS(領用表!$L:$L,領用表!$E:$E,$B153,領用表!$B:$B,K$2&amp;$P$1)</f>
        <v/>
      </c>
      <c r="L153" s="142">
        <f>SUMIFS(領用表!$L:$L,領用表!$E:$E,$B153,領用表!$B:$B,L$2&amp;$P$1)</f>
        <v/>
      </c>
      <c r="M153" s="142">
        <f>SUMIFS(領用表!$L:$L,領用表!$E:$E,$B153,領用表!$B:$B,M$2&amp;$P$1)</f>
        <v/>
      </c>
      <c r="N153" s="23">
        <f>SUM(,H153,I153,J153,K153,L153,M153)</f>
        <v/>
      </c>
      <c r="O153" s="23">
        <f>AVERAGE(,H153,I153,J153,K153,L153,M153)</f>
        <v/>
      </c>
      <c r="P153" s="142">
        <f>SUMIFS(領用表!$L:$L,領用表!$E:$E,$B153,領用表!$B:$B,P$2&amp;$P$1)</f>
        <v/>
      </c>
      <c r="Q153" s="142">
        <f>SUMIFS(領用表!$L:$L,領用表!$E:$E,$B153,領用表!$B:$B,Q$2&amp;$P$1)</f>
        <v/>
      </c>
      <c r="R153" s="142">
        <f>SUMIFS(領用表!$L:$L,領用表!$E:$E,$B153,領用表!$B:$B,R$2&amp;$P$1)</f>
        <v/>
      </c>
      <c r="S153" s="142">
        <f>SUMIFS(領用表!$L:$L,領用表!$E:$E,$B153,領用表!$B:$B,S$2&amp;$P$1)</f>
        <v/>
      </c>
      <c r="T153" s="142">
        <f>SUMIFS(領用表!$L:$L,領用表!$E:$E,$B153,領用表!$B:$B,T$2&amp;$P$1)</f>
        <v/>
      </c>
      <c r="U153" s="142">
        <f>SUMIFS(領用表!$L:$L,領用表!$E:$E,$B153,領用表!$B:$B,U$2&amp;$P$1)</f>
        <v/>
      </c>
      <c r="V153" s="142">
        <f>SUMIFS(領用表!$L:$L,領用表!$E:$E,$B153,領用表!$B:$B,V$2&amp;$P$1)</f>
        <v/>
      </c>
      <c r="W153" s="142">
        <f>SUMIFS(領用表!$L:$L,領用表!$E:$E,$B153,領用表!$B:$B,W$2&amp;$P$1)</f>
        <v/>
      </c>
      <c r="X153" s="142">
        <f>SUMIFS(領用表!$L:$L,領用表!$E:$E,$B153,領用表!$B:$B,X$2&amp;$P$1)</f>
        <v/>
      </c>
      <c r="Y153" s="142">
        <f>SUMIFS(領用表!$L:$L,領用表!$E:$E,$B153,領用表!$B:$B,Y$2&amp;$P$1)</f>
        <v/>
      </c>
      <c r="Z153" s="142">
        <f>SUMIFS(領用表!$L:$L,領用表!$E:$E,$B153,領用表!$B:$B,Z$2&amp;$P$1)</f>
        <v/>
      </c>
      <c r="AA153" s="142">
        <f>SUMIFS(領用表!$L:$L,領用表!$E:$E,$B153,領用表!$B:$B,AA$2&amp;$P$1)</f>
        <v/>
      </c>
      <c r="AB153" s="142">
        <f>SUM(P153,Q153,R153,S153,T153,U153)</f>
        <v/>
      </c>
      <c r="AC153" s="142">
        <f>AVERAGE(P153,Q153,R153,S153,T153,U153)</f>
        <v/>
      </c>
      <c r="AD153" s="142">
        <f>SUMIF(Summary!B:B,B153,Summary!EB:EB)</f>
        <v/>
      </c>
      <c r="AE153" s="109" t="n"/>
      <c r="AF153" s="65" t="n"/>
      <c r="AG153" s="65" t="n"/>
      <c r="AH153" s="65" t="n"/>
      <c r="AI153" s="27" t="n"/>
      <c r="AJ153" s="27" t="n"/>
      <c r="AK153" s="14" t="n"/>
      <c r="AL153" s="14" t="n"/>
    </row>
    <row r="154" ht="15.75" customHeight="1" s="453">
      <c r="A154" s="27" t="inlineStr">
        <is>
          <t>FN1AA060003T</t>
        </is>
      </c>
      <c r="B154" s="14" t="n">
        <v>6060002</v>
      </c>
      <c r="C154" s="136" t="inlineStr">
        <is>
          <t>試用包-金采賦活保濕精華霜 2mL(尖嘴單劑包)</t>
        </is>
      </c>
      <c r="D154" s="77" t="n"/>
      <c r="E154" s="17" t="inlineStr">
        <is>
          <t>PCS</t>
        </is>
      </c>
      <c r="F154" s="70" t="n"/>
      <c r="G154" s="18" t="n"/>
      <c r="H154" s="20">
        <f>SUMIFS(領用表!$L:$L,領用表!$E:$E,$B154,領用表!$B:$B,H$2&amp;$P$1)</f>
        <v/>
      </c>
      <c r="I154" s="20">
        <f>SUMIFS(領用表!$L:$L,領用表!$E:$E,$B154,領用表!$B:$B,I$2&amp;$P$1)</f>
        <v/>
      </c>
      <c r="J154" s="20">
        <f>SUMIFS(領用表!$L:$L,領用表!$E:$E,$B154,領用表!$B:$B,J$2&amp;$P$1)</f>
        <v/>
      </c>
      <c r="K154" s="142">
        <f>SUMIFS(領用表!$L:$L,領用表!$E:$E,$B154,領用表!$B:$B,K$2&amp;$P$1)</f>
        <v/>
      </c>
      <c r="L154" s="142">
        <f>SUMIFS(領用表!$L:$L,領用表!$E:$E,$B154,領用表!$B:$B,L$2&amp;$P$1)</f>
        <v/>
      </c>
      <c r="M154" s="142">
        <f>SUMIFS(領用表!$L:$L,領用表!$E:$E,$B154,領用表!$B:$B,M$2&amp;$P$1)</f>
        <v/>
      </c>
      <c r="N154" s="23">
        <f>SUM(,H154,I154,J154,K154,L154,M154)</f>
        <v/>
      </c>
      <c r="O154" s="23">
        <f>AVERAGE(,H154,I154,J154,K154,L154,M154)</f>
        <v/>
      </c>
      <c r="P154" s="142">
        <f>SUMIFS(領用表!$L:$L,領用表!$E:$E,$B154,領用表!$B:$B,P$2&amp;$P$1)</f>
        <v/>
      </c>
      <c r="Q154" s="142">
        <f>SUMIFS(領用表!$L:$L,領用表!$E:$E,$B154,領用表!$B:$B,Q$2&amp;$P$1)</f>
        <v/>
      </c>
      <c r="R154" s="142">
        <f>SUMIFS(領用表!$L:$L,領用表!$E:$E,$B154,領用表!$B:$B,R$2&amp;$P$1)</f>
        <v/>
      </c>
      <c r="S154" s="142">
        <f>SUMIFS(領用表!$L:$L,領用表!$E:$E,$B154,領用表!$B:$B,S$2&amp;$P$1)</f>
        <v/>
      </c>
      <c r="T154" s="142">
        <f>SUMIFS(領用表!$L:$L,領用表!$E:$E,$B154,領用表!$B:$B,T$2&amp;$P$1)</f>
        <v/>
      </c>
      <c r="U154" s="142" t="n"/>
      <c r="V154" s="142">
        <f>SUMIFS(領用表!$L:$L,領用表!$E:$E,$B154,領用表!$B:$B,V$2&amp;$P$1)</f>
        <v/>
      </c>
      <c r="W154" s="142">
        <f>SUMIFS(領用表!$L:$L,領用表!$E:$E,$B154,領用表!$B:$B,W$2&amp;$P$1)</f>
        <v/>
      </c>
      <c r="X154" s="142">
        <f>SUMIFS(領用表!$L:$L,領用表!$E:$E,$B154,領用表!$B:$B,X$2&amp;$P$1)</f>
        <v/>
      </c>
      <c r="Y154" s="142">
        <f>SUMIFS(領用表!$L:$L,領用表!$E:$E,$B154,領用表!$B:$B,Y$2&amp;$P$1)</f>
        <v/>
      </c>
      <c r="Z154" s="142">
        <f>SUMIFS(領用表!$L:$L,領用表!$E:$E,$B154,領用表!$B:$B,Z$2&amp;$P$1)</f>
        <v/>
      </c>
      <c r="AA154" s="142">
        <f>SUMIFS(領用表!$L:$L,領用表!$E:$E,$B154,領用表!$B:$B,AA$2&amp;$P$1)</f>
        <v/>
      </c>
      <c r="AB154" s="142">
        <f>SUM(P154,Q154,R154,S154,T154,U154)</f>
        <v/>
      </c>
      <c r="AC154" s="142">
        <f>AVERAGE(P154,Q154,R154,S154,T154,U154)</f>
        <v/>
      </c>
      <c r="AD154" s="142">
        <f>SUMIF(Summary!B:B,B154,Summary!EB:EB)</f>
        <v/>
      </c>
      <c r="AE154" s="109" t="n">
        <v>25</v>
      </c>
      <c r="AF154" s="65" t="n"/>
      <c r="AG154" s="65" t="n"/>
      <c r="AH154" s="65" t="n"/>
      <c r="AI154" s="27" t="n"/>
      <c r="AJ154" s="27" t="n"/>
      <c r="AK154" s="14" t="n"/>
      <c r="AL154" s="14" t="n"/>
    </row>
    <row r="155" ht="15.75" customHeight="1" s="453">
      <c r="A155" s="27" t="inlineStr">
        <is>
          <t>FN1AA200006T</t>
        </is>
      </c>
      <c r="B155" s="14" t="n">
        <v>6230001</v>
      </c>
      <c r="C155" s="136" t="inlineStr">
        <is>
          <t>試用包-無瑕清透防護霜 2ml(尖嘴單劑包)</t>
        </is>
      </c>
      <c r="D155" s="77" t="n"/>
      <c r="E155" s="17" t="inlineStr">
        <is>
          <t>PCS</t>
        </is>
      </c>
      <c r="F155" s="70" t="n"/>
      <c r="G155" s="18" t="n"/>
      <c r="H155" s="20">
        <f>SUMIFS(領用表!$L:$L,領用表!$E:$E,$B155,領用表!$B:$B,H$2&amp;$P$1)</f>
        <v/>
      </c>
      <c r="I155" s="20">
        <f>SUMIFS(領用表!$L:$L,領用表!$E:$E,$B155,領用表!$B:$B,I$2&amp;$P$1)</f>
        <v/>
      </c>
      <c r="J155" s="20">
        <f>SUMIFS(領用表!$L:$L,領用表!$E:$E,$B155,領用表!$B:$B,J$2&amp;$P$1)</f>
        <v/>
      </c>
      <c r="K155" s="142">
        <f>SUMIFS(領用表!$L:$L,領用表!$E:$E,$B155,領用表!$B:$B,K$2&amp;$P$1)</f>
        <v/>
      </c>
      <c r="L155" s="142">
        <f>SUMIFS(領用表!$L:$L,領用表!$E:$E,$B155,領用表!$B:$B,L$2&amp;$P$1)</f>
        <v/>
      </c>
      <c r="M155" s="142">
        <f>SUMIFS(領用表!$L:$L,領用表!$E:$E,$B155,領用表!$B:$B,M$2&amp;$P$1)</f>
        <v/>
      </c>
      <c r="N155" s="23">
        <f>SUM(,H155,I155,J155,K155,L155,M155)</f>
        <v/>
      </c>
      <c r="O155" s="23">
        <f>AVERAGE(,H155,I155,J155,K155,L155,M155)</f>
        <v/>
      </c>
      <c r="P155" s="142">
        <f>SUMIFS(領用表!$L:$L,領用表!$E:$E,$B155,領用表!$B:$B,P$2&amp;$P$1)</f>
        <v/>
      </c>
      <c r="Q155" s="142">
        <f>SUMIFS(領用表!$L:$L,領用表!$E:$E,$B155,領用表!$B:$B,Q$2&amp;$P$1)</f>
        <v/>
      </c>
      <c r="R155" s="142">
        <f>SUMIFS(領用表!$L:$L,領用表!$E:$E,$B155,領用表!$B:$B,R$2&amp;$P$1)</f>
        <v/>
      </c>
      <c r="S155" s="142">
        <f>SUMIFS(領用表!$L:$L,領用表!$E:$E,$B155,領用表!$B:$B,S$2&amp;$P$1)</f>
        <v/>
      </c>
      <c r="T155" s="142">
        <f>SUMIFS(領用表!$L:$L,領用表!$E:$E,$B155,領用表!$B:$B,T$2&amp;$P$1)</f>
        <v/>
      </c>
      <c r="U155" s="142" t="n"/>
      <c r="V155" s="142">
        <f>SUMIFS(領用表!$L:$L,領用表!$E:$E,$B155,領用表!$B:$B,V$2&amp;$P$1)</f>
        <v/>
      </c>
      <c r="W155" s="142">
        <f>SUMIFS(領用表!$L:$L,領用表!$E:$E,$B155,領用表!$B:$B,W$2&amp;$P$1)</f>
        <v/>
      </c>
      <c r="X155" s="142">
        <f>SUMIFS(領用表!$L:$L,領用表!$E:$E,$B155,領用表!$B:$B,X$2&amp;$P$1)</f>
        <v/>
      </c>
      <c r="Y155" s="142">
        <f>SUMIFS(領用表!$L:$L,領用表!$E:$E,$B155,領用表!$B:$B,Y$2&amp;$P$1)</f>
        <v/>
      </c>
      <c r="Z155" s="142">
        <f>SUMIFS(領用表!$L:$L,領用表!$E:$E,$B155,領用表!$B:$B,Z$2&amp;$P$1)</f>
        <v/>
      </c>
      <c r="AA155" s="142">
        <f>SUMIFS(領用表!$L:$L,領用表!$E:$E,$B155,領用表!$B:$B,AA$2&amp;$P$1)</f>
        <v/>
      </c>
      <c r="AB155" s="142">
        <f>SUM(P155,Q155,R155,S155,T155,U155)</f>
        <v/>
      </c>
      <c r="AC155" s="142">
        <f>AVERAGE(P155,Q155,R155,S155,T155,U155)</f>
        <v/>
      </c>
      <c r="AD155" s="142">
        <f>SUMIF(Summary!B:B,B155,Summary!EB:EB)</f>
        <v/>
      </c>
      <c r="AE155" s="109" t="n">
        <v>25</v>
      </c>
      <c r="AF155" s="65" t="n"/>
      <c r="AG155" s="65" t="n"/>
      <c r="AH155" s="65" t="n"/>
    </row>
    <row r="156" ht="15.75" customHeight="1" s="453">
      <c r="A156" s="27" t="inlineStr">
        <is>
          <t>TN1AA070012T</t>
        </is>
      </c>
      <c r="B156" s="14" t="n">
        <v>6070001</v>
      </c>
      <c r="C156" s="136" t="inlineStr">
        <is>
          <t>試用-365抗皺緊緻精質乳霜50ml(2016年版)</t>
        </is>
      </c>
      <c r="D156" s="77" t="n"/>
      <c r="E156" s="17" t="inlineStr">
        <is>
          <t>PCS</t>
        </is>
      </c>
      <c r="F156" s="70" t="n"/>
      <c r="G156" s="18" t="n"/>
      <c r="H156" s="20">
        <f>SUMIFS(領用表!$L:$L,領用表!$E:$E,$B156,領用表!$B:$B,H$2&amp;$P$1)</f>
        <v/>
      </c>
      <c r="I156" s="20">
        <f>SUMIFS(領用表!$L:$L,領用表!$E:$E,$B156,領用表!$B:$B,I$2&amp;$P$1)</f>
        <v/>
      </c>
      <c r="J156" s="20">
        <f>SUMIFS(領用表!$L:$L,領用表!$E:$E,$B156,領用表!$B:$B,J$2&amp;$P$1)</f>
        <v/>
      </c>
      <c r="K156" s="142">
        <f>SUMIFS(領用表!$L:$L,領用表!$E:$E,$B156,領用表!$B:$B,K$2&amp;$P$1)</f>
        <v/>
      </c>
      <c r="L156" s="142">
        <f>SUMIFS(領用表!$L:$L,領用表!$E:$E,$B156,領用表!$B:$B,L$2&amp;$P$1)</f>
        <v/>
      </c>
      <c r="M156" s="142">
        <f>SUMIFS(領用表!$L:$L,領用表!$E:$E,$B156,領用表!$B:$B,M$2&amp;$P$1)</f>
        <v/>
      </c>
      <c r="N156" s="23">
        <f>SUM(,H156,I156,J156,K156,L156,M156)</f>
        <v/>
      </c>
      <c r="O156" s="23">
        <f>AVERAGE(,H156,I156,J156,K156,L156,M156)</f>
        <v/>
      </c>
      <c r="P156" s="142">
        <f>SUMIFS(領用表!$L:$L,領用表!$E:$E,$B156,領用表!$B:$B,P$2&amp;$P$1)</f>
        <v/>
      </c>
      <c r="Q156" s="142">
        <f>SUMIFS(領用表!$L:$L,領用表!$E:$E,$B156,領用表!$B:$B,Q$2&amp;$P$1)</f>
        <v/>
      </c>
      <c r="R156" s="142">
        <f>SUMIFS(領用表!$L:$L,領用表!$E:$E,$B156,領用表!$B:$B,R$2&amp;$P$1)</f>
        <v/>
      </c>
      <c r="S156" s="142">
        <f>SUMIFS(領用表!$L:$L,領用表!$E:$E,$B156,領用表!$B:$B,S$2&amp;$P$1)</f>
        <v/>
      </c>
      <c r="T156" s="142">
        <f>SUMIFS(領用表!$L:$L,領用表!$E:$E,$B156,領用表!$B:$B,T$2&amp;$P$1)</f>
        <v/>
      </c>
      <c r="U156" s="142" t="n"/>
      <c r="V156" s="142">
        <f>SUMIFS(領用表!$L:$L,領用表!$E:$E,$B156,領用表!$B:$B,V$2&amp;$P$1)</f>
        <v/>
      </c>
      <c r="W156" s="142">
        <f>SUMIFS(領用表!$L:$L,領用表!$E:$E,$B156,領用表!$B:$B,W$2&amp;$P$1)</f>
        <v/>
      </c>
      <c r="X156" s="142">
        <f>SUMIFS(領用表!$L:$L,領用表!$E:$E,$B156,領用表!$B:$B,X$2&amp;$P$1)</f>
        <v/>
      </c>
      <c r="Y156" s="142">
        <f>SUMIFS(領用表!$L:$L,領用表!$E:$E,$B156,領用表!$B:$B,Y$2&amp;$P$1)</f>
        <v/>
      </c>
      <c r="Z156" s="142">
        <f>SUMIFS(領用表!$L:$L,領用表!$E:$E,$B156,領用表!$B:$B,Z$2&amp;$P$1)</f>
        <v/>
      </c>
      <c r="AA156" s="142">
        <f>SUMIFS(領用表!$L:$L,領用表!$E:$E,$B156,領用表!$B:$B,AA$2&amp;$P$1)</f>
        <v/>
      </c>
      <c r="AB156" s="142">
        <f>SUM(P156,Q156,R156,S156,T156,U156)</f>
        <v/>
      </c>
      <c r="AC156" s="142">
        <f>AVERAGE(P156,Q156,R156,S156,T156,U156)</f>
        <v/>
      </c>
      <c r="AD156" s="142">
        <f>SUMIF(Summary!B:B,B156,Summary!EB:EB)</f>
        <v/>
      </c>
      <c r="AE156" s="109" t="n">
        <v>3</v>
      </c>
      <c r="AF156" s="65" t="n"/>
      <c r="AG156" s="65" t="n"/>
      <c r="AH156" s="65" t="n"/>
    </row>
    <row r="157" hidden="1" ht="15.75" customHeight="1" s="453">
      <c r="A157" s="27" t="inlineStr">
        <is>
          <t>DL1GA000071T</t>
        </is>
      </c>
      <c r="B157" s="14" t="e">
        <v>#N/A</v>
      </c>
      <c r="C157" s="136" t="inlineStr">
        <is>
          <t>新纖有酵蔬果酵素飲50ml(15入)停產</t>
        </is>
      </c>
      <c r="D157" s="77" t="n"/>
      <c r="E157" s="17" t="inlineStr">
        <is>
          <t>PCS</t>
        </is>
      </c>
      <c r="F157" s="70" t="n"/>
      <c r="G157" s="18" t="n"/>
      <c r="H157" s="20">
        <f>SUMIFS(領用表!$L:$L,領用表!$E:$E,$B157,領用表!$B:$B,H$2&amp;$P$1)</f>
        <v/>
      </c>
      <c r="I157" s="20">
        <f>SUMIFS(領用表!$L:$L,領用表!$E:$E,$B157,領用表!$B:$B,I$2&amp;$P$1)</f>
        <v/>
      </c>
      <c r="J157" s="20">
        <f>SUMIFS(領用表!$L:$L,領用表!$E:$E,$B157,領用表!$B:$B,J$2&amp;$P$1)</f>
        <v/>
      </c>
      <c r="K157" s="142">
        <f>SUMIFS(領用表!$L:$L,領用表!$E:$E,$B157,領用表!$B:$B,K$2&amp;$P$1)</f>
        <v/>
      </c>
      <c r="L157" s="142">
        <f>SUMIFS(領用表!$L:$L,領用表!$E:$E,$B157,領用表!$B:$B,L$2&amp;$P$1)</f>
        <v/>
      </c>
      <c r="M157" s="142">
        <f>SUMIFS(領用表!$L:$L,領用表!$E:$E,$B157,領用表!$B:$B,M$2&amp;$P$1)</f>
        <v/>
      </c>
      <c r="N157" s="23">
        <f>SUM(,H157,I157,J157,K157,L157,M157)</f>
        <v/>
      </c>
      <c r="O157" s="23">
        <f>AVERAGE(,H157,I157,J157,K157,L157,M157)</f>
        <v/>
      </c>
      <c r="P157" s="142">
        <f>SUMIFS(領用表!$L:$L,領用表!$E:$E,$B157,領用表!$B:$B,P$2&amp;$P$1)</f>
        <v/>
      </c>
      <c r="Q157" s="142">
        <f>SUMIFS(領用表!$L:$L,領用表!$E:$E,$B157,領用表!$B:$B,Q$2&amp;$P$1)</f>
        <v/>
      </c>
      <c r="R157" s="142">
        <f>SUMIFS(領用表!$L:$L,領用表!$E:$E,$B157,領用表!$B:$B,R$2&amp;$P$1)</f>
        <v/>
      </c>
      <c r="S157" s="142">
        <f>SUMIFS(領用表!$L:$L,領用表!$E:$E,$B157,領用表!$B:$B,S$2&amp;$P$1)</f>
        <v/>
      </c>
      <c r="T157" s="142">
        <f>SUMIFS(領用表!$L:$L,領用表!$E:$E,$B157,領用表!$B:$B,T$2&amp;$P$1)</f>
        <v/>
      </c>
      <c r="U157" s="142">
        <f>SUMIFS(領用表!$L:$L,領用表!$E:$E,$B157,領用表!$B:$B,U$2&amp;$P$1)</f>
        <v/>
      </c>
      <c r="V157" s="142">
        <f>SUMIFS(領用表!$L:$L,領用表!$E:$E,$B157,領用表!$B:$B,V$2&amp;$P$1)</f>
        <v/>
      </c>
      <c r="W157" s="142">
        <f>SUMIFS(領用表!$L:$L,領用表!$E:$E,$B157,領用表!$B:$B,W$2&amp;$P$1)</f>
        <v/>
      </c>
      <c r="X157" s="142">
        <f>SUMIFS(領用表!$L:$L,領用表!$E:$E,$B157,領用表!$B:$B,X$2&amp;$P$1)</f>
        <v/>
      </c>
      <c r="Y157" s="142">
        <f>SUMIFS(領用表!$L:$L,領用表!$E:$E,$B157,領用表!$B:$B,Y$2&amp;$P$1)</f>
        <v/>
      </c>
      <c r="Z157" s="142">
        <f>SUMIFS(領用表!$L:$L,領用表!$E:$E,$B157,領用表!$B:$B,Z$2&amp;$P$1)</f>
        <v/>
      </c>
      <c r="AA157" s="142">
        <f>SUMIFS(領用表!$L:$L,領用表!$E:$E,$B157,領用表!$B:$B,AA$2&amp;$P$1)</f>
        <v/>
      </c>
      <c r="AB157" s="142">
        <f>SUM(P157,Q157,R157,S157,T157,U157)</f>
        <v/>
      </c>
      <c r="AC157" s="142">
        <f>AVERAGE(P157,Q157,R157,S157,T157,U157)</f>
        <v/>
      </c>
      <c r="AD157" s="142">
        <f>SUMIF(Summary!B:B,B157,Summary!EB:EB)</f>
        <v/>
      </c>
      <c r="AE157" s="109" t="n"/>
      <c r="AF157" s="65" t="n"/>
      <c r="AG157" s="65" t="n"/>
      <c r="AH157" s="65" t="n"/>
    </row>
    <row r="158" hidden="1" ht="15.75" customHeight="1" s="453">
      <c r="A158" s="27" t="inlineStr">
        <is>
          <t>DL1GA000066T</t>
        </is>
      </c>
      <c r="B158" s="14" t="e">
        <v>#N/A</v>
      </c>
      <c r="C158" s="136" t="inlineStr">
        <is>
          <t>青春機密膠原飲 60ml(10入)停產</t>
        </is>
      </c>
      <c r="D158" s="77" t="n"/>
      <c r="E158" s="17" t="inlineStr">
        <is>
          <t>PCS</t>
        </is>
      </c>
      <c r="F158" s="70" t="n"/>
      <c r="G158" s="18" t="n"/>
      <c r="H158" s="20">
        <f>SUMIFS(領用表!$L:$L,領用表!$E:$E,$B158,領用表!$B:$B,H$2&amp;$P$1)</f>
        <v/>
      </c>
      <c r="I158" s="20">
        <f>SUMIFS(領用表!$L:$L,領用表!$E:$E,$B158,領用表!$B:$B,I$2&amp;$P$1)</f>
        <v/>
      </c>
      <c r="J158" s="20">
        <f>SUMIFS(領用表!$L:$L,領用表!$E:$E,$B158,領用表!$B:$B,J$2&amp;$P$1)</f>
        <v/>
      </c>
      <c r="K158" s="142">
        <f>SUMIFS(領用表!$L:$L,領用表!$E:$E,$B158,領用表!$B:$B,K$2&amp;$P$1)</f>
        <v/>
      </c>
      <c r="L158" s="142">
        <f>SUMIFS(領用表!$L:$L,領用表!$E:$E,$B158,領用表!$B:$B,L$2&amp;$P$1)</f>
        <v/>
      </c>
      <c r="M158" s="142">
        <f>SUMIFS(領用表!$L:$L,領用表!$E:$E,$B158,領用表!$B:$B,M$2&amp;$P$1)</f>
        <v/>
      </c>
      <c r="N158" s="23">
        <f>SUM(,H158,I158,J158,K158,L158,M158)</f>
        <v/>
      </c>
      <c r="O158" s="23">
        <f>AVERAGE(,H158,I158,J158,K158,L158,M158)</f>
        <v/>
      </c>
      <c r="P158" s="142">
        <f>SUMIFS(領用表!$L:$L,領用表!$E:$E,$B158,領用表!$B:$B,P$2&amp;$P$1)</f>
        <v/>
      </c>
      <c r="Q158" s="142">
        <f>SUMIFS(領用表!$L:$L,領用表!$E:$E,$B158,領用表!$B:$B,Q$2&amp;$P$1)</f>
        <v/>
      </c>
      <c r="R158" s="142">
        <f>SUMIFS(領用表!$L:$L,領用表!$E:$E,$B158,領用表!$B:$B,R$2&amp;$P$1)</f>
        <v/>
      </c>
      <c r="S158" s="142">
        <f>SUMIFS(領用表!$L:$L,領用表!$E:$E,$B158,領用表!$B:$B,S$2&amp;$P$1)</f>
        <v/>
      </c>
      <c r="T158" s="142">
        <f>SUMIFS(領用表!$L:$L,領用表!$E:$E,$B158,領用表!$B:$B,T$2&amp;$P$1)</f>
        <v/>
      </c>
      <c r="U158" s="142">
        <f>SUMIFS(領用表!$L:$L,領用表!$E:$E,$B158,領用表!$B:$B,U$2&amp;$P$1)</f>
        <v/>
      </c>
      <c r="V158" s="142">
        <f>SUMIFS(領用表!$L:$L,領用表!$E:$E,$B158,領用表!$B:$B,V$2&amp;$P$1)</f>
        <v/>
      </c>
      <c r="W158" s="142">
        <f>SUMIFS(領用表!$L:$L,領用表!$E:$E,$B158,領用表!$B:$B,W$2&amp;$P$1)</f>
        <v/>
      </c>
      <c r="X158" s="142">
        <f>SUMIFS(領用表!$L:$L,領用表!$E:$E,$B158,領用表!$B:$B,X$2&amp;$P$1)</f>
        <v/>
      </c>
      <c r="Y158" s="142">
        <f>SUMIFS(領用表!$L:$L,領用表!$E:$E,$B158,領用表!$B:$B,Y$2&amp;$P$1)</f>
        <v/>
      </c>
      <c r="Z158" s="142">
        <f>SUMIFS(領用表!$L:$L,領用表!$E:$E,$B158,領用表!$B:$B,Z$2&amp;$P$1)</f>
        <v/>
      </c>
      <c r="AA158" s="142">
        <f>SUMIFS(領用表!$L:$L,領用表!$E:$E,$B158,領用表!$B:$B,AA$2&amp;$P$1)</f>
        <v/>
      </c>
      <c r="AB158" s="142">
        <f>SUM(P158,Q158,R158,S158,T158,U158)</f>
        <v/>
      </c>
      <c r="AC158" s="142">
        <f>AVERAGE(P158,Q158,R158,S158,T158,U158)</f>
        <v/>
      </c>
      <c r="AD158" s="142">
        <f>SUMIF(Summary!B:B,B158,Summary!EB:EB)</f>
        <v/>
      </c>
      <c r="AE158" s="109" t="n"/>
      <c r="AF158" s="65" t="n"/>
      <c r="AG158" s="65" t="n"/>
      <c r="AH158" s="65" t="n"/>
    </row>
    <row r="159" hidden="1" ht="15.75" customHeight="1" s="453">
      <c r="A159" s="27" t="inlineStr">
        <is>
          <t>DA1GD000017T</t>
        </is>
      </c>
      <c r="B159" s="14" t="e">
        <v>#N/A</v>
      </c>
      <c r="C159" s="136" t="inlineStr">
        <is>
          <t>R3 愛益菌 56盒/箱</t>
        </is>
      </c>
      <c r="D159" s="77" t="n"/>
      <c r="E159" s="17" t="inlineStr">
        <is>
          <t>PCS</t>
        </is>
      </c>
      <c r="F159" s="70" t="n"/>
      <c r="G159" s="18" t="n"/>
      <c r="H159" s="20">
        <f>SUMIFS(領用表!$L:$L,領用表!$E:$E,$B159,領用表!$B:$B,H$2&amp;$P$1)</f>
        <v/>
      </c>
      <c r="I159" s="20">
        <f>SUMIFS(領用表!$L:$L,領用表!$E:$E,$B159,領用表!$B:$B,I$2&amp;$P$1)</f>
        <v/>
      </c>
      <c r="J159" s="20">
        <f>SUMIFS(領用表!$L:$L,領用表!$E:$E,$B159,領用表!$B:$B,J$2&amp;$P$1)</f>
        <v/>
      </c>
      <c r="K159" s="142">
        <f>SUMIFS(領用表!$L:$L,領用表!$E:$E,$B159,領用表!$B:$B,K$2&amp;$P$1)</f>
        <v/>
      </c>
      <c r="L159" s="142">
        <f>SUMIFS(領用表!$L:$L,領用表!$E:$E,$B159,領用表!$B:$B,L$2&amp;$P$1)</f>
        <v/>
      </c>
      <c r="M159" s="142">
        <f>SUMIFS(領用表!$L:$L,領用表!$E:$E,$B159,領用表!$B:$B,M$2&amp;$P$1)</f>
        <v/>
      </c>
      <c r="N159" s="23">
        <f>SUM(,H159,I159,J159,K159,L159,M159)</f>
        <v/>
      </c>
      <c r="O159" s="23">
        <f>AVERAGE(,H159,I159,J159,K159,L159,M159)</f>
        <v/>
      </c>
      <c r="P159" s="142">
        <f>SUMIFS(領用表!$L:$L,領用表!$E:$E,$B159,領用表!$B:$B,P$2&amp;$P$1)</f>
        <v/>
      </c>
      <c r="Q159" s="142">
        <f>SUMIFS(領用表!$L:$L,領用表!$E:$E,$B159,領用表!$B:$B,Q$2&amp;$P$1)</f>
        <v/>
      </c>
      <c r="R159" s="142">
        <f>SUMIFS(領用表!$L:$L,領用表!$E:$E,$B159,領用表!$B:$B,R$2&amp;$P$1)</f>
        <v/>
      </c>
      <c r="S159" s="142">
        <f>SUMIFS(領用表!$L:$L,領用表!$E:$E,$B159,領用表!$B:$B,S$2&amp;$P$1)</f>
        <v/>
      </c>
      <c r="T159" s="142">
        <f>SUMIFS(領用表!$L:$L,領用表!$E:$E,$B159,領用表!$B:$B,T$2&amp;$P$1)</f>
        <v/>
      </c>
      <c r="U159" s="142">
        <f>SUMIFS(領用表!$L:$L,領用表!$E:$E,$B159,領用表!$B:$B,U$2&amp;$P$1)</f>
        <v/>
      </c>
      <c r="V159" s="142">
        <f>SUMIFS(領用表!$L:$L,領用表!$E:$E,$B159,領用表!$B:$B,V$2&amp;$P$1)</f>
        <v/>
      </c>
      <c r="W159" s="142">
        <f>SUMIFS(領用表!$L:$L,領用表!$E:$E,$B159,領用表!$B:$B,W$2&amp;$P$1)</f>
        <v/>
      </c>
      <c r="X159" s="142">
        <f>SUMIFS(領用表!$L:$L,領用表!$E:$E,$B159,領用表!$B:$B,X$2&amp;$P$1)</f>
        <v/>
      </c>
      <c r="Y159" s="142">
        <f>SUMIFS(領用表!$L:$L,領用表!$E:$E,$B159,領用表!$B:$B,Y$2&amp;$P$1)</f>
        <v/>
      </c>
      <c r="Z159" s="142">
        <f>SUMIFS(領用表!$L:$L,領用表!$E:$E,$B159,領用表!$B:$B,Z$2&amp;$P$1)</f>
        <v/>
      </c>
      <c r="AA159" s="142">
        <f>SUMIFS(領用表!$L:$L,領用表!$E:$E,$B159,領用表!$B:$B,AA$2&amp;$P$1)</f>
        <v/>
      </c>
      <c r="AB159" s="142">
        <f>SUM(P159,Q159,R159,S159,T159,U159)</f>
        <v/>
      </c>
      <c r="AC159" s="142">
        <f>AVERAGE(P159,Q159,R159,S159,T159,U159)</f>
        <v/>
      </c>
      <c r="AD159" s="142">
        <f>SUMIF(Summary!B:B,B159,Summary!EB:EB)</f>
        <v/>
      </c>
      <c r="AE159" s="109" t="n"/>
      <c r="AF159" s="65" t="n"/>
      <c r="AG159" s="65" t="n"/>
      <c r="AH159" s="65" t="n"/>
    </row>
    <row r="160" hidden="1" ht="15.75" customHeight="1" s="453">
      <c r="A160" s="27" t="inlineStr">
        <is>
          <t>DN1AA090023T</t>
        </is>
      </c>
      <c r="B160" s="14" t="e">
        <v>#N/A</v>
      </c>
      <c r="C160" s="136" t="inlineStr">
        <is>
          <t>金采肌效生物纖維面膜 30mL</t>
        </is>
      </c>
      <c r="D160" s="77" t="n"/>
      <c r="E160" s="17" t="inlineStr">
        <is>
          <t>PCS</t>
        </is>
      </c>
      <c r="F160" s="70" t="n"/>
      <c r="G160" s="18" t="n"/>
      <c r="H160" s="20">
        <f>SUMIFS(領用表!$L:$L,領用表!$E:$E,$B160,領用表!$B:$B,H$2&amp;$P$1)</f>
        <v/>
      </c>
      <c r="I160" s="20">
        <f>SUMIFS(領用表!$L:$L,領用表!$E:$E,$B160,領用表!$B:$B,I$2&amp;$P$1)</f>
        <v/>
      </c>
      <c r="J160" s="20">
        <f>SUMIFS(領用表!$L:$L,領用表!$E:$E,$B160,領用表!$B:$B,J$2&amp;$P$1)</f>
        <v/>
      </c>
      <c r="K160" s="142">
        <f>SUMIFS(領用表!$L:$L,領用表!$E:$E,$B160,領用表!$B:$B,K$2&amp;$P$1)</f>
        <v/>
      </c>
      <c r="L160" s="142">
        <f>SUMIFS(領用表!$L:$L,領用表!$E:$E,$B160,領用表!$B:$B,L$2&amp;$P$1)</f>
        <v/>
      </c>
      <c r="M160" s="142">
        <f>SUMIFS(領用表!$L:$L,領用表!$E:$E,$B160,領用表!$B:$B,M$2&amp;$P$1)</f>
        <v/>
      </c>
      <c r="N160" s="23">
        <f>SUM(,H160,I160,J160,K160,L160,M160)</f>
        <v/>
      </c>
      <c r="O160" s="23">
        <f>AVERAGE(,H160,I160,J160,K160,L160,M160)</f>
        <v/>
      </c>
      <c r="P160" s="142">
        <f>SUMIFS(領用表!$L:$L,領用表!$E:$E,$B160,領用表!$B:$B,P$2&amp;$P$1)</f>
        <v/>
      </c>
      <c r="Q160" s="142">
        <f>SUMIFS(領用表!$L:$L,領用表!$E:$E,$B160,領用表!$B:$B,Q$2&amp;$P$1)</f>
        <v/>
      </c>
      <c r="R160" s="142">
        <f>SUMIFS(領用表!$L:$L,領用表!$E:$E,$B160,領用表!$B:$B,R$2&amp;$P$1)</f>
        <v/>
      </c>
      <c r="S160" s="142">
        <f>SUMIFS(領用表!$L:$L,領用表!$E:$E,$B160,領用表!$B:$B,S$2&amp;$P$1)</f>
        <v/>
      </c>
      <c r="T160" s="142">
        <f>SUMIFS(領用表!$L:$L,領用表!$E:$E,$B160,領用表!$B:$B,T$2&amp;$P$1)</f>
        <v/>
      </c>
      <c r="U160" s="142">
        <f>SUMIFS(領用表!$L:$L,領用表!$E:$E,$B160,領用表!$B:$B,U$2&amp;$P$1)</f>
        <v/>
      </c>
      <c r="V160" s="142">
        <f>SUMIFS(領用表!$L:$L,領用表!$E:$E,$B160,領用表!$B:$B,V$2&amp;$P$1)</f>
        <v/>
      </c>
      <c r="W160" s="142">
        <f>SUMIFS(領用表!$L:$L,領用表!$E:$E,$B160,領用表!$B:$B,W$2&amp;$P$1)</f>
        <v/>
      </c>
      <c r="X160" s="142">
        <f>SUMIFS(領用表!$L:$L,領用表!$E:$E,$B160,領用表!$B:$B,X$2&amp;$P$1)</f>
        <v/>
      </c>
      <c r="Y160" s="142">
        <f>SUMIFS(領用表!$L:$L,領用表!$E:$E,$B160,領用表!$B:$B,Y$2&amp;$P$1)</f>
        <v/>
      </c>
      <c r="Z160" s="142">
        <f>SUMIFS(領用表!$L:$L,領用表!$E:$E,$B160,領用表!$B:$B,Z$2&amp;$P$1)</f>
        <v/>
      </c>
      <c r="AA160" s="142">
        <f>SUMIFS(領用表!$L:$L,領用表!$E:$E,$B160,領用表!$B:$B,AA$2&amp;$P$1)</f>
        <v/>
      </c>
      <c r="AB160" s="142">
        <f>SUM(P160,Q160,R160,S160,T160,U160)</f>
        <v/>
      </c>
      <c r="AC160" s="142">
        <f>AVERAGE(P160,Q160,R160,S160,T160,U160)</f>
        <v/>
      </c>
      <c r="AD160" s="142">
        <f>SUMIF(Summary!B:B,B160,Summary!EB:EB)</f>
        <v/>
      </c>
      <c r="AE160" s="109" t="n"/>
      <c r="AF160" s="65" t="n"/>
      <c r="AG160" s="65" t="n"/>
      <c r="AH160" s="65" t="n"/>
    </row>
    <row r="161" hidden="1" ht="15.75" customHeight="1" s="453">
      <c r="A161" s="27" t="inlineStr">
        <is>
          <t>DL1GD0100001T</t>
        </is>
      </c>
      <c r="B161" s="14" t="e">
        <v>#N/A</v>
      </c>
      <c r="C161" s="136" t="inlineStr">
        <is>
          <t>甜睡美膠原6g(30入)(繁體版) 24盒/箱</t>
        </is>
      </c>
      <c r="D161" s="77" t="n"/>
      <c r="E161" s="17" t="inlineStr">
        <is>
          <t>PCS</t>
        </is>
      </c>
      <c r="F161" s="70" t="n"/>
      <c r="G161" s="18" t="n"/>
      <c r="H161" s="20">
        <f>SUMIFS(領用表!$L:$L,領用表!$E:$E,$B161,領用表!$B:$B,H$2&amp;$P$1)</f>
        <v/>
      </c>
      <c r="I161" s="20">
        <f>SUMIFS(領用表!$L:$L,領用表!$E:$E,$B161,領用表!$B:$B,I$2&amp;$P$1)</f>
        <v/>
      </c>
      <c r="J161" s="20">
        <f>SUMIFS(領用表!$L:$L,領用表!$E:$E,$B161,領用表!$B:$B,J$2&amp;$P$1)</f>
        <v/>
      </c>
      <c r="K161" s="142">
        <f>SUMIFS(領用表!$L:$L,領用表!$E:$E,$B161,領用表!$B:$B,K$2&amp;$P$1)</f>
        <v/>
      </c>
      <c r="L161" s="142">
        <f>SUMIFS(領用表!$L:$L,領用表!$E:$E,$B161,領用表!$B:$B,L$2&amp;$P$1)</f>
        <v/>
      </c>
      <c r="M161" s="142">
        <f>SUMIFS(領用表!$L:$L,領用表!$E:$E,$B161,領用表!$B:$B,M$2&amp;$P$1)</f>
        <v/>
      </c>
      <c r="N161" s="23">
        <f>SUM(,H161,I161,J161,K161,L161,M161)</f>
        <v/>
      </c>
      <c r="O161" s="23">
        <f>AVERAGE(,H161,I161,J161,K161,L161,M161)</f>
        <v/>
      </c>
      <c r="P161" s="142">
        <f>SUMIFS(領用表!$L:$L,領用表!$E:$E,$B161,領用表!$B:$B,P$2&amp;$P$1)</f>
        <v/>
      </c>
      <c r="Q161" s="142">
        <f>SUMIFS(領用表!$L:$L,領用表!$E:$E,$B161,領用表!$B:$B,Q$2&amp;$P$1)</f>
        <v/>
      </c>
      <c r="R161" s="142">
        <f>SUMIFS(領用表!$L:$L,領用表!$E:$E,$B161,領用表!$B:$B,R$2&amp;$P$1)</f>
        <v/>
      </c>
      <c r="S161" s="142">
        <f>SUMIFS(領用表!$L:$L,領用表!$E:$E,$B161,領用表!$B:$B,S$2&amp;$P$1)</f>
        <v/>
      </c>
      <c r="T161" s="142">
        <f>SUMIFS(領用表!$L:$L,領用表!$E:$E,$B161,領用表!$B:$B,T$2&amp;$P$1)</f>
        <v/>
      </c>
      <c r="U161" s="142">
        <f>SUMIFS(領用表!$L:$L,領用表!$E:$E,$B161,領用表!$B:$B,U$2&amp;$P$1)</f>
        <v/>
      </c>
      <c r="V161" s="142">
        <f>SUMIFS(領用表!$L:$L,領用表!$E:$E,$B161,領用表!$B:$B,V$2&amp;$P$1)</f>
        <v/>
      </c>
      <c r="W161" s="142">
        <f>SUMIFS(領用表!$L:$L,領用表!$E:$E,$B161,領用表!$B:$B,W$2&amp;$P$1)</f>
        <v/>
      </c>
      <c r="X161" s="142">
        <f>SUMIFS(領用表!$L:$L,領用表!$E:$E,$B161,領用表!$B:$B,X$2&amp;$P$1)</f>
        <v/>
      </c>
      <c r="Y161" s="142">
        <f>SUMIFS(領用表!$L:$L,領用表!$E:$E,$B161,領用表!$B:$B,Y$2&amp;$P$1)</f>
        <v/>
      </c>
      <c r="Z161" s="142">
        <f>SUMIFS(領用表!$L:$L,領用表!$E:$E,$B161,領用表!$B:$B,Z$2&amp;$P$1)</f>
        <v/>
      </c>
      <c r="AA161" s="142">
        <f>SUMIFS(領用表!$L:$L,領用表!$E:$E,$B161,領用表!$B:$B,AA$2&amp;$P$1)</f>
        <v/>
      </c>
      <c r="AB161" s="142">
        <f>SUM(P161,Q161,R161,S161,T161,U161)</f>
        <v/>
      </c>
      <c r="AC161" s="142">
        <f>AVERAGE(P161,Q161,R161,S161,T161,U161)</f>
        <v/>
      </c>
      <c r="AD161" s="142">
        <f>SUMIF(Summary!B:B,B161,Summary!EB:EB)</f>
        <v/>
      </c>
      <c r="AE161" s="109" t="n"/>
      <c r="AF161" s="65" t="n"/>
      <c r="AG161" s="65" t="n"/>
      <c r="AH161" s="65" t="n"/>
    </row>
    <row r="162" ht="15.75" customHeight="1" s="453">
      <c r="A162" s="27" t="inlineStr">
        <is>
          <t>DE1AA020008T</t>
        </is>
      </c>
      <c r="B162" s="14" t="e">
        <v>#N/A</v>
      </c>
      <c r="C162" s="136" t="inlineStr">
        <is>
          <t>鑽石光感潔膚乳 100ml</t>
        </is>
      </c>
      <c r="D162" s="77" t="n"/>
      <c r="E162" s="17" t="inlineStr">
        <is>
          <t>PCS</t>
        </is>
      </c>
      <c r="F162" s="70" t="n"/>
      <c r="G162" s="18" t="n"/>
      <c r="H162" s="20">
        <f>SUMIFS(領用表!$L:$L,領用表!$E:$E,$B162,領用表!$B:$B,H$2&amp;$P$1)</f>
        <v/>
      </c>
      <c r="I162" s="20">
        <f>SUMIFS(領用表!$L:$L,領用表!$E:$E,$B162,領用表!$B:$B,I$2&amp;$P$1)</f>
        <v/>
      </c>
      <c r="J162" s="20">
        <f>SUMIFS(領用表!$L:$L,領用表!$E:$E,$B162,領用表!$B:$B,J$2&amp;$P$1)</f>
        <v/>
      </c>
      <c r="K162" s="142">
        <f>SUMIFS(領用表!$L:$L,領用表!$E:$E,$B162,領用表!$B:$B,K$2&amp;$P$1)</f>
        <v/>
      </c>
      <c r="L162" s="142">
        <f>SUMIFS(領用表!$L:$L,領用表!$E:$E,$B162,領用表!$B:$B,L$2&amp;$P$1)</f>
        <v/>
      </c>
      <c r="M162" s="142">
        <f>SUMIFS(領用表!$L:$L,領用表!$E:$E,$B162,領用表!$B:$B,M$2&amp;$P$1)</f>
        <v/>
      </c>
      <c r="N162" s="23">
        <f>SUM(,H162,I162,J162,K162,L162,M162)</f>
        <v/>
      </c>
      <c r="O162" s="23">
        <f>AVERAGE(,H162,I162,J162,K162,L162,M162)</f>
        <v/>
      </c>
      <c r="P162" s="142">
        <f>SUMIFS(領用表!$L:$L,領用表!$E:$E,$B162,領用表!$B:$B,P$2&amp;$P$1)</f>
        <v/>
      </c>
      <c r="Q162" s="405">
        <f>SUMIFS(領用表!$L:$L,領用表!$E:$E,$B162,領用表!$B:$B,Q$2&amp;$P$1)</f>
        <v/>
      </c>
      <c r="R162" s="405">
        <f>SUMIFS(領用表!$L:$L,領用表!$E:$E,$B162,領用表!$B:$B,R$2&amp;$P$1)</f>
        <v/>
      </c>
      <c r="S162" s="405">
        <f>SUMIFS(領用表!$L:$L,領用表!$E:$E,$B162,領用表!$B:$B,S$2&amp;$P$1)</f>
        <v/>
      </c>
      <c r="T162" s="405">
        <f>SUMIFS(領用表!$L:$L,領用表!$E:$E,$B162,領用表!$B:$B,T$2&amp;$P$1)</f>
        <v/>
      </c>
      <c r="U162" s="405">
        <f>SUMIFS(領用表!$L:$L,領用表!$E:$E,$B162,領用表!$B:$B,U$2&amp;$P$1)</f>
        <v/>
      </c>
      <c r="V162" s="405">
        <f>SUMIFS(領用表!$L:$L,領用表!$E:$E,$B162,領用表!$B:$B,V$2&amp;$P$1)</f>
        <v/>
      </c>
      <c r="W162" s="405">
        <f>SUMIFS(領用表!$L:$L,領用表!$E:$E,$B162,領用表!$B:$B,W$2&amp;$P$1)</f>
        <v/>
      </c>
      <c r="X162" s="405">
        <f>SUMIFS(領用表!$L:$L,領用表!$E:$E,$B162,領用表!$B:$B,X$2&amp;$P$1)</f>
        <v/>
      </c>
      <c r="Y162" s="405">
        <f>SUMIFS(領用表!$L:$L,領用表!$E:$E,$B162,領用表!$B:$B,Y$2&amp;$P$1)</f>
        <v/>
      </c>
      <c r="Z162" s="405">
        <f>SUMIFS(領用表!$L:$L,領用表!$E:$E,$B162,領用表!$B:$B,Z$2&amp;$P$1)</f>
        <v/>
      </c>
      <c r="AA162" s="405">
        <f>SUMIFS(領用表!$L:$L,領用表!$E:$E,$B162,領用表!$B:$B,AA$2&amp;$P$1)</f>
        <v/>
      </c>
      <c r="AB162" s="405">
        <f>SUM(P162,Q162,R162,S162,T162,U162)</f>
        <v/>
      </c>
      <c r="AC162" s="405">
        <f>AVERAGE(P162,Q162,R162,S162,T162,U162)</f>
        <v/>
      </c>
      <c r="AD162" s="405">
        <f>SUMIF(Summary!B:B,B162,Summary!EB:EB)</f>
        <v/>
      </c>
      <c r="AE162" s="111" t="n">
        <v>10</v>
      </c>
      <c r="AF162" s="80" t="n"/>
      <c r="AG162" s="83" t="n"/>
      <c r="AH162" s="83" t="n"/>
    </row>
    <row r="163" ht="15.75" customHeight="1" s="453">
      <c r="A163" s="27" t="inlineStr">
        <is>
          <t>TE1AA020007T</t>
        </is>
      </c>
      <c r="B163" s="14" t="n">
        <v>6020002</v>
      </c>
      <c r="C163" s="136" t="inlineStr">
        <is>
          <t>試用-鑽石光感潔膚乳 100ml</t>
        </is>
      </c>
      <c r="D163" s="77" t="n"/>
      <c r="E163" s="17" t="inlineStr">
        <is>
          <t>PCS</t>
        </is>
      </c>
      <c r="F163" s="70" t="n"/>
      <c r="G163" s="18" t="n"/>
      <c r="H163" s="20">
        <f>SUMIFS(領用表!$L:$L,領用表!$E:$E,$B163,領用表!$B:$B,H$2&amp;$P$1)</f>
        <v/>
      </c>
      <c r="I163" s="20">
        <f>SUMIFS(領用表!$L:$L,領用表!$E:$E,$B163,領用表!$B:$B,I$2&amp;$P$1)</f>
        <v/>
      </c>
      <c r="J163" s="20">
        <f>SUMIFS(領用表!$L:$L,領用表!$E:$E,$B163,領用表!$B:$B,J$2&amp;$P$1)</f>
        <v/>
      </c>
      <c r="K163" s="142">
        <f>SUMIFS(領用表!$L:$L,領用表!$E:$E,$B163,領用表!$B:$B,K$2&amp;$P$1)</f>
        <v/>
      </c>
      <c r="L163" s="142">
        <f>SUMIFS(領用表!$L:$L,領用表!$E:$E,$B163,領用表!$B:$B,L$2&amp;$P$1)</f>
        <v/>
      </c>
      <c r="M163" s="142">
        <f>SUMIFS(領用表!$L:$L,領用表!$E:$E,$B163,領用表!$B:$B,M$2&amp;$P$1)</f>
        <v/>
      </c>
      <c r="N163" s="23">
        <f>SUM(,H163,I163,J163,K163,L163,M163)</f>
        <v/>
      </c>
      <c r="O163" s="23">
        <f>AVERAGE(,H163,I163,J163,K163,L163,M163)</f>
        <v/>
      </c>
      <c r="P163" s="142">
        <f>SUMIFS(領用表!$L:$L,領用表!$E:$E,$B163,領用表!$B:$B,P$2&amp;$P$1)</f>
        <v/>
      </c>
      <c r="Q163" s="405">
        <f>SUMIFS(領用表!$L:$L,領用表!$E:$E,$B163,領用表!$B:$B,Q$2&amp;$P$1)</f>
        <v/>
      </c>
      <c r="R163" s="405">
        <f>SUMIFS(領用表!$L:$L,領用表!$E:$E,$B163,領用表!$B:$B,R$2&amp;$P$1)</f>
        <v/>
      </c>
      <c r="S163" s="405">
        <f>SUMIFS(領用表!$L:$L,領用表!$E:$E,$B163,領用表!$B:$B,S$2&amp;$P$1)</f>
        <v/>
      </c>
      <c r="T163" s="405">
        <f>SUMIFS(領用表!$L:$L,領用表!$E:$E,$B163,領用表!$B:$B,T$2&amp;$P$1)</f>
        <v/>
      </c>
      <c r="U163" s="405" t="n"/>
      <c r="V163" s="405">
        <f>SUMIFS(領用表!$L:$L,領用表!$E:$E,$B163,領用表!$B:$B,V$2&amp;$P$1)</f>
        <v/>
      </c>
      <c r="W163" s="405">
        <f>SUMIFS(領用表!$L:$L,領用表!$E:$E,$B163,領用表!$B:$B,W$2&amp;$P$1)</f>
        <v/>
      </c>
      <c r="X163" s="405">
        <f>SUMIFS(領用表!$L:$L,領用表!$E:$E,$B163,領用表!$B:$B,X$2&amp;$P$1)</f>
        <v/>
      </c>
      <c r="Y163" s="405">
        <f>SUMIFS(領用表!$L:$L,領用表!$E:$E,$B163,領用表!$B:$B,Y$2&amp;$P$1)</f>
        <v/>
      </c>
      <c r="Z163" s="405">
        <f>SUMIFS(領用表!$L:$L,領用表!$E:$E,$B163,領用表!$B:$B,Z$2&amp;$P$1)</f>
        <v/>
      </c>
      <c r="AA163" s="405">
        <f>SUMIFS(領用表!$L:$L,領用表!$E:$E,$B163,領用表!$B:$B,AA$2&amp;$P$1)</f>
        <v/>
      </c>
      <c r="AB163" s="405">
        <f>SUM(P163,Q163,R163,S163,T163,U163)</f>
        <v/>
      </c>
      <c r="AC163" s="405">
        <f>AVERAGE(P163,Q163,R163,S163,T163,U163)</f>
        <v/>
      </c>
      <c r="AD163" s="405">
        <f>SUMIF(Summary!B:B,B163,Summary!EB:EB)</f>
        <v/>
      </c>
      <c r="AE163" s="111" t="n">
        <v>0</v>
      </c>
      <c r="AF163" s="80" t="n"/>
      <c r="AG163" s="65" t="n"/>
      <c r="AH163" s="65" t="n"/>
    </row>
    <row r="164" ht="15.75" customHeight="1" s="453">
      <c r="A164" s="27" t="inlineStr">
        <is>
          <t>DN1AB090006T</t>
        </is>
      </c>
      <c r="B164" s="14" t="n">
        <v>1080005</v>
      </c>
      <c r="C164" s="136" t="inlineStr">
        <is>
          <t>明眸撫紋水嫩眼膜 10mL(玫瑰金)</t>
        </is>
      </c>
      <c r="D164" s="77" t="n"/>
      <c r="E164" s="17" t="inlineStr">
        <is>
          <t>PCS</t>
        </is>
      </c>
      <c r="F164" s="70" t="n"/>
      <c r="G164" s="18" t="n"/>
      <c r="H164" s="20">
        <f>SUMIFS(領用表!$L:$L,領用表!$E:$E,$B164,領用表!$B:$B,H$2&amp;$P$1)</f>
        <v/>
      </c>
      <c r="I164" s="20">
        <f>SUMIFS(領用表!$L:$L,領用表!$E:$E,$B164,領用表!$B:$B,I$2&amp;$P$1)</f>
        <v/>
      </c>
      <c r="J164" s="20">
        <f>SUMIFS(領用表!$L:$L,領用表!$E:$E,$B164,領用表!$B:$B,J$2&amp;$P$1)</f>
        <v/>
      </c>
      <c r="K164" s="142">
        <f>SUMIFS(領用表!$L:$L,領用表!$E:$E,$B164,領用表!$B:$B,K$2&amp;$P$1)</f>
        <v/>
      </c>
      <c r="L164" s="142">
        <f>SUMIFS(領用表!$L:$L,領用表!$E:$E,$B164,領用表!$B:$B,L$2&amp;$P$1)</f>
        <v/>
      </c>
      <c r="M164" s="142">
        <f>SUMIFS(領用表!$L:$L,領用表!$E:$E,$B164,領用表!$B:$B,M$2&amp;$P$1)</f>
        <v/>
      </c>
      <c r="N164" s="23">
        <f>SUM(,H164,I164,J164,K164,L164,M164)</f>
        <v/>
      </c>
      <c r="O164" s="23">
        <f>AVERAGE(,H164,I164,J164,K164,L164,M164)</f>
        <v/>
      </c>
      <c r="P164" s="142">
        <f>SUMIFS(領用表!$L:$L,領用表!$E:$E,$B164,領用表!$B:$B,P$2&amp;$P$1)</f>
        <v/>
      </c>
      <c r="Q164" s="142">
        <f>SUMIFS(領用表!$L:$L,領用表!$E:$E,$B164,領用表!$B:$B,Q$2&amp;$P$1)</f>
        <v/>
      </c>
      <c r="R164" s="142">
        <f>SUMIFS(領用表!$L:$L,領用表!$E:$E,$B164,領用表!$B:$B,R$2&amp;$P$1)</f>
        <v/>
      </c>
      <c r="S164" s="142">
        <f>SUMIFS(領用表!$L:$L,領用表!$E:$E,$B164,領用表!$B:$B,S$2&amp;$P$1)</f>
        <v/>
      </c>
      <c r="T164" s="142">
        <f>SUMIFS(領用表!$L:$L,領用表!$E:$E,$B164,領用表!$B:$B,T$2&amp;$P$1)</f>
        <v/>
      </c>
      <c r="U164" s="142">
        <f>SUMIFS(領用表!$L:$L,領用表!$E:$E,$B164,領用表!$B:$B,U$2&amp;$P$1)</f>
        <v/>
      </c>
      <c r="V164" s="142">
        <f>SUMIFS(領用表!$L:$L,領用表!$E:$E,$B164,領用表!$B:$B,V$2&amp;$P$1)</f>
        <v/>
      </c>
      <c r="W164" s="142">
        <f>SUMIFS(領用表!$L:$L,領用表!$E:$E,$B164,領用表!$B:$B,W$2&amp;$P$1)</f>
        <v/>
      </c>
      <c r="X164" s="142">
        <f>SUMIFS(領用表!$L:$L,領用表!$E:$E,$B164,領用表!$B:$B,X$2&amp;$P$1)</f>
        <v/>
      </c>
      <c r="Y164" s="142">
        <f>SUMIFS(領用表!$L:$L,領用表!$E:$E,$B164,領用表!$B:$B,Y$2&amp;$P$1)</f>
        <v/>
      </c>
      <c r="Z164" s="142">
        <f>SUMIFS(領用表!$L:$L,領用表!$E:$E,$B164,領用表!$B:$B,Z$2&amp;$P$1)</f>
        <v/>
      </c>
      <c r="AA164" s="142">
        <f>SUMIFS(領用表!$L:$L,領用表!$E:$E,$B164,領用表!$B:$B,AA$2&amp;$P$1)</f>
        <v/>
      </c>
      <c r="AB164" s="142">
        <f>SUM(P164,Q164,R164,S164,T164,U164)</f>
        <v/>
      </c>
      <c r="AC164" s="142">
        <f>AVERAGE(P164,Q164,R164,S164,T164,U164)</f>
        <v/>
      </c>
      <c r="AD164" s="142">
        <f>SUMIF(Summary!B:B,B164,Summary!EB:EB)</f>
        <v/>
      </c>
      <c r="AE164" s="109" t="n">
        <v>1000</v>
      </c>
      <c r="AF164" s="65" t="n"/>
      <c r="AG164" s="65" t="n"/>
      <c r="AH164" s="65" t="n"/>
    </row>
    <row r="165" ht="15.75" customHeight="1" s="453">
      <c r="A165" s="27" t="inlineStr">
        <is>
          <t>DE1AB090013T</t>
        </is>
      </c>
      <c r="B165" s="14" t="n">
        <v>1080008</v>
      </c>
      <c r="C165" s="136" t="inlineStr">
        <is>
          <t>藍金活酵能量舒壓眼膜 8mL(白)</t>
        </is>
      </c>
      <c r="D165" s="77" t="n"/>
      <c r="E165" s="17" t="inlineStr">
        <is>
          <t>PCS</t>
        </is>
      </c>
      <c r="F165" s="70" t="n"/>
      <c r="G165" s="18" t="n"/>
      <c r="H165" s="20">
        <f>SUMIFS(領用表!$L:$L,領用表!$E:$E,$B165,領用表!$B:$B,H$2&amp;$P$1)</f>
        <v/>
      </c>
      <c r="I165" s="20">
        <f>SUMIFS(領用表!$L:$L,領用表!$E:$E,$B165,領用表!$B:$B,I$2&amp;$P$1)</f>
        <v/>
      </c>
      <c r="J165" s="20">
        <f>SUMIFS(領用表!$L:$L,領用表!$E:$E,$B165,領用表!$B:$B,J$2&amp;$P$1)</f>
        <v/>
      </c>
      <c r="K165" s="142">
        <f>SUMIFS(領用表!$L:$L,領用表!$E:$E,$B165,領用表!$B:$B,K$2&amp;$P$1)</f>
        <v/>
      </c>
      <c r="L165" s="142">
        <f>SUMIFS(領用表!$L:$L,領用表!$E:$E,$B165,領用表!$B:$B,L$2&amp;$P$1)</f>
        <v/>
      </c>
      <c r="M165" s="142">
        <f>SUMIFS(領用表!$L:$L,領用表!$E:$E,$B165,領用表!$B:$B,M$2&amp;$P$1)</f>
        <v/>
      </c>
      <c r="N165" s="23">
        <f>SUM(,H165,I165,J165,K165,L165,M165)</f>
        <v/>
      </c>
      <c r="O165" s="23">
        <f>AVERAGE(,H165,I165,J165,K165,L165,M165)</f>
        <v/>
      </c>
      <c r="P165" s="142">
        <f>SUMIFS(領用表!$L:$L,領用表!$E:$E,$B165,領用表!$B:$B,P$2&amp;$P$1)</f>
        <v/>
      </c>
      <c r="Q165" s="405">
        <f>SUMIFS(領用表!$L:$L,領用表!$E:$E,$B165,領用表!$B:$B,Q$2&amp;$P$1)</f>
        <v/>
      </c>
      <c r="R165" s="405">
        <f>SUMIFS(領用表!$L:$L,領用表!$E:$E,$B165,領用表!$B:$B,R$2&amp;$P$1)</f>
        <v/>
      </c>
      <c r="S165" s="405">
        <f>SUMIFS(領用表!$L:$L,領用表!$E:$E,$B165,領用表!$B:$B,S$2&amp;$P$1)</f>
        <v/>
      </c>
      <c r="T165" s="405">
        <f>SUMIFS(領用表!$L:$L,領用表!$E:$E,$B165,領用表!$B:$B,T$2&amp;$P$1)</f>
        <v/>
      </c>
      <c r="U165" s="405" t="n"/>
      <c r="V165" s="405">
        <f>SUMIFS(領用表!$L:$L,領用表!$E:$E,$B165,領用表!$B:$B,V$2&amp;$P$1)</f>
        <v/>
      </c>
      <c r="W165" s="405">
        <f>SUMIFS(領用表!$L:$L,領用表!$E:$E,$B165,領用表!$B:$B,W$2&amp;$P$1)</f>
        <v/>
      </c>
      <c r="X165" s="405">
        <f>SUMIFS(領用表!$L:$L,領用表!$E:$E,$B165,領用表!$B:$B,X$2&amp;$P$1)</f>
        <v/>
      </c>
      <c r="Y165" s="405">
        <f>SUMIFS(領用表!$L:$L,領用表!$E:$E,$B165,領用表!$B:$B,Y$2&amp;$P$1)</f>
        <v/>
      </c>
      <c r="Z165" s="405">
        <f>SUMIFS(領用表!$L:$L,領用表!$E:$E,$B165,領用表!$B:$B,Z$2&amp;$P$1)</f>
        <v/>
      </c>
      <c r="AA165" s="405">
        <f>SUMIFS(領用表!$L:$L,領用表!$E:$E,$B165,領用表!$B:$B,AA$2&amp;$P$1)</f>
        <v/>
      </c>
      <c r="AB165" s="405">
        <f>SUM(P165,Q165,R165,S165,T165,U165)</f>
        <v/>
      </c>
      <c r="AC165" s="405">
        <f>AVERAGE(P165,Q165,R165,S165,T165,U165)</f>
        <v/>
      </c>
      <c r="AD165" s="405">
        <f>SUMIF(Summary!B:B,B165,Summary!EB:EB)</f>
        <v/>
      </c>
      <c r="AE165" s="111" t="n">
        <v>0</v>
      </c>
      <c r="AF165" s="80" t="n"/>
      <c r="AG165" s="65" t="n"/>
      <c r="AH165" s="65" t="n"/>
    </row>
    <row r="166" ht="15.75" customHeight="1" s="453">
      <c r="A166" s="27" t="inlineStr">
        <is>
          <t>FE1AA200004T</t>
        </is>
      </c>
      <c r="B166" s="14" t="n">
        <v>6230003</v>
      </c>
      <c r="C166" s="136" t="inlineStr">
        <is>
          <t>試用包-光燦輕感防曬隔離乳 2mL(尖嘴單劑包)</t>
        </is>
      </c>
      <c r="D166" s="77" t="n"/>
      <c r="E166" s="17" t="inlineStr">
        <is>
          <t>PCS</t>
        </is>
      </c>
      <c r="F166" s="70" t="n"/>
      <c r="G166" s="18" t="n"/>
      <c r="H166" s="20">
        <f>SUMIFS(領用表!$L:$L,領用表!$E:$E,$B166,領用表!$B:$B,H$2&amp;$P$1)</f>
        <v/>
      </c>
      <c r="I166" s="20">
        <f>SUMIFS(領用表!$L:$L,領用表!$E:$E,$B166,領用表!$B:$B,I$2&amp;$P$1)</f>
        <v/>
      </c>
      <c r="J166" s="20">
        <f>SUMIFS(領用表!$L:$L,領用表!$E:$E,$B166,領用表!$B:$B,J$2&amp;$P$1)</f>
        <v/>
      </c>
      <c r="K166" s="142">
        <f>SUMIFS(領用表!$L:$L,領用表!$E:$E,$B166,領用表!$B:$B,K$2&amp;$P$1)</f>
        <v/>
      </c>
      <c r="L166" s="142">
        <f>SUMIFS(領用表!$L:$L,領用表!$E:$E,$B166,領用表!$B:$B,L$2&amp;$P$1)</f>
        <v/>
      </c>
      <c r="M166" s="142">
        <f>SUMIFS(領用表!$L:$L,領用表!$E:$E,$B166,領用表!$B:$B,M$2&amp;$P$1)</f>
        <v/>
      </c>
      <c r="N166" s="23">
        <f>SUM(,H166,I166,J166,K166,L166,M166)</f>
        <v/>
      </c>
      <c r="O166" s="23">
        <f>AVERAGE(,H166,I166,J166,K166,L166,M166)</f>
        <v/>
      </c>
      <c r="P166" s="142">
        <f>SUMIFS(領用表!$L:$L,領用表!$E:$E,$B166,領用表!$B:$B,P$2&amp;$P$1)</f>
        <v/>
      </c>
      <c r="Q166" s="405">
        <f>SUMIFS(領用表!$L:$L,領用表!$E:$E,$B166,領用表!$B:$B,Q$2&amp;$P$1)</f>
        <v/>
      </c>
      <c r="R166" s="405">
        <f>SUMIFS(領用表!$L:$L,領用表!$E:$E,$B166,領用表!$B:$B,R$2&amp;$P$1)</f>
        <v/>
      </c>
      <c r="S166" s="405">
        <f>SUMIFS(領用表!$L:$L,領用表!$E:$E,$B166,領用表!$B:$B,S$2&amp;$P$1)</f>
        <v/>
      </c>
      <c r="T166" s="405">
        <f>SUMIFS(領用表!$L:$L,領用表!$E:$E,$B166,領用表!$B:$B,T$2&amp;$P$1)</f>
        <v/>
      </c>
      <c r="U166" s="405" t="n"/>
      <c r="V166" s="405">
        <f>SUMIFS(領用表!$L:$L,領用表!$E:$E,$B166,領用表!$B:$B,V$2&amp;$P$1)</f>
        <v/>
      </c>
      <c r="W166" s="405">
        <f>SUMIFS(領用表!$L:$L,領用表!$E:$E,$B166,領用表!$B:$B,W$2&amp;$P$1)</f>
        <v/>
      </c>
      <c r="X166" s="405">
        <f>SUMIFS(領用表!$L:$L,領用表!$E:$E,$B166,領用表!$B:$B,X$2&amp;$P$1)</f>
        <v/>
      </c>
      <c r="Y166" s="405">
        <f>SUMIFS(領用表!$L:$L,領用表!$E:$E,$B166,領用表!$B:$B,Y$2&amp;$P$1)</f>
        <v/>
      </c>
      <c r="Z166" s="405">
        <f>SUMIFS(領用表!$L:$L,領用表!$E:$E,$B166,領用表!$B:$B,Z$2&amp;$P$1)</f>
        <v/>
      </c>
      <c r="AA166" s="405">
        <f>SUMIFS(領用表!$L:$L,領用表!$E:$E,$B166,領用表!$B:$B,AA$2&amp;$P$1)</f>
        <v/>
      </c>
      <c r="AB166" s="405">
        <f>SUM(P166,Q166,R166,S166,T166,U166)</f>
        <v/>
      </c>
      <c r="AC166" s="405">
        <f>AVERAGE(P166,Q166,R166,S166,T166,U166)</f>
        <v/>
      </c>
      <c r="AD166" s="405">
        <f>SUMIF(Summary!B:B,B166,Summary!EB:EB)</f>
        <v/>
      </c>
      <c r="AE166" s="111" t="n">
        <v>0</v>
      </c>
      <c r="AF166" s="80" t="n"/>
      <c r="AG166" s="76" t="n"/>
      <c r="AH166" s="83" t="n"/>
    </row>
    <row r="167" ht="15.75" customHeight="1" s="453">
      <c r="A167" s="27" t="inlineStr">
        <is>
          <t>FE1AA060003T</t>
        </is>
      </c>
      <c r="B167" s="14" t="e">
        <v>#N/A</v>
      </c>
      <c r="C167" s="136" t="inlineStr">
        <is>
          <t>試用包-富勒烯煥齡賦活水凝乳 2mL(尖嘴單劑包)</t>
        </is>
      </c>
      <c r="D167" s="77" t="n"/>
      <c r="E167" s="17" t="inlineStr">
        <is>
          <t>PCS</t>
        </is>
      </c>
      <c r="F167" s="70" t="n"/>
      <c r="G167" s="18" t="n"/>
      <c r="H167" s="20">
        <f>SUMIFS(領用表!$L:$L,領用表!$E:$E,$B167,領用表!$B:$B,H$2&amp;$P$1)</f>
        <v/>
      </c>
      <c r="I167" s="20">
        <f>SUMIFS(領用表!$L:$L,領用表!$E:$E,$B167,領用表!$B:$B,I$2&amp;$P$1)</f>
        <v/>
      </c>
      <c r="J167" s="20">
        <f>SUMIFS(領用表!$L:$L,領用表!$E:$E,$B167,領用表!$B:$B,J$2&amp;$P$1)</f>
        <v/>
      </c>
      <c r="K167" s="142">
        <f>SUMIFS(領用表!$L:$L,領用表!$E:$E,$B167,領用表!$B:$B,K$2&amp;$P$1)</f>
        <v/>
      </c>
      <c r="L167" s="142">
        <f>SUMIFS(領用表!$L:$L,領用表!$E:$E,$B167,領用表!$B:$B,L$2&amp;$P$1)</f>
        <v/>
      </c>
      <c r="M167" s="142">
        <f>SUMIFS(領用表!$L:$L,領用表!$E:$E,$B167,領用表!$B:$B,M$2&amp;$P$1)</f>
        <v/>
      </c>
      <c r="N167" s="23">
        <f>SUM(,H167,I167,J167,K167,L167,M167)</f>
        <v/>
      </c>
      <c r="O167" s="23">
        <f>AVERAGE(,H167,I167,J167,K167,L167,M167)</f>
        <v/>
      </c>
      <c r="P167" s="142">
        <f>SUMIFS(領用表!$L:$L,領用表!$E:$E,$B167,領用表!$B:$B,P$2&amp;$P$1)</f>
        <v/>
      </c>
      <c r="Q167" s="405">
        <f>SUMIFS(領用表!$L:$L,領用表!$E:$E,$B167,領用表!$B:$B,Q$2&amp;$P$1)</f>
        <v/>
      </c>
      <c r="R167" s="405">
        <f>SUMIFS(領用表!$L:$L,領用表!$E:$E,$B167,領用表!$B:$B,R$2&amp;$P$1)</f>
        <v/>
      </c>
      <c r="S167" s="405">
        <f>SUMIFS(領用表!$L:$L,領用表!$E:$E,$B167,領用表!$B:$B,S$2&amp;$P$1)</f>
        <v/>
      </c>
      <c r="T167" s="405">
        <f>SUMIFS(領用表!$L:$L,領用表!$E:$E,$B167,領用表!$B:$B,T$2&amp;$P$1)</f>
        <v/>
      </c>
      <c r="U167" s="405">
        <f>SUMIFS(領用表!$L:$L,領用表!$E:$E,$B167,領用表!$B:$B,U$2&amp;$P$1)</f>
        <v/>
      </c>
      <c r="V167" s="405">
        <f>SUMIFS(領用表!$L:$L,領用表!$E:$E,$B167,領用表!$B:$B,V$2&amp;$P$1)</f>
        <v/>
      </c>
      <c r="W167" s="405">
        <f>SUMIFS(領用表!$L:$L,領用表!$E:$E,$B167,領用表!$B:$B,W$2&amp;$P$1)</f>
        <v/>
      </c>
      <c r="X167" s="405">
        <f>SUMIFS(領用表!$L:$L,領用表!$E:$E,$B167,領用表!$B:$B,X$2&amp;$P$1)</f>
        <v/>
      </c>
      <c r="Y167" s="405">
        <f>SUMIFS(領用表!$L:$L,領用表!$E:$E,$B167,領用表!$B:$B,Y$2&amp;$P$1)</f>
        <v/>
      </c>
      <c r="Z167" s="405">
        <f>SUMIFS(領用表!$L:$L,領用表!$E:$E,$B167,領用表!$B:$B,Z$2&amp;$P$1)</f>
        <v/>
      </c>
      <c r="AA167" s="405">
        <f>SUMIFS(領用表!$L:$L,領用表!$E:$E,$B167,領用表!$B:$B,AA$2&amp;$P$1)</f>
        <v/>
      </c>
      <c r="AB167" s="405">
        <f>SUM(P167,Q167,R167,S167,T167,U167)</f>
        <v/>
      </c>
      <c r="AC167" s="405">
        <f>AVERAGE(P167,Q167,R167,S167,T167,U167)</f>
        <v/>
      </c>
      <c r="AD167" s="405">
        <f>SUMIF(Summary!B:B,B167,Summary!EB:EB)</f>
        <v/>
      </c>
      <c r="AE167" s="111" t="n">
        <v>0</v>
      </c>
      <c r="AF167" s="80" t="n"/>
      <c r="AG167" s="65" t="n"/>
      <c r="AH167" s="65" t="n"/>
    </row>
    <row r="168" ht="15.75" customHeight="1" s="453">
      <c r="A168" s="27" t="inlineStr">
        <is>
          <t>FL1AA030002T</t>
        </is>
      </c>
      <c r="B168" s="14" t="e">
        <v>#N/A</v>
      </c>
      <c r="C168" s="136" t="inlineStr">
        <is>
          <t>試用包 - 水盈潤去角質凝膠 3mL</t>
        </is>
      </c>
      <c r="D168" s="77" t="n"/>
      <c r="E168" s="17" t="inlineStr">
        <is>
          <t>PCS</t>
        </is>
      </c>
      <c r="F168" s="70" t="n"/>
      <c r="G168" s="18" t="n"/>
      <c r="H168" s="20">
        <f>SUMIFS(領用表!$L:$L,領用表!$E:$E,$B168,領用表!$B:$B,H$2&amp;$P$1)</f>
        <v/>
      </c>
      <c r="I168" s="20">
        <f>SUMIFS(領用表!$L:$L,領用表!$E:$E,$B168,領用表!$B:$B,I$2&amp;$P$1)</f>
        <v/>
      </c>
      <c r="J168" s="20">
        <f>SUMIFS(領用表!$L:$L,領用表!$E:$E,$B168,領用表!$B:$B,J$2&amp;$P$1)</f>
        <v/>
      </c>
      <c r="K168" s="142">
        <f>SUMIFS(領用表!$L:$L,領用表!$E:$E,$B168,領用表!$B:$B,K$2&amp;$P$1)</f>
        <v/>
      </c>
      <c r="L168" s="142">
        <f>SUMIFS(領用表!$L:$L,領用表!$E:$E,$B168,領用表!$B:$B,L$2&amp;$P$1)</f>
        <v/>
      </c>
      <c r="M168" s="142">
        <f>SUMIFS(領用表!$L:$L,領用表!$E:$E,$B168,領用表!$B:$B,M$2&amp;$P$1)</f>
        <v/>
      </c>
      <c r="N168" s="23">
        <f>SUM(,H168,I168,J168,K168,L168,M168)</f>
        <v/>
      </c>
      <c r="O168" s="23">
        <f>AVERAGE(,H168,I168,J168,K168,L168,M168)</f>
        <v/>
      </c>
      <c r="P168" s="142">
        <f>SUMIFS(領用表!$L:$L,領用表!$E:$E,$B168,領用表!$B:$B,P$2&amp;$P$1)</f>
        <v/>
      </c>
      <c r="Q168" s="405">
        <f>SUMIFS(領用表!$L:$L,領用表!$E:$E,$B168,領用表!$B:$B,Q$2&amp;$P$1)</f>
        <v/>
      </c>
      <c r="R168" s="405">
        <f>SUMIFS(領用表!$L:$L,領用表!$E:$E,$B168,領用表!$B:$B,R$2&amp;$P$1)</f>
        <v/>
      </c>
      <c r="S168" s="405">
        <f>SUMIFS(領用表!$L:$L,領用表!$E:$E,$B168,領用表!$B:$B,S$2&amp;$P$1)</f>
        <v/>
      </c>
      <c r="T168" s="405">
        <f>SUMIFS(領用表!$L:$L,領用表!$E:$E,$B168,領用表!$B:$B,T$2&amp;$P$1)</f>
        <v/>
      </c>
      <c r="U168" s="405">
        <f>SUMIFS(領用表!$L:$L,領用表!$E:$E,$B168,領用表!$B:$B,U$2&amp;$P$1)</f>
        <v/>
      </c>
      <c r="V168" s="405">
        <f>SUMIFS(領用表!$L:$L,領用表!$E:$E,$B168,領用表!$B:$B,V$2&amp;$P$1)</f>
        <v/>
      </c>
      <c r="W168" s="405">
        <f>SUMIFS(領用表!$L:$L,領用表!$E:$E,$B168,領用表!$B:$B,W$2&amp;$P$1)</f>
        <v/>
      </c>
      <c r="X168" s="405">
        <f>SUMIFS(領用表!$L:$L,領用表!$E:$E,$B168,領用表!$B:$B,X$2&amp;$P$1)</f>
        <v/>
      </c>
      <c r="Y168" s="405">
        <f>SUMIFS(領用表!$L:$L,領用表!$E:$E,$B168,領用表!$B:$B,Y$2&amp;$P$1)</f>
        <v/>
      </c>
      <c r="Z168" s="405">
        <f>SUMIFS(領用表!$L:$L,領用表!$E:$E,$B168,領用表!$B:$B,Z$2&amp;$P$1)</f>
        <v/>
      </c>
      <c r="AA168" s="405">
        <f>SUMIFS(領用表!$L:$L,領用表!$E:$E,$B168,領用表!$B:$B,AA$2&amp;$P$1)</f>
        <v/>
      </c>
      <c r="AB168" s="405">
        <f>SUM(P168,Q168,R168,S168,T168,U168)</f>
        <v/>
      </c>
      <c r="AC168" s="405">
        <f>AVERAGE(P168,Q168,R168,S168,T168,U168)</f>
        <v/>
      </c>
      <c r="AD168" s="405">
        <f>SUMIF(Summary!B:B,B168,Summary!EB:EB)</f>
        <v/>
      </c>
      <c r="AE168" s="111" t="n">
        <v>0</v>
      </c>
      <c r="AF168" s="80" t="n"/>
      <c r="AG168" s="65" t="n"/>
      <c r="AH168" s="65" t="n"/>
    </row>
    <row r="169" ht="15.75" customHeight="1" s="453">
      <c r="A169" s="27" t="inlineStr">
        <is>
          <t>FL1AA060007T</t>
        </is>
      </c>
      <c r="B169" s="14" t="e">
        <v>#N/A</v>
      </c>
      <c r="C169" s="136" t="inlineStr">
        <is>
          <t>試用包-花神臻秘玫瑰肌密晶凝霜 2mL(含紙卡)</t>
        </is>
      </c>
      <c r="D169" s="77" t="n"/>
      <c r="E169" s="17" t="inlineStr">
        <is>
          <t>PCS</t>
        </is>
      </c>
      <c r="F169" s="70" t="n"/>
      <c r="G169" s="18" t="n"/>
      <c r="H169" s="20">
        <f>SUMIFS(領用表!$L:$L,領用表!$E:$E,$B169,領用表!$B:$B,H$2&amp;$P$1)</f>
        <v/>
      </c>
      <c r="I169" s="20">
        <f>SUMIFS(領用表!$L:$L,領用表!$E:$E,$B169,領用表!$B:$B,I$2&amp;$P$1)</f>
        <v/>
      </c>
      <c r="J169" s="20">
        <f>SUMIFS(領用表!$L:$L,領用表!$E:$E,$B169,領用表!$B:$B,J$2&amp;$P$1)</f>
        <v/>
      </c>
      <c r="K169" s="142">
        <f>SUMIFS(領用表!$L:$L,領用表!$E:$E,$B169,領用表!$B:$B,K$2&amp;$P$1)</f>
        <v/>
      </c>
      <c r="L169" s="142">
        <f>SUMIFS(領用表!$L:$L,領用表!$E:$E,$B169,領用表!$B:$B,L$2&amp;$P$1)</f>
        <v/>
      </c>
      <c r="M169" s="142">
        <f>SUMIFS(領用表!$L:$L,領用表!$E:$E,$B169,領用表!$B:$B,M$2&amp;$P$1)</f>
        <v/>
      </c>
      <c r="N169" s="23">
        <f>SUM(,H169,I169,J169,K169,L169,M169)</f>
        <v/>
      </c>
      <c r="O169" s="23">
        <f>AVERAGE(,H169,I169,J169,K169,L169,M169)</f>
        <v/>
      </c>
      <c r="P169" s="142">
        <f>SUMIFS(領用表!$L:$L,領用表!$E:$E,$B169,領用表!$B:$B,P$2&amp;$P$1)</f>
        <v/>
      </c>
      <c r="Q169" s="405">
        <f>SUMIFS(領用表!$L:$L,領用表!$E:$E,$B169,領用表!$B:$B,Q$2&amp;$P$1)</f>
        <v/>
      </c>
      <c r="R169" s="405">
        <f>SUMIFS(領用表!$L:$L,領用表!$E:$E,$B169,領用表!$B:$B,R$2&amp;$P$1)</f>
        <v/>
      </c>
      <c r="S169" s="405">
        <f>SUMIFS(領用表!$L:$L,領用表!$E:$E,$B169,領用表!$B:$B,S$2&amp;$P$1)</f>
        <v/>
      </c>
      <c r="T169" s="405">
        <f>SUMIFS(領用表!$L:$L,領用表!$E:$E,$B169,領用表!$B:$B,T$2&amp;$P$1)</f>
        <v/>
      </c>
      <c r="U169" s="405">
        <f>SUMIFS(領用表!$L:$L,領用表!$E:$E,$B169,領用表!$B:$B,U$2&amp;$P$1)</f>
        <v/>
      </c>
      <c r="V169" s="405">
        <f>SUMIFS(領用表!$L:$L,領用表!$E:$E,$B169,領用表!$B:$B,V$2&amp;$P$1)</f>
        <v/>
      </c>
      <c r="W169" s="405">
        <f>SUMIFS(領用表!$L:$L,領用表!$E:$E,$B169,領用表!$B:$B,W$2&amp;$P$1)</f>
        <v/>
      </c>
      <c r="X169" s="405">
        <f>SUMIFS(領用表!$L:$L,領用表!$E:$E,$B169,領用表!$B:$B,X$2&amp;$P$1)</f>
        <v/>
      </c>
      <c r="Y169" s="405">
        <f>SUMIFS(領用表!$L:$L,領用表!$E:$E,$B169,領用表!$B:$B,Y$2&amp;$P$1)</f>
        <v/>
      </c>
      <c r="Z169" s="405">
        <f>SUMIFS(領用表!$L:$L,領用表!$E:$E,$B169,領用表!$B:$B,Z$2&amp;$P$1)</f>
        <v/>
      </c>
      <c r="AA169" s="405">
        <f>SUMIFS(領用表!$L:$L,領用表!$E:$E,$B169,領用表!$B:$B,AA$2&amp;$P$1)</f>
        <v/>
      </c>
      <c r="AB169" s="405">
        <f>SUM(P169,Q169,R169,S169,T169,U169)</f>
        <v/>
      </c>
      <c r="AC169" s="405">
        <f>AVERAGE(P169,Q169,R169,S169,T169,U169)</f>
        <v/>
      </c>
      <c r="AD169" s="405">
        <f>SUMIF(Summary!B:B,B169,Summary!EB:EB)</f>
        <v/>
      </c>
      <c r="AE169" s="111" t="n">
        <v>0</v>
      </c>
      <c r="AF169" s="80" t="n"/>
      <c r="AG169" s="65" t="n"/>
      <c r="AH169" s="65" t="n"/>
    </row>
    <row r="170" hidden="1" ht="16.5" customHeight="1" s="453">
      <c r="A170" s="27" t="inlineStr">
        <is>
          <t>DN1AA090015T</t>
        </is>
      </c>
      <c r="B170" s="14" t="n">
        <v>1080002</v>
      </c>
      <c r="C170" s="136" t="inlineStr">
        <is>
          <t>神經醯胺水漾保濕面膜/ 30ml</t>
        </is>
      </c>
      <c r="D170" s="77" t="n"/>
      <c r="E170" s="17" t="inlineStr">
        <is>
          <t>PCS</t>
        </is>
      </c>
      <c r="F170" s="70" t="n"/>
      <c r="G170" s="18" t="n"/>
      <c r="H170" s="20">
        <f>SUMIFS(領用表!$L:$L,領用表!$E:$E,$B170,領用表!$B:$B,H$2&amp;$P$1)</f>
        <v/>
      </c>
      <c r="I170" s="20">
        <f>SUMIFS(領用表!$L:$L,領用表!$E:$E,$B170,領用表!$B:$B,I$2&amp;$P$1)</f>
        <v/>
      </c>
      <c r="J170" s="20">
        <f>SUMIFS(領用表!$L:$L,領用表!$E:$E,$B170,領用表!$B:$B,J$2&amp;$P$1)</f>
        <v/>
      </c>
      <c r="K170" s="142">
        <f>SUMIFS(領用表!$L:$L,領用表!$E:$E,$B170,領用表!$B:$B,K$2&amp;$P$1)</f>
        <v/>
      </c>
      <c r="L170" s="142">
        <f>SUMIFS(領用表!$L:$L,領用表!$E:$E,$B170,領用表!$B:$B,L$2&amp;$P$1)</f>
        <v/>
      </c>
      <c r="M170" s="142">
        <f>SUMIFS(領用表!$L:$L,領用表!$E:$E,$B170,領用表!$B:$B,M$2&amp;$P$1)</f>
        <v/>
      </c>
      <c r="N170" s="23">
        <f>SUM(,H170,I170,J170,K170,L170,M170)</f>
        <v/>
      </c>
      <c r="O170" s="23">
        <f>AVERAGE(,H170,I170,J170,K170,L170,M170)</f>
        <v/>
      </c>
      <c r="P170" s="142">
        <f>SUMIFS(領用表!$L:$L,領用表!$E:$E,$B170,領用表!$B:$B,P$2&amp;$P$1)</f>
        <v/>
      </c>
      <c r="Q170" s="142">
        <f>SUMIFS(領用表!$L:$L,領用表!$E:$E,$B170,領用表!$B:$B,Q$2&amp;$P$1)</f>
        <v/>
      </c>
      <c r="R170" s="142">
        <f>SUMIFS(領用表!$L:$L,領用表!$E:$E,$B170,領用表!$B:$B,R$2&amp;$P$1)</f>
        <v/>
      </c>
      <c r="S170" s="142">
        <f>SUMIFS(領用表!$L:$L,領用表!$E:$E,$B170,領用表!$B:$B,S$2&amp;$P$1)</f>
        <v/>
      </c>
      <c r="T170" s="142">
        <f>SUMIFS(領用表!$L:$L,領用表!$E:$E,$B170,領用表!$B:$B,T$2&amp;$P$1)</f>
        <v/>
      </c>
      <c r="U170" s="142" t="n"/>
      <c r="V170" s="142">
        <f>SUMIFS(領用表!$L:$L,領用表!$E:$E,$B170,領用表!$B:$B,V$2&amp;$P$1)</f>
        <v/>
      </c>
      <c r="W170" s="142">
        <f>SUMIFS(領用表!$L:$L,領用表!$E:$E,$B170,領用表!$B:$B,W$2&amp;$P$1)</f>
        <v/>
      </c>
      <c r="X170" s="142">
        <f>SUMIFS(領用表!$L:$L,領用表!$E:$E,$B170,領用表!$B:$B,X$2&amp;$P$1)</f>
        <v/>
      </c>
      <c r="Y170" s="142">
        <f>SUMIFS(領用表!$L:$L,領用表!$E:$E,$B170,領用表!$B:$B,Y$2&amp;$P$1)</f>
        <v/>
      </c>
      <c r="Z170" s="142">
        <f>SUMIFS(領用表!$L:$L,領用表!$E:$E,$B170,領用表!$B:$B,Z$2&amp;$P$1)</f>
        <v/>
      </c>
      <c r="AA170" s="142">
        <f>SUMIFS(領用表!$L:$L,領用表!$E:$E,$B170,領用表!$B:$B,AA$2&amp;$P$1)</f>
        <v/>
      </c>
      <c r="AB170" s="142">
        <f>SUM(P170,Q170,R170,S170,T170,U170)</f>
        <v/>
      </c>
      <c r="AC170" s="142">
        <f>AVERAGE(P170,Q170,R170,S170,T170,U170)</f>
        <v/>
      </c>
      <c r="AD170" s="142">
        <f>SUMIF(Summary!B:B,B170,Summary!EB:EB)</f>
        <v/>
      </c>
      <c r="AE170" s="109" t="n"/>
      <c r="AF170" s="65" t="n"/>
      <c r="AG170" s="65" t="n"/>
      <c r="AH170" s="65" t="n"/>
      <c r="AI170" s="27" t="n"/>
      <c r="AJ170" s="27" t="n"/>
    </row>
    <row r="171" hidden="1" ht="16.5" customHeight="1" s="453">
      <c r="A171" s="27" t="inlineStr">
        <is>
          <t>DN1AA090011T</t>
        </is>
      </c>
      <c r="B171" s="14" t="n">
        <v>1080006</v>
      </c>
      <c r="C171" s="136" t="inlineStr">
        <is>
          <t>肌因抗老修護微導膜 25ml (2015年版)</t>
        </is>
      </c>
      <c r="D171" s="77" t="n"/>
      <c r="E171" s="17" t="inlineStr">
        <is>
          <t>PCS</t>
        </is>
      </c>
      <c r="F171" s="70" t="n"/>
      <c r="G171" s="18" t="n"/>
      <c r="H171" s="20">
        <f>SUMIFS(領用表!$L:$L,領用表!$E:$E,$B171,領用表!$B:$B,H$2&amp;$P$1)</f>
        <v/>
      </c>
      <c r="I171" s="20">
        <f>SUMIFS(領用表!$L:$L,領用表!$E:$E,$B171,領用表!$B:$B,I$2&amp;$P$1)</f>
        <v/>
      </c>
      <c r="J171" s="20">
        <f>SUMIFS(領用表!$L:$L,領用表!$E:$E,$B171,領用表!$B:$B,J$2&amp;$P$1)</f>
        <v/>
      </c>
      <c r="K171" s="142">
        <f>SUMIFS(領用表!$L:$L,領用表!$E:$E,$B171,領用表!$B:$B,K$2&amp;$P$1)</f>
        <v/>
      </c>
      <c r="L171" s="142">
        <f>SUMIFS(領用表!$L:$L,領用表!$E:$E,$B171,領用表!$B:$B,L$2&amp;$P$1)</f>
        <v/>
      </c>
      <c r="M171" s="142">
        <f>SUMIFS(領用表!$L:$L,領用表!$E:$E,$B171,領用表!$B:$B,M$2&amp;$P$1)</f>
        <v/>
      </c>
      <c r="N171" s="23">
        <f>SUM(,H171,I171,J171,K171,L171,M171)</f>
        <v/>
      </c>
      <c r="O171" s="23">
        <f>AVERAGE(,H171,I171,J171,K171,L171,M171)</f>
        <v/>
      </c>
      <c r="P171" s="142">
        <f>SUMIFS(領用表!$L:$L,領用表!$E:$E,$B171,領用表!$B:$B,P$2&amp;$P$1)</f>
        <v/>
      </c>
      <c r="Q171" s="142">
        <f>SUMIFS(領用表!$L:$L,領用表!$E:$E,$B171,領用表!$B:$B,Q$2&amp;$P$1)</f>
        <v/>
      </c>
      <c r="R171" s="142">
        <f>SUMIFS(領用表!$L:$L,領用表!$E:$E,$B171,領用表!$B:$B,R$2&amp;$P$1)</f>
        <v/>
      </c>
      <c r="S171" s="142">
        <f>SUMIFS(領用表!$L:$L,領用表!$E:$E,$B171,領用表!$B:$B,S$2&amp;$P$1)</f>
        <v/>
      </c>
      <c r="T171" s="142">
        <f>SUMIFS(領用表!$L:$L,領用表!$E:$E,$B171,領用表!$B:$B,T$2&amp;$P$1)</f>
        <v/>
      </c>
      <c r="U171" s="142" t="n"/>
      <c r="V171" s="142">
        <f>SUMIFS(領用表!$L:$L,領用表!$E:$E,$B171,領用表!$B:$B,V$2&amp;$P$1)</f>
        <v/>
      </c>
      <c r="W171" s="142">
        <f>SUMIFS(領用表!$L:$L,領用表!$E:$E,$B171,領用表!$B:$B,W$2&amp;$P$1)</f>
        <v/>
      </c>
      <c r="X171" s="142">
        <f>SUMIFS(領用表!$L:$L,領用表!$E:$E,$B171,領用表!$B:$B,X$2&amp;$P$1)</f>
        <v/>
      </c>
      <c r="Y171" s="142">
        <f>SUMIFS(領用表!$L:$L,領用表!$E:$E,$B171,領用表!$B:$B,Y$2&amp;$P$1)</f>
        <v/>
      </c>
      <c r="Z171" s="142">
        <f>SUMIFS(領用表!$L:$L,領用表!$E:$E,$B171,領用表!$B:$B,Z$2&amp;$P$1)</f>
        <v/>
      </c>
      <c r="AA171" s="142">
        <f>SUMIFS(領用表!$L:$L,領用表!$E:$E,$B171,領用表!$B:$B,AA$2&amp;$P$1)</f>
        <v/>
      </c>
      <c r="AB171" s="142">
        <f>SUM(P171,Q171,R171,S171,T171,U171)</f>
        <v/>
      </c>
      <c r="AC171" s="142">
        <f>AVERAGE(P171,Q171,R171,S171,T171,U171)</f>
        <v/>
      </c>
      <c r="AD171" s="142">
        <f>SUMIF(Summary!B:B,B171,Summary!EB:EB)</f>
        <v/>
      </c>
      <c r="AE171" s="109" t="n"/>
      <c r="AF171" s="65" t="n"/>
      <c r="AG171" s="65" t="n"/>
      <c r="AH171" s="76" t="n"/>
    </row>
    <row r="172" hidden="1" ht="16.5" customHeight="1" s="453">
      <c r="A172" s="27" t="inlineStr">
        <is>
          <t>DE1AA090013T</t>
        </is>
      </c>
      <c r="B172" s="14" t="n">
        <v>6080005</v>
      </c>
      <c r="C172" s="136" t="inlineStr">
        <is>
          <t>玻尿酸恆潤保濕面膜 30mL</t>
        </is>
      </c>
      <c r="D172" s="77" t="n"/>
      <c r="E172" s="17" t="inlineStr">
        <is>
          <t>PCS</t>
        </is>
      </c>
      <c r="F172" s="70" t="n"/>
      <c r="G172" s="18" t="n"/>
      <c r="H172" s="20">
        <f>SUMIFS(領用表!$L:$L,領用表!$E:$E,$B172,領用表!$B:$B,H$2&amp;$P$1)</f>
        <v/>
      </c>
      <c r="I172" s="20">
        <f>SUMIFS(領用表!$L:$L,領用表!$E:$E,$B172,領用表!$B:$B,I$2&amp;$P$1)</f>
        <v/>
      </c>
      <c r="J172" s="20">
        <f>SUMIFS(領用表!$L:$L,領用表!$E:$E,$B172,領用表!$B:$B,J$2&amp;$P$1)</f>
        <v/>
      </c>
      <c r="K172" s="142">
        <f>SUMIFS(領用表!$L:$L,領用表!$E:$E,$B172,領用表!$B:$B,K$2&amp;$P$1)</f>
        <v/>
      </c>
      <c r="L172" s="142">
        <f>SUMIFS(領用表!$L:$L,領用表!$E:$E,$B172,領用表!$B:$B,L$2&amp;$P$1)</f>
        <v/>
      </c>
      <c r="M172" s="142">
        <f>SUMIFS(領用表!$L:$L,領用表!$E:$E,$B172,領用表!$B:$B,M$2&amp;$P$1)</f>
        <v/>
      </c>
      <c r="N172" s="23">
        <f>SUM(,H172,I172,J172,K172,L172,M172)</f>
        <v/>
      </c>
      <c r="O172" s="23">
        <f>AVERAGE(,H172,I172,J172,K172,L172,M172)</f>
        <v/>
      </c>
      <c r="P172" s="142">
        <f>SUMIFS(領用表!$L:$L,領用表!$E:$E,$B172,領用表!$B:$B,P$2&amp;$P$1)</f>
        <v/>
      </c>
      <c r="Q172" s="142">
        <f>SUMIFS(領用表!$L:$L,領用表!$E:$E,$B172,領用表!$B:$B,Q$2&amp;$P$1)</f>
        <v/>
      </c>
      <c r="R172" s="142">
        <f>SUMIFS(領用表!$L:$L,領用表!$E:$E,$B172,領用表!$B:$B,R$2&amp;$P$1)</f>
        <v/>
      </c>
      <c r="S172" s="142">
        <f>SUMIFS(領用表!$L:$L,領用表!$E:$E,$B172,領用表!$B:$B,S$2&amp;$P$1)</f>
        <v/>
      </c>
      <c r="T172" s="142">
        <f>SUMIFS(領用表!$L:$L,領用表!$E:$E,$B172,領用表!$B:$B,T$2&amp;$P$1)</f>
        <v/>
      </c>
      <c r="U172" s="142" t="n"/>
      <c r="V172" s="142">
        <f>SUMIFS(領用表!$L:$L,領用表!$E:$E,$B172,領用表!$B:$B,V$2&amp;$P$1)</f>
        <v/>
      </c>
      <c r="W172" s="142">
        <f>SUMIFS(領用表!$L:$L,領用表!$E:$E,$B172,領用表!$B:$B,W$2&amp;$P$1)</f>
        <v/>
      </c>
      <c r="X172" s="142">
        <f>SUMIFS(領用表!$L:$L,領用表!$E:$E,$B172,領用表!$B:$B,X$2&amp;$P$1)</f>
        <v/>
      </c>
      <c r="Y172" s="142">
        <f>SUMIFS(領用表!$L:$L,領用表!$E:$E,$B172,領用表!$B:$B,Y$2&amp;$P$1)</f>
        <v/>
      </c>
      <c r="Z172" s="142">
        <f>SUMIFS(領用表!$L:$L,領用表!$E:$E,$B172,領用表!$B:$B,Z$2&amp;$P$1)</f>
        <v/>
      </c>
      <c r="AA172" s="142">
        <f>SUMIFS(領用表!$L:$L,領用表!$E:$E,$B172,領用表!$B:$B,AA$2&amp;$P$1)</f>
        <v/>
      </c>
      <c r="AB172" s="142">
        <f>SUM(P172,Q172,R172,S172,T172,U172)</f>
        <v/>
      </c>
      <c r="AC172" s="142">
        <f>AVERAGE(P172,Q172,R172,S172,T172,U172)</f>
        <v/>
      </c>
      <c r="AD172" s="142">
        <f>SUMIF(Summary!B:B,B172,Summary!EB:EB)</f>
        <v/>
      </c>
      <c r="AE172" s="109" t="n"/>
      <c r="AF172" s="65" t="n"/>
      <c r="AG172" s="65" t="n"/>
      <c r="AH172" s="65" t="n"/>
    </row>
    <row r="173" hidden="1" ht="16.5" customHeight="1" s="453">
      <c r="A173" s="27" t="inlineStr">
        <is>
          <t>DN1AB090006T</t>
        </is>
      </c>
      <c r="B173" s="14" t="n">
        <v>1080005</v>
      </c>
      <c r="C173" s="136" t="inlineStr">
        <is>
          <t>明眸撫紋水嫩眼膜 10mL(玫瑰金)</t>
        </is>
      </c>
      <c r="D173" s="77" t="n"/>
      <c r="E173" s="17" t="inlineStr">
        <is>
          <t>PCS</t>
        </is>
      </c>
      <c r="F173" s="70" t="n"/>
      <c r="G173" s="18" t="n"/>
      <c r="H173" s="20">
        <f>SUMIFS(領用表!$L:$L,領用表!$E:$E,$B173,領用表!$B:$B,H$2&amp;$P$1)</f>
        <v/>
      </c>
      <c r="I173" s="20">
        <f>SUMIFS(領用表!$L:$L,領用表!$E:$E,$B173,領用表!$B:$B,I$2&amp;$P$1)</f>
        <v/>
      </c>
      <c r="J173" s="20">
        <f>SUMIFS(領用表!$L:$L,領用表!$E:$E,$B173,領用表!$B:$B,J$2&amp;$P$1)</f>
        <v/>
      </c>
      <c r="K173" s="142">
        <f>SUMIFS(領用表!$L:$L,領用表!$E:$E,$B173,領用表!$B:$B,K$2&amp;$P$1)</f>
        <v/>
      </c>
      <c r="L173" s="142">
        <f>SUMIFS(領用表!$L:$L,領用表!$E:$E,$B173,領用表!$B:$B,L$2&amp;$P$1)</f>
        <v/>
      </c>
      <c r="M173" s="142">
        <f>SUMIFS(領用表!$L:$L,領用表!$E:$E,$B173,領用表!$B:$B,M$2&amp;$P$1)</f>
        <v/>
      </c>
      <c r="N173" s="23">
        <f>SUM(,H173,I173,J173,K173,L173,M173)</f>
        <v/>
      </c>
      <c r="O173" s="23">
        <f>AVERAGE(,H173,I173,J173,K173,L173,M173)</f>
        <v/>
      </c>
      <c r="P173" s="142">
        <f>SUMIFS(領用表!$L:$L,領用表!$E:$E,$B173,領用表!$B:$B,P$2&amp;$P$1)</f>
        <v/>
      </c>
      <c r="Q173" s="142">
        <f>SUMIFS(領用表!$L:$L,領用表!$E:$E,$B173,領用表!$B:$B,Q$2&amp;$P$1)</f>
        <v/>
      </c>
      <c r="R173" s="142">
        <f>SUMIFS(領用表!$L:$L,領用表!$E:$E,$B173,領用表!$B:$B,R$2&amp;$P$1)</f>
        <v/>
      </c>
      <c r="S173" s="142">
        <f>SUMIFS(領用表!$L:$L,領用表!$E:$E,$B173,領用表!$B:$B,S$2&amp;$P$1)</f>
        <v/>
      </c>
      <c r="T173" s="142">
        <f>SUMIFS(領用表!$L:$L,領用表!$E:$E,$B173,領用表!$B:$B,T$2&amp;$P$1)</f>
        <v/>
      </c>
      <c r="U173" s="142" t="n"/>
      <c r="V173" s="142">
        <f>SUMIFS(領用表!$L:$L,領用表!$E:$E,$B173,領用表!$B:$B,V$2&amp;$P$1)</f>
        <v/>
      </c>
      <c r="W173" s="142">
        <f>SUMIFS(領用表!$L:$L,領用表!$E:$E,$B173,領用表!$B:$B,W$2&amp;$P$1)</f>
        <v/>
      </c>
      <c r="X173" s="142">
        <f>SUMIFS(領用表!$L:$L,領用表!$E:$E,$B173,領用表!$B:$B,X$2&amp;$P$1)</f>
        <v/>
      </c>
      <c r="Y173" s="142">
        <f>SUMIFS(領用表!$L:$L,領用表!$E:$E,$B173,領用表!$B:$B,Y$2&amp;$P$1)</f>
        <v/>
      </c>
      <c r="Z173" s="142">
        <f>SUMIFS(領用表!$L:$L,領用表!$E:$E,$B173,領用表!$B:$B,Z$2&amp;$P$1)</f>
        <v/>
      </c>
      <c r="AA173" s="142">
        <f>SUMIFS(領用表!$L:$L,領用表!$E:$E,$B173,領用表!$B:$B,AA$2&amp;$P$1)</f>
        <v/>
      </c>
      <c r="AB173" s="142">
        <f>SUM(P173,Q173,R173,S173,T173,U173)</f>
        <v/>
      </c>
      <c r="AC173" s="142">
        <f>AVERAGE(P173,Q173,R173,S173,T173,U173)</f>
        <v/>
      </c>
      <c r="AD173" s="142">
        <f>SUMIF(Summary!B:B,B173,Summary!EB:EB)</f>
        <v/>
      </c>
      <c r="AE173" s="109" t="n"/>
      <c r="AF173" s="65" t="n"/>
      <c r="AG173" s="65" t="n"/>
      <c r="AH173" s="65" t="n"/>
    </row>
    <row r="174" hidden="1" ht="16.5" customHeight="1" s="453">
      <c r="A174" s="27" t="inlineStr">
        <is>
          <t>DL1GD000020T</t>
        </is>
      </c>
      <c r="B174" s="14" t="e">
        <v>#N/A</v>
      </c>
      <c r="C174" s="136" t="inlineStr">
        <is>
          <t>暢護菌益康粉包 3g(30入)(繁體版)</t>
        </is>
      </c>
      <c r="D174" s="77" t="n"/>
      <c r="E174" s="17" t="inlineStr">
        <is>
          <t>PCS</t>
        </is>
      </c>
      <c r="F174" s="70" t="n"/>
      <c r="G174" s="18" t="n"/>
      <c r="H174" s="20">
        <f>SUMIFS(領用表!$L:$L,領用表!$E:$E,$B174,領用表!$B:$B,H$2&amp;$P$1)</f>
        <v/>
      </c>
      <c r="I174" s="20">
        <f>SUMIFS(領用表!$L:$L,領用表!$E:$E,$B174,領用表!$B:$B,I$2&amp;$P$1)</f>
        <v/>
      </c>
      <c r="J174" s="20">
        <f>SUMIFS(領用表!$L:$L,領用表!$E:$E,$B174,領用表!$B:$B,J$2&amp;$P$1)</f>
        <v/>
      </c>
      <c r="K174" s="142">
        <f>SUMIFS(領用表!$L:$L,領用表!$E:$E,$B174,領用表!$B:$B,K$2&amp;$P$1)</f>
        <v/>
      </c>
      <c r="L174" s="142">
        <f>SUMIFS(領用表!$L:$L,領用表!$E:$E,$B174,領用表!$B:$B,L$2&amp;$P$1)</f>
        <v/>
      </c>
      <c r="M174" s="142">
        <f>SUMIFS(領用表!$L:$L,領用表!$E:$E,$B174,領用表!$B:$B,M$2&amp;$P$1)</f>
        <v/>
      </c>
      <c r="N174" s="23">
        <f>SUM(,H174,I174,J174,K174,L174,M174)</f>
        <v/>
      </c>
      <c r="O174" s="23">
        <f>AVERAGE(,H174,I174,J174,K174,L174,M174)</f>
        <v/>
      </c>
      <c r="P174" s="142">
        <f>SUMIFS(領用表!$L:$L,領用表!$E:$E,$B174,領用表!$B:$B,P$2&amp;$P$1)</f>
        <v/>
      </c>
      <c r="Q174" s="142">
        <f>SUMIFS(領用表!$L:$L,領用表!$E:$E,$B174,領用表!$B:$B,Q$2&amp;$P$1)</f>
        <v/>
      </c>
      <c r="R174" s="142">
        <f>SUMIFS(領用表!$L:$L,領用表!$E:$E,$B174,領用表!$B:$B,R$2&amp;$P$1)</f>
        <v/>
      </c>
      <c r="S174" s="142">
        <f>SUMIFS(領用表!$L:$L,領用表!$E:$E,$B174,領用表!$B:$B,S$2&amp;$P$1)</f>
        <v/>
      </c>
      <c r="T174" s="142">
        <f>SUMIFS(領用表!$L:$L,領用表!$E:$E,$B174,領用表!$B:$B,T$2&amp;$P$1)</f>
        <v/>
      </c>
      <c r="U174" s="142">
        <f>SUMIFS(領用表!$L:$L,領用表!$E:$E,$B174,領用表!$B:$B,U$2&amp;$P$1)</f>
        <v/>
      </c>
      <c r="V174" s="142">
        <f>SUMIFS(領用表!$L:$L,領用表!$E:$E,$B174,領用表!$B:$B,V$2&amp;$P$1)</f>
        <v/>
      </c>
      <c r="W174" s="142">
        <f>SUMIFS(領用表!$L:$L,領用表!$E:$E,$B174,領用表!$B:$B,W$2&amp;$P$1)</f>
        <v/>
      </c>
      <c r="X174" s="142">
        <f>SUMIFS(領用表!$L:$L,領用表!$E:$E,$B174,領用表!$B:$B,X$2&amp;$P$1)</f>
        <v/>
      </c>
      <c r="Y174" s="142">
        <f>SUMIFS(領用表!$L:$L,領用表!$E:$E,$B174,領用表!$B:$B,Y$2&amp;$P$1)</f>
        <v/>
      </c>
      <c r="Z174" s="142">
        <f>SUMIFS(領用表!$L:$L,領用表!$E:$E,$B174,領用表!$B:$B,Z$2&amp;$P$1)</f>
        <v/>
      </c>
      <c r="AA174" s="142">
        <f>SUMIFS(領用表!$L:$L,領用表!$E:$E,$B174,領用表!$B:$B,AA$2&amp;$P$1)</f>
        <v/>
      </c>
      <c r="AB174" s="142">
        <f>SUM(P174,Q174,R174,S174,T174,U174)</f>
        <v/>
      </c>
      <c r="AC174" s="142">
        <f>AVERAGE(P174,Q174,R174,S174,T174,U174)</f>
        <v/>
      </c>
      <c r="AD174" s="142">
        <f>SUMIF(Summary!B:B,B174,Summary!EB:EB)</f>
        <v/>
      </c>
      <c r="AE174" s="109" t="n"/>
      <c r="AF174" s="65" t="n"/>
      <c r="AG174" s="65" t="n"/>
      <c r="AH174" s="65" t="n"/>
    </row>
    <row r="175" hidden="1" ht="16.5" customHeight="1" s="453">
      <c r="A175" s="27" t="inlineStr">
        <is>
          <t>DA1GD000017T</t>
        </is>
      </c>
      <c r="B175" s="14" t="e">
        <v>#N/A</v>
      </c>
      <c r="C175" s="136" t="inlineStr">
        <is>
          <t>R3 愛益菌 56盒/箱</t>
        </is>
      </c>
      <c r="D175" s="77" t="n"/>
      <c r="E175" s="17" t="inlineStr">
        <is>
          <t>PCS</t>
        </is>
      </c>
      <c r="F175" s="70" t="n"/>
      <c r="G175" s="18" t="n"/>
      <c r="H175" s="20">
        <f>SUMIFS(領用表!$L:$L,領用表!$E:$E,$B175,領用表!$B:$B,H$2&amp;$P$1)</f>
        <v/>
      </c>
      <c r="I175" s="20">
        <f>SUMIFS(領用表!$L:$L,領用表!$E:$E,$B175,領用表!$B:$B,I$2&amp;$P$1)</f>
        <v/>
      </c>
      <c r="J175" s="20">
        <f>SUMIFS(領用表!$L:$L,領用表!$E:$E,$B175,領用表!$B:$B,J$2&amp;$P$1)</f>
        <v/>
      </c>
      <c r="K175" s="142">
        <f>SUMIFS(領用表!$L:$L,領用表!$E:$E,$B175,領用表!$B:$B,K$2&amp;$P$1)</f>
        <v/>
      </c>
      <c r="L175" s="142">
        <f>SUMIFS(領用表!$L:$L,領用表!$E:$E,$B175,領用表!$B:$B,L$2&amp;$P$1)</f>
        <v/>
      </c>
      <c r="M175" s="142">
        <f>SUMIFS(領用表!$L:$L,領用表!$E:$E,$B175,領用表!$B:$B,M$2&amp;$P$1)</f>
        <v/>
      </c>
      <c r="N175" s="23">
        <f>SUM(,H175,I175,J175,K175,L175,M175)</f>
        <v/>
      </c>
      <c r="O175" s="23">
        <f>AVERAGE(,H175,I175,J175,K175,L175,M175)</f>
        <v/>
      </c>
      <c r="P175" s="142">
        <f>SUMIFS(領用表!$L:$L,領用表!$E:$E,$B175,領用表!$B:$B,P$2&amp;$P$1)</f>
        <v/>
      </c>
      <c r="Q175" s="142">
        <f>SUMIFS(領用表!$L:$L,領用表!$E:$E,$B175,領用表!$B:$B,Q$2&amp;$P$1)</f>
        <v/>
      </c>
      <c r="R175" s="142">
        <f>SUMIFS(領用表!$L:$L,領用表!$E:$E,$B175,領用表!$B:$B,R$2&amp;$P$1)</f>
        <v/>
      </c>
      <c r="S175" s="142">
        <f>SUMIFS(領用表!$L:$L,領用表!$E:$E,$B175,領用表!$B:$B,S$2&amp;$P$1)</f>
        <v/>
      </c>
      <c r="T175" s="142">
        <f>SUMIFS(領用表!$L:$L,領用表!$E:$E,$B175,領用表!$B:$B,T$2&amp;$P$1)</f>
        <v/>
      </c>
      <c r="U175" s="142">
        <f>SUMIFS(領用表!$L:$L,領用表!$E:$E,$B175,領用表!$B:$B,U$2&amp;$P$1)</f>
        <v/>
      </c>
      <c r="V175" s="142">
        <f>SUMIFS(領用表!$L:$L,領用表!$E:$E,$B175,領用表!$B:$B,V$2&amp;$P$1)</f>
        <v/>
      </c>
      <c r="W175" s="142">
        <f>SUMIFS(領用表!$L:$L,領用表!$E:$E,$B175,領用表!$B:$B,W$2&amp;$P$1)</f>
        <v/>
      </c>
      <c r="X175" s="142">
        <f>SUMIFS(領用表!$L:$L,領用表!$E:$E,$B175,領用表!$B:$B,X$2&amp;$P$1)</f>
        <v/>
      </c>
      <c r="Y175" s="142">
        <f>SUMIFS(領用表!$L:$L,領用表!$E:$E,$B175,領用表!$B:$B,Y$2&amp;$P$1)</f>
        <v/>
      </c>
      <c r="Z175" s="142">
        <f>SUMIFS(領用表!$L:$L,領用表!$E:$E,$B175,領用表!$B:$B,Z$2&amp;$P$1)</f>
        <v/>
      </c>
      <c r="AA175" s="142">
        <f>SUMIFS(領用表!$L:$L,領用表!$E:$E,$B175,領用表!$B:$B,AA$2&amp;$P$1)</f>
        <v/>
      </c>
      <c r="AB175" s="142">
        <f>SUM(P175,Q175,R175,S175,T175,U175)</f>
        <v/>
      </c>
      <c r="AC175" s="142">
        <f>AVERAGE(P175,Q175,R175,S175,T175,U175)</f>
        <v/>
      </c>
      <c r="AD175" s="142">
        <f>SUMIF(Summary!B:B,B175,Summary!EB:EB)</f>
        <v/>
      </c>
      <c r="AE175" s="109" t="n"/>
      <c r="AF175" s="65" t="n"/>
      <c r="AG175" s="65" t="n"/>
      <c r="AH175" s="65" t="n"/>
    </row>
    <row r="176" hidden="1" ht="16.5" customHeight="1" s="453">
      <c r="A176" s="27" t="inlineStr">
        <is>
          <t>DN1AA090023T</t>
        </is>
      </c>
      <c r="B176" s="14" t="e">
        <v>#N/A</v>
      </c>
      <c r="C176" s="136" t="inlineStr">
        <is>
          <t>金采肌效生物纖維面膜 30mL</t>
        </is>
      </c>
      <c r="D176" s="77" t="n"/>
      <c r="E176" s="17" t="inlineStr">
        <is>
          <t>PCS</t>
        </is>
      </c>
      <c r="F176" s="70" t="n"/>
      <c r="G176" s="18" t="n"/>
      <c r="H176" s="20">
        <f>SUMIFS(領用表!$L:$L,領用表!$E:$E,$B176,領用表!$B:$B,H$2&amp;$P$1)</f>
        <v/>
      </c>
      <c r="I176" s="20">
        <f>SUMIFS(領用表!$L:$L,領用表!$E:$E,$B176,領用表!$B:$B,I$2&amp;$P$1)</f>
        <v/>
      </c>
      <c r="J176" s="20">
        <f>SUMIFS(領用表!$L:$L,領用表!$E:$E,$B176,領用表!$B:$B,J$2&amp;$P$1)</f>
        <v/>
      </c>
      <c r="K176" s="142">
        <f>SUMIFS(領用表!$L:$L,領用表!$E:$E,$B176,領用表!$B:$B,K$2&amp;$P$1)</f>
        <v/>
      </c>
      <c r="L176" s="142">
        <f>SUMIFS(領用表!$L:$L,領用表!$E:$E,$B176,領用表!$B:$B,L$2&amp;$P$1)</f>
        <v/>
      </c>
      <c r="M176" s="142">
        <f>SUMIFS(領用表!$L:$L,領用表!$E:$E,$B176,領用表!$B:$B,M$2&amp;$P$1)</f>
        <v/>
      </c>
      <c r="N176" s="23">
        <f>SUM(,H176,I176,J176,K176,L176,M176)</f>
        <v/>
      </c>
      <c r="O176" s="23">
        <f>AVERAGE(,H176,I176,J176,K176,L176,M176)</f>
        <v/>
      </c>
      <c r="P176" s="142">
        <f>SUMIFS(領用表!$L:$L,領用表!$E:$E,$B176,領用表!$B:$B,P$2&amp;$P$1)</f>
        <v/>
      </c>
      <c r="Q176" s="142">
        <f>SUMIFS(領用表!$L:$L,領用表!$E:$E,$B176,領用表!$B:$B,Q$2&amp;$P$1)</f>
        <v/>
      </c>
      <c r="R176" s="142">
        <f>SUMIFS(領用表!$L:$L,領用表!$E:$E,$B176,領用表!$B:$B,R$2&amp;$P$1)</f>
        <v/>
      </c>
      <c r="S176" s="142">
        <f>SUMIFS(領用表!$L:$L,領用表!$E:$E,$B176,領用表!$B:$B,S$2&amp;$P$1)</f>
        <v/>
      </c>
      <c r="T176" s="142">
        <f>SUMIFS(領用表!$L:$L,領用表!$E:$E,$B176,領用表!$B:$B,T$2&amp;$P$1)</f>
        <v/>
      </c>
      <c r="U176" s="142">
        <f>SUMIFS(領用表!$L:$L,領用表!$E:$E,$B176,領用表!$B:$B,U$2&amp;$P$1)</f>
        <v/>
      </c>
      <c r="V176" s="142">
        <f>SUMIFS(領用表!$L:$L,領用表!$E:$E,$B176,領用表!$B:$B,V$2&amp;$P$1)</f>
        <v/>
      </c>
      <c r="W176" s="142">
        <f>SUMIFS(領用表!$L:$L,領用表!$E:$E,$B176,領用表!$B:$B,W$2&amp;$P$1)</f>
        <v/>
      </c>
      <c r="X176" s="142">
        <f>SUMIFS(領用表!$L:$L,領用表!$E:$E,$B176,領用表!$B:$B,X$2&amp;$P$1)</f>
        <v/>
      </c>
      <c r="Y176" s="142">
        <f>SUMIFS(領用表!$L:$L,領用表!$E:$E,$B176,領用表!$B:$B,Y$2&amp;$P$1)</f>
        <v/>
      </c>
      <c r="Z176" s="142">
        <f>SUMIFS(領用表!$L:$L,領用表!$E:$E,$B176,領用表!$B:$B,Z$2&amp;$P$1)</f>
        <v/>
      </c>
      <c r="AA176" s="142">
        <f>SUMIFS(領用表!$L:$L,領用表!$E:$E,$B176,領用表!$B:$B,AA$2&amp;$P$1)</f>
        <v/>
      </c>
      <c r="AB176" s="142">
        <f>SUM(P176,Q176,R176,S176,T176,U176)</f>
        <v/>
      </c>
      <c r="AC176" s="142">
        <f>AVERAGE(P176,Q176,R176,S176,T176,U176)</f>
        <v/>
      </c>
      <c r="AD176" s="142">
        <f>SUMIF(Summary!B:B,B176,Summary!EB:EB)</f>
        <v/>
      </c>
      <c r="AE176" s="109" t="n"/>
      <c r="AF176" s="65" t="n"/>
      <c r="AG176" s="65" t="n"/>
      <c r="AH176" s="65" t="n"/>
    </row>
    <row r="177" hidden="1" ht="14.25" customHeight="1" s="453">
      <c r="A177" s="27" t="inlineStr">
        <is>
          <t>TL1BK130005T</t>
        </is>
      </c>
      <c r="B177" s="14" t="e">
        <v>#N/A</v>
      </c>
      <c r="C177" s="136" t="inlineStr">
        <is>
          <t>試用-日出朝陽按摩油 200ml</t>
        </is>
      </c>
      <c r="D177" s="77" t="n"/>
      <c r="E177" s="17" t="inlineStr">
        <is>
          <t>PCS</t>
        </is>
      </c>
      <c r="F177" s="70" t="n"/>
      <c r="G177" s="18" t="n"/>
      <c r="H177" s="20">
        <f>SUMIFS(領用表!$L:$L,領用表!$E:$E,$B177,領用表!$B:$B,H$2&amp;$P$1)</f>
        <v/>
      </c>
      <c r="I177" s="20">
        <f>SUMIFS(領用表!$L:$L,領用表!$E:$E,$B177,領用表!$B:$B,I$2&amp;$P$1)</f>
        <v/>
      </c>
      <c r="J177" s="20">
        <f>SUMIFS(領用表!$L:$L,領用表!$E:$E,$B177,領用表!$B:$B,J$2&amp;$P$1)</f>
        <v/>
      </c>
      <c r="K177" s="142">
        <f>SUMIFS(領用表!$L:$L,領用表!$E:$E,$B177,領用表!$B:$B,K$2&amp;$P$1)</f>
        <v/>
      </c>
      <c r="L177" s="142">
        <f>SUMIFS(領用表!$L:$L,領用表!$E:$E,$B177,領用表!$B:$B,L$2&amp;$P$1)</f>
        <v/>
      </c>
      <c r="M177" s="142">
        <f>SUMIFS(領用表!$L:$L,領用表!$E:$E,$B177,領用表!$B:$B,M$2&amp;$P$1)</f>
        <v/>
      </c>
      <c r="N177" s="23">
        <f>SUM(,H177,I177,J177,K177,L177,M177)</f>
        <v/>
      </c>
      <c r="O177" s="23">
        <f>AVERAGE(,H177,I177,J177,K177,L177,M177)</f>
        <v/>
      </c>
      <c r="P177" s="142">
        <f>SUMIFS(領用表!$L:$L,領用表!$E:$E,$B177,領用表!$B:$B,P$2&amp;$P$1)</f>
        <v/>
      </c>
      <c r="Q177" s="405">
        <f>SUMIFS(領用表!$L:$L,領用表!$E:$E,$B177,領用表!$B:$B,Q$2&amp;$P$1)</f>
        <v/>
      </c>
      <c r="R177" s="405">
        <f>SUMIFS(領用表!$L:$L,領用表!$E:$E,$B177,領用表!$B:$B,R$2&amp;$P$1)</f>
        <v/>
      </c>
      <c r="S177" s="405">
        <f>SUMIFS(領用表!$L:$L,領用表!$E:$E,$B177,領用表!$B:$B,S$2&amp;$P$1)</f>
        <v/>
      </c>
      <c r="T177" s="405">
        <f>SUMIFS(領用表!$L:$L,領用表!$E:$E,$B177,領用表!$B:$B,T$2&amp;$P$1)</f>
        <v/>
      </c>
      <c r="U177" s="405">
        <f>SUMIFS(領用表!$L:$L,領用表!$E:$E,$B177,領用表!$B:$B,U$2&amp;$P$1)</f>
        <v/>
      </c>
      <c r="V177" s="405">
        <f>SUMIFS(領用表!$L:$L,領用表!$E:$E,$B177,領用表!$B:$B,V$2&amp;$P$1)</f>
        <v/>
      </c>
      <c r="W177" s="405">
        <f>SUMIFS(領用表!$L:$L,領用表!$E:$E,$B177,領用表!$B:$B,W$2&amp;$P$1)</f>
        <v/>
      </c>
      <c r="X177" s="405">
        <f>SUMIFS(領用表!$L:$L,領用表!$E:$E,$B177,領用表!$B:$B,X$2&amp;$P$1)</f>
        <v/>
      </c>
      <c r="Y177" s="405">
        <f>SUMIFS(領用表!$L:$L,領用表!$E:$E,$B177,領用表!$B:$B,Y$2&amp;$P$1)</f>
        <v/>
      </c>
      <c r="Z177" s="405">
        <f>SUMIFS(領用表!$L:$L,領用表!$E:$E,$B177,領用表!$B:$B,Z$2&amp;$P$1)</f>
        <v/>
      </c>
      <c r="AA177" s="405">
        <f>SUMIFS(領用表!$L:$L,領用表!$E:$E,$B177,領用表!$B:$B,AA$2&amp;$P$1)</f>
        <v/>
      </c>
      <c r="AB177" s="405">
        <f>SUM(P177,Q177,R177,S177,T177,U177)</f>
        <v/>
      </c>
      <c r="AC177" s="405">
        <f>AVERAGE(P177,Q177,R177,S177,T177,U177)</f>
        <v/>
      </c>
      <c r="AD177" s="405">
        <f>SUMIF(Summary!B:B,B177,Summary!EB:EB)</f>
        <v/>
      </c>
      <c r="AE177" s="111" t="n"/>
      <c r="AF177" s="80" t="n"/>
      <c r="AG177" s="76" t="n"/>
      <c r="AH177" s="65" t="n"/>
    </row>
    <row r="178" ht="16.5" customHeight="1" s="453">
      <c r="A178" s="27" t="inlineStr">
        <is>
          <t>DL1BE070001T</t>
        </is>
      </c>
      <c r="B178" s="14" t="e">
        <v>#N/A</v>
      </c>
      <c r="C178" s="136" t="inlineStr">
        <is>
          <t>天使漫步腿部舒緩霜 250mL</t>
        </is>
      </c>
      <c r="D178" s="77" t="n"/>
      <c r="E178" s="17" t="inlineStr">
        <is>
          <t>PCS</t>
        </is>
      </c>
      <c r="F178" s="70" t="n"/>
      <c r="G178" s="18" t="n"/>
      <c r="H178" s="20">
        <f>SUMIFS(領用表!$L:$L,領用表!$E:$E,$B178,領用表!$B:$B,H$2&amp;$P$1)</f>
        <v/>
      </c>
      <c r="I178" s="20">
        <f>SUMIFS(領用表!$L:$L,領用表!$E:$E,$B178,領用表!$B:$B,I$2&amp;$P$1)</f>
        <v/>
      </c>
      <c r="J178" s="20">
        <f>SUMIFS(領用表!$L:$L,領用表!$E:$E,$B178,領用表!$B:$B,J$2&amp;$P$1)</f>
        <v/>
      </c>
      <c r="K178" s="142">
        <f>SUMIFS(領用表!$L:$L,領用表!$E:$E,$B178,領用表!$B:$B,K$2&amp;$P$1)</f>
        <v/>
      </c>
      <c r="L178" s="142">
        <f>SUMIFS(領用表!$L:$L,領用表!$E:$E,$B178,領用表!$B:$B,L$2&amp;$P$1)</f>
        <v/>
      </c>
      <c r="M178" s="142">
        <f>SUMIFS(領用表!$L:$L,領用表!$E:$E,$B178,領用表!$B:$B,M$2&amp;$P$1)</f>
        <v/>
      </c>
      <c r="N178" s="23">
        <f>SUM(,H178,I178,J178,K178,L178,M178)</f>
        <v/>
      </c>
      <c r="O178" s="23">
        <f>AVERAGE(,H178,I178,J178,K178,L178,M178)</f>
        <v/>
      </c>
      <c r="P178" s="142">
        <f>SUMIFS(領用表!$L:$L,領用表!$E:$E,$B178,領用表!$B:$B,P$2&amp;$P$1)</f>
        <v/>
      </c>
      <c r="Q178" s="405">
        <f>SUMIFS(領用表!$L:$L,領用表!$E:$E,$B178,領用表!$B:$B,Q$2&amp;$P$1)</f>
        <v/>
      </c>
      <c r="R178" s="405">
        <f>SUMIFS(領用表!$L:$L,領用表!$E:$E,$B178,領用表!$B:$B,R$2&amp;$P$1)</f>
        <v/>
      </c>
      <c r="S178" s="405">
        <f>SUMIFS(領用表!$L:$L,領用表!$E:$E,$B178,領用表!$B:$B,S$2&amp;$P$1)</f>
        <v/>
      </c>
      <c r="T178" s="405">
        <f>SUMIFS(領用表!$L:$L,領用表!$E:$E,$B178,領用表!$B:$B,T$2&amp;$P$1)</f>
        <v/>
      </c>
      <c r="U178" s="405">
        <f>SUMIFS(領用表!$L:$L,領用表!$E:$E,$B178,領用表!$B:$B,U$2&amp;$P$1)</f>
        <v/>
      </c>
      <c r="V178" s="405">
        <f>SUMIFS(領用表!$L:$L,領用表!$E:$E,$B178,領用表!$B:$B,V$2&amp;$P$1)</f>
        <v/>
      </c>
      <c r="W178" s="405">
        <f>SUMIFS(領用表!$L:$L,領用表!$E:$E,$B178,領用表!$B:$B,W$2&amp;$P$1)</f>
        <v/>
      </c>
      <c r="X178" s="405">
        <f>SUMIFS(領用表!$L:$L,領用表!$E:$E,$B178,領用表!$B:$B,X$2&amp;$P$1)</f>
        <v/>
      </c>
      <c r="Y178" s="405">
        <f>SUMIFS(領用表!$L:$L,領用表!$E:$E,$B178,領用表!$B:$B,Y$2&amp;$P$1)</f>
        <v/>
      </c>
      <c r="Z178" s="405">
        <f>SUMIFS(領用表!$L:$L,領用表!$E:$E,$B178,領用表!$B:$B,Z$2&amp;$P$1)</f>
        <v/>
      </c>
      <c r="AA178" s="405">
        <f>SUMIFS(領用表!$L:$L,領用表!$E:$E,$B178,領用表!$B:$B,AA$2&amp;$P$1)</f>
        <v/>
      </c>
      <c r="AB178" s="405">
        <f>SUM(P178,Q178,R178,S178,T178,U178)</f>
        <v/>
      </c>
      <c r="AC178" s="405">
        <f>AVERAGE(P178,Q178,R178,S178,T178,U178)</f>
        <v/>
      </c>
      <c r="AD178" s="405">
        <f>SUMIF(Summary!B:B,B178,Summary!EB:EB)</f>
        <v/>
      </c>
      <c r="AE178" s="111" t="n">
        <v>15</v>
      </c>
      <c r="AF178" s="80" t="n"/>
      <c r="AG178" s="65" t="n"/>
      <c r="AH178" s="65" t="n"/>
    </row>
    <row r="179" hidden="1" ht="16.5" customHeight="1" s="453">
      <c r="A179" s="27" t="inlineStr">
        <is>
          <t>DL1GA000071T</t>
        </is>
      </c>
      <c r="B179" s="14" t="e">
        <v>#N/A</v>
      </c>
      <c r="C179" s="136" t="inlineStr">
        <is>
          <t>新纖有酵蔬果酵素飲50ml(15入)停產</t>
        </is>
      </c>
      <c r="D179" s="77" t="n"/>
      <c r="E179" s="17" t="inlineStr">
        <is>
          <t>PCS</t>
        </is>
      </c>
      <c r="F179" s="70" t="n"/>
      <c r="G179" s="18" t="n"/>
      <c r="H179" s="20">
        <f>SUMIFS(領用表!$L:$L,領用表!$E:$E,$B179,領用表!$B:$B,H$2&amp;$P$1)</f>
        <v/>
      </c>
      <c r="I179" s="20">
        <f>SUMIFS(領用表!$L:$L,領用表!$E:$E,$B179,領用表!$B:$B,I$2&amp;$P$1)</f>
        <v/>
      </c>
      <c r="J179" s="20">
        <f>SUMIFS(領用表!$L:$L,領用表!$E:$E,$B179,領用表!$B:$B,J$2&amp;$P$1)</f>
        <v/>
      </c>
      <c r="K179" s="142">
        <f>SUMIFS(領用表!$L:$L,領用表!$E:$E,$B179,領用表!$B:$B,K$2&amp;$P$1)</f>
        <v/>
      </c>
      <c r="L179" s="142">
        <f>SUMIFS(領用表!$L:$L,領用表!$E:$E,$B179,領用表!$B:$B,L$2&amp;$P$1)</f>
        <v/>
      </c>
      <c r="M179" s="142">
        <f>SUMIFS(領用表!$L:$L,領用表!$E:$E,$B179,領用表!$B:$B,M$2&amp;$P$1)</f>
        <v/>
      </c>
      <c r="N179" s="23">
        <f>SUM(,H179,I179,J179,K179,L179,M179)</f>
        <v/>
      </c>
      <c r="O179" s="23">
        <f>AVERAGE(,H179,I179,J179,K179,L179,M179)</f>
        <v/>
      </c>
      <c r="P179" s="142">
        <f>SUMIFS(領用表!$L:$L,領用表!$E:$E,$B179,領用表!$B:$B,P$2&amp;$P$1)</f>
        <v/>
      </c>
      <c r="Q179" s="405">
        <f>SUMIFS(領用表!$L:$L,領用表!$E:$E,$B179,領用表!$B:$B,Q$2&amp;$P$1)</f>
        <v/>
      </c>
      <c r="R179" s="405" t="n"/>
      <c r="S179" s="405" t="n"/>
      <c r="T179" s="405" t="n"/>
      <c r="U179" s="405" t="n"/>
      <c r="V179" s="405" t="n"/>
      <c r="W179" s="405" t="n"/>
      <c r="X179" s="405" t="n"/>
      <c r="Y179" s="405" t="n"/>
      <c r="Z179" s="405" t="n"/>
      <c r="AA179" s="405" t="n"/>
      <c r="AB179" s="405">
        <f>SUM(P179,Q179,R179,S179,T179,U179)</f>
        <v/>
      </c>
      <c r="AC179" s="405">
        <f>AVERAGE(P179,Q179,R179,S179,T179,U179)</f>
        <v/>
      </c>
      <c r="AD179" s="405">
        <f>SUMIF(Summary!B:B,B179,Summary!EB:EB)</f>
        <v/>
      </c>
      <c r="AE179" s="111" t="n"/>
      <c r="AF179" s="80" t="n"/>
      <c r="AG179" s="65" t="n"/>
      <c r="AH179" s="65" t="n"/>
    </row>
    <row r="180" hidden="1" ht="16.5" customHeight="1" s="453">
      <c r="A180" s="27" t="inlineStr">
        <is>
          <t>DL1GA000066T</t>
        </is>
      </c>
      <c r="B180" s="14" t="e">
        <v>#N/A</v>
      </c>
      <c r="C180" s="136" t="inlineStr">
        <is>
          <t>青春機密膠原飲 60ml(10入)停產</t>
        </is>
      </c>
      <c r="D180" s="77" t="n"/>
      <c r="E180" s="17" t="inlineStr">
        <is>
          <t>PCS</t>
        </is>
      </c>
      <c r="F180" s="70" t="n"/>
      <c r="G180" s="18" t="n"/>
      <c r="H180" s="20">
        <f>SUMIFS(領用表!$L:$L,領用表!$E:$E,$B180,領用表!$B:$B,H$2&amp;$P$1)</f>
        <v/>
      </c>
      <c r="I180" s="20">
        <f>SUMIFS(領用表!$L:$L,領用表!$E:$E,$B180,領用表!$B:$B,I$2&amp;$P$1)</f>
        <v/>
      </c>
      <c r="J180" s="20">
        <f>SUMIFS(領用表!$L:$L,領用表!$E:$E,$B180,領用表!$B:$B,J$2&amp;$P$1)</f>
        <v/>
      </c>
      <c r="K180" s="142">
        <f>SUMIFS(領用表!$L:$L,領用表!$E:$E,$B180,領用表!$B:$B,K$2&amp;$P$1)</f>
        <v/>
      </c>
      <c r="L180" s="142">
        <f>SUMIFS(領用表!$L:$L,領用表!$E:$E,$B180,領用表!$B:$B,L$2&amp;$P$1)</f>
        <v/>
      </c>
      <c r="M180" s="142">
        <f>SUMIFS(領用表!$L:$L,領用表!$E:$E,$B180,領用表!$B:$B,M$2&amp;$P$1)</f>
        <v/>
      </c>
      <c r="N180" s="23">
        <f>SUM(,H180,I180,J180,K180,L180,M180)</f>
        <v/>
      </c>
      <c r="O180" s="23">
        <f>AVERAGE(,H180,I180,J180,K180,L180,M180)</f>
        <v/>
      </c>
      <c r="P180" s="142">
        <f>SUMIFS(領用表!$L:$L,領用表!$E:$E,$B180,領用表!$B:$B,P$2&amp;$P$1)</f>
        <v/>
      </c>
      <c r="Q180" s="405">
        <f>SUMIFS(領用表!$L:$L,領用表!$E:$E,$B180,領用表!$B:$B,Q$2&amp;$P$1)</f>
        <v/>
      </c>
      <c r="R180" s="405" t="n"/>
      <c r="S180" s="405" t="n"/>
      <c r="T180" s="405" t="n"/>
      <c r="U180" s="405" t="n"/>
      <c r="V180" s="405" t="n"/>
      <c r="W180" s="405" t="n"/>
      <c r="X180" s="405" t="n"/>
      <c r="Y180" s="405" t="n"/>
      <c r="Z180" s="405" t="n"/>
      <c r="AA180" s="405" t="n"/>
      <c r="AB180" s="405">
        <f>SUM(P180,Q180,R180,S180,T180,U180)</f>
        <v/>
      </c>
      <c r="AC180" s="405">
        <f>AVERAGE(P180,Q180,R180,S180,T180,U180)</f>
        <v/>
      </c>
      <c r="AD180" s="405">
        <f>SUMIF(Summary!B:B,B180,Summary!EB:EB)</f>
        <v/>
      </c>
      <c r="AE180" s="111" t="n"/>
      <c r="AF180" s="80" t="n"/>
      <c r="AG180" s="65" t="n"/>
      <c r="AH180" s="65" t="n"/>
    </row>
    <row r="181" hidden="1" ht="16.5" customHeight="1" s="453">
      <c r="A181" s="27" t="inlineStr">
        <is>
          <t>DL1GD0100001T</t>
        </is>
      </c>
      <c r="B181" s="14" t="e">
        <v>#N/A</v>
      </c>
      <c r="C181" s="136" t="inlineStr">
        <is>
          <t>甜睡美膠原6g(30入)(繁體版) 24盒/箱</t>
        </is>
      </c>
      <c r="D181" s="77" t="n"/>
      <c r="E181" s="17" t="inlineStr">
        <is>
          <t>PCS</t>
        </is>
      </c>
      <c r="F181" s="70" t="n"/>
      <c r="G181" s="18" t="n"/>
      <c r="H181" s="20">
        <f>SUMIFS(領用表!$L:$L,領用表!$E:$E,$B181,領用表!$B:$B,H$2&amp;$P$1)</f>
        <v/>
      </c>
      <c r="I181" s="20">
        <f>SUMIFS(領用表!$L:$L,領用表!$E:$E,$B181,領用表!$B:$B,I$2&amp;$P$1)</f>
        <v/>
      </c>
      <c r="J181" s="20">
        <f>SUMIFS(領用表!$L:$L,領用表!$E:$E,$B181,領用表!$B:$B,J$2&amp;$P$1)</f>
        <v/>
      </c>
      <c r="K181" s="142">
        <f>SUMIFS(領用表!$L:$L,領用表!$E:$E,$B181,領用表!$B:$B,K$2&amp;$P$1)</f>
        <v/>
      </c>
      <c r="L181" s="142">
        <f>SUMIFS(領用表!$L:$L,領用表!$E:$E,$B181,領用表!$B:$B,L$2&amp;$P$1)</f>
        <v/>
      </c>
      <c r="M181" s="142">
        <f>SUMIFS(領用表!$L:$L,領用表!$E:$E,$B181,領用表!$B:$B,M$2&amp;$P$1)</f>
        <v/>
      </c>
      <c r="N181" s="23">
        <f>SUM(,H181,I181,J181,K181,L181,M181)</f>
        <v/>
      </c>
      <c r="O181" s="23">
        <f>AVERAGE(,H181,I181,J181,K181,L181,M181)</f>
        <v/>
      </c>
      <c r="P181" s="142">
        <f>SUMIFS(領用表!$L:$L,領用表!$E:$E,$B181,領用表!$B:$B,P$2&amp;$P$1)</f>
        <v/>
      </c>
      <c r="Q181" s="405">
        <f>SUMIFS(領用表!$L:$L,領用表!$E:$E,$B181,領用表!$B:$B,Q$2&amp;$P$1)</f>
        <v/>
      </c>
      <c r="R181" s="405" t="n"/>
      <c r="S181" s="405" t="n"/>
      <c r="T181" s="405" t="n"/>
      <c r="U181" s="405" t="n"/>
      <c r="V181" s="405" t="n"/>
      <c r="W181" s="405" t="n"/>
      <c r="X181" s="405" t="n"/>
      <c r="Y181" s="405" t="n"/>
      <c r="Z181" s="405" t="n"/>
      <c r="AA181" s="405" t="n"/>
      <c r="AB181" s="405">
        <f>SUM(P181,Q181,R181,S181,T181,U181)</f>
        <v/>
      </c>
      <c r="AC181" s="405">
        <f>AVERAGE(P181,Q181,R181,S181,T181,U181)</f>
        <v/>
      </c>
      <c r="AD181" s="405">
        <f>SUMIF(Summary!B:B,B181,Summary!EB:EB)</f>
        <v/>
      </c>
      <c r="AE181" s="111" t="n"/>
      <c r="AF181" s="80" t="n"/>
      <c r="AG181" s="65" t="n"/>
      <c r="AH181" s="65" t="n"/>
    </row>
    <row r="182" ht="16.5" customHeight="1" s="453">
      <c r="A182" s="27" t="inlineStr">
        <is>
          <t>DE1AB050005T</t>
        </is>
      </c>
      <c r="B182" s="14" t="e">
        <v>#N/A</v>
      </c>
      <c r="C182" s="136" t="inlineStr">
        <is>
          <t>防護肌密眼部修護精華</t>
        </is>
      </c>
      <c r="D182" s="77" t="n"/>
      <c r="E182" s="17" t="inlineStr">
        <is>
          <t>PCS</t>
        </is>
      </c>
      <c r="F182" s="70" t="n"/>
      <c r="G182" s="18" t="n"/>
      <c r="H182" s="20">
        <f>SUMIFS(領用表!$L:$L,領用表!$E:$E,$B182,領用表!$B:$B,H$2&amp;$P$1)</f>
        <v/>
      </c>
      <c r="I182" s="20">
        <f>SUMIFS(領用表!$L:$L,領用表!$E:$E,$B182,領用表!$B:$B,I$2&amp;$P$1)</f>
        <v/>
      </c>
      <c r="J182" s="20">
        <f>SUMIFS(領用表!$L:$L,領用表!$E:$E,$B182,領用表!$B:$B,J$2&amp;$P$1)</f>
        <v/>
      </c>
      <c r="K182" s="142">
        <f>SUMIFS(領用表!$L:$L,領用表!$E:$E,$B182,領用表!$B:$B,K$2&amp;$P$1)</f>
        <v/>
      </c>
      <c r="L182" s="142">
        <f>SUMIFS(領用表!$L:$L,領用表!$E:$E,$B182,領用表!$B:$B,L$2&amp;$P$1)</f>
        <v/>
      </c>
      <c r="M182" s="142">
        <f>SUMIFS(領用表!$L:$L,領用表!$E:$E,$B182,領用表!$B:$B,M$2&amp;$P$1)</f>
        <v/>
      </c>
      <c r="N182" s="23">
        <f>SUM(,H182,I182,J182,K182,L182,M182)</f>
        <v/>
      </c>
      <c r="O182" s="23">
        <f>AVERAGE(,H182,I182,J182,K182,L182,M182)</f>
        <v/>
      </c>
      <c r="P182" s="142">
        <f>SUMIFS(領用表!$L:$L,領用表!$E:$E,$B182,領用表!$B:$B,P$2&amp;$P$1)</f>
        <v/>
      </c>
      <c r="Q182" s="405">
        <f>SUMIFS(領用表!$L:$L,領用表!$E:$E,$B182,領用表!$B:$B,Q$2&amp;$P$1)</f>
        <v/>
      </c>
      <c r="R182" s="405">
        <f>SUMIFS(領用表!$L:$L,領用表!$E:$E,$B182,領用表!$B:$B,R$2&amp;$P$1)</f>
        <v/>
      </c>
      <c r="S182" s="405">
        <f>SUMIFS(領用表!$L:$L,領用表!$E:$E,$B182,領用表!$B:$B,S$2&amp;$P$1)</f>
        <v/>
      </c>
      <c r="T182" s="405">
        <f>SUMIFS(領用表!$L:$L,領用表!$E:$E,$B182,領用表!$B:$B,T$2&amp;$P$1)</f>
        <v/>
      </c>
      <c r="U182" s="405">
        <f>SUMIFS(領用表!$L:$L,領用表!$E:$E,$B182,領用表!$B:$B,U$2&amp;$P$1)</f>
        <v/>
      </c>
      <c r="V182" s="405">
        <f>SUMIFS(領用表!$L:$L,領用表!$E:$E,$B182,領用表!$B:$B,V$2&amp;$P$1)</f>
        <v/>
      </c>
      <c r="W182" s="405">
        <f>SUMIFS(領用表!$L:$L,領用表!$E:$E,$B182,領用表!$B:$B,W$2&amp;$P$1)</f>
        <v/>
      </c>
      <c r="X182" s="405">
        <f>SUMIFS(領用表!$L:$L,領用表!$E:$E,$B182,領用表!$B:$B,X$2&amp;$P$1)</f>
        <v/>
      </c>
      <c r="Y182" s="405">
        <f>SUMIFS(領用表!$L:$L,領用表!$E:$E,$B182,領用表!$B:$B,Y$2&amp;$P$1)</f>
        <v/>
      </c>
      <c r="Z182" s="405">
        <f>SUMIFS(領用表!$L:$L,領用表!$E:$E,$B182,領用表!$B:$B,Z$2&amp;$P$1)</f>
        <v/>
      </c>
      <c r="AA182" s="405">
        <f>SUMIFS(領用表!$L:$L,領用表!$E:$E,$B182,領用表!$B:$B,AA$2&amp;$P$1)</f>
        <v/>
      </c>
      <c r="AB182" s="405">
        <f>SUM(P182,Q182,R182,S182,T182,U182)</f>
        <v/>
      </c>
      <c r="AC182" s="405">
        <f>AVERAGE(P182,Q182,R182,S182,T182,U182)</f>
        <v/>
      </c>
      <c r="AD182" s="405">
        <f>SUMIF(Summary!B:B,B182,Summary!EB:EB)</f>
        <v/>
      </c>
      <c r="AE182" s="111" t="n">
        <v>0</v>
      </c>
      <c r="AF182" s="80" t="n"/>
      <c r="AG182" s="65" t="n"/>
      <c r="AH182" s="65" t="n"/>
    </row>
    <row r="183" ht="16.5" customHeight="1" s="453">
      <c r="A183" s="27" t="inlineStr">
        <is>
          <t>D99GA010001T</t>
        </is>
      </c>
      <c r="B183" s="14" t="e">
        <v>#N/A</v>
      </c>
      <c r="C183" s="136" t="inlineStr">
        <is>
          <t>新纖有酵蔬果酵素飲50ml(15入)(繁體版)/盒</t>
        </is>
      </c>
      <c r="D183" s="77" t="n"/>
      <c r="E183" s="17" t="inlineStr">
        <is>
          <t>PCS</t>
        </is>
      </c>
      <c r="F183" s="70" t="n"/>
      <c r="G183" s="18" t="n"/>
      <c r="H183" s="20">
        <f>SUMIFS(領用表!$L:$L,領用表!$E:$E,$B183,領用表!$B:$B,H$2&amp;$P$1)</f>
        <v/>
      </c>
      <c r="I183" s="20">
        <f>SUMIFS(領用表!$L:$L,領用表!$E:$E,$B183,領用表!$B:$B,I$2&amp;$P$1)</f>
        <v/>
      </c>
      <c r="J183" s="20">
        <f>SUMIFS(領用表!$L:$L,領用表!$E:$E,$B183,領用表!$B:$B,J$2&amp;$P$1)</f>
        <v/>
      </c>
      <c r="K183" s="142">
        <f>SUMIFS(領用表!$L:$L,領用表!$E:$E,$B183,領用表!$B:$B,K$2&amp;$P$1)</f>
        <v/>
      </c>
      <c r="L183" s="142">
        <f>SUMIFS(領用表!$L:$L,領用表!$E:$E,$B183,領用表!$B:$B,L$2&amp;$P$1)</f>
        <v/>
      </c>
      <c r="M183" s="142">
        <f>SUMIFS(領用表!$L:$L,領用表!$E:$E,$B183,領用表!$B:$B,M$2&amp;$P$1)</f>
        <v/>
      </c>
      <c r="N183" s="23">
        <f>SUM(,H183,I183,J183,K183,L183,M183)</f>
        <v/>
      </c>
      <c r="O183" s="23">
        <f>AVERAGE(,H183,I183,J183,K183,L183,M183)</f>
        <v/>
      </c>
      <c r="P183" s="142">
        <f>SUMIFS(領用表!$L:$L,領用表!$E:$E,$B183,領用表!$B:$B,P$2&amp;$P$1)</f>
        <v/>
      </c>
      <c r="Q183" s="405">
        <f>SUMIFS(領用表!$L:$L,領用表!$E:$E,$B183,領用表!$B:$B,Q$2&amp;$P$1)</f>
        <v/>
      </c>
      <c r="R183" s="405">
        <f>SUMIFS(領用表!$L:$L,領用表!$E:$E,$B183,領用表!$B:$B,R$2&amp;$P$1)</f>
        <v/>
      </c>
      <c r="S183" s="405">
        <f>SUMIFS(領用表!$L:$L,領用表!$E:$E,$B183,領用表!$B:$B,S$2&amp;$P$1)</f>
        <v/>
      </c>
      <c r="T183" s="405">
        <f>SUMIFS(領用表!$L:$L,領用表!$E:$E,$B183,領用表!$B:$B,T$2&amp;$P$1)</f>
        <v/>
      </c>
      <c r="U183" s="405">
        <f>SUMIFS(領用表!$L:$L,領用表!$E:$E,$B183,領用表!$B:$B,U$2&amp;$P$1)</f>
        <v/>
      </c>
      <c r="V183" s="405">
        <f>SUMIFS(領用表!$L:$L,領用表!$E:$E,$B183,領用表!$B:$B,V$2&amp;$P$1)</f>
        <v/>
      </c>
      <c r="W183" s="405">
        <f>SUMIFS(領用表!$L:$L,領用表!$E:$E,$B183,領用表!$B:$B,W$2&amp;$P$1)</f>
        <v/>
      </c>
      <c r="X183" s="405">
        <f>SUMIFS(領用表!$L:$L,領用表!$E:$E,$B183,領用表!$B:$B,X$2&amp;$P$1)</f>
        <v/>
      </c>
      <c r="Y183" s="405">
        <f>SUMIFS(領用表!$L:$L,領用表!$E:$E,$B183,領用表!$B:$B,Y$2&amp;$P$1)</f>
        <v/>
      </c>
      <c r="Z183" s="405">
        <f>SUMIFS(領用表!$L:$L,領用表!$E:$E,$B183,領用表!$B:$B,Z$2&amp;$P$1)</f>
        <v/>
      </c>
      <c r="AA183" s="405">
        <f>SUMIFS(領用表!$L:$L,領用表!$E:$E,$B183,領用表!$B:$B,AA$2&amp;$P$1)</f>
        <v/>
      </c>
      <c r="AB183" s="405">
        <f>SUM(P183,Q183,R183,S183,T183,U183)</f>
        <v/>
      </c>
      <c r="AC183" s="405">
        <f>AVERAGE(P183,Q183,R183,S183,T183,U183)</f>
        <v/>
      </c>
      <c r="AD183" s="405">
        <f>SUMIF(Summary!B:B,B183,Summary!EB:EB)</f>
        <v/>
      </c>
      <c r="AE183" s="111" t="n">
        <v>0</v>
      </c>
      <c r="AF183" s="80" t="n"/>
      <c r="AG183" s="76" t="n"/>
      <c r="AH183" s="76" t="inlineStr">
        <is>
          <t>20(10/22)</t>
        </is>
      </c>
    </row>
    <row r="184" ht="16.5" customHeight="1" s="453">
      <c r="A184" s="27" t="inlineStr">
        <is>
          <t>DL1GD010001T</t>
        </is>
      </c>
      <c r="B184" s="14" t="e">
        <v>#N/A</v>
      </c>
      <c r="C184" s="136" t="inlineStr">
        <is>
          <t>暢護菌益康粉包 3g(30入)(繁體版)</t>
        </is>
      </c>
      <c r="D184" s="77" t="n"/>
      <c r="E184" s="17" t="inlineStr">
        <is>
          <t>PCS</t>
        </is>
      </c>
      <c r="F184" s="70" t="n"/>
      <c r="G184" s="18" t="n"/>
      <c r="H184" s="20">
        <f>SUMIFS(領用表!$L:$L,領用表!$E:$E,$B184,領用表!$B:$B,H$2&amp;$P$1)</f>
        <v/>
      </c>
      <c r="I184" s="20">
        <f>SUMIFS(領用表!$L:$L,領用表!$E:$E,$B184,領用表!$B:$B,I$2&amp;$P$1)</f>
        <v/>
      </c>
      <c r="J184" s="20">
        <f>SUMIFS(領用表!$L:$L,領用表!$E:$E,$B184,領用表!$B:$B,J$2&amp;$P$1)</f>
        <v/>
      </c>
      <c r="K184" s="142">
        <f>SUMIFS(領用表!$L:$L,領用表!$E:$E,$B184,領用表!$B:$B,K$2&amp;$P$1)</f>
        <v/>
      </c>
      <c r="L184" s="142">
        <f>SUMIFS(領用表!$L:$L,領用表!$E:$E,$B184,領用表!$B:$B,L$2&amp;$P$1)</f>
        <v/>
      </c>
      <c r="M184" s="142">
        <f>SUMIFS(領用表!$L:$L,領用表!$E:$E,$B184,領用表!$B:$B,M$2&amp;$P$1)</f>
        <v/>
      </c>
      <c r="N184" s="23">
        <f>SUM(,H184,I184,J184,K184,L184,M184)</f>
        <v/>
      </c>
      <c r="O184" s="23">
        <f>AVERAGE(,H184,I184,J184,K184,L184,M184)</f>
        <v/>
      </c>
      <c r="P184" s="142">
        <f>SUMIFS(領用表!$L:$L,領用表!$E:$E,$B184,領用表!$B:$B,P$2&amp;$P$1)</f>
        <v/>
      </c>
      <c r="Q184" s="405">
        <f>SUMIFS(領用表!$L:$L,領用表!$E:$E,$B184,領用表!$B:$B,Q$2&amp;$P$1)</f>
        <v/>
      </c>
      <c r="R184" s="405">
        <f>SUMIFS(領用表!$L:$L,領用表!$E:$E,$B184,領用表!$B:$B,R$2&amp;$P$1)</f>
        <v/>
      </c>
      <c r="S184" s="405">
        <f>SUMIFS(領用表!$L:$L,領用表!$E:$E,$B184,領用表!$B:$B,S$2&amp;$P$1)</f>
        <v/>
      </c>
      <c r="T184" s="405">
        <f>SUMIFS(領用表!$L:$L,領用表!$E:$E,$B184,領用表!$B:$B,T$2&amp;$P$1)</f>
        <v/>
      </c>
      <c r="U184" s="405">
        <f>SUMIFS(領用表!$L:$L,領用表!$E:$E,$B184,領用表!$B:$B,U$2&amp;$P$1)</f>
        <v/>
      </c>
      <c r="V184" s="405">
        <f>SUMIFS(領用表!$L:$L,領用表!$E:$E,$B184,領用表!$B:$B,V$2&amp;$P$1)</f>
        <v/>
      </c>
      <c r="W184" s="405">
        <f>SUMIFS(領用表!$L:$L,領用表!$E:$E,$B184,領用表!$B:$B,W$2&amp;$P$1)</f>
        <v/>
      </c>
      <c r="X184" s="405">
        <f>SUMIFS(領用表!$L:$L,領用表!$E:$E,$B184,領用表!$B:$B,X$2&amp;$P$1)</f>
        <v/>
      </c>
      <c r="Y184" s="405">
        <f>SUMIFS(領用表!$L:$L,領用表!$E:$E,$B184,領用表!$B:$B,Y$2&amp;$P$1)</f>
        <v/>
      </c>
      <c r="Z184" s="405">
        <f>SUMIFS(領用表!$L:$L,領用表!$E:$E,$B184,領用表!$B:$B,Z$2&amp;$P$1)</f>
        <v/>
      </c>
      <c r="AA184" s="405">
        <f>SUMIFS(領用表!$L:$L,領用表!$E:$E,$B184,領用表!$B:$B,AA$2&amp;$P$1)</f>
        <v/>
      </c>
      <c r="AB184" s="405">
        <f>SUM(P184,Q184,R184,S184,T184,U184)</f>
        <v/>
      </c>
      <c r="AC184" s="405">
        <f>AVERAGE(P184,Q184,R184,S184,T184,U184)</f>
        <v/>
      </c>
      <c r="AD184" s="405">
        <f>SUMIF(Summary!B:B,B184,Summary!EB:EB)</f>
        <v/>
      </c>
      <c r="AE184" s="111" t="n">
        <v>0</v>
      </c>
      <c r="AF184" s="80" t="n"/>
      <c r="AG184" s="76" t="n"/>
      <c r="AH184" s="76" t="inlineStr">
        <is>
          <t>15(10/22)</t>
        </is>
      </c>
    </row>
    <row r="185" ht="16.5" customHeight="1" s="453">
      <c r="A185" s="27" t="inlineStr">
        <is>
          <t>MAX06M1A0001</t>
        </is>
      </c>
      <c r="B185" s="14" t="e">
        <v>#N/A</v>
      </c>
      <c r="C185" s="136" t="inlineStr">
        <is>
          <t>MIKOBEAUTE-提袋-S/22cm W*8cm D*18cm H</t>
        </is>
      </c>
      <c r="D185" s="77" t="n"/>
      <c r="E185" s="17" t="inlineStr">
        <is>
          <t>PCS</t>
        </is>
      </c>
      <c r="F185" s="70" t="n"/>
      <c r="G185" s="18" t="n"/>
      <c r="H185" s="20">
        <f>SUMIFS(領用表!$L:$L,領用表!$E:$E,$B185,領用表!$B:$B,H$2&amp;$P$1)</f>
        <v/>
      </c>
      <c r="I185" s="20">
        <f>SUMIFS(領用表!$L:$L,領用表!$E:$E,$B185,領用表!$B:$B,I$2&amp;$P$1)</f>
        <v/>
      </c>
      <c r="J185" s="20">
        <f>SUMIFS(領用表!$L:$L,領用表!$E:$E,$B185,領用表!$B:$B,J$2&amp;$P$1)</f>
        <v/>
      </c>
      <c r="K185" s="142">
        <f>SUMIFS(領用表!$L:$L,領用表!$E:$E,$B185,領用表!$B:$B,K$2&amp;$P$1)</f>
        <v/>
      </c>
      <c r="L185" s="142">
        <f>SUMIFS(領用表!$L:$L,領用表!$E:$E,$B185,領用表!$B:$B,L$2&amp;$P$1)</f>
        <v/>
      </c>
      <c r="M185" s="142">
        <f>SUMIFS(領用表!$L:$L,領用表!$E:$E,$B185,領用表!$B:$B,M$2&amp;$P$1)</f>
        <v/>
      </c>
      <c r="N185" s="23">
        <f>SUM(,H185,I185,J185,K185,L185,M185)</f>
        <v/>
      </c>
      <c r="O185" s="23">
        <f>AVERAGE(,H185,I185,J185,K185,L185,M185)</f>
        <v/>
      </c>
      <c r="P185" s="142">
        <f>SUMIFS(領用表!$L:$L,領用表!$E:$E,$B185,領用表!$B:$B,P$2&amp;$P$1)</f>
        <v/>
      </c>
      <c r="Q185" s="405">
        <f>SUMIFS(領用表!$L:$L,領用表!$E:$E,$B185,領用表!$B:$B,Q$2&amp;$P$1)</f>
        <v/>
      </c>
      <c r="R185" s="405">
        <f>SUMIFS(領用表!$L:$L,領用表!$E:$E,$B185,領用表!$B:$B,R$2&amp;$P$1)</f>
        <v/>
      </c>
      <c r="S185" s="405">
        <f>SUMIFS(領用表!$L:$L,領用表!$E:$E,$B185,領用表!$B:$B,S$2&amp;$P$1)</f>
        <v/>
      </c>
      <c r="T185" s="405">
        <f>SUMIFS(領用表!$L:$L,領用表!$E:$E,$B185,領用表!$B:$B,T$2&amp;$P$1)</f>
        <v/>
      </c>
      <c r="U185" s="405">
        <f>SUMIFS(領用表!$L:$L,領用表!$E:$E,$B185,領用表!$B:$B,U$2&amp;$P$1)</f>
        <v/>
      </c>
      <c r="V185" s="405">
        <f>SUMIFS(領用表!$L:$L,領用表!$E:$E,$B185,領用表!$B:$B,V$2&amp;$P$1)</f>
        <v/>
      </c>
      <c r="W185" s="405">
        <f>SUMIFS(領用表!$L:$L,領用表!$E:$E,$B185,領用表!$B:$B,W$2&amp;$P$1)</f>
        <v/>
      </c>
      <c r="X185" s="405">
        <f>SUMIFS(領用表!$L:$L,領用表!$E:$E,$B185,領用表!$B:$B,X$2&amp;$P$1)</f>
        <v/>
      </c>
      <c r="Y185" s="405">
        <f>SUMIFS(領用表!$L:$L,領用表!$E:$E,$B185,領用表!$B:$B,Y$2&amp;$P$1)</f>
        <v/>
      </c>
      <c r="Z185" s="405">
        <f>SUMIFS(領用表!$L:$L,領用表!$E:$E,$B185,領用表!$B:$B,Z$2&amp;$P$1)</f>
        <v/>
      </c>
      <c r="AA185" s="405">
        <f>SUMIFS(領用表!$L:$L,領用表!$E:$E,$B185,領用表!$B:$B,AA$2&amp;$P$1)</f>
        <v/>
      </c>
      <c r="AB185" s="405">
        <f>SUM(P185,Q185,R185,S185,T185,U185)</f>
        <v/>
      </c>
      <c r="AC185" s="405">
        <f>AVERAGE(P185,Q185,R185,S185,T185,U185)</f>
        <v/>
      </c>
      <c r="AD185" s="405">
        <f>SUMIF(Summary!B:B,B185,Summary!EB:EB)</f>
        <v/>
      </c>
      <c r="AE185" s="111" t="n">
        <v>0</v>
      </c>
      <c r="AF185" s="80" t="n"/>
      <c r="AG185" s="76" t="n"/>
      <c r="AH185" s="76" t="n"/>
    </row>
    <row r="186" ht="16.5" customHeight="1" s="453">
      <c r="A186" s="27" t="inlineStr">
        <is>
          <t>MAX06M1A0005</t>
        </is>
      </c>
      <c r="B186" s="14" t="e">
        <v>#N/A</v>
      </c>
      <c r="C186" s="136" t="inlineStr">
        <is>
          <t>MIKOBEAUTE-提袋-M/29cm W*11cm D*24cm H(2023.4)</t>
        </is>
      </c>
      <c r="D186" s="77" t="n"/>
      <c r="E186" s="17" t="inlineStr">
        <is>
          <t>PCS</t>
        </is>
      </c>
      <c r="F186" s="70" t="n"/>
      <c r="G186" s="18" t="n"/>
      <c r="H186" s="20">
        <f>SUMIFS(領用表!$L:$L,領用表!$E:$E,$B186,領用表!$B:$B,H$2&amp;$P$1)</f>
        <v/>
      </c>
      <c r="I186" s="20">
        <f>SUMIFS(領用表!$L:$L,領用表!$E:$E,$B186,領用表!$B:$B,I$2&amp;$P$1)</f>
        <v/>
      </c>
      <c r="J186" s="20">
        <f>SUMIFS(領用表!$L:$L,領用表!$E:$E,$B186,領用表!$B:$B,J$2&amp;$P$1)</f>
        <v/>
      </c>
      <c r="K186" s="142">
        <f>SUMIFS(領用表!$L:$L,領用表!$E:$E,$B186,領用表!$B:$B,K$2&amp;$P$1)</f>
        <v/>
      </c>
      <c r="L186" s="142">
        <f>SUMIFS(領用表!$L:$L,領用表!$E:$E,$B186,領用表!$B:$B,L$2&amp;$P$1)</f>
        <v/>
      </c>
      <c r="M186" s="142">
        <f>SUMIFS(領用表!$L:$L,領用表!$E:$E,$B186,領用表!$B:$B,M$2&amp;$P$1)</f>
        <v/>
      </c>
      <c r="N186" s="23">
        <f>SUM(,H186,I186,J186,K186,L186,M186)</f>
        <v/>
      </c>
      <c r="O186" s="23">
        <f>AVERAGE(,H186,I186,J186,K186,L186,M186)</f>
        <v/>
      </c>
      <c r="P186" s="142">
        <f>SUMIFS(領用表!$L:$L,領用表!$E:$E,$B186,領用表!$B:$B,P$2&amp;$P$1)</f>
        <v/>
      </c>
      <c r="Q186" s="405">
        <f>SUMIFS(領用表!$L:$L,領用表!$E:$E,$B186,領用表!$B:$B,Q$2&amp;$P$1)</f>
        <v/>
      </c>
      <c r="R186" s="405">
        <f>SUMIFS(領用表!$L:$L,領用表!$E:$E,$B186,領用表!$B:$B,R$2&amp;$P$1)</f>
        <v/>
      </c>
      <c r="S186" s="405">
        <f>SUMIFS(領用表!$L:$L,領用表!$E:$E,$B186,領用表!$B:$B,S$2&amp;$P$1)</f>
        <v/>
      </c>
      <c r="T186" s="405">
        <f>SUMIFS(領用表!$L:$L,領用表!$E:$E,$B186,領用表!$B:$B,T$2&amp;$P$1)</f>
        <v/>
      </c>
      <c r="U186" s="405" t="n"/>
      <c r="V186" s="405">
        <f>SUMIFS(領用表!$L:$L,領用表!$E:$E,$B186,領用表!$B:$B,V$2&amp;$P$1)</f>
        <v/>
      </c>
      <c r="W186" s="405">
        <f>SUMIFS(領用表!$L:$L,領用表!$E:$E,$B186,領用表!$B:$B,W$2&amp;$P$1)</f>
        <v/>
      </c>
      <c r="X186" s="405">
        <f>SUMIFS(領用表!$L:$L,領用表!$E:$E,$B186,領用表!$B:$B,X$2&amp;$P$1)</f>
        <v/>
      </c>
      <c r="Y186" s="405">
        <f>SUMIFS(領用表!$L:$L,領用表!$E:$E,$B186,領用表!$B:$B,Y$2&amp;$P$1)</f>
        <v/>
      </c>
      <c r="Z186" s="405">
        <f>SUMIFS(領用表!$L:$L,領用表!$E:$E,$B186,領用表!$B:$B,Z$2&amp;$P$1)</f>
        <v/>
      </c>
      <c r="AA186" s="405">
        <f>SUMIFS(領用表!$L:$L,領用表!$E:$E,$B186,領用表!$B:$B,AA$2&amp;$P$1)</f>
        <v/>
      </c>
      <c r="AB186" s="405">
        <f>SUM(P186,Q186,R186,S186,T186,U186)</f>
        <v/>
      </c>
      <c r="AC186" s="405">
        <f>AVERAGE(P186,Q186,R186,S186,T186,U186)</f>
        <v/>
      </c>
      <c r="AD186" s="405">
        <f>SUMIF(Summary!B:B,B186,Summary!EB:EB)</f>
        <v/>
      </c>
      <c r="AE186" s="111" t="n">
        <v>0</v>
      </c>
      <c r="AF186" s="80" t="n"/>
      <c r="AG186" s="76" t="n"/>
      <c r="AH186" s="76" t="n"/>
    </row>
    <row r="187" ht="16.5" customHeight="1" s="453">
      <c r="B187" s="14" t="n">
        <v>6080011</v>
      </c>
      <c r="C187" s="136" t="inlineStr">
        <is>
          <t>(V)水梨面膜 30ml</t>
        </is>
      </c>
      <c r="D187" s="77" t="n"/>
      <c r="E187" s="17" t="inlineStr">
        <is>
          <t>PCS</t>
        </is>
      </c>
      <c r="F187" s="85" t="n"/>
      <c r="G187" s="18" t="n"/>
      <c r="P187" s="142">
        <f>SUMIFS(領用表!$L:$L,領用表!$E:$E,$B187,領用表!$B:$B,P$2&amp;$P$1)</f>
        <v/>
      </c>
      <c r="Q187" s="405">
        <f>SUMIFS(領用表!$L:$L,領用表!$E:$E,$B187,領用表!$B:$B,Q$2&amp;$P$1)</f>
        <v/>
      </c>
      <c r="R187" s="405">
        <f>SUMIFS(領用表!$L:$L,領用表!$E:$E,$B187,領用表!$B:$B,R$2&amp;$P$1)</f>
        <v/>
      </c>
      <c r="S187" s="405">
        <f>SUMIFS(領用表!$L:$L,領用表!$E:$E,$B187,領用表!$B:$B,S$2&amp;$P$1)</f>
        <v/>
      </c>
      <c r="T187" s="405">
        <f>SUMIFS(領用表!$L:$L,領用表!$E:$E,$B187,領用表!$B:$B,T$2&amp;$P$1)</f>
        <v/>
      </c>
      <c r="U187" s="405" t="n"/>
      <c r="V187" s="405">
        <f>SUMIFS(領用表!$L:$L,領用表!$E:$E,$B187,領用表!$B:$B,V$2&amp;$P$1)</f>
        <v/>
      </c>
      <c r="W187" s="405">
        <f>SUMIFS(領用表!$L:$L,領用表!$E:$E,$B187,領用表!$B:$B,W$2&amp;$P$1)</f>
        <v/>
      </c>
      <c r="X187" s="405">
        <f>SUMIFS(領用表!$L:$L,領用表!$E:$E,$B187,領用表!$B:$B,X$2&amp;$P$1)</f>
        <v/>
      </c>
      <c r="Y187" s="405">
        <f>SUMIFS(領用表!$L:$L,領用表!$E:$E,$B187,領用表!$B:$B,Y$2&amp;$P$1)</f>
        <v/>
      </c>
      <c r="Z187" s="405">
        <f>SUMIFS(領用表!$L:$L,領用表!$E:$E,$B187,領用表!$B:$B,Z$2&amp;$P$1)</f>
        <v/>
      </c>
      <c r="AA187" s="405">
        <f>SUMIFS(領用表!$L:$L,領用表!$E:$E,$B187,領用表!$B:$B,AA$2&amp;$P$1)</f>
        <v/>
      </c>
      <c r="AB187" s="405">
        <f>SUM(P187,Q187,R187,S187,T187,U187)</f>
        <v/>
      </c>
      <c r="AC187" s="405">
        <f>AVERAGE(P187,Q187,R187,S187,T187,U187)</f>
        <v/>
      </c>
    </row>
    <row r="188" ht="16.5" customHeight="1" s="453">
      <c r="B188" s="14" t="n">
        <v>6080012</v>
      </c>
      <c r="C188" s="136" t="inlineStr">
        <is>
          <t>(V)小玉西瓜面膜 30ml</t>
        </is>
      </c>
      <c r="D188" s="77" t="n"/>
      <c r="E188" s="17" t="inlineStr">
        <is>
          <t>PCS</t>
        </is>
      </c>
      <c r="F188" s="85" t="n"/>
      <c r="G188" s="18" t="n">
        <v>1100</v>
      </c>
      <c r="P188" s="142">
        <f>SUMIFS(領用表!$L:$L,領用表!$E:$E,$B188,領用表!$B:$B,P$2&amp;$P$1)</f>
        <v/>
      </c>
      <c r="Q188" s="405">
        <f>SUMIFS(領用表!$L:$L,領用表!$E:$E,$B188,領用表!$B:$B,Q$2&amp;$P$1)</f>
        <v/>
      </c>
      <c r="R188" s="405">
        <f>SUMIFS(領用表!$L:$L,領用表!$E:$E,$B188,領用表!$B:$B,R$2&amp;$P$1)</f>
        <v/>
      </c>
      <c r="S188" s="405">
        <f>SUMIFS(領用表!$L:$L,領用表!$E:$E,$B188,領用表!$B:$B,S$2&amp;$P$1)</f>
        <v/>
      </c>
      <c r="T188" s="405">
        <f>SUMIFS(領用表!$L:$L,領用表!$E:$E,$B188,領用表!$B:$B,T$2&amp;$P$1)</f>
        <v/>
      </c>
      <c r="U188" s="405" t="n"/>
      <c r="V188" s="405">
        <f>SUMIFS(領用表!$L:$L,領用表!$E:$E,$B188,領用表!$B:$B,V$2&amp;$P$1)</f>
        <v/>
      </c>
      <c r="W188" s="405">
        <f>SUMIFS(領用表!$L:$L,領用表!$E:$E,$B188,領用表!$B:$B,W$2&amp;$P$1)</f>
        <v/>
      </c>
      <c r="X188" s="405">
        <f>SUMIFS(領用表!$L:$L,領用表!$E:$E,$B188,領用表!$B:$B,X$2&amp;$P$1)</f>
        <v/>
      </c>
      <c r="Y188" s="405">
        <f>SUMIFS(領用表!$L:$L,領用表!$E:$E,$B188,領用表!$B:$B,Y$2&amp;$P$1)</f>
        <v/>
      </c>
      <c r="Z188" s="405">
        <f>SUMIFS(領用表!$L:$L,領用表!$E:$E,$B188,領用表!$B:$B,Z$2&amp;$P$1)</f>
        <v/>
      </c>
      <c r="AA188" s="405">
        <f>SUMIFS(領用表!$L:$L,領用表!$E:$E,$B188,領用表!$B:$B,AA$2&amp;$P$1)</f>
        <v/>
      </c>
      <c r="AB188" s="405">
        <f>SUM(P188,Q188,R188,S188,T188,U188)</f>
        <v/>
      </c>
      <c r="AC188" s="405">
        <f>AVERAGE(P188,Q188,R188,S188,T188,U188)</f>
        <v/>
      </c>
    </row>
    <row r="189" ht="13.5" customHeight="1" s="453">
      <c r="D189" s="11" t="n"/>
      <c r="E189" s="79" t="n"/>
      <c r="F189" s="85" t="n"/>
      <c r="G189" s="85" t="n"/>
    </row>
    <row r="190" ht="13.5" customHeight="1" s="453">
      <c r="D190" s="11" t="n"/>
      <c r="E190" s="79" t="n"/>
      <c r="F190" s="85" t="n"/>
      <c r="G190" s="85" t="n"/>
    </row>
    <row r="191" ht="13.5" customHeight="1" s="453">
      <c r="D191" s="11" t="n"/>
      <c r="E191" s="79" t="n"/>
      <c r="F191" s="85" t="n"/>
      <c r="G191" s="85" t="n"/>
    </row>
    <row r="192" ht="13.5" customHeight="1" s="453">
      <c r="D192" s="11" t="n"/>
      <c r="E192" s="79" t="n"/>
      <c r="F192" s="85" t="n"/>
      <c r="G192" s="85" t="n"/>
    </row>
    <row r="193" ht="13.5" customHeight="1" s="453">
      <c r="D193" s="11" t="n"/>
      <c r="E193" s="79" t="n"/>
      <c r="F193" s="85" t="n"/>
      <c r="G193" s="85" t="n"/>
    </row>
    <row r="194" ht="13.5" customHeight="1" s="453">
      <c r="D194" s="11" t="n"/>
      <c r="E194" s="79" t="n"/>
      <c r="F194" s="85" t="n"/>
      <c r="G194" s="85" t="n"/>
    </row>
    <row r="195" ht="13.5" customHeight="1" s="453">
      <c r="D195" s="11" t="n"/>
      <c r="E195" s="79" t="n"/>
      <c r="F195" s="85" t="n"/>
      <c r="G195" s="85" t="n"/>
    </row>
    <row r="196" ht="13.5" customHeight="1" s="453">
      <c r="D196" s="11" t="n"/>
      <c r="E196" s="79" t="n"/>
      <c r="F196" s="85" t="n"/>
      <c r="G196" s="85" t="n"/>
    </row>
    <row r="197" ht="13.5" customHeight="1" s="453">
      <c r="D197" s="11" t="n"/>
      <c r="E197" s="79" t="n"/>
      <c r="F197" s="85" t="n"/>
      <c r="G197" s="85" t="n"/>
    </row>
    <row r="198" ht="13.5" customHeight="1" s="453">
      <c r="D198" s="11" t="n"/>
      <c r="E198" s="86" t="n"/>
      <c r="F198" s="85" t="n"/>
      <c r="G198" s="85" t="n"/>
    </row>
    <row r="199" ht="13.5" customHeight="1" s="453">
      <c r="D199" s="11" t="n"/>
      <c r="E199" s="86" t="n"/>
      <c r="F199" s="85" t="n"/>
      <c r="G199" s="85" t="n"/>
    </row>
    <row r="200" ht="13.5" customHeight="1" s="453">
      <c r="D200" s="11" t="n"/>
      <c r="E200" s="86" t="n"/>
      <c r="F200" s="85" t="n"/>
      <c r="G200" s="85" t="n"/>
    </row>
    <row r="201" ht="13.5" customHeight="1" s="453">
      <c r="D201" s="11" t="n"/>
      <c r="E201" s="86" t="n"/>
      <c r="F201" s="85" t="n"/>
      <c r="G201" s="85" t="n"/>
    </row>
    <row r="202" ht="13.5" customHeight="1" s="453">
      <c r="D202" s="11" t="n"/>
      <c r="E202" s="86" t="n"/>
      <c r="F202" s="85" t="n"/>
      <c r="G202" s="85" t="n"/>
    </row>
    <row r="203" ht="13.5" customHeight="1" s="453">
      <c r="D203" s="11" t="n"/>
      <c r="E203" s="86" t="n"/>
      <c r="F203" s="85" t="n"/>
      <c r="G203" s="85" t="n"/>
    </row>
    <row r="204" ht="13.5" customHeight="1" s="453">
      <c r="D204" s="11" t="n"/>
      <c r="E204" s="86" t="n"/>
      <c r="F204" s="85" t="n"/>
      <c r="G204" s="85" t="n"/>
    </row>
    <row r="205" ht="13.5" customHeight="1" s="453">
      <c r="D205" s="11" t="n"/>
      <c r="E205" s="86" t="n"/>
      <c r="F205" s="85" t="n"/>
      <c r="G205" s="85" t="n"/>
    </row>
    <row r="206" ht="13.5" customHeight="1" s="453">
      <c r="D206" s="11" t="n"/>
      <c r="E206" s="86" t="n"/>
      <c r="F206" s="85" t="n"/>
      <c r="G206" s="85" t="n"/>
    </row>
    <row r="207" ht="13.5" customHeight="1" s="453">
      <c r="D207" s="11" t="n"/>
      <c r="E207" s="86" t="n"/>
      <c r="F207" s="85" t="n"/>
      <c r="G207" s="85" t="n"/>
    </row>
    <row r="208" ht="13.5" customHeight="1" s="453">
      <c r="D208" s="11" t="n"/>
      <c r="E208" s="86" t="n"/>
      <c r="F208" s="85" t="n"/>
      <c r="G208" s="85" t="n"/>
    </row>
    <row r="209" ht="13.5" customHeight="1" s="453">
      <c r="D209" s="11" t="n"/>
      <c r="E209" s="86" t="n"/>
      <c r="F209" s="85" t="n"/>
      <c r="G209" s="85" t="n"/>
    </row>
    <row r="210" ht="13.5" customHeight="1" s="453">
      <c r="D210" s="11" t="n"/>
      <c r="E210" s="86" t="n"/>
      <c r="F210" s="85" t="n"/>
      <c r="G210" s="85" t="n"/>
    </row>
    <row r="211" ht="13.5" customHeight="1" s="453">
      <c r="D211" s="11" t="n"/>
      <c r="E211" s="86" t="n"/>
      <c r="F211" s="85" t="n"/>
      <c r="G211" s="85" t="n"/>
    </row>
    <row r="212" ht="13.5" customHeight="1" s="453">
      <c r="D212" s="11" t="n"/>
      <c r="E212" s="86" t="n"/>
      <c r="F212" s="85" t="n"/>
      <c r="G212" s="85" t="n"/>
    </row>
    <row r="213" ht="13.5" customHeight="1" s="453">
      <c r="D213" s="11" t="n"/>
      <c r="E213" s="86" t="n"/>
      <c r="F213" s="85" t="n"/>
      <c r="G213" s="85" t="n"/>
    </row>
    <row r="214" ht="13.5" customHeight="1" s="453">
      <c r="D214" s="11" t="n"/>
      <c r="E214" s="86" t="n"/>
      <c r="F214" s="85" t="n"/>
      <c r="G214" s="85" t="n"/>
    </row>
    <row r="215" ht="13.5" customHeight="1" s="453">
      <c r="D215" s="11" t="n"/>
      <c r="E215" s="86" t="n"/>
      <c r="F215" s="85" t="n"/>
      <c r="G215" s="85" t="n"/>
    </row>
    <row r="216" ht="13.5" customHeight="1" s="453">
      <c r="D216" s="11" t="n"/>
      <c r="E216" s="86" t="n"/>
      <c r="F216" s="85" t="n"/>
      <c r="G216" s="85" t="n"/>
    </row>
    <row r="217" ht="13.5" customHeight="1" s="453">
      <c r="D217" s="11" t="n"/>
      <c r="E217" s="86" t="n"/>
      <c r="F217" s="85" t="n"/>
      <c r="G217" s="85" t="n"/>
    </row>
    <row r="218" ht="13.5" customHeight="1" s="453">
      <c r="D218" s="11" t="n"/>
      <c r="E218" s="86" t="n"/>
      <c r="F218" s="85" t="n"/>
      <c r="G218" s="85" t="n"/>
    </row>
    <row r="219" ht="13.5" customHeight="1" s="453">
      <c r="D219" s="11" t="n"/>
      <c r="E219" s="86" t="n"/>
      <c r="F219" s="85" t="n"/>
      <c r="G219" s="85" t="n"/>
    </row>
    <row r="220" ht="13.5" customHeight="1" s="453">
      <c r="D220" s="11" t="n"/>
      <c r="E220" s="86" t="n"/>
      <c r="F220" s="85" t="n"/>
      <c r="G220" s="85" t="n"/>
    </row>
    <row r="221" ht="13.5" customHeight="1" s="453">
      <c r="D221" s="11" t="n"/>
      <c r="E221" s="86" t="n"/>
      <c r="F221" s="85" t="n"/>
      <c r="G221" s="85" t="n"/>
    </row>
    <row r="222" ht="13.5" customHeight="1" s="453">
      <c r="D222" s="11" t="n"/>
      <c r="E222" s="86" t="n"/>
      <c r="F222" s="85" t="n"/>
      <c r="G222" s="85" t="n"/>
    </row>
    <row r="223" ht="13.5" customHeight="1" s="453">
      <c r="D223" s="11" t="n"/>
      <c r="E223" s="86" t="n"/>
      <c r="F223" s="85" t="n"/>
      <c r="G223" s="85" t="n"/>
    </row>
    <row r="224" ht="13.5" customHeight="1" s="453">
      <c r="D224" s="11" t="n"/>
      <c r="E224" s="86" t="n"/>
      <c r="F224" s="85" t="n"/>
      <c r="G224" s="85" t="n"/>
    </row>
    <row r="225" ht="13.5" customHeight="1" s="453">
      <c r="D225" s="11" t="n"/>
      <c r="E225" s="86" t="n"/>
      <c r="F225" s="85" t="n"/>
      <c r="G225" s="85" t="n"/>
    </row>
    <row r="226" ht="13.5" customHeight="1" s="453">
      <c r="D226" s="11" t="n"/>
      <c r="E226" s="86" t="n"/>
      <c r="F226" s="85" t="n"/>
      <c r="G226" s="85" t="n"/>
    </row>
    <row r="227" ht="13.5" customHeight="1" s="453">
      <c r="D227" s="11" t="n"/>
      <c r="E227" s="86" t="n"/>
      <c r="F227" s="85" t="n"/>
      <c r="G227" s="85" t="n"/>
    </row>
    <row r="228" ht="13.5" customHeight="1" s="453">
      <c r="D228" s="11" t="n"/>
      <c r="E228" s="86" t="n"/>
      <c r="F228" s="85" t="n"/>
      <c r="G228" s="85" t="n"/>
    </row>
    <row r="229" ht="13.5" customHeight="1" s="453">
      <c r="D229" s="11" t="n"/>
      <c r="E229" s="86" t="n"/>
      <c r="F229" s="85" t="n"/>
      <c r="G229" s="85" t="n"/>
    </row>
    <row r="230" ht="13.5" customHeight="1" s="453">
      <c r="D230" s="11" t="n"/>
      <c r="E230" s="86" t="n"/>
      <c r="F230" s="85" t="n"/>
      <c r="G230" s="85" t="n"/>
    </row>
    <row r="231" ht="13.5" customHeight="1" s="453">
      <c r="D231" s="11" t="n"/>
      <c r="E231" s="86" t="n"/>
      <c r="F231" s="85" t="n"/>
      <c r="G231" s="85" t="n"/>
    </row>
    <row r="232" ht="13.5" customHeight="1" s="453">
      <c r="D232" s="11" t="n"/>
      <c r="E232" s="86" t="n"/>
      <c r="F232" s="85" t="n"/>
      <c r="G232" s="85" t="n"/>
    </row>
    <row r="233" ht="13.5" customHeight="1" s="453">
      <c r="D233" s="11" t="n"/>
      <c r="E233" s="86" t="n"/>
      <c r="F233" s="85" t="n"/>
      <c r="G233" s="85" t="n"/>
    </row>
    <row r="234" ht="13.5" customHeight="1" s="453">
      <c r="D234" s="11" t="n"/>
      <c r="E234" s="86" t="n"/>
      <c r="F234" s="85" t="n"/>
      <c r="G234" s="85" t="n"/>
    </row>
    <row r="235" ht="13.5" customHeight="1" s="453">
      <c r="D235" s="11" t="n"/>
      <c r="E235" s="86" t="n"/>
      <c r="F235" s="85" t="n"/>
      <c r="G235" s="85" t="n"/>
    </row>
    <row r="236" ht="13.5" customHeight="1" s="453">
      <c r="D236" s="11" t="n"/>
      <c r="E236" s="86" t="n"/>
      <c r="F236" s="85" t="n"/>
      <c r="G236" s="85" t="n"/>
    </row>
    <row r="237" ht="13.5" customHeight="1" s="453">
      <c r="D237" s="11" t="n"/>
      <c r="E237" s="86" t="n"/>
      <c r="F237" s="85" t="n"/>
      <c r="G237" s="85" t="n"/>
    </row>
    <row r="238" ht="13.5" customHeight="1" s="453">
      <c r="D238" s="11" t="n"/>
      <c r="E238" s="86" t="n"/>
      <c r="F238" s="85" t="n"/>
      <c r="G238" s="85" t="n"/>
    </row>
    <row r="239" ht="13.5" customHeight="1" s="453">
      <c r="D239" s="11" t="n"/>
      <c r="E239" s="86" t="n"/>
      <c r="F239" s="85" t="n"/>
      <c r="G239" s="85" t="n"/>
    </row>
    <row r="240" ht="13.5" customHeight="1" s="453">
      <c r="D240" s="11" t="n"/>
      <c r="E240" s="86" t="n"/>
      <c r="F240" s="85" t="n"/>
      <c r="G240" s="85" t="n"/>
    </row>
    <row r="241" ht="13.5" customHeight="1" s="453">
      <c r="D241" s="11" t="n"/>
      <c r="E241" s="86" t="n"/>
      <c r="F241" s="85" t="n"/>
      <c r="G241" s="85" t="n"/>
    </row>
    <row r="242" ht="13.5" customHeight="1" s="453">
      <c r="D242" s="11" t="n"/>
      <c r="E242" s="86" t="n"/>
      <c r="F242" s="85" t="n"/>
      <c r="G242" s="85" t="n"/>
    </row>
    <row r="243" ht="13.5" customHeight="1" s="453">
      <c r="D243" s="11" t="n"/>
      <c r="E243" s="86" t="n"/>
      <c r="F243" s="85" t="n"/>
      <c r="G243" s="85" t="n"/>
    </row>
    <row r="244" ht="13.5" customHeight="1" s="453">
      <c r="D244" s="11" t="n"/>
      <c r="E244" s="86" t="n"/>
      <c r="F244" s="85" t="n"/>
      <c r="G244" s="85" t="n"/>
    </row>
    <row r="245" ht="13.5" customHeight="1" s="453">
      <c r="D245" s="11" t="n"/>
      <c r="E245" s="86" t="n"/>
      <c r="F245" s="85" t="n"/>
      <c r="G245" s="85" t="n"/>
    </row>
    <row r="246" ht="13.5" customHeight="1" s="453">
      <c r="D246" s="11" t="n"/>
      <c r="E246" s="86" t="n"/>
      <c r="F246" s="85" t="n"/>
      <c r="G246" s="85" t="n"/>
    </row>
    <row r="247" ht="13.5" customHeight="1" s="453">
      <c r="D247" s="11" t="n"/>
      <c r="E247" s="86" t="n"/>
      <c r="F247" s="85" t="n"/>
      <c r="G247" s="85" t="n"/>
    </row>
    <row r="248" ht="13.5" customHeight="1" s="453">
      <c r="D248" s="11" t="n"/>
      <c r="E248" s="86" t="n"/>
      <c r="F248" s="85" t="n"/>
      <c r="G248" s="85" t="n"/>
    </row>
    <row r="249" ht="13.5" customHeight="1" s="453">
      <c r="D249" s="11" t="n"/>
      <c r="E249" s="86" t="n"/>
      <c r="F249" s="85" t="n"/>
      <c r="G249" s="85" t="n"/>
    </row>
    <row r="250" ht="13.5" customHeight="1" s="453">
      <c r="D250" s="11" t="n"/>
      <c r="E250" s="86" t="n"/>
      <c r="F250" s="85" t="n"/>
      <c r="G250" s="85" t="n"/>
    </row>
    <row r="251" ht="13.5" customHeight="1" s="453">
      <c r="D251" s="11" t="n"/>
      <c r="E251" s="86" t="n"/>
      <c r="F251" s="85" t="n"/>
      <c r="G251" s="85" t="n"/>
    </row>
    <row r="252" ht="13.5" customHeight="1" s="453">
      <c r="D252" s="11" t="n"/>
      <c r="E252" s="86" t="n"/>
      <c r="F252" s="85" t="n"/>
      <c r="G252" s="85" t="n"/>
    </row>
    <row r="253" ht="13.5" customHeight="1" s="453">
      <c r="D253" s="11" t="n"/>
      <c r="E253" s="86" t="n"/>
      <c r="F253" s="85" t="n"/>
      <c r="G253" s="85" t="n"/>
    </row>
    <row r="254" ht="13.5" customHeight="1" s="453">
      <c r="D254" s="11" t="n"/>
      <c r="E254" s="86" t="n"/>
      <c r="F254" s="85" t="n"/>
      <c r="G254" s="85" t="n"/>
    </row>
    <row r="255" ht="13.5" customHeight="1" s="453">
      <c r="D255" s="11" t="n"/>
      <c r="E255" s="86" t="n"/>
      <c r="F255" s="85" t="n"/>
      <c r="G255" s="85" t="n"/>
    </row>
    <row r="256" ht="13.5" customHeight="1" s="453">
      <c r="D256" s="11" t="n"/>
      <c r="E256" s="86" t="n"/>
      <c r="F256" s="85" t="n"/>
      <c r="G256" s="85" t="n"/>
    </row>
    <row r="257" ht="13.5" customHeight="1" s="453">
      <c r="D257" s="11" t="n"/>
      <c r="E257" s="86" t="n"/>
      <c r="F257" s="85" t="n"/>
      <c r="G257" s="85" t="n"/>
    </row>
    <row r="258" ht="13.5" customHeight="1" s="453">
      <c r="D258" s="11" t="n"/>
      <c r="E258" s="86" t="n"/>
      <c r="F258" s="85" t="n"/>
      <c r="G258" s="85" t="n"/>
    </row>
    <row r="259" ht="13.5" customHeight="1" s="453">
      <c r="D259" s="11" t="n"/>
      <c r="E259" s="86" t="n"/>
      <c r="F259" s="85" t="n"/>
      <c r="G259" s="85" t="n"/>
    </row>
    <row r="260" ht="13.5" customHeight="1" s="453">
      <c r="D260" s="11" t="n"/>
      <c r="E260" s="86" t="n"/>
      <c r="F260" s="85" t="n"/>
      <c r="G260" s="85" t="n"/>
    </row>
    <row r="261" ht="13.5" customHeight="1" s="453">
      <c r="D261" s="11" t="n"/>
      <c r="E261" s="86" t="n"/>
      <c r="F261" s="85" t="n"/>
      <c r="G261" s="85" t="n"/>
    </row>
    <row r="262" ht="13.5" customHeight="1" s="453">
      <c r="D262" s="11" t="n"/>
      <c r="E262" s="86" t="n"/>
      <c r="F262" s="85" t="n"/>
      <c r="G262" s="85" t="n"/>
    </row>
    <row r="263" ht="13.5" customHeight="1" s="453">
      <c r="D263" s="11" t="n"/>
      <c r="E263" s="86" t="n"/>
      <c r="F263" s="85" t="n"/>
      <c r="G263" s="85" t="n"/>
    </row>
    <row r="264" ht="13.5" customHeight="1" s="453">
      <c r="D264" s="11" t="n"/>
      <c r="E264" s="86" t="n"/>
      <c r="F264" s="85" t="n"/>
      <c r="G264" s="85" t="n"/>
    </row>
    <row r="265" ht="13.5" customHeight="1" s="453">
      <c r="D265" s="11" t="n"/>
      <c r="E265" s="86" t="n"/>
      <c r="F265" s="85" t="n"/>
      <c r="G265" s="85" t="n"/>
    </row>
    <row r="266" ht="13.5" customHeight="1" s="453">
      <c r="D266" s="11" t="n"/>
      <c r="E266" s="86" t="n"/>
      <c r="F266" s="85" t="n"/>
      <c r="G266" s="85" t="n"/>
    </row>
    <row r="267" ht="13.5" customHeight="1" s="453">
      <c r="D267" s="11" t="n"/>
      <c r="E267" s="86" t="n"/>
      <c r="F267" s="85" t="n"/>
      <c r="G267" s="85" t="n"/>
    </row>
    <row r="268" ht="13.5" customHeight="1" s="453">
      <c r="D268" s="11" t="n"/>
      <c r="E268" s="86" t="n"/>
      <c r="F268" s="85" t="n"/>
      <c r="G268" s="85" t="n"/>
    </row>
    <row r="269" ht="13.5" customHeight="1" s="453">
      <c r="D269" s="11" t="n"/>
      <c r="E269" s="86" t="n"/>
      <c r="F269" s="85" t="n"/>
      <c r="G269" s="85" t="n"/>
    </row>
    <row r="270" ht="13.5" customHeight="1" s="453">
      <c r="D270" s="11" t="n"/>
      <c r="E270" s="86" t="n"/>
      <c r="F270" s="85" t="n"/>
      <c r="G270" s="85" t="n"/>
    </row>
    <row r="271" ht="13.5" customHeight="1" s="453">
      <c r="D271" s="11" t="n"/>
      <c r="E271" s="86" t="n"/>
      <c r="F271" s="85" t="n"/>
      <c r="G271" s="85" t="n"/>
    </row>
    <row r="272" ht="13.5" customHeight="1" s="453">
      <c r="D272" s="11" t="n"/>
      <c r="E272" s="86" t="n"/>
      <c r="F272" s="85" t="n"/>
      <c r="G272" s="85" t="n"/>
    </row>
    <row r="273" ht="13.5" customHeight="1" s="453">
      <c r="D273" s="11" t="n"/>
      <c r="E273" s="86" t="n"/>
      <c r="F273" s="85" t="n"/>
      <c r="G273" s="85" t="n"/>
    </row>
    <row r="274" ht="13.5" customHeight="1" s="453">
      <c r="D274" s="11" t="n"/>
      <c r="E274" s="86" t="n"/>
      <c r="F274" s="85" t="n"/>
      <c r="G274" s="85" t="n"/>
    </row>
    <row r="275" ht="13.5" customHeight="1" s="453">
      <c r="D275" s="11" t="n"/>
      <c r="E275" s="86" t="n"/>
      <c r="F275" s="85" t="n"/>
      <c r="G275" s="85" t="n"/>
    </row>
    <row r="276" ht="13.5" customHeight="1" s="453">
      <c r="D276" s="11" t="n"/>
      <c r="E276" s="86" t="n"/>
      <c r="F276" s="85" t="n"/>
      <c r="G276" s="85" t="n"/>
    </row>
    <row r="277" ht="13.5" customHeight="1" s="453">
      <c r="D277" s="11" t="n"/>
      <c r="E277" s="86" t="n"/>
      <c r="F277" s="85" t="n"/>
      <c r="G277" s="85" t="n"/>
    </row>
    <row r="278" ht="13.5" customHeight="1" s="453">
      <c r="D278" s="11" t="n"/>
      <c r="E278" s="86" t="n"/>
      <c r="F278" s="85" t="n"/>
      <c r="G278" s="85" t="n"/>
    </row>
    <row r="279" ht="13.5" customHeight="1" s="453">
      <c r="D279" s="11" t="n"/>
      <c r="E279" s="86" t="n"/>
      <c r="F279" s="85" t="n"/>
      <c r="G279" s="85" t="n"/>
    </row>
    <row r="280" ht="13.5" customHeight="1" s="453">
      <c r="D280" s="11" t="n"/>
      <c r="E280" s="86" t="n"/>
      <c r="F280" s="85" t="n"/>
      <c r="G280" s="85" t="n"/>
    </row>
    <row r="281" ht="13.5" customHeight="1" s="453">
      <c r="D281" s="11" t="n"/>
      <c r="E281" s="86" t="n"/>
      <c r="F281" s="85" t="n"/>
      <c r="G281" s="85" t="n"/>
    </row>
    <row r="282" ht="13.5" customHeight="1" s="453">
      <c r="D282" s="11" t="n"/>
      <c r="E282" s="86" t="n"/>
      <c r="F282" s="85" t="n"/>
      <c r="G282" s="85" t="n"/>
    </row>
    <row r="283" ht="13.5" customHeight="1" s="453">
      <c r="D283" s="11" t="n"/>
      <c r="E283" s="86" t="n"/>
      <c r="F283" s="85" t="n"/>
      <c r="G283" s="85" t="n"/>
    </row>
    <row r="284" ht="13.5" customHeight="1" s="453">
      <c r="D284" s="11" t="n"/>
      <c r="E284" s="86" t="n"/>
      <c r="F284" s="85" t="n"/>
      <c r="G284" s="85" t="n"/>
    </row>
    <row r="285" ht="13.5" customHeight="1" s="453">
      <c r="D285" s="11" t="n"/>
      <c r="E285" s="86" t="n"/>
      <c r="F285" s="85" t="n"/>
      <c r="G285" s="85" t="n"/>
    </row>
    <row r="286" ht="13.5" customHeight="1" s="453">
      <c r="D286" s="11" t="n"/>
      <c r="E286" s="86" t="n"/>
      <c r="F286" s="85" t="n"/>
      <c r="G286" s="85" t="n"/>
    </row>
    <row r="287" ht="13.5" customHeight="1" s="453">
      <c r="D287" s="11" t="n"/>
      <c r="E287" s="86" t="n"/>
      <c r="F287" s="85" t="n"/>
      <c r="G287" s="85" t="n"/>
    </row>
    <row r="288" ht="13.5" customHeight="1" s="453">
      <c r="D288" s="11" t="n"/>
      <c r="E288" s="86" t="n"/>
      <c r="F288" s="85" t="n"/>
      <c r="G288" s="85" t="n"/>
    </row>
    <row r="289" ht="13.5" customHeight="1" s="453">
      <c r="D289" s="11" t="n"/>
      <c r="E289" s="86" t="n"/>
      <c r="F289" s="85" t="n"/>
      <c r="G289" s="85" t="n"/>
    </row>
    <row r="290" ht="13.5" customHeight="1" s="453">
      <c r="D290" s="11" t="n"/>
      <c r="E290" s="86" t="n"/>
      <c r="F290" s="85" t="n"/>
      <c r="G290" s="85" t="n"/>
    </row>
    <row r="291" ht="13.5" customHeight="1" s="453">
      <c r="D291" s="11" t="n"/>
      <c r="E291" s="86" t="n"/>
      <c r="F291" s="85" t="n"/>
      <c r="G291" s="85" t="n"/>
    </row>
    <row r="292" ht="13.5" customHeight="1" s="453">
      <c r="D292" s="11" t="n"/>
      <c r="E292" s="86" t="n"/>
      <c r="F292" s="85" t="n"/>
      <c r="G292" s="85" t="n"/>
    </row>
    <row r="293" ht="13.5" customHeight="1" s="453">
      <c r="D293" s="11" t="n"/>
      <c r="E293" s="86" t="n"/>
      <c r="F293" s="85" t="n"/>
      <c r="G293" s="85" t="n"/>
    </row>
    <row r="294" ht="13.5" customHeight="1" s="453">
      <c r="D294" s="11" t="n"/>
      <c r="E294" s="86" t="n"/>
      <c r="F294" s="85" t="n"/>
      <c r="G294" s="85" t="n"/>
    </row>
    <row r="295" ht="13.5" customHeight="1" s="453">
      <c r="D295" s="11" t="n"/>
      <c r="E295" s="86" t="n"/>
      <c r="F295" s="85" t="n"/>
      <c r="G295" s="85" t="n"/>
    </row>
    <row r="296" ht="13.5" customHeight="1" s="453">
      <c r="D296" s="11" t="n"/>
      <c r="E296" s="86" t="n"/>
      <c r="F296" s="85" t="n"/>
      <c r="G296" s="85" t="n"/>
    </row>
    <row r="297" ht="13.5" customHeight="1" s="453">
      <c r="D297" s="11" t="n"/>
      <c r="E297" s="86" t="n"/>
      <c r="F297" s="85" t="n"/>
      <c r="G297" s="85" t="n"/>
    </row>
    <row r="298" ht="13.5" customHeight="1" s="453">
      <c r="D298" s="11" t="n"/>
      <c r="E298" s="86" t="n"/>
      <c r="F298" s="85" t="n"/>
      <c r="G298" s="85" t="n"/>
    </row>
    <row r="299" ht="13.5" customHeight="1" s="453">
      <c r="D299" s="11" t="n"/>
      <c r="E299" s="86" t="n"/>
      <c r="F299" s="85" t="n"/>
      <c r="G299" s="85" t="n"/>
    </row>
    <row r="300" ht="13.5" customHeight="1" s="453">
      <c r="D300" s="11" t="n"/>
      <c r="E300" s="86" t="n"/>
      <c r="F300" s="85" t="n"/>
      <c r="G300" s="85" t="n"/>
    </row>
    <row r="301" ht="13.5" customHeight="1" s="453">
      <c r="D301" s="11" t="n"/>
      <c r="E301" s="86" t="n"/>
      <c r="F301" s="85" t="n"/>
      <c r="G301" s="85" t="n"/>
    </row>
    <row r="302" ht="13.5" customHeight="1" s="453">
      <c r="D302" s="11" t="n"/>
      <c r="E302" s="86" t="n"/>
      <c r="F302" s="85" t="n"/>
      <c r="G302" s="85" t="n"/>
    </row>
    <row r="303" ht="13.5" customHeight="1" s="453">
      <c r="D303" s="11" t="n"/>
      <c r="E303" s="86" t="n"/>
      <c r="F303" s="85" t="n"/>
      <c r="G303" s="85" t="n"/>
    </row>
    <row r="304" ht="13.5" customHeight="1" s="453">
      <c r="D304" s="11" t="n"/>
      <c r="E304" s="86" t="n"/>
      <c r="F304" s="85" t="n"/>
      <c r="G304" s="85" t="n"/>
    </row>
    <row r="305" ht="13.5" customHeight="1" s="453">
      <c r="D305" s="11" t="n"/>
      <c r="E305" s="86" t="n"/>
      <c r="F305" s="85" t="n"/>
      <c r="G305" s="85" t="n"/>
    </row>
    <row r="306" ht="13.5" customHeight="1" s="453">
      <c r="D306" s="11" t="n"/>
      <c r="E306" s="86" t="n"/>
      <c r="F306" s="85" t="n"/>
      <c r="G306" s="85" t="n"/>
    </row>
    <row r="307" ht="13.5" customHeight="1" s="453">
      <c r="D307" s="11" t="n"/>
      <c r="E307" s="86" t="n"/>
      <c r="F307" s="85" t="n"/>
      <c r="G307" s="85" t="n"/>
    </row>
    <row r="308" ht="13.5" customHeight="1" s="453">
      <c r="D308" s="11" t="n"/>
      <c r="E308" s="86" t="n"/>
      <c r="F308" s="85" t="n"/>
      <c r="G308" s="85" t="n"/>
    </row>
    <row r="309" ht="13.5" customHeight="1" s="453">
      <c r="D309" s="11" t="n"/>
      <c r="E309" s="86" t="n"/>
      <c r="F309" s="85" t="n"/>
      <c r="G309" s="85" t="n"/>
    </row>
    <row r="310" ht="13.5" customHeight="1" s="453">
      <c r="D310" s="11" t="n"/>
      <c r="E310" s="86" t="n"/>
      <c r="F310" s="85" t="n"/>
      <c r="G310" s="85" t="n"/>
    </row>
    <row r="311" ht="13.5" customHeight="1" s="453">
      <c r="D311" s="11" t="n"/>
      <c r="E311" s="86" t="n"/>
      <c r="F311" s="85" t="n"/>
      <c r="G311" s="85" t="n"/>
    </row>
    <row r="312" ht="13.5" customHeight="1" s="453">
      <c r="D312" s="11" t="n"/>
      <c r="E312" s="86" t="n"/>
      <c r="F312" s="85" t="n"/>
      <c r="G312" s="85" t="n"/>
    </row>
    <row r="313" ht="13.5" customHeight="1" s="453">
      <c r="D313" s="11" t="n"/>
      <c r="E313" s="86" t="n"/>
      <c r="F313" s="85" t="n"/>
      <c r="G313" s="85" t="n"/>
    </row>
    <row r="314" ht="13.5" customHeight="1" s="453">
      <c r="D314" s="11" t="n"/>
      <c r="E314" s="86" t="n"/>
      <c r="F314" s="85" t="n"/>
      <c r="G314" s="85" t="n"/>
    </row>
    <row r="315" ht="13.5" customHeight="1" s="453">
      <c r="D315" s="11" t="n"/>
      <c r="E315" s="86" t="n"/>
      <c r="F315" s="85" t="n"/>
      <c r="G315" s="85" t="n"/>
    </row>
    <row r="316" ht="13.5" customHeight="1" s="453">
      <c r="D316" s="11" t="n"/>
      <c r="E316" s="86" t="n"/>
      <c r="F316" s="85" t="n"/>
      <c r="G316" s="85" t="n"/>
    </row>
    <row r="317" ht="13.5" customHeight="1" s="453">
      <c r="D317" s="11" t="n"/>
      <c r="E317" s="86" t="n"/>
      <c r="F317" s="85" t="n"/>
      <c r="G317" s="85" t="n"/>
    </row>
    <row r="318" ht="13.5" customHeight="1" s="453">
      <c r="D318" s="11" t="n"/>
      <c r="E318" s="86" t="n"/>
      <c r="F318" s="85" t="n"/>
      <c r="G318" s="85" t="n"/>
    </row>
    <row r="319" ht="13.5" customHeight="1" s="453">
      <c r="D319" s="11" t="n"/>
      <c r="E319" s="86" t="n"/>
      <c r="F319" s="85" t="n"/>
      <c r="G319" s="85" t="n"/>
    </row>
    <row r="320" ht="13.5" customHeight="1" s="453">
      <c r="D320" s="11" t="n"/>
      <c r="E320" s="86" t="n"/>
      <c r="F320" s="85" t="n"/>
      <c r="G320" s="85" t="n"/>
    </row>
    <row r="321" ht="13.5" customHeight="1" s="453">
      <c r="D321" s="11" t="n"/>
      <c r="E321" s="86" t="n"/>
      <c r="F321" s="85" t="n"/>
      <c r="G321" s="85" t="n"/>
    </row>
    <row r="322" ht="13.5" customHeight="1" s="453">
      <c r="D322" s="11" t="n"/>
      <c r="E322" s="86" t="n"/>
      <c r="F322" s="85" t="n"/>
      <c r="G322" s="85" t="n"/>
    </row>
    <row r="323" ht="13.5" customHeight="1" s="453">
      <c r="D323" s="11" t="n"/>
      <c r="E323" s="86" t="n"/>
      <c r="F323" s="85" t="n"/>
      <c r="G323" s="85" t="n"/>
    </row>
    <row r="324" ht="13.5" customHeight="1" s="453">
      <c r="D324" s="11" t="n"/>
      <c r="E324" s="86" t="n"/>
      <c r="F324" s="85" t="n"/>
      <c r="G324" s="85" t="n"/>
    </row>
    <row r="325" ht="13.5" customHeight="1" s="453">
      <c r="D325" s="11" t="n"/>
      <c r="E325" s="86" t="n"/>
      <c r="F325" s="85" t="n"/>
      <c r="G325" s="85" t="n"/>
    </row>
    <row r="326" ht="13.5" customHeight="1" s="453">
      <c r="D326" s="11" t="n"/>
      <c r="E326" s="86" t="n"/>
      <c r="F326" s="85" t="n"/>
      <c r="G326" s="85" t="n"/>
    </row>
    <row r="327" ht="13.5" customHeight="1" s="453">
      <c r="D327" s="11" t="n"/>
      <c r="E327" s="86" t="n"/>
      <c r="F327" s="85" t="n"/>
      <c r="G327" s="85" t="n"/>
    </row>
    <row r="328" ht="13.5" customHeight="1" s="453">
      <c r="D328" s="11" t="n"/>
      <c r="E328" s="86" t="n"/>
      <c r="F328" s="85" t="n"/>
      <c r="G328" s="85" t="n"/>
    </row>
    <row r="329" ht="13.5" customHeight="1" s="453">
      <c r="D329" s="11" t="n"/>
      <c r="E329" s="86" t="n"/>
      <c r="F329" s="85" t="n"/>
      <c r="G329" s="85" t="n"/>
    </row>
    <row r="330" ht="13.5" customHeight="1" s="453">
      <c r="D330" s="11" t="n"/>
      <c r="E330" s="86" t="n"/>
      <c r="F330" s="85" t="n"/>
      <c r="G330" s="85" t="n"/>
    </row>
    <row r="331" ht="13.5" customHeight="1" s="453">
      <c r="D331" s="11" t="n"/>
      <c r="E331" s="86" t="n"/>
      <c r="F331" s="85" t="n"/>
      <c r="G331" s="85" t="n"/>
    </row>
    <row r="332" ht="13.5" customHeight="1" s="453">
      <c r="D332" s="11" t="n"/>
      <c r="E332" s="86" t="n"/>
      <c r="F332" s="85" t="n"/>
      <c r="G332" s="85" t="n"/>
    </row>
    <row r="333" ht="13.5" customHeight="1" s="453">
      <c r="D333" s="11" t="n"/>
      <c r="E333" s="86" t="n"/>
      <c r="F333" s="85" t="n"/>
      <c r="G333" s="85" t="n"/>
    </row>
    <row r="334" ht="13.5" customHeight="1" s="453">
      <c r="D334" s="11" t="n"/>
      <c r="E334" s="86" t="n"/>
      <c r="F334" s="85" t="n"/>
      <c r="G334" s="85" t="n"/>
    </row>
    <row r="335" ht="13.5" customHeight="1" s="453">
      <c r="D335" s="11" t="n"/>
      <c r="E335" s="86" t="n"/>
      <c r="F335" s="85" t="n"/>
      <c r="G335" s="85" t="n"/>
    </row>
    <row r="336" ht="13.5" customHeight="1" s="453">
      <c r="D336" s="11" t="n"/>
      <c r="E336" s="86" t="n"/>
      <c r="F336" s="85" t="n"/>
      <c r="G336" s="85" t="n"/>
    </row>
    <row r="337" ht="13.5" customHeight="1" s="453">
      <c r="D337" s="11" t="n"/>
      <c r="E337" s="86" t="n"/>
      <c r="F337" s="85" t="n"/>
      <c r="G337" s="85" t="n"/>
    </row>
    <row r="338" ht="13.5" customHeight="1" s="453">
      <c r="D338" s="11" t="n"/>
      <c r="E338" s="86" t="n"/>
      <c r="F338" s="85" t="n"/>
      <c r="G338" s="85" t="n"/>
    </row>
    <row r="339" ht="13.5" customHeight="1" s="453">
      <c r="D339" s="11" t="n"/>
      <c r="E339" s="86" t="n"/>
      <c r="F339" s="85" t="n"/>
      <c r="G339" s="85" t="n"/>
    </row>
    <row r="340" ht="13.5" customHeight="1" s="453">
      <c r="D340" s="11" t="n"/>
      <c r="E340" s="86" t="n"/>
      <c r="F340" s="85" t="n"/>
      <c r="G340" s="85" t="n"/>
    </row>
    <row r="341" ht="13.5" customHeight="1" s="453">
      <c r="D341" s="11" t="n"/>
      <c r="E341" s="86" t="n"/>
      <c r="F341" s="85" t="n"/>
      <c r="G341" s="85" t="n"/>
    </row>
    <row r="342" ht="13.5" customHeight="1" s="453">
      <c r="D342" s="11" t="n"/>
      <c r="E342" s="86" t="n"/>
      <c r="F342" s="85" t="n"/>
      <c r="G342" s="85" t="n"/>
    </row>
    <row r="343" ht="13.5" customHeight="1" s="453">
      <c r="D343" s="11" t="n"/>
      <c r="E343" s="86" t="n"/>
      <c r="F343" s="85" t="n"/>
      <c r="G343" s="85" t="n"/>
    </row>
    <row r="344" ht="13.5" customHeight="1" s="453">
      <c r="D344" s="11" t="n"/>
      <c r="E344" s="86" t="n"/>
      <c r="F344" s="85" t="n"/>
      <c r="G344" s="85" t="n"/>
    </row>
    <row r="345" ht="13.5" customHeight="1" s="453">
      <c r="D345" s="11" t="n"/>
      <c r="E345" s="86" t="n"/>
      <c r="F345" s="85" t="n"/>
      <c r="G345" s="85" t="n"/>
    </row>
    <row r="346" ht="13.5" customHeight="1" s="453">
      <c r="D346" s="11" t="n"/>
      <c r="E346" s="86" t="n"/>
      <c r="F346" s="85" t="n"/>
      <c r="G346" s="85" t="n"/>
    </row>
    <row r="347" ht="13.5" customHeight="1" s="453">
      <c r="D347" s="11" t="n"/>
      <c r="E347" s="86" t="n"/>
      <c r="F347" s="85" t="n"/>
      <c r="G347" s="85" t="n"/>
    </row>
    <row r="348" ht="13.5" customHeight="1" s="453">
      <c r="D348" s="11" t="n"/>
      <c r="E348" s="86" t="n"/>
      <c r="F348" s="85" t="n"/>
      <c r="G348" s="85" t="n"/>
    </row>
    <row r="349" ht="13.5" customHeight="1" s="453">
      <c r="D349" s="11" t="n"/>
      <c r="E349" s="86" t="n"/>
      <c r="F349" s="85" t="n"/>
      <c r="G349" s="85" t="n"/>
    </row>
    <row r="350" ht="13.5" customHeight="1" s="453">
      <c r="D350" s="11" t="n"/>
      <c r="E350" s="86" t="n"/>
      <c r="F350" s="85" t="n"/>
      <c r="G350" s="85" t="n"/>
    </row>
    <row r="351" ht="13.5" customHeight="1" s="453">
      <c r="D351" s="11" t="n"/>
      <c r="E351" s="86" t="n"/>
      <c r="F351" s="85" t="n"/>
      <c r="G351" s="85" t="n"/>
    </row>
    <row r="352" ht="13.5" customHeight="1" s="453">
      <c r="D352" s="11" t="n"/>
      <c r="E352" s="86" t="n"/>
      <c r="F352" s="85" t="n"/>
      <c r="G352" s="85" t="n"/>
    </row>
    <row r="353" ht="13.5" customHeight="1" s="453">
      <c r="D353" s="11" t="n"/>
      <c r="E353" s="86" t="n"/>
      <c r="F353" s="85" t="n"/>
      <c r="G353" s="85" t="n"/>
    </row>
    <row r="354" ht="13.5" customHeight="1" s="453">
      <c r="D354" s="11" t="n"/>
      <c r="E354" s="86" t="n"/>
      <c r="F354" s="85" t="n"/>
      <c r="G354" s="85" t="n"/>
    </row>
    <row r="355" ht="13.5" customHeight="1" s="453">
      <c r="D355" s="11" t="n"/>
      <c r="E355" s="86" t="n"/>
      <c r="F355" s="85" t="n"/>
      <c r="G355" s="85" t="n"/>
    </row>
    <row r="356" ht="13.5" customHeight="1" s="453">
      <c r="D356" s="11" t="n"/>
      <c r="E356" s="86" t="n"/>
      <c r="F356" s="85" t="n"/>
      <c r="G356" s="85" t="n"/>
    </row>
    <row r="357" ht="13.5" customHeight="1" s="453">
      <c r="D357" s="11" t="n"/>
      <c r="E357" s="86" t="n"/>
      <c r="F357" s="85" t="n"/>
      <c r="G357" s="85" t="n"/>
    </row>
    <row r="358" ht="13.5" customHeight="1" s="453">
      <c r="D358" s="11" t="n"/>
      <c r="E358" s="86" t="n"/>
      <c r="F358" s="85" t="n"/>
      <c r="G358" s="85" t="n"/>
    </row>
    <row r="359" ht="13.5" customHeight="1" s="453">
      <c r="D359" s="11" t="n"/>
      <c r="E359" s="86" t="n"/>
      <c r="F359" s="85" t="n"/>
      <c r="G359" s="85" t="n"/>
    </row>
    <row r="360" ht="13.5" customHeight="1" s="453">
      <c r="D360" s="11" t="n"/>
      <c r="E360" s="86" t="n"/>
      <c r="F360" s="85" t="n"/>
      <c r="G360" s="85" t="n"/>
    </row>
    <row r="361" ht="13.5" customHeight="1" s="453">
      <c r="D361" s="11" t="n"/>
      <c r="E361" s="86" t="n"/>
      <c r="F361" s="85" t="n"/>
      <c r="G361" s="85" t="n"/>
    </row>
    <row r="362" ht="13.5" customHeight="1" s="453">
      <c r="D362" s="11" t="n"/>
      <c r="E362" s="86" t="n"/>
      <c r="F362" s="85" t="n"/>
      <c r="G362" s="85" t="n"/>
    </row>
    <row r="363" ht="13.5" customHeight="1" s="453">
      <c r="D363" s="11" t="n"/>
      <c r="E363" s="86" t="n"/>
      <c r="F363" s="85" t="n"/>
      <c r="G363" s="85" t="n"/>
    </row>
    <row r="364" ht="13.5" customHeight="1" s="453">
      <c r="D364" s="11" t="n"/>
      <c r="E364" s="86" t="n"/>
      <c r="F364" s="85" t="n"/>
      <c r="G364" s="85" t="n"/>
    </row>
    <row r="365" ht="13.5" customHeight="1" s="453">
      <c r="D365" s="11" t="n"/>
      <c r="E365" s="86" t="n"/>
      <c r="F365" s="85" t="n"/>
      <c r="G365" s="85" t="n"/>
    </row>
    <row r="366" ht="13.5" customHeight="1" s="453">
      <c r="D366" s="11" t="n"/>
      <c r="E366" s="86" t="n"/>
      <c r="F366" s="85" t="n"/>
      <c r="G366" s="85" t="n"/>
    </row>
    <row r="367" ht="13.5" customHeight="1" s="453">
      <c r="D367" s="11" t="n"/>
      <c r="E367" s="86" t="n"/>
      <c r="F367" s="85" t="n"/>
      <c r="G367" s="85" t="n"/>
    </row>
    <row r="368" ht="13.5" customHeight="1" s="453">
      <c r="D368" s="11" t="n"/>
      <c r="E368" s="86" t="n"/>
      <c r="F368" s="85" t="n"/>
      <c r="G368" s="85" t="n"/>
    </row>
    <row r="369" ht="13.5" customHeight="1" s="453">
      <c r="D369" s="11" t="n"/>
      <c r="E369" s="86" t="n"/>
      <c r="F369" s="85" t="n"/>
      <c r="G369" s="85" t="n"/>
    </row>
    <row r="370" ht="13.5" customHeight="1" s="453">
      <c r="D370" s="11" t="n"/>
      <c r="E370" s="86" t="n"/>
      <c r="F370" s="85" t="n"/>
      <c r="G370" s="85" t="n"/>
    </row>
    <row r="371" ht="13.5" customHeight="1" s="453">
      <c r="D371" s="11" t="n"/>
      <c r="E371" s="86" t="n"/>
      <c r="F371" s="85" t="n"/>
      <c r="G371" s="85" t="n"/>
    </row>
    <row r="372" ht="13.5" customHeight="1" s="453">
      <c r="D372" s="11" t="n"/>
      <c r="E372" s="86" t="n"/>
      <c r="F372" s="85" t="n"/>
      <c r="G372" s="85" t="n"/>
    </row>
    <row r="373" ht="13.5" customHeight="1" s="453">
      <c r="D373" s="11" t="n"/>
      <c r="E373" s="86" t="n"/>
      <c r="F373" s="85" t="n"/>
      <c r="G373" s="85" t="n"/>
    </row>
    <row r="374" ht="13.5" customHeight="1" s="453">
      <c r="D374" s="11" t="n"/>
      <c r="E374" s="86" t="n"/>
      <c r="F374" s="85" t="n"/>
      <c r="G374" s="85" t="n"/>
    </row>
    <row r="375" ht="13.5" customHeight="1" s="453">
      <c r="D375" s="11" t="n"/>
      <c r="E375" s="86" t="n"/>
      <c r="F375" s="85" t="n"/>
      <c r="G375" s="85" t="n"/>
    </row>
    <row r="376" ht="13.5" customHeight="1" s="453">
      <c r="D376" s="11" t="n"/>
      <c r="E376" s="86" t="n"/>
      <c r="F376" s="85" t="n"/>
      <c r="G376" s="85" t="n"/>
    </row>
    <row r="377" ht="13.5" customHeight="1" s="453">
      <c r="D377" s="11" t="n"/>
      <c r="E377" s="86" t="n"/>
      <c r="F377" s="85" t="n"/>
      <c r="G377" s="85" t="n"/>
    </row>
    <row r="378" ht="13.5" customHeight="1" s="453">
      <c r="D378" s="11" t="n"/>
      <c r="E378" s="86" t="n"/>
      <c r="F378" s="85" t="n"/>
      <c r="G378" s="85" t="n"/>
    </row>
    <row r="379" ht="13.5" customHeight="1" s="453">
      <c r="D379" s="11" t="n"/>
      <c r="E379" s="86" t="n"/>
      <c r="F379" s="85" t="n"/>
      <c r="G379" s="85" t="n"/>
    </row>
    <row r="380" ht="13.5" customHeight="1" s="453">
      <c r="D380" s="11" t="n"/>
      <c r="E380" s="86" t="n"/>
      <c r="F380" s="85" t="n"/>
      <c r="G380" s="85" t="n"/>
    </row>
    <row r="381" ht="13.5" customHeight="1" s="453">
      <c r="D381" s="11" t="n"/>
      <c r="E381" s="86" t="n"/>
      <c r="F381" s="85" t="n"/>
      <c r="G381" s="85" t="n"/>
    </row>
    <row r="382" ht="13.5" customHeight="1" s="453">
      <c r="D382" s="11" t="n"/>
      <c r="E382" s="86" t="n"/>
      <c r="F382" s="85" t="n"/>
      <c r="G382" s="85" t="n"/>
    </row>
    <row r="383" ht="13.5" customHeight="1" s="453">
      <c r="D383" s="11" t="n"/>
      <c r="E383" s="86" t="n"/>
      <c r="F383" s="85" t="n"/>
      <c r="G383" s="85" t="n"/>
    </row>
    <row r="384" ht="13.5" customHeight="1" s="453">
      <c r="D384" s="11" t="n"/>
      <c r="E384" s="86" t="n"/>
      <c r="F384" s="85" t="n"/>
      <c r="G384" s="85" t="n"/>
    </row>
    <row r="385" ht="13.5" customHeight="1" s="453">
      <c r="D385" s="11" t="n"/>
      <c r="E385" s="86" t="n"/>
      <c r="F385" s="85" t="n"/>
      <c r="G385" s="85" t="n"/>
    </row>
    <row r="386" ht="13.5" customHeight="1" s="453">
      <c r="D386" s="11" t="n"/>
      <c r="E386" s="86" t="n"/>
      <c r="F386" s="85" t="n"/>
      <c r="G386" s="85" t="n"/>
    </row>
    <row r="387" ht="13.5" customHeight="1" s="453">
      <c r="D387" s="11" t="n"/>
      <c r="E387" s="86" t="n"/>
      <c r="F387" s="85" t="n"/>
      <c r="G387" s="85" t="n"/>
    </row>
    <row r="388" ht="13.5" customHeight="1" s="453">
      <c r="D388" s="11" t="n"/>
      <c r="E388" s="86" t="n"/>
      <c r="F388" s="85" t="n"/>
      <c r="G388" s="85" t="n"/>
    </row>
    <row r="389" ht="13.5" customHeight="1" s="453">
      <c r="D389" s="11" t="n"/>
      <c r="E389" s="86" t="n"/>
      <c r="F389" s="85" t="n"/>
      <c r="G389" s="85" t="n"/>
    </row>
    <row r="390" ht="13.5" customHeight="1" s="453">
      <c r="D390" s="11" t="n"/>
      <c r="E390" s="86" t="n"/>
      <c r="F390" s="85" t="n"/>
      <c r="G390" s="85" t="n"/>
    </row>
    <row r="391" ht="13.5" customHeight="1" s="453">
      <c r="D391" s="11" t="n"/>
      <c r="E391" s="86" t="n"/>
      <c r="F391" s="85" t="n"/>
      <c r="G391" s="85" t="n"/>
    </row>
    <row r="392" ht="13.5" customHeight="1" s="453">
      <c r="D392" s="11" t="n"/>
      <c r="E392" s="86" t="n"/>
      <c r="F392" s="85" t="n"/>
      <c r="G392" s="85" t="n"/>
    </row>
    <row r="393" ht="13.5" customHeight="1" s="453">
      <c r="D393" s="11" t="n"/>
      <c r="E393" s="86" t="n"/>
      <c r="F393" s="85" t="n"/>
      <c r="G393" s="85" t="n"/>
    </row>
    <row r="394" ht="13.5" customHeight="1" s="453">
      <c r="D394" s="11" t="n"/>
      <c r="E394" s="86" t="n"/>
      <c r="F394" s="85" t="n"/>
      <c r="G394" s="85" t="n"/>
    </row>
    <row r="395" ht="13.5" customHeight="1" s="453">
      <c r="D395" s="11" t="n"/>
      <c r="E395" s="86" t="n"/>
      <c r="F395" s="85" t="n"/>
      <c r="G395" s="85" t="n"/>
    </row>
    <row r="396" ht="13.5" customHeight="1" s="453">
      <c r="D396" s="11" t="n"/>
      <c r="E396" s="86" t="n"/>
      <c r="F396" s="85" t="n"/>
      <c r="G396" s="85" t="n"/>
    </row>
    <row r="397" ht="13.5" customHeight="1" s="453">
      <c r="D397" s="11" t="n"/>
      <c r="E397" s="86" t="n"/>
      <c r="F397" s="85" t="n"/>
      <c r="G397" s="85" t="n"/>
    </row>
    <row r="398" ht="13.5" customHeight="1" s="453">
      <c r="D398" s="11" t="n"/>
      <c r="E398" s="86" t="n"/>
      <c r="F398" s="85" t="n"/>
      <c r="G398" s="85" t="n"/>
    </row>
    <row r="399" ht="13.5" customHeight="1" s="453">
      <c r="D399" s="11" t="n"/>
      <c r="E399" s="86" t="n"/>
      <c r="F399" s="85" t="n"/>
      <c r="G399" s="85" t="n"/>
    </row>
    <row r="400" ht="13.5" customHeight="1" s="453">
      <c r="D400" s="11" t="n"/>
      <c r="E400" s="86" t="n"/>
      <c r="F400" s="85" t="n"/>
      <c r="G400" s="85" t="n"/>
    </row>
    <row r="401" ht="13.5" customHeight="1" s="453">
      <c r="D401" s="11" t="n"/>
      <c r="E401" s="86" t="n"/>
      <c r="F401" s="85" t="n"/>
      <c r="G401" s="85" t="n"/>
    </row>
    <row r="402" ht="13.5" customHeight="1" s="453">
      <c r="D402" s="11" t="n"/>
      <c r="E402" s="86" t="n"/>
      <c r="F402" s="85" t="n"/>
      <c r="G402" s="85" t="n"/>
    </row>
    <row r="403" ht="13.5" customHeight="1" s="453">
      <c r="D403" s="11" t="n"/>
      <c r="E403" s="86" t="n"/>
      <c r="F403" s="85" t="n"/>
      <c r="G403" s="85" t="n"/>
    </row>
    <row r="404" ht="13.5" customHeight="1" s="453">
      <c r="D404" s="11" t="n"/>
      <c r="E404" s="86" t="n"/>
      <c r="F404" s="85" t="n"/>
      <c r="G404" s="85" t="n"/>
    </row>
    <row r="405" ht="13.5" customHeight="1" s="453">
      <c r="D405" s="11" t="n"/>
      <c r="E405" s="86" t="n"/>
      <c r="F405" s="85" t="n"/>
      <c r="G405" s="85" t="n"/>
    </row>
    <row r="406" ht="13.5" customHeight="1" s="453">
      <c r="D406" s="11" t="n"/>
      <c r="E406" s="86" t="n"/>
      <c r="F406" s="85" t="n"/>
      <c r="G406" s="85" t="n"/>
    </row>
    <row r="407" ht="13.5" customHeight="1" s="453">
      <c r="D407" s="11" t="n"/>
      <c r="E407" s="86" t="n"/>
      <c r="F407" s="85" t="n"/>
      <c r="G407" s="85" t="n"/>
    </row>
    <row r="408" ht="13.5" customHeight="1" s="453">
      <c r="D408" s="11" t="n"/>
      <c r="E408" s="86" t="n"/>
      <c r="F408" s="85" t="n"/>
      <c r="G408" s="85" t="n"/>
    </row>
    <row r="409" ht="13.5" customHeight="1" s="453">
      <c r="D409" s="11" t="n"/>
      <c r="E409" s="86" t="n"/>
      <c r="F409" s="85" t="n"/>
      <c r="G409" s="85" t="n"/>
    </row>
    <row r="410" ht="13.5" customHeight="1" s="453">
      <c r="D410" s="11" t="n"/>
      <c r="E410" s="86" t="n"/>
      <c r="F410" s="85" t="n"/>
      <c r="G410" s="85" t="n"/>
    </row>
    <row r="411" ht="13.5" customHeight="1" s="453">
      <c r="D411" s="11" t="n"/>
      <c r="E411" s="86" t="n"/>
      <c r="F411" s="85" t="n"/>
      <c r="G411" s="85" t="n"/>
    </row>
    <row r="412" ht="13.5" customHeight="1" s="453">
      <c r="D412" s="11" t="n"/>
      <c r="E412" s="86" t="n"/>
      <c r="F412" s="85" t="n"/>
      <c r="G412" s="85" t="n"/>
    </row>
    <row r="413" ht="13.5" customHeight="1" s="453">
      <c r="D413" s="11" t="n"/>
      <c r="E413" s="86" t="n"/>
      <c r="F413" s="85" t="n"/>
      <c r="G413" s="85" t="n"/>
    </row>
    <row r="414" ht="13.5" customHeight="1" s="453">
      <c r="D414" s="11" t="n"/>
      <c r="E414" s="86" t="n"/>
      <c r="F414" s="85" t="n"/>
      <c r="G414" s="85" t="n"/>
    </row>
    <row r="415" ht="13.5" customHeight="1" s="453">
      <c r="D415" s="11" t="n"/>
      <c r="E415" s="86" t="n"/>
      <c r="F415" s="85" t="n"/>
      <c r="G415" s="85" t="n"/>
    </row>
    <row r="416" ht="13.5" customHeight="1" s="453">
      <c r="D416" s="11" t="n"/>
      <c r="E416" s="86" t="n"/>
      <c r="F416" s="85" t="n"/>
      <c r="G416" s="85" t="n"/>
    </row>
    <row r="417" ht="13.5" customHeight="1" s="453">
      <c r="D417" s="11" t="n"/>
      <c r="E417" s="86" t="n"/>
      <c r="F417" s="85" t="n"/>
      <c r="G417" s="85" t="n"/>
    </row>
    <row r="418" ht="13.5" customHeight="1" s="453">
      <c r="D418" s="11" t="n"/>
      <c r="E418" s="86" t="n"/>
      <c r="F418" s="85" t="n"/>
      <c r="G418" s="85" t="n"/>
    </row>
    <row r="419" ht="13.5" customHeight="1" s="453">
      <c r="D419" s="11" t="n"/>
      <c r="E419" s="86" t="n"/>
      <c r="F419" s="85" t="n"/>
      <c r="G419" s="85" t="n"/>
    </row>
    <row r="420" ht="13.5" customHeight="1" s="453">
      <c r="D420" s="11" t="n"/>
      <c r="E420" s="86" t="n"/>
      <c r="F420" s="85" t="n"/>
      <c r="G420" s="85" t="n"/>
    </row>
    <row r="421" ht="13.5" customHeight="1" s="453">
      <c r="D421" s="11" t="n"/>
      <c r="E421" s="86" t="n"/>
      <c r="F421" s="85" t="n"/>
      <c r="G421" s="85" t="n"/>
    </row>
    <row r="422" ht="13.5" customHeight="1" s="453">
      <c r="D422" s="11" t="n"/>
      <c r="E422" s="86" t="n"/>
      <c r="F422" s="85" t="n"/>
      <c r="G422" s="85" t="n"/>
    </row>
    <row r="423" ht="13.5" customHeight="1" s="453">
      <c r="D423" s="11" t="n"/>
      <c r="E423" s="86" t="n"/>
      <c r="F423" s="85" t="n"/>
      <c r="G423" s="85" t="n"/>
    </row>
    <row r="424" ht="13.5" customHeight="1" s="453">
      <c r="D424" s="11" t="n"/>
      <c r="E424" s="86" t="n"/>
      <c r="F424" s="85" t="n"/>
      <c r="G424" s="85" t="n"/>
    </row>
    <row r="425" ht="13.5" customHeight="1" s="453">
      <c r="D425" s="11" t="n"/>
      <c r="E425" s="86" t="n"/>
      <c r="F425" s="85" t="n"/>
      <c r="G425" s="85" t="n"/>
    </row>
    <row r="426" ht="13.5" customHeight="1" s="453">
      <c r="D426" s="11" t="n"/>
      <c r="E426" s="86" t="n"/>
      <c r="F426" s="85" t="n"/>
      <c r="G426" s="85" t="n"/>
    </row>
    <row r="427" ht="13.5" customHeight="1" s="453">
      <c r="D427" s="11" t="n"/>
      <c r="E427" s="86" t="n"/>
      <c r="F427" s="85" t="n"/>
      <c r="G427" s="85" t="n"/>
    </row>
    <row r="428" ht="13.5" customHeight="1" s="453">
      <c r="D428" s="11" t="n"/>
      <c r="E428" s="86" t="n"/>
      <c r="F428" s="85" t="n"/>
      <c r="G428" s="85" t="n"/>
    </row>
    <row r="429" ht="13.5" customHeight="1" s="453">
      <c r="D429" s="11" t="n"/>
      <c r="E429" s="86" t="n"/>
      <c r="F429" s="85" t="n"/>
      <c r="G429" s="85" t="n"/>
    </row>
    <row r="430" ht="13.5" customHeight="1" s="453">
      <c r="D430" s="11" t="n"/>
      <c r="E430" s="86" t="n"/>
      <c r="F430" s="85" t="n"/>
      <c r="G430" s="85" t="n"/>
    </row>
    <row r="431" ht="13.5" customHeight="1" s="453">
      <c r="D431" s="11" t="n"/>
      <c r="E431" s="86" t="n"/>
      <c r="F431" s="85" t="n"/>
      <c r="G431" s="85" t="n"/>
    </row>
    <row r="432" ht="13.5" customHeight="1" s="453">
      <c r="D432" s="11" t="n"/>
      <c r="E432" s="86" t="n"/>
      <c r="F432" s="85" t="n"/>
      <c r="G432" s="85" t="n"/>
    </row>
    <row r="433" ht="13.5" customHeight="1" s="453">
      <c r="D433" s="11" t="n"/>
      <c r="E433" s="86" t="n"/>
      <c r="F433" s="85" t="n"/>
      <c r="G433" s="85" t="n"/>
    </row>
    <row r="434" ht="13.5" customHeight="1" s="453">
      <c r="D434" s="11" t="n"/>
      <c r="E434" s="86" t="n"/>
      <c r="F434" s="85" t="n"/>
      <c r="G434" s="85" t="n"/>
    </row>
    <row r="435" ht="13.5" customHeight="1" s="453">
      <c r="D435" s="11" t="n"/>
      <c r="E435" s="86" t="n"/>
      <c r="F435" s="85" t="n"/>
      <c r="G435" s="85" t="n"/>
    </row>
    <row r="436" ht="13.5" customHeight="1" s="453">
      <c r="D436" s="11" t="n"/>
      <c r="E436" s="86" t="n"/>
      <c r="F436" s="85" t="n"/>
      <c r="G436" s="85" t="n"/>
    </row>
    <row r="437" ht="13.5" customHeight="1" s="453">
      <c r="D437" s="11" t="n"/>
      <c r="E437" s="86" t="n"/>
      <c r="F437" s="85" t="n"/>
      <c r="G437" s="85" t="n"/>
    </row>
    <row r="438" ht="13.5" customHeight="1" s="453">
      <c r="D438" s="11" t="n"/>
      <c r="E438" s="86" t="n"/>
      <c r="F438" s="85" t="n"/>
      <c r="G438" s="85" t="n"/>
    </row>
    <row r="439" ht="13.5" customHeight="1" s="453">
      <c r="D439" s="11" t="n"/>
      <c r="E439" s="86" t="n"/>
      <c r="F439" s="85" t="n"/>
      <c r="G439" s="85" t="n"/>
    </row>
    <row r="440" ht="13.5" customHeight="1" s="453">
      <c r="D440" s="11" t="n"/>
      <c r="E440" s="86" t="n"/>
      <c r="F440" s="85" t="n"/>
      <c r="G440" s="85" t="n"/>
    </row>
    <row r="441" ht="13.5" customHeight="1" s="453">
      <c r="D441" s="11" t="n"/>
      <c r="E441" s="86" t="n"/>
      <c r="F441" s="85" t="n"/>
      <c r="G441" s="85" t="n"/>
    </row>
    <row r="442" ht="13.5" customHeight="1" s="453">
      <c r="D442" s="11" t="n"/>
      <c r="E442" s="86" t="n"/>
      <c r="F442" s="85" t="n"/>
      <c r="G442" s="85" t="n"/>
    </row>
    <row r="443" ht="13.5" customHeight="1" s="453">
      <c r="D443" s="11" t="n"/>
      <c r="E443" s="86" t="n"/>
      <c r="F443" s="85" t="n"/>
      <c r="G443" s="85" t="n"/>
    </row>
    <row r="444" ht="13.5" customHeight="1" s="453">
      <c r="D444" s="11" t="n"/>
      <c r="E444" s="86" t="n"/>
      <c r="F444" s="85" t="n"/>
      <c r="G444" s="85" t="n"/>
    </row>
    <row r="445" ht="13.5" customHeight="1" s="453">
      <c r="D445" s="11" t="n"/>
      <c r="E445" s="86" t="n"/>
      <c r="F445" s="85" t="n"/>
      <c r="G445" s="85" t="n"/>
    </row>
    <row r="446" ht="13.5" customHeight="1" s="453">
      <c r="D446" s="11" t="n"/>
      <c r="E446" s="86" t="n"/>
      <c r="F446" s="85" t="n"/>
      <c r="G446" s="85" t="n"/>
    </row>
    <row r="447" ht="13.5" customHeight="1" s="453">
      <c r="D447" s="11" t="n"/>
      <c r="E447" s="86" t="n"/>
      <c r="F447" s="85" t="n"/>
      <c r="G447" s="85" t="n"/>
    </row>
    <row r="448" ht="13.5" customHeight="1" s="453">
      <c r="D448" s="11" t="n"/>
      <c r="E448" s="86" t="n"/>
      <c r="F448" s="85" t="n"/>
      <c r="G448" s="85" t="n"/>
    </row>
    <row r="449" ht="13.5" customHeight="1" s="453">
      <c r="D449" s="11" t="n"/>
      <c r="E449" s="86" t="n"/>
      <c r="F449" s="85" t="n"/>
      <c r="G449" s="85" t="n"/>
    </row>
    <row r="450" ht="13.5" customHeight="1" s="453">
      <c r="D450" s="11" t="n"/>
      <c r="E450" s="86" t="n"/>
      <c r="F450" s="85" t="n"/>
      <c r="G450" s="85" t="n"/>
    </row>
    <row r="451" ht="13.5" customHeight="1" s="453">
      <c r="D451" s="11" t="n"/>
      <c r="E451" s="86" t="n"/>
      <c r="F451" s="85" t="n"/>
      <c r="G451" s="85" t="n"/>
    </row>
    <row r="452" ht="13.5" customHeight="1" s="453">
      <c r="D452" s="11" t="n"/>
      <c r="E452" s="86" t="n"/>
      <c r="F452" s="85" t="n"/>
      <c r="G452" s="85" t="n"/>
    </row>
    <row r="453" ht="13.5" customHeight="1" s="453">
      <c r="D453" s="11" t="n"/>
      <c r="E453" s="86" t="n"/>
      <c r="F453" s="85" t="n"/>
      <c r="G453" s="85" t="n"/>
    </row>
    <row r="454" ht="13.5" customHeight="1" s="453">
      <c r="D454" s="11" t="n"/>
      <c r="E454" s="86" t="n"/>
      <c r="F454" s="85" t="n"/>
      <c r="G454" s="85" t="n"/>
    </row>
    <row r="455" ht="13.5" customHeight="1" s="453">
      <c r="D455" s="11" t="n"/>
      <c r="E455" s="86" t="n"/>
      <c r="F455" s="85" t="n"/>
      <c r="G455" s="85" t="n"/>
    </row>
    <row r="456" ht="13.5" customHeight="1" s="453">
      <c r="D456" s="11" t="n"/>
      <c r="E456" s="86" t="n"/>
      <c r="F456" s="85" t="n"/>
      <c r="G456" s="85" t="n"/>
    </row>
    <row r="457" ht="13.5" customHeight="1" s="453">
      <c r="D457" s="11" t="n"/>
      <c r="E457" s="86" t="n"/>
      <c r="F457" s="85" t="n"/>
      <c r="G457" s="85" t="n"/>
    </row>
    <row r="458" ht="13.5" customHeight="1" s="453">
      <c r="D458" s="11" t="n"/>
      <c r="E458" s="86" t="n"/>
      <c r="F458" s="85" t="n"/>
      <c r="G458" s="85" t="n"/>
    </row>
    <row r="459" ht="13.5" customHeight="1" s="453">
      <c r="D459" s="11" t="n"/>
      <c r="E459" s="86" t="n"/>
      <c r="F459" s="85" t="n"/>
      <c r="G459" s="85" t="n"/>
    </row>
    <row r="460" ht="13.5" customHeight="1" s="453">
      <c r="D460" s="11" t="n"/>
      <c r="E460" s="86" t="n"/>
      <c r="F460" s="85" t="n"/>
      <c r="G460" s="85" t="n"/>
    </row>
    <row r="461" ht="13.5" customHeight="1" s="453">
      <c r="D461" s="11" t="n"/>
      <c r="E461" s="86" t="n"/>
      <c r="F461" s="85" t="n"/>
      <c r="G461" s="85" t="n"/>
    </row>
    <row r="462" ht="13.5" customHeight="1" s="453">
      <c r="D462" s="11" t="n"/>
      <c r="E462" s="86" t="n"/>
      <c r="F462" s="85" t="n"/>
      <c r="G462" s="85" t="n"/>
    </row>
    <row r="463" ht="13.5" customHeight="1" s="453">
      <c r="D463" s="11" t="n"/>
      <c r="E463" s="86" t="n"/>
      <c r="F463" s="85" t="n"/>
      <c r="G463" s="85" t="n"/>
    </row>
    <row r="464" ht="13.5" customHeight="1" s="453">
      <c r="D464" s="11" t="n"/>
      <c r="E464" s="86" t="n"/>
      <c r="F464" s="85" t="n"/>
      <c r="G464" s="85" t="n"/>
    </row>
    <row r="465" ht="13.5" customHeight="1" s="453">
      <c r="D465" s="11" t="n"/>
      <c r="E465" s="86" t="n"/>
      <c r="F465" s="85" t="n"/>
      <c r="G465" s="85" t="n"/>
    </row>
    <row r="466" ht="13.5" customHeight="1" s="453">
      <c r="D466" s="11" t="n"/>
      <c r="E466" s="86" t="n"/>
      <c r="F466" s="85" t="n"/>
      <c r="G466" s="85" t="n"/>
    </row>
    <row r="467" ht="13.5" customHeight="1" s="453">
      <c r="D467" s="11" t="n"/>
      <c r="E467" s="86" t="n"/>
      <c r="F467" s="85" t="n"/>
      <c r="G467" s="85" t="n"/>
    </row>
    <row r="468" ht="13.5" customHeight="1" s="453">
      <c r="D468" s="11" t="n"/>
      <c r="E468" s="86" t="n"/>
      <c r="F468" s="85" t="n"/>
      <c r="G468" s="85" t="n"/>
    </row>
    <row r="469" ht="13.5" customHeight="1" s="453">
      <c r="D469" s="11" t="n"/>
      <c r="E469" s="86" t="n"/>
      <c r="F469" s="85" t="n"/>
      <c r="G469" s="85" t="n"/>
    </row>
    <row r="470" ht="13.5" customHeight="1" s="453">
      <c r="D470" s="11" t="n"/>
      <c r="E470" s="86" t="n"/>
      <c r="F470" s="85" t="n"/>
      <c r="G470" s="85" t="n"/>
    </row>
    <row r="471" ht="13.5" customHeight="1" s="453">
      <c r="D471" s="11" t="n"/>
      <c r="E471" s="86" t="n"/>
      <c r="F471" s="85" t="n"/>
      <c r="G471" s="85" t="n"/>
    </row>
    <row r="472" ht="13.5" customHeight="1" s="453">
      <c r="D472" s="11" t="n"/>
      <c r="E472" s="86" t="n"/>
      <c r="F472" s="85" t="n"/>
      <c r="G472" s="85" t="n"/>
    </row>
    <row r="473" ht="13.5" customHeight="1" s="453">
      <c r="D473" s="11" t="n"/>
      <c r="E473" s="86" t="n"/>
      <c r="F473" s="85" t="n"/>
      <c r="G473" s="85" t="n"/>
    </row>
    <row r="474" ht="13.5" customHeight="1" s="453">
      <c r="D474" s="11" t="n"/>
      <c r="E474" s="86" t="n"/>
      <c r="F474" s="85" t="n"/>
      <c r="G474" s="85" t="n"/>
    </row>
    <row r="475" ht="13.5" customHeight="1" s="453">
      <c r="D475" s="11" t="n"/>
      <c r="E475" s="86" t="n"/>
      <c r="F475" s="85" t="n"/>
      <c r="G475" s="85" t="n"/>
    </row>
    <row r="476" ht="13.5" customHeight="1" s="453">
      <c r="D476" s="11" t="n"/>
      <c r="E476" s="86" t="n"/>
      <c r="F476" s="85" t="n"/>
      <c r="G476" s="85" t="n"/>
    </row>
    <row r="477" ht="13.5" customHeight="1" s="453">
      <c r="D477" s="11" t="n"/>
      <c r="E477" s="86" t="n"/>
      <c r="F477" s="85" t="n"/>
      <c r="G477" s="85" t="n"/>
    </row>
    <row r="478" ht="13.5" customHeight="1" s="453">
      <c r="D478" s="11" t="n"/>
      <c r="E478" s="86" t="n"/>
      <c r="F478" s="85" t="n"/>
      <c r="G478" s="85" t="n"/>
    </row>
    <row r="479" ht="13.5" customHeight="1" s="453">
      <c r="D479" s="11" t="n"/>
      <c r="E479" s="86" t="n"/>
      <c r="F479" s="85" t="n"/>
      <c r="G479" s="85" t="n"/>
    </row>
    <row r="480" ht="13.5" customHeight="1" s="453">
      <c r="D480" s="11" t="n"/>
      <c r="E480" s="86" t="n"/>
      <c r="F480" s="85" t="n"/>
      <c r="G480" s="85" t="n"/>
    </row>
    <row r="481" ht="13.5" customHeight="1" s="453">
      <c r="D481" s="11" t="n"/>
      <c r="E481" s="86" t="n"/>
      <c r="F481" s="85" t="n"/>
      <c r="G481" s="85" t="n"/>
    </row>
    <row r="482" ht="13.5" customHeight="1" s="453">
      <c r="D482" s="11" t="n"/>
      <c r="E482" s="86" t="n"/>
      <c r="F482" s="85" t="n"/>
      <c r="G482" s="85" t="n"/>
    </row>
    <row r="483" ht="13.5" customHeight="1" s="453">
      <c r="D483" s="11" t="n"/>
      <c r="E483" s="86" t="n"/>
      <c r="F483" s="85" t="n"/>
      <c r="G483" s="85" t="n"/>
    </row>
    <row r="484" ht="13.5" customHeight="1" s="453">
      <c r="D484" s="11" t="n"/>
      <c r="E484" s="86" t="n"/>
      <c r="F484" s="85" t="n"/>
      <c r="G484" s="85" t="n"/>
    </row>
    <row r="485" ht="13.5" customHeight="1" s="453">
      <c r="D485" s="11" t="n"/>
      <c r="E485" s="86" t="n"/>
      <c r="F485" s="85" t="n"/>
      <c r="G485" s="85" t="n"/>
    </row>
    <row r="486" ht="13.5" customHeight="1" s="453">
      <c r="D486" s="11" t="n"/>
      <c r="E486" s="86" t="n"/>
      <c r="F486" s="85" t="n"/>
      <c r="G486" s="85" t="n"/>
    </row>
    <row r="487" ht="13.5" customHeight="1" s="453">
      <c r="D487" s="11" t="n"/>
      <c r="E487" s="86" t="n"/>
      <c r="F487" s="85" t="n"/>
      <c r="G487" s="85" t="n"/>
    </row>
    <row r="488" ht="13.5" customHeight="1" s="453">
      <c r="D488" s="11" t="n"/>
      <c r="E488" s="86" t="n"/>
      <c r="F488" s="85" t="n"/>
      <c r="G488" s="85" t="n"/>
    </row>
    <row r="489" ht="13.5" customHeight="1" s="453">
      <c r="D489" s="11" t="n"/>
      <c r="E489" s="86" t="n"/>
      <c r="F489" s="85" t="n"/>
      <c r="G489" s="85" t="n"/>
    </row>
    <row r="490" ht="13.5" customHeight="1" s="453">
      <c r="D490" s="11" t="n"/>
      <c r="E490" s="86" t="n"/>
      <c r="F490" s="85" t="n"/>
      <c r="G490" s="85" t="n"/>
    </row>
    <row r="491" ht="13.5" customHeight="1" s="453">
      <c r="D491" s="11" t="n"/>
      <c r="E491" s="86" t="n"/>
      <c r="F491" s="85" t="n"/>
      <c r="G491" s="85" t="n"/>
    </row>
    <row r="492" ht="13.5" customHeight="1" s="453">
      <c r="D492" s="11" t="n"/>
      <c r="E492" s="86" t="n"/>
      <c r="F492" s="85" t="n"/>
      <c r="G492" s="85" t="n"/>
    </row>
    <row r="493" ht="13.5" customHeight="1" s="453">
      <c r="D493" s="11" t="n"/>
      <c r="E493" s="86" t="n"/>
      <c r="F493" s="85" t="n"/>
      <c r="G493" s="85" t="n"/>
    </row>
    <row r="494" ht="13.5" customHeight="1" s="453">
      <c r="D494" s="11" t="n"/>
      <c r="E494" s="86" t="n"/>
      <c r="F494" s="85" t="n"/>
      <c r="G494" s="85" t="n"/>
    </row>
    <row r="495" ht="13.5" customHeight="1" s="453">
      <c r="D495" s="11" t="n"/>
      <c r="E495" s="86" t="n"/>
      <c r="F495" s="85" t="n"/>
      <c r="G495" s="85" t="n"/>
    </row>
    <row r="496" ht="13.5" customHeight="1" s="453">
      <c r="D496" s="11" t="n"/>
      <c r="E496" s="86" t="n"/>
      <c r="F496" s="85" t="n"/>
      <c r="G496" s="85" t="n"/>
    </row>
    <row r="497" ht="13.5" customHeight="1" s="453">
      <c r="D497" s="11" t="n"/>
      <c r="E497" s="86" t="n"/>
      <c r="F497" s="85" t="n"/>
      <c r="G497" s="85" t="n"/>
    </row>
    <row r="498" ht="13.5" customHeight="1" s="453">
      <c r="D498" s="11" t="n"/>
      <c r="E498" s="86" t="n"/>
      <c r="F498" s="85" t="n"/>
      <c r="G498" s="85" t="n"/>
    </row>
    <row r="499" ht="13.5" customHeight="1" s="453">
      <c r="D499" s="11" t="n"/>
      <c r="E499" s="86" t="n"/>
      <c r="F499" s="85" t="n"/>
      <c r="G499" s="85" t="n"/>
    </row>
    <row r="500" ht="13.5" customHeight="1" s="453">
      <c r="D500" s="11" t="n"/>
      <c r="E500" s="86" t="n"/>
      <c r="F500" s="85" t="n"/>
      <c r="G500" s="85" t="n"/>
    </row>
    <row r="501" ht="13.5" customHeight="1" s="453">
      <c r="D501" s="11" t="n"/>
      <c r="E501" s="86" t="n"/>
      <c r="F501" s="85" t="n"/>
      <c r="G501" s="85" t="n"/>
    </row>
    <row r="502" ht="13.5" customHeight="1" s="453">
      <c r="D502" s="11" t="n"/>
      <c r="E502" s="86" t="n"/>
      <c r="F502" s="85" t="n"/>
      <c r="G502" s="85" t="n"/>
    </row>
    <row r="503" ht="13.5" customHeight="1" s="453">
      <c r="D503" s="11" t="n"/>
      <c r="E503" s="86" t="n"/>
      <c r="F503" s="85" t="n"/>
      <c r="G503" s="85" t="n"/>
    </row>
    <row r="504" ht="13.5" customHeight="1" s="453">
      <c r="D504" s="11" t="n"/>
      <c r="E504" s="86" t="n"/>
      <c r="F504" s="85" t="n"/>
      <c r="G504" s="85" t="n"/>
    </row>
    <row r="505" ht="13.5" customHeight="1" s="453">
      <c r="D505" s="11" t="n"/>
      <c r="E505" s="86" t="n"/>
      <c r="F505" s="85" t="n"/>
      <c r="G505" s="85" t="n"/>
    </row>
    <row r="506" ht="13.5" customHeight="1" s="453">
      <c r="D506" s="11" t="n"/>
      <c r="E506" s="86" t="n"/>
      <c r="F506" s="85" t="n"/>
      <c r="G506" s="85" t="n"/>
    </row>
    <row r="507" ht="13.5" customHeight="1" s="453">
      <c r="D507" s="11" t="n"/>
      <c r="E507" s="86" t="n"/>
      <c r="F507" s="85" t="n"/>
      <c r="G507" s="85" t="n"/>
    </row>
    <row r="508" ht="13.5" customHeight="1" s="453">
      <c r="D508" s="11" t="n"/>
      <c r="E508" s="86" t="n"/>
      <c r="F508" s="85" t="n"/>
      <c r="G508" s="85" t="n"/>
    </row>
    <row r="509" ht="13.5" customHeight="1" s="453">
      <c r="D509" s="11" t="n"/>
      <c r="E509" s="86" t="n"/>
      <c r="F509" s="85" t="n"/>
      <c r="G509" s="85" t="n"/>
    </row>
    <row r="510" ht="13.5" customHeight="1" s="453">
      <c r="D510" s="11" t="n"/>
      <c r="E510" s="86" t="n"/>
      <c r="F510" s="85" t="n"/>
      <c r="G510" s="85" t="n"/>
    </row>
    <row r="511" ht="13.5" customHeight="1" s="453">
      <c r="D511" s="11" t="n"/>
      <c r="E511" s="86" t="n"/>
      <c r="F511" s="85" t="n"/>
      <c r="G511" s="85" t="n"/>
    </row>
    <row r="512" ht="13.5" customHeight="1" s="453">
      <c r="D512" s="11" t="n"/>
      <c r="E512" s="86" t="n"/>
      <c r="F512" s="85" t="n"/>
      <c r="G512" s="85" t="n"/>
    </row>
    <row r="513" ht="13.5" customHeight="1" s="453">
      <c r="D513" s="11" t="n"/>
      <c r="E513" s="86" t="n"/>
      <c r="F513" s="85" t="n"/>
      <c r="G513" s="85" t="n"/>
    </row>
    <row r="514" ht="13.5" customHeight="1" s="453">
      <c r="D514" s="11" t="n"/>
      <c r="E514" s="86" t="n"/>
      <c r="F514" s="85" t="n"/>
      <c r="G514" s="85" t="n"/>
    </row>
    <row r="515" ht="13.5" customHeight="1" s="453">
      <c r="D515" s="11" t="n"/>
      <c r="E515" s="86" t="n"/>
      <c r="F515" s="85" t="n"/>
      <c r="G515" s="85" t="n"/>
    </row>
    <row r="516" ht="13.5" customHeight="1" s="453">
      <c r="D516" s="11" t="n"/>
      <c r="E516" s="86" t="n"/>
      <c r="F516" s="85" t="n"/>
      <c r="G516" s="85" t="n"/>
    </row>
    <row r="517" ht="13.5" customHeight="1" s="453">
      <c r="D517" s="11" t="n"/>
      <c r="E517" s="86" t="n"/>
      <c r="F517" s="85" t="n"/>
      <c r="G517" s="85" t="n"/>
    </row>
    <row r="518" ht="13.5" customHeight="1" s="453">
      <c r="D518" s="11" t="n"/>
      <c r="E518" s="86" t="n"/>
      <c r="F518" s="85" t="n"/>
      <c r="G518" s="85" t="n"/>
    </row>
    <row r="519" ht="13.5" customHeight="1" s="453">
      <c r="D519" s="11" t="n"/>
      <c r="E519" s="86" t="n"/>
      <c r="F519" s="85" t="n"/>
      <c r="G519" s="85" t="n"/>
    </row>
    <row r="520" ht="13.5" customHeight="1" s="453">
      <c r="D520" s="11" t="n"/>
      <c r="E520" s="86" t="n"/>
      <c r="F520" s="85" t="n"/>
      <c r="G520" s="85" t="n"/>
    </row>
    <row r="521" ht="13.5" customHeight="1" s="453">
      <c r="D521" s="11" t="n"/>
      <c r="E521" s="86" t="n"/>
      <c r="F521" s="85" t="n"/>
      <c r="G521" s="85" t="n"/>
    </row>
    <row r="522" ht="13.5" customHeight="1" s="453">
      <c r="D522" s="11" t="n"/>
      <c r="E522" s="86" t="n"/>
      <c r="F522" s="85" t="n"/>
      <c r="G522" s="85" t="n"/>
    </row>
    <row r="523" ht="13.5" customHeight="1" s="453">
      <c r="D523" s="11" t="n"/>
      <c r="E523" s="86" t="n"/>
      <c r="F523" s="85" t="n"/>
      <c r="G523" s="85" t="n"/>
    </row>
    <row r="524" ht="13.5" customHeight="1" s="453">
      <c r="D524" s="11" t="n"/>
      <c r="E524" s="86" t="n"/>
      <c r="F524" s="85" t="n"/>
      <c r="G524" s="85" t="n"/>
    </row>
    <row r="525" ht="13.5" customHeight="1" s="453">
      <c r="D525" s="11" t="n"/>
      <c r="E525" s="86" t="n"/>
      <c r="F525" s="85" t="n"/>
      <c r="G525" s="85" t="n"/>
    </row>
    <row r="526" ht="13.5" customHeight="1" s="453">
      <c r="D526" s="11" t="n"/>
      <c r="E526" s="86" t="n"/>
      <c r="F526" s="85" t="n"/>
      <c r="G526" s="85" t="n"/>
    </row>
    <row r="527" ht="13.5" customHeight="1" s="453">
      <c r="D527" s="11" t="n"/>
      <c r="E527" s="86" t="n"/>
      <c r="F527" s="85" t="n"/>
      <c r="G527" s="85" t="n"/>
    </row>
    <row r="528" ht="13.5" customHeight="1" s="453">
      <c r="D528" s="11" t="n"/>
      <c r="E528" s="86" t="n"/>
      <c r="F528" s="85" t="n"/>
      <c r="G528" s="85" t="n"/>
    </row>
    <row r="529" ht="13.5" customHeight="1" s="453">
      <c r="D529" s="11" t="n"/>
      <c r="E529" s="86" t="n"/>
      <c r="F529" s="85" t="n"/>
      <c r="G529" s="85" t="n"/>
    </row>
    <row r="530" ht="13.5" customHeight="1" s="453">
      <c r="D530" s="11" t="n"/>
      <c r="E530" s="86" t="n"/>
      <c r="F530" s="85" t="n"/>
      <c r="G530" s="85" t="n"/>
    </row>
    <row r="531" ht="13.5" customHeight="1" s="453">
      <c r="D531" s="11" t="n"/>
      <c r="E531" s="86" t="n"/>
      <c r="F531" s="85" t="n"/>
      <c r="G531" s="85" t="n"/>
    </row>
    <row r="532" ht="13.5" customHeight="1" s="453">
      <c r="D532" s="11" t="n"/>
      <c r="E532" s="86" t="n"/>
      <c r="F532" s="85" t="n"/>
      <c r="G532" s="85" t="n"/>
    </row>
    <row r="533" ht="13.5" customHeight="1" s="453">
      <c r="D533" s="11" t="n"/>
      <c r="E533" s="86" t="n"/>
      <c r="F533" s="85" t="n"/>
      <c r="G533" s="85" t="n"/>
    </row>
    <row r="534" ht="13.5" customHeight="1" s="453">
      <c r="D534" s="11" t="n"/>
      <c r="E534" s="86" t="n"/>
      <c r="F534" s="85" t="n"/>
      <c r="G534" s="85" t="n"/>
    </row>
    <row r="535" ht="13.5" customHeight="1" s="453">
      <c r="D535" s="11" t="n"/>
      <c r="E535" s="86" t="n"/>
      <c r="F535" s="85" t="n"/>
      <c r="G535" s="85" t="n"/>
    </row>
    <row r="536" ht="13.5" customHeight="1" s="453">
      <c r="D536" s="11" t="n"/>
      <c r="E536" s="86" t="n"/>
      <c r="F536" s="85" t="n"/>
      <c r="G536" s="85" t="n"/>
    </row>
    <row r="537" ht="13.5" customHeight="1" s="453">
      <c r="D537" s="11" t="n"/>
      <c r="E537" s="86" t="n"/>
      <c r="F537" s="85" t="n"/>
      <c r="G537" s="85" t="n"/>
    </row>
    <row r="538" ht="13.5" customHeight="1" s="453">
      <c r="D538" s="11" t="n"/>
      <c r="E538" s="86" t="n"/>
      <c r="F538" s="85" t="n"/>
      <c r="G538" s="85" t="n"/>
    </row>
    <row r="539" ht="13.5" customHeight="1" s="453">
      <c r="D539" s="11" t="n"/>
      <c r="E539" s="86" t="n"/>
      <c r="F539" s="85" t="n"/>
      <c r="G539" s="85" t="n"/>
    </row>
    <row r="540" ht="13.5" customHeight="1" s="453">
      <c r="D540" s="11" t="n"/>
      <c r="E540" s="86" t="n"/>
      <c r="F540" s="85" t="n"/>
      <c r="G540" s="85" t="n"/>
    </row>
    <row r="541" ht="13.5" customHeight="1" s="453">
      <c r="D541" s="11" t="n"/>
      <c r="E541" s="86" t="n"/>
      <c r="F541" s="85" t="n"/>
      <c r="G541" s="85" t="n"/>
    </row>
    <row r="542" ht="13.5" customHeight="1" s="453">
      <c r="D542" s="11" t="n"/>
      <c r="E542" s="86" t="n"/>
      <c r="F542" s="85" t="n"/>
      <c r="G542" s="85" t="n"/>
    </row>
    <row r="543" ht="13.5" customHeight="1" s="453">
      <c r="D543" s="11" t="n"/>
      <c r="E543" s="86" t="n"/>
      <c r="F543" s="85" t="n"/>
      <c r="G543" s="85" t="n"/>
    </row>
    <row r="544" ht="13.5" customHeight="1" s="453">
      <c r="D544" s="11" t="n"/>
      <c r="E544" s="86" t="n"/>
      <c r="F544" s="85" t="n"/>
      <c r="G544" s="85" t="n"/>
    </row>
    <row r="545" ht="13.5" customHeight="1" s="453">
      <c r="D545" s="11" t="n"/>
      <c r="E545" s="86" t="n"/>
      <c r="F545" s="85" t="n"/>
      <c r="G545" s="85" t="n"/>
    </row>
    <row r="546" ht="13.5" customHeight="1" s="453">
      <c r="D546" s="11" t="n"/>
      <c r="E546" s="86" t="n"/>
      <c r="F546" s="85" t="n"/>
      <c r="G546" s="85" t="n"/>
    </row>
    <row r="547" ht="13.5" customHeight="1" s="453">
      <c r="D547" s="11" t="n"/>
      <c r="E547" s="86" t="n"/>
      <c r="F547" s="85" t="n"/>
      <c r="G547" s="85" t="n"/>
    </row>
    <row r="548" ht="13.5" customHeight="1" s="453">
      <c r="D548" s="11" t="n"/>
      <c r="E548" s="86" t="n"/>
      <c r="F548" s="85" t="n"/>
      <c r="G548" s="85" t="n"/>
    </row>
    <row r="549" ht="13.5" customHeight="1" s="453">
      <c r="D549" s="11" t="n"/>
      <c r="E549" s="86" t="n"/>
      <c r="F549" s="85" t="n"/>
      <c r="G549" s="85" t="n"/>
    </row>
    <row r="550" ht="13.5" customHeight="1" s="453">
      <c r="D550" s="11" t="n"/>
      <c r="E550" s="86" t="n"/>
      <c r="F550" s="85" t="n"/>
      <c r="G550" s="85" t="n"/>
    </row>
    <row r="551" ht="13.5" customHeight="1" s="453">
      <c r="D551" s="11" t="n"/>
      <c r="E551" s="86" t="n"/>
      <c r="F551" s="85" t="n"/>
      <c r="G551" s="85" t="n"/>
    </row>
    <row r="552" ht="13.5" customHeight="1" s="453">
      <c r="D552" s="11" t="n"/>
      <c r="E552" s="86" t="n"/>
      <c r="F552" s="85" t="n"/>
      <c r="G552" s="85" t="n"/>
    </row>
    <row r="553" ht="13.5" customHeight="1" s="453">
      <c r="D553" s="11" t="n"/>
      <c r="E553" s="86" t="n"/>
      <c r="F553" s="85" t="n"/>
      <c r="G553" s="85" t="n"/>
    </row>
    <row r="554" ht="13.5" customHeight="1" s="453">
      <c r="D554" s="11" t="n"/>
      <c r="E554" s="86" t="n"/>
      <c r="F554" s="85" t="n"/>
      <c r="G554" s="85" t="n"/>
    </row>
    <row r="555" ht="13.5" customHeight="1" s="453">
      <c r="D555" s="11" t="n"/>
      <c r="E555" s="86" t="n"/>
      <c r="F555" s="85" t="n"/>
      <c r="G555" s="85" t="n"/>
    </row>
    <row r="556" ht="13.5" customHeight="1" s="453">
      <c r="D556" s="11" t="n"/>
      <c r="E556" s="86" t="n"/>
      <c r="F556" s="85" t="n"/>
      <c r="G556" s="85" t="n"/>
    </row>
    <row r="557" ht="13.5" customHeight="1" s="453">
      <c r="D557" s="11" t="n"/>
      <c r="E557" s="86" t="n"/>
      <c r="F557" s="85" t="n"/>
      <c r="G557" s="85" t="n"/>
    </row>
    <row r="558" ht="13.5" customHeight="1" s="453">
      <c r="D558" s="11" t="n"/>
      <c r="E558" s="86" t="n"/>
      <c r="F558" s="85" t="n"/>
      <c r="G558" s="85" t="n"/>
    </row>
    <row r="559" ht="13.5" customHeight="1" s="453">
      <c r="D559" s="11" t="n"/>
      <c r="E559" s="86" t="n"/>
      <c r="F559" s="85" t="n"/>
      <c r="G559" s="85" t="n"/>
    </row>
    <row r="560" ht="13.5" customHeight="1" s="453">
      <c r="D560" s="11" t="n"/>
      <c r="E560" s="86" t="n"/>
      <c r="F560" s="85" t="n"/>
      <c r="G560" s="85" t="n"/>
    </row>
    <row r="561" ht="13.5" customHeight="1" s="453">
      <c r="D561" s="11" t="n"/>
      <c r="E561" s="86" t="n"/>
      <c r="F561" s="85" t="n"/>
      <c r="G561" s="85" t="n"/>
    </row>
    <row r="562" ht="13.5" customHeight="1" s="453">
      <c r="D562" s="11" t="n"/>
      <c r="E562" s="86" t="n"/>
      <c r="F562" s="85" t="n"/>
      <c r="G562" s="85" t="n"/>
    </row>
    <row r="563" ht="13.5" customHeight="1" s="453">
      <c r="D563" s="11" t="n"/>
      <c r="E563" s="86" t="n"/>
      <c r="F563" s="85" t="n"/>
      <c r="G563" s="85" t="n"/>
    </row>
    <row r="564" ht="13.5" customHeight="1" s="453">
      <c r="D564" s="11" t="n"/>
      <c r="E564" s="86" t="n"/>
      <c r="F564" s="85" t="n"/>
      <c r="G564" s="85" t="n"/>
    </row>
    <row r="565" ht="13.5" customHeight="1" s="453">
      <c r="D565" s="11" t="n"/>
      <c r="E565" s="86" t="n"/>
      <c r="F565" s="85" t="n"/>
      <c r="G565" s="85" t="n"/>
    </row>
    <row r="566" ht="13.5" customHeight="1" s="453">
      <c r="D566" s="11" t="n"/>
      <c r="E566" s="86" t="n"/>
      <c r="F566" s="85" t="n"/>
      <c r="G566" s="85" t="n"/>
    </row>
    <row r="567" ht="13.5" customHeight="1" s="453">
      <c r="D567" s="11" t="n"/>
      <c r="E567" s="86" t="n"/>
      <c r="F567" s="85" t="n"/>
      <c r="G567" s="85" t="n"/>
    </row>
    <row r="568" ht="13.5" customHeight="1" s="453">
      <c r="D568" s="11" t="n"/>
      <c r="E568" s="86" t="n"/>
      <c r="F568" s="85" t="n"/>
      <c r="G568" s="85" t="n"/>
    </row>
    <row r="569" ht="13.5" customHeight="1" s="453">
      <c r="D569" s="11" t="n"/>
      <c r="E569" s="86" t="n"/>
      <c r="F569" s="85" t="n"/>
      <c r="G569" s="85" t="n"/>
    </row>
    <row r="570" ht="13.5" customHeight="1" s="453">
      <c r="D570" s="11" t="n"/>
      <c r="E570" s="86" t="n"/>
      <c r="F570" s="85" t="n"/>
      <c r="G570" s="85" t="n"/>
    </row>
    <row r="571" ht="13.5" customHeight="1" s="453">
      <c r="D571" s="11" t="n"/>
      <c r="E571" s="86" t="n"/>
      <c r="F571" s="85" t="n"/>
      <c r="G571" s="85" t="n"/>
    </row>
    <row r="572" ht="13.5" customHeight="1" s="453">
      <c r="D572" s="11" t="n"/>
      <c r="E572" s="86" t="n"/>
      <c r="F572" s="85" t="n"/>
      <c r="G572" s="85" t="n"/>
    </row>
    <row r="573" ht="13.5" customHeight="1" s="453">
      <c r="D573" s="11" t="n"/>
      <c r="E573" s="86" t="n"/>
      <c r="F573" s="85" t="n"/>
      <c r="G573" s="85" t="n"/>
    </row>
    <row r="574" ht="13.5" customHeight="1" s="453">
      <c r="D574" s="11" t="n"/>
      <c r="E574" s="86" t="n"/>
      <c r="F574" s="85" t="n"/>
      <c r="G574" s="85" t="n"/>
    </row>
    <row r="575" ht="13.5" customHeight="1" s="453">
      <c r="D575" s="11" t="n"/>
      <c r="E575" s="86" t="n"/>
      <c r="F575" s="85" t="n"/>
      <c r="G575" s="85" t="n"/>
    </row>
    <row r="576" ht="13.5" customHeight="1" s="453">
      <c r="D576" s="11" t="n"/>
      <c r="E576" s="86" t="n"/>
      <c r="F576" s="85" t="n"/>
      <c r="G576" s="85" t="n"/>
    </row>
    <row r="577" ht="13.5" customHeight="1" s="453">
      <c r="D577" s="11" t="n"/>
      <c r="E577" s="86" t="n"/>
      <c r="F577" s="85" t="n"/>
      <c r="G577" s="85" t="n"/>
    </row>
    <row r="578" ht="13.5" customHeight="1" s="453">
      <c r="D578" s="11" t="n"/>
      <c r="E578" s="86" t="n"/>
      <c r="F578" s="85" t="n"/>
      <c r="G578" s="85" t="n"/>
    </row>
    <row r="579" ht="13.5" customHeight="1" s="453">
      <c r="D579" s="11" t="n"/>
      <c r="E579" s="86" t="n"/>
      <c r="F579" s="85" t="n"/>
      <c r="G579" s="85" t="n"/>
    </row>
    <row r="580" ht="13.5" customHeight="1" s="453">
      <c r="D580" s="11" t="n"/>
      <c r="E580" s="86" t="n"/>
      <c r="F580" s="85" t="n"/>
      <c r="G580" s="85" t="n"/>
    </row>
    <row r="581" ht="13.5" customHeight="1" s="453">
      <c r="D581" s="11" t="n"/>
      <c r="E581" s="86" t="n"/>
      <c r="F581" s="85" t="n"/>
      <c r="G581" s="85" t="n"/>
    </row>
    <row r="582" ht="13.5" customHeight="1" s="453">
      <c r="D582" s="11" t="n"/>
      <c r="E582" s="86" t="n"/>
      <c r="F582" s="85" t="n"/>
      <c r="G582" s="85" t="n"/>
    </row>
    <row r="583" ht="13.5" customHeight="1" s="453">
      <c r="D583" s="11" t="n"/>
      <c r="E583" s="86" t="n"/>
      <c r="F583" s="85" t="n"/>
      <c r="G583" s="85" t="n"/>
    </row>
    <row r="584" ht="13.5" customHeight="1" s="453">
      <c r="D584" s="11" t="n"/>
      <c r="E584" s="86" t="n"/>
      <c r="F584" s="85" t="n"/>
      <c r="G584" s="85" t="n"/>
    </row>
    <row r="585" ht="13.5" customHeight="1" s="453">
      <c r="D585" s="11" t="n"/>
      <c r="E585" s="86" t="n"/>
      <c r="F585" s="85" t="n"/>
      <c r="G585" s="85" t="n"/>
    </row>
    <row r="586" ht="13.5" customHeight="1" s="453">
      <c r="D586" s="11" t="n"/>
      <c r="E586" s="86" t="n"/>
      <c r="F586" s="85" t="n"/>
      <c r="G586" s="85" t="n"/>
    </row>
    <row r="587" ht="13.5" customHeight="1" s="453">
      <c r="D587" s="11" t="n"/>
      <c r="E587" s="86" t="n"/>
      <c r="F587" s="85" t="n"/>
      <c r="G587" s="85" t="n"/>
    </row>
    <row r="588" ht="13.5" customHeight="1" s="453">
      <c r="D588" s="11" t="n"/>
      <c r="E588" s="86" t="n"/>
      <c r="F588" s="85" t="n"/>
      <c r="G588" s="85" t="n"/>
    </row>
    <row r="589" ht="13.5" customHeight="1" s="453">
      <c r="D589" s="11" t="n"/>
      <c r="E589" s="86" t="n"/>
      <c r="F589" s="85" t="n"/>
      <c r="G589" s="85" t="n"/>
    </row>
    <row r="590" ht="13.5" customHeight="1" s="453">
      <c r="D590" s="11" t="n"/>
      <c r="E590" s="86" t="n"/>
      <c r="F590" s="85" t="n"/>
      <c r="G590" s="85" t="n"/>
    </row>
    <row r="591" ht="13.5" customHeight="1" s="453">
      <c r="D591" s="11" t="n"/>
      <c r="E591" s="86" t="n"/>
      <c r="F591" s="85" t="n"/>
      <c r="G591" s="85" t="n"/>
    </row>
    <row r="592" ht="13.5" customHeight="1" s="453">
      <c r="D592" s="11" t="n"/>
      <c r="E592" s="86" t="n"/>
      <c r="F592" s="85" t="n"/>
      <c r="G592" s="85" t="n"/>
    </row>
    <row r="593" ht="13.5" customHeight="1" s="453">
      <c r="D593" s="11" t="n"/>
      <c r="E593" s="86" t="n"/>
      <c r="F593" s="85" t="n"/>
      <c r="G593" s="85" t="n"/>
    </row>
    <row r="594" ht="13.5" customHeight="1" s="453">
      <c r="D594" s="11" t="n"/>
      <c r="E594" s="86" t="n"/>
      <c r="F594" s="85" t="n"/>
      <c r="G594" s="85" t="n"/>
    </row>
    <row r="595" ht="13.5" customHeight="1" s="453">
      <c r="D595" s="11" t="n"/>
      <c r="E595" s="86" t="n"/>
      <c r="F595" s="85" t="n"/>
      <c r="G595" s="85" t="n"/>
    </row>
    <row r="596" ht="13.5" customHeight="1" s="453">
      <c r="D596" s="11" t="n"/>
      <c r="E596" s="86" t="n"/>
      <c r="F596" s="85" t="n"/>
      <c r="G596" s="85" t="n"/>
    </row>
    <row r="597" ht="13.5" customHeight="1" s="453">
      <c r="D597" s="11" t="n"/>
      <c r="E597" s="86" t="n"/>
      <c r="F597" s="85" t="n"/>
      <c r="G597" s="85" t="n"/>
    </row>
    <row r="598" ht="13.5" customHeight="1" s="453">
      <c r="D598" s="11" t="n"/>
      <c r="E598" s="86" t="n"/>
      <c r="F598" s="85" t="n"/>
      <c r="G598" s="85" t="n"/>
    </row>
    <row r="599" ht="13.5" customHeight="1" s="453">
      <c r="D599" s="11" t="n"/>
      <c r="E599" s="86" t="n"/>
      <c r="F599" s="85" t="n"/>
      <c r="G599" s="85" t="n"/>
    </row>
    <row r="600" ht="13.5" customHeight="1" s="453">
      <c r="D600" s="11" t="n"/>
      <c r="E600" s="86" t="n"/>
      <c r="F600" s="85" t="n"/>
      <c r="G600" s="85" t="n"/>
    </row>
    <row r="601" ht="13.5" customHeight="1" s="453">
      <c r="D601" s="11" t="n"/>
      <c r="E601" s="86" t="n"/>
      <c r="F601" s="85" t="n"/>
      <c r="G601" s="85" t="n"/>
    </row>
    <row r="602" ht="13.5" customHeight="1" s="453">
      <c r="D602" s="11" t="n"/>
      <c r="E602" s="86" t="n"/>
      <c r="F602" s="85" t="n"/>
      <c r="G602" s="85" t="n"/>
    </row>
    <row r="603" ht="13.5" customHeight="1" s="453">
      <c r="D603" s="11" t="n"/>
      <c r="E603" s="86" t="n"/>
      <c r="F603" s="85" t="n"/>
      <c r="G603" s="85" t="n"/>
    </row>
    <row r="604" ht="13.5" customHeight="1" s="453">
      <c r="D604" s="11" t="n"/>
      <c r="E604" s="86" t="n"/>
      <c r="F604" s="85" t="n"/>
      <c r="G604" s="85" t="n"/>
    </row>
    <row r="605" ht="13.5" customHeight="1" s="453">
      <c r="D605" s="11" t="n"/>
      <c r="E605" s="86" t="n"/>
      <c r="F605" s="85" t="n"/>
      <c r="G605" s="85" t="n"/>
    </row>
    <row r="606" ht="13.5" customHeight="1" s="453">
      <c r="D606" s="11" t="n"/>
      <c r="E606" s="86" t="n"/>
      <c r="F606" s="85" t="n"/>
      <c r="G606" s="85" t="n"/>
    </row>
    <row r="607" ht="13.5" customHeight="1" s="453">
      <c r="D607" s="11" t="n"/>
      <c r="E607" s="86" t="n"/>
      <c r="F607" s="85" t="n"/>
      <c r="G607" s="85" t="n"/>
    </row>
    <row r="608" ht="13.5" customHeight="1" s="453">
      <c r="D608" s="11" t="n"/>
      <c r="E608" s="86" t="n"/>
      <c r="F608" s="85" t="n"/>
      <c r="G608" s="85" t="n"/>
    </row>
    <row r="609" ht="13.5" customHeight="1" s="453">
      <c r="D609" s="11" t="n"/>
      <c r="E609" s="86" t="n"/>
      <c r="F609" s="85" t="n"/>
      <c r="G609" s="85" t="n"/>
    </row>
    <row r="610" ht="13.5" customHeight="1" s="453">
      <c r="D610" s="11" t="n"/>
      <c r="E610" s="86" t="n"/>
      <c r="F610" s="85" t="n"/>
      <c r="G610" s="85" t="n"/>
    </row>
    <row r="611" ht="13.5" customHeight="1" s="453">
      <c r="D611" s="11" t="n"/>
      <c r="E611" s="86" t="n"/>
      <c r="F611" s="85" t="n"/>
      <c r="G611" s="85" t="n"/>
    </row>
    <row r="612" ht="13.5" customHeight="1" s="453">
      <c r="D612" s="11" t="n"/>
      <c r="E612" s="86" t="n"/>
      <c r="F612" s="85" t="n"/>
      <c r="G612" s="85" t="n"/>
    </row>
    <row r="613" ht="13.5" customHeight="1" s="453">
      <c r="D613" s="11" t="n"/>
      <c r="E613" s="86" t="n"/>
      <c r="F613" s="85" t="n"/>
      <c r="G613" s="85" t="n"/>
    </row>
    <row r="614" ht="13.5" customHeight="1" s="453">
      <c r="D614" s="11" t="n"/>
      <c r="E614" s="86" t="n"/>
      <c r="F614" s="85" t="n"/>
      <c r="G614" s="85" t="n"/>
    </row>
    <row r="615" ht="13.5" customHeight="1" s="453">
      <c r="D615" s="11" t="n"/>
      <c r="E615" s="86" t="n"/>
      <c r="F615" s="85" t="n"/>
      <c r="G615" s="85" t="n"/>
    </row>
    <row r="616" ht="13.5" customHeight="1" s="453">
      <c r="D616" s="11" t="n"/>
      <c r="E616" s="86" t="n"/>
      <c r="F616" s="85" t="n"/>
      <c r="G616" s="85" t="n"/>
    </row>
    <row r="617" ht="13.5" customHeight="1" s="453">
      <c r="D617" s="11" t="n"/>
      <c r="E617" s="86" t="n"/>
      <c r="F617" s="85" t="n"/>
      <c r="G617" s="85" t="n"/>
    </row>
    <row r="618" ht="13.5" customHeight="1" s="453">
      <c r="D618" s="11" t="n"/>
      <c r="E618" s="86" t="n"/>
      <c r="F618" s="85" t="n"/>
      <c r="G618" s="85" t="n"/>
    </row>
    <row r="619" ht="13.5" customHeight="1" s="453">
      <c r="D619" s="11" t="n"/>
      <c r="E619" s="86" t="n"/>
      <c r="F619" s="85" t="n"/>
      <c r="G619" s="85" t="n"/>
    </row>
    <row r="620" ht="13.5" customHeight="1" s="453">
      <c r="D620" s="11" t="n"/>
      <c r="E620" s="86" t="n"/>
      <c r="F620" s="85" t="n"/>
      <c r="G620" s="85" t="n"/>
    </row>
    <row r="621" ht="13.5" customHeight="1" s="453">
      <c r="D621" s="11" t="n"/>
      <c r="E621" s="86" t="n"/>
      <c r="F621" s="85" t="n"/>
      <c r="G621" s="85" t="n"/>
    </row>
    <row r="622" ht="13.5" customHeight="1" s="453">
      <c r="D622" s="11" t="n"/>
      <c r="E622" s="86" t="n"/>
      <c r="F622" s="85" t="n"/>
      <c r="G622" s="85" t="n"/>
    </row>
    <row r="623" ht="13.5" customHeight="1" s="453">
      <c r="D623" s="11" t="n"/>
      <c r="E623" s="86" t="n"/>
      <c r="F623" s="85" t="n"/>
      <c r="G623" s="85" t="n"/>
    </row>
    <row r="624" ht="13.5" customHeight="1" s="453">
      <c r="D624" s="11" t="n"/>
      <c r="E624" s="86" t="n"/>
      <c r="F624" s="85" t="n"/>
      <c r="G624" s="85" t="n"/>
    </row>
    <row r="625" ht="13.5" customHeight="1" s="453">
      <c r="D625" s="11" t="n"/>
      <c r="E625" s="86" t="n"/>
      <c r="F625" s="85" t="n"/>
      <c r="G625" s="85" t="n"/>
    </row>
    <row r="626" ht="13.5" customHeight="1" s="453">
      <c r="D626" s="11" t="n"/>
      <c r="E626" s="86" t="n"/>
      <c r="F626" s="85" t="n"/>
      <c r="G626" s="85" t="n"/>
    </row>
    <row r="627" ht="13.5" customHeight="1" s="453">
      <c r="D627" s="11" t="n"/>
      <c r="E627" s="86" t="n"/>
      <c r="F627" s="85" t="n"/>
      <c r="G627" s="85" t="n"/>
    </row>
    <row r="628" ht="13.5" customHeight="1" s="453">
      <c r="D628" s="11" t="n"/>
      <c r="E628" s="86" t="n"/>
      <c r="F628" s="85" t="n"/>
      <c r="G628" s="85" t="n"/>
    </row>
    <row r="629" ht="13.5" customHeight="1" s="453">
      <c r="D629" s="11" t="n"/>
      <c r="E629" s="86" t="n"/>
      <c r="F629" s="85" t="n"/>
      <c r="G629" s="85" t="n"/>
    </row>
    <row r="630" ht="13.5" customHeight="1" s="453">
      <c r="D630" s="11" t="n"/>
      <c r="E630" s="86" t="n"/>
      <c r="F630" s="85" t="n"/>
      <c r="G630" s="85" t="n"/>
    </row>
    <row r="631" ht="13.5" customHeight="1" s="453">
      <c r="D631" s="11" t="n"/>
      <c r="E631" s="86" t="n"/>
      <c r="F631" s="85" t="n"/>
      <c r="G631" s="85" t="n"/>
    </row>
    <row r="632" ht="13.5" customHeight="1" s="453">
      <c r="D632" s="11" t="n"/>
      <c r="E632" s="86" t="n"/>
      <c r="F632" s="85" t="n"/>
      <c r="G632" s="85" t="n"/>
    </row>
    <row r="633" ht="13.5" customHeight="1" s="453">
      <c r="D633" s="11" t="n"/>
      <c r="E633" s="86" t="n"/>
      <c r="F633" s="85" t="n"/>
      <c r="G633" s="85" t="n"/>
    </row>
    <row r="634" ht="13.5" customHeight="1" s="453">
      <c r="D634" s="11" t="n"/>
      <c r="E634" s="86" t="n"/>
      <c r="F634" s="85" t="n"/>
      <c r="G634" s="85" t="n"/>
    </row>
    <row r="635" ht="13.5" customHeight="1" s="453">
      <c r="D635" s="11" t="n"/>
      <c r="E635" s="86" t="n"/>
      <c r="F635" s="85" t="n"/>
      <c r="G635" s="85" t="n"/>
    </row>
    <row r="636" ht="13.5" customHeight="1" s="453">
      <c r="D636" s="11" t="n"/>
      <c r="E636" s="86" t="n"/>
      <c r="F636" s="85" t="n"/>
      <c r="G636" s="85" t="n"/>
    </row>
    <row r="637" ht="13.5" customHeight="1" s="453">
      <c r="D637" s="11" t="n"/>
      <c r="E637" s="86" t="n"/>
      <c r="F637" s="85" t="n"/>
      <c r="G637" s="85" t="n"/>
    </row>
    <row r="638" ht="13.5" customHeight="1" s="453">
      <c r="D638" s="11" t="n"/>
      <c r="E638" s="86" t="n"/>
      <c r="F638" s="85" t="n"/>
      <c r="G638" s="85" t="n"/>
    </row>
    <row r="639" ht="13.5" customHeight="1" s="453">
      <c r="D639" s="11" t="n"/>
      <c r="E639" s="86" t="n"/>
      <c r="F639" s="85" t="n"/>
      <c r="G639" s="85" t="n"/>
    </row>
    <row r="640" ht="13.5" customHeight="1" s="453">
      <c r="D640" s="11" t="n"/>
      <c r="E640" s="86" t="n"/>
      <c r="F640" s="85" t="n"/>
      <c r="G640" s="85" t="n"/>
    </row>
    <row r="641" ht="13.5" customHeight="1" s="453">
      <c r="D641" s="11" t="n"/>
      <c r="E641" s="86" t="n"/>
      <c r="F641" s="85" t="n"/>
      <c r="G641" s="85" t="n"/>
    </row>
    <row r="642" ht="13.5" customHeight="1" s="453">
      <c r="D642" s="11" t="n"/>
      <c r="E642" s="86" t="n"/>
      <c r="F642" s="85" t="n"/>
      <c r="G642" s="85" t="n"/>
    </row>
    <row r="643" ht="13.5" customHeight="1" s="453">
      <c r="D643" s="11" t="n"/>
      <c r="E643" s="86" t="n"/>
      <c r="F643" s="85" t="n"/>
      <c r="G643" s="85" t="n"/>
    </row>
    <row r="644" ht="13.5" customHeight="1" s="453">
      <c r="D644" s="11" t="n"/>
      <c r="E644" s="86" t="n"/>
      <c r="F644" s="85" t="n"/>
      <c r="G644" s="85" t="n"/>
    </row>
    <row r="645" ht="13.5" customHeight="1" s="453">
      <c r="D645" s="11" t="n"/>
      <c r="E645" s="86" t="n"/>
      <c r="F645" s="85" t="n"/>
      <c r="G645" s="85" t="n"/>
    </row>
    <row r="646" ht="13.5" customHeight="1" s="453">
      <c r="D646" s="11" t="n"/>
      <c r="E646" s="86" t="n"/>
      <c r="F646" s="85" t="n"/>
      <c r="G646" s="85" t="n"/>
    </row>
    <row r="647" ht="13.5" customHeight="1" s="453">
      <c r="D647" s="11" t="n"/>
      <c r="E647" s="86" t="n"/>
      <c r="F647" s="85" t="n"/>
      <c r="G647" s="85" t="n"/>
    </row>
    <row r="648" ht="13.5" customHeight="1" s="453">
      <c r="D648" s="11" t="n"/>
      <c r="E648" s="86" t="n"/>
      <c r="F648" s="85" t="n"/>
      <c r="G648" s="85" t="n"/>
    </row>
    <row r="649" ht="13.5" customHeight="1" s="453">
      <c r="D649" s="11" t="n"/>
      <c r="E649" s="86" t="n"/>
      <c r="F649" s="85" t="n"/>
      <c r="G649" s="85" t="n"/>
    </row>
    <row r="650" ht="13.5" customHeight="1" s="453">
      <c r="D650" s="11" t="n"/>
      <c r="E650" s="86" t="n"/>
      <c r="F650" s="85" t="n"/>
      <c r="G650" s="85" t="n"/>
    </row>
    <row r="651" ht="13.5" customHeight="1" s="453">
      <c r="D651" s="11" t="n"/>
      <c r="E651" s="86" t="n"/>
      <c r="F651" s="85" t="n"/>
      <c r="G651" s="85" t="n"/>
    </row>
    <row r="652" ht="13.5" customHeight="1" s="453">
      <c r="D652" s="11" t="n"/>
      <c r="E652" s="86" t="n"/>
      <c r="F652" s="85" t="n"/>
      <c r="G652" s="85" t="n"/>
    </row>
    <row r="653" ht="13.5" customHeight="1" s="453">
      <c r="D653" s="11" t="n"/>
      <c r="E653" s="86" t="n"/>
      <c r="F653" s="85" t="n"/>
      <c r="G653" s="85" t="n"/>
    </row>
    <row r="654" ht="13.5" customHeight="1" s="453">
      <c r="D654" s="11" t="n"/>
      <c r="E654" s="86" t="n"/>
      <c r="F654" s="85" t="n"/>
      <c r="G654" s="85" t="n"/>
    </row>
    <row r="655" ht="13.5" customHeight="1" s="453">
      <c r="D655" s="11" t="n"/>
      <c r="E655" s="86" t="n"/>
      <c r="F655" s="85" t="n"/>
      <c r="G655" s="85" t="n"/>
    </row>
    <row r="656" ht="13.5" customHeight="1" s="453">
      <c r="D656" s="11" t="n"/>
      <c r="E656" s="86" t="n"/>
      <c r="F656" s="85" t="n"/>
      <c r="G656" s="85" t="n"/>
    </row>
    <row r="657" ht="13.5" customHeight="1" s="453">
      <c r="D657" s="11" t="n"/>
      <c r="E657" s="86" t="n"/>
      <c r="F657" s="85" t="n"/>
      <c r="G657" s="85" t="n"/>
    </row>
    <row r="658" ht="13.5" customHeight="1" s="453">
      <c r="D658" s="11" t="n"/>
      <c r="E658" s="86" t="n"/>
      <c r="F658" s="85" t="n"/>
      <c r="G658" s="85" t="n"/>
    </row>
    <row r="659" ht="13.5" customHeight="1" s="453">
      <c r="D659" s="11" t="n"/>
      <c r="E659" s="86" t="n"/>
      <c r="F659" s="85" t="n"/>
      <c r="G659" s="85" t="n"/>
    </row>
    <row r="660" ht="13.5" customHeight="1" s="453">
      <c r="D660" s="11" t="n"/>
      <c r="E660" s="86" t="n"/>
      <c r="F660" s="85" t="n"/>
      <c r="G660" s="85" t="n"/>
    </row>
    <row r="661" ht="13.5" customHeight="1" s="453">
      <c r="D661" s="11" t="n"/>
      <c r="E661" s="86" t="n"/>
      <c r="F661" s="85" t="n"/>
      <c r="G661" s="85" t="n"/>
    </row>
    <row r="662" ht="13.5" customHeight="1" s="453">
      <c r="D662" s="11" t="n"/>
      <c r="E662" s="86" t="n"/>
      <c r="F662" s="85" t="n"/>
      <c r="G662" s="85" t="n"/>
    </row>
    <row r="663" ht="13.5" customHeight="1" s="453">
      <c r="D663" s="11" t="n"/>
      <c r="E663" s="86" t="n"/>
      <c r="F663" s="85" t="n"/>
      <c r="G663" s="85" t="n"/>
    </row>
    <row r="664" ht="13.5" customHeight="1" s="453">
      <c r="D664" s="11" t="n"/>
      <c r="E664" s="86" t="n"/>
      <c r="F664" s="85" t="n"/>
      <c r="G664" s="85" t="n"/>
    </row>
    <row r="665" ht="13.5" customHeight="1" s="453">
      <c r="D665" s="11" t="n"/>
      <c r="E665" s="86" t="n"/>
      <c r="F665" s="85" t="n"/>
      <c r="G665" s="85" t="n"/>
    </row>
    <row r="666" ht="13.5" customHeight="1" s="453">
      <c r="D666" s="11" t="n"/>
      <c r="E666" s="86" t="n"/>
      <c r="F666" s="85" t="n"/>
      <c r="G666" s="85" t="n"/>
    </row>
    <row r="667" ht="13.5" customHeight="1" s="453">
      <c r="D667" s="11" t="n"/>
      <c r="E667" s="86" t="n"/>
      <c r="F667" s="85" t="n"/>
      <c r="G667" s="85" t="n"/>
    </row>
    <row r="668" ht="13.5" customHeight="1" s="453">
      <c r="D668" s="11" t="n"/>
      <c r="E668" s="86" t="n"/>
      <c r="F668" s="85" t="n"/>
      <c r="G668" s="85" t="n"/>
    </row>
    <row r="669" ht="13.5" customHeight="1" s="453">
      <c r="D669" s="11" t="n"/>
      <c r="E669" s="86" t="n"/>
      <c r="F669" s="85" t="n"/>
      <c r="G669" s="85" t="n"/>
    </row>
    <row r="670" ht="13.5" customHeight="1" s="453">
      <c r="D670" s="11" t="n"/>
      <c r="E670" s="86" t="n"/>
      <c r="F670" s="85" t="n"/>
      <c r="G670" s="85" t="n"/>
    </row>
    <row r="671" ht="13.5" customHeight="1" s="453">
      <c r="D671" s="11" t="n"/>
      <c r="E671" s="86" t="n"/>
      <c r="F671" s="85" t="n"/>
      <c r="G671" s="85" t="n"/>
    </row>
    <row r="672" ht="13.5" customHeight="1" s="453">
      <c r="D672" s="11" t="n"/>
      <c r="E672" s="86" t="n"/>
      <c r="F672" s="85" t="n"/>
      <c r="G672" s="85" t="n"/>
    </row>
    <row r="673" ht="13.5" customHeight="1" s="453">
      <c r="D673" s="11" t="n"/>
      <c r="E673" s="86" t="n"/>
      <c r="F673" s="85" t="n"/>
      <c r="G673" s="85" t="n"/>
    </row>
    <row r="674" ht="13.5" customHeight="1" s="453">
      <c r="D674" s="11" t="n"/>
      <c r="E674" s="86" t="n"/>
      <c r="F674" s="85" t="n"/>
      <c r="G674" s="85" t="n"/>
    </row>
    <row r="675" ht="13.5" customHeight="1" s="453">
      <c r="D675" s="11" t="n"/>
      <c r="E675" s="86" t="n"/>
      <c r="F675" s="85" t="n"/>
      <c r="G675" s="85" t="n"/>
    </row>
    <row r="676" ht="13.5" customHeight="1" s="453">
      <c r="D676" s="11" t="n"/>
      <c r="E676" s="86" t="n"/>
      <c r="F676" s="85" t="n"/>
      <c r="G676" s="85" t="n"/>
    </row>
    <row r="677" ht="13.5" customHeight="1" s="453">
      <c r="D677" s="11" t="n"/>
      <c r="E677" s="86" t="n"/>
      <c r="F677" s="85" t="n"/>
      <c r="G677" s="85" t="n"/>
    </row>
    <row r="678" ht="13.5" customHeight="1" s="453">
      <c r="D678" s="11" t="n"/>
      <c r="E678" s="86" t="n"/>
      <c r="F678" s="85" t="n"/>
      <c r="G678" s="85" t="n"/>
    </row>
    <row r="679" ht="13.5" customHeight="1" s="453">
      <c r="D679" s="11" t="n"/>
      <c r="E679" s="86" t="n"/>
      <c r="F679" s="85" t="n"/>
      <c r="G679" s="85" t="n"/>
    </row>
    <row r="680" ht="13.5" customHeight="1" s="453">
      <c r="D680" s="11" t="n"/>
      <c r="E680" s="86" t="n"/>
      <c r="F680" s="85" t="n"/>
      <c r="G680" s="85" t="n"/>
    </row>
    <row r="681" ht="13.5" customHeight="1" s="453">
      <c r="D681" s="11" t="n"/>
      <c r="E681" s="86" t="n"/>
      <c r="F681" s="85" t="n"/>
      <c r="G681" s="85" t="n"/>
    </row>
    <row r="682" ht="13.5" customHeight="1" s="453">
      <c r="D682" s="11" t="n"/>
      <c r="E682" s="86" t="n"/>
      <c r="F682" s="85" t="n"/>
      <c r="G682" s="85" t="n"/>
    </row>
    <row r="683" ht="13.5" customHeight="1" s="453">
      <c r="D683" s="11" t="n"/>
      <c r="E683" s="86" t="n"/>
      <c r="F683" s="85" t="n"/>
      <c r="G683" s="85" t="n"/>
    </row>
    <row r="684" ht="13.5" customHeight="1" s="453">
      <c r="D684" s="11" t="n"/>
      <c r="E684" s="86" t="n"/>
      <c r="F684" s="85" t="n"/>
      <c r="G684" s="85" t="n"/>
    </row>
    <row r="685" ht="13.5" customHeight="1" s="453">
      <c r="D685" s="11" t="n"/>
      <c r="E685" s="86" t="n"/>
      <c r="F685" s="85" t="n"/>
      <c r="G685" s="85" t="n"/>
    </row>
    <row r="686" ht="13.5" customHeight="1" s="453">
      <c r="D686" s="11" t="n"/>
      <c r="E686" s="86" t="n"/>
      <c r="F686" s="85" t="n"/>
      <c r="G686" s="85" t="n"/>
    </row>
    <row r="687" ht="13.5" customHeight="1" s="453">
      <c r="D687" s="11" t="n"/>
      <c r="E687" s="86" t="n"/>
      <c r="F687" s="85" t="n"/>
      <c r="G687" s="85" t="n"/>
    </row>
    <row r="688" ht="13.5" customHeight="1" s="453">
      <c r="D688" s="11" t="n"/>
      <c r="E688" s="86" t="n"/>
      <c r="F688" s="85" t="n"/>
      <c r="G688" s="85" t="n"/>
    </row>
    <row r="689" ht="13.5" customHeight="1" s="453">
      <c r="D689" s="11" t="n"/>
      <c r="E689" s="86" t="n"/>
      <c r="F689" s="85" t="n"/>
      <c r="G689" s="85" t="n"/>
    </row>
    <row r="690" ht="13.5" customHeight="1" s="453">
      <c r="D690" s="11" t="n"/>
      <c r="E690" s="86" t="n"/>
      <c r="F690" s="85" t="n"/>
      <c r="G690" s="85" t="n"/>
    </row>
    <row r="691" ht="13.5" customHeight="1" s="453">
      <c r="D691" s="11" t="n"/>
      <c r="E691" s="86" t="n"/>
      <c r="F691" s="85" t="n"/>
      <c r="G691" s="85" t="n"/>
    </row>
    <row r="692" ht="13.5" customHeight="1" s="453">
      <c r="D692" s="11" t="n"/>
      <c r="E692" s="86" t="n"/>
      <c r="F692" s="85" t="n"/>
      <c r="G692" s="85" t="n"/>
    </row>
    <row r="693" ht="13.5" customHeight="1" s="453">
      <c r="D693" s="11" t="n"/>
      <c r="E693" s="86" t="n"/>
      <c r="F693" s="85" t="n"/>
      <c r="G693" s="85" t="n"/>
    </row>
    <row r="694" ht="13.5" customHeight="1" s="453">
      <c r="D694" s="11" t="n"/>
      <c r="E694" s="86" t="n"/>
      <c r="F694" s="85" t="n"/>
      <c r="G694" s="85" t="n"/>
    </row>
    <row r="695" ht="13.5" customHeight="1" s="453">
      <c r="D695" s="11" t="n"/>
      <c r="E695" s="86" t="n"/>
      <c r="F695" s="85" t="n"/>
      <c r="G695" s="85" t="n"/>
    </row>
    <row r="696" ht="13.5" customHeight="1" s="453">
      <c r="D696" s="11" t="n"/>
      <c r="E696" s="86" t="n"/>
      <c r="F696" s="85" t="n"/>
      <c r="G696" s="85" t="n"/>
    </row>
    <row r="697" ht="13.5" customHeight="1" s="453">
      <c r="D697" s="11" t="n"/>
      <c r="E697" s="86" t="n"/>
      <c r="F697" s="85" t="n"/>
      <c r="G697" s="85" t="n"/>
    </row>
    <row r="698" ht="13.5" customHeight="1" s="453">
      <c r="D698" s="11" t="n"/>
      <c r="E698" s="86" t="n"/>
      <c r="F698" s="85" t="n"/>
      <c r="G698" s="85" t="n"/>
    </row>
    <row r="699" ht="13.5" customHeight="1" s="453">
      <c r="D699" s="11" t="n"/>
      <c r="E699" s="86" t="n"/>
      <c r="F699" s="85" t="n"/>
      <c r="G699" s="85" t="n"/>
    </row>
    <row r="700" ht="13.5" customHeight="1" s="453">
      <c r="D700" s="11" t="n"/>
      <c r="E700" s="86" t="n"/>
      <c r="F700" s="85" t="n"/>
      <c r="G700" s="85" t="n"/>
    </row>
    <row r="701" ht="13.5" customHeight="1" s="453">
      <c r="D701" s="11" t="n"/>
      <c r="E701" s="86" t="n"/>
      <c r="F701" s="85" t="n"/>
      <c r="G701" s="85" t="n"/>
    </row>
    <row r="702" ht="13.5" customHeight="1" s="453">
      <c r="D702" s="11" t="n"/>
      <c r="E702" s="86" t="n"/>
      <c r="F702" s="85" t="n"/>
      <c r="G702" s="85" t="n"/>
    </row>
    <row r="703" ht="13.5" customHeight="1" s="453">
      <c r="D703" s="11" t="n"/>
      <c r="E703" s="86" t="n"/>
      <c r="F703" s="85" t="n"/>
      <c r="G703" s="85" t="n"/>
    </row>
    <row r="704" ht="13.5" customHeight="1" s="453">
      <c r="D704" s="11" t="n"/>
      <c r="E704" s="86" t="n"/>
      <c r="F704" s="85" t="n"/>
      <c r="G704" s="85" t="n"/>
    </row>
    <row r="705" ht="13.5" customHeight="1" s="453">
      <c r="D705" s="11" t="n"/>
      <c r="E705" s="86" t="n"/>
      <c r="F705" s="85" t="n"/>
      <c r="G705" s="85" t="n"/>
    </row>
    <row r="706" ht="13.5" customHeight="1" s="453">
      <c r="D706" s="11" t="n"/>
      <c r="E706" s="86" t="n"/>
      <c r="F706" s="85" t="n"/>
      <c r="G706" s="85" t="n"/>
    </row>
    <row r="707" ht="13.5" customHeight="1" s="453">
      <c r="D707" s="11" t="n"/>
      <c r="E707" s="86" t="n"/>
      <c r="F707" s="85" t="n"/>
      <c r="G707" s="85" t="n"/>
    </row>
    <row r="708" ht="13.5" customHeight="1" s="453">
      <c r="D708" s="11" t="n"/>
      <c r="E708" s="86" t="n"/>
      <c r="F708" s="85" t="n"/>
      <c r="G708" s="85" t="n"/>
    </row>
    <row r="709" ht="13.5" customHeight="1" s="453">
      <c r="D709" s="11" t="n"/>
      <c r="E709" s="86" t="n"/>
      <c r="F709" s="85" t="n"/>
      <c r="G709" s="85" t="n"/>
    </row>
    <row r="710" ht="13.5" customHeight="1" s="453">
      <c r="D710" s="11" t="n"/>
      <c r="E710" s="86" t="n"/>
      <c r="F710" s="85" t="n"/>
      <c r="G710" s="85" t="n"/>
    </row>
    <row r="711" ht="13.5" customHeight="1" s="453">
      <c r="D711" s="11" t="n"/>
      <c r="E711" s="86" t="n"/>
      <c r="F711" s="85" t="n"/>
      <c r="G711" s="85" t="n"/>
    </row>
    <row r="712" ht="13.5" customHeight="1" s="453">
      <c r="D712" s="11" t="n"/>
      <c r="E712" s="86" t="n"/>
      <c r="F712" s="85" t="n"/>
      <c r="G712" s="85" t="n"/>
    </row>
    <row r="713" ht="13.5" customHeight="1" s="453">
      <c r="D713" s="11" t="n"/>
      <c r="E713" s="86" t="n"/>
      <c r="F713" s="85" t="n"/>
      <c r="G713" s="85" t="n"/>
    </row>
    <row r="714" ht="13.5" customHeight="1" s="453">
      <c r="D714" s="11" t="n"/>
      <c r="E714" s="86" t="n"/>
      <c r="F714" s="85" t="n"/>
      <c r="G714" s="85" t="n"/>
    </row>
    <row r="715" ht="13.5" customHeight="1" s="453">
      <c r="D715" s="11" t="n"/>
      <c r="E715" s="86" t="n"/>
      <c r="F715" s="85" t="n"/>
      <c r="G715" s="85" t="n"/>
    </row>
    <row r="716" ht="13.5" customHeight="1" s="453">
      <c r="D716" s="11" t="n"/>
      <c r="E716" s="86" t="n"/>
      <c r="F716" s="85" t="n"/>
      <c r="G716" s="85" t="n"/>
    </row>
    <row r="717" ht="13.5" customHeight="1" s="453">
      <c r="D717" s="11" t="n"/>
      <c r="E717" s="86" t="n"/>
      <c r="F717" s="85" t="n"/>
      <c r="G717" s="85" t="n"/>
    </row>
    <row r="718" ht="13.5" customHeight="1" s="453">
      <c r="D718" s="11" t="n"/>
      <c r="E718" s="86" t="n"/>
      <c r="F718" s="85" t="n"/>
      <c r="G718" s="85" t="n"/>
    </row>
    <row r="719" ht="13.5" customHeight="1" s="453">
      <c r="D719" s="11" t="n"/>
      <c r="E719" s="86" t="n"/>
      <c r="F719" s="85" t="n"/>
      <c r="G719" s="85" t="n"/>
    </row>
    <row r="720" ht="13.5" customHeight="1" s="453">
      <c r="D720" s="11" t="n"/>
      <c r="E720" s="86" t="n"/>
      <c r="F720" s="85" t="n"/>
      <c r="G720" s="85" t="n"/>
    </row>
    <row r="721" ht="13.5" customHeight="1" s="453">
      <c r="D721" s="11" t="n"/>
      <c r="E721" s="86" t="n"/>
      <c r="F721" s="85" t="n"/>
      <c r="G721" s="85" t="n"/>
    </row>
    <row r="722" ht="13.5" customHeight="1" s="453">
      <c r="D722" s="11" t="n"/>
      <c r="E722" s="86" t="n"/>
      <c r="F722" s="85" t="n"/>
      <c r="G722" s="85" t="n"/>
    </row>
    <row r="723" ht="13.5" customHeight="1" s="453">
      <c r="D723" s="11" t="n"/>
      <c r="E723" s="86" t="n"/>
      <c r="F723" s="85" t="n"/>
      <c r="G723" s="85" t="n"/>
    </row>
    <row r="724" ht="13.5" customHeight="1" s="453">
      <c r="D724" s="11" t="n"/>
      <c r="E724" s="86" t="n"/>
      <c r="F724" s="85" t="n"/>
      <c r="G724" s="85" t="n"/>
    </row>
    <row r="725" ht="13.5" customHeight="1" s="453">
      <c r="D725" s="11" t="n"/>
      <c r="E725" s="86" t="n"/>
      <c r="F725" s="85" t="n"/>
      <c r="G725" s="85" t="n"/>
    </row>
    <row r="726" ht="13.5" customHeight="1" s="453">
      <c r="D726" s="11" t="n"/>
      <c r="E726" s="86" t="n"/>
      <c r="F726" s="85" t="n"/>
      <c r="G726" s="85" t="n"/>
    </row>
    <row r="727" ht="13.5" customHeight="1" s="453">
      <c r="D727" s="11" t="n"/>
      <c r="E727" s="86" t="n"/>
      <c r="F727" s="85" t="n"/>
      <c r="G727" s="85" t="n"/>
    </row>
    <row r="728" ht="13.5" customHeight="1" s="453">
      <c r="D728" s="11" t="n"/>
      <c r="E728" s="86" t="n"/>
      <c r="F728" s="85" t="n"/>
      <c r="G728" s="85" t="n"/>
    </row>
    <row r="729" ht="13.5" customHeight="1" s="453">
      <c r="D729" s="11" t="n"/>
      <c r="E729" s="86" t="n"/>
      <c r="F729" s="85" t="n"/>
      <c r="G729" s="85" t="n"/>
    </row>
    <row r="730" ht="13.5" customHeight="1" s="453">
      <c r="D730" s="11" t="n"/>
      <c r="E730" s="86" t="n"/>
      <c r="F730" s="85" t="n"/>
      <c r="G730" s="85" t="n"/>
    </row>
    <row r="731" ht="13.5" customHeight="1" s="453">
      <c r="D731" s="11" t="n"/>
      <c r="E731" s="86" t="n"/>
      <c r="F731" s="85" t="n"/>
      <c r="G731" s="85" t="n"/>
    </row>
    <row r="732" ht="13.5" customHeight="1" s="453">
      <c r="D732" s="11" t="n"/>
      <c r="E732" s="86" t="n"/>
      <c r="F732" s="85" t="n"/>
      <c r="G732" s="85" t="n"/>
    </row>
    <row r="733" ht="13.5" customHeight="1" s="453">
      <c r="D733" s="11" t="n"/>
      <c r="E733" s="86" t="n"/>
      <c r="F733" s="85" t="n"/>
      <c r="G733" s="85" t="n"/>
    </row>
    <row r="734" ht="13.5" customHeight="1" s="453">
      <c r="D734" s="11" t="n"/>
      <c r="E734" s="86" t="n"/>
      <c r="F734" s="85" t="n"/>
      <c r="G734" s="85" t="n"/>
    </row>
    <row r="735" ht="13.5" customHeight="1" s="453">
      <c r="D735" s="11" t="n"/>
      <c r="E735" s="86" t="n"/>
      <c r="F735" s="85" t="n"/>
      <c r="G735" s="85" t="n"/>
    </row>
    <row r="736" ht="13.5" customHeight="1" s="453">
      <c r="D736" s="11" t="n"/>
      <c r="E736" s="86" t="n"/>
      <c r="F736" s="85" t="n"/>
      <c r="G736" s="85" t="n"/>
    </row>
    <row r="737" ht="13.5" customHeight="1" s="453">
      <c r="D737" s="11" t="n"/>
      <c r="E737" s="86" t="n"/>
      <c r="F737" s="85" t="n"/>
      <c r="G737" s="85" t="n"/>
    </row>
    <row r="738" ht="13.5" customHeight="1" s="453">
      <c r="D738" s="11" t="n"/>
      <c r="E738" s="86" t="n"/>
      <c r="F738" s="85" t="n"/>
      <c r="G738" s="85" t="n"/>
    </row>
    <row r="739" ht="13.5" customHeight="1" s="453">
      <c r="D739" s="11" t="n"/>
      <c r="E739" s="86" t="n"/>
      <c r="F739" s="85" t="n"/>
      <c r="G739" s="85" t="n"/>
    </row>
    <row r="740" ht="13.5" customHeight="1" s="453">
      <c r="D740" s="11" t="n"/>
      <c r="E740" s="86" t="n"/>
      <c r="F740" s="85" t="n"/>
      <c r="G740" s="85" t="n"/>
    </row>
    <row r="741" ht="13.5" customHeight="1" s="453">
      <c r="D741" s="11" t="n"/>
      <c r="E741" s="86" t="n"/>
      <c r="F741" s="85" t="n"/>
      <c r="G741" s="85" t="n"/>
    </row>
    <row r="742" ht="13.5" customHeight="1" s="453">
      <c r="D742" s="11" t="n"/>
      <c r="E742" s="86" t="n"/>
      <c r="F742" s="85" t="n"/>
      <c r="G742" s="85" t="n"/>
    </row>
    <row r="743" ht="13.5" customHeight="1" s="453">
      <c r="D743" s="11" t="n"/>
      <c r="E743" s="86" t="n"/>
      <c r="F743" s="85" t="n"/>
      <c r="G743" s="85" t="n"/>
    </row>
    <row r="744" ht="13.5" customHeight="1" s="453">
      <c r="D744" s="11" t="n"/>
      <c r="E744" s="86" t="n"/>
      <c r="F744" s="85" t="n"/>
      <c r="G744" s="85" t="n"/>
    </row>
    <row r="745" ht="13.5" customHeight="1" s="453">
      <c r="D745" s="11" t="n"/>
      <c r="E745" s="86" t="n"/>
      <c r="F745" s="85" t="n"/>
      <c r="G745" s="85" t="n"/>
    </row>
    <row r="746" ht="13.5" customHeight="1" s="453">
      <c r="D746" s="11" t="n"/>
      <c r="E746" s="86" t="n"/>
      <c r="F746" s="85" t="n"/>
      <c r="G746" s="85" t="n"/>
    </row>
    <row r="747" ht="13.5" customHeight="1" s="453">
      <c r="D747" s="11" t="n"/>
      <c r="E747" s="86" t="n"/>
      <c r="F747" s="85" t="n"/>
      <c r="G747" s="85" t="n"/>
    </row>
    <row r="748" ht="13.5" customHeight="1" s="453">
      <c r="D748" s="11" t="n"/>
      <c r="E748" s="86" t="n"/>
      <c r="F748" s="85" t="n"/>
      <c r="G748" s="85" t="n"/>
    </row>
    <row r="749" ht="13.5" customHeight="1" s="453">
      <c r="D749" s="11" t="n"/>
      <c r="E749" s="86" t="n"/>
      <c r="F749" s="85" t="n"/>
      <c r="G749" s="85" t="n"/>
    </row>
    <row r="750" ht="13.5" customHeight="1" s="453">
      <c r="D750" s="11" t="n"/>
      <c r="E750" s="86" t="n"/>
      <c r="F750" s="85" t="n"/>
      <c r="G750" s="85" t="n"/>
    </row>
    <row r="751" ht="13.5" customHeight="1" s="453">
      <c r="D751" s="11" t="n"/>
      <c r="E751" s="86" t="n"/>
      <c r="F751" s="85" t="n"/>
      <c r="G751" s="85" t="n"/>
    </row>
    <row r="752" ht="13.5" customHeight="1" s="453">
      <c r="D752" s="11" t="n"/>
      <c r="E752" s="86" t="n"/>
      <c r="F752" s="85" t="n"/>
      <c r="G752" s="85" t="n"/>
    </row>
    <row r="753" ht="13.5" customHeight="1" s="453">
      <c r="D753" s="11" t="n"/>
      <c r="E753" s="86" t="n"/>
      <c r="F753" s="85" t="n"/>
      <c r="G753" s="85" t="n"/>
    </row>
    <row r="754" ht="13.5" customHeight="1" s="453">
      <c r="D754" s="11" t="n"/>
      <c r="E754" s="86" t="n"/>
      <c r="F754" s="85" t="n"/>
      <c r="G754" s="85" t="n"/>
    </row>
    <row r="755" ht="13.5" customHeight="1" s="453">
      <c r="D755" s="11" t="n"/>
      <c r="E755" s="86" t="n"/>
      <c r="F755" s="85" t="n"/>
      <c r="G755" s="85" t="n"/>
    </row>
    <row r="756" ht="13.5" customHeight="1" s="453">
      <c r="D756" s="11" t="n"/>
      <c r="E756" s="86" t="n"/>
      <c r="F756" s="85" t="n"/>
      <c r="G756" s="85" t="n"/>
    </row>
    <row r="757" ht="13.5" customHeight="1" s="453">
      <c r="D757" s="11" t="n"/>
      <c r="E757" s="86" t="n"/>
      <c r="F757" s="85" t="n"/>
      <c r="G757" s="85" t="n"/>
    </row>
    <row r="758" ht="13.5" customHeight="1" s="453">
      <c r="D758" s="11" t="n"/>
      <c r="E758" s="86" t="n"/>
      <c r="F758" s="85" t="n"/>
      <c r="G758" s="85" t="n"/>
    </row>
    <row r="759" ht="13.5" customHeight="1" s="453">
      <c r="D759" s="11" t="n"/>
      <c r="E759" s="86" t="n"/>
      <c r="F759" s="85" t="n"/>
      <c r="G759" s="85" t="n"/>
    </row>
    <row r="760" ht="13.5" customHeight="1" s="453">
      <c r="D760" s="11" t="n"/>
      <c r="E760" s="86" t="n"/>
      <c r="F760" s="85" t="n"/>
      <c r="G760" s="85" t="n"/>
    </row>
    <row r="761" ht="13.5" customHeight="1" s="453">
      <c r="D761" s="11" t="n"/>
      <c r="E761" s="86" t="n"/>
      <c r="F761" s="85" t="n"/>
      <c r="G761" s="85" t="n"/>
    </row>
    <row r="762" ht="13.5" customHeight="1" s="453">
      <c r="D762" s="11" t="n"/>
      <c r="E762" s="86" t="n"/>
      <c r="F762" s="85" t="n"/>
      <c r="G762" s="85" t="n"/>
    </row>
    <row r="763" ht="13.5" customHeight="1" s="453">
      <c r="D763" s="11" t="n"/>
      <c r="E763" s="86" t="n"/>
      <c r="F763" s="85" t="n"/>
      <c r="G763" s="85" t="n"/>
    </row>
    <row r="764" ht="13.5" customHeight="1" s="453">
      <c r="D764" s="11" t="n"/>
      <c r="E764" s="86" t="n"/>
      <c r="F764" s="85" t="n"/>
      <c r="G764" s="85" t="n"/>
    </row>
    <row r="765" ht="13.5" customHeight="1" s="453">
      <c r="D765" s="11" t="n"/>
      <c r="E765" s="86" t="n"/>
      <c r="F765" s="85" t="n"/>
      <c r="G765" s="85" t="n"/>
    </row>
    <row r="766" ht="13.5" customHeight="1" s="453">
      <c r="D766" s="11" t="n"/>
      <c r="E766" s="86" t="n"/>
      <c r="F766" s="85" t="n"/>
      <c r="G766" s="85" t="n"/>
    </row>
    <row r="767" ht="13.5" customHeight="1" s="453">
      <c r="D767" s="11" t="n"/>
      <c r="E767" s="86" t="n"/>
      <c r="F767" s="85" t="n"/>
      <c r="G767" s="85" t="n"/>
    </row>
    <row r="768" ht="13.5" customHeight="1" s="453">
      <c r="D768" s="11" t="n"/>
      <c r="E768" s="86" t="n"/>
      <c r="F768" s="85" t="n"/>
      <c r="G768" s="85" t="n"/>
    </row>
    <row r="769" ht="13.5" customHeight="1" s="453">
      <c r="D769" s="11" t="n"/>
      <c r="E769" s="86" t="n"/>
      <c r="F769" s="85" t="n"/>
      <c r="G769" s="85" t="n"/>
    </row>
    <row r="770" ht="13.5" customHeight="1" s="453">
      <c r="D770" s="11" t="n"/>
      <c r="E770" s="86" t="n"/>
      <c r="F770" s="85" t="n"/>
      <c r="G770" s="85" t="n"/>
    </row>
    <row r="771" ht="13.5" customHeight="1" s="453">
      <c r="D771" s="11" t="n"/>
      <c r="E771" s="86" t="n"/>
      <c r="F771" s="85" t="n"/>
      <c r="G771" s="85" t="n"/>
    </row>
    <row r="772" ht="13.5" customHeight="1" s="453">
      <c r="D772" s="11" t="n"/>
      <c r="E772" s="86" t="n"/>
      <c r="F772" s="85" t="n"/>
      <c r="G772" s="85" t="n"/>
    </row>
    <row r="773" ht="13.5" customHeight="1" s="453">
      <c r="D773" s="11" t="n"/>
      <c r="E773" s="86" t="n"/>
      <c r="F773" s="85" t="n"/>
      <c r="G773" s="85" t="n"/>
    </row>
    <row r="774" ht="13.5" customHeight="1" s="453">
      <c r="D774" s="11" t="n"/>
      <c r="E774" s="86" t="n"/>
      <c r="F774" s="85" t="n"/>
      <c r="G774" s="85" t="n"/>
    </row>
    <row r="775" ht="13.5" customHeight="1" s="453">
      <c r="D775" s="11" t="n"/>
      <c r="E775" s="86" t="n"/>
      <c r="F775" s="85" t="n"/>
      <c r="G775" s="85" t="n"/>
    </row>
    <row r="776" ht="13.5" customHeight="1" s="453">
      <c r="D776" s="11" t="n"/>
      <c r="E776" s="86" t="n"/>
      <c r="F776" s="85" t="n"/>
      <c r="G776" s="85" t="n"/>
    </row>
    <row r="777" ht="13.5" customHeight="1" s="453">
      <c r="D777" s="11" t="n"/>
      <c r="E777" s="86" t="n"/>
      <c r="F777" s="85" t="n"/>
      <c r="G777" s="85" t="n"/>
    </row>
    <row r="778" ht="13.5" customHeight="1" s="453">
      <c r="D778" s="11" t="n"/>
      <c r="E778" s="86" t="n"/>
      <c r="F778" s="85" t="n"/>
      <c r="G778" s="85" t="n"/>
    </row>
    <row r="779" ht="13.5" customHeight="1" s="453">
      <c r="D779" s="11" t="n"/>
      <c r="E779" s="86" t="n"/>
      <c r="F779" s="85" t="n"/>
      <c r="G779" s="85" t="n"/>
    </row>
    <row r="780" ht="13.5" customHeight="1" s="453">
      <c r="D780" s="11" t="n"/>
      <c r="E780" s="86" t="n"/>
      <c r="F780" s="85" t="n"/>
      <c r="G780" s="85" t="n"/>
    </row>
    <row r="781" ht="13.5" customHeight="1" s="453">
      <c r="D781" s="11" t="n"/>
      <c r="E781" s="86" t="n"/>
      <c r="F781" s="85" t="n"/>
      <c r="G781" s="85" t="n"/>
    </row>
    <row r="782" ht="13.5" customHeight="1" s="453">
      <c r="D782" s="11" t="n"/>
      <c r="E782" s="86" t="n"/>
      <c r="F782" s="85" t="n"/>
      <c r="G782" s="85" t="n"/>
    </row>
    <row r="783" ht="13.5" customHeight="1" s="453">
      <c r="D783" s="11" t="n"/>
      <c r="E783" s="86" t="n"/>
      <c r="F783" s="85" t="n"/>
      <c r="G783" s="85" t="n"/>
    </row>
    <row r="784" ht="13.5" customHeight="1" s="453">
      <c r="D784" s="11" t="n"/>
      <c r="E784" s="86" t="n"/>
      <c r="F784" s="85" t="n"/>
      <c r="G784" s="85" t="n"/>
    </row>
    <row r="785" ht="13.5" customHeight="1" s="453">
      <c r="D785" s="11" t="n"/>
      <c r="E785" s="86" t="n"/>
      <c r="F785" s="85" t="n"/>
      <c r="G785" s="85" t="n"/>
    </row>
    <row r="786" ht="13.5" customHeight="1" s="453">
      <c r="D786" s="11" t="n"/>
      <c r="E786" s="86" t="n"/>
      <c r="F786" s="85" t="n"/>
      <c r="G786" s="85" t="n"/>
    </row>
    <row r="787" ht="13.5" customHeight="1" s="453">
      <c r="D787" s="11" t="n"/>
      <c r="E787" s="86" t="n"/>
      <c r="F787" s="85" t="n"/>
      <c r="G787" s="85" t="n"/>
    </row>
    <row r="788" ht="13.5" customHeight="1" s="453">
      <c r="D788" s="11" t="n"/>
      <c r="E788" s="86" t="n"/>
      <c r="F788" s="85" t="n"/>
      <c r="G788" s="85" t="n"/>
    </row>
    <row r="789" ht="13.5" customHeight="1" s="453">
      <c r="D789" s="11" t="n"/>
      <c r="E789" s="86" t="n"/>
      <c r="F789" s="85" t="n"/>
      <c r="G789" s="85" t="n"/>
    </row>
    <row r="790" ht="13.5" customHeight="1" s="453">
      <c r="D790" s="11" t="n"/>
      <c r="E790" s="86" t="n"/>
      <c r="F790" s="85" t="n"/>
      <c r="G790" s="85" t="n"/>
    </row>
    <row r="791" ht="13.5" customHeight="1" s="453">
      <c r="D791" s="11" t="n"/>
      <c r="E791" s="86" t="n"/>
      <c r="F791" s="85" t="n"/>
      <c r="G791" s="85" t="n"/>
    </row>
    <row r="792" ht="13.5" customHeight="1" s="453">
      <c r="D792" s="11" t="n"/>
      <c r="E792" s="86" t="n"/>
      <c r="F792" s="85" t="n"/>
      <c r="G792" s="85" t="n"/>
    </row>
    <row r="793" ht="13.5" customHeight="1" s="453">
      <c r="D793" s="11" t="n"/>
      <c r="E793" s="86" t="n"/>
      <c r="F793" s="85" t="n"/>
      <c r="G793" s="85" t="n"/>
    </row>
    <row r="794" ht="13.5" customHeight="1" s="453">
      <c r="D794" s="11" t="n"/>
      <c r="E794" s="86" t="n"/>
      <c r="F794" s="85" t="n"/>
      <c r="G794" s="85" t="n"/>
    </row>
    <row r="795" ht="13.5" customHeight="1" s="453">
      <c r="D795" s="11" t="n"/>
      <c r="E795" s="86" t="n"/>
      <c r="F795" s="85" t="n"/>
      <c r="G795" s="85" t="n"/>
    </row>
    <row r="796" ht="13.5" customHeight="1" s="453">
      <c r="D796" s="11" t="n"/>
      <c r="E796" s="86" t="n"/>
      <c r="F796" s="85" t="n"/>
      <c r="G796" s="85" t="n"/>
    </row>
    <row r="797" ht="13.5" customHeight="1" s="453">
      <c r="D797" s="11" t="n"/>
      <c r="E797" s="86" t="n"/>
      <c r="F797" s="85" t="n"/>
      <c r="G797" s="85" t="n"/>
    </row>
    <row r="798" ht="13.5" customHeight="1" s="453">
      <c r="D798" s="11" t="n"/>
      <c r="E798" s="86" t="n"/>
      <c r="F798" s="85" t="n"/>
      <c r="G798" s="85" t="n"/>
    </row>
    <row r="799" ht="13.5" customHeight="1" s="453">
      <c r="D799" s="11" t="n"/>
      <c r="E799" s="86" t="n"/>
      <c r="F799" s="85" t="n"/>
      <c r="G799" s="85" t="n"/>
    </row>
    <row r="800" ht="13.5" customHeight="1" s="453">
      <c r="D800" s="11" t="n"/>
      <c r="E800" s="86" t="n"/>
      <c r="F800" s="85" t="n"/>
      <c r="G800" s="85" t="n"/>
    </row>
    <row r="801" ht="13.5" customHeight="1" s="453">
      <c r="D801" s="11" t="n"/>
      <c r="E801" s="86" t="n"/>
      <c r="F801" s="85" t="n"/>
      <c r="G801" s="85" t="n"/>
    </row>
    <row r="802" ht="13.5" customHeight="1" s="453">
      <c r="D802" s="11" t="n"/>
      <c r="E802" s="86" t="n"/>
      <c r="F802" s="85" t="n"/>
      <c r="G802" s="85" t="n"/>
    </row>
    <row r="803" ht="13.5" customHeight="1" s="453">
      <c r="D803" s="11" t="n"/>
      <c r="E803" s="86" t="n"/>
      <c r="F803" s="85" t="n"/>
      <c r="G803" s="85" t="n"/>
    </row>
    <row r="804" ht="13.5" customHeight="1" s="453">
      <c r="D804" s="11" t="n"/>
      <c r="E804" s="86" t="n"/>
      <c r="F804" s="85" t="n"/>
      <c r="G804" s="85" t="n"/>
    </row>
    <row r="805" ht="13.5" customHeight="1" s="453">
      <c r="D805" s="11" t="n"/>
      <c r="E805" s="86" t="n"/>
      <c r="F805" s="85" t="n"/>
      <c r="G805" s="85" t="n"/>
    </row>
    <row r="806" ht="13.5" customHeight="1" s="453">
      <c r="D806" s="11" t="n"/>
      <c r="E806" s="86" t="n"/>
      <c r="F806" s="85" t="n"/>
      <c r="G806" s="85" t="n"/>
    </row>
    <row r="807" ht="13.5" customHeight="1" s="453">
      <c r="D807" s="11" t="n"/>
      <c r="E807" s="86" t="n"/>
      <c r="F807" s="85" t="n"/>
      <c r="G807" s="85" t="n"/>
    </row>
    <row r="808" ht="13.5" customHeight="1" s="453">
      <c r="D808" s="11" t="n"/>
      <c r="E808" s="86" t="n"/>
      <c r="F808" s="85" t="n"/>
      <c r="G808" s="85" t="n"/>
    </row>
    <row r="809" ht="13.5" customHeight="1" s="453">
      <c r="D809" s="11" t="n"/>
      <c r="E809" s="86" t="n"/>
      <c r="F809" s="85" t="n"/>
      <c r="G809" s="85" t="n"/>
    </row>
    <row r="810" ht="13.5" customHeight="1" s="453">
      <c r="D810" s="11" t="n"/>
      <c r="E810" s="86" t="n"/>
      <c r="F810" s="85" t="n"/>
      <c r="G810" s="85" t="n"/>
    </row>
    <row r="811" ht="13.5" customHeight="1" s="453">
      <c r="D811" s="11" t="n"/>
      <c r="E811" s="86" t="n"/>
      <c r="F811" s="85" t="n"/>
      <c r="G811" s="85" t="n"/>
    </row>
    <row r="812" ht="13.5" customHeight="1" s="453">
      <c r="D812" s="11" t="n"/>
      <c r="E812" s="86" t="n"/>
      <c r="F812" s="85" t="n"/>
      <c r="G812" s="85" t="n"/>
    </row>
    <row r="813" ht="13.5" customHeight="1" s="453">
      <c r="D813" s="11" t="n"/>
      <c r="E813" s="86" t="n"/>
      <c r="F813" s="85" t="n"/>
      <c r="G813" s="85" t="n"/>
    </row>
    <row r="814" ht="13.5" customHeight="1" s="453">
      <c r="D814" s="11" t="n"/>
      <c r="E814" s="86" t="n"/>
      <c r="F814" s="85" t="n"/>
      <c r="G814" s="85" t="n"/>
    </row>
    <row r="815" ht="13.5" customHeight="1" s="453">
      <c r="D815" s="11" t="n"/>
      <c r="E815" s="86" t="n"/>
      <c r="F815" s="85" t="n"/>
      <c r="G815" s="85" t="n"/>
    </row>
    <row r="816" ht="13.5" customHeight="1" s="453">
      <c r="D816" s="11" t="n"/>
      <c r="E816" s="86" t="n"/>
      <c r="F816" s="85" t="n"/>
      <c r="G816" s="85" t="n"/>
    </row>
    <row r="817" ht="13.5" customHeight="1" s="453">
      <c r="D817" s="11" t="n"/>
      <c r="E817" s="86" t="n"/>
      <c r="F817" s="85" t="n"/>
      <c r="G817" s="85" t="n"/>
    </row>
    <row r="818" ht="13.5" customHeight="1" s="453">
      <c r="D818" s="11" t="n"/>
      <c r="E818" s="86" t="n"/>
      <c r="F818" s="85" t="n"/>
      <c r="G818" s="85" t="n"/>
    </row>
    <row r="819" ht="13.5" customHeight="1" s="453">
      <c r="D819" s="11" t="n"/>
      <c r="E819" s="86" t="n"/>
      <c r="F819" s="85" t="n"/>
      <c r="G819" s="85" t="n"/>
    </row>
    <row r="820" ht="13.5" customHeight="1" s="453">
      <c r="D820" s="11" t="n"/>
      <c r="E820" s="86" t="n"/>
      <c r="F820" s="85" t="n"/>
      <c r="G820" s="85" t="n"/>
    </row>
    <row r="821" ht="13.5" customHeight="1" s="453">
      <c r="D821" s="11" t="n"/>
      <c r="E821" s="86" t="n"/>
      <c r="F821" s="85" t="n"/>
      <c r="G821" s="85" t="n"/>
    </row>
    <row r="822" ht="13.5" customHeight="1" s="453">
      <c r="D822" s="11" t="n"/>
      <c r="E822" s="86" t="n"/>
      <c r="F822" s="85" t="n"/>
      <c r="G822" s="85" t="n"/>
    </row>
    <row r="823" ht="13.5" customHeight="1" s="453">
      <c r="D823" s="11" t="n"/>
      <c r="E823" s="86" t="n"/>
      <c r="F823" s="85" t="n"/>
      <c r="G823" s="85" t="n"/>
    </row>
    <row r="824" ht="13.5" customHeight="1" s="453">
      <c r="D824" s="11" t="n"/>
      <c r="E824" s="86" t="n"/>
      <c r="F824" s="85" t="n"/>
      <c r="G824" s="85" t="n"/>
    </row>
    <row r="825" ht="13.5" customHeight="1" s="453">
      <c r="D825" s="11" t="n"/>
      <c r="E825" s="86" t="n"/>
      <c r="F825" s="85" t="n"/>
      <c r="G825" s="85" t="n"/>
    </row>
    <row r="826" ht="13.5" customHeight="1" s="453">
      <c r="D826" s="11" t="n"/>
      <c r="E826" s="86" t="n"/>
      <c r="F826" s="85" t="n"/>
      <c r="G826" s="85" t="n"/>
    </row>
    <row r="827" ht="13.5" customHeight="1" s="453">
      <c r="D827" s="11" t="n"/>
      <c r="E827" s="86" t="n"/>
      <c r="F827" s="85" t="n"/>
      <c r="G827" s="85" t="n"/>
    </row>
    <row r="828" ht="13.5" customHeight="1" s="453">
      <c r="D828" s="11" t="n"/>
      <c r="E828" s="86" t="n"/>
      <c r="F828" s="85" t="n"/>
      <c r="G828" s="85" t="n"/>
    </row>
    <row r="829" ht="13.5" customHeight="1" s="453">
      <c r="D829" s="11" t="n"/>
      <c r="E829" s="86" t="n"/>
      <c r="F829" s="85" t="n"/>
      <c r="G829" s="85" t="n"/>
    </row>
    <row r="830" ht="13.5" customHeight="1" s="453">
      <c r="D830" s="11" t="n"/>
      <c r="E830" s="86" t="n"/>
      <c r="F830" s="85" t="n"/>
      <c r="G830" s="85" t="n"/>
    </row>
    <row r="831" ht="13.5" customHeight="1" s="453">
      <c r="D831" s="11" t="n"/>
      <c r="E831" s="86" t="n"/>
      <c r="F831" s="85" t="n"/>
      <c r="G831" s="85" t="n"/>
    </row>
    <row r="832" ht="13.5" customHeight="1" s="453">
      <c r="D832" s="11" t="n"/>
      <c r="E832" s="86" t="n"/>
      <c r="F832" s="85" t="n"/>
      <c r="G832" s="85" t="n"/>
    </row>
    <row r="833" ht="13.5" customHeight="1" s="453">
      <c r="D833" s="11" t="n"/>
      <c r="E833" s="86" t="n"/>
      <c r="F833" s="85" t="n"/>
      <c r="G833" s="85" t="n"/>
    </row>
    <row r="834" ht="13.5" customHeight="1" s="453">
      <c r="D834" s="11" t="n"/>
      <c r="E834" s="86" t="n"/>
      <c r="F834" s="85" t="n"/>
      <c r="G834" s="85" t="n"/>
    </row>
    <row r="835" ht="13.5" customHeight="1" s="453">
      <c r="D835" s="11" t="n"/>
      <c r="E835" s="86" t="n"/>
      <c r="F835" s="85" t="n"/>
      <c r="G835" s="85" t="n"/>
    </row>
    <row r="836" ht="13.5" customHeight="1" s="453">
      <c r="D836" s="11" t="n"/>
      <c r="E836" s="86" t="n"/>
      <c r="F836" s="85" t="n"/>
      <c r="G836" s="85" t="n"/>
    </row>
    <row r="837" ht="13.5" customHeight="1" s="453">
      <c r="D837" s="11" t="n"/>
      <c r="E837" s="86" t="n"/>
      <c r="F837" s="85" t="n"/>
      <c r="G837" s="85" t="n"/>
    </row>
    <row r="838" ht="13.5" customHeight="1" s="453">
      <c r="D838" s="11" t="n"/>
      <c r="E838" s="86" t="n"/>
      <c r="F838" s="85" t="n"/>
      <c r="G838" s="85" t="n"/>
    </row>
    <row r="839" ht="13.5" customHeight="1" s="453">
      <c r="D839" s="11" t="n"/>
      <c r="E839" s="86" t="n"/>
      <c r="F839" s="85" t="n"/>
      <c r="G839" s="85" t="n"/>
    </row>
    <row r="840" ht="13.5" customHeight="1" s="453">
      <c r="D840" s="11" t="n"/>
      <c r="E840" s="86" t="n"/>
      <c r="F840" s="85" t="n"/>
      <c r="G840" s="85" t="n"/>
    </row>
    <row r="841" ht="13.5" customHeight="1" s="453">
      <c r="D841" s="11" t="n"/>
      <c r="E841" s="86" t="n"/>
      <c r="F841" s="85" t="n"/>
      <c r="G841" s="85" t="n"/>
    </row>
    <row r="842" ht="13.5" customHeight="1" s="453">
      <c r="D842" s="11" t="n"/>
      <c r="E842" s="86" t="n"/>
      <c r="F842" s="85" t="n"/>
      <c r="G842" s="85" t="n"/>
    </row>
    <row r="843" ht="13.5" customHeight="1" s="453">
      <c r="D843" s="11" t="n"/>
      <c r="E843" s="86" t="n"/>
      <c r="F843" s="85" t="n"/>
      <c r="G843" s="85" t="n"/>
    </row>
    <row r="844" ht="13.5" customHeight="1" s="453">
      <c r="D844" s="11" t="n"/>
      <c r="E844" s="86" t="n"/>
      <c r="F844" s="85" t="n"/>
      <c r="G844" s="85" t="n"/>
    </row>
    <row r="845" ht="13.5" customHeight="1" s="453">
      <c r="D845" s="11" t="n"/>
      <c r="E845" s="86" t="n"/>
      <c r="F845" s="85" t="n"/>
      <c r="G845" s="85" t="n"/>
    </row>
    <row r="846" ht="13.5" customHeight="1" s="453">
      <c r="D846" s="11" t="n"/>
      <c r="E846" s="86" t="n"/>
      <c r="F846" s="85" t="n"/>
      <c r="G846" s="85" t="n"/>
    </row>
    <row r="847" ht="13.5" customHeight="1" s="453">
      <c r="D847" s="11" t="n"/>
      <c r="E847" s="86" t="n"/>
      <c r="F847" s="85" t="n"/>
      <c r="G847" s="85" t="n"/>
    </row>
    <row r="848" ht="13.5" customHeight="1" s="453">
      <c r="D848" s="11" t="n"/>
      <c r="E848" s="86" t="n"/>
      <c r="F848" s="85" t="n"/>
      <c r="G848" s="85" t="n"/>
    </row>
    <row r="849" ht="13.5" customHeight="1" s="453">
      <c r="D849" s="11" t="n"/>
      <c r="E849" s="86" t="n"/>
      <c r="F849" s="85" t="n"/>
      <c r="G849" s="85" t="n"/>
    </row>
    <row r="850" ht="13.5" customHeight="1" s="453">
      <c r="D850" s="11" t="n"/>
      <c r="E850" s="86" t="n"/>
      <c r="F850" s="85" t="n"/>
      <c r="G850" s="85" t="n"/>
    </row>
    <row r="851" ht="13.5" customHeight="1" s="453">
      <c r="D851" s="11" t="n"/>
      <c r="E851" s="86" t="n"/>
      <c r="F851" s="85" t="n"/>
      <c r="G851" s="85" t="n"/>
    </row>
    <row r="852" ht="13.5" customHeight="1" s="453">
      <c r="D852" s="11" t="n"/>
      <c r="E852" s="86" t="n"/>
      <c r="F852" s="85" t="n"/>
      <c r="G852" s="85" t="n"/>
    </row>
    <row r="853" ht="13.5" customHeight="1" s="453">
      <c r="D853" s="11" t="n"/>
      <c r="E853" s="86" t="n"/>
      <c r="F853" s="85" t="n"/>
      <c r="G853" s="85" t="n"/>
    </row>
    <row r="854" ht="13.5" customHeight="1" s="453">
      <c r="D854" s="11" t="n"/>
      <c r="E854" s="86" t="n"/>
      <c r="F854" s="85" t="n"/>
      <c r="G854" s="85" t="n"/>
    </row>
    <row r="855" ht="13.5" customHeight="1" s="453">
      <c r="D855" s="11" t="n"/>
      <c r="E855" s="86" t="n"/>
      <c r="F855" s="85" t="n"/>
      <c r="G855" s="85" t="n"/>
    </row>
    <row r="856" ht="13.5" customHeight="1" s="453">
      <c r="D856" s="11" t="n"/>
      <c r="E856" s="86" t="n"/>
      <c r="F856" s="85" t="n"/>
      <c r="G856" s="85" t="n"/>
    </row>
    <row r="857" ht="13.5" customHeight="1" s="453">
      <c r="D857" s="11" t="n"/>
      <c r="E857" s="86" t="n"/>
      <c r="F857" s="85" t="n"/>
      <c r="G857" s="85" t="n"/>
    </row>
    <row r="858" ht="13.5" customHeight="1" s="453">
      <c r="D858" s="11" t="n"/>
      <c r="E858" s="86" t="n"/>
      <c r="F858" s="85" t="n"/>
      <c r="G858" s="85" t="n"/>
    </row>
    <row r="859" ht="13.5" customHeight="1" s="453">
      <c r="D859" s="11" t="n"/>
      <c r="E859" s="86" t="n"/>
      <c r="F859" s="85" t="n"/>
      <c r="G859" s="85" t="n"/>
    </row>
    <row r="860" ht="13.5" customHeight="1" s="453">
      <c r="D860" s="11" t="n"/>
      <c r="E860" s="86" t="n"/>
      <c r="F860" s="85" t="n"/>
      <c r="G860" s="85" t="n"/>
    </row>
    <row r="861" ht="13.5" customHeight="1" s="453">
      <c r="D861" s="11" t="n"/>
      <c r="E861" s="86" t="n"/>
      <c r="F861" s="85" t="n"/>
      <c r="G861" s="85" t="n"/>
    </row>
    <row r="862" ht="13.5" customHeight="1" s="453">
      <c r="D862" s="11" t="n"/>
      <c r="E862" s="86" t="n"/>
      <c r="F862" s="85" t="n"/>
      <c r="G862" s="85" t="n"/>
    </row>
    <row r="863" ht="13.5" customHeight="1" s="453">
      <c r="D863" s="11" t="n"/>
      <c r="E863" s="86" t="n"/>
      <c r="F863" s="85" t="n"/>
      <c r="G863" s="85" t="n"/>
    </row>
    <row r="864" ht="13.5" customHeight="1" s="453">
      <c r="D864" s="11" t="n"/>
      <c r="E864" s="86" t="n"/>
      <c r="F864" s="85" t="n"/>
      <c r="G864" s="85" t="n"/>
    </row>
    <row r="865" ht="13.5" customHeight="1" s="453">
      <c r="D865" s="11" t="n"/>
      <c r="E865" s="86" t="n"/>
      <c r="F865" s="85" t="n"/>
      <c r="G865" s="85" t="n"/>
    </row>
    <row r="866" ht="13.5" customHeight="1" s="453">
      <c r="D866" s="11" t="n"/>
      <c r="E866" s="86" t="n"/>
      <c r="F866" s="85" t="n"/>
      <c r="G866" s="85" t="n"/>
    </row>
    <row r="867" ht="13.5" customHeight="1" s="453">
      <c r="D867" s="11" t="n"/>
      <c r="E867" s="86" t="n"/>
      <c r="F867" s="85" t="n"/>
      <c r="G867" s="85" t="n"/>
    </row>
    <row r="868" ht="13.5" customHeight="1" s="453">
      <c r="D868" s="11" t="n"/>
      <c r="E868" s="86" t="n"/>
      <c r="F868" s="85" t="n"/>
      <c r="G868" s="85" t="n"/>
    </row>
    <row r="869" ht="13.5" customHeight="1" s="453">
      <c r="D869" s="11" t="n"/>
      <c r="E869" s="86" t="n"/>
      <c r="F869" s="85" t="n"/>
      <c r="G869" s="85" t="n"/>
    </row>
    <row r="870" ht="13.5" customHeight="1" s="453">
      <c r="D870" s="11" t="n"/>
      <c r="E870" s="86" t="n"/>
      <c r="F870" s="85" t="n"/>
      <c r="G870" s="85" t="n"/>
    </row>
    <row r="871" ht="13.5" customHeight="1" s="453">
      <c r="D871" s="11" t="n"/>
      <c r="E871" s="86" t="n"/>
      <c r="F871" s="85" t="n"/>
      <c r="G871" s="85" t="n"/>
    </row>
    <row r="872" ht="13.5" customHeight="1" s="453">
      <c r="D872" s="11" t="n"/>
      <c r="E872" s="86" t="n"/>
      <c r="F872" s="85" t="n"/>
      <c r="G872" s="85" t="n"/>
    </row>
    <row r="873" ht="13.5" customHeight="1" s="453">
      <c r="D873" s="11" t="n"/>
      <c r="E873" s="86" t="n"/>
      <c r="F873" s="85" t="n"/>
      <c r="G873" s="85" t="n"/>
    </row>
    <row r="874" ht="13.5" customHeight="1" s="453">
      <c r="D874" s="11" t="n"/>
      <c r="E874" s="86" t="n"/>
      <c r="F874" s="85" t="n"/>
      <c r="G874" s="85" t="n"/>
    </row>
    <row r="875" ht="13.5" customHeight="1" s="453">
      <c r="D875" s="11" t="n"/>
      <c r="E875" s="86" t="n"/>
      <c r="F875" s="85" t="n"/>
      <c r="G875" s="85" t="n"/>
    </row>
    <row r="876" ht="13.5" customHeight="1" s="453">
      <c r="D876" s="11" t="n"/>
      <c r="E876" s="86" t="n"/>
      <c r="F876" s="85" t="n"/>
      <c r="G876" s="85" t="n"/>
    </row>
    <row r="877" ht="13.5" customHeight="1" s="453">
      <c r="D877" s="11" t="n"/>
      <c r="E877" s="86" t="n"/>
      <c r="F877" s="85" t="n"/>
      <c r="G877" s="85" t="n"/>
    </row>
    <row r="878" ht="13.5" customHeight="1" s="453">
      <c r="D878" s="11" t="n"/>
      <c r="E878" s="86" t="n"/>
      <c r="F878" s="85" t="n"/>
      <c r="G878" s="85" t="n"/>
    </row>
    <row r="879" ht="13.5" customHeight="1" s="453">
      <c r="D879" s="11" t="n"/>
      <c r="E879" s="86" t="n"/>
      <c r="F879" s="85" t="n"/>
      <c r="G879" s="85" t="n"/>
    </row>
    <row r="880" ht="13.5" customHeight="1" s="453">
      <c r="D880" s="11" t="n"/>
      <c r="E880" s="86" t="n"/>
      <c r="F880" s="85" t="n"/>
      <c r="G880" s="85" t="n"/>
    </row>
    <row r="881" ht="13.5" customHeight="1" s="453">
      <c r="D881" s="11" t="n"/>
      <c r="E881" s="86" t="n"/>
      <c r="F881" s="85" t="n"/>
      <c r="G881" s="85" t="n"/>
    </row>
    <row r="882" ht="13.5" customHeight="1" s="453">
      <c r="D882" s="11" t="n"/>
      <c r="E882" s="86" t="n"/>
      <c r="F882" s="85" t="n"/>
      <c r="G882" s="85" t="n"/>
    </row>
    <row r="883" ht="13.5" customHeight="1" s="453">
      <c r="D883" s="11" t="n"/>
      <c r="E883" s="86" t="n"/>
      <c r="F883" s="85" t="n"/>
      <c r="G883" s="85" t="n"/>
    </row>
    <row r="884" ht="13.5" customHeight="1" s="453">
      <c r="D884" s="11" t="n"/>
      <c r="E884" s="86" t="n"/>
      <c r="F884" s="85" t="n"/>
      <c r="G884" s="85" t="n"/>
    </row>
    <row r="885" ht="13.5" customHeight="1" s="453">
      <c r="D885" s="11" t="n"/>
      <c r="E885" s="86" t="n"/>
      <c r="F885" s="85" t="n"/>
      <c r="G885" s="85" t="n"/>
    </row>
    <row r="886" ht="13.5" customHeight="1" s="453">
      <c r="D886" s="11" t="n"/>
      <c r="E886" s="86" t="n"/>
      <c r="F886" s="85" t="n"/>
      <c r="G886" s="85" t="n"/>
    </row>
    <row r="887" ht="13.5" customHeight="1" s="453">
      <c r="D887" s="11" t="n"/>
      <c r="E887" s="86" t="n"/>
      <c r="F887" s="85" t="n"/>
      <c r="G887" s="85" t="n"/>
    </row>
    <row r="888" ht="13.5" customHeight="1" s="453">
      <c r="D888" s="11" t="n"/>
      <c r="E888" s="86" t="n"/>
      <c r="F888" s="85" t="n"/>
      <c r="G888" s="85" t="n"/>
    </row>
    <row r="889" ht="13.5" customHeight="1" s="453">
      <c r="D889" s="11" t="n"/>
      <c r="E889" s="86" t="n"/>
      <c r="F889" s="85" t="n"/>
      <c r="G889" s="85" t="n"/>
    </row>
    <row r="890" ht="13.5" customHeight="1" s="453">
      <c r="D890" s="11" t="n"/>
      <c r="E890" s="86" t="n"/>
      <c r="F890" s="85" t="n"/>
      <c r="G890" s="85" t="n"/>
    </row>
    <row r="891" ht="13.5" customHeight="1" s="453">
      <c r="D891" s="11" t="n"/>
      <c r="E891" s="86" t="n"/>
      <c r="F891" s="85" t="n"/>
      <c r="G891" s="85" t="n"/>
    </row>
    <row r="892" ht="13.5" customHeight="1" s="453">
      <c r="D892" s="11" t="n"/>
      <c r="E892" s="86" t="n"/>
      <c r="F892" s="85" t="n"/>
      <c r="G892" s="85" t="n"/>
    </row>
    <row r="893" ht="13.5" customHeight="1" s="453">
      <c r="D893" s="11" t="n"/>
      <c r="E893" s="86" t="n"/>
      <c r="F893" s="85" t="n"/>
      <c r="G893" s="85" t="n"/>
    </row>
    <row r="894" ht="13.5" customHeight="1" s="453">
      <c r="D894" s="11" t="n"/>
      <c r="E894" s="86" t="n"/>
      <c r="F894" s="85" t="n"/>
      <c r="G894" s="85" t="n"/>
    </row>
    <row r="895" ht="13.5" customHeight="1" s="453">
      <c r="D895" s="11" t="n"/>
      <c r="E895" s="86" t="n"/>
      <c r="F895" s="85" t="n"/>
      <c r="G895" s="85" t="n"/>
    </row>
    <row r="896" ht="13.5" customHeight="1" s="453">
      <c r="D896" s="11" t="n"/>
      <c r="E896" s="86" t="n"/>
      <c r="F896" s="85" t="n"/>
      <c r="G896" s="85" t="n"/>
    </row>
    <row r="897" ht="13.5" customHeight="1" s="453">
      <c r="D897" s="11" t="n"/>
      <c r="E897" s="86" t="n"/>
      <c r="F897" s="85" t="n"/>
      <c r="G897" s="85" t="n"/>
    </row>
    <row r="898" ht="13.5" customHeight="1" s="453">
      <c r="D898" s="11" t="n"/>
      <c r="E898" s="86" t="n"/>
      <c r="F898" s="85" t="n"/>
      <c r="G898" s="85" t="n"/>
    </row>
    <row r="899" ht="13.5" customHeight="1" s="453">
      <c r="D899" s="11" t="n"/>
      <c r="E899" s="86" t="n"/>
      <c r="F899" s="85" t="n"/>
      <c r="G899" s="85" t="n"/>
    </row>
    <row r="900" ht="13.5" customHeight="1" s="453">
      <c r="D900" s="11" t="n"/>
      <c r="E900" s="86" t="n"/>
      <c r="F900" s="85" t="n"/>
      <c r="G900" s="85" t="n"/>
    </row>
    <row r="901" ht="13.5" customHeight="1" s="453">
      <c r="D901" s="11" t="n"/>
      <c r="E901" s="86" t="n"/>
      <c r="F901" s="85" t="n"/>
      <c r="G901" s="85" t="n"/>
    </row>
    <row r="902" ht="13.5" customHeight="1" s="453">
      <c r="D902" s="11" t="n"/>
      <c r="E902" s="86" t="n"/>
      <c r="F902" s="85" t="n"/>
      <c r="G902" s="85" t="n"/>
    </row>
    <row r="903" ht="13.5" customHeight="1" s="453">
      <c r="D903" s="11" t="n"/>
      <c r="E903" s="86" t="n"/>
      <c r="F903" s="85" t="n"/>
      <c r="G903" s="85" t="n"/>
    </row>
    <row r="904" ht="13.5" customHeight="1" s="453">
      <c r="D904" s="11" t="n"/>
      <c r="E904" s="86" t="n"/>
      <c r="F904" s="85" t="n"/>
      <c r="G904" s="85" t="n"/>
    </row>
    <row r="905" ht="13.5" customHeight="1" s="453">
      <c r="D905" s="11" t="n"/>
      <c r="E905" s="86" t="n"/>
      <c r="F905" s="85" t="n"/>
      <c r="G905" s="85" t="n"/>
    </row>
    <row r="906" ht="13.5" customHeight="1" s="453">
      <c r="D906" s="11" t="n"/>
      <c r="E906" s="86" t="n"/>
      <c r="F906" s="85" t="n"/>
      <c r="G906" s="85" t="n"/>
    </row>
    <row r="907" ht="13.5" customHeight="1" s="453">
      <c r="D907" s="11" t="n"/>
      <c r="E907" s="86" t="n"/>
      <c r="F907" s="85" t="n"/>
      <c r="G907" s="85" t="n"/>
    </row>
    <row r="908" ht="13.5" customHeight="1" s="453">
      <c r="D908" s="11" t="n"/>
      <c r="E908" s="86" t="n"/>
      <c r="F908" s="85" t="n"/>
      <c r="G908" s="85" t="n"/>
    </row>
    <row r="909" ht="13.5" customHeight="1" s="453">
      <c r="D909" s="11" t="n"/>
      <c r="E909" s="86" t="n"/>
      <c r="F909" s="85" t="n"/>
      <c r="G909" s="85" t="n"/>
    </row>
    <row r="910" ht="13.5" customHeight="1" s="453">
      <c r="D910" s="11" t="n"/>
      <c r="E910" s="86" t="n"/>
      <c r="F910" s="85" t="n"/>
      <c r="G910" s="85" t="n"/>
    </row>
    <row r="911" ht="13.5" customHeight="1" s="453">
      <c r="D911" s="11" t="n"/>
      <c r="E911" s="86" t="n"/>
      <c r="F911" s="85" t="n"/>
      <c r="G911" s="85" t="n"/>
    </row>
    <row r="912" ht="13.5" customHeight="1" s="453">
      <c r="D912" s="11" t="n"/>
      <c r="E912" s="86" t="n"/>
      <c r="F912" s="85" t="n"/>
      <c r="G912" s="85" t="n"/>
    </row>
    <row r="913" ht="13.5" customHeight="1" s="453">
      <c r="D913" s="11" t="n"/>
      <c r="E913" s="86" t="n"/>
      <c r="F913" s="85" t="n"/>
      <c r="G913" s="85" t="n"/>
    </row>
    <row r="914" ht="13.5" customHeight="1" s="453">
      <c r="D914" s="11" t="n"/>
      <c r="E914" s="86" t="n"/>
      <c r="F914" s="85" t="n"/>
      <c r="G914" s="85" t="n"/>
    </row>
    <row r="915" ht="13.5" customHeight="1" s="453">
      <c r="D915" s="11" t="n"/>
      <c r="E915" s="86" t="n"/>
      <c r="F915" s="85" t="n"/>
      <c r="G915" s="85" t="n"/>
    </row>
    <row r="916" ht="13.5" customHeight="1" s="453">
      <c r="D916" s="11" t="n"/>
      <c r="E916" s="86" t="n"/>
      <c r="F916" s="85" t="n"/>
      <c r="G916" s="85" t="n"/>
    </row>
    <row r="917" ht="13.5" customHeight="1" s="453">
      <c r="D917" s="11" t="n"/>
      <c r="E917" s="86" t="n"/>
      <c r="F917" s="85" t="n"/>
      <c r="G917" s="85" t="n"/>
    </row>
    <row r="918" ht="13.5" customHeight="1" s="453">
      <c r="D918" s="11" t="n"/>
      <c r="E918" s="86" t="n"/>
      <c r="F918" s="85" t="n"/>
      <c r="G918" s="85" t="n"/>
    </row>
    <row r="919" ht="13.5" customHeight="1" s="453">
      <c r="D919" s="11" t="n"/>
      <c r="E919" s="86" t="n"/>
      <c r="F919" s="85" t="n"/>
      <c r="G919" s="85" t="n"/>
    </row>
    <row r="920" ht="13.5" customHeight="1" s="453">
      <c r="D920" s="11" t="n"/>
      <c r="E920" s="86" t="n"/>
      <c r="F920" s="85" t="n"/>
      <c r="G920" s="85" t="n"/>
    </row>
    <row r="921" ht="13.5" customHeight="1" s="453">
      <c r="D921" s="11" t="n"/>
      <c r="E921" s="86" t="n"/>
      <c r="F921" s="85" t="n"/>
      <c r="G921" s="85" t="n"/>
    </row>
    <row r="922" ht="13.5" customHeight="1" s="453">
      <c r="D922" s="11" t="n"/>
      <c r="E922" s="86" t="n"/>
      <c r="F922" s="85" t="n"/>
      <c r="G922" s="85" t="n"/>
    </row>
    <row r="923" ht="13.5" customHeight="1" s="453">
      <c r="D923" s="11" t="n"/>
      <c r="E923" s="86" t="n"/>
      <c r="F923" s="85" t="n"/>
      <c r="G923" s="85" t="n"/>
    </row>
    <row r="924" ht="13.5" customHeight="1" s="453">
      <c r="D924" s="11" t="n"/>
      <c r="E924" s="86" t="n"/>
      <c r="F924" s="85" t="n"/>
      <c r="G924" s="85" t="n"/>
    </row>
    <row r="925" ht="13.5" customHeight="1" s="453">
      <c r="D925" s="11" t="n"/>
      <c r="E925" s="86" t="n"/>
      <c r="F925" s="85" t="n"/>
      <c r="G925" s="85" t="n"/>
    </row>
    <row r="926" ht="13.5" customHeight="1" s="453">
      <c r="D926" s="11" t="n"/>
      <c r="E926" s="86" t="n"/>
      <c r="F926" s="85" t="n"/>
      <c r="G926" s="85" t="n"/>
    </row>
    <row r="927" ht="13.5" customHeight="1" s="453">
      <c r="D927" s="11" t="n"/>
      <c r="E927" s="86" t="n"/>
      <c r="F927" s="85" t="n"/>
      <c r="G927" s="85" t="n"/>
    </row>
    <row r="928" ht="13.5" customHeight="1" s="453">
      <c r="D928" s="11" t="n"/>
      <c r="E928" s="86" t="n"/>
      <c r="F928" s="85" t="n"/>
      <c r="G928" s="85" t="n"/>
    </row>
    <row r="929" ht="13.5" customHeight="1" s="453">
      <c r="D929" s="11" t="n"/>
      <c r="E929" s="86" t="n"/>
      <c r="F929" s="85" t="n"/>
      <c r="G929" s="85" t="n"/>
    </row>
    <row r="930" ht="13.5" customHeight="1" s="453">
      <c r="D930" s="11" t="n"/>
      <c r="E930" s="86" t="n"/>
      <c r="F930" s="85" t="n"/>
      <c r="G930" s="85" t="n"/>
    </row>
    <row r="931" ht="13.5" customHeight="1" s="453">
      <c r="D931" s="11" t="n"/>
      <c r="E931" s="86" t="n"/>
      <c r="F931" s="85" t="n"/>
      <c r="G931" s="85" t="n"/>
    </row>
    <row r="932" ht="13.5" customHeight="1" s="453">
      <c r="D932" s="11" t="n"/>
      <c r="E932" s="86" t="n"/>
      <c r="F932" s="85" t="n"/>
      <c r="G932" s="85" t="n"/>
    </row>
    <row r="933" ht="13.5" customHeight="1" s="453">
      <c r="D933" s="11" t="n"/>
      <c r="E933" s="86" t="n"/>
      <c r="F933" s="85" t="n"/>
      <c r="G933" s="85" t="n"/>
    </row>
    <row r="934" ht="13.5" customHeight="1" s="453">
      <c r="D934" s="11" t="n"/>
      <c r="E934" s="86" t="n"/>
      <c r="F934" s="85" t="n"/>
      <c r="G934" s="85" t="n"/>
    </row>
    <row r="935" ht="13.5" customHeight="1" s="453">
      <c r="D935" s="11" t="n"/>
      <c r="E935" s="86" t="n"/>
      <c r="F935" s="85" t="n"/>
      <c r="G935" s="85" t="n"/>
    </row>
    <row r="936" ht="13.5" customHeight="1" s="453">
      <c r="D936" s="11" t="n"/>
      <c r="E936" s="86" t="n"/>
      <c r="F936" s="85" t="n"/>
      <c r="G936" s="85" t="n"/>
    </row>
    <row r="937" ht="13.5" customHeight="1" s="453">
      <c r="D937" s="11" t="n"/>
      <c r="E937" s="86" t="n"/>
      <c r="F937" s="85" t="n"/>
      <c r="G937" s="85" t="n"/>
    </row>
    <row r="938" ht="13.5" customHeight="1" s="453">
      <c r="D938" s="11" t="n"/>
      <c r="E938" s="86" t="n"/>
      <c r="F938" s="85" t="n"/>
      <c r="G938" s="85" t="n"/>
    </row>
    <row r="939" ht="13.5" customHeight="1" s="453">
      <c r="D939" s="11" t="n"/>
      <c r="E939" s="86" t="n"/>
      <c r="F939" s="85" t="n"/>
      <c r="G939" s="85" t="n"/>
    </row>
    <row r="940" ht="13.5" customHeight="1" s="453">
      <c r="D940" s="11" t="n"/>
      <c r="E940" s="86" t="n"/>
      <c r="F940" s="85" t="n"/>
      <c r="G940" s="85" t="n"/>
    </row>
    <row r="941" ht="13.5" customHeight="1" s="453">
      <c r="D941" s="11" t="n"/>
      <c r="E941" s="86" t="n"/>
      <c r="F941" s="85" t="n"/>
      <c r="G941" s="85" t="n"/>
    </row>
    <row r="942" ht="13.5" customHeight="1" s="453">
      <c r="D942" s="11" t="n"/>
      <c r="E942" s="86" t="n"/>
      <c r="F942" s="85" t="n"/>
      <c r="G942" s="85" t="n"/>
    </row>
    <row r="943" ht="13.5" customHeight="1" s="453">
      <c r="D943" s="11" t="n"/>
      <c r="E943" s="86" t="n"/>
      <c r="F943" s="85" t="n"/>
      <c r="G943" s="85" t="n"/>
    </row>
    <row r="944" ht="13.5" customHeight="1" s="453">
      <c r="D944" s="11" t="n"/>
      <c r="E944" s="86" t="n"/>
      <c r="F944" s="85" t="n"/>
      <c r="G944" s="85" t="n"/>
    </row>
    <row r="945" ht="13.5" customHeight="1" s="453">
      <c r="D945" s="11" t="n"/>
      <c r="E945" s="86" t="n"/>
      <c r="F945" s="85" t="n"/>
      <c r="G945" s="85" t="n"/>
    </row>
    <row r="946" ht="13.5" customHeight="1" s="453">
      <c r="D946" s="11" t="n"/>
      <c r="E946" s="86" t="n"/>
      <c r="F946" s="85" t="n"/>
      <c r="G946" s="85" t="n"/>
    </row>
    <row r="947" ht="13.5" customHeight="1" s="453">
      <c r="D947" s="11" t="n"/>
      <c r="E947" s="86" t="n"/>
      <c r="F947" s="85" t="n"/>
      <c r="G947" s="85" t="n"/>
    </row>
    <row r="948" ht="13.5" customHeight="1" s="453">
      <c r="D948" s="11" t="n"/>
      <c r="E948" s="86" t="n"/>
      <c r="F948" s="85" t="n"/>
      <c r="G948" s="85" t="n"/>
    </row>
    <row r="949" ht="13.5" customHeight="1" s="453">
      <c r="D949" s="11" t="n"/>
      <c r="E949" s="86" t="n"/>
      <c r="F949" s="85" t="n"/>
      <c r="G949" s="85" t="n"/>
    </row>
    <row r="950" ht="13.5" customHeight="1" s="453">
      <c r="D950" s="11" t="n"/>
      <c r="E950" s="86" t="n"/>
      <c r="F950" s="85" t="n"/>
      <c r="G950" s="85" t="n"/>
    </row>
    <row r="951" ht="13.5" customHeight="1" s="453">
      <c r="D951" s="11" t="n"/>
      <c r="E951" s="86" t="n"/>
      <c r="F951" s="85" t="n"/>
      <c r="G951" s="85" t="n"/>
    </row>
    <row r="952" ht="13.5" customHeight="1" s="453">
      <c r="D952" s="11" t="n"/>
      <c r="E952" s="86" t="n"/>
      <c r="F952" s="85" t="n"/>
      <c r="G952" s="85" t="n"/>
    </row>
    <row r="953" ht="13.5" customHeight="1" s="453">
      <c r="D953" s="11" t="n"/>
      <c r="E953" s="86" t="n"/>
      <c r="F953" s="85" t="n"/>
      <c r="G953" s="85" t="n"/>
    </row>
    <row r="954" ht="13.5" customHeight="1" s="453">
      <c r="D954" s="11" t="n"/>
      <c r="E954" s="86" t="n"/>
      <c r="F954" s="85" t="n"/>
      <c r="G954" s="85" t="n"/>
    </row>
    <row r="955" ht="13.5" customHeight="1" s="453">
      <c r="D955" s="11" t="n"/>
      <c r="E955" s="86" t="n"/>
      <c r="F955" s="85" t="n"/>
      <c r="G955" s="85" t="n"/>
    </row>
    <row r="956" ht="13.5" customHeight="1" s="453">
      <c r="D956" s="11" t="n"/>
      <c r="E956" s="86" t="n"/>
      <c r="F956" s="85" t="n"/>
      <c r="G956" s="85" t="n"/>
    </row>
    <row r="957" ht="13.5" customHeight="1" s="453">
      <c r="D957" s="11" t="n"/>
      <c r="E957" s="86" t="n"/>
      <c r="F957" s="85" t="n"/>
      <c r="G957" s="85" t="n"/>
    </row>
    <row r="958" ht="13.5" customHeight="1" s="453">
      <c r="D958" s="11" t="n"/>
      <c r="E958" s="86" t="n"/>
      <c r="F958" s="85" t="n"/>
      <c r="G958" s="85" t="n"/>
    </row>
    <row r="959" ht="13.5" customHeight="1" s="453">
      <c r="D959" s="11" t="n"/>
      <c r="E959" s="86" t="n"/>
      <c r="F959" s="85" t="n"/>
      <c r="G959" s="85" t="n"/>
    </row>
    <row r="960" ht="13.5" customHeight="1" s="453">
      <c r="D960" s="11" t="n"/>
      <c r="E960" s="86" t="n"/>
      <c r="F960" s="85" t="n"/>
      <c r="G960" s="85" t="n"/>
    </row>
    <row r="961" ht="13.5" customHeight="1" s="453">
      <c r="D961" s="11" t="n"/>
      <c r="E961" s="86" t="n"/>
      <c r="F961" s="85" t="n"/>
      <c r="G961" s="85" t="n"/>
    </row>
    <row r="962" ht="13.5" customHeight="1" s="453">
      <c r="D962" s="11" t="n"/>
      <c r="E962" s="86" t="n"/>
      <c r="F962" s="85" t="n"/>
      <c r="G962" s="85" t="n"/>
    </row>
    <row r="963" ht="13.5" customHeight="1" s="453">
      <c r="D963" s="11" t="n"/>
      <c r="E963" s="86" t="n"/>
      <c r="F963" s="85" t="n"/>
      <c r="G963" s="85" t="n"/>
    </row>
    <row r="964" ht="13.5" customHeight="1" s="453">
      <c r="D964" s="11" t="n"/>
      <c r="E964" s="86" t="n"/>
      <c r="F964" s="85" t="n"/>
      <c r="G964" s="85" t="n"/>
    </row>
    <row r="965" ht="13.5" customHeight="1" s="453">
      <c r="D965" s="11" t="n"/>
      <c r="E965" s="86" t="n"/>
      <c r="F965" s="85" t="n"/>
      <c r="G965" s="85" t="n"/>
    </row>
    <row r="966" ht="13.5" customHeight="1" s="453">
      <c r="D966" s="11" t="n"/>
      <c r="E966" s="86" t="n"/>
      <c r="F966" s="85" t="n"/>
      <c r="G966" s="85" t="n"/>
    </row>
    <row r="967" ht="13.5" customHeight="1" s="453">
      <c r="D967" s="11" t="n"/>
      <c r="E967" s="86" t="n"/>
      <c r="F967" s="85" t="n"/>
      <c r="G967" s="85" t="n"/>
    </row>
    <row r="968" ht="13.5" customHeight="1" s="453">
      <c r="D968" s="11" t="n"/>
      <c r="E968" s="86" t="n"/>
      <c r="F968" s="85" t="n"/>
      <c r="G968" s="85" t="n"/>
    </row>
    <row r="969" ht="13.5" customHeight="1" s="453">
      <c r="D969" s="11" t="n"/>
      <c r="E969" s="86" t="n"/>
      <c r="F969" s="85" t="n"/>
      <c r="G969" s="85" t="n"/>
    </row>
    <row r="970" ht="13.5" customHeight="1" s="453">
      <c r="D970" s="11" t="n"/>
      <c r="E970" s="86" t="n"/>
      <c r="F970" s="85" t="n"/>
      <c r="G970" s="85" t="n"/>
    </row>
    <row r="971" ht="13.5" customHeight="1" s="453">
      <c r="D971" s="11" t="n"/>
      <c r="E971" s="86" t="n"/>
      <c r="F971" s="85" t="n"/>
      <c r="G971" s="85" t="n"/>
    </row>
    <row r="972" ht="13.5" customHeight="1" s="453">
      <c r="D972" s="11" t="n"/>
      <c r="E972" s="86" t="n"/>
      <c r="F972" s="85" t="n"/>
      <c r="G972" s="85" t="n"/>
    </row>
    <row r="973" ht="13.5" customHeight="1" s="453">
      <c r="D973" s="11" t="n"/>
      <c r="E973" s="86" t="n"/>
      <c r="F973" s="85" t="n"/>
      <c r="G973" s="85" t="n"/>
    </row>
    <row r="974" ht="13.5" customHeight="1" s="453">
      <c r="D974" s="11" t="n"/>
      <c r="E974" s="86" t="n"/>
      <c r="F974" s="85" t="n"/>
      <c r="G974" s="85" t="n"/>
    </row>
    <row r="975" ht="13.5" customHeight="1" s="453">
      <c r="D975" s="11" t="n"/>
      <c r="E975" s="86" t="n"/>
      <c r="F975" s="85" t="n"/>
      <c r="G975" s="85" t="n"/>
    </row>
    <row r="976" ht="13.5" customHeight="1" s="453">
      <c r="D976" s="11" t="n"/>
      <c r="E976" s="86" t="n"/>
      <c r="F976" s="85" t="n"/>
      <c r="G976" s="85" t="n"/>
    </row>
    <row r="977" ht="13.5" customHeight="1" s="453">
      <c r="D977" s="11" t="n"/>
      <c r="E977" s="86" t="n"/>
      <c r="F977" s="85" t="n"/>
      <c r="G977" s="85" t="n"/>
    </row>
    <row r="978" ht="13.5" customHeight="1" s="453">
      <c r="D978" s="11" t="n"/>
      <c r="E978" s="86" t="n"/>
      <c r="F978" s="85" t="n"/>
      <c r="G978" s="85" t="n"/>
    </row>
    <row r="979" ht="13.5" customHeight="1" s="453">
      <c r="D979" s="11" t="n"/>
      <c r="E979" s="86" t="n"/>
      <c r="F979" s="85" t="n"/>
      <c r="G979" s="85" t="n"/>
    </row>
    <row r="980" ht="13.5" customHeight="1" s="453">
      <c r="D980" s="11" t="n"/>
      <c r="E980" s="86" t="n"/>
      <c r="F980" s="85" t="n"/>
      <c r="G980" s="85" t="n"/>
    </row>
    <row r="981" ht="13.5" customHeight="1" s="453">
      <c r="D981" s="11" t="n"/>
      <c r="E981" s="86" t="n"/>
      <c r="F981" s="85" t="n"/>
      <c r="G981" s="85" t="n"/>
    </row>
    <row r="982" ht="13.5" customHeight="1" s="453">
      <c r="D982" s="11" t="n"/>
      <c r="E982" s="86" t="n"/>
      <c r="F982" s="85" t="n"/>
      <c r="G982" s="85" t="n"/>
    </row>
    <row r="983" ht="13.5" customHeight="1" s="453">
      <c r="D983" s="11" t="n"/>
      <c r="E983" s="86" t="n"/>
      <c r="F983" s="85" t="n"/>
      <c r="G983" s="85" t="n"/>
    </row>
    <row r="984" ht="13.5" customHeight="1" s="453">
      <c r="D984" s="11" t="n"/>
      <c r="E984" s="86" t="n"/>
      <c r="F984" s="85" t="n"/>
      <c r="G984" s="85" t="n"/>
    </row>
    <row r="985" ht="13.5" customHeight="1" s="453">
      <c r="D985" s="11" t="n"/>
      <c r="E985" s="86" t="n"/>
      <c r="F985" s="85" t="n"/>
      <c r="G985" s="85" t="n"/>
    </row>
    <row r="986" ht="13.5" customHeight="1" s="453">
      <c r="D986" s="11" t="n"/>
      <c r="E986" s="86" t="n"/>
      <c r="F986" s="85" t="n"/>
      <c r="G986" s="85" t="n"/>
    </row>
    <row r="987" ht="13.5" customHeight="1" s="453">
      <c r="D987" s="11" t="n"/>
      <c r="E987" s="86" t="n"/>
      <c r="F987" s="85" t="n"/>
      <c r="G987" s="85" t="n"/>
    </row>
    <row r="988" ht="13.5" customHeight="1" s="453">
      <c r="D988" s="11" t="n"/>
      <c r="E988" s="86" t="n"/>
      <c r="F988" s="85" t="n"/>
      <c r="G988" s="85" t="n"/>
    </row>
    <row r="989" ht="13.5" customHeight="1" s="453">
      <c r="D989" s="11" t="n"/>
      <c r="E989" s="86" t="n"/>
      <c r="F989" s="85" t="n"/>
      <c r="G989" s="85" t="n"/>
    </row>
    <row r="990" ht="13.5" customHeight="1" s="453">
      <c r="D990" s="11" t="n"/>
      <c r="E990" s="86" t="n"/>
      <c r="F990" s="85" t="n"/>
      <c r="G990" s="85" t="n"/>
    </row>
    <row r="991" ht="13.5" customHeight="1" s="453">
      <c r="D991" s="11" t="n"/>
      <c r="E991" s="86" t="n"/>
      <c r="F991" s="85" t="n"/>
      <c r="G991" s="85" t="n"/>
    </row>
    <row r="992" ht="13.5" customHeight="1" s="453">
      <c r="D992" s="11" t="n"/>
      <c r="E992" s="86" t="n"/>
      <c r="F992" s="85" t="n"/>
      <c r="G992" s="85" t="n"/>
    </row>
    <row r="993" ht="13.5" customHeight="1" s="453">
      <c r="D993" s="11" t="n"/>
      <c r="E993" s="86" t="n"/>
      <c r="F993" s="85" t="n"/>
      <c r="G993" s="85" t="n"/>
    </row>
    <row r="994" ht="13.5" customHeight="1" s="453">
      <c r="D994" s="11" t="n"/>
      <c r="E994" s="86" t="n"/>
      <c r="F994" s="85" t="n"/>
      <c r="G994" s="85" t="n"/>
    </row>
    <row r="995" ht="13.5" customHeight="1" s="453">
      <c r="D995" s="11" t="n"/>
      <c r="E995" s="86" t="n"/>
      <c r="F995" s="85" t="n"/>
      <c r="G995" s="85" t="n"/>
    </row>
    <row r="996" ht="13.5" customHeight="1" s="453">
      <c r="D996" s="11" t="n"/>
      <c r="E996" s="86" t="n"/>
      <c r="F996" s="85" t="n"/>
      <c r="G996" s="85" t="n"/>
    </row>
    <row r="997" ht="13.5" customHeight="1" s="453">
      <c r="D997" s="11" t="n"/>
      <c r="E997" s="86" t="n"/>
      <c r="F997" s="85" t="n"/>
      <c r="G997" s="85" t="n"/>
    </row>
    <row r="998" ht="13.5" customHeight="1" s="453">
      <c r="D998" s="11" t="n"/>
      <c r="E998" s="86" t="n"/>
      <c r="F998" s="85" t="n"/>
      <c r="G998" s="85" t="n"/>
    </row>
    <row r="999" ht="13.5" customHeight="1" s="453">
      <c r="D999" s="11" t="n"/>
      <c r="E999" s="86" t="n"/>
      <c r="F999" s="85" t="n"/>
      <c r="G999" s="85" t="n"/>
    </row>
    <row r="1000" ht="13.5" customHeight="1" s="453">
      <c r="D1000" s="11" t="n"/>
      <c r="E1000" s="86" t="n"/>
      <c r="F1000" s="85" t="n"/>
      <c r="G1000" s="85" t="n"/>
    </row>
    <row r="1001" ht="13.5" customHeight="1" s="453">
      <c r="D1001" s="11" t="n"/>
      <c r="E1001" s="86" t="n"/>
      <c r="F1001" s="85" t="n"/>
      <c r="G1001" s="85" t="n"/>
    </row>
    <row r="1002" ht="13.5" customHeight="1" s="453">
      <c r="D1002" s="11" t="n"/>
      <c r="E1002" s="86" t="n"/>
      <c r="F1002" s="85" t="n"/>
      <c r="G1002" s="85" t="n"/>
    </row>
    <row r="1003" ht="13.5" customHeight="1" s="453">
      <c r="D1003" s="11" t="n"/>
      <c r="E1003" s="86" t="n"/>
      <c r="F1003" s="85" t="n"/>
      <c r="G1003" s="85" t="n"/>
    </row>
    <row r="1004" ht="13.5" customHeight="1" s="453">
      <c r="D1004" s="11" t="n"/>
      <c r="E1004" s="86" t="n"/>
      <c r="F1004" s="85" t="n"/>
      <c r="G1004" s="85" t="n"/>
    </row>
    <row r="1005" ht="13.5" customHeight="1" s="453">
      <c r="D1005" s="11" t="n"/>
      <c r="E1005" s="86" t="n"/>
      <c r="F1005" s="85" t="n"/>
      <c r="G1005" s="85" t="n"/>
    </row>
    <row r="1006" ht="13.5" customHeight="1" s="453">
      <c r="D1006" s="11" t="n"/>
      <c r="E1006" s="86" t="n"/>
      <c r="F1006" s="85" t="n"/>
      <c r="G1006" s="85" t="n"/>
    </row>
    <row r="1007" ht="13.5" customHeight="1" s="453">
      <c r="D1007" s="11" t="n"/>
      <c r="E1007" s="86" t="n"/>
      <c r="F1007" s="85" t="n"/>
      <c r="G1007" s="85" t="n"/>
    </row>
    <row r="1008" ht="13.5" customHeight="1" s="453">
      <c r="D1008" s="11" t="n"/>
      <c r="E1008" s="86" t="n"/>
      <c r="F1008" s="85" t="n"/>
      <c r="G1008" s="85" t="n"/>
    </row>
    <row r="1009" ht="13.5" customHeight="1" s="453">
      <c r="D1009" s="11" t="n"/>
      <c r="E1009" s="86" t="n"/>
      <c r="F1009" s="85" t="n"/>
      <c r="G1009" s="85" t="n"/>
    </row>
    <row r="1010" ht="13.5" customHeight="1" s="453">
      <c r="D1010" s="11" t="n"/>
      <c r="E1010" s="86" t="n"/>
      <c r="F1010" s="85" t="n"/>
      <c r="G1010" s="85" t="n"/>
    </row>
    <row r="1011" ht="13.5" customHeight="1" s="453">
      <c r="D1011" s="11" t="n"/>
      <c r="E1011" s="86" t="n"/>
      <c r="F1011" s="85" t="n"/>
      <c r="G1011" s="85" t="n"/>
    </row>
    <row r="1012" ht="13.5" customHeight="1" s="453">
      <c r="D1012" s="11" t="n"/>
      <c r="E1012" s="86" t="n"/>
      <c r="F1012" s="85" t="n"/>
      <c r="G1012" s="85" t="n"/>
    </row>
    <row r="1013" ht="13.5" customHeight="1" s="453">
      <c r="D1013" s="11" t="n"/>
      <c r="E1013" s="86" t="n"/>
      <c r="F1013" s="85" t="n"/>
      <c r="G1013" s="85" t="n"/>
    </row>
    <row r="1014" ht="13.5" customHeight="1" s="453">
      <c r="D1014" s="11" t="n"/>
      <c r="E1014" s="86" t="n"/>
      <c r="F1014" s="85" t="n"/>
      <c r="G1014" s="85" t="n"/>
    </row>
    <row r="1015" ht="13.5" customHeight="1" s="453">
      <c r="D1015" s="11" t="n"/>
      <c r="E1015" s="86" t="n"/>
      <c r="F1015" s="85" t="n"/>
      <c r="G1015" s="85" t="n"/>
    </row>
    <row r="1016" ht="13.5" customHeight="1" s="453">
      <c r="D1016" s="11" t="n"/>
      <c r="E1016" s="86" t="n"/>
      <c r="F1016" s="85" t="n"/>
      <c r="G1016" s="85" t="n"/>
    </row>
    <row r="1017" ht="13.5" customHeight="1" s="453">
      <c r="D1017" s="11" t="n"/>
      <c r="E1017" s="86" t="n"/>
      <c r="F1017" s="85" t="n"/>
      <c r="G1017" s="85" t="n"/>
    </row>
    <row r="1018" ht="13.5" customHeight="1" s="453">
      <c r="D1018" s="11" t="n"/>
      <c r="E1018" s="86" t="n"/>
      <c r="F1018" s="85" t="n"/>
      <c r="G1018" s="85" t="n"/>
    </row>
    <row r="1019" ht="13.5" customHeight="1" s="453">
      <c r="D1019" s="11" t="n"/>
      <c r="E1019" s="86" t="n"/>
      <c r="F1019" s="85" t="n"/>
      <c r="G1019" s="85" t="n"/>
    </row>
    <row r="1020" ht="13.5" customHeight="1" s="453">
      <c r="D1020" s="11" t="n"/>
      <c r="E1020" s="86" t="n"/>
      <c r="F1020" s="85" t="n"/>
      <c r="G1020" s="85" t="n"/>
    </row>
    <row r="1021" ht="13.5" customHeight="1" s="453">
      <c r="D1021" s="11" t="n"/>
      <c r="E1021" s="86" t="n"/>
      <c r="F1021" s="85" t="n"/>
      <c r="G1021" s="85" t="n"/>
    </row>
    <row r="1022" ht="13.5" customHeight="1" s="453">
      <c r="D1022" s="11" t="n"/>
      <c r="E1022" s="86" t="n"/>
      <c r="F1022" s="85" t="n"/>
      <c r="G1022" s="85" t="n"/>
    </row>
    <row r="1023" ht="13.5" customHeight="1" s="453">
      <c r="D1023" s="11" t="n"/>
      <c r="E1023" s="86" t="n"/>
      <c r="F1023" s="85" t="n"/>
      <c r="G1023" s="85" t="n"/>
    </row>
    <row r="1024" ht="13.5" customHeight="1" s="453">
      <c r="D1024" s="11" t="n"/>
      <c r="E1024" s="86" t="n"/>
      <c r="F1024" s="85" t="n"/>
      <c r="G1024" s="85" t="n"/>
    </row>
    <row r="1025" ht="13.5" customHeight="1" s="453">
      <c r="D1025" s="11" t="n"/>
      <c r="E1025" s="86" t="n"/>
      <c r="F1025" s="85" t="n"/>
      <c r="G1025" s="85" t="n"/>
    </row>
    <row r="1026" ht="13.5" customHeight="1" s="453">
      <c r="D1026" s="11" t="n"/>
      <c r="E1026" s="86" t="n"/>
      <c r="F1026" s="85" t="n"/>
      <c r="G1026" s="85" t="n"/>
    </row>
    <row r="1027" ht="13.5" customHeight="1" s="453">
      <c r="D1027" s="11" t="n"/>
      <c r="E1027" s="86" t="n"/>
      <c r="F1027" s="85" t="n"/>
      <c r="G1027" s="85" t="n"/>
    </row>
    <row r="1028" ht="13.5" customHeight="1" s="453">
      <c r="D1028" s="11" t="n"/>
      <c r="E1028" s="86" t="n"/>
      <c r="F1028" s="85" t="n"/>
      <c r="G1028" s="85" t="n"/>
    </row>
    <row r="1029" ht="13.5" customHeight="1" s="453">
      <c r="D1029" s="11" t="n"/>
      <c r="E1029" s="86" t="n"/>
      <c r="F1029" s="85" t="n"/>
      <c r="G1029" s="85" t="n"/>
    </row>
    <row r="1030" ht="13.5" customHeight="1" s="453">
      <c r="D1030" s="11" t="n"/>
      <c r="E1030" s="86" t="n"/>
      <c r="F1030" s="85" t="n"/>
      <c r="G1030" s="85" t="n"/>
    </row>
    <row r="1031" ht="13.5" customHeight="1" s="453">
      <c r="D1031" s="11" t="n"/>
      <c r="E1031" s="86" t="n"/>
      <c r="F1031" s="85" t="n"/>
      <c r="G1031" s="85" t="n"/>
    </row>
    <row r="1032" ht="13.5" customHeight="1" s="453">
      <c r="D1032" s="11" t="n"/>
      <c r="E1032" s="86" t="n"/>
      <c r="F1032" s="85" t="n"/>
      <c r="G1032" s="85" t="n"/>
    </row>
    <row r="1033" ht="13.5" customHeight="1" s="453">
      <c r="D1033" s="11" t="n"/>
      <c r="E1033" s="86" t="n"/>
      <c r="F1033" s="85" t="n"/>
      <c r="G1033" s="85" t="n"/>
    </row>
    <row r="1034" ht="13.5" customHeight="1" s="453">
      <c r="D1034" s="11" t="n"/>
      <c r="E1034" s="86" t="n"/>
      <c r="F1034" s="85" t="n"/>
      <c r="G1034" s="85" t="n"/>
    </row>
    <row r="1035" ht="13.5" customHeight="1" s="453">
      <c r="D1035" s="11" t="n"/>
      <c r="E1035" s="86" t="n"/>
      <c r="F1035" s="85" t="n"/>
      <c r="G1035" s="85" t="n"/>
    </row>
    <row r="1036" ht="13.5" customHeight="1" s="453">
      <c r="D1036" s="11" t="n"/>
      <c r="E1036" s="86" t="n"/>
      <c r="F1036" s="85" t="n"/>
      <c r="G1036" s="85" t="n"/>
    </row>
    <row r="1037" ht="13.5" customHeight="1" s="453">
      <c r="D1037" s="11" t="n"/>
      <c r="E1037" s="86" t="n"/>
      <c r="F1037" s="85" t="n"/>
      <c r="G1037" s="85" t="n"/>
    </row>
    <row r="1038" ht="13.5" customHeight="1" s="453">
      <c r="D1038" s="11" t="n"/>
      <c r="E1038" s="86" t="n"/>
      <c r="F1038" s="85" t="n"/>
      <c r="G1038" s="85" t="n"/>
    </row>
    <row r="1039" ht="13.5" customHeight="1" s="453">
      <c r="D1039" s="11" t="n"/>
      <c r="E1039" s="86" t="n"/>
      <c r="F1039" s="85" t="n"/>
      <c r="G1039" s="85" t="n"/>
    </row>
    <row r="1040" ht="13.5" customHeight="1" s="453">
      <c r="D1040" s="11" t="n"/>
      <c r="E1040" s="86" t="n"/>
      <c r="F1040" s="85" t="n"/>
      <c r="G1040" s="85" t="n"/>
    </row>
    <row r="1041" ht="13.5" customHeight="1" s="453">
      <c r="D1041" s="11" t="n"/>
      <c r="E1041" s="86" t="n"/>
      <c r="F1041" s="85" t="n"/>
      <c r="G1041" s="85" t="n"/>
    </row>
    <row r="1042" ht="13.5" customHeight="1" s="453">
      <c r="D1042" s="11" t="n"/>
      <c r="E1042" s="86" t="n"/>
      <c r="F1042" s="85" t="n"/>
      <c r="G1042" s="85" t="n"/>
    </row>
    <row r="1043" ht="13.5" customHeight="1" s="453">
      <c r="D1043" s="11" t="n"/>
      <c r="E1043" s="86" t="n"/>
      <c r="F1043" s="85" t="n"/>
      <c r="G1043" s="85" t="n"/>
    </row>
    <row r="1044" ht="13.5" customHeight="1" s="453">
      <c r="D1044" s="11" t="n"/>
      <c r="E1044" s="86" t="n"/>
      <c r="F1044" s="85" t="n"/>
      <c r="G1044" s="85" t="n"/>
    </row>
    <row r="1045" ht="13.5" customHeight="1" s="453">
      <c r="D1045" s="11" t="n"/>
      <c r="E1045" s="86" t="n"/>
      <c r="F1045" s="85" t="n"/>
      <c r="G1045" s="85" t="n"/>
    </row>
    <row r="1046" ht="13.5" customHeight="1" s="453">
      <c r="D1046" s="11" t="n"/>
      <c r="E1046" s="86" t="n"/>
      <c r="F1046" s="85" t="n"/>
      <c r="G1046" s="85" t="n"/>
    </row>
    <row r="1047" ht="13.5" customHeight="1" s="453">
      <c r="D1047" s="11" t="n"/>
      <c r="E1047" s="86" t="n"/>
      <c r="F1047" s="85" t="n"/>
      <c r="G1047" s="85" t="n"/>
    </row>
  </sheetData>
  <mergeCells count="27">
    <mergeCell ref="AG1:AH1"/>
    <mergeCell ref="B2:B3"/>
    <mergeCell ref="AE2:AE3"/>
    <mergeCell ref="N2:N3"/>
    <mergeCell ref="AF64:AF70"/>
    <mergeCell ref="D2:D3"/>
    <mergeCell ref="AF62:AF63"/>
    <mergeCell ref="AG2:AH2"/>
    <mergeCell ref="A2:A3"/>
    <mergeCell ref="AB2:AB3"/>
    <mergeCell ref="C2:C3"/>
    <mergeCell ref="AF26:AF27"/>
    <mergeCell ref="AF2:AF3"/>
    <mergeCell ref="E2:E3"/>
    <mergeCell ref="AJ2:AJ3"/>
    <mergeCell ref="F2:G2"/>
    <mergeCell ref="AF22:AF23"/>
    <mergeCell ref="O2:O3"/>
    <mergeCell ref="AF51:AF54"/>
    <mergeCell ref="AC2:AC3"/>
    <mergeCell ref="AI2:AI3"/>
    <mergeCell ref="AF11:AF16"/>
    <mergeCell ref="AF40:AF41"/>
    <mergeCell ref="AF38:AF39"/>
    <mergeCell ref="AF28:AF29"/>
    <mergeCell ref="F1:G1"/>
    <mergeCell ref="AF55:AF59"/>
  </mergeCells>
  <conditionalFormatting sqref="B74">
    <cfRule type="duplicateValues" priority="1" dxfId="0"/>
  </conditionalFormatting>
  <printOptions horizontalCentered="1" gridLines="1"/>
  <pageMargins left="0.7" right="0.7" top="0.75" bottom="0.75" header="0" footer="0"/>
  <pageSetup orientation="landscape" paperSize="9" scale="46" fitToHeight="0" pageOrder="overThenDown" cellComments="atEnd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00"/>
  <sheetViews>
    <sheetView zoomScaleNormal="100" workbookViewId="0">
      <pane ySplit="1" topLeftCell="A1938" activePane="bottomLeft" state="frozen"/>
      <selection pane="bottomLeft" activeCell="O1954" sqref="O1954"/>
    </sheetView>
  </sheetViews>
  <sheetFormatPr baseColWidth="8" defaultColWidth="9.140625" defaultRowHeight="15"/>
  <cols>
    <col width="10.140625" bestFit="1" customWidth="1" style="128" min="1" max="1"/>
    <col width="28.5703125" customWidth="1" style="129" min="2" max="2"/>
    <col width="5.140625" bestFit="1" customWidth="1" style="118" min="3" max="3"/>
    <col width="14.85546875" bestFit="1" customWidth="1" style="118" min="4" max="4"/>
    <col width="9.140625" customWidth="1" style="118" min="5" max="5"/>
    <col width="9.140625" customWidth="1" style="118" min="6" max="9"/>
    <col width="21.85546875" customWidth="1" style="118" min="10" max="10"/>
    <col width="14.85546875" bestFit="1" customWidth="1" style="118" min="11" max="11"/>
    <col width="11" bestFit="1" customWidth="1" style="118" min="12" max="12"/>
    <col width="18.5703125" customWidth="1" style="118" min="13" max="13"/>
    <col width="11.140625" bestFit="1" customWidth="1" style="118" min="14" max="14"/>
    <col width="9.140625" customWidth="1" style="118" min="15" max="16384"/>
  </cols>
  <sheetData>
    <row r="1" ht="17.25" customHeight="1" s="453" thickBot="1">
      <c r="A1" s="130" t="inlineStr">
        <is>
          <t>MMDD</t>
        </is>
      </c>
      <c r="B1" s="130" t="inlineStr">
        <is>
          <t>FX</t>
        </is>
      </c>
      <c r="C1" s="487" t="inlineStr">
        <is>
          <t>序</t>
        </is>
      </c>
      <c r="D1" s="487" t="inlineStr">
        <is>
          <t>分店</t>
        </is>
      </c>
      <c r="E1" s="487" t="inlineStr">
        <is>
          <t>商品碼</t>
        </is>
      </c>
      <c r="F1" s="551" t="n"/>
      <c r="G1" s="487" t="inlineStr">
        <is>
          <t>商品名稱</t>
        </is>
      </c>
      <c r="H1" s="552" t="n"/>
      <c r="I1" s="552" t="n"/>
      <c r="J1" s="551" t="n"/>
      <c r="K1" s="487" t="inlineStr">
        <is>
          <t>容量</t>
        </is>
      </c>
      <c r="L1" s="487" t="inlineStr">
        <is>
          <t>領用數量</t>
        </is>
      </c>
      <c r="M1" s="137" t="inlineStr">
        <is>
          <t>廠商品碼</t>
        </is>
      </c>
      <c r="N1" s="117" t="n"/>
    </row>
    <row r="2" ht="17.25" customHeight="1" s="453" thickBot="1">
      <c r="A2" s="553">
        <f>IFERROR(LEFT(B2,7),"")</f>
        <v/>
      </c>
      <c r="B2" s="554">
        <f>"2025/06"&amp;D2</f>
        <v/>
      </c>
      <c r="C2" s="555" t="n">
        <v>1</v>
      </c>
      <c r="D2" s="486" t="inlineStr">
        <is>
          <t>站前4樓</t>
        </is>
      </c>
      <c r="E2" s="486" t="inlineStr">
        <is>
          <t>6120002</t>
        </is>
      </c>
      <c r="F2" s="551" t="n"/>
      <c r="G2" s="486" t="inlineStr">
        <is>
          <t>(V)卡妮丁注射劑/ 瓶，220倍數叫貨</t>
        </is>
      </c>
      <c r="H2" s="552" t="n"/>
      <c r="I2" s="552" t="n"/>
      <c r="J2" s="551" t="n"/>
      <c r="K2" s="486" t="inlineStr">
        <is>
          <t>20支/盒</t>
        </is>
      </c>
      <c r="L2" s="556" t="n">
        <v>0.5</v>
      </c>
      <c r="M2" s="123" t="inlineStr">
        <is>
          <t>MB3ME090002A</t>
        </is>
      </c>
      <c r="N2" s="117" t="n"/>
    </row>
    <row r="3" ht="17.25" customHeight="1" s="453" thickBot="1">
      <c r="A3" s="553">
        <f>IFERROR(LEFT(B3,7),"")</f>
        <v/>
      </c>
      <c r="B3" s="554">
        <f>"2025/06"&amp;D3</f>
        <v/>
      </c>
      <c r="C3" s="555" t="n">
        <v>2</v>
      </c>
      <c r="D3" s="486" t="inlineStr">
        <is>
          <t>站前4樓</t>
        </is>
      </c>
      <c r="E3" s="486" t="inlineStr">
        <is>
          <t>6120003</t>
        </is>
      </c>
      <c r="F3" s="551" t="n"/>
      <c r="G3" s="486" t="inlineStr">
        <is>
          <t>(V)貝力多(雙胜胺) 20% 30mL/ 瓶，10倍數叫貨</t>
        </is>
      </c>
      <c r="H3" s="552" t="n"/>
      <c r="I3" s="552" t="n"/>
      <c r="J3" s="551" t="n"/>
      <c r="K3" s="486" t="inlineStr">
        <is>
          <t>10支/盒</t>
        </is>
      </c>
      <c r="L3" s="556" t="n">
        <v>3</v>
      </c>
      <c r="M3" s="123" t="inlineStr">
        <is>
          <t>MB3ME090003A</t>
        </is>
      </c>
      <c r="N3" s="117" t="n"/>
    </row>
    <row r="4" ht="17.25" customHeight="1" s="453" thickBot="1">
      <c r="A4" s="553">
        <f>IFERROR(LEFT(B4,7),"")</f>
        <v/>
      </c>
      <c r="B4" s="554">
        <f>"2025/06"&amp;D4</f>
        <v/>
      </c>
      <c r="C4" s="555" t="n">
        <v>3</v>
      </c>
      <c r="D4" s="486" t="inlineStr">
        <is>
          <t>站前4樓</t>
        </is>
      </c>
      <c r="E4" s="486" t="inlineStr">
        <is>
          <t>6120004</t>
        </is>
      </c>
      <c r="F4" s="551" t="n"/>
      <c r="G4" s="486" t="inlineStr">
        <is>
          <t>(V)胺基酸點滴250ml/ 袋(安命活源/嘉安命)，20倍數叫貨</t>
        </is>
      </c>
      <c r="H4" s="552" t="n"/>
      <c r="I4" s="552" t="n"/>
      <c r="J4" s="551" t="n"/>
      <c r="K4" s="486" t="inlineStr">
        <is>
          <t>(20瓶/箱)</t>
        </is>
      </c>
      <c r="L4" s="556" t="n">
        <v>6</v>
      </c>
      <c r="M4" s="123" t="inlineStr">
        <is>
          <t>MB3ME090006A</t>
        </is>
      </c>
      <c r="N4" s="117" t="n"/>
    </row>
    <row r="5" ht="17.25" customHeight="1" s="453" thickBot="1">
      <c r="A5" s="553">
        <f>IFERROR(LEFT(B5,7),"")</f>
        <v/>
      </c>
      <c r="B5" s="554">
        <f>"2025/06"&amp;D5</f>
        <v/>
      </c>
      <c r="C5" s="555" t="n">
        <v>4</v>
      </c>
      <c r="D5" s="486" t="inlineStr">
        <is>
          <t>站前4樓</t>
        </is>
      </c>
      <c r="E5" s="486" t="inlineStr">
        <is>
          <t>6120006</t>
        </is>
      </c>
      <c r="F5" s="551" t="n"/>
      <c r="G5" s="486" t="inlineStr">
        <is>
          <t>(V)(B12) 愛壽命 2mL，100倍數叫貨</t>
        </is>
      </c>
      <c r="H5" s="552" t="n"/>
      <c r="I5" s="552" t="n"/>
      <c r="J5" s="551" t="n"/>
      <c r="K5" s="486" t="inlineStr">
        <is>
          <t>(100支/盒)</t>
        </is>
      </c>
      <c r="L5" s="556" t="n">
        <v>1</v>
      </c>
      <c r="M5" s="123" t="inlineStr">
        <is>
          <t>MB3ME090011A</t>
        </is>
      </c>
      <c r="N5" s="117" t="n"/>
    </row>
    <row r="6" ht="17.25" customHeight="1" s="453" thickBot="1">
      <c r="A6" s="553">
        <f>IFERROR(LEFT(B6,7),"")</f>
        <v/>
      </c>
      <c r="B6" s="554">
        <f>"2025/06"&amp;D6</f>
        <v/>
      </c>
      <c r="C6" s="555" t="n">
        <v>5</v>
      </c>
      <c r="D6" s="486" t="inlineStr">
        <is>
          <t>站前4樓</t>
        </is>
      </c>
      <c r="E6" s="486" t="inlineStr">
        <is>
          <t>6120013</t>
        </is>
      </c>
      <c r="F6" s="551" t="n"/>
      <c r="G6" s="486" t="inlineStr">
        <is>
          <t>(V)生理食鹽水(NS) 250ml/ 袋</t>
        </is>
      </c>
      <c r="H6" s="552" t="n"/>
      <c r="I6" s="552" t="n"/>
      <c r="J6" s="551" t="n"/>
      <c r="K6" s="486" t="inlineStr">
        <is>
          <t>55瓶/箱</t>
        </is>
      </c>
      <c r="L6" s="556" t="n">
        <v>37</v>
      </c>
      <c r="M6" s="123" t="inlineStr">
        <is>
          <t>MB3ME090008A</t>
        </is>
      </c>
      <c r="N6" s="117" t="n"/>
    </row>
    <row r="7" ht="17.25" customHeight="1" s="453" thickBot="1">
      <c r="A7" s="553">
        <f>IFERROR(LEFT(B7,7),"")</f>
        <v/>
      </c>
      <c r="B7" s="554">
        <f>"2025/06"&amp;D7</f>
        <v/>
      </c>
      <c r="C7" s="555" t="n">
        <v>6</v>
      </c>
      <c r="D7" s="486" t="inlineStr">
        <is>
          <t>站前4樓</t>
        </is>
      </c>
      <c r="E7" s="486" t="inlineStr">
        <is>
          <t>6120015</t>
        </is>
      </c>
      <c r="F7" s="551" t="n"/>
      <c r="G7" s="486" t="inlineStr">
        <is>
          <t>(V)(B群)淘能美複合維他命B 2ml，100倍數叫貨</t>
        </is>
      </c>
      <c r="H7" s="552" t="n"/>
      <c r="I7" s="552" t="n"/>
      <c r="J7" s="551" t="n"/>
      <c r="K7" s="486" t="n"/>
      <c r="L7" s="556" t="n">
        <v>40</v>
      </c>
      <c r="M7" s="123" t="inlineStr">
        <is>
          <t>MB3ME090014A</t>
        </is>
      </c>
      <c r="N7" s="117" t="n"/>
    </row>
    <row r="8" ht="17.25" customHeight="1" s="453" thickBot="1">
      <c r="A8" s="553">
        <f>IFERROR(LEFT(B8,7),"")</f>
        <v/>
      </c>
      <c r="B8" s="554">
        <f>"2025/06"&amp;D8</f>
        <v/>
      </c>
      <c r="C8" s="555" t="n">
        <v>7</v>
      </c>
      <c r="D8" s="486" t="inlineStr">
        <is>
          <t>站前4樓</t>
        </is>
      </c>
      <c r="E8" s="486" t="inlineStr">
        <is>
          <t>6120016</t>
        </is>
      </c>
      <c r="F8" s="551" t="n"/>
      <c r="G8" s="486" t="inlineStr">
        <is>
          <t>(V)(榖胱肝肽) 克樂達養200mg (20ml/瓶)</t>
        </is>
      </c>
      <c r="H8" s="552" t="n"/>
      <c r="I8" s="552" t="n"/>
      <c r="J8" s="551" t="n"/>
      <c r="K8" s="486" t="inlineStr">
        <is>
          <t>50支/盒</t>
        </is>
      </c>
      <c r="L8" s="556" t="n">
        <v>38</v>
      </c>
      <c r="M8" s="123" t="inlineStr">
        <is>
          <t>MB3ME090015A</t>
        </is>
      </c>
      <c r="N8" s="117" t="n"/>
    </row>
    <row r="9" ht="17.25" customHeight="1" s="453" thickBot="1">
      <c r="A9" s="553">
        <f>IFERROR(LEFT(B9,7),"")</f>
        <v/>
      </c>
      <c r="B9" s="554">
        <f>"2025/06"&amp;D9</f>
        <v/>
      </c>
      <c r="C9" s="555" t="n">
        <v>8</v>
      </c>
      <c r="D9" s="486" t="inlineStr">
        <is>
          <t>站前4樓</t>
        </is>
      </c>
      <c r="E9" s="486" t="inlineStr">
        <is>
          <t>6120018</t>
        </is>
      </c>
      <c r="F9" s="551" t="n"/>
      <c r="G9" s="486" t="inlineStr">
        <is>
          <t>(V)(傳明酸)止血明 5ml/支</t>
        </is>
      </c>
      <c r="H9" s="552" t="n"/>
      <c r="I9" s="552" t="n"/>
      <c r="J9" s="551" t="n"/>
      <c r="K9" s="486" t="inlineStr">
        <is>
          <t>50支/盒</t>
        </is>
      </c>
      <c r="L9" s="556" t="n">
        <v>9</v>
      </c>
      <c r="M9" s="123" t="inlineStr">
        <is>
          <t>MB3ME090023A</t>
        </is>
      </c>
      <c r="N9" s="117" t="n"/>
    </row>
    <row r="10" ht="17.25" customHeight="1" s="453" thickBot="1">
      <c r="A10" s="553">
        <f>IFERROR(LEFT(B10,7),"")</f>
        <v/>
      </c>
      <c r="B10" s="554">
        <f>"2025/06"&amp;D10</f>
        <v/>
      </c>
      <c r="C10" s="555" t="n">
        <v>9</v>
      </c>
      <c r="D10" s="486" t="inlineStr">
        <is>
          <t>站前4樓</t>
        </is>
      </c>
      <c r="E10" s="486" t="inlineStr">
        <is>
          <t>6120020</t>
        </is>
      </c>
      <c r="F10" s="551" t="n"/>
      <c r="G10" s="486" t="inlineStr">
        <is>
          <t>(V)(Vit C) 抗壞血酸 2mL，100倍數下單</t>
        </is>
      </c>
      <c r="H10" s="552" t="n"/>
      <c r="I10" s="552" t="n"/>
      <c r="J10" s="551" t="n"/>
      <c r="K10" s="486" t="inlineStr">
        <is>
          <t>100支/盒</t>
        </is>
      </c>
      <c r="L10" s="556" t="n">
        <v>33</v>
      </c>
      <c r="M10" s="123" t="inlineStr">
        <is>
          <t>MB3ME090010A</t>
        </is>
      </c>
      <c r="N10" s="117" t="n"/>
    </row>
    <row r="11" ht="17.25" customHeight="1" s="453" thickBot="1">
      <c r="A11" s="553">
        <f>IFERROR(LEFT(B11,7),"")</f>
        <v/>
      </c>
      <c r="B11" s="554">
        <f>"2025/06"&amp;D11</f>
        <v/>
      </c>
      <c r="C11" s="555" t="n">
        <v>10</v>
      </c>
      <c r="D11" s="486" t="inlineStr">
        <is>
          <t>站前4樓</t>
        </is>
      </c>
      <c r="E11" s="486" t="inlineStr">
        <is>
          <t>6120021</t>
        </is>
      </c>
      <c r="F11" s="551" t="n"/>
      <c r="G11" s="486" t="inlineStr">
        <is>
          <t>(V)(Vit C)(抗壞血酸/諾貝爾)20ml，50倍數下單</t>
        </is>
      </c>
      <c r="H11" s="552" t="n"/>
      <c r="I11" s="552" t="n"/>
      <c r="J11" s="551" t="n"/>
      <c r="K11" s="486" t="inlineStr">
        <is>
          <t>50支/盒</t>
        </is>
      </c>
      <c r="L11" s="556" t="n">
        <v>40</v>
      </c>
      <c r="M11" s="123" t="inlineStr">
        <is>
          <t>MB3ME090009A</t>
        </is>
      </c>
      <c r="N11" s="117" t="n"/>
    </row>
    <row r="12" ht="17.25" customHeight="1" s="453" thickBot="1">
      <c r="A12" s="553">
        <f>IFERROR(LEFT(B12,7),"")</f>
        <v/>
      </c>
      <c r="B12" s="554">
        <f>"2025/06"&amp;D12</f>
        <v/>
      </c>
      <c r="C12" s="555" t="n">
        <v>11</v>
      </c>
      <c r="D12" s="486" t="inlineStr">
        <is>
          <t>站前4樓</t>
        </is>
      </c>
      <c r="E12" s="486" t="inlineStr">
        <is>
          <t>6120030</t>
        </is>
      </c>
      <c r="F12" s="551" t="n"/>
      <c r="G12" s="486" t="inlineStr">
        <is>
          <t>(V)克多炎 Keto 1ml</t>
        </is>
      </c>
      <c r="H12" s="552" t="n"/>
      <c r="I12" s="552" t="n"/>
      <c r="J12" s="551" t="n"/>
      <c r="K12" s="486" t="inlineStr">
        <is>
          <t>100支/盒</t>
        </is>
      </c>
      <c r="L12" s="556" t="n">
        <v>2</v>
      </c>
      <c r="M12" s="123" t="inlineStr">
        <is>
          <t>MB3ME090030A</t>
        </is>
      </c>
      <c r="N12" s="117" t="n"/>
    </row>
    <row r="13" ht="17.25" customHeight="1" s="453" thickBot="1">
      <c r="A13" s="553">
        <f>IFERROR(LEFT(B13,7),"")</f>
        <v/>
      </c>
      <c r="B13" s="554">
        <f>"2025/06"&amp;D13</f>
        <v/>
      </c>
      <c r="C13" s="555" t="n">
        <v>12</v>
      </c>
      <c r="D13" s="486" t="inlineStr">
        <is>
          <t>站前4樓</t>
        </is>
      </c>
      <c r="E13" s="486" t="inlineStr">
        <is>
          <t>6140001</t>
        </is>
      </c>
      <c r="F13" s="551" t="n"/>
      <c r="G13" s="486" t="inlineStr">
        <is>
          <t>(V)保妥適Botox/ u</t>
        </is>
      </c>
      <c r="H13" s="552" t="n"/>
      <c r="I13" s="552" t="n"/>
      <c r="J13" s="551" t="n"/>
      <c r="K13" s="486" t="inlineStr">
        <is>
          <t>u</t>
        </is>
      </c>
      <c r="L13" s="556" t="n">
        <v>3519</v>
      </c>
      <c r="M13" s="123" t="inlineStr">
        <is>
          <t>MB3ME100001A</t>
        </is>
      </c>
      <c r="N13" s="117" t="n"/>
    </row>
    <row r="14" ht="17.25" customHeight="1" s="453" thickBot="1">
      <c r="A14" s="553">
        <f>IFERROR(LEFT(B14,7),"")</f>
        <v/>
      </c>
      <c r="B14" s="554">
        <f>"2025/06"&amp;D14</f>
        <v/>
      </c>
      <c r="C14" s="555" t="n">
        <v>13</v>
      </c>
      <c r="D14" s="486" t="inlineStr">
        <is>
          <t>站前4樓</t>
        </is>
      </c>
      <c r="E14" s="486" t="inlineStr">
        <is>
          <t>6140003</t>
        </is>
      </c>
      <c r="F14" s="551" t="n"/>
      <c r="G14" s="486" t="inlineStr">
        <is>
          <t>(V)保提拉肉毒Letybo/ u</t>
        </is>
      </c>
      <c r="H14" s="552" t="n"/>
      <c r="I14" s="552" t="n"/>
      <c r="J14" s="551" t="n"/>
      <c r="K14" s="486" t="inlineStr">
        <is>
          <t>u</t>
        </is>
      </c>
      <c r="L14" s="556" t="n">
        <v>5258</v>
      </c>
      <c r="M14" s="123" t="inlineStr">
        <is>
          <t>MB3ME100002A</t>
        </is>
      </c>
      <c r="N14" s="117" t="n"/>
    </row>
    <row r="15" ht="17.25" customHeight="1" s="453" thickBot="1">
      <c r="A15" s="553">
        <f>IFERROR(LEFT(B15,7),"")</f>
        <v/>
      </c>
      <c r="B15" s="554">
        <f>"2025/06"&amp;D15</f>
        <v/>
      </c>
      <c r="C15" s="555" t="n">
        <v>14</v>
      </c>
      <c r="D15" s="486" t="inlineStr">
        <is>
          <t>站前4樓</t>
        </is>
      </c>
      <c r="E15" s="486" t="inlineStr">
        <is>
          <t>6140005</t>
        </is>
      </c>
      <c r="F15" s="551" t="n"/>
      <c r="G15" s="486" t="inlineStr">
        <is>
          <t>(V)奇肌肉毒/ u</t>
        </is>
      </c>
      <c r="H15" s="552" t="n"/>
      <c r="I15" s="552" t="n"/>
      <c r="J15" s="551" t="n"/>
      <c r="K15" s="486" t="inlineStr">
        <is>
          <t>u</t>
        </is>
      </c>
      <c r="L15" s="556" t="n">
        <v>2484</v>
      </c>
      <c r="M15" s="123" t="inlineStr">
        <is>
          <t>MB3ME100003A</t>
        </is>
      </c>
      <c r="N15" s="117" t="n"/>
    </row>
    <row r="16" ht="17.25" customHeight="1" s="453" thickBot="1">
      <c r="A16" s="553">
        <f>IFERROR(LEFT(B16,7),"")</f>
        <v/>
      </c>
      <c r="B16" s="554">
        <f>"2025/06"&amp;D16</f>
        <v/>
      </c>
      <c r="C16" s="555" t="n">
        <v>15</v>
      </c>
      <c r="D16" s="486" t="inlineStr">
        <is>
          <t>站前4樓</t>
        </is>
      </c>
      <c r="E16" s="486" t="inlineStr">
        <is>
          <t>6150001</t>
        </is>
      </c>
      <c r="F16" s="551" t="n"/>
      <c r="G16" s="486" t="inlineStr">
        <is>
          <t>(V)喬雅登-豐麗緹玻尿酸植入物Voluma 1ml</t>
        </is>
      </c>
      <c r="H16" s="552" t="n"/>
      <c r="I16" s="552" t="n"/>
      <c r="J16" s="551" t="n"/>
      <c r="K16" s="486" t="inlineStr">
        <is>
          <t>1ml(2ml/盒)</t>
        </is>
      </c>
      <c r="L16" s="556" t="n">
        <v>47</v>
      </c>
      <c r="M16" s="123" t="inlineStr">
        <is>
          <t>MP1MA020019A</t>
        </is>
      </c>
      <c r="N16" s="117" t="n"/>
    </row>
    <row r="17" ht="17.25" customHeight="1" s="453" thickBot="1">
      <c r="A17" s="553">
        <f>IFERROR(LEFT(B17,7),"")</f>
        <v/>
      </c>
      <c r="B17" s="554">
        <f>"2025/06"&amp;D17</f>
        <v/>
      </c>
      <c r="C17" s="555" t="n">
        <v>16</v>
      </c>
      <c r="D17" s="486" t="inlineStr">
        <is>
          <t>站前4樓</t>
        </is>
      </c>
      <c r="E17" s="486" t="inlineStr">
        <is>
          <t>6150002</t>
        </is>
      </c>
      <c r="F17" s="551" t="n"/>
      <c r="G17" s="486" t="inlineStr">
        <is>
          <t>(V)喬雅登-夢蓓菈玻尿酸植入物Volbella 1ml</t>
        </is>
      </c>
      <c r="H17" s="552" t="n"/>
      <c r="I17" s="552" t="n"/>
      <c r="J17" s="551" t="n"/>
      <c r="K17" s="486" t="inlineStr">
        <is>
          <t>1ml(2ml/盒)</t>
        </is>
      </c>
      <c r="L17" s="556" t="n">
        <v>3</v>
      </c>
      <c r="M17" s="123" t="inlineStr">
        <is>
          <t>MP1MA020020A</t>
        </is>
      </c>
      <c r="N17" s="117" t="n"/>
    </row>
    <row r="18" ht="17.25" customHeight="1" s="453" thickBot="1">
      <c r="A18" s="553">
        <f>IFERROR(LEFT(B18,7),"")</f>
        <v/>
      </c>
      <c r="B18" s="554">
        <f>"2025/06"&amp;D18</f>
        <v/>
      </c>
      <c r="C18" s="555" t="n">
        <v>17</v>
      </c>
      <c r="D18" s="486" t="inlineStr">
        <is>
          <t>站前4樓</t>
        </is>
      </c>
      <c r="E18" s="486" t="inlineStr">
        <is>
          <t>6150003</t>
        </is>
      </c>
      <c r="F18" s="551" t="n"/>
      <c r="G18" s="486" t="inlineStr">
        <is>
          <t>(V)喬雅登-豐麗緹玻尿酸植入物Volift 1ml</t>
        </is>
      </c>
      <c r="H18" s="552" t="n"/>
      <c r="I18" s="552" t="n"/>
      <c r="J18" s="551" t="n"/>
      <c r="K18" s="486" t="inlineStr">
        <is>
          <t>1ml(2ml/盒)</t>
        </is>
      </c>
      <c r="L18" s="556" t="n">
        <v>3</v>
      </c>
      <c r="M18" s="123" t="inlineStr">
        <is>
          <t>MP1MA020021A</t>
        </is>
      </c>
      <c r="N18" s="117" t="n"/>
    </row>
    <row r="19" ht="17.25" customHeight="1" s="453" thickBot="1">
      <c r="A19" s="553">
        <f>IFERROR(LEFT(B19,7),"")</f>
        <v/>
      </c>
      <c r="B19" s="554">
        <f>"2025/06"&amp;D19</f>
        <v/>
      </c>
      <c r="C19" s="555" t="n">
        <v>18</v>
      </c>
      <c r="D19" s="486" t="inlineStr">
        <is>
          <t>站前4樓</t>
        </is>
      </c>
      <c r="E19" s="486" t="inlineStr">
        <is>
          <t>6150004</t>
        </is>
      </c>
      <c r="F19" s="551" t="n"/>
      <c r="G19" s="486" t="inlineStr">
        <is>
          <t>(V)喬雅登-豐塑玻尿酸植入物Volux 1ml</t>
        </is>
      </c>
      <c r="H19" s="552" t="n"/>
      <c r="I19" s="552" t="n"/>
      <c r="J19" s="551" t="n"/>
      <c r="K19" s="486" t="inlineStr">
        <is>
          <t>1ml(2ml/盒)</t>
        </is>
      </c>
      <c r="L19" s="556" t="n">
        <v>14</v>
      </c>
      <c r="M19" s="123" t="inlineStr">
        <is>
          <t>MP1MA020022A</t>
        </is>
      </c>
      <c r="N19" s="117" t="n"/>
    </row>
    <row r="20" ht="17.25" customHeight="1" s="453" thickBot="1">
      <c r="A20" s="553">
        <f>IFERROR(LEFT(B20,7),"")</f>
        <v/>
      </c>
      <c r="B20" s="554">
        <f>"2025/06"&amp;D20</f>
        <v/>
      </c>
      <c r="C20" s="555" t="n">
        <v>19</v>
      </c>
      <c r="D20" s="486" t="inlineStr">
        <is>
          <t>站前4樓</t>
        </is>
      </c>
      <c r="E20" s="486" t="inlineStr">
        <is>
          <t>6150010</t>
        </is>
      </c>
      <c r="F20" s="551" t="n"/>
      <c r="G20" s="486" t="inlineStr">
        <is>
          <t>(V)仙女玻尿酸大分子 1ml</t>
        </is>
      </c>
      <c r="H20" s="552" t="n"/>
      <c r="I20" s="552" t="n"/>
      <c r="J20" s="551" t="n"/>
      <c r="K20" s="486" t="inlineStr">
        <is>
          <t>1ml(1ml/盒)</t>
        </is>
      </c>
      <c r="L20" s="556" t="n">
        <v>72</v>
      </c>
      <c r="M20" s="123" t="inlineStr">
        <is>
          <t>MP1MA020014A</t>
        </is>
      </c>
      <c r="N20" s="117" t="n"/>
    </row>
    <row r="21" ht="17.25" customHeight="1" s="453" thickBot="1">
      <c r="A21" s="553">
        <f>IFERROR(LEFT(B21,7),"")</f>
        <v/>
      </c>
      <c r="B21" s="554">
        <f>"2025/06"&amp;D21</f>
        <v/>
      </c>
      <c r="C21" s="555" t="n">
        <v>20</v>
      </c>
      <c r="D21" s="486" t="inlineStr">
        <is>
          <t>站前4樓</t>
        </is>
      </c>
      <c r="E21" s="486" t="inlineStr">
        <is>
          <t>6150011</t>
        </is>
      </c>
      <c r="F21" s="551" t="n"/>
      <c r="G21" s="486" t="inlineStr">
        <is>
          <t>(V)仙女玻尿酸小分子 1ml</t>
        </is>
      </c>
      <c r="H21" s="552" t="n"/>
      <c r="I21" s="552" t="n"/>
      <c r="J21" s="551" t="n"/>
      <c r="K21" s="486" t="inlineStr">
        <is>
          <t>1ml(1ml/盒)</t>
        </is>
      </c>
      <c r="L21" s="556" t="n">
        <v>10</v>
      </c>
      <c r="M21" s="123" t="inlineStr">
        <is>
          <t>MP1MA020018A</t>
        </is>
      </c>
      <c r="N21" s="117" t="n"/>
    </row>
    <row r="22" ht="17.25" customHeight="1" s="453" thickBot="1">
      <c r="A22" s="553">
        <f>IFERROR(LEFT(B22,7),"")</f>
        <v/>
      </c>
      <c r="B22" s="554">
        <f>"2025/06"&amp;D22</f>
        <v/>
      </c>
      <c r="C22" s="555" t="n">
        <v>21</v>
      </c>
      <c r="D22" s="486" t="inlineStr">
        <is>
          <t>站前4樓</t>
        </is>
      </c>
      <c r="E22" s="486" t="inlineStr">
        <is>
          <t>6160002</t>
        </is>
      </c>
      <c r="F22" s="551" t="n"/>
      <c r="G22" s="486" t="inlineStr">
        <is>
          <t>(V)洢蓮絲植入劑ELLANSÉ-S 1ml</t>
        </is>
      </c>
      <c r="H22" s="552" t="n"/>
      <c r="I22" s="552" t="n"/>
      <c r="J22" s="551" t="n"/>
      <c r="K22" s="486" t="inlineStr">
        <is>
          <t>1ml(2ml/盒)</t>
        </is>
      </c>
      <c r="L22" s="556" t="n">
        <v>78</v>
      </c>
      <c r="M22" s="123" t="inlineStr">
        <is>
          <t>MP1MA020024A</t>
        </is>
      </c>
      <c r="N22" s="117" t="n"/>
    </row>
    <row r="23" ht="17.25" customHeight="1" s="453" thickBot="1">
      <c r="A23" s="553">
        <f>IFERROR(LEFT(B23,7),"")</f>
        <v/>
      </c>
      <c r="B23" s="554">
        <f>"2025/06"&amp;D23</f>
        <v/>
      </c>
      <c r="C23" s="555" t="n">
        <v>22</v>
      </c>
      <c r="D23" s="486" t="inlineStr">
        <is>
          <t>站前4樓</t>
        </is>
      </c>
      <c r="E23" s="486" t="inlineStr">
        <is>
          <t>6160003</t>
        </is>
      </c>
      <c r="F23" s="551" t="n"/>
      <c r="G23" s="486" t="inlineStr">
        <is>
          <t>(V)洢蓮絲植入劑ELLANSÉ-M 1ml</t>
        </is>
      </c>
      <c r="H23" s="552" t="n"/>
      <c r="I23" s="552" t="n"/>
      <c r="J23" s="551" t="n"/>
      <c r="K23" s="486" t="inlineStr">
        <is>
          <t>1ml(2ml/盒)</t>
        </is>
      </c>
      <c r="L23" s="556" t="n">
        <v>11</v>
      </c>
      <c r="M23" s="123" t="inlineStr">
        <is>
          <t>MP1MA020025A</t>
        </is>
      </c>
      <c r="N23" s="117" t="n"/>
    </row>
    <row r="24" ht="17.25" customHeight="1" s="453" thickBot="1">
      <c r="A24" s="553">
        <f>IFERROR(LEFT(B24,7),"")</f>
        <v/>
      </c>
      <c r="B24" s="554">
        <f>"2025/06"&amp;D24</f>
        <v/>
      </c>
      <c r="C24" s="555" t="n">
        <v>23</v>
      </c>
      <c r="D24" s="486" t="inlineStr">
        <is>
          <t>站前4樓</t>
        </is>
      </c>
      <c r="E24" s="486" t="inlineStr">
        <is>
          <t>6160005</t>
        </is>
      </c>
      <c r="F24" s="551" t="n"/>
      <c r="G24" s="486" t="inlineStr">
        <is>
          <t>(V)双美熊貓針</t>
        </is>
      </c>
      <c r="H24" s="552" t="n"/>
      <c r="I24" s="552" t="n"/>
      <c r="J24" s="551" t="n"/>
      <c r="K24" s="486" t="inlineStr">
        <is>
          <t>(1ml/盒)</t>
        </is>
      </c>
      <c r="L24" s="556" t="n">
        <v>4</v>
      </c>
      <c r="M24" s="123" t="inlineStr">
        <is>
          <t>MP1MA020015A</t>
        </is>
      </c>
      <c r="N24" s="117" t="n"/>
    </row>
    <row r="25" ht="17.25" customHeight="1" s="453" thickBot="1">
      <c r="A25" s="553">
        <f>IFERROR(LEFT(B25,7),"")</f>
        <v/>
      </c>
      <c r="B25" s="554">
        <f>"2025/06"&amp;D25</f>
        <v/>
      </c>
      <c r="C25" s="555" t="n">
        <v>24</v>
      </c>
      <c r="D25" s="486" t="inlineStr">
        <is>
          <t>站前4樓</t>
        </is>
      </c>
      <c r="E25" s="486" t="inlineStr">
        <is>
          <t>6160008</t>
        </is>
      </c>
      <c r="F25" s="551" t="n"/>
      <c r="G25" s="486" t="inlineStr">
        <is>
          <t>白童針-薇貝拉50mg/1cc</t>
        </is>
      </c>
      <c r="H25" s="552" t="n"/>
      <c r="I25" s="552" t="n"/>
      <c r="J25" s="551" t="n"/>
      <c r="K25" s="486" t="inlineStr">
        <is>
          <t>6cc/瓶</t>
        </is>
      </c>
      <c r="L25" s="556" t="n">
        <v>196</v>
      </c>
      <c r="M25" s="123" t="inlineStr">
        <is>
          <t>MP1MA020032A</t>
        </is>
      </c>
      <c r="N25" s="117" t="n"/>
    </row>
    <row r="26" ht="17.25" customHeight="1" s="453" thickBot="1">
      <c r="A26" s="553">
        <f>IFERROR(LEFT(B26,7),"")</f>
        <v/>
      </c>
      <c r="B26" s="554">
        <f>"2025/06"&amp;D26</f>
        <v/>
      </c>
      <c r="C26" s="555" t="n">
        <v>25</v>
      </c>
      <c r="D26" s="486" t="inlineStr">
        <is>
          <t>站前4樓</t>
        </is>
      </c>
      <c r="E26" s="486" t="inlineStr">
        <is>
          <t>6160009</t>
        </is>
      </c>
      <c r="F26" s="551" t="n"/>
      <c r="G26" s="486" t="inlineStr">
        <is>
          <t>黑童針-薇貝拉200mg/1cc</t>
        </is>
      </c>
      <c r="H26" s="552" t="n"/>
      <c r="I26" s="552" t="n"/>
      <c r="J26" s="551" t="n"/>
      <c r="K26" s="486" t="inlineStr">
        <is>
          <t>8cc/瓶</t>
        </is>
      </c>
      <c r="L26" s="556" t="n">
        <v>210</v>
      </c>
      <c r="M26" s="123" t="inlineStr">
        <is>
          <t>MP1MA020033A</t>
        </is>
      </c>
      <c r="N26" s="117" t="n"/>
    </row>
    <row r="27" ht="17.25" customHeight="1" s="453" thickBot="1">
      <c r="A27" s="553">
        <f>IFERROR(LEFT(B27,7),"")</f>
        <v/>
      </c>
      <c r="B27" s="554">
        <f>"2025/06"&amp;D27</f>
        <v/>
      </c>
      <c r="C27" s="555" t="n">
        <v>26</v>
      </c>
      <c r="D27" s="486" t="inlineStr">
        <is>
          <t>站前4樓</t>
        </is>
      </c>
      <c r="E27" s="486" t="inlineStr">
        <is>
          <t>6160010</t>
        </is>
      </c>
      <c r="F27" s="551" t="n"/>
      <c r="G27" s="486" t="inlineStr">
        <is>
          <t>喬雅露-大分子200mg/1cc</t>
        </is>
      </c>
      <c r="H27" s="552" t="n"/>
      <c r="I27" s="552" t="n"/>
      <c r="J27" s="551" t="n"/>
      <c r="K27" s="486" t="inlineStr">
        <is>
          <t>8cc/瓶</t>
        </is>
      </c>
      <c r="L27" s="556" t="n">
        <v>38</v>
      </c>
      <c r="M27" s="123" t="inlineStr">
        <is>
          <t>MP1MA020031A</t>
        </is>
      </c>
      <c r="N27" s="117" t="n"/>
    </row>
    <row r="28" ht="17.25" customHeight="1" s="453" thickBot="1">
      <c r="A28" s="553">
        <f>IFERROR(LEFT(B28,7),"")</f>
        <v/>
      </c>
      <c r="B28" s="554">
        <f>"2025/06"&amp;D28</f>
        <v/>
      </c>
      <c r="C28" s="555" t="n">
        <v>27</v>
      </c>
      <c r="D28" s="486" t="inlineStr">
        <is>
          <t>站前4樓</t>
        </is>
      </c>
      <c r="E28" s="486" t="inlineStr">
        <is>
          <t>6160011</t>
        </is>
      </c>
      <c r="F28" s="551" t="n"/>
      <c r="G28" s="486" t="inlineStr">
        <is>
          <t>喬雅露-小分子50mg/1cc</t>
        </is>
      </c>
      <c r="H28" s="552" t="n"/>
      <c r="I28" s="552" t="n"/>
      <c r="J28" s="551" t="n"/>
      <c r="K28" s="486" t="inlineStr">
        <is>
          <t>6cc/瓶</t>
        </is>
      </c>
      <c r="L28" s="556" t="n">
        <v>153</v>
      </c>
      <c r="M28" s="123" t="inlineStr">
        <is>
          <t>MP1MA020030A</t>
        </is>
      </c>
      <c r="N28" s="117" t="n"/>
    </row>
    <row r="29" ht="17.25" customHeight="1" s="453" thickBot="1">
      <c r="A29" s="553">
        <f>IFERROR(LEFT(B29,7),"")</f>
        <v/>
      </c>
      <c r="B29" s="554">
        <f>"2025/06"&amp;D29</f>
        <v/>
      </c>
      <c r="C29" s="555" t="n">
        <v>28</v>
      </c>
      <c r="D29" s="486" t="inlineStr">
        <is>
          <t>站前4樓</t>
        </is>
      </c>
      <c r="E29" s="486" t="inlineStr">
        <is>
          <t>6170005</t>
        </is>
      </c>
      <c r="F29" s="551" t="n"/>
      <c r="G29" s="486" t="inlineStr">
        <is>
          <t>海芙三代音波探頭2mm/ 條</t>
        </is>
      </c>
      <c r="H29" s="552" t="n"/>
      <c r="I29" s="552" t="n"/>
      <c r="J29" s="551" t="n"/>
      <c r="K29" s="486" t="inlineStr">
        <is>
          <t>20000條/顆</t>
        </is>
      </c>
      <c r="L29" s="556" t="n">
        <v>13469</v>
      </c>
      <c r="M29" s="123" t="inlineStr">
        <is>
          <t>MM2MB040003A</t>
        </is>
      </c>
      <c r="N29" s="117" t="n"/>
    </row>
    <row r="30" ht="17.25" customHeight="1" s="453" thickBot="1">
      <c r="A30" s="553">
        <f>IFERROR(LEFT(B30,7),"")</f>
        <v/>
      </c>
      <c r="B30" s="554">
        <f>"2025/06"&amp;D30</f>
        <v/>
      </c>
      <c r="C30" s="555" t="n">
        <v>29</v>
      </c>
      <c r="D30" s="486" t="inlineStr">
        <is>
          <t>站前4樓</t>
        </is>
      </c>
      <c r="E30" s="486" t="inlineStr">
        <is>
          <t>6170007</t>
        </is>
      </c>
      <c r="F30" s="551" t="n"/>
      <c r="G30" s="486" t="inlineStr">
        <is>
          <t>海芙三代音波探頭3mm/ 條</t>
        </is>
      </c>
      <c r="H30" s="552" t="n"/>
      <c r="I30" s="552" t="n"/>
      <c r="J30" s="551" t="n"/>
      <c r="K30" s="486" t="inlineStr">
        <is>
          <t>20000條/顆</t>
        </is>
      </c>
      <c r="L30" s="556" t="n">
        <v>40840</v>
      </c>
      <c r="M30" s="123" t="inlineStr">
        <is>
          <t>MM2MB040004A</t>
        </is>
      </c>
      <c r="N30" s="117" t="n"/>
    </row>
    <row r="31" ht="17.25" customHeight="1" s="453" thickBot="1">
      <c r="A31" s="553">
        <f>IFERROR(LEFT(B31,7),"")</f>
        <v/>
      </c>
      <c r="B31" s="554">
        <f>"2025/06"&amp;D31</f>
        <v/>
      </c>
      <c r="C31" s="555" t="n">
        <v>30</v>
      </c>
      <c r="D31" s="486" t="inlineStr">
        <is>
          <t>站前4樓</t>
        </is>
      </c>
      <c r="E31" s="486" t="inlineStr">
        <is>
          <t>6170009</t>
        </is>
      </c>
      <c r="F31" s="551" t="n"/>
      <c r="G31" s="486" t="inlineStr">
        <is>
          <t>海芙三代音波探頭4.5mm/ 條</t>
        </is>
      </c>
      <c r="H31" s="552" t="n"/>
      <c r="I31" s="552" t="n"/>
      <c r="J31" s="551" t="n"/>
      <c r="K31" s="486" t="inlineStr">
        <is>
          <t>20000條/顆</t>
        </is>
      </c>
      <c r="L31" s="556" t="n">
        <v>71389</v>
      </c>
      <c r="M31" s="123" t="inlineStr">
        <is>
          <t>MM2MB040005A</t>
        </is>
      </c>
      <c r="N31" s="117" t="n"/>
    </row>
    <row r="32" ht="17.25" customHeight="1" s="453" thickBot="1">
      <c r="A32" s="553">
        <f>IFERROR(LEFT(B32,7),"")</f>
        <v/>
      </c>
      <c r="B32" s="554">
        <f>"2025/06"&amp;D32</f>
        <v/>
      </c>
      <c r="C32" s="555" t="n">
        <v>31</v>
      </c>
      <c r="D32" s="486" t="inlineStr">
        <is>
          <t>站前4樓</t>
        </is>
      </c>
      <c r="E32" s="486" t="inlineStr">
        <is>
          <t>6170011</t>
        </is>
      </c>
      <c r="F32" s="551" t="n"/>
      <c r="G32" s="486" t="inlineStr">
        <is>
          <t>海芙三代音波探頭6mm/ 條</t>
        </is>
      </c>
      <c r="H32" s="552" t="n"/>
      <c r="I32" s="552" t="n"/>
      <c r="J32" s="551" t="n"/>
      <c r="K32" s="486" t="inlineStr">
        <is>
          <t>條</t>
        </is>
      </c>
      <c r="L32" s="556" t="n">
        <v>23379</v>
      </c>
      <c r="M32" s="123" t="inlineStr">
        <is>
          <t>MM2MB040006A</t>
        </is>
      </c>
      <c r="N32" s="117" t="n"/>
    </row>
    <row r="33" ht="17.25" customHeight="1" s="453" thickBot="1">
      <c r="A33" s="553">
        <f>IFERROR(LEFT(B33,7),"")</f>
        <v/>
      </c>
      <c r="B33" s="554">
        <f>"2025/06"&amp;D33</f>
        <v/>
      </c>
      <c r="C33" s="555" t="n">
        <v>32</v>
      </c>
      <c r="D33" s="486" t="inlineStr">
        <is>
          <t>站前4樓</t>
        </is>
      </c>
      <c r="E33" s="486" t="inlineStr">
        <is>
          <t>6170013</t>
        </is>
      </c>
      <c r="F33" s="551" t="n"/>
      <c r="G33" s="486" t="inlineStr">
        <is>
          <t>鳳凰電波4平方公分紫鑽探頭(900發)</t>
        </is>
      </c>
      <c r="H33" s="552" t="n"/>
      <c r="I33" s="552" t="n"/>
      <c r="J33" s="551" t="n"/>
      <c r="K33" s="486" t="inlineStr">
        <is>
          <t>顆</t>
        </is>
      </c>
      <c r="L33" s="556" t="n">
        <v>11</v>
      </c>
      <c r="M33" s="123" t="inlineStr">
        <is>
          <t>MP1MB030002A</t>
        </is>
      </c>
      <c r="N33" s="117" t="n"/>
    </row>
    <row r="34" ht="17.25" customHeight="1" s="453" thickBot="1">
      <c r="A34" s="553">
        <f>IFERROR(LEFT(B34,7),"")</f>
        <v/>
      </c>
      <c r="B34" s="554">
        <f>"2025/06"&amp;D34</f>
        <v/>
      </c>
      <c r="C34" s="555" t="n">
        <v>33</v>
      </c>
      <c r="D34" s="486" t="inlineStr">
        <is>
          <t>站前4樓</t>
        </is>
      </c>
      <c r="E34" s="486" t="inlineStr">
        <is>
          <t>6170014</t>
        </is>
      </c>
      <c r="F34" s="551" t="n"/>
      <c r="G34" s="486" t="inlineStr">
        <is>
          <t>鳳凰電波0.25平方公分碧眼探頭(450發)</t>
        </is>
      </c>
      <c r="H34" s="552" t="n"/>
      <c r="I34" s="552" t="n"/>
      <c r="J34" s="551" t="n"/>
      <c r="K34" s="486" t="inlineStr">
        <is>
          <t>顆</t>
        </is>
      </c>
      <c r="L34" s="556" t="n">
        <v>7</v>
      </c>
      <c r="M34" s="123" t="inlineStr">
        <is>
          <t>MP1MB030003A</t>
        </is>
      </c>
      <c r="N34" s="117" t="n"/>
    </row>
    <row r="35" ht="17.25" customHeight="1" s="453" thickBot="1">
      <c r="A35" s="553">
        <f>IFERROR(LEFT(B35,7),"")</f>
        <v/>
      </c>
      <c r="B35" s="554">
        <f>"2025/06"&amp;D35</f>
        <v/>
      </c>
      <c r="C35" s="555" t="n">
        <v>34</v>
      </c>
      <c r="D35" s="486" t="inlineStr">
        <is>
          <t>站前4樓</t>
        </is>
      </c>
      <c r="E35" s="486" t="inlineStr">
        <is>
          <t>6170019</t>
        </is>
      </c>
      <c r="F35" s="551" t="n"/>
      <c r="G35" s="486" t="inlineStr">
        <is>
          <t>媚必提直線探頭2.0mm/條</t>
        </is>
      </c>
      <c r="H35" s="552" t="n"/>
      <c r="I35" s="552" t="n"/>
      <c r="J35" s="551" t="n"/>
      <c r="K35" s="486" t="inlineStr">
        <is>
          <t>20000條/顆</t>
        </is>
      </c>
      <c r="L35" s="556" t="n">
        <v>2946</v>
      </c>
      <c r="M35" s="123" t="inlineStr">
        <is>
          <t>MM2MB040008A</t>
        </is>
      </c>
      <c r="N35" s="117" t="n"/>
    </row>
    <row r="36" ht="17.25" customHeight="1" s="453" thickBot="1">
      <c r="A36" s="553">
        <f>IFERROR(LEFT(B36,7),"")</f>
        <v/>
      </c>
      <c r="B36" s="554">
        <f>"2025/06"&amp;D36</f>
        <v/>
      </c>
      <c r="C36" s="555" t="n">
        <v>35</v>
      </c>
      <c r="D36" s="486" t="inlineStr">
        <is>
          <t>站前4樓</t>
        </is>
      </c>
      <c r="E36" s="486" t="inlineStr">
        <is>
          <t>6170020</t>
        </is>
      </c>
      <c r="F36" s="551" t="n"/>
      <c r="G36" s="486" t="inlineStr">
        <is>
          <t>媚必提直線探頭3.0mm/條</t>
        </is>
      </c>
      <c r="H36" s="552" t="n"/>
      <c r="I36" s="552" t="n"/>
      <c r="J36" s="551" t="n"/>
      <c r="K36" s="486" t="inlineStr">
        <is>
          <t>20000條/顆</t>
        </is>
      </c>
      <c r="L36" s="556" t="n">
        <v>9079</v>
      </c>
      <c r="M36" s="123" t="inlineStr">
        <is>
          <t>MM2MB040009A</t>
        </is>
      </c>
      <c r="N36" s="117" t="n"/>
    </row>
    <row r="37" ht="17.25" customHeight="1" s="453" thickBot="1">
      <c r="A37" s="553">
        <f>IFERROR(LEFT(B37,7),"")</f>
        <v/>
      </c>
      <c r="B37" s="554">
        <f>"2025/06"&amp;D37</f>
        <v/>
      </c>
      <c r="C37" s="555" t="n">
        <v>36</v>
      </c>
      <c r="D37" s="486" t="inlineStr">
        <is>
          <t>站前4樓</t>
        </is>
      </c>
      <c r="E37" s="486" t="inlineStr">
        <is>
          <t>6170021</t>
        </is>
      </c>
      <c r="F37" s="551" t="n"/>
      <c r="G37" s="486" t="inlineStr">
        <is>
          <t>媚必提直線探頭4.5mm/條</t>
        </is>
      </c>
      <c r="H37" s="552" t="n"/>
      <c r="I37" s="552" t="n"/>
      <c r="J37" s="551" t="n"/>
      <c r="K37" s="486" t="inlineStr">
        <is>
          <t>20000條/顆</t>
        </is>
      </c>
      <c r="L37" s="556" t="n">
        <v>18643</v>
      </c>
      <c r="M37" s="123" t="inlineStr">
        <is>
          <t>MM2MB040010A</t>
        </is>
      </c>
      <c r="N37" s="117" t="n"/>
    </row>
    <row r="38" ht="17.25" customHeight="1" s="453" thickBot="1">
      <c r="A38" s="553">
        <f>IFERROR(LEFT(B38,7),"")</f>
        <v/>
      </c>
      <c r="B38" s="554">
        <f>"2025/06"&amp;D38</f>
        <v/>
      </c>
      <c r="C38" s="555" t="n">
        <v>37</v>
      </c>
      <c r="D38" s="486" t="inlineStr">
        <is>
          <t>站前4樓</t>
        </is>
      </c>
      <c r="E38" s="486" t="inlineStr">
        <is>
          <t>6170022</t>
        </is>
      </c>
      <c r="F38" s="551" t="n"/>
      <c r="G38" s="486" t="inlineStr">
        <is>
          <t>媚必提直線探頭6.0mm/條</t>
        </is>
      </c>
      <c r="H38" s="552" t="n"/>
      <c r="I38" s="552" t="n"/>
      <c r="J38" s="551" t="n"/>
      <c r="K38" s="486" t="inlineStr">
        <is>
          <t>20000條/顆</t>
        </is>
      </c>
      <c r="L38" s="556" t="n">
        <v>5735</v>
      </c>
      <c r="M38" s="123" t="inlineStr">
        <is>
          <t>MM2MB040011A</t>
        </is>
      </c>
      <c r="N38" s="117" t="n"/>
    </row>
    <row r="39" ht="17.25" customHeight="1" s="453" thickBot="1">
      <c r="A39" s="553">
        <f>IFERROR(LEFT(B39,7),"")</f>
        <v/>
      </c>
      <c r="B39" s="554">
        <f>"2025/06"&amp;D39</f>
        <v/>
      </c>
      <c r="C39" s="555" t="n">
        <v>38</v>
      </c>
      <c r="D39" s="486" t="inlineStr">
        <is>
          <t>站前4樓</t>
        </is>
      </c>
      <c r="E39" s="486" t="inlineStr">
        <is>
          <t>6170028</t>
        </is>
      </c>
      <c r="F39" s="551" t="n"/>
      <c r="G39" s="486" t="inlineStr">
        <is>
          <t>海芙電波探頭0.25cm/發</t>
        </is>
      </c>
      <c r="H39" s="552" t="n"/>
      <c r="I39" s="552" t="n"/>
      <c r="J39" s="551" t="n"/>
      <c r="K39" s="486" t="inlineStr">
        <is>
          <t>6000發/顆</t>
        </is>
      </c>
      <c r="L39" s="556" t="n">
        <v>14398</v>
      </c>
      <c r="M39" s="123" t="inlineStr">
        <is>
          <t>MM2MB030002A</t>
        </is>
      </c>
      <c r="N39" s="117" t="n"/>
    </row>
    <row r="40" ht="17.25" customHeight="1" s="453" thickBot="1">
      <c r="A40" s="553">
        <f>IFERROR(LEFT(B40,7),"")</f>
        <v/>
      </c>
      <c r="B40" s="554">
        <f>"2025/06"&amp;D40</f>
        <v/>
      </c>
      <c r="C40" s="555" t="n">
        <v>39</v>
      </c>
      <c r="D40" s="486" t="inlineStr">
        <is>
          <t>站前4樓</t>
        </is>
      </c>
      <c r="E40" s="486" t="inlineStr">
        <is>
          <t>6170029</t>
        </is>
      </c>
      <c r="F40" s="551" t="n"/>
      <c r="G40" s="486" t="inlineStr">
        <is>
          <t>海芙電波探頭3.0cm/發</t>
        </is>
      </c>
      <c r="H40" s="552" t="n"/>
      <c r="I40" s="552" t="n"/>
      <c r="J40" s="551" t="n"/>
      <c r="K40" s="486" t="inlineStr">
        <is>
          <t>4000發/顆</t>
        </is>
      </c>
      <c r="L40" s="556" t="n">
        <v>37902</v>
      </c>
      <c r="M40" s="123" t="inlineStr">
        <is>
          <t>MM2MB030003A</t>
        </is>
      </c>
      <c r="N40" s="117" t="n"/>
    </row>
    <row r="41" ht="17.25" customHeight="1" s="453" thickBot="1">
      <c r="A41" s="553">
        <f>IFERROR(LEFT(B41,7),"")</f>
        <v/>
      </c>
      <c r="B41" s="554">
        <f>"2025/06"&amp;D41</f>
        <v/>
      </c>
      <c r="C41" s="555" t="n">
        <v>40</v>
      </c>
      <c r="D41" s="486" t="inlineStr">
        <is>
          <t>站前4樓</t>
        </is>
      </c>
      <c r="E41" s="486" t="inlineStr">
        <is>
          <t>6170032</t>
        </is>
      </c>
      <c r="F41" s="551" t="n"/>
      <c r="G41" s="486" t="inlineStr">
        <is>
          <t>立特拉A2筆型探頭3.0mm/ 條</t>
        </is>
      </c>
      <c r="H41" s="552" t="n"/>
      <c r="I41" s="552" t="n"/>
      <c r="J41" s="551" t="n"/>
      <c r="K41" s="486" t="inlineStr">
        <is>
          <t>240000條/顆</t>
        </is>
      </c>
      <c r="L41" s="556" t="n">
        <v>262702</v>
      </c>
      <c r="M41" s="123" t="inlineStr">
        <is>
          <t>MM2MB040018A</t>
        </is>
      </c>
      <c r="N41" s="117" t="n"/>
    </row>
    <row r="42" ht="17.25" customHeight="1" s="453" thickBot="1">
      <c r="A42" s="553">
        <f>IFERROR(LEFT(B42,7),"")</f>
        <v/>
      </c>
      <c r="B42" s="554">
        <f>"2025/06"&amp;D42</f>
        <v/>
      </c>
      <c r="C42" s="555" t="n">
        <v>41</v>
      </c>
      <c r="D42" s="486" t="inlineStr">
        <is>
          <t>站前4樓</t>
        </is>
      </c>
      <c r="E42" s="486" t="inlineStr">
        <is>
          <t>6170033</t>
        </is>
      </c>
      <c r="F42" s="551" t="n"/>
      <c r="G42" s="486" t="inlineStr">
        <is>
          <t>立特拉A2筆型探頭4.5mm/ 條</t>
        </is>
      </c>
      <c r="H42" s="552" t="n"/>
      <c r="I42" s="552" t="n"/>
      <c r="J42" s="551" t="n"/>
      <c r="K42" s="486" t="inlineStr">
        <is>
          <t>240000條/顆</t>
        </is>
      </c>
      <c r="L42" s="556" t="n">
        <v>140600</v>
      </c>
      <c r="M42" s="123" t="inlineStr">
        <is>
          <t>MM2MB040019A</t>
        </is>
      </c>
      <c r="N42" s="117" t="n"/>
    </row>
    <row r="43" ht="17.25" customHeight="1" s="453" thickBot="1">
      <c r="A43" s="553">
        <f>IFERROR(LEFT(B43,7),"")</f>
        <v/>
      </c>
      <c r="B43" s="554">
        <f>"2025/06"&amp;D43</f>
        <v/>
      </c>
      <c r="C43" s="555" t="n">
        <v>42</v>
      </c>
      <c r="D43" s="486" t="inlineStr">
        <is>
          <t>站前4樓</t>
        </is>
      </c>
      <c r="E43" s="486" t="inlineStr">
        <is>
          <t>6180003</t>
        </is>
      </c>
      <c r="F43" s="551" t="n"/>
      <c r="G43" s="486" t="inlineStr">
        <is>
          <t>(V)MINT秘特拉提線 43cm/ 條</t>
        </is>
      </c>
      <c r="H43" s="552" t="n"/>
      <c r="I43" s="552" t="n"/>
      <c r="J43" s="551" t="n"/>
      <c r="K43" s="486" t="inlineStr">
        <is>
          <t>條</t>
        </is>
      </c>
      <c r="L43" s="556" t="n">
        <v>2</v>
      </c>
      <c r="M43" s="123" t="n"/>
      <c r="N43" s="117" t="n"/>
    </row>
    <row r="44" ht="17.25" customHeight="1" s="453" thickBot="1">
      <c r="A44" s="553">
        <f>IFERROR(LEFT(B44,7),"")</f>
        <v/>
      </c>
      <c r="B44" s="554">
        <f>"2025/06"&amp;D44</f>
        <v/>
      </c>
      <c r="C44" s="555" t="n">
        <v>43</v>
      </c>
      <c r="D44" s="486" t="inlineStr">
        <is>
          <t>站前4樓</t>
        </is>
      </c>
      <c r="E44" s="486" t="inlineStr">
        <is>
          <t>6180005</t>
        </is>
      </c>
      <c r="F44" s="551" t="n"/>
      <c r="G44" s="486" t="inlineStr">
        <is>
          <t>(V)MINT秘特拉提線FINE 18CM/ 條</t>
        </is>
      </c>
      <c r="H44" s="552" t="n"/>
      <c r="I44" s="552" t="n"/>
      <c r="J44" s="551" t="n"/>
      <c r="K44" s="486" t="inlineStr">
        <is>
          <t>20條/盒</t>
        </is>
      </c>
      <c r="L44" s="556" t="n">
        <v>12</v>
      </c>
      <c r="M44" s="123" t="inlineStr">
        <is>
          <t>MP1MA010012A</t>
        </is>
      </c>
      <c r="N44" s="117" t="n"/>
    </row>
    <row r="45" ht="17.25" customHeight="1" s="453" thickBot="1">
      <c r="A45" s="553">
        <f>IFERROR(LEFT(B45,7),"")</f>
        <v/>
      </c>
      <c r="B45" s="554">
        <f>"2025/06"&amp;D45</f>
        <v/>
      </c>
      <c r="C45" s="555" t="n">
        <v>44</v>
      </c>
      <c r="D45" s="486" t="inlineStr">
        <is>
          <t>站前4樓</t>
        </is>
      </c>
      <c r="E45" s="486" t="inlineStr">
        <is>
          <t>6180007</t>
        </is>
      </c>
      <c r="F45" s="551" t="n"/>
      <c r="G45" s="486" t="inlineStr">
        <is>
          <t>(V)MINT秘特拉提線PETIT 15CM/ 條</t>
        </is>
      </c>
      <c r="H45" s="552" t="n"/>
      <c r="I45" s="552" t="n"/>
      <c r="J45" s="551" t="n"/>
      <c r="K45" s="486" t="inlineStr">
        <is>
          <t>20條/盒</t>
        </is>
      </c>
      <c r="L45" s="556" t="n">
        <v>16</v>
      </c>
      <c r="M45" s="123" t="inlineStr">
        <is>
          <t>MP1MA010014A</t>
        </is>
      </c>
      <c r="N45" s="117" t="n"/>
    </row>
    <row r="46" ht="17.25" customHeight="1" s="453" thickBot="1">
      <c r="A46" s="553">
        <f>IFERROR(LEFT(B46,7),"")</f>
        <v/>
      </c>
      <c r="B46" s="554">
        <f>"2025/06"&amp;D46</f>
        <v/>
      </c>
      <c r="C46" s="555" t="n">
        <v>45</v>
      </c>
      <c r="D46" s="486" t="inlineStr">
        <is>
          <t>站前4樓</t>
        </is>
      </c>
      <c r="E46" s="486" t="inlineStr">
        <is>
          <t>6180011</t>
        </is>
      </c>
      <c r="F46" s="551" t="n"/>
      <c r="G46" s="486" t="inlineStr">
        <is>
          <t>(V)MINT秘特拉提線UP 9.5CM/ 條</t>
        </is>
      </c>
      <c r="H46" s="552" t="n"/>
      <c r="I46" s="552" t="n"/>
      <c r="J46" s="551" t="n"/>
      <c r="K46" s="486" t="inlineStr">
        <is>
          <t>10條/盒</t>
        </is>
      </c>
      <c r="L46" s="556" t="n">
        <v>8</v>
      </c>
      <c r="M46" s="123" t="inlineStr">
        <is>
          <t>MP1MA010016A</t>
        </is>
      </c>
      <c r="N46" s="117" t="n"/>
    </row>
    <row r="47" ht="17.25" customHeight="1" s="453" thickBot="1">
      <c r="A47" s="553">
        <f>IFERROR(LEFT(B47,7),"")</f>
        <v/>
      </c>
      <c r="B47" s="554">
        <f>"2025/06"&amp;D47</f>
        <v/>
      </c>
      <c r="C47" s="555" t="n">
        <v>46</v>
      </c>
      <c r="D47" s="486" t="inlineStr">
        <is>
          <t>站前4樓</t>
        </is>
      </c>
      <c r="E47" s="486" t="inlineStr">
        <is>
          <t>6180013</t>
        </is>
      </c>
      <c r="F47" s="551" t="n"/>
      <c r="G47" s="486" t="inlineStr">
        <is>
          <t>(V)MINT秘特拉提線FIX 18CM/ 條</t>
        </is>
      </c>
      <c r="H47" s="552" t="n"/>
      <c r="I47" s="552" t="n"/>
      <c r="J47" s="551" t="n"/>
      <c r="K47" s="486" t="inlineStr">
        <is>
          <t>20條/盒</t>
        </is>
      </c>
      <c r="L47" s="556" t="n">
        <v>4</v>
      </c>
      <c r="M47" s="123" t="inlineStr">
        <is>
          <t>MP1MA010013A</t>
        </is>
      </c>
      <c r="N47" s="117" t="n"/>
    </row>
    <row r="48" ht="17.25" customHeight="1" s="453" thickBot="1">
      <c r="A48" s="553">
        <f>IFERROR(LEFT(B48,7),"")</f>
        <v/>
      </c>
      <c r="B48" s="554">
        <f>"2025/06"&amp;D48</f>
        <v/>
      </c>
      <c r="C48" s="555" t="n">
        <v>47</v>
      </c>
      <c r="D48" s="486" t="inlineStr">
        <is>
          <t>站前4樓</t>
        </is>
      </c>
      <c r="E48" s="486" t="inlineStr">
        <is>
          <t>6190001</t>
        </is>
      </c>
      <c r="F48" s="551" t="n"/>
      <c r="G48" s="486" t="inlineStr">
        <is>
          <t>PLT生長因子凍晶製備/ 瓶</t>
        </is>
      </c>
      <c r="H48" s="552" t="n"/>
      <c r="I48" s="552" t="n"/>
      <c r="J48" s="551" t="n"/>
      <c r="K48" s="486" t="inlineStr">
        <is>
          <t>瓶</t>
        </is>
      </c>
      <c r="L48" s="556" t="n">
        <v>89</v>
      </c>
      <c r="M48" s="123" t="n"/>
      <c r="N48" s="117" t="n"/>
    </row>
    <row r="49" ht="17.25" customHeight="1" s="453" thickBot="1">
      <c r="A49" s="553">
        <f>IFERROR(LEFT(B49,7),"")</f>
        <v/>
      </c>
      <c r="B49" s="554">
        <f>"2025/06"&amp;D49</f>
        <v/>
      </c>
      <c r="C49" s="555" t="n">
        <v>48</v>
      </c>
      <c r="D49" s="486" t="inlineStr">
        <is>
          <t>站前4樓</t>
        </is>
      </c>
      <c r="E49" s="486" t="inlineStr">
        <is>
          <t>6200003</t>
        </is>
      </c>
      <c r="F49" s="551" t="n"/>
      <c r="G49" s="486" t="inlineStr">
        <is>
          <t>(V)倍克脂Belkyra/ 瓶</t>
        </is>
      </c>
      <c r="H49" s="552" t="n"/>
      <c r="I49" s="552" t="n"/>
      <c r="J49" s="551" t="n"/>
      <c r="K49" s="486" t="inlineStr">
        <is>
          <t>5瓶/盒</t>
        </is>
      </c>
      <c r="L49" s="556" t="n">
        <v>1</v>
      </c>
      <c r="M49" s="123" t="inlineStr">
        <is>
          <t>MB3ME090004A</t>
        </is>
      </c>
      <c r="N49" s="117" t="n"/>
    </row>
    <row r="50" ht="17.25" customHeight="1" s="453" thickBot="1">
      <c r="A50" s="553">
        <f>IFERROR(LEFT(B50,7),"")</f>
        <v/>
      </c>
      <c r="B50" s="554">
        <f>"2025/06"&amp;D50</f>
        <v/>
      </c>
      <c r="C50" s="555" t="n">
        <v>49</v>
      </c>
      <c r="D50" s="486" t="inlineStr">
        <is>
          <t>站前4樓</t>
        </is>
      </c>
      <c r="E50" s="486" t="inlineStr">
        <is>
          <t>6200006</t>
        </is>
      </c>
      <c r="F50" s="551" t="n"/>
      <c r="G50" s="486" t="inlineStr">
        <is>
          <t>(V)容脂/ 瓶</t>
        </is>
      </c>
      <c r="H50" s="552" t="n"/>
      <c r="I50" s="552" t="n"/>
      <c r="J50" s="551" t="n"/>
      <c r="K50" s="486" t="inlineStr">
        <is>
          <t>5瓶/盒</t>
        </is>
      </c>
      <c r="L50" s="556" t="n">
        <v>1</v>
      </c>
      <c r="M50" s="123" t="inlineStr">
        <is>
          <t>MB3ME090005A</t>
        </is>
      </c>
      <c r="N50" s="117" t="n"/>
    </row>
    <row r="51" ht="17.25" customHeight="1" s="453" thickBot="1">
      <c r="A51" s="553">
        <f>IFERROR(LEFT(B51,7),"")</f>
        <v/>
      </c>
      <c r="B51" s="554">
        <f>"2025/06"&amp;D51</f>
        <v/>
      </c>
      <c r="C51" s="555" t="n">
        <v>50</v>
      </c>
      <c r="D51" s="486" t="inlineStr">
        <is>
          <t>站前4樓</t>
        </is>
      </c>
      <c r="E51" s="486" t="inlineStr">
        <is>
          <t>6210001</t>
        </is>
      </c>
      <c r="F51" s="551" t="n"/>
      <c r="G51" s="486" t="inlineStr">
        <is>
          <t>(V)水光針針頭/31G9針/1.0mm/ PCS</t>
        </is>
      </c>
      <c r="H51" s="552" t="n"/>
      <c r="I51" s="552" t="n"/>
      <c r="J51" s="551" t="n"/>
      <c r="K51" s="486" t="inlineStr">
        <is>
          <t>PCS(20入/盒)</t>
        </is>
      </c>
      <c r="L51" s="556" t="n">
        <v>2</v>
      </c>
      <c r="M51" s="123" t="inlineStr">
        <is>
          <t>MP1MA070006A</t>
        </is>
      </c>
      <c r="N51" s="117" t="n"/>
    </row>
    <row r="52" ht="17.25" customHeight="1" s="453" thickBot="1">
      <c r="A52" s="553">
        <f>IFERROR(LEFT(B52,7),"")</f>
        <v/>
      </c>
      <c r="B52" s="554">
        <f>"2025/06"&amp;D52</f>
        <v/>
      </c>
      <c r="C52" s="555" t="n">
        <v>51</v>
      </c>
      <c r="D52" s="486" t="inlineStr">
        <is>
          <t>站前4樓</t>
        </is>
      </c>
      <c r="E52" s="486" t="inlineStr">
        <is>
          <t>6210002</t>
        </is>
      </c>
      <c r="F52" s="551" t="n"/>
      <c r="G52" s="486" t="inlineStr">
        <is>
          <t>(V)水光針針頭/31G9針/1.2mm/ PCS</t>
        </is>
      </c>
      <c r="H52" s="552" t="n"/>
      <c r="I52" s="552" t="n"/>
      <c r="J52" s="551" t="n"/>
      <c r="K52" s="486" t="inlineStr">
        <is>
          <t>PCS(20入/盒)</t>
        </is>
      </c>
      <c r="L52" s="556" t="n">
        <v>26</v>
      </c>
      <c r="M52" s="123" t="inlineStr">
        <is>
          <t>MP1MA070007A</t>
        </is>
      </c>
      <c r="N52" s="117" t="n"/>
    </row>
    <row r="53" ht="17.25" customHeight="1" s="453" thickBot="1">
      <c r="A53" s="553">
        <f>IFERROR(LEFT(B53,7),"")</f>
        <v/>
      </c>
      <c r="B53" s="554">
        <f>"2025/06"&amp;D53</f>
        <v/>
      </c>
      <c r="C53" s="555" t="n">
        <v>52</v>
      </c>
      <c r="D53" s="486" t="inlineStr">
        <is>
          <t>站前4樓</t>
        </is>
      </c>
      <c r="E53" s="486" t="inlineStr">
        <is>
          <t>6210003</t>
        </is>
      </c>
      <c r="F53" s="551" t="n"/>
      <c r="G53" s="486" t="inlineStr">
        <is>
          <t>(V)水光針針頭/31G9針/1.5mm/ PCS</t>
        </is>
      </c>
      <c r="H53" s="552" t="n"/>
      <c r="I53" s="552" t="n"/>
      <c r="J53" s="551" t="n"/>
      <c r="K53" s="486" t="inlineStr">
        <is>
          <t>PCS(20入/盒)</t>
        </is>
      </c>
      <c r="L53" s="556" t="n">
        <v>32</v>
      </c>
      <c r="M53" s="123" t="inlineStr">
        <is>
          <t>MP1MA070008A</t>
        </is>
      </c>
      <c r="N53" s="117" t="n"/>
    </row>
    <row r="54" ht="17.25" customHeight="1" s="453" thickBot="1">
      <c r="A54" s="553">
        <f>IFERROR(LEFT(B54,7),"")</f>
        <v/>
      </c>
      <c r="B54" s="554">
        <f>"2025/06"&amp;D54</f>
        <v/>
      </c>
      <c r="C54" s="555" t="n">
        <v>53</v>
      </c>
      <c r="D54" s="486" t="inlineStr">
        <is>
          <t>站前4樓</t>
        </is>
      </c>
      <c r="E54" s="486" t="inlineStr">
        <is>
          <t>6210005</t>
        </is>
      </c>
      <c r="F54" s="551" t="n"/>
      <c r="G54" s="486" t="inlineStr">
        <is>
          <t>(V)水光針針頭/32G9針/1.0mm/ PCS</t>
        </is>
      </c>
      <c r="H54" s="552" t="n"/>
      <c r="I54" s="552" t="n"/>
      <c r="J54" s="551" t="n"/>
      <c r="K54" s="486" t="inlineStr">
        <is>
          <t>PCS(20入/盒)</t>
        </is>
      </c>
      <c r="L54" s="556" t="n">
        <v>1</v>
      </c>
      <c r="M54" s="123" t="inlineStr">
        <is>
          <t>MP1MA070005A</t>
        </is>
      </c>
      <c r="N54" s="117" t="n"/>
    </row>
    <row r="55" ht="17.25" customHeight="1" s="453" thickBot="1">
      <c r="A55" s="553">
        <f>IFERROR(LEFT(B55,7),"")</f>
        <v/>
      </c>
      <c r="B55" s="554">
        <f>"2025/06"&amp;D55</f>
        <v/>
      </c>
      <c r="C55" s="555" t="n">
        <v>54</v>
      </c>
      <c r="D55" s="486" t="inlineStr">
        <is>
          <t>站前4樓</t>
        </is>
      </c>
      <c r="E55" s="486" t="inlineStr">
        <is>
          <t>6220005</t>
        </is>
      </c>
      <c r="F55" s="551" t="n"/>
      <c r="G55" s="486" t="inlineStr">
        <is>
          <t>海菲秀深藍端頭/ 顆</t>
        </is>
      </c>
      <c r="H55" s="552" t="n"/>
      <c r="I55" s="552" t="n"/>
      <c r="J55" s="551" t="n"/>
      <c r="K55" s="486" t="inlineStr">
        <is>
          <t>15顆/串</t>
        </is>
      </c>
      <c r="L55" s="556" t="n">
        <v>636</v>
      </c>
      <c r="M55" s="123" t="inlineStr">
        <is>
          <t>MM2MD070001A</t>
        </is>
      </c>
      <c r="N55" s="117" t="n"/>
    </row>
    <row r="56" ht="17.25" customHeight="1" s="453" thickBot="1">
      <c r="A56" s="553">
        <f>IFERROR(LEFT(B56,7),"")</f>
        <v/>
      </c>
      <c r="B56" s="554">
        <f>"2025/06"&amp;D56</f>
        <v/>
      </c>
      <c r="C56" s="555" t="n">
        <v>55</v>
      </c>
      <c r="D56" s="486" t="inlineStr">
        <is>
          <t>站前4樓</t>
        </is>
      </c>
      <c r="E56" s="486" t="inlineStr">
        <is>
          <t>6220006</t>
        </is>
      </c>
      <c r="F56" s="551" t="n"/>
      <c r="G56" s="486" t="inlineStr">
        <is>
          <t>海菲秀淺藍端頭/ 顆</t>
        </is>
      </c>
      <c r="H56" s="552" t="n"/>
      <c r="I56" s="552" t="n"/>
      <c r="J56" s="551" t="n"/>
      <c r="K56" s="486" t="inlineStr">
        <is>
          <t>15顆/串</t>
        </is>
      </c>
      <c r="L56" s="556" t="n">
        <v>636</v>
      </c>
      <c r="M56" s="123" t="inlineStr">
        <is>
          <t>MM2MD070002A</t>
        </is>
      </c>
      <c r="N56" s="117" t="n"/>
    </row>
    <row r="57" ht="17.25" customHeight="1" s="453" thickBot="1">
      <c r="A57" s="553">
        <f>IFERROR(LEFT(B57,7),"")</f>
        <v/>
      </c>
      <c r="B57" s="554">
        <f>"2025/06"&amp;D57</f>
        <v/>
      </c>
      <c r="C57" s="555" t="n">
        <v>56</v>
      </c>
      <c r="D57" s="486" t="inlineStr">
        <is>
          <t>站前4樓</t>
        </is>
      </c>
      <c r="E57" s="486" t="inlineStr">
        <is>
          <t>6220007</t>
        </is>
      </c>
      <c r="F57" s="551" t="n"/>
      <c r="G57" s="486" t="inlineStr">
        <is>
          <t>海菲秀透明端頭/ 顆</t>
        </is>
      </c>
      <c r="H57" s="552" t="n"/>
      <c r="I57" s="552" t="n"/>
      <c r="J57" s="551" t="n"/>
      <c r="K57" s="486" t="inlineStr">
        <is>
          <t>15顆/串</t>
        </is>
      </c>
      <c r="L57" s="556" t="n">
        <v>636</v>
      </c>
      <c r="M57" s="123" t="inlineStr">
        <is>
          <t>MM2MD070003A</t>
        </is>
      </c>
      <c r="N57" s="117" t="n"/>
    </row>
    <row r="58" ht="17.25" customHeight="1" s="453" thickBot="1">
      <c r="A58" s="553">
        <f>IFERROR(LEFT(B58,7),"")</f>
        <v/>
      </c>
      <c r="B58" s="554">
        <f>"2025/06"&amp;D58</f>
        <v/>
      </c>
      <c r="C58" s="555" t="n">
        <v>57</v>
      </c>
      <c r="D58" s="486" t="inlineStr">
        <is>
          <t>站前4樓</t>
        </is>
      </c>
      <c r="E58" s="486" t="inlineStr">
        <is>
          <t>6220012</t>
        </is>
      </c>
      <c r="F58" s="551" t="n"/>
      <c r="G58" s="486" t="inlineStr">
        <is>
          <t>(V)(第一劑)海菲秀 Activ-4 Skin Solution/mL</t>
        </is>
      </c>
      <c r="H58" s="552" t="n"/>
      <c r="I58" s="552" t="n"/>
      <c r="J58" s="551" t="n"/>
      <c r="K58" s="486" t="inlineStr">
        <is>
          <t>ml</t>
        </is>
      </c>
      <c r="L58" s="556" t="n">
        <v>9525</v>
      </c>
      <c r="M58" s="123" t="inlineStr">
        <is>
          <t>MP1MD070012A</t>
        </is>
      </c>
      <c r="N58" s="117" t="n"/>
    </row>
    <row r="59" ht="17.25" customHeight="1" s="453" thickBot="1">
      <c r="A59" s="553">
        <f>IFERROR(LEFT(B59,7),"")</f>
        <v/>
      </c>
      <c r="B59" s="554">
        <f>"2025/06"&amp;D59</f>
        <v/>
      </c>
      <c r="C59" s="555" t="n">
        <v>58</v>
      </c>
      <c r="D59" s="486" t="inlineStr">
        <is>
          <t>站前4樓</t>
        </is>
      </c>
      <c r="E59" s="486" t="inlineStr">
        <is>
          <t>6220013</t>
        </is>
      </c>
      <c r="F59" s="551" t="n"/>
      <c r="G59" s="486" t="inlineStr">
        <is>
          <t>(V)(第二劑)海菲秀 Beta-HD Skin Solution /mL</t>
        </is>
      </c>
      <c r="H59" s="552" t="n"/>
      <c r="I59" s="552" t="n"/>
      <c r="J59" s="551" t="n"/>
      <c r="K59" s="486" t="inlineStr">
        <is>
          <t>ml</t>
        </is>
      </c>
      <c r="L59" s="556" t="n">
        <v>9525</v>
      </c>
      <c r="M59" s="123" t="inlineStr">
        <is>
          <t>MP1MD070013A</t>
        </is>
      </c>
      <c r="N59" s="117" t="n"/>
    </row>
    <row r="60" ht="17.25" customHeight="1" s="453" thickBot="1">
      <c r="A60" s="553">
        <f>IFERROR(LEFT(B60,7),"")</f>
        <v/>
      </c>
      <c r="B60" s="554">
        <f>"2025/06"&amp;D60</f>
        <v/>
      </c>
      <c r="C60" s="555" t="n">
        <v>59</v>
      </c>
      <c r="D60" s="486" t="inlineStr">
        <is>
          <t>站前4樓</t>
        </is>
      </c>
      <c r="E60" s="486" t="inlineStr">
        <is>
          <t>6220014</t>
        </is>
      </c>
      <c r="F60" s="551" t="n"/>
      <c r="G60" s="486" t="inlineStr">
        <is>
          <t>(V)(第三劑)海菲秀 Antiox-6 Skin Solution /mL</t>
        </is>
      </c>
      <c r="H60" s="552" t="n"/>
      <c r="I60" s="552" t="n"/>
      <c r="J60" s="551" t="n"/>
      <c r="K60" s="486" t="inlineStr">
        <is>
          <t>ml</t>
        </is>
      </c>
      <c r="L60" s="556" t="n">
        <v>9525</v>
      </c>
      <c r="M60" s="123" t="inlineStr">
        <is>
          <t>MP1MD070014A</t>
        </is>
      </c>
      <c r="N60" s="117" t="n"/>
    </row>
    <row r="61" ht="17.25" customHeight="1" s="453" thickBot="1">
      <c r="A61" s="553">
        <f>IFERROR(LEFT(B61,7),"")</f>
        <v/>
      </c>
      <c r="B61" s="554">
        <f>"2025/06"&amp;D61</f>
        <v/>
      </c>
      <c r="C61" s="555" t="n">
        <v>60</v>
      </c>
      <c r="D61" s="486" t="inlineStr">
        <is>
          <t>站前11樓</t>
        </is>
      </c>
      <c r="E61" s="486" t="inlineStr">
        <is>
          <t>6120001</t>
        </is>
      </c>
      <c r="F61" s="551" t="n"/>
      <c r="G61" s="486" t="inlineStr">
        <is>
          <t>(V)肝得健注射劑/ 瓶，220倍數叫貨</t>
        </is>
      </c>
      <c r="H61" s="552" t="n"/>
      <c r="I61" s="552" t="n"/>
      <c r="J61" s="551" t="n"/>
      <c r="K61" s="486" t="inlineStr">
        <is>
          <t>20支/盒</t>
        </is>
      </c>
      <c r="L61" s="556" t="n">
        <v>408</v>
      </c>
      <c r="M61" s="123" t="inlineStr">
        <is>
          <t>MB3ME090001A</t>
        </is>
      </c>
      <c r="N61" s="117" t="n"/>
    </row>
    <row r="62" ht="17.25" customHeight="1" s="453" thickBot="1">
      <c r="A62" s="553">
        <f>IFERROR(LEFT(B62,7),"")</f>
        <v/>
      </c>
      <c r="B62" s="554">
        <f>"2025/06"&amp;D62</f>
        <v/>
      </c>
      <c r="C62" s="555" t="n">
        <v>61</v>
      </c>
      <c r="D62" s="486" t="inlineStr">
        <is>
          <t>站前11樓</t>
        </is>
      </c>
      <c r="E62" s="486" t="inlineStr">
        <is>
          <t>6120002</t>
        </is>
      </c>
      <c r="F62" s="551" t="n"/>
      <c r="G62" s="486" t="inlineStr">
        <is>
          <t>(V)卡妮丁注射劑/ 瓶，220倍數叫貨</t>
        </is>
      </c>
      <c r="H62" s="552" t="n"/>
      <c r="I62" s="552" t="n"/>
      <c r="J62" s="551" t="n"/>
      <c r="K62" s="486" t="inlineStr">
        <is>
          <t>20支/盒</t>
        </is>
      </c>
      <c r="L62" s="556" t="n">
        <v>480.5</v>
      </c>
      <c r="M62" s="123" t="inlineStr">
        <is>
          <t>MB3ME090002A</t>
        </is>
      </c>
      <c r="N62" s="117" t="n"/>
    </row>
    <row r="63" ht="17.25" customHeight="1" s="453" thickBot="1">
      <c r="A63" s="553">
        <f>IFERROR(LEFT(B63,7),"")</f>
        <v/>
      </c>
      <c r="B63" s="554">
        <f>"2025/06"&amp;D63</f>
        <v/>
      </c>
      <c r="C63" s="555" t="n">
        <v>62</v>
      </c>
      <c r="D63" s="486" t="inlineStr">
        <is>
          <t>站前11樓</t>
        </is>
      </c>
      <c r="E63" s="486" t="inlineStr">
        <is>
          <t>6120003</t>
        </is>
      </c>
      <c r="F63" s="551" t="n"/>
      <c r="G63" s="486" t="inlineStr">
        <is>
          <t>(V)貝力多(雙胜胺) 20% 30mL/ 瓶，10倍數叫貨</t>
        </is>
      </c>
      <c r="H63" s="552" t="n"/>
      <c r="I63" s="552" t="n"/>
      <c r="J63" s="551" t="n"/>
      <c r="K63" s="486" t="inlineStr">
        <is>
          <t>10支/盒</t>
        </is>
      </c>
      <c r="L63" s="556" t="n">
        <v>3</v>
      </c>
      <c r="M63" s="123" t="inlineStr">
        <is>
          <t>MB3ME090003A</t>
        </is>
      </c>
      <c r="N63" s="117" t="n"/>
    </row>
    <row r="64" ht="17.25" customHeight="1" s="453" thickBot="1">
      <c r="A64" s="553">
        <f>IFERROR(LEFT(B64,7),"")</f>
        <v/>
      </c>
      <c r="B64" s="554">
        <f>"2025/06"&amp;D64</f>
        <v/>
      </c>
      <c r="C64" s="555" t="n">
        <v>63</v>
      </c>
      <c r="D64" s="486" t="inlineStr">
        <is>
          <t>站前11樓</t>
        </is>
      </c>
      <c r="E64" s="486" t="inlineStr">
        <is>
          <t>6120004</t>
        </is>
      </c>
      <c r="F64" s="551" t="n"/>
      <c r="G64" s="486" t="inlineStr">
        <is>
          <t>(V)胺基酸點滴250ml/ 袋(安命活源/嘉安命)，20倍數叫貨</t>
        </is>
      </c>
      <c r="H64" s="552" t="n"/>
      <c r="I64" s="552" t="n"/>
      <c r="J64" s="551" t="n"/>
      <c r="K64" s="486" t="inlineStr">
        <is>
          <t>(20瓶/箱)</t>
        </is>
      </c>
      <c r="L64" s="556" t="n">
        <v>7</v>
      </c>
      <c r="M64" s="123" t="inlineStr">
        <is>
          <t>MB3ME090006A</t>
        </is>
      </c>
      <c r="N64" s="117" t="n"/>
    </row>
    <row r="65" ht="17.25" customHeight="1" s="453" thickBot="1">
      <c r="A65" s="553">
        <f>IFERROR(LEFT(B65,7),"")</f>
        <v/>
      </c>
      <c r="B65" s="554">
        <f>"2025/06"&amp;D65</f>
        <v/>
      </c>
      <c r="C65" s="555" t="n">
        <v>64</v>
      </c>
      <c r="D65" s="486" t="inlineStr">
        <is>
          <t>站前11樓</t>
        </is>
      </c>
      <c r="E65" s="486" t="inlineStr">
        <is>
          <t>6120006</t>
        </is>
      </c>
      <c r="F65" s="551" t="n"/>
      <c r="G65" s="486" t="inlineStr">
        <is>
          <t>(V)(B12) 愛壽命 2mL，100倍數叫貨</t>
        </is>
      </c>
      <c r="H65" s="552" t="n"/>
      <c r="I65" s="552" t="n"/>
      <c r="J65" s="551" t="n"/>
      <c r="K65" s="486" t="inlineStr">
        <is>
          <t>(100支/盒)</t>
        </is>
      </c>
      <c r="L65" s="556" t="n">
        <v>142</v>
      </c>
      <c r="M65" s="123" t="inlineStr">
        <is>
          <t>MB3ME090011A</t>
        </is>
      </c>
      <c r="N65" s="117" t="n"/>
    </row>
    <row r="66" ht="17.25" customHeight="1" s="453" thickBot="1">
      <c r="A66" s="553">
        <f>IFERROR(LEFT(B66,7),"")</f>
        <v/>
      </c>
      <c r="B66" s="554">
        <f>"2025/06"&amp;D66</f>
        <v/>
      </c>
      <c r="C66" s="555" t="n">
        <v>65</v>
      </c>
      <c r="D66" s="486" t="inlineStr">
        <is>
          <t>站前11樓</t>
        </is>
      </c>
      <c r="E66" s="486" t="inlineStr">
        <is>
          <t>6120007</t>
        </is>
      </c>
      <c r="F66" s="551" t="n"/>
      <c r="G66" s="486" t="inlineStr">
        <is>
          <t>(V)(硫酸鋅) 1ml/支，100倍數叫貨</t>
        </is>
      </c>
      <c r="H66" s="552" t="n"/>
      <c r="I66" s="552" t="n"/>
      <c r="J66" s="551" t="n"/>
      <c r="K66" s="486" t="inlineStr">
        <is>
          <t>100支/盒</t>
        </is>
      </c>
      <c r="L66" s="556" t="n">
        <v>3</v>
      </c>
      <c r="M66" s="123" t="inlineStr">
        <is>
          <t>MB3ME090027A</t>
        </is>
      </c>
      <c r="N66" s="117" t="n"/>
    </row>
    <row r="67" ht="17.25" customHeight="1" s="453" thickBot="1">
      <c r="A67" s="553">
        <f>IFERROR(LEFT(B67,7),"")</f>
        <v/>
      </c>
      <c r="B67" s="554">
        <f>"2025/06"&amp;D67</f>
        <v/>
      </c>
      <c r="C67" s="555" t="n">
        <v>66</v>
      </c>
      <c r="D67" s="486" t="inlineStr">
        <is>
          <t>站前11樓</t>
        </is>
      </c>
      <c r="E67" s="486" t="inlineStr">
        <is>
          <t>6120009</t>
        </is>
      </c>
      <c r="F67" s="551" t="n"/>
      <c r="G67" s="486" t="inlineStr">
        <is>
          <t>(V)(B1) 硫胺明 2ml</t>
        </is>
      </c>
      <c r="H67" s="552" t="n"/>
      <c r="I67" s="552" t="n"/>
      <c r="J67" s="551" t="n"/>
      <c r="K67" s="486" t="inlineStr">
        <is>
          <t>支(100支/盒)</t>
        </is>
      </c>
      <c r="L67" s="556" t="n">
        <v>3</v>
      </c>
      <c r="M67" s="123" t="inlineStr">
        <is>
          <t>MB3ME090012A</t>
        </is>
      </c>
      <c r="N67" s="117" t="n"/>
    </row>
    <row r="68" ht="17.25" customHeight="1" s="453" thickBot="1">
      <c r="A68" s="553">
        <f>IFERROR(LEFT(B68,7),"")</f>
        <v/>
      </c>
      <c r="B68" s="554">
        <f>"2025/06"&amp;D68</f>
        <v/>
      </c>
      <c r="C68" s="555" t="n">
        <v>67</v>
      </c>
      <c r="D68" s="486" t="inlineStr">
        <is>
          <t>站前11樓</t>
        </is>
      </c>
      <c r="E68" s="486" t="inlineStr">
        <is>
          <t>6120010</t>
        </is>
      </c>
      <c r="F68" s="551" t="n"/>
      <c r="G68" s="486" t="inlineStr">
        <is>
          <t>(V)(B6) 活性維生素 2ml，100倍數叫貨</t>
        </is>
      </c>
      <c r="H68" s="552" t="n"/>
      <c r="I68" s="552" t="n"/>
      <c r="J68" s="551" t="n"/>
      <c r="K68" s="486" t="inlineStr">
        <is>
          <t>(100支/盒)</t>
        </is>
      </c>
      <c r="L68" s="556" t="n">
        <v>3</v>
      </c>
      <c r="M68" s="123" t="inlineStr">
        <is>
          <t>MB3ME090013A</t>
        </is>
      </c>
      <c r="N68" s="117" t="n"/>
    </row>
    <row r="69" ht="17.25" customHeight="1" s="453" thickBot="1">
      <c r="A69" s="553">
        <f>IFERROR(LEFT(B69,7),"")</f>
        <v/>
      </c>
      <c r="B69" s="554">
        <f>"2025/06"&amp;D69</f>
        <v/>
      </c>
      <c r="C69" s="555" t="n">
        <v>68</v>
      </c>
      <c r="D69" s="486" t="inlineStr">
        <is>
          <t>站前11樓</t>
        </is>
      </c>
      <c r="E69" s="486" t="inlineStr">
        <is>
          <t>6120011</t>
        </is>
      </c>
      <c r="F69" s="551" t="n"/>
      <c r="G69" s="486" t="inlineStr">
        <is>
          <t>(V)(硒) 西寧特 2ml/支</t>
        </is>
      </c>
      <c r="H69" s="552" t="n"/>
      <c r="I69" s="552" t="n"/>
      <c r="J69" s="551" t="n"/>
      <c r="K69" s="486" t="inlineStr">
        <is>
          <t>10支/盒</t>
        </is>
      </c>
      <c r="L69" s="556" t="n">
        <v>4</v>
      </c>
      <c r="M69" s="123" t="inlineStr">
        <is>
          <t>MB3ME090024A</t>
        </is>
      </c>
      <c r="N69" s="117" t="n"/>
    </row>
    <row r="70" ht="17.25" customHeight="1" s="453" thickBot="1">
      <c r="A70" s="553">
        <f>IFERROR(LEFT(B70,7),"")</f>
        <v/>
      </c>
      <c r="B70" s="554">
        <f>"2025/06"&amp;D70</f>
        <v/>
      </c>
      <c r="C70" s="555" t="n">
        <v>69</v>
      </c>
      <c r="D70" s="486" t="inlineStr">
        <is>
          <t>站前11樓</t>
        </is>
      </c>
      <c r="E70" s="486" t="inlineStr">
        <is>
          <t>6120013</t>
        </is>
      </c>
      <c r="F70" s="551" t="n"/>
      <c r="G70" s="486" t="inlineStr">
        <is>
          <t>(V)生理食鹽水(NS) 250ml/ 袋</t>
        </is>
      </c>
      <c r="H70" s="552" t="n"/>
      <c r="I70" s="552" t="n"/>
      <c r="J70" s="551" t="n"/>
      <c r="K70" s="486" t="inlineStr">
        <is>
          <t>55瓶/箱</t>
        </is>
      </c>
      <c r="L70" s="556" t="n">
        <v>377</v>
      </c>
      <c r="M70" s="123" t="inlineStr">
        <is>
          <t>MB3ME090008A</t>
        </is>
      </c>
      <c r="N70" s="117" t="n"/>
    </row>
    <row r="71" ht="17.25" customHeight="1" s="453" thickBot="1">
      <c r="A71" s="553">
        <f>IFERROR(LEFT(B71,7),"")</f>
        <v/>
      </c>
      <c r="B71" s="554">
        <f>"2025/06"&amp;D71</f>
        <v/>
      </c>
      <c r="C71" s="555" t="n">
        <v>70</v>
      </c>
      <c r="D71" s="486" t="inlineStr">
        <is>
          <t>站前11樓</t>
        </is>
      </c>
      <c r="E71" s="486" t="inlineStr">
        <is>
          <t>6120014</t>
        </is>
      </c>
      <c r="F71" s="551" t="n"/>
      <c r="G71" s="486" t="inlineStr">
        <is>
          <t>(V)葡萄糖水(D5W) 250ml/袋</t>
        </is>
      </c>
      <c r="H71" s="552" t="n"/>
      <c r="I71" s="552" t="n"/>
      <c r="J71" s="551" t="n"/>
      <c r="K71" s="486" t="inlineStr">
        <is>
          <t>60瓶/箱</t>
        </is>
      </c>
      <c r="L71" s="556" t="n">
        <v>79</v>
      </c>
      <c r="M71" s="123" t="inlineStr">
        <is>
          <t>MB3ME090007A</t>
        </is>
      </c>
      <c r="N71" s="117" t="n"/>
    </row>
    <row r="72" ht="17.25" customHeight="1" s="453" thickBot="1">
      <c r="A72" s="553">
        <f>IFERROR(LEFT(B72,7),"")</f>
        <v/>
      </c>
      <c r="B72" s="554">
        <f>"2025/06"&amp;D72</f>
        <v/>
      </c>
      <c r="C72" s="555" t="n">
        <v>71</v>
      </c>
      <c r="D72" s="486" t="inlineStr">
        <is>
          <t>站前11樓</t>
        </is>
      </c>
      <c r="E72" s="486" t="inlineStr">
        <is>
          <t>6120015</t>
        </is>
      </c>
      <c r="F72" s="551" t="n"/>
      <c r="G72" s="486" t="inlineStr">
        <is>
          <t>(V)(B群)淘能美複合維他命B 2ml，100倍數叫貨</t>
        </is>
      </c>
      <c r="H72" s="552" t="n"/>
      <c r="I72" s="552" t="n"/>
      <c r="J72" s="551" t="n"/>
      <c r="K72" s="486" t="n"/>
      <c r="L72" s="556" t="n">
        <v>1</v>
      </c>
      <c r="M72" s="123" t="inlineStr">
        <is>
          <t>MB3ME090014A</t>
        </is>
      </c>
      <c r="N72" s="117" t="n"/>
    </row>
    <row r="73" ht="17.25" customHeight="1" s="453" thickBot="1">
      <c r="A73" s="553">
        <f>IFERROR(LEFT(B73,7),"")</f>
        <v/>
      </c>
      <c r="B73" s="554">
        <f>"2025/06"&amp;D73</f>
        <v/>
      </c>
      <c r="C73" s="555" t="n">
        <v>72</v>
      </c>
      <c r="D73" s="486" t="inlineStr">
        <is>
          <t>站前11樓</t>
        </is>
      </c>
      <c r="E73" s="486" t="inlineStr">
        <is>
          <t>6120016</t>
        </is>
      </c>
      <c r="F73" s="551" t="n"/>
      <c r="G73" s="486" t="inlineStr">
        <is>
          <t>(V)(榖胱肝肽) 克樂達養200mg (20ml/瓶)</t>
        </is>
      </c>
      <c r="H73" s="552" t="n"/>
      <c r="I73" s="552" t="n"/>
      <c r="J73" s="551" t="n"/>
      <c r="K73" s="486" t="inlineStr">
        <is>
          <t>50支/盒</t>
        </is>
      </c>
      <c r="L73" s="556" t="n">
        <v>1</v>
      </c>
      <c r="M73" s="123" t="inlineStr">
        <is>
          <t>MB3ME090015A</t>
        </is>
      </c>
      <c r="N73" s="117" t="n"/>
    </row>
    <row r="74" ht="17.25" customHeight="1" s="453" thickBot="1">
      <c r="A74" s="553">
        <f>IFERROR(LEFT(B74,7),"")</f>
        <v/>
      </c>
      <c r="B74" s="554">
        <f>"2025/06"&amp;D74</f>
        <v/>
      </c>
      <c r="C74" s="555" t="n">
        <v>73</v>
      </c>
      <c r="D74" s="486" t="inlineStr">
        <is>
          <t>站前11樓</t>
        </is>
      </c>
      <c r="E74" s="486" t="inlineStr">
        <is>
          <t>6120017</t>
        </is>
      </c>
      <c r="F74" s="551" t="n"/>
      <c r="G74" s="486" t="inlineStr">
        <is>
          <t>(V)保肝 5ml/支</t>
        </is>
      </c>
      <c r="H74" s="552" t="n"/>
      <c r="I74" s="552" t="n"/>
      <c r="J74" s="551" t="n"/>
      <c r="K74" s="486" t="inlineStr">
        <is>
          <t>50支/盒</t>
        </is>
      </c>
      <c r="L74" s="556" t="n">
        <v>3</v>
      </c>
      <c r="M74" s="123" t="inlineStr">
        <is>
          <t>MB3ME090025A</t>
        </is>
      </c>
      <c r="N74" s="117" t="n"/>
    </row>
    <row r="75" ht="17.25" customHeight="1" s="453" thickBot="1">
      <c r="A75" s="553">
        <f>IFERROR(LEFT(B75,7),"")</f>
        <v/>
      </c>
      <c r="B75" s="554">
        <f>"2025/06"&amp;D75</f>
        <v/>
      </c>
      <c r="C75" s="555" t="n">
        <v>74</v>
      </c>
      <c r="D75" s="486" t="inlineStr">
        <is>
          <t>站前11樓</t>
        </is>
      </c>
      <c r="E75" s="486" t="inlineStr">
        <is>
          <t>6120021</t>
        </is>
      </c>
      <c r="F75" s="551" t="n"/>
      <c r="G75" s="486" t="inlineStr">
        <is>
          <t>(V)(Vit C)(抗壞血酸/諾貝爾)20ml，50倍數下單</t>
        </is>
      </c>
      <c r="H75" s="552" t="n"/>
      <c r="I75" s="552" t="n"/>
      <c r="J75" s="551" t="n"/>
      <c r="K75" s="486" t="inlineStr">
        <is>
          <t>50支/盒</t>
        </is>
      </c>
      <c r="L75" s="556" t="n">
        <v>1</v>
      </c>
      <c r="M75" s="123" t="inlineStr">
        <is>
          <t>MB3ME090009A</t>
        </is>
      </c>
      <c r="N75" s="117" t="n"/>
    </row>
    <row r="76" ht="17.25" customHeight="1" s="453" thickBot="1">
      <c r="A76" s="553">
        <f>IFERROR(LEFT(B76,7),"")</f>
        <v/>
      </c>
      <c r="B76" s="554">
        <f>"2025/06"&amp;D76</f>
        <v/>
      </c>
      <c r="C76" s="555" t="n">
        <v>75</v>
      </c>
      <c r="D76" s="486" t="inlineStr">
        <is>
          <t>站前11樓</t>
        </is>
      </c>
      <c r="E76" s="486" t="inlineStr">
        <is>
          <t>6190005</t>
        </is>
      </c>
      <c r="F76" s="551" t="n"/>
      <c r="G76" s="486" t="inlineStr">
        <is>
          <t>(V)氦氖針/ 支</t>
        </is>
      </c>
      <c r="H76" s="552" t="n"/>
      <c r="I76" s="552" t="n"/>
      <c r="J76" s="551" t="n"/>
      <c r="K76" s="486" t="inlineStr">
        <is>
          <t>(50支/包)</t>
        </is>
      </c>
      <c r="L76" s="556" t="n">
        <v>64</v>
      </c>
      <c r="M76" s="123" t="inlineStr">
        <is>
          <t>MM2MX070001A</t>
        </is>
      </c>
      <c r="N76" s="117" t="n"/>
    </row>
    <row r="77" ht="17.25" customHeight="1" s="453" thickBot="1">
      <c r="A77" s="553">
        <f>IFERROR(LEFT(B77,7),"")</f>
        <v/>
      </c>
      <c r="B77" s="554">
        <f>"2025/06"&amp;D77</f>
        <v/>
      </c>
      <c r="C77" s="555" t="n">
        <v>76</v>
      </c>
      <c r="D77" s="486" t="inlineStr">
        <is>
          <t>站前11樓</t>
        </is>
      </c>
      <c r="E77" s="486" t="inlineStr">
        <is>
          <t>6200001</t>
        </is>
      </c>
      <c r="F77" s="551" t="n"/>
      <c r="G77" s="486" t="inlineStr">
        <is>
          <t>(V)消脂針-善纖達*1支</t>
        </is>
      </c>
      <c r="H77" s="552" t="n"/>
      <c r="I77" s="552" t="n"/>
      <c r="J77" s="551" t="n"/>
      <c r="K77" s="486" t="inlineStr">
        <is>
          <t>支</t>
        </is>
      </c>
      <c r="L77" s="556" t="n">
        <v>161</v>
      </c>
      <c r="M77" s="123" t="n"/>
      <c r="N77" s="117" t="n"/>
    </row>
    <row r="78" ht="17.25" customHeight="1" s="453" thickBot="1">
      <c r="A78" s="553">
        <f>IFERROR(LEFT(B78,7),"")</f>
        <v/>
      </c>
      <c r="B78" s="554">
        <f>"2025/06"&amp;D78</f>
        <v/>
      </c>
      <c r="C78" s="555" t="n">
        <v>77</v>
      </c>
      <c r="D78" s="486" t="inlineStr">
        <is>
          <t>站前11樓</t>
        </is>
      </c>
      <c r="E78" s="486" t="inlineStr">
        <is>
          <t>6200004</t>
        </is>
      </c>
      <c r="F78" s="551" t="n"/>
      <c r="G78" s="486" t="inlineStr">
        <is>
          <t>阿爾發SAT卡匣/ 發</t>
        </is>
      </c>
      <c r="H78" s="552" t="n"/>
      <c r="I78" s="552" t="n"/>
      <c r="J78" s="551" t="n"/>
      <c r="K78" s="486" t="inlineStr">
        <is>
          <t>50發/卡</t>
        </is>
      </c>
      <c r="L78" s="556" t="n">
        <v>2010</v>
      </c>
      <c r="M78" s="123" t="inlineStr">
        <is>
          <t>MM2MC070001A</t>
        </is>
      </c>
      <c r="N78" s="117" t="n"/>
    </row>
    <row r="79" ht="17.25" customHeight="1" s="453" thickBot="1">
      <c r="A79" s="553">
        <f>IFERROR(LEFT(B79,7),"")</f>
        <v/>
      </c>
      <c r="B79" s="554">
        <f>"2025/06"&amp;D79</f>
        <v/>
      </c>
      <c r="C79" s="555" t="n">
        <v>78</v>
      </c>
      <c r="D79" s="486" t="inlineStr">
        <is>
          <t>站前11樓</t>
        </is>
      </c>
      <c r="E79" s="486" t="inlineStr">
        <is>
          <t>6200008</t>
        </is>
      </c>
      <c r="F79" s="551" t="n"/>
      <c r="G79" s="486" t="inlineStr">
        <is>
          <t>瘦瘦筆-週纖達*1支(0.25mg)</t>
        </is>
      </c>
      <c r="H79" s="552" t="n"/>
      <c r="I79" s="552" t="n"/>
      <c r="J79" s="551" t="n"/>
      <c r="K79" s="486" t="inlineStr">
        <is>
          <t>支</t>
        </is>
      </c>
      <c r="L79" s="556" t="n">
        <v>40</v>
      </c>
      <c r="M79" s="123" t="inlineStr">
        <is>
          <t>MB3ME110003A</t>
        </is>
      </c>
      <c r="N79" s="117" t="n"/>
    </row>
    <row r="80" ht="17.25" customHeight="1" s="453" thickBot="1">
      <c r="A80" s="553">
        <f>IFERROR(LEFT(B80,7),"")</f>
        <v/>
      </c>
      <c r="B80" s="554">
        <f>"2025/06"&amp;D80</f>
        <v/>
      </c>
      <c r="C80" s="555" t="n">
        <v>79</v>
      </c>
      <c r="D80" s="486" t="inlineStr">
        <is>
          <t>站前11樓</t>
        </is>
      </c>
      <c r="E80" s="486" t="inlineStr">
        <is>
          <t>6200010</t>
        </is>
      </c>
      <c r="F80" s="551" t="n"/>
      <c r="G80" s="486" t="inlineStr">
        <is>
          <t>瘦瘦筆-週纖達*1支(1.0mg)</t>
        </is>
      </c>
      <c r="H80" s="552" t="n"/>
      <c r="I80" s="552" t="n"/>
      <c r="J80" s="551" t="n"/>
      <c r="K80" s="486" t="inlineStr">
        <is>
          <t>支</t>
        </is>
      </c>
      <c r="L80" s="556" t="n">
        <v>66</v>
      </c>
      <c r="M80" s="123" t="inlineStr">
        <is>
          <t>MB3ME110005A</t>
        </is>
      </c>
      <c r="N80" s="117" t="n"/>
    </row>
    <row r="81" ht="17.25" customHeight="1" s="453" thickBot="1">
      <c r="A81" s="553">
        <f>IFERROR(LEFT(B81,7),"")</f>
        <v/>
      </c>
      <c r="B81" s="554">
        <f>"2025/06"&amp;D81</f>
        <v/>
      </c>
      <c r="C81" s="555" t="n">
        <v>80</v>
      </c>
      <c r="D81" s="486" t="inlineStr">
        <is>
          <t>站前11樓</t>
        </is>
      </c>
      <c r="E81" s="486" t="inlineStr">
        <is>
          <t>6200012</t>
        </is>
      </c>
      <c r="F81" s="551" t="n"/>
      <c r="G81" s="486" t="inlineStr">
        <is>
          <t>瘦瘦筆-週纖達*1支(2.4mg)</t>
        </is>
      </c>
      <c r="H81" s="552" t="n"/>
      <c r="I81" s="552" t="n"/>
      <c r="J81" s="551" t="n"/>
      <c r="K81" s="486" t="inlineStr">
        <is>
          <t>支</t>
        </is>
      </c>
      <c r="L81" s="556" t="n">
        <v>3</v>
      </c>
      <c r="M81" s="123" t="inlineStr">
        <is>
          <t>MB3ME110007A</t>
        </is>
      </c>
      <c r="N81" s="117" t="n"/>
    </row>
    <row r="82" ht="17.25" customHeight="1" s="453" thickBot="1">
      <c r="A82" s="553">
        <f>IFERROR(LEFT(B82,7),"")</f>
        <v/>
      </c>
      <c r="B82" s="554">
        <f>"2025/07"&amp;D82</f>
        <v/>
      </c>
      <c r="C82" s="557" t="n">
        <v>1</v>
      </c>
      <c r="D82" s="488" t="inlineStr">
        <is>
          <t>站前4樓</t>
        </is>
      </c>
      <c r="E82" s="488" t="inlineStr">
        <is>
          <t>6120001</t>
        </is>
      </c>
      <c r="F82" s="551" t="n"/>
      <c r="G82" s="488" t="inlineStr">
        <is>
          <t>(V)肝得健注射劑/ 瓶，220倍數叫貨</t>
        </is>
      </c>
      <c r="H82" s="552" t="n"/>
      <c r="I82" s="552" t="n"/>
      <c r="J82" s="551" t="n"/>
      <c r="K82" s="488" t="inlineStr">
        <is>
          <t>20支/盒</t>
        </is>
      </c>
      <c r="L82" s="558" t="n">
        <v>1</v>
      </c>
      <c r="M82" s="123" t="inlineStr">
        <is>
          <t>MB3ME090001A</t>
        </is>
      </c>
      <c r="N82" s="117" t="n"/>
    </row>
    <row r="83" ht="17.25" customHeight="1" s="453" thickBot="1">
      <c r="A83" s="553">
        <f>IFERROR(LEFT(B83,7),"")</f>
        <v/>
      </c>
      <c r="B83" s="554">
        <f>"2025/07"&amp;D83</f>
        <v/>
      </c>
      <c r="C83" s="557" t="n">
        <v>2</v>
      </c>
      <c r="D83" s="488" t="inlineStr">
        <is>
          <t>站前4樓</t>
        </is>
      </c>
      <c r="E83" s="488" t="inlineStr">
        <is>
          <t>6120002</t>
        </is>
      </c>
      <c r="F83" s="551" t="n"/>
      <c r="G83" s="488" t="inlineStr">
        <is>
          <t>(V)卡妮丁注射劑/ 瓶，220倍數叫貨</t>
        </is>
      </c>
      <c r="H83" s="552" t="n"/>
      <c r="I83" s="552" t="n"/>
      <c r="J83" s="551" t="n"/>
      <c r="K83" s="488" t="inlineStr">
        <is>
          <t>20支/盒</t>
        </is>
      </c>
      <c r="L83" s="558" t="n">
        <v>1</v>
      </c>
      <c r="M83" s="123" t="inlineStr">
        <is>
          <t>MB3ME090002A</t>
        </is>
      </c>
      <c r="N83" s="117" t="n"/>
    </row>
    <row r="84" ht="17.25" customHeight="1" s="453" thickBot="1">
      <c r="A84" s="553">
        <f>IFERROR(LEFT(B84,7),"")</f>
        <v/>
      </c>
      <c r="B84" s="554">
        <f>"2025/07"&amp;D84</f>
        <v/>
      </c>
      <c r="C84" s="557" t="n">
        <v>3</v>
      </c>
      <c r="D84" s="488" t="inlineStr">
        <is>
          <t>站前4樓</t>
        </is>
      </c>
      <c r="E84" s="488" t="inlineStr">
        <is>
          <t>6120013</t>
        </is>
      </c>
      <c r="F84" s="551" t="n"/>
      <c r="G84" s="488" t="inlineStr">
        <is>
          <t>(V)生理食鹽水(NS) 250ml/ 袋</t>
        </is>
      </c>
      <c r="H84" s="552" t="n"/>
      <c r="I84" s="552" t="n"/>
      <c r="J84" s="551" t="n"/>
      <c r="K84" s="488" t="inlineStr">
        <is>
          <t>55瓶/箱</t>
        </is>
      </c>
      <c r="L84" s="558" t="n">
        <v>87</v>
      </c>
      <c r="M84" s="123" t="inlineStr">
        <is>
          <t>MB3ME090008A</t>
        </is>
      </c>
      <c r="N84" s="117" t="n"/>
    </row>
    <row r="85" ht="17.25" customHeight="1" s="453" thickBot="1">
      <c r="A85" s="553">
        <f>IFERROR(LEFT(B85,7),"")</f>
        <v/>
      </c>
      <c r="B85" s="554">
        <f>"2025/07"&amp;D85</f>
        <v/>
      </c>
      <c r="C85" s="557" t="n">
        <v>4</v>
      </c>
      <c r="D85" s="488" t="inlineStr">
        <is>
          <t>站前4樓</t>
        </is>
      </c>
      <c r="E85" s="488" t="inlineStr">
        <is>
          <t>6120015</t>
        </is>
      </c>
      <c r="F85" s="551" t="n"/>
      <c r="G85" s="488" t="inlineStr">
        <is>
          <t>(V)(B群)淘能美複合維他命B 2ml，100倍數叫貨</t>
        </is>
      </c>
      <c r="H85" s="552" t="n"/>
      <c r="I85" s="552" t="n"/>
      <c r="J85" s="551" t="n"/>
      <c r="K85" s="488" t="n"/>
      <c r="L85" s="558" t="n">
        <v>84</v>
      </c>
      <c r="M85" s="123" t="inlineStr">
        <is>
          <t>MB3ME090014A</t>
        </is>
      </c>
      <c r="N85" s="117" t="n"/>
    </row>
    <row r="86" ht="17.25" customHeight="1" s="453" thickBot="1">
      <c r="A86" s="553">
        <f>IFERROR(LEFT(B86,7),"")</f>
        <v/>
      </c>
      <c r="B86" s="554">
        <f>"2025/07"&amp;D86</f>
        <v/>
      </c>
      <c r="C86" s="557" t="n">
        <v>5</v>
      </c>
      <c r="D86" s="488" t="inlineStr">
        <is>
          <t>站前4樓</t>
        </is>
      </c>
      <c r="E86" s="488" t="inlineStr">
        <is>
          <t>6120016</t>
        </is>
      </c>
      <c r="F86" s="551" t="n"/>
      <c r="G86" s="488" t="inlineStr">
        <is>
          <t>(V)(榖胱肝肽) 克樂達養200mg (20ml/瓶)</t>
        </is>
      </c>
      <c r="H86" s="552" t="n"/>
      <c r="I86" s="552" t="n"/>
      <c r="J86" s="551" t="n"/>
      <c r="K86" s="488" t="inlineStr">
        <is>
          <t>50支/盒</t>
        </is>
      </c>
      <c r="L86" s="558" t="n">
        <v>84</v>
      </c>
      <c r="M86" s="123" t="inlineStr">
        <is>
          <t>MB3ME090015A</t>
        </is>
      </c>
      <c r="N86" s="117" t="n"/>
    </row>
    <row r="87" ht="17.25" customHeight="1" s="453" thickBot="1">
      <c r="A87" s="553">
        <f>IFERROR(LEFT(B87,7),"")</f>
        <v/>
      </c>
      <c r="B87" s="554">
        <f>"2025/07"&amp;D87</f>
        <v/>
      </c>
      <c r="C87" s="557" t="n">
        <v>6</v>
      </c>
      <c r="D87" s="488" t="inlineStr">
        <is>
          <t>站前4樓</t>
        </is>
      </c>
      <c r="E87" s="488" t="inlineStr">
        <is>
          <t>6120018</t>
        </is>
      </c>
      <c r="F87" s="551" t="n"/>
      <c r="G87" s="488" t="inlineStr">
        <is>
          <t>(V)(傳明酸)止血明 5ml/支</t>
        </is>
      </c>
      <c r="H87" s="552" t="n"/>
      <c r="I87" s="552" t="n"/>
      <c r="J87" s="551" t="n"/>
      <c r="K87" s="488" t="inlineStr">
        <is>
          <t>50支/盒</t>
        </is>
      </c>
      <c r="L87" s="558" t="n">
        <v>11</v>
      </c>
      <c r="M87" s="123" t="inlineStr">
        <is>
          <t>MB3ME090023A</t>
        </is>
      </c>
      <c r="N87" s="117" t="n"/>
    </row>
    <row r="88" ht="17.25" customHeight="1" s="453" thickBot="1">
      <c r="A88" s="553">
        <f>IFERROR(LEFT(B88,7),"")</f>
        <v/>
      </c>
      <c r="B88" s="554">
        <f>"2025/07"&amp;D88</f>
        <v/>
      </c>
      <c r="C88" s="557" t="n">
        <v>7</v>
      </c>
      <c r="D88" s="488" t="inlineStr">
        <is>
          <t>站前4樓</t>
        </is>
      </c>
      <c r="E88" s="488" t="inlineStr">
        <is>
          <t>6120020</t>
        </is>
      </c>
      <c r="F88" s="551" t="n"/>
      <c r="G88" s="488" t="inlineStr">
        <is>
          <t>(V)(Vit C) 抗壞血酸 2mL，100倍數下單</t>
        </is>
      </c>
      <c r="H88" s="552" t="n"/>
      <c r="I88" s="552" t="n"/>
      <c r="J88" s="551" t="n"/>
      <c r="K88" s="488" t="inlineStr">
        <is>
          <t>100支/盒</t>
        </is>
      </c>
      <c r="L88" s="558" t="n">
        <v>52</v>
      </c>
      <c r="M88" s="123" t="inlineStr">
        <is>
          <t>MB3ME090010A</t>
        </is>
      </c>
      <c r="N88" s="117" t="n"/>
    </row>
    <row r="89" ht="17.25" customHeight="1" s="453" thickBot="1">
      <c r="A89" s="553">
        <f>IFERROR(LEFT(B89,7),"")</f>
        <v/>
      </c>
      <c r="B89" s="554">
        <f>"2025/07"&amp;D89</f>
        <v/>
      </c>
      <c r="C89" s="557" t="n">
        <v>8</v>
      </c>
      <c r="D89" s="488" t="inlineStr">
        <is>
          <t>站前4樓</t>
        </is>
      </c>
      <c r="E89" s="488" t="inlineStr">
        <is>
          <t>6120021</t>
        </is>
      </c>
      <c r="F89" s="551" t="n"/>
      <c r="G89" s="488" t="inlineStr">
        <is>
          <t>(V)(Vit C)(抗壞血酸/諾貝爾)20ml，50倍數下單</t>
        </is>
      </c>
      <c r="H89" s="552" t="n"/>
      <c r="I89" s="552" t="n"/>
      <c r="J89" s="551" t="n"/>
      <c r="K89" s="488" t="inlineStr">
        <is>
          <t>50支/盒</t>
        </is>
      </c>
      <c r="L89" s="558" t="n">
        <v>85</v>
      </c>
      <c r="M89" s="123" t="inlineStr">
        <is>
          <t>MB3ME090009A</t>
        </is>
      </c>
      <c r="N89" s="117" t="n"/>
    </row>
    <row r="90" ht="17.25" customHeight="1" s="453" thickBot="1">
      <c r="A90" s="553">
        <f>IFERROR(LEFT(B90,7),"")</f>
        <v/>
      </c>
      <c r="B90" s="554">
        <f>"2025/07"&amp;D90</f>
        <v/>
      </c>
      <c r="C90" s="557" t="n">
        <v>9</v>
      </c>
      <c r="D90" s="488" t="inlineStr">
        <is>
          <t>站前4樓</t>
        </is>
      </c>
      <c r="E90" s="488" t="inlineStr">
        <is>
          <t>6120030</t>
        </is>
      </c>
      <c r="F90" s="551" t="n"/>
      <c r="G90" s="488" t="inlineStr">
        <is>
          <t>(V)克多炎 Keto 1ml</t>
        </is>
      </c>
      <c r="H90" s="552" t="n"/>
      <c r="I90" s="552" t="n"/>
      <c r="J90" s="551" t="n"/>
      <c r="K90" s="488" t="inlineStr">
        <is>
          <t>100支/盒</t>
        </is>
      </c>
      <c r="L90" s="558" t="n">
        <v>2</v>
      </c>
      <c r="M90" s="123" t="inlineStr">
        <is>
          <t>MB3ME090030A</t>
        </is>
      </c>
      <c r="N90" s="117" t="n"/>
    </row>
    <row r="91" ht="17.25" customHeight="1" s="453" thickBot="1">
      <c r="A91" s="553">
        <f>IFERROR(LEFT(B91,7),"")</f>
        <v/>
      </c>
      <c r="B91" s="554">
        <f>"2025/07"&amp;D91</f>
        <v/>
      </c>
      <c r="C91" s="557" t="n">
        <v>10</v>
      </c>
      <c r="D91" s="488" t="inlineStr">
        <is>
          <t>站前4樓</t>
        </is>
      </c>
      <c r="E91" s="488" t="inlineStr">
        <is>
          <t>6140001</t>
        </is>
      </c>
      <c r="F91" s="551" t="n"/>
      <c r="G91" s="488" t="inlineStr">
        <is>
          <t>(V)保妥適Botox/ u</t>
        </is>
      </c>
      <c r="H91" s="552" t="n"/>
      <c r="I91" s="552" t="n"/>
      <c r="J91" s="551" t="n"/>
      <c r="K91" s="488" t="inlineStr">
        <is>
          <t>u</t>
        </is>
      </c>
      <c r="L91" s="558" t="n">
        <v>2909</v>
      </c>
      <c r="M91" s="123" t="inlineStr">
        <is>
          <t>MB3ME100001A</t>
        </is>
      </c>
      <c r="N91" s="117" t="n"/>
    </row>
    <row r="92" ht="17.25" customHeight="1" s="453" thickBot="1">
      <c r="A92" s="553">
        <f>IFERROR(LEFT(B92,7),"")</f>
        <v/>
      </c>
      <c r="B92" s="554">
        <f>"2025/07"&amp;D92</f>
        <v/>
      </c>
      <c r="C92" s="557" t="n">
        <v>11</v>
      </c>
      <c r="D92" s="488" t="inlineStr">
        <is>
          <t>站前4樓</t>
        </is>
      </c>
      <c r="E92" s="488" t="inlineStr">
        <is>
          <t>6140003</t>
        </is>
      </c>
      <c r="F92" s="551" t="n"/>
      <c r="G92" s="488" t="inlineStr">
        <is>
          <t>(V)保提拉肉毒Letybo/ u</t>
        </is>
      </c>
      <c r="H92" s="552" t="n"/>
      <c r="I92" s="552" t="n"/>
      <c r="J92" s="551" t="n"/>
      <c r="K92" s="488" t="inlineStr">
        <is>
          <t>u</t>
        </is>
      </c>
      <c r="L92" s="558" t="n">
        <v>3695</v>
      </c>
      <c r="M92" s="123" t="inlineStr">
        <is>
          <t>MB3ME100002A</t>
        </is>
      </c>
      <c r="N92" s="117" t="n"/>
    </row>
    <row r="93" ht="17.25" customHeight="1" s="453" thickBot="1">
      <c r="A93" s="553">
        <f>IFERROR(LEFT(B93,7),"")</f>
        <v/>
      </c>
      <c r="B93" s="554">
        <f>"2025/07"&amp;D93</f>
        <v/>
      </c>
      <c r="C93" s="557" t="n">
        <v>12</v>
      </c>
      <c r="D93" s="488" t="inlineStr">
        <is>
          <t>站前4樓</t>
        </is>
      </c>
      <c r="E93" s="488" t="inlineStr">
        <is>
          <t>6140005</t>
        </is>
      </c>
      <c r="F93" s="551" t="n"/>
      <c r="G93" s="488" t="inlineStr">
        <is>
          <t>(V)奇肌肉毒/ u</t>
        </is>
      </c>
      <c r="H93" s="552" t="n"/>
      <c r="I93" s="552" t="n"/>
      <c r="J93" s="551" t="n"/>
      <c r="K93" s="488" t="inlineStr">
        <is>
          <t>u</t>
        </is>
      </c>
      <c r="L93" s="558" t="n">
        <v>1450</v>
      </c>
      <c r="M93" s="123" t="inlineStr">
        <is>
          <t>MB3ME100003A</t>
        </is>
      </c>
      <c r="N93" s="117" t="n"/>
    </row>
    <row r="94" ht="17.25" customHeight="1" s="453" thickBot="1">
      <c r="A94" s="553">
        <f>IFERROR(LEFT(B94,7),"")</f>
        <v/>
      </c>
      <c r="B94" s="554">
        <f>"2025/07"&amp;D94</f>
        <v/>
      </c>
      <c r="C94" s="557" t="n">
        <v>13</v>
      </c>
      <c r="D94" s="488" t="inlineStr">
        <is>
          <t>站前4樓</t>
        </is>
      </c>
      <c r="E94" s="488" t="inlineStr">
        <is>
          <t>6150001</t>
        </is>
      </c>
      <c r="F94" s="551" t="n"/>
      <c r="G94" s="488" t="inlineStr">
        <is>
          <t>(V)喬雅登-豐麗緹玻尿酸植入物Voluma 1ml</t>
        </is>
      </c>
      <c r="H94" s="552" t="n"/>
      <c r="I94" s="552" t="n"/>
      <c r="J94" s="551" t="n"/>
      <c r="K94" s="488" t="inlineStr">
        <is>
          <t>1ml(2ml/盒)</t>
        </is>
      </c>
      <c r="L94" s="558" t="n">
        <v>63</v>
      </c>
      <c r="M94" s="123" t="inlineStr">
        <is>
          <t>MP1MA020019A</t>
        </is>
      </c>
      <c r="N94" s="117" t="n"/>
    </row>
    <row r="95" ht="17.25" customHeight="1" s="453" thickBot="1">
      <c r="A95" s="553">
        <f>IFERROR(LEFT(B95,7),"")</f>
        <v/>
      </c>
      <c r="B95" s="554">
        <f>"2025/07"&amp;D95</f>
        <v/>
      </c>
      <c r="C95" s="557" t="n">
        <v>14</v>
      </c>
      <c r="D95" s="488" t="inlineStr">
        <is>
          <t>站前4樓</t>
        </is>
      </c>
      <c r="E95" s="488" t="inlineStr">
        <is>
          <t>6150002</t>
        </is>
      </c>
      <c r="F95" s="551" t="n"/>
      <c r="G95" s="488" t="inlineStr">
        <is>
          <t>(V)喬雅登-夢蓓菈玻尿酸植入物Volbella 1ml</t>
        </is>
      </c>
      <c r="H95" s="552" t="n"/>
      <c r="I95" s="552" t="n"/>
      <c r="J95" s="551" t="n"/>
      <c r="K95" s="488" t="inlineStr">
        <is>
          <t>1ml(2ml/盒)</t>
        </is>
      </c>
      <c r="L95" s="558" t="n">
        <v>10</v>
      </c>
      <c r="M95" s="123" t="inlineStr">
        <is>
          <t>MP1MA020020A</t>
        </is>
      </c>
      <c r="N95" s="117" t="n"/>
    </row>
    <row r="96" ht="17.25" customHeight="1" s="453" thickBot="1">
      <c r="A96" s="553">
        <f>IFERROR(LEFT(B96,7),"")</f>
        <v/>
      </c>
      <c r="B96" s="554">
        <f>"2025/07"&amp;D96</f>
        <v/>
      </c>
      <c r="C96" s="557" t="n">
        <v>15</v>
      </c>
      <c r="D96" s="488" t="inlineStr">
        <is>
          <t>站前4樓</t>
        </is>
      </c>
      <c r="E96" s="488" t="inlineStr">
        <is>
          <t>6150003</t>
        </is>
      </c>
      <c r="F96" s="551" t="n"/>
      <c r="G96" s="488" t="inlineStr">
        <is>
          <t>(V)喬雅登-豐麗緹玻尿酸植入物Volift 1ml</t>
        </is>
      </c>
      <c r="H96" s="552" t="n"/>
      <c r="I96" s="552" t="n"/>
      <c r="J96" s="551" t="n"/>
      <c r="K96" s="488" t="inlineStr">
        <is>
          <t>1ml(2ml/盒)</t>
        </is>
      </c>
      <c r="L96" s="558" t="n">
        <v>6</v>
      </c>
      <c r="M96" s="123" t="inlineStr">
        <is>
          <t>MP1MA020021A</t>
        </is>
      </c>
      <c r="N96" s="117" t="n"/>
    </row>
    <row r="97" ht="17.25" customHeight="1" s="453" thickBot="1">
      <c r="A97" s="553">
        <f>IFERROR(LEFT(B97,7),"")</f>
        <v/>
      </c>
      <c r="B97" s="554">
        <f>"2025/07"&amp;D97</f>
        <v/>
      </c>
      <c r="C97" s="557" t="n">
        <v>16</v>
      </c>
      <c r="D97" s="488" t="inlineStr">
        <is>
          <t>站前4樓</t>
        </is>
      </c>
      <c r="E97" s="488" t="inlineStr">
        <is>
          <t>6150004</t>
        </is>
      </c>
      <c r="F97" s="551" t="n"/>
      <c r="G97" s="488" t="inlineStr">
        <is>
          <t>(V)喬雅登-豐塑玻尿酸植入物Volux 1ml</t>
        </is>
      </c>
      <c r="H97" s="552" t="n"/>
      <c r="I97" s="552" t="n"/>
      <c r="J97" s="551" t="n"/>
      <c r="K97" s="488" t="inlineStr">
        <is>
          <t>1ml(2ml/盒)</t>
        </is>
      </c>
      <c r="L97" s="558" t="n">
        <v>13</v>
      </c>
      <c r="M97" s="123" t="inlineStr">
        <is>
          <t>MP1MA020022A</t>
        </is>
      </c>
      <c r="N97" s="117" t="n"/>
    </row>
    <row r="98" ht="17.25" customHeight="1" s="453" thickBot="1">
      <c r="A98" s="553">
        <f>IFERROR(LEFT(B98,7),"")</f>
        <v/>
      </c>
      <c r="B98" s="554">
        <f>"2025/07"&amp;D98</f>
        <v/>
      </c>
      <c r="C98" s="557" t="n">
        <v>17</v>
      </c>
      <c r="D98" s="488" t="inlineStr">
        <is>
          <t>站前4樓</t>
        </is>
      </c>
      <c r="E98" s="488" t="inlineStr">
        <is>
          <t>6150005</t>
        </is>
      </c>
      <c r="F98" s="551" t="n"/>
      <c r="G98" s="488" t="inlineStr">
        <is>
          <t>(V)喬雅登-芙潤玻尿酸植入物Volite 1ml</t>
        </is>
      </c>
      <c r="H98" s="552" t="n"/>
      <c r="I98" s="552" t="n"/>
      <c r="J98" s="551" t="n"/>
      <c r="K98" s="488" t="inlineStr">
        <is>
          <t>1ml(2ml/盒)</t>
        </is>
      </c>
      <c r="L98" s="558" t="n">
        <v>2</v>
      </c>
      <c r="M98" s="123" t="inlineStr">
        <is>
          <t>MP1MA020023A</t>
        </is>
      </c>
      <c r="N98" s="117" t="n"/>
    </row>
    <row r="99" ht="17.25" customHeight="1" s="453" thickBot="1">
      <c r="A99" s="553">
        <f>IFERROR(LEFT(B99,7),"")</f>
        <v/>
      </c>
      <c r="B99" s="554">
        <f>"2025/07"&amp;D99</f>
        <v/>
      </c>
      <c r="C99" s="557" t="n">
        <v>18</v>
      </c>
      <c r="D99" s="488" t="inlineStr">
        <is>
          <t>站前4樓</t>
        </is>
      </c>
      <c r="E99" s="488" t="inlineStr">
        <is>
          <t>6150010</t>
        </is>
      </c>
      <c r="F99" s="551" t="n"/>
      <c r="G99" s="488" t="inlineStr">
        <is>
          <t>(V)仙女玻尿酸大分子 1ml</t>
        </is>
      </c>
      <c r="H99" s="552" t="n"/>
      <c r="I99" s="552" t="n"/>
      <c r="J99" s="551" t="n"/>
      <c r="K99" s="488" t="inlineStr">
        <is>
          <t>1ml(1ml/盒)</t>
        </is>
      </c>
      <c r="L99" s="558" t="n">
        <v>27</v>
      </c>
      <c r="M99" s="123" t="inlineStr">
        <is>
          <t>MP1MA020014A</t>
        </is>
      </c>
      <c r="N99" s="117" t="n"/>
    </row>
    <row r="100" ht="17.25" customHeight="1" s="453" thickBot="1">
      <c r="A100" s="553">
        <f>IFERROR(LEFT(B100,7),"")</f>
        <v/>
      </c>
      <c r="B100" s="554">
        <f>"2025/07"&amp;D100</f>
        <v/>
      </c>
      <c r="C100" s="557" t="n">
        <v>19</v>
      </c>
      <c r="D100" s="488" t="inlineStr">
        <is>
          <t>站前4樓</t>
        </is>
      </c>
      <c r="E100" s="488" t="inlineStr">
        <is>
          <t>6150011</t>
        </is>
      </c>
      <c r="F100" s="551" t="n"/>
      <c r="G100" s="488" t="inlineStr">
        <is>
          <t>(V)仙女玻尿酸小分子 1ml</t>
        </is>
      </c>
      <c r="H100" s="552" t="n"/>
      <c r="I100" s="552" t="n"/>
      <c r="J100" s="551" t="n"/>
      <c r="K100" s="488" t="inlineStr">
        <is>
          <t>1ml(1ml/盒)</t>
        </is>
      </c>
      <c r="L100" s="558" t="n">
        <v>4</v>
      </c>
      <c r="M100" s="123" t="inlineStr">
        <is>
          <t>MP1MA020018A</t>
        </is>
      </c>
      <c r="N100" s="117" t="n"/>
    </row>
    <row r="101" ht="17.25" customHeight="1" s="453" thickBot="1">
      <c r="A101" s="553">
        <f>IFERROR(LEFT(B101,7),"")</f>
        <v/>
      </c>
      <c r="B101" s="554">
        <f>"2025/07"&amp;D101</f>
        <v/>
      </c>
      <c r="C101" s="557" t="n">
        <v>20</v>
      </c>
      <c r="D101" s="488" t="inlineStr">
        <is>
          <t>站前4樓</t>
        </is>
      </c>
      <c r="E101" s="488" t="inlineStr">
        <is>
          <t>6160002</t>
        </is>
      </c>
      <c r="F101" s="551" t="n"/>
      <c r="G101" s="488" t="inlineStr">
        <is>
          <t>(V)洢蓮絲植入劑ELLANSÉ-S 1ml</t>
        </is>
      </c>
      <c r="H101" s="552" t="n"/>
      <c r="I101" s="552" t="n"/>
      <c r="J101" s="551" t="n"/>
      <c r="K101" s="488" t="inlineStr">
        <is>
          <t>1ml(2ml/盒)</t>
        </is>
      </c>
      <c r="L101" s="558" t="n">
        <v>58</v>
      </c>
      <c r="M101" s="123" t="inlineStr">
        <is>
          <t>MP1MA020024A</t>
        </is>
      </c>
      <c r="N101" s="117" t="n"/>
    </row>
    <row r="102" ht="17.25" customHeight="1" s="453" thickBot="1">
      <c r="A102" s="553">
        <f>IFERROR(LEFT(B102,7),"")</f>
        <v/>
      </c>
      <c r="B102" s="554">
        <f>"2025/07"&amp;D102</f>
        <v/>
      </c>
      <c r="C102" s="557" t="n">
        <v>21</v>
      </c>
      <c r="D102" s="488" t="inlineStr">
        <is>
          <t>站前4樓</t>
        </is>
      </c>
      <c r="E102" s="488" t="inlineStr">
        <is>
          <t>6160003</t>
        </is>
      </c>
      <c r="F102" s="551" t="n"/>
      <c r="G102" s="488" t="inlineStr">
        <is>
          <t>(V)洢蓮絲植入劑ELLANSÉ-M 1ml</t>
        </is>
      </c>
      <c r="H102" s="552" t="n"/>
      <c r="I102" s="552" t="n"/>
      <c r="J102" s="551" t="n"/>
      <c r="K102" s="488" t="inlineStr">
        <is>
          <t>1ml(2ml/盒)</t>
        </is>
      </c>
      <c r="L102" s="558" t="n">
        <v>4</v>
      </c>
      <c r="M102" s="123" t="inlineStr">
        <is>
          <t>MP1MA020025A</t>
        </is>
      </c>
      <c r="N102" s="117" t="n"/>
    </row>
    <row r="103" ht="17.25" customHeight="1" s="453" thickBot="1">
      <c r="A103" s="553">
        <f>IFERROR(LEFT(B103,7),"")</f>
        <v/>
      </c>
      <c r="B103" s="554">
        <f>"2025/07"&amp;D103</f>
        <v/>
      </c>
      <c r="C103" s="557" t="n">
        <v>22</v>
      </c>
      <c r="D103" s="488" t="inlineStr">
        <is>
          <t>站前4樓</t>
        </is>
      </c>
      <c r="E103" s="488" t="inlineStr">
        <is>
          <t>6160005</t>
        </is>
      </c>
      <c r="F103" s="551" t="n"/>
      <c r="G103" s="488" t="inlineStr">
        <is>
          <t>(V)双美熊貓針</t>
        </is>
      </c>
      <c r="H103" s="552" t="n"/>
      <c r="I103" s="552" t="n"/>
      <c r="J103" s="551" t="n"/>
      <c r="K103" s="488" t="inlineStr">
        <is>
          <t>(1ml/盒)</t>
        </is>
      </c>
      <c r="L103" s="558" t="n">
        <v>8</v>
      </c>
      <c r="M103" s="123" t="inlineStr">
        <is>
          <t>MP1MA020015A</t>
        </is>
      </c>
      <c r="N103" s="117" t="n"/>
    </row>
    <row r="104" ht="17.25" customHeight="1" s="453" thickBot="1">
      <c r="A104" s="553">
        <f>IFERROR(LEFT(B104,7),"")</f>
        <v/>
      </c>
      <c r="B104" s="554">
        <f>"2025/07"&amp;D104</f>
        <v/>
      </c>
      <c r="C104" s="557" t="n">
        <v>23</v>
      </c>
      <c r="D104" s="488" t="inlineStr">
        <is>
          <t>站前4樓</t>
        </is>
      </c>
      <c r="E104" s="488" t="inlineStr">
        <is>
          <t>6160008</t>
        </is>
      </c>
      <c r="F104" s="551" t="n"/>
      <c r="G104" s="488" t="inlineStr">
        <is>
          <t>白童針-薇貝拉50mg/1cc</t>
        </is>
      </c>
      <c r="H104" s="552" t="n"/>
      <c r="I104" s="552" t="n"/>
      <c r="J104" s="551" t="n"/>
      <c r="K104" s="488" t="inlineStr">
        <is>
          <t>6cc/瓶</t>
        </is>
      </c>
      <c r="L104" s="558" t="n">
        <v>25</v>
      </c>
      <c r="M104" s="123" t="inlineStr">
        <is>
          <t>MP1MA020032A</t>
        </is>
      </c>
      <c r="N104" s="117" t="n"/>
    </row>
    <row r="105" ht="17.25" customHeight="1" s="453" thickBot="1">
      <c r="A105" s="553">
        <f>IFERROR(LEFT(B105,7),"")</f>
        <v/>
      </c>
      <c r="B105" s="554">
        <f>"2025/07"&amp;D105</f>
        <v/>
      </c>
      <c r="C105" s="557" t="n">
        <v>24</v>
      </c>
      <c r="D105" s="488" t="inlineStr">
        <is>
          <t>站前4樓</t>
        </is>
      </c>
      <c r="E105" s="488" t="inlineStr">
        <is>
          <t>6160009</t>
        </is>
      </c>
      <c r="F105" s="551" t="n"/>
      <c r="G105" s="488" t="inlineStr">
        <is>
          <t>黑童針-薇貝拉200mg/1cc</t>
        </is>
      </c>
      <c r="H105" s="552" t="n"/>
      <c r="I105" s="552" t="n"/>
      <c r="J105" s="551" t="n"/>
      <c r="K105" s="488" t="inlineStr">
        <is>
          <t>8cc/瓶</t>
        </is>
      </c>
      <c r="L105" s="558" t="n">
        <v>19</v>
      </c>
      <c r="M105" s="123" t="inlineStr">
        <is>
          <t>MP1MA020033A</t>
        </is>
      </c>
      <c r="N105" s="117" t="n"/>
    </row>
    <row r="106" ht="17.25" customHeight="1" s="453" thickBot="1">
      <c r="A106" s="553">
        <f>IFERROR(LEFT(B106,7),"")</f>
        <v/>
      </c>
      <c r="B106" s="554">
        <f>"2025/07"&amp;D106</f>
        <v/>
      </c>
      <c r="C106" s="557" t="n">
        <v>25</v>
      </c>
      <c r="D106" s="488" t="inlineStr">
        <is>
          <t>站前4樓</t>
        </is>
      </c>
      <c r="E106" s="488" t="inlineStr">
        <is>
          <t>6160010</t>
        </is>
      </c>
      <c r="F106" s="551" t="n"/>
      <c r="G106" s="488" t="inlineStr">
        <is>
          <t>喬雅露-大分子200mg/1cc</t>
        </is>
      </c>
      <c r="H106" s="552" t="n"/>
      <c r="I106" s="552" t="n"/>
      <c r="J106" s="551" t="n"/>
      <c r="K106" s="488" t="inlineStr">
        <is>
          <t>8cc/瓶</t>
        </is>
      </c>
      <c r="L106" s="558" t="n">
        <v>85</v>
      </c>
      <c r="M106" s="123" t="inlineStr">
        <is>
          <t>MP1MA020031A</t>
        </is>
      </c>
      <c r="N106" s="117" t="n"/>
    </row>
    <row r="107" ht="17.25" customHeight="1" s="453" thickBot="1">
      <c r="A107" s="553">
        <f>IFERROR(LEFT(B107,7),"")</f>
        <v/>
      </c>
      <c r="B107" s="554">
        <f>"2025/07"&amp;D107</f>
        <v/>
      </c>
      <c r="C107" s="557" t="n">
        <v>26</v>
      </c>
      <c r="D107" s="488" t="inlineStr">
        <is>
          <t>站前4樓</t>
        </is>
      </c>
      <c r="E107" s="488" t="inlineStr">
        <is>
          <t>6160011</t>
        </is>
      </c>
      <c r="F107" s="551" t="n"/>
      <c r="G107" s="488" t="inlineStr">
        <is>
          <t>喬雅露-小分子50mg/1cc</t>
        </is>
      </c>
      <c r="H107" s="552" t="n"/>
      <c r="I107" s="552" t="n"/>
      <c r="J107" s="551" t="n"/>
      <c r="K107" s="488" t="inlineStr">
        <is>
          <t>6cc/瓶</t>
        </is>
      </c>
      <c r="L107" s="558" t="n">
        <v>278</v>
      </c>
      <c r="M107" s="123" t="inlineStr">
        <is>
          <t>MP1MA020030A</t>
        </is>
      </c>
      <c r="N107" s="117" t="n"/>
    </row>
    <row r="108" ht="17.25" customHeight="1" s="453" thickBot="1">
      <c r="A108" s="553">
        <f>IFERROR(LEFT(B108,7),"")</f>
        <v/>
      </c>
      <c r="B108" s="554">
        <f>"2025/07"&amp;D108</f>
        <v/>
      </c>
      <c r="C108" s="557" t="n">
        <v>27</v>
      </c>
      <c r="D108" s="488" t="inlineStr">
        <is>
          <t>站前4樓</t>
        </is>
      </c>
      <c r="E108" s="488" t="inlineStr">
        <is>
          <t>6170005</t>
        </is>
      </c>
      <c r="F108" s="551" t="n"/>
      <c r="G108" s="488" t="inlineStr">
        <is>
          <t>海芙三代音波探頭2mm/ 條</t>
        </is>
      </c>
      <c r="H108" s="552" t="n"/>
      <c r="I108" s="552" t="n"/>
      <c r="J108" s="551" t="n"/>
      <c r="K108" s="488" t="inlineStr">
        <is>
          <t>20000條/顆</t>
        </is>
      </c>
      <c r="L108" s="558" t="n">
        <v>14787</v>
      </c>
      <c r="M108" s="123" t="inlineStr">
        <is>
          <t>MM2MB040003A</t>
        </is>
      </c>
      <c r="N108" s="117" t="n"/>
    </row>
    <row r="109" ht="17.25" customHeight="1" s="453" thickBot="1">
      <c r="A109" s="553">
        <f>IFERROR(LEFT(B109,7),"")</f>
        <v/>
      </c>
      <c r="B109" s="554">
        <f>"2025/07"&amp;D109</f>
        <v/>
      </c>
      <c r="C109" s="557" t="n">
        <v>28</v>
      </c>
      <c r="D109" s="488" t="inlineStr">
        <is>
          <t>站前4樓</t>
        </is>
      </c>
      <c r="E109" s="488" t="inlineStr">
        <is>
          <t>6170007</t>
        </is>
      </c>
      <c r="F109" s="551" t="n"/>
      <c r="G109" s="488" t="inlineStr">
        <is>
          <t>海芙三代音波探頭3mm/ 條</t>
        </is>
      </c>
      <c r="H109" s="552" t="n"/>
      <c r="I109" s="552" t="n"/>
      <c r="J109" s="551" t="n"/>
      <c r="K109" s="488" t="inlineStr">
        <is>
          <t>20000條/顆</t>
        </is>
      </c>
      <c r="L109" s="558" t="n">
        <v>31868</v>
      </c>
      <c r="M109" s="123" t="inlineStr">
        <is>
          <t>MM2MB040004A</t>
        </is>
      </c>
      <c r="N109" s="117" t="n"/>
    </row>
    <row r="110" ht="17.25" customHeight="1" s="453" thickBot="1">
      <c r="A110" s="553">
        <f>IFERROR(LEFT(B110,7),"")</f>
        <v/>
      </c>
      <c r="B110" s="554">
        <f>"2025/07"&amp;D110</f>
        <v/>
      </c>
      <c r="C110" s="557" t="n">
        <v>29</v>
      </c>
      <c r="D110" s="488" t="inlineStr">
        <is>
          <t>站前4樓</t>
        </is>
      </c>
      <c r="E110" s="488" t="inlineStr">
        <is>
          <t>6170009</t>
        </is>
      </c>
      <c r="F110" s="551" t="n"/>
      <c r="G110" s="488" t="inlineStr">
        <is>
          <t>海芙三代音波探頭4.5mm/ 條</t>
        </is>
      </c>
      <c r="H110" s="552" t="n"/>
      <c r="I110" s="552" t="n"/>
      <c r="J110" s="551" t="n"/>
      <c r="K110" s="488" t="inlineStr">
        <is>
          <t>20000條/顆</t>
        </is>
      </c>
      <c r="L110" s="558" t="n">
        <v>47994</v>
      </c>
      <c r="M110" s="123" t="inlineStr">
        <is>
          <t>MM2MB040005A</t>
        </is>
      </c>
      <c r="N110" s="117" t="n"/>
    </row>
    <row r="111" ht="17.25" customHeight="1" s="453" thickBot="1">
      <c r="A111" s="553">
        <f>IFERROR(LEFT(B111,7),"")</f>
        <v/>
      </c>
      <c r="B111" s="554">
        <f>"2025/07"&amp;D111</f>
        <v/>
      </c>
      <c r="C111" s="557" t="n">
        <v>30</v>
      </c>
      <c r="D111" s="488" t="inlineStr">
        <is>
          <t>站前4樓</t>
        </is>
      </c>
      <c r="E111" s="488" t="inlineStr">
        <is>
          <t>6170011</t>
        </is>
      </c>
      <c r="F111" s="551" t="n"/>
      <c r="G111" s="488" t="inlineStr">
        <is>
          <t>海芙三代音波探頭6mm/ 條</t>
        </is>
      </c>
      <c r="H111" s="552" t="n"/>
      <c r="I111" s="552" t="n"/>
      <c r="J111" s="551" t="n"/>
      <c r="K111" s="488" t="inlineStr">
        <is>
          <t>條</t>
        </is>
      </c>
      <c r="L111" s="558" t="n">
        <v>11614</v>
      </c>
      <c r="M111" s="123" t="inlineStr">
        <is>
          <t>MM2MB040006A</t>
        </is>
      </c>
      <c r="N111" s="117" t="n"/>
    </row>
    <row r="112" ht="17.25" customHeight="1" s="453" thickBot="1">
      <c r="A112" s="553">
        <f>IFERROR(LEFT(B112,7),"")</f>
        <v/>
      </c>
      <c r="B112" s="554">
        <f>"2025/07"&amp;D112</f>
        <v/>
      </c>
      <c r="C112" s="557" t="n">
        <v>31</v>
      </c>
      <c r="D112" s="488" t="inlineStr">
        <is>
          <t>站前4樓</t>
        </is>
      </c>
      <c r="E112" s="488" t="inlineStr">
        <is>
          <t>6170013</t>
        </is>
      </c>
      <c r="F112" s="551" t="n"/>
      <c r="G112" s="488" t="inlineStr">
        <is>
          <t>鳳凰電波4平方公分紫鑽探頭(900發)</t>
        </is>
      </c>
      <c r="H112" s="552" t="n"/>
      <c r="I112" s="552" t="n"/>
      <c r="J112" s="551" t="n"/>
      <c r="K112" s="488" t="inlineStr">
        <is>
          <t>顆</t>
        </is>
      </c>
      <c r="L112" s="558" t="n">
        <v>10</v>
      </c>
      <c r="M112" s="123" t="inlineStr">
        <is>
          <t>MP1MB030002A</t>
        </is>
      </c>
      <c r="N112" s="117" t="n"/>
    </row>
    <row r="113" ht="17.25" customHeight="1" s="453" thickBot="1">
      <c r="A113" s="553">
        <f>IFERROR(LEFT(B113,7),"")</f>
        <v/>
      </c>
      <c r="B113" s="554">
        <f>"2025/07"&amp;D113</f>
        <v/>
      </c>
      <c r="C113" s="557" t="n">
        <v>32</v>
      </c>
      <c r="D113" s="488" t="inlineStr">
        <is>
          <t>站前4樓</t>
        </is>
      </c>
      <c r="E113" s="488" t="inlineStr">
        <is>
          <t>6170014</t>
        </is>
      </c>
      <c r="F113" s="551" t="n"/>
      <c r="G113" s="488" t="inlineStr">
        <is>
          <t>鳳凰電波0.25平方公分碧眼探頭(450發)</t>
        </is>
      </c>
      <c r="H113" s="552" t="n"/>
      <c r="I113" s="552" t="n"/>
      <c r="J113" s="551" t="n"/>
      <c r="K113" s="488" t="inlineStr">
        <is>
          <t>顆</t>
        </is>
      </c>
      <c r="L113" s="558" t="n">
        <v>1</v>
      </c>
      <c r="M113" s="123" t="inlineStr">
        <is>
          <t>MP1MB030003A</t>
        </is>
      </c>
      <c r="N113" s="117" t="n"/>
    </row>
    <row r="114" ht="17.25" customHeight="1" s="453" thickBot="1">
      <c r="A114" s="553">
        <f>IFERROR(LEFT(B114,7),"")</f>
        <v/>
      </c>
      <c r="B114" s="554">
        <f>"2025/07"&amp;D114</f>
        <v/>
      </c>
      <c r="C114" s="557" t="n">
        <v>33</v>
      </c>
      <c r="D114" s="488" t="inlineStr">
        <is>
          <t>站前4樓</t>
        </is>
      </c>
      <c r="E114" s="488" t="inlineStr">
        <is>
          <t>6170019</t>
        </is>
      </c>
      <c r="F114" s="551" t="n"/>
      <c r="G114" s="488" t="inlineStr">
        <is>
          <t>媚必提直線探頭2.0mm/條</t>
        </is>
      </c>
      <c r="H114" s="552" t="n"/>
      <c r="I114" s="552" t="n"/>
      <c r="J114" s="551" t="n"/>
      <c r="K114" s="488" t="inlineStr">
        <is>
          <t>20000條/顆</t>
        </is>
      </c>
      <c r="L114" s="558" t="n">
        <v>1201</v>
      </c>
      <c r="M114" s="123" t="inlineStr">
        <is>
          <t>MM2MB040008A</t>
        </is>
      </c>
      <c r="N114" s="117" t="n"/>
    </row>
    <row r="115" ht="17.25" customHeight="1" s="453" thickBot="1">
      <c r="A115" s="553">
        <f>IFERROR(LEFT(B115,7),"")</f>
        <v/>
      </c>
      <c r="B115" s="554">
        <f>"2025/07"&amp;D115</f>
        <v/>
      </c>
      <c r="C115" s="557" t="n">
        <v>34</v>
      </c>
      <c r="D115" s="488" t="inlineStr">
        <is>
          <t>站前4樓</t>
        </is>
      </c>
      <c r="E115" s="488" t="inlineStr">
        <is>
          <t>6170020</t>
        </is>
      </c>
      <c r="F115" s="551" t="n"/>
      <c r="G115" s="488" t="inlineStr">
        <is>
          <t>媚必提直線探頭3.0mm/條</t>
        </is>
      </c>
      <c r="H115" s="552" t="n"/>
      <c r="I115" s="552" t="n"/>
      <c r="J115" s="551" t="n"/>
      <c r="K115" s="488" t="inlineStr">
        <is>
          <t>20000條/顆</t>
        </is>
      </c>
      <c r="L115" s="558" t="n">
        <v>5033</v>
      </c>
      <c r="M115" s="123" t="inlineStr">
        <is>
          <t>MM2MB040009A</t>
        </is>
      </c>
      <c r="N115" s="117" t="n"/>
    </row>
    <row r="116" ht="17.25" customHeight="1" s="453" thickBot="1">
      <c r="A116" s="553">
        <f>IFERROR(LEFT(B116,7),"")</f>
        <v/>
      </c>
      <c r="B116" s="554">
        <f>"2025/07"&amp;D116</f>
        <v/>
      </c>
      <c r="C116" s="557" t="n">
        <v>35</v>
      </c>
      <c r="D116" s="488" t="inlineStr">
        <is>
          <t>站前4樓</t>
        </is>
      </c>
      <c r="E116" s="488" t="inlineStr">
        <is>
          <t>6170021</t>
        </is>
      </c>
      <c r="F116" s="551" t="n"/>
      <c r="G116" s="488" t="inlineStr">
        <is>
          <t>媚必提直線探頭4.5mm/條</t>
        </is>
      </c>
      <c r="H116" s="552" t="n"/>
      <c r="I116" s="552" t="n"/>
      <c r="J116" s="551" t="n"/>
      <c r="K116" s="488" t="inlineStr">
        <is>
          <t>20000條/顆</t>
        </is>
      </c>
      <c r="L116" s="558" t="n">
        <v>10416</v>
      </c>
      <c r="M116" s="123" t="inlineStr">
        <is>
          <t>MM2MB040010A</t>
        </is>
      </c>
      <c r="N116" s="117" t="n"/>
    </row>
    <row r="117" ht="17.25" customHeight="1" s="453" thickBot="1">
      <c r="A117" s="553">
        <f>IFERROR(LEFT(B117,7),"")</f>
        <v/>
      </c>
      <c r="B117" s="554">
        <f>"2025/07"&amp;D117</f>
        <v/>
      </c>
      <c r="C117" s="557" t="n">
        <v>36</v>
      </c>
      <c r="D117" s="488" t="inlineStr">
        <is>
          <t>站前4樓</t>
        </is>
      </c>
      <c r="E117" s="488" t="inlineStr">
        <is>
          <t>6170022</t>
        </is>
      </c>
      <c r="F117" s="551" t="n"/>
      <c r="G117" s="488" t="inlineStr">
        <is>
          <t>媚必提直線探頭6.0mm/條</t>
        </is>
      </c>
      <c r="H117" s="552" t="n"/>
      <c r="I117" s="552" t="n"/>
      <c r="J117" s="551" t="n"/>
      <c r="K117" s="488" t="inlineStr">
        <is>
          <t>20000條/顆</t>
        </is>
      </c>
      <c r="L117" s="558" t="n">
        <v>6354</v>
      </c>
      <c r="M117" s="123" t="inlineStr">
        <is>
          <t>MM2MB040011A</t>
        </is>
      </c>
      <c r="N117" s="117" t="n"/>
    </row>
    <row r="118" ht="17.25" customHeight="1" s="453" thickBot="1">
      <c r="A118" s="553">
        <f>IFERROR(LEFT(B118,7),"")</f>
        <v/>
      </c>
      <c r="B118" s="554">
        <f>"2025/07"&amp;D118</f>
        <v/>
      </c>
      <c r="C118" s="557" t="n">
        <v>37</v>
      </c>
      <c r="D118" s="488" t="inlineStr">
        <is>
          <t>站前4樓</t>
        </is>
      </c>
      <c r="E118" s="488" t="inlineStr">
        <is>
          <t>6170028</t>
        </is>
      </c>
      <c r="F118" s="551" t="n"/>
      <c r="G118" s="488" t="inlineStr">
        <is>
          <t>海芙電波探頭0.25cm/發</t>
        </is>
      </c>
      <c r="H118" s="552" t="n"/>
      <c r="I118" s="552" t="n"/>
      <c r="J118" s="551" t="n"/>
      <c r="K118" s="488" t="inlineStr">
        <is>
          <t>6000發/顆</t>
        </is>
      </c>
      <c r="L118" s="558" t="n">
        <v>6000</v>
      </c>
      <c r="M118" s="123" t="inlineStr">
        <is>
          <t>MM2MB030002A</t>
        </is>
      </c>
      <c r="N118" s="117" t="n"/>
    </row>
    <row r="119" ht="17.25" customHeight="1" s="453" thickBot="1">
      <c r="A119" s="553">
        <f>IFERROR(LEFT(B119,7),"")</f>
        <v/>
      </c>
      <c r="B119" s="554">
        <f>"2025/07"&amp;D119</f>
        <v/>
      </c>
      <c r="C119" s="557" t="n">
        <v>38</v>
      </c>
      <c r="D119" s="488" t="inlineStr">
        <is>
          <t>站前4樓</t>
        </is>
      </c>
      <c r="E119" s="488" t="inlineStr">
        <is>
          <t>6170029</t>
        </is>
      </c>
      <c r="F119" s="551" t="n"/>
      <c r="G119" s="488" t="inlineStr">
        <is>
          <t>海芙電波探頭3.0cm/發</t>
        </is>
      </c>
      <c r="H119" s="552" t="n"/>
      <c r="I119" s="552" t="n"/>
      <c r="J119" s="551" t="n"/>
      <c r="K119" s="488" t="inlineStr">
        <is>
          <t>4000發/顆</t>
        </is>
      </c>
      <c r="L119" s="558" t="n">
        <v>18150</v>
      </c>
      <c r="M119" s="123" t="inlineStr">
        <is>
          <t>MM2MB030003A</t>
        </is>
      </c>
      <c r="N119" s="117" t="n"/>
    </row>
    <row r="120" ht="17.25" customHeight="1" s="453" thickBot="1">
      <c r="A120" s="553">
        <f>IFERROR(LEFT(B120,7),"")</f>
        <v/>
      </c>
      <c r="B120" s="554">
        <f>"2025/07"&amp;D120</f>
        <v/>
      </c>
      <c r="C120" s="557" t="n">
        <v>39</v>
      </c>
      <c r="D120" s="488" t="inlineStr">
        <is>
          <t>站前4樓</t>
        </is>
      </c>
      <c r="E120" s="488" t="inlineStr">
        <is>
          <t>6170032</t>
        </is>
      </c>
      <c r="F120" s="551" t="n"/>
      <c r="G120" s="488" t="inlineStr">
        <is>
          <t>立特拉A2筆型探頭3.0mm/ 條</t>
        </is>
      </c>
      <c r="H120" s="552" t="n"/>
      <c r="I120" s="552" t="n"/>
      <c r="J120" s="551" t="n"/>
      <c r="K120" s="488" t="inlineStr">
        <is>
          <t>240000條/顆</t>
        </is>
      </c>
      <c r="L120" s="558" t="n">
        <v>208921</v>
      </c>
      <c r="M120" s="123" t="inlineStr">
        <is>
          <t>MM2MB040018A</t>
        </is>
      </c>
      <c r="N120" s="117" t="n"/>
    </row>
    <row r="121" ht="17.25" customHeight="1" s="453" thickBot="1">
      <c r="A121" s="553">
        <f>IFERROR(LEFT(B121,7),"")</f>
        <v/>
      </c>
      <c r="B121" s="554">
        <f>"2025/07"&amp;D121</f>
        <v/>
      </c>
      <c r="C121" s="557" t="n">
        <v>40</v>
      </c>
      <c r="D121" s="488" t="inlineStr">
        <is>
          <t>站前4樓</t>
        </is>
      </c>
      <c r="E121" s="488" t="inlineStr">
        <is>
          <t>6170033</t>
        </is>
      </c>
      <c r="F121" s="551" t="n"/>
      <c r="G121" s="488" t="inlineStr">
        <is>
          <t>立特拉A2筆型探頭4.5mm/ 條</t>
        </is>
      </c>
      <c r="H121" s="552" t="n"/>
      <c r="I121" s="552" t="n"/>
      <c r="J121" s="551" t="n"/>
      <c r="K121" s="488" t="inlineStr">
        <is>
          <t>240000條/顆</t>
        </is>
      </c>
      <c r="L121" s="558" t="n">
        <v>66280</v>
      </c>
      <c r="M121" s="123" t="inlineStr">
        <is>
          <t>MM2MB040019A</t>
        </is>
      </c>
      <c r="N121" s="117" t="n"/>
    </row>
    <row r="122" ht="17.25" customHeight="1" s="453" thickBot="1">
      <c r="A122" s="553">
        <f>IFERROR(LEFT(B122,7),"")</f>
        <v/>
      </c>
      <c r="B122" s="554">
        <f>"2025/07"&amp;D122</f>
        <v/>
      </c>
      <c r="C122" s="557" t="n">
        <v>41</v>
      </c>
      <c r="D122" s="488" t="inlineStr">
        <is>
          <t>站前4樓</t>
        </is>
      </c>
      <c r="E122" s="488" t="inlineStr">
        <is>
          <t>6170034</t>
        </is>
      </c>
      <c r="F122" s="551" t="n"/>
      <c r="G122" s="488" t="inlineStr">
        <is>
          <t>十蓓電波臉部探頭5cm</t>
        </is>
      </c>
      <c r="H122" s="552" t="n"/>
      <c r="I122" s="552" t="n"/>
      <c r="J122" s="551" t="n"/>
      <c r="K122" s="488" t="inlineStr">
        <is>
          <t>900發/顆</t>
        </is>
      </c>
      <c r="L122" s="558" t="n">
        <v>12404</v>
      </c>
      <c r="M122" s="123" t="inlineStr">
        <is>
          <t>MM2MB030006A</t>
        </is>
      </c>
      <c r="N122" s="117" t="n"/>
    </row>
    <row r="123" ht="17.25" customHeight="1" s="453" thickBot="1">
      <c r="A123" s="553">
        <f>IFERROR(LEFT(B123,7),"")</f>
        <v/>
      </c>
      <c r="B123" s="554">
        <f>"2025/07"&amp;D123</f>
        <v/>
      </c>
      <c r="C123" s="557" t="n">
        <v>42</v>
      </c>
      <c r="D123" s="488" t="inlineStr">
        <is>
          <t>站前4樓</t>
        </is>
      </c>
      <c r="E123" s="488" t="inlineStr">
        <is>
          <t>6170035</t>
        </is>
      </c>
      <c r="F123" s="551" t="n"/>
      <c r="G123" s="488" t="inlineStr">
        <is>
          <t>十蓓電波眼部探頭0.25cm</t>
        </is>
      </c>
      <c r="H123" s="552" t="n"/>
      <c r="I123" s="552" t="n"/>
      <c r="J123" s="551" t="n"/>
      <c r="K123" s="488" t="inlineStr">
        <is>
          <t>600發/顆</t>
        </is>
      </c>
      <c r="L123" s="558" t="n">
        <v>5200</v>
      </c>
      <c r="M123" s="123" t="inlineStr">
        <is>
          <t>MM2MB030007A</t>
        </is>
      </c>
      <c r="N123" s="117" t="n"/>
    </row>
    <row r="124" ht="17.25" customHeight="1" s="453" thickBot="1">
      <c r="A124" s="553">
        <f>IFERROR(LEFT(B124,7),"")</f>
        <v/>
      </c>
      <c r="B124" s="554">
        <f>"2025/07"&amp;D124</f>
        <v/>
      </c>
      <c r="C124" s="557" t="n">
        <v>43</v>
      </c>
      <c r="D124" s="488" t="inlineStr">
        <is>
          <t>站前4樓</t>
        </is>
      </c>
      <c r="E124" s="488" t="inlineStr">
        <is>
          <t>6180005</t>
        </is>
      </c>
      <c r="F124" s="551" t="n"/>
      <c r="G124" s="488" t="inlineStr">
        <is>
          <t>(V)MINT秘特拉提線FINE 18CM/ 條</t>
        </is>
      </c>
      <c r="H124" s="552" t="n"/>
      <c r="I124" s="552" t="n"/>
      <c r="J124" s="551" t="n"/>
      <c r="K124" s="488" t="inlineStr">
        <is>
          <t>20條/盒</t>
        </is>
      </c>
      <c r="L124" s="558" t="n">
        <v>4</v>
      </c>
      <c r="M124" s="123" t="inlineStr">
        <is>
          <t>MP1MA010012A</t>
        </is>
      </c>
      <c r="N124" s="117" t="n"/>
    </row>
    <row r="125" ht="17.25" customHeight="1" s="453" thickBot="1">
      <c r="A125" s="553">
        <f>IFERROR(LEFT(B125,7),"")</f>
        <v/>
      </c>
      <c r="B125" s="554">
        <f>"2025/07"&amp;D125</f>
        <v/>
      </c>
      <c r="C125" s="557" t="n">
        <v>44</v>
      </c>
      <c r="D125" s="488" t="inlineStr">
        <is>
          <t>站前4樓</t>
        </is>
      </c>
      <c r="E125" s="488" t="inlineStr">
        <is>
          <t>6180007</t>
        </is>
      </c>
      <c r="F125" s="551" t="n"/>
      <c r="G125" s="488" t="inlineStr">
        <is>
          <t>(V)MINT秘特拉提線PETIT 15CM/ 條</t>
        </is>
      </c>
      <c r="H125" s="552" t="n"/>
      <c r="I125" s="552" t="n"/>
      <c r="J125" s="551" t="n"/>
      <c r="K125" s="488" t="inlineStr">
        <is>
          <t>20條/盒</t>
        </is>
      </c>
      <c r="L125" s="558" t="n">
        <v>4</v>
      </c>
      <c r="M125" s="123" t="inlineStr">
        <is>
          <t>MP1MA010014A</t>
        </is>
      </c>
      <c r="N125" s="117" t="n"/>
    </row>
    <row r="126" ht="17.25" customHeight="1" s="453" thickBot="1">
      <c r="A126" s="553">
        <f>IFERROR(LEFT(B126,7),"")</f>
        <v/>
      </c>
      <c r="B126" s="554">
        <f>"2025/07"&amp;D126</f>
        <v/>
      </c>
      <c r="C126" s="557" t="n">
        <v>45</v>
      </c>
      <c r="D126" s="488" t="inlineStr">
        <is>
          <t>站前4樓</t>
        </is>
      </c>
      <c r="E126" s="488" t="inlineStr">
        <is>
          <t>6180009</t>
        </is>
      </c>
      <c r="F126" s="551" t="n"/>
      <c r="G126" s="488" t="inlineStr">
        <is>
          <t>(V)MINT秘特拉提線TIP 4CM/ 條</t>
        </is>
      </c>
      <c r="H126" s="552" t="n"/>
      <c r="I126" s="552" t="n"/>
      <c r="J126" s="551" t="n"/>
      <c r="K126" s="488" t="inlineStr">
        <is>
          <t>10條/盒</t>
        </is>
      </c>
      <c r="L126" s="558" t="n">
        <v>4</v>
      </c>
      <c r="M126" s="123" t="inlineStr">
        <is>
          <t>MP1MA010015A</t>
        </is>
      </c>
      <c r="N126" s="117" t="n"/>
    </row>
    <row r="127" ht="17.25" customHeight="1" s="453" thickBot="1">
      <c r="A127" s="553">
        <f>IFERROR(LEFT(B127,7),"")</f>
        <v/>
      </c>
      <c r="B127" s="554">
        <f>"2025/07"&amp;D127</f>
        <v/>
      </c>
      <c r="C127" s="557" t="n">
        <v>46</v>
      </c>
      <c r="D127" s="488" t="inlineStr">
        <is>
          <t>站前4樓</t>
        </is>
      </c>
      <c r="E127" s="488" t="inlineStr">
        <is>
          <t>6180011</t>
        </is>
      </c>
      <c r="F127" s="551" t="n"/>
      <c r="G127" s="488" t="inlineStr">
        <is>
          <t>(V)MINT秘特拉提線UP 9.5CM/ 條</t>
        </is>
      </c>
      <c r="H127" s="552" t="n"/>
      <c r="I127" s="552" t="n"/>
      <c r="J127" s="551" t="n"/>
      <c r="K127" s="488" t="inlineStr">
        <is>
          <t>10條/盒</t>
        </is>
      </c>
      <c r="L127" s="558" t="n">
        <v>12</v>
      </c>
      <c r="M127" s="123" t="inlineStr">
        <is>
          <t>MP1MA010016A</t>
        </is>
      </c>
      <c r="N127" s="117" t="n"/>
    </row>
    <row r="128" ht="17.25" customHeight="1" s="453" thickBot="1">
      <c r="A128" s="553">
        <f>IFERROR(LEFT(B128,7),"")</f>
        <v/>
      </c>
      <c r="B128" s="554">
        <f>"2025/07"&amp;D128</f>
        <v/>
      </c>
      <c r="C128" s="557" t="n">
        <v>47</v>
      </c>
      <c r="D128" s="488" t="inlineStr">
        <is>
          <t>站前4樓</t>
        </is>
      </c>
      <c r="E128" s="488" t="inlineStr">
        <is>
          <t>6180013</t>
        </is>
      </c>
      <c r="F128" s="551" t="n"/>
      <c r="G128" s="488" t="inlineStr">
        <is>
          <t>(V)MINT秘特拉提線FIX 18CM/ 條</t>
        </is>
      </c>
      <c r="H128" s="552" t="n"/>
      <c r="I128" s="552" t="n"/>
      <c r="J128" s="551" t="n"/>
      <c r="K128" s="488" t="inlineStr">
        <is>
          <t>20條/盒</t>
        </is>
      </c>
      <c r="L128" s="558" t="n">
        <v>8</v>
      </c>
      <c r="M128" s="123" t="inlineStr">
        <is>
          <t>MP1MA010013A</t>
        </is>
      </c>
      <c r="N128" s="117" t="n"/>
    </row>
    <row r="129" ht="17.25" customHeight="1" s="453" thickBot="1">
      <c r="A129" s="553">
        <f>IFERROR(LEFT(B129,7),"")</f>
        <v/>
      </c>
      <c r="B129" s="554">
        <f>"2025/07"&amp;D129</f>
        <v/>
      </c>
      <c r="C129" s="557" t="n">
        <v>48</v>
      </c>
      <c r="D129" s="488" t="inlineStr">
        <is>
          <t>站前4樓</t>
        </is>
      </c>
      <c r="E129" s="488" t="inlineStr">
        <is>
          <t>6190001</t>
        </is>
      </c>
      <c r="F129" s="551" t="n"/>
      <c r="G129" s="488" t="inlineStr">
        <is>
          <t>PLT生長因子凍晶製備/ 瓶</t>
        </is>
      </c>
      <c r="H129" s="552" t="n"/>
      <c r="I129" s="552" t="n"/>
      <c r="J129" s="551" t="n"/>
      <c r="K129" s="488" t="inlineStr">
        <is>
          <t>瓶</t>
        </is>
      </c>
      <c r="L129" s="558" t="n">
        <v>8</v>
      </c>
      <c r="M129" s="123" t="n"/>
      <c r="N129" s="117" t="n"/>
    </row>
    <row r="130" ht="17.25" customHeight="1" s="453" thickBot="1">
      <c r="A130" s="553">
        <f>IFERROR(LEFT(B130,7),"")</f>
        <v/>
      </c>
      <c r="B130" s="554">
        <f>"2025/07"&amp;D130</f>
        <v/>
      </c>
      <c r="C130" s="557" t="n">
        <v>49</v>
      </c>
      <c r="D130" s="488" t="inlineStr">
        <is>
          <t>站前4樓</t>
        </is>
      </c>
      <c r="E130" s="488" t="inlineStr">
        <is>
          <t>6200003</t>
        </is>
      </c>
      <c r="F130" s="551" t="n"/>
      <c r="G130" s="488" t="inlineStr">
        <is>
          <t>(V)倍克脂Belkyra/ 瓶</t>
        </is>
      </c>
      <c r="H130" s="552" t="n"/>
      <c r="I130" s="552" t="n"/>
      <c r="J130" s="551" t="n"/>
      <c r="K130" s="488" t="inlineStr">
        <is>
          <t>5瓶/盒</t>
        </is>
      </c>
      <c r="L130" s="558" t="n">
        <v>5</v>
      </c>
      <c r="M130" s="123" t="inlineStr">
        <is>
          <t>MB3ME090004A</t>
        </is>
      </c>
      <c r="N130" s="117" t="n"/>
    </row>
    <row r="131" ht="17.25" customHeight="1" s="453" thickBot="1">
      <c r="A131" s="553">
        <f>IFERROR(LEFT(B131,7),"")</f>
        <v/>
      </c>
      <c r="B131" s="554">
        <f>"2025/07"&amp;D131</f>
        <v/>
      </c>
      <c r="C131" s="557" t="n">
        <v>50</v>
      </c>
      <c r="D131" s="488" t="inlineStr">
        <is>
          <t>站前4樓</t>
        </is>
      </c>
      <c r="E131" s="488" t="inlineStr">
        <is>
          <t>6210001</t>
        </is>
      </c>
      <c r="F131" s="551" t="n"/>
      <c r="G131" s="488" t="inlineStr">
        <is>
          <t>(V)水光針針頭/31G9針/1.0mm/ PCS</t>
        </is>
      </c>
      <c r="H131" s="552" t="n"/>
      <c r="I131" s="552" t="n"/>
      <c r="J131" s="551" t="n"/>
      <c r="K131" s="488" t="inlineStr">
        <is>
          <t>PCS(20入/盒)</t>
        </is>
      </c>
      <c r="L131" s="558" t="n">
        <v>2</v>
      </c>
      <c r="M131" s="123" t="inlineStr">
        <is>
          <t>MP1MA070006A</t>
        </is>
      </c>
      <c r="N131" s="117" t="n"/>
    </row>
    <row r="132" ht="17.25" customHeight="1" s="453" thickBot="1">
      <c r="A132" s="553">
        <f>IFERROR(LEFT(B132,7),"")</f>
        <v/>
      </c>
      <c r="B132" s="554">
        <f>"2025/07"&amp;D132</f>
        <v/>
      </c>
      <c r="C132" s="557" t="n">
        <v>51</v>
      </c>
      <c r="D132" s="488" t="inlineStr">
        <is>
          <t>站前4樓</t>
        </is>
      </c>
      <c r="E132" s="488" t="inlineStr">
        <is>
          <t>6210002</t>
        </is>
      </c>
      <c r="F132" s="551" t="n"/>
      <c r="G132" s="488" t="inlineStr">
        <is>
          <t>(V)水光針針頭/31G9針/1.2mm/ PCS</t>
        </is>
      </c>
      <c r="H132" s="552" t="n"/>
      <c r="I132" s="552" t="n"/>
      <c r="J132" s="551" t="n"/>
      <c r="K132" s="488" t="inlineStr">
        <is>
          <t>PCS(20入/盒)</t>
        </is>
      </c>
      <c r="L132" s="558" t="n">
        <v>28</v>
      </c>
      <c r="M132" s="123" t="inlineStr">
        <is>
          <t>MP1MA070007A</t>
        </is>
      </c>
      <c r="N132" s="117" t="n"/>
    </row>
    <row r="133" ht="17.25" customHeight="1" s="453" thickBot="1">
      <c r="A133" s="553">
        <f>IFERROR(LEFT(B133,7),"")</f>
        <v/>
      </c>
      <c r="B133" s="554">
        <f>"2025/07"&amp;D133</f>
        <v/>
      </c>
      <c r="C133" s="557" t="n">
        <v>52</v>
      </c>
      <c r="D133" s="488" t="inlineStr">
        <is>
          <t>站前4樓</t>
        </is>
      </c>
      <c r="E133" s="488" t="inlineStr">
        <is>
          <t>6210003</t>
        </is>
      </c>
      <c r="F133" s="551" t="n"/>
      <c r="G133" s="488" t="inlineStr">
        <is>
          <t>(V)水光針針頭/31G9針/1.5mm/ PCS</t>
        </is>
      </c>
      <c r="H133" s="552" t="n"/>
      <c r="I133" s="552" t="n"/>
      <c r="J133" s="551" t="n"/>
      <c r="K133" s="488" t="inlineStr">
        <is>
          <t>PCS(20入/盒)</t>
        </is>
      </c>
      <c r="L133" s="558" t="n">
        <v>38</v>
      </c>
      <c r="M133" s="123" t="inlineStr">
        <is>
          <t>MP1MA070008A</t>
        </is>
      </c>
      <c r="N133" s="117" t="n"/>
    </row>
    <row r="134" ht="17.25" customHeight="1" s="453" thickBot="1">
      <c r="A134" s="553">
        <f>IFERROR(LEFT(B134,7),"")</f>
        <v/>
      </c>
      <c r="B134" s="554">
        <f>"2025/07"&amp;D134</f>
        <v/>
      </c>
      <c r="C134" s="557" t="n">
        <v>53</v>
      </c>
      <c r="D134" s="488" t="inlineStr">
        <is>
          <t>站前4樓</t>
        </is>
      </c>
      <c r="E134" s="488" t="inlineStr">
        <is>
          <t>6210005</t>
        </is>
      </c>
      <c r="F134" s="551" t="n"/>
      <c r="G134" s="488" t="inlineStr">
        <is>
          <t>(V)水光針針頭/32G9針/1.0mm/ PCS</t>
        </is>
      </c>
      <c r="H134" s="552" t="n"/>
      <c r="I134" s="552" t="n"/>
      <c r="J134" s="551" t="n"/>
      <c r="K134" s="488" t="inlineStr">
        <is>
          <t>PCS(20入/盒)</t>
        </is>
      </c>
      <c r="L134" s="558" t="n">
        <v>2</v>
      </c>
      <c r="M134" s="123" t="inlineStr">
        <is>
          <t>MP1MA070005A</t>
        </is>
      </c>
      <c r="N134" s="117" t="n"/>
    </row>
    <row r="135" ht="17.25" customHeight="1" s="453" thickBot="1">
      <c r="A135" s="553">
        <f>IFERROR(LEFT(B135,7),"")</f>
        <v/>
      </c>
      <c r="B135" s="554">
        <f>"2025/07"&amp;D135</f>
        <v/>
      </c>
      <c r="C135" s="557" t="n">
        <v>54</v>
      </c>
      <c r="D135" s="488" t="inlineStr">
        <is>
          <t>站前4樓</t>
        </is>
      </c>
      <c r="E135" s="488" t="inlineStr">
        <is>
          <t>6220005</t>
        </is>
      </c>
      <c r="F135" s="551" t="n"/>
      <c r="G135" s="488" t="inlineStr">
        <is>
          <t>海菲秀深藍端頭/ 顆</t>
        </is>
      </c>
      <c r="H135" s="552" t="n"/>
      <c r="I135" s="552" t="n"/>
      <c r="J135" s="551" t="n"/>
      <c r="K135" s="488" t="inlineStr">
        <is>
          <t>15顆/串</t>
        </is>
      </c>
      <c r="L135" s="558" t="n">
        <v>569</v>
      </c>
      <c r="M135" s="123" t="inlineStr">
        <is>
          <t>MM2MD070001A</t>
        </is>
      </c>
      <c r="N135" s="117" t="n"/>
    </row>
    <row r="136" ht="17.25" customHeight="1" s="453" thickBot="1">
      <c r="A136" s="553">
        <f>IFERROR(LEFT(B136,7),"")</f>
        <v/>
      </c>
      <c r="B136" s="554">
        <f>"2025/07"&amp;D136</f>
        <v/>
      </c>
      <c r="C136" s="557" t="n">
        <v>55</v>
      </c>
      <c r="D136" s="488" t="inlineStr">
        <is>
          <t>站前4樓</t>
        </is>
      </c>
      <c r="E136" s="488" t="inlineStr">
        <is>
          <t>6220006</t>
        </is>
      </c>
      <c r="F136" s="551" t="n"/>
      <c r="G136" s="488" t="inlineStr">
        <is>
          <t>海菲秀淺藍端頭/ 顆</t>
        </is>
      </c>
      <c r="H136" s="552" t="n"/>
      <c r="I136" s="552" t="n"/>
      <c r="J136" s="551" t="n"/>
      <c r="K136" s="488" t="inlineStr">
        <is>
          <t>15顆/串</t>
        </is>
      </c>
      <c r="L136" s="558" t="n">
        <v>569</v>
      </c>
      <c r="M136" s="123" t="inlineStr">
        <is>
          <t>MM2MD070002A</t>
        </is>
      </c>
      <c r="N136" s="117" t="n"/>
    </row>
    <row r="137" ht="17.25" customHeight="1" s="453" thickBot="1">
      <c r="A137" s="553">
        <f>IFERROR(LEFT(B137,7),"")</f>
        <v/>
      </c>
      <c r="B137" s="554">
        <f>"2025/07"&amp;D137</f>
        <v/>
      </c>
      <c r="C137" s="557" t="n">
        <v>56</v>
      </c>
      <c r="D137" s="488" t="inlineStr">
        <is>
          <t>站前4樓</t>
        </is>
      </c>
      <c r="E137" s="488" t="inlineStr">
        <is>
          <t>6220007</t>
        </is>
      </c>
      <c r="F137" s="551" t="n"/>
      <c r="G137" s="488" t="inlineStr">
        <is>
          <t>海菲秀透明端頭/ 顆</t>
        </is>
      </c>
      <c r="H137" s="552" t="n"/>
      <c r="I137" s="552" t="n"/>
      <c r="J137" s="551" t="n"/>
      <c r="K137" s="488" t="inlineStr">
        <is>
          <t>15顆/串</t>
        </is>
      </c>
      <c r="L137" s="558" t="n">
        <v>569</v>
      </c>
      <c r="M137" s="123" t="inlineStr">
        <is>
          <t>MM2MD070003A</t>
        </is>
      </c>
      <c r="N137" s="117" t="n"/>
    </row>
    <row r="138" ht="17.25" customHeight="1" s="453" thickBot="1">
      <c r="A138" s="553">
        <f>IFERROR(LEFT(B138,7),"")</f>
        <v/>
      </c>
      <c r="B138" s="554">
        <f>"2025/07"&amp;D138</f>
        <v/>
      </c>
      <c r="C138" s="557" t="n">
        <v>57</v>
      </c>
      <c r="D138" s="488" t="inlineStr">
        <is>
          <t>站前4樓</t>
        </is>
      </c>
      <c r="E138" s="488" t="inlineStr">
        <is>
          <t>6220012</t>
        </is>
      </c>
      <c r="F138" s="551" t="n"/>
      <c r="G138" s="488" t="inlineStr">
        <is>
          <t>(V)(第一劑)海菲秀 Activ-4 Skin Solution/mL</t>
        </is>
      </c>
      <c r="H138" s="552" t="n"/>
      <c r="I138" s="552" t="n"/>
      <c r="J138" s="551" t="n"/>
      <c r="K138" s="488" t="inlineStr">
        <is>
          <t>ml</t>
        </is>
      </c>
      <c r="L138" s="558" t="n">
        <v>8521</v>
      </c>
      <c r="M138" s="123" t="inlineStr">
        <is>
          <t>MP1MD070012A</t>
        </is>
      </c>
      <c r="N138" s="117" t="n"/>
    </row>
    <row r="139" ht="17.25" customHeight="1" s="453" thickBot="1">
      <c r="A139" s="553">
        <f>IFERROR(LEFT(B139,7),"")</f>
        <v/>
      </c>
      <c r="B139" s="554">
        <f>"2025/07"&amp;D139</f>
        <v/>
      </c>
      <c r="C139" s="557" t="n">
        <v>58</v>
      </c>
      <c r="D139" s="488" t="inlineStr">
        <is>
          <t>站前4樓</t>
        </is>
      </c>
      <c r="E139" s="488" t="inlineStr">
        <is>
          <t>6220013</t>
        </is>
      </c>
      <c r="F139" s="551" t="n"/>
      <c r="G139" s="488" t="inlineStr">
        <is>
          <t>(V)(第二劑)海菲秀 Beta-HD Skin Solution /mL</t>
        </is>
      </c>
      <c r="H139" s="552" t="n"/>
      <c r="I139" s="552" t="n"/>
      <c r="J139" s="551" t="n"/>
      <c r="K139" s="488" t="inlineStr">
        <is>
          <t>ml</t>
        </is>
      </c>
      <c r="L139" s="558" t="n">
        <v>8521</v>
      </c>
      <c r="M139" s="123" t="inlineStr">
        <is>
          <t>MP1MD070013A</t>
        </is>
      </c>
      <c r="N139" s="117" t="n"/>
    </row>
    <row r="140" ht="17.25" customHeight="1" s="453" thickBot="1">
      <c r="A140" s="553">
        <f>IFERROR(LEFT(B140,7),"")</f>
        <v/>
      </c>
      <c r="B140" s="554">
        <f>"2025/07"&amp;D140</f>
        <v/>
      </c>
      <c r="C140" s="557" t="n">
        <v>59</v>
      </c>
      <c r="D140" s="488" t="inlineStr">
        <is>
          <t>站前4樓</t>
        </is>
      </c>
      <c r="E140" s="488" t="inlineStr">
        <is>
          <t>6220014</t>
        </is>
      </c>
      <c r="F140" s="551" t="n"/>
      <c r="G140" s="488" t="inlineStr">
        <is>
          <t>(V)(第三劑)海菲秀 Antiox-6 Skin Solution /mL</t>
        </is>
      </c>
      <c r="H140" s="552" t="n"/>
      <c r="I140" s="552" t="n"/>
      <c r="J140" s="551" t="n"/>
      <c r="K140" s="488" t="inlineStr">
        <is>
          <t>ml</t>
        </is>
      </c>
      <c r="L140" s="558" t="n">
        <v>8521</v>
      </c>
      <c r="M140" s="123" t="inlineStr">
        <is>
          <t>MP1MD070014A</t>
        </is>
      </c>
      <c r="N140" s="117" t="n"/>
    </row>
    <row r="141" ht="17.25" customHeight="1" s="453" thickBot="1">
      <c r="A141" s="553">
        <f>IFERROR(LEFT(B141,7),"")</f>
        <v/>
      </c>
      <c r="B141" s="554">
        <f>"2025/07"&amp;D141</f>
        <v/>
      </c>
      <c r="C141" s="557" t="n">
        <v>60</v>
      </c>
      <c r="D141" s="488" t="inlineStr">
        <is>
          <t>站前4樓</t>
        </is>
      </c>
      <c r="E141" s="488" t="inlineStr">
        <is>
          <t>6220015</t>
        </is>
      </c>
      <c r="F141" s="551" t="n"/>
      <c r="G141" s="488" t="inlineStr">
        <is>
          <t>(V)(第四劑)海菲秀 Rinseaway System Cleaning Solution /mL</t>
        </is>
      </c>
      <c r="H141" s="552" t="n"/>
      <c r="I141" s="552" t="n"/>
      <c r="J141" s="551" t="n"/>
      <c r="K141" s="488" t="inlineStr">
        <is>
          <t>ml</t>
        </is>
      </c>
      <c r="L141" s="558" t="n">
        <v>1</v>
      </c>
      <c r="M141" s="123" t="inlineStr">
        <is>
          <t>MP1MD070015A</t>
        </is>
      </c>
      <c r="N141" s="117" t="n"/>
    </row>
    <row r="142" ht="17.25" customHeight="1" s="453" thickBot="1">
      <c r="A142" s="553">
        <f>IFERROR(LEFT(B142,7),"")</f>
        <v/>
      </c>
      <c r="B142" s="554">
        <f>"2025/07"&amp;D142</f>
        <v/>
      </c>
      <c r="C142" s="557" t="n">
        <v>61</v>
      </c>
      <c r="D142" s="488" t="inlineStr">
        <is>
          <t>站前11樓</t>
        </is>
      </c>
      <c r="E142" s="488" t="inlineStr">
        <is>
          <t>6120001</t>
        </is>
      </c>
      <c r="F142" s="551" t="n"/>
      <c r="G142" s="488" t="inlineStr">
        <is>
          <t>(V)肝得健注射劑/ 瓶，220倍數叫貨</t>
        </is>
      </c>
      <c r="H142" s="552" t="n"/>
      <c r="I142" s="552" t="n"/>
      <c r="J142" s="551" t="n"/>
      <c r="K142" s="488" t="inlineStr">
        <is>
          <t>20支/盒</t>
        </is>
      </c>
      <c r="L142" s="558" t="n">
        <v>321</v>
      </c>
      <c r="M142" s="123" t="inlineStr">
        <is>
          <t>MB3ME090001A</t>
        </is>
      </c>
      <c r="N142" s="117" t="n"/>
    </row>
    <row r="143" ht="17.25" customHeight="1" s="453" thickBot="1">
      <c r="A143" s="553">
        <f>IFERROR(LEFT(B143,7),"")</f>
        <v/>
      </c>
      <c r="B143" s="554">
        <f>"2025/07"&amp;D143</f>
        <v/>
      </c>
      <c r="C143" s="557" t="n">
        <v>62</v>
      </c>
      <c r="D143" s="488" t="inlineStr">
        <is>
          <t>站前11樓</t>
        </is>
      </c>
      <c r="E143" s="488" t="inlineStr">
        <is>
          <t>6120002</t>
        </is>
      </c>
      <c r="F143" s="551" t="n"/>
      <c r="G143" s="488" t="inlineStr">
        <is>
          <t>(V)卡妮丁注射劑/ 瓶，220倍數叫貨</t>
        </is>
      </c>
      <c r="H143" s="552" t="n"/>
      <c r="I143" s="552" t="n"/>
      <c r="J143" s="551" t="n"/>
      <c r="K143" s="488" t="inlineStr">
        <is>
          <t>20支/盒</t>
        </is>
      </c>
      <c r="L143" s="558" t="n">
        <v>380</v>
      </c>
      <c r="M143" s="123" t="inlineStr">
        <is>
          <t>MB3ME090002A</t>
        </is>
      </c>
      <c r="N143" s="117" t="n"/>
    </row>
    <row r="144" ht="17.25" customHeight="1" s="453" thickBot="1">
      <c r="A144" s="553">
        <f>IFERROR(LEFT(B144,7),"")</f>
        <v/>
      </c>
      <c r="B144" s="554">
        <f>"2025/07"&amp;D144</f>
        <v/>
      </c>
      <c r="C144" s="557" t="n">
        <v>63</v>
      </c>
      <c r="D144" s="488" t="inlineStr">
        <is>
          <t>站前11樓</t>
        </is>
      </c>
      <c r="E144" s="488" t="inlineStr">
        <is>
          <t>6120004</t>
        </is>
      </c>
      <c r="F144" s="551" t="n"/>
      <c r="G144" s="488" t="inlineStr">
        <is>
          <t>(V)胺基酸點滴250ml/ 袋(安命活源/嘉安命)，20倍數叫貨</t>
        </is>
      </c>
      <c r="H144" s="552" t="n"/>
      <c r="I144" s="552" t="n"/>
      <c r="J144" s="551" t="n"/>
      <c r="K144" s="488" t="inlineStr">
        <is>
          <t>(20瓶/箱)</t>
        </is>
      </c>
      <c r="L144" s="558" t="n">
        <v>2</v>
      </c>
      <c r="M144" s="123" t="inlineStr">
        <is>
          <t>MB3ME090006A</t>
        </is>
      </c>
      <c r="N144" s="117" t="n"/>
    </row>
    <row r="145" ht="17.25" customHeight="1" s="453" thickBot="1">
      <c r="A145" s="553">
        <f>IFERROR(LEFT(B145,7),"")</f>
        <v/>
      </c>
      <c r="B145" s="554">
        <f>"2025/07"&amp;D145</f>
        <v/>
      </c>
      <c r="C145" s="557" t="n">
        <v>64</v>
      </c>
      <c r="D145" s="488" t="inlineStr">
        <is>
          <t>站前11樓</t>
        </is>
      </c>
      <c r="E145" s="488" t="inlineStr">
        <is>
          <t>6120006</t>
        </is>
      </c>
      <c r="F145" s="551" t="n"/>
      <c r="G145" s="488" t="inlineStr">
        <is>
          <t>(V)(B12) 愛壽命 2mL，100倍數叫貨</t>
        </is>
      </c>
      <c r="H145" s="552" t="n"/>
      <c r="I145" s="552" t="n"/>
      <c r="J145" s="551" t="n"/>
      <c r="K145" s="488" t="inlineStr">
        <is>
          <t>(100支/盒)</t>
        </is>
      </c>
      <c r="L145" s="558" t="n">
        <v>120</v>
      </c>
      <c r="M145" s="123" t="inlineStr">
        <is>
          <t>MB3ME090011A</t>
        </is>
      </c>
      <c r="N145" s="117" t="n"/>
    </row>
    <row r="146" ht="17.25" customHeight="1" s="453" thickBot="1">
      <c r="A146" s="553">
        <f>IFERROR(LEFT(B146,7),"")</f>
        <v/>
      </c>
      <c r="B146" s="554">
        <f>"2025/07"&amp;D146</f>
        <v/>
      </c>
      <c r="C146" s="557" t="n">
        <v>65</v>
      </c>
      <c r="D146" s="488" t="inlineStr">
        <is>
          <t>站前11樓</t>
        </is>
      </c>
      <c r="E146" s="488" t="inlineStr">
        <is>
          <t>6120007</t>
        </is>
      </c>
      <c r="F146" s="551" t="n"/>
      <c r="G146" s="488" t="inlineStr">
        <is>
          <t>(V)(硫酸鋅) 1ml/支，100倍數叫貨</t>
        </is>
      </c>
      <c r="H146" s="552" t="n"/>
      <c r="I146" s="552" t="n"/>
      <c r="J146" s="551" t="n"/>
      <c r="K146" s="488" t="inlineStr">
        <is>
          <t>100支/盒</t>
        </is>
      </c>
      <c r="L146" s="558" t="n">
        <v>2</v>
      </c>
      <c r="M146" s="123" t="inlineStr">
        <is>
          <t>MB3ME090027A</t>
        </is>
      </c>
      <c r="N146" s="117" t="n"/>
    </row>
    <row r="147" ht="17.25" customHeight="1" s="453" thickBot="1">
      <c r="A147" s="553">
        <f>IFERROR(LEFT(B147,7),"")</f>
        <v/>
      </c>
      <c r="B147" s="554">
        <f>"2025/07"&amp;D147</f>
        <v/>
      </c>
      <c r="C147" s="557" t="n">
        <v>66</v>
      </c>
      <c r="D147" s="488" t="inlineStr">
        <is>
          <t>站前11樓</t>
        </is>
      </c>
      <c r="E147" s="488" t="inlineStr">
        <is>
          <t>6120009</t>
        </is>
      </c>
      <c r="F147" s="551" t="n"/>
      <c r="G147" s="488" t="inlineStr">
        <is>
          <t>(V)(B1) 硫胺明 2ml</t>
        </is>
      </c>
      <c r="H147" s="552" t="n"/>
      <c r="I147" s="552" t="n"/>
      <c r="J147" s="551" t="n"/>
      <c r="K147" s="488" t="inlineStr">
        <is>
          <t>支(100支/盒)</t>
        </is>
      </c>
      <c r="L147" s="558" t="n">
        <v>2</v>
      </c>
      <c r="M147" s="123" t="inlineStr">
        <is>
          <t>MB3ME090012A</t>
        </is>
      </c>
      <c r="N147" s="117" t="n"/>
    </row>
    <row r="148" ht="17.25" customHeight="1" s="453" thickBot="1">
      <c r="A148" s="553">
        <f>IFERROR(LEFT(B148,7),"")</f>
        <v/>
      </c>
      <c r="B148" s="554">
        <f>"2025/07"&amp;D148</f>
        <v/>
      </c>
      <c r="C148" s="557" t="n">
        <v>67</v>
      </c>
      <c r="D148" s="488" t="inlineStr">
        <is>
          <t>站前11樓</t>
        </is>
      </c>
      <c r="E148" s="488" t="inlineStr">
        <is>
          <t>6120010</t>
        </is>
      </c>
      <c r="F148" s="551" t="n"/>
      <c r="G148" s="488" t="inlineStr">
        <is>
          <t>(V)(B6) 活性維生素 2ml，100倍數叫貨</t>
        </is>
      </c>
      <c r="H148" s="552" t="n"/>
      <c r="I148" s="552" t="n"/>
      <c r="J148" s="551" t="n"/>
      <c r="K148" s="488" t="inlineStr">
        <is>
          <t>(100支/盒)</t>
        </is>
      </c>
      <c r="L148" s="558" t="n">
        <v>2</v>
      </c>
      <c r="M148" s="123" t="inlineStr">
        <is>
          <t>MB3ME090013A</t>
        </is>
      </c>
      <c r="N148" s="117" t="n"/>
    </row>
    <row r="149" ht="17.25" customHeight="1" s="453" thickBot="1">
      <c r="A149" s="553">
        <f>IFERROR(LEFT(B149,7),"")</f>
        <v/>
      </c>
      <c r="B149" s="554">
        <f>"2025/07"&amp;D149</f>
        <v/>
      </c>
      <c r="C149" s="557" t="n">
        <v>68</v>
      </c>
      <c r="D149" s="488" t="inlineStr">
        <is>
          <t>站前11樓</t>
        </is>
      </c>
      <c r="E149" s="488" t="inlineStr">
        <is>
          <t>6120011</t>
        </is>
      </c>
      <c r="F149" s="551" t="n"/>
      <c r="G149" s="488" t="inlineStr">
        <is>
          <t>(V)(硒) 西寧特 2ml/支</t>
        </is>
      </c>
      <c r="H149" s="552" t="n"/>
      <c r="I149" s="552" t="n"/>
      <c r="J149" s="551" t="n"/>
      <c r="K149" s="488" t="inlineStr">
        <is>
          <t>10支/盒</t>
        </is>
      </c>
      <c r="L149" s="558" t="n">
        <v>4</v>
      </c>
      <c r="M149" s="123" t="inlineStr">
        <is>
          <t>MB3ME090024A</t>
        </is>
      </c>
      <c r="N149" s="117" t="n"/>
    </row>
    <row r="150" ht="17.25" customHeight="1" s="453" thickBot="1">
      <c r="A150" s="553">
        <f>IFERROR(LEFT(B150,7),"")</f>
        <v/>
      </c>
      <c r="B150" s="554">
        <f>"2025/07"&amp;D150</f>
        <v/>
      </c>
      <c r="C150" s="557" t="n">
        <v>69</v>
      </c>
      <c r="D150" s="488" t="inlineStr">
        <is>
          <t>站前11樓</t>
        </is>
      </c>
      <c r="E150" s="488" t="inlineStr">
        <is>
          <t>6120013</t>
        </is>
      </c>
      <c r="F150" s="551" t="n"/>
      <c r="G150" s="488" t="inlineStr">
        <is>
          <t>(V)生理食鹽水(NS) 250ml/ 袋</t>
        </is>
      </c>
      <c r="H150" s="552" t="n"/>
      <c r="I150" s="552" t="n"/>
      <c r="J150" s="551" t="n"/>
      <c r="K150" s="488" t="inlineStr">
        <is>
          <t>55瓶/箱</t>
        </is>
      </c>
      <c r="L150" s="558" t="n">
        <v>373</v>
      </c>
      <c r="M150" s="123" t="inlineStr">
        <is>
          <t>MB3ME090008A</t>
        </is>
      </c>
      <c r="N150" s="117" t="n"/>
    </row>
    <row r="151" ht="17.25" customHeight="1" s="453" thickBot="1">
      <c r="A151" s="553">
        <f>IFERROR(LEFT(B151,7),"")</f>
        <v/>
      </c>
      <c r="B151" s="554">
        <f>"2025/07"&amp;D151</f>
        <v/>
      </c>
      <c r="C151" s="557" t="n">
        <v>70</v>
      </c>
      <c r="D151" s="488" t="inlineStr">
        <is>
          <t>站前11樓</t>
        </is>
      </c>
      <c r="E151" s="488" t="inlineStr">
        <is>
          <t>6120015</t>
        </is>
      </c>
      <c r="F151" s="551" t="n"/>
      <c r="G151" s="488" t="inlineStr">
        <is>
          <t>(V)(B群)淘能美複合維他命B 2ml，100倍數叫貨</t>
        </is>
      </c>
      <c r="H151" s="552" t="n"/>
      <c r="I151" s="552" t="n"/>
      <c r="J151" s="551" t="n"/>
      <c r="K151" s="488" t="n"/>
      <c r="L151" s="558" t="n">
        <v>5</v>
      </c>
      <c r="M151" s="123" t="inlineStr">
        <is>
          <t>MB3ME090014A</t>
        </is>
      </c>
      <c r="N151" s="117" t="n"/>
    </row>
    <row r="152" ht="17.25" customHeight="1" s="453" thickBot="1">
      <c r="A152" s="553">
        <f>IFERROR(LEFT(B152,7),"")</f>
        <v/>
      </c>
      <c r="B152" s="554">
        <f>"2025/07"&amp;D152</f>
        <v/>
      </c>
      <c r="C152" s="557" t="n">
        <v>71</v>
      </c>
      <c r="D152" s="488" t="inlineStr">
        <is>
          <t>站前11樓</t>
        </is>
      </c>
      <c r="E152" s="488" t="inlineStr">
        <is>
          <t>6120016</t>
        </is>
      </c>
      <c r="F152" s="551" t="n"/>
      <c r="G152" s="488" t="inlineStr">
        <is>
          <t>(V)(榖胱肝肽) 克樂達養200mg (20ml/瓶)</t>
        </is>
      </c>
      <c r="H152" s="552" t="n"/>
      <c r="I152" s="552" t="n"/>
      <c r="J152" s="551" t="n"/>
      <c r="K152" s="488" t="inlineStr">
        <is>
          <t>50支/盒</t>
        </is>
      </c>
      <c r="L152" s="558" t="n">
        <v>5</v>
      </c>
      <c r="M152" s="123" t="inlineStr">
        <is>
          <t>MB3ME090015A</t>
        </is>
      </c>
      <c r="N152" s="117" t="n"/>
    </row>
    <row r="153" ht="17.25" customHeight="1" s="453" thickBot="1">
      <c r="A153" s="553">
        <f>IFERROR(LEFT(B153,7),"")</f>
        <v/>
      </c>
      <c r="B153" s="554">
        <f>"2025/07"&amp;D153</f>
        <v/>
      </c>
      <c r="C153" s="557" t="n">
        <v>72</v>
      </c>
      <c r="D153" s="488" t="inlineStr">
        <is>
          <t>站前11樓</t>
        </is>
      </c>
      <c r="E153" s="488" t="inlineStr">
        <is>
          <t>6120021</t>
        </is>
      </c>
      <c r="F153" s="551" t="n"/>
      <c r="G153" s="488" t="inlineStr">
        <is>
          <t>(V)(Vit C)(抗壞血酸/諾貝爾)20ml，50倍數下單</t>
        </is>
      </c>
      <c r="H153" s="552" t="n"/>
      <c r="I153" s="552" t="n"/>
      <c r="J153" s="551" t="n"/>
      <c r="K153" s="488" t="inlineStr">
        <is>
          <t>50支/盒</t>
        </is>
      </c>
      <c r="L153" s="558" t="n">
        <v>5</v>
      </c>
      <c r="M153" s="123" t="inlineStr">
        <is>
          <t>MB3ME090009A</t>
        </is>
      </c>
      <c r="N153" s="117" t="n"/>
    </row>
    <row r="154" ht="17.25" customHeight="1" s="453" thickBot="1">
      <c r="A154" s="553">
        <f>IFERROR(LEFT(B154,7),"")</f>
        <v/>
      </c>
      <c r="B154" s="554">
        <f>"2025/07"&amp;D154</f>
        <v/>
      </c>
      <c r="C154" s="557" t="n">
        <v>73</v>
      </c>
      <c r="D154" s="488" t="inlineStr">
        <is>
          <t>站前11樓</t>
        </is>
      </c>
      <c r="E154" s="488" t="inlineStr">
        <is>
          <t>6190005</t>
        </is>
      </c>
      <c r="F154" s="551" t="n"/>
      <c r="G154" s="488" t="inlineStr">
        <is>
          <t>(V)氦氖針/ 支</t>
        </is>
      </c>
      <c r="H154" s="552" t="n"/>
      <c r="I154" s="552" t="n"/>
      <c r="J154" s="551" t="n"/>
      <c r="K154" s="488" t="inlineStr">
        <is>
          <t>(50支/包)</t>
        </is>
      </c>
      <c r="L154" s="558" t="n">
        <v>48</v>
      </c>
      <c r="M154" s="123" t="inlineStr">
        <is>
          <t>MM2MX070001A</t>
        </is>
      </c>
      <c r="N154" s="117" t="n"/>
    </row>
    <row r="155" ht="17.25" customHeight="1" s="453" thickBot="1">
      <c r="A155" s="553">
        <f>IFERROR(LEFT(B155,7),"")</f>
        <v/>
      </c>
      <c r="B155" s="554">
        <f>"2025/07"&amp;D155</f>
        <v/>
      </c>
      <c r="C155" s="557" t="n">
        <v>74</v>
      </c>
      <c r="D155" s="488" t="inlineStr">
        <is>
          <t>站前11樓</t>
        </is>
      </c>
      <c r="E155" s="488" t="inlineStr">
        <is>
          <t>6200001</t>
        </is>
      </c>
      <c r="F155" s="551" t="n"/>
      <c r="G155" s="488" t="inlineStr">
        <is>
          <t>(V)消脂針-善纖達*1支</t>
        </is>
      </c>
      <c r="H155" s="552" t="n"/>
      <c r="I155" s="552" t="n"/>
      <c r="J155" s="551" t="n"/>
      <c r="K155" s="488" t="inlineStr">
        <is>
          <t>支</t>
        </is>
      </c>
      <c r="L155" s="558" t="n">
        <v>2</v>
      </c>
      <c r="M155" s="123" t="n"/>
      <c r="N155" s="117" t="n"/>
    </row>
    <row r="156" ht="17.25" customHeight="1" s="453" thickBot="1">
      <c r="A156" s="553">
        <f>IFERROR(LEFT(B156,7),"")</f>
        <v/>
      </c>
      <c r="B156" s="554">
        <f>"2025/07"&amp;D156</f>
        <v/>
      </c>
      <c r="C156" s="557" t="n">
        <v>75</v>
      </c>
      <c r="D156" s="488" t="inlineStr">
        <is>
          <t>站前11樓</t>
        </is>
      </c>
      <c r="E156" s="488" t="inlineStr">
        <is>
          <t>6200004</t>
        </is>
      </c>
      <c r="F156" s="551" t="n"/>
      <c r="G156" s="488" t="inlineStr">
        <is>
          <t>阿爾發SAT卡匣/ 發</t>
        </is>
      </c>
      <c r="H156" s="552" t="n"/>
      <c r="I156" s="552" t="n"/>
      <c r="J156" s="551" t="n"/>
      <c r="K156" s="488" t="inlineStr">
        <is>
          <t>50發/卡</t>
        </is>
      </c>
      <c r="L156" s="558" t="n">
        <v>1382</v>
      </c>
      <c r="M156" s="123" t="inlineStr">
        <is>
          <t>MM2MC070001A</t>
        </is>
      </c>
      <c r="N156" s="117" t="n"/>
    </row>
    <row r="157" ht="17.25" customHeight="1" s="453" thickBot="1">
      <c r="A157" s="553">
        <f>IFERROR(LEFT(B157,7),"")</f>
        <v/>
      </c>
      <c r="B157" s="554">
        <f>"2025/07"&amp;D157</f>
        <v/>
      </c>
      <c r="C157" s="557" t="n">
        <v>76</v>
      </c>
      <c r="D157" s="488" t="inlineStr">
        <is>
          <t>站前11樓</t>
        </is>
      </c>
      <c r="E157" s="488" t="inlineStr">
        <is>
          <t>6200007</t>
        </is>
      </c>
      <c r="F157" s="551" t="n"/>
      <c r="G157" s="488" t="inlineStr">
        <is>
          <t>瘦瘦筆-針頭*1個</t>
        </is>
      </c>
      <c r="H157" s="552" t="n"/>
      <c r="I157" s="552" t="n"/>
      <c r="J157" s="551" t="n"/>
      <c r="K157" s="488" t="inlineStr">
        <is>
          <t>個</t>
        </is>
      </c>
      <c r="L157" s="558" t="n">
        <v>188</v>
      </c>
      <c r="M157" s="123" t="n"/>
      <c r="N157" s="117" t="n"/>
    </row>
    <row r="158" ht="17.25" customHeight="1" s="453" thickBot="1">
      <c r="A158" s="553">
        <f>IFERROR(LEFT(B158,7),"")</f>
        <v/>
      </c>
      <c r="B158" s="554">
        <f>"2025/07"&amp;D158</f>
        <v/>
      </c>
      <c r="C158" s="557" t="n">
        <v>77</v>
      </c>
      <c r="D158" s="488" t="inlineStr">
        <is>
          <t>站前11樓</t>
        </is>
      </c>
      <c r="E158" s="488" t="inlineStr">
        <is>
          <t>6200008</t>
        </is>
      </c>
      <c r="F158" s="551" t="n"/>
      <c r="G158" s="488" t="inlineStr">
        <is>
          <t>瘦瘦筆-週纖達*1支(0.25mg)</t>
        </is>
      </c>
      <c r="H158" s="552" t="n"/>
      <c r="I158" s="552" t="n"/>
      <c r="J158" s="551" t="n"/>
      <c r="K158" s="488" t="inlineStr">
        <is>
          <t>支</t>
        </is>
      </c>
      <c r="L158" s="558" t="n">
        <v>11</v>
      </c>
      <c r="M158" s="123" t="inlineStr">
        <is>
          <t>MB3ME110003A</t>
        </is>
      </c>
      <c r="N158" s="117" t="n"/>
    </row>
    <row r="159" ht="17.25" customHeight="1" s="453" thickBot="1">
      <c r="A159" s="553">
        <f>IFERROR(LEFT(B159,7),"")</f>
        <v/>
      </c>
      <c r="B159" s="554">
        <f>"2025/07"&amp;D159</f>
        <v/>
      </c>
      <c r="C159" s="557" t="n">
        <v>78</v>
      </c>
      <c r="D159" s="488" t="inlineStr">
        <is>
          <t>站前11樓</t>
        </is>
      </c>
      <c r="E159" s="488" t="inlineStr">
        <is>
          <t>6200010</t>
        </is>
      </c>
      <c r="F159" s="551" t="n"/>
      <c r="G159" s="488" t="inlineStr">
        <is>
          <t>瘦瘦筆-週纖達*1支(1.0mg)</t>
        </is>
      </c>
      <c r="H159" s="552" t="n"/>
      <c r="I159" s="552" t="n"/>
      <c r="J159" s="551" t="n"/>
      <c r="K159" s="488" t="inlineStr">
        <is>
          <t>支</t>
        </is>
      </c>
      <c r="L159" s="558" t="n">
        <v>18</v>
      </c>
      <c r="M159" s="123" t="inlineStr">
        <is>
          <t>MB3ME110005A</t>
        </is>
      </c>
      <c r="N159" s="117" t="n"/>
    </row>
    <row r="160" ht="17.25" customHeight="1" s="453" thickBot="1">
      <c r="A160" s="553">
        <f>IFERROR(LEFT(B160,7),"")</f>
        <v/>
      </c>
      <c r="B160" s="554">
        <f>"2025/07"&amp;D160</f>
        <v/>
      </c>
      <c r="C160" s="557" t="n">
        <v>79</v>
      </c>
      <c r="D160" s="488" t="inlineStr">
        <is>
          <t>站前11樓</t>
        </is>
      </c>
      <c r="E160" s="488" t="inlineStr">
        <is>
          <t>6200013</t>
        </is>
      </c>
      <c r="F160" s="551" t="n"/>
      <c r="G160" s="488" t="inlineStr">
        <is>
          <t>(V)猛健樂*1支(2.5mg)</t>
        </is>
      </c>
      <c r="H160" s="552" t="n"/>
      <c r="I160" s="552" t="n"/>
      <c r="J160" s="551" t="n"/>
      <c r="K160" s="488" t="inlineStr">
        <is>
          <t>支</t>
        </is>
      </c>
      <c r="L160" s="558" t="n">
        <v>26</v>
      </c>
      <c r="M160" s="123" t="inlineStr">
        <is>
          <t>MB3ME110008A</t>
        </is>
      </c>
      <c r="N160" s="117" t="n"/>
    </row>
    <row r="161" ht="17.25" customHeight="1" s="453" thickBot="1">
      <c r="A161" s="553">
        <f>IFERROR(LEFT(B161,7),"")</f>
        <v/>
      </c>
      <c r="B161" s="554">
        <f>"2025/07"&amp;D161</f>
        <v/>
      </c>
      <c r="C161" s="557" t="n">
        <v>80</v>
      </c>
      <c r="D161" s="488" t="inlineStr">
        <is>
          <t>站前11樓</t>
        </is>
      </c>
      <c r="E161" s="488" t="inlineStr">
        <is>
          <t>6200014</t>
        </is>
      </c>
      <c r="F161" s="551" t="n"/>
      <c r="G161" s="488" t="inlineStr">
        <is>
          <t>(V)猛健樂*1支(5mg)</t>
        </is>
      </c>
      <c r="H161" s="552" t="n"/>
      <c r="I161" s="552" t="n"/>
      <c r="J161" s="551" t="n"/>
      <c r="K161" s="488" t="inlineStr">
        <is>
          <t>支</t>
        </is>
      </c>
      <c r="L161" s="558" t="n">
        <v>19</v>
      </c>
      <c r="M161" s="123" t="inlineStr">
        <is>
          <t>MB3ME110009A</t>
        </is>
      </c>
      <c r="N161" s="117" t="n"/>
    </row>
    <row r="162" ht="17.25" customHeight="1" s="453" thickBot="1">
      <c r="A162" s="553">
        <f>IFERROR(LEFT(B162,7),"")</f>
        <v/>
      </c>
      <c r="B162" s="554">
        <f>"2025/07"&amp;D162</f>
        <v/>
      </c>
      <c r="C162" s="557" t="n">
        <v>81</v>
      </c>
      <c r="D162" s="488" t="inlineStr">
        <is>
          <t>站前11樓</t>
        </is>
      </c>
      <c r="E162" s="488" t="inlineStr">
        <is>
          <t>6200016</t>
        </is>
      </c>
      <c r="F162" s="551" t="n"/>
      <c r="G162" s="488" t="inlineStr">
        <is>
          <t>(V)猛健樂*1支(10mg)</t>
        </is>
      </c>
      <c r="H162" s="552" t="n"/>
      <c r="I162" s="552" t="n"/>
      <c r="J162" s="551" t="n"/>
      <c r="K162" s="488" t="inlineStr">
        <is>
          <t>支</t>
        </is>
      </c>
      <c r="L162" s="558" t="n">
        <v>3</v>
      </c>
      <c r="M162" s="123" t="inlineStr">
        <is>
          <t>MB3ME110011A</t>
        </is>
      </c>
      <c r="N162" s="117" t="n"/>
    </row>
    <row r="163" ht="17.25" customHeight="1" s="453" thickBot="1">
      <c r="A163" s="553">
        <f>IFERROR(LEFT(B163,7),"")</f>
        <v/>
      </c>
      <c r="B163" s="554">
        <f>"2025/07"&amp;D163</f>
        <v/>
      </c>
      <c r="C163" s="557" t="n">
        <v>82</v>
      </c>
      <c r="D163" s="488" t="inlineStr">
        <is>
          <t>忠孝7樓</t>
        </is>
      </c>
      <c r="E163" s="488" t="inlineStr">
        <is>
          <t>6120002</t>
        </is>
      </c>
      <c r="F163" s="551" t="n"/>
      <c r="G163" s="488" t="inlineStr">
        <is>
          <t>(V)卡妮丁注射劑/ 瓶，220倍數叫貨</t>
        </is>
      </c>
      <c r="H163" s="552" t="n"/>
      <c r="I163" s="552" t="n"/>
      <c r="J163" s="551" t="n"/>
      <c r="K163" s="488" t="inlineStr">
        <is>
          <t>20支/盒</t>
        </is>
      </c>
      <c r="L163" s="558" t="n">
        <v>0.5</v>
      </c>
      <c r="M163" s="123" t="inlineStr">
        <is>
          <t>MB3ME090002A</t>
        </is>
      </c>
      <c r="N163" s="117" t="n"/>
    </row>
    <row r="164" ht="17.25" customHeight="1" s="453" thickBot="1">
      <c r="A164" s="553">
        <f>IFERROR(LEFT(B164,7),"")</f>
        <v/>
      </c>
      <c r="B164" s="554">
        <f>"2025/07"&amp;D164</f>
        <v/>
      </c>
      <c r="C164" s="557" t="n">
        <v>83</v>
      </c>
      <c r="D164" s="488" t="inlineStr">
        <is>
          <t>忠孝7樓</t>
        </is>
      </c>
      <c r="E164" s="488" t="inlineStr">
        <is>
          <t>6120006</t>
        </is>
      </c>
      <c r="F164" s="551" t="n"/>
      <c r="G164" s="488" t="inlineStr">
        <is>
          <t>(V)(B12) 愛壽命 2mL，100倍數叫貨</t>
        </is>
      </c>
      <c r="H164" s="552" t="n"/>
      <c r="I164" s="552" t="n"/>
      <c r="J164" s="551" t="n"/>
      <c r="K164" s="488" t="inlineStr">
        <is>
          <t>(100支/盒)</t>
        </is>
      </c>
      <c r="L164" s="558" t="n">
        <v>3</v>
      </c>
      <c r="M164" s="123" t="inlineStr">
        <is>
          <t>MB3ME090011A</t>
        </is>
      </c>
      <c r="N164" s="117" t="n"/>
    </row>
    <row r="165" ht="17.25" customHeight="1" s="453" thickBot="1">
      <c r="A165" s="553">
        <f>IFERROR(LEFT(B165,7),"")</f>
        <v/>
      </c>
      <c r="B165" s="554">
        <f>"2025/07"&amp;D165</f>
        <v/>
      </c>
      <c r="C165" s="557" t="n">
        <v>84</v>
      </c>
      <c r="D165" s="488" t="inlineStr">
        <is>
          <t>忠孝7樓</t>
        </is>
      </c>
      <c r="E165" s="488" t="inlineStr">
        <is>
          <t>6120013</t>
        </is>
      </c>
      <c r="F165" s="551" t="n"/>
      <c r="G165" s="488" t="inlineStr">
        <is>
          <t>(V)生理食鹽水(NS) 250ml/ 袋</t>
        </is>
      </c>
      <c r="H165" s="552" t="n"/>
      <c r="I165" s="552" t="n"/>
      <c r="J165" s="551" t="n"/>
      <c r="K165" s="488" t="inlineStr">
        <is>
          <t>55瓶/箱</t>
        </is>
      </c>
      <c r="L165" s="558" t="n">
        <v>95</v>
      </c>
      <c r="M165" s="123" t="inlineStr">
        <is>
          <t>MB3ME090008A</t>
        </is>
      </c>
      <c r="N165" s="117" t="n"/>
    </row>
    <row r="166" ht="17.25" customHeight="1" s="453" thickBot="1">
      <c r="A166" s="553">
        <f>IFERROR(LEFT(B166,7),"")</f>
        <v/>
      </c>
      <c r="B166" s="554">
        <f>"2025/07"&amp;D166</f>
        <v/>
      </c>
      <c r="C166" s="557" t="n">
        <v>85</v>
      </c>
      <c r="D166" s="488" t="inlineStr">
        <is>
          <t>忠孝7樓</t>
        </is>
      </c>
      <c r="E166" s="488" t="inlineStr">
        <is>
          <t>6120015</t>
        </is>
      </c>
      <c r="F166" s="551" t="n"/>
      <c r="G166" s="488" t="inlineStr">
        <is>
          <t>(V)(B群)淘能美複合維他命B 2ml，100倍數叫貨</t>
        </is>
      </c>
      <c r="H166" s="552" t="n"/>
      <c r="I166" s="552" t="n"/>
      <c r="J166" s="551" t="n"/>
      <c r="K166" s="488" t="n"/>
      <c r="L166" s="558" t="n">
        <v>91</v>
      </c>
      <c r="M166" s="123" t="inlineStr">
        <is>
          <t>MB3ME090014A</t>
        </is>
      </c>
      <c r="N166" s="117" t="n"/>
    </row>
    <row r="167" ht="17.25" customHeight="1" s="453" thickBot="1">
      <c r="A167" s="553">
        <f>IFERROR(LEFT(B167,7),"")</f>
        <v/>
      </c>
      <c r="B167" s="554">
        <f>"2025/07"&amp;D167</f>
        <v/>
      </c>
      <c r="C167" s="557" t="n">
        <v>86</v>
      </c>
      <c r="D167" s="488" t="inlineStr">
        <is>
          <t>忠孝7樓</t>
        </is>
      </c>
      <c r="E167" s="488" t="inlineStr">
        <is>
          <t>6120016</t>
        </is>
      </c>
      <c r="F167" s="551" t="n"/>
      <c r="G167" s="488" t="inlineStr">
        <is>
          <t>(V)(榖胱肝肽) 克樂達養200mg (20ml/瓶)</t>
        </is>
      </c>
      <c r="H167" s="552" t="n"/>
      <c r="I167" s="552" t="n"/>
      <c r="J167" s="551" t="n"/>
      <c r="K167" s="488" t="inlineStr">
        <is>
          <t>50支/盒</t>
        </is>
      </c>
      <c r="L167" s="558" t="n">
        <v>89</v>
      </c>
      <c r="M167" s="123" t="inlineStr">
        <is>
          <t>MB3ME090015A</t>
        </is>
      </c>
      <c r="N167" s="117" t="n"/>
    </row>
    <row r="168" ht="17.25" customHeight="1" s="453" thickBot="1">
      <c r="A168" s="553">
        <f>IFERROR(LEFT(B168,7),"")</f>
        <v/>
      </c>
      <c r="B168" s="554">
        <f>"2025/07"&amp;D168</f>
        <v/>
      </c>
      <c r="C168" s="557" t="n">
        <v>87</v>
      </c>
      <c r="D168" s="488" t="inlineStr">
        <is>
          <t>忠孝7樓</t>
        </is>
      </c>
      <c r="E168" s="488" t="inlineStr">
        <is>
          <t>6120018</t>
        </is>
      </c>
      <c r="F168" s="551" t="n"/>
      <c r="G168" s="488" t="inlineStr">
        <is>
          <t>(V)(傳明酸)止血明 5ml/支</t>
        </is>
      </c>
      <c r="H168" s="552" t="n"/>
      <c r="I168" s="552" t="n"/>
      <c r="J168" s="551" t="n"/>
      <c r="K168" s="488" t="inlineStr">
        <is>
          <t>50支/盒</t>
        </is>
      </c>
      <c r="L168" s="558" t="n">
        <v>5</v>
      </c>
      <c r="M168" s="123" t="inlineStr">
        <is>
          <t>MB3ME090023A</t>
        </is>
      </c>
      <c r="N168" s="117" t="n"/>
    </row>
    <row r="169" ht="17.25" customHeight="1" s="453" thickBot="1">
      <c r="A169" s="553">
        <f>IFERROR(LEFT(B169,7),"")</f>
        <v/>
      </c>
      <c r="B169" s="554">
        <f>"2025/07"&amp;D169</f>
        <v/>
      </c>
      <c r="C169" s="557" t="n">
        <v>88</v>
      </c>
      <c r="D169" s="488" t="inlineStr">
        <is>
          <t>忠孝7樓</t>
        </is>
      </c>
      <c r="E169" s="488" t="inlineStr">
        <is>
          <t>6120020</t>
        </is>
      </c>
      <c r="F169" s="551" t="n"/>
      <c r="G169" s="488" t="inlineStr">
        <is>
          <t>(V)(Vit C) 抗壞血酸 2mL，100倍數下單</t>
        </is>
      </c>
      <c r="H169" s="552" t="n"/>
      <c r="I169" s="552" t="n"/>
      <c r="J169" s="551" t="n"/>
      <c r="K169" s="488" t="inlineStr">
        <is>
          <t>100支/盒</t>
        </is>
      </c>
      <c r="L169" s="558" t="n">
        <v>30</v>
      </c>
      <c r="M169" s="123" t="inlineStr">
        <is>
          <t>MB3ME090010A</t>
        </is>
      </c>
      <c r="N169" s="117" t="n"/>
    </row>
    <row r="170" ht="17.25" customHeight="1" s="453" thickBot="1">
      <c r="A170" s="553">
        <f>IFERROR(LEFT(B170,7),"")</f>
        <v/>
      </c>
      <c r="B170" s="554">
        <f>"2025/07"&amp;D170</f>
        <v/>
      </c>
      <c r="C170" s="557" t="n">
        <v>89</v>
      </c>
      <c r="D170" s="488" t="inlineStr">
        <is>
          <t>忠孝7樓</t>
        </is>
      </c>
      <c r="E170" s="488" t="inlineStr">
        <is>
          <t>6120021</t>
        </is>
      </c>
      <c r="F170" s="551" t="n"/>
      <c r="G170" s="488" t="inlineStr">
        <is>
          <t>(V)(Vit C)(抗壞血酸/諾貝爾)20ml，50倍數下單</t>
        </is>
      </c>
      <c r="H170" s="552" t="n"/>
      <c r="I170" s="552" t="n"/>
      <c r="J170" s="551" t="n"/>
      <c r="K170" s="488" t="inlineStr">
        <is>
          <t>50支/盒</t>
        </is>
      </c>
      <c r="L170" s="558" t="n">
        <v>89</v>
      </c>
      <c r="M170" s="123" t="inlineStr">
        <is>
          <t>MB3ME090009A</t>
        </is>
      </c>
      <c r="N170" s="117" t="n"/>
    </row>
    <row r="171" ht="17.25" customHeight="1" s="453" thickBot="1">
      <c r="A171" s="553">
        <f>IFERROR(LEFT(B171,7),"")</f>
        <v/>
      </c>
      <c r="B171" s="554">
        <f>"2025/07"&amp;D171</f>
        <v/>
      </c>
      <c r="C171" s="557" t="n">
        <v>90</v>
      </c>
      <c r="D171" s="488" t="inlineStr">
        <is>
          <t>忠孝7樓</t>
        </is>
      </c>
      <c r="E171" s="488" t="inlineStr">
        <is>
          <t>6120030</t>
        </is>
      </c>
      <c r="F171" s="551" t="n"/>
      <c r="G171" s="488" t="inlineStr">
        <is>
          <t>(V)克多炎 Keto 1ml</t>
        </is>
      </c>
      <c r="H171" s="552" t="n"/>
      <c r="I171" s="552" t="n"/>
      <c r="J171" s="551" t="n"/>
      <c r="K171" s="488" t="inlineStr">
        <is>
          <t>100支/盒</t>
        </is>
      </c>
      <c r="L171" s="558" t="n">
        <v>3</v>
      </c>
      <c r="M171" s="123" t="inlineStr">
        <is>
          <t>MB3ME090030A</t>
        </is>
      </c>
      <c r="N171" s="117" t="n"/>
    </row>
    <row r="172" ht="17.25" customHeight="1" s="453" thickBot="1">
      <c r="A172" s="553">
        <f>IFERROR(LEFT(B172,7),"")</f>
        <v/>
      </c>
      <c r="B172" s="554">
        <f>"2025/07"&amp;D172</f>
        <v/>
      </c>
      <c r="C172" s="557" t="n">
        <v>91</v>
      </c>
      <c r="D172" s="488" t="inlineStr">
        <is>
          <t>忠孝7樓</t>
        </is>
      </c>
      <c r="E172" s="488" t="inlineStr">
        <is>
          <t>6140001</t>
        </is>
      </c>
      <c r="F172" s="551" t="n"/>
      <c r="G172" s="488" t="inlineStr">
        <is>
          <t>(V)保妥適Botox/ u</t>
        </is>
      </c>
      <c r="H172" s="552" t="n"/>
      <c r="I172" s="552" t="n"/>
      <c r="J172" s="551" t="n"/>
      <c r="K172" s="488" t="inlineStr">
        <is>
          <t>u</t>
        </is>
      </c>
      <c r="L172" s="558" t="n">
        <v>1239</v>
      </c>
      <c r="M172" s="123" t="inlineStr">
        <is>
          <t>MB3ME100001A</t>
        </is>
      </c>
      <c r="N172" s="117" t="n"/>
    </row>
    <row r="173" ht="17.25" customHeight="1" s="453" thickBot="1">
      <c r="A173" s="553">
        <f>IFERROR(LEFT(B173,7),"")</f>
        <v/>
      </c>
      <c r="B173" s="554">
        <f>"2025/07"&amp;D173</f>
        <v/>
      </c>
      <c r="C173" s="557" t="n">
        <v>92</v>
      </c>
      <c r="D173" s="488" t="inlineStr">
        <is>
          <t>忠孝7樓</t>
        </is>
      </c>
      <c r="E173" s="488" t="inlineStr">
        <is>
          <t>6140003</t>
        </is>
      </c>
      <c r="F173" s="551" t="n"/>
      <c r="G173" s="488" t="inlineStr">
        <is>
          <t>(V)保提拉肉毒Letybo/ u</t>
        </is>
      </c>
      <c r="H173" s="552" t="n"/>
      <c r="I173" s="552" t="n"/>
      <c r="J173" s="551" t="n"/>
      <c r="K173" s="488" t="inlineStr">
        <is>
          <t>u</t>
        </is>
      </c>
      <c r="L173" s="558" t="n">
        <v>987</v>
      </c>
      <c r="M173" s="123" t="inlineStr">
        <is>
          <t>MB3ME100002A</t>
        </is>
      </c>
      <c r="N173" s="117" t="n"/>
    </row>
    <row r="174" ht="17.25" customHeight="1" s="453" thickBot="1">
      <c r="A174" s="553">
        <f>IFERROR(LEFT(B174,7),"")</f>
        <v/>
      </c>
      <c r="B174" s="554">
        <f>"2025/07"&amp;D174</f>
        <v/>
      </c>
      <c r="C174" s="557" t="n">
        <v>93</v>
      </c>
      <c r="D174" s="488" t="inlineStr">
        <is>
          <t>忠孝7樓</t>
        </is>
      </c>
      <c r="E174" s="488" t="inlineStr">
        <is>
          <t>6140005</t>
        </is>
      </c>
      <c r="F174" s="551" t="n"/>
      <c r="G174" s="488" t="inlineStr">
        <is>
          <t>(V)奇肌肉毒/ u</t>
        </is>
      </c>
      <c r="H174" s="552" t="n"/>
      <c r="I174" s="552" t="n"/>
      <c r="J174" s="551" t="n"/>
      <c r="K174" s="488" t="inlineStr">
        <is>
          <t>u</t>
        </is>
      </c>
      <c r="L174" s="558" t="n">
        <v>1612</v>
      </c>
      <c r="M174" s="123" t="inlineStr">
        <is>
          <t>MB3ME100003A</t>
        </is>
      </c>
      <c r="N174" s="117" t="n"/>
    </row>
    <row r="175" ht="17.25" customHeight="1" s="453" thickBot="1">
      <c r="A175" s="553">
        <f>IFERROR(LEFT(B175,7),"")</f>
        <v/>
      </c>
      <c r="B175" s="554">
        <f>"2025/07"&amp;D175</f>
        <v/>
      </c>
      <c r="C175" s="557" t="n">
        <v>94</v>
      </c>
      <c r="D175" s="488" t="inlineStr">
        <is>
          <t>忠孝7樓</t>
        </is>
      </c>
      <c r="E175" s="488" t="inlineStr">
        <is>
          <t>6150001</t>
        </is>
      </c>
      <c r="F175" s="551" t="n"/>
      <c r="G175" s="488" t="inlineStr">
        <is>
          <t>(V)喬雅登-豐麗緹玻尿酸植入物Voluma 1ml</t>
        </is>
      </c>
      <c r="H175" s="552" t="n"/>
      <c r="I175" s="552" t="n"/>
      <c r="J175" s="551" t="n"/>
      <c r="K175" s="488" t="inlineStr">
        <is>
          <t>1ml(2ml/盒)</t>
        </is>
      </c>
      <c r="L175" s="558" t="n">
        <v>11</v>
      </c>
      <c r="M175" s="123" t="inlineStr">
        <is>
          <t>MP1MA020019A</t>
        </is>
      </c>
      <c r="N175" s="117" t="n"/>
    </row>
    <row r="176" ht="17.25" customHeight="1" s="453" thickBot="1">
      <c r="A176" s="553">
        <f>IFERROR(LEFT(B176,7),"")</f>
        <v/>
      </c>
      <c r="B176" s="554">
        <f>"2025/07"&amp;D176</f>
        <v/>
      </c>
      <c r="C176" s="557" t="n">
        <v>95</v>
      </c>
      <c r="D176" s="488" t="inlineStr">
        <is>
          <t>忠孝7樓</t>
        </is>
      </c>
      <c r="E176" s="488" t="inlineStr">
        <is>
          <t>6150002</t>
        </is>
      </c>
      <c r="F176" s="551" t="n"/>
      <c r="G176" s="488" t="inlineStr">
        <is>
          <t>(V)喬雅登-夢蓓菈玻尿酸植入物Volbella 1ml</t>
        </is>
      </c>
      <c r="H176" s="552" t="n"/>
      <c r="I176" s="552" t="n"/>
      <c r="J176" s="551" t="n"/>
      <c r="K176" s="488" t="inlineStr">
        <is>
          <t>1ml(2ml/盒)</t>
        </is>
      </c>
      <c r="L176" s="558" t="n">
        <v>6</v>
      </c>
      <c r="M176" s="123" t="inlineStr">
        <is>
          <t>MP1MA020020A</t>
        </is>
      </c>
      <c r="N176" s="117" t="n"/>
    </row>
    <row r="177" ht="17.25" customHeight="1" s="453" thickBot="1">
      <c r="A177" s="553">
        <f>IFERROR(LEFT(B177,7),"")</f>
        <v/>
      </c>
      <c r="B177" s="554">
        <f>"2025/07"&amp;D177</f>
        <v/>
      </c>
      <c r="C177" s="557" t="n">
        <v>96</v>
      </c>
      <c r="D177" s="488" t="inlineStr">
        <is>
          <t>忠孝7樓</t>
        </is>
      </c>
      <c r="E177" s="488" t="inlineStr">
        <is>
          <t>6150004</t>
        </is>
      </c>
      <c r="F177" s="551" t="n"/>
      <c r="G177" s="488" t="inlineStr">
        <is>
          <t>(V)喬雅登-豐塑玻尿酸植入物Volux 1ml</t>
        </is>
      </c>
      <c r="H177" s="552" t="n"/>
      <c r="I177" s="552" t="n"/>
      <c r="J177" s="551" t="n"/>
      <c r="K177" s="488" t="inlineStr">
        <is>
          <t>1ml(2ml/盒)</t>
        </is>
      </c>
      <c r="L177" s="558" t="n">
        <v>11</v>
      </c>
      <c r="M177" s="123" t="inlineStr">
        <is>
          <t>MP1MA020022A</t>
        </is>
      </c>
      <c r="N177" s="117" t="n"/>
    </row>
    <row r="178" ht="17.25" customHeight="1" s="453" thickBot="1">
      <c r="A178" s="553">
        <f>IFERROR(LEFT(B178,7),"")</f>
        <v/>
      </c>
      <c r="B178" s="554">
        <f>"2025/07"&amp;D178</f>
        <v/>
      </c>
      <c r="C178" s="557" t="n">
        <v>97</v>
      </c>
      <c r="D178" s="488" t="inlineStr">
        <is>
          <t>忠孝7樓</t>
        </is>
      </c>
      <c r="E178" s="488" t="inlineStr">
        <is>
          <t>6150010</t>
        </is>
      </c>
      <c r="F178" s="551" t="n"/>
      <c r="G178" s="488" t="inlineStr">
        <is>
          <t>(V)仙女玻尿酸大分子 1ml</t>
        </is>
      </c>
      <c r="H178" s="552" t="n"/>
      <c r="I178" s="552" t="n"/>
      <c r="J178" s="551" t="n"/>
      <c r="K178" s="488" t="inlineStr">
        <is>
          <t>1ml(1ml/盒)</t>
        </is>
      </c>
      <c r="L178" s="558" t="n">
        <v>69</v>
      </c>
      <c r="M178" s="123" t="inlineStr">
        <is>
          <t>MP1MA020014A</t>
        </is>
      </c>
      <c r="N178" s="117" t="n"/>
    </row>
    <row r="179" ht="17.25" customHeight="1" s="453" thickBot="1">
      <c r="A179" s="553">
        <f>IFERROR(LEFT(B179,7),"")</f>
        <v/>
      </c>
      <c r="B179" s="554">
        <f>"2025/07"&amp;D179</f>
        <v/>
      </c>
      <c r="C179" s="557" t="n">
        <v>98</v>
      </c>
      <c r="D179" s="488" t="inlineStr">
        <is>
          <t>忠孝7樓</t>
        </is>
      </c>
      <c r="E179" s="488" t="inlineStr">
        <is>
          <t>6150011</t>
        </is>
      </c>
      <c r="F179" s="551" t="n"/>
      <c r="G179" s="488" t="inlineStr">
        <is>
          <t>(V)仙女玻尿酸小分子 1ml</t>
        </is>
      </c>
      <c r="H179" s="552" t="n"/>
      <c r="I179" s="552" t="n"/>
      <c r="J179" s="551" t="n"/>
      <c r="K179" s="488" t="inlineStr">
        <is>
          <t>1ml(1ml/盒)</t>
        </is>
      </c>
      <c r="L179" s="558" t="n">
        <v>6</v>
      </c>
      <c r="M179" s="123" t="inlineStr">
        <is>
          <t>MP1MA020018A</t>
        </is>
      </c>
      <c r="N179" s="117" t="n"/>
    </row>
    <row r="180" ht="17.25" customHeight="1" s="453" thickBot="1">
      <c r="A180" s="553">
        <f>IFERROR(LEFT(B180,7),"")</f>
        <v/>
      </c>
      <c r="B180" s="554">
        <f>"2025/07"&amp;D180</f>
        <v/>
      </c>
      <c r="C180" s="557" t="n">
        <v>99</v>
      </c>
      <c r="D180" s="488" t="inlineStr">
        <is>
          <t>忠孝7樓</t>
        </is>
      </c>
      <c r="E180" s="488" t="inlineStr">
        <is>
          <t>6160002</t>
        </is>
      </c>
      <c r="F180" s="551" t="n"/>
      <c r="G180" s="488" t="inlineStr">
        <is>
          <t>(V)洢蓮絲植入劑ELLANSÉ-S 1ml</t>
        </is>
      </c>
      <c r="H180" s="552" t="n"/>
      <c r="I180" s="552" t="n"/>
      <c r="J180" s="551" t="n"/>
      <c r="K180" s="488" t="inlineStr">
        <is>
          <t>1ml(2ml/盒)</t>
        </is>
      </c>
      <c r="L180" s="558" t="n">
        <v>95</v>
      </c>
      <c r="M180" s="123" t="inlineStr">
        <is>
          <t>MP1MA020024A</t>
        </is>
      </c>
      <c r="N180" s="117" t="n"/>
    </row>
    <row r="181" ht="17.25" customHeight="1" s="453" thickBot="1">
      <c r="A181" s="553">
        <f>IFERROR(LEFT(B181,7),"")</f>
        <v/>
      </c>
      <c r="B181" s="554">
        <f>"2025/07"&amp;D181</f>
        <v/>
      </c>
      <c r="C181" s="557" t="n">
        <v>100</v>
      </c>
      <c r="D181" s="488" t="inlineStr">
        <is>
          <t>忠孝7樓</t>
        </is>
      </c>
      <c r="E181" s="488" t="inlineStr">
        <is>
          <t>6160003</t>
        </is>
      </c>
      <c r="F181" s="551" t="n"/>
      <c r="G181" s="488" t="inlineStr">
        <is>
          <t>(V)洢蓮絲植入劑ELLANSÉ-M 1ml</t>
        </is>
      </c>
      <c r="H181" s="552" t="n"/>
      <c r="I181" s="552" t="n"/>
      <c r="J181" s="551" t="n"/>
      <c r="K181" s="488" t="inlineStr">
        <is>
          <t>1ml(2ml/盒)</t>
        </is>
      </c>
      <c r="L181" s="558" t="n">
        <v>24</v>
      </c>
      <c r="M181" s="123" t="inlineStr">
        <is>
          <t>MP1MA020025A</t>
        </is>
      </c>
      <c r="N181" s="117" t="n"/>
    </row>
    <row r="182" ht="17.25" customHeight="1" s="453" thickBot="1">
      <c r="A182" s="553">
        <f>IFERROR(LEFT(B182,7),"")</f>
        <v/>
      </c>
      <c r="B182" s="554">
        <f>"2025/07"&amp;D182</f>
        <v/>
      </c>
      <c r="C182" s="557" t="n">
        <v>101</v>
      </c>
      <c r="D182" s="488" t="inlineStr">
        <is>
          <t>忠孝7樓</t>
        </is>
      </c>
      <c r="E182" s="488" t="inlineStr">
        <is>
          <t>6160005</t>
        </is>
      </c>
      <c r="F182" s="551" t="n"/>
      <c r="G182" s="488" t="inlineStr">
        <is>
          <t>(V)双美熊貓針</t>
        </is>
      </c>
      <c r="H182" s="552" t="n"/>
      <c r="I182" s="552" t="n"/>
      <c r="J182" s="551" t="n"/>
      <c r="K182" s="488" t="inlineStr">
        <is>
          <t>(1ml/盒)</t>
        </is>
      </c>
      <c r="L182" s="558" t="n">
        <v>2</v>
      </c>
      <c r="M182" s="123" t="inlineStr">
        <is>
          <t>MP1MA020015A</t>
        </is>
      </c>
      <c r="N182" s="117" t="n"/>
    </row>
    <row r="183" ht="17.25" customHeight="1" s="453" thickBot="1">
      <c r="A183" s="553">
        <f>IFERROR(LEFT(B183,7),"")</f>
        <v/>
      </c>
      <c r="B183" s="554">
        <f>"2025/07"&amp;D183</f>
        <v/>
      </c>
      <c r="C183" s="557" t="n">
        <v>102</v>
      </c>
      <c r="D183" s="488" t="inlineStr">
        <is>
          <t>忠孝7樓</t>
        </is>
      </c>
      <c r="E183" s="488" t="inlineStr">
        <is>
          <t>6160008</t>
        </is>
      </c>
      <c r="F183" s="551" t="n"/>
      <c r="G183" s="488" t="inlineStr">
        <is>
          <t>白童針-薇貝拉50mg/1cc</t>
        </is>
      </c>
      <c r="H183" s="552" t="n"/>
      <c r="I183" s="552" t="n"/>
      <c r="J183" s="551" t="n"/>
      <c r="K183" s="488" t="inlineStr">
        <is>
          <t>6cc/瓶</t>
        </is>
      </c>
      <c r="L183" s="558" t="n">
        <v>27</v>
      </c>
      <c r="M183" s="123" t="inlineStr">
        <is>
          <t>MP1MA020032A</t>
        </is>
      </c>
      <c r="N183" s="117" t="n"/>
    </row>
    <row r="184" ht="17.25" customHeight="1" s="453" thickBot="1">
      <c r="A184" s="553">
        <f>IFERROR(LEFT(B184,7),"")</f>
        <v/>
      </c>
      <c r="B184" s="554">
        <f>"2025/07"&amp;D184</f>
        <v/>
      </c>
      <c r="C184" s="557" t="n">
        <v>103</v>
      </c>
      <c r="D184" s="488" t="inlineStr">
        <is>
          <t>忠孝7樓</t>
        </is>
      </c>
      <c r="E184" s="488" t="inlineStr">
        <is>
          <t>6160009</t>
        </is>
      </c>
      <c r="F184" s="551" t="n"/>
      <c r="G184" s="488" t="inlineStr">
        <is>
          <t>黑童針-薇貝拉200mg/1cc</t>
        </is>
      </c>
      <c r="H184" s="552" t="n"/>
      <c r="I184" s="552" t="n"/>
      <c r="J184" s="551" t="n"/>
      <c r="K184" s="488" t="inlineStr">
        <is>
          <t>8cc/瓶</t>
        </is>
      </c>
      <c r="L184" s="558" t="n">
        <v>8</v>
      </c>
      <c r="M184" s="123" t="inlineStr">
        <is>
          <t>MP1MA020033A</t>
        </is>
      </c>
      <c r="N184" s="117" t="n"/>
    </row>
    <row r="185" ht="17.25" customHeight="1" s="453" thickBot="1">
      <c r="A185" s="553">
        <f>IFERROR(LEFT(B185,7),"")</f>
        <v/>
      </c>
      <c r="B185" s="554">
        <f>"2025/07"&amp;D185</f>
        <v/>
      </c>
      <c r="C185" s="557" t="n">
        <v>104</v>
      </c>
      <c r="D185" s="488" t="inlineStr">
        <is>
          <t>忠孝7樓</t>
        </is>
      </c>
      <c r="E185" s="488" t="inlineStr">
        <is>
          <t>6160010</t>
        </is>
      </c>
      <c r="F185" s="551" t="n"/>
      <c r="G185" s="488" t="inlineStr">
        <is>
          <t>喬雅露-大分子200mg/1cc</t>
        </is>
      </c>
      <c r="H185" s="552" t="n"/>
      <c r="I185" s="552" t="n"/>
      <c r="J185" s="551" t="n"/>
      <c r="K185" s="488" t="inlineStr">
        <is>
          <t>8cc/瓶</t>
        </is>
      </c>
      <c r="L185" s="558" t="n">
        <v>78</v>
      </c>
      <c r="M185" s="123" t="inlineStr">
        <is>
          <t>MP1MA020031A</t>
        </is>
      </c>
      <c r="N185" s="117" t="n"/>
    </row>
    <row r="186" ht="17.25" customHeight="1" s="453" thickBot="1">
      <c r="A186" s="553">
        <f>IFERROR(LEFT(B186,7),"")</f>
        <v/>
      </c>
      <c r="B186" s="554">
        <f>"2025/07"&amp;D186</f>
        <v/>
      </c>
      <c r="C186" s="557" t="n">
        <v>105</v>
      </c>
      <c r="D186" s="488" t="inlineStr">
        <is>
          <t>忠孝7樓</t>
        </is>
      </c>
      <c r="E186" s="488" t="inlineStr">
        <is>
          <t>6160011</t>
        </is>
      </c>
      <c r="F186" s="551" t="n"/>
      <c r="G186" s="488" t="inlineStr">
        <is>
          <t>喬雅露-小分子50mg/1cc</t>
        </is>
      </c>
      <c r="H186" s="552" t="n"/>
      <c r="I186" s="552" t="n"/>
      <c r="J186" s="551" t="n"/>
      <c r="K186" s="488" t="inlineStr">
        <is>
          <t>6cc/瓶</t>
        </is>
      </c>
      <c r="L186" s="558" t="n">
        <v>180</v>
      </c>
      <c r="M186" s="123" t="inlineStr">
        <is>
          <t>MP1MA020030A</t>
        </is>
      </c>
      <c r="N186" s="117" t="n"/>
    </row>
    <row r="187" ht="17.25" customHeight="1" s="453" thickBot="1">
      <c r="A187" s="553">
        <f>IFERROR(LEFT(B187,7),"")</f>
        <v/>
      </c>
      <c r="B187" s="554">
        <f>"2025/07"&amp;D187</f>
        <v/>
      </c>
      <c r="C187" s="557" t="n">
        <v>106</v>
      </c>
      <c r="D187" s="488" t="inlineStr">
        <is>
          <t>忠孝7樓</t>
        </is>
      </c>
      <c r="E187" s="488" t="inlineStr">
        <is>
          <t>6170005</t>
        </is>
      </c>
      <c r="F187" s="551" t="n"/>
      <c r="G187" s="488" t="inlineStr">
        <is>
          <t>海芙三代音波探頭2mm/ 條</t>
        </is>
      </c>
      <c r="H187" s="552" t="n"/>
      <c r="I187" s="552" t="n"/>
      <c r="J187" s="551" t="n"/>
      <c r="K187" s="488" t="inlineStr">
        <is>
          <t>20000條/顆</t>
        </is>
      </c>
      <c r="L187" s="558" t="n">
        <v>6983</v>
      </c>
      <c r="M187" s="123" t="inlineStr">
        <is>
          <t>MM2MB040003A</t>
        </is>
      </c>
      <c r="N187" s="117" t="n"/>
    </row>
    <row r="188" ht="17.25" customHeight="1" s="453" thickBot="1">
      <c r="A188" s="553">
        <f>IFERROR(LEFT(B188,7),"")</f>
        <v/>
      </c>
      <c r="B188" s="554">
        <f>"2025/07"&amp;D188</f>
        <v/>
      </c>
      <c r="C188" s="557" t="n">
        <v>107</v>
      </c>
      <c r="D188" s="488" t="inlineStr">
        <is>
          <t>忠孝7樓</t>
        </is>
      </c>
      <c r="E188" s="488" t="inlineStr">
        <is>
          <t>6170007</t>
        </is>
      </c>
      <c r="F188" s="551" t="n"/>
      <c r="G188" s="488" t="inlineStr">
        <is>
          <t>海芙三代音波探頭3mm/ 條</t>
        </is>
      </c>
      <c r="H188" s="552" t="n"/>
      <c r="I188" s="552" t="n"/>
      <c r="J188" s="551" t="n"/>
      <c r="K188" s="488" t="inlineStr">
        <is>
          <t>20000條/顆</t>
        </is>
      </c>
      <c r="L188" s="558" t="n">
        <v>21353</v>
      </c>
      <c r="M188" s="123" t="inlineStr">
        <is>
          <t>MM2MB040004A</t>
        </is>
      </c>
      <c r="N188" s="117" t="n"/>
    </row>
    <row r="189" ht="17.25" customHeight="1" s="453" thickBot="1">
      <c r="A189" s="553">
        <f>IFERROR(LEFT(B189,7),"")</f>
        <v/>
      </c>
      <c r="B189" s="554">
        <f>"2025/07"&amp;D189</f>
        <v/>
      </c>
      <c r="C189" s="557" t="n">
        <v>108</v>
      </c>
      <c r="D189" s="488" t="inlineStr">
        <is>
          <t>忠孝7樓</t>
        </is>
      </c>
      <c r="E189" s="488" t="inlineStr">
        <is>
          <t>6170009</t>
        </is>
      </c>
      <c r="F189" s="551" t="n"/>
      <c r="G189" s="488" t="inlineStr">
        <is>
          <t>海芙三代音波探頭4.5mm/ 條</t>
        </is>
      </c>
      <c r="H189" s="552" t="n"/>
      <c r="I189" s="552" t="n"/>
      <c r="J189" s="551" t="n"/>
      <c r="K189" s="488" t="inlineStr">
        <is>
          <t>20000條/顆</t>
        </is>
      </c>
      <c r="L189" s="558" t="n">
        <v>42079</v>
      </c>
      <c r="M189" s="123" t="inlineStr">
        <is>
          <t>MM2MB040005A</t>
        </is>
      </c>
      <c r="N189" s="117" t="n"/>
    </row>
    <row r="190" ht="17.25" customHeight="1" s="453" thickBot="1">
      <c r="A190" s="553">
        <f>IFERROR(LEFT(B190,7),"")</f>
        <v/>
      </c>
      <c r="B190" s="554">
        <f>"2025/07"&amp;D190</f>
        <v/>
      </c>
      <c r="C190" s="557" t="n">
        <v>109</v>
      </c>
      <c r="D190" s="488" t="inlineStr">
        <is>
          <t>忠孝7樓</t>
        </is>
      </c>
      <c r="E190" s="488" t="inlineStr">
        <is>
          <t>6170011</t>
        </is>
      </c>
      <c r="F190" s="551" t="n"/>
      <c r="G190" s="488" t="inlineStr">
        <is>
          <t>海芙三代音波探頭6mm/ 條</t>
        </is>
      </c>
      <c r="H190" s="552" t="n"/>
      <c r="I190" s="552" t="n"/>
      <c r="J190" s="551" t="n"/>
      <c r="K190" s="488" t="inlineStr">
        <is>
          <t>條</t>
        </is>
      </c>
      <c r="L190" s="558" t="n">
        <v>13307</v>
      </c>
      <c r="M190" s="123" t="inlineStr">
        <is>
          <t>MM2MB040006A</t>
        </is>
      </c>
      <c r="N190" s="117" t="n"/>
    </row>
    <row r="191" ht="17.25" customHeight="1" s="453" thickBot="1">
      <c r="A191" s="553">
        <f>IFERROR(LEFT(B191,7),"")</f>
        <v/>
      </c>
      <c r="B191" s="554">
        <f>"2025/07"&amp;D191</f>
        <v/>
      </c>
      <c r="C191" s="557" t="n">
        <v>110</v>
      </c>
      <c r="D191" s="488" t="inlineStr">
        <is>
          <t>忠孝7樓</t>
        </is>
      </c>
      <c r="E191" s="488" t="inlineStr">
        <is>
          <t>6170018</t>
        </is>
      </c>
      <c r="F191" s="551" t="n"/>
      <c r="G191" s="488" t="inlineStr">
        <is>
          <t>媚必提直線探頭1.5mm/條</t>
        </is>
      </c>
      <c r="H191" s="552" t="n"/>
      <c r="I191" s="552" t="n"/>
      <c r="J191" s="551" t="n"/>
      <c r="K191" s="488" t="inlineStr">
        <is>
          <t>20000條/顆</t>
        </is>
      </c>
      <c r="L191" s="558" t="n">
        <v>200</v>
      </c>
      <c r="M191" s="123" t="inlineStr">
        <is>
          <t>MM2MB040007A</t>
        </is>
      </c>
      <c r="N191" s="117" t="n"/>
    </row>
    <row r="192" ht="17.25" customHeight="1" s="453" thickBot="1">
      <c r="A192" s="553">
        <f>IFERROR(LEFT(B192,7),"")</f>
        <v/>
      </c>
      <c r="B192" s="554">
        <f>"2025/07"&amp;D192</f>
        <v/>
      </c>
      <c r="C192" s="557" t="n">
        <v>111</v>
      </c>
      <c r="D192" s="488" t="inlineStr">
        <is>
          <t>忠孝7樓</t>
        </is>
      </c>
      <c r="E192" s="488" t="inlineStr">
        <is>
          <t>6170019</t>
        </is>
      </c>
      <c r="F192" s="551" t="n"/>
      <c r="G192" s="488" t="inlineStr">
        <is>
          <t>媚必提直線探頭2.0mm/條</t>
        </is>
      </c>
      <c r="H192" s="552" t="n"/>
      <c r="I192" s="552" t="n"/>
      <c r="J192" s="551" t="n"/>
      <c r="K192" s="488" t="inlineStr">
        <is>
          <t>20000條/顆</t>
        </is>
      </c>
      <c r="L192" s="558" t="n">
        <v>1802</v>
      </c>
      <c r="M192" s="123" t="inlineStr">
        <is>
          <t>MM2MB040008A</t>
        </is>
      </c>
      <c r="N192" s="117" t="n"/>
    </row>
    <row r="193" ht="17.25" customHeight="1" s="453" thickBot="1">
      <c r="A193" s="553">
        <f>IFERROR(LEFT(B193,7),"")</f>
        <v/>
      </c>
      <c r="B193" s="554">
        <f>"2025/07"&amp;D193</f>
        <v/>
      </c>
      <c r="C193" s="557" t="n">
        <v>112</v>
      </c>
      <c r="D193" s="488" t="inlineStr">
        <is>
          <t>忠孝7樓</t>
        </is>
      </c>
      <c r="E193" s="488" t="inlineStr">
        <is>
          <t>6170020</t>
        </is>
      </c>
      <c r="F193" s="551" t="n"/>
      <c r="G193" s="488" t="inlineStr">
        <is>
          <t>媚必提直線探頭3.0mm/條</t>
        </is>
      </c>
      <c r="H193" s="552" t="n"/>
      <c r="I193" s="552" t="n"/>
      <c r="J193" s="551" t="n"/>
      <c r="K193" s="488" t="inlineStr">
        <is>
          <t>20000條/顆</t>
        </is>
      </c>
      <c r="L193" s="558" t="n">
        <v>4880</v>
      </c>
      <c r="M193" s="123" t="inlineStr">
        <is>
          <t>MM2MB040009A</t>
        </is>
      </c>
      <c r="N193" s="117" t="n"/>
    </row>
    <row r="194" ht="17.25" customHeight="1" s="453" thickBot="1">
      <c r="A194" s="553">
        <f>IFERROR(LEFT(B194,7),"")</f>
        <v/>
      </c>
      <c r="B194" s="554">
        <f>"2025/07"&amp;D194</f>
        <v/>
      </c>
      <c r="C194" s="557" t="n">
        <v>113</v>
      </c>
      <c r="D194" s="488" t="inlineStr">
        <is>
          <t>忠孝7樓</t>
        </is>
      </c>
      <c r="E194" s="488" t="inlineStr">
        <is>
          <t>6170021</t>
        </is>
      </c>
      <c r="F194" s="551" t="n"/>
      <c r="G194" s="488" t="inlineStr">
        <is>
          <t>媚必提直線探頭4.5mm/條</t>
        </is>
      </c>
      <c r="H194" s="552" t="n"/>
      <c r="I194" s="552" t="n"/>
      <c r="J194" s="551" t="n"/>
      <c r="K194" s="488" t="inlineStr">
        <is>
          <t>20000條/顆</t>
        </is>
      </c>
      <c r="L194" s="558" t="n">
        <v>11389</v>
      </c>
      <c r="M194" s="123" t="inlineStr">
        <is>
          <t>MM2MB040010A</t>
        </is>
      </c>
      <c r="N194" s="117" t="n"/>
    </row>
    <row r="195" ht="17.25" customHeight="1" s="453" thickBot="1">
      <c r="A195" s="553">
        <f>IFERROR(LEFT(B195,7),"")</f>
        <v/>
      </c>
      <c r="B195" s="554">
        <f>"2025/07"&amp;D195</f>
        <v/>
      </c>
      <c r="C195" s="557" t="n">
        <v>114</v>
      </c>
      <c r="D195" s="488" t="inlineStr">
        <is>
          <t>忠孝7樓</t>
        </is>
      </c>
      <c r="E195" s="488" t="inlineStr">
        <is>
          <t>6170022</t>
        </is>
      </c>
      <c r="F195" s="551" t="n"/>
      <c r="G195" s="488" t="inlineStr">
        <is>
          <t>媚必提直線探頭6.0mm/條</t>
        </is>
      </c>
      <c r="H195" s="552" t="n"/>
      <c r="I195" s="552" t="n"/>
      <c r="J195" s="551" t="n"/>
      <c r="K195" s="488" t="inlineStr">
        <is>
          <t>20000條/顆</t>
        </is>
      </c>
      <c r="L195" s="558" t="n">
        <v>4631</v>
      </c>
      <c r="M195" s="123" t="inlineStr">
        <is>
          <t>MM2MB040011A</t>
        </is>
      </c>
      <c r="N195" s="117" t="n"/>
    </row>
    <row r="196" ht="17.25" customHeight="1" s="453" thickBot="1">
      <c r="A196" s="553">
        <f>IFERROR(LEFT(B196,7),"")</f>
        <v/>
      </c>
      <c r="B196" s="554">
        <f>"2025/07"&amp;D196</f>
        <v/>
      </c>
      <c r="C196" s="557" t="n">
        <v>115</v>
      </c>
      <c r="D196" s="488" t="inlineStr">
        <is>
          <t>忠孝7樓</t>
        </is>
      </c>
      <c r="E196" s="488" t="inlineStr">
        <is>
          <t>6170028</t>
        </is>
      </c>
      <c r="F196" s="551" t="n"/>
      <c r="G196" s="488" t="inlineStr">
        <is>
          <t>海芙電波探頭0.25cm/發</t>
        </is>
      </c>
      <c r="H196" s="552" t="n"/>
      <c r="I196" s="552" t="n"/>
      <c r="J196" s="551" t="n"/>
      <c r="K196" s="488" t="inlineStr">
        <is>
          <t>6000發/顆</t>
        </is>
      </c>
      <c r="L196" s="558" t="n">
        <v>4400</v>
      </c>
      <c r="M196" s="123" t="inlineStr">
        <is>
          <t>MM2MB030002A</t>
        </is>
      </c>
      <c r="N196" s="117" t="n"/>
    </row>
    <row r="197" ht="17.25" customHeight="1" s="453" thickBot="1">
      <c r="A197" s="553">
        <f>IFERROR(LEFT(B197,7),"")</f>
        <v/>
      </c>
      <c r="B197" s="554">
        <f>"2025/07"&amp;D197</f>
        <v/>
      </c>
      <c r="C197" s="557" t="n">
        <v>116</v>
      </c>
      <c r="D197" s="488" t="inlineStr">
        <is>
          <t>忠孝7樓</t>
        </is>
      </c>
      <c r="E197" s="488" t="inlineStr">
        <is>
          <t>6170029</t>
        </is>
      </c>
      <c r="F197" s="551" t="n"/>
      <c r="G197" s="488" t="inlineStr">
        <is>
          <t>海芙電波探頭3.0cm/發</t>
        </is>
      </c>
      <c r="H197" s="552" t="n"/>
      <c r="I197" s="552" t="n"/>
      <c r="J197" s="551" t="n"/>
      <c r="K197" s="488" t="inlineStr">
        <is>
          <t>4000發/顆</t>
        </is>
      </c>
      <c r="L197" s="558" t="n">
        <v>18000</v>
      </c>
      <c r="M197" s="123" t="inlineStr">
        <is>
          <t>MM2MB030003A</t>
        </is>
      </c>
      <c r="N197" s="117" t="n"/>
    </row>
    <row r="198" ht="17.25" customHeight="1" s="453" thickBot="1">
      <c r="A198" s="553">
        <f>IFERROR(LEFT(B198,7),"")</f>
        <v/>
      </c>
      <c r="B198" s="554">
        <f>"2025/07"&amp;D198</f>
        <v/>
      </c>
      <c r="C198" s="557" t="n">
        <v>117</v>
      </c>
      <c r="D198" s="488" t="inlineStr">
        <is>
          <t>忠孝7樓</t>
        </is>
      </c>
      <c r="E198" s="488" t="inlineStr">
        <is>
          <t>6170032</t>
        </is>
      </c>
      <c r="F198" s="551" t="n"/>
      <c r="G198" s="488" t="inlineStr">
        <is>
          <t>立特拉A2筆型探頭3.0mm/ 條</t>
        </is>
      </c>
      <c r="H198" s="552" t="n"/>
      <c r="I198" s="552" t="n"/>
      <c r="J198" s="551" t="n"/>
      <c r="K198" s="488" t="inlineStr">
        <is>
          <t>240000條/顆</t>
        </is>
      </c>
      <c r="L198" s="558" t="n">
        <v>162628</v>
      </c>
      <c r="M198" s="123" t="inlineStr">
        <is>
          <t>MM2MB040018A</t>
        </is>
      </c>
      <c r="N198" s="117" t="n"/>
    </row>
    <row r="199" ht="17.25" customHeight="1" s="453" thickBot="1">
      <c r="A199" s="553">
        <f>IFERROR(LEFT(B199,7),"")</f>
        <v/>
      </c>
      <c r="B199" s="554">
        <f>"2025/07"&amp;D199</f>
        <v/>
      </c>
      <c r="C199" s="557" t="n">
        <v>118</v>
      </c>
      <c r="D199" s="488" t="inlineStr">
        <is>
          <t>忠孝7樓</t>
        </is>
      </c>
      <c r="E199" s="488" t="inlineStr">
        <is>
          <t>6170033</t>
        </is>
      </c>
      <c r="F199" s="551" t="n"/>
      <c r="G199" s="488" t="inlineStr">
        <is>
          <t>立特拉A2筆型探頭4.5mm/ 條</t>
        </is>
      </c>
      <c r="H199" s="552" t="n"/>
      <c r="I199" s="552" t="n"/>
      <c r="J199" s="551" t="n"/>
      <c r="K199" s="488" t="inlineStr">
        <is>
          <t>240000條/顆</t>
        </is>
      </c>
      <c r="L199" s="558" t="n">
        <v>98476</v>
      </c>
      <c r="M199" s="123" t="inlineStr">
        <is>
          <t>MM2MB040019A</t>
        </is>
      </c>
      <c r="N199" s="117" t="n"/>
    </row>
    <row r="200" ht="17.25" customHeight="1" s="453" thickBot="1">
      <c r="A200" s="553">
        <f>IFERROR(LEFT(B200,7),"")</f>
        <v/>
      </c>
      <c r="B200" s="554">
        <f>"2025/07"&amp;D200</f>
        <v/>
      </c>
      <c r="C200" s="557" t="n">
        <v>119</v>
      </c>
      <c r="D200" s="488" t="inlineStr">
        <is>
          <t>忠孝7樓</t>
        </is>
      </c>
      <c r="E200" s="488" t="inlineStr">
        <is>
          <t>6170034</t>
        </is>
      </c>
      <c r="F200" s="551" t="n"/>
      <c r="G200" s="488" t="inlineStr">
        <is>
          <t>十蓓電波臉部探頭5cm</t>
        </is>
      </c>
      <c r="H200" s="552" t="n"/>
      <c r="I200" s="552" t="n"/>
      <c r="J200" s="551" t="n"/>
      <c r="K200" s="488" t="inlineStr">
        <is>
          <t>900發/顆</t>
        </is>
      </c>
      <c r="L200" s="558" t="n">
        <v>20201</v>
      </c>
      <c r="M200" s="123" t="inlineStr">
        <is>
          <t>MM2MB030006A</t>
        </is>
      </c>
      <c r="N200" s="117" t="n"/>
    </row>
    <row r="201" ht="17.25" customHeight="1" s="453" thickBot="1">
      <c r="A201" s="553">
        <f>IFERROR(LEFT(B201,7),"")</f>
        <v/>
      </c>
      <c r="B201" s="554">
        <f>"2025/07"&amp;D201</f>
        <v/>
      </c>
      <c r="C201" s="557" t="n">
        <v>120</v>
      </c>
      <c r="D201" s="488" t="inlineStr">
        <is>
          <t>忠孝7樓</t>
        </is>
      </c>
      <c r="E201" s="488" t="inlineStr">
        <is>
          <t>6170035</t>
        </is>
      </c>
      <c r="F201" s="551" t="n"/>
      <c r="G201" s="488" t="inlineStr">
        <is>
          <t>十蓓電波眼部探頭0.25cm</t>
        </is>
      </c>
      <c r="H201" s="552" t="n"/>
      <c r="I201" s="552" t="n"/>
      <c r="J201" s="551" t="n"/>
      <c r="K201" s="488" t="inlineStr">
        <is>
          <t>600發/顆</t>
        </is>
      </c>
      <c r="L201" s="558" t="n">
        <v>5400</v>
      </c>
      <c r="M201" s="123" t="inlineStr">
        <is>
          <t>MM2MB030007A</t>
        </is>
      </c>
      <c r="N201" s="117" t="n"/>
    </row>
    <row r="202" ht="17.25" customHeight="1" s="453" thickBot="1">
      <c r="A202" s="553">
        <f>IFERROR(LEFT(B202,7),"")</f>
        <v/>
      </c>
      <c r="B202" s="554">
        <f>"2025/07"&amp;D202</f>
        <v/>
      </c>
      <c r="C202" s="557" t="n">
        <v>121</v>
      </c>
      <c r="D202" s="488" t="inlineStr">
        <is>
          <t>忠孝7樓</t>
        </is>
      </c>
      <c r="E202" s="488" t="inlineStr">
        <is>
          <t>6180009</t>
        </is>
      </c>
      <c r="F202" s="551" t="n"/>
      <c r="G202" s="488" t="inlineStr">
        <is>
          <t>(V)MINT秘特拉提線TIP 4CM/ 條</t>
        </is>
      </c>
      <c r="H202" s="552" t="n"/>
      <c r="I202" s="552" t="n"/>
      <c r="J202" s="551" t="n"/>
      <c r="K202" s="488" t="inlineStr">
        <is>
          <t>10條/盒</t>
        </is>
      </c>
      <c r="L202" s="558" t="n">
        <v>4</v>
      </c>
      <c r="M202" s="123" t="inlineStr">
        <is>
          <t>MP1MA010015A</t>
        </is>
      </c>
      <c r="N202" s="117" t="n"/>
    </row>
    <row r="203" ht="17.25" customHeight="1" s="453" thickBot="1">
      <c r="A203" s="553">
        <f>IFERROR(LEFT(B203,7),"")</f>
        <v/>
      </c>
      <c r="B203" s="554">
        <f>"2025/07"&amp;D203</f>
        <v/>
      </c>
      <c r="C203" s="557" t="n">
        <v>122</v>
      </c>
      <c r="D203" s="488" t="inlineStr">
        <is>
          <t>忠孝7樓</t>
        </is>
      </c>
      <c r="E203" s="488" t="inlineStr">
        <is>
          <t>6180011</t>
        </is>
      </c>
      <c r="F203" s="551" t="n"/>
      <c r="G203" s="488" t="inlineStr">
        <is>
          <t>(V)MINT秘特拉提線UP 9.5CM/ 條</t>
        </is>
      </c>
      <c r="H203" s="552" t="n"/>
      <c r="I203" s="552" t="n"/>
      <c r="J203" s="551" t="n"/>
      <c r="K203" s="488" t="inlineStr">
        <is>
          <t>10條/盒</t>
        </is>
      </c>
      <c r="L203" s="558" t="n">
        <v>4</v>
      </c>
      <c r="M203" s="123" t="inlineStr">
        <is>
          <t>MP1MA010016A</t>
        </is>
      </c>
      <c r="N203" s="117" t="n"/>
    </row>
    <row r="204" ht="17.25" customHeight="1" s="453" thickBot="1">
      <c r="A204" s="553">
        <f>IFERROR(LEFT(B204,7),"")</f>
        <v/>
      </c>
      <c r="B204" s="554">
        <f>"2025/07"&amp;D204</f>
        <v/>
      </c>
      <c r="C204" s="557" t="n">
        <v>123</v>
      </c>
      <c r="D204" s="488" t="inlineStr">
        <is>
          <t>忠孝7樓</t>
        </is>
      </c>
      <c r="E204" s="488" t="inlineStr">
        <is>
          <t>6190001</t>
        </is>
      </c>
      <c r="F204" s="551" t="n"/>
      <c r="G204" s="488" t="inlineStr">
        <is>
          <t>PLT生長因子凍晶製備/ 瓶</t>
        </is>
      </c>
      <c r="H204" s="552" t="n"/>
      <c r="I204" s="552" t="n"/>
      <c r="J204" s="551" t="n"/>
      <c r="K204" s="488" t="inlineStr">
        <is>
          <t>瓶</t>
        </is>
      </c>
      <c r="L204" s="558" t="n">
        <v>8</v>
      </c>
      <c r="M204" s="123" t="n"/>
      <c r="N204" s="117" t="n"/>
    </row>
    <row r="205" ht="17.25" customHeight="1" s="453" thickBot="1">
      <c r="A205" s="553">
        <f>IFERROR(LEFT(B205,7),"")</f>
        <v/>
      </c>
      <c r="B205" s="554">
        <f>"2025/07"&amp;D205</f>
        <v/>
      </c>
      <c r="C205" s="557" t="n">
        <v>124</v>
      </c>
      <c r="D205" s="488" t="inlineStr">
        <is>
          <t>忠孝7樓</t>
        </is>
      </c>
      <c r="E205" s="488" t="inlineStr">
        <is>
          <t>6200003</t>
        </is>
      </c>
      <c r="F205" s="551" t="n"/>
      <c r="G205" s="488" t="inlineStr">
        <is>
          <t>(V)倍克脂Belkyra/ 瓶</t>
        </is>
      </c>
      <c r="H205" s="552" t="n"/>
      <c r="I205" s="552" t="n"/>
      <c r="J205" s="551" t="n"/>
      <c r="K205" s="488" t="inlineStr">
        <is>
          <t>5瓶/盒</t>
        </is>
      </c>
      <c r="L205" s="558" t="n">
        <v>5</v>
      </c>
      <c r="M205" s="123" t="inlineStr">
        <is>
          <t>MB3ME090004A</t>
        </is>
      </c>
      <c r="N205" s="117" t="n"/>
    </row>
    <row r="206" ht="17.25" customHeight="1" s="453" thickBot="1">
      <c r="A206" s="553">
        <f>IFERROR(LEFT(B206,7),"")</f>
        <v/>
      </c>
      <c r="B206" s="554">
        <f>"2025/07"&amp;D206</f>
        <v/>
      </c>
      <c r="C206" s="557" t="n">
        <v>125</v>
      </c>
      <c r="D206" s="488" t="inlineStr">
        <is>
          <t>忠孝7樓</t>
        </is>
      </c>
      <c r="E206" s="488" t="inlineStr">
        <is>
          <t>6210001</t>
        </is>
      </c>
      <c r="F206" s="551" t="n"/>
      <c r="G206" s="488" t="inlineStr">
        <is>
          <t>(V)水光針針頭/31G9針/1.0mm/ PCS</t>
        </is>
      </c>
      <c r="H206" s="552" t="n"/>
      <c r="I206" s="552" t="n"/>
      <c r="J206" s="551" t="n"/>
      <c r="K206" s="488" t="inlineStr">
        <is>
          <t>PCS(20入/盒)</t>
        </is>
      </c>
      <c r="L206" s="558" t="n">
        <v>4</v>
      </c>
      <c r="M206" s="123" t="inlineStr">
        <is>
          <t>MP1MA070006A</t>
        </is>
      </c>
      <c r="N206" s="117" t="n"/>
    </row>
    <row r="207" ht="17.25" customHeight="1" s="453" thickBot="1">
      <c r="A207" s="553">
        <f>IFERROR(LEFT(B207,7),"")</f>
        <v/>
      </c>
      <c r="B207" s="554">
        <f>"2025/07"&amp;D207</f>
        <v/>
      </c>
      <c r="C207" s="557" t="n">
        <v>126</v>
      </c>
      <c r="D207" s="488" t="inlineStr">
        <is>
          <t>忠孝7樓</t>
        </is>
      </c>
      <c r="E207" s="488" t="inlineStr">
        <is>
          <t>6210002</t>
        </is>
      </c>
      <c r="F207" s="551" t="n"/>
      <c r="G207" s="488" t="inlineStr">
        <is>
          <t>(V)水光針針頭/31G9針/1.2mm/ PCS</t>
        </is>
      </c>
      <c r="H207" s="552" t="n"/>
      <c r="I207" s="552" t="n"/>
      <c r="J207" s="551" t="n"/>
      <c r="K207" s="488" t="inlineStr">
        <is>
          <t>PCS(20入/盒)</t>
        </is>
      </c>
      <c r="L207" s="558" t="n">
        <v>30</v>
      </c>
      <c r="M207" s="123" t="inlineStr">
        <is>
          <t>MP1MA070007A</t>
        </is>
      </c>
      <c r="N207" s="117" t="n"/>
    </row>
    <row r="208" ht="17.25" customHeight="1" s="453" thickBot="1">
      <c r="A208" s="553">
        <f>IFERROR(LEFT(B208,7),"")</f>
        <v/>
      </c>
      <c r="B208" s="554">
        <f>"2025/07"&amp;D208</f>
        <v/>
      </c>
      <c r="C208" s="557" t="n">
        <v>127</v>
      </c>
      <c r="D208" s="488" t="inlineStr">
        <is>
          <t>忠孝7樓</t>
        </is>
      </c>
      <c r="E208" s="488" t="inlineStr">
        <is>
          <t>6210003</t>
        </is>
      </c>
      <c r="F208" s="551" t="n"/>
      <c r="G208" s="488" t="inlineStr">
        <is>
          <t>(V)水光針針頭/31G9針/1.5mm/ PCS</t>
        </is>
      </c>
      <c r="H208" s="552" t="n"/>
      <c r="I208" s="552" t="n"/>
      <c r="J208" s="551" t="n"/>
      <c r="K208" s="488" t="inlineStr">
        <is>
          <t>PCS(20入/盒)</t>
        </is>
      </c>
      <c r="L208" s="558" t="n">
        <v>3</v>
      </c>
      <c r="M208" s="123" t="inlineStr">
        <is>
          <t>MP1MA070008A</t>
        </is>
      </c>
      <c r="N208" s="117" t="n"/>
    </row>
    <row r="209" ht="17.25" customHeight="1" s="453" thickBot="1">
      <c r="A209" s="553">
        <f>IFERROR(LEFT(B209,7),"")</f>
        <v/>
      </c>
      <c r="B209" s="554">
        <f>"2025/07"&amp;D209</f>
        <v/>
      </c>
      <c r="C209" s="557" t="n">
        <v>128</v>
      </c>
      <c r="D209" s="488" t="inlineStr">
        <is>
          <t>忠孝7樓</t>
        </is>
      </c>
      <c r="E209" s="488" t="inlineStr">
        <is>
          <t>6220005</t>
        </is>
      </c>
      <c r="F209" s="551" t="n"/>
      <c r="G209" s="488" t="inlineStr">
        <is>
          <t>海菲秀深藍端頭/ 顆</t>
        </is>
      </c>
      <c r="H209" s="552" t="n"/>
      <c r="I209" s="552" t="n"/>
      <c r="J209" s="551" t="n"/>
      <c r="K209" s="488" t="inlineStr">
        <is>
          <t>15顆/串</t>
        </is>
      </c>
      <c r="L209" s="558" t="n">
        <v>446</v>
      </c>
      <c r="M209" s="123" t="inlineStr">
        <is>
          <t>MM2MD070001A</t>
        </is>
      </c>
      <c r="N209" s="117" t="n"/>
    </row>
    <row r="210" ht="17.25" customHeight="1" s="453" thickBot="1">
      <c r="A210" s="553">
        <f>IFERROR(LEFT(B210,7),"")</f>
        <v/>
      </c>
      <c r="B210" s="554">
        <f>"2025/07"&amp;D210</f>
        <v/>
      </c>
      <c r="C210" s="557" t="n">
        <v>129</v>
      </c>
      <c r="D210" s="488" t="inlineStr">
        <is>
          <t>忠孝7樓</t>
        </is>
      </c>
      <c r="E210" s="488" t="inlineStr">
        <is>
          <t>6220006</t>
        </is>
      </c>
      <c r="F210" s="551" t="n"/>
      <c r="G210" s="488" t="inlineStr">
        <is>
          <t>海菲秀淺藍端頭/ 顆</t>
        </is>
      </c>
      <c r="H210" s="552" t="n"/>
      <c r="I210" s="552" t="n"/>
      <c r="J210" s="551" t="n"/>
      <c r="K210" s="488" t="inlineStr">
        <is>
          <t>15顆/串</t>
        </is>
      </c>
      <c r="L210" s="558" t="n">
        <v>446</v>
      </c>
      <c r="M210" s="123" t="inlineStr">
        <is>
          <t>MM2MD070002A</t>
        </is>
      </c>
      <c r="N210" s="117" t="n"/>
    </row>
    <row r="211" ht="17.25" customHeight="1" s="453" thickBot="1">
      <c r="A211" s="553">
        <f>IFERROR(LEFT(B211,7),"")</f>
        <v/>
      </c>
      <c r="B211" s="554">
        <f>"2025/07"&amp;D211</f>
        <v/>
      </c>
      <c r="C211" s="557" t="n">
        <v>130</v>
      </c>
      <c r="D211" s="488" t="inlineStr">
        <is>
          <t>忠孝7樓</t>
        </is>
      </c>
      <c r="E211" s="488" t="inlineStr">
        <is>
          <t>6220007</t>
        </is>
      </c>
      <c r="F211" s="551" t="n"/>
      <c r="G211" s="488" t="inlineStr">
        <is>
          <t>海菲秀透明端頭/ 顆</t>
        </is>
      </c>
      <c r="H211" s="552" t="n"/>
      <c r="I211" s="552" t="n"/>
      <c r="J211" s="551" t="n"/>
      <c r="K211" s="488" t="inlineStr">
        <is>
          <t>15顆/串</t>
        </is>
      </c>
      <c r="L211" s="558" t="n">
        <v>446</v>
      </c>
      <c r="M211" s="123" t="inlineStr">
        <is>
          <t>MM2MD070003A</t>
        </is>
      </c>
      <c r="N211" s="117" t="n"/>
    </row>
    <row r="212" ht="17.25" customHeight="1" s="453" thickBot="1">
      <c r="A212" s="553">
        <f>IFERROR(LEFT(B212,7),"")</f>
        <v/>
      </c>
      <c r="B212" s="554">
        <f>"2025/07"&amp;D212</f>
        <v/>
      </c>
      <c r="C212" s="557" t="n">
        <v>131</v>
      </c>
      <c r="D212" s="488" t="inlineStr">
        <is>
          <t>忠孝7樓</t>
        </is>
      </c>
      <c r="E212" s="488" t="inlineStr">
        <is>
          <t>6220012</t>
        </is>
      </c>
      <c r="F212" s="551" t="n"/>
      <c r="G212" s="488" t="inlineStr">
        <is>
          <t>(V)(第一劑)海菲秀 Activ-4 Skin Solution/mL</t>
        </is>
      </c>
      <c r="H212" s="552" t="n"/>
      <c r="I212" s="552" t="n"/>
      <c r="J212" s="551" t="n"/>
      <c r="K212" s="488" t="inlineStr">
        <is>
          <t>ml</t>
        </is>
      </c>
      <c r="L212" s="558" t="n">
        <v>6690</v>
      </c>
      <c r="M212" s="123" t="inlineStr">
        <is>
          <t>MP1MD070012A</t>
        </is>
      </c>
      <c r="N212" s="117" t="n"/>
    </row>
    <row r="213" ht="17.25" customHeight="1" s="453" thickBot="1">
      <c r="A213" s="553">
        <f>IFERROR(LEFT(B213,7),"")</f>
        <v/>
      </c>
      <c r="B213" s="554">
        <f>"2025/07"&amp;D213</f>
        <v/>
      </c>
      <c r="C213" s="557" t="n">
        <v>132</v>
      </c>
      <c r="D213" s="488" t="inlineStr">
        <is>
          <t>忠孝7樓</t>
        </is>
      </c>
      <c r="E213" s="488" t="inlineStr">
        <is>
          <t>6220013</t>
        </is>
      </c>
      <c r="F213" s="551" t="n"/>
      <c r="G213" s="488" t="inlineStr">
        <is>
          <t>(V)(第二劑)海菲秀 Beta-HD Skin Solution /mL</t>
        </is>
      </c>
      <c r="H213" s="552" t="n"/>
      <c r="I213" s="552" t="n"/>
      <c r="J213" s="551" t="n"/>
      <c r="K213" s="488" t="inlineStr">
        <is>
          <t>ml</t>
        </is>
      </c>
      <c r="L213" s="558" t="n">
        <v>6690</v>
      </c>
      <c r="M213" s="123" t="inlineStr">
        <is>
          <t>MP1MD070013A</t>
        </is>
      </c>
      <c r="N213" s="117" t="n"/>
    </row>
    <row r="214" ht="17.25" customHeight="1" s="453" thickBot="1">
      <c r="A214" s="553">
        <f>IFERROR(LEFT(B214,7),"")</f>
        <v/>
      </c>
      <c r="B214" s="554">
        <f>"2025/07"&amp;D214</f>
        <v/>
      </c>
      <c r="C214" s="557" t="n">
        <v>133</v>
      </c>
      <c r="D214" s="488" t="inlineStr">
        <is>
          <t>忠孝7樓</t>
        </is>
      </c>
      <c r="E214" s="488" t="inlineStr">
        <is>
          <t>6220014</t>
        </is>
      </c>
      <c r="F214" s="551" t="n"/>
      <c r="G214" s="488" t="inlineStr">
        <is>
          <t>(V)(第三劑)海菲秀 Antiox-6 Skin Solution /mL</t>
        </is>
      </c>
      <c r="H214" s="552" t="n"/>
      <c r="I214" s="552" t="n"/>
      <c r="J214" s="551" t="n"/>
      <c r="K214" s="488" t="inlineStr">
        <is>
          <t>ml</t>
        </is>
      </c>
      <c r="L214" s="558" t="n">
        <v>6690</v>
      </c>
      <c r="M214" s="123" t="inlineStr">
        <is>
          <t>MP1MD070014A</t>
        </is>
      </c>
      <c r="N214" s="117" t="n"/>
    </row>
    <row r="215" ht="33.75" customHeight="1" s="453" thickBot="1">
      <c r="A215" s="553">
        <f>IFERROR(LEFT(B215,7),"")</f>
        <v/>
      </c>
      <c r="B215" s="554">
        <f>"2025/07"&amp;D215</f>
        <v/>
      </c>
      <c r="C215" s="557" t="n">
        <v>134</v>
      </c>
      <c r="D215" s="488" t="inlineStr">
        <is>
          <t>忠孝國際醫學3樓</t>
        </is>
      </c>
      <c r="E215" s="488" t="inlineStr">
        <is>
          <t>6120001</t>
        </is>
      </c>
      <c r="F215" s="551" t="n"/>
      <c r="G215" s="488" t="inlineStr">
        <is>
          <t>(V)肝得健注射劑/ 瓶，220倍數叫貨</t>
        </is>
      </c>
      <c r="H215" s="552" t="n"/>
      <c r="I215" s="552" t="n"/>
      <c r="J215" s="551" t="n"/>
      <c r="K215" s="488" t="inlineStr">
        <is>
          <t>20支/盒</t>
        </is>
      </c>
      <c r="L215" s="558" t="n">
        <v>165</v>
      </c>
      <c r="M215" s="123" t="inlineStr">
        <is>
          <t>MB3ME090001A</t>
        </is>
      </c>
      <c r="N215" s="117" t="n"/>
    </row>
    <row r="216" ht="33.75" customHeight="1" s="453" thickBot="1">
      <c r="A216" s="553">
        <f>IFERROR(LEFT(B216,7),"")</f>
        <v/>
      </c>
      <c r="B216" s="554">
        <f>"2025/07"&amp;D216</f>
        <v/>
      </c>
      <c r="C216" s="557" t="n">
        <v>135</v>
      </c>
      <c r="D216" s="488" t="inlineStr">
        <is>
          <t>忠孝國際醫學3樓</t>
        </is>
      </c>
      <c r="E216" s="488" t="inlineStr">
        <is>
          <t>6120002</t>
        </is>
      </c>
      <c r="F216" s="551" t="n"/>
      <c r="G216" s="488" t="inlineStr">
        <is>
          <t>(V)卡妮丁注射劑/ 瓶，220倍數叫貨</t>
        </is>
      </c>
      <c r="H216" s="552" t="n"/>
      <c r="I216" s="552" t="n"/>
      <c r="J216" s="551" t="n"/>
      <c r="K216" s="488" t="inlineStr">
        <is>
          <t>20支/盒</t>
        </is>
      </c>
      <c r="L216" s="558" t="n">
        <v>210</v>
      </c>
      <c r="M216" s="123" t="inlineStr">
        <is>
          <t>MB3ME090002A</t>
        </is>
      </c>
      <c r="N216" s="117" t="n"/>
    </row>
    <row r="217" ht="33.75" customHeight="1" s="453" thickBot="1">
      <c r="A217" s="553">
        <f>IFERROR(LEFT(B217,7),"")</f>
        <v/>
      </c>
      <c r="B217" s="554">
        <f>"2025/07"&amp;D217</f>
        <v/>
      </c>
      <c r="C217" s="557" t="n">
        <v>136</v>
      </c>
      <c r="D217" s="488" t="inlineStr">
        <is>
          <t>忠孝國際醫學3樓</t>
        </is>
      </c>
      <c r="E217" s="488" t="inlineStr">
        <is>
          <t>6120004</t>
        </is>
      </c>
      <c r="F217" s="551" t="n"/>
      <c r="G217" s="488" t="inlineStr">
        <is>
          <t>(V)胺基酸點滴250ml/ 袋(安命活源/嘉安命)，20倍數叫貨</t>
        </is>
      </c>
      <c r="H217" s="552" t="n"/>
      <c r="I217" s="552" t="n"/>
      <c r="J217" s="551" t="n"/>
      <c r="K217" s="488" t="inlineStr">
        <is>
          <t>(20瓶/箱)</t>
        </is>
      </c>
      <c r="L217" s="558" t="n">
        <v>9</v>
      </c>
      <c r="M217" s="123" t="inlineStr">
        <is>
          <t>MB3ME090006A</t>
        </is>
      </c>
      <c r="N217" s="117" t="n"/>
    </row>
    <row r="218" ht="33.75" customHeight="1" s="453" thickBot="1">
      <c r="A218" s="553">
        <f>IFERROR(LEFT(B218,7),"")</f>
        <v/>
      </c>
      <c r="B218" s="554">
        <f>"2025/07"&amp;D218</f>
        <v/>
      </c>
      <c r="C218" s="557" t="n">
        <v>137</v>
      </c>
      <c r="D218" s="488" t="inlineStr">
        <is>
          <t>忠孝國際醫學3樓</t>
        </is>
      </c>
      <c r="E218" s="488" t="inlineStr">
        <is>
          <t>6120006</t>
        </is>
      </c>
      <c r="F218" s="551" t="n"/>
      <c r="G218" s="488" t="inlineStr">
        <is>
          <t>(V)(B12) 愛壽命 2mL，100倍數叫貨</t>
        </is>
      </c>
      <c r="H218" s="552" t="n"/>
      <c r="I218" s="552" t="n"/>
      <c r="J218" s="551" t="n"/>
      <c r="K218" s="488" t="inlineStr">
        <is>
          <t>(100支/盒)</t>
        </is>
      </c>
      <c r="L218" s="558" t="n">
        <v>91</v>
      </c>
      <c r="M218" s="123" t="inlineStr">
        <is>
          <t>MB3ME090011A</t>
        </is>
      </c>
      <c r="N218" s="117" t="n"/>
    </row>
    <row r="219" ht="33.75" customHeight="1" s="453" thickBot="1">
      <c r="A219" s="553">
        <f>IFERROR(LEFT(B219,7),"")</f>
        <v/>
      </c>
      <c r="B219" s="554">
        <f>"2025/07"&amp;D219</f>
        <v/>
      </c>
      <c r="C219" s="557" t="n">
        <v>138</v>
      </c>
      <c r="D219" s="488" t="inlineStr">
        <is>
          <t>忠孝國際醫學3樓</t>
        </is>
      </c>
      <c r="E219" s="488" t="inlineStr">
        <is>
          <t>6120007</t>
        </is>
      </c>
      <c r="F219" s="551" t="n"/>
      <c r="G219" s="488" t="inlineStr">
        <is>
          <t>(V)(硫酸鋅) 1ml/支，100倍數叫貨</t>
        </is>
      </c>
      <c r="H219" s="552" t="n"/>
      <c r="I219" s="552" t="n"/>
      <c r="J219" s="551" t="n"/>
      <c r="K219" s="488" t="inlineStr">
        <is>
          <t>100支/盒</t>
        </is>
      </c>
      <c r="L219" s="558" t="n">
        <v>1</v>
      </c>
      <c r="M219" s="123" t="inlineStr">
        <is>
          <t>MB3ME090027A</t>
        </is>
      </c>
      <c r="N219" s="117" t="n"/>
    </row>
    <row r="220" ht="33.75" customHeight="1" s="453" thickBot="1">
      <c r="A220" s="553">
        <f>IFERROR(LEFT(B220,7),"")</f>
        <v/>
      </c>
      <c r="B220" s="554">
        <f>"2025/07"&amp;D220</f>
        <v/>
      </c>
      <c r="C220" s="557" t="n">
        <v>139</v>
      </c>
      <c r="D220" s="488" t="inlineStr">
        <is>
          <t>忠孝國際醫學3樓</t>
        </is>
      </c>
      <c r="E220" s="488" t="inlineStr">
        <is>
          <t>6120009</t>
        </is>
      </c>
      <c r="F220" s="551" t="n"/>
      <c r="G220" s="488" t="inlineStr">
        <is>
          <t>(V)(B1) 硫胺明 2ml</t>
        </is>
      </c>
      <c r="H220" s="552" t="n"/>
      <c r="I220" s="552" t="n"/>
      <c r="J220" s="551" t="n"/>
      <c r="K220" s="488" t="inlineStr">
        <is>
          <t>支(100支/盒)</t>
        </is>
      </c>
      <c r="L220" s="558" t="n">
        <v>1</v>
      </c>
      <c r="M220" s="123" t="inlineStr">
        <is>
          <t>MB3ME090012A</t>
        </is>
      </c>
      <c r="N220" s="117" t="n"/>
    </row>
    <row r="221" ht="33.75" customHeight="1" s="453" thickBot="1">
      <c r="A221" s="553">
        <f>IFERROR(LEFT(B221,7),"")</f>
        <v/>
      </c>
      <c r="B221" s="554">
        <f>"2025/07"&amp;D221</f>
        <v/>
      </c>
      <c r="C221" s="557" t="n">
        <v>140</v>
      </c>
      <c r="D221" s="488" t="inlineStr">
        <is>
          <t>忠孝國際醫學3樓</t>
        </is>
      </c>
      <c r="E221" s="488" t="inlineStr">
        <is>
          <t>6120010</t>
        </is>
      </c>
      <c r="F221" s="551" t="n"/>
      <c r="G221" s="488" t="inlineStr">
        <is>
          <t>(V)(B6) 活性維生素 2ml，100倍數叫貨</t>
        </is>
      </c>
      <c r="H221" s="552" t="n"/>
      <c r="I221" s="552" t="n"/>
      <c r="J221" s="551" t="n"/>
      <c r="K221" s="488" t="inlineStr">
        <is>
          <t>(100支/盒)</t>
        </is>
      </c>
      <c r="L221" s="558" t="n">
        <v>1</v>
      </c>
      <c r="M221" s="123" t="inlineStr">
        <is>
          <t>MB3ME090013A</t>
        </is>
      </c>
      <c r="N221" s="117" t="n"/>
    </row>
    <row r="222" ht="33.75" customHeight="1" s="453" thickBot="1">
      <c r="A222" s="553">
        <f>IFERROR(LEFT(B222,7),"")</f>
        <v/>
      </c>
      <c r="B222" s="554">
        <f>"2025/07"&amp;D222</f>
        <v/>
      </c>
      <c r="C222" s="557" t="n">
        <v>141</v>
      </c>
      <c r="D222" s="488" t="inlineStr">
        <is>
          <t>忠孝國際醫學3樓</t>
        </is>
      </c>
      <c r="E222" s="488" t="inlineStr">
        <is>
          <t>6120011</t>
        </is>
      </c>
      <c r="F222" s="551" t="n"/>
      <c r="G222" s="488" t="inlineStr">
        <is>
          <t>(V)(硒) 西寧特 2ml/支</t>
        </is>
      </c>
      <c r="H222" s="552" t="n"/>
      <c r="I222" s="552" t="n"/>
      <c r="J222" s="551" t="n"/>
      <c r="K222" s="488" t="inlineStr">
        <is>
          <t>10支/盒</t>
        </is>
      </c>
      <c r="L222" s="558" t="n">
        <v>2</v>
      </c>
      <c r="M222" s="123" t="inlineStr">
        <is>
          <t>MB3ME090024A</t>
        </is>
      </c>
      <c r="N222" s="117" t="n"/>
    </row>
    <row r="223" ht="33.75" customHeight="1" s="453" thickBot="1">
      <c r="A223" s="553">
        <f>IFERROR(LEFT(B223,7),"")</f>
        <v/>
      </c>
      <c r="B223" s="554">
        <f>"2025/07"&amp;D223</f>
        <v/>
      </c>
      <c r="C223" s="557" t="n">
        <v>142</v>
      </c>
      <c r="D223" s="488" t="inlineStr">
        <is>
          <t>忠孝國際醫學3樓</t>
        </is>
      </c>
      <c r="E223" s="488" t="inlineStr">
        <is>
          <t>6120013</t>
        </is>
      </c>
      <c r="F223" s="551" t="n"/>
      <c r="G223" s="488" t="inlineStr">
        <is>
          <t>(V)生理食鹽水(NS) 250ml/ 袋</t>
        </is>
      </c>
      <c r="H223" s="552" t="n"/>
      <c r="I223" s="552" t="n"/>
      <c r="J223" s="551" t="n"/>
      <c r="K223" s="488" t="inlineStr">
        <is>
          <t>55瓶/箱</t>
        </is>
      </c>
      <c r="L223" s="558" t="n">
        <v>242</v>
      </c>
      <c r="M223" s="123" t="inlineStr">
        <is>
          <t>MB3ME090008A</t>
        </is>
      </c>
      <c r="N223" s="117" t="n"/>
    </row>
    <row r="224" ht="33.75" customHeight="1" s="453" thickBot="1">
      <c r="A224" s="553">
        <f>IFERROR(LEFT(B224,7),"")</f>
        <v/>
      </c>
      <c r="B224" s="554">
        <f>"2025/07"&amp;D224</f>
        <v/>
      </c>
      <c r="C224" s="557" t="n">
        <v>143</v>
      </c>
      <c r="D224" s="488" t="inlineStr">
        <is>
          <t>忠孝國際醫學3樓</t>
        </is>
      </c>
      <c r="E224" s="488" t="inlineStr">
        <is>
          <t>6120015</t>
        </is>
      </c>
      <c r="F224" s="551" t="n"/>
      <c r="G224" s="488" t="inlineStr">
        <is>
          <t>(V)(B群)淘能美複合維他命B 2ml，100倍數叫貨</t>
        </is>
      </c>
      <c r="H224" s="552" t="n"/>
      <c r="I224" s="552" t="n"/>
      <c r="J224" s="551" t="n"/>
      <c r="K224" s="488" t="n"/>
      <c r="L224" s="558" t="n">
        <v>33</v>
      </c>
      <c r="M224" s="123" t="inlineStr">
        <is>
          <t>MB3ME090014A</t>
        </is>
      </c>
      <c r="N224" s="117" t="n"/>
    </row>
    <row r="225" ht="33.75" customHeight="1" s="453" thickBot="1">
      <c r="A225" s="553">
        <f>IFERROR(LEFT(B225,7),"")</f>
        <v/>
      </c>
      <c r="B225" s="554">
        <f>"2025/07"&amp;D225</f>
        <v/>
      </c>
      <c r="C225" s="557" t="n">
        <v>144</v>
      </c>
      <c r="D225" s="488" t="inlineStr">
        <is>
          <t>忠孝國際醫學3樓</t>
        </is>
      </c>
      <c r="E225" s="488" t="inlineStr">
        <is>
          <t>6120016</t>
        </is>
      </c>
      <c r="F225" s="551" t="n"/>
      <c r="G225" s="488" t="inlineStr">
        <is>
          <t>(V)(榖胱肝肽) 克樂達養200mg (20ml/瓶)</t>
        </is>
      </c>
      <c r="H225" s="552" t="n"/>
      <c r="I225" s="552" t="n"/>
      <c r="J225" s="551" t="n"/>
      <c r="K225" s="488" t="inlineStr">
        <is>
          <t>50支/盒</t>
        </is>
      </c>
      <c r="L225" s="558" t="n">
        <v>33</v>
      </c>
      <c r="M225" s="123" t="inlineStr">
        <is>
          <t>MB3ME090015A</t>
        </is>
      </c>
      <c r="N225" s="117" t="n"/>
    </row>
    <row r="226" ht="33.75" customHeight="1" s="453" thickBot="1">
      <c r="A226" s="553">
        <f>IFERROR(LEFT(B226,7),"")</f>
        <v/>
      </c>
      <c r="B226" s="554">
        <f>"2025/07"&amp;D226</f>
        <v/>
      </c>
      <c r="C226" s="557" t="n">
        <v>145</v>
      </c>
      <c r="D226" s="488" t="inlineStr">
        <is>
          <t>忠孝國際醫學3樓</t>
        </is>
      </c>
      <c r="E226" s="488" t="inlineStr">
        <is>
          <t>6120021</t>
        </is>
      </c>
      <c r="F226" s="551" t="n"/>
      <c r="G226" s="488" t="inlineStr">
        <is>
          <t>(V)(Vit C)(抗壞血酸/諾貝爾)20ml，50倍數下單</t>
        </is>
      </c>
      <c r="H226" s="552" t="n"/>
      <c r="I226" s="552" t="n"/>
      <c r="J226" s="551" t="n"/>
      <c r="K226" s="488" t="inlineStr">
        <is>
          <t>50支/盒</t>
        </is>
      </c>
      <c r="L226" s="558" t="n">
        <v>33</v>
      </c>
      <c r="M226" s="123" t="inlineStr">
        <is>
          <t>MB3ME090009A</t>
        </is>
      </c>
      <c r="N226" s="117" t="n"/>
    </row>
    <row r="227" ht="33.75" customHeight="1" s="453" thickBot="1">
      <c r="A227" s="553">
        <f>IFERROR(LEFT(B227,7),"")</f>
        <v/>
      </c>
      <c r="B227" s="554">
        <f>"2025/07"&amp;D227</f>
        <v/>
      </c>
      <c r="C227" s="557" t="n">
        <v>146</v>
      </c>
      <c r="D227" s="488" t="inlineStr">
        <is>
          <t>忠孝國際醫學3樓</t>
        </is>
      </c>
      <c r="E227" s="488" t="inlineStr">
        <is>
          <t>6200004</t>
        </is>
      </c>
      <c r="F227" s="551" t="n"/>
      <c r="G227" s="488" t="inlineStr">
        <is>
          <t>阿爾發SAT卡匣/ 發</t>
        </is>
      </c>
      <c r="H227" s="552" t="n"/>
      <c r="I227" s="552" t="n"/>
      <c r="J227" s="551" t="n"/>
      <c r="K227" s="488" t="inlineStr">
        <is>
          <t>50發/卡</t>
        </is>
      </c>
      <c r="L227" s="558" t="n">
        <v>876</v>
      </c>
      <c r="M227" s="123" t="inlineStr">
        <is>
          <t>MM2MC070001A</t>
        </is>
      </c>
      <c r="N227" s="117" t="n"/>
    </row>
    <row r="228" ht="33.75" customHeight="1" s="453" thickBot="1">
      <c r="A228" s="553">
        <f>IFERROR(LEFT(B228,7),"")</f>
        <v/>
      </c>
      <c r="B228" s="554">
        <f>"2025/07"&amp;D228</f>
        <v/>
      </c>
      <c r="C228" s="557" t="n">
        <v>147</v>
      </c>
      <c r="D228" s="488" t="inlineStr">
        <is>
          <t>忠孝國際醫學3樓</t>
        </is>
      </c>
      <c r="E228" s="488" t="inlineStr">
        <is>
          <t>6200007</t>
        </is>
      </c>
      <c r="F228" s="551" t="n"/>
      <c r="G228" s="488" t="inlineStr">
        <is>
          <t>瘦瘦筆-針頭*1個</t>
        </is>
      </c>
      <c r="H228" s="552" t="n"/>
      <c r="I228" s="552" t="n"/>
      <c r="J228" s="551" t="n"/>
      <c r="K228" s="488" t="inlineStr">
        <is>
          <t>個</t>
        </is>
      </c>
      <c r="L228" s="558" t="n">
        <v>132</v>
      </c>
      <c r="M228" s="123" t="n"/>
      <c r="N228" s="117" t="n"/>
    </row>
    <row r="229" ht="33.75" customHeight="1" s="453" thickBot="1">
      <c r="A229" s="553">
        <f>IFERROR(LEFT(B229,7),"")</f>
        <v/>
      </c>
      <c r="B229" s="554">
        <f>"2025/07"&amp;D229</f>
        <v/>
      </c>
      <c r="C229" s="557" t="n">
        <v>148</v>
      </c>
      <c r="D229" s="488" t="inlineStr">
        <is>
          <t>忠孝國際醫學3樓</t>
        </is>
      </c>
      <c r="E229" s="488" t="inlineStr">
        <is>
          <t>6200008</t>
        </is>
      </c>
      <c r="F229" s="551" t="n"/>
      <c r="G229" s="488" t="inlineStr">
        <is>
          <t>瘦瘦筆-週纖達*1支(0.25mg)</t>
        </is>
      </c>
      <c r="H229" s="552" t="n"/>
      <c r="I229" s="552" t="n"/>
      <c r="J229" s="551" t="n"/>
      <c r="K229" s="488" t="inlineStr">
        <is>
          <t>支</t>
        </is>
      </c>
      <c r="L229" s="558" t="n">
        <v>4</v>
      </c>
      <c r="M229" s="123" t="inlineStr">
        <is>
          <t>MB3ME110003A</t>
        </is>
      </c>
      <c r="N229" s="117" t="n"/>
    </row>
    <row r="230" ht="33.75" customHeight="1" s="453" thickBot="1">
      <c r="A230" s="553">
        <f>IFERROR(LEFT(B230,7),"")</f>
        <v/>
      </c>
      <c r="B230" s="554">
        <f>"2025/07"&amp;D230</f>
        <v/>
      </c>
      <c r="C230" s="557" t="n">
        <v>149</v>
      </c>
      <c r="D230" s="488" t="inlineStr">
        <is>
          <t>忠孝國際醫學3樓</t>
        </is>
      </c>
      <c r="E230" s="488" t="inlineStr">
        <is>
          <t>6200010</t>
        </is>
      </c>
      <c r="F230" s="551" t="n"/>
      <c r="G230" s="488" t="inlineStr">
        <is>
          <t>瘦瘦筆-週纖達*1支(1.0mg)</t>
        </is>
      </c>
      <c r="H230" s="552" t="n"/>
      <c r="I230" s="552" t="n"/>
      <c r="J230" s="551" t="n"/>
      <c r="K230" s="488" t="inlineStr">
        <is>
          <t>支</t>
        </is>
      </c>
      <c r="L230" s="558" t="n">
        <v>3</v>
      </c>
      <c r="M230" s="123" t="inlineStr">
        <is>
          <t>MB3ME110005A</t>
        </is>
      </c>
      <c r="N230" s="117" t="n"/>
    </row>
    <row r="231" ht="33.75" customHeight="1" s="453" thickBot="1">
      <c r="A231" s="553">
        <f>IFERROR(LEFT(B231,7),"")</f>
        <v/>
      </c>
      <c r="B231" s="554">
        <f>"2025/07"&amp;D231</f>
        <v/>
      </c>
      <c r="C231" s="557" t="n">
        <v>150</v>
      </c>
      <c r="D231" s="488" t="inlineStr">
        <is>
          <t>忠孝國際醫學3樓</t>
        </is>
      </c>
      <c r="E231" s="488" t="inlineStr">
        <is>
          <t>6200013</t>
        </is>
      </c>
      <c r="F231" s="551" t="n"/>
      <c r="G231" s="488" t="inlineStr">
        <is>
          <t>(V)猛健樂*1支(2.5mg)</t>
        </is>
      </c>
      <c r="H231" s="552" t="n"/>
      <c r="I231" s="552" t="n"/>
      <c r="J231" s="551" t="n"/>
      <c r="K231" s="488" t="inlineStr">
        <is>
          <t>支</t>
        </is>
      </c>
      <c r="L231" s="558" t="n">
        <v>14</v>
      </c>
      <c r="M231" s="123" t="inlineStr">
        <is>
          <t>MB3ME110008A</t>
        </is>
      </c>
      <c r="N231" s="117" t="n"/>
    </row>
    <row r="232" ht="33.75" customHeight="1" s="453" thickBot="1">
      <c r="A232" s="553">
        <f>IFERROR(LEFT(B232,7),"")</f>
        <v/>
      </c>
      <c r="B232" s="554">
        <f>"2025/07"&amp;D232</f>
        <v/>
      </c>
      <c r="C232" s="557" t="n">
        <v>151</v>
      </c>
      <c r="D232" s="488" t="inlineStr">
        <is>
          <t>忠孝國際醫學3樓</t>
        </is>
      </c>
      <c r="E232" s="488" t="inlineStr">
        <is>
          <t>6200014</t>
        </is>
      </c>
      <c r="F232" s="551" t="n"/>
      <c r="G232" s="488" t="inlineStr">
        <is>
          <t>(V)猛健樂*1支(5mg)</t>
        </is>
      </c>
      <c r="H232" s="552" t="n"/>
      <c r="I232" s="552" t="n"/>
      <c r="J232" s="551" t="n"/>
      <c r="K232" s="488" t="inlineStr">
        <is>
          <t>支</t>
        </is>
      </c>
      <c r="L232" s="558" t="n">
        <v>15</v>
      </c>
      <c r="M232" s="123" t="inlineStr">
        <is>
          <t>MB3ME110009A</t>
        </is>
      </c>
      <c r="N232" s="117" t="n"/>
    </row>
    <row r="233" ht="33.75" customHeight="1" s="453" thickBot="1">
      <c r="A233" s="553">
        <f>IFERROR(LEFT(B233,7),"")</f>
        <v/>
      </c>
      <c r="B233" s="554">
        <f>"2025/07"&amp;D233</f>
        <v/>
      </c>
      <c r="C233" s="557" t="n">
        <v>152</v>
      </c>
      <c r="D233" s="488" t="inlineStr">
        <is>
          <t>忠孝國際醫學3樓</t>
        </is>
      </c>
      <c r="E233" s="488" t="inlineStr">
        <is>
          <t>6200016</t>
        </is>
      </c>
      <c r="F233" s="551" t="n"/>
      <c r="G233" s="488" t="inlineStr">
        <is>
          <t>(V)猛健樂*1支(10mg)</t>
        </is>
      </c>
      <c r="H233" s="552" t="n"/>
      <c r="I233" s="552" t="n"/>
      <c r="J233" s="551" t="n"/>
      <c r="K233" s="488" t="inlineStr">
        <is>
          <t>支</t>
        </is>
      </c>
      <c r="L233" s="558" t="n">
        <v>4</v>
      </c>
      <c r="M233" s="123" t="inlineStr">
        <is>
          <t>MB3ME110011A</t>
        </is>
      </c>
      <c r="N233" s="117" t="n"/>
    </row>
    <row r="234" ht="17.25" customHeight="1" s="453" thickBot="1">
      <c r="A234" s="553">
        <f>IFERROR(LEFT(B234,7),"")</f>
        <v/>
      </c>
      <c r="B234" s="554">
        <f>"2025/08"&amp;D234</f>
        <v/>
      </c>
      <c r="C234" s="555" t="n">
        <v>1</v>
      </c>
      <c r="D234" s="486" t="inlineStr">
        <is>
          <t>站前4樓</t>
        </is>
      </c>
      <c r="E234" s="486" t="inlineStr">
        <is>
          <t>6120003</t>
        </is>
      </c>
      <c r="F234" s="551" t="n"/>
      <c r="G234" s="486" t="inlineStr">
        <is>
          <t>(V)貝力多(雙胜胺) 20% 30mL/ 瓶，10倍數叫貨</t>
        </is>
      </c>
      <c r="H234" s="552" t="n"/>
      <c r="I234" s="552" t="n"/>
      <c r="J234" s="551" t="n"/>
      <c r="K234" s="486" t="inlineStr">
        <is>
          <t>10支/盒</t>
        </is>
      </c>
      <c r="L234" s="556" t="n">
        <v>1</v>
      </c>
      <c r="M234" s="123" t="inlineStr">
        <is>
          <t>MB3ME090003A</t>
        </is>
      </c>
      <c r="N234" s="117" t="n"/>
    </row>
    <row r="235" ht="17.25" customHeight="1" s="453" thickBot="1">
      <c r="A235" s="553">
        <f>IFERROR(LEFT(B235,7),"")</f>
        <v/>
      </c>
      <c r="B235" s="554">
        <f>"2025/08"&amp;D235</f>
        <v/>
      </c>
      <c r="C235" s="555" t="n">
        <v>2</v>
      </c>
      <c r="D235" s="486" t="inlineStr">
        <is>
          <t>站前4樓</t>
        </is>
      </c>
      <c r="E235" s="486" t="inlineStr">
        <is>
          <t>6120004</t>
        </is>
      </c>
      <c r="F235" s="551" t="n"/>
      <c r="G235" s="486" t="inlineStr">
        <is>
          <t>(V)胺基酸點滴250ml/ 袋(安命活源/嘉安命)，20倍數叫貨</t>
        </is>
      </c>
      <c r="H235" s="552" t="n"/>
      <c r="I235" s="552" t="n"/>
      <c r="J235" s="551" t="n"/>
      <c r="K235" s="486" t="inlineStr">
        <is>
          <t>(20瓶/箱)</t>
        </is>
      </c>
      <c r="L235" s="556" t="n">
        <v>2</v>
      </c>
      <c r="M235" s="123" t="inlineStr">
        <is>
          <t>MB3ME090006A</t>
        </is>
      </c>
      <c r="N235" s="117" t="n"/>
    </row>
    <row r="236" ht="17.25" customHeight="1" s="453" thickBot="1">
      <c r="A236" s="553">
        <f>IFERROR(LEFT(B236,7),"")</f>
        <v/>
      </c>
      <c r="B236" s="554">
        <f>"2025/08"&amp;D236</f>
        <v/>
      </c>
      <c r="C236" s="555" t="n">
        <v>3</v>
      </c>
      <c r="D236" s="486" t="inlineStr">
        <is>
          <t>站前4樓</t>
        </is>
      </c>
      <c r="E236" s="486" t="inlineStr">
        <is>
          <t>6120013</t>
        </is>
      </c>
      <c r="F236" s="551" t="n"/>
      <c r="G236" s="486" t="inlineStr">
        <is>
          <t>(V)生理食鹽水(NS) 250ml/ 袋</t>
        </is>
      </c>
      <c r="H236" s="552" t="n"/>
      <c r="I236" s="552" t="n"/>
      <c r="J236" s="551" t="n"/>
      <c r="K236" s="486" t="inlineStr">
        <is>
          <t>55瓶/箱</t>
        </is>
      </c>
      <c r="L236" s="556" t="n">
        <v>169</v>
      </c>
      <c r="M236" s="123" t="inlineStr">
        <is>
          <t>MB3ME090008A</t>
        </is>
      </c>
      <c r="N236" s="117" t="n"/>
    </row>
    <row r="237" ht="17.25" customHeight="1" s="453" thickBot="1">
      <c r="A237" s="553">
        <f>IFERROR(LEFT(B237,7),"")</f>
        <v/>
      </c>
      <c r="B237" s="554">
        <f>"2025/08"&amp;D237</f>
        <v/>
      </c>
      <c r="C237" s="555" t="n">
        <v>4</v>
      </c>
      <c r="D237" s="486" t="inlineStr">
        <is>
          <t>站前4樓</t>
        </is>
      </c>
      <c r="E237" s="486" t="inlineStr">
        <is>
          <t>6120015</t>
        </is>
      </c>
      <c r="F237" s="551" t="n"/>
      <c r="G237" s="486" t="inlineStr">
        <is>
          <t>(V)(B群)淘能美複合維他命B 2ml，100倍數叫貨</t>
        </is>
      </c>
      <c r="H237" s="552" t="n"/>
      <c r="I237" s="552" t="n"/>
      <c r="J237" s="551" t="n"/>
      <c r="K237" s="486" t="n"/>
      <c r="L237" s="556" t="n">
        <v>168</v>
      </c>
      <c r="M237" s="123" t="inlineStr">
        <is>
          <t>MB3ME090014A</t>
        </is>
      </c>
      <c r="N237" s="117" t="n"/>
    </row>
    <row r="238" ht="17.25" customHeight="1" s="453" thickBot="1">
      <c r="A238" s="553">
        <f>IFERROR(LEFT(B238,7),"")</f>
        <v/>
      </c>
      <c r="B238" s="554">
        <f>"2025/08"&amp;D238</f>
        <v/>
      </c>
      <c r="C238" s="555" t="n">
        <v>5</v>
      </c>
      <c r="D238" s="486" t="inlineStr">
        <is>
          <t>站前4樓</t>
        </is>
      </c>
      <c r="E238" s="486" t="inlineStr">
        <is>
          <t>6120016</t>
        </is>
      </c>
      <c r="F238" s="551" t="n"/>
      <c r="G238" s="486" t="inlineStr">
        <is>
          <t>(V)(榖胱肝肽) 克樂達養200mg (20ml/瓶)</t>
        </is>
      </c>
      <c r="H238" s="552" t="n"/>
      <c r="I238" s="552" t="n"/>
      <c r="J238" s="551" t="n"/>
      <c r="K238" s="486" t="inlineStr">
        <is>
          <t>50支/盒</t>
        </is>
      </c>
      <c r="L238" s="556" t="n">
        <v>167</v>
      </c>
      <c r="M238" s="123" t="inlineStr">
        <is>
          <t>MB3ME090015A</t>
        </is>
      </c>
      <c r="N238" s="117" t="n"/>
    </row>
    <row r="239" ht="17.25" customHeight="1" s="453" thickBot="1">
      <c r="A239" s="553">
        <f>IFERROR(LEFT(B239,7),"")</f>
        <v/>
      </c>
      <c r="B239" s="554">
        <f>"2025/08"&amp;D239</f>
        <v/>
      </c>
      <c r="C239" s="555" t="n">
        <v>6</v>
      </c>
      <c r="D239" s="486" t="inlineStr">
        <is>
          <t>站前4樓</t>
        </is>
      </c>
      <c r="E239" s="486" t="inlineStr">
        <is>
          <t>6120018</t>
        </is>
      </c>
      <c r="F239" s="551" t="n"/>
      <c r="G239" s="486" t="inlineStr">
        <is>
          <t>(V)(傳明酸)止血明 5ml/支</t>
        </is>
      </c>
      <c r="H239" s="552" t="n"/>
      <c r="I239" s="552" t="n"/>
      <c r="J239" s="551" t="n"/>
      <c r="K239" s="486" t="inlineStr">
        <is>
          <t>50支/盒</t>
        </is>
      </c>
      <c r="L239" s="556" t="n">
        <v>14</v>
      </c>
      <c r="M239" s="123" t="inlineStr">
        <is>
          <t>MB3ME090023A</t>
        </is>
      </c>
      <c r="N239" s="117" t="n"/>
    </row>
    <row r="240" ht="17.25" customHeight="1" s="453" thickBot="1">
      <c r="A240" s="553">
        <f>IFERROR(LEFT(B240,7),"")</f>
        <v/>
      </c>
      <c r="B240" s="554">
        <f>"2025/08"&amp;D240</f>
        <v/>
      </c>
      <c r="C240" s="555" t="n">
        <v>7</v>
      </c>
      <c r="D240" s="486" t="inlineStr">
        <is>
          <t>站前4樓</t>
        </is>
      </c>
      <c r="E240" s="486" t="inlineStr">
        <is>
          <t>6120020</t>
        </is>
      </c>
      <c r="F240" s="551" t="n"/>
      <c r="G240" s="486" t="inlineStr">
        <is>
          <t>(V)(Vit C) 抗壞血酸 2mL，100倍數下單</t>
        </is>
      </c>
      <c r="H240" s="552" t="n"/>
      <c r="I240" s="552" t="n"/>
      <c r="J240" s="551" t="n"/>
      <c r="K240" s="486" t="inlineStr">
        <is>
          <t>100支/盒</t>
        </is>
      </c>
      <c r="L240" s="556" t="n">
        <v>67</v>
      </c>
      <c r="M240" s="123" t="inlineStr">
        <is>
          <t>MB3ME090010A</t>
        </is>
      </c>
      <c r="N240" s="117" t="n"/>
    </row>
    <row r="241" ht="17.25" customHeight="1" s="453" thickBot="1">
      <c r="A241" s="553">
        <f>IFERROR(LEFT(B241,7),"")</f>
        <v/>
      </c>
      <c r="B241" s="554">
        <f>"2025/08"&amp;D241</f>
        <v/>
      </c>
      <c r="C241" s="555" t="n">
        <v>8</v>
      </c>
      <c r="D241" s="486" t="inlineStr">
        <is>
          <t>站前4樓</t>
        </is>
      </c>
      <c r="E241" s="486" t="inlineStr">
        <is>
          <t>6120021</t>
        </is>
      </c>
      <c r="F241" s="551" t="n"/>
      <c r="G241" s="486" t="inlineStr">
        <is>
          <t>(V)(Vit C)(抗壞血酸/諾貝爾)20ml，50倍數下單</t>
        </is>
      </c>
      <c r="H241" s="552" t="n"/>
      <c r="I241" s="552" t="n"/>
      <c r="J241" s="551" t="n"/>
      <c r="K241" s="486" t="inlineStr">
        <is>
          <t>50支/盒</t>
        </is>
      </c>
      <c r="L241" s="556" t="n">
        <v>169</v>
      </c>
      <c r="M241" s="123" t="inlineStr">
        <is>
          <t>MB3ME090009A</t>
        </is>
      </c>
      <c r="N241" s="117" t="n"/>
    </row>
    <row r="242" ht="17.25" customHeight="1" s="453" thickBot="1">
      <c r="A242" s="553">
        <f>IFERROR(LEFT(B242,7),"")</f>
        <v/>
      </c>
      <c r="B242" s="554">
        <f>"2025/08"&amp;D242</f>
        <v/>
      </c>
      <c r="C242" s="555" t="n">
        <v>9</v>
      </c>
      <c r="D242" s="486" t="inlineStr">
        <is>
          <t>站前4樓</t>
        </is>
      </c>
      <c r="E242" s="486" t="inlineStr">
        <is>
          <t>6120024</t>
        </is>
      </c>
      <c r="F242" s="551" t="n"/>
      <c r="G242" s="486" t="inlineStr">
        <is>
          <t>(V)利都卡因 注射液2% 20ml/支</t>
        </is>
      </c>
      <c r="H242" s="552" t="n"/>
      <c r="I242" s="552" t="n"/>
      <c r="J242" s="551" t="n"/>
      <c r="K242" s="486" t="inlineStr">
        <is>
          <t>50支/盒</t>
        </is>
      </c>
      <c r="L242" s="556" t="n">
        <v>1</v>
      </c>
      <c r="M242" s="123" t="inlineStr">
        <is>
          <t>MB3ME090019A</t>
        </is>
      </c>
      <c r="N242" s="117" t="n"/>
    </row>
    <row r="243" ht="17.25" customHeight="1" s="453" thickBot="1">
      <c r="A243" s="553">
        <f>IFERROR(LEFT(B243,7),"")</f>
        <v/>
      </c>
      <c r="B243" s="554">
        <f>"2025/08"&amp;D243</f>
        <v/>
      </c>
      <c r="C243" s="555" t="n">
        <v>10</v>
      </c>
      <c r="D243" s="486" t="inlineStr">
        <is>
          <t>站前4樓</t>
        </is>
      </c>
      <c r="E243" s="486" t="inlineStr">
        <is>
          <t>6120030</t>
        </is>
      </c>
      <c r="F243" s="551" t="n"/>
      <c r="G243" s="486" t="inlineStr">
        <is>
          <t>(V)克多炎 Keto 1ml</t>
        </is>
      </c>
      <c r="H243" s="552" t="n"/>
      <c r="I243" s="552" t="n"/>
      <c r="J243" s="551" t="n"/>
      <c r="K243" s="486" t="inlineStr">
        <is>
          <t>100支/盒</t>
        </is>
      </c>
      <c r="L243" s="556" t="n">
        <v>3</v>
      </c>
      <c r="M243" s="123" t="inlineStr">
        <is>
          <t>MB3ME090030A</t>
        </is>
      </c>
      <c r="N243" s="117" t="n"/>
    </row>
    <row r="244" ht="17.25" customHeight="1" s="453" thickBot="1">
      <c r="A244" s="553">
        <f>IFERROR(LEFT(B244,7),"")</f>
        <v/>
      </c>
      <c r="B244" s="554">
        <f>"2025/08"&amp;D244</f>
        <v/>
      </c>
      <c r="C244" s="555" t="n">
        <v>11</v>
      </c>
      <c r="D244" s="486" t="inlineStr">
        <is>
          <t>站前4樓</t>
        </is>
      </c>
      <c r="E244" s="486" t="inlineStr">
        <is>
          <t>6140001</t>
        </is>
      </c>
      <c r="F244" s="551" t="n"/>
      <c r="G244" s="486" t="inlineStr">
        <is>
          <t>(V)保妥適Botox/ u</t>
        </is>
      </c>
      <c r="H244" s="552" t="n"/>
      <c r="I244" s="552" t="n"/>
      <c r="J244" s="551" t="n"/>
      <c r="K244" s="486" t="inlineStr">
        <is>
          <t>u</t>
        </is>
      </c>
      <c r="L244" s="556" t="n">
        <v>2629</v>
      </c>
      <c r="M244" s="123" t="inlineStr">
        <is>
          <t>MB3ME100001A</t>
        </is>
      </c>
      <c r="N244" s="117" t="n"/>
    </row>
    <row r="245" ht="17.25" customHeight="1" s="453" thickBot="1">
      <c r="A245" s="553">
        <f>IFERROR(LEFT(B245,7),"")</f>
        <v/>
      </c>
      <c r="B245" s="554">
        <f>"2025/08"&amp;D245</f>
        <v/>
      </c>
      <c r="C245" s="555" t="n">
        <v>12</v>
      </c>
      <c r="D245" s="486" t="inlineStr">
        <is>
          <t>站前4樓</t>
        </is>
      </c>
      <c r="E245" s="486" t="inlineStr">
        <is>
          <t>6140003</t>
        </is>
      </c>
      <c r="F245" s="551" t="n"/>
      <c r="G245" s="486" t="inlineStr">
        <is>
          <t>(V)保提拉肉毒Letybo/ u</t>
        </is>
      </c>
      <c r="H245" s="552" t="n"/>
      <c r="I245" s="552" t="n"/>
      <c r="J245" s="551" t="n"/>
      <c r="K245" s="486" t="inlineStr">
        <is>
          <t>u</t>
        </is>
      </c>
      <c r="L245" s="556" t="n">
        <v>2677</v>
      </c>
      <c r="M245" s="123" t="inlineStr">
        <is>
          <t>MB3ME100002A</t>
        </is>
      </c>
      <c r="N245" s="117" t="n"/>
    </row>
    <row r="246" ht="17.25" customHeight="1" s="453" thickBot="1">
      <c r="A246" s="553">
        <f>IFERROR(LEFT(B246,7),"")</f>
        <v/>
      </c>
      <c r="B246" s="554">
        <f>"2025/08"&amp;D246</f>
        <v/>
      </c>
      <c r="C246" s="555" t="n">
        <v>13</v>
      </c>
      <c r="D246" s="486" t="inlineStr">
        <is>
          <t>站前4樓</t>
        </is>
      </c>
      <c r="E246" s="486" t="inlineStr">
        <is>
          <t>6140005</t>
        </is>
      </c>
      <c r="F246" s="551" t="n"/>
      <c r="G246" s="486" t="inlineStr">
        <is>
          <t>(V)奇肌肉毒/ u</t>
        </is>
      </c>
      <c r="H246" s="552" t="n"/>
      <c r="I246" s="552" t="n"/>
      <c r="J246" s="551" t="n"/>
      <c r="K246" s="486" t="inlineStr">
        <is>
          <t>u</t>
        </is>
      </c>
      <c r="L246" s="556" t="n">
        <v>3081</v>
      </c>
      <c r="M246" s="123" t="inlineStr">
        <is>
          <t>MB3ME100003A</t>
        </is>
      </c>
      <c r="N246" s="117" t="n"/>
    </row>
    <row r="247" ht="17.25" customHeight="1" s="453" thickBot="1">
      <c r="A247" s="553">
        <f>IFERROR(LEFT(B247,7),"")</f>
        <v/>
      </c>
      <c r="B247" s="554">
        <f>"2025/08"&amp;D247</f>
        <v/>
      </c>
      <c r="C247" s="555" t="n">
        <v>14</v>
      </c>
      <c r="D247" s="486" t="inlineStr">
        <is>
          <t>站前4樓</t>
        </is>
      </c>
      <c r="E247" s="486" t="inlineStr">
        <is>
          <t>6150001</t>
        </is>
      </c>
      <c r="F247" s="551" t="n"/>
      <c r="G247" s="486" t="inlineStr">
        <is>
          <t>(V)喬雅登-豐麗緹玻尿酸植入物Voluma 1ml</t>
        </is>
      </c>
      <c r="H247" s="552" t="n"/>
      <c r="I247" s="552" t="n"/>
      <c r="J247" s="551" t="n"/>
      <c r="K247" s="486" t="inlineStr">
        <is>
          <t>1ml(2ml/盒)</t>
        </is>
      </c>
      <c r="L247" s="556" t="n">
        <v>64</v>
      </c>
      <c r="M247" s="123" t="inlineStr">
        <is>
          <t>MP1MA020019A</t>
        </is>
      </c>
      <c r="N247" s="117" t="n"/>
    </row>
    <row r="248" ht="17.25" customHeight="1" s="453" thickBot="1">
      <c r="A248" s="553">
        <f>IFERROR(LEFT(B248,7),"")</f>
        <v/>
      </c>
      <c r="B248" s="554">
        <f>"2025/08"&amp;D248</f>
        <v/>
      </c>
      <c r="C248" s="555" t="n">
        <v>15</v>
      </c>
      <c r="D248" s="486" t="inlineStr">
        <is>
          <t>站前4樓</t>
        </is>
      </c>
      <c r="E248" s="486" t="inlineStr">
        <is>
          <t>6150002</t>
        </is>
      </c>
      <c r="F248" s="551" t="n"/>
      <c r="G248" s="486" t="inlineStr">
        <is>
          <t>(V)喬雅登-夢蓓菈玻尿酸植入物Volbella 1ml</t>
        </is>
      </c>
      <c r="H248" s="552" t="n"/>
      <c r="I248" s="552" t="n"/>
      <c r="J248" s="551" t="n"/>
      <c r="K248" s="486" t="inlineStr">
        <is>
          <t>1ml(2ml/盒)</t>
        </is>
      </c>
      <c r="L248" s="556" t="n">
        <v>3</v>
      </c>
      <c r="M248" s="123" t="inlineStr">
        <is>
          <t>MP1MA020020A</t>
        </is>
      </c>
      <c r="N248" s="117" t="n"/>
    </row>
    <row r="249" ht="17.25" customHeight="1" s="453" thickBot="1">
      <c r="A249" s="553">
        <f>IFERROR(LEFT(B249,7),"")</f>
        <v/>
      </c>
      <c r="B249" s="554">
        <f>"2025/08"&amp;D249</f>
        <v/>
      </c>
      <c r="C249" s="555" t="n">
        <v>16</v>
      </c>
      <c r="D249" s="486" t="inlineStr">
        <is>
          <t>站前4樓</t>
        </is>
      </c>
      <c r="E249" s="486" t="inlineStr">
        <is>
          <t>6150003</t>
        </is>
      </c>
      <c r="F249" s="551" t="n"/>
      <c r="G249" s="486" t="inlineStr">
        <is>
          <t>(V)喬雅登-豐麗緹玻尿酸植入物Volift 1ml</t>
        </is>
      </c>
      <c r="H249" s="552" t="n"/>
      <c r="I249" s="552" t="n"/>
      <c r="J249" s="551" t="n"/>
      <c r="K249" s="486" t="inlineStr">
        <is>
          <t>1ml(2ml/盒)</t>
        </is>
      </c>
      <c r="L249" s="556" t="n">
        <v>7</v>
      </c>
      <c r="M249" s="123" t="inlineStr">
        <is>
          <t>MP1MA020021A</t>
        </is>
      </c>
      <c r="N249" s="117" t="n"/>
    </row>
    <row r="250" ht="17.25" customHeight="1" s="453" thickBot="1">
      <c r="A250" s="553">
        <f>IFERROR(LEFT(B250,7),"")</f>
        <v/>
      </c>
      <c r="B250" s="554">
        <f>"2025/08"&amp;D250</f>
        <v/>
      </c>
      <c r="C250" s="555" t="n">
        <v>17</v>
      </c>
      <c r="D250" s="486" t="inlineStr">
        <is>
          <t>站前4樓</t>
        </is>
      </c>
      <c r="E250" s="486" t="inlineStr">
        <is>
          <t>6150004</t>
        </is>
      </c>
      <c r="F250" s="551" t="n"/>
      <c r="G250" s="486" t="inlineStr">
        <is>
          <t>(V)喬雅登-豐塑玻尿酸植入物Volux 1ml</t>
        </is>
      </c>
      <c r="H250" s="552" t="n"/>
      <c r="I250" s="552" t="n"/>
      <c r="J250" s="551" t="n"/>
      <c r="K250" s="486" t="inlineStr">
        <is>
          <t>1ml(2ml/盒)</t>
        </is>
      </c>
      <c r="L250" s="556" t="n">
        <v>10</v>
      </c>
      <c r="M250" s="123" t="inlineStr">
        <is>
          <t>MP1MA020022A</t>
        </is>
      </c>
      <c r="N250" s="117" t="n"/>
    </row>
    <row r="251" ht="17.25" customHeight="1" s="453" thickBot="1">
      <c r="A251" s="553">
        <f>IFERROR(LEFT(B251,7),"")</f>
        <v/>
      </c>
      <c r="B251" s="554">
        <f>"2025/08"&amp;D251</f>
        <v/>
      </c>
      <c r="C251" s="555" t="n">
        <v>18</v>
      </c>
      <c r="D251" s="486" t="inlineStr">
        <is>
          <t>站前4樓</t>
        </is>
      </c>
      <c r="E251" s="486" t="inlineStr">
        <is>
          <t>6150005</t>
        </is>
      </c>
      <c r="F251" s="551" t="n"/>
      <c r="G251" s="486" t="inlineStr">
        <is>
          <t>(V)喬雅登-芙潤玻尿酸植入物Volite 1ml</t>
        </is>
      </c>
      <c r="H251" s="552" t="n"/>
      <c r="I251" s="552" t="n"/>
      <c r="J251" s="551" t="n"/>
      <c r="K251" s="486" t="inlineStr">
        <is>
          <t>1ml(2ml/盒)</t>
        </is>
      </c>
      <c r="L251" s="556" t="n">
        <v>5</v>
      </c>
      <c r="M251" s="123" t="inlineStr">
        <is>
          <t>MP1MA020023A</t>
        </is>
      </c>
      <c r="N251" s="117" t="n"/>
    </row>
    <row r="252" ht="17.25" customHeight="1" s="453" thickBot="1">
      <c r="A252" s="553">
        <f>IFERROR(LEFT(B252,7),"")</f>
        <v/>
      </c>
      <c r="B252" s="554">
        <f>"2025/08"&amp;D252</f>
        <v/>
      </c>
      <c r="C252" s="555" t="n">
        <v>19</v>
      </c>
      <c r="D252" s="486" t="inlineStr">
        <is>
          <t>站前4樓</t>
        </is>
      </c>
      <c r="E252" s="486" t="inlineStr">
        <is>
          <t>6150010</t>
        </is>
      </c>
      <c r="F252" s="551" t="n"/>
      <c r="G252" s="486" t="inlineStr">
        <is>
          <t>(V)仙女玻尿酸大分子 1ml</t>
        </is>
      </c>
      <c r="H252" s="552" t="n"/>
      <c r="I252" s="552" t="n"/>
      <c r="J252" s="551" t="n"/>
      <c r="K252" s="486" t="inlineStr">
        <is>
          <t>1ml(1ml/盒)</t>
        </is>
      </c>
      <c r="L252" s="556" t="n">
        <v>34</v>
      </c>
      <c r="M252" s="123" t="inlineStr">
        <is>
          <t>MP1MA020014A</t>
        </is>
      </c>
      <c r="N252" s="117" t="n"/>
    </row>
    <row r="253" ht="17.25" customHeight="1" s="453" thickBot="1">
      <c r="A253" s="553">
        <f>IFERROR(LEFT(B253,7),"")</f>
        <v/>
      </c>
      <c r="B253" s="554">
        <f>"2025/08"&amp;D253</f>
        <v/>
      </c>
      <c r="C253" s="555" t="n">
        <v>20</v>
      </c>
      <c r="D253" s="486" t="inlineStr">
        <is>
          <t>站前4樓</t>
        </is>
      </c>
      <c r="E253" s="486" t="inlineStr">
        <is>
          <t>6150011</t>
        </is>
      </c>
      <c r="F253" s="551" t="n"/>
      <c r="G253" s="486" t="inlineStr">
        <is>
          <t>(V)仙女玻尿酸小分子 1ml</t>
        </is>
      </c>
      <c r="H253" s="552" t="n"/>
      <c r="I253" s="552" t="n"/>
      <c r="J253" s="551" t="n"/>
      <c r="K253" s="486" t="inlineStr">
        <is>
          <t>1ml(1ml/盒)</t>
        </is>
      </c>
      <c r="L253" s="556" t="n">
        <v>7</v>
      </c>
      <c r="M253" s="123" t="inlineStr">
        <is>
          <t>MP1MA020018A</t>
        </is>
      </c>
      <c r="N253" s="117" t="n"/>
    </row>
    <row r="254" ht="17.25" customHeight="1" s="453" thickBot="1">
      <c r="A254" s="553">
        <f>IFERROR(LEFT(B254,7),"")</f>
        <v/>
      </c>
      <c r="B254" s="554">
        <f>"2025/08"&amp;D254</f>
        <v/>
      </c>
      <c r="C254" s="555" t="n">
        <v>21</v>
      </c>
      <c r="D254" s="486" t="inlineStr">
        <is>
          <t>站前4樓</t>
        </is>
      </c>
      <c r="E254" s="486" t="inlineStr">
        <is>
          <t>6150013</t>
        </is>
      </c>
      <c r="F254" s="551" t="n"/>
      <c r="G254" s="486" t="inlineStr">
        <is>
          <t>(V)逆時針(璞菲洛)2cc</t>
        </is>
      </c>
      <c r="H254" s="552" t="n"/>
      <c r="I254" s="552" t="n"/>
      <c r="J254" s="551" t="n"/>
      <c r="K254" s="486" t="inlineStr">
        <is>
          <t>1ml(1ml/盒)</t>
        </is>
      </c>
      <c r="L254" s="556" t="n">
        <v>8</v>
      </c>
      <c r="M254" s="123" t="inlineStr">
        <is>
          <t>MP1MA020029A</t>
        </is>
      </c>
      <c r="N254" s="117" t="n"/>
    </row>
    <row r="255" ht="17.25" customHeight="1" s="453" thickBot="1">
      <c r="A255" s="553">
        <f>IFERROR(LEFT(B255,7),"")</f>
        <v/>
      </c>
      <c r="B255" s="554">
        <f>"2025/08"&amp;D255</f>
        <v/>
      </c>
      <c r="C255" s="555" t="n">
        <v>22</v>
      </c>
      <c r="D255" s="486" t="inlineStr">
        <is>
          <t>站前4樓</t>
        </is>
      </c>
      <c r="E255" s="486" t="inlineStr">
        <is>
          <t>6160002</t>
        </is>
      </c>
      <c r="F255" s="551" t="n"/>
      <c r="G255" s="486" t="inlineStr">
        <is>
          <t>(V)洢蓮絲植入劑ELLANSÉ-S 1ml</t>
        </is>
      </c>
      <c r="H255" s="552" t="n"/>
      <c r="I255" s="552" t="n"/>
      <c r="J255" s="551" t="n"/>
      <c r="K255" s="486" t="inlineStr">
        <is>
          <t>1ml(2ml/盒)</t>
        </is>
      </c>
      <c r="L255" s="556" t="n">
        <v>83</v>
      </c>
      <c r="M255" s="123" t="inlineStr">
        <is>
          <t>MP1MA020024A</t>
        </is>
      </c>
      <c r="N255" s="117" t="n"/>
    </row>
    <row r="256" ht="17.25" customHeight="1" s="453" thickBot="1">
      <c r="A256" s="553">
        <f>IFERROR(LEFT(B256,7),"")</f>
        <v/>
      </c>
      <c r="B256" s="554">
        <f>"2025/08"&amp;D256</f>
        <v/>
      </c>
      <c r="C256" s="555" t="n">
        <v>23</v>
      </c>
      <c r="D256" s="486" t="inlineStr">
        <is>
          <t>站前4樓</t>
        </is>
      </c>
      <c r="E256" s="486" t="inlineStr">
        <is>
          <t>6160003</t>
        </is>
      </c>
      <c r="F256" s="551" t="n"/>
      <c r="G256" s="486" t="inlineStr">
        <is>
          <t>(V)洢蓮絲植入劑ELLANSÉ-M 1ml</t>
        </is>
      </c>
      <c r="H256" s="552" t="n"/>
      <c r="I256" s="552" t="n"/>
      <c r="J256" s="551" t="n"/>
      <c r="K256" s="486" t="inlineStr">
        <is>
          <t>1ml(2ml/盒)</t>
        </is>
      </c>
      <c r="L256" s="556" t="n">
        <v>11</v>
      </c>
      <c r="M256" s="123" t="inlineStr">
        <is>
          <t>MP1MA020025A</t>
        </is>
      </c>
      <c r="N256" s="117" t="n"/>
    </row>
    <row r="257" ht="17.25" customHeight="1" s="453" thickBot="1">
      <c r="A257" s="553">
        <f>IFERROR(LEFT(B257,7),"")</f>
        <v/>
      </c>
      <c r="B257" s="554">
        <f>"2025/08"&amp;D257</f>
        <v/>
      </c>
      <c r="C257" s="555" t="n">
        <v>24</v>
      </c>
      <c r="D257" s="486" t="inlineStr">
        <is>
          <t>站前4樓</t>
        </is>
      </c>
      <c r="E257" s="486" t="inlineStr">
        <is>
          <t>6160005</t>
        </is>
      </c>
      <c r="F257" s="551" t="n"/>
      <c r="G257" s="486" t="inlineStr">
        <is>
          <t>(V)双美熊貓針</t>
        </is>
      </c>
      <c r="H257" s="552" t="n"/>
      <c r="I257" s="552" t="n"/>
      <c r="J257" s="551" t="n"/>
      <c r="K257" s="486" t="inlineStr">
        <is>
          <t>(1ml/盒)</t>
        </is>
      </c>
      <c r="L257" s="556" t="n">
        <v>20</v>
      </c>
      <c r="M257" s="123" t="inlineStr">
        <is>
          <t>MP1MA020015A</t>
        </is>
      </c>
      <c r="N257" s="117" t="n"/>
    </row>
    <row r="258" ht="17.25" customHeight="1" s="453" thickBot="1">
      <c r="A258" s="553">
        <f>IFERROR(LEFT(B258,7),"")</f>
        <v/>
      </c>
      <c r="B258" s="554">
        <f>"2025/08"&amp;D258</f>
        <v/>
      </c>
      <c r="C258" s="555" t="n">
        <v>25</v>
      </c>
      <c r="D258" s="486" t="inlineStr">
        <is>
          <t>站前4樓</t>
        </is>
      </c>
      <c r="E258" s="486" t="inlineStr">
        <is>
          <t>6160008</t>
        </is>
      </c>
      <c r="F258" s="551" t="n"/>
      <c r="G258" s="486" t="inlineStr">
        <is>
          <t>白童針-薇貝拉50mg/1cc</t>
        </is>
      </c>
      <c r="H258" s="552" t="n"/>
      <c r="I258" s="552" t="n"/>
      <c r="J258" s="551" t="n"/>
      <c r="K258" s="486" t="inlineStr">
        <is>
          <t>6cc/瓶</t>
        </is>
      </c>
      <c r="L258" s="556" t="n">
        <v>19</v>
      </c>
      <c r="M258" s="123" t="inlineStr">
        <is>
          <t>MP1MA020032A</t>
        </is>
      </c>
      <c r="N258" s="117" t="n"/>
    </row>
    <row r="259" ht="17.25" customHeight="1" s="453" thickBot="1">
      <c r="A259" s="553">
        <f>IFERROR(LEFT(B259,7),"")</f>
        <v/>
      </c>
      <c r="B259" s="554">
        <f>"2025/08"&amp;D259</f>
        <v/>
      </c>
      <c r="C259" s="555" t="n">
        <v>26</v>
      </c>
      <c r="D259" s="486" t="inlineStr">
        <is>
          <t>站前4樓</t>
        </is>
      </c>
      <c r="E259" s="486" t="inlineStr">
        <is>
          <t>6160009</t>
        </is>
      </c>
      <c r="F259" s="551" t="n"/>
      <c r="G259" s="486" t="inlineStr">
        <is>
          <t>黑童針-薇貝拉200mg/1cc</t>
        </is>
      </c>
      <c r="H259" s="552" t="n"/>
      <c r="I259" s="552" t="n"/>
      <c r="J259" s="551" t="n"/>
      <c r="K259" s="486" t="inlineStr">
        <is>
          <t>8cc/瓶</t>
        </is>
      </c>
      <c r="L259" s="556" t="n">
        <v>20</v>
      </c>
      <c r="M259" s="123" t="inlineStr">
        <is>
          <t>MP1MA020033A</t>
        </is>
      </c>
      <c r="N259" s="117" t="n"/>
    </row>
    <row r="260" ht="17.25" customHeight="1" s="453" thickBot="1">
      <c r="A260" s="553">
        <f>IFERROR(LEFT(B260,7),"")</f>
        <v/>
      </c>
      <c r="B260" s="554">
        <f>"2025/08"&amp;D260</f>
        <v/>
      </c>
      <c r="C260" s="555" t="n">
        <v>27</v>
      </c>
      <c r="D260" s="486" t="inlineStr">
        <is>
          <t>站前4樓</t>
        </is>
      </c>
      <c r="E260" s="486" t="inlineStr">
        <is>
          <t>6160010</t>
        </is>
      </c>
      <c r="F260" s="551" t="n"/>
      <c r="G260" s="486" t="inlineStr">
        <is>
          <t>喬雅露-大分子200mg/1cc</t>
        </is>
      </c>
      <c r="H260" s="552" t="n"/>
      <c r="I260" s="552" t="n"/>
      <c r="J260" s="551" t="n"/>
      <c r="K260" s="486" t="inlineStr">
        <is>
          <t>8cc/瓶</t>
        </is>
      </c>
      <c r="L260" s="556" t="n">
        <v>49</v>
      </c>
      <c r="M260" s="123" t="inlineStr">
        <is>
          <t>MP1MA020031A</t>
        </is>
      </c>
      <c r="N260" s="117" t="n"/>
    </row>
    <row r="261" ht="17.25" customHeight="1" s="453" thickBot="1">
      <c r="A261" s="553">
        <f>IFERROR(LEFT(B261,7),"")</f>
        <v/>
      </c>
      <c r="B261" s="554">
        <f>"2025/08"&amp;D261</f>
        <v/>
      </c>
      <c r="C261" s="555" t="n">
        <v>28</v>
      </c>
      <c r="D261" s="486" t="inlineStr">
        <is>
          <t>站前4樓</t>
        </is>
      </c>
      <c r="E261" s="486" t="inlineStr">
        <is>
          <t>6160011</t>
        </is>
      </c>
      <c r="F261" s="551" t="n"/>
      <c r="G261" s="486" t="inlineStr">
        <is>
          <t>喬雅露-小分子50mg/1cc</t>
        </is>
      </c>
      <c r="H261" s="552" t="n"/>
      <c r="I261" s="552" t="n"/>
      <c r="J261" s="551" t="n"/>
      <c r="K261" s="486" t="inlineStr">
        <is>
          <t>6cc/瓶</t>
        </is>
      </c>
      <c r="L261" s="556" t="n">
        <v>285</v>
      </c>
      <c r="M261" s="123" t="inlineStr">
        <is>
          <t>MP1MA020030A</t>
        </is>
      </c>
      <c r="N261" s="117" t="n"/>
    </row>
    <row r="262" ht="17.25" customHeight="1" s="453" thickBot="1">
      <c r="A262" s="553">
        <f>IFERROR(LEFT(B262,7),"")</f>
        <v/>
      </c>
      <c r="B262" s="554">
        <f>"2025/08"&amp;D262</f>
        <v/>
      </c>
      <c r="C262" s="555" t="n">
        <v>29</v>
      </c>
      <c r="D262" s="486" t="inlineStr">
        <is>
          <t>站前4樓</t>
        </is>
      </c>
      <c r="E262" s="486" t="inlineStr">
        <is>
          <t>6170005</t>
        </is>
      </c>
      <c r="F262" s="551" t="n"/>
      <c r="G262" s="486" t="inlineStr">
        <is>
          <t>海芙三代音波探頭2mm/ 條</t>
        </is>
      </c>
      <c r="H262" s="552" t="n"/>
      <c r="I262" s="552" t="n"/>
      <c r="J262" s="551" t="n"/>
      <c r="K262" s="486" t="inlineStr">
        <is>
          <t>20000條/顆</t>
        </is>
      </c>
      <c r="L262" s="556" t="n">
        <v>17257</v>
      </c>
      <c r="M262" s="123" t="inlineStr">
        <is>
          <t>MM2MB040003A</t>
        </is>
      </c>
      <c r="N262" s="117" t="n"/>
    </row>
    <row r="263" ht="17.25" customHeight="1" s="453" thickBot="1">
      <c r="A263" s="553">
        <f>IFERROR(LEFT(B263,7),"")</f>
        <v/>
      </c>
      <c r="B263" s="554">
        <f>"2025/08"&amp;D263</f>
        <v/>
      </c>
      <c r="C263" s="555" t="n">
        <v>30</v>
      </c>
      <c r="D263" s="486" t="inlineStr">
        <is>
          <t>站前4樓</t>
        </is>
      </c>
      <c r="E263" s="486" t="inlineStr">
        <is>
          <t>6170007</t>
        </is>
      </c>
      <c r="F263" s="551" t="n"/>
      <c r="G263" s="486" t="inlineStr">
        <is>
          <t>海芙三代音波探頭3mm/ 條</t>
        </is>
      </c>
      <c r="H263" s="552" t="n"/>
      <c r="I263" s="552" t="n"/>
      <c r="J263" s="551" t="n"/>
      <c r="K263" s="486" t="inlineStr">
        <is>
          <t>20000條/顆</t>
        </is>
      </c>
      <c r="L263" s="556" t="n">
        <v>39271</v>
      </c>
      <c r="M263" s="123" t="inlineStr">
        <is>
          <t>MM2MB040004A</t>
        </is>
      </c>
      <c r="N263" s="117" t="n"/>
    </row>
    <row r="264" ht="17.25" customHeight="1" s="453" thickBot="1">
      <c r="A264" s="553">
        <f>IFERROR(LEFT(B264,7),"")</f>
        <v/>
      </c>
      <c r="B264" s="554">
        <f>"2025/08"&amp;D264</f>
        <v/>
      </c>
      <c r="C264" s="555" t="n">
        <v>31</v>
      </c>
      <c r="D264" s="486" t="inlineStr">
        <is>
          <t>站前4樓</t>
        </is>
      </c>
      <c r="E264" s="486" t="inlineStr">
        <is>
          <t>6170009</t>
        </is>
      </c>
      <c r="F264" s="551" t="n"/>
      <c r="G264" s="486" t="inlineStr">
        <is>
          <t>海芙三代音波探頭4.5mm/ 條</t>
        </is>
      </c>
      <c r="H264" s="552" t="n"/>
      <c r="I264" s="552" t="n"/>
      <c r="J264" s="551" t="n"/>
      <c r="K264" s="486" t="inlineStr">
        <is>
          <t>20000條/顆</t>
        </is>
      </c>
      <c r="L264" s="556" t="n">
        <v>54598</v>
      </c>
      <c r="M264" s="123" t="inlineStr">
        <is>
          <t>MM2MB040005A</t>
        </is>
      </c>
      <c r="N264" s="117" t="n"/>
    </row>
    <row r="265" ht="17.25" customHeight="1" s="453" thickBot="1">
      <c r="A265" s="553">
        <f>IFERROR(LEFT(B265,7),"")</f>
        <v/>
      </c>
      <c r="B265" s="554">
        <f>"2025/08"&amp;D265</f>
        <v/>
      </c>
      <c r="C265" s="555" t="n">
        <v>32</v>
      </c>
      <c r="D265" s="486" t="inlineStr">
        <is>
          <t>站前4樓</t>
        </is>
      </c>
      <c r="E265" s="486" t="inlineStr">
        <is>
          <t>6170011</t>
        </is>
      </c>
      <c r="F265" s="551" t="n"/>
      <c r="G265" s="486" t="inlineStr">
        <is>
          <t>海芙三代音波探頭6mm/ 條</t>
        </is>
      </c>
      <c r="H265" s="552" t="n"/>
      <c r="I265" s="552" t="n"/>
      <c r="J265" s="551" t="n"/>
      <c r="K265" s="486" t="inlineStr">
        <is>
          <t>條</t>
        </is>
      </c>
      <c r="L265" s="556" t="n">
        <v>13634</v>
      </c>
      <c r="M265" s="123" t="inlineStr">
        <is>
          <t>MM2MB040006A</t>
        </is>
      </c>
      <c r="N265" s="117" t="n"/>
    </row>
    <row r="266" ht="17.25" customHeight="1" s="453" thickBot="1">
      <c r="A266" s="553">
        <f>IFERROR(LEFT(B266,7),"")</f>
        <v/>
      </c>
      <c r="B266" s="554">
        <f>"2025/08"&amp;D266</f>
        <v/>
      </c>
      <c r="C266" s="555" t="n">
        <v>33</v>
      </c>
      <c r="D266" s="486" t="inlineStr">
        <is>
          <t>站前4樓</t>
        </is>
      </c>
      <c r="E266" s="486" t="inlineStr">
        <is>
          <t>6170013</t>
        </is>
      </c>
      <c r="F266" s="551" t="n"/>
      <c r="G266" s="486" t="inlineStr">
        <is>
          <t>鳳凰電波4平方公分紫鑽探頭(900發)</t>
        </is>
      </c>
      <c r="H266" s="552" t="n"/>
      <c r="I266" s="552" t="n"/>
      <c r="J266" s="551" t="n"/>
      <c r="K266" s="486" t="inlineStr">
        <is>
          <t>顆</t>
        </is>
      </c>
      <c r="L266" s="556" t="n">
        <v>10</v>
      </c>
      <c r="M266" s="123" t="inlineStr">
        <is>
          <t>MP1MB030002A</t>
        </is>
      </c>
      <c r="N266" s="117" t="n"/>
    </row>
    <row r="267" ht="17.25" customHeight="1" s="453" thickBot="1">
      <c r="A267" s="553">
        <f>IFERROR(LEFT(B267,7),"")</f>
        <v/>
      </c>
      <c r="B267" s="554">
        <f>"2025/08"&amp;D267</f>
        <v/>
      </c>
      <c r="C267" s="555" t="n">
        <v>34</v>
      </c>
      <c r="D267" s="486" t="inlineStr">
        <is>
          <t>站前4樓</t>
        </is>
      </c>
      <c r="E267" s="486" t="inlineStr">
        <is>
          <t>6170014</t>
        </is>
      </c>
      <c r="F267" s="551" t="n"/>
      <c r="G267" s="486" t="inlineStr">
        <is>
          <t>鳳凰電波0.25平方公分碧眼探頭(450發)</t>
        </is>
      </c>
      <c r="H267" s="552" t="n"/>
      <c r="I267" s="552" t="n"/>
      <c r="J267" s="551" t="n"/>
      <c r="K267" s="486" t="inlineStr">
        <is>
          <t>顆</t>
        </is>
      </c>
      <c r="L267" s="556" t="n">
        <v>3</v>
      </c>
      <c r="M267" s="123" t="inlineStr">
        <is>
          <t>MP1MB030003A</t>
        </is>
      </c>
      <c r="N267" s="117" t="n"/>
    </row>
    <row r="268" ht="17.25" customHeight="1" s="453" thickBot="1">
      <c r="A268" s="553">
        <f>IFERROR(LEFT(B268,7),"")</f>
        <v/>
      </c>
      <c r="B268" s="554">
        <f>"2025/08"&amp;D268</f>
        <v/>
      </c>
      <c r="C268" s="555" t="n">
        <v>35</v>
      </c>
      <c r="D268" s="486" t="inlineStr">
        <is>
          <t>站前4樓</t>
        </is>
      </c>
      <c r="E268" s="486" t="inlineStr">
        <is>
          <t>6170019</t>
        </is>
      </c>
      <c r="F268" s="551" t="n"/>
      <c r="G268" s="486" t="inlineStr">
        <is>
          <t>媚必提直線探頭2.0mm/條</t>
        </is>
      </c>
      <c r="H268" s="552" t="n"/>
      <c r="I268" s="552" t="n"/>
      <c r="J268" s="551" t="n"/>
      <c r="K268" s="486" t="inlineStr">
        <is>
          <t>20000條/顆</t>
        </is>
      </c>
      <c r="L268" s="556" t="n">
        <v>1092</v>
      </c>
      <c r="M268" s="123" t="inlineStr">
        <is>
          <t>MM2MB040008A</t>
        </is>
      </c>
      <c r="N268" s="117" t="n"/>
    </row>
    <row r="269" ht="17.25" customHeight="1" s="453" thickBot="1">
      <c r="A269" s="553">
        <f>IFERROR(LEFT(B269,7),"")</f>
        <v/>
      </c>
      <c r="B269" s="554">
        <f>"2025/08"&amp;D269</f>
        <v/>
      </c>
      <c r="C269" s="555" t="n">
        <v>36</v>
      </c>
      <c r="D269" s="486" t="inlineStr">
        <is>
          <t>站前4樓</t>
        </is>
      </c>
      <c r="E269" s="486" t="inlineStr">
        <is>
          <t>6170020</t>
        </is>
      </c>
      <c r="F269" s="551" t="n"/>
      <c r="G269" s="486" t="inlineStr">
        <is>
          <t>媚必提直線探頭3.0mm/條</t>
        </is>
      </c>
      <c r="H269" s="552" t="n"/>
      <c r="I269" s="552" t="n"/>
      <c r="J269" s="551" t="n"/>
      <c r="K269" s="486" t="inlineStr">
        <is>
          <t>20000條/顆</t>
        </is>
      </c>
      <c r="L269" s="556" t="n">
        <v>3252</v>
      </c>
      <c r="M269" s="123" t="inlineStr">
        <is>
          <t>MM2MB040009A</t>
        </is>
      </c>
      <c r="N269" s="117" t="n"/>
    </row>
    <row r="270" ht="17.25" customHeight="1" s="453" thickBot="1">
      <c r="A270" s="553">
        <f>IFERROR(LEFT(B270,7),"")</f>
        <v/>
      </c>
      <c r="B270" s="554">
        <f>"2025/08"&amp;D270</f>
        <v/>
      </c>
      <c r="C270" s="555" t="n">
        <v>37</v>
      </c>
      <c r="D270" s="486" t="inlineStr">
        <is>
          <t>站前4樓</t>
        </is>
      </c>
      <c r="E270" s="486" t="inlineStr">
        <is>
          <t>6170021</t>
        </is>
      </c>
      <c r="F270" s="551" t="n"/>
      <c r="G270" s="486" t="inlineStr">
        <is>
          <t>媚必提直線探頭4.5mm/條</t>
        </is>
      </c>
      <c r="H270" s="552" t="n"/>
      <c r="I270" s="552" t="n"/>
      <c r="J270" s="551" t="n"/>
      <c r="K270" s="486" t="inlineStr">
        <is>
          <t>20000條/顆</t>
        </is>
      </c>
      <c r="L270" s="556" t="n">
        <v>7356</v>
      </c>
      <c r="M270" s="123" t="inlineStr">
        <is>
          <t>MM2MB040010A</t>
        </is>
      </c>
      <c r="N270" s="117" t="n"/>
    </row>
    <row r="271" ht="17.25" customHeight="1" s="453" thickBot="1">
      <c r="A271" s="553">
        <f>IFERROR(LEFT(B271,7),"")</f>
        <v/>
      </c>
      <c r="B271" s="554">
        <f>"2025/08"&amp;D271</f>
        <v/>
      </c>
      <c r="C271" s="555" t="n">
        <v>38</v>
      </c>
      <c r="D271" s="486" t="inlineStr">
        <is>
          <t>站前4樓</t>
        </is>
      </c>
      <c r="E271" s="486" t="inlineStr">
        <is>
          <t>6170022</t>
        </is>
      </c>
      <c r="F271" s="551" t="n"/>
      <c r="G271" s="486" t="inlineStr">
        <is>
          <t>媚必提直線探頭6.0mm/條</t>
        </is>
      </c>
      <c r="H271" s="552" t="n"/>
      <c r="I271" s="552" t="n"/>
      <c r="J271" s="551" t="n"/>
      <c r="K271" s="486" t="inlineStr">
        <is>
          <t>20000條/顆</t>
        </is>
      </c>
      <c r="L271" s="556" t="n">
        <v>2301</v>
      </c>
      <c r="M271" s="123" t="inlineStr">
        <is>
          <t>MM2MB040011A</t>
        </is>
      </c>
      <c r="N271" s="117" t="n"/>
    </row>
    <row r="272" ht="17.25" customHeight="1" s="453" thickBot="1">
      <c r="A272" s="553">
        <f>IFERROR(LEFT(B272,7),"")</f>
        <v/>
      </c>
      <c r="B272" s="554">
        <f>"2025/08"&amp;D272</f>
        <v/>
      </c>
      <c r="C272" s="555" t="n">
        <v>39</v>
      </c>
      <c r="D272" s="486" t="inlineStr">
        <is>
          <t>站前4樓</t>
        </is>
      </c>
      <c r="E272" s="486" t="inlineStr">
        <is>
          <t>6170028</t>
        </is>
      </c>
      <c r="F272" s="551" t="n"/>
      <c r="G272" s="486" t="inlineStr">
        <is>
          <t>海芙電波探頭0.25cm/發</t>
        </is>
      </c>
      <c r="H272" s="552" t="n"/>
      <c r="I272" s="552" t="n"/>
      <c r="J272" s="551" t="n"/>
      <c r="K272" s="486" t="inlineStr">
        <is>
          <t>6000發/顆</t>
        </is>
      </c>
      <c r="L272" s="556" t="n">
        <v>6700</v>
      </c>
      <c r="M272" s="123" t="inlineStr">
        <is>
          <t>MM2MB030002A</t>
        </is>
      </c>
      <c r="N272" s="117" t="n"/>
    </row>
    <row r="273" ht="17.25" customHeight="1" s="453" thickBot="1">
      <c r="A273" s="553">
        <f>IFERROR(LEFT(B273,7),"")</f>
        <v/>
      </c>
      <c r="B273" s="554">
        <f>"2025/08"&amp;D273</f>
        <v/>
      </c>
      <c r="C273" s="555" t="n">
        <v>40</v>
      </c>
      <c r="D273" s="486" t="inlineStr">
        <is>
          <t>站前4樓</t>
        </is>
      </c>
      <c r="E273" s="486" t="inlineStr">
        <is>
          <t>6170029</t>
        </is>
      </c>
      <c r="F273" s="551" t="n"/>
      <c r="G273" s="486" t="inlineStr">
        <is>
          <t>海芙電波探頭3.0cm/發</t>
        </is>
      </c>
      <c r="H273" s="552" t="n"/>
      <c r="I273" s="552" t="n"/>
      <c r="J273" s="551" t="n"/>
      <c r="K273" s="486" t="inlineStr">
        <is>
          <t>4000發/顆</t>
        </is>
      </c>
      <c r="L273" s="556" t="n">
        <v>7400</v>
      </c>
      <c r="M273" s="123" t="inlineStr">
        <is>
          <t>MM2MB030003A</t>
        </is>
      </c>
      <c r="N273" s="117" t="n"/>
    </row>
    <row r="274" ht="17.25" customHeight="1" s="453" thickBot="1">
      <c r="A274" s="553">
        <f>IFERROR(LEFT(B274,7),"")</f>
        <v/>
      </c>
      <c r="B274" s="554">
        <f>"2025/08"&amp;D274</f>
        <v/>
      </c>
      <c r="C274" s="555" t="n">
        <v>41</v>
      </c>
      <c r="D274" s="486" t="inlineStr">
        <is>
          <t>站前4樓</t>
        </is>
      </c>
      <c r="E274" s="486" t="inlineStr">
        <is>
          <t>6170032</t>
        </is>
      </c>
      <c r="F274" s="551" t="n"/>
      <c r="G274" s="486" t="inlineStr">
        <is>
          <t>立特拉A2筆型探頭3.0mm/ 條</t>
        </is>
      </c>
      <c r="H274" s="552" t="n"/>
      <c r="I274" s="552" t="n"/>
      <c r="J274" s="551" t="n"/>
      <c r="K274" s="486" t="inlineStr">
        <is>
          <t>240000條/顆</t>
        </is>
      </c>
      <c r="L274" s="556" t="n">
        <v>245203</v>
      </c>
      <c r="M274" s="123" t="inlineStr">
        <is>
          <t>MM2MB040018A</t>
        </is>
      </c>
      <c r="N274" s="117" t="n"/>
    </row>
    <row r="275" ht="17.25" customHeight="1" s="453" thickBot="1">
      <c r="A275" s="553">
        <f>IFERROR(LEFT(B275,7),"")</f>
        <v/>
      </c>
      <c r="B275" s="554">
        <f>"2025/08"&amp;D275</f>
        <v/>
      </c>
      <c r="C275" s="555" t="n">
        <v>42</v>
      </c>
      <c r="D275" s="486" t="inlineStr">
        <is>
          <t>站前4樓</t>
        </is>
      </c>
      <c r="E275" s="486" t="inlineStr">
        <is>
          <t>6170033</t>
        </is>
      </c>
      <c r="F275" s="551" t="n"/>
      <c r="G275" s="486" t="inlineStr">
        <is>
          <t>立特拉A2筆型探頭4.5mm/ 條</t>
        </is>
      </c>
      <c r="H275" s="552" t="n"/>
      <c r="I275" s="552" t="n"/>
      <c r="J275" s="551" t="n"/>
      <c r="K275" s="486" t="inlineStr">
        <is>
          <t>240000條/顆</t>
        </is>
      </c>
      <c r="L275" s="556" t="n">
        <v>85897</v>
      </c>
      <c r="M275" s="123" t="inlineStr">
        <is>
          <t>MM2MB040019A</t>
        </is>
      </c>
      <c r="N275" s="117" t="n"/>
    </row>
    <row r="276" ht="17.25" customHeight="1" s="453" thickBot="1">
      <c r="A276" s="553">
        <f>IFERROR(LEFT(B276,7),"")</f>
        <v/>
      </c>
      <c r="B276" s="554">
        <f>"2025/08"&amp;D276</f>
        <v/>
      </c>
      <c r="C276" s="555" t="n">
        <v>43</v>
      </c>
      <c r="D276" s="486" t="inlineStr">
        <is>
          <t>站前4樓</t>
        </is>
      </c>
      <c r="E276" s="486" t="inlineStr">
        <is>
          <t>6170034</t>
        </is>
      </c>
      <c r="F276" s="551" t="n"/>
      <c r="G276" s="486" t="inlineStr">
        <is>
          <t>十蓓電波臉部探頭5cm</t>
        </is>
      </c>
      <c r="H276" s="552" t="n"/>
      <c r="I276" s="552" t="n"/>
      <c r="J276" s="551" t="n"/>
      <c r="K276" s="486" t="inlineStr">
        <is>
          <t>900發/顆</t>
        </is>
      </c>
      <c r="L276" s="556" t="n">
        <v>18400</v>
      </c>
      <c r="M276" s="123" t="inlineStr">
        <is>
          <t>MM2MB030006A</t>
        </is>
      </c>
      <c r="N276" s="117" t="n"/>
    </row>
    <row r="277" ht="17.25" customHeight="1" s="453" thickBot="1">
      <c r="A277" s="553">
        <f>IFERROR(LEFT(B277,7),"")</f>
        <v/>
      </c>
      <c r="B277" s="554">
        <f>"2025/08"&amp;D277</f>
        <v/>
      </c>
      <c r="C277" s="555" t="n">
        <v>44</v>
      </c>
      <c r="D277" s="486" t="inlineStr">
        <is>
          <t>站前4樓</t>
        </is>
      </c>
      <c r="E277" s="486" t="inlineStr">
        <is>
          <t>6170035</t>
        </is>
      </c>
      <c r="F277" s="551" t="n"/>
      <c r="G277" s="486" t="inlineStr">
        <is>
          <t>十蓓電波眼部探頭0.25cm</t>
        </is>
      </c>
      <c r="H277" s="552" t="n"/>
      <c r="I277" s="552" t="n"/>
      <c r="J277" s="551" t="n"/>
      <c r="K277" s="486" t="inlineStr">
        <is>
          <t>600發/顆</t>
        </is>
      </c>
      <c r="L277" s="556" t="n">
        <v>6200</v>
      </c>
      <c r="M277" s="123" t="inlineStr">
        <is>
          <t>MM2MB030007A</t>
        </is>
      </c>
      <c r="N277" s="117" t="n"/>
    </row>
    <row r="278" ht="17.25" customHeight="1" s="453" thickBot="1">
      <c r="A278" s="553">
        <f>IFERROR(LEFT(B278,7),"")</f>
        <v/>
      </c>
      <c r="B278" s="554">
        <f>"2025/08"&amp;D278</f>
        <v/>
      </c>
      <c r="C278" s="555" t="n">
        <v>45</v>
      </c>
      <c r="D278" s="486" t="inlineStr">
        <is>
          <t>站前4樓</t>
        </is>
      </c>
      <c r="E278" s="486" t="inlineStr">
        <is>
          <t>6180009</t>
        </is>
      </c>
      <c r="F278" s="551" t="n"/>
      <c r="G278" s="486" t="inlineStr">
        <is>
          <t>(V)MINT秘特拉提線TIP 4CM/ 條</t>
        </is>
      </c>
      <c r="H278" s="552" t="n"/>
      <c r="I278" s="552" t="n"/>
      <c r="J278" s="551" t="n"/>
      <c r="K278" s="486" t="inlineStr">
        <is>
          <t>10條/盒</t>
        </is>
      </c>
      <c r="L278" s="556" t="n">
        <v>8</v>
      </c>
      <c r="M278" s="123" t="inlineStr">
        <is>
          <t>MP1MA010015A</t>
        </is>
      </c>
      <c r="N278" s="117" t="n"/>
    </row>
    <row r="279" ht="17.25" customHeight="1" s="453" thickBot="1">
      <c r="A279" s="553">
        <f>IFERROR(LEFT(B279,7),"")</f>
        <v/>
      </c>
      <c r="B279" s="554">
        <f>"2025/08"&amp;D279</f>
        <v/>
      </c>
      <c r="C279" s="555" t="n">
        <v>46</v>
      </c>
      <c r="D279" s="486" t="inlineStr">
        <is>
          <t>站前4樓</t>
        </is>
      </c>
      <c r="E279" s="486" t="inlineStr">
        <is>
          <t>6180011</t>
        </is>
      </c>
      <c r="F279" s="551" t="n"/>
      <c r="G279" s="486" t="inlineStr">
        <is>
          <t>(V)MINT秘特拉提線UP 9.5CM/ 條</t>
        </is>
      </c>
      <c r="H279" s="552" t="n"/>
      <c r="I279" s="552" t="n"/>
      <c r="J279" s="551" t="n"/>
      <c r="K279" s="486" t="inlineStr">
        <is>
          <t>10條/盒</t>
        </is>
      </c>
      <c r="L279" s="556" t="n">
        <v>16</v>
      </c>
      <c r="M279" s="123" t="inlineStr">
        <is>
          <t>MP1MA010016A</t>
        </is>
      </c>
      <c r="N279" s="117" t="n"/>
    </row>
    <row r="280" ht="17.25" customHeight="1" s="453" thickBot="1">
      <c r="A280" s="553">
        <f>IFERROR(LEFT(B280,7),"")</f>
        <v/>
      </c>
      <c r="B280" s="554">
        <f>"2025/08"&amp;D280</f>
        <v/>
      </c>
      <c r="C280" s="555" t="n">
        <v>47</v>
      </c>
      <c r="D280" s="486" t="inlineStr">
        <is>
          <t>站前4樓</t>
        </is>
      </c>
      <c r="E280" s="486" t="inlineStr">
        <is>
          <t>6190001</t>
        </is>
      </c>
      <c r="F280" s="551" t="n"/>
      <c r="G280" s="486" t="inlineStr">
        <is>
          <t>PLT生長因子凍晶製備/ 瓶</t>
        </is>
      </c>
      <c r="H280" s="552" t="n"/>
      <c r="I280" s="552" t="n"/>
      <c r="J280" s="551" t="n"/>
      <c r="K280" s="486" t="inlineStr">
        <is>
          <t>瓶</t>
        </is>
      </c>
      <c r="L280" s="556" t="n">
        <v>32</v>
      </c>
      <c r="M280" s="123" t="n"/>
      <c r="N280" s="117" t="n"/>
    </row>
    <row r="281" ht="17.25" customHeight="1" s="453" thickBot="1">
      <c r="A281" s="553">
        <f>IFERROR(LEFT(B281,7),"")</f>
        <v/>
      </c>
      <c r="B281" s="554">
        <f>"2025/08"&amp;D281</f>
        <v/>
      </c>
      <c r="C281" s="555" t="n">
        <v>48</v>
      </c>
      <c r="D281" s="486" t="inlineStr">
        <is>
          <t>站前4樓</t>
        </is>
      </c>
      <c r="E281" s="486" t="inlineStr">
        <is>
          <t>6210002</t>
        </is>
      </c>
      <c r="F281" s="551" t="n"/>
      <c r="G281" s="486" t="inlineStr">
        <is>
          <t>(V)水光針針頭/31G9針/1.2mm/ PCS</t>
        </is>
      </c>
      <c r="H281" s="552" t="n"/>
      <c r="I281" s="552" t="n"/>
      <c r="J281" s="551" t="n"/>
      <c r="K281" s="486" t="inlineStr">
        <is>
          <t>PCS(20入/盒)</t>
        </is>
      </c>
      <c r="L281" s="556" t="n">
        <v>39</v>
      </c>
      <c r="M281" s="123" t="inlineStr">
        <is>
          <t>MP1MA070007A</t>
        </is>
      </c>
      <c r="N281" s="117" t="n"/>
    </row>
    <row r="282" ht="17.25" customHeight="1" s="453" thickBot="1">
      <c r="A282" s="553">
        <f>IFERROR(LEFT(B282,7),"")</f>
        <v/>
      </c>
      <c r="B282" s="554">
        <f>"2025/08"&amp;D282</f>
        <v/>
      </c>
      <c r="C282" s="555" t="n">
        <v>49</v>
      </c>
      <c r="D282" s="486" t="inlineStr">
        <is>
          <t>站前4樓</t>
        </is>
      </c>
      <c r="E282" s="486" t="inlineStr">
        <is>
          <t>6210003</t>
        </is>
      </c>
      <c r="F282" s="551" t="n"/>
      <c r="G282" s="486" t="inlineStr">
        <is>
          <t>(V)水光針針頭/31G9針/1.5mm/ PCS</t>
        </is>
      </c>
      <c r="H282" s="552" t="n"/>
      <c r="I282" s="552" t="n"/>
      <c r="J282" s="551" t="n"/>
      <c r="K282" s="486" t="inlineStr">
        <is>
          <t>PCS(20入/盒)</t>
        </is>
      </c>
      <c r="L282" s="556" t="n">
        <v>48</v>
      </c>
      <c r="M282" s="123" t="inlineStr">
        <is>
          <t>MP1MA070008A</t>
        </is>
      </c>
      <c r="N282" s="117" t="n"/>
    </row>
    <row r="283" ht="17.25" customHeight="1" s="453" thickBot="1">
      <c r="A283" s="553">
        <f>IFERROR(LEFT(B283,7),"")</f>
        <v/>
      </c>
      <c r="B283" s="554">
        <f>"2025/08"&amp;D283</f>
        <v/>
      </c>
      <c r="C283" s="555" t="n">
        <v>50</v>
      </c>
      <c r="D283" s="486" t="inlineStr">
        <is>
          <t>站前4樓</t>
        </is>
      </c>
      <c r="E283" s="486" t="inlineStr">
        <is>
          <t>6210005</t>
        </is>
      </c>
      <c r="F283" s="551" t="n"/>
      <c r="G283" s="486" t="inlineStr">
        <is>
          <t>(V)水光針針頭/32G9針/1.0mm/ PCS</t>
        </is>
      </c>
      <c r="H283" s="552" t="n"/>
      <c r="I283" s="552" t="n"/>
      <c r="J283" s="551" t="n"/>
      <c r="K283" s="486" t="inlineStr">
        <is>
          <t>PCS(20入/盒)</t>
        </is>
      </c>
      <c r="L283" s="556" t="n">
        <v>1</v>
      </c>
      <c r="M283" s="123" t="inlineStr">
        <is>
          <t>MP1MA070005A</t>
        </is>
      </c>
      <c r="N283" s="117" t="n"/>
    </row>
    <row r="284" ht="17.25" customHeight="1" s="453" thickBot="1">
      <c r="A284" s="553">
        <f>IFERROR(LEFT(B284,7),"")</f>
        <v/>
      </c>
      <c r="B284" s="554">
        <f>"2025/08"&amp;D284</f>
        <v/>
      </c>
      <c r="C284" s="555" t="n">
        <v>51</v>
      </c>
      <c r="D284" s="486" t="inlineStr">
        <is>
          <t>站前4樓</t>
        </is>
      </c>
      <c r="E284" s="486" t="inlineStr">
        <is>
          <t>6210006</t>
        </is>
      </c>
      <c r="F284" s="551" t="n"/>
      <c r="G284" s="486" t="inlineStr">
        <is>
          <t>(V)麗珠蘭修復水光(A劑2ml+B劑2ml)</t>
        </is>
      </c>
      <c r="H284" s="552" t="n"/>
      <c r="I284" s="552" t="n"/>
      <c r="J284" s="551" t="n"/>
      <c r="K284" s="486" t="inlineStr">
        <is>
          <t>2ml*2</t>
        </is>
      </c>
      <c r="L284" s="556" t="n">
        <v>8</v>
      </c>
      <c r="M284" s="123" t="inlineStr">
        <is>
          <t>DP1AA050001E</t>
        </is>
      </c>
      <c r="N284" s="117" t="n"/>
    </row>
    <row r="285" ht="17.25" customHeight="1" s="453" thickBot="1">
      <c r="A285" s="553">
        <f>IFERROR(LEFT(B285,7),"")</f>
        <v/>
      </c>
      <c r="B285" s="554">
        <f>"2025/08"&amp;D285</f>
        <v/>
      </c>
      <c r="C285" s="555" t="n">
        <v>52</v>
      </c>
      <c r="D285" s="486" t="inlineStr">
        <is>
          <t>站前4樓</t>
        </is>
      </c>
      <c r="E285" s="486" t="inlineStr">
        <is>
          <t>6210007</t>
        </is>
      </c>
      <c r="F285" s="551" t="n"/>
      <c r="G285" s="486" t="inlineStr">
        <is>
          <t>(V)麗珠蘭白瓷水光(A劑2ml+B劑2ml)</t>
        </is>
      </c>
      <c r="H285" s="552" t="n"/>
      <c r="I285" s="552" t="n"/>
      <c r="J285" s="551" t="n"/>
      <c r="K285" s="486" t="inlineStr">
        <is>
          <t>2ml*2</t>
        </is>
      </c>
      <c r="L285" s="556" t="n">
        <v>4</v>
      </c>
      <c r="M285" s="123" t="inlineStr">
        <is>
          <t>DP1AA050002E</t>
        </is>
      </c>
      <c r="N285" s="117" t="n"/>
    </row>
    <row r="286" ht="17.25" customHeight="1" s="453" thickBot="1">
      <c r="A286" s="553">
        <f>IFERROR(LEFT(B286,7),"")</f>
        <v/>
      </c>
      <c r="B286" s="554">
        <f>"2025/08"&amp;D286</f>
        <v/>
      </c>
      <c r="C286" s="555" t="n">
        <v>53</v>
      </c>
      <c r="D286" s="486" t="inlineStr">
        <is>
          <t>站前4樓</t>
        </is>
      </c>
      <c r="E286" s="486" t="inlineStr">
        <is>
          <t>6220005</t>
        </is>
      </c>
      <c r="F286" s="551" t="n"/>
      <c r="G286" s="486" t="inlineStr">
        <is>
          <t>海菲秀深藍端頭/ 顆</t>
        </is>
      </c>
      <c r="H286" s="552" t="n"/>
      <c r="I286" s="552" t="n"/>
      <c r="J286" s="551" t="n"/>
      <c r="K286" s="486" t="inlineStr">
        <is>
          <t>15顆/串</t>
        </is>
      </c>
      <c r="L286" s="556" t="n">
        <v>565</v>
      </c>
      <c r="M286" s="123" t="inlineStr">
        <is>
          <t>MM2MD070001A</t>
        </is>
      </c>
      <c r="N286" s="117" t="n"/>
    </row>
    <row r="287" ht="17.25" customHeight="1" s="453" thickBot="1">
      <c r="A287" s="553">
        <f>IFERROR(LEFT(B287,7),"")</f>
        <v/>
      </c>
      <c r="B287" s="554">
        <f>"2025/08"&amp;D287</f>
        <v/>
      </c>
      <c r="C287" s="555" t="n">
        <v>54</v>
      </c>
      <c r="D287" s="486" t="inlineStr">
        <is>
          <t>站前4樓</t>
        </is>
      </c>
      <c r="E287" s="486" t="inlineStr">
        <is>
          <t>6220006</t>
        </is>
      </c>
      <c r="F287" s="551" t="n"/>
      <c r="G287" s="486" t="inlineStr">
        <is>
          <t>海菲秀淺藍端頭/ 顆</t>
        </is>
      </c>
      <c r="H287" s="552" t="n"/>
      <c r="I287" s="552" t="n"/>
      <c r="J287" s="551" t="n"/>
      <c r="K287" s="486" t="inlineStr">
        <is>
          <t>15顆/串</t>
        </is>
      </c>
      <c r="L287" s="556" t="n">
        <v>565</v>
      </c>
      <c r="M287" s="123" t="inlineStr">
        <is>
          <t>MM2MD070002A</t>
        </is>
      </c>
      <c r="N287" s="117" t="n"/>
    </row>
    <row r="288" ht="17.25" customHeight="1" s="453" thickBot="1">
      <c r="A288" s="553">
        <f>IFERROR(LEFT(B288,7),"")</f>
        <v/>
      </c>
      <c r="B288" s="554">
        <f>"2025/08"&amp;D288</f>
        <v/>
      </c>
      <c r="C288" s="555" t="n">
        <v>55</v>
      </c>
      <c r="D288" s="486" t="inlineStr">
        <is>
          <t>站前4樓</t>
        </is>
      </c>
      <c r="E288" s="486" t="inlineStr">
        <is>
          <t>6220007</t>
        </is>
      </c>
      <c r="F288" s="551" t="n"/>
      <c r="G288" s="486" t="inlineStr">
        <is>
          <t>海菲秀透明端頭/ 顆</t>
        </is>
      </c>
      <c r="H288" s="552" t="n"/>
      <c r="I288" s="552" t="n"/>
      <c r="J288" s="551" t="n"/>
      <c r="K288" s="486" t="inlineStr">
        <is>
          <t>15顆/串</t>
        </is>
      </c>
      <c r="L288" s="556" t="n">
        <v>565</v>
      </c>
      <c r="M288" s="123" t="inlineStr">
        <is>
          <t>MM2MD070003A</t>
        </is>
      </c>
      <c r="N288" s="117" t="n"/>
    </row>
    <row r="289" ht="17.25" customHeight="1" s="453" thickBot="1">
      <c r="A289" s="553">
        <f>IFERROR(LEFT(B289,7),"")</f>
        <v/>
      </c>
      <c r="B289" s="554">
        <f>"2025/08"&amp;D289</f>
        <v/>
      </c>
      <c r="C289" s="555" t="n">
        <v>56</v>
      </c>
      <c r="D289" s="486" t="inlineStr">
        <is>
          <t>站前4樓</t>
        </is>
      </c>
      <c r="E289" s="486" t="inlineStr">
        <is>
          <t>6220012</t>
        </is>
      </c>
      <c r="F289" s="551" t="n"/>
      <c r="G289" s="486" t="inlineStr">
        <is>
          <t>(V)(第一劑)海菲秀 Activ-4 Skin Solution/mL</t>
        </is>
      </c>
      <c r="H289" s="552" t="n"/>
      <c r="I289" s="552" t="n"/>
      <c r="J289" s="551" t="n"/>
      <c r="K289" s="486" t="inlineStr">
        <is>
          <t>ml</t>
        </is>
      </c>
      <c r="L289" s="556" t="n">
        <v>8475</v>
      </c>
      <c r="M289" s="123" t="inlineStr">
        <is>
          <t>MP1MD070012A</t>
        </is>
      </c>
      <c r="N289" s="117" t="n"/>
    </row>
    <row r="290" ht="17.25" customHeight="1" s="453" thickBot="1">
      <c r="A290" s="553">
        <f>IFERROR(LEFT(B290,7),"")</f>
        <v/>
      </c>
      <c r="B290" s="554">
        <f>"2025/08"&amp;D290</f>
        <v/>
      </c>
      <c r="C290" s="555" t="n">
        <v>57</v>
      </c>
      <c r="D290" s="486" t="inlineStr">
        <is>
          <t>站前4樓</t>
        </is>
      </c>
      <c r="E290" s="486" t="inlineStr">
        <is>
          <t>6220013</t>
        </is>
      </c>
      <c r="F290" s="551" t="n"/>
      <c r="G290" s="486" t="inlineStr">
        <is>
          <t>(V)(第二劑)海菲秀 Beta-HD Skin Solution /mL</t>
        </is>
      </c>
      <c r="H290" s="552" t="n"/>
      <c r="I290" s="552" t="n"/>
      <c r="J290" s="551" t="n"/>
      <c r="K290" s="486" t="inlineStr">
        <is>
          <t>ml</t>
        </is>
      </c>
      <c r="L290" s="556" t="n">
        <v>8475</v>
      </c>
      <c r="M290" s="123" t="inlineStr">
        <is>
          <t>MP1MD070013A</t>
        </is>
      </c>
      <c r="N290" s="117" t="n"/>
    </row>
    <row r="291" ht="17.25" customHeight="1" s="453" thickBot="1">
      <c r="A291" s="553">
        <f>IFERROR(LEFT(B291,7),"")</f>
        <v/>
      </c>
      <c r="B291" s="554">
        <f>"2025/08"&amp;D291</f>
        <v/>
      </c>
      <c r="C291" s="555" t="n">
        <v>58</v>
      </c>
      <c r="D291" s="486" t="inlineStr">
        <is>
          <t>站前4樓</t>
        </is>
      </c>
      <c r="E291" s="486" t="inlineStr">
        <is>
          <t>6220014</t>
        </is>
      </c>
      <c r="F291" s="551" t="n"/>
      <c r="G291" s="486" t="inlineStr">
        <is>
          <t>(V)(第三劑)海菲秀 Antiox-6 Skin Solution /mL</t>
        </is>
      </c>
      <c r="H291" s="552" t="n"/>
      <c r="I291" s="552" t="n"/>
      <c r="J291" s="551" t="n"/>
      <c r="K291" s="486" t="inlineStr">
        <is>
          <t>ml</t>
        </is>
      </c>
      <c r="L291" s="556" t="n">
        <v>8475</v>
      </c>
      <c r="M291" s="123" t="inlineStr">
        <is>
          <t>MP1MD070014A</t>
        </is>
      </c>
      <c r="N291" s="117" t="n"/>
    </row>
    <row r="292" ht="17.25" customHeight="1" s="453" thickBot="1">
      <c r="A292" s="553">
        <f>IFERROR(LEFT(B292,7),"")</f>
        <v/>
      </c>
      <c r="B292" s="554">
        <f>"2025/08"&amp;D292</f>
        <v/>
      </c>
      <c r="C292" s="555" t="n">
        <v>59</v>
      </c>
      <c r="D292" s="486" t="inlineStr">
        <is>
          <t>站前4樓</t>
        </is>
      </c>
      <c r="E292" s="486" t="inlineStr">
        <is>
          <t>6220015</t>
        </is>
      </c>
      <c r="F292" s="551" t="n"/>
      <c r="G292" s="486" t="inlineStr">
        <is>
          <t>(V)(第四劑)海菲秀 Rinseaway System Cleaning Solution /mL</t>
        </is>
      </c>
      <c r="H292" s="552" t="n"/>
      <c r="I292" s="552" t="n"/>
      <c r="J292" s="551" t="n"/>
      <c r="K292" s="486" t="inlineStr">
        <is>
          <t>ml</t>
        </is>
      </c>
      <c r="L292" s="556" t="n">
        <v>3960</v>
      </c>
      <c r="M292" s="123" t="inlineStr">
        <is>
          <t>MP1MD070015A</t>
        </is>
      </c>
      <c r="N292" s="117" t="n"/>
    </row>
    <row r="293" ht="17.25" customHeight="1" s="453" thickBot="1">
      <c r="A293" s="553">
        <f>IFERROR(LEFT(B293,7),"")</f>
        <v/>
      </c>
      <c r="B293" s="554">
        <f>"2025/08"&amp;D293</f>
        <v/>
      </c>
      <c r="C293" s="555" t="n">
        <v>60</v>
      </c>
      <c r="D293" s="486" t="inlineStr">
        <is>
          <t>站前11樓</t>
        </is>
      </c>
      <c r="E293" s="486" t="inlineStr">
        <is>
          <t>6120001</t>
        </is>
      </c>
      <c r="F293" s="551" t="n"/>
      <c r="G293" s="486" t="inlineStr">
        <is>
          <t>(V)肝得健注射劑/ 瓶，220倍數叫貨</t>
        </is>
      </c>
      <c r="H293" s="552" t="n"/>
      <c r="I293" s="552" t="n"/>
      <c r="J293" s="551" t="n"/>
      <c r="K293" s="486" t="inlineStr">
        <is>
          <t>20支/盒</t>
        </is>
      </c>
      <c r="L293" s="556" t="n">
        <v>273</v>
      </c>
      <c r="M293" s="123" t="inlineStr">
        <is>
          <t>MB3ME090001A</t>
        </is>
      </c>
      <c r="N293" s="117" t="n"/>
    </row>
    <row r="294" ht="17.25" customHeight="1" s="453" thickBot="1">
      <c r="A294" s="553">
        <f>IFERROR(LEFT(B294,7),"")</f>
        <v/>
      </c>
      <c r="B294" s="554">
        <f>"2025/08"&amp;D294</f>
        <v/>
      </c>
      <c r="C294" s="555" t="n">
        <v>61</v>
      </c>
      <c r="D294" s="486" t="inlineStr">
        <is>
          <t>站前11樓</t>
        </is>
      </c>
      <c r="E294" s="486" t="inlineStr">
        <is>
          <t>6120002</t>
        </is>
      </c>
      <c r="F294" s="551" t="n"/>
      <c r="G294" s="486" t="inlineStr">
        <is>
          <t>(V)卡妮丁注射劑/ 瓶，220倍數叫貨</t>
        </is>
      </c>
      <c r="H294" s="552" t="n"/>
      <c r="I294" s="552" t="n"/>
      <c r="J294" s="551" t="n"/>
      <c r="K294" s="486" t="inlineStr">
        <is>
          <t>20支/盒</t>
        </is>
      </c>
      <c r="L294" s="556" t="n">
        <v>358</v>
      </c>
      <c r="M294" s="123" t="inlineStr">
        <is>
          <t>MB3ME090002A</t>
        </is>
      </c>
      <c r="N294" s="117" t="n"/>
    </row>
    <row r="295" ht="17.25" customHeight="1" s="453" thickBot="1">
      <c r="A295" s="553">
        <f>IFERROR(LEFT(B295,7),"")</f>
        <v/>
      </c>
      <c r="B295" s="554">
        <f>"2025/08"&amp;D295</f>
        <v/>
      </c>
      <c r="C295" s="555" t="n">
        <v>62</v>
      </c>
      <c r="D295" s="486" t="inlineStr">
        <is>
          <t>站前11樓</t>
        </is>
      </c>
      <c r="E295" s="486" t="inlineStr">
        <is>
          <t>6120003</t>
        </is>
      </c>
      <c r="F295" s="551" t="n"/>
      <c r="G295" s="486" t="inlineStr">
        <is>
          <t>(V)貝力多(雙胜胺) 20% 30mL/ 瓶，10倍數叫貨</t>
        </is>
      </c>
      <c r="H295" s="552" t="n"/>
      <c r="I295" s="552" t="n"/>
      <c r="J295" s="551" t="n"/>
      <c r="K295" s="486" t="inlineStr">
        <is>
          <t>10支/盒</t>
        </is>
      </c>
      <c r="L295" s="556" t="n">
        <v>2</v>
      </c>
      <c r="M295" s="123" t="inlineStr">
        <is>
          <t>MB3ME090003A</t>
        </is>
      </c>
      <c r="N295" s="117" t="n"/>
    </row>
    <row r="296" ht="17.25" customHeight="1" s="453" thickBot="1">
      <c r="A296" s="553">
        <f>IFERROR(LEFT(B296,7),"")</f>
        <v/>
      </c>
      <c r="B296" s="554">
        <f>"2025/08"&amp;D296</f>
        <v/>
      </c>
      <c r="C296" s="555" t="n">
        <v>63</v>
      </c>
      <c r="D296" s="486" t="inlineStr">
        <is>
          <t>站前11樓</t>
        </is>
      </c>
      <c r="E296" s="486" t="inlineStr">
        <is>
          <t>6120004</t>
        </is>
      </c>
      <c r="F296" s="551" t="n"/>
      <c r="G296" s="486" t="inlineStr">
        <is>
          <t>(V)胺基酸點滴250ml/ 袋(安命活源/嘉安命)，20倍數叫貨</t>
        </is>
      </c>
      <c r="H296" s="552" t="n"/>
      <c r="I296" s="552" t="n"/>
      <c r="J296" s="551" t="n"/>
      <c r="K296" s="486" t="inlineStr">
        <is>
          <t>(20瓶/箱)</t>
        </is>
      </c>
      <c r="L296" s="556" t="n">
        <v>3</v>
      </c>
      <c r="M296" s="123" t="inlineStr">
        <is>
          <t>MB3ME090006A</t>
        </is>
      </c>
      <c r="N296" s="117" t="n"/>
    </row>
    <row r="297" ht="17.25" customHeight="1" s="453" thickBot="1">
      <c r="A297" s="553">
        <f>IFERROR(LEFT(B297,7),"")</f>
        <v/>
      </c>
      <c r="B297" s="554">
        <f>"2025/08"&amp;D297</f>
        <v/>
      </c>
      <c r="C297" s="555" t="n">
        <v>64</v>
      </c>
      <c r="D297" s="486" t="inlineStr">
        <is>
          <t>站前11樓</t>
        </is>
      </c>
      <c r="E297" s="486" t="inlineStr">
        <is>
          <t>6120006</t>
        </is>
      </c>
      <c r="F297" s="551" t="n"/>
      <c r="G297" s="486" t="inlineStr">
        <is>
          <t>(V)(B12) 愛壽命 2mL，100倍數叫貨</t>
        </is>
      </c>
      <c r="H297" s="552" t="n"/>
      <c r="I297" s="552" t="n"/>
      <c r="J297" s="551" t="n"/>
      <c r="K297" s="486" t="inlineStr">
        <is>
          <t>(100支/盒)</t>
        </is>
      </c>
      <c r="L297" s="556" t="n">
        <v>167</v>
      </c>
      <c r="M297" s="123" t="inlineStr">
        <is>
          <t>MB3ME090011A</t>
        </is>
      </c>
      <c r="N297" s="117" t="n"/>
    </row>
    <row r="298" ht="17.25" customHeight="1" s="453" thickBot="1">
      <c r="A298" s="553">
        <f>IFERROR(LEFT(B298,7),"")</f>
        <v/>
      </c>
      <c r="B298" s="554">
        <f>"2025/08"&amp;D298</f>
        <v/>
      </c>
      <c r="C298" s="555" t="n">
        <v>65</v>
      </c>
      <c r="D298" s="486" t="inlineStr">
        <is>
          <t>站前11樓</t>
        </is>
      </c>
      <c r="E298" s="486" t="inlineStr">
        <is>
          <t>6120007</t>
        </is>
      </c>
      <c r="F298" s="551" t="n"/>
      <c r="G298" s="486" t="inlineStr">
        <is>
          <t>(V)(硫酸鋅) 1ml/支，100倍數叫貨</t>
        </is>
      </c>
      <c r="H298" s="552" t="n"/>
      <c r="I298" s="552" t="n"/>
      <c r="J298" s="551" t="n"/>
      <c r="K298" s="486" t="inlineStr">
        <is>
          <t>100支/盒</t>
        </is>
      </c>
      <c r="L298" s="556" t="n">
        <v>1</v>
      </c>
      <c r="M298" s="123" t="inlineStr">
        <is>
          <t>MB3ME090027A</t>
        </is>
      </c>
      <c r="N298" s="117" t="n"/>
    </row>
    <row r="299" ht="17.25" customHeight="1" s="453" thickBot="1">
      <c r="A299" s="553">
        <f>IFERROR(LEFT(B299,7),"")</f>
        <v/>
      </c>
      <c r="B299" s="554">
        <f>"2025/08"&amp;D299</f>
        <v/>
      </c>
      <c r="C299" s="555" t="n">
        <v>66</v>
      </c>
      <c r="D299" s="486" t="inlineStr">
        <is>
          <t>站前11樓</t>
        </is>
      </c>
      <c r="E299" s="486" t="inlineStr">
        <is>
          <t>6120009</t>
        </is>
      </c>
      <c r="F299" s="551" t="n"/>
      <c r="G299" s="486" t="inlineStr">
        <is>
          <t>(V)(B1) 硫胺明 2ml</t>
        </is>
      </c>
      <c r="H299" s="552" t="n"/>
      <c r="I299" s="552" t="n"/>
      <c r="J299" s="551" t="n"/>
      <c r="K299" s="486" t="inlineStr">
        <is>
          <t>支(100支/盒)</t>
        </is>
      </c>
      <c r="L299" s="556" t="n">
        <v>1</v>
      </c>
      <c r="M299" s="123" t="inlineStr">
        <is>
          <t>MB3ME090012A</t>
        </is>
      </c>
      <c r="N299" s="117" t="n"/>
    </row>
    <row r="300" ht="17.25" customHeight="1" s="453" thickBot="1">
      <c r="A300" s="553">
        <f>IFERROR(LEFT(B300,7),"")</f>
        <v/>
      </c>
      <c r="B300" s="554">
        <f>"2025/08"&amp;D300</f>
        <v/>
      </c>
      <c r="C300" s="555" t="n">
        <v>67</v>
      </c>
      <c r="D300" s="486" t="inlineStr">
        <is>
          <t>站前11樓</t>
        </is>
      </c>
      <c r="E300" s="486" t="inlineStr">
        <is>
          <t>6120010</t>
        </is>
      </c>
      <c r="F300" s="551" t="n"/>
      <c r="G300" s="486" t="inlineStr">
        <is>
          <t>(V)(B6) 活性維生素 2ml，100倍數叫貨</t>
        </is>
      </c>
      <c r="H300" s="552" t="n"/>
      <c r="I300" s="552" t="n"/>
      <c r="J300" s="551" t="n"/>
      <c r="K300" s="486" t="inlineStr">
        <is>
          <t>(100支/盒)</t>
        </is>
      </c>
      <c r="L300" s="556" t="n">
        <v>1</v>
      </c>
      <c r="M300" s="123" t="inlineStr">
        <is>
          <t>MB3ME090013A</t>
        </is>
      </c>
      <c r="N300" s="117" t="n"/>
    </row>
    <row r="301" ht="17.25" customHeight="1" s="453" thickBot="1">
      <c r="A301" s="553">
        <f>IFERROR(LEFT(B301,7),"")</f>
        <v/>
      </c>
      <c r="B301" s="554">
        <f>"2025/08"&amp;D301</f>
        <v/>
      </c>
      <c r="C301" s="555" t="n">
        <v>68</v>
      </c>
      <c r="D301" s="486" t="inlineStr">
        <is>
          <t>站前11樓</t>
        </is>
      </c>
      <c r="E301" s="486" t="inlineStr">
        <is>
          <t>6120011</t>
        </is>
      </c>
      <c r="F301" s="551" t="n"/>
      <c r="G301" s="486" t="inlineStr">
        <is>
          <t>(V)(硒) 西寧特 2ml/支</t>
        </is>
      </c>
      <c r="H301" s="552" t="n"/>
      <c r="I301" s="552" t="n"/>
      <c r="J301" s="551" t="n"/>
      <c r="K301" s="486" t="inlineStr">
        <is>
          <t>10支/盒</t>
        </is>
      </c>
      <c r="L301" s="556" t="n">
        <v>1</v>
      </c>
      <c r="M301" s="123" t="inlineStr">
        <is>
          <t>MB3ME090024A</t>
        </is>
      </c>
      <c r="N301" s="117" t="n"/>
    </row>
    <row r="302" ht="17.25" customHeight="1" s="453" thickBot="1">
      <c r="A302" s="553">
        <f>IFERROR(LEFT(B302,7),"")</f>
        <v/>
      </c>
      <c r="B302" s="554">
        <f>"2025/08"&amp;D302</f>
        <v/>
      </c>
      <c r="C302" s="555" t="n">
        <v>69</v>
      </c>
      <c r="D302" s="486" t="inlineStr">
        <is>
          <t>站前11樓</t>
        </is>
      </c>
      <c r="E302" s="486" t="inlineStr">
        <is>
          <t>6120013</t>
        </is>
      </c>
      <c r="F302" s="551" t="n"/>
      <c r="G302" s="486" t="inlineStr">
        <is>
          <t>(V)生理食鹽水(NS) 250ml/ 袋</t>
        </is>
      </c>
      <c r="H302" s="552" t="n"/>
      <c r="I302" s="552" t="n"/>
      <c r="J302" s="551" t="n"/>
      <c r="K302" s="486" t="inlineStr">
        <is>
          <t>55瓶/箱</t>
        </is>
      </c>
      <c r="L302" s="556" t="n">
        <v>395</v>
      </c>
      <c r="M302" s="123" t="inlineStr">
        <is>
          <t>MB3ME090008A</t>
        </is>
      </c>
      <c r="N302" s="117" t="n"/>
    </row>
    <row r="303" ht="17.25" customHeight="1" s="453" thickBot="1">
      <c r="A303" s="553">
        <f>IFERROR(LEFT(B303,7),"")</f>
        <v/>
      </c>
      <c r="B303" s="554">
        <f>"2025/08"&amp;D303</f>
        <v/>
      </c>
      <c r="C303" s="555" t="n">
        <v>70</v>
      </c>
      <c r="D303" s="486" t="inlineStr">
        <is>
          <t>站前11樓</t>
        </is>
      </c>
      <c r="E303" s="486" t="inlineStr">
        <is>
          <t>6120015</t>
        </is>
      </c>
      <c r="F303" s="551" t="n"/>
      <c r="G303" s="486" t="inlineStr">
        <is>
          <t>(V)(B群)淘能美複合維他命B 2ml，100倍數叫貨</t>
        </is>
      </c>
      <c r="H303" s="552" t="n"/>
      <c r="I303" s="552" t="n"/>
      <c r="J303" s="551" t="n"/>
      <c r="K303" s="486" t="n"/>
      <c r="L303" s="556" t="n">
        <v>2</v>
      </c>
      <c r="M303" s="123" t="inlineStr">
        <is>
          <t>MB3ME090014A</t>
        </is>
      </c>
      <c r="N303" s="117" t="n"/>
    </row>
    <row r="304" ht="17.25" customHeight="1" s="453" thickBot="1">
      <c r="A304" s="553">
        <f>IFERROR(LEFT(B304,7),"")</f>
        <v/>
      </c>
      <c r="B304" s="554">
        <f>"2025/08"&amp;D304</f>
        <v/>
      </c>
      <c r="C304" s="555" t="n">
        <v>71</v>
      </c>
      <c r="D304" s="486" t="inlineStr">
        <is>
          <t>站前11樓</t>
        </is>
      </c>
      <c r="E304" s="486" t="inlineStr">
        <is>
          <t>6120016</t>
        </is>
      </c>
      <c r="F304" s="551" t="n"/>
      <c r="G304" s="486" t="inlineStr">
        <is>
          <t>(V)(榖胱肝肽) 克樂達養200mg (20ml/瓶)</t>
        </is>
      </c>
      <c r="H304" s="552" t="n"/>
      <c r="I304" s="552" t="n"/>
      <c r="J304" s="551" t="n"/>
      <c r="K304" s="486" t="inlineStr">
        <is>
          <t>50支/盒</t>
        </is>
      </c>
      <c r="L304" s="556" t="n">
        <v>2</v>
      </c>
      <c r="M304" s="123" t="inlineStr">
        <is>
          <t>MB3ME090015A</t>
        </is>
      </c>
      <c r="N304" s="117" t="n"/>
    </row>
    <row r="305" ht="17.25" customHeight="1" s="453" thickBot="1">
      <c r="A305" s="553">
        <f>IFERROR(LEFT(B305,7),"")</f>
        <v/>
      </c>
      <c r="B305" s="554">
        <f>"2025/08"&amp;D305</f>
        <v/>
      </c>
      <c r="C305" s="555" t="n">
        <v>72</v>
      </c>
      <c r="D305" s="486" t="inlineStr">
        <is>
          <t>站前11樓</t>
        </is>
      </c>
      <c r="E305" s="486" t="inlineStr">
        <is>
          <t>6120017</t>
        </is>
      </c>
      <c r="F305" s="551" t="n"/>
      <c r="G305" s="486" t="inlineStr">
        <is>
          <t>(V)保肝 5ml/支</t>
        </is>
      </c>
      <c r="H305" s="552" t="n"/>
      <c r="I305" s="552" t="n"/>
      <c r="J305" s="551" t="n"/>
      <c r="K305" s="486" t="inlineStr">
        <is>
          <t>50支/盒</t>
        </is>
      </c>
      <c r="L305" s="556" t="n">
        <v>2</v>
      </c>
      <c r="M305" s="123" t="inlineStr">
        <is>
          <t>MB3ME090025A</t>
        </is>
      </c>
      <c r="N305" s="117" t="n"/>
    </row>
    <row r="306" ht="17.25" customHeight="1" s="453" thickBot="1">
      <c r="A306" s="553">
        <f>IFERROR(LEFT(B306,7),"")</f>
        <v/>
      </c>
      <c r="B306" s="554">
        <f>"2025/08"&amp;D306</f>
        <v/>
      </c>
      <c r="C306" s="555" t="n">
        <v>73</v>
      </c>
      <c r="D306" s="486" t="inlineStr">
        <is>
          <t>站前11樓</t>
        </is>
      </c>
      <c r="E306" s="486" t="inlineStr">
        <is>
          <t>6120021</t>
        </is>
      </c>
      <c r="F306" s="551" t="n"/>
      <c r="G306" s="486" t="inlineStr">
        <is>
          <t>(V)(Vit C)(抗壞血酸/諾貝爾)20ml，50倍數下單</t>
        </is>
      </c>
      <c r="H306" s="552" t="n"/>
      <c r="I306" s="552" t="n"/>
      <c r="J306" s="551" t="n"/>
      <c r="K306" s="486" t="inlineStr">
        <is>
          <t>50支/盒</t>
        </is>
      </c>
      <c r="L306" s="556" t="n">
        <v>2</v>
      </c>
      <c r="M306" s="123" t="inlineStr">
        <is>
          <t>MB3ME090009A</t>
        </is>
      </c>
      <c r="N306" s="117" t="n"/>
    </row>
    <row r="307" ht="17.25" customHeight="1" s="453" thickBot="1">
      <c r="A307" s="553">
        <f>IFERROR(LEFT(B307,7),"")</f>
        <v/>
      </c>
      <c r="B307" s="554">
        <f>"2025/08"&amp;D307</f>
        <v/>
      </c>
      <c r="C307" s="555" t="n">
        <v>74</v>
      </c>
      <c r="D307" s="486" t="inlineStr">
        <is>
          <t>站前11樓</t>
        </is>
      </c>
      <c r="E307" s="486" t="inlineStr">
        <is>
          <t>6190005</t>
        </is>
      </c>
      <c r="F307" s="551" t="n"/>
      <c r="G307" s="486" t="inlineStr">
        <is>
          <t>(V)氦氖針/ 支</t>
        </is>
      </c>
      <c r="H307" s="552" t="n"/>
      <c r="I307" s="552" t="n"/>
      <c r="J307" s="551" t="n"/>
      <c r="K307" s="486" t="inlineStr">
        <is>
          <t>(50支/包)</t>
        </is>
      </c>
      <c r="L307" s="556" t="n">
        <v>63</v>
      </c>
      <c r="M307" s="123" t="inlineStr">
        <is>
          <t>MM2MX070001A</t>
        </is>
      </c>
      <c r="N307" s="117" t="n"/>
    </row>
    <row r="308" ht="17.25" customHeight="1" s="453" thickBot="1">
      <c r="A308" s="553">
        <f>IFERROR(LEFT(B308,7),"")</f>
        <v/>
      </c>
      <c r="B308" s="554">
        <f>"2025/08"&amp;D308</f>
        <v/>
      </c>
      <c r="C308" s="555" t="n">
        <v>75</v>
      </c>
      <c r="D308" s="486" t="inlineStr">
        <is>
          <t>站前11樓</t>
        </is>
      </c>
      <c r="E308" s="486" t="inlineStr">
        <is>
          <t>6200001</t>
        </is>
      </c>
      <c r="F308" s="551" t="n"/>
      <c r="G308" s="486" t="inlineStr">
        <is>
          <t>(V)消脂針-善纖達*1支</t>
        </is>
      </c>
      <c r="H308" s="552" t="n"/>
      <c r="I308" s="552" t="n"/>
      <c r="J308" s="551" t="n"/>
      <c r="K308" s="486" t="inlineStr">
        <is>
          <t>支</t>
        </is>
      </c>
      <c r="L308" s="556" t="n">
        <v>12</v>
      </c>
      <c r="M308" s="123" t="n"/>
      <c r="N308" s="117" t="n"/>
    </row>
    <row r="309" ht="17.25" customHeight="1" s="453" thickBot="1">
      <c r="A309" s="553">
        <f>IFERROR(LEFT(B309,7),"")</f>
        <v/>
      </c>
      <c r="B309" s="554">
        <f>"2025/08"&amp;D309</f>
        <v/>
      </c>
      <c r="C309" s="555" t="n">
        <v>76</v>
      </c>
      <c r="D309" s="486" t="inlineStr">
        <is>
          <t>站前11樓</t>
        </is>
      </c>
      <c r="E309" s="486" t="inlineStr">
        <is>
          <t>6200004</t>
        </is>
      </c>
      <c r="F309" s="551" t="n"/>
      <c r="G309" s="486" t="inlineStr">
        <is>
          <t>阿爾發SAT卡匣/ 發</t>
        </is>
      </c>
      <c r="H309" s="552" t="n"/>
      <c r="I309" s="552" t="n"/>
      <c r="J309" s="551" t="n"/>
      <c r="K309" s="486" t="inlineStr">
        <is>
          <t>50發/卡</t>
        </is>
      </c>
      <c r="L309" s="556" t="n">
        <v>1188</v>
      </c>
      <c r="M309" s="123" t="inlineStr">
        <is>
          <t>MM2MC070001A</t>
        </is>
      </c>
      <c r="N309" s="117" t="n"/>
    </row>
    <row r="310" ht="17.25" customHeight="1" s="453" thickBot="1">
      <c r="A310" s="553">
        <f>IFERROR(LEFT(B310,7),"")</f>
        <v/>
      </c>
      <c r="B310" s="554">
        <f>"2025/08"&amp;D310</f>
        <v/>
      </c>
      <c r="C310" s="555" t="n">
        <v>77</v>
      </c>
      <c r="D310" s="486" t="inlineStr">
        <is>
          <t>站前11樓</t>
        </is>
      </c>
      <c r="E310" s="486" t="inlineStr">
        <is>
          <t>6200007</t>
        </is>
      </c>
      <c r="F310" s="551" t="n"/>
      <c r="G310" s="486" t="inlineStr">
        <is>
          <t>瘦瘦筆-針頭*1個</t>
        </is>
      </c>
      <c r="H310" s="552" t="n"/>
      <c r="I310" s="552" t="n"/>
      <c r="J310" s="551" t="n"/>
      <c r="K310" s="486" t="inlineStr">
        <is>
          <t>個</t>
        </is>
      </c>
      <c r="L310" s="556" t="n">
        <v>196</v>
      </c>
      <c r="M310" s="123" t="n"/>
      <c r="N310" s="117" t="n"/>
    </row>
    <row r="311" ht="17.25" customHeight="1" s="453" thickBot="1">
      <c r="A311" s="553">
        <f>IFERROR(LEFT(B311,7),"")</f>
        <v/>
      </c>
      <c r="B311" s="554">
        <f>"2025/08"&amp;D311</f>
        <v/>
      </c>
      <c r="C311" s="555" t="n">
        <v>78</v>
      </c>
      <c r="D311" s="486" t="inlineStr">
        <is>
          <t>站前11樓</t>
        </is>
      </c>
      <c r="E311" s="486" t="inlineStr">
        <is>
          <t>6200008</t>
        </is>
      </c>
      <c r="F311" s="551" t="n"/>
      <c r="G311" s="486" t="inlineStr">
        <is>
          <t>瘦瘦筆-週纖達*1支(0.25mg)</t>
        </is>
      </c>
      <c r="H311" s="552" t="n"/>
      <c r="I311" s="552" t="n"/>
      <c r="J311" s="551" t="n"/>
      <c r="K311" s="486" t="inlineStr">
        <is>
          <t>支</t>
        </is>
      </c>
      <c r="L311" s="556" t="n">
        <v>7</v>
      </c>
      <c r="M311" s="123" t="inlineStr">
        <is>
          <t>MB3ME110003A</t>
        </is>
      </c>
      <c r="N311" s="117" t="n"/>
    </row>
    <row r="312" ht="17.25" customHeight="1" s="453" thickBot="1">
      <c r="A312" s="553">
        <f>IFERROR(LEFT(B312,7),"")</f>
        <v/>
      </c>
      <c r="B312" s="554">
        <f>"2025/08"&amp;D312</f>
        <v/>
      </c>
      <c r="C312" s="555" t="n">
        <v>79</v>
      </c>
      <c r="D312" s="486" t="inlineStr">
        <is>
          <t>站前11樓</t>
        </is>
      </c>
      <c r="E312" s="486" t="inlineStr">
        <is>
          <t>6200010</t>
        </is>
      </c>
      <c r="F312" s="551" t="n"/>
      <c r="G312" s="486" t="inlineStr">
        <is>
          <t>瘦瘦筆-週纖達*1支(1.0mg)</t>
        </is>
      </c>
      <c r="H312" s="552" t="n"/>
      <c r="I312" s="552" t="n"/>
      <c r="J312" s="551" t="n"/>
      <c r="K312" s="486" t="inlineStr">
        <is>
          <t>支</t>
        </is>
      </c>
      <c r="L312" s="556" t="n">
        <v>4</v>
      </c>
      <c r="M312" s="123" t="inlineStr">
        <is>
          <t>MB3ME110005A</t>
        </is>
      </c>
      <c r="N312" s="117" t="n"/>
    </row>
    <row r="313" ht="17.25" customHeight="1" s="453" thickBot="1">
      <c r="A313" s="553">
        <f>IFERROR(LEFT(B313,7),"")</f>
        <v/>
      </c>
      <c r="B313" s="554">
        <f>"2025/08"&amp;D313</f>
        <v/>
      </c>
      <c r="C313" s="555" t="n">
        <v>80</v>
      </c>
      <c r="D313" s="486" t="inlineStr">
        <is>
          <t>站前11樓</t>
        </is>
      </c>
      <c r="E313" s="486" t="inlineStr">
        <is>
          <t>6200013</t>
        </is>
      </c>
      <c r="F313" s="551" t="n"/>
      <c r="G313" s="486" t="inlineStr">
        <is>
          <t>(V)猛健樂*1支(2.5mg)</t>
        </is>
      </c>
      <c r="H313" s="552" t="n"/>
      <c r="I313" s="552" t="n"/>
      <c r="J313" s="551" t="n"/>
      <c r="K313" s="486" t="inlineStr">
        <is>
          <t>支</t>
        </is>
      </c>
      <c r="L313" s="556" t="n">
        <v>24</v>
      </c>
      <c r="M313" s="123" t="inlineStr">
        <is>
          <t>MB3ME110008A</t>
        </is>
      </c>
      <c r="N313" s="117" t="n"/>
    </row>
    <row r="314" ht="17.25" customHeight="1" s="453" thickBot="1">
      <c r="A314" s="553">
        <f>IFERROR(LEFT(B314,7),"")</f>
        <v/>
      </c>
      <c r="B314" s="554">
        <f>"2025/08"&amp;D314</f>
        <v/>
      </c>
      <c r="C314" s="555" t="n">
        <v>81</v>
      </c>
      <c r="D314" s="486" t="inlineStr">
        <is>
          <t>站前11樓</t>
        </is>
      </c>
      <c r="E314" s="486" t="inlineStr">
        <is>
          <t>6200014</t>
        </is>
      </c>
      <c r="F314" s="551" t="n"/>
      <c r="G314" s="486" t="inlineStr">
        <is>
          <t>(V)猛健樂*1支(5mg)</t>
        </is>
      </c>
      <c r="H314" s="552" t="n"/>
      <c r="I314" s="552" t="n"/>
      <c r="J314" s="551" t="n"/>
      <c r="K314" s="486" t="inlineStr">
        <is>
          <t>支</t>
        </is>
      </c>
      <c r="L314" s="556" t="n">
        <v>14</v>
      </c>
      <c r="M314" s="123" t="inlineStr">
        <is>
          <t>MB3ME110009A</t>
        </is>
      </c>
      <c r="N314" s="117" t="n"/>
    </row>
    <row r="315" ht="17.25" customHeight="1" s="453" thickBot="1">
      <c r="A315" s="553">
        <f>IFERROR(LEFT(B315,7),"")</f>
        <v/>
      </c>
      <c r="B315" s="554">
        <f>"2025/08"&amp;D315</f>
        <v/>
      </c>
      <c r="C315" s="555" t="n">
        <v>82</v>
      </c>
      <c r="D315" s="486" t="inlineStr">
        <is>
          <t>站前11樓</t>
        </is>
      </c>
      <c r="E315" s="486" t="inlineStr">
        <is>
          <t>6200016</t>
        </is>
      </c>
      <c r="F315" s="551" t="n"/>
      <c r="G315" s="486" t="inlineStr">
        <is>
          <t>(V)猛健樂*1支(10mg)</t>
        </is>
      </c>
      <c r="H315" s="552" t="n"/>
      <c r="I315" s="552" t="n"/>
      <c r="J315" s="551" t="n"/>
      <c r="K315" s="486" t="inlineStr">
        <is>
          <t>支</t>
        </is>
      </c>
      <c r="L315" s="556" t="n">
        <v>11</v>
      </c>
      <c r="M315" s="123" t="inlineStr">
        <is>
          <t>MB3ME110011A</t>
        </is>
      </c>
      <c r="N315" s="117" t="n"/>
    </row>
    <row r="316" ht="17.25" customHeight="1" s="453" thickBot="1">
      <c r="A316" s="553">
        <f>IFERROR(LEFT(B316,7),"")</f>
        <v/>
      </c>
      <c r="B316" s="554">
        <f>"2025/08"&amp;D316</f>
        <v/>
      </c>
      <c r="C316" s="555" t="n">
        <v>83</v>
      </c>
      <c r="D316" s="486" t="inlineStr">
        <is>
          <t>忠孝7樓</t>
        </is>
      </c>
      <c r="E316" s="486" t="inlineStr">
        <is>
          <t>6120004</t>
        </is>
      </c>
      <c r="F316" s="551" t="n"/>
      <c r="G316" s="486" t="inlineStr">
        <is>
          <t>(V)胺基酸點滴250ml/ 袋(安命活源/嘉安命)，20倍數叫貨</t>
        </is>
      </c>
      <c r="H316" s="552" t="n"/>
      <c r="I316" s="552" t="n"/>
      <c r="J316" s="551" t="n"/>
      <c r="K316" s="486" t="inlineStr">
        <is>
          <t>(20瓶/箱)</t>
        </is>
      </c>
      <c r="L316" s="556" t="n">
        <v>2</v>
      </c>
      <c r="M316" s="123" t="inlineStr">
        <is>
          <t>MB3ME090006A</t>
        </is>
      </c>
      <c r="N316" s="117" t="n"/>
    </row>
    <row r="317" ht="17.25" customHeight="1" s="453" thickBot="1">
      <c r="A317" s="553">
        <f>IFERROR(LEFT(B317,7),"")</f>
        <v/>
      </c>
      <c r="B317" s="554">
        <f>"2025/08"&amp;D317</f>
        <v/>
      </c>
      <c r="C317" s="555" t="n">
        <v>84</v>
      </c>
      <c r="D317" s="486" t="inlineStr">
        <is>
          <t>忠孝7樓</t>
        </is>
      </c>
      <c r="E317" s="486" t="inlineStr">
        <is>
          <t>6120013</t>
        </is>
      </c>
      <c r="F317" s="551" t="n"/>
      <c r="G317" s="486" t="inlineStr">
        <is>
          <t>(V)生理食鹽水(NS) 250ml/ 袋</t>
        </is>
      </c>
      <c r="H317" s="552" t="n"/>
      <c r="I317" s="552" t="n"/>
      <c r="J317" s="551" t="n"/>
      <c r="K317" s="486" t="inlineStr">
        <is>
          <t>55瓶/箱</t>
        </is>
      </c>
      <c r="L317" s="556" t="n">
        <v>234</v>
      </c>
      <c r="M317" s="123" t="inlineStr">
        <is>
          <t>MB3ME090008A</t>
        </is>
      </c>
      <c r="N317" s="117" t="n"/>
    </row>
    <row r="318" ht="17.25" customHeight="1" s="453" thickBot="1">
      <c r="A318" s="553">
        <f>IFERROR(LEFT(B318,7),"")</f>
        <v/>
      </c>
      <c r="B318" s="554">
        <f>"2025/08"&amp;D318</f>
        <v/>
      </c>
      <c r="C318" s="555" t="n">
        <v>85</v>
      </c>
      <c r="D318" s="486" t="inlineStr">
        <is>
          <t>忠孝7樓</t>
        </is>
      </c>
      <c r="E318" s="486" t="inlineStr">
        <is>
          <t>6120015</t>
        </is>
      </c>
      <c r="F318" s="551" t="n"/>
      <c r="G318" s="486" t="inlineStr">
        <is>
          <t>(V)(B群)淘能美複合維他命B 2ml，100倍數叫貨</t>
        </is>
      </c>
      <c r="H318" s="552" t="n"/>
      <c r="I318" s="552" t="n"/>
      <c r="J318" s="551" t="n"/>
      <c r="K318" s="486" t="n"/>
      <c r="L318" s="556" t="n">
        <v>233</v>
      </c>
      <c r="M318" s="123" t="inlineStr">
        <is>
          <t>MB3ME090014A</t>
        </is>
      </c>
      <c r="N318" s="117" t="n"/>
    </row>
    <row r="319" ht="17.25" customHeight="1" s="453" thickBot="1">
      <c r="A319" s="553">
        <f>IFERROR(LEFT(B319,7),"")</f>
        <v/>
      </c>
      <c r="B319" s="554">
        <f>"2025/08"&amp;D319</f>
        <v/>
      </c>
      <c r="C319" s="555" t="n">
        <v>86</v>
      </c>
      <c r="D319" s="486" t="inlineStr">
        <is>
          <t>忠孝7樓</t>
        </is>
      </c>
      <c r="E319" s="486" t="inlineStr">
        <is>
          <t>6120016</t>
        </is>
      </c>
      <c r="F319" s="551" t="n"/>
      <c r="G319" s="486" t="inlineStr">
        <is>
          <t>(V)(榖胱肝肽) 克樂達養200mg (20ml/瓶)</t>
        </is>
      </c>
      <c r="H319" s="552" t="n"/>
      <c r="I319" s="552" t="n"/>
      <c r="J319" s="551" t="n"/>
      <c r="K319" s="486" t="inlineStr">
        <is>
          <t>50支/盒</t>
        </is>
      </c>
      <c r="L319" s="556" t="n">
        <v>233</v>
      </c>
      <c r="M319" s="123" t="inlineStr">
        <is>
          <t>MB3ME090015A</t>
        </is>
      </c>
      <c r="N319" s="117" t="n"/>
    </row>
    <row r="320" ht="17.25" customHeight="1" s="453" thickBot="1">
      <c r="A320" s="553">
        <f>IFERROR(LEFT(B320,7),"")</f>
        <v/>
      </c>
      <c r="B320" s="554">
        <f>"2025/08"&amp;D320</f>
        <v/>
      </c>
      <c r="C320" s="555" t="n">
        <v>87</v>
      </c>
      <c r="D320" s="486" t="inlineStr">
        <is>
          <t>忠孝7樓</t>
        </is>
      </c>
      <c r="E320" s="486" t="inlineStr">
        <is>
          <t>6120018</t>
        </is>
      </c>
      <c r="F320" s="551" t="n"/>
      <c r="G320" s="486" t="inlineStr">
        <is>
          <t>(V)(傳明酸)止血明 5ml/支</t>
        </is>
      </c>
      <c r="H320" s="552" t="n"/>
      <c r="I320" s="552" t="n"/>
      <c r="J320" s="551" t="n"/>
      <c r="K320" s="486" t="inlineStr">
        <is>
          <t>50支/盒</t>
        </is>
      </c>
      <c r="L320" s="556" t="n">
        <v>10</v>
      </c>
      <c r="M320" s="123" t="inlineStr">
        <is>
          <t>MB3ME090023A</t>
        </is>
      </c>
      <c r="N320" s="117" t="n"/>
    </row>
    <row r="321" ht="17.25" customHeight="1" s="453" thickBot="1">
      <c r="A321" s="553">
        <f>IFERROR(LEFT(B321,7),"")</f>
        <v/>
      </c>
      <c r="B321" s="554">
        <f>"2025/08"&amp;D321</f>
        <v/>
      </c>
      <c r="C321" s="555" t="n">
        <v>88</v>
      </c>
      <c r="D321" s="486" t="inlineStr">
        <is>
          <t>忠孝7樓</t>
        </is>
      </c>
      <c r="E321" s="486" t="inlineStr">
        <is>
          <t>6120020</t>
        </is>
      </c>
      <c r="F321" s="551" t="n"/>
      <c r="G321" s="486" t="inlineStr">
        <is>
          <t>(V)(Vit C) 抗壞血酸 2mL，100倍數下單</t>
        </is>
      </c>
      <c r="H321" s="552" t="n"/>
      <c r="I321" s="552" t="n"/>
      <c r="J321" s="551" t="n"/>
      <c r="K321" s="486" t="inlineStr">
        <is>
          <t>100支/盒</t>
        </is>
      </c>
      <c r="L321" s="556" t="n">
        <v>84</v>
      </c>
      <c r="M321" s="123" t="inlineStr">
        <is>
          <t>MB3ME090010A</t>
        </is>
      </c>
      <c r="N321" s="117" t="n"/>
    </row>
    <row r="322" ht="17.25" customHeight="1" s="453" thickBot="1">
      <c r="A322" s="553">
        <f>IFERROR(LEFT(B322,7),"")</f>
        <v/>
      </c>
      <c r="B322" s="554">
        <f>"2025/08"&amp;D322</f>
        <v/>
      </c>
      <c r="C322" s="555" t="n">
        <v>89</v>
      </c>
      <c r="D322" s="486" t="inlineStr">
        <is>
          <t>忠孝7樓</t>
        </is>
      </c>
      <c r="E322" s="486" t="inlineStr">
        <is>
          <t>6120021</t>
        </is>
      </c>
      <c r="F322" s="551" t="n"/>
      <c r="G322" s="486" t="inlineStr">
        <is>
          <t>(V)(Vit C)(抗壞血酸/諾貝爾)20ml，50倍數下單</t>
        </is>
      </c>
      <c r="H322" s="552" t="n"/>
      <c r="I322" s="552" t="n"/>
      <c r="J322" s="551" t="n"/>
      <c r="K322" s="486" t="inlineStr">
        <is>
          <t>50支/盒</t>
        </is>
      </c>
      <c r="L322" s="556" t="n">
        <v>235</v>
      </c>
      <c r="M322" s="123" t="inlineStr">
        <is>
          <t>MB3ME090009A</t>
        </is>
      </c>
      <c r="N322" s="117" t="n"/>
    </row>
    <row r="323" ht="17.25" customHeight="1" s="453" thickBot="1">
      <c r="A323" s="553">
        <f>IFERROR(LEFT(B323,7),"")</f>
        <v/>
      </c>
      <c r="B323" s="554">
        <f>"2025/08"&amp;D323</f>
        <v/>
      </c>
      <c r="C323" s="555" t="n">
        <v>90</v>
      </c>
      <c r="D323" s="486" t="inlineStr">
        <is>
          <t>忠孝7樓</t>
        </is>
      </c>
      <c r="E323" s="486" t="inlineStr">
        <is>
          <t>6120030</t>
        </is>
      </c>
      <c r="F323" s="551" t="n"/>
      <c r="G323" s="486" t="inlineStr">
        <is>
          <t>(V)克多炎 Keto 1ml</t>
        </is>
      </c>
      <c r="H323" s="552" t="n"/>
      <c r="I323" s="552" t="n"/>
      <c r="J323" s="551" t="n"/>
      <c r="K323" s="486" t="inlineStr">
        <is>
          <t>100支/盒</t>
        </is>
      </c>
      <c r="L323" s="556" t="n">
        <v>3</v>
      </c>
      <c r="M323" s="123" t="inlineStr">
        <is>
          <t>MB3ME090030A</t>
        </is>
      </c>
      <c r="N323" s="117" t="n"/>
    </row>
    <row r="324" ht="17.25" customHeight="1" s="453" thickBot="1">
      <c r="A324" s="553">
        <f>IFERROR(LEFT(B324,7),"")</f>
        <v/>
      </c>
      <c r="B324" s="554">
        <f>"2025/08"&amp;D324</f>
        <v/>
      </c>
      <c r="C324" s="555" t="n">
        <v>91</v>
      </c>
      <c r="D324" s="486" t="inlineStr">
        <is>
          <t>忠孝7樓</t>
        </is>
      </c>
      <c r="E324" s="486" t="inlineStr">
        <is>
          <t>6140001</t>
        </is>
      </c>
      <c r="F324" s="551" t="n"/>
      <c r="G324" s="486" t="inlineStr">
        <is>
          <t>(V)保妥適Botox/ u</t>
        </is>
      </c>
      <c r="H324" s="552" t="n"/>
      <c r="I324" s="552" t="n"/>
      <c r="J324" s="551" t="n"/>
      <c r="K324" s="486" t="inlineStr">
        <is>
          <t>u</t>
        </is>
      </c>
      <c r="L324" s="556" t="n">
        <v>3321</v>
      </c>
      <c r="M324" s="123" t="inlineStr">
        <is>
          <t>MB3ME100001A</t>
        </is>
      </c>
      <c r="N324" s="117" t="n"/>
    </row>
    <row r="325" ht="17.25" customHeight="1" s="453" thickBot="1">
      <c r="A325" s="553">
        <f>IFERROR(LEFT(B325,7),"")</f>
        <v/>
      </c>
      <c r="B325" s="554">
        <f>"2025/08"&amp;D325</f>
        <v/>
      </c>
      <c r="C325" s="555" t="n">
        <v>92</v>
      </c>
      <c r="D325" s="486" t="inlineStr">
        <is>
          <t>忠孝7樓</t>
        </is>
      </c>
      <c r="E325" s="486" t="inlineStr">
        <is>
          <t>6140003</t>
        </is>
      </c>
      <c r="F325" s="551" t="n"/>
      <c r="G325" s="486" t="inlineStr">
        <is>
          <t>(V)保提拉肉毒Letybo/ u</t>
        </is>
      </c>
      <c r="H325" s="552" t="n"/>
      <c r="I325" s="552" t="n"/>
      <c r="J325" s="551" t="n"/>
      <c r="K325" s="486" t="inlineStr">
        <is>
          <t>u</t>
        </is>
      </c>
      <c r="L325" s="556" t="n">
        <v>2709</v>
      </c>
      <c r="M325" s="123" t="inlineStr">
        <is>
          <t>MB3ME100002A</t>
        </is>
      </c>
      <c r="N325" s="117" t="n"/>
    </row>
    <row r="326" ht="17.25" customHeight="1" s="453" thickBot="1">
      <c r="A326" s="553">
        <f>IFERROR(LEFT(B326,7),"")</f>
        <v/>
      </c>
      <c r="B326" s="554">
        <f>"2025/08"&amp;D326</f>
        <v/>
      </c>
      <c r="C326" s="555" t="n">
        <v>93</v>
      </c>
      <c r="D326" s="486" t="inlineStr">
        <is>
          <t>忠孝7樓</t>
        </is>
      </c>
      <c r="E326" s="486" t="inlineStr">
        <is>
          <t>6140005</t>
        </is>
      </c>
      <c r="F326" s="551" t="n"/>
      <c r="G326" s="486" t="inlineStr">
        <is>
          <t>(V)奇肌肉毒/ u</t>
        </is>
      </c>
      <c r="H326" s="552" t="n"/>
      <c r="I326" s="552" t="n"/>
      <c r="J326" s="551" t="n"/>
      <c r="K326" s="486" t="inlineStr">
        <is>
          <t>u</t>
        </is>
      </c>
      <c r="L326" s="556" t="n">
        <v>2105</v>
      </c>
      <c r="M326" s="123" t="inlineStr">
        <is>
          <t>MB3ME100003A</t>
        </is>
      </c>
      <c r="N326" s="117" t="n"/>
    </row>
    <row r="327" ht="17.25" customHeight="1" s="453" thickBot="1">
      <c r="A327" s="553">
        <f>IFERROR(LEFT(B327,7),"")</f>
        <v/>
      </c>
      <c r="B327" s="554">
        <f>"2025/08"&amp;D327</f>
        <v/>
      </c>
      <c r="C327" s="555" t="n">
        <v>94</v>
      </c>
      <c r="D327" s="486" t="inlineStr">
        <is>
          <t>忠孝7樓</t>
        </is>
      </c>
      <c r="E327" s="486" t="inlineStr">
        <is>
          <t>6150001</t>
        </is>
      </c>
      <c r="F327" s="551" t="n"/>
      <c r="G327" s="486" t="inlineStr">
        <is>
          <t>(V)喬雅登-豐麗緹玻尿酸植入物Voluma 1ml</t>
        </is>
      </c>
      <c r="H327" s="552" t="n"/>
      <c r="I327" s="552" t="n"/>
      <c r="J327" s="551" t="n"/>
      <c r="K327" s="486" t="inlineStr">
        <is>
          <t>1ml(2ml/盒)</t>
        </is>
      </c>
      <c r="L327" s="556" t="n">
        <v>76</v>
      </c>
      <c r="M327" s="123" t="inlineStr">
        <is>
          <t>MP1MA020019A</t>
        </is>
      </c>
      <c r="N327" s="117" t="n"/>
    </row>
    <row r="328" ht="17.25" customHeight="1" s="453" thickBot="1">
      <c r="A328" s="553">
        <f>IFERROR(LEFT(B328,7),"")</f>
        <v/>
      </c>
      <c r="B328" s="554">
        <f>"2025/08"&amp;D328</f>
        <v/>
      </c>
      <c r="C328" s="555" t="n">
        <v>95</v>
      </c>
      <c r="D328" s="486" t="inlineStr">
        <is>
          <t>忠孝7樓</t>
        </is>
      </c>
      <c r="E328" s="486" t="inlineStr">
        <is>
          <t>6150002</t>
        </is>
      </c>
      <c r="F328" s="551" t="n"/>
      <c r="G328" s="486" t="inlineStr">
        <is>
          <t>(V)喬雅登-夢蓓菈玻尿酸植入物Volbella 1ml</t>
        </is>
      </c>
      <c r="H328" s="552" t="n"/>
      <c r="I328" s="552" t="n"/>
      <c r="J328" s="551" t="n"/>
      <c r="K328" s="486" t="inlineStr">
        <is>
          <t>1ml(2ml/盒)</t>
        </is>
      </c>
      <c r="L328" s="556" t="n">
        <v>3</v>
      </c>
      <c r="M328" s="123" t="inlineStr">
        <is>
          <t>MP1MA020020A</t>
        </is>
      </c>
      <c r="N328" s="117" t="n"/>
    </row>
    <row r="329" ht="17.25" customHeight="1" s="453" thickBot="1">
      <c r="A329" s="553">
        <f>IFERROR(LEFT(B329,7),"")</f>
        <v/>
      </c>
      <c r="B329" s="554">
        <f>"2025/08"&amp;D329</f>
        <v/>
      </c>
      <c r="C329" s="555" t="n">
        <v>96</v>
      </c>
      <c r="D329" s="486" t="inlineStr">
        <is>
          <t>忠孝7樓</t>
        </is>
      </c>
      <c r="E329" s="486" t="inlineStr">
        <is>
          <t>6150003</t>
        </is>
      </c>
      <c r="F329" s="551" t="n"/>
      <c r="G329" s="486" t="inlineStr">
        <is>
          <t>(V)喬雅登-豐麗緹玻尿酸植入物Volift 1ml</t>
        </is>
      </c>
      <c r="H329" s="552" t="n"/>
      <c r="I329" s="552" t="n"/>
      <c r="J329" s="551" t="n"/>
      <c r="K329" s="486" t="inlineStr">
        <is>
          <t>1ml(2ml/盒)</t>
        </is>
      </c>
      <c r="L329" s="556" t="n">
        <v>1</v>
      </c>
      <c r="M329" s="123" t="inlineStr">
        <is>
          <t>MP1MA020021A</t>
        </is>
      </c>
      <c r="N329" s="117" t="n"/>
    </row>
    <row r="330" ht="17.25" customHeight="1" s="453" thickBot="1">
      <c r="A330" s="553">
        <f>IFERROR(LEFT(B330,7),"")</f>
        <v/>
      </c>
      <c r="B330" s="554">
        <f>"2025/08"&amp;D330</f>
        <v/>
      </c>
      <c r="C330" s="555" t="n">
        <v>97</v>
      </c>
      <c r="D330" s="486" t="inlineStr">
        <is>
          <t>忠孝7樓</t>
        </is>
      </c>
      <c r="E330" s="486" t="inlineStr">
        <is>
          <t>6150004</t>
        </is>
      </c>
      <c r="F330" s="551" t="n"/>
      <c r="G330" s="486" t="inlineStr">
        <is>
          <t>(V)喬雅登-豐塑玻尿酸植入物Volux 1ml</t>
        </is>
      </c>
      <c r="H330" s="552" t="n"/>
      <c r="I330" s="552" t="n"/>
      <c r="J330" s="551" t="n"/>
      <c r="K330" s="486" t="inlineStr">
        <is>
          <t>1ml(2ml/盒)</t>
        </is>
      </c>
      <c r="L330" s="556" t="n">
        <v>39</v>
      </c>
      <c r="M330" s="123" t="inlineStr">
        <is>
          <t>MP1MA020022A</t>
        </is>
      </c>
      <c r="N330" s="117" t="n"/>
    </row>
    <row r="331" ht="17.25" customHeight="1" s="453" thickBot="1">
      <c r="A331" s="553">
        <f>IFERROR(LEFT(B331,7),"")</f>
        <v/>
      </c>
      <c r="B331" s="554">
        <f>"2025/08"&amp;D331</f>
        <v/>
      </c>
      <c r="C331" s="555" t="n">
        <v>98</v>
      </c>
      <c r="D331" s="486" t="inlineStr">
        <is>
          <t>忠孝7樓</t>
        </is>
      </c>
      <c r="E331" s="486" t="inlineStr">
        <is>
          <t>6150005</t>
        </is>
      </c>
      <c r="F331" s="551" t="n"/>
      <c r="G331" s="486" t="inlineStr">
        <is>
          <t>(V)喬雅登-芙潤玻尿酸植入物Volite 1ml</t>
        </is>
      </c>
      <c r="H331" s="552" t="n"/>
      <c r="I331" s="552" t="n"/>
      <c r="J331" s="551" t="n"/>
      <c r="K331" s="486" t="inlineStr">
        <is>
          <t>1ml(2ml/盒)</t>
        </is>
      </c>
      <c r="L331" s="556" t="n">
        <v>4</v>
      </c>
      <c r="M331" s="123" t="inlineStr">
        <is>
          <t>MP1MA020023A</t>
        </is>
      </c>
      <c r="N331" s="117" t="n"/>
    </row>
    <row r="332" ht="17.25" customHeight="1" s="453" thickBot="1">
      <c r="A332" s="553">
        <f>IFERROR(LEFT(B332,7),"")</f>
        <v/>
      </c>
      <c r="B332" s="554">
        <f>"2025/08"&amp;D332</f>
        <v/>
      </c>
      <c r="C332" s="555" t="n">
        <v>99</v>
      </c>
      <c r="D332" s="486" t="inlineStr">
        <is>
          <t>忠孝7樓</t>
        </is>
      </c>
      <c r="E332" s="486" t="inlineStr">
        <is>
          <t>6150010</t>
        </is>
      </c>
      <c r="F332" s="551" t="n"/>
      <c r="G332" s="486" t="inlineStr">
        <is>
          <t>(V)仙女玻尿酸大分子 1ml</t>
        </is>
      </c>
      <c r="H332" s="552" t="n"/>
      <c r="I332" s="552" t="n"/>
      <c r="J332" s="551" t="n"/>
      <c r="K332" s="486" t="inlineStr">
        <is>
          <t>1ml(1ml/盒)</t>
        </is>
      </c>
      <c r="L332" s="556" t="n">
        <v>71</v>
      </c>
      <c r="M332" s="123" t="inlineStr">
        <is>
          <t>MP1MA020014A</t>
        </is>
      </c>
      <c r="N332" s="117" t="n"/>
    </row>
    <row r="333" ht="17.25" customHeight="1" s="453" thickBot="1">
      <c r="A333" s="553">
        <f>IFERROR(LEFT(B333,7),"")</f>
        <v/>
      </c>
      <c r="B333" s="554">
        <f>"2025/08"&amp;D333</f>
        <v/>
      </c>
      <c r="C333" s="555" t="n">
        <v>100</v>
      </c>
      <c r="D333" s="486" t="inlineStr">
        <is>
          <t>忠孝7樓</t>
        </is>
      </c>
      <c r="E333" s="486" t="inlineStr">
        <is>
          <t>6150011</t>
        </is>
      </c>
      <c r="F333" s="551" t="n"/>
      <c r="G333" s="486" t="inlineStr">
        <is>
          <t>(V)仙女玻尿酸小分子 1ml</t>
        </is>
      </c>
      <c r="H333" s="552" t="n"/>
      <c r="I333" s="552" t="n"/>
      <c r="J333" s="551" t="n"/>
      <c r="K333" s="486" t="inlineStr">
        <is>
          <t>1ml(1ml/盒)</t>
        </is>
      </c>
      <c r="L333" s="556" t="n">
        <v>10</v>
      </c>
      <c r="M333" s="123" t="inlineStr">
        <is>
          <t>MP1MA020018A</t>
        </is>
      </c>
      <c r="N333" s="117" t="n"/>
    </row>
    <row r="334" ht="17.25" customHeight="1" s="453" thickBot="1">
      <c r="A334" s="553">
        <f>IFERROR(LEFT(B334,7),"")</f>
        <v/>
      </c>
      <c r="B334" s="554">
        <f>"2025/08"&amp;D334</f>
        <v/>
      </c>
      <c r="C334" s="555" t="n">
        <v>101</v>
      </c>
      <c r="D334" s="486" t="inlineStr">
        <is>
          <t>忠孝7樓</t>
        </is>
      </c>
      <c r="E334" s="486" t="inlineStr">
        <is>
          <t>6150013</t>
        </is>
      </c>
      <c r="F334" s="551" t="n"/>
      <c r="G334" s="486" t="inlineStr">
        <is>
          <t>(V)逆時針(璞菲洛)2cc</t>
        </is>
      </c>
      <c r="H334" s="552" t="n"/>
      <c r="I334" s="552" t="n"/>
      <c r="J334" s="551" t="n"/>
      <c r="K334" s="486" t="inlineStr">
        <is>
          <t>1ml(1ml/盒)</t>
        </is>
      </c>
      <c r="L334" s="556" t="n">
        <v>3</v>
      </c>
      <c r="M334" s="123" t="inlineStr">
        <is>
          <t>MP1MA020029A</t>
        </is>
      </c>
      <c r="N334" s="117" t="n"/>
    </row>
    <row r="335" ht="17.25" customHeight="1" s="453" thickBot="1">
      <c r="A335" s="553">
        <f>IFERROR(LEFT(B335,7),"")</f>
        <v/>
      </c>
      <c r="B335" s="554">
        <f>"2025/08"&amp;D335</f>
        <v/>
      </c>
      <c r="C335" s="555" t="n">
        <v>102</v>
      </c>
      <c r="D335" s="486" t="inlineStr">
        <is>
          <t>忠孝7樓</t>
        </is>
      </c>
      <c r="E335" s="486" t="inlineStr">
        <is>
          <t>6160002</t>
        </is>
      </c>
      <c r="F335" s="551" t="n"/>
      <c r="G335" s="486" t="inlineStr">
        <is>
          <t>(V)洢蓮絲植入劑ELLANSÉ-S 1ml</t>
        </is>
      </c>
      <c r="H335" s="552" t="n"/>
      <c r="I335" s="552" t="n"/>
      <c r="J335" s="551" t="n"/>
      <c r="K335" s="486" t="inlineStr">
        <is>
          <t>1ml(2ml/盒)</t>
        </is>
      </c>
      <c r="L335" s="556" t="n">
        <v>102</v>
      </c>
      <c r="M335" s="123" t="inlineStr">
        <is>
          <t>MP1MA020024A</t>
        </is>
      </c>
      <c r="N335" s="117" t="n"/>
    </row>
    <row r="336" ht="17.25" customHeight="1" s="453" thickBot="1">
      <c r="A336" s="553">
        <f>IFERROR(LEFT(B336,7),"")</f>
        <v/>
      </c>
      <c r="B336" s="554">
        <f>"2025/08"&amp;D336</f>
        <v/>
      </c>
      <c r="C336" s="555" t="n">
        <v>103</v>
      </c>
      <c r="D336" s="486" t="inlineStr">
        <is>
          <t>忠孝7樓</t>
        </is>
      </c>
      <c r="E336" s="486" t="inlineStr">
        <is>
          <t>6160003</t>
        </is>
      </c>
      <c r="F336" s="551" t="n"/>
      <c r="G336" s="486" t="inlineStr">
        <is>
          <t>(V)洢蓮絲植入劑ELLANSÉ-M 1ml</t>
        </is>
      </c>
      <c r="H336" s="552" t="n"/>
      <c r="I336" s="552" t="n"/>
      <c r="J336" s="551" t="n"/>
      <c r="K336" s="486" t="inlineStr">
        <is>
          <t>1ml(2ml/盒)</t>
        </is>
      </c>
      <c r="L336" s="556" t="n">
        <v>31</v>
      </c>
      <c r="M336" s="123" t="inlineStr">
        <is>
          <t>MP1MA020025A</t>
        </is>
      </c>
      <c r="N336" s="117" t="n"/>
    </row>
    <row r="337" ht="17.25" customHeight="1" s="453" thickBot="1">
      <c r="A337" s="553">
        <f>IFERROR(LEFT(B337,7),"")</f>
        <v/>
      </c>
      <c r="B337" s="554">
        <f>"2025/08"&amp;D337</f>
        <v/>
      </c>
      <c r="C337" s="555" t="n">
        <v>104</v>
      </c>
      <c r="D337" s="486" t="inlineStr">
        <is>
          <t>忠孝7樓</t>
        </is>
      </c>
      <c r="E337" s="486" t="inlineStr">
        <is>
          <t>6160005</t>
        </is>
      </c>
      <c r="F337" s="551" t="n"/>
      <c r="G337" s="486" t="inlineStr">
        <is>
          <t>(V)双美熊貓針</t>
        </is>
      </c>
      <c r="H337" s="552" t="n"/>
      <c r="I337" s="552" t="n"/>
      <c r="J337" s="551" t="n"/>
      <c r="K337" s="486" t="inlineStr">
        <is>
          <t>(1ml/盒)</t>
        </is>
      </c>
      <c r="L337" s="556" t="n">
        <v>4</v>
      </c>
      <c r="M337" s="123" t="inlineStr">
        <is>
          <t>MP1MA020015A</t>
        </is>
      </c>
      <c r="N337" s="117" t="n"/>
    </row>
    <row r="338" ht="17.25" customHeight="1" s="453" thickBot="1">
      <c r="A338" s="553">
        <f>IFERROR(LEFT(B338,7),"")</f>
        <v/>
      </c>
      <c r="B338" s="554">
        <f>"2025/08"&amp;D338</f>
        <v/>
      </c>
      <c r="C338" s="555" t="n">
        <v>105</v>
      </c>
      <c r="D338" s="486" t="inlineStr">
        <is>
          <t>忠孝7樓</t>
        </is>
      </c>
      <c r="E338" s="486" t="inlineStr">
        <is>
          <t>6160008</t>
        </is>
      </c>
      <c r="F338" s="551" t="n"/>
      <c r="G338" s="486" t="inlineStr">
        <is>
          <t>白童針-薇貝拉50mg/1cc</t>
        </is>
      </c>
      <c r="H338" s="552" t="n"/>
      <c r="I338" s="552" t="n"/>
      <c r="J338" s="551" t="n"/>
      <c r="K338" s="486" t="inlineStr">
        <is>
          <t>6cc/瓶</t>
        </is>
      </c>
      <c r="L338" s="556" t="n">
        <v>10</v>
      </c>
      <c r="M338" s="123" t="inlineStr">
        <is>
          <t>MP1MA020032A</t>
        </is>
      </c>
      <c r="N338" s="117" t="n"/>
    </row>
    <row r="339" ht="17.25" customHeight="1" s="453" thickBot="1">
      <c r="A339" s="553">
        <f>IFERROR(LEFT(B339,7),"")</f>
        <v/>
      </c>
      <c r="B339" s="554">
        <f>"2025/08"&amp;D339</f>
        <v/>
      </c>
      <c r="C339" s="555" t="n">
        <v>106</v>
      </c>
      <c r="D339" s="486" t="inlineStr">
        <is>
          <t>忠孝7樓</t>
        </is>
      </c>
      <c r="E339" s="486" t="inlineStr">
        <is>
          <t>6160009</t>
        </is>
      </c>
      <c r="F339" s="551" t="n"/>
      <c r="G339" s="486" t="inlineStr">
        <is>
          <t>黑童針-薇貝拉200mg/1cc</t>
        </is>
      </c>
      <c r="H339" s="552" t="n"/>
      <c r="I339" s="552" t="n"/>
      <c r="J339" s="551" t="n"/>
      <c r="K339" s="486" t="inlineStr">
        <is>
          <t>8cc/瓶</t>
        </is>
      </c>
      <c r="L339" s="556" t="n">
        <v>6</v>
      </c>
      <c r="M339" s="123" t="inlineStr">
        <is>
          <t>MP1MA020033A</t>
        </is>
      </c>
      <c r="N339" s="117" t="n"/>
    </row>
    <row r="340" ht="17.25" customHeight="1" s="453" thickBot="1">
      <c r="A340" s="553">
        <f>IFERROR(LEFT(B340,7),"")</f>
        <v/>
      </c>
      <c r="B340" s="554">
        <f>"2025/08"&amp;D340</f>
        <v/>
      </c>
      <c r="C340" s="555" t="n">
        <v>107</v>
      </c>
      <c r="D340" s="486" t="inlineStr">
        <is>
          <t>忠孝7樓</t>
        </is>
      </c>
      <c r="E340" s="486" t="inlineStr">
        <is>
          <t>6160010</t>
        </is>
      </c>
      <c r="F340" s="551" t="n"/>
      <c r="G340" s="486" t="inlineStr">
        <is>
          <t>喬雅露-大分子200mg/1cc</t>
        </is>
      </c>
      <c r="H340" s="552" t="n"/>
      <c r="I340" s="552" t="n"/>
      <c r="J340" s="551" t="n"/>
      <c r="K340" s="486" t="inlineStr">
        <is>
          <t>8cc/瓶</t>
        </is>
      </c>
      <c r="L340" s="556" t="n">
        <v>75</v>
      </c>
      <c r="M340" s="123" t="inlineStr">
        <is>
          <t>MP1MA020031A</t>
        </is>
      </c>
      <c r="N340" s="117" t="n"/>
    </row>
    <row r="341" ht="17.25" customHeight="1" s="453" thickBot="1">
      <c r="A341" s="553">
        <f>IFERROR(LEFT(B341,7),"")</f>
        <v/>
      </c>
      <c r="B341" s="554">
        <f>"2025/08"&amp;D341</f>
        <v/>
      </c>
      <c r="C341" s="555" t="n">
        <v>108</v>
      </c>
      <c r="D341" s="486" t="inlineStr">
        <is>
          <t>忠孝7樓</t>
        </is>
      </c>
      <c r="E341" s="486" t="inlineStr">
        <is>
          <t>6160011</t>
        </is>
      </c>
      <c r="F341" s="551" t="n"/>
      <c r="G341" s="486" t="inlineStr">
        <is>
          <t>喬雅露-小分子50mg/1cc</t>
        </is>
      </c>
      <c r="H341" s="552" t="n"/>
      <c r="I341" s="552" t="n"/>
      <c r="J341" s="551" t="n"/>
      <c r="K341" s="486" t="inlineStr">
        <is>
          <t>6cc/瓶</t>
        </is>
      </c>
      <c r="L341" s="556" t="n">
        <v>324</v>
      </c>
      <c r="M341" s="123" t="inlineStr">
        <is>
          <t>MP1MA020030A</t>
        </is>
      </c>
      <c r="N341" s="117" t="n"/>
    </row>
    <row r="342" ht="17.25" customHeight="1" s="453" thickBot="1">
      <c r="A342" s="553">
        <f>IFERROR(LEFT(B342,7),"")</f>
        <v/>
      </c>
      <c r="B342" s="554">
        <f>"2025/08"&amp;D342</f>
        <v/>
      </c>
      <c r="C342" s="555" t="n">
        <v>109</v>
      </c>
      <c r="D342" s="486" t="inlineStr">
        <is>
          <t>忠孝7樓</t>
        </is>
      </c>
      <c r="E342" s="486" t="inlineStr">
        <is>
          <t>6170005</t>
        </is>
      </c>
      <c r="F342" s="551" t="n"/>
      <c r="G342" s="486" t="inlineStr">
        <is>
          <t>海芙三代音波探頭2mm/ 條</t>
        </is>
      </c>
      <c r="H342" s="552" t="n"/>
      <c r="I342" s="552" t="n"/>
      <c r="J342" s="551" t="n"/>
      <c r="K342" s="486" t="inlineStr">
        <is>
          <t>20000條/顆</t>
        </is>
      </c>
      <c r="L342" s="556" t="n">
        <v>15291</v>
      </c>
      <c r="M342" s="123" t="inlineStr">
        <is>
          <t>MM2MB040003A</t>
        </is>
      </c>
      <c r="N342" s="117" t="n"/>
    </row>
    <row r="343" ht="17.25" customHeight="1" s="453" thickBot="1">
      <c r="A343" s="553">
        <f>IFERROR(LEFT(B343,7),"")</f>
        <v/>
      </c>
      <c r="B343" s="554">
        <f>"2025/08"&amp;D343</f>
        <v/>
      </c>
      <c r="C343" s="555" t="n">
        <v>110</v>
      </c>
      <c r="D343" s="486" t="inlineStr">
        <is>
          <t>忠孝7樓</t>
        </is>
      </c>
      <c r="E343" s="486" t="inlineStr">
        <is>
          <t>6170007</t>
        </is>
      </c>
      <c r="F343" s="551" t="n"/>
      <c r="G343" s="486" t="inlineStr">
        <is>
          <t>海芙三代音波探頭3mm/ 條</t>
        </is>
      </c>
      <c r="H343" s="552" t="n"/>
      <c r="I343" s="552" t="n"/>
      <c r="J343" s="551" t="n"/>
      <c r="K343" s="486" t="inlineStr">
        <is>
          <t>20000條/顆</t>
        </is>
      </c>
      <c r="L343" s="556" t="n">
        <v>41744</v>
      </c>
      <c r="M343" s="123" t="inlineStr">
        <is>
          <t>MM2MB040004A</t>
        </is>
      </c>
      <c r="N343" s="117" t="n"/>
    </row>
    <row r="344" ht="17.25" customHeight="1" s="453" thickBot="1">
      <c r="A344" s="553">
        <f>IFERROR(LEFT(B344,7),"")</f>
        <v/>
      </c>
      <c r="B344" s="554">
        <f>"2025/08"&amp;D344</f>
        <v/>
      </c>
      <c r="C344" s="555" t="n">
        <v>111</v>
      </c>
      <c r="D344" s="486" t="inlineStr">
        <is>
          <t>忠孝7樓</t>
        </is>
      </c>
      <c r="E344" s="486" t="inlineStr">
        <is>
          <t>6170009</t>
        </is>
      </c>
      <c r="F344" s="551" t="n"/>
      <c r="G344" s="486" t="inlineStr">
        <is>
          <t>海芙三代音波探頭4.5mm/ 條</t>
        </is>
      </c>
      <c r="H344" s="552" t="n"/>
      <c r="I344" s="552" t="n"/>
      <c r="J344" s="551" t="n"/>
      <c r="K344" s="486" t="inlineStr">
        <is>
          <t>20000條/顆</t>
        </is>
      </c>
      <c r="L344" s="556" t="n">
        <v>74345</v>
      </c>
      <c r="M344" s="123" t="inlineStr">
        <is>
          <t>MM2MB040005A</t>
        </is>
      </c>
      <c r="N344" s="117" t="n"/>
    </row>
    <row r="345" ht="17.25" customHeight="1" s="453" thickBot="1">
      <c r="A345" s="553">
        <f>IFERROR(LEFT(B345,7),"")</f>
        <v/>
      </c>
      <c r="B345" s="554">
        <f>"2025/08"&amp;D345</f>
        <v/>
      </c>
      <c r="C345" s="555" t="n">
        <v>112</v>
      </c>
      <c r="D345" s="486" t="inlineStr">
        <is>
          <t>忠孝7樓</t>
        </is>
      </c>
      <c r="E345" s="486" t="inlineStr">
        <is>
          <t>6170011</t>
        </is>
      </c>
      <c r="F345" s="551" t="n"/>
      <c r="G345" s="486" t="inlineStr">
        <is>
          <t>海芙三代音波探頭6mm/ 條</t>
        </is>
      </c>
      <c r="H345" s="552" t="n"/>
      <c r="I345" s="552" t="n"/>
      <c r="J345" s="551" t="n"/>
      <c r="K345" s="486" t="inlineStr">
        <is>
          <t>條</t>
        </is>
      </c>
      <c r="L345" s="556" t="n">
        <v>16059</v>
      </c>
      <c r="M345" s="123" t="inlineStr">
        <is>
          <t>MM2MB040006A</t>
        </is>
      </c>
      <c r="N345" s="117" t="n"/>
    </row>
    <row r="346" ht="17.25" customHeight="1" s="453" thickBot="1">
      <c r="A346" s="553">
        <f>IFERROR(LEFT(B346,7),"")</f>
        <v/>
      </c>
      <c r="B346" s="554">
        <f>"2025/08"&amp;D346</f>
        <v/>
      </c>
      <c r="C346" s="555" t="n">
        <v>113</v>
      </c>
      <c r="D346" s="486" t="inlineStr">
        <is>
          <t>忠孝7樓</t>
        </is>
      </c>
      <c r="E346" s="486" t="inlineStr">
        <is>
          <t>6170018</t>
        </is>
      </c>
      <c r="F346" s="551" t="n"/>
      <c r="G346" s="486" t="inlineStr">
        <is>
          <t>媚必提直線探頭1.5mm/條</t>
        </is>
      </c>
      <c r="H346" s="552" t="n"/>
      <c r="I346" s="552" t="n"/>
      <c r="J346" s="551" t="n"/>
      <c r="K346" s="486" t="inlineStr">
        <is>
          <t>20000條/顆</t>
        </is>
      </c>
      <c r="L346" s="556" t="n">
        <v>400</v>
      </c>
      <c r="M346" s="123" t="inlineStr">
        <is>
          <t>MM2MB040007A</t>
        </is>
      </c>
      <c r="N346" s="117" t="n"/>
    </row>
    <row r="347" ht="17.25" customHeight="1" s="453" thickBot="1">
      <c r="A347" s="553">
        <f>IFERROR(LEFT(B347,7),"")</f>
        <v/>
      </c>
      <c r="B347" s="554">
        <f>"2025/08"&amp;D347</f>
        <v/>
      </c>
      <c r="C347" s="555" t="n">
        <v>114</v>
      </c>
      <c r="D347" s="486" t="inlineStr">
        <is>
          <t>忠孝7樓</t>
        </is>
      </c>
      <c r="E347" s="486" t="inlineStr">
        <is>
          <t>6170019</t>
        </is>
      </c>
      <c r="F347" s="551" t="n"/>
      <c r="G347" s="486" t="inlineStr">
        <is>
          <t>媚必提直線探頭2.0mm/條</t>
        </is>
      </c>
      <c r="H347" s="552" t="n"/>
      <c r="I347" s="552" t="n"/>
      <c r="J347" s="551" t="n"/>
      <c r="K347" s="486" t="inlineStr">
        <is>
          <t>20000條/顆</t>
        </is>
      </c>
      <c r="L347" s="556" t="n">
        <v>2898</v>
      </c>
      <c r="M347" s="123" t="inlineStr">
        <is>
          <t>MM2MB040008A</t>
        </is>
      </c>
      <c r="N347" s="117" t="n"/>
    </row>
    <row r="348" ht="17.25" customHeight="1" s="453" thickBot="1">
      <c r="A348" s="553">
        <f>IFERROR(LEFT(B348,7),"")</f>
        <v/>
      </c>
      <c r="B348" s="554">
        <f>"2025/08"&amp;D348</f>
        <v/>
      </c>
      <c r="C348" s="555" t="n">
        <v>115</v>
      </c>
      <c r="D348" s="486" t="inlineStr">
        <is>
          <t>忠孝7樓</t>
        </is>
      </c>
      <c r="E348" s="486" t="inlineStr">
        <is>
          <t>6170020</t>
        </is>
      </c>
      <c r="F348" s="551" t="n"/>
      <c r="G348" s="486" t="inlineStr">
        <is>
          <t>媚必提直線探頭3.0mm/條</t>
        </is>
      </c>
      <c r="H348" s="552" t="n"/>
      <c r="I348" s="552" t="n"/>
      <c r="J348" s="551" t="n"/>
      <c r="K348" s="486" t="inlineStr">
        <is>
          <t>20000條/顆</t>
        </is>
      </c>
      <c r="L348" s="556" t="n">
        <v>10261</v>
      </c>
      <c r="M348" s="123" t="inlineStr">
        <is>
          <t>MM2MB040009A</t>
        </is>
      </c>
      <c r="N348" s="117" t="n"/>
    </row>
    <row r="349" ht="17.25" customHeight="1" s="453" thickBot="1">
      <c r="A349" s="553">
        <f>IFERROR(LEFT(B349,7),"")</f>
        <v/>
      </c>
      <c r="B349" s="554">
        <f>"2025/08"&amp;D349</f>
        <v/>
      </c>
      <c r="C349" s="555" t="n">
        <v>116</v>
      </c>
      <c r="D349" s="486" t="inlineStr">
        <is>
          <t>忠孝7樓</t>
        </is>
      </c>
      <c r="E349" s="486" t="inlineStr">
        <is>
          <t>6170021</t>
        </is>
      </c>
      <c r="F349" s="551" t="n"/>
      <c r="G349" s="486" t="inlineStr">
        <is>
          <t>媚必提直線探頭4.5mm/條</t>
        </is>
      </c>
      <c r="H349" s="552" t="n"/>
      <c r="I349" s="552" t="n"/>
      <c r="J349" s="551" t="n"/>
      <c r="K349" s="486" t="inlineStr">
        <is>
          <t>20000條/顆</t>
        </is>
      </c>
      <c r="L349" s="556" t="n">
        <v>21577</v>
      </c>
      <c r="M349" s="123" t="inlineStr">
        <is>
          <t>MM2MB040010A</t>
        </is>
      </c>
      <c r="N349" s="117" t="n"/>
    </row>
    <row r="350" ht="17.25" customHeight="1" s="453" thickBot="1">
      <c r="A350" s="553">
        <f>IFERROR(LEFT(B350,7),"")</f>
        <v/>
      </c>
      <c r="B350" s="554">
        <f>"2025/08"&amp;D350</f>
        <v/>
      </c>
      <c r="C350" s="555" t="n">
        <v>117</v>
      </c>
      <c r="D350" s="486" t="inlineStr">
        <is>
          <t>忠孝7樓</t>
        </is>
      </c>
      <c r="E350" s="486" t="inlineStr">
        <is>
          <t>6170022</t>
        </is>
      </c>
      <c r="F350" s="551" t="n"/>
      <c r="G350" s="486" t="inlineStr">
        <is>
          <t>媚必提直線探頭6.0mm/條</t>
        </is>
      </c>
      <c r="H350" s="552" t="n"/>
      <c r="I350" s="552" t="n"/>
      <c r="J350" s="551" t="n"/>
      <c r="K350" s="486" t="inlineStr">
        <is>
          <t>20000條/顆</t>
        </is>
      </c>
      <c r="L350" s="556" t="n">
        <v>7968</v>
      </c>
      <c r="M350" s="123" t="inlineStr">
        <is>
          <t>MM2MB040011A</t>
        </is>
      </c>
      <c r="N350" s="117" t="n"/>
    </row>
    <row r="351" ht="17.25" customHeight="1" s="453" thickBot="1">
      <c r="A351" s="553">
        <f>IFERROR(LEFT(B351,7),"")</f>
        <v/>
      </c>
      <c r="B351" s="554">
        <f>"2025/08"&amp;D351</f>
        <v/>
      </c>
      <c r="C351" s="555" t="n">
        <v>118</v>
      </c>
      <c r="D351" s="486" t="inlineStr">
        <is>
          <t>忠孝7樓</t>
        </is>
      </c>
      <c r="E351" s="486" t="inlineStr">
        <is>
          <t>6170028</t>
        </is>
      </c>
      <c r="F351" s="551" t="n"/>
      <c r="G351" s="486" t="inlineStr">
        <is>
          <t>海芙電波探頭0.25cm/發</t>
        </is>
      </c>
      <c r="H351" s="552" t="n"/>
      <c r="I351" s="552" t="n"/>
      <c r="J351" s="551" t="n"/>
      <c r="K351" s="486" t="inlineStr">
        <is>
          <t>6000發/顆</t>
        </is>
      </c>
      <c r="L351" s="556" t="n">
        <v>7301</v>
      </c>
      <c r="M351" s="123" t="inlineStr">
        <is>
          <t>MM2MB030002A</t>
        </is>
      </c>
      <c r="N351" s="117" t="n"/>
    </row>
    <row r="352" ht="17.25" customHeight="1" s="453" thickBot="1">
      <c r="A352" s="553">
        <f>IFERROR(LEFT(B352,7),"")</f>
        <v/>
      </c>
      <c r="B352" s="554">
        <f>"2025/08"&amp;D352</f>
        <v/>
      </c>
      <c r="C352" s="555" t="n">
        <v>119</v>
      </c>
      <c r="D352" s="486" t="inlineStr">
        <is>
          <t>忠孝7樓</t>
        </is>
      </c>
      <c r="E352" s="486" t="inlineStr">
        <is>
          <t>6170029</t>
        </is>
      </c>
      <c r="F352" s="551" t="n"/>
      <c r="G352" s="486" t="inlineStr">
        <is>
          <t>海芙電波探頭3.0cm/發</t>
        </is>
      </c>
      <c r="H352" s="552" t="n"/>
      <c r="I352" s="552" t="n"/>
      <c r="J352" s="551" t="n"/>
      <c r="K352" s="486" t="inlineStr">
        <is>
          <t>4000發/顆</t>
        </is>
      </c>
      <c r="L352" s="556" t="n">
        <v>30201</v>
      </c>
      <c r="M352" s="123" t="inlineStr">
        <is>
          <t>MM2MB030003A</t>
        </is>
      </c>
      <c r="N352" s="117" t="n"/>
    </row>
    <row r="353" ht="17.25" customHeight="1" s="453" thickBot="1">
      <c r="A353" s="553">
        <f>IFERROR(LEFT(B353,7),"")</f>
        <v/>
      </c>
      <c r="B353" s="554">
        <f>"2025/08"&amp;D353</f>
        <v/>
      </c>
      <c r="C353" s="555" t="n">
        <v>120</v>
      </c>
      <c r="D353" s="486" t="inlineStr">
        <is>
          <t>忠孝7樓</t>
        </is>
      </c>
      <c r="E353" s="486" t="inlineStr">
        <is>
          <t>6170032</t>
        </is>
      </c>
      <c r="F353" s="551" t="n"/>
      <c r="G353" s="486" t="inlineStr">
        <is>
          <t>立特拉A2筆型探頭3.0mm/ 條</t>
        </is>
      </c>
      <c r="H353" s="552" t="n"/>
      <c r="I353" s="552" t="n"/>
      <c r="J353" s="551" t="n"/>
      <c r="K353" s="486" t="inlineStr">
        <is>
          <t>240000條/顆</t>
        </is>
      </c>
      <c r="L353" s="556" t="n">
        <v>328302</v>
      </c>
      <c r="M353" s="123" t="inlineStr">
        <is>
          <t>MM2MB040018A</t>
        </is>
      </c>
      <c r="N353" s="117" t="n"/>
    </row>
    <row r="354" ht="17.25" customHeight="1" s="453" thickBot="1">
      <c r="A354" s="553">
        <f>IFERROR(LEFT(B354,7),"")</f>
        <v/>
      </c>
      <c r="B354" s="554">
        <f>"2025/08"&amp;D354</f>
        <v/>
      </c>
      <c r="C354" s="555" t="n">
        <v>121</v>
      </c>
      <c r="D354" s="486" t="inlineStr">
        <is>
          <t>忠孝7樓</t>
        </is>
      </c>
      <c r="E354" s="486" t="inlineStr">
        <is>
          <t>6170033</t>
        </is>
      </c>
      <c r="F354" s="551" t="n"/>
      <c r="G354" s="486" t="inlineStr">
        <is>
          <t>立特拉A2筆型探頭4.5mm/ 條</t>
        </is>
      </c>
      <c r="H354" s="552" t="n"/>
      <c r="I354" s="552" t="n"/>
      <c r="J354" s="551" t="n"/>
      <c r="K354" s="486" t="inlineStr">
        <is>
          <t>240000條/顆</t>
        </is>
      </c>
      <c r="L354" s="556" t="n">
        <v>157931</v>
      </c>
      <c r="M354" s="123" t="inlineStr">
        <is>
          <t>MM2MB040019A</t>
        </is>
      </c>
      <c r="N354" s="117" t="n"/>
    </row>
    <row r="355" ht="17.25" customHeight="1" s="453" thickBot="1">
      <c r="A355" s="553">
        <f>IFERROR(LEFT(B355,7),"")</f>
        <v/>
      </c>
      <c r="B355" s="554">
        <f>"2025/08"&amp;D355</f>
        <v/>
      </c>
      <c r="C355" s="555" t="n">
        <v>122</v>
      </c>
      <c r="D355" s="486" t="inlineStr">
        <is>
          <t>忠孝7樓</t>
        </is>
      </c>
      <c r="E355" s="486" t="inlineStr">
        <is>
          <t>6170034</t>
        </is>
      </c>
      <c r="F355" s="551" t="n"/>
      <c r="G355" s="486" t="inlineStr">
        <is>
          <t>十蓓電波臉部探頭5cm</t>
        </is>
      </c>
      <c r="H355" s="552" t="n"/>
      <c r="I355" s="552" t="n"/>
      <c r="J355" s="551" t="n"/>
      <c r="K355" s="486" t="inlineStr">
        <is>
          <t>900發/顆</t>
        </is>
      </c>
      <c r="L355" s="556" t="n">
        <v>26442</v>
      </c>
      <c r="M355" s="123" t="inlineStr">
        <is>
          <t>MM2MB030006A</t>
        </is>
      </c>
      <c r="N355" s="117" t="n"/>
    </row>
    <row r="356" ht="17.25" customHeight="1" s="453" thickBot="1">
      <c r="A356" s="553">
        <f>IFERROR(LEFT(B356,7),"")</f>
        <v/>
      </c>
      <c r="B356" s="554">
        <f>"2025/08"&amp;D356</f>
        <v/>
      </c>
      <c r="C356" s="555" t="n">
        <v>123</v>
      </c>
      <c r="D356" s="486" t="inlineStr">
        <is>
          <t>忠孝7樓</t>
        </is>
      </c>
      <c r="E356" s="486" t="inlineStr">
        <is>
          <t>6170035</t>
        </is>
      </c>
      <c r="F356" s="551" t="n"/>
      <c r="G356" s="486" t="inlineStr">
        <is>
          <t>十蓓電波眼部探頭0.25cm</t>
        </is>
      </c>
      <c r="H356" s="552" t="n"/>
      <c r="I356" s="552" t="n"/>
      <c r="J356" s="551" t="n"/>
      <c r="K356" s="486" t="inlineStr">
        <is>
          <t>600發/顆</t>
        </is>
      </c>
      <c r="L356" s="556" t="n">
        <v>8160</v>
      </c>
      <c r="M356" s="123" t="inlineStr">
        <is>
          <t>MM2MB030007A</t>
        </is>
      </c>
      <c r="N356" s="117" t="n"/>
    </row>
    <row r="357" ht="17.25" customHeight="1" s="453" thickBot="1">
      <c r="A357" s="553">
        <f>IFERROR(LEFT(B357,7),"")</f>
        <v/>
      </c>
      <c r="B357" s="554">
        <f>"2025/08"&amp;D357</f>
        <v/>
      </c>
      <c r="C357" s="555" t="n">
        <v>124</v>
      </c>
      <c r="D357" s="486" t="inlineStr">
        <is>
          <t>忠孝7樓</t>
        </is>
      </c>
      <c r="E357" s="486" t="inlineStr">
        <is>
          <t>6180003</t>
        </is>
      </c>
      <c r="F357" s="551" t="n"/>
      <c r="G357" s="486" t="inlineStr">
        <is>
          <t>(V)MINT秘特拉提線 43cm/ 條</t>
        </is>
      </c>
      <c r="H357" s="552" t="n"/>
      <c r="I357" s="552" t="n"/>
      <c r="J357" s="551" t="n"/>
      <c r="K357" s="486" t="inlineStr">
        <is>
          <t>條</t>
        </is>
      </c>
      <c r="L357" s="556" t="n">
        <v>2</v>
      </c>
      <c r="M357" s="123" t="n"/>
      <c r="N357" s="117" t="n"/>
    </row>
    <row r="358" ht="17.25" customHeight="1" s="453" thickBot="1">
      <c r="A358" s="553">
        <f>IFERROR(LEFT(B358,7),"")</f>
        <v/>
      </c>
      <c r="B358" s="554">
        <f>"2025/08"&amp;D358</f>
        <v/>
      </c>
      <c r="C358" s="555" t="n">
        <v>125</v>
      </c>
      <c r="D358" s="486" t="inlineStr">
        <is>
          <t>忠孝7樓</t>
        </is>
      </c>
      <c r="E358" s="486" t="inlineStr">
        <is>
          <t>6180007</t>
        </is>
      </c>
      <c r="F358" s="551" t="n"/>
      <c r="G358" s="486" t="inlineStr">
        <is>
          <t>(V)MINT秘特拉提線PETIT 15CM/ 條</t>
        </is>
      </c>
      <c r="H358" s="552" t="n"/>
      <c r="I358" s="552" t="n"/>
      <c r="J358" s="551" t="n"/>
      <c r="K358" s="486" t="inlineStr">
        <is>
          <t>20條/盒</t>
        </is>
      </c>
      <c r="L358" s="556" t="n">
        <v>4</v>
      </c>
      <c r="M358" s="123" t="inlineStr">
        <is>
          <t>MP1MA010014A</t>
        </is>
      </c>
      <c r="N358" s="117" t="n"/>
    </row>
    <row r="359" ht="17.25" customHeight="1" s="453" thickBot="1">
      <c r="A359" s="553">
        <f>IFERROR(LEFT(B359,7),"")</f>
        <v/>
      </c>
      <c r="B359" s="554">
        <f>"2025/08"&amp;D359</f>
        <v/>
      </c>
      <c r="C359" s="555" t="n">
        <v>126</v>
      </c>
      <c r="D359" s="486" t="inlineStr">
        <is>
          <t>忠孝7樓</t>
        </is>
      </c>
      <c r="E359" s="486" t="inlineStr">
        <is>
          <t>6180011</t>
        </is>
      </c>
      <c r="F359" s="551" t="n"/>
      <c r="G359" s="486" t="inlineStr">
        <is>
          <t>(V)MINT秘特拉提線UP 9.5CM/ 條</t>
        </is>
      </c>
      <c r="H359" s="552" t="n"/>
      <c r="I359" s="552" t="n"/>
      <c r="J359" s="551" t="n"/>
      <c r="K359" s="486" t="inlineStr">
        <is>
          <t>10條/盒</t>
        </is>
      </c>
      <c r="L359" s="556" t="n">
        <v>16</v>
      </c>
      <c r="M359" s="123" t="inlineStr">
        <is>
          <t>MP1MA010016A</t>
        </is>
      </c>
      <c r="N359" s="117" t="n"/>
    </row>
    <row r="360" ht="17.25" customHeight="1" s="453" thickBot="1">
      <c r="A360" s="553">
        <f>IFERROR(LEFT(B360,7),"")</f>
        <v/>
      </c>
      <c r="B360" s="554">
        <f>"2025/08"&amp;D360</f>
        <v/>
      </c>
      <c r="C360" s="555" t="n">
        <v>127</v>
      </c>
      <c r="D360" s="486" t="inlineStr">
        <is>
          <t>忠孝7樓</t>
        </is>
      </c>
      <c r="E360" s="486" t="inlineStr">
        <is>
          <t>6190001</t>
        </is>
      </c>
      <c r="F360" s="551" t="n"/>
      <c r="G360" s="486" t="inlineStr">
        <is>
          <t>PLT生長因子凍晶製備/ 瓶</t>
        </is>
      </c>
      <c r="H360" s="552" t="n"/>
      <c r="I360" s="552" t="n"/>
      <c r="J360" s="551" t="n"/>
      <c r="K360" s="486" t="inlineStr">
        <is>
          <t>瓶</t>
        </is>
      </c>
      <c r="L360" s="556" t="n">
        <v>10</v>
      </c>
      <c r="M360" s="123" t="n"/>
      <c r="N360" s="117" t="n"/>
    </row>
    <row r="361" ht="17.25" customHeight="1" s="453" thickBot="1">
      <c r="A361" s="553">
        <f>IFERROR(LEFT(B361,7),"")</f>
        <v/>
      </c>
      <c r="B361" s="554">
        <f>"2025/08"&amp;D361</f>
        <v/>
      </c>
      <c r="C361" s="555" t="n">
        <v>128</v>
      </c>
      <c r="D361" s="486" t="inlineStr">
        <is>
          <t>忠孝7樓</t>
        </is>
      </c>
      <c r="E361" s="486" t="inlineStr">
        <is>
          <t>6200003</t>
        </is>
      </c>
      <c r="F361" s="551" t="n"/>
      <c r="G361" s="486" t="inlineStr">
        <is>
          <t>(V)倍克脂Belkyra/ 瓶</t>
        </is>
      </c>
      <c r="H361" s="552" t="n"/>
      <c r="I361" s="552" t="n"/>
      <c r="J361" s="551" t="n"/>
      <c r="K361" s="486" t="inlineStr">
        <is>
          <t>5瓶/盒</t>
        </is>
      </c>
      <c r="L361" s="556" t="n">
        <v>2</v>
      </c>
      <c r="M361" s="123" t="inlineStr">
        <is>
          <t>MB3ME090004A</t>
        </is>
      </c>
      <c r="N361" s="117" t="n"/>
    </row>
    <row r="362" ht="17.25" customHeight="1" s="453" thickBot="1">
      <c r="A362" s="553">
        <f>IFERROR(LEFT(B362,7),"")</f>
        <v/>
      </c>
      <c r="B362" s="554">
        <f>"2025/08"&amp;D362</f>
        <v/>
      </c>
      <c r="C362" s="555" t="n">
        <v>129</v>
      </c>
      <c r="D362" s="486" t="inlineStr">
        <is>
          <t>忠孝7樓</t>
        </is>
      </c>
      <c r="E362" s="486" t="inlineStr">
        <is>
          <t>6210001</t>
        </is>
      </c>
      <c r="F362" s="551" t="n"/>
      <c r="G362" s="486" t="inlineStr">
        <is>
          <t>(V)水光針針頭/31G9針/1.0mm/ PCS</t>
        </is>
      </c>
      <c r="H362" s="552" t="n"/>
      <c r="I362" s="552" t="n"/>
      <c r="J362" s="551" t="n"/>
      <c r="K362" s="486" t="inlineStr">
        <is>
          <t>PCS(20入/盒)</t>
        </is>
      </c>
      <c r="L362" s="556" t="n">
        <v>5</v>
      </c>
      <c r="M362" s="123" t="inlineStr">
        <is>
          <t>MP1MA070006A</t>
        </is>
      </c>
      <c r="N362" s="117" t="n"/>
    </row>
    <row r="363" ht="17.25" customHeight="1" s="453" thickBot="1">
      <c r="A363" s="553">
        <f>IFERROR(LEFT(B363,7),"")</f>
        <v/>
      </c>
      <c r="B363" s="554">
        <f>"2025/08"&amp;D363</f>
        <v/>
      </c>
      <c r="C363" s="555" t="n">
        <v>130</v>
      </c>
      <c r="D363" s="486" t="inlineStr">
        <is>
          <t>忠孝7樓</t>
        </is>
      </c>
      <c r="E363" s="486" t="inlineStr">
        <is>
          <t>6210002</t>
        </is>
      </c>
      <c r="F363" s="551" t="n"/>
      <c r="G363" s="486" t="inlineStr">
        <is>
          <t>(V)水光針針頭/31G9針/1.2mm/ PCS</t>
        </is>
      </c>
      <c r="H363" s="552" t="n"/>
      <c r="I363" s="552" t="n"/>
      <c r="J363" s="551" t="n"/>
      <c r="K363" s="486" t="inlineStr">
        <is>
          <t>PCS(20入/盒)</t>
        </is>
      </c>
      <c r="L363" s="556" t="n">
        <v>82</v>
      </c>
      <c r="M363" s="123" t="inlineStr">
        <is>
          <t>MP1MA070007A</t>
        </is>
      </c>
      <c r="N363" s="117" t="n"/>
    </row>
    <row r="364" ht="17.25" customHeight="1" s="453" thickBot="1">
      <c r="A364" s="553">
        <f>IFERROR(LEFT(B364,7),"")</f>
        <v/>
      </c>
      <c r="B364" s="554">
        <f>"2025/08"&amp;D364</f>
        <v/>
      </c>
      <c r="C364" s="555" t="n">
        <v>131</v>
      </c>
      <c r="D364" s="486" t="inlineStr">
        <is>
          <t>忠孝7樓</t>
        </is>
      </c>
      <c r="E364" s="486" t="inlineStr">
        <is>
          <t>6210003</t>
        </is>
      </c>
      <c r="F364" s="551" t="n"/>
      <c r="G364" s="486" t="inlineStr">
        <is>
          <t>(V)水光針針頭/31G9針/1.5mm/ PCS</t>
        </is>
      </c>
      <c r="H364" s="552" t="n"/>
      <c r="I364" s="552" t="n"/>
      <c r="J364" s="551" t="n"/>
      <c r="K364" s="486" t="inlineStr">
        <is>
          <t>PCS(20入/盒)</t>
        </is>
      </c>
      <c r="L364" s="556" t="n">
        <v>5</v>
      </c>
      <c r="M364" s="123" t="inlineStr">
        <is>
          <t>MP1MA070008A</t>
        </is>
      </c>
      <c r="N364" s="117" t="n"/>
    </row>
    <row r="365" ht="17.25" customHeight="1" s="453" thickBot="1">
      <c r="A365" s="553">
        <f>IFERROR(LEFT(B365,7),"")</f>
        <v/>
      </c>
      <c r="B365" s="554">
        <f>"2025/08"&amp;D365</f>
        <v/>
      </c>
      <c r="C365" s="555" t="n">
        <v>132</v>
      </c>
      <c r="D365" s="486" t="inlineStr">
        <is>
          <t>忠孝7樓</t>
        </is>
      </c>
      <c r="E365" s="486" t="inlineStr">
        <is>
          <t>6210006</t>
        </is>
      </c>
      <c r="F365" s="551" t="n"/>
      <c r="G365" s="486" t="inlineStr">
        <is>
          <t>(V)麗珠蘭修復水光(A劑2ml+B劑2ml)</t>
        </is>
      </c>
      <c r="H365" s="552" t="n"/>
      <c r="I365" s="552" t="n"/>
      <c r="J365" s="551" t="n"/>
      <c r="K365" s="486" t="inlineStr">
        <is>
          <t>2ml*2</t>
        </is>
      </c>
      <c r="L365" s="556" t="n">
        <v>6</v>
      </c>
      <c r="M365" s="123" t="inlineStr">
        <is>
          <t>DP1AA050001E</t>
        </is>
      </c>
      <c r="N365" s="117" t="n"/>
    </row>
    <row r="366" ht="17.25" customHeight="1" s="453" thickBot="1">
      <c r="A366" s="553">
        <f>IFERROR(LEFT(B366,7),"")</f>
        <v/>
      </c>
      <c r="B366" s="554">
        <f>"2025/08"&amp;D366</f>
        <v/>
      </c>
      <c r="C366" s="555" t="n">
        <v>133</v>
      </c>
      <c r="D366" s="486" t="inlineStr">
        <is>
          <t>忠孝7樓</t>
        </is>
      </c>
      <c r="E366" s="486" t="inlineStr">
        <is>
          <t>6210007</t>
        </is>
      </c>
      <c r="F366" s="551" t="n"/>
      <c r="G366" s="486" t="inlineStr">
        <is>
          <t>(V)麗珠蘭白瓷水光(A劑2ml+B劑2ml)</t>
        </is>
      </c>
      <c r="H366" s="552" t="n"/>
      <c r="I366" s="552" t="n"/>
      <c r="J366" s="551" t="n"/>
      <c r="K366" s="486" t="inlineStr">
        <is>
          <t>2ml*2</t>
        </is>
      </c>
      <c r="L366" s="556" t="n">
        <v>9</v>
      </c>
      <c r="M366" s="123" t="inlineStr">
        <is>
          <t>DP1AA050002E</t>
        </is>
      </c>
      <c r="N366" s="117" t="n"/>
    </row>
    <row r="367" ht="17.25" customHeight="1" s="453" thickBot="1">
      <c r="A367" s="553">
        <f>IFERROR(LEFT(B367,7),"")</f>
        <v/>
      </c>
      <c r="B367" s="554">
        <f>"2025/08"&amp;D367</f>
        <v/>
      </c>
      <c r="C367" s="555" t="n">
        <v>134</v>
      </c>
      <c r="D367" s="486" t="inlineStr">
        <is>
          <t>忠孝7樓</t>
        </is>
      </c>
      <c r="E367" s="486" t="inlineStr">
        <is>
          <t>6220005</t>
        </is>
      </c>
      <c r="F367" s="551" t="n"/>
      <c r="G367" s="486" t="inlineStr">
        <is>
          <t>海菲秀深藍端頭/ 顆</t>
        </is>
      </c>
      <c r="H367" s="552" t="n"/>
      <c r="I367" s="552" t="n"/>
      <c r="J367" s="551" t="n"/>
      <c r="K367" s="486" t="inlineStr">
        <is>
          <t>15顆/串</t>
        </is>
      </c>
      <c r="L367" s="556" t="n">
        <v>697</v>
      </c>
      <c r="M367" s="123" t="inlineStr">
        <is>
          <t>MM2MD070001A</t>
        </is>
      </c>
      <c r="N367" s="117" t="n"/>
    </row>
    <row r="368" ht="17.25" customHeight="1" s="453" thickBot="1">
      <c r="A368" s="553">
        <f>IFERROR(LEFT(B368,7),"")</f>
        <v/>
      </c>
      <c r="B368" s="554">
        <f>"2025/08"&amp;D368</f>
        <v/>
      </c>
      <c r="C368" s="555" t="n">
        <v>135</v>
      </c>
      <c r="D368" s="486" t="inlineStr">
        <is>
          <t>忠孝7樓</t>
        </is>
      </c>
      <c r="E368" s="486" t="inlineStr">
        <is>
          <t>6220006</t>
        </is>
      </c>
      <c r="F368" s="551" t="n"/>
      <c r="G368" s="486" t="inlineStr">
        <is>
          <t>海菲秀淺藍端頭/ 顆</t>
        </is>
      </c>
      <c r="H368" s="552" t="n"/>
      <c r="I368" s="552" t="n"/>
      <c r="J368" s="551" t="n"/>
      <c r="K368" s="486" t="inlineStr">
        <is>
          <t>15顆/串</t>
        </is>
      </c>
      <c r="L368" s="556" t="n">
        <v>697</v>
      </c>
      <c r="M368" s="123" t="inlineStr">
        <is>
          <t>MM2MD070002A</t>
        </is>
      </c>
      <c r="N368" s="117" t="n"/>
    </row>
    <row r="369" ht="17.25" customHeight="1" s="453" thickBot="1">
      <c r="A369" s="553">
        <f>IFERROR(LEFT(B369,7),"")</f>
        <v/>
      </c>
      <c r="B369" s="554">
        <f>"2025/08"&amp;D369</f>
        <v/>
      </c>
      <c r="C369" s="555" t="n">
        <v>136</v>
      </c>
      <c r="D369" s="486" t="inlineStr">
        <is>
          <t>忠孝7樓</t>
        </is>
      </c>
      <c r="E369" s="486" t="inlineStr">
        <is>
          <t>6220007</t>
        </is>
      </c>
      <c r="F369" s="551" t="n"/>
      <c r="G369" s="486" t="inlineStr">
        <is>
          <t>海菲秀透明端頭/ 顆</t>
        </is>
      </c>
      <c r="H369" s="552" t="n"/>
      <c r="I369" s="552" t="n"/>
      <c r="J369" s="551" t="n"/>
      <c r="K369" s="486" t="inlineStr">
        <is>
          <t>15顆/串</t>
        </is>
      </c>
      <c r="L369" s="556" t="n">
        <v>697</v>
      </c>
      <c r="M369" s="123" t="inlineStr">
        <is>
          <t>MM2MD070003A</t>
        </is>
      </c>
      <c r="N369" s="117" t="n"/>
    </row>
    <row r="370" ht="17.25" customHeight="1" s="453" thickBot="1">
      <c r="A370" s="553">
        <f>IFERROR(LEFT(B370,7),"")</f>
        <v/>
      </c>
      <c r="B370" s="554">
        <f>"2025/08"&amp;D370</f>
        <v/>
      </c>
      <c r="C370" s="555" t="n">
        <v>137</v>
      </c>
      <c r="D370" s="486" t="inlineStr">
        <is>
          <t>忠孝7樓</t>
        </is>
      </c>
      <c r="E370" s="486" t="inlineStr">
        <is>
          <t>6220012</t>
        </is>
      </c>
      <c r="F370" s="551" t="n"/>
      <c r="G370" s="486" t="inlineStr">
        <is>
          <t>(V)(第一劑)海菲秀 Activ-4 Skin Solution/mL</t>
        </is>
      </c>
      <c r="H370" s="552" t="n"/>
      <c r="I370" s="552" t="n"/>
      <c r="J370" s="551" t="n"/>
      <c r="K370" s="486" t="inlineStr">
        <is>
          <t>ml</t>
        </is>
      </c>
      <c r="L370" s="556" t="n">
        <v>10455</v>
      </c>
      <c r="M370" s="123" t="inlineStr">
        <is>
          <t>MP1MD070012A</t>
        </is>
      </c>
      <c r="N370" s="117" t="n"/>
    </row>
    <row r="371" ht="17.25" customHeight="1" s="453" thickBot="1">
      <c r="A371" s="553">
        <f>IFERROR(LEFT(B371,7),"")</f>
        <v/>
      </c>
      <c r="B371" s="554">
        <f>"2025/08"&amp;D371</f>
        <v/>
      </c>
      <c r="C371" s="555" t="n">
        <v>138</v>
      </c>
      <c r="D371" s="486" t="inlineStr">
        <is>
          <t>忠孝7樓</t>
        </is>
      </c>
      <c r="E371" s="486" t="inlineStr">
        <is>
          <t>6220013</t>
        </is>
      </c>
      <c r="F371" s="551" t="n"/>
      <c r="G371" s="486" t="inlineStr">
        <is>
          <t>(V)(第二劑)海菲秀 Beta-HD Skin Solution /mL</t>
        </is>
      </c>
      <c r="H371" s="552" t="n"/>
      <c r="I371" s="552" t="n"/>
      <c r="J371" s="551" t="n"/>
      <c r="K371" s="486" t="inlineStr">
        <is>
          <t>ml</t>
        </is>
      </c>
      <c r="L371" s="556" t="n">
        <v>10455</v>
      </c>
      <c r="M371" s="123" t="inlineStr">
        <is>
          <t>MP1MD070013A</t>
        </is>
      </c>
      <c r="N371" s="117" t="n"/>
    </row>
    <row r="372" ht="17.25" customHeight="1" s="453" thickBot="1">
      <c r="A372" s="553">
        <f>IFERROR(LEFT(B372,7),"")</f>
        <v/>
      </c>
      <c r="B372" s="554">
        <f>"2025/08"&amp;D372</f>
        <v/>
      </c>
      <c r="C372" s="555" t="n">
        <v>139</v>
      </c>
      <c r="D372" s="486" t="inlineStr">
        <is>
          <t>忠孝7樓</t>
        </is>
      </c>
      <c r="E372" s="486" t="inlineStr">
        <is>
          <t>6220014</t>
        </is>
      </c>
      <c r="F372" s="551" t="n"/>
      <c r="G372" s="486" t="inlineStr">
        <is>
          <t>(V)(第三劑)海菲秀 Antiox-6 Skin Solution /mL</t>
        </is>
      </c>
      <c r="H372" s="552" t="n"/>
      <c r="I372" s="552" t="n"/>
      <c r="J372" s="551" t="n"/>
      <c r="K372" s="486" t="inlineStr">
        <is>
          <t>ml</t>
        </is>
      </c>
      <c r="L372" s="556" t="n">
        <v>10455</v>
      </c>
      <c r="M372" s="123" t="inlineStr">
        <is>
          <t>MP1MD070014A</t>
        </is>
      </c>
      <c r="N372" s="117" t="n"/>
    </row>
    <row r="373" ht="17.25" customHeight="1" s="453" thickBot="1">
      <c r="A373" s="553">
        <f>IFERROR(LEFT(B373,7),"")</f>
        <v/>
      </c>
      <c r="B373" s="554">
        <f>"2025/08"&amp;D373</f>
        <v/>
      </c>
      <c r="C373" s="555" t="n">
        <v>140</v>
      </c>
      <c r="D373" s="486" t="inlineStr">
        <is>
          <t>忠孝7樓</t>
        </is>
      </c>
      <c r="E373" s="486" t="inlineStr">
        <is>
          <t>6220015</t>
        </is>
      </c>
      <c r="F373" s="551" t="n"/>
      <c r="G373" s="486" t="inlineStr">
        <is>
          <t>(V)(第四劑)海菲秀 Rinseaway System Cleaning Solution /mL</t>
        </is>
      </c>
      <c r="H373" s="552" t="n"/>
      <c r="I373" s="552" t="n"/>
      <c r="J373" s="551" t="n"/>
      <c r="K373" s="486" t="inlineStr">
        <is>
          <t>ml</t>
        </is>
      </c>
      <c r="L373" s="556" t="n">
        <v>5055</v>
      </c>
      <c r="M373" s="123" t="inlineStr">
        <is>
          <t>MP1MD070015A</t>
        </is>
      </c>
      <c r="N373" s="117" t="n"/>
    </row>
    <row r="374" ht="33.75" customHeight="1" s="453" thickBot="1">
      <c r="A374" s="553">
        <f>IFERROR(LEFT(B374,7),"")</f>
        <v/>
      </c>
      <c r="B374" s="554">
        <f>"2025/08"&amp;D374</f>
        <v/>
      </c>
      <c r="C374" s="555" t="n">
        <v>141</v>
      </c>
      <c r="D374" s="486" t="inlineStr">
        <is>
          <t>忠孝國際醫學3樓</t>
        </is>
      </c>
      <c r="E374" s="486" t="inlineStr">
        <is>
          <t>6120001</t>
        </is>
      </c>
      <c r="F374" s="551" t="n"/>
      <c r="G374" s="486" t="inlineStr">
        <is>
          <t>(V)肝得健注射劑/ 瓶，220倍數叫貨</t>
        </is>
      </c>
      <c r="H374" s="552" t="n"/>
      <c r="I374" s="552" t="n"/>
      <c r="J374" s="551" t="n"/>
      <c r="K374" s="486" t="inlineStr">
        <is>
          <t>20支/盒</t>
        </is>
      </c>
      <c r="L374" s="556" t="n">
        <v>382</v>
      </c>
      <c r="M374" s="123" t="inlineStr">
        <is>
          <t>MB3ME090001A</t>
        </is>
      </c>
      <c r="N374" s="117" t="n"/>
    </row>
    <row r="375" ht="33.75" customHeight="1" s="453" thickBot="1">
      <c r="A375" s="553">
        <f>IFERROR(LEFT(B375,7),"")</f>
        <v/>
      </c>
      <c r="B375" s="554">
        <f>"2025/08"&amp;D375</f>
        <v/>
      </c>
      <c r="C375" s="555" t="n">
        <v>142</v>
      </c>
      <c r="D375" s="486" t="inlineStr">
        <is>
          <t>忠孝國際醫學3樓</t>
        </is>
      </c>
      <c r="E375" s="486" t="inlineStr">
        <is>
          <t>6120002</t>
        </is>
      </c>
      <c r="F375" s="551" t="n"/>
      <c r="G375" s="486" t="inlineStr">
        <is>
          <t>(V)卡妮丁注射劑/ 瓶，220倍數叫貨</t>
        </is>
      </c>
      <c r="H375" s="552" t="n"/>
      <c r="I375" s="552" t="n"/>
      <c r="J375" s="551" t="n"/>
      <c r="K375" s="486" t="inlineStr">
        <is>
          <t>20支/盒</t>
        </is>
      </c>
      <c r="L375" s="556" t="n">
        <v>491</v>
      </c>
      <c r="M375" s="123" t="inlineStr">
        <is>
          <t>MB3ME090002A</t>
        </is>
      </c>
      <c r="N375" s="117" t="n"/>
    </row>
    <row r="376" ht="33.75" customHeight="1" s="453" thickBot="1">
      <c r="A376" s="553">
        <f>IFERROR(LEFT(B376,7),"")</f>
        <v/>
      </c>
      <c r="B376" s="554">
        <f>"2025/08"&amp;D376</f>
        <v/>
      </c>
      <c r="C376" s="555" t="n">
        <v>143</v>
      </c>
      <c r="D376" s="486" t="inlineStr">
        <is>
          <t>忠孝國際醫學3樓</t>
        </is>
      </c>
      <c r="E376" s="486" t="inlineStr">
        <is>
          <t>6120004</t>
        </is>
      </c>
      <c r="F376" s="551" t="n"/>
      <c r="G376" s="486" t="inlineStr">
        <is>
          <t>(V)胺基酸點滴250ml/ 袋(安命活源/嘉安命)，20倍數叫貨</t>
        </is>
      </c>
      <c r="H376" s="552" t="n"/>
      <c r="I376" s="552" t="n"/>
      <c r="J376" s="551" t="n"/>
      <c r="K376" s="486" t="inlineStr">
        <is>
          <t>(20瓶/箱)</t>
        </is>
      </c>
      <c r="L376" s="556" t="n">
        <v>9</v>
      </c>
      <c r="M376" s="123" t="inlineStr">
        <is>
          <t>MB3ME090006A</t>
        </is>
      </c>
      <c r="N376" s="117" t="n"/>
    </row>
    <row r="377" ht="33.75" customHeight="1" s="453" thickBot="1">
      <c r="A377" s="553">
        <f>IFERROR(LEFT(B377,7),"")</f>
        <v/>
      </c>
      <c r="B377" s="554">
        <f>"2025/08"&amp;D377</f>
        <v/>
      </c>
      <c r="C377" s="555" t="n">
        <v>144</v>
      </c>
      <c r="D377" s="486" t="inlineStr">
        <is>
          <t>忠孝國際醫學3樓</t>
        </is>
      </c>
      <c r="E377" s="486" t="inlineStr">
        <is>
          <t>6120006</t>
        </is>
      </c>
      <c r="F377" s="551" t="n"/>
      <c r="G377" s="486" t="inlineStr">
        <is>
          <t>(V)(B12) 愛壽命 2mL，100倍數叫貨</t>
        </is>
      </c>
      <c r="H377" s="552" t="n"/>
      <c r="I377" s="552" t="n"/>
      <c r="J377" s="551" t="n"/>
      <c r="K377" s="486" t="inlineStr">
        <is>
          <t>(100支/盒)</t>
        </is>
      </c>
      <c r="L377" s="556" t="n">
        <v>219</v>
      </c>
      <c r="M377" s="123" t="inlineStr">
        <is>
          <t>MB3ME090011A</t>
        </is>
      </c>
      <c r="N377" s="117" t="n"/>
    </row>
    <row r="378" ht="33.75" customHeight="1" s="453" thickBot="1">
      <c r="A378" s="553">
        <f>IFERROR(LEFT(B378,7),"")</f>
        <v/>
      </c>
      <c r="B378" s="554">
        <f>"2025/08"&amp;D378</f>
        <v/>
      </c>
      <c r="C378" s="555" t="n">
        <v>145</v>
      </c>
      <c r="D378" s="486" t="inlineStr">
        <is>
          <t>忠孝國際醫學3樓</t>
        </is>
      </c>
      <c r="E378" s="486" t="inlineStr">
        <is>
          <t>6120013</t>
        </is>
      </c>
      <c r="F378" s="551" t="n"/>
      <c r="G378" s="486" t="inlineStr">
        <is>
          <t>(V)生理食鹽水(NS) 250ml/ 袋</t>
        </is>
      </c>
      <c r="H378" s="552" t="n"/>
      <c r="I378" s="552" t="n"/>
      <c r="J378" s="551" t="n"/>
      <c r="K378" s="486" t="inlineStr">
        <is>
          <t>55瓶/箱</t>
        </is>
      </c>
      <c r="L378" s="556" t="n">
        <v>506</v>
      </c>
      <c r="M378" s="123" t="inlineStr">
        <is>
          <t>MB3ME090008A</t>
        </is>
      </c>
      <c r="N378" s="117" t="n"/>
    </row>
    <row r="379" ht="33.75" customHeight="1" s="453" thickBot="1">
      <c r="A379" s="553">
        <f>IFERROR(LEFT(B379,7),"")</f>
        <v/>
      </c>
      <c r="B379" s="554">
        <f>"2025/08"&amp;D379</f>
        <v/>
      </c>
      <c r="C379" s="555" t="n">
        <v>146</v>
      </c>
      <c r="D379" s="486" t="inlineStr">
        <is>
          <t>忠孝國際醫學3樓</t>
        </is>
      </c>
      <c r="E379" s="486" t="inlineStr">
        <is>
          <t>6120015</t>
        </is>
      </c>
      <c r="F379" s="551" t="n"/>
      <c r="G379" s="486" t="inlineStr">
        <is>
          <t>(V)(B群)淘能美複合維他命B 2ml，100倍數叫貨</t>
        </is>
      </c>
      <c r="H379" s="552" t="n"/>
      <c r="I379" s="552" t="n"/>
      <c r="J379" s="551" t="n"/>
      <c r="K379" s="486" t="n"/>
      <c r="L379" s="556" t="n">
        <v>10</v>
      </c>
      <c r="M379" s="123" t="inlineStr">
        <is>
          <t>MB3ME090014A</t>
        </is>
      </c>
      <c r="N379" s="117" t="n"/>
    </row>
    <row r="380" ht="33.75" customHeight="1" s="453" thickBot="1">
      <c r="A380" s="553">
        <f>IFERROR(LEFT(B380,7),"")</f>
        <v/>
      </c>
      <c r="B380" s="554">
        <f>"2025/08"&amp;D380</f>
        <v/>
      </c>
      <c r="C380" s="555" t="n">
        <v>147</v>
      </c>
      <c r="D380" s="486" t="inlineStr">
        <is>
          <t>忠孝國際醫學3樓</t>
        </is>
      </c>
      <c r="E380" s="486" t="inlineStr">
        <is>
          <t>6120016</t>
        </is>
      </c>
      <c r="F380" s="551" t="n"/>
      <c r="G380" s="486" t="inlineStr">
        <is>
          <t>(V)(榖胱肝肽) 克樂達養200mg (20ml/瓶)</t>
        </is>
      </c>
      <c r="H380" s="552" t="n"/>
      <c r="I380" s="552" t="n"/>
      <c r="J380" s="551" t="n"/>
      <c r="K380" s="486" t="inlineStr">
        <is>
          <t>50支/盒</t>
        </is>
      </c>
      <c r="L380" s="556" t="n">
        <v>10</v>
      </c>
      <c r="M380" s="123" t="inlineStr">
        <is>
          <t>MB3ME090015A</t>
        </is>
      </c>
      <c r="N380" s="117" t="n"/>
    </row>
    <row r="381" ht="33.75" customHeight="1" s="453" thickBot="1">
      <c r="A381" s="553">
        <f>IFERROR(LEFT(B381,7),"")</f>
        <v/>
      </c>
      <c r="B381" s="554">
        <f>"2025/08"&amp;D381</f>
        <v/>
      </c>
      <c r="C381" s="555" t="n">
        <v>148</v>
      </c>
      <c r="D381" s="486" t="inlineStr">
        <is>
          <t>忠孝國際醫學3樓</t>
        </is>
      </c>
      <c r="E381" s="486" t="inlineStr">
        <is>
          <t>6120021</t>
        </is>
      </c>
      <c r="F381" s="551" t="n"/>
      <c r="G381" s="486" t="inlineStr">
        <is>
          <t>(V)(Vit C)(抗壞血酸/諾貝爾)20ml，50倍數下單</t>
        </is>
      </c>
      <c r="H381" s="552" t="n"/>
      <c r="I381" s="552" t="n"/>
      <c r="J381" s="551" t="n"/>
      <c r="K381" s="486" t="inlineStr">
        <is>
          <t>50支/盒</t>
        </is>
      </c>
      <c r="L381" s="556" t="n">
        <v>10</v>
      </c>
      <c r="M381" s="123" t="inlineStr">
        <is>
          <t>MB3ME090009A</t>
        </is>
      </c>
      <c r="N381" s="117" t="n"/>
    </row>
    <row r="382" ht="33.75" customHeight="1" s="453" thickBot="1">
      <c r="A382" s="553">
        <f>IFERROR(LEFT(B382,7),"")</f>
        <v/>
      </c>
      <c r="B382" s="554">
        <f>"2025/08"&amp;D382</f>
        <v/>
      </c>
      <c r="C382" s="555" t="n">
        <v>149</v>
      </c>
      <c r="D382" s="486" t="inlineStr">
        <is>
          <t>忠孝國際醫學3樓</t>
        </is>
      </c>
      <c r="E382" s="486" t="inlineStr">
        <is>
          <t>6200004</t>
        </is>
      </c>
      <c r="F382" s="551" t="n"/>
      <c r="G382" s="486" t="inlineStr">
        <is>
          <t>阿爾發SAT卡匣/ 發</t>
        </is>
      </c>
      <c r="H382" s="552" t="n"/>
      <c r="I382" s="552" t="n"/>
      <c r="J382" s="551" t="n"/>
      <c r="K382" s="486" t="inlineStr">
        <is>
          <t>50發/卡</t>
        </is>
      </c>
      <c r="L382" s="556" t="n">
        <v>1433</v>
      </c>
      <c r="M382" s="123" t="inlineStr">
        <is>
          <t>MM2MC070001A</t>
        </is>
      </c>
      <c r="N382" s="117" t="n"/>
    </row>
    <row r="383" ht="33.75" customHeight="1" s="453" thickBot="1">
      <c r="A383" s="553">
        <f>IFERROR(LEFT(B383,7),"")</f>
        <v/>
      </c>
      <c r="B383" s="554">
        <f>"2025/08"&amp;D383</f>
        <v/>
      </c>
      <c r="C383" s="555" t="n">
        <v>150</v>
      </c>
      <c r="D383" s="486" t="inlineStr">
        <is>
          <t>忠孝國際醫學3樓</t>
        </is>
      </c>
      <c r="E383" s="486" t="inlineStr">
        <is>
          <t>6200007</t>
        </is>
      </c>
      <c r="F383" s="551" t="n"/>
      <c r="G383" s="486" t="inlineStr">
        <is>
          <t>瘦瘦筆-針頭*1個</t>
        </is>
      </c>
      <c r="H383" s="552" t="n"/>
      <c r="I383" s="552" t="n"/>
      <c r="J383" s="551" t="n"/>
      <c r="K383" s="486" t="inlineStr">
        <is>
          <t>個</t>
        </is>
      </c>
      <c r="L383" s="556" t="n">
        <v>332</v>
      </c>
      <c r="M383" s="123" t="n"/>
      <c r="N383" s="117" t="n"/>
    </row>
    <row r="384" ht="33.75" customHeight="1" s="453" thickBot="1">
      <c r="A384" s="553">
        <f>IFERROR(LEFT(B384,7),"")</f>
        <v/>
      </c>
      <c r="B384" s="554">
        <f>"2025/08"&amp;D384</f>
        <v/>
      </c>
      <c r="C384" s="555" t="n">
        <v>151</v>
      </c>
      <c r="D384" s="486" t="inlineStr">
        <is>
          <t>忠孝國際醫學3樓</t>
        </is>
      </c>
      <c r="E384" s="486" t="inlineStr">
        <is>
          <t>6200008</t>
        </is>
      </c>
      <c r="F384" s="551" t="n"/>
      <c r="G384" s="486" t="inlineStr">
        <is>
          <t>瘦瘦筆-週纖達*1支(0.25mg)</t>
        </is>
      </c>
      <c r="H384" s="552" t="n"/>
      <c r="I384" s="552" t="n"/>
      <c r="J384" s="551" t="n"/>
      <c r="K384" s="486" t="inlineStr">
        <is>
          <t>支</t>
        </is>
      </c>
      <c r="L384" s="556" t="n">
        <v>4</v>
      </c>
      <c r="M384" s="123" t="inlineStr">
        <is>
          <t>MB3ME110003A</t>
        </is>
      </c>
      <c r="N384" s="117" t="n"/>
    </row>
    <row r="385" ht="33.75" customHeight="1" s="453" thickBot="1">
      <c r="A385" s="553">
        <f>IFERROR(LEFT(B385,7),"")</f>
        <v/>
      </c>
      <c r="B385" s="554">
        <f>"2025/08"&amp;D385</f>
        <v/>
      </c>
      <c r="C385" s="555" t="n">
        <v>152</v>
      </c>
      <c r="D385" s="486" t="inlineStr">
        <is>
          <t>忠孝國際醫學3樓</t>
        </is>
      </c>
      <c r="E385" s="486" t="inlineStr">
        <is>
          <t>6200010</t>
        </is>
      </c>
      <c r="F385" s="551" t="n"/>
      <c r="G385" s="486" t="inlineStr">
        <is>
          <t>瘦瘦筆-週纖達*1支(1.0mg)</t>
        </is>
      </c>
      <c r="H385" s="552" t="n"/>
      <c r="I385" s="552" t="n"/>
      <c r="J385" s="551" t="n"/>
      <c r="K385" s="486" t="inlineStr">
        <is>
          <t>支</t>
        </is>
      </c>
      <c r="L385" s="556" t="n">
        <v>6</v>
      </c>
      <c r="M385" s="123" t="inlineStr">
        <is>
          <t>MB3ME110005A</t>
        </is>
      </c>
      <c r="N385" s="117" t="n"/>
    </row>
    <row r="386" ht="33.75" customHeight="1" s="453" thickBot="1">
      <c r="A386" s="553">
        <f>IFERROR(LEFT(B386,7),"")</f>
        <v/>
      </c>
      <c r="B386" s="554">
        <f>"2025/08"&amp;D386</f>
        <v/>
      </c>
      <c r="C386" s="555" t="n">
        <v>153</v>
      </c>
      <c r="D386" s="486" t="inlineStr">
        <is>
          <t>忠孝國際醫學3樓</t>
        </is>
      </c>
      <c r="E386" s="486" t="inlineStr">
        <is>
          <t>6200013</t>
        </is>
      </c>
      <c r="F386" s="551" t="n"/>
      <c r="G386" s="486" t="inlineStr">
        <is>
          <t>(V)猛健樂*1支(2.5mg)</t>
        </is>
      </c>
      <c r="H386" s="552" t="n"/>
      <c r="I386" s="552" t="n"/>
      <c r="J386" s="551" t="n"/>
      <c r="K386" s="486" t="inlineStr">
        <is>
          <t>支</t>
        </is>
      </c>
      <c r="L386" s="556" t="n">
        <v>32</v>
      </c>
      <c r="M386" s="123" t="inlineStr">
        <is>
          <t>MB3ME110008A</t>
        </is>
      </c>
      <c r="N386" s="117" t="n"/>
    </row>
    <row r="387" ht="33.75" customHeight="1" s="453" thickBot="1">
      <c r="A387" s="553">
        <f>IFERROR(LEFT(B387,7),"")</f>
        <v/>
      </c>
      <c r="B387" s="554">
        <f>"2025/08"&amp;D387</f>
        <v/>
      </c>
      <c r="C387" s="555" t="n">
        <v>154</v>
      </c>
      <c r="D387" s="486" t="inlineStr">
        <is>
          <t>忠孝國際醫學3樓</t>
        </is>
      </c>
      <c r="E387" s="486" t="inlineStr">
        <is>
          <t>6200014</t>
        </is>
      </c>
      <c r="F387" s="551" t="n"/>
      <c r="G387" s="486" t="inlineStr">
        <is>
          <t>(V)猛健樂*1支(5mg)</t>
        </is>
      </c>
      <c r="H387" s="552" t="n"/>
      <c r="I387" s="552" t="n"/>
      <c r="J387" s="551" t="n"/>
      <c r="K387" s="486" t="inlineStr">
        <is>
          <t>支</t>
        </is>
      </c>
      <c r="L387" s="556" t="n">
        <v>26</v>
      </c>
      <c r="M387" s="123" t="inlineStr">
        <is>
          <t>MB3ME110009A</t>
        </is>
      </c>
      <c r="N387" s="117" t="n"/>
    </row>
    <row r="388" ht="33.75" customHeight="1" s="453" thickBot="1">
      <c r="A388" s="553">
        <f>IFERROR(LEFT(B388,7),"")</f>
        <v/>
      </c>
      <c r="B388" s="554">
        <f>"2025/08"&amp;D388</f>
        <v/>
      </c>
      <c r="C388" s="555" t="n">
        <v>155</v>
      </c>
      <c r="D388" s="486" t="inlineStr">
        <is>
          <t>忠孝國際醫學3樓</t>
        </is>
      </c>
      <c r="E388" s="486" t="inlineStr">
        <is>
          <t>6200015</t>
        </is>
      </c>
      <c r="F388" s="551" t="n"/>
      <c r="G388" s="486" t="inlineStr">
        <is>
          <t>(V)猛健樂*1支(7.5mg)</t>
        </is>
      </c>
      <c r="H388" s="552" t="n"/>
      <c r="I388" s="552" t="n"/>
      <c r="J388" s="551" t="n"/>
      <c r="K388" s="486" t="inlineStr">
        <is>
          <t>支</t>
        </is>
      </c>
      <c r="L388" s="556" t="n">
        <v>2</v>
      </c>
      <c r="M388" s="123" t="inlineStr">
        <is>
          <t>MB3ME110010A</t>
        </is>
      </c>
      <c r="N388" s="117" t="n"/>
    </row>
    <row r="389" ht="33.75" customHeight="1" s="453" thickBot="1">
      <c r="A389" s="553">
        <f>IFERROR(LEFT(B389,7),"")</f>
        <v/>
      </c>
      <c r="B389" s="554">
        <f>"2025/08"&amp;D389</f>
        <v/>
      </c>
      <c r="C389" s="555" t="n">
        <v>156</v>
      </c>
      <c r="D389" s="486" t="inlineStr">
        <is>
          <t>忠孝國際醫學3樓</t>
        </is>
      </c>
      <c r="E389" s="486" t="inlineStr">
        <is>
          <t>6200016</t>
        </is>
      </c>
      <c r="F389" s="551" t="n"/>
      <c r="G389" s="486" t="inlineStr">
        <is>
          <t>(V)猛健樂*1支(10mg)</t>
        </is>
      </c>
      <c r="H389" s="552" t="n"/>
      <c r="I389" s="552" t="n"/>
      <c r="J389" s="551" t="n"/>
      <c r="K389" s="486" t="inlineStr">
        <is>
          <t>支</t>
        </is>
      </c>
      <c r="L389" s="556" t="n">
        <v>23</v>
      </c>
      <c r="M389" s="123" t="inlineStr">
        <is>
          <t>MB3ME110011A</t>
        </is>
      </c>
      <c r="N389" s="117" t="n"/>
    </row>
    <row r="390" ht="17.25" customHeight="1" s="453" thickBot="1">
      <c r="A390" s="553">
        <f>IFERROR(LEFT(B390,7),"")</f>
        <v/>
      </c>
      <c r="B390" s="554">
        <f>"2025/09"&amp;D390</f>
        <v/>
      </c>
      <c r="C390" s="557" t="n">
        <v>1</v>
      </c>
      <c r="D390" s="488" t="inlineStr">
        <is>
          <t>站前4樓</t>
        </is>
      </c>
      <c r="E390" s="488" t="inlineStr">
        <is>
          <t>6120004</t>
        </is>
      </c>
      <c r="F390" s="551" t="n"/>
      <c r="G390" s="488" t="inlineStr">
        <is>
          <t>(V)胺基酸點滴250ml/ 袋(安命活源/嘉安命)，20倍數叫貨</t>
        </is>
      </c>
      <c r="H390" s="552" t="n"/>
      <c r="I390" s="552" t="n"/>
      <c r="J390" s="551" t="n"/>
      <c r="K390" s="488" t="inlineStr">
        <is>
          <t>(20瓶/箱)</t>
        </is>
      </c>
      <c r="L390" s="558" t="n">
        <v>2</v>
      </c>
      <c r="M390" s="123" t="inlineStr">
        <is>
          <t>MB3ME090006A</t>
        </is>
      </c>
      <c r="N390" s="117" t="n"/>
    </row>
    <row r="391" ht="17.25" customHeight="1" s="453" thickBot="1">
      <c r="A391" s="553">
        <f>IFERROR(LEFT(B391,7),"")</f>
        <v/>
      </c>
      <c r="B391" s="554">
        <f>"2025/09"&amp;D391</f>
        <v/>
      </c>
      <c r="C391" s="557" t="n">
        <v>2</v>
      </c>
      <c r="D391" s="488" t="inlineStr">
        <is>
          <t>站前4樓</t>
        </is>
      </c>
      <c r="E391" s="488" t="inlineStr">
        <is>
          <t>6120013</t>
        </is>
      </c>
      <c r="F391" s="551" t="n"/>
      <c r="G391" s="488" t="inlineStr">
        <is>
          <t>(V)生理食鹽水(NS) 250ml/ 袋</t>
        </is>
      </c>
      <c r="H391" s="552" t="n"/>
      <c r="I391" s="552" t="n"/>
      <c r="J391" s="551" t="n"/>
      <c r="K391" s="488" t="inlineStr">
        <is>
          <t>55瓶/箱</t>
        </is>
      </c>
      <c r="L391" s="558" t="n">
        <v>202</v>
      </c>
      <c r="M391" s="123" t="inlineStr">
        <is>
          <t>MB3ME090008A</t>
        </is>
      </c>
      <c r="N391" s="117" t="n"/>
    </row>
    <row r="392" ht="17.25" customHeight="1" s="453" thickBot="1">
      <c r="A392" s="553">
        <f>IFERROR(LEFT(B392,7),"")</f>
        <v/>
      </c>
      <c r="B392" s="554">
        <f>"2025/09"&amp;D392</f>
        <v/>
      </c>
      <c r="C392" s="557" t="n">
        <v>3</v>
      </c>
      <c r="D392" s="488" t="inlineStr">
        <is>
          <t>站前4樓</t>
        </is>
      </c>
      <c r="E392" s="488" t="inlineStr">
        <is>
          <t>6120015</t>
        </is>
      </c>
      <c r="F392" s="551" t="n"/>
      <c r="G392" s="488" t="inlineStr">
        <is>
          <t>(V)(B群)淘能美複合維他命B 2ml，100倍數叫貨</t>
        </is>
      </c>
      <c r="H392" s="552" t="n"/>
      <c r="I392" s="552" t="n"/>
      <c r="J392" s="551" t="n"/>
      <c r="K392" s="488" t="n"/>
      <c r="L392" s="558" t="n">
        <v>204</v>
      </c>
      <c r="M392" s="123" t="inlineStr">
        <is>
          <t>MB3ME090014A</t>
        </is>
      </c>
      <c r="N392" s="117" t="n"/>
    </row>
    <row r="393" ht="17.25" customHeight="1" s="453" thickBot="1">
      <c r="A393" s="553">
        <f>IFERROR(LEFT(B393,7),"")</f>
        <v/>
      </c>
      <c r="B393" s="554">
        <f>"2025/09"&amp;D393</f>
        <v/>
      </c>
      <c r="C393" s="557" t="n">
        <v>4</v>
      </c>
      <c r="D393" s="488" t="inlineStr">
        <is>
          <t>站前4樓</t>
        </is>
      </c>
      <c r="E393" s="488" t="inlineStr">
        <is>
          <t>6120016</t>
        </is>
      </c>
      <c r="F393" s="551" t="n"/>
      <c r="G393" s="488" t="inlineStr">
        <is>
          <t>(V)(榖胱肝肽) 克樂達養200mg (20ml/瓶)</t>
        </is>
      </c>
      <c r="H393" s="552" t="n"/>
      <c r="I393" s="552" t="n"/>
      <c r="J393" s="551" t="n"/>
      <c r="K393" s="488" t="inlineStr">
        <is>
          <t>50支/盒</t>
        </is>
      </c>
      <c r="L393" s="558" t="n">
        <v>204</v>
      </c>
      <c r="M393" s="123" t="inlineStr">
        <is>
          <t>MB3ME090015A</t>
        </is>
      </c>
      <c r="N393" s="117" t="n"/>
    </row>
    <row r="394" ht="17.25" customHeight="1" s="453" thickBot="1">
      <c r="A394" s="553">
        <f>IFERROR(LEFT(B394,7),"")</f>
        <v/>
      </c>
      <c r="B394" s="554">
        <f>"2025/09"&amp;D394</f>
        <v/>
      </c>
      <c r="C394" s="557" t="n">
        <v>5</v>
      </c>
      <c r="D394" s="488" t="inlineStr">
        <is>
          <t>站前4樓</t>
        </is>
      </c>
      <c r="E394" s="488" t="inlineStr">
        <is>
          <t>6120018</t>
        </is>
      </c>
      <c r="F394" s="551" t="n"/>
      <c r="G394" s="488" t="inlineStr">
        <is>
          <t>(V)(傳明酸)止血明 5ml/支</t>
        </is>
      </c>
      <c r="H394" s="552" t="n"/>
      <c r="I394" s="552" t="n"/>
      <c r="J394" s="551" t="n"/>
      <c r="K394" s="488" t="inlineStr">
        <is>
          <t>50支/盒</t>
        </is>
      </c>
      <c r="L394" s="558" t="n">
        <v>18</v>
      </c>
      <c r="M394" s="123" t="inlineStr">
        <is>
          <t>MB3ME090023A</t>
        </is>
      </c>
      <c r="N394" s="117" t="n"/>
    </row>
    <row r="395" ht="17.25" customHeight="1" s="453" thickBot="1">
      <c r="A395" s="553">
        <f>IFERROR(LEFT(B395,7),"")</f>
        <v/>
      </c>
      <c r="B395" s="554">
        <f>"2025/09"&amp;D395</f>
        <v/>
      </c>
      <c r="C395" s="557" t="n">
        <v>6</v>
      </c>
      <c r="D395" s="488" t="inlineStr">
        <is>
          <t>站前4樓</t>
        </is>
      </c>
      <c r="E395" s="488" t="inlineStr">
        <is>
          <t>6120020</t>
        </is>
      </c>
      <c r="F395" s="551" t="n"/>
      <c r="G395" s="488" t="inlineStr">
        <is>
          <t>(V)(Vit C) 抗壞血酸 2mL，100倍數下單</t>
        </is>
      </c>
      <c r="H395" s="552" t="n"/>
      <c r="I395" s="552" t="n"/>
      <c r="J395" s="551" t="n"/>
      <c r="K395" s="488" t="inlineStr">
        <is>
          <t>100支/盒</t>
        </is>
      </c>
      <c r="L395" s="558" t="n">
        <v>76</v>
      </c>
      <c r="M395" s="123" t="inlineStr">
        <is>
          <t>MB3ME090010A</t>
        </is>
      </c>
      <c r="N395" s="117" t="n"/>
    </row>
    <row r="396" ht="17.25" customHeight="1" s="453" thickBot="1">
      <c r="A396" s="553">
        <f>IFERROR(LEFT(B396,7),"")</f>
        <v/>
      </c>
      <c r="B396" s="554">
        <f>"2025/09"&amp;D396</f>
        <v/>
      </c>
      <c r="C396" s="557" t="n">
        <v>7</v>
      </c>
      <c r="D396" s="488" t="inlineStr">
        <is>
          <t>站前4樓</t>
        </is>
      </c>
      <c r="E396" s="488" t="inlineStr">
        <is>
          <t>6120021</t>
        </is>
      </c>
      <c r="F396" s="551" t="n"/>
      <c r="G396" s="488" t="inlineStr">
        <is>
          <t>(V)(Vit C)(抗壞血酸/諾貝爾)20ml，50倍數下單</t>
        </is>
      </c>
      <c r="H396" s="552" t="n"/>
      <c r="I396" s="552" t="n"/>
      <c r="J396" s="551" t="n"/>
      <c r="K396" s="488" t="inlineStr">
        <is>
          <t>50支/盒</t>
        </is>
      </c>
      <c r="L396" s="558" t="n">
        <v>205</v>
      </c>
      <c r="M396" s="123" t="inlineStr">
        <is>
          <t>MB3ME090009A</t>
        </is>
      </c>
      <c r="N396" s="117" t="n"/>
    </row>
    <row r="397" ht="17.25" customHeight="1" s="453" thickBot="1">
      <c r="A397" s="553">
        <f>IFERROR(LEFT(B397,7),"")</f>
        <v/>
      </c>
      <c r="B397" s="554">
        <f>"2025/09"&amp;D397</f>
        <v/>
      </c>
      <c r="C397" s="557" t="n">
        <v>8</v>
      </c>
      <c r="D397" s="488" t="inlineStr">
        <is>
          <t>站前4樓</t>
        </is>
      </c>
      <c r="E397" s="488" t="inlineStr">
        <is>
          <t>6140001</t>
        </is>
      </c>
      <c r="F397" s="551" t="n"/>
      <c r="G397" s="488" t="inlineStr">
        <is>
          <t>(V)保妥適Botox/ u</t>
        </is>
      </c>
      <c r="H397" s="552" t="n"/>
      <c r="I397" s="552" t="n"/>
      <c r="J397" s="551" t="n"/>
      <c r="K397" s="488" t="inlineStr">
        <is>
          <t>u</t>
        </is>
      </c>
      <c r="L397" s="558" t="n">
        <v>2637</v>
      </c>
      <c r="M397" s="123" t="inlineStr">
        <is>
          <t>MB3ME100001A</t>
        </is>
      </c>
      <c r="N397" s="117" t="n"/>
    </row>
    <row r="398" ht="17.25" customHeight="1" s="453" thickBot="1">
      <c r="A398" s="553">
        <f>IFERROR(LEFT(B398,7),"")</f>
        <v/>
      </c>
      <c r="B398" s="554">
        <f>"2025/09"&amp;D398</f>
        <v/>
      </c>
      <c r="C398" s="557" t="n">
        <v>9</v>
      </c>
      <c r="D398" s="488" t="inlineStr">
        <is>
          <t>站前4樓</t>
        </is>
      </c>
      <c r="E398" s="488" t="inlineStr">
        <is>
          <t>6140003</t>
        </is>
      </c>
      <c r="F398" s="551" t="n"/>
      <c r="G398" s="488" t="inlineStr">
        <is>
          <t>(V)保提拉肉毒Letybo/ u</t>
        </is>
      </c>
      <c r="H398" s="552" t="n"/>
      <c r="I398" s="552" t="n"/>
      <c r="J398" s="551" t="n"/>
      <c r="K398" s="488" t="inlineStr">
        <is>
          <t>u</t>
        </is>
      </c>
      <c r="L398" s="558" t="n">
        <v>2573</v>
      </c>
      <c r="M398" s="123" t="inlineStr">
        <is>
          <t>MB3ME100002A</t>
        </is>
      </c>
      <c r="N398" s="117" t="n"/>
    </row>
    <row r="399" ht="17.25" customHeight="1" s="453" thickBot="1">
      <c r="A399" s="553">
        <f>IFERROR(LEFT(B399,7),"")</f>
        <v/>
      </c>
      <c r="B399" s="554">
        <f>"2025/09"&amp;D399</f>
        <v/>
      </c>
      <c r="C399" s="557" t="n">
        <v>10</v>
      </c>
      <c r="D399" s="488" t="inlineStr">
        <is>
          <t>站前4樓</t>
        </is>
      </c>
      <c r="E399" s="488" t="inlineStr">
        <is>
          <t>6140005</t>
        </is>
      </c>
      <c r="F399" s="551" t="n"/>
      <c r="G399" s="488" t="inlineStr">
        <is>
          <t>(V)奇肌肉毒/ u</t>
        </is>
      </c>
      <c r="H399" s="552" t="n"/>
      <c r="I399" s="552" t="n"/>
      <c r="J399" s="551" t="n"/>
      <c r="K399" s="488" t="inlineStr">
        <is>
          <t>u</t>
        </is>
      </c>
      <c r="L399" s="558" t="n">
        <v>1603</v>
      </c>
      <c r="M399" s="123" t="inlineStr">
        <is>
          <t>MB3ME100003A</t>
        </is>
      </c>
      <c r="N399" s="117" t="n"/>
    </row>
    <row r="400" ht="17.25" customHeight="1" s="453" thickBot="1">
      <c r="A400" s="553">
        <f>IFERROR(LEFT(B400,7),"")</f>
        <v/>
      </c>
      <c r="B400" s="554">
        <f>"2025/09"&amp;D400</f>
        <v/>
      </c>
      <c r="C400" s="557" t="n">
        <v>11</v>
      </c>
      <c r="D400" s="488" t="inlineStr">
        <is>
          <t>站前4樓</t>
        </is>
      </c>
      <c r="E400" s="488" t="inlineStr">
        <is>
          <t>6150001</t>
        </is>
      </c>
      <c r="F400" s="551" t="n"/>
      <c r="G400" s="488" t="inlineStr">
        <is>
          <t>(V)喬雅登-豐麗緹玻尿酸植入物Voluma 1ml</t>
        </is>
      </c>
      <c r="H400" s="552" t="n"/>
      <c r="I400" s="552" t="n"/>
      <c r="J400" s="551" t="n"/>
      <c r="K400" s="488" t="inlineStr">
        <is>
          <t>1ml(2ml/盒)</t>
        </is>
      </c>
      <c r="L400" s="558" t="n">
        <v>64</v>
      </c>
      <c r="M400" s="123" t="inlineStr">
        <is>
          <t>MP1MA020019A</t>
        </is>
      </c>
      <c r="N400" s="117" t="n"/>
    </row>
    <row r="401" ht="17.25" customHeight="1" s="453" thickBot="1">
      <c r="A401" s="553">
        <f>IFERROR(LEFT(B401,7),"")</f>
        <v/>
      </c>
      <c r="B401" s="554">
        <f>"2025/09"&amp;D401</f>
        <v/>
      </c>
      <c r="C401" s="557" t="n">
        <v>12</v>
      </c>
      <c r="D401" s="488" t="inlineStr">
        <is>
          <t>站前4樓</t>
        </is>
      </c>
      <c r="E401" s="488" t="inlineStr">
        <is>
          <t>6150002</t>
        </is>
      </c>
      <c r="F401" s="551" t="n"/>
      <c r="G401" s="488" t="inlineStr">
        <is>
          <t>(V)喬雅登-夢蓓菈玻尿酸植入物Volbella 1ml</t>
        </is>
      </c>
      <c r="H401" s="552" t="n"/>
      <c r="I401" s="552" t="n"/>
      <c r="J401" s="551" t="n"/>
      <c r="K401" s="488" t="inlineStr">
        <is>
          <t>1ml(2ml/盒)</t>
        </is>
      </c>
      <c r="L401" s="558" t="n">
        <v>9</v>
      </c>
      <c r="M401" s="123" t="inlineStr">
        <is>
          <t>MP1MA020020A</t>
        </is>
      </c>
      <c r="N401" s="117" t="n"/>
    </row>
    <row r="402" ht="17.25" customHeight="1" s="453" thickBot="1">
      <c r="A402" s="553">
        <f>IFERROR(LEFT(B402,7),"")</f>
        <v/>
      </c>
      <c r="B402" s="554">
        <f>"2025/09"&amp;D402</f>
        <v/>
      </c>
      <c r="C402" s="557" t="n">
        <v>13</v>
      </c>
      <c r="D402" s="488" t="inlineStr">
        <is>
          <t>站前4樓</t>
        </is>
      </c>
      <c r="E402" s="488" t="inlineStr">
        <is>
          <t>6150004</t>
        </is>
      </c>
      <c r="F402" s="551" t="n"/>
      <c r="G402" s="488" t="inlineStr">
        <is>
          <t>(V)喬雅登-豐塑玻尿酸植入物Volux 1ml</t>
        </is>
      </c>
      <c r="H402" s="552" t="n"/>
      <c r="I402" s="552" t="n"/>
      <c r="J402" s="551" t="n"/>
      <c r="K402" s="488" t="inlineStr">
        <is>
          <t>1ml(2ml/盒)</t>
        </is>
      </c>
      <c r="L402" s="558" t="n">
        <v>10</v>
      </c>
      <c r="M402" s="123" t="inlineStr">
        <is>
          <t>MP1MA020022A</t>
        </is>
      </c>
      <c r="N402" s="117" t="n"/>
    </row>
    <row r="403" ht="17.25" customHeight="1" s="453" thickBot="1">
      <c r="A403" s="553">
        <f>IFERROR(LEFT(B403,7),"")</f>
        <v/>
      </c>
      <c r="B403" s="554">
        <f>"2025/09"&amp;D403</f>
        <v/>
      </c>
      <c r="C403" s="557" t="n">
        <v>14</v>
      </c>
      <c r="D403" s="488" t="inlineStr">
        <is>
          <t>站前4樓</t>
        </is>
      </c>
      <c r="E403" s="488" t="inlineStr">
        <is>
          <t>6150005</t>
        </is>
      </c>
      <c r="F403" s="551" t="n"/>
      <c r="G403" s="488" t="inlineStr">
        <is>
          <t>(V)喬雅登-芙潤玻尿酸植入物Volite 1ml</t>
        </is>
      </c>
      <c r="H403" s="552" t="n"/>
      <c r="I403" s="552" t="n"/>
      <c r="J403" s="551" t="n"/>
      <c r="K403" s="488" t="inlineStr">
        <is>
          <t>1ml(2ml/盒)</t>
        </is>
      </c>
      <c r="L403" s="558" t="n">
        <v>2</v>
      </c>
      <c r="M403" s="123" t="inlineStr">
        <is>
          <t>MP1MA020023A</t>
        </is>
      </c>
      <c r="N403" s="117" t="n"/>
    </row>
    <row r="404" ht="17.25" customHeight="1" s="453" thickBot="1">
      <c r="A404" s="553">
        <f>IFERROR(LEFT(B404,7),"")</f>
        <v/>
      </c>
      <c r="B404" s="554">
        <f>"2025/09"&amp;D404</f>
        <v/>
      </c>
      <c r="C404" s="557" t="n">
        <v>15</v>
      </c>
      <c r="D404" s="488" t="inlineStr">
        <is>
          <t>站前4樓</t>
        </is>
      </c>
      <c r="E404" s="488" t="inlineStr">
        <is>
          <t>6150010</t>
        </is>
      </c>
      <c r="F404" s="551" t="n"/>
      <c r="G404" s="488" t="inlineStr">
        <is>
          <t>(V)仙女玻尿酸大分子 1ml</t>
        </is>
      </c>
      <c r="H404" s="552" t="n"/>
      <c r="I404" s="552" t="n"/>
      <c r="J404" s="551" t="n"/>
      <c r="K404" s="488" t="inlineStr">
        <is>
          <t>1ml(1ml/盒)</t>
        </is>
      </c>
      <c r="L404" s="558" t="n">
        <v>36</v>
      </c>
      <c r="M404" s="123" t="inlineStr">
        <is>
          <t>MP1MA020014A</t>
        </is>
      </c>
      <c r="N404" s="117" t="n"/>
    </row>
    <row r="405" ht="17.25" customHeight="1" s="453" thickBot="1">
      <c r="A405" s="553">
        <f>IFERROR(LEFT(B405,7),"")</f>
        <v/>
      </c>
      <c r="B405" s="554">
        <f>"2025/09"&amp;D405</f>
        <v/>
      </c>
      <c r="C405" s="557" t="n">
        <v>16</v>
      </c>
      <c r="D405" s="488" t="inlineStr">
        <is>
          <t>站前4樓</t>
        </is>
      </c>
      <c r="E405" s="488" t="inlineStr">
        <is>
          <t>6150011</t>
        </is>
      </c>
      <c r="F405" s="551" t="n"/>
      <c r="G405" s="488" t="inlineStr">
        <is>
          <t>(V)仙女玻尿酸小分子 1ml</t>
        </is>
      </c>
      <c r="H405" s="552" t="n"/>
      <c r="I405" s="552" t="n"/>
      <c r="J405" s="551" t="n"/>
      <c r="K405" s="488" t="inlineStr">
        <is>
          <t>1ml(1ml/盒)</t>
        </is>
      </c>
      <c r="L405" s="558" t="n">
        <v>3</v>
      </c>
      <c r="M405" s="123" t="inlineStr">
        <is>
          <t>MP1MA020018A</t>
        </is>
      </c>
      <c r="N405" s="117" t="n"/>
    </row>
    <row r="406" ht="17.25" customHeight="1" s="453" thickBot="1">
      <c r="A406" s="553">
        <f>IFERROR(LEFT(B406,7),"")</f>
        <v/>
      </c>
      <c r="B406" s="554">
        <f>"2025/09"&amp;D406</f>
        <v/>
      </c>
      <c r="C406" s="557" t="n">
        <v>17</v>
      </c>
      <c r="D406" s="488" t="inlineStr">
        <is>
          <t>站前4樓</t>
        </is>
      </c>
      <c r="E406" s="488" t="inlineStr">
        <is>
          <t>6150013</t>
        </is>
      </c>
      <c r="F406" s="551" t="n"/>
      <c r="G406" s="488" t="inlineStr">
        <is>
          <t>(V)逆時針(璞菲洛)2cc</t>
        </is>
      </c>
      <c r="H406" s="552" t="n"/>
      <c r="I406" s="552" t="n"/>
      <c r="J406" s="551" t="n"/>
      <c r="K406" s="488" t="inlineStr">
        <is>
          <t>1ml(1ml/盒)</t>
        </is>
      </c>
      <c r="L406" s="558" t="n">
        <v>17</v>
      </c>
      <c r="M406" s="123" t="inlineStr">
        <is>
          <t>MP1MA020029A</t>
        </is>
      </c>
      <c r="N406" s="117" t="n"/>
    </row>
    <row r="407" ht="17.25" customHeight="1" s="453" thickBot="1">
      <c r="A407" s="553">
        <f>IFERROR(LEFT(B407,7),"")</f>
        <v/>
      </c>
      <c r="B407" s="554">
        <f>"2025/09"&amp;D407</f>
        <v/>
      </c>
      <c r="C407" s="557" t="n">
        <v>18</v>
      </c>
      <c r="D407" s="488" t="inlineStr">
        <is>
          <t>站前4樓</t>
        </is>
      </c>
      <c r="E407" s="488" t="inlineStr">
        <is>
          <t>6160002</t>
        </is>
      </c>
      <c r="F407" s="551" t="n"/>
      <c r="G407" s="488" t="inlineStr">
        <is>
          <t>(V)洢蓮絲植入劑ELLANSÉ-S 1ml</t>
        </is>
      </c>
      <c r="H407" s="552" t="n"/>
      <c r="I407" s="552" t="n"/>
      <c r="J407" s="551" t="n"/>
      <c r="K407" s="488" t="inlineStr">
        <is>
          <t>1ml(2ml/盒)</t>
        </is>
      </c>
      <c r="L407" s="558" t="n">
        <v>53</v>
      </c>
      <c r="M407" s="123" t="inlineStr">
        <is>
          <t>MP1MA020024A</t>
        </is>
      </c>
      <c r="N407" s="117" t="n"/>
    </row>
    <row r="408" ht="17.25" customHeight="1" s="453" thickBot="1">
      <c r="A408" s="553">
        <f>IFERROR(LEFT(B408,7),"")</f>
        <v/>
      </c>
      <c r="B408" s="554">
        <f>"2025/09"&amp;D408</f>
        <v/>
      </c>
      <c r="C408" s="557" t="n">
        <v>19</v>
      </c>
      <c r="D408" s="488" t="inlineStr">
        <is>
          <t>站前4樓</t>
        </is>
      </c>
      <c r="E408" s="488" t="inlineStr">
        <is>
          <t>6160003</t>
        </is>
      </c>
      <c r="F408" s="551" t="n"/>
      <c r="G408" s="488" t="inlineStr">
        <is>
          <t>(V)洢蓮絲植入劑ELLANSÉ-M 1ml</t>
        </is>
      </c>
      <c r="H408" s="552" t="n"/>
      <c r="I408" s="552" t="n"/>
      <c r="J408" s="551" t="n"/>
      <c r="K408" s="488" t="inlineStr">
        <is>
          <t>1ml(2ml/盒)</t>
        </is>
      </c>
      <c r="L408" s="558" t="n">
        <v>6</v>
      </c>
      <c r="M408" s="123" t="inlineStr">
        <is>
          <t>MP1MA020025A</t>
        </is>
      </c>
      <c r="N408" s="117" t="n"/>
    </row>
    <row r="409" ht="17.25" customHeight="1" s="453" thickBot="1">
      <c r="A409" s="553">
        <f>IFERROR(LEFT(B409,7),"")</f>
        <v/>
      </c>
      <c r="B409" s="554">
        <f>"2025/09"&amp;D409</f>
        <v/>
      </c>
      <c r="C409" s="557" t="n">
        <v>20</v>
      </c>
      <c r="D409" s="488" t="inlineStr">
        <is>
          <t>站前4樓</t>
        </is>
      </c>
      <c r="E409" s="488" t="inlineStr">
        <is>
          <t>6160005</t>
        </is>
      </c>
      <c r="F409" s="551" t="n"/>
      <c r="G409" s="488" t="inlineStr">
        <is>
          <t>(V)双美熊貓針</t>
        </is>
      </c>
      <c r="H409" s="552" t="n"/>
      <c r="I409" s="552" t="n"/>
      <c r="J409" s="551" t="n"/>
      <c r="K409" s="488" t="inlineStr">
        <is>
          <t>(1ml/盒)</t>
        </is>
      </c>
      <c r="L409" s="558" t="n">
        <v>14</v>
      </c>
      <c r="M409" s="123" t="inlineStr">
        <is>
          <t>MP1MA020015A</t>
        </is>
      </c>
      <c r="N409" s="117" t="n"/>
    </row>
    <row r="410" ht="17.25" customHeight="1" s="453" thickBot="1">
      <c r="A410" s="553">
        <f>IFERROR(LEFT(B410,7),"")</f>
        <v/>
      </c>
      <c r="B410" s="554">
        <f>"2025/09"&amp;D410</f>
        <v/>
      </c>
      <c r="C410" s="557" t="n">
        <v>21</v>
      </c>
      <c r="D410" s="488" t="inlineStr">
        <is>
          <t>站前4樓</t>
        </is>
      </c>
      <c r="E410" s="488" t="inlineStr">
        <is>
          <t>6160008</t>
        </is>
      </c>
      <c r="F410" s="551" t="n"/>
      <c r="G410" s="488" t="inlineStr">
        <is>
          <t>白童針-薇貝拉50mg/1cc</t>
        </is>
      </c>
      <c r="H410" s="552" t="n"/>
      <c r="I410" s="552" t="n"/>
      <c r="J410" s="551" t="n"/>
      <c r="K410" s="488" t="inlineStr">
        <is>
          <t>6cc/瓶</t>
        </is>
      </c>
      <c r="L410" s="558" t="n">
        <v>40</v>
      </c>
      <c r="M410" s="123" t="inlineStr">
        <is>
          <t>MP1MA020032A</t>
        </is>
      </c>
      <c r="N410" s="117" t="n"/>
    </row>
    <row r="411" ht="17.25" customHeight="1" s="453" thickBot="1">
      <c r="A411" s="553">
        <f>IFERROR(LEFT(B411,7),"")</f>
        <v/>
      </c>
      <c r="B411" s="554">
        <f>"2025/09"&amp;D411</f>
        <v/>
      </c>
      <c r="C411" s="557" t="n">
        <v>22</v>
      </c>
      <c r="D411" s="488" t="inlineStr">
        <is>
          <t>站前4樓</t>
        </is>
      </c>
      <c r="E411" s="488" t="inlineStr">
        <is>
          <t>6160009</t>
        </is>
      </c>
      <c r="F411" s="551" t="n"/>
      <c r="G411" s="488" t="inlineStr">
        <is>
          <t>黑童針-薇貝拉200mg/1cc</t>
        </is>
      </c>
      <c r="H411" s="552" t="n"/>
      <c r="I411" s="552" t="n"/>
      <c r="J411" s="551" t="n"/>
      <c r="K411" s="488" t="inlineStr">
        <is>
          <t>8cc/瓶</t>
        </is>
      </c>
      <c r="L411" s="558" t="n">
        <v>4</v>
      </c>
      <c r="M411" s="123" t="inlineStr">
        <is>
          <t>MP1MA020033A</t>
        </is>
      </c>
      <c r="N411" s="117" t="n"/>
    </row>
    <row r="412" ht="17.25" customHeight="1" s="453" thickBot="1">
      <c r="A412" s="553">
        <f>IFERROR(LEFT(B412,7),"")</f>
        <v/>
      </c>
      <c r="B412" s="554">
        <f>"2025/09"&amp;D412</f>
        <v/>
      </c>
      <c r="C412" s="557" t="n">
        <v>23</v>
      </c>
      <c r="D412" s="488" t="inlineStr">
        <is>
          <t>站前4樓</t>
        </is>
      </c>
      <c r="E412" s="488" t="inlineStr">
        <is>
          <t>6160010</t>
        </is>
      </c>
      <c r="F412" s="551" t="n"/>
      <c r="G412" s="488" t="inlineStr">
        <is>
          <t>喬雅露-大分子200mg/1cc</t>
        </is>
      </c>
      <c r="H412" s="552" t="n"/>
      <c r="I412" s="552" t="n"/>
      <c r="J412" s="551" t="n"/>
      <c r="K412" s="488" t="inlineStr">
        <is>
          <t>8cc/瓶</t>
        </is>
      </c>
      <c r="L412" s="558" t="n">
        <v>76</v>
      </c>
      <c r="M412" s="123" t="inlineStr">
        <is>
          <t>MP1MA020031A</t>
        </is>
      </c>
      <c r="N412" s="117" t="n"/>
    </row>
    <row r="413" ht="17.25" customHeight="1" s="453" thickBot="1">
      <c r="A413" s="553">
        <f>IFERROR(LEFT(B413,7),"")</f>
        <v/>
      </c>
      <c r="B413" s="554">
        <f>"2025/09"&amp;D413</f>
        <v/>
      </c>
      <c r="C413" s="557" t="n">
        <v>24</v>
      </c>
      <c r="D413" s="488" t="inlineStr">
        <is>
          <t>站前4樓</t>
        </is>
      </c>
      <c r="E413" s="488" t="inlineStr">
        <is>
          <t>6160011</t>
        </is>
      </c>
      <c r="F413" s="551" t="n"/>
      <c r="G413" s="488" t="inlineStr">
        <is>
          <t>喬雅露-小分子50mg/1cc</t>
        </is>
      </c>
      <c r="H413" s="552" t="n"/>
      <c r="I413" s="552" t="n"/>
      <c r="J413" s="551" t="n"/>
      <c r="K413" s="488" t="inlineStr">
        <is>
          <t>6cc/瓶</t>
        </is>
      </c>
      <c r="L413" s="558" t="n">
        <v>227</v>
      </c>
      <c r="M413" s="123" t="inlineStr">
        <is>
          <t>MP1MA020030A</t>
        </is>
      </c>
      <c r="N413" s="117" t="n"/>
    </row>
    <row r="414" ht="17.25" customHeight="1" s="453" thickBot="1">
      <c r="A414" s="553">
        <f>IFERROR(LEFT(B414,7),"")</f>
        <v/>
      </c>
      <c r="B414" s="554">
        <f>"2025/09"&amp;D414</f>
        <v/>
      </c>
      <c r="C414" s="557" t="n">
        <v>25</v>
      </c>
      <c r="D414" s="488" t="inlineStr">
        <is>
          <t>站前4樓</t>
        </is>
      </c>
      <c r="E414" s="488" t="inlineStr">
        <is>
          <t>6170005</t>
        </is>
      </c>
      <c r="F414" s="551" t="n"/>
      <c r="G414" s="488" t="inlineStr">
        <is>
          <t>海芙三代音波探頭2mm/ 條</t>
        </is>
      </c>
      <c r="H414" s="552" t="n"/>
      <c r="I414" s="552" t="n"/>
      <c r="J414" s="551" t="n"/>
      <c r="K414" s="488" t="inlineStr">
        <is>
          <t>20000條/顆</t>
        </is>
      </c>
      <c r="L414" s="558" t="n">
        <v>11675</v>
      </c>
      <c r="M414" s="123" t="inlineStr">
        <is>
          <t>MM2MB040003A</t>
        </is>
      </c>
      <c r="N414" s="117" t="n"/>
    </row>
    <row r="415" ht="17.25" customHeight="1" s="453" thickBot="1">
      <c r="A415" s="553">
        <f>IFERROR(LEFT(B415,7),"")</f>
        <v/>
      </c>
      <c r="B415" s="554">
        <f>"2025/09"&amp;D415</f>
        <v/>
      </c>
      <c r="C415" s="557" t="n">
        <v>26</v>
      </c>
      <c r="D415" s="488" t="inlineStr">
        <is>
          <t>站前4樓</t>
        </is>
      </c>
      <c r="E415" s="488" t="inlineStr">
        <is>
          <t>6170007</t>
        </is>
      </c>
      <c r="F415" s="551" t="n"/>
      <c r="G415" s="488" t="inlineStr">
        <is>
          <t>海芙三代音波探頭3mm/ 條</t>
        </is>
      </c>
      <c r="H415" s="552" t="n"/>
      <c r="I415" s="552" t="n"/>
      <c r="J415" s="551" t="n"/>
      <c r="K415" s="488" t="inlineStr">
        <is>
          <t>20000條/顆</t>
        </is>
      </c>
      <c r="L415" s="558" t="n">
        <v>20640</v>
      </c>
      <c r="M415" s="123" t="inlineStr">
        <is>
          <t>MM2MB040004A</t>
        </is>
      </c>
      <c r="N415" s="117" t="n"/>
    </row>
    <row r="416" ht="17.25" customHeight="1" s="453" thickBot="1">
      <c r="A416" s="553">
        <f>IFERROR(LEFT(B416,7),"")</f>
        <v/>
      </c>
      <c r="B416" s="554">
        <f>"2025/09"&amp;D416</f>
        <v/>
      </c>
      <c r="C416" s="557" t="n">
        <v>27</v>
      </c>
      <c r="D416" s="488" t="inlineStr">
        <is>
          <t>站前4樓</t>
        </is>
      </c>
      <c r="E416" s="488" t="inlineStr">
        <is>
          <t>6170009</t>
        </is>
      </c>
      <c r="F416" s="551" t="n"/>
      <c r="G416" s="488" t="inlineStr">
        <is>
          <t>海芙三代音波探頭4.5mm/ 條</t>
        </is>
      </c>
      <c r="H416" s="552" t="n"/>
      <c r="I416" s="552" t="n"/>
      <c r="J416" s="551" t="n"/>
      <c r="K416" s="488" t="inlineStr">
        <is>
          <t>20000條/顆</t>
        </is>
      </c>
      <c r="L416" s="558" t="n">
        <v>33493</v>
      </c>
      <c r="M416" s="123" t="inlineStr">
        <is>
          <t>MM2MB040005A</t>
        </is>
      </c>
      <c r="N416" s="117" t="n"/>
    </row>
    <row r="417" ht="17.25" customHeight="1" s="453" thickBot="1">
      <c r="A417" s="553">
        <f>IFERROR(LEFT(B417,7),"")</f>
        <v/>
      </c>
      <c r="B417" s="554">
        <f>"2025/09"&amp;D417</f>
        <v/>
      </c>
      <c r="C417" s="557" t="n">
        <v>28</v>
      </c>
      <c r="D417" s="488" t="inlineStr">
        <is>
          <t>站前4樓</t>
        </is>
      </c>
      <c r="E417" s="488" t="inlineStr">
        <is>
          <t>6170011</t>
        </is>
      </c>
      <c r="F417" s="551" t="n"/>
      <c r="G417" s="488" t="inlineStr">
        <is>
          <t>海芙三代音波探頭6mm/ 條</t>
        </is>
      </c>
      <c r="H417" s="552" t="n"/>
      <c r="I417" s="552" t="n"/>
      <c r="J417" s="551" t="n"/>
      <c r="K417" s="488" t="inlineStr">
        <is>
          <t>條</t>
        </is>
      </c>
      <c r="L417" s="558" t="n">
        <v>10598</v>
      </c>
      <c r="M417" s="123" t="inlineStr">
        <is>
          <t>MM2MB040006A</t>
        </is>
      </c>
      <c r="N417" s="117" t="n"/>
    </row>
    <row r="418" ht="17.25" customHeight="1" s="453" thickBot="1">
      <c r="A418" s="553">
        <f>IFERROR(LEFT(B418,7),"")</f>
        <v/>
      </c>
      <c r="B418" s="554">
        <f>"2025/09"&amp;D418</f>
        <v/>
      </c>
      <c r="C418" s="557" t="n">
        <v>29</v>
      </c>
      <c r="D418" s="488" t="inlineStr">
        <is>
          <t>站前4樓</t>
        </is>
      </c>
      <c r="E418" s="488" t="inlineStr">
        <is>
          <t>6170013</t>
        </is>
      </c>
      <c r="F418" s="551" t="n"/>
      <c r="G418" s="488" t="inlineStr">
        <is>
          <t>鳳凰電波4平方公分紫鑽探頭(900發)</t>
        </is>
      </c>
      <c r="H418" s="552" t="n"/>
      <c r="I418" s="552" t="n"/>
      <c r="J418" s="551" t="n"/>
      <c r="K418" s="488" t="inlineStr">
        <is>
          <t>顆</t>
        </is>
      </c>
      <c r="L418" s="558" t="n">
        <v>4</v>
      </c>
      <c r="M418" s="123" t="inlineStr">
        <is>
          <t>MP1MB030002A</t>
        </is>
      </c>
      <c r="N418" s="117" t="n"/>
    </row>
    <row r="419" ht="17.25" customHeight="1" s="453" thickBot="1">
      <c r="A419" s="553">
        <f>IFERROR(LEFT(B419,7),"")</f>
        <v/>
      </c>
      <c r="B419" s="554">
        <f>"2025/09"&amp;D419</f>
        <v/>
      </c>
      <c r="C419" s="557" t="n">
        <v>30</v>
      </c>
      <c r="D419" s="488" t="inlineStr">
        <is>
          <t>站前4樓</t>
        </is>
      </c>
      <c r="E419" s="488" t="inlineStr">
        <is>
          <t>6170014</t>
        </is>
      </c>
      <c r="F419" s="551" t="n"/>
      <c r="G419" s="488" t="inlineStr">
        <is>
          <t>鳳凰電波0.25平方公分碧眼探頭(450發)</t>
        </is>
      </c>
      <c r="H419" s="552" t="n"/>
      <c r="I419" s="552" t="n"/>
      <c r="J419" s="551" t="n"/>
      <c r="K419" s="488" t="inlineStr">
        <is>
          <t>顆</t>
        </is>
      </c>
      <c r="L419" s="558" t="n">
        <v>2</v>
      </c>
      <c r="M419" s="123" t="inlineStr">
        <is>
          <t>MP1MB030003A</t>
        </is>
      </c>
      <c r="N419" s="117" t="n"/>
    </row>
    <row r="420" ht="17.25" customHeight="1" s="453" thickBot="1">
      <c r="A420" s="553">
        <f>IFERROR(LEFT(B420,7),"")</f>
        <v/>
      </c>
      <c r="B420" s="554">
        <f>"2025/09"&amp;D420</f>
        <v/>
      </c>
      <c r="C420" s="557" t="n">
        <v>31</v>
      </c>
      <c r="D420" s="488" t="inlineStr">
        <is>
          <t>站前4樓</t>
        </is>
      </c>
      <c r="E420" s="488" t="inlineStr">
        <is>
          <t>6170018</t>
        </is>
      </c>
      <c r="F420" s="551" t="n"/>
      <c r="G420" s="488" t="inlineStr">
        <is>
          <t>媚必提直線探頭1.5mm/條</t>
        </is>
      </c>
      <c r="H420" s="552" t="n"/>
      <c r="I420" s="552" t="n"/>
      <c r="J420" s="551" t="n"/>
      <c r="K420" s="488" t="inlineStr">
        <is>
          <t>20000條/顆</t>
        </is>
      </c>
      <c r="L420" s="558" t="n">
        <v>1200</v>
      </c>
      <c r="M420" s="123" t="inlineStr">
        <is>
          <t>MM2MB040007A</t>
        </is>
      </c>
      <c r="N420" s="117" t="n"/>
    </row>
    <row r="421" ht="17.25" customHeight="1" s="453" thickBot="1">
      <c r="A421" s="553">
        <f>IFERROR(LEFT(B421,7),"")</f>
        <v/>
      </c>
      <c r="B421" s="554">
        <f>"2025/09"&amp;D421</f>
        <v/>
      </c>
      <c r="C421" s="557" t="n">
        <v>32</v>
      </c>
      <c r="D421" s="488" t="inlineStr">
        <is>
          <t>站前4樓</t>
        </is>
      </c>
      <c r="E421" s="488" t="inlineStr">
        <is>
          <t>6170019</t>
        </is>
      </c>
      <c r="F421" s="551" t="n"/>
      <c r="G421" s="488" t="inlineStr">
        <is>
          <t>媚必提直線探頭2.0mm/條</t>
        </is>
      </c>
      <c r="H421" s="552" t="n"/>
      <c r="I421" s="552" t="n"/>
      <c r="J421" s="551" t="n"/>
      <c r="K421" s="488" t="inlineStr">
        <is>
          <t>20000條/顆</t>
        </is>
      </c>
      <c r="L421" s="558" t="n">
        <v>1299</v>
      </c>
      <c r="M421" s="123" t="inlineStr">
        <is>
          <t>MM2MB040008A</t>
        </is>
      </c>
      <c r="N421" s="117" t="n"/>
    </row>
    <row r="422" ht="17.25" customHeight="1" s="453" thickBot="1">
      <c r="A422" s="553">
        <f>IFERROR(LEFT(B422,7),"")</f>
        <v/>
      </c>
      <c r="B422" s="554">
        <f>"2025/09"&amp;D422</f>
        <v/>
      </c>
      <c r="C422" s="557" t="n">
        <v>33</v>
      </c>
      <c r="D422" s="488" t="inlineStr">
        <is>
          <t>站前4樓</t>
        </is>
      </c>
      <c r="E422" s="488" t="inlineStr">
        <is>
          <t>6170020</t>
        </is>
      </c>
      <c r="F422" s="551" t="n"/>
      <c r="G422" s="488" t="inlineStr">
        <is>
          <t>媚必提直線探頭3.0mm/條</t>
        </is>
      </c>
      <c r="H422" s="552" t="n"/>
      <c r="I422" s="552" t="n"/>
      <c r="J422" s="551" t="n"/>
      <c r="K422" s="488" t="inlineStr">
        <is>
          <t>20000條/顆</t>
        </is>
      </c>
      <c r="L422" s="558" t="n">
        <v>3659</v>
      </c>
      <c r="M422" s="123" t="inlineStr">
        <is>
          <t>MM2MB040009A</t>
        </is>
      </c>
      <c r="N422" s="117" t="n"/>
    </row>
    <row r="423" ht="17.25" customHeight="1" s="453" thickBot="1">
      <c r="A423" s="553">
        <f>IFERROR(LEFT(B423,7),"")</f>
        <v/>
      </c>
      <c r="B423" s="554">
        <f>"2025/09"&amp;D423</f>
        <v/>
      </c>
      <c r="C423" s="557" t="n">
        <v>34</v>
      </c>
      <c r="D423" s="488" t="inlineStr">
        <is>
          <t>站前4樓</t>
        </is>
      </c>
      <c r="E423" s="488" t="inlineStr">
        <is>
          <t>6170021</t>
        </is>
      </c>
      <c r="F423" s="551" t="n"/>
      <c r="G423" s="488" t="inlineStr">
        <is>
          <t>媚必提直線探頭4.5mm/條</t>
        </is>
      </c>
      <c r="H423" s="552" t="n"/>
      <c r="I423" s="552" t="n"/>
      <c r="J423" s="551" t="n"/>
      <c r="K423" s="488" t="inlineStr">
        <is>
          <t>20000條/顆</t>
        </is>
      </c>
      <c r="L423" s="558" t="n">
        <v>6916</v>
      </c>
      <c r="M423" s="123" t="inlineStr">
        <is>
          <t>MM2MB040010A</t>
        </is>
      </c>
      <c r="N423" s="117" t="n"/>
    </row>
    <row r="424" ht="17.25" customHeight="1" s="453" thickBot="1">
      <c r="A424" s="553">
        <f>IFERROR(LEFT(B424,7),"")</f>
        <v/>
      </c>
      <c r="B424" s="554">
        <f>"2025/09"&amp;D424</f>
        <v/>
      </c>
      <c r="C424" s="557" t="n">
        <v>35</v>
      </c>
      <c r="D424" s="488" t="inlineStr">
        <is>
          <t>站前4樓</t>
        </is>
      </c>
      <c r="E424" s="488" t="inlineStr">
        <is>
          <t>6170022</t>
        </is>
      </c>
      <c r="F424" s="551" t="n"/>
      <c r="G424" s="488" t="inlineStr">
        <is>
          <t>媚必提直線探頭6.0mm/條</t>
        </is>
      </c>
      <c r="H424" s="552" t="n"/>
      <c r="I424" s="552" t="n"/>
      <c r="J424" s="551" t="n"/>
      <c r="K424" s="488" t="inlineStr">
        <is>
          <t>20000條/顆</t>
        </is>
      </c>
      <c r="L424" s="558" t="n">
        <v>1976</v>
      </c>
      <c r="M424" s="123" t="inlineStr">
        <is>
          <t>MM2MB040011A</t>
        </is>
      </c>
      <c r="N424" s="117" t="n"/>
    </row>
    <row r="425" ht="17.25" customHeight="1" s="453" thickBot="1">
      <c r="A425" s="553">
        <f>IFERROR(LEFT(B425,7),"")</f>
        <v/>
      </c>
      <c r="B425" s="554">
        <f>"2025/09"&amp;D425</f>
        <v/>
      </c>
      <c r="C425" s="557" t="n">
        <v>36</v>
      </c>
      <c r="D425" s="488" t="inlineStr">
        <is>
          <t>站前4樓</t>
        </is>
      </c>
      <c r="E425" s="488" t="inlineStr">
        <is>
          <t>6170028</t>
        </is>
      </c>
      <c r="F425" s="551" t="n"/>
      <c r="G425" s="488" t="inlineStr">
        <is>
          <t>海芙電波探頭0.25cm/發</t>
        </is>
      </c>
      <c r="H425" s="552" t="n"/>
      <c r="I425" s="552" t="n"/>
      <c r="J425" s="551" t="n"/>
      <c r="K425" s="488" t="inlineStr">
        <is>
          <t>6000發/顆</t>
        </is>
      </c>
      <c r="L425" s="558" t="n">
        <v>2600</v>
      </c>
      <c r="M425" s="123" t="inlineStr">
        <is>
          <t>MM2MB030002A</t>
        </is>
      </c>
      <c r="N425" s="117" t="n"/>
    </row>
    <row r="426" ht="17.25" customHeight="1" s="453" thickBot="1">
      <c r="A426" s="553">
        <f>IFERROR(LEFT(B426,7),"")</f>
        <v/>
      </c>
      <c r="B426" s="554">
        <f>"2025/09"&amp;D426</f>
        <v/>
      </c>
      <c r="C426" s="557" t="n">
        <v>37</v>
      </c>
      <c r="D426" s="488" t="inlineStr">
        <is>
          <t>站前4樓</t>
        </is>
      </c>
      <c r="E426" s="488" t="inlineStr">
        <is>
          <t>6170029</t>
        </is>
      </c>
      <c r="F426" s="551" t="n"/>
      <c r="G426" s="488" t="inlineStr">
        <is>
          <t>海芙電波探頭3.0cm/發</t>
        </is>
      </c>
      <c r="H426" s="552" t="n"/>
      <c r="I426" s="552" t="n"/>
      <c r="J426" s="551" t="n"/>
      <c r="K426" s="488" t="inlineStr">
        <is>
          <t>4000發/顆</t>
        </is>
      </c>
      <c r="L426" s="558" t="n">
        <v>3700</v>
      </c>
      <c r="M426" s="123" t="inlineStr">
        <is>
          <t>MM2MB030003A</t>
        </is>
      </c>
      <c r="N426" s="117" t="n"/>
    </row>
    <row r="427" ht="17.25" customHeight="1" s="453" thickBot="1">
      <c r="A427" s="553">
        <f>IFERROR(LEFT(B427,7),"")</f>
        <v/>
      </c>
      <c r="B427" s="554">
        <f>"2025/09"&amp;D427</f>
        <v/>
      </c>
      <c r="C427" s="557" t="n">
        <v>38</v>
      </c>
      <c r="D427" s="488" t="inlineStr">
        <is>
          <t>站前4樓</t>
        </is>
      </c>
      <c r="E427" s="488" t="inlineStr">
        <is>
          <t>6170032</t>
        </is>
      </c>
      <c r="F427" s="551" t="n"/>
      <c r="G427" s="488" t="inlineStr">
        <is>
          <t>立特拉A2筆型探頭3.0mm/ 條</t>
        </is>
      </c>
      <c r="H427" s="552" t="n"/>
      <c r="I427" s="552" t="n"/>
      <c r="J427" s="551" t="n"/>
      <c r="K427" s="488" t="inlineStr">
        <is>
          <t>240000條/顆</t>
        </is>
      </c>
      <c r="L427" s="558" t="n">
        <v>185300</v>
      </c>
      <c r="M427" s="123" t="inlineStr">
        <is>
          <t>MM2MB040018A</t>
        </is>
      </c>
      <c r="N427" s="117" t="n"/>
    </row>
    <row r="428" ht="17.25" customHeight="1" s="453" thickBot="1">
      <c r="A428" s="553">
        <f>IFERROR(LEFT(B428,7),"")</f>
        <v/>
      </c>
      <c r="B428" s="554">
        <f>"2025/09"&amp;D428</f>
        <v/>
      </c>
      <c r="C428" s="557" t="n">
        <v>39</v>
      </c>
      <c r="D428" s="488" t="inlineStr">
        <is>
          <t>站前4樓</t>
        </is>
      </c>
      <c r="E428" s="488" t="inlineStr">
        <is>
          <t>6170033</t>
        </is>
      </c>
      <c r="F428" s="551" t="n"/>
      <c r="G428" s="488" t="inlineStr">
        <is>
          <t>立特拉A2筆型探頭4.5mm/ 條</t>
        </is>
      </c>
      <c r="H428" s="552" t="n"/>
      <c r="I428" s="552" t="n"/>
      <c r="J428" s="551" t="n"/>
      <c r="K428" s="488" t="inlineStr">
        <is>
          <t>240000條/顆</t>
        </is>
      </c>
      <c r="L428" s="558" t="n">
        <v>73950</v>
      </c>
      <c r="M428" s="123" t="inlineStr">
        <is>
          <t>MM2MB040019A</t>
        </is>
      </c>
      <c r="N428" s="117" t="n"/>
    </row>
    <row r="429" ht="17.25" customHeight="1" s="453" thickBot="1">
      <c r="A429" s="553">
        <f>IFERROR(LEFT(B429,7),"")</f>
        <v/>
      </c>
      <c r="B429" s="554">
        <f>"2025/09"&amp;D429</f>
        <v/>
      </c>
      <c r="C429" s="557" t="n">
        <v>40</v>
      </c>
      <c r="D429" s="488" t="inlineStr">
        <is>
          <t>站前4樓</t>
        </is>
      </c>
      <c r="E429" s="488" t="inlineStr">
        <is>
          <t>6170034</t>
        </is>
      </c>
      <c r="F429" s="551" t="n"/>
      <c r="G429" s="488" t="inlineStr">
        <is>
          <t>十蓓電波臉部探頭5cm</t>
        </is>
      </c>
      <c r="H429" s="552" t="n"/>
      <c r="I429" s="552" t="n"/>
      <c r="J429" s="551" t="n"/>
      <c r="K429" s="488" t="inlineStr">
        <is>
          <t>900發/顆</t>
        </is>
      </c>
      <c r="L429" s="558" t="n">
        <v>15401</v>
      </c>
      <c r="M429" s="123" t="inlineStr">
        <is>
          <t>MM2MB030006A</t>
        </is>
      </c>
      <c r="N429" s="117" t="n"/>
    </row>
    <row r="430" ht="17.25" customHeight="1" s="453" thickBot="1">
      <c r="A430" s="553">
        <f>IFERROR(LEFT(B430,7),"")</f>
        <v/>
      </c>
      <c r="B430" s="554">
        <f>"2025/09"&amp;D430</f>
        <v/>
      </c>
      <c r="C430" s="557" t="n">
        <v>41</v>
      </c>
      <c r="D430" s="488" t="inlineStr">
        <is>
          <t>站前4樓</t>
        </is>
      </c>
      <c r="E430" s="488" t="inlineStr">
        <is>
          <t>6170035</t>
        </is>
      </c>
      <c r="F430" s="551" t="n"/>
      <c r="G430" s="488" t="inlineStr">
        <is>
          <t>十蓓電波眼部探頭0.25cm</t>
        </is>
      </c>
      <c r="H430" s="552" t="n"/>
      <c r="I430" s="552" t="n"/>
      <c r="J430" s="551" t="n"/>
      <c r="K430" s="488" t="inlineStr">
        <is>
          <t>600發/顆</t>
        </is>
      </c>
      <c r="L430" s="558" t="n">
        <v>7600</v>
      </c>
      <c r="M430" s="123" t="inlineStr">
        <is>
          <t>MM2MB030007A</t>
        </is>
      </c>
      <c r="N430" s="117" t="n"/>
    </row>
    <row r="431" ht="17.25" customHeight="1" s="453" thickBot="1">
      <c r="A431" s="553">
        <f>IFERROR(LEFT(B431,7),"")</f>
        <v/>
      </c>
      <c r="B431" s="554">
        <f>"2025/09"&amp;D431</f>
        <v/>
      </c>
      <c r="C431" s="557" t="n">
        <v>42</v>
      </c>
      <c r="D431" s="488" t="inlineStr">
        <is>
          <t>站前4樓</t>
        </is>
      </c>
      <c r="E431" s="488" t="inlineStr">
        <is>
          <t>6180009</t>
        </is>
      </c>
      <c r="F431" s="551" t="n"/>
      <c r="G431" s="488" t="inlineStr">
        <is>
          <t>(V)MINT秘特拉提線TIP 4CM/ 條</t>
        </is>
      </c>
      <c r="H431" s="552" t="n"/>
      <c r="I431" s="552" t="n"/>
      <c r="J431" s="551" t="n"/>
      <c r="K431" s="488" t="inlineStr">
        <is>
          <t>10條/盒</t>
        </is>
      </c>
      <c r="L431" s="558" t="n">
        <v>8</v>
      </c>
      <c r="M431" s="123" t="inlineStr">
        <is>
          <t>MP1MA010015A</t>
        </is>
      </c>
      <c r="N431" s="117" t="n"/>
    </row>
    <row r="432" ht="17.25" customHeight="1" s="453" thickBot="1">
      <c r="A432" s="553">
        <f>IFERROR(LEFT(B432,7),"")</f>
        <v/>
      </c>
      <c r="B432" s="554">
        <f>"2025/09"&amp;D432</f>
        <v/>
      </c>
      <c r="C432" s="557" t="n">
        <v>43</v>
      </c>
      <c r="D432" s="488" t="inlineStr">
        <is>
          <t>站前4樓</t>
        </is>
      </c>
      <c r="E432" s="488" t="inlineStr">
        <is>
          <t>6180011</t>
        </is>
      </c>
      <c r="F432" s="551" t="n"/>
      <c r="G432" s="488" t="inlineStr">
        <is>
          <t>(V)MINT秘特拉提線UP 9.5CM/ 條</t>
        </is>
      </c>
      <c r="H432" s="552" t="n"/>
      <c r="I432" s="552" t="n"/>
      <c r="J432" s="551" t="n"/>
      <c r="K432" s="488" t="inlineStr">
        <is>
          <t>10條/盒</t>
        </is>
      </c>
      <c r="L432" s="558" t="n">
        <v>16</v>
      </c>
      <c r="M432" s="123" t="inlineStr">
        <is>
          <t>MP1MA010016A</t>
        </is>
      </c>
      <c r="N432" s="117" t="n"/>
    </row>
    <row r="433" ht="17.25" customHeight="1" s="453" thickBot="1">
      <c r="A433" s="553">
        <f>IFERROR(LEFT(B433,7),"")</f>
        <v/>
      </c>
      <c r="B433" s="554">
        <f>"2025/09"&amp;D433</f>
        <v/>
      </c>
      <c r="C433" s="557" t="n">
        <v>44</v>
      </c>
      <c r="D433" s="488" t="inlineStr">
        <is>
          <t>站前4樓</t>
        </is>
      </c>
      <c r="E433" s="488" t="inlineStr">
        <is>
          <t>6190001</t>
        </is>
      </c>
      <c r="F433" s="551" t="n"/>
      <c r="G433" s="488" t="inlineStr">
        <is>
          <t>PLT生長因子凍晶製備/ 瓶</t>
        </is>
      </c>
      <c r="H433" s="552" t="n"/>
      <c r="I433" s="552" t="n"/>
      <c r="J433" s="551" t="n"/>
      <c r="K433" s="488" t="inlineStr">
        <is>
          <t>瓶</t>
        </is>
      </c>
      <c r="L433" s="558" t="n">
        <v>29</v>
      </c>
      <c r="M433" s="123" t="n"/>
      <c r="N433" s="117" t="n"/>
    </row>
    <row r="434" ht="17.25" customHeight="1" s="453" thickBot="1">
      <c r="A434" s="553">
        <f>IFERROR(LEFT(B434,7),"")</f>
        <v/>
      </c>
      <c r="B434" s="554">
        <f>"2025/09"&amp;D434</f>
        <v/>
      </c>
      <c r="C434" s="557" t="n">
        <v>45</v>
      </c>
      <c r="D434" s="488" t="inlineStr">
        <is>
          <t>站前4樓</t>
        </is>
      </c>
      <c r="E434" s="488" t="inlineStr">
        <is>
          <t>6200003</t>
        </is>
      </c>
      <c r="F434" s="551" t="n"/>
      <c r="G434" s="488" t="inlineStr">
        <is>
          <t>(V)倍克脂Belkyra/ 瓶</t>
        </is>
      </c>
      <c r="H434" s="552" t="n"/>
      <c r="I434" s="552" t="n"/>
      <c r="J434" s="551" t="n"/>
      <c r="K434" s="488" t="inlineStr">
        <is>
          <t>5瓶/盒</t>
        </is>
      </c>
      <c r="L434" s="558" t="n">
        <v>4</v>
      </c>
      <c r="M434" s="123" t="inlineStr">
        <is>
          <t>MB3ME090004A</t>
        </is>
      </c>
      <c r="N434" s="117" t="n"/>
    </row>
    <row r="435" ht="17.25" customHeight="1" s="453" thickBot="1">
      <c r="A435" s="553">
        <f>IFERROR(LEFT(B435,7),"")</f>
        <v/>
      </c>
      <c r="B435" s="554">
        <f>"2025/09"&amp;D435</f>
        <v/>
      </c>
      <c r="C435" s="557" t="n">
        <v>46</v>
      </c>
      <c r="D435" s="488" t="inlineStr">
        <is>
          <t>站前4樓</t>
        </is>
      </c>
      <c r="E435" s="488" t="inlineStr">
        <is>
          <t>6200006</t>
        </is>
      </c>
      <c r="F435" s="551" t="n"/>
      <c r="G435" s="488" t="inlineStr">
        <is>
          <t>(V)容脂/ 瓶</t>
        </is>
      </c>
      <c r="H435" s="552" t="n"/>
      <c r="I435" s="552" t="n"/>
      <c r="J435" s="551" t="n"/>
      <c r="K435" s="488" t="inlineStr">
        <is>
          <t>5瓶/盒</t>
        </is>
      </c>
      <c r="L435" s="558" t="n">
        <v>1</v>
      </c>
      <c r="M435" s="123" t="inlineStr">
        <is>
          <t>MB3ME090005A</t>
        </is>
      </c>
      <c r="N435" s="117" t="n"/>
    </row>
    <row r="436" ht="17.25" customHeight="1" s="453" thickBot="1">
      <c r="A436" s="553">
        <f>IFERROR(LEFT(B436,7),"")</f>
        <v/>
      </c>
      <c r="B436" s="554">
        <f>"2025/09"&amp;D436</f>
        <v/>
      </c>
      <c r="C436" s="557" t="n">
        <v>47</v>
      </c>
      <c r="D436" s="488" t="inlineStr">
        <is>
          <t>站前4樓</t>
        </is>
      </c>
      <c r="E436" s="488" t="inlineStr">
        <is>
          <t>6210002</t>
        </is>
      </c>
      <c r="F436" s="551" t="n"/>
      <c r="G436" s="488" t="inlineStr">
        <is>
          <t>(V)水光針針頭/31G9針/1.2mm/ PCS</t>
        </is>
      </c>
      <c r="H436" s="552" t="n"/>
      <c r="I436" s="552" t="n"/>
      <c r="J436" s="551" t="n"/>
      <c r="K436" s="488" t="inlineStr">
        <is>
          <t>PCS(20入/盒)</t>
        </is>
      </c>
      <c r="L436" s="558" t="n">
        <v>54</v>
      </c>
      <c r="M436" s="123" t="inlineStr">
        <is>
          <t>MP1MA070007A</t>
        </is>
      </c>
      <c r="N436" s="117" t="n"/>
    </row>
    <row r="437" ht="17.25" customHeight="1" s="453" thickBot="1">
      <c r="A437" s="553">
        <f>IFERROR(LEFT(B437,7),"")</f>
        <v/>
      </c>
      <c r="B437" s="554">
        <f>"2025/09"&amp;D437</f>
        <v/>
      </c>
      <c r="C437" s="557" t="n">
        <v>48</v>
      </c>
      <c r="D437" s="488" t="inlineStr">
        <is>
          <t>站前4樓</t>
        </is>
      </c>
      <c r="E437" s="488" t="inlineStr">
        <is>
          <t>6210003</t>
        </is>
      </c>
      <c r="F437" s="551" t="n"/>
      <c r="G437" s="488" t="inlineStr">
        <is>
          <t>(V)水光針針頭/31G9針/1.5mm/ PCS</t>
        </is>
      </c>
      <c r="H437" s="552" t="n"/>
      <c r="I437" s="552" t="n"/>
      <c r="J437" s="551" t="n"/>
      <c r="K437" s="488" t="inlineStr">
        <is>
          <t>PCS(20入/盒)</t>
        </is>
      </c>
      <c r="L437" s="558" t="n">
        <v>28</v>
      </c>
      <c r="M437" s="123" t="inlineStr">
        <is>
          <t>MP1MA070008A</t>
        </is>
      </c>
      <c r="N437" s="117" t="n"/>
    </row>
    <row r="438" ht="17.25" customHeight="1" s="453" thickBot="1">
      <c r="A438" s="553">
        <f>IFERROR(LEFT(B438,7),"")</f>
        <v/>
      </c>
      <c r="B438" s="554">
        <f>"2025/09"&amp;D438</f>
        <v/>
      </c>
      <c r="C438" s="557" t="n">
        <v>49</v>
      </c>
      <c r="D438" s="488" t="inlineStr">
        <is>
          <t>站前4樓</t>
        </is>
      </c>
      <c r="E438" s="488" t="inlineStr">
        <is>
          <t>6210005</t>
        </is>
      </c>
      <c r="F438" s="551" t="n"/>
      <c r="G438" s="488" t="inlineStr">
        <is>
          <t>(V)水光針針頭/32G9針/1.0mm/ PCS</t>
        </is>
      </c>
      <c r="H438" s="552" t="n"/>
      <c r="I438" s="552" t="n"/>
      <c r="J438" s="551" t="n"/>
      <c r="K438" s="488" t="inlineStr">
        <is>
          <t>PCS(20入/盒)</t>
        </is>
      </c>
      <c r="L438" s="558" t="n">
        <v>6</v>
      </c>
      <c r="M438" s="123" t="inlineStr">
        <is>
          <t>MP1MA070005A</t>
        </is>
      </c>
      <c r="N438" s="117" t="n"/>
    </row>
    <row r="439" ht="17.25" customHeight="1" s="453" thickBot="1">
      <c r="A439" s="553">
        <f>IFERROR(LEFT(B439,7),"")</f>
        <v/>
      </c>
      <c r="B439" s="554">
        <f>"2025/09"&amp;D439</f>
        <v/>
      </c>
      <c r="C439" s="557" t="n">
        <v>50</v>
      </c>
      <c r="D439" s="488" t="inlineStr">
        <is>
          <t>站前4樓</t>
        </is>
      </c>
      <c r="E439" s="488" t="inlineStr">
        <is>
          <t>6210006</t>
        </is>
      </c>
      <c r="F439" s="551" t="n"/>
      <c r="G439" s="488" t="inlineStr">
        <is>
          <t>(V)麗珠蘭修復水光(A劑2ml+B劑2ml)</t>
        </is>
      </c>
      <c r="H439" s="552" t="n"/>
      <c r="I439" s="552" t="n"/>
      <c r="J439" s="551" t="n"/>
      <c r="K439" s="488" t="inlineStr">
        <is>
          <t>2ml*2</t>
        </is>
      </c>
      <c r="L439" s="558" t="n">
        <v>3</v>
      </c>
      <c r="M439" s="123" t="inlineStr">
        <is>
          <t>DP1AA050001E</t>
        </is>
      </c>
      <c r="N439" s="117" t="n"/>
    </row>
    <row r="440" ht="17.25" customHeight="1" s="453" thickBot="1">
      <c r="A440" s="553">
        <f>IFERROR(LEFT(B440,7),"")</f>
        <v/>
      </c>
      <c r="B440" s="554">
        <f>"2025/09"&amp;D440</f>
        <v/>
      </c>
      <c r="C440" s="557" t="n">
        <v>51</v>
      </c>
      <c r="D440" s="488" t="inlineStr">
        <is>
          <t>站前4樓</t>
        </is>
      </c>
      <c r="E440" s="488" t="inlineStr">
        <is>
          <t>6210007</t>
        </is>
      </c>
      <c r="F440" s="551" t="n"/>
      <c r="G440" s="488" t="inlineStr">
        <is>
          <t>(V)麗珠蘭白瓷水光(A劑2ml+B劑2ml)</t>
        </is>
      </c>
      <c r="H440" s="552" t="n"/>
      <c r="I440" s="552" t="n"/>
      <c r="J440" s="551" t="n"/>
      <c r="K440" s="488" t="inlineStr">
        <is>
          <t>2ml*2</t>
        </is>
      </c>
      <c r="L440" s="558" t="n">
        <v>7</v>
      </c>
      <c r="M440" s="123" t="inlineStr">
        <is>
          <t>DP1AA050002E</t>
        </is>
      </c>
      <c r="N440" s="117" t="n"/>
    </row>
    <row r="441" ht="17.25" customHeight="1" s="453" thickBot="1">
      <c r="A441" s="553">
        <f>IFERROR(LEFT(B441,7),"")</f>
        <v/>
      </c>
      <c r="B441" s="554">
        <f>"2025/09"&amp;D441</f>
        <v/>
      </c>
      <c r="C441" s="557" t="n">
        <v>52</v>
      </c>
      <c r="D441" s="488" t="inlineStr">
        <is>
          <t>站前4樓</t>
        </is>
      </c>
      <c r="E441" s="488" t="inlineStr">
        <is>
          <t>6220005</t>
        </is>
      </c>
      <c r="F441" s="551" t="n"/>
      <c r="G441" s="488" t="inlineStr">
        <is>
          <t>海菲秀深藍端頭/ 顆</t>
        </is>
      </c>
      <c r="H441" s="552" t="n"/>
      <c r="I441" s="552" t="n"/>
      <c r="J441" s="551" t="n"/>
      <c r="K441" s="488" t="inlineStr">
        <is>
          <t>15顆/串</t>
        </is>
      </c>
      <c r="L441" s="558" t="n">
        <v>590</v>
      </c>
      <c r="M441" s="123" t="inlineStr">
        <is>
          <t>MM2MD070001A</t>
        </is>
      </c>
      <c r="N441" s="117" t="n"/>
    </row>
    <row r="442" ht="17.25" customHeight="1" s="453" thickBot="1">
      <c r="A442" s="553">
        <f>IFERROR(LEFT(B442,7),"")</f>
        <v/>
      </c>
      <c r="B442" s="554">
        <f>"2025/09"&amp;D442</f>
        <v/>
      </c>
      <c r="C442" s="557" t="n">
        <v>53</v>
      </c>
      <c r="D442" s="488" t="inlineStr">
        <is>
          <t>站前4樓</t>
        </is>
      </c>
      <c r="E442" s="488" t="inlineStr">
        <is>
          <t>6220006</t>
        </is>
      </c>
      <c r="F442" s="551" t="n"/>
      <c r="G442" s="488" t="inlineStr">
        <is>
          <t>海菲秀淺藍端頭/ 顆</t>
        </is>
      </c>
      <c r="H442" s="552" t="n"/>
      <c r="I442" s="552" t="n"/>
      <c r="J442" s="551" t="n"/>
      <c r="K442" s="488" t="inlineStr">
        <is>
          <t>15顆/串</t>
        </is>
      </c>
      <c r="L442" s="558" t="n">
        <v>590</v>
      </c>
      <c r="M442" s="123" t="inlineStr">
        <is>
          <t>MM2MD070002A</t>
        </is>
      </c>
      <c r="N442" s="117" t="n"/>
    </row>
    <row r="443" ht="17.25" customHeight="1" s="453" thickBot="1">
      <c r="A443" s="553">
        <f>IFERROR(LEFT(B443,7),"")</f>
        <v/>
      </c>
      <c r="B443" s="554">
        <f>"2025/09"&amp;D443</f>
        <v/>
      </c>
      <c r="C443" s="557" t="n">
        <v>54</v>
      </c>
      <c r="D443" s="488" t="inlineStr">
        <is>
          <t>站前4樓</t>
        </is>
      </c>
      <c r="E443" s="488" t="inlineStr">
        <is>
          <t>6220007</t>
        </is>
      </c>
      <c r="F443" s="551" t="n"/>
      <c r="G443" s="488" t="inlineStr">
        <is>
          <t>海菲秀透明端頭/ 顆</t>
        </is>
      </c>
      <c r="H443" s="552" t="n"/>
      <c r="I443" s="552" t="n"/>
      <c r="J443" s="551" t="n"/>
      <c r="K443" s="488" t="inlineStr">
        <is>
          <t>15顆/串</t>
        </is>
      </c>
      <c r="L443" s="558" t="n">
        <v>590</v>
      </c>
      <c r="M443" s="123" t="inlineStr">
        <is>
          <t>MM2MD070003A</t>
        </is>
      </c>
      <c r="N443" s="117" t="n"/>
    </row>
    <row r="444" ht="17.25" customHeight="1" s="453" thickBot="1">
      <c r="A444" s="553">
        <f>IFERROR(LEFT(B444,7),"")</f>
        <v/>
      </c>
      <c r="B444" s="554">
        <f>"2025/09"&amp;D444</f>
        <v/>
      </c>
      <c r="C444" s="557" t="n">
        <v>55</v>
      </c>
      <c r="D444" s="488" t="inlineStr">
        <is>
          <t>站前4樓</t>
        </is>
      </c>
      <c r="E444" s="488" t="inlineStr">
        <is>
          <t>6220012</t>
        </is>
      </c>
      <c r="F444" s="551" t="n"/>
      <c r="G444" s="488" t="inlineStr">
        <is>
          <t>(V)(第一劑)海菲秀 Activ-4 Skin Solution/mL</t>
        </is>
      </c>
      <c r="H444" s="552" t="n"/>
      <c r="I444" s="552" t="n"/>
      <c r="J444" s="551" t="n"/>
      <c r="K444" s="488" t="inlineStr">
        <is>
          <t>ml</t>
        </is>
      </c>
      <c r="L444" s="558" t="n">
        <v>8850</v>
      </c>
      <c r="M444" s="123" t="inlineStr">
        <is>
          <t>MP1MD070012A</t>
        </is>
      </c>
      <c r="N444" s="117" t="n"/>
    </row>
    <row r="445" ht="17.25" customHeight="1" s="453" thickBot="1">
      <c r="A445" s="553">
        <f>IFERROR(LEFT(B445,7),"")</f>
        <v/>
      </c>
      <c r="B445" s="554">
        <f>"2025/09"&amp;D445</f>
        <v/>
      </c>
      <c r="C445" s="557" t="n">
        <v>56</v>
      </c>
      <c r="D445" s="488" t="inlineStr">
        <is>
          <t>站前4樓</t>
        </is>
      </c>
      <c r="E445" s="488" t="inlineStr">
        <is>
          <t>6220013</t>
        </is>
      </c>
      <c r="F445" s="551" t="n"/>
      <c r="G445" s="488" t="inlineStr">
        <is>
          <t>(V)(第二劑)海菲秀 Beta-HD Skin Solution /mL</t>
        </is>
      </c>
      <c r="H445" s="552" t="n"/>
      <c r="I445" s="552" t="n"/>
      <c r="J445" s="551" t="n"/>
      <c r="K445" s="488" t="inlineStr">
        <is>
          <t>ml</t>
        </is>
      </c>
      <c r="L445" s="558" t="n">
        <v>8850</v>
      </c>
      <c r="M445" s="123" t="inlineStr">
        <is>
          <t>MP1MD070013A</t>
        </is>
      </c>
      <c r="N445" s="117" t="n"/>
    </row>
    <row r="446" ht="17.25" customHeight="1" s="453" thickBot="1">
      <c r="A446" s="553">
        <f>IFERROR(LEFT(B446,7),"")</f>
        <v/>
      </c>
      <c r="B446" s="554">
        <f>"2025/09"&amp;D446</f>
        <v/>
      </c>
      <c r="C446" s="557" t="n">
        <v>57</v>
      </c>
      <c r="D446" s="488" t="inlineStr">
        <is>
          <t>站前4樓</t>
        </is>
      </c>
      <c r="E446" s="488" t="inlineStr">
        <is>
          <t>6220014</t>
        </is>
      </c>
      <c r="F446" s="551" t="n"/>
      <c r="G446" s="488" t="inlineStr">
        <is>
          <t>(V)(第三劑)海菲秀 Antiox-6 Skin Solution /mL</t>
        </is>
      </c>
      <c r="H446" s="552" t="n"/>
      <c r="I446" s="552" t="n"/>
      <c r="J446" s="551" t="n"/>
      <c r="K446" s="488" t="inlineStr">
        <is>
          <t>ml</t>
        </is>
      </c>
      <c r="L446" s="558" t="n">
        <v>8850</v>
      </c>
      <c r="M446" s="123" t="inlineStr">
        <is>
          <t>MP1MD070014A</t>
        </is>
      </c>
      <c r="N446" s="117" t="n"/>
    </row>
    <row r="447" ht="17.25" customHeight="1" s="453" thickBot="1">
      <c r="A447" s="553">
        <f>IFERROR(LEFT(B447,7),"")</f>
        <v/>
      </c>
      <c r="B447" s="554">
        <f>"2025/09"&amp;D447</f>
        <v/>
      </c>
      <c r="C447" s="557" t="n">
        <v>58</v>
      </c>
      <c r="D447" s="488" t="inlineStr">
        <is>
          <t>站前4樓</t>
        </is>
      </c>
      <c r="E447" s="488" t="inlineStr">
        <is>
          <t>6220015</t>
        </is>
      </c>
      <c r="F447" s="551" t="n"/>
      <c r="G447" s="488" t="inlineStr">
        <is>
          <t>(V)(第四劑)海菲秀 Rinseaway System Cleaning Solution /mL</t>
        </is>
      </c>
      <c r="H447" s="552" t="n"/>
      <c r="I447" s="552" t="n"/>
      <c r="J447" s="551" t="n"/>
      <c r="K447" s="488" t="inlineStr">
        <is>
          <t>ml</t>
        </is>
      </c>
      <c r="L447" s="558" t="n">
        <v>8850</v>
      </c>
      <c r="M447" s="123" t="inlineStr">
        <is>
          <t>MP1MD070015A</t>
        </is>
      </c>
      <c r="N447" s="117" t="n"/>
    </row>
    <row r="448" ht="17.25" customHeight="1" s="453" thickBot="1">
      <c r="A448" s="553">
        <f>IFERROR(LEFT(B448,7),"")</f>
        <v/>
      </c>
      <c r="B448" s="554">
        <f>"2025/09"&amp;D448</f>
        <v/>
      </c>
      <c r="C448" s="557" t="n">
        <v>59</v>
      </c>
      <c r="D448" s="488" t="inlineStr">
        <is>
          <t>站前11樓</t>
        </is>
      </c>
      <c r="E448" s="488" t="inlineStr">
        <is>
          <t>6120001</t>
        </is>
      </c>
      <c r="F448" s="551" t="n"/>
      <c r="G448" s="488" t="inlineStr">
        <is>
          <t>(V)肝得健注射劑/ 瓶，220倍數叫貨</t>
        </is>
      </c>
      <c r="H448" s="552" t="n"/>
      <c r="I448" s="552" t="n"/>
      <c r="J448" s="551" t="n"/>
      <c r="K448" s="488" t="inlineStr">
        <is>
          <t>20支/盒</t>
        </is>
      </c>
      <c r="L448" s="558" t="n">
        <v>330</v>
      </c>
      <c r="M448" s="123" t="inlineStr">
        <is>
          <t>MB3ME090001A</t>
        </is>
      </c>
      <c r="N448" s="117" t="n"/>
    </row>
    <row r="449" ht="17.25" customHeight="1" s="453" thickBot="1">
      <c r="A449" s="553">
        <f>IFERROR(LEFT(B449,7),"")</f>
        <v/>
      </c>
      <c r="B449" s="554">
        <f>"2025/09"&amp;D449</f>
        <v/>
      </c>
      <c r="C449" s="557" t="n">
        <v>60</v>
      </c>
      <c r="D449" s="488" t="inlineStr">
        <is>
          <t>站前11樓</t>
        </is>
      </c>
      <c r="E449" s="488" t="inlineStr">
        <is>
          <t>6120002</t>
        </is>
      </c>
      <c r="F449" s="551" t="n"/>
      <c r="G449" s="488" t="inlineStr">
        <is>
          <t>(V)卡妮丁注射劑/ 瓶，220倍數叫貨</t>
        </is>
      </c>
      <c r="H449" s="552" t="n"/>
      <c r="I449" s="552" t="n"/>
      <c r="J449" s="551" t="n"/>
      <c r="K449" s="488" t="inlineStr">
        <is>
          <t>20支/盒</t>
        </is>
      </c>
      <c r="L449" s="558" t="n">
        <v>410</v>
      </c>
      <c r="M449" s="123" t="inlineStr">
        <is>
          <t>MB3ME090002A</t>
        </is>
      </c>
      <c r="N449" s="117" t="n"/>
    </row>
    <row r="450" ht="17.25" customHeight="1" s="453" thickBot="1">
      <c r="A450" s="553">
        <f>IFERROR(LEFT(B450,7),"")</f>
        <v/>
      </c>
      <c r="B450" s="554">
        <f>"2025/09"&amp;D450</f>
        <v/>
      </c>
      <c r="C450" s="557" t="n">
        <v>61</v>
      </c>
      <c r="D450" s="488" t="inlineStr">
        <is>
          <t>站前11樓</t>
        </is>
      </c>
      <c r="E450" s="488" t="inlineStr">
        <is>
          <t>6120003</t>
        </is>
      </c>
      <c r="F450" s="551" t="n"/>
      <c r="G450" s="488" t="inlineStr">
        <is>
          <t>(V)貝力多(雙胜胺) 20% 30mL/ 瓶，10倍數叫貨</t>
        </is>
      </c>
      <c r="H450" s="552" t="n"/>
      <c r="I450" s="552" t="n"/>
      <c r="J450" s="551" t="n"/>
      <c r="K450" s="488" t="inlineStr">
        <is>
          <t>10支/盒</t>
        </is>
      </c>
      <c r="L450" s="558" t="n">
        <v>1</v>
      </c>
      <c r="M450" s="123" t="inlineStr">
        <is>
          <t>MB3ME090003A</t>
        </is>
      </c>
      <c r="N450" s="117" t="n"/>
    </row>
    <row r="451" ht="17.25" customHeight="1" s="453" thickBot="1">
      <c r="A451" s="553">
        <f>IFERROR(LEFT(B451,7),"")</f>
        <v/>
      </c>
      <c r="B451" s="554">
        <f>"2025/09"&amp;D451</f>
        <v/>
      </c>
      <c r="C451" s="557" t="n">
        <v>62</v>
      </c>
      <c r="D451" s="488" t="inlineStr">
        <is>
          <t>站前11樓</t>
        </is>
      </c>
      <c r="E451" s="488" t="inlineStr">
        <is>
          <t>6120004</t>
        </is>
      </c>
      <c r="F451" s="551" t="n"/>
      <c r="G451" s="488" t="inlineStr">
        <is>
          <t>(V)胺基酸點滴250ml/ 袋(安命活源/嘉安命)，20倍數叫貨</t>
        </is>
      </c>
      <c r="H451" s="552" t="n"/>
      <c r="I451" s="552" t="n"/>
      <c r="J451" s="551" t="n"/>
      <c r="K451" s="488" t="inlineStr">
        <is>
          <t>(20瓶/箱)</t>
        </is>
      </c>
      <c r="L451" s="558" t="n">
        <v>8</v>
      </c>
      <c r="M451" s="123" t="inlineStr">
        <is>
          <t>MB3ME090006A</t>
        </is>
      </c>
      <c r="N451" s="117" t="n"/>
    </row>
    <row r="452" ht="17.25" customHeight="1" s="453" thickBot="1">
      <c r="A452" s="553">
        <f>IFERROR(LEFT(B452,7),"")</f>
        <v/>
      </c>
      <c r="B452" s="554">
        <f>"2025/09"&amp;D452</f>
        <v/>
      </c>
      <c r="C452" s="557" t="n">
        <v>63</v>
      </c>
      <c r="D452" s="488" t="inlineStr">
        <is>
          <t>站前11樓</t>
        </is>
      </c>
      <c r="E452" s="488" t="inlineStr">
        <is>
          <t>6120006</t>
        </is>
      </c>
      <c r="F452" s="551" t="n"/>
      <c r="G452" s="488" t="inlineStr">
        <is>
          <t>(V)(B12) 愛壽命 2mL，100倍數叫貨</t>
        </is>
      </c>
      <c r="H452" s="552" t="n"/>
      <c r="I452" s="552" t="n"/>
      <c r="J452" s="551" t="n"/>
      <c r="K452" s="488" t="inlineStr">
        <is>
          <t>(100支/盒)</t>
        </is>
      </c>
      <c r="L452" s="558" t="n">
        <v>165</v>
      </c>
      <c r="M452" s="123" t="inlineStr">
        <is>
          <t>MB3ME090011A</t>
        </is>
      </c>
      <c r="N452" s="117" t="n"/>
    </row>
    <row r="453" ht="17.25" customHeight="1" s="453" thickBot="1">
      <c r="A453" s="553">
        <f>IFERROR(LEFT(B453,7),"")</f>
        <v/>
      </c>
      <c r="B453" s="554">
        <f>"2025/09"&amp;D453</f>
        <v/>
      </c>
      <c r="C453" s="557" t="n">
        <v>64</v>
      </c>
      <c r="D453" s="488" t="inlineStr">
        <is>
          <t>站前11樓</t>
        </is>
      </c>
      <c r="E453" s="488" t="inlineStr">
        <is>
          <t>6120007</t>
        </is>
      </c>
      <c r="F453" s="551" t="n"/>
      <c r="G453" s="488" t="inlineStr">
        <is>
          <t>(V)(硫酸鋅) 1ml/支，100倍數叫貨</t>
        </is>
      </c>
      <c r="H453" s="552" t="n"/>
      <c r="I453" s="552" t="n"/>
      <c r="J453" s="551" t="n"/>
      <c r="K453" s="488" t="inlineStr">
        <is>
          <t>100支/盒</t>
        </is>
      </c>
      <c r="L453" s="558" t="n">
        <v>7</v>
      </c>
      <c r="M453" s="123" t="inlineStr">
        <is>
          <t>MB3ME090027A</t>
        </is>
      </c>
      <c r="N453" s="117" t="n"/>
    </row>
    <row r="454" ht="17.25" customHeight="1" s="453" thickBot="1">
      <c r="A454" s="553">
        <f>IFERROR(LEFT(B454,7),"")</f>
        <v/>
      </c>
      <c r="B454" s="554">
        <f>"2025/09"&amp;D454</f>
        <v/>
      </c>
      <c r="C454" s="557" t="n">
        <v>65</v>
      </c>
      <c r="D454" s="488" t="inlineStr">
        <is>
          <t>站前11樓</t>
        </is>
      </c>
      <c r="E454" s="488" t="inlineStr">
        <is>
          <t>6120008</t>
        </is>
      </c>
      <c r="F454" s="551" t="n"/>
      <c r="G454" s="488" t="inlineStr">
        <is>
          <t>(V)(硫酸鎂) 注射液 20ml/支</t>
        </is>
      </c>
      <c r="H454" s="552" t="n"/>
      <c r="I454" s="552" t="n"/>
      <c r="J454" s="551" t="n"/>
      <c r="K454" s="488" t="inlineStr">
        <is>
          <t>60支/盒</t>
        </is>
      </c>
      <c r="L454" s="558" t="n">
        <v>1</v>
      </c>
      <c r="M454" s="123" t="inlineStr">
        <is>
          <t>MB3ME090028A</t>
        </is>
      </c>
      <c r="N454" s="117" t="n"/>
    </row>
    <row r="455" ht="17.25" customHeight="1" s="453" thickBot="1">
      <c r="A455" s="553">
        <f>IFERROR(LEFT(B455,7),"")</f>
        <v/>
      </c>
      <c r="B455" s="554">
        <f>"2025/09"&amp;D455</f>
        <v/>
      </c>
      <c r="C455" s="557" t="n">
        <v>66</v>
      </c>
      <c r="D455" s="488" t="inlineStr">
        <is>
          <t>站前11樓</t>
        </is>
      </c>
      <c r="E455" s="488" t="inlineStr">
        <is>
          <t>6120009</t>
        </is>
      </c>
      <c r="F455" s="551" t="n"/>
      <c r="G455" s="488" t="inlineStr">
        <is>
          <t>(V)(B1) 硫胺明 2ml</t>
        </is>
      </c>
      <c r="H455" s="552" t="n"/>
      <c r="I455" s="552" t="n"/>
      <c r="J455" s="551" t="n"/>
      <c r="K455" s="488" t="inlineStr">
        <is>
          <t>支(100支/盒)</t>
        </is>
      </c>
      <c r="L455" s="558" t="n">
        <v>6</v>
      </c>
      <c r="M455" s="123" t="inlineStr">
        <is>
          <t>MB3ME090012A</t>
        </is>
      </c>
      <c r="N455" s="117" t="n"/>
    </row>
    <row r="456" ht="17.25" customHeight="1" s="453" thickBot="1">
      <c r="A456" s="553">
        <f>IFERROR(LEFT(B456,7),"")</f>
        <v/>
      </c>
      <c r="B456" s="554">
        <f>"2025/09"&amp;D456</f>
        <v/>
      </c>
      <c r="C456" s="557" t="n">
        <v>67</v>
      </c>
      <c r="D456" s="488" t="inlineStr">
        <is>
          <t>站前11樓</t>
        </is>
      </c>
      <c r="E456" s="488" t="inlineStr">
        <is>
          <t>6120010</t>
        </is>
      </c>
      <c r="F456" s="551" t="n"/>
      <c r="G456" s="488" t="inlineStr">
        <is>
          <t>(V)(B6) 活性維生素 2ml，100倍數叫貨</t>
        </is>
      </c>
      <c r="H456" s="552" t="n"/>
      <c r="I456" s="552" t="n"/>
      <c r="J456" s="551" t="n"/>
      <c r="K456" s="488" t="inlineStr">
        <is>
          <t>(100支/盒)</t>
        </is>
      </c>
      <c r="L456" s="558" t="n">
        <v>6</v>
      </c>
      <c r="M456" s="123" t="inlineStr">
        <is>
          <t>MB3ME090013A</t>
        </is>
      </c>
      <c r="N456" s="117" t="n"/>
    </row>
    <row r="457" ht="17.25" customHeight="1" s="453" thickBot="1">
      <c r="A457" s="553">
        <f>IFERROR(LEFT(B457,7),"")</f>
        <v/>
      </c>
      <c r="B457" s="554">
        <f>"2025/09"&amp;D457</f>
        <v/>
      </c>
      <c r="C457" s="557" t="n">
        <v>68</v>
      </c>
      <c r="D457" s="488" t="inlineStr">
        <is>
          <t>站前11樓</t>
        </is>
      </c>
      <c r="E457" s="488" t="inlineStr">
        <is>
          <t>6120011</t>
        </is>
      </c>
      <c r="F457" s="551" t="n"/>
      <c r="G457" s="488" t="inlineStr">
        <is>
          <t>(V)(硒) 西寧特 2ml/支</t>
        </is>
      </c>
      <c r="H457" s="552" t="n"/>
      <c r="I457" s="552" t="n"/>
      <c r="J457" s="551" t="n"/>
      <c r="K457" s="488" t="inlineStr">
        <is>
          <t>10支/盒</t>
        </is>
      </c>
      <c r="L457" s="558" t="n">
        <v>6</v>
      </c>
      <c r="M457" s="123" t="inlineStr">
        <is>
          <t>MB3ME090024A</t>
        </is>
      </c>
      <c r="N457" s="117" t="n"/>
    </row>
    <row r="458" ht="17.25" customHeight="1" s="453" thickBot="1">
      <c r="A458" s="553">
        <f>IFERROR(LEFT(B458,7),"")</f>
        <v/>
      </c>
      <c r="B458" s="554">
        <f>"2025/09"&amp;D458</f>
        <v/>
      </c>
      <c r="C458" s="557" t="n">
        <v>69</v>
      </c>
      <c r="D458" s="488" t="inlineStr">
        <is>
          <t>站前11樓</t>
        </is>
      </c>
      <c r="E458" s="488" t="inlineStr">
        <is>
          <t>6120013</t>
        </is>
      </c>
      <c r="F458" s="551" t="n"/>
      <c r="G458" s="488" t="inlineStr">
        <is>
          <t>(V)生理食鹽水(NS) 250ml/ 袋</t>
        </is>
      </c>
      <c r="H458" s="552" t="n"/>
      <c r="I458" s="552" t="n"/>
      <c r="J458" s="551" t="n"/>
      <c r="K458" s="488" t="inlineStr">
        <is>
          <t>55瓶/箱</t>
        </is>
      </c>
      <c r="L458" s="558" t="n">
        <v>353</v>
      </c>
      <c r="M458" s="123" t="inlineStr">
        <is>
          <t>MB3ME090008A</t>
        </is>
      </c>
      <c r="N458" s="117" t="n"/>
    </row>
    <row r="459" ht="17.25" customHeight="1" s="453" thickBot="1">
      <c r="A459" s="553">
        <f>IFERROR(LEFT(B459,7),"")</f>
        <v/>
      </c>
      <c r="B459" s="554">
        <f>"2025/09"&amp;D459</f>
        <v/>
      </c>
      <c r="C459" s="557" t="n">
        <v>70</v>
      </c>
      <c r="D459" s="488" t="inlineStr">
        <is>
          <t>站前11樓</t>
        </is>
      </c>
      <c r="E459" s="488" t="inlineStr">
        <is>
          <t>6120014</t>
        </is>
      </c>
      <c r="F459" s="551" t="n"/>
      <c r="G459" s="488" t="inlineStr">
        <is>
          <t>(V)葡萄糖水(D5W) 250ml/袋</t>
        </is>
      </c>
      <c r="H459" s="552" t="n"/>
      <c r="I459" s="552" t="n"/>
      <c r="J459" s="551" t="n"/>
      <c r="K459" s="488" t="inlineStr">
        <is>
          <t>60瓶/箱</t>
        </is>
      </c>
      <c r="L459" s="558" t="n">
        <v>65</v>
      </c>
      <c r="M459" s="123" t="inlineStr">
        <is>
          <t>MB3ME090007A</t>
        </is>
      </c>
      <c r="N459" s="117" t="n"/>
    </row>
    <row r="460" ht="17.25" customHeight="1" s="453" thickBot="1">
      <c r="A460" s="553">
        <f>IFERROR(LEFT(B460,7),"")</f>
        <v/>
      </c>
      <c r="B460" s="554">
        <f>"2025/09"&amp;D460</f>
        <v/>
      </c>
      <c r="C460" s="557" t="n">
        <v>71</v>
      </c>
      <c r="D460" s="488" t="inlineStr">
        <is>
          <t>站前11樓</t>
        </is>
      </c>
      <c r="E460" s="488" t="inlineStr">
        <is>
          <t>6120015</t>
        </is>
      </c>
      <c r="F460" s="551" t="n"/>
      <c r="G460" s="488" t="inlineStr">
        <is>
          <t>(V)(B群)淘能美複合維他命B 2ml，100倍數叫貨</t>
        </is>
      </c>
      <c r="H460" s="552" t="n"/>
      <c r="I460" s="552" t="n"/>
      <c r="J460" s="551" t="n"/>
      <c r="K460" s="488" t="n"/>
      <c r="L460" s="558" t="n">
        <v>1</v>
      </c>
      <c r="M460" s="123" t="inlineStr">
        <is>
          <t>MB3ME090014A</t>
        </is>
      </c>
      <c r="N460" s="117" t="n"/>
    </row>
    <row r="461" ht="17.25" customHeight="1" s="453" thickBot="1">
      <c r="A461" s="553">
        <f>IFERROR(LEFT(B461,7),"")</f>
        <v/>
      </c>
      <c r="B461" s="554">
        <f>"2025/09"&amp;D461</f>
        <v/>
      </c>
      <c r="C461" s="557" t="n">
        <v>72</v>
      </c>
      <c r="D461" s="488" t="inlineStr">
        <is>
          <t>站前11樓</t>
        </is>
      </c>
      <c r="E461" s="488" t="inlineStr">
        <is>
          <t>6120016</t>
        </is>
      </c>
      <c r="F461" s="551" t="n"/>
      <c r="G461" s="488" t="inlineStr">
        <is>
          <t>(V)(榖胱肝肽) 克樂達養200mg (20ml/瓶)</t>
        </is>
      </c>
      <c r="H461" s="552" t="n"/>
      <c r="I461" s="552" t="n"/>
      <c r="J461" s="551" t="n"/>
      <c r="K461" s="488" t="inlineStr">
        <is>
          <t>50支/盒</t>
        </is>
      </c>
      <c r="L461" s="558" t="n">
        <v>1</v>
      </c>
      <c r="M461" s="123" t="inlineStr">
        <is>
          <t>MB3ME090015A</t>
        </is>
      </c>
      <c r="N461" s="117" t="n"/>
    </row>
    <row r="462" ht="17.25" customHeight="1" s="453" thickBot="1">
      <c r="A462" s="553">
        <f>IFERROR(LEFT(B462,7),"")</f>
        <v/>
      </c>
      <c r="B462" s="554">
        <f>"2025/09"&amp;D462</f>
        <v/>
      </c>
      <c r="C462" s="557" t="n">
        <v>73</v>
      </c>
      <c r="D462" s="488" t="inlineStr">
        <is>
          <t>站前11樓</t>
        </is>
      </c>
      <c r="E462" s="488" t="inlineStr">
        <is>
          <t>6120017</t>
        </is>
      </c>
      <c r="F462" s="551" t="n"/>
      <c r="G462" s="488" t="inlineStr">
        <is>
          <t>(V)保肝 5ml/支</t>
        </is>
      </c>
      <c r="H462" s="552" t="n"/>
      <c r="I462" s="552" t="n"/>
      <c r="J462" s="551" t="n"/>
      <c r="K462" s="488" t="inlineStr">
        <is>
          <t>50支/盒</t>
        </is>
      </c>
      <c r="L462" s="558" t="n">
        <v>1</v>
      </c>
      <c r="M462" s="123" t="inlineStr">
        <is>
          <t>MB3ME090025A</t>
        </is>
      </c>
      <c r="N462" s="117" t="n"/>
    </row>
    <row r="463" ht="17.25" customHeight="1" s="453" thickBot="1">
      <c r="A463" s="553">
        <f>IFERROR(LEFT(B463,7),"")</f>
        <v/>
      </c>
      <c r="B463" s="554">
        <f>"2025/09"&amp;D463</f>
        <v/>
      </c>
      <c r="C463" s="557" t="n">
        <v>74</v>
      </c>
      <c r="D463" s="488" t="inlineStr">
        <is>
          <t>站前11樓</t>
        </is>
      </c>
      <c r="E463" s="488" t="inlineStr">
        <is>
          <t>6120021</t>
        </is>
      </c>
      <c r="F463" s="551" t="n"/>
      <c r="G463" s="488" t="inlineStr">
        <is>
          <t>(V)(Vit C)(抗壞血酸/諾貝爾)20ml，50倍數下單</t>
        </is>
      </c>
      <c r="H463" s="552" t="n"/>
      <c r="I463" s="552" t="n"/>
      <c r="J463" s="551" t="n"/>
      <c r="K463" s="488" t="inlineStr">
        <is>
          <t>50支/盒</t>
        </is>
      </c>
      <c r="L463" s="558" t="n">
        <v>2</v>
      </c>
      <c r="M463" s="123" t="inlineStr">
        <is>
          <t>MB3ME090009A</t>
        </is>
      </c>
      <c r="N463" s="117" t="n"/>
    </row>
    <row r="464" ht="17.25" customHeight="1" s="453" thickBot="1">
      <c r="A464" s="553">
        <f>IFERROR(LEFT(B464,7),"")</f>
        <v/>
      </c>
      <c r="B464" s="554">
        <f>"2025/09"&amp;D464</f>
        <v/>
      </c>
      <c r="C464" s="557" t="n">
        <v>75</v>
      </c>
      <c r="D464" s="488" t="inlineStr">
        <is>
          <t>站前11樓</t>
        </is>
      </c>
      <c r="E464" s="488" t="inlineStr">
        <is>
          <t>6190005</t>
        </is>
      </c>
      <c r="F464" s="551" t="n"/>
      <c r="G464" s="488" t="inlineStr">
        <is>
          <t>(V)氦氖針/ 支</t>
        </is>
      </c>
      <c r="H464" s="552" t="n"/>
      <c r="I464" s="552" t="n"/>
      <c r="J464" s="551" t="n"/>
      <c r="K464" s="488" t="inlineStr">
        <is>
          <t>(50支/包)</t>
        </is>
      </c>
      <c r="L464" s="558" t="n">
        <v>65</v>
      </c>
      <c r="M464" s="123" t="inlineStr">
        <is>
          <t>MM2MX070001A</t>
        </is>
      </c>
      <c r="N464" s="117" t="n"/>
    </row>
    <row r="465" ht="17.25" customHeight="1" s="453" thickBot="1">
      <c r="A465" s="553">
        <f>IFERROR(LEFT(B465,7),"")</f>
        <v/>
      </c>
      <c r="B465" s="554">
        <f>"2025/09"&amp;D465</f>
        <v/>
      </c>
      <c r="C465" s="557" t="n">
        <v>76</v>
      </c>
      <c r="D465" s="488" t="inlineStr">
        <is>
          <t>站前11樓</t>
        </is>
      </c>
      <c r="E465" s="488" t="inlineStr">
        <is>
          <t>6200004</t>
        </is>
      </c>
      <c r="F465" s="551" t="n"/>
      <c r="G465" s="488" t="inlineStr">
        <is>
          <t>阿爾發SAT卡匣/ 發</t>
        </is>
      </c>
      <c r="H465" s="552" t="n"/>
      <c r="I465" s="552" t="n"/>
      <c r="J465" s="551" t="n"/>
      <c r="K465" s="488" t="inlineStr">
        <is>
          <t>50發/卡</t>
        </is>
      </c>
      <c r="L465" s="558" t="n">
        <v>1349</v>
      </c>
      <c r="M465" s="123" t="inlineStr">
        <is>
          <t>MM2MC070001A</t>
        </is>
      </c>
      <c r="N465" s="117" t="n"/>
    </row>
    <row r="466" ht="17.25" customHeight="1" s="453" thickBot="1">
      <c r="A466" s="553">
        <f>IFERROR(LEFT(B466,7),"")</f>
        <v/>
      </c>
      <c r="B466" s="554">
        <f>"2025/09"&amp;D466</f>
        <v/>
      </c>
      <c r="C466" s="557" t="n">
        <v>77</v>
      </c>
      <c r="D466" s="488" t="inlineStr">
        <is>
          <t>站前11樓</t>
        </is>
      </c>
      <c r="E466" s="488" t="inlineStr">
        <is>
          <t>6200007</t>
        </is>
      </c>
      <c r="F466" s="551" t="n"/>
      <c r="G466" s="488" t="inlineStr">
        <is>
          <t>瘦瘦筆-針頭*1個</t>
        </is>
      </c>
      <c r="H466" s="552" t="n"/>
      <c r="I466" s="552" t="n"/>
      <c r="J466" s="551" t="n"/>
      <c r="K466" s="488" t="inlineStr">
        <is>
          <t>個</t>
        </is>
      </c>
      <c r="L466" s="558" t="n">
        <v>372</v>
      </c>
      <c r="M466" s="123" t="n"/>
      <c r="N466" s="117" t="n"/>
    </row>
    <row r="467" ht="17.25" customHeight="1" s="453" thickBot="1">
      <c r="A467" s="553">
        <f>IFERROR(LEFT(B467,7),"")</f>
        <v/>
      </c>
      <c r="B467" s="554">
        <f>"2025/09"&amp;D467</f>
        <v/>
      </c>
      <c r="C467" s="557" t="n">
        <v>78</v>
      </c>
      <c r="D467" s="488" t="inlineStr">
        <is>
          <t>站前11樓</t>
        </is>
      </c>
      <c r="E467" s="488" t="inlineStr">
        <is>
          <t>6200008</t>
        </is>
      </c>
      <c r="F467" s="551" t="n"/>
      <c r="G467" s="488" t="inlineStr">
        <is>
          <t>瘦瘦筆-週纖達*1支(0.25mg)</t>
        </is>
      </c>
      <c r="H467" s="552" t="n"/>
      <c r="I467" s="552" t="n"/>
      <c r="J467" s="551" t="n"/>
      <c r="K467" s="488" t="inlineStr">
        <is>
          <t>支</t>
        </is>
      </c>
      <c r="L467" s="558" t="n">
        <v>8</v>
      </c>
      <c r="M467" s="123" t="inlineStr">
        <is>
          <t>MB3ME110003A</t>
        </is>
      </c>
      <c r="N467" s="117" t="n"/>
    </row>
    <row r="468" ht="17.25" customHeight="1" s="453" thickBot="1">
      <c r="A468" s="553">
        <f>IFERROR(LEFT(B468,7),"")</f>
        <v/>
      </c>
      <c r="B468" s="554">
        <f>"2025/09"&amp;D468</f>
        <v/>
      </c>
      <c r="C468" s="557" t="n">
        <v>79</v>
      </c>
      <c r="D468" s="488" t="inlineStr">
        <is>
          <t>站前11樓</t>
        </is>
      </c>
      <c r="E468" s="488" t="inlineStr">
        <is>
          <t>6200010</t>
        </is>
      </c>
      <c r="F468" s="551" t="n"/>
      <c r="G468" s="488" t="inlineStr">
        <is>
          <t>瘦瘦筆-週纖達*1支(1.0mg)</t>
        </is>
      </c>
      <c r="H468" s="552" t="n"/>
      <c r="I468" s="552" t="n"/>
      <c r="J468" s="551" t="n"/>
      <c r="K468" s="488" t="inlineStr">
        <is>
          <t>支</t>
        </is>
      </c>
      <c r="L468" s="558" t="n">
        <v>4</v>
      </c>
      <c r="M468" s="123" t="inlineStr">
        <is>
          <t>MB3ME110005A</t>
        </is>
      </c>
      <c r="N468" s="117" t="n"/>
    </row>
    <row r="469" ht="17.25" customHeight="1" s="453" thickBot="1">
      <c r="A469" s="553">
        <f>IFERROR(LEFT(B469,7),"")</f>
        <v/>
      </c>
      <c r="B469" s="554">
        <f>"2025/09"&amp;D469</f>
        <v/>
      </c>
      <c r="C469" s="557" t="n">
        <v>80</v>
      </c>
      <c r="D469" s="488" t="inlineStr">
        <is>
          <t>站前11樓</t>
        </is>
      </c>
      <c r="E469" s="488" t="inlineStr">
        <is>
          <t>6200013</t>
        </is>
      </c>
      <c r="F469" s="551" t="n"/>
      <c r="G469" s="488" t="inlineStr">
        <is>
          <t>(V)猛健樂*1支(2.5mg)</t>
        </is>
      </c>
      <c r="H469" s="552" t="n"/>
      <c r="I469" s="552" t="n"/>
      <c r="J469" s="551" t="n"/>
      <c r="K469" s="488" t="inlineStr">
        <is>
          <t>支</t>
        </is>
      </c>
      <c r="L469" s="558" t="n">
        <v>27</v>
      </c>
      <c r="M469" s="123" t="inlineStr">
        <is>
          <t>MB3ME110008A</t>
        </is>
      </c>
      <c r="N469" s="117" t="n"/>
    </row>
    <row r="470" ht="17.25" customHeight="1" s="453" thickBot="1">
      <c r="A470" s="553">
        <f>IFERROR(LEFT(B470,7),"")</f>
        <v/>
      </c>
      <c r="B470" s="554">
        <f>"2025/09"&amp;D470</f>
        <v/>
      </c>
      <c r="C470" s="557" t="n">
        <v>81</v>
      </c>
      <c r="D470" s="488" t="inlineStr">
        <is>
          <t>站前11樓</t>
        </is>
      </c>
      <c r="E470" s="488" t="inlineStr">
        <is>
          <t>6200014</t>
        </is>
      </c>
      <c r="F470" s="551" t="n"/>
      <c r="G470" s="488" t="inlineStr">
        <is>
          <t>(V)猛健樂*1支(5mg)</t>
        </is>
      </c>
      <c r="H470" s="552" t="n"/>
      <c r="I470" s="552" t="n"/>
      <c r="J470" s="551" t="n"/>
      <c r="K470" s="488" t="inlineStr">
        <is>
          <t>支</t>
        </is>
      </c>
      <c r="L470" s="558" t="n">
        <v>27</v>
      </c>
      <c r="M470" s="123" t="inlineStr">
        <is>
          <t>MB3ME110009A</t>
        </is>
      </c>
      <c r="N470" s="117" t="n"/>
    </row>
    <row r="471" ht="17.25" customHeight="1" s="453" thickBot="1">
      <c r="A471" s="553">
        <f>IFERROR(LEFT(B471,7),"")</f>
        <v/>
      </c>
      <c r="B471" s="554">
        <f>"2025/09"&amp;D471</f>
        <v/>
      </c>
      <c r="C471" s="557" t="n">
        <v>82</v>
      </c>
      <c r="D471" s="488" t="inlineStr">
        <is>
          <t>站前11樓</t>
        </is>
      </c>
      <c r="E471" s="488" t="inlineStr">
        <is>
          <t>6200015</t>
        </is>
      </c>
      <c r="F471" s="551" t="n"/>
      <c r="G471" s="488" t="inlineStr">
        <is>
          <t>(V)猛健樂*1支(7.5mg)</t>
        </is>
      </c>
      <c r="H471" s="552" t="n"/>
      <c r="I471" s="552" t="n"/>
      <c r="J471" s="551" t="n"/>
      <c r="K471" s="488" t="inlineStr">
        <is>
          <t>支</t>
        </is>
      </c>
      <c r="L471" s="558" t="n">
        <v>4</v>
      </c>
      <c r="M471" s="123" t="inlineStr">
        <is>
          <t>MB3ME110010A</t>
        </is>
      </c>
      <c r="N471" s="117" t="n"/>
    </row>
    <row r="472" ht="17.25" customHeight="1" s="453" thickBot="1">
      <c r="A472" s="553">
        <f>IFERROR(LEFT(B472,7),"")</f>
        <v/>
      </c>
      <c r="B472" s="554">
        <f>"2025/09"&amp;D472</f>
        <v/>
      </c>
      <c r="C472" s="557" t="n">
        <v>83</v>
      </c>
      <c r="D472" s="488" t="inlineStr">
        <is>
          <t>站前11樓</t>
        </is>
      </c>
      <c r="E472" s="488" t="inlineStr">
        <is>
          <t>6200016</t>
        </is>
      </c>
      <c r="F472" s="551" t="n"/>
      <c r="G472" s="488" t="inlineStr">
        <is>
          <t>(V)猛健樂*1支(10mg)</t>
        </is>
      </c>
      <c r="H472" s="552" t="n"/>
      <c r="I472" s="552" t="n"/>
      <c r="J472" s="551" t="n"/>
      <c r="K472" s="488" t="inlineStr">
        <is>
          <t>支</t>
        </is>
      </c>
      <c r="L472" s="558" t="n">
        <v>35</v>
      </c>
      <c r="M472" s="123" t="inlineStr">
        <is>
          <t>MB3ME110011A</t>
        </is>
      </c>
      <c r="N472" s="117" t="n"/>
    </row>
    <row r="473" ht="17.25" customHeight="1" s="453" thickBot="1">
      <c r="A473" s="553">
        <f>IFERROR(LEFT(B473,7),"")</f>
        <v/>
      </c>
      <c r="B473" s="554">
        <f>"2025/09"&amp;D473</f>
        <v/>
      </c>
      <c r="C473" s="557" t="n">
        <v>84</v>
      </c>
      <c r="D473" s="488" t="inlineStr">
        <is>
          <t>忠孝7樓</t>
        </is>
      </c>
      <c r="E473" s="488" t="inlineStr">
        <is>
          <t>6120004</t>
        </is>
      </c>
      <c r="F473" s="551" t="n"/>
      <c r="G473" s="488" t="inlineStr">
        <is>
          <t>(V)胺基酸點滴250ml/ 袋(安命活源/嘉安命)，20倍數叫貨</t>
        </is>
      </c>
      <c r="H473" s="552" t="n"/>
      <c r="I473" s="552" t="n"/>
      <c r="J473" s="551" t="n"/>
      <c r="K473" s="488" t="inlineStr">
        <is>
          <t>(20瓶/箱)</t>
        </is>
      </c>
      <c r="L473" s="558" t="n">
        <v>7</v>
      </c>
      <c r="M473" s="123" t="inlineStr">
        <is>
          <t>MB3ME090006A</t>
        </is>
      </c>
      <c r="N473" s="117" t="n"/>
    </row>
    <row r="474" ht="17.25" customHeight="1" s="453" thickBot="1">
      <c r="A474" s="553">
        <f>IFERROR(LEFT(B474,7),"")</f>
        <v/>
      </c>
      <c r="B474" s="554">
        <f>"2025/09"&amp;D474</f>
        <v/>
      </c>
      <c r="C474" s="557" t="n">
        <v>85</v>
      </c>
      <c r="D474" s="488" t="inlineStr">
        <is>
          <t>忠孝7樓</t>
        </is>
      </c>
      <c r="E474" s="488" t="inlineStr">
        <is>
          <t>6120006</t>
        </is>
      </c>
      <c r="F474" s="551" t="n"/>
      <c r="G474" s="488" t="inlineStr">
        <is>
          <t>(V)(B12) 愛壽命 2mL，100倍數叫貨</t>
        </is>
      </c>
      <c r="H474" s="552" t="n"/>
      <c r="I474" s="552" t="n"/>
      <c r="J474" s="551" t="n"/>
      <c r="K474" s="488" t="inlineStr">
        <is>
          <t>(100支/盒)</t>
        </is>
      </c>
      <c r="L474" s="558" t="n">
        <v>1</v>
      </c>
      <c r="M474" s="123" t="inlineStr">
        <is>
          <t>MB3ME090011A</t>
        </is>
      </c>
      <c r="N474" s="117" t="n"/>
    </row>
    <row r="475" ht="17.25" customHeight="1" s="453" thickBot="1">
      <c r="A475" s="553">
        <f>IFERROR(LEFT(B475,7),"")</f>
        <v/>
      </c>
      <c r="B475" s="554">
        <f>"2025/09"&amp;D475</f>
        <v/>
      </c>
      <c r="C475" s="557" t="n">
        <v>86</v>
      </c>
      <c r="D475" s="488" t="inlineStr">
        <is>
          <t>忠孝7樓</t>
        </is>
      </c>
      <c r="E475" s="488" t="inlineStr">
        <is>
          <t>6120013</t>
        </is>
      </c>
      <c r="F475" s="551" t="n"/>
      <c r="G475" s="488" t="inlineStr">
        <is>
          <t>(V)生理食鹽水(NS) 250ml/ 袋</t>
        </is>
      </c>
      <c r="H475" s="552" t="n"/>
      <c r="I475" s="552" t="n"/>
      <c r="J475" s="551" t="n"/>
      <c r="K475" s="488" t="inlineStr">
        <is>
          <t>55瓶/箱</t>
        </is>
      </c>
      <c r="L475" s="558" t="n">
        <v>369</v>
      </c>
      <c r="M475" s="123" t="inlineStr">
        <is>
          <t>MB3ME090008A</t>
        </is>
      </c>
      <c r="N475" s="117" t="n"/>
    </row>
    <row r="476" ht="17.25" customHeight="1" s="453" thickBot="1">
      <c r="A476" s="553">
        <f>IFERROR(LEFT(B476,7),"")</f>
        <v/>
      </c>
      <c r="B476" s="554">
        <f>"2025/09"&amp;D476</f>
        <v/>
      </c>
      <c r="C476" s="557" t="n">
        <v>87</v>
      </c>
      <c r="D476" s="488" t="inlineStr">
        <is>
          <t>忠孝7樓</t>
        </is>
      </c>
      <c r="E476" s="488" t="inlineStr">
        <is>
          <t>6120015</t>
        </is>
      </c>
      <c r="F476" s="551" t="n"/>
      <c r="G476" s="488" t="inlineStr">
        <is>
          <t>(V)(B群)淘能美複合維他命B 2ml，100倍數叫貨</t>
        </is>
      </c>
      <c r="H476" s="552" t="n"/>
      <c r="I476" s="552" t="n"/>
      <c r="J476" s="551" t="n"/>
      <c r="K476" s="488" t="n"/>
      <c r="L476" s="558" t="n">
        <v>374</v>
      </c>
      <c r="M476" s="123" t="inlineStr">
        <is>
          <t>MB3ME090014A</t>
        </is>
      </c>
      <c r="N476" s="117" t="n"/>
    </row>
    <row r="477" ht="17.25" customHeight="1" s="453" thickBot="1">
      <c r="A477" s="553">
        <f>IFERROR(LEFT(B477,7),"")</f>
        <v/>
      </c>
      <c r="B477" s="554">
        <f>"2025/09"&amp;D477</f>
        <v/>
      </c>
      <c r="C477" s="557" t="n">
        <v>88</v>
      </c>
      <c r="D477" s="488" t="inlineStr">
        <is>
          <t>忠孝7樓</t>
        </is>
      </c>
      <c r="E477" s="488" t="inlineStr">
        <is>
          <t>6120016</t>
        </is>
      </c>
      <c r="F477" s="551" t="n"/>
      <c r="G477" s="488" t="inlineStr">
        <is>
          <t>(V)(榖胱肝肽) 克樂達養200mg (20ml/瓶)</t>
        </is>
      </c>
      <c r="H477" s="552" t="n"/>
      <c r="I477" s="552" t="n"/>
      <c r="J477" s="551" t="n"/>
      <c r="K477" s="488" t="inlineStr">
        <is>
          <t>50支/盒</t>
        </is>
      </c>
      <c r="L477" s="558" t="n">
        <v>374</v>
      </c>
      <c r="M477" s="123" t="inlineStr">
        <is>
          <t>MB3ME090015A</t>
        </is>
      </c>
      <c r="N477" s="117" t="n"/>
    </row>
    <row r="478" ht="17.25" customHeight="1" s="453" thickBot="1">
      <c r="A478" s="553">
        <f>IFERROR(LEFT(B478,7),"")</f>
        <v/>
      </c>
      <c r="B478" s="554">
        <f>"2025/09"&amp;D478</f>
        <v/>
      </c>
      <c r="C478" s="557" t="n">
        <v>89</v>
      </c>
      <c r="D478" s="488" t="inlineStr">
        <is>
          <t>忠孝7樓</t>
        </is>
      </c>
      <c r="E478" s="488" t="inlineStr">
        <is>
          <t>6120018</t>
        </is>
      </c>
      <c r="F478" s="551" t="n"/>
      <c r="G478" s="488" t="inlineStr">
        <is>
          <t>(V)(傳明酸)止血明 5ml/支</t>
        </is>
      </c>
      <c r="H478" s="552" t="n"/>
      <c r="I478" s="552" t="n"/>
      <c r="J478" s="551" t="n"/>
      <c r="K478" s="488" t="inlineStr">
        <is>
          <t>50支/盒</t>
        </is>
      </c>
      <c r="L478" s="558" t="n">
        <v>34</v>
      </c>
      <c r="M478" s="123" t="inlineStr">
        <is>
          <t>MB3ME090023A</t>
        </is>
      </c>
      <c r="N478" s="117" t="n"/>
    </row>
    <row r="479" ht="17.25" customHeight="1" s="453" thickBot="1">
      <c r="A479" s="553">
        <f>IFERROR(LEFT(B479,7),"")</f>
        <v/>
      </c>
      <c r="B479" s="554">
        <f>"2025/09"&amp;D479</f>
        <v/>
      </c>
      <c r="C479" s="557" t="n">
        <v>90</v>
      </c>
      <c r="D479" s="488" t="inlineStr">
        <is>
          <t>忠孝7樓</t>
        </is>
      </c>
      <c r="E479" s="488" t="inlineStr">
        <is>
          <t>6120020</t>
        </is>
      </c>
      <c r="F479" s="551" t="n"/>
      <c r="G479" s="488" t="inlineStr">
        <is>
          <t>(V)(Vit C) 抗壞血酸 2mL，100倍數下單</t>
        </is>
      </c>
      <c r="H479" s="552" t="n"/>
      <c r="I479" s="552" t="n"/>
      <c r="J479" s="551" t="n"/>
      <c r="K479" s="488" t="inlineStr">
        <is>
          <t>100支/盒</t>
        </is>
      </c>
      <c r="L479" s="558" t="n">
        <v>125</v>
      </c>
      <c r="M479" s="123" t="inlineStr">
        <is>
          <t>MB3ME090010A</t>
        </is>
      </c>
      <c r="N479" s="117" t="n"/>
    </row>
    <row r="480" ht="17.25" customHeight="1" s="453" thickBot="1">
      <c r="A480" s="553">
        <f>IFERROR(LEFT(B480,7),"")</f>
        <v/>
      </c>
      <c r="B480" s="554">
        <f>"2025/09"&amp;D480</f>
        <v/>
      </c>
      <c r="C480" s="557" t="n">
        <v>91</v>
      </c>
      <c r="D480" s="488" t="inlineStr">
        <is>
          <t>忠孝7樓</t>
        </is>
      </c>
      <c r="E480" s="488" t="inlineStr">
        <is>
          <t>6120021</t>
        </is>
      </c>
      <c r="F480" s="551" t="n"/>
      <c r="G480" s="488" t="inlineStr">
        <is>
          <t>(V)(Vit C)(抗壞血酸/諾貝爾)20ml，50倍數下單</t>
        </is>
      </c>
      <c r="H480" s="552" t="n"/>
      <c r="I480" s="552" t="n"/>
      <c r="J480" s="551" t="n"/>
      <c r="K480" s="488" t="inlineStr">
        <is>
          <t>50支/盒</t>
        </is>
      </c>
      <c r="L480" s="558" t="n">
        <v>375</v>
      </c>
      <c r="M480" s="123" t="inlineStr">
        <is>
          <t>MB3ME090009A</t>
        </is>
      </c>
      <c r="N480" s="117" t="n"/>
    </row>
    <row r="481" ht="17.25" customHeight="1" s="453" thickBot="1">
      <c r="A481" s="553">
        <f>IFERROR(LEFT(B481,7),"")</f>
        <v/>
      </c>
      <c r="B481" s="554">
        <f>"2025/09"&amp;D481</f>
        <v/>
      </c>
      <c r="C481" s="557" t="n">
        <v>92</v>
      </c>
      <c r="D481" s="488" t="inlineStr">
        <is>
          <t>忠孝7樓</t>
        </is>
      </c>
      <c r="E481" s="488" t="inlineStr">
        <is>
          <t>6120030</t>
        </is>
      </c>
      <c r="F481" s="551" t="n"/>
      <c r="G481" s="488" t="inlineStr">
        <is>
          <t>(V)克多炎 Keto 1ml</t>
        </is>
      </c>
      <c r="H481" s="552" t="n"/>
      <c r="I481" s="552" t="n"/>
      <c r="J481" s="551" t="n"/>
      <c r="K481" s="488" t="inlineStr">
        <is>
          <t>100支/盒</t>
        </is>
      </c>
      <c r="L481" s="558" t="n">
        <v>1</v>
      </c>
      <c r="M481" s="123" t="inlineStr">
        <is>
          <t>MB3ME090030A</t>
        </is>
      </c>
      <c r="N481" s="117" t="n"/>
    </row>
    <row r="482" ht="17.25" customHeight="1" s="453" thickBot="1">
      <c r="A482" s="553">
        <f>IFERROR(LEFT(B482,7),"")</f>
        <v/>
      </c>
      <c r="B482" s="554">
        <f>"2025/09"&amp;D482</f>
        <v/>
      </c>
      <c r="C482" s="557" t="n">
        <v>93</v>
      </c>
      <c r="D482" s="488" t="inlineStr">
        <is>
          <t>忠孝7樓</t>
        </is>
      </c>
      <c r="E482" s="488" t="inlineStr">
        <is>
          <t>6140001</t>
        </is>
      </c>
      <c r="F482" s="551" t="n"/>
      <c r="G482" s="488" t="inlineStr">
        <is>
          <t>(V)保妥適Botox/ u</t>
        </is>
      </c>
      <c r="H482" s="552" t="n"/>
      <c r="I482" s="552" t="n"/>
      <c r="J482" s="551" t="n"/>
      <c r="K482" s="488" t="inlineStr">
        <is>
          <t>u</t>
        </is>
      </c>
      <c r="L482" s="558" t="n">
        <v>1685</v>
      </c>
      <c r="M482" s="123" t="inlineStr">
        <is>
          <t>MB3ME100001A</t>
        </is>
      </c>
      <c r="N482" s="117" t="n"/>
    </row>
    <row r="483" ht="17.25" customHeight="1" s="453" thickBot="1">
      <c r="A483" s="553">
        <f>IFERROR(LEFT(B483,7),"")</f>
        <v/>
      </c>
      <c r="B483" s="554">
        <f>"2025/09"&amp;D483</f>
        <v/>
      </c>
      <c r="C483" s="557" t="n">
        <v>94</v>
      </c>
      <c r="D483" s="488" t="inlineStr">
        <is>
          <t>忠孝7樓</t>
        </is>
      </c>
      <c r="E483" s="488" t="inlineStr">
        <is>
          <t>6140003</t>
        </is>
      </c>
      <c r="F483" s="551" t="n"/>
      <c r="G483" s="488" t="inlineStr">
        <is>
          <t>(V)保提拉肉毒Letybo/ u</t>
        </is>
      </c>
      <c r="H483" s="552" t="n"/>
      <c r="I483" s="552" t="n"/>
      <c r="J483" s="551" t="n"/>
      <c r="K483" s="488" t="inlineStr">
        <is>
          <t>u</t>
        </is>
      </c>
      <c r="L483" s="558" t="n">
        <v>3049</v>
      </c>
      <c r="M483" s="123" t="inlineStr">
        <is>
          <t>MB3ME100002A</t>
        </is>
      </c>
      <c r="N483" s="117" t="n"/>
    </row>
    <row r="484" ht="17.25" customHeight="1" s="453" thickBot="1">
      <c r="A484" s="553">
        <f>IFERROR(LEFT(B484,7),"")</f>
        <v/>
      </c>
      <c r="B484" s="554">
        <f>"2025/09"&amp;D484</f>
        <v/>
      </c>
      <c r="C484" s="557" t="n">
        <v>95</v>
      </c>
      <c r="D484" s="488" t="inlineStr">
        <is>
          <t>忠孝7樓</t>
        </is>
      </c>
      <c r="E484" s="488" t="inlineStr">
        <is>
          <t>6140005</t>
        </is>
      </c>
      <c r="F484" s="551" t="n"/>
      <c r="G484" s="488" t="inlineStr">
        <is>
          <t>(V)奇肌肉毒/ u</t>
        </is>
      </c>
      <c r="H484" s="552" t="n"/>
      <c r="I484" s="552" t="n"/>
      <c r="J484" s="551" t="n"/>
      <c r="K484" s="488" t="inlineStr">
        <is>
          <t>u</t>
        </is>
      </c>
      <c r="L484" s="558" t="n">
        <v>968</v>
      </c>
      <c r="M484" s="123" t="inlineStr">
        <is>
          <t>MB3ME100003A</t>
        </is>
      </c>
      <c r="N484" s="117" t="n"/>
    </row>
    <row r="485" ht="17.25" customHeight="1" s="453" thickBot="1">
      <c r="A485" s="553">
        <f>IFERROR(LEFT(B485,7),"")</f>
        <v/>
      </c>
      <c r="B485" s="554">
        <f>"2025/09"&amp;D485</f>
        <v/>
      </c>
      <c r="C485" s="557" t="n">
        <v>96</v>
      </c>
      <c r="D485" s="488" t="inlineStr">
        <is>
          <t>忠孝7樓</t>
        </is>
      </c>
      <c r="E485" s="488" t="inlineStr">
        <is>
          <t>6150001</t>
        </is>
      </c>
      <c r="F485" s="551" t="n"/>
      <c r="G485" s="488" t="inlineStr">
        <is>
          <t>(V)喬雅登-豐麗緹玻尿酸植入物Voluma 1ml</t>
        </is>
      </c>
      <c r="H485" s="552" t="n"/>
      <c r="I485" s="552" t="n"/>
      <c r="J485" s="551" t="n"/>
      <c r="K485" s="488" t="inlineStr">
        <is>
          <t>1ml(2ml/盒)</t>
        </is>
      </c>
      <c r="L485" s="558" t="n">
        <v>51</v>
      </c>
      <c r="M485" s="123" t="inlineStr">
        <is>
          <t>MP1MA020019A</t>
        </is>
      </c>
      <c r="N485" s="117" t="n"/>
    </row>
    <row r="486" ht="17.25" customHeight="1" s="453" thickBot="1">
      <c r="A486" s="553">
        <f>IFERROR(LEFT(B486,7),"")</f>
        <v/>
      </c>
      <c r="B486" s="554">
        <f>"2025/09"&amp;D486</f>
        <v/>
      </c>
      <c r="C486" s="557" t="n">
        <v>97</v>
      </c>
      <c r="D486" s="488" t="inlineStr">
        <is>
          <t>忠孝7樓</t>
        </is>
      </c>
      <c r="E486" s="488" t="inlineStr">
        <is>
          <t>6150002</t>
        </is>
      </c>
      <c r="F486" s="551" t="n"/>
      <c r="G486" s="488" t="inlineStr">
        <is>
          <t>(V)喬雅登-夢蓓菈玻尿酸植入物Volbella 1ml</t>
        </is>
      </c>
      <c r="H486" s="552" t="n"/>
      <c r="I486" s="552" t="n"/>
      <c r="J486" s="551" t="n"/>
      <c r="K486" s="488" t="inlineStr">
        <is>
          <t>1ml(2ml/盒)</t>
        </is>
      </c>
      <c r="L486" s="558" t="n">
        <v>2</v>
      </c>
      <c r="M486" s="123" t="inlineStr">
        <is>
          <t>MP1MA020020A</t>
        </is>
      </c>
      <c r="N486" s="117" t="n"/>
    </row>
    <row r="487" ht="17.25" customHeight="1" s="453" thickBot="1">
      <c r="A487" s="553">
        <f>IFERROR(LEFT(B487,7),"")</f>
        <v/>
      </c>
      <c r="B487" s="554">
        <f>"2025/09"&amp;D487</f>
        <v/>
      </c>
      <c r="C487" s="557" t="n">
        <v>98</v>
      </c>
      <c r="D487" s="488" t="inlineStr">
        <is>
          <t>忠孝7樓</t>
        </is>
      </c>
      <c r="E487" s="488" t="inlineStr">
        <is>
          <t>6150003</t>
        </is>
      </c>
      <c r="F487" s="551" t="n"/>
      <c r="G487" s="488" t="inlineStr">
        <is>
          <t>(V)喬雅登-豐麗緹玻尿酸植入物Volift 1ml</t>
        </is>
      </c>
      <c r="H487" s="552" t="n"/>
      <c r="I487" s="552" t="n"/>
      <c r="J487" s="551" t="n"/>
      <c r="K487" s="488" t="inlineStr">
        <is>
          <t>1ml(2ml/盒)</t>
        </is>
      </c>
      <c r="L487" s="558" t="n">
        <v>1</v>
      </c>
      <c r="M487" s="123" t="inlineStr">
        <is>
          <t>MP1MA020021A</t>
        </is>
      </c>
      <c r="N487" s="117" t="n"/>
    </row>
    <row r="488" ht="17.25" customHeight="1" s="453" thickBot="1">
      <c r="A488" s="553">
        <f>IFERROR(LEFT(B488,7),"")</f>
        <v/>
      </c>
      <c r="B488" s="554">
        <f>"2025/09"&amp;D488</f>
        <v/>
      </c>
      <c r="C488" s="557" t="n">
        <v>99</v>
      </c>
      <c r="D488" s="488" t="inlineStr">
        <is>
          <t>忠孝7樓</t>
        </is>
      </c>
      <c r="E488" s="488" t="inlineStr">
        <is>
          <t>6150004</t>
        </is>
      </c>
      <c r="F488" s="551" t="n"/>
      <c r="G488" s="488" t="inlineStr">
        <is>
          <t>(V)喬雅登-豐塑玻尿酸植入物Volux 1ml</t>
        </is>
      </c>
      <c r="H488" s="552" t="n"/>
      <c r="I488" s="552" t="n"/>
      <c r="J488" s="551" t="n"/>
      <c r="K488" s="488" t="inlineStr">
        <is>
          <t>1ml(2ml/盒)</t>
        </is>
      </c>
      <c r="L488" s="558" t="n">
        <v>25</v>
      </c>
      <c r="M488" s="123" t="inlineStr">
        <is>
          <t>MP1MA020022A</t>
        </is>
      </c>
      <c r="N488" s="117" t="n"/>
    </row>
    <row r="489" ht="17.25" customHeight="1" s="453" thickBot="1">
      <c r="A489" s="553">
        <f>IFERROR(LEFT(B489,7),"")</f>
        <v/>
      </c>
      <c r="B489" s="554">
        <f>"2025/09"&amp;D489</f>
        <v/>
      </c>
      <c r="C489" s="557" t="n">
        <v>100</v>
      </c>
      <c r="D489" s="488" t="inlineStr">
        <is>
          <t>忠孝7樓</t>
        </is>
      </c>
      <c r="E489" s="488" t="inlineStr">
        <is>
          <t>6150005</t>
        </is>
      </c>
      <c r="F489" s="551" t="n"/>
      <c r="G489" s="488" t="inlineStr">
        <is>
          <t>(V)喬雅登-芙潤玻尿酸植入物Volite 1ml</t>
        </is>
      </c>
      <c r="H489" s="552" t="n"/>
      <c r="I489" s="552" t="n"/>
      <c r="J489" s="551" t="n"/>
      <c r="K489" s="488" t="inlineStr">
        <is>
          <t>1ml(2ml/盒)</t>
        </is>
      </c>
      <c r="L489" s="558" t="n">
        <v>3</v>
      </c>
      <c r="M489" s="123" t="inlineStr">
        <is>
          <t>MP1MA020023A</t>
        </is>
      </c>
      <c r="N489" s="117" t="n"/>
    </row>
    <row r="490" ht="17.25" customHeight="1" s="453" thickBot="1">
      <c r="A490" s="553">
        <f>IFERROR(LEFT(B490,7),"")</f>
        <v/>
      </c>
      <c r="B490" s="554">
        <f>"2025/09"&amp;D490</f>
        <v/>
      </c>
      <c r="C490" s="557" t="n">
        <v>101</v>
      </c>
      <c r="D490" s="488" t="inlineStr">
        <is>
          <t>忠孝7樓</t>
        </is>
      </c>
      <c r="E490" s="488" t="inlineStr">
        <is>
          <t>6150010</t>
        </is>
      </c>
      <c r="F490" s="551" t="n"/>
      <c r="G490" s="488" t="inlineStr">
        <is>
          <t>(V)仙女玻尿酸大分子 1ml</t>
        </is>
      </c>
      <c r="H490" s="552" t="n"/>
      <c r="I490" s="552" t="n"/>
      <c r="J490" s="551" t="n"/>
      <c r="K490" s="488" t="inlineStr">
        <is>
          <t>1ml(1ml/盒)</t>
        </is>
      </c>
      <c r="L490" s="558" t="n">
        <v>50</v>
      </c>
      <c r="M490" s="123" t="inlineStr">
        <is>
          <t>MP1MA020014A</t>
        </is>
      </c>
      <c r="N490" s="117" t="n"/>
    </row>
    <row r="491" ht="17.25" customHeight="1" s="453" thickBot="1">
      <c r="A491" s="553">
        <f>IFERROR(LEFT(B491,7),"")</f>
        <v/>
      </c>
      <c r="B491" s="554">
        <f>"2025/09"&amp;D491</f>
        <v/>
      </c>
      <c r="C491" s="557" t="n">
        <v>102</v>
      </c>
      <c r="D491" s="488" t="inlineStr">
        <is>
          <t>忠孝7樓</t>
        </is>
      </c>
      <c r="E491" s="488" t="inlineStr">
        <is>
          <t>6150011</t>
        </is>
      </c>
      <c r="F491" s="551" t="n"/>
      <c r="G491" s="488" t="inlineStr">
        <is>
          <t>(V)仙女玻尿酸小分子 1ml</t>
        </is>
      </c>
      <c r="H491" s="552" t="n"/>
      <c r="I491" s="552" t="n"/>
      <c r="J491" s="551" t="n"/>
      <c r="K491" s="488" t="inlineStr">
        <is>
          <t>1ml(1ml/盒)</t>
        </is>
      </c>
      <c r="L491" s="558" t="n">
        <v>6</v>
      </c>
      <c r="M491" s="123" t="inlineStr">
        <is>
          <t>MP1MA020018A</t>
        </is>
      </c>
      <c r="N491" s="117" t="n"/>
    </row>
    <row r="492" ht="17.25" customHeight="1" s="453" thickBot="1">
      <c r="A492" s="553">
        <f>IFERROR(LEFT(B492,7),"")</f>
        <v/>
      </c>
      <c r="B492" s="554">
        <f>"2025/09"&amp;D492</f>
        <v/>
      </c>
      <c r="C492" s="557" t="n">
        <v>103</v>
      </c>
      <c r="D492" s="488" t="inlineStr">
        <is>
          <t>忠孝7樓</t>
        </is>
      </c>
      <c r="E492" s="488" t="inlineStr">
        <is>
          <t>6150013</t>
        </is>
      </c>
      <c r="F492" s="551" t="n"/>
      <c r="G492" s="488" t="inlineStr">
        <is>
          <t>(V)逆時針(璞菲洛)2cc</t>
        </is>
      </c>
      <c r="H492" s="552" t="n"/>
      <c r="I492" s="552" t="n"/>
      <c r="J492" s="551" t="n"/>
      <c r="K492" s="488" t="inlineStr">
        <is>
          <t>1ml(1ml/盒)</t>
        </is>
      </c>
      <c r="L492" s="558" t="n">
        <v>22</v>
      </c>
      <c r="M492" s="123" t="inlineStr">
        <is>
          <t>MP1MA020029A</t>
        </is>
      </c>
      <c r="N492" s="117" t="n"/>
    </row>
    <row r="493" ht="17.25" customHeight="1" s="453" thickBot="1">
      <c r="A493" s="553">
        <f>IFERROR(LEFT(B493,7),"")</f>
        <v/>
      </c>
      <c r="B493" s="554">
        <f>"2025/09"&amp;D493</f>
        <v/>
      </c>
      <c r="C493" s="557" t="n">
        <v>104</v>
      </c>
      <c r="D493" s="488" t="inlineStr">
        <is>
          <t>忠孝7樓</t>
        </is>
      </c>
      <c r="E493" s="488" t="inlineStr">
        <is>
          <t>6160002</t>
        </is>
      </c>
      <c r="F493" s="551" t="n"/>
      <c r="G493" s="488" t="inlineStr">
        <is>
          <t>(V)洢蓮絲植入劑ELLANSÉ-S 1ml</t>
        </is>
      </c>
      <c r="H493" s="552" t="n"/>
      <c r="I493" s="552" t="n"/>
      <c r="J493" s="551" t="n"/>
      <c r="K493" s="488" t="inlineStr">
        <is>
          <t>1ml(2ml/盒)</t>
        </is>
      </c>
      <c r="L493" s="558" t="n">
        <v>87</v>
      </c>
      <c r="M493" s="123" t="inlineStr">
        <is>
          <t>MP1MA020024A</t>
        </is>
      </c>
      <c r="N493" s="117" t="n"/>
    </row>
    <row r="494" ht="17.25" customHeight="1" s="453" thickBot="1">
      <c r="A494" s="553">
        <f>IFERROR(LEFT(B494,7),"")</f>
        <v/>
      </c>
      <c r="B494" s="554">
        <f>"2025/09"&amp;D494</f>
        <v/>
      </c>
      <c r="C494" s="557" t="n">
        <v>105</v>
      </c>
      <c r="D494" s="488" t="inlineStr">
        <is>
          <t>忠孝7樓</t>
        </is>
      </c>
      <c r="E494" s="488" t="inlineStr">
        <is>
          <t>6160003</t>
        </is>
      </c>
      <c r="F494" s="551" t="n"/>
      <c r="G494" s="488" t="inlineStr">
        <is>
          <t>(V)洢蓮絲植入劑ELLANSÉ-M 1ml</t>
        </is>
      </c>
      <c r="H494" s="552" t="n"/>
      <c r="I494" s="552" t="n"/>
      <c r="J494" s="551" t="n"/>
      <c r="K494" s="488" t="inlineStr">
        <is>
          <t>1ml(2ml/盒)</t>
        </is>
      </c>
      <c r="L494" s="558" t="n">
        <v>25</v>
      </c>
      <c r="M494" s="123" t="inlineStr">
        <is>
          <t>MP1MA020025A</t>
        </is>
      </c>
      <c r="N494" s="117" t="n"/>
    </row>
    <row r="495" ht="17.25" customHeight="1" s="453" thickBot="1">
      <c r="A495" s="553">
        <f>IFERROR(LEFT(B495,7),"")</f>
        <v/>
      </c>
      <c r="B495" s="554">
        <f>"2025/09"&amp;D495</f>
        <v/>
      </c>
      <c r="C495" s="557" t="n">
        <v>106</v>
      </c>
      <c r="D495" s="488" t="inlineStr">
        <is>
          <t>忠孝7樓</t>
        </is>
      </c>
      <c r="E495" s="488" t="inlineStr">
        <is>
          <t>6160005</t>
        </is>
      </c>
      <c r="F495" s="551" t="n"/>
      <c r="G495" s="488" t="inlineStr">
        <is>
          <t>(V)双美熊貓針</t>
        </is>
      </c>
      <c r="H495" s="552" t="n"/>
      <c r="I495" s="552" t="n"/>
      <c r="J495" s="551" t="n"/>
      <c r="K495" s="488" t="inlineStr">
        <is>
          <t>(1ml/盒)</t>
        </is>
      </c>
      <c r="L495" s="558" t="n">
        <v>13</v>
      </c>
      <c r="M495" s="123" t="inlineStr">
        <is>
          <t>MP1MA020015A</t>
        </is>
      </c>
      <c r="N495" s="117" t="n"/>
    </row>
    <row r="496" ht="17.25" customHeight="1" s="453" thickBot="1">
      <c r="A496" s="553">
        <f>IFERROR(LEFT(B496,7),"")</f>
        <v/>
      </c>
      <c r="B496" s="554">
        <f>"2025/09"&amp;D496</f>
        <v/>
      </c>
      <c r="C496" s="557" t="n">
        <v>107</v>
      </c>
      <c r="D496" s="488" t="inlineStr">
        <is>
          <t>忠孝7樓</t>
        </is>
      </c>
      <c r="E496" s="488" t="inlineStr">
        <is>
          <t>6160008</t>
        </is>
      </c>
      <c r="F496" s="551" t="n"/>
      <c r="G496" s="488" t="inlineStr">
        <is>
          <t>白童針-薇貝拉50mg/1cc</t>
        </is>
      </c>
      <c r="H496" s="552" t="n"/>
      <c r="I496" s="552" t="n"/>
      <c r="J496" s="551" t="n"/>
      <c r="K496" s="488" t="inlineStr">
        <is>
          <t>6cc/瓶</t>
        </is>
      </c>
      <c r="L496" s="558" t="n">
        <v>357</v>
      </c>
      <c r="M496" s="123" t="inlineStr">
        <is>
          <t>MP1MA020032A</t>
        </is>
      </c>
      <c r="N496" s="117" t="n"/>
    </row>
    <row r="497" ht="17.25" customHeight="1" s="453" thickBot="1">
      <c r="A497" s="553">
        <f>IFERROR(LEFT(B497,7),"")</f>
        <v/>
      </c>
      <c r="B497" s="554">
        <f>"2025/09"&amp;D497</f>
        <v/>
      </c>
      <c r="C497" s="557" t="n">
        <v>108</v>
      </c>
      <c r="D497" s="488" t="inlineStr">
        <is>
          <t>忠孝7樓</t>
        </is>
      </c>
      <c r="E497" s="488" t="inlineStr">
        <is>
          <t>6160009</t>
        </is>
      </c>
      <c r="F497" s="551" t="n"/>
      <c r="G497" s="488" t="inlineStr">
        <is>
          <t>黑童針-薇貝拉200mg/1cc</t>
        </is>
      </c>
      <c r="H497" s="552" t="n"/>
      <c r="I497" s="552" t="n"/>
      <c r="J497" s="551" t="n"/>
      <c r="K497" s="488" t="inlineStr">
        <is>
          <t>8cc/瓶</t>
        </is>
      </c>
      <c r="L497" s="558" t="n">
        <v>36</v>
      </c>
      <c r="M497" s="123" t="inlineStr">
        <is>
          <t>MP1MA020033A</t>
        </is>
      </c>
      <c r="N497" s="117" t="n"/>
    </row>
    <row r="498" ht="17.25" customHeight="1" s="453" thickBot="1">
      <c r="A498" s="553">
        <f>IFERROR(LEFT(B498,7),"")</f>
        <v/>
      </c>
      <c r="B498" s="554">
        <f>"2025/09"&amp;D498</f>
        <v/>
      </c>
      <c r="C498" s="557" t="n">
        <v>109</v>
      </c>
      <c r="D498" s="488" t="inlineStr">
        <is>
          <t>忠孝7樓</t>
        </is>
      </c>
      <c r="E498" s="488" t="inlineStr">
        <is>
          <t>6160010</t>
        </is>
      </c>
      <c r="F498" s="551" t="n"/>
      <c r="G498" s="488" t="inlineStr">
        <is>
          <t>喬雅露-大分子200mg/1cc</t>
        </is>
      </c>
      <c r="H498" s="552" t="n"/>
      <c r="I498" s="552" t="n"/>
      <c r="J498" s="551" t="n"/>
      <c r="K498" s="488" t="inlineStr">
        <is>
          <t>8cc/瓶</t>
        </is>
      </c>
      <c r="L498" s="558" t="n">
        <v>29</v>
      </c>
      <c r="M498" s="123" t="inlineStr">
        <is>
          <t>MP1MA020031A</t>
        </is>
      </c>
      <c r="N498" s="117" t="n"/>
    </row>
    <row r="499" ht="17.25" customHeight="1" s="453" thickBot="1">
      <c r="A499" s="553">
        <f>IFERROR(LEFT(B499,7),"")</f>
        <v/>
      </c>
      <c r="B499" s="554">
        <f>"2025/09"&amp;D499</f>
        <v/>
      </c>
      <c r="C499" s="557" t="n">
        <v>110</v>
      </c>
      <c r="D499" s="488" t="inlineStr">
        <is>
          <t>忠孝7樓</t>
        </is>
      </c>
      <c r="E499" s="488" t="inlineStr">
        <is>
          <t>6160011</t>
        </is>
      </c>
      <c r="F499" s="551" t="n"/>
      <c r="G499" s="488" t="inlineStr">
        <is>
          <t>喬雅露-小分子50mg/1cc</t>
        </is>
      </c>
      <c r="H499" s="552" t="n"/>
      <c r="I499" s="552" t="n"/>
      <c r="J499" s="551" t="n"/>
      <c r="K499" s="488" t="inlineStr">
        <is>
          <t>6cc/瓶</t>
        </is>
      </c>
      <c r="L499" s="558" t="n">
        <v>68</v>
      </c>
      <c r="M499" s="123" t="inlineStr">
        <is>
          <t>MP1MA020030A</t>
        </is>
      </c>
      <c r="N499" s="117" t="n"/>
    </row>
    <row r="500" ht="17.25" customHeight="1" s="453" thickBot="1">
      <c r="A500" s="553">
        <f>IFERROR(LEFT(B500,7),"")</f>
        <v/>
      </c>
      <c r="B500" s="554">
        <f>"2025/09"&amp;D500</f>
        <v/>
      </c>
      <c r="C500" s="557" t="n">
        <v>111</v>
      </c>
      <c r="D500" s="488" t="inlineStr">
        <is>
          <t>忠孝7樓</t>
        </is>
      </c>
      <c r="E500" s="488" t="inlineStr">
        <is>
          <t>6170005</t>
        </is>
      </c>
      <c r="F500" s="551" t="n"/>
      <c r="G500" s="488" t="inlineStr">
        <is>
          <t>海芙三代音波探頭2mm/ 條</t>
        </is>
      </c>
      <c r="H500" s="552" t="n"/>
      <c r="I500" s="552" t="n"/>
      <c r="J500" s="551" t="n"/>
      <c r="K500" s="488" t="inlineStr">
        <is>
          <t>20000條/顆</t>
        </is>
      </c>
      <c r="L500" s="558" t="n">
        <v>12125</v>
      </c>
      <c r="M500" s="123" t="inlineStr">
        <is>
          <t>MM2MB040003A</t>
        </is>
      </c>
      <c r="N500" s="117" t="n"/>
    </row>
    <row r="501" ht="17.25" customHeight="1" s="453" thickBot="1">
      <c r="A501" s="553">
        <f>IFERROR(LEFT(B501,7),"")</f>
        <v/>
      </c>
      <c r="B501" s="554">
        <f>"2025/09"&amp;D501</f>
        <v/>
      </c>
      <c r="C501" s="557" t="n">
        <v>112</v>
      </c>
      <c r="D501" s="488" t="inlineStr">
        <is>
          <t>忠孝7樓</t>
        </is>
      </c>
      <c r="E501" s="488" t="inlineStr">
        <is>
          <t>6170007</t>
        </is>
      </c>
      <c r="F501" s="551" t="n"/>
      <c r="G501" s="488" t="inlineStr">
        <is>
          <t>海芙三代音波探頭3mm/ 條</t>
        </is>
      </c>
      <c r="H501" s="552" t="n"/>
      <c r="I501" s="552" t="n"/>
      <c r="J501" s="551" t="n"/>
      <c r="K501" s="488" t="inlineStr">
        <is>
          <t>20000條/顆</t>
        </is>
      </c>
      <c r="L501" s="558" t="n">
        <v>39714</v>
      </c>
      <c r="M501" s="123" t="inlineStr">
        <is>
          <t>MM2MB040004A</t>
        </is>
      </c>
      <c r="N501" s="117" t="n"/>
    </row>
    <row r="502" ht="17.25" customHeight="1" s="453" thickBot="1">
      <c r="A502" s="553">
        <f>IFERROR(LEFT(B502,7),"")</f>
        <v/>
      </c>
      <c r="B502" s="554">
        <f>"2025/09"&amp;D502</f>
        <v/>
      </c>
      <c r="C502" s="557" t="n">
        <v>113</v>
      </c>
      <c r="D502" s="488" t="inlineStr">
        <is>
          <t>忠孝7樓</t>
        </is>
      </c>
      <c r="E502" s="488" t="inlineStr">
        <is>
          <t>6170009</t>
        </is>
      </c>
      <c r="F502" s="551" t="n"/>
      <c r="G502" s="488" t="inlineStr">
        <is>
          <t>海芙三代音波探頭4.5mm/ 條</t>
        </is>
      </c>
      <c r="H502" s="552" t="n"/>
      <c r="I502" s="552" t="n"/>
      <c r="J502" s="551" t="n"/>
      <c r="K502" s="488" t="inlineStr">
        <is>
          <t>20000條/顆</t>
        </is>
      </c>
      <c r="L502" s="558" t="n">
        <v>68290</v>
      </c>
      <c r="M502" s="123" t="inlineStr">
        <is>
          <t>MM2MB040005A</t>
        </is>
      </c>
      <c r="N502" s="117" t="n"/>
    </row>
    <row r="503" ht="17.25" customHeight="1" s="453" thickBot="1">
      <c r="A503" s="553">
        <f>IFERROR(LEFT(B503,7),"")</f>
        <v/>
      </c>
      <c r="B503" s="554">
        <f>"2025/09"&amp;D503</f>
        <v/>
      </c>
      <c r="C503" s="557" t="n">
        <v>114</v>
      </c>
      <c r="D503" s="488" t="inlineStr">
        <is>
          <t>忠孝7樓</t>
        </is>
      </c>
      <c r="E503" s="488" t="inlineStr">
        <is>
          <t>6170011</t>
        </is>
      </c>
      <c r="F503" s="551" t="n"/>
      <c r="G503" s="488" t="inlineStr">
        <is>
          <t>海芙三代音波探頭6mm/ 條</t>
        </is>
      </c>
      <c r="H503" s="552" t="n"/>
      <c r="I503" s="552" t="n"/>
      <c r="J503" s="551" t="n"/>
      <c r="K503" s="488" t="inlineStr">
        <is>
          <t>條</t>
        </is>
      </c>
      <c r="L503" s="558" t="n">
        <v>20466</v>
      </c>
      <c r="M503" s="123" t="inlineStr">
        <is>
          <t>MM2MB040006A</t>
        </is>
      </c>
      <c r="N503" s="117" t="n"/>
    </row>
    <row r="504" ht="17.25" customHeight="1" s="453" thickBot="1">
      <c r="A504" s="553">
        <f>IFERROR(LEFT(B504,7),"")</f>
        <v/>
      </c>
      <c r="B504" s="554">
        <f>"2025/09"&amp;D504</f>
        <v/>
      </c>
      <c r="C504" s="557" t="n">
        <v>115</v>
      </c>
      <c r="D504" s="488" t="inlineStr">
        <is>
          <t>忠孝7樓</t>
        </is>
      </c>
      <c r="E504" s="488" t="inlineStr">
        <is>
          <t>6170013</t>
        </is>
      </c>
      <c r="F504" s="551" t="n"/>
      <c r="G504" s="488" t="inlineStr">
        <is>
          <t>鳳凰電波4平方公分紫鑽探頭(900發)</t>
        </is>
      </c>
      <c r="H504" s="552" t="n"/>
      <c r="I504" s="552" t="n"/>
      <c r="J504" s="551" t="n"/>
      <c r="K504" s="488" t="inlineStr">
        <is>
          <t>顆</t>
        </is>
      </c>
      <c r="L504" s="558" t="n">
        <v>4</v>
      </c>
      <c r="M504" s="123" t="inlineStr">
        <is>
          <t>MP1MB030002A</t>
        </is>
      </c>
      <c r="N504" s="117" t="n"/>
    </row>
    <row r="505" ht="17.25" customHeight="1" s="453" thickBot="1">
      <c r="A505" s="553">
        <f>IFERROR(LEFT(B505,7),"")</f>
        <v/>
      </c>
      <c r="B505" s="554">
        <f>"2025/09"&amp;D505</f>
        <v/>
      </c>
      <c r="C505" s="557" t="n">
        <v>116</v>
      </c>
      <c r="D505" s="488" t="inlineStr">
        <is>
          <t>忠孝7樓</t>
        </is>
      </c>
      <c r="E505" s="488" t="inlineStr">
        <is>
          <t>6170014</t>
        </is>
      </c>
      <c r="F505" s="551" t="n"/>
      <c r="G505" s="488" t="inlineStr">
        <is>
          <t>鳳凰電波0.25平方公分碧眼探頭(450發)</t>
        </is>
      </c>
      <c r="H505" s="552" t="n"/>
      <c r="I505" s="552" t="n"/>
      <c r="J505" s="551" t="n"/>
      <c r="K505" s="488" t="inlineStr">
        <is>
          <t>顆</t>
        </is>
      </c>
      <c r="L505" s="558" t="n">
        <v>1</v>
      </c>
      <c r="M505" s="123" t="inlineStr">
        <is>
          <t>MP1MB030003A</t>
        </is>
      </c>
      <c r="N505" s="117" t="n"/>
    </row>
    <row r="506" ht="17.25" customHeight="1" s="453" thickBot="1">
      <c r="A506" s="553">
        <f>IFERROR(LEFT(B506,7),"")</f>
        <v/>
      </c>
      <c r="B506" s="554">
        <f>"2025/09"&amp;D506</f>
        <v/>
      </c>
      <c r="C506" s="557" t="n">
        <v>117</v>
      </c>
      <c r="D506" s="488" t="inlineStr">
        <is>
          <t>忠孝7樓</t>
        </is>
      </c>
      <c r="E506" s="488" t="inlineStr">
        <is>
          <t>6170019</t>
        </is>
      </c>
      <c r="F506" s="551" t="n"/>
      <c r="G506" s="488" t="inlineStr">
        <is>
          <t>媚必提直線探頭2.0mm/條</t>
        </is>
      </c>
      <c r="H506" s="552" t="n"/>
      <c r="I506" s="552" t="n"/>
      <c r="J506" s="551" t="n"/>
      <c r="K506" s="488" t="inlineStr">
        <is>
          <t>20000條/顆</t>
        </is>
      </c>
      <c r="L506" s="558" t="n">
        <v>2636</v>
      </c>
      <c r="M506" s="123" t="inlineStr">
        <is>
          <t>MM2MB040008A</t>
        </is>
      </c>
      <c r="N506" s="117" t="n"/>
    </row>
    <row r="507" ht="17.25" customHeight="1" s="453" thickBot="1">
      <c r="A507" s="553">
        <f>IFERROR(LEFT(B507,7),"")</f>
        <v/>
      </c>
      <c r="B507" s="554">
        <f>"2025/09"&amp;D507</f>
        <v/>
      </c>
      <c r="C507" s="557" t="n">
        <v>118</v>
      </c>
      <c r="D507" s="488" t="inlineStr">
        <is>
          <t>忠孝7樓</t>
        </is>
      </c>
      <c r="E507" s="488" t="inlineStr">
        <is>
          <t>6170020</t>
        </is>
      </c>
      <c r="F507" s="551" t="n"/>
      <c r="G507" s="488" t="inlineStr">
        <is>
          <t>媚必提直線探頭3.0mm/條</t>
        </is>
      </c>
      <c r="H507" s="552" t="n"/>
      <c r="I507" s="552" t="n"/>
      <c r="J507" s="551" t="n"/>
      <c r="K507" s="488" t="inlineStr">
        <is>
          <t>20000條/顆</t>
        </is>
      </c>
      <c r="L507" s="558" t="n">
        <v>5810</v>
      </c>
      <c r="M507" s="123" t="inlineStr">
        <is>
          <t>MM2MB040009A</t>
        </is>
      </c>
      <c r="N507" s="117" t="n"/>
    </row>
    <row r="508" ht="17.25" customHeight="1" s="453" thickBot="1">
      <c r="A508" s="553">
        <f>IFERROR(LEFT(B508,7),"")</f>
        <v/>
      </c>
      <c r="B508" s="554">
        <f>"2025/09"&amp;D508</f>
        <v/>
      </c>
      <c r="C508" s="557" t="n">
        <v>119</v>
      </c>
      <c r="D508" s="488" t="inlineStr">
        <is>
          <t>忠孝7樓</t>
        </is>
      </c>
      <c r="E508" s="488" t="inlineStr">
        <is>
          <t>6170021</t>
        </is>
      </c>
      <c r="F508" s="551" t="n"/>
      <c r="G508" s="488" t="inlineStr">
        <is>
          <t>媚必提直線探頭4.5mm/條</t>
        </is>
      </c>
      <c r="H508" s="552" t="n"/>
      <c r="I508" s="552" t="n"/>
      <c r="J508" s="551" t="n"/>
      <c r="K508" s="488" t="inlineStr">
        <is>
          <t>20000條/顆</t>
        </is>
      </c>
      <c r="L508" s="558" t="n">
        <v>15282</v>
      </c>
      <c r="M508" s="123" t="inlineStr">
        <is>
          <t>MM2MB040010A</t>
        </is>
      </c>
      <c r="N508" s="117" t="n"/>
    </row>
    <row r="509" ht="17.25" customHeight="1" s="453" thickBot="1">
      <c r="A509" s="553">
        <f>IFERROR(LEFT(B509,7),"")</f>
        <v/>
      </c>
      <c r="B509" s="554">
        <f>"2025/09"&amp;D509</f>
        <v/>
      </c>
      <c r="C509" s="557" t="n">
        <v>120</v>
      </c>
      <c r="D509" s="488" t="inlineStr">
        <is>
          <t>忠孝7樓</t>
        </is>
      </c>
      <c r="E509" s="488" t="inlineStr">
        <is>
          <t>6170022</t>
        </is>
      </c>
      <c r="F509" s="551" t="n"/>
      <c r="G509" s="488" t="inlineStr">
        <is>
          <t>媚必提直線探頭6.0mm/條</t>
        </is>
      </c>
      <c r="H509" s="552" t="n"/>
      <c r="I509" s="552" t="n"/>
      <c r="J509" s="551" t="n"/>
      <c r="K509" s="488" t="inlineStr">
        <is>
          <t>20000條/顆</t>
        </is>
      </c>
      <c r="L509" s="558" t="n">
        <v>5164</v>
      </c>
      <c r="M509" s="123" t="inlineStr">
        <is>
          <t>MM2MB040011A</t>
        </is>
      </c>
      <c r="N509" s="117" t="n"/>
    </row>
    <row r="510" ht="17.25" customHeight="1" s="453" thickBot="1">
      <c r="A510" s="553">
        <f>IFERROR(LEFT(B510,7),"")</f>
        <v/>
      </c>
      <c r="B510" s="554">
        <f>"2025/09"&amp;D510</f>
        <v/>
      </c>
      <c r="C510" s="557" t="n">
        <v>121</v>
      </c>
      <c r="D510" s="488" t="inlineStr">
        <is>
          <t>忠孝7樓</t>
        </is>
      </c>
      <c r="E510" s="488" t="inlineStr">
        <is>
          <t>6170028</t>
        </is>
      </c>
      <c r="F510" s="551" t="n"/>
      <c r="G510" s="488" t="inlineStr">
        <is>
          <t>海芙電波探頭0.25cm/發</t>
        </is>
      </c>
      <c r="H510" s="552" t="n"/>
      <c r="I510" s="552" t="n"/>
      <c r="J510" s="551" t="n"/>
      <c r="K510" s="488" t="inlineStr">
        <is>
          <t>6000發/顆</t>
        </is>
      </c>
      <c r="L510" s="558" t="n">
        <v>7500</v>
      </c>
      <c r="M510" s="123" t="inlineStr">
        <is>
          <t>MM2MB030002A</t>
        </is>
      </c>
      <c r="N510" s="117" t="n"/>
    </row>
    <row r="511" ht="17.25" customHeight="1" s="453" thickBot="1">
      <c r="A511" s="553">
        <f>IFERROR(LEFT(B511,7),"")</f>
        <v/>
      </c>
      <c r="B511" s="554">
        <f>"2025/09"&amp;D511</f>
        <v/>
      </c>
      <c r="C511" s="557" t="n">
        <v>122</v>
      </c>
      <c r="D511" s="488" t="inlineStr">
        <is>
          <t>忠孝7樓</t>
        </is>
      </c>
      <c r="E511" s="488" t="inlineStr">
        <is>
          <t>6170029</t>
        </is>
      </c>
      <c r="F511" s="551" t="n"/>
      <c r="G511" s="488" t="inlineStr">
        <is>
          <t>海芙電波探頭3.0cm/發</t>
        </is>
      </c>
      <c r="H511" s="552" t="n"/>
      <c r="I511" s="552" t="n"/>
      <c r="J511" s="551" t="n"/>
      <c r="K511" s="488" t="inlineStr">
        <is>
          <t>4000發/顆</t>
        </is>
      </c>
      <c r="L511" s="558" t="n">
        <v>23701</v>
      </c>
      <c r="M511" s="123" t="inlineStr">
        <is>
          <t>MM2MB030003A</t>
        </is>
      </c>
      <c r="N511" s="117" t="n"/>
    </row>
    <row r="512" ht="17.25" customHeight="1" s="453" thickBot="1">
      <c r="A512" s="553">
        <f>IFERROR(LEFT(B512,7),"")</f>
        <v/>
      </c>
      <c r="B512" s="554">
        <f>"2025/09"&amp;D512</f>
        <v/>
      </c>
      <c r="C512" s="557" t="n">
        <v>123</v>
      </c>
      <c r="D512" s="488" t="inlineStr">
        <is>
          <t>忠孝7樓</t>
        </is>
      </c>
      <c r="E512" s="488" t="inlineStr">
        <is>
          <t>6170032</t>
        </is>
      </c>
      <c r="F512" s="551" t="n"/>
      <c r="G512" s="488" t="inlineStr">
        <is>
          <t>立特拉A2筆型探頭3.0mm/ 條</t>
        </is>
      </c>
      <c r="H512" s="552" t="n"/>
      <c r="I512" s="552" t="n"/>
      <c r="J512" s="551" t="n"/>
      <c r="K512" s="488" t="inlineStr">
        <is>
          <t>240000條/顆</t>
        </is>
      </c>
      <c r="L512" s="558" t="n">
        <v>275599</v>
      </c>
      <c r="M512" s="123" t="inlineStr">
        <is>
          <t>MM2MB040018A</t>
        </is>
      </c>
      <c r="N512" s="117" t="n"/>
    </row>
    <row r="513" ht="17.25" customHeight="1" s="453" thickBot="1">
      <c r="A513" s="553">
        <f>IFERROR(LEFT(B513,7),"")</f>
        <v/>
      </c>
      <c r="B513" s="554">
        <f>"2025/09"&amp;D513</f>
        <v/>
      </c>
      <c r="C513" s="557" t="n">
        <v>124</v>
      </c>
      <c r="D513" s="488" t="inlineStr">
        <is>
          <t>忠孝7樓</t>
        </is>
      </c>
      <c r="E513" s="488" t="inlineStr">
        <is>
          <t>6170033</t>
        </is>
      </c>
      <c r="F513" s="551" t="n"/>
      <c r="G513" s="488" t="inlineStr">
        <is>
          <t>立特拉A2筆型探頭4.5mm/ 條</t>
        </is>
      </c>
      <c r="H513" s="552" t="n"/>
      <c r="I513" s="552" t="n"/>
      <c r="J513" s="551" t="n"/>
      <c r="K513" s="488" t="inlineStr">
        <is>
          <t>240000條/顆</t>
        </is>
      </c>
      <c r="L513" s="558" t="n">
        <v>163953</v>
      </c>
      <c r="M513" s="123" t="inlineStr">
        <is>
          <t>MM2MB040019A</t>
        </is>
      </c>
      <c r="N513" s="117" t="n"/>
    </row>
    <row r="514" ht="17.25" customHeight="1" s="453" thickBot="1">
      <c r="A514" s="553">
        <f>IFERROR(LEFT(B514,7),"")</f>
        <v/>
      </c>
      <c r="B514" s="554">
        <f>"2025/09"&amp;D514</f>
        <v/>
      </c>
      <c r="C514" s="557" t="n">
        <v>125</v>
      </c>
      <c r="D514" s="488" t="inlineStr">
        <is>
          <t>忠孝7樓</t>
        </is>
      </c>
      <c r="E514" s="488" t="inlineStr">
        <is>
          <t>6170034</t>
        </is>
      </c>
      <c r="F514" s="551" t="n"/>
      <c r="G514" s="488" t="inlineStr">
        <is>
          <t>十蓓電波臉部探頭5cm</t>
        </is>
      </c>
      <c r="H514" s="552" t="n"/>
      <c r="I514" s="552" t="n"/>
      <c r="J514" s="551" t="n"/>
      <c r="K514" s="488" t="inlineStr">
        <is>
          <t>900發/顆</t>
        </is>
      </c>
      <c r="L514" s="558" t="n">
        <v>25606</v>
      </c>
      <c r="M514" s="123" t="inlineStr">
        <is>
          <t>MM2MB030006A</t>
        </is>
      </c>
      <c r="N514" s="117" t="n"/>
    </row>
    <row r="515" ht="17.25" customHeight="1" s="453" thickBot="1">
      <c r="A515" s="553">
        <f>IFERROR(LEFT(B515,7),"")</f>
        <v/>
      </c>
      <c r="B515" s="554">
        <f>"2025/09"&amp;D515</f>
        <v/>
      </c>
      <c r="C515" s="557" t="n">
        <v>126</v>
      </c>
      <c r="D515" s="488" t="inlineStr">
        <is>
          <t>忠孝7樓</t>
        </is>
      </c>
      <c r="E515" s="488" t="inlineStr">
        <is>
          <t>6170035</t>
        </is>
      </c>
      <c r="F515" s="551" t="n"/>
      <c r="G515" s="488" t="inlineStr">
        <is>
          <t>十蓓電波眼部探頭0.25cm</t>
        </is>
      </c>
      <c r="H515" s="552" t="n"/>
      <c r="I515" s="552" t="n"/>
      <c r="J515" s="551" t="n"/>
      <c r="K515" s="488" t="inlineStr">
        <is>
          <t>600發/顆</t>
        </is>
      </c>
      <c r="L515" s="558" t="n">
        <v>9900</v>
      </c>
      <c r="M515" s="123" t="inlineStr">
        <is>
          <t>MM2MB030007A</t>
        </is>
      </c>
      <c r="N515" s="117" t="n"/>
    </row>
    <row r="516" ht="17.25" customHeight="1" s="453" thickBot="1">
      <c r="A516" s="553">
        <f>IFERROR(LEFT(B516,7),"")</f>
        <v/>
      </c>
      <c r="B516" s="554">
        <f>"2025/09"&amp;D516</f>
        <v/>
      </c>
      <c r="C516" s="557" t="n">
        <v>127</v>
      </c>
      <c r="D516" s="488" t="inlineStr">
        <is>
          <t>忠孝7樓</t>
        </is>
      </c>
      <c r="E516" s="488" t="inlineStr">
        <is>
          <t>6180011</t>
        </is>
      </c>
      <c r="F516" s="551" t="n"/>
      <c r="G516" s="488" t="inlineStr">
        <is>
          <t>(V)MINT秘特拉提線UP 9.5CM/ 條</t>
        </is>
      </c>
      <c r="H516" s="552" t="n"/>
      <c r="I516" s="552" t="n"/>
      <c r="J516" s="551" t="n"/>
      <c r="K516" s="488" t="inlineStr">
        <is>
          <t>10條/盒</t>
        </is>
      </c>
      <c r="L516" s="558" t="n">
        <v>4</v>
      </c>
      <c r="M516" s="123" t="inlineStr">
        <is>
          <t>MP1MA010016A</t>
        </is>
      </c>
      <c r="N516" s="117" t="n"/>
    </row>
    <row r="517" ht="17.25" customHeight="1" s="453" thickBot="1">
      <c r="A517" s="553">
        <f>IFERROR(LEFT(B517,7),"")</f>
        <v/>
      </c>
      <c r="B517" s="554">
        <f>"2025/09"&amp;D517</f>
        <v/>
      </c>
      <c r="C517" s="557" t="n">
        <v>128</v>
      </c>
      <c r="D517" s="488" t="inlineStr">
        <is>
          <t>忠孝7樓</t>
        </is>
      </c>
      <c r="E517" s="488" t="inlineStr">
        <is>
          <t>6190001</t>
        </is>
      </c>
      <c r="F517" s="551" t="n"/>
      <c r="G517" s="488" t="inlineStr">
        <is>
          <t>PLT生長因子凍晶製備/ 瓶</t>
        </is>
      </c>
      <c r="H517" s="552" t="n"/>
      <c r="I517" s="552" t="n"/>
      <c r="J517" s="551" t="n"/>
      <c r="K517" s="488" t="inlineStr">
        <is>
          <t>瓶</t>
        </is>
      </c>
      <c r="L517" s="558" t="n">
        <v>10</v>
      </c>
      <c r="M517" s="123" t="n"/>
      <c r="N517" s="117" t="n"/>
    </row>
    <row r="518" ht="17.25" customHeight="1" s="453" thickBot="1">
      <c r="A518" s="553">
        <f>IFERROR(LEFT(B518,7),"")</f>
        <v/>
      </c>
      <c r="B518" s="554">
        <f>"2025/09"&amp;D518</f>
        <v/>
      </c>
      <c r="C518" s="557" t="n">
        <v>129</v>
      </c>
      <c r="D518" s="488" t="inlineStr">
        <is>
          <t>忠孝7樓</t>
        </is>
      </c>
      <c r="E518" s="488" t="inlineStr">
        <is>
          <t>6200003</t>
        </is>
      </c>
      <c r="F518" s="551" t="n"/>
      <c r="G518" s="488" t="inlineStr">
        <is>
          <t>(V)倍克脂Belkyra/ 瓶</t>
        </is>
      </c>
      <c r="H518" s="552" t="n"/>
      <c r="I518" s="552" t="n"/>
      <c r="J518" s="551" t="n"/>
      <c r="K518" s="488" t="inlineStr">
        <is>
          <t>5瓶/盒</t>
        </is>
      </c>
      <c r="L518" s="558" t="n">
        <v>9</v>
      </c>
      <c r="M518" s="123" t="inlineStr">
        <is>
          <t>MB3ME090004A</t>
        </is>
      </c>
      <c r="N518" s="117" t="n"/>
    </row>
    <row r="519" ht="17.25" customHeight="1" s="453" thickBot="1">
      <c r="A519" s="553">
        <f>IFERROR(LEFT(B519,7),"")</f>
        <v/>
      </c>
      <c r="B519" s="554">
        <f>"2025/09"&amp;D519</f>
        <v/>
      </c>
      <c r="C519" s="557" t="n">
        <v>130</v>
      </c>
      <c r="D519" s="488" t="inlineStr">
        <is>
          <t>忠孝7樓</t>
        </is>
      </c>
      <c r="E519" s="488" t="inlineStr">
        <is>
          <t>6210001</t>
        </is>
      </c>
      <c r="F519" s="551" t="n"/>
      <c r="G519" s="488" t="inlineStr">
        <is>
          <t>(V)水光針針頭/31G9針/1.0mm/ PCS</t>
        </is>
      </c>
      <c r="H519" s="552" t="n"/>
      <c r="I519" s="552" t="n"/>
      <c r="J519" s="551" t="n"/>
      <c r="K519" s="488" t="inlineStr">
        <is>
          <t>PCS(20入/盒)</t>
        </is>
      </c>
      <c r="L519" s="558" t="n">
        <v>73</v>
      </c>
      <c r="M519" s="123" t="inlineStr">
        <is>
          <t>MP1MA070006A</t>
        </is>
      </c>
      <c r="N519" s="117" t="n"/>
    </row>
    <row r="520" ht="17.25" customHeight="1" s="453" thickBot="1">
      <c r="A520" s="553">
        <f>IFERROR(LEFT(B520,7),"")</f>
        <v/>
      </c>
      <c r="B520" s="554">
        <f>"2025/09"&amp;D520</f>
        <v/>
      </c>
      <c r="C520" s="557" t="n">
        <v>131</v>
      </c>
      <c r="D520" s="488" t="inlineStr">
        <is>
          <t>忠孝7樓</t>
        </is>
      </c>
      <c r="E520" s="488" t="inlineStr">
        <is>
          <t>6210002</t>
        </is>
      </c>
      <c r="F520" s="551" t="n"/>
      <c r="G520" s="488" t="inlineStr">
        <is>
          <t>(V)水光針針頭/31G9針/1.2mm/ PCS</t>
        </is>
      </c>
      <c r="H520" s="552" t="n"/>
      <c r="I520" s="552" t="n"/>
      <c r="J520" s="551" t="n"/>
      <c r="K520" s="488" t="inlineStr">
        <is>
          <t>PCS(20入/盒)</t>
        </is>
      </c>
      <c r="L520" s="558" t="n">
        <v>64</v>
      </c>
      <c r="M520" s="123" t="inlineStr">
        <is>
          <t>MP1MA070007A</t>
        </is>
      </c>
      <c r="N520" s="117" t="n"/>
    </row>
    <row r="521" ht="17.25" customHeight="1" s="453" thickBot="1">
      <c r="A521" s="553">
        <f>IFERROR(LEFT(B521,7),"")</f>
        <v/>
      </c>
      <c r="B521" s="554">
        <f>"2025/09"&amp;D521</f>
        <v/>
      </c>
      <c r="C521" s="557" t="n">
        <v>132</v>
      </c>
      <c r="D521" s="488" t="inlineStr">
        <is>
          <t>忠孝7樓</t>
        </is>
      </c>
      <c r="E521" s="488" t="inlineStr">
        <is>
          <t>6210003</t>
        </is>
      </c>
      <c r="F521" s="551" t="n"/>
      <c r="G521" s="488" t="inlineStr">
        <is>
          <t>(V)水光針針頭/31G9針/1.5mm/ PCS</t>
        </is>
      </c>
      <c r="H521" s="552" t="n"/>
      <c r="I521" s="552" t="n"/>
      <c r="J521" s="551" t="n"/>
      <c r="K521" s="488" t="inlineStr">
        <is>
          <t>PCS(20入/盒)</t>
        </is>
      </c>
      <c r="L521" s="558" t="n">
        <v>4</v>
      </c>
      <c r="M521" s="123" t="inlineStr">
        <is>
          <t>MP1MA070008A</t>
        </is>
      </c>
      <c r="N521" s="117" t="n"/>
    </row>
    <row r="522" ht="17.25" customHeight="1" s="453" thickBot="1">
      <c r="A522" s="553">
        <f>IFERROR(LEFT(B522,7),"")</f>
        <v/>
      </c>
      <c r="B522" s="554">
        <f>"2025/09"&amp;D522</f>
        <v/>
      </c>
      <c r="C522" s="557" t="n">
        <v>133</v>
      </c>
      <c r="D522" s="488" t="inlineStr">
        <is>
          <t>忠孝7樓</t>
        </is>
      </c>
      <c r="E522" s="488" t="inlineStr">
        <is>
          <t>6210006</t>
        </is>
      </c>
      <c r="F522" s="551" t="n"/>
      <c r="G522" s="488" t="inlineStr">
        <is>
          <t>(V)麗珠蘭修復水光(A劑2ml+B劑2ml)</t>
        </is>
      </c>
      <c r="H522" s="552" t="n"/>
      <c r="I522" s="552" t="n"/>
      <c r="J522" s="551" t="n"/>
      <c r="K522" s="488" t="inlineStr">
        <is>
          <t>2ml*2</t>
        </is>
      </c>
      <c r="L522" s="558" t="n">
        <v>5</v>
      </c>
      <c r="M522" s="123" t="inlineStr">
        <is>
          <t>DP1AA050001E</t>
        </is>
      </c>
      <c r="N522" s="117" t="n"/>
    </row>
    <row r="523" ht="17.25" customHeight="1" s="453" thickBot="1">
      <c r="A523" s="553">
        <f>IFERROR(LEFT(B523,7),"")</f>
        <v/>
      </c>
      <c r="B523" s="554">
        <f>"2025/09"&amp;D523</f>
        <v/>
      </c>
      <c r="C523" s="557" t="n">
        <v>134</v>
      </c>
      <c r="D523" s="488" t="inlineStr">
        <is>
          <t>忠孝7樓</t>
        </is>
      </c>
      <c r="E523" s="488" t="inlineStr">
        <is>
          <t>6210007</t>
        </is>
      </c>
      <c r="F523" s="551" t="n"/>
      <c r="G523" s="488" t="inlineStr">
        <is>
          <t>(V)麗珠蘭白瓷水光(A劑2ml+B劑2ml)</t>
        </is>
      </c>
      <c r="H523" s="552" t="n"/>
      <c r="I523" s="552" t="n"/>
      <c r="J523" s="551" t="n"/>
      <c r="K523" s="488" t="inlineStr">
        <is>
          <t>2ml*2</t>
        </is>
      </c>
      <c r="L523" s="558" t="n">
        <v>6</v>
      </c>
      <c r="M523" s="123" t="inlineStr">
        <is>
          <t>DP1AA050002E</t>
        </is>
      </c>
      <c r="N523" s="117" t="n"/>
    </row>
    <row r="524" ht="17.25" customHeight="1" s="453" thickBot="1">
      <c r="A524" s="553">
        <f>IFERROR(LEFT(B524,7),"")</f>
        <v/>
      </c>
      <c r="B524" s="554">
        <f>"2025/09"&amp;D524</f>
        <v/>
      </c>
      <c r="C524" s="557" t="n">
        <v>135</v>
      </c>
      <c r="D524" s="488" t="inlineStr">
        <is>
          <t>忠孝7樓</t>
        </is>
      </c>
      <c r="E524" s="488" t="inlineStr">
        <is>
          <t>6220005</t>
        </is>
      </c>
      <c r="F524" s="551" t="n"/>
      <c r="G524" s="488" t="inlineStr">
        <is>
          <t>海菲秀深藍端頭/ 顆</t>
        </is>
      </c>
      <c r="H524" s="552" t="n"/>
      <c r="I524" s="552" t="n"/>
      <c r="J524" s="551" t="n"/>
      <c r="K524" s="488" t="inlineStr">
        <is>
          <t>15顆/串</t>
        </is>
      </c>
      <c r="L524" s="558" t="n">
        <v>790</v>
      </c>
      <c r="M524" s="123" t="inlineStr">
        <is>
          <t>MM2MD070001A</t>
        </is>
      </c>
      <c r="N524" s="117" t="n"/>
    </row>
    <row r="525" ht="17.25" customHeight="1" s="453" thickBot="1">
      <c r="A525" s="553">
        <f>IFERROR(LEFT(B525,7),"")</f>
        <v/>
      </c>
      <c r="B525" s="554">
        <f>"2025/09"&amp;D525</f>
        <v/>
      </c>
      <c r="C525" s="557" t="n">
        <v>136</v>
      </c>
      <c r="D525" s="488" t="inlineStr">
        <is>
          <t>忠孝7樓</t>
        </is>
      </c>
      <c r="E525" s="488" t="inlineStr">
        <is>
          <t>6220006</t>
        </is>
      </c>
      <c r="F525" s="551" t="n"/>
      <c r="G525" s="488" t="inlineStr">
        <is>
          <t>海菲秀淺藍端頭/ 顆</t>
        </is>
      </c>
      <c r="H525" s="552" t="n"/>
      <c r="I525" s="552" t="n"/>
      <c r="J525" s="551" t="n"/>
      <c r="K525" s="488" t="inlineStr">
        <is>
          <t>15顆/串</t>
        </is>
      </c>
      <c r="L525" s="558" t="n">
        <v>790</v>
      </c>
      <c r="M525" s="123" t="inlineStr">
        <is>
          <t>MM2MD070002A</t>
        </is>
      </c>
      <c r="N525" s="117" t="n"/>
    </row>
    <row r="526" ht="17.25" customHeight="1" s="453" thickBot="1">
      <c r="A526" s="553">
        <f>IFERROR(LEFT(B526,7),"")</f>
        <v/>
      </c>
      <c r="B526" s="554">
        <f>"2025/09"&amp;D526</f>
        <v/>
      </c>
      <c r="C526" s="557" t="n">
        <v>137</v>
      </c>
      <c r="D526" s="488" t="inlineStr">
        <is>
          <t>忠孝7樓</t>
        </is>
      </c>
      <c r="E526" s="488" t="inlineStr">
        <is>
          <t>6220007</t>
        </is>
      </c>
      <c r="F526" s="551" t="n"/>
      <c r="G526" s="488" t="inlineStr">
        <is>
          <t>海菲秀透明端頭/ 顆</t>
        </is>
      </c>
      <c r="H526" s="552" t="n"/>
      <c r="I526" s="552" t="n"/>
      <c r="J526" s="551" t="n"/>
      <c r="K526" s="488" t="inlineStr">
        <is>
          <t>15顆/串</t>
        </is>
      </c>
      <c r="L526" s="558" t="n">
        <v>790</v>
      </c>
      <c r="M526" s="123" t="inlineStr">
        <is>
          <t>MM2MD070003A</t>
        </is>
      </c>
      <c r="N526" s="117" t="n"/>
    </row>
    <row r="527" ht="17.25" customHeight="1" s="453" thickBot="1">
      <c r="A527" s="553">
        <f>IFERROR(LEFT(B527,7),"")</f>
        <v/>
      </c>
      <c r="B527" s="554">
        <f>"2025/09"&amp;D527</f>
        <v/>
      </c>
      <c r="C527" s="557" t="n">
        <v>138</v>
      </c>
      <c r="D527" s="488" t="inlineStr">
        <is>
          <t>忠孝7樓</t>
        </is>
      </c>
      <c r="E527" s="488" t="inlineStr">
        <is>
          <t>6220012</t>
        </is>
      </c>
      <c r="F527" s="551" t="n"/>
      <c r="G527" s="488" t="inlineStr">
        <is>
          <t>(V)(第一劑)海菲秀 Activ-4 Skin Solution/mL</t>
        </is>
      </c>
      <c r="H527" s="552" t="n"/>
      <c r="I527" s="552" t="n"/>
      <c r="J527" s="551" t="n"/>
      <c r="K527" s="488" t="inlineStr">
        <is>
          <t>ml</t>
        </is>
      </c>
      <c r="L527" s="558" t="n">
        <v>11850</v>
      </c>
      <c r="M527" s="123" t="inlineStr">
        <is>
          <t>MP1MD070012A</t>
        </is>
      </c>
      <c r="N527" s="117" t="n"/>
    </row>
    <row r="528" ht="17.25" customHeight="1" s="453" thickBot="1">
      <c r="A528" s="553">
        <f>IFERROR(LEFT(B528,7),"")</f>
        <v/>
      </c>
      <c r="B528" s="554">
        <f>"2025/09"&amp;D528</f>
        <v/>
      </c>
      <c r="C528" s="557" t="n">
        <v>139</v>
      </c>
      <c r="D528" s="488" t="inlineStr">
        <is>
          <t>忠孝7樓</t>
        </is>
      </c>
      <c r="E528" s="488" t="inlineStr">
        <is>
          <t>6220013</t>
        </is>
      </c>
      <c r="F528" s="551" t="n"/>
      <c r="G528" s="488" t="inlineStr">
        <is>
          <t>(V)(第二劑)海菲秀 Beta-HD Skin Solution /mL</t>
        </is>
      </c>
      <c r="H528" s="552" t="n"/>
      <c r="I528" s="552" t="n"/>
      <c r="J528" s="551" t="n"/>
      <c r="K528" s="488" t="inlineStr">
        <is>
          <t>ml</t>
        </is>
      </c>
      <c r="L528" s="558" t="n">
        <v>11850</v>
      </c>
      <c r="M528" s="123" t="inlineStr">
        <is>
          <t>MP1MD070013A</t>
        </is>
      </c>
      <c r="N528" s="117" t="n"/>
    </row>
    <row r="529" ht="17.25" customHeight="1" s="453" thickBot="1">
      <c r="A529" s="553">
        <f>IFERROR(LEFT(B529,7),"")</f>
        <v/>
      </c>
      <c r="B529" s="554">
        <f>"2025/09"&amp;D529</f>
        <v/>
      </c>
      <c r="C529" s="557" t="n">
        <v>140</v>
      </c>
      <c r="D529" s="488" t="inlineStr">
        <is>
          <t>忠孝7樓</t>
        </is>
      </c>
      <c r="E529" s="488" t="inlineStr">
        <is>
          <t>6220014</t>
        </is>
      </c>
      <c r="F529" s="551" t="n"/>
      <c r="G529" s="488" t="inlineStr">
        <is>
          <t>(V)(第三劑)海菲秀 Antiox-6 Skin Solution /mL</t>
        </is>
      </c>
      <c r="H529" s="552" t="n"/>
      <c r="I529" s="552" t="n"/>
      <c r="J529" s="551" t="n"/>
      <c r="K529" s="488" t="inlineStr">
        <is>
          <t>ml</t>
        </is>
      </c>
      <c r="L529" s="558" t="n">
        <v>11850</v>
      </c>
      <c r="M529" s="123" t="inlineStr">
        <is>
          <t>MP1MD070014A</t>
        </is>
      </c>
      <c r="N529" s="117" t="n"/>
    </row>
    <row r="530" ht="17.25" customHeight="1" s="453" thickBot="1">
      <c r="A530" s="553">
        <f>IFERROR(LEFT(B530,7),"")</f>
        <v/>
      </c>
      <c r="B530" s="554">
        <f>"2025/09"&amp;D530</f>
        <v/>
      </c>
      <c r="C530" s="557" t="n">
        <v>141</v>
      </c>
      <c r="D530" s="488" t="inlineStr">
        <is>
          <t>忠孝7樓</t>
        </is>
      </c>
      <c r="E530" s="488" t="inlineStr">
        <is>
          <t>6220015</t>
        </is>
      </c>
      <c r="F530" s="551" t="n"/>
      <c r="G530" s="488" t="inlineStr">
        <is>
          <t>(V)(第四劑)海菲秀 Rinseaway System Cleaning Solution /mL</t>
        </is>
      </c>
      <c r="H530" s="552" t="n"/>
      <c r="I530" s="552" t="n"/>
      <c r="J530" s="551" t="n"/>
      <c r="K530" s="488" t="inlineStr">
        <is>
          <t>ml</t>
        </is>
      </c>
      <c r="L530" s="558" t="n">
        <v>11850</v>
      </c>
      <c r="M530" s="123" t="inlineStr">
        <is>
          <t>MP1MD070015A</t>
        </is>
      </c>
      <c r="N530" s="117" t="n"/>
    </row>
    <row r="531" ht="33.75" customHeight="1" s="453" thickBot="1">
      <c r="A531" s="553">
        <f>IFERROR(LEFT(B531,7),"")</f>
        <v/>
      </c>
      <c r="B531" s="554">
        <f>"2025/09"&amp;D531</f>
        <v/>
      </c>
      <c r="C531" s="557" t="n">
        <v>142</v>
      </c>
      <c r="D531" s="488" t="inlineStr">
        <is>
          <t>忠孝國際醫學3樓</t>
        </is>
      </c>
      <c r="E531" s="488" t="inlineStr">
        <is>
          <t>6120001</t>
        </is>
      </c>
      <c r="F531" s="551" t="n"/>
      <c r="G531" s="488" t="inlineStr">
        <is>
          <t>(V)肝得健注射劑/ 瓶，220倍數叫貨</t>
        </is>
      </c>
      <c r="H531" s="552" t="n"/>
      <c r="I531" s="552" t="n"/>
      <c r="J531" s="551" t="n"/>
      <c r="K531" s="488" t="inlineStr">
        <is>
          <t>20支/盒</t>
        </is>
      </c>
      <c r="L531" s="558" t="n">
        <v>489</v>
      </c>
      <c r="M531" s="123" t="inlineStr">
        <is>
          <t>MB3ME090001A</t>
        </is>
      </c>
      <c r="N531" s="117" t="n"/>
    </row>
    <row r="532" ht="33.75" customHeight="1" s="453" thickBot="1">
      <c r="A532" s="553">
        <f>IFERROR(LEFT(B532,7),"")</f>
        <v/>
      </c>
      <c r="B532" s="554">
        <f>"2025/09"&amp;D532</f>
        <v/>
      </c>
      <c r="C532" s="557" t="n">
        <v>143</v>
      </c>
      <c r="D532" s="488" t="inlineStr">
        <is>
          <t>忠孝國際醫學3樓</t>
        </is>
      </c>
      <c r="E532" s="488" t="inlineStr">
        <is>
          <t>6120002</t>
        </is>
      </c>
      <c r="F532" s="551" t="n"/>
      <c r="G532" s="488" t="inlineStr">
        <is>
          <t>(V)卡妮丁注射劑/ 瓶，220倍數叫貨</t>
        </is>
      </c>
      <c r="H532" s="552" t="n"/>
      <c r="I532" s="552" t="n"/>
      <c r="J532" s="551" t="n"/>
      <c r="K532" s="488" t="inlineStr">
        <is>
          <t>20支/盒</t>
        </is>
      </c>
      <c r="L532" s="558" t="n">
        <v>625.5</v>
      </c>
      <c r="M532" s="123" t="inlineStr">
        <is>
          <t>MB3ME090002A</t>
        </is>
      </c>
      <c r="N532" s="117" t="n"/>
    </row>
    <row r="533" ht="33.75" customHeight="1" s="453" thickBot="1">
      <c r="A533" s="553">
        <f>IFERROR(LEFT(B533,7),"")</f>
        <v/>
      </c>
      <c r="B533" s="554">
        <f>"2025/09"&amp;D533</f>
        <v/>
      </c>
      <c r="C533" s="557" t="n">
        <v>144</v>
      </c>
      <c r="D533" s="488" t="inlineStr">
        <is>
          <t>忠孝國際醫學3樓</t>
        </is>
      </c>
      <c r="E533" s="488" t="inlineStr">
        <is>
          <t>6120003</t>
        </is>
      </c>
      <c r="F533" s="551" t="n"/>
      <c r="G533" s="488" t="inlineStr">
        <is>
          <t>(V)貝力多(雙胜胺) 20% 30mL/ 瓶，10倍數叫貨</t>
        </is>
      </c>
      <c r="H533" s="552" t="n"/>
      <c r="I533" s="552" t="n"/>
      <c r="J533" s="551" t="n"/>
      <c r="K533" s="488" t="inlineStr">
        <is>
          <t>10支/盒</t>
        </is>
      </c>
      <c r="L533" s="558" t="n">
        <v>2</v>
      </c>
      <c r="M533" s="123" t="inlineStr">
        <is>
          <t>MB3ME090003A</t>
        </is>
      </c>
      <c r="N533" s="117" t="n"/>
    </row>
    <row r="534" ht="33.75" customHeight="1" s="453" thickBot="1">
      <c r="A534" s="553">
        <f>IFERROR(LEFT(B534,7),"")</f>
        <v/>
      </c>
      <c r="B534" s="554">
        <f>"2025/09"&amp;D534</f>
        <v/>
      </c>
      <c r="C534" s="557" t="n">
        <v>145</v>
      </c>
      <c r="D534" s="488" t="inlineStr">
        <is>
          <t>忠孝國際醫學3樓</t>
        </is>
      </c>
      <c r="E534" s="488" t="inlineStr">
        <is>
          <t>6120004</t>
        </is>
      </c>
      <c r="F534" s="551" t="n"/>
      <c r="G534" s="488" t="inlineStr">
        <is>
          <t>(V)胺基酸點滴250ml/ 袋(安命活源/嘉安命)，20倍數叫貨</t>
        </is>
      </c>
      <c r="H534" s="552" t="n"/>
      <c r="I534" s="552" t="n"/>
      <c r="J534" s="551" t="n"/>
      <c r="K534" s="488" t="inlineStr">
        <is>
          <t>(20瓶/箱)</t>
        </is>
      </c>
      <c r="L534" s="558" t="n">
        <v>11</v>
      </c>
      <c r="M534" s="123" t="inlineStr">
        <is>
          <t>MB3ME090006A</t>
        </is>
      </c>
      <c r="N534" s="117" t="n"/>
    </row>
    <row r="535" ht="33.75" customHeight="1" s="453" thickBot="1">
      <c r="A535" s="553">
        <f>IFERROR(LEFT(B535,7),"")</f>
        <v/>
      </c>
      <c r="B535" s="554">
        <f>"2025/09"&amp;D535</f>
        <v/>
      </c>
      <c r="C535" s="557" t="n">
        <v>146</v>
      </c>
      <c r="D535" s="488" t="inlineStr">
        <is>
          <t>忠孝國際醫學3樓</t>
        </is>
      </c>
      <c r="E535" s="488" t="inlineStr">
        <is>
          <t>6120006</t>
        </is>
      </c>
      <c r="F535" s="551" t="n"/>
      <c r="G535" s="488" t="inlineStr">
        <is>
          <t>(V)(B12) 愛壽命 2mL，100倍數叫貨</t>
        </is>
      </c>
      <c r="H535" s="552" t="n"/>
      <c r="I535" s="552" t="n"/>
      <c r="J535" s="551" t="n"/>
      <c r="K535" s="488" t="inlineStr">
        <is>
          <t>(100支/盒)</t>
        </is>
      </c>
      <c r="L535" s="558" t="n">
        <v>273</v>
      </c>
      <c r="M535" s="123" t="inlineStr">
        <is>
          <t>MB3ME090011A</t>
        </is>
      </c>
      <c r="N535" s="117" t="n"/>
    </row>
    <row r="536" ht="33.75" customHeight="1" s="453" thickBot="1">
      <c r="A536" s="553">
        <f>IFERROR(LEFT(B536,7),"")</f>
        <v/>
      </c>
      <c r="B536" s="554">
        <f>"2025/09"&amp;D536</f>
        <v/>
      </c>
      <c r="C536" s="557" t="n">
        <v>147</v>
      </c>
      <c r="D536" s="488" t="inlineStr">
        <is>
          <t>忠孝國際醫學3樓</t>
        </is>
      </c>
      <c r="E536" s="488" t="inlineStr">
        <is>
          <t>6120007</t>
        </is>
      </c>
      <c r="F536" s="551" t="n"/>
      <c r="G536" s="488" t="inlineStr">
        <is>
          <t>(V)(硫酸鋅) 1ml/支，100倍數叫貨</t>
        </is>
      </c>
      <c r="H536" s="552" t="n"/>
      <c r="I536" s="552" t="n"/>
      <c r="J536" s="551" t="n"/>
      <c r="K536" s="488" t="inlineStr">
        <is>
          <t>100支/盒</t>
        </is>
      </c>
      <c r="L536" s="558" t="n">
        <v>4</v>
      </c>
      <c r="M536" s="123" t="inlineStr">
        <is>
          <t>MB3ME090027A</t>
        </is>
      </c>
      <c r="N536" s="117" t="n"/>
    </row>
    <row r="537" ht="33.75" customHeight="1" s="453" thickBot="1">
      <c r="A537" s="553">
        <f>IFERROR(LEFT(B537,7),"")</f>
        <v/>
      </c>
      <c r="B537" s="554">
        <f>"2025/09"&amp;D537</f>
        <v/>
      </c>
      <c r="C537" s="557" t="n">
        <v>148</v>
      </c>
      <c r="D537" s="488" t="inlineStr">
        <is>
          <t>忠孝國際醫學3樓</t>
        </is>
      </c>
      <c r="E537" s="488" t="inlineStr">
        <is>
          <t>6120008</t>
        </is>
      </c>
      <c r="F537" s="551" t="n"/>
      <c r="G537" s="488" t="inlineStr">
        <is>
          <t>(V)(硫酸鎂) 注射液 20ml/支</t>
        </is>
      </c>
      <c r="H537" s="552" t="n"/>
      <c r="I537" s="552" t="n"/>
      <c r="J537" s="551" t="n"/>
      <c r="K537" s="488" t="inlineStr">
        <is>
          <t>60支/盒</t>
        </is>
      </c>
      <c r="L537" s="558" t="n">
        <v>2</v>
      </c>
      <c r="M537" s="123" t="inlineStr">
        <is>
          <t>MB3ME090028A</t>
        </is>
      </c>
      <c r="N537" s="117" t="n"/>
    </row>
    <row r="538" ht="33.75" customHeight="1" s="453" thickBot="1">
      <c r="A538" s="553">
        <f>IFERROR(LEFT(B538,7),"")</f>
        <v/>
      </c>
      <c r="B538" s="554">
        <f>"2025/09"&amp;D538</f>
        <v/>
      </c>
      <c r="C538" s="557" t="n">
        <v>149</v>
      </c>
      <c r="D538" s="488" t="inlineStr">
        <is>
          <t>忠孝國際醫學3樓</t>
        </is>
      </c>
      <c r="E538" s="488" t="inlineStr">
        <is>
          <t>6120009</t>
        </is>
      </c>
      <c r="F538" s="551" t="n"/>
      <c r="G538" s="488" t="inlineStr">
        <is>
          <t>(V)(B1) 硫胺明 2ml</t>
        </is>
      </c>
      <c r="H538" s="552" t="n"/>
      <c r="I538" s="552" t="n"/>
      <c r="J538" s="551" t="n"/>
      <c r="K538" s="488" t="inlineStr">
        <is>
          <t>支(100支/盒)</t>
        </is>
      </c>
      <c r="L538" s="558" t="n">
        <v>2</v>
      </c>
      <c r="M538" s="123" t="inlineStr">
        <is>
          <t>MB3ME090012A</t>
        </is>
      </c>
      <c r="N538" s="117" t="n"/>
    </row>
    <row r="539" ht="33.75" customHeight="1" s="453" thickBot="1">
      <c r="A539" s="553">
        <f>IFERROR(LEFT(B539,7),"")</f>
        <v/>
      </c>
      <c r="B539" s="554">
        <f>"2025/09"&amp;D539</f>
        <v/>
      </c>
      <c r="C539" s="557" t="n">
        <v>150</v>
      </c>
      <c r="D539" s="488" t="inlineStr">
        <is>
          <t>忠孝國際醫學3樓</t>
        </is>
      </c>
      <c r="E539" s="488" t="inlineStr">
        <is>
          <t>6120010</t>
        </is>
      </c>
      <c r="F539" s="551" t="n"/>
      <c r="G539" s="488" t="inlineStr">
        <is>
          <t>(V)(B6) 活性維生素 2ml，100倍數叫貨</t>
        </is>
      </c>
      <c r="H539" s="552" t="n"/>
      <c r="I539" s="552" t="n"/>
      <c r="J539" s="551" t="n"/>
      <c r="K539" s="488" t="inlineStr">
        <is>
          <t>(100支/盒)</t>
        </is>
      </c>
      <c r="L539" s="558" t="n">
        <v>2</v>
      </c>
      <c r="M539" s="123" t="inlineStr">
        <is>
          <t>MB3ME090013A</t>
        </is>
      </c>
      <c r="N539" s="117" t="n"/>
    </row>
    <row r="540" ht="33.75" customHeight="1" s="453" thickBot="1">
      <c r="A540" s="553">
        <f>IFERROR(LEFT(B540,7),"")</f>
        <v/>
      </c>
      <c r="B540" s="554">
        <f>"2025/09"&amp;D540</f>
        <v/>
      </c>
      <c r="C540" s="557" t="n">
        <v>151</v>
      </c>
      <c r="D540" s="488" t="inlineStr">
        <is>
          <t>忠孝國際醫學3樓</t>
        </is>
      </c>
      <c r="E540" s="488" t="inlineStr">
        <is>
          <t>6120011</t>
        </is>
      </c>
      <c r="F540" s="551" t="n"/>
      <c r="G540" s="488" t="inlineStr">
        <is>
          <t>(V)(硒) 西寧特 2ml/支</t>
        </is>
      </c>
      <c r="H540" s="552" t="n"/>
      <c r="I540" s="552" t="n"/>
      <c r="J540" s="551" t="n"/>
      <c r="K540" s="488" t="inlineStr">
        <is>
          <t>10支/盒</t>
        </is>
      </c>
      <c r="L540" s="558" t="n">
        <v>4</v>
      </c>
      <c r="M540" s="123" t="inlineStr">
        <is>
          <t>MB3ME090024A</t>
        </is>
      </c>
      <c r="N540" s="117" t="n"/>
    </row>
    <row r="541" ht="33.75" customHeight="1" s="453" thickBot="1">
      <c r="A541" s="553">
        <f>IFERROR(LEFT(B541,7),"")</f>
        <v/>
      </c>
      <c r="B541" s="554">
        <f>"2025/09"&amp;D541</f>
        <v/>
      </c>
      <c r="C541" s="557" t="n">
        <v>152</v>
      </c>
      <c r="D541" s="488" t="inlineStr">
        <is>
          <t>忠孝國際醫學3樓</t>
        </is>
      </c>
      <c r="E541" s="488" t="inlineStr">
        <is>
          <t>6120013</t>
        </is>
      </c>
      <c r="F541" s="551" t="n"/>
      <c r="G541" s="488" t="inlineStr">
        <is>
          <t>(V)生理食鹽水(NS) 250ml/ 袋</t>
        </is>
      </c>
      <c r="H541" s="552" t="n"/>
      <c r="I541" s="552" t="n"/>
      <c r="J541" s="551" t="n"/>
      <c r="K541" s="488" t="inlineStr">
        <is>
          <t>55瓶/箱</t>
        </is>
      </c>
      <c r="L541" s="558" t="n">
        <v>518</v>
      </c>
      <c r="M541" s="123" t="inlineStr">
        <is>
          <t>MB3ME090008A</t>
        </is>
      </c>
      <c r="N541" s="117" t="n"/>
    </row>
    <row r="542" ht="33.75" customHeight="1" s="453" thickBot="1">
      <c r="A542" s="553">
        <f>IFERROR(LEFT(B542,7),"")</f>
        <v/>
      </c>
      <c r="B542" s="554">
        <f>"2025/09"&amp;D542</f>
        <v/>
      </c>
      <c r="C542" s="557" t="n">
        <v>153</v>
      </c>
      <c r="D542" s="488" t="inlineStr">
        <is>
          <t>忠孝國際醫學3樓</t>
        </is>
      </c>
      <c r="E542" s="488" t="inlineStr">
        <is>
          <t>6120014</t>
        </is>
      </c>
      <c r="F542" s="551" t="n"/>
      <c r="G542" s="488" t="inlineStr">
        <is>
          <t>(V)葡萄糖水(D5W) 250ml/袋</t>
        </is>
      </c>
      <c r="H542" s="552" t="n"/>
      <c r="I542" s="552" t="n"/>
      <c r="J542" s="551" t="n"/>
      <c r="K542" s="488" t="inlineStr">
        <is>
          <t>60瓶/箱</t>
        </is>
      </c>
      <c r="L542" s="558" t="n">
        <v>92</v>
      </c>
      <c r="M542" s="123" t="inlineStr">
        <is>
          <t>MB3ME090007A</t>
        </is>
      </c>
      <c r="N542" s="117" t="n"/>
    </row>
    <row r="543" ht="33.75" customHeight="1" s="453" thickBot="1">
      <c r="A543" s="553">
        <f>IFERROR(LEFT(B543,7),"")</f>
        <v/>
      </c>
      <c r="B543" s="554">
        <f>"2025/09"&amp;D543</f>
        <v/>
      </c>
      <c r="C543" s="557" t="n">
        <v>154</v>
      </c>
      <c r="D543" s="488" t="inlineStr">
        <is>
          <t>忠孝國際醫學3樓</t>
        </is>
      </c>
      <c r="E543" s="488" t="inlineStr">
        <is>
          <t>6120015</t>
        </is>
      </c>
      <c r="F543" s="551" t="n"/>
      <c r="G543" s="488" t="inlineStr">
        <is>
          <t>(V)(B群)淘能美複合維他命B 2ml，100倍數叫貨</t>
        </is>
      </c>
      <c r="H543" s="552" t="n"/>
      <c r="I543" s="552" t="n"/>
      <c r="J543" s="551" t="n"/>
      <c r="K543" s="488" t="n"/>
      <c r="L543" s="558" t="n">
        <v>5</v>
      </c>
      <c r="M543" s="123" t="inlineStr">
        <is>
          <t>MB3ME090014A</t>
        </is>
      </c>
      <c r="N543" s="117" t="n"/>
    </row>
    <row r="544" ht="33.75" customHeight="1" s="453" thickBot="1">
      <c r="A544" s="553">
        <f>IFERROR(LEFT(B544,7),"")</f>
        <v/>
      </c>
      <c r="B544" s="554">
        <f>"2025/09"&amp;D544</f>
        <v/>
      </c>
      <c r="C544" s="557" t="n">
        <v>155</v>
      </c>
      <c r="D544" s="488" t="inlineStr">
        <is>
          <t>忠孝國際醫學3樓</t>
        </is>
      </c>
      <c r="E544" s="488" t="inlineStr">
        <is>
          <t>6120016</t>
        </is>
      </c>
      <c r="F544" s="551" t="n"/>
      <c r="G544" s="488" t="inlineStr">
        <is>
          <t>(V)(榖胱肝肽) 克樂達養200mg (20ml/瓶)</t>
        </is>
      </c>
      <c r="H544" s="552" t="n"/>
      <c r="I544" s="552" t="n"/>
      <c r="J544" s="551" t="n"/>
      <c r="K544" s="488" t="inlineStr">
        <is>
          <t>50支/盒</t>
        </is>
      </c>
      <c r="L544" s="558" t="n">
        <v>5</v>
      </c>
      <c r="M544" s="123" t="inlineStr">
        <is>
          <t>MB3ME090015A</t>
        </is>
      </c>
      <c r="N544" s="117" t="n"/>
    </row>
    <row r="545" ht="33.75" customHeight="1" s="453" thickBot="1">
      <c r="A545" s="553">
        <f>IFERROR(LEFT(B545,7),"")</f>
        <v/>
      </c>
      <c r="B545" s="554">
        <f>"2025/09"&amp;D545</f>
        <v/>
      </c>
      <c r="C545" s="557" t="n">
        <v>156</v>
      </c>
      <c r="D545" s="488" t="inlineStr">
        <is>
          <t>忠孝國際醫學3樓</t>
        </is>
      </c>
      <c r="E545" s="488" t="inlineStr">
        <is>
          <t>6120017</t>
        </is>
      </c>
      <c r="F545" s="551" t="n"/>
      <c r="G545" s="488" t="inlineStr">
        <is>
          <t>(V)保肝 5ml/支</t>
        </is>
      </c>
      <c r="H545" s="552" t="n"/>
      <c r="I545" s="552" t="n"/>
      <c r="J545" s="551" t="n"/>
      <c r="K545" s="488" t="inlineStr">
        <is>
          <t>50支/盒</t>
        </is>
      </c>
      <c r="L545" s="558" t="n">
        <v>2</v>
      </c>
      <c r="M545" s="123" t="inlineStr">
        <is>
          <t>MB3ME090025A</t>
        </is>
      </c>
      <c r="N545" s="117" t="n"/>
    </row>
    <row r="546" ht="33.75" customHeight="1" s="453" thickBot="1">
      <c r="A546" s="553">
        <f>IFERROR(LEFT(B546,7),"")</f>
        <v/>
      </c>
      <c r="B546" s="554">
        <f>"2025/09"&amp;D546</f>
        <v/>
      </c>
      <c r="C546" s="557" t="n">
        <v>157</v>
      </c>
      <c r="D546" s="488" t="inlineStr">
        <is>
          <t>忠孝國際醫學3樓</t>
        </is>
      </c>
      <c r="E546" s="488" t="inlineStr">
        <is>
          <t>6120021</t>
        </is>
      </c>
      <c r="F546" s="551" t="n"/>
      <c r="G546" s="488" t="inlineStr">
        <is>
          <t>(V)(Vit C)(抗壞血酸/諾貝爾)20ml，50倍數下單</t>
        </is>
      </c>
      <c r="H546" s="552" t="n"/>
      <c r="I546" s="552" t="n"/>
      <c r="J546" s="551" t="n"/>
      <c r="K546" s="488" t="inlineStr">
        <is>
          <t>50支/盒</t>
        </is>
      </c>
      <c r="L546" s="558" t="n">
        <v>8</v>
      </c>
      <c r="M546" s="123" t="inlineStr">
        <is>
          <t>MB3ME090009A</t>
        </is>
      </c>
      <c r="N546" s="117" t="n"/>
    </row>
    <row r="547" ht="33.75" customHeight="1" s="453" thickBot="1">
      <c r="A547" s="553">
        <f>IFERROR(LEFT(B547,7),"")</f>
        <v/>
      </c>
      <c r="B547" s="554">
        <f>"2025/09"&amp;D547</f>
        <v/>
      </c>
      <c r="C547" s="557" t="n">
        <v>158</v>
      </c>
      <c r="D547" s="488" t="inlineStr">
        <is>
          <t>忠孝國際醫學3樓</t>
        </is>
      </c>
      <c r="E547" s="488" t="inlineStr">
        <is>
          <t>6200004</t>
        </is>
      </c>
      <c r="F547" s="551" t="n"/>
      <c r="G547" s="488" t="inlineStr">
        <is>
          <t>阿爾發SAT卡匣/ 發</t>
        </is>
      </c>
      <c r="H547" s="552" t="n"/>
      <c r="I547" s="552" t="n"/>
      <c r="J547" s="551" t="n"/>
      <c r="K547" s="488" t="inlineStr">
        <is>
          <t>50發/卡</t>
        </is>
      </c>
      <c r="L547" s="558" t="n">
        <v>1558</v>
      </c>
      <c r="M547" s="123" t="inlineStr">
        <is>
          <t>MM2MC070001A</t>
        </is>
      </c>
      <c r="N547" s="117" t="n"/>
    </row>
    <row r="548" ht="33.75" customHeight="1" s="453" thickBot="1">
      <c r="A548" s="553">
        <f>IFERROR(LEFT(B548,7),"")</f>
        <v/>
      </c>
      <c r="B548" s="554">
        <f>"2025/09"&amp;D548</f>
        <v/>
      </c>
      <c r="C548" s="557" t="n">
        <v>159</v>
      </c>
      <c r="D548" s="488" t="inlineStr">
        <is>
          <t>忠孝國際醫學3樓</t>
        </is>
      </c>
      <c r="E548" s="488" t="inlineStr">
        <is>
          <t>6200007</t>
        </is>
      </c>
      <c r="F548" s="551" t="n"/>
      <c r="G548" s="488" t="inlineStr">
        <is>
          <t>瘦瘦筆-針頭*1個</t>
        </is>
      </c>
      <c r="H548" s="552" t="n"/>
      <c r="I548" s="552" t="n"/>
      <c r="J548" s="551" t="n"/>
      <c r="K548" s="488" t="inlineStr">
        <is>
          <t>個</t>
        </is>
      </c>
      <c r="L548" s="558" t="n">
        <v>448</v>
      </c>
      <c r="M548" s="123" t="n"/>
      <c r="N548" s="117" t="n"/>
    </row>
    <row r="549" ht="33.75" customHeight="1" s="453" thickBot="1">
      <c r="A549" s="553">
        <f>IFERROR(LEFT(B549,7),"")</f>
        <v/>
      </c>
      <c r="B549" s="554">
        <f>"2025/09"&amp;D549</f>
        <v/>
      </c>
      <c r="C549" s="557" t="n">
        <v>160</v>
      </c>
      <c r="D549" s="488" t="inlineStr">
        <is>
          <t>忠孝國際醫學3樓</t>
        </is>
      </c>
      <c r="E549" s="488" t="inlineStr">
        <is>
          <t>6200008</t>
        </is>
      </c>
      <c r="F549" s="551" t="n"/>
      <c r="G549" s="488" t="inlineStr">
        <is>
          <t>瘦瘦筆-週纖達*1支(0.25mg)</t>
        </is>
      </c>
      <c r="H549" s="552" t="n"/>
      <c r="I549" s="552" t="n"/>
      <c r="J549" s="551" t="n"/>
      <c r="K549" s="488" t="inlineStr">
        <is>
          <t>支</t>
        </is>
      </c>
      <c r="L549" s="558" t="n">
        <v>5</v>
      </c>
      <c r="M549" s="123" t="inlineStr">
        <is>
          <t>MB3ME110003A</t>
        </is>
      </c>
      <c r="N549" s="117" t="n"/>
    </row>
    <row r="550" ht="33.75" customHeight="1" s="453" thickBot="1">
      <c r="A550" s="553">
        <f>IFERROR(LEFT(B550,7),"")</f>
        <v/>
      </c>
      <c r="B550" s="554">
        <f>"2025/09"&amp;D550</f>
        <v/>
      </c>
      <c r="C550" s="557" t="n">
        <v>161</v>
      </c>
      <c r="D550" s="488" t="inlineStr">
        <is>
          <t>忠孝國際醫學3樓</t>
        </is>
      </c>
      <c r="E550" s="488" t="inlineStr">
        <is>
          <t>6200010</t>
        </is>
      </c>
      <c r="F550" s="551" t="n"/>
      <c r="G550" s="488" t="inlineStr">
        <is>
          <t>瘦瘦筆-週纖達*1支(1.0mg)</t>
        </is>
      </c>
      <c r="H550" s="552" t="n"/>
      <c r="I550" s="552" t="n"/>
      <c r="J550" s="551" t="n"/>
      <c r="K550" s="488" t="inlineStr">
        <is>
          <t>支</t>
        </is>
      </c>
      <c r="L550" s="558" t="n">
        <v>1</v>
      </c>
      <c r="M550" s="123" t="inlineStr">
        <is>
          <t>MB3ME110005A</t>
        </is>
      </c>
      <c r="N550" s="117" t="n"/>
    </row>
    <row r="551" ht="33.75" customHeight="1" s="453" thickBot="1">
      <c r="A551" s="553">
        <f>IFERROR(LEFT(B551,7),"")</f>
        <v/>
      </c>
      <c r="B551" s="554">
        <f>"2025/09"&amp;D551</f>
        <v/>
      </c>
      <c r="C551" s="557" t="n">
        <v>162</v>
      </c>
      <c r="D551" s="488" t="inlineStr">
        <is>
          <t>忠孝國際醫學3樓</t>
        </is>
      </c>
      <c r="E551" s="488" t="inlineStr">
        <is>
          <t>6200013</t>
        </is>
      </c>
      <c r="F551" s="551" t="n"/>
      <c r="G551" s="488" t="inlineStr">
        <is>
          <t>(V)猛健樂*1支(2.5mg)</t>
        </is>
      </c>
      <c r="H551" s="552" t="n"/>
      <c r="I551" s="552" t="n"/>
      <c r="J551" s="551" t="n"/>
      <c r="K551" s="488" t="inlineStr">
        <is>
          <t>支</t>
        </is>
      </c>
      <c r="L551" s="558" t="n">
        <v>58</v>
      </c>
      <c r="M551" s="123" t="inlineStr">
        <is>
          <t>MB3ME110008A</t>
        </is>
      </c>
      <c r="N551" s="117" t="n"/>
    </row>
    <row r="552" ht="33.75" customHeight="1" s="453" thickBot="1">
      <c r="A552" s="553">
        <f>IFERROR(LEFT(B552,7),"")</f>
        <v/>
      </c>
      <c r="B552" s="554">
        <f>"2025/09"&amp;D552</f>
        <v/>
      </c>
      <c r="C552" s="557" t="n">
        <v>163</v>
      </c>
      <c r="D552" s="488" t="inlineStr">
        <is>
          <t>忠孝國際醫學3樓</t>
        </is>
      </c>
      <c r="E552" s="488" t="inlineStr">
        <is>
          <t>6200014</t>
        </is>
      </c>
      <c r="F552" s="551" t="n"/>
      <c r="G552" s="488" t="inlineStr">
        <is>
          <t>(V)猛健樂*1支(5mg)</t>
        </is>
      </c>
      <c r="H552" s="552" t="n"/>
      <c r="I552" s="552" t="n"/>
      <c r="J552" s="551" t="n"/>
      <c r="K552" s="488" t="inlineStr">
        <is>
          <t>支</t>
        </is>
      </c>
      <c r="L552" s="558" t="n">
        <v>17</v>
      </c>
      <c r="M552" s="123" t="inlineStr">
        <is>
          <t>MB3ME110009A</t>
        </is>
      </c>
      <c r="N552" s="117" t="n"/>
    </row>
    <row r="553" ht="33.75" customHeight="1" s="453" thickBot="1">
      <c r="A553" s="553">
        <f>IFERROR(LEFT(B553,7),"")</f>
        <v/>
      </c>
      <c r="B553" s="554">
        <f>"2025/09"&amp;D553</f>
        <v/>
      </c>
      <c r="C553" s="557" t="n">
        <v>164</v>
      </c>
      <c r="D553" s="488" t="inlineStr">
        <is>
          <t>忠孝國際醫學3樓</t>
        </is>
      </c>
      <c r="E553" s="488" t="inlineStr">
        <is>
          <t>6200015</t>
        </is>
      </c>
      <c r="F553" s="551" t="n"/>
      <c r="G553" s="488" t="inlineStr">
        <is>
          <t>(V)猛健樂*1支(7.5mg)</t>
        </is>
      </c>
      <c r="H553" s="552" t="n"/>
      <c r="I553" s="552" t="n"/>
      <c r="J553" s="551" t="n"/>
      <c r="K553" s="488" t="inlineStr">
        <is>
          <t>支</t>
        </is>
      </c>
      <c r="L553" s="558" t="n">
        <v>24</v>
      </c>
      <c r="M553" s="123" t="inlineStr">
        <is>
          <t>MB3ME110010A</t>
        </is>
      </c>
      <c r="N553" s="117" t="n"/>
    </row>
    <row r="554" ht="33.75" customHeight="1" s="453" thickBot="1">
      <c r="A554" s="553">
        <f>IFERROR(LEFT(B554,7),"")</f>
        <v/>
      </c>
      <c r="B554" s="554">
        <f>"2025/09"&amp;D554</f>
        <v/>
      </c>
      <c r="C554" s="557" t="n">
        <v>165</v>
      </c>
      <c r="D554" s="488" t="inlineStr">
        <is>
          <t>忠孝國際醫學3樓</t>
        </is>
      </c>
      <c r="E554" s="488" t="inlineStr">
        <is>
          <t>6200016</t>
        </is>
      </c>
      <c r="F554" s="551" t="n"/>
      <c r="G554" s="488" t="inlineStr">
        <is>
          <t>(V)猛健樂*1支(10mg)</t>
        </is>
      </c>
      <c r="H554" s="552" t="n"/>
      <c r="I554" s="552" t="n"/>
      <c r="J554" s="551" t="n"/>
      <c r="K554" s="488" t="inlineStr">
        <is>
          <t>支</t>
        </is>
      </c>
      <c r="L554" s="558" t="n">
        <v>13</v>
      </c>
      <c r="M554" s="123" t="inlineStr">
        <is>
          <t>MB3ME110011A</t>
        </is>
      </c>
      <c r="N554" s="117" t="n"/>
    </row>
    <row r="555" ht="33.75" customHeight="1" s="453" thickBot="1">
      <c r="A555" s="553">
        <f>IFERROR(LEFT(B555,7),"")</f>
        <v/>
      </c>
      <c r="B555" s="554">
        <f>"2025/09"&amp;D555</f>
        <v/>
      </c>
      <c r="C555" s="557" t="n">
        <v>166</v>
      </c>
      <c r="D555" s="488" t="inlineStr">
        <is>
          <t>忠孝國際醫學3樓</t>
        </is>
      </c>
      <c r="E555" s="488" t="inlineStr">
        <is>
          <t>6200017</t>
        </is>
      </c>
      <c r="F555" s="551" t="n"/>
      <c r="G555" s="488" t="inlineStr">
        <is>
          <t>(V)猛健樂10MG/0.15CC</t>
        </is>
      </c>
      <c r="H555" s="552" t="n"/>
      <c r="I555" s="552" t="n"/>
      <c r="J555" s="551" t="n"/>
      <c r="K555" s="488" t="inlineStr">
        <is>
          <t>3cc/支</t>
        </is>
      </c>
      <c r="L555" s="558" t="n">
        <v>3</v>
      </c>
      <c r="M555" s="123" t="n"/>
      <c r="N555" s="117" t="n"/>
    </row>
    <row r="556" ht="17.25" customHeight="1" s="453" thickBot="1">
      <c r="A556" s="553">
        <f>IFERROR(LEFT(B556,7),"")</f>
        <v/>
      </c>
      <c r="B556" s="554">
        <f>"2025/10"&amp;D556</f>
        <v/>
      </c>
      <c r="C556" s="559" t="n">
        <v>1</v>
      </c>
      <c r="D556" s="484" t="inlineStr">
        <is>
          <t>站前4樓</t>
        </is>
      </c>
      <c r="E556" s="484" t="inlineStr">
        <is>
          <t>6120003</t>
        </is>
      </c>
      <c r="F556" s="551" t="n"/>
      <c r="G556" s="484" t="inlineStr">
        <is>
          <t>(V)貝力多(雙胜胺) 20% 30mL/ 瓶，50倍數叫貨</t>
        </is>
      </c>
      <c r="H556" s="552" t="n"/>
      <c r="I556" s="552" t="n"/>
      <c r="J556" s="551" t="n"/>
      <c r="K556" s="140" t="inlineStr">
        <is>
          <t>10支/盒</t>
        </is>
      </c>
      <c r="L556" s="560" t="n">
        <v>5</v>
      </c>
      <c r="M556" s="123" t="n"/>
      <c r="N556" s="117" t="n"/>
    </row>
    <row r="557" ht="17.25" customHeight="1" s="453" thickBot="1">
      <c r="A557" s="553">
        <f>IFERROR(LEFT(B557,7),"")</f>
        <v/>
      </c>
      <c r="B557" s="554">
        <f>"2025/10"&amp;D557</f>
        <v/>
      </c>
      <c r="C557" s="559" t="n">
        <v>2</v>
      </c>
      <c r="D557" s="484" t="inlineStr">
        <is>
          <t>站前4樓</t>
        </is>
      </c>
      <c r="E557" s="484" t="inlineStr">
        <is>
          <t>6120004</t>
        </is>
      </c>
      <c r="F557" s="551" t="n"/>
      <c r="G557" s="484" t="inlineStr">
        <is>
          <t>(V)胺基酸點滴250ml/ 袋(安命活源/嘉安命)，20倍數叫貨</t>
        </is>
      </c>
      <c r="H557" s="552" t="n"/>
      <c r="I557" s="552" t="n"/>
      <c r="J557" s="551" t="n"/>
      <c r="K557" s="140" t="inlineStr">
        <is>
          <t>(20瓶/箱)</t>
        </is>
      </c>
      <c r="L557" s="560" t="n">
        <v>5</v>
      </c>
      <c r="M557" s="123" t="n"/>
      <c r="N557" s="117" t="n"/>
    </row>
    <row r="558" ht="17.25" customHeight="1" s="453" thickBot="1">
      <c r="A558" s="553">
        <f>IFERROR(LEFT(B558,7),"")</f>
        <v/>
      </c>
      <c r="B558" s="554">
        <f>"2025/10"&amp;D558</f>
        <v/>
      </c>
      <c r="C558" s="559" t="n">
        <v>3</v>
      </c>
      <c r="D558" s="484" t="inlineStr">
        <is>
          <t>站前4樓</t>
        </is>
      </c>
      <c r="E558" s="484" t="inlineStr">
        <is>
          <t>6120006</t>
        </is>
      </c>
      <c r="F558" s="551" t="n"/>
      <c r="G558" s="484" t="inlineStr">
        <is>
          <t>(V)(B12) 愛壽命 2mL，100倍數叫貨</t>
        </is>
      </c>
      <c r="H558" s="552" t="n"/>
      <c r="I558" s="552" t="n"/>
      <c r="J558" s="551" t="n"/>
      <c r="K558" s="140" t="inlineStr">
        <is>
          <t>(100支/盒)</t>
        </is>
      </c>
      <c r="L558" s="560" t="n">
        <v>6</v>
      </c>
      <c r="M558" s="123" t="n"/>
      <c r="N558" s="117" t="n"/>
    </row>
    <row r="559" ht="17.25" customHeight="1" s="453" thickBot="1">
      <c r="A559" s="553">
        <f>IFERROR(LEFT(B559,7),"")</f>
        <v/>
      </c>
      <c r="B559" s="554">
        <f>"2025/10"&amp;D559</f>
        <v/>
      </c>
      <c r="C559" s="559" t="n">
        <v>4</v>
      </c>
      <c r="D559" s="484" t="inlineStr">
        <is>
          <t>站前4樓</t>
        </is>
      </c>
      <c r="E559" s="484" t="inlineStr">
        <is>
          <t>6120013</t>
        </is>
      </c>
      <c r="F559" s="551" t="n"/>
      <c r="G559" s="484" t="inlineStr">
        <is>
          <t>(V)生理食鹽水(NS) 250ml/ 袋</t>
        </is>
      </c>
      <c r="H559" s="552" t="n"/>
      <c r="I559" s="552" t="n"/>
      <c r="J559" s="551" t="n"/>
      <c r="K559" s="140" t="inlineStr">
        <is>
          <t>55瓶/箱</t>
        </is>
      </c>
      <c r="L559" s="560" t="n">
        <v>204</v>
      </c>
      <c r="M559" s="123" t="n"/>
      <c r="N559" s="117" t="n"/>
    </row>
    <row r="560" ht="17.25" customHeight="1" s="453" thickBot="1">
      <c r="A560" s="553">
        <f>IFERROR(LEFT(B560,7),"")</f>
        <v/>
      </c>
      <c r="B560" s="554">
        <f>"2025/10"&amp;D560</f>
        <v/>
      </c>
      <c r="C560" s="559" t="n">
        <v>5</v>
      </c>
      <c r="D560" s="484" t="inlineStr">
        <is>
          <t>站前4樓</t>
        </is>
      </c>
      <c r="E560" s="484" t="inlineStr">
        <is>
          <t>6120015</t>
        </is>
      </c>
      <c r="F560" s="551" t="n"/>
      <c r="G560" s="484" t="inlineStr">
        <is>
          <t>(V)(B群)淘能美複合維他命B 2ml，100倍數叫貨</t>
        </is>
      </c>
      <c r="H560" s="552" t="n"/>
      <c r="I560" s="552" t="n"/>
      <c r="J560" s="551" t="n"/>
      <c r="K560" s="140" t="n"/>
      <c r="L560" s="560" t="n">
        <v>207</v>
      </c>
      <c r="M560" s="123" t="n"/>
      <c r="N560" s="117" t="n"/>
    </row>
    <row r="561" ht="17.25" customHeight="1" s="453" thickBot="1">
      <c r="A561" s="553">
        <f>IFERROR(LEFT(B561,7),"")</f>
        <v/>
      </c>
      <c r="B561" s="554">
        <f>"2025/10"&amp;D561</f>
        <v/>
      </c>
      <c r="C561" s="559" t="n">
        <v>6</v>
      </c>
      <c r="D561" s="484" t="inlineStr">
        <is>
          <t>站前4樓</t>
        </is>
      </c>
      <c r="E561" s="484" t="inlineStr">
        <is>
          <t>6120016</t>
        </is>
      </c>
      <c r="F561" s="551" t="n"/>
      <c r="G561" s="484" t="inlineStr">
        <is>
          <t>(V)(榖胱肝肽) 克樂達養200mg (20ml/瓶)</t>
        </is>
      </c>
      <c r="H561" s="552" t="n"/>
      <c r="I561" s="552" t="n"/>
      <c r="J561" s="551" t="n"/>
      <c r="K561" s="140" t="inlineStr">
        <is>
          <t>50支/盒</t>
        </is>
      </c>
      <c r="L561" s="560" t="n">
        <v>207</v>
      </c>
      <c r="M561" s="123" t="n"/>
      <c r="N561" s="117" t="n"/>
    </row>
    <row r="562" ht="17.25" customHeight="1" s="453" thickBot="1">
      <c r="A562" s="553">
        <f>IFERROR(LEFT(B562,7),"")</f>
        <v/>
      </c>
      <c r="B562" s="554">
        <f>"2025/10"&amp;D562</f>
        <v/>
      </c>
      <c r="C562" s="559" t="n">
        <v>7</v>
      </c>
      <c r="D562" s="484" t="inlineStr">
        <is>
          <t>站前4樓</t>
        </is>
      </c>
      <c r="E562" s="484" t="inlineStr">
        <is>
          <t>6120018</t>
        </is>
      </c>
      <c r="F562" s="551" t="n"/>
      <c r="G562" s="484" t="inlineStr">
        <is>
          <t>(V)(傳明酸)止血明 5ml/支</t>
        </is>
      </c>
      <c r="H562" s="552" t="n"/>
      <c r="I562" s="552" t="n"/>
      <c r="J562" s="551" t="n"/>
      <c r="K562" s="140" t="inlineStr">
        <is>
          <t>50支/盒</t>
        </is>
      </c>
      <c r="L562" s="560" t="n">
        <v>30</v>
      </c>
      <c r="M562" s="123" t="n"/>
      <c r="N562" s="117" t="n"/>
    </row>
    <row r="563" ht="17.25" customHeight="1" s="453" thickBot="1">
      <c r="A563" s="553">
        <f>IFERROR(LEFT(B563,7),"")</f>
        <v/>
      </c>
      <c r="B563" s="554">
        <f>"2025/10"&amp;D563</f>
        <v/>
      </c>
      <c r="C563" s="559" t="n">
        <v>8</v>
      </c>
      <c r="D563" s="484" t="inlineStr">
        <is>
          <t>站前4樓</t>
        </is>
      </c>
      <c r="E563" s="484" t="inlineStr">
        <is>
          <t>6120020</t>
        </is>
      </c>
      <c r="F563" s="551" t="n"/>
      <c r="G563" s="484" t="inlineStr">
        <is>
          <t>(V)(Vit C) 抗壞血酸 2mL，100倍數下單</t>
        </is>
      </c>
      <c r="H563" s="552" t="n"/>
      <c r="I563" s="552" t="n"/>
      <c r="J563" s="551" t="n"/>
      <c r="K563" s="140" t="inlineStr">
        <is>
          <t>100支/盒</t>
        </is>
      </c>
      <c r="L563" s="560" t="n">
        <v>91</v>
      </c>
      <c r="M563" s="123" t="n"/>
      <c r="N563" s="117" t="n"/>
    </row>
    <row r="564" ht="17.25" customHeight="1" s="453" thickBot="1">
      <c r="A564" s="553">
        <f>IFERROR(LEFT(B564,7),"")</f>
        <v/>
      </c>
      <c r="B564" s="554">
        <f>"2025/10"&amp;D564</f>
        <v/>
      </c>
      <c r="C564" s="559" t="n">
        <v>9</v>
      </c>
      <c r="D564" s="484" t="inlineStr">
        <is>
          <t>站前4樓</t>
        </is>
      </c>
      <c r="E564" s="484" t="inlineStr">
        <is>
          <t>6120021</t>
        </is>
      </c>
      <c r="F564" s="551" t="n"/>
      <c r="G564" s="484" t="inlineStr">
        <is>
          <t>(V)(Vit C)(抗壞血酸/諾貝爾)20ml，50倍數下單</t>
        </is>
      </c>
      <c r="H564" s="552" t="n"/>
      <c r="I564" s="552" t="n"/>
      <c r="J564" s="551" t="n"/>
      <c r="K564" s="140" t="inlineStr">
        <is>
          <t>50支/盒</t>
        </is>
      </c>
      <c r="L564" s="560" t="n">
        <v>209</v>
      </c>
      <c r="M564" s="123" t="n"/>
      <c r="N564" s="117" t="n"/>
    </row>
    <row r="565" ht="17.25" customHeight="1" s="453" thickBot="1">
      <c r="A565" s="553">
        <f>IFERROR(LEFT(B565,7),"")</f>
        <v/>
      </c>
      <c r="B565" s="554">
        <f>"2025/10"&amp;D565</f>
        <v/>
      </c>
      <c r="C565" s="559" t="n">
        <v>10</v>
      </c>
      <c r="D565" s="484" t="inlineStr">
        <is>
          <t>站前4樓</t>
        </is>
      </c>
      <c r="E565" s="484" t="inlineStr">
        <is>
          <t>6120030</t>
        </is>
      </c>
      <c r="F565" s="551" t="n"/>
      <c r="G565" s="484" t="inlineStr">
        <is>
          <t>(V)克多炎 Keto 1ml</t>
        </is>
      </c>
      <c r="H565" s="552" t="n"/>
      <c r="I565" s="552" t="n"/>
      <c r="J565" s="551" t="n"/>
      <c r="K565" s="140" t="inlineStr">
        <is>
          <t>100支/盒</t>
        </is>
      </c>
      <c r="L565" s="560" t="n">
        <v>1</v>
      </c>
      <c r="M565" s="123" t="n"/>
      <c r="N565" s="117" t="n"/>
    </row>
    <row r="566" ht="17.25" customHeight="1" s="453" thickBot="1">
      <c r="A566" s="553">
        <f>IFERROR(LEFT(B566,7),"")</f>
        <v/>
      </c>
      <c r="B566" s="554">
        <f>"2025/10"&amp;D566</f>
        <v/>
      </c>
      <c r="C566" s="559" t="n">
        <v>11</v>
      </c>
      <c r="D566" s="484" t="inlineStr">
        <is>
          <t>站前4樓</t>
        </is>
      </c>
      <c r="E566" s="484" t="inlineStr">
        <is>
          <t>6140001</t>
        </is>
      </c>
      <c r="F566" s="551" t="n"/>
      <c r="G566" s="484" t="inlineStr">
        <is>
          <t>(V)保妥適Botox/ u，100倍數下單</t>
        </is>
      </c>
      <c r="H566" s="552" t="n"/>
      <c r="I566" s="552" t="n"/>
      <c r="J566" s="551" t="n"/>
      <c r="K566" s="140" t="inlineStr">
        <is>
          <t>100U/瓶</t>
        </is>
      </c>
      <c r="L566" s="560" t="n">
        <v>3699</v>
      </c>
      <c r="M566" s="123" t="n"/>
      <c r="N566" s="117" t="n"/>
    </row>
    <row r="567" ht="17.25" customHeight="1" s="453" thickBot="1">
      <c r="A567" s="553">
        <f>IFERROR(LEFT(B567,7),"")</f>
        <v/>
      </c>
      <c r="B567" s="554">
        <f>"2025/10"&amp;D567</f>
        <v/>
      </c>
      <c r="C567" s="559" t="n">
        <v>12</v>
      </c>
      <c r="D567" s="484" t="inlineStr">
        <is>
          <t>站前4樓</t>
        </is>
      </c>
      <c r="E567" s="484" t="inlineStr">
        <is>
          <t>6140003</t>
        </is>
      </c>
      <c r="F567" s="551" t="n"/>
      <c r="G567" s="484" t="inlineStr">
        <is>
          <t>(V)保提拉肉毒Letybo/ u，3200倍數下單</t>
        </is>
      </c>
      <c r="H567" s="552" t="n"/>
      <c r="I567" s="552" t="n"/>
      <c r="J567" s="551" t="n"/>
      <c r="K567" s="140" t="inlineStr">
        <is>
          <t>200U/瓶</t>
        </is>
      </c>
      <c r="L567" s="560" t="n">
        <v>4109</v>
      </c>
      <c r="M567" s="123" t="n"/>
      <c r="N567" s="117" t="n"/>
    </row>
    <row r="568" ht="17.25" customHeight="1" s="453" thickBot="1">
      <c r="A568" s="553">
        <f>IFERROR(LEFT(B568,7),"")</f>
        <v/>
      </c>
      <c r="B568" s="554">
        <f>"2025/10"&amp;D568</f>
        <v/>
      </c>
      <c r="C568" s="559" t="n">
        <v>13</v>
      </c>
      <c r="D568" s="484" t="inlineStr">
        <is>
          <t>站前4樓</t>
        </is>
      </c>
      <c r="E568" s="484" t="inlineStr">
        <is>
          <t>6140005</t>
        </is>
      </c>
      <c r="F568" s="551" t="n"/>
      <c r="G568" s="484" t="inlineStr">
        <is>
          <t>(V)奇肌肉毒/ u，200倍數下單</t>
        </is>
      </c>
      <c r="H568" s="552" t="n"/>
      <c r="I568" s="552" t="n"/>
      <c r="J568" s="551" t="n"/>
      <c r="K568" s="140" t="inlineStr">
        <is>
          <t>200U/瓶</t>
        </is>
      </c>
      <c r="L568" s="560" t="n">
        <v>2254</v>
      </c>
      <c r="M568" s="123" t="n"/>
      <c r="N568" s="117" t="n"/>
    </row>
    <row r="569" ht="17.25" customHeight="1" s="453" thickBot="1">
      <c r="A569" s="553">
        <f>IFERROR(LEFT(B569,7),"")</f>
        <v/>
      </c>
      <c r="B569" s="554">
        <f>"2025/10"&amp;D569</f>
        <v/>
      </c>
      <c r="C569" s="559" t="n">
        <v>14</v>
      </c>
      <c r="D569" s="484" t="inlineStr">
        <is>
          <t>站前4樓</t>
        </is>
      </c>
      <c r="E569" s="484" t="inlineStr">
        <is>
          <t>6150001</t>
        </is>
      </c>
      <c r="F569" s="551" t="n"/>
      <c r="G569" s="484" t="inlineStr">
        <is>
          <t>(V)喬雅登-豐麗緹玻尿酸植入物Voluma 1ml</t>
        </is>
      </c>
      <c r="H569" s="552" t="n"/>
      <c r="I569" s="552" t="n"/>
      <c r="J569" s="551" t="n"/>
      <c r="K569" s="140" t="inlineStr">
        <is>
          <t>1ml(2ml/盒)</t>
        </is>
      </c>
      <c r="L569" s="560" t="n">
        <v>68</v>
      </c>
      <c r="M569" s="123" t="n"/>
      <c r="N569" s="117" t="n"/>
    </row>
    <row r="570" ht="17.25" customHeight="1" s="453" thickBot="1">
      <c r="A570" s="553">
        <f>IFERROR(LEFT(B570,7),"")</f>
        <v/>
      </c>
      <c r="B570" s="554">
        <f>"2025/10"&amp;D570</f>
        <v/>
      </c>
      <c r="C570" s="559" t="n">
        <v>15</v>
      </c>
      <c r="D570" s="484" t="inlineStr">
        <is>
          <t>站前4樓</t>
        </is>
      </c>
      <c r="E570" s="484" t="inlineStr">
        <is>
          <t>6150002</t>
        </is>
      </c>
      <c r="F570" s="551" t="n"/>
      <c r="G570" s="484" t="inlineStr">
        <is>
          <t>(V)喬雅登-夢蓓菈玻尿酸植入物Volbella 1ml</t>
        </is>
      </c>
      <c r="H570" s="552" t="n"/>
      <c r="I570" s="552" t="n"/>
      <c r="J570" s="551" t="n"/>
      <c r="K570" s="140" t="inlineStr">
        <is>
          <t>1ml(2ml/盒)</t>
        </is>
      </c>
      <c r="L570" s="560" t="n">
        <v>5</v>
      </c>
      <c r="M570" s="123" t="n"/>
      <c r="N570" s="117" t="n"/>
    </row>
    <row r="571" ht="17.25" customHeight="1" s="453" thickBot="1">
      <c r="A571" s="553">
        <f>IFERROR(LEFT(B571,7),"")</f>
        <v/>
      </c>
      <c r="B571" s="554">
        <f>"2025/10"&amp;D571</f>
        <v/>
      </c>
      <c r="C571" s="559" t="n">
        <v>16</v>
      </c>
      <c r="D571" s="484" t="inlineStr">
        <is>
          <t>站前4樓</t>
        </is>
      </c>
      <c r="E571" s="484" t="inlineStr">
        <is>
          <t>6150003</t>
        </is>
      </c>
      <c r="F571" s="551" t="n"/>
      <c r="G571" s="484" t="inlineStr">
        <is>
          <t>(V)喬雅登-豐麗緹玻尿酸植入物Volift 1ml</t>
        </is>
      </c>
      <c r="H571" s="552" t="n"/>
      <c r="I571" s="552" t="n"/>
      <c r="J571" s="551" t="n"/>
      <c r="K571" s="140" t="inlineStr">
        <is>
          <t>1ml(2ml/盒)</t>
        </is>
      </c>
      <c r="L571" s="560" t="n">
        <v>1</v>
      </c>
      <c r="M571" s="123" t="n"/>
      <c r="N571" s="117" t="n"/>
    </row>
    <row r="572" ht="17.25" customHeight="1" s="453" thickBot="1">
      <c r="A572" s="553">
        <f>IFERROR(LEFT(B572,7),"")</f>
        <v/>
      </c>
      <c r="B572" s="554">
        <f>"2025/10"&amp;D572</f>
        <v/>
      </c>
      <c r="C572" s="559" t="n">
        <v>17</v>
      </c>
      <c r="D572" s="484" t="inlineStr">
        <is>
          <t>站前4樓</t>
        </is>
      </c>
      <c r="E572" s="484" t="inlineStr">
        <is>
          <t>6150004</t>
        </is>
      </c>
      <c r="F572" s="551" t="n"/>
      <c r="G572" s="484" t="inlineStr">
        <is>
          <t>(V)喬雅登-豐塑玻尿酸植入物Volux 1ml</t>
        </is>
      </c>
      <c r="H572" s="552" t="n"/>
      <c r="I572" s="552" t="n"/>
      <c r="J572" s="551" t="n"/>
      <c r="K572" s="140" t="inlineStr">
        <is>
          <t>1ml(2ml/盒)</t>
        </is>
      </c>
      <c r="L572" s="560" t="n">
        <v>12</v>
      </c>
      <c r="M572" s="123" t="n"/>
      <c r="N572" s="117" t="n"/>
    </row>
    <row r="573" ht="17.25" customHeight="1" s="453" thickBot="1">
      <c r="A573" s="553">
        <f>IFERROR(LEFT(B573,7),"")</f>
        <v/>
      </c>
      <c r="B573" s="554">
        <f>"2025/10"&amp;D573</f>
        <v/>
      </c>
      <c r="C573" s="559" t="n">
        <v>18</v>
      </c>
      <c r="D573" s="484" t="inlineStr">
        <is>
          <t>站前4樓</t>
        </is>
      </c>
      <c r="E573" s="484" t="inlineStr">
        <is>
          <t>6150005</t>
        </is>
      </c>
      <c r="F573" s="551" t="n"/>
      <c r="G573" s="484" t="inlineStr">
        <is>
          <t>(V)喬雅登-芙潤玻尿酸植入物Volite 1ml</t>
        </is>
      </c>
      <c r="H573" s="552" t="n"/>
      <c r="I573" s="552" t="n"/>
      <c r="J573" s="551" t="n"/>
      <c r="K573" s="140" t="inlineStr">
        <is>
          <t>1ml(2ml/盒)</t>
        </is>
      </c>
      <c r="L573" s="560" t="n">
        <v>1</v>
      </c>
      <c r="M573" s="123" t="n"/>
      <c r="N573" s="117" t="n"/>
    </row>
    <row r="574" ht="17.25" customHeight="1" s="453" thickBot="1">
      <c r="A574" s="553">
        <f>IFERROR(LEFT(B574,7),"")</f>
        <v/>
      </c>
      <c r="B574" s="554">
        <f>"2025/10"&amp;D574</f>
        <v/>
      </c>
      <c r="C574" s="559" t="n">
        <v>19</v>
      </c>
      <c r="D574" s="484" t="inlineStr">
        <is>
          <t>站前4樓</t>
        </is>
      </c>
      <c r="E574" s="484" t="inlineStr">
        <is>
          <t>6150010</t>
        </is>
      </c>
      <c r="F574" s="551" t="n"/>
      <c r="G574" s="484" t="inlineStr">
        <is>
          <t>(V)仙女玻尿酸大分子 1ml</t>
        </is>
      </c>
      <c r="H574" s="552" t="n"/>
      <c r="I574" s="552" t="n"/>
      <c r="J574" s="551" t="n"/>
      <c r="K574" s="140" t="inlineStr">
        <is>
          <t>1ml(1ml/盒)</t>
        </is>
      </c>
      <c r="L574" s="560" t="n">
        <v>43</v>
      </c>
      <c r="M574" s="123" t="n"/>
      <c r="N574" s="117" t="n"/>
    </row>
    <row r="575" ht="17.25" customHeight="1" s="453" thickBot="1">
      <c r="A575" s="553">
        <f>IFERROR(LEFT(B575,7),"")</f>
        <v/>
      </c>
      <c r="B575" s="554">
        <f>"2025/10"&amp;D575</f>
        <v/>
      </c>
      <c r="C575" s="559" t="n">
        <v>20</v>
      </c>
      <c r="D575" s="484" t="inlineStr">
        <is>
          <t>站前4樓</t>
        </is>
      </c>
      <c r="E575" s="484" t="inlineStr">
        <is>
          <t>6150011</t>
        </is>
      </c>
      <c r="F575" s="551" t="n"/>
      <c r="G575" s="484" t="inlineStr">
        <is>
          <t>(V)仙女玻尿酸小分子 1ml</t>
        </is>
      </c>
      <c r="H575" s="552" t="n"/>
      <c r="I575" s="552" t="n"/>
      <c r="J575" s="551" t="n"/>
      <c r="K575" s="140" t="inlineStr">
        <is>
          <t>1ml(1ml/盒)</t>
        </is>
      </c>
      <c r="L575" s="560" t="n">
        <v>4</v>
      </c>
      <c r="M575" s="123" t="n"/>
      <c r="N575" s="117" t="n"/>
    </row>
    <row r="576" ht="17.25" customHeight="1" s="453" thickBot="1">
      <c r="A576" s="553">
        <f>IFERROR(LEFT(B576,7),"")</f>
        <v/>
      </c>
      <c r="B576" s="554">
        <f>"2025/10"&amp;D576</f>
        <v/>
      </c>
      <c r="C576" s="559" t="n">
        <v>21</v>
      </c>
      <c r="D576" s="484" t="inlineStr">
        <is>
          <t>站前4樓</t>
        </is>
      </c>
      <c r="E576" s="484" t="inlineStr">
        <is>
          <t>6150013</t>
        </is>
      </c>
      <c r="F576" s="551" t="n"/>
      <c r="G576" s="484" t="inlineStr">
        <is>
          <t>(V)逆時針(璞菲洛)2cc</t>
        </is>
      </c>
      <c r="H576" s="552" t="n"/>
      <c r="I576" s="552" t="n"/>
      <c r="J576" s="551" t="n"/>
      <c r="K576" s="140" t="inlineStr">
        <is>
          <t>1ml(1ml/盒)</t>
        </is>
      </c>
      <c r="L576" s="560" t="n">
        <v>25</v>
      </c>
      <c r="M576" s="123" t="n"/>
      <c r="N576" s="117" t="n"/>
    </row>
    <row r="577" ht="17.25" customHeight="1" s="453" thickBot="1">
      <c r="A577" s="553">
        <f>IFERROR(LEFT(B577,7),"")</f>
        <v/>
      </c>
      <c r="B577" s="554">
        <f>"2025/10"&amp;D577</f>
        <v/>
      </c>
      <c r="C577" s="559" t="n">
        <v>22</v>
      </c>
      <c r="D577" s="484" t="inlineStr">
        <is>
          <t>站前4樓</t>
        </is>
      </c>
      <c r="E577" s="484" t="inlineStr">
        <is>
          <t>6150014</t>
        </is>
      </c>
      <c r="F577" s="551" t="n"/>
      <c r="G577" s="484" t="inlineStr">
        <is>
          <t>(V)膚美康 1cc</t>
        </is>
      </c>
      <c r="H577" s="552" t="n"/>
      <c r="I577" s="552" t="n"/>
      <c r="J577" s="551" t="n"/>
      <c r="K577" s="140" t="inlineStr">
        <is>
          <t>2.5cc/支</t>
        </is>
      </c>
      <c r="L577" s="560" t="n">
        <v>1</v>
      </c>
      <c r="M577" s="27" t="inlineStr">
        <is>
          <t>MP1MA020034A</t>
        </is>
      </c>
      <c r="N577" s="117" t="n"/>
    </row>
    <row r="578" ht="17.25" customHeight="1" s="453" thickBot="1">
      <c r="A578" s="553">
        <f>IFERROR(LEFT(B578,7),"")</f>
        <v/>
      </c>
      <c r="B578" s="554">
        <f>"2025/10"&amp;D578</f>
        <v/>
      </c>
      <c r="C578" s="559" t="n">
        <v>23</v>
      </c>
      <c r="D578" s="484" t="inlineStr">
        <is>
          <t>站前4樓</t>
        </is>
      </c>
      <c r="E578" s="484" t="inlineStr">
        <is>
          <t>6160002</t>
        </is>
      </c>
      <c r="F578" s="551" t="n"/>
      <c r="G578" s="484" t="inlineStr">
        <is>
          <t>(V)洢蓮絲植入劑ELLANSÉ-S 1ml</t>
        </is>
      </c>
      <c r="H578" s="552" t="n"/>
      <c r="I578" s="552" t="n"/>
      <c r="J578" s="551" t="n"/>
      <c r="K578" s="140" t="inlineStr">
        <is>
          <t>1ml(2ml/盒)</t>
        </is>
      </c>
      <c r="L578" s="560" t="n">
        <v>78</v>
      </c>
      <c r="M578" s="123" t="n"/>
      <c r="N578" s="117" t="n"/>
    </row>
    <row r="579" ht="17.25" customHeight="1" s="453" thickBot="1">
      <c r="A579" s="553">
        <f>IFERROR(LEFT(B579,7),"")</f>
        <v/>
      </c>
      <c r="B579" s="554">
        <f>"2025/10"&amp;D579</f>
        <v/>
      </c>
      <c r="C579" s="559" t="n">
        <v>24</v>
      </c>
      <c r="D579" s="484" t="inlineStr">
        <is>
          <t>站前4樓</t>
        </is>
      </c>
      <c r="E579" s="484" t="inlineStr">
        <is>
          <t>6160003</t>
        </is>
      </c>
      <c r="F579" s="551" t="n"/>
      <c r="G579" s="484" t="inlineStr">
        <is>
          <t>(V)洢蓮絲植入劑ELLANSÉ-M 1ml</t>
        </is>
      </c>
      <c r="H579" s="552" t="n"/>
      <c r="I579" s="552" t="n"/>
      <c r="J579" s="551" t="n"/>
      <c r="K579" s="140" t="inlineStr">
        <is>
          <t>1ml(2ml/盒)</t>
        </is>
      </c>
      <c r="L579" s="560" t="n">
        <v>23</v>
      </c>
      <c r="M579" s="123" t="n"/>
      <c r="N579" s="117" t="n"/>
    </row>
    <row r="580" ht="17.25" customHeight="1" s="453" thickBot="1">
      <c r="A580" s="553">
        <f>IFERROR(LEFT(B580,7),"")</f>
        <v/>
      </c>
      <c r="B580" s="554">
        <f>"2025/10"&amp;D580</f>
        <v/>
      </c>
      <c r="C580" s="559" t="n">
        <v>25</v>
      </c>
      <c r="D580" s="484" t="inlineStr">
        <is>
          <t>站前4樓</t>
        </is>
      </c>
      <c r="E580" s="484" t="inlineStr">
        <is>
          <t>6160005</t>
        </is>
      </c>
      <c r="F580" s="551" t="n"/>
      <c r="G580" s="484" t="inlineStr">
        <is>
          <t>(V)双美熊貓針</t>
        </is>
      </c>
      <c r="H580" s="552" t="n"/>
      <c r="I580" s="552" t="n"/>
      <c r="J580" s="551" t="n"/>
      <c r="K580" s="140" t="inlineStr">
        <is>
          <t>(1ml/盒)</t>
        </is>
      </c>
      <c r="L580" s="560" t="n">
        <v>35</v>
      </c>
      <c r="M580" s="123" t="n"/>
      <c r="N580" s="117" t="n"/>
    </row>
    <row r="581" ht="17.25" customHeight="1" s="453" thickBot="1">
      <c r="A581" s="553">
        <f>IFERROR(LEFT(B581,7),"")</f>
        <v/>
      </c>
      <c r="B581" s="554">
        <f>"2025/10"&amp;D581</f>
        <v/>
      </c>
      <c r="C581" s="559" t="n">
        <v>26</v>
      </c>
      <c r="D581" s="484" t="inlineStr">
        <is>
          <t>站前4樓</t>
        </is>
      </c>
      <c r="E581" s="484" t="inlineStr">
        <is>
          <t>6160008</t>
        </is>
      </c>
      <c r="F581" s="551" t="n"/>
      <c r="G581" s="484" t="inlineStr">
        <is>
          <t>白童針-薇貝拉50mg/1cc</t>
        </is>
      </c>
      <c r="H581" s="552" t="n"/>
      <c r="I581" s="552" t="n"/>
      <c r="J581" s="551" t="n"/>
      <c r="K581" s="140" t="inlineStr">
        <is>
          <t>6cc/瓶</t>
        </is>
      </c>
      <c r="L581" s="560" t="n">
        <v>221</v>
      </c>
      <c r="M581" s="123" t="n"/>
      <c r="N581" s="117" t="n"/>
    </row>
    <row r="582" ht="17.25" customHeight="1" s="453" thickBot="1">
      <c r="A582" s="553">
        <f>IFERROR(LEFT(B582,7),"")</f>
        <v/>
      </c>
      <c r="B582" s="554">
        <f>"2025/10"&amp;D582</f>
        <v/>
      </c>
      <c r="C582" s="559" t="n">
        <v>27</v>
      </c>
      <c r="D582" s="484" t="inlineStr">
        <is>
          <t>站前4樓</t>
        </is>
      </c>
      <c r="E582" s="484" t="inlineStr">
        <is>
          <t>6160009</t>
        </is>
      </c>
      <c r="F582" s="551" t="n"/>
      <c r="G582" s="484" t="inlineStr">
        <is>
          <t>黑童針-薇貝拉200mg/1cc</t>
        </is>
      </c>
      <c r="H582" s="552" t="n"/>
      <c r="I582" s="552" t="n"/>
      <c r="J582" s="551" t="n"/>
      <c r="K582" s="140" t="inlineStr">
        <is>
          <t>8cc/瓶</t>
        </is>
      </c>
      <c r="L582" s="560" t="n">
        <v>67</v>
      </c>
      <c r="M582" s="123" t="n"/>
      <c r="N582" s="117" t="n"/>
    </row>
    <row r="583" ht="17.25" customHeight="1" s="453" thickBot="1">
      <c r="A583" s="553">
        <f>IFERROR(LEFT(B583,7),"")</f>
        <v/>
      </c>
      <c r="B583" s="554">
        <f>"2025/10"&amp;D583</f>
        <v/>
      </c>
      <c r="C583" s="559" t="n">
        <v>28</v>
      </c>
      <c r="D583" s="484" t="inlineStr">
        <is>
          <t>站前4樓</t>
        </is>
      </c>
      <c r="E583" s="484" t="inlineStr">
        <is>
          <t>6160010</t>
        </is>
      </c>
      <c r="F583" s="551" t="n"/>
      <c r="G583" s="484" t="inlineStr">
        <is>
          <t>喬雅露-大分子200mg/1cc</t>
        </is>
      </c>
      <c r="H583" s="552" t="n"/>
      <c r="I583" s="552" t="n"/>
      <c r="J583" s="551" t="n"/>
      <c r="K583" s="140" t="inlineStr">
        <is>
          <t>8cc/瓶</t>
        </is>
      </c>
      <c r="L583" s="560" t="n">
        <v>19</v>
      </c>
      <c r="M583" s="123" t="n"/>
      <c r="N583" s="117" t="n"/>
    </row>
    <row r="584" ht="17.25" customHeight="1" s="453" thickBot="1">
      <c r="A584" s="553">
        <f>IFERROR(LEFT(B584,7),"")</f>
        <v/>
      </c>
      <c r="B584" s="554">
        <f>"2025/10"&amp;D584</f>
        <v/>
      </c>
      <c r="C584" s="559" t="n">
        <v>29</v>
      </c>
      <c r="D584" s="484" t="inlineStr">
        <is>
          <t>站前4樓</t>
        </is>
      </c>
      <c r="E584" s="484" t="inlineStr">
        <is>
          <t>6160011</t>
        </is>
      </c>
      <c r="F584" s="551" t="n"/>
      <c r="G584" s="484" t="inlineStr">
        <is>
          <t>喬雅露-小分子50mg/1cc</t>
        </is>
      </c>
      <c r="H584" s="552" t="n"/>
      <c r="I584" s="552" t="n"/>
      <c r="J584" s="551" t="n"/>
      <c r="K584" s="140" t="inlineStr">
        <is>
          <t>6cc/瓶</t>
        </is>
      </c>
      <c r="L584" s="560" t="n">
        <v>74</v>
      </c>
      <c r="M584" s="123" t="n"/>
      <c r="N584" s="117" t="n"/>
    </row>
    <row r="585" ht="17.25" customHeight="1" s="453" thickBot="1">
      <c r="A585" s="553">
        <f>IFERROR(LEFT(B585,7),"")</f>
        <v/>
      </c>
      <c r="B585" s="554">
        <f>"2025/10"&amp;D585</f>
        <v/>
      </c>
      <c r="C585" s="559" t="n">
        <v>30</v>
      </c>
      <c r="D585" s="484" t="inlineStr">
        <is>
          <t>站前4樓</t>
        </is>
      </c>
      <c r="E585" s="484" t="inlineStr">
        <is>
          <t>6170005</t>
        </is>
      </c>
      <c r="F585" s="551" t="n"/>
      <c r="G585" s="484" t="inlineStr">
        <is>
          <t>海芙三代音波探頭2mm/ 條</t>
        </is>
      </c>
      <c r="H585" s="552" t="n"/>
      <c r="I585" s="552" t="n"/>
      <c r="J585" s="551" t="n"/>
      <c r="K585" s="140" t="inlineStr">
        <is>
          <t>20000條/顆</t>
        </is>
      </c>
      <c r="L585" s="560" t="n">
        <v>14427</v>
      </c>
      <c r="M585" s="123" t="n"/>
      <c r="N585" s="117" t="n"/>
    </row>
    <row r="586" ht="17.25" customHeight="1" s="453" thickBot="1">
      <c r="A586" s="553">
        <f>IFERROR(LEFT(B586,7),"")</f>
        <v/>
      </c>
      <c r="B586" s="554">
        <f>"2025/10"&amp;D586</f>
        <v/>
      </c>
      <c r="C586" s="559" t="n">
        <v>31</v>
      </c>
      <c r="D586" s="484" t="inlineStr">
        <is>
          <t>站前4樓</t>
        </is>
      </c>
      <c r="E586" s="484" t="inlineStr">
        <is>
          <t>6170007</t>
        </is>
      </c>
      <c r="F586" s="551" t="n"/>
      <c r="G586" s="484" t="inlineStr">
        <is>
          <t>海芙三代音波探頭3mm/ 條</t>
        </is>
      </c>
      <c r="H586" s="552" t="n"/>
      <c r="I586" s="552" t="n"/>
      <c r="J586" s="551" t="n"/>
      <c r="K586" s="140" t="inlineStr">
        <is>
          <t>20000條/顆</t>
        </is>
      </c>
      <c r="L586" s="560" t="n">
        <v>23112</v>
      </c>
      <c r="M586" s="123" t="n"/>
      <c r="N586" s="117" t="n"/>
    </row>
    <row r="587" ht="17.25" customHeight="1" s="453" thickBot="1">
      <c r="A587" s="553">
        <f>IFERROR(LEFT(B587,7),"")</f>
        <v/>
      </c>
      <c r="B587" s="554">
        <f>"2025/10"&amp;D587</f>
        <v/>
      </c>
      <c r="C587" s="559" t="n">
        <v>32</v>
      </c>
      <c r="D587" s="484" t="inlineStr">
        <is>
          <t>站前4樓</t>
        </is>
      </c>
      <c r="E587" s="484" t="inlineStr">
        <is>
          <t>6170009</t>
        </is>
      </c>
      <c r="F587" s="551" t="n"/>
      <c r="G587" s="484" t="inlineStr">
        <is>
          <t>海芙三代音波探頭4.5mm/ 條</t>
        </is>
      </c>
      <c r="H587" s="552" t="n"/>
      <c r="I587" s="552" t="n"/>
      <c r="J587" s="551" t="n"/>
      <c r="K587" s="140" t="inlineStr">
        <is>
          <t>20000條/顆</t>
        </is>
      </c>
      <c r="L587" s="560" t="n">
        <v>44631</v>
      </c>
      <c r="M587" s="123" t="n"/>
      <c r="N587" s="117" t="n"/>
    </row>
    <row r="588" ht="17.25" customHeight="1" s="453" thickBot="1">
      <c r="A588" s="553">
        <f>IFERROR(LEFT(B588,7),"")</f>
        <v/>
      </c>
      <c r="B588" s="554">
        <f>"2025/10"&amp;D588</f>
        <v/>
      </c>
      <c r="C588" s="559" t="n">
        <v>33</v>
      </c>
      <c r="D588" s="484" t="inlineStr">
        <is>
          <t>站前4樓</t>
        </is>
      </c>
      <c r="E588" s="484" t="inlineStr">
        <is>
          <t>6170011</t>
        </is>
      </c>
      <c r="F588" s="551" t="n"/>
      <c r="G588" s="484" t="inlineStr">
        <is>
          <t>海芙三代音波探頭6mm/ 條</t>
        </is>
      </c>
      <c r="H588" s="552" t="n"/>
      <c r="I588" s="552" t="n"/>
      <c r="J588" s="551" t="n"/>
      <c r="K588" s="140" t="inlineStr">
        <is>
          <t>條</t>
        </is>
      </c>
      <c r="L588" s="560" t="n">
        <v>11785</v>
      </c>
      <c r="M588" s="123" t="n"/>
      <c r="N588" s="117" t="n"/>
    </row>
    <row r="589" ht="17.25" customHeight="1" s="453" thickBot="1">
      <c r="A589" s="553">
        <f>IFERROR(LEFT(B589,7),"")</f>
        <v/>
      </c>
      <c r="B589" s="554">
        <f>"2025/10"&amp;D589</f>
        <v/>
      </c>
      <c r="C589" s="559" t="n">
        <v>34</v>
      </c>
      <c r="D589" s="484" t="inlineStr">
        <is>
          <t>站前4樓</t>
        </is>
      </c>
      <c r="E589" s="484" t="inlineStr">
        <is>
          <t>6170019</t>
        </is>
      </c>
      <c r="F589" s="551" t="n"/>
      <c r="G589" s="484" t="inlineStr">
        <is>
          <t>媚必提直線探頭2.0mm/條</t>
        </is>
      </c>
      <c r="H589" s="552" t="n"/>
      <c r="I589" s="552" t="n"/>
      <c r="J589" s="551" t="n"/>
      <c r="K589" s="140" t="inlineStr">
        <is>
          <t>20000條/顆</t>
        </is>
      </c>
      <c r="L589" s="560" t="n">
        <v>4343</v>
      </c>
      <c r="M589" s="123" t="n"/>
      <c r="N589" s="117" t="n"/>
    </row>
    <row r="590" ht="17.25" customHeight="1" s="453" thickBot="1">
      <c r="A590" s="553">
        <f>IFERROR(LEFT(B590,7),"")</f>
        <v/>
      </c>
      <c r="B590" s="554">
        <f>"2025/10"&amp;D590</f>
        <v/>
      </c>
      <c r="C590" s="559" t="n">
        <v>35</v>
      </c>
      <c r="D590" s="484" t="inlineStr">
        <is>
          <t>站前4樓</t>
        </is>
      </c>
      <c r="E590" s="484" t="inlineStr">
        <is>
          <t>6170020</t>
        </is>
      </c>
      <c r="F590" s="551" t="n"/>
      <c r="G590" s="484" t="inlineStr">
        <is>
          <t>媚必提直線探頭3.0mm/條</t>
        </is>
      </c>
      <c r="H590" s="552" t="n"/>
      <c r="I590" s="552" t="n"/>
      <c r="J590" s="551" t="n"/>
      <c r="K590" s="140" t="inlineStr">
        <is>
          <t>20000條/顆</t>
        </is>
      </c>
      <c r="L590" s="560" t="n">
        <v>8851</v>
      </c>
      <c r="M590" s="123" t="n"/>
      <c r="N590" s="117" t="n"/>
    </row>
    <row r="591" ht="17.25" customHeight="1" s="453" thickBot="1">
      <c r="A591" s="553">
        <f>IFERROR(LEFT(B591,7),"")</f>
        <v/>
      </c>
      <c r="B591" s="554">
        <f>"2025/10"&amp;D591</f>
        <v/>
      </c>
      <c r="C591" s="559" t="n">
        <v>36</v>
      </c>
      <c r="D591" s="484" t="inlineStr">
        <is>
          <t>站前4樓</t>
        </is>
      </c>
      <c r="E591" s="484" t="inlineStr">
        <is>
          <t>6170021</t>
        </is>
      </c>
      <c r="F591" s="551" t="n"/>
      <c r="G591" s="484" t="inlineStr">
        <is>
          <t>媚必提直線探頭4.5mm/條</t>
        </is>
      </c>
      <c r="H591" s="552" t="n"/>
      <c r="I591" s="552" t="n"/>
      <c r="J591" s="551" t="n"/>
      <c r="K591" s="140" t="inlineStr">
        <is>
          <t>20000條/顆</t>
        </is>
      </c>
      <c r="L591" s="560" t="n">
        <v>17271</v>
      </c>
      <c r="M591" s="123" t="n"/>
      <c r="N591" s="117" t="n"/>
    </row>
    <row r="592" ht="17.25" customHeight="1" s="453" thickBot="1">
      <c r="A592" s="553">
        <f>IFERROR(LEFT(B592,7),"")</f>
        <v/>
      </c>
      <c r="B592" s="554">
        <f>"2025/10"&amp;D592</f>
        <v/>
      </c>
      <c r="C592" s="559" t="n">
        <v>37</v>
      </c>
      <c r="D592" s="484" t="inlineStr">
        <is>
          <t>站前4樓</t>
        </is>
      </c>
      <c r="E592" s="484" t="inlineStr">
        <is>
          <t>6170022</t>
        </is>
      </c>
      <c r="F592" s="551" t="n"/>
      <c r="G592" s="484" t="inlineStr">
        <is>
          <t>媚必提直線探頭6.0mm/條</t>
        </is>
      </c>
      <c r="H592" s="552" t="n"/>
      <c r="I592" s="552" t="n"/>
      <c r="J592" s="551" t="n"/>
      <c r="K592" s="140" t="inlineStr">
        <is>
          <t>20000條/顆</t>
        </is>
      </c>
      <c r="L592" s="560" t="n">
        <v>6688</v>
      </c>
      <c r="M592" s="123" t="n"/>
      <c r="N592" s="117" t="n"/>
    </row>
    <row r="593" ht="17.25" customHeight="1" s="453" thickBot="1">
      <c r="A593" s="553">
        <f>IFERROR(LEFT(B593,7),"")</f>
        <v/>
      </c>
      <c r="B593" s="554">
        <f>"2025/10"&amp;D593</f>
        <v/>
      </c>
      <c r="C593" s="559" t="n">
        <v>38</v>
      </c>
      <c r="D593" s="484" t="inlineStr">
        <is>
          <t>站前4樓</t>
        </is>
      </c>
      <c r="E593" s="484" t="inlineStr">
        <is>
          <t>6170028</t>
        </is>
      </c>
      <c r="F593" s="551" t="n"/>
      <c r="G593" s="484" t="inlineStr">
        <is>
          <t>海芙電波探頭0.25cm/發</t>
        </is>
      </c>
      <c r="H593" s="552" t="n"/>
      <c r="I593" s="552" t="n"/>
      <c r="J593" s="551" t="n"/>
      <c r="K593" s="140" t="inlineStr">
        <is>
          <t>6000發/顆</t>
        </is>
      </c>
      <c r="L593" s="560" t="n">
        <v>6151</v>
      </c>
      <c r="M593" s="123" t="n"/>
      <c r="N593" s="117" t="n"/>
    </row>
    <row r="594" ht="17.25" customHeight="1" s="453" thickBot="1">
      <c r="A594" s="553">
        <f>IFERROR(LEFT(B594,7),"")</f>
        <v/>
      </c>
      <c r="B594" s="554">
        <f>"2025/10"&amp;D594</f>
        <v/>
      </c>
      <c r="C594" s="559" t="n">
        <v>39</v>
      </c>
      <c r="D594" s="484" t="inlineStr">
        <is>
          <t>站前4樓</t>
        </is>
      </c>
      <c r="E594" s="484" t="inlineStr">
        <is>
          <t>6170029</t>
        </is>
      </c>
      <c r="F594" s="551" t="n"/>
      <c r="G594" s="484" t="inlineStr">
        <is>
          <t>海芙電波探頭3.0cm/發</t>
        </is>
      </c>
      <c r="H594" s="552" t="n"/>
      <c r="I594" s="552" t="n"/>
      <c r="J594" s="551" t="n"/>
      <c r="K594" s="140" t="inlineStr">
        <is>
          <t>4000發/顆</t>
        </is>
      </c>
      <c r="L594" s="560" t="n">
        <v>17151</v>
      </c>
      <c r="M594" s="123" t="n"/>
      <c r="N594" s="117" t="n"/>
    </row>
    <row r="595" ht="17.25" customHeight="1" s="453" thickBot="1">
      <c r="A595" s="553">
        <f>IFERROR(LEFT(B595,7),"")</f>
        <v/>
      </c>
      <c r="B595" s="554">
        <f>"2025/10"&amp;D595</f>
        <v/>
      </c>
      <c r="C595" s="559" t="n">
        <v>40</v>
      </c>
      <c r="D595" s="484" t="inlineStr">
        <is>
          <t>站前4樓</t>
        </is>
      </c>
      <c r="E595" s="484" t="inlineStr">
        <is>
          <t>6170032</t>
        </is>
      </c>
      <c r="F595" s="551" t="n"/>
      <c r="G595" s="484" t="inlineStr">
        <is>
          <t>立特拉A2筆型探頭3.0mm/ 條</t>
        </is>
      </c>
      <c r="H595" s="552" t="n"/>
      <c r="I595" s="552" t="n"/>
      <c r="J595" s="551" t="n"/>
      <c r="K595" s="140" t="inlineStr">
        <is>
          <t>240000條/顆</t>
        </is>
      </c>
      <c r="L595" s="560" t="n">
        <v>243501</v>
      </c>
      <c r="M595" s="123" t="n"/>
      <c r="N595" s="117" t="n"/>
    </row>
    <row r="596" ht="17.25" customHeight="1" s="453" thickBot="1">
      <c r="A596" s="553">
        <f>IFERROR(LEFT(B596,7),"")</f>
        <v/>
      </c>
      <c r="B596" s="554">
        <f>"2025/10"&amp;D596</f>
        <v/>
      </c>
      <c r="C596" s="559" t="n">
        <v>41</v>
      </c>
      <c r="D596" s="484" t="inlineStr">
        <is>
          <t>站前4樓</t>
        </is>
      </c>
      <c r="E596" s="484" t="inlineStr">
        <is>
          <t>6170033</t>
        </is>
      </c>
      <c r="F596" s="551" t="n"/>
      <c r="G596" s="484" t="inlineStr">
        <is>
          <t>立特拉A2筆型探頭4.5mm/ 條</t>
        </is>
      </c>
      <c r="H596" s="552" t="n"/>
      <c r="I596" s="552" t="n"/>
      <c r="J596" s="551" t="n"/>
      <c r="K596" s="140" t="inlineStr">
        <is>
          <t>240000條/顆</t>
        </is>
      </c>
      <c r="L596" s="560" t="n">
        <v>72200</v>
      </c>
      <c r="M596" s="123" t="n"/>
      <c r="N596" s="117" t="n"/>
    </row>
    <row r="597" ht="17.25" customHeight="1" s="453" thickBot="1">
      <c r="A597" s="553">
        <f>IFERROR(LEFT(B597,7),"")</f>
        <v/>
      </c>
      <c r="B597" s="554">
        <f>"2025/10"&amp;D597</f>
        <v/>
      </c>
      <c r="C597" s="559" t="n">
        <v>42</v>
      </c>
      <c r="D597" s="484" t="inlineStr">
        <is>
          <t>站前4樓</t>
        </is>
      </c>
      <c r="E597" s="484" t="inlineStr">
        <is>
          <t>6170034</t>
        </is>
      </c>
      <c r="F597" s="551" t="n"/>
      <c r="G597" s="484" t="inlineStr">
        <is>
          <t>十蓓電波臉部探頭5cm</t>
        </is>
      </c>
      <c r="H597" s="552" t="n"/>
      <c r="I597" s="552" t="n"/>
      <c r="J597" s="551" t="n"/>
      <c r="K597" s="140" t="inlineStr">
        <is>
          <t>900發/顆</t>
        </is>
      </c>
      <c r="L597" s="560" t="n">
        <v>15700</v>
      </c>
      <c r="M597" s="123" t="n"/>
      <c r="N597" s="117" t="n"/>
    </row>
    <row r="598" ht="17.25" customHeight="1" s="453" thickBot="1">
      <c r="A598" s="553">
        <f>IFERROR(LEFT(B598,7),"")</f>
        <v/>
      </c>
      <c r="B598" s="554">
        <f>"2025/10"&amp;D598</f>
        <v/>
      </c>
      <c r="C598" s="559" t="n">
        <v>43</v>
      </c>
      <c r="D598" s="484" t="inlineStr">
        <is>
          <t>站前4樓</t>
        </is>
      </c>
      <c r="E598" s="484" t="inlineStr">
        <is>
          <t>6170035</t>
        </is>
      </c>
      <c r="F598" s="551" t="n"/>
      <c r="G598" s="484" t="inlineStr">
        <is>
          <t>十蓓電波眼部探頭0.25cm</t>
        </is>
      </c>
      <c r="H598" s="552" t="n"/>
      <c r="I598" s="552" t="n"/>
      <c r="J598" s="551" t="n"/>
      <c r="K598" s="140" t="inlineStr">
        <is>
          <t>600發/顆</t>
        </is>
      </c>
      <c r="L598" s="560" t="n">
        <v>5000</v>
      </c>
      <c r="M598" s="123" t="n"/>
      <c r="N598" s="117" t="n"/>
    </row>
    <row r="599" ht="17.25" customHeight="1" s="453" thickBot="1">
      <c r="A599" s="553">
        <f>IFERROR(LEFT(B599,7),"")</f>
        <v/>
      </c>
      <c r="B599" s="554">
        <f>"2025/10"&amp;D599</f>
        <v/>
      </c>
      <c r="C599" s="559" t="n">
        <v>44</v>
      </c>
      <c r="D599" s="484" t="inlineStr">
        <is>
          <t>站前4樓</t>
        </is>
      </c>
      <c r="E599" s="484" t="inlineStr">
        <is>
          <t>6180005</t>
        </is>
      </c>
      <c r="F599" s="551" t="n"/>
      <c r="G599" s="484" t="inlineStr">
        <is>
          <t>(V)MINT秘特拉提線FINE 18CM/ 條</t>
        </is>
      </c>
      <c r="H599" s="552" t="n"/>
      <c r="I599" s="552" t="n"/>
      <c r="J599" s="551" t="n"/>
      <c r="K599" s="140" t="inlineStr">
        <is>
          <t>20條/盒</t>
        </is>
      </c>
      <c r="L599" s="560" t="n">
        <v>8</v>
      </c>
      <c r="M599" s="123" t="n"/>
      <c r="N599" s="117" t="n"/>
    </row>
    <row r="600" ht="17.25" customHeight="1" s="453" thickBot="1">
      <c r="A600" s="553">
        <f>IFERROR(LEFT(B600,7),"")</f>
        <v/>
      </c>
      <c r="B600" s="554">
        <f>"2025/10"&amp;D600</f>
        <v/>
      </c>
      <c r="C600" s="559" t="n">
        <v>45</v>
      </c>
      <c r="D600" s="484" t="inlineStr">
        <is>
          <t>站前4樓</t>
        </is>
      </c>
      <c r="E600" s="484" t="inlineStr">
        <is>
          <t>6180009</t>
        </is>
      </c>
      <c r="F600" s="551" t="n"/>
      <c r="G600" s="484" t="inlineStr">
        <is>
          <t>(V)MINT秘特拉提線TIP 4CM/ 條</t>
        </is>
      </c>
      <c r="H600" s="552" t="n"/>
      <c r="I600" s="552" t="n"/>
      <c r="J600" s="551" t="n"/>
      <c r="K600" s="140" t="inlineStr">
        <is>
          <t>10條/盒</t>
        </is>
      </c>
      <c r="L600" s="560" t="n">
        <v>4</v>
      </c>
      <c r="M600" s="123" t="n"/>
      <c r="N600" s="117" t="n"/>
    </row>
    <row r="601" ht="17.25" customHeight="1" s="453" thickBot="1">
      <c r="A601" s="553">
        <f>IFERROR(LEFT(B601,7),"")</f>
        <v/>
      </c>
      <c r="B601" s="554">
        <f>"2025/10"&amp;D601</f>
        <v/>
      </c>
      <c r="C601" s="559" t="n">
        <v>46</v>
      </c>
      <c r="D601" s="484" t="inlineStr">
        <is>
          <t>站前4樓</t>
        </is>
      </c>
      <c r="E601" s="484" t="inlineStr">
        <is>
          <t>6180011</t>
        </is>
      </c>
      <c r="F601" s="551" t="n"/>
      <c r="G601" s="484" t="inlineStr">
        <is>
          <t>(V)MINT秘特拉提線UP 9.5CM/ 條</t>
        </is>
      </c>
      <c r="H601" s="552" t="n"/>
      <c r="I601" s="552" t="n"/>
      <c r="J601" s="551" t="n"/>
      <c r="K601" s="140" t="inlineStr">
        <is>
          <t>10條/盒</t>
        </is>
      </c>
      <c r="L601" s="560" t="n">
        <v>20</v>
      </c>
      <c r="M601" s="123" t="n"/>
      <c r="N601" s="117" t="n"/>
    </row>
    <row r="602" ht="17.25" customHeight="1" s="453" thickBot="1">
      <c r="A602" s="553">
        <f>IFERROR(LEFT(B602,7),"")</f>
        <v/>
      </c>
      <c r="B602" s="554">
        <f>"2025/10"&amp;D602</f>
        <v/>
      </c>
      <c r="C602" s="559" t="n">
        <v>47</v>
      </c>
      <c r="D602" s="484" t="inlineStr">
        <is>
          <t>站前4樓</t>
        </is>
      </c>
      <c r="E602" s="484" t="inlineStr">
        <is>
          <t>6190001</t>
        </is>
      </c>
      <c r="F602" s="551" t="n"/>
      <c r="G602" s="484" t="inlineStr">
        <is>
          <t>PLT生長因子凍晶製備/ 瓶</t>
        </is>
      </c>
      <c r="H602" s="552" t="n"/>
      <c r="I602" s="552" t="n"/>
      <c r="J602" s="551" t="n"/>
      <c r="K602" s="140" t="inlineStr">
        <is>
          <t>瓶</t>
        </is>
      </c>
      <c r="L602" s="560" t="n">
        <v>7</v>
      </c>
      <c r="M602" s="123" t="n"/>
      <c r="N602" s="117" t="n"/>
    </row>
    <row r="603" ht="17.25" customHeight="1" s="453" thickBot="1">
      <c r="A603" s="553">
        <f>IFERROR(LEFT(B603,7),"")</f>
        <v/>
      </c>
      <c r="B603" s="554">
        <f>"2025/10"&amp;D603</f>
        <v/>
      </c>
      <c r="C603" s="559" t="n">
        <v>48</v>
      </c>
      <c r="D603" s="484" t="inlineStr">
        <is>
          <t>站前4樓</t>
        </is>
      </c>
      <c r="E603" s="484" t="inlineStr">
        <is>
          <t>6190003</t>
        </is>
      </c>
      <c r="F603" s="551" t="n"/>
      <c r="G603" s="484" t="inlineStr">
        <is>
          <t>PLT生長因子凍晶製備10入(單瓶)</t>
        </is>
      </c>
      <c r="H603" s="552" t="n"/>
      <c r="I603" s="552" t="n"/>
      <c r="J603" s="551" t="n"/>
      <c r="K603" s="140" t="inlineStr">
        <is>
          <t>瓶(10入/組)</t>
        </is>
      </c>
      <c r="L603" s="560" t="n">
        <v>9</v>
      </c>
      <c r="M603" s="123" t="n"/>
      <c r="N603" s="117" t="n"/>
    </row>
    <row r="604" ht="17.25" customHeight="1" s="453" thickBot="1">
      <c r="A604" s="553">
        <f>IFERROR(LEFT(B604,7),"")</f>
        <v/>
      </c>
      <c r="B604" s="554">
        <f>"2025/10"&amp;D604</f>
        <v/>
      </c>
      <c r="C604" s="559" t="n">
        <v>49</v>
      </c>
      <c r="D604" s="484" t="inlineStr">
        <is>
          <t>站前4樓</t>
        </is>
      </c>
      <c r="E604" s="484" t="inlineStr">
        <is>
          <t>6190004</t>
        </is>
      </c>
      <c r="F604" s="551" t="n"/>
      <c r="G604" s="484" t="inlineStr">
        <is>
          <t>PLT生長因子凍晶製備20入(單瓶)</t>
        </is>
      </c>
      <c r="H604" s="552" t="n"/>
      <c r="I604" s="552" t="n"/>
      <c r="J604" s="551" t="n"/>
      <c r="K604" s="140" t="inlineStr">
        <is>
          <t>瓶(20入/組)</t>
        </is>
      </c>
      <c r="L604" s="560" t="n">
        <v>15</v>
      </c>
      <c r="M604" s="123" t="n"/>
      <c r="N604" s="117" t="n"/>
    </row>
    <row r="605" ht="17.25" customHeight="1" s="453" thickBot="1">
      <c r="A605" s="553">
        <f>IFERROR(LEFT(B605,7),"")</f>
        <v/>
      </c>
      <c r="B605" s="554">
        <f>"2025/10"&amp;D605</f>
        <v/>
      </c>
      <c r="C605" s="559" t="n">
        <v>50</v>
      </c>
      <c r="D605" s="484" t="inlineStr">
        <is>
          <t>站前4樓</t>
        </is>
      </c>
      <c r="E605" s="484" t="inlineStr">
        <is>
          <t>6200003</t>
        </is>
      </c>
      <c r="F605" s="551" t="n"/>
      <c r="G605" s="484" t="inlineStr">
        <is>
          <t>(V)倍克脂Belkyra/ 瓶</t>
        </is>
      </c>
      <c r="H605" s="552" t="n"/>
      <c r="I605" s="552" t="n"/>
      <c r="J605" s="551" t="n"/>
      <c r="K605" s="140" t="inlineStr">
        <is>
          <t>5瓶/盒</t>
        </is>
      </c>
      <c r="L605" s="560" t="n">
        <v>3</v>
      </c>
      <c r="M605" s="123" t="n"/>
      <c r="N605" s="117" t="n"/>
    </row>
    <row r="606" ht="17.25" customHeight="1" s="453" thickBot="1">
      <c r="A606" s="553">
        <f>IFERROR(LEFT(B606,7),"")</f>
        <v/>
      </c>
      <c r="B606" s="554">
        <f>"2025/10"&amp;D606</f>
        <v/>
      </c>
      <c r="C606" s="559" t="n">
        <v>51</v>
      </c>
      <c r="D606" s="484" t="inlineStr">
        <is>
          <t>站前4樓</t>
        </is>
      </c>
      <c r="E606" s="484" t="inlineStr">
        <is>
          <t>6200006</t>
        </is>
      </c>
      <c r="F606" s="551" t="n"/>
      <c r="G606" s="484" t="inlineStr">
        <is>
          <t>(V)容脂/ 瓶</t>
        </is>
      </c>
      <c r="H606" s="552" t="n"/>
      <c r="I606" s="552" t="n"/>
      <c r="J606" s="551" t="n"/>
      <c r="K606" s="140" t="inlineStr">
        <is>
          <t>5瓶/盒</t>
        </is>
      </c>
      <c r="L606" s="560" t="n">
        <v>1</v>
      </c>
      <c r="M606" s="123" t="n"/>
      <c r="N606" s="117" t="n"/>
    </row>
    <row r="607" ht="17.25" customHeight="1" s="453" thickBot="1">
      <c r="A607" s="553">
        <f>IFERROR(LEFT(B607,7),"")</f>
        <v/>
      </c>
      <c r="B607" s="554">
        <f>"2025/10"&amp;D607</f>
        <v/>
      </c>
      <c r="C607" s="559" t="n">
        <v>52</v>
      </c>
      <c r="D607" s="484" t="inlineStr">
        <is>
          <t>站前4樓</t>
        </is>
      </c>
      <c r="E607" s="484" t="inlineStr">
        <is>
          <t>6210001</t>
        </is>
      </c>
      <c r="F607" s="551" t="n"/>
      <c r="G607" s="484" t="inlineStr">
        <is>
          <t>(V)水光針針頭/31G9針/1.0mm/ PCS</t>
        </is>
      </c>
      <c r="H607" s="552" t="n"/>
      <c r="I607" s="552" t="n"/>
      <c r="J607" s="551" t="n"/>
      <c r="K607" s="140" t="inlineStr">
        <is>
          <t>PCS(20入/盒)</t>
        </is>
      </c>
      <c r="L607" s="560" t="n">
        <v>2</v>
      </c>
      <c r="M607" s="123" t="n"/>
      <c r="N607" s="117" t="n"/>
    </row>
    <row r="608" ht="17.25" customHeight="1" s="453" thickBot="1">
      <c r="A608" s="553">
        <f>IFERROR(LEFT(B608,7),"")</f>
        <v/>
      </c>
      <c r="B608" s="554">
        <f>"2025/10"&amp;D608</f>
        <v/>
      </c>
      <c r="C608" s="559" t="n">
        <v>53</v>
      </c>
      <c r="D608" s="484" t="inlineStr">
        <is>
          <t>站前4樓</t>
        </is>
      </c>
      <c r="E608" s="484" t="inlineStr">
        <is>
          <t>6210002</t>
        </is>
      </c>
      <c r="F608" s="551" t="n"/>
      <c r="G608" s="484" t="inlineStr">
        <is>
          <t>(V)水光針針頭/31G9針/1.2mm/ PCS</t>
        </is>
      </c>
      <c r="H608" s="552" t="n"/>
      <c r="I608" s="552" t="n"/>
      <c r="J608" s="551" t="n"/>
      <c r="K608" s="140" t="inlineStr">
        <is>
          <t>PCS(20入/盒)</t>
        </is>
      </c>
      <c r="L608" s="560" t="n">
        <v>76</v>
      </c>
      <c r="M608" s="123" t="n"/>
      <c r="N608" s="117" t="n"/>
    </row>
    <row r="609" ht="17.25" customHeight="1" s="453" thickBot="1">
      <c r="A609" s="553">
        <f>IFERROR(LEFT(B609,7),"")</f>
        <v/>
      </c>
      <c r="B609" s="554">
        <f>"2025/10"&amp;D609</f>
        <v/>
      </c>
      <c r="C609" s="559" t="n">
        <v>54</v>
      </c>
      <c r="D609" s="484" t="inlineStr">
        <is>
          <t>站前4樓</t>
        </is>
      </c>
      <c r="E609" s="484" t="inlineStr">
        <is>
          <t>6210003</t>
        </is>
      </c>
      <c r="F609" s="551" t="n"/>
      <c r="G609" s="484" t="inlineStr">
        <is>
          <t>(V)水光針針頭/31G9針/1.5mm/ PCS</t>
        </is>
      </c>
      <c r="H609" s="552" t="n"/>
      <c r="I609" s="552" t="n"/>
      <c r="J609" s="551" t="n"/>
      <c r="K609" s="140" t="inlineStr">
        <is>
          <t>PCS(20入/盒)</t>
        </is>
      </c>
      <c r="L609" s="560" t="n">
        <v>18</v>
      </c>
      <c r="M609" s="123" t="n"/>
      <c r="N609" s="117" t="n"/>
    </row>
    <row r="610" ht="17.25" customHeight="1" s="453" thickBot="1">
      <c r="A610" s="553">
        <f>IFERROR(LEFT(B610,7),"")</f>
        <v/>
      </c>
      <c r="B610" s="554">
        <f>"2025/10"&amp;D610</f>
        <v/>
      </c>
      <c r="C610" s="559" t="n">
        <v>55</v>
      </c>
      <c r="D610" s="484" t="inlineStr">
        <is>
          <t>站前4樓</t>
        </is>
      </c>
      <c r="E610" s="484" t="inlineStr">
        <is>
          <t>6210005</t>
        </is>
      </c>
      <c r="F610" s="551" t="n"/>
      <c r="G610" s="484" t="inlineStr">
        <is>
          <t>(V)水光針針頭/32G9針/1.0mm/ PCS</t>
        </is>
      </c>
      <c r="H610" s="552" t="n"/>
      <c r="I610" s="552" t="n"/>
      <c r="J610" s="551" t="n"/>
      <c r="K610" s="140" t="inlineStr">
        <is>
          <t>PCS(20入/盒)</t>
        </is>
      </c>
      <c r="L610" s="560" t="n">
        <v>4</v>
      </c>
      <c r="M610" s="123" t="n"/>
      <c r="N610" s="117" t="n"/>
    </row>
    <row r="611" ht="17.25" customHeight="1" s="453" thickBot="1">
      <c r="A611" s="553">
        <f>IFERROR(LEFT(B611,7),"")</f>
        <v/>
      </c>
      <c r="B611" s="554">
        <f>"2025/10"&amp;D611</f>
        <v/>
      </c>
      <c r="C611" s="559" t="n">
        <v>56</v>
      </c>
      <c r="D611" s="484" t="inlineStr">
        <is>
          <t>站前4樓</t>
        </is>
      </c>
      <c r="E611" s="484" t="inlineStr">
        <is>
          <t>6210006</t>
        </is>
      </c>
      <c r="F611" s="551" t="n"/>
      <c r="G611" s="484" t="inlineStr">
        <is>
          <t>(V)麗珠蘭修復水光(A劑2ml+B劑2ml)</t>
        </is>
      </c>
      <c r="H611" s="552" t="n"/>
      <c r="I611" s="552" t="n"/>
      <c r="J611" s="551" t="n"/>
      <c r="K611" s="140" t="inlineStr">
        <is>
          <t>2ml*2</t>
        </is>
      </c>
      <c r="L611" s="560" t="n">
        <v>6</v>
      </c>
      <c r="M611" s="123" t="n"/>
      <c r="N611" s="117" t="n"/>
    </row>
    <row r="612" ht="17.25" customHeight="1" s="453" thickBot="1">
      <c r="A612" s="553">
        <f>IFERROR(LEFT(B612,7),"")</f>
        <v/>
      </c>
      <c r="B612" s="554">
        <f>"2025/10"&amp;D612</f>
        <v/>
      </c>
      <c r="C612" s="559" t="n">
        <v>57</v>
      </c>
      <c r="D612" s="484" t="inlineStr">
        <is>
          <t>站前4樓</t>
        </is>
      </c>
      <c r="E612" s="484" t="inlineStr">
        <is>
          <t>6210007</t>
        </is>
      </c>
      <c r="F612" s="551" t="n"/>
      <c r="G612" s="484" t="inlineStr">
        <is>
          <t>(V)麗珠蘭白瓷水光(A劑2ml+B劑2ml)</t>
        </is>
      </c>
      <c r="H612" s="552" t="n"/>
      <c r="I612" s="552" t="n"/>
      <c r="J612" s="551" t="n"/>
      <c r="K612" s="140" t="inlineStr">
        <is>
          <t>2ml*2</t>
        </is>
      </c>
      <c r="L612" s="560" t="n">
        <v>8</v>
      </c>
      <c r="M612" s="123" t="n"/>
      <c r="N612" s="117" t="n"/>
    </row>
    <row r="613" ht="17.25" customHeight="1" s="453" thickBot="1">
      <c r="A613" s="553">
        <f>IFERROR(LEFT(B613,7),"")</f>
        <v/>
      </c>
      <c r="B613" s="554">
        <f>"2025/10"&amp;D613</f>
        <v/>
      </c>
      <c r="C613" s="559" t="n">
        <v>58</v>
      </c>
      <c r="D613" s="484" t="inlineStr">
        <is>
          <t>站前4樓</t>
        </is>
      </c>
      <c r="E613" s="484" t="inlineStr">
        <is>
          <t>6220005</t>
        </is>
      </c>
      <c r="F613" s="551" t="n"/>
      <c r="G613" s="484" t="inlineStr">
        <is>
          <t>海菲秀深藍端頭/ 顆</t>
        </is>
      </c>
      <c r="H613" s="552" t="n"/>
      <c r="I613" s="552" t="n"/>
      <c r="J613" s="551" t="n"/>
      <c r="K613" s="140" t="inlineStr">
        <is>
          <t>15顆/串</t>
        </is>
      </c>
      <c r="L613" s="560" t="n">
        <v>672</v>
      </c>
      <c r="M613" s="123" t="n"/>
      <c r="N613" s="117" t="n"/>
    </row>
    <row r="614" ht="17.25" customHeight="1" s="453" thickBot="1">
      <c r="A614" s="553">
        <f>IFERROR(LEFT(B614,7),"")</f>
        <v/>
      </c>
      <c r="B614" s="554">
        <f>"2025/10"&amp;D614</f>
        <v/>
      </c>
      <c r="C614" s="559" t="n">
        <v>59</v>
      </c>
      <c r="D614" s="484" t="inlineStr">
        <is>
          <t>站前4樓</t>
        </is>
      </c>
      <c r="E614" s="484" t="inlineStr">
        <is>
          <t>6220006</t>
        </is>
      </c>
      <c r="F614" s="551" t="n"/>
      <c r="G614" s="484" t="inlineStr">
        <is>
          <t>海菲秀淺藍端頭/ 顆</t>
        </is>
      </c>
      <c r="H614" s="552" t="n"/>
      <c r="I614" s="552" t="n"/>
      <c r="J614" s="551" t="n"/>
      <c r="K614" s="140" t="inlineStr">
        <is>
          <t>15顆/串</t>
        </is>
      </c>
      <c r="L614" s="560" t="n">
        <v>672</v>
      </c>
      <c r="M614" s="123" t="n"/>
      <c r="N614" s="117" t="n"/>
    </row>
    <row r="615" ht="17.25" customHeight="1" s="453" thickBot="1">
      <c r="A615" s="553">
        <f>IFERROR(LEFT(B615,7),"")</f>
        <v/>
      </c>
      <c r="B615" s="554">
        <f>"2025/10"&amp;D615</f>
        <v/>
      </c>
      <c r="C615" s="559" t="n">
        <v>60</v>
      </c>
      <c r="D615" s="484" t="inlineStr">
        <is>
          <t>站前4樓</t>
        </is>
      </c>
      <c r="E615" s="484" t="inlineStr">
        <is>
          <t>6220007</t>
        </is>
      </c>
      <c r="F615" s="551" t="n"/>
      <c r="G615" s="484" t="inlineStr">
        <is>
          <t>海菲秀透明端頭/ 顆</t>
        </is>
      </c>
      <c r="H615" s="552" t="n"/>
      <c r="I615" s="552" t="n"/>
      <c r="J615" s="551" t="n"/>
      <c r="K615" s="140" t="inlineStr">
        <is>
          <t>15顆/串</t>
        </is>
      </c>
      <c r="L615" s="560" t="n">
        <v>672</v>
      </c>
      <c r="M615" s="123" t="n"/>
      <c r="N615" s="117" t="n"/>
    </row>
    <row r="616" ht="17.25" customHeight="1" s="453" thickBot="1">
      <c r="A616" s="553">
        <f>IFERROR(LEFT(B616,7),"")</f>
        <v/>
      </c>
      <c r="B616" s="554">
        <f>"2025/10"&amp;D616</f>
        <v/>
      </c>
      <c r="C616" s="559" t="n">
        <v>61</v>
      </c>
      <c r="D616" s="484" t="inlineStr">
        <is>
          <t>站前4樓</t>
        </is>
      </c>
      <c r="E616" s="484" t="inlineStr">
        <is>
          <t>6220012</t>
        </is>
      </c>
      <c r="F616" s="551" t="n"/>
      <c r="G616" s="484" t="inlineStr">
        <is>
          <t>(V)(第一劑)海菲秀 Activ-4 Skin Solution/mL</t>
        </is>
      </c>
      <c r="H616" s="552" t="n"/>
      <c r="I616" s="552" t="n"/>
      <c r="J616" s="551" t="n"/>
      <c r="K616" s="140" t="inlineStr">
        <is>
          <t>ml</t>
        </is>
      </c>
      <c r="L616" s="560" t="n">
        <v>10080</v>
      </c>
      <c r="M616" s="123" t="n"/>
      <c r="N616" s="117" t="n"/>
    </row>
    <row r="617" ht="17.25" customHeight="1" s="453" thickBot="1">
      <c r="A617" s="553">
        <f>IFERROR(LEFT(B617,7),"")</f>
        <v/>
      </c>
      <c r="B617" s="554">
        <f>"2025/10"&amp;D617</f>
        <v/>
      </c>
      <c r="C617" s="559" t="n">
        <v>62</v>
      </c>
      <c r="D617" s="484" t="inlineStr">
        <is>
          <t>站前4樓</t>
        </is>
      </c>
      <c r="E617" s="484" t="inlineStr">
        <is>
          <t>6220013</t>
        </is>
      </c>
      <c r="F617" s="551" t="n"/>
      <c r="G617" s="484" t="inlineStr">
        <is>
          <t>(V)(第二劑)海菲秀 Beta-HD Skin Solution /mL</t>
        </is>
      </c>
      <c r="H617" s="552" t="n"/>
      <c r="I617" s="552" t="n"/>
      <c r="J617" s="551" t="n"/>
      <c r="K617" s="140" t="inlineStr">
        <is>
          <t>ml</t>
        </is>
      </c>
      <c r="L617" s="560" t="n">
        <v>10080</v>
      </c>
      <c r="M617" s="123" t="n"/>
      <c r="N617" s="117" t="n"/>
    </row>
    <row r="618" ht="17.25" customHeight="1" s="453" thickBot="1">
      <c r="A618" s="553">
        <f>IFERROR(LEFT(B618,7),"")</f>
        <v/>
      </c>
      <c r="B618" s="554">
        <f>"2025/10"&amp;D618</f>
        <v/>
      </c>
      <c r="C618" s="559" t="n">
        <v>63</v>
      </c>
      <c r="D618" s="484" t="inlineStr">
        <is>
          <t>站前4樓</t>
        </is>
      </c>
      <c r="E618" s="484" t="inlineStr">
        <is>
          <t>6220014</t>
        </is>
      </c>
      <c r="F618" s="551" t="n"/>
      <c r="G618" s="484" t="inlineStr">
        <is>
          <t>(V)(第三劑)海菲秀 Antiox-6 Skin Solution /mL</t>
        </is>
      </c>
      <c r="H618" s="552" t="n"/>
      <c r="I618" s="552" t="n"/>
      <c r="J618" s="551" t="n"/>
      <c r="K618" s="140" t="inlineStr">
        <is>
          <t>ml</t>
        </is>
      </c>
      <c r="L618" s="560" t="n">
        <v>10080</v>
      </c>
      <c r="M618" s="123" t="n"/>
      <c r="N618" s="117" t="n"/>
    </row>
    <row r="619" ht="17.25" customHeight="1" s="453" thickBot="1">
      <c r="A619" s="553">
        <f>IFERROR(LEFT(B619,7),"")</f>
        <v/>
      </c>
      <c r="B619" s="554">
        <f>"2025/10"&amp;D619</f>
        <v/>
      </c>
      <c r="C619" s="559" t="n">
        <v>64</v>
      </c>
      <c r="D619" s="484" t="inlineStr">
        <is>
          <t>站前4樓</t>
        </is>
      </c>
      <c r="E619" s="484" t="inlineStr">
        <is>
          <t>6220015</t>
        </is>
      </c>
      <c r="F619" s="551" t="n"/>
      <c r="G619" s="484" t="inlineStr">
        <is>
          <t>(V)(第四劑)海菲秀 Rinseaway System Cleaning Solution /mL</t>
        </is>
      </c>
      <c r="H619" s="552" t="n"/>
      <c r="I619" s="552" t="n"/>
      <c r="J619" s="551" t="n"/>
      <c r="K619" s="140" t="inlineStr">
        <is>
          <t>ml</t>
        </is>
      </c>
      <c r="L619" s="560" t="n">
        <v>10080</v>
      </c>
      <c r="M619" s="123" t="n"/>
      <c r="N619" s="117" t="n"/>
    </row>
    <row r="620" ht="17.25" customHeight="1" s="453" thickBot="1">
      <c r="A620" s="553">
        <f>IFERROR(LEFT(B620,7),"")</f>
        <v/>
      </c>
      <c r="B620" s="554">
        <f>"2025/10"&amp;D620</f>
        <v/>
      </c>
      <c r="C620" s="559" t="n">
        <v>65</v>
      </c>
      <c r="D620" s="484" t="inlineStr">
        <is>
          <t>站前11樓</t>
        </is>
      </c>
      <c r="E620" s="484" t="inlineStr">
        <is>
          <t>6120001</t>
        </is>
      </c>
      <c r="F620" s="551" t="n"/>
      <c r="G620" s="484" t="inlineStr">
        <is>
          <t>(V)肝得健注射劑/ 瓶，220倍數叫貨</t>
        </is>
      </c>
      <c r="H620" s="552" t="n"/>
      <c r="I620" s="552" t="n"/>
      <c r="J620" s="551" t="n"/>
      <c r="K620" s="140" t="inlineStr">
        <is>
          <t>20支/盒</t>
        </is>
      </c>
      <c r="L620" s="560" t="n">
        <v>391</v>
      </c>
      <c r="M620" s="123" t="n"/>
      <c r="N620" s="117" t="n"/>
    </row>
    <row r="621" ht="17.25" customHeight="1" s="453" thickBot="1">
      <c r="A621" s="553">
        <f>IFERROR(LEFT(B621,7),"")</f>
        <v/>
      </c>
      <c r="B621" s="554">
        <f>"2025/10"&amp;D621</f>
        <v/>
      </c>
      <c r="C621" s="559" t="n">
        <v>66</v>
      </c>
      <c r="D621" s="484" t="inlineStr">
        <is>
          <t>站前11樓</t>
        </is>
      </c>
      <c r="E621" s="484" t="inlineStr">
        <is>
          <t>6120002</t>
        </is>
      </c>
      <c r="F621" s="551" t="n"/>
      <c r="G621" s="484" t="inlineStr">
        <is>
          <t>(V)卡妮丁注射劑/ 瓶，220倍數叫貨</t>
        </is>
      </c>
      <c r="H621" s="552" t="n"/>
      <c r="I621" s="552" t="n"/>
      <c r="J621" s="551" t="n"/>
      <c r="K621" s="140" t="inlineStr">
        <is>
          <t>20支/盒</t>
        </is>
      </c>
      <c r="L621" s="560" t="n">
        <v>484</v>
      </c>
      <c r="M621" s="123" t="n"/>
      <c r="N621" s="117" t="n"/>
    </row>
    <row r="622" ht="17.25" customHeight="1" s="453" thickBot="1">
      <c r="A622" s="553">
        <f>IFERROR(LEFT(B622,7),"")</f>
        <v/>
      </c>
      <c r="B622" s="554">
        <f>"2025/10"&amp;D622</f>
        <v/>
      </c>
      <c r="C622" s="559" t="n">
        <v>67</v>
      </c>
      <c r="D622" s="484" t="inlineStr">
        <is>
          <t>站前11樓</t>
        </is>
      </c>
      <c r="E622" s="484" t="inlineStr">
        <is>
          <t>6120003</t>
        </is>
      </c>
      <c r="F622" s="551" t="n"/>
      <c r="G622" s="484" t="inlineStr">
        <is>
          <t>(V)貝力多(雙胜胺) 20% 30mL/ 瓶，50倍數叫貨</t>
        </is>
      </c>
      <c r="H622" s="552" t="n"/>
      <c r="I622" s="552" t="n"/>
      <c r="J622" s="551" t="n"/>
      <c r="K622" s="140" t="inlineStr">
        <is>
          <t>10支/盒</t>
        </is>
      </c>
      <c r="L622" s="560" t="n">
        <v>9</v>
      </c>
      <c r="M622" s="123" t="n"/>
      <c r="N622" s="117" t="n"/>
    </row>
    <row r="623" ht="17.25" customHeight="1" s="453" thickBot="1">
      <c r="A623" s="553">
        <f>IFERROR(LEFT(B623,7),"")</f>
        <v/>
      </c>
      <c r="B623" s="554">
        <f>"2025/10"&amp;D623</f>
        <v/>
      </c>
      <c r="C623" s="559" t="n">
        <v>68</v>
      </c>
      <c r="D623" s="484" t="inlineStr">
        <is>
          <t>站前11樓</t>
        </is>
      </c>
      <c r="E623" s="484" t="inlineStr">
        <is>
          <t>6120004</t>
        </is>
      </c>
      <c r="F623" s="551" t="n"/>
      <c r="G623" s="484" t="inlineStr">
        <is>
          <t>(V)胺基酸點滴250ml/ 袋(安命活源/嘉安命)，20倍數叫貨</t>
        </is>
      </c>
      <c r="H623" s="552" t="n"/>
      <c r="I623" s="552" t="n"/>
      <c r="J623" s="551" t="n"/>
      <c r="K623" s="140" t="inlineStr">
        <is>
          <t>(20瓶/箱)</t>
        </is>
      </c>
      <c r="L623" s="560" t="n">
        <v>17</v>
      </c>
      <c r="M623" s="123" t="n"/>
      <c r="N623" s="117" t="n"/>
    </row>
    <row r="624" ht="17.25" customHeight="1" s="453" thickBot="1">
      <c r="A624" s="553">
        <f>IFERROR(LEFT(B624,7),"")</f>
        <v/>
      </c>
      <c r="B624" s="554">
        <f>"2025/10"&amp;D624</f>
        <v/>
      </c>
      <c r="C624" s="559" t="n">
        <v>69</v>
      </c>
      <c r="D624" s="484" t="inlineStr">
        <is>
          <t>站前11樓</t>
        </is>
      </c>
      <c r="E624" s="484" t="inlineStr">
        <is>
          <t>6120006</t>
        </is>
      </c>
      <c r="F624" s="551" t="n"/>
      <c r="G624" s="484" t="inlineStr">
        <is>
          <t>(V)(B12) 愛壽命 2mL，100倍數叫貨</t>
        </is>
      </c>
      <c r="H624" s="552" t="n"/>
      <c r="I624" s="552" t="n"/>
      <c r="J624" s="551" t="n"/>
      <c r="K624" s="140" t="inlineStr">
        <is>
          <t>(100支/盒)</t>
        </is>
      </c>
      <c r="L624" s="560" t="n">
        <v>200</v>
      </c>
      <c r="M624" s="123" t="n"/>
      <c r="N624" s="117" t="n"/>
    </row>
    <row r="625" ht="17.25" customHeight="1" s="453" thickBot="1">
      <c r="A625" s="553">
        <f>IFERROR(LEFT(B625,7),"")</f>
        <v/>
      </c>
      <c r="B625" s="554">
        <f>"2025/10"&amp;D625</f>
        <v/>
      </c>
      <c r="C625" s="559" t="n">
        <v>70</v>
      </c>
      <c r="D625" s="484" t="inlineStr">
        <is>
          <t>站前11樓</t>
        </is>
      </c>
      <c r="E625" s="484" t="inlineStr">
        <is>
          <t>6120007</t>
        </is>
      </c>
      <c r="F625" s="551" t="n"/>
      <c r="G625" s="484" t="inlineStr">
        <is>
          <t>(V)(硫酸鋅) 1ml/支，100倍數叫貨</t>
        </is>
      </c>
      <c r="H625" s="552" t="n"/>
      <c r="I625" s="552" t="n"/>
      <c r="J625" s="551" t="n"/>
      <c r="K625" s="140" t="inlineStr">
        <is>
          <t>100支/盒</t>
        </is>
      </c>
      <c r="L625" s="560" t="n">
        <v>4</v>
      </c>
      <c r="M625" s="123" t="n"/>
      <c r="N625" s="117" t="n"/>
    </row>
    <row r="626" ht="17.25" customHeight="1" s="453" thickBot="1">
      <c r="A626" s="553">
        <f>IFERROR(LEFT(B626,7),"")</f>
        <v/>
      </c>
      <c r="B626" s="554">
        <f>"2025/10"&amp;D626</f>
        <v/>
      </c>
      <c r="C626" s="559" t="n">
        <v>71</v>
      </c>
      <c r="D626" s="484" t="inlineStr">
        <is>
          <t>站前11樓</t>
        </is>
      </c>
      <c r="E626" s="484" t="inlineStr">
        <is>
          <t>6120009</t>
        </is>
      </c>
      <c r="F626" s="551" t="n"/>
      <c r="G626" s="484" t="inlineStr">
        <is>
          <t>(V)(B1) 硫胺明 2ml</t>
        </is>
      </c>
      <c r="H626" s="552" t="n"/>
      <c r="I626" s="552" t="n"/>
      <c r="J626" s="551" t="n"/>
      <c r="K626" s="140" t="inlineStr">
        <is>
          <t>支(100支/盒)</t>
        </is>
      </c>
      <c r="L626" s="560" t="n">
        <v>4</v>
      </c>
      <c r="M626" s="123" t="n"/>
      <c r="N626" s="117" t="n"/>
    </row>
    <row r="627" ht="17.25" customHeight="1" s="453" thickBot="1">
      <c r="A627" s="553">
        <f>IFERROR(LEFT(B627,7),"")</f>
        <v/>
      </c>
      <c r="B627" s="554">
        <f>"2025/10"&amp;D627</f>
        <v/>
      </c>
      <c r="C627" s="559" t="n">
        <v>72</v>
      </c>
      <c r="D627" s="484" t="inlineStr">
        <is>
          <t>站前11樓</t>
        </is>
      </c>
      <c r="E627" s="484" t="inlineStr">
        <is>
          <t>6120010</t>
        </is>
      </c>
      <c r="F627" s="551" t="n"/>
      <c r="G627" s="484" t="inlineStr">
        <is>
          <t>(V)(B6) 活性維生素 2ml，100倍數叫貨</t>
        </is>
      </c>
      <c r="H627" s="552" t="n"/>
      <c r="I627" s="552" t="n"/>
      <c r="J627" s="551" t="n"/>
      <c r="K627" s="140" t="inlineStr">
        <is>
          <t>(100支/盒)</t>
        </is>
      </c>
      <c r="L627" s="560" t="n">
        <v>4</v>
      </c>
      <c r="M627" s="123" t="n"/>
      <c r="N627" s="117" t="n"/>
    </row>
    <row r="628" ht="17.25" customHeight="1" s="453" thickBot="1">
      <c r="A628" s="553">
        <f>IFERROR(LEFT(B628,7),"")</f>
        <v/>
      </c>
      <c r="B628" s="554">
        <f>"2025/10"&amp;D628</f>
        <v/>
      </c>
      <c r="C628" s="559" t="n">
        <v>73</v>
      </c>
      <c r="D628" s="484" t="inlineStr">
        <is>
          <t>站前11樓</t>
        </is>
      </c>
      <c r="E628" s="484" t="inlineStr">
        <is>
          <t>6120011</t>
        </is>
      </c>
      <c r="F628" s="551" t="n"/>
      <c r="G628" s="484" t="inlineStr">
        <is>
          <t>(V)(硒) 西寧特 2ml/支</t>
        </is>
      </c>
      <c r="H628" s="552" t="n"/>
      <c r="I628" s="552" t="n"/>
      <c r="J628" s="551" t="n"/>
      <c r="K628" s="140" t="inlineStr">
        <is>
          <t>10支/盒</t>
        </is>
      </c>
      <c r="L628" s="560" t="n">
        <v>4</v>
      </c>
      <c r="M628" s="123" t="n"/>
      <c r="N628" s="117" t="n"/>
    </row>
    <row r="629" ht="17.25" customHeight="1" s="453" thickBot="1">
      <c r="A629" s="553">
        <f>IFERROR(LEFT(B629,7),"")</f>
        <v/>
      </c>
      <c r="B629" s="554">
        <f>"2025/10"&amp;D629</f>
        <v/>
      </c>
      <c r="C629" s="559" t="n">
        <v>74</v>
      </c>
      <c r="D629" s="484" t="inlineStr">
        <is>
          <t>站前11樓</t>
        </is>
      </c>
      <c r="E629" s="484" t="inlineStr">
        <is>
          <t>6120013</t>
        </is>
      </c>
      <c r="F629" s="551" t="n"/>
      <c r="G629" s="484" t="inlineStr">
        <is>
          <t>(V)生理食鹽水(NS) 250ml/ 袋</t>
        </is>
      </c>
      <c r="H629" s="552" t="n"/>
      <c r="I629" s="552" t="n"/>
      <c r="J629" s="551" t="n"/>
      <c r="K629" s="140" t="inlineStr">
        <is>
          <t>55瓶/箱</t>
        </is>
      </c>
      <c r="L629" s="560" t="n">
        <v>191</v>
      </c>
      <c r="M629" s="123" t="n"/>
      <c r="N629" s="117" t="n"/>
    </row>
    <row r="630" ht="17.25" customHeight="1" s="453" thickBot="1">
      <c r="A630" s="553">
        <f>IFERROR(LEFT(B630,7),"")</f>
        <v/>
      </c>
      <c r="B630" s="554">
        <f>"2025/10"&amp;D630</f>
        <v/>
      </c>
      <c r="C630" s="559" t="n">
        <v>75</v>
      </c>
      <c r="D630" s="484" t="inlineStr">
        <is>
          <t>站前11樓</t>
        </is>
      </c>
      <c r="E630" s="484" t="inlineStr">
        <is>
          <t>6120014</t>
        </is>
      </c>
      <c r="F630" s="551" t="n"/>
      <c r="G630" s="484" t="inlineStr">
        <is>
          <t>(V)葡萄糖水(D5W) 250ml/袋</t>
        </is>
      </c>
      <c r="H630" s="552" t="n"/>
      <c r="I630" s="552" t="n"/>
      <c r="J630" s="551" t="n"/>
      <c r="K630" s="140" t="inlineStr">
        <is>
          <t>40袋/箱</t>
        </is>
      </c>
      <c r="L630" s="560" t="n">
        <v>313</v>
      </c>
      <c r="M630" s="123" t="n"/>
      <c r="N630" s="117" t="n"/>
    </row>
    <row r="631" ht="17.25" customHeight="1" s="453" thickBot="1">
      <c r="A631" s="553">
        <f>IFERROR(LEFT(B631,7),"")</f>
        <v/>
      </c>
      <c r="B631" s="554">
        <f>"2025/10"&amp;D631</f>
        <v/>
      </c>
      <c r="C631" s="559" t="n">
        <v>76</v>
      </c>
      <c r="D631" s="484" t="inlineStr">
        <is>
          <t>站前11樓</t>
        </is>
      </c>
      <c r="E631" s="484" t="inlineStr">
        <is>
          <t>6120015</t>
        </is>
      </c>
      <c r="F631" s="551" t="n"/>
      <c r="G631" s="484" t="inlineStr">
        <is>
          <t>(V)(B群)淘能美複合維他命B 2ml，100倍數叫貨</t>
        </is>
      </c>
      <c r="H631" s="552" t="n"/>
      <c r="I631" s="552" t="n"/>
      <c r="J631" s="551" t="n"/>
      <c r="K631" s="140" t="n"/>
      <c r="L631" s="560" t="n">
        <v>19</v>
      </c>
      <c r="M631" s="123" t="n"/>
      <c r="N631" s="117" t="n"/>
    </row>
    <row r="632" ht="17.25" customHeight="1" s="453" thickBot="1">
      <c r="A632" s="553">
        <f>IFERROR(LEFT(B632,7),"")</f>
        <v/>
      </c>
      <c r="B632" s="554">
        <f>"2025/10"&amp;D632</f>
        <v/>
      </c>
      <c r="C632" s="559" t="n">
        <v>77</v>
      </c>
      <c r="D632" s="484" t="inlineStr">
        <is>
          <t>站前11樓</t>
        </is>
      </c>
      <c r="E632" s="484" t="inlineStr">
        <is>
          <t>6120016</t>
        </is>
      </c>
      <c r="F632" s="551" t="n"/>
      <c r="G632" s="484" t="inlineStr">
        <is>
          <t>(V)(榖胱肝肽) 克樂達養200mg (20ml/瓶)</t>
        </is>
      </c>
      <c r="H632" s="552" t="n"/>
      <c r="I632" s="552" t="n"/>
      <c r="J632" s="551" t="n"/>
      <c r="K632" s="140" t="inlineStr">
        <is>
          <t>50支/盒</t>
        </is>
      </c>
      <c r="L632" s="560" t="n">
        <v>19</v>
      </c>
      <c r="M632" s="123" t="n"/>
      <c r="N632" s="117" t="n"/>
    </row>
    <row r="633" ht="17.25" customHeight="1" s="453" thickBot="1">
      <c r="A633" s="553">
        <f>IFERROR(LEFT(B633,7),"")</f>
        <v/>
      </c>
      <c r="B633" s="554">
        <f>"2025/10"&amp;D633</f>
        <v/>
      </c>
      <c r="C633" s="559" t="n">
        <v>78</v>
      </c>
      <c r="D633" s="484" t="inlineStr">
        <is>
          <t>站前11樓</t>
        </is>
      </c>
      <c r="E633" s="484" t="inlineStr">
        <is>
          <t>6120017</t>
        </is>
      </c>
      <c r="F633" s="551" t="n"/>
      <c r="G633" s="484" t="inlineStr">
        <is>
          <t>(V)保肝 5ml/支</t>
        </is>
      </c>
      <c r="H633" s="552" t="n"/>
      <c r="I633" s="552" t="n"/>
      <c r="J633" s="551" t="n"/>
      <c r="K633" s="140" t="inlineStr">
        <is>
          <t>50支/盒</t>
        </is>
      </c>
      <c r="L633" s="560" t="n">
        <v>1</v>
      </c>
      <c r="M633" s="123" t="n"/>
      <c r="N633" s="117" t="n"/>
    </row>
    <row r="634" ht="17.25" customHeight="1" s="453" thickBot="1">
      <c r="A634" s="553">
        <f>IFERROR(LEFT(B634,7),"")</f>
        <v/>
      </c>
      <c r="B634" s="554">
        <f>"2025/10"&amp;D634</f>
        <v/>
      </c>
      <c r="C634" s="559" t="n">
        <v>79</v>
      </c>
      <c r="D634" s="484" t="inlineStr">
        <is>
          <t>站前11樓</t>
        </is>
      </c>
      <c r="E634" s="484" t="inlineStr">
        <is>
          <t>6120021</t>
        </is>
      </c>
      <c r="F634" s="551" t="n"/>
      <c r="G634" s="484" t="inlineStr">
        <is>
          <t>(V)(Vit C)(抗壞血酸/諾貝爾)20ml，50倍數下單</t>
        </is>
      </c>
      <c r="H634" s="552" t="n"/>
      <c r="I634" s="552" t="n"/>
      <c r="J634" s="551" t="n"/>
      <c r="K634" s="140" t="inlineStr">
        <is>
          <t>50支/盒</t>
        </is>
      </c>
      <c r="L634" s="560" t="n">
        <v>19</v>
      </c>
      <c r="M634" s="123" t="n"/>
      <c r="N634" s="117" t="n"/>
    </row>
    <row r="635" ht="17.25" customHeight="1" s="453" thickBot="1">
      <c r="A635" s="553">
        <f>IFERROR(LEFT(B635,7),"")</f>
        <v/>
      </c>
      <c r="B635" s="554">
        <f>"2025/10"&amp;D635</f>
        <v/>
      </c>
      <c r="C635" s="559" t="n">
        <v>80</v>
      </c>
      <c r="D635" s="484" t="inlineStr">
        <is>
          <t>站前11樓</t>
        </is>
      </c>
      <c r="E635" s="484" t="inlineStr">
        <is>
          <t>6120036</t>
        </is>
      </c>
      <c r="F635" s="551" t="n"/>
      <c r="G635" s="484" t="inlineStr">
        <is>
          <t>(V)貝力多(雙胜胺) 20% 50mL/ 瓶，50倍數下單</t>
        </is>
      </c>
      <c r="H635" s="552" t="n"/>
      <c r="I635" s="552" t="n"/>
      <c r="J635" s="551" t="n"/>
      <c r="K635" s="140" t="inlineStr">
        <is>
          <t>瓶(10瓶/盒)</t>
        </is>
      </c>
      <c r="L635" s="560" t="n">
        <v>4</v>
      </c>
      <c r="M635" s="123" t="n"/>
      <c r="N635" s="117" t="n"/>
    </row>
    <row r="636" ht="17.25" customHeight="1" s="453" thickBot="1">
      <c r="A636" s="553">
        <f>IFERROR(LEFT(B636,7),"")</f>
        <v/>
      </c>
      <c r="B636" s="554">
        <f>"2025/10"&amp;D636</f>
        <v/>
      </c>
      <c r="C636" s="559" t="n">
        <v>81</v>
      </c>
      <c r="D636" s="484" t="inlineStr">
        <is>
          <t>站前11樓</t>
        </is>
      </c>
      <c r="E636" s="484" t="inlineStr">
        <is>
          <t>6190005</t>
        </is>
      </c>
      <c r="F636" s="551" t="n"/>
      <c r="G636" s="484" t="inlineStr">
        <is>
          <t>(V)氦氖針/ 支</t>
        </is>
      </c>
      <c r="H636" s="552" t="n"/>
      <c r="I636" s="552" t="n"/>
      <c r="J636" s="551" t="n"/>
      <c r="K636" s="140" t="inlineStr">
        <is>
          <t>(50支/包)</t>
        </is>
      </c>
      <c r="L636" s="560" t="n">
        <v>42</v>
      </c>
      <c r="M636" s="123" t="n"/>
      <c r="N636" s="117" t="n"/>
    </row>
    <row r="637" ht="17.25" customHeight="1" s="453" thickBot="1">
      <c r="A637" s="553">
        <f>IFERROR(LEFT(B637,7),"")</f>
        <v/>
      </c>
      <c r="B637" s="554">
        <f>"2025/10"&amp;D637</f>
        <v/>
      </c>
      <c r="C637" s="559" t="n">
        <v>82</v>
      </c>
      <c r="D637" s="484" t="inlineStr">
        <is>
          <t>站前11樓</t>
        </is>
      </c>
      <c r="E637" s="484" t="inlineStr">
        <is>
          <t>6200001</t>
        </is>
      </c>
      <c r="F637" s="551" t="n"/>
      <c r="G637" s="484" t="inlineStr">
        <is>
          <t>(V)消脂針-善纖達*1支</t>
        </is>
      </c>
      <c r="H637" s="552" t="n"/>
      <c r="I637" s="552" t="n"/>
      <c r="J637" s="551" t="n"/>
      <c r="K637" s="140" t="inlineStr">
        <is>
          <t>支</t>
        </is>
      </c>
      <c r="L637" s="560" t="n">
        <v>6</v>
      </c>
      <c r="M637" s="123" t="n"/>
      <c r="N637" s="117" t="n"/>
    </row>
    <row r="638" ht="17.25" customHeight="1" s="453" thickBot="1">
      <c r="A638" s="553">
        <f>IFERROR(LEFT(B638,7),"")</f>
        <v/>
      </c>
      <c r="B638" s="554">
        <f>"2025/10"&amp;D638</f>
        <v/>
      </c>
      <c r="C638" s="559" t="n">
        <v>83</v>
      </c>
      <c r="D638" s="484" t="inlineStr">
        <is>
          <t>站前11樓</t>
        </is>
      </c>
      <c r="E638" s="484" t="inlineStr">
        <is>
          <t>6200004</t>
        </is>
      </c>
      <c r="F638" s="551" t="n"/>
      <c r="G638" s="484" t="inlineStr">
        <is>
          <t>阿爾發SAT卡匣/ 發</t>
        </is>
      </c>
      <c r="H638" s="552" t="n"/>
      <c r="I638" s="552" t="n"/>
      <c r="J638" s="551" t="n"/>
      <c r="K638" s="140" t="inlineStr">
        <is>
          <t>50發/卡</t>
        </is>
      </c>
      <c r="L638" s="560" t="n">
        <v>1446</v>
      </c>
      <c r="M638" s="123" t="n"/>
      <c r="N638" s="117" t="n"/>
    </row>
    <row r="639" ht="17.25" customHeight="1" s="453" thickBot="1">
      <c r="A639" s="553">
        <f>IFERROR(LEFT(B639,7),"")</f>
        <v/>
      </c>
      <c r="B639" s="554">
        <f>"2025/10"&amp;D639</f>
        <v/>
      </c>
      <c r="C639" s="559" t="n">
        <v>84</v>
      </c>
      <c r="D639" s="484" t="inlineStr">
        <is>
          <t>站前11樓</t>
        </is>
      </c>
      <c r="E639" s="484" t="inlineStr">
        <is>
          <t>6200007</t>
        </is>
      </c>
      <c r="F639" s="551" t="n"/>
      <c r="G639" s="484" t="inlineStr">
        <is>
          <t>瘦瘦筆-針頭*1個</t>
        </is>
      </c>
      <c r="H639" s="552" t="n"/>
      <c r="I639" s="552" t="n"/>
      <c r="J639" s="551" t="n"/>
      <c r="K639" s="140" t="inlineStr">
        <is>
          <t>個</t>
        </is>
      </c>
      <c r="L639" s="560" t="n">
        <v>64</v>
      </c>
      <c r="M639" s="123" t="n"/>
      <c r="N639" s="117" t="n"/>
    </row>
    <row r="640" ht="17.25" customHeight="1" s="453" thickBot="1">
      <c r="A640" s="553">
        <f>IFERROR(LEFT(B640,7),"")</f>
        <v/>
      </c>
      <c r="B640" s="554">
        <f>"2025/10"&amp;D640</f>
        <v/>
      </c>
      <c r="C640" s="559" t="n">
        <v>85</v>
      </c>
      <c r="D640" s="484" t="inlineStr">
        <is>
          <t>站前11樓</t>
        </is>
      </c>
      <c r="E640" s="484" t="inlineStr">
        <is>
          <t>6200008</t>
        </is>
      </c>
      <c r="F640" s="551" t="n"/>
      <c r="G640" s="484" t="inlineStr">
        <is>
          <t>瘦瘦筆-週纖達*1支(0.25mg)</t>
        </is>
      </c>
      <c r="H640" s="552" t="n"/>
      <c r="I640" s="552" t="n"/>
      <c r="J640" s="551" t="n"/>
      <c r="K640" s="140" t="inlineStr">
        <is>
          <t>支</t>
        </is>
      </c>
      <c r="L640" s="560" t="n">
        <v>13</v>
      </c>
      <c r="M640" s="123" t="n"/>
      <c r="N640" s="117" t="n"/>
    </row>
    <row r="641" ht="17.25" customHeight="1" s="453" thickBot="1">
      <c r="A641" s="553">
        <f>IFERROR(LEFT(B641,7),"")</f>
        <v/>
      </c>
      <c r="B641" s="554">
        <f>"2025/10"&amp;D641</f>
        <v/>
      </c>
      <c r="C641" s="559" t="n">
        <v>86</v>
      </c>
      <c r="D641" s="484" t="inlineStr">
        <is>
          <t>站前11樓</t>
        </is>
      </c>
      <c r="E641" s="484" t="inlineStr">
        <is>
          <t>6200010</t>
        </is>
      </c>
      <c r="F641" s="551" t="n"/>
      <c r="G641" s="484" t="inlineStr">
        <is>
          <t>瘦瘦筆-週纖達*1支(1.0mg)</t>
        </is>
      </c>
      <c r="H641" s="552" t="n"/>
      <c r="I641" s="552" t="n"/>
      <c r="J641" s="551" t="n"/>
      <c r="K641" s="140" t="inlineStr">
        <is>
          <t>支</t>
        </is>
      </c>
      <c r="L641" s="560" t="n">
        <v>5</v>
      </c>
      <c r="M641" s="123" t="n"/>
      <c r="N641" s="117" t="n"/>
    </row>
    <row r="642" ht="17.25" customHeight="1" s="453" thickBot="1">
      <c r="A642" s="553">
        <f>IFERROR(LEFT(B642,7),"")</f>
        <v/>
      </c>
      <c r="B642" s="554">
        <f>"2025/10"&amp;D642</f>
        <v/>
      </c>
      <c r="C642" s="559" t="n">
        <v>87</v>
      </c>
      <c r="D642" s="484" t="inlineStr">
        <is>
          <t>站前11樓</t>
        </is>
      </c>
      <c r="E642" s="484" t="inlineStr">
        <is>
          <t>6200012</t>
        </is>
      </c>
      <c r="F642" s="551" t="n"/>
      <c r="G642" s="484" t="inlineStr">
        <is>
          <t>瘦瘦筆-週纖達*1支(2.4mg)</t>
        </is>
      </c>
      <c r="H642" s="552" t="n"/>
      <c r="I642" s="552" t="n"/>
      <c r="J642" s="551" t="n"/>
      <c r="K642" s="140" t="inlineStr">
        <is>
          <t>支</t>
        </is>
      </c>
      <c r="L642" s="560" t="n">
        <v>2</v>
      </c>
      <c r="M642" s="123" t="n"/>
      <c r="N642" s="117" t="n"/>
    </row>
    <row r="643" ht="17.25" customHeight="1" s="453" thickBot="1">
      <c r="A643" s="553">
        <f>IFERROR(LEFT(B643,7),"")</f>
        <v/>
      </c>
      <c r="B643" s="554">
        <f>"2025/10"&amp;D643</f>
        <v/>
      </c>
      <c r="C643" s="559" t="n">
        <v>88</v>
      </c>
      <c r="D643" s="484" t="inlineStr">
        <is>
          <t>站前11樓</t>
        </is>
      </c>
      <c r="E643" s="484" t="inlineStr">
        <is>
          <t>6200013</t>
        </is>
      </c>
      <c r="F643" s="551" t="n"/>
      <c r="G643" s="484" t="inlineStr">
        <is>
          <t>(V)猛健樂*1支(2.5mg)</t>
        </is>
      </c>
      <c r="H643" s="552" t="n"/>
      <c r="I643" s="552" t="n"/>
      <c r="J643" s="551" t="n"/>
      <c r="K643" s="140" t="inlineStr">
        <is>
          <t>支</t>
        </is>
      </c>
      <c r="L643" s="560" t="n">
        <v>5</v>
      </c>
      <c r="M643" s="123" t="n"/>
      <c r="N643" s="117" t="n"/>
    </row>
    <row r="644" ht="17.25" customHeight="1" s="453" thickBot="1">
      <c r="A644" s="553">
        <f>IFERROR(LEFT(B644,7),"")</f>
        <v/>
      </c>
      <c r="B644" s="554">
        <f>"2025/10"&amp;D644</f>
        <v/>
      </c>
      <c r="C644" s="559" t="n">
        <v>89</v>
      </c>
      <c r="D644" s="484" t="inlineStr">
        <is>
          <t>站前11樓</t>
        </is>
      </c>
      <c r="E644" s="484" t="inlineStr">
        <is>
          <t>6200015</t>
        </is>
      </c>
      <c r="F644" s="551" t="n"/>
      <c r="G644" s="484" t="inlineStr">
        <is>
          <t>(V)猛健樂*1支(7.5mg)</t>
        </is>
      </c>
      <c r="H644" s="552" t="n"/>
      <c r="I644" s="552" t="n"/>
      <c r="J644" s="551" t="n"/>
      <c r="K644" s="140" t="inlineStr">
        <is>
          <t>支</t>
        </is>
      </c>
      <c r="L644" s="560" t="n">
        <v>5</v>
      </c>
      <c r="M644" s="123" t="n"/>
      <c r="N644" s="117" t="n"/>
    </row>
    <row r="645" ht="17.25" customHeight="1" s="453" thickBot="1">
      <c r="A645" s="553">
        <f>IFERROR(LEFT(B645,7),"")</f>
        <v/>
      </c>
      <c r="B645" s="554">
        <f>"2025/10"&amp;D645</f>
        <v/>
      </c>
      <c r="C645" s="559" t="n">
        <v>90</v>
      </c>
      <c r="D645" s="484" t="inlineStr">
        <is>
          <t>站前11樓</t>
        </is>
      </c>
      <c r="E645" s="484" t="inlineStr">
        <is>
          <t>6200017</t>
        </is>
      </c>
      <c r="F645" s="551" t="n"/>
      <c r="G645" s="484" t="inlineStr">
        <is>
          <t>(V)猛健樂10MG/0.15CC</t>
        </is>
      </c>
      <c r="H645" s="552" t="n"/>
      <c r="I645" s="552" t="n"/>
      <c r="J645" s="551" t="n"/>
      <c r="K645" s="140" t="inlineStr">
        <is>
          <t>3cc/支</t>
        </is>
      </c>
      <c r="L645" s="560" t="n">
        <v>171</v>
      </c>
      <c r="M645" s="123" t="n"/>
      <c r="N645" s="117" t="n"/>
    </row>
    <row r="646" ht="17.25" customHeight="1" s="453" thickBot="1">
      <c r="A646" s="553">
        <f>IFERROR(LEFT(B646,7),"")</f>
        <v/>
      </c>
      <c r="B646" s="554">
        <f>"2025/10"&amp;D646</f>
        <v/>
      </c>
      <c r="C646" s="559" t="n">
        <v>91</v>
      </c>
      <c r="D646" s="484" t="inlineStr">
        <is>
          <t>站前11樓</t>
        </is>
      </c>
      <c r="E646" s="484" t="inlineStr">
        <is>
          <t>6200021</t>
        </is>
      </c>
      <c r="F646" s="551" t="n"/>
      <c r="G646" s="484" t="inlineStr">
        <is>
          <t>(V)猛健樂12.5MG/0.12CC</t>
        </is>
      </c>
      <c r="H646" s="552" t="n"/>
      <c r="I646" s="552" t="n"/>
      <c r="J646" s="551" t="n"/>
      <c r="K646" s="140" t="inlineStr">
        <is>
          <t>3cc/支</t>
        </is>
      </c>
      <c r="L646" s="560" t="n">
        <v>31</v>
      </c>
      <c r="M646" s="123" t="n"/>
      <c r="N646" s="117" t="n"/>
    </row>
    <row r="647" ht="17.25" customHeight="1" s="453" thickBot="1">
      <c r="A647" s="553">
        <f>IFERROR(LEFT(B647,7),"")</f>
        <v/>
      </c>
      <c r="B647" s="554">
        <f>"2025/10"&amp;D647</f>
        <v/>
      </c>
      <c r="C647" s="559" t="n">
        <v>92</v>
      </c>
      <c r="D647" s="484" t="inlineStr">
        <is>
          <t>忠孝7樓</t>
        </is>
      </c>
      <c r="E647" s="484" t="inlineStr">
        <is>
          <t>6120001</t>
        </is>
      </c>
      <c r="F647" s="551" t="n"/>
      <c r="G647" s="484" t="inlineStr">
        <is>
          <t>(V)肝得健注射劑/ 瓶，220倍數叫貨</t>
        </is>
      </c>
      <c r="H647" s="552" t="n"/>
      <c r="I647" s="552" t="n"/>
      <c r="J647" s="551" t="n"/>
      <c r="K647" s="140" t="inlineStr">
        <is>
          <t>20支/盒</t>
        </is>
      </c>
      <c r="L647" s="560" t="n">
        <v>2</v>
      </c>
      <c r="M647" s="123" t="n"/>
      <c r="N647" s="117" t="n"/>
    </row>
    <row r="648" ht="17.25" customHeight="1" s="453" thickBot="1">
      <c r="A648" s="553">
        <f>IFERROR(LEFT(B648,7),"")</f>
        <v/>
      </c>
      <c r="B648" s="554">
        <f>"2025/10"&amp;D648</f>
        <v/>
      </c>
      <c r="C648" s="559" t="n">
        <v>93</v>
      </c>
      <c r="D648" s="484" t="inlineStr">
        <is>
          <t>忠孝7樓</t>
        </is>
      </c>
      <c r="E648" s="484" t="inlineStr">
        <is>
          <t>6120002</t>
        </is>
      </c>
      <c r="F648" s="551" t="n"/>
      <c r="G648" s="484" t="inlineStr">
        <is>
          <t>(V)卡妮丁注射劑/ 瓶，220倍數叫貨</t>
        </is>
      </c>
      <c r="H648" s="552" t="n"/>
      <c r="I648" s="552" t="n"/>
      <c r="J648" s="551" t="n"/>
      <c r="K648" s="140" t="inlineStr">
        <is>
          <t>20支/盒</t>
        </is>
      </c>
      <c r="L648" s="560" t="n">
        <v>2</v>
      </c>
      <c r="M648" s="123" t="n"/>
      <c r="N648" s="117" t="n"/>
    </row>
    <row r="649" ht="17.25" customHeight="1" s="453" thickBot="1">
      <c r="A649" s="553">
        <f>IFERROR(LEFT(B649,7),"")</f>
        <v/>
      </c>
      <c r="B649" s="554">
        <f>"2025/10"&amp;D649</f>
        <v/>
      </c>
      <c r="C649" s="559" t="n">
        <v>94</v>
      </c>
      <c r="D649" s="484" t="inlineStr">
        <is>
          <t>忠孝7樓</t>
        </is>
      </c>
      <c r="E649" s="484" t="inlineStr">
        <is>
          <t>6120003</t>
        </is>
      </c>
      <c r="F649" s="551" t="n"/>
      <c r="G649" s="484" t="inlineStr">
        <is>
          <t>(V)貝力多(雙胜胺) 20% 30mL/ 瓶，50倍數叫貨</t>
        </is>
      </c>
      <c r="H649" s="552" t="n"/>
      <c r="I649" s="552" t="n"/>
      <c r="J649" s="551" t="n"/>
      <c r="K649" s="140" t="inlineStr">
        <is>
          <t>10支/盒</t>
        </is>
      </c>
      <c r="L649" s="560" t="n">
        <v>5</v>
      </c>
      <c r="M649" s="123" t="n"/>
      <c r="N649" s="117" t="n"/>
    </row>
    <row r="650" ht="17.25" customHeight="1" s="453" thickBot="1">
      <c r="A650" s="553">
        <f>IFERROR(LEFT(B650,7),"")</f>
        <v/>
      </c>
      <c r="B650" s="554">
        <f>"2025/10"&amp;D650</f>
        <v/>
      </c>
      <c r="C650" s="559" t="n">
        <v>95</v>
      </c>
      <c r="D650" s="484" t="inlineStr">
        <is>
          <t>忠孝7樓</t>
        </is>
      </c>
      <c r="E650" s="484" t="inlineStr">
        <is>
          <t>6120004</t>
        </is>
      </c>
      <c r="F650" s="551" t="n"/>
      <c r="G650" s="484" t="inlineStr">
        <is>
          <t>(V)胺基酸點滴250ml/ 袋(安命活源/嘉安命)，20倍數叫貨</t>
        </is>
      </c>
      <c r="H650" s="552" t="n"/>
      <c r="I650" s="552" t="n"/>
      <c r="J650" s="551" t="n"/>
      <c r="K650" s="140" t="inlineStr">
        <is>
          <t>(20瓶/箱)</t>
        </is>
      </c>
      <c r="L650" s="560" t="n">
        <v>6</v>
      </c>
      <c r="M650" s="123" t="n"/>
      <c r="N650" s="117" t="n"/>
    </row>
    <row r="651" ht="17.25" customHeight="1" s="453" thickBot="1">
      <c r="A651" s="553">
        <f>IFERROR(LEFT(B651,7),"")</f>
        <v/>
      </c>
      <c r="B651" s="554">
        <f>"2025/10"&amp;D651</f>
        <v/>
      </c>
      <c r="C651" s="559" t="n">
        <v>96</v>
      </c>
      <c r="D651" s="484" t="inlineStr">
        <is>
          <t>忠孝7樓</t>
        </is>
      </c>
      <c r="E651" s="484" t="inlineStr">
        <is>
          <t>6120006</t>
        </is>
      </c>
      <c r="F651" s="551" t="n"/>
      <c r="G651" s="484" t="inlineStr">
        <is>
          <t>(V)(B12) 愛壽命 2mL，100倍數叫貨</t>
        </is>
      </c>
      <c r="H651" s="552" t="n"/>
      <c r="I651" s="552" t="n"/>
      <c r="J651" s="551" t="n"/>
      <c r="K651" s="140" t="inlineStr">
        <is>
          <t>(100支/盒)</t>
        </is>
      </c>
      <c r="L651" s="560" t="n">
        <v>8</v>
      </c>
      <c r="M651" s="123" t="n"/>
      <c r="N651" s="117" t="n"/>
    </row>
    <row r="652" ht="17.25" customHeight="1" s="453" thickBot="1">
      <c r="A652" s="553">
        <f>IFERROR(LEFT(B652,7),"")</f>
        <v/>
      </c>
      <c r="B652" s="554">
        <f>"2025/10"&amp;D652</f>
        <v/>
      </c>
      <c r="C652" s="559" t="n">
        <v>97</v>
      </c>
      <c r="D652" s="484" t="inlineStr">
        <is>
          <t>忠孝7樓</t>
        </is>
      </c>
      <c r="E652" s="484" t="inlineStr">
        <is>
          <t>6120013</t>
        </is>
      </c>
      <c r="F652" s="551" t="n"/>
      <c r="G652" s="484" t="inlineStr">
        <is>
          <t>(V)生理食鹽水(NS) 250ml/ 袋</t>
        </is>
      </c>
      <c r="H652" s="552" t="n"/>
      <c r="I652" s="552" t="n"/>
      <c r="J652" s="551" t="n"/>
      <c r="K652" s="140" t="inlineStr">
        <is>
          <t>55瓶/箱</t>
        </is>
      </c>
      <c r="L652" s="560" t="n">
        <v>403</v>
      </c>
      <c r="M652" s="123" t="n"/>
      <c r="N652" s="117" t="n"/>
    </row>
    <row r="653" ht="17.25" customHeight="1" s="453" thickBot="1">
      <c r="A653" s="553">
        <f>IFERROR(LEFT(B653,7),"")</f>
        <v/>
      </c>
      <c r="B653" s="554">
        <f>"2025/10"&amp;D653</f>
        <v/>
      </c>
      <c r="C653" s="559" t="n">
        <v>98</v>
      </c>
      <c r="D653" s="484" t="inlineStr">
        <is>
          <t>忠孝7樓</t>
        </is>
      </c>
      <c r="E653" s="484" t="inlineStr">
        <is>
          <t>6120014</t>
        </is>
      </c>
      <c r="F653" s="551" t="n"/>
      <c r="G653" s="484" t="inlineStr">
        <is>
          <t>(V)葡萄糖水(D5W) 250ml/袋</t>
        </is>
      </c>
      <c r="H653" s="552" t="n"/>
      <c r="I653" s="552" t="n"/>
      <c r="J653" s="551" t="n"/>
      <c r="K653" s="140" t="inlineStr">
        <is>
          <t>40袋/箱</t>
        </is>
      </c>
      <c r="L653" s="560" t="n">
        <v>2</v>
      </c>
      <c r="M653" s="123" t="n"/>
      <c r="N653" s="117" t="n"/>
    </row>
    <row r="654" ht="17.25" customHeight="1" s="453" thickBot="1">
      <c r="A654" s="553">
        <f>IFERROR(LEFT(B654,7),"")</f>
        <v/>
      </c>
      <c r="B654" s="554">
        <f>"2025/10"&amp;D654</f>
        <v/>
      </c>
      <c r="C654" s="559" t="n">
        <v>99</v>
      </c>
      <c r="D654" s="484" t="inlineStr">
        <is>
          <t>忠孝7樓</t>
        </is>
      </c>
      <c r="E654" s="484" t="inlineStr">
        <is>
          <t>6120015</t>
        </is>
      </c>
      <c r="F654" s="551" t="n"/>
      <c r="G654" s="484" t="inlineStr">
        <is>
          <t>(V)(B群)淘能美複合維他命B 2ml，100倍數叫貨</t>
        </is>
      </c>
      <c r="H654" s="552" t="n"/>
      <c r="I654" s="552" t="n"/>
      <c r="J654" s="551" t="n"/>
      <c r="K654" s="140" t="n"/>
      <c r="L654" s="560" t="n">
        <v>404</v>
      </c>
      <c r="M654" s="123" t="n"/>
      <c r="N654" s="117" t="n"/>
    </row>
    <row r="655" ht="17.25" customHeight="1" s="453" thickBot="1">
      <c r="A655" s="553">
        <f>IFERROR(LEFT(B655,7),"")</f>
        <v/>
      </c>
      <c r="B655" s="554">
        <f>"2025/10"&amp;D655</f>
        <v/>
      </c>
      <c r="C655" s="559" t="n">
        <v>100</v>
      </c>
      <c r="D655" s="484" t="inlineStr">
        <is>
          <t>忠孝7樓</t>
        </is>
      </c>
      <c r="E655" s="484" t="inlineStr">
        <is>
          <t>6120016</t>
        </is>
      </c>
      <c r="F655" s="551" t="n"/>
      <c r="G655" s="484" t="inlineStr">
        <is>
          <t>(V)(榖胱肝肽) 克樂達養200mg (20ml/瓶)</t>
        </is>
      </c>
      <c r="H655" s="552" t="n"/>
      <c r="I655" s="552" t="n"/>
      <c r="J655" s="551" t="n"/>
      <c r="K655" s="140" t="inlineStr">
        <is>
          <t>50支/盒</t>
        </is>
      </c>
      <c r="L655" s="560" t="n">
        <v>403</v>
      </c>
      <c r="M655" s="123" t="n"/>
      <c r="N655" s="117" t="n"/>
    </row>
    <row r="656" ht="17.25" customHeight="1" s="453" thickBot="1">
      <c r="A656" s="553">
        <f>IFERROR(LEFT(B656,7),"")</f>
        <v/>
      </c>
      <c r="B656" s="554">
        <f>"2025/10"&amp;D656</f>
        <v/>
      </c>
      <c r="C656" s="559" t="n">
        <v>101</v>
      </c>
      <c r="D656" s="484" t="inlineStr">
        <is>
          <t>忠孝7樓</t>
        </is>
      </c>
      <c r="E656" s="484" t="inlineStr">
        <is>
          <t>6120017</t>
        </is>
      </c>
      <c r="F656" s="551" t="n"/>
      <c r="G656" s="484" t="inlineStr">
        <is>
          <t>(V)保肝 5ml/支</t>
        </is>
      </c>
      <c r="H656" s="552" t="n"/>
      <c r="I656" s="552" t="n"/>
      <c r="J656" s="551" t="n"/>
      <c r="K656" s="140" t="inlineStr">
        <is>
          <t>50支/盒</t>
        </is>
      </c>
      <c r="L656" s="560" t="n">
        <v>1</v>
      </c>
      <c r="M656" s="123" t="n"/>
      <c r="N656" s="117" t="n"/>
    </row>
    <row r="657" ht="17.25" customHeight="1" s="453" thickBot="1">
      <c r="A657" s="553">
        <f>IFERROR(LEFT(B657,7),"")</f>
        <v/>
      </c>
      <c r="B657" s="554">
        <f>"2025/10"&amp;D657</f>
        <v/>
      </c>
      <c r="C657" s="559" t="n">
        <v>102</v>
      </c>
      <c r="D657" s="484" t="inlineStr">
        <is>
          <t>忠孝7樓</t>
        </is>
      </c>
      <c r="E657" s="484" t="inlineStr">
        <is>
          <t>6120018</t>
        </is>
      </c>
      <c r="F657" s="551" t="n"/>
      <c r="G657" s="484" t="inlineStr">
        <is>
          <t>(V)(傳明酸)止血明 5ml/支</t>
        </is>
      </c>
      <c r="H657" s="552" t="n"/>
      <c r="I657" s="552" t="n"/>
      <c r="J657" s="551" t="n"/>
      <c r="K657" s="140" t="inlineStr">
        <is>
          <t>50支/盒</t>
        </is>
      </c>
      <c r="L657" s="560" t="n">
        <v>41</v>
      </c>
      <c r="M657" s="123" t="n"/>
      <c r="N657" s="117" t="n"/>
    </row>
    <row r="658" ht="17.25" customHeight="1" s="453" thickBot="1">
      <c r="A658" s="553">
        <f>IFERROR(LEFT(B658,7),"")</f>
        <v/>
      </c>
      <c r="B658" s="554">
        <f>"2025/10"&amp;D658</f>
        <v/>
      </c>
      <c r="C658" s="559" t="n">
        <v>103</v>
      </c>
      <c r="D658" s="484" t="inlineStr">
        <is>
          <t>忠孝7樓</t>
        </is>
      </c>
      <c r="E658" s="484" t="inlineStr">
        <is>
          <t>6120020</t>
        </is>
      </c>
      <c r="F658" s="551" t="n"/>
      <c r="G658" s="484" t="inlineStr">
        <is>
          <t>(V)(Vit C) 抗壞血酸 2mL，100倍數下單</t>
        </is>
      </c>
      <c r="H658" s="552" t="n"/>
      <c r="I658" s="552" t="n"/>
      <c r="J658" s="551" t="n"/>
      <c r="K658" s="140" t="inlineStr">
        <is>
          <t>100支/盒</t>
        </is>
      </c>
      <c r="L658" s="560" t="n">
        <v>115</v>
      </c>
      <c r="M658" s="123" t="n"/>
      <c r="N658" s="117" t="n"/>
    </row>
    <row r="659" ht="17.25" customHeight="1" s="453" thickBot="1">
      <c r="A659" s="553">
        <f>IFERROR(LEFT(B659,7),"")</f>
        <v/>
      </c>
      <c r="B659" s="554">
        <f>"2025/10"&amp;D659</f>
        <v/>
      </c>
      <c r="C659" s="559" t="n">
        <v>104</v>
      </c>
      <c r="D659" s="484" t="inlineStr">
        <is>
          <t>忠孝7樓</t>
        </is>
      </c>
      <c r="E659" s="484" t="inlineStr">
        <is>
          <t>6120021</t>
        </is>
      </c>
      <c r="F659" s="551" t="n"/>
      <c r="G659" s="484" t="inlineStr">
        <is>
          <t>(V)(Vit C)(抗壞血酸/諾貝爾)20ml，50倍數下單</t>
        </is>
      </c>
      <c r="H659" s="552" t="n"/>
      <c r="I659" s="552" t="n"/>
      <c r="J659" s="551" t="n"/>
      <c r="K659" s="140" t="inlineStr">
        <is>
          <t>50支/盒</t>
        </is>
      </c>
      <c r="L659" s="560" t="n">
        <v>405</v>
      </c>
      <c r="M659" s="123" t="n"/>
      <c r="N659" s="117" t="n"/>
    </row>
    <row r="660" ht="17.25" customHeight="1" s="453" thickBot="1">
      <c r="A660" s="553">
        <f>IFERROR(LEFT(B660,7),"")</f>
        <v/>
      </c>
      <c r="B660" s="554">
        <f>"2025/10"&amp;D660</f>
        <v/>
      </c>
      <c r="C660" s="559" t="n">
        <v>105</v>
      </c>
      <c r="D660" s="484" t="inlineStr">
        <is>
          <t>忠孝7樓</t>
        </is>
      </c>
      <c r="E660" s="484" t="inlineStr">
        <is>
          <t>6120022</t>
        </is>
      </c>
      <c r="F660" s="551" t="n"/>
      <c r="G660" s="484" t="inlineStr">
        <is>
          <t>(V)(銀杏) 循必利Gingo注射液0.84毫克/毫升 5ml</t>
        </is>
      </c>
      <c r="H660" s="552" t="n"/>
      <c r="I660" s="552" t="n"/>
      <c r="J660" s="551" t="n"/>
      <c r="K660" s="140" t="inlineStr">
        <is>
          <t>50支/盒</t>
        </is>
      </c>
      <c r="L660" s="560" t="n">
        <v>1</v>
      </c>
      <c r="M660" s="123" t="n"/>
      <c r="N660" s="117" t="n"/>
    </row>
    <row r="661" ht="17.25" customHeight="1" s="453" thickBot="1">
      <c r="A661" s="553">
        <f>IFERROR(LEFT(B661,7),"")</f>
        <v/>
      </c>
      <c r="B661" s="554">
        <f>"2025/10"&amp;D661</f>
        <v/>
      </c>
      <c r="C661" s="559" t="n">
        <v>106</v>
      </c>
      <c r="D661" s="484" t="inlineStr">
        <is>
          <t>忠孝7樓</t>
        </is>
      </c>
      <c r="E661" s="484" t="inlineStr">
        <is>
          <t>6120030</t>
        </is>
      </c>
      <c r="F661" s="551" t="n"/>
      <c r="G661" s="484" t="inlineStr">
        <is>
          <t>(V)克多炎 Keto 1ml</t>
        </is>
      </c>
      <c r="H661" s="552" t="n"/>
      <c r="I661" s="552" t="n"/>
      <c r="J661" s="551" t="n"/>
      <c r="K661" s="140" t="inlineStr">
        <is>
          <t>100支/盒</t>
        </is>
      </c>
      <c r="L661" s="560" t="n">
        <v>4</v>
      </c>
      <c r="M661" s="123" t="n"/>
      <c r="N661" s="117" t="n"/>
    </row>
    <row r="662" ht="17.25" customHeight="1" s="453" thickBot="1">
      <c r="A662" s="553">
        <f>IFERROR(LEFT(B662,7),"")</f>
        <v/>
      </c>
      <c r="B662" s="554">
        <f>"2025/10"&amp;D662</f>
        <v/>
      </c>
      <c r="C662" s="559" t="n">
        <v>107</v>
      </c>
      <c r="D662" s="484" t="inlineStr">
        <is>
          <t>忠孝7樓</t>
        </is>
      </c>
      <c r="E662" s="484" t="inlineStr">
        <is>
          <t>6120036</t>
        </is>
      </c>
      <c r="F662" s="551" t="n"/>
      <c r="G662" s="484" t="inlineStr">
        <is>
          <t>(V)貝力多(雙胜胺) 20% 50mL/ 瓶，50倍數下單</t>
        </is>
      </c>
      <c r="H662" s="552" t="n"/>
      <c r="I662" s="552" t="n"/>
      <c r="J662" s="551" t="n"/>
      <c r="K662" s="140" t="inlineStr">
        <is>
          <t>瓶(10瓶/盒)</t>
        </is>
      </c>
      <c r="L662" s="560" t="n">
        <v>1</v>
      </c>
      <c r="M662" s="123" t="n"/>
      <c r="N662" s="117" t="n"/>
    </row>
    <row r="663" ht="17.25" customHeight="1" s="453" thickBot="1">
      <c r="A663" s="553">
        <f>IFERROR(LEFT(B663,7),"")</f>
        <v/>
      </c>
      <c r="B663" s="554">
        <f>"2025/10"&amp;D663</f>
        <v/>
      </c>
      <c r="C663" s="559" t="n">
        <v>108</v>
      </c>
      <c r="D663" s="484" t="inlineStr">
        <is>
          <t>忠孝7樓</t>
        </is>
      </c>
      <c r="E663" s="484" t="inlineStr">
        <is>
          <t>6140001</t>
        </is>
      </c>
      <c r="F663" s="551" t="n"/>
      <c r="G663" s="484" t="inlineStr">
        <is>
          <t>(V)保妥適Botox/ u，100倍數下單</t>
        </is>
      </c>
      <c r="H663" s="552" t="n"/>
      <c r="I663" s="552" t="n"/>
      <c r="J663" s="551" t="n"/>
      <c r="K663" s="140" t="inlineStr">
        <is>
          <t>100U/瓶</t>
        </is>
      </c>
      <c r="L663" s="560" t="n">
        <v>4021</v>
      </c>
      <c r="M663" s="123" t="n"/>
      <c r="N663" s="117" t="n"/>
    </row>
    <row r="664" ht="17.25" customHeight="1" s="453" thickBot="1">
      <c r="A664" s="553">
        <f>IFERROR(LEFT(B664,7),"")</f>
        <v/>
      </c>
      <c r="B664" s="554">
        <f>"2025/10"&amp;D664</f>
        <v/>
      </c>
      <c r="C664" s="559" t="n">
        <v>109</v>
      </c>
      <c r="D664" s="484" t="inlineStr">
        <is>
          <t>忠孝7樓</t>
        </is>
      </c>
      <c r="E664" s="484" t="inlineStr">
        <is>
          <t>6140003</t>
        </is>
      </c>
      <c r="F664" s="551" t="n"/>
      <c r="G664" s="484" t="inlineStr">
        <is>
          <t>(V)保提拉肉毒Letybo/ u，3200倍數下單</t>
        </is>
      </c>
      <c r="H664" s="552" t="n"/>
      <c r="I664" s="552" t="n"/>
      <c r="J664" s="551" t="n"/>
      <c r="K664" s="140" t="inlineStr">
        <is>
          <t>200U/瓶</t>
        </is>
      </c>
      <c r="L664" s="560" t="n">
        <v>5960</v>
      </c>
      <c r="M664" s="123" t="n"/>
      <c r="N664" s="117" t="n"/>
    </row>
    <row r="665" ht="17.25" customHeight="1" s="453" thickBot="1">
      <c r="A665" s="553">
        <f>IFERROR(LEFT(B665,7),"")</f>
        <v/>
      </c>
      <c r="B665" s="554">
        <f>"2025/10"&amp;D665</f>
        <v/>
      </c>
      <c r="C665" s="559" t="n">
        <v>110</v>
      </c>
      <c r="D665" s="484" t="inlineStr">
        <is>
          <t>忠孝7樓</t>
        </is>
      </c>
      <c r="E665" s="484" t="inlineStr">
        <is>
          <t>6140005</t>
        </is>
      </c>
      <c r="F665" s="551" t="n"/>
      <c r="G665" s="484" t="inlineStr">
        <is>
          <t>(V)奇肌肉毒/ u，200倍數下單</t>
        </is>
      </c>
      <c r="H665" s="552" t="n"/>
      <c r="I665" s="552" t="n"/>
      <c r="J665" s="551" t="n"/>
      <c r="K665" s="140" t="inlineStr">
        <is>
          <t>200U/瓶</t>
        </is>
      </c>
      <c r="L665" s="560" t="n">
        <v>1359</v>
      </c>
      <c r="M665" s="123" t="n"/>
      <c r="N665" s="117" t="n"/>
    </row>
    <row r="666" ht="17.25" customHeight="1" s="453" thickBot="1">
      <c r="A666" s="553">
        <f>IFERROR(LEFT(B666,7),"")</f>
        <v/>
      </c>
      <c r="B666" s="554">
        <f>"2025/10"&amp;D666</f>
        <v/>
      </c>
      <c r="C666" s="559" t="n">
        <v>111</v>
      </c>
      <c r="D666" s="484" t="inlineStr">
        <is>
          <t>忠孝7樓</t>
        </is>
      </c>
      <c r="E666" s="484" t="inlineStr">
        <is>
          <t>6150001</t>
        </is>
      </c>
      <c r="F666" s="551" t="n"/>
      <c r="G666" s="484" t="inlineStr">
        <is>
          <t>(V)喬雅登-豐麗緹玻尿酸植入物Voluma 1ml</t>
        </is>
      </c>
      <c r="H666" s="552" t="n"/>
      <c r="I666" s="552" t="n"/>
      <c r="J666" s="551" t="n"/>
      <c r="K666" s="140" t="inlineStr">
        <is>
          <t>1ml(2ml/盒)</t>
        </is>
      </c>
      <c r="L666" s="560" t="n">
        <v>73</v>
      </c>
      <c r="M666" s="123" t="n"/>
      <c r="N666" s="117" t="n"/>
    </row>
    <row r="667" ht="17.25" customHeight="1" s="453" thickBot="1">
      <c r="A667" s="553">
        <f>IFERROR(LEFT(B667,7),"")</f>
        <v/>
      </c>
      <c r="B667" s="554">
        <f>"2025/10"&amp;D667</f>
        <v/>
      </c>
      <c r="C667" s="559" t="n">
        <v>112</v>
      </c>
      <c r="D667" s="484" t="inlineStr">
        <is>
          <t>忠孝7樓</t>
        </is>
      </c>
      <c r="E667" s="484" t="inlineStr">
        <is>
          <t>6150002</t>
        </is>
      </c>
      <c r="F667" s="551" t="n"/>
      <c r="G667" s="484" t="inlineStr">
        <is>
          <t>(V)喬雅登-夢蓓菈玻尿酸植入物Volbella 1ml</t>
        </is>
      </c>
      <c r="H667" s="552" t="n"/>
      <c r="I667" s="552" t="n"/>
      <c r="J667" s="551" t="n"/>
      <c r="K667" s="140" t="inlineStr">
        <is>
          <t>1ml(2ml/盒)</t>
        </is>
      </c>
      <c r="L667" s="560" t="n">
        <v>5</v>
      </c>
      <c r="M667" s="123" t="n"/>
      <c r="N667" s="117" t="n"/>
    </row>
    <row r="668" ht="17.25" customHeight="1" s="453" thickBot="1">
      <c r="A668" s="553">
        <f>IFERROR(LEFT(B668,7),"")</f>
        <v/>
      </c>
      <c r="B668" s="554">
        <f>"2025/10"&amp;D668</f>
        <v/>
      </c>
      <c r="C668" s="559" t="n">
        <v>113</v>
      </c>
      <c r="D668" s="484" t="inlineStr">
        <is>
          <t>忠孝7樓</t>
        </is>
      </c>
      <c r="E668" s="484" t="inlineStr">
        <is>
          <t>6150003</t>
        </is>
      </c>
      <c r="F668" s="551" t="n"/>
      <c r="G668" s="484" t="inlineStr">
        <is>
          <t>(V)喬雅登-豐麗緹玻尿酸植入物Volift 1ml</t>
        </is>
      </c>
      <c r="H668" s="552" t="n"/>
      <c r="I668" s="552" t="n"/>
      <c r="J668" s="551" t="n"/>
      <c r="K668" s="140" t="inlineStr">
        <is>
          <t>1ml(2ml/盒)</t>
        </is>
      </c>
      <c r="L668" s="560" t="n">
        <v>4</v>
      </c>
      <c r="M668" s="123" t="n"/>
      <c r="N668" s="117" t="n"/>
    </row>
    <row r="669" ht="17.25" customHeight="1" s="453" thickBot="1">
      <c r="A669" s="553">
        <f>IFERROR(LEFT(B669,7),"")</f>
        <v/>
      </c>
      <c r="B669" s="554">
        <f>"2025/10"&amp;D669</f>
        <v/>
      </c>
      <c r="C669" s="559" t="n">
        <v>114</v>
      </c>
      <c r="D669" s="484" t="inlineStr">
        <is>
          <t>忠孝7樓</t>
        </is>
      </c>
      <c r="E669" s="484" t="inlineStr">
        <is>
          <t>6150004</t>
        </is>
      </c>
      <c r="F669" s="551" t="n"/>
      <c r="G669" s="484" t="inlineStr">
        <is>
          <t>(V)喬雅登-豐塑玻尿酸植入物Volux 1ml</t>
        </is>
      </c>
      <c r="H669" s="552" t="n"/>
      <c r="I669" s="552" t="n"/>
      <c r="J669" s="551" t="n"/>
      <c r="K669" s="140" t="inlineStr">
        <is>
          <t>1ml(2ml/盒)</t>
        </is>
      </c>
      <c r="L669" s="560" t="n">
        <v>21</v>
      </c>
      <c r="M669" s="123" t="n"/>
      <c r="N669" s="117" t="n"/>
    </row>
    <row r="670" ht="17.25" customHeight="1" s="453" thickBot="1">
      <c r="A670" s="553">
        <f>IFERROR(LEFT(B670,7),"")</f>
        <v/>
      </c>
      <c r="B670" s="554">
        <f>"2025/10"&amp;D670</f>
        <v/>
      </c>
      <c r="C670" s="559" t="n">
        <v>115</v>
      </c>
      <c r="D670" s="484" t="inlineStr">
        <is>
          <t>忠孝7樓</t>
        </is>
      </c>
      <c r="E670" s="484" t="inlineStr">
        <is>
          <t>6150005</t>
        </is>
      </c>
      <c r="F670" s="551" t="n"/>
      <c r="G670" s="484" t="inlineStr">
        <is>
          <t>(V)喬雅登-芙潤玻尿酸植入物Volite 1ml</t>
        </is>
      </c>
      <c r="H670" s="552" t="n"/>
      <c r="I670" s="552" t="n"/>
      <c r="J670" s="551" t="n"/>
      <c r="K670" s="140" t="inlineStr">
        <is>
          <t>1ml(2ml/盒)</t>
        </is>
      </c>
      <c r="L670" s="560" t="n">
        <v>1</v>
      </c>
      <c r="M670" s="123" t="n"/>
      <c r="N670" s="117" t="n"/>
    </row>
    <row r="671" ht="17.25" customHeight="1" s="453" thickBot="1">
      <c r="A671" s="553">
        <f>IFERROR(LEFT(B671,7),"")</f>
        <v/>
      </c>
      <c r="B671" s="554">
        <f>"2025/10"&amp;D671</f>
        <v/>
      </c>
      <c r="C671" s="559" t="n">
        <v>116</v>
      </c>
      <c r="D671" s="484" t="inlineStr">
        <is>
          <t>忠孝7樓</t>
        </is>
      </c>
      <c r="E671" s="484" t="inlineStr">
        <is>
          <t>6150010</t>
        </is>
      </c>
      <c r="F671" s="551" t="n"/>
      <c r="G671" s="484" t="inlineStr">
        <is>
          <t>(V)仙女玻尿酸大分子 1ml</t>
        </is>
      </c>
      <c r="H671" s="552" t="n"/>
      <c r="I671" s="552" t="n"/>
      <c r="J671" s="551" t="n"/>
      <c r="K671" s="140" t="inlineStr">
        <is>
          <t>1ml(1ml/盒)</t>
        </is>
      </c>
      <c r="L671" s="560" t="n">
        <v>47</v>
      </c>
      <c r="M671" s="123" t="n"/>
      <c r="N671" s="117" t="n"/>
    </row>
    <row r="672" ht="17.25" customHeight="1" s="453" thickBot="1">
      <c r="A672" s="553">
        <f>IFERROR(LEFT(B672,7),"")</f>
        <v/>
      </c>
      <c r="B672" s="554">
        <f>"2025/10"&amp;D672</f>
        <v/>
      </c>
      <c r="C672" s="559" t="n">
        <v>117</v>
      </c>
      <c r="D672" s="484" t="inlineStr">
        <is>
          <t>忠孝7樓</t>
        </is>
      </c>
      <c r="E672" s="484" t="inlineStr">
        <is>
          <t>6150011</t>
        </is>
      </c>
      <c r="F672" s="551" t="n"/>
      <c r="G672" s="484" t="inlineStr">
        <is>
          <t>(V)仙女玻尿酸小分子 1ml</t>
        </is>
      </c>
      <c r="H672" s="552" t="n"/>
      <c r="I672" s="552" t="n"/>
      <c r="J672" s="551" t="n"/>
      <c r="K672" s="140" t="inlineStr">
        <is>
          <t>1ml(1ml/盒)</t>
        </is>
      </c>
      <c r="L672" s="560" t="n">
        <v>5</v>
      </c>
      <c r="M672" s="123" t="n"/>
      <c r="N672" s="117" t="n"/>
    </row>
    <row r="673" ht="17.25" customHeight="1" s="453" thickBot="1">
      <c r="A673" s="553">
        <f>IFERROR(LEFT(B673,7),"")</f>
        <v/>
      </c>
      <c r="B673" s="554">
        <f>"2025/10"&amp;D673</f>
        <v/>
      </c>
      <c r="C673" s="559" t="n">
        <v>118</v>
      </c>
      <c r="D673" s="484" t="inlineStr">
        <is>
          <t>忠孝7樓</t>
        </is>
      </c>
      <c r="E673" s="484" t="inlineStr">
        <is>
          <t>6150013</t>
        </is>
      </c>
      <c r="F673" s="551" t="n"/>
      <c r="G673" s="484" t="inlineStr">
        <is>
          <t>(V)逆時針(璞菲洛)2cc</t>
        </is>
      </c>
      <c r="H673" s="552" t="n"/>
      <c r="I673" s="552" t="n"/>
      <c r="J673" s="551" t="n"/>
      <c r="K673" s="140" t="inlineStr">
        <is>
          <t>1ml(1ml/盒)</t>
        </is>
      </c>
      <c r="L673" s="560" t="n">
        <v>36</v>
      </c>
      <c r="M673" s="123" t="n"/>
      <c r="N673" s="117" t="n"/>
    </row>
    <row r="674" ht="17.25" customHeight="1" s="453" thickBot="1">
      <c r="A674" s="553">
        <f>IFERROR(LEFT(B674,7),"")</f>
        <v/>
      </c>
      <c r="B674" s="554">
        <f>"2025/10"&amp;D674</f>
        <v/>
      </c>
      <c r="C674" s="559" t="n">
        <v>119</v>
      </c>
      <c r="D674" s="484" t="inlineStr">
        <is>
          <t>忠孝7樓</t>
        </is>
      </c>
      <c r="E674" s="484" t="inlineStr">
        <is>
          <t>6160002</t>
        </is>
      </c>
      <c r="F674" s="551" t="n"/>
      <c r="G674" s="484" t="inlineStr">
        <is>
          <t>(V)洢蓮絲植入劑ELLANSÉ-S 1ml</t>
        </is>
      </c>
      <c r="H674" s="552" t="n"/>
      <c r="I674" s="552" t="n"/>
      <c r="J674" s="551" t="n"/>
      <c r="K674" s="140" t="inlineStr">
        <is>
          <t>1ml(2ml/盒)</t>
        </is>
      </c>
      <c r="L674" s="560" t="n">
        <v>81</v>
      </c>
      <c r="M674" s="123" t="n"/>
      <c r="N674" s="117" t="n"/>
    </row>
    <row r="675" ht="17.25" customHeight="1" s="453" thickBot="1">
      <c r="A675" s="553">
        <f>IFERROR(LEFT(B675,7),"")</f>
        <v/>
      </c>
      <c r="B675" s="554">
        <f>"2025/10"&amp;D675</f>
        <v/>
      </c>
      <c r="C675" s="559" t="n">
        <v>120</v>
      </c>
      <c r="D675" s="484" t="inlineStr">
        <is>
          <t>忠孝7樓</t>
        </is>
      </c>
      <c r="E675" s="484" t="inlineStr">
        <is>
          <t>6160003</t>
        </is>
      </c>
      <c r="F675" s="551" t="n"/>
      <c r="G675" s="484" t="inlineStr">
        <is>
          <t>(V)洢蓮絲植入劑ELLANSÉ-M 1ml</t>
        </is>
      </c>
      <c r="H675" s="552" t="n"/>
      <c r="I675" s="552" t="n"/>
      <c r="J675" s="551" t="n"/>
      <c r="K675" s="140" t="inlineStr">
        <is>
          <t>1ml(2ml/盒)</t>
        </is>
      </c>
      <c r="L675" s="560" t="n">
        <v>13</v>
      </c>
      <c r="M675" s="123" t="n"/>
      <c r="N675" s="117" t="n"/>
    </row>
    <row r="676" ht="17.25" customHeight="1" s="453" thickBot="1">
      <c r="A676" s="553">
        <f>IFERROR(LEFT(B676,7),"")</f>
        <v/>
      </c>
      <c r="B676" s="554">
        <f>"2025/10"&amp;D676</f>
        <v/>
      </c>
      <c r="C676" s="559" t="n">
        <v>121</v>
      </c>
      <c r="D676" s="484" t="inlineStr">
        <is>
          <t>忠孝7樓</t>
        </is>
      </c>
      <c r="E676" s="484" t="inlineStr">
        <is>
          <t>6160005</t>
        </is>
      </c>
      <c r="F676" s="551" t="n"/>
      <c r="G676" s="484" t="inlineStr">
        <is>
          <t>(V)双美熊貓針</t>
        </is>
      </c>
      <c r="H676" s="552" t="n"/>
      <c r="I676" s="552" t="n"/>
      <c r="J676" s="551" t="n"/>
      <c r="K676" s="140" t="inlineStr">
        <is>
          <t>(1ml/盒)</t>
        </is>
      </c>
      <c r="L676" s="560" t="n">
        <v>19</v>
      </c>
      <c r="M676" s="123" t="n"/>
      <c r="N676" s="117" t="n"/>
    </row>
    <row r="677" ht="17.25" customHeight="1" s="453" thickBot="1">
      <c r="A677" s="553">
        <f>IFERROR(LEFT(B677,7),"")</f>
        <v/>
      </c>
      <c r="B677" s="554">
        <f>"2025/10"&amp;D677</f>
        <v/>
      </c>
      <c r="C677" s="559" t="n">
        <v>122</v>
      </c>
      <c r="D677" s="484" t="inlineStr">
        <is>
          <t>忠孝7樓</t>
        </is>
      </c>
      <c r="E677" s="484" t="inlineStr">
        <is>
          <t>6160008</t>
        </is>
      </c>
      <c r="F677" s="551" t="n"/>
      <c r="G677" s="484" t="inlineStr">
        <is>
          <t>白童針-薇貝拉50mg/1cc</t>
        </is>
      </c>
      <c r="H677" s="552" t="n"/>
      <c r="I677" s="552" t="n"/>
      <c r="J677" s="551" t="n"/>
      <c r="K677" s="140" t="inlineStr">
        <is>
          <t>6cc/瓶</t>
        </is>
      </c>
      <c r="L677" s="560" t="n">
        <v>441</v>
      </c>
      <c r="M677" s="123" t="n"/>
      <c r="N677" s="117" t="n"/>
    </row>
    <row r="678" ht="17.25" customHeight="1" s="453" thickBot="1">
      <c r="A678" s="553">
        <f>IFERROR(LEFT(B678,7),"")</f>
        <v/>
      </c>
      <c r="B678" s="554">
        <f>"2025/10"&amp;D678</f>
        <v/>
      </c>
      <c r="C678" s="559" t="n">
        <v>123</v>
      </c>
      <c r="D678" s="484" t="inlineStr">
        <is>
          <t>忠孝7樓</t>
        </is>
      </c>
      <c r="E678" s="484" t="inlineStr">
        <is>
          <t>6160009</t>
        </is>
      </c>
      <c r="F678" s="551" t="n"/>
      <c r="G678" s="484" t="inlineStr">
        <is>
          <t>黑童針-薇貝拉200mg/1cc</t>
        </is>
      </c>
      <c r="H678" s="552" t="n"/>
      <c r="I678" s="552" t="n"/>
      <c r="J678" s="551" t="n"/>
      <c r="K678" s="140" t="inlineStr">
        <is>
          <t>8cc/瓶</t>
        </is>
      </c>
      <c r="L678" s="560" t="n">
        <v>6</v>
      </c>
      <c r="M678" s="123" t="n"/>
      <c r="N678" s="117" t="n"/>
    </row>
    <row r="679" ht="17.25" customHeight="1" s="453" thickBot="1">
      <c r="A679" s="553">
        <f>IFERROR(LEFT(B679,7),"")</f>
        <v/>
      </c>
      <c r="B679" s="554">
        <f>"2025/10"&amp;D679</f>
        <v/>
      </c>
      <c r="C679" s="559" t="n">
        <v>124</v>
      </c>
      <c r="D679" s="484" t="inlineStr">
        <is>
          <t>忠孝7樓</t>
        </is>
      </c>
      <c r="E679" s="484" t="inlineStr">
        <is>
          <t>6160010</t>
        </is>
      </c>
      <c r="F679" s="551" t="n"/>
      <c r="G679" s="484" t="inlineStr">
        <is>
          <t>喬雅露-大分子200mg/1cc</t>
        </is>
      </c>
      <c r="H679" s="552" t="n"/>
      <c r="I679" s="552" t="n"/>
      <c r="J679" s="551" t="n"/>
      <c r="K679" s="140" t="inlineStr">
        <is>
          <t>8cc/瓶</t>
        </is>
      </c>
      <c r="L679" s="560" t="n">
        <v>51</v>
      </c>
      <c r="M679" s="123" t="n"/>
      <c r="N679" s="117" t="n"/>
    </row>
    <row r="680" ht="17.25" customHeight="1" s="453" thickBot="1">
      <c r="A680" s="553">
        <f>IFERROR(LEFT(B680,7),"")</f>
        <v/>
      </c>
      <c r="B680" s="554">
        <f>"2025/10"&amp;D680</f>
        <v/>
      </c>
      <c r="C680" s="559" t="n">
        <v>125</v>
      </c>
      <c r="D680" s="484" t="inlineStr">
        <is>
          <t>忠孝7樓</t>
        </is>
      </c>
      <c r="E680" s="484" t="inlineStr">
        <is>
          <t>6160011</t>
        </is>
      </c>
      <c r="F680" s="551" t="n"/>
      <c r="G680" s="484" t="inlineStr">
        <is>
          <t>喬雅露-小分子50mg/1cc</t>
        </is>
      </c>
      <c r="H680" s="552" t="n"/>
      <c r="I680" s="552" t="n"/>
      <c r="J680" s="551" t="n"/>
      <c r="K680" s="140" t="inlineStr">
        <is>
          <t>6cc/瓶</t>
        </is>
      </c>
      <c r="L680" s="560" t="n">
        <v>40</v>
      </c>
      <c r="M680" s="123" t="n"/>
      <c r="N680" s="117" t="n"/>
    </row>
    <row r="681" ht="17.25" customHeight="1" s="453" thickBot="1">
      <c r="A681" s="553">
        <f>IFERROR(LEFT(B681,7),"")</f>
        <v/>
      </c>
      <c r="B681" s="554">
        <f>"2025/10"&amp;D681</f>
        <v/>
      </c>
      <c r="C681" s="559" t="n">
        <v>126</v>
      </c>
      <c r="D681" s="484" t="inlineStr">
        <is>
          <t>忠孝7樓</t>
        </is>
      </c>
      <c r="E681" s="484" t="inlineStr">
        <is>
          <t>6170005</t>
        </is>
      </c>
      <c r="F681" s="551" t="n"/>
      <c r="G681" s="484" t="inlineStr">
        <is>
          <t>海芙三代音波探頭2mm/ 條</t>
        </is>
      </c>
      <c r="H681" s="552" t="n"/>
      <c r="I681" s="552" t="n"/>
      <c r="J681" s="551" t="n"/>
      <c r="K681" s="140" t="inlineStr">
        <is>
          <t>20000條/顆</t>
        </is>
      </c>
      <c r="L681" s="560" t="n">
        <v>12080</v>
      </c>
      <c r="M681" s="123" t="n"/>
      <c r="N681" s="117" t="n"/>
    </row>
    <row r="682" ht="17.25" customHeight="1" s="453" thickBot="1">
      <c r="A682" s="553">
        <f>IFERROR(LEFT(B682,7),"")</f>
        <v/>
      </c>
      <c r="B682" s="554">
        <f>"2025/10"&amp;D682</f>
        <v/>
      </c>
      <c r="C682" s="559" t="n">
        <v>127</v>
      </c>
      <c r="D682" s="484" t="inlineStr">
        <is>
          <t>忠孝7樓</t>
        </is>
      </c>
      <c r="E682" s="484" t="inlineStr">
        <is>
          <t>6170007</t>
        </is>
      </c>
      <c r="F682" s="551" t="n"/>
      <c r="G682" s="484" t="inlineStr">
        <is>
          <t>海芙三代音波探頭3mm/ 條</t>
        </is>
      </c>
      <c r="H682" s="552" t="n"/>
      <c r="I682" s="552" t="n"/>
      <c r="J682" s="551" t="n"/>
      <c r="K682" s="140" t="inlineStr">
        <is>
          <t>20000條/顆</t>
        </is>
      </c>
      <c r="L682" s="560" t="n">
        <v>36263</v>
      </c>
      <c r="M682" s="123" t="n"/>
      <c r="N682" s="117" t="n"/>
    </row>
    <row r="683" ht="17.25" customHeight="1" s="453" thickBot="1">
      <c r="A683" s="553">
        <f>IFERROR(LEFT(B683,7),"")</f>
        <v/>
      </c>
      <c r="B683" s="554">
        <f>"2025/10"&amp;D683</f>
        <v/>
      </c>
      <c r="C683" s="559" t="n">
        <v>128</v>
      </c>
      <c r="D683" s="484" t="inlineStr">
        <is>
          <t>忠孝7樓</t>
        </is>
      </c>
      <c r="E683" s="484" t="inlineStr">
        <is>
          <t>6170009</t>
        </is>
      </c>
      <c r="F683" s="551" t="n"/>
      <c r="G683" s="484" t="inlineStr">
        <is>
          <t>海芙三代音波探頭4.5mm/ 條</t>
        </is>
      </c>
      <c r="H683" s="552" t="n"/>
      <c r="I683" s="552" t="n"/>
      <c r="J683" s="551" t="n"/>
      <c r="K683" s="140" t="inlineStr">
        <is>
          <t>20000條/顆</t>
        </is>
      </c>
      <c r="L683" s="560" t="n">
        <v>66570</v>
      </c>
      <c r="M683" s="123" t="n"/>
      <c r="N683" s="117" t="n"/>
    </row>
    <row r="684" ht="17.25" customHeight="1" s="453" thickBot="1">
      <c r="A684" s="553">
        <f>IFERROR(LEFT(B684,7),"")</f>
        <v/>
      </c>
      <c r="B684" s="554">
        <f>"2025/10"&amp;D684</f>
        <v/>
      </c>
      <c r="C684" s="559" t="n">
        <v>129</v>
      </c>
      <c r="D684" s="484" t="inlineStr">
        <is>
          <t>忠孝7樓</t>
        </is>
      </c>
      <c r="E684" s="484" t="inlineStr">
        <is>
          <t>6170011</t>
        </is>
      </c>
      <c r="F684" s="551" t="n"/>
      <c r="G684" s="484" t="inlineStr">
        <is>
          <t>海芙三代音波探頭6mm/ 條</t>
        </is>
      </c>
      <c r="H684" s="552" t="n"/>
      <c r="I684" s="552" t="n"/>
      <c r="J684" s="551" t="n"/>
      <c r="K684" s="140" t="inlineStr">
        <is>
          <t>條</t>
        </is>
      </c>
      <c r="L684" s="560" t="n">
        <v>13796</v>
      </c>
      <c r="M684" s="123" t="n"/>
      <c r="N684" s="117" t="n"/>
    </row>
    <row r="685" ht="17.25" customHeight="1" s="453" thickBot="1">
      <c r="A685" s="553">
        <f>IFERROR(LEFT(B685,7),"")</f>
        <v/>
      </c>
      <c r="B685" s="554">
        <f>"2025/10"&amp;D685</f>
        <v/>
      </c>
      <c r="C685" s="559" t="n">
        <v>130</v>
      </c>
      <c r="D685" s="484" t="inlineStr">
        <is>
          <t>忠孝7樓</t>
        </is>
      </c>
      <c r="E685" s="484" t="inlineStr">
        <is>
          <t>6170013</t>
        </is>
      </c>
      <c r="F685" s="551" t="n"/>
      <c r="G685" s="484" t="inlineStr">
        <is>
          <t>鳳凰電波4平方公分紫鑽探頭(900發)</t>
        </is>
      </c>
      <c r="H685" s="552" t="n"/>
      <c r="I685" s="552" t="n"/>
      <c r="J685" s="551" t="n"/>
      <c r="K685" s="140" t="inlineStr">
        <is>
          <t>顆</t>
        </is>
      </c>
      <c r="L685" s="560" t="n">
        <v>21</v>
      </c>
      <c r="M685" s="123" t="n"/>
      <c r="N685" s="117" t="n"/>
    </row>
    <row r="686" ht="17.25" customHeight="1" s="453" thickBot="1">
      <c r="A686" s="553">
        <f>IFERROR(LEFT(B686,7),"")</f>
        <v/>
      </c>
      <c r="B686" s="554">
        <f>"2025/10"&amp;D686</f>
        <v/>
      </c>
      <c r="C686" s="559" t="n">
        <v>131</v>
      </c>
      <c r="D686" s="484" t="inlineStr">
        <is>
          <t>忠孝7樓</t>
        </is>
      </c>
      <c r="E686" s="484" t="inlineStr">
        <is>
          <t>6170014</t>
        </is>
      </c>
      <c r="F686" s="551" t="n"/>
      <c r="G686" s="484" t="inlineStr">
        <is>
          <t>鳳凰電波0.25平方公分碧眼探頭(450發)</t>
        </is>
      </c>
      <c r="H686" s="552" t="n"/>
      <c r="I686" s="552" t="n"/>
      <c r="J686" s="551" t="n"/>
      <c r="K686" s="140" t="inlineStr">
        <is>
          <t>顆</t>
        </is>
      </c>
      <c r="L686" s="560" t="n">
        <v>16</v>
      </c>
      <c r="M686" s="123" t="n"/>
      <c r="N686" s="117" t="n"/>
    </row>
    <row r="687" ht="17.25" customHeight="1" s="453" thickBot="1">
      <c r="A687" s="553">
        <f>IFERROR(LEFT(B687,7),"")</f>
        <v/>
      </c>
      <c r="B687" s="554">
        <f>"2025/10"&amp;D687</f>
        <v/>
      </c>
      <c r="C687" s="559" t="n">
        <v>132</v>
      </c>
      <c r="D687" s="484" t="inlineStr">
        <is>
          <t>忠孝7樓</t>
        </is>
      </c>
      <c r="E687" s="484" t="inlineStr">
        <is>
          <t>6170019</t>
        </is>
      </c>
      <c r="F687" s="551" t="n"/>
      <c r="G687" s="484" t="inlineStr">
        <is>
          <t>媚必提直線探頭2.0mm/條</t>
        </is>
      </c>
      <c r="H687" s="552" t="n"/>
      <c r="I687" s="552" t="n"/>
      <c r="J687" s="551" t="n"/>
      <c r="K687" s="140" t="inlineStr">
        <is>
          <t>20000條/顆</t>
        </is>
      </c>
      <c r="L687" s="560" t="n">
        <v>11549</v>
      </c>
      <c r="M687" s="123" t="n"/>
      <c r="N687" s="117" t="n"/>
    </row>
    <row r="688" ht="17.25" customHeight="1" s="453" thickBot="1">
      <c r="A688" s="553">
        <f>IFERROR(LEFT(B688,7),"")</f>
        <v/>
      </c>
      <c r="B688" s="554">
        <f>"2025/10"&amp;D688</f>
        <v/>
      </c>
      <c r="C688" s="559" t="n">
        <v>133</v>
      </c>
      <c r="D688" s="484" t="inlineStr">
        <is>
          <t>忠孝7樓</t>
        </is>
      </c>
      <c r="E688" s="484" t="inlineStr">
        <is>
          <t>6170020</t>
        </is>
      </c>
      <c r="F688" s="551" t="n"/>
      <c r="G688" s="484" t="inlineStr">
        <is>
          <t>媚必提直線探頭3.0mm/條</t>
        </is>
      </c>
      <c r="H688" s="552" t="n"/>
      <c r="I688" s="552" t="n"/>
      <c r="J688" s="551" t="n"/>
      <c r="K688" s="140" t="inlineStr">
        <is>
          <t>20000條/顆</t>
        </is>
      </c>
      <c r="L688" s="560" t="n">
        <v>21823</v>
      </c>
      <c r="M688" s="123" t="n"/>
      <c r="N688" s="117" t="n"/>
    </row>
    <row r="689" ht="17.25" customHeight="1" s="453" thickBot="1">
      <c r="A689" s="553">
        <f>IFERROR(LEFT(B689,7),"")</f>
        <v/>
      </c>
      <c r="B689" s="554">
        <f>"2025/10"&amp;D689</f>
        <v/>
      </c>
      <c r="C689" s="559" t="n">
        <v>134</v>
      </c>
      <c r="D689" s="484" t="inlineStr">
        <is>
          <t>忠孝7樓</t>
        </is>
      </c>
      <c r="E689" s="484" t="inlineStr">
        <is>
          <t>6170021</t>
        </is>
      </c>
      <c r="F689" s="551" t="n"/>
      <c r="G689" s="484" t="inlineStr">
        <is>
          <t>媚必提直線探頭4.5mm/條</t>
        </is>
      </c>
      <c r="H689" s="552" t="n"/>
      <c r="I689" s="552" t="n"/>
      <c r="J689" s="551" t="n"/>
      <c r="K689" s="140" t="inlineStr">
        <is>
          <t>20000條/顆</t>
        </is>
      </c>
      <c r="L689" s="560" t="n">
        <v>44022</v>
      </c>
      <c r="M689" s="123" t="n"/>
      <c r="N689" s="117" t="n"/>
    </row>
    <row r="690" ht="17.25" customHeight="1" s="453" thickBot="1">
      <c r="A690" s="553">
        <f>IFERROR(LEFT(B690,7),"")</f>
        <v/>
      </c>
      <c r="B690" s="554">
        <f>"2025/10"&amp;D690</f>
        <v/>
      </c>
      <c r="C690" s="559" t="n">
        <v>135</v>
      </c>
      <c r="D690" s="484" t="inlineStr">
        <is>
          <t>忠孝7樓</t>
        </is>
      </c>
      <c r="E690" s="484" t="inlineStr">
        <is>
          <t>6170022</t>
        </is>
      </c>
      <c r="F690" s="551" t="n"/>
      <c r="G690" s="484" t="inlineStr">
        <is>
          <t>媚必提直線探頭6.0mm/條</t>
        </is>
      </c>
      <c r="H690" s="552" t="n"/>
      <c r="I690" s="552" t="n"/>
      <c r="J690" s="551" t="n"/>
      <c r="K690" s="140" t="inlineStr">
        <is>
          <t>20000條/顆</t>
        </is>
      </c>
      <c r="L690" s="560" t="n">
        <v>16767</v>
      </c>
      <c r="M690" s="123" t="n"/>
      <c r="N690" s="117" t="n"/>
    </row>
    <row r="691" ht="17.25" customHeight="1" s="453" thickBot="1">
      <c r="A691" s="553">
        <f>IFERROR(LEFT(B691,7),"")</f>
        <v/>
      </c>
      <c r="B691" s="554">
        <f>"2025/10"&amp;D691</f>
        <v/>
      </c>
      <c r="C691" s="559" t="n">
        <v>136</v>
      </c>
      <c r="D691" s="484" t="inlineStr">
        <is>
          <t>忠孝7樓</t>
        </is>
      </c>
      <c r="E691" s="484" t="inlineStr">
        <is>
          <t>6170028</t>
        </is>
      </c>
      <c r="F691" s="551" t="n"/>
      <c r="G691" s="484" t="inlineStr">
        <is>
          <t>海芙電波探頭0.25cm/發</t>
        </is>
      </c>
      <c r="H691" s="552" t="n"/>
      <c r="I691" s="552" t="n"/>
      <c r="J691" s="551" t="n"/>
      <c r="K691" s="140" t="inlineStr">
        <is>
          <t>6000發/顆</t>
        </is>
      </c>
      <c r="L691" s="560" t="n">
        <v>14002</v>
      </c>
      <c r="M691" s="123" t="n"/>
      <c r="N691" s="117" t="n"/>
    </row>
    <row r="692" ht="17.25" customHeight="1" s="453" thickBot="1">
      <c r="A692" s="553">
        <f>IFERROR(LEFT(B692,7),"")</f>
        <v/>
      </c>
      <c r="B692" s="554">
        <f>"2025/10"&amp;D692</f>
        <v/>
      </c>
      <c r="C692" s="559" t="n">
        <v>137</v>
      </c>
      <c r="D692" s="484" t="inlineStr">
        <is>
          <t>忠孝7樓</t>
        </is>
      </c>
      <c r="E692" s="484" t="inlineStr">
        <is>
          <t>6170029</t>
        </is>
      </c>
      <c r="F692" s="551" t="n"/>
      <c r="G692" s="484" t="inlineStr">
        <is>
          <t>海芙電波探頭3.0cm/發</t>
        </is>
      </c>
      <c r="H692" s="552" t="n"/>
      <c r="I692" s="552" t="n"/>
      <c r="J692" s="551" t="n"/>
      <c r="K692" s="140" t="inlineStr">
        <is>
          <t>4000發/顆</t>
        </is>
      </c>
      <c r="L692" s="560" t="n">
        <v>29630</v>
      </c>
      <c r="M692" s="123" t="n"/>
      <c r="N692" s="117" t="n"/>
    </row>
    <row r="693" ht="17.25" customHeight="1" s="453" thickBot="1">
      <c r="A693" s="553">
        <f>IFERROR(LEFT(B693,7),"")</f>
        <v/>
      </c>
      <c r="B693" s="554">
        <f>"2025/10"&amp;D693</f>
        <v/>
      </c>
      <c r="C693" s="559" t="n">
        <v>138</v>
      </c>
      <c r="D693" s="484" t="inlineStr">
        <is>
          <t>忠孝7樓</t>
        </is>
      </c>
      <c r="E693" s="484" t="inlineStr">
        <is>
          <t>6170030</t>
        </is>
      </c>
      <c r="F693" s="551" t="n"/>
      <c r="G693" s="484" t="inlineStr">
        <is>
          <t>海芙電波探頭4.0cm/發</t>
        </is>
      </c>
      <c r="H693" s="552" t="n"/>
      <c r="I693" s="552" t="n"/>
      <c r="J693" s="551" t="n"/>
      <c r="K693" s="140" t="inlineStr">
        <is>
          <t>3000發/顆</t>
        </is>
      </c>
      <c r="L693" s="560" t="n">
        <v>1</v>
      </c>
      <c r="M693" s="123" t="n"/>
      <c r="N693" s="117" t="n"/>
    </row>
    <row r="694" ht="17.25" customHeight="1" s="453" thickBot="1">
      <c r="A694" s="553">
        <f>IFERROR(LEFT(B694,7),"")</f>
        <v/>
      </c>
      <c r="B694" s="554">
        <f>"2025/10"&amp;D694</f>
        <v/>
      </c>
      <c r="C694" s="559" t="n">
        <v>139</v>
      </c>
      <c r="D694" s="484" t="inlineStr">
        <is>
          <t>忠孝7樓</t>
        </is>
      </c>
      <c r="E694" s="484" t="inlineStr">
        <is>
          <t>6170031</t>
        </is>
      </c>
      <c r="F694" s="551" t="n"/>
      <c r="G694" s="484" t="inlineStr">
        <is>
          <t>海芙電波探頭16.0cm/發</t>
        </is>
      </c>
      <c r="H694" s="552" t="n"/>
      <c r="I694" s="552" t="n"/>
      <c r="J694" s="551" t="n"/>
      <c r="K694" s="140" t="inlineStr">
        <is>
          <t>發</t>
        </is>
      </c>
      <c r="L694" s="560" t="n">
        <v>1</v>
      </c>
      <c r="M694" s="123" t="n"/>
      <c r="N694" s="117" t="n"/>
    </row>
    <row r="695" ht="17.25" customHeight="1" s="453" thickBot="1">
      <c r="A695" s="553">
        <f>IFERROR(LEFT(B695,7),"")</f>
        <v/>
      </c>
      <c r="B695" s="554">
        <f>"2025/10"&amp;D695</f>
        <v/>
      </c>
      <c r="C695" s="559" t="n">
        <v>140</v>
      </c>
      <c r="D695" s="484" t="inlineStr">
        <is>
          <t>忠孝7樓</t>
        </is>
      </c>
      <c r="E695" s="484" t="inlineStr">
        <is>
          <t>6170032</t>
        </is>
      </c>
      <c r="F695" s="551" t="n"/>
      <c r="G695" s="484" t="inlineStr">
        <is>
          <t>立特拉A2筆型探頭3.0mm/ 條</t>
        </is>
      </c>
      <c r="H695" s="552" t="n"/>
      <c r="I695" s="552" t="n"/>
      <c r="J695" s="551" t="n"/>
      <c r="K695" s="140" t="inlineStr">
        <is>
          <t>240000條/顆</t>
        </is>
      </c>
      <c r="L695" s="560" t="n">
        <v>388700</v>
      </c>
      <c r="M695" s="123" t="n"/>
      <c r="N695" s="117" t="n"/>
    </row>
    <row r="696" ht="17.25" customHeight="1" s="453" thickBot="1">
      <c r="A696" s="553">
        <f>IFERROR(LEFT(B696,7),"")</f>
        <v/>
      </c>
      <c r="B696" s="554">
        <f>"2025/10"&amp;D696</f>
        <v/>
      </c>
      <c r="C696" s="559" t="n">
        <v>141</v>
      </c>
      <c r="D696" s="484" t="inlineStr">
        <is>
          <t>忠孝7樓</t>
        </is>
      </c>
      <c r="E696" s="484" t="inlineStr">
        <is>
          <t>6170033</t>
        </is>
      </c>
      <c r="F696" s="551" t="n"/>
      <c r="G696" s="484" t="inlineStr">
        <is>
          <t>立特拉A2筆型探頭4.5mm/ 條</t>
        </is>
      </c>
      <c r="H696" s="552" t="n"/>
      <c r="I696" s="552" t="n"/>
      <c r="J696" s="551" t="n"/>
      <c r="K696" s="140" t="inlineStr">
        <is>
          <t>240000條/顆</t>
        </is>
      </c>
      <c r="L696" s="560" t="n">
        <v>189500</v>
      </c>
      <c r="M696" s="123" t="n"/>
      <c r="N696" s="117" t="n"/>
    </row>
    <row r="697" ht="17.25" customHeight="1" s="453" thickBot="1">
      <c r="A697" s="553">
        <f>IFERROR(LEFT(B697,7),"")</f>
        <v/>
      </c>
      <c r="B697" s="554">
        <f>"2025/10"&amp;D697</f>
        <v/>
      </c>
      <c r="C697" s="559" t="n">
        <v>142</v>
      </c>
      <c r="D697" s="484" t="inlineStr">
        <is>
          <t>忠孝7樓</t>
        </is>
      </c>
      <c r="E697" s="484" t="inlineStr">
        <is>
          <t>6170034</t>
        </is>
      </c>
      <c r="F697" s="551" t="n"/>
      <c r="G697" s="484" t="inlineStr">
        <is>
          <t>十蓓電波臉部探頭5cm</t>
        </is>
      </c>
      <c r="H697" s="552" t="n"/>
      <c r="I697" s="552" t="n"/>
      <c r="J697" s="551" t="n"/>
      <c r="K697" s="140" t="inlineStr">
        <is>
          <t>900發/顆</t>
        </is>
      </c>
      <c r="L697" s="560" t="n">
        <v>39712</v>
      </c>
      <c r="M697" s="123" t="n"/>
      <c r="N697" s="117" t="n"/>
    </row>
    <row r="698" ht="17.25" customHeight="1" s="453" thickBot="1">
      <c r="A698" s="553">
        <f>IFERROR(LEFT(B698,7),"")</f>
        <v/>
      </c>
      <c r="B698" s="554">
        <f>"2025/10"&amp;D698</f>
        <v/>
      </c>
      <c r="C698" s="559" t="n">
        <v>143</v>
      </c>
      <c r="D698" s="484" t="inlineStr">
        <is>
          <t>忠孝7樓</t>
        </is>
      </c>
      <c r="E698" s="484" t="inlineStr">
        <is>
          <t>6170035</t>
        </is>
      </c>
      <c r="F698" s="551" t="n"/>
      <c r="G698" s="484" t="inlineStr">
        <is>
          <t>十蓓電波眼部探頭0.25cm</t>
        </is>
      </c>
      <c r="H698" s="552" t="n"/>
      <c r="I698" s="552" t="n"/>
      <c r="J698" s="551" t="n"/>
      <c r="K698" s="140" t="inlineStr">
        <is>
          <t>600發/顆</t>
        </is>
      </c>
      <c r="L698" s="560" t="n">
        <v>10101</v>
      </c>
      <c r="M698" s="123" t="n"/>
      <c r="N698" s="117" t="n"/>
    </row>
    <row r="699" ht="17.25" customHeight="1" s="453" thickBot="1">
      <c r="A699" s="553">
        <f>IFERROR(LEFT(B699,7),"")</f>
        <v/>
      </c>
      <c r="B699" s="554">
        <f>"2025/10"&amp;D699</f>
        <v/>
      </c>
      <c r="C699" s="559" t="n">
        <v>144</v>
      </c>
      <c r="D699" s="484" t="inlineStr">
        <is>
          <t>忠孝7樓</t>
        </is>
      </c>
      <c r="E699" s="484" t="inlineStr">
        <is>
          <t>6180007</t>
        </is>
      </c>
      <c r="F699" s="551" t="n"/>
      <c r="G699" s="484" t="inlineStr">
        <is>
          <t>(V)MINT秘特拉提線PETIT 15CM/ 條</t>
        </is>
      </c>
      <c r="H699" s="552" t="n"/>
      <c r="I699" s="552" t="n"/>
      <c r="J699" s="551" t="n"/>
      <c r="K699" s="140" t="inlineStr">
        <is>
          <t>20條/盒</t>
        </is>
      </c>
      <c r="L699" s="560" t="n">
        <v>4</v>
      </c>
      <c r="M699" s="123" t="n"/>
      <c r="N699" s="117" t="n"/>
    </row>
    <row r="700" ht="17.25" customHeight="1" s="453" thickBot="1">
      <c r="A700" s="553">
        <f>IFERROR(LEFT(B700,7),"")</f>
        <v/>
      </c>
      <c r="B700" s="554">
        <f>"2025/10"&amp;D700</f>
        <v/>
      </c>
      <c r="C700" s="559" t="n">
        <v>145</v>
      </c>
      <c r="D700" s="484" t="inlineStr">
        <is>
          <t>忠孝7樓</t>
        </is>
      </c>
      <c r="E700" s="484" t="inlineStr">
        <is>
          <t>6180009</t>
        </is>
      </c>
      <c r="F700" s="551" t="n"/>
      <c r="G700" s="484" t="inlineStr">
        <is>
          <t>(V)MINT秘特拉提線TIP 4CM/ 條</t>
        </is>
      </c>
      <c r="H700" s="552" t="n"/>
      <c r="I700" s="552" t="n"/>
      <c r="J700" s="551" t="n"/>
      <c r="K700" s="140" t="inlineStr">
        <is>
          <t>10條/盒</t>
        </is>
      </c>
      <c r="L700" s="560" t="n">
        <v>8</v>
      </c>
      <c r="M700" s="123" t="n"/>
      <c r="N700" s="117" t="n"/>
    </row>
    <row r="701" ht="17.25" customHeight="1" s="453" thickBot="1">
      <c r="A701" s="553">
        <f>IFERROR(LEFT(B701,7),"")</f>
        <v/>
      </c>
      <c r="B701" s="554">
        <f>"2025/10"&amp;D701</f>
        <v/>
      </c>
      <c r="C701" s="559" t="n">
        <v>146</v>
      </c>
      <c r="D701" s="484" t="inlineStr">
        <is>
          <t>忠孝7樓</t>
        </is>
      </c>
      <c r="E701" s="484" t="inlineStr">
        <is>
          <t>6180011</t>
        </is>
      </c>
      <c r="F701" s="551" t="n"/>
      <c r="G701" s="484" t="inlineStr">
        <is>
          <t>(V)MINT秘特拉提線UP 9.5CM/ 條</t>
        </is>
      </c>
      <c r="H701" s="552" t="n"/>
      <c r="I701" s="552" t="n"/>
      <c r="J701" s="551" t="n"/>
      <c r="K701" s="140" t="inlineStr">
        <is>
          <t>10條/盒</t>
        </is>
      </c>
      <c r="L701" s="560" t="n">
        <v>4</v>
      </c>
      <c r="M701" s="123" t="n"/>
      <c r="N701" s="117" t="n"/>
    </row>
    <row r="702" ht="17.25" customHeight="1" s="453" thickBot="1">
      <c r="A702" s="553">
        <f>IFERROR(LEFT(B702,7),"")</f>
        <v/>
      </c>
      <c r="B702" s="554">
        <f>"2025/10"&amp;D702</f>
        <v/>
      </c>
      <c r="C702" s="559" t="n">
        <v>147</v>
      </c>
      <c r="D702" s="484" t="inlineStr">
        <is>
          <t>忠孝7樓</t>
        </is>
      </c>
      <c r="E702" s="484" t="inlineStr">
        <is>
          <t>6180013</t>
        </is>
      </c>
      <c r="F702" s="551" t="n"/>
      <c r="G702" s="484" t="inlineStr">
        <is>
          <t>(V)MINT秘特拉提線FIX 18CM/ 條</t>
        </is>
      </c>
      <c r="H702" s="552" t="n"/>
      <c r="I702" s="552" t="n"/>
      <c r="J702" s="551" t="n"/>
      <c r="K702" s="140" t="inlineStr">
        <is>
          <t>20條/盒</t>
        </is>
      </c>
      <c r="L702" s="560" t="n">
        <v>8</v>
      </c>
      <c r="M702" s="123" t="n"/>
      <c r="N702" s="117" t="n"/>
    </row>
    <row r="703" ht="17.25" customHeight="1" s="453" thickBot="1">
      <c r="A703" s="553">
        <f>IFERROR(LEFT(B703,7),"")</f>
        <v/>
      </c>
      <c r="B703" s="554">
        <f>"2025/10"&amp;D703</f>
        <v/>
      </c>
      <c r="C703" s="559" t="n">
        <v>148</v>
      </c>
      <c r="D703" s="484" t="inlineStr">
        <is>
          <t>忠孝7樓</t>
        </is>
      </c>
      <c r="E703" s="484" t="inlineStr">
        <is>
          <t>6190001</t>
        </is>
      </c>
      <c r="F703" s="551" t="n"/>
      <c r="G703" s="484" t="inlineStr">
        <is>
          <t>PLT生長因子凍晶製備/ 瓶</t>
        </is>
      </c>
      <c r="H703" s="552" t="n"/>
      <c r="I703" s="552" t="n"/>
      <c r="J703" s="551" t="n"/>
      <c r="K703" s="140" t="inlineStr">
        <is>
          <t>瓶</t>
        </is>
      </c>
      <c r="L703" s="560" t="n">
        <v>7</v>
      </c>
      <c r="M703" s="123" t="n"/>
      <c r="N703" s="117" t="n"/>
    </row>
    <row r="704" ht="17.25" customHeight="1" s="453" thickBot="1">
      <c r="A704" s="553">
        <f>IFERROR(LEFT(B704,7),"")</f>
        <v/>
      </c>
      <c r="B704" s="554">
        <f>"2025/10"&amp;D704</f>
        <v/>
      </c>
      <c r="C704" s="559" t="n">
        <v>149</v>
      </c>
      <c r="D704" s="484" t="inlineStr">
        <is>
          <t>忠孝7樓</t>
        </is>
      </c>
      <c r="E704" s="484" t="inlineStr">
        <is>
          <t>6190002</t>
        </is>
      </c>
      <c r="F704" s="551" t="n"/>
      <c r="G704" s="484" t="inlineStr">
        <is>
          <t>PLT生長因子凍晶製備6入(單瓶)</t>
        </is>
      </c>
      <c r="H704" s="552" t="n"/>
      <c r="I704" s="552" t="n"/>
      <c r="J704" s="551" t="n"/>
      <c r="K704" s="140" t="inlineStr">
        <is>
          <t>瓶(6入/組)</t>
        </is>
      </c>
      <c r="L704" s="560" t="n">
        <v>8</v>
      </c>
      <c r="M704" s="123" t="n"/>
      <c r="N704" s="117" t="n"/>
    </row>
    <row r="705" ht="17.25" customHeight="1" s="453" thickBot="1">
      <c r="A705" s="553">
        <f>IFERROR(LEFT(B705,7),"")</f>
        <v/>
      </c>
      <c r="B705" s="554">
        <f>"2025/10"&amp;D705</f>
        <v/>
      </c>
      <c r="C705" s="559" t="n">
        <v>150</v>
      </c>
      <c r="D705" s="484" t="inlineStr">
        <is>
          <t>忠孝7樓</t>
        </is>
      </c>
      <c r="E705" s="484" t="inlineStr">
        <is>
          <t>6190004</t>
        </is>
      </c>
      <c r="F705" s="551" t="n"/>
      <c r="G705" s="484" t="inlineStr">
        <is>
          <t>PLT生長因子凍晶製備20入(單瓶)</t>
        </is>
      </c>
      <c r="H705" s="552" t="n"/>
      <c r="I705" s="552" t="n"/>
      <c r="J705" s="551" t="n"/>
      <c r="K705" s="140" t="inlineStr">
        <is>
          <t>瓶(20入/組)</t>
        </is>
      </c>
      <c r="L705" s="560" t="n">
        <v>28</v>
      </c>
      <c r="M705" s="123" t="n"/>
      <c r="N705" s="117" t="n"/>
    </row>
    <row r="706" ht="17.25" customHeight="1" s="453" thickBot="1">
      <c r="A706" s="553">
        <f>IFERROR(LEFT(B706,7),"")</f>
        <v/>
      </c>
      <c r="B706" s="554">
        <f>"2025/10"&amp;D706</f>
        <v/>
      </c>
      <c r="C706" s="559" t="n">
        <v>151</v>
      </c>
      <c r="D706" s="484" t="inlineStr">
        <is>
          <t>忠孝7樓</t>
        </is>
      </c>
      <c r="E706" s="484" t="inlineStr">
        <is>
          <t>6200003</t>
        </is>
      </c>
      <c r="F706" s="551" t="n"/>
      <c r="G706" s="484" t="inlineStr">
        <is>
          <t>(V)倍克脂Belkyra/ 瓶</t>
        </is>
      </c>
      <c r="H706" s="552" t="n"/>
      <c r="I706" s="552" t="n"/>
      <c r="J706" s="551" t="n"/>
      <c r="K706" s="140" t="inlineStr">
        <is>
          <t>5瓶/盒</t>
        </is>
      </c>
      <c r="L706" s="560" t="n">
        <v>6</v>
      </c>
      <c r="M706" s="123" t="n"/>
      <c r="N706" s="117" t="n"/>
    </row>
    <row r="707" ht="17.25" customHeight="1" s="453" thickBot="1">
      <c r="A707" s="553">
        <f>IFERROR(LEFT(B707,7),"")</f>
        <v/>
      </c>
      <c r="B707" s="554">
        <f>"2025/10"&amp;D707</f>
        <v/>
      </c>
      <c r="C707" s="559" t="n">
        <v>152</v>
      </c>
      <c r="D707" s="484" t="inlineStr">
        <is>
          <t>忠孝7樓</t>
        </is>
      </c>
      <c r="E707" s="484" t="inlineStr">
        <is>
          <t>6210001</t>
        </is>
      </c>
      <c r="F707" s="551" t="n"/>
      <c r="G707" s="484" t="inlineStr">
        <is>
          <t>(V)水光針針頭/31G9針/1.0mm/ PCS</t>
        </is>
      </c>
      <c r="H707" s="552" t="n"/>
      <c r="I707" s="552" t="n"/>
      <c r="J707" s="551" t="n"/>
      <c r="K707" s="140" t="inlineStr">
        <is>
          <t>PCS(20入/盒)</t>
        </is>
      </c>
      <c r="L707" s="560" t="n">
        <v>14</v>
      </c>
      <c r="M707" s="123" t="n"/>
      <c r="N707" s="117" t="n"/>
    </row>
    <row r="708" ht="17.25" customHeight="1" s="453" thickBot="1">
      <c r="A708" s="553">
        <f>IFERROR(LEFT(B708,7),"")</f>
        <v/>
      </c>
      <c r="B708" s="554">
        <f>"2025/10"&amp;D708</f>
        <v/>
      </c>
      <c r="C708" s="559" t="n">
        <v>153</v>
      </c>
      <c r="D708" s="484" t="inlineStr">
        <is>
          <t>忠孝7樓</t>
        </is>
      </c>
      <c r="E708" s="484" t="inlineStr">
        <is>
          <t>6210002</t>
        </is>
      </c>
      <c r="F708" s="551" t="n"/>
      <c r="G708" s="484" t="inlineStr">
        <is>
          <t>(V)水光針針頭/31G9針/1.2mm/ PCS</t>
        </is>
      </c>
      <c r="H708" s="552" t="n"/>
      <c r="I708" s="552" t="n"/>
      <c r="J708" s="551" t="n"/>
      <c r="K708" s="140" t="inlineStr">
        <is>
          <t>PCS(20入/盒)</t>
        </is>
      </c>
      <c r="L708" s="560" t="n">
        <v>118</v>
      </c>
      <c r="M708" s="123" t="n"/>
      <c r="N708" s="117" t="n"/>
    </row>
    <row r="709" ht="17.25" customHeight="1" s="453" thickBot="1">
      <c r="A709" s="553">
        <f>IFERROR(LEFT(B709,7),"")</f>
        <v/>
      </c>
      <c r="B709" s="554">
        <f>"2025/10"&amp;D709</f>
        <v/>
      </c>
      <c r="C709" s="559" t="n">
        <v>154</v>
      </c>
      <c r="D709" s="484" t="inlineStr">
        <is>
          <t>忠孝7樓</t>
        </is>
      </c>
      <c r="E709" s="484" t="inlineStr">
        <is>
          <t>6210003</t>
        </is>
      </c>
      <c r="F709" s="551" t="n"/>
      <c r="G709" s="484" t="inlineStr">
        <is>
          <t>(V)水光針針頭/31G9針/1.5mm/ PCS</t>
        </is>
      </c>
      <c r="H709" s="552" t="n"/>
      <c r="I709" s="552" t="n"/>
      <c r="J709" s="551" t="n"/>
      <c r="K709" s="140" t="inlineStr">
        <is>
          <t>PCS(20入/盒)</t>
        </is>
      </c>
      <c r="L709" s="560" t="n">
        <v>31</v>
      </c>
      <c r="M709" s="123" t="n"/>
      <c r="N709" s="117" t="n"/>
    </row>
    <row r="710" ht="17.25" customHeight="1" s="453" thickBot="1">
      <c r="A710" s="553">
        <f>IFERROR(LEFT(B710,7),"")</f>
        <v/>
      </c>
      <c r="B710" s="554">
        <f>"2025/10"&amp;D710</f>
        <v/>
      </c>
      <c r="C710" s="559" t="n">
        <v>155</v>
      </c>
      <c r="D710" s="484" t="inlineStr">
        <is>
          <t>忠孝7樓</t>
        </is>
      </c>
      <c r="E710" s="484" t="inlineStr">
        <is>
          <t>6210006</t>
        </is>
      </c>
      <c r="F710" s="551" t="n"/>
      <c r="G710" s="484" t="inlineStr">
        <is>
          <t>(V)麗珠蘭修復水光(A劑2ml+B劑2ml)</t>
        </is>
      </c>
      <c r="H710" s="552" t="n"/>
      <c r="I710" s="552" t="n"/>
      <c r="J710" s="551" t="n"/>
      <c r="K710" s="140" t="inlineStr">
        <is>
          <t>2ml*2</t>
        </is>
      </c>
      <c r="L710" s="560" t="n">
        <v>9</v>
      </c>
      <c r="M710" s="123" t="n"/>
      <c r="N710" s="117" t="n"/>
    </row>
    <row r="711" ht="17.25" customHeight="1" s="453" thickBot="1">
      <c r="A711" s="553">
        <f>IFERROR(LEFT(B711,7),"")</f>
        <v/>
      </c>
      <c r="B711" s="554">
        <f>"2025/10"&amp;D711</f>
        <v/>
      </c>
      <c r="C711" s="559" t="n">
        <v>156</v>
      </c>
      <c r="D711" s="484" t="inlineStr">
        <is>
          <t>忠孝7樓</t>
        </is>
      </c>
      <c r="E711" s="484" t="inlineStr">
        <is>
          <t>6210007</t>
        </is>
      </c>
      <c r="F711" s="551" t="n"/>
      <c r="G711" s="484" t="inlineStr">
        <is>
          <t>(V)麗珠蘭白瓷水光(A劑2ml+B劑2ml)</t>
        </is>
      </c>
      <c r="H711" s="552" t="n"/>
      <c r="I711" s="552" t="n"/>
      <c r="J711" s="551" t="n"/>
      <c r="K711" s="140" t="inlineStr">
        <is>
          <t>2ml*2</t>
        </is>
      </c>
      <c r="L711" s="560" t="n">
        <v>5</v>
      </c>
      <c r="M711" s="123" t="n"/>
      <c r="N711" s="117" t="n"/>
    </row>
    <row r="712" ht="17.25" customHeight="1" s="453" thickBot="1">
      <c r="A712" s="553">
        <f>IFERROR(LEFT(B712,7),"")</f>
        <v/>
      </c>
      <c r="B712" s="554">
        <f>"2025/10"&amp;D712</f>
        <v/>
      </c>
      <c r="C712" s="559" t="n">
        <v>157</v>
      </c>
      <c r="D712" s="484" t="inlineStr">
        <is>
          <t>忠孝7樓</t>
        </is>
      </c>
      <c r="E712" s="484" t="inlineStr">
        <is>
          <t>6220005</t>
        </is>
      </c>
      <c r="F712" s="551" t="n"/>
      <c r="G712" s="484" t="inlineStr">
        <is>
          <t>海菲秀深藍端頭/ 顆</t>
        </is>
      </c>
      <c r="H712" s="552" t="n"/>
      <c r="I712" s="552" t="n"/>
      <c r="J712" s="551" t="n"/>
      <c r="K712" s="140" t="inlineStr">
        <is>
          <t>15顆/串</t>
        </is>
      </c>
      <c r="L712" s="560" t="n">
        <v>913</v>
      </c>
      <c r="M712" s="123" t="n"/>
      <c r="N712" s="117" t="n"/>
    </row>
    <row r="713" ht="17.25" customHeight="1" s="453" thickBot="1">
      <c r="A713" s="553">
        <f>IFERROR(LEFT(B713,7),"")</f>
        <v/>
      </c>
      <c r="B713" s="554">
        <f>"2025/10"&amp;D713</f>
        <v/>
      </c>
      <c r="C713" s="559" t="n">
        <v>158</v>
      </c>
      <c r="D713" s="484" t="inlineStr">
        <is>
          <t>忠孝7樓</t>
        </is>
      </c>
      <c r="E713" s="484" t="inlineStr">
        <is>
          <t>6220006</t>
        </is>
      </c>
      <c r="F713" s="551" t="n"/>
      <c r="G713" s="484" t="inlineStr">
        <is>
          <t>海菲秀淺藍端頭/ 顆</t>
        </is>
      </c>
      <c r="H713" s="552" t="n"/>
      <c r="I713" s="552" t="n"/>
      <c r="J713" s="551" t="n"/>
      <c r="K713" s="140" t="inlineStr">
        <is>
          <t>15顆/串</t>
        </is>
      </c>
      <c r="L713" s="560" t="n">
        <v>913</v>
      </c>
      <c r="M713" s="123" t="n"/>
      <c r="N713" s="117" t="n"/>
    </row>
    <row r="714" ht="17.25" customHeight="1" s="453" thickBot="1">
      <c r="A714" s="553">
        <f>IFERROR(LEFT(B714,7),"")</f>
        <v/>
      </c>
      <c r="B714" s="554">
        <f>"2025/10"&amp;D714</f>
        <v/>
      </c>
      <c r="C714" s="559" t="n">
        <v>159</v>
      </c>
      <c r="D714" s="484" t="inlineStr">
        <is>
          <t>忠孝7樓</t>
        </is>
      </c>
      <c r="E714" s="484" t="inlineStr">
        <is>
          <t>6220007</t>
        </is>
      </c>
      <c r="F714" s="551" t="n"/>
      <c r="G714" s="484" t="inlineStr">
        <is>
          <t>海菲秀透明端頭/ 顆</t>
        </is>
      </c>
      <c r="H714" s="552" t="n"/>
      <c r="I714" s="552" t="n"/>
      <c r="J714" s="551" t="n"/>
      <c r="K714" s="140" t="inlineStr">
        <is>
          <t>15顆/串</t>
        </is>
      </c>
      <c r="L714" s="560" t="n">
        <v>913</v>
      </c>
      <c r="M714" s="123" t="n"/>
      <c r="N714" s="117" t="n"/>
    </row>
    <row r="715" ht="17.25" customHeight="1" s="453" thickBot="1">
      <c r="A715" s="553">
        <f>IFERROR(LEFT(B715,7),"")</f>
        <v/>
      </c>
      <c r="B715" s="554">
        <f>"2025/10"&amp;D715</f>
        <v/>
      </c>
      <c r="C715" s="559" t="n">
        <v>160</v>
      </c>
      <c r="D715" s="484" t="inlineStr">
        <is>
          <t>忠孝7樓</t>
        </is>
      </c>
      <c r="E715" s="484" t="inlineStr">
        <is>
          <t>6220012</t>
        </is>
      </c>
      <c r="F715" s="551" t="n"/>
      <c r="G715" s="484" t="inlineStr">
        <is>
          <t>(V)(第一劑)海菲秀 Activ-4 Skin Solution/mL</t>
        </is>
      </c>
      <c r="H715" s="552" t="n"/>
      <c r="I715" s="552" t="n"/>
      <c r="J715" s="551" t="n"/>
      <c r="K715" s="140" t="inlineStr">
        <is>
          <t>ml</t>
        </is>
      </c>
      <c r="L715" s="560" t="n">
        <v>13667</v>
      </c>
      <c r="M715" s="123" t="n"/>
      <c r="N715" s="117" t="n"/>
    </row>
    <row r="716" ht="17.25" customHeight="1" s="453" thickBot="1">
      <c r="A716" s="553">
        <f>IFERROR(LEFT(B716,7),"")</f>
        <v/>
      </c>
      <c r="B716" s="554">
        <f>"2025/10"&amp;D716</f>
        <v/>
      </c>
      <c r="C716" s="559" t="n">
        <v>161</v>
      </c>
      <c r="D716" s="484" t="inlineStr">
        <is>
          <t>忠孝7樓</t>
        </is>
      </c>
      <c r="E716" s="484" t="inlineStr">
        <is>
          <t>6220013</t>
        </is>
      </c>
      <c r="F716" s="551" t="n"/>
      <c r="G716" s="484" t="inlineStr">
        <is>
          <t>(V)(第二劑)海菲秀 Beta-HD Skin Solution /mL</t>
        </is>
      </c>
      <c r="H716" s="552" t="n"/>
      <c r="I716" s="552" t="n"/>
      <c r="J716" s="551" t="n"/>
      <c r="K716" s="140" t="inlineStr">
        <is>
          <t>ml</t>
        </is>
      </c>
      <c r="L716" s="560" t="n">
        <v>13667</v>
      </c>
      <c r="M716" s="123" t="n"/>
      <c r="N716" s="117" t="n"/>
    </row>
    <row r="717" ht="17.25" customHeight="1" s="453" thickBot="1">
      <c r="A717" s="553">
        <f>IFERROR(LEFT(B717,7),"")</f>
        <v/>
      </c>
      <c r="B717" s="554">
        <f>"2025/10"&amp;D717</f>
        <v/>
      </c>
      <c r="C717" s="559" t="n">
        <v>162</v>
      </c>
      <c r="D717" s="484" t="inlineStr">
        <is>
          <t>忠孝7樓</t>
        </is>
      </c>
      <c r="E717" s="484" t="inlineStr">
        <is>
          <t>6220014</t>
        </is>
      </c>
      <c r="F717" s="551" t="n"/>
      <c r="G717" s="484" t="inlineStr">
        <is>
          <t>(V)(第三劑)海菲秀 Antiox-6 Skin Solution /mL</t>
        </is>
      </c>
      <c r="H717" s="552" t="n"/>
      <c r="I717" s="552" t="n"/>
      <c r="J717" s="551" t="n"/>
      <c r="K717" s="140" t="inlineStr">
        <is>
          <t>ml</t>
        </is>
      </c>
      <c r="L717" s="560" t="n">
        <v>13667</v>
      </c>
      <c r="M717" s="123" t="n"/>
      <c r="N717" s="117" t="n"/>
    </row>
    <row r="718" ht="17.25" customHeight="1" s="453" thickBot="1">
      <c r="A718" s="553">
        <f>IFERROR(LEFT(B718,7),"")</f>
        <v/>
      </c>
      <c r="B718" s="554">
        <f>"2025/10"&amp;D718</f>
        <v/>
      </c>
      <c r="C718" s="559" t="n">
        <v>163</v>
      </c>
      <c r="D718" s="484" t="inlineStr">
        <is>
          <t>忠孝7樓</t>
        </is>
      </c>
      <c r="E718" s="484" t="inlineStr">
        <is>
          <t>6220015</t>
        </is>
      </c>
      <c r="F718" s="551" t="n"/>
      <c r="G718" s="484" t="inlineStr">
        <is>
          <t>(V)(第四劑)海菲秀 Rinseaway System Cleaning Solution /mL</t>
        </is>
      </c>
      <c r="H718" s="552" t="n"/>
      <c r="I718" s="552" t="n"/>
      <c r="J718" s="551" t="n"/>
      <c r="K718" s="140" t="inlineStr">
        <is>
          <t>ml</t>
        </is>
      </c>
      <c r="L718" s="560" t="n">
        <v>13667</v>
      </c>
      <c r="M718" s="123" t="n"/>
      <c r="N718" s="117" t="n"/>
    </row>
    <row r="719" ht="17.25" customHeight="1" s="453" thickBot="1">
      <c r="A719" s="553">
        <f>IFERROR(LEFT(B719,7),"")</f>
        <v/>
      </c>
      <c r="B719" s="554">
        <f>"2025/10"&amp;D719</f>
        <v/>
      </c>
      <c r="C719" s="559" t="n">
        <v>164</v>
      </c>
      <c r="D719" s="484" t="inlineStr">
        <is>
          <t>忠孝國際醫學3樓</t>
        </is>
      </c>
      <c r="E719" s="484" t="inlineStr">
        <is>
          <t>6120001</t>
        </is>
      </c>
      <c r="F719" s="551" t="n"/>
      <c r="G719" s="484" t="inlineStr">
        <is>
          <t>(V)肝得健注射劑/ 瓶，220倍數叫貨</t>
        </is>
      </c>
      <c r="H719" s="552" t="n"/>
      <c r="I719" s="552" t="n"/>
      <c r="J719" s="551" t="n"/>
      <c r="K719" s="140" t="inlineStr">
        <is>
          <t>20支/盒</t>
        </is>
      </c>
      <c r="L719" s="560" t="n">
        <v>686</v>
      </c>
      <c r="M719" s="123" t="n"/>
      <c r="N719" s="117" t="n"/>
    </row>
    <row r="720" ht="17.25" customHeight="1" s="453" thickBot="1">
      <c r="A720" s="553">
        <f>IFERROR(LEFT(B720,7),"")</f>
        <v/>
      </c>
      <c r="B720" s="554">
        <f>"2025/10"&amp;D720</f>
        <v/>
      </c>
      <c r="C720" s="559" t="n">
        <v>165</v>
      </c>
      <c r="D720" s="484" t="inlineStr">
        <is>
          <t>忠孝國際醫學3樓</t>
        </is>
      </c>
      <c r="E720" s="484" t="inlineStr">
        <is>
          <t>6120002</t>
        </is>
      </c>
      <c r="F720" s="551" t="n"/>
      <c r="G720" s="484" t="inlineStr">
        <is>
          <t>(V)卡妮丁注射劑/ 瓶，220倍數叫貨</t>
        </is>
      </c>
      <c r="H720" s="552" t="n"/>
      <c r="I720" s="552" t="n"/>
      <c r="J720" s="551" t="n"/>
      <c r="K720" s="140" t="inlineStr">
        <is>
          <t>20支/盒</t>
        </is>
      </c>
      <c r="L720" s="560" t="n">
        <v>867</v>
      </c>
      <c r="M720" s="123" t="n"/>
      <c r="N720" s="117" t="n"/>
    </row>
    <row r="721" ht="17.25" customHeight="1" s="453" thickBot="1">
      <c r="A721" s="553">
        <f>IFERROR(LEFT(B721,7),"")</f>
        <v/>
      </c>
      <c r="B721" s="554">
        <f>"2025/10"&amp;D721</f>
        <v/>
      </c>
      <c r="C721" s="559" t="n">
        <v>166</v>
      </c>
      <c r="D721" s="484" t="inlineStr">
        <is>
          <t>忠孝國際醫學3樓</t>
        </is>
      </c>
      <c r="E721" s="484" t="inlineStr">
        <is>
          <t>6120003</t>
        </is>
      </c>
      <c r="F721" s="551" t="n"/>
      <c r="G721" s="484" t="inlineStr">
        <is>
          <t>(V)貝力多(雙胜胺) 20% 30mL/ 瓶，50倍數叫貨</t>
        </is>
      </c>
      <c r="H721" s="552" t="n"/>
      <c r="I721" s="552" t="n"/>
      <c r="J721" s="551" t="n"/>
      <c r="K721" s="140" t="inlineStr">
        <is>
          <t>10支/盒</t>
        </is>
      </c>
      <c r="L721" s="560" t="n">
        <v>9</v>
      </c>
      <c r="M721" s="123" t="n"/>
      <c r="N721" s="117" t="n"/>
    </row>
    <row r="722" ht="17.25" customHeight="1" s="453" thickBot="1">
      <c r="A722" s="553">
        <f>IFERROR(LEFT(B722,7),"")</f>
        <v/>
      </c>
      <c r="B722" s="554">
        <f>"2025/10"&amp;D722</f>
        <v/>
      </c>
      <c r="C722" s="559" t="n">
        <v>167</v>
      </c>
      <c r="D722" s="484" t="inlineStr">
        <is>
          <t>忠孝國際醫學3樓</t>
        </is>
      </c>
      <c r="E722" s="484" t="inlineStr">
        <is>
          <t>6120004</t>
        </is>
      </c>
      <c r="F722" s="551" t="n"/>
      <c r="G722" s="484" t="inlineStr">
        <is>
          <t>(V)胺基酸點滴250ml/ 袋(安命活源/嘉安命)，20倍數叫貨</t>
        </is>
      </c>
      <c r="H722" s="552" t="n"/>
      <c r="I722" s="552" t="n"/>
      <c r="J722" s="551" t="n"/>
      <c r="K722" s="140" t="inlineStr">
        <is>
          <t>(20瓶/箱)</t>
        </is>
      </c>
      <c r="L722" s="560" t="n">
        <v>18</v>
      </c>
      <c r="M722" s="123" t="n"/>
      <c r="N722" s="117" t="n"/>
    </row>
    <row r="723" ht="17.25" customHeight="1" s="453" thickBot="1">
      <c r="A723" s="553">
        <f>IFERROR(LEFT(B723,7),"")</f>
        <v/>
      </c>
      <c r="B723" s="554">
        <f>"2025/10"&amp;D723</f>
        <v/>
      </c>
      <c r="C723" s="559" t="n">
        <v>168</v>
      </c>
      <c r="D723" s="484" t="inlineStr">
        <is>
          <t>忠孝國際醫學3樓</t>
        </is>
      </c>
      <c r="E723" s="484" t="inlineStr">
        <is>
          <t>6120006</t>
        </is>
      </c>
      <c r="F723" s="551" t="n"/>
      <c r="G723" s="484" t="inlineStr">
        <is>
          <t>(V)(B12) 愛壽命 2mL，100倍數叫貨</t>
        </is>
      </c>
      <c r="H723" s="552" t="n"/>
      <c r="I723" s="552" t="n"/>
      <c r="J723" s="551" t="n"/>
      <c r="K723" s="140" t="inlineStr">
        <is>
          <t>(100支/盒)</t>
        </is>
      </c>
      <c r="L723" s="560" t="n">
        <v>380</v>
      </c>
      <c r="M723" s="123" t="n"/>
      <c r="N723" s="117" t="n"/>
    </row>
    <row r="724" ht="17.25" customHeight="1" s="453" thickBot="1">
      <c r="A724" s="553">
        <f>IFERROR(LEFT(B724,7),"")</f>
        <v/>
      </c>
      <c r="B724" s="554">
        <f>"2025/10"&amp;D724</f>
        <v/>
      </c>
      <c r="C724" s="559" t="n">
        <v>169</v>
      </c>
      <c r="D724" s="484" t="inlineStr">
        <is>
          <t>忠孝國際醫學3樓</t>
        </is>
      </c>
      <c r="E724" s="484" t="inlineStr">
        <is>
          <t>6120007</t>
        </is>
      </c>
      <c r="F724" s="551" t="n"/>
      <c r="G724" s="484" t="inlineStr">
        <is>
          <t>(V)(硫酸鋅) 1ml/支，100倍數叫貨</t>
        </is>
      </c>
      <c r="H724" s="552" t="n"/>
      <c r="I724" s="552" t="n"/>
      <c r="J724" s="551" t="n"/>
      <c r="K724" s="140" t="inlineStr">
        <is>
          <t>100支/盒</t>
        </is>
      </c>
      <c r="L724" s="560" t="n">
        <v>7</v>
      </c>
      <c r="M724" s="123" t="n"/>
      <c r="N724" s="117" t="n"/>
    </row>
    <row r="725" ht="17.25" customHeight="1" s="453" thickBot="1">
      <c r="A725" s="553">
        <f>IFERROR(LEFT(B725,7),"")</f>
        <v/>
      </c>
      <c r="B725" s="554">
        <f>"2025/10"&amp;D725</f>
        <v/>
      </c>
      <c r="C725" s="559" t="n">
        <v>170</v>
      </c>
      <c r="D725" s="484" t="inlineStr">
        <is>
          <t>忠孝國際醫學3樓</t>
        </is>
      </c>
      <c r="E725" s="484" t="inlineStr">
        <is>
          <t>6120009</t>
        </is>
      </c>
      <c r="F725" s="551" t="n"/>
      <c r="G725" s="484" t="inlineStr">
        <is>
          <t>(V)(B1) 硫胺明 2ml</t>
        </is>
      </c>
      <c r="H725" s="552" t="n"/>
      <c r="I725" s="552" t="n"/>
      <c r="J725" s="551" t="n"/>
      <c r="K725" s="140" t="inlineStr">
        <is>
          <t>支(100支/盒)</t>
        </is>
      </c>
      <c r="L725" s="560" t="n">
        <v>7</v>
      </c>
      <c r="M725" s="123" t="n"/>
      <c r="N725" s="117" t="n"/>
    </row>
    <row r="726" ht="17.25" customHeight="1" s="453" thickBot="1">
      <c r="A726" s="553">
        <f>IFERROR(LEFT(B726,7),"")</f>
        <v/>
      </c>
      <c r="B726" s="554">
        <f>"2025/10"&amp;D726</f>
        <v/>
      </c>
      <c r="C726" s="559" t="n">
        <v>171</v>
      </c>
      <c r="D726" s="484" t="inlineStr">
        <is>
          <t>忠孝國際醫學3樓</t>
        </is>
      </c>
      <c r="E726" s="484" t="inlineStr">
        <is>
          <t>6120010</t>
        </is>
      </c>
      <c r="F726" s="551" t="n"/>
      <c r="G726" s="484" t="inlineStr">
        <is>
          <t>(V)(B6) 活性維生素 2ml，100倍數叫貨</t>
        </is>
      </c>
      <c r="H726" s="552" t="n"/>
      <c r="I726" s="552" t="n"/>
      <c r="J726" s="551" t="n"/>
      <c r="K726" s="140" t="inlineStr">
        <is>
          <t>(100支/盒)</t>
        </is>
      </c>
      <c r="L726" s="560" t="n">
        <v>7</v>
      </c>
      <c r="M726" s="123" t="n"/>
      <c r="N726" s="117" t="n"/>
    </row>
    <row r="727" ht="17.25" customHeight="1" s="453" thickBot="1">
      <c r="A727" s="553">
        <f>IFERROR(LEFT(B727,7),"")</f>
        <v/>
      </c>
      <c r="B727" s="554">
        <f>"2025/10"&amp;D727</f>
        <v/>
      </c>
      <c r="C727" s="559" t="n">
        <v>172</v>
      </c>
      <c r="D727" s="484" t="inlineStr">
        <is>
          <t>忠孝國際醫學3樓</t>
        </is>
      </c>
      <c r="E727" s="484" t="inlineStr">
        <is>
          <t>6120011</t>
        </is>
      </c>
      <c r="F727" s="551" t="n"/>
      <c r="G727" s="484" t="inlineStr">
        <is>
          <t>(V)(硒) 西寧特 2ml/支</t>
        </is>
      </c>
      <c r="H727" s="552" t="n"/>
      <c r="I727" s="552" t="n"/>
      <c r="J727" s="551" t="n"/>
      <c r="K727" s="140" t="inlineStr">
        <is>
          <t>10支/盒</t>
        </is>
      </c>
      <c r="L727" s="560" t="n">
        <v>10</v>
      </c>
      <c r="M727" s="123" t="n"/>
      <c r="N727" s="117" t="n"/>
    </row>
    <row r="728" ht="17.25" customHeight="1" s="453" thickBot="1">
      <c r="A728" s="553">
        <f>IFERROR(LEFT(B728,7),"")</f>
        <v/>
      </c>
      <c r="B728" s="554">
        <f>"2025/10"&amp;D728</f>
        <v/>
      </c>
      <c r="C728" s="559" t="n">
        <v>173</v>
      </c>
      <c r="D728" s="484" t="inlineStr">
        <is>
          <t>忠孝國際醫學3樓</t>
        </is>
      </c>
      <c r="E728" s="484" t="inlineStr">
        <is>
          <t>6120013</t>
        </is>
      </c>
      <c r="F728" s="551" t="n"/>
      <c r="G728" s="484" t="inlineStr">
        <is>
          <t>(V)生理食鹽水(NS) 250ml/ 袋</t>
        </is>
      </c>
      <c r="H728" s="552" t="n"/>
      <c r="I728" s="552" t="n"/>
      <c r="J728" s="551" t="n"/>
      <c r="K728" s="140" t="inlineStr">
        <is>
          <t>55瓶/箱</t>
        </is>
      </c>
      <c r="L728" s="560" t="n">
        <v>365</v>
      </c>
      <c r="M728" s="123" t="n"/>
      <c r="N728" s="117" t="n"/>
    </row>
    <row r="729" ht="17.25" customHeight="1" s="453" thickBot="1">
      <c r="A729" s="553">
        <f>IFERROR(LEFT(B729,7),"")</f>
        <v/>
      </c>
      <c r="B729" s="554">
        <f>"2025/10"&amp;D729</f>
        <v/>
      </c>
      <c r="C729" s="559" t="n">
        <v>174</v>
      </c>
      <c r="D729" s="484" t="inlineStr">
        <is>
          <t>忠孝國際醫學3樓</t>
        </is>
      </c>
      <c r="E729" s="484" t="inlineStr">
        <is>
          <t>6120014</t>
        </is>
      </c>
      <c r="F729" s="551" t="n"/>
      <c r="G729" s="484" t="inlineStr">
        <is>
          <t>(V)葡萄糖水(D5W) 250ml/袋</t>
        </is>
      </c>
      <c r="H729" s="552" t="n"/>
      <c r="I729" s="552" t="n"/>
      <c r="J729" s="551" t="n"/>
      <c r="K729" s="140" t="inlineStr">
        <is>
          <t>40袋/箱</t>
        </is>
      </c>
      <c r="L729" s="560" t="n">
        <v>541</v>
      </c>
      <c r="M729" s="123" t="n"/>
      <c r="N729" s="117" t="n"/>
    </row>
    <row r="730" ht="17.25" customHeight="1" s="453" thickBot="1">
      <c r="A730" s="553">
        <f>IFERROR(LEFT(B730,7),"")</f>
        <v/>
      </c>
      <c r="B730" s="554">
        <f>"2025/10"&amp;D730</f>
        <v/>
      </c>
      <c r="C730" s="559" t="n">
        <v>175</v>
      </c>
      <c r="D730" s="484" t="inlineStr">
        <is>
          <t>忠孝國際醫學3樓</t>
        </is>
      </c>
      <c r="E730" s="484" t="inlineStr">
        <is>
          <t>6120015</t>
        </is>
      </c>
      <c r="F730" s="551" t="n"/>
      <c r="G730" s="484" t="inlineStr">
        <is>
          <t>(V)(B群)淘能美複合維他命B 2ml，100倍數叫貨</t>
        </is>
      </c>
      <c r="H730" s="552" t="n"/>
      <c r="I730" s="552" t="n"/>
      <c r="J730" s="551" t="n"/>
      <c r="K730" s="140" t="n"/>
      <c r="L730" s="560" t="n">
        <v>14</v>
      </c>
      <c r="M730" s="123" t="n"/>
      <c r="N730" s="117" t="n"/>
    </row>
    <row r="731" ht="17.25" customHeight="1" s="453" thickBot="1">
      <c r="A731" s="553">
        <f>IFERROR(LEFT(B731,7),"")</f>
        <v/>
      </c>
      <c r="B731" s="554">
        <f>"2025/10"&amp;D731</f>
        <v/>
      </c>
      <c r="C731" s="559" t="n">
        <v>176</v>
      </c>
      <c r="D731" s="484" t="inlineStr">
        <is>
          <t>忠孝國際醫學3樓</t>
        </is>
      </c>
      <c r="E731" s="484" t="inlineStr">
        <is>
          <t>6120016</t>
        </is>
      </c>
      <c r="F731" s="551" t="n"/>
      <c r="G731" s="484" t="inlineStr">
        <is>
          <t>(V)(榖胱肝肽) 克樂達養200mg (20ml/瓶)</t>
        </is>
      </c>
      <c r="H731" s="552" t="n"/>
      <c r="I731" s="552" t="n"/>
      <c r="J731" s="551" t="n"/>
      <c r="K731" s="140" t="inlineStr">
        <is>
          <t>50支/盒</t>
        </is>
      </c>
      <c r="L731" s="560" t="n">
        <v>14</v>
      </c>
      <c r="M731" s="123" t="n"/>
      <c r="N731" s="117" t="n"/>
    </row>
    <row r="732" ht="17.25" customHeight="1" s="453" thickBot="1">
      <c r="A732" s="553">
        <f>IFERROR(LEFT(B732,7),"")</f>
        <v/>
      </c>
      <c r="B732" s="554">
        <f>"2025/10"&amp;D732</f>
        <v/>
      </c>
      <c r="C732" s="559" t="n">
        <v>177</v>
      </c>
      <c r="D732" s="484" t="inlineStr">
        <is>
          <t>忠孝國際醫學3樓</t>
        </is>
      </c>
      <c r="E732" s="484" t="inlineStr">
        <is>
          <t>6120021</t>
        </is>
      </c>
      <c r="F732" s="551" t="n"/>
      <c r="G732" s="484" t="inlineStr">
        <is>
          <t>(V)(Vit C)(抗壞血酸/諾貝爾)20ml，50倍數下單</t>
        </is>
      </c>
      <c r="H732" s="552" t="n"/>
      <c r="I732" s="552" t="n"/>
      <c r="J732" s="551" t="n"/>
      <c r="K732" s="140" t="inlineStr">
        <is>
          <t>50支/盒</t>
        </is>
      </c>
      <c r="L732" s="560" t="n">
        <v>14</v>
      </c>
      <c r="M732" s="123" t="n"/>
      <c r="N732" s="117" t="n"/>
    </row>
    <row r="733" ht="17.25" customHeight="1" s="453" thickBot="1">
      <c r="A733" s="553">
        <f>IFERROR(LEFT(B733,7),"")</f>
        <v/>
      </c>
      <c r="B733" s="554">
        <f>"2025/10"&amp;D733</f>
        <v/>
      </c>
      <c r="C733" s="559" t="n">
        <v>178</v>
      </c>
      <c r="D733" s="484" t="inlineStr">
        <is>
          <t>忠孝國際醫學3樓</t>
        </is>
      </c>
      <c r="E733" s="484" t="inlineStr">
        <is>
          <t>6120036</t>
        </is>
      </c>
      <c r="F733" s="551" t="n"/>
      <c r="G733" s="484" t="inlineStr">
        <is>
          <t>(V)貝力多(雙胜胺) 20% 50mL/ 瓶，50倍數下單</t>
        </is>
      </c>
      <c r="H733" s="552" t="n"/>
      <c r="I733" s="552" t="n"/>
      <c r="J733" s="551" t="n"/>
      <c r="K733" s="140" t="inlineStr">
        <is>
          <t>瓶(10瓶/盒)</t>
        </is>
      </c>
      <c r="L733" s="560" t="n">
        <v>3</v>
      </c>
      <c r="M733" s="123" t="n"/>
      <c r="N733" s="117" t="n"/>
    </row>
    <row r="734" ht="17.25" customHeight="1" s="453" thickBot="1">
      <c r="A734" s="553">
        <f>IFERROR(LEFT(B734,7),"")</f>
        <v/>
      </c>
      <c r="B734" s="554">
        <f>"2025/10"&amp;D734</f>
        <v/>
      </c>
      <c r="C734" s="559" t="n">
        <v>179</v>
      </c>
      <c r="D734" s="484" t="inlineStr">
        <is>
          <t>忠孝國際醫學3樓</t>
        </is>
      </c>
      <c r="E734" s="484" t="inlineStr">
        <is>
          <t>6200004</t>
        </is>
      </c>
      <c r="F734" s="551" t="n"/>
      <c r="G734" s="484" t="inlineStr">
        <is>
          <t>阿爾發SAT卡匣/ 發</t>
        </is>
      </c>
      <c r="H734" s="552" t="n"/>
      <c r="I734" s="552" t="n"/>
      <c r="J734" s="551" t="n"/>
      <c r="K734" s="140" t="inlineStr">
        <is>
          <t>50發/卡</t>
        </is>
      </c>
      <c r="L734" s="560" t="n">
        <v>1672</v>
      </c>
      <c r="M734" s="123" t="n"/>
      <c r="N734" s="117" t="n"/>
    </row>
    <row r="735" ht="17.25" customHeight="1" s="453" thickBot="1">
      <c r="A735" s="553">
        <f>IFERROR(LEFT(B735,7),"")</f>
        <v/>
      </c>
      <c r="B735" s="554">
        <f>"2025/10"&amp;D735</f>
        <v/>
      </c>
      <c r="C735" s="559" t="n">
        <v>180</v>
      </c>
      <c r="D735" s="484" t="inlineStr">
        <is>
          <t>忠孝國際醫學3樓</t>
        </is>
      </c>
      <c r="E735" s="484" t="inlineStr">
        <is>
          <t>6200007</t>
        </is>
      </c>
      <c r="F735" s="551" t="n"/>
      <c r="G735" s="484" t="inlineStr">
        <is>
          <t>瘦瘦筆-針頭*1個</t>
        </is>
      </c>
      <c r="H735" s="552" t="n"/>
      <c r="I735" s="552" t="n"/>
      <c r="J735" s="551" t="n"/>
      <c r="K735" s="140" t="inlineStr">
        <is>
          <t>個</t>
        </is>
      </c>
      <c r="L735" s="560" t="n">
        <v>176</v>
      </c>
      <c r="M735" s="123" t="n"/>
      <c r="N735" s="117" t="n"/>
    </row>
    <row r="736" ht="17.25" customHeight="1" s="453" thickBot="1">
      <c r="A736" s="553">
        <f>IFERROR(LEFT(B736,7),"")</f>
        <v/>
      </c>
      <c r="B736" s="554">
        <f>"2025/10"&amp;D736</f>
        <v/>
      </c>
      <c r="C736" s="559" t="n">
        <v>181</v>
      </c>
      <c r="D736" s="484" t="inlineStr">
        <is>
          <t>忠孝國際醫學3樓</t>
        </is>
      </c>
      <c r="E736" s="484" t="inlineStr">
        <is>
          <t>6200008</t>
        </is>
      </c>
      <c r="F736" s="551" t="n"/>
      <c r="G736" s="484" t="inlineStr">
        <is>
          <t>瘦瘦筆-週纖達*1支(0.25mg)</t>
        </is>
      </c>
      <c r="H736" s="552" t="n"/>
      <c r="I736" s="552" t="n"/>
      <c r="J736" s="551" t="n"/>
      <c r="K736" s="140" t="inlineStr">
        <is>
          <t>支</t>
        </is>
      </c>
      <c r="L736" s="560" t="n">
        <v>2</v>
      </c>
      <c r="M736" s="123" t="n"/>
      <c r="N736" s="117" t="n"/>
    </row>
    <row r="737" ht="17.25" customHeight="1" s="453" thickBot="1">
      <c r="A737" s="553">
        <f>IFERROR(LEFT(B737,7),"")</f>
        <v/>
      </c>
      <c r="B737" s="554">
        <f>"2025/10"&amp;D737</f>
        <v/>
      </c>
      <c r="C737" s="559" t="n">
        <v>182</v>
      </c>
      <c r="D737" s="484" t="inlineStr">
        <is>
          <t>忠孝國際醫學3樓</t>
        </is>
      </c>
      <c r="E737" s="484" t="inlineStr">
        <is>
          <t>6200013</t>
        </is>
      </c>
      <c r="F737" s="551" t="n"/>
      <c r="G737" s="484" t="inlineStr">
        <is>
          <t>(V)猛健樂*1支(2.5mg)</t>
        </is>
      </c>
      <c r="H737" s="552" t="n"/>
      <c r="I737" s="552" t="n"/>
      <c r="J737" s="551" t="n"/>
      <c r="K737" s="140" t="inlineStr">
        <is>
          <t>支</t>
        </is>
      </c>
      <c r="L737" s="560" t="n">
        <v>10</v>
      </c>
      <c r="M737" s="123" t="n"/>
      <c r="N737" s="117" t="n"/>
    </row>
    <row r="738" ht="17.25" customHeight="1" s="453" thickBot="1">
      <c r="A738" s="553">
        <f>IFERROR(LEFT(B738,7),"")</f>
        <v/>
      </c>
      <c r="B738" s="554">
        <f>"2025/10"&amp;D738</f>
        <v/>
      </c>
      <c r="C738" s="559" t="n">
        <v>183</v>
      </c>
      <c r="D738" s="484" t="inlineStr">
        <is>
          <t>忠孝國際醫學3樓</t>
        </is>
      </c>
      <c r="E738" s="484" t="inlineStr">
        <is>
          <t>6200014</t>
        </is>
      </c>
      <c r="F738" s="551" t="n"/>
      <c r="G738" s="484" t="inlineStr">
        <is>
          <t>(V)猛健樂*1支(5mg)</t>
        </is>
      </c>
      <c r="H738" s="552" t="n"/>
      <c r="I738" s="552" t="n"/>
      <c r="J738" s="551" t="n"/>
      <c r="K738" s="140" t="inlineStr">
        <is>
          <t>支</t>
        </is>
      </c>
      <c r="L738" s="560" t="n">
        <v>18</v>
      </c>
      <c r="M738" s="123" t="n"/>
      <c r="N738" s="117" t="n"/>
    </row>
    <row r="739" ht="17.25" customHeight="1" s="453" thickBot="1">
      <c r="A739" s="553">
        <f>IFERROR(LEFT(B739,7),"")</f>
        <v/>
      </c>
      <c r="B739" s="554">
        <f>"2025/10"&amp;D739</f>
        <v/>
      </c>
      <c r="C739" s="559" t="n">
        <v>184</v>
      </c>
      <c r="D739" s="484" t="inlineStr">
        <is>
          <t>忠孝國際醫學3樓</t>
        </is>
      </c>
      <c r="E739" s="484" t="inlineStr">
        <is>
          <t>6200015</t>
        </is>
      </c>
      <c r="F739" s="551" t="n"/>
      <c r="G739" s="484" t="inlineStr">
        <is>
          <t>(V)猛健樂*1支(7.5mg)</t>
        </is>
      </c>
      <c r="H739" s="552" t="n"/>
      <c r="I739" s="552" t="n"/>
      <c r="J739" s="551" t="n"/>
      <c r="K739" s="140" t="inlineStr">
        <is>
          <t>支</t>
        </is>
      </c>
      <c r="L739" s="560" t="n">
        <v>6</v>
      </c>
      <c r="M739" s="123" t="n"/>
      <c r="N739" s="117" t="n"/>
    </row>
    <row r="740" ht="17.25" customHeight="1" s="453" thickBot="1">
      <c r="A740" s="553">
        <f>IFERROR(LEFT(B740,7),"")</f>
        <v/>
      </c>
      <c r="B740" s="554">
        <f>"2025/10"&amp;D740</f>
        <v/>
      </c>
      <c r="C740" s="559" t="n">
        <v>185</v>
      </c>
      <c r="D740" s="484" t="inlineStr">
        <is>
          <t>忠孝國際醫學3樓</t>
        </is>
      </c>
      <c r="E740" s="484" t="inlineStr">
        <is>
          <t>6200017</t>
        </is>
      </c>
      <c r="F740" s="551" t="n"/>
      <c r="G740" s="484" t="inlineStr">
        <is>
          <t>(V)猛健樂10MG/0.15CC</t>
        </is>
      </c>
      <c r="H740" s="552" t="n"/>
      <c r="I740" s="552" t="n"/>
      <c r="J740" s="551" t="n"/>
      <c r="K740" s="140" t="inlineStr">
        <is>
          <t>3cc/支</t>
        </is>
      </c>
      <c r="L740" s="560" t="n">
        <v>167.5</v>
      </c>
      <c r="M740" s="123" t="n"/>
      <c r="N740" s="117" t="n"/>
    </row>
    <row r="741" ht="17.25" customHeight="1" s="453" thickBot="1">
      <c r="A741" s="553">
        <f>IFERROR(LEFT(B741,7),"")</f>
        <v/>
      </c>
      <c r="B741" s="554">
        <f>"2025/10"&amp;D741</f>
        <v/>
      </c>
      <c r="C741" s="559" t="n">
        <v>186</v>
      </c>
      <c r="D741" s="484" t="inlineStr">
        <is>
          <t>忠孝國際醫學3樓</t>
        </is>
      </c>
      <c r="E741" s="484" t="inlineStr">
        <is>
          <t>6200018</t>
        </is>
      </c>
      <c r="F741" s="551" t="n"/>
      <c r="G741" s="484" t="inlineStr">
        <is>
          <t>(V)猛健樂*1支(12.5mg)</t>
        </is>
      </c>
      <c r="H741" s="552" t="n"/>
      <c r="I741" s="552" t="n"/>
      <c r="J741" s="551" t="n"/>
      <c r="K741" s="140" t="inlineStr">
        <is>
          <t>支</t>
        </is>
      </c>
      <c r="L741" s="560" t="n">
        <v>3</v>
      </c>
      <c r="M741" s="123" t="n"/>
      <c r="N741" s="117" t="n"/>
    </row>
    <row r="742" ht="17.25" customHeight="1" s="453" thickBot="1">
      <c r="A742" s="553">
        <f>IFERROR(LEFT(B742,7),"")</f>
        <v/>
      </c>
      <c r="B742" s="554">
        <f>"2025/10"&amp;D742</f>
        <v/>
      </c>
      <c r="C742" s="559" t="n">
        <v>187</v>
      </c>
      <c r="D742" s="484" t="inlineStr">
        <is>
          <t>忠孝國際醫學3樓</t>
        </is>
      </c>
      <c r="E742" s="484" t="inlineStr">
        <is>
          <t>6200020</t>
        </is>
      </c>
      <c r="F742" s="551" t="n"/>
      <c r="G742" s="484" t="inlineStr">
        <is>
          <t>(V)猛健樂7.5MG/0.2CC</t>
        </is>
      </c>
      <c r="H742" s="552" t="n"/>
      <c r="I742" s="552" t="n"/>
      <c r="J742" s="551" t="n"/>
      <c r="K742" s="140" t="inlineStr">
        <is>
          <t>3cc/支</t>
        </is>
      </c>
      <c r="L742" s="560" t="n">
        <v>111.5</v>
      </c>
      <c r="M742" s="123" t="n"/>
      <c r="N742" s="117" t="n"/>
    </row>
    <row r="743" ht="17.25" customHeight="1" s="453" thickBot="1">
      <c r="A743" s="553">
        <f>IFERROR(LEFT(B743,7),"")</f>
        <v/>
      </c>
      <c r="B743" s="554">
        <f>"2025/10"&amp;D743</f>
        <v/>
      </c>
      <c r="C743" s="559" t="n">
        <v>188</v>
      </c>
      <c r="D743" s="484" t="inlineStr">
        <is>
          <t>忠孝國際醫學3樓</t>
        </is>
      </c>
      <c r="E743" s="484" t="inlineStr">
        <is>
          <t>6200021</t>
        </is>
      </c>
      <c r="F743" s="551" t="n"/>
      <c r="G743" s="484" t="inlineStr">
        <is>
          <t>(V)猛健樂12.5MG/0.12CC</t>
        </is>
      </c>
      <c r="H743" s="552" t="n"/>
      <c r="I743" s="552" t="n"/>
      <c r="J743" s="551" t="n"/>
      <c r="K743" s="140" t="inlineStr">
        <is>
          <t>3cc/支</t>
        </is>
      </c>
      <c r="L743" s="560" t="n">
        <v>125</v>
      </c>
      <c r="M743" s="123" t="n"/>
      <c r="N743" s="117" t="n"/>
    </row>
    <row r="744" ht="17.25" customHeight="1" s="453" thickBot="1">
      <c r="A744" s="553">
        <f>IFERROR(LEFT(B744,7),"")</f>
        <v/>
      </c>
      <c r="B744" s="554">
        <f>"2025/11"&amp;D744</f>
        <v/>
      </c>
      <c r="C744" s="559" t="n">
        <v>1</v>
      </c>
      <c r="D744" s="484" t="inlineStr">
        <is>
          <t>站前4樓</t>
        </is>
      </c>
      <c r="E744" s="484" t="inlineStr">
        <is>
          <t>6120003</t>
        </is>
      </c>
      <c r="F744" s="551" t="n"/>
      <c r="G744" s="484" t="inlineStr">
        <is>
          <t>(V)貝力多(雙胜胺) 20% 30mL/ 瓶，50倍數叫貨</t>
        </is>
      </c>
      <c r="H744" s="552" t="n"/>
      <c r="I744" s="552" t="n"/>
      <c r="J744" s="551" t="n"/>
      <c r="K744" s="140" t="inlineStr">
        <is>
          <t>10支/盒</t>
        </is>
      </c>
      <c r="L744" s="560" t="n">
        <v>12</v>
      </c>
      <c r="M744" s="123" t="n"/>
      <c r="N744" s="117" t="n"/>
    </row>
    <row r="745" ht="17.25" customHeight="1" s="453" thickBot="1">
      <c r="A745" s="553">
        <f>IFERROR(LEFT(B745,7),"")</f>
        <v/>
      </c>
      <c r="B745" s="554">
        <f>"2025/11"&amp;D745</f>
        <v/>
      </c>
      <c r="C745" s="559" t="n">
        <v>2</v>
      </c>
      <c r="D745" s="484" t="inlineStr">
        <is>
          <t>站前4樓</t>
        </is>
      </c>
      <c r="E745" s="484" t="inlineStr">
        <is>
          <t>6120004</t>
        </is>
      </c>
      <c r="F745" s="551" t="n"/>
      <c r="G745" s="484" t="inlineStr">
        <is>
          <t>(V)胺基酸點滴250ml/ 袋(安命活源/嘉安命)，20倍數叫貨</t>
        </is>
      </c>
      <c r="H745" s="552" t="n"/>
      <c r="I745" s="552" t="n"/>
      <c r="J745" s="551" t="n"/>
      <c r="K745" s="140" t="inlineStr">
        <is>
          <t>(20瓶/箱)</t>
        </is>
      </c>
      <c r="L745" s="560" t="n">
        <v>12</v>
      </c>
      <c r="M745" s="123" t="n"/>
      <c r="N745" s="117" t="n"/>
    </row>
    <row r="746" ht="17.25" customHeight="1" s="453" thickBot="1">
      <c r="A746" s="553">
        <f>IFERROR(LEFT(B746,7),"")</f>
        <v/>
      </c>
      <c r="B746" s="554">
        <f>"2025/11"&amp;D746</f>
        <v/>
      </c>
      <c r="C746" s="559" t="n">
        <v>3</v>
      </c>
      <c r="D746" s="484" t="inlineStr">
        <is>
          <t>站前4樓</t>
        </is>
      </c>
      <c r="E746" s="484" t="inlineStr">
        <is>
          <t>6120006</t>
        </is>
      </c>
      <c r="F746" s="551" t="n"/>
      <c r="G746" s="484" t="inlineStr">
        <is>
          <t>(V)(B12) 愛壽命 2mL，100倍數叫貨</t>
        </is>
      </c>
      <c r="H746" s="552" t="n"/>
      <c r="I746" s="552" t="n"/>
      <c r="J746" s="551" t="n"/>
      <c r="K746" s="140" t="inlineStr">
        <is>
          <t>(100支/盒)</t>
        </is>
      </c>
      <c r="L746" s="560" t="n">
        <v>16</v>
      </c>
      <c r="M746" s="123" t="n"/>
      <c r="N746" s="117" t="n"/>
    </row>
    <row r="747" ht="17.25" customHeight="1" s="453" thickBot="1">
      <c r="A747" s="553">
        <f>IFERROR(LEFT(B747,7),"")</f>
        <v/>
      </c>
      <c r="B747" s="554">
        <f>"2025/11"&amp;D747</f>
        <v/>
      </c>
      <c r="C747" s="559" t="n">
        <v>4</v>
      </c>
      <c r="D747" s="484" t="inlineStr">
        <is>
          <t>站前4樓</t>
        </is>
      </c>
      <c r="E747" s="484" t="inlineStr">
        <is>
          <t>6120013</t>
        </is>
      </c>
      <c r="F747" s="551" t="n"/>
      <c r="G747" s="484" t="inlineStr">
        <is>
          <t>(V)生理食鹽水(NS) 250ml/ 袋</t>
        </is>
      </c>
      <c r="H747" s="552" t="n"/>
      <c r="I747" s="552" t="n"/>
      <c r="J747" s="551" t="n"/>
      <c r="K747" s="140" t="inlineStr">
        <is>
          <t>40瓶/箱</t>
        </is>
      </c>
      <c r="L747" s="560" t="n">
        <v>251</v>
      </c>
      <c r="M747" s="123" t="n"/>
      <c r="N747" s="117" t="n"/>
    </row>
    <row r="748" ht="17.25" customHeight="1" s="453" thickBot="1">
      <c r="A748" s="553">
        <f>IFERROR(LEFT(B748,7),"")</f>
        <v/>
      </c>
      <c r="B748" s="554">
        <f>"2025/11"&amp;D748</f>
        <v/>
      </c>
      <c r="C748" s="559" t="n">
        <v>5</v>
      </c>
      <c r="D748" s="484" t="inlineStr">
        <is>
          <t>站前4樓</t>
        </is>
      </c>
      <c r="E748" s="484" t="inlineStr">
        <is>
          <t>6120015</t>
        </is>
      </c>
      <c r="F748" s="551" t="n"/>
      <c r="G748" s="484" t="inlineStr">
        <is>
          <t>(V)(B群)淘能美複合維他命B 2ml，100倍數叫貨</t>
        </is>
      </c>
      <c r="H748" s="552" t="n"/>
      <c r="I748" s="552" t="n"/>
      <c r="J748" s="551" t="n"/>
      <c r="K748" s="140" t="n"/>
      <c r="L748" s="560" t="n">
        <v>259</v>
      </c>
      <c r="M748" s="123" t="n"/>
      <c r="N748" s="117" t="n"/>
    </row>
    <row r="749" ht="17.25" customHeight="1" s="453" thickBot="1">
      <c r="A749" s="553">
        <f>IFERROR(LEFT(B749,7),"")</f>
        <v/>
      </c>
      <c r="B749" s="554">
        <f>"2025/11"&amp;D749</f>
        <v/>
      </c>
      <c r="C749" s="559" t="n">
        <v>6</v>
      </c>
      <c r="D749" s="484" t="inlineStr">
        <is>
          <t>站前4樓</t>
        </is>
      </c>
      <c r="E749" s="484" t="inlineStr">
        <is>
          <t>6120016</t>
        </is>
      </c>
      <c r="F749" s="551" t="n"/>
      <c r="G749" s="484" t="inlineStr">
        <is>
          <t>(V)(榖胱肝肽) 克樂達養200mg (20ml/瓶)</t>
        </is>
      </c>
      <c r="H749" s="552" t="n"/>
      <c r="I749" s="552" t="n"/>
      <c r="J749" s="551" t="n"/>
      <c r="K749" s="140" t="inlineStr">
        <is>
          <t>50支/盒</t>
        </is>
      </c>
      <c r="L749" s="560" t="n">
        <v>259</v>
      </c>
      <c r="M749" s="123" t="n"/>
      <c r="N749" s="117" t="n"/>
    </row>
    <row r="750" ht="17.25" customHeight="1" s="453" thickBot="1">
      <c r="A750" s="553">
        <f>IFERROR(LEFT(B750,7),"")</f>
        <v/>
      </c>
      <c r="B750" s="554">
        <f>"2025/11"&amp;D750</f>
        <v/>
      </c>
      <c r="C750" s="559" t="n">
        <v>7</v>
      </c>
      <c r="D750" s="484" t="inlineStr">
        <is>
          <t>站前4樓</t>
        </is>
      </c>
      <c r="E750" s="484" t="inlineStr">
        <is>
          <t>6120018</t>
        </is>
      </c>
      <c r="F750" s="551" t="n"/>
      <c r="G750" s="484" t="inlineStr">
        <is>
          <t>(V)(傳明酸)止血明 5ml/支</t>
        </is>
      </c>
      <c r="H750" s="552" t="n"/>
      <c r="I750" s="552" t="n"/>
      <c r="J750" s="551" t="n"/>
      <c r="K750" s="140" t="inlineStr">
        <is>
          <t>50支/盒</t>
        </is>
      </c>
      <c r="L750" s="560" t="n">
        <v>32</v>
      </c>
      <c r="M750" s="123" t="n"/>
      <c r="N750" s="117" t="n"/>
    </row>
    <row r="751" ht="17.25" customHeight="1" s="453" thickBot="1">
      <c r="A751" s="553">
        <f>IFERROR(LEFT(B751,7),"")</f>
        <v/>
      </c>
      <c r="B751" s="554">
        <f>"2025/11"&amp;D751</f>
        <v/>
      </c>
      <c r="C751" s="559" t="n">
        <v>8</v>
      </c>
      <c r="D751" s="484" t="inlineStr">
        <is>
          <t>站前4樓</t>
        </is>
      </c>
      <c r="E751" s="484" t="inlineStr">
        <is>
          <t>6120020</t>
        </is>
      </c>
      <c r="F751" s="551" t="n"/>
      <c r="G751" s="484" t="inlineStr">
        <is>
          <t>(V)(Vit C) 抗壞血酸 2mL，100倍數下單</t>
        </is>
      </c>
      <c r="H751" s="552" t="n"/>
      <c r="I751" s="552" t="n"/>
      <c r="J751" s="551" t="n"/>
      <c r="K751" s="140" t="inlineStr">
        <is>
          <t>100支/盒</t>
        </is>
      </c>
      <c r="L751" s="560" t="n">
        <v>86</v>
      </c>
      <c r="M751" s="123" t="n"/>
      <c r="N751" s="117" t="n"/>
    </row>
    <row r="752" ht="17.25" customHeight="1" s="453" thickBot="1">
      <c r="A752" s="553">
        <f>IFERROR(LEFT(B752,7),"")</f>
        <v/>
      </c>
      <c r="B752" s="554">
        <f>"2025/11"&amp;D752</f>
        <v/>
      </c>
      <c r="C752" s="559" t="n">
        <v>9</v>
      </c>
      <c r="D752" s="484" t="inlineStr">
        <is>
          <t>站前4樓</t>
        </is>
      </c>
      <c r="E752" s="484" t="inlineStr">
        <is>
          <t>6120021</t>
        </is>
      </c>
      <c r="F752" s="551" t="n"/>
      <c r="G752" s="484" t="inlineStr">
        <is>
          <t>(V)(Vit C)(抗壞血酸/諾貝爾)20ml，50倍數下單</t>
        </is>
      </c>
      <c r="H752" s="552" t="n"/>
      <c r="I752" s="552" t="n"/>
      <c r="J752" s="551" t="n"/>
      <c r="K752" s="140" t="inlineStr">
        <is>
          <t>50支/盒</t>
        </is>
      </c>
      <c r="L752" s="560" t="n">
        <v>259</v>
      </c>
      <c r="M752" s="123" t="n"/>
      <c r="N752" s="117" t="n"/>
    </row>
    <row r="753" ht="17.25" customHeight="1" s="453" thickBot="1">
      <c r="A753" s="553">
        <f>IFERROR(LEFT(B753,7),"")</f>
        <v/>
      </c>
      <c r="B753" s="554">
        <f>"2025/11"&amp;D753</f>
        <v/>
      </c>
      <c r="C753" s="559" t="n">
        <v>10</v>
      </c>
      <c r="D753" s="484" t="inlineStr">
        <is>
          <t>站前4樓</t>
        </is>
      </c>
      <c r="E753" s="484" t="inlineStr">
        <is>
          <t>6140001</t>
        </is>
      </c>
      <c r="F753" s="551" t="n"/>
      <c r="G753" s="484" t="inlineStr">
        <is>
          <t>(V)保妥適Botox/ u，100倍數下單</t>
        </is>
      </c>
      <c r="H753" s="552" t="n"/>
      <c r="I753" s="552" t="n"/>
      <c r="J753" s="551" t="n"/>
      <c r="K753" s="140" t="inlineStr">
        <is>
          <t>100U/瓶</t>
        </is>
      </c>
      <c r="L753" s="560" t="n">
        <v>4633</v>
      </c>
      <c r="M753" s="123" t="n"/>
      <c r="N753" s="117" t="n"/>
    </row>
    <row r="754" ht="17.25" customHeight="1" s="453" thickBot="1">
      <c r="A754" s="553">
        <f>IFERROR(LEFT(B754,7),"")</f>
        <v/>
      </c>
      <c r="B754" s="554">
        <f>"2025/11"&amp;D754</f>
        <v/>
      </c>
      <c r="C754" s="559" t="n">
        <v>11</v>
      </c>
      <c r="D754" s="484" t="inlineStr">
        <is>
          <t>站前4樓</t>
        </is>
      </c>
      <c r="E754" s="484" t="inlineStr">
        <is>
          <t>6140003</t>
        </is>
      </c>
      <c r="F754" s="551" t="n"/>
      <c r="G754" s="484" t="inlineStr">
        <is>
          <t>(V)保提拉肉毒Letybo/ u，3200倍數下單</t>
        </is>
      </c>
      <c r="H754" s="552" t="n"/>
      <c r="I754" s="552" t="n"/>
      <c r="J754" s="551" t="n"/>
      <c r="K754" s="140" t="inlineStr">
        <is>
          <t>200U/瓶</t>
        </is>
      </c>
      <c r="L754" s="560" t="n">
        <v>6276</v>
      </c>
      <c r="M754" s="123" t="n"/>
      <c r="N754" s="117" t="n"/>
    </row>
    <row r="755" ht="17.25" customHeight="1" s="453" thickBot="1">
      <c r="A755" s="553">
        <f>IFERROR(LEFT(B755,7),"")</f>
        <v/>
      </c>
      <c r="B755" s="554">
        <f>"2025/11"&amp;D755</f>
        <v/>
      </c>
      <c r="C755" s="559" t="n">
        <v>12</v>
      </c>
      <c r="D755" s="484" t="inlineStr">
        <is>
          <t>站前4樓</t>
        </is>
      </c>
      <c r="E755" s="484" t="inlineStr">
        <is>
          <t>6140005</t>
        </is>
      </c>
      <c r="F755" s="551" t="n"/>
      <c r="G755" s="484" t="inlineStr">
        <is>
          <t>(V)奇肌肉毒/ u，200倍數下單</t>
        </is>
      </c>
      <c r="H755" s="552" t="n"/>
      <c r="I755" s="552" t="n"/>
      <c r="J755" s="551" t="n"/>
      <c r="K755" s="140" t="inlineStr">
        <is>
          <t>200U/瓶</t>
        </is>
      </c>
      <c r="L755" s="560" t="n">
        <v>1623</v>
      </c>
      <c r="M755" s="123" t="n"/>
      <c r="N755" s="117" t="n"/>
    </row>
    <row r="756" ht="17.25" customHeight="1" s="453" thickBot="1">
      <c r="A756" s="553">
        <f>IFERROR(LEFT(B756,7),"")</f>
        <v/>
      </c>
      <c r="B756" s="554">
        <f>"2025/11"&amp;D756</f>
        <v/>
      </c>
      <c r="C756" s="559" t="n">
        <v>13</v>
      </c>
      <c r="D756" s="484" t="inlineStr">
        <is>
          <t>站前4樓</t>
        </is>
      </c>
      <c r="E756" s="484" t="inlineStr">
        <is>
          <t>6150001</t>
        </is>
      </c>
      <c r="F756" s="551" t="n"/>
      <c r="G756" s="484" t="inlineStr">
        <is>
          <t>(V)喬雅登-豐麗緹玻尿酸植入物Voluma 1ml</t>
        </is>
      </c>
      <c r="H756" s="552" t="n"/>
      <c r="I756" s="552" t="n"/>
      <c r="J756" s="551" t="n"/>
      <c r="K756" s="140" t="inlineStr">
        <is>
          <t>1ml(2ml/盒)</t>
        </is>
      </c>
      <c r="L756" s="560" t="n">
        <v>87</v>
      </c>
      <c r="M756" s="123" t="n"/>
      <c r="N756" s="117" t="n"/>
    </row>
    <row r="757" ht="17.25" customHeight="1" s="453" thickBot="1">
      <c r="A757" s="553">
        <f>IFERROR(LEFT(B757,7),"")</f>
        <v/>
      </c>
      <c r="B757" s="554">
        <f>"2025/11"&amp;D757</f>
        <v/>
      </c>
      <c r="C757" s="559" t="n">
        <v>14</v>
      </c>
      <c r="D757" s="484" t="inlineStr">
        <is>
          <t>站前4樓</t>
        </is>
      </c>
      <c r="E757" s="484" t="inlineStr">
        <is>
          <t>6150002</t>
        </is>
      </c>
      <c r="F757" s="551" t="n"/>
      <c r="G757" s="484" t="inlineStr">
        <is>
          <t>(V)喬雅登-夢蓓菈玻尿酸植入物Volbella 1ml</t>
        </is>
      </c>
      <c r="H757" s="552" t="n"/>
      <c r="I757" s="552" t="n"/>
      <c r="J757" s="551" t="n"/>
      <c r="K757" s="140" t="inlineStr">
        <is>
          <t>1ml(2ml/盒)</t>
        </is>
      </c>
      <c r="L757" s="560" t="n">
        <v>2</v>
      </c>
      <c r="M757" s="123" t="n"/>
      <c r="N757" s="117" t="n"/>
    </row>
    <row r="758" ht="17.25" customHeight="1" s="453" thickBot="1">
      <c r="A758" s="553">
        <f>IFERROR(LEFT(B758,7),"")</f>
        <v/>
      </c>
      <c r="B758" s="554">
        <f>"2025/11"&amp;D758</f>
        <v/>
      </c>
      <c r="C758" s="559" t="n">
        <v>15</v>
      </c>
      <c r="D758" s="484" t="inlineStr">
        <is>
          <t>站前4樓</t>
        </is>
      </c>
      <c r="E758" s="484" t="inlineStr">
        <is>
          <t>6150003</t>
        </is>
      </c>
      <c r="F758" s="551" t="n"/>
      <c r="G758" s="484" t="inlineStr">
        <is>
          <t>(V)喬雅登-豐麗緹玻尿酸植入物Volift 1ml</t>
        </is>
      </c>
      <c r="H758" s="552" t="n"/>
      <c r="I758" s="552" t="n"/>
      <c r="J758" s="551" t="n"/>
      <c r="K758" s="140" t="inlineStr">
        <is>
          <t>1ml(2ml/盒)</t>
        </is>
      </c>
      <c r="L758" s="560" t="n">
        <v>3</v>
      </c>
      <c r="M758" s="123" t="n"/>
      <c r="N758" s="117" t="n"/>
    </row>
    <row r="759" ht="17.25" customHeight="1" s="453" thickBot="1">
      <c r="A759" s="553">
        <f>IFERROR(LEFT(B759,7),"")</f>
        <v/>
      </c>
      <c r="B759" s="554">
        <f>"2025/11"&amp;D759</f>
        <v/>
      </c>
      <c r="C759" s="559" t="n">
        <v>16</v>
      </c>
      <c r="D759" s="484" t="inlineStr">
        <is>
          <t>站前4樓</t>
        </is>
      </c>
      <c r="E759" s="484" t="inlineStr">
        <is>
          <t>6150004</t>
        </is>
      </c>
      <c r="F759" s="551" t="n"/>
      <c r="G759" s="484" t="inlineStr">
        <is>
          <t>(V)喬雅登-豐塑玻尿酸植入物Volux 1ml</t>
        </is>
      </c>
      <c r="H759" s="552" t="n"/>
      <c r="I759" s="552" t="n"/>
      <c r="J759" s="551" t="n"/>
      <c r="K759" s="140" t="inlineStr">
        <is>
          <t>1ml(2ml/盒)</t>
        </is>
      </c>
      <c r="L759" s="560" t="n">
        <v>8</v>
      </c>
      <c r="M759" s="123" t="n"/>
      <c r="N759" s="117" t="n"/>
    </row>
    <row r="760" ht="17.25" customHeight="1" s="453" thickBot="1">
      <c r="A760" s="553">
        <f>IFERROR(LEFT(B760,7),"")</f>
        <v/>
      </c>
      <c r="B760" s="554">
        <f>"2025/11"&amp;D760</f>
        <v/>
      </c>
      <c r="C760" s="559" t="n">
        <v>17</v>
      </c>
      <c r="D760" s="484" t="inlineStr">
        <is>
          <t>站前4樓</t>
        </is>
      </c>
      <c r="E760" s="484" t="inlineStr">
        <is>
          <t>6150005</t>
        </is>
      </c>
      <c r="F760" s="551" t="n"/>
      <c r="G760" s="484" t="inlineStr">
        <is>
          <t>(V)喬雅登-芙潤玻尿酸植入物Volite 1ml</t>
        </is>
      </c>
      <c r="H760" s="552" t="n"/>
      <c r="I760" s="552" t="n"/>
      <c r="J760" s="551" t="n"/>
      <c r="K760" s="140" t="inlineStr">
        <is>
          <t>1ml(2ml/盒)</t>
        </is>
      </c>
      <c r="L760" s="560" t="n">
        <v>3</v>
      </c>
      <c r="M760" s="123" t="n"/>
      <c r="N760" s="117" t="n"/>
    </row>
    <row r="761" ht="17.25" customHeight="1" s="453" thickBot="1">
      <c r="A761" s="553">
        <f>IFERROR(LEFT(B761,7),"")</f>
        <v/>
      </c>
      <c r="B761" s="554">
        <f>"2025/11"&amp;D761</f>
        <v/>
      </c>
      <c r="C761" s="559" t="n">
        <v>18</v>
      </c>
      <c r="D761" s="484" t="inlineStr">
        <is>
          <t>站前4樓</t>
        </is>
      </c>
      <c r="E761" s="484" t="inlineStr">
        <is>
          <t>6150010</t>
        </is>
      </c>
      <c r="F761" s="551" t="n"/>
      <c r="G761" s="484" t="inlineStr">
        <is>
          <t>(V)仙女玻尿酸大分子 1ml</t>
        </is>
      </c>
      <c r="H761" s="552" t="n"/>
      <c r="I761" s="552" t="n"/>
      <c r="J761" s="551" t="n"/>
      <c r="K761" s="140" t="inlineStr">
        <is>
          <t>1ml(1ml/盒)</t>
        </is>
      </c>
      <c r="L761" s="560" t="n">
        <v>32</v>
      </c>
      <c r="M761" s="123" t="n"/>
      <c r="N761" s="117" t="n"/>
    </row>
    <row r="762" ht="17.25" customHeight="1" s="453" thickBot="1">
      <c r="A762" s="553">
        <f>IFERROR(LEFT(B762,7),"")</f>
        <v/>
      </c>
      <c r="B762" s="554">
        <f>"2025/11"&amp;D762</f>
        <v/>
      </c>
      <c r="C762" s="559" t="n">
        <v>19</v>
      </c>
      <c r="D762" s="484" t="inlineStr">
        <is>
          <t>站前4樓</t>
        </is>
      </c>
      <c r="E762" s="484" t="inlineStr">
        <is>
          <t>6150011</t>
        </is>
      </c>
      <c r="F762" s="551" t="n"/>
      <c r="G762" s="484" t="inlineStr">
        <is>
          <t>(V)仙女玻尿酸小分子 1ml</t>
        </is>
      </c>
      <c r="H762" s="552" t="n"/>
      <c r="I762" s="552" t="n"/>
      <c r="J762" s="551" t="n"/>
      <c r="K762" s="140" t="inlineStr">
        <is>
          <t>1ml(1ml/盒)</t>
        </is>
      </c>
      <c r="L762" s="560" t="n">
        <v>2</v>
      </c>
      <c r="M762" s="123" t="n"/>
      <c r="N762" s="117" t="n"/>
    </row>
    <row r="763" ht="17.25" customHeight="1" s="453" thickBot="1">
      <c r="A763" s="553">
        <f>IFERROR(LEFT(B763,7),"")</f>
        <v/>
      </c>
      <c r="B763" s="554">
        <f>"2025/11"&amp;D763</f>
        <v/>
      </c>
      <c r="C763" s="559" t="n">
        <v>20</v>
      </c>
      <c r="D763" s="484" t="inlineStr">
        <is>
          <t>站前4樓</t>
        </is>
      </c>
      <c r="E763" s="484" t="inlineStr">
        <is>
          <t>6150013</t>
        </is>
      </c>
      <c r="F763" s="551" t="n"/>
      <c r="G763" s="484" t="inlineStr">
        <is>
          <t>(V)逆時針(璞菲洛)2cc</t>
        </is>
      </c>
      <c r="H763" s="552" t="n"/>
      <c r="I763" s="552" t="n"/>
      <c r="J763" s="551" t="n"/>
      <c r="K763" s="140" t="inlineStr">
        <is>
          <t>1ml(1ml/盒)</t>
        </is>
      </c>
      <c r="L763" s="560" t="n">
        <v>17</v>
      </c>
      <c r="M763" s="123" t="n"/>
      <c r="N763" s="117" t="n"/>
    </row>
    <row r="764" ht="17.25" customHeight="1" s="453" thickBot="1">
      <c r="A764" s="553">
        <f>IFERROR(LEFT(B764,7),"")</f>
        <v/>
      </c>
      <c r="B764" s="554">
        <f>"2025/11"&amp;D764</f>
        <v/>
      </c>
      <c r="C764" s="559" t="n">
        <v>21</v>
      </c>
      <c r="D764" s="484" t="inlineStr">
        <is>
          <t>站前4樓</t>
        </is>
      </c>
      <c r="E764" s="484" t="inlineStr">
        <is>
          <t>6160002</t>
        </is>
      </c>
      <c r="F764" s="551" t="n"/>
      <c r="G764" s="484" t="inlineStr">
        <is>
          <t>(V)洢蓮絲植入劑ELLANSÉ-S 1ml</t>
        </is>
      </c>
      <c r="H764" s="552" t="n"/>
      <c r="I764" s="552" t="n"/>
      <c r="J764" s="551" t="n"/>
      <c r="K764" s="140" t="inlineStr">
        <is>
          <t>1ml(2ml/盒)</t>
        </is>
      </c>
      <c r="L764" s="560" t="n">
        <v>48</v>
      </c>
      <c r="M764" s="123" t="n"/>
      <c r="N764" s="117" t="n"/>
    </row>
    <row r="765" ht="17.25" customHeight="1" s="453" thickBot="1">
      <c r="A765" s="553">
        <f>IFERROR(LEFT(B765,7),"")</f>
        <v/>
      </c>
      <c r="B765" s="554">
        <f>"2025/11"&amp;D765</f>
        <v/>
      </c>
      <c r="C765" s="559" t="n">
        <v>22</v>
      </c>
      <c r="D765" s="484" t="inlineStr">
        <is>
          <t>站前4樓</t>
        </is>
      </c>
      <c r="E765" s="484" t="inlineStr">
        <is>
          <t>6160003</t>
        </is>
      </c>
      <c r="F765" s="551" t="n"/>
      <c r="G765" s="484" t="inlineStr">
        <is>
          <t>(V)洢蓮絲植入劑ELLANSÉ-M 1ml</t>
        </is>
      </c>
      <c r="H765" s="552" t="n"/>
      <c r="I765" s="552" t="n"/>
      <c r="J765" s="551" t="n"/>
      <c r="K765" s="140" t="inlineStr">
        <is>
          <t>1ml(2ml/盒)</t>
        </is>
      </c>
      <c r="L765" s="560" t="n">
        <v>14</v>
      </c>
      <c r="M765" s="123" t="n"/>
      <c r="N765" s="117" t="n"/>
    </row>
    <row r="766" ht="17.25" customHeight="1" s="453" thickBot="1">
      <c r="A766" s="553">
        <f>IFERROR(LEFT(B766,7),"")</f>
        <v/>
      </c>
      <c r="B766" s="554">
        <f>"2025/11"&amp;D766</f>
        <v/>
      </c>
      <c r="C766" s="559" t="n">
        <v>23</v>
      </c>
      <c r="D766" s="484" t="inlineStr">
        <is>
          <t>站前4樓</t>
        </is>
      </c>
      <c r="E766" s="484" t="inlineStr">
        <is>
          <t>6160005</t>
        </is>
      </c>
      <c r="F766" s="551" t="n"/>
      <c r="G766" s="484" t="inlineStr">
        <is>
          <t>(V)双美熊貓針</t>
        </is>
      </c>
      <c r="H766" s="552" t="n"/>
      <c r="I766" s="552" t="n"/>
      <c r="J766" s="551" t="n"/>
      <c r="K766" s="140" t="inlineStr">
        <is>
          <t>(1ml/盒)</t>
        </is>
      </c>
      <c r="L766" s="560" t="n">
        <v>26</v>
      </c>
      <c r="M766" s="123" t="n"/>
      <c r="N766" s="117" t="n"/>
    </row>
    <row r="767" ht="17.25" customHeight="1" s="453" thickBot="1">
      <c r="A767" s="553">
        <f>IFERROR(LEFT(B767,7),"")</f>
        <v/>
      </c>
      <c r="B767" s="554">
        <f>"2025/11"&amp;D767</f>
        <v/>
      </c>
      <c r="C767" s="559" t="n">
        <v>24</v>
      </c>
      <c r="D767" s="484" t="inlineStr">
        <is>
          <t>站前4樓</t>
        </is>
      </c>
      <c r="E767" s="484" t="inlineStr">
        <is>
          <t>6160008</t>
        </is>
      </c>
      <c r="F767" s="551" t="n"/>
      <c r="G767" s="484" t="inlineStr">
        <is>
          <t>白童針-薇貝拉50mg/1cc</t>
        </is>
      </c>
      <c r="H767" s="552" t="n"/>
      <c r="I767" s="552" t="n"/>
      <c r="J767" s="551" t="n"/>
      <c r="K767" s="140" t="inlineStr">
        <is>
          <t>6cc/瓶</t>
        </is>
      </c>
      <c r="L767" s="560" t="n">
        <v>188</v>
      </c>
      <c r="M767" s="123" t="n"/>
      <c r="N767" s="117" t="n"/>
    </row>
    <row r="768" ht="17.25" customHeight="1" s="453" thickBot="1">
      <c r="A768" s="553">
        <f>IFERROR(LEFT(B768,7),"")</f>
        <v/>
      </c>
      <c r="B768" s="554">
        <f>"2025/11"&amp;D768</f>
        <v/>
      </c>
      <c r="C768" s="559" t="n">
        <v>25</v>
      </c>
      <c r="D768" s="484" t="inlineStr">
        <is>
          <t>站前4樓</t>
        </is>
      </c>
      <c r="E768" s="484" t="inlineStr">
        <is>
          <t>6160009</t>
        </is>
      </c>
      <c r="F768" s="551" t="n"/>
      <c r="G768" s="484" t="inlineStr">
        <is>
          <t>黑童針-薇貝拉200mg/1cc</t>
        </is>
      </c>
      <c r="H768" s="552" t="n"/>
      <c r="I768" s="552" t="n"/>
      <c r="J768" s="551" t="n"/>
      <c r="K768" s="140" t="inlineStr">
        <is>
          <t>8cc/瓶</t>
        </is>
      </c>
      <c r="L768" s="560" t="n">
        <v>45</v>
      </c>
      <c r="M768" s="123" t="n"/>
      <c r="N768" s="117" t="n"/>
    </row>
    <row r="769" ht="17.25" customHeight="1" s="453" thickBot="1">
      <c r="A769" s="553">
        <f>IFERROR(LEFT(B769,7),"")</f>
        <v/>
      </c>
      <c r="B769" s="554">
        <f>"2025/11"&amp;D769</f>
        <v/>
      </c>
      <c r="C769" s="559" t="n">
        <v>26</v>
      </c>
      <c r="D769" s="484" t="inlineStr">
        <is>
          <t>站前4樓</t>
        </is>
      </c>
      <c r="E769" s="484" t="inlineStr">
        <is>
          <t>6160010</t>
        </is>
      </c>
      <c r="F769" s="551" t="n"/>
      <c r="G769" s="484" t="inlineStr">
        <is>
          <t>喬雅露-大分子200mg/1cc</t>
        </is>
      </c>
      <c r="H769" s="552" t="n"/>
      <c r="I769" s="552" t="n"/>
      <c r="J769" s="551" t="n"/>
      <c r="K769" s="140" t="inlineStr">
        <is>
          <t>8cc/瓶</t>
        </is>
      </c>
      <c r="L769" s="560" t="n">
        <v>10</v>
      </c>
      <c r="M769" s="123" t="n"/>
      <c r="N769" s="117" t="n"/>
    </row>
    <row r="770" ht="17.25" customHeight="1" s="453" thickBot="1">
      <c r="A770" s="553">
        <f>IFERROR(LEFT(B770,7),"")</f>
        <v/>
      </c>
      <c r="B770" s="554">
        <f>"2025/11"&amp;D770</f>
        <v/>
      </c>
      <c r="C770" s="559" t="n">
        <v>27</v>
      </c>
      <c r="D770" s="484" t="inlineStr">
        <is>
          <t>站前4樓</t>
        </is>
      </c>
      <c r="E770" s="484" t="inlineStr">
        <is>
          <t>6160011</t>
        </is>
      </c>
      <c r="F770" s="551" t="n"/>
      <c r="G770" s="484" t="inlineStr">
        <is>
          <t>喬雅露-小分子50mg/1cc</t>
        </is>
      </c>
      <c r="H770" s="552" t="n"/>
      <c r="I770" s="552" t="n"/>
      <c r="J770" s="551" t="n"/>
      <c r="K770" s="140" t="inlineStr">
        <is>
          <t>6cc/瓶</t>
        </is>
      </c>
      <c r="L770" s="560" t="n">
        <v>114</v>
      </c>
      <c r="M770" s="123" t="n"/>
      <c r="N770" s="117" t="n"/>
    </row>
    <row r="771" ht="17.25" customHeight="1" s="453" thickBot="1">
      <c r="A771" s="553">
        <f>IFERROR(LEFT(B771,7),"")</f>
        <v/>
      </c>
      <c r="B771" s="554">
        <f>"2025/11"&amp;D771</f>
        <v/>
      </c>
      <c r="C771" s="559" t="n">
        <v>28</v>
      </c>
      <c r="D771" s="484" t="inlineStr">
        <is>
          <t>站前4樓</t>
        </is>
      </c>
      <c r="E771" s="484" t="inlineStr">
        <is>
          <t>6170005</t>
        </is>
      </c>
      <c r="F771" s="551" t="n"/>
      <c r="G771" s="484" t="inlineStr">
        <is>
          <t>海芙三代音波探頭2mm/ 條</t>
        </is>
      </c>
      <c r="H771" s="552" t="n"/>
      <c r="I771" s="552" t="n"/>
      <c r="J771" s="551" t="n"/>
      <c r="K771" s="140" t="inlineStr">
        <is>
          <t>20000條/顆</t>
        </is>
      </c>
      <c r="L771" s="560" t="n">
        <v>12875</v>
      </c>
      <c r="M771" s="123" t="n"/>
      <c r="N771" s="117" t="n"/>
    </row>
    <row r="772" ht="17.25" customHeight="1" s="453" thickBot="1">
      <c r="A772" s="553">
        <f>IFERROR(LEFT(B772,7),"")</f>
        <v/>
      </c>
      <c r="B772" s="554">
        <f>"2025/11"&amp;D772</f>
        <v/>
      </c>
      <c r="C772" s="559" t="n">
        <v>29</v>
      </c>
      <c r="D772" s="484" t="inlineStr">
        <is>
          <t>站前4樓</t>
        </is>
      </c>
      <c r="E772" s="484" t="inlineStr">
        <is>
          <t>6170007</t>
        </is>
      </c>
      <c r="F772" s="551" t="n"/>
      <c r="G772" s="484" t="inlineStr">
        <is>
          <t>海芙三代音波探頭3mm/ 條</t>
        </is>
      </c>
      <c r="H772" s="552" t="n"/>
      <c r="I772" s="552" t="n"/>
      <c r="J772" s="551" t="n"/>
      <c r="K772" s="140" t="inlineStr">
        <is>
          <t>20000條/顆</t>
        </is>
      </c>
      <c r="L772" s="560" t="n">
        <v>33827</v>
      </c>
      <c r="M772" s="123" t="n"/>
      <c r="N772" s="117" t="n"/>
    </row>
    <row r="773" ht="17.25" customHeight="1" s="453" thickBot="1">
      <c r="A773" s="553">
        <f>IFERROR(LEFT(B773,7),"")</f>
        <v/>
      </c>
      <c r="B773" s="554">
        <f>"2025/11"&amp;D773</f>
        <v/>
      </c>
      <c r="C773" s="559" t="n">
        <v>30</v>
      </c>
      <c r="D773" s="484" t="inlineStr">
        <is>
          <t>站前4樓</t>
        </is>
      </c>
      <c r="E773" s="484" t="inlineStr">
        <is>
          <t>6170009</t>
        </is>
      </c>
      <c r="F773" s="551" t="n"/>
      <c r="G773" s="484" t="inlineStr">
        <is>
          <t>海芙三代音波探頭4.5mm/ 條</t>
        </is>
      </c>
      <c r="H773" s="552" t="n"/>
      <c r="I773" s="552" t="n"/>
      <c r="J773" s="551" t="n"/>
      <c r="K773" s="140" t="inlineStr">
        <is>
          <t>20000條/顆</t>
        </is>
      </c>
      <c r="L773" s="560" t="n">
        <v>50478</v>
      </c>
      <c r="M773" s="123" t="n"/>
      <c r="N773" s="117" t="n"/>
    </row>
    <row r="774" ht="17.25" customHeight="1" s="453" thickBot="1">
      <c r="A774" s="553">
        <f>IFERROR(LEFT(B774,7),"")</f>
        <v/>
      </c>
      <c r="B774" s="554">
        <f>"2025/11"&amp;D774</f>
        <v/>
      </c>
      <c r="C774" s="559" t="n">
        <v>31</v>
      </c>
      <c r="D774" s="484" t="inlineStr">
        <is>
          <t>站前4樓</t>
        </is>
      </c>
      <c r="E774" s="484" t="inlineStr">
        <is>
          <t>6170011</t>
        </is>
      </c>
      <c r="F774" s="551" t="n"/>
      <c r="G774" s="484" t="inlineStr">
        <is>
          <t>海芙三代音波探頭6mm/ 條</t>
        </is>
      </c>
      <c r="H774" s="552" t="n"/>
      <c r="I774" s="552" t="n"/>
      <c r="J774" s="551" t="n"/>
      <c r="K774" s="140" t="inlineStr">
        <is>
          <t>30,000條/顆</t>
        </is>
      </c>
      <c r="L774" s="560" t="n">
        <v>12161</v>
      </c>
      <c r="M774" s="123" t="n"/>
      <c r="N774" s="117" t="n"/>
    </row>
    <row r="775" ht="17.25" customHeight="1" s="453" thickBot="1">
      <c r="A775" s="553">
        <f>IFERROR(LEFT(B775,7),"")</f>
        <v/>
      </c>
      <c r="B775" s="554">
        <f>"2025/11"&amp;D775</f>
        <v/>
      </c>
      <c r="C775" s="559" t="n">
        <v>32</v>
      </c>
      <c r="D775" s="484" t="inlineStr">
        <is>
          <t>站前4樓</t>
        </is>
      </c>
      <c r="E775" s="484" t="inlineStr">
        <is>
          <t>6170016</t>
        </is>
      </c>
      <c r="F775" s="551" t="n"/>
      <c r="G775" s="484" t="inlineStr">
        <is>
          <t>點陣電波-膠原槍探頭/ 發</t>
        </is>
      </c>
      <c r="H775" s="552" t="n"/>
      <c r="I775" s="552" t="n"/>
      <c r="J775" s="551" t="n"/>
      <c r="K775" s="140" t="inlineStr">
        <is>
          <t>2000發/顆</t>
        </is>
      </c>
      <c r="L775" s="560" t="n">
        <v>100</v>
      </c>
      <c r="M775" s="123" t="n"/>
      <c r="N775" s="117" t="n"/>
    </row>
    <row r="776" ht="17.25" customHeight="1" s="453" thickBot="1">
      <c r="A776" s="553">
        <f>IFERROR(LEFT(B776,7),"")</f>
        <v/>
      </c>
      <c r="B776" s="554">
        <f>"2025/11"&amp;D776</f>
        <v/>
      </c>
      <c r="C776" s="559" t="n">
        <v>33</v>
      </c>
      <c r="D776" s="484" t="inlineStr">
        <is>
          <t>站前4樓</t>
        </is>
      </c>
      <c r="E776" s="484" t="inlineStr">
        <is>
          <t>6170019</t>
        </is>
      </c>
      <c r="F776" s="551" t="n"/>
      <c r="G776" s="484" t="inlineStr">
        <is>
          <t>媚必提直線探頭2.0mm/條</t>
        </is>
      </c>
      <c r="H776" s="552" t="n"/>
      <c r="I776" s="552" t="n"/>
      <c r="J776" s="551" t="n"/>
      <c r="K776" s="140" t="inlineStr">
        <is>
          <t>20000條/顆</t>
        </is>
      </c>
      <c r="L776" s="560" t="n">
        <v>3881</v>
      </c>
      <c r="M776" s="123" t="n"/>
      <c r="N776" s="117" t="n"/>
    </row>
    <row r="777" ht="17.25" customHeight="1" s="453" thickBot="1">
      <c r="A777" s="553">
        <f>IFERROR(LEFT(B777,7),"")</f>
        <v/>
      </c>
      <c r="B777" s="554">
        <f>"2025/11"&amp;D777</f>
        <v/>
      </c>
      <c r="C777" s="559" t="n">
        <v>34</v>
      </c>
      <c r="D777" s="484" t="inlineStr">
        <is>
          <t>站前4樓</t>
        </is>
      </c>
      <c r="E777" s="484" t="inlineStr">
        <is>
          <t>6170020</t>
        </is>
      </c>
      <c r="F777" s="551" t="n"/>
      <c r="G777" s="484" t="inlineStr">
        <is>
          <t>媚必提直線探頭3.0mm/條</t>
        </is>
      </c>
      <c r="H777" s="552" t="n"/>
      <c r="I777" s="552" t="n"/>
      <c r="J777" s="551" t="n"/>
      <c r="K777" s="140" t="inlineStr">
        <is>
          <t>20000條/顆</t>
        </is>
      </c>
      <c r="L777" s="560" t="n">
        <v>8562</v>
      </c>
      <c r="M777" s="123" t="n"/>
      <c r="N777" s="117" t="n"/>
    </row>
    <row r="778" ht="17.25" customHeight="1" s="453" thickBot="1">
      <c r="A778" s="553">
        <f>IFERROR(LEFT(B778,7),"")</f>
        <v/>
      </c>
      <c r="B778" s="554">
        <f>"2025/11"&amp;D778</f>
        <v/>
      </c>
      <c r="C778" s="559" t="n">
        <v>35</v>
      </c>
      <c r="D778" s="484" t="inlineStr">
        <is>
          <t>站前4樓</t>
        </is>
      </c>
      <c r="E778" s="484" t="inlineStr">
        <is>
          <t>6170021</t>
        </is>
      </c>
      <c r="F778" s="551" t="n"/>
      <c r="G778" s="484" t="inlineStr">
        <is>
          <t>媚必提直線探頭4.5mm/條</t>
        </is>
      </c>
      <c r="H778" s="552" t="n"/>
      <c r="I778" s="552" t="n"/>
      <c r="J778" s="551" t="n"/>
      <c r="K778" s="140" t="inlineStr">
        <is>
          <t>20000條/顆</t>
        </is>
      </c>
      <c r="L778" s="560" t="n">
        <v>14059</v>
      </c>
      <c r="M778" s="123" t="n"/>
      <c r="N778" s="117" t="n"/>
    </row>
    <row r="779" ht="17.25" customHeight="1" s="453" thickBot="1">
      <c r="A779" s="553">
        <f>IFERROR(LEFT(B779,7),"")</f>
        <v/>
      </c>
      <c r="B779" s="554">
        <f>"2025/11"&amp;D779</f>
        <v/>
      </c>
      <c r="C779" s="559" t="n">
        <v>36</v>
      </c>
      <c r="D779" s="484" t="inlineStr">
        <is>
          <t>站前4樓</t>
        </is>
      </c>
      <c r="E779" s="484" t="inlineStr">
        <is>
          <t>6170022</t>
        </is>
      </c>
      <c r="F779" s="551" t="n"/>
      <c r="G779" s="484" t="inlineStr">
        <is>
          <t>媚必提直線探頭6.0mm/條</t>
        </is>
      </c>
      <c r="H779" s="552" t="n"/>
      <c r="I779" s="552" t="n"/>
      <c r="J779" s="551" t="n"/>
      <c r="K779" s="140" t="inlineStr">
        <is>
          <t>20000條/顆</t>
        </is>
      </c>
      <c r="L779" s="560" t="n">
        <v>6900</v>
      </c>
      <c r="M779" s="123" t="n"/>
      <c r="N779" s="117" t="n"/>
    </row>
    <row r="780" ht="17.25" customHeight="1" s="453" thickBot="1">
      <c r="A780" s="553">
        <f>IFERROR(LEFT(B780,7),"")</f>
        <v/>
      </c>
      <c r="B780" s="554">
        <f>"2025/11"&amp;D780</f>
        <v/>
      </c>
      <c r="C780" s="559" t="n">
        <v>37</v>
      </c>
      <c r="D780" s="484" t="inlineStr">
        <is>
          <t>站前4樓</t>
        </is>
      </c>
      <c r="E780" s="484" t="inlineStr">
        <is>
          <t>6170028</t>
        </is>
      </c>
      <c r="F780" s="551" t="n"/>
      <c r="G780" s="484" t="inlineStr">
        <is>
          <t>海芙電波探頭0.25cm/發</t>
        </is>
      </c>
      <c r="H780" s="552" t="n"/>
      <c r="I780" s="552" t="n"/>
      <c r="J780" s="551" t="n"/>
      <c r="K780" s="140" t="inlineStr">
        <is>
          <t>6000發/顆</t>
        </is>
      </c>
      <c r="L780" s="560" t="n">
        <v>2498</v>
      </c>
      <c r="M780" s="123" t="n"/>
      <c r="N780" s="117" t="n"/>
    </row>
    <row r="781" ht="17.25" customHeight="1" s="453" thickBot="1">
      <c r="A781" s="553">
        <f>IFERROR(LEFT(B781,7),"")</f>
        <v/>
      </c>
      <c r="B781" s="554">
        <f>"2025/11"&amp;D781</f>
        <v/>
      </c>
      <c r="C781" s="559" t="n">
        <v>38</v>
      </c>
      <c r="D781" s="484" t="inlineStr">
        <is>
          <t>站前4樓</t>
        </is>
      </c>
      <c r="E781" s="484" t="inlineStr">
        <is>
          <t>6170029</t>
        </is>
      </c>
      <c r="F781" s="551" t="n"/>
      <c r="G781" s="484" t="inlineStr">
        <is>
          <t>海芙電波探頭3.0cm/發</t>
        </is>
      </c>
      <c r="H781" s="552" t="n"/>
      <c r="I781" s="552" t="n"/>
      <c r="J781" s="551" t="n"/>
      <c r="K781" s="140" t="inlineStr">
        <is>
          <t>4000發/顆</t>
        </is>
      </c>
      <c r="L781" s="560" t="n">
        <v>23341</v>
      </c>
      <c r="M781" s="123" t="n"/>
      <c r="N781" s="117" t="n"/>
    </row>
    <row r="782" ht="17.25" customHeight="1" s="453" thickBot="1">
      <c r="A782" s="553">
        <f>IFERROR(LEFT(B782,7),"")</f>
        <v/>
      </c>
      <c r="B782" s="554">
        <f>"2025/11"&amp;D782</f>
        <v/>
      </c>
      <c r="C782" s="559" t="n">
        <v>39</v>
      </c>
      <c r="D782" s="484" t="inlineStr">
        <is>
          <t>站前4樓</t>
        </is>
      </c>
      <c r="E782" s="484" t="inlineStr">
        <is>
          <t>6170030</t>
        </is>
      </c>
      <c r="F782" s="551" t="n"/>
      <c r="G782" s="484" t="inlineStr">
        <is>
          <t>海芙電波探頭4.0cm/發</t>
        </is>
      </c>
      <c r="H782" s="552" t="n"/>
      <c r="I782" s="552" t="n"/>
      <c r="J782" s="551" t="n"/>
      <c r="K782" s="140" t="inlineStr">
        <is>
          <t>3000發/顆</t>
        </is>
      </c>
      <c r="L782" s="560" t="n">
        <v>5661</v>
      </c>
      <c r="M782" s="123" t="n"/>
      <c r="N782" s="117" t="n"/>
    </row>
    <row r="783" ht="17.25" customHeight="1" s="453" thickBot="1">
      <c r="A783" s="553">
        <f>IFERROR(LEFT(B783,7),"")</f>
        <v/>
      </c>
      <c r="B783" s="554">
        <f>"2025/11"&amp;D783</f>
        <v/>
      </c>
      <c r="C783" s="559" t="n">
        <v>40</v>
      </c>
      <c r="D783" s="484" t="inlineStr">
        <is>
          <t>站前4樓</t>
        </is>
      </c>
      <c r="E783" s="484" t="inlineStr">
        <is>
          <t>6170032</t>
        </is>
      </c>
      <c r="F783" s="551" t="n"/>
      <c r="G783" s="484" t="inlineStr">
        <is>
          <t>立特拉A2筆型探頭3.0mm/ 條</t>
        </is>
      </c>
      <c r="H783" s="552" t="n"/>
      <c r="I783" s="552" t="n"/>
      <c r="J783" s="551" t="n"/>
      <c r="K783" s="140" t="inlineStr">
        <is>
          <t>240000條/顆</t>
        </is>
      </c>
      <c r="L783" s="560" t="n">
        <v>255474</v>
      </c>
      <c r="M783" s="123" t="n"/>
      <c r="N783" s="117" t="n"/>
    </row>
    <row r="784" ht="17.25" customHeight="1" s="453" thickBot="1">
      <c r="A784" s="553">
        <f>IFERROR(LEFT(B784,7),"")</f>
        <v/>
      </c>
      <c r="B784" s="554">
        <f>"2025/11"&amp;D784</f>
        <v/>
      </c>
      <c r="C784" s="559" t="n">
        <v>41</v>
      </c>
      <c r="D784" s="484" t="inlineStr">
        <is>
          <t>站前4樓</t>
        </is>
      </c>
      <c r="E784" s="484" t="inlineStr">
        <is>
          <t>6170033</t>
        </is>
      </c>
      <c r="F784" s="551" t="n"/>
      <c r="G784" s="484" t="inlineStr">
        <is>
          <t>立特拉A2筆型探頭4.5mm/ 條</t>
        </is>
      </c>
      <c r="H784" s="552" t="n"/>
      <c r="I784" s="552" t="n"/>
      <c r="J784" s="551" t="n"/>
      <c r="K784" s="140" t="inlineStr">
        <is>
          <t>240000條/顆</t>
        </is>
      </c>
      <c r="L784" s="560" t="n">
        <v>120526</v>
      </c>
      <c r="M784" s="123" t="n"/>
      <c r="N784" s="117" t="n"/>
    </row>
    <row r="785" ht="17.25" customHeight="1" s="453" thickBot="1">
      <c r="A785" s="553">
        <f>IFERROR(LEFT(B785,7),"")</f>
        <v/>
      </c>
      <c r="B785" s="554">
        <f>"2025/11"&amp;D785</f>
        <v/>
      </c>
      <c r="C785" s="559" t="n">
        <v>42</v>
      </c>
      <c r="D785" s="484" t="inlineStr">
        <is>
          <t>站前4樓</t>
        </is>
      </c>
      <c r="E785" s="484" t="inlineStr">
        <is>
          <t>6170034</t>
        </is>
      </c>
      <c r="F785" s="551" t="n"/>
      <c r="G785" s="484" t="inlineStr">
        <is>
          <t>十蓓電波臉部探頭5cm</t>
        </is>
      </c>
      <c r="H785" s="552" t="n"/>
      <c r="I785" s="552" t="n"/>
      <c r="J785" s="551" t="n"/>
      <c r="K785" s="140" t="inlineStr">
        <is>
          <t>900發/顆</t>
        </is>
      </c>
      <c r="L785" s="560" t="n">
        <v>15300</v>
      </c>
      <c r="M785" s="123" t="n"/>
      <c r="N785" s="117" t="n"/>
    </row>
    <row r="786" ht="17.25" customHeight="1" s="453" thickBot="1">
      <c r="A786" s="553">
        <f>IFERROR(LEFT(B786,7),"")</f>
        <v/>
      </c>
      <c r="B786" s="554">
        <f>"2025/11"&amp;D786</f>
        <v/>
      </c>
      <c r="C786" s="559" t="n">
        <v>43</v>
      </c>
      <c r="D786" s="484" t="inlineStr">
        <is>
          <t>站前4樓</t>
        </is>
      </c>
      <c r="E786" s="484" t="inlineStr">
        <is>
          <t>6170035</t>
        </is>
      </c>
      <c r="F786" s="551" t="n"/>
      <c r="G786" s="484" t="inlineStr">
        <is>
          <t>十蓓電波眼部探頭0.25cm</t>
        </is>
      </c>
      <c r="H786" s="552" t="n"/>
      <c r="I786" s="552" t="n"/>
      <c r="J786" s="551" t="n"/>
      <c r="K786" s="140" t="inlineStr">
        <is>
          <t>600發/顆</t>
        </is>
      </c>
      <c r="L786" s="560" t="n">
        <v>3400</v>
      </c>
      <c r="M786" s="123" t="n"/>
      <c r="N786" s="117" t="n"/>
    </row>
    <row r="787" ht="17.25" customHeight="1" s="453" thickBot="1">
      <c r="A787" s="553">
        <f>IFERROR(LEFT(B787,7),"")</f>
        <v/>
      </c>
      <c r="B787" s="554">
        <f>"2025/11"&amp;D787</f>
        <v/>
      </c>
      <c r="C787" s="559" t="n">
        <v>44</v>
      </c>
      <c r="D787" s="484" t="inlineStr">
        <is>
          <t>站前4樓</t>
        </is>
      </c>
      <c r="E787" s="484" t="inlineStr">
        <is>
          <t>6180009</t>
        </is>
      </c>
      <c r="F787" s="551" t="n"/>
      <c r="G787" s="484" t="inlineStr">
        <is>
          <t>(V)MINT秘特拉提線TIP 4CM/ 條</t>
        </is>
      </c>
      <c r="H787" s="552" t="n"/>
      <c r="I787" s="552" t="n"/>
      <c r="J787" s="551" t="n"/>
      <c r="K787" s="140" t="inlineStr">
        <is>
          <t>10條/盒</t>
        </is>
      </c>
      <c r="L787" s="560" t="n">
        <v>12</v>
      </c>
      <c r="M787" s="123" t="n"/>
      <c r="N787" s="117" t="n"/>
    </row>
    <row r="788" ht="17.25" customHeight="1" s="453" thickBot="1">
      <c r="A788" s="553">
        <f>IFERROR(LEFT(B788,7),"")</f>
        <v/>
      </c>
      <c r="B788" s="554">
        <f>"2025/11"&amp;D788</f>
        <v/>
      </c>
      <c r="C788" s="559" t="n">
        <v>45</v>
      </c>
      <c r="D788" s="484" t="inlineStr">
        <is>
          <t>站前4樓</t>
        </is>
      </c>
      <c r="E788" s="484" t="inlineStr">
        <is>
          <t>6190001</t>
        </is>
      </c>
      <c r="F788" s="551" t="n"/>
      <c r="G788" s="484" t="inlineStr">
        <is>
          <t>PLT生長因子凍晶製備/ 瓶</t>
        </is>
      </c>
      <c r="H788" s="552" t="n"/>
      <c r="I788" s="552" t="n"/>
      <c r="J788" s="551" t="n"/>
      <c r="K788" s="140" t="inlineStr">
        <is>
          <t>瓶</t>
        </is>
      </c>
      <c r="L788" s="560" t="n">
        <v>2</v>
      </c>
      <c r="M788" s="123" t="n"/>
      <c r="N788" s="117" t="n"/>
    </row>
    <row r="789" ht="17.25" customHeight="1" s="453" thickBot="1">
      <c r="A789" s="553">
        <f>IFERROR(LEFT(B789,7),"")</f>
        <v/>
      </c>
      <c r="B789" s="554">
        <f>"2025/11"&amp;D789</f>
        <v/>
      </c>
      <c r="C789" s="559" t="n">
        <v>46</v>
      </c>
      <c r="D789" s="484" t="inlineStr">
        <is>
          <t>站前4樓</t>
        </is>
      </c>
      <c r="E789" s="484" t="inlineStr">
        <is>
          <t>6190002</t>
        </is>
      </c>
      <c r="F789" s="551" t="n"/>
      <c r="G789" s="484" t="inlineStr">
        <is>
          <t>PLT生長因子凍晶製備6入(單瓶)</t>
        </is>
      </c>
      <c r="H789" s="552" t="n"/>
      <c r="I789" s="552" t="n"/>
      <c r="J789" s="551" t="n"/>
      <c r="K789" s="140" t="inlineStr">
        <is>
          <t>瓶(6入/組)</t>
        </is>
      </c>
      <c r="L789" s="560" t="n">
        <v>3</v>
      </c>
      <c r="M789" s="123" t="n"/>
      <c r="N789" s="117" t="n"/>
    </row>
    <row r="790" ht="17.25" customHeight="1" s="453" thickBot="1">
      <c r="A790" s="553">
        <f>IFERROR(LEFT(B790,7),"")</f>
        <v/>
      </c>
      <c r="B790" s="554">
        <f>"2025/11"&amp;D790</f>
        <v/>
      </c>
      <c r="C790" s="559" t="n">
        <v>47</v>
      </c>
      <c r="D790" s="484" t="inlineStr">
        <is>
          <t>站前4樓</t>
        </is>
      </c>
      <c r="E790" s="484" t="inlineStr">
        <is>
          <t>6190003</t>
        </is>
      </c>
      <c r="F790" s="551" t="n"/>
      <c r="G790" s="484" t="inlineStr">
        <is>
          <t>PLT生長因子凍晶製備10入(單瓶)</t>
        </is>
      </c>
      <c r="H790" s="552" t="n"/>
      <c r="I790" s="552" t="n"/>
      <c r="J790" s="551" t="n"/>
      <c r="K790" s="140" t="inlineStr">
        <is>
          <t>瓶(10入/組)</t>
        </is>
      </c>
      <c r="L790" s="560" t="n">
        <v>7</v>
      </c>
      <c r="M790" s="123" t="n"/>
      <c r="N790" s="117" t="n"/>
    </row>
    <row r="791" ht="17.25" customHeight="1" s="453" thickBot="1">
      <c r="A791" s="553">
        <f>IFERROR(LEFT(B791,7),"")</f>
        <v/>
      </c>
      <c r="B791" s="554">
        <f>"2025/11"&amp;D791</f>
        <v/>
      </c>
      <c r="C791" s="559" t="n">
        <v>48</v>
      </c>
      <c r="D791" s="484" t="inlineStr">
        <is>
          <t>站前4樓</t>
        </is>
      </c>
      <c r="E791" s="484" t="inlineStr">
        <is>
          <t>6190004</t>
        </is>
      </c>
      <c r="F791" s="551" t="n"/>
      <c r="G791" s="484" t="inlineStr">
        <is>
          <t>PLT生長因子凍晶製備20入(單瓶)</t>
        </is>
      </c>
      <c r="H791" s="552" t="n"/>
      <c r="I791" s="552" t="n"/>
      <c r="J791" s="551" t="n"/>
      <c r="K791" s="140" t="inlineStr">
        <is>
          <t>瓶(20入/組)</t>
        </is>
      </c>
      <c r="L791" s="560" t="n">
        <v>41</v>
      </c>
      <c r="M791" s="123" t="n"/>
      <c r="N791" s="117" t="n"/>
    </row>
    <row r="792" ht="17.25" customHeight="1" s="453" thickBot="1">
      <c r="A792" s="553">
        <f>IFERROR(LEFT(B792,7),"")</f>
        <v/>
      </c>
      <c r="B792" s="554">
        <f>"2025/11"&amp;D792</f>
        <v/>
      </c>
      <c r="C792" s="559" t="n">
        <v>49</v>
      </c>
      <c r="D792" s="484" t="inlineStr">
        <is>
          <t>站前4樓</t>
        </is>
      </c>
      <c r="E792" s="484" t="inlineStr">
        <is>
          <t>6200003</t>
        </is>
      </c>
      <c r="F792" s="551" t="n"/>
      <c r="G792" s="484" t="inlineStr">
        <is>
          <t>(V)倍克脂Belkyra/ 瓶</t>
        </is>
      </c>
      <c r="H792" s="552" t="n"/>
      <c r="I792" s="552" t="n"/>
      <c r="J792" s="551" t="n"/>
      <c r="K792" s="140" t="inlineStr">
        <is>
          <t>5瓶/盒</t>
        </is>
      </c>
      <c r="L792" s="560" t="n">
        <v>4</v>
      </c>
      <c r="M792" s="123" t="n"/>
      <c r="N792" s="117" t="n"/>
    </row>
    <row r="793" ht="17.25" customHeight="1" s="453" thickBot="1">
      <c r="A793" s="553">
        <f>IFERROR(LEFT(B793,7),"")</f>
        <v/>
      </c>
      <c r="B793" s="554">
        <f>"2025/11"&amp;D793</f>
        <v/>
      </c>
      <c r="C793" s="559" t="n">
        <v>50</v>
      </c>
      <c r="D793" s="484" t="inlineStr">
        <is>
          <t>站前4樓</t>
        </is>
      </c>
      <c r="E793" s="484" t="inlineStr">
        <is>
          <t>6200006</t>
        </is>
      </c>
      <c r="F793" s="551" t="n"/>
      <c r="G793" s="484" t="inlineStr">
        <is>
          <t>(V)容脂/ 瓶</t>
        </is>
      </c>
      <c r="H793" s="552" t="n"/>
      <c r="I793" s="552" t="n"/>
      <c r="J793" s="551" t="n"/>
      <c r="K793" s="140" t="inlineStr">
        <is>
          <t>5瓶/盒</t>
        </is>
      </c>
      <c r="L793" s="560" t="n">
        <v>3</v>
      </c>
      <c r="M793" s="123" t="n"/>
      <c r="N793" s="117" t="n"/>
    </row>
    <row r="794" ht="17.25" customHeight="1" s="453" thickBot="1">
      <c r="A794" s="553">
        <f>IFERROR(LEFT(B794,7),"")</f>
        <v/>
      </c>
      <c r="B794" s="554">
        <f>"2025/11"&amp;D794</f>
        <v/>
      </c>
      <c r="C794" s="559" t="n">
        <v>51</v>
      </c>
      <c r="D794" s="484" t="inlineStr">
        <is>
          <t>站前4樓</t>
        </is>
      </c>
      <c r="E794" s="484" t="inlineStr">
        <is>
          <t>6210001</t>
        </is>
      </c>
      <c r="F794" s="551" t="n"/>
      <c r="G794" s="484" t="inlineStr">
        <is>
          <t>(V)水光針針頭/31G9針/1.0mm/ PCS</t>
        </is>
      </c>
      <c r="H794" s="552" t="n"/>
      <c r="I794" s="552" t="n"/>
      <c r="J794" s="551" t="n"/>
      <c r="K794" s="140" t="inlineStr">
        <is>
          <t>PCS(20入/盒)</t>
        </is>
      </c>
      <c r="L794" s="560" t="n">
        <v>2</v>
      </c>
      <c r="M794" s="123" t="n"/>
      <c r="N794" s="117" t="n"/>
    </row>
    <row r="795" ht="17.25" customHeight="1" s="453" thickBot="1">
      <c r="A795" s="553">
        <f>IFERROR(LEFT(B795,7),"")</f>
        <v/>
      </c>
      <c r="B795" s="554">
        <f>"2025/11"&amp;D795</f>
        <v/>
      </c>
      <c r="C795" s="559" t="n">
        <v>52</v>
      </c>
      <c r="D795" s="484" t="inlineStr">
        <is>
          <t>站前4樓</t>
        </is>
      </c>
      <c r="E795" s="484" t="inlineStr">
        <is>
          <t>6210002</t>
        </is>
      </c>
      <c r="F795" s="551" t="n"/>
      <c r="G795" s="484" t="inlineStr">
        <is>
          <t>(V)水光針針頭/31G9針/1.2mm/ PCS</t>
        </is>
      </c>
      <c r="H795" s="552" t="n"/>
      <c r="I795" s="552" t="n"/>
      <c r="J795" s="551" t="n"/>
      <c r="K795" s="140" t="inlineStr">
        <is>
          <t>PCS(20入/盒)</t>
        </is>
      </c>
      <c r="L795" s="560" t="n">
        <v>74</v>
      </c>
      <c r="M795" s="123" t="n"/>
      <c r="N795" s="117" t="n"/>
    </row>
    <row r="796" ht="17.25" customHeight="1" s="453" thickBot="1">
      <c r="A796" s="553">
        <f>IFERROR(LEFT(B796,7),"")</f>
        <v/>
      </c>
      <c r="B796" s="554">
        <f>"2025/11"&amp;D796</f>
        <v/>
      </c>
      <c r="C796" s="559" t="n">
        <v>53</v>
      </c>
      <c r="D796" s="484" t="inlineStr">
        <is>
          <t>站前4樓</t>
        </is>
      </c>
      <c r="E796" s="484" t="inlineStr">
        <is>
          <t>6210003</t>
        </is>
      </c>
      <c r="F796" s="551" t="n"/>
      <c r="G796" s="484" t="inlineStr">
        <is>
          <t>(V)水光針針頭/31G9針/1.5mm/ PCS</t>
        </is>
      </c>
      <c r="H796" s="552" t="n"/>
      <c r="I796" s="552" t="n"/>
      <c r="J796" s="551" t="n"/>
      <c r="K796" s="140" t="inlineStr">
        <is>
          <t>PCS(20入/盒)</t>
        </is>
      </c>
      <c r="L796" s="560" t="n">
        <v>19</v>
      </c>
      <c r="M796" s="123" t="n"/>
      <c r="N796" s="117" t="n"/>
    </row>
    <row r="797" ht="17.25" customHeight="1" s="453" thickBot="1">
      <c r="A797" s="553">
        <f>IFERROR(LEFT(B797,7),"")</f>
        <v/>
      </c>
      <c r="B797" s="554">
        <f>"2025/11"&amp;D797</f>
        <v/>
      </c>
      <c r="C797" s="559" t="n">
        <v>54</v>
      </c>
      <c r="D797" s="484" t="inlineStr">
        <is>
          <t>站前4樓</t>
        </is>
      </c>
      <c r="E797" s="484" t="inlineStr">
        <is>
          <t>6210005</t>
        </is>
      </c>
      <c r="F797" s="551" t="n"/>
      <c r="G797" s="484" t="inlineStr">
        <is>
          <t>(V)水光針針頭/32G9針/1.0mm/ PCS</t>
        </is>
      </c>
      <c r="H797" s="552" t="n"/>
      <c r="I797" s="552" t="n"/>
      <c r="J797" s="551" t="n"/>
      <c r="K797" s="140" t="inlineStr">
        <is>
          <t>PCS(20入/盒)</t>
        </is>
      </c>
      <c r="L797" s="560" t="n">
        <v>3</v>
      </c>
      <c r="M797" s="123" t="n"/>
      <c r="N797" s="117" t="n"/>
    </row>
    <row r="798" ht="17.25" customHeight="1" s="453" thickBot="1">
      <c r="A798" s="553">
        <f>IFERROR(LEFT(B798,7),"")</f>
        <v/>
      </c>
      <c r="B798" s="554">
        <f>"2025/11"&amp;D798</f>
        <v/>
      </c>
      <c r="C798" s="559" t="n">
        <v>55</v>
      </c>
      <c r="D798" s="484" t="inlineStr">
        <is>
          <t>站前4樓</t>
        </is>
      </c>
      <c r="E798" s="484" t="inlineStr">
        <is>
          <t>6210006</t>
        </is>
      </c>
      <c r="F798" s="551" t="n"/>
      <c r="G798" s="484" t="inlineStr">
        <is>
          <t>(V)麗珠蘭修復水光(A劑2ml+B劑2ml)</t>
        </is>
      </c>
      <c r="H798" s="552" t="n"/>
      <c r="I798" s="552" t="n"/>
      <c r="J798" s="551" t="n"/>
      <c r="K798" s="140" t="inlineStr">
        <is>
          <t>2ml*2</t>
        </is>
      </c>
      <c r="L798" s="560" t="n">
        <v>4</v>
      </c>
      <c r="M798" s="123" t="n"/>
      <c r="N798" s="117" t="n"/>
    </row>
    <row r="799" ht="17.25" customHeight="1" s="453" thickBot="1">
      <c r="A799" s="553">
        <f>IFERROR(LEFT(B799,7),"")</f>
        <v/>
      </c>
      <c r="B799" s="554">
        <f>"2025/11"&amp;D799</f>
        <v/>
      </c>
      <c r="C799" s="559" t="n">
        <v>56</v>
      </c>
      <c r="D799" s="484" t="inlineStr">
        <is>
          <t>站前4樓</t>
        </is>
      </c>
      <c r="E799" s="484" t="inlineStr">
        <is>
          <t>6210007</t>
        </is>
      </c>
      <c r="F799" s="551" t="n"/>
      <c r="G799" s="484" t="inlineStr">
        <is>
          <t>(V)麗珠蘭白瓷水光(A劑2ml+B劑2ml)</t>
        </is>
      </c>
      <c r="H799" s="552" t="n"/>
      <c r="I799" s="552" t="n"/>
      <c r="J799" s="551" t="n"/>
      <c r="K799" s="140" t="inlineStr">
        <is>
          <t>2ml*2</t>
        </is>
      </c>
      <c r="L799" s="560" t="n">
        <v>4</v>
      </c>
      <c r="M799" s="123" t="n"/>
      <c r="N799" s="117" t="n"/>
    </row>
    <row r="800" ht="17.25" customHeight="1" s="453" thickBot="1">
      <c r="A800" s="553">
        <f>IFERROR(LEFT(B800,7),"")</f>
        <v/>
      </c>
      <c r="B800" s="554">
        <f>"2025/11"&amp;D800</f>
        <v/>
      </c>
      <c r="C800" s="559" t="n">
        <v>57</v>
      </c>
      <c r="D800" s="484" t="inlineStr">
        <is>
          <t>站前4樓</t>
        </is>
      </c>
      <c r="E800" s="484" t="inlineStr">
        <is>
          <t>6220005</t>
        </is>
      </c>
      <c r="F800" s="551" t="n"/>
      <c r="G800" s="484" t="inlineStr">
        <is>
          <t>海菲秀深藍端頭/ 顆</t>
        </is>
      </c>
      <c r="H800" s="552" t="n"/>
      <c r="I800" s="552" t="n"/>
      <c r="J800" s="551" t="n"/>
      <c r="K800" s="140" t="inlineStr">
        <is>
          <t>15顆/串</t>
        </is>
      </c>
      <c r="L800" s="560" t="n">
        <v>658</v>
      </c>
      <c r="M800" s="123" t="n"/>
      <c r="N800" s="117" t="n"/>
    </row>
    <row r="801" ht="17.25" customHeight="1" s="453" thickBot="1">
      <c r="A801" s="553">
        <f>IFERROR(LEFT(B801,7),"")</f>
        <v/>
      </c>
      <c r="B801" s="554">
        <f>"2025/11"&amp;D801</f>
        <v/>
      </c>
      <c r="C801" s="559" t="n">
        <v>58</v>
      </c>
      <c r="D801" s="484" t="inlineStr">
        <is>
          <t>站前4樓</t>
        </is>
      </c>
      <c r="E801" s="484" t="inlineStr">
        <is>
          <t>6220006</t>
        </is>
      </c>
      <c r="F801" s="551" t="n"/>
      <c r="G801" s="484" t="inlineStr">
        <is>
          <t>海菲秀淺藍端頭/ 顆</t>
        </is>
      </c>
      <c r="H801" s="552" t="n"/>
      <c r="I801" s="552" t="n"/>
      <c r="J801" s="551" t="n"/>
      <c r="K801" s="140" t="inlineStr">
        <is>
          <t>15顆/串</t>
        </is>
      </c>
      <c r="L801" s="560" t="n">
        <v>658</v>
      </c>
      <c r="M801" s="123" t="n"/>
      <c r="N801" s="117" t="n"/>
    </row>
    <row r="802" ht="17.25" customHeight="1" s="453" thickBot="1">
      <c r="A802" s="553">
        <f>IFERROR(LEFT(B802,7),"")</f>
        <v/>
      </c>
      <c r="B802" s="554">
        <f>"2025/11"&amp;D802</f>
        <v/>
      </c>
      <c r="C802" s="559" t="n">
        <v>59</v>
      </c>
      <c r="D802" s="484" t="inlineStr">
        <is>
          <t>站前4樓</t>
        </is>
      </c>
      <c r="E802" s="484" t="inlineStr">
        <is>
          <t>6220007</t>
        </is>
      </c>
      <c r="F802" s="551" t="n"/>
      <c r="G802" s="484" t="inlineStr">
        <is>
          <t>海菲秀透明端頭/ 顆</t>
        </is>
      </c>
      <c r="H802" s="552" t="n"/>
      <c r="I802" s="552" t="n"/>
      <c r="J802" s="551" t="n"/>
      <c r="K802" s="140" t="inlineStr">
        <is>
          <t>15顆/串</t>
        </is>
      </c>
      <c r="L802" s="560" t="n">
        <v>658</v>
      </c>
      <c r="M802" s="123" t="n"/>
      <c r="N802" s="117" t="n"/>
    </row>
    <row r="803" ht="17.25" customHeight="1" s="453" thickBot="1">
      <c r="A803" s="553">
        <f>IFERROR(LEFT(B803,7),"")</f>
        <v/>
      </c>
      <c r="B803" s="554">
        <f>"2025/11"&amp;D803</f>
        <v/>
      </c>
      <c r="C803" s="559" t="n">
        <v>60</v>
      </c>
      <c r="D803" s="484" t="inlineStr">
        <is>
          <t>站前4樓</t>
        </is>
      </c>
      <c r="E803" s="484" t="inlineStr">
        <is>
          <t>6220012</t>
        </is>
      </c>
      <c r="F803" s="551" t="n"/>
      <c r="G803" s="484" t="inlineStr">
        <is>
          <t>(V)(第一劑)海菲秀 Activ-4 Skin Solution/mL</t>
        </is>
      </c>
      <c r="H803" s="552" t="n"/>
      <c r="I803" s="552" t="n"/>
      <c r="J803" s="551" t="n"/>
      <c r="K803" s="140" t="inlineStr">
        <is>
          <t>236ml/瓶</t>
        </is>
      </c>
      <c r="L803" s="560" t="n">
        <v>9870</v>
      </c>
      <c r="M803" s="123" t="n"/>
      <c r="N803" s="117" t="n"/>
    </row>
    <row r="804" ht="17.25" customHeight="1" s="453" thickBot="1">
      <c r="A804" s="553">
        <f>IFERROR(LEFT(B804,7),"")</f>
        <v/>
      </c>
      <c r="B804" s="554">
        <f>"2025/11"&amp;D804</f>
        <v/>
      </c>
      <c r="C804" s="559" t="n">
        <v>61</v>
      </c>
      <c r="D804" s="484" t="inlineStr">
        <is>
          <t>站前4樓</t>
        </is>
      </c>
      <c r="E804" s="484" t="inlineStr">
        <is>
          <t>6220013</t>
        </is>
      </c>
      <c r="F804" s="551" t="n"/>
      <c r="G804" s="484" t="inlineStr">
        <is>
          <t>(V)(第二劑)海菲秀 Beta-HD Skin Solution /mL</t>
        </is>
      </c>
      <c r="H804" s="552" t="n"/>
      <c r="I804" s="552" t="n"/>
      <c r="J804" s="551" t="n"/>
      <c r="K804" s="140" t="inlineStr">
        <is>
          <t>236ml/瓶</t>
        </is>
      </c>
      <c r="L804" s="560" t="n">
        <v>9870</v>
      </c>
      <c r="M804" s="123" t="n"/>
      <c r="N804" s="117" t="n"/>
    </row>
    <row r="805" ht="17.25" customHeight="1" s="453" thickBot="1">
      <c r="A805" s="553">
        <f>IFERROR(LEFT(B805,7),"")</f>
        <v/>
      </c>
      <c r="B805" s="554">
        <f>"2025/11"&amp;D805</f>
        <v/>
      </c>
      <c r="C805" s="559" t="n">
        <v>62</v>
      </c>
      <c r="D805" s="484" t="inlineStr">
        <is>
          <t>站前4樓</t>
        </is>
      </c>
      <c r="E805" s="484" t="inlineStr">
        <is>
          <t>6220014</t>
        </is>
      </c>
      <c r="F805" s="551" t="n"/>
      <c r="G805" s="484" t="inlineStr">
        <is>
          <t>(V)(第三劑)海菲秀 Antiox-6 Skin Solution /mL</t>
        </is>
      </c>
      <c r="H805" s="552" t="n"/>
      <c r="I805" s="552" t="n"/>
      <c r="J805" s="551" t="n"/>
      <c r="K805" s="140" t="inlineStr">
        <is>
          <t>236ml/瓶</t>
        </is>
      </c>
      <c r="L805" s="560" t="n">
        <v>9870</v>
      </c>
      <c r="M805" s="123" t="n"/>
      <c r="N805" s="117" t="n"/>
    </row>
    <row r="806" ht="17.25" customHeight="1" s="453" thickBot="1">
      <c r="A806" s="553">
        <f>IFERROR(LEFT(B806,7),"")</f>
        <v/>
      </c>
      <c r="B806" s="554">
        <f>"2025/11"&amp;D806</f>
        <v/>
      </c>
      <c r="C806" s="559" t="n">
        <v>63</v>
      </c>
      <c r="D806" s="484" t="inlineStr">
        <is>
          <t>站前4樓</t>
        </is>
      </c>
      <c r="E806" s="484" t="inlineStr">
        <is>
          <t>6220015</t>
        </is>
      </c>
      <c r="F806" s="551" t="n"/>
      <c r="G806" s="484" t="inlineStr">
        <is>
          <t>(V)(第四劑)海菲秀 Rinseaway System Cleaning Solution /mL</t>
        </is>
      </c>
      <c r="H806" s="552" t="n"/>
      <c r="I806" s="552" t="n"/>
      <c r="J806" s="551" t="n"/>
      <c r="K806" s="140" t="inlineStr">
        <is>
          <t>236ml/瓶</t>
        </is>
      </c>
      <c r="L806" s="560" t="n">
        <v>9870</v>
      </c>
      <c r="M806" s="123" t="n"/>
      <c r="N806" s="117" t="n"/>
    </row>
    <row r="807" ht="17.25" customHeight="1" s="453" thickBot="1">
      <c r="A807" s="553">
        <f>IFERROR(LEFT(B807,7),"")</f>
        <v/>
      </c>
      <c r="B807" s="554">
        <f>"2025/11"&amp;D807</f>
        <v/>
      </c>
      <c r="C807" s="559" t="n">
        <v>64</v>
      </c>
      <c r="D807" s="484" t="inlineStr">
        <is>
          <t>站前11樓</t>
        </is>
      </c>
      <c r="E807" s="484" t="inlineStr">
        <is>
          <t>6120001</t>
        </is>
      </c>
      <c r="F807" s="551" t="n"/>
      <c r="G807" s="484" t="inlineStr">
        <is>
          <t>(V)肝得健注射劑/ 瓶，220倍數叫貨</t>
        </is>
      </c>
      <c r="H807" s="552" t="n"/>
      <c r="I807" s="552" t="n"/>
      <c r="J807" s="551" t="n"/>
      <c r="K807" s="140" t="inlineStr">
        <is>
          <t>20支/盒</t>
        </is>
      </c>
      <c r="L807" s="560" t="n">
        <v>527</v>
      </c>
      <c r="M807" s="123" t="n"/>
      <c r="N807" s="117" t="n"/>
    </row>
    <row r="808" ht="17.25" customHeight="1" s="453" thickBot="1">
      <c r="A808" s="553">
        <f>IFERROR(LEFT(B808,7),"")</f>
        <v/>
      </c>
      <c r="B808" s="554">
        <f>"2025/11"&amp;D808</f>
        <v/>
      </c>
      <c r="C808" s="559" t="n">
        <v>65</v>
      </c>
      <c r="D808" s="484" t="inlineStr">
        <is>
          <t>站前11樓</t>
        </is>
      </c>
      <c r="E808" s="484" t="inlineStr">
        <is>
          <t>6120002</t>
        </is>
      </c>
      <c r="F808" s="551" t="n"/>
      <c r="G808" s="484" t="inlineStr">
        <is>
          <t>(V)卡妮丁注射劑/ 瓶，220倍數叫貨</t>
        </is>
      </c>
      <c r="H808" s="552" t="n"/>
      <c r="I808" s="552" t="n"/>
      <c r="J808" s="551" t="n"/>
      <c r="K808" s="140" t="inlineStr">
        <is>
          <t>20支/盒</t>
        </is>
      </c>
      <c r="L808" s="560" t="n">
        <v>651.5</v>
      </c>
      <c r="M808" s="123" t="n"/>
      <c r="N808" s="117" t="n"/>
    </row>
    <row r="809" ht="17.25" customHeight="1" s="453" thickBot="1">
      <c r="A809" s="553">
        <f>IFERROR(LEFT(B809,7),"")</f>
        <v/>
      </c>
      <c r="B809" s="554">
        <f>"2025/11"&amp;D809</f>
        <v/>
      </c>
      <c r="C809" s="559" t="n">
        <v>66</v>
      </c>
      <c r="D809" s="484" t="inlineStr">
        <is>
          <t>站前11樓</t>
        </is>
      </c>
      <c r="E809" s="484" t="inlineStr">
        <is>
          <t>6120003</t>
        </is>
      </c>
      <c r="F809" s="551" t="n"/>
      <c r="G809" s="484" t="inlineStr">
        <is>
          <t>(V)貝力多(雙胜胺) 20% 30mL/ 瓶，50倍數叫貨</t>
        </is>
      </c>
      <c r="H809" s="552" t="n"/>
      <c r="I809" s="552" t="n"/>
      <c r="J809" s="551" t="n"/>
      <c r="K809" s="140" t="inlineStr">
        <is>
          <t>10支/盒</t>
        </is>
      </c>
      <c r="L809" s="560" t="n">
        <v>17</v>
      </c>
      <c r="M809" s="123" t="n"/>
      <c r="N809" s="117" t="n"/>
    </row>
    <row r="810" ht="17.25" customHeight="1" s="453" thickBot="1">
      <c r="A810" s="553">
        <f>IFERROR(LEFT(B810,7),"")</f>
        <v/>
      </c>
      <c r="B810" s="554">
        <f>"2025/11"&amp;D810</f>
        <v/>
      </c>
      <c r="C810" s="559" t="n">
        <v>67</v>
      </c>
      <c r="D810" s="484" t="inlineStr">
        <is>
          <t>站前11樓</t>
        </is>
      </c>
      <c r="E810" s="484" t="inlineStr">
        <is>
          <t>6120004</t>
        </is>
      </c>
      <c r="F810" s="551" t="n"/>
      <c r="G810" s="484" t="inlineStr">
        <is>
          <t>(V)胺基酸點滴250ml/ 袋(安命活源/嘉安命)，20倍數叫貨</t>
        </is>
      </c>
      <c r="H810" s="552" t="n"/>
      <c r="I810" s="552" t="n"/>
      <c r="J810" s="551" t="n"/>
      <c r="K810" s="140" t="inlineStr">
        <is>
          <t>(20瓶/箱)</t>
        </is>
      </c>
      <c r="L810" s="560" t="n">
        <v>24</v>
      </c>
      <c r="M810" s="123" t="n"/>
      <c r="N810" s="117" t="n"/>
    </row>
    <row r="811" ht="17.25" customHeight="1" s="453" thickBot="1">
      <c r="A811" s="553">
        <f>IFERROR(LEFT(B811,7),"")</f>
        <v/>
      </c>
      <c r="B811" s="554">
        <f>"2025/11"&amp;D811</f>
        <v/>
      </c>
      <c r="C811" s="559" t="n">
        <v>68</v>
      </c>
      <c r="D811" s="484" t="inlineStr">
        <is>
          <t>站前11樓</t>
        </is>
      </c>
      <c r="E811" s="484" t="inlineStr">
        <is>
          <t>6120006</t>
        </is>
      </c>
      <c r="F811" s="551" t="n"/>
      <c r="G811" s="484" t="inlineStr">
        <is>
          <t>(V)(B12) 愛壽命 2mL，100倍數叫貨</t>
        </is>
      </c>
      <c r="H811" s="552" t="n"/>
      <c r="I811" s="552" t="n"/>
      <c r="J811" s="551" t="n"/>
      <c r="K811" s="140" t="inlineStr">
        <is>
          <t>(100支/盒)</t>
        </is>
      </c>
      <c r="L811" s="560" t="n">
        <v>273</v>
      </c>
      <c r="M811" s="123" t="n"/>
      <c r="N811" s="117" t="n"/>
    </row>
    <row r="812" ht="17.25" customHeight="1" s="453" thickBot="1">
      <c r="A812" s="553">
        <f>IFERROR(LEFT(B812,7),"")</f>
        <v/>
      </c>
      <c r="B812" s="554">
        <f>"2025/11"&amp;D812</f>
        <v/>
      </c>
      <c r="C812" s="559" t="n">
        <v>69</v>
      </c>
      <c r="D812" s="484" t="inlineStr">
        <is>
          <t>站前11樓</t>
        </is>
      </c>
      <c r="E812" s="484" t="inlineStr">
        <is>
          <t>6120007</t>
        </is>
      </c>
      <c r="F812" s="551" t="n"/>
      <c r="G812" s="484" t="inlineStr">
        <is>
          <t>(V)(硫酸鋅) 1ml/支，100倍數叫貨</t>
        </is>
      </c>
      <c r="H812" s="552" t="n"/>
      <c r="I812" s="552" t="n"/>
      <c r="J812" s="551" t="n"/>
      <c r="K812" s="140" t="inlineStr">
        <is>
          <t>100支/盒</t>
        </is>
      </c>
      <c r="L812" s="560" t="n">
        <v>4</v>
      </c>
      <c r="M812" s="123" t="n"/>
      <c r="N812" s="117" t="n"/>
    </row>
    <row r="813" ht="17.25" customHeight="1" s="453" thickBot="1">
      <c r="A813" s="553">
        <f>IFERROR(LEFT(B813,7),"")</f>
        <v/>
      </c>
      <c r="B813" s="554">
        <f>"2025/11"&amp;D813</f>
        <v/>
      </c>
      <c r="C813" s="559" t="n">
        <v>70</v>
      </c>
      <c r="D813" s="484" t="inlineStr">
        <is>
          <t>站前11樓</t>
        </is>
      </c>
      <c r="E813" s="484" t="inlineStr">
        <is>
          <t>6120009</t>
        </is>
      </c>
      <c r="F813" s="551" t="n"/>
      <c r="G813" s="484" t="inlineStr">
        <is>
          <t>(V)(B1) 硫胺明 2ml</t>
        </is>
      </c>
      <c r="H813" s="552" t="n"/>
      <c r="I813" s="552" t="n"/>
      <c r="J813" s="551" t="n"/>
      <c r="K813" s="140" t="inlineStr">
        <is>
          <t>支(100支/盒)</t>
        </is>
      </c>
      <c r="L813" s="560" t="n">
        <v>4</v>
      </c>
      <c r="M813" s="123" t="n"/>
      <c r="N813" s="117" t="n"/>
    </row>
    <row r="814" ht="17.25" customHeight="1" s="453" thickBot="1">
      <c r="A814" s="553">
        <f>IFERROR(LEFT(B814,7),"")</f>
        <v/>
      </c>
      <c r="B814" s="554">
        <f>"2025/11"&amp;D814</f>
        <v/>
      </c>
      <c r="C814" s="559" t="n">
        <v>71</v>
      </c>
      <c r="D814" s="484" t="inlineStr">
        <is>
          <t>站前11樓</t>
        </is>
      </c>
      <c r="E814" s="484" t="inlineStr">
        <is>
          <t>6120010</t>
        </is>
      </c>
      <c r="F814" s="551" t="n"/>
      <c r="G814" s="484" t="inlineStr">
        <is>
          <t>(V)(B6) 活性維生素 2ml，100倍數叫貨</t>
        </is>
      </c>
      <c r="H814" s="552" t="n"/>
      <c r="I814" s="552" t="n"/>
      <c r="J814" s="551" t="n"/>
      <c r="K814" s="140" t="inlineStr">
        <is>
          <t>(100支/盒)</t>
        </is>
      </c>
      <c r="L814" s="560" t="n">
        <v>4</v>
      </c>
      <c r="M814" s="123" t="n"/>
      <c r="N814" s="117" t="n"/>
    </row>
    <row r="815" ht="17.25" customHeight="1" s="453" thickBot="1">
      <c r="A815" s="553">
        <f>IFERROR(LEFT(B815,7),"")</f>
        <v/>
      </c>
      <c r="B815" s="554">
        <f>"2025/11"&amp;D815</f>
        <v/>
      </c>
      <c r="C815" s="559" t="n">
        <v>72</v>
      </c>
      <c r="D815" s="484" t="inlineStr">
        <is>
          <t>站前11樓</t>
        </is>
      </c>
      <c r="E815" s="484" t="inlineStr">
        <is>
          <t>6120011</t>
        </is>
      </c>
      <c r="F815" s="551" t="n"/>
      <c r="G815" s="484" t="inlineStr">
        <is>
          <t>(V)(硒) 西寧特 2ml/支</t>
        </is>
      </c>
      <c r="H815" s="552" t="n"/>
      <c r="I815" s="552" t="n"/>
      <c r="J815" s="551" t="n"/>
      <c r="K815" s="140" t="inlineStr">
        <is>
          <t>10支/盒</t>
        </is>
      </c>
      <c r="L815" s="560" t="n">
        <v>5</v>
      </c>
      <c r="M815" s="123" t="n"/>
      <c r="N815" s="117" t="n"/>
    </row>
    <row r="816" ht="17.25" customHeight="1" s="453" thickBot="1">
      <c r="A816" s="553">
        <f>IFERROR(LEFT(B816,7),"")</f>
        <v/>
      </c>
      <c r="B816" s="554">
        <f>"2025/11"&amp;D816</f>
        <v/>
      </c>
      <c r="C816" s="559" t="n">
        <v>73</v>
      </c>
      <c r="D816" s="484" t="inlineStr">
        <is>
          <t>站前11樓</t>
        </is>
      </c>
      <c r="E816" s="484" t="inlineStr">
        <is>
          <t>6120013</t>
        </is>
      </c>
      <c r="F816" s="551" t="n"/>
      <c r="G816" s="484" t="inlineStr">
        <is>
          <t>(V)生理食鹽水(NS) 250ml/ 袋</t>
        </is>
      </c>
      <c r="H816" s="552" t="n"/>
      <c r="I816" s="552" t="n"/>
      <c r="J816" s="551" t="n"/>
      <c r="K816" s="140" t="inlineStr">
        <is>
          <t>40瓶/箱</t>
        </is>
      </c>
      <c r="L816" s="560" t="n">
        <v>260</v>
      </c>
      <c r="M816" s="123" t="n"/>
      <c r="N816" s="117" t="n"/>
    </row>
    <row r="817" ht="17.25" customHeight="1" s="453" thickBot="1">
      <c r="A817" s="553">
        <f>IFERROR(LEFT(B817,7),"")</f>
        <v/>
      </c>
      <c r="B817" s="554">
        <f>"2025/11"&amp;D817</f>
        <v/>
      </c>
      <c r="C817" s="559" t="n">
        <v>74</v>
      </c>
      <c r="D817" s="484" t="inlineStr">
        <is>
          <t>站前11樓</t>
        </is>
      </c>
      <c r="E817" s="484" t="inlineStr">
        <is>
          <t>6120014</t>
        </is>
      </c>
      <c r="F817" s="551" t="n"/>
      <c r="G817" s="484" t="inlineStr">
        <is>
          <t>(V)葡萄糖水(D5W) 250ml/袋</t>
        </is>
      </c>
      <c r="H817" s="552" t="n"/>
      <c r="I817" s="552" t="n"/>
      <c r="J817" s="551" t="n"/>
      <c r="K817" s="140" t="inlineStr">
        <is>
          <t>60袋/箱</t>
        </is>
      </c>
      <c r="L817" s="560" t="n">
        <v>442</v>
      </c>
      <c r="M817" s="123" t="n"/>
      <c r="N817" s="117" t="n"/>
    </row>
    <row r="818" ht="17.25" customHeight="1" s="453" thickBot="1">
      <c r="A818" s="553">
        <f>IFERROR(LEFT(B818,7),"")</f>
        <v/>
      </c>
      <c r="B818" s="554">
        <f>"2025/11"&amp;D818</f>
        <v/>
      </c>
      <c r="C818" s="559" t="n">
        <v>75</v>
      </c>
      <c r="D818" s="484" t="inlineStr">
        <is>
          <t>站前11樓</t>
        </is>
      </c>
      <c r="E818" s="484" t="inlineStr">
        <is>
          <t>6120015</t>
        </is>
      </c>
      <c r="F818" s="551" t="n"/>
      <c r="G818" s="484" t="inlineStr">
        <is>
          <t>(V)(B群)淘能美複合維他命B 2ml，100倍數叫貨</t>
        </is>
      </c>
      <c r="H818" s="552" t="n"/>
      <c r="I818" s="552" t="n"/>
      <c r="J818" s="551" t="n"/>
      <c r="K818" s="140" t="n"/>
      <c r="L818" s="560" t="n">
        <v>31</v>
      </c>
      <c r="M818" s="123" t="n"/>
      <c r="N818" s="117" t="n"/>
    </row>
    <row r="819" ht="17.25" customHeight="1" s="453" thickBot="1">
      <c r="A819" s="553">
        <f>IFERROR(LEFT(B819,7),"")</f>
        <v/>
      </c>
      <c r="B819" s="554">
        <f>"2025/11"&amp;D819</f>
        <v/>
      </c>
      <c r="C819" s="559" t="n">
        <v>76</v>
      </c>
      <c r="D819" s="484" t="inlineStr">
        <is>
          <t>站前11樓</t>
        </is>
      </c>
      <c r="E819" s="484" t="inlineStr">
        <is>
          <t>6120016</t>
        </is>
      </c>
      <c r="F819" s="551" t="n"/>
      <c r="G819" s="484" t="inlineStr">
        <is>
          <t>(V)(榖胱肝肽) 克樂達養200mg (20ml/瓶)</t>
        </is>
      </c>
      <c r="H819" s="552" t="n"/>
      <c r="I819" s="552" t="n"/>
      <c r="J819" s="551" t="n"/>
      <c r="K819" s="140" t="inlineStr">
        <is>
          <t>50支/盒</t>
        </is>
      </c>
      <c r="L819" s="560" t="n">
        <v>31</v>
      </c>
      <c r="M819" s="123" t="n"/>
      <c r="N819" s="117" t="n"/>
    </row>
    <row r="820" ht="17.25" customHeight="1" s="453" thickBot="1">
      <c r="A820" s="553">
        <f>IFERROR(LEFT(B820,7),"")</f>
        <v/>
      </c>
      <c r="B820" s="554">
        <f>"2025/11"&amp;D820</f>
        <v/>
      </c>
      <c r="C820" s="559" t="n">
        <v>77</v>
      </c>
      <c r="D820" s="484" t="inlineStr">
        <is>
          <t>站前11樓</t>
        </is>
      </c>
      <c r="E820" s="484" t="inlineStr">
        <is>
          <t>6120021</t>
        </is>
      </c>
      <c r="F820" s="551" t="n"/>
      <c r="G820" s="484" t="inlineStr">
        <is>
          <t>(V)(Vit C)(抗壞血酸/諾貝爾)20ml，50倍數下單</t>
        </is>
      </c>
      <c r="H820" s="552" t="n"/>
      <c r="I820" s="552" t="n"/>
      <c r="J820" s="551" t="n"/>
      <c r="K820" s="140" t="inlineStr">
        <is>
          <t>50支/盒</t>
        </is>
      </c>
      <c r="L820" s="560" t="n">
        <v>31</v>
      </c>
      <c r="M820" s="123" t="n"/>
      <c r="N820" s="117" t="n"/>
    </row>
    <row r="821" ht="17.25" customHeight="1" s="453" thickBot="1">
      <c r="A821" s="553">
        <f>IFERROR(LEFT(B821,7),"")</f>
        <v/>
      </c>
      <c r="B821" s="554">
        <f>"2025/11"&amp;D821</f>
        <v/>
      </c>
      <c r="C821" s="559" t="n">
        <v>78</v>
      </c>
      <c r="D821" s="484" t="inlineStr">
        <is>
          <t>站前11樓</t>
        </is>
      </c>
      <c r="E821" s="484" t="inlineStr">
        <is>
          <t>6120036</t>
        </is>
      </c>
      <c r="F821" s="551" t="n"/>
      <c r="G821" s="484" t="inlineStr">
        <is>
          <t>(V)貝力多(雙胜胺) 20% 50mL/ 瓶，50倍數下單</t>
        </is>
      </c>
      <c r="H821" s="552" t="n"/>
      <c r="I821" s="552" t="n"/>
      <c r="J821" s="551" t="n"/>
      <c r="K821" s="140" t="inlineStr">
        <is>
          <t>瓶(10瓶/盒)</t>
        </is>
      </c>
      <c r="L821" s="560" t="n">
        <v>3</v>
      </c>
      <c r="M821" s="123" t="n"/>
      <c r="N821" s="117" t="n"/>
    </row>
    <row r="822" ht="17.25" customHeight="1" s="453" thickBot="1">
      <c r="A822" s="553">
        <f>IFERROR(LEFT(B822,7),"")</f>
        <v/>
      </c>
      <c r="B822" s="554">
        <f>"2025/11"&amp;D822</f>
        <v/>
      </c>
      <c r="C822" s="559" t="n">
        <v>79</v>
      </c>
      <c r="D822" s="484" t="inlineStr">
        <is>
          <t>站前11樓</t>
        </is>
      </c>
      <c r="E822" s="484" t="inlineStr">
        <is>
          <t>6190005</t>
        </is>
      </c>
      <c r="F822" s="551" t="n"/>
      <c r="G822" s="484" t="inlineStr">
        <is>
          <t>(V)氦氖針/ 支</t>
        </is>
      </c>
      <c r="H822" s="552" t="n"/>
      <c r="I822" s="552" t="n"/>
      <c r="J822" s="551" t="n"/>
      <c r="K822" s="140" t="inlineStr">
        <is>
          <t>(50支/包)</t>
        </is>
      </c>
      <c r="L822" s="560" t="n">
        <v>43</v>
      </c>
      <c r="M822" s="123" t="n"/>
      <c r="N822" s="117" t="n"/>
    </row>
    <row r="823" ht="17.25" customHeight="1" s="453" thickBot="1">
      <c r="A823" s="553">
        <f>IFERROR(LEFT(B823,7),"")</f>
        <v/>
      </c>
      <c r="B823" s="554">
        <f>"2025/11"&amp;D823</f>
        <v/>
      </c>
      <c r="C823" s="559" t="n">
        <v>80</v>
      </c>
      <c r="D823" s="484" t="inlineStr">
        <is>
          <t>站前11樓</t>
        </is>
      </c>
      <c r="E823" s="484" t="inlineStr">
        <is>
          <t>6200001</t>
        </is>
      </c>
      <c r="F823" s="551" t="n"/>
      <c r="G823" s="484" t="inlineStr">
        <is>
          <t>(V)消脂針-善纖達*1支</t>
        </is>
      </c>
      <c r="H823" s="552" t="n"/>
      <c r="I823" s="552" t="n"/>
      <c r="J823" s="551" t="n"/>
      <c r="K823" s="140" t="inlineStr">
        <is>
          <t>支</t>
        </is>
      </c>
      <c r="L823" s="560" t="n">
        <v>4</v>
      </c>
      <c r="M823" s="123" t="n"/>
      <c r="N823" s="117" t="n"/>
    </row>
    <row r="824" ht="17.25" customHeight="1" s="453" thickBot="1">
      <c r="A824" s="553">
        <f>IFERROR(LEFT(B824,7),"")</f>
        <v/>
      </c>
      <c r="B824" s="554">
        <f>"2025/11"&amp;D824</f>
        <v/>
      </c>
      <c r="C824" s="559" t="n">
        <v>81</v>
      </c>
      <c r="D824" s="484" t="inlineStr">
        <is>
          <t>站前11樓</t>
        </is>
      </c>
      <c r="E824" s="484" t="inlineStr">
        <is>
          <t>6200004</t>
        </is>
      </c>
      <c r="F824" s="551" t="n"/>
      <c r="G824" s="484" t="inlineStr">
        <is>
          <t>阿爾發SAT卡匣/ 發</t>
        </is>
      </c>
      <c r="H824" s="552" t="n"/>
      <c r="I824" s="552" t="n"/>
      <c r="J824" s="551" t="n"/>
      <c r="K824" s="140" t="inlineStr">
        <is>
          <t>50發/卡</t>
        </is>
      </c>
      <c r="L824" s="560" t="n">
        <v>1475</v>
      </c>
      <c r="M824" s="123" t="n"/>
      <c r="N824" s="117" t="n"/>
    </row>
    <row r="825" ht="17.25" customHeight="1" s="453" thickBot="1">
      <c r="A825" s="553">
        <f>IFERROR(LEFT(B825,7),"")</f>
        <v/>
      </c>
      <c r="B825" s="554">
        <f>"2025/11"&amp;D825</f>
        <v/>
      </c>
      <c r="C825" s="559" t="n">
        <v>82</v>
      </c>
      <c r="D825" s="484" t="inlineStr">
        <is>
          <t>站前11樓</t>
        </is>
      </c>
      <c r="E825" s="484" t="inlineStr">
        <is>
          <t>6200007</t>
        </is>
      </c>
      <c r="F825" s="551" t="n"/>
      <c r="G825" s="484" t="inlineStr">
        <is>
          <t>瘦瘦筆-針頭*1個</t>
        </is>
      </c>
      <c r="H825" s="552" t="n"/>
      <c r="I825" s="552" t="n"/>
      <c r="J825" s="551" t="n"/>
      <c r="K825" s="140" t="inlineStr">
        <is>
          <t>個</t>
        </is>
      </c>
      <c r="L825" s="560" t="n">
        <v>24</v>
      </c>
      <c r="M825" s="123" t="n"/>
      <c r="N825" s="117" t="n"/>
    </row>
    <row r="826" ht="17.25" customHeight="1" s="453" thickBot="1">
      <c r="A826" s="553">
        <f>IFERROR(LEFT(B826,7),"")</f>
        <v/>
      </c>
      <c r="B826" s="554">
        <f>"2025/11"&amp;D826</f>
        <v/>
      </c>
      <c r="C826" s="559" t="n">
        <v>83</v>
      </c>
      <c r="D826" s="484" t="inlineStr">
        <is>
          <t>站前11樓</t>
        </is>
      </c>
      <c r="E826" s="484" t="inlineStr">
        <is>
          <t>6200008</t>
        </is>
      </c>
      <c r="F826" s="551" t="n"/>
      <c r="G826" s="484" t="inlineStr">
        <is>
          <t>瘦瘦筆-週纖達*1支(0.25mg)</t>
        </is>
      </c>
      <c r="H826" s="552" t="n"/>
      <c r="I826" s="552" t="n"/>
      <c r="J826" s="551" t="n"/>
      <c r="K826" s="140" t="inlineStr">
        <is>
          <t>支</t>
        </is>
      </c>
      <c r="L826" s="560" t="n">
        <v>9</v>
      </c>
      <c r="M826" s="123" t="n"/>
      <c r="N826" s="117" t="n"/>
    </row>
    <row r="827" ht="17.25" customHeight="1" s="453" thickBot="1">
      <c r="A827" s="553">
        <f>IFERROR(LEFT(B827,7),"")</f>
        <v/>
      </c>
      <c r="B827" s="554">
        <f>"2025/11"&amp;D827</f>
        <v/>
      </c>
      <c r="C827" s="559" t="n">
        <v>84</v>
      </c>
      <c r="D827" s="484" t="inlineStr">
        <is>
          <t>站前11樓</t>
        </is>
      </c>
      <c r="E827" s="484" t="inlineStr">
        <is>
          <t>6200010</t>
        </is>
      </c>
      <c r="F827" s="551" t="n"/>
      <c r="G827" s="484" t="inlineStr">
        <is>
          <t>瘦瘦筆-週纖達*1支(1.0mg)</t>
        </is>
      </c>
      <c r="H827" s="552" t="n"/>
      <c r="I827" s="552" t="n"/>
      <c r="J827" s="551" t="n"/>
      <c r="K827" s="140" t="inlineStr">
        <is>
          <t>支</t>
        </is>
      </c>
      <c r="L827" s="560" t="n">
        <v>16</v>
      </c>
      <c r="M827" s="123" t="n"/>
      <c r="N827" s="117" t="n"/>
    </row>
    <row r="828" ht="17.25" customHeight="1" s="453" thickBot="1">
      <c r="A828" s="553">
        <f>IFERROR(LEFT(B828,7),"")</f>
        <v/>
      </c>
      <c r="B828" s="554">
        <f>"2025/11"&amp;D828</f>
        <v/>
      </c>
      <c r="C828" s="559" t="n">
        <v>85</v>
      </c>
      <c r="D828" s="484" t="inlineStr">
        <is>
          <t>站前11樓</t>
        </is>
      </c>
      <c r="E828" s="484" t="inlineStr">
        <is>
          <t>6200012</t>
        </is>
      </c>
      <c r="F828" s="551" t="n"/>
      <c r="G828" s="484" t="inlineStr">
        <is>
          <t>瘦瘦筆-週纖達*1支(2.4mg)</t>
        </is>
      </c>
      <c r="H828" s="552" t="n"/>
      <c r="I828" s="552" t="n"/>
      <c r="J828" s="551" t="n"/>
      <c r="K828" s="140" t="inlineStr">
        <is>
          <t>支</t>
        </is>
      </c>
      <c r="L828" s="560" t="n">
        <v>1</v>
      </c>
      <c r="M828" s="123" t="n"/>
      <c r="N828" s="117" t="n"/>
    </row>
    <row r="829" ht="17.25" customHeight="1" s="453" thickBot="1">
      <c r="A829" s="553">
        <f>IFERROR(LEFT(B829,7),"")</f>
        <v/>
      </c>
      <c r="B829" s="554">
        <f>"2025/11"&amp;D829</f>
        <v/>
      </c>
      <c r="C829" s="559" t="n">
        <v>86</v>
      </c>
      <c r="D829" s="484" t="inlineStr">
        <is>
          <t>站前11樓</t>
        </is>
      </c>
      <c r="E829" s="484" t="inlineStr">
        <is>
          <t>6200014</t>
        </is>
      </c>
      <c r="F829" s="551" t="n"/>
      <c r="G829" s="484" t="inlineStr">
        <is>
          <t>(V)猛健樂*1支(5mg)</t>
        </is>
      </c>
      <c r="H829" s="552" t="n"/>
      <c r="I829" s="552" t="n"/>
      <c r="J829" s="551" t="n"/>
      <c r="K829" s="140" t="inlineStr">
        <is>
          <t>支</t>
        </is>
      </c>
      <c r="L829" s="560" t="n">
        <v>1</v>
      </c>
      <c r="M829" s="123" t="n"/>
      <c r="N829" s="117" t="n"/>
    </row>
    <row r="830" ht="17.25" customHeight="1" s="453" thickBot="1">
      <c r="A830" s="553">
        <f>IFERROR(LEFT(B830,7),"")</f>
        <v/>
      </c>
      <c r="B830" s="554">
        <f>"2025/11"&amp;D830</f>
        <v/>
      </c>
      <c r="C830" s="559" t="n">
        <v>87</v>
      </c>
      <c r="D830" s="484" t="inlineStr">
        <is>
          <t>站前11樓</t>
        </is>
      </c>
      <c r="E830" s="484" t="inlineStr">
        <is>
          <t>6200015</t>
        </is>
      </c>
      <c r="F830" s="551" t="n"/>
      <c r="G830" s="484" t="inlineStr">
        <is>
          <t>(V)猛健樂*1支(7.5mg)</t>
        </is>
      </c>
      <c r="H830" s="552" t="n"/>
      <c r="I830" s="552" t="n"/>
      <c r="J830" s="551" t="n"/>
      <c r="K830" s="140" t="inlineStr">
        <is>
          <t>支</t>
        </is>
      </c>
      <c r="L830" s="560" t="n">
        <v>2</v>
      </c>
      <c r="M830" s="123" t="n"/>
      <c r="N830" s="117" t="n"/>
    </row>
    <row r="831" ht="17.25" customHeight="1" s="453" thickBot="1">
      <c r="A831" s="553">
        <f>IFERROR(LEFT(B831,7),"")</f>
        <v/>
      </c>
      <c r="B831" s="554">
        <f>"2025/11"&amp;D831</f>
        <v/>
      </c>
      <c r="C831" s="559" t="n">
        <v>88</v>
      </c>
      <c r="D831" s="484" t="inlineStr">
        <is>
          <t>站前11樓</t>
        </is>
      </c>
      <c r="E831" s="484" t="inlineStr">
        <is>
          <t>6200016</t>
        </is>
      </c>
      <c r="F831" s="551" t="n"/>
      <c r="G831" s="484" t="inlineStr">
        <is>
          <t>(V)猛健樂*1支(10mg)</t>
        </is>
      </c>
      <c r="H831" s="552" t="n"/>
      <c r="I831" s="552" t="n"/>
      <c r="J831" s="551" t="n"/>
      <c r="K831" s="140" t="inlineStr">
        <is>
          <t>支</t>
        </is>
      </c>
      <c r="L831" s="560" t="n">
        <v>4</v>
      </c>
      <c r="M831" s="123" t="n"/>
      <c r="N831" s="117" t="n"/>
    </row>
    <row r="832" ht="17.25" customHeight="1" s="453" thickBot="1">
      <c r="A832" s="553">
        <f>IFERROR(LEFT(B832,7),"")</f>
        <v/>
      </c>
      <c r="B832" s="554">
        <f>"2025/11"&amp;D832</f>
        <v/>
      </c>
      <c r="C832" s="559" t="n">
        <v>89</v>
      </c>
      <c r="D832" s="484" t="inlineStr">
        <is>
          <t>站前11樓</t>
        </is>
      </c>
      <c r="E832" s="484" t="inlineStr">
        <is>
          <t>6200021</t>
        </is>
      </c>
      <c r="F832" s="551" t="n"/>
      <c r="G832" s="484" t="inlineStr">
        <is>
          <t>(V)猛健樂12.5MG/0.12CC</t>
        </is>
      </c>
      <c r="H832" s="552" t="n"/>
      <c r="I832" s="552" t="n"/>
      <c r="J832" s="551" t="n"/>
      <c r="K832" s="140" t="inlineStr">
        <is>
          <t>3cc/支</t>
        </is>
      </c>
      <c r="L832" s="560" t="n">
        <v>436</v>
      </c>
      <c r="M832" s="123" t="n"/>
      <c r="N832" s="117" t="n"/>
    </row>
    <row r="833" ht="17.25" customHeight="1" s="453" thickBot="1">
      <c r="A833" s="553">
        <f>IFERROR(LEFT(B833,7),"")</f>
        <v/>
      </c>
      <c r="B833" s="554">
        <f>"2025/11"&amp;D833</f>
        <v/>
      </c>
      <c r="C833" s="559" t="n">
        <v>90</v>
      </c>
      <c r="D833" s="484" t="inlineStr">
        <is>
          <t>忠孝7樓</t>
        </is>
      </c>
      <c r="E833" s="484" t="inlineStr">
        <is>
          <t>6110071</t>
        </is>
      </c>
      <c r="F833" s="551" t="n"/>
      <c r="G833" s="484" t="inlineStr">
        <is>
          <t>手電筒(海菲秀用)</t>
        </is>
      </c>
      <c r="H833" s="552" t="n"/>
      <c r="I833" s="552" t="n"/>
      <c r="J833" s="551" t="n"/>
      <c r="K833" s="140" t="n"/>
      <c r="L833" s="560" t="n">
        <v>1</v>
      </c>
      <c r="M833" s="123" t="n"/>
      <c r="N833" s="117" t="n"/>
    </row>
    <row r="834" ht="17.25" customHeight="1" s="453" thickBot="1">
      <c r="A834" s="553">
        <f>IFERROR(LEFT(B834,7),"")</f>
        <v/>
      </c>
      <c r="B834" s="554">
        <f>"2025/11"&amp;D834</f>
        <v/>
      </c>
      <c r="C834" s="559" t="n">
        <v>91</v>
      </c>
      <c r="D834" s="484" t="inlineStr">
        <is>
          <t>忠孝7樓</t>
        </is>
      </c>
      <c r="E834" s="484" t="inlineStr">
        <is>
          <t>6120003</t>
        </is>
      </c>
      <c r="F834" s="551" t="n"/>
      <c r="G834" s="484" t="inlineStr">
        <is>
          <t>(V)貝力多(雙胜胺) 20% 30mL/ 瓶，50倍數叫貨</t>
        </is>
      </c>
      <c r="H834" s="552" t="n"/>
      <c r="I834" s="552" t="n"/>
      <c r="J834" s="551" t="n"/>
      <c r="K834" s="140" t="inlineStr">
        <is>
          <t>10支/盒</t>
        </is>
      </c>
      <c r="L834" s="560" t="n">
        <v>10</v>
      </c>
      <c r="M834" s="123" t="n"/>
      <c r="N834" s="117" t="n"/>
    </row>
    <row r="835" ht="17.25" customHeight="1" s="453" thickBot="1">
      <c r="A835" s="553">
        <f>IFERROR(LEFT(B835,7),"")</f>
        <v/>
      </c>
      <c r="B835" s="554">
        <f>"2025/11"&amp;D835</f>
        <v/>
      </c>
      <c r="C835" s="559" t="n">
        <v>92</v>
      </c>
      <c r="D835" s="484" t="inlineStr">
        <is>
          <t>忠孝7樓</t>
        </is>
      </c>
      <c r="E835" s="484" t="inlineStr">
        <is>
          <t>6120004</t>
        </is>
      </c>
      <c r="F835" s="551" t="n"/>
      <c r="G835" s="484" t="inlineStr">
        <is>
          <t>(V)胺基酸點滴250ml/ 袋(安命活源/嘉安命)，20倍數叫貨</t>
        </is>
      </c>
      <c r="H835" s="552" t="n"/>
      <c r="I835" s="552" t="n"/>
      <c r="J835" s="551" t="n"/>
      <c r="K835" s="140" t="inlineStr">
        <is>
          <t>(20瓶/箱)</t>
        </is>
      </c>
      <c r="L835" s="560" t="n">
        <v>11</v>
      </c>
      <c r="M835" s="123" t="n"/>
      <c r="N835" s="117" t="n"/>
    </row>
    <row r="836" ht="17.25" customHeight="1" s="453" thickBot="1">
      <c r="A836" s="553">
        <f>IFERROR(LEFT(B836,7),"")</f>
        <v/>
      </c>
      <c r="B836" s="554">
        <f>"2025/11"&amp;D836</f>
        <v/>
      </c>
      <c r="C836" s="559" t="n">
        <v>93</v>
      </c>
      <c r="D836" s="484" t="inlineStr">
        <is>
          <t>忠孝7樓</t>
        </is>
      </c>
      <c r="E836" s="484" t="inlineStr">
        <is>
          <t>6120006</t>
        </is>
      </c>
      <c r="F836" s="551" t="n"/>
      <c r="G836" s="484" t="inlineStr">
        <is>
          <t>(V)(B12) 愛壽命 2mL，100倍數叫貨</t>
        </is>
      </c>
      <c r="H836" s="552" t="n"/>
      <c r="I836" s="552" t="n"/>
      <c r="J836" s="551" t="n"/>
      <c r="K836" s="140" t="inlineStr">
        <is>
          <t>(100支/盒)</t>
        </is>
      </c>
      <c r="L836" s="560" t="n">
        <v>16</v>
      </c>
      <c r="M836" s="123" t="n"/>
      <c r="N836" s="117" t="n"/>
    </row>
    <row r="837" ht="17.25" customHeight="1" s="453" thickBot="1">
      <c r="A837" s="553">
        <f>IFERROR(LEFT(B837,7),"")</f>
        <v/>
      </c>
      <c r="B837" s="554">
        <f>"2025/11"&amp;D837</f>
        <v/>
      </c>
      <c r="C837" s="559" t="n">
        <v>94</v>
      </c>
      <c r="D837" s="484" t="inlineStr">
        <is>
          <t>忠孝7樓</t>
        </is>
      </c>
      <c r="E837" s="484" t="inlineStr">
        <is>
          <t>6120013</t>
        </is>
      </c>
      <c r="F837" s="551" t="n"/>
      <c r="G837" s="484" t="inlineStr">
        <is>
          <t>(V)生理食鹽水(NS) 250ml/ 袋</t>
        </is>
      </c>
      <c r="H837" s="552" t="n"/>
      <c r="I837" s="552" t="n"/>
      <c r="J837" s="551" t="n"/>
      <c r="K837" s="140" t="inlineStr">
        <is>
          <t>40瓶/箱</t>
        </is>
      </c>
      <c r="L837" s="560" t="n">
        <v>439</v>
      </c>
      <c r="M837" s="123" t="n"/>
      <c r="N837" s="117" t="n"/>
    </row>
    <row r="838" ht="17.25" customHeight="1" s="453" thickBot="1">
      <c r="A838" s="553">
        <f>IFERROR(LEFT(B838,7),"")</f>
        <v/>
      </c>
      <c r="B838" s="554">
        <f>"2025/11"&amp;D838</f>
        <v/>
      </c>
      <c r="C838" s="559" t="n">
        <v>95</v>
      </c>
      <c r="D838" s="484" t="inlineStr">
        <is>
          <t>忠孝7樓</t>
        </is>
      </c>
      <c r="E838" s="484" t="inlineStr">
        <is>
          <t>6120015</t>
        </is>
      </c>
      <c r="F838" s="551" t="n"/>
      <c r="G838" s="484" t="inlineStr">
        <is>
          <t>(V)(B群)淘能美複合維他命B 2ml，100倍數叫貨</t>
        </is>
      </c>
      <c r="H838" s="552" t="n"/>
      <c r="I838" s="552" t="n"/>
      <c r="J838" s="551" t="n"/>
      <c r="K838" s="140" t="n"/>
      <c r="L838" s="560" t="n">
        <v>444</v>
      </c>
      <c r="M838" s="123" t="n"/>
      <c r="N838" s="117" t="n"/>
    </row>
    <row r="839" ht="17.25" customHeight="1" s="453" thickBot="1">
      <c r="A839" s="553">
        <f>IFERROR(LEFT(B839,7),"")</f>
        <v/>
      </c>
      <c r="B839" s="554">
        <f>"2025/11"&amp;D839</f>
        <v/>
      </c>
      <c r="C839" s="559" t="n">
        <v>96</v>
      </c>
      <c r="D839" s="484" t="inlineStr">
        <is>
          <t>忠孝7樓</t>
        </is>
      </c>
      <c r="E839" s="484" t="inlineStr">
        <is>
          <t>6120016</t>
        </is>
      </c>
      <c r="F839" s="551" t="n"/>
      <c r="G839" s="484" t="inlineStr">
        <is>
          <t>(V)(榖胱肝肽) 克樂達養200mg (20ml/瓶)</t>
        </is>
      </c>
      <c r="H839" s="552" t="n"/>
      <c r="I839" s="552" t="n"/>
      <c r="J839" s="551" t="n"/>
      <c r="K839" s="140" t="inlineStr">
        <is>
          <t>50支/盒</t>
        </is>
      </c>
      <c r="L839" s="560" t="n">
        <v>444</v>
      </c>
      <c r="M839" s="123" t="n"/>
      <c r="N839" s="117" t="n"/>
    </row>
    <row r="840" ht="17.25" customHeight="1" s="453" thickBot="1">
      <c r="A840" s="553">
        <f>IFERROR(LEFT(B840,7),"")</f>
        <v/>
      </c>
      <c r="B840" s="554">
        <f>"2025/11"&amp;D840</f>
        <v/>
      </c>
      <c r="C840" s="559" t="n">
        <v>97</v>
      </c>
      <c r="D840" s="484" t="inlineStr">
        <is>
          <t>忠孝7樓</t>
        </is>
      </c>
      <c r="E840" s="484" t="inlineStr">
        <is>
          <t>6120018</t>
        </is>
      </c>
      <c r="F840" s="551" t="n"/>
      <c r="G840" s="484" t="inlineStr">
        <is>
          <t>(V)(傳明酸)止血明 5ml/支</t>
        </is>
      </c>
      <c r="H840" s="552" t="n"/>
      <c r="I840" s="552" t="n"/>
      <c r="J840" s="551" t="n"/>
      <c r="K840" s="140" t="inlineStr">
        <is>
          <t>50支/盒</t>
        </is>
      </c>
      <c r="L840" s="560" t="n">
        <v>52</v>
      </c>
      <c r="M840" s="123" t="n"/>
      <c r="N840" s="117" t="n"/>
    </row>
    <row r="841" ht="17.25" customHeight="1" s="453" thickBot="1">
      <c r="A841" s="553">
        <f>IFERROR(LEFT(B841,7),"")</f>
        <v/>
      </c>
      <c r="B841" s="554">
        <f>"2025/11"&amp;D841</f>
        <v/>
      </c>
      <c r="C841" s="559" t="n">
        <v>98</v>
      </c>
      <c r="D841" s="484" t="inlineStr">
        <is>
          <t>忠孝7樓</t>
        </is>
      </c>
      <c r="E841" s="484" t="inlineStr">
        <is>
          <t>6120020</t>
        </is>
      </c>
      <c r="F841" s="551" t="n"/>
      <c r="G841" s="484" t="inlineStr">
        <is>
          <t>(V)(Vit C) 抗壞血酸 2mL，100倍數下單</t>
        </is>
      </c>
      <c r="H841" s="552" t="n"/>
      <c r="I841" s="552" t="n"/>
      <c r="J841" s="551" t="n"/>
      <c r="K841" s="140" t="inlineStr">
        <is>
          <t>100支/盒</t>
        </is>
      </c>
      <c r="L841" s="560" t="n">
        <v>151</v>
      </c>
      <c r="M841" s="123" t="n"/>
      <c r="N841" s="117" t="n"/>
    </row>
    <row r="842" ht="17.25" customHeight="1" s="453" thickBot="1">
      <c r="A842" s="553">
        <f>IFERROR(LEFT(B842,7),"")</f>
        <v/>
      </c>
      <c r="B842" s="554">
        <f>"2025/11"&amp;D842</f>
        <v/>
      </c>
      <c r="C842" s="559" t="n">
        <v>99</v>
      </c>
      <c r="D842" s="484" t="inlineStr">
        <is>
          <t>忠孝7樓</t>
        </is>
      </c>
      <c r="E842" s="484" t="inlineStr">
        <is>
          <t>6120021</t>
        </is>
      </c>
      <c r="F842" s="551" t="n"/>
      <c r="G842" s="484" t="inlineStr">
        <is>
          <t>(V)(Vit C)(抗壞血酸/諾貝爾)20ml，50倍數下單</t>
        </is>
      </c>
      <c r="H842" s="552" t="n"/>
      <c r="I842" s="552" t="n"/>
      <c r="J842" s="551" t="n"/>
      <c r="K842" s="140" t="inlineStr">
        <is>
          <t>50支/盒</t>
        </is>
      </c>
      <c r="L842" s="560" t="n">
        <v>444</v>
      </c>
      <c r="M842" s="123" t="n"/>
      <c r="N842" s="117" t="n"/>
    </row>
    <row r="843" ht="17.25" customHeight="1" s="453" thickBot="1">
      <c r="A843" s="553">
        <f>IFERROR(LEFT(B843,7),"")</f>
        <v/>
      </c>
      <c r="B843" s="554">
        <f>"2025/11"&amp;D843</f>
        <v/>
      </c>
      <c r="C843" s="559" t="n">
        <v>100</v>
      </c>
      <c r="D843" s="484" t="inlineStr">
        <is>
          <t>忠孝7樓</t>
        </is>
      </c>
      <c r="E843" s="484" t="inlineStr">
        <is>
          <t>6120030</t>
        </is>
      </c>
      <c r="F843" s="551" t="n"/>
      <c r="G843" s="484" t="inlineStr">
        <is>
          <t>(V)克多炎 Keto 1ml</t>
        </is>
      </c>
      <c r="H843" s="552" t="n"/>
      <c r="I843" s="552" t="n"/>
      <c r="J843" s="551" t="n"/>
      <c r="K843" s="140" t="inlineStr">
        <is>
          <t>100支/盒</t>
        </is>
      </c>
      <c r="L843" s="560" t="n">
        <v>1</v>
      </c>
      <c r="M843" s="123" t="n"/>
      <c r="N843" s="117" t="n"/>
    </row>
    <row r="844" ht="17.25" customHeight="1" s="453" thickBot="1">
      <c r="A844" s="553">
        <f>IFERROR(LEFT(B844,7),"")</f>
        <v/>
      </c>
      <c r="B844" s="554">
        <f>"2025/11"&amp;D844</f>
        <v/>
      </c>
      <c r="C844" s="559" t="n">
        <v>101</v>
      </c>
      <c r="D844" s="484" t="inlineStr">
        <is>
          <t>忠孝7樓</t>
        </is>
      </c>
      <c r="E844" s="484" t="inlineStr">
        <is>
          <t>6120036</t>
        </is>
      </c>
      <c r="F844" s="551" t="n"/>
      <c r="G844" s="484" t="inlineStr">
        <is>
          <t>(V)貝力多(雙胜胺) 20% 50mL/ 瓶，50倍數下單</t>
        </is>
      </c>
      <c r="H844" s="552" t="n"/>
      <c r="I844" s="552" t="n"/>
      <c r="J844" s="551" t="n"/>
      <c r="K844" s="140" t="inlineStr">
        <is>
          <t>瓶(10瓶/盒)</t>
        </is>
      </c>
      <c r="L844" s="560" t="n">
        <v>1</v>
      </c>
      <c r="M844" s="123" t="n"/>
      <c r="N844" s="117" t="n"/>
    </row>
    <row r="845" ht="17.25" customHeight="1" s="453" thickBot="1">
      <c r="A845" s="553">
        <f>IFERROR(LEFT(B845,7),"")</f>
        <v/>
      </c>
      <c r="B845" s="554">
        <f>"2025/11"&amp;D845</f>
        <v/>
      </c>
      <c r="C845" s="559" t="n">
        <v>102</v>
      </c>
      <c r="D845" s="484" t="inlineStr">
        <is>
          <t>忠孝7樓</t>
        </is>
      </c>
      <c r="E845" s="484" t="inlineStr">
        <is>
          <t>6140001</t>
        </is>
      </c>
      <c r="F845" s="551" t="n"/>
      <c r="G845" s="484" t="inlineStr">
        <is>
          <t>(V)保妥適Botox/ u，100倍數下單</t>
        </is>
      </c>
      <c r="H845" s="552" t="n"/>
      <c r="I845" s="552" t="n"/>
      <c r="J845" s="551" t="n"/>
      <c r="K845" s="140" t="inlineStr">
        <is>
          <t>100U/瓶</t>
        </is>
      </c>
      <c r="L845" s="560" t="n">
        <v>4102</v>
      </c>
      <c r="M845" s="123" t="n"/>
      <c r="N845" s="117" t="n"/>
    </row>
    <row r="846" ht="17.25" customHeight="1" s="453" thickBot="1">
      <c r="A846" s="553">
        <f>IFERROR(LEFT(B846,7),"")</f>
        <v/>
      </c>
      <c r="B846" s="554">
        <f>"2025/11"&amp;D846</f>
        <v/>
      </c>
      <c r="C846" s="559" t="n">
        <v>103</v>
      </c>
      <c r="D846" s="484" t="inlineStr">
        <is>
          <t>忠孝7樓</t>
        </is>
      </c>
      <c r="E846" s="484" t="inlineStr">
        <is>
          <t>6140003</t>
        </is>
      </c>
      <c r="F846" s="551" t="n"/>
      <c r="G846" s="484" t="inlineStr">
        <is>
          <t>(V)保提拉肉毒Letybo/ u，3200倍數下單</t>
        </is>
      </c>
      <c r="H846" s="552" t="n"/>
      <c r="I846" s="552" t="n"/>
      <c r="J846" s="551" t="n"/>
      <c r="K846" s="140" t="inlineStr">
        <is>
          <t>200U/瓶</t>
        </is>
      </c>
      <c r="L846" s="560" t="n">
        <v>7058</v>
      </c>
      <c r="M846" s="123" t="n"/>
      <c r="N846" s="117" t="n"/>
    </row>
    <row r="847" ht="17.25" customHeight="1" s="453" thickBot="1">
      <c r="A847" s="553">
        <f>IFERROR(LEFT(B847,7),"")</f>
        <v/>
      </c>
      <c r="B847" s="554">
        <f>"2025/11"&amp;D847</f>
        <v/>
      </c>
      <c r="C847" s="559" t="n">
        <v>104</v>
      </c>
      <c r="D847" s="484" t="inlineStr">
        <is>
          <t>忠孝7樓</t>
        </is>
      </c>
      <c r="E847" s="484" t="inlineStr">
        <is>
          <t>6140005</t>
        </is>
      </c>
      <c r="F847" s="551" t="n"/>
      <c r="G847" s="484" t="inlineStr">
        <is>
          <t>(V)奇肌肉毒/ u，200倍數下單</t>
        </is>
      </c>
      <c r="H847" s="552" t="n"/>
      <c r="I847" s="552" t="n"/>
      <c r="J847" s="551" t="n"/>
      <c r="K847" s="140" t="inlineStr">
        <is>
          <t>200U/瓶</t>
        </is>
      </c>
      <c r="L847" s="560" t="n">
        <v>1252</v>
      </c>
      <c r="M847" s="123" t="n"/>
      <c r="N847" s="117" t="n"/>
    </row>
    <row r="848" ht="17.25" customHeight="1" s="453" thickBot="1">
      <c r="A848" s="553">
        <f>IFERROR(LEFT(B848,7),"")</f>
        <v/>
      </c>
      <c r="B848" s="554">
        <f>"2025/11"&amp;D848</f>
        <v/>
      </c>
      <c r="C848" s="559" t="n">
        <v>105</v>
      </c>
      <c r="D848" s="484" t="inlineStr">
        <is>
          <t>忠孝7樓</t>
        </is>
      </c>
      <c r="E848" s="484" t="inlineStr">
        <is>
          <t>6150001</t>
        </is>
      </c>
      <c r="F848" s="551" t="n"/>
      <c r="G848" s="484" t="inlineStr">
        <is>
          <t>(V)喬雅登-豐麗緹玻尿酸植入物Voluma 1ml</t>
        </is>
      </c>
      <c r="H848" s="552" t="n"/>
      <c r="I848" s="552" t="n"/>
      <c r="J848" s="551" t="n"/>
      <c r="K848" s="140" t="inlineStr">
        <is>
          <t>1ml(2ml/盒)</t>
        </is>
      </c>
      <c r="L848" s="560" t="n">
        <v>61</v>
      </c>
      <c r="M848" s="123" t="n"/>
      <c r="N848" s="117" t="n"/>
    </row>
    <row r="849" ht="17.25" customHeight="1" s="453" thickBot="1">
      <c r="A849" s="553">
        <f>IFERROR(LEFT(B849,7),"")</f>
        <v/>
      </c>
      <c r="B849" s="554">
        <f>"2025/11"&amp;D849</f>
        <v/>
      </c>
      <c r="C849" s="559" t="n">
        <v>106</v>
      </c>
      <c r="D849" s="484" t="inlineStr">
        <is>
          <t>忠孝7樓</t>
        </is>
      </c>
      <c r="E849" s="484" t="inlineStr">
        <is>
          <t>6150002</t>
        </is>
      </c>
      <c r="F849" s="551" t="n"/>
      <c r="G849" s="484" t="inlineStr">
        <is>
          <t>(V)喬雅登-夢蓓菈玻尿酸植入物Volbella 1ml</t>
        </is>
      </c>
      <c r="H849" s="552" t="n"/>
      <c r="I849" s="552" t="n"/>
      <c r="J849" s="551" t="n"/>
      <c r="K849" s="140" t="inlineStr">
        <is>
          <t>1ml(2ml/盒)</t>
        </is>
      </c>
      <c r="L849" s="560" t="n">
        <v>10</v>
      </c>
      <c r="M849" s="123" t="n"/>
      <c r="N849" s="117" t="n"/>
    </row>
    <row r="850" ht="17.25" customHeight="1" s="453" thickBot="1">
      <c r="A850" s="553">
        <f>IFERROR(LEFT(B850,7),"")</f>
        <v/>
      </c>
      <c r="B850" s="554">
        <f>"2025/11"&amp;D850</f>
        <v/>
      </c>
      <c r="C850" s="559" t="n">
        <v>107</v>
      </c>
      <c r="D850" s="484" t="inlineStr">
        <is>
          <t>忠孝7樓</t>
        </is>
      </c>
      <c r="E850" s="484" t="inlineStr">
        <is>
          <t>6150004</t>
        </is>
      </c>
      <c r="F850" s="551" t="n"/>
      <c r="G850" s="484" t="inlineStr">
        <is>
          <t>(V)喬雅登-豐塑玻尿酸植入物Volux 1ml</t>
        </is>
      </c>
      <c r="H850" s="552" t="n"/>
      <c r="I850" s="552" t="n"/>
      <c r="J850" s="551" t="n"/>
      <c r="K850" s="140" t="inlineStr">
        <is>
          <t>1ml(2ml/盒)</t>
        </is>
      </c>
      <c r="L850" s="560" t="n">
        <v>15</v>
      </c>
      <c r="M850" s="123" t="n"/>
      <c r="N850" s="117" t="n"/>
    </row>
    <row r="851" ht="17.25" customHeight="1" s="453" thickBot="1">
      <c r="A851" s="553">
        <f>IFERROR(LEFT(B851,7),"")</f>
        <v/>
      </c>
      <c r="B851" s="554">
        <f>"2025/11"&amp;D851</f>
        <v/>
      </c>
      <c r="C851" s="559" t="n">
        <v>108</v>
      </c>
      <c r="D851" s="484" t="inlineStr">
        <is>
          <t>忠孝7樓</t>
        </is>
      </c>
      <c r="E851" s="484" t="inlineStr">
        <is>
          <t>6150005</t>
        </is>
      </c>
      <c r="F851" s="551" t="n"/>
      <c r="G851" s="484" t="inlineStr">
        <is>
          <t>(V)喬雅登-芙潤玻尿酸植入物Volite 1ml</t>
        </is>
      </c>
      <c r="H851" s="552" t="n"/>
      <c r="I851" s="552" t="n"/>
      <c r="J851" s="551" t="n"/>
      <c r="K851" s="140" t="inlineStr">
        <is>
          <t>1ml(2ml/盒)</t>
        </is>
      </c>
      <c r="L851" s="560" t="n">
        <v>1</v>
      </c>
      <c r="M851" s="123" t="n"/>
      <c r="N851" s="117" t="n"/>
    </row>
    <row r="852" ht="17.25" customHeight="1" s="453" thickBot="1">
      <c r="A852" s="553">
        <f>IFERROR(LEFT(B852,7),"")</f>
        <v/>
      </c>
      <c r="B852" s="554">
        <f>"2025/11"&amp;D852</f>
        <v/>
      </c>
      <c r="C852" s="559" t="n">
        <v>109</v>
      </c>
      <c r="D852" s="484" t="inlineStr">
        <is>
          <t>忠孝7樓</t>
        </is>
      </c>
      <c r="E852" s="484" t="inlineStr">
        <is>
          <t>6150010</t>
        </is>
      </c>
      <c r="F852" s="551" t="n"/>
      <c r="G852" s="484" t="inlineStr">
        <is>
          <t>(V)仙女玻尿酸大分子 1ml</t>
        </is>
      </c>
      <c r="H852" s="552" t="n"/>
      <c r="I852" s="552" t="n"/>
      <c r="J852" s="551" t="n"/>
      <c r="K852" s="140" t="inlineStr">
        <is>
          <t>1ml(1ml/盒)</t>
        </is>
      </c>
      <c r="L852" s="560" t="n">
        <v>65</v>
      </c>
      <c r="M852" s="123" t="n"/>
      <c r="N852" s="117" t="n"/>
    </row>
    <row r="853" ht="17.25" customHeight="1" s="453" thickBot="1">
      <c r="A853" s="553">
        <f>IFERROR(LEFT(B853,7),"")</f>
        <v/>
      </c>
      <c r="B853" s="554">
        <f>"2025/11"&amp;D853</f>
        <v/>
      </c>
      <c r="C853" s="559" t="n">
        <v>110</v>
      </c>
      <c r="D853" s="484" t="inlineStr">
        <is>
          <t>忠孝7樓</t>
        </is>
      </c>
      <c r="E853" s="484" t="inlineStr">
        <is>
          <t>6150011</t>
        </is>
      </c>
      <c r="F853" s="551" t="n"/>
      <c r="G853" s="484" t="inlineStr">
        <is>
          <t>(V)仙女玻尿酸小分子 1ml</t>
        </is>
      </c>
      <c r="H853" s="552" t="n"/>
      <c r="I853" s="552" t="n"/>
      <c r="J853" s="551" t="n"/>
      <c r="K853" s="140" t="inlineStr">
        <is>
          <t>1ml(1ml/盒)</t>
        </is>
      </c>
      <c r="L853" s="560" t="n">
        <v>12</v>
      </c>
      <c r="M853" s="123" t="n"/>
      <c r="N853" s="117" t="n"/>
    </row>
    <row r="854" ht="17.25" customHeight="1" s="453" thickBot="1">
      <c r="A854" s="553">
        <f>IFERROR(LEFT(B854,7),"")</f>
        <v/>
      </c>
      <c r="B854" s="554">
        <f>"2025/11"&amp;D854</f>
        <v/>
      </c>
      <c r="C854" s="559" t="n">
        <v>111</v>
      </c>
      <c r="D854" s="484" t="inlineStr">
        <is>
          <t>忠孝7樓</t>
        </is>
      </c>
      <c r="E854" s="484" t="inlineStr">
        <is>
          <t>6150013</t>
        </is>
      </c>
      <c r="F854" s="551" t="n"/>
      <c r="G854" s="484" t="inlineStr">
        <is>
          <t>(V)逆時針(璞菲洛)2cc</t>
        </is>
      </c>
      <c r="H854" s="552" t="n"/>
      <c r="I854" s="552" t="n"/>
      <c r="J854" s="551" t="n"/>
      <c r="K854" s="140" t="inlineStr">
        <is>
          <t>1ml(1ml/盒)</t>
        </is>
      </c>
      <c r="L854" s="560" t="n">
        <v>26</v>
      </c>
      <c r="M854" s="123" t="n"/>
      <c r="N854" s="117" t="n"/>
    </row>
    <row r="855" ht="17.25" customHeight="1" s="453" thickBot="1">
      <c r="A855" s="553">
        <f>IFERROR(LEFT(B855,7),"")</f>
        <v/>
      </c>
      <c r="B855" s="554">
        <f>"2025/11"&amp;D855</f>
        <v/>
      </c>
      <c r="C855" s="559" t="n">
        <v>112</v>
      </c>
      <c r="D855" s="484" t="inlineStr">
        <is>
          <t>忠孝7樓</t>
        </is>
      </c>
      <c r="E855" s="484" t="inlineStr">
        <is>
          <t>6150014</t>
        </is>
      </c>
      <c r="F855" s="551" t="n"/>
      <c r="G855" s="484" t="inlineStr">
        <is>
          <t>(V)膚美康 1cc</t>
        </is>
      </c>
      <c r="H855" s="552" t="n"/>
      <c r="I855" s="552" t="n"/>
      <c r="J855" s="551" t="n"/>
      <c r="K855" s="140" t="inlineStr">
        <is>
          <t>2.5cc/支</t>
        </is>
      </c>
      <c r="L855" s="560" t="n">
        <v>1</v>
      </c>
      <c r="M855" s="27" t="inlineStr">
        <is>
          <t>MP1MA020034A</t>
        </is>
      </c>
      <c r="N855" s="117" t="n"/>
    </row>
    <row r="856" ht="17.25" customHeight="1" s="453" thickBot="1">
      <c r="A856" s="553">
        <f>IFERROR(LEFT(B856,7),"")</f>
        <v/>
      </c>
      <c r="B856" s="554">
        <f>"2025/11"&amp;D856</f>
        <v/>
      </c>
      <c r="C856" s="559" t="n">
        <v>113</v>
      </c>
      <c r="D856" s="484" t="inlineStr">
        <is>
          <t>忠孝7樓</t>
        </is>
      </c>
      <c r="E856" s="484" t="inlineStr">
        <is>
          <t>6160002</t>
        </is>
      </c>
      <c r="F856" s="551" t="n"/>
      <c r="G856" s="484" t="inlineStr">
        <is>
          <t>(V)洢蓮絲植入劑ELLANSÉ-S 1ml</t>
        </is>
      </c>
      <c r="H856" s="552" t="n"/>
      <c r="I856" s="552" t="n"/>
      <c r="J856" s="551" t="n"/>
      <c r="K856" s="140" t="inlineStr">
        <is>
          <t>1ml(2ml/盒)</t>
        </is>
      </c>
      <c r="L856" s="560" t="n">
        <v>45</v>
      </c>
      <c r="M856" s="123" t="n"/>
      <c r="N856" s="117" t="n"/>
    </row>
    <row r="857" ht="17.25" customHeight="1" s="453" thickBot="1">
      <c r="A857" s="553">
        <f>IFERROR(LEFT(B857,7),"")</f>
        <v/>
      </c>
      <c r="B857" s="554">
        <f>"2025/11"&amp;D857</f>
        <v/>
      </c>
      <c r="C857" s="559" t="n">
        <v>114</v>
      </c>
      <c r="D857" s="484" t="inlineStr">
        <is>
          <t>忠孝7樓</t>
        </is>
      </c>
      <c r="E857" s="484" t="inlineStr">
        <is>
          <t>6160003</t>
        </is>
      </c>
      <c r="F857" s="551" t="n"/>
      <c r="G857" s="484" t="inlineStr">
        <is>
          <t>(V)洢蓮絲植入劑ELLANSÉ-M 1ml</t>
        </is>
      </c>
      <c r="H857" s="552" t="n"/>
      <c r="I857" s="552" t="n"/>
      <c r="J857" s="551" t="n"/>
      <c r="K857" s="140" t="inlineStr">
        <is>
          <t>1ml(2ml/盒)</t>
        </is>
      </c>
      <c r="L857" s="560" t="n">
        <v>30</v>
      </c>
      <c r="M857" s="123" t="n"/>
      <c r="N857" s="117" t="n"/>
    </row>
    <row r="858" ht="17.25" customHeight="1" s="453" thickBot="1">
      <c r="A858" s="553">
        <f>IFERROR(LEFT(B858,7),"")</f>
        <v/>
      </c>
      <c r="B858" s="554">
        <f>"2025/11"&amp;D858</f>
        <v/>
      </c>
      <c r="C858" s="559" t="n">
        <v>115</v>
      </c>
      <c r="D858" s="484" t="inlineStr">
        <is>
          <t>忠孝7樓</t>
        </is>
      </c>
      <c r="E858" s="484" t="inlineStr">
        <is>
          <t>6160005</t>
        </is>
      </c>
      <c r="F858" s="551" t="n"/>
      <c r="G858" s="484" t="inlineStr">
        <is>
          <t>(V)双美熊貓針</t>
        </is>
      </c>
      <c r="H858" s="552" t="n"/>
      <c r="I858" s="552" t="n"/>
      <c r="J858" s="551" t="n"/>
      <c r="K858" s="140" t="inlineStr">
        <is>
          <t>(1ml/盒)</t>
        </is>
      </c>
      <c r="L858" s="560" t="n">
        <v>18</v>
      </c>
      <c r="M858" s="123" t="n"/>
      <c r="N858" s="117" t="n"/>
    </row>
    <row r="859" ht="17.25" customHeight="1" s="453" thickBot="1">
      <c r="A859" s="553">
        <f>IFERROR(LEFT(B859,7),"")</f>
        <v/>
      </c>
      <c r="B859" s="554">
        <f>"2025/11"&amp;D859</f>
        <v/>
      </c>
      <c r="C859" s="559" t="n">
        <v>116</v>
      </c>
      <c r="D859" s="484" t="inlineStr">
        <is>
          <t>忠孝7樓</t>
        </is>
      </c>
      <c r="E859" s="484" t="inlineStr">
        <is>
          <t>6160008</t>
        </is>
      </c>
      <c r="F859" s="551" t="n"/>
      <c r="G859" s="484" t="inlineStr">
        <is>
          <t>白童針-薇貝拉50mg/1cc</t>
        </is>
      </c>
      <c r="H859" s="552" t="n"/>
      <c r="I859" s="552" t="n"/>
      <c r="J859" s="551" t="n"/>
      <c r="K859" s="140" t="inlineStr">
        <is>
          <t>6cc/瓶</t>
        </is>
      </c>
      <c r="L859" s="560" t="n">
        <v>425</v>
      </c>
      <c r="M859" s="123" t="n"/>
      <c r="N859" s="117" t="n"/>
    </row>
    <row r="860" ht="17.25" customHeight="1" s="453" thickBot="1">
      <c r="A860" s="553">
        <f>IFERROR(LEFT(B860,7),"")</f>
        <v/>
      </c>
      <c r="B860" s="554">
        <f>"2025/11"&amp;D860</f>
        <v/>
      </c>
      <c r="C860" s="559" t="n">
        <v>117</v>
      </c>
      <c r="D860" s="484" t="inlineStr">
        <is>
          <t>忠孝7樓</t>
        </is>
      </c>
      <c r="E860" s="484" t="inlineStr">
        <is>
          <t>6160009</t>
        </is>
      </c>
      <c r="F860" s="551" t="n"/>
      <c r="G860" s="484" t="inlineStr">
        <is>
          <t>黑童針-薇貝拉200mg/1cc</t>
        </is>
      </c>
      <c r="H860" s="552" t="n"/>
      <c r="I860" s="552" t="n"/>
      <c r="J860" s="551" t="n"/>
      <c r="K860" s="140" t="inlineStr">
        <is>
          <t>8cc/瓶</t>
        </is>
      </c>
      <c r="L860" s="560" t="n">
        <v>3</v>
      </c>
      <c r="M860" s="123" t="n"/>
      <c r="N860" s="117" t="n"/>
    </row>
    <row r="861" ht="17.25" customHeight="1" s="453" thickBot="1">
      <c r="A861" s="553">
        <f>IFERROR(LEFT(B861,7),"")</f>
        <v/>
      </c>
      <c r="B861" s="554">
        <f>"2025/11"&amp;D861</f>
        <v/>
      </c>
      <c r="C861" s="559" t="n">
        <v>118</v>
      </c>
      <c r="D861" s="484" t="inlineStr">
        <is>
          <t>忠孝7樓</t>
        </is>
      </c>
      <c r="E861" s="484" t="inlineStr">
        <is>
          <t>6160010</t>
        </is>
      </c>
      <c r="F861" s="551" t="n"/>
      <c r="G861" s="484" t="inlineStr">
        <is>
          <t>喬雅露-大分子200mg/1cc</t>
        </is>
      </c>
      <c r="H861" s="552" t="n"/>
      <c r="I861" s="552" t="n"/>
      <c r="J861" s="551" t="n"/>
      <c r="K861" s="140" t="inlineStr">
        <is>
          <t>8cc/瓶</t>
        </is>
      </c>
      <c r="L861" s="560" t="n">
        <v>112</v>
      </c>
      <c r="M861" s="123" t="n"/>
      <c r="N861" s="117" t="n"/>
    </row>
    <row r="862" ht="17.25" customHeight="1" s="453" thickBot="1">
      <c r="A862" s="553">
        <f>IFERROR(LEFT(B862,7),"")</f>
        <v/>
      </c>
      <c r="B862" s="554">
        <f>"2025/11"&amp;D862</f>
        <v/>
      </c>
      <c r="C862" s="559" t="n">
        <v>119</v>
      </c>
      <c r="D862" s="484" t="inlineStr">
        <is>
          <t>忠孝7樓</t>
        </is>
      </c>
      <c r="E862" s="484" t="inlineStr">
        <is>
          <t>6160011</t>
        </is>
      </c>
      <c r="F862" s="551" t="n"/>
      <c r="G862" s="484" t="inlineStr">
        <is>
          <t>喬雅露-小分子50mg/1cc</t>
        </is>
      </c>
      <c r="H862" s="552" t="n"/>
      <c r="I862" s="552" t="n"/>
      <c r="J862" s="551" t="n"/>
      <c r="K862" s="140" t="inlineStr">
        <is>
          <t>6cc/瓶</t>
        </is>
      </c>
      <c r="L862" s="560" t="n">
        <v>51</v>
      </c>
      <c r="M862" s="123" t="n"/>
      <c r="N862" s="117" t="n"/>
    </row>
    <row r="863" ht="17.25" customHeight="1" s="453" thickBot="1">
      <c r="A863" s="553">
        <f>IFERROR(LEFT(B863,7),"")</f>
        <v/>
      </c>
      <c r="B863" s="554">
        <f>"2025/11"&amp;D863</f>
        <v/>
      </c>
      <c r="C863" s="559" t="n">
        <v>120</v>
      </c>
      <c r="D863" s="484" t="inlineStr">
        <is>
          <t>忠孝7樓</t>
        </is>
      </c>
      <c r="E863" s="484" t="inlineStr">
        <is>
          <t>6160012</t>
        </is>
      </c>
      <c r="F863" s="551" t="n"/>
      <c r="G863" s="484" t="inlineStr">
        <is>
          <t>黑童針-薇貝拉200mg/0.5cc</t>
        </is>
      </c>
      <c r="H863" s="552" t="n"/>
      <c r="I863" s="552" t="n"/>
      <c r="J863" s="551" t="n"/>
      <c r="K863" s="140" t="inlineStr">
        <is>
          <t>8cc/瓶</t>
        </is>
      </c>
      <c r="L863" s="560" t="n">
        <v>1</v>
      </c>
      <c r="M863" s="123" t="n"/>
      <c r="N863" s="117" t="n"/>
    </row>
    <row r="864" ht="17.25" customHeight="1" s="453" thickBot="1">
      <c r="A864" s="553">
        <f>IFERROR(LEFT(B864,7),"")</f>
        <v/>
      </c>
      <c r="B864" s="554">
        <f>"2025/11"&amp;D864</f>
        <v/>
      </c>
      <c r="C864" s="559" t="n">
        <v>121</v>
      </c>
      <c r="D864" s="484" t="inlineStr">
        <is>
          <t>忠孝7樓</t>
        </is>
      </c>
      <c r="E864" s="484" t="inlineStr">
        <is>
          <t>6170005</t>
        </is>
      </c>
      <c r="F864" s="551" t="n"/>
      <c r="G864" s="484" t="inlineStr">
        <is>
          <t>海芙三代音波探頭2mm/ 條</t>
        </is>
      </c>
      <c r="H864" s="552" t="n"/>
      <c r="I864" s="552" t="n"/>
      <c r="J864" s="551" t="n"/>
      <c r="K864" s="140" t="inlineStr">
        <is>
          <t>20000條/顆</t>
        </is>
      </c>
      <c r="L864" s="560" t="n">
        <v>13116</v>
      </c>
      <c r="M864" s="123" t="n"/>
      <c r="N864" s="117" t="n"/>
    </row>
    <row r="865" ht="17.25" customHeight="1" s="453" thickBot="1">
      <c r="A865" s="553">
        <f>IFERROR(LEFT(B865,7),"")</f>
        <v/>
      </c>
      <c r="B865" s="554">
        <f>"2025/11"&amp;D865</f>
        <v/>
      </c>
      <c r="C865" s="559" t="n">
        <v>122</v>
      </c>
      <c r="D865" s="484" t="inlineStr">
        <is>
          <t>忠孝7樓</t>
        </is>
      </c>
      <c r="E865" s="484" t="inlineStr">
        <is>
          <t>6170007</t>
        </is>
      </c>
      <c r="F865" s="551" t="n"/>
      <c r="G865" s="484" t="inlineStr">
        <is>
          <t>海芙三代音波探頭3mm/ 條</t>
        </is>
      </c>
      <c r="H865" s="552" t="n"/>
      <c r="I865" s="552" t="n"/>
      <c r="J865" s="551" t="n"/>
      <c r="K865" s="140" t="inlineStr">
        <is>
          <t>20000條/顆</t>
        </is>
      </c>
      <c r="L865" s="560" t="n">
        <v>37096</v>
      </c>
      <c r="M865" s="123" t="n"/>
      <c r="N865" s="117" t="n"/>
    </row>
    <row r="866" ht="17.25" customHeight="1" s="453" thickBot="1">
      <c r="A866" s="553">
        <f>IFERROR(LEFT(B866,7),"")</f>
        <v/>
      </c>
      <c r="B866" s="554">
        <f>"2025/11"&amp;D866</f>
        <v/>
      </c>
      <c r="C866" s="559" t="n">
        <v>123</v>
      </c>
      <c r="D866" s="484" t="inlineStr">
        <is>
          <t>忠孝7樓</t>
        </is>
      </c>
      <c r="E866" s="484" t="inlineStr">
        <is>
          <t>6170009</t>
        </is>
      </c>
      <c r="F866" s="551" t="n"/>
      <c r="G866" s="484" t="inlineStr">
        <is>
          <t>海芙三代音波探頭4.5mm/ 條</t>
        </is>
      </c>
      <c r="H866" s="552" t="n"/>
      <c r="I866" s="552" t="n"/>
      <c r="J866" s="551" t="n"/>
      <c r="K866" s="140" t="inlineStr">
        <is>
          <t>20000條/顆</t>
        </is>
      </c>
      <c r="L866" s="560" t="n">
        <v>64801</v>
      </c>
      <c r="M866" s="123" t="n"/>
      <c r="N866" s="117" t="n"/>
    </row>
    <row r="867" ht="17.25" customHeight="1" s="453" thickBot="1">
      <c r="A867" s="553">
        <f>IFERROR(LEFT(B867,7),"")</f>
        <v/>
      </c>
      <c r="B867" s="554">
        <f>"2025/11"&amp;D867</f>
        <v/>
      </c>
      <c r="C867" s="559" t="n">
        <v>124</v>
      </c>
      <c r="D867" s="484" t="inlineStr">
        <is>
          <t>忠孝7樓</t>
        </is>
      </c>
      <c r="E867" s="484" t="inlineStr">
        <is>
          <t>6170011</t>
        </is>
      </c>
      <c r="F867" s="551" t="n"/>
      <c r="G867" s="484" t="inlineStr">
        <is>
          <t>海芙三代音波探頭6mm/ 條</t>
        </is>
      </c>
      <c r="H867" s="552" t="n"/>
      <c r="I867" s="552" t="n"/>
      <c r="J867" s="551" t="n"/>
      <c r="K867" s="140" t="inlineStr">
        <is>
          <t>30,000條/顆</t>
        </is>
      </c>
      <c r="L867" s="560" t="n">
        <v>14989</v>
      </c>
      <c r="M867" s="123" t="n"/>
      <c r="N867" s="117" t="n"/>
    </row>
    <row r="868" ht="17.25" customHeight="1" s="453" thickBot="1">
      <c r="A868" s="553">
        <f>IFERROR(LEFT(B868,7),"")</f>
        <v/>
      </c>
      <c r="B868" s="554">
        <f>"2025/11"&amp;D868</f>
        <v/>
      </c>
      <c r="C868" s="559" t="n">
        <v>125</v>
      </c>
      <c r="D868" s="484" t="inlineStr">
        <is>
          <t>忠孝7樓</t>
        </is>
      </c>
      <c r="E868" s="484" t="inlineStr">
        <is>
          <t>6170013</t>
        </is>
      </c>
      <c r="F868" s="551" t="n"/>
      <c r="G868" s="484" t="inlineStr">
        <is>
          <t>鳳凰電波4平方公分紫鑽探頭(900發)</t>
        </is>
      </c>
      <c r="H868" s="552" t="n"/>
      <c r="I868" s="552" t="n"/>
      <c r="J868" s="551" t="n"/>
      <c r="K868" s="140" t="inlineStr">
        <is>
          <t>顆</t>
        </is>
      </c>
      <c r="L868" s="560" t="n">
        <v>22</v>
      </c>
      <c r="M868" s="123" t="n"/>
      <c r="N868" s="117" t="n"/>
    </row>
    <row r="869" ht="17.25" customHeight="1" s="453" thickBot="1">
      <c r="A869" s="553">
        <f>IFERROR(LEFT(B869,7),"")</f>
        <v/>
      </c>
      <c r="B869" s="554">
        <f>"2025/11"&amp;D869</f>
        <v/>
      </c>
      <c r="C869" s="559" t="n">
        <v>126</v>
      </c>
      <c r="D869" s="484" t="inlineStr">
        <is>
          <t>忠孝7樓</t>
        </is>
      </c>
      <c r="E869" s="484" t="inlineStr">
        <is>
          <t>6170014</t>
        </is>
      </c>
      <c r="F869" s="551" t="n"/>
      <c r="G869" s="484" t="inlineStr">
        <is>
          <t>鳳凰電波0.25平方公分碧眼探頭(450發)</t>
        </is>
      </c>
      <c r="H869" s="552" t="n"/>
      <c r="I869" s="552" t="n"/>
      <c r="J869" s="551" t="n"/>
      <c r="K869" s="140" t="inlineStr">
        <is>
          <t>顆</t>
        </is>
      </c>
      <c r="L869" s="560" t="n">
        <v>3</v>
      </c>
      <c r="M869" s="123" t="n"/>
      <c r="N869" s="117" t="n"/>
    </row>
    <row r="870" ht="17.25" customHeight="1" s="453" thickBot="1">
      <c r="A870" s="553">
        <f>IFERROR(LEFT(B870,7),"")</f>
        <v/>
      </c>
      <c r="B870" s="554">
        <f>"2025/11"&amp;D870</f>
        <v/>
      </c>
      <c r="C870" s="559" t="n">
        <v>127</v>
      </c>
      <c r="D870" s="484" t="inlineStr">
        <is>
          <t>忠孝7樓</t>
        </is>
      </c>
      <c r="E870" s="484" t="inlineStr">
        <is>
          <t>6170019</t>
        </is>
      </c>
      <c r="F870" s="551" t="n"/>
      <c r="G870" s="484" t="inlineStr">
        <is>
          <t>媚必提直線探頭2.0mm/條</t>
        </is>
      </c>
      <c r="H870" s="552" t="n"/>
      <c r="I870" s="552" t="n"/>
      <c r="J870" s="551" t="n"/>
      <c r="K870" s="140" t="inlineStr">
        <is>
          <t>20000條/顆</t>
        </is>
      </c>
      <c r="L870" s="560" t="n">
        <v>6738</v>
      </c>
      <c r="M870" s="123" t="n"/>
      <c r="N870" s="117" t="n"/>
    </row>
    <row r="871" ht="17.25" customHeight="1" s="453" thickBot="1">
      <c r="A871" s="553">
        <f>IFERROR(LEFT(B871,7),"")</f>
        <v/>
      </c>
      <c r="B871" s="554">
        <f>"2025/11"&amp;D871</f>
        <v/>
      </c>
      <c r="C871" s="559" t="n">
        <v>128</v>
      </c>
      <c r="D871" s="484" t="inlineStr">
        <is>
          <t>忠孝7樓</t>
        </is>
      </c>
      <c r="E871" s="484" t="inlineStr">
        <is>
          <t>6170020</t>
        </is>
      </c>
      <c r="F871" s="551" t="n"/>
      <c r="G871" s="484" t="inlineStr">
        <is>
          <t>媚必提直線探頭3.0mm/條</t>
        </is>
      </c>
      <c r="H871" s="552" t="n"/>
      <c r="I871" s="552" t="n"/>
      <c r="J871" s="551" t="n"/>
      <c r="K871" s="140" t="inlineStr">
        <is>
          <t>20000條/顆</t>
        </is>
      </c>
      <c r="L871" s="560" t="n">
        <v>16240</v>
      </c>
      <c r="M871" s="123" t="n"/>
      <c r="N871" s="117" t="n"/>
    </row>
    <row r="872" ht="17.25" customHeight="1" s="453" thickBot="1">
      <c r="A872" s="553">
        <f>IFERROR(LEFT(B872,7),"")</f>
        <v/>
      </c>
      <c r="B872" s="554">
        <f>"2025/11"&amp;D872</f>
        <v/>
      </c>
      <c r="C872" s="559" t="n">
        <v>129</v>
      </c>
      <c r="D872" s="484" t="inlineStr">
        <is>
          <t>忠孝7樓</t>
        </is>
      </c>
      <c r="E872" s="484" t="inlineStr">
        <is>
          <t>6170021</t>
        </is>
      </c>
      <c r="F872" s="551" t="n"/>
      <c r="G872" s="484" t="inlineStr">
        <is>
          <t>媚必提直線探頭4.5mm/條</t>
        </is>
      </c>
      <c r="H872" s="552" t="n"/>
      <c r="I872" s="552" t="n"/>
      <c r="J872" s="551" t="n"/>
      <c r="K872" s="140" t="inlineStr">
        <is>
          <t>20000條/顆</t>
        </is>
      </c>
      <c r="L872" s="560" t="n">
        <v>40235</v>
      </c>
      <c r="M872" s="123" t="n"/>
      <c r="N872" s="117" t="n"/>
    </row>
    <row r="873" ht="17.25" customHeight="1" s="453" thickBot="1">
      <c r="A873" s="553">
        <f>IFERROR(LEFT(B873,7),"")</f>
        <v/>
      </c>
      <c r="B873" s="554">
        <f>"2025/11"&amp;D873</f>
        <v/>
      </c>
      <c r="C873" s="559" t="n">
        <v>130</v>
      </c>
      <c r="D873" s="484" t="inlineStr">
        <is>
          <t>忠孝7樓</t>
        </is>
      </c>
      <c r="E873" s="484" t="inlineStr">
        <is>
          <t>6170022</t>
        </is>
      </c>
      <c r="F873" s="551" t="n"/>
      <c r="G873" s="484" t="inlineStr">
        <is>
          <t>媚必提直線探頭6.0mm/條</t>
        </is>
      </c>
      <c r="H873" s="552" t="n"/>
      <c r="I873" s="552" t="n"/>
      <c r="J873" s="551" t="n"/>
      <c r="K873" s="140" t="inlineStr">
        <is>
          <t>20000條/顆</t>
        </is>
      </c>
      <c r="L873" s="560" t="n">
        <v>15489</v>
      </c>
      <c r="M873" s="123" t="n"/>
      <c r="N873" s="117" t="n"/>
    </row>
    <row r="874" ht="17.25" customHeight="1" s="453" thickBot="1">
      <c r="A874" s="553">
        <f>IFERROR(LEFT(B874,7),"")</f>
        <v/>
      </c>
      <c r="B874" s="554">
        <f>"2025/11"&amp;D874</f>
        <v/>
      </c>
      <c r="C874" s="559" t="n">
        <v>131</v>
      </c>
      <c r="D874" s="484" t="inlineStr">
        <is>
          <t>忠孝7樓</t>
        </is>
      </c>
      <c r="E874" s="484" t="inlineStr">
        <is>
          <t>6170028</t>
        </is>
      </c>
      <c r="F874" s="551" t="n"/>
      <c r="G874" s="484" t="inlineStr">
        <is>
          <t>海芙電波探頭0.25cm/發</t>
        </is>
      </c>
      <c r="H874" s="552" t="n"/>
      <c r="I874" s="552" t="n"/>
      <c r="J874" s="551" t="n"/>
      <c r="K874" s="140" t="inlineStr">
        <is>
          <t>6000發/顆</t>
        </is>
      </c>
      <c r="L874" s="560" t="n">
        <v>8649</v>
      </c>
      <c r="M874" s="123" t="n"/>
      <c r="N874" s="117" t="n"/>
    </row>
    <row r="875" ht="17.25" customHeight="1" s="453" thickBot="1">
      <c r="A875" s="553">
        <f>IFERROR(LEFT(B875,7),"")</f>
        <v/>
      </c>
      <c r="B875" s="554">
        <f>"2025/11"&amp;D875</f>
        <v/>
      </c>
      <c r="C875" s="559" t="n">
        <v>132</v>
      </c>
      <c r="D875" s="484" t="inlineStr">
        <is>
          <t>忠孝7樓</t>
        </is>
      </c>
      <c r="E875" s="484" t="inlineStr">
        <is>
          <t>6170029</t>
        </is>
      </c>
      <c r="F875" s="551" t="n"/>
      <c r="G875" s="484" t="inlineStr">
        <is>
          <t>海芙電波探頭3.0cm/發</t>
        </is>
      </c>
      <c r="H875" s="552" t="n"/>
      <c r="I875" s="552" t="n"/>
      <c r="J875" s="551" t="n"/>
      <c r="K875" s="140" t="inlineStr">
        <is>
          <t>4000發/顆</t>
        </is>
      </c>
      <c r="L875" s="560" t="n">
        <v>37701</v>
      </c>
      <c r="M875" s="123" t="n"/>
      <c r="N875" s="117" t="n"/>
    </row>
    <row r="876" ht="17.25" customHeight="1" s="453" thickBot="1">
      <c r="A876" s="553">
        <f>IFERROR(LEFT(B876,7),"")</f>
        <v/>
      </c>
      <c r="B876" s="554">
        <f>"2025/11"&amp;D876</f>
        <v/>
      </c>
      <c r="C876" s="559" t="n">
        <v>133</v>
      </c>
      <c r="D876" s="484" t="inlineStr">
        <is>
          <t>忠孝7樓</t>
        </is>
      </c>
      <c r="E876" s="484" t="inlineStr">
        <is>
          <t>6170030</t>
        </is>
      </c>
      <c r="F876" s="551" t="n"/>
      <c r="G876" s="484" t="inlineStr">
        <is>
          <t>海芙電波探頭4.0cm/發</t>
        </is>
      </c>
      <c r="H876" s="552" t="n"/>
      <c r="I876" s="552" t="n"/>
      <c r="J876" s="551" t="n"/>
      <c r="K876" s="140" t="inlineStr">
        <is>
          <t>3000發/顆</t>
        </is>
      </c>
      <c r="L876" s="560" t="n">
        <v>46682</v>
      </c>
      <c r="M876" s="123" t="n"/>
      <c r="N876" s="117" t="n"/>
    </row>
    <row r="877" ht="17.25" customHeight="1" s="453" thickBot="1">
      <c r="A877" s="553">
        <f>IFERROR(LEFT(B877,7),"")</f>
        <v/>
      </c>
      <c r="B877" s="554">
        <f>"2025/11"&amp;D877</f>
        <v/>
      </c>
      <c r="C877" s="559" t="n">
        <v>134</v>
      </c>
      <c r="D877" s="484" t="inlineStr">
        <is>
          <t>忠孝7樓</t>
        </is>
      </c>
      <c r="E877" s="484" t="inlineStr">
        <is>
          <t>6170032</t>
        </is>
      </c>
      <c r="F877" s="551" t="n"/>
      <c r="G877" s="484" t="inlineStr">
        <is>
          <t>立特拉A2筆型探頭3.0mm/ 條</t>
        </is>
      </c>
      <c r="H877" s="552" t="n"/>
      <c r="I877" s="552" t="n"/>
      <c r="J877" s="551" t="n"/>
      <c r="K877" s="140" t="inlineStr">
        <is>
          <t>240000條/顆</t>
        </is>
      </c>
      <c r="L877" s="560" t="n">
        <v>447788</v>
      </c>
      <c r="M877" s="123" t="n"/>
      <c r="N877" s="117" t="n"/>
    </row>
    <row r="878" ht="17.25" customHeight="1" s="453" thickBot="1">
      <c r="A878" s="553">
        <f>IFERROR(LEFT(B878,7),"")</f>
        <v/>
      </c>
      <c r="B878" s="554">
        <f>"2025/11"&amp;D878</f>
        <v/>
      </c>
      <c r="C878" s="559" t="n">
        <v>135</v>
      </c>
      <c r="D878" s="484" t="inlineStr">
        <is>
          <t>忠孝7樓</t>
        </is>
      </c>
      <c r="E878" s="484" t="inlineStr">
        <is>
          <t>6170033</t>
        </is>
      </c>
      <c r="F878" s="551" t="n"/>
      <c r="G878" s="484" t="inlineStr">
        <is>
          <t>立特拉A2筆型探頭4.5mm/ 條</t>
        </is>
      </c>
      <c r="H878" s="552" t="n"/>
      <c r="I878" s="552" t="n"/>
      <c r="J878" s="551" t="n"/>
      <c r="K878" s="140" t="inlineStr">
        <is>
          <t>240000條/顆</t>
        </is>
      </c>
      <c r="L878" s="560" t="n">
        <v>208713</v>
      </c>
      <c r="M878" s="123" t="n"/>
      <c r="N878" s="117" t="n"/>
    </row>
    <row r="879" ht="17.25" customHeight="1" s="453" thickBot="1">
      <c r="A879" s="553">
        <f>IFERROR(LEFT(B879,7),"")</f>
        <v/>
      </c>
      <c r="B879" s="554">
        <f>"2025/11"&amp;D879</f>
        <v/>
      </c>
      <c r="C879" s="559" t="n">
        <v>136</v>
      </c>
      <c r="D879" s="484" t="inlineStr">
        <is>
          <t>忠孝7樓</t>
        </is>
      </c>
      <c r="E879" s="484" t="inlineStr">
        <is>
          <t>6170034</t>
        </is>
      </c>
      <c r="F879" s="551" t="n"/>
      <c r="G879" s="484" t="inlineStr">
        <is>
          <t>十蓓電波臉部探頭5cm</t>
        </is>
      </c>
      <c r="H879" s="552" t="n"/>
      <c r="I879" s="552" t="n"/>
      <c r="J879" s="551" t="n"/>
      <c r="K879" s="140" t="inlineStr">
        <is>
          <t>900發/顆</t>
        </is>
      </c>
      <c r="L879" s="560" t="n">
        <v>29900</v>
      </c>
      <c r="M879" s="123" t="n"/>
      <c r="N879" s="117" t="n"/>
    </row>
    <row r="880" ht="17.25" customHeight="1" s="453" thickBot="1">
      <c r="A880" s="553">
        <f>IFERROR(LEFT(B880,7),"")</f>
        <v/>
      </c>
      <c r="B880" s="554">
        <f>"2025/11"&amp;D880</f>
        <v/>
      </c>
      <c r="C880" s="559" t="n">
        <v>137</v>
      </c>
      <c r="D880" s="484" t="inlineStr">
        <is>
          <t>忠孝7樓</t>
        </is>
      </c>
      <c r="E880" s="484" t="inlineStr">
        <is>
          <t>6170035</t>
        </is>
      </c>
      <c r="F880" s="551" t="n"/>
      <c r="G880" s="484" t="inlineStr">
        <is>
          <t>十蓓電波眼部探頭0.25cm</t>
        </is>
      </c>
      <c r="H880" s="552" t="n"/>
      <c r="I880" s="552" t="n"/>
      <c r="J880" s="551" t="n"/>
      <c r="K880" s="140" t="inlineStr">
        <is>
          <t>600發/顆</t>
        </is>
      </c>
      <c r="L880" s="560" t="n">
        <v>7206</v>
      </c>
      <c r="M880" s="123" t="n"/>
      <c r="N880" s="117" t="n"/>
    </row>
    <row r="881" ht="17.25" customHeight="1" s="453" thickBot="1">
      <c r="A881" s="553">
        <f>IFERROR(LEFT(B881,7),"")</f>
        <v/>
      </c>
      <c r="B881" s="554">
        <f>"2025/11"&amp;D881</f>
        <v/>
      </c>
      <c r="C881" s="559" t="n">
        <v>138</v>
      </c>
      <c r="D881" s="484" t="inlineStr">
        <is>
          <t>忠孝7樓</t>
        </is>
      </c>
      <c r="E881" s="484" t="inlineStr">
        <is>
          <t>6180005</t>
        </is>
      </c>
      <c r="F881" s="551" t="n"/>
      <c r="G881" s="484" t="inlineStr">
        <is>
          <t>(V)MINT秘特拉提線FINE 18CM/ 條</t>
        </is>
      </c>
      <c r="H881" s="552" t="n"/>
      <c r="I881" s="552" t="n"/>
      <c r="J881" s="551" t="n"/>
      <c r="K881" s="140" t="inlineStr">
        <is>
          <t>20條/盒</t>
        </is>
      </c>
      <c r="L881" s="560" t="n">
        <v>16</v>
      </c>
      <c r="M881" s="123" t="n"/>
      <c r="N881" s="117" t="n"/>
    </row>
    <row r="882" ht="17.25" customHeight="1" s="453" thickBot="1">
      <c r="A882" s="553">
        <f>IFERROR(LEFT(B882,7),"")</f>
        <v/>
      </c>
      <c r="B882" s="554">
        <f>"2025/11"&amp;D882</f>
        <v/>
      </c>
      <c r="C882" s="559" t="n">
        <v>139</v>
      </c>
      <c r="D882" s="484" t="inlineStr">
        <is>
          <t>忠孝7樓</t>
        </is>
      </c>
      <c r="E882" s="484" t="inlineStr">
        <is>
          <t>6180007</t>
        </is>
      </c>
      <c r="F882" s="551" t="n"/>
      <c r="G882" s="484" t="inlineStr">
        <is>
          <t>(V)MINT秘特拉提線PETIT 15CM/ 條</t>
        </is>
      </c>
      <c r="H882" s="552" t="n"/>
      <c r="I882" s="552" t="n"/>
      <c r="J882" s="551" t="n"/>
      <c r="K882" s="140" t="inlineStr">
        <is>
          <t>20條/盒</t>
        </is>
      </c>
      <c r="L882" s="560" t="n">
        <v>24</v>
      </c>
      <c r="M882" s="123" t="n"/>
      <c r="N882" s="117" t="n"/>
    </row>
    <row r="883" ht="17.25" customHeight="1" s="453" thickBot="1">
      <c r="A883" s="553">
        <f>IFERROR(LEFT(B883,7),"")</f>
        <v/>
      </c>
      <c r="B883" s="554">
        <f>"2025/11"&amp;D883</f>
        <v/>
      </c>
      <c r="C883" s="559" t="n">
        <v>140</v>
      </c>
      <c r="D883" s="484" t="inlineStr">
        <is>
          <t>忠孝7樓</t>
        </is>
      </c>
      <c r="E883" s="484" t="inlineStr">
        <is>
          <t>6180011</t>
        </is>
      </c>
      <c r="F883" s="551" t="n"/>
      <c r="G883" s="484" t="inlineStr">
        <is>
          <t>(V)MINT秘特拉提線UP 9.5CM/ 條</t>
        </is>
      </c>
      <c r="H883" s="552" t="n"/>
      <c r="I883" s="552" t="n"/>
      <c r="J883" s="551" t="n"/>
      <c r="K883" s="140" t="inlineStr">
        <is>
          <t>10條/盒</t>
        </is>
      </c>
      <c r="L883" s="560" t="n">
        <v>8</v>
      </c>
      <c r="M883" s="123" t="n"/>
      <c r="N883" s="117" t="n"/>
    </row>
    <row r="884" ht="17.25" customHeight="1" s="453" thickBot="1">
      <c r="A884" s="553">
        <f>IFERROR(LEFT(B884,7),"")</f>
        <v/>
      </c>
      <c r="B884" s="554">
        <f>"2025/11"&amp;D884</f>
        <v/>
      </c>
      <c r="C884" s="559" t="n">
        <v>141</v>
      </c>
      <c r="D884" s="484" t="inlineStr">
        <is>
          <t>忠孝7樓</t>
        </is>
      </c>
      <c r="E884" s="484" t="inlineStr">
        <is>
          <t>6180013</t>
        </is>
      </c>
      <c r="F884" s="551" t="n"/>
      <c r="G884" s="484" t="inlineStr">
        <is>
          <t>(V)MINT秘特拉提線FIX 18CM/ 條</t>
        </is>
      </c>
      <c r="H884" s="552" t="n"/>
      <c r="I884" s="552" t="n"/>
      <c r="J884" s="551" t="n"/>
      <c r="K884" s="140" t="inlineStr">
        <is>
          <t>20條/盒</t>
        </is>
      </c>
      <c r="L884" s="560" t="n">
        <v>8</v>
      </c>
      <c r="M884" s="123" t="n"/>
      <c r="N884" s="117" t="n"/>
    </row>
    <row r="885" ht="17.25" customHeight="1" s="453" thickBot="1">
      <c r="A885" s="553">
        <f>IFERROR(LEFT(B885,7),"")</f>
        <v/>
      </c>
      <c r="B885" s="554">
        <f>"2025/11"&amp;D885</f>
        <v/>
      </c>
      <c r="C885" s="559" t="n">
        <v>142</v>
      </c>
      <c r="D885" s="484" t="inlineStr">
        <is>
          <t>忠孝7樓</t>
        </is>
      </c>
      <c r="E885" s="484" t="inlineStr">
        <is>
          <t>6190001</t>
        </is>
      </c>
      <c r="F885" s="551" t="n"/>
      <c r="G885" s="484" t="inlineStr">
        <is>
          <t>PLT生長因子凍晶製備/ 瓶</t>
        </is>
      </c>
      <c r="H885" s="552" t="n"/>
      <c r="I885" s="552" t="n"/>
      <c r="J885" s="551" t="n"/>
      <c r="K885" s="140" t="inlineStr">
        <is>
          <t>瓶</t>
        </is>
      </c>
      <c r="L885" s="560" t="n">
        <v>3</v>
      </c>
      <c r="M885" s="123" t="n"/>
      <c r="N885" s="117" t="n"/>
    </row>
    <row r="886" ht="17.25" customHeight="1" s="453" thickBot="1">
      <c r="A886" s="553">
        <f>IFERROR(LEFT(B886,7),"")</f>
        <v/>
      </c>
      <c r="B886" s="554">
        <f>"2025/11"&amp;D886</f>
        <v/>
      </c>
      <c r="C886" s="559" t="n">
        <v>143</v>
      </c>
      <c r="D886" s="484" t="inlineStr">
        <is>
          <t>忠孝7樓</t>
        </is>
      </c>
      <c r="E886" s="484" t="inlineStr">
        <is>
          <t>6190002</t>
        </is>
      </c>
      <c r="F886" s="551" t="n"/>
      <c r="G886" s="484" t="inlineStr">
        <is>
          <t>PLT生長因子凍晶製備6入(單瓶)</t>
        </is>
      </c>
      <c r="H886" s="552" t="n"/>
      <c r="I886" s="552" t="n"/>
      <c r="J886" s="551" t="n"/>
      <c r="K886" s="140" t="inlineStr">
        <is>
          <t>瓶(6入/組)</t>
        </is>
      </c>
      <c r="L886" s="560" t="n">
        <v>7</v>
      </c>
      <c r="M886" s="123" t="n"/>
      <c r="N886" s="117" t="n"/>
    </row>
    <row r="887" ht="17.25" customHeight="1" s="453" thickBot="1">
      <c r="A887" s="553">
        <f>IFERROR(LEFT(B887,7),"")</f>
        <v/>
      </c>
      <c r="B887" s="554">
        <f>"2025/11"&amp;D887</f>
        <v/>
      </c>
      <c r="C887" s="559" t="n">
        <v>144</v>
      </c>
      <c r="D887" s="484" t="inlineStr">
        <is>
          <t>忠孝7樓</t>
        </is>
      </c>
      <c r="E887" s="484" t="inlineStr">
        <is>
          <t>6190003</t>
        </is>
      </c>
      <c r="F887" s="551" t="n"/>
      <c r="G887" s="484" t="inlineStr">
        <is>
          <t>PLT生長因子凍晶製備10入(單瓶)</t>
        </is>
      </c>
      <c r="H887" s="552" t="n"/>
      <c r="I887" s="552" t="n"/>
      <c r="J887" s="551" t="n"/>
      <c r="K887" s="140" t="inlineStr">
        <is>
          <t>瓶(10入/組)</t>
        </is>
      </c>
      <c r="L887" s="560" t="n">
        <v>5</v>
      </c>
      <c r="M887" s="123" t="n"/>
      <c r="N887" s="117" t="n"/>
    </row>
    <row r="888" ht="17.25" customHeight="1" s="453" thickBot="1">
      <c r="A888" s="553">
        <f>IFERROR(LEFT(B888,7),"")</f>
        <v/>
      </c>
      <c r="B888" s="554">
        <f>"2025/11"&amp;D888</f>
        <v/>
      </c>
      <c r="C888" s="559" t="n">
        <v>145</v>
      </c>
      <c r="D888" s="484" t="inlineStr">
        <is>
          <t>忠孝7樓</t>
        </is>
      </c>
      <c r="E888" s="484" t="inlineStr">
        <is>
          <t>6190004</t>
        </is>
      </c>
      <c r="F888" s="551" t="n"/>
      <c r="G888" s="484" t="inlineStr">
        <is>
          <t>PLT生長因子凍晶製備20入(單瓶)</t>
        </is>
      </c>
      <c r="H888" s="552" t="n"/>
      <c r="I888" s="552" t="n"/>
      <c r="J888" s="551" t="n"/>
      <c r="K888" s="140" t="inlineStr">
        <is>
          <t>瓶(20入/組)</t>
        </is>
      </c>
      <c r="L888" s="560" t="n">
        <v>30</v>
      </c>
      <c r="M888" s="123" t="n"/>
      <c r="N888" s="117" t="n"/>
    </row>
    <row r="889" ht="17.25" customHeight="1" s="453" thickBot="1">
      <c r="A889" s="553">
        <f>IFERROR(LEFT(B889,7),"")</f>
        <v/>
      </c>
      <c r="B889" s="554">
        <f>"2025/11"&amp;D889</f>
        <v/>
      </c>
      <c r="C889" s="559" t="n">
        <v>146</v>
      </c>
      <c r="D889" s="484" t="inlineStr">
        <is>
          <t>忠孝7樓</t>
        </is>
      </c>
      <c r="E889" s="484" t="inlineStr">
        <is>
          <t>6200003</t>
        </is>
      </c>
      <c r="F889" s="551" t="n"/>
      <c r="G889" s="484" t="inlineStr">
        <is>
          <t>(V)倍克脂Belkyra/ 瓶</t>
        </is>
      </c>
      <c r="H889" s="552" t="n"/>
      <c r="I889" s="552" t="n"/>
      <c r="J889" s="551" t="n"/>
      <c r="K889" s="140" t="inlineStr">
        <is>
          <t>5瓶/盒</t>
        </is>
      </c>
      <c r="L889" s="560" t="n">
        <v>7</v>
      </c>
      <c r="M889" s="123" t="n"/>
      <c r="N889" s="117" t="n"/>
    </row>
    <row r="890" ht="17.25" customHeight="1" s="453" thickBot="1">
      <c r="A890" s="553">
        <f>IFERROR(LEFT(B890,7),"")</f>
        <v/>
      </c>
      <c r="B890" s="554">
        <f>"2025/11"&amp;D890</f>
        <v/>
      </c>
      <c r="C890" s="559" t="n">
        <v>147</v>
      </c>
      <c r="D890" s="484" t="inlineStr">
        <is>
          <t>忠孝7樓</t>
        </is>
      </c>
      <c r="E890" s="484" t="inlineStr">
        <is>
          <t>6210001</t>
        </is>
      </c>
      <c r="F890" s="551" t="n"/>
      <c r="G890" s="484" t="inlineStr">
        <is>
          <t>(V)水光針針頭/31G9針/1.0mm/ PCS</t>
        </is>
      </c>
      <c r="H890" s="552" t="n"/>
      <c r="I890" s="552" t="n"/>
      <c r="J890" s="551" t="n"/>
      <c r="K890" s="140" t="inlineStr">
        <is>
          <t>PCS(20入/盒)</t>
        </is>
      </c>
      <c r="L890" s="560" t="n">
        <v>7</v>
      </c>
      <c r="M890" s="123" t="n"/>
      <c r="N890" s="117" t="n"/>
    </row>
    <row r="891" ht="17.25" customHeight="1" s="453" thickBot="1">
      <c r="A891" s="553">
        <f>IFERROR(LEFT(B891,7),"")</f>
        <v/>
      </c>
      <c r="B891" s="554">
        <f>"2025/11"&amp;D891</f>
        <v/>
      </c>
      <c r="C891" s="559" t="n">
        <v>148</v>
      </c>
      <c r="D891" s="484" t="inlineStr">
        <is>
          <t>忠孝7樓</t>
        </is>
      </c>
      <c r="E891" s="484" t="inlineStr">
        <is>
          <t>6210002</t>
        </is>
      </c>
      <c r="F891" s="551" t="n"/>
      <c r="G891" s="484" t="inlineStr">
        <is>
          <t>(V)水光針針頭/31G9針/1.2mm/ PCS</t>
        </is>
      </c>
      <c r="H891" s="552" t="n"/>
      <c r="I891" s="552" t="n"/>
      <c r="J891" s="551" t="n"/>
      <c r="K891" s="140" t="inlineStr">
        <is>
          <t>PCS(20入/盒)</t>
        </is>
      </c>
      <c r="L891" s="560" t="n">
        <v>124</v>
      </c>
      <c r="M891" s="123" t="n"/>
      <c r="N891" s="117" t="n"/>
    </row>
    <row r="892" ht="17.25" customHeight="1" s="453" thickBot="1">
      <c r="A892" s="553">
        <f>IFERROR(LEFT(B892,7),"")</f>
        <v/>
      </c>
      <c r="B892" s="554">
        <f>"2025/11"&amp;D892</f>
        <v/>
      </c>
      <c r="C892" s="559" t="n">
        <v>149</v>
      </c>
      <c r="D892" s="484" t="inlineStr">
        <is>
          <t>忠孝7樓</t>
        </is>
      </c>
      <c r="E892" s="484" t="inlineStr">
        <is>
          <t>6210003</t>
        </is>
      </c>
      <c r="F892" s="551" t="n"/>
      <c r="G892" s="484" t="inlineStr">
        <is>
          <t>(V)水光針針頭/31G9針/1.5mm/ PCS</t>
        </is>
      </c>
      <c r="H892" s="552" t="n"/>
      <c r="I892" s="552" t="n"/>
      <c r="J892" s="551" t="n"/>
      <c r="K892" s="140" t="inlineStr">
        <is>
          <t>PCS(20入/盒)</t>
        </is>
      </c>
      <c r="L892" s="560" t="n">
        <v>29</v>
      </c>
      <c r="M892" s="123" t="n"/>
      <c r="N892" s="117" t="n"/>
    </row>
    <row r="893" ht="17.25" customHeight="1" s="453" thickBot="1">
      <c r="A893" s="553">
        <f>IFERROR(LEFT(B893,7),"")</f>
        <v/>
      </c>
      <c r="B893" s="554">
        <f>"2025/11"&amp;D893</f>
        <v/>
      </c>
      <c r="C893" s="559" t="n">
        <v>150</v>
      </c>
      <c r="D893" s="484" t="inlineStr">
        <is>
          <t>忠孝7樓</t>
        </is>
      </c>
      <c r="E893" s="484" t="inlineStr">
        <is>
          <t>6210006</t>
        </is>
      </c>
      <c r="F893" s="551" t="n"/>
      <c r="G893" s="484" t="inlineStr">
        <is>
          <t>(V)麗珠蘭修復水光(A劑2ml+B劑2ml)</t>
        </is>
      </c>
      <c r="H893" s="552" t="n"/>
      <c r="I893" s="552" t="n"/>
      <c r="J893" s="551" t="n"/>
      <c r="K893" s="140" t="inlineStr">
        <is>
          <t>2ml*2</t>
        </is>
      </c>
      <c r="L893" s="560" t="n">
        <v>7</v>
      </c>
      <c r="M893" s="123" t="n"/>
      <c r="N893" s="117" t="n"/>
    </row>
    <row r="894" ht="17.25" customHeight="1" s="453" thickBot="1">
      <c r="A894" s="553">
        <f>IFERROR(LEFT(B894,7),"")</f>
        <v/>
      </c>
      <c r="B894" s="554">
        <f>"2025/11"&amp;D894</f>
        <v/>
      </c>
      <c r="C894" s="559" t="n">
        <v>151</v>
      </c>
      <c r="D894" s="484" t="inlineStr">
        <is>
          <t>忠孝7樓</t>
        </is>
      </c>
      <c r="E894" s="484" t="inlineStr">
        <is>
          <t>6210007</t>
        </is>
      </c>
      <c r="F894" s="551" t="n"/>
      <c r="G894" s="484" t="inlineStr">
        <is>
          <t>(V)麗珠蘭白瓷水光(A劑2ml+B劑2ml)</t>
        </is>
      </c>
      <c r="H894" s="552" t="n"/>
      <c r="I894" s="552" t="n"/>
      <c r="J894" s="551" t="n"/>
      <c r="K894" s="140" t="inlineStr">
        <is>
          <t>2ml*2</t>
        </is>
      </c>
      <c r="L894" s="560" t="n">
        <v>2</v>
      </c>
      <c r="M894" s="123" t="n"/>
      <c r="N894" s="117" t="n"/>
    </row>
    <row r="895" ht="17.25" customHeight="1" s="453" thickBot="1">
      <c r="A895" s="553">
        <f>IFERROR(LEFT(B895,7),"")</f>
        <v/>
      </c>
      <c r="B895" s="554">
        <f>"2025/11"&amp;D895</f>
        <v/>
      </c>
      <c r="C895" s="559" t="n">
        <v>152</v>
      </c>
      <c r="D895" s="484" t="inlineStr">
        <is>
          <t>忠孝7樓</t>
        </is>
      </c>
      <c r="E895" s="484" t="inlineStr">
        <is>
          <t>6220005</t>
        </is>
      </c>
      <c r="F895" s="551" t="n"/>
      <c r="G895" s="484" t="inlineStr">
        <is>
          <t>海菲秀深藍端頭/ 顆</t>
        </is>
      </c>
      <c r="H895" s="552" t="n"/>
      <c r="I895" s="552" t="n"/>
      <c r="J895" s="551" t="n"/>
      <c r="K895" s="140" t="inlineStr">
        <is>
          <t>15顆/串</t>
        </is>
      </c>
      <c r="L895" s="560" t="n">
        <v>996</v>
      </c>
      <c r="M895" s="123" t="n"/>
      <c r="N895" s="117" t="n"/>
    </row>
    <row r="896" ht="17.25" customHeight="1" s="453" thickBot="1">
      <c r="A896" s="553">
        <f>IFERROR(LEFT(B896,7),"")</f>
        <v/>
      </c>
      <c r="B896" s="554">
        <f>"2025/11"&amp;D896</f>
        <v/>
      </c>
      <c r="C896" s="559" t="n">
        <v>153</v>
      </c>
      <c r="D896" s="484" t="inlineStr">
        <is>
          <t>忠孝7樓</t>
        </is>
      </c>
      <c r="E896" s="484" t="inlineStr">
        <is>
          <t>6220006</t>
        </is>
      </c>
      <c r="F896" s="551" t="n"/>
      <c r="G896" s="484" t="inlineStr">
        <is>
          <t>海菲秀淺藍端頭/ 顆</t>
        </is>
      </c>
      <c r="H896" s="552" t="n"/>
      <c r="I896" s="552" t="n"/>
      <c r="J896" s="551" t="n"/>
      <c r="K896" s="140" t="inlineStr">
        <is>
          <t>15顆/串</t>
        </is>
      </c>
      <c r="L896" s="560" t="n">
        <v>996</v>
      </c>
      <c r="M896" s="123" t="n"/>
      <c r="N896" s="117" t="n"/>
    </row>
    <row r="897" ht="17.25" customHeight="1" s="453" thickBot="1">
      <c r="A897" s="553">
        <f>IFERROR(LEFT(B897,7),"")</f>
        <v/>
      </c>
      <c r="B897" s="554">
        <f>"2025/11"&amp;D897</f>
        <v/>
      </c>
      <c r="C897" s="559" t="n">
        <v>154</v>
      </c>
      <c r="D897" s="484" t="inlineStr">
        <is>
          <t>忠孝7樓</t>
        </is>
      </c>
      <c r="E897" s="484" t="inlineStr">
        <is>
          <t>6220007</t>
        </is>
      </c>
      <c r="F897" s="551" t="n"/>
      <c r="G897" s="484" t="inlineStr">
        <is>
          <t>海菲秀透明端頭/ 顆</t>
        </is>
      </c>
      <c r="H897" s="552" t="n"/>
      <c r="I897" s="552" t="n"/>
      <c r="J897" s="551" t="n"/>
      <c r="K897" s="140" t="inlineStr">
        <is>
          <t>15顆/串</t>
        </is>
      </c>
      <c r="L897" s="560" t="n">
        <v>996</v>
      </c>
      <c r="M897" s="123" t="n"/>
      <c r="N897" s="117" t="n"/>
    </row>
    <row r="898" ht="17.25" customHeight="1" s="453" thickBot="1">
      <c r="A898" s="553">
        <f>IFERROR(LEFT(B898,7),"")</f>
        <v/>
      </c>
      <c r="B898" s="554">
        <f>"2025/11"&amp;D898</f>
        <v/>
      </c>
      <c r="C898" s="559" t="n">
        <v>155</v>
      </c>
      <c r="D898" s="484" t="inlineStr">
        <is>
          <t>忠孝7樓</t>
        </is>
      </c>
      <c r="E898" s="484" t="inlineStr">
        <is>
          <t>6220012</t>
        </is>
      </c>
      <c r="F898" s="551" t="n"/>
      <c r="G898" s="484" t="inlineStr">
        <is>
          <t>(V)(第一劑)海菲秀 Activ-4 Skin Solution/mL</t>
        </is>
      </c>
      <c r="H898" s="552" t="n"/>
      <c r="I898" s="552" t="n"/>
      <c r="J898" s="551" t="n"/>
      <c r="K898" s="140" t="inlineStr">
        <is>
          <t>236ml/瓶</t>
        </is>
      </c>
      <c r="L898" s="560" t="n">
        <v>14884</v>
      </c>
      <c r="M898" s="123" t="n"/>
      <c r="N898" s="117" t="n"/>
    </row>
    <row r="899" ht="17.25" customHeight="1" s="453" thickBot="1">
      <c r="A899" s="553">
        <f>IFERROR(LEFT(B899,7),"")</f>
        <v/>
      </c>
      <c r="B899" s="554">
        <f>"2025/11"&amp;D899</f>
        <v/>
      </c>
      <c r="C899" s="559" t="n">
        <v>156</v>
      </c>
      <c r="D899" s="484" t="inlineStr">
        <is>
          <t>忠孝7樓</t>
        </is>
      </c>
      <c r="E899" s="484" t="inlineStr">
        <is>
          <t>6220013</t>
        </is>
      </c>
      <c r="F899" s="551" t="n"/>
      <c r="G899" s="484" t="inlineStr">
        <is>
          <t>(V)(第二劑)海菲秀 Beta-HD Skin Solution /mL</t>
        </is>
      </c>
      <c r="H899" s="552" t="n"/>
      <c r="I899" s="552" t="n"/>
      <c r="J899" s="551" t="n"/>
      <c r="K899" s="140" t="inlineStr">
        <is>
          <t>236ml/瓶</t>
        </is>
      </c>
      <c r="L899" s="560" t="n">
        <v>14884</v>
      </c>
      <c r="M899" s="123" t="n"/>
      <c r="N899" s="117" t="n"/>
    </row>
    <row r="900" ht="17.25" customHeight="1" s="453" thickBot="1">
      <c r="A900" s="553">
        <f>IFERROR(LEFT(B900,7),"")</f>
        <v/>
      </c>
      <c r="B900" s="554">
        <f>"2025/11"&amp;D900</f>
        <v/>
      </c>
      <c r="C900" s="559" t="n">
        <v>157</v>
      </c>
      <c r="D900" s="484" t="inlineStr">
        <is>
          <t>忠孝7樓</t>
        </is>
      </c>
      <c r="E900" s="484" t="inlineStr">
        <is>
          <t>6220014</t>
        </is>
      </c>
      <c r="F900" s="551" t="n"/>
      <c r="G900" s="484" t="inlineStr">
        <is>
          <t>(V)(第三劑)海菲秀 Antiox-6 Skin Solution /mL</t>
        </is>
      </c>
      <c r="H900" s="552" t="n"/>
      <c r="I900" s="552" t="n"/>
      <c r="J900" s="551" t="n"/>
      <c r="K900" s="140" t="inlineStr">
        <is>
          <t>236ml/瓶</t>
        </is>
      </c>
      <c r="L900" s="560" t="n">
        <v>14884</v>
      </c>
      <c r="M900" s="123" t="n"/>
      <c r="N900" s="117" t="n"/>
    </row>
    <row r="901" ht="17.25" customHeight="1" s="453" thickBot="1">
      <c r="A901" s="553">
        <f>IFERROR(LEFT(B901,7),"")</f>
        <v/>
      </c>
      <c r="B901" s="554">
        <f>"2025/11"&amp;D901</f>
        <v/>
      </c>
      <c r="C901" s="559" t="n">
        <v>158</v>
      </c>
      <c r="D901" s="484" t="inlineStr">
        <is>
          <t>忠孝7樓</t>
        </is>
      </c>
      <c r="E901" s="484" t="inlineStr">
        <is>
          <t>6220015</t>
        </is>
      </c>
      <c r="F901" s="551" t="n"/>
      <c r="G901" s="484" t="inlineStr">
        <is>
          <t>(V)(第四劑)海菲秀 Rinseaway System Cleaning Solution /mL</t>
        </is>
      </c>
      <c r="H901" s="552" t="n"/>
      <c r="I901" s="552" t="n"/>
      <c r="J901" s="551" t="n"/>
      <c r="K901" s="140" t="inlineStr">
        <is>
          <t>236ml/瓶</t>
        </is>
      </c>
      <c r="L901" s="560" t="n">
        <v>14884</v>
      </c>
      <c r="M901" s="123" t="n"/>
      <c r="N901" s="117" t="n"/>
    </row>
    <row r="902" ht="17.25" customHeight="1" s="453" thickBot="1">
      <c r="A902" s="553">
        <f>IFERROR(LEFT(B902,7),"")</f>
        <v/>
      </c>
      <c r="B902" s="554">
        <f>"2025/11"&amp;D902</f>
        <v/>
      </c>
      <c r="C902" s="559" t="n">
        <v>159</v>
      </c>
      <c r="D902" s="484" t="inlineStr">
        <is>
          <t>忠孝國際醫學3樓</t>
        </is>
      </c>
      <c r="E902" s="484" t="inlineStr">
        <is>
          <t>6120001</t>
        </is>
      </c>
      <c r="F902" s="551" t="n"/>
      <c r="G902" s="484" t="inlineStr">
        <is>
          <t>(V)肝得健注射劑/ 瓶，220倍數叫貨</t>
        </is>
      </c>
      <c r="H902" s="552" t="n"/>
      <c r="I902" s="552" t="n"/>
      <c r="J902" s="551" t="n"/>
      <c r="K902" s="140" t="inlineStr">
        <is>
          <t>20支/盒</t>
        </is>
      </c>
      <c r="L902" s="560" t="n">
        <v>1000</v>
      </c>
      <c r="M902" s="123" t="n"/>
      <c r="N902" s="117" t="n"/>
    </row>
    <row r="903" ht="17.25" customHeight="1" s="453" thickBot="1">
      <c r="A903" s="553">
        <f>IFERROR(LEFT(B903,7),"")</f>
        <v/>
      </c>
      <c r="B903" s="554">
        <f>"2025/11"&amp;D903</f>
        <v/>
      </c>
      <c r="C903" s="559" t="n">
        <v>160</v>
      </c>
      <c r="D903" s="484" t="inlineStr">
        <is>
          <t>忠孝國際醫學3樓</t>
        </is>
      </c>
      <c r="E903" s="484" t="inlineStr">
        <is>
          <t>6120002</t>
        </is>
      </c>
      <c r="F903" s="551" t="n"/>
      <c r="G903" s="484" t="inlineStr">
        <is>
          <t>(V)卡妮丁注射劑/ 瓶，220倍數叫貨</t>
        </is>
      </c>
      <c r="H903" s="552" t="n"/>
      <c r="I903" s="552" t="n"/>
      <c r="J903" s="551" t="n"/>
      <c r="K903" s="140" t="inlineStr">
        <is>
          <t>20支/盒</t>
        </is>
      </c>
      <c r="L903" s="560" t="n">
        <v>1222</v>
      </c>
      <c r="M903" s="123" t="n"/>
      <c r="N903" s="117" t="n"/>
    </row>
    <row r="904" ht="17.25" customHeight="1" s="453" thickBot="1">
      <c r="A904" s="553">
        <f>IFERROR(LEFT(B904,7),"")</f>
        <v/>
      </c>
      <c r="B904" s="554">
        <f>"2025/11"&amp;D904</f>
        <v/>
      </c>
      <c r="C904" s="559" t="n">
        <v>161</v>
      </c>
      <c r="D904" s="484" t="inlineStr">
        <is>
          <t>忠孝國際醫學3樓</t>
        </is>
      </c>
      <c r="E904" s="484" t="inlineStr">
        <is>
          <t>6120003</t>
        </is>
      </c>
      <c r="F904" s="551" t="n"/>
      <c r="G904" s="484" t="inlineStr">
        <is>
          <t>(V)貝力多(雙胜胺) 20% 30mL/ 瓶，50倍數叫貨</t>
        </is>
      </c>
      <c r="H904" s="552" t="n"/>
      <c r="I904" s="552" t="n"/>
      <c r="J904" s="551" t="n"/>
      <c r="K904" s="140" t="inlineStr">
        <is>
          <t>10支/盒</t>
        </is>
      </c>
      <c r="L904" s="560" t="n">
        <v>11</v>
      </c>
      <c r="M904" s="123" t="n"/>
      <c r="N904" s="117" t="n"/>
    </row>
    <row r="905" ht="17.25" customHeight="1" s="453" thickBot="1">
      <c r="A905" s="553">
        <f>IFERROR(LEFT(B905,7),"")</f>
        <v/>
      </c>
      <c r="B905" s="554">
        <f>"2025/11"&amp;D905</f>
        <v/>
      </c>
      <c r="C905" s="559" t="n">
        <v>162</v>
      </c>
      <c r="D905" s="484" t="inlineStr">
        <is>
          <t>忠孝國際醫學3樓</t>
        </is>
      </c>
      <c r="E905" s="484" t="inlineStr">
        <is>
          <t>6120004</t>
        </is>
      </c>
      <c r="F905" s="551" t="n"/>
      <c r="G905" s="484" t="inlineStr">
        <is>
          <t>(V)胺基酸點滴250ml/ 袋(安命活源/嘉安命)，20倍數叫貨</t>
        </is>
      </c>
      <c r="H905" s="552" t="n"/>
      <c r="I905" s="552" t="n"/>
      <c r="J905" s="551" t="n"/>
      <c r="K905" s="140" t="inlineStr">
        <is>
          <t>(20瓶/箱)</t>
        </is>
      </c>
      <c r="L905" s="560" t="n">
        <v>22</v>
      </c>
      <c r="M905" s="123" t="n"/>
      <c r="N905" s="117" t="n"/>
    </row>
    <row r="906" ht="17.25" customHeight="1" s="453" thickBot="1">
      <c r="A906" s="553">
        <f>IFERROR(LEFT(B906,7),"")</f>
        <v/>
      </c>
      <c r="B906" s="554">
        <f>"2025/11"&amp;D906</f>
        <v/>
      </c>
      <c r="C906" s="559" t="n">
        <v>163</v>
      </c>
      <c r="D906" s="484" t="inlineStr">
        <is>
          <t>忠孝國際醫學3樓</t>
        </is>
      </c>
      <c r="E906" s="484" t="inlineStr">
        <is>
          <t>6120006</t>
        </is>
      </c>
      <c r="F906" s="551" t="n"/>
      <c r="G906" s="484" t="inlineStr">
        <is>
          <t>(V)(B12) 愛壽命 2mL，100倍數叫貨</t>
        </is>
      </c>
      <c r="H906" s="552" t="n"/>
      <c r="I906" s="552" t="n"/>
      <c r="J906" s="551" t="n"/>
      <c r="K906" s="140" t="inlineStr">
        <is>
          <t>(100支/盒)</t>
        </is>
      </c>
      <c r="L906" s="560" t="n">
        <v>460</v>
      </c>
      <c r="M906" s="123" t="n"/>
      <c r="N906" s="117" t="n"/>
    </row>
    <row r="907" ht="17.25" customHeight="1" s="453" thickBot="1">
      <c r="A907" s="553">
        <f>IFERROR(LEFT(B907,7),"")</f>
        <v/>
      </c>
      <c r="B907" s="554">
        <f>"2025/11"&amp;D907</f>
        <v/>
      </c>
      <c r="C907" s="559" t="n">
        <v>164</v>
      </c>
      <c r="D907" s="484" t="inlineStr">
        <is>
          <t>忠孝國際醫學3樓</t>
        </is>
      </c>
      <c r="E907" s="484" t="inlineStr">
        <is>
          <t>6120007</t>
        </is>
      </c>
      <c r="F907" s="551" t="n"/>
      <c r="G907" s="484" t="inlineStr">
        <is>
          <t>(V)(硫酸鋅) 1ml/支，100倍數叫貨</t>
        </is>
      </c>
      <c r="H907" s="552" t="n"/>
      <c r="I907" s="552" t="n"/>
      <c r="J907" s="551" t="n"/>
      <c r="K907" s="140" t="inlineStr">
        <is>
          <t>100支/盒</t>
        </is>
      </c>
      <c r="L907" s="560" t="n">
        <v>9</v>
      </c>
      <c r="M907" s="123" t="n"/>
      <c r="N907" s="117" t="n"/>
    </row>
    <row r="908" ht="17.25" customHeight="1" s="453" thickBot="1">
      <c r="A908" s="553">
        <f>IFERROR(LEFT(B908,7),"")</f>
        <v/>
      </c>
      <c r="B908" s="554">
        <f>"2025/11"&amp;D908</f>
        <v/>
      </c>
      <c r="C908" s="559" t="n">
        <v>165</v>
      </c>
      <c r="D908" s="484" t="inlineStr">
        <is>
          <t>忠孝國際醫學3樓</t>
        </is>
      </c>
      <c r="E908" s="484" t="inlineStr">
        <is>
          <t>6120008</t>
        </is>
      </c>
      <c r="F908" s="551" t="n"/>
      <c r="G908" s="484" t="inlineStr">
        <is>
          <t>(V)(硫酸鎂) 注射液 20ml/支</t>
        </is>
      </c>
      <c r="H908" s="552" t="n"/>
      <c r="I908" s="552" t="n"/>
      <c r="J908" s="551" t="n"/>
      <c r="K908" s="140" t="inlineStr">
        <is>
          <t>60支/盒</t>
        </is>
      </c>
      <c r="L908" s="560" t="n">
        <v>2</v>
      </c>
      <c r="M908" s="123" t="n"/>
      <c r="N908" s="117" t="n"/>
    </row>
    <row r="909" ht="17.25" customHeight="1" s="453" thickBot="1">
      <c r="A909" s="553">
        <f>IFERROR(LEFT(B909,7),"")</f>
        <v/>
      </c>
      <c r="B909" s="554">
        <f>"2025/11"&amp;D909</f>
        <v/>
      </c>
      <c r="C909" s="559" t="n">
        <v>166</v>
      </c>
      <c r="D909" s="484" t="inlineStr">
        <is>
          <t>忠孝國際醫學3樓</t>
        </is>
      </c>
      <c r="E909" s="484" t="inlineStr">
        <is>
          <t>6120009</t>
        </is>
      </c>
      <c r="F909" s="551" t="n"/>
      <c r="G909" s="484" t="inlineStr">
        <is>
          <t>(V)(B1) 硫胺明 2ml</t>
        </is>
      </c>
      <c r="H909" s="552" t="n"/>
      <c r="I909" s="552" t="n"/>
      <c r="J909" s="551" t="n"/>
      <c r="K909" s="140" t="inlineStr">
        <is>
          <t>支(100支/盒)</t>
        </is>
      </c>
      <c r="L909" s="560" t="n">
        <v>9</v>
      </c>
      <c r="M909" s="123" t="n"/>
      <c r="N909" s="117" t="n"/>
    </row>
    <row r="910" ht="17.25" customHeight="1" s="453" thickBot="1">
      <c r="A910" s="553">
        <f>IFERROR(LEFT(B910,7),"")</f>
        <v/>
      </c>
      <c r="B910" s="554">
        <f>"2025/11"&amp;D910</f>
        <v/>
      </c>
      <c r="C910" s="559" t="n">
        <v>167</v>
      </c>
      <c r="D910" s="484" t="inlineStr">
        <is>
          <t>忠孝國際醫學3樓</t>
        </is>
      </c>
      <c r="E910" s="484" t="inlineStr">
        <is>
          <t>6120010</t>
        </is>
      </c>
      <c r="F910" s="551" t="n"/>
      <c r="G910" s="484" t="inlineStr">
        <is>
          <t>(V)(B6) 活性維生素 2ml，100倍數叫貨</t>
        </is>
      </c>
      <c r="H910" s="552" t="n"/>
      <c r="I910" s="552" t="n"/>
      <c r="J910" s="551" t="n"/>
      <c r="K910" s="140" t="inlineStr">
        <is>
          <t>(100支/盒)</t>
        </is>
      </c>
      <c r="L910" s="560" t="n">
        <v>9</v>
      </c>
      <c r="M910" s="123" t="n"/>
      <c r="N910" s="117" t="n"/>
    </row>
    <row r="911" ht="17.25" customHeight="1" s="453" thickBot="1">
      <c r="A911" s="553">
        <f>IFERROR(LEFT(B911,7),"")</f>
        <v/>
      </c>
      <c r="B911" s="554">
        <f>"2025/11"&amp;D911</f>
        <v/>
      </c>
      <c r="C911" s="559" t="n">
        <v>168</v>
      </c>
      <c r="D911" s="484" t="inlineStr">
        <is>
          <t>忠孝國際醫學3樓</t>
        </is>
      </c>
      <c r="E911" s="484" t="inlineStr">
        <is>
          <t>6120011</t>
        </is>
      </c>
      <c r="F911" s="551" t="n"/>
      <c r="G911" s="484" t="inlineStr">
        <is>
          <t>(V)(硒) 西寧特 2ml/支</t>
        </is>
      </c>
      <c r="H911" s="552" t="n"/>
      <c r="I911" s="552" t="n"/>
      <c r="J911" s="551" t="n"/>
      <c r="K911" s="140" t="inlineStr">
        <is>
          <t>10支/盒</t>
        </is>
      </c>
      <c r="L911" s="560" t="n">
        <v>12</v>
      </c>
      <c r="M911" s="123" t="n"/>
      <c r="N911" s="117" t="n"/>
    </row>
    <row r="912" ht="17.25" customHeight="1" s="453" thickBot="1">
      <c r="A912" s="553">
        <f>IFERROR(LEFT(B912,7),"")</f>
        <v/>
      </c>
      <c r="B912" s="554">
        <f>"2025/11"&amp;D912</f>
        <v/>
      </c>
      <c r="C912" s="559" t="n">
        <v>169</v>
      </c>
      <c r="D912" s="484" t="inlineStr">
        <is>
          <t>忠孝國際醫學3樓</t>
        </is>
      </c>
      <c r="E912" s="484" t="inlineStr">
        <is>
          <t>6120013</t>
        </is>
      </c>
      <c r="F912" s="551" t="n"/>
      <c r="G912" s="484" t="inlineStr">
        <is>
          <t>(V)生理食鹽水(NS) 250ml/ 袋</t>
        </is>
      </c>
      <c r="H912" s="552" t="n"/>
      <c r="I912" s="552" t="n"/>
      <c r="J912" s="551" t="n"/>
      <c r="K912" s="140" t="inlineStr">
        <is>
          <t>40瓶/箱</t>
        </is>
      </c>
      <c r="L912" s="560" t="n">
        <v>442</v>
      </c>
      <c r="M912" s="123" t="n"/>
      <c r="N912" s="117" t="n"/>
    </row>
    <row r="913" ht="17.25" customHeight="1" s="453" thickBot="1">
      <c r="A913" s="553">
        <f>IFERROR(LEFT(B913,7),"")</f>
        <v/>
      </c>
      <c r="B913" s="554">
        <f>"2025/11"&amp;D913</f>
        <v/>
      </c>
      <c r="C913" s="559" t="n">
        <v>170</v>
      </c>
      <c r="D913" s="484" t="inlineStr">
        <is>
          <t>忠孝國際醫學3樓</t>
        </is>
      </c>
      <c r="E913" s="484" t="inlineStr">
        <is>
          <t>6120014</t>
        </is>
      </c>
      <c r="F913" s="551" t="n"/>
      <c r="G913" s="484" t="inlineStr">
        <is>
          <t>(V)葡萄糖水(D5W) 250ml/袋</t>
        </is>
      </c>
      <c r="H913" s="552" t="n"/>
      <c r="I913" s="552" t="n"/>
      <c r="J913" s="551" t="n"/>
      <c r="K913" s="140" t="inlineStr">
        <is>
          <t>60袋/箱</t>
        </is>
      </c>
      <c r="L913" s="560" t="n">
        <v>796</v>
      </c>
      <c r="M913" s="123" t="n"/>
      <c r="N913" s="117" t="n"/>
    </row>
    <row r="914" ht="17.25" customHeight="1" s="453" thickBot="1">
      <c r="A914" s="553">
        <f>IFERROR(LEFT(B914,7),"")</f>
        <v/>
      </c>
      <c r="B914" s="554">
        <f>"2025/11"&amp;D914</f>
        <v/>
      </c>
      <c r="C914" s="559" t="n">
        <v>171</v>
      </c>
      <c r="D914" s="484" t="inlineStr">
        <is>
          <t>忠孝國際醫學3樓</t>
        </is>
      </c>
      <c r="E914" s="484" t="inlineStr">
        <is>
          <t>6120015</t>
        </is>
      </c>
      <c r="F914" s="551" t="n"/>
      <c r="G914" s="484" t="inlineStr">
        <is>
          <t>(V)(B群)淘能美複合維他命B 2ml，100倍數叫貨</t>
        </is>
      </c>
      <c r="H914" s="552" t="n"/>
      <c r="I914" s="552" t="n"/>
      <c r="J914" s="551" t="n"/>
      <c r="K914" s="140" t="n"/>
      <c r="L914" s="560" t="n">
        <v>13</v>
      </c>
      <c r="M914" s="123" t="n"/>
      <c r="N914" s="117" t="n"/>
    </row>
    <row r="915" ht="17.25" customHeight="1" s="453" thickBot="1">
      <c r="A915" s="553">
        <f>IFERROR(LEFT(B915,7),"")</f>
        <v/>
      </c>
      <c r="B915" s="554">
        <f>"2025/11"&amp;D915</f>
        <v/>
      </c>
      <c r="C915" s="559" t="n">
        <v>172</v>
      </c>
      <c r="D915" s="484" t="inlineStr">
        <is>
          <t>忠孝國際醫學3樓</t>
        </is>
      </c>
      <c r="E915" s="484" t="inlineStr">
        <is>
          <t>6120016</t>
        </is>
      </c>
      <c r="F915" s="551" t="n"/>
      <c r="G915" s="484" t="inlineStr">
        <is>
          <t>(V)(榖胱肝肽) 克樂達養200mg (20ml/瓶)</t>
        </is>
      </c>
      <c r="H915" s="552" t="n"/>
      <c r="I915" s="552" t="n"/>
      <c r="J915" s="551" t="n"/>
      <c r="K915" s="140" t="inlineStr">
        <is>
          <t>50支/盒</t>
        </is>
      </c>
      <c r="L915" s="560" t="n">
        <v>13</v>
      </c>
      <c r="M915" s="123" t="n"/>
      <c r="N915" s="117" t="n"/>
    </row>
    <row r="916" ht="17.25" customHeight="1" s="453" thickBot="1">
      <c r="A916" s="553">
        <f>IFERROR(LEFT(B916,7),"")</f>
        <v/>
      </c>
      <c r="B916" s="554">
        <f>"2025/11"&amp;D916</f>
        <v/>
      </c>
      <c r="C916" s="559" t="n">
        <v>173</v>
      </c>
      <c r="D916" s="484" t="inlineStr">
        <is>
          <t>忠孝國際醫學3樓</t>
        </is>
      </c>
      <c r="E916" s="484" t="inlineStr">
        <is>
          <t>6120017</t>
        </is>
      </c>
      <c r="F916" s="551" t="n"/>
      <c r="G916" s="484" t="inlineStr">
        <is>
          <t>(V)保肝 5ml/支</t>
        </is>
      </c>
      <c r="H916" s="552" t="n"/>
      <c r="I916" s="552" t="n"/>
      <c r="J916" s="551" t="n"/>
      <c r="K916" s="140" t="inlineStr">
        <is>
          <t>50支/盒</t>
        </is>
      </c>
      <c r="L916" s="560" t="n">
        <v>2</v>
      </c>
      <c r="M916" s="123" t="n"/>
      <c r="N916" s="117" t="n"/>
    </row>
    <row r="917" ht="17.25" customHeight="1" s="453" thickBot="1">
      <c r="A917" s="553">
        <f>IFERROR(LEFT(B917,7),"")</f>
        <v/>
      </c>
      <c r="B917" s="554">
        <f>"2025/11"&amp;D917</f>
        <v/>
      </c>
      <c r="C917" s="559" t="n">
        <v>174</v>
      </c>
      <c r="D917" s="484" t="inlineStr">
        <is>
          <t>忠孝國際醫學3樓</t>
        </is>
      </c>
      <c r="E917" s="484" t="inlineStr">
        <is>
          <t>6120021</t>
        </is>
      </c>
      <c r="F917" s="551" t="n"/>
      <c r="G917" s="484" t="inlineStr">
        <is>
          <t>(V)(Vit C)(抗壞血酸/諾貝爾)20ml，50倍數下單</t>
        </is>
      </c>
      <c r="H917" s="552" t="n"/>
      <c r="I917" s="552" t="n"/>
      <c r="J917" s="551" t="n"/>
      <c r="K917" s="140" t="inlineStr">
        <is>
          <t>50支/盒</t>
        </is>
      </c>
      <c r="L917" s="560" t="n">
        <v>13</v>
      </c>
      <c r="M917" s="123" t="n"/>
      <c r="N917" s="117" t="n"/>
    </row>
    <row r="918" ht="17.25" customHeight="1" s="453" thickBot="1">
      <c r="A918" s="553">
        <f>IFERROR(LEFT(B918,7),"")</f>
        <v/>
      </c>
      <c r="B918" s="554">
        <f>"2025/11"&amp;D918</f>
        <v/>
      </c>
      <c r="C918" s="559" t="n">
        <v>175</v>
      </c>
      <c r="D918" s="484" t="inlineStr">
        <is>
          <t>忠孝國際醫學3樓</t>
        </is>
      </c>
      <c r="E918" s="484" t="inlineStr">
        <is>
          <t>6120036</t>
        </is>
      </c>
      <c r="F918" s="551" t="n"/>
      <c r="G918" s="484" t="inlineStr">
        <is>
          <t>(V)貝力多(雙胜胺) 20% 50mL/ 瓶，50倍數下單</t>
        </is>
      </c>
      <c r="H918" s="552" t="n"/>
      <c r="I918" s="552" t="n"/>
      <c r="J918" s="551" t="n"/>
      <c r="K918" s="140" t="inlineStr">
        <is>
          <t>瓶(10瓶/盒)</t>
        </is>
      </c>
      <c r="L918" s="560" t="n">
        <v>3</v>
      </c>
      <c r="M918" s="123" t="n"/>
      <c r="N918" s="117" t="n"/>
    </row>
    <row r="919" ht="17.25" customHeight="1" s="453" thickBot="1">
      <c r="A919" s="553">
        <f>IFERROR(LEFT(B919,7),"")</f>
        <v/>
      </c>
      <c r="B919" s="554">
        <f>"2025/11"&amp;D919</f>
        <v/>
      </c>
      <c r="C919" s="559" t="n">
        <v>176</v>
      </c>
      <c r="D919" s="484" t="inlineStr">
        <is>
          <t>忠孝國際醫學3樓</t>
        </is>
      </c>
      <c r="E919" s="484" t="inlineStr">
        <is>
          <t>6200004</t>
        </is>
      </c>
      <c r="F919" s="551" t="n"/>
      <c r="G919" s="484" t="inlineStr">
        <is>
          <t>阿爾發SAT卡匣/ 發</t>
        </is>
      </c>
      <c r="H919" s="552" t="n"/>
      <c r="I919" s="552" t="n"/>
      <c r="J919" s="551" t="n"/>
      <c r="K919" s="140" t="inlineStr">
        <is>
          <t>50發/卡</t>
        </is>
      </c>
      <c r="L919" s="560" t="n">
        <v>1894</v>
      </c>
      <c r="M919" s="123" t="n"/>
      <c r="N919" s="117" t="n"/>
    </row>
    <row r="920" ht="17.25" customHeight="1" s="453" thickBot="1">
      <c r="A920" s="553">
        <f>IFERROR(LEFT(B920,7),"")</f>
        <v/>
      </c>
      <c r="B920" s="554">
        <f>"2025/11"&amp;D920</f>
        <v/>
      </c>
      <c r="C920" s="559" t="n">
        <v>177</v>
      </c>
      <c r="D920" s="484" t="inlineStr">
        <is>
          <t>忠孝國際醫學3樓</t>
        </is>
      </c>
      <c r="E920" s="484" t="inlineStr">
        <is>
          <t>6200007</t>
        </is>
      </c>
      <c r="F920" s="551" t="n"/>
      <c r="G920" s="484" t="inlineStr">
        <is>
          <t>瘦瘦筆-針頭*1個</t>
        </is>
      </c>
      <c r="H920" s="552" t="n"/>
      <c r="I920" s="552" t="n"/>
      <c r="J920" s="551" t="n"/>
      <c r="K920" s="140" t="inlineStr">
        <is>
          <t>個</t>
        </is>
      </c>
      <c r="L920" s="560" t="n">
        <v>124</v>
      </c>
      <c r="M920" s="123" t="n"/>
      <c r="N920" s="117" t="n"/>
    </row>
    <row r="921" ht="17.25" customHeight="1" s="453" thickBot="1">
      <c r="A921" s="553">
        <f>IFERROR(LEFT(B921,7),"")</f>
        <v/>
      </c>
      <c r="B921" s="554">
        <f>"2025/11"&amp;D921</f>
        <v/>
      </c>
      <c r="C921" s="559" t="n">
        <v>178</v>
      </c>
      <c r="D921" s="484" t="inlineStr">
        <is>
          <t>忠孝國際醫學3樓</t>
        </is>
      </c>
      <c r="E921" s="484" t="inlineStr">
        <is>
          <t>6200008</t>
        </is>
      </c>
      <c r="F921" s="551" t="n"/>
      <c r="G921" s="484" t="inlineStr">
        <is>
          <t>瘦瘦筆-週纖達*1支(0.25mg)</t>
        </is>
      </c>
      <c r="H921" s="552" t="n"/>
      <c r="I921" s="552" t="n"/>
      <c r="J921" s="551" t="n"/>
      <c r="K921" s="140" t="inlineStr">
        <is>
          <t>支</t>
        </is>
      </c>
      <c r="L921" s="560" t="n">
        <v>8</v>
      </c>
      <c r="M921" s="123" t="n"/>
      <c r="N921" s="117" t="n"/>
    </row>
    <row r="922" ht="17.25" customHeight="1" s="453" thickBot="1">
      <c r="A922" s="553">
        <f>IFERROR(LEFT(B922,7),"")</f>
        <v/>
      </c>
      <c r="B922" s="554">
        <f>"2025/11"&amp;D922</f>
        <v/>
      </c>
      <c r="C922" s="559" t="n">
        <v>179</v>
      </c>
      <c r="D922" s="484" t="inlineStr">
        <is>
          <t>忠孝國際醫學3樓</t>
        </is>
      </c>
      <c r="E922" s="484" t="inlineStr">
        <is>
          <t>6200010</t>
        </is>
      </c>
      <c r="F922" s="551" t="n"/>
      <c r="G922" s="484" t="inlineStr">
        <is>
          <t>瘦瘦筆-週纖達*1支(1.0mg)</t>
        </is>
      </c>
      <c r="H922" s="552" t="n"/>
      <c r="I922" s="552" t="n"/>
      <c r="J922" s="551" t="n"/>
      <c r="K922" s="140" t="inlineStr">
        <is>
          <t>支</t>
        </is>
      </c>
      <c r="L922" s="560" t="n">
        <v>17</v>
      </c>
      <c r="M922" s="123" t="n"/>
      <c r="N922" s="117" t="n"/>
    </row>
    <row r="923" ht="17.25" customHeight="1" s="453" thickBot="1">
      <c r="A923" s="553">
        <f>IFERROR(LEFT(B923,7),"")</f>
        <v/>
      </c>
      <c r="B923" s="554">
        <f>"2025/11"&amp;D923</f>
        <v/>
      </c>
      <c r="C923" s="559" t="n">
        <v>180</v>
      </c>
      <c r="D923" s="484" t="inlineStr">
        <is>
          <t>忠孝國際醫學3樓</t>
        </is>
      </c>
      <c r="E923" s="484" t="inlineStr">
        <is>
          <t>6200013</t>
        </is>
      </c>
      <c r="F923" s="551" t="n"/>
      <c r="G923" s="484" t="inlineStr">
        <is>
          <t>(V)猛健樂*1支(2.5mg)</t>
        </is>
      </c>
      <c r="H923" s="552" t="n"/>
      <c r="I923" s="552" t="n"/>
      <c r="J923" s="551" t="n"/>
      <c r="K923" s="140" t="inlineStr">
        <is>
          <t>支</t>
        </is>
      </c>
      <c r="L923" s="560" t="n">
        <v>3</v>
      </c>
      <c r="M923" s="123" t="n"/>
      <c r="N923" s="117" t="n"/>
    </row>
    <row r="924" ht="17.25" customHeight="1" s="453" thickBot="1">
      <c r="A924" s="553">
        <f>IFERROR(LEFT(B924,7),"")</f>
        <v/>
      </c>
      <c r="B924" s="554">
        <f>"2025/11"&amp;D924</f>
        <v/>
      </c>
      <c r="C924" s="559" t="n">
        <v>181</v>
      </c>
      <c r="D924" s="484" t="inlineStr">
        <is>
          <t>忠孝國際醫學3樓</t>
        </is>
      </c>
      <c r="E924" s="484" t="inlineStr">
        <is>
          <t>6200014</t>
        </is>
      </c>
      <c r="F924" s="551" t="n"/>
      <c r="G924" s="484" t="inlineStr">
        <is>
          <t>(V)猛健樂*1支(5mg)</t>
        </is>
      </c>
      <c r="H924" s="552" t="n"/>
      <c r="I924" s="552" t="n"/>
      <c r="J924" s="551" t="n"/>
      <c r="K924" s="140" t="inlineStr">
        <is>
          <t>支</t>
        </is>
      </c>
      <c r="L924" s="560" t="n">
        <v>4</v>
      </c>
      <c r="M924" s="123" t="n"/>
      <c r="N924" s="117" t="n"/>
    </row>
    <row r="925" ht="17.25" customHeight="1" s="453" thickBot="1">
      <c r="A925" s="553">
        <f>IFERROR(LEFT(B925,7),"")</f>
        <v/>
      </c>
      <c r="B925" s="554">
        <f>"2025/11"&amp;D925</f>
        <v/>
      </c>
      <c r="C925" s="559" t="n">
        <v>182</v>
      </c>
      <c r="D925" s="484" t="inlineStr">
        <is>
          <t>忠孝國際醫學3樓</t>
        </is>
      </c>
      <c r="E925" s="484" t="inlineStr">
        <is>
          <t>6200015</t>
        </is>
      </c>
      <c r="F925" s="551" t="n"/>
      <c r="G925" s="484" t="inlineStr">
        <is>
          <t>(V)猛健樂*1支(7.5mg)</t>
        </is>
      </c>
      <c r="H925" s="552" t="n"/>
      <c r="I925" s="552" t="n"/>
      <c r="J925" s="551" t="n"/>
      <c r="K925" s="140" t="inlineStr">
        <is>
          <t>支</t>
        </is>
      </c>
      <c r="L925" s="560" t="n">
        <v>5</v>
      </c>
      <c r="M925" s="123" t="n"/>
      <c r="N925" s="117" t="n"/>
    </row>
    <row r="926" ht="17.25" customHeight="1" s="453" thickBot="1">
      <c r="A926" s="553">
        <f>IFERROR(LEFT(B926,7),"")</f>
        <v/>
      </c>
      <c r="B926" s="554">
        <f>"2025/11"&amp;D926</f>
        <v/>
      </c>
      <c r="C926" s="559" t="n">
        <v>183</v>
      </c>
      <c r="D926" s="484" t="inlineStr">
        <is>
          <t>忠孝國際醫學3樓</t>
        </is>
      </c>
      <c r="E926" s="484" t="inlineStr">
        <is>
          <t>6200016</t>
        </is>
      </c>
      <c r="F926" s="551" t="n"/>
      <c r="G926" s="484" t="inlineStr">
        <is>
          <t>(V)猛健樂*1支(10mg)</t>
        </is>
      </c>
      <c r="H926" s="552" t="n"/>
      <c r="I926" s="552" t="n"/>
      <c r="J926" s="551" t="n"/>
      <c r="K926" s="140" t="inlineStr">
        <is>
          <t>支</t>
        </is>
      </c>
      <c r="L926" s="560" t="n">
        <v>24</v>
      </c>
      <c r="M926" s="123" t="n"/>
      <c r="N926" s="117" t="n"/>
    </row>
    <row r="927" ht="17.25" customHeight="1" s="453" thickBot="1">
      <c r="A927" s="553">
        <f>IFERROR(LEFT(B927,7),"")</f>
        <v/>
      </c>
      <c r="B927" s="554">
        <f>"2025/11"&amp;D927</f>
        <v/>
      </c>
      <c r="C927" s="559" t="n">
        <v>184</v>
      </c>
      <c r="D927" s="484" t="inlineStr">
        <is>
          <t>忠孝國際醫學3樓</t>
        </is>
      </c>
      <c r="E927" s="484" t="inlineStr">
        <is>
          <t>6200021</t>
        </is>
      </c>
      <c r="F927" s="551" t="n"/>
      <c r="G927" s="484" t="inlineStr">
        <is>
          <t>(V)猛健樂12.5MG/0.12CC</t>
        </is>
      </c>
      <c r="H927" s="552" t="n"/>
      <c r="I927" s="552" t="n"/>
      <c r="J927" s="551" t="n"/>
      <c r="K927" s="140" t="inlineStr">
        <is>
          <t>3cc/支</t>
        </is>
      </c>
      <c r="L927" s="560" t="n">
        <v>778.5</v>
      </c>
      <c r="M927" s="123" t="n"/>
      <c r="N927" s="117" t="n"/>
    </row>
    <row r="928" ht="17.25" customHeight="1" s="453" thickBot="1">
      <c r="A928" s="553">
        <f>IFERROR(LEFT(B928,7),"")</f>
        <v/>
      </c>
      <c r="B928" s="554">
        <f>"2025/12"&amp;D928</f>
        <v/>
      </c>
      <c r="C928" s="559" t="n">
        <v>1</v>
      </c>
      <c r="D928" s="484" t="inlineStr">
        <is>
          <t>站前4樓</t>
        </is>
      </c>
      <c r="E928" s="484" t="inlineStr">
        <is>
          <t>6120003</t>
        </is>
      </c>
      <c r="F928" s="551" t="n"/>
      <c r="G928" s="484" t="inlineStr">
        <is>
          <t>(V)貝力多(雙胜胺) 20% 30mL/ 瓶，50倍數叫貨</t>
        </is>
      </c>
      <c r="H928" s="552" t="n"/>
      <c r="I928" s="552" t="n"/>
      <c r="J928" s="551" t="n"/>
      <c r="K928" s="140" t="inlineStr">
        <is>
          <t>10支/盒</t>
        </is>
      </c>
      <c r="L928" s="560" t="n">
        <v>14</v>
      </c>
      <c r="M928" s="123" t="n"/>
      <c r="N928" s="117" t="n"/>
    </row>
    <row r="929" ht="17.25" customHeight="1" s="453" thickBot="1">
      <c r="A929" s="553">
        <f>IFERROR(LEFT(B929,7),"")</f>
        <v/>
      </c>
      <c r="B929" s="554">
        <f>"2025/12"&amp;D929</f>
        <v/>
      </c>
      <c r="C929" s="559" t="n">
        <v>2</v>
      </c>
      <c r="D929" s="484" t="inlineStr">
        <is>
          <t>站前4樓</t>
        </is>
      </c>
      <c r="E929" s="484" t="inlineStr">
        <is>
          <t>6120004</t>
        </is>
      </c>
      <c r="F929" s="551" t="n"/>
      <c r="G929" s="484" t="inlineStr">
        <is>
          <t>(V)胺基酸點滴250ml/ 袋(安命活源/嘉安命)，20倍數叫貨</t>
        </is>
      </c>
      <c r="H929" s="552" t="n"/>
      <c r="I929" s="552" t="n"/>
      <c r="J929" s="551" t="n"/>
      <c r="K929" s="140" t="inlineStr">
        <is>
          <t>(20瓶/箱)</t>
        </is>
      </c>
      <c r="L929" s="560" t="n">
        <v>29</v>
      </c>
      <c r="M929" s="123" t="n"/>
      <c r="N929" s="117" t="n"/>
    </row>
    <row r="930" ht="17.25" customHeight="1" s="453" thickBot="1">
      <c r="A930" s="553">
        <f>IFERROR(LEFT(B930,7),"")</f>
        <v/>
      </c>
      <c r="B930" s="554">
        <f>"2025/12"&amp;D930</f>
        <v/>
      </c>
      <c r="C930" s="559" t="n">
        <v>3</v>
      </c>
      <c r="D930" s="484" t="inlineStr">
        <is>
          <t>站前4樓</t>
        </is>
      </c>
      <c r="E930" s="484" t="inlineStr">
        <is>
          <t>6120006</t>
        </is>
      </c>
      <c r="F930" s="551" t="n"/>
      <c r="G930" s="484" t="inlineStr">
        <is>
          <t>(V)(B12) 愛壽命 2mL，100倍數叫貨</t>
        </is>
      </c>
      <c r="H930" s="552" t="n"/>
      <c r="I930" s="552" t="n"/>
      <c r="J930" s="551" t="n"/>
      <c r="K930" s="140" t="inlineStr">
        <is>
          <t>(100支/盒)</t>
        </is>
      </c>
      <c r="L930" s="560" t="n">
        <v>30</v>
      </c>
      <c r="M930" s="123" t="n"/>
      <c r="N930" s="117" t="n"/>
    </row>
    <row r="931" ht="17.25" customHeight="1" s="453" thickBot="1">
      <c r="A931" s="553">
        <f>IFERROR(LEFT(B931,7),"")</f>
        <v/>
      </c>
      <c r="B931" s="554">
        <f>"2025/12"&amp;D931</f>
        <v/>
      </c>
      <c r="C931" s="559" t="n">
        <v>4</v>
      </c>
      <c r="D931" s="484" t="inlineStr">
        <is>
          <t>站前4樓</t>
        </is>
      </c>
      <c r="E931" s="484" t="inlineStr">
        <is>
          <t>6120013</t>
        </is>
      </c>
      <c r="F931" s="551" t="n"/>
      <c r="G931" s="484" t="inlineStr">
        <is>
          <t>(V)生理食鹽水(NS) 250ml/ 袋</t>
        </is>
      </c>
      <c r="H931" s="552" t="n"/>
      <c r="I931" s="552" t="n"/>
      <c r="J931" s="551" t="n"/>
      <c r="K931" s="140" t="inlineStr">
        <is>
          <t>40瓶/箱</t>
        </is>
      </c>
      <c r="L931" s="560" t="n">
        <v>209</v>
      </c>
      <c r="M931" s="123" t="n"/>
      <c r="N931" s="117" t="n"/>
    </row>
    <row r="932" ht="17.25" customHeight="1" s="453" thickBot="1">
      <c r="A932" s="553">
        <f>IFERROR(LEFT(B932,7),"")</f>
        <v/>
      </c>
      <c r="B932" s="554">
        <f>"2025/12"&amp;D932</f>
        <v/>
      </c>
      <c r="C932" s="559" t="n">
        <v>5</v>
      </c>
      <c r="D932" s="484" t="inlineStr">
        <is>
          <t>站前4樓</t>
        </is>
      </c>
      <c r="E932" s="484" t="inlineStr">
        <is>
          <t>6120015</t>
        </is>
      </c>
      <c r="F932" s="551" t="n"/>
      <c r="G932" s="484" t="inlineStr">
        <is>
          <t>(V)(B群)淘能美複合維他命B 2ml，100倍數叫貨</t>
        </is>
      </c>
      <c r="H932" s="552" t="n"/>
      <c r="I932" s="552" t="n"/>
      <c r="J932" s="551" t="n"/>
      <c r="K932" s="140" t="n"/>
      <c r="L932" s="560" t="n">
        <v>237</v>
      </c>
      <c r="M932" s="123" t="n"/>
      <c r="N932" s="117" t="n"/>
    </row>
    <row r="933" ht="17.25" customHeight="1" s="453" thickBot="1">
      <c r="A933" s="553">
        <f>IFERROR(LEFT(B933,7),"")</f>
        <v/>
      </c>
      <c r="B933" s="554">
        <f>"2025/12"&amp;D933</f>
        <v/>
      </c>
      <c r="C933" s="559" t="n">
        <v>6</v>
      </c>
      <c r="D933" s="484" t="inlineStr">
        <is>
          <t>站前4樓</t>
        </is>
      </c>
      <c r="E933" s="484" t="inlineStr">
        <is>
          <t>6120016</t>
        </is>
      </c>
      <c r="F933" s="551" t="n"/>
      <c r="G933" s="484" t="inlineStr">
        <is>
          <t>(V)(榖胱肝肽) 克樂達養200mg (20ml/瓶)</t>
        </is>
      </c>
      <c r="H933" s="552" t="n"/>
      <c r="I933" s="552" t="n"/>
      <c r="J933" s="551" t="n"/>
      <c r="K933" s="140" t="inlineStr">
        <is>
          <t>50支/盒</t>
        </is>
      </c>
      <c r="L933" s="560" t="n">
        <v>237</v>
      </c>
      <c r="M933" s="123" t="n"/>
      <c r="N933" s="117" t="n"/>
    </row>
    <row r="934" ht="17.25" customHeight="1" s="453" thickBot="1">
      <c r="A934" s="553">
        <f>IFERROR(LEFT(B934,7),"")</f>
        <v/>
      </c>
      <c r="B934" s="554">
        <f>"2025/12"&amp;D934</f>
        <v/>
      </c>
      <c r="C934" s="559" t="n">
        <v>7</v>
      </c>
      <c r="D934" s="484" t="inlineStr">
        <is>
          <t>站前4樓</t>
        </is>
      </c>
      <c r="E934" s="484" t="inlineStr">
        <is>
          <t>6120018</t>
        </is>
      </c>
      <c r="F934" s="551" t="n"/>
      <c r="G934" s="484" t="inlineStr">
        <is>
          <t>(V)(傳明酸)止血明 5ml/支</t>
        </is>
      </c>
      <c r="H934" s="552" t="n"/>
      <c r="I934" s="552" t="n"/>
      <c r="J934" s="551" t="n"/>
      <c r="K934" s="140" t="inlineStr">
        <is>
          <t>50支/盒</t>
        </is>
      </c>
      <c r="L934" s="560" t="n">
        <v>20</v>
      </c>
      <c r="M934" s="123" t="n"/>
      <c r="N934" s="117" t="n"/>
    </row>
    <row r="935" ht="17.25" customHeight="1" s="453" thickBot="1">
      <c r="A935" s="553">
        <f>IFERROR(LEFT(B935,7),"")</f>
        <v/>
      </c>
      <c r="B935" s="554">
        <f>"2025/12"&amp;D935</f>
        <v/>
      </c>
      <c r="C935" s="559" t="n">
        <v>8</v>
      </c>
      <c r="D935" s="484" t="inlineStr">
        <is>
          <t>站前4樓</t>
        </is>
      </c>
      <c r="E935" s="484" t="inlineStr">
        <is>
          <t>6120020</t>
        </is>
      </c>
      <c r="F935" s="551" t="n"/>
      <c r="G935" s="484" t="inlineStr">
        <is>
          <t>(V)(Vit C) 抗壞血酸 2mL，100倍數下單</t>
        </is>
      </c>
      <c r="H935" s="552" t="n"/>
      <c r="I935" s="552" t="n"/>
      <c r="J935" s="551" t="n"/>
      <c r="K935" s="140" t="inlineStr">
        <is>
          <t>100支/盒</t>
        </is>
      </c>
      <c r="L935" s="560" t="n">
        <v>102</v>
      </c>
      <c r="M935" s="123" t="n"/>
      <c r="N935" s="117" t="n"/>
    </row>
    <row r="936" ht="17.25" customHeight="1" s="453" thickBot="1">
      <c r="A936" s="553">
        <f>IFERROR(LEFT(B936,7),"")</f>
        <v/>
      </c>
      <c r="B936" s="554">
        <f>"2025/12"&amp;D936</f>
        <v/>
      </c>
      <c r="C936" s="559" t="n">
        <v>9</v>
      </c>
      <c r="D936" s="484" t="inlineStr">
        <is>
          <t>站前4樓</t>
        </is>
      </c>
      <c r="E936" s="484" t="inlineStr">
        <is>
          <t>6120021</t>
        </is>
      </c>
      <c r="F936" s="551" t="n"/>
      <c r="G936" s="484" t="inlineStr">
        <is>
          <t>(V)(Vit C)(抗壞血酸/諾貝爾)20ml，50倍數下單</t>
        </is>
      </c>
      <c r="H936" s="552" t="n"/>
      <c r="I936" s="552" t="n"/>
      <c r="J936" s="551" t="n"/>
      <c r="K936" s="140" t="inlineStr">
        <is>
          <t>50支/盒</t>
        </is>
      </c>
      <c r="L936" s="560" t="n">
        <v>237</v>
      </c>
      <c r="M936" s="123" t="n"/>
      <c r="N936" s="117" t="n"/>
    </row>
    <row r="937" ht="17.25" customHeight="1" s="453" thickBot="1">
      <c r="A937" s="553">
        <f>IFERROR(LEFT(B937,7),"")</f>
        <v/>
      </c>
      <c r="B937" s="554">
        <f>"2025/12"&amp;D937</f>
        <v/>
      </c>
      <c r="C937" s="559" t="n">
        <v>10</v>
      </c>
      <c r="D937" s="484" t="inlineStr">
        <is>
          <t>站前4樓</t>
        </is>
      </c>
      <c r="E937" s="484" t="inlineStr">
        <is>
          <t>6120036</t>
        </is>
      </c>
      <c r="F937" s="551" t="n"/>
      <c r="G937" s="484" t="inlineStr">
        <is>
          <t>(V)貝力多(雙胜胺) 20% 50mL/ 瓶，50倍數下單</t>
        </is>
      </c>
      <c r="H937" s="552" t="n"/>
      <c r="I937" s="552" t="n"/>
      <c r="J937" s="551" t="n"/>
      <c r="K937" s="140" t="inlineStr">
        <is>
          <t>瓶(10瓶/盒)</t>
        </is>
      </c>
      <c r="L937" s="560" t="n">
        <v>15</v>
      </c>
      <c r="M937" s="123" t="n"/>
      <c r="N937" s="117" t="n"/>
    </row>
    <row r="938" ht="17.25" customHeight="1" s="453" thickBot="1">
      <c r="A938" s="553">
        <f>IFERROR(LEFT(B938,7),"")</f>
        <v/>
      </c>
      <c r="B938" s="554">
        <f>"2025/12"&amp;D938</f>
        <v/>
      </c>
      <c r="C938" s="559" t="n">
        <v>11</v>
      </c>
      <c r="D938" s="484" t="inlineStr">
        <is>
          <t>站前4樓</t>
        </is>
      </c>
      <c r="E938" s="484" t="inlineStr">
        <is>
          <t>6140001</t>
        </is>
      </c>
      <c r="F938" s="551" t="n"/>
      <c r="G938" s="484" t="inlineStr">
        <is>
          <t>(V)保妥適Botox/ u，100倍數下單</t>
        </is>
      </c>
      <c r="H938" s="552" t="n"/>
      <c r="I938" s="552" t="n"/>
      <c r="J938" s="551" t="n"/>
      <c r="K938" s="140" t="inlineStr">
        <is>
          <t>100U/瓶</t>
        </is>
      </c>
      <c r="L938" s="560" t="n">
        <v>5034</v>
      </c>
      <c r="M938" s="123" t="n"/>
      <c r="N938" s="117" t="n"/>
    </row>
    <row r="939" ht="17.25" customHeight="1" s="453" thickBot="1">
      <c r="A939" s="553">
        <f>IFERROR(LEFT(B939,7),"")</f>
        <v/>
      </c>
      <c r="B939" s="554">
        <f>"2025/12"&amp;D939</f>
        <v/>
      </c>
      <c r="C939" s="559" t="n">
        <v>12</v>
      </c>
      <c r="D939" s="484" t="inlineStr">
        <is>
          <t>站前4樓</t>
        </is>
      </c>
      <c r="E939" s="484" t="inlineStr">
        <is>
          <t>6140003</t>
        </is>
      </c>
      <c r="F939" s="551" t="n"/>
      <c r="G939" s="484" t="inlineStr">
        <is>
          <t>(V)保提拉肉毒Letybo/ u，3200倍數下單</t>
        </is>
      </c>
      <c r="H939" s="552" t="n"/>
      <c r="I939" s="552" t="n"/>
      <c r="J939" s="551" t="n"/>
      <c r="K939" s="140" t="inlineStr">
        <is>
          <t>200U/瓶</t>
        </is>
      </c>
      <c r="L939" s="560" t="n">
        <v>5439</v>
      </c>
      <c r="M939" s="123" t="n"/>
      <c r="N939" s="117" t="n"/>
    </row>
    <row r="940" ht="17.25" customHeight="1" s="453" thickBot="1">
      <c r="A940" s="553">
        <f>IFERROR(LEFT(B940,7),"")</f>
        <v/>
      </c>
      <c r="B940" s="554">
        <f>"2025/12"&amp;D940</f>
        <v/>
      </c>
      <c r="C940" s="559" t="n">
        <v>13</v>
      </c>
      <c r="D940" s="484" t="inlineStr">
        <is>
          <t>站前4樓</t>
        </is>
      </c>
      <c r="E940" s="484" t="inlineStr">
        <is>
          <t>6140005</t>
        </is>
      </c>
      <c r="F940" s="551" t="n"/>
      <c r="G940" s="484" t="inlineStr">
        <is>
          <t>(V)奇肌肉毒/ u，200倍數下單</t>
        </is>
      </c>
      <c r="H940" s="552" t="n"/>
      <c r="I940" s="552" t="n"/>
      <c r="J940" s="551" t="n"/>
      <c r="K940" s="140" t="inlineStr">
        <is>
          <t>200U/瓶</t>
        </is>
      </c>
      <c r="L940" s="560" t="n">
        <v>1438</v>
      </c>
      <c r="M940" s="123" t="n"/>
      <c r="N940" s="117" t="n"/>
    </row>
    <row r="941" ht="17.25" customHeight="1" s="453" thickBot="1">
      <c r="A941" s="553">
        <f>IFERROR(LEFT(B941,7),"")</f>
        <v/>
      </c>
      <c r="B941" s="554">
        <f>"2025/12"&amp;D941</f>
        <v/>
      </c>
      <c r="C941" s="559" t="n">
        <v>14</v>
      </c>
      <c r="D941" s="484" t="inlineStr">
        <is>
          <t>站前4樓</t>
        </is>
      </c>
      <c r="E941" s="484" t="inlineStr">
        <is>
          <t>6150001</t>
        </is>
      </c>
      <c r="F941" s="551" t="n"/>
      <c r="G941" s="484" t="inlineStr">
        <is>
          <t>(V)喬雅登-豐麗緹玻尿酸植入物Voluma 1ml</t>
        </is>
      </c>
      <c r="H941" s="552" t="n"/>
      <c r="I941" s="552" t="n"/>
      <c r="J941" s="551" t="n"/>
      <c r="K941" s="140" t="inlineStr">
        <is>
          <t>1ml(2ml/盒)</t>
        </is>
      </c>
      <c r="L941" s="560" t="n">
        <v>116</v>
      </c>
      <c r="M941" s="123" t="n"/>
      <c r="N941" s="117" t="n"/>
    </row>
    <row r="942" ht="17.25" customHeight="1" s="453" thickBot="1">
      <c r="A942" s="553">
        <f>IFERROR(LEFT(B942,7),"")</f>
        <v/>
      </c>
      <c r="B942" s="554">
        <f>"2025/12"&amp;D942</f>
        <v/>
      </c>
      <c r="C942" s="559" t="n">
        <v>15</v>
      </c>
      <c r="D942" s="484" t="inlineStr">
        <is>
          <t>站前4樓</t>
        </is>
      </c>
      <c r="E942" s="484" t="inlineStr">
        <is>
          <t>6150002</t>
        </is>
      </c>
      <c r="F942" s="551" t="n"/>
      <c r="G942" s="484" t="inlineStr">
        <is>
          <t>(V)喬雅登-夢蓓菈玻尿酸植入物Volbella 1ml</t>
        </is>
      </c>
      <c r="H942" s="552" t="n"/>
      <c r="I942" s="552" t="n"/>
      <c r="J942" s="551" t="n"/>
      <c r="K942" s="140" t="inlineStr">
        <is>
          <t>1ml(2ml/盒)</t>
        </is>
      </c>
      <c r="L942" s="560" t="n">
        <v>3</v>
      </c>
      <c r="M942" s="123" t="n"/>
      <c r="N942" s="117" t="n"/>
    </row>
    <row r="943" ht="17.25" customHeight="1" s="453" thickBot="1">
      <c r="A943" s="553">
        <f>IFERROR(LEFT(B943,7),"")</f>
        <v/>
      </c>
      <c r="B943" s="554">
        <f>"2025/12"&amp;D943</f>
        <v/>
      </c>
      <c r="C943" s="559" t="n">
        <v>16</v>
      </c>
      <c r="D943" s="484" t="inlineStr">
        <is>
          <t>站前4樓</t>
        </is>
      </c>
      <c r="E943" s="484" t="inlineStr">
        <is>
          <t>6150003</t>
        </is>
      </c>
      <c r="F943" s="551" t="n"/>
      <c r="G943" s="484" t="inlineStr">
        <is>
          <t>(V)喬雅登-豐麗緹玻尿酸植入物Volift 1ml</t>
        </is>
      </c>
      <c r="H943" s="552" t="n"/>
      <c r="I943" s="552" t="n"/>
      <c r="J943" s="551" t="n"/>
      <c r="K943" s="140" t="inlineStr">
        <is>
          <t>1ml(2ml/盒)</t>
        </is>
      </c>
      <c r="L943" s="560" t="n">
        <v>4</v>
      </c>
      <c r="M943" s="123" t="n"/>
      <c r="N943" s="117" t="n"/>
    </row>
    <row r="944" ht="17.25" customHeight="1" s="453" thickBot="1">
      <c r="A944" s="553">
        <f>IFERROR(LEFT(B944,7),"")</f>
        <v/>
      </c>
      <c r="B944" s="554">
        <f>"2025/12"&amp;D944</f>
        <v/>
      </c>
      <c r="C944" s="559" t="n">
        <v>17</v>
      </c>
      <c r="D944" s="484" t="inlineStr">
        <is>
          <t>站前4樓</t>
        </is>
      </c>
      <c r="E944" s="484" t="inlineStr">
        <is>
          <t>6150004</t>
        </is>
      </c>
      <c r="F944" s="551" t="n"/>
      <c r="G944" s="484" t="inlineStr">
        <is>
          <t>(V)喬雅登-豐塑玻尿酸植入物Volux 1ml</t>
        </is>
      </c>
      <c r="H944" s="552" t="n"/>
      <c r="I944" s="552" t="n"/>
      <c r="J944" s="551" t="n"/>
      <c r="K944" s="140" t="inlineStr">
        <is>
          <t>1ml(2ml/盒)</t>
        </is>
      </c>
      <c r="L944" s="560" t="n">
        <v>13</v>
      </c>
      <c r="M944" s="123" t="n"/>
      <c r="N944" s="117" t="n"/>
    </row>
    <row r="945" ht="17.25" customHeight="1" s="453" thickBot="1">
      <c r="A945" s="553">
        <f>IFERROR(LEFT(B945,7),"")</f>
        <v/>
      </c>
      <c r="B945" s="554">
        <f>"2025/12"&amp;D945</f>
        <v/>
      </c>
      <c r="C945" s="559" t="n">
        <v>18</v>
      </c>
      <c r="D945" s="484" t="inlineStr">
        <is>
          <t>站前4樓</t>
        </is>
      </c>
      <c r="E945" s="484" t="inlineStr">
        <is>
          <t>6150005</t>
        </is>
      </c>
      <c r="F945" s="551" t="n"/>
      <c r="G945" s="484" t="inlineStr">
        <is>
          <t>(V)喬雅登-芙潤玻尿酸植入物Volite 1ml</t>
        </is>
      </c>
      <c r="H945" s="552" t="n"/>
      <c r="I945" s="552" t="n"/>
      <c r="J945" s="551" t="n"/>
      <c r="K945" s="140" t="inlineStr">
        <is>
          <t>1ml(2ml/盒)</t>
        </is>
      </c>
      <c r="L945" s="560" t="n">
        <v>4</v>
      </c>
      <c r="M945" s="123" t="n"/>
      <c r="N945" s="117" t="n"/>
    </row>
    <row r="946" ht="17.25" customHeight="1" s="453" thickBot="1">
      <c r="A946" s="553">
        <f>IFERROR(LEFT(B946,7),"")</f>
        <v/>
      </c>
      <c r="B946" s="554">
        <f>"2025/12"&amp;D946</f>
        <v/>
      </c>
      <c r="C946" s="559" t="n">
        <v>19</v>
      </c>
      <c r="D946" s="484" t="inlineStr">
        <is>
          <t>站前4樓</t>
        </is>
      </c>
      <c r="E946" s="484" t="inlineStr">
        <is>
          <t>6150010</t>
        </is>
      </c>
      <c r="F946" s="551" t="n"/>
      <c r="G946" s="484" t="inlineStr">
        <is>
          <t>(V)仙女玻尿酸大分子 1ml</t>
        </is>
      </c>
      <c r="H946" s="552" t="n"/>
      <c r="I946" s="552" t="n"/>
      <c r="J946" s="551" t="n"/>
      <c r="K946" s="140" t="inlineStr">
        <is>
          <t>1ml(1ml/盒)</t>
        </is>
      </c>
      <c r="L946" s="560" t="n">
        <v>43</v>
      </c>
      <c r="M946" s="123" t="n"/>
      <c r="N946" s="117" t="n"/>
    </row>
    <row r="947" ht="17.25" customHeight="1" s="453" thickBot="1">
      <c r="A947" s="553">
        <f>IFERROR(LEFT(B947,7),"")</f>
        <v/>
      </c>
      <c r="B947" s="554">
        <f>"2025/12"&amp;D947</f>
        <v/>
      </c>
      <c r="C947" s="559" t="n">
        <v>20</v>
      </c>
      <c r="D947" s="484" t="inlineStr">
        <is>
          <t>站前4樓</t>
        </is>
      </c>
      <c r="E947" s="484" t="inlineStr">
        <is>
          <t>6150011</t>
        </is>
      </c>
      <c r="F947" s="551" t="n"/>
      <c r="G947" s="484" t="inlineStr">
        <is>
          <t>(V)仙女玻尿酸小分子 1ml</t>
        </is>
      </c>
      <c r="H947" s="552" t="n"/>
      <c r="I947" s="552" t="n"/>
      <c r="J947" s="551" t="n"/>
      <c r="K947" s="140" t="inlineStr">
        <is>
          <t>1ml(1ml/盒)</t>
        </is>
      </c>
      <c r="L947" s="560" t="n">
        <v>5</v>
      </c>
      <c r="M947" s="123" t="n"/>
      <c r="N947" s="117" t="n"/>
    </row>
    <row r="948" ht="17.25" customHeight="1" s="453" thickBot="1">
      <c r="A948" s="553">
        <f>IFERROR(LEFT(B948,7),"")</f>
        <v/>
      </c>
      <c r="B948" s="554">
        <f>"2025/12"&amp;D948</f>
        <v/>
      </c>
      <c r="C948" s="559" t="n">
        <v>21</v>
      </c>
      <c r="D948" s="484" t="inlineStr">
        <is>
          <t>站前4樓</t>
        </is>
      </c>
      <c r="E948" s="484" t="inlineStr">
        <is>
          <t>6150013</t>
        </is>
      </c>
      <c r="F948" s="551" t="n"/>
      <c r="G948" s="484" t="inlineStr">
        <is>
          <t>(V)逆時針(璞菲洛)2cc</t>
        </is>
      </c>
      <c r="H948" s="552" t="n"/>
      <c r="I948" s="552" t="n"/>
      <c r="J948" s="551" t="n"/>
      <c r="K948" s="140" t="inlineStr">
        <is>
          <t>1ml(1ml/盒)</t>
        </is>
      </c>
      <c r="L948" s="560" t="n">
        <v>11</v>
      </c>
      <c r="M948" s="123" t="n"/>
      <c r="N948" s="117" t="n"/>
    </row>
    <row r="949" ht="17.25" customHeight="1" s="453" thickBot="1">
      <c r="A949" s="553">
        <f>IFERROR(LEFT(B949,7),"")</f>
        <v/>
      </c>
      <c r="B949" s="554">
        <f>"2025/12"&amp;D949</f>
        <v/>
      </c>
      <c r="C949" s="559" t="n">
        <v>22</v>
      </c>
      <c r="D949" s="484" t="inlineStr">
        <is>
          <t>站前4樓</t>
        </is>
      </c>
      <c r="E949" s="484" t="inlineStr">
        <is>
          <t>6160001</t>
        </is>
      </c>
      <c r="F949" s="551" t="n"/>
      <c r="G949" s="484" t="inlineStr">
        <is>
          <t>(V)艾麗斯 Aesthe Fill-200mg/ 瓶</t>
        </is>
      </c>
      <c r="H949" s="552" t="n"/>
      <c r="I949" s="552" t="n"/>
      <c r="J949" s="551" t="n"/>
      <c r="K949" s="140" t="inlineStr">
        <is>
          <t>瓶</t>
        </is>
      </c>
      <c r="L949" s="560" t="n">
        <v>3</v>
      </c>
      <c r="M949" s="123" t="n"/>
      <c r="N949" s="117" t="n"/>
    </row>
    <row r="950" ht="17.25" customHeight="1" s="453" thickBot="1">
      <c r="A950" s="553">
        <f>IFERROR(LEFT(B950,7),"")</f>
        <v/>
      </c>
      <c r="B950" s="554">
        <f>"2025/12"&amp;D950</f>
        <v/>
      </c>
      <c r="C950" s="559" t="n">
        <v>23</v>
      </c>
      <c r="D950" s="484" t="inlineStr">
        <is>
          <t>站前4樓</t>
        </is>
      </c>
      <c r="E950" s="484" t="inlineStr">
        <is>
          <t>6160002</t>
        </is>
      </c>
      <c r="F950" s="551" t="n"/>
      <c r="G950" s="484" t="inlineStr">
        <is>
          <t>(V)洢蓮絲植入劑ELLANSÉ-S 1ml</t>
        </is>
      </c>
      <c r="H950" s="552" t="n"/>
      <c r="I950" s="552" t="n"/>
      <c r="J950" s="551" t="n"/>
      <c r="K950" s="140" t="inlineStr">
        <is>
          <t>1ml(2ml/盒)</t>
        </is>
      </c>
      <c r="L950" s="560" t="n">
        <v>58</v>
      </c>
      <c r="M950" s="123" t="n"/>
      <c r="N950" s="117" t="n"/>
    </row>
    <row r="951" ht="17.25" customHeight="1" s="453" thickBot="1">
      <c r="A951" s="553">
        <f>IFERROR(LEFT(B951,7),"")</f>
        <v/>
      </c>
      <c r="B951" s="554">
        <f>"2025/12"&amp;D951</f>
        <v/>
      </c>
      <c r="C951" s="559" t="n">
        <v>24</v>
      </c>
      <c r="D951" s="484" t="inlineStr">
        <is>
          <t>站前4樓</t>
        </is>
      </c>
      <c r="E951" s="484" t="inlineStr">
        <is>
          <t>6160003</t>
        </is>
      </c>
      <c r="F951" s="551" t="n"/>
      <c r="G951" s="484" t="inlineStr">
        <is>
          <t>(V)洢蓮絲植入劑ELLANSÉ-M 1ml</t>
        </is>
      </c>
      <c r="H951" s="552" t="n"/>
      <c r="I951" s="552" t="n"/>
      <c r="J951" s="551" t="n"/>
      <c r="K951" s="140" t="inlineStr">
        <is>
          <t>1ml(2ml/盒)</t>
        </is>
      </c>
      <c r="L951" s="560" t="n">
        <v>20</v>
      </c>
      <c r="M951" s="123" t="n"/>
      <c r="N951" s="117" t="n"/>
    </row>
    <row r="952" ht="17.25" customHeight="1" s="453" thickBot="1">
      <c r="A952" s="553">
        <f>IFERROR(LEFT(B952,7),"")</f>
        <v/>
      </c>
      <c r="B952" s="554">
        <f>"2025/12"&amp;D952</f>
        <v/>
      </c>
      <c r="C952" s="559" t="n">
        <v>25</v>
      </c>
      <c r="D952" s="484" t="inlineStr">
        <is>
          <t>站前4樓</t>
        </is>
      </c>
      <c r="E952" s="484" t="inlineStr">
        <is>
          <t>6160005</t>
        </is>
      </c>
      <c r="F952" s="551" t="n"/>
      <c r="G952" s="484" t="inlineStr">
        <is>
          <t>(V)双美熊貓針</t>
        </is>
      </c>
      <c r="H952" s="552" t="n"/>
      <c r="I952" s="552" t="n"/>
      <c r="J952" s="551" t="n"/>
      <c r="K952" s="140" t="inlineStr">
        <is>
          <t>(1ml/盒)</t>
        </is>
      </c>
      <c r="L952" s="560" t="n">
        <v>31</v>
      </c>
      <c r="M952" s="123" t="n"/>
      <c r="N952" s="117" t="n"/>
    </row>
    <row r="953" ht="17.25" customHeight="1" s="453" thickBot="1">
      <c r="A953" s="553">
        <f>IFERROR(LEFT(B953,7),"")</f>
        <v/>
      </c>
      <c r="B953" s="554">
        <f>"2025/12"&amp;D953</f>
        <v/>
      </c>
      <c r="C953" s="559" t="n">
        <v>26</v>
      </c>
      <c r="D953" s="484" t="inlineStr">
        <is>
          <t>站前4樓</t>
        </is>
      </c>
      <c r="E953" s="484" t="inlineStr">
        <is>
          <t>6160008</t>
        </is>
      </c>
      <c r="F953" s="551" t="n"/>
      <c r="G953" s="484" t="inlineStr">
        <is>
          <t>白童針-薇貝拉50mg/1cc</t>
        </is>
      </c>
      <c r="H953" s="552" t="n"/>
      <c r="I953" s="552" t="n"/>
      <c r="J953" s="551" t="n"/>
      <c r="K953" s="140" t="inlineStr">
        <is>
          <t>6cc/瓶</t>
        </is>
      </c>
      <c r="L953" s="560" t="n">
        <v>108</v>
      </c>
      <c r="M953" s="123" t="n"/>
      <c r="N953" s="117" t="n"/>
    </row>
    <row r="954" ht="17.25" customHeight="1" s="453" thickBot="1">
      <c r="A954" s="553">
        <f>IFERROR(LEFT(B954,7),"")</f>
        <v/>
      </c>
      <c r="B954" s="554">
        <f>"2025/12"&amp;D954</f>
        <v/>
      </c>
      <c r="C954" s="559" t="n">
        <v>27</v>
      </c>
      <c r="D954" s="484" t="inlineStr">
        <is>
          <t>站前4樓</t>
        </is>
      </c>
      <c r="E954" s="484" t="inlineStr">
        <is>
          <t>6160009</t>
        </is>
      </c>
      <c r="F954" s="551" t="n"/>
      <c r="G954" s="484" t="inlineStr">
        <is>
          <t>黑童針-薇貝拉200mg/1cc</t>
        </is>
      </c>
      <c r="H954" s="552" t="n"/>
      <c r="I954" s="552" t="n"/>
      <c r="J954" s="551" t="n"/>
      <c r="K954" s="140" t="inlineStr">
        <is>
          <t>8cc/瓶</t>
        </is>
      </c>
      <c r="L954" s="560" t="n">
        <v>22</v>
      </c>
      <c r="M954" s="123" t="n"/>
      <c r="N954" s="117" t="n"/>
    </row>
    <row r="955" ht="17.25" customHeight="1" s="453" thickBot="1">
      <c r="A955" s="553">
        <f>IFERROR(LEFT(B955,7),"")</f>
        <v/>
      </c>
      <c r="B955" s="554">
        <f>"2025/12"&amp;D955</f>
        <v/>
      </c>
      <c r="C955" s="559" t="n">
        <v>28</v>
      </c>
      <c r="D955" s="484" t="inlineStr">
        <is>
          <t>站前4樓</t>
        </is>
      </c>
      <c r="E955" s="484" t="inlineStr">
        <is>
          <t>6160010</t>
        </is>
      </c>
      <c r="F955" s="551" t="n"/>
      <c r="G955" s="484" t="inlineStr">
        <is>
          <t>喬雅露-大分子200mg/1cc</t>
        </is>
      </c>
      <c r="H955" s="552" t="n"/>
      <c r="I955" s="552" t="n"/>
      <c r="J955" s="551" t="n"/>
      <c r="K955" s="140" t="inlineStr">
        <is>
          <t>8cc/瓶</t>
        </is>
      </c>
      <c r="L955" s="560" t="n">
        <v>96</v>
      </c>
      <c r="M955" s="123" t="n"/>
      <c r="N955" s="117" t="n"/>
    </row>
    <row r="956" ht="17.25" customHeight="1" s="453" thickBot="1">
      <c r="A956" s="553">
        <f>IFERROR(LEFT(B956,7),"")</f>
        <v/>
      </c>
      <c r="B956" s="554">
        <f>"2025/12"&amp;D956</f>
        <v/>
      </c>
      <c r="C956" s="559" t="n">
        <v>29</v>
      </c>
      <c r="D956" s="484" t="inlineStr">
        <is>
          <t>站前4樓</t>
        </is>
      </c>
      <c r="E956" s="484" t="inlineStr">
        <is>
          <t>6160011</t>
        </is>
      </c>
      <c r="F956" s="551" t="n"/>
      <c r="G956" s="484" t="inlineStr">
        <is>
          <t>喬雅露-小分子50mg/1cc</t>
        </is>
      </c>
      <c r="H956" s="552" t="n"/>
      <c r="I956" s="552" t="n"/>
      <c r="J956" s="551" t="n"/>
      <c r="K956" s="140" t="inlineStr">
        <is>
          <t>6cc/瓶</t>
        </is>
      </c>
      <c r="L956" s="560" t="n">
        <v>240</v>
      </c>
      <c r="M956" s="123" t="n"/>
      <c r="N956" s="117" t="n"/>
    </row>
    <row r="957" ht="17.25" customHeight="1" s="453" thickBot="1">
      <c r="A957" s="553">
        <f>IFERROR(LEFT(B957,7),"")</f>
        <v/>
      </c>
      <c r="B957" s="554">
        <f>"2025/12"&amp;D957</f>
        <v/>
      </c>
      <c r="C957" s="559" t="n">
        <v>30</v>
      </c>
      <c r="D957" s="484" t="inlineStr">
        <is>
          <t>站前4樓</t>
        </is>
      </c>
      <c r="E957" s="484" t="inlineStr">
        <is>
          <t>6170005</t>
        </is>
      </c>
      <c r="F957" s="551" t="n"/>
      <c r="G957" s="484" t="inlineStr">
        <is>
          <t>海芙三代音波探頭2mm/ 條</t>
        </is>
      </c>
      <c r="H957" s="552" t="n"/>
      <c r="I957" s="552" t="n"/>
      <c r="J957" s="551" t="n"/>
      <c r="K957" s="140" t="inlineStr">
        <is>
          <t>20000條/顆</t>
        </is>
      </c>
      <c r="L957" s="560" t="n">
        <v>18698</v>
      </c>
      <c r="M957" s="123" t="n"/>
      <c r="N957" s="117" t="n"/>
    </row>
    <row r="958" ht="17.25" customHeight="1" s="453" thickBot="1">
      <c r="A958" s="553">
        <f>IFERROR(LEFT(B958,7),"")</f>
        <v/>
      </c>
      <c r="B958" s="554">
        <f>"2025/12"&amp;D958</f>
        <v/>
      </c>
      <c r="C958" s="559" t="n">
        <v>31</v>
      </c>
      <c r="D958" s="484" t="inlineStr">
        <is>
          <t>站前4樓</t>
        </is>
      </c>
      <c r="E958" s="484" t="inlineStr">
        <is>
          <t>6170007</t>
        </is>
      </c>
      <c r="F958" s="551" t="n"/>
      <c r="G958" s="484" t="inlineStr">
        <is>
          <t>海芙三代音波探頭3mm/ 條</t>
        </is>
      </c>
      <c r="H958" s="552" t="n"/>
      <c r="I958" s="552" t="n"/>
      <c r="J958" s="551" t="n"/>
      <c r="K958" s="140" t="inlineStr">
        <is>
          <t>20000條/顆</t>
        </is>
      </c>
      <c r="L958" s="560" t="n">
        <v>51090</v>
      </c>
      <c r="M958" s="123" t="n"/>
      <c r="N958" s="117" t="n"/>
    </row>
    <row r="959" ht="17.25" customHeight="1" s="453" thickBot="1">
      <c r="A959" s="553">
        <f>IFERROR(LEFT(B959,7),"")</f>
        <v/>
      </c>
      <c r="B959" s="554">
        <f>"2025/12"&amp;D959</f>
        <v/>
      </c>
      <c r="C959" s="559" t="n">
        <v>32</v>
      </c>
      <c r="D959" s="484" t="inlineStr">
        <is>
          <t>站前4樓</t>
        </is>
      </c>
      <c r="E959" s="484" t="inlineStr">
        <is>
          <t>6170009</t>
        </is>
      </c>
      <c r="F959" s="551" t="n"/>
      <c r="G959" s="484" t="inlineStr">
        <is>
          <t>海芙三代音波探頭4.5mm/ 條</t>
        </is>
      </c>
      <c r="H959" s="552" t="n"/>
      <c r="I959" s="552" t="n"/>
      <c r="J959" s="551" t="n"/>
      <c r="K959" s="140" t="inlineStr">
        <is>
          <t>20000條/顆</t>
        </is>
      </c>
      <c r="L959" s="560" t="n">
        <v>66310</v>
      </c>
      <c r="M959" s="123" t="n"/>
      <c r="N959" s="117" t="n"/>
    </row>
    <row r="960" ht="17.25" customHeight="1" s="453" thickBot="1">
      <c r="A960" s="553">
        <f>IFERROR(LEFT(B960,7),"")</f>
        <v/>
      </c>
      <c r="B960" s="554">
        <f>"2025/12"&amp;D960</f>
        <v/>
      </c>
      <c r="C960" s="559" t="n">
        <v>33</v>
      </c>
      <c r="D960" s="484" t="inlineStr">
        <is>
          <t>站前4樓</t>
        </is>
      </c>
      <c r="E960" s="484" t="inlineStr">
        <is>
          <t>6170011</t>
        </is>
      </c>
      <c r="F960" s="551" t="n"/>
      <c r="G960" s="484" t="inlineStr">
        <is>
          <t>海芙三代音波探頭6mm/ 條</t>
        </is>
      </c>
      <c r="H960" s="552" t="n"/>
      <c r="I960" s="552" t="n"/>
      <c r="J960" s="551" t="n"/>
      <c r="K960" s="140" t="inlineStr">
        <is>
          <t>30,000條/顆</t>
        </is>
      </c>
      <c r="L960" s="560" t="n">
        <v>21539</v>
      </c>
      <c r="M960" s="123" t="n"/>
      <c r="N960" s="117" t="n"/>
    </row>
    <row r="961" ht="17.25" customHeight="1" s="453" thickBot="1">
      <c r="A961" s="553">
        <f>IFERROR(LEFT(B961,7),"")</f>
        <v/>
      </c>
      <c r="B961" s="554">
        <f>"2025/12"&amp;D961</f>
        <v/>
      </c>
      <c r="C961" s="559" t="n">
        <v>34</v>
      </c>
      <c r="D961" s="484" t="inlineStr">
        <is>
          <t>站前4樓</t>
        </is>
      </c>
      <c r="E961" s="484" t="inlineStr">
        <is>
          <t>6170019</t>
        </is>
      </c>
      <c r="F961" s="551" t="n"/>
      <c r="G961" s="484" t="inlineStr">
        <is>
          <t>媚必提直線探頭2.0mm/條</t>
        </is>
      </c>
      <c r="H961" s="552" t="n"/>
      <c r="I961" s="552" t="n"/>
      <c r="J961" s="551" t="n"/>
      <c r="K961" s="140" t="inlineStr">
        <is>
          <t>20000條/顆</t>
        </is>
      </c>
      <c r="L961" s="560" t="n">
        <v>4913</v>
      </c>
      <c r="M961" s="123" t="n"/>
      <c r="N961" s="117" t="n"/>
    </row>
    <row r="962" ht="17.25" customHeight="1" s="453" thickBot="1">
      <c r="A962" s="553">
        <f>IFERROR(LEFT(B962,7),"")</f>
        <v/>
      </c>
      <c r="B962" s="554">
        <f>"2025/12"&amp;D962</f>
        <v/>
      </c>
      <c r="C962" s="559" t="n">
        <v>35</v>
      </c>
      <c r="D962" s="484" t="inlineStr">
        <is>
          <t>站前4樓</t>
        </is>
      </c>
      <c r="E962" s="484" t="inlineStr">
        <is>
          <t>6170020</t>
        </is>
      </c>
      <c r="F962" s="551" t="n"/>
      <c r="G962" s="484" t="inlineStr">
        <is>
          <t>媚必提直線探頭3.0mm/條</t>
        </is>
      </c>
      <c r="H962" s="552" t="n"/>
      <c r="I962" s="552" t="n"/>
      <c r="J962" s="551" t="n"/>
      <c r="K962" s="140" t="inlineStr">
        <is>
          <t>20000條/顆</t>
        </is>
      </c>
      <c r="L962" s="560" t="n">
        <v>9125</v>
      </c>
      <c r="M962" s="123" t="n"/>
      <c r="N962" s="117" t="n"/>
    </row>
    <row r="963" ht="17.25" customHeight="1" s="453" thickBot="1">
      <c r="A963" s="553">
        <f>IFERROR(LEFT(B963,7),"")</f>
        <v/>
      </c>
      <c r="B963" s="554">
        <f>"2025/12"&amp;D963</f>
        <v/>
      </c>
      <c r="C963" s="559" t="n">
        <v>36</v>
      </c>
      <c r="D963" s="484" t="inlineStr">
        <is>
          <t>站前4樓</t>
        </is>
      </c>
      <c r="E963" s="484" t="inlineStr">
        <is>
          <t>6170021</t>
        </is>
      </c>
      <c r="F963" s="551" t="n"/>
      <c r="G963" s="484" t="inlineStr">
        <is>
          <t>媚必提直線探頭4.5mm/條</t>
        </is>
      </c>
      <c r="H963" s="552" t="n"/>
      <c r="I963" s="552" t="n"/>
      <c r="J963" s="551" t="n"/>
      <c r="K963" s="140" t="inlineStr">
        <is>
          <t>20000條/顆</t>
        </is>
      </c>
      <c r="L963" s="560" t="n">
        <v>20204</v>
      </c>
      <c r="M963" s="123" t="n"/>
      <c r="N963" s="117" t="n"/>
    </row>
    <row r="964" ht="17.25" customHeight="1" s="453" thickBot="1">
      <c r="A964" s="553">
        <f>IFERROR(LEFT(B964,7),"")</f>
        <v/>
      </c>
      <c r="B964" s="554">
        <f>"2025/12"&amp;D964</f>
        <v/>
      </c>
      <c r="C964" s="559" t="n">
        <v>37</v>
      </c>
      <c r="D964" s="484" t="inlineStr">
        <is>
          <t>站前4樓</t>
        </is>
      </c>
      <c r="E964" s="484" t="inlineStr">
        <is>
          <t>6170022</t>
        </is>
      </c>
      <c r="F964" s="551" t="n"/>
      <c r="G964" s="484" t="inlineStr">
        <is>
          <t>媚必提直線探頭6.0mm/條</t>
        </is>
      </c>
      <c r="H964" s="552" t="n"/>
      <c r="I964" s="552" t="n"/>
      <c r="J964" s="551" t="n"/>
      <c r="K964" s="140" t="inlineStr">
        <is>
          <t>20000條/顆</t>
        </is>
      </c>
      <c r="L964" s="560" t="n">
        <v>9513</v>
      </c>
      <c r="M964" s="123" t="n"/>
      <c r="N964" s="117" t="n"/>
    </row>
    <row r="965" ht="17.25" customHeight="1" s="453" thickBot="1">
      <c r="A965" s="553">
        <f>IFERROR(LEFT(B965,7),"")</f>
        <v/>
      </c>
      <c r="B965" s="554">
        <f>"2025/12"&amp;D965</f>
        <v/>
      </c>
      <c r="C965" s="559" t="n">
        <v>38</v>
      </c>
      <c r="D965" s="484" t="inlineStr">
        <is>
          <t>站前4樓</t>
        </is>
      </c>
      <c r="E965" s="484" t="inlineStr">
        <is>
          <t>6170028</t>
        </is>
      </c>
      <c r="F965" s="551" t="n"/>
      <c r="G965" s="484" t="inlineStr">
        <is>
          <t>海芙電波探頭0.25cm/發</t>
        </is>
      </c>
      <c r="H965" s="552" t="n"/>
      <c r="I965" s="552" t="n"/>
      <c r="J965" s="551" t="n"/>
      <c r="K965" s="140" t="inlineStr">
        <is>
          <t>6000發/顆</t>
        </is>
      </c>
      <c r="L965" s="560" t="n">
        <v>4720</v>
      </c>
      <c r="M965" s="123" t="n"/>
      <c r="N965" s="117" t="n"/>
    </row>
    <row r="966" ht="17.25" customHeight="1" s="453" thickBot="1">
      <c r="A966" s="553">
        <f>IFERROR(LEFT(B966,7),"")</f>
        <v/>
      </c>
      <c r="B966" s="554">
        <f>"2025/12"&amp;D966</f>
        <v/>
      </c>
      <c r="C966" s="559" t="n">
        <v>39</v>
      </c>
      <c r="D966" s="484" t="inlineStr">
        <is>
          <t>站前4樓</t>
        </is>
      </c>
      <c r="E966" s="484" t="inlineStr">
        <is>
          <t>6170030</t>
        </is>
      </c>
      <c r="F966" s="551" t="n"/>
      <c r="G966" s="484" t="inlineStr">
        <is>
          <t>海芙電波探頭4.0cm/發</t>
        </is>
      </c>
      <c r="H966" s="552" t="n"/>
      <c r="I966" s="552" t="n"/>
      <c r="J966" s="551" t="n"/>
      <c r="K966" s="140" t="inlineStr">
        <is>
          <t>3000發/顆</t>
        </is>
      </c>
      <c r="L966" s="560" t="n">
        <v>30120</v>
      </c>
      <c r="M966" s="123" t="n"/>
      <c r="N966" s="117" t="n"/>
    </row>
    <row r="967" ht="17.25" customHeight="1" s="453" thickBot="1">
      <c r="A967" s="553">
        <f>IFERROR(LEFT(B967,7),"")</f>
        <v/>
      </c>
      <c r="B967" s="554">
        <f>"2025/12"&amp;D967</f>
        <v/>
      </c>
      <c r="C967" s="559" t="n">
        <v>40</v>
      </c>
      <c r="D967" s="484" t="inlineStr">
        <is>
          <t>站前4樓</t>
        </is>
      </c>
      <c r="E967" s="484" t="inlineStr">
        <is>
          <t>6170032</t>
        </is>
      </c>
      <c r="F967" s="551" t="n"/>
      <c r="G967" s="484" t="inlineStr">
        <is>
          <t>立特拉A2筆型探頭3.0mm/ 條</t>
        </is>
      </c>
      <c r="H967" s="552" t="n"/>
      <c r="I967" s="552" t="n"/>
      <c r="J967" s="551" t="n"/>
      <c r="K967" s="140" t="inlineStr">
        <is>
          <t>240000條/顆</t>
        </is>
      </c>
      <c r="L967" s="560" t="n">
        <v>376203</v>
      </c>
      <c r="M967" s="123" t="n"/>
      <c r="N967" s="117" t="n"/>
    </row>
    <row r="968" ht="17.25" customHeight="1" s="453" thickBot="1">
      <c r="A968" s="553">
        <f>IFERROR(LEFT(B968,7),"")</f>
        <v/>
      </c>
      <c r="B968" s="554">
        <f>"2025/12"&amp;D968</f>
        <v/>
      </c>
      <c r="C968" s="559" t="n">
        <v>41</v>
      </c>
      <c r="D968" s="484" t="inlineStr">
        <is>
          <t>站前4樓</t>
        </is>
      </c>
      <c r="E968" s="484" t="inlineStr">
        <is>
          <t>6170033</t>
        </is>
      </c>
      <c r="F968" s="551" t="n"/>
      <c r="G968" s="484" t="inlineStr">
        <is>
          <t>立特拉A2筆型探頭4.5mm/ 條</t>
        </is>
      </c>
      <c r="H968" s="552" t="n"/>
      <c r="I968" s="552" t="n"/>
      <c r="J968" s="551" t="n"/>
      <c r="K968" s="140" t="inlineStr">
        <is>
          <t>240000條/顆</t>
        </is>
      </c>
      <c r="L968" s="560" t="n">
        <v>115752</v>
      </c>
      <c r="M968" s="123" t="n"/>
      <c r="N968" s="117" t="n"/>
    </row>
    <row r="969" ht="17.25" customHeight="1" s="453" thickBot="1">
      <c r="A969" s="553">
        <f>IFERROR(LEFT(B969,7),"")</f>
        <v/>
      </c>
      <c r="B969" s="554">
        <f>"2025/12"&amp;D969</f>
        <v/>
      </c>
      <c r="C969" s="559" t="n">
        <v>42</v>
      </c>
      <c r="D969" s="484" t="inlineStr">
        <is>
          <t>站前4樓</t>
        </is>
      </c>
      <c r="E969" s="484" t="inlineStr">
        <is>
          <t>6170034</t>
        </is>
      </c>
      <c r="F969" s="551" t="n"/>
      <c r="G969" s="484" t="inlineStr">
        <is>
          <t>十蓓電波臉部探頭5cm</t>
        </is>
      </c>
      <c r="H969" s="552" t="n"/>
      <c r="I969" s="552" t="n"/>
      <c r="J969" s="551" t="n"/>
      <c r="K969" s="140" t="inlineStr">
        <is>
          <t>900發/顆</t>
        </is>
      </c>
      <c r="L969" s="560" t="n">
        <v>25700</v>
      </c>
      <c r="M969" s="123" t="n"/>
      <c r="N969" s="117" t="n"/>
    </row>
    <row r="970" ht="17.25" customHeight="1" s="453" thickBot="1">
      <c r="A970" s="553">
        <f>IFERROR(LEFT(B970,7),"")</f>
        <v/>
      </c>
      <c r="B970" s="554">
        <f>"2025/12"&amp;D970</f>
        <v/>
      </c>
      <c r="C970" s="559" t="n">
        <v>43</v>
      </c>
      <c r="D970" s="484" t="inlineStr">
        <is>
          <t>站前4樓</t>
        </is>
      </c>
      <c r="E970" s="484" t="inlineStr">
        <is>
          <t>6170035</t>
        </is>
      </c>
      <c r="F970" s="551" t="n"/>
      <c r="G970" s="484" t="inlineStr">
        <is>
          <t>十蓓電波眼部探頭0.25cm</t>
        </is>
      </c>
      <c r="H970" s="552" t="n"/>
      <c r="I970" s="552" t="n"/>
      <c r="J970" s="551" t="n"/>
      <c r="K970" s="140" t="inlineStr">
        <is>
          <t>600發/顆</t>
        </is>
      </c>
      <c r="L970" s="560" t="n">
        <v>10319</v>
      </c>
      <c r="M970" s="123" t="n"/>
      <c r="N970" s="117" t="n"/>
    </row>
    <row r="971" ht="17.25" customHeight="1" s="453" thickBot="1">
      <c r="A971" s="553">
        <f>IFERROR(LEFT(B971,7),"")</f>
        <v/>
      </c>
      <c r="B971" s="554">
        <f>"2025/12"&amp;D971</f>
        <v/>
      </c>
      <c r="C971" s="559" t="n">
        <v>44</v>
      </c>
      <c r="D971" s="484" t="inlineStr">
        <is>
          <t>站前4樓</t>
        </is>
      </c>
      <c r="E971" s="484" t="inlineStr">
        <is>
          <t>6180005</t>
        </is>
      </c>
      <c r="F971" s="551" t="n"/>
      <c r="G971" s="484" t="inlineStr">
        <is>
          <t>(V)MINT秘特拉提線FINE 18CM/ 條</t>
        </is>
      </c>
      <c r="H971" s="552" t="n"/>
      <c r="I971" s="552" t="n"/>
      <c r="J971" s="551" t="n"/>
      <c r="K971" s="140" t="inlineStr">
        <is>
          <t>20條/盒</t>
        </is>
      </c>
      <c r="L971" s="560" t="n">
        <v>8</v>
      </c>
      <c r="M971" s="123" t="n"/>
      <c r="N971" s="117" t="n"/>
    </row>
    <row r="972" ht="17.25" customHeight="1" s="453" thickBot="1">
      <c r="A972" s="553">
        <f>IFERROR(LEFT(B972,7),"")</f>
        <v/>
      </c>
      <c r="B972" s="554">
        <f>"2025/12"&amp;D972</f>
        <v/>
      </c>
      <c r="C972" s="559" t="n">
        <v>45</v>
      </c>
      <c r="D972" s="484" t="inlineStr">
        <is>
          <t>站前4樓</t>
        </is>
      </c>
      <c r="E972" s="484" t="inlineStr">
        <is>
          <t>6180007</t>
        </is>
      </c>
      <c r="F972" s="551" t="n"/>
      <c r="G972" s="484" t="inlineStr">
        <is>
          <t>(V)MINT秘特拉提線PETIT 15CM/ 條</t>
        </is>
      </c>
      <c r="H972" s="552" t="n"/>
      <c r="I972" s="552" t="n"/>
      <c r="J972" s="551" t="n"/>
      <c r="K972" s="140" t="inlineStr">
        <is>
          <t>20條/盒</t>
        </is>
      </c>
      <c r="L972" s="560" t="n">
        <v>4</v>
      </c>
      <c r="M972" s="123" t="n"/>
      <c r="N972" s="117" t="n"/>
    </row>
    <row r="973" ht="17.25" customHeight="1" s="453" thickBot="1">
      <c r="A973" s="553">
        <f>IFERROR(LEFT(B973,7),"")</f>
        <v/>
      </c>
      <c r="B973" s="554">
        <f>"2025/12"&amp;D973</f>
        <v/>
      </c>
      <c r="C973" s="559" t="n">
        <v>46</v>
      </c>
      <c r="D973" s="484" t="inlineStr">
        <is>
          <t>站前4樓</t>
        </is>
      </c>
      <c r="E973" s="484" t="inlineStr">
        <is>
          <t>6180011</t>
        </is>
      </c>
      <c r="F973" s="551" t="n"/>
      <c r="G973" s="484" t="inlineStr">
        <is>
          <t>(V)MINT秘特拉提線UP 9.5CM/ 條</t>
        </is>
      </c>
      <c r="H973" s="552" t="n"/>
      <c r="I973" s="552" t="n"/>
      <c r="J973" s="551" t="n"/>
      <c r="K973" s="140" t="inlineStr">
        <is>
          <t>10條/盒</t>
        </is>
      </c>
      <c r="L973" s="560" t="n">
        <v>8</v>
      </c>
      <c r="M973" s="123" t="n"/>
      <c r="N973" s="117" t="n"/>
    </row>
    <row r="974" ht="17.25" customHeight="1" s="453" thickBot="1">
      <c r="A974" s="553">
        <f>IFERROR(LEFT(B974,7),"")</f>
        <v/>
      </c>
      <c r="B974" s="554">
        <f>"2025/12"&amp;D974</f>
        <v/>
      </c>
      <c r="C974" s="559" t="n">
        <v>47</v>
      </c>
      <c r="D974" s="484" t="inlineStr">
        <is>
          <t>站前4樓</t>
        </is>
      </c>
      <c r="E974" s="484" t="inlineStr">
        <is>
          <t>6190002</t>
        </is>
      </c>
      <c r="F974" s="551" t="n"/>
      <c r="G974" s="484" t="inlineStr">
        <is>
          <t>PLT生長因子凍晶製備6入(單瓶)</t>
        </is>
      </c>
      <c r="H974" s="552" t="n"/>
      <c r="I974" s="552" t="n"/>
      <c r="J974" s="551" t="n"/>
      <c r="K974" s="140" t="inlineStr">
        <is>
          <t>瓶(6入/組)</t>
        </is>
      </c>
      <c r="L974" s="560" t="n">
        <v>3</v>
      </c>
      <c r="M974" s="123" t="n"/>
      <c r="N974" s="117" t="n"/>
    </row>
    <row r="975" ht="17.25" customHeight="1" s="453" thickBot="1">
      <c r="A975" s="553">
        <f>IFERROR(LEFT(B975,7),"")</f>
        <v/>
      </c>
      <c r="B975" s="554">
        <f>"2025/12"&amp;D975</f>
        <v/>
      </c>
      <c r="C975" s="559" t="n">
        <v>48</v>
      </c>
      <c r="D975" s="484" t="inlineStr">
        <is>
          <t>站前4樓</t>
        </is>
      </c>
      <c r="E975" s="484" t="inlineStr">
        <is>
          <t>6190003</t>
        </is>
      </c>
      <c r="F975" s="551" t="n"/>
      <c r="G975" s="484" t="inlineStr">
        <is>
          <t>PLT生長因子凍晶製備10入(單瓶)</t>
        </is>
      </c>
      <c r="H975" s="552" t="n"/>
      <c r="I975" s="552" t="n"/>
      <c r="J975" s="551" t="n"/>
      <c r="K975" s="140" t="inlineStr">
        <is>
          <t>瓶(10入/組)</t>
        </is>
      </c>
      <c r="L975" s="560" t="n">
        <v>14</v>
      </c>
      <c r="M975" s="123" t="n"/>
      <c r="N975" s="117" t="n"/>
    </row>
    <row r="976" ht="17.25" customHeight="1" s="453" thickBot="1">
      <c r="A976" s="553">
        <f>IFERROR(LEFT(B976,7),"")</f>
        <v/>
      </c>
      <c r="B976" s="554">
        <f>"2025/12"&amp;D976</f>
        <v/>
      </c>
      <c r="C976" s="559" t="n">
        <v>49</v>
      </c>
      <c r="D976" s="484" t="inlineStr">
        <is>
          <t>站前4樓</t>
        </is>
      </c>
      <c r="E976" s="484" t="inlineStr">
        <is>
          <t>6190004</t>
        </is>
      </c>
      <c r="F976" s="551" t="n"/>
      <c r="G976" s="484" t="inlineStr">
        <is>
          <t>PLT生長因子凍晶製備20入(單瓶)</t>
        </is>
      </c>
      <c r="H976" s="552" t="n"/>
      <c r="I976" s="552" t="n"/>
      <c r="J976" s="551" t="n"/>
      <c r="K976" s="140" t="inlineStr">
        <is>
          <t>瓶(20入/組)</t>
        </is>
      </c>
      <c r="L976" s="560" t="n">
        <v>29</v>
      </c>
      <c r="M976" s="123" t="n"/>
      <c r="N976" s="117" t="n"/>
    </row>
    <row r="977" ht="17.25" customHeight="1" s="453" thickBot="1">
      <c r="A977" s="553">
        <f>IFERROR(LEFT(B977,7),"")</f>
        <v/>
      </c>
      <c r="B977" s="554">
        <f>"2025/12"&amp;D977</f>
        <v/>
      </c>
      <c r="C977" s="559" t="n">
        <v>50</v>
      </c>
      <c r="D977" s="484" t="inlineStr">
        <is>
          <t>站前4樓</t>
        </is>
      </c>
      <c r="E977" s="484" t="inlineStr">
        <is>
          <t>6210002</t>
        </is>
      </c>
      <c r="F977" s="551" t="n"/>
      <c r="G977" s="484" t="inlineStr">
        <is>
          <t>(V)水光針針頭/31G9針/1.2mm/ PCS</t>
        </is>
      </c>
      <c r="H977" s="552" t="n"/>
      <c r="I977" s="552" t="n"/>
      <c r="J977" s="551" t="n"/>
      <c r="K977" s="140" t="inlineStr">
        <is>
          <t>PCS(20入/盒)</t>
        </is>
      </c>
      <c r="L977" s="560" t="n">
        <v>97</v>
      </c>
      <c r="M977" s="123" t="n"/>
      <c r="N977" s="117" t="n"/>
    </row>
    <row r="978" ht="17.25" customHeight="1" s="453" thickBot="1">
      <c r="A978" s="553">
        <f>IFERROR(LEFT(B978,7),"")</f>
        <v/>
      </c>
      <c r="B978" s="554">
        <f>"2025/12"&amp;D978</f>
        <v/>
      </c>
      <c r="C978" s="559" t="n">
        <v>51</v>
      </c>
      <c r="D978" s="484" t="inlineStr">
        <is>
          <t>站前4樓</t>
        </is>
      </c>
      <c r="E978" s="484" t="inlineStr">
        <is>
          <t>6210003</t>
        </is>
      </c>
      <c r="F978" s="551" t="n"/>
      <c r="G978" s="484" t="inlineStr">
        <is>
          <t>(V)水光針針頭/31G9針/1.5mm/ PCS</t>
        </is>
      </c>
      <c r="H978" s="552" t="n"/>
      <c r="I978" s="552" t="n"/>
      <c r="J978" s="551" t="n"/>
      <c r="K978" s="140" t="inlineStr">
        <is>
          <t>PCS(20入/盒)</t>
        </is>
      </c>
      <c r="L978" s="560" t="n">
        <v>24</v>
      </c>
      <c r="M978" s="123" t="n"/>
      <c r="N978" s="117" t="n"/>
    </row>
    <row r="979" ht="17.25" customHeight="1" s="453" thickBot="1">
      <c r="A979" s="553">
        <f>IFERROR(LEFT(B979,7),"")</f>
        <v/>
      </c>
      <c r="B979" s="554">
        <f>"2025/12"&amp;D979</f>
        <v/>
      </c>
      <c r="C979" s="559" t="n">
        <v>52</v>
      </c>
      <c r="D979" s="484" t="inlineStr">
        <is>
          <t>站前4樓</t>
        </is>
      </c>
      <c r="E979" s="484" t="inlineStr">
        <is>
          <t>6210005</t>
        </is>
      </c>
      <c r="F979" s="551" t="n"/>
      <c r="G979" s="484" t="inlineStr">
        <is>
          <t>(V)水光針針頭/32G9針/1.0mm/ PCS</t>
        </is>
      </c>
      <c r="H979" s="552" t="n"/>
      <c r="I979" s="552" t="n"/>
      <c r="J979" s="551" t="n"/>
      <c r="K979" s="140" t="inlineStr">
        <is>
          <t>PCS(20入/盒)</t>
        </is>
      </c>
      <c r="L979" s="560" t="n">
        <v>5</v>
      </c>
      <c r="M979" s="123" t="n"/>
      <c r="N979" s="117" t="n"/>
    </row>
    <row r="980" ht="17.25" customHeight="1" s="453" thickBot="1">
      <c r="A980" s="553">
        <f>IFERROR(LEFT(B980,7),"")</f>
        <v/>
      </c>
      <c r="B980" s="554">
        <f>"2025/12"&amp;D980</f>
        <v/>
      </c>
      <c r="C980" s="559" t="n">
        <v>53</v>
      </c>
      <c r="D980" s="484" t="inlineStr">
        <is>
          <t>站前4樓</t>
        </is>
      </c>
      <c r="E980" s="484" t="inlineStr">
        <is>
          <t>6210006</t>
        </is>
      </c>
      <c r="F980" s="551" t="n"/>
      <c r="G980" s="484" t="inlineStr">
        <is>
          <t>(V)麗珠蘭修復水光(A劑2ml+B劑2ml)</t>
        </is>
      </c>
      <c r="H980" s="552" t="n"/>
      <c r="I980" s="552" t="n"/>
      <c r="J980" s="551" t="n"/>
      <c r="K980" s="140" t="inlineStr">
        <is>
          <t>2ml*2</t>
        </is>
      </c>
      <c r="L980" s="560" t="n">
        <v>4</v>
      </c>
      <c r="M980" s="123" t="n"/>
      <c r="N980" s="117" t="n"/>
    </row>
    <row r="981" ht="17.25" customHeight="1" s="453" thickBot="1">
      <c r="A981" s="553">
        <f>IFERROR(LEFT(B981,7),"")</f>
        <v/>
      </c>
      <c r="B981" s="554">
        <f>"2025/12"&amp;D981</f>
        <v/>
      </c>
      <c r="C981" s="559" t="n">
        <v>54</v>
      </c>
      <c r="D981" s="484" t="inlineStr">
        <is>
          <t>站前4樓</t>
        </is>
      </c>
      <c r="E981" s="484" t="inlineStr">
        <is>
          <t>6210007</t>
        </is>
      </c>
      <c r="F981" s="551" t="n"/>
      <c r="G981" s="484" t="inlineStr">
        <is>
          <t>(V)麗珠蘭白瓷水光(A劑2ml+B劑2ml)</t>
        </is>
      </c>
      <c r="H981" s="552" t="n"/>
      <c r="I981" s="552" t="n"/>
      <c r="J981" s="551" t="n"/>
      <c r="K981" s="140" t="inlineStr">
        <is>
          <t>2ml*2</t>
        </is>
      </c>
      <c r="L981" s="560" t="n">
        <v>4</v>
      </c>
      <c r="M981" s="123" t="n"/>
      <c r="N981" s="117" t="n"/>
    </row>
    <row r="982" ht="17.25" customHeight="1" s="453" thickBot="1">
      <c r="A982" s="553">
        <f>IFERROR(LEFT(B982,7),"")</f>
        <v/>
      </c>
      <c r="B982" s="554">
        <f>"2025/12"&amp;D982</f>
        <v/>
      </c>
      <c r="C982" s="559" t="n">
        <v>55</v>
      </c>
      <c r="D982" s="484" t="inlineStr">
        <is>
          <t>站前4樓</t>
        </is>
      </c>
      <c r="E982" s="484" t="inlineStr">
        <is>
          <t>6210008</t>
        </is>
      </c>
      <c r="F982" s="551" t="n"/>
      <c r="G982" s="484" t="inlineStr">
        <is>
          <t>微針筆針頭</t>
        </is>
      </c>
      <c r="H982" s="552" t="n"/>
      <c r="I982" s="552" t="n"/>
      <c r="J982" s="551" t="n"/>
      <c r="K982" s="140" t="inlineStr">
        <is>
          <t>PCS(33入/盒)</t>
        </is>
      </c>
      <c r="L982" s="560" t="n">
        <v>3</v>
      </c>
      <c r="M982" s="123" t="n"/>
      <c r="N982" s="117" t="n"/>
    </row>
    <row r="983" ht="17.25" customHeight="1" s="453" thickBot="1">
      <c r="A983" s="553">
        <f>IFERROR(LEFT(B983,7),"")</f>
        <v/>
      </c>
      <c r="B983" s="554">
        <f>"2025/12"&amp;D983</f>
        <v/>
      </c>
      <c r="C983" s="559" t="n">
        <v>56</v>
      </c>
      <c r="D983" s="484" t="inlineStr">
        <is>
          <t>站前4樓</t>
        </is>
      </c>
      <c r="E983" s="484" t="inlineStr">
        <is>
          <t>6220005</t>
        </is>
      </c>
      <c r="F983" s="551" t="n"/>
      <c r="G983" s="484" t="inlineStr">
        <is>
          <t>海菲秀深藍端頭/ 顆</t>
        </is>
      </c>
      <c r="H983" s="552" t="n"/>
      <c r="I983" s="552" t="n"/>
      <c r="J983" s="551" t="n"/>
      <c r="K983" s="140" t="inlineStr">
        <is>
          <t>15顆/串</t>
        </is>
      </c>
      <c r="L983" s="560" t="n">
        <v>725</v>
      </c>
      <c r="M983" s="123" t="n"/>
      <c r="N983" s="117" t="n"/>
    </row>
    <row r="984" ht="17.25" customHeight="1" s="453" thickBot="1">
      <c r="A984" s="553">
        <f>IFERROR(LEFT(B984,7),"")</f>
        <v/>
      </c>
      <c r="B984" s="554">
        <f>"2025/12"&amp;D984</f>
        <v/>
      </c>
      <c r="C984" s="559" t="n">
        <v>57</v>
      </c>
      <c r="D984" s="484" t="inlineStr">
        <is>
          <t>站前4樓</t>
        </is>
      </c>
      <c r="E984" s="484" t="inlineStr">
        <is>
          <t>6220006</t>
        </is>
      </c>
      <c r="F984" s="551" t="n"/>
      <c r="G984" s="484" t="inlineStr">
        <is>
          <t>海菲秀淺藍端頭/ 顆</t>
        </is>
      </c>
      <c r="H984" s="552" t="n"/>
      <c r="I984" s="552" t="n"/>
      <c r="J984" s="551" t="n"/>
      <c r="K984" s="140" t="inlineStr">
        <is>
          <t>15顆/串</t>
        </is>
      </c>
      <c r="L984" s="560" t="n">
        <v>725</v>
      </c>
      <c r="M984" s="123" t="n"/>
      <c r="N984" s="117" t="n"/>
    </row>
    <row r="985" ht="17.25" customHeight="1" s="453" thickBot="1">
      <c r="A985" s="553">
        <f>IFERROR(LEFT(B985,7),"")</f>
        <v/>
      </c>
      <c r="B985" s="554">
        <f>"2025/12"&amp;D985</f>
        <v/>
      </c>
      <c r="C985" s="559" t="n">
        <v>58</v>
      </c>
      <c r="D985" s="484" t="inlineStr">
        <is>
          <t>站前4樓</t>
        </is>
      </c>
      <c r="E985" s="484" t="inlineStr">
        <is>
          <t>6220007</t>
        </is>
      </c>
      <c r="F985" s="551" t="n"/>
      <c r="G985" s="484" t="inlineStr">
        <is>
          <t>海菲秀透明端頭/ 顆</t>
        </is>
      </c>
      <c r="H985" s="552" t="n"/>
      <c r="I985" s="552" t="n"/>
      <c r="J985" s="551" t="n"/>
      <c r="K985" s="140" t="inlineStr">
        <is>
          <t>15顆/串</t>
        </is>
      </c>
      <c r="L985" s="560" t="n">
        <v>725</v>
      </c>
      <c r="M985" s="123" t="n"/>
      <c r="N985" s="117" t="n"/>
    </row>
    <row r="986" ht="17.25" customHeight="1" s="453" thickBot="1">
      <c r="A986" s="553">
        <f>IFERROR(LEFT(B986,7),"")</f>
        <v/>
      </c>
      <c r="B986" s="554">
        <f>"2025/12"&amp;D986</f>
        <v/>
      </c>
      <c r="C986" s="559" t="n">
        <v>59</v>
      </c>
      <c r="D986" s="484" t="inlineStr">
        <is>
          <t>站前4樓</t>
        </is>
      </c>
      <c r="E986" s="484" t="inlineStr">
        <is>
          <t>6220012</t>
        </is>
      </c>
      <c r="F986" s="551" t="n"/>
      <c r="G986" s="484" t="inlineStr">
        <is>
          <t>(V)(第一劑)海菲秀 Activ-4 Skin Solution/mL</t>
        </is>
      </c>
      <c r="H986" s="552" t="n"/>
      <c r="I986" s="552" t="n"/>
      <c r="J986" s="551" t="n"/>
      <c r="K986" s="140" t="inlineStr">
        <is>
          <t>236ml/瓶</t>
        </is>
      </c>
      <c r="L986" s="560" t="n">
        <v>10861</v>
      </c>
      <c r="M986" s="123" t="n"/>
      <c r="N986" s="117" t="n"/>
    </row>
    <row r="987" ht="17.25" customHeight="1" s="453" thickBot="1">
      <c r="A987" s="553">
        <f>IFERROR(LEFT(B987,7),"")</f>
        <v/>
      </c>
      <c r="B987" s="554">
        <f>"2025/12"&amp;D987</f>
        <v/>
      </c>
      <c r="C987" s="559" t="n">
        <v>60</v>
      </c>
      <c r="D987" s="484" t="inlineStr">
        <is>
          <t>站前4樓</t>
        </is>
      </c>
      <c r="E987" s="484" t="inlineStr">
        <is>
          <t>6220013</t>
        </is>
      </c>
      <c r="F987" s="551" t="n"/>
      <c r="G987" s="484" t="inlineStr">
        <is>
          <t>(V)(第二劑)海菲秀 Beta-HD Skin Solution /mL</t>
        </is>
      </c>
      <c r="H987" s="552" t="n"/>
      <c r="I987" s="552" t="n"/>
      <c r="J987" s="551" t="n"/>
      <c r="K987" s="140" t="inlineStr">
        <is>
          <t>236ml/瓶</t>
        </is>
      </c>
      <c r="L987" s="560" t="n">
        <v>10861</v>
      </c>
      <c r="M987" s="123" t="n"/>
      <c r="N987" s="117" t="n"/>
    </row>
    <row r="988" ht="17.25" customHeight="1" s="453" thickBot="1">
      <c r="A988" s="553">
        <f>IFERROR(LEFT(B988,7),"")</f>
        <v/>
      </c>
      <c r="B988" s="554">
        <f>"2025/12"&amp;D988</f>
        <v/>
      </c>
      <c r="C988" s="559" t="n">
        <v>61</v>
      </c>
      <c r="D988" s="484" t="inlineStr">
        <is>
          <t>站前4樓</t>
        </is>
      </c>
      <c r="E988" s="484" t="inlineStr">
        <is>
          <t>6220014</t>
        </is>
      </c>
      <c r="F988" s="551" t="n"/>
      <c r="G988" s="484" t="inlineStr">
        <is>
          <t>(V)(第三劑)海菲秀 Antiox-6 Skin Solution /mL</t>
        </is>
      </c>
      <c r="H988" s="552" t="n"/>
      <c r="I988" s="552" t="n"/>
      <c r="J988" s="551" t="n"/>
      <c r="K988" s="140" t="inlineStr">
        <is>
          <t>236ml/瓶</t>
        </is>
      </c>
      <c r="L988" s="560" t="n">
        <v>10861</v>
      </c>
      <c r="M988" s="123" t="n"/>
      <c r="N988" s="117" t="n"/>
    </row>
    <row r="989" ht="17.25" customHeight="1" s="453" thickBot="1">
      <c r="A989" s="553">
        <f>IFERROR(LEFT(B989,7),"")</f>
        <v/>
      </c>
      <c r="B989" s="554">
        <f>"2025/12"&amp;D989</f>
        <v/>
      </c>
      <c r="C989" s="559" t="n">
        <v>62</v>
      </c>
      <c r="D989" s="484" t="inlineStr">
        <is>
          <t>站前4樓</t>
        </is>
      </c>
      <c r="E989" s="484" t="inlineStr">
        <is>
          <t>6220015</t>
        </is>
      </c>
      <c r="F989" s="551" t="n"/>
      <c r="G989" s="484" t="inlineStr">
        <is>
          <t>(V)(第四劑)海菲秀 Rinseaway System Cleaning Solution /mL</t>
        </is>
      </c>
      <c r="H989" s="552" t="n"/>
      <c r="I989" s="552" t="n"/>
      <c r="J989" s="551" t="n"/>
      <c r="K989" s="140" t="inlineStr">
        <is>
          <t>236ml/瓶</t>
        </is>
      </c>
      <c r="L989" s="560" t="n">
        <v>10861</v>
      </c>
      <c r="M989" s="123" t="n"/>
      <c r="N989" s="117" t="n"/>
    </row>
    <row r="990" ht="17.25" customHeight="1" s="453" thickBot="1">
      <c r="A990" s="553">
        <f>IFERROR(LEFT(B990,7),"")</f>
        <v/>
      </c>
      <c r="B990" s="554">
        <f>"2025/12"&amp;D990</f>
        <v/>
      </c>
      <c r="C990" s="559" t="n">
        <v>63</v>
      </c>
      <c r="D990" s="484" t="inlineStr">
        <is>
          <t>站前11樓</t>
        </is>
      </c>
      <c r="E990" s="484" t="inlineStr">
        <is>
          <t>6120001</t>
        </is>
      </c>
      <c r="F990" s="551" t="n"/>
      <c r="G990" s="484" t="inlineStr">
        <is>
          <t>(V)肝得健注射劑/ 瓶，220倍數叫貨</t>
        </is>
      </c>
      <c r="H990" s="552" t="n"/>
      <c r="I990" s="552" t="n"/>
      <c r="J990" s="551" t="n"/>
      <c r="K990" s="140" t="inlineStr">
        <is>
          <t>20支/盒</t>
        </is>
      </c>
      <c r="L990" s="560" t="n">
        <v>550</v>
      </c>
      <c r="M990" s="123" t="n"/>
      <c r="N990" s="117" t="n"/>
    </row>
    <row r="991" ht="17.25" customHeight="1" s="453" thickBot="1">
      <c r="A991" s="553">
        <f>IFERROR(LEFT(B991,7),"")</f>
        <v/>
      </c>
      <c r="B991" s="554">
        <f>"2025/12"&amp;D991</f>
        <v/>
      </c>
      <c r="C991" s="559" t="n">
        <v>64</v>
      </c>
      <c r="D991" s="484" t="inlineStr">
        <is>
          <t>站前11樓</t>
        </is>
      </c>
      <c r="E991" s="484" t="inlineStr">
        <is>
          <t>6120002</t>
        </is>
      </c>
      <c r="F991" s="551" t="n"/>
      <c r="G991" s="484" t="inlineStr">
        <is>
          <t>(V)卡妮丁注射劑/ 瓶，220倍數叫貨</t>
        </is>
      </c>
      <c r="H991" s="552" t="n"/>
      <c r="I991" s="552" t="n"/>
      <c r="J991" s="551" t="n"/>
      <c r="K991" s="140" t="inlineStr">
        <is>
          <t>20支/盒</t>
        </is>
      </c>
      <c r="L991" s="560" t="n">
        <v>673.5</v>
      </c>
      <c r="M991" s="123" t="n"/>
      <c r="N991" s="117" t="n"/>
    </row>
    <row r="992" ht="17.25" customHeight="1" s="453" thickBot="1">
      <c r="A992" s="553">
        <f>IFERROR(LEFT(B992,7),"")</f>
        <v/>
      </c>
      <c r="B992" s="554">
        <f>"2025/12"&amp;D992</f>
        <v/>
      </c>
      <c r="C992" s="559" t="n">
        <v>65</v>
      </c>
      <c r="D992" s="484" t="inlineStr">
        <is>
          <t>站前11樓</t>
        </is>
      </c>
      <c r="E992" s="484" t="inlineStr">
        <is>
          <t>6120003</t>
        </is>
      </c>
      <c r="F992" s="551" t="n"/>
      <c r="G992" s="484" t="inlineStr">
        <is>
          <t>(V)貝力多(雙胜胺) 20% 30mL/ 瓶，50倍數叫貨</t>
        </is>
      </c>
      <c r="H992" s="552" t="n"/>
      <c r="I992" s="552" t="n"/>
      <c r="J992" s="551" t="n"/>
      <c r="K992" s="140" t="inlineStr">
        <is>
          <t>10支/盒</t>
        </is>
      </c>
      <c r="L992" s="560" t="n">
        <v>11</v>
      </c>
      <c r="M992" s="123" t="n"/>
      <c r="N992" s="117" t="n"/>
    </row>
    <row r="993" ht="17.25" customHeight="1" s="453" thickBot="1">
      <c r="A993" s="553">
        <f>IFERROR(LEFT(B993,7),"")</f>
        <v/>
      </c>
      <c r="B993" s="554">
        <f>"2025/12"&amp;D993</f>
        <v/>
      </c>
      <c r="C993" s="559" t="n">
        <v>66</v>
      </c>
      <c r="D993" s="484" t="inlineStr">
        <is>
          <t>站前11樓</t>
        </is>
      </c>
      <c r="E993" s="484" t="inlineStr">
        <is>
          <t>6120004</t>
        </is>
      </c>
      <c r="F993" s="551" t="n"/>
      <c r="G993" s="484" t="inlineStr">
        <is>
          <t>(V)胺基酸點滴250ml/ 袋(安命活源/嘉安命)，20倍數叫貨</t>
        </is>
      </c>
      <c r="H993" s="552" t="n"/>
      <c r="I993" s="552" t="n"/>
      <c r="J993" s="551" t="n"/>
      <c r="K993" s="140" t="inlineStr">
        <is>
          <t>(20瓶/箱)</t>
        </is>
      </c>
      <c r="L993" s="560" t="n">
        <v>32</v>
      </c>
      <c r="M993" s="123" t="n"/>
      <c r="N993" s="117" t="n"/>
    </row>
    <row r="994" ht="17.25" customHeight="1" s="453" thickBot="1">
      <c r="A994" s="553">
        <f>IFERROR(LEFT(B994,7),"")</f>
        <v/>
      </c>
      <c r="B994" s="554">
        <f>"2025/12"&amp;D994</f>
        <v/>
      </c>
      <c r="C994" s="559" t="n">
        <v>67</v>
      </c>
      <c r="D994" s="484" t="inlineStr">
        <is>
          <t>站前11樓</t>
        </is>
      </c>
      <c r="E994" s="484" t="inlineStr">
        <is>
          <t>6120006</t>
        </is>
      </c>
      <c r="F994" s="551" t="n"/>
      <c r="G994" s="484" t="inlineStr">
        <is>
          <t>(V)(B12) 愛壽命 2mL，100倍數叫貨</t>
        </is>
      </c>
      <c r="H994" s="552" t="n"/>
      <c r="I994" s="552" t="n"/>
      <c r="J994" s="551" t="n"/>
      <c r="K994" s="140" t="inlineStr">
        <is>
          <t>(100支/盒)</t>
        </is>
      </c>
      <c r="L994" s="560" t="n">
        <v>276</v>
      </c>
      <c r="M994" s="123" t="n"/>
      <c r="N994" s="117" t="n"/>
    </row>
    <row r="995" ht="17.25" customHeight="1" s="453" thickBot="1">
      <c r="A995" s="553">
        <f>IFERROR(LEFT(B995,7),"")</f>
        <v/>
      </c>
      <c r="B995" s="554">
        <f>"2025/12"&amp;D995</f>
        <v/>
      </c>
      <c r="C995" s="559" t="n">
        <v>68</v>
      </c>
      <c r="D995" s="484" t="inlineStr">
        <is>
          <t>站前11樓</t>
        </is>
      </c>
      <c r="E995" s="484" t="inlineStr">
        <is>
          <t>6120007</t>
        </is>
      </c>
      <c r="F995" s="551" t="n"/>
      <c r="G995" s="484" t="inlineStr">
        <is>
          <t>(V)(硫酸鋅) 1ml/支，100倍數叫貨</t>
        </is>
      </c>
      <c r="H995" s="552" t="n"/>
      <c r="I995" s="552" t="n"/>
      <c r="J995" s="551" t="n"/>
      <c r="K995" s="140" t="inlineStr">
        <is>
          <t>100支/盒</t>
        </is>
      </c>
      <c r="L995" s="560" t="n">
        <v>9</v>
      </c>
      <c r="M995" s="123" t="n"/>
      <c r="N995" s="117" t="n"/>
    </row>
    <row r="996" ht="17.25" customHeight="1" s="453" thickBot="1">
      <c r="A996" s="553">
        <f>IFERROR(LEFT(B996,7),"")</f>
        <v/>
      </c>
      <c r="B996" s="554">
        <f>"2025/12"&amp;D996</f>
        <v/>
      </c>
      <c r="C996" s="559" t="n">
        <v>69</v>
      </c>
      <c r="D996" s="484" t="inlineStr">
        <is>
          <t>站前11樓</t>
        </is>
      </c>
      <c r="E996" s="484" t="inlineStr">
        <is>
          <t>6120008</t>
        </is>
      </c>
      <c r="F996" s="551" t="n"/>
      <c r="G996" s="484" t="inlineStr">
        <is>
          <t>(V)(硫酸鎂) 注射液 20ml/支</t>
        </is>
      </c>
      <c r="H996" s="552" t="n"/>
      <c r="I996" s="552" t="n"/>
      <c r="J996" s="551" t="n"/>
      <c r="K996" s="140" t="inlineStr">
        <is>
          <t>60支/盒</t>
        </is>
      </c>
      <c r="L996" s="560" t="n">
        <v>1</v>
      </c>
      <c r="M996" s="123" t="n"/>
      <c r="N996" s="117" t="n"/>
    </row>
    <row r="997" ht="17.25" customHeight="1" s="453" thickBot="1">
      <c r="A997" s="553">
        <f>IFERROR(LEFT(B997,7),"")</f>
        <v/>
      </c>
      <c r="B997" s="554">
        <f>"2025/12"&amp;D997</f>
        <v/>
      </c>
      <c r="C997" s="559" t="n">
        <v>70</v>
      </c>
      <c r="D997" s="484" t="inlineStr">
        <is>
          <t>站前11樓</t>
        </is>
      </c>
      <c r="E997" s="484" t="inlineStr">
        <is>
          <t>6120009</t>
        </is>
      </c>
      <c r="F997" s="551" t="n"/>
      <c r="G997" s="484" t="inlineStr">
        <is>
          <t>(V)(B1) 硫胺明 2ml</t>
        </is>
      </c>
      <c r="H997" s="552" t="n"/>
      <c r="I997" s="552" t="n"/>
      <c r="J997" s="551" t="n"/>
      <c r="K997" s="140" t="inlineStr">
        <is>
          <t>支(100支/盒)</t>
        </is>
      </c>
      <c r="L997" s="560" t="n">
        <v>8</v>
      </c>
      <c r="M997" s="123" t="n"/>
      <c r="N997" s="117" t="n"/>
    </row>
    <row r="998" ht="17.25" customHeight="1" s="453" thickBot="1">
      <c r="A998" s="553">
        <f>IFERROR(LEFT(B998,7),"")</f>
        <v/>
      </c>
      <c r="B998" s="554">
        <f>"2025/12"&amp;D998</f>
        <v/>
      </c>
      <c r="C998" s="559" t="n">
        <v>71</v>
      </c>
      <c r="D998" s="484" t="inlineStr">
        <is>
          <t>站前11樓</t>
        </is>
      </c>
      <c r="E998" s="484" t="inlineStr">
        <is>
          <t>6120010</t>
        </is>
      </c>
      <c r="F998" s="551" t="n"/>
      <c r="G998" s="484" t="inlineStr">
        <is>
          <t>(V)(B6) 活性維生素 2ml，100倍數叫貨</t>
        </is>
      </c>
      <c r="H998" s="552" t="n"/>
      <c r="I998" s="552" t="n"/>
      <c r="J998" s="551" t="n"/>
      <c r="K998" s="140" t="inlineStr">
        <is>
          <t>(100支/盒)</t>
        </is>
      </c>
      <c r="L998" s="560" t="n">
        <v>8</v>
      </c>
      <c r="M998" s="123" t="n"/>
      <c r="N998" s="117" t="n"/>
    </row>
    <row r="999" ht="17.25" customHeight="1" s="453" thickBot="1">
      <c r="A999" s="553">
        <f>IFERROR(LEFT(B999,7),"")</f>
        <v/>
      </c>
      <c r="B999" s="554">
        <f>"2025/12"&amp;D999</f>
        <v/>
      </c>
      <c r="C999" s="559" t="n">
        <v>72</v>
      </c>
      <c r="D999" s="484" t="inlineStr">
        <is>
          <t>站前11樓</t>
        </is>
      </c>
      <c r="E999" s="484" t="inlineStr">
        <is>
          <t>6120011</t>
        </is>
      </c>
      <c r="F999" s="551" t="n"/>
      <c r="G999" s="484" t="inlineStr">
        <is>
          <t>(V)(硒) 西寧特 2ml/支</t>
        </is>
      </c>
      <c r="H999" s="552" t="n"/>
      <c r="I999" s="552" t="n"/>
      <c r="J999" s="551" t="n"/>
      <c r="K999" s="140" t="inlineStr">
        <is>
          <t>10支/盒</t>
        </is>
      </c>
      <c r="L999" s="560" t="n">
        <v>9</v>
      </c>
      <c r="M999" s="123" t="n"/>
      <c r="N999" s="117" t="n"/>
    </row>
    <row r="1000" ht="17.25" customHeight="1" s="453" thickBot="1">
      <c r="A1000" s="553">
        <f>IFERROR(LEFT(B1000,7),"")</f>
        <v/>
      </c>
      <c r="B1000" s="554">
        <f>"2025/12"&amp;D1000</f>
        <v/>
      </c>
      <c r="C1000" s="559" t="n">
        <v>73</v>
      </c>
      <c r="D1000" s="484" t="inlineStr">
        <is>
          <t>站前11樓</t>
        </is>
      </c>
      <c r="E1000" s="484" t="inlineStr">
        <is>
          <t>6120013</t>
        </is>
      </c>
      <c r="F1000" s="551" t="n"/>
      <c r="G1000" s="484" t="inlineStr">
        <is>
          <t>(V)生理食鹽水(NS) 250ml/ 袋</t>
        </is>
      </c>
      <c r="H1000" s="552" t="n"/>
      <c r="I1000" s="552" t="n"/>
      <c r="J1000" s="551" t="n"/>
      <c r="K1000" s="140" t="inlineStr">
        <is>
          <t>40瓶/箱</t>
        </is>
      </c>
      <c r="L1000" s="560" t="n">
        <v>248</v>
      </c>
      <c r="M1000" s="123" t="n"/>
      <c r="N1000" s="117" t="n"/>
    </row>
    <row r="1001" ht="17.25" customHeight="1" s="453" thickBot="1">
      <c r="A1001" s="553">
        <f>IFERROR(LEFT(B1001,7),"")</f>
        <v/>
      </c>
      <c r="B1001" s="554">
        <f>"2025/12"&amp;D1001</f>
        <v/>
      </c>
      <c r="C1001" s="559" t="n">
        <v>74</v>
      </c>
      <c r="D1001" s="484" t="inlineStr">
        <is>
          <t>站前11樓</t>
        </is>
      </c>
      <c r="E1001" s="484" t="inlineStr">
        <is>
          <t>6120014</t>
        </is>
      </c>
      <c r="F1001" s="551" t="n"/>
      <c r="G1001" s="484" t="inlineStr">
        <is>
          <t>(V)葡萄糖水(D5W) 250ml/袋</t>
        </is>
      </c>
      <c r="H1001" s="552" t="n"/>
      <c r="I1001" s="552" t="n"/>
      <c r="J1001" s="551" t="n"/>
      <c r="K1001" s="140" t="inlineStr">
        <is>
          <t>60袋/箱</t>
        </is>
      </c>
      <c r="L1001" s="560" t="n">
        <v>463</v>
      </c>
      <c r="M1001" s="123" t="n"/>
      <c r="N1001" s="117" t="n"/>
    </row>
    <row r="1002" ht="17.25" customHeight="1" s="453" thickBot="1">
      <c r="A1002" s="553">
        <f>IFERROR(LEFT(B1002,7),"")</f>
        <v/>
      </c>
      <c r="B1002" s="554">
        <f>"2025/12"&amp;D1002</f>
        <v/>
      </c>
      <c r="C1002" s="559" t="n">
        <v>75</v>
      </c>
      <c r="D1002" s="484" t="inlineStr">
        <is>
          <t>站前11樓</t>
        </is>
      </c>
      <c r="E1002" s="484" t="inlineStr">
        <is>
          <t>6120015</t>
        </is>
      </c>
      <c r="F1002" s="551" t="n"/>
      <c r="G1002" s="484" t="inlineStr">
        <is>
          <t>(V)(B群)淘能美複合維他命B 2ml，100倍數叫貨</t>
        </is>
      </c>
      <c r="H1002" s="552" t="n"/>
      <c r="I1002" s="552" t="n"/>
      <c r="J1002" s="551" t="n"/>
      <c r="K1002" s="140" t="n"/>
      <c r="L1002" s="560" t="n">
        <v>25</v>
      </c>
      <c r="M1002" s="123" t="n"/>
      <c r="N1002" s="117" t="n"/>
    </row>
    <row r="1003" ht="17.25" customHeight="1" s="453" thickBot="1">
      <c r="A1003" s="553">
        <f>IFERROR(LEFT(B1003,7),"")</f>
        <v/>
      </c>
      <c r="B1003" s="554">
        <f>"2025/12"&amp;D1003</f>
        <v/>
      </c>
      <c r="C1003" s="559" t="n">
        <v>76</v>
      </c>
      <c r="D1003" s="484" t="inlineStr">
        <is>
          <t>站前11樓</t>
        </is>
      </c>
      <c r="E1003" s="484" t="inlineStr">
        <is>
          <t>6120016</t>
        </is>
      </c>
      <c r="F1003" s="551" t="n"/>
      <c r="G1003" s="484" t="inlineStr">
        <is>
          <t>(V)(榖胱肝肽) 克樂達養200mg (20ml/瓶)</t>
        </is>
      </c>
      <c r="H1003" s="552" t="n"/>
      <c r="I1003" s="552" t="n"/>
      <c r="J1003" s="551" t="n"/>
      <c r="K1003" s="140" t="inlineStr">
        <is>
          <t>50支/盒</t>
        </is>
      </c>
      <c r="L1003" s="560" t="n">
        <v>25</v>
      </c>
      <c r="M1003" s="123" t="n"/>
      <c r="N1003" s="117" t="n"/>
    </row>
    <row r="1004" ht="17.25" customHeight="1" s="453" thickBot="1">
      <c r="A1004" s="553">
        <f>IFERROR(LEFT(B1004,7),"")</f>
        <v/>
      </c>
      <c r="B1004" s="554">
        <f>"2025/12"&amp;D1004</f>
        <v/>
      </c>
      <c r="C1004" s="559" t="n">
        <v>77</v>
      </c>
      <c r="D1004" s="484" t="inlineStr">
        <is>
          <t>站前11樓</t>
        </is>
      </c>
      <c r="E1004" s="484" t="inlineStr">
        <is>
          <t>6120017</t>
        </is>
      </c>
      <c r="F1004" s="551" t="n"/>
      <c r="G1004" s="484" t="inlineStr">
        <is>
          <t>(V)保肝 5ml/支</t>
        </is>
      </c>
      <c r="H1004" s="552" t="n"/>
      <c r="I1004" s="552" t="n"/>
      <c r="J1004" s="551" t="n"/>
      <c r="K1004" s="140" t="inlineStr">
        <is>
          <t>50支/盒</t>
        </is>
      </c>
      <c r="L1004" s="560" t="n">
        <v>1</v>
      </c>
      <c r="M1004" s="123" t="n"/>
      <c r="N1004" s="117" t="n"/>
    </row>
    <row r="1005" ht="17.25" customHeight="1" s="453" thickBot="1">
      <c r="A1005" s="553">
        <f>IFERROR(LEFT(B1005,7),"")</f>
        <v/>
      </c>
      <c r="B1005" s="554">
        <f>"2025/12"&amp;D1005</f>
        <v/>
      </c>
      <c r="C1005" s="559" t="n">
        <v>78</v>
      </c>
      <c r="D1005" s="484" t="inlineStr">
        <is>
          <t>站前11樓</t>
        </is>
      </c>
      <c r="E1005" s="484" t="inlineStr">
        <is>
          <t>6120021</t>
        </is>
      </c>
      <c r="F1005" s="551" t="n"/>
      <c r="G1005" s="484" t="inlineStr">
        <is>
          <t>(V)(Vit C)(抗壞血酸/諾貝爾)20ml，50倍數下單</t>
        </is>
      </c>
      <c r="H1005" s="552" t="n"/>
      <c r="I1005" s="552" t="n"/>
      <c r="J1005" s="551" t="n"/>
      <c r="K1005" s="140" t="inlineStr">
        <is>
          <t>50支/盒</t>
        </is>
      </c>
      <c r="L1005" s="560" t="n">
        <v>26</v>
      </c>
      <c r="M1005" s="123" t="n"/>
      <c r="N1005" s="117" t="n"/>
    </row>
    <row r="1006" ht="17.25" customHeight="1" s="453" thickBot="1">
      <c r="A1006" s="553">
        <f>IFERROR(LEFT(B1006,7),"")</f>
        <v/>
      </c>
      <c r="B1006" s="554">
        <f>"2025/12"&amp;D1006</f>
        <v/>
      </c>
      <c r="C1006" s="559" t="n">
        <v>79</v>
      </c>
      <c r="D1006" s="484" t="inlineStr">
        <is>
          <t>站前11樓</t>
        </is>
      </c>
      <c r="E1006" s="484" t="inlineStr">
        <is>
          <t>6120036</t>
        </is>
      </c>
      <c r="F1006" s="551" t="n"/>
      <c r="G1006" s="484" t="inlineStr">
        <is>
          <t>(V)貝力多(雙胜胺) 20% 50mL/ 瓶，50倍數下單</t>
        </is>
      </c>
      <c r="H1006" s="552" t="n"/>
      <c r="I1006" s="552" t="n"/>
      <c r="J1006" s="551" t="n"/>
      <c r="K1006" s="140" t="inlineStr">
        <is>
          <t>瓶(10瓶/盒)</t>
        </is>
      </c>
      <c r="L1006" s="560" t="n">
        <v>12</v>
      </c>
      <c r="M1006" s="123" t="n"/>
      <c r="N1006" s="117" t="n"/>
    </row>
    <row r="1007" ht="17.25" customHeight="1" s="453" thickBot="1">
      <c r="A1007" s="553">
        <f>IFERROR(LEFT(B1007,7),"")</f>
        <v/>
      </c>
      <c r="B1007" s="554">
        <f>"2025/12"&amp;D1007</f>
        <v/>
      </c>
      <c r="C1007" s="559" t="n">
        <v>80</v>
      </c>
      <c r="D1007" s="484" t="inlineStr">
        <is>
          <t>站前11樓</t>
        </is>
      </c>
      <c r="E1007" s="484" t="inlineStr">
        <is>
          <t>6190005</t>
        </is>
      </c>
      <c r="F1007" s="551" t="n"/>
      <c r="G1007" s="484" t="inlineStr">
        <is>
          <t>(V)氦氖針/ 支</t>
        </is>
      </c>
      <c r="H1007" s="552" t="n"/>
      <c r="I1007" s="552" t="n"/>
      <c r="J1007" s="551" t="n"/>
      <c r="K1007" s="140" t="inlineStr">
        <is>
          <t>(50支/包)</t>
        </is>
      </c>
      <c r="L1007" s="560" t="n">
        <v>20</v>
      </c>
      <c r="M1007" s="123" t="n"/>
      <c r="N1007" s="117" t="n"/>
    </row>
    <row r="1008" ht="17.25" customHeight="1" s="453" thickBot="1">
      <c r="A1008" s="553">
        <f>IFERROR(LEFT(B1008,7),"")</f>
        <v/>
      </c>
      <c r="B1008" s="554">
        <f>"2025/12"&amp;D1008</f>
        <v/>
      </c>
      <c r="C1008" s="559" t="n">
        <v>81</v>
      </c>
      <c r="D1008" s="484" t="inlineStr">
        <is>
          <t>站前11樓</t>
        </is>
      </c>
      <c r="E1008" s="484" t="inlineStr">
        <is>
          <t>6200001</t>
        </is>
      </c>
      <c r="F1008" s="551" t="n"/>
      <c r="G1008" s="484" t="inlineStr">
        <is>
          <t>(V)消脂針-善纖達*1支</t>
        </is>
      </c>
      <c r="H1008" s="552" t="n"/>
      <c r="I1008" s="552" t="n"/>
      <c r="J1008" s="551" t="n"/>
      <c r="K1008" s="140" t="inlineStr">
        <is>
          <t>支</t>
        </is>
      </c>
      <c r="L1008" s="560" t="n">
        <v>99</v>
      </c>
      <c r="M1008" s="123" t="n"/>
      <c r="N1008" s="117" t="n"/>
    </row>
    <row r="1009" ht="17.25" customHeight="1" s="453" thickBot="1">
      <c r="A1009" s="553">
        <f>IFERROR(LEFT(B1009,7),"")</f>
        <v/>
      </c>
      <c r="B1009" s="554">
        <f>"2025/12"&amp;D1009</f>
        <v/>
      </c>
      <c r="C1009" s="559" t="n">
        <v>82</v>
      </c>
      <c r="D1009" s="484" t="inlineStr">
        <is>
          <t>站前11樓</t>
        </is>
      </c>
      <c r="E1009" s="484" t="inlineStr">
        <is>
          <t>6200004</t>
        </is>
      </c>
      <c r="F1009" s="551" t="n"/>
      <c r="G1009" s="484" t="inlineStr">
        <is>
          <t>阿爾發SAT卡匣/ 發</t>
        </is>
      </c>
      <c r="H1009" s="552" t="n"/>
      <c r="I1009" s="552" t="n"/>
      <c r="J1009" s="551" t="n"/>
      <c r="K1009" s="140" t="inlineStr">
        <is>
          <t>50發/卡</t>
        </is>
      </c>
      <c r="L1009" s="560" t="n">
        <v>1390</v>
      </c>
      <c r="M1009" s="123" t="n"/>
      <c r="N1009" s="117" t="n"/>
    </row>
    <row r="1010" ht="17.25" customHeight="1" s="453" thickBot="1">
      <c r="A1010" s="553">
        <f>IFERROR(LEFT(B1010,7),"")</f>
        <v/>
      </c>
      <c r="B1010" s="554">
        <f>"2025/12"&amp;D1010</f>
        <v/>
      </c>
      <c r="C1010" s="559" t="n">
        <v>83</v>
      </c>
      <c r="D1010" s="484" t="inlineStr">
        <is>
          <t>站前11樓</t>
        </is>
      </c>
      <c r="E1010" s="484" t="inlineStr">
        <is>
          <t>6200008</t>
        </is>
      </c>
      <c r="F1010" s="551" t="n"/>
      <c r="G1010" s="484" t="inlineStr">
        <is>
          <t>瘦瘦筆-週纖達*1支(0.25mg)</t>
        </is>
      </c>
      <c r="H1010" s="552" t="n"/>
      <c r="I1010" s="552" t="n"/>
      <c r="J1010" s="551" t="n"/>
      <c r="K1010" s="140" t="inlineStr">
        <is>
          <t>支</t>
        </is>
      </c>
      <c r="L1010" s="560" t="n">
        <v>6</v>
      </c>
      <c r="M1010" s="123" t="n"/>
      <c r="N1010" s="117" t="n"/>
    </row>
    <row r="1011" ht="17.25" customHeight="1" s="453" thickBot="1">
      <c r="A1011" s="553">
        <f>IFERROR(LEFT(B1011,7),"")</f>
        <v/>
      </c>
      <c r="B1011" s="554">
        <f>"2025/12"&amp;D1011</f>
        <v/>
      </c>
      <c r="C1011" s="559" t="n">
        <v>84</v>
      </c>
      <c r="D1011" s="484" t="inlineStr">
        <is>
          <t>站前11樓</t>
        </is>
      </c>
      <c r="E1011" s="484" t="inlineStr">
        <is>
          <t>6200010</t>
        </is>
      </c>
      <c r="F1011" s="551" t="n"/>
      <c r="G1011" s="484" t="inlineStr">
        <is>
          <t>瘦瘦筆-週纖達*1支(1.0mg)</t>
        </is>
      </c>
      <c r="H1011" s="552" t="n"/>
      <c r="I1011" s="552" t="n"/>
      <c r="J1011" s="551" t="n"/>
      <c r="K1011" s="140" t="inlineStr">
        <is>
          <t>支</t>
        </is>
      </c>
      <c r="L1011" s="560" t="n">
        <v>9</v>
      </c>
      <c r="M1011" s="123" t="n"/>
      <c r="N1011" s="117" t="n"/>
    </row>
    <row r="1012" ht="17.25" customHeight="1" s="453" thickBot="1">
      <c r="A1012" s="553">
        <f>IFERROR(LEFT(B1012,7),"")</f>
        <v/>
      </c>
      <c r="B1012" s="554">
        <f>"2025/12"&amp;D1012</f>
        <v/>
      </c>
      <c r="C1012" s="559" t="n">
        <v>85</v>
      </c>
      <c r="D1012" s="484" t="inlineStr">
        <is>
          <t>站前11樓</t>
        </is>
      </c>
      <c r="E1012" s="484" t="inlineStr">
        <is>
          <t>6200016</t>
        </is>
      </c>
      <c r="F1012" s="551" t="n"/>
      <c r="G1012" s="484" t="inlineStr">
        <is>
          <t>(V)猛健樂*1支(10mg)</t>
        </is>
      </c>
      <c r="H1012" s="552" t="n"/>
      <c r="I1012" s="552" t="n"/>
      <c r="J1012" s="551" t="n"/>
      <c r="K1012" s="140" t="inlineStr">
        <is>
          <t>支</t>
        </is>
      </c>
      <c r="L1012" s="560" t="n">
        <v>6</v>
      </c>
      <c r="M1012" s="123" t="n"/>
      <c r="N1012" s="117" t="n"/>
    </row>
    <row r="1013" ht="17.25" customHeight="1" s="453" thickBot="1">
      <c r="A1013" s="553">
        <f>IFERROR(LEFT(B1013,7),"")</f>
        <v/>
      </c>
      <c r="B1013" s="554">
        <f>"2025/12"&amp;D1013</f>
        <v/>
      </c>
      <c r="C1013" s="559" t="n">
        <v>86</v>
      </c>
      <c r="D1013" s="484" t="inlineStr">
        <is>
          <t>站前11樓</t>
        </is>
      </c>
      <c r="E1013" s="484" t="inlineStr">
        <is>
          <t>6200017</t>
        </is>
      </c>
      <c r="F1013" s="551" t="n"/>
      <c r="G1013" s="484" t="inlineStr">
        <is>
          <t>(V)猛健樂10MG/0.15CC</t>
        </is>
      </c>
      <c r="H1013" s="552" t="n"/>
      <c r="I1013" s="552" t="n"/>
      <c r="J1013" s="551" t="n"/>
      <c r="K1013" s="140" t="inlineStr">
        <is>
          <t>3cc/支</t>
        </is>
      </c>
      <c r="L1013" s="560" t="n">
        <v>9</v>
      </c>
      <c r="M1013" s="123" t="n"/>
      <c r="N1013" s="117" t="n"/>
    </row>
    <row r="1014" ht="17.25" customHeight="1" s="453" thickBot="1">
      <c r="A1014" s="553">
        <f>IFERROR(LEFT(B1014,7),"")</f>
        <v/>
      </c>
      <c r="B1014" s="554">
        <f>"2025/12"&amp;D1014</f>
        <v/>
      </c>
      <c r="C1014" s="559" t="n">
        <v>87</v>
      </c>
      <c r="D1014" s="484" t="inlineStr">
        <is>
          <t>站前11樓</t>
        </is>
      </c>
      <c r="E1014" s="484" t="inlineStr">
        <is>
          <t>6200020</t>
        </is>
      </c>
      <c r="F1014" s="551" t="n"/>
      <c r="G1014" s="484" t="inlineStr">
        <is>
          <t>(V)猛健樂7.5MG/0.2CC</t>
        </is>
      </c>
      <c r="H1014" s="552" t="n"/>
      <c r="I1014" s="552" t="n"/>
      <c r="J1014" s="551" t="n"/>
      <c r="K1014" s="140" t="inlineStr">
        <is>
          <t>3cc/支</t>
        </is>
      </c>
      <c r="L1014" s="560" t="n">
        <v>1</v>
      </c>
      <c r="M1014" s="123" t="n"/>
      <c r="N1014" s="117" t="n"/>
    </row>
    <row r="1015" ht="17.25" customHeight="1" s="453" thickBot="1">
      <c r="A1015" s="553">
        <f>IFERROR(LEFT(B1015,7),"")</f>
        <v/>
      </c>
      <c r="B1015" s="554">
        <f>"2025/12"&amp;D1015</f>
        <v/>
      </c>
      <c r="C1015" s="559" t="n">
        <v>88</v>
      </c>
      <c r="D1015" s="484" t="inlineStr">
        <is>
          <t>站前11樓</t>
        </is>
      </c>
      <c r="E1015" s="484" t="inlineStr">
        <is>
          <t>6200021</t>
        </is>
      </c>
      <c r="F1015" s="551" t="n"/>
      <c r="G1015" s="484" t="inlineStr">
        <is>
          <t>(V)猛健樂12.5MG/0.12CC</t>
        </is>
      </c>
      <c r="H1015" s="552" t="n"/>
      <c r="I1015" s="552" t="n"/>
      <c r="J1015" s="551" t="n"/>
      <c r="K1015" s="140" t="inlineStr">
        <is>
          <t>3cc/支</t>
        </is>
      </c>
      <c r="L1015" s="560" t="n">
        <v>457</v>
      </c>
      <c r="M1015" s="123" t="n"/>
      <c r="N1015" s="117" t="n"/>
    </row>
    <row r="1016" ht="17.25" customHeight="1" s="453" thickBot="1">
      <c r="A1016" s="553">
        <f>IFERROR(LEFT(B1016,7),"")</f>
        <v/>
      </c>
      <c r="B1016" s="554">
        <f>"2025/12"&amp;D1016</f>
        <v/>
      </c>
      <c r="C1016" s="559" t="n">
        <v>89</v>
      </c>
      <c r="D1016" s="484" t="inlineStr">
        <is>
          <t>忠孝7樓</t>
        </is>
      </c>
      <c r="E1016" s="484" t="inlineStr">
        <is>
          <t>6120003</t>
        </is>
      </c>
      <c r="F1016" s="551" t="n"/>
      <c r="G1016" s="484" t="inlineStr">
        <is>
          <t>(V)貝力多(雙胜胺) 20% 30mL/ 瓶，50倍數叫貨</t>
        </is>
      </c>
      <c r="H1016" s="552" t="n"/>
      <c r="I1016" s="552" t="n"/>
      <c r="J1016" s="551" t="n"/>
      <c r="K1016" s="140" t="inlineStr">
        <is>
          <t>10支/盒</t>
        </is>
      </c>
      <c r="L1016" s="560" t="n">
        <v>20</v>
      </c>
      <c r="M1016" s="123" t="n"/>
      <c r="N1016" s="117" t="n"/>
    </row>
    <row r="1017" ht="17.25" customHeight="1" s="453" thickBot="1">
      <c r="A1017" s="553">
        <f>IFERROR(LEFT(B1017,7),"")</f>
        <v/>
      </c>
      <c r="B1017" s="554">
        <f>"2025/12"&amp;D1017</f>
        <v/>
      </c>
      <c r="C1017" s="559" t="n">
        <v>90</v>
      </c>
      <c r="D1017" s="484" t="inlineStr">
        <is>
          <t>忠孝7樓</t>
        </is>
      </c>
      <c r="E1017" s="484" t="inlineStr">
        <is>
          <t>6120004</t>
        </is>
      </c>
      <c r="F1017" s="551" t="n"/>
      <c r="G1017" s="484" t="inlineStr">
        <is>
          <t>(V)胺基酸點滴250ml/ 袋(安命活源/嘉安命)，20倍數叫貨</t>
        </is>
      </c>
      <c r="H1017" s="552" t="n"/>
      <c r="I1017" s="552" t="n"/>
      <c r="J1017" s="551" t="n"/>
      <c r="K1017" s="140" t="inlineStr">
        <is>
          <t>(20瓶/箱)</t>
        </is>
      </c>
      <c r="L1017" s="560" t="n">
        <v>36</v>
      </c>
      <c r="M1017" s="123" t="n"/>
      <c r="N1017" s="117" t="n"/>
    </row>
    <row r="1018" ht="17.25" customHeight="1" s="453" thickBot="1">
      <c r="A1018" s="553">
        <f>IFERROR(LEFT(B1018,7),"")</f>
        <v/>
      </c>
      <c r="B1018" s="554">
        <f>"2025/12"&amp;D1018</f>
        <v/>
      </c>
      <c r="C1018" s="559" t="n">
        <v>91</v>
      </c>
      <c r="D1018" s="484" t="inlineStr">
        <is>
          <t>忠孝7樓</t>
        </is>
      </c>
      <c r="E1018" s="484" t="inlineStr">
        <is>
          <t>6120006</t>
        </is>
      </c>
      <c r="F1018" s="551" t="n"/>
      <c r="G1018" s="484" t="inlineStr">
        <is>
          <t>(V)(B12) 愛壽命 2mL，100倍數叫貨</t>
        </is>
      </c>
      <c r="H1018" s="552" t="n"/>
      <c r="I1018" s="552" t="n"/>
      <c r="J1018" s="551" t="n"/>
      <c r="K1018" s="140" t="inlineStr">
        <is>
          <t>(100支/盒)</t>
        </is>
      </c>
      <c r="L1018" s="560" t="n">
        <v>39</v>
      </c>
      <c r="M1018" s="123" t="n"/>
      <c r="N1018" s="117" t="n"/>
    </row>
    <row r="1019" ht="17.25" customHeight="1" s="453" thickBot="1">
      <c r="A1019" s="553">
        <f>IFERROR(LEFT(B1019,7),"")</f>
        <v/>
      </c>
      <c r="B1019" s="554">
        <f>"2025/12"&amp;D1019</f>
        <v/>
      </c>
      <c r="C1019" s="559" t="n">
        <v>92</v>
      </c>
      <c r="D1019" s="484" t="inlineStr">
        <is>
          <t>忠孝7樓</t>
        </is>
      </c>
      <c r="E1019" s="484" t="inlineStr">
        <is>
          <t>6120007</t>
        </is>
      </c>
      <c r="F1019" s="551" t="n"/>
      <c r="G1019" s="484" t="inlineStr">
        <is>
          <t>(V)(硫酸鋅) 1ml/支，100倍數叫貨</t>
        </is>
      </c>
      <c r="H1019" s="552" t="n"/>
      <c r="I1019" s="552" t="n"/>
      <c r="J1019" s="551" t="n"/>
      <c r="K1019" s="140" t="inlineStr">
        <is>
          <t>100支/盒</t>
        </is>
      </c>
      <c r="L1019" s="560" t="n">
        <v>1</v>
      </c>
      <c r="M1019" s="123" t="n"/>
      <c r="N1019" s="117" t="n"/>
    </row>
    <row r="1020" ht="17.25" customHeight="1" s="453" thickBot="1">
      <c r="A1020" s="553">
        <f>IFERROR(LEFT(B1020,7),"")</f>
        <v/>
      </c>
      <c r="B1020" s="554">
        <f>"2025/12"&amp;D1020</f>
        <v/>
      </c>
      <c r="C1020" s="559" t="n">
        <v>93</v>
      </c>
      <c r="D1020" s="484" t="inlineStr">
        <is>
          <t>忠孝7樓</t>
        </is>
      </c>
      <c r="E1020" s="484" t="inlineStr">
        <is>
          <t>6120013</t>
        </is>
      </c>
      <c r="F1020" s="551" t="n"/>
      <c r="G1020" s="484" t="inlineStr">
        <is>
          <t>(V)生理食鹽水(NS) 250ml/ 袋</t>
        </is>
      </c>
      <c r="H1020" s="552" t="n"/>
      <c r="I1020" s="552" t="n"/>
      <c r="J1020" s="551" t="n"/>
      <c r="K1020" s="140" t="inlineStr">
        <is>
          <t>40瓶/箱</t>
        </is>
      </c>
      <c r="L1020" s="560" t="n">
        <v>291</v>
      </c>
      <c r="M1020" s="123" t="n"/>
      <c r="N1020" s="117" t="n"/>
    </row>
    <row r="1021" ht="17.25" customHeight="1" s="453" thickBot="1">
      <c r="A1021" s="553">
        <f>IFERROR(LEFT(B1021,7),"")</f>
        <v/>
      </c>
      <c r="B1021" s="554">
        <f>"2025/12"&amp;D1021</f>
        <v/>
      </c>
      <c r="C1021" s="559" t="n">
        <v>94</v>
      </c>
      <c r="D1021" s="484" t="inlineStr">
        <is>
          <t>忠孝7樓</t>
        </is>
      </c>
      <c r="E1021" s="484" t="inlineStr">
        <is>
          <t>6120015</t>
        </is>
      </c>
      <c r="F1021" s="551" t="n"/>
      <c r="G1021" s="484" t="inlineStr">
        <is>
          <t>(V)(B群)淘能美複合維他命B 2ml，100倍數叫貨</t>
        </is>
      </c>
      <c r="H1021" s="552" t="n"/>
      <c r="I1021" s="552" t="n"/>
      <c r="J1021" s="551" t="n"/>
      <c r="K1021" s="140" t="n"/>
      <c r="L1021" s="560" t="n">
        <v>324</v>
      </c>
      <c r="M1021" s="123" t="n"/>
      <c r="N1021" s="117" t="n"/>
    </row>
    <row r="1022" ht="17.25" customHeight="1" s="453" thickBot="1">
      <c r="A1022" s="553">
        <f>IFERROR(LEFT(B1022,7),"")</f>
        <v/>
      </c>
      <c r="B1022" s="554">
        <f>"2025/12"&amp;D1022</f>
        <v/>
      </c>
      <c r="C1022" s="559" t="n">
        <v>95</v>
      </c>
      <c r="D1022" s="484" t="inlineStr">
        <is>
          <t>忠孝7樓</t>
        </is>
      </c>
      <c r="E1022" s="484" t="inlineStr">
        <is>
          <t>6120016</t>
        </is>
      </c>
      <c r="F1022" s="551" t="n"/>
      <c r="G1022" s="484" t="inlineStr">
        <is>
          <t>(V)(榖胱肝肽) 克樂達養200mg (20ml/瓶)</t>
        </is>
      </c>
      <c r="H1022" s="552" t="n"/>
      <c r="I1022" s="552" t="n"/>
      <c r="J1022" s="551" t="n"/>
      <c r="K1022" s="140" t="inlineStr">
        <is>
          <t>50支/盒</t>
        </is>
      </c>
      <c r="L1022" s="560" t="n">
        <v>323</v>
      </c>
      <c r="M1022" s="123" t="n"/>
      <c r="N1022" s="117" t="n"/>
    </row>
    <row r="1023" ht="17.25" customHeight="1" s="453" thickBot="1">
      <c r="A1023" s="553">
        <f>IFERROR(LEFT(B1023,7),"")</f>
        <v/>
      </c>
      <c r="B1023" s="554">
        <f>"2025/12"&amp;D1023</f>
        <v/>
      </c>
      <c r="C1023" s="559" t="n">
        <v>96</v>
      </c>
      <c r="D1023" s="484" t="inlineStr">
        <is>
          <t>忠孝7樓</t>
        </is>
      </c>
      <c r="E1023" s="484" t="inlineStr">
        <is>
          <t>6120017</t>
        </is>
      </c>
      <c r="F1023" s="551" t="n"/>
      <c r="G1023" s="484" t="inlineStr">
        <is>
          <t>(V)保肝 5ml/支</t>
        </is>
      </c>
      <c r="H1023" s="552" t="n"/>
      <c r="I1023" s="552" t="n"/>
      <c r="J1023" s="551" t="n"/>
      <c r="K1023" s="140" t="inlineStr">
        <is>
          <t>50支/盒</t>
        </is>
      </c>
      <c r="L1023" s="560" t="n">
        <v>1</v>
      </c>
      <c r="M1023" s="123" t="n"/>
      <c r="N1023" s="117" t="n"/>
    </row>
    <row r="1024" ht="17.25" customHeight="1" s="453" thickBot="1">
      <c r="A1024" s="553">
        <f>IFERROR(LEFT(B1024,7),"")</f>
        <v/>
      </c>
      <c r="B1024" s="554">
        <f>"2025/12"&amp;D1024</f>
        <v/>
      </c>
      <c r="C1024" s="559" t="n">
        <v>97</v>
      </c>
      <c r="D1024" s="484" t="inlineStr">
        <is>
          <t>忠孝7樓</t>
        </is>
      </c>
      <c r="E1024" s="484" t="inlineStr">
        <is>
          <t>6120018</t>
        </is>
      </c>
      <c r="F1024" s="551" t="n"/>
      <c r="G1024" s="484" t="inlineStr">
        <is>
          <t>(V)(傳明酸)止血明 5ml/支</t>
        </is>
      </c>
      <c r="H1024" s="552" t="n"/>
      <c r="I1024" s="552" t="n"/>
      <c r="J1024" s="551" t="n"/>
      <c r="K1024" s="140" t="inlineStr">
        <is>
          <t>50支/盒</t>
        </is>
      </c>
      <c r="L1024" s="560" t="n">
        <v>78</v>
      </c>
      <c r="M1024" s="123" t="n"/>
      <c r="N1024" s="117" t="n"/>
    </row>
    <row r="1025" ht="17.25" customHeight="1" s="453" thickBot="1">
      <c r="A1025" s="553">
        <f>IFERROR(LEFT(B1025,7),"")</f>
        <v/>
      </c>
      <c r="B1025" s="554">
        <f>"2025/12"&amp;D1025</f>
        <v/>
      </c>
      <c r="C1025" s="559" t="n">
        <v>98</v>
      </c>
      <c r="D1025" s="484" t="inlineStr">
        <is>
          <t>忠孝7樓</t>
        </is>
      </c>
      <c r="E1025" s="484" t="inlineStr">
        <is>
          <t>6120020</t>
        </is>
      </c>
      <c r="F1025" s="551" t="n"/>
      <c r="G1025" s="484" t="inlineStr">
        <is>
          <t>(V)(Vit C) 抗壞血酸 2mL，100倍數下單</t>
        </is>
      </c>
      <c r="H1025" s="552" t="n"/>
      <c r="I1025" s="552" t="n"/>
      <c r="J1025" s="551" t="n"/>
      <c r="K1025" s="140" t="inlineStr">
        <is>
          <t>100支/盒</t>
        </is>
      </c>
      <c r="L1025" s="560" t="n">
        <v>274</v>
      </c>
      <c r="M1025" s="123" t="n"/>
      <c r="N1025" s="117" t="n"/>
    </row>
    <row r="1026" ht="17.25" customHeight="1" s="453" thickBot="1">
      <c r="A1026" s="553">
        <f>IFERROR(LEFT(B1026,7),"")</f>
        <v/>
      </c>
      <c r="B1026" s="554">
        <f>"2025/12"&amp;D1026</f>
        <v/>
      </c>
      <c r="C1026" s="559" t="n">
        <v>99</v>
      </c>
      <c r="D1026" s="484" t="inlineStr">
        <is>
          <t>忠孝7樓</t>
        </is>
      </c>
      <c r="E1026" s="484" t="inlineStr">
        <is>
          <t>6120021</t>
        </is>
      </c>
      <c r="F1026" s="551" t="n"/>
      <c r="G1026" s="484" t="inlineStr">
        <is>
          <t>(V)(Vit C)(抗壞血酸/諾貝爾)20ml，50倍數下單</t>
        </is>
      </c>
      <c r="H1026" s="552" t="n"/>
      <c r="I1026" s="552" t="n"/>
      <c r="J1026" s="551" t="n"/>
      <c r="K1026" s="140" t="inlineStr">
        <is>
          <t>50支/盒</t>
        </is>
      </c>
      <c r="L1026" s="560" t="n">
        <v>340</v>
      </c>
      <c r="M1026" s="123" t="n"/>
      <c r="N1026" s="117" t="n"/>
    </row>
    <row r="1027" ht="17.25" customHeight="1" s="453" thickBot="1">
      <c r="A1027" s="553">
        <f>IFERROR(LEFT(B1027,7),"")</f>
        <v/>
      </c>
      <c r="B1027" s="554">
        <f>"2025/12"&amp;D1027</f>
        <v/>
      </c>
      <c r="C1027" s="559" t="n">
        <v>100</v>
      </c>
      <c r="D1027" s="484" t="inlineStr">
        <is>
          <t>忠孝7樓</t>
        </is>
      </c>
      <c r="E1027" s="484" t="inlineStr">
        <is>
          <t>6120022</t>
        </is>
      </c>
      <c r="F1027" s="551" t="n"/>
      <c r="G1027" s="484" t="inlineStr">
        <is>
          <t>(V)(銀杏) 循必利Gingo注射液0.84毫克/毫升 5ml</t>
        </is>
      </c>
      <c r="H1027" s="552" t="n"/>
      <c r="I1027" s="552" t="n"/>
      <c r="J1027" s="551" t="n"/>
      <c r="K1027" s="140" t="inlineStr">
        <is>
          <t>50支/盒</t>
        </is>
      </c>
      <c r="L1027" s="560" t="n">
        <v>1</v>
      </c>
      <c r="M1027" s="123" t="n"/>
      <c r="N1027" s="117" t="n"/>
    </row>
    <row r="1028" ht="17.25" customHeight="1" s="453" thickBot="1">
      <c r="A1028" s="553">
        <f>IFERROR(LEFT(B1028,7),"")</f>
        <v/>
      </c>
      <c r="B1028" s="554">
        <f>"2025/12"&amp;D1028</f>
        <v/>
      </c>
      <c r="C1028" s="559" t="n">
        <v>101</v>
      </c>
      <c r="D1028" s="484" t="inlineStr">
        <is>
          <t>忠孝7樓</t>
        </is>
      </c>
      <c r="E1028" s="484" t="inlineStr">
        <is>
          <t>6120030</t>
        </is>
      </c>
      <c r="F1028" s="551" t="n"/>
      <c r="G1028" s="484" t="inlineStr">
        <is>
          <t>(V)克多炎 Keto 1ml</t>
        </is>
      </c>
      <c r="H1028" s="552" t="n"/>
      <c r="I1028" s="552" t="n"/>
      <c r="J1028" s="551" t="n"/>
      <c r="K1028" s="140" t="inlineStr">
        <is>
          <t>100支/盒</t>
        </is>
      </c>
      <c r="L1028" s="560" t="n">
        <v>1</v>
      </c>
      <c r="M1028" s="123" t="n"/>
      <c r="N1028" s="117" t="n"/>
    </row>
    <row r="1029" ht="17.25" customHeight="1" s="453" thickBot="1">
      <c r="A1029" s="553">
        <f>IFERROR(LEFT(B1029,7),"")</f>
        <v/>
      </c>
      <c r="B1029" s="554">
        <f>"2025/12"&amp;D1029</f>
        <v/>
      </c>
      <c r="C1029" s="559" t="n">
        <v>102</v>
      </c>
      <c r="D1029" s="484" t="inlineStr">
        <is>
          <t>忠孝7樓</t>
        </is>
      </c>
      <c r="E1029" s="484" t="inlineStr">
        <is>
          <t>6120036</t>
        </is>
      </c>
      <c r="F1029" s="551" t="n"/>
      <c r="G1029" s="484" t="inlineStr">
        <is>
          <t>(V)貝力多(雙胜胺) 20% 50mL/ 瓶，50倍數下單</t>
        </is>
      </c>
      <c r="H1029" s="552" t="n"/>
      <c r="I1029" s="552" t="n"/>
      <c r="J1029" s="551" t="n"/>
      <c r="K1029" s="140" t="inlineStr">
        <is>
          <t>瓶(10瓶/盒)</t>
        </is>
      </c>
      <c r="L1029" s="560" t="n">
        <v>16</v>
      </c>
      <c r="M1029" s="123" t="n"/>
      <c r="N1029" s="117" t="n"/>
    </row>
    <row r="1030" ht="17.25" customHeight="1" s="453" thickBot="1">
      <c r="A1030" s="553">
        <f>IFERROR(LEFT(B1030,7),"")</f>
        <v/>
      </c>
      <c r="B1030" s="554">
        <f>"2025/12"&amp;D1030</f>
        <v/>
      </c>
      <c r="C1030" s="559" t="n">
        <v>103</v>
      </c>
      <c r="D1030" s="484" t="inlineStr">
        <is>
          <t>忠孝7樓</t>
        </is>
      </c>
      <c r="E1030" s="484" t="inlineStr">
        <is>
          <t>6140001</t>
        </is>
      </c>
      <c r="F1030" s="551" t="n"/>
      <c r="G1030" s="484" t="inlineStr">
        <is>
          <t>(V)保妥適Botox/ u，100倍數下單</t>
        </is>
      </c>
      <c r="H1030" s="552" t="n"/>
      <c r="I1030" s="552" t="n"/>
      <c r="J1030" s="551" t="n"/>
      <c r="K1030" s="140" t="inlineStr">
        <is>
          <t>100U/瓶</t>
        </is>
      </c>
      <c r="L1030" s="560" t="n">
        <v>4079</v>
      </c>
      <c r="M1030" s="123" t="n"/>
      <c r="N1030" s="117" t="n"/>
    </row>
    <row r="1031" ht="17.25" customHeight="1" s="453" thickBot="1">
      <c r="A1031" s="553">
        <f>IFERROR(LEFT(B1031,7),"")</f>
        <v/>
      </c>
      <c r="B1031" s="554">
        <f>"2025/12"&amp;D1031</f>
        <v/>
      </c>
      <c r="C1031" s="559" t="n">
        <v>104</v>
      </c>
      <c r="D1031" s="484" t="inlineStr">
        <is>
          <t>忠孝7樓</t>
        </is>
      </c>
      <c r="E1031" s="484" t="inlineStr">
        <is>
          <t>6140003</t>
        </is>
      </c>
      <c r="F1031" s="551" t="n"/>
      <c r="G1031" s="484" t="inlineStr">
        <is>
          <t>(V)保提拉肉毒Letybo/ u，3200倍數下單</t>
        </is>
      </c>
      <c r="H1031" s="552" t="n"/>
      <c r="I1031" s="552" t="n"/>
      <c r="J1031" s="551" t="n"/>
      <c r="K1031" s="140" t="inlineStr">
        <is>
          <t>200U/瓶</t>
        </is>
      </c>
      <c r="L1031" s="560" t="n">
        <v>10079</v>
      </c>
      <c r="M1031" s="123" t="n"/>
      <c r="N1031" s="117" t="n"/>
    </row>
    <row r="1032" ht="17.25" customHeight="1" s="453" thickBot="1">
      <c r="A1032" s="553">
        <f>IFERROR(LEFT(B1032,7),"")</f>
        <v/>
      </c>
      <c r="B1032" s="554">
        <f>"2025/12"&amp;D1032</f>
        <v/>
      </c>
      <c r="C1032" s="559" t="n">
        <v>105</v>
      </c>
      <c r="D1032" s="484" t="inlineStr">
        <is>
          <t>忠孝7樓</t>
        </is>
      </c>
      <c r="E1032" s="484" t="inlineStr">
        <is>
          <t>6140005</t>
        </is>
      </c>
      <c r="F1032" s="551" t="n"/>
      <c r="G1032" s="484" t="inlineStr">
        <is>
          <t>(V)奇肌肉毒/ u，200倍數下單</t>
        </is>
      </c>
      <c r="H1032" s="552" t="n"/>
      <c r="I1032" s="552" t="n"/>
      <c r="J1032" s="551" t="n"/>
      <c r="K1032" s="140" t="inlineStr">
        <is>
          <t>200U/瓶</t>
        </is>
      </c>
      <c r="L1032" s="560" t="n">
        <v>1420</v>
      </c>
      <c r="M1032" s="123" t="n"/>
      <c r="N1032" s="117" t="n"/>
    </row>
    <row r="1033" ht="17.25" customHeight="1" s="453" thickBot="1">
      <c r="A1033" s="553">
        <f>IFERROR(LEFT(B1033,7),"")</f>
        <v/>
      </c>
      <c r="B1033" s="554">
        <f>"2025/12"&amp;D1033</f>
        <v/>
      </c>
      <c r="C1033" s="559" t="n">
        <v>106</v>
      </c>
      <c r="D1033" s="484" t="inlineStr">
        <is>
          <t>忠孝7樓</t>
        </is>
      </c>
      <c r="E1033" s="484" t="inlineStr">
        <is>
          <t>6150001</t>
        </is>
      </c>
      <c r="F1033" s="551" t="n"/>
      <c r="G1033" s="484" t="inlineStr">
        <is>
          <t>(V)喬雅登-豐麗緹玻尿酸植入物Voluma 1ml</t>
        </is>
      </c>
      <c r="H1033" s="552" t="n"/>
      <c r="I1033" s="552" t="n"/>
      <c r="J1033" s="551" t="n"/>
      <c r="K1033" s="140" t="inlineStr">
        <is>
          <t>1ml(2ml/盒)</t>
        </is>
      </c>
      <c r="L1033" s="560" t="n">
        <v>93</v>
      </c>
      <c r="M1033" s="123" t="n"/>
      <c r="N1033" s="117" t="n"/>
    </row>
    <row r="1034" ht="17.25" customHeight="1" s="453" thickBot="1">
      <c r="A1034" s="553">
        <f>IFERROR(LEFT(B1034,7),"")</f>
        <v/>
      </c>
      <c r="B1034" s="554">
        <f>"2025/12"&amp;D1034</f>
        <v/>
      </c>
      <c r="C1034" s="559" t="n">
        <v>107</v>
      </c>
      <c r="D1034" s="484" t="inlineStr">
        <is>
          <t>忠孝7樓</t>
        </is>
      </c>
      <c r="E1034" s="484" t="inlineStr">
        <is>
          <t>6150002</t>
        </is>
      </c>
      <c r="F1034" s="551" t="n"/>
      <c r="G1034" s="484" t="inlineStr">
        <is>
          <t>(V)喬雅登-夢蓓菈玻尿酸植入物Volbella 1ml</t>
        </is>
      </c>
      <c r="H1034" s="552" t="n"/>
      <c r="I1034" s="552" t="n"/>
      <c r="J1034" s="551" t="n"/>
      <c r="K1034" s="140" t="inlineStr">
        <is>
          <t>1ml(2ml/盒)</t>
        </is>
      </c>
      <c r="L1034" s="560" t="n">
        <v>24</v>
      </c>
      <c r="M1034" s="123" t="n"/>
      <c r="N1034" s="117" t="n"/>
    </row>
    <row r="1035" ht="17.25" customHeight="1" s="453" thickBot="1">
      <c r="A1035" s="553">
        <f>IFERROR(LEFT(B1035,7),"")</f>
        <v/>
      </c>
      <c r="B1035" s="554">
        <f>"2025/12"&amp;D1035</f>
        <v/>
      </c>
      <c r="C1035" s="559" t="n">
        <v>108</v>
      </c>
      <c r="D1035" s="484" t="inlineStr">
        <is>
          <t>忠孝7樓</t>
        </is>
      </c>
      <c r="E1035" s="484" t="inlineStr">
        <is>
          <t>6150003</t>
        </is>
      </c>
      <c r="F1035" s="551" t="n"/>
      <c r="G1035" s="484" t="inlineStr">
        <is>
          <t>(V)喬雅登-豐麗緹玻尿酸植入物Volift 1ml</t>
        </is>
      </c>
      <c r="H1035" s="552" t="n"/>
      <c r="I1035" s="552" t="n"/>
      <c r="J1035" s="551" t="n"/>
      <c r="K1035" s="140" t="inlineStr">
        <is>
          <t>1ml(2ml/盒)</t>
        </is>
      </c>
      <c r="L1035" s="560" t="n">
        <v>1</v>
      </c>
      <c r="M1035" s="123" t="n"/>
      <c r="N1035" s="117" t="n"/>
    </row>
    <row r="1036" ht="17.25" customHeight="1" s="453" thickBot="1">
      <c r="A1036" s="553">
        <f>IFERROR(LEFT(B1036,7),"")</f>
        <v/>
      </c>
      <c r="B1036" s="554">
        <f>"2025/12"&amp;D1036</f>
        <v/>
      </c>
      <c r="C1036" s="559" t="n">
        <v>109</v>
      </c>
      <c r="D1036" s="484" t="inlineStr">
        <is>
          <t>忠孝7樓</t>
        </is>
      </c>
      <c r="E1036" s="484" t="inlineStr">
        <is>
          <t>6150004</t>
        </is>
      </c>
      <c r="F1036" s="551" t="n"/>
      <c r="G1036" s="484" t="inlineStr">
        <is>
          <t>(V)喬雅登-豐塑玻尿酸植入物Volux 1ml</t>
        </is>
      </c>
      <c r="H1036" s="552" t="n"/>
      <c r="I1036" s="552" t="n"/>
      <c r="J1036" s="551" t="n"/>
      <c r="K1036" s="140" t="inlineStr">
        <is>
          <t>1ml(2ml/盒)</t>
        </is>
      </c>
      <c r="L1036" s="560" t="n">
        <v>18</v>
      </c>
      <c r="M1036" s="123" t="n"/>
      <c r="N1036" s="117" t="n"/>
    </row>
    <row r="1037" ht="17.25" customHeight="1" s="453" thickBot="1">
      <c r="A1037" s="553">
        <f>IFERROR(LEFT(B1037,7),"")</f>
        <v/>
      </c>
      <c r="B1037" s="554">
        <f>"2025/12"&amp;D1037</f>
        <v/>
      </c>
      <c r="C1037" s="559" t="n">
        <v>110</v>
      </c>
      <c r="D1037" s="484" t="inlineStr">
        <is>
          <t>忠孝7樓</t>
        </is>
      </c>
      <c r="E1037" s="484" t="inlineStr">
        <is>
          <t>6150005</t>
        </is>
      </c>
      <c r="F1037" s="551" t="n"/>
      <c r="G1037" s="484" t="inlineStr">
        <is>
          <t>(V)喬雅登-芙潤玻尿酸植入物Volite 1ml</t>
        </is>
      </c>
      <c r="H1037" s="552" t="n"/>
      <c r="I1037" s="552" t="n"/>
      <c r="J1037" s="551" t="n"/>
      <c r="K1037" s="140" t="inlineStr">
        <is>
          <t>1ml(2ml/盒)</t>
        </is>
      </c>
      <c r="L1037" s="560" t="n">
        <v>2</v>
      </c>
      <c r="M1037" s="123" t="n"/>
      <c r="N1037" s="117" t="n"/>
    </row>
    <row r="1038" ht="17.25" customHeight="1" s="453" thickBot="1">
      <c r="A1038" s="553">
        <f>IFERROR(LEFT(B1038,7),"")</f>
        <v/>
      </c>
      <c r="B1038" s="554">
        <f>"2025/12"&amp;D1038</f>
        <v/>
      </c>
      <c r="C1038" s="559" t="n">
        <v>111</v>
      </c>
      <c r="D1038" s="484" t="inlineStr">
        <is>
          <t>忠孝7樓</t>
        </is>
      </c>
      <c r="E1038" s="484" t="inlineStr">
        <is>
          <t>6150010</t>
        </is>
      </c>
      <c r="F1038" s="551" t="n"/>
      <c r="G1038" s="484" t="inlineStr">
        <is>
          <t>(V)仙女玻尿酸大分子 1ml</t>
        </is>
      </c>
      <c r="H1038" s="552" t="n"/>
      <c r="I1038" s="552" t="n"/>
      <c r="J1038" s="551" t="n"/>
      <c r="K1038" s="140" t="inlineStr">
        <is>
          <t>1ml(1ml/盒)</t>
        </is>
      </c>
      <c r="L1038" s="560" t="n">
        <v>48</v>
      </c>
      <c r="M1038" s="123" t="n"/>
      <c r="N1038" s="117" t="n"/>
    </row>
    <row r="1039" ht="17.25" customHeight="1" s="453" thickBot="1">
      <c r="A1039" s="553">
        <f>IFERROR(LEFT(B1039,7),"")</f>
        <v/>
      </c>
      <c r="B1039" s="554">
        <f>"2025/12"&amp;D1039</f>
        <v/>
      </c>
      <c r="C1039" s="559" t="n">
        <v>112</v>
      </c>
      <c r="D1039" s="484" t="inlineStr">
        <is>
          <t>忠孝7樓</t>
        </is>
      </c>
      <c r="E1039" s="484" t="inlineStr">
        <is>
          <t>6150011</t>
        </is>
      </c>
      <c r="F1039" s="551" t="n"/>
      <c r="G1039" s="484" t="inlineStr">
        <is>
          <t>(V)仙女玻尿酸小分子 1ml</t>
        </is>
      </c>
      <c r="H1039" s="552" t="n"/>
      <c r="I1039" s="552" t="n"/>
      <c r="J1039" s="551" t="n"/>
      <c r="K1039" s="140" t="inlineStr">
        <is>
          <t>1ml(1ml/盒)</t>
        </is>
      </c>
      <c r="L1039" s="560" t="n">
        <v>5</v>
      </c>
      <c r="M1039" s="123" t="n"/>
      <c r="N1039" s="117" t="n"/>
    </row>
    <row r="1040" ht="17.25" customHeight="1" s="453" thickBot="1">
      <c r="A1040" s="553">
        <f>IFERROR(LEFT(B1040,7),"")</f>
        <v/>
      </c>
      <c r="B1040" s="554">
        <f>"2025/12"&amp;D1040</f>
        <v/>
      </c>
      <c r="C1040" s="559" t="n">
        <v>113</v>
      </c>
      <c r="D1040" s="484" t="inlineStr">
        <is>
          <t>忠孝7樓</t>
        </is>
      </c>
      <c r="E1040" s="484" t="inlineStr">
        <is>
          <t>6150013</t>
        </is>
      </c>
      <c r="F1040" s="551" t="n"/>
      <c r="G1040" s="484" t="inlineStr">
        <is>
          <t>(V)逆時針(璞菲洛)2cc</t>
        </is>
      </c>
      <c r="H1040" s="552" t="n"/>
      <c r="I1040" s="552" t="n"/>
      <c r="J1040" s="551" t="n"/>
      <c r="K1040" s="140" t="inlineStr">
        <is>
          <t>1ml(1ml/盒)</t>
        </is>
      </c>
      <c r="L1040" s="560" t="n">
        <v>18</v>
      </c>
      <c r="M1040" s="123" t="n"/>
      <c r="N1040" s="117" t="n"/>
    </row>
    <row r="1041" ht="17.25" customHeight="1" s="453" thickBot="1">
      <c r="A1041" s="553">
        <f>IFERROR(LEFT(B1041,7),"")</f>
        <v/>
      </c>
      <c r="B1041" s="554">
        <f>"2025/12"&amp;D1041</f>
        <v/>
      </c>
      <c r="C1041" s="559" t="n">
        <v>114</v>
      </c>
      <c r="D1041" s="484" t="inlineStr">
        <is>
          <t>忠孝7樓</t>
        </is>
      </c>
      <c r="E1041" s="484" t="inlineStr">
        <is>
          <t>6160001</t>
        </is>
      </c>
      <c r="F1041" s="551" t="n"/>
      <c r="G1041" s="484" t="inlineStr">
        <is>
          <t>(V)艾麗斯 Aesthe Fill-200mg/ 瓶</t>
        </is>
      </c>
      <c r="H1041" s="552" t="n"/>
      <c r="I1041" s="552" t="n"/>
      <c r="J1041" s="551" t="n"/>
      <c r="K1041" s="140" t="inlineStr">
        <is>
          <t>瓶</t>
        </is>
      </c>
      <c r="L1041" s="560" t="n">
        <v>1</v>
      </c>
      <c r="M1041" s="123" t="n"/>
      <c r="N1041" s="117" t="n"/>
    </row>
    <row r="1042" ht="17.25" customHeight="1" s="453" thickBot="1">
      <c r="A1042" s="553">
        <f>IFERROR(LEFT(B1042,7),"")</f>
        <v/>
      </c>
      <c r="B1042" s="554">
        <f>"2025/12"&amp;D1042</f>
        <v/>
      </c>
      <c r="C1042" s="559" t="n">
        <v>115</v>
      </c>
      <c r="D1042" s="484" t="inlineStr">
        <is>
          <t>忠孝7樓</t>
        </is>
      </c>
      <c r="E1042" s="484" t="inlineStr">
        <is>
          <t>6160002</t>
        </is>
      </c>
      <c r="F1042" s="551" t="n"/>
      <c r="G1042" s="484" t="inlineStr">
        <is>
          <t>(V)洢蓮絲植入劑ELLANSÉ-S 1ml</t>
        </is>
      </c>
      <c r="H1042" s="552" t="n"/>
      <c r="I1042" s="552" t="n"/>
      <c r="J1042" s="551" t="n"/>
      <c r="K1042" s="140" t="inlineStr">
        <is>
          <t>1ml(2ml/盒)</t>
        </is>
      </c>
      <c r="L1042" s="560" t="n">
        <v>65</v>
      </c>
      <c r="M1042" s="123" t="n"/>
      <c r="N1042" s="117" t="n"/>
    </row>
    <row r="1043" ht="17.25" customHeight="1" s="453" thickBot="1">
      <c r="A1043" s="553">
        <f>IFERROR(LEFT(B1043,7),"")</f>
        <v/>
      </c>
      <c r="B1043" s="554">
        <f>"2025/12"&amp;D1043</f>
        <v/>
      </c>
      <c r="C1043" s="559" t="n">
        <v>116</v>
      </c>
      <c r="D1043" s="484" t="inlineStr">
        <is>
          <t>忠孝7樓</t>
        </is>
      </c>
      <c r="E1043" s="484" t="inlineStr">
        <is>
          <t>6160003</t>
        </is>
      </c>
      <c r="F1043" s="551" t="n"/>
      <c r="G1043" s="484" t="inlineStr">
        <is>
          <t>(V)洢蓮絲植入劑ELLANSÉ-M 1ml</t>
        </is>
      </c>
      <c r="H1043" s="552" t="n"/>
      <c r="I1043" s="552" t="n"/>
      <c r="J1043" s="551" t="n"/>
      <c r="K1043" s="140" t="inlineStr">
        <is>
          <t>1ml(2ml/盒)</t>
        </is>
      </c>
      <c r="L1043" s="560" t="n">
        <v>19</v>
      </c>
      <c r="M1043" s="123" t="n"/>
      <c r="N1043" s="117" t="n"/>
    </row>
    <row r="1044" ht="17.25" customHeight="1" s="453" thickBot="1">
      <c r="A1044" s="553">
        <f>IFERROR(LEFT(B1044,7),"")</f>
        <v/>
      </c>
      <c r="B1044" s="554">
        <f>"2025/12"&amp;D1044</f>
        <v/>
      </c>
      <c r="C1044" s="559" t="n">
        <v>117</v>
      </c>
      <c r="D1044" s="484" t="inlineStr">
        <is>
          <t>忠孝7樓</t>
        </is>
      </c>
      <c r="E1044" s="484" t="inlineStr">
        <is>
          <t>6160005</t>
        </is>
      </c>
      <c r="F1044" s="551" t="n"/>
      <c r="G1044" s="484" t="inlineStr">
        <is>
          <t>(V)双美熊貓針</t>
        </is>
      </c>
      <c r="H1044" s="552" t="n"/>
      <c r="I1044" s="552" t="n"/>
      <c r="J1044" s="551" t="n"/>
      <c r="K1044" s="140" t="inlineStr">
        <is>
          <t>(1ml/盒)</t>
        </is>
      </c>
      <c r="L1044" s="560" t="n">
        <v>12</v>
      </c>
      <c r="M1044" s="123" t="n"/>
      <c r="N1044" s="117" t="n"/>
    </row>
    <row r="1045" ht="17.25" customHeight="1" s="453" thickBot="1">
      <c r="A1045" s="553">
        <f>IFERROR(LEFT(B1045,7),"")</f>
        <v/>
      </c>
      <c r="B1045" s="554">
        <f>"2025/12"&amp;D1045</f>
        <v/>
      </c>
      <c r="C1045" s="559" t="n">
        <v>118</v>
      </c>
      <c r="D1045" s="484" t="inlineStr">
        <is>
          <t>忠孝7樓</t>
        </is>
      </c>
      <c r="E1045" s="484" t="inlineStr">
        <is>
          <t>6160008</t>
        </is>
      </c>
      <c r="F1045" s="551" t="n"/>
      <c r="G1045" s="484" t="inlineStr">
        <is>
          <t>白童針-薇貝拉50mg/1cc</t>
        </is>
      </c>
      <c r="H1045" s="552" t="n"/>
      <c r="I1045" s="552" t="n"/>
      <c r="J1045" s="551" t="n"/>
      <c r="K1045" s="140" t="inlineStr">
        <is>
          <t>6cc/瓶</t>
        </is>
      </c>
      <c r="L1045" s="560" t="n">
        <v>14</v>
      </c>
      <c r="M1045" s="123" t="n"/>
      <c r="N1045" s="117" t="n"/>
    </row>
    <row r="1046" ht="17.25" customHeight="1" s="453" thickBot="1">
      <c r="A1046" s="553">
        <f>IFERROR(LEFT(B1046,7),"")</f>
        <v/>
      </c>
      <c r="B1046" s="554">
        <f>"2025/12"&amp;D1046</f>
        <v/>
      </c>
      <c r="C1046" s="559" t="n">
        <v>119</v>
      </c>
      <c r="D1046" s="484" t="inlineStr">
        <is>
          <t>忠孝7樓</t>
        </is>
      </c>
      <c r="E1046" s="484" t="inlineStr">
        <is>
          <t>6160010</t>
        </is>
      </c>
      <c r="F1046" s="551" t="n"/>
      <c r="G1046" s="484" t="inlineStr">
        <is>
          <t>喬雅露-大分子200mg/1cc</t>
        </is>
      </c>
      <c r="H1046" s="552" t="n"/>
      <c r="I1046" s="552" t="n"/>
      <c r="J1046" s="551" t="n"/>
      <c r="K1046" s="140" t="inlineStr">
        <is>
          <t>8cc/瓶</t>
        </is>
      </c>
      <c r="L1046" s="560" t="n">
        <v>115</v>
      </c>
      <c r="M1046" s="123" t="n"/>
      <c r="N1046" s="117" t="n"/>
    </row>
    <row r="1047" ht="17.25" customHeight="1" s="453" thickBot="1">
      <c r="A1047" s="553">
        <f>IFERROR(LEFT(B1047,7),"")</f>
        <v/>
      </c>
      <c r="B1047" s="554">
        <f>"2025/12"&amp;D1047</f>
        <v/>
      </c>
      <c r="C1047" s="559" t="n">
        <v>120</v>
      </c>
      <c r="D1047" s="484" t="inlineStr">
        <is>
          <t>忠孝7樓</t>
        </is>
      </c>
      <c r="E1047" s="484" t="inlineStr">
        <is>
          <t>6160011</t>
        </is>
      </c>
      <c r="F1047" s="551" t="n"/>
      <c r="G1047" s="484" t="inlineStr">
        <is>
          <t>喬雅露-小分子50mg/1cc</t>
        </is>
      </c>
      <c r="H1047" s="552" t="n"/>
      <c r="I1047" s="552" t="n"/>
      <c r="J1047" s="551" t="n"/>
      <c r="K1047" s="140" t="inlineStr">
        <is>
          <t>6cc/瓶</t>
        </is>
      </c>
      <c r="L1047" s="560" t="n">
        <v>782</v>
      </c>
      <c r="M1047" s="123" t="n"/>
      <c r="N1047" s="117" t="n"/>
    </row>
    <row r="1048" ht="17.25" customHeight="1" s="453" thickBot="1">
      <c r="A1048" s="553">
        <f>IFERROR(LEFT(B1048,7),"")</f>
        <v/>
      </c>
      <c r="B1048" s="554">
        <f>"2025/12"&amp;D1048</f>
        <v/>
      </c>
      <c r="C1048" s="559" t="n">
        <v>121</v>
      </c>
      <c r="D1048" s="484" t="inlineStr">
        <is>
          <t>忠孝7樓</t>
        </is>
      </c>
      <c r="E1048" s="484" t="inlineStr">
        <is>
          <t>6170005</t>
        </is>
      </c>
      <c r="F1048" s="551" t="n"/>
      <c r="G1048" s="484" t="inlineStr">
        <is>
          <t>海芙三代音波探頭2mm/ 條</t>
        </is>
      </c>
      <c r="H1048" s="552" t="n"/>
      <c r="I1048" s="552" t="n"/>
      <c r="J1048" s="551" t="n"/>
      <c r="K1048" s="140" t="inlineStr">
        <is>
          <t>20000條/顆</t>
        </is>
      </c>
      <c r="L1048" s="560" t="n">
        <v>15992</v>
      </c>
      <c r="M1048" s="123" t="n"/>
      <c r="N1048" s="117" t="n"/>
    </row>
    <row r="1049" ht="17.25" customHeight="1" s="453" thickBot="1">
      <c r="A1049" s="553">
        <f>IFERROR(LEFT(B1049,7),"")</f>
        <v/>
      </c>
      <c r="B1049" s="554">
        <f>"2025/12"&amp;D1049</f>
        <v/>
      </c>
      <c r="C1049" s="559" t="n">
        <v>122</v>
      </c>
      <c r="D1049" s="484" t="inlineStr">
        <is>
          <t>忠孝7樓</t>
        </is>
      </c>
      <c r="E1049" s="484" t="inlineStr">
        <is>
          <t>6170007</t>
        </is>
      </c>
      <c r="F1049" s="551" t="n"/>
      <c r="G1049" s="484" t="inlineStr">
        <is>
          <t>海芙三代音波探頭3mm/ 條</t>
        </is>
      </c>
      <c r="H1049" s="552" t="n"/>
      <c r="I1049" s="552" t="n"/>
      <c r="J1049" s="551" t="n"/>
      <c r="K1049" s="140" t="inlineStr">
        <is>
          <t>20000條/顆</t>
        </is>
      </c>
      <c r="L1049" s="560" t="n">
        <v>57157</v>
      </c>
      <c r="M1049" s="123" t="n"/>
      <c r="N1049" s="117" t="n"/>
    </row>
    <row r="1050" ht="17.25" customHeight="1" s="453" thickBot="1">
      <c r="A1050" s="553">
        <f>IFERROR(LEFT(B1050,7),"")</f>
        <v/>
      </c>
      <c r="B1050" s="554">
        <f>"2025/12"&amp;D1050</f>
        <v/>
      </c>
      <c r="C1050" s="559" t="n">
        <v>123</v>
      </c>
      <c r="D1050" s="484" t="inlineStr">
        <is>
          <t>忠孝7樓</t>
        </is>
      </c>
      <c r="E1050" s="484" t="inlineStr">
        <is>
          <t>6170009</t>
        </is>
      </c>
      <c r="F1050" s="551" t="n"/>
      <c r="G1050" s="484" t="inlineStr">
        <is>
          <t>海芙三代音波探頭4.5mm/ 條</t>
        </is>
      </c>
      <c r="H1050" s="552" t="n"/>
      <c r="I1050" s="552" t="n"/>
      <c r="J1050" s="551" t="n"/>
      <c r="K1050" s="140" t="inlineStr">
        <is>
          <t>20000條/顆</t>
        </is>
      </c>
      <c r="L1050" s="560" t="n">
        <v>91575</v>
      </c>
      <c r="M1050" s="123" t="n"/>
      <c r="N1050" s="117" t="n"/>
    </row>
    <row r="1051" ht="17.25" customHeight="1" s="453" thickBot="1">
      <c r="A1051" s="553">
        <f>IFERROR(LEFT(B1051,7),"")</f>
        <v/>
      </c>
      <c r="B1051" s="554">
        <f>"2025/12"&amp;D1051</f>
        <v/>
      </c>
      <c r="C1051" s="559" t="n">
        <v>124</v>
      </c>
      <c r="D1051" s="484" t="inlineStr">
        <is>
          <t>忠孝7樓</t>
        </is>
      </c>
      <c r="E1051" s="484" t="inlineStr">
        <is>
          <t>6170011</t>
        </is>
      </c>
      <c r="F1051" s="551" t="n"/>
      <c r="G1051" s="484" t="inlineStr">
        <is>
          <t>海芙三代音波探頭6mm/ 條</t>
        </is>
      </c>
      <c r="H1051" s="552" t="n"/>
      <c r="I1051" s="552" t="n"/>
      <c r="J1051" s="551" t="n"/>
      <c r="K1051" s="140" t="inlineStr">
        <is>
          <t>30,000條/顆</t>
        </is>
      </c>
      <c r="L1051" s="560" t="n">
        <v>20982</v>
      </c>
      <c r="M1051" s="123" t="n"/>
      <c r="N1051" s="117" t="n"/>
    </row>
    <row r="1052" ht="17.25" customHeight="1" s="453" thickBot="1">
      <c r="A1052" s="553">
        <f>IFERROR(LEFT(B1052,7),"")</f>
        <v/>
      </c>
      <c r="B1052" s="554">
        <f>"2025/12"&amp;D1052</f>
        <v/>
      </c>
      <c r="C1052" s="559" t="n">
        <v>125</v>
      </c>
      <c r="D1052" s="484" t="inlineStr">
        <is>
          <t>忠孝7樓</t>
        </is>
      </c>
      <c r="E1052" s="484" t="inlineStr">
        <is>
          <t>6170013</t>
        </is>
      </c>
      <c r="F1052" s="551" t="n"/>
      <c r="G1052" s="484" t="inlineStr">
        <is>
          <t>鳳凰電波4平方公分紫鑽探頭(900發)</t>
        </is>
      </c>
      <c r="H1052" s="552" t="n"/>
      <c r="I1052" s="552" t="n"/>
      <c r="J1052" s="551" t="n"/>
      <c r="K1052" s="140" t="inlineStr">
        <is>
          <t>顆</t>
        </is>
      </c>
      <c r="L1052" s="560" t="n">
        <v>38</v>
      </c>
      <c r="M1052" s="123" t="n"/>
      <c r="N1052" s="117" t="n"/>
    </row>
    <row r="1053" ht="17.25" customHeight="1" s="453" thickBot="1">
      <c r="A1053" s="553">
        <f>IFERROR(LEFT(B1053,7),"")</f>
        <v/>
      </c>
      <c r="B1053" s="554">
        <f>"2025/12"&amp;D1053</f>
        <v/>
      </c>
      <c r="C1053" s="559" t="n">
        <v>126</v>
      </c>
      <c r="D1053" s="484" t="inlineStr">
        <is>
          <t>忠孝7樓</t>
        </is>
      </c>
      <c r="E1053" s="484" t="inlineStr">
        <is>
          <t>6170014</t>
        </is>
      </c>
      <c r="F1053" s="551" t="n"/>
      <c r="G1053" s="484" t="inlineStr">
        <is>
          <t>鳳凰電波0.25平方公分碧眼探頭(450發)</t>
        </is>
      </c>
      <c r="H1053" s="552" t="n"/>
      <c r="I1053" s="552" t="n"/>
      <c r="J1053" s="551" t="n"/>
      <c r="K1053" s="140" t="inlineStr">
        <is>
          <t>顆</t>
        </is>
      </c>
      <c r="L1053" s="560" t="n">
        <v>10</v>
      </c>
      <c r="M1053" s="123" t="n"/>
      <c r="N1053" s="117" t="n"/>
    </row>
    <row r="1054" ht="17.25" customHeight="1" s="453" thickBot="1">
      <c r="A1054" s="553">
        <f>IFERROR(LEFT(B1054,7),"")</f>
        <v/>
      </c>
      <c r="B1054" s="554">
        <f>"2025/12"&amp;D1054</f>
        <v/>
      </c>
      <c r="C1054" s="559" t="n">
        <v>127</v>
      </c>
      <c r="D1054" s="484" t="inlineStr">
        <is>
          <t>忠孝7樓</t>
        </is>
      </c>
      <c r="E1054" s="484" t="inlineStr">
        <is>
          <t>6170019</t>
        </is>
      </c>
      <c r="F1054" s="551" t="n"/>
      <c r="G1054" s="484" t="inlineStr">
        <is>
          <t>媚必提直線探頭2.0mm/條</t>
        </is>
      </c>
      <c r="H1054" s="552" t="n"/>
      <c r="I1054" s="552" t="n"/>
      <c r="J1054" s="551" t="n"/>
      <c r="K1054" s="140" t="inlineStr">
        <is>
          <t>20000條/顆</t>
        </is>
      </c>
      <c r="L1054" s="560" t="n">
        <v>4003</v>
      </c>
      <c r="M1054" s="123" t="n"/>
      <c r="N1054" s="117" t="n"/>
    </row>
    <row r="1055" ht="17.25" customHeight="1" s="453" thickBot="1">
      <c r="A1055" s="553">
        <f>IFERROR(LEFT(B1055,7),"")</f>
        <v/>
      </c>
      <c r="B1055" s="554">
        <f>"2025/12"&amp;D1055</f>
        <v/>
      </c>
      <c r="C1055" s="559" t="n">
        <v>128</v>
      </c>
      <c r="D1055" s="484" t="inlineStr">
        <is>
          <t>忠孝7樓</t>
        </is>
      </c>
      <c r="E1055" s="484" t="inlineStr">
        <is>
          <t>6170020</t>
        </is>
      </c>
      <c r="F1055" s="551" t="n"/>
      <c r="G1055" s="484" t="inlineStr">
        <is>
          <t>媚必提直線探頭3.0mm/條</t>
        </is>
      </c>
      <c r="H1055" s="552" t="n"/>
      <c r="I1055" s="552" t="n"/>
      <c r="J1055" s="551" t="n"/>
      <c r="K1055" s="140" t="inlineStr">
        <is>
          <t>20000條/顆</t>
        </is>
      </c>
      <c r="L1055" s="560" t="n">
        <v>17347</v>
      </c>
      <c r="M1055" s="123" t="n"/>
      <c r="N1055" s="117" t="n"/>
    </row>
    <row r="1056" ht="17.25" customHeight="1" s="453" thickBot="1">
      <c r="A1056" s="553">
        <f>IFERROR(LEFT(B1056,7),"")</f>
        <v/>
      </c>
      <c r="B1056" s="554">
        <f>"2025/12"&amp;D1056</f>
        <v/>
      </c>
      <c r="C1056" s="559" t="n">
        <v>129</v>
      </c>
      <c r="D1056" s="484" t="inlineStr">
        <is>
          <t>忠孝7樓</t>
        </is>
      </c>
      <c r="E1056" s="484" t="inlineStr">
        <is>
          <t>6170021</t>
        </is>
      </c>
      <c r="F1056" s="551" t="n"/>
      <c r="G1056" s="484" t="inlineStr">
        <is>
          <t>媚必提直線探頭4.5mm/條</t>
        </is>
      </c>
      <c r="H1056" s="552" t="n"/>
      <c r="I1056" s="552" t="n"/>
      <c r="J1056" s="551" t="n"/>
      <c r="K1056" s="140" t="inlineStr">
        <is>
          <t>20000條/顆</t>
        </is>
      </c>
      <c r="L1056" s="560" t="n">
        <v>36456</v>
      </c>
      <c r="M1056" s="123" t="n"/>
      <c r="N1056" s="117" t="n"/>
    </row>
    <row r="1057" ht="17.25" customHeight="1" s="453" thickBot="1">
      <c r="A1057" s="553">
        <f>IFERROR(LEFT(B1057,7),"")</f>
        <v/>
      </c>
      <c r="B1057" s="554">
        <f>"2025/12"&amp;D1057</f>
        <v/>
      </c>
      <c r="C1057" s="559" t="n">
        <v>130</v>
      </c>
      <c r="D1057" s="484" t="inlineStr">
        <is>
          <t>忠孝7樓</t>
        </is>
      </c>
      <c r="E1057" s="484" t="inlineStr">
        <is>
          <t>6170022</t>
        </is>
      </c>
      <c r="F1057" s="551" t="n"/>
      <c r="G1057" s="484" t="inlineStr">
        <is>
          <t>媚必提直線探頭6.0mm/條</t>
        </is>
      </c>
      <c r="H1057" s="552" t="n"/>
      <c r="I1057" s="552" t="n"/>
      <c r="J1057" s="551" t="n"/>
      <c r="K1057" s="140" t="inlineStr">
        <is>
          <t>20000條/顆</t>
        </is>
      </c>
      <c r="L1057" s="560" t="n">
        <v>11716</v>
      </c>
      <c r="M1057" s="123" t="n"/>
      <c r="N1057" s="117" t="n"/>
    </row>
    <row r="1058" ht="17.25" customHeight="1" s="453" thickBot="1">
      <c r="A1058" s="553">
        <f>IFERROR(LEFT(B1058,7),"")</f>
        <v/>
      </c>
      <c r="B1058" s="554">
        <f>"2025/12"&amp;D1058</f>
        <v/>
      </c>
      <c r="C1058" s="559" t="n">
        <v>131</v>
      </c>
      <c r="D1058" s="484" t="inlineStr">
        <is>
          <t>忠孝7樓</t>
        </is>
      </c>
      <c r="E1058" s="484" t="inlineStr">
        <is>
          <t>6170025</t>
        </is>
      </c>
      <c r="F1058" s="551" t="n"/>
      <c r="G1058" s="484" t="inlineStr">
        <is>
          <t>媚必提圓周探頭1.5mm/條</t>
        </is>
      </c>
      <c r="H1058" s="552" t="n"/>
      <c r="I1058" s="552" t="n"/>
      <c r="J1058" s="551" t="n"/>
      <c r="K1058" s="140" t="inlineStr">
        <is>
          <t>20000條/顆</t>
        </is>
      </c>
      <c r="L1058" s="560" t="n">
        <v>600</v>
      </c>
      <c r="M1058" s="123" t="n"/>
      <c r="N1058" s="117" t="n"/>
    </row>
    <row r="1059" ht="17.25" customHeight="1" s="453" thickBot="1">
      <c r="A1059" s="553">
        <f>IFERROR(LEFT(B1059,7),"")</f>
        <v/>
      </c>
      <c r="B1059" s="554">
        <f>"2025/12"&amp;D1059</f>
        <v/>
      </c>
      <c r="C1059" s="559" t="n">
        <v>132</v>
      </c>
      <c r="D1059" s="484" t="inlineStr">
        <is>
          <t>忠孝7樓</t>
        </is>
      </c>
      <c r="E1059" s="484" t="inlineStr">
        <is>
          <t>6170028</t>
        </is>
      </c>
      <c r="F1059" s="551" t="n"/>
      <c r="G1059" s="484" t="inlineStr">
        <is>
          <t>海芙電波探頭0.25cm/發</t>
        </is>
      </c>
      <c r="H1059" s="552" t="n"/>
      <c r="I1059" s="552" t="n"/>
      <c r="J1059" s="551" t="n"/>
      <c r="K1059" s="140" t="inlineStr">
        <is>
          <t>6000發/顆</t>
        </is>
      </c>
      <c r="L1059" s="560" t="n">
        <v>2268</v>
      </c>
      <c r="M1059" s="123" t="n"/>
      <c r="N1059" s="117" t="n"/>
    </row>
    <row r="1060" ht="17.25" customHeight="1" s="453" thickBot="1">
      <c r="A1060" s="553">
        <f>IFERROR(LEFT(B1060,7),"")</f>
        <v/>
      </c>
      <c r="B1060" s="554">
        <f>"2025/12"&amp;D1060</f>
        <v/>
      </c>
      <c r="C1060" s="559" t="n">
        <v>133</v>
      </c>
      <c r="D1060" s="484" t="inlineStr">
        <is>
          <t>忠孝7樓</t>
        </is>
      </c>
      <c r="E1060" s="484" t="inlineStr">
        <is>
          <t>6170030</t>
        </is>
      </c>
      <c r="F1060" s="551" t="n"/>
      <c r="G1060" s="484" t="inlineStr">
        <is>
          <t>海芙電波探頭4.0cm/發</t>
        </is>
      </c>
      <c r="H1060" s="552" t="n"/>
      <c r="I1060" s="552" t="n"/>
      <c r="J1060" s="551" t="n"/>
      <c r="K1060" s="140" t="inlineStr">
        <is>
          <t>3000發/顆</t>
        </is>
      </c>
      <c r="L1060" s="560" t="n">
        <v>47775</v>
      </c>
      <c r="M1060" s="123" t="n"/>
      <c r="N1060" s="117" t="n"/>
    </row>
    <row r="1061" ht="17.25" customHeight="1" s="453" thickBot="1">
      <c r="A1061" s="553">
        <f>IFERROR(LEFT(B1061,7),"")</f>
        <v/>
      </c>
      <c r="B1061" s="554">
        <f>"2025/12"&amp;D1061</f>
        <v/>
      </c>
      <c r="C1061" s="559" t="n">
        <v>134</v>
      </c>
      <c r="D1061" s="484" t="inlineStr">
        <is>
          <t>忠孝7樓</t>
        </is>
      </c>
      <c r="E1061" s="484" t="inlineStr">
        <is>
          <t>6170032</t>
        </is>
      </c>
      <c r="F1061" s="551" t="n"/>
      <c r="G1061" s="484" t="inlineStr">
        <is>
          <t>立特拉A2筆型探頭3.0mm/ 條</t>
        </is>
      </c>
      <c r="H1061" s="552" t="n"/>
      <c r="I1061" s="552" t="n"/>
      <c r="J1061" s="551" t="n"/>
      <c r="K1061" s="140" t="inlineStr">
        <is>
          <t>240000條/顆</t>
        </is>
      </c>
      <c r="L1061" s="560" t="n">
        <v>407347</v>
      </c>
      <c r="M1061" s="123" t="n"/>
      <c r="N1061" s="117" t="n"/>
    </row>
    <row r="1062" ht="17.25" customHeight="1" s="453" thickBot="1">
      <c r="A1062" s="553">
        <f>IFERROR(LEFT(B1062,7),"")</f>
        <v/>
      </c>
      <c r="B1062" s="554">
        <f>"2025/12"&amp;D1062</f>
        <v/>
      </c>
      <c r="C1062" s="559" t="n">
        <v>135</v>
      </c>
      <c r="D1062" s="484" t="inlineStr">
        <is>
          <t>忠孝7樓</t>
        </is>
      </c>
      <c r="E1062" s="484" t="inlineStr">
        <is>
          <t>6170033</t>
        </is>
      </c>
      <c r="F1062" s="551" t="n"/>
      <c r="G1062" s="484" t="inlineStr">
        <is>
          <t>立特拉A2筆型探頭4.5mm/ 條</t>
        </is>
      </c>
      <c r="H1062" s="552" t="n"/>
      <c r="I1062" s="552" t="n"/>
      <c r="J1062" s="551" t="n"/>
      <c r="K1062" s="140" t="inlineStr">
        <is>
          <t>240000條/顆</t>
        </is>
      </c>
      <c r="L1062" s="560" t="n">
        <v>225001</v>
      </c>
      <c r="M1062" s="123" t="n"/>
      <c r="N1062" s="117" t="n"/>
    </row>
    <row r="1063" ht="17.25" customHeight="1" s="453" thickBot="1">
      <c r="A1063" s="553">
        <f>IFERROR(LEFT(B1063,7),"")</f>
        <v/>
      </c>
      <c r="B1063" s="554">
        <f>"2025/12"&amp;D1063</f>
        <v/>
      </c>
      <c r="C1063" s="559" t="n">
        <v>136</v>
      </c>
      <c r="D1063" s="484" t="inlineStr">
        <is>
          <t>忠孝7樓</t>
        </is>
      </c>
      <c r="E1063" s="484" t="inlineStr">
        <is>
          <t>6170034</t>
        </is>
      </c>
      <c r="F1063" s="551" t="n"/>
      <c r="G1063" s="484" t="inlineStr">
        <is>
          <t>十蓓電波臉部探頭5cm</t>
        </is>
      </c>
      <c r="H1063" s="552" t="n"/>
      <c r="I1063" s="552" t="n"/>
      <c r="J1063" s="551" t="n"/>
      <c r="K1063" s="140" t="inlineStr">
        <is>
          <t>900發/顆</t>
        </is>
      </c>
      <c r="L1063" s="560" t="n">
        <v>73551</v>
      </c>
      <c r="M1063" s="123" t="n"/>
      <c r="N1063" s="117" t="n"/>
    </row>
    <row r="1064" ht="17.25" customHeight="1" s="453" thickBot="1">
      <c r="A1064" s="553">
        <f>IFERROR(LEFT(B1064,7),"")</f>
        <v/>
      </c>
      <c r="B1064" s="554">
        <f>"2025/12"&amp;D1064</f>
        <v/>
      </c>
      <c r="C1064" s="559" t="n">
        <v>137</v>
      </c>
      <c r="D1064" s="484" t="inlineStr">
        <is>
          <t>忠孝7樓</t>
        </is>
      </c>
      <c r="E1064" s="484" t="inlineStr">
        <is>
          <t>6170035</t>
        </is>
      </c>
      <c r="F1064" s="551" t="n"/>
      <c r="G1064" s="484" t="inlineStr">
        <is>
          <t>十蓓電波眼部探頭0.25cm</t>
        </is>
      </c>
      <c r="H1064" s="552" t="n"/>
      <c r="I1064" s="552" t="n"/>
      <c r="J1064" s="551" t="n"/>
      <c r="K1064" s="140" t="inlineStr">
        <is>
          <t>600發/顆</t>
        </is>
      </c>
      <c r="L1064" s="560" t="n">
        <v>9400</v>
      </c>
      <c r="M1064" s="123" t="n"/>
      <c r="N1064" s="117" t="n"/>
    </row>
    <row r="1065" ht="17.25" customHeight="1" s="453" thickBot="1">
      <c r="A1065" s="553">
        <f>IFERROR(LEFT(B1065,7),"")</f>
        <v/>
      </c>
      <c r="B1065" s="554">
        <f>"2025/12"&amp;D1065</f>
        <v/>
      </c>
      <c r="C1065" s="559" t="n">
        <v>138</v>
      </c>
      <c r="D1065" s="484" t="inlineStr">
        <is>
          <t>忠孝7樓</t>
        </is>
      </c>
      <c r="E1065" s="484" t="inlineStr">
        <is>
          <t>6180005</t>
        </is>
      </c>
      <c r="F1065" s="551" t="n"/>
      <c r="G1065" s="484" t="inlineStr">
        <is>
          <t>(V)MINT秘特拉提線FINE 18CM/ 條</t>
        </is>
      </c>
      <c r="H1065" s="552" t="n"/>
      <c r="I1065" s="552" t="n"/>
      <c r="J1065" s="551" t="n"/>
      <c r="K1065" s="140" t="inlineStr">
        <is>
          <t>20條/盒</t>
        </is>
      </c>
      <c r="L1065" s="560" t="n">
        <v>20</v>
      </c>
      <c r="M1065" s="123" t="n"/>
      <c r="N1065" s="117" t="n"/>
    </row>
    <row r="1066" ht="17.25" customHeight="1" s="453" thickBot="1">
      <c r="A1066" s="553">
        <f>IFERROR(LEFT(B1066,7),"")</f>
        <v/>
      </c>
      <c r="B1066" s="554">
        <f>"2025/12"&amp;D1066</f>
        <v/>
      </c>
      <c r="C1066" s="559" t="n">
        <v>139</v>
      </c>
      <c r="D1066" s="484" t="inlineStr">
        <is>
          <t>忠孝7樓</t>
        </is>
      </c>
      <c r="E1066" s="484" t="inlineStr">
        <is>
          <t>6180007</t>
        </is>
      </c>
      <c r="F1066" s="551" t="n"/>
      <c r="G1066" s="484" t="inlineStr">
        <is>
          <t>(V)MINT秘特拉提線PETIT 15CM/ 條</t>
        </is>
      </c>
      <c r="H1066" s="552" t="n"/>
      <c r="I1066" s="552" t="n"/>
      <c r="J1066" s="551" t="n"/>
      <c r="K1066" s="140" t="inlineStr">
        <is>
          <t>20條/盒</t>
        </is>
      </c>
      <c r="L1066" s="560" t="n">
        <v>40</v>
      </c>
      <c r="M1066" s="123" t="n"/>
      <c r="N1066" s="117" t="n"/>
    </row>
    <row r="1067" ht="17.25" customHeight="1" s="453" thickBot="1">
      <c r="A1067" s="553">
        <f>IFERROR(LEFT(B1067,7),"")</f>
        <v/>
      </c>
      <c r="B1067" s="554">
        <f>"2025/12"&amp;D1067</f>
        <v/>
      </c>
      <c r="C1067" s="559" t="n">
        <v>140</v>
      </c>
      <c r="D1067" s="484" t="inlineStr">
        <is>
          <t>忠孝7樓</t>
        </is>
      </c>
      <c r="E1067" s="484" t="inlineStr">
        <is>
          <t>6180009</t>
        </is>
      </c>
      <c r="F1067" s="551" t="n"/>
      <c r="G1067" s="484" t="inlineStr">
        <is>
          <t>(V)MINT秘特拉提線TIP 4CM/ 條</t>
        </is>
      </c>
      <c r="H1067" s="552" t="n"/>
      <c r="I1067" s="552" t="n"/>
      <c r="J1067" s="551" t="n"/>
      <c r="K1067" s="140" t="inlineStr">
        <is>
          <t>10條/盒</t>
        </is>
      </c>
      <c r="L1067" s="560" t="n">
        <v>4</v>
      </c>
      <c r="M1067" s="123" t="n"/>
      <c r="N1067" s="117" t="n"/>
    </row>
    <row r="1068" ht="17.25" customHeight="1" s="453" thickBot="1">
      <c r="A1068" s="553">
        <f>IFERROR(LEFT(B1068,7),"")</f>
        <v/>
      </c>
      <c r="B1068" s="554">
        <f>"2025/12"&amp;D1068</f>
        <v/>
      </c>
      <c r="C1068" s="559" t="n">
        <v>141</v>
      </c>
      <c r="D1068" s="484" t="inlineStr">
        <is>
          <t>忠孝7樓</t>
        </is>
      </c>
      <c r="E1068" s="484" t="inlineStr">
        <is>
          <t>6180011</t>
        </is>
      </c>
      <c r="F1068" s="551" t="n"/>
      <c r="G1068" s="484" t="inlineStr">
        <is>
          <t>(V)MINT秘特拉提線UP 9.5CM/ 條</t>
        </is>
      </c>
      <c r="H1068" s="552" t="n"/>
      <c r="I1068" s="552" t="n"/>
      <c r="J1068" s="551" t="n"/>
      <c r="K1068" s="140" t="inlineStr">
        <is>
          <t>10條/盒</t>
        </is>
      </c>
      <c r="L1068" s="560" t="n">
        <v>36</v>
      </c>
      <c r="M1068" s="123" t="n"/>
      <c r="N1068" s="117" t="n"/>
    </row>
    <row r="1069" ht="17.25" customHeight="1" s="453" thickBot="1">
      <c r="A1069" s="553">
        <f>IFERROR(LEFT(B1069,7),"")</f>
        <v/>
      </c>
      <c r="B1069" s="554">
        <f>"2025/12"&amp;D1069</f>
        <v/>
      </c>
      <c r="C1069" s="559" t="n">
        <v>142</v>
      </c>
      <c r="D1069" s="484" t="inlineStr">
        <is>
          <t>忠孝7樓</t>
        </is>
      </c>
      <c r="E1069" s="484" t="inlineStr">
        <is>
          <t>6180013</t>
        </is>
      </c>
      <c r="F1069" s="551" t="n"/>
      <c r="G1069" s="484" t="inlineStr">
        <is>
          <t>(V)MINT秘特拉提線FIX 18CM/ 條</t>
        </is>
      </c>
      <c r="H1069" s="552" t="n"/>
      <c r="I1069" s="552" t="n"/>
      <c r="J1069" s="551" t="n"/>
      <c r="K1069" s="140" t="inlineStr">
        <is>
          <t>20條/盒</t>
        </is>
      </c>
      <c r="L1069" s="560" t="n">
        <v>4</v>
      </c>
      <c r="M1069" s="123" t="n"/>
      <c r="N1069" s="117" t="n"/>
    </row>
    <row r="1070" ht="17.25" customHeight="1" s="453" thickBot="1">
      <c r="A1070" s="553">
        <f>IFERROR(LEFT(B1070,7),"")</f>
        <v/>
      </c>
      <c r="B1070" s="554">
        <f>"2025/12"&amp;D1070</f>
        <v/>
      </c>
      <c r="C1070" s="559" t="n">
        <v>143</v>
      </c>
      <c r="D1070" s="484" t="inlineStr">
        <is>
          <t>忠孝7樓</t>
        </is>
      </c>
      <c r="E1070" s="484" t="inlineStr">
        <is>
          <t>6190001</t>
        </is>
      </c>
      <c r="F1070" s="551" t="n"/>
      <c r="G1070" s="484" t="inlineStr">
        <is>
          <t>PLT生長因子凍晶製備/ 瓶</t>
        </is>
      </c>
      <c r="H1070" s="552" t="n"/>
      <c r="I1070" s="552" t="n"/>
      <c r="J1070" s="551" t="n"/>
      <c r="K1070" s="140" t="inlineStr">
        <is>
          <t>瓶</t>
        </is>
      </c>
      <c r="L1070" s="560" t="n">
        <v>4</v>
      </c>
      <c r="M1070" s="123" t="n"/>
      <c r="N1070" s="117" t="n"/>
    </row>
    <row r="1071" ht="17.25" customHeight="1" s="453" thickBot="1">
      <c r="A1071" s="553">
        <f>IFERROR(LEFT(B1071,7),"")</f>
        <v/>
      </c>
      <c r="B1071" s="554">
        <f>"2025/12"&amp;D1071</f>
        <v/>
      </c>
      <c r="C1071" s="559" t="n">
        <v>144</v>
      </c>
      <c r="D1071" s="484" t="inlineStr">
        <is>
          <t>忠孝7樓</t>
        </is>
      </c>
      <c r="E1071" s="484" t="inlineStr">
        <is>
          <t>6190002</t>
        </is>
      </c>
      <c r="F1071" s="551" t="n"/>
      <c r="G1071" s="484" t="inlineStr">
        <is>
          <t>PLT生長因子凍晶製備6入(單瓶)</t>
        </is>
      </c>
      <c r="H1071" s="552" t="n"/>
      <c r="I1071" s="552" t="n"/>
      <c r="J1071" s="551" t="n"/>
      <c r="K1071" s="140" t="inlineStr">
        <is>
          <t>瓶(6入/組)</t>
        </is>
      </c>
      <c r="L1071" s="560" t="n">
        <v>2</v>
      </c>
      <c r="M1071" s="123" t="n"/>
      <c r="N1071" s="117" t="n"/>
    </row>
    <row r="1072" ht="17.25" customHeight="1" s="453" thickBot="1">
      <c r="A1072" s="553">
        <f>IFERROR(LEFT(B1072,7),"")</f>
        <v/>
      </c>
      <c r="B1072" s="554">
        <f>"2025/12"&amp;D1072</f>
        <v/>
      </c>
      <c r="C1072" s="559" t="n">
        <v>145</v>
      </c>
      <c r="D1072" s="484" t="inlineStr">
        <is>
          <t>忠孝7樓</t>
        </is>
      </c>
      <c r="E1072" s="484" t="inlineStr">
        <is>
          <t>6190003</t>
        </is>
      </c>
      <c r="F1072" s="551" t="n"/>
      <c r="G1072" s="484" t="inlineStr">
        <is>
          <t>PLT生長因子凍晶製備10入(單瓶)</t>
        </is>
      </c>
      <c r="H1072" s="552" t="n"/>
      <c r="I1072" s="552" t="n"/>
      <c r="J1072" s="551" t="n"/>
      <c r="K1072" s="140" t="inlineStr">
        <is>
          <t>瓶(10入/組)</t>
        </is>
      </c>
      <c r="L1072" s="560" t="n">
        <v>8</v>
      </c>
      <c r="M1072" s="123" t="n"/>
      <c r="N1072" s="117" t="n"/>
    </row>
    <row r="1073" ht="17.25" customHeight="1" s="453" thickBot="1">
      <c r="A1073" s="553">
        <f>IFERROR(LEFT(B1073,7),"")</f>
        <v/>
      </c>
      <c r="B1073" s="554">
        <f>"2025/12"&amp;D1073</f>
        <v/>
      </c>
      <c r="C1073" s="559" t="n">
        <v>146</v>
      </c>
      <c r="D1073" s="484" t="inlineStr">
        <is>
          <t>忠孝7樓</t>
        </is>
      </c>
      <c r="E1073" s="484" t="inlineStr">
        <is>
          <t>6190004</t>
        </is>
      </c>
      <c r="F1073" s="551" t="n"/>
      <c r="G1073" s="484" t="inlineStr">
        <is>
          <t>PLT生長因子凍晶製備20入(單瓶)</t>
        </is>
      </c>
      <c r="H1073" s="552" t="n"/>
      <c r="I1073" s="552" t="n"/>
      <c r="J1073" s="551" t="n"/>
      <c r="K1073" s="140" t="inlineStr">
        <is>
          <t>瓶(20入/組)</t>
        </is>
      </c>
      <c r="L1073" s="560" t="n">
        <v>35</v>
      </c>
      <c r="M1073" s="123" t="n"/>
      <c r="N1073" s="117" t="n"/>
    </row>
    <row r="1074" ht="17.25" customHeight="1" s="453" thickBot="1">
      <c r="A1074" s="553">
        <f>IFERROR(LEFT(B1074,7),"")</f>
        <v/>
      </c>
      <c r="B1074" s="554">
        <f>"2025/12"&amp;D1074</f>
        <v/>
      </c>
      <c r="C1074" s="559" t="n">
        <v>147</v>
      </c>
      <c r="D1074" s="484" t="inlineStr">
        <is>
          <t>忠孝7樓</t>
        </is>
      </c>
      <c r="E1074" s="484" t="inlineStr">
        <is>
          <t>6200003</t>
        </is>
      </c>
      <c r="F1074" s="551" t="n"/>
      <c r="G1074" s="484" t="inlineStr">
        <is>
          <t>(V)倍克脂Belkyra/ 瓶(20的倍數下單)</t>
        </is>
      </c>
      <c r="H1074" s="552" t="n"/>
      <c r="I1074" s="552" t="n"/>
      <c r="J1074" s="551" t="n"/>
      <c r="K1074" s="140" t="inlineStr">
        <is>
          <t>5瓶/盒</t>
        </is>
      </c>
      <c r="L1074" s="560" t="n">
        <v>9</v>
      </c>
      <c r="M1074" s="123" t="n"/>
      <c r="N1074" s="117" t="n"/>
    </row>
    <row r="1075" ht="17.25" customHeight="1" s="453" thickBot="1">
      <c r="A1075" s="553">
        <f>IFERROR(LEFT(B1075,7),"")</f>
        <v/>
      </c>
      <c r="B1075" s="554">
        <f>"2025/12"&amp;D1075</f>
        <v/>
      </c>
      <c r="C1075" s="559" t="n">
        <v>148</v>
      </c>
      <c r="D1075" s="484" t="inlineStr">
        <is>
          <t>忠孝7樓</t>
        </is>
      </c>
      <c r="E1075" s="484" t="inlineStr">
        <is>
          <t>6210001</t>
        </is>
      </c>
      <c r="F1075" s="551" t="n"/>
      <c r="G1075" s="484" t="inlineStr">
        <is>
          <t>(V)水光針針頭/31G9針/1.0mm/ PCS</t>
        </is>
      </c>
      <c r="H1075" s="552" t="n"/>
      <c r="I1075" s="552" t="n"/>
      <c r="J1075" s="551" t="n"/>
      <c r="K1075" s="140" t="inlineStr">
        <is>
          <t>PCS(20入/盒)</t>
        </is>
      </c>
      <c r="L1075" s="560" t="n">
        <v>5</v>
      </c>
      <c r="M1075" s="123" t="n"/>
      <c r="N1075" s="117" t="n"/>
    </row>
    <row r="1076" ht="17.25" customHeight="1" s="453" thickBot="1">
      <c r="A1076" s="553">
        <f>IFERROR(LEFT(B1076,7),"")</f>
        <v/>
      </c>
      <c r="B1076" s="554">
        <f>"2025/12"&amp;D1076</f>
        <v/>
      </c>
      <c r="C1076" s="559" t="n">
        <v>149</v>
      </c>
      <c r="D1076" s="484" t="inlineStr">
        <is>
          <t>忠孝7樓</t>
        </is>
      </c>
      <c r="E1076" s="484" t="inlineStr">
        <is>
          <t>6210002</t>
        </is>
      </c>
      <c r="F1076" s="551" t="n"/>
      <c r="G1076" s="484" t="inlineStr">
        <is>
          <t>(V)水光針針頭/31G9針/1.2mm/ PCS</t>
        </is>
      </c>
      <c r="H1076" s="552" t="n"/>
      <c r="I1076" s="552" t="n"/>
      <c r="J1076" s="551" t="n"/>
      <c r="K1076" s="140" t="inlineStr">
        <is>
          <t>PCS(20入/盒)</t>
        </is>
      </c>
      <c r="L1076" s="560" t="n">
        <v>219</v>
      </c>
      <c r="M1076" s="123" t="n"/>
      <c r="N1076" s="117" t="n"/>
    </row>
    <row r="1077" ht="17.25" customHeight="1" s="453" thickBot="1">
      <c r="A1077" s="553">
        <f>IFERROR(LEFT(B1077,7),"")</f>
        <v/>
      </c>
      <c r="B1077" s="554">
        <f>"2025/12"&amp;D1077</f>
        <v/>
      </c>
      <c r="C1077" s="559" t="n">
        <v>150</v>
      </c>
      <c r="D1077" s="484" t="inlineStr">
        <is>
          <t>忠孝7樓</t>
        </is>
      </c>
      <c r="E1077" s="484" t="inlineStr">
        <is>
          <t>6210003</t>
        </is>
      </c>
      <c r="F1077" s="551" t="n"/>
      <c r="G1077" s="484" t="inlineStr">
        <is>
          <t>(V)水光針針頭/31G9針/1.5mm/ PCS</t>
        </is>
      </c>
      <c r="H1077" s="552" t="n"/>
      <c r="I1077" s="552" t="n"/>
      <c r="J1077" s="551" t="n"/>
      <c r="K1077" s="140" t="inlineStr">
        <is>
          <t>PCS(20入/盒)</t>
        </is>
      </c>
      <c r="L1077" s="560" t="n">
        <v>54</v>
      </c>
      <c r="M1077" s="123" t="n"/>
      <c r="N1077" s="117" t="n"/>
    </row>
    <row r="1078" ht="17.25" customHeight="1" s="453" thickBot="1">
      <c r="A1078" s="553">
        <f>IFERROR(LEFT(B1078,7),"")</f>
        <v/>
      </c>
      <c r="B1078" s="554">
        <f>"2025/12"&amp;D1078</f>
        <v/>
      </c>
      <c r="C1078" s="559" t="n">
        <v>151</v>
      </c>
      <c r="D1078" s="484" t="inlineStr">
        <is>
          <t>忠孝7樓</t>
        </is>
      </c>
      <c r="E1078" s="484" t="inlineStr">
        <is>
          <t>6210006</t>
        </is>
      </c>
      <c r="F1078" s="551" t="n"/>
      <c r="G1078" s="484" t="inlineStr">
        <is>
          <t>(V)麗珠蘭修復水光(A劑2ml+B劑2ml)</t>
        </is>
      </c>
      <c r="H1078" s="552" t="n"/>
      <c r="I1078" s="552" t="n"/>
      <c r="J1078" s="551" t="n"/>
      <c r="K1078" s="140" t="inlineStr">
        <is>
          <t>2ml*2</t>
        </is>
      </c>
      <c r="L1078" s="560" t="n">
        <v>6</v>
      </c>
      <c r="M1078" s="123" t="n"/>
      <c r="N1078" s="117" t="n"/>
    </row>
    <row r="1079" ht="17.25" customHeight="1" s="453" thickBot="1">
      <c r="A1079" s="553">
        <f>IFERROR(LEFT(B1079,7),"")</f>
        <v/>
      </c>
      <c r="B1079" s="554">
        <f>"2025/12"&amp;D1079</f>
        <v/>
      </c>
      <c r="C1079" s="559" t="n">
        <v>152</v>
      </c>
      <c r="D1079" s="484" t="inlineStr">
        <is>
          <t>忠孝7樓</t>
        </is>
      </c>
      <c r="E1079" s="484" t="inlineStr">
        <is>
          <t>6210007</t>
        </is>
      </c>
      <c r="F1079" s="551" t="n"/>
      <c r="G1079" s="484" t="inlineStr">
        <is>
          <t>(V)麗珠蘭白瓷水光(A劑2ml+B劑2ml)</t>
        </is>
      </c>
      <c r="H1079" s="552" t="n"/>
      <c r="I1079" s="552" t="n"/>
      <c r="J1079" s="551" t="n"/>
      <c r="K1079" s="140" t="inlineStr">
        <is>
          <t>2ml*2</t>
        </is>
      </c>
      <c r="L1079" s="560" t="n">
        <v>10</v>
      </c>
      <c r="M1079" s="123" t="n"/>
      <c r="N1079" s="117" t="n"/>
    </row>
    <row r="1080" ht="17.25" customHeight="1" s="453" thickBot="1">
      <c r="A1080" s="553">
        <f>IFERROR(LEFT(B1080,7),"")</f>
        <v/>
      </c>
      <c r="B1080" s="554">
        <f>"2025/12"&amp;D1080</f>
        <v/>
      </c>
      <c r="C1080" s="559" t="n">
        <v>153</v>
      </c>
      <c r="D1080" s="484" t="inlineStr">
        <is>
          <t>忠孝7樓</t>
        </is>
      </c>
      <c r="E1080" s="484" t="inlineStr">
        <is>
          <t>6210008</t>
        </is>
      </c>
      <c r="F1080" s="551" t="n"/>
      <c r="G1080" s="484" t="inlineStr">
        <is>
          <t>微針筆針頭</t>
        </is>
      </c>
      <c r="H1080" s="552" t="n"/>
      <c r="I1080" s="552" t="n"/>
      <c r="J1080" s="551" t="n"/>
      <c r="K1080" s="140" t="inlineStr">
        <is>
          <t>PCS(33入/盒)</t>
        </is>
      </c>
      <c r="L1080" s="560" t="n">
        <v>2</v>
      </c>
      <c r="M1080" s="123" t="n"/>
      <c r="N1080" s="117" t="n"/>
    </row>
    <row r="1081" ht="17.25" customHeight="1" s="453" thickBot="1">
      <c r="A1081" s="553">
        <f>IFERROR(LEFT(B1081,7),"")</f>
        <v/>
      </c>
      <c r="B1081" s="554">
        <f>"2025/12"&amp;D1081</f>
        <v/>
      </c>
      <c r="C1081" s="559" t="n">
        <v>154</v>
      </c>
      <c r="D1081" s="484" t="inlineStr">
        <is>
          <t>忠孝7樓</t>
        </is>
      </c>
      <c r="E1081" s="484" t="inlineStr">
        <is>
          <t>6220005</t>
        </is>
      </c>
      <c r="F1081" s="551" t="n"/>
      <c r="G1081" s="484" t="inlineStr">
        <is>
          <t>海菲秀深藍端頭/ 顆</t>
        </is>
      </c>
      <c r="H1081" s="552" t="n"/>
      <c r="I1081" s="552" t="n"/>
      <c r="J1081" s="551" t="n"/>
      <c r="K1081" s="140" t="inlineStr">
        <is>
          <t>15顆/串</t>
        </is>
      </c>
      <c r="L1081" s="560" t="n">
        <v>1154</v>
      </c>
      <c r="M1081" s="123" t="n"/>
      <c r="N1081" s="117" t="n"/>
    </row>
    <row r="1082" ht="17.25" customHeight="1" s="453" thickBot="1">
      <c r="A1082" s="553">
        <f>IFERROR(LEFT(B1082,7),"")</f>
        <v/>
      </c>
      <c r="B1082" s="554">
        <f>"2025/12"&amp;D1082</f>
        <v/>
      </c>
      <c r="C1082" s="559" t="n">
        <v>155</v>
      </c>
      <c r="D1082" s="484" t="inlineStr">
        <is>
          <t>忠孝7樓</t>
        </is>
      </c>
      <c r="E1082" s="484" t="inlineStr">
        <is>
          <t>6220006</t>
        </is>
      </c>
      <c r="F1082" s="551" t="n"/>
      <c r="G1082" s="484" t="inlineStr">
        <is>
          <t>海菲秀淺藍端頭/ 顆</t>
        </is>
      </c>
      <c r="H1082" s="552" t="n"/>
      <c r="I1082" s="552" t="n"/>
      <c r="J1082" s="551" t="n"/>
      <c r="K1082" s="140" t="inlineStr">
        <is>
          <t>15顆/串</t>
        </is>
      </c>
      <c r="L1082" s="560" t="n">
        <v>1154</v>
      </c>
      <c r="M1082" s="123" t="n"/>
      <c r="N1082" s="117" t="n"/>
    </row>
    <row r="1083" ht="17.25" customHeight="1" s="453" thickBot="1">
      <c r="A1083" s="553">
        <f>IFERROR(LEFT(B1083,7),"")</f>
        <v/>
      </c>
      <c r="B1083" s="554">
        <f>"2025/12"&amp;D1083</f>
        <v/>
      </c>
      <c r="C1083" s="559" t="n">
        <v>156</v>
      </c>
      <c r="D1083" s="484" t="inlineStr">
        <is>
          <t>忠孝7樓</t>
        </is>
      </c>
      <c r="E1083" s="484" t="inlineStr">
        <is>
          <t>6220007</t>
        </is>
      </c>
      <c r="F1083" s="551" t="n"/>
      <c r="G1083" s="484" t="inlineStr">
        <is>
          <t>海菲秀透明端頭/ 顆</t>
        </is>
      </c>
      <c r="H1083" s="552" t="n"/>
      <c r="I1083" s="552" t="n"/>
      <c r="J1083" s="551" t="n"/>
      <c r="K1083" s="140" t="inlineStr">
        <is>
          <t>15顆/串</t>
        </is>
      </c>
      <c r="L1083" s="560" t="n">
        <v>1154</v>
      </c>
      <c r="M1083" s="123" t="n"/>
      <c r="N1083" s="117" t="n"/>
    </row>
    <row r="1084" ht="17.25" customHeight="1" s="453" thickBot="1">
      <c r="A1084" s="553">
        <f>IFERROR(LEFT(B1084,7),"")</f>
        <v/>
      </c>
      <c r="B1084" s="554">
        <f>"2025/12"&amp;D1084</f>
        <v/>
      </c>
      <c r="C1084" s="559" t="n">
        <v>157</v>
      </c>
      <c r="D1084" s="484" t="inlineStr">
        <is>
          <t>忠孝7樓</t>
        </is>
      </c>
      <c r="E1084" s="484" t="inlineStr">
        <is>
          <t>6220012</t>
        </is>
      </c>
      <c r="F1084" s="551" t="n"/>
      <c r="G1084" s="484" t="inlineStr">
        <is>
          <t>(V)(第一劑)海菲秀 Activ-4 Skin Solution/mL</t>
        </is>
      </c>
      <c r="H1084" s="552" t="n"/>
      <c r="I1084" s="552" t="n"/>
      <c r="J1084" s="551" t="n"/>
      <c r="K1084" s="140" t="inlineStr">
        <is>
          <t>236ml/瓶</t>
        </is>
      </c>
      <c r="L1084" s="560" t="n">
        <v>17282</v>
      </c>
      <c r="M1084" s="123" t="n"/>
      <c r="N1084" s="117" t="n"/>
    </row>
    <row r="1085" ht="17.25" customHeight="1" s="453" thickBot="1">
      <c r="A1085" s="553">
        <f>IFERROR(LEFT(B1085,7),"")</f>
        <v/>
      </c>
      <c r="B1085" s="554">
        <f>"2025/12"&amp;D1085</f>
        <v/>
      </c>
      <c r="C1085" s="559" t="n">
        <v>158</v>
      </c>
      <c r="D1085" s="484" t="inlineStr">
        <is>
          <t>忠孝7樓</t>
        </is>
      </c>
      <c r="E1085" s="484" t="inlineStr">
        <is>
          <t>6220013</t>
        </is>
      </c>
      <c r="F1085" s="551" t="n"/>
      <c r="G1085" s="484" t="inlineStr">
        <is>
          <t>(V)(第二劑)海菲秀 Beta-HD Skin Solution /mL</t>
        </is>
      </c>
      <c r="H1085" s="552" t="n"/>
      <c r="I1085" s="552" t="n"/>
      <c r="J1085" s="551" t="n"/>
      <c r="K1085" s="140" t="inlineStr">
        <is>
          <t>236ml/瓶</t>
        </is>
      </c>
      <c r="L1085" s="560" t="n">
        <v>17282</v>
      </c>
      <c r="M1085" s="123" t="n"/>
      <c r="N1085" s="117" t="n"/>
    </row>
    <row r="1086" ht="17.25" customHeight="1" s="453" thickBot="1">
      <c r="A1086" s="553">
        <f>IFERROR(LEFT(B1086,7),"")</f>
        <v/>
      </c>
      <c r="B1086" s="554">
        <f>"2025/12"&amp;D1086</f>
        <v/>
      </c>
      <c r="C1086" s="559" t="n">
        <v>159</v>
      </c>
      <c r="D1086" s="484" t="inlineStr">
        <is>
          <t>忠孝7樓</t>
        </is>
      </c>
      <c r="E1086" s="484" t="inlineStr">
        <is>
          <t>6220014</t>
        </is>
      </c>
      <c r="F1086" s="551" t="n"/>
      <c r="G1086" s="484" t="inlineStr">
        <is>
          <t>(V)(第三劑)海菲秀 Antiox-6 Skin Solution /mL</t>
        </is>
      </c>
      <c r="H1086" s="552" t="n"/>
      <c r="I1086" s="552" t="n"/>
      <c r="J1086" s="551" t="n"/>
      <c r="K1086" s="140" t="inlineStr">
        <is>
          <t>236ml/瓶</t>
        </is>
      </c>
      <c r="L1086" s="560" t="n">
        <v>17282</v>
      </c>
      <c r="M1086" s="123" t="n"/>
      <c r="N1086" s="117" t="n"/>
    </row>
    <row r="1087" ht="17.25" customHeight="1" s="453" thickBot="1">
      <c r="A1087" s="553">
        <f>IFERROR(LEFT(B1087,7),"")</f>
        <v/>
      </c>
      <c r="B1087" s="554">
        <f>"2025/12"&amp;D1087</f>
        <v/>
      </c>
      <c r="C1087" s="559" t="n">
        <v>160</v>
      </c>
      <c r="D1087" s="484" t="inlineStr">
        <is>
          <t>忠孝7樓</t>
        </is>
      </c>
      <c r="E1087" s="484" t="inlineStr">
        <is>
          <t>6220015</t>
        </is>
      </c>
      <c r="F1087" s="551" t="n"/>
      <c r="G1087" s="484" t="inlineStr">
        <is>
          <t>(V)(第四劑)海菲秀 Rinseaway System Cleaning Solution /mL</t>
        </is>
      </c>
      <c r="H1087" s="552" t="n"/>
      <c r="I1087" s="552" t="n"/>
      <c r="J1087" s="551" t="n"/>
      <c r="K1087" s="140" t="inlineStr">
        <is>
          <t>236ml/瓶</t>
        </is>
      </c>
      <c r="L1087" s="560" t="n">
        <v>17282</v>
      </c>
      <c r="M1087" s="123" t="n"/>
      <c r="N1087" s="117" t="n"/>
    </row>
    <row r="1088" ht="17.25" customHeight="1" s="453" thickBot="1">
      <c r="A1088" s="553">
        <f>IFERROR(LEFT(B1088,7),"")</f>
        <v/>
      </c>
      <c r="B1088" s="554">
        <f>"2025/12"&amp;D1088</f>
        <v/>
      </c>
      <c r="C1088" s="559" t="n">
        <v>161</v>
      </c>
      <c r="D1088" s="484" t="inlineStr">
        <is>
          <t>忠孝國際醫學3樓</t>
        </is>
      </c>
      <c r="E1088" s="484" t="inlineStr">
        <is>
          <t>6120001</t>
        </is>
      </c>
      <c r="F1088" s="551" t="n"/>
      <c r="G1088" s="484" t="inlineStr">
        <is>
          <t>(V)肝得健注射劑/ 瓶，220倍數叫貨</t>
        </is>
      </c>
      <c r="H1088" s="552" t="n"/>
      <c r="I1088" s="552" t="n"/>
      <c r="J1088" s="551" t="n"/>
      <c r="K1088" s="140" t="inlineStr">
        <is>
          <t>20支/盒</t>
        </is>
      </c>
      <c r="L1088" s="560" t="n">
        <v>1038</v>
      </c>
      <c r="M1088" s="123" t="n"/>
      <c r="N1088" s="117" t="n"/>
    </row>
    <row r="1089" ht="17.25" customHeight="1" s="453" thickBot="1">
      <c r="A1089" s="553">
        <f>IFERROR(LEFT(B1089,7),"")</f>
        <v/>
      </c>
      <c r="B1089" s="554">
        <f>"2025/12"&amp;D1089</f>
        <v/>
      </c>
      <c r="C1089" s="559" t="n">
        <v>162</v>
      </c>
      <c r="D1089" s="484" t="inlineStr">
        <is>
          <t>忠孝國際醫學3樓</t>
        </is>
      </c>
      <c r="E1089" s="484" t="inlineStr">
        <is>
          <t>6120002</t>
        </is>
      </c>
      <c r="F1089" s="551" t="n"/>
      <c r="G1089" s="484" t="inlineStr">
        <is>
          <t>(V)卡妮丁注射劑/ 瓶，220倍數叫貨</t>
        </is>
      </c>
      <c r="H1089" s="552" t="n"/>
      <c r="I1089" s="552" t="n"/>
      <c r="J1089" s="551" t="n"/>
      <c r="K1089" s="140" t="inlineStr">
        <is>
          <t>20支/盒</t>
        </is>
      </c>
      <c r="L1089" s="560" t="n">
        <v>1289.5</v>
      </c>
      <c r="M1089" s="123" t="n"/>
      <c r="N1089" s="117" t="n"/>
    </row>
    <row r="1090" ht="17.25" customHeight="1" s="453" thickBot="1">
      <c r="A1090" s="553">
        <f>IFERROR(LEFT(B1090,7),"")</f>
        <v/>
      </c>
      <c r="B1090" s="554">
        <f>"2025/12"&amp;D1090</f>
        <v/>
      </c>
      <c r="C1090" s="559" t="n">
        <v>163</v>
      </c>
      <c r="D1090" s="484" t="inlineStr">
        <is>
          <t>忠孝國際醫學3樓</t>
        </is>
      </c>
      <c r="E1090" s="484" t="inlineStr">
        <is>
          <t>6120003</t>
        </is>
      </c>
      <c r="F1090" s="551" t="n"/>
      <c r="G1090" s="484" t="inlineStr">
        <is>
          <t>(V)貝力多(雙胜胺) 20% 30mL/ 瓶，50倍數叫貨</t>
        </is>
      </c>
      <c r="H1090" s="552" t="n"/>
      <c r="I1090" s="552" t="n"/>
      <c r="J1090" s="551" t="n"/>
      <c r="K1090" s="140" t="inlineStr">
        <is>
          <t>10支/盒</t>
        </is>
      </c>
      <c r="L1090" s="560" t="n">
        <v>9</v>
      </c>
      <c r="M1090" s="123" t="n"/>
      <c r="N1090" s="117" t="n"/>
    </row>
    <row r="1091" ht="17.25" customHeight="1" s="453" thickBot="1">
      <c r="A1091" s="553">
        <f>IFERROR(LEFT(B1091,7),"")</f>
        <v/>
      </c>
      <c r="B1091" s="554">
        <f>"2025/12"&amp;D1091</f>
        <v/>
      </c>
      <c r="C1091" s="559" t="n">
        <v>164</v>
      </c>
      <c r="D1091" s="484" t="inlineStr">
        <is>
          <t>忠孝國際醫學3樓</t>
        </is>
      </c>
      <c r="E1091" s="484" t="inlineStr">
        <is>
          <t>6120004</t>
        </is>
      </c>
      <c r="F1091" s="551" t="n"/>
      <c r="G1091" s="484" t="inlineStr">
        <is>
          <t>(V)胺基酸點滴250ml/ 袋(安命活源/嘉安命)，20倍數叫貨</t>
        </is>
      </c>
      <c r="H1091" s="552" t="n"/>
      <c r="I1091" s="552" t="n"/>
      <c r="J1091" s="551" t="n"/>
      <c r="K1091" s="140" t="inlineStr">
        <is>
          <t>(20瓶/箱)</t>
        </is>
      </c>
      <c r="L1091" s="560" t="n">
        <v>23</v>
      </c>
      <c r="M1091" s="123" t="n"/>
      <c r="N1091" s="117" t="n"/>
    </row>
    <row r="1092" ht="17.25" customHeight="1" s="453" thickBot="1">
      <c r="A1092" s="553">
        <f>IFERROR(LEFT(B1092,7),"")</f>
        <v/>
      </c>
      <c r="B1092" s="554">
        <f>"2025/12"&amp;D1092</f>
        <v/>
      </c>
      <c r="C1092" s="559" t="n">
        <v>165</v>
      </c>
      <c r="D1092" s="484" t="inlineStr">
        <is>
          <t>忠孝國際醫學3樓</t>
        </is>
      </c>
      <c r="E1092" s="484" t="inlineStr">
        <is>
          <t>6120006</t>
        </is>
      </c>
      <c r="F1092" s="551" t="n"/>
      <c r="G1092" s="484" t="inlineStr">
        <is>
          <t>(V)(B12) 愛壽命 2mL，100倍數叫貨</t>
        </is>
      </c>
      <c r="H1092" s="552" t="n"/>
      <c r="I1092" s="552" t="n"/>
      <c r="J1092" s="551" t="n"/>
      <c r="K1092" s="140" t="inlineStr">
        <is>
          <t>(100支/盒)</t>
        </is>
      </c>
      <c r="L1092" s="560" t="n">
        <v>511</v>
      </c>
      <c r="M1092" s="123" t="n"/>
      <c r="N1092" s="117" t="n"/>
    </row>
    <row r="1093" ht="17.25" customHeight="1" s="453" thickBot="1">
      <c r="A1093" s="553">
        <f>IFERROR(LEFT(B1093,7),"")</f>
        <v/>
      </c>
      <c r="B1093" s="554">
        <f>"2025/12"&amp;D1093</f>
        <v/>
      </c>
      <c r="C1093" s="559" t="n">
        <v>166</v>
      </c>
      <c r="D1093" s="484" t="inlineStr">
        <is>
          <t>忠孝國際醫學3樓</t>
        </is>
      </c>
      <c r="E1093" s="484" t="inlineStr">
        <is>
          <t>6120007</t>
        </is>
      </c>
      <c r="F1093" s="551" t="n"/>
      <c r="G1093" s="484" t="inlineStr">
        <is>
          <t>(V)(硫酸鋅) 1ml/支，100倍數叫貨</t>
        </is>
      </c>
      <c r="H1093" s="552" t="n"/>
      <c r="I1093" s="552" t="n"/>
      <c r="J1093" s="551" t="n"/>
      <c r="K1093" s="140" t="inlineStr">
        <is>
          <t>100支/盒</t>
        </is>
      </c>
      <c r="L1093" s="560" t="n">
        <v>11</v>
      </c>
      <c r="M1093" s="123" t="n"/>
      <c r="N1093" s="117" t="n"/>
    </row>
    <row r="1094" ht="17.25" customHeight="1" s="453" thickBot="1">
      <c r="A1094" s="553">
        <f>IFERROR(LEFT(B1094,7),"")</f>
        <v/>
      </c>
      <c r="B1094" s="554">
        <f>"2025/12"&amp;D1094</f>
        <v/>
      </c>
      <c r="C1094" s="559" t="n">
        <v>167</v>
      </c>
      <c r="D1094" s="484" t="inlineStr">
        <is>
          <t>忠孝國際醫學3樓</t>
        </is>
      </c>
      <c r="E1094" s="484" t="inlineStr">
        <is>
          <t>6120008</t>
        </is>
      </c>
      <c r="F1094" s="551" t="n"/>
      <c r="G1094" s="484" t="inlineStr">
        <is>
          <t>(V)(硫酸鎂) 注射液 20ml/支</t>
        </is>
      </c>
      <c r="H1094" s="552" t="n"/>
      <c r="I1094" s="552" t="n"/>
      <c r="J1094" s="551" t="n"/>
      <c r="K1094" s="140" t="inlineStr">
        <is>
          <t>60支/盒</t>
        </is>
      </c>
      <c r="L1094" s="560" t="n">
        <v>4</v>
      </c>
      <c r="M1094" s="123" t="n"/>
      <c r="N1094" s="117" t="n"/>
    </row>
    <row r="1095" ht="17.25" customHeight="1" s="453" thickBot="1">
      <c r="A1095" s="553">
        <f>IFERROR(LEFT(B1095,7),"")</f>
        <v/>
      </c>
      <c r="B1095" s="554">
        <f>"2025/12"&amp;D1095</f>
        <v/>
      </c>
      <c r="C1095" s="559" t="n">
        <v>168</v>
      </c>
      <c r="D1095" s="484" t="inlineStr">
        <is>
          <t>忠孝國際醫學3樓</t>
        </is>
      </c>
      <c r="E1095" s="484" t="inlineStr">
        <is>
          <t>6120009</t>
        </is>
      </c>
      <c r="F1095" s="551" t="n"/>
      <c r="G1095" s="484" t="inlineStr">
        <is>
          <t>(V)(B1) 硫胺明 2ml</t>
        </is>
      </c>
      <c r="H1095" s="552" t="n"/>
      <c r="I1095" s="552" t="n"/>
      <c r="J1095" s="551" t="n"/>
      <c r="K1095" s="140" t="inlineStr">
        <is>
          <t>支(100支/盒)</t>
        </is>
      </c>
      <c r="L1095" s="560" t="n">
        <v>7</v>
      </c>
      <c r="M1095" s="123" t="n"/>
      <c r="N1095" s="117" t="n"/>
    </row>
    <row r="1096" ht="17.25" customHeight="1" s="453" thickBot="1">
      <c r="A1096" s="553">
        <f>IFERROR(LEFT(B1096,7),"")</f>
        <v/>
      </c>
      <c r="B1096" s="554">
        <f>"2025/12"&amp;D1096</f>
        <v/>
      </c>
      <c r="C1096" s="559" t="n">
        <v>169</v>
      </c>
      <c r="D1096" s="484" t="inlineStr">
        <is>
          <t>忠孝國際醫學3樓</t>
        </is>
      </c>
      <c r="E1096" s="484" t="inlineStr">
        <is>
          <t>6120010</t>
        </is>
      </c>
      <c r="F1096" s="551" t="n"/>
      <c r="G1096" s="484" t="inlineStr">
        <is>
          <t>(V)(B6) 活性維生素 2ml，100倍數叫貨</t>
        </is>
      </c>
      <c r="H1096" s="552" t="n"/>
      <c r="I1096" s="552" t="n"/>
      <c r="J1096" s="551" t="n"/>
      <c r="K1096" s="140" t="inlineStr">
        <is>
          <t>(100支/盒)</t>
        </is>
      </c>
      <c r="L1096" s="560" t="n">
        <v>7</v>
      </c>
      <c r="M1096" s="123" t="n"/>
      <c r="N1096" s="117" t="n"/>
    </row>
    <row r="1097" ht="17.25" customHeight="1" s="453" thickBot="1">
      <c r="A1097" s="553">
        <f>IFERROR(LEFT(B1097,7),"")</f>
        <v/>
      </c>
      <c r="B1097" s="554">
        <f>"2025/12"&amp;D1097</f>
        <v/>
      </c>
      <c r="C1097" s="559" t="n">
        <v>170</v>
      </c>
      <c r="D1097" s="484" t="inlineStr">
        <is>
          <t>忠孝國際醫學3樓</t>
        </is>
      </c>
      <c r="E1097" s="484" t="inlineStr">
        <is>
          <t>6120011</t>
        </is>
      </c>
      <c r="F1097" s="551" t="n"/>
      <c r="G1097" s="484" t="inlineStr">
        <is>
          <t>(V)(硒) 西寧特 2ml/支</t>
        </is>
      </c>
      <c r="H1097" s="552" t="n"/>
      <c r="I1097" s="552" t="n"/>
      <c r="J1097" s="551" t="n"/>
      <c r="K1097" s="140" t="inlineStr">
        <is>
          <t>10支/盒</t>
        </is>
      </c>
      <c r="L1097" s="560" t="n">
        <v>10</v>
      </c>
      <c r="M1097" s="123" t="n"/>
      <c r="N1097" s="117" t="n"/>
    </row>
    <row r="1098" ht="17.25" customHeight="1" s="453" thickBot="1">
      <c r="A1098" s="553">
        <f>IFERROR(LEFT(B1098,7),"")</f>
        <v/>
      </c>
      <c r="B1098" s="554">
        <f>"2025/12"&amp;D1098</f>
        <v/>
      </c>
      <c r="C1098" s="559" t="n">
        <v>171</v>
      </c>
      <c r="D1098" s="484" t="inlineStr">
        <is>
          <t>忠孝國際醫學3樓</t>
        </is>
      </c>
      <c r="E1098" s="484" t="inlineStr">
        <is>
          <t>6120013</t>
        </is>
      </c>
      <c r="F1098" s="551" t="n"/>
      <c r="G1098" s="484" t="inlineStr">
        <is>
          <t>(V)生理食鹽水(NS) 250ml/ 袋</t>
        </is>
      </c>
      <c r="H1098" s="552" t="n"/>
      <c r="I1098" s="552" t="n"/>
      <c r="J1098" s="551" t="n"/>
      <c r="K1098" s="140" t="inlineStr">
        <is>
          <t>40瓶/箱</t>
        </is>
      </c>
      <c r="L1098" s="560" t="n">
        <v>494</v>
      </c>
      <c r="M1098" s="123" t="n"/>
      <c r="N1098" s="117" t="n"/>
    </row>
    <row r="1099" ht="17.25" customHeight="1" s="453" thickBot="1">
      <c r="A1099" s="553">
        <f>IFERROR(LEFT(B1099,7),"")</f>
        <v/>
      </c>
      <c r="B1099" s="554">
        <f>"2025/12"&amp;D1099</f>
        <v/>
      </c>
      <c r="C1099" s="559" t="n">
        <v>172</v>
      </c>
      <c r="D1099" s="484" t="inlineStr">
        <is>
          <t>忠孝國際醫學3樓</t>
        </is>
      </c>
      <c r="E1099" s="484" t="inlineStr">
        <is>
          <t>6120014</t>
        </is>
      </c>
      <c r="F1099" s="551" t="n"/>
      <c r="G1099" s="484" t="inlineStr">
        <is>
          <t>(V)葡萄糖水(D5W) 250ml/袋</t>
        </is>
      </c>
      <c r="H1099" s="552" t="n"/>
      <c r="I1099" s="552" t="n"/>
      <c r="J1099" s="551" t="n"/>
      <c r="K1099" s="140" t="inlineStr">
        <is>
          <t>60袋/箱</t>
        </is>
      </c>
      <c r="L1099" s="560" t="n">
        <v>833</v>
      </c>
      <c r="M1099" s="123" t="n"/>
      <c r="N1099" s="117" t="n"/>
    </row>
    <row r="1100" ht="17.25" customHeight="1" s="453" thickBot="1">
      <c r="A1100" s="553">
        <f>IFERROR(LEFT(B1100,7),"")</f>
        <v/>
      </c>
      <c r="B1100" s="554">
        <f>"2025/12"&amp;D1100</f>
        <v/>
      </c>
      <c r="C1100" s="559" t="n">
        <v>173</v>
      </c>
      <c r="D1100" s="484" t="inlineStr">
        <is>
          <t>忠孝國際醫學3樓</t>
        </is>
      </c>
      <c r="E1100" s="484" t="inlineStr">
        <is>
          <t>6120015</t>
        </is>
      </c>
      <c r="F1100" s="551" t="n"/>
      <c r="G1100" s="484" t="inlineStr">
        <is>
          <t>(V)(B群)淘能美複合維他命B 2ml，100倍數叫貨</t>
        </is>
      </c>
      <c r="H1100" s="552" t="n"/>
      <c r="I1100" s="552" t="n"/>
      <c r="J1100" s="551" t="n"/>
      <c r="K1100" s="140" t="n"/>
      <c r="L1100" s="560" t="n">
        <v>8</v>
      </c>
      <c r="M1100" s="123" t="n"/>
      <c r="N1100" s="117" t="n"/>
    </row>
    <row r="1101" ht="17.25" customHeight="1" s="453" thickBot="1">
      <c r="A1101" s="553">
        <f>IFERROR(LEFT(B1101,7),"")</f>
        <v/>
      </c>
      <c r="B1101" s="554">
        <f>"2025/12"&amp;D1101</f>
        <v/>
      </c>
      <c r="C1101" s="559" t="n">
        <v>174</v>
      </c>
      <c r="D1101" s="484" t="inlineStr">
        <is>
          <t>忠孝國際醫學3樓</t>
        </is>
      </c>
      <c r="E1101" s="484" t="inlineStr">
        <is>
          <t>6120016</t>
        </is>
      </c>
      <c r="F1101" s="551" t="n"/>
      <c r="G1101" s="484" t="inlineStr">
        <is>
          <t>(V)(榖胱肝肽) 克樂達養200mg (20ml/瓶)</t>
        </is>
      </c>
      <c r="H1101" s="552" t="n"/>
      <c r="I1101" s="552" t="n"/>
      <c r="J1101" s="551" t="n"/>
      <c r="K1101" s="140" t="inlineStr">
        <is>
          <t>50支/盒</t>
        </is>
      </c>
      <c r="L1101" s="560" t="n">
        <v>8</v>
      </c>
      <c r="M1101" s="123" t="n"/>
      <c r="N1101" s="117" t="n"/>
    </row>
    <row r="1102" ht="17.25" customHeight="1" s="453" thickBot="1">
      <c r="A1102" s="553">
        <f>IFERROR(LEFT(B1102,7),"")</f>
        <v/>
      </c>
      <c r="B1102" s="554">
        <f>"2025/12"&amp;D1102</f>
        <v/>
      </c>
      <c r="C1102" s="559" t="n">
        <v>175</v>
      </c>
      <c r="D1102" s="484" t="inlineStr">
        <is>
          <t>忠孝國際醫學3樓</t>
        </is>
      </c>
      <c r="E1102" s="484" t="inlineStr">
        <is>
          <t>6120017</t>
        </is>
      </c>
      <c r="F1102" s="551" t="n"/>
      <c r="G1102" s="484" t="inlineStr">
        <is>
          <t>(V)保肝 5ml/支</t>
        </is>
      </c>
      <c r="H1102" s="552" t="n"/>
      <c r="I1102" s="552" t="n"/>
      <c r="J1102" s="551" t="n"/>
      <c r="K1102" s="140" t="inlineStr">
        <is>
          <t>50支/盒</t>
        </is>
      </c>
      <c r="L1102" s="560" t="n">
        <v>5</v>
      </c>
      <c r="M1102" s="123" t="n"/>
      <c r="N1102" s="117" t="n"/>
    </row>
    <row r="1103" ht="17.25" customHeight="1" s="453" thickBot="1">
      <c r="A1103" s="553">
        <f>IFERROR(LEFT(B1103,7),"")</f>
        <v/>
      </c>
      <c r="B1103" s="554">
        <f>"2025/12"&amp;D1103</f>
        <v/>
      </c>
      <c r="C1103" s="559" t="n">
        <v>176</v>
      </c>
      <c r="D1103" s="484" t="inlineStr">
        <is>
          <t>忠孝國際醫學3樓</t>
        </is>
      </c>
      <c r="E1103" s="484" t="inlineStr">
        <is>
          <t>6120021</t>
        </is>
      </c>
      <c r="F1103" s="551" t="n"/>
      <c r="G1103" s="484" t="inlineStr">
        <is>
          <t>(V)(Vit C)(抗壞血酸/諾貝爾)20ml，50倍數下單</t>
        </is>
      </c>
      <c r="H1103" s="552" t="n"/>
      <c r="I1103" s="552" t="n"/>
      <c r="J1103" s="551" t="n"/>
      <c r="K1103" s="140" t="inlineStr">
        <is>
          <t>50支/盒</t>
        </is>
      </c>
      <c r="L1103" s="560" t="n">
        <v>12</v>
      </c>
      <c r="M1103" s="123" t="n"/>
      <c r="N1103" s="117" t="n"/>
    </row>
    <row r="1104" ht="17.25" customHeight="1" s="453" thickBot="1">
      <c r="A1104" s="553">
        <f>IFERROR(LEFT(B1104,7),"")</f>
        <v/>
      </c>
      <c r="B1104" s="554">
        <f>"2025/12"&amp;D1104</f>
        <v/>
      </c>
      <c r="C1104" s="559" t="n">
        <v>177</v>
      </c>
      <c r="D1104" s="484" t="inlineStr">
        <is>
          <t>忠孝國際醫學3樓</t>
        </is>
      </c>
      <c r="E1104" s="484" t="inlineStr">
        <is>
          <t>6120036</t>
        </is>
      </c>
      <c r="F1104" s="551" t="n"/>
      <c r="G1104" s="484" t="inlineStr">
        <is>
          <t>(V)貝力多(雙胜胺) 20% 50mL/ 瓶，50倍數下單</t>
        </is>
      </c>
      <c r="H1104" s="552" t="n"/>
      <c r="I1104" s="552" t="n"/>
      <c r="J1104" s="551" t="n"/>
      <c r="K1104" s="140" t="inlineStr">
        <is>
          <t>瓶(10瓶/盒)</t>
        </is>
      </c>
      <c r="L1104" s="560" t="n">
        <v>3</v>
      </c>
      <c r="M1104" s="123" t="n"/>
      <c r="N1104" s="117" t="n"/>
    </row>
    <row r="1105" ht="17.25" customHeight="1" s="453" thickBot="1">
      <c r="A1105" s="553">
        <f>IFERROR(LEFT(B1105,7),"")</f>
        <v/>
      </c>
      <c r="B1105" s="554">
        <f>"2025/12"&amp;D1105</f>
        <v/>
      </c>
      <c r="C1105" s="559" t="n">
        <v>178</v>
      </c>
      <c r="D1105" s="484" t="inlineStr">
        <is>
          <t>忠孝國際醫學3樓</t>
        </is>
      </c>
      <c r="E1105" s="484" t="inlineStr">
        <is>
          <t>6200004</t>
        </is>
      </c>
      <c r="F1105" s="551" t="n"/>
      <c r="G1105" s="484" t="inlineStr">
        <is>
          <t>阿爾發SAT卡匣/ 發</t>
        </is>
      </c>
      <c r="H1105" s="552" t="n"/>
      <c r="I1105" s="552" t="n"/>
      <c r="J1105" s="551" t="n"/>
      <c r="K1105" s="140" t="inlineStr">
        <is>
          <t>50發/卡</t>
        </is>
      </c>
      <c r="L1105" s="560" t="n">
        <v>2011</v>
      </c>
      <c r="M1105" s="123" t="n"/>
      <c r="N1105" s="117" t="n"/>
    </row>
    <row r="1106" ht="17.25" customHeight="1" s="453" thickBot="1">
      <c r="A1106" s="553">
        <f>IFERROR(LEFT(B1106,7),"")</f>
        <v/>
      </c>
      <c r="B1106" s="554">
        <f>"2025/12"&amp;D1106</f>
        <v/>
      </c>
      <c r="C1106" s="559" t="n">
        <v>179</v>
      </c>
      <c r="D1106" s="484" t="inlineStr">
        <is>
          <t>忠孝國際醫學3樓</t>
        </is>
      </c>
      <c r="E1106" s="484" t="inlineStr">
        <is>
          <t>6200008</t>
        </is>
      </c>
      <c r="F1106" s="551" t="n"/>
      <c r="G1106" s="484" t="inlineStr">
        <is>
          <t>瘦瘦筆-週纖達*1支(0.25mg)</t>
        </is>
      </c>
      <c r="H1106" s="552" t="n"/>
      <c r="I1106" s="552" t="n"/>
      <c r="J1106" s="551" t="n"/>
      <c r="K1106" s="140" t="inlineStr">
        <is>
          <t>支</t>
        </is>
      </c>
      <c r="L1106" s="560" t="n">
        <v>1</v>
      </c>
      <c r="M1106" s="123" t="n"/>
      <c r="N1106" s="117" t="n"/>
    </row>
    <row r="1107" ht="17.25" customHeight="1" s="453" thickBot="1">
      <c r="A1107" s="553">
        <f>IFERROR(LEFT(B1107,7),"")</f>
        <v/>
      </c>
      <c r="B1107" s="554">
        <f>"2025/12"&amp;D1107</f>
        <v/>
      </c>
      <c r="C1107" s="559" t="n">
        <v>180</v>
      </c>
      <c r="D1107" s="484" t="inlineStr">
        <is>
          <t>忠孝國際醫學3樓</t>
        </is>
      </c>
      <c r="E1107" s="484" t="inlineStr">
        <is>
          <t>6200010</t>
        </is>
      </c>
      <c r="F1107" s="551" t="n"/>
      <c r="G1107" s="484" t="inlineStr">
        <is>
          <t>瘦瘦筆-週纖達*1支(1.0mg)</t>
        </is>
      </c>
      <c r="H1107" s="552" t="n"/>
      <c r="I1107" s="552" t="n"/>
      <c r="J1107" s="551" t="n"/>
      <c r="K1107" s="140" t="inlineStr">
        <is>
          <t>支</t>
        </is>
      </c>
      <c r="L1107" s="560" t="n">
        <v>4</v>
      </c>
      <c r="M1107" s="123" t="n"/>
      <c r="N1107" s="117" t="n"/>
    </row>
    <row r="1108" ht="17.25" customHeight="1" s="453" thickBot="1">
      <c r="A1108" s="553">
        <f>IFERROR(LEFT(B1108,7),"")</f>
        <v/>
      </c>
      <c r="B1108" s="554">
        <f>"2025/12"&amp;D1108</f>
        <v/>
      </c>
      <c r="C1108" s="559" t="n">
        <v>181</v>
      </c>
      <c r="D1108" s="484" t="inlineStr">
        <is>
          <t>忠孝國際醫學3樓</t>
        </is>
      </c>
      <c r="E1108" s="484" t="inlineStr">
        <is>
          <t>6200013</t>
        </is>
      </c>
      <c r="F1108" s="551" t="n"/>
      <c r="G1108" s="484" t="inlineStr">
        <is>
          <t>(V)猛健樂*1支(2.5mg)</t>
        </is>
      </c>
      <c r="H1108" s="552" t="n"/>
      <c r="I1108" s="552" t="n"/>
      <c r="J1108" s="551" t="n"/>
      <c r="K1108" s="140" t="inlineStr">
        <is>
          <t>支</t>
        </is>
      </c>
      <c r="L1108" s="560" t="n">
        <v>6</v>
      </c>
      <c r="M1108" s="123" t="n"/>
      <c r="N1108" s="117" t="n"/>
    </row>
    <row r="1109" ht="17.25" customHeight="1" s="453" thickBot="1">
      <c r="A1109" s="553">
        <f>IFERROR(LEFT(B1109,7),"")</f>
        <v/>
      </c>
      <c r="B1109" s="554">
        <f>"2025/12"&amp;D1109</f>
        <v/>
      </c>
      <c r="C1109" s="559" t="n">
        <v>182</v>
      </c>
      <c r="D1109" s="484" t="inlineStr">
        <is>
          <t>忠孝國際醫學3樓</t>
        </is>
      </c>
      <c r="E1109" s="484" t="inlineStr">
        <is>
          <t>6200014</t>
        </is>
      </c>
      <c r="F1109" s="551" t="n"/>
      <c r="G1109" s="484" t="inlineStr">
        <is>
          <t>(V)猛健樂*1支(5mg)</t>
        </is>
      </c>
      <c r="H1109" s="552" t="n"/>
      <c r="I1109" s="552" t="n"/>
      <c r="J1109" s="551" t="n"/>
      <c r="K1109" s="140" t="inlineStr">
        <is>
          <t>支</t>
        </is>
      </c>
      <c r="L1109" s="560" t="n">
        <v>4</v>
      </c>
      <c r="M1109" s="123" t="n"/>
      <c r="N1109" s="117" t="n"/>
    </row>
    <row r="1110" ht="17.25" customHeight="1" s="453" thickBot="1">
      <c r="A1110" s="553">
        <f>IFERROR(LEFT(B1110,7),"")</f>
        <v/>
      </c>
      <c r="B1110" s="554">
        <f>"2025/12"&amp;D1110</f>
        <v/>
      </c>
      <c r="C1110" s="559" t="n">
        <v>183</v>
      </c>
      <c r="D1110" s="484" t="inlineStr">
        <is>
          <t>忠孝國際醫學3樓</t>
        </is>
      </c>
      <c r="E1110" s="484" t="inlineStr">
        <is>
          <t>6200015</t>
        </is>
      </c>
      <c r="F1110" s="551" t="n"/>
      <c r="G1110" s="484" t="inlineStr">
        <is>
          <t>(V)猛健樂*1支(7.5mg)</t>
        </is>
      </c>
      <c r="H1110" s="552" t="n"/>
      <c r="I1110" s="552" t="n"/>
      <c r="J1110" s="551" t="n"/>
      <c r="K1110" s="140" t="inlineStr">
        <is>
          <t>支</t>
        </is>
      </c>
      <c r="L1110" s="560" t="n">
        <v>3</v>
      </c>
      <c r="M1110" s="123" t="n"/>
      <c r="N1110" s="117" t="n"/>
    </row>
    <row r="1111" ht="17.25" customHeight="1" s="453" thickBot="1">
      <c r="A1111" s="553">
        <f>IFERROR(LEFT(B1111,7),"")</f>
        <v/>
      </c>
      <c r="B1111" s="554">
        <f>"2025/12"&amp;D1111</f>
        <v/>
      </c>
      <c r="C1111" s="559" t="n">
        <v>184</v>
      </c>
      <c r="D1111" s="484" t="inlineStr">
        <is>
          <t>忠孝國際醫學3樓</t>
        </is>
      </c>
      <c r="E1111" s="484" t="inlineStr">
        <is>
          <t>6200016</t>
        </is>
      </c>
      <c r="F1111" s="551" t="n"/>
      <c r="G1111" s="484" t="inlineStr">
        <is>
          <t>(V)猛健樂*1支(10mg)</t>
        </is>
      </c>
      <c r="H1111" s="552" t="n"/>
      <c r="I1111" s="552" t="n"/>
      <c r="J1111" s="551" t="n"/>
      <c r="K1111" s="140" t="inlineStr">
        <is>
          <t>支</t>
        </is>
      </c>
      <c r="L1111" s="560" t="n">
        <v>16</v>
      </c>
      <c r="M1111" s="123" t="n"/>
      <c r="N1111" s="117" t="n"/>
    </row>
    <row r="1112" ht="17.25" customHeight="1" s="453" thickBot="1">
      <c r="A1112" s="553">
        <f>IFERROR(LEFT(B1112,7),"")</f>
        <v/>
      </c>
      <c r="B1112" s="554">
        <f>"2025/12"&amp;D1112</f>
        <v/>
      </c>
      <c r="C1112" s="559" t="n">
        <v>185</v>
      </c>
      <c r="D1112" s="484" t="inlineStr">
        <is>
          <t>忠孝國際醫學3樓</t>
        </is>
      </c>
      <c r="E1112" s="484" t="inlineStr">
        <is>
          <t>6200017</t>
        </is>
      </c>
      <c r="F1112" s="551" t="n"/>
      <c r="G1112" s="484" t="inlineStr">
        <is>
          <t>(V)猛健樂10MG/0.15CC</t>
        </is>
      </c>
      <c r="H1112" s="552" t="n"/>
      <c r="I1112" s="552" t="n"/>
      <c r="J1112" s="551" t="n"/>
      <c r="K1112" s="140" t="inlineStr">
        <is>
          <t>3cc/支</t>
        </is>
      </c>
      <c r="L1112" s="560" t="n">
        <v>509.5</v>
      </c>
      <c r="M1112" s="123" t="n"/>
      <c r="N1112" s="117" t="n"/>
    </row>
    <row r="1113" ht="17.25" customHeight="1" s="453" thickBot="1">
      <c r="A1113" s="553">
        <f>IFERROR(LEFT(B1113,7),"")</f>
        <v/>
      </c>
      <c r="B1113" s="554">
        <f>"2025/12"&amp;D1113</f>
        <v/>
      </c>
      <c r="C1113" s="559" t="n">
        <v>186</v>
      </c>
      <c r="D1113" s="484" t="inlineStr">
        <is>
          <t>忠孝國際醫學3樓</t>
        </is>
      </c>
      <c r="E1113" s="484" t="inlineStr">
        <is>
          <t>6200020</t>
        </is>
      </c>
      <c r="F1113" s="551" t="n"/>
      <c r="G1113" s="484" t="inlineStr">
        <is>
          <t>(V)猛健樂7.5MG/0.2CC</t>
        </is>
      </c>
      <c r="H1113" s="552" t="n"/>
      <c r="I1113" s="552" t="n"/>
      <c r="J1113" s="551" t="n"/>
      <c r="K1113" s="140" t="inlineStr">
        <is>
          <t>3cc/支</t>
        </is>
      </c>
      <c r="L1113" s="560" t="n">
        <v>3</v>
      </c>
      <c r="M1113" s="123" t="n"/>
      <c r="N1113" s="117" t="n"/>
    </row>
    <row r="1114" ht="17.25" customHeight="1" s="453" thickBot="1">
      <c r="A1114" s="553">
        <f>IFERROR(LEFT(B1114,7),"")</f>
        <v/>
      </c>
      <c r="B1114" s="554">
        <f>"2025/12"&amp;D1114</f>
        <v/>
      </c>
      <c r="C1114" s="559" t="n">
        <v>187</v>
      </c>
      <c r="D1114" s="484" t="inlineStr">
        <is>
          <t>忠孝國際醫學3樓</t>
        </is>
      </c>
      <c r="E1114" s="484" t="inlineStr">
        <is>
          <t>6200021</t>
        </is>
      </c>
      <c r="F1114" s="551" t="n"/>
      <c r="G1114" s="484" t="inlineStr">
        <is>
          <t>(V)猛健樂12.5MG/0.12CC</t>
        </is>
      </c>
      <c r="H1114" s="552" t="n"/>
      <c r="I1114" s="552" t="n"/>
      <c r="J1114" s="551" t="n"/>
      <c r="K1114" s="140" t="inlineStr">
        <is>
          <t>3cc/支</t>
        </is>
      </c>
      <c r="L1114" s="560" t="n">
        <v>640</v>
      </c>
      <c r="M1114" s="123" t="n"/>
      <c r="N1114" s="117" t="n"/>
    </row>
    <row r="1115" ht="17.25" customHeight="1" s="453" thickBot="1">
      <c r="A1115" s="553">
        <f>IFERROR(LEFT(B1115,7),"")</f>
        <v/>
      </c>
      <c r="B1115" s="554">
        <f>"2026/01"&amp;D1115</f>
        <v/>
      </c>
      <c r="C1115" s="559" t="n">
        <v>1</v>
      </c>
      <c r="D1115" s="484" t="inlineStr">
        <is>
          <t>站前4樓</t>
        </is>
      </c>
      <c r="E1115" s="484" t="inlineStr">
        <is>
          <t>6120003</t>
        </is>
      </c>
      <c r="F1115" s="551" t="n"/>
      <c r="G1115" s="484" t="inlineStr">
        <is>
          <t>(V)貝力多(雙胜胺) 20% 30mL/ 瓶，50倍數叫貨</t>
        </is>
      </c>
      <c r="H1115" s="552" t="n"/>
      <c r="I1115" s="552" t="n"/>
      <c r="J1115" s="551" t="n"/>
      <c r="K1115" s="140" t="inlineStr">
        <is>
          <t>10支/盒</t>
        </is>
      </c>
      <c r="L1115" s="560" t="n">
        <v>3</v>
      </c>
      <c r="M1115" s="123" t="n"/>
      <c r="N1115" s="117" t="n"/>
    </row>
    <row r="1116" ht="17.25" customHeight="1" s="453" thickBot="1">
      <c r="A1116" s="553">
        <f>IFERROR(LEFT(B1116,7),"")</f>
        <v/>
      </c>
      <c r="B1116" s="554">
        <f>"2026/01"&amp;D1116</f>
        <v/>
      </c>
      <c r="C1116" s="559" t="n">
        <v>2</v>
      </c>
      <c r="D1116" s="484" t="inlineStr">
        <is>
          <t>站前4樓</t>
        </is>
      </c>
      <c r="E1116" s="484" t="inlineStr">
        <is>
          <t>6120004</t>
        </is>
      </c>
      <c r="F1116" s="551" t="n"/>
      <c r="G1116" s="484" t="inlineStr">
        <is>
          <t>(V)胺基酸點滴250ml/ 袋(安命活源/嘉安命)，20倍數叫貨</t>
        </is>
      </c>
      <c r="H1116" s="552" t="n"/>
      <c r="I1116" s="552" t="n"/>
      <c r="J1116" s="551" t="n"/>
      <c r="K1116" s="140" t="inlineStr">
        <is>
          <t>(20瓶/箱)</t>
        </is>
      </c>
      <c r="L1116" s="560" t="n">
        <v>16</v>
      </c>
      <c r="M1116" s="123" t="n"/>
      <c r="N1116" s="117" t="n"/>
    </row>
    <row r="1117" ht="17.25" customHeight="1" s="453" thickBot="1">
      <c r="A1117" s="553">
        <f>IFERROR(LEFT(B1117,7),"")</f>
        <v/>
      </c>
      <c r="B1117" s="554">
        <f>"2026/01"&amp;D1117</f>
        <v/>
      </c>
      <c r="C1117" s="559" t="n">
        <v>3</v>
      </c>
      <c r="D1117" s="484" t="inlineStr">
        <is>
          <t>站前4樓</t>
        </is>
      </c>
      <c r="E1117" s="484" t="inlineStr">
        <is>
          <t>6120006</t>
        </is>
      </c>
      <c r="F1117" s="551" t="n"/>
      <c r="G1117" s="484" t="inlineStr">
        <is>
          <t>(V)(B12) 愛壽命 2mL，100倍數叫貨</t>
        </is>
      </c>
      <c r="H1117" s="552" t="n"/>
      <c r="I1117" s="552" t="n"/>
      <c r="J1117" s="551" t="n"/>
      <c r="K1117" s="140" t="inlineStr">
        <is>
          <t>(100支/盒)</t>
        </is>
      </c>
      <c r="L1117" s="560" t="n">
        <v>19</v>
      </c>
      <c r="M1117" s="123" t="n"/>
      <c r="N1117" s="117" t="n"/>
    </row>
    <row r="1118" ht="17.25" customHeight="1" s="453" thickBot="1">
      <c r="A1118" s="553">
        <f>IFERROR(LEFT(B1118,7),"")</f>
        <v/>
      </c>
      <c r="B1118" s="554">
        <f>"2026/01"&amp;D1118</f>
        <v/>
      </c>
      <c r="C1118" s="559" t="n">
        <v>4</v>
      </c>
      <c r="D1118" s="484" t="inlineStr">
        <is>
          <t>站前4樓</t>
        </is>
      </c>
      <c r="E1118" s="484" t="inlineStr">
        <is>
          <t>6120013</t>
        </is>
      </c>
      <c r="F1118" s="551" t="n"/>
      <c r="G1118" s="484" t="inlineStr">
        <is>
          <t>(V)生理食鹽水(NS) 250ml/ 袋</t>
        </is>
      </c>
      <c r="H1118" s="552" t="n"/>
      <c r="I1118" s="552" t="n"/>
      <c r="J1118" s="551" t="n"/>
      <c r="K1118" s="140" t="inlineStr">
        <is>
          <t>40瓶/箱</t>
        </is>
      </c>
      <c r="L1118" s="560" t="n">
        <v>207</v>
      </c>
      <c r="M1118" s="123" t="n"/>
      <c r="N1118" s="117" t="n"/>
    </row>
    <row r="1119" ht="17.25" customHeight="1" s="453" thickBot="1">
      <c r="A1119" s="553">
        <f>IFERROR(LEFT(B1119,7),"")</f>
        <v/>
      </c>
      <c r="B1119" s="554">
        <f>"2026/01"&amp;D1119</f>
        <v/>
      </c>
      <c r="C1119" s="559" t="n">
        <v>5</v>
      </c>
      <c r="D1119" s="484" t="inlineStr">
        <is>
          <t>站前4樓</t>
        </is>
      </c>
      <c r="E1119" s="484" t="inlineStr">
        <is>
          <t>6120015</t>
        </is>
      </c>
      <c r="F1119" s="551" t="n"/>
      <c r="G1119" s="484" t="inlineStr">
        <is>
          <t>(V)(B群)淘能美複合維他命B 2ml，100倍數叫貨</t>
        </is>
      </c>
      <c r="H1119" s="552" t="n"/>
      <c r="I1119" s="552" t="n"/>
      <c r="J1119" s="551" t="n"/>
      <c r="K1119" s="140" t="n"/>
      <c r="L1119" s="560" t="n">
        <v>220</v>
      </c>
      <c r="M1119" s="123" t="n"/>
      <c r="N1119" s="117" t="n"/>
    </row>
    <row r="1120" ht="17.25" customHeight="1" s="453" thickBot="1">
      <c r="A1120" s="553">
        <f>IFERROR(LEFT(B1120,7),"")</f>
        <v/>
      </c>
      <c r="B1120" s="554">
        <f>"2026/01"&amp;D1120</f>
        <v/>
      </c>
      <c r="C1120" s="559" t="n">
        <v>6</v>
      </c>
      <c r="D1120" s="484" t="inlineStr">
        <is>
          <t>站前4樓</t>
        </is>
      </c>
      <c r="E1120" s="484" t="inlineStr">
        <is>
          <t>6120016</t>
        </is>
      </c>
      <c r="F1120" s="551" t="n"/>
      <c r="G1120" s="484" t="inlineStr">
        <is>
          <t>(V)(榖胱肝肽) 克樂達養200mg (20ml/瓶)</t>
        </is>
      </c>
      <c r="H1120" s="552" t="n"/>
      <c r="I1120" s="552" t="n"/>
      <c r="J1120" s="551" t="n"/>
      <c r="K1120" s="140" t="inlineStr">
        <is>
          <t>50支/盒</t>
        </is>
      </c>
      <c r="L1120" s="560" t="n">
        <v>220</v>
      </c>
      <c r="M1120" s="123" t="n"/>
      <c r="N1120" s="117" t="n"/>
    </row>
    <row r="1121" ht="17.25" customHeight="1" s="453" thickBot="1">
      <c r="A1121" s="553">
        <f>IFERROR(LEFT(B1121,7),"")</f>
        <v/>
      </c>
      <c r="B1121" s="554">
        <f>"2026/01"&amp;D1121</f>
        <v/>
      </c>
      <c r="C1121" s="559" t="n">
        <v>7</v>
      </c>
      <c r="D1121" s="484" t="inlineStr">
        <is>
          <t>站前4樓</t>
        </is>
      </c>
      <c r="E1121" s="484" t="inlineStr">
        <is>
          <t>6120018</t>
        </is>
      </c>
      <c r="F1121" s="551" t="n"/>
      <c r="G1121" s="484" t="inlineStr">
        <is>
          <t>(V)(傳明酸)止血明 5ml/支</t>
        </is>
      </c>
      <c r="H1121" s="552" t="n"/>
      <c r="I1121" s="552" t="n"/>
      <c r="J1121" s="551" t="n"/>
      <c r="K1121" s="140" t="inlineStr">
        <is>
          <t>50支/盒</t>
        </is>
      </c>
      <c r="L1121" s="560" t="n">
        <v>49</v>
      </c>
      <c r="M1121" s="123" t="n"/>
      <c r="N1121" s="117" t="n"/>
    </row>
    <row r="1122" ht="17.25" customHeight="1" s="453" thickBot="1">
      <c r="A1122" s="553">
        <f>IFERROR(LEFT(B1122,7),"")</f>
        <v/>
      </c>
      <c r="B1122" s="554">
        <f>"2026/01"&amp;D1122</f>
        <v/>
      </c>
      <c r="C1122" s="559" t="n">
        <v>8</v>
      </c>
      <c r="D1122" s="484" t="inlineStr">
        <is>
          <t>站前4樓</t>
        </is>
      </c>
      <c r="E1122" s="484" t="inlineStr">
        <is>
          <t>6120020</t>
        </is>
      </c>
      <c r="F1122" s="551" t="n"/>
      <c r="G1122" s="484" t="inlineStr">
        <is>
          <t>(V)(Vit C) 抗壞血酸 2mL，100倍數下單</t>
        </is>
      </c>
      <c r="H1122" s="552" t="n"/>
      <c r="I1122" s="552" t="n"/>
      <c r="J1122" s="551" t="n"/>
      <c r="K1122" s="140" t="inlineStr">
        <is>
          <t>100支/盒</t>
        </is>
      </c>
      <c r="L1122" s="560" t="n">
        <v>178</v>
      </c>
      <c r="M1122" s="123" t="n"/>
      <c r="N1122" s="117" t="n"/>
    </row>
    <row r="1123" ht="17.25" customHeight="1" s="453" thickBot="1">
      <c r="A1123" s="553">
        <f>IFERROR(LEFT(B1123,7),"")</f>
        <v/>
      </c>
      <c r="B1123" s="554">
        <f>"2026/01"&amp;D1123</f>
        <v/>
      </c>
      <c r="C1123" s="559" t="n">
        <v>9</v>
      </c>
      <c r="D1123" s="484" t="inlineStr">
        <is>
          <t>站前4樓</t>
        </is>
      </c>
      <c r="E1123" s="484" t="inlineStr">
        <is>
          <t>6120021</t>
        </is>
      </c>
      <c r="F1123" s="551" t="n"/>
      <c r="G1123" s="484" t="inlineStr">
        <is>
          <t>(V)(Vit C)(抗壞血酸/諾貝爾)20ml，50倍數下單</t>
        </is>
      </c>
      <c r="H1123" s="552" t="n"/>
      <c r="I1123" s="552" t="n"/>
      <c r="J1123" s="551" t="n"/>
      <c r="K1123" s="140" t="inlineStr">
        <is>
          <t>50支/盒</t>
        </is>
      </c>
      <c r="L1123" s="560" t="n">
        <v>226</v>
      </c>
      <c r="M1123" s="123" t="n"/>
      <c r="N1123" s="117" t="n"/>
    </row>
    <row r="1124" ht="17.25" customHeight="1" s="453" thickBot="1">
      <c r="A1124" s="553">
        <f>IFERROR(LEFT(B1124,7),"")</f>
        <v/>
      </c>
      <c r="B1124" s="554">
        <f>"2026/01"&amp;D1124</f>
        <v/>
      </c>
      <c r="C1124" s="559" t="n">
        <v>10</v>
      </c>
      <c r="D1124" s="484" t="inlineStr">
        <is>
          <t>站前4樓</t>
        </is>
      </c>
      <c r="E1124" s="484" t="inlineStr">
        <is>
          <t>6120036</t>
        </is>
      </c>
      <c r="F1124" s="551" t="n"/>
      <c r="G1124" s="484" t="inlineStr">
        <is>
          <t>(V)貝力多(雙胜胺) 20% 50mL/ 瓶，50倍數下單</t>
        </is>
      </c>
      <c r="H1124" s="552" t="n"/>
      <c r="I1124" s="552" t="n"/>
      <c r="J1124" s="551" t="n"/>
      <c r="K1124" s="140" t="inlineStr">
        <is>
          <t>瓶(10瓶/盒)</t>
        </is>
      </c>
      <c r="L1124" s="560" t="n">
        <v>13</v>
      </c>
      <c r="M1124" s="123" t="n"/>
      <c r="N1124" s="117" t="n"/>
    </row>
    <row r="1125" ht="17.25" customHeight="1" s="453" thickBot="1">
      <c r="A1125" s="553">
        <f>IFERROR(LEFT(B1125,7),"")</f>
        <v/>
      </c>
      <c r="B1125" s="554">
        <f>"2026/01"&amp;D1125</f>
        <v/>
      </c>
      <c r="C1125" s="559" t="n">
        <v>11</v>
      </c>
      <c r="D1125" s="484" t="inlineStr">
        <is>
          <t>站前4樓</t>
        </is>
      </c>
      <c r="E1125" s="484" t="inlineStr">
        <is>
          <t>6140001</t>
        </is>
      </c>
      <c r="F1125" s="551" t="n"/>
      <c r="G1125" s="484" t="inlineStr">
        <is>
          <t>(V)保妥適Botox/ u，100倍數下單</t>
        </is>
      </c>
      <c r="H1125" s="552" t="n"/>
      <c r="I1125" s="552" t="n"/>
      <c r="J1125" s="551" t="n"/>
      <c r="K1125" s="140" t="inlineStr">
        <is>
          <t>100U/瓶</t>
        </is>
      </c>
      <c r="L1125" s="560" t="n">
        <v>3775</v>
      </c>
      <c r="M1125" s="123" t="n"/>
      <c r="N1125" s="117" t="n"/>
    </row>
    <row r="1126" ht="17.25" customHeight="1" s="453" thickBot="1">
      <c r="A1126" s="553">
        <f>IFERROR(LEFT(B1126,7),"")</f>
        <v/>
      </c>
      <c r="B1126" s="554">
        <f>"2026/01"&amp;D1126</f>
        <v/>
      </c>
      <c r="C1126" s="559" t="n">
        <v>12</v>
      </c>
      <c r="D1126" s="484" t="inlineStr">
        <is>
          <t>站前4樓</t>
        </is>
      </c>
      <c r="E1126" s="484" t="inlineStr">
        <is>
          <t>6140003</t>
        </is>
      </c>
      <c r="F1126" s="551" t="n"/>
      <c r="G1126" s="484" t="inlineStr">
        <is>
          <t>(V)保提拉肉毒Letybo/ u，3200倍數下單</t>
        </is>
      </c>
      <c r="H1126" s="552" t="n"/>
      <c r="I1126" s="552" t="n"/>
      <c r="J1126" s="551" t="n"/>
      <c r="K1126" s="140" t="inlineStr">
        <is>
          <t>200U/瓶</t>
        </is>
      </c>
      <c r="L1126" s="560" t="n">
        <v>6112</v>
      </c>
      <c r="M1126" s="123" t="n"/>
      <c r="N1126" s="117" t="n"/>
    </row>
    <row r="1127" ht="17.25" customHeight="1" s="453" thickBot="1">
      <c r="A1127" s="553">
        <f>IFERROR(LEFT(B1127,7),"")</f>
        <v/>
      </c>
      <c r="B1127" s="554">
        <f>"2026/01"&amp;D1127</f>
        <v/>
      </c>
      <c r="C1127" s="559" t="n">
        <v>13</v>
      </c>
      <c r="D1127" s="484" t="inlineStr">
        <is>
          <t>站前4樓</t>
        </is>
      </c>
      <c r="E1127" s="484" t="inlineStr">
        <is>
          <t>6140005</t>
        </is>
      </c>
      <c r="F1127" s="551" t="n"/>
      <c r="G1127" s="484" t="inlineStr">
        <is>
          <t>(V)奇肌肉毒/ u，200倍數下單</t>
        </is>
      </c>
      <c r="H1127" s="552" t="n"/>
      <c r="I1127" s="552" t="n"/>
      <c r="J1127" s="551" t="n"/>
      <c r="K1127" s="140" t="inlineStr">
        <is>
          <t>200U/瓶</t>
        </is>
      </c>
      <c r="L1127" s="560" t="n">
        <v>1267</v>
      </c>
      <c r="M1127" s="123" t="n"/>
      <c r="N1127" s="117" t="n"/>
    </row>
    <row r="1128" ht="17.25" customHeight="1" s="453" thickBot="1">
      <c r="A1128" s="553">
        <f>IFERROR(LEFT(B1128,7),"")</f>
        <v/>
      </c>
      <c r="B1128" s="554">
        <f>"2026/01"&amp;D1128</f>
        <v/>
      </c>
      <c r="C1128" s="559" t="n">
        <v>14</v>
      </c>
      <c r="D1128" s="484" t="inlineStr">
        <is>
          <t>站前4樓</t>
        </is>
      </c>
      <c r="E1128" s="484" t="inlineStr">
        <is>
          <t>6150001</t>
        </is>
      </c>
      <c r="F1128" s="551" t="n"/>
      <c r="G1128" s="484" t="inlineStr">
        <is>
          <t>(V)喬雅登-豐麗緹玻尿酸植入物Voluma 1ml</t>
        </is>
      </c>
      <c r="H1128" s="552" t="n"/>
      <c r="I1128" s="552" t="n"/>
      <c r="J1128" s="551" t="n"/>
      <c r="K1128" s="140" t="inlineStr">
        <is>
          <t>1ml(2ml/盒)</t>
        </is>
      </c>
      <c r="L1128" s="560" t="n">
        <v>150</v>
      </c>
      <c r="M1128" s="123" t="n"/>
      <c r="N1128" s="117" t="n"/>
    </row>
    <row r="1129" ht="17.25" customHeight="1" s="453" thickBot="1">
      <c r="A1129" s="553">
        <f>IFERROR(LEFT(B1129,7),"")</f>
        <v/>
      </c>
      <c r="B1129" s="554">
        <f>"2026/01"&amp;D1129</f>
        <v/>
      </c>
      <c r="C1129" s="559" t="n">
        <v>15</v>
      </c>
      <c r="D1129" s="484" t="inlineStr">
        <is>
          <t>站前4樓</t>
        </is>
      </c>
      <c r="E1129" s="484" t="inlineStr">
        <is>
          <t>6150002</t>
        </is>
      </c>
      <c r="F1129" s="551" t="n"/>
      <c r="G1129" s="484" t="inlineStr">
        <is>
          <t>(V)喬雅登-夢蓓菈玻尿酸植入物Volbella 1ml</t>
        </is>
      </c>
      <c r="H1129" s="552" t="n"/>
      <c r="I1129" s="552" t="n"/>
      <c r="J1129" s="551" t="n"/>
      <c r="K1129" s="140" t="inlineStr">
        <is>
          <t>1ml(2ml/盒)</t>
        </is>
      </c>
      <c r="L1129" s="560" t="n">
        <v>6</v>
      </c>
      <c r="M1129" s="123" t="n"/>
      <c r="N1129" s="117" t="n"/>
    </row>
    <row r="1130" ht="17.25" customHeight="1" s="453" thickBot="1">
      <c r="A1130" s="553">
        <f>IFERROR(LEFT(B1130,7),"")</f>
        <v/>
      </c>
      <c r="B1130" s="554">
        <f>"2026/01"&amp;D1130</f>
        <v/>
      </c>
      <c r="C1130" s="559" t="n">
        <v>16</v>
      </c>
      <c r="D1130" s="484" t="inlineStr">
        <is>
          <t>站前4樓</t>
        </is>
      </c>
      <c r="E1130" s="484" t="inlineStr">
        <is>
          <t>6150003</t>
        </is>
      </c>
      <c r="F1130" s="551" t="n"/>
      <c r="G1130" s="484" t="inlineStr">
        <is>
          <t>(V)喬雅登-豐麗緹玻尿酸植入物Volift 1ml</t>
        </is>
      </c>
      <c r="H1130" s="552" t="n"/>
      <c r="I1130" s="552" t="n"/>
      <c r="J1130" s="551" t="n"/>
      <c r="K1130" s="140" t="inlineStr">
        <is>
          <t>1ml(2ml/盒)</t>
        </is>
      </c>
      <c r="L1130" s="560" t="n">
        <v>10</v>
      </c>
      <c r="M1130" s="123" t="n"/>
      <c r="N1130" s="117" t="n"/>
    </row>
    <row r="1131" ht="17.25" customHeight="1" s="453" thickBot="1">
      <c r="A1131" s="553">
        <f>IFERROR(LEFT(B1131,7),"")</f>
        <v/>
      </c>
      <c r="B1131" s="554">
        <f>"2026/01"&amp;D1131</f>
        <v/>
      </c>
      <c r="C1131" s="559" t="n">
        <v>17</v>
      </c>
      <c r="D1131" s="484" t="inlineStr">
        <is>
          <t>站前4樓</t>
        </is>
      </c>
      <c r="E1131" s="484" t="inlineStr">
        <is>
          <t>6150004</t>
        </is>
      </c>
      <c r="F1131" s="551" t="n"/>
      <c r="G1131" s="484" t="inlineStr">
        <is>
          <t>(V)喬雅登-豐塑玻尿酸植入物Volux 1ml</t>
        </is>
      </c>
      <c r="H1131" s="552" t="n"/>
      <c r="I1131" s="552" t="n"/>
      <c r="J1131" s="551" t="n"/>
      <c r="K1131" s="140" t="inlineStr">
        <is>
          <t>1ml(2ml/盒)</t>
        </is>
      </c>
      <c r="L1131" s="560" t="n">
        <v>12</v>
      </c>
      <c r="M1131" s="123" t="n"/>
      <c r="N1131" s="117" t="n"/>
    </row>
    <row r="1132" ht="17.25" customHeight="1" s="453" thickBot="1">
      <c r="A1132" s="553">
        <f>IFERROR(LEFT(B1132,7),"")</f>
        <v/>
      </c>
      <c r="B1132" s="554">
        <f>"2026/01"&amp;D1132</f>
        <v/>
      </c>
      <c r="C1132" s="559" t="n">
        <v>18</v>
      </c>
      <c r="D1132" s="484" t="inlineStr">
        <is>
          <t>站前4樓</t>
        </is>
      </c>
      <c r="E1132" s="484" t="inlineStr">
        <is>
          <t>6150005</t>
        </is>
      </c>
      <c r="F1132" s="551" t="n"/>
      <c r="G1132" s="484" t="inlineStr">
        <is>
          <t>(V)喬雅登-芙潤玻尿酸植入物Volite 1ml</t>
        </is>
      </c>
      <c r="H1132" s="552" t="n"/>
      <c r="I1132" s="552" t="n"/>
      <c r="J1132" s="551" t="n"/>
      <c r="K1132" s="140" t="inlineStr">
        <is>
          <t>1ml(2ml/盒)</t>
        </is>
      </c>
      <c r="L1132" s="560" t="n">
        <v>3</v>
      </c>
      <c r="M1132" s="123" t="n"/>
      <c r="N1132" s="117" t="n"/>
    </row>
    <row r="1133" ht="17.25" customHeight="1" s="453" thickBot="1">
      <c r="A1133" s="553">
        <f>IFERROR(LEFT(B1133,7),"")</f>
        <v/>
      </c>
      <c r="B1133" s="554">
        <f>"2026/01"&amp;D1133</f>
        <v/>
      </c>
      <c r="C1133" s="559" t="n">
        <v>19</v>
      </c>
      <c r="D1133" s="484" t="inlineStr">
        <is>
          <t>站前4樓</t>
        </is>
      </c>
      <c r="E1133" s="484" t="inlineStr">
        <is>
          <t>6150010</t>
        </is>
      </c>
      <c r="F1133" s="551" t="n"/>
      <c r="G1133" s="484" t="inlineStr">
        <is>
          <t>(V)仙女玻尿酸大分子 1ml</t>
        </is>
      </c>
      <c r="H1133" s="552" t="n"/>
      <c r="I1133" s="552" t="n"/>
      <c r="J1133" s="551" t="n"/>
      <c r="K1133" s="140" t="inlineStr">
        <is>
          <t>1ml(1ml/盒)</t>
        </is>
      </c>
      <c r="L1133" s="560" t="n">
        <v>45</v>
      </c>
      <c r="M1133" s="123" t="n"/>
      <c r="N1133" s="117" t="n"/>
    </row>
    <row r="1134" ht="17.25" customHeight="1" s="453" thickBot="1">
      <c r="A1134" s="553">
        <f>IFERROR(LEFT(B1134,7),"")</f>
        <v/>
      </c>
      <c r="B1134" s="554">
        <f>"2026/01"&amp;D1134</f>
        <v/>
      </c>
      <c r="C1134" s="559" t="n">
        <v>20</v>
      </c>
      <c r="D1134" s="484" t="inlineStr">
        <is>
          <t>站前4樓</t>
        </is>
      </c>
      <c r="E1134" s="484" t="inlineStr">
        <is>
          <t>6150011</t>
        </is>
      </c>
      <c r="F1134" s="551" t="n"/>
      <c r="G1134" s="484" t="inlineStr">
        <is>
          <t>(V)仙女玻尿酸小分子 1ml</t>
        </is>
      </c>
      <c r="H1134" s="552" t="n"/>
      <c r="I1134" s="552" t="n"/>
      <c r="J1134" s="551" t="n"/>
      <c r="K1134" s="140" t="inlineStr">
        <is>
          <t>1ml(1ml/盒)</t>
        </is>
      </c>
      <c r="L1134" s="560" t="n">
        <v>1</v>
      </c>
      <c r="M1134" s="123" t="n"/>
      <c r="N1134" s="117" t="n"/>
    </row>
    <row r="1135" ht="17.25" customHeight="1" s="453" thickBot="1">
      <c r="A1135" s="553">
        <f>IFERROR(LEFT(B1135,7),"")</f>
        <v/>
      </c>
      <c r="B1135" s="554">
        <f>"2026/01"&amp;D1135</f>
        <v/>
      </c>
      <c r="C1135" s="559" t="n">
        <v>21</v>
      </c>
      <c r="D1135" s="484" t="inlineStr">
        <is>
          <t>站前4樓</t>
        </is>
      </c>
      <c r="E1135" s="484" t="inlineStr">
        <is>
          <t>6150013</t>
        </is>
      </c>
      <c r="F1135" s="551" t="n"/>
      <c r="G1135" s="484" t="inlineStr">
        <is>
          <t>(V)逆時針(璞菲洛)2cc</t>
        </is>
      </c>
      <c r="H1135" s="552" t="n"/>
      <c r="I1135" s="552" t="n"/>
      <c r="J1135" s="551" t="n"/>
      <c r="K1135" s="140" t="inlineStr">
        <is>
          <t>1ml(1ml/盒)</t>
        </is>
      </c>
      <c r="L1135" s="560" t="n">
        <v>13</v>
      </c>
      <c r="M1135" s="123" t="n"/>
      <c r="N1135" s="117" t="n"/>
    </row>
    <row r="1136" ht="17.25" customHeight="1" s="453" thickBot="1">
      <c r="A1136" s="553">
        <f>IFERROR(LEFT(B1136,7),"")</f>
        <v/>
      </c>
      <c r="B1136" s="554">
        <f>"2026/01"&amp;D1136</f>
        <v/>
      </c>
      <c r="C1136" s="559" t="n">
        <v>22</v>
      </c>
      <c r="D1136" s="484" t="inlineStr">
        <is>
          <t>站前4樓</t>
        </is>
      </c>
      <c r="E1136" s="484" t="inlineStr">
        <is>
          <t>6160001</t>
        </is>
      </c>
      <c r="F1136" s="551" t="n"/>
      <c r="G1136" s="484" t="inlineStr">
        <is>
          <t>(V)艾麗斯 Aesthe Fill-200mg/ 瓶</t>
        </is>
      </c>
      <c r="H1136" s="552" t="n"/>
      <c r="I1136" s="552" t="n"/>
      <c r="J1136" s="551" t="n"/>
      <c r="K1136" s="140" t="inlineStr">
        <is>
          <t>瓶</t>
        </is>
      </c>
      <c r="L1136" s="560" t="n">
        <v>5</v>
      </c>
      <c r="M1136" s="123" t="n"/>
      <c r="N1136" s="117" t="n"/>
    </row>
    <row r="1137" ht="17.25" customHeight="1" s="453" thickBot="1">
      <c r="A1137" s="553">
        <f>IFERROR(LEFT(B1137,7),"")</f>
        <v/>
      </c>
      <c r="B1137" s="554">
        <f>"2026/01"&amp;D1137</f>
        <v/>
      </c>
      <c r="C1137" s="559" t="n">
        <v>23</v>
      </c>
      <c r="D1137" s="484" t="inlineStr">
        <is>
          <t>站前4樓</t>
        </is>
      </c>
      <c r="E1137" s="484" t="inlineStr">
        <is>
          <t>6160002</t>
        </is>
      </c>
      <c r="F1137" s="551" t="n"/>
      <c r="G1137" s="484" t="inlineStr">
        <is>
          <t>(V)洢蓮絲植入劑ELLANSÉ-S 1ml</t>
        </is>
      </c>
      <c r="H1137" s="552" t="n"/>
      <c r="I1137" s="552" t="n"/>
      <c r="J1137" s="551" t="n"/>
      <c r="K1137" s="140" t="inlineStr">
        <is>
          <t>1ml(2ml/盒)</t>
        </is>
      </c>
      <c r="L1137" s="560" t="n">
        <v>69</v>
      </c>
      <c r="M1137" s="123" t="n"/>
      <c r="N1137" s="117" t="n"/>
    </row>
    <row r="1138" ht="17.25" customHeight="1" s="453" thickBot="1">
      <c r="A1138" s="553">
        <f>IFERROR(LEFT(B1138,7),"")</f>
        <v/>
      </c>
      <c r="B1138" s="554">
        <f>"2026/01"&amp;D1138</f>
        <v/>
      </c>
      <c r="C1138" s="559" t="n">
        <v>24</v>
      </c>
      <c r="D1138" s="484" t="inlineStr">
        <is>
          <t>站前4樓</t>
        </is>
      </c>
      <c r="E1138" s="484" t="inlineStr">
        <is>
          <t>6160003</t>
        </is>
      </c>
      <c r="F1138" s="551" t="n"/>
      <c r="G1138" s="484" t="inlineStr">
        <is>
          <t>(V)洢蓮絲植入劑ELLANSÉ-M 1ml</t>
        </is>
      </c>
      <c r="H1138" s="552" t="n"/>
      <c r="I1138" s="552" t="n"/>
      <c r="J1138" s="551" t="n"/>
      <c r="K1138" s="140" t="inlineStr">
        <is>
          <t>1ml(2ml/盒)</t>
        </is>
      </c>
      <c r="L1138" s="560" t="n">
        <v>13</v>
      </c>
      <c r="M1138" s="123" t="n"/>
      <c r="N1138" s="117" t="n"/>
    </row>
    <row r="1139" ht="17.25" customHeight="1" s="453" thickBot="1">
      <c r="A1139" s="553">
        <f>IFERROR(LEFT(B1139,7),"")</f>
        <v/>
      </c>
      <c r="B1139" s="554">
        <f>"2026/01"&amp;D1139</f>
        <v/>
      </c>
      <c r="C1139" s="559" t="n">
        <v>25</v>
      </c>
      <c r="D1139" s="484" t="inlineStr">
        <is>
          <t>站前4樓</t>
        </is>
      </c>
      <c r="E1139" s="484" t="inlineStr">
        <is>
          <t>6160005</t>
        </is>
      </c>
      <c r="F1139" s="551" t="n"/>
      <c r="G1139" s="484" t="inlineStr">
        <is>
          <t>(V)双美熊貓針</t>
        </is>
      </c>
      <c r="H1139" s="552" t="n"/>
      <c r="I1139" s="552" t="n"/>
      <c r="J1139" s="551" t="n"/>
      <c r="K1139" s="140" t="inlineStr">
        <is>
          <t>(1ml/盒)</t>
        </is>
      </c>
      <c r="L1139" s="560" t="n">
        <v>23</v>
      </c>
      <c r="M1139" s="123" t="n"/>
      <c r="N1139" s="117" t="n"/>
    </row>
    <row r="1140" ht="17.25" customHeight="1" s="453" thickBot="1">
      <c r="A1140" s="553">
        <f>IFERROR(LEFT(B1140,7),"")</f>
        <v/>
      </c>
      <c r="B1140" s="554">
        <f>"2026/01"&amp;D1140</f>
        <v/>
      </c>
      <c r="C1140" s="559" t="n">
        <v>26</v>
      </c>
      <c r="D1140" s="484" t="inlineStr">
        <is>
          <t>站前4樓</t>
        </is>
      </c>
      <c r="E1140" s="484" t="inlineStr">
        <is>
          <t>6160008</t>
        </is>
      </c>
      <c r="F1140" s="551" t="n"/>
      <c r="G1140" s="484" t="inlineStr">
        <is>
          <t>白童針-薇貝拉50mg/1cc</t>
        </is>
      </c>
      <c r="H1140" s="552" t="n"/>
      <c r="I1140" s="552" t="n"/>
      <c r="J1140" s="551" t="n"/>
      <c r="K1140" s="140" t="inlineStr">
        <is>
          <t>6cc/瓶</t>
        </is>
      </c>
      <c r="L1140" s="560" t="n">
        <v>202</v>
      </c>
      <c r="M1140" s="123" t="n"/>
      <c r="N1140" s="117" t="n"/>
    </row>
    <row r="1141" ht="17.25" customHeight="1" s="453" thickBot="1">
      <c r="A1141" s="553">
        <f>IFERROR(LEFT(B1141,7),"")</f>
        <v/>
      </c>
      <c r="B1141" s="554">
        <f>"2026/01"&amp;D1141</f>
        <v/>
      </c>
      <c r="C1141" s="559" t="n">
        <v>27</v>
      </c>
      <c r="D1141" s="484" t="inlineStr">
        <is>
          <t>站前4樓</t>
        </is>
      </c>
      <c r="E1141" s="484" t="inlineStr">
        <is>
          <t>6160009</t>
        </is>
      </c>
      <c r="F1141" s="551" t="n"/>
      <c r="G1141" s="484" t="inlineStr">
        <is>
          <t>黑童針-薇貝拉200mg/1cc</t>
        </is>
      </c>
      <c r="H1141" s="552" t="n"/>
      <c r="I1141" s="552" t="n"/>
      <c r="J1141" s="551" t="n"/>
      <c r="K1141" s="140" t="inlineStr">
        <is>
          <t>8cc/瓶</t>
        </is>
      </c>
      <c r="L1141" s="560" t="n">
        <v>8</v>
      </c>
      <c r="M1141" s="123" t="n"/>
      <c r="N1141" s="117" t="n"/>
    </row>
    <row r="1142" ht="17.25" customHeight="1" s="453" thickBot="1">
      <c r="A1142" s="553">
        <f>IFERROR(LEFT(B1142,7),"")</f>
        <v/>
      </c>
      <c r="B1142" s="554">
        <f>"2026/01"&amp;D1142</f>
        <v/>
      </c>
      <c r="C1142" s="559" t="n">
        <v>28</v>
      </c>
      <c r="D1142" s="484" t="inlineStr">
        <is>
          <t>站前4樓</t>
        </is>
      </c>
      <c r="E1142" s="484" t="inlineStr">
        <is>
          <t>6160010</t>
        </is>
      </c>
      <c r="F1142" s="551" t="n"/>
      <c r="G1142" s="484" t="inlineStr">
        <is>
          <t>喬雅露-大分子200mg/1cc</t>
        </is>
      </c>
      <c r="H1142" s="552" t="n"/>
      <c r="I1142" s="552" t="n"/>
      <c r="J1142" s="551" t="n"/>
      <c r="K1142" s="140" t="inlineStr">
        <is>
          <t>8cc/瓶</t>
        </is>
      </c>
      <c r="L1142" s="560" t="n">
        <v>68</v>
      </c>
      <c r="M1142" s="123" t="n"/>
      <c r="N1142" s="117" t="n"/>
    </row>
    <row r="1143" ht="17.25" customHeight="1" s="453" thickBot="1">
      <c r="A1143" s="553">
        <f>IFERROR(LEFT(B1143,7),"")</f>
        <v/>
      </c>
      <c r="B1143" s="554">
        <f>"2026/01"&amp;D1143</f>
        <v/>
      </c>
      <c r="C1143" s="559" t="n">
        <v>29</v>
      </c>
      <c r="D1143" s="484" t="inlineStr">
        <is>
          <t>站前4樓</t>
        </is>
      </c>
      <c r="E1143" s="484" t="inlineStr">
        <is>
          <t>6160011</t>
        </is>
      </c>
      <c r="F1143" s="551" t="n"/>
      <c r="G1143" s="484" t="inlineStr">
        <is>
          <t>喬雅露-小分子50mg/1cc</t>
        </is>
      </c>
      <c r="H1143" s="552" t="n"/>
      <c r="I1143" s="552" t="n"/>
      <c r="J1143" s="551" t="n"/>
      <c r="K1143" s="140" t="inlineStr">
        <is>
          <t>6cc/瓶</t>
        </is>
      </c>
      <c r="L1143" s="560" t="n">
        <v>356</v>
      </c>
      <c r="M1143" s="123" t="n"/>
      <c r="N1143" s="117" t="n"/>
    </row>
    <row r="1144" ht="17.25" customHeight="1" s="453" thickBot="1">
      <c r="A1144" s="553">
        <f>IFERROR(LEFT(B1144,7),"")</f>
        <v/>
      </c>
      <c r="B1144" s="554">
        <f>"2026/01"&amp;D1144</f>
        <v/>
      </c>
      <c r="C1144" s="559" t="n">
        <v>30</v>
      </c>
      <c r="D1144" s="484" t="inlineStr">
        <is>
          <t>站前4樓</t>
        </is>
      </c>
      <c r="E1144" s="484" t="inlineStr">
        <is>
          <t>6170005</t>
        </is>
      </c>
      <c r="F1144" s="551" t="n"/>
      <c r="G1144" s="484" t="inlineStr">
        <is>
          <t>海芙三代音波探頭2mm/ 條</t>
        </is>
      </c>
      <c r="H1144" s="552" t="n"/>
      <c r="I1144" s="552" t="n"/>
      <c r="J1144" s="551" t="n"/>
      <c r="K1144" s="140" t="inlineStr">
        <is>
          <t>20000條/顆</t>
        </is>
      </c>
      <c r="L1144" s="560" t="n">
        <v>24935</v>
      </c>
      <c r="M1144" s="123" t="n"/>
      <c r="N1144" s="117" t="n"/>
    </row>
    <row r="1145" ht="17.25" customHeight="1" s="453" thickBot="1">
      <c r="A1145" s="553">
        <f>IFERROR(LEFT(B1145,7),"")</f>
        <v/>
      </c>
      <c r="B1145" s="554">
        <f>"2026/01"&amp;D1145</f>
        <v/>
      </c>
      <c r="C1145" s="559" t="n">
        <v>31</v>
      </c>
      <c r="D1145" s="484" t="inlineStr">
        <is>
          <t>站前4樓</t>
        </is>
      </c>
      <c r="E1145" s="484" t="inlineStr">
        <is>
          <t>6170007</t>
        </is>
      </c>
      <c r="F1145" s="551" t="n"/>
      <c r="G1145" s="484" t="inlineStr">
        <is>
          <t>海芙三代音波探頭3mm/ 條</t>
        </is>
      </c>
      <c r="H1145" s="552" t="n"/>
      <c r="I1145" s="552" t="n"/>
      <c r="J1145" s="551" t="n"/>
      <c r="K1145" s="140" t="inlineStr">
        <is>
          <t>20000條/顆</t>
        </is>
      </c>
      <c r="L1145" s="560" t="n">
        <v>49732</v>
      </c>
      <c r="M1145" s="123" t="n"/>
      <c r="N1145" s="117" t="n"/>
    </row>
    <row r="1146" ht="17.25" customHeight="1" s="453" thickBot="1">
      <c r="A1146" s="553">
        <f>IFERROR(LEFT(B1146,7),"")</f>
        <v/>
      </c>
      <c r="B1146" s="554">
        <f>"2026/01"&amp;D1146</f>
        <v/>
      </c>
      <c r="C1146" s="559" t="n">
        <v>32</v>
      </c>
      <c r="D1146" s="484" t="inlineStr">
        <is>
          <t>站前4樓</t>
        </is>
      </c>
      <c r="E1146" s="484" t="inlineStr">
        <is>
          <t>6170009</t>
        </is>
      </c>
      <c r="F1146" s="551" t="n"/>
      <c r="G1146" s="484" t="inlineStr">
        <is>
          <t>海芙三代音波探頭4.5mm/ 條</t>
        </is>
      </c>
      <c r="H1146" s="552" t="n"/>
      <c r="I1146" s="552" t="n"/>
      <c r="J1146" s="551" t="n"/>
      <c r="K1146" s="140" t="inlineStr">
        <is>
          <t>20000條/顆</t>
        </is>
      </c>
      <c r="L1146" s="560" t="n">
        <v>68813</v>
      </c>
      <c r="M1146" s="123" t="n"/>
      <c r="N1146" s="117" t="n"/>
    </row>
    <row r="1147" ht="17.25" customHeight="1" s="453" thickBot="1">
      <c r="A1147" s="553">
        <f>IFERROR(LEFT(B1147,7),"")</f>
        <v/>
      </c>
      <c r="B1147" s="554">
        <f>"2026/01"&amp;D1147</f>
        <v/>
      </c>
      <c r="C1147" s="559" t="n">
        <v>33</v>
      </c>
      <c r="D1147" s="484" t="inlineStr">
        <is>
          <t>站前4樓</t>
        </is>
      </c>
      <c r="E1147" s="484" t="inlineStr">
        <is>
          <t>6170011</t>
        </is>
      </c>
      <c r="F1147" s="551" t="n"/>
      <c r="G1147" s="484" t="inlineStr">
        <is>
          <t>海芙三代音波探頭6mm/ 條</t>
        </is>
      </c>
      <c r="H1147" s="552" t="n"/>
      <c r="I1147" s="552" t="n"/>
      <c r="J1147" s="551" t="n"/>
      <c r="K1147" s="140" t="inlineStr">
        <is>
          <t>30,000條/顆</t>
        </is>
      </c>
      <c r="L1147" s="560" t="n">
        <v>22645</v>
      </c>
      <c r="M1147" s="123" t="n"/>
      <c r="N1147" s="117" t="n"/>
    </row>
    <row r="1148" ht="17.25" customHeight="1" s="453" thickBot="1">
      <c r="A1148" s="553">
        <f>IFERROR(LEFT(B1148,7),"")</f>
        <v/>
      </c>
      <c r="B1148" s="554">
        <f>"2026/01"&amp;D1148</f>
        <v/>
      </c>
      <c r="C1148" s="559" t="n">
        <v>34</v>
      </c>
      <c r="D1148" s="484" t="inlineStr">
        <is>
          <t>站前4樓</t>
        </is>
      </c>
      <c r="E1148" s="484" t="inlineStr">
        <is>
          <t>6170019</t>
        </is>
      </c>
      <c r="F1148" s="551" t="n"/>
      <c r="G1148" s="484" t="inlineStr">
        <is>
          <t>媚必提直線探頭2.0mm/條</t>
        </is>
      </c>
      <c r="H1148" s="552" t="n"/>
      <c r="I1148" s="552" t="n"/>
      <c r="J1148" s="551" t="n"/>
      <c r="K1148" s="140" t="inlineStr">
        <is>
          <t>20000條/顆</t>
        </is>
      </c>
      <c r="L1148" s="560" t="n">
        <v>4556</v>
      </c>
      <c r="M1148" s="123" t="n"/>
      <c r="N1148" s="117" t="n"/>
    </row>
    <row r="1149" ht="17.25" customHeight="1" s="453" thickBot="1">
      <c r="A1149" s="553">
        <f>IFERROR(LEFT(B1149,7),"")</f>
        <v/>
      </c>
      <c r="B1149" s="554">
        <f>"2026/01"&amp;D1149</f>
        <v/>
      </c>
      <c r="C1149" s="559" t="n">
        <v>35</v>
      </c>
      <c r="D1149" s="484" t="inlineStr">
        <is>
          <t>站前4樓</t>
        </is>
      </c>
      <c r="E1149" s="484" t="inlineStr">
        <is>
          <t>6170020</t>
        </is>
      </c>
      <c r="F1149" s="551" t="n"/>
      <c r="G1149" s="484" t="inlineStr">
        <is>
          <t>媚必提直線探頭3.0mm/條</t>
        </is>
      </c>
      <c r="H1149" s="552" t="n"/>
      <c r="I1149" s="552" t="n"/>
      <c r="J1149" s="551" t="n"/>
      <c r="K1149" s="140" t="inlineStr">
        <is>
          <t>20000條/顆</t>
        </is>
      </c>
      <c r="L1149" s="560" t="n">
        <v>9844</v>
      </c>
      <c r="M1149" s="123" t="n"/>
      <c r="N1149" s="117" t="n"/>
    </row>
    <row r="1150" ht="17.25" customHeight="1" s="453" thickBot="1">
      <c r="A1150" s="553">
        <f>IFERROR(LEFT(B1150,7),"")</f>
        <v/>
      </c>
      <c r="B1150" s="554">
        <f>"2026/01"&amp;D1150</f>
        <v/>
      </c>
      <c r="C1150" s="559" t="n">
        <v>36</v>
      </c>
      <c r="D1150" s="484" t="inlineStr">
        <is>
          <t>站前4樓</t>
        </is>
      </c>
      <c r="E1150" s="484" t="inlineStr">
        <is>
          <t>6170021</t>
        </is>
      </c>
      <c r="F1150" s="551" t="n"/>
      <c r="G1150" s="484" t="inlineStr">
        <is>
          <t>媚必提直線探頭4.5mm/條</t>
        </is>
      </c>
      <c r="H1150" s="552" t="n"/>
      <c r="I1150" s="552" t="n"/>
      <c r="J1150" s="551" t="n"/>
      <c r="K1150" s="140" t="inlineStr">
        <is>
          <t>20000條/顆</t>
        </is>
      </c>
      <c r="L1150" s="560" t="n">
        <v>18334</v>
      </c>
      <c r="M1150" s="123" t="n"/>
      <c r="N1150" s="117" t="n"/>
    </row>
    <row r="1151" ht="17.25" customHeight="1" s="453" thickBot="1">
      <c r="A1151" s="553">
        <f>IFERROR(LEFT(B1151,7),"")</f>
        <v/>
      </c>
      <c r="B1151" s="554">
        <f>"2026/01"&amp;D1151</f>
        <v/>
      </c>
      <c r="C1151" s="559" t="n">
        <v>37</v>
      </c>
      <c r="D1151" s="484" t="inlineStr">
        <is>
          <t>站前4樓</t>
        </is>
      </c>
      <c r="E1151" s="484" t="inlineStr">
        <is>
          <t>6170022</t>
        </is>
      </c>
      <c r="F1151" s="551" t="n"/>
      <c r="G1151" s="484" t="inlineStr">
        <is>
          <t>媚必提直線探頭6.0mm/條</t>
        </is>
      </c>
      <c r="H1151" s="552" t="n"/>
      <c r="I1151" s="552" t="n"/>
      <c r="J1151" s="551" t="n"/>
      <c r="K1151" s="140" t="inlineStr">
        <is>
          <t>20000條/顆</t>
        </is>
      </c>
      <c r="L1151" s="560" t="n">
        <v>5994</v>
      </c>
      <c r="M1151" s="123" t="n"/>
      <c r="N1151" s="117" t="n"/>
    </row>
    <row r="1152" ht="17.25" customHeight="1" s="453" thickBot="1">
      <c r="A1152" s="553">
        <f>IFERROR(LEFT(B1152,7),"")</f>
        <v/>
      </c>
      <c r="B1152" s="554">
        <f>"2026/01"&amp;D1152</f>
        <v/>
      </c>
      <c r="C1152" s="559" t="n">
        <v>38</v>
      </c>
      <c r="D1152" s="484" t="inlineStr">
        <is>
          <t>站前4樓</t>
        </is>
      </c>
      <c r="E1152" s="484" t="inlineStr">
        <is>
          <t>6170025</t>
        </is>
      </c>
      <c r="F1152" s="551" t="n"/>
      <c r="G1152" s="484" t="inlineStr">
        <is>
          <t>媚必提圓周探頭1.5mm/條</t>
        </is>
      </c>
      <c r="H1152" s="552" t="n"/>
      <c r="I1152" s="552" t="n"/>
      <c r="J1152" s="551" t="n"/>
      <c r="K1152" s="140" t="inlineStr">
        <is>
          <t>20000條/顆</t>
        </is>
      </c>
      <c r="L1152" s="560" t="n">
        <v>74</v>
      </c>
      <c r="M1152" s="123" t="n"/>
      <c r="N1152" s="117" t="n"/>
    </row>
    <row r="1153" ht="17.25" customHeight="1" s="453" thickBot="1">
      <c r="A1153" s="553">
        <f>IFERROR(LEFT(B1153,7),"")</f>
        <v/>
      </c>
      <c r="B1153" s="554">
        <f>"2026/01"&amp;D1153</f>
        <v/>
      </c>
      <c r="C1153" s="559" t="n">
        <v>39</v>
      </c>
      <c r="D1153" s="484" t="inlineStr">
        <is>
          <t>站前4樓</t>
        </is>
      </c>
      <c r="E1153" s="484" t="inlineStr">
        <is>
          <t>6170028</t>
        </is>
      </c>
      <c r="F1153" s="551" t="n"/>
      <c r="G1153" s="484" t="inlineStr">
        <is>
          <t>海芙電波探頭0.25cm/發</t>
        </is>
      </c>
      <c r="H1153" s="552" t="n"/>
      <c r="I1153" s="552" t="n"/>
      <c r="J1153" s="551" t="n"/>
      <c r="K1153" s="140" t="inlineStr">
        <is>
          <t>6000發/顆</t>
        </is>
      </c>
      <c r="L1153" s="560" t="n">
        <v>4380</v>
      </c>
      <c r="M1153" s="123" t="n"/>
      <c r="N1153" s="117" t="n"/>
    </row>
    <row r="1154" ht="17.25" customHeight="1" s="453" thickBot="1">
      <c r="A1154" s="553">
        <f>IFERROR(LEFT(B1154,7),"")</f>
        <v/>
      </c>
      <c r="B1154" s="554">
        <f>"2026/01"&amp;D1154</f>
        <v/>
      </c>
      <c r="C1154" s="559" t="n">
        <v>40</v>
      </c>
      <c r="D1154" s="484" t="inlineStr">
        <is>
          <t>站前4樓</t>
        </is>
      </c>
      <c r="E1154" s="484" t="inlineStr">
        <is>
          <t>6170030</t>
        </is>
      </c>
      <c r="F1154" s="551" t="n"/>
      <c r="G1154" s="484" t="inlineStr">
        <is>
          <t>海芙電波探頭4.0cm/發</t>
        </is>
      </c>
      <c r="H1154" s="552" t="n"/>
      <c r="I1154" s="552" t="n"/>
      <c r="J1154" s="551" t="n"/>
      <c r="K1154" s="140" t="inlineStr">
        <is>
          <t>3000發/顆</t>
        </is>
      </c>
      <c r="L1154" s="560" t="n">
        <v>27220</v>
      </c>
      <c r="M1154" s="123" t="n"/>
      <c r="N1154" s="117" t="n"/>
    </row>
    <row r="1155" ht="17.25" customHeight="1" s="453" thickBot="1">
      <c r="A1155" s="553">
        <f>IFERROR(LEFT(B1155,7),"")</f>
        <v/>
      </c>
      <c r="B1155" s="554">
        <f>"2026/01"&amp;D1155</f>
        <v/>
      </c>
      <c r="C1155" s="559" t="n">
        <v>41</v>
      </c>
      <c r="D1155" s="484" t="inlineStr">
        <is>
          <t>站前4樓</t>
        </is>
      </c>
      <c r="E1155" s="484" t="inlineStr">
        <is>
          <t>6170032</t>
        </is>
      </c>
      <c r="F1155" s="551" t="n"/>
      <c r="G1155" s="484" t="inlineStr">
        <is>
          <t>立特拉A2筆型探頭3.0mm/ 條</t>
        </is>
      </c>
      <c r="H1155" s="552" t="n"/>
      <c r="I1155" s="552" t="n"/>
      <c r="J1155" s="551" t="n"/>
      <c r="K1155" s="140" t="inlineStr">
        <is>
          <t>240000條/顆</t>
        </is>
      </c>
      <c r="L1155" s="560" t="n">
        <v>397432</v>
      </c>
      <c r="M1155" s="123" t="n"/>
      <c r="N1155" s="117" t="n"/>
    </row>
    <row r="1156" ht="17.25" customHeight="1" s="453" thickBot="1">
      <c r="A1156" s="553">
        <f>IFERROR(LEFT(B1156,7),"")</f>
        <v/>
      </c>
      <c r="B1156" s="554">
        <f>"2026/01"&amp;D1156</f>
        <v/>
      </c>
      <c r="C1156" s="559" t="n">
        <v>42</v>
      </c>
      <c r="D1156" s="484" t="inlineStr">
        <is>
          <t>站前4樓</t>
        </is>
      </c>
      <c r="E1156" s="484" t="inlineStr">
        <is>
          <t>6170033</t>
        </is>
      </c>
      <c r="F1156" s="551" t="n"/>
      <c r="G1156" s="484" t="inlineStr">
        <is>
          <t>立特拉A2筆型探頭4.5mm/ 條</t>
        </is>
      </c>
      <c r="H1156" s="552" t="n"/>
      <c r="I1156" s="552" t="n"/>
      <c r="J1156" s="551" t="n"/>
      <c r="K1156" s="140" t="inlineStr">
        <is>
          <t>240000條/顆</t>
        </is>
      </c>
      <c r="L1156" s="560" t="n">
        <v>139998</v>
      </c>
      <c r="M1156" s="123" t="n"/>
      <c r="N1156" s="117" t="n"/>
    </row>
    <row r="1157" ht="17.25" customHeight="1" s="453" thickBot="1">
      <c r="A1157" s="553">
        <f>IFERROR(LEFT(B1157,7),"")</f>
        <v/>
      </c>
      <c r="B1157" s="554">
        <f>"2026/01"&amp;D1157</f>
        <v/>
      </c>
      <c r="C1157" s="559" t="n">
        <v>43</v>
      </c>
      <c r="D1157" s="484" t="inlineStr">
        <is>
          <t>站前4樓</t>
        </is>
      </c>
      <c r="E1157" s="484" t="inlineStr">
        <is>
          <t>6170034</t>
        </is>
      </c>
      <c r="F1157" s="551" t="n"/>
      <c r="G1157" s="484" t="inlineStr">
        <is>
          <t>十蓓電波臉部探頭5cm</t>
        </is>
      </c>
      <c r="H1157" s="552" t="n"/>
      <c r="I1157" s="552" t="n"/>
      <c r="J1157" s="551" t="n"/>
      <c r="K1157" s="140" t="inlineStr">
        <is>
          <t>900發/顆</t>
        </is>
      </c>
      <c r="L1157" s="560" t="n">
        <v>53151</v>
      </c>
      <c r="M1157" s="123" t="n"/>
      <c r="N1157" s="117" t="n"/>
    </row>
    <row r="1158" ht="17.25" customHeight="1" s="453" thickBot="1">
      <c r="A1158" s="553">
        <f>IFERROR(LEFT(B1158,7),"")</f>
        <v/>
      </c>
      <c r="B1158" s="554">
        <f>"2026/01"&amp;D1158</f>
        <v/>
      </c>
      <c r="C1158" s="559" t="n">
        <v>44</v>
      </c>
      <c r="D1158" s="484" t="inlineStr">
        <is>
          <t>站前4樓</t>
        </is>
      </c>
      <c r="E1158" s="484" t="inlineStr">
        <is>
          <t>6170035</t>
        </is>
      </c>
      <c r="F1158" s="551" t="n"/>
      <c r="G1158" s="484" t="inlineStr">
        <is>
          <t>十蓓電波眼部探頭0.25cm</t>
        </is>
      </c>
      <c r="H1158" s="552" t="n"/>
      <c r="I1158" s="552" t="n"/>
      <c r="J1158" s="551" t="n"/>
      <c r="K1158" s="140" t="inlineStr">
        <is>
          <t>600發/顆</t>
        </is>
      </c>
      <c r="L1158" s="560" t="n">
        <v>14250</v>
      </c>
      <c r="M1158" s="123" t="n"/>
      <c r="N1158" s="117" t="n"/>
    </row>
    <row r="1159" ht="17.25" customHeight="1" s="453" thickBot="1">
      <c r="A1159" s="553">
        <f>IFERROR(LEFT(B1159,7),"")</f>
        <v/>
      </c>
      <c r="B1159" s="554">
        <f>"2026/01"&amp;D1159</f>
        <v/>
      </c>
      <c r="C1159" s="559" t="n">
        <v>45</v>
      </c>
      <c r="D1159" s="484" t="inlineStr">
        <is>
          <t>站前4樓</t>
        </is>
      </c>
      <c r="E1159" s="484" t="inlineStr">
        <is>
          <t>6180009</t>
        </is>
      </c>
      <c r="F1159" s="551" t="n"/>
      <c r="G1159" s="484" t="inlineStr">
        <is>
          <t>(V)MINT秘特拉提線TIP 4CM/ 條</t>
        </is>
      </c>
      <c r="H1159" s="552" t="n"/>
      <c r="I1159" s="552" t="n"/>
      <c r="J1159" s="551" t="n"/>
      <c r="K1159" s="140" t="inlineStr">
        <is>
          <t>10條/盒</t>
        </is>
      </c>
      <c r="L1159" s="560" t="n">
        <v>16</v>
      </c>
      <c r="M1159" s="123" t="n"/>
      <c r="N1159" s="117" t="n"/>
    </row>
    <row r="1160" ht="17.25" customHeight="1" s="453" thickBot="1">
      <c r="A1160" s="553">
        <f>IFERROR(LEFT(B1160,7),"")</f>
        <v/>
      </c>
      <c r="B1160" s="554">
        <f>"2026/01"&amp;D1160</f>
        <v/>
      </c>
      <c r="C1160" s="559" t="n">
        <v>46</v>
      </c>
      <c r="D1160" s="484" t="inlineStr">
        <is>
          <t>站前4樓</t>
        </is>
      </c>
      <c r="E1160" s="484" t="inlineStr">
        <is>
          <t>6180011</t>
        </is>
      </c>
      <c r="F1160" s="551" t="n"/>
      <c r="G1160" s="484" t="inlineStr">
        <is>
          <t>(V)MINT秘特拉提線UP 9.5CM/ 條</t>
        </is>
      </c>
      <c r="H1160" s="552" t="n"/>
      <c r="I1160" s="552" t="n"/>
      <c r="J1160" s="551" t="n"/>
      <c r="K1160" s="140" t="inlineStr">
        <is>
          <t>10條/盒</t>
        </is>
      </c>
      <c r="L1160" s="560" t="n">
        <v>8</v>
      </c>
      <c r="M1160" s="123" t="n"/>
      <c r="N1160" s="117" t="n"/>
    </row>
    <row r="1161" ht="17.25" customHeight="1" s="453" thickBot="1">
      <c r="A1161" s="553">
        <f>IFERROR(LEFT(B1161,7),"")</f>
        <v/>
      </c>
      <c r="B1161" s="554">
        <f>"2026/01"&amp;D1161</f>
        <v/>
      </c>
      <c r="C1161" s="559" t="n">
        <v>47</v>
      </c>
      <c r="D1161" s="484" t="inlineStr">
        <is>
          <t>站前4樓</t>
        </is>
      </c>
      <c r="E1161" s="484" t="inlineStr">
        <is>
          <t>6190002</t>
        </is>
      </c>
      <c r="F1161" s="551" t="n"/>
      <c r="G1161" s="484" t="inlineStr">
        <is>
          <t>PLT生長因子凍晶製備6入(單瓶)</t>
        </is>
      </c>
      <c r="H1161" s="552" t="n"/>
      <c r="I1161" s="552" t="n"/>
      <c r="J1161" s="551" t="n"/>
      <c r="K1161" s="140" t="inlineStr">
        <is>
          <t>瓶(6入/組)</t>
        </is>
      </c>
      <c r="L1161" s="560" t="n">
        <v>3</v>
      </c>
      <c r="M1161" s="123" t="n"/>
      <c r="N1161" s="117" t="n"/>
    </row>
    <row r="1162" ht="17.25" customHeight="1" s="453" thickBot="1">
      <c r="A1162" s="553">
        <f>IFERROR(LEFT(B1162,7),"")</f>
        <v/>
      </c>
      <c r="B1162" s="554">
        <f>"2026/01"&amp;D1162</f>
        <v/>
      </c>
      <c r="C1162" s="559" t="n">
        <v>48</v>
      </c>
      <c r="D1162" s="484" t="inlineStr">
        <is>
          <t>站前4樓</t>
        </is>
      </c>
      <c r="E1162" s="484" t="inlineStr">
        <is>
          <t>6190003</t>
        </is>
      </c>
      <c r="F1162" s="551" t="n"/>
      <c r="G1162" s="484" t="inlineStr">
        <is>
          <t>PLT生長因子凍晶製備10入(單瓶)</t>
        </is>
      </c>
      <c r="H1162" s="552" t="n"/>
      <c r="I1162" s="552" t="n"/>
      <c r="J1162" s="551" t="n"/>
      <c r="K1162" s="140" t="inlineStr">
        <is>
          <t>瓶(10入/組)</t>
        </is>
      </c>
      <c r="L1162" s="560" t="n">
        <v>16</v>
      </c>
      <c r="M1162" s="123" t="n"/>
      <c r="N1162" s="117" t="n"/>
    </row>
    <row r="1163" ht="17.25" customHeight="1" s="453" thickBot="1">
      <c r="A1163" s="553">
        <f>IFERROR(LEFT(B1163,7),"")</f>
        <v/>
      </c>
      <c r="B1163" s="554">
        <f>"2026/01"&amp;D1163</f>
        <v/>
      </c>
      <c r="C1163" s="559" t="n">
        <v>49</v>
      </c>
      <c r="D1163" s="484" t="inlineStr">
        <is>
          <t>站前4樓</t>
        </is>
      </c>
      <c r="E1163" s="484" t="inlineStr">
        <is>
          <t>6190004</t>
        </is>
      </c>
      <c r="F1163" s="551" t="n"/>
      <c r="G1163" s="484" t="inlineStr">
        <is>
          <t>PLT生長因子凍晶製備20入(單瓶)</t>
        </is>
      </c>
      <c r="H1163" s="552" t="n"/>
      <c r="I1163" s="552" t="n"/>
      <c r="J1163" s="551" t="n"/>
      <c r="K1163" s="140" t="inlineStr">
        <is>
          <t>瓶(20入/組)</t>
        </is>
      </c>
      <c r="L1163" s="560" t="n">
        <v>32</v>
      </c>
      <c r="M1163" s="123" t="n"/>
      <c r="N1163" s="117" t="n"/>
    </row>
    <row r="1164" ht="17.25" customHeight="1" s="453" thickBot="1">
      <c r="A1164" s="553">
        <f>IFERROR(LEFT(B1164,7),"")</f>
        <v/>
      </c>
      <c r="B1164" s="554">
        <f>"2026/01"&amp;D1164</f>
        <v/>
      </c>
      <c r="C1164" s="559" t="n">
        <v>50</v>
      </c>
      <c r="D1164" s="484" t="inlineStr">
        <is>
          <t>站前4樓</t>
        </is>
      </c>
      <c r="E1164" s="484" t="inlineStr">
        <is>
          <t>6200003</t>
        </is>
      </c>
      <c r="F1164" s="551" t="n"/>
      <c r="G1164" s="484" t="inlineStr">
        <is>
          <t>(V)倍克脂Belkyra/ 瓶(20的倍數下單)</t>
        </is>
      </c>
      <c r="H1164" s="552" t="n"/>
      <c r="I1164" s="552" t="n"/>
      <c r="J1164" s="551" t="n"/>
      <c r="K1164" s="140" t="inlineStr">
        <is>
          <t>5瓶/盒</t>
        </is>
      </c>
      <c r="L1164" s="560" t="n">
        <v>2</v>
      </c>
      <c r="M1164" s="123" t="n"/>
      <c r="N1164" s="117" t="n"/>
    </row>
    <row r="1165" ht="17.25" customHeight="1" s="453" thickBot="1">
      <c r="A1165" s="553">
        <f>IFERROR(LEFT(B1165,7),"")</f>
        <v/>
      </c>
      <c r="B1165" s="554">
        <f>"2026/01"&amp;D1165</f>
        <v/>
      </c>
      <c r="C1165" s="559" t="n">
        <v>51</v>
      </c>
      <c r="D1165" s="484" t="inlineStr">
        <is>
          <t>站前4樓</t>
        </is>
      </c>
      <c r="E1165" s="484" t="inlineStr">
        <is>
          <t>6210001</t>
        </is>
      </c>
      <c r="F1165" s="551" t="n"/>
      <c r="G1165" s="484" t="inlineStr">
        <is>
          <t>(V)水光針針頭/31G9針/1.0mm/ PCS</t>
        </is>
      </c>
      <c r="H1165" s="552" t="n"/>
      <c r="I1165" s="552" t="n"/>
      <c r="J1165" s="551" t="n"/>
      <c r="K1165" s="140" t="inlineStr">
        <is>
          <t>PCS(20入/盒)</t>
        </is>
      </c>
      <c r="L1165" s="560" t="n">
        <v>2</v>
      </c>
      <c r="M1165" s="123" t="n"/>
      <c r="N1165" s="117" t="n"/>
    </row>
    <row r="1166" ht="17.25" customHeight="1" s="453" thickBot="1">
      <c r="A1166" s="553">
        <f>IFERROR(LEFT(B1166,7),"")</f>
        <v/>
      </c>
      <c r="B1166" s="554">
        <f>"2026/01"&amp;D1166</f>
        <v/>
      </c>
      <c r="C1166" s="559" t="n">
        <v>52</v>
      </c>
      <c r="D1166" s="484" t="inlineStr">
        <is>
          <t>站前4樓</t>
        </is>
      </c>
      <c r="E1166" s="484" t="inlineStr">
        <is>
          <t>6210002</t>
        </is>
      </c>
      <c r="F1166" s="551" t="n"/>
      <c r="G1166" s="484" t="inlineStr">
        <is>
          <t>(V)水光針針頭/31G9針/1.2mm/ PCS</t>
        </is>
      </c>
      <c r="H1166" s="552" t="n"/>
      <c r="I1166" s="552" t="n"/>
      <c r="J1166" s="551" t="n"/>
      <c r="K1166" s="140" t="inlineStr">
        <is>
          <t>PCS(20入/盒)</t>
        </is>
      </c>
      <c r="L1166" s="560" t="n">
        <v>176</v>
      </c>
      <c r="M1166" s="123" t="n"/>
      <c r="N1166" s="117" t="n"/>
    </row>
    <row r="1167" ht="17.25" customHeight="1" s="453" thickBot="1">
      <c r="A1167" s="553">
        <f>IFERROR(LEFT(B1167,7),"")</f>
        <v/>
      </c>
      <c r="B1167" s="554">
        <f>"2026/01"&amp;D1167</f>
        <v/>
      </c>
      <c r="C1167" s="559" t="n">
        <v>53</v>
      </c>
      <c r="D1167" s="484" t="inlineStr">
        <is>
          <t>站前4樓</t>
        </is>
      </c>
      <c r="E1167" s="484" t="inlineStr">
        <is>
          <t>6210003</t>
        </is>
      </c>
      <c r="F1167" s="551" t="n"/>
      <c r="G1167" s="484" t="inlineStr">
        <is>
          <t>(V)水光針針頭/31G9針/1.5mm/ PCS</t>
        </is>
      </c>
      <c r="H1167" s="552" t="n"/>
      <c r="I1167" s="552" t="n"/>
      <c r="J1167" s="551" t="n"/>
      <c r="K1167" s="140" t="inlineStr">
        <is>
          <t>PCS(20入/盒)</t>
        </is>
      </c>
      <c r="L1167" s="560" t="n">
        <v>15</v>
      </c>
      <c r="M1167" s="123" t="n"/>
      <c r="N1167" s="117" t="n"/>
    </row>
    <row r="1168" ht="17.25" customHeight="1" s="453" thickBot="1">
      <c r="A1168" s="553">
        <f>IFERROR(LEFT(B1168,7),"")</f>
        <v/>
      </c>
      <c r="B1168" s="554">
        <f>"2026/01"&amp;D1168</f>
        <v/>
      </c>
      <c r="C1168" s="559" t="n">
        <v>54</v>
      </c>
      <c r="D1168" s="484" t="inlineStr">
        <is>
          <t>站前4樓</t>
        </is>
      </c>
      <c r="E1168" s="484" t="inlineStr">
        <is>
          <t>6210005</t>
        </is>
      </c>
      <c r="F1168" s="551" t="n"/>
      <c r="G1168" s="484" t="inlineStr">
        <is>
          <t>(V)水光針針頭/32G9針/1.0mm/ PCS</t>
        </is>
      </c>
      <c r="H1168" s="552" t="n"/>
      <c r="I1168" s="552" t="n"/>
      <c r="J1168" s="551" t="n"/>
      <c r="K1168" s="140" t="inlineStr">
        <is>
          <t>PCS(20入/盒)</t>
        </is>
      </c>
      <c r="L1168" s="560" t="n">
        <v>1</v>
      </c>
      <c r="M1168" s="123" t="n"/>
      <c r="N1168" s="117" t="n"/>
    </row>
    <row r="1169" ht="17.25" customHeight="1" s="453" thickBot="1">
      <c r="A1169" s="553">
        <f>IFERROR(LEFT(B1169,7),"")</f>
        <v/>
      </c>
      <c r="B1169" s="554">
        <f>"2026/01"&amp;D1169</f>
        <v/>
      </c>
      <c r="C1169" s="559" t="n">
        <v>55</v>
      </c>
      <c r="D1169" s="484" t="inlineStr">
        <is>
          <t>站前4樓</t>
        </is>
      </c>
      <c r="E1169" s="484" t="inlineStr">
        <is>
          <t>6210006</t>
        </is>
      </c>
      <c r="F1169" s="551" t="n"/>
      <c r="G1169" s="484" t="inlineStr">
        <is>
          <t>(V)麗珠蘭修復水光(A劑2ml+B劑2ml)</t>
        </is>
      </c>
      <c r="H1169" s="552" t="n"/>
      <c r="I1169" s="552" t="n"/>
      <c r="J1169" s="551" t="n"/>
      <c r="K1169" s="140" t="inlineStr">
        <is>
          <t>2ml*2</t>
        </is>
      </c>
      <c r="L1169" s="560" t="n">
        <v>11</v>
      </c>
      <c r="M1169" s="123" t="n"/>
      <c r="N1169" s="117" t="n"/>
    </row>
    <row r="1170" ht="17.25" customHeight="1" s="453" thickBot="1">
      <c r="A1170" s="553">
        <f>IFERROR(LEFT(B1170,7),"")</f>
        <v/>
      </c>
      <c r="B1170" s="554">
        <f>"2026/01"&amp;D1170</f>
        <v/>
      </c>
      <c r="C1170" s="559" t="n">
        <v>56</v>
      </c>
      <c r="D1170" s="484" t="inlineStr">
        <is>
          <t>站前4樓</t>
        </is>
      </c>
      <c r="E1170" s="484" t="inlineStr">
        <is>
          <t>6210007</t>
        </is>
      </c>
      <c r="F1170" s="551" t="n"/>
      <c r="G1170" s="484" t="inlineStr">
        <is>
          <t>(V)麗珠蘭白瓷水光(A劑2ml+B劑2ml)</t>
        </is>
      </c>
      <c r="H1170" s="552" t="n"/>
      <c r="I1170" s="552" t="n"/>
      <c r="J1170" s="551" t="n"/>
      <c r="K1170" s="140" t="inlineStr">
        <is>
          <t>2ml*2</t>
        </is>
      </c>
      <c r="L1170" s="560" t="n">
        <v>5</v>
      </c>
      <c r="M1170" s="123" t="n"/>
      <c r="N1170" s="117" t="n"/>
    </row>
    <row r="1171" ht="17.25" customHeight="1" s="453" thickBot="1">
      <c r="A1171" s="553">
        <f>IFERROR(LEFT(B1171,7),"")</f>
        <v/>
      </c>
      <c r="B1171" s="554">
        <f>"2026/01"&amp;D1171</f>
        <v/>
      </c>
      <c r="C1171" s="559" t="n">
        <v>57</v>
      </c>
      <c r="D1171" s="484" t="inlineStr">
        <is>
          <t>站前4樓</t>
        </is>
      </c>
      <c r="E1171" s="484" t="inlineStr">
        <is>
          <t>6210008</t>
        </is>
      </c>
      <c r="F1171" s="551" t="n"/>
      <c r="G1171" s="484" t="inlineStr">
        <is>
          <t>微針筆針頭</t>
        </is>
      </c>
      <c r="H1171" s="552" t="n"/>
      <c r="I1171" s="552" t="n"/>
      <c r="J1171" s="551" t="n"/>
      <c r="K1171" s="140" t="inlineStr">
        <is>
          <t>PCS(33入/盒)</t>
        </is>
      </c>
      <c r="L1171" s="560" t="n">
        <v>3</v>
      </c>
      <c r="M1171" s="123" t="n"/>
      <c r="N1171" s="117" t="n"/>
    </row>
    <row r="1172" ht="17.25" customHeight="1" s="453" thickBot="1">
      <c r="A1172" s="553">
        <f>IFERROR(LEFT(B1172,7),"")</f>
        <v/>
      </c>
      <c r="B1172" s="554">
        <f>"2026/01"&amp;D1172</f>
        <v/>
      </c>
      <c r="C1172" s="559" t="n">
        <v>58</v>
      </c>
      <c r="D1172" s="484" t="inlineStr">
        <is>
          <t>站前4樓</t>
        </is>
      </c>
      <c r="E1172" s="484" t="inlineStr">
        <is>
          <t>6220005</t>
        </is>
      </c>
      <c r="F1172" s="551" t="n"/>
      <c r="G1172" s="484" t="inlineStr">
        <is>
          <t>海菲秀深藍端頭/ 顆</t>
        </is>
      </c>
      <c r="H1172" s="552" t="n"/>
      <c r="I1172" s="552" t="n"/>
      <c r="J1172" s="551" t="n"/>
      <c r="K1172" s="140" t="inlineStr">
        <is>
          <t>15顆/串</t>
        </is>
      </c>
      <c r="L1172" s="560" t="n">
        <v>648</v>
      </c>
      <c r="M1172" s="123" t="n"/>
      <c r="N1172" s="117" t="n"/>
    </row>
    <row r="1173" ht="17.25" customHeight="1" s="453" thickBot="1">
      <c r="A1173" s="553">
        <f>IFERROR(LEFT(B1173,7),"")</f>
        <v/>
      </c>
      <c r="B1173" s="554">
        <f>"2026/01"&amp;D1173</f>
        <v/>
      </c>
      <c r="C1173" s="559" t="n">
        <v>59</v>
      </c>
      <c r="D1173" s="484" t="inlineStr">
        <is>
          <t>站前4樓</t>
        </is>
      </c>
      <c r="E1173" s="484" t="inlineStr">
        <is>
          <t>6220006</t>
        </is>
      </c>
      <c r="F1173" s="551" t="n"/>
      <c r="G1173" s="484" t="inlineStr">
        <is>
          <t>海菲秀淺藍端頭/ 顆</t>
        </is>
      </c>
      <c r="H1173" s="552" t="n"/>
      <c r="I1173" s="552" t="n"/>
      <c r="J1173" s="551" t="n"/>
      <c r="K1173" s="140" t="inlineStr">
        <is>
          <t>15顆/串</t>
        </is>
      </c>
      <c r="L1173" s="560" t="n">
        <v>648</v>
      </c>
      <c r="M1173" s="123" t="n"/>
      <c r="N1173" s="117" t="n"/>
    </row>
    <row r="1174" ht="17.25" customHeight="1" s="453" thickBot="1">
      <c r="A1174" s="553">
        <f>IFERROR(LEFT(B1174,7),"")</f>
        <v/>
      </c>
      <c r="B1174" s="554">
        <f>"2026/01"&amp;D1174</f>
        <v/>
      </c>
      <c r="C1174" s="559" t="n">
        <v>60</v>
      </c>
      <c r="D1174" s="484" t="inlineStr">
        <is>
          <t>站前4樓</t>
        </is>
      </c>
      <c r="E1174" s="484" t="inlineStr">
        <is>
          <t>6220007</t>
        </is>
      </c>
      <c r="F1174" s="551" t="n"/>
      <c r="G1174" s="484" t="inlineStr">
        <is>
          <t>海菲秀透明端頭/ 顆</t>
        </is>
      </c>
      <c r="H1174" s="552" t="n"/>
      <c r="I1174" s="552" t="n"/>
      <c r="J1174" s="551" t="n"/>
      <c r="K1174" s="140" t="inlineStr">
        <is>
          <t>15顆/串</t>
        </is>
      </c>
      <c r="L1174" s="560" t="n">
        <v>648</v>
      </c>
      <c r="M1174" s="123" t="n"/>
      <c r="N1174" s="117" t="n"/>
    </row>
    <row r="1175" ht="17.25" customHeight="1" s="453" thickBot="1">
      <c r="A1175" s="553">
        <f>IFERROR(LEFT(B1175,7),"")</f>
        <v/>
      </c>
      <c r="B1175" s="554">
        <f>"2026/01"&amp;D1175</f>
        <v/>
      </c>
      <c r="C1175" s="559" t="n">
        <v>61</v>
      </c>
      <c r="D1175" s="484" t="inlineStr">
        <is>
          <t>站前4樓</t>
        </is>
      </c>
      <c r="E1175" s="484" t="inlineStr">
        <is>
          <t>6220012</t>
        </is>
      </c>
      <c r="F1175" s="551" t="n"/>
      <c r="G1175" s="484" t="inlineStr">
        <is>
          <t>(V)(第一劑)海菲秀 Activ-4 Skin Solution/mL</t>
        </is>
      </c>
      <c r="H1175" s="552" t="n"/>
      <c r="I1175" s="552" t="n"/>
      <c r="J1175" s="551" t="n"/>
      <c r="K1175" s="140" t="inlineStr">
        <is>
          <t>236ml/瓶</t>
        </is>
      </c>
      <c r="L1175" s="560" t="n">
        <v>9720</v>
      </c>
      <c r="M1175" s="123" t="n"/>
      <c r="N1175" s="117" t="n"/>
    </row>
    <row r="1176" ht="17.25" customHeight="1" s="453" thickBot="1">
      <c r="A1176" s="553">
        <f>IFERROR(LEFT(B1176,7),"")</f>
        <v/>
      </c>
      <c r="B1176" s="554">
        <f>"2026/01"&amp;D1176</f>
        <v/>
      </c>
      <c r="C1176" s="559" t="n">
        <v>62</v>
      </c>
      <c r="D1176" s="484" t="inlineStr">
        <is>
          <t>站前4樓</t>
        </is>
      </c>
      <c r="E1176" s="484" t="inlineStr">
        <is>
          <t>6220013</t>
        </is>
      </c>
      <c r="F1176" s="551" t="n"/>
      <c r="G1176" s="484" t="inlineStr">
        <is>
          <t>(V)(第二劑)海菲秀 Beta-HD Skin Solution /mL</t>
        </is>
      </c>
      <c r="H1176" s="552" t="n"/>
      <c r="I1176" s="552" t="n"/>
      <c r="J1176" s="551" t="n"/>
      <c r="K1176" s="140" t="inlineStr">
        <is>
          <t>236ml/瓶</t>
        </is>
      </c>
      <c r="L1176" s="560" t="n">
        <v>9720</v>
      </c>
      <c r="M1176" s="123" t="n"/>
      <c r="N1176" s="117" t="n"/>
    </row>
    <row r="1177" ht="17.25" customHeight="1" s="453" thickBot="1">
      <c r="A1177" s="553">
        <f>IFERROR(LEFT(B1177,7),"")</f>
        <v/>
      </c>
      <c r="B1177" s="554">
        <f>"2026/01"&amp;D1177</f>
        <v/>
      </c>
      <c r="C1177" s="559" t="n">
        <v>63</v>
      </c>
      <c r="D1177" s="484" t="inlineStr">
        <is>
          <t>站前4樓</t>
        </is>
      </c>
      <c r="E1177" s="484" t="inlineStr">
        <is>
          <t>6220014</t>
        </is>
      </c>
      <c r="F1177" s="551" t="n"/>
      <c r="G1177" s="484" t="inlineStr">
        <is>
          <t>(V)(第三劑)海菲秀 Antiox-6 Skin Solution /mL</t>
        </is>
      </c>
      <c r="H1177" s="552" t="n"/>
      <c r="I1177" s="552" t="n"/>
      <c r="J1177" s="551" t="n"/>
      <c r="K1177" s="140" t="inlineStr">
        <is>
          <t>236ml/瓶</t>
        </is>
      </c>
      <c r="L1177" s="560" t="n">
        <v>9720</v>
      </c>
      <c r="M1177" s="123" t="n"/>
      <c r="N1177" s="117" t="n"/>
    </row>
    <row r="1178" ht="17.25" customHeight="1" s="453" thickBot="1">
      <c r="A1178" s="553">
        <f>IFERROR(LEFT(B1178,7),"")</f>
        <v/>
      </c>
      <c r="B1178" s="554">
        <f>"2026/01"&amp;D1178</f>
        <v/>
      </c>
      <c r="C1178" s="559" t="n">
        <v>64</v>
      </c>
      <c r="D1178" s="484" t="inlineStr">
        <is>
          <t>站前4樓</t>
        </is>
      </c>
      <c r="E1178" s="484" t="inlineStr">
        <is>
          <t>6220015</t>
        </is>
      </c>
      <c r="F1178" s="551" t="n"/>
      <c r="G1178" s="484" t="inlineStr">
        <is>
          <t>(V)(第四劑)海菲秀 Rinseaway System Cleaning Solution /mL</t>
        </is>
      </c>
      <c r="H1178" s="552" t="n"/>
      <c r="I1178" s="552" t="n"/>
      <c r="J1178" s="551" t="n"/>
      <c r="K1178" s="140" t="inlineStr">
        <is>
          <t>236ml/瓶</t>
        </is>
      </c>
      <c r="L1178" s="560" t="n">
        <v>9720</v>
      </c>
      <c r="M1178" s="123" t="n"/>
      <c r="N1178" s="117" t="n"/>
    </row>
    <row r="1179" ht="17.25" customHeight="1" s="453" thickBot="1">
      <c r="A1179" s="553">
        <f>IFERROR(LEFT(B1179,7),"")</f>
        <v/>
      </c>
      <c r="B1179" s="554">
        <f>"2026/01"&amp;D1179</f>
        <v/>
      </c>
      <c r="C1179" s="559" t="n">
        <v>65</v>
      </c>
      <c r="D1179" s="484" t="inlineStr">
        <is>
          <t>站前11樓</t>
        </is>
      </c>
      <c r="E1179" s="484" t="inlineStr">
        <is>
          <t>6120001</t>
        </is>
      </c>
      <c r="F1179" s="551" t="n"/>
      <c r="G1179" s="484" t="inlineStr">
        <is>
          <t>(V)肝得健注射劑/ 瓶，220倍數叫貨</t>
        </is>
      </c>
      <c r="H1179" s="552" t="n"/>
      <c r="I1179" s="552" t="n"/>
      <c r="J1179" s="551" t="n"/>
      <c r="K1179" s="140" t="inlineStr">
        <is>
          <t>20支/盒</t>
        </is>
      </c>
      <c r="L1179" s="560" t="n">
        <v>609</v>
      </c>
      <c r="M1179" s="123" t="n"/>
      <c r="N1179" s="117" t="n"/>
    </row>
    <row r="1180" ht="17.25" customHeight="1" s="453" thickBot="1">
      <c r="A1180" s="553">
        <f>IFERROR(LEFT(B1180,7),"")</f>
        <v/>
      </c>
      <c r="B1180" s="554">
        <f>"2026/01"&amp;D1180</f>
        <v/>
      </c>
      <c r="C1180" s="559" t="n">
        <v>66</v>
      </c>
      <c r="D1180" s="484" t="inlineStr">
        <is>
          <t>站前11樓</t>
        </is>
      </c>
      <c r="E1180" s="484" t="inlineStr">
        <is>
          <t>6120002</t>
        </is>
      </c>
      <c r="F1180" s="551" t="n"/>
      <c r="G1180" s="484" t="inlineStr">
        <is>
          <t>(V)卡妮丁注射劑/ 瓶，220倍數叫貨</t>
        </is>
      </c>
      <c r="H1180" s="552" t="n"/>
      <c r="I1180" s="552" t="n"/>
      <c r="J1180" s="551" t="n"/>
      <c r="K1180" s="140" t="inlineStr">
        <is>
          <t>20支/盒</t>
        </is>
      </c>
      <c r="L1180" s="560" t="n">
        <v>768.5</v>
      </c>
      <c r="M1180" s="123" t="n"/>
      <c r="N1180" s="117" t="n"/>
    </row>
    <row r="1181" ht="17.25" customHeight="1" s="453" thickBot="1">
      <c r="A1181" s="553">
        <f>IFERROR(LEFT(B1181,7),"")</f>
        <v/>
      </c>
      <c r="B1181" s="554">
        <f>"2026/01"&amp;D1181</f>
        <v/>
      </c>
      <c r="C1181" s="559" t="n">
        <v>67</v>
      </c>
      <c r="D1181" s="484" t="inlineStr">
        <is>
          <t>站前11樓</t>
        </is>
      </c>
      <c r="E1181" s="484" t="inlineStr">
        <is>
          <t>6120003</t>
        </is>
      </c>
      <c r="F1181" s="551" t="n"/>
      <c r="G1181" s="484" t="inlineStr">
        <is>
          <t>(V)貝力多(雙胜胺) 20% 30mL/ 瓶，50倍數叫貨</t>
        </is>
      </c>
      <c r="H1181" s="552" t="n"/>
      <c r="I1181" s="552" t="n"/>
      <c r="J1181" s="551" t="n"/>
      <c r="K1181" s="140" t="inlineStr">
        <is>
          <t>10支/盒</t>
        </is>
      </c>
      <c r="L1181" s="560" t="n">
        <v>3</v>
      </c>
      <c r="M1181" s="123" t="n"/>
      <c r="N1181" s="117" t="n"/>
    </row>
    <row r="1182" ht="17.25" customHeight="1" s="453" thickBot="1">
      <c r="A1182" s="553">
        <f>IFERROR(LEFT(B1182,7),"")</f>
        <v/>
      </c>
      <c r="B1182" s="554">
        <f>"2026/01"&amp;D1182</f>
        <v/>
      </c>
      <c r="C1182" s="559" t="n">
        <v>68</v>
      </c>
      <c r="D1182" s="484" t="inlineStr">
        <is>
          <t>站前11樓</t>
        </is>
      </c>
      <c r="E1182" s="484" t="inlineStr">
        <is>
          <t>6120004</t>
        </is>
      </c>
      <c r="F1182" s="551" t="n"/>
      <c r="G1182" s="484" t="inlineStr">
        <is>
          <t>(V)胺基酸點滴250ml/ 袋(安命活源/嘉安命)，20倍數叫貨</t>
        </is>
      </c>
      <c r="H1182" s="552" t="n"/>
      <c r="I1182" s="552" t="n"/>
      <c r="J1182" s="551" t="n"/>
      <c r="K1182" s="140" t="inlineStr">
        <is>
          <t>(20瓶/箱)</t>
        </is>
      </c>
      <c r="L1182" s="560" t="n">
        <v>21</v>
      </c>
      <c r="M1182" s="123" t="n"/>
      <c r="N1182" s="117" t="n"/>
    </row>
    <row r="1183" ht="17.25" customHeight="1" s="453" thickBot="1">
      <c r="A1183" s="553">
        <f>IFERROR(LEFT(B1183,7),"")</f>
        <v/>
      </c>
      <c r="B1183" s="554">
        <f>"2026/01"&amp;D1183</f>
        <v/>
      </c>
      <c r="C1183" s="559" t="n">
        <v>69</v>
      </c>
      <c r="D1183" s="484" t="inlineStr">
        <is>
          <t>站前11樓</t>
        </is>
      </c>
      <c r="E1183" s="484" t="inlineStr">
        <is>
          <t>6120006</t>
        </is>
      </c>
      <c r="F1183" s="551" t="n"/>
      <c r="G1183" s="484" t="inlineStr">
        <is>
          <t>(V)(B12) 愛壽命 2mL，100倍數叫貨</t>
        </is>
      </c>
      <c r="H1183" s="552" t="n"/>
      <c r="I1183" s="552" t="n"/>
      <c r="J1183" s="551" t="n"/>
      <c r="K1183" s="140" t="inlineStr">
        <is>
          <t>(100支/盒)</t>
        </is>
      </c>
      <c r="L1183" s="560" t="n">
        <v>340</v>
      </c>
      <c r="M1183" s="123" t="n"/>
      <c r="N1183" s="117" t="n"/>
    </row>
    <row r="1184" ht="17.25" customHeight="1" s="453" thickBot="1">
      <c r="A1184" s="553">
        <f>IFERROR(LEFT(B1184,7),"")</f>
        <v/>
      </c>
      <c r="B1184" s="554">
        <f>"2026/01"&amp;D1184</f>
        <v/>
      </c>
      <c r="C1184" s="559" t="n">
        <v>70</v>
      </c>
      <c r="D1184" s="484" t="inlineStr">
        <is>
          <t>站前11樓</t>
        </is>
      </c>
      <c r="E1184" s="484" t="inlineStr">
        <is>
          <t>6120007</t>
        </is>
      </c>
      <c r="F1184" s="551" t="n"/>
      <c r="G1184" s="484" t="inlineStr">
        <is>
          <t>(V)(硫酸鋅) 1ml/支，100倍數叫貨</t>
        </is>
      </c>
      <c r="H1184" s="552" t="n"/>
      <c r="I1184" s="552" t="n"/>
      <c r="J1184" s="551" t="n"/>
      <c r="K1184" s="140" t="inlineStr">
        <is>
          <t>100支/盒</t>
        </is>
      </c>
      <c r="L1184" s="560" t="n">
        <v>8</v>
      </c>
      <c r="M1184" s="123" t="n"/>
      <c r="N1184" s="117" t="n"/>
    </row>
    <row r="1185" ht="17.25" customHeight="1" s="453" thickBot="1">
      <c r="A1185" s="553">
        <f>IFERROR(LEFT(B1185,7),"")</f>
        <v/>
      </c>
      <c r="B1185" s="554">
        <f>"2026/01"&amp;D1185</f>
        <v/>
      </c>
      <c r="C1185" s="559" t="n">
        <v>71</v>
      </c>
      <c r="D1185" s="484" t="inlineStr">
        <is>
          <t>站前11樓</t>
        </is>
      </c>
      <c r="E1185" s="484" t="inlineStr">
        <is>
          <t>6120008</t>
        </is>
      </c>
      <c r="F1185" s="551" t="n"/>
      <c r="G1185" s="484" t="inlineStr">
        <is>
          <t>(V)(硫酸鎂) 注射液 20ml/支</t>
        </is>
      </c>
      <c r="H1185" s="552" t="n"/>
      <c r="I1185" s="552" t="n"/>
      <c r="J1185" s="551" t="n"/>
      <c r="K1185" s="140" t="inlineStr">
        <is>
          <t>60支/盒</t>
        </is>
      </c>
      <c r="L1185" s="560" t="n">
        <v>3</v>
      </c>
      <c r="M1185" s="123" t="n"/>
      <c r="N1185" s="117" t="n"/>
    </row>
    <row r="1186" ht="17.25" customHeight="1" s="453" thickBot="1">
      <c r="A1186" s="553">
        <f>IFERROR(LEFT(B1186,7),"")</f>
        <v/>
      </c>
      <c r="B1186" s="554">
        <f>"2026/01"&amp;D1186</f>
        <v/>
      </c>
      <c r="C1186" s="559" t="n">
        <v>72</v>
      </c>
      <c r="D1186" s="484" t="inlineStr">
        <is>
          <t>站前11樓</t>
        </is>
      </c>
      <c r="E1186" s="484" t="inlineStr">
        <is>
          <t>6120009</t>
        </is>
      </c>
      <c r="F1186" s="551" t="n"/>
      <c r="G1186" s="484" t="inlineStr">
        <is>
          <t>(V)(B1) 硫胺明 2ml</t>
        </is>
      </c>
      <c r="H1186" s="552" t="n"/>
      <c r="I1186" s="552" t="n"/>
      <c r="J1186" s="551" t="n"/>
      <c r="K1186" s="140" t="inlineStr">
        <is>
          <t>(100支/盒)</t>
        </is>
      </c>
      <c r="L1186" s="560" t="n">
        <v>5</v>
      </c>
      <c r="M1186" s="123" t="n"/>
      <c r="N1186" s="117" t="n"/>
    </row>
    <row r="1187" ht="17.25" customHeight="1" s="453" thickBot="1">
      <c r="A1187" s="553">
        <f>IFERROR(LEFT(B1187,7),"")</f>
        <v/>
      </c>
      <c r="B1187" s="554">
        <f>"2026/01"&amp;D1187</f>
        <v/>
      </c>
      <c r="C1187" s="559" t="n">
        <v>73</v>
      </c>
      <c r="D1187" s="484" t="inlineStr">
        <is>
          <t>站前11樓</t>
        </is>
      </c>
      <c r="E1187" s="484" t="inlineStr">
        <is>
          <t>6120010</t>
        </is>
      </c>
      <c r="F1187" s="551" t="n"/>
      <c r="G1187" s="484" t="inlineStr">
        <is>
          <t>(V)(B6) 活性維生素 2ml，100倍數叫貨</t>
        </is>
      </c>
      <c r="H1187" s="552" t="n"/>
      <c r="I1187" s="552" t="n"/>
      <c r="J1187" s="551" t="n"/>
      <c r="K1187" s="140" t="inlineStr">
        <is>
          <t>(100支/盒)</t>
        </is>
      </c>
      <c r="L1187" s="560" t="n">
        <v>5</v>
      </c>
      <c r="M1187" s="123" t="n"/>
      <c r="N1187" s="117" t="n"/>
    </row>
    <row r="1188" ht="17.25" customHeight="1" s="453" thickBot="1">
      <c r="A1188" s="553">
        <f>IFERROR(LEFT(B1188,7),"")</f>
        <v/>
      </c>
      <c r="B1188" s="554">
        <f>"2026/01"&amp;D1188</f>
        <v/>
      </c>
      <c r="C1188" s="559" t="n">
        <v>74</v>
      </c>
      <c r="D1188" s="484" t="inlineStr">
        <is>
          <t>站前11樓</t>
        </is>
      </c>
      <c r="E1188" s="484" t="inlineStr">
        <is>
          <t>6120011</t>
        </is>
      </c>
      <c r="F1188" s="551" t="n"/>
      <c r="G1188" s="484" t="inlineStr">
        <is>
          <t>(V)(硒) 西寧特 2ml/支</t>
        </is>
      </c>
      <c r="H1188" s="552" t="n"/>
      <c r="I1188" s="552" t="n"/>
      <c r="J1188" s="551" t="n"/>
      <c r="K1188" s="140" t="inlineStr">
        <is>
          <t>10支/盒</t>
        </is>
      </c>
      <c r="L1188" s="560" t="n">
        <v>5</v>
      </c>
      <c r="M1188" s="123" t="n"/>
      <c r="N1188" s="117" t="n"/>
    </row>
    <row r="1189" ht="17.25" customHeight="1" s="453" thickBot="1">
      <c r="A1189" s="553">
        <f>IFERROR(LEFT(B1189,7),"")</f>
        <v/>
      </c>
      <c r="B1189" s="554">
        <f>"2026/01"&amp;D1189</f>
        <v/>
      </c>
      <c r="C1189" s="559" t="n">
        <v>75</v>
      </c>
      <c r="D1189" s="484" t="inlineStr">
        <is>
          <t>站前11樓</t>
        </is>
      </c>
      <c r="E1189" s="484" t="inlineStr">
        <is>
          <t>6120013</t>
        </is>
      </c>
      <c r="F1189" s="551" t="n"/>
      <c r="G1189" s="484" t="inlineStr">
        <is>
          <t>(V)生理食鹽水(NS) 250ml/ 袋</t>
        </is>
      </c>
      <c r="H1189" s="552" t="n"/>
      <c r="I1189" s="552" t="n"/>
      <c r="J1189" s="551" t="n"/>
      <c r="K1189" s="140" t="inlineStr">
        <is>
          <t>40瓶/箱</t>
        </is>
      </c>
      <c r="L1189" s="560" t="n">
        <v>332</v>
      </c>
      <c r="M1189" s="123" t="n"/>
      <c r="N1189" s="117" t="n"/>
    </row>
    <row r="1190" ht="17.25" customHeight="1" s="453" thickBot="1">
      <c r="A1190" s="553">
        <f>IFERROR(LEFT(B1190,7),"")</f>
        <v/>
      </c>
      <c r="B1190" s="554">
        <f>"2026/01"&amp;D1190</f>
        <v/>
      </c>
      <c r="C1190" s="559" t="n">
        <v>76</v>
      </c>
      <c r="D1190" s="484" t="inlineStr">
        <is>
          <t>站前11樓</t>
        </is>
      </c>
      <c r="E1190" s="484" t="inlineStr">
        <is>
          <t>6120014</t>
        </is>
      </c>
      <c r="F1190" s="551" t="n"/>
      <c r="G1190" s="484" t="inlineStr">
        <is>
          <t>(V)葡萄糖水(D5W) 250ml/袋</t>
        </is>
      </c>
      <c r="H1190" s="552" t="n"/>
      <c r="I1190" s="552" t="n"/>
      <c r="J1190" s="551" t="n"/>
      <c r="K1190" s="140" t="inlineStr">
        <is>
          <t>60袋/箱</t>
        </is>
      </c>
      <c r="L1190" s="560" t="n">
        <v>535</v>
      </c>
      <c r="M1190" s="123" t="n"/>
      <c r="N1190" s="117" t="n"/>
    </row>
    <row r="1191" ht="17.25" customHeight="1" s="453" thickBot="1">
      <c r="A1191" s="553">
        <f>IFERROR(LEFT(B1191,7),"")</f>
        <v/>
      </c>
      <c r="B1191" s="554">
        <f>"2026/01"&amp;D1191</f>
        <v/>
      </c>
      <c r="C1191" s="559" t="n">
        <v>77</v>
      </c>
      <c r="D1191" s="484" t="inlineStr">
        <is>
          <t>站前11樓</t>
        </is>
      </c>
      <c r="E1191" s="484" t="inlineStr">
        <is>
          <t>6120015</t>
        </is>
      </c>
      <c r="F1191" s="551" t="n"/>
      <c r="G1191" s="484" t="inlineStr">
        <is>
          <t>(V)(B群)淘能美複合維他命B 2ml，100倍數叫貨</t>
        </is>
      </c>
      <c r="H1191" s="552" t="n"/>
      <c r="I1191" s="552" t="n"/>
      <c r="J1191" s="551" t="n"/>
      <c r="K1191" s="140" t="n"/>
      <c r="L1191" s="560" t="n">
        <v>26</v>
      </c>
      <c r="M1191" s="123" t="n"/>
      <c r="N1191" s="117" t="n"/>
    </row>
    <row r="1192" ht="17.25" customHeight="1" s="453" thickBot="1">
      <c r="A1192" s="553">
        <f>IFERROR(LEFT(B1192,7),"")</f>
        <v/>
      </c>
      <c r="B1192" s="554">
        <f>"2026/01"&amp;D1192</f>
        <v/>
      </c>
      <c r="C1192" s="559" t="n">
        <v>78</v>
      </c>
      <c r="D1192" s="484" t="inlineStr">
        <is>
          <t>站前11樓</t>
        </is>
      </c>
      <c r="E1192" s="484" t="inlineStr">
        <is>
          <t>6120016</t>
        </is>
      </c>
      <c r="F1192" s="551" t="n"/>
      <c r="G1192" s="484" t="inlineStr">
        <is>
          <t>(V)(榖胱肝肽) 克樂達養200mg (20ml/瓶)</t>
        </is>
      </c>
      <c r="H1192" s="552" t="n"/>
      <c r="I1192" s="552" t="n"/>
      <c r="J1192" s="551" t="n"/>
      <c r="K1192" s="140" t="inlineStr">
        <is>
          <t>50支/盒</t>
        </is>
      </c>
      <c r="L1192" s="560" t="n">
        <v>26</v>
      </c>
      <c r="M1192" s="123" t="n"/>
      <c r="N1192" s="117" t="n"/>
    </row>
    <row r="1193" ht="17.25" customHeight="1" s="453" thickBot="1">
      <c r="A1193" s="553">
        <f>IFERROR(LEFT(B1193,7),"")</f>
        <v/>
      </c>
      <c r="B1193" s="554">
        <f>"2026/01"&amp;D1193</f>
        <v/>
      </c>
      <c r="C1193" s="559" t="n">
        <v>79</v>
      </c>
      <c r="D1193" s="484" t="inlineStr">
        <is>
          <t>站前11樓</t>
        </is>
      </c>
      <c r="E1193" s="484" t="inlineStr">
        <is>
          <t>6120020</t>
        </is>
      </c>
      <c r="F1193" s="551" t="n"/>
      <c r="G1193" s="484" t="inlineStr">
        <is>
          <t>(V)(Vit C) 抗壞血酸 2mL，100倍數下單</t>
        </is>
      </c>
      <c r="H1193" s="552" t="n"/>
      <c r="I1193" s="552" t="n"/>
      <c r="J1193" s="551" t="n"/>
      <c r="K1193" s="140" t="inlineStr">
        <is>
          <t>100支/盒</t>
        </is>
      </c>
      <c r="L1193" s="560" t="n">
        <v>1</v>
      </c>
      <c r="M1193" s="123" t="n"/>
      <c r="N1193" s="117" t="n"/>
    </row>
    <row r="1194" ht="17.25" customHeight="1" s="453" thickBot="1">
      <c r="A1194" s="553">
        <f>IFERROR(LEFT(B1194,7),"")</f>
        <v/>
      </c>
      <c r="B1194" s="554">
        <f>"2026/01"&amp;D1194</f>
        <v/>
      </c>
      <c r="C1194" s="559" t="n">
        <v>80</v>
      </c>
      <c r="D1194" s="484" t="inlineStr">
        <is>
          <t>站前11樓</t>
        </is>
      </c>
      <c r="E1194" s="484" t="inlineStr">
        <is>
          <t>6120021</t>
        </is>
      </c>
      <c r="F1194" s="551" t="n"/>
      <c r="G1194" s="484" t="inlineStr">
        <is>
          <t>(V)(Vit C)(抗壞血酸/諾貝爾)20ml，50倍數下單</t>
        </is>
      </c>
      <c r="H1194" s="552" t="n"/>
      <c r="I1194" s="552" t="n"/>
      <c r="J1194" s="551" t="n"/>
      <c r="K1194" s="140" t="inlineStr">
        <is>
          <t>50支/盒</t>
        </is>
      </c>
      <c r="L1194" s="560" t="n">
        <v>29</v>
      </c>
      <c r="M1194" s="123" t="n"/>
      <c r="N1194" s="117" t="n"/>
    </row>
    <row r="1195" ht="17.25" customHeight="1" s="453" thickBot="1">
      <c r="A1195" s="553">
        <f>IFERROR(LEFT(B1195,7),"")</f>
        <v/>
      </c>
      <c r="B1195" s="554">
        <f>"2026/01"&amp;D1195</f>
        <v/>
      </c>
      <c r="C1195" s="559" t="n">
        <v>81</v>
      </c>
      <c r="D1195" s="484" t="inlineStr">
        <is>
          <t>站前11樓</t>
        </is>
      </c>
      <c r="E1195" s="484" t="inlineStr">
        <is>
          <t>6120036</t>
        </is>
      </c>
      <c r="F1195" s="551" t="n"/>
      <c r="G1195" s="484" t="inlineStr">
        <is>
          <t>(V)貝力多(雙胜胺) 20% 50mL/ 瓶，50倍數下單</t>
        </is>
      </c>
      <c r="H1195" s="552" t="n"/>
      <c r="I1195" s="552" t="n"/>
      <c r="J1195" s="551" t="n"/>
      <c r="K1195" s="140" t="inlineStr">
        <is>
          <t>瓶(10瓶/盒)</t>
        </is>
      </c>
      <c r="L1195" s="560" t="n">
        <v>10</v>
      </c>
      <c r="M1195" s="123" t="n"/>
      <c r="N1195" s="117" t="n"/>
    </row>
    <row r="1196" ht="17.25" customHeight="1" s="453" thickBot="1">
      <c r="A1196" s="553">
        <f>IFERROR(LEFT(B1196,7),"")</f>
        <v/>
      </c>
      <c r="B1196" s="554">
        <f>"2026/01"&amp;D1196</f>
        <v/>
      </c>
      <c r="C1196" s="559" t="n">
        <v>82</v>
      </c>
      <c r="D1196" s="484" t="inlineStr">
        <is>
          <t>站前11樓</t>
        </is>
      </c>
      <c r="E1196" s="484" t="inlineStr">
        <is>
          <t>6140003</t>
        </is>
      </c>
      <c r="F1196" s="551" t="n"/>
      <c r="G1196" s="484" t="inlineStr">
        <is>
          <t>(V)保提拉肉毒Letybo/ u，3200倍數下單</t>
        </is>
      </c>
      <c r="H1196" s="552" t="n"/>
      <c r="I1196" s="552" t="n"/>
      <c r="J1196" s="551" t="n"/>
      <c r="K1196" s="140" t="inlineStr">
        <is>
          <t>200U/瓶</t>
        </is>
      </c>
      <c r="L1196" s="560" t="n">
        <v>10</v>
      </c>
      <c r="M1196" s="123" t="n"/>
      <c r="N1196" s="117" t="n"/>
    </row>
    <row r="1197" ht="17.25" customHeight="1" s="453" thickBot="1">
      <c r="A1197" s="553">
        <f>IFERROR(LEFT(B1197,7),"")</f>
        <v/>
      </c>
      <c r="B1197" s="554">
        <f>"2026/01"&amp;D1197</f>
        <v/>
      </c>
      <c r="C1197" s="559" t="n">
        <v>83</v>
      </c>
      <c r="D1197" s="484" t="inlineStr">
        <is>
          <t>站前11樓</t>
        </is>
      </c>
      <c r="E1197" s="484" t="inlineStr">
        <is>
          <t>6160008</t>
        </is>
      </c>
      <c r="F1197" s="551" t="n"/>
      <c r="G1197" s="484" t="inlineStr">
        <is>
          <t>白童針-薇貝拉50mg/1cc</t>
        </is>
      </c>
      <c r="H1197" s="552" t="n"/>
      <c r="I1197" s="552" t="n"/>
      <c r="J1197" s="551" t="n"/>
      <c r="K1197" s="140" t="inlineStr">
        <is>
          <t>6cc/瓶</t>
        </is>
      </c>
      <c r="L1197" s="560" t="n">
        <v>2</v>
      </c>
      <c r="M1197" s="123" t="n"/>
      <c r="N1197" s="117" t="n"/>
    </row>
    <row r="1198" ht="17.25" customHeight="1" s="453" thickBot="1">
      <c r="A1198" s="553">
        <f>IFERROR(LEFT(B1198,7),"")</f>
        <v/>
      </c>
      <c r="B1198" s="554">
        <f>"2026/01"&amp;D1198</f>
        <v/>
      </c>
      <c r="C1198" s="559" t="n">
        <v>84</v>
      </c>
      <c r="D1198" s="484" t="inlineStr">
        <is>
          <t>站前11樓</t>
        </is>
      </c>
      <c r="E1198" s="484" t="inlineStr">
        <is>
          <t>6190005</t>
        </is>
      </c>
      <c r="F1198" s="551" t="n"/>
      <c r="G1198" s="484" t="inlineStr">
        <is>
          <t>(V)氦氖針/ 支</t>
        </is>
      </c>
      <c r="H1198" s="552" t="n"/>
      <c r="I1198" s="552" t="n"/>
      <c r="J1198" s="551" t="n"/>
      <c r="K1198" s="140" t="inlineStr">
        <is>
          <t>(50支/包)</t>
        </is>
      </c>
      <c r="L1198" s="560" t="n">
        <v>39</v>
      </c>
      <c r="M1198" s="123" t="n"/>
      <c r="N1198" s="117" t="n"/>
    </row>
    <row r="1199" ht="17.25" customHeight="1" s="453" thickBot="1">
      <c r="A1199" s="553">
        <f>IFERROR(LEFT(B1199,7),"")</f>
        <v/>
      </c>
      <c r="B1199" s="554">
        <f>"2026/01"&amp;D1199</f>
        <v/>
      </c>
      <c r="C1199" s="559" t="n">
        <v>85</v>
      </c>
      <c r="D1199" s="484" t="inlineStr">
        <is>
          <t>站前11樓</t>
        </is>
      </c>
      <c r="E1199" s="484" t="inlineStr">
        <is>
          <t>6200004</t>
        </is>
      </c>
      <c r="F1199" s="551" t="n"/>
      <c r="G1199" s="484" t="inlineStr">
        <is>
          <t>阿爾發SAT卡匣/ 發</t>
        </is>
      </c>
      <c r="H1199" s="552" t="n"/>
      <c r="I1199" s="552" t="n"/>
      <c r="J1199" s="551" t="n"/>
      <c r="K1199" s="140" t="inlineStr">
        <is>
          <t>50發/卡</t>
        </is>
      </c>
      <c r="L1199" s="560" t="n">
        <v>1623</v>
      </c>
      <c r="M1199" s="123" t="n"/>
      <c r="N1199" s="117" t="n"/>
    </row>
    <row r="1200" ht="17.25" customHeight="1" s="453" thickBot="1">
      <c r="A1200" s="553">
        <f>IFERROR(LEFT(B1200,7),"")</f>
        <v/>
      </c>
      <c r="B1200" s="554">
        <f>"2026/01"&amp;D1200</f>
        <v/>
      </c>
      <c r="C1200" s="559" t="n">
        <v>86</v>
      </c>
      <c r="D1200" s="484" t="inlineStr">
        <is>
          <t>站前11樓</t>
        </is>
      </c>
      <c r="E1200" s="484" t="inlineStr">
        <is>
          <t>6200008</t>
        </is>
      </c>
      <c r="F1200" s="551" t="n"/>
      <c r="G1200" s="484" t="inlineStr">
        <is>
          <t>瘦瘦筆-週纖達*1支(0.25mg)</t>
        </is>
      </c>
      <c r="H1200" s="552" t="n"/>
      <c r="I1200" s="552" t="n"/>
      <c r="J1200" s="551" t="n"/>
      <c r="K1200" s="140" t="inlineStr">
        <is>
          <t>支</t>
        </is>
      </c>
      <c r="L1200" s="560" t="n">
        <v>13</v>
      </c>
      <c r="M1200" s="123" t="n"/>
      <c r="N1200" s="117" t="n"/>
    </row>
    <row r="1201" ht="17.25" customHeight="1" s="453" thickBot="1">
      <c r="A1201" s="553">
        <f>IFERROR(LEFT(B1201,7),"")</f>
        <v/>
      </c>
      <c r="B1201" s="554">
        <f>"2026/01"&amp;D1201</f>
        <v/>
      </c>
      <c r="C1201" s="559" t="n">
        <v>87</v>
      </c>
      <c r="D1201" s="484" t="inlineStr">
        <is>
          <t>站前11樓</t>
        </is>
      </c>
      <c r="E1201" s="484" t="inlineStr">
        <is>
          <t>6200010</t>
        </is>
      </c>
      <c r="F1201" s="551" t="n"/>
      <c r="G1201" s="484" t="inlineStr">
        <is>
          <t>瘦瘦筆-週纖達*1支(1.0mg)</t>
        </is>
      </c>
      <c r="H1201" s="552" t="n"/>
      <c r="I1201" s="552" t="n"/>
      <c r="J1201" s="551" t="n"/>
      <c r="K1201" s="140" t="inlineStr">
        <is>
          <t>支</t>
        </is>
      </c>
      <c r="L1201" s="560" t="n">
        <v>5</v>
      </c>
      <c r="M1201" s="123" t="n"/>
      <c r="N1201" s="117" t="n"/>
    </row>
    <row r="1202" ht="17.25" customHeight="1" s="453" thickBot="1">
      <c r="A1202" s="553">
        <f>IFERROR(LEFT(B1202,7),"")</f>
        <v/>
      </c>
      <c r="B1202" s="554">
        <f>"2026/01"&amp;D1202</f>
        <v/>
      </c>
      <c r="C1202" s="559" t="n">
        <v>88</v>
      </c>
      <c r="D1202" s="484" t="inlineStr">
        <is>
          <t>站前11樓</t>
        </is>
      </c>
      <c r="E1202" s="484" t="inlineStr">
        <is>
          <t>6200015</t>
        </is>
      </c>
      <c r="F1202" s="551" t="n"/>
      <c r="G1202" s="484" t="inlineStr">
        <is>
          <t>(V)猛健樂*1支(7.5mg)</t>
        </is>
      </c>
      <c r="H1202" s="552" t="n"/>
      <c r="I1202" s="552" t="n"/>
      <c r="J1202" s="551" t="n"/>
      <c r="K1202" s="140" t="inlineStr">
        <is>
          <t>3cc/支</t>
        </is>
      </c>
      <c r="L1202" s="560" t="n">
        <v>1</v>
      </c>
      <c r="M1202" s="123" t="n"/>
      <c r="N1202" s="117" t="n"/>
    </row>
    <row r="1203" ht="17.25" customHeight="1" s="453" thickBot="1">
      <c r="A1203" s="553">
        <f>IFERROR(LEFT(B1203,7),"")</f>
        <v/>
      </c>
      <c r="B1203" s="554">
        <f>"2026/01"&amp;D1203</f>
        <v/>
      </c>
      <c r="C1203" s="559" t="n">
        <v>89</v>
      </c>
      <c r="D1203" s="484" t="inlineStr">
        <is>
          <t>站前11樓</t>
        </is>
      </c>
      <c r="E1203" s="484" t="inlineStr">
        <is>
          <t>6200016</t>
        </is>
      </c>
      <c r="F1203" s="551" t="n"/>
      <c r="G1203" s="484" t="inlineStr">
        <is>
          <t>(V)猛健樂*1支(10mg)</t>
        </is>
      </c>
      <c r="H1203" s="552" t="n"/>
      <c r="I1203" s="552" t="n"/>
      <c r="J1203" s="551" t="n"/>
      <c r="K1203" s="140" t="inlineStr">
        <is>
          <t>3cc/支</t>
        </is>
      </c>
      <c r="L1203" s="560" t="n">
        <v>7</v>
      </c>
      <c r="M1203" s="123" t="n"/>
      <c r="N1203" s="117" t="n"/>
    </row>
    <row r="1204" ht="17.25" customHeight="1" s="453" thickBot="1">
      <c r="A1204" s="553">
        <f>IFERROR(LEFT(B1204,7),"")</f>
        <v/>
      </c>
      <c r="B1204" s="554">
        <f>"2026/01"&amp;D1204</f>
        <v/>
      </c>
      <c r="C1204" s="559" t="n">
        <v>90</v>
      </c>
      <c r="D1204" s="484" t="inlineStr">
        <is>
          <t>站前11樓</t>
        </is>
      </c>
      <c r="E1204" s="484" t="inlineStr">
        <is>
          <t>6200017</t>
        </is>
      </c>
      <c r="F1204" s="551" t="n"/>
      <c r="G1204" s="484" t="inlineStr">
        <is>
          <t>(V)猛健樂10MG/0.15CC</t>
        </is>
      </c>
      <c r="H1204" s="552" t="n"/>
      <c r="I1204" s="552" t="n"/>
      <c r="J1204" s="551" t="n"/>
      <c r="K1204" s="140" t="inlineStr">
        <is>
          <t>0.15cc/次</t>
        </is>
      </c>
      <c r="L1204" s="560" t="n">
        <v>500</v>
      </c>
      <c r="M1204" s="123" t="n"/>
      <c r="N1204" s="117" t="n"/>
    </row>
    <row r="1205" ht="17.25" customHeight="1" s="453" thickBot="1">
      <c r="A1205" s="553">
        <f>IFERROR(LEFT(B1205,7),"")</f>
        <v/>
      </c>
      <c r="B1205" s="554">
        <f>"2026/01"&amp;D1205</f>
        <v/>
      </c>
      <c r="C1205" s="559" t="n">
        <v>91</v>
      </c>
      <c r="D1205" s="484" t="inlineStr">
        <is>
          <t>站前11樓</t>
        </is>
      </c>
      <c r="E1205" s="484" t="inlineStr">
        <is>
          <t>6200020</t>
        </is>
      </c>
      <c r="F1205" s="551" t="n"/>
      <c r="G1205" s="484" t="inlineStr">
        <is>
          <t>(V)猛健樂7.5MG/0.2CC</t>
        </is>
      </c>
      <c r="H1205" s="552" t="n"/>
      <c r="I1205" s="552" t="n"/>
      <c r="J1205" s="551" t="n"/>
      <c r="K1205" s="140" t="inlineStr">
        <is>
          <t>0.2cc/次</t>
        </is>
      </c>
      <c r="L1205" s="560" t="n">
        <v>1</v>
      </c>
      <c r="M1205" s="123" t="n"/>
      <c r="N1205" s="117" t="n"/>
    </row>
    <row r="1206" ht="17.25" customHeight="1" s="453" thickBot="1">
      <c r="A1206" s="553">
        <f>IFERROR(LEFT(B1206,7),"")</f>
        <v/>
      </c>
      <c r="B1206" s="554">
        <f>"2026/01"&amp;D1206</f>
        <v/>
      </c>
      <c r="C1206" s="559" t="n">
        <v>92</v>
      </c>
      <c r="D1206" s="484" t="inlineStr">
        <is>
          <t>站前11樓</t>
        </is>
      </c>
      <c r="E1206" s="484" t="inlineStr">
        <is>
          <t>6200021</t>
        </is>
      </c>
      <c r="F1206" s="551" t="n"/>
      <c r="G1206" s="484" t="inlineStr">
        <is>
          <t>(V)猛健樂12.5MG/0.12CC</t>
        </is>
      </c>
      <c r="H1206" s="552" t="n"/>
      <c r="I1206" s="552" t="n"/>
      <c r="J1206" s="551" t="n"/>
      <c r="K1206" s="140" t="inlineStr">
        <is>
          <t>0.12cc/次</t>
        </is>
      </c>
      <c r="L1206" s="560" t="n">
        <v>327</v>
      </c>
      <c r="M1206" s="123" t="n"/>
      <c r="N1206" s="117" t="n"/>
    </row>
    <row r="1207" ht="17.25" customHeight="1" s="453" thickBot="1">
      <c r="A1207" s="553">
        <f>IFERROR(LEFT(B1207,7),"")</f>
        <v/>
      </c>
      <c r="B1207" s="554">
        <f>"2026/01"&amp;D1207</f>
        <v/>
      </c>
      <c r="C1207" s="559" t="n">
        <v>93</v>
      </c>
      <c r="D1207" s="484" t="inlineStr">
        <is>
          <t>站前11樓</t>
        </is>
      </c>
      <c r="E1207" s="484" t="inlineStr">
        <is>
          <t>6210001</t>
        </is>
      </c>
      <c r="F1207" s="551" t="n"/>
      <c r="G1207" s="484" t="inlineStr">
        <is>
          <t>(V)水光針針頭/31G9針/1.0mm/ PCS</t>
        </is>
      </c>
      <c r="H1207" s="552" t="n"/>
      <c r="I1207" s="552" t="n"/>
      <c r="J1207" s="551" t="n"/>
      <c r="K1207" s="140" t="inlineStr">
        <is>
          <t>PCS(20入/盒)</t>
        </is>
      </c>
      <c r="L1207" s="560" t="n">
        <v>1</v>
      </c>
      <c r="M1207" s="123" t="n"/>
      <c r="N1207" s="117" t="n"/>
    </row>
    <row r="1208" ht="17.25" customHeight="1" s="453" thickBot="1">
      <c r="A1208" s="553">
        <f>IFERROR(LEFT(B1208,7),"")</f>
        <v/>
      </c>
      <c r="B1208" s="554">
        <f>"2026/01"&amp;D1208</f>
        <v/>
      </c>
      <c r="C1208" s="559" t="n">
        <v>94</v>
      </c>
      <c r="D1208" s="484" t="inlineStr">
        <is>
          <t>站前11樓</t>
        </is>
      </c>
      <c r="E1208" s="484" t="inlineStr">
        <is>
          <t>6210002</t>
        </is>
      </c>
      <c r="F1208" s="551" t="n"/>
      <c r="G1208" s="484" t="inlineStr">
        <is>
          <t>(V)水光針針頭/31G9針/1.2mm/ PCS</t>
        </is>
      </c>
      <c r="H1208" s="552" t="n"/>
      <c r="I1208" s="552" t="n"/>
      <c r="J1208" s="551" t="n"/>
      <c r="K1208" s="140" t="inlineStr">
        <is>
          <t>PCS(20入/盒)</t>
        </is>
      </c>
      <c r="L1208" s="560" t="n">
        <v>1</v>
      </c>
      <c r="M1208" s="123" t="n"/>
      <c r="N1208" s="117" t="n"/>
    </row>
    <row r="1209" ht="17.25" customHeight="1" s="453" thickBot="1">
      <c r="A1209" s="553">
        <f>IFERROR(LEFT(B1209,7),"")</f>
        <v/>
      </c>
      <c r="B1209" s="554">
        <f>"2026/01"&amp;D1209</f>
        <v/>
      </c>
      <c r="C1209" s="559" t="n">
        <v>95</v>
      </c>
      <c r="D1209" s="484" t="inlineStr">
        <is>
          <t>站前11樓</t>
        </is>
      </c>
      <c r="E1209" s="484" t="inlineStr">
        <is>
          <t>6210003</t>
        </is>
      </c>
      <c r="F1209" s="551" t="n"/>
      <c r="G1209" s="484" t="inlineStr">
        <is>
          <t>(V)水光針針頭/31G9針/1.5mm/ PCS</t>
        </is>
      </c>
      <c r="H1209" s="552" t="n"/>
      <c r="I1209" s="552" t="n"/>
      <c r="J1209" s="551" t="n"/>
      <c r="K1209" s="140" t="inlineStr">
        <is>
          <t>PCS(20入/盒)</t>
        </is>
      </c>
      <c r="L1209" s="560" t="n">
        <v>1</v>
      </c>
      <c r="M1209" s="123" t="n"/>
      <c r="N1209" s="117" t="n"/>
    </row>
    <row r="1210" ht="17.25" customHeight="1" s="453" thickBot="1">
      <c r="A1210" s="553">
        <f>IFERROR(LEFT(B1210,7),"")</f>
        <v/>
      </c>
      <c r="B1210" s="554">
        <f>"2026/01"&amp;D1210</f>
        <v/>
      </c>
      <c r="C1210" s="559" t="n">
        <v>96</v>
      </c>
      <c r="D1210" s="484" t="inlineStr">
        <is>
          <t>站前11樓</t>
        </is>
      </c>
      <c r="E1210" s="484" t="inlineStr">
        <is>
          <t>6210005</t>
        </is>
      </c>
      <c r="F1210" s="551" t="n"/>
      <c r="G1210" s="484" t="inlineStr">
        <is>
          <t>(V)水光針針頭/32G9針/1.0mm/ PCS</t>
        </is>
      </c>
      <c r="H1210" s="552" t="n"/>
      <c r="I1210" s="552" t="n"/>
      <c r="J1210" s="551" t="n"/>
      <c r="K1210" s="140" t="inlineStr">
        <is>
          <t>PCS(20入/盒)</t>
        </is>
      </c>
      <c r="L1210" s="560" t="n">
        <v>1</v>
      </c>
      <c r="M1210" s="123" t="n"/>
      <c r="N1210" s="117" t="n"/>
    </row>
    <row r="1211" ht="17.25" customHeight="1" s="453" thickBot="1">
      <c r="A1211" s="553">
        <f>IFERROR(LEFT(B1211,7),"")</f>
        <v/>
      </c>
      <c r="B1211" s="554">
        <f>"2026/01"&amp;D1211</f>
        <v/>
      </c>
      <c r="C1211" s="559" t="n">
        <v>97</v>
      </c>
      <c r="D1211" s="484" t="inlineStr">
        <is>
          <t>忠孝7樓</t>
        </is>
      </c>
      <c r="E1211" s="484" t="inlineStr">
        <is>
          <t>6120003</t>
        </is>
      </c>
      <c r="F1211" s="551" t="n"/>
      <c r="G1211" s="484" t="inlineStr">
        <is>
          <t>(V)貝力多(雙胜胺) 20% 30mL/ 瓶，50倍數叫貨</t>
        </is>
      </c>
      <c r="H1211" s="552" t="n"/>
      <c r="I1211" s="552" t="n"/>
      <c r="J1211" s="551" t="n"/>
      <c r="K1211" s="140" t="inlineStr">
        <is>
          <t>10支/盒</t>
        </is>
      </c>
      <c r="L1211" s="560" t="n">
        <v>9</v>
      </c>
      <c r="M1211" s="123" t="n"/>
      <c r="N1211" s="117" t="n"/>
    </row>
    <row r="1212" ht="17.25" customHeight="1" s="453" thickBot="1">
      <c r="A1212" s="553">
        <f>IFERROR(LEFT(B1212,7),"")</f>
        <v/>
      </c>
      <c r="B1212" s="554">
        <f>"2026/01"&amp;D1212</f>
        <v/>
      </c>
      <c r="C1212" s="559" t="n">
        <v>98</v>
      </c>
      <c r="D1212" s="484" t="inlineStr">
        <is>
          <t>忠孝7樓</t>
        </is>
      </c>
      <c r="E1212" s="484" t="inlineStr">
        <is>
          <t>6120004</t>
        </is>
      </c>
      <c r="F1212" s="551" t="n"/>
      <c r="G1212" s="484" t="inlineStr">
        <is>
          <t>(V)胺基酸點滴250ml/ 袋(安命活源/嘉安命)，20倍數叫貨</t>
        </is>
      </c>
      <c r="H1212" s="552" t="n"/>
      <c r="I1212" s="552" t="n"/>
      <c r="J1212" s="551" t="n"/>
      <c r="K1212" s="140" t="inlineStr">
        <is>
          <t>(20瓶/箱)</t>
        </is>
      </c>
      <c r="L1212" s="560" t="n">
        <v>58</v>
      </c>
      <c r="M1212" s="123" t="n"/>
      <c r="N1212" s="117" t="n"/>
    </row>
    <row r="1213" ht="17.25" customHeight="1" s="453" thickBot="1">
      <c r="A1213" s="553">
        <f>IFERROR(LEFT(B1213,7),"")</f>
        <v/>
      </c>
      <c r="B1213" s="554">
        <f>"2026/01"&amp;D1213</f>
        <v/>
      </c>
      <c r="C1213" s="559" t="n">
        <v>99</v>
      </c>
      <c r="D1213" s="484" t="inlineStr">
        <is>
          <t>忠孝7樓</t>
        </is>
      </c>
      <c r="E1213" s="484" t="inlineStr">
        <is>
          <t>6120006</t>
        </is>
      </c>
      <c r="F1213" s="551" t="n"/>
      <c r="G1213" s="484" t="inlineStr">
        <is>
          <t>(V)(B12) 愛壽命 2mL，100倍數叫貨</t>
        </is>
      </c>
      <c r="H1213" s="552" t="n"/>
      <c r="I1213" s="552" t="n"/>
      <c r="J1213" s="551" t="n"/>
      <c r="K1213" s="140" t="inlineStr">
        <is>
          <t>(100支/盒)</t>
        </is>
      </c>
      <c r="L1213" s="560" t="n">
        <v>62</v>
      </c>
      <c r="M1213" s="123" t="n"/>
      <c r="N1213" s="117" t="n"/>
    </row>
    <row r="1214" ht="17.25" customHeight="1" s="453" thickBot="1">
      <c r="A1214" s="553">
        <f>IFERROR(LEFT(B1214,7),"")</f>
        <v/>
      </c>
      <c r="B1214" s="554">
        <f>"2026/01"&amp;D1214</f>
        <v/>
      </c>
      <c r="C1214" s="559" t="n">
        <v>100</v>
      </c>
      <c r="D1214" s="484" t="inlineStr">
        <is>
          <t>忠孝7樓</t>
        </is>
      </c>
      <c r="E1214" s="484" t="inlineStr">
        <is>
          <t>6120007</t>
        </is>
      </c>
      <c r="F1214" s="551" t="n"/>
      <c r="G1214" s="484" t="inlineStr">
        <is>
          <t>(V)(硫酸鋅) 1ml/支，100倍數叫貨</t>
        </is>
      </c>
      <c r="H1214" s="552" t="n"/>
      <c r="I1214" s="552" t="n"/>
      <c r="J1214" s="551" t="n"/>
      <c r="K1214" s="140" t="inlineStr">
        <is>
          <t>100支/盒</t>
        </is>
      </c>
      <c r="L1214" s="560" t="n">
        <v>1</v>
      </c>
      <c r="M1214" s="123" t="n"/>
      <c r="N1214" s="117" t="n"/>
    </row>
    <row r="1215" ht="17.25" customHeight="1" s="453" thickBot="1">
      <c r="A1215" s="553">
        <f>IFERROR(LEFT(B1215,7),"")</f>
        <v/>
      </c>
      <c r="B1215" s="554">
        <f>"2026/01"&amp;D1215</f>
        <v/>
      </c>
      <c r="C1215" s="559" t="n">
        <v>101</v>
      </c>
      <c r="D1215" s="484" t="inlineStr">
        <is>
          <t>忠孝7樓</t>
        </is>
      </c>
      <c r="E1215" s="484" t="inlineStr">
        <is>
          <t>6120013</t>
        </is>
      </c>
      <c r="F1215" s="551" t="n"/>
      <c r="G1215" s="484" t="inlineStr">
        <is>
          <t>(V)生理食鹽水(NS) 250ml/ 袋</t>
        </is>
      </c>
      <c r="H1215" s="552" t="n"/>
      <c r="I1215" s="552" t="n"/>
      <c r="J1215" s="551" t="n"/>
      <c r="K1215" s="140" t="inlineStr">
        <is>
          <t>40瓶/箱</t>
        </is>
      </c>
      <c r="L1215" s="560" t="n">
        <v>210</v>
      </c>
      <c r="M1215" s="123" t="n"/>
      <c r="N1215" s="117" t="n"/>
    </row>
    <row r="1216" ht="17.25" customHeight="1" s="453" thickBot="1">
      <c r="A1216" s="553">
        <f>IFERROR(LEFT(B1216,7),"")</f>
        <v/>
      </c>
      <c r="B1216" s="554">
        <f>"2026/01"&amp;D1216</f>
        <v/>
      </c>
      <c r="C1216" s="559" t="n">
        <v>102</v>
      </c>
      <c r="D1216" s="484" t="inlineStr">
        <is>
          <t>忠孝7樓</t>
        </is>
      </c>
      <c r="E1216" s="484" t="inlineStr">
        <is>
          <t>6120015</t>
        </is>
      </c>
      <c r="F1216" s="551" t="n"/>
      <c r="G1216" s="484" t="inlineStr">
        <is>
          <t>(V)(B群)淘能美複合維他命B 2ml，100倍數叫貨</t>
        </is>
      </c>
      <c r="H1216" s="552" t="n"/>
      <c r="I1216" s="552" t="n"/>
      <c r="J1216" s="551" t="n"/>
      <c r="K1216" s="140" t="n"/>
      <c r="L1216" s="560" t="n">
        <v>263</v>
      </c>
      <c r="M1216" s="123" t="n"/>
      <c r="N1216" s="117" t="n"/>
    </row>
    <row r="1217" ht="17.25" customHeight="1" s="453" thickBot="1">
      <c r="A1217" s="553">
        <f>IFERROR(LEFT(B1217,7),"")</f>
        <v/>
      </c>
      <c r="B1217" s="554">
        <f>"2026/01"&amp;D1217</f>
        <v/>
      </c>
      <c r="C1217" s="559" t="n">
        <v>103</v>
      </c>
      <c r="D1217" s="484" t="inlineStr">
        <is>
          <t>忠孝7樓</t>
        </is>
      </c>
      <c r="E1217" s="484" t="inlineStr">
        <is>
          <t>6120016</t>
        </is>
      </c>
      <c r="F1217" s="551" t="n"/>
      <c r="G1217" s="484" t="inlineStr">
        <is>
          <t>(V)(榖胱肝肽) 克樂達養200mg (20ml/瓶)</t>
        </is>
      </c>
      <c r="H1217" s="552" t="n"/>
      <c r="I1217" s="552" t="n"/>
      <c r="J1217" s="551" t="n"/>
      <c r="K1217" s="140" t="inlineStr">
        <is>
          <t>50支/盒</t>
        </is>
      </c>
      <c r="L1217" s="560" t="n">
        <v>262</v>
      </c>
      <c r="M1217" s="123" t="n"/>
      <c r="N1217" s="117" t="n"/>
    </row>
    <row r="1218" ht="17.25" customHeight="1" s="453" thickBot="1">
      <c r="A1218" s="553">
        <f>IFERROR(LEFT(B1218,7),"")</f>
        <v/>
      </c>
      <c r="B1218" s="554">
        <f>"2026/01"&amp;D1218</f>
        <v/>
      </c>
      <c r="C1218" s="559" t="n">
        <v>104</v>
      </c>
      <c r="D1218" s="484" t="inlineStr">
        <is>
          <t>忠孝7樓</t>
        </is>
      </c>
      <c r="E1218" s="484" t="inlineStr">
        <is>
          <t>6120017</t>
        </is>
      </c>
      <c r="F1218" s="551" t="n"/>
      <c r="G1218" s="484" t="inlineStr">
        <is>
          <t>(V)保肝 5ml/支</t>
        </is>
      </c>
      <c r="H1218" s="552" t="n"/>
      <c r="I1218" s="552" t="n"/>
      <c r="J1218" s="551" t="n"/>
      <c r="K1218" s="140" t="inlineStr">
        <is>
          <t>50支/盒</t>
        </is>
      </c>
      <c r="L1218" s="560" t="n">
        <v>1</v>
      </c>
      <c r="M1218" s="123" t="n"/>
      <c r="N1218" s="117" t="n"/>
    </row>
    <row r="1219" ht="17.25" customHeight="1" s="453" thickBot="1">
      <c r="A1219" s="553">
        <f>IFERROR(LEFT(B1219,7),"")</f>
        <v/>
      </c>
      <c r="B1219" s="554">
        <f>"2026/01"&amp;D1219</f>
        <v/>
      </c>
      <c r="C1219" s="559" t="n">
        <v>105</v>
      </c>
      <c r="D1219" s="484" t="inlineStr">
        <is>
          <t>忠孝7樓</t>
        </is>
      </c>
      <c r="E1219" s="484" t="inlineStr">
        <is>
          <t>6120018</t>
        </is>
      </c>
      <c r="F1219" s="551" t="n"/>
      <c r="G1219" s="484" t="inlineStr">
        <is>
          <t>(V)(傳明酸)止血明 5ml/支</t>
        </is>
      </c>
      <c r="H1219" s="552" t="n"/>
      <c r="I1219" s="552" t="n"/>
      <c r="J1219" s="551" t="n"/>
      <c r="K1219" s="140" t="inlineStr">
        <is>
          <t>50支/盒</t>
        </is>
      </c>
      <c r="L1219" s="560" t="n">
        <v>115</v>
      </c>
      <c r="M1219" s="123" t="n"/>
      <c r="N1219" s="117" t="n"/>
    </row>
    <row r="1220" ht="17.25" customHeight="1" s="453" thickBot="1">
      <c r="A1220" s="553">
        <f>IFERROR(LEFT(B1220,7),"")</f>
        <v/>
      </c>
      <c r="B1220" s="554">
        <f>"2026/01"&amp;D1220</f>
        <v/>
      </c>
      <c r="C1220" s="559" t="n">
        <v>106</v>
      </c>
      <c r="D1220" s="484" t="inlineStr">
        <is>
          <t>忠孝7樓</t>
        </is>
      </c>
      <c r="E1220" s="484" t="inlineStr">
        <is>
          <t>6120020</t>
        </is>
      </c>
      <c r="F1220" s="551" t="n"/>
      <c r="G1220" s="484" t="inlineStr">
        <is>
          <t>(V)(Vit C) 抗壞血酸 2mL，100倍數下單</t>
        </is>
      </c>
      <c r="H1220" s="552" t="n"/>
      <c r="I1220" s="552" t="n"/>
      <c r="J1220" s="551" t="n"/>
      <c r="K1220" s="140" t="inlineStr">
        <is>
          <t>100支/盒</t>
        </is>
      </c>
      <c r="L1220" s="560" t="n">
        <v>338</v>
      </c>
      <c r="M1220" s="123" t="n"/>
      <c r="N1220" s="117" t="n"/>
    </row>
    <row r="1221" ht="17.25" customHeight="1" s="453" thickBot="1">
      <c r="A1221" s="553">
        <f>IFERROR(LEFT(B1221,7),"")</f>
        <v/>
      </c>
      <c r="B1221" s="554">
        <f>"2026/01"&amp;D1221</f>
        <v/>
      </c>
      <c r="C1221" s="559" t="n">
        <v>107</v>
      </c>
      <c r="D1221" s="484" t="inlineStr">
        <is>
          <t>忠孝7樓</t>
        </is>
      </c>
      <c r="E1221" s="484" t="inlineStr">
        <is>
          <t>6120021</t>
        </is>
      </c>
      <c r="F1221" s="551" t="n"/>
      <c r="G1221" s="484" t="inlineStr">
        <is>
          <t>(V)(Vit C)(抗壞血酸/諾貝爾)20ml，50倍數下單</t>
        </is>
      </c>
      <c r="H1221" s="552" t="n"/>
      <c r="I1221" s="552" t="n"/>
      <c r="J1221" s="551" t="n"/>
      <c r="K1221" s="140" t="inlineStr">
        <is>
          <t>50支/盒</t>
        </is>
      </c>
      <c r="L1221" s="560" t="n">
        <v>313</v>
      </c>
      <c r="M1221" s="123" t="n"/>
      <c r="N1221" s="117" t="n"/>
    </row>
    <row r="1222" ht="17.25" customHeight="1" s="453" thickBot="1">
      <c r="A1222" s="553">
        <f>IFERROR(LEFT(B1222,7),"")</f>
        <v/>
      </c>
      <c r="B1222" s="554">
        <f>"2026/01"&amp;D1222</f>
        <v/>
      </c>
      <c r="C1222" s="559" t="n">
        <v>108</v>
      </c>
      <c r="D1222" s="484" t="inlineStr">
        <is>
          <t>忠孝7樓</t>
        </is>
      </c>
      <c r="E1222" s="484" t="inlineStr">
        <is>
          <t>6120022</t>
        </is>
      </c>
      <c r="F1222" s="551" t="n"/>
      <c r="G1222" s="484" t="inlineStr">
        <is>
          <t>(V)(銀杏) 循必利Gingo注射液0.84毫克/毫升 5ml</t>
        </is>
      </c>
      <c r="H1222" s="552" t="n"/>
      <c r="I1222" s="552" t="n"/>
      <c r="J1222" s="551" t="n"/>
      <c r="K1222" s="140" t="inlineStr">
        <is>
          <t>50支/盒</t>
        </is>
      </c>
      <c r="L1222" s="560" t="n">
        <v>1</v>
      </c>
      <c r="M1222" s="123" t="n"/>
      <c r="N1222" s="117" t="n"/>
    </row>
    <row r="1223" ht="17.25" customHeight="1" s="453" thickBot="1">
      <c r="A1223" s="553">
        <f>IFERROR(LEFT(B1223,7),"")</f>
        <v/>
      </c>
      <c r="B1223" s="554">
        <f>"2026/01"&amp;D1223</f>
        <v/>
      </c>
      <c r="C1223" s="559" t="n">
        <v>109</v>
      </c>
      <c r="D1223" s="484" t="inlineStr">
        <is>
          <t>忠孝7樓</t>
        </is>
      </c>
      <c r="E1223" s="484" t="inlineStr">
        <is>
          <t>6120030</t>
        </is>
      </c>
      <c r="F1223" s="551" t="n"/>
      <c r="G1223" s="484" t="inlineStr">
        <is>
          <t>(V)克多炎 Keto 1ml</t>
        </is>
      </c>
      <c r="H1223" s="552" t="n"/>
      <c r="I1223" s="552" t="n"/>
      <c r="J1223" s="551" t="n"/>
      <c r="K1223" s="140" t="inlineStr">
        <is>
          <t>100支/盒</t>
        </is>
      </c>
      <c r="L1223" s="560" t="n">
        <v>2</v>
      </c>
      <c r="M1223" s="123" t="n"/>
      <c r="N1223" s="117" t="n"/>
    </row>
    <row r="1224" ht="17.25" customHeight="1" s="453" thickBot="1">
      <c r="A1224" s="553">
        <f>IFERROR(LEFT(B1224,7),"")</f>
        <v/>
      </c>
      <c r="B1224" s="554">
        <f>"2026/01"&amp;D1224</f>
        <v/>
      </c>
      <c r="C1224" s="559" t="n">
        <v>110</v>
      </c>
      <c r="D1224" s="484" t="inlineStr">
        <is>
          <t>忠孝7樓</t>
        </is>
      </c>
      <c r="E1224" s="484" t="inlineStr">
        <is>
          <t>6120036</t>
        </is>
      </c>
      <c r="F1224" s="551" t="n"/>
      <c r="G1224" s="484" t="inlineStr">
        <is>
          <t>(V)貝力多(雙胜胺) 20% 50mL/ 瓶，50倍數下單</t>
        </is>
      </c>
      <c r="H1224" s="552" t="n"/>
      <c r="I1224" s="552" t="n"/>
      <c r="J1224" s="551" t="n"/>
      <c r="K1224" s="140" t="inlineStr">
        <is>
          <t>瓶(10瓶/盒)</t>
        </is>
      </c>
      <c r="L1224" s="560" t="n">
        <v>49</v>
      </c>
      <c r="M1224" s="123" t="n"/>
      <c r="N1224" s="117" t="n"/>
    </row>
    <row r="1225" ht="17.25" customHeight="1" s="453" thickBot="1">
      <c r="A1225" s="553">
        <f>IFERROR(LEFT(B1225,7),"")</f>
        <v/>
      </c>
      <c r="B1225" s="554">
        <f>"2026/01"&amp;D1225</f>
        <v/>
      </c>
      <c r="C1225" s="559" t="n">
        <v>111</v>
      </c>
      <c r="D1225" s="484" t="inlineStr">
        <is>
          <t>忠孝7樓</t>
        </is>
      </c>
      <c r="E1225" s="484" t="inlineStr">
        <is>
          <t>6140001</t>
        </is>
      </c>
      <c r="F1225" s="551" t="n"/>
      <c r="G1225" s="484" t="inlineStr">
        <is>
          <t>(V)保妥適Botox/ u，100倍數下單</t>
        </is>
      </c>
      <c r="H1225" s="552" t="n"/>
      <c r="I1225" s="552" t="n"/>
      <c r="J1225" s="551" t="n"/>
      <c r="K1225" s="140" t="inlineStr">
        <is>
          <t>100U/瓶</t>
        </is>
      </c>
      <c r="L1225" s="560" t="n">
        <v>6600</v>
      </c>
      <c r="M1225" s="123" t="n"/>
      <c r="N1225" s="117" t="n"/>
    </row>
    <row r="1226" ht="17.25" customHeight="1" s="453" thickBot="1">
      <c r="A1226" s="553">
        <f>IFERROR(LEFT(B1226,7),"")</f>
        <v/>
      </c>
      <c r="B1226" s="554">
        <f>"2026/01"&amp;D1226</f>
        <v/>
      </c>
      <c r="C1226" s="559" t="n">
        <v>112</v>
      </c>
      <c r="D1226" s="484" t="inlineStr">
        <is>
          <t>忠孝7樓</t>
        </is>
      </c>
      <c r="E1226" s="484" t="inlineStr">
        <is>
          <t>6140003</t>
        </is>
      </c>
      <c r="F1226" s="551" t="n"/>
      <c r="G1226" s="484" t="inlineStr">
        <is>
          <t>(V)保提拉肉毒Letybo/ u，3200倍數下單</t>
        </is>
      </c>
      <c r="H1226" s="552" t="n"/>
      <c r="I1226" s="552" t="n"/>
      <c r="J1226" s="551" t="n"/>
      <c r="K1226" s="140" t="inlineStr">
        <is>
          <t>200U/瓶</t>
        </is>
      </c>
      <c r="L1226" s="560" t="n">
        <v>9882</v>
      </c>
      <c r="M1226" s="123" t="n"/>
      <c r="N1226" s="117" t="n"/>
    </row>
    <row r="1227" ht="17.25" customHeight="1" s="453" thickBot="1">
      <c r="A1227" s="553">
        <f>IFERROR(LEFT(B1227,7),"")</f>
        <v/>
      </c>
      <c r="B1227" s="554">
        <f>"2026/01"&amp;D1227</f>
        <v/>
      </c>
      <c r="C1227" s="559" t="n">
        <v>113</v>
      </c>
      <c r="D1227" s="484" t="inlineStr">
        <is>
          <t>忠孝7樓</t>
        </is>
      </c>
      <c r="E1227" s="484" t="inlineStr">
        <is>
          <t>6140005</t>
        </is>
      </c>
      <c r="F1227" s="551" t="n"/>
      <c r="G1227" s="484" t="inlineStr">
        <is>
          <t>(V)奇肌肉毒/ u，200倍數下單</t>
        </is>
      </c>
      <c r="H1227" s="552" t="n"/>
      <c r="I1227" s="552" t="n"/>
      <c r="J1227" s="551" t="n"/>
      <c r="K1227" s="140" t="inlineStr">
        <is>
          <t>200U/瓶</t>
        </is>
      </c>
      <c r="L1227" s="560" t="n">
        <v>1684</v>
      </c>
      <c r="M1227" s="123" t="n"/>
      <c r="N1227" s="117" t="n"/>
    </row>
    <row r="1228" ht="17.25" customHeight="1" s="453" thickBot="1">
      <c r="A1228" s="553">
        <f>IFERROR(LEFT(B1228,7),"")</f>
        <v/>
      </c>
      <c r="B1228" s="554">
        <f>"2026/01"&amp;D1228</f>
        <v/>
      </c>
      <c r="C1228" s="559" t="n">
        <v>114</v>
      </c>
      <c r="D1228" s="484" t="inlineStr">
        <is>
          <t>忠孝7樓</t>
        </is>
      </c>
      <c r="E1228" s="484" t="inlineStr">
        <is>
          <t>6150001</t>
        </is>
      </c>
      <c r="F1228" s="551" t="n"/>
      <c r="G1228" s="484" t="inlineStr">
        <is>
          <t>(V)喬雅登-豐麗緹玻尿酸植入物Voluma 1ml</t>
        </is>
      </c>
      <c r="H1228" s="552" t="n"/>
      <c r="I1228" s="552" t="n"/>
      <c r="J1228" s="551" t="n"/>
      <c r="K1228" s="140" t="inlineStr">
        <is>
          <t>1ml(2ml/盒)</t>
        </is>
      </c>
      <c r="L1228" s="560" t="n">
        <v>108</v>
      </c>
      <c r="M1228" s="123" t="n"/>
      <c r="N1228" s="117" t="n"/>
    </row>
    <row r="1229" ht="17.25" customHeight="1" s="453" thickBot="1">
      <c r="A1229" s="553">
        <f>IFERROR(LEFT(B1229,7),"")</f>
        <v/>
      </c>
      <c r="B1229" s="554">
        <f>"2026/01"&amp;D1229</f>
        <v/>
      </c>
      <c r="C1229" s="559" t="n">
        <v>115</v>
      </c>
      <c r="D1229" s="484" t="inlineStr">
        <is>
          <t>忠孝7樓</t>
        </is>
      </c>
      <c r="E1229" s="484" t="inlineStr">
        <is>
          <t>6150002</t>
        </is>
      </c>
      <c r="F1229" s="551" t="n"/>
      <c r="G1229" s="484" t="inlineStr">
        <is>
          <t>(V)喬雅登-夢蓓菈玻尿酸植入物Volbella 1ml</t>
        </is>
      </c>
      <c r="H1229" s="552" t="n"/>
      <c r="I1229" s="552" t="n"/>
      <c r="J1229" s="551" t="n"/>
      <c r="K1229" s="140" t="inlineStr">
        <is>
          <t>1ml(2ml/盒)</t>
        </is>
      </c>
      <c r="L1229" s="560" t="n">
        <v>25</v>
      </c>
      <c r="M1229" s="123" t="n"/>
      <c r="N1229" s="117" t="n"/>
    </row>
    <row r="1230" ht="17.25" customHeight="1" s="453" thickBot="1">
      <c r="A1230" s="553">
        <f>IFERROR(LEFT(B1230,7),"")</f>
        <v/>
      </c>
      <c r="B1230" s="554">
        <f>"2026/01"&amp;D1230</f>
        <v/>
      </c>
      <c r="C1230" s="559" t="n">
        <v>116</v>
      </c>
      <c r="D1230" s="484" t="inlineStr">
        <is>
          <t>忠孝7樓</t>
        </is>
      </c>
      <c r="E1230" s="484" t="inlineStr">
        <is>
          <t>6150003</t>
        </is>
      </c>
      <c r="F1230" s="551" t="n"/>
      <c r="G1230" s="484" t="inlineStr">
        <is>
          <t>(V)喬雅登-豐麗緹玻尿酸植入物Volift 1ml</t>
        </is>
      </c>
      <c r="H1230" s="552" t="n"/>
      <c r="I1230" s="552" t="n"/>
      <c r="J1230" s="551" t="n"/>
      <c r="K1230" s="140" t="inlineStr">
        <is>
          <t>1ml(2ml/盒)</t>
        </is>
      </c>
      <c r="L1230" s="560" t="n">
        <v>13</v>
      </c>
      <c r="M1230" s="123" t="n"/>
      <c r="N1230" s="117" t="n"/>
    </row>
    <row r="1231" ht="17.25" customHeight="1" s="453" thickBot="1">
      <c r="A1231" s="553">
        <f>IFERROR(LEFT(B1231,7),"")</f>
        <v/>
      </c>
      <c r="B1231" s="554">
        <f>"2026/01"&amp;D1231</f>
        <v/>
      </c>
      <c r="C1231" s="559" t="n">
        <v>117</v>
      </c>
      <c r="D1231" s="484" t="inlineStr">
        <is>
          <t>忠孝7樓</t>
        </is>
      </c>
      <c r="E1231" s="484" t="inlineStr">
        <is>
          <t>6150004</t>
        </is>
      </c>
      <c r="F1231" s="551" t="n"/>
      <c r="G1231" s="484" t="inlineStr">
        <is>
          <t>(V)喬雅登-豐塑玻尿酸植入物Volux 1ml</t>
        </is>
      </c>
      <c r="H1231" s="552" t="n"/>
      <c r="I1231" s="552" t="n"/>
      <c r="J1231" s="551" t="n"/>
      <c r="K1231" s="140" t="inlineStr">
        <is>
          <t>1ml(2ml/盒)</t>
        </is>
      </c>
      <c r="L1231" s="560" t="n">
        <v>14</v>
      </c>
      <c r="M1231" s="123" t="n"/>
      <c r="N1231" s="117" t="n"/>
    </row>
    <row r="1232" ht="17.25" customHeight="1" s="453" thickBot="1">
      <c r="A1232" s="553">
        <f>IFERROR(LEFT(B1232,7),"")</f>
        <v/>
      </c>
      <c r="B1232" s="554">
        <f>"2026/01"&amp;D1232</f>
        <v/>
      </c>
      <c r="C1232" s="559" t="n">
        <v>118</v>
      </c>
      <c r="D1232" s="484" t="inlineStr">
        <is>
          <t>忠孝7樓</t>
        </is>
      </c>
      <c r="E1232" s="484" t="inlineStr">
        <is>
          <t>6150005</t>
        </is>
      </c>
      <c r="F1232" s="551" t="n"/>
      <c r="G1232" s="484" t="inlineStr">
        <is>
          <t>(V)喬雅登-芙潤玻尿酸植入物Volite 1ml</t>
        </is>
      </c>
      <c r="H1232" s="552" t="n"/>
      <c r="I1232" s="552" t="n"/>
      <c r="J1232" s="551" t="n"/>
      <c r="K1232" s="140" t="inlineStr">
        <is>
          <t>1ml(2ml/盒)</t>
        </is>
      </c>
      <c r="L1232" s="560" t="n">
        <v>6</v>
      </c>
      <c r="M1232" s="123" t="n"/>
      <c r="N1232" s="117" t="n"/>
    </row>
    <row r="1233" ht="17.25" customHeight="1" s="453" thickBot="1">
      <c r="A1233" s="553">
        <f>IFERROR(LEFT(B1233,7),"")</f>
        <v/>
      </c>
      <c r="B1233" s="554">
        <f>"2026/01"&amp;D1233</f>
        <v/>
      </c>
      <c r="C1233" s="559" t="n">
        <v>119</v>
      </c>
      <c r="D1233" s="484" t="inlineStr">
        <is>
          <t>忠孝7樓</t>
        </is>
      </c>
      <c r="E1233" s="484" t="inlineStr">
        <is>
          <t>6150010</t>
        </is>
      </c>
      <c r="F1233" s="551" t="n"/>
      <c r="G1233" s="484" t="inlineStr">
        <is>
          <t>(V)仙女玻尿酸大分子 1ml</t>
        </is>
      </c>
      <c r="H1233" s="552" t="n"/>
      <c r="I1233" s="552" t="n"/>
      <c r="J1233" s="551" t="n"/>
      <c r="K1233" s="140" t="inlineStr">
        <is>
          <t>1ml(1ml/盒)</t>
        </is>
      </c>
      <c r="L1233" s="560" t="n">
        <v>89</v>
      </c>
      <c r="M1233" s="123" t="n"/>
      <c r="N1233" s="117" t="n"/>
    </row>
    <row r="1234" ht="17.25" customHeight="1" s="453" thickBot="1">
      <c r="A1234" s="553">
        <f>IFERROR(LEFT(B1234,7),"")</f>
        <v/>
      </c>
      <c r="B1234" s="554">
        <f>"2026/01"&amp;D1234</f>
        <v/>
      </c>
      <c r="C1234" s="559" t="n">
        <v>120</v>
      </c>
      <c r="D1234" s="484" t="inlineStr">
        <is>
          <t>忠孝7樓</t>
        </is>
      </c>
      <c r="E1234" s="484" t="inlineStr">
        <is>
          <t>6150011</t>
        </is>
      </c>
      <c r="F1234" s="551" t="n"/>
      <c r="G1234" s="484" t="inlineStr">
        <is>
          <t>(V)仙女玻尿酸小分子 1ml</t>
        </is>
      </c>
      <c r="H1234" s="552" t="n"/>
      <c r="I1234" s="552" t="n"/>
      <c r="J1234" s="551" t="n"/>
      <c r="K1234" s="140" t="inlineStr">
        <is>
          <t>1ml(1ml/盒)</t>
        </is>
      </c>
      <c r="L1234" s="560" t="n">
        <v>20</v>
      </c>
      <c r="M1234" s="123" t="n"/>
      <c r="N1234" s="117" t="n"/>
    </row>
    <row r="1235" ht="17.25" customHeight="1" s="453" thickBot="1">
      <c r="A1235" s="553">
        <f>IFERROR(LEFT(B1235,7),"")</f>
        <v/>
      </c>
      <c r="B1235" s="554">
        <f>"2026/01"&amp;D1235</f>
        <v/>
      </c>
      <c r="C1235" s="559" t="n">
        <v>121</v>
      </c>
      <c r="D1235" s="484" t="inlineStr">
        <is>
          <t>忠孝7樓</t>
        </is>
      </c>
      <c r="E1235" s="484" t="inlineStr">
        <is>
          <t>6150013</t>
        </is>
      </c>
      <c r="F1235" s="551" t="n"/>
      <c r="G1235" s="484" t="inlineStr">
        <is>
          <t>(V)逆時針(璞菲洛)2cc</t>
        </is>
      </c>
      <c r="H1235" s="552" t="n"/>
      <c r="I1235" s="552" t="n"/>
      <c r="J1235" s="551" t="n"/>
      <c r="K1235" s="140" t="inlineStr">
        <is>
          <t>1ml(1ml/盒)</t>
        </is>
      </c>
      <c r="L1235" s="560" t="n">
        <v>28</v>
      </c>
      <c r="M1235" s="123" t="n"/>
      <c r="N1235" s="117" t="n"/>
    </row>
    <row r="1236" ht="17.25" customHeight="1" s="453" thickBot="1">
      <c r="A1236" s="553">
        <f>IFERROR(LEFT(B1236,7),"")</f>
        <v/>
      </c>
      <c r="B1236" s="554">
        <f>"2026/01"&amp;D1236</f>
        <v/>
      </c>
      <c r="C1236" s="559" t="n">
        <v>122</v>
      </c>
      <c r="D1236" s="484" t="inlineStr">
        <is>
          <t>忠孝7樓</t>
        </is>
      </c>
      <c r="E1236" s="484" t="inlineStr">
        <is>
          <t>6150014</t>
        </is>
      </c>
      <c r="F1236" s="551" t="n"/>
      <c r="G1236" s="484" t="inlineStr">
        <is>
          <t>(V)膚美康 1cc</t>
        </is>
      </c>
      <c r="H1236" s="552" t="n"/>
      <c r="I1236" s="552" t="n"/>
      <c r="J1236" s="551" t="n"/>
      <c r="K1236" s="140" t="inlineStr">
        <is>
          <t>2.5cc/支</t>
        </is>
      </c>
      <c r="L1236" s="560" t="n">
        <v>1</v>
      </c>
      <c r="M1236" s="123" t="n"/>
      <c r="N1236" s="117" t="n"/>
    </row>
    <row r="1237" ht="17.25" customHeight="1" s="453" thickBot="1">
      <c r="A1237" s="553">
        <f>IFERROR(LEFT(B1237,7),"")</f>
        <v/>
      </c>
      <c r="B1237" s="554">
        <f>"2026/01"&amp;D1237</f>
        <v/>
      </c>
      <c r="C1237" s="559" t="n">
        <v>123</v>
      </c>
      <c r="D1237" s="484" t="inlineStr">
        <is>
          <t>忠孝7樓</t>
        </is>
      </c>
      <c r="E1237" s="484" t="inlineStr">
        <is>
          <t>6160001</t>
        </is>
      </c>
      <c r="F1237" s="551" t="n"/>
      <c r="G1237" s="484" t="inlineStr">
        <is>
          <t>(V)艾麗斯 Aesthe Fill-200mg/ 瓶</t>
        </is>
      </c>
      <c r="H1237" s="552" t="n"/>
      <c r="I1237" s="552" t="n"/>
      <c r="J1237" s="551" t="n"/>
      <c r="K1237" s="140" t="inlineStr">
        <is>
          <t>瓶</t>
        </is>
      </c>
      <c r="L1237" s="560" t="n">
        <v>2</v>
      </c>
      <c r="M1237" s="123" t="n"/>
      <c r="N1237" s="117" t="n"/>
    </row>
    <row r="1238" ht="17.25" customHeight="1" s="453" thickBot="1">
      <c r="A1238" s="553">
        <f>IFERROR(LEFT(B1238,7),"")</f>
        <v/>
      </c>
      <c r="B1238" s="554">
        <f>"2026/01"&amp;D1238</f>
        <v/>
      </c>
      <c r="C1238" s="559" t="n">
        <v>124</v>
      </c>
      <c r="D1238" s="484" t="inlineStr">
        <is>
          <t>忠孝7樓</t>
        </is>
      </c>
      <c r="E1238" s="484" t="inlineStr">
        <is>
          <t>6160002</t>
        </is>
      </c>
      <c r="F1238" s="551" t="n"/>
      <c r="G1238" s="484" t="inlineStr">
        <is>
          <t>(V)洢蓮絲植入劑ELLANSÉ-S 1ml</t>
        </is>
      </c>
      <c r="H1238" s="552" t="n"/>
      <c r="I1238" s="552" t="n"/>
      <c r="J1238" s="551" t="n"/>
      <c r="K1238" s="140" t="inlineStr">
        <is>
          <t>1ml(2ml/盒)</t>
        </is>
      </c>
      <c r="L1238" s="560" t="n">
        <v>92</v>
      </c>
      <c r="M1238" s="123" t="n"/>
      <c r="N1238" s="117" t="n"/>
    </row>
    <row r="1239" ht="17.25" customHeight="1" s="453" thickBot="1">
      <c r="A1239" s="553">
        <f>IFERROR(LEFT(B1239,7),"")</f>
        <v/>
      </c>
      <c r="B1239" s="554">
        <f>"2026/01"&amp;D1239</f>
        <v/>
      </c>
      <c r="C1239" s="559" t="n">
        <v>125</v>
      </c>
      <c r="D1239" s="484" t="inlineStr">
        <is>
          <t>忠孝7樓</t>
        </is>
      </c>
      <c r="E1239" s="484" t="inlineStr">
        <is>
          <t>6160003</t>
        </is>
      </c>
      <c r="F1239" s="551" t="n"/>
      <c r="G1239" s="484" t="inlineStr">
        <is>
          <t>(V)洢蓮絲植入劑ELLANSÉ-M 1ml</t>
        </is>
      </c>
      <c r="H1239" s="552" t="n"/>
      <c r="I1239" s="552" t="n"/>
      <c r="J1239" s="551" t="n"/>
      <c r="K1239" s="140" t="inlineStr">
        <is>
          <t>1ml(2ml/盒)</t>
        </is>
      </c>
      <c r="L1239" s="560" t="n">
        <v>25</v>
      </c>
      <c r="M1239" s="123" t="n"/>
      <c r="N1239" s="117" t="n"/>
    </row>
    <row r="1240" ht="17.25" customHeight="1" s="453" thickBot="1">
      <c r="A1240" s="553">
        <f>IFERROR(LEFT(B1240,7),"")</f>
        <v/>
      </c>
      <c r="B1240" s="554">
        <f>"2026/01"&amp;D1240</f>
        <v/>
      </c>
      <c r="C1240" s="559" t="n">
        <v>126</v>
      </c>
      <c r="D1240" s="484" t="inlineStr">
        <is>
          <t>忠孝7樓</t>
        </is>
      </c>
      <c r="E1240" s="484" t="inlineStr">
        <is>
          <t>6160005</t>
        </is>
      </c>
      <c r="F1240" s="551" t="n"/>
      <c r="G1240" s="484" t="inlineStr">
        <is>
          <t>(V)双美熊貓針</t>
        </is>
      </c>
      <c r="H1240" s="552" t="n"/>
      <c r="I1240" s="552" t="n"/>
      <c r="J1240" s="551" t="n"/>
      <c r="K1240" s="140" t="inlineStr">
        <is>
          <t>(1ml/盒)</t>
        </is>
      </c>
      <c r="L1240" s="560" t="n">
        <v>26</v>
      </c>
      <c r="M1240" s="123" t="n"/>
      <c r="N1240" s="117" t="n"/>
    </row>
    <row r="1241" ht="17.25" customHeight="1" s="453" thickBot="1">
      <c r="A1241" s="553">
        <f>IFERROR(LEFT(B1241,7),"")</f>
        <v/>
      </c>
      <c r="B1241" s="554">
        <f>"2026/01"&amp;D1241</f>
        <v/>
      </c>
      <c r="C1241" s="559" t="n">
        <v>127</v>
      </c>
      <c r="D1241" s="484" t="inlineStr">
        <is>
          <t>忠孝7樓</t>
        </is>
      </c>
      <c r="E1241" s="484" t="inlineStr">
        <is>
          <t>6160008</t>
        </is>
      </c>
      <c r="F1241" s="551" t="n"/>
      <c r="G1241" s="484" t="inlineStr">
        <is>
          <t>白童針-薇貝拉50mg/1cc</t>
        </is>
      </c>
      <c r="H1241" s="552" t="n"/>
      <c r="I1241" s="552" t="n"/>
      <c r="J1241" s="551" t="n"/>
      <c r="K1241" s="140" t="inlineStr">
        <is>
          <t>6cc/瓶</t>
        </is>
      </c>
      <c r="L1241" s="560" t="n">
        <v>6</v>
      </c>
      <c r="M1241" s="123" t="n"/>
      <c r="N1241" s="117" t="n"/>
    </row>
    <row r="1242" ht="17.25" customHeight="1" s="453" thickBot="1">
      <c r="A1242" s="553">
        <f>IFERROR(LEFT(B1242,7),"")</f>
        <v/>
      </c>
      <c r="B1242" s="554">
        <f>"2026/01"&amp;D1242</f>
        <v/>
      </c>
      <c r="C1242" s="559" t="n">
        <v>128</v>
      </c>
      <c r="D1242" s="484" t="inlineStr">
        <is>
          <t>忠孝7樓</t>
        </is>
      </c>
      <c r="E1242" s="484" t="inlineStr">
        <is>
          <t>6160009</t>
        </is>
      </c>
      <c r="F1242" s="551" t="n"/>
      <c r="G1242" s="484" t="inlineStr">
        <is>
          <t>黑童針-薇貝拉200mg/1cc</t>
        </is>
      </c>
      <c r="H1242" s="552" t="n"/>
      <c r="I1242" s="552" t="n"/>
      <c r="J1242" s="551" t="n"/>
      <c r="K1242" s="140" t="inlineStr">
        <is>
          <t>8cc/瓶</t>
        </is>
      </c>
      <c r="L1242" s="560" t="n">
        <v>13</v>
      </c>
      <c r="M1242" s="123" t="n"/>
      <c r="N1242" s="117" t="n"/>
    </row>
    <row r="1243" ht="17.25" customHeight="1" s="453" thickBot="1">
      <c r="A1243" s="553">
        <f>IFERROR(LEFT(B1243,7),"")</f>
        <v/>
      </c>
      <c r="B1243" s="554">
        <f>"2026/01"&amp;D1243</f>
        <v/>
      </c>
      <c r="C1243" s="559" t="n">
        <v>129</v>
      </c>
      <c r="D1243" s="484" t="inlineStr">
        <is>
          <t>忠孝7樓</t>
        </is>
      </c>
      <c r="E1243" s="484" t="inlineStr">
        <is>
          <t>6160010</t>
        </is>
      </c>
      <c r="F1243" s="551" t="n"/>
      <c r="G1243" s="484" t="inlineStr">
        <is>
          <t>喬雅露-大分子200mg/1cc</t>
        </is>
      </c>
      <c r="H1243" s="552" t="n"/>
      <c r="I1243" s="552" t="n"/>
      <c r="J1243" s="551" t="n"/>
      <c r="K1243" s="140" t="inlineStr">
        <is>
          <t>8cc/瓶</t>
        </is>
      </c>
      <c r="L1243" s="560" t="n">
        <v>194</v>
      </c>
      <c r="M1243" s="123" t="n"/>
      <c r="N1243" s="117" t="n"/>
    </row>
    <row r="1244" ht="17.25" customHeight="1" s="453" thickBot="1">
      <c r="A1244" s="553">
        <f>IFERROR(LEFT(B1244,7),"")</f>
        <v/>
      </c>
      <c r="B1244" s="554">
        <f>"2026/01"&amp;D1244</f>
        <v/>
      </c>
      <c r="C1244" s="559" t="n">
        <v>130</v>
      </c>
      <c r="D1244" s="484" t="inlineStr">
        <is>
          <t>忠孝7樓</t>
        </is>
      </c>
      <c r="E1244" s="484" t="inlineStr">
        <is>
          <t>6160011</t>
        </is>
      </c>
      <c r="F1244" s="551" t="n"/>
      <c r="G1244" s="484" t="inlineStr">
        <is>
          <t>喬雅露-小分子50mg/1cc</t>
        </is>
      </c>
      <c r="H1244" s="552" t="n"/>
      <c r="I1244" s="552" t="n"/>
      <c r="J1244" s="551" t="n"/>
      <c r="K1244" s="140" t="inlineStr">
        <is>
          <t>6cc/瓶</t>
        </is>
      </c>
      <c r="L1244" s="560" t="n">
        <v>1003</v>
      </c>
      <c r="M1244" s="123" t="n"/>
      <c r="N1244" s="117" t="n"/>
    </row>
    <row r="1245" ht="17.25" customHeight="1" s="453" thickBot="1">
      <c r="A1245" s="553">
        <f>IFERROR(LEFT(B1245,7),"")</f>
        <v/>
      </c>
      <c r="B1245" s="554">
        <f>"2026/01"&amp;D1245</f>
        <v/>
      </c>
      <c r="C1245" s="559" t="n">
        <v>131</v>
      </c>
      <c r="D1245" s="484" t="inlineStr">
        <is>
          <t>忠孝7樓</t>
        </is>
      </c>
      <c r="E1245" s="484" t="inlineStr">
        <is>
          <t>6170005</t>
        </is>
      </c>
      <c r="F1245" s="551" t="n"/>
      <c r="G1245" s="484" t="inlineStr">
        <is>
          <t>海芙三代音波探頭2mm/ 條</t>
        </is>
      </c>
      <c r="H1245" s="552" t="n"/>
      <c r="I1245" s="552" t="n"/>
      <c r="J1245" s="551" t="n"/>
      <c r="K1245" s="140" t="inlineStr">
        <is>
          <t>20000條/顆</t>
        </is>
      </c>
      <c r="L1245" s="560" t="n">
        <v>27290</v>
      </c>
      <c r="M1245" s="123" t="n"/>
      <c r="N1245" s="117" t="n"/>
    </row>
    <row r="1246" ht="17.25" customHeight="1" s="453" thickBot="1">
      <c r="A1246" s="553">
        <f>IFERROR(LEFT(B1246,7),"")</f>
        <v/>
      </c>
      <c r="B1246" s="554">
        <f>"2026/01"&amp;D1246</f>
        <v/>
      </c>
      <c r="C1246" s="559" t="n">
        <v>132</v>
      </c>
      <c r="D1246" s="484" t="inlineStr">
        <is>
          <t>忠孝7樓</t>
        </is>
      </c>
      <c r="E1246" s="484" t="inlineStr">
        <is>
          <t>6170007</t>
        </is>
      </c>
      <c r="F1246" s="551" t="n"/>
      <c r="G1246" s="484" t="inlineStr">
        <is>
          <t>海芙三代音波探頭3mm/ 條</t>
        </is>
      </c>
      <c r="H1246" s="552" t="n"/>
      <c r="I1246" s="552" t="n"/>
      <c r="J1246" s="551" t="n"/>
      <c r="K1246" s="140" t="inlineStr">
        <is>
          <t>20000條/顆</t>
        </is>
      </c>
      <c r="L1246" s="560" t="n">
        <v>65512</v>
      </c>
      <c r="M1246" s="123" t="n"/>
      <c r="N1246" s="117" t="n"/>
    </row>
    <row r="1247" ht="17.25" customHeight="1" s="453" thickBot="1">
      <c r="A1247" s="553">
        <f>IFERROR(LEFT(B1247,7),"")</f>
        <v/>
      </c>
      <c r="B1247" s="554">
        <f>"2026/01"&amp;D1247</f>
        <v/>
      </c>
      <c r="C1247" s="559" t="n">
        <v>133</v>
      </c>
      <c r="D1247" s="484" t="inlineStr">
        <is>
          <t>忠孝7樓</t>
        </is>
      </c>
      <c r="E1247" s="484" t="inlineStr">
        <is>
          <t>6170009</t>
        </is>
      </c>
      <c r="F1247" s="551" t="n"/>
      <c r="G1247" s="484" t="inlineStr">
        <is>
          <t>海芙三代音波探頭4.5mm/ 條</t>
        </is>
      </c>
      <c r="H1247" s="552" t="n"/>
      <c r="I1247" s="552" t="n"/>
      <c r="J1247" s="551" t="n"/>
      <c r="K1247" s="140" t="inlineStr">
        <is>
          <t>20000條/顆</t>
        </is>
      </c>
      <c r="L1247" s="560" t="n">
        <v>103071</v>
      </c>
      <c r="M1247" s="123" t="n"/>
      <c r="N1247" s="117" t="n"/>
    </row>
    <row r="1248" ht="17.25" customHeight="1" s="453" thickBot="1">
      <c r="A1248" s="553">
        <f>IFERROR(LEFT(B1248,7),"")</f>
        <v/>
      </c>
      <c r="B1248" s="554">
        <f>"2026/01"&amp;D1248</f>
        <v/>
      </c>
      <c r="C1248" s="559" t="n">
        <v>134</v>
      </c>
      <c r="D1248" s="484" t="inlineStr">
        <is>
          <t>忠孝7樓</t>
        </is>
      </c>
      <c r="E1248" s="484" t="inlineStr">
        <is>
          <t>6170011</t>
        </is>
      </c>
      <c r="F1248" s="551" t="n"/>
      <c r="G1248" s="484" t="inlineStr">
        <is>
          <t>海芙三代音波探頭6mm/ 條</t>
        </is>
      </c>
      <c r="H1248" s="552" t="n"/>
      <c r="I1248" s="552" t="n"/>
      <c r="J1248" s="551" t="n"/>
      <c r="K1248" s="140" t="inlineStr">
        <is>
          <t>30,000條/顆</t>
        </is>
      </c>
      <c r="L1248" s="560" t="n">
        <v>16022</v>
      </c>
      <c r="M1248" s="123" t="n"/>
      <c r="N1248" s="117" t="n"/>
    </row>
    <row r="1249" ht="17.25" customHeight="1" s="453" thickBot="1">
      <c r="A1249" s="553">
        <f>IFERROR(LEFT(B1249,7),"")</f>
        <v/>
      </c>
      <c r="B1249" s="554">
        <f>"2026/01"&amp;D1249</f>
        <v/>
      </c>
      <c r="C1249" s="559" t="n">
        <v>135</v>
      </c>
      <c r="D1249" s="484" t="inlineStr">
        <is>
          <t>忠孝7樓</t>
        </is>
      </c>
      <c r="E1249" s="484" t="inlineStr">
        <is>
          <t>6170013</t>
        </is>
      </c>
      <c r="F1249" s="551" t="n"/>
      <c r="G1249" s="484" t="inlineStr">
        <is>
          <t>鳳凰電波4平方公分紫鑽探頭(900發)</t>
        </is>
      </c>
      <c r="H1249" s="552" t="n"/>
      <c r="I1249" s="552" t="n"/>
      <c r="J1249" s="551" t="n"/>
      <c r="K1249" s="140" t="inlineStr">
        <is>
          <t>顆</t>
        </is>
      </c>
      <c r="L1249" s="560" t="n">
        <v>21</v>
      </c>
      <c r="M1249" s="123" t="n"/>
      <c r="N1249" s="117" t="n"/>
    </row>
    <row r="1250" ht="17.25" customHeight="1" s="453" thickBot="1">
      <c r="A1250" s="553">
        <f>IFERROR(LEFT(B1250,7),"")</f>
        <v/>
      </c>
      <c r="B1250" s="554">
        <f>"2026/01"&amp;D1250</f>
        <v/>
      </c>
      <c r="C1250" s="559" t="n">
        <v>136</v>
      </c>
      <c r="D1250" s="484" t="inlineStr">
        <is>
          <t>忠孝7樓</t>
        </is>
      </c>
      <c r="E1250" s="484" t="inlineStr">
        <is>
          <t>6170014</t>
        </is>
      </c>
      <c r="F1250" s="551" t="n"/>
      <c r="G1250" s="484" t="inlineStr">
        <is>
          <t>鳳凰電波0.25平方公分碧眼探頭(450發)</t>
        </is>
      </c>
      <c r="H1250" s="552" t="n"/>
      <c r="I1250" s="552" t="n"/>
      <c r="J1250" s="551" t="n"/>
      <c r="K1250" s="140" t="inlineStr">
        <is>
          <t>顆</t>
        </is>
      </c>
      <c r="L1250" s="560" t="n">
        <v>16</v>
      </c>
      <c r="M1250" s="123" t="n"/>
      <c r="N1250" s="117" t="n"/>
    </row>
    <row r="1251" ht="17.25" customHeight="1" s="453" thickBot="1">
      <c r="A1251" s="553">
        <f>IFERROR(LEFT(B1251,7),"")</f>
        <v/>
      </c>
      <c r="B1251" s="554">
        <f>"2026/01"&amp;D1251</f>
        <v/>
      </c>
      <c r="C1251" s="559" t="n">
        <v>137</v>
      </c>
      <c r="D1251" s="484" t="inlineStr">
        <is>
          <t>忠孝7樓</t>
        </is>
      </c>
      <c r="E1251" s="484" t="inlineStr">
        <is>
          <t>6170019</t>
        </is>
      </c>
      <c r="F1251" s="551" t="n"/>
      <c r="G1251" s="484" t="inlineStr">
        <is>
          <t>媚必提直線探頭2.0mm/條</t>
        </is>
      </c>
      <c r="H1251" s="552" t="n"/>
      <c r="I1251" s="552" t="n"/>
      <c r="J1251" s="551" t="n"/>
      <c r="K1251" s="140" t="inlineStr">
        <is>
          <t>20000條/顆</t>
        </is>
      </c>
      <c r="L1251" s="560" t="n">
        <v>5676</v>
      </c>
      <c r="M1251" s="123" t="n"/>
      <c r="N1251" s="117" t="n"/>
    </row>
    <row r="1252" ht="17.25" customHeight="1" s="453" thickBot="1">
      <c r="A1252" s="553">
        <f>IFERROR(LEFT(B1252,7),"")</f>
        <v/>
      </c>
      <c r="B1252" s="554">
        <f>"2026/01"&amp;D1252</f>
        <v/>
      </c>
      <c r="C1252" s="559" t="n">
        <v>138</v>
      </c>
      <c r="D1252" s="484" t="inlineStr">
        <is>
          <t>忠孝7樓</t>
        </is>
      </c>
      <c r="E1252" s="484" t="inlineStr">
        <is>
          <t>6170020</t>
        </is>
      </c>
      <c r="F1252" s="551" t="n"/>
      <c r="G1252" s="484" t="inlineStr">
        <is>
          <t>媚必提直線探頭3.0mm/條</t>
        </is>
      </c>
      <c r="H1252" s="552" t="n"/>
      <c r="I1252" s="552" t="n"/>
      <c r="J1252" s="551" t="n"/>
      <c r="K1252" s="140" t="inlineStr">
        <is>
          <t>20000條/顆</t>
        </is>
      </c>
      <c r="L1252" s="560" t="n">
        <v>17199</v>
      </c>
      <c r="M1252" s="123" t="n"/>
      <c r="N1252" s="117" t="n"/>
    </row>
    <row r="1253" ht="17.25" customHeight="1" s="453" thickBot="1">
      <c r="A1253" s="553">
        <f>IFERROR(LEFT(B1253,7),"")</f>
        <v/>
      </c>
      <c r="B1253" s="554">
        <f>"2026/01"&amp;D1253</f>
        <v/>
      </c>
      <c r="C1253" s="559" t="n">
        <v>139</v>
      </c>
      <c r="D1253" s="484" t="inlineStr">
        <is>
          <t>忠孝7樓</t>
        </is>
      </c>
      <c r="E1253" s="484" t="inlineStr">
        <is>
          <t>6170021</t>
        </is>
      </c>
      <c r="F1253" s="551" t="n"/>
      <c r="G1253" s="484" t="inlineStr">
        <is>
          <t>媚必提直線探頭4.5mm/條</t>
        </is>
      </c>
      <c r="H1253" s="552" t="n"/>
      <c r="I1253" s="552" t="n"/>
      <c r="J1253" s="551" t="n"/>
      <c r="K1253" s="140" t="inlineStr">
        <is>
          <t>20000條/顆</t>
        </is>
      </c>
      <c r="L1253" s="560" t="n">
        <v>39965</v>
      </c>
      <c r="M1253" s="123" t="n"/>
      <c r="N1253" s="117" t="n"/>
    </row>
    <row r="1254" ht="17.25" customHeight="1" s="453" thickBot="1">
      <c r="A1254" s="553">
        <f>IFERROR(LEFT(B1254,7),"")</f>
        <v/>
      </c>
      <c r="B1254" s="554">
        <f>"2026/01"&amp;D1254</f>
        <v/>
      </c>
      <c r="C1254" s="559" t="n">
        <v>140</v>
      </c>
      <c r="D1254" s="484" t="inlineStr">
        <is>
          <t>忠孝7樓</t>
        </is>
      </c>
      <c r="E1254" s="484" t="inlineStr">
        <is>
          <t>6170022</t>
        </is>
      </c>
      <c r="F1254" s="551" t="n"/>
      <c r="G1254" s="484" t="inlineStr">
        <is>
          <t>媚必提直線探頭6.0mm/條</t>
        </is>
      </c>
      <c r="H1254" s="552" t="n"/>
      <c r="I1254" s="552" t="n"/>
      <c r="J1254" s="551" t="n"/>
      <c r="K1254" s="140" t="inlineStr">
        <is>
          <t>20000條/顆</t>
        </is>
      </c>
      <c r="L1254" s="560" t="n">
        <v>12914</v>
      </c>
      <c r="M1254" s="123" t="n"/>
      <c r="N1254" s="117" t="n"/>
    </row>
    <row r="1255" ht="17.25" customHeight="1" s="453" thickBot="1">
      <c r="A1255" s="553">
        <f>IFERROR(LEFT(B1255,7),"")</f>
        <v/>
      </c>
      <c r="B1255" s="554">
        <f>"2026/01"&amp;D1255</f>
        <v/>
      </c>
      <c r="C1255" s="559" t="n">
        <v>141</v>
      </c>
      <c r="D1255" s="484" t="inlineStr">
        <is>
          <t>忠孝7樓</t>
        </is>
      </c>
      <c r="E1255" s="484" t="inlineStr">
        <is>
          <t>6170028</t>
        </is>
      </c>
      <c r="F1255" s="551" t="n"/>
      <c r="G1255" s="484" t="inlineStr">
        <is>
          <t>海芙電波探頭0.25cm/發</t>
        </is>
      </c>
      <c r="H1255" s="552" t="n"/>
      <c r="I1255" s="552" t="n"/>
      <c r="J1255" s="551" t="n"/>
      <c r="K1255" s="140" t="inlineStr">
        <is>
          <t>6000發/顆</t>
        </is>
      </c>
      <c r="L1255" s="560" t="n">
        <v>4260</v>
      </c>
      <c r="M1255" s="123" t="n"/>
      <c r="N1255" s="117" t="n"/>
    </row>
    <row r="1256" ht="17.25" customHeight="1" s="453" thickBot="1">
      <c r="A1256" s="553">
        <f>IFERROR(LEFT(B1256,7),"")</f>
        <v/>
      </c>
      <c r="B1256" s="554">
        <f>"2026/01"&amp;D1256</f>
        <v/>
      </c>
      <c r="C1256" s="559" t="n">
        <v>142</v>
      </c>
      <c r="D1256" s="484" t="inlineStr">
        <is>
          <t>忠孝7樓</t>
        </is>
      </c>
      <c r="E1256" s="484" t="inlineStr">
        <is>
          <t>6170029</t>
        </is>
      </c>
      <c r="F1256" s="551" t="n"/>
      <c r="G1256" s="484" t="inlineStr">
        <is>
          <t>海芙電波探頭3.0cm/發</t>
        </is>
      </c>
      <c r="H1256" s="552" t="n"/>
      <c r="I1256" s="552" t="n"/>
      <c r="J1256" s="551" t="n"/>
      <c r="K1256" s="140" t="inlineStr">
        <is>
          <t>4000發/顆</t>
        </is>
      </c>
      <c r="L1256" s="560" t="n">
        <v>300</v>
      </c>
      <c r="M1256" s="123" t="n"/>
      <c r="N1256" s="117" t="n"/>
    </row>
    <row r="1257" ht="17.25" customHeight="1" s="453" thickBot="1">
      <c r="A1257" s="553">
        <f>IFERROR(LEFT(B1257,7),"")</f>
        <v/>
      </c>
      <c r="B1257" s="554">
        <f>"2026/01"&amp;D1257</f>
        <v/>
      </c>
      <c r="C1257" s="559" t="n">
        <v>143</v>
      </c>
      <c r="D1257" s="484" t="inlineStr">
        <is>
          <t>忠孝7樓</t>
        </is>
      </c>
      <c r="E1257" s="484" t="inlineStr">
        <is>
          <t>6170030</t>
        </is>
      </c>
      <c r="F1257" s="551" t="n"/>
      <c r="G1257" s="484" t="inlineStr">
        <is>
          <t>海芙電波探頭4.0cm/發</t>
        </is>
      </c>
      <c r="H1257" s="552" t="n"/>
      <c r="I1257" s="552" t="n"/>
      <c r="J1257" s="551" t="n"/>
      <c r="K1257" s="140" t="inlineStr">
        <is>
          <t>3000發/顆</t>
        </is>
      </c>
      <c r="L1257" s="560" t="n">
        <v>47385</v>
      </c>
      <c r="M1257" s="123" t="n"/>
      <c r="N1257" s="117" t="n"/>
    </row>
    <row r="1258" ht="17.25" customHeight="1" s="453" thickBot="1">
      <c r="A1258" s="553">
        <f>IFERROR(LEFT(B1258,7),"")</f>
        <v/>
      </c>
      <c r="B1258" s="554">
        <f>"2026/01"&amp;D1258</f>
        <v/>
      </c>
      <c r="C1258" s="559" t="n">
        <v>144</v>
      </c>
      <c r="D1258" s="484" t="inlineStr">
        <is>
          <t>忠孝7樓</t>
        </is>
      </c>
      <c r="E1258" s="484" t="inlineStr">
        <is>
          <t>6170032</t>
        </is>
      </c>
      <c r="F1258" s="551" t="n"/>
      <c r="G1258" s="484" t="inlineStr">
        <is>
          <t>立特拉A2筆型探頭3.0mm/ 條</t>
        </is>
      </c>
      <c r="H1258" s="552" t="n"/>
      <c r="I1258" s="552" t="n"/>
      <c r="J1258" s="551" t="n"/>
      <c r="K1258" s="140" t="inlineStr">
        <is>
          <t>240000條/顆</t>
        </is>
      </c>
      <c r="L1258" s="560" t="n">
        <v>502500</v>
      </c>
      <c r="M1258" s="123" t="n"/>
      <c r="N1258" s="117" t="n"/>
    </row>
    <row r="1259" ht="17.25" customHeight="1" s="453" thickBot="1">
      <c r="A1259" s="553">
        <f>IFERROR(LEFT(B1259,7),"")</f>
        <v/>
      </c>
      <c r="B1259" s="554">
        <f>"2026/01"&amp;D1259</f>
        <v/>
      </c>
      <c r="C1259" s="559" t="n">
        <v>145</v>
      </c>
      <c r="D1259" s="484" t="inlineStr">
        <is>
          <t>忠孝7樓</t>
        </is>
      </c>
      <c r="E1259" s="484" t="inlineStr">
        <is>
          <t>6170033</t>
        </is>
      </c>
      <c r="F1259" s="551" t="n"/>
      <c r="G1259" s="484" t="inlineStr">
        <is>
          <t>立特拉A2筆型探頭4.5mm/ 條</t>
        </is>
      </c>
      <c r="H1259" s="552" t="n"/>
      <c r="I1259" s="552" t="n"/>
      <c r="J1259" s="551" t="n"/>
      <c r="K1259" s="140" t="inlineStr">
        <is>
          <t>240000條/顆</t>
        </is>
      </c>
      <c r="L1259" s="560" t="n">
        <v>212000</v>
      </c>
      <c r="M1259" s="123" t="n"/>
      <c r="N1259" s="117" t="n"/>
    </row>
    <row r="1260" ht="17.25" customHeight="1" s="453" thickBot="1">
      <c r="A1260" s="553">
        <f>IFERROR(LEFT(B1260,7),"")</f>
        <v/>
      </c>
      <c r="B1260" s="554">
        <f>"2026/01"&amp;D1260</f>
        <v/>
      </c>
      <c r="C1260" s="559" t="n">
        <v>146</v>
      </c>
      <c r="D1260" s="484" t="inlineStr">
        <is>
          <t>忠孝7樓</t>
        </is>
      </c>
      <c r="E1260" s="484" t="inlineStr">
        <is>
          <t>6170034</t>
        </is>
      </c>
      <c r="F1260" s="551" t="n"/>
      <c r="G1260" s="484" t="inlineStr">
        <is>
          <t>十蓓電波臉部探頭5cm</t>
        </is>
      </c>
      <c r="H1260" s="552" t="n"/>
      <c r="I1260" s="552" t="n"/>
      <c r="J1260" s="551" t="n"/>
      <c r="K1260" s="140" t="inlineStr">
        <is>
          <t>900發/顆</t>
        </is>
      </c>
      <c r="L1260" s="560" t="n">
        <v>138184</v>
      </c>
      <c r="M1260" s="123" t="n"/>
      <c r="N1260" s="117" t="n"/>
    </row>
    <row r="1261" ht="17.25" customHeight="1" s="453" thickBot="1">
      <c r="A1261" s="553">
        <f>IFERROR(LEFT(B1261,7),"")</f>
        <v/>
      </c>
      <c r="B1261" s="554">
        <f>"2026/01"&amp;D1261</f>
        <v/>
      </c>
      <c r="C1261" s="559" t="n">
        <v>147</v>
      </c>
      <c r="D1261" s="484" t="inlineStr">
        <is>
          <t>忠孝7樓</t>
        </is>
      </c>
      <c r="E1261" s="484" t="inlineStr">
        <is>
          <t>6170035</t>
        </is>
      </c>
      <c r="F1261" s="551" t="n"/>
      <c r="G1261" s="484" t="inlineStr">
        <is>
          <t>十蓓電波眼部探頭0.25cm</t>
        </is>
      </c>
      <c r="H1261" s="552" t="n"/>
      <c r="I1261" s="552" t="n"/>
      <c r="J1261" s="551" t="n"/>
      <c r="K1261" s="140" t="inlineStr">
        <is>
          <t>600發/顆</t>
        </is>
      </c>
      <c r="L1261" s="560" t="n">
        <v>18998</v>
      </c>
      <c r="M1261" s="123" t="n"/>
      <c r="N1261" s="117" t="n"/>
    </row>
    <row r="1262" ht="17.25" customHeight="1" s="453" thickBot="1">
      <c r="A1262" s="553">
        <f>IFERROR(LEFT(B1262,7),"")</f>
        <v/>
      </c>
      <c r="B1262" s="554">
        <f>"2026/01"&amp;D1262</f>
        <v/>
      </c>
      <c r="C1262" s="559" t="n">
        <v>148</v>
      </c>
      <c r="D1262" s="484" t="inlineStr">
        <is>
          <t>忠孝7樓</t>
        </is>
      </c>
      <c r="E1262" s="484" t="inlineStr">
        <is>
          <t>6180007</t>
        </is>
      </c>
      <c r="F1262" s="551" t="n"/>
      <c r="G1262" s="484" t="inlineStr">
        <is>
          <t>(V)MINT秘特拉提線PETIT 15CM/ 條</t>
        </is>
      </c>
      <c r="H1262" s="552" t="n"/>
      <c r="I1262" s="552" t="n"/>
      <c r="J1262" s="551" t="n"/>
      <c r="K1262" s="140" t="inlineStr">
        <is>
          <t>20條/盒</t>
        </is>
      </c>
      <c r="L1262" s="560" t="n">
        <v>8</v>
      </c>
      <c r="M1262" s="123" t="n"/>
      <c r="N1262" s="117" t="n"/>
    </row>
    <row r="1263" ht="17.25" customHeight="1" s="453" thickBot="1">
      <c r="A1263" s="553">
        <f>IFERROR(LEFT(B1263,7),"")</f>
        <v/>
      </c>
      <c r="B1263" s="554">
        <f>"2026/01"&amp;D1263</f>
        <v/>
      </c>
      <c r="C1263" s="559" t="n">
        <v>149</v>
      </c>
      <c r="D1263" s="484" t="inlineStr">
        <is>
          <t>忠孝7樓</t>
        </is>
      </c>
      <c r="E1263" s="484" t="inlineStr">
        <is>
          <t>6180009</t>
        </is>
      </c>
      <c r="F1263" s="551" t="n"/>
      <c r="G1263" s="484" t="inlineStr">
        <is>
          <t>(V)MINT秘特拉提線TIP 4CM/ 條</t>
        </is>
      </c>
      <c r="H1263" s="552" t="n"/>
      <c r="I1263" s="552" t="n"/>
      <c r="J1263" s="551" t="n"/>
      <c r="K1263" s="140" t="inlineStr">
        <is>
          <t>10條/盒</t>
        </is>
      </c>
      <c r="L1263" s="560" t="n">
        <v>16</v>
      </c>
      <c r="M1263" s="123" t="n"/>
      <c r="N1263" s="117" t="n"/>
    </row>
    <row r="1264" ht="17.25" customHeight="1" s="453" thickBot="1">
      <c r="A1264" s="553">
        <f>IFERROR(LEFT(B1264,7),"")</f>
        <v/>
      </c>
      <c r="B1264" s="554">
        <f>"2026/01"&amp;D1264</f>
        <v/>
      </c>
      <c r="C1264" s="559" t="n">
        <v>150</v>
      </c>
      <c r="D1264" s="484" t="inlineStr">
        <is>
          <t>忠孝7樓</t>
        </is>
      </c>
      <c r="E1264" s="484" t="inlineStr">
        <is>
          <t>6180011</t>
        </is>
      </c>
      <c r="F1264" s="551" t="n"/>
      <c r="G1264" s="484" t="inlineStr">
        <is>
          <t>(V)MINT秘特拉提線UP 9.5CM/ 條</t>
        </is>
      </c>
      <c r="H1264" s="552" t="n"/>
      <c r="I1264" s="552" t="n"/>
      <c r="J1264" s="551" t="n"/>
      <c r="K1264" s="140" t="inlineStr">
        <is>
          <t>10條/盒</t>
        </is>
      </c>
      <c r="L1264" s="560" t="n">
        <v>12</v>
      </c>
      <c r="M1264" s="123" t="n"/>
      <c r="N1264" s="117" t="n"/>
    </row>
    <row r="1265" ht="17.25" customHeight="1" s="453" thickBot="1">
      <c r="A1265" s="553">
        <f>IFERROR(LEFT(B1265,7),"")</f>
        <v/>
      </c>
      <c r="B1265" s="554">
        <f>"2026/01"&amp;D1265</f>
        <v/>
      </c>
      <c r="C1265" s="559" t="n">
        <v>151</v>
      </c>
      <c r="D1265" s="484" t="inlineStr">
        <is>
          <t>忠孝7樓</t>
        </is>
      </c>
      <c r="E1265" s="484" t="inlineStr">
        <is>
          <t>6180013</t>
        </is>
      </c>
      <c r="F1265" s="551" t="n"/>
      <c r="G1265" s="484" t="inlineStr">
        <is>
          <t>(V)MINT秘特拉提線FIX 18CM/ 條</t>
        </is>
      </c>
      <c r="H1265" s="552" t="n"/>
      <c r="I1265" s="552" t="n"/>
      <c r="J1265" s="551" t="n"/>
      <c r="K1265" s="140" t="inlineStr">
        <is>
          <t>20條/盒</t>
        </is>
      </c>
      <c r="L1265" s="560" t="n">
        <v>4</v>
      </c>
      <c r="M1265" s="123" t="n"/>
      <c r="N1265" s="117" t="n"/>
    </row>
    <row r="1266" ht="17.25" customHeight="1" s="453" thickBot="1">
      <c r="A1266" s="553">
        <f>IFERROR(LEFT(B1266,7),"")</f>
        <v/>
      </c>
      <c r="B1266" s="554">
        <f>"2026/01"&amp;D1266</f>
        <v/>
      </c>
      <c r="C1266" s="559" t="n">
        <v>152</v>
      </c>
      <c r="D1266" s="484" t="inlineStr">
        <is>
          <t>忠孝7樓</t>
        </is>
      </c>
      <c r="E1266" s="484" t="inlineStr">
        <is>
          <t>6190001</t>
        </is>
      </c>
      <c r="F1266" s="551" t="n"/>
      <c r="G1266" s="484" t="inlineStr">
        <is>
          <t>PLT生長因子凍晶製備/ 瓶</t>
        </is>
      </c>
      <c r="H1266" s="552" t="n"/>
      <c r="I1266" s="552" t="n"/>
      <c r="J1266" s="551" t="n"/>
      <c r="K1266" s="140" t="inlineStr">
        <is>
          <t>瓶</t>
        </is>
      </c>
      <c r="L1266" s="560" t="n">
        <v>7</v>
      </c>
      <c r="M1266" s="123" t="n"/>
      <c r="N1266" s="117" t="n"/>
    </row>
    <row r="1267" ht="17.25" customHeight="1" s="453" thickBot="1">
      <c r="A1267" s="553">
        <f>IFERROR(LEFT(B1267,7),"")</f>
        <v/>
      </c>
      <c r="B1267" s="554">
        <f>"2026/01"&amp;D1267</f>
        <v/>
      </c>
      <c r="C1267" s="559" t="n">
        <v>153</v>
      </c>
      <c r="D1267" s="484" t="inlineStr">
        <is>
          <t>忠孝7樓</t>
        </is>
      </c>
      <c r="E1267" s="484" t="inlineStr">
        <is>
          <t>6190002</t>
        </is>
      </c>
      <c r="F1267" s="551" t="n"/>
      <c r="G1267" s="484" t="inlineStr">
        <is>
          <t>PLT生長因子凍晶製備6入(單瓶)</t>
        </is>
      </c>
      <c r="H1267" s="552" t="n"/>
      <c r="I1267" s="552" t="n"/>
      <c r="J1267" s="551" t="n"/>
      <c r="K1267" s="140" t="inlineStr">
        <is>
          <t>瓶(6入/組)</t>
        </is>
      </c>
      <c r="L1267" s="560" t="n">
        <v>10</v>
      </c>
      <c r="M1267" s="123" t="n"/>
      <c r="N1267" s="117" t="n"/>
    </row>
    <row r="1268" ht="17.25" customHeight="1" s="453" thickBot="1">
      <c r="A1268" s="553">
        <f>IFERROR(LEFT(B1268,7),"")</f>
        <v/>
      </c>
      <c r="B1268" s="554">
        <f>"2026/01"&amp;D1268</f>
        <v/>
      </c>
      <c r="C1268" s="559" t="n">
        <v>154</v>
      </c>
      <c r="D1268" s="484" t="inlineStr">
        <is>
          <t>忠孝7樓</t>
        </is>
      </c>
      <c r="E1268" s="484" t="inlineStr">
        <is>
          <t>6190003</t>
        </is>
      </c>
      <c r="F1268" s="551" t="n"/>
      <c r="G1268" s="484" t="inlineStr">
        <is>
          <t>PLT生長因子凍晶製備10入(單瓶)</t>
        </is>
      </c>
      <c r="H1268" s="552" t="n"/>
      <c r="I1268" s="552" t="n"/>
      <c r="J1268" s="551" t="n"/>
      <c r="K1268" s="140" t="inlineStr">
        <is>
          <t>瓶(10入/組)</t>
        </is>
      </c>
      <c r="L1268" s="560" t="n">
        <v>5</v>
      </c>
      <c r="M1268" s="123" t="n"/>
      <c r="N1268" s="117" t="n"/>
    </row>
    <row r="1269" ht="17.25" customHeight="1" s="453" thickBot="1">
      <c r="A1269" s="553">
        <f>IFERROR(LEFT(B1269,7),"")</f>
        <v/>
      </c>
      <c r="B1269" s="554">
        <f>"2026/01"&amp;D1269</f>
        <v/>
      </c>
      <c r="C1269" s="559" t="n">
        <v>155</v>
      </c>
      <c r="D1269" s="484" t="inlineStr">
        <is>
          <t>忠孝7樓</t>
        </is>
      </c>
      <c r="E1269" s="484" t="inlineStr">
        <is>
          <t>6190004</t>
        </is>
      </c>
      <c r="F1269" s="551" t="n"/>
      <c r="G1269" s="484" t="inlineStr">
        <is>
          <t>PLT生長因子凍晶製備20入(單瓶)</t>
        </is>
      </c>
      <c r="H1269" s="552" t="n"/>
      <c r="I1269" s="552" t="n"/>
      <c r="J1269" s="551" t="n"/>
      <c r="K1269" s="140" t="inlineStr">
        <is>
          <t>瓶(20入/組)</t>
        </is>
      </c>
      <c r="L1269" s="560" t="n">
        <v>34</v>
      </c>
      <c r="M1269" s="123" t="n"/>
      <c r="N1269" s="117" t="n"/>
    </row>
    <row r="1270" ht="17.25" customHeight="1" s="453" thickBot="1">
      <c r="A1270" s="553">
        <f>IFERROR(LEFT(B1270,7),"")</f>
        <v/>
      </c>
      <c r="B1270" s="554">
        <f>"2026/01"&amp;D1270</f>
        <v/>
      </c>
      <c r="C1270" s="559" t="n">
        <v>156</v>
      </c>
      <c r="D1270" s="484" t="inlineStr">
        <is>
          <t>忠孝7樓</t>
        </is>
      </c>
      <c r="E1270" s="484" t="inlineStr">
        <is>
          <t>6200003</t>
        </is>
      </c>
      <c r="F1270" s="551" t="n"/>
      <c r="G1270" s="484" t="inlineStr">
        <is>
          <t>(V)倍克脂Belkyra/ 瓶(20的倍數下單)</t>
        </is>
      </c>
      <c r="H1270" s="552" t="n"/>
      <c r="I1270" s="552" t="n"/>
      <c r="J1270" s="551" t="n"/>
      <c r="K1270" s="140" t="inlineStr">
        <is>
          <t>5瓶/盒</t>
        </is>
      </c>
      <c r="L1270" s="560" t="n">
        <v>15</v>
      </c>
      <c r="M1270" s="123" t="n"/>
      <c r="N1270" s="117" t="n"/>
    </row>
    <row r="1271" ht="17.25" customHeight="1" s="453" thickBot="1">
      <c r="A1271" s="553">
        <f>IFERROR(LEFT(B1271,7),"")</f>
        <v/>
      </c>
      <c r="B1271" s="554">
        <f>"2026/01"&amp;D1271</f>
        <v/>
      </c>
      <c r="C1271" s="559" t="n">
        <v>157</v>
      </c>
      <c r="D1271" s="484" t="inlineStr">
        <is>
          <t>忠孝7樓</t>
        </is>
      </c>
      <c r="E1271" s="484" t="inlineStr">
        <is>
          <t>6210001</t>
        </is>
      </c>
      <c r="F1271" s="551" t="n"/>
      <c r="G1271" s="484" t="inlineStr">
        <is>
          <t>(V)水光針針頭/31G9針/1.0mm/ PCS</t>
        </is>
      </c>
      <c r="H1271" s="552" t="n"/>
      <c r="I1271" s="552" t="n"/>
      <c r="J1271" s="551" t="n"/>
      <c r="K1271" s="140" t="inlineStr">
        <is>
          <t>PCS(20入/盒)</t>
        </is>
      </c>
      <c r="L1271" s="560" t="n">
        <v>2</v>
      </c>
      <c r="M1271" s="123" t="n"/>
      <c r="N1271" s="117" t="n"/>
    </row>
    <row r="1272" ht="17.25" customHeight="1" s="453" thickBot="1">
      <c r="A1272" s="553">
        <f>IFERROR(LEFT(B1272,7),"")</f>
        <v/>
      </c>
      <c r="B1272" s="554">
        <f>"2026/01"&amp;D1272</f>
        <v/>
      </c>
      <c r="C1272" s="559" t="n">
        <v>158</v>
      </c>
      <c r="D1272" s="484" t="inlineStr">
        <is>
          <t>忠孝7樓</t>
        </is>
      </c>
      <c r="E1272" s="484" t="inlineStr">
        <is>
          <t>6210002</t>
        </is>
      </c>
      <c r="F1272" s="551" t="n"/>
      <c r="G1272" s="484" t="inlineStr">
        <is>
          <t>(V)水光針針頭/31G9針/1.2mm/ PCS</t>
        </is>
      </c>
      <c r="H1272" s="552" t="n"/>
      <c r="I1272" s="552" t="n"/>
      <c r="J1272" s="551" t="n"/>
      <c r="K1272" s="140" t="inlineStr">
        <is>
          <t>PCS(20入/盒)</t>
        </is>
      </c>
      <c r="L1272" s="560" t="n">
        <v>325</v>
      </c>
      <c r="M1272" s="123" t="n"/>
      <c r="N1272" s="117" t="n"/>
    </row>
    <row r="1273" ht="17.25" customHeight="1" s="453" thickBot="1">
      <c r="A1273" s="553">
        <f>IFERROR(LEFT(B1273,7),"")</f>
        <v/>
      </c>
      <c r="B1273" s="554">
        <f>"2026/01"&amp;D1273</f>
        <v/>
      </c>
      <c r="C1273" s="559" t="n">
        <v>159</v>
      </c>
      <c r="D1273" s="484" t="inlineStr">
        <is>
          <t>忠孝7樓</t>
        </is>
      </c>
      <c r="E1273" s="484" t="inlineStr">
        <is>
          <t>6210003</t>
        </is>
      </c>
      <c r="F1273" s="551" t="n"/>
      <c r="G1273" s="484" t="inlineStr">
        <is>
          <t>(V)水光針針頭/31G9針/1.5mm/ PCS</t>
        </is>
      </c>
      <c r="H1273" s="552" t="n"/>
      <c r="I1273" s="552" t="n"/>
      <c r="J1273" s="551" t="n"/>
      <c r="K1273" s="140" t="inlineStr">
        <is>
          <t>PCS(20入/盒)</t>
        </is>
      </c>
      <c r="L1273" s="560" t="n">
        <v>24</v>
      </c>
      <c r="M1273" s="123" t="n"/>
      <c r="N1273" s="117" t="n"/>
    </row>
    <row r="1274" ht="17.25" customHeight="1" s="453" thickBot="1">
      <c r="A1274" s="553">
        <f>IFERROR(LEFT(B1274,7),"")</f>
        <v/>
      </c>
      <c r="B1274" s="554">
        <f>"2026/01"&amp;D1274</f>
        <v/>
      </c>
      <c r="C1274" s="559" t="n">
        <v>160</v>
      </c>
      <c r="D1274" s="484" t="inlineStr">
        <is>
          <t>忠孝7樓</t>
        </is>
      </c>
      <c r="E1274" s="484" t="inlineStr">
        <is>
          <t>6210006</t>
        </is>
      </c>
      <c r="F1274" s="551" t="n"/>
      <c r="G1274" s="484" t="inlineStr">
        <is>
          <t>(V)麗珠蘭修復水光(A劑2ml+B劑2ml)</t>
        </is>
      </c>
      <c r="H1274" s="552" t="n"/>
      <c r="I1274" s="552" t="n"/>
      <c r="J1274" s="551" t="n"/>
      <c r="K1274" s="140" t="inlineStr">
        <is>
          <t>2ml*2</t>
        </is>
      </c>
      <c r="L1274" s="560" t="n">
        <v>15</v>
      </c>
      <c r="M1274" s="123" t="n"/>
      <c r="N1274" s="117" t="n"/>
    </row>
    <row r="1275" ht="17.25" customHeight="1" s="453" thickBot="1">
      <c r="A1275" s="553">
        <f>IFERROR(LEFT(B1275,7),"")</f>
        <v/>
      </c>
      <c r="B1275" s="554">
        <f>"2026/01"&amp;D1275</f>
        <v/>
      </c>
      <c r="C1275" s="559" t="n">
        <v>161</v>
      </c>
      <c r="D1275" s="484" t="inlineStr">
        <is>
          <t>忠孝7樓</t>
        </is>
      </c>
      <c r="E1275" s="484" t="inlineStr">
        <is>
          <t>6210007</t>
        </is>
      </c>
      <c r="F1275" s="551" t="n"/>
      <c r="G1275" s="484" t="inlineStr">
        <is>
          <t>(V)麗珠蘭白瓷水光(A劑2ml+B劑2ml)</t>
        </is>
      </c>
      <c r="H1275" s="552" t="n"/>
      <c r="I1275" s="552" t="n"/>
      <c r="J1275" s="551" t="n"/>
      <c r="K1275" s="140" t="inlineStr">
        <is>
          <t>2ml*2</t>
        </is>
      </c>
      <c r="L1275" s="560" t="n">
        <v>13</v>
      </c>
      <c r="M1275" s="123" t="n"/>
      <c r="N1275" s="117" t="n"/>
    </row>
    <row r="1276" ht="17.25" customHeight="1" s="453" thickBot="1">
      <c r="A1276" s="553">
        <f>IFERROR(LEFT(B1276,7),"")</f>
        <v/>
      </c>
      <c r="B1276" s="554">
        <f>"2026/01"&amp;D1276</f>
        <v/>
      </c>
      <c r="C1276" s="559" t="n">
        <v>162</v>
      </c>
      <c r="D1276" s="484" t="inlineStr">
        <is>
          <t>忠孝7樓</t>
        </is>
      </c>
      <c r="E1276" s="484" t="inlineStr">
        <is>
          <t>6210008</t>
        </is>
      </c>
      <c r="F1276" s="551" t="n"/>
      <c r="G1276" s="484" t="inlineStr">
        <is>
          <t>微針筆針頭</t>
        </is>
      </c>
      <c r="H1276" s="552" t="n"/>
      <c r="I1276" s="552" t="n"/>
      <c r="J1276" s="551" t="n"/>
      <c r="K1276" s="140" t="inlineStr">
        <is>
          <t>PCS(33入/盒)</t>
        </is>
      </c>
      <c r="L1276" s="560" t="n">
        <v>6</v>
      </c>
      <c r="M1276" s="123" t="n"/>
      <c r="N1276" s="117" t="n"/>
    </row>
    <row r="1277" ht="17.25" customHeight="1" s="453" thickBot="1">
      <c r="A1277" s="553">
        <f>IFERROR(LEFT(B1277,7),"")</f>
        <v/>
      </c>
      <c r="B1277" s="554">
        <f>"2026/01"&amp;D1277</f>
        <v/>
      </c>
      <c r="C1277" s="559" t="n">
        <v>163</v>
      </c>
      <c r="D1277" s="484" t="inlineStr">
        <is>
          <t>忠孝7樓</t>
        </is>
      </c>
      <c r="E1277" s="484" t="inlineStr">
        <is>
          <t>6220005</t>
        </is>
      </c>
      <c r="F1277" s="551" t="n"/>
      <c r="G1277" s="484" t="inlineStr">
        <is>
          <t>海菲秀深藍端頭/ 顆</t>
        </is>
      </c>
      <c r="H1277" s="552" t="n"/>
      <c r="I1277" s="552" t="n"/>
      <c r="J1277" s="551" t="n"/>
      <c r="K1277" s="140" t="inlineStr">
        <is>
          <t>15顆/串</t>
        </is>
      </c>
      <c r="L1277" s="560" t="n">
        <v>1163</v>
      </c>
      <c r="M1277" s="123" t="n"/>
      <c r="N1277" s="117" t="n"/>
    </row>
    <row r="1278" ht="17.25" customHeight="1" s="453" thickBot="1">
      <c r="A1278" s="553">
        <f>IFERROR(LEFT(B1278,7),"")</f>
        <v/>
      </c>
      <c r="B1278" s="554">
        <f>"2026/01"&amp;D1278</f>
        <v/>
      </c>
      <c r="C1278" s="559" t="n">
        <v>164</v>
      </c>
      <c r="D1278" s="484" t="inlineStr">
        <is>
          <t>忠孝7樓</t>
        </is>
      </c>
      <c r="E1278" s="484" t="inlineStr">
        <is>
          <t>6220006</t>
        </is>
      </c>
      <c r="F1278" s="551" t="n"/>
      <c r="G1278" s="484" t="inlineStr">
        <is>
          <t>海菲秀淺藍端頭/ 顆</t>
        </is>
      </c>
      <c r="H1278" s="552" t="n"/>
      <c r="I1278" s="552" t="n"/>
      <c r="J1278" s="551" t="n"/>
      <c r="K1278" s="140" t="inlineStr">
        <is>
          <t>15顆/串</t>
        </is>
      </c>
      <c r="L1278" s="560" t="n">
        <v>1163</v>
      </c>
      <c r="M1278" s="123" t="n"/>
      <c r="N1278" s="117" t="n"/>
    </row>
    <row r="1279" ht="17.25" customHeight="1" s="453" thickBot="1">
      <c r="A1279" s="553">
        <f>IFERROR(LEFT(B1279,7),"")</f>
        <v/>
      </c>
      <c r="B1279" s="554">
        <f>"2026/01"&amp;D1279</f>
        <v/>
      </c>
      <c r="C1279" s="559" t="n">
        <v>165</v>
      </c>
      <c r="D1279" s="484" t="inlineStr">
        <is>
          <t>忠孝7樓</t>
        </is>
      </c>
      <c r="E1279" s="484" t="inlineStr">
        <is>
          <t>6220007</t>
        </is>
      </c>
      <c r="F1279" s="551" t="n"/>
      <c r="G1279" s="484" t="inlineStr">
        <is>
          <t>海菲秀透明端頭/ 顆</t>
        </is>
      </c>
      <c r="H1279" s="552" t="n"/>
      <c r="I1279" s="552" t="n"/>
      <c r="J1279" s="551" t="n"/>
      <c r="K1279" s="140" t="inlineStr">
        <is>
          <t>15顆/串</t>
        </is>
      </c>
      <c r="L1279" s="560" t="n">
        <v>1163</v>
      </c>
      <c r="M1279" s="123" t="n"/>
      <c r="N1279" s="117" t="n"/>
    </row>
    <row r="1280" ht="17.25" customHeight="1" s="453" thickBot="1">
      <c r="A1280" s="553">
        <f>IFERROR(LEFT(B1280,7),"")</f>
        <v/>
      </c>
      <c r="B1280" s="554">
        <f>"2026/01"&amp;D1280</f>
        <v/>
      </c>
      <c r="C1280" s="559" t="n">
        <v>166</v>
      </c>
      <c r="D1280" s="484" t="inlineStr">
        <is>
          <t>忠孝7樓</t>
        </is>
      </c>
      <c r="E1280" s="484" t="inlineStr">
        <is>
          <t>6220012</t>
        </is>
      </c>
      <c r="F1280" s="551" t="n"/>
      <c r="G1280" s="484" t="inlineStr">
        <is>
          <t>(V)(第一劑)海菲秀 Activ-4 Skin Solution/mL</t>
        </is>
      </c>
      <c r="H1280" s="552" t="n"/>
      <c r="I1280" s="552" t="n"/>
      <c r="J1280" s="551" t="n"/>
      <c r="K1280" s="140" t="inlineStr">
        <is>
          <t>236ml/瓶</t>
        </is>
      </c>
      <c r="L1280" s="560" t="n">
        <v>17445</v>
      </c>
      <c r="M1280" s="123" t="n"/>
      <c r="N1280" s="117" t="n"/>
    </row>
    <row r="1281" ht="17.25" customHeight="1" s="453" thickBot="1">
      <c r="A1281" s="553">
        <f>IFERROR(LEFT(B1281,7),"")</f>
        <v/>
      </c>
      <c r="B1281" s="554">
        <f>"2026/01"&amp;D1281</f>
        <v/>
      </c>
      <c r="C1281" s="559" t="n">
        <v>167</v>
      </c>
      <c r="D1281" s="484" t="inlineStr">
        <is>
          <t>忠孝7樓</t>
        </is>
      </c>
      <c r="E1281" s="484" t="inlineStr">
        <is>
          <t>6220013</t>
        </is>
      </c>
      <c r="F1281" s="551" t="n"/>
      <c r="G1281" s="484" t="inlineStr">
        <is>
          <t>(V)(第二劑)海菲秀 Beta-HD Skin Solution /mL</t>
        </is>
      </c>
      <c r="H1281" s="552" t="n"/>
      <c r="I1281" s="552" t="n"/>
      <c r="J1281" s="551" t="n"/>
      <c r="K1281" s="140" t="inlineStr">
        <is>
          <t>236ml/瓶</t>
        </is>
      </c>
      <c r="L1281" s="560" t="n">
        <v>17445</v>
      </c>
      <c r="M1281" s="123" t="n"/>
      <c r="N1281" s="117" t="n"/>
    </row>
    <row r="1282" ht="17.25" customHeight="1" s="453" thickBot="1">
      <c r="A1282" s="553">
        <f>IFERROR(LEFT(B1282,7),"")</f>
        <v/>
      </c>
      <c r="B1282" s="554">
        <f>"2026/01"&amp;D1282</f>
        <v/>
      </c>
      <c r="C1282" s="559" t="n">
        <v>168</v>
      </c>
      <c r="D1282" s="484" t="inlineStr">
        <is>
          <t>忠孝7樓</t>
        </is>
      </c>
      <c r="E1282" s="484" t="inlineStr">
        <is>
          <t>6220014</t>
        </is>
      </c>
      <c r="F1282" s="551" t="n"/>
      <c r="G1282" s="484" t="inlineStr">
        <is>
          <t>(V)(第三劑)海菲秀 Antiox-6 Skin Solution /mL</t>
        </is>
      </c>
      <c r="H1282" s="552" t="n"/>
      <c r="I1282" s="552" t="n"/>
      <c r="J1282" s="551" t="n"/>
      <c r="K1282" s="140" t="inlineStr">
        <is>
          <t>236ml/瓶</t>
        </is>
      </c>
      <c r="L1282" s="560" t="n">
        <v>17445</v>
      </c>
      <c r="M1282" s="123" t="n"/>
      <c r="N1282" s="117" t="n"/>
    </row>
    <row r="1283" ht="17.25" customHeight="1" s="453" thickBot="1">
      <c r="A1283" s="553">
        <f>IFERROR(LEFT(B1283,7),"")</f>
        <v/>
      </c>
      <c r="B1283" s="554">
        <f>"2026/01"&amp;D1283</f>
        <v/>
      </c>
      <c r="C1283" s="559" t="n">
        <v>169</v>
      </c>
      <c r="D1283" s="484" t="inlineStr">
        <is>
          <t>忠孝7樓</t>
        </is>
      </c>
      <c r="E1283" s="484" t="inlineStr">
        <is>
          <t>6220015</t>
        </is>
      </c>
      <c r="F1283" s="551" t="n"/>
      <c r="G1283" s="484" t="inlineStr">
        <is>
          <t>(V)(第四劑)海菲秀 Rinseaway System Cleaning Solution /mL</t>
        </is>
      </c>
      <c r="H1283" s="552" t="n"/>
      <c r="I1283" s="552" t="n"/>
      <c r="J1283" s="551" t="n"/>
      <c r="K1283" s="140" t="inlineStr">
        <is>
          <t>236ml/瓶</t>
        </is>
      </c>
      <c r="L1283" s="560" t="n">
        <v>17445</v>
      </c>
      <c r="M1283" s="123" t="n"/>
      <c r="N1283" s="117" t="n"/>
    </row>
    <row r="1284" ht="17.25" customHeight="1" s="453" thickBot="1">
      <c r="A1284" s="553">
        <f>IFERROR(LEFT(B1284,7),"")</f>
        <v/>
      </c>
      <c r="B1284" s="554">
        <f>"2026/01"&amp;D1284</f>
        <v/>
      </c>
      <c r="C1284" s="559" t="n">
        <v>170</v>
      </c>
      <c r="D1284" s="484" t="inlineStr">
        <is>
          <t>忠孝國際醫學3樓</t>
        </is>
      </c>
      <c r="E1284" s="484" t="inlineStr">
        <is>
          <t>6120001</t>
        </is>
      </c>
      <c r="F1284" s="551" t="n"/>
      <c r="G1284" s="484" t="inlineStr">
        <is>
          <t>(V)肝得健注射劑/ 瓶，220倍數叫貨</t>
        </is>
      </c>
      <c r="H1284" s="552" t="n"/>
      <c r="I1284" s="552" t="n"/>
      <c r="J1284" s="551" t="n"/>
      <c r="K1284" s="140" t="inlineStr">
        <is>
          <t>20支/盒</t>
        </is>
      </c>
      <c r="L1284" s="560" t="n">
        <v>1163</v>
      </c>
      <c r="M1284" s="123" t="n"/>
      <c r="N1284" s="117" t="n"/>
    </row>
    <row r="1285" ht="17.25" customHeight="1" s="453" thickBot="1">
      <c r="A1285" s="553">
        <f>IFERROR(LEFT(B1285,7),"")</f>
        <v/>
      </c>
      <c r="B1285" s="554">
        <f>"2026/01"&amp;D1285</f>
        <v/>
      </c>
      <c r="C1285" s="559" t="n">
        <v>171</v>
      </c>
      <c r="D1285" s="484" t="inlineStr">
        <is>
          <t>忠孝國際醫學3樓</t>
        </is>
      </c>
      <c r="E1285" s="484" t="inlineStr">
        <is>
          <t>6120002</t>
        </is>
      </c>
      <c r="F1285" s="551" t="n"/>
      <c r="G1285" s="484" t="inlineStr">
        <is>
          <t>(V)卡妮丁注射劑/ 瓶，220倍數叫貨</t>
        </is>
      </c>
      <c r="H1285" s="552" t="n"/>
      <c r="I1285" s="552" t="n"/>
      <c r="J1285" s="551" t="n"/>
      <c r="K1285" s="140" t="inlineStr">
        <is>
          <t>20支/盒</t>
        </is>
      </c>
      <c r="L1285" s="560" t="n">
        <v>1486</v>
      </c>
      <c r="M1285" s="123" t="n"/>
      <c r="N1285" s="117" t="n"/>
    </row>
    <row r="1286" ht="17.25" customHeight="1" s="453" thickBot="1">
      <c r="A1286" s="553">
        <f>IFERROR(LEFT(B1286,7),"")</f>
        <v/>
      </c>
      <c r="B1286" s="554">
        <f>"2026/01"&amp;D1286</f>
        <v/>
      </c>
      <c r="C1286" s="559" t="n">
        <v>172</v>
      </c>
      <c r="D1286" s="484" t="inlineStr">
        <is>
          <t>忠孝國際醫學3樓</t>
        </is>
      </c>
      <c r="E1286" s="484" t="inlineStr">
        <is>
          <t>6120003</t>
        </is>
      </c>
      <c r="F1286" s="551" t="n"/>
      <c r="G1286" s="484" t="inlineStr">
        <is>
          <t>(V)貝力多(雙胜胺) 20% 30mL/ 瓶，50倍數叫貨</t>
        </is>
      </c>
      <c r="H1286" s="552" t="n"/>
      <c r="I1286" s="552" t="n"/>
      <c r="J1286" s="551" t="n"/>
      <c r="K1286" s="140" t="inlineStr">
        <is>
          <t>10支/盒</t>
        </is>
      </c>
      <c r="L1286" s="560" t="n">
        <v>10</v>
      </c>
      <c r="M1286" s="123" t="n"/>
      <c r="N1286" s="117" t="n"/>
    </row>
    <row r="1287" ht="17.25" customHeight="1" s="453" thickBot="1">
      <c r="A1287" s="553">
        <f>IFERROR(LEFT(B1287,7),"")</f>
        <v/>
      </c>
      <c r="B1287" s="554">
        <f>"2026/01"&amp;D1287</f>
        <v/>
      </c>
      <c r="C1287" s="559" t="n">
        <v>173</v>
      </c>
      <c r="D1287" s="484" t="inlineStr">
        <is>
          <t>忠孝國際醫學3樓</t>
        </is>
      </c>
      <c r="E1287" s="484" t="inlineStr">
        <is>
          <t>6120004</t>
        </is>
      </c>
      <c r="F1287" s="551" t="n"/>
      <c r="G1287" s="484" t="inlineStr">
        <is>
          <t>(V)胺基酸點滴250ml/ 袋(安命活源/嘉安命)，20倍數叫貨</t>
        </is>
      </c>
      <c r="H1287" s="552" t="n"/>
      <c r="I1287" s="552" t="n"/>
      <c r="J1287" s="551" t="n"/>
      <c r="K1287" s="140" t="inlineStr">
        <is>
          <t>(20瓶/箱)</t>
        </is>
      </c>
      <c r="L1287" s="560" t="n">
        <v>19</v>
      </c>
      <c r="M1287" s="123" t="n"/>
      <c r="N1287" s="117" t="n"/>
    </row>
    <row r="1288" ht="17.25" customHeight="1" s="453" thickBot="1">
      <c r="A1288" s="553">
        <f>IFERROR(LEFT(B1288,7),"")</f>
        <v/>
      </c>
      <c r="B1288" s="554">
        <f>"2026/01"&amp;D1288</f>
        <v/>
      </c>
      <c r="C1288" s="559" t="n">
        <v>174</v>
      </c>
      <c r="D1288" s="484" t="inlineStr">
        <is>
          <t>忠孝國際醫學3樓</t>
        </is>
      </c>
      <c r="E1288" s="484" t="inlineStr">
        <is>
          <t>6120006</t>
        </is>
      </c>
      <c r="F1288" s="551" t="n"/>
      <c r="G1288" s="484" t="inlineStr">
        <is>
          <t>(V)(B12) 愛壽命 2mL，100倍數叫貨</t>
        </is>
      </c>
      <c r="H1288" s="552" t="n"/>
      <c r="I1288" s="552" t="n"/>
      <c r="J1288" s="551" t="n"/>
      <c r="K1288" s="140" t="inlineStr">
        <is>
          <t>(100支/盒)</t>
        </is>
      </c>
      <c r="L1288" s="560" t="n">
        <v>644</v>
      </c>
      <c r="M1288" s="123" t="n"/>
      <c r="N1288" s="117" t="n"/>
    </row>
    <row r="1289" ht="17.25" customHeight="1" s="453" thickBot="1">
      <c r="A1289" s="553">
        <f>IFERROR(LEFT(B1289,7),"")</f>
        <v/>
      </c>
      <c r="B1289" s="554">
        <f>"2026/01"&amp;D1289</f>
        <v/>
      </c>
      <c r="C1289" s="559" t="n">
        <v>175</v>
      </c>
      <c r="D1289" s="484" t="inlineStr">
        <is>
          <t>忠孝國際醫學3樓</t>
        </is>
      </c>
      <c r="E1289" s="484" t="inlineStr">
        <is>
          <t>6120007</t>
        </is>
      </c>
      <c r="F1289" s="551" t="n"/>
      <c r="G1289" s="484" t="inlineStr">
        <is>
          <t>(V)(硫酸鋅) 1ml/支，100倍數叫貨</t>
        </is>
      </c>
      <c r="H1289" s="552" t="n"/>
      <c r="I1289" s="552" t="n"/>
      <c r="J1289" s="551" t="n"/>
      <c r="K1289" s="140" t="inlineStr">
        <is>
          <t>100支/盒</t>
        </is>
      </c>
      <c r="L1289" s="560" t="n">
        <v>7</v>
      </c>
      <c r="M1289" s="123" t="n"/>
      <c r="N1289" s="117" t="n"/>
    </row>
    <row r="1290" ht="17.25" customHeight="1" s="453" thickBot="1">
      <c r="A1290" s="553">
        <f>IFERROR(LEFT(B1290,7),"")</f>
        <v/>
      </c>
      <c r="B1290" s="554">
        <f>"2026/01"&amp;D1290</f>
        <v/>
      </c>
      <c r="C1290" s="559" t="n">
        <v>176</v>
      </c>
      <c r="D1290" s="484" t="inlineStr">
        <is>
          <t>忠孝國際醫學3樓</t>
        </is>
      </c>
      <c r="E1290" s="484" t="inlineStr">
        <is>
          <t>6120009</t>
        </is>
      </c>
      <c r="F1290" s="551" t="n"/>
      <c r="G1290" s="484" t="inlineStr">
        <is>
          <t>(V)(B1) 硫胺明 2ml</t>
        </is>
      </c>
      <c r="H1290" s="552" t="n"/>
      <c r="I1290" s="552" t="n"/>
      <c r="J1290" s="551" t="n"/>
      <c r="K1290" s="140" t="inlineStr">
        <is>
          <t>(100支/盒)</t>
        </is>
      </c>
      <c r="L1290" s="560" t="n">
        <v>7</v>
      </c>
      <c r="M1290" s="123" t="n"/>
      <c r="N1290" s="117" t="n"/>
    </row>
    <row r="1291" ht="17.25" customHeight="1" s="453" thickBot="1">
      <c r="A1291" s="553">
        <f>IFERROR(LEFT(B1291,7),"")</f>
        <v/>
      </c>
      <c r="B1291" s="554">
        <f>"2026/01"&amp;D1291</f>
        <v/>
      </c>
      <c r="C1291" s="559" t="n">
        <v>177</v>
      </c>
      <c r="D1291" s="484" t="inlineStr">
        <is>
          <t>忠孝國際醫學3樓</t>
        </is>
      </c>
      <c r="E1291" s="484" t="inlineStr">
        <is>
          <t>6120010</t>
        </is>
      </c>
      <c r="F1291" s="551" t="n"/>
      <c r="G1291" s="484" t="inlineStr">
        <is>
          <t>(V)(B6) 活性維生素 2ml，100倍數叫貨</t>
        </is>
      </c>
      <c r="H1291" s="552" t="n"/>
      <c r="I1291" s="552" t="n"/>
      <c r="J1291" s="551" t="n"/>
      <c r="K1291" s="140" t="inlineStr">
        <is>
          <t>(100支/盒)</t>
        </is>
      </c>
      <c r="L1291" s="560" t="n">
        <v>7</v>
      </c>
      <c r="M1291" s="123" t="n"/>
      <c r="N1291" s="117" t="n"/>
    </row>
    <row r="1292" ht="17.25" customHeight="1" s="453" thickBot="1">
      <c r="A1292" s="553">
        <f>IFERROR(LEFT(B1292,7),"")</f>
        <v/>
      </c>
      <c r="B1292" s="554">
        <f>"2026/01"&amp;D1292</f>
        <v/>
      </c>
      <c r="C1292" s="559" t="n">
        <v>178</v>
      </c>
      <c r="D1292" s="484" t="inlineStr">
        <is>
          <t>忠孝國際醫學3樓</t>
        </is>
      </c>
      <c r="E1292" s="484" t="inlineStr">
        <is>
          <t>6120011</t>
        </is>
      </c>
      <c r="F1292" s="551" t="n"/>
      <c r="G1292" s="484" t="inlineStr">
        <is>
          <t>(V)(硒) 西寧特 2ml/支</t>
        </is>
      </c>
      <c r="H1292" s="552" t="n"/>
      <c r="I1292" s="552" t="n"/>
      <c r="J1292" s="551" t="n"/>
      <c r="K1292" s="140" t="inlineStr">
        <is>
          <t>10支/盒</t>
        </is>
      </c>
      <c r="L1292" s="560" t="n">
        <v>10</v>
      </c>
      <c r="M1292" s="123" t="n"/>
      <c r="N1292" s="117" t="n"/>
    </row>
    <row r="1293" ht="17.25" customHeight="1" s="453" thickBot="1">
      <c r="A1293" s="553">
        <f>IFERROR(LEFT(B1293,7),"")</f>
        <v/>
      </c>
      <c r="B1293" s="554">
        <f>"2026/01"&amp;D1293</f>
        <v/>
      </c>
      <c r="C1293" s="559" t="n">
        <v>179</v>
      </c>
      <c r="D1293" s="484" t="inlineStr">
        <is>
          <t>忠孝國際醫學3樓</t>
        </is>
      </c>
      <c r="E1293" s="484" t="inlineStr">
        <is>
          <t>6120013</t>
        </is>
      </c>
      <c r="F1293" s="551" t="n"/>
      <c r="G1293" s="484" t="inlineStr">
        <is>
          <t>(V)生理食鹽水(NS) 250ml/ 袋</t>
        </is>
      </c>
      <c r="H1293" s="552" t="n"/>
      <c r="I1293" s="552" t="n"/>
      <c r="J1293" s="551" t="n"/>
      <c r="K1293" s="140" t="inlineStr">
        <is>
          <t>40瓶/箱</t>
        </is>
      </c>
      <c r="L1293" s="560" t="n">
        <v>639</v>
      </c>
      <c r="M1293" s="123" t="n"/>
      <c r="N1293" s="117" t="n"/>
    </row>
    <row r="1294" ht="17.25" customHeight="1" s="453" thickBot="1">
      <c r="A1294" s="553">
        <f>IFERROR(LEFT(B1294,7),"")</f>
        <v/>
      </c>
      <c r="B1294" s="554">
        <f>"2026/01"&amp;D1294</f>
        <v/>
      </c>
      <c r="C1294" s="559" t="n">
        <v>180</v>
      </c>
      <c r="D1294" s="484" t="inlineStr">
        <is>
          <t>忠孝國際醫學3樓</t>
        </is>
      </c>
      <c r="E1294" s="484" t="inlineStr">
        <is>
          <t>6120014</t>
        </is>
      </c>
      <c r="F1294" s="551" t="n"/>
      <c r="G1294" s="484" t="inlineStr">
        <is>
          <t>(V)葡萄糖水(D5W) 250ml/袋</t>
        </is>
      </c>
      <c r="H1294" s="552" t="n"/>
      <c r="I1294" s="552" t="n"/>
      <c r="J1294" s="551" t="n"/>
      <c r="K1294" s="140" t="inlineStr">
        <is>
          <t>60袋/箱</t>
        </is>
      </c>
      <c r="L1294" s="560" t="n">
        <v>921</v>
      </c>
      <c r="M1294" s="123" t="n"/>
      <c r="N1294" s="117" t="n"/>
    </row>
    <row r="1295" ht="17.25" customHeight="1" s="453" thickBot="1">
      <c r="A1295" s="553">
        <f>IFERROR(LEFT(B1295,7),"")</f>
        <v/>
      </c>
      <c r="B1295" s="554">
        <f>"2026/01"&amp;D1295</f>
        <v/>
      </c>
      <c r="C1295" s="559" t="n">
        <v>181</v>
      </c>
      <c r="D1295" s="484" t="inlineStr">
        <is>
          <t>忠孝國際醫學3樓</t>
        </is>
      </c>
      <c r="E1295" s="484" t="inlineStr">
        <is>
          <t>6120015</t>
        </is>
      </c>
      <c r="F1295" s="551" t="n"/>
      <c r="G1295" s="484" t="inlineStr">
        <is>
          <t>(V)(B群)淘能美複合維他命B 2ml，100倍數叫貨</t>
        </is>
      </c>
      <c r="H1295" s="552" t="n"/>
      <c r="I1295" s="552" t="n"/>
      <c r="J1295" s="551" t="n"/>
      <c r="K1295" s="140" t="n"/>
      <c r="L1295" s="560" t="n">
        <v>12</v>
      </c>
      <c r="M1295" s="123" t="n"/>
      <c r="N1295" s="117" t="n"/>
    </row>
    <row r="1296" ht="17.25" customHeight="1" s="453" thickBot="1">
      <c r="A1296" s="553">
        <f>IFERROR(LEFT(B1296,7),"")</f>
        <v/>
      </c>
      <c r="B1296" s="554">
        <f>"2026/01"&amp;D1296</f>
        <v/>
      </c>
      <c r="C1296" s="559" t="n">
        <v>182</v>
      </c>
      <c r="D1296" s="484" t="inlineStr">
        <is>
          <t>忠孝國際醫學3樓</t>
        </is>
      </c>
      <c r="E1296" s="484" t="inlineStr">
        <is>
          <t>6120016</t>
        </is>
      </c>
      <c r="F1296" s="551" t="n"/>
      <c r="G1296" s="484" t="inlineStr">
        <is>
          <t>(V)(榖胱肝肽) 克樂達養200mg (20ml/瓶)</t>
        </is>
      </c>
      <c r="H1296" s="552" t="n"/>
      <c r="I1296" s="552" t="n"/>
      <c r="J1296" s="551" t="n"/>
      <c r="K1296" s="140" t="inlineStr">
        <is>
          <t>50支/盒</t>
        </is>
      </c>
      <c r="L1296" s="560" t="n">
        <v>12</v>
      </c>
      <c r="M1296" s="123" t="n"/>
      <c r="N1296" s="117" t="n"/>
    </row>
    <row r="1297" ht="17.25" customHeight="1" s="453" thickBot="1">
      <c r="A1297" s="553">
        <f>IFERROR(LEFT(B1297,7),"")</f>
        <v/>
      </c>
      <c r="B1297" s="554">
        <f>"2026/01"&amp;D1297</f>
        <v/>
      </c>
      <c r="C1297" s="559" t="n">
        <v>183</v>
      </c>
      <c r="D1297" s="484" t="inlineStr">
        <is>
          <t>忠孝國際醫學3樓</t>
        </is>
      </c>
      <c r="E1297" s="484" t="inlineStr">
        <is>
          <t>6120017</t>
        </is>
      </c>
      <c r="F1297" s="551" t="n"/>
      <c r="G1297" s="484" t="inlineStr">
        <is>
          <t>(V)保肝 5ml/支</t>
        </is>
      </c>
      <c r="H1297" s="552" t="n"/>
      <c r="I1297" s="552" t="n"/>
      <c r="J1297" s="551" t="n"/>
      <c r="K1297" s="140" t="inlineStr">
        <is>
          <t>50支/盒</t>
        </is>
      </c>
      <c r="L1297" s="560" t="n">
        <v>7</v>
      </c>
      <c r="M1297" s="123" t="n"/>
      <c r="N1297" s="117" t="n"/>
    </row>
    <row r="1298" ht="17.25" customHeight="1" s="453" thickBot="1">
      <c r="A1298" s="553">
        <f>IFERROR(LEFT(B1298,7),"")</f>
        <v/>
      </c>
      <c r="B1298" s="554">
        <f>"2026/01"&amp;D1298</f>
        <v/>
      </c>
      <c r="C1298" s="559" t="n">
        <v>184</v>
      </c>
      <c r="D1298" s="484" t="inlineStr">
        <is>
          <t>忠孝國際醫學3樓</t>
        </is>
      </c>
      <c r="E1298" s="484" t="inlineStr">
        <is>
          <t>6120021</t>
        </is>
      </c>
      <c r="F1298" s="551" t="n"/>
      <c r="G1298" s="484" t="inlineStr">
        <is>
          <t>(V)(Vit C)(抗壞血酸/諾貝爾)20ml，50倍數下單</t>
        </is>
      </c>
      <c r="H1298" s="552" t="n"/>
      <c r="I1298" s="552" t="n"/>
      <c r="J1298" s="551" t="n"/>
      <c r="K1298" s="140" t="inlineStr">
        <is>
          <t>50支/盒</t>
        </is>
      </c>
      <c r="L1298" s="560" t="n">
        <v>12</v>
      </c>
      <c r="M1298" s="123" t="n"/>
    </row>
    <row r="1299" ht="17.25" customHeight="1" s="453" thickBot="1">
      <c r="A1299" s="553">
        <f>IFERROR(LEFT(B1299,7),"")</f>
        <v/>
      </c>
      <c r="B1299" s="554">
        <f>"2026/01"&amp;D1299</f>
        <v/>
      </c>
      <c r="C1299" s="559" t="n">
        <v>185</v>
      </c>
      <c r="D1299" s="484" t="inlineStr">
        <is>
          <t>忠孝國際醫學3樓</t>
        </is>
      </c>
      <c r="E1299" s="484" t="inlineStr">
        <is>
          <t>6120036</t>
        </is>
      </c>
      <c r="F1299" s="551" t="n"/>
      <c r="G1299" s="484" t="inlineStr">
        <is>
          <t>(V)貝力多(雙胜胺) 20% 50mL/ 瓶，50倍數下單</t>
        </is>
      </c>
      <c r="H1299" s="552" t="n"/>
      <c r="I1299" s="552" t="n"/>
      <c r="J1299" s="551" t="n"/>
      <c r="K1299" s="140" t="inlineStr">
        <is>
          <t>瓶(10瓶/盒)</t>
        </is>
      </c>
      <c r="L1299" s="560" t="n">
        <v>2</v>
      </c>
      <c r="M1299" s="123" t="n"/>
    </row>
    <row r="1300" ht="17.25" customHeight="1" s="453" thickBot="1">
      <c r="A1300" s="553">
        <f>IFERROR(LEFT(B1300,7),"")</f>
        <v/>
      </c>
      <c r="B1300" s="554">
        <f>"2026/01"&amp;D1300</f>
        <v/>
      </c>
      <c r="C1300" s="559" t="n">
        <v>186</v>
      </c>
      <c r="D1300" s="484" t="inlineStr">
        <is>
          <t>忠孝國際醫學3樓</t>
        </is>
      </c>
      <c r="E1300" s="484" t="inlineStr">
        <is>
          <t>6200004</t>
        </is>
      </c>
      <c r="F1300" s="551" t="n"/>
      <c r="G1300" s="484" t="inlineStr">
        <is>
          <t>阿爾發SAT卡匣/ 發</t>
        </is>
      </c>
      <c r="H1300" s="552" t="n"/>
      <c r="I1300" s="552" t="n"/>
      <c r="J1300" s="551" t="n"/>
      <c r="K1300" s="140" t="inlineStr">
        <is>
          <t>50發/卡</t>
        </is>
      </c>
      <c r="L1300" s="560" t="n">
        <v>2328</v>
      </c>
      <c r="M1300" s="123" t="n"/>
    </row>
    <row r="1301" ht="17.25" customHeight="1" s="453" thickBot="1">
      <c r="A1301" s="553">
        <f>IFERROR(LEFT(B1301,7),"")</f>
        <v/>
      </c>
      <c r="B1301" s="554">
        <f>"2026/01"&amp;D1301</f>
        <v/>
      </c>
      <c r="C1301" s="559" t="n">
        <v>187</v>
      </c>
      <c r="D1301" s="484" t="inlineStr">
        <is>
          <t>忠孝國際醫學3樓</t>
        </is>
      </c>
      <c r="E1301" s="484" t="inlineStr">
        <is>
          <t>6200008</t>
        </is>
      </c>
      <c r="F1301" s="551" t="n"/>
      <c r="G1301" s="484" t="inlineStr">
        <is>
          <t>瘦瘦筆-週纖達*1支(0.25mg)</t>
        </is>
      </c>
      <c r="H1301" s="552" t="n"/>
      <c r="I1301" s="552" t="n"/>
      <c r="J1301" s="551" t="n"/>
      <c r="K1301" s="140" t="inlineStr">
        <is>
          <t>支</t>
        </is>
      </c>
      <c r="L1301" s="560" t="n">
        <v>4</v>
      </c>
      <c r="M1301" s="123" t="n"/>
    </row>
    <row r="1302" ht="17.25" customHeight="1" s="453" thickBot="1">
      <c r="A1302" s="553">
        <f>IFERROR(LEFT(B1302,7),"")</f>
        <v/>
      </c>
      <c r="B1302" s="554">
        <f>"2026/01"&amp;D1302</f>
        <v/>
      </c>
      <c r="C1302" s="559" t="n">
        <v>188</v>
      </c>
      <c r="D1302" s="484" t="inlineStr">
        <is>
          <t>忠孝國際醫學3樓</t>
        </is>
      </c>
      <c r="E1302" s="484" t="inlineStr">
        <is>
          <t>6200010</t>
        </is>
      </c>
      <c r="F1302" s="551" t="n"/>
      <c r="G1302" s="484" t="inlineStr">
        <is>
          <t>瘦瘦筆-週纖達*1支(1.0mg)</t>
        </is>
      </c>
      <c r="H1302" s="552" t="n"/>
      <c r="I1302" s="552" t="n"/>
      <c r="J1302" s="551" t="n"/>
      <c r="K1302" s="140" t="inlineStr">
        <is>
          <t>支</t>
        </is>
      </c>
      <c r="L1302" s="560" t="n">
        <v>7</v>
      </c>
      <c r="M1302" s="123" t="n"/>
    </row>
    <row r="1303" ht="17.25" customHeight="1" s="453" thickBot="1">
      <c r="A1303" s="553">
        <f>IFERROR(LEFT(B1303,7),"")</f>
        <v/>
      </c>
      <c r="B1303" s="554">
        <f>"2026/01"&amp;D1303</f>
        <v/>
      </c>
      <c r="C1303" s="559" t="n">
        <v>189</v>
      </c>
      <c r="D1303" s="484" t="inlineStr">
        <is>
          <t>忠孝國際醫學3樓</t>
        </is>
      </c>
      <c r="E1303" s="484" t="inlineStr">
        <is>
          <t>6200014</t>
        </is>
      </c>
      <c r="F1303" s="551" t="n"/>
      <c r="G1303" s="484" t="inlineStr">
        <is>
          <t>(V)猛健樂*1支(5mg)</t>
        </is>
      </c>
      <c r="H1303" s="552" t="n"/>
      <c r="I1303" s="552" t="n"/>
      <c r="J1303" s="551" t="n"/>
      <c r="K1303" s="140" t="inlineStr">
        <is>
          <t>3cc/支</t>
        </is>
      </c>
      <c r="L1303" s="560" t="n">
        <v>2</v>
      </c>
      <c r="M1303" s="123" t="n"/>
    </row>
    <row r="1304" ht="17.25" customHeight="1" s="453" thickBot="1">
      <c r="A1304" s="553">
        <f>IFERROR(LEFT(B1304,7),"")</f>
        <v/>
      </c>
      <c r="B1304" s="554">
        <f>"2026/01"&amp;D1304</f>
        <v/>
      </c>
      <c r="C1304" s="559" t="n">
        <v>190</v>
      </c>
      <c r="D1304" s="484" t="inlineStr">
        <is>
          <t>忠孝國際醫學3樓</t>
        </is>
      </c>
      <c r="E1304" s="484" t="inlineStr">
        <is>
          <t>6200015</t>
        </is>
      </c>
      <c r="F1304" s="551" t="n"/>
      <c r="G1304" s="484" t="inlineStr">
        <is>
          <t>(V)猛健樂*1支(7.5mg)</t>
        </is>
      </c>
      <c r="H1304" s="552" t="n"/>
      <c r="I1304" s="552" t="n"/>
      <c r="J1304" s="551" t="n"/>
      <c r="K1304" s="140" t="inlineStr">
        <is>
          <t>3cc/支</t>
        </is>
      </c>
      <c r="L1304" s="560" t="n">
        <v>3</v>
      </c>
      <c r="M1304" s="123" t="n"/>
    </row>
    <row r="1305" ht="17.25" customHeight="1" s="453" thickBot="1">
      <c r="A1305" s="553">
        <f>IFERROR(LEFT(B1305,7),"")</f>
        <v/>
      </c>
      <c r="B1305" s="554">
        <f>"2026/01"&amp;D1305</f>
        <v/>
      </c>
      <c r="C1305" s="559" t="n">
        <v>191</v>
      </c>
      <c r="D1305" s="484" t="inlineStr">
        <is>
          <t>忠孝國際醫學3樓</t>
        </is>
      </c>
      <c r="E1305" s="484" t="inlineStr">
        <is>
          <t>6200016</t>
        </is>
      </c>
      <c r="F1305" s="551" t="n"/>
      <c r="G1305" s="484" t="inlineStr">
        <is>
          <t>(V)猛健樂*1支(10mg)</t>
        </is>
      </c>
      <c r="H1305" s="552" t="n"/>
      <c r="I1305" s="552" t="n"/>
      <c r="J1305" s="551" t="n"/>
      <c r="K1305" s="140" t="inlineStr">
        <is>
          <t>3cc/支</t>
        </is>
      </c>
      <c r="L1305" s="560" t="n">
        <v>7</v>
      </c>
      <c r="M1305" s="123" t="n"/>
    </row>
    <row r="1306" ht="17.25" customHeight="1" s="453" thickBot="1">
      <c r="A1306" s="553">
        <f>IFERROR(LEFT(B1306,7),"")</f>
        <v/>
      </c>
      <c r="B1306" s="554">
        <f>"2026/01"&amp;D1306</f>
        <v/>
      </c>
      <c r="C1306" s="559" t="n">
        <v>192</v>
      </c>
      <c r="D1306" s="484" t="inlineStr">
        <is>
          <t>忠孝國際醫學3樓</t>
        </is>
      </c>
      <c r="E1306" s="484" t="inlineStr">
        <is>
          <t>6200017</t>
        </is>
      </c>
      <c r="F1306" s="551" t="n"/>
      <c r="G1306" s="484" t="inlineStr">
        <is>
          <t>(V)猛健樂10MG/0.15CC</t>
        </is>
      </c>
      <c r="H1306" s="552" t="n"/>
      <c r="I1306" s="552" t="n"/>
      <c r="J1306" s="551" t="n"/>
      <c r="K1306" s="140" t="inlineStr">
        <is>
          <t>0.15cc/次</t>
        </is>
      </c>
      <c r="L1306" s="560" t="n">
        <v>37</v>
      </c>
      <c r="M1306" s="123" t="n"/>
    </row>
    <row r="1307" ht="17.25" customHeight="1" s="453" thickBot="1">
      <c r="A1307" s="553">
        <f>IFERROR(LEFT(B1307,7),"")</f>
        <v/>
      </c>
      <c r="B1307" s="554">
        <f>"2026/01"&amp;D1307</f>
        <v/>
      </c>
      <c r="C1307" s="559" t="n">
        <v>193</v>
      </c>
      <c r="D1307" s="484" t="inlineStr">
        <is>
          <t>忠孝國際醫學3樓</t>
        </is>
      </c>
      <c r="E1307" s="484" t="inlineStr">
        <is>
          <t>6200020</t>
        </is>
      </c>
      <c r="F1307" s="551" t="n"/>
      <c r="G1307" s="484" t="inlineStr">
        <is>
          <t>(V)猛健樂7.5MG/0.2CC</t>
        </is>
      </c>
      <c r="H1307" s="552" t="n"/>
      <c r="I1307" s="552" t="n"/>
      <c r="J1307" s="551" t="n"/>
      <c r="K1307" s="140" t="inlineStr">
        <is>
          <t>0.2cc/次</t>
        </is>
      </c>
      <c r="L1307" s="560" t="n">
        <v>4</v>
      </c>
      <c r="M1307" s="123" t="n"/>
    </row>
    <row r="1308" ht="17.25" customHeight="1" s="453" thickBot="1">
      <c r="A1308" s="553">
        <f>IFERROR(LEFT(B1308,7),"")</f>
        <v/>
      </c>
      <c r="B1308" s="554">
        <f>"2026/01"&amp;D1308</f>
        <v/>
      </c>
      <c r="C1308" s="559" t="n">
        <v>194</v>
      </c>
      <c r="D1308" s="484" t="inlineStr">
        <is>
          <t>忠孝國際醫學3樓</t>
        </is>
      </c>
      <c r="E1308" s="484" t="inlineStr">
        <is>
          <t>6200021</t>
        </is>
      </c>
      <c r="F1308" s="551" t="n"/>
      <c r="G1308" s="484" t="inlineStr">
        <is>
          <t>(V)猛健樂12.5MG/0.12CC</t>
        </is>
      </c>
      <c r="H1308" s="552" t="n"/>
      <c r="I1308" s="552" t="n"/>
      <c r="J1308" s="551" t="n"/>
      <c r="K1308" s="140" t="inlineStr">
        <is>
          <t>0.12cc/次</t>
        </is>
      </c>
      <c r="L1308" s="560" t="n">
        <v>1618.5</v>
      </c>
      <c r="M1308" s="123" t="n"/>
    </row>
    <row r="1309" ht="17.25" customHeight="1" s="453" thickBot="1">
      <c r="A1309" s="553">
        <f>IFERROR(LEFT(B1309,7),"")</f>
        <v/>
      </c>
      <c r="B1309" s="554">
        <f>"2026/02"&amp;D1309</f>
        <v/>
      </c>
      <c r="C1309" s="559" t="n">
        <v>1</v>
      </c>
      <c r="D1309" s="484" t="inlineStr">
        <is>
          <t>站前4樓</t>
        </is>
      </c>
      <c r="E1309" s="484" t="inlineStr">
        <is>
          <t>6120003</t>
        </is>
      </c>
      <c r="F1309" s="551" t="n"/>
      <c r="G1309" s="484" t="inlineStr">
        <is>
          <t>(V)貝力多(雙胜胺) 20% 30mL/ 瓶，50倍數叫貨</t>
        </is>
      </c>
      <c r="H1309" s="552" t="n"/>
      <c r="I1309" s="552" t="n"/>
      <c r="J1309" s="551" t="n"/>
      <c r="K1309" s="140" t="inlineStr">
        <is>
          <t>10支/盒</t>
        </is>
      </c>
      <c r="L1309" s="560" t="n">
        <v>1</v>
      </c>
      <c r="M1309" s="123" t="n"/>
      <c r="N1309" s="561" t="n"/>
    </row>
    <row r="1310" ht="17.25" customHeight="1" s="453" thickBot="1">
      <c r="A1310" s="553">
        <f>IFERROR(LEFT(B1310,7),"")</f>
        <v/>
      </c>
      <c r="B1310" s="554">
        <f>"2026/02"&amp;D1310</f>
        <v/>
      </c>
      <c r="C1310" s="559" t="n">
        <v>2</v>
      </c>
      <c r="D1310" s="484" t="inlineStr">
        <is>
          <t>站前4樓</t>
        </is>
      </c>
      <c r="E1310" s="484" t="inlineStr">
        <is>
          <t>6120004</t>
        </is>
      </c>
      <c r="F1310" s="551" t="n"/>
      <c r="G1310" s="484" t="inlineStr">
        <is>
          <t>(V)胺基酸點滴250ml/ 袋(安命活源/嘉安命)，20倍數叫貨</t>
        </is>
      </c>
      <c r="H1310" s="552" t="n"/>
      <c r="I1310" s="552" t="n"/>
      <c r="J1310" s="551" t="n"/>
      <c r="K1310" s="140" t="inlineStr">
        <is>
          <t>(20瓶/箱)</t>
        </is>
      </c>
      <c r="L1310" s="560" t="n">
        <v>12</v>
      </c>
      <c r="M1310" s="123" t="n"/>
      <c r="N1310" s="561" t="n"/>
    </row>
    <row r="1311" ht="17.25" customHeight="1" s="453" thickBot="1">
      <c r="A1311" s="553">
        <f>IFERROR(LEFT(B1311,7),"")</f>
        <v/>
      </c>
      <c r="B1311" s="554">
        <f>"2026/02"&amp;D1311</f>
        <v/>
      </c>
      <c r="C1311" s="559" t="n">
        <v>3</v>
      </c>
      <c r="D1311" s="484" t="inlineStr">
        <is>
          <t>站前4樓</t>
        </is>
      </c>
      <c r="E1311" s="484" t="inlineStr">
        <is>
          <t>6120006</t>
        </is>
      </c>
      <c r="F1311" s="551" t="n"/>
      <c r="G1311" s="484" t="inlineStr">
        <is>
          <t>(V)(B12) 愛壽命 2mL，100倍數叫貨</t>
        </is>
      </c>
      <c r="H1311" s="552" t="n"/>
      <c r="I1311" s="552" t="n"/>
      <c r="J1311" s="551" t="n"/>
      <c r="K1311" s="140" t="inlineStr">
        <is>
          <t>(100支/盒)</t>
        </is>
      </c>
      <c r="L1311" s="560" t="n">
        <v>14</v>
      </c>
      <c r="M1311" s="123" t="n"/>
      <c r="N1311" s="561" t="n"/>
    </row>
    <row r="1312" ht="17.25" customHeight="1" s="453" thickBot="1">
      <c r="A1312" s="553">
        <f>IFERROR(LEFT(B1312,7),"")</f>
        <v/>
      </c>
      <c r="B1312" s="554">
        <f>"2026/02"&amp;D1312</f>
        <v/>
      </c>
      <c r="C1312" s="559" t="n">
        <v>4</v>
      </c>
      <c r="D1312" s="484" t="inlineStr">
        <is>
          <t>站前4樓</t>
        </is>
      </c>
      <c r="E1312" s="484" t="inlineStr">
        <is>
          <t>6120007</t>
        </is>
      </c>
      <c r="F1312" s="551" t="n"/>
      <c r="G1312" s="484" t="inlineStr">
        <is>
          <t>(V)(硫酸鋅) 1ml/支，100倍數叫貨</t>
        </is>
      </c>
      <c r="H1312" s="552" t="n"/>
      <c r="I1312" s="552" t="n"/>
      <c r="J1312" s="551" t="n"/>
      <c r="K1312" s="140" t="inlineStr">
        <is>
          <t>100支/盒</t>
        </is>
      </c>
      <c r="L1312" s="560" t="n">
        <v>1</v>
      </c>
      <c r="M1312" s="123" t="n"/>
      <c r="N1312" s="561" t="n"/>
    </row>
    <row r="1313" ht="17.25" customHeight="1" s="453" thickBot="1">
      <c r="A1313" s="553">
        <f>IFERROR(LEFT(B1313,7),"")</f>
        <v/>
      </c>
      <c r="B1313" s="554">
        <f>"2026/02"&amp;D1313</f>
        <v/>
      </c>
      <c r="C1313" s="559" t="n">
        <v>5</v>
      </c>
      <c r="D1313" s="484" t="inlineStr">
        <is>
          <t>站前4樓</t>
        </is>
      </c>
      <c r="E1313" s="484" t="inlineStr">
        <is>
          <t>6120013</t>
        </is>
      </c>
      <c r="F1313" s="551" t="n"/>
      <c r="G1313" s="484" t="inlineStr">
        <is>
          <t>(V)生理食鹽水(NS) 250ml/ 袋</t>
        </is>
      </c>
      <c r="H1313" s="552" t="n"/>
      <c r="I1313" s="552" t="n"/>
      <c r="J1313" s="551" t="n"/>
      <c r="K1313" s="140" t="inlineStr">
        <is>
          <t>40瓶/箱</t>
        </is>
      </c>
      <c r="L1313" s="560" t="n">
        <v>135</v>
      </c>
      <c r="M1313" s="123" t="n"/>
      <c r="N1313" s="561" t="n"/>
    </row>
    <row r="1314" ht="17.25" customHeight="1" s="453" thickBot="1">
      <c r="A1314" s="553">
        <f>IFERROR(LEFT(B1314,7),"")</f>
        <v/>
      </c>
      <c r="B1314" s="554">
        <f>"2026/02"&amp;D1314</f>
        <v/>
      </c>
      <c r="C1314" s="559" t="n">
        <v>6</v>
      </c>
      <c r="D1314" s="484" t="inlineStr">
        <is>
          <t>站前4樓</t>
        </is>
      </c>
      <c r="E1314" s="484" t="inlineStr">
        <is>
          <t>6120015</t>
        </is>
      </c>
      <c r="F1314" s="551" t="n"/>
      <c r="G1314" s="484" t="inlineStr">
        <is>
          <t>(V)(B群)淘能美複合維他命B 2ml，100倍數叫貨</t>
        </is>
      </c>
      <c r="H1314" s="552" t="n"/>
      <c r="I1314" s="552" t="n"/>
      <c r="J1314" s="551" t="n"/>
      <c r="K1314" s="140" t="n"/>
      <c r="L1314" s="560" t="n">
        <v>145</v>
      </c>
      <c r="M1314" s="123" t="n"/>
      <c r="N1314" s="561" t="n"/>
    </row>
    <row r="1315" ht="17.25" customHeight="1" s="453" thickBot="1">
      <c r="A1315" s="553">
        <f>IFERROR(LEFT(B1315,7),"")</f>
        <v/>
      </c>
      <c r="B1315" s="554">
        <f>"2026/02"&amp;D1315</f>
        <v/>
      </c>
      <c r="C1315" s="559" t="n">
        <v>7</v>
      </c>
      <c r="D1315" s="484" t="inlineStr">
        <is>
          <t>站前4樓</t>
        </is>
      </c>
      <c r="E1315" s="484" t="inlineStr">
        <is>
          <t>6120016</t>
        </is>
      </c>
      <c r="F1315" s="551" t="n"/>
      <c r="G1315" s="484" t="inlineStr">
        <is>
          <t>(V)(榖胱肝肽) 克樂達養200mg (20ml/瓶)</t>
        </is>
      </c>
      <c r="H1315" s="552" t="n"/>
      <c r="I1315" s="552" t="n"/>
      <c r="J1315" s="551" t="n"/>
      <c r="K1315" s="140" t="inlineStr">
        <is>
          <t>50支/盒</t>
        </is>
      </c>
      <c r="L1315" s="560" t="n">
        <v>144</v>
      </c>
      <c r="M1315" s="123" t="n"/>
      <c r="N1315" s="561" t="n"/>
    </row>
    <row r="1316" ht="17.25" customHeight="1" s="453" thickBot="1">
      <c r="A1316" s="553">
        <f>IFERROR(LEFT(B1316,7),"")</f>
        <v/>
      </c>
      <c r="B1316" s="554">
        <f>"2026/02"&amp;D1316</f>
        <v/>
      </c>
      <c r="C1316" s="559" t="n">
        <v>8</v>
      </c>
      <c r="D1316" s="484" t="inlineStr">
        <is>
          <t>站前4樓</t>
        </is>
      </c>
      <c r="E1316" s="484" t="inlineStr">
        <is>
          <t>6120017</t>
        </is>
      </c>
      <c r="F1316" s="551" t="n"/>
      <c r="G1316" s="484" t="inlineStr">
        <is>
          <t>(V)保肝 5ml/支</t>
        </is>
      </c>
      <c r="H1316" s="552" t="n"/>
      <c r="I1316" s="552" t="n"/>
      <c r="J1316" s="551" t="n"/>
      <c r="K1316" s="140" t="inlineStr">
        <is>
          <t>50支/盒</t>
        </is>
      </c>
      <c r="L1316" s="560" t="n">
        <v>1</v>
      </c>
      <c r="M1316" s="123" t="n"/>
      <c r="N1316" s="561" t="n"/>
    </row>
    <row r="1317" ht="17.25" customHeight="1" s="453" thickBot="1">
      <c r="A1317" s="553">
        <f>IFERROR(LEFT(B1317,7),"")</f>
        <v/>
      </c>
      <c r="B1317" s="554">
        <f>"2026/02"&amp;D1317</f>
        <v/>
      </c>
      <c r="C1317" s="559" t="n">
        <v>9</v>
      </c>
      <c r="D1317" s="484" t="inlineStr">
        <is>
          <t>站前4樓</t>
        </is>
      </c>
      <c r="E1317" s="484" t="inlineStr">
        <is>
          <t>6120018</t>
        </is>
      </c>
      <c r="F1317" s="551" t="n"/>
      <c r="G1317" s="484" t="inlineStr">
        <is>
          <t>(V)(傳明酸)止血明 5ml/支</t>
        </is>
      </c>
      <c r="H1317" s="552" t="n"/>
      <c r="I1317" s="552" t="n"/>
      <c r="J1317" s="551" t="n"/>
      <c r="K1317" s="140" t="inlineStr">
        <is>
          <t>50支/盒</t>
        </is>
      </c>
      <c r="L1317" s="560" t="n">
        <v>51</v>
      </c>
      <c r="M1317" s="123" t="n"/>
      <c r="N1317" s="561" t="n"/>
    </row>
    <row r="1318" ht="17.25" customHeight="1" s="453" thickBot="1">
      <c r="A1318" s="553">
        <f>IFERROR(LEFT(B1318,7),"")</f>
        <v/>
      </c>
      <c r="B1318" s="554">
        <f>"2026/02"&amp;D1318</f>
        <v/>
      </c>
      <c r="C1318" s="559" t="n">
        <v>10</v>
      </c>
      <c r="D1318" s="484" t="inlineStr">
        <is>
          <t>站前4樓</t>
        </is>
      </c>
      <c r="E1318" s="484" t="inlineStr">
        <is>
          <t>6120020</t>
        </is>
      </c>
      <c r="F1318" s="551" t="n"/>
      <c r="G1318" s="484" t="inlineStr">
        <is>
          <t>(V)(Vit C) 抗壞血酸 2mL，100倍數下單</t>
        </is>
      </c>
      <c r="H1318" s="552" t="n"/>
      <c r="I1318" s="552" t="n"/>
      <c r="J1318" s="551" t="n"/>
      <c r="K1318" s="140" t="inlineStr">
        <is>
          <t>100支/盒</t>
        </is>
      </c>
      <c r="L1318" s="560" t="n">
        <v>157</v>
      </c>
      <c r="M1318" s="123" t="n"/>
      <c r="N1318" s="561" t="n"/>
    </row>
    <row r="1319" ht="17.25" customHeight="1" s="453" thickBot="1">
      <c r="A1319" s="553">
        <f>IFERROR(LEFT(B1319,7),"")</f>
        <v/>
      </c>
      <c r="B1319" s="554">
        <f>"2026/02"&amp;D1319</f>
        <v/>
      </c>
      <c r="C1319" s="559" t="n">
        <v>11</v>
      </c>
      <c r="D1319" s="484" t="inlineStr">
        <is>
          <t>站前4樓</t>
        </is>
      </c>
      <c r="E1319" s="484" t="inlineStr">
        <is>
          <t>6120021</t>
        </is>
      </c>
      <c r="F1319" s="551" t="n"/>
      <c r="G1319" s="484" t="inlineStr">
        <is>
          <t>(V)(Vit C)(抗壞血酸/諾貝爾)20ml，50倍數下單</t>
        </is>
      </c>
      <c r="H1319" s="552" t="n"/>
      <c r="I1319" s="552" t="n"/>
      <c r="J1319" s="551" t="n"/>
      <c r="K1319" s="140" t="inlineStr">
        <is>
          <t>50支/盒</t>
        </is>
      </c>
      <c r="L1319" s="560" t="n">
        <v>152</v>
      </c>
      <c r="M1319" s="123" t="n"/>
      <c r="N1319" s="561" t="n"/>
    </row>
    <row r="1320" ht="17.25" customHeight="1" s="453" thickBot="1">
      <c r="A1320" s="553">
        <f>IFERROR(LEFT(B1320,7),"")</f>
        <v/>
      </c>
      <c r="B1320" s="554">
        <f>"2026/02"&amp;D1320</f>
        <v/>
      </c>
      <c r="C1320" s="559" t="n">
        <v>12</v>
      </c>
      <c r="D1320" s="484" t="inlineStr">
        <is>
          <t>站前4樓</t>
        </is>
      </c>
      <c r="E1320" s="484" t="inlineStr">
        <is>
          <t>6120022</t>
        </is>
      </c>
      <c r="F1320" s="551" t="n"/>
      <c r="G1320" s="484" t="inlineStr">
        <is>
          <t>(V)(銀杏) 循必利Gingo注射液0.84毫克/毫升 5ml</t>
        </is>
      </c>
      <c r="H1320" s="552" t="n"/>
      <c r="I1320" s="552" t="n"/>
      <c r="J1320" s="551" t="n"/>
      <c r="K1320" s="140" t="inlineStr">
        <is>
          <t>50支/盒</t>
        </is>
      </c>
      <c r="L1320" s="560" t="n">
        <v>1</v>
      </c>
      <c r="M1320" s="123" t="n"/>
      <c r="N1320" s="561" t="n"/>
    </row>
    <row r="1321" ht="17.25" customHeight="1" s="453" thickBot="1">
      <c r="A1321" s="553">
        <f>IFERROR(LEFT(B1321,7),"")</f>
        <v/>
      </c>
      <c r="B1321" s="554">
        <f>"2026/02"&amp;D1321</f>
        <v/>
      </c>
      <c r="C1321" s="559" t="n">
        <v>13</v>
      </c>
      <c r="D1321" s="484" t="inlineStr">
        <is>
          <t>站前4樓</t>
        </is>
      </c>
      <c r="E1321" s="484" t="inlineStr">
        <is>
          <t>6120030</t>
        </is>
      </c>
      <c r="F1321" s="551" t="n"/>
      <c r="G1321" s="484" t="inlineStr">
        <is>
          <t>(V)克多炎 Keto 1ml</t>
        </is>
      </c>
      <c r="H1321" s="552" t="n"/>
      <c r="I1321" s="552" t="n"/>
      <c r="J1321" s="551" t="n"/>
      <c r="K1321" s="140" t="inlineStr">
        <is>
          <t>100支/盒</t>
        </is>
      </c>
      <c r="L1321" s="560" t="n">
        <v>1</v>
      </c>
      <c r="M1321" s="123" t="n"/>
      <c r="N1321" s="561" t="n"/>
    </row>
    <row r="1322" ht="17.25" customHeight="1" s="453" thickBot="1">
      <c r="A1322" s="553">
        <f>IFERROR(LEFT(B1322,7),"")</f>
        <v/>
      </c>
      <c r="B1322" s="554">
        <f>"2026/02"&amp;D1322</f>
        <v/>
      </c>
      <c r="C1322" s="559" t="n">
        <v>14</v>
      </c>
      <c r="D1322" s="484" t="inlineStr">
        <is>
          <t>站前4樓</t>
        </is>
      </c>
      <c r="E1322" s="484" t="inlineStr">
        <is>
          <t>6120036</t>
        </is>
      </c>
      <c r="F1322" s="551" t="n"/>
      <c r="G1322" s="484" t="inlineStr">
        <is>
          <t>(V)貝力多(雙胜胺) 20% 50mL/ 瓶，50倍數下單</t>
        </is>
      </c>
      <c r="H1322" s="552" t="n"/>
      <c r="I1322" s="552" t="n"/>
      <c r="J1322" s="551" t="n"/>
      <c r="K1322" s="140" t="inlineStr">
        <is>
          <t>瓶(10瓶/盒)</t>
        </is>
      </c>
      <c r="L1322" s="560" t="n">
        <v>11</v>
      </c>
      <c r="M1322" s="123" t="n"/>
      <c r="N1322" s="561" t="n"/>
    </row>
    <row r="1323" ht="17.25" customHeight="1" s="453" thickBot="1">
      <c r="A1323" s="553">
        <f>IFERROR(LEFT(B1323,7),"")</f>
        <v/>
      </c>
      <c r="B1323" s="554">
        <f>"2026/02"&amp;D1323</f>
        <v/>
      </c>
      <c r="C1323" s="559" t="n">
        <v>15</v>
      </c>
      <c r="D1323" s="484" t="inlineStr">
        <is>
          <t>站前4樓</t>
        </is>
      </c>
      <c r="E1323" s="484" t="inlineStr">
        <is>
          <t>6140001</t>
        </is>
      </c>
      <c r="F1323" s="551" t="n"/>
      <c r="G1323" s="484" t="inlineStr">
        <is>
          <t>(V)保妥適Botox/ u，100倍數下單</t>
        </is>
      </c>
      <c r="H1323" s="552" t="n"/>
      <c r="I1323" s="552" t="n"/>
      <c r="J1323" s="551" t="n"/>
      <c r="K1323" s="140" t="inlineStr">
        <is>
          <t>100U/瓶</t>
        </is>
      </c>
      <c r="L1323" s="560" t="n">
        <v>4168</v>
      </c>
      <c r="M1323" s="123" t="n"/>
      <c r="N1323" s="561" t="n"/>
    </row>
    <row r="1324" ht="17.25" customHeight="1" s="453" thickBot="1">
      <c r="A1324" s="553">
        <f>IFERROR(LEFT(B1324,7),"")</f>
        <v/>
      </c>
      <c r="B1324" s="554">
        <f>"2026/02"&amp;D1324</f>
        <v/>
      </c>
      <c r="C1324" s="559" t="n">
        <v>16</v>
      </c>
      <c r="D1324" s="484" t="inlineStr">
        <is>
          <t>站前4樓</t>
        </is>
      </c>
      <c r="E1324" s="484" t="inlineStr">
        <is>
          <t>6140003</t>
        </is>
      </c>
      <c r="F1324" s="551" t="n"/>
      <c r="G1324" s="484" t="inlineStr">
        <is>
          <t>(V)保提拉肉毒Letybo/ u，3200倍數下單</t>
        </is>
      </c>
      <c r="H1324" s="552" t="n"/>
      <c r="I1324" s="552" t="n"/>
      <c r="J1324" s="551" t="n"/>
      <c r="K1324" s="140" t="inlineStr">
        <is>
          <t>200U/瓶</t>
        </is>
      </c>
      <c r="L1324" s="560" t="n">
        <v>7116</v>
      </c>
      <c r="M1324" s="123" t="n"/>
      <c r="N1324" s="561" t="n"/>
    </row>
    <row r="1325" ht="17.25" customHeight="1" s="453" thickBot="1">
      <c r="A1325" s="553">
        <f>IFERROR(LEFT(B1325,7),"")</f>
        <v/>
      </c>
      <c r="B1325" s="554">
        <f>"2026/02"&amp;D1325</f>
        <v/>
      </c>
      <c r="C1325" s="559" t="n">
        <v>17</v>
      </c>
      <c r="D1325" s="484" t="inlineStr">
        <is>
          <t>站前4樓</t>
        </is>
      </c>
      <c r="E1325" s="484" t="inlineStr">
        <is>
          <t>6140005</t>
        </is>
      </c>
      <c r="F1325" s="551" t="n"/>
      <c r="G1325" s="484" t="inlineStr">
        <is>
          <t>(V)奇肌肉毒/ u，200倍數下單</t>
        </is>
      </c>
      <c r="H1325" s="552" t="n"/>
      <c r="I1325" s="552" t="n"/>
      <c r="J1325" s="551" t="n"/>
      <c r="K1325" s="140" t="inlineStr">
        <is>
          <t>200U/瓶</t>
        </is>
      </c>
      <c r="L1325" s="560" t="n">
        <v>1291</v>
      </c>
      <c r="M1325" s="123" t="n"/>
      <c r="N1325" s="561" t="n"/>
    </row>
    <row r="1326" ht="17.25" customHeight="1" s="453" thickBot="1">
      <c r="A1326" s="553">
        <f>IFERROR(LEFT(B1326,7),"")</f>
        <v/>
      </c>
      <c r="B1326" s="554">
        <f>"2026/02"&amp;D1326</f>
        <v/>
      </c>
      <c r="C1326" s="559" t="n">
        <v>18</v>
      </c>
      <c r="D1326" s="484" t="inlineStr">
        <is>
          <t>站前4樓</t>
        </is>
      </c>
      <c r="E1326" s="484" t="inlineStr">
        <is>
          <t>6150001</t>
        </is>
      </c>
      <c r="F1326" s="551" t="n"/>
      <c r="G1326" s="484" t="inlineStr">
        <is>
          <t>(V)喬雅登-豐麗緹玻尿酸植入物Voluma 1ml</t>
        </is>
      </c>
      <c r="H1326" s="552" t="n"/>
      <c r="I1326" s="552" t="n"/>
      <c r="J1326" s="551" t="n"/>
      <c r="K1326" s="140" t="inlineStr">
        <is>
          <t>1ml(2ml/盒)</t>
        </is>
      </c>
      <c r="L1326" s="560" t="n">
        <v>220</v>
      </c>
      <c r="M1326" s="123" t="n"/>
      <c r="N1326" s="561" t="n"/>
    </row>
    <row r="1327" ht="17.25" customHeight="1" s="453" thickBot="1">
      <c r="A1327" s="553">
        <f>IFERROR(LEFT(B1327,7),"")</f>
        <v/>
      </c>
      <c r="B1327" s="554">
        <f>"2026/02"&amp;D1327</f>
        <v/>
      </c>
      <c r="C1327" s="559" t="n">
        <v>19</v>
      </c>
      <c r="D1327" s="484" t="inlineStr">
        <is>
          <t>站前4樓</t>
        </is>
      </c>
      <c r="E1327" s="484" t="inlineStr">
        <is>
          <t>6150002</t>
        </is>
      </c>
      <c r="F1327" s="551" t="n"/>
      <c r="G1327" s="484" t="inlineStr">
        <is>
          <t>(V)喬雅登-夢蓓菈玻尿酸植入物Volbella 1ml</t>
        </is>
      </c>
      <c r="H1327" s="552" t="n"/>
      <c r="I1327" s="552" t="n"/>
      <c r="J1327" s="551" t="n"/>
      <c r="K1327" s="140" t="inlineStr">
        <is>
          <t>1ml(2ml/盒)</t>
        </is>
      </c>
      <c r="L1327" s="560" t="n">
        <v>7</v>
      </c>
      <c r="M1327" s="123" t="n"/>
      <c r="N1327" s="561" t="n"/>
    </row>
    <row r="1328" ht="17.25" customHeight="1" s="453" thickBot="1">
      <c r="A1328" s="553">
        <f>IFERROR(LEFT(B1328,7),"")</f>
        <v/>
      </c>
      <c r="B1328" s="554">
        <f>"2026/02"&amp;D1328</f>
        <v/>
      </c>
      <c r="C1328" s="559" t="n">
        <v>20</v>
      </c>
      <c r="D1328" s="484" t="inlineStr">
        <is>
          <t>站前4樓</t>
        </is>
      </c>
      <c r="E1328" s="484" t="inlineStr">
        <is>
          <t>6150003</t>
        </is>
      </c>
      <c r="F1328" s="551" t="n"/>
      <c r="G1328" s="484" t="inlineStr">
        <is>
          <t>(V)喬雅登-豐麗緹玻尿酸植入物Volift 1ml</t>
        </is>
      </c>
      <c r="H1328" s="552" t="n"/>
      <c r="I1328" s="552" t="n"/>
      <c r="J1328" s="551" t="n"/>
      <c r="K1328" s="140" t="inlineStr">
        <is>
          <t>1ml(2ml/盒)</t>
        </is>
      </c>
      <c r="L1328" s="560" t="n">
        <v>6</v>
      </c>
      <c r="M1328" s="123" t="n"/>
      <c r="N1328" s="561" t="n"/>
    </row>
    <row r="1329" ht="17.25" customHeight="1" s="453" thickBot="1">
      <c r="A1329" s="553">
        <f>IFERROR(LEFT(B1329,7),"")</f>
        <v/>
      </c>
      <c r="B1329" s="554">
        <f>"2026/02"&amp;D1329</f>
        <v/>
      </c>
      <c r="C1329" s="559" t="n">
        <v>21</v>
      </c>
      <c r="D1329" s="484" t="inlineStr">
        <is>
          <t>站前4樓</t>
        </is>
      </c>
      <c r="E1329" s="484" t="inlineStr">
        <is>
          <t>6150004</t>
        </is>
      </c>
      <c r="F1329" s="551" t="n"/>
      <c r="G1329" s="484" t="inlineStr">
        <is>
          <t>(V)喬雅登-豐塑玻尿酸植入物Volux 1ml</t>
        </is>
      </c>
      <c r="H1329" s="552" t="n"/>
      <c r="I1329" s="552" t="n"/>
      <c r="J1329" s="551" t="n"/>
      <c r="K1329" s="140" t="inlineStr">
        <is>
          <t>1ml(2ml/盒)</t>
        </is>
      </c>
      <c r="L1329" s="560" t="n">
        <v>14</v>
      </c>
      <c r="M1329" s="123" t="n"/>
      <c r="N1329" s="561" t="n"/>
    </row>
    <row r="1330" ht="17.25" customHeight="1" s="453" thickBot="1">
      <c r="A1330" s="553">
        <f>IFERROR(LEFT(B1330,7),"")</f>
        <v/>
      </c>
      <c r="B1330" s="554">
        <f>"2026/02"&amp;D1330</f>
        <v/>
      </c>
      <c r="C1330" s="559" t="n">
        <v>22</v>
      </c>
      <c r="D1330" s="484" t="inlineStr">
        <is>
          <t>站前4樓</t>
        </is>
      </c>
      <c r="E1330" s="484" t="inlineStr">
        <is>
          <t>6150005</t>
        </is>
      </c>
      <c r="F1330" s="551" t="n"/>
      <c r="G1330" s="484" t="inlineStr">
        <is>
          <t>(V)喬雅登-芙潤玻尿酸植入物Volite 1ml</t>
        </is>
      </c>
      <c r="H1330" s="552" t="n"/>
      <c r="I1330" s="552" t="n"/>
      <c r="J1330" s="551" t="n"/>
      <c r="K1330" s="140" t="inlineStr">
        <is>
          <t>1ml(2ml/盒)</t>
        </is>
      </c>
      <c r="L1330" s="560" t="n">
        <v>4</v>
      </c>
      <c r="M1330" s="123" t="n"/>
      <c r="N1330" s="561" t="n"/>
    </row>
    <row r="1331" ht="17.25" customHeight="1" s="453" thickBot="1">
      <c r="A1331" s="553">
        <f>IFERROR(LEFT(B1331,7),"")</f>
        <v/>
      </c>
      <c r="B1331" s="554">
        <f>"2026/02"&amp;D1331</f>
        <v/>
      </c>
      <c r="C1331" s="559" t="n">
        <v>23</v>
      </c>
      <c r="D1331" s="484" t="inlineStr">
        <is>
          <t>站前4樓</t>
        </is>
      </c>
      <c r="E1331" s="484" t="inlineStr">
        <is>
          <t>6150010</t>
        </is>
      </c>
      <c r="F1331" s="551" t="n"/>
      <c r="G1331" s="484" t="inlineStr">
        <is>
          <t>(V)仙女玻尿酸大分子 1ml</t>
        </is>
      </c>
      <c r="H1331" s="552" t="n"/>
      <c r="I1331" s="552" t="n"/>
      <c r="J1331" s="551" t="n"/>
      <c r="K1331" s="140" t="inlineStr">
        <is>
          <t>1ml(1ml/盒)</t>
        </is>
      </c>
      <c r="L1331" s="560" t="n">
        <v>37</v>
      </c>
      <c r="M1331" s="123" t="n"/>
      <c r="N1331" s="561" t="n"/>
    </row>
    <row r="1332" ht="17.25" customHeight="1" s="453" thickBot="1">
      <c r="A1332" s="553">
        <f>IFERROR(LEFT(B1332,7),"")</f>
        <v/>
      </c>
      <c r="B1332" s="554">
        <f>"2026/02"&amp;D1332</f>
        <v/>
      </c>
      <c r="C1332" s="559" t="n">
        <v>24</v>
      </c>
      <c r="D1332" s="484" t="inlineStr">
        <is>
          <t>站前4樓</t>
        </is>
      </c>
      <c r="E1332" s="484" t="inlineStr">
        <is>
          <t>6150011</t>
        </is>
      </c>
      <c r="F1332" s="551" t="n"/>
      <c r="G1332" s="484" t="inlineStr">
        <is>
          <t>(V)仙女玻尿酸小分子 1ml</t>
        </is>
      </c>
      <c r="H1332" s="552" t="n"/>
      <c r="I1332" s="552" t="n"/>
      <c r="J1332" s="551" t="n"/>
      <c r="K1332" s="140" t="inlineStr">
        <is>
          <t>1ml(1ml/盒)</t>
        </is>
      </c>
      <c r="L1332" s="560" t="n">
        <v>5</v>
      </c>
      <c r="M1332" s="123" t="n"/>
      <c r="N1332" s="561" t="n"/>
    </row>
    <row r="1333" ht="17.25" customHeight="1" s="453" thickBot="1">
      <c r="A1333" s="553">
        <f>IFERROR(LEFT(B1333,7),"")</f>
        <v/>
      </c>
      <c r="B1333" s="554">
        <f>"2026/02"&amp;D1333</f>
        <v/>
      </c>
      <c r="C1333" s="559" t="n">
        <v>25</v>
      </c>
      <c r="D1333" s="484" t="inlineStr">
        <is>
          <t>站前4樓</t>
        </is>
      </c>
      <c r="E1333" s="484" t="inlineStr">
        <is>
          <t>6150013</t>
        </is>
      </c>
      <c r="F1333" s="551" t="n"/>
      <c r="G1333" s="484" t="inlineStr">
        <is>
          <t>(V)逆時針(璞菲洛)2cc</t>
        </is>
      </c>
      <c r="H1333" s="552" t="n"/>
      <c r="I1333" s="552" t="n"/>
      <c r="J1333" s="551" t="n"/>
      <c r="K1333" s="140" t="inlineStr">
        <is>
          <t>1ml(1ml/盒)</t>
        </is>
      </c>
      <c r="L1333" s="560" t="n">
        <v>14</v>
      </c>
      <c r="M1333" s="123" t="n"/>
      <c r="N1333" s="561" t="n"/>
    </row>
    <row r="1334" ht="17.25" customHeight="1" s="453" thickBot="1">
      <c r="A1334" s="553">
        <f>IFERROR(LEFT(B1334,7),"")</f>
        <v/>
      </c>
      <c r="B1334" s="554">
        <f>"2026/02"&amp;D1334</f>
        <v/>
      </c>
      <c r="C1334" s="559" t="n">
        <v>26</v>
      </c>
      <c r="D1334" s="484" t="inlineStr">
        <is>
          <t>站前4樓</t>
        </is>
      </c>
      <c r="E1334" s="484" t="inlineStr">
        <is>
          <t>6160001</t>
        </is>
      </c>
      <c r="F1334" s="551" t="n"/>
      <c r="G1334" s="484" t="inlineStr">
        <is>
          <t>(V)艾麗斯 Aesthe Fill-200mg/ 瓶</t>
        </is>
      </c>
      <c r="H1334" s="552" t="n"/>
      <c r="I1334" s="552" t="n"/>
      <c r="J1334" s="551" t="n"/>
      <c r="K1334" s="140" t="inlineStr">
        <is>
          <t>瓶</t>
        </is>
      </c>
      <c r="L1334" s="560" t="n">
        <v>2</v>
      </c>
      <c r="M1334" s="123" t="n"/>
      <c r="N1334" s="561" t="n"/>
    </row>
    <row r="1335" ht="17.25" customHeight="1" s="453" thickBot="1">
      <c r="A1335" s="553">
        <f>IFERROR(LEFT(B1335,7),"")</f>
        <v/>
      </c>
      <c r="B1335" s="554">
        <f>"2026/02"&amp;D1335</f>
        <v/>
      </c>
      <c r="C1335" s="559" t="n">
        <v>27</v>
      </c>
      <c r="D1335" s="484" t="inlineStr">
        <is>
          <t>站前4樓</t>
        </is>
      </c>
      <c r="E1335" s="484" t="inlineStr">
        <is>
          <t>6160002</t>
        </is>
      </c>
      <c r="F1335" s="551" t="n"/>
      <c r="G1335" s="484" t="inlineStr">
        <is>
          <t>(V)洢蓮絲植入劑ELLANSÉ-S 1ml</t>
        </is>
      </c>
      <c r="H1335" s="552" t="n"/>
      <c r="I1335" s="552" t="n"/>
      <c r="J1335" s="551" t="n"/>
      <c r="K1335" s="140" t="inlineStr">
        <is>
          <t>1ml(2ml/盒)</t>
        </is>
      </c>
      <c r="L1335" s="560" t="n">
        <v>82</v>
      </c>
      <c r="M1335" s="123" t="n"/>
      <c r="N1335" s="561" t="n"/>
    </row>
    <row r="1336" ht="17.25" customHeight="1" s="453" thickBot="1">
      <c r="A1336" s="553">
        <f>IFERROR(LEFT(B1336,7),"")</f>
        <v/>
      </c>
      <c r="B1336" s="554">
        <f>"2026/02"&amp;D1336</f>
        <v/>
      </c>
      <c r="C1336" s="559" t="n">
        <v>28</v>
      </c>
      <c r="D1336" s="484" t="inlineStr">
        <is>
          <t>站前4樓</t>
        </is>
      </c>
      <c r="E1336" s="484" t="inlineStr">
        <is>
          <t>6160003</t>
        </is>
      </c>
      <c r="F1336" s="551" t="n"/>
      <c r="G1336" s="484" t="inlineStr">
        <is>
          <t>(V)洢蓮絲植入劑ELLANSÉ-M 1ml</t>
        </is>
      </c>
      <c r="H1336" s="552" t="n"/>
      <c r="I1336" s="552" t="n"/>
      <c r="J1336" s="551" t="n"/>
      <c r="K1336" s="140" t="inlineStr">
        <is>
          <t>1ml(2ml/盒)</t>
        </is>
      </c>
      <c r="L1336" s="560" t="n">
        <v>6</v>
      </c>
      <c r="M1336" s="123" t="n"/>
      <c r="N1336" s="561" t="n"/>
    </row>
    <row r="1337" ht="17.25" customHeight="1" s="453" thickBot="1">
      <c r="A1337" s="553">
        <f>IFERROR(LEFT(B1337,7),"")</f>
        <v/>
      </c>
      <c r="B1337" s="554">
        <f>"2026/02"&amp;D1337</f>
        <v/>
      </c>
      <c r="C1337" s="559" t="n">
        <v>29</v>
      </c>
      <c r="D1337" s="484" t="inlineStr">
        <is>
          <t>站前4樓</t>
        </is>
      </c>
      <c r="E1337" s="484" t="inlineStr">
        <is>
          <t>6160005</t>
        </is>
      </c>
      <c r="F1337" s="551" t="n"/>
      <c r="G1337" s="484" t="inlineStr">
        <is>
          <t>(V)双美熊貓針</t>
        </is>
      </c>
      <c r="H1337" s="552" t="n"/>
      <c r="I1337" s="552" t="n"/>
      <c r="J1337" s="551" t="n"/>
      <c r="K1337" s="140" t="inlineStr">
        <is>
          <t>(1ml/盒)</t>
        </is>
      </c>
      <c r="L1337" s="560" t="n">
        <v>43</v>
      </c>
      <c r="M1337" s="123" t="n"/>
      <c r="N1337" s="561" t="n"/>
    </row>
    <row r="1338" ht="17.25" customHeight="1" s="453" thickBot="1">
      <c r="A1338" s="553">
        <f>IFERROR(LEFT(B1338,7),"")</f>
        <v/>
      </c>
      <c r="B1338" s="554">
        <f>"2026/02"&amp;D1338</f>
        <v/>
      </c>
      <c r="C1338" s="559" t="n">
        <v>30</v>
      </c>
      <c r="D1338" s="484" t="inlineStr">
        <is>
          <t>站前4樓</t>
        </is>
      </c>
      <c r="E1338" s="484" t="inlineStr">
        <is>
          <t>6160008</t>
        </is>
      </c>
      <c r="F1338" s="551" t="n"/>
      <c r="G1338" s="484" t="inlineStr">
        <is>
          <t>白童針-薇貝拉50mg/1cc</t>
        </is>
      </c>
      <c r="H1338" s="552" t="n"/>
      <c r="I1338" s="552" t="n"/>
      <c r="J1338" s="551" t="n"/>
      <c r="K1338" s="140" t="inlineStr">
        <is>
          <t>6cc/瓶</t>
        </is>
      </c>
      <c r="L1338" s="560" t="n">
        <v>8</v>
      </c>
      <c r="M1338" s="123" t="n"/>
      <c r="N1338" s="561" t="n"/>
    </row>
    <row r="1339" ht="17.25" customHeight="1" s="453" thickBot="1">
      <c r="A1339" s="553">
        <f>IFERROR(LEFT(B1339,7),"")</f>
        <v/>
      </c>
      <c r="B1339" s="554">
        <f>"2026/02"&amp;D1339</f>
        <v/>
      </c>
      <c r="C1339" s="559" t="n">
        <v>31</v>
      </c>
      <c r="D1339" s="484" t="inlineStr">
        <is>
          <t>站前4樓</t>
        </is>
      </c>
      <c r="E1339" s="484" t="inlineStr">
        <is>
          <t>6160009</t>
        </is>
      </c>
      <c r="F1339" s="551" t="n"/>
      <c r="G1339" s="484" t="inlineStr">
        <is>
          <t>黑童針-薇貝拉200mg/1cc</t>
        </is>
      </c>
      <c r="H1339" s="552" t="n"/>
      <c r="I1339" s="552" t="n"/>
      <c r="J1339" s="551" t="n"/>
      <c r="K1339" s="140" t="inlineStr">
        <is>
          <t>8cc/瓶</t>
        </is>
      </c>
      <c r="L1339" s="560" t="n">
        <v>27</v>
      </c>
      <c r="M1339" s="123" t="n"/>
      <c r="N1339" s="561" t="n"/>
    </row>
    <row r="1340" ht="17.25" customHeight="1" s="453" thickBot="1">
      <c r="A1340" s="553">
        <f>IFERROR(LEFT(B1340,7),"")</f>
        <v/>
      </c>
      <c r="B1340" s="554">
        <f>"2026/02"&amp;D1340</f>
        <v/>
      </c>
      <c r="C1340" s="559" t="n">
        <v>32</v>
      </c>
      <c r="D1340" s="484" t="inlineStr">
        <is>
          <t>站前4樓</t>
        </is>
      </c>
      <c r="E1340" s="484" t="inlineStr">
        <is>
          <t>6160010</t>
        </is>
      </c>
      <c r="F1340" s="551" t="n"/>
      <c r="G1340" s="484" t="inlineStr">
        <is>
          <t>喬雅露-大分子200mg/1cc</t>
        </is>
      </c>
      <c r="H1340" s="552" t="n"/>
      <c r="I1340" s="552" t="n"/>
      <c r="J1340" s="551" t="n"/>
      <c r="K1340" s="140" t="inlineStr">
        <is>
          <t>8cc/瓶</t>
        </is>
      </c>
      <c r="L1340" s="560" t="n">
        <v>83</v>
      </c>
      <c r="M1340" s="123" t="n"/>
      <c r="N1340" s="561" t="n"/>
    </row>
    <row r="1341" ht="17.25" customHeight="1" s="453" thickBot="1">
      <c r="A1341" s="553">
        <f>IFERROR(LEFT(B1341,7),"")</f>
        <v/>
      </c>
      <c r="B1341" s="554">
        <f>"2026/02"&amp;D1341</f>
        <v/>
      </c>
      <c r="C1341" s="559" t="n">
        <v>33</v>
      </c>
      <c r="D1341" s="484" t="inlineStr">
        <is>
          <t>站前4樓</t>
        </is>
      </c>
      <c r="E1341" s="484" t="inlineStr">
        <is>
          <t>6160011</t>
        </is>
      </c>
      <c r="F1341" s="551" t="n"/>
      <c r="G1341" s="484" t="inlineStr">
        <is>
          <t>喬雅露-小分子50mg/1cc</t>
        </is>
      </c>
      <c r="H1341" s="552" t="n"/>
      <c r="I1341" s="552" t="n"/>
      <c r="J1341" s="551" t="n"/>
      <c r="K1341" s="140" t="inlineStr">
        <is>
          <t>6cc/瓶</t>
        </is>
      </c>
      <c r="L1341" s="560" t="n">
        <v>452</v>
      </c>
      <c r="M1341" s="123" t="n"/>
      <c r="N1341" s="561" t="n"/>
    </row>
    <row r="1342" ht="17.25" customHeight="1" s="453" thickBot="1">
      <c r="A1342" s="553">
        <f>IFERROR(LEFT(B1342,7),"")</f>
        <v/>
      </c>
      <c r="B1342" s="554">
        <f>"2026/02"&amp;D1342</f>
        <v/>
      </c>
      <c r="C1342" s="559" t="n">
        <v>34</v>
      </c>
      <c r="D1342" s="484" t="inlineStr">
        <is>
          <t>站前4樓</t>
        </is>
      </c>
      <c r="E1342" s="484" t="inlineStr">
        <is>
          <t>6170005</t>
        </is>
      </c>
      <c r="F1342" s="551" t="n"/>
      <c r="G1342" s="484" t="inlineStr">
        <is>
          <t>海芙三代音波探頭2mm/ 條</t>
        </is>
      </c>
      <c r="H1342" s="552" t="n"/>
      <c r="I1342" s="552" t="n"/>
      <c r="J1342" s="551" t="n"/>
      <c r="K1342" s="140" t="inlineStr">
        <is>
          <t>20000條/顆</t>
        </is>
      </c>
      <c r="L1342" s="560" t="n">
        <v>17792</v>
      </c>
      <c r="M1342" s="123" t="n"/>
      <c r="N1342" s="561" t="n"/>
    </row>
    <row r="1343" ht="17.25" customHeight="1" s="453" thickBot="1">
      <c r="A1343" s="553">
        <f>IFERROR(LEFT(B1343,7),"")</f>
        <v/>
      </c>
      <c r="B1343" s="554">
        <f>"2026/02"&amp;D1343</f>
        <v/>
      </c>
      <c r="C1343" s="559" t="n">
        <v>35</v>
      </c>
      <c r="D1343" s="484" t="inlineStr">
        <is>
          <t>站前4樓</t>
        </is>
      </c>
      <c r="E1343" s="484" t="inlineStr">
        <is>
          <t>6170007</t>
        </is>
      </c>
      <c r="F1343" s="551" t="n"/>
      <c r="G1343" s="484" t="inlineStr">
        <is>
          <t>海芙三代音波探頭3mm/ 條</t>
        </is>
      </c>
      <c r="H1343" s="552" t="n"/>
      <c r="I1343" s="552" t="n"/>
      <c r="J1343" s="551" t="n"/>
      <c r="K1343" s="140" t="inlineStr">
        <is>
          <t>20000條/顆</t>
        </is>
      </c>
      <c r="L1343" s="560" t="n">
        <v>44725</v>
      </c>
      <c r="M1343" s="123" t="n"/>
      <c r="N1343" s="561" t="n"/>
    </row>
    <row r="1344" ht="17.25" customHeight="1" s="453" thickBot="1">
      <c r="A1344" s="553">
        <f>IFERROR(LEFT(B1344,7),"")</f>
        <v/>
      </c>
      <c r="B1344" s="554">
        <f>"2026/02"&amp;D1344</f>
        <v/>
      </c>
      <c r="C1344" s="559" t="n">
        <v>36</v>
      </c>
      <c r="D1344" s="484" t="inlineStr">
        <is>
          <t>站前4樓</t>
        </is>
      </c>
      <c r="E1344" s="484" t="inlineStr">
        <is>
          <t>6170009</t>
        </is>
      </c>
      <c r="F1344" s="551" t="n"/>
      <c r="G1344" s="484" t="inlineStr">
        <is>
          <t>海芙三代音波探頭4.5mm/ 條</t>
        </is>
      </c>
      <c r="H1344" s="552" t="n"/>
      <c r="I1344" s="552" t="n"/>
      <c r="J1344" s="551" t="n"/>
      <c r="K1344" s="140" t="inlineStr">
        <is>
          <t>20000條/顆</t>
        </is>
      </c>
      <c r="L1344" s="560" t="n">
        <v>63886</v>
      </c>
      <c r="M1344" s="123" t="n"/>
      <c r="N1344" s="561" t="n"/>
    </row>
    <row r="1345" ht="17.25" customHeight="1" s="453" thickBot="1">
      <c r="A1345" s="553">
        <f>IFERROR(LEFT(B1345,7),"")</f>
        <v/>
      </c>
      <c r="B1345" s="554">
        <f>"2026/02"&amp;D1345</f>
        <v/>
      </c>
      <c r="C1345" s="559" t="n">
        <v>37</v>
      </c>
      <c r="D1345" s="484" t="inlineStr">
        <is>
          <t>站前4樓</t>
        </is>
      </c>
      <c r="E1345" s="484" t="inlineStr">
        <is>
          <t>6170011</t>
        </is>
      </c>
      <c r="F1345" s="551" t="n"/>
      <c r="G1345" s="484" t="inlineStr">
        <is>
          <t>海芙三代音波探頭6mm/ 條</t>
        </is>
      </c>
      <c r="H1345" s="552" t="n"/>
      <c r="I1345" s="552" t="n"/>
      <c r="J1345" s="551" t="n"/>
      <c r="K1345" s="140" t="inlineStr">
        <is>
          <t>30,000條/顆</t>
        </is>
      </c>
      <c r="L1345" s="560" t="n">
        <v>25505</v>
      </c>
      <c r="M1345" s="123" t="n"/>
      <c r="N1345" s="561" t="n"/>
    </row>
    <row r="1346" ht="17.25" customHeight="1" s="453" thickBot="1">
      <c r="A1346" s="553">
        <f>IFERROR(LEFT(B1346,7),"")</f>
        <v/>
      </c>
      <c r="B1346" s="554">
        <f>"2026/02"&amp;D1346</f>
        <v/>
      </c>
      <c r="C1346" s="559" t="n">
        <v>38</v>
      </c>
      <c r="D1346" s="484" t="inlineStr">
        <is>
          <t>站前4樓</t>
        </is>
      </c>
      <c r="E1346" s="484" t="inlineStr">
        <is>
          <t>6170019</t>
        </is>
      </c>
      <c r="F1346" s="551" t="n"/>
      <c r="G1346" s="484" t="inlineStr">
        <is>
          <t>媚必提直線探頭2.0mm/條</t>
        </is>
      </c>
      <c r="H1346" s="552" t="n"/>
      <c r="I1346" s="552" t="n"/>
      <c r="J1346" s="551" t="n"/>
      <c r="K1346" s="140" t="inlineStr">
        <is>
          <t>20000條/顆</t>
        </is>
      </c>
      <c r="L1346" s="560" t="n">
        <v>4359</v>
      </c>
      <c r="M1346" s="123" t="n"/>
      <c r="N1346" s="561" t="n"/>
    </row>
    <row r="1347" ht="17.25" customHeight="1" s="453" thickBot="1">
      <c r="A1347" s="553">
        <f>IFERROR(LEFT(B1347,7),"")</f>
        <v/>
      </c>
      <c r="B1347" s="554">
        <f>"2026/02"&amp;D1347</f>
        <v/>
      </c>
      <c r="C1347" s="559" t="n">
        <v>39</v>
      </c>
      <c r="D1347" s="484" t="inlineStr">
        <is>
          <t>站前4樓</t>
        </is>
      </c>
      <c r="E1347" s="484" t="inlineStr">
        <is>
          <t>6170020</t>
        </is>
      </c>
      <c r="F1347" s="551" t="n"/>
      <c r="G1347" s="484" t="inlineStr">
        <is>
          <t>媚必提直線探頭3.0mm/條</t>
        </is>
      </c>
      <c r="H1347" s="552" t="n"/>
      <c r="I1347" s="552" t="n"/>
      <c r="J1347" s="551" t="n"/>
      <c r="K1347" s="140" t="inlineStr">
        <is>
          <t>20000條/顆</t>
        </is>
      </c>
      <c r="L1347" s="560" t="n">
        <v>7769</v>
      </c>
      <c r="M1347" s="123" t="n"/>
      <c r="N1347" s="561" t="n"/>
    </row>
    <row r="1348" ht="17.25" customHeight="1" s="453" thickBot="1">
      <c r="A1348" s="553">
        <f>IFERROR(LEFT(B1348,7),"")</f>
        <v/>
      </c>
      <c r="B1348" s="554">
        <f>"2026/02"&amp;D1348</f>
        <v/>
      </c>
      <c r="C1348" s="559" t="n">
        <v>40</v>
      </c>
      <c r="D1348" s="484" t="inlineStr">
        <is>
          <t>站前4樓</t>
        </is>
      </c>
      <c r="E1348" s="484" t="inlineStr">
        <is>
          <t>6170021</t>
        </is>
      </c>
      <c r="F1348" s="551" t="n"/>
      <c r="G1348" s="484" t="inlineStr">
        <is>
          <t>媚必提直線探頭4.5mm/條</t>
        </is>
      </c>
      <c r="H1348" s="552" t="n"/>
      <c r="I1348" s="552" t="n"/>
      <c r="J1348" s="551" t="n"/>
      <c r="K1348" s="140" t="inlineStr">
        <is>
          <t>20000條/顆</t>
        </is>
      </c>
      <c r="L1348" s="560" t="n">
        <v>15685</v>
      </c>
      <c r="M1348" s="123" t="n"/>
      <c r="N1348" s="561" t="n"/>
    </row>
    <row r="1349" ht="17.25" customHeight="1" s="453" thickBot="1">
      <c r="A1349" s="553">
        <f>IFERROR(LEFT(B1349,7),"")</f>
        <v/>
      </c>
      <c r="B1349" s="554">
        <f>"2026/02"&amp;D1349</f>
        <v/>
      </c>
      <c r="C1349" s="559" t="n">
        <v>41</v>
      </c>
      <c r="D1349" s="484" t="inlineStr">
        <is>
          <t>站前4樓</t>
        </is>
      </c>
      <c r="E1349" s="484" t="inlineStr">
        <is>
          <t>6170022</t>
        </is>
      </c>
      <c r="F1349" s="551" t="n"/>
      <c r="G1349" s="484" t="inlineStr">
        <is>
          <t>媚必提直線探頭6.0mm/條</t>
        </is>
      </c>
      <c r="H1349" s="552" t="n"/>
      <c r="I1349" s="552" t="n"/>
      <c r="J1349" s="551" t="n"/>
      <c r="K1349" s="140" t="inlineStr">
        <is>
          <t>20000條/顆</t>
        </is>
      </c>
      <c r="L1349" s="560" t="n">
        <v>9541</v>
      </c>
      <c r="M1349" s="123" t="n"/>
      <c r="N1349" s="561" t="n"/>
    </row>
    <row r="1350" ht="17.25" customHeight="1" s="453" thickBot="1">
      <c r="A1350" s="553">
        <f>IFERROR(LEFT(B1350,7),"")</f>
        <v/>
      </c>
      <c r="B1350" s="554">
        <f>"2026/02"&amp;D1350</f>
        <v/>
      </c>
      <c r="C1350" s="559" t="n">
        <v>42</v>
      </c>
      <c r="D1350" s="484" t="inlineStr">
        <is>
          <t>站前4樓</t>
        </is>
      </c>
      <c r="E1350" s="484" t="inlineStr">
        <is>
          <t>6170028</t>
        </is>
      </c>
      <c r="F1350" s="551" t="n"/>
      <c r="G1350" s="484" t="inlineStr">
        <is>
          <t>海芙電波探頭0.25cm/發</t>
        </is>
      </c>
      <c r="H1350" s="552" t="n"/>
      <c r="I1350" s="552" t="n"/>
      <c r="J1350" s="551" t="n"/>
      <c r="K1350" s="140" t="inlineStr">
        <is>
          <t>6000發/顆</t>
        </is>
      </c>
      <c r="L1350" s="560" t="n">
        <v>6801</v>
      </c>
      <c r="M1350" s="123" t="n"/>
      <c r="N1350" s="561" t="n"/>
    </row>
    <row r="1351" ht="17.25" customHeight="1" s="453" thickBot="1">
      <c r="A1351" s="553">
        <f>IFERROR(LEFT(B1351,7),"")</f>
        <v/>
      </c>
      <c r="B1351" s="554">
        <f>"2026/02"&amp;D1351</f>
        <v/>
      </c>
      <c r="C1351" s="559" t="n">
        <v>43</v>
      </c>
      <c r="D1351" s="484" t="inlineStr">
        <is>
          <t>站前4樓</t>
        </is>
      </c>
      <c r="E1351" s="484" t="inlineStr">
        <is>
          <t>6170029</t>
        </is>
      </c>
      <c r="F1351" s="551" t="n"/>
      <c r="G1351" s="484" t="inlineStr">
        <is>
          <t>海芙電波探頭3.0cm/發</t>
        </is>
      </c>
      <c r="H1351" s="552" t="n"/>
      <c r="I1351" s="552" t="n"/>
      <c r="J1351" s="551" t="n"/>
      <c r="K1351" s="140" t="inlineStr">
        <is>
          <t>4000發/顆</t>
        </is>
      </c>
      <c r="L1351" s="560" t="n">
        <v>600</v>
      </c>
      <c r="M1351" s="123" t="n"/>
      <c r="N1351" s="561" t="n"/>
    </row>
    <row r="1352" ht="17.25" customHeight="1" s="453" thickBot="1">
      <c r="A1352" s="553">
        <f>IFERROR(LEFT(B1352,7),"")</f>
        <v/>
      </c>
      <c r="B1352" s="554">
        <f>"2026/02"&amp;D1352</f>
        <v/>
      </c>
      <c r="C1352" s="559" t="n">
        <v>44</v>
      </c>
      <c r="D1352" s="484" t="inlineStr">
        <is>
          <t>站前4樓</t>
        </is>
      </c>
      <c r="E1352" s="484" t="inlineStr">
        <is>
          <t>6170030</t>
        </is>
      </c>
      <c r="F1352" s="551" t="n"/>
      <c r="G1352" s="484" t="inlineStr">
        <is>
          <t>海芙電波探頭4.0cm/發</t>
        </is>
      </c>
      <c r="H1352" s="552" t="n"/>
      <c r="I1352" s="552" t="n"/>
      <c r="J1352" s="551" t="n"/>
      <c r="K1352" s="140" t="inlineStr">
        <is>
          <t>3000發/顆</t>
        </is>
      </c>
      <c r="L1352" s="560" t="n">
        <v>30800</v>
      </c>
      <c r="M1352" s="123" t="n"/>
      <c r="N1352" s="561" t="n"/>
    </row>
    <row r="1353" ht="17.25" customHeight="1" s="453" thickBot="1">
      <c r="A1353" s="553">
        <f>IFERROR(LEFT(B1353,7),"")</f>
        <v/>
      </c>
      <c r="B1353" s="554">
        <f>"2026/02"&amp;D1353</f>
        <v/>
      </c>
      <c r="C1353" s="559" t="n">
        <v>45</v>
      </c>
      <c r="D1353" s="484" t="inlineStr">
        <is>
          <t>站前4樓</t>
        </is>
      </c>
      <c r="E1353" s="484" t="inlineStr">
        <is>
          <t>6170032</t>
        </is>
      </c>
      <c r="F1353" s="551" t="n"/>
      <c r="G1353" s="484" t="inlineStr">
        <is>
          <t>立特拉A2筆型探頭3.0mm/ 條</t>
        </is>
      </c>
      <c r="H1353" s="552" t="n"/>
      <c r="I1353" s="552" t="n"/>
      <c r="J1353" s="551" t="n"/>
      <c r="K1353" s="140" t="inlineStr">
        <is>
          <t>240000條/顆</t>
        </is>
      </c>
      <c r="L1353" s="560" t="n">
        <v>342412</v>
      </c>
      <c r="M1353" s="123" t="n"/>
      <c r="N1353" s="561" t="n"/>
    </row>
    <row r="1354" ht="17.25" customHeight="1" s="453" thickBot="1">
      <c r="A1354" s="553">
        <f>IFERROR(LEFT(B1354,7),"")</f>
        <v/>
      </c>
      <c r="B1354" s="554">
        <f>"2026/02"&amp;D1354</f>
        <v/>
      </c>
      <c r="C1354" s="559" t="n">
        <v>46</v>
      </c>
      <c r="D1354" s="484" t="inlineStr">
        <is>
          <t>站前4樓</t>
        </is>
      </c>
      <c r="E1354" s="484" t="inlineStr">
        <is>
          <t>6170033</t>
        </is>
      </c>
      <c r="F1354" s="551" t="n"/>
      <c r="G1354" s="484" t="inlineStr">
        <is>
          <t>立特拉A2筆型探頭4.5mm/ 條</t>
        </is>
      </c>
      <c r="H1354" s="552" t="n"/>
      <c r="I1354" s="552" t="n"/>
      <c r="J1354" s="551" t="n"/>
      <c r="K1354" s="140" t="inlineStr">
        <is>
          <t>240000條/顆</t>
        </is>
      </c>
      <c r="L1354" s="560" t="n">
        <v>104295</v>
      </c>
      <c r="M1354" s="123" t="n"/>
      <c r="N1354" s="561" t="n"/>
    </row>
    <row r="1355" ht="17.25" customHeight="1" s="453" thickBot="1">
      <c r="A1355" s="553">
        <f>IFERROR(LEFT(B1355,7),"")</f>
        <v/>
      </c>
      <c r="B1355" s="554">
        <f>"2026/02"&amp;D1355</f>
        <v/>
      </c>
      <c r="C1355" s="559" t="n">
        <v>47</v>
      </c>
      <c r="D1355" s="484" t="inlineStr">
        <is>
          <t>站前4樓</t>
        </is>
      </c>
      <c r="E1355" s="484" t="inlineStr">
        <is>
          <t>6170034</t>
        </is>
      </c>
      <c r="F1355" s="551" t="n"/>
      <c r="G1355" s="484" t="inlineStr">
        <is>
          <t>十蓓電波臉部探頭5cm</t>
        </is>
      </c>
      <c r="H1355" s="552" t="n"/>
      <c r="I1355" s="552" t="n"/>
      <c r="J1355" s="551" t="n"/>
      <c r="K1355" s="140" t="inlineStr">
        <is>
          <t>900發/顆</t>
        </is>
      </c>
      <c r="L1355" s="560" t="n">
        <v>63103</v>
      </c>
      <c r="M1355" s="123" t="n"/>
      <c r="N1355" s="561" t="n"/>
    </row>
    <row r="1356" ht="17.25" customHeight="1" s="453" thickBot="1">
      <c r="A1356" s="553">
        <f>IFERROR(LEFT(B1356,7),"")</f>
        <v/>
      </c>
      <c r="B1356" s="554">
        <f>"2026/02"&amp;D1356</f>
        <v/>
      </c>
      <c r="C1356" s="559" t="n">
        <v>48</v>
      </c>
      <c r="D1356" s="484" t="inlineStr">
        <is>
          <t>站前4樓</t>
        </is>
      </c>
      <c r="E1356" s="484" t="inlineStr">
        <is>
          <t>6170035</t>
        </is>
      </c>
      <c r="F1356" s="551" t="n"/>
      <c r="G1356" s="484" t="inlineStr">
        <is>
          <t>十蓓電波眼部探頭0.25cm</t>
        </is>
      </c>
      <c r="H1356" s="552" t="n"/>
      <c r="I1356" s="552" t="n"/>
      <c r="J1356" s="551" t="n"/>
      <c r="K1356" s="140" t="inlineStr">
        <is>
          <t>600發/顆</t>
        </is>
      </c>
      <c r="L1356" s="560" t="n">
        <v>13700</v>
      </c>
      <c r="M1356" s="123" t="n"/>
      <c r="N1356" s="561" t="n"/>
    </row>
    <row r="1357" ht="17.25" customHeight="1" s="453" thickBot="1">
      <c r="A1357" s="553">
        <f>IFERROR(LEFT(B1357,7),"")</f>
        <v/>
      </c>
      <c r="B1357" s="554">
        <f>"2026/02"&amp;D1357</f>
        <v/>
      </c>
      <c r="C1357" s="559" t="n">
        <v>49</v>
      </c>
      <c r="D1357" s="484" t="inlineStr">
        <is>
          <t>站前4樓</t>
        </is>
      </c>
      <c r="E1357" s="484" t="inlineStr">
        <is>
          <t>6180005</t>
        </is>
      </c>
      <c r="F1357" s="551" t="n"/>
      <c r="G1357" s="484" t="inlineStr">
        <is>
          <t>(V)MINT秘特拉提線FINE 18CM/ 條</t>
        </is>
      </c>
      <c r="H1357" s="552" t="n"/>
      <c r="I1357" s="552" t="n"/>
      <c r="J1357" s="551" t="n"/>
      <c r="K1357" s="140" t="inlineStr">
        <is>
          <t>20條/盒</t>
        </is>
      </c>
      <c r="L1357" s="560" t="n">
        <v>12</v>
      </c>
      <c r="M1357" s="123" t="n"/>
      <c r="N1357" s="561" t="n"/>
    </row>
    <row r="1358" ht="17.25" customHeight="1" s="453" thickBot="1">
      <c r="A1358" s="553">
        <f>IFERROR(LEFT(B1358,7),"")</f>
        <v/>
      </c>
      <c r="B1358" s="554">
        <f>"2026/02"&amp;D1358</f>
        <v/>
      </c>
      <c r="C1358" s="559" t="n">
        <v>50</v>
      </c>
      <c r="D1358" s="484" t="inlineStr">
        <is>
          <t>站前4樓</t>
        </is>
      </c>
      <c r="E1358" s="484" t="inlineStr">
        <is>
          <t>6180009</t>
        </is>
      </c>
      <c r="F1358" s="551" t="n"/>
      <c r="G1358" s="484" t="inlineStr">
        <is>
          <t>(V)MINT秘特拉提線TIP 4CM/ 條</t>
        </is>
      </c>
      <c r="H1358" s="552" t="n"/>
      <c r="I1358" s="552" t="n"/>
      <c r="J1358" s="551" t="n"/>
      <c r="K1358" s="140" t="inlineStr">
        <is>
          <t>10條/盒</t>
        </is>
      </c>
      <c r="L1358" s="560" t="n">
        <v>12</v>
      </c>
      <c r="M1358" s="123" t="n"/>
      <c r="N1358" s="561" t="n"/>
    </row>
    <row r="1359" ht="17.25" customHeight="1" s="453" thickBot="1">
      <c r="A1359" s="553">
        <f>IFERROR(LEFT(B1359,7),"")</f>
        <v/>
      </c>
      <c r="B1359" s="554">
        <f>"2026/02"&amp;D1359</f>
        <v/>
      </c>
      <c r="C1359" s="559" t="n">
        <v>51</v>
      </c>
      <c r="D1359" s="484" t="inlineStr">
        <is>
          <t>站前4樓</t>
        </is>
      </c>
      <c r="E1359" s="484" t="inlineStr">
        <is>
          <t>6180011</t>
        </is>
      </c>
      <c r="F1359" s="551" t="n"/>
      <c r="G1359" s="484" t="inlineStr">
        <is>
          <t>(V)MINT秘特拉提線UP 9.5CM/ 條</t>
        </is>
      </c>
      <c r="H1359" s="552" t="n"/>
      <c r="I1359" s="552" t="n"/>
      <c r="J1359" s="551" t="n"/>
      <c r="K1359" s="140" t="inlineStr">
        <is>
          <t>10條/盒</t>
        </is>
      </c>
      <c r="L1359" s="560" t="n">
        <v>36</v>
      </c>
      <c r="M1359" s="123" t="n"/>
      <c r="N1359" s="561" t="n"/>
    </row>
    <row r="1360" ht="17.25" customHeight="1" s="453" thickBot="1">
      <c r="A1360" s="553">
        <f>IFERROR(LEFT(B1360,7),"")</f>
        <v/>
      </c>
      <c r="B1360" s="554">
        <f>"2026/02"&amp;D1360</f>
        <v/>
      </c>
      <c r="C1360" s="559" t="n">
        <v>52</v>
      </c>
      <c r="D1360" s="484" t="inlineStr">
        <is>
          <t>站前4樓</t>
        </is>
      </c>
      <c r="E1360" s="484" t="inlineStr">
        <is>
          <t>6190001</t>
        </is>
      </c>
      <c r="F1360" s="551" t="n"/>
      <c r="G1360" s="484" t="inlineStr">
        <is>
          <t>PLT生長因子凍晶製備/ 瓶</t>
        </is>
      </c>
      <c r="H1360" s="552" t="n"/>
      <c r="I1360" s="552" t="n"/>
      <c r="J1360" s="551" t="n"/>
      <c r="K1360" s="140" t="inlineStr">
        <is>
          <t>瓶</t>
        </is>
      </c>
      <c r="L1360" s="560" t="n">
        <v>10</v>
      </c>
      <c r="M1360" s="123" t="n"/>
      <c r="N1360" s="561" t="n"/>
    </row>
    <row r="1361" ht="17.25" customHeight="1" s="453" thickBot="1">
      <c r="A1361" s="553">
        <f>IFERROR(LEFT(B1361,7),"")</f>
        <v/>
      </c>
      <c r="B1361" s="554">
        <f>"2026/02"&amp;D1361</f>
        <v/>
      </c>
      <c r="C1361" s="559" t="n">
        <v>53</v>
      </c>
      <c r="D1361" s="484" t="inlineStr">
        <is>
          <t>站前4樓</t>
        </is>
      </c>
      <c r="E1361" s="484" t="inlineStr">
        <is>
          <t>6190003</t>
        </is>
      </c>
      <c r="F1361" s="551" t="n"/>
      <c r="G1361" s="484" t="inlineStr">
        <is>
          <t>PLT生長因子凍晶製備10入(單瓶)</t>
        </is>
      </c>
      <c r="H1361" s="552" t="n"/>
      <c r="I1361" s="552" t="n"/>
      <c r="J1361" s="551" t="n"/>
      <c r="K1361" s="140" t="inlineStr">
        <is>
          <t>瓶(10入/組)</t>
        </is>
      </c>
      <c r="L1361" s="560" t="n">
        <v>7</v>
      </c>
      <c r="M1361" s="123" t="n"/>
      <c r="N1361" s="561" t="n"/>
    </row>
    <row r="1362" ht="17.25" customHeight="1" s="453" thickBot="1">
      <c r="A1362" s="553">
        <f>IFERROR(LEFT(B1362,7),"")</f>
        <v/>
      </c>
      <c r="B1362" s="554">
        <f>"2026/02"&amp;D1362</f>
        <v/>
      </c>
      <c r="C1362" s="559" t="n">
        <v>54</v>
      </c>
      <c r="D1362" s="484" t="inlineStr">
        <is>
          <t>站前4樓</t>
        </is>
      </c>
      <c r="E1362" s="484" t="inlineStr">
        <is>
          <t>6190004</t>
        </is>
      </c>
      <c r="F1362" s="551" t="n"/>
      <c r="G1362" s="484" t="inlineStr">
        <is>
          <t>PLT生長因子凍晶製備20入(單瓶)</t>
        </is>
      </c>
      <c r="H1362" s="552" t="n"/>
      <c r="I1362" s="552" t="n"/>
      <c r="J1362" s="551" t="n"/>
      <c r="K1362" s="140" t="inlineStr">
        <is>
          <t>瓶(20入/組)</t>
        </is>
      </c>
      <c r="L1362" s="560" t="n">
        <v>23</v>
      </c>
      <c r="M1362" s="123" t="n"/>
      <c r="N1362" s="561" t="n"/>
    </row>
    <row r="1363" ht="17.25" customHeight="1" s="453" thickBot="1">
      <c r="A1363" s="553">
        <f>IFERROR(LEFT(B1363,7),"")</f>
        <v/>
      </c>
      <c r="B1363" s="554">
        <f>"2026/02"&amp;D1363</f>
        <v/>
      </c>
      <c r="C1363" s="559" t="n">
        <v>55</v>
      </c>
      <c r="D1363" s="484" t="inlineStr">
        <is>
          <t>站前4樓</t>
        </is>
      </c>
      <c r="E1363" s="484" t="inlineStr">
        <is>
          <t>6200003</t>
        </is>
      </c>
      <c r="F1363" s="551" t="n"/>
      <c r="G1363" s="484" t="inlineStr">
        <is>
          <t>(V)倍克脂Belkyra/ 瓶(20的倍數下單)</t>
        </is>
      </c>
      <c r="H1363" s="552" t="n"/>
      <c r="I1363" s="552" t="n"/>
      <c r="J1363" s="551" t="n"/>
      <c r="K1363" s="140" t="inlineStr">
        <is>
          <t>5瓶/盒</t>
        </is>
      </c>
      <c r="L1363" s="560" t="n">
        <v>1</v>
      </c>
      <c r="M1363" s="123" t="n"/>
      <c r="N1363" s="561" t="n"/>
    </row>
    <row r="1364" ht="17.25" customHeight="1" s="453" thickBot="1">
      <c r="A1364" s="553">
        <f>IFERROR(LEFT(B1364,7),"")</f>
        <v/>
      </c>
      <c r="B1364" s="554">
        <f>"2026/02"&amp;D1364</f>
        <v/>
      </c>
      <c r="C1364" s="559" t="n">
        <v>56</v>
      </c>
      <c r="D1364" s="484" t="inlineStr">
        <is>
          <t>站前4樓</t>
        </is>
      </c>
      <c r="E1364" s="484" t="inlineStr">
        <is>
          <t>6200006</t>
        </is>
      </c>
      <c r="F1364" s="551" t="n"/>
      <c r="G1364" s="484" t="inlineStr">
        <is>
          <t>(V)容脂/ 瓶</t>
        </is>
      </c>
      <c r="H1364" s="552" t="n"/>
      <c r="I1364" s="552" t="n"/>
      <c r="J1364" s="551" t="n"/>
      <c r="K1364" s="140" t="inlineStr">
        <is>
          <t>5瓶/盒</t>
        </is>
      </c>
      <c r="L1364" s="560" t="n">
        <v>2</v>
      </c>
      <c r="M1364" s="123" t="n"/>
      <c r="N1364" s="561" t="n"/>
    </row>
    <row r="1365" ht="17.25" customHeight="1" s="453" thickBot="1">
      <c r="A1365" s="553">
        <f>IFERROR(LEFT(B1365,7),"")</f>
        <v/>
      </c>
      <c r="B1365" s="554">
        <f>"2026/02"&amp;D1365</f>
        <v/>
      </c>
      <c r="C1365" s="559" t="n">
        <v>57</v>
      </c>
      <c r="D1365" s="484" t="inlineStr">
        <is>
          <t>站前4樓</t>
        </is>
      </c>
      <c r="E1365" s="484" t="inlineStr">
        <is>
          <t>6210001</t>
        </is>
      </c>
      <c r="F1365" s="551" t="n"/>
      <c r="G1365" s="484" t="inlineStr">
        <is>
          <t>(V)水光針針頭/31G9針/1.0mm/ PCS</t>
        </is>
      </c>
      <c r="H1365" s="552" t="n"/>
      <c r="I1365" s="552" t="n"/>
      <c r="J1365" s="551" t="n"/>
      <c r="K1365" s="140" t="inlineStr">
        <is>
          <t>PCS(20入/盒)</t>
        </is>
      </c>
      <c r="L1365" s="560" t="n">
        <v>4</v>
      </c>
      <c r="M1365" s="123" t="n"/>
      <c r="N1365" s="561" t="n"/>
    </row>
    <row r="1366" ht="17.25" customHeight="1" s="453" thickBot="1">
      <c r="A1366" s="553">
        <f>IFERROR(LEFT(B1366,7),"")</f>
        <v/>
      </c>
      <c r="B1366" s="554">
        <f>"2026/02"&amp;D1366</f>
        <v/>
      </c>
      <c r="C1366" s="559" t="n">
        <v>58</v>
      </c>
      <c r="D1366" s="484" t="inlineStr">
        <is>
          <t>站前4樓</t>
        </is>
      </c>
      <c r="E1366" s="484" t="inlineStr">
        <is>
          <t>6210002</t>
        </is>
      </c>
      <c r="F1366" s="551" t="n"/>
      <c r="G1366" s="484" t="inlineStr">
        <is>
          <t>(V)水光針針頭/31G9針/1.2mm/ PCS</t>
        </is>
      </c>
      <c r="H1366" s="552" t="n"/>
      <c r="I1366" s="552" t="n"/>
      <c r="J1366" s="551" t="n"/>
      <c r="K1366" s="140" t="inlineStr">
        <is>
          <t>PCS(20入/盒)</t>
        </is>
      </c>
      <c r="L1366" s="560" t="n">
        <v>153</v>
      </c>
      <c r="M1366" s="123" t="n"/>
      <c r="N1366" s="561" t="n"/>
    </row>
    <row r="1367" ht="17.25" customHeight="1" s="453" thickBot="1">
      <c r="A1367" s="553">
        <f>IFERROR(LEFT(B1367,7),"")</f>
        <v/>
      </c>
      <c r="B1367" s="554">
        <f>"2026/02"&amp;D1367</f>
        <v/>
      </c>
      <c r="C1367" s="559" t="n">
        <v>59</v>
      </c>
      <c r="D1367" s="484" t="inlineStr">
        <is>
          <t>站前4樓</t>
        </is>
      </c>
      <c r="E1367" s="484" t="inlineStr">
        <is>
          <t>6210003</t>
        </is>
      </c>
      <c r="F1367" s="551" t="n"/>
      <c r="G1367" s="484" t="inlineStr">
        <is>
          <t>(V)水光針針頭/31G9針/1.5mm/ PCS</t>
        </is>
      </c>
      <c r="H1367" s="552" t="n"/>
      <c r="I1367" s="552" t="n"/>
      <c r="J1367" s="551" t="n"/>
      <c r="K1367" s="140" t="inlineStr">
        <is>
          <t>PCS(20入/盒)</t>
        </is>
      </c>
      <c r="L1367" s="560" t="n">
        <v>9</v>
      </c>
      <c r="M1367" s="123" t="n"/>
      <c r="N1367" s="561" t="n"/>
    </row>
    <row r="1368" ht="17.25" customHeight="1" s="453" thickBot="1">
      <c r="A1368" s="553">
        <f>IFERROR(LEFT(B1368,7),"")</f>
        <v/>
      </c>
      <c r="B1368" s="554">
        <f>"2026/02"&amp;D1368</f>
        <v/>
      </c>
      <c r="C1368" s="559" t="n">
        <v>60</v>
      </c>
      <c r="D1368" s="484" t="inlineStr">
        <is>
          <t>站前4樓</t>
        </is>
      </c>
      <c r="E1368" s="484" t="inlineStr">
        <is>
          <t>6210005</t>
        </is>
      </c>
      <c r="F1368" s="551" t="n"/>
      <c r="G1368" s="484" t="inlineStr">
        <is>
          <t>(V)水光針針頭/32G9針/1.0mm/ PCS</t>
        </is>
      </c>
      <c r="H1368" s="552" t="n"/>
      <c r="I1368" s="552" t="n"/>
      <c r="J1368" s="551" t="n"/>
      <c r="K1368" s="140" t="inlineStr">
        <is>
          <t>PCS(20入/盒)</t>
        </is>
      </c>
      <c r="L1368" s="560" t="n">
        <v>1</v>
      </c>
      <c r="M1368" s="123" t="n"/>
      <c r="N1368" s="561" t="n"/>
    </row>
    <row r="1369" ht="17.25" customHeight="1" s="453" thickBot="1">
      <c r="A1369" s="553">
        <f>IFERROR(LEFT(B1369,7),"")</f>
        <v/>
      </c>
      <c r="B1369" s="554">
        <f>"2026/02"&amp;D1369</f>
        <v/>
      </c>
      <c r="C1369" s="559" t="n">
        <v>61</v>
      </c>
      <c r="D1369" s="484" t="inlineStr">
        <is>
          <t>站前4樓</t>
        </is>
      </c>
      <c r="E1369" s="484" t="inlineStr">
        <is>
          <t>6210006</t>
        </is>
      </c>
      <c r="F1369" s="551" t="n"/>
      <c r="G1369" s="484" t="inlineStr">
        <is>
          <t>(V)麗珠蘭修復水光(A劑2ml+B劑2ml)</t>
        </is>
      </c>
      <c r="H1369" s="552" t="n"/>
      <c r="I1369" s="552" t="n"/>
      <c r="J1369" s="551" t="n"/>
      <c r="K1369" s="140" t="inlineStr">
        <is>
          <t>2ml*2</t>
        </is>
      </c>
      <c r="L1369" s="560" t="n">
        <v>4</v>
      </c>
      <c r="M1369" s="123" t="n"/>
      <c r="N1369" s="561" t="n"/>
    </row>
    <row r="1370" ht="17.25" customHeight="1" s="453" thickBot="1">
      <c r="A1370" s="553">
        <f>IFERROR(LEFT(B1370,7),"")</f>
        <v/>
      </c>
      <c r="B1370" s="554">
        <f>"2026/02"&amp;D1370</f>
        <v/>
      </c>
      <c r="C1370" s="559" t="n">
        <v>62</v>
      </c>
      <c r="D1370" s="484" t="inlineStr">
        <is>
          <t>站前4樓</t>
        </is>
      </c>
      <c r="E1370" s="484" t="inlineStr">
        <is>
          <t>6210007</t>
        </is>
      </c>
      <c r="F1370" s="551" t="n"/>
      <c r="G1370" s="484" t="inlineStr">
        <is>
          <t>(V)麗珠蘭白瓷水光(A劑2ml+B劑2ml)</t>
        </is>
      </c>
      <c r="H1370" s="552" t="n"/>
      <c r="I1370" s="552" t="n"/>
      <c r="J1370" s="551" t="n"/>
      <c r="K1370" s="140" t="inlineStr">
        <is>
          <t>2ml*2</t>
        </is>
      </c>
      <c r="L1370" s="560" t="n">
        <v>3</v>
      </c>
      <c r="M1370" s="123" t="n"/>
      <c r="N1370" s="561" t="n"/>
    </row>
    <row r="1371" ht="17.25" customHeight="1" s="453" thickBot="1">
      <c r="A1371" s="553">
        <f>IFERROR(LEFT(B1371,7),"")</f>
        <v/>
      </c>
      <c r="B1371" s="554">
        <f>"2026/02"&amp;D1371</f>
        <v/>
      </c>
      <c r="C1371" s="559" t="n">
        <v>63</v>
      </c>
      <c r="D1371" s="484" t="inlineStr">
        <is>
          <t>站前4樓</t>
        </is>
      </c>
      <c r="E1371" s="484" t="inlineStr">
        <is>
          <t>6210008</t>
        </is>
      </c>
      <c r="F1371" s="551" t="n"/>
      <c r="G1371" s="484" t="inlineStr">
        <is>
          <t>微針筆針頭</t>
        </is>
      </c>
      <c r="H1371" s="552" t="n"/>
      <c r="I1371" s="552" t="n"/>
      <c r="J1371" s="551" t="n"/>
      <c r="K1371" s="140" t="inlineStr">
        <is>
          <t>PCS(33入/盒)</t>
        </is>
      </c>
      <c r="L1371" s="560" t="n">
        <v>5</v>
      </c>
      <c r="M1371" s="123" t="n"/>
      <c r="N1371" s="561" t="n"/>
    </row>
    <row r="1372" ht="17.25" customHeight="1" s="453" thickBot="1">
      <c r="A1372" s="553">
        <f>IFERROR(LEFT(B1372,7),"")</f>
        <v/>
      </c>
      <c r="B1372" s="554">
        <f>"2026/02"&amp;D1372</f>
        <v/>
      </c>
      <c r="C1372" s="559" t="n">
        <v>64</v>
      </c>
      <c r="D1372" s="484" t="inlineStr">
        <is>
          <t>站前4樓</t>
        </is>
      </c>
      <c r="E1372" s="484" t="inlineStr">
        <is>
          <t>6220005</t>
        </is>
      </c>
      <c r="F1372" s="551" t="n"/>
      <c r="G1372" s="484" t="inlineStr">
        <is>
          <t>海菲秀深藍端頭/ 顆</t>
        </is>
      </c>
      <c r="H1372" s="552" t="n"/>
      <c r="I1372" s="552" t="n"/>
      <c r="J1372" s="551" t="n"/>
      <c r="K1372" s="140" t="inlineStr">
        <is>
          <t>15顆/串</t>
        </is>
      </c>
      <c r="L1372" s="560" t="n">
        <v>495</v>
      </c>
      <c r="M1372" s="123" t="n"/>
      <c r="N1372" s="561" t="n"/>
    </row>
    <row r="1373" ht="17.25" customHeight="1" s="453" thickBot="1">
      <c r="A1373" s="553">
        <f>IFERROR(LEFT(B1373,7),"")</f>
        <v/>
      </c>
      <c r="B1373" s="554">
        <f>"2026/02"&amp;D1373</f>
        <v/>
      </c>
      <c r="C1373" s="559" t="n">
        <v>65</v>
      </c>
      <c r="D1373" s="484" t="inlineStr">
        <is>
          <t>站前4樓</t>
        </is>
      </c>
      <c r="E1373" s="484" t="inlineStr">
        <is>
          <t>6220006</t>
        </is>
      </c>
      <c r="F1373" s="551" t="n"/>
      <c r="G1373" s="484" t="inlineStr">
        <is>
          <t>海菲秀淺藍端頭/ 顆</t>
        </is>
      </c>
      <c r="H1373" s="552" t="n"/>
      <c r="I1373" s="552" t="n"/>
      <c r="J1373" s="551" t="n"/>
      <c r="K1373" s="140" t="inlineStr">
        <is>
          <t>15顆/串</t>
        </is>
      </c>
      <c r="L1373" s="560" t="n">
        <v>495</v>
      </c>
      <c r="M1373" s="123" t="n"/>
      <c r="N1373" s="561" t="n"/>
    </row>
    <row r="1374" ht="17.25" customHeight="1" s="453" thickBot="1">
      <c r="A1374" s="553">
        <f>IFERROR(LEFT(B1374,7),"")</f>
        <v/>
      </c>
      <c r="B1374" s="554">
        <f>"2026/02"&amp;D1374</f>
        <v/>
      </c>
      <c r="C1374" s="559" t="n">
        <v>66</v>
      </c>
      <c r="D1374" s="484" t="inlineStr">
        <is>
          <t>站前4樓</t>
        </is>
      </c>
      <c r="E1374" s="484" t="inlineStr">
        <is>
          <t>6220007</t>
        </is>
      </c>
      <c r="F1374" s="551" t="n"/>
      <c r="G1374" s="484" t="inlineStr">
        <is>
          <t>海菲秀透明端頭/ 顆</t>
        </is>
      </c>
      <c r="H1374" s="552" t="n"/>
      <c r="I1374" s="552" t="n"/>
      <c r="J1374" s="551" t="n"/>
      <c r="K1374" s="140" t="inlineStr">
        <is>
          <t>15顆/串</t>
        </is>
      </c>
      <c r="L1374" s="560" t="n">
        <v>495</v>
      </c>
      <c r="M1374" s="123" t="n"/>
      <c r="N1374" s="561" t="n"/>
    </row>
    <row r="1375" ht="17.25" customHeight="1" s="453" thickBot="1">
      <c r="A1375" s="553">
        <f>IFERROR(LEFT(B1375,7),"")</f>
        <v/>
      </c>
      <c r="B1375" s="554">
        <f>"2026/02"&amp;D1375</f>
        <v/>
      </c>
      <c r="C1375" s="559" t="n">
        <v>67</v>
      </c>
      <c r="D1375" s="484" t="inlineStr">
        <is>
          <t>站前4樓</t>
        </is>
      </c>
      <c r="E1375" s="484" t="inlineStr">
        <is>
          <t>6220012</t>
        </is>
      </c>
      <c r="F1375" s="551" t="n"/>
      <c r="G1375" s="484" t="inlineStr">
        <is>
          <t>(V)(第一劑)海菲秀 Activ-4 Skin Solution/mL</t>
        </is>
      </c>
      <c r="H1375" s="552" t="n"/>
      <c r="I1375" s="552" t="n"/>
      <c r="J1375" s="551" t="n"/>
      <c r="K1375" s="140" t="inlineStr">
        <is>
          <t>236ml/瓶</t>
        </is>
      </c>
      <c r="L1375" s="560" t="n">
        <v>7410</v>
      </c>
      <c r="M1375" s="123" t="n"/>
      <c r="N1375" s="561" t="n"/>
    </row>
    <row r="1376" ht="17.25" customHeight="1" s="453" thickBot="1">
      <c r="A1376" s="553">
        <f>IFERROR(LEFT(B1376,7),"")</f>
        <v/>
      </c>
      <c r="B1376" s="554">
        <f>"2026/02"&amp;D1376</f>
        <v/>
      </c>
      <c r="C1376" s="559" t="n">
        <v>68</v>
      </c>
      <c r="D1376" s="484" t="inlineStr">
        <is>
          <t>站前4樓</t>
        </is>
      </c>
      <c r="E1376" s="484" t="inlineStr">
        <is>
          <t>6220013</t>
        </is>
      </c>
      <c r="F1376" s="551" t="n"/>
      <c r="G1376" s="484" t="inlineStr">
        <is>
          <t>(V)(第二劑)海菲秀 Beta-HD Skin Solution /mL</t>
        </is>
      </c>
      <c r="H1376" s="552" t="n"/>
      <c r="I1376" s="552" t="n"/>
      <c r="J1376" s="551" t="n"/>
      <c r="K1376" s="140" t="inlineStr">
        <is>
          <t>236ml/瓶</t>
        </is>
      </c>
      <c r="L1376" s="560" t="n">
        <v>7410</v>
      </c>
      <c r="M1376" s="123" t="n"/>
      <c r="N1376" s="561" t="n"/>
    </row>
    <row r="1377" ht="17.25" customHeight="1" s="453" thickBot="1">
      <c r="A1377" s="553">
        <f>IFERROR(LEFT(B1377,7),"")</f>
        <v/>
      </c>
      <c r="B1377" s="554">
        <f>"2026/02"&amp;D1377</f>
        <v/>
      </c>
      <c r="C1377" s="559" t="n">
        <v>69</v>
      </c>
      <c r="D1377" s="484" t="inlineStr">
        <is>
          <t>站前4樓</t>
        </is>
      </c>
      <c r="E1377" s="484" t="inlineStr">
        <is>
          <t>6220014</t>
        </is>
      </c>
      <c r="F1377" s="551" t="n"/>
      <c r="G1377" s="484" t="inlineStr">
        <is>
          <t>(V)(第三劑)海菲秀 Antiox-6 Skin Solution /mL</t>
        </is>
      </c>
      <c r="H1377" s="552" t="n"/>
      <c r="I1377" s="552" t="n"/>
      <c r="J1377" s="551" t="n"/>
      <c r="K1377" s="140" t="inlineStr">
        <is>
          <t>236ml/瓶</t>
        </is>
      </c>
      <c r="L1377" s="560" t="n">
        <v>7410</v>
      </c>
      <c r="M1377" s="123" t="n"/>
      <c r="N1377" s="561" t="n"/>
    </row>
    <row r="1378" ht="17.25" customHeight="1" s="453" thickBot="1">
      <c r="A1378" s="553">
        <f>IFERROR(LEFT(B1378,7),"")</f>
        <v/>
      </c>
      <c r="B1378" s="554">
        <f>"2026/02"&amp;D1378</f>
        <v/>
      </c>
      <c r="C1378" s="559" t="n">
        <v>70</v>
      </c>
      <c r="D1378" s="484" t="inlineStr">
        <is>
          <t>站前4樓</t>
        </is>
      </c>
      <c r="E1378" s="484" t="inlineStr">
        <is>
          <t>6220015</t>
        </is>
      </c>
      <c r="F1378" s="551" t="n"/>
      <c r="G1378" s="484" t="inlineStr">
        <is>
          <t>(V)(第四劑)海菲秀 Rinseaway System Cleaning Solution /mL</t>
        </is>
      </c>
      <c r="H1378" s="552" t="n"/>
      <c r="I1378" s="552" t="n"/>
      <c r="J1378" s="551" t="n"/>
      <c r="K1378" s="140" t="inlineStr">
        <is>
          <t>236ml/瓶</t>
        </is>
      </c>
      <c r="L1378" s="560" t="n">
        <v>7410</v>
      </c>
      <c r="M1378" s="123" t="n"/>
      <c r="N1378" s="561" t="n"/>
    </row>
    <row r="1379" ht="17.25" customHeight="1" s="453" thickBot="1">
      <c r="A1379" s="553">
        <f>IFERROR(LEFT(B1379,7),"")</f>
        <v/>
      </c>
      <c r="B1379" s="554">
        <f>"2026/02"&amp;D1379</f>
        <v/>
      </c>
      <c r="C1379" s="559" t="n">
        <v>71</v>
      </c>
      <c r="D1379" s="484" t="inlineStr">
        <is>
          <t>站前11樓</t>
        </is>
      </c>
      <c r="E1379" s="484" t="inlineStr">
        <is>
          <t>6120001</t>
        </is>
      </c>
      <c r="F1379" s="551" t="n"/>
      <c r="G1379" s="484" t="inlineStr">
        <is>
          <t>(V)肝得健注射劑/ 瓶，220倍數叫貨</t>
        </is>
      </c>
      <c r="H1379" s="552" t="n"/>
      <c r="I1379" s="552" t="n"/>
      <c r="J1379" s="551" t="n"/>
      <c r="K1379" s="140" t="inlineStr">
        <is>
          <t>20支/盒</t>
        </is>
      </c>
      <c r="L1379" s="560" t="n">
        <v>526</v>
      </c>
      <c r="M1379" s="123" t="n"/>
    </row>
    <row r="1380" ht="17.25" customHeight="1" s="453" thickBot="1">
      <c r="A1380" s="553">
        <f>IFERROR(LEFT(B1380,7),"")</f>
        <v/>
      </c>
      <c r="B1380" s="554">
        <f>"2026/02"&amp;D1380</f>
        <v/>
      </c>
      <c r="C1380" s="559" t="n">
        <v>72</v>
      </c>
      <c r="D1380" s="484" t="inlineStr">
        <is>
          <t>站前11樓</t>
        </is>
      </c>
      <c r="E1380" s="484" t="inlineStr">
        <is>
          <t>6120002</t>
        </is>
      </c>
      <c r="F1380" s="551" t="n"/>
      <c r="G1380" s="484" t="inlineStr">
        <is>
          <t>(V)卡妮丁注射劑/ 瓶，220倍數叫貨</t>
        </is>
      </c>
      <c r="H1380" s="552" t="n"/>
      <c r="I1380" s="552" t="n"/>
      <c r="J1380" s="551" t="n"/>
      <c r="K1380" s="140" t="inlineStr">
        <is>
          <t>20支/盒</t>
        </is>
      </c>
      <c r="L1380" s="560" t="n">
        <v>672.5</v>
      </c>
      <c r="M1380" s="123" t="n"/>
    </row>
    <row r="1381" ht="17.25" customHeight="1" s="453" thickBot="1">
      <c r="A1381" s="553">
        <f>IFERROR(LEFT(B1381,7),"")</f>
        <v/>
      </c>
      <c r="B1381" s="554">
        <f>"2026/02"&amp;D1381</f>
        <v/>
      </c>
      <c r="C1381" s="559" t="n">
        <v>73</v>
      </c>
      <c r="D1381" s="484" t="inlineStr">
        <is>
          <t>站前11樓</t>
        </is>
      </c>
      <c r="E1381" s="484" t="inlineStr">
        <is>
          <t>6120003</t>
        </is>
      </c>
      <c r="F1381" s="551" t="n"/>
      <c r="G1381" s="484" t="inlineStr">
        <is>
          <t>(V)貝力多(雙胜胺) 20% 30mL/ 瓶，50倍數叫貨</t>
        </is>
      </c>
      <c r="H1381" s="552" t="n"/>
      <c r="I1381" s="552" t="n"/>
      <c r="J1381" s="551" t="n"/>
      <c r="K1381" s="140" t="inlineStr">
        <is>
          <t>10支/盒</t>
        </is>
      </c>
      <c r="L1381" s="560" t="n">
        <v>4</v>
      </c>
      <c r="M1381" s="123" t="n"/>
    </row>
    <row r="1382" ht="17.25" customHeight="1" s="453" thickBot="1">
      <c r="A1382" s="553">
        <f>IFERROR(LEFT(B1382,7),"")</f>
        <v/>
      </c>
      <c r="B1382" s="554">
        <f>"2026/02"&amp;D1382</f>
        <v/>
      </c>
      <c r="C1382" s="559" t="n">
        <v>74</v>
      </c>
      <c r="D1382" s="484" t="inlineStr">
        <is>
          <t>站前11樓</t>
        </is>
      </c>
      <c r="E1382" s="484" t="inlineStr">
        <is>
          <t>6120004</t>
        </is>
      </c>
      <c r="F1382" s="551" t="n"/>
      <c r="G1382" s="484" t="inlineStr">
        <is>
          <t>(V)胺基酸點滴250ml/ 袋(安命活源/嘉安命)，20倍數叫貨</t>
        </is>
      </c>
      <c r="H1382" s="552" t="n"/>
      <c r="I1382" s="552" t="n"/>
      <c r="J1382" s="551" t="n"/>
      <c r="K1382" s="140" t="inlineStr">
        <is>
          <t>(20瓶/箱)</t>
        </is>
      </c>
      <c r="L1382" s="560" t="n">
        <v>24</v>
      </c>
      <c r="M1382" s="123" t="n"/>
    </row>
    <row r="1383" ht="17.25" customHeight="1" s="453" thickBot="1">
      <c r="A1383" s="553">
        <f>IFERROR(LEFT(B1383,7),"")</f>
        <v/>
      </c>
      <c r="B1383" s="554">
        <f>"2026/02"&amp;D1383</f>
        <v/>
      </c>
      <c r="C1383" s="559" t="n">
        <v>75</v>
      </c>
      <c r="D1383" s="484" t="inlineStr">
        <is>
          <t>站前11樓</t>
        </is>
      </c>
      <c r="E1383" s="484" t="inlineStr">
        <is>
          <t>6120006</t>
        </is>
      </c>
      <c r="F1383" s="551" t="n"/>
      <c r="G1383" s="484" t="inlineStr">
        <is>
          <t>(V)(B12) 愛壽命 2mL，100倍數叫貨</t>
        </is>
      </c>
      <c r="H1383" s="552" t="n"/>
      <c r="I1383" s="552" t="n"/>
      <c r="J1383" s="551" t="n"/>
      <c r="K1383" s="140" t="inlineStr">
        <is>
          <t>(100支/盒)</t>
        </is>
      </c>
      <c r="L1383" s="560" t="n">
        <v>309</v>
      </c>
      <c r="M1383" s="123" t="n"/>
    </row>
    <row r="1384" ht="17.25" customHeight="1" s="453" thickBot="1">
      <c r="A1384" s="553">
        <f>IFERROR(LEFT(B1384,7),"")</f>
        <v/>
      </c>
      <c r="B1384" s="554">
        <f>"2026/02"&amp;D1384</f>
        <v/>
      </c>
      <c r="C1384" s="559" t="n">
        <v>76</v>
      </c>
      <c r="D1384" s="484" t="inlineStr">
        <is>
          <t>站前11樓</t>
        </is>
      </c>
      <c r="E1384" s="484" t="inlineStr">
        <is>
          <t>6120007</t>
        </is>
      </c>
      <c r="F1384" s="551" t="n"/>
      <c r="G1384" s="484" t="inlineStr">
        <is>
          <t>(V)(硫酸鋅) 1ml/支，100倍數叫貨</t>
        </is>
      </c>
      <c r="H1384" s="552" t="n"/>
      <c r="I1384" s="552" t="n"/>
      <c r="J1384" s="551" t="n"/>
      <c r="K1384" s="140" t="inlineStr">
        <is>
          <t>100支/盒</t>
        </is>
      </c>
      <c r="L1384" s="560" t="n">
        <v>11</v>
      </c>
      <c r="M1384" s="123" t="n"/>
    </row>
    <row r="1385" ht="17.25" customHeight="1" s="453" thickBot="1">
      <c r="A1385" s="553">
        <f>IFERROR(LEFT(B1385,7),"")</f>
        <v/>
      </c>
      <c r="B1385" s="554">
        <f>"2026/02"&amp;D1385</f>
        <v/>
      </c>
      <c r="C1385" s="559" t="n">
        <v>77</v>
      </c>
      <c r="D1385" s="484" t="inlineStr">
        <is>
          <t>站前11樓</t>
        </is>
      </c>
      <c r="E1385" s="484" t="inlineStr">
        <is>
          <t>6120008</t>
        </is>
      </c>
      <c r="F1385" s="551" t="n"/>
      <c r="G1385" s="484" t="inlineStr">
        <is>
          <t>(V)(硫酸鎂) 注射液 20ml/支</t>
        </is>
      </c>
      <c r="H1385" s="552" t="n"/>
      <c r="I1385" s="552" t="n"/>
      <c r="J1385" s="551" t="n"/>
      <c r="K1385" s="140" t="inlineStr">
        <is>
          <t>60支/盒</t>
        </is>
      </c>
      <c r="L1385" s="560" t="n">
        <v>1</v>
      </c>
      <c r="M1385" s="123" t="n"/>
    </row>
    <row r="1386" ht="17.25" customHeight="1" s="453" thickBot="1">
      <c r="A1386" s="553">
        <f>IFERROR(LEFT(B1386,7),"")</f>
        <v/>
      </c>
      <c r="B1386" s="554">
        <f>"2026/02"&amp;D1386</f>
        <v/>
      </c>
      <c r="C1386" s="559" t="n">
        <v>78</v>
      </c>
      <c r="D1386" s="484" t="inlineStr">
        <is>
          <t>站前11樓</t>
        </is>
      </c>
      <c r="E1386" s="484" t="inlineStr">
        <is>
          <t>6120009</t>
        </is>
      </c>
      <c r="F1386" s="551" t="n"/>
      <c r="G1386" s="484" t="inlineStr">
        <is>
          <t>(V)(B1) 硫胺明 2ml</t>
        </is>
      </c>
      <c r="H1386" s="552" t="n"/>
      <c r="I1386" s="552" t="n"/>
      <c r="J1386" s="551" t="n"/>
      <c r="K1386" s="140" t="inlineStr">
        <is>
          <t>(100支/盒)</t>
        </is>
      </c>
      <c r="L1386" s="560" t="n">
        <v>10</v>
      </c>
      <c r="M1386" s="123" t="n"/>
    </row>
    <row r="1387" ht="17.25" customHeight="1" s="453" thickBot="1">
      <c r="A1387" s="553">
        <f>IFERROR(LEFT(B1387,7),"")</f>
        <v/>
      </c>
      <c r="B1387" s="554">
        <f>"2026/02"&amp;D1387</f>
        <v/>
      </c>
      <c r="C1387" s="559" t="n">
        <v>79</v>
      </c>
      <c r="D1387" s="484" t="inlineStr">
        <is>
          <t>站前11樓</t>
        </is>
      </c>
      <c r="E1387" s="484" t="inlineStr">
        <is>
          <t>6120010</t>
        </is>
      </c>
      <c r="F1387" s="551" t="n"/>
      <c r="G1387" s="484" t="inlineStr">
        <is>
          <t>(V)(B6) 活性維生素 2ml，100倍數叫貨</t>
        </is>
      </c>
      <c r="H1387" s="552" t="n"/>
      <c r="I1387" s="552" t="n"/>
      <c r="J1387" s="551" t="n"/>
      <c r="K1387" s="140" t="inlineStr">
        <is>
          <t>(100支/盒)</t>
        </is>
      </c>
      <c r="L1387" s="560" t="n">
        <v>10</v>
      </c>
      <c r="M1387" s="123" t="n"/>
    </row>
    <row r="1388" ht="17.25" customHeight="1" s="453" thickBot="1">
      <c r="A1388" s="553">
        <f>IFERROR(LEFT(B1388,7),"")</f>
        <v/>
      </c>
      <c r="B1388" s="554">
        <f>"2026/02"&amp;D1388</f>
        <v/>
      </c>
      <c r="C1388" s="559" t="n">
        <v>80</v>
      </c>
      <c r="D1388" s="484" t="inlineStr">
        <is>
          <t>站前11樓</t>
        </is>
      </c>
      <c r="E1388" s="484" t="inlineStr">
        <is>
          <t>6120011</t>
        </is>
      </c>
      <c r="F1388" s="551" t="n"/>
      <c r="G1388" s="484" t="inlineStr">
        <is>
          <t>(V)(硒) 西寧特 2ml/支</t>
        </is>
      </c>
      <c r="H1388" s="552" t="n"/>
      <c r="I1388" s="552" t="n"/>
      <c r="J1388" s="551" t="n"/>
      <c r="K1388" s="140" t="inlineStr">
        <is>
          <t>10支/盒</t>
        </is>
      </c>
      <c r="L1388" s="560" t="n">
        <v>2</v>
      </c>
      <c r="M1388" s="123" t="n"/>
    </row>
    <row r="1389" ht="17.25" customHeight="1" s="453" thickBot="1">
      <c r="A1389" s="553">
        <f>IFERROR(LEFT(B1389,7),"")</f>
        <v/>
      </c>
      <c r="B1389" s="554">
        <f>"2026/02"&amp;D1389</f>
        <v/>
      </c>
      <c r="C1389" s="559" t="n">
        <v>81</v>
      </c>
      <c r="D1389" s="484" t="inlineStr">
        <is>
          <t>站前11樓</t>
        </is>
      </c>
      <c r="E1389" s="484" t="inlineStr">
        <is>
          <t>6120013</t>
        </is>
      </c>
      <c r="F1389" s="551" t="n"/>
      <c r="G1389" s="484" t="inlineStr">
        <is>
          <t>(V)生理食鹽水(NS) 250ml/ 袋</t>
        </is>
      </c>
      <c r="H1389" s="552" t="n"/>
      <c r="I1389" s="552" t="n"/>
      <c r="J1389" s="551" t="n"/>
      <c r="K1389" s="140" t="inlineStr">
        <is>
          <t>40瓶/箱</t>
        </is>
      </c>
      <c r="L1389" s="560" t="n">
        <v>301</v>
      </c>
      <c r="M1389" s="123" t="n"/>
    </row>
    <row r="1390" ht="17.25" customHeight="1" s="453" thickBot="1">
      <c r="A1390" s="553">
        <f>IFERROR(LEFT(B1390,7),"")</f>
        <v/>
      </c>
      <c r="B1390" s="554">
        <f>"2026/02"&amp;D1390</f>
        <v/>
      </c>
      <c r="C1390" s="559" t="n">
        <v>82</v>
      </c>
      <c r="D1390" s="484" t="inlineStr">
        <is>
          <t>站前11樓</t>
        </is>
      </c>
      <c r="E1390" s="484" t="inlineStr">
        <is>
          <t>6120014</t>
        </is>
      </c>
      <c r="F1390" s="551" t="n"/>
      <c r="G1390" s="484" t="inlineStr">
        <is>
          <t>(V)葡萄糖水(D5W) 250ml/袋</t>
        </is>
      </c>
      <c r="H1390" s="552" t="n"/>
      <c r="I1390" s="552" t="n"/>
      <c r="J1390" s="551" t="n"/>
      <c r="K1390" s="140" t="inlineStr">
        <is>
          <t>60袋/箱</t>
        </is>
      </c>
      <c r="L1390" s="560" t="n">
        <v>461</v>
      </c>
      <c r="M1390" s="123" t="n"/>
    </row>
    <row r="1391" ht="17.25" customHeight="1" s="453" thickBot="1">
      <c r="A1391" s="553">
        <f>IFERROR(LEFT(B1391,7),"")</f>
        <v/>
      </c>
      <c r="B1391" s="554">
        <f>"2026/02"&amp;D1391</f>
        <v/>
      </c>
      <c r="C1391" s="559" t="n">
        <v>83</v>
      </c>
      <c r="D1391" s="484" t="inlineStr">
        <is>
          <t>站前11樓</t>
        </is>
      </c>
      <c r="E1391" s="484" t="inlineStr">
        <is>
          <t>6120015</t>
        </is>
      </c>
      <c r="F1391" s="551" t="n"/>
      <c r="G1391" s="484" t="inlineStr">
        <is>
          <t>(V)(B群)淘能美複合維他命B 2ml，100倍數叫貨</t>
        </is>
      </c>
      <c r="H1391" s="552" t="n"/>
      <c r="I1391" s="552" t="n"/>
      <c r="J1391" s="551" t="n"/>
      <c r="K1391" s="140" t="n"/>
      <c r="L1391" s="560" t="n">
        <v>21</v>
      </c>
      <c r="M1391" s="123" t="n"/>
    </row>
    <row r="1392" ht="17.25" customHeight="1" s="453" thickBot="1">
      <c r="A1392" s="553">
        <f>IFERROR(LEFT(B1392,7),"")</f>
        <v/>
      </c>
      <c r="B1392" s="554">
        <f>"2026/02"&amp;D1392</f>
        <v/>
      </c>
      <c r="C1392" s="559" t="n">
        <v>84</v>
      </c>
      <c r="D1392" s="484" t="inlineStr">
        <is>
          <t>站前11樓</t>
        </is>
      </c>
      <c r="E1392" s="484" t="inlineStr">
        <is>
          <t>6120016</t>
        </is>
      </c>
      <c r="F1392" s="551" t="n"/>
      <c r="G1392" s="484" t="inlineStr">
        <is>
          <t>(V)(榖胱肝肽) 克樂達養200mg (20ml/瓶)</t>
        </is>
      </c>
      <c r="H1392" s="552" t="n"/>
      <c r="I1392" s="552" t="n"/>
      <c r="J1392" s="551" t="n"/>
      <c r="K1392" s="140" t="inlineStr">
        <is>
          <t>50支/盒</t>
        </is>
      </c>
      <c r="L1392" s="560" t="n">
        <v>21</v>
      </c>
      <c r="M1392" s="123" t="n"/>
    </row>
    <row r="1393" ht="17.25" customHeight="1" s="453" thickBot="1">
      <c r="A1393" s="553">
        <f>IFERROR(LEFT(B1393,7),"")</f>
        <v/>
      </c>
      <c r="B1393" s="554">
        <f>"2026/02"&amp;D1393</f>
        <v/>
      </c>
      <c r="C1393" s="559" t="n">
        <v>85</v>
      </c>
      <c r="D1393" s="484" t="inlineStr">
        <is>
          <t>站前11樓</t>
        </is>
      </c>
      <c r="E1393" s="484" t="inlineStr">
        <is>
          <t>6120021</t>
        </is>
      </c>
      <c r="F1393" s="551" t="n"/>
      <c r="G1393" s="484" t="inlineStr">
        <is>
          <t>(V)(Vit C)(抗壞血酸/諾貝爾)20ml，50倍數下單</t>
        </is>
      </c>
      <c r="H1393" s="552" t="n"/>
      <c r="I1393" s="552" t="n"/>
      <c r="J1393" s="551" t="n"/>
      <c r="K1393" s="140" t="inlineStr">
        <is>
          <t>50支/盒</t>
        </is>
      </c>
      <c r="L1393" s="560" t="n">
        <v>22</v>
      </c>
      <c r="M1393" s="123" t="n"/>
    </row>
    <row r="1394" ht="17.25" customHeight="1" s="453" thickBot="1">
      <c r="A1394" s="553">
        <f>IFERROR(LEFT(B1394,7),"")</f>
        <v/>
      </c>
      <c r="B1394" s="554">
        <f>"2026/02"&amp;D1394</f>
        <v/>
      </c>
      <c r="C1394" s="559" t="n">
        <v>86</v>
      </c>
      <c r="D1394" s="484" t="inlineStr">
        <is>
          <t>站前11樓</t>
        </is>
      </c>
      <c r="E1394" s="484" t="inlineStr">
        <is>
          <t>6120036</t>
        </is>
      </c>
      <c r="F1394" s="551" t="n"/>
      <c r="G1394" s="484" t="inlineStr">
        <is>
          <t>(V)貝力多(雙胜胺) 20% 50mL/ 瓶，50倍數下單</t>
        </is>
      </c>
      <c r="H1394" s="552" t="n"/>
      <c r="I1394" s="552" t="n"/>
      <c r="J1394" s="551" t="n"/>
      <c r="K1394" s="140" t="inlineStr">
        <is>
          <t>瓶(10瓶/盒)</t>
        </is>
      </c>
      <c r="L1394" s="560" t="n">
        <v>9</v>
      </c>
      <c r="M1394" s="123" t="n"/>
    </row>
    <row r="1395" ht="17.25" customHeight="1" s="453" thickBot="1">
      <c r="A1395" s="553">
        <f>IFERROR(LEFT(B1395,7),"")</f>
        <v/>
      </c>
      <c r="B1395" s="554">
        <f>"2026/02"&amp;D1395</f>
        <v/>
      </c>
      <c r="C1395" s="559" t="n">
        <v>87</v>
      </c>
      <c r="D1395" s="484" t="inlineStr">
        <is>
          <t>站前11樓</t>
        </is>
      </c>
      <c r="E1395" s="484" t="inlineStr">
        <is>
          <t>6190005</t>
        </is>
      </c>
      <c r="F1395" s="551" t="n"/>
      <c r="G1395" s="484" t="inlineStr">
        <is>
          <t>(V)氦氖針/ 支</t>
        </is>
      </c>
      <c r="H1395" s="552" t="n"/>
      <c r="I1395" s="552" t="n"/>
      <c r="J1395" s="551" t="n"/>
      <c r="K1395" s="140" t="inlineStr">
        <is>
          <t>(50支/包)</t>
        </is>
      </c>
      <c r="L1395" s="560" t="n">
        <v>19</v>
      </c>
      <c r="M1395" s="123" t="n"/>
    </row>
    <row r="1396" ht="17.25" customHeight="1" s="453" thickBot="1">
      <c r="A1396" s="553">
        <f>IFERROR(LEFT(B1396,7),"")</f>
        <v/>
      </c>
      <c r="B1396" s="554">
        <f>"2026/02"&amp;D1396</f>
        <v/>
      </c>
      <c r="C1396" s="559" t="n">
        <v>88</v>
      </c>
      <c r="D1396" s="484" t="inlineStr">
        <is>
          <t>站前11樓</t>
        </is>
      </c>
      <c r="E1396" s="484" t="inlineStr">
        <is>
          <t>6200004</t>
        </is>
      </c>
      <c r="F1396" s="551" t="n"/>
      <c r="G1396" s="484" t="inlineStr">
        <is>
          <t>阿爾發SAT卡匣/ 發</t>
        </is>
      </c>
      <c r="H1396" s="552" t="n"/>
      <c r="I1396" s="552" t="n"/>
      <c r="J1396" s="551" t="n"/>
      <c r="K1396" s="140" t="inlineStr">
        <is>
          <t>50發/卡</t>
        </is>
      </c>
      <c r="L1396" s="560" t="n">
        <v>1583</v>
      </c>
      <c r="M1396" s="123" t="n"/>
    </row>
    <row r="1397" ht="17.25" customHeight="1" s="453" thickBot="1">
      <c r="A1397" s="553">
        <f>IFERROR(LEFT(B1397,7),"")</f>
        <v/>
      </c>
      <c r="B1397" s="554">
        <f>"2026/02"&amp;D1397</f>
        <v/>
      </c>
      <c r="C1397" s="559" t="n">
        <v>89</v>
      </c>
      <c r="D1397" s="484" t="inlineStr">
        <is>
          <t>站前11樓</t>
        </is>
      </c>
      <c r="E1397" s="484" t="inlineStr">
        <is>
          <t>6200008</t>
        </is>
      </c>
      <c r="F1397" s="551" t="n"/>
      <c r="G1397" s="484" t="inlineStr">
        <is>
          <t>瘦瘦筆-週纖達*1支(0.25mg)</t>
        </is>
      </c>
      <c r="H1397" s="552" t="n"/>
      <c r="I1397" s="552" t="n"/>
      <c r="J1397" s="551" t="n"/>
      <c r="K1397" s="140" t="inlineStr">
        <is>
          <t>支</t>
        </is>
      </c>
      <c r="L1397" s="560" t="n">
        <v>2</v>
      </c>
      <c r="M1397" s="123" t="n"/>
    </row>
    <row r="1398" ht="17.25" customHeight="1" s="453" thickBot="1">
      <c r="A1398" s="553">
        <f>IFERROR(LEFT(B1398,7),"")</f>
        <v/>
      </c>
      <c r="B1398" s="554">
        <f>"2026/02"&amp;D1398</f>
        <v/>
      </c>
      <c r="C1398" s="559" t="n">
        <v>90</v>
      </c>
      <c r="D1398" s="484" t="inlineStr">
        <is>
          <t>站前11樓</t>
        </is>
      </c>
      <c r="E1398" s="484" t="inlineStr">
        <is>
          <t>6200010</t>
        </is>
      </c>
      <c r="F1398" s="551" t="n"/>
      <c r="G1398" s="484" t="inlineStr">
        <is>
          <t>瘦瘦筆-週纖達*1支(1.0mg)</t>
        </is>
      </c>
      <c r="H1398" s="552" t="n"/>
      <c r="I1398" s="552" t="n"/>
      <c r="J1398" s="551" t="n"/>
      <c r="K1398" s="140" t="inlineStr">
        <is>
          <t>支</t>
        </is>
      </c>
      <c r="L1398" s="560" t="n">
        <v>1</v>
      </c>
      <c r="M1398" s="123" t="n"/>
    </row>
    <row r="1399" ht="17.25" customHeight="1" s="453" thickBot="1">
      <c r="A1399" s="553">
        <f>IFERROR(LEFT(B1399,7),"")</f>
        <v/>
      </c>
      <c r="B1399" s="554">
        <f>"2026/02"&amp;D1399</f>
        <v/>
      </c>
      <c r="C1399" s="559" t="n">
        <v>91</v>
      </c>
      <c r="D1399" s="484" t="inlineStr">
        <is>
          <t>站前11樓</t>
        </is>
      </c>
      <c r="E1399" s="484" t="inlineStr">
        <is>
          <t>6200016</t>
        </is>
      </c>
      <c r="F1399" s="551" t="n"/>
      <c r="G1399" s="484" t="inlineStr">
        <is>
          <t>(V)猛健樂*1支(10mg)</t>
        </is>
      </c>
      <c r="H1399" s="552" t="n"/>
      <c r="I1399" s="552" t="n"/>
      <c r="J1399" s="551" t="n"/>
      <c r="K1399" s="140" t="inlineStr">
        <is>
          <t>3cc/支</t>
        </is>
      </c>
      <c r="L1399" s="560" t="n">
        <v>2</v>
      </c>
      <c r="M1399" s="123" t="n"/>
    </row>
    <row r="1400" ht="17.25" customHeight="1" s="453" thickBot="1">
      <c r="A1400" s="553">
        <f>IFERROR(LEFT(B1400,7),"")</f>
        <v/>
      </c>
      <c r="B1400" s="554">
        <f>"2026/02"&amp;D1400</f>
        <v/>
      </c>
      <c r="C1400" s="559" t="n">
        <v>92</v>
      </c>
      <c r="D1400" s="484" t="inlineStr">
        <is>
          <t>站前11樓</t>
        </is>
      </c>
      <c r="E1400" s="484" t="inlineStr">
        <is>
          <t>6200017</t>
        </is>
      </c>
      <c r="F1400" s="551" t="n"/>
      <c r="G1400" s="484" t="inlineStr">
        <is>
          <t>(V)猛健樂10MG/0.15CC</t>
        </is>
      </c>
      <c r="H1400" s="552" t="n"/>
      <c r="I1400" s="552" t="n"/>
      <c r="J1400" s="551" t="n"/>
      <c r="K1400" s="140" t="inlineStr">
        <is>
          <t>0.15cc/次</t>
        </is>
      </c>
      <c r="L1400" s="560" t="n">
        <v>1</v>
      </c>
      <c r="M1400" s="123" t="n"/>
    </row>
    <row r="1401" ht="17.25" customHeight="1" s="453" thickBot="1">
      <c r="A1401" s="553">
        <f>IFERROR(LEFT(B1401,7),"")</f>
        <v/>
      </c>
      <c r="B1401" s="554">
        <f>"2026/02"&amp;D1401</f>
        <v/>
      </c>
      <c r="C1401" s="559" t="n">
        <v>93</v>
      </c>
      <c r="D1401" s="484" t="inlineStr">
        <is>
          <t>站前11樓</t>
        </is>
      </c>
      <c r="E1401" s="484" t="inlineStr">
        <is>
          <t>6200021</t>
        </is>
      </c>
      <c r="F1401" s="551" t="n"/>
      <c r="G1401" s="484" t="inlineStr">
        <is>
          <t>(V)猛健樂12.5MG/0.12CC</t>
        </is>
      </c>
      <c r="H1401" s="552" t="n"/>
      <c r="I1401" s="552" t="n"/>
      <c r="J1401" s="551" t="n"/>
      <c r="K1401" s="140" t="inlineStr">
        <is>
          <t>0.12cc/次</t>
        </is>
      </c>
      <c r="L1401" s="560" t="n">
        <v>956.6800000000001</v>
      </c>
      <c r="M1401" s="123" t="n"/>
    </row>
    <row r="1402" ht="17.25" customHeight="1" s="453" thickBot="1">
      <c r="A1402" s="553">
        <f>IFERROR(LEFT(B1402,7),"")</f>
        <v/>
      </c>
      <c r="B1402" s="554">
        <f>"2026/02"&amp;D1402</f>
        <v/>
      </c>
      <c r="C1402" s="559" t="n">
        <v>94</v>
      </c>
      <c r="D1402" s="484" t="inlineStr">
        <is>
          <t>忠孝7樓</t>
        </is>
      </c>
      <c r="E1402" s="484" t="inlineStr">
        <is>
          <t>6120003</t>
        </is>
      </c>
      <c r="F1402" s="551" t="n"/>
      <c r="G1402" s="484" t="inlineStr">
        <is>
          <t>(V)貝力多(雙胜胺) 20% 30mL/ 瓶，50倍數叫貨</t>
        </is>
      </c>
      <c r="H1402" s="552" t="n"/>
      <c r="I1402" s="552" t="n"/>
      <c r="J1402" s="551" t="n"/>
      <c r="K1402" s="140" t="inlineStr">
        <is>
          <t>10支/盒</t>
        </is>
      </c>
      <c r="L1402" s="560" t="n">
        <v>2</v>
      </c>
      <c r="M1402" s="123" t="n"/>
      <c r="N1402" s="561" t="n"/>
    </row>
    <row r="1403" ht="17.25" customHeight="1" s="453" thickBot="1">
      <c r="A1403" s="553">
        <f>IFERROR(LEFT(B1403,7),"")</f>
        <v/>
      </c>
      <c r="B1403" s="554">
        <f>"2026/02"&amp;D1403</f>
        <v/>
      </c>
      <c r="C1403" s="559" t="n">
        <v>95</v>
      </c>
      <c r="D1403" s="484" t="inlineStr">
        <is>
          <t>忠孝7樓</t>
        </is>
      </c>
      <c r="E1403" s="484" t="inlineStr">
        <is>
          <t>6120004</t>
        </is>
      </c>
      <c r="F1403" s="551" t="n"/>
      <c r="G1403" s="484" t="inlineStr">
        <is>
          <t>(V)胺基酸點滴250ml/ 袋(安命活源/嘉安命)，20倍數叫貨</t>
        </is>
      </c>
      <c r="H1403" s="552" t="n"/>
      <c r="I1403" s="552" t="n"/>
      <c r="J1403" s="551" t="n"/>
      <c r="K1403" s="140" t="inlineStr">
        <is>
          <t>(20瓶/箱)</t>
        </is>
      </c>
      <c r="L1403" s="560" t="n">
        <v>32</v>
      </c>
      <c r="M1403" s="123" t="n"/>
      <c r="N1403" s="561" t="n"/>
    </row>
    <row r="1404" ht="17.25" customHeight="1" s="453" thickBot="1">
      <c r="A1404" s="553">
        <f>IFERROR(LEFT(B1404,7),"")</f>
        <v/>
      </c>
      <c r="B1404" s="554">
        <f>"2026/02"&amp;D1404</f>
        <v/>
      </c>
      <c r="C1404" s="559" t="n">
        <v>96</v>
      </c>
      <c r="D1404" s="484" t="inlineStr">
        <is>
          <t>忠孝7樓</t>
        </is>
      </c>
      <c r="E1404" s="484" t="inlineStr">
        <is>
          <t>6120006</t>
        </is>
      </c>
      <c r="F1404" s="551" t="n"/>
      <c r="G1404" s="484" t="inlineStr">
        <is>
          <t>(V)(B12) 愛壽命 2mL，100倍數叫貨</t>
        </is>
      </c>
      <c r="H1404" s="552" t="n"/>
      <c r="I1404" s="552" t="n"/>
      <c r="J1404" s="551" t="n"/>
      <c r="K1404" s="140" t="inlineStr">
        <is>
          <t>(100支/盒)</t>
        </is>
      </c>
      <c r="L1404" s="560" t="n">
        <v>34</v>
      </c>
      <c r="M1404" s="123" t="n"/>
      <c r="N1404" s="561" t="n"/>
    </row>
    <row r="1405" ht="17.25" customHeight="1" s="453" thickBot="1">
      <c r="A1405" s="553">
        <f>IFERROR(LEFT(B1405,7),"")</f>
        <v/>
      </c>
      <c r="B1405" s="554">
        <f>"2026/02"&amp;D1405</f>
        <v/>
      </c>
      <c r="C1405" s="559" t="n">
        <v>97</v>
      </c>
      <c r="D1405" s="484" t="inlineStr">
        <is>
          <t>忠孝7樓</t>
        </is>
      </c>
      <c r="E1405" s="484" t="inlineStr">
        <is>
          <t>6120013</t>
        </is>
      </c>
      <c r="F1405" s="551" t="n"/>
      <c r="G1405" s="484" t="inlineStr">
        <is>
          <t>(V)生理食鹽水(NS) 250ml/ 袋</t>
        </is>
      </c>
      <c r="H1405" s="552" t="n"/>
      <c r="I1405" s="552" t="n"/>
      <c r="J1405" s="551" t="n"/>
      <c r="K1405" s="140" t="inlineStr">
        <is>
          <t>40瓶/箱</t>
        </is>
      </c>
      <c r="L1405" s="560" t="n">
        <v>134</v>
      </c>
      <c r="M1405" s="123" t="n"/>
      <c r="N1405" s="561" t="n"/>
    </row>
    <row r="1406" ht="17.25" customHeight="1" s="453" thickBot="1">
      <c r="A1406" s="553">
        <f>IFERROR(LEFT(B1406,7),"")</f>
        <v/>
      </c>
      <c r="B1406" s="554">
        <f>"2026/02"&amp;D1406</f>
        <v/>
      </c>
      <c r="C1406" s="559" t="n">
        <v>98</v>
      </c>
      <c r="D1406" s="484" t="inlineStr">
        <is>
          <t>忠孝7樓</t>
        </is>
      </c>
      <c r="E1406" s="484" t="inlineStr">
        <is>
          <t>6120015</t>
        </is>
      </c>
      <c r="F1406" s="551" t="n"/>
      <c r="G1406" s="484" t="inlineStr">
        <is>
          <t>(V)(B群)淘能美複合維他命B 2ml，100倍數叫貨</t>
        </is>
      </c>
      <c r="H1406" s="552" t="n"/>
      <c r="I1406" s="552" t="n"/>
      <c r="J1406" s="551" t="n"/>
      <c r="K1406" s="140" t="n"/>
      <c r="L1406" s="560" t="n">
        <v>165</v>
      </c>
      <c r="M1406" s="123" t="n"/>
      <c r="N1406" s="561" t="n"/>
    </row>
    <row r="1407" ht="17.25" customHeight="1" s="453" thickBot="1">
      <c r="A1407" s="553">
        <f>IFERROR(LEFT(B1407,7),"")</f>
        <v/>
      </c>
      <c r="B1407" s="554">
        <f>"2026/02"&amp;D1407</f>
        <v/>
      </c>
      <c r="C1407" s="559" t="n">
        <v>99</v>
      </c>
      <c r="D1407" s="484" t="inlineStr">
        <is>
          <t>忠孝7樓</t>
        </is>
      </c>
      <c r="E1407" s="484" t="inlineStr">
        <is>
          <t>6120016</t>
        </is>
      </c>
      <c r="F1407" s="551" t="n"/>
      <c r="G1407" s="484" t="inlineStr">
        <is>
          <t>(V)(榖胱肝肽) 克樂達養200mg (20ml/瓶)</t>
        </is>
      </c>
      <c r="H1407" s="552" t="n"/>
      <c r="I1407" s="552" t="n"/>
      <c r="J1407" s="551" t="n"/>
      <c r="K1407" s="140" t="inlineStr">
        <is>
          <t>50支/盒</t>
        </is>
      </c>
      <c r="L1407" s="560" t="n">
        <v>164</v>
      </c>
      <c r="M1407" s="123" t="n"/>
      <c r="N1407" s="561" t="n"/>
    </row>
    <row r="1408" ht="17.25" customHeight="1" s="453" thickBot="1">
      <c r="A1408" s="553">
        <f>IFERROR(LEFT(B1408,7),"")</f>
        <v/>
      </c>
      <c r="B1408" s="554">
        <f>"2026/02"&amp;D1408</f>
        <v/>
      </c>
      <c r="C1408" s="559" t="n">
        <v>100</v>
      </c>
      <c r="D1408" s="484" t="inlineStr">
        <is>
          <t>忠孝7樓</t>
        </is>
      </c>
      <c r="E1408" s="484" t="inlineStr">
        <is>
          <t>6120017</t>
        </is>
      </c>
      <c r="F1408" s="551" t="n"/>
      <c r="G1408" s="484" t="inlineStr">
        <is>
          <t>(V)保肝 5ml/支</t>
        </is>
      </c>
      <c r="H1408" s="552" t="n"/>
      <c r="I1408" s="552" t="n"/>
      <c r="J1408" s="551" t="n"/>
      <c r="K1408" s="140" t="inlineStr">
        <is>
          <t>50支/盒</t>
        </is>
      </c>
      <c r="L1408" s="560" t="n">
        <v>1</v>
      </c>
      <c r="M1408" s="123" t="n"/>
      <c r="N1408" s="561" t="n"/>
    </row>
    <row r="1409" ht="17.25" customHeight="1" s="453" thickBot="1">
      <c r="A1409" s="553">
        <f>IFERROR(LEFT(B1409,7),"")</f>
        <v/>
      </c>
      <c r="B1409" s="554">
        <f>"2026/02"&amp;D1409</f>
        <v/>
      </c>
      <c r="C1409" s="559" t="n">
        <v>101</v>
      </c>
      <c r="D1409" s="484" t="inlineStr">
        <is>
          <t>忠孝7樓</t>
        </is>
      </c>
      <c r="E1409" s="484" t="inlineStr">
        <is>
          <t>6120018</t>
        </is>
      </c>
      <c r="F1409" s="551" t="n"/>
      <c r="G1409" s="484" t="inlineStr">
        <is>
          <t>(V)(傳明酸)止血明 5ml/支</t>
        </is>
      </c>
      <c r="H1409" s="552" t="n"/>
      <c r="I1409" s="552" t="n"/>
      <c r="J1409" s="551" t="n"/>
      <c r="K1409" s="140" t="inlineStr">
        <is>
          <t>50支/盒</t>
        </is>
      </c>
      <c r="L1409" s="560" t="n">
        <v>124</v>
      </c>
      <c r="M1409" s="123" t="n"/>
      <c r="N1409" s="561" t="n"/>
    </row>
    <row r="1410" ht="17.25" customHeight="1" s="453" thickBot="1">
      <c r="A1410" s="553">
        <f>IFERROR(LEFT(B1410,7),"")</f>
        <v/>
      </c>
      <c r="B1410" s="554">
        <f>"2026/02"&amp;D1410</f>
        <v/>
      </c>
      <c r="C1410" s="559" t="n">
        <v>102</v>
      </c>
      <c r="D1410" s="484" t="inlineStr">
        <is>
          <t>忠孝7樓</t>
        </is>
      </c>
      <c r="E1410" s="484" t="inlineStr">
        <is>
          <t>6120020</t>
        </is>
      </c>
      <c r="F1410" s="551" t="n"/>
      <c r="G1410" s="484" t="inlineStr">
        <is>
          <t>(V)(Vit C) 抗壞血酸 2mL，100倍數下單</t>
        </is>
      </c>
      <c r="H1410" s="552" t="n"/>
      <c r="I1410" s="552" t="n"/>
      <c r="J1410" s="551" t="n"/>
      <c r="K1410" s="140" t="inlineStr">
        <is>
          <t>100支/盒</t>
        </is>
      </c>
      <c r="L1410" s="560" t="n">
        <v>294</v>
      </c>
      <c r="M1410" s="123" t="n"/>
      <c r="N1410" s="561" t="n"/>
    </row>
    <row r="1411" ht="17.25" customHeight="1" s="453" thickBot="1">
      <c r="A1411" s="553">
        <f>IFERROR(LEFT(B1411,7),"")</f>
        <v/>
      </c>
      <c r="B1411" s="554">
        <f>"2026/02"&amp;D1411</f>
        <v/>
      </c>
      <c r="C1411" s="559" t="n">
        <v>103</v>
      </c>
      <c r="D1411" s="484" t="inlineStr">
        <is>
          <t>忠孝7樓</t>
        </is>
      </c>
      <c r="E1411" s="484" t="inlineStr">
        <is>
          <t>6120021</t>
        </is>
      </c>
      <c r="F1411" s="551" t="n"/>
      <c r="G1411" s="484" t="inlineStr">
        <is>
          <t>(V)(Vit C)(抗壞血酸/諾貝爾)20ml，50倍數下單</t>
        </is>
      </c>
      <c r="H1411" s="552" t="n"/>
      <c r="I1411" s="552" t="n"/>
      <c r="J1411" s="551" t="n"/>
      <c r="K1411" s="140" t="inlineStr">
        <is>
          <t>50支/盒</t>
        </is>
      </c>
      <c r="L1411" s="560" t="n">
        <v>220</v>
      </c>
      <c r="M1411" s="123" t="n"/>
      <c r="N1411" s="561" t="n"/>
    </row>
    <row r="1412" ht="17.25" customHeight="1" s="453" thickBot="1">
      <c r="A1412" s="553">
        <f>IFERROR(LEFT(B1412,7),"")</f>
        <v/>
      </c>
      <c r="B1412" s="554">
        <f>"2026/02"&amp;D1412</f>
        <v/>
      </c>
      <c r="C1412" s="559" t="n">
        <v>104</v>
      </c>
      <c r="D1412" s="484" t="inlineStr">
        <is>
          <t>忠孝7樓</t>
        </is>
      </c>
      <c r="E1412" s="484" t="inlineStr">
        <is>
          <t>6120022</t>
        </is>
      </c>
      <c r="F1412" s="551" t="n"/>
      <c r="G1412" s="484" t="inlineStr">
        <is>
          <t>(V)(銀杏) 循必利Gingo注射液0.84毫克/毫升 5ml</t>
        </is>
      </c>
      <c r="H1412" s="552" t="n"/>
      <c r="I1412" s="552" t="n"/>
      <c r="J1412" s="551" t="n"/>
      <c r="K1412" s="140" t="inlineStr">
        <is>
          <t>50支/盒</t>
        </is>
      </c>
      <c r="L1412" s="560" t="n">
        <v>1</v>
      </c>
      <c r="M1412" s="123" t="n"/>
      <c r="N1412" s="561" t="n"/>
    </row>
    <row r="1413" ht="17.25" customHeight="1" s="453" thickBot="1">
      <c r="A1413" s="553">
        <f>IFERROR(LEFT(B1413,7),"")</f>
        <v/>
      </c>
      <c r="B1413" s="554">
        <f>"2026/02"&amp;D1413</f>
        <v/>
      </c>
      <c r="C1413" s="559" t="n">
        <v>105</v>
      </c>
      <c r="D1413" s="484" t="inlineStr">
        <is>
          <t>忠孝7樓</t>
        </is>
      </c>
      <c r="E1413" s="484" t="inlineStr">
        <is>
          <t>6120036</t>
        </is>
      </c>
      <c r="F1413" s="551" t="n"/>
      <c r="G1413" s="484" t="inlineStr">
        <is>
          <t>(V)貝力多(雙胜胺) 20% 50mL/ 瓶，50倍數下單</t>
        </is>
      </c>
      <c r="H1413" s="552" t="n"/>
      <c r="I1413" s="552" t="n"/>
      <c r="J1413" s="551" t="n"/>
      <c r="K1413" s="140" t="inlineStr">
        <is>
          <t>瓶(10瓶/盒)</t>
        </is>
      </c>
      <c r="L1413" s="560" t="n">
        <v>30</v>
      </c>
      <c r="M1413" s="123" t="n"/>
      <c r="N1413" s="561" t="n"/>
    </row>
    <row r="1414" ht="17.25" customHeight="1" s="453" thickBot="1">
      <c r="A1414" s="553">
        <f>IFERROR(LEFT(B1414,7),"")</f>
        <v/>
      </c>
      <c r="B1414" s="554">
        <f>"2026/02"&amp;D1414</f>
        <v/>
      </c>
      <c r="C1414" s="559" t="n">
        <v>106</v>
      </c>
      <c r="D1414" s="484" t="inlineStr">
        <is>
          <t>忠孝7樓</t>
        </is>
      </c>
      <c r="E1414" s="484" t="inlineStr">
        <is>
          <t>6140001</t>
        </is>
      </c>
      <c r="F1414" s="551" t="n"/>
      <c r="G1414" s="484" t="inlineStr">
        <is>
          <t>(V)保妥適Botox/ u，100倍數下單</t>
        </is>
      </c>
      <c r="H1414" s="552" t="n"/>
      <c r="I1414" s="552" t="n"/>
      <c r="J1414" s="551" t="n"/>
      <c r="K1414" s="140" t="inlineStr">
        <is>
          <t>100U/瓶</t>
        </is>
      </c>
      <c r="L1414" s="560" t="n">
        <v>4251</v>
      </c>
      <c r="M1414" s="123" t="n"/>
      <c r="N1414" s="561" t="n"/>
    </row>
    <row r="1415" ht="17.25" customHeight="1" s="453" thickBot="1">
      <c r="A1415" s="553">
        <f>IFERROR(LEFT(B1415,7),"")</f>
        <v/>
      </c>
      <c r="B1415" s="554">
        <f>"2026/02"&amp;D1415</f>
        <v/>
      </c>
      <c r="C1415" s="559" t="n">
        <v>107</v>
      </c>
      <c r="D1415" s="484" t="inlineStr">
        <is>
          <t>忠孝7樓</t>
        </is>
      </c>
      <c r="E1415" s="484" t="inlineStr">
        <is>
          <t>6140003</t>
        </is>
      </c>
      <c r="F1415" s="551" t="n"/>
      <c r="G1415" s="484" t="inlineStr">
        <is>
          <t>(V)保提拉肉毒Letybo/ u，3200倍數下單</t>
        </is>
      </c>
      <c r="H1415" s="552" t="n"/>
      <c r="I1415" s="552" t="n"/>
      <c r="J1415" s="551" t="n"/>
      <c r="K1415" s="140" t="inlineStr">
        <is>
          <t>200U/瓶</t>
        </is>
      </c>
      <c r="L1415" s="560" t="n">
        <v>7889</v>
      </c>
      <c r="M1415" s="123" t="n"/>
      <c r="N1415" s="561" t="n"/>
    </row>
    <row r="1416" ht="17.25" customHeight="1" s="453" thickBot="1">
      <c r="A1416" s="553">
        <f>IFERROR(LEFT(B1416,7),"")</f>
        <v/>
      </c>
      <c r="B1416" s="554">
        <f>"2026/02"&amp;D1416</f>
        <v/>
      </c>
      <c r="C1416" s="559" t="n">
        <v>108</v>
      </c>
      <c r="D1416" s="484" t="inlineStr">
        <is>
          <t>忠孝7樓</t>
        </is>
      </c>
      <c r="E1416" s="484" t="inlineStr">
        <is>
          <t>6140005</t>
        </is>
      </c>
      <c r="F1416" s="551" t="n"/>
      <c r="G1416" s="484" t="inlineStr">
        <is>
          <t>(V)奇肌肉毒/ u，200倍數下單</t>
        </is>
      </c>
      <c r="H1416" s="552" t="n"/>
      <c r="I1416" s="552" t="n"/>
      <c r="J1416" s="551" t="n"/>
      <c r="K1416" s="140" t="inlineStr">
        <is>
          <t>200U/瓶</t>
        </is>
      </c>
      <c r="L1416" s="560" t="n">
        <v>1342</v>
      </c>
      <c r="M1416" s="123" t="n"/>
      <c r="N1416" s="561" t="n"/>
    </row>
    <row r="1417" ht="17.25" customHeight="1" s="453" thickBot="1">
      <c r="A1417" s="553">
        <f>IFERROR(LEFT(B1417,7),"")</f>
        <v/>
      </c>
      <c r="B1417" s="554">
        <f>"2026/02"&amp;D1417</f>
        <v/>
      </c>
      <c r="C1417" s="559" t="n">
        <v>109</v>
      </c>
      <c r="D1417" s="484" t="inlineStr">
        <is>
          <t>忠孝7樓</t>
        </is>
      </c>
      <c r="E1417" s="484" t="inlineStr">
        <is>
          <t>6150001</t>
        </is>
      </c>
      <c r="F1417" s="551" t="n"/>
      <c r="G1417" s="484" t="inlineStr">
        <is>
          <t>(V)喬雅登-豐麗緹玻尿酸植入物Voluma 1ml</t>
        </is>
      </c>
      <c r="H1417" s="552" t="n"/>
      <c r="I1417" s="552" t="n"/>
      <c r="J1417" s="551" t="n"/>
      <c r="K1417" s="140" t="inlineStr">
        <is>
          <t>1ml(2ml/盒)</t>
        </is>
      </c>
      <c r="L1417" s="560" t="n">
        <v>96</v>
      </c>
      <c r="M1417" s="123" t="n"/>
      <c r="N1417" s="561" t="n"/>
    </row>
    <row r="1418" ht="17.25" customHeight="1" s="453" thickBot="1">
      <c r="A1418" s="553">
        <f>IFERROR(LEFT(B1418,7),"")</f>
        <v/>
      </c>
      <c r="B1418" s="554">
        <f>"2026/02"&amp;D1418</f>
        <v/>
      </c>
      <c r="C1418" s="559" t="n">
        <v>110</v>
      </c>
      <c r="D1418" s="484" t="inlineStr">
        <is>
          <t>忠孝7樓</t>
        </is>
      </c>
      <c r="E1418" s="484" t="inlineStr">
        <is>
          <t>6150002</t>
        </is>
      </c>
      <c r="F1418" s="551" t="n"/>
      <c r="G1418" s="484" t="inlineStr">
        <is>
          <t>(V)喬雅登-夢蓓菈玻尿酸植入物Volbella 1ml</t>
        </is>
      </c>
      <c r="H1418" s="552" t="n"/>
      <c r="I1418" s="552" t="n"/>
      <c r="J1418" s="551" t="n"/>
      <c r="K1418" s="140" t="inlineStr">
        <is>
          <t>1ml(2ml/盒)</t>
        </is>
      </c>
      <c r="L1418" s="560" t="n">
        <v>20</v>
      </c>
      <c r="M1418" s="123" t="n"/>
      <c r="N1418" s="561" t="n"/>
    </row>
    <row r="1419" ht="17.25" customHeight="1" s="453" thickBot="1">
      <c r="A1419" s="553">
        <f>IFERROR(LEFT(B1419,7),"")</f>
        <v/>
      </c>
      <c r="B1419" s="554">
        <f>"2026/02"&amp;D1419</f>
        <v/>
      </c>
      <c r="C1419" s="559" t="n">
        <v>111</v>
      </c>
      <c r="D1419" s="484" t="inlineStr">
        <is>
          <t>忠孝7樓</t>
        </is>
      </c>
      <c r="E1419" s="484" t="inlineStr">
        <is>
          <t>6150003</t>
        </is>
      </c>
      <c r="F1419" s="551" t="n"/>
      <c r="G1419" s="484" t="inlineStr">
        <is>
          <t>(V)喬雅登-豐麗緹玻尿酸植入物Volift 1ml</t>
        </is>
      </c>
      <c r="H1419" s="552" t="n"/>
      <c r="I1419" s="552" t="n"/>
      <c r="J1419" s="551" t="n"/>
      <c r="K1419" s="140" t="inlineStr">
        <is>
          <t>1ml(2ml/盒)</t>
        </is>
      </c>
      <c r="L1419" s="560" t="n">
        <v>4</v>
      </c>
      <c r="M1419" s="123" t="n"/>
      <c r="N1419" s="561" t="n"/>
    </row>
    <row r="1420" ht="17.25" customHeight="1" s="453" thickBot="1">
      <c r="A1420" s="553">
        <f>IFERROR(LEFT(B1420,7),"")</f>
        <v/>
      </c>
      <c r="B1420" s="554">
        <f>"2026/02"&amp;D1420</f>
        <v/>
      </c>
      <c r="C1420" s="559" t="n">
        <v>112</v>
      </c>
      <c r="D1420" s="484" t="inlineStr">
        <is>
          <t>忠孝7樓</t>
        </is>
      </c>
      <c r="E1420" s="484" t="inlineStr">
        <is>
          <t>6150004</t>
        </is>
      </c>
      <c r="F1420" s="551" t="n"/>
      <c r="G1420" s="484" t="inlineStr">
        <is>
          <t>(V)喬雅登-豐塑玻尿酸植入物Volux 1ml</t>
        </is>
      </c>
      <c r="H1420" s="552" t="n"/>
      <c r="I1420" s="552" t="n"/>
      <c r="J1420" s="551" t="n"/>
      <c r="K1420" s="140" t="inlineStr">
        <is>
          <t>1ml(2ml/盒)</t>
        </is>
      </c>
      <c r="L1420" s="560" t="n">
        <v>19</v>
      </c>
      <c r="M1420" s="123" t="n"/>
      <c r="N1420" s="561" t="n"/>
    </row>
    <row r="1421" ht="17.25" customHeight="1" s="453" thickBot="1">
      <c r="A1421" s="553">
        <f>IFERROR(LEFT(B1421,7),"")</f>
        <v/>
      </c>
      <c r="B1421" s="554">
        <f>"2026/02"&amp;D1421</f>
        <v/>
      </c>
      <c r="C1421" s="559" t="n">
        <v>113</v>
      </c>
      <c r="D1421" s="484" t="inlineStr">
        <is>
          <t>忠孝7樓</t>
        </is>
      </c>
      <c r="E1421" s="484" t="inlineStr">
        <is>
          <t>6150005</t>
        </is>
      </c>
      <c r="F1421" s="551" t="n"/>
      <c r="G1421" s="484" t="inlineStr">
        <is>
          <t>(V)喬雅登-芙潤玻尿酸植入物Volite 1ml</t>
        </is>
      </c>
      <c r="H1421" s="552" t="n"/>
      <c r="I1421" s="552" t="n"/>
      <c r="J1421" s="551" t="n"/>
      <c r="K1421" s="140" t="inlineStr">
        <is>
          <t>1ml(2ml/盒)</t>
        </is>
      </c>
      <c r="L1421" s="560" t="n">
        <v>7</v>
      </c>
      <c r="M1421" s="123" t="n"/>
      <c r="N1421" s="561" t="n"/>
    </row>
    <row r="1422" ht="17.25" customHeight="1" s="453" thickBot="1">
      <c r="A1422" s="553">
        <f>IFERROR(LEFT(B1422,7),"")</f>
        <v/>
      </c>
      <c r="B1422" s="554">
        <f>"2026/02"&amp;D1422</f>
        <v/>
      </c>
      <c r="C1422" s="559" t="n">
        <v>114</v>
      </c>
      <c r="D1422" s="484" t="inlineStr">
        <is>
          <t>忠孝7樓</t>
        </is>
      </c>
      <c r="E1422" s="484" t="inlineStr">
        <is>
          <t>6150010</t>
        </is>
      </c>
      <c r="F1422" s="551" t="n"/>
      <c r="G1422" s="484" t="inlineStr">
        <is>
          <t>(V)仙女玻尿酸大分子 1ml</t>
        </is>
      </c>
      <c r="H1422" s="552" t="n"/>
      <c r="I1422" s="552" t="n"/>
      <c r="J1422" s="551" t="n"/>
      <c r="K1422" s="140" t="inlineStr">
        <is>
          <t>1ml(1ml/盒)</t>
        </is>
      </c>
      <c r="L1422" s="560" t="n">
        <v>81</v>
      </c>
      <c r="M1422" s="123" t="n"/>
      <c r="N1422" s="561" t="n"/>
    </row>
    <row r="1423" ht="17.25" customHeight="1" s="453" thickBot="1">
      <c r="A1423" s="553">
        <f>IFERROR(LEFT(B1423,7),"")</f>
        <v/>
      </c>
      <c r="B1423" s="554">
        <f>"2026/02"&amp;D1423</f>
        <v/>
      </c>
      <c r="C1423" s="559" t="n">
        <v>115</v>
      </c>
      <c r="D1423" s="484" t="inlineStr">
        <is>
          <t>忠孝7樓</t>
        </is>
      </c>
      <c r="E1423" s="484" t="inlineStr">
        <is>
          <t>6150011</t>
        </is>
      </c>
      <c r="F1423" s="551" t="n"/>
      <c r="G1423" s="484" t="inlineStr">
        <is>
          <t>(V)仙女玻尿酸小分子 1ml</t>
        </is>
      </c>
      <c r="H1423" s="552" t="n"/>
      <c r="I1423" s="552" t="n"/>
      <c r="J1423" s="551" t="n"/>
      <c r="K1423" s="140" t="inlineStr">
        <is>
          <t>1ml(1ml/盒)</t>
        </is>
      </c>
      <c r="L1423" s="560" t="n">
        <v>7</v>
      </c>
      <c r="M1423" s="123" t="n"/>
      <c r="N1423" s="561" t="n"/>
    </row>
    <row r="1424" ht="17.25" customHeight="1" s="453" thickBot="1">
      <c r="A1424" s="553">
        <f>IFERROR(LEFT(B1424,7),"")</f>
        <v/>
      </c>
      <c r="B1424" s="554">
        <f>"2026/02"&amp;D1424</f>
        <v/>
      </c>
      <c r="C1424" s="559" t="n">
        <v>116</v>
      </c>
      <c r="D1424" s="484" t="inlineStr">
        <is>
          <t>忠孝7樓</t>
        </is>
      </c>
      <c r="E1424" s="484" t="inlineStr">
        <is>
          <t>6150013</t>
        </is>
      </c>
      <c r="F1424" s="551" t="n"/>
      <c r="G1424" s="484" t="inlineStr">
        <is>
          <t>(V)逆時針(璞菲洛)2cc</t>
        </is>
      </c>
      <c r="H1424" s="552" t="n"/>
      <c r="I1424" s="552" t="n"/>
      <c r="J1424" s="551" t="n"/>
      <c r="K1424" s="140" t="inlineStr">
        <is>
          <t>1ml(1ml/盒)</t>
        </is>
      </c>
      <c r="L1424" s="560" t="n">
        <v>17</v>
      </c>
      <c r="M1424" s="123" t="n"/>
      <c r="N1424" s="561" t="n"/>
    </row>
    <row r="1425" ht="17.25" customHeight="1" s="453" thickBot="1">
      <c r="A1425" s="553">
        <f>IFERROR(LEFT(B1425,7),"")</f>
        <v/>
      </c>
      <c r="B1425" s="554">
        <f>"2026/02"&amp;D1425</f>
        <v/>
      </c>
      <c r="C1425" s="559" t="n">
        <v>117</v>
      </c>
      <c r="D1425" s="484" t="inlineStr">
        <is>
          <t>忠孝7樓</t>
        </is>
      </c>
      <c r="E1425" s="484" t="inlineStr">
        <is>
          <t>6160002</t>
        </is>
      </c>
      <c r="F1425" s="551" t="n"/>
      <c r="G1425" s="484" t="inlineStr">
        <is>
          <t>(V)洢蓮絲植入劑ELLANSÉ-S 1ml</t>
        </is>
      </c>
      <c r="H1425" s="552" t="n"/>
      <c r="I1425" s="552" t="n"/>
      <c r="J1425" s="551" t="n"/>
      <c r="K1425" s="140" t="inlineStr">
        <is>
          <t>1ml(2ml/盒)</t>
        </is>
      </c>
      <c r="L1425" s="560" t="n">
        <v>44</v>
      </c>
      <c r="M1425" s="123" t="n"/>
      <c r="N1425" s="561" t="n"/>
    </row>
    <row r="1426" ht="17.25" customHeight="1" s="453" thickBot="1">
      <c r="A1426" s="553">
        <f>IFERROR(LEFT(B1426,7),"")</f>
        <v/>
      </c>
      <c r="B1426" s="554">
        <f>"2026/02"&amp;D1426</f>
        <v/>
      </c>
      <c r="C1426" s="559" t="n">
        <v>118</v>
      </c>
      <c r="D1426" s="484" t="inlineStr">
        <is>
          <t>忠孝7樓</t>
        </is>
      </c>
      <c r="E1426" s="484" t="inlineStr">
        <is>
          <t>6160003</t>
        </is>
      </c>
      <c r="F1426" s="551" t="n"/>
      <c r="G1426" s="484" t="inlineStr">
        <is>
          <t>(V)洢蓮絲植入劑ELLANSÉ-M 1ml</t>
        </is>
      </c>
      <c r="H1426" s="552" t="n"/>
      <c r="I1426" s="552" t="n"/>
      <c r="J1426" s="551" t="n"/>
      <c r="K1426" s="140" t="inlineStr">
        <is>
          <t>1ml(2ml/盒)</t>
        </is>
      </c>
      <c r="L1426" s="560" t="n">
        <v>27</v>
      </c>
      <c r="M1426" s="123" t="n"/>
      <c r="N1426" s="561" t="n"/>
    </row>
    <row r="1427" ht="17.25" customHeight="1" s="453" thickBot="1">
      <c r="A1427" s="553">
        <f>IFERROR(LEFT(B1427,7),"")</f>
        <v/>
      </c>
      <c r="B1427" s="554">
        <f>"2026/02"&amp;D1427</f>
        <v/>
      </c>
      <c r="C1427" s="559" t="n">
        <v>119</v>
      </c>
      <c r="D1427" s="484" t="inlineStr">
        <is>
          <t>忠孝7樓</t>
        </is>
      </c>
      <c r="E1427" s="484" t="inlineStr">
        <is>
          <t>6160005</t>
        </is>
      </c>
      <c r="F1427" s="551" t="n"/>
      <c r="G1427" s="484" t="inlineStr">
        <is>
          <t>(V)双美熊貓針</t>
        </is>
      </c>
      <c r="H1427" s="552" t="n"/>
      <c r="I1427" s="552" t="n"/>
      <c r="J1427" s="551" t="n"/>
      <c r="K1427" s="140" t="inlineStr">
        <is>
          <t>(1ml/盒)</t>
        </is>
      </c>
      <c r="L1427" s="560" t="n">
        <v>31</v>
      </c>
      <c r="M1427" s="123" t="n"/>
      <c r="N1427" s="561" t="n"/>
    </row>
    <row r="1428" ht="17.25" customHeight="1" s="453" thickBot="1">
      <c r="A1428" s="553">
        <f>IFERROR(LEFT(B1428,7),"")</f>
        <v/>
      </c>
      <c r="B1428" s="554">
        <f>"2026/02"&amp;D1428</f>
        <v/>
      </c>
      <c r="C1428" s="559" t="n">
        <v>120</v>
      </c>
      <c r="D1428" s="484" t="inlineStr">
        <is>
          <t>忠孝7樓</t>
        </is>
      </c>
      <c r="E1428" s="484" t="inlineStr">
        <is>
          <t>6160008</t>
        </is>
      </c>
      <c r="F1428" s="551" t="n"/>
      <c r="G1428" s="484" t="inlineStr">
        <is>
          <t>白童針-薇貝拉50mg/1cc</t>
        </is>
      </c>
      <c r="H1428" s="552" t="n"/>
      <c r="I1428" s="552" t="n"/>
      <c r="J1428" s="551" t="n"/>
      <c r="K1428" s="140" t="inlineStr">
        <is>
          <t>6cc/瓶</t>
        </is>
      </c>
      <c r="L1428" s="560" t="n">
        <v>1</v>
      </c>
      <c r="M1428" s="123" t="n"/>
      <c r="N1428" s="561" t="n"/>
    </row>
    <row r="1429" ht="17.25" customHeight="1" s="453" thickBot="1">
      <c r="A1429" s="553">
        <f>IFERROR(LEFT(B1429,7),"")</f>
        <v/>
      </c>
      <c r="B1429" s="554">
        <f>"2026/02"&amp;D1429</f>
        <v/>
      </c>
      <c r="C1429" s="559" t="n">
        <v>121</v>
      </c>
      <c r="D1429" s="484" t="inlineStr">
        <is>
          <t>忠孝7樓</t>
        </is>
      </c>
      <c r="E1429" s="484" t="inlineStr">
        <is>
          <t>6160009</t>
        </is>
      </c>
      <c r="F1429" s="551" t="n"/>
      <c r="G1429" s="484" t="inlineStr">
        <is>
          <t>黑童針-薇貝拉200mg/1cc</t>
        </is>
      </c>
      <c r="H1429" s="552" t="n"/>
      <c r="I1429" s="552" t="n"/>
      <c r="J1429" s="551" t="n"/>
      <c r="K1429" s="140" t="inlineStr">
        <is>
          <t>8cc/瓶</t>
        </is>
      </c>
      <c r="L1429" s="560" t="n">
        <v>17</v>
      </c>
      <c r="M1429" s="123" t="n"/>
      <c r="N1429" s="561" t="n"/>
    </row>
    <row r="1430" ht="17.25" customHeight="1" s="453" thickBot="1">
      <c r="A1430" s="553">
        <f>IFERROR(LEFT(B1430,7),"")</f>
        <v/>
      </c>
      <c r="B1430" s="554">
        <f>"2026/02"&amp;D1430</f>
        <v/>
      </c>
      <c r="C1430" s="559" t="n">
        <v>122</v>
      </c>
      <c r="D1430" s="484" t="inlineStr">
        <is>
          <t>忠孝7樓</t>
        </is>
      </c>
      <c r="E1430" s="484" t="inlineStr">
        <is>
          <t>6160010</t>
        </is>
      </c>
      <c r="F1430" s="551" t="n"/>
      <c r="G1430" s="484" t="inlineStr">
        <is>
          <t>喬雅露-大分子200mg/1cc</t>
        </is>
      </c>
      <c r="H1430" s="552" t="n"/>
      <c r="I1430" s="552" t="n"/>
      <c r="J1430" s="551" t="n"/>
      <c r="K1430" s="140" t="inlineStr">
        <is>
          <t>8cc/瓶</t>
        </is>
      </c>
      <c r="L1430" s="560" t="n">
        <v>68</v>
      </c>
      <c r="M1430" s="123" t="n"/>
      <c r="N1430" s="561" t="n"/>
    </row>
    <row r="1431" ht="17.25" customHeight="1" s="453" thickBot="1">
      <c r="A1431" s="553">
        <f>IFERROR(LEFT(B1431,7),"")</f>
        <v/>
      </c>
      <c r="B1431" s="554">
        <f>"2026/02"&amp;D1431</f>
        <v/>
      </c>
      <c r="C1431" s="559" t="n">
        <v>123</v>
      </c>
      <c r="D1431" s="484" t="inlineStr">
        <is>
          <t>忠孝7樓</t>
        </is>
      </c>
      <c r="E1431" s="484" t="inlineStr">
        <is>
          <t>6160011</t>
        </is>
      </c>
      <c r="F1431" s="551" t="n"/>
      <c r="G1431" s="484" t="inlineStr">
        <is>
          <t>喬雅露-小分子50mg/1cc</t>
        </is>
      </c>
      <c r="H1431" s="552" t="n"/>
      <c r="I1431" s="552" t="n"/>
      <c r="J1431" s="551" t="n"/>
      <c r="K1431" s="140" t="inlineStr">
        <is>
          <t>6cc/瓶</t>
        </is>
      </c>
      <c r="L1431" s="560" t="n">
        <v>865</v>
      </c>
      <c r="M1431" s="123" t="n"/>
      <c r="N1431" s="561" t="n"/>
    </row>
    <row r="1432" ht="17.25" customHeight="1" s="453" thickBot="1">
      <c r="A1432" s="553">
        <f>IFERROR(LEFT(B1432,7),"")</f>
        <v/>
      </c>
      <c r="B1432" s="554">
        <f>"2026/02"&amp;D1432</f>
        <v/>
      </c>
      <c r="C1432" s="559" t="n">
        <v>124</v>
      </c>
      <c r="D1432" s="484" t="inlineStr">
        <is>
          <t>忠孝7樓</t>
        </is>
      </c>
      <c r="E1432" s="484" t="inlineStr">
        <is>
          <t>6170005</t>
        </is>
      </c>
      <c r="F1432" s="551" t="n"/>
      <c r="G1432" s="484" t="inlineStr">
        <is>
          <t>海芙三代音波探頭2mm/ 條</t>
        </is>
      </c>
      <c r="H1432" s="552" t="n"/>
      <c r="I1432" s="552" t="n"/>
      <c r="J1432" s="551" t="n"/>
      <c r="K1432" s="140" t="inlineStr">
        <is>
          <t>20000條/顆</t>
        </is>
      </c>
      <c r="L1432" s="560" t="n">
        <v>21563</v>
      </c>
      <c r="M1432" s="123" t="n"/>
      <c r="N1432" s="561" t="n"/>
    </row>
    <row r="1433" ht="17.25" customHeight="1" s="453" thickBot="1">
      <c r="A1433" s="553">
        <f>IFERROR(LEFT(B1433,7),"")</f>
        <v/>
      </c>
      <c r="B1433" s="554">
        <f>"2026/02"&amp;D1433</f>
        <v/>
      </c>
      <c r="C1433" s="559" t="n">
        <v>125</v>
      </c>
      <c r="D1433" s="484" t="inlineStr">
        <is>
          <t>忠孝7樓</t>
        </is>
      </c>
      <c r="E1433" s="484" t="inlineStr">
        <is>
          <t>6170007</t>
        </is>
      </c>
      <c r="F1433" s="551" t="n"/>
      <c r="G1433" s="484" t="inlineStr">
        <is>
          <t>海芙三代音波探頭3mm/ 條</t>
        </is>
      </c>
      <c r="H1433" s="552" t="n"/>
      <c r="I1433" s="552" t="n"/>
      <c r="J1433" s="551" t="n"/>
      <c r="K1433" s="140" t="inlineStr">
        <is>
          <t>20000條/顆</t>
        </is>
      </c>
      <c r="L1433" s="560" t="n">
        <v>56774</v>
      </c>
      <c r="M1433" s="123" t="n"/>
      <c r="N1433" s="561" t="n"/>
    </row>
    <row r="1434" ht="17.25" customHeight="1" s="453" thickBot="1">
      <c r="A1434" s="553">
        <f>IFERROR(LEFT(B1434,7),"")</f>
        <v/>
      </c>
      <c r="B1434" s="554">
        <f>"2026/02"&amp;D1434</f>
        <v/>
      </c>
      <c r="C1434" s="559" t="n">
        <v>126</v>
      </c>
      <c r="D1434" s="484" t="inlineStr">
        <is>
          <t>忠孝7樓</t>
        </is>
      </c>
      <c r="E1434" s="484" t="inlineStr">
        <is>
          <t>6170009</t>
        </is>
      </c>
      <c r="F1434" s="551" t="n"/>
      <c r="G1434" s="484" t="inlineStr">
        <is>
          <t>海芙三代音波探頭4.5mm/ 條</t>
        </is>
      </c>
      <c r="H1434" s="552" t="n"/>
      <c r="I1434" s="552" t="n"/>
      <c r="J1434" s="551" t="n"/>
      <c r="K1434" s="140" t="inlineStr">
        <is>
          <t>20000條/顆</t>
        </is>
      </c>
      <c r="L1434" s="560" t="n">
        <v>82481</v>
      </c>
      <c r="M1434" s="123" t="n"/>
      <c r="N1434" s="561" t="n"/>
    </row>
    <row r="1435" ht="17.25" customHeight="1" s="453" thickBot="1">
      <c r="A1435" s="553">
        <f>IFERROR(LEFT(B1435,7),"")</f>
        <v/>
      </c>
      <c r="B1435" s="554">
        <f>"2026/02"&amp;D1435</f>
        <v/>
      </c>
      <c r="C1435" s="559" t="n">
        <v>127</v>
      </c>
      <c r="D1435" s="484" t="inlineStr">
        <is>
          <t>忠孝7樓</t>
        </is>
      </c>
      <c r="E1435" s="484" t="inlineStr">
        <is>
          <t>6170011</t>
        </is>
      </c>
      <c r="F1435" s="551" t="n"/>
      <c r="G1435" s="484" t="inlineStr">
        <is>
          <t>海芙三代音波探頭6mm/ 條</t>
        </is>
      </c>
      <c r="H1435" s="552" t="n"/>
      <c r="I1435" s="552" t="n"/>
      <c r="J1435" s="551" t="n"/>
      <c r="K1435" s="140" t="inlineStr">
        <is>
          <t>30,000條/顆</t>
        </is>
      </c>
      <c r="L1435" s="560" t="n">
        <v>15875</v>
      </c>
      <c r="M1435" s="123" t="n"/>
      <c r="N1435" s="561" t="n"/>
    </row>
    <row r="1436" ht="17.25" customHeight="1" s="453" thickBot="1">
      <c r="A1436" s="553">
        <f>IFERROR(LEFT(B1436,7),"")</f>
        <v/>
      </c>
      <c r="B1436" s="554">
        <f>"2026/02"&amp;D1436</f>
        <v/>
      </c>
      <c r="C1436" s="559" t="n">
        <v>128</v>
      </c>
      <c r="D1436" s="484" t="inlineStr">
        <is>
          <t>忠孝7樓</t>
        </is>
      </c>
      <c r="E1436" s="484" t="inlineStr">
        <is>
          <t>6170013</t>
        </is>
      </c>
      <c r="F1436" s="551" t="n"/>
      <c r="G1436" s="484" t="inlineStr">
        <is>
          <t>鳳凰電波4平方公分紫鑽探頭(900發)</t>
        </is>
      </c>
      <c r="H1436" s="552" t="n"/>
      <c r="I1436" s="552" t="n"/>
      <c r="J1436" s="551" t="n"/>
      <c r="K1436" s="140" t="inlineStr">
        <is>
          <t>顆</t>
        </is>
      </c>
      <c r="L1436" s="560" t="n">
        <v>13</v>
      </c>
      <c r="M1436" s="123" t="n"/>
      <c r="N1436" s="561" t="n"/>
    </row>
    <row r="1437" ht="17.25" customHeight="1" s="453" thickBot="1">
      <c r="A1437" s="553">
        <f>IFERROR(LEFT(B1437,7),"")</f>
        <v/>
      </c>
      <c r="B1437" s="554">
        <f>"2026/02"&amp;D1437</f>
        <v/>
      </c>
      <c r="C1437" s="559" t="n">
        <v>129</v>
      </c>
      <c r="D1437" s="484" t="inlineStr">
        <is>
          <t>忠孝7樓</t>
        </is>
      </c>
      <c r="E1437" s="484" t="inlineStr">
        <is>
          <t>6170014</t>
        </is>
      </c>
      <c r="F1437" s="551" t="n"/>
      <c r="G1437" s="484" t="inlineStr">
        <is>
          <t>鳳凰電波0.25平方公分碧眼探頭(450發)</t>
        </is>
      </c>
      <c r="H1437" s="552" t="n"/>
      <c r="I1437" s="552" t="n"/>
      <c r="J1437" s="551" t="n"/>
      <c r="K1437" s="140" t="inlineStr">
        <is>
          <t>顆</t>
        </is>
      </c>
      <c r="L1437" s="560" t="n">
        <v>4</v>
      </c>
      <c r="M1437" s="123" t="n"/>
      <c r="N1437" s="561" t="n"/>
    </row>
    <row r="1438" ht="17.25" customHeight="1" s="453" thickBot="1">
      <c r="A1438" s="553">
        <f>IFERROR(LEFT(B1438,7),"")</f>
        <v/>
      </c>
      <c r="B1438" s="554">
        <f>"2026/02"&amp;D1438</f>
        <v/>
      </c>
      <c r="C1438" s="559" t="n">
        <v>130</v>
      </c>
      <c r="D1438" s="484" t="inlineStr">
        <is>
          <t>忠孝7樓</t>
        </is>
      </c>
      <c r="E1438" s="484" t="inlineStr">
        <is>
          <t>6170019</t>
        </is>
      </c>
      <c r="F1438" s="551" t="n"/>
      <c r="G1438" s="484" t="inlineStr">
        <is>
          <t>媚必提直線探頭2.0mm/條</t>
        </is>
      </c>
      <c r="H1438" s="552" t="n"/>
      <c r="I1438" s="552" t="n"/>
      <c r="J1438" s="551" t="n"/>
      <c r="K1438" s="140" t="inlineStr">
        <is>
          <t>20000條/顆</t>
        </is>
      </c>
      <c r="L1438" s="560" t="n">
        <v>5413</v>
      </c>
      <c r="M1438" s="123" t="n"/>
      <c r="N1438" s="561" t="n"/>
    </row>
    <row r="1439" ht="17.25" customHeight="1" s="453" thickBot="1">
      <c r="A1439" s="553">
        <f>IFERROR(LEFT(B1439,7),"")</f>
        <v/>
      </c>
      <c r="B1439" s="554">
        <f>"2026/02"&amp;D1439</f>
        <v/>
      </c>
      <c r="C1439" s="559" t="n">
        <v>131</v>
      </c>
      <c r="D1439" s="484" t="inlineStr">
        <is>
          <t>忠孝7樓</t>
        </is>
      </c>
      <c r="E1439" s="484" t="inlineStr">
        <is>
          <t>6170020</t>
        </is>
      </c>
      <c r="F1439" s="551" t="n"/>
      <c r="G1439" s="484" t="inlineStr">
        <is>
          <t>媚必提直線探頭3.0mm/條</t>
        </is>
      </c>
      <c r="H1439" s="552" t="n"/>
      <c r="I1439" s="552" t="n"/>
      <c r="J1439" s="551" t="n"/>
      <c r="K1439" s="140" t="inlineStr">
        <is>
          <t>20000條/顆</t>
        </is>
      </c>
      <c r="L1439" s="560" t="n">
        <v>11582</v>
      </c>
      <c r="M1439" s="123" t="n"/>
      <c r="N1439" s="561" t="n"/>
    </row>
    <row r="1440" ht="17.25" customHeight="1" s="453" thickBot="1">
      <c r="A1440" s="553">
        <f>IFERROR(LEFT(B1440,7),"")</f>
        <v/>
      </c>
      <c r="B1440" s="554">
        <f>"2026/02"&amp;D1440</f>
        <v/>
      </c>
      <c r="C1440" s="559" t="n">
        <v>132</v>
      </c>
      <c r="D1440" s="484" t="inlineStr">
        <is>
          <t>忠孝7樓</t>
        </is>
      </c>
      <c r="E1440" s="484" t="inlineStr">
        <is>
          <t>6170021</t>
        </is>
      </c>
      <c r="F1440" s="551" t="n"/>
      <c r="G1440" s="484" t="inlineStr">
        <is>
          <t>媚必提直線探頭4.5mm/條</t>
        </is>
      </c>
      <c r="H1440" s="552" t="n"/>
      <c r="I1440" s="552" t="n"/>
      <c r="J1440" s="551" t="n"/>
      <c r="K1440" s="140" t="inlineStr">
        <is>
          <t>20000條/顆</t>
        </is>
      </c>
      <c r="L1440" s="560" t="n">
        <v>26419</v>
      </c>
      <c r="M1440" s="123" t="n"/>
      <c r="N1440" s="561" t="n"/>
    </row>
    <row r="1441" ht="17.25" customHeight="1" s="453" thickBot="1">
      <c r="A1441" s="553">
        <f>IFERROR(LEFT(B1441,7),"")</f>
        <v/>
      </c>
      <c r="B1441" s="554">
        <f>"2026/02"&amp;D1441</f>
        <v/>
      </c>
      <c r="C1441" s="559" t="n">
        <v>133</v>
      </c>
      <c r="D1441" s="484" t="inlineStr">
        <is>
          <t>忠孝7樓</t>
        </is>
      </c>
      <c r="E1441" s="484" t="inlineStr">
        <is>
          <t>6170022</t>
        </is>
      </c>
      <c r="F1441" s="551" t="n"/>
      <c r="G1441" s="484" t="inlineStr">
        <is>
          <t>媚必提直線探頭6.0mm/條</t>
        </is>
      </c>
      <c r="H1441" s="552" t="n"/>
      <c r="I1441" s="552" t="n"/>
      <c r="J1441" s="551" t="n"/>
      <c r="K1441" s="140" t="inlineStr">
        <is>
          <t>20000條/顆</t>
        </is>
      </c>
      <c r="L1441" s="560" t="n">
        <v>9150</v>
      </c>
      <c r="M1441" s="123" t="n"/>
      <c r="N1441" s="561" t="n"/>
    </row>
    <row r="1442" ht="17.25" customHeight="1" s="453" thickBot="1">
      <c r="A1442" s="553">
        <f>IFERROR(LEFT(B1442,7),"")</f>
        <v/>
      </c>
      <c r="B1442" s="554">
        <f>"2026/02"&amp;D1442</f>
        <v/>
      </c>
      <c r="C1442" s="559" t="n">
        <v>134</v>
      </c>
      <c r="D1442" s="484" t="inlineStr">
        <is>
          <t>忠孝7樓</t>
        </is>
      </c>
      <c r="E1442" s="484" t="inlineStr">
        <is>
          <t>6170025</t>
        </is>
      </c>
      <c r="F1442" s="551" t="n"/>
      <c r="G1442" s="484" t="inlineStr">
        <is>
          <t>媚必提圓周探頭1.5mm/條</t>
        </is>
      </c>
      <c r="H1442" s="552" t="n"/>
      <c r="I1442" s="552" t="n"/>
      <c r="J1442" s="551" t="n"/>
      <c r="K1442" s="140" t="inlineStr">
        <is>
          <t>20000條/顆</t>
        </is>
      </c>
      <c r="L1442" s="560" t="n">
        <v>137</v>
      </c>
      <c r="M1442" s="123" t="n"/>
      <c r="N1442" s="561" t="n"/>
    </row>
    <row r="1443" ht="17.25" customHeight="1" s="453" thickBot="1">
      <c r="A1443" s="553">
        <f>IFERROR(LEFT(B1443,7),"")</f>
        <v/>
      </c>
      <c r="B1443" s="554">
        <f>"2026/02"&amp;D1443</f>
        <v/>
      </c>
      <c r="C1443" s="559" t="n">
        <v>135</v>
      </c>
      <c r="D1443" s="484" t="inlineStr">
        <is>
          <t>忠孝7樓</t>
        </is>
      </c>
      <c r="E1443" s="484" t="inlineStr">
        <is>
          <t>6170028</t>
        </is>
      </c>
      <c r="F1443" s="551" t="n"/>
      <c r="G1443" s="484" t="inlineStr">
        <is>
          <t>海芙電波探頭0.25cm/發</t>
        </is>
      </c>
      <c r="H1443" s="552" t="n"/>
      <c r="I1443" s="552" t="n"/>
      <c r="J1443" s="551" t="n"/>
      <c r="K1443" s="140" t="inlineStr">
        <is>
          <t>6000發/顆</t>
        </is>
      </c>
      <c r="L1443" s="560" t="n">
        <v>4699</v>
      </c>
      <c r="M1443" s="123" t="n"/>
      <c r="N1443" s="561" t="n"/>
    </row>
    <row r="1444" ht="17.25" customHeight="1" s="453" thickBot="1">
      <c r="A1444" s="553">
        <f>IFERROR(LEFT(B1444,7),"")</f>
        <v/>
      </c>
      <c r="B1444" s="554">
        <f>"2026/02"&amp;D1444</f>
        <v/>
      </c>
      <c r="C1444" s="559" t="n">
        <v>136</v>
      </c>
      <c r="D1444" s="484" t="inlineStr">
        <is>
          <t>忠孝7樓</t>
        </is>
      </c>
      <c r="E1444" s="484" t="inlineStr">
        <is>
          <t>6170030</t>
        </is>
      </c>
      <c r="F1444" s="551" t="n"/>
      <c r="G1444" s="484" t="inlineStr">
        <is>
          <t>海芙電波探頭4.0cm/發</t>
        </is>
      </c>
      <c r="H1444" s="552" t="n"/>
      <c r="I1444" s="552" t="n"/>
      <c r="J1444" s="551" t="n"/>
      <c r="K1444" s="140" t="inlineStr">
        <is>
          <t>3000發/顆</t>
        </is>
      </c>
      <c r="L1444" s="560" t="n">
        <v>38441</v>
      </c>
      <c r="M1444" s="123" t="n"/>
      <c r="N1444" s="561" t="n"/>
    </row>
    <row r="1445" ht="17.25" customHeight="1" s="453" thickBot="1">
      <c r="A1445" s="553">
        <f>IFERROR(LEFT(B1445,7),"")</f>
        <v/>
      </c>
      <c r="B1445" s="554">
        <f>"2026/02"&amp;D1445</f>
        <v/>
      </c>
      <c r="C1445" s="559" t="n">
        <v>137</v>
      </c>
      <c r="D1445" s="484" t="inlineStr">
        <is>
          <t>忠孝7樓</t>
        </is>
      </c>
      <c r="E1445" s="484" t="inlineStr">
        <is>
          <t>6170032</t>
        </is>
      </c>
      <c r="F1445" s="551" t="n"/>
      <c r="G1445" s="484" t="inlineStr">
        <is>
          <t>立特拉A2筆型探頭3.0mm/ 條</t>
        </is>
      </c>
      <c r="H1445" s="552" t="n"/>
      <c r="I1445" s="552" t="n"/>
      <c r="J1445" s="551" t="n"/>
      <c r="K1445" s="140" t="inlineStr">
        <is>
          <t>240000條/顆</t>
        </is>
      </c>
      <c r="L1445" s="560" t="n">
        <v>379824</v>
      </c>
      <c r="M1445" s="123" t="n"/>
      <c r="N1445" s="561" t="n"/>
    </row>
    <row r="1446" ht="17.25" customHeight="1" s="453" thickBot="1">
      <c r="A1446" s="553">
        <f>IFERROR(LEFT(B1446,7),"")</f>
        <v/>
      </c>
      <c r="B1446" s="554">
        <f>"2026/02"&amp;D1446</f>
        <v/>
      </c>
      <c r="C1446" s="559" t="n">
        <v>138</v>
      </c>
      <c r="D1446" s="484" t="inlineStr">
        <is>
          <t>忠孝7樓</t>
        </is>
      </c>
      <c r="E1446" s="484" t="inlineStr">
        <is>
          <t>6170033</t>
        </is>
      </c>
      <c r="F1446" s="551" t="n"/>
      <c r="G1446" s="484" t="inlineStr">
        <is>
          <t>立特拉A2筆型探頭4.5mm/ 條</t>
        </is>
      </c>
      <c r="H1446" s="552" t="n"/>
      <c r="I1446" s="552" t="n"/>
      <c r="J1446" s="551" t="n"/>
      <c r="K1446" s="140" t="inlineStr">
        <is>
          <t>240000條/顆</t>
        </is>
      </c>
      <c r="L1446" s="560" t="n">
        <v>91991</v>
      </c>
      <c r="M1446" s="123" t="n"/>
      <c r="N1446" s="561" t="n"/>
    </row>
    <row r="1447" ht="17.25" customHeight="1" s="453" thickBot="1">
      <c r="A1447" s="553">
        <f>IFERROR(LEFT(B1447,7),"")</f>
        <v/>
      </c>
      <c r="B1447" s="554">
        <f>"2026/02"&amp;D1447</f>
        <v/>
      </c>
      <c r="C1447" s="559" t="n">
        <v>139</v>
      </c>
      <c r="D1447" s="484" t="inlineStr">
        <is>
          <t>忠孝7樓</t>
        </is>
      </c>
      <c r="E1447" s="484" t="inlineStr">
        <is>
          <t>6170034</t>
        </is>
      </c>
      <c r="F1447" s="551" t="n"/>
      <c r="G1447" s="484" t="inlineStr">
        <is>
          <t>十蓓電波臉部探頭5cm</t>
        </is>
      </c>
      <c r="H1447" s="552" t="n"/>
      <c r="I1447" s="552" t="n"/>
      <c r="J1447" s="551" t="n"/>
      <c r="K1447" s="140" t="inlineStr">
        <is>
          <t>900發/顆</t>
        </is>
      </c>
      <c r="L1447" s="560" t="n">
        <v>138209</v>
      </c>
      <c r="M1447" s="123" t="n"/>
      <c r="N1447" s="561" t="n"/>
    </row>
    <row r="1448" ht="17.25" customHeight="1" s="453" thickBot="1">
      <c r="A1448" s="553">
        <f>IFERROR(LEFT(B1448,7),"")</f>
        <v/>
      </c>
      <c r="B1448" s="554">
        <f>"2026/02"&amp;D1448</f>
        <v/>
      </c>
      <c r="C1448" s="559" t="n">
        <v>140</v>
      </c>
      <c r="D1448" s="484" t="inlineStr">
        <is>
          <t>忠孝7樓</t>
        </is>
      </c>
      <c r="E1448" s="484" t="inlineStr">
        <is>
          <t>6170035</t>
        </is>
      </c>
      <c r="F1448" s="551" t="n"/>
      <c r="G1448" s="484" t="inlineStr">
        <is>
          <t>十蓓電波眼部探頭0.25cm</t>
        </is>
      </c>
      <c r="H1448" s="552" t="n"/>
      <c r="I1448" s="552" t="n"/>
      <c r="J1448" s="551" t="n"/>
      <c r="K1448" s="140" t="inlineStr">
        <is>
          <t>600發/顆</t>
        </is>
      </c>
      <c r="L1448" s="560" t="n">
        <v>26500</v>
      </c>
      <c r="M1448" s="123" t="n"/>
      <c r="N1448" s="561" t="n"/>
    </row>
    <row r="1449" ht="17.25" customHeight="1" s="453" thickBot="1">
      <c r="A1449" s="553">
        <f>IFERROR(LEFT(B1449,7),"")</f>
        <v/>
      </c>
      <c r="B1449" s="554">
        <f>"2026/02"&amp;D1449</f>
        <v/>
      </c>
      <c r="C1449" s="559" t="n">
        <v>141</v>
      </c>
      <c r="D1449" s="484" t="inlineStr">
        <is>
          <t>忠孝7樓</t>
        </is>
      </c>
      <c r="E1449" s="484" t="inlineStr">
        <is>
          <t>6180005</t>
        </is>
      </c>
      <c r="F1449" s="551" t="n"/>
      <c r="G1449" s="484" t="inlineStr">
        <is>
          <t>(V)MINT秘特拉提線FINE 18CM/ 條</t>
        </is>
      </c>
      <c r="H1449" s="552" t="n"/>
      <c r="I1449" s="552" t="n"/>
      <c r="J1449" s="551" t="n"/>
      <c r="K1449" s="140" t="inlineStr">
        <is>
          <t>20條/盒</t>
        </is>
      </c>
      <c r="L1449" s="560" t="n">
        <v>12</v>
      </c>
      <c r="M1449" s="123" t="n"/>
      <c r="N1449" s="561" t="n"/>
    </row>
    <row r="1450" ht="17.25" customHeight="1" s="453" thickBot="1">
      <c r="A1450" s="553">
        <f>IFERROR(LEFT(B1450,7),"")</f>
        <v/>
      </c>
      <c r="B1450" s="554">
        <f>"2026/02"&amp;D1450</f>
        <v/>
      </c>
      <c r="C1450" s="559" t="n">
        <v>142</v>
      </c>
      <c r="D1450" s="484" t="inlineStr">
        <is>
          <t>忠孝7樓</t>
        </is>
      </c>
      <c r="E1450" s="484" t="inlineStr">
        <is>
          <t>6180007</t>
        </is>
      </c>
      <c r="F1450" s="551" t="n"/>
      <c r="G1450" s="484" t="inlineStr">
        <is>
          <t>(V)MINT秘特拉提線PETIT 15CM/ 條</t>
        </is>
      </c>
      <c r="H1450" s="552" t="n"/>
      <c r="I1450" s="552" t="n"/>
      <c r="J1450" s="551" t="n"/>
      <c r="K1450" s="140" t="inlineStr">
        <is>
          <t>20條/盒</t>
        </is>
      </c>
      <c r="L1450" s="560" t="n">
        <v>16</v>
      </c>
      <c r="M1450" s="123" t="n"/>
      <c r="N1450" s="561" t="n"/>
    </row>
    <row r="1451" ht="17.25" customHeight="1" s="453" thickBot="1">
      <c r="A1451" s="553">
        <f>IFERROR(LEFT(B1451,7),"")</f>
        <v/>
      </c>
      <c r="B1451" s="554">
        <f>"2026/02"&amp;D1451</f>
        <v/>
      </c>
      <c r="C1451" s="559" t="n">
        <v>143</v>
      </c>
      <c r="D1451" s="484" t="inlineStr">
        <is>
          <t>忠孝7樓</t>
        </is>
      </c>
      <c r="E1451" s="484" t="inlineStr">
        <is>
          <t>6180009</t>
        </is>
      </c>
      <c r="F1451" s="551" t="n"/>
      <c r="G1451" s="484" t="inlineStr">
        <is>
          <t>(V)MINT秘特拉提線TIP 4CM/ 條</t>
        </is>
      </c>
      <c r="H1451" s="552" t="n"/>
      <c r="I1451" s="552" t="n"/>
      <c r="J1451" s="551" t="n"/>
      <c r="K1451" s="140" t="inlineStr">
        <is>
          <t>10條/盒</t>
        </is>
      </c>
      <c r="L1451" s="560" t="n">
        <v>16</v>
      </c>
      <c r="M1451" s="123" t="n"/>
      <c r="N1451" s="561" t="n"/>
    </row>
    <row r="1452" ht="17.25" customHeight="1" s="453" thickBot="1">
      <c r="A1452" s="553">
        <f>IFERROR(LEFT(B1452,7),"")</f>
        <v/>
      </c>
      <c r="B1452" s="554">
        <f>"2026/02"&amp;D1452</f>
        <v/>
      </c>
      <c r="C1452" s="559" t="n">
        <v>144</v>
      </c>
      <c r="D1452" s="484" t="inlineStr">
        <is>
          <t>忠孝7樓</t>
        </is>
      </c>
      <c r="E1452" s="484" t="inlineStr">
        <is>
          <t>6180011</t>
        </is>
      </c>
      <c r="F1452" s="551" t="n"/>
      <c r="G1452" s="484" t="inlineStr">
        <is>
          <t>(V)MINT秘特拉提線UP 9.5CM/ 條</t>
        </is>
      </c>
      <c r="H1452" s="552" t="n"/>
      <c r="I1452" s="552" t="n"/>
      <c r="J1452" s="551" t="n"/>
      <c r="K1452" s="140" t="inlineStr">
        <is>
          <t>10條/盒</t>
        </is>
      </c>
      <c r="L1452" s="560" t="n">
        <v>36</v>
      </c>
      <c r="M1452" s="123" t="n"/>
      <c r="N1452" s="561" t="n"/>
    </row>
    <row r="1453" ht="17.25" customHeight="1" s="453" thickBot="1">
      <c r="A1453" s="553">
        <f>IFERROR(LEFT(B1453,7),"")</f>
        <v/>
      </c>
      <c r="B1453" s="554">
        <f>"2026/02"&amp;D1453</f>
        <v/>
      </c>
      <c r="C1453" s="559" t="n">
        <v>145</v>
      </c>
      <c r="D1453" s="484" t="inlineStr">
        <is>
          <t>忠孝7樓</t>
        </is>
      </c>
      <c r="E1453" s="484" t="inlineStr">
        <is>
          <t>6190001</t>
        </is>
      </c>
      <c r="F1453" s="551" t="n"/>
      <c r="G1453" s="484" t="inlineStr">
        <is>
          <t>PLT生長因子凍晶製備/ 瓶</t>
        </is>
      </c>
      <c r="H1453" s="552" t="n"/>
      <c r="I1453" s="552" t="n"/>
      <c r="J1453" s="551" t="n"/>
      <c r="K1453" s="140" t="inlineStr">
        <is>
          <t>瓶</t>
        </is>
      </c>
      <c r="L1453" s="560" t="n">
        <v>6</v>
      </c>
      <c r="M1453" s="123" t="n"/>
      <c r="N1453" s="561" t="n"/>
    </row>
    <row r="1454" ht="17.25" customHeight="1" s="453" thickBot="1">
      <c r="A1454" s="553">
        <f>IFERROR(LEFT(B1454,7),"")</f>
        <v/>
      </c>
      <c r="B1454" s="554">
        <f>"2026/02"&amp;D1454</f>
        <v/>
      </c>
      <c r="C1454" s="559" t="n">
        <v>146</v>
      </c>
      <c r="D1454" s="484" t="inlineStr">
        <is>
          <t>忠孝7樓</t>
        </is>
      </c>
      <c r="E1454" s="484" t="inlineStr">
        <is>
          <t>6190002</t>
        </is>
      </c>
      <c r="F1454" s="551" t="n"/>
      <c r="G1454" s="484" t="inlineStr">
        <is>
          <t>PLT生長因子凍晶製備6入(單瓶)</t>
        </is>
      </c>
      <c r="H1454" s="552" t="n"/>
      <c r="I1454" s="552" t="n"/>
      <c r="J1454" s="551" t="n"/>
      <c r="K1454" s="140" t="inlineStr">
        <is>
          <t>瓶(6入/組)</t>
        </is>
      </c>
      <c r="L1454" s="560" t="n">
        <v>2</v>
      </c>
      <c r="M1454" s="123" t="n"/>
      <c r="N1454" s="561" t="n"/>
    </row>
    <row r="1455" ht="17.25" customHeight="1" s="453" thickBot="1">
      <c r="A1455" s="553">
        <f>IFERROR(LEFT(B1455,7),"")</f>
        <v/>
      </c>
      <c r="B1455" s="554">
        <f>"2026/02"&amp;D1455</f>
        <v/>
      </c>
      <c r="C1455" s="559" t="n">
        <v>147</v>
      </c>
      <c r="D1455" s="484" t="inlineStr">
        <is>
          <t>忠孝7樓</t>
        </is>
      </c>
      <c r="E1455" s="484" t="inlineStr">
        <is>
          <t>6190003</t>
        </is>
      </c>
      <c r="F1455" s="551" t="n"/>
      <c r="G1455" s="484" t="inlineStr">
        <is>
          <t>PLT生長因子凍晶製備10入(單瓶)</t>
        </is>
      </c>
      <c r="H1455" s="552" t="n"/>
      <c r="I1455" s="552" t="n"/>
      <c r="J1455" s="551" t="n"/>
      <c r="K1455" s="140" t="inlineStr">
        <is>
          <t>瓶(10入/組)</t>
        </is>
      </c>
      <c r="L1455" s="560" t="n">
        <v>5</v>
      </c>
      <c r="M1455" s="123" t="n"/>
      <c r="N1455" s="561" t="n"/>
    </row>
    <row r="1456" ht="17.25" customHeight="1" s="453" thickBot="1">
      <c r="A1456" s="553">
        <f>IFERROR(LEFT(B1456,7),"")</f>
        <v/>
      </c>
      <c r="B1456" s="554">
        <f>"2026/02"&amp;D1456</f>
        <v/>
      </c>
      <c r="C1456" s="559" t="n">
        <v>148</v>
      </c>
      <c r="D1456" s="484" t="inlineStr">
        <is>
          <t>忠孝7樓</t>
        </is>
      </c>
      <c r="E1456" s="484" t="inlineStr">
        <is>
          <t>6190004</t>
        </is>
      </c>
      <c r="F1456" s="551" t="n"/>
      <c r="G1456" s="484" t="inlineStr">
        <is>
          <t>PLT生長因子凍晶製備20入(單瓶)</t>
        </is>
      </c>
      <c r="H1456" s="552" t="n"/>
      <c r="I1456" s="552" t="n"/>
      <c r="J1456" s="551" t="n"/>
      <c r="K1456" s="140" t="inlineStr">
        <is>
          <t>瓶(20入/組)</t>
        </is>
      </c>
      <c r="L1456" s="560" t="n">
        <v>11</v>
      </c>
      <c r="M1456" s="123" t="n"/>
      <c r="N1456" s="561" t="n"/>
    </row>
    <row r="1457" ht="17.25" customHeight="1" s="453" thickBot="1">
      <c r="A1457" s="553">
        <f>IFERROR(LEFT(B1457,7),"")</f>
        <v/>
      </c>
      <c r="B1457" s="554">
        <f>"2026/02"&amp;D1457</f>
        <v/>
      </c>
      <c r="C1457" s="559" t="n">
        <v>149</v>
      </c>
      <c r="D1457" s="484" t="inlineStr">
        <is>
          <t>忠孝7樓</t>
        </is>
      </c>
      <c r="E1457" s="484" t="inlineStr">
        <is>
          <t>6200003</t>
        </is>
      </c>
      <c r="F1457" s="551" t="n"/>
      <c r="G1457" s="484" t="inlineStr">
        <is>
          <t>(V)倍克脂Belkyra/ 瓶(20的倍數下單)</t>
        </is>
      </c>
      <c r="H1457" s="552" t="n"/>
      <c r="I1457" s="552" t="n"/>
      <c r="J1457" s="551" t="n"/>
      <c r="K1457" s="140" t="inlineStr">
        <is>
          <t>5瓶/盒</t>
        </is>
      </c>
      <c r="L1457" s="560" t="n">
        <v>6</v>
      </c>
      <c r="M1457" s="123" t="n"/>
      <c r="N1457" s="561" t="n"/>
    </row>
    <row r="1458" ht="17.25" customHeight="1" s="453" thickBot="1">
      <c r="A1458" s="553">
        <f>IFERROR(LEFT(B1458,7),"")</f>
        <v/>
      </c>
      <c r="B1458" s="554">
        <f>"2026/02"&amp;D1458</f>
        <v/>
      </c>
      <c r="C1458" s="559" t="n">
        <v>150</v>
      </c>
      <c r="D1458" s="484" t="inlineStr">
        <is>
          <t>忠孝7樓</t>
        </is>
      </c>
      <c r="E1458" s="484" t="inlineStr">
        <is>
          <t>6210002</t>
        </is>
      </c>
      <c r="F1458" s="551" t="n"/>
      <c r="G1458" s="484" t="inlineStr">
        <is>
          <t>(V)水光針針頭/31G9針/1.2mm/ PCS</t>
        </is>
      </c>
      <c r="H1458" s="552" t="n"/>
      <c r="I1458" s="552" t="n"/>
      <c r="J1458" s="551" t="n"/>
      <c r="K1458" s="140" t="inlineStr">
        <is>
          <t>PCS(20入/盒)</t>
        </is>
      </c>
      <c r="L1458" s="560" t="n">
        <v>288</v>
      </c>
      <c r="M1458" s="123" t="n"/>
      <c r="N1458" s="561" t="n"/>
    </row>
    <row r="1459" ht="17.25" customHeight="1" s="453" thickBot="1">
      <c r="A1459" s="553">
        <f>IFERROR(LEFT(B1459,7),"")</f>
        <v/>
      </c>
      <c r="B1459" s="554">
        <f>"2026/02"&amp;D1459</f>
        <v/>
      </c>
      <c r="C1459" s="559" t="n">
        <v>151</v>
      </c>
      <c r="D1459" s="484" t="inlineStr">
        <is>
          <t>忠孝7樓</t>
        </is>
      </c>
      <c r="E1459" s="484" t="inlineStr">
        <is>
          <t>6210003</t>
        </is>
      </c>
      <c r="F1459" s="551" t="n"/>
      <c r="G1459" s="484" t="inlineStr">
        <is>
          <t>(V)水光針針頭/31G9針/1.5mm/ PCS</t>
        </is>
      </c>
      <c r="H1459" s="552" t="n"/>
      <c r="I1459" s="552" t="n"/>
      <c r="J1459" s="551" t="n"/>
      <c r="K1459" s="140" t="inlineStr">
        <is>
          <t>PCS(20入/盒)</t>
        </is>
      </c>
      <c r="L1459" s="560" t="n">
        <v>15</v>
      </c>
      <c r="M1459" s="123" t="n"/>
      <c r="N1459" s="561" t="n"/>
    </row>
    <row r="1460" ht="17.25" customHeight="1" s="453" thickBot="1">
      <c r="A1460" s="553">
        <f>IFERROR(LEFT(B1460,7),"")</f>
        <v/>
      </c>
      <c r="B1460" s="554">
        <f>"2026/02"&amp;D1460</f>
        <v/>
      </c>
      <c r="C1460" s="559" t="n">
        <v>152</v>
      </c>
      <c r="D1460" s="484" t="inlineStr">
        <is>
          <t>忠孝7樓</t>
        </is>
      </c>
      <c r="E1460" s="484" t="inlineStr">
        <is>
          <t>6210006</t>
        </is>
      </c>
      <c r="F1460" s="551" t="n"/>
      <c r="G1460" s="484" t="inlineStr">
        <is>
          <t>(V)麗珠蘭修復水光(A劑2ml+B劑2ml)</t>
        </is>
      </c>
      <c r="H1460" s="552" t="n"/>
      <c r="I1460" s="552" t="n"/>
      <c r="J1460" s="551" t="n"/>
      <c r="K1460" s="140" t="inlineStr">
        <is>
          <t>2ml*2</t>
        </is>
      </c>
      <c r="L1460" s="560" t="n">
        <v>15</v>
      </c>
      <c r="M1460" s="123" t="n"/>
      <c r="N1460" s="561" t="n"/>
    </row>
    <row r="1461" ht="17.25" customHeight="1" s="453" thickBot="1">
      <c r="A1461" s="553">
        <f>IFERROR(LEFT(B1461,7),"")</f>
        <v/>
      </c>
      <c r="B1461" s="554">
        <f>"2026/02"&amp;D1461</f>
        <v/>
      </c>
      <c r="C1461" s="559" t="n">
        <v>153</v>
      </c>
      <c r="D1461" s="484" t="inlineStr">
        <is>
          <t>忠孝7樓</t>
        </is>
      </c>
      <c r="E1461" s="484" t="inlineStr">
        <is>
          <t>6210007</t>
        </is>
      </c>
      <c r="F1461" s="551" t="n"/>
      <c r="G1461" s="484" t="inlineStr">
        <is>
          <t>(V)麗珠蘭白瓷水光(A劑2ml+B劑2ml)</t>
        </is>
      </c>
      <c r="H1461" s="552" t="n"/>
      <c r="I1461" s="552" t="n"/>
      <c r="J1461" s="551" t="n"/>
      <c r="K1461" s="140" t="inlineStr">
        <is>
          <t>2ml*2</t>
        </is>
      </c>
      <c r="L1461" s="560" t="n">
        <v>6</v>
      </c>
      <c r="M1461" s="123" t="n"/>
      <c r="N1461" s="561" t="n"/>
    </row>
    <row r="1462" ht="17.25" customHeight="1" s="453" thickBot="1">
      <c r="A1462" s="553">
        <f>IFERROR(LEFT(B1462,7),"")</f>
        <v/>
      </c>
      <c r="B1462" s="554">
        <f>"2026/02"&amp;D1462</f>
        <v/>
      </c>
      <c r="C1462" s="559" t="n">
        <v>154</v>
      </c>
      <c r="D1462" s="484" t="inlineStr">
        <is>
          <t>忠孝7樓</t>
        </is>
      </c>
      <c r="E1462" s="484" t="inlineStr">
        <is>
          <t>6210008</t>
        </is>
      </c>
      <c r="F1462" s="551" t="n"/>
      <c r="G1462" s="484" t="inlineStr">
        <is>
          <t>微針筆針頭</t>
        </is>
      </c>
      <c r="H1462" s="552" t="n"/>
      <c r="I1462" s="552" t="n"/>
      <c r="J1462" s="551" t="n"/>
      <c r="K1462" s="140" t="inlineStr">
        <is>
          <t>PCS(33入/盒)</t>
        </is>
      </c>
      <c r="L1462" s="560" t="n">
        <v>4</v>
      </c>
      <c r="M1462" s="123" t="n"/>
      <c r="N1462" s="561" t="n"/>
    </row>
    <row r="1463" ht="17.25" customHeight="1" s="453" thickBot="1">
      <c r="A1463" s="553">
        <f>IFERROR(LEFT(B1463,7),"")</f>
        <v/>
      </c>
      <c r="B1463" s="554">
        <f>"2026/02"&amp;D1463</f>
        <v/>
      </c>
      <c r="C1463" s="559" t="n">
        <v>155</v>
      </c>
      <c r="D1463" s="484" t="inlineStr">
        <is>
          <t>忠孝7樓</t>
        </is>
      </c>
      <c r="E1463" s="484" t="inlineStr">
        <is>
          <t>6220005</t>
        </is>
      </c>
      <c r="F1463" s="551" t="n"/>
      <c r="G1463" s="484" t="inlineStr">
        <is>
          <t>海菲秀深藍端頭/ 顆</t>
        </is>
      </c>
      <c r="H1463" s="552" t="n"/>
      <c r="I1463" s="552" t="n"/>
      <c r="J1463" s="551" t="n"/>
      <c r="K1463" s="140" t="inlineStr">
        <is>
          <t>15顆/串</t>
        </is>
      </c>
      <c r="L1463" s="560" t="n">
        <v>787</v>
      </c>
      <c r="M1463" s="123" t="n"/>
      <c r="N1463" s="561" t="n"/>
    </row>
    <row r="1464" ht="17.25" customHeight="1" s="453" thickBot="1">
      <c r="A1464" s="553">
        <f>IFERROR(LEFT(B1464,7),"")</f>
        <v/>
      </c>
      <c r="B1464" s="554">
        <f>"2026/02"&amp;D1464</f>
        <v/>
      </c>
      <c r="C1464" s="559" t="n">
        <v>156</v>
      </c>
      <c r="D1464" s="484" t="inlineStr">
        <is>
          <t>忠孝7樓</t>
        </is>
      </c>
      <c r="E1464" s="484" t="inlineStr">
        <is>
          <t>6220006</t>
        </is>
      </c>
      <c r="F1464" s="551" t="n"/>
      <c r="G1464" s="484" t="inlineStr">
        <is>
          <t>海菲秀淺藍端頭/ 顆</t>
        </is>
      </c>
      <c r="H1464" s="552" t="n"/>
      <c r="I1464" s="552" t="n"/>
      <c r="J1464" s="551" t="n"/>
      <c r="K1464" s="140" t="inlineStr">
        <is>
          <t>15顆/串</t>
        </is>
      </c>
      <c r="L1464" s="560" t="n">
        <v>787</v>
      </c>
      <c r="M1464" s="123" t="n"/>
      <c r="N1464" s="561" t="n"/>
    </row>
    <row r="1465" ht="17.25" customHeight="1" s="453" thickBot="1">
      <c r="A1465" s="553">
        <f>IFERROR(LEFT(B1465,7),"")</f>
        <v/>
      </c>
      <c r="B1465" s="554">
        <f>"2026/02"&amp;D1465</f>
        <v/>
      </c>
      <c r="C1465" s="559" t="n">
        <v>157</v>
      </c>
      <c r="D1465" s="484" t="inlineStr">
        <is>
          <t>忠孝7樓</t>
        </is>
      </c>
      <c r="E1465" s="484" t="inlineStr">
        <is>
          <t>6220007</t>
        </is>
      </c>
      <c r="F1465" s="551" t="n"/>
      <c r="G1465" s="484" t="inlineStr">
        <is>
          <t>海菲秀透明端頭/ 顆</t>
        </is>
      </c>
      <c r="H1465" s="552" t="n"/>
      <c r="I1465" s="552" t="n"/>
      <c r="J1465" s="551" t="n"/>
      <c r="K1465" s="140" t="inlineStr">
        <is>
          <t>15顆/串</t>
        </is>
      </c>
      <c r="L1465" s="560" t="n">
        <v>787</v>
      </c>
      <c r="M1465" s="123" t="n"/>
      <c r="N1465" s="561" t="n"/>
    </row>
    <row r="1466" ht="17.25" customHeight="1" s="453" thickBot="1">
      <c r="A1466" s="553">
        <f>IFERROR(LEFT(B1466,7),"")</f>
        <v/>
      </c>
      <c r="B1466" s="554">
        <f>"2026/02"&amp;D1466</f>
        <v/>
      </c>
      <c r="C1466" s="559" t="n">
        <v>158</v>
      </c>
      <c r="D1466" s="484" t="inlineStr">
        <is>
          <t>忠孝7樓</t>
        </is>
      </c>
      <c r="E1466" s="484" t="inlineStr">
        <is>
          <t>6220012</t>
        </is>
      </c>
      <c r="F1466" s="551" t="n"/>
      <c r="G1466" s="484" t="inlineStr">
        <is>
          <t>(V)(第一劑)海菲秀 Activ-4 Skin Solution/mL</t>
        </is>
      </c>
      <c r="H1466" s="552" t="n"/>
      <c r="I1466" s="552" t="n"/>
      <c r="J1466" s="551" t="n"/>
      <c r="K1466" s="140" t="inlineStr">
        <is>
          <t>236ml/瓶</t>
        </is>
      </c>
      <c r="L1466" s="560" t="n">
        <v>11805</v>
      </c>
      <c r="M1466" s="123" t="n"/>
      <c r="N1466" s="561" t="n"/>
    </row>
    <row r="1467" ht="17.25" customHeight="1" s="453" thickBot="1">
      <c r="A1467" s="553">
        <f>IFERROR(LEFT(B1467,7),"")</f>
        <v/>
      </c>
      <c r="B1467" s="554">
        <f>"2026/02"&amp;D1467</f>
        <v/>
      </c>
      <c r="C1467" s="559" t="n">
        <v>159</v>
      </c>
      <c r="D1467" s="484" t="inlineStr">
        <is>
          <t>忠孝7樓</t>
        </is>
      </c>
      <c r="E1467" s="484" t="inlineStr">
        <is>
          <t>6220013</t>
        </is>
      </c>
      <c r="F1467" s="551" t="n"/>
      <c r="G1467" s="484" t="inlineStr">
        <is>
          <t>(V)(第二劑)海菲秀 Beta-HD Skin Solution /mL</t>
        </is>
      </c>
      <c r="H1467" s="552" t="n"/>
      <c r="I1467" s="552" t="n"/>
      <c r="J1467" s="551" t="n"/>
      <c r="K1467" s="140" t="inlineStr">
        <is>
          <t>236ml/瓶</t>
        </is>
      </c>
      <c r="L1467" s="560" t="n">
        <v>11805</v>
      </c>
      <c r="M1467" s="123" t="n"/>
      <c r="N1467" s="561" t="n"/>
    </row>
    <row r="1468" ht="17.25" customHeight="1" s="453" thickBot="1">
      <c r="A1468" s="553">
        <f>IFERROR(LEFT(B1468,7),"")</f>
        <v/>
      </c>
      <c r="B1468" s="554">
        <f>"2026/02"&amp;D1468</f>
        <v/>
      </c>
      <c r="C1468" s="559" t="n">
        <v>160</v>
      </c>
      <c r="D1468" s="484" t="inlineStr">
        <is>
          <t>忠孝7樓</t>
        </is>
      </c>
      <c r="E1468" s="484" t="inlineStr">
        <is>
          <t>6220014</t>
        </is>
      </c>
      <c r="F1468" s="551" t="n"/>
      <c r="G1468" s="484" t="inlineStr">
        <is>
          <t>(V)(第三劑)海菲秀 Antiox-6 Skin Solution /mL</t>
        </is>
      </c>
      <c r="H1468" s="552" t="n"/>
      <c r="I1468" s="552" t="n"/>
      <c r="J1468" s="551" t="n"/>
      <c r="K1468" s="140" t="inlineStr">
        <is>
          <t>236ml/瓶</t>
        </is>
      </c>
      <c r="L1468" s="560" t="n">
        <v>11805</v>
      </c>
      <c r="M1468" s="123" t="n"/>
      <c r="N1468" s="561" t="n"/>
    </row>
    <row r="1469" ht="17.25" customHeight="1" s="453" thickBot="1">
      <c r="A1469" s="553">
        <f>IFERROR(LEFT(B1469,7),"")</f>
        <v/>
      </c>
      <c r="B1469" s="554">
        <f>"2026/02"&amp;D1469</f>
        <v/>
      </c>
      <c r="C1469" s="559" t="n">
        <v>161</v>
      </c>
      <c r="D1469" s="484" t="inlineStr">
        <is>
          <t>忠孝7樓</t>
        </is>
      </c>
      <c r="E1469" s="484" t="inlineStr">
        <is>
          <t>6220015</t>
        </is>
      </c>
      <c r="F1469" s="551" t="n"/>
      <c r="G1469" s="484" t="inlineStr">
        <is>
          <t>(V)(第四劑)海菲秀 Rinseaway System Cleaning Solution /mL</t>
        </is>
      </c>
      <c r="H1469" s="552" t="n"/>
      <c r="I1469" s="552" t="n"/>
      <c r="J1469" s="551" t="n"/>
      <c r="K1469" s="140" t="inlineStr">
        <is>
          <t>236ml/瓶</t>
        </is>
      </c>
      <c r="L1469" s="560" t="n">
        <v>11805</v>
      </c>
      <c r="M1469" s="123" t="n"/>
      <c r="N1469" s="561" t="n"/>
    </row>
    <row r="1470" ht="17.25" customHeight="1" s="453" thickBot="1">
      <c r="A1470" s="553">
        <f>IFERROR(LEFT(B1470,7),"")</f>
        <v/>
      </c>
      <c r="B1470" s="554">
        <f>"2026/02"&amp;D1470</f>
        <v/>
      </c>
      <c r="C1470" s="559" t="n">
        <v>162</v>
      </c>
      <c r="D1470" s="484" t="inlineStr">
        <is>
          <t>忠孝國際醫學3樓</t>
        </is>
      </c>
      <c r="E1470" s="484" t="inlineStr">
        <is>
          <t>6120001</t>
        </is>
      </c>
      <c r="F1470" s="551" t="n"/>
      <c r="G1470" s="484" t="inlineStr">
        <is>
          <t>(V)肝得健注射劑/ 瓶，220倍數叫貨</t>
        </is>
      </c>
      <c r="H1470" s="552" t="n"/>
      <c r="I1470" s="552" t="n"/>
      <c r="J1470" s="551" t="n"/>
      <c r="K1470" s="140" t="inlineStr">
        <is>
          <t>20支/盒</t>
        </is>
      </c>
      <c r="L1470" s="560" t="n">
        <v>917</v>
      </c>
      <c r="M1470" s="123" t="n"/>
    </row>
    <row r="1471" ht="17.25" customHeight="1" s="453" thickBot="1">
      <c r="A1471" s="553">
        <f>IFERROR(LEFT(B1471,7),"")</f>
        <v/>
      </c>
      <c r="B1471" s="554">
        <f>"2026/02"&amp;D1471</f>
        <v/>
      </c>
      <c r="C1471" s="559" t="n">
        <v>163</v>
      </c>
      <c r="D1471" s="484" t="inlineStr">
        <is>
          <t>忠孝國際醫學3樓</t>
        </is>
      </c>
      <c r="E1471" s="484" t="inlineStr">
        <is>
          <t>6120002</t>
        </is>
      </c>
      <c r="F1471" s="551" t="n"/>
      <c r="G1471" s="484" t="inlineStr">
        <is>
          <t>(V)卡妮丁注射劑/ 瓶，220倍數叫貨</t>
        </is>
      </c>
      <c r="H1471" s="552" t="n"/>
      <c r="I1471" s="552" t="n"/>
      <c r="J1471" s="551" t="n"/>
      <c r="K1471" s="140" t="inlineStr">
        <is>
          <t>20支/盒</t>
        </is>
      </c>
      <c r="L1471" s="560" t="n">
        <v>1203.5</v>
      </c>
      <c r="M1471" s="123" t="n"/>
    </row>
    <row r="1472" ht="17.25" customHeight="1" s="453" thickBot="1">
      <c r="A1472" s="553">
        <f>IFERROR(LEFT(B1472,7),"")</f>
        <v/>
      </c>
      <c r="B1472" s="554">
        <f>"2026/02"&amp;D1472</f>
        <v/>
      </c>
      <c r="C1472" s="559" t="n">
        <v>164</v>
      </c>
      <c r="D1472" s="484" t="inlineStr">
        <is>
          <t>忠孝國際醫學3樓</t>
        </is>
      </c>
      <c r="E1472" s="484" t="inlineStr">
        <is>
          <t>6120003</t>
        </is>
      </c>
      <c r="F1472" s="551" t="n"/>
      <c r="G1472" s="484" t="inlineStr">
        <is>
          <t>(V)貝力多(雙胜胺) 20% 30mL/ 瓶，50倍數叫貨</t>
        </is>
      </c>
      <c r="H1472" s="552" t="n"/>
      <c r="I1472" s="552" t="n"/>
      <c r="J1472" s="551" t="n"/>
      <c r="K1472" s="140" t="inlineStr">
        <is>
          <t>10支/盒</t>
        </is>
      </c>
      <c r="L1472" s="560" t="n">
        <v>5</v>
      </c>
      <c r="M1472" s="123" t="n"/>
    </row>
    <row r="1473" ht="17.25" customHeight="1" s="453" thickBot="1">
      <c r="A1473" s="553">
        <f>IFERROR(LEFT(B1473,7),"")</f>
        <v/>
      </c>
      <c r="B1473" s="554">
        <f>"2026/02"&amp;D1473</f>
        <v/>
      </c>
      <c r="C1473" s="559" t="n">
        <v>165</v>
      </c>
      <c r="D1473" s="484" t="inlineStr">
        <is>
          <t>忠孝國際醫學3樓</t>
        </is>
      </c>
      <c r="E1473" s="484" t="inlineStr">
        <is>
          <t>6120004</t>
        </is>
      </c>
      <c r="F1473" s="551" t="n"/>
      <c r="G1473" s="484" t="inlineStr">
        <is>
          <t>(V)胺基酸點滴250ml/ 袋(安命活源/嘉安命)，20倍數叫貨</t>
        </is>
      </c>
      <c r="H1473" s="552" t="n"/>
      <c r="I1473" s="552" t="n"/>
      <c r="J1473" s="551" t="n"/>
      <c r="K1473" s="140" t="inlineStr">
        <is>
          <t>(20瓶/箱)</t>
        </is>
      </c>
      <c r="L1473" s="560" t="n">
        <v>14</v>
      </c>
      <c r="M1473" s="123" t="n"/>
    </row>
    <row r="1474" ht="17.25" customHeight="1" s="453" thickBot="1">
      <c r="A1474" s="553">
        <f>IFERROR(LEFT(B1474,7),"")</f>
        <v/>
      </c>
      <c r="B1474" s="554">
        <f>"2026/02"&amp;D1474</f>
        <v/>
      </c>
      <c r="C1474" s="559" t="n">
        <v>166</v>
      </c>
      <c r="D1474" s="484" t="inlineStr">
        <is>
          <t>忠孝國際醫學3樓</t>
        </is>
      </c>
      <c r="E1474" s="484" t="inlineStr">
        <is>
          <t>6120006</t>
        </is>
      </c>
      <c r="F1474" s="551" t="n"/>
      <c r="G1474" s="484" t="inlineStr">
        <is>
          <t>(V)(B12) 愛壽命 2mL，100倍數叫貨</t>
        </is>
      </c>
      <c r="H1474" s="552" t="n"/>
      <c r="I1474" s="552" t="n"/>
      <c r="J1474" s="551" t="n"/>
      <c r="K1474" s="140" t="inlineStr">
        <is>
          <t>(100支/盒)</t>
        </is>
      </c>
      <c r="L1474" s="560" t="n">
        <v>578</v>
      </c>
      <c r="M1474" s="123" t="n"/>
    </row>
    <row r="1475" ht="17.25" customHeight="1" s="453" thickBot="1">
      <c r="A1475" s="553">
        <f>IFERROR(LEFT(B1475,7),"")</f>
        <v/>
      </c>
      <c r="B1475" s="554">
        <f>"2026/02"&amp;D1475</f>
        <v/>
      </c>
      <c r="C1475" s="559" t="n">
        <v>167</v>
      </c>
      <c r="D1475" s="484" t="inlineStr">
        <is>
          <t>忠孝國際醫學3樓</t>
        </is>
      </c>
      <c r="E1475" s="484" t="inlineStr">
        <is>
          <t>6120007</t>
        </is>
      </c>
      <c r="F1475" s="551" t="n"/>
      <c r="G1475" s="484" t="inlineStr">
        <is>
          <t>(V)(硫酸鋅) 1ml/支，100倍數叫貨</t>
        </is>
      </c>
      <c r="H1475" s="552" t="n"/>
      <c r="I1475" s="552" t="n"/>
      <c r="J1475" s="551" t="n"/>
      <c r="K1475" s="140" t="inlineStr">
        <is>
          <t>100支/盒</t>
        </is>
      </c>
      <c r="L1475" s="560" t="n">
        <v>4</v>
      </c>
      <c r="M1475" s="123" t="n"/>
    </row>
    <row r="1476" ht="17.25" customHeight="1" s="453" thickBot="1">
      <c r="A1476" s="553">
        <f>IFERROR(LEFT(B1476,7),"")</f>
        <v/>
      </c>
      <c r="B1476" s="554">
        <f>"2026/02"&amp;D1476</f>
        <v/>
      </c>
      <c r="C1476" s="559" t="n">
        <v>168</v>
      </c>
      <c r="D1476" s="484" t="inlineStr">
        <is>
          <t>忠孝國際醫學3樓</t>
        </is>
      </c>
      <c r="E1476" s="484" t="inlineStr">
        <is>
          <t>6120009</t>
        </is>
      </c>
      <c r="F1476" s="551" t="n"/>
      <c r="G1476" s="484" t="inlineStr">
        <is>
          <t>(V)(B1) 硫胺明 2ml</t>
        </is>
      </c>
      <c r="H1476" s="552" t="n"/>
      <c r="I1476" s="552" t="n"/>
      <c r="J1476" s="551" t="n"/>
      <c r="K1476" s="140" t="inlineStr">
        <is>
          <t>(100支/盒)</t>
        </is>
      </c>
      <c r="L1476" s="560" t="n">
        <v>4</v>
      </c>
      <c r="M1476" s="123" t="n"/>
    </row>
    <row r="1477" ht="17.25" customHeight="1" s="453" thickBot="1">
      <c r="A1477" s="553">
        <f>IFERROR(LEFT(B1477,7),"")</f>
        <v/>
      </c>
      <c r="B1477" s="554">
        <f>"2026/02"&amp;D1477</f>
        <v/>
      </c>
      <c r="C1477" s="559" t="n">
        <v>169</v>
      </c>
      <c r="D1477" s="484" t="inlineStr">
        <is>
          <t>忠孝國際醫學3樓</t>
        </is>
      </c>
      <c r="E1477" s="484" t="inlineStr">
        <is>
          <t>6120010</t>
        </is>
      </c>
      <c r="F1477" s="551" t="n"/>
      <c r="G1477" s="484" t="inlineStr">
        <is>
          <t>(V)(B6) 活性維生素 2ml，100倍數叫貨</t>
        </is>
      </c>
      <c r="H1477" s="552" t="n"/>
      <c r="I1477" s="552" t="n"/>
      <c r="J1477" s="551" t="n"/>
      <c r="K1477" s="140" t="inlineStr">
        <is>
          <t>(100支/盒)</t>
        </is>
      </c>
      <c r="L1477" s="560" t="n">
        <v>4</v>
      </c>
      <c r="M1477" s="123" t="n"/>
    </row>
    <row r="1478" ht="17.25" customHeight="1" s="453" thickBot="1">
      <c r="A1478" s="553">
        <f>IFERROR(LEFT(B1478,7),"")</f>
        <v/>
      </c>
      <c r="B1478" s="554">
        <f>"2026/02"&amp;D1478</f>
        <v/>
      </c>
      <c r="C1478" s="559" t="n">
        <v>170</v>
      </c>
      <c r="D1478" s="484" t="inlineStr">
        <is>
          <t>忠孝國際醫學3樓</t>
        </is>
      </c>
      <c r="E1478" s="484" t="inlineStr">
        <is>
          <t>6120011</t>
        </is>
      </c>
      <c r="F1478" s="551" t="n"/>
      <c r="G1478" s="484" t="inlineStr">
        <is>
          <t>(V)(硒) 西寧特 2ml/支</t>
        </is>
      </c>
      <c r="H1478" s="552" t="n"/>
      <c r="I1478" s="552" t="n"/>
      <c r="J1478" s="551" t="n"/>
      <c r="K1478" s="140" t="inlineStr">
        <is>
          <t>10支/盒</t>
        </is>
      </c>
      <c r="L1478" s="560" t="n">
        <v>6</v>
      </c>
      <c r="M1478" s="123" t="n"/>
    </row>
    <row r="1479" ht="17.25" customHeight="1" s="453" thickBot="1">
      <c r="A1479" s="553">
        <f>IFERROR(LEFT(B1479,7),"")</f>
        <v/>
      </c>
      <c r="B1479" s="554">
        <f>"2026/02"&amp;D1479</f>
        <v/>
      </c>
      <c r="C1479" s="559" t="n">
        <v>171</v>
      </c>
      <c r="D1479" s="484" t="inlineStr">
        <is>
          <t>忠孝國際醫學3樓</t>
        </is>
      </c>
      <c r="E1479" s="484" t="inlineStr">
        <is>
          <t>6120013</t>
        </is>
      </c>
      <c r="F1479" s="551" t="n"/>
      <c r="G1479" s="484" t="inlineStr">
        <is>
          <t>(V)生理食鹽水(NS) 250ml/ 袋</t>
        </is>
      </c>
      <c r="H1479" s="552" t="n"/>
      <c r="I1479" s="552" t="n"/>
      <c r="J1479" s="551" t="n"/>
      <c r="K1479" s="140" t="inlineStr">
        <is>
          <t>40瓶/箱</t>
        </is>
      </c>
      <c r="L1479" s="560" t="n">
        <v>576</v>
      </c>
      <c r="M1479" s="123" t="n"/>
    </row>
    <row r="1480" ht="17.25" customHeight="1" s="453" thickBot="1">
      <c r="A1480" s="553">
        <f>IFERROR(LEFT(B1480,7),"")</f>
        <v/>
      </c>
      <c r="B1480" s="554">
        <f>"2026/02"&amp;D1480</f>
        <v/>
      </c>
      <c r="C1480" s="559" t="n">
        <v>172</v>
      </c>
      <c r="D1480" s="484" t="inlineStr">
        <is>
          <t>忠孝國際醫學3樓</t>
        </is>
      </c>
      <c r="E1480" s="484" t="inlineStr">
        <is>
          <t>6120014</t>
        </is>
      </c>
      <c r="F1480" s="551" t="n"/>
      <c r="G1480" s="484" t="inlineStr">
        <is>
          <t>(V)葡萄糖水(D5W) 250ml/袋</t>
        </is>
      </c>
      <c r="H1480" s="552" t="n"/>
      <c r="I1480" s="552" t="n"/>
      <c r="J1480" s="551" t="n"/>
      <c r="K1480" s="140" t="inlineStr">
        <is>
          <t>60袋/箱</t>
        </is>
      </c>
      <c r="L1480" s="560" t="n">
        <v>695</v>
      </c>
      <c r="M1480" s="123" t="n"/>
    </row>
    <row r="1481" ht="17.25" customHeight="1" s="453" thickBot="1">
      <c r="A1481" s="553">
        <f>IFERROR(LEFT(B1481,7),"")</f>
        <v/>
      </c>
      <c r="B1481" s="554">
        <f>"2026/02"&amp;D1481</f>
        <v/>
      </c>
      <c r="C1481" s="559" t="n">
        <v>173</v>
      </c>
      <c r="D1481" s="484" t="inlineStr">
        <is>
          <t>忠孝國際醫學3樓</t>
        </is>
      </c>
      <c r="E1481" s="484" t="inlineStr">
        <is>
          <t>6120015</t>
        </is>
      </c>
      <c r="F1481" s="551" t="n"/>
      <c r="G1481" s="484" t="inlineStr">
        <is>
          <t>(V)(B群)淘能美複合維他命B 2ml，100倍數叫貨</t>
        </is>
      </c>
      <c r="H1481" s="552" t="n"/>
      <c r="I1481" s="552" t="n"/>
      <c r="J1481" s="551" t="n"/>
      <c r="K1481" s="140" t="n"/>
      <c r="L1481" s="560" t="n">
        <v>16</v>
      </c>
      <c r="M1481" s="123" t="n"/>
    </row>
    <row r="1482" ht="17.25" customHeight="1" s="453" thickBot="1">
      <c r="A1482" s="553">
        <f>IFERROR(LEFT(B1482,7),"")</f>
        <v/>
      </c>
      <c r="B1482" s="554">
        <f>"2026/02"&amp;D1482</f>
        <v/>
      </c>
      <c r="C1482" s="559" t="n">
        <v>174</v>
      </c>
      <c r="D1482" s="484" t="inlineStr">
        <is>
          <t>忠孝國際醫學3樓</t>
        </is>
      </c>
      <c r="E1482" s="484" t="inlineStr">
        <is>
          <t>6120016</t>
        </is>
      </c>
      <c r="F1482" s="551" t="n"/>
      <c r="G1482" s="484" t="inlineStr">
        <is>
          <t>(V)(榖胱肝肽) 克樂達養200mg (20ml/瓶)</t>
        </is>
      </c>
      <c r="H1482" s="552" t="n"/>
      <c r="I1482" s="552" t="n"/>
      <c r="J1482" s="551" t="n"/>
      <c r="K1482" s="140" t="inlineStr">
        <is>
          <t>50支/盒</t>
        </is>
      </c>
      <c r="L1482" s="560" t="n">
        <v>16</v>
      </c>
      <c r="M1482" s="123" t="n"/>
    </row>
    <row r="1483" ht="17.25" customHeight="1" s="453" thickBot="1">
      <c r="A1483" s="553">
        <f>IFERROR(LEFT(B1483,7),"")</f>
        <v/>
      </c>
      <c r="B1483" s="554">
        <f>"2026/02"&amp;D1483</f>
        <v/>
      </c>
      <c r="C1483" s="559" t="n">
        <v>175</v>
      </c>
      <c r="D1483" s="484" t="inlineStr">
        <is>
          <t>忠孝國際醫學3樓</t>
        </is>
      </c>
      <c r="E1483" s="484" t="inlineStr">
        <is>
          <t>6120017</t>
        </is>
      </c>
      <c r="F1483" s="551" t="n"/>
      <c r="G1483" s="484" t="inlineStr">
        <is>
          <t>(V)保肝 5ml/支</t>
        </is>
      </c>
      <c r="H1483" s="552" t="n"/>
      <c r="I1483" s="552" t="n"/>
      <c r="J1483" s="551" t="n"/>
      <c r="K1483" s="140" t="inlineStr">
        <is>
          <t>50支/盒</t>
        </is>
      </c>
      <c r="L1483" s="560" t="n">
        <v>3</v>
      </c>
      <c r="M1483" s="123" t="n"/>
    </row>
    <row r="1484" ht="17.25" customHeight="1" s="453" thickBot="1">
      <c r="A1484" s="553">
        <f>IFERROR(LEFT(B1484,7),"")</f>
        <v/>
      </c>
      <c r="B1484" s="554">
        <f>"2026/02"&amp;D1484</f>
        <v/>
      </c>
      <c r="C1484" s="559" t="n">
        <v>176</v>
      </c>
      <c r="D1484" s="484" t="inlineStr">
        <is>
          <t>忠孝國際醫學3樓</t>
        </is>
      </c>
      <c r="E1484" s="484" t="inlineStr">
        <is>
          <t>6120021</t>
        </is>
      </c>
      <c r="F1484" s="551" t="n"/>
      <c r="G1484" s="484" t="inlineStr">
        <is>
          <t>(V)(Vit C)(抗壞血酸/諾貝爾)20ml，50倍數下單</t>
        </is>
      </c>
      <c r="H1484" s="552" t="n"/>
      <c r="I1484" s="552" t="n"/>
      <c r="J1484" s="551" t="n"/>
      <c r="K1484" s="140" t="inlineStr">
        <is>
          <t>50支/盒</t>
        </is>
      </c>
      <c r="L1484" s="560" t="n">
        <v>16</v>
      </c>
      <c r="M1484" s="123" t="n"/>
    </row>
    <row r="1485" ht="17.25" customHeight="1" s="453" thickBot="1">
      <c r="A1485" s="553">
        <f>IFERROR(LEFT(B1485,7),"")</f>
        <v/>
      </c>
      <c r="B1485" s="554">
        <f>"2026/02"&amp;D1485</f>
        <v/>
      </c>
      <c r="C1485" s="559" t="n">
        <v>177</v>
      </c>
      <c r="D1485" s="484" t="inlineStr">
        <is>
          <t>忠孝國際醫學3樓</t>
        </is>
      </c>
      <c r="E1485" s="484" t="inlineStr">
        <is>
          <t>6120036</t>
        </is>
      </c>
      <c r="F1485" s="551" t="n"/>
      <c r="G1485" s="484" t="inlineStr">
        <is>
          <t>(V)貝力多(雙胜胺) 20% 50mL/ 瓶，50倍數下單</t>
        </is>
      </c>
      <c r="H1485" s="552" t="n"/>
      <c r="I1485" s="552" t="n"/>
      <c r="J1485" s="551" t="n"/>
      <c r="K1485" s="140" t="inlineStr">
        <is>
          <t>瓶(10瓶/盒)</t>
        </is>
      </c>
      <c r="L1485" s="560" t="n">
        <v>5</v>
      </c>
      <c r="M1485" s="123" t="n"/>
    </row>
    <row r="1486" ht="17.25" customHeight="1" s="453" thickBot="1">
      <c r="A1486" s="553">
        <f>IFERROR(LEFT(B1486,7),"")</f>
        <v/>
      </c>
      <c r="B1486" s="554">
        <f>"2026/02"&amp;D1486</f>
        <v/>
      </c>
      <c r="C1486" s="559" t="n">
        <v>178</v>
      </c>
      <c r="D1486" s="484" t="inlineStr">
        <is>
          <t>忠孝國際醫學3樓</t>
        </is>
      </c>
      <c r="E1486" s="484" t="inlineStr">
        <is>
          <t>6200004</t>
        </is>
      </c>
      <c r="F1486" s="551" t="n"/>
      <c r="G1486" s="484" t="inlineStr">
        <is>
          <t>阿爾發SAT卡匣/ 發</t>
        </is>
      </c>
      <c r="H1486" s="552" t="n"/>
      <c r="I1486" s="552" t="n"/>
      <c r="J1486" s="551" t="n"/>
      <c r="K1486" s="140" t="inlineStr">
        <is>
          <t>50發/卡</t>
        </is>
      </c>
      <c r="L1486" s="560" t="n">
        <v>2352</v>
      </c>
      <c r="M1486" s="123" t="n"/>
    </row>
    <row r="1487" ht="17.25" customHeight="1" s="453" thickBot="1">
      <c r="A1487" s="553">
        <f>IFERROR(LEFT(B1487,7),"")</f>
        <v/>
      </c>
      <c r="B1487" s="554">
        <f>"2026/02"&amp;D1487</f>
        <v/>
      </c>
      <c r="C1487" s="559" t="n">
        <v>179</v>
      </c>
      <c r="D1487" s="484" t="inlineStr">
        <is>
          <t>忠孝國際醫學3樓</t>
        </is>
      </c>
      <c r="E1487" s="484" t="inlineStr">
        <is>
          <t>6200008</t>
        </is>
      </c>
      <c r="F1487" s="551" t="n"/>
      <c r="G1487" s="484" t="inlineStr">
        <is>
          <t>瘦瘦筆-週纖達*1支(0.25mg)</t>
        </is>
      </c>
      <c r="H1487" s="552" t="n"/>
      <c r="I1487" s="552" t="n"/>
      <c r="J1487" s="551" t="n"/>
      <c r="K1487" s="140" t="inlineStr">
        <is>
          <t>支</t>
        </is>
      </c>
      <c r="L1487" s="560" t="n">
        <v>9</v>
      </c>
      <c r="M1487" s="123" t="n"/>
    </row>
    <row r="1488" ht="18" customHeight="1" s="453" thickBot="1">
      <c r="A1488" s="553">
        <f>IFERROR(LEFT(B1488,7),"")</f>
        <v/>
      </c>
      <c r="B1488" s="554">
        <f>"2026/02"&amp;D1488</f>
        <v/>
      </c>
      <c r="C1488" s="559" t="n">
        <v>180</v>
      </c>
      <c r="D1488" s="484" t="inlineStr">
        <is>
          <t>忠孝國際醫學3樓</t>
        </is>
      </c>
      <c r="E1488" s="484" t="inlineStr">
        <is>
          <t>6200010</t>
        </is>
      </c>
      <c r="F1488" s="551" t="n"/>
      <c r="G1488" s="484" t="inlineStr">
        <is>
          <t>瘦瘦筆-週纖達*1支(1.0mg)</t>
        </is>
      </c>
      <c r="H1488" s="552" t="n"/>
      <c r="I1488" s="552" t="n"/>
      <c r="J1488" s="551" t="n"/>
      <c r="K1488" s="140" t="inlineStr">
        <is>
          <t>支</t>
        </is>
      </c>
      <c r="L1488" s="560" t="n">
        <v>5</v>
      </c>
      <c r="M1488" s="123" t="n"/>
    </row>
    <row r="1489" ht="17.25" customHeight="1" s="453" thickBot="1">
      <c r="A1489" s="553">
        <f>IFERROR(LEFT(B1489,7),"")</f>
        <v/>
      </c>
      <c r="B1489" s="554">
        <f>"2026/02"&amp;D1489</f>
        <v/>
      </c>
      <c r="C1489" s="559" t="n">
        <v>181</v>
      </c>
      <c r="D1489" s="484" t="inlineStr">
        <is>
          <t>忠孝國際醫學3樓</t>
        </is>
      </c>
      <c r="E1489" s="484" t="inlineStr">
        <is>
          <t>6200013</t>
        </is>
      </c>
      <c r="F1489" s="551" t="n"/>
      <c r="G1489" s="484" t="inlineStr">
        <is>
          <t>(V)猛健樂*1支(2.5mg)</t>
        </is>
      </c>
      <c r="H1489" s="552" t="n"/>
      <c r="I1489" s="552" t="n"/>
      <c r="J1489" s="551" t="n"/>
      <c r="K1489" s="140" t="inlineStr">
        <is>
          <t>3cc/支</t>
        </is>
      </c>
      <c r="L1489" s="560" t="n">
        <v>1</v>
      </c>
      <c r="M1489" s="123" t="n"/>
    </row>
    <row r="1490" ht="17.25" customHeight="1" s="453" thickBot="1">
      <c r="A1490" s="553">
        <f>IFERROR(LEFT(B1490,7),"")</f>
        <v/>
      </c>
      <c r="B1490" s="554">
        <f>"2026/02"&amp;D1490</f>
        <v/>
      </c>
      <c r="C1490" s="559" t="n">
        <v>182</v>
      </c>
      <c r="D1490" s="484" t="inlineStr">
        <is>
          <t>忠孝國際醫學3樓</t>
        </is>
      </c>
      <c r="E1490" s="484" t="inlineStr">
        <is>
          <t>6200015</t>
        </is>
      </c>
      <c r="F1490" s="551" t="n"/>
      <c r="G1490" s="484" t="inlineStr">
        <is>
          <t>(V)猛健樂*1支(7.5mg)</t>
        </is>
      </c>
      <c r="H1490" s="552" t="n"/>
      <c r="I1490" s="552" t="n"/>
      <c r="J1490" s="551" t="n"/>
      <c r="K1490" s="140" t="inlineStr">
        <is>
          <t>3cc/支</t>
        </is>
      </c>
      <c r="L1490" s="560" t="n">
        <v>1</v>
      </c>
      <c r="M1490" s="123" t="n"/>
    </row>
    <row r="1491" ht="17.25" customHeight="1" s="453" thickBot="1">
      <c r="A1491" s="553">
        <f>IFERROR(LEFT(B1491,7),"")</f>
        <v/>
      </c>
      <c r="B1491" s="554">
        <f>"2026/02"&amp;D1491</f>
        <v/>
      </c>
      <c r="C1491" s="559" t="n">
        <v>183</v>
      </c>
      <c r="D1491" s="484" t="inlineStr">
        <is>
          <t>忠孝國際醫學3樓</t>
        </is>
      </c>
      <c r="E1491" s="484" t="inlineStr">
        <is>
          <t>6200016</t>
        </is>
      </c>
      <c r="F1491" s="551" t="n"/>
      <c r="G1491" s="484" t="inlineStr">
        <is>
          <t>(V)猛健樂*1支(10mg)</t>
        </is>
      </c>
      <c r="H1491" s="552" t="n"/>
      <c r="I1491" s="552" t="n"/>
      <c r="J1491" s="551" t="n"/>
      <c r="K1491" s="140" t="inlineStr">
        <is>
          <t>3cc/支</t>
        </is>
      </c>
      <c r="L1491" s="560" t="n">
        <v>16</v>
      </c>
      <c r="M1491" s="123" t="n"/>
    </row>
    <row r="1492" ht="17.25" customHeight="1" s="453" thickBot="1">
      <c r="A1492" s="553">
        <f>IFERROR(LEFT(B1492,7),"")</f>
        <v/>
      </c>
      <c r="B1492" s="554">
        <f>"2026/02"&amp;D1492</f>
        <v/>
      </c>
      <c r="C1492" s="559" t="n">
        <v>184</v>
      </c>
      <c r="D1492" s="484" t="inlineStr">
        <is>
          <t>忠孝國際醫學3樓</t>
        </is>
      </c>
      <c r="E1492" s="484" t="inlineStr">
        <is>
          <t>6200017</t>
        </is>
      </c>
      <c r="F1492" s="551" t="n"/>
      <c r="G1492" s="484" t="inlineStr">
        <is>
          <t>(V)猛健樂10MG/0.15CC</t>
        </is>
      </c>
      <c r="H1492" s="552" t="n"/>
      <c r="I1492" s="552" t="n"/>
      <c r="J1492" s="551" t="n"/>
      <c r="K1492" s="140" t="inlineStr">
        <is>
          <t>0.15cc/次</t>
        </is>
      </c>
      <c r="L1492" s="560" t="n">
        <v>201</v>
      </c>
      <c r="M1492" s="123" t="n"/>
    </row>
    <row r="1493" ht="17.25" customHeight="1" s="453" thickBot="1">
      <c r="A1493" s="553">
        <f>IFERROR(LEFT(B1493,7),"")</f>
        <v/>
      </c>
      <c r="B1493" s="554">
        <f>"2026/02"&amp;D1493</f>
        <v/>
      </c>
      <c r="C1493" s="559" t="n">
        <v>185</v>
      </c>
      <c r="D1493" s="484" t="inlineStr">
        <is>
          <t>忠孝國際醫學3樓</t>
        </is>
      </c>
      <c r="E1493" s="484" t="inlineStr">
        <is>
          <t>6200018</t>
        </is>
      </c>
      <c r="F1493" s="551" t="n"/>
      <c r="G1493" s="484" t="inlineStr">
        <is>
          <t>(V)猛健樂*1支(12.5mg)</t>
        </is>
      </c>
      <c r="H1493" s="552" t="n"/>
      <c r="I1493" s="552" t="n"/>
      <c r="J1493" s="551" t="n"/>
      <c r="K1493" s="140" t="inlineStr">
        <is>
          <t>3cc/支</t>
        </is>
      </c>
      <c r="L1493" s="560" t="n">
        <v>3</v>
      </c>
      <c r="M1493" s="123" t="n"/>
    </row>
    <row r="1494" ht="17.25" customHeight="1" s="453" thickBot="1">
      <c r="A1494" s="553">
        <f>IFERROR(LEFT(B1494,7),"")</f>
        <v/>
      </c>
      <c r="B1494" s="554">
        <f>"2026/02"&amp;D1494</f>
        <v/>
      </c>
      <c r="C1494" s="559" t="n">
        <v>186</v>
      </c>
      <c r="D1494" s="484" t="inlineStr">
        <is>
          <t>忠孝國際醫學3樓</t>
        </is>
      </c>
      <c r="E1494" s="484" t="inlineStr">
        <is>
          <t>6200020</t>
        </is>
      </c>
      <c r="F1494" s="551" t="n"/>
      <c r="G1494" s="484" t="inlineStr">
        <is>
          <t>(V)猛健樂7.5MG/0.2CC</t>
        </is>
      </c>
      <c r="H1494" s="552" t="n"/>
      <c r="I1494" s="552" t="n"/>
      <c r="J1494" s="551" t="n"/>
      <c r="K1494" s="140" t="inlineStr">
        <is>
          <t>0.2cc/次</t>
        </is>
      </c>
      <c r="L1494" s="560" t="n">
        <v>2</v>
      </c>
      <c r="M1494" s="123" t="n"/>
    </row>
    <row r="1495" ht="17.25" customHeight="1" s="453" thickBot="1">
      <c r="A1495" s="553">
        <f>IFERROR(LEFT(B1495,7),"")</f>
        <v/>
      </c>
      <c r="B1495" s="554">
        <f>"2026/02"&amp;D1495</f>
        <v/>
      </c>
      <c r="C1495" s="559" t="n">
        <v>187</v>
      </c>
      <c r="D1495" s="484" t="inlineStr">
        <is>
          <t>忠孝國際醫學3樓</t>
        </is>
      </c>
      <c r="E1495" s="484" t="inlineStr">
        <is>
          <t>6200021</t>
        </is>
      </c>
      <c r="F1495" s="551" t="n"/>
      <c r="G1495" s="484" t="inlineStr">
        <is>
          <t>(V)猛健樂12.5MG/0.12CC</t>
        </is>
      </c>
      <c r="H1495" s="552" t="n"/>
      <c r="I1495" s="552" t="n"/>
      <c r="J1495" s="551" t="n"/>
      <c r="K1495" s="140" t="inlineStr">
        <is>
          <t>0.12cc/次</t>
        </is>
      </c>
      <c r="L1495" s="560" t="n">
        <v>1269.5</v>
      </c>
      <c r="M1495" s="123" t="n"/>
    </row>
    <row r="1496" ht="17.25" customHeight="1" s="453" thickBot="1">
      <c r="A1496" s="553">
        <f>IFERROR(LEFT(B1496,7),"")</f>
        <v/>
      </c>
      <c r="B1496" s="554">
        <f>"2026/02"&amp;D1496</f>
        <v/>
      </c>
      <c r="C1496" s="559" t="n">
        <v>188</v>
      </c>
      <c r="D1496" s="484" t="inlineStr">
        <is>
          <t>忠孝健康7樓</t>
        </is>
      </c>
      <c r="E1496" s="484" t="inlineStr">
        <is>
          <t>6120004</t>
        </is>
      </c>
      <c r="F1496" s="551" t="n"/>
      <c r="G1496" s="484" t="inlineStr">
        <is>
          <t>(V)胺基酸點滴250ml/ 袋(安命活源/嘉安命)，20倍數叫貨</t>
        </is>
      </c>
      <c r="H1496" s="552" t="n"/>
      <c r="I1496" s="552" t="n"/>
      <c r="J1496" s="551" t="n"/>
      <c r="K1496" s="140" t="inlineStr">
        <is>
          <t>(20瓶/箱)</t>
        </is>
      </c>
      <c r="L1496" s="560" t="n">
        <v>4</v>
      </c>
      <c r="M1496" s="123" t="n"/>
    </row>
    <row r="1497" ht="17.25" customHeight="1" s="453" thickBot="1">
      <c r="A1497" s="553">
        <f>IFERROR(LEFT(B1497,7),"")</f>
        <v/>
      </c>
      <c r="B1497" s="554">
        <f>"2026/02"&amp;D1497</f>
        <v/>
      </c>
      <c r="C1497" s="559" t="n">
        <v>189</v>
      </c>
      <c r="D1497" s="484" t="inlineStr">
        <is>
          <t>忠孝健康7樓</t>
        </is>
      </c>
      <c r="E1497" s="484" t="inlineStr">
        <is>
          <t>6120006</t>
        </is>
      </c>
      <c r="F1497" s="551" t="n"/>
      <c r="G1497" s="484" t="inlineStr">
        <is>
          <t>(V)(B12) 愛壽命 2mL，100倍數叫貨</t>
        </is>
      </c>
      <c r="H1497" s="552" t="n"/>
      <c r="I1497" s="552" t="n"/>
      <c r="J1497" s="551" t="n"/>
      <c r="K1497" s="140" t="inlineStr">
        <is>
          <t>(100支/盒)</t>
        </is>
      </c>
      <c r="L1497" s="560" t="n">
        <v>4</v>
      </c>
      <c r="M1497" s="123" t="n"/>
    </row>
    <row r="1498" ht="17.25" customHeight="1" s="453" thickBot="1">
      <c r="A1498" s="553">
        <f>IFERROR(LEFT(B1498,7),"")</f>
        <v/>
      </c>
      <c r="B1498" s="554">
        <f>"2026/02"&amp;D1498</f>
        <v/>
      </c>
      <c r="C1498" s="559" t="n">
        <v>190</v>
      </c>
      <c r="D1498" s="484" t="inlineStr">
        <is>
          <t>忠孝健康7樓</t>
        </is>
      </c>
      <c r="E1498" s="484" t="inlineStr">
        <is>
          <t>6120015</t>
        </is>
      </c>
      <c r="F1498" s="551" t="n"/>
      <c r="G1498" s="484" t="inlineStr">
        <is>
          <t>(V)(B群)淘能美複合維他命B 2ml，100倍數叫貨</t>
        </is>
      </c>
      <c r="H1498" s="552" t="n"/>
      <c r="I1498" s="552" t="n"/>
      <c r="J1498" s="551" t="n"/>
      <c r="K1498" s="140" t="n"/>
      <c r="L1498" s="560" t="n">
        <v>4</v>
      </c>
      <c r="M1498" s="123" t="n"/>
    </row>
    <row r="1499" ht="17.25" customHeight="1" s="453" thickBot="1">
      <c r="A1499" s="553">
        <f>IFERROR(LEFT(B1499,7),"")</f>
        <v/>
      </c>
      <c r="B1499" s="554">
        <f>"2026/02"&amp;D1499</f>
        <v/>
      </c>
      <c r="C1499" s="559" t="n">
        <v>191</v>
      </c>
      <c r="D1499" s="484" t="inlineStr">
        <is>
          <t>忠孝健康7樓</t>
        </is>
      </c>
      <c r="E1499" s="484" t="inlineStr">
        <is>
          <t>6120016</t>
        </is>
      </c>
      <c r="F1499" s="551" t="n"/>
      <c r="G1499" s="484" t="inlineStr">
        <is>
          <t>(V)(榖胱肝肽) 克樂達養200mg (20ml/瓶)</t>
        </is>
      </c>
      <c r="H1499" s="552" t="n"/>
      <c r="I1499" s="552" t="n"/>
      <c r="J1499" s="551" t="n"/>
      <c r="K1499" s="140" t="inlineStr">
        <is>
          <t>50支/盒</t>
        </is>
      </c>
      <c r="L1499" s="560" t="n">
        <v>4</v>
      </c>
      <c r="M1499" s="123" t="n"/>
    </row>
    <row r="1500" ht="17.25" customHeight="1" s="453" thickBot="1">
      <c r="A1500" s="553">
        <f>IFERROR(LEFT(B1500,7),"")</f>
        <v/>
      </c>
      <c r="B1500" s="554">
        <f>"2026/02"&amp;D1500</f>
        <v/>
      </c>
      <c r="C1500" s="559" t="n">
        <v>192</v>
      </c>
      <c r="D1500" s="484" t="inlineStr">
        <is>
          <t>忠孝健康7樓</t>
        </is>
      </c>
      <c r="E1500" s="484" t="inlineStr">
        <is>
          <t>6120018</t>
        </is>
      </c>
      <c r="F1500" s="551" t="n"/>
      <c r="G1500" s="484" t="inlineStr">
        <is>
          <t>(V)(傳明酸)止血明 5ml/支</t>
        </is>
      </c>
      <c r="H1500" s="552" t="n"/>
      <c r="I1500" s="552" t="n"/>
      <c r="J1500" s="551" t="n"/>
      <c r="K1500" s="140" t="inlineStr">
        <is>
          <t>50支/盒</t>
        </is>
      </c>
      <c r="L1500" s="560" t="n">
        <v>10</v>
      </c>
      <c r="M1500" s="123" t="n"/>
    </row>
    <row r="1501" ht="17.25" customHeight="1" s="453" thickBot="1">
      <c r="A1501" s="553">
        <f>IFERROR(LEFT(B1501,7),"")</f>
        <v/>
      </c>
      <c r="B1501" s="554">
        <f>"2026/02"&amp;D1501</f>
        <v/>
      </c>
      <c r="C1501" s="559" t="n">
        <v>193</v>
      </c>
      <c r="D1501" s="484" t="inlineStr">
        <is>
          <t>忠孝健康7樓</t>
        </is>
      </c>
      <c r="E1501" s="484" t="inlineStr">
        <is>
          <t>6120020</t>
        </is>
      </c>
      <c r="F1501" s="551" t="n"/>
      <c r="G1501" s="484" t="inlineStr">
        <is>
          <t>(V)(Vit C) 抗壞血酸 2mL，100倍數下單</t>
        </is>
      </c>
      <c r="H1501" s="552" t="n"/>
      <c r="I1501" s="552" t="n"/>
      <c r="J1501" s="551" t="n"/>
      <c r="K1501" s="140" t="inlineStr">
        <is>
          <t>100支/盒</t>
        </is>
      </c>
      <c r="L1501" s="560" t="n">
        <v>17</v>
      </c>
      <c r="M1501" s="123" t="n"/>
    </row>
    <row r="1502" ht="17.25" customHeight="1" s="453" thickBot="1">
      <c r="A1502" s="553">
        <f>IFERROR(LEFT(B1502,7),"")</f>
        <v/>
      </c>
      <c r="B1502" s="554">
        <f>"2026/02"&amp;D1502</f>
        <v/>
      </c>
      <c r="C1502" s="559" t="n">
        <v>194</v>
      </c>
      <c r="D1502" s="484" t="inlineStr">
        <is>
          <t>忠孝健康7樓</t>
        </is>
      </c>
      <c r="E1502" s="484" t="inlineStr">
        <is>
          <t>6120021</t>
        </is>
      </c>
      <c r="F1502" s="551" t="n"/>
      <c r="G1502" s="484" t="inlineStr">
        <is>
          <t>(V)(Vit C)(抗壞血酸/諾貝爾)20ml，50倍數下單</t>
        </is>
      </c>
      <c r="H1502" s="552" t="n"/>
      <c r="I1502" s="552" t="n"/>
      <c r="J1502" s="551" t="n"/>
      <c r="K1502" s="140" t="inlineStr">
        <is>
          <t>50支/盒</t>
        </is>
      </c>
      <c r="L1502" s="560" t="n">
        <v>9</v>
      </c>
      <c r="M1502" s="123" t="n"/>
    </row>
    <row r="1503" ht="17.25" customHeight="1" s="453" thickBot="1">
      <c r="A1503" s="553">
        <f>IFERROR(LEFT(B1503,7),"")</f>
        <v/>
      </c>
      <c r="B1503" s="554">
        <f>"2026/02"&amp;D1503</f>
        <v/>
      </c>
      <c r="C1503" s="559" t="n">
        <v>195</v>
      </c>
      <c r="D1503" s="484" t="inlineStr">
        <is>
          <t>忠孝健康7樓</t>
        </is>
      </c>
      <c r="E1503" s="484" t="inlineStr">
        <is>
          <t>6120036</t>
        </is>
      </c>
      <c r="F1503" s="551" t="n"/>
      <c r="G1503" s="484" t="inlineStr">
        <is>
          <t>(V)貝力多(雙胜胺) 20% 50mL/ 瓶，50倍數下單</t>
        </is>
      </c>
      <c r="H1503" s="552" t="n"/>
      <c r="I1503" s="552" t="n"/>
      <c r="J1503" s="551" t="n"/>
      <c r="K1503" s="140" t="inlineStr">
        <is>
          <t>瓶(10瓶/盒)</t>
        </is>
      </c>
      <c r="L1503" s="560" t="n">
        <v>4</v>
      </c>
      <c r="M1503" s="123" t="n"/>
    </row>
    <row r="1504" ht="17.25" customHeight="1" s="453" thickBot="1">
      <c r="A1504" s="553">
        <f>IFERROR(LEFT(B1504,7),"")</f>
        <v/>
      </c>
      <c r="B1504" s="554">
        <f>"2026/02"&amp;D1504</f>
        <v/>
      </c>
      <c r="C1504" s="559" t="n">
        <v>196</v>
      </c>
      <c r="D1504" s="484" t="inlineStr">
        <is>
          <t>忠孝健康7樓</t>
        </is>
      </c>
      <c r="E1504" s="484" t="inlineStr">
        <is>
          <t>6140001</t>
        </is>
      </c>
      <c r="F1504" s="551" t="n"/>
      <c r="G1504" s="484" t="inlineStr">
        <is>
          <t>(V)保妥適Botox/ u，100倍數下單</t>
        </is>
      </c>
      <c r="H1504" s="552" t="n"/>
      <c r="I1504" s="552" t="n"/>
      <c r="J1504" s="551" t="n"/>
      <c r="K1504" s="140" t="inlineStr">
        <is>
          <t>100U/瓶</t>
        </is>
      </c>
      <c r="L1504" s="560" t="n">
        <v>399</v>
      </c>
      <c r="M1504" s="123" t="n"/>
    </row>
    <row r="1505" ht="17.25" customHeight="1" s="453" thickBot="1">
      <c r="A1505" s="553">
        <f>IFERROR(LEFT(B1505,7),"")</f>
        <v/>
      </c>
      <c r="B1505" s="554">
        <f>"2026/02"&amp;D1505</f>
        <v/>
      </c>
      <c r="C1505" s="559" t="n">
        <v>197</v>
      </c>
      <c r="D1505" s="484" t="inlineStr">
        <is>
          <t>忠孝健康7樓</t>
        </is>
      </c>
      <c r="E1505" s="484" t="inlineStr">
        <is>
          <t>6140003</t>
        </is>
      </c>
      <c r="F1505" s="551" t="n"/>
      <c r="G1505" s="484" t="inlineStr">
        <is>
          <t>(V)保提拉肉毒Letybo/ u，3200倍數下單</t>
        </is>
      </c>
      <c r="H1505" s="552" t="n"/>
      <c r="I1505" s="552" t="n"/>
      <c r="J1505" s="551" t="n"/>
      <c r="K1505" s="140" t="inlineStr">
        <is>
          <t>200U/瓶</t>
        </is>
      </c>
      <c r="L1505" s="560" t="n">
        <v>583</v>
      </c>
      <c r="M1505" s="123" t="n"/>
    </row>
    <row r="1506" ht="17.25" customHeight="1" s="453" thickBot="1">
      <c r="A1506" s="553">
        <f>IFERROR(LEFT(B1506,7),"")</f>
        <v/>
      </c>
      <c r="B1506" s="554">
        <f>"2026/02"&amp;D1506</f>
        <v/>
      </c>
      <c r="C1506" s="559" t="n">
        <v>198</v>
      </c>
      <c r="D1506" s="484" t="inlineStr">
        <is>
          <t>忠孝健康7樓</t>
        </is>
      </c>
      <c r="E1506" s="484" t="inlineStr">
        <is>
          <t>6140005</t>
        </is>
      </c>
      <c r="F1506" s="551" t="n"/>
      <c r="G1506" s="484" t="inlineStr">
        <is>
          <t>(V)奇肌肉毒/ u，200倍數下單</t>
        </is>
      </c>
      <c r="H1506" s="552" t="n"/>
      <c r="I1506" s="552" t="n"/>
      <c r="J1506" s="551" t="n"/>
      <c r="K1506" s="140" t="inlineStr">
        <is>
          <t>200U/瓶</t>
        </is>
      </c>
      <c r="L1506" s="560" t="n">
        <v>10</v>
      </c>
      <c r="M1506" s="123" t="n"/>
    </row>
    <row r="1507" ht="17.25" customHeight="1" s="453" thickBot="1">
      <c r="A1507" s="553">
        <f>IFERROR(LEFT(B1507,7),"")</f>
        <v/>
      </c>
      <c r="B1507" s="554">
        <f>"2026/02"&amp;D1507</f>
        <v/>
      </c>
      <c r="C1507" s="559" t="n">
        <v>199</v>
      </c>
      <c r="D1507" s="484" t="inlineStr">
        <is>
          <t>忠孝健康7樓</t>
        </is>
      </c>
      <c r="E1507" s="484" t="inlineStr">
        <is>
          <t>6150001</t>
        </is>
      </c>
      <c r="F1507" s="551" t="n"/>
      <c r="G1507" s="484" t="inlineStr">
        <is>
          <t>(V)喬雅登-豐麗緹玻尿酸植入物Voluma 1ml</t>
        </is>
      </c>
      <c r="H1507" s="552" t="n"/>
      <c r="I1507" s="552" t="n"/>
      <c r="J1507" s="551" t="n"/>
      <c r="K1507" s="140" t="inlineStr">
        <is>
          <t>1ml(2ml/盒)</t>
        </is>
      </c>
      <c r="L1507" s="560" t="n">
        <v>14</v>
      </c>
      <c r="M1507" s="123" t="n"/>
    </row>
    <row r="1508" ht="17.25" customHeight="1" s="453" thickBot="1">
      <c r="A1508" s="553">
        <f>IFERROR(LEFT(B1508,7),"")</f>
        <v/>
      </c>
      <c r="B1508" s="554">
        <f>"2026/02"&amp;D1508</f>
        <v/>
      </c>
      <c r="C1508" s="559" t="n">
        <v>200</v>
      </c>
      <c r="D1508" s="484" t="inlineStr">
        <is>
          <t>忠孝健康7樓</t>
        </is>
      </c>
      <c r="E1508" s="484" t="inlineStr">
        <is>
          <t>6150004</t>
        </is>
      </c>
      <c r="F1508" s="551" t="n"/>
      <c r="G1508" s="484" t="inlineStr">
        <is>
          <t>(V)喬雅登-豐塑玻尿酸植入物Volux 1ml</t>
        </is>
      </c>
      <c r="H1508" s="552" t="n"/>
      <c r="I1508" s="552" t="n"/>
      <c r="J1508" s="551" t="n"/>
      <c r="K1508" s="140" t="inlineStr">
        <is>
          <t>1ml(2ml/盒)</t>
        </is>
      </c>
      <c r="L1508" s="560" t="n">
        <v>2</v>
      </c>
      <c r="M1508" s="123" t="n"/>
    </row>
    <row r="1509" ht="17.25" customHeight="1" s="453" thickBot="1">
      <c r="A1509" s="553">
        <f>IFERROR(LEFT(B1509,7),"")</f>
        <v/>
      </c>
      <c r="B1509" s="554">
        <f>"2026/02"&amp;D1509</f>
        <v/>
      </c>
      <c r="C1509" s="559" t="n">
        <v>201</v>
      </c>
      <c r="D1509" s="484" t="inlineStr">
        <is>
          <t>忠孝健康7樓</t>
        </is>
      </c>
      <c r="E1509" s="484" t="inlineStr">
        <is>
          <t>6150010</t>
        </is>
      </c>
      <c r="F1509" s="551" t="n"/>
      <c r="G1509" s="484" t="inlineStr">
        <is>
          <t>(V)仙女玻尿酸大分子 1ml</t>
        </is>
      </c>
      <c r="H1509" s="552" t="n"/>
      <c r="I1509" s="552" t="n"/>
      <c r="J1509" s="551" t="n"/>
      <c r="K1509" s="140" t="inlineStr">
        <is>
          <t>1ml(1ml/盒)</t>
        </is>
      </c>
      <c r="L1509" s="560" t="n">
        <v>5</v>
      </c>
      <c r="M1509" s="123" t="n"/>
    </row>
    <row r="1510" ht="17.25" customHeight="1" s="453" thickBot="1">
      <c r="A1510" s="553">
        <f>IFERROR(LEFT(B1510,7),"")</f>
        <v/>
      </c>
      <c r="B1510" s="554">
        <f>"2026/02"&amp;D1510</f>
        <v/>
      </c>
      <c r="C1510" s="559" t="n">
        <v>202</v>
      </c>
      <c r="D1510" s="484" t="inlineStr">
        <is>
          <t>忠孝健康7樓</t>
        </is>
      </c>
      <c r="E1510" s="484" t="inlineStr">
        <is>
          <t>6160002</t>
        </is>
      </c>
      <c r="F1510" s="551" t="n"/>
      <c r="G1510" s="484" t="inlineStr">
        <is>
          <t>(V)洢蓮絲植入劑ELLANSÉ-S 1ml</t>
        </is>
      </c>
      <c r="H1510" s="552" t="n"/>
      <c r="I1510" s="552" t="n"/>
      <c r="J1510" s="551" t="n"/>
      <c r="K1510" s="140" t="inlineStr">
        <is>
          <t>1ml(2ml/盒)</t>
        </is>
      </c>
      <c r="L1510" s="560" t="n">
        <v>4</v>
      </c>
      <c r="M1510" s="123" t="n"/>
    </row>
    <row r="1511" ht="17.25" customHeight="1" s="453" thickBot="1">
      <c r="A1511" s="553">
        <f>IFERROR(LEFT(B1511,7),"")</f>
        <v/>
      </c>
      <c r="B1511" s="554">
        <f>"2026/02"&amp;D1511</f>
        <v/>
      </c>
      <c r="C1511" s="559" t="n">
        <v>203</v>
      </c>
      <c r="D1511" s="484" t="inlineStr">
        <is>
          <t>忠孝健康7樓</t>
        </is>
      </c>
      <c r="E1511" s="484" t="inlineStr">
        <is>
          <t>6160010</t>
        </is>
      </c>
      <c r="F1511" s="551" t="n"/>
      <c r="G1511" s="484" t="inlineStr">
        <is>
          <t>喬雅露-大分子200mg/1cc</t>
        </is>
      </c>
      <c r="H1511" s="552" t="n"/>
      <c r="I1511" s="552" t="n"/>
      <c r="J1511" s="551" t="n"/>
      <c r="K1511" s="140" t="inlineStr">
        <is>
          <t>8cc/瓶</t>
        </is>
      </c>
      <c r="L1511" s="560" t="n">
        <v>13</v>
      </c>
      <c r="M1511" s="123" t="n"/>
    </row>
    <row r="1512" ht="17.25" customHeight="1" s="453" thickBot="1">
      <c r="A1512" s="553">
        <f>IFERROR(LEFT(B1512,7),"")</f>
        <v/>
      </c>
      <c r="B1512" s="554">
        <f>"2026/02"&amp;D1512</f>
        <v/>
      </c>
      <c r="C1512" s="559" t="n">
        <v>204</v>
      </c>
      <c r="D1512" s="484" t="inlineStr">
        <is>
          <t>忠孝健康7樓</t>
        </is>
      </c>
      <c r="E1512" s="484" t="inlineStr">
        <is>
          <t>6160011</t>
        </is>
      </c>
      <c r="F1512" s="551" t="n"/>
      <c r="G1512" s="484" t="inlineStr">
        <is>
          <t>喬雅露-小分子50mg/1cc</t>
        </is>
      </c>
      <c r="H1512" s="552" t="n"/>
      <c r="I1512" s="552" t="n"/>
      <c r="J1512" s="551" t="n"/>
      <c r="K1512" s="140" t="inlineStr">
        <is>
          <t>6cc/瓶</t>
        </is>
      </c>
      <c r="L1512" s="560" t="n">
        <v>51</v>
      </c>
      <c r="M1512" s="123" t="n"/>
    </row>
    <row r="1513" ht="17.25" customHeight="1" s="453" thickBot="1">
      <c r="A1513" s="553">
        <f>IFERROR(LEFT(B1513,7),"")</f>
        <v/>
      </c>
      <c r="B1513" s="554">
        <f>"2026/02"&amp;D1513</f>
        <v/>
      </c>
      <c r="C1513" s="559" t="n">
        <v>205</v>
      </c>
      <c r="D1513" s="484" t="inlineStr">
        <is>
          <t>忠孝健康7樓</t>
        </is>
      </c>
      <c r="E1513" s="484" t="inlineStr">
        <is>
          <t>6170005</t>
        </is>
      </c>
      <c r="F1513" s="551" t="n"/>
      <c r="G1513" s="484" t="inlineStr">
        <is>
          <t>海芙三代音波探頭2mm/ 條</t>
        </is>
      </c>
      <c r="H1513" s="552" t="n"/>
      <c r="I1513" s="552" t="n"/>
      <c r="J1513" s="551" t="n"/>
      <c r="K1513" s="140" t="inlineStr">
        <is>
          <t>20000條/顆</t>
        </is>
      </c>
      <c r="L1513" s="560" t="n">
        <v>1169</v>
      </c>
      <c r="M1513" s="123" t="n"/>
    </row>
    <row r="1514" ht="17.25" customHeight="1" s="453" thickBot="1">
      <c r="A1514" s="553">
        <f>IFERROR(LEFT(B1514,7),"")</f>
        <v/>
      </c>
      <c r="B1514" s="554">
        <f>"2026/02"&amp;D1514</f>
        <v/>
      </c>
      <c r="C1514" s="559" t="n">
        <v>206</v>
      </c>
      <c r="D1514" s="484" t="inlineStr">
        <is>
          <t>忠孝健康7樓</t>
        </is>
      </c>
      <c r="E1514" s="484" t="inlineStr">
        <is>
          <t>6170007</t>
        </is>
      </c>
      <c r="F1514" s="551" t="n"/>
      <c r="G1514" s="484" t="inlineStr">
        <is>
          <t>海芙三代音波探頭3mm/ 條</t>
        </is>
      </c>
      <c r="H1514" s="552" t="n"/>
      <c r="I1514" s="552" t="n"/>
      <c r="J1514" s="551" t="n"/>
      <c r="K1514" s="140" t="inlineStr">
        <is>
          <t>20000條/顆</t>
        </is>
      </c>
      <c r="L1514" s="560" t="n">
        <v>3555</v>
      </c>
      <c r="M1514" s="123" t="n"/>
    </row>
    <row r="1515" ht="17.25" customHeight="1" s="453" thickBot="1">
      <c r="A1515" s="553">
        <f>IFERROR(LEFT(B1515,7),"")</f>
        <v/>
      </c>
      <c r="B1515" s="554">
        <f>"2026/02"&amp;D1515</f>
        <v/>
      </c>
      <c r="C1515" s="559" t="n">
        <v>207</v>
      </c>
      <c r="D1515" s="484" t="inlineStr">
        <is>
          <t>忠孝健康7樓</t>
        </is>
      </c>
      <c r="E1515" s="484" t="inlineStr">
        <is>
          <t>6170009</t>
        </is>
      </c>
      <c r="F1515" s="551" t="n"/>
      <c r="G1515" s="484" t="inlineStr">
        <is>
          <t>海芙三代音波探頭4.5mm/ 條</t>
        </is>
      </c>
      <c r="H1515" s="552" t="n"/>
      <c r="I1515" s="552" t="n"/>
      <c r="J1515" s="551" t="n"/>
      <c r="K1515" s="140" t="inlineStr">
        <is>
          <t>20000條/顆</t>
        </is>
      </c>
      <c r="L1515" s="560" t="n">
        <v>4857</v>
      </c>
      <c r="M1515" s="123" t="n"/>
    </row>
    <row r="1516" ht="17.25" customHeight="1" s="453" thickBot="1">
      <c r="A1516" s="553">
        <f>IFERROR(LEFT(B1516,7),"")</f>
        <v/>
      </c>
      <c r="B1516" s="554">
        <f>"2026/02"&amp;D1516</f>
        <v/>
      </c>
      <c r="C1516" s="559" t="n">
        <v>208</v>
      </c>
      <c r="D1516" s="484" t="inlineStr">
        <is>
          <t>忠孝健康7樓</t>
        </is>
      </c>
      <c r="E1516" s="484" t="inlineStr">
        <is>
          <t>6170011</t>
        </is>
      </c>
      <c r="F1516" s="551" t="n"/>
      <c r="G1516" s="484" t="inlineStr">
        <is>
          <t>海芙三代音波探頭6mm/ 條</t>
        </is>
      </c>
      <c r="H1516" s="552" t="n"/>
      <c r="I1516" s="552" t="n"/>
      <c r="J1516" s="551" t="n"/>
      <c r="K1516" s="140" t="inlineStr">
        <is>
          <t>30,000條/顆</t>
        </is>
      </c>
      <c r="L1516" s="560" t="n">
        <v>1420</v>
      </c>
      <c r="M1516" s="123" t="n"/>
    </row>
    <row r="1517" ht="17.25" customHeight="1" s="453" thickBot="1">
      <c r="A1517" s="553">
        <f>IFERROR(LEFT(B1517,7),"")</f>
        <v/>
      </c>
      <c r="B1517" s="554">
        <f>"2026/02"&amp;D1517</f>
        <v/>
      </c>
      <c r="C1517" s="559" t="n">
        <v>209</v>
      </c>
      <c r="D1517" s="484" t="inlineStr">
        <is>
          <t>忠孝健康7樓</t>
        </is>
      </c>
      <c r="E1517" s="484" t="inlineStr">
        <is>
          <t>6170013</t>
        </is>
      </c>
      <c r="F1517" s="551" t="n"/>
      <c r="G1517" s="484" t="inlineStr">
        <is>
          <t>鳳凰電波4平方公分紫鑽探頭(900發)</t>
        </is>
      </c>
      <c r="H1517" s="552" t="n"/>
      <c r="I1517" s="552" t="n"/>
      <c r="J1517" s="551" t="n"/>
      <c r="K1517" s="140" t="inlineStr">
        <is>
          <t>顆</t>
        </is>
      </c>
      <c r="L1517" s="560" t="n">
        <v>2</v>
      </c>
      <c r="M1517" s="123" t="n"/>
    </row>
    <row r="1518" ht="17.25" customHeight="1" s="453" thickBot="1">
      <c r="A1518" s="553">
        <f>IFERROR(LEFT(B1518,7),"")</f>
        <v/>
      </c>
      <c r="B1518" s="554">
        <f>"2026/02"&amp;D1518</f>
        <v/>
      </c>
      <c r="C1518" s="559" t="n">
        <v>210</v>
      </c>
      <c r="D1518" s="484" t="inlineStr">
        <is>
          <t>忠孝健康7樓</t>
        </is>
      </c>
      <c r="E1518" s="484" t="inlineStr">
        <is>
          <t>6170020</t>
        </is>
      </c>
      <c r="F1518" s="551" t="n"/>
      <c r="G1518" s="484" t="inlineStr">
        <is>
          <t>媚必提直線探頭3.0mm/條</t>
        </is>
      </c>
      <c r="H1518" s="552" t="n"/>
      <c r="I1518" s="552" t="n"/>
      <c r="J1518" s="551" t="n"/>
      <c r="K1518" s="140" t="inlineStr">
        <is>
          <t>20000條/顆</t>
        </is>
      </c>
      <c r="L1518" s="560" t="n">
        <v>1301</v>
      </c>
      <c r="M1518" s="123" t="n"/>
    </row>
    <row r="1519" ht="17.25" customHeight="1" s="453" thickBot="1">
      <c r="A1519" s="553">
        <f>IFERROR(LEFT(B1519,7),"")</f>
        <v/>
      </c>
      <c r="B1519" s="554">
        <f>"2026/02"&amp;D1519</f>
        <v/>
      </c>
      <c r="C1519" s="559" t="n">
        <v>211</v>
      </c>
      <c r="D1519" s="484" t="inlineStr">
        <is>
          <t>忠孝健康7樓</t>
        </is>
      </c>
      <c r="E1519" s="484" t="inlineStr">
        <is>
          <t>6170021</t>
        </is>
      </c>
      <c r="F1519" s="551" t="n"/>
      <c r="G1519" s="484" t="inlineStr">
        <is>
          <t>媚必提直線探頭4.5mm/條</t>
        </is>
      </c>
      <c r="H1519" s="552" t="n"/>
      <c r="I1519" s="552" t="n"/>
      <c r="J1519" s="551" t="n"/>
      <c r="K1519" s="140" t="inlineStr">
        <is>
          <t>20000條/顆</t>
        </is>
      </c>
      <c r="L1519" s="560" t="n">
        <v>5799</v>
      </c>
      <c r="M1519" s="123" t="n"/>
    </row>
    <row r="1520" ht="17.25" customHeight="1" s="453" thickBot="1">
      <c r="A1520" s="553">
        <f>IFERROR(LEFT(B1520,7),"")</f>
        <v/>
      </c>
      <c r="B1520" s="554">
        <f>"2026/02"&amp;D1520</f>
        <v/>
      </c>
      <c r="C1520" s="559" t="n">
        <v>212</v>
      </c>
      <c r="D1520" s="484" t="inlineStr">
        <is>
          <t>忠孝健康7樓</t>
        </is>
      </c>
      <c r="E1520" s="484" t="inlineStr">
        <is>
          <t>6170022</t>
        </is>
      </c>
      <c r="F1520" s="551" t="n"/>
      <c r="G1520" s="484" t="inlineStr">
        <is>
          <t>媚必提直線探頭6.0mm/條</t>
        </is>
      </c>
      <c r="H1520" s="552" t="n"/>
      <c r="I1520" s="552" t="n"/>
      <c r="J1520" s="551" t="n"/>
      <c r="K1520" s="140" t="inlineStr">
        <is>
          <t>20000條/顆</t>
        </is>
      </c>
      <c r="L1520" s="560" t="n">
        <v>1600</v>
      </c>
      <c r="M1520" s="123" t="n"/>
    </row>
    <row r="1521" ht="17.25" customHeight="1" s="453" thickBot="1">
      <c r="A1521" s="553">
        <f>IFERROR(LEFT(B1521,7),"")</f>
        <v/>
      </c>
      <c r="B1521" s="554">
        <f>"2026/02"&amp;D1521</f>
        <v/>
      </c>
      <c r="C1521" s="559" t="n">
        <v>213</v>
      </c>
      <c r="D1521" s="484" t="inlineStr">
        <is>
          <t>忠孝健康7樓</t>
        </is>
      </c>
      <c r="E1521" s="484" t="inlineStr">
        <is>
          <t>6170028</t>
        </is>
      </c>
      <c r="F1521" s="551" t="n"/>
      <c r="G1521" s="484" t="inlineStr">
        <is>
          <t>海芙電波探頭0.25cm/發</t>
        </is>
      </c>
      <c r="H1521" s="552" t="n"/>
      <c r="I1521" s="552" t="n"/>
      <c r="J1521" s="551" t="n"/>
      <c r="K1521" s="140" t="inlineStr">
        <is>
          <t>6000發/顆</t>
        </is>
      </c>
      <c r="L1521" s="560" t="n">
        <v>600</v>
      </c>
      <c r="M1521" s="123" t="n"/>
    </row>
    <row r="1522" ht="17.25" customHeight="1" s="453" thickBot="1">
      <c r="A1522" s="553">
        <f>IFERROR(LEFT(B1522,7),"")</f>
        <v/>
      </c>
      <c r="B1522" s="554">
        <f>"2026/02"&amp;D1522</f>
        <v/>
      </c>
      <c r="C1522" s="559" t="n">
        <v>214</v>
      </c>
      <c r="D1522" s="484" t="inlineStr">
        <is>
          <t>忠孝健康7樓</t>
        </is>
      </c>
      <c r="E1522" s="484" t="inlineStr">
        <is>
          <t>6170030</t>
        </is>
      </c>
      <c r="F1522" s="551" t="n"/>
      <c r="G1522" s="484" t="inlineStr">
        <is>
          <t>海芙電波探頭4.0cm/發</t>
        </is>
      </c>
      <c r="H1522" s="552" t="n"/>
      <c r="I1522" s="552" t="n"/>
      <c r="J1522" s="551" t="n"/>
      <c r="K1522" s="140" t="inlineStr">
        <is>
          <t>3000發/顆</t>
        </is>
      </c>
      <c r="L1522" s="560" t="n">
        <v>2400</v>
      </c>
      <c r="M1522" s="123" t="n"/>
    </row>
    <row r="1523" ht="17.25" customHeight="1" s="453" thickBot="1">
      <c r="A1523" s="553">
        <f>IFERROR(LEFT(B1523,7),"")</f>
        <v/>
      </c>
      <c r="B1523" s="554">
        <f>"2026/02"&amp;D1523</f>
        <v/>
      </c>
      <c r="C1523" s="559" t="n">
        <v>215</v>
      </c>
      <c r="D1523" s="484" t="inlineStr">
        <is>
          <t>忠孝健康7樓</t>
        </is>
      </c>
      <c r="E1523" s="484" t="inlineStr">
        <is>
          <t>6170032</t>
        </is>
      </c>
      <c r="F1523" s="551" t="n"/>
      <c r="G1523" s="484" t="inlineStr">
        <is>
          <t>立特拉A2筆型探頭3.0mm/ 條</t>
        </is>
      </c>
      <c r="H1523" s="552" t="n"/>
      <c r="I1523" s="552" t="n"/>
      <c r="J1523" s="551" t="n"/>
      <c r="K1523" s="140" t="inlineStr">
        <is>
          <t>240000條/顆</t>
        </is>
      </c>
      <c r="L1523" s="560" t="n">
        <v>18000</v>
      </c>
      <c r="M1523" s="123" t="n"/>
    </row>
    <row r="1524" ht="17.25" customHeight="1" s="453" thickBot="1">
      <c r="A1524" s="553">
        <f>IFERROR(LEFT(B1524,7),"")</f>
        <v/>
      </c>
      <c r="B1524" s="554">
        <f>"2026/02"&amp;D1524</f>
        <v/>
      </c>
      <c r="C1524" s="559" t="n">
        <v>216</v>
      </c>
      <c r="D1524" s="484" t="inlineStr">
        <is>
          <t>忠孝健康7樓</t>
        </is>
      </c>
      <c r="E1524" s="484" t="inlineStr">
        <is>
          <t>6170033</t>
        </is>
      </c>
      <c r="F1524" s="551" t="n"/>
      <c r="G1524" s="484" t="inlineStr">
        <is>
          <t>立特拉A2筆型探頭4.5mm/ 條</t>
        </is>
      </c>
      <c r="H1524" s="552" t="n"/>
      <c r="I1524" s="552" t="n"/>
      <c r="J1524" s="551" t="n"/>
      <c r="K1524" s="140" t="inlineStr">
        <is>
          <t>240000條/顆</t>
        </is>
      </c>
      <c r="L1524" s="560" t="n">
        <v>4010</v>
      </c>
      <c r="M1524" s="123" t="n"/>
    </row>
    <row r="1525" ht="17.25" customHeight="1" s="453" thickBot="1">
      <c r="A1525" s="553">
        <f>IFERROR(LEFT(B1525,7),"")</f>
        <v/>
      </c>
      <c r="B1525" s="554">
        <f>"2026/02"&amp;D1525</f>
        <v/>
      </c>
      <c r="C1525" s="559" t="n">
        <v>217</v>
      </c>
      <c r="D1525" s="484" t="inlineStr">
        <is>
          <t>忠孝健康7樓</t>
        </is>
      </c>
      <c r="E1525" s="484" t="inlineStr">
        <is>
          <t>6170034</t>
        </is>
      </c>
      <c r="F1525" s="551" t="n"/>
      <c r="G1525" s="484" t="inlineStr">
        <is>
          <t>十蓓電波臉部探頭5cm</t>
        </is>
      </c>
      <c r="H1525" s="552" t="n"/>
      <c r="I1525" s="552" t="n"/>
      <c r="J1525" s="551" t="n"/>
      <c r="K1525" s="140" t="inlineStr">
        <is>
          <t>900發/顆</t>
        </is>
      </c>
      <c r="L1525" s="560" t="n">
        <v>15300</v>
      </c>
      <c r="M1525" s="123" t="n"/>
    </row>
    <row r="1526" ht="17.25" customHeight="1" s="453" thickBot="1">
      <c r="A1526" s="553">
        <f>IFERROR(LEFT(B1526,7),"")</f>
        <v/>
      </c>
      <c r="B1526" s="554">
        <f>"2026/02"&amp;D1526</f>
        <v/>
      </c>
      <c r="C1526" s="559" t="n">
        <v>218</v>
      </c>
      <c r="D1526" s="484" t="inlineStr">
        <is>
          <t>忠孝健康7樓</t>
        </is>
      </c>
      <c r="E1526" s="484" t="inlineStr">
        <is>
          <t>6170035</t>
        </is>
      </c>
      <c r="F1526" s="551" t="n"/>
      <c r="G1526" s="484" t="inlineStr">
        <is>
          <t>十蓓電波眼部探頭0.25cm</t>
        </is>
      </c>
      <c r="H1526" s="552" t="n"/>
      <c r="I1526" s="552" t="n"/>
      <c r="J1526" s="551" t="n"/>
      <c r="K1526" s="140" t="inlineStr">
        <is>
          <t>600發/顆</t>
        </is>
      </c>
      <c r="L1526" s="560" t="n">
        <v>2400</v>
      </c>
      <c r="M1526" s="123" t="n"/>
    </row>
    <row r="1527" ht="17.25" customHeight="1" s="453" thickBot="1">
      <c r="A1527" s="553">
        <f>IFERROR(LEFT(B1527,7),"")</f>
        <v/>
      </c>
      <c r="B1527" s="554">
        <f>"2026/02"&amp;D1527</f>
        <v/>
      </c>
      <c r="C1527" s="559" t="n">
        <v>219</v>
      </c>
      <c r="D1527" s="484" t="inlineStr">
        <is>
          <t>忠孝健康7樓</t>
        </is>
      </c>
      <c r="E1527" s="484" t="inlineStr">
        <is>
          <t>6200003</t>
        </is>
      </c>
      <c r="F1527" s="551" t="n"/>
      <c r="G1527" s="484" t="inlineStr">
        <is>
          <t>(V)倍克脂Belkyra/ 瓶(20的倍數下單)</t>
        </is>
      </c>
      <c r="H1527" s="552" t="n"/>
      <c r="I1527" s="552" t="n"/>
      <c r="J1527" s="551" t="n"/>
      <c r="K1527" s="140" t="inlineStr">
        <is>
          <t>5瓶/盒</t>
        </is>
      </c>
      <c r="L1527" s="560" t="n">
        <v>2</v>
      </c>
      <c r="M1527" s="123" t="n"/>
    </row>
    <row r="1528" ht="17.25" customHeight="1" s="453" thickBot="1">
      <c r="A1528" s="553">
        <f>IFERROR(LEFT(B1528,7),"")</f>
        <v/>
      </c>
      <c r="B1528" s="554">
        <f>"2026/02"&amp;D1528</f>
        <v/>
      </c>
      <c r="C1528" s="559" t="n">
        <v>220</v>
      </c>
      <c r="D1528" s="484" t="inlineStr">
        <is>
          <t>忠孝健康7樓</t>
        </is>
      </c>
      <c r="E1528" s="484" t="inlineStr">
        <is>
          <t>6210002</t>
        </is>
      </c>
      <c r="F1528" s="551" t="n"/>
      <c r="G1528" s="484" t="inlineStr">
        <is>
          <t>(V)水光針針頭/31G9針/1.2mm/ PCS</t>
        </is>
      </c>
      <c r="H1528" s="552" t="n"/>
      <c r="I1528" s="552" t="n"/>
      <c r="J1528" s="551" t="n"/>
      <c r="K1528" s="140" t="inlineStr">
        <is>
          <t>PCS(20入/盒)</t>
        </is>
      </c>
      <c r="L1528" s="560" t="n">
        <v>17</v>
      </c>
      <c r="M1528" s="123" t="n"/>
    </row>
    <row r="1529" ht="17.25" customHeight="1" s="453" thickBot="1">
      <c r="A1529" s="553">
        <f>IFERROR(LEFT(B1529,7),"")</f>
        <v/>
      </c>
      <c r="B1529" s="554">
        <f>"2026/02"&amp;D1529</f>
        <v/>
      </c>
      <c r="C1529" s="559" t="n">
        <v>221</v>
      </c>
      <c r="D1529" s="484" t="inlineStr">
        <is>
          <t>忠孝健康7樓</t>
        </is>
      </c>
      <c r="E1529" s="484" t="inlineStr">
        <is>
          <t>6210008</t>
        </is>
      </c>
      <c r="F1529" s="551" t="n"/>
      <c r="G1529" s="484" t="inlineStr">
        <is>
          <t>微針筆針頭</t>
        </is>
      </c>
      <c r="H1529" s="552" t="n"/>
      <c r="I1529" s="552" t="n"/>
      <c r="J1529" s="551" t="n"/>
      <c r="K1529" s="140" t="inlineStr">
        <is>
          <t>PCS(33入/盒)</t>
        </is>
      </c>
      <c r="L1529" s="560" t="n">
        <v>2</v>
      </c>
      <c r="M1529" s="123" t="n"/>
    </row>
    <row r="1530" ht="17.25" customHeight="1" s="453" thickBot="1">
      <c r="A1530" s="553">
        <f>IFERROR(LEFT(B1530,7),"")</f>
        <v/>
      </c>
      <c r="B1530" s="554">
        <f>"2026/02"&amp;D1530</f>
        <v/>
      </c>
      <c r="C1530" s="559" t="n">
        <v>222</v>
      </c>
      <c r="D1530" s="484" t="inlineStr">
        <is>
          <t>忠孝健康7樓</t>
        </is>
      </c>
      <c r="E1530" s="484" t="inlineStr">
        <is>
          <t>6220005</t>
        </is>
      </c>
      <c r="F1530" s="551" t="n"/>
      <c r="G1530" s="484" t="inlineStr">
        <is>
          <t>海菲秀深藍端頭/ 顆</t>
        </is>
      </c>
      <c r="H1530" s="552" t="n"/>
      <c r="I1530" s="552" t="n"/>
      <c r="J1530" s="551" t="n"/>
      <c r="K1530" s="140" t="inlineStr">
        <is>
          <t>15顆/串</t>
        </is>
      </c>
      <c r="L1530" s="560" t="n">
        <v>44</v>
      </c>
      <c r="M1530" s="123" t="n"/>
    </row>
    <row r="1531" ht="17.25" customHeight="1" s="453" thickBot="1">
      <c r="A1531" s="553">
        <f>IFERROR(LEFT(B1531,7),"")</f>
        <v/>
      </c>
      <c r="B1531" s="554">
        <f>"2026/02"&amp;D1531</f>
        <v/>
      </c>
      <c r="C1531" s="559" t="n">
        <v>223</v>
      </c>
      <c r="D1531" s="484" t="inlineStr">
        <is>
          <t>忠孝健康7樓</t>
        </is>
      </c>
      <c r="E1531" s="484" t="inlineStr">
        <is>
          <t>6220006</t>
        </is>
      </c>
      <c r="F1531" s="551" t="n"/>
      <c r="G1531" s="484" t="inlineStr">
        <is>
          <t>海菲秀淺藍端頭/ 顆</t>
        </is>
      </c>
      <c r="H1531" s="552" t="n"/>
      <c r="I1531" s="552" t="n"/>
      <c r="J1531" s="551" t="n"/>
      <c r="K1531" s="140" t="inlineStr">
        <is>
          <t>15顆/串</t>
        </is>
      </c>
      <c r="L1531" s="560" t="n">
        <v>44</v>
      </c>
      <c r="M1531" s="123" t="n"/>
    </row>
    <row r="1532" ht="17.25" customHeight="1" s="453" thickBot="1">
      <c r="A1532" s="553">
        <f>IFERROR(LEFT(B1532,7),"")</f>
        <v/>
      </c>
      <c r="B1532" s="554">
        <f>"2026/02"&amp;D1532</f>
        <v/>
      </c>
      <c r="C1532" s="559" t="n">
        <v>224</v>
      </c>
      <c r="D1532" s="484" t="inlineStr">
        <is>
          <t>忠孝健康7樓</t>
        </is>
      </c>
      <c r="E1532" s="484" t="inlineStr">
        <is>
          <t>6220007</t>
        </is>
      </c>
      <c r="F1532" s="551" t="n"/>
      <c r="G1532" s="484" t="inlineStr">
        <is>
          <t>海菲秀透明端頭/ 顆</t>
        </is>
      </c>
      <c r="H1532" s="552" t="n"/>
      <c r="I1532" s="552" t="n"/>
      <c r="J1532" s="551" t="n"/>
      <c r="K1532" s="140" t="inlineStr">
        <is>
          <t>15顆/串</t>
        </is>
      </c>
      <c r="L1532" s="560" t="n">
        <v>44</v>
      </c>
      <c r="M1532" s="123" t="n"/>
    </row>
    <row r="1533" ht="17.25" customHeight="1" s="453" thickBot="1">
      <c r="A1533" s="553">
        <f>IFERROR(LEFT(B1533,7),"")</f>
        <v/>
      </c>
      <c r="B1533" s="554">
        <f>"2026/02"&amp;D1533</f>
        <v/>
      </c>
      <c r="C1533" s="559" t="n">
        <v>225</v>
      </c>
      <c r="D1533" s="484" t="inlineStr">
        <is>
          <t>忠孝健康7樓</t>
        </is>
      </c>
      <c r="E1533" s="484" t="inlineStr">
        <is>
          <t>6220012</t>
        </is>
      </c>
      <c r="F1533" s="551" t="n"/>
      <c r="G1533" s="484" t="inlineStr">
        <is>
          <t>(V)(第一劑)海菲秀 Activ-4 Skin Solution/mL</t>
        </is>
      </c>
      <c r="H1533" s="552" t="n"/>
      <c r="I1533" s="552" t="n"/>
      <c r="J1533" s="551" t="n"/>
      <c r="K1533" s="140" t="inlineStr">
        <is>
          <t>236ml/瓶</t>
        </is>
      </c>
      <c r="L1533" s="560" t="n">
        <v>660</v>
      </c>
      <c r="M1533" s="123" t="n"/>
    </row>
    <row r="1534" ht="17.25" customHeight="1" s="453" thickBot="1">
      <c r="A1534" s="553">
        <f>IFERROR(LEFT(B1534,7),"")</f>
        <v/>
      </c>
      <c r="B1534" s="554">
        <f>"2026/02"&amp;D1534</f>
        <v/>
      </c>
      <c r="C1534" s="559" t="n">
        <v>226</v>
      </c>
      <c r="D1534" s="484" t="inlineStr">
        <is>
          <t>忠孝健康7樓</t>
        </is>
      </c>
      <c r="E1534" s="484" t="inlineStr">
        <is>
          <t>6220013</t>
        </is>
      </c>
      <c r="F1534" s="551" t="n"/>
      <c r="G1534" s="484" t="inlineStr">
        <is>
          <t>(V)(第二劑)海菲秀 Beta-HD Skin Solution /mL</t>
        </is>
      </c>
      <c r="H1534" s="552" t="n"/>
      <c r="I1534" s="552" t="n"/>
      <c r="J1534" s="551" t="n"/>
      <c r="K1534" s="140" t="inlineStr">
        <is>
          <t>236ml/瓶</t>
        </is>
      </c>
      <c r="L1534" s="560" t="n">
        <v>660</v>
      </c>
      <c r="M1534" s="123" t="n"/>
    </row>
    <row r="1535" ht="17.25" customHeight="1" s="453" thickBot="1">
      <c r="A1535" s="553">
        <f>IFERROR(LEFT(B1535,7),"")</f>
        <v/>
      </c>
      <c r="B1535" s="554">
        <f>"2026/02"&amp;D1535</f>
        <v/>
      </c>
      <c r="C1535" s="559" t="n">
        <v>227</v>
      </c>
      <c r="D1535" s="484" t="inlineStr">
        <is>
          <t>忠孝健康7樓</t>
        </is>
      </c>
      <c r="E1535" s="484" t="inlineStr">
        <is>
          <t>6220014</t>
        </is>
      </c>
      <c r="F1535" s="551" t="n"/>
      <c r="G1535" s="484" t="inlineStr">
        <is>
          <t>(V)(第三劑)海菲秀 Antiox-6 Skin Solution /mL</t>
        </is>
      </c>
      <c r="H1535" s="552" t="n"/>
      <c r="I1535" s="552" t="n"/>
      <c r="J1535" s="551" t="n"/>
      <c r="K1535" s="140" t="inlineStr">
        <is>
          <t>236ml/瓶</t>
        </is>
      </c>
      <c r="L1535" s="560" t="n">
        <v>660</v>
      </c>
      <c r="M1535" s="123" t="n"/>
    </row>
    <row r="1536" ht="17.25" customHeight="1" s="453" thickBot="1">
      <c r="A1536" s="562">
        <f>IFERROR(LEFT(B1536,7),"")</f>
        <v/>
      </c>
      <c r="B1536" s="563">
        <f>"2026/02"&amp;D1536</f>
        <v/>
      </c>
      <c r="C1536" s="564" t="n">
        <v>228</v>
      </c>
      <c r="D1536" s="485" t="inlineStr">
        <is>
          <t>忠孝健康7樓</t>
        </is>
      </c>
      <c r="E1536" s="485" t="inlineStr">
        <is>
          <t>6220015</t>
        </is>
      </c>
      <c r="F1536" s="565" t="n"/>
      <c r="G1536" s="485" t="inlineStr">
        <is>
          <t>(V)(第四劑)海菲秀 Rinseaway System Cleaning Solution /mL</t>
        </is>
      </c>
      <c r="H1536" s="566" t="n"/>
      <c r="I1536" s="566" t="n"/>
      <c r="J1536" s="565" t="n"/>
      <c r="K1536" s="419" t="inlineStr">
        <is>
          <t>236ml/瓶</t>
        </is>
      </c>
      <c r="L1536" s="567" t="n">
        <v>660</v>
      </c>
      <c r="M1536" s="421" t="n"/>
    </row>
    <row r="1537" ht="17.25" customHeight="1" s="453" thickBot="1">
      <c r="A1537" s="568">
        <f>IFERROR(LEFT(B1537,7),"")</f>
        <v/>
      </c>
      <c r="B1537" s="569">
        <f>"2026/03"&amp;D1537</f>
        <v/>
      </c>
      <c r="C1537" s="559" t="n">
        <v>1</v>
      </c>
      <c r="D1537" s="484" t="inlineStr">
        <is>
          <t>站前4樓</t>
        </is>
      </c>
      <c r="E1537" s="484" t="inlineStr">
        <is>
          <t>6120003</t>
        </is>
      </c>
      <c r="F1537" s="551" t="n"/>
      <c r="G1537" s="484" t="inlineStr">
        <is>
          <t>(V)貝力多(雙胜胺) 20% 30mL/ 瓶，50倍數叫貨</t>
        </is>
      </c>
      <c r="H1537" s="552" t="n"/>
      <c r="I1537" s="552" t="n"/>
      <c r="J1537" s="551" t="n"/>
      <c r="K1537" s="140" t="inlineStr">
        <is>
          <t>10支/盒</t>
        </is>
      </c>
      <c r="L1537" s="560" t="n">
        <v>2</v>
      </c>
    </row>
    <row r="1538" ht="17.25" customHeight="1" s="453" thickBot="1">
      <c r="A1538" s="553">
        <f>IFERROR(LEFT(B1538,7),"")</f>
        <v/>
      </c>
      <c r="B1538" s="554">
        <f>"2026/03"&amp;D1538</f>
        <v/>
      </c>
      <c r="C1538" s="559" t="n">
        <v>2</v>
      </c>
      <c r="D1538" s="484" t="inlineStr">
        <is>
          <t>站前4樓</t>
        </is>
      </c>
      <c r="E1538" s="484" t="inlineStr">
        <is>
          <t>6120004</t>
        </is>
      </c>
      <c r="F1538" s="551" t="n"/>
      <c r="G1538" s="484" t="inlineStr">
        <is>
          <t>(V)胺基酸點滴250ml/ 袋(安命活源/嘉安命)，20倍數叫貨</t>
        </is>
      </c>
      <c r="H1538" s="552" t="n"/>
      <c r="I1538" s="552" t="n"/>
      <c r="J1538" s="551" t="n"/>
      <c r="K1538" s="140" t="inlineStr">
        <is>
          <t>(20瓶/箱)</t>
        </is>
      </c>
      <c r="L1538" s="560" t="n">
        <v>24</v>
      </c>
    </row>
    <row r="1539" ht="17.25" customHeight="1" s="453" thickBot="1">
      <c r="A1539" s="553">
        <f>IFERROR(LEFT(B1539,7),"")</f>
        <v/>
      </c>
      <c r="B1539" s="554">
        <f>"2026/03"&amp;D1539</f>
        <v/>
      </c>
      <c r="C1539" s="559" t="n">
        <v>3</v>
      </c>
      <c r="D1539" s="484" t="inlineStr">
        <is>
          <t>站前4樓</t>
        </is>
      </c>
      <c r="E1539" s="484" t="inlineStr">
        <is>
          <t>6120006</t>
        </is>
      </c>
      <c r="F1539" s="551" t="n"/>
      <c r="G1539" s="484" t="inlineStr">
        <is>
          <t>(V)(B12) 愛壽命 2mL，100倍數叫貨</t>
        </is>
      </c>
      <c r="H1539" s="552" t="n"/>
      <c r="I1539" s="552" t="n"/>
      <c r="J1539" s="551" t="n"/>
      <c r="K1539" s="140" t="inlineStr">
        <is>
          <t>(100支/盒)</t>
        </is>
      </c>
      <c r="L1539" s="560" t="n">
        <v>24</v>
      </c>
    </row>
    <row r="1540" ht="17.25" customHeight="1" s="453" thickBot="1">
      <c r="A1540" s="553">
        <f>IFERROR(LEFT(B1540,7),"")</f>
        <v/>
      </c>
      <c r="B1540" s="554">
        <f>"2026/03"&amp;D1540</f>
        <v/>
      </c>
      <c r="C1540" s="559" t="n">
        <v>4</v>
      </c>
      <c r="D1540" s="484" t="inlineStr">
        <is>
          <t>站前4樓</t>
        </is>
      </c>
      <c r="E1540" s="484" t="inlineStr">
        <is>
          <t>6120013</t>
        </is>
      </c>
      <c r="F1540" s="551" t="n"/>
      <c r="G1540" s="484" t="inlineStr">
        <is>
          <t>(V)生理食鹽水(NS) 250ml/ 袋</t>
        </is>
      </c>
      <c r="H1540" s="552" t="n"/>
      <c r="I1540" s="552" t="n"/>
      <c r="J1540" s="551" t="n"/>
      <c r="K1540" s="140" t="inlineStr">
        <is>
          <t>40瓶/箱</t>
        </is>
      </c>
      <c r="L1540" s="560" t="n">
        <v>145</v>
      </c>
    </row>
    <row r="1541" ht="17.25" customHeight="1" s="453" thickBot="1">
      <c r="A1541" s="553">
        <f>IFERROR(LEFT(B1541,7),"")</f>
        <v/>
      </c>
      <c r="B1541" s="554">
        <f>"2026/03"&amp;D1541</f>
        <v/>
      </c>
      <c r="C1541" s="559" t="n">
        <v>5</v>
      </c>
      <c r="D1541" s="484" t="inlineStr">
        <is>
          <t>站前4樓</t>
        </is>
      </c>
      <c r="E1541" s="484" t="inlineStr">
        <is>
          <t>6120015</t>
        </is>
      </c>
      <c r="F1541" s="551" t="n"/>
      <c r="G1541" s="484" t="inlineStr">
        <is>
          <t>(V)(B群)淘能美複合維他命B 2ml，100倍數叫貨</t>
        </is>
      </c>
      <c r="H1541" s="552" t="n"/>
      <c r="I1541" s="552" t="n"/>
      <c r="J1541" s="551" t="n"/>
      <c r="K1541" s="140" t="n"/>
      <c r="L1541" s="560" t="n">
        <v>169</v>
      </c>
    </row>
    <row r="1542" ht="17.25" customHeight="1" s="453" thickBot="1">
      <c r="A1542" s="553">
        <f>IFERROR(LEFT(B1542,7),"")</f>
        <v/>
      </c>
      <c r="B1542" s="554">
        <f>"2026/03"&amp;D1542</f>
        <v/>
      </c>
      <c r="C1542" s="559" t="n">
        <v>6</v>
      </c>
      <c r="D1542" s="484" t="inlineStr">
        <is>
          <t>站前4樓</t>
        </is>
      </c>
      <c r="E1542" s="484" t="inlineStr">
        <is>
          <t>6120016</t>
        </is>
      </c>
      <c r="F1542" s="551" t="n"/>
      <c r="G1542" s="484" t="inlineStr">
        <is>
          <t>(V)(榖胱肝肽) 克樂達養200mg (20ml/瓶)</t>
        </is>
      </c>
      <c r="H1542" s="552" t="n"/>
      <c r="I1542" s="552" t="n"/>
      <c r="J1542" s="551" t="n"/>
      <c r="K1542" s="140" t="inlineStr">
        <is>
          <t>50支/盒</t>
        </is>
      </c>
      <c r="L1542" s="560" t="n">
        <v>169</v>
      </c>
    </row>
    <row r="1543" ht="17.25" customHeight="1" s="453" thickBot="1">
      <c r="A1543" s="553">
        <f>IFERROR(LEFT(B1543,7),"")</f>
        <v/>
      </c>
      <c r="B1543" s="554">
        <f>"2026/03"&amp;D1543</f>
        <v/>
      </c>
      <c r="C1543" s="559" t="n">
        <v>7</v>
      </c>
      <c r="D1543" s="484" t="inlineStr">
        <is>
          <t>站前4樓</t>
        </is>
      </c>
      <c r="E1543" s="484" t="inlineStr">
        <is>
          <t>6120018</t>
        </is>
      </c>
      <c r="F1543" s="551" t="n"/>
      <c r="G1543" s="484" t="inlineStr">
        <is>
          <t>(V)(傳明酸)止血明 5ml/支</t>
        </is>
      </c>
      <c r="H1543" s="552" t="n"/>
      <c r="I1543" s="552" t="n"/>
      <c r="J1543" s="551" t="n"/>
      <c r="K1543" s="140" t="inlineStr">
        <is>
          <t>50支/盒</t>
        </is>
      </c>
      <c r="L1543" s="560" t="n">
        <v>84</v>
      </c>
    </row>
    <row r="1544" ht="17.25" customHeight="1" s="453" thickBot="1">
      <c r="A1544" s="553">
        <f>IFERROR(LEFT(B1544,7),"")</f>
        <v/>
      </c>
      <c r="B1544" s="554">
        <f>"2026/03"&amp;D1544</f>
        <v/>
      </c>
      <c r="C1544" s="559" t="n">
        <v>8</v>
      </c>
      <c r="D1544" s="484" t="inlineStr">
        <is>
          <t>站前4樓</t>
        </is>
      </c>
      <c r="E1544" s="484" t="inlineStr">
        <is>
          <t>6120020</t>
        </is>
      </c>
      <c r="F1544" s="551" t="n"/>
      <c r="G1544" s="484" t="inlineStr">
        <is>
          <t>(V)(Vit C) 抗壞血酸 2mL，100倍數下單</t>
        </is>
      </c>
      <c r="H1544" s="552" t="n"/>
      <c r="I1544" s="552" t="n"/>
      <c r="J1544" s="551" t="n"/>
      <c r="K1544" s="140" t="inlineStr">
        <is>
          <t>100支/盒</t>
        </is>
      </c>
      <c r="L1544" s="560" t="n">
        <v>187</v>
      </c>
    </row>
    <row r="1545" ht="17.25" customHeight="1" s="453" thickBot="1">
      <c r="A1545" s="553">
        <f>IFERROR(LEFT(B1545,7),"")</f>
        <v/>
      </c>
      <c r="B1545" s="554">
        <f>"2026/03"&amp;D1545</f>
        <v/>
      </c>
      <c r="C1545" s="559" t="n">
        <v>9</v>
      </c>
      <c r="D1545" s="484" t="inlineStr">
        <is>
          <t>站前4樓</t>
        </is>
      </c>
      <c r="E1545" s="484" t="inlineStr">
        <is>
          <t>6120021</t>
        </is>
      </c>
      <c r="F1545" s="551" t="n"/>
      <c r="G1545" s="484" t="inlineStr">
        <is>
          <t>(V)(Vit C)(抗壞血酸/諾貝爾)20ml，50倍數下單</t>
        </is>
      </c>
      <c r="H1545" s="552" t="n"/>
      <c r="I1545" s="552" t="n"/>
      <c r="J1545" s="551" t="n"/>
      <c r="K1545" s="140" t="inlineStr">
        <is>
          <t>50支/盒</t>
        </is>
      </c>
      <c r="L1545" s="560" t="n">
        <v>185</v>
      </c>
    </row>
    <row r="1546" ht="17.25" customHeight="1" s="453" thickBot="1">
      <c r="A1546" s="553">
        <f>IFERROR(LEFT(B1546,7),"")</f>
        <v/>
      </c>
      <c r="B1546" s="554">
        <f>"2026/03"&amp;D1546</f>
        <v/>
      </c>
      <c r="C1546" s="559" t="n">
        <v>10</v>
      </c>
      <c r="D1546" s="484" t="inlineStr">
        <is>
          <t>站前4樓</t>
        </is>
      </c>
      <c r="E1546" s="484" t="inlineStr">
        <is>
          <t>6120036</t>
        </is>
      </c>
      <c r="F1546" s="551" t="n"/>
      <c r="G1546" s="484" t="inlineStr">
        <is>
          <t>(V)貝力多(雙胜胺) 20% 50mL/ 瓶，50倍數下單</t>
        </is>
      </c>
      <c r="H1546" s="552" t="n"/>
      <c r="I1546" s="552" t="n"/>
      <c r="J1546" s="551" t="n"/>
      <c r="K1546" s="140" t="inlineStr">
        <is>
          <t>瓶(10瓶/盒)</t>
        </is>
      </c>
      <c r="L1546" s="560" t="n">
        <v>22</v>
      </c>
    </row>
    <row r="1547" ht="17.25" customHeight="1" s="453" thickBot="1">
      <c r="A1547" s="553">
        <f>IFERROR(LEFT(B1547,7),"")</f>
        <v/>
      </c>
      <c r="B1547" s="554">
        <f>"2026/03"&amp;D1547</f>
        <v/>
      </c>
      <c r="C1547" s="559" t="n">
        <v>11</v>
      </c>
      <c r="D1547" s="484" t="inlineStr">
        <is>
          <t>站前4樓</t>
        </is>
      </c>
      <c r="E1547" s="484" t="inlineStr">
        <is>
          <t>6140001</t>
        </is>
      </c>
      <c r="F1547" s="551" t="n"/>
      <c r="G1547" s="484" t="inlineStr">
        <is>
          <t>(V)保妥適肉毒Botox/ u，100倍數下單</t>
        </is>
      </c>
      <c r="H1547" s="552" t="n"/>
      <c r="I1547" s="552" t="n"/>
      <c r="J1547" s="551" t="n"/>
      <c r="K1547" s="140" t="inlineStr">
        <is>
          <t>100U/瓶</t>
        </is>
      </c>
      <c r="L1547" s="560" t="n">
        <v>3876</v>
      </c>
    </row>
    <row r="1548" ht="17.25" customHeight="1" s="453" thickBot="1">
      <c r="A1548" s="553">
        <f>IFERROR(LEFT(B1548,7),"")</f>
        <v/>
      </c>
      <c r="B1548" s="554">
        <f>"2026/03"&amp;D1548</f>
        <v/>
      </c>
      <c r="C1548" s="559" t="n">
        <v>12</v>
      </c>
      <c r="D1548" s="484" t="inlineStr">
        <is>
          <t>站前4樓</t>
        </is>
      </c>
      <c r="E1548" s="484" t="inlineStr">
        <is>
          <t>6140003</t>
        </is>
      </c>
      <c r="F1548" s="551" t="n"/>
      <c r="G1548" s="484" t="inlineStr">
        <is>
          <t>(V)保提拉肉毒Letybo/ u，3200倍數下單</t>
        </is>
      </c>
      <c r="H1548" s="552" t="n"/>
      <c r="I1548" s="552" t="n"/>
      <c r="J1548" s="551" t="n"/>
      <c r="K1548" s="140" t="inlineStr">
        <is>
          <t>200U/瓶</t>
        </is>
      </c>
      <c r="L1548" s="560" t="n">
        <v>10519</v>
      </c>
    </row>
    <row r="1549" ht="17.25" customHeight="1" s="453" thickBot="1">
      <c r="A1549" s="553">
        <f>IFERROR(LEFT(B1549,7),"")</f>
        <v/>
      </c>
      <c r="B1549" s="554">
        <f>"2026/03"&amp;D1549</f>
        <v/>
      </c>
      <c r="C1549" s="559" t="n">
        <v>13</v>
      </c>
      <c r="D1549" s="484" t="inlineStr">
        <is>
          <t>站前4樓</t>
        </is>
      </c>
      <c r="E1549" s="484" t="inlineStr">
        <is>
          <t>6140005</t>
        </is>
      </c>
      <c r="F1549" s="551" t="n"/>
      <c r="G1549" s="484" t="inlineStr">
        <is>
          <t>(V)奇蹟肉毒/ u，200倍數下單</t>
        </is>
      </c>
      <c r="H1549" s="552" t="n"/>
      <c r="I1549" s="552" t="n"/>
      <c r="J1549" s="551" t="n"/>
      <c r="K1549" s="140" t="inlineStr">
        <is>
          <t>200U/瓶</t>
        </is>
      </c>
      <c r="L1549" s="560" t="n">
        <v>3495</v>
      </c>
    </row>
    <row r="1550" ht="17.25" customHeight="1" s="453" thickBot="1">
      <c r="A1550" s="553">
        <f>IFERROR(LEFT(B1550,7),"")</f>
        <v/>
      </c>
      <c r="B1550" s="554">
        <f>"2026/03"&amp;D1550</f>
        <v/>
      </c>
      <c r="C1550" s="559" t="n">
        <v>14</v>
      </c>
      <c r="D1550" s="484" t="inlineStr">
        <is>
          <t>站前4樓</t>
        </is>
      </c>
      <c r="E1550" s="484" t="inlineStr">
        <is>
          <t>6150001</t>
        </is>
      </c>
      <c r="F1550" s="551" t="n"/>
      <c r="G1550" s="484" t="inlineStr">
        <is>
          <t>(V)喬雅登-豐麗緹玻尿酸植入物Voluma 1ml</t>
        </is>
      </c>
      <c r="H1550" s="552" t="n"/>
      <c r="I1550" s="552" t="n"/>
      <c r="J1550" s="551" t="n"/>
      <c r="K1550" s="140" t="inlineStr">
        <is>
          <t>1ml(2ml/盒)</t>
        </is>
      </c>
      <c r="L1550" s="560" t="n">
        <v>176</v>
      </c>
    </row>
    <row r="1551" ht="17.25" customHeight="1" s="453" thickBot="1">
      <c r="A1551" s="553">
        <f>IFERROR(LEFT(B1551,7),"")</f>
        <v/>
      </c>
      <c r="B1551" s="554">
        <f>"2026/03"&amp;D1551</f>
        <v/>
      </c>
      <c r="C1551" s="559" t="n">
        <v>15</v>
      </c>
      <c r="D1551" s="484" t="inlineStr">
        <is>
          <t>站前4樓</t>
        </is>
      </c>
      <c r="E1551" s="484" t="inlineStr">
        <is>
          <t>6150002</t>
        </is>
      </c>
      <c r="F1551" s="551" t="n"/>
      <c r="G1551" s="484" t="inlineStr">
        <is>
          <t>(V)喬雅登-夢蓓菈玻尿酸植入物Volbella 1ml</t>
        </is>
      </c>
      <c r="H1551" s="552" t="n"/>
      <c r="I1551" s="552" t="n"/>
      <c r="J1551" s="551" t="n"/>
      <c r="K1551" s="140" t="inlineStr">
        <is>
          <t>1ml(2ml/盒)</t>
        </is>
      </c>
      <c r="L1551" s="560" t="n">
        <v>11</v>
      </c>
    </row>
    <row r="1552" ht="17.25" customHeight="1" s="453" thickBot="1">
      <c r="A1552" s="553">
        <f>IFERROR(LEFT(B1552,7),"")</f>
        <v/>
      </c>
      <c r="B1552" s="554">
        <f>"2026/03"&amp;D1552</f>
        <v/>
      </c>
      <c r="C1552" s="559" t="n">
        <v>16</v>
      </c>
      <c r="D1552" s="484" t="inlineStr">
        <is>
          <t>站前4樓</t>
        </is>
      </c>
      <c r="E1552" s="484" t="inlineStr">
        <is>
          <t>6150003</t>
        </is>
      </c>
      <c r="F1552" s="551" t="n"/>
      <c r="G1552" s="484" t="inlineStr">
        <is>
          <t>(V)喬雅登-豐麗緹玻尿酸植入物Volift 1ml</t>
        </is>
      </c>
      <c r="H1552" s="552" t="n"/>
      <c r="I1552" s="552" t="n"/>
      <c r="J1552" s="551" t="n"/>
      <c r="K1552" s="140" t="inlineStr">
        <is>
          <t>1ml(2ml/盒)</t>
        </is>
      </c>
      <c r="L1552" s="560" t="n">
        <v>4</v>
      </c>
    </row>
    <row r="1553" ht="17.25" customHeight="1" s="453" thickBot="1">
      <c r="A1553" s="553">
        <f>IFERROR(LEFT(B1553,7),"")</f>
        <v/>
      </c>
      <c r="B1553" s="554">
        <f>"2026/03"&amp;D1553</f>
        <v/>
      </c>
      <c r="C1553" s="559" t="n">
        <v>17</v>
      </c>
      <c r="D1553" s="484" t="inlineStr">
        <is>
          <t>站前4樓</t>
        </is>
      </c>
      <c r="E1553" s="484" t="inlineStr">
        <is>
          <t>6150004</t>
        </is>
      </c>
      <c r="F1553" s="551" t="n"/>
      <c r="G1553" s="484" t="inlineStr">
        <is>
          <t>(V)喬雅登-豐塑玻尿酸植入物Volux 1ml</t>
        </is>
      </c>
      <c r="H1553" s="552" t="n"/>
      <c r="I1553" s="552" t="n"/>
      <c r="J1553" s="551" t="n"/>
      <c r="K1553" s="140" t="inlineStr">
        <is>
          <t>1ml(2ml/盒)</t>
        </is>
      </c>
      <c r="L1553" s="560" t="n">
        <v>14</v>
      </c>
    </row>
    <row r="1554" ht="17.25" customHeight="1" s="453" thickBot="1">
      <c r="A1554" s="553">
        <f>IFERROR(LEFT(B1554,7),"")</f>
        <v/>
      </c>
      <c r="B1554" s="554">
        <f>"2026/03"&amp;D1554</f>
        <v/>
      </c>
      <c r="C1554" s="559" t="n">
        <v>18</v>
      </c>
      <c r="D1554" s="484" t="inlineStr">
        <is>
          <t>站前4樓</t>
        </is>
      </c>
      <c r="E1554" s="484" t="inlineStr">
        <is>
          <t>6150005</t>
        </is>
      </c>
      <c r="F1554" s="551" t="n"/>
      <c r="G1554" s="484" t="inlineStr">
        <is>
          <t>(V)喬雅登-芙潤玻尿酸植入物Volite 1ml</t>
        </is>
      </c>
      <c r="H1554" s="552" t="n"/>
      <c r="I1554" s="552" t="n"/>
      <c r="J1554" s="551" t="n"/>
      <c r="K1554" s="140" t="inlineStr">
        <is>
          <t>1ml(2ml/盒)</t>
        </is>
      </c>
      <c r="L1554" s="560" t="n">
        <v>3</v>
      </c>
    </row>
    <row r="1555" ht="17.25" customHeight="1" s="453" thickBot="1">
      <c r="A1555" s="553">
        <f>IFERROR(LEFT(B1555,7),"")</f>
        <v/>
      </c>
      <c r="B1555" s="554">
        <f>"2026/03"&amp;D1555</f>
        <v/>
      </c>
      <c r="C1555" s="559" t="n">
        <v>19</v>
      </c>
      <c r="D1555" s="484" t="inlineStr">
        <is>
          <t>站前4樓</t>
        </is>
      </c>
      <c r="E1555" s="484" t="inlineStr">
        <is>
          <t>6150010</t>
        </is>
      </c>
      <c r="F1555" s="551" t="n"/>
      <c r="G1555" s="484" t="inlineStr">
        <is>
          <t>(V)仙女玻尿酸大分子 1ml</t>
        </is>
      </c>
      <c r="H1555" s="552" t="n"/>
      <c r="I1555" s="552" t="n"/>
      <c r="J1555" s="551" t="n"/>
      <c r="K1555" s="140" t="inlineStr">
        <is>
          <t>1ml(1ml/盒)</t>
        </is>
      </c>
      <c r="L1555" s="560" t="n">
        <v>44</v>
      </c>
    </row>
    <row r="1556" ht="17.25" customHeight="1" s="453" thickBot="1">
      <c r="A1556" s="553">
        <f>IFERROR(LEFT(B1556,7),"")</f>
        <v/>
      </c>
      <c r="B1556" s="554">
        <f>"2026/03"&amp;D1556</f>
        <v/>
      </c>
      <c r="C1556" s="559" t="n">
        <v>20</v>
      </c>
      <c r="D1556" s="484" t="inlineStr">
        <is>
          <t>站前4樓</t>
        </is>
      </c>
      <c r="E1556" s="484" t="inlineStr">
        <is>
          <t>6150011</t>
        </is>
      </c>
      <c r="F1556" s="551" t="n"/>
      <c r="G1556" s="484" t="inlineStr">
        <is>
          <t>(V)仙女玻尿酸小分子 1ml</t>
        </is>
      </c>
      <c r="H1556" s="552" t="n"/>
      <c r="I1556" s="552" t="n"/>
      <c r="J1556" s="551" t="n"/>
      <c r="K1556" s="140" t="inlineStr">
        <is>
          <t>1ml(1ml/盒)</t>
        </is>
      </c>
      <c r="L1556" s="560" t="n">
        <v>4</v>
      </c>
    </row>
    <row r="1557" ht="17.25" customHeight="1" s="453" thickBot="1">
      <c r="A1557" s="553">
        <f>IFERROR(LEFT(B1557,7),"")</f>
        <v/>
      </c>
      <c r="B1557" s="554">
        <f>"2026/03"&amp;D1557</f>
        <v/>
      </c>
      <c r="C1557" s="559" t="n">
        <v>21</v>
      </c>
      <c r="D1557" s="484" t="inlineStr">
        <is>
          <t>站前4樓</t>
        </is>
      </c>
      <c r="E1557" s="484" t="inlineStr">
        <is>
          <t>6150013</t>
        </is>
      </c>
      <c r="F1557" s="551" t="n"/>
      <c r="G1557" s="484" t="inlineStr">
        <is>
          <t>(V)逆時針(璞菲洛)2cc</t>
        </is>
      </c>
      <c r="H1557" s="552" t="n"/>
      <c r="I1557" s="552" t="n"/>
      <c r="J1557" s="551" t="n"/>
      <c r="K1557" s="140" t="inlineStr">
        <is>
          <t>1ml(1ml/盒)</t>
        </is>
      </c>
      <c r="L1557" s="560" t="n">
        <v>14</v>
      </c>
    </row>
    <row r="1558" ht="17.25" customHeight="1" s="453" thickBot="1">
      <c r="A1558" s="553">
        <f>IFERROR(LEFT(B1558,7),"")</f>
        <v/>
      </c>
      <c r="B1558" s="554">
        <f>"2026/03"&amp;D1558</f>
        <v/>
      </c>
      <c r="C1558" s="559" t="n">
        <v>22</v>
      </c>
      <c r="D1558" s="484" t="inlineStr">
        <is>
          <t>站前4樓</t>
        </is>
      </c>
      <c r="E1558" s="484" t="inlineStr">
        <is>
          <t>6160001</t>
        </is>
      </c>
      <c r="F1558" s="551" t="n"/>
      <c r="G1558" s="484" t="inlineStr">
        <is>
          <t>(V)艾麗斯 Aesthe Fill-200mg/ 瓶</t>
        </is>
      </c>
      <c r="H1558" s="552" t="n"/>
      <c r="I1558" s="552" t="n"/>
      <c r="J1558" s="551" t="n"/>
      <c r="K1558" s="140" t="inlineStr">
        <is>
          <t>瓶</t>
        </is>
      </c>
      <c r="L1558" s="560" t="n">
        <v>1</v>
      </c>
    </row>
    <row r="1559" ht="17.25" customHeight="1" s="453" thickBot="1">
      <c r="A1559" s="553">
        <f>IFERROR(LEFT(B1559,7),"")</f>
        <v/>
      </c>
      <c r="B1559" s="554">
        <f>"2026/03"&amp;D1559</f>
        <v/>
      </c>
      <c r="C1559" s="559" t="n">
        <v>23</v>
      </c>
      <c r="D1559" s="484" t="inlineStr">
        <is>
          <t>站前4樓</t>
        </is>
      </c>
      <c r="E1559" s="484" t="inlineStr">
        <is>
          <t>6160002</t>
        </is>
      </c>
      <c r="F1559" s="551" t="n"/>
      <c r="G1559" s="484" t="inlineStr">
        <is>
          <t>(V)洢蓮絲植入劑ELLANSÉ-S 1ml</t>
        </is>
      </c>
      <c r="H1559" s="552" t="n"/>
      <c r="I1559" s="552" t="n"/>
      <c r="J1559" s="551" t="n"/>
      <c r="K1559" s="140" t="inlineStr">
        <is>
          <t>1ml(2ml/盒)</t>
        </is>
      </c>
      <c r="L1559" s="560" t="n">
        <v>43</v>
      </c>
    </row>
    <row r="1560" ht="17.25" customHeight="1" s="453" thickBot="1">
      <c r="A1560" s="553">
        <f>IFERROR(LEFT(B1560,7),"")</f>
        <v/>
      </c>
      <c r="B1560" s="554">
        <f>"2026/03"&amp;D1560</f>
        <v/>
      </c>
      <c r="C1560" s="559" t="n">
        <v>24</v>
      </c>
      <c r="D1560" s="484" t="inlineStr">
        <is>
          <t>站前4樓</t>
        </is>
      </c>
      <c r="E1560" s="484" t="inlineStr">
        <is>
          <t>6160003</t>
        </is>
      </c>
      <c r="F1560" s="551" t="n"/>
      <c r="G1560" s="484" t="inlineStr">
        <is>
          <t>(V)洢蓮絲植入劑ELLANSÉ-M 1ml</t>
        </is>
      </c>
      <c r="H1560" s="552" t="n"/>
      <c r="I1560" s="552" t="n"/>
      <c r="J1560" s="551" t="n"/>
      <c r="K1560" s="140" t="inlineStr">
        <is>
          <t>1ml(2ml/盒)</t>
        </is>
      </c>
      <c r="L1560" s="560" t="n">
        <v>32</v>
      </c>
    </row>
    <row r="1561" ht="17.25" customHeight="1" s="453" thickBot="1">
      <c r="A1561" s="553">
        <f>IFERROR(LEFT(B1561,7),"")</f>
        <v/>
      </c>
      <c r="B1561" s="554">
        <f>"2026/03"&amp;D1561</f>
        <v/>
      </c>
      <c r="C1561" s="559" t="n">
        <v>25</v>
      </c>
      <c r="D1561" s="484" t="inlineStr">
        <is>
          <t>站前4樓</t>
        </is>
      </c>
      <c r="E1561" s="484" t="inlineStr">
        <is>
          <t>6160005</t>
        </is>
      </c>
      <c r="F1561" s="551" t="n"/>
      <c r="G1561" s="484" t="inlineStr">
        <is>
          <t>(V)双美熊貓針</t>
        </is>
      </c>
      <c r="H1561" s="552" t="n"/>
      <c r="I1561" s="552" t="n"/>
      <c r="J1561" s="551" t="n"/>
      <c r="K1561" s="140" t="inlineStr">
        <is>
          <t>(1ml/盒)</t>
        </is>
      </c>
      <c r="L1561" s="560" t="n">
        <v>70</v>
      </c>
    </row>
    <row r="1562" ht="17.25" customHeight="1" s="453" thickBot="1">
      <c r="A1562" s="553">
        <f>IFERROR(LEFT(B1562,7),"")</f>
        <v/>
      </c>
      <c r="B1562" s="554">
        <f>"2026/03"&amp;D1562</f>
        <v/>
      </c>
      <c r="C1562" s="559" t="n">
        <v>26</v>
      </c>
      <c r="D1562" s="484" t="inlineStr">
        <is>
          <t>站前4樓</t>
        </is>
      </c>
      <c r="E1562" s="484" t="inlineStr">
        <is>
          <t>6160009</t>
        </is>
      </c>
      <c r="F1562" s="551" t="n"/>
      <c r="G1562" s="484" t="inlineStr">
        <is>
          <t>黑童針-薇貝拉200mg/1cc</t>
        </is>
      </c>
      <c r="H1562" s="552" t="n"/>
      <c r="I1562" s="552" t="n"/>
      <c r="J1562" s="551" t="n"/>
      <c r="K1562" s="140" t="inlineStr">
        <is>
          <t>8cc/瓶</t>
        </is>
      </c>
      <c r="L1562" s="560" t="n">
        <v>83</v>
      </c>
    </row>
    <row r="1563" ht="17.25" customHeight="1" s="453" thickBot="1">
      <c r="A1563" s="553">
        <f>IFERROR(LEFT(B1563,7),"")</f>
        <v/>
      </c>
      <c r="B1563" s="554">
        <f>"2026/03"&amp;D1563</f>
        <v/>
      </c>
      <c r="C1563" s="559" t="n">
        <v>27</v>
      </c>
      <c r="D1563" s="484" t="inlineStr">
        <is>
          <t>站前4樓</t>
        </is>
      </c>
      <c r="E1563" s="484" t="inlineStr">
        <is>
          <t>6160010</t>
        </is>
      </c>
      <c r="F1563" s="551" t="n"/>
      <c r="G1563" s="484" t="inlineStr">
        <is>
          <t>喬雅露-大分子200mg/1cc</t>
        </is>
      </c>
      <c r="H1563" s="552" t="n"/>
      <c r="I1563" s="552" t="n"/>
      <c r="J1563" s="551" t="n"/>
      <c r="K1563" s="140" t="inlineStr">
        <is>
          <t>8cc/瓶</t>
        </is>
      </c>
      <c r="L1563" s="560" t="n">
        <v>61</v>
      </c>
    </row>
    <row r="1564" ht="17.25" customHeight="1" s="453" thickBot="1">
      <c r="A1564" s="553">
        <f>IFERROR(LEFT(B1564,7),"")</f>
        <v/>
      </c>
      <c r="B1564" s="554">
        <f>"2026/03"&amp;D1564</f>
        <v/>
      </c>
      <c r="C1564" s="559" t="n">
        <v>28</v>
      </c>
      <c r="D1564" s="484" t="inlineStr">
        <is>
          <t>站前4樓</t>
        </is>
      </c>
      <c r="E1564" s="484" t="inlineStr">
        <is>
          <t>6160011</t>
        </is>
      </c>
      <c r="F1564" s="551" t="n"/>
      <c r="G1564" s="484" t="inlineStr">
        <is>
          <t>喬雅露-小分子50mg/1cc</t>
        </is>
      </c>
      <c r="H1564" s="552" t="n"/>
      <c r="I1564" s="552" t="n"/>
      <c r="J1564" s="551" t="n"/>
      <c r="K1564" s="140" t="inlineStr">
        <is>
          <t>6cc/瓶</t>
        </is>
      </c>
      <c r="L1564" s="560" t="n">
        <v>520</v>
      </c>
    </row>
    <row r="1565" ht="17.25" customHeight="1" s="453" thickBot="1">
      <c r="A1565" s="553">
        <f>IFERROR(LEFT(B1565,7),"")</f>
        <v/>
      </c>
      <c r="B1565" s="554">
        <f>"2026/03"&amp;D1565</f>
        <v/>
      </c>
      <c r="C1565" s="559" t="n">
        <v>29</v>
      </c>
      <c r="D1565" s="484" t="inlineStr">
        <is>
          <t>站前4樓</t>
        </is>
      </c>
      <c r="E1565" s="484" t="inlineStr">
        <is>
          <t>6170005</t>
        </is>
      </c>
      <c r="F1565" s="551" t="n"/>
      <c r="G1565" s="484" t="inlineStr">
        <is>
          <t>海芙三代音波探頭2mm/ 條</t>
        </is>
      </c>
      <c r="H1565" s="552" t="n"/>
      <c r="I1565" s="552" t="n"/>
      <c r="J1565" s="551" t="n"/>
      <c r="K1565" s="140" t="inlineStr">
        <is>
          <t>20099條/顆</t>
        </is>
      </c>
      <c r="L1565" s="560" t="n">
        <v>12446</v>
      </c>
    </row>
    <row r="1566" ht="17.25" customHeight="1" s="453" thickBot="1">
      <c r="A1566" s="553">
        <f>IFERROR(LEFT(B1566,7),"")</f>
        <v/>
      </c>
      <c r="B1566" s="554">
        <f>"2026/03"&amp;D1566</f>
        <v/>
      </c>
      <c r="C1566" s="559" t="n">
        <v>30</v>
      </c>
      <c r="D1566" s="484" t="inlineStr">
        <is>
          <t>站前4樓</t>
        </is>
      </c>
      <c r="E1566" s="484" t="inlineStr">
        <is>
          <t>6170007</t>
        </is>
      </c>
      <c r="F1566" s="551" t="n"/>
      <c r="G1566" s="484" t="inlineStr">
        <is>
          <t>海芙三代音波探頭3mm/ 條</t>
        </is>
      </c>
      <c r="H1566" s="552" t="n"/>
      <c r="I1566" s="552" t="n"/>
      <c r="J1566" s="551" t="n"/>
      <c r="K1566" s="140" t="inlineStr">
        <is>
          <t>20099條/顆</t>
        </is>
      </c>
      <c r="L1566" s="560" t="n">
        <v>39981</v>
      </c>
    </row>
    <row r="1567" ht="17.25" customHeight="1" s="453" thickBot="1">
      <c r="A1567" s="553">
        <f>IFERROR(LEFT(B1567,7),"")</f>
        <v/>
      </c>
      <c r="B1567" s="554">
        <f>"2026/03"&amp;D1567</f>
        <v/>
      </c>
      <c r="C1567" s="559" t="n">
        <v>31</v>
      </c>
      <c r="D1567" s="484" t="inlineStr">
        <is>
          <t>站前4樓</t>
        </is>
      </c>
      <c r="E1567" s="484" t="inlineStr">
        <is>
          <t>6170009</t>
        </is>
      </c>
      <c r="F1567" s="551" t="n"/>
      <c r="G1567" s="484" t="inlineStr">
        <is>
          <t>海芙三代音波探頭4.5mm/ 條</t>
        </is>
      </c>
      <c r="H1567" s="552" t="n"/>
      <c r="I1567" s="552" t="n"/>
      <c r="J1567" s="551" t="n"/>
      <c r="K1567" s="140" t="inlineStr">
        <is>
          <t>20099條/顆</t>
        </is>
      </c>
      <c r="L1567" s="560" t="n">
        <v>49751</v>
      </c>
    </row>
    <row r="1568" ht="17.25" customHeight="1" s="453" thickBot="1">
      <c r="A1568" s="553">
        <f>IFERROR(LEFT(B1568,7),"")</f>
        <v/>
      </c>
      <c r="B1568" s="554">
        <f>"2026/03"&amp;D1568</f>
        <v/>
      </c>
      <c r="C1568" s="559" t="n">
        <v>32</v>
      </c>
      <c r="D1568" s="484" t="inlineStr">
        <is>
          <t>站前4樓</t>
        </is>
      </c>
      <c r="E1568" s="484" t="inlineStr">
        <is>
          <t>6170011</t>
        </is>
      </c>
      <c r="F1568" s="551" t="n"/>
      <c r="G1568" s="484" t="inlineStr">
        <is>
          <t>海芙三代音波探頭6mm/ 條</t>
        </is>
      </c>
      <c r="H1568" s="552" t="n"/>
      <c r="I1568" s="552" t="n"/>
      <c r="J1568" s="551" t="n"/>
      <c r="K1568" s="140" t="inlineStr">
        <is>
          <t>30,099條/顆</t>
        </is>
      </c>
      <c r="L1568" s="560" t="n">
        <v>19026</v>
      </c>
    </row>
    <row r="1569" ht="17.25" customHeight="1" s="453" thickBot="1">
      <c r="A1569" s="553">
        <f>IFERROR(LEFT(B1569,7),"")</f>
        <v/>
      </c>
      <c r="B1569" s="554">
        <f>"2026/03"&amp;D1569</f>
        <v/>
      </c>
      <c r="C1569" s="559" t="n">
        <v>33</v>
      </c>
      <c r="D1569" s="484" t="inlineStr">
        <is>
          <t>站前4樓</t>
        </is>
      </c>
      <c r="E1569" s="484" t="inlineStr">
        <is>
          <t>6170019</t>
        </is>
      </c>
      <c r="F1569" s="551" t="n"/>
      <c r="G1569" s="484" t="inlineStr">
        <is>
          <t>媚必提直線探頭2.0mm/條</t>
        </is>
      </c>
      <c r="H1569" s="552" t="n"/>
      <c r="I1569" s="552" t="n"/>
      <c r="J1569" s="551" t="n"/>
      <c r="K1569" s="140" t="inlineStr">
        <is>
          <t>20,099條/顆</t>
        </is>
      </c>
      <c r="L1569" s="560" t="n">
        <v>2099</v>
      </c>
    </row>
    <row r="1570" ht="17.25" customHeight="1" s="453" thickBot="1">
      <c r="A1570" s="553">
        <f>IFERROR(LEFT(B1570,7),"")</f>
        <v/>
      </c>
      <c r="B1570" s="554">
        <f>"2026/03"&amp;D1570</f>
        <v/>
      </c>
      <c r="C1570" s="559" t="n">
        <v>34</v>
      </c>
      <c r="D1570" s="484" t="inlineStr">
        <is>
          <t>站前4樓</t>
        </is>
      </c>
      <c r="E1570" s="484" t="inlineStr">
        <is>
          <t>6170020</t>
        </is>
      </c>
      <c r="F1570" s="551" t="n"/>
      <c r="G1570" s="484" t="inlineStr">
        <is>
          <t>媚必提直線探頭3.0mm/條</t>
        </is>
      </c>
      <c r="H1570" s="552" t="n"/>
      <c r="I1570" s="552" t="n"/>
      <c r="J1570" s="551" t="n"/>
      <c r="K1570" s="140" t="inlineStr">
        <is>
          <t>20,099條/顆</t>
        </is>
      </c>
      <c r="L1570" s="560" t="n">
        <v>5909</v>
      </c>
    </row>
    <row r="1571" ht="17.25" customHeight="1" s="453" thickBot="1">
      <c r="A1571" s="553">
        <f>IFERROR(LEFT(B1571,7),"")</f>
        <v/>
      </c>
      <c r="B1571" s="554">
        <f>"2026/03"&amp;D1571</f>
        <v/>
      </c>
      <c r="C1571" s="559" t="n">
        <v>35</v>
      </c>
      <c r="D1571" s="484" t="inlineStr">
        <is>
          <t>站前4樓</t>
        </is>
      </c>
      <c r="E1571" s="484" t="inlineStr">
        <is>
          <t>6170021</t>
        </is>
      </c>
      <c r="F1571" s="551" t="n"/>
      <c r="G1571" s="484" t="inlineStr">
        <is>
          <t>媚必提直線探頭4.5mm/條</t>
        </is>
      </c>
      <c r="H1571" s="552" t="n"/>
      <c r="I1571" s="552" t="n"/>
      <c r="J1571" s="551" t="n"/>
      <c r="K1571" s="140" t="inlineStr">
        <is>
          <t>20,099條/顆</t>
        </is>
      </c>
      <c r="L1571" s="560" t="n">
        <v>10370</v>
      </c>
    </row>
    <row r="1572" ht="17.25" customHeight="1" s="453" thickBot="1">
      <c r="A1572" s="553">
        <f>IFERROR(LEFT(B1572,7),"")</f>
        <v/>
      </c>
      <c r="B1572" s="554">
        <f>"2026/03"&amp;D1572</f>
        <v/>
      </c>
      <c r="C1572" s="559" t="n">
        <v>36</v>
      </c>
      <c r="D1572" s="484" t="inlineStr">
        <is>
          <t>站前4樓</t>
        </is>
      </c>
      <c r="E1572" s="484" t="inlineStr">
        <is>
          <t>6170022</t>
        </is>
      </c>
      <c r="F1572" s="551" t="n"/>
      <c r="G1572" s="484" t="inlineStr">
        <is>
          <t>媚必提直線探頭6.0mm/條</t>
        </is>
      </c>
      <c r="H1572" s="552" t="n"/>
      <c r="I1572" s="552" t="n"/>
      <c r="J1572" s="551" t="n"/>
      <c r="K1572" s="140" t="inlineStr">
        <is>
          <t>20,099條/顆</t>
        </is>
      </c>
      <c r="L1572" s="560" t="n">
        <v>7422</v>
      </c>
    </row>
    <row r="1573" ht="17.25" customHeight="1" s="453" thickBot="1">
      <c r="A1573" s="553">
        <f>IFERROR(LEFT(B1573,7),"")</f>
        <v/>
      </c>
      <c r="B1573" s="554">
        <f>"2026/03"&amp;D1573</f>
        <v/>
      </c>
      <c r="C1573" s="559" t="n">
        <v>37</v>
      </c>
      <c r="D1573" s="484" t="inlineStr">
        <is>
          <t>站前4樓</t>
        </is>
      </c>
      <c r="E1573" s="484" t="inlineStr">
        <is>
          <t>6170028</t>
        </is>
      </c>
      <c r="F1573" s="551" t="n"/>
      <c r="G1573" s="484" t="inlineStr">
        <is>
          <t>海芙電波探頭0.25cm/發</t>
        </is>
      </c>
      <c r="H1573" s="552" t="n"/>
      <c r="I1573" s="552" t="n"/>
      <c r="J1573" s="551" t="n"/>
      <c r="K1573" s="140" t="inlineStr">
        <is>
          <t>6,050發/顆</t>
        </is>
      </c>
      <c r="L1573" s="560" t="n">
        <v>5201</v>
      </c>
    </row>
    <row r="1574" ht="17.25" customHeight="1" s="453" thickBot="1">
      <c r="A1574" s="553">
        <f>IFERROR(LEFT(B1574,7),"")</f>
        <v/>
      </c>
      <c r="B1574" s="554">
        <f>"2026/03"&amp;D1574</f>
        <v/>
      </c>
      <c r="C1574" s="559" t="n">
        <v>38</v>
      </c>
      <c r="D1574" s="484" t="inlineStr">
        <is>
          <t>站前4樓</t>
        </is>
      </c>
      <c r="E1574" s="484" t="inlineStr">
        <is>
          <t>6170030</t>
        </is>
      </c>
      <c r="F1574" s="551" t="n"/>
      <c r="G1574" s="484" t="inlineStr">
        <is>
          <t>海芙電波探頭4.0cm/發</t>
        </is>
      </c>
      <c r="H1574" s="552" t="n"/>
      <c r="I1574" s="552" t="n"/>
      <c r="J1574" s="551" t="n"/>
      <c r="K1574" s="140" t="inlineStr">
        <is>
          <t>3,050發/顆</t>
        </is>
      </c>
      <c r="L1574" s="560" t="n">
        <v>21200</v>
      </c>
    </row>
    <row r="1575" ht="17.25" customHeight="1" s="453" thickBot="1">
      <c r="A1575" s="553">
        <f>IFERROR(LEFT(B1575,7),"")</f>
        <v/>
      </c>
      <c r="B1575" s="554">
        <f>"2026/03"&amp;D1575</f>
        <v/>
      </c>
      <c r="C1575" s="559" t="n">
        <v>39</v>
      </c>
      <c r="D1575" s="484" t="inlineStr">
        <is>
          <t>站前4樓</t>
        </is>
      </c>
      <c r="E1575" s="484" t="inlineStr">
        <is>
          <t>6170032</t>
        </is>
      </c>
      <c r="F1575" s="551" t="n"/>
      <c r="G1575" s="484" t="inlineStr">
        <is>
          <t>立特拉A2筆型探頭3.0mm/ 條</t>
        </is>
      </c>
      <c r="H1575" s="552" t="n"/>
      <c r="I1575" s="552" t="n"/>
      <c r="J1575" s="551" t="n"/>
      <c r="K1575" s="140" t="inlineStr">
        <is>
          <t>240,500條/顆</t>
        </is>
      </c>
      <c r="L1575" s="560" t="n">
        <v>219500</v>
      </c>
    </row>
    <row r="1576" ht="17.25" customHeight="1" s="453" thickBot="1">
      <c r="A1576" s="553">
        <f>IFERROR(LEFT(B1576,7),"")</f>
        <v/>
      </c>
      <c r="B1576" s="554">
        <f>"2026/03"&amp;D1576</f>
        <v/>
      </c>
      <c r="C1576" s="559" t="n">
        <v>40</v>
      </c>
      <c r="D1576" s="484" t="inlineStr">
        <is>
          <t>站前4樓</t>
        </is>
      </c>
      <c r="E1576" s="484" t="inlineStr">
        <is>
          <t>6170033</t>
        </is>
      </c>
      <c r="F1576" s="551" t="n"/>
      <c r="G1576" s="484" t="inlineStr">
        <is>
          <t>立特拉A2筆型探頭4.5mm/ 條</t>
        </is>
      </c>
      <c r="H1576" s="552" t="n"/>
      <c r="I1576" s="552" t="n"/>
      <c r="J1576" s="551" t="n"/>
      <c r="K1576" s="140" t="inlineStr">
        <is>
          <t>240,500條/顆</t>
        </is>
      </c>
      <c r="L1576" s="560" t="n">
        <v>87750</v>
      </c>
    </row>
    <row r="1577" ht="17.25" customHeight="1" s="453" thickBot="1">
      <c r="A1577" s="553">
        <f>IFERROR(LEFT(B1577,7),"")</f>
        <v/>
      </c>
      <c r="B1577" s="554">
        <f>"2026/03"&amp;D1577</f>
        <v/>
      </c>
      <c r="C1577" s="559" t="n">
        <v>41</v>
      </c>
      <c r="D1577" s="484" t="inlineStr">
        <is>
          <t>站前4樓</t>
        </is>
      </c>
      <c r="E1577" s="484" t="inlineStr">
        <is>
          <t>6170034</t>
        </is>
      </c>
      <c r="F1577" s="551" t="n"/>
      <c r="G1577" s="484" t="inlineStr">
        <is>
          <t>十蓓電波臉部探頭5cm</t>
        </is>
      </c>
      <c r="H1577" s="552" t="n"/>
      <c r="I1577" s="552" t="n"/>
      <c r="J1577" s="551" t="n"/>
      <c r="K1577" s="140" t="inlineStr">
        <is>
          <t>900發/顆</t>
        </is>
      </c>
      <c r="L1577" s="560" t="n">
        <v>91001</v>
      </c>
    </row>
    <row r="1578" ht="17.25" customHeight="1" s="453" thickBot="1">
      <c r="A1578" s="553">
        <f>IFERROR(LEFT(B1578,7),"")</f>
        <v/>
      </c>
      <c r="B1578" s="554">
        <f>"2026/03"&amp;D1578</f>
        <v/>
      </c>
      <c r="C1578" s="559" t="n">
        <v>42</v>
      </c>
      <c r="D1578" s="484" t="inlineStr">
        <is>
          <t>站前4樓</t>
        </is>
      </c>
      <c r="E1578" s="484" t="inlineStr">
        <is>
          <t>6170035</t>
        </is>
      </c>
      <c r="F1578" s="551" t="n"/>
      <c r="G1578" s="484" t="inlineStr">
        <is>
          <t>十蓓電波眼部探頭0.25cm</t>
        </is>
      </c>
      <c r="H1578" s="552" t="n"/>
      <c r="I1578" s="552" t="n"/>
      <c r="J1578" s="551" t="n"/>
      <c r="K1578" s="140" t="inlineStr">
        <is>
          <t>600發/顆</t>
        </is>
      </c>
      <c r="L1578" s="560" t="n">
        <v>22604</v>
      </c>
    </row>
    <row r="1579" ht="17.25" customHeight="1" s="453" thickBot="1">
      <c r="A1579" s="553">
        <f>IFERROR(LEFT(B1579,7),"")</f>
        <v/>
      </c>
      <c r="B1579" s="554">
        <f>"2026/03"&amp;D1579</f>
        <v/>
      </c>
      <c r="C1579" s="559" t="n">
        <v>43</v>
      </c>
      <c r="D1579" s="484" t="inlineStr">
        <is>
          <t>站前4樓</t>
        </is>
      </c>
      <c r="E1579" s="484" t="inlineStr">
        <is>
          <t>6180005</t>
        </is>
      </c>
      <c r="F1579" s="551" t="n"/>
      <c r="G1579" s="484" t="inlineStr">
        <is>
          <t>(V)MINT秘特拉提線FINE 18CM/ 條</t>
        </is>
      </c>
      <c r="H1579" s="552" t="n"/>
      <c r="I1579" s="552" t="n"/>
      <c r="J1579" s="551" t="n"/>
      <c r="K1579" s="140" t="inlineStr">
        <is>
          <t>20條/盒</t>
        </is>
      </c>
      <c r="L1579" s="560" t="n">
        <v>12</v>
      </c>
    </row>
    <row r="1580" ht="17.25" customHeight="1" s="453" thickBot="1">
      <c r="A1580" s="553">
        <f>IFERROR(LEFT(B1580,7),"")</f>
        <v/>
      </c>
      <c r="B1580" s="554">
        <f>"2026/03"&amp;D1580</f>
        <v/>
      </c>
      <c r="C1580" s="559" t="n">
        <v>44</v>
      </c>
      <c r="D1580" s="484" t="inlineStr">
        <is>
          <t>站前4樓</t>
        </is>
      </c>
      <c r="E1580" s="484" t="inlineStr">
        <is>
          <t>6180009</t>
        </is>
      </c>
      <c r="F1580" s="551" t="n"/>
      <c r="G1580" s="484" t="inlineStr">
        <is>
          <t>(V)MINT秘特拉提線TIP 4CM/ 條</t>
        </is>
      </c>
      <c r="H1580" s="552" t="n"/>
      <c r="I1580" s="552" t="n"/>
      <c r="J1580" s="551" t="n"/>
      <c r="K1580" s="140" t="inlineStr">
        <is>
          <t>10條/盒</t>
        </is>
      </c>
      <c r="L1580" s="560" t="n">
        <v>4</v>
      </c>
    </row>
    <row r="1581" ht="17.25" customHeight="1" s="453" thickBot="1">
      <c r="A1581" s="553">
        <f>IFERROR(LEFT(B1581,7),"")</f>
        <v/>
      </c>
      <c r="B1581" s="554">
        <f>"2026/03"&amp;D1581</f>
        <v/>
      </c>
      <c r="C1581" s="559" t="n">
        <v>45</v>
      </c>
      <c r="D1581" s="484" t="inlineStr">
        <is>
          <t>站前4樓</t>
        </is>
      </c>
      <c r="E1581" s="484" t="inlineStr">
        <is>
          <t>6180011</t>
        </is>
      </c>
      <c r="F1581" s="551" t="n"/>
      <c r="G1581" s="484" t="inlineStr">
        <is>
          <t>(V)MINT秘特拉提線UP 9.5CM/ 條</t>
        </is>
      </c>
      <c r="H1581" s="552" t="n"/>
      <c r="I1581" s="552" t="n"/>
      <c r="J1581" s="551" t="n"/>
      <c r="K1581" s="140" t="inlineStr">
        <is>
          <t>10條/盒</t>
        </is>
      </c>
      <c r="L1581" s="560" t="n">
        <v>4</v>
      </c>
    </row>
    <row r="1582" ht="17.25" customHeight="1" s="453" thickBot="1">
      <c r="A1582" s="553">
        <f>IFERROR(LEFT(B1582,7),"")</f>
        <v/>
      </c>
      <c r="B1582" s="554">
        <f>"2026/03"&amp;D1582</f>
        <v/>
      </c>
      <c r="C1582" s="559" t="n">
        <v>46</v>
      </c>
      <c r="D1582" s="484" t="inlineStr">
        <is>
          <t>站前4樓</t>
        </is>
      </c>
      <c r="E1582" s="484" t="inlineStr">
        <is>
          <t>6190002</t>
        </is>
      </c>
      <c r="F1582" s="551" t="n"/>
      <c r="G1582" s="484" t="inlineStr">
        <is>
          <t>PLT生長因子凍晶製備6入(單瓶)</t>
        </is>
      </c>
      <c r="H1582" s="552" t="n"/>
      <c r="I1582" s="552" t="n"/>
      <c r="J1582" s="551" t="n"/>
      <c r="K1582" s="140" t="inlineStr">
        <is>
          <t>瓶(6入/組)</t>
        </is>
      </c>
      <c r="L1582" s="560" t="n">
        <v>5</v>
      </c>
    </row>
    <row r="1583" ht="17.25" customHeight="1" s="453" thickBot="1">
      <c r="A1583" s="553">
        <f>IFERROR(LEFT(B1583,7),"")</f>
        <v/>
      </c>
      <c r="B1583" s="554">
        <f>"2026/03"&amp;D1583</f>
        <v/>
      </c>
      <c r="C1583" s="559" t="n">
        <v>47</v>
      </c>
      <c r="D1583" s="484" t="inlineStr">
        <is>
          <t>站前4樓</t>
        </is>
      </c>
      <c r="E1583" s="484" t="inlineStr">
        <is>
          <t>6190003</t>
        </is>
      </c>
      <c r="F1583" s="551" t="n"/>
      <c r="G1583" s="484" t="inlineStr">
        <is>
          <t>PLT生長因子凍晶製備10入(單瓶)</t>
        </is>
      </c>
      <c r="H1583" s="552" t="n"/>
      <c r="I1583" s="552" t="n"/>
      <c r="J1583" s="551" t="n"/>
      <c r="K1583" s="140" t="inlineStr">
        <is>
          <t>瓶(10入/組)</t>
        </is>
      </c>
      <c r="L1583" s="560" t="n">
        <v>4</v>
      </c>
    </row>
    <row r="1584" ht="17.25" customHeight="1" s="453" thickBot="1">
      <c r="A1584" s="553">
        <f>IFERROR(LEFT(B1584,7),"")</f>
        <v/>
      </c>
      <c r="B1584" s="554">
        <f>"2026/03"&amp;D1584</f>
        <v/>
      </c>
      <c r="C1584" s="559" t="n">
        <v>48</v>
      </c>
      <c r="D1584" s="484" t="inlineStr">
        <is>
          <t>站前4樓</t>
        </is>
      </c>
      <c r="E1584" s="484" t="inlineStr">
        <is>
          <t>6190004</t>
        </is>
      </c>
      <c r="F1584" s="551" t="n"/>
      <c r="G1584" s="484" t="inlineStr">
        <is>
          <t>PLT生長因子凍晶製備20入(單瓶)</t>
        </is>
      </c>
      <c r="H1584" s="552" t="n"/>
      <c r="I1584" s="552" t="n"/>
      <c r="J1584" s="551" t="n"/>
      <c r="K1584" s="140" t="inlineStr">
        <is>
          <t>瓶(20入/組)</t>
        </is>
      </c>
      <c r="L1584" s="560" t="n">
        <v>35</v>
      </c>
    </row>
    <row r="1585" ht="17.25" customHeight="1" s="453" thickBot="1">
      <c r="A1585" s="553">
        <f>IFERROR(LEFT(B1585,7),"")</f>
        <v/>
      </c>
      <c r="B1585" s="554">
        <f>"2026/03"&amp;D1585</f>
        <v/>
      </c>
      <c r="C1585" s="559" t="n">
        <v>49</v>
      </c>
      <c r="D1585" s="484" t="inlineStr">
        <is>
          <t>站前4樓</t>
        </is>
      </c>
      <c r="E1585" s="484" t="inlineStr">
        <is>
          <t>6200003</t>
        </is>
      </c>
      <c r="F1585" s="551" t="n"/>
      <c r="G1585" s="484" t="inlineStr">
        <is>
          <t>(V)倍克脂Belkyra/ 瓶(20的倍數下單)</t>
        </is>
      </c>
      <c r="H1585" s="552" t="n"/>
      <c r="I1585" s="552" t="n"/>
      <c r="J1585" s="551" t="n"/>
      <c r="K1585" s="140" t="inlineStr">
        <is>
          <t>4瓶/盒</t>
        </is>
      </c>
      <c r="L1585" s="560" t="n">
        <v>5</v>
      </c>
    </row>
    <row r="1586" ht="17.25" customHeight="1" s="453" thickBot="1">
      <c r="A1586" s="553">
        <f>IFERROR(LEFT(B1586,7),"")</f>
        <v/>
      </c>
      <c r="B1586" s="554">
        <f>"2026/03"&amp;D1586</f>
        <v/>
      </c>
      <c r="C1586" s="559" t="n">
        <v>50</v>
      </c>
      <c r="D1586" s="484" t="inlineStr">
        <is>
          <t>站前4樓</t>
        </is>
      </c>
      <c r="E1586" s="484" t="inlineStr">
        <is>
          <t>6210002</t>
        </is>
      </c>
      <c r="F1586" s="551" t="n"/>
      <c r="G1586" s="484" t="inlineStr">
        <is>
          <t>(V)水光針針頭/31G9針/1.2mm/ PCS</t>
        </is>
      </c>
      <c r="H1586" s="552" t="n"/>
      <c r="I1586" s="552" t="n"/>
      <c r="J1586" s="551" t="n"/>
      <c r="K1586" s="140" t="inlineStr">
        <is>
          <t>PCS(20入/盒)</t>
        </is>
      </c>
      <c r="L1586" s="560" t="n">
        <v>184</v>
      </c>
    </row>
    <row r="1587" ht="17.25" customHeight="1" s="453" thickBot="1">
      <c r="A1587" s="553">
        <f>IFERROR(LEFT(B1587,7),"")</f>
        <v/>
      </c>
      <c r="B1587" s="554">
        <f>"2026/03"&amp;D1587</f>
        <v/>
      </c>
      <c r="C1587" s="559" t="n">
        <v>51</v>
      </c>
      <c r="D1587" s="484" t="inlineStr">
        <is>
          <t>站前4樓</t>
        </is>
      </c>
      <c r="E1587" s="484" t="inlineStr">
        <is>
          <t>6210003</t>
        </is>
      </c>
      <c r="F1587" s="551" t="n"/>
      <c r="G1587" s="484" t="inlineStr">
        <is>
          <t>(V)水光針針頭/31G9針/1.5mm/ PCS</t>
        </is>
      </c>
      <c r="H1587" s="552" t="n"/>
      <c r="I1587" s="552" t="n"/>
      <c r="J1587" s="551" t="n"/>
      <c r="K1587" s="140" t="inlineStr">
        <is>
          <t>PCS(20入/盒)</t>
        </is>
      </c>
      <c r="L1587" s="560" t="n">
        <v>15</v>
      </c>
    </row>
    <row r="1588" ht="17.25" customHeight="1" s="453" thickBot="1">
      <c r="A1588" s="553">
        <f>IFERROR(LEFT(B1588,7),"")</f>
        <v/>
      </c>
      <c r="B1588" s="554">
        <f>"2026/03"&amp;D1588</f>
        <v/>
      </c>
      <c r="C1588" s="559" t="n">
        <v>52</v>
      </c>
      <c r="D1588" s="484" t="inlineStr">
        <is>
          <t>站前4樓</t>
        </is>
      </c>
      <c r="E1588" s="484" t="inlineStr">
        <is>
          <t>6210005</t>
        </is>
      </c>
      <c r="F1588" s="551" t="n"/>
      <c r="G1588" s="484" t="inlineStr">
        <is>
          <t>(V)水光針針頭/32G9針/1.0mm/ PCS</t>
        </is>
      </c>
      <c r="H1588" s="552" t="n"/>
      <c r="I1588" s="552" t="n"/>
      <c r="J1588" s="551" t="n"/>
      <c r="K1588" s="140" t="inlineStr">
        <is>
          <t>PCS(20入/盒)</t>
        </is>
      </c>
      <c r="L1588" s="560" t="n">
        <v>6</v>
      </c>
    </row>
    <row r="1589" ht="17.25" customHeight="1" s="453" thickBot="1">
      <c r="A1589" s="553">
        <f>IFERROR(LEFT(B1589,7),"")</f>
        <v/>
      </c>
      <c r="B1589" s="554">
        <f>"2026/03"&amp;D1589</f>
        <v/>
      </c>
      <c r="C1589" s="559" t="n">
        <v>53</v>
      </c>
      <c r="D1589" s="484" t="inlineStr">
        <is>
          <t>站前4樓</t>
        </is>
      </c>
      <c r="E1589" s="484" t="inlineStr">
        <is>
          <t>6210006</t>
        </is>
      </c>
      <c r="F1589" s="551" t="n"/>
      <c r="G1589" s="484" t="inlineStr">
        <is>
          <t>(V)麗珠蘭修復水光(A劑2ml+B劑2ml)</t>
        </is>
      </c>
      <c r="H1589" s="552" t="n"/>
      <c r="I1589" s="552" t="n"/>
      <c r="J1589" s="551" t="n"/>
      <c r="K1589" s="140" t="inlineStr">
        <is>
          <t>2ml*2</t>
        </is>
      </c>
      <c r="L1589" s="560" t="n">
        <v>10</v>
      </c>
    </row>
    <row r="1590" ht="17.25" customHeight="1" s="453" thickBot="1">
      <c r="A1590" s="553">
        <f>IFERROR(LEFT(B1590,7),"")</f>
        <v/>
      </c>
      <c r="B1590" s="554">
        <f>"2026/03"&amp;D1590</f>
        <v/>
      </c>
      <c r="C1590" s="559" t="n">
        <v>54</v>
      </c>
      <c r="D1590" s="484" t="inlineStr">
        <is>
          <t>站前4樓</t>
        </is>
      </c>
      <c r="E1590" s="484" t="inlineStr">
        <is>
          <t>6210007</t>
        </is>
      </c>
      <c r="F1590" s="551" t="n"/>
      <c r="G1590" s="484" t="inlineStr">
        <is>
          <t>(V)麗珠蘭白瓷水光(A劑2ml+B劑2ml)</t>
        </is>
      </c>
      <c r="H1590" s="552" t="n"/>
      <c r="I1590" s="552" t="n"/>
      <c r="J1590" s="551" t="n"/>
      <c r="K1590" s="140" t="inlineStr">
        <is>
          <t>2ml*2</t>
        </is>
      </c>
      <c r="L1590" s="560" t="n">
        <v>5</v>
      </c>
    </row>
    <row r="1591" ht="17.25" customHeight="1" s="453" thickBot="1">
      <c r="A1591" s="553">
        <f>IFERROR(LEFT(B1591,7),"")</f>
        <v/>
      </c>
      <c r="B1591" s="554">
        <f>"2026/03"&amp;D1591</f>
        <v/>
      </c>
      <c r="C1591" s="559" t="n">
        <v>55</v>
      </c>
      <c r="D1591" s="484" t="inlineStr">
        <is>
          <t>站前4樓</t>
        </is>
      </c>
      <c r="E1591" s="484" t="inlineStr">
        <is>
          <t>6210008</t>
        </is>
      </c>
      <c r="F1591" s="551" t="n"/>
      <c r="G1591" s="484" t="inlineStr">
        <is>
          <t>微針筆針頭</t>
        </is>
      </c>
      <c r="H1591" s="552" t="n"/>
      <c r="I1591" s="552" t="n"/>
      <c r="J1591" s="551" t="n"/>
      <c r="K1591" s="140" t="inlineStr">
        <is>
          <t>PCS(33入/盒)</t>
        </is>
      </c>
      <c r="L1591" s="560" t="n">
        <v>5</v>
      </c>
    </row>
    <row r="1592" ht="17.25" customHeight="1" s="453" thickBot="1">
      <c r="A1592" s="553">
        <f>IFERROR(LEFT(B1592,7),"")</f>
        <v/>
      </c>
      <c r="B1592" s="554">
        <f>"2026/03"&amp;D1592</f>
        <v/>
      </c>
      <c r="C1592" s="559" t="n">
        <v>56</v>
      </c>
      <c r="D1592" s="484" t="inlineStr">
        <is>
          <t>站前4樓</t>
        </is>
      </c>
      <c r="E1592" s="484" t="inlineStr">
        <is>
          <t>6220005</t>
        </is>
      </c>
      <c r="F1592" s="551" t="n"/>
      <c r="G1592" s="484" t="inlineStr">
        <is>
          <t>海菲秀深藍端頭/ 顆</t>
        </is>
      </c>
      <c r="H1592" s="552" t="n"/>
      <c r="I1592" s="552" t="n"/>
      <c r="J1592" s="551" t="n"/>
      <c r="K1592" s="140" t="inlineStr">
        <is>
          <t>15顆/串</t>
        </is>
      </c>
      <c r="L1592" s="560" t="n">
        <v>602</v>
      </c>
    </row>
    <row r="1593" ht="17.25" customHeight="1" s="453" thickBot="1">
      <c r="A1593" s="553">
        <f>IFERROR(LEFT(B1593,7),"")</f>
        <v/>
      </c>
      <c r="B1593" s="554">
        <f>"2026/03"&amp;D1593</f>
        <v/>
      </c>
      <c r="C1593" s="559" t="n">
        <v>57</v>
      </c>
      <c r="D1593" s="484" t="inlineStr">
        <is>
          <t>站前4樓</t>
        </is>
      </c>
      <c r="E1593" s="484" t="inlineStr">
        <is>
          <t>6220006</t>
        </is>
      </c>
      <c r="F1593" s="551" t="n"/>
      <c r="G1593" s="484" t="inlineStr">
        <is>
          <t>海菲秀淺藍端頭/ 顆</t>
        </is>
      </c>
      <c r="H1593" s="552" t="n"/>
      <c r="I1593" s="552" t="n"/>
      <c r="J1593" s="551" t="n"/>
      <c r="K1593" s="140" t="inlineStr">
        <is>
          <t>15顆/串</t>
        </is>
      </c>
      <c r="L1593" s="560" t="n">
        <v>602</v>
      </c>
    </row>
    <row r="1594" ht="17.25" customHeight="1" s="453" thickBot="1">
      <c r="A1594" s="553">
        <f>IFERROR(LEFT(B1594,7),"")</f>
        <v/>
      </c>
      <c r="B1594" s="554">
        <f>"2026/03"&amp;D1594</f>
        <v/>
      </c>
      <c r="C1594" s="559" t="n">
        <v>58</v>
      </c>
      <c r="D1594" s="484" t="inlineStr">
        <is>
          <t>站前4樓</t>
        </is>
      </c>
      <c r="E1594" s="484" t="inlineStr">
        <is>
          <t>6220007</t>
        </is>
      </c>
      <c r="F1594" s="551" t="n"/>
      <c r="G1594" s="484" t="inlineStr">
        <is>
          <t>海菲秀透明端頭/ 顆</t>
        </is>
      </c>
      <c r="H1594" s="552" t="n"/>
      <c r="I1594" s="552" t="n"/>
      <c r="J1594" s="551" t="n"/>
      <c r="K1594" s="140" t="inlineStr">
        <is>
          <t>15顆/串</t>
        </is>
      </c>
      <c r="L1594" s="560" t="n">
        <v>602</v>
      </c>
    </row>
    <row r="1595" ht="17.25" customHeight="1" s="453" thickBot="1">
      <c r="A1595" s="553">
        <f>IFERROR(LEFT(B1595,7),"")</f>
        <v/>
      </c>
      <c r="B1595" s="554">
        <f>"2026/03"&amp;D1595</f>
        <v/>
      </c>
      <c r="C1595" s="559" t="n">
        <v>59</v>
      </c>
      <c r="D1595" s="484" t="inlineStr">
        <is>
          <t>站前4樓</t>
        </is>
      </c>
      <c r="E1595" s="484" t="inlineStr">
        <is>
          <t>6220012</t>
        </is>
      </c>
      <c r="F1595" s="551" t="n"/>
      <c r="G1595" s="484" t="inlineStr">
        <is>
          <t>(V)(第一劑)海菲秀 Activ-4 Skin Solution/mL</t>
        </is>
      </c>
      <c r="H1595" s="552" t="n"/>
      <c r="I1595" s="552" t="n"/>
      <c r="J1595" s="551" t="n"/>
      <c r="K1595" s="140" t="inlineStr">
        <is>
          <t>236ml/瓶</t>
        </is>
      </c>
      <c r="L1595" s="560" t="n">
        <v>9030</v>
      </c>
    </row>
    <row r="1596" ht="17.25" customHeight="1" s="453" thickBot="1">
      <c r="A1596" s="553">
        <f>IFERROR(LEFT(B1596,7),"")</f>
        <v/>
      </c>
      <c r="B1596" s="554">
        <f>"2026/03"&amp;D1596</f>
        <v/>
      </c>
      <c r="C1596" s="559" t="n">
        <v>60</v>
      </c>
      <c r="D1596" s="484" t="inlineStr">
        <is>
          <t>站前4樓</t>
        </is>
      </c>
      <c r="E1596" s="484" t="inlineStr">
        <is>
          <t>6220013</t>
        </is>
      </c>
      <c r="F1596" s="551" t="n"/>
      <c r="G1596" s="484" t="inlineStr">
        <is>
          <t>(V)(第二劑)海菲秀 Beta-HD Skin Solution /mL</t>
        </is>
      </c>
      <c r="H1596" s="552" t="n"/>
      <c r="I1596" s="552" t="n"/>
      <c r="J1596" s="551" t="n"/>
      <c r="K1596" s="140" t="inlineStr">
        <is>
          <t>236ml/瓶</t>
        </is>
      </c>
      <c r="L1596" s="560" t="n">
        <v>9030</v>
      </c>
    </row>
    <row r="1597" ht="17.25" customHeight="1" s="453" thickBot="1">
      <c r="A1597" s="553">
        <f>IFERROR(LEFT(B1597,7),"")</f>
        <v/>
      </c>
      <c r="B1597" s="554">
        <f>"2026/03"&amp;D1597</f>
        <v/>
      </c>
      <c r="C1597" s="559" t="n">
        <v>61</v>
      </c>
      <c r="D1597" s="484" t="inlineStr">
        <is>
          <t>站前4樓</t>
        </is>
      </c>
      <c r="E1597" s="484" t="inlineStr">
        <is>
          <t>6220014</t>
        </is>
      </c>
      <c r="F1597" s="551" t="n"/>
      <c r="G1597" s="484" t="inlineStr">
        <is>
          <t>(V)(第三劑)海菲秀 Antiox-6 Skin Solution /mL</t>
        </is>
      </c>
      <c r="H1597" s="552" t="n"/>
      <c r="I1597" s="552" t="n"/>
      <c r="J1597" s="551" t="n"/>
      <c r="K1597" s="140" t="inlineStr">
        <is>
          <t>236ml/瓶</t>
        </is>
      </c>
      <c r="L1597" s="560" t="n">
        <v>9030</v>
      </c>
    </row>
    <row r="1598" ht="17.25" customHeight="1" s="453" thickBot="1">
      <c r="A1598" s="553">
        <f>IFERROR(LEFT(B1598,7),"")</f>
        <v/>
      </c>
      <c r="B1598" s="554">
        <f>"2026/03"&amp;D1598</f>
        <v/>
      </c>
      <c r="C1598" s="559" t="n">
        <v>62</v>
      </c>
      <c r="D1598" s="484" t="inlineStr">
        <is>
          <t>站前4樓</t>
        </is>
      </c>
      <c r="E1598" s="484" t="inlineStr">
        <is>
          <t>6220015</t>
        </is>
      </c>
      <c r="F1598" s="551" t="n"/>
      <c r="G1598" s="484" t="inlineStr">
        <is>
          <t>(V)(第四劑)海菲秀 Rinseaway System Cleaning Solution /mL</t>
        </is>
      </c>
      <c r="H1598" s="552" t="n"/>
      <c r="I1598" s="552" t="n"/>
      <c r="J1598" s="551" t="n"/>
      <c r="K1598" s="140" t="inlineStr">
        <is>
          <t>236ml/瓶</t>
        </is>
      </c>
      <c r="L1598" s="560" t="n">
        <v>9030</v>
      </c>
    </row>
    <row r="1599" ht="17.25" customHeight="1" s="453" thickBot="1">
      <c r="A1599" s="553">
        <f>IFERROR(LEFT(B1599,7),"")</f>
        <v/>
      </c>
      <c r="B1599" s="554">
        <f>"2026/03"&amp;D1599</f>
        <v/>
      </c>
      <c r="C1599" s="559" t="n">
        <v>63</v>
      </c>
      <c r="D1599" s="484" t="inlineStr">
        <is>
          <t>站前11樓</t>
        </is>
      </c>
      <c r="E1599" s="484" t="inlineStr">
        <is>
          <t>6120001</t>
        </is>
      </c>
      <c r="F1599" s="551" t="n"/>
      <c r="G1599" s="484" t="inlineStr">
        <is>
          <t>(V)肝得健注射劑/ 瓶，220倍數叫貨</t>
        </is>
      </c>
      <c r="H1599" s="552" t="n"/>
      <c r="I1599" s="552" t="n"/>
      <c r="J1599" s="551" t="n"/>
      <c r="K1599" s="140" t="inlineStr">
        <is>
          <t>20支/盒</t>
        </is>
      </c>
      <c r="L1599" s="560" t="n">
        <v>733</v>
      </c>
    </row>
    <row r="1600" ht="17.25" customHeight="1" s="453" thickBot="1">
      <c r="A1600" s="553">
        <f>IFERROR(LEFT(B1600,7),"")</f>
        <v/>
      </c>
      <c r="B1600" s="554">
        <f>"2026/03"&amp;D1600</f>
        <v/>
      </c>
      <c r="C1600" s="559" t="n">
        <v>64</v>
      </c>
      <c r="D1600" s="484" t="inlineStr">
        <is>
          <t>站前11樓</t>
        </is>
      </c>
      <c r="E1600" s="484" t="inlineStr">
        <is>
          <t>6120002</t>
        </is>
      </c>
      <c r="F1600" s="551" t="n"/>
      <c r="G1600" s="484" t="inlineStr">
        <is>
          <t>(V)卡妮丁注射劑/ 瓶，220倍數叫貨</t>
        </is>
      </c>
      <c r="H1600" s="552" t="n"/>
      <c r="I1600" s="552" t="n"/>
      <c r="J1600" s="551" t="n"/>
      <c r="K1600" s="140" t="inlineStr">
        <is>
          <t>5支/盒</t>
        </is>
      </c>
      <c r="L1600" s="560" t="n">
        <v>964.5</v>
      </c>
    </row>
    <row r="1601" ht="17.25" customHeight="1" s="453" thickBot="1">
      <c r="A1601" s="553">
        <f>IFERROR(LEFT(B1601,7),"")</f>
        <v/>
      </c>
      <c r="B1601" s="554">
        <f>"2026/03"&amp;D1601</f>
        <v/>
      </c>
      <c r="C1601" s="559" t="n">
        <v>65</v>
      </c>
      <c r="D1601" s="484" t="inlineStr">
        <is>
          <t>站前11樓</t>
        </is>
      </c>
      <c r="E1601" s="484" t="inlineStr">
        <is>
          <t>6120003</t>
        </is>
      </c>
      <c r="F1601" s="551" t="n"/>
      <c r="G1601" s="484" t="inlineStr">
        <is>
          <t>(V)貝力多(雙胜胺) 20% 30mL/ 瓶，50倍數叫貨</t>
        </is>
      </c>
      <c r="H1601" s="552" t="n"/>
      <c r="I1601" s="552" t="n"/>
      <c r="J1601" s="551" t="n"/>
      <c r="K1601" s="140" t="inlineStr">
        <is>
          <t>10支/盒</t>
        </is>
      </c>
      <c r="L1601" s="560" t="n">
        <v>3</v>
      </c>
    </row>
    <row r="1602" ht="17.25" customHeight="1" s="453" thickBot="1">
      <c r="A1602" s="553">
        <f>IFERROR(LEFT(B1602,7),"")</f>
        <v/>
      </c>
      <c r="B1602" s="554">
        <f>"2026/03"&amp;D1602</f>
        <v/>
      </c>
      <c r="C1602" s="559" t="n">
        <v>66</v>
      </c>
      <c r="D1602" s="484" t="inlineStr">
        <is>
          <t>站前11樓</t>
        </is>
      </c>
      <c r="E1602" s="484" t="inlineStr">
        <is>
          <t>6120004</t>
        </is>
      </c>
      <c r="F1602" s="551" t="n"/>
      <c r="G1602" s="484" t="inlineStr">
        <is>
          <t>(V)胺基酸點滴250ml/ 袋(安命活源/嘉安命)，20倍數叫貨</t>
        </is>
      </c>
      <c r="H1602" s="552" t="n"/>
      <c r="I1602" s="552" t="n"/>
      <c r="J1602" s="551" t="n"/>
      <c r="K1602" s="140" t="inlineStr">
        <is>
          <t>(20瓶/箱)</t>
        </is>
      </c>
      <c r="L1602" s="560" t="n">
        <v>23</v>
      </c>
    </row>
    <row r="1603" ht="17.25" customHeight="1" s="453" thickBot="1">
      <c r="A1603" s="553">
        <f>IFERROR(LEFT(B1603,7),"")</f>
        <v/>
      </c>
      <c r="B1603" s="554">
        <f>"2026/03"&amp;D1603</f>
        <v/>
      </c>
      <c r="C1603" s="559" t="n">
        <v>67</v>
      </c>
      <c r="D1603" s="484" t="inlineStr">
        <is>
          <t>站前11樓</t>
        </is>
      </c>
      <c r="E1603" s="484" t="inlineStr">
        <is>
          <t>6120006</t>
        </is>
      </c>
      <c r="F1603" s="551" t="n"/>
      <c r="G1603" s="484" t="inlineStr">
        <is>
          <t>(V)(B12) 愛壽命 2mL，100倍數叫貨</t>
        </is>
      </c>
      <c r="H1603" s="552" t="n"/>
      <c r="I1603" s="552" t="n"/>
      <c r="J1603" s="551" t="n"/>
      <c r="K1603" s="140" t="inlineStr">
        <is>
          <t>(100支/盒)</t>
        </is>
      </c>
      <c r="L1603" s="560" t="n">
        <v>474</v>
      </c>
    </row>
    <row r="1604" ht="17.25" customHeight="1" s="453" thickBot="1">
      <c r="A1604" s="553">
        <f>IFERROR(LEFT(B1604,7),"")</f>
        <v/>
      </c>
      <c r="B1604" s="554">
        <f>"2026/03"&amp;D1604</f>
        <v/>
      </c>
      <c r="C1604" s="559" t="n">
        <v>68</v>
      </c>
      <c r="D1604" s="484" t="inlineStr">
        <is>
          <t>站前11樓</t>
        </is>
      </c>
      <c r="E1604" s="484" t="inlineStr">
        <is>
          <t>6120007</t>
        </is>
      </c>
      <c r="F1604" s="551" t="n"/>
      <c r="G1604" s="484" t="inlineStr">
        <is>
          <t>(V)(硫酸鋅) 1ml/支，100倍數叫貨</t>
        </is>
      </c>
      <c r="H1604" s="552" t="n"/>
      <c r="I1604" s="552" t="n"/>
      <c r="J1604" s="551" t="n"/>
      <c r="K1604" s="140" t="inlineStr">
        <is>
          <t>100支/盒</t>
        </is>
      </c>
      <c r="L1604" s="560" t="n">
        <v>15</v>
      </c>
    </row>
    <row r="1605" ht="17.25" customHeight="1" s="453" thickBot="1">
      <c r="A1605" s="553">
        <f>IFERROR(LEFT(B1605,7),"")</f>
        <v/>
      </c>
      <c r="B1605" s="554">
        <f>"2026/03"&amp;D1605</f>
        <v/>
      </c>
      <c r="C1605" s="559" t="n">
        <v>69</v>
      </c>
      <c r="D1605" s="484" t="inlineStr">
        <is>
          <t>站前11樓</t>
        </is>
      </c>
      <c r="E1605" s="484" t="inlineStr">
        <is>
          <t>6120008</t>
        </is>
      </c>
      <c r="F1605" s="551" t="n"/>
      <c r="G1605" s="484" t="inlineStr">
        <is>
          <t>(V)(硫酸鎂) 注射液 20ml/支</t>
        </is>
      </c>
      <c r="H1605" s="552" t="n"/>
      <c r="I1605" s="552" t="n"/>
      <c r="J1605" s="551" t="n"/>
      <c r="K1605" s="140" t="inlineStr">
        <is>
          <t>60支/盒</t>
        </is>
      </c>
      <c r="L1605" s="560" t="n">
        <v>1</v>
      </c>
    </row>
    <row r="1606" ht="17.25" customHeight="1" s="453" thickBot="1">
      <c r="A1606" s="553">
        <f>IFERROR(LEFT(B1606,7),"")</f>
        <v/>
      </c>
      <c r="B1606" s="554">
        <f>"2026/03"&amp;D1606</f>
        <v/>
      </c>
      <c r="C1606" s="559" t="n">
        <v>70</v>
      </c>
      <c r="D1606" s="484" t="inlineStr">
        <is>
          <t>站前11樓</t>
        </is>
      </c>
      <c r="E1606" s="484" t="inlineStr">
        <is>
          <t>6120009</t>
        </is>
      </c>
      <c r="F1606" s="551" t="n"/>
      <c r="G1606" s="484" t="inlineStr">
        <is>
          <t>(V)(B1) 硫胺明 2ml</t>
        </is>
      </c>
      <c r="H1606" s="552" t="n"/>
      <c r="I1606" s="552" t="n"/>
      <c r="J1606" s="551" t="n"/>
      <c r="K1606" s="140" t="inlineStr">
        <is>
          <t>(100支/盒)</t>
        </is>
      </c>
      <c r="L1606" s="560" t="n">
        <v>14</v>
      </c>
    </row>
    <row r="1607" ht="17.25" customHeight="1" s="453" thickBot="1">
      <c r="A1607" s="553">
        <f>IFERROR(LEFT(B1607,7),"")</f>
        <v/>
      </c>
      <c r="B1607" s="554">
        <f>"2026/03"&amp;D1607</f>
        <v/>
      </c>
      <c r="C1607" s="559" t="n">
        <v>71</v>
      </c>
      <c r="D1607" s="484" t="inlineStr">
        <is>
          <t>站前11樓</t>
        </is>
      </c>
      <c r="E1607" s="484" t="inlineStr">
        <is>
          <t>6120010</t>
        </is>
      </c>
      <c r="F1607" s="551" t="n"/>
      <c r="G1607" s="484" t="inlineStr">
        <is>
          <t>(V)(B6) 活性維生素 2ml，100倍數叫貨</t>
        </is>
      </c>
      <c r="H1607" s="552" t="n"/>
      <c r="I1607" s="552" t="n"/>
      <c r="J1607" s="551" t="n"/>
      <c r="K1607" s="140" t="inlineStr">
        <is>
          <t>(100支/盒)</t>
        </is>
      </c>
      <c r="L1607" s="560" t="n">
        <v>14</v>
      </c>
    </row>
    <row r="1608" ht="17.25" customHeight="1" s="453" thickBot="1">
      <c r="A1608" s="553">
        <f>IFERROR(LEFT(B1608,7),"")</f>
        <v/>
      </c>
      <c r="B1608" s="554">
        <f>"2026/03"&amp;D1608</f>
        <v/>
      </c>
      <c r="C1608" s="559" t="n">
        <v>72</v>
      </c>
      <c r="D1608" s="484" t="inlineStr">
        <is>
          <t>站前11樓</t>
        </is>
      </c>
      <c r="E1608" s="484" t="inlineStr">
        <is>
          <t>6120011</t>
        </is>
      </c>
      <c r="F1608" s="551" t="n"/>
      <c r="G1608" s="484" t="inlineStr">
        <is>
          <t>(V)(硒) 西寧特 2ml/支</t>
        </is>
      </c>
      <c r="H1608" s="552" t="n"/>
      <c r="I1608" s="552" t="n"/>
      <c r="J1608" s="551" t="n"/>
      <c r="K1608" s="140" t="inlineStr">
        <is>
          <t>10支/盒</t>
        </is>
      </c>
      <c r="L1608" s="560" t="n">
        <v>4</v>
      </c>
    </row>
    <row r="1609" ht="17.25" customHeight="1" s="453" thickBot="1">
      <c r="A1609" s="553">
        <f>IFERROR(LEFT(B1609,7),"")</f>
        <v/>
      </c>
      <c r="B1609" s="554">
        <f>"2026/03"&amp;D1609</f>
        <v/>
      </c>
      <c r="C1609" s="559" t="n">
        <v>73</v>
      </c>
      <c r="D1609" s="484" t="inlineStr">
        <is>
          <t>站前11樓</t>
        </is>
      </c>
      <c r="E1609" s="484" t="inlineStr">
        <is>
          <t>6120013</t>
        </is>
      </c>
      <c r="F1609" s="551" t="n"/>
      <c r="G1609" s="484" t="inlineStr">
        <is>
          <t>(V)生理食鹽水(NS) 250ml/ 袋</t>
        </is>
      </c>
      <c r="H1609" s="552" t="n"/>
      <c r="I1609" s="552" t="n"/>
      <c r="J1609" s="551" t="n"/>
      <c r="K1609" s="140" t="inlineStr">
        <is>
          <t>40瓶/箱</t>
        </is>
      </c>
      <c r="L1609" s="560" t="n">
        <v>478</v>
      </c>
    </row>
    <row r="1610" ht="17.25" customHeight="1" s="453" thickBot="1">
      <c r="A1610" s="553">
        <f>IFERROR(LEFT(B1610,7),"")</f>
        <v/>
      </c>
      <c r="B1610" s="554">
        <f>"2026/03"&amp;D1610</f>
        <v/>
      </c>
      <c r="C1610" s="559" t="n">
        <v>74</v>
      </c>
      <c r="D1610" s="484" t="inlineStr">
        <is>
          <t>站前11樓</t>
        </is>
      </c>
      <c r="E1610" s="484" t="inlineStr">
        <is>
          <t>6120014</t>
        </is>
      </c>
      <c r="F1610" s="551" t="n"/>
      <c r="G1610" s="484" t="inlineStr">
        <is>
          <t>(V)葡萄糖水(D5W) 250ml/袋</t>
        </is>
      </c>
      <c r="H1610" s="552" t="n"/>
      <c r="I1610" s="552" t="n"/>
      <c r="J1610" s="551" t="n"/>
      <c r="K1610" s="140" t="inlineStr">
        <is>
          <t>60袋/箱</t>
        </is>
      </c>
      <c r="L1610" s="560" t="n">
        <v>658</v>
      </c>
    </row>
    <row r="1611" ht="17.25" customHeight="1" s="453" thickBot="1">
      <c r="A1611" s="553">
        <f>IFERROR(LEFT(B1611,7),"")</f>
        <v/>
      </c>
      <c r="B1611" s="554">
        <f>"2026/03"&amp;D1611</f>
        <v/>
      </c>
      <c r="C1611" s="559" t="n">
        <v>75</v>
      </c>
      <c r="D1611" s="484" t="inlineStr">
        <is>
          <t>站前11樓</t>
        </is>
      </c>
      <c r="E1611" s="484" t="inlineStr">
        <is>
          <t>6120015</t>
        </is>
      </c>
      <c r="F1611" s="551" t="n"/>
      <c r="G1611" s="484" t="inlineStr">
        <is>
          <t>(V)(B群)淘能美複合維他命B 2ml，100倍數叫貨</t>
        </is>
      </c>
      <c r="H1611" s="552" t="n"/>
      <c r="I1611" s="552" t="n"/>
      <c r="J1611" s="551" t="n"/>
      <c r="K1611" s="140" t="n"/>
      <c r="L1611" s="560" t="n">
        <v>24</v>
      </c>
    </row>
    <row r="1612" ht="17.25" customHeight="1" s="453" thickBot="1">
      <c r="A1612" s="553">
        <f>IFERROR(LEFT(B1612,7),"")</f>
        <v/>
      </c>
      <c r="B1612" s="554">
        <f>"2026/03"&amp;D1612</f>
        <v/>
      </c>
      <c r="C1612" s="559" t="n">
        <v>76</v>
      </c>
      <c r="D1612" s="484" t="inlineStr">
        <is>
          <t>站前11樓</t>
        </is>
      </c>
      <c r="E1612" s="484" t="inlineStr">
        <is>
          <t>6120016</t>
        </is>
      </c>
      <c r="F1612" s="551" t="n"/>
      <c r="G1612" s="484" t="inlineStr">
        <is>
          <t>(V)(榖胱肝肽) 克樂達養200mg (20ml/瓶)</t>
        </is>
      </c>
      <c r="H1612" s="552" t="n"/>
      <c r="I1612" s="552" t="n"/>
      <c r="J1612" s="551" t="n"/>
      <c r="K1612" s="140" t="inlineStr">
        <is>
          <t>50支/盒</t>
        </is>
      </c>
      <c r="L1612" s="560" t="n">
        <v>23</v>
      </c>
    </row>
    <row r="1613" ht="17.25" customHeight="1" s="453" thickBot="1">
      <c r="A1613" s="553">
        <f>IFERROR(LEFT(B1613,7),"")</f>
        <v/>
      </c>
      <c r="B1613" s="554">
        <f>"2026/03"&amp;D1613</f>
        <v/>
      </c>
      <c r="C1613" s="559" t="n">
        <v>77</v>
      </c>
      <c r="D1613" s="484" t="inlineStr">
        <is>
          <t>站前11樓</t>
        </is>
      </c>
      <c r="E1613" s="484" t="inlineStr">
        <is>
          <t>6120017</t>
        </is>
      </c>
      <c r="F1613" s="551" t="n"/>
      <c r="G1613" s="484" t="inlineStr">
        <is>
          <t>(V)保肝 5ml/支</t>
        </is>
      </c>
      <c r="H1613" s="552" t="n"/>
      <c r="I1613" s="552" t="n"/>
      <c r="J1613" s="551" t="n"/>
      <c r="K1613" s="140" t="inlineStr">
        <is>
          <t>50支/盒</t>
        </is>
      </c>
      <c r="L1613" s="560" t="n">
        <v>2</v>
      </c>
    </row>
    <row r="1614" ht="17.25" customHeight="1" s="453" thickBot="1">
      <c r="A1614" s="553">
        <f>IFERROR(LEFT(B1614,7),"")</f>
        <v/>
      </c>
      <c r="B1614" s="554">
        <f>"2026/03"&amp;D1614</f>
        <v/>
      </c>
      <c r="C1614" s="559" t="n">
        <v>78</v>
      </c>
      <c r="D1614" s="484" t="inlineStr">
        <is>
          <t>站前11樓</t>
        </is>
      </c>
      <c r="E1614" s="484" t="inlineStr">
        <is>
          <t>6120021</t>
        </is>
      </c>
      <c r="F1614" s="551" t="n"/>
      <c r="G1614" s="484" t="inlineStr">
        <is>
          <t>(V)(Vit C)(抗壞血酸/諾貝爾)20ml，50倍數下單</t>
        </is>
      </c>
      <c r="H1614" s="552" t="n"/>
      <c r="I1614" s="552" t="n"/>
      <c r="J1614" s="551" t="n"/>
      <c r="K1614" s="140" t="inlineStr">
        <is>
          <t>50支/盒</t>
        </is>
      </c>
      <c r="L1614" s="560" t="n">
        <v>25</v>
      </c>
    </row>
    <row r="1615" ht="17.25" customHeight="1" s="453" thickBot="1">
      <c r="A1615" s="553">
        <f>IFERROR(LEFT(B1615,7),"")</f>
        <v/>
      </c>
      <c r="B1615" s="554">
        <f>"2026/03"&amp;D1615</f>
        <v/>
      </c>
      <c r="C1615" s="559" t="n">
        <v>79</v>
      </c>
      <c r="D1615" s="484" t="inlineStr">
        <is>
          <t>站前11樓</t>
        </is>
      </c>
      <c r="E1615" s="484" t="inlineStr">
        <is>
          <t>6120022</t>
        </is>
      </c>
      <c r="F1615" s="551" t="n"/>
      <c r="G1615" s="484" t="inlineStr">
        <is>
          <t>(V)(銀杏) 循必利Gingo注射液0.84毫克/毫升 5ml</t>
        </is>
      </c>
      <c r="H1615" s="552" t="n"/>
      <c r="I1615" s="552" t="n"/>
      <c r="J1615" s="551" t="n"/>
      <c r="K1615" s="140" t="inlineStr">
        <is>
          <t>50支/盒</t>
        </is>
      </c>
      <c r="L1615" s="560" t="n">
        <v>1</v>
      </c>
    </row>
    <row r="1616" ht="17.25" customHeight="1" s="453" thickBot="1">
      <c r="A1616" s="553">
        <f>IFERROR(LEFT(B1616,7),"")</f>
        <v/>
      </c>
      <c r="B1616" s="554">
        <f>"2026/03"&amp;D1616</f>
        <v/>
      </c>
      <c r="C1616" s="559" t="n">
        <v>80</v>
      </c>
      <c r="D1616" s="484" t="inlineStr">
        <is>
          <t>站前11樓</t>
        </is>
      </c>
      <c r="E1616" s="484" t="inlineStr">
        <is>
          <t>6120036</t>
        </is>
      </c>
      <c r="F1616" s="551" t="n"/>
      <c r="G1616" s="484" t="inlineStr">
        <is>
          <t>(V)貝力多(雙胜胺) 20% 50mL/ 瓶，50倍數下單</t>
        </is>
      </c>
      <c r="H1616" s="552" t="n"/>
      <c r="I1616" s="552" t="n"/>
      <c r="J1616" s="551" t="n"/>
      <c r="K1616" s="140" t="inlineStr">
        <is>
          <t>瓶(10瓶/盒)</t>
        </is>
      </c>
      <c r="L1616" s="560" t="n">
        <v>5</v>
      </c>
    </row>
    <row r="1617" ht="17.25" customHeight="1" s="453" thickBot="1">
      <c r="A1617" s="553">
        <f>IFERROR(LEFT(B1617,7),"")</f>
        <v/>
      </c>
      <c r="B1617" s="554">
        <f>"2026/03"&amp;D1617</f>
        <v/>
      </c>
      <c r="C1617" s="559" t="n">
        <v>81</v>
      </c>
      <c r="D1617" s="484" t="inlineStr">
        <is>
          <t>站前11樓</t>
        </is>
      </c>
      <c r="E1617" s="484" t="inlineStr">
        <is>
          <t>6190005</t>
        </is>
      </c>
      <c r="F1617" s="551" t="n"/>
      <c r="G1617" s="484" t="inlineStr">
        <is>
          <t>(V)氦氖針/ 支</t>
        </is>
      </c>
      <c r="H1617" s="552" t="n"/>
      <c r="I1617" s="552" t="n"/>
      <c r="J1617" s="551" t="n"/>
      <c r="K1617" s="140" t="inlineStr">
        <is>
          <t>(50支/包)</t>
        </is>
      </c>
      <c r="L1617" s="560" t="n">
        <v>43</v>
      </c>
    </row>
    <row r="1618" ht="17.25" customHeight="1" s="453" thickBot="1">
      <c r="A1618" s="553">
        <f>IFERROR(LEFT(B1618,7),"")</f>
        <v/>
      </c>
      <c r="B1618" s="554">
        <f>"2026/03"&amp;D1618</f>
        <v/>
      </c>
      <c r="C1618" s="559" t="n">
        <v>82</v>
      </c>
      <c r="D1618" s="484" t="inlineStr">
        <is>
          <t>站前11樓</t>
        </is>
      </c>
      <c r="E1618" s="484" t="inlineStr">
        <is>
          <t>6200004</t>
        </is>
      </c>
      <c r="F1618" s="551" t="n"/>
      <c r="G1618" s="484" t="inlineStr">
        <is>
          <t>阿爾發SAT卡匣/ 發</t>
        </is>
      </c>
      <c r="H1618" s="552" t="n"/>
      <c r="I1618" s="552" t="n"/>
      <c r="J1618" s="551" t="n"/>
      <c r="K1618" s="140" t="inlineStr">
        <is>
          <t>50發/卡</t>
        </is>
      </c>
      <c r="L1618" s="560" t="n">
        <v>2600</v>
      </c>
    </row>
    <row r="1619" ht="17.25" customHeight="1" s="453" thickBot="1">
      <c r="A1619" s="553">
        <f>IFERROR(LEFT(B1619,7),"")</f>
        <v/>
      </c>
      <c r="B1619" s="554">
        <f>"2026/03"&amp;D1619</f>
        <v/>
      </c>
      <c r="C1619" s="559" t="n">
        <v>83</v>
      </c>
      <c r="D1619" s="484" t="inlineStr">
        <is>
          <t>站前11樓</t>
        </is>
      </c>
      <c r="E1619" s="484" t="inlineStr">
        <is>
          <t>6200008</t>
        </is>
      </c>
      <c r="F1619" s="551" t="n"/>
      <c r="G1619" s="484" t="inlineStr">
        <is>
          <t>瘦瘦筆-週纖達*1支(0.25mg)</t>
        </is>
      </c>
      <c r="H1619" s="552" t="n"/>
      <c r="I1619" s="552" t="n"/>
      <c r="J1619" s="551" t="n"/>
      <c r="K1619" s="140" t="inlineStr">
        <is>
          <t>支</t>
        </is>
      </c>
      <c r="L1619" s="560" t="n">
        <v>2</v>
      </c>
    </row>
    <row r="1620" ht="17.25" customHeight="1" s="453" thickBot="1">
      <c r="A1620" s="553">
        <f>IFERROR(LEFT(B1620,7),"")</f>
        <v/>
      </c>
      <c r="B1620" s="554">
        <f>"2026/03"&amp;D1620</f>
        <v/>
      </c>
      <c r="C1620" s="559" t="n">
        <v>84</v>
      </c>
      <c r="D1620" s="484" t="inlineStr">
        <is>
          <t>站前11樓</t>
        </is>
      </c>
      <c r="E1620" s="484" t="inlineStr">
        <is>
          <t>6200010</t>
        </is>
      </c>
      <c r="F1620" s="551" t="n"/>
      <c r="G1620" s="484" t="inlineStr">
        <is>
          <t>瘦瘦筆-週纖達*1支(1.0mg)</t>
        </is>
      </c>
      <c r="H1620" s="552" t="n"/>
      <c r="I1620" s="552" t="n"/>
      <c r="J1620" s="551" t="n"/>
      <c r="K1620" s="140" t="inlineStr">
        <is>
          <t>支</t>
        </is>
      </c>
      <c r="L1620" s="560" t="n">
        <v>3</v>
      </c>
    </row>
    <row r="1621" ht="17.25" customHeight="1" s="453" thickBot="1">
      <c r="A1621" s="553">
        <f>IFERROR(LEFT(B1621,7),"")</f>
        <v/>
      </c>
      <c r="B1621" s="554">
        <f>"2026/03"&amp;D1621</f>
        <v/>
      </c>
      <c r="C1621" s="559" t="n">
        <v>85</v>
      </c>
      <c r="D1621" s="484" t="inlineStr">
        <is>
          <t>站前11樓</t>
        </is>
      </c>
      <c r="E1621" s="484" t="inlineStr">
        <is>
          <t>6200016</t>
        </is>
      </c>
      <c r="F1621" s="551" t="n"/>
      <c r="G1621" s="484" t="inlineStr">
        <is>
          <t>(V)猛健樂*1支(10mg)</t>
        </is>
      </c>
      <c r="H1621" s="552" t="n"/>
      <c r="I1621" s="552" t="n"/>
      <c r="J1621" s="551" t="n"/>
      <c r="K1621" s="140" t="inlineStr">
        <is>
          <t>3cc/支</t>
        </is>
      </c>
      <c r="L1621" s="560" t="n">
        <v>9</v>
      </c>
    </row>
    <row r="1622" ht="17.25" customHeight="1" s="453" thickBot="1">
      <c r="A1622" s="553">
        <f>IFERROR(LEFT(B1622,7),"")</f>
        <v/>
      </c>
      <c r="B1622" s="554">
        <f>"2026/03"&amp;D1622</f>
        <v/>
      </c>
      <c r="C1622" s="559" t="n">
        <v>86</v>
      </c>
      <c r="D1622" s="484" t="inlineStr">
        <is>
          <t>站前11樓</t>
        </is>
      </c>
      <c r="E1622" s="484" t="inlineStr">
        <is>
          <t>6200017</t>
        </is>
      </c>
      <c r="F1622" s="551" t="n"/>
      <c r="G1622" s="484" t="inlineStr">
        <is>
          <t>(V)猛健樂10MG/0.15CC</t>
        </is>
      </c>
      <c r="H1622" s="552" t="n"/>
      <c r="I1622" s="552" t="n"/>
      <c r="J1622" s="551" t="n"/>
      <c r="K1622" s="140" t="inlineStr">
        <is>
          <t>0.15cc/次</t>
        </is>
      </c>
      <c r="L1622" s="560" t="n">
        <v>639.8</v>
      </c>
    </row>
    <row r="1623" ht="17.25" customHeight="1" s="453" thickBot="1">
      <c r="A1623" s="553">
        <f>IFERROR(LEFT(B1623,7),"")</f>
        <v/>
      </c>
      <c r="B1623" s="554">
        <f>"2026/03"&amp;D1623</f>
        <v/>
      </c>
      <c r="C1623" s="559" t="n">
        <v>87</v>
      </c>
      <c r="D1623" s="484" t="inlineStr">
        <is>
          <t>站前11樓</t>
        </is>
      </c>
      <c r="E1623" s="484" t="inlineStr">
        <is>
          <t>6200020</t>
        </is>
      </c>
      <c r="F1623" s="551" t="n"/>
      <c r="G1623" s="484" t="inlineStr">
        <is>
          <t>(V)猛健樂7.5MG/0.2CC</t>
        </is>
      </c>
      <c r="H1623" s="552" t="n"/>
      <c r="I1623" s="552" t="n"/>
      <c r="J1623" s="551" t="n"/>
      <c r="K1623" s="140" t="inlineStr">
        <is>
          <t>0.2cc/次</t>
        </is>
      </c>
      <c r="L1623" s="560" t="n">
        <v>4</v>
      </c>
    </row>
    <row r="1624" ht="17.25" customHeight="1" s="453" thickBot="1">
      <c r="A1624" s="553">
        <f>IFERROR(LEFT(B1624,7),"")</f>
        <v/>
      </c>
      <c r="B1624" s="554">
        <f>"2026/03"&amp;D1624</f>
        <v/>
      </c>
      <c r="C1624" s="559" t="n">
        <v>88</v>
      </c>
      <c r="D1624" s="484" t="inlineStr">
        <is>
          <t>站前11樓</t>
        </is>
      </c>
      <c r="E1624" s="484" t="inlineStr">
        <is>
          <t>6200021</t>
        </is>
      </c>
      <c r="F1624" s="551" t="n"/>
      <c r="G1624" s="484" t="inlineStr">
        <is>
          <t>(V)猛健樂12.5MG/0.12CC</t>
        </is>
      </c>
      <c r="H1624" s="552" t="n"/>
      <c r="I1624" s="552" t="n"/>
      <c r="J1624" s="551" t="n"/>
      <c r="K1624" s="140" t="inlineStr">
        <is>
          <t>0.12cc/次</t>
        </is>
      </c>
      <c r="L1624" s="560" t="n">
        <v>840.5</v>
      </c>
    </row>
    <row r="1625" ht="17.25" customHeight="1" s="453" thickBot="1">
      <c r="A1625" s="553">
        <f>IFERROR(LEFT(B1625,7),"")</f>
        <v/>
      </c>
      <c r="B1625" s="554">
        <f>"2026/03"&amp;D1625</f>
        <v/>
      </c>
      <c r="C1625" s="559" t="n">
        <v>89</v>
      </c>
      <c r="D1625" s="484" t="inlineStr">
        <is>
          <t>忠孝7樓</t>
        </is>
      </c>
      <c r="E1625" s="484" t="inlineStr">
        <is>
          <t>6050008</t>
        </is>
      </c>
      <c r="F1625" s="551" t="n"/>
      <c r="G1625" s="484" t="inlineStr">
        <is>
          <t>(V)花神臻秘玫瑰舒膚安瓶 6ml(含紙套)</t>
        </is>
      </c>
      <c r="H1625" s="552" t="n"/>
      <c r="I1625" s="552" t="n"/>
      <c r="J1625" s="551" t="n"/>
      <c r="K1625" s="140" t="inlineStr">
        <is>
          <t>6ml</t>
        </is>
      </c>
      <c r="L1625" s="560" t="n">
        <v>1406</v>
      </c>
    </row>
    <row r="1626" ht="17.25" customHeight="1" s="453" thickBot="1">
      <c r="A1626" s="553">
        <f>IFERROR(LEFT(B1626,7),"")</f>
        <v/>
      </c>
      <c r="B1626" s="554">
        <f>"2026/03"&amp;D1626</f>
        <v/>
      </c>
      <c r="C1626" s="559" t="n">
        <v>90</v>
      </c>
      <c r="D1626" s="484" t="inlineStr">
        <is>
          <t>忠孝7樓</t>
        </is>
      </c>
      <c r="E1626" s="484" t="inlineStr">
        <is>
          <t>6060001</t>
        </is>
      </c>
      <c r="F1626" s="551" t="n"/>
      <c r="G1626" s="484" t="inlineStr">
        <is>
          <t>(V)金采賦活保濕精華霜 100ml</t>
        </is>
      </c>
      <c r="H1626" s="552" t="n"/>
      <c r="I1626" s="552" t="n"/>
      <c r="J1626" s="551" t="n"/>
      <c r="K1626" s="140" t="inlineStr">
        <is>
          <t>100ml</t>
        </is>
      </c>
      <c r="L1626" s="560" t="n">
        <v>123</v>
      </c>
    </row>
    <row r="1627" ht="17.25" customHeight="1" s="453" thickBot="1">
      <c r="A1627" s="553">
        <f>IFERROR(LEFT(B1627,7),"")</f>
        <v/>
      </c>
      <c r="B1627" s="554">
        <f>"2026/03"&amp;D1627</f>
        <v/>
      </c>
      <c r="C1627" s="559" t="n">
        <v>91</v>
      </c>
      <c r="D1627" s="484" t="inlineStr">
        <is>
          <t>忠孝7樓</t>
        </is>
      </c>
      <c r="E1627" s="484" t="inlineStr">
        <is>
          <t>6080011</t>
        </is>
      </c>
      <c r="F1627" s="551" t="n"/>
      <c r="G1627" s="484" t="inlineStr">
        <is>
          <t>(V)水梨面膜 30ml</t>
        </is>
      </c>
      <c r="H1627" s="552" t="n"/>
      <c r="I1627" s="552" t="n"/>
      <c r="J1627" s="551" t="n"/>
      <c r="K1627" s="140" t="inlineStr">
        <is>
          <t>30ml</t>
        </is>
      </c>
      <c r="L1627" s="560" t="n">
        <v>1657</v>
      </c>
    </row>
    <row r="1628" ht="17.25" customHeight="1" s="453" thickBot="1">
      <c r="A1628" s="553">
        <f>IFERROR(LEFT(B1628,7),"")</f>
        <v/>
      </c>
      <c r="B1628" s="554">
        <f>"2026/03"&amp;D1628</f>
        <v/>
      </c>
      <c r="C1628" s="559" t="n">
        <v>92</v>
      </c>
      <c r="D1628" s="484" t="inlineStr">
        <is>
          <t>忠孝7樓</t>
        </is>
      </c>
      <c r="E1628" s="484" t="inlineStr">
        <is>
          <t>6080012</t>
        </is>
      </c>
      <c r="F1628" s="551" t="n"/>
      <c r="G1628" s="484" t="inlineStr">
        <is>
          <t>(V)小玉西瓜面膜 30ml</t>
        </is>
      </c>
      <c r="H1628" s="552" t="n"/>
      <c r="I1628" s="552" t="n"/>
      <c r="J1628" s="551" t="n"/>
      <c r="K1628" s="140" t="inlineStr">
        <is>
          <t>30ml</t>
        </is>
      </c>
      <c r="L1628" s="560" t="n">
        <v>50</v>
      </c>
    </row>
    <row r="1629" ht="17.25" customHeight="1" s="453" thickBot="1">
      <c r="A1629" s="553">
        <f>IFERROR(LEFT(B1629,7),"")</f>
        <v/>
      </c>
      <c r="B1629" s="554">
        <f>"2026/03"&amp;D1629</f>
        <v/>
      </c>
      <c r="C1629" s="559" t="n">
        <v>93</v>
      </c>
      <c r="D1629" s="484" t="inlineStr">
        <is>
          <t>忠孝7樓</t>
        </is>
      </c>
      <c r="E1629" s="484" t="inlineStr">
        <is>
          <t>6110019</t>
        </is>
      </c>
      <c r="F1629" s="551" t="n"/>
      <c r="G1629" s="484" t="inlineStr">
        <is>
          <t>醫強75%酒精液4000cc/桶</t>
        </is>
      </c>
      <c r="H1629" s="552" t="n"/>
      <c r="I1629" s="552" t="n"/>
      <c r="J1629" s="551" t="n"/>
      <c r="K1629" s="140" t="inlineStr">
        <is>
          <t>6桶/箱</t>
        </is>
      </c>
      <c r="L1629" s="560" t="n">
        <v>1</v>
      </c>
    </row>
    <row r="1630" ht="17.25" customHeight="1" s="453" thickBot="1">
      <c r="A1630" s="553">
        <f>IFERROR(LEFT(B1630,7),"")</f>
        <v/>
      </c>
      <c r="B1630" s="554">
        <f>"2026/03"&amp;D1630</f>
        <v/>
      </c>
      <c r="C1630" s="559" t="n">
        <v>94</v>
      </c>
      <c r="D1630" s="484" t="inlineStr">
        <is>
          <t>忠孝7樓</t>
        </is>
      </c>
      <c r="E1630" s="484" t="inlineStr">
        <is>
          <t>6110101</t>
        </is>
      </c>
      <c r="F1630" s="551" t="n"/>
      <c r="G1630" s="484" t="inlineStr">
        <is>
          <t>無粉抗過敏乳膠手套(100支/盒)-M</t>
        </is>
      </c>
      <c r="H1630" s="552" t="n"/>
      <c r="I1630" s="552" t="n"/>
      <c r="J1630" s="551" t="n"/>
      <c r="K1630" s="140" t="n"/>
      <c r="L1630" s="560" t="n">
        <v>6</v>
      </c>
    </row>
    <row r="1631" ht="17.25" customHeight="1" s="453" thickBot="1">
      <c r="A1631" s="553">
        <f>IFERROR(LEFT(B1631,7),"")</f>
        <v/>
      </c>
      <c r="B1631" s="554">
        <f>"2026/03"&amp;D1631</f>
        <v/>
      </c>
      <c r="C1631" s="559" t="n">
        <v>95</v>
      </c>
      <c r="D1631" s="484" t="inlineStr">
        <is>
          <t>忠孝7樓</t>
        </is>
      </c>
      <c r="E1631" s="484" t="inlineStr">
        <is>
          <t>6120003</t>
        </is>
      </c>
      <c r="F1631" s="551" t="n"/>
      <c r="G1631" s="484" t="inlineStr">
        <is>
          <t>(V)貝力多(雙胜胺) 20% 30mL/ 瓶，50倍數叫貨</t>
        </is>
      </c>
      <c r="H1631" s="552" t="n"/>
      <c r="I1631" s="552" t="n"/>
      <c r="J1631" s="551" t="n"/>
      <c r="K1631" s="140" t="inlineStr">
        <is>
          <t>10支/盒</t>
        </is>
      </c>
      <c r="L1631" s="560" t="n">
        <v>5</v>
      </c>
    </row>
    <row r="1632" ht="17.25" customHeight="1" s="453" thickBot="1">
      <c r="A1632" s="553">
        <f>IFERROR(LEFT(B1632,7),"")</f>
        <v/>
      </c>
      <c r="B1632" s="554">
        <f>"2026/03"&amp;D1632</f>
        <v/>
      </c>
      <c r="C1632" s="559" t="n">
        <v>96</v>
      </c>
      <c r="D1632" s="484" t="inlineStr">
        <is>
          <t>忠孝7樓</t>
        </is>
      </c>
      <c r="E1632" s="484" t="inlineStr">
        <is>
          <t>6120004</t>
        </is>
      </c>
      <c r="F1632" s="551" t="n"/>
      <c r="G1632" s="484" t="inlineStr">
        <is>
          <t>(V)胺基酸點滴250ml/ 袋(安命活源/嘉安命)，20倍數叫貨</t>
        </is>
      </c>
      <c r="H1632" s="552" t="n"/>
      <c r="I1632" s="552" t="n"/>
      <c r="J1632" s="551" t="n"/>
      <c r="K1632" s="140" t="inlineStr">
        <is>
          <t>(20瓶/箱)</t>
        </is>
      </c>
      <c r="L1632" s="560" t="n">
        <v>45</v>
      </c>
    </row>
    <row r="1633" ht="17.25" customHeight="1" s="453" thickBot="1">
      <c r="A1633" s="553">
        <f>IFERROR(LEFT(B1633,7),"")</f>
        <v/>
      </c>
      <c r="B1633" s="554">
        <f>"2026/03"&amp;D1633</f>
        <v/>
      </c>
      <c r="C1633" s="559" t="n">
        <v>97</v>
      </c>
      <c r="D1633" s="484" t="inlineStr">
        <is>
          <t>忠孝7樓</t>
        </is>
      </c>
      <c r="E1633" s="484" t="inlineStr">
        <is>
          <t>6120006</t>
        </is>
      </c>
      <c r="F1633" s="551" t="n"/>
      <c r="G1633" s="484" t="inlineStr">
        <is>
          <t>(V)(B12) 愛壽命 2mL，100倍數叫貨</t>
        </is>
      </c>
      <c r="H1633" s="552" t="n"/>
      <c r="I1633" s="552" t="n"/>
      <c r="J1633" s="551" t="n"/>
      <c r="K1633" s="140" t="inlineStr">
        <is>
          <t>(100支/盒)</t>
        </is>
      </c>
      <c r="L1633" s="560" t="n">
        <v>51</v>
      </c>
    </row>
    <row r="1634" ht="17.25" customHeight="1" s="453" thickBot="1">
      <c r="A1634" s="553">
        <f>IFERROR(LEFT(B1634,7),"")</f>
        <v/>
      </c>
      <c r="B1634" s="554">
        <f>"2026/03"&amp;D1634</f>
        <v/>
      </c>
      <c r="C1634" s="559" t="n">
        <v>98</v>
      </c>
      <c r="D1634" s="484" t="inlineStr">
        <is>
          <t>忠孝7樓</t>
        </is>
      </c>
      <c r="E1634" s="484" t="inlineStr">
        <is>
          <t>6120007</t>
        </is>
      </c>
      <c r="F1634" s="551" t="n"/>
      <c r="G1634" s="484" t="inlineStr">
        <is>
          <t>(V)(硫酸鋅) 1ml/支，100倍數叫貨</t>
        </is>
      </c>
      <c r="H1634" s="552" t="n"/>
      <c r="I1634" s="552" t="n"/>
      <c r="J1634" s="551" t="n"/>
      <c r="K1634" s="140" t="inlineStr">
        <is>
          <t>100支/盒</t>
        </is>
      </c>
      <c r="L1634" s="560" t="n">
        <v>4</v>
      </c>
    </row>
    <row r="1635" ht="17.25" customHeight="1" s="453" thickBot="1">
      <c r="A1635" s="553">
        <f>IFERROR(LEFT(B1635,7),"")</f>
        <v/>
      </c>
      <c r="B1635" s="554">
        <f>"2026/03"&amp;D1635</f>
        <v/>
      </c>
      <c r="C1635" s="559" t="n">
        <v>99</v>
      </c>
      <c r="D1635" s="484" t="inlineStr">
        <is>
          <t>忠孝7樓</t>
        </is>
      </c>
      <c r="E1635" s="484" t="inlineStr">
        <is>
          <t>6120013</t>
        </is>
      </c>
      <c r="F1635" s="551" t="n"/>
      <c r="G1635" s="484" t="inlineStr">
        <is>
          <t>(V)生理食鹽水(NS) 250ml/ 袋</t>
        </is>
      </c>
      <c r="H1635" s="552" t="n"/>
      <c r="I1635" s="552" t="n"/>
      <c r="J1635" s="551" t="n"/>
      <c r="K1635" s="140" t="inlineStr">
        <is>
          <t>40瓶/箱</t>
        </is>
      </c>
      <c r="L1635" s="560" t="n">
        <v>125</v>
      </c>
    </row>
    <row r="1636" ht="17.25" customHeight="1" s="453" thickBot="1">
      <c r="A1636" s="553">
        <f>IFERROR(LEFT(B1636,7),"")</f>
        <v/>
      </c>
      <c r="B1636" s="554">
        <f>"2026/03"&amp;D1636</f>
        <v/>
      </c>
      <c r="C1636" s="559" t="n">
        <v>100</v>
      </c>
      <c r="D1636" s="484" t="inlineStr">
        <is>
          <t>忠孝7樓</t>
        </is>
      </c>
      <c r="E1636" s="484" t="inlineStr">
        <is>
          <t>6120015</t>
        </is>
      </c>
      <c r="F1636" s="551" t="n"/>
      <c r="G1636" s="484" t="inlineStr">
        <is>
          <t>(V)(B群)淘能美複合維他命B 2ml，100倍數叫貨</t>
        </is>
      </c>
      <c r="H1636" s="552" t="n"/>
      <c r="I1636" s="552" t="n"/>
      <c r="J1636" s="551" t="n"/>
      <c r="K1636" s="140" t="n"/>
      <c r="L1636" s="560" t="n">
        <v>167</v>
      </c>
    </row>
    <row r="1637" ht="17.25" customHeight="1" s="453" thickBot="1">
      <c r="A1637" s="553">
        <f>IFERROR(LEFT(B1637,7),"")</f>
        <v/>
      </c>
      <c r="B1637" s="554">
        <f>"2026/03"&amp;D1637</f>
        <v/>
      </c>
      <c r="C1637" s="559" t="n">
        <v>101</v>
      </c>
      <c r="D1637" s="484" t="inlineStr">
        <is>
          <t>忠孝7樓</t>
        </is>
      </c>
      <c r="E1637" s="484" t="inlineStr">
        <is>
          <t>6120016</t>
        </is>
      </c>
      <c r="F1637" s="551" t="n"/>
      <c r="G1637" s="484" t="inlineStr">
        <is>
          <t>(V)(榖胱肝肽) 克樂達養200mg (20ml/瓶)</t>
        </is>
      </c>
      <c r="H1637" s="552" t="n"/>
      <c r="I1637" s="552" t="n"/>
      <c r="J1637" s="551" t="n"/>
      <c r="K1637" s="140" t="inlineStr">
        <is>
          <t>50支/盒</t>
        </is>
      </c>
      <c r="L1637" s="560" t="n">
        <v>163</v>
      </c>
    </row>
    <row r="1638" ht="17.25" customHeight="1" s="453" thickBot="1">
      <c r="A1638" s="553">
        <f>IFERROR(LEFT(B1638,7),"")</f>
        <v/>
      </c>
      <c r="B1638" s="554">
        <f>"2026/03"&amp;D1638</f>
        <v/>
      </c>
      <c r="C1638" s="559" t="n">
        <v>102</v>
      </c>
      <c r="D1638" s="484" t="inlineStr">
        <is>
          <t>忠孝7樓</t>
        </is>
      </c>
      <c r="E1638" s="484" t="inlineStr">
        <is>
          <t>6120017</t>
        </is>
      </c>
      <c r="F1638" s="551" t="n"/>
      <c r="G1638" s="484" t="inlineStr">
        <is>
          <t>(V)保肝 5ml/支</t>
        </is>
      </c>
      <c r="H1638" s="552" t="n"/>
      <c r="I1638" s="552" t="n"/>
      <c r="J1638" s="551" t="n"/>
      <c r="K1638" s="140" t="inlineStr">
        <is>
          <t>50支/盒</t>
        </is>
      </c>
      <c r="L1638" s="560" t="n">
        <v>4</v>
      </c>
    </row>
    <row r="1639" ht="17.25" customHeight="1" s="453" thickBot="1">
      <c r="A1639" s="553">
        <f>IFERROR(LEFT(B1639,7),"")</f>
        <v/>
      </c>
      <c r="B1639" s="554">
        <f>"2026/03"&amp;D1639</f>
        <v/>
      </c>
      <c r="C1639" s="559" t="n">
        <v>103</v>
      </c>
      <c r="D1639" s="484" t="inlineStr">
        <is>
          <t>忠孝7樓</t>
        </is>
      </c>
      <c r="E1639" s="484" t="inlineStr">
        <is>
          <t>6120018</t>
        </is>
      </c>
      <c r="F1639" s="551" t="n"/>
      <c r="G1639" s="484" t="inlineStr">
        <is>
          <t>(V)(傳明酸)止血明 5ml/支</t>
        </is>
      </c>
      <c r="H1639" s="552" t="n"/>
      <c r="I1639" s="552" t="n"/>
      <c r="J1639" s="551" t="n"/>
      <c r="K1639" s="140" t="inlineStr">
        <is>
          <t>50支/盒</t>
        </is>
      </c>
      <c r="L1639" s="560" t="n">
        <v>134</v>
      </c>
    </row>
    <row r="1640" ht="17.25" customHeight="1" s="453" thickBot="1">
      <c r="A1640" s="553">
        <f>IFERROR(LEFT(B1640,7),"")</f>
        <v/>
      </c>
      <c r="B1640" s="554">
        <f>"2026/03"&amp;D1640</f>
        <v/>
      </c>
      <c r="C1640" s="559" t="n">
        <v>104</v>
      </c>
      <c r="D1640" s="484" t="inlineStr">
        <is>
          <t>忠孝7樓</t>
        </is>
      </c>
      <c r="E1640" s="484" t="inlineStr">
        <is>
          <t>6120020</t>
        </is>
      </c>
      <c r="F1640" s="551" t="n"/>
      <c r="G1640" s="484" t="inlineStr">
        <is>
          <t>(V)(Vit C) 抗壞血酸 2mL，100倍數下單</t>
        </is>
      </c>
      <c r="H1640" s="552" t="n"/>
      <c r="I1640" s="552" t="n"/>
      <c r="J1640" s="551" t="n"/>
      <c r="K1640" s="140" t="inlineStr">
        <is>
          <t>100支/盒</t>
        </is>
      </c>
      <c r="L1640" s="560" t="n">
        <v>304</v>
      </c>
    </row>
    <row r="1641" ht="17.25" customHeight="1" s="453" thickBot="1">
      <c r="A1641" s="553">
        <f>IFERROR(LEFT(B1641,7),"")</f>
        <v/>
      </c>
      <c r="B1641" s="554">
        <f>"2026/03"&amp;D1641</f>
        <v/>
      </c>
      <c r="C1641" s="559" t="n">
        <v>105</v>
      </c>
      <c r="D1641" s="484" t="inlineStr">
        <is>
          <t>忠孝7樓</t>
        </is>
      </c>
      <c r="E1641" s="484" t="inlineStr">
        <is>
          <t>6120021</t>
        </is>
      </c>
      <c r="F1641" s="551" t="n"/>
      <c r="G1641" s="484" t="inlineStr">
        <is>
          <t>(V)(Vit C)(抗壞血酸/諾貝爾)20ml，50倍數下單</t>
        </is>
      </c>
      <c r="H1641" s="552" t="n"/>
      <c r="I1641" s="552" t="n"/>
      <c r="J1641" s="551" t="n"/>
      <c r="K1641" s="140" t="inlineStr">
        <is>
          <t>50支/盒</t>
        </is>
      </c>
      <c r="L1641" s="560" t="n">
        <v>212</v>
      </c>
    </row>
    <row r="1642" ht="17.25" customHeight="1" s="453" thickBot="1">
      <c r="A1642" s="553">
        <f>IFERROR(LEFT(B1642,7),"")</f>
        <v/>
      </c>
      <c r="B1642" s="554">
        <f>"2026/03"&amp;D1642</f>
        <v/>
      </c>
      <c r="C1642" s="559" t="n">
        <v>106</v>
      </c>
      <c r="D1642" s="484" t="inlineStr">
        <is>
          <t>忠孝7樓</t>
        </is>
      </c>
      <c r="E1642" s="484" t="inlineStr">
        <is>
          <t>6120022</t>
        </is>
      </c>
      <c r="F1642" s="551" t="n"/>
      <c r="G1642" s="484" t="inlineStr">
        <is>
          <t>(V)(銀杏) 循必利Gingo注射液0.84毫克/毫升 5ml</t>
        </is>
      </c>
      <c r="H1642" s="552" t="n"/>
      <c r="I1642" s="552" t="n"/>
      <c r="J1642" s="551" t="n"/>
      <c r="K1642" s="140" t="inlineStr">
        <is>
          <t>50支/盒</t>
        </is>
      </c>
      <c r="L1642" s="560" t="n">
        <v>4</v>
      </c>
    </row>
    <row r="1643" ht="17.25" customHeight="1" s="453" thickBot="1">
      <c r="A1643" s="553">
        <f>IFERROR(LEFT(B1643,7),"")</f>
        <v/>
      </c>
      <c r="B1643" s="554">
        <f>"2026/03"&amp;D1643</f>
        <v/>
      </c>
      <c r="C1643" s="559" t="n">
        <v>107</v>
      </c>
      <c r="D1643" s="484" t="inlineStr">
        <is>
          <t>忠孝7樓</t>
        </is>
      </c>
      <c r="E1643" s="484" t="inlineStr">
        <is>
          <t>6120030</t>
        </is>
      </c>
      <c r="F1643" s="551" t="n"/>
      <c r="G1643" s="484" t="inlineStr">
        <is>
          <t>(V)克多炎 Keto 1ml</t>
        </is>
      </c>
      <c r="H1643" s="552" t="n"/>
      <c r="I1643" s="552" t="n"/>
      <c r="J1643" s="551" t="n"/>
      <c r="K1643" s="140" t="inlineStr">
        <is>
          <t>100支/盒</t>
        </is>
      </c>
      <c r="L1643" s="560" t="n">
        <v>1</v>
      </c>
    </row>
    <row r="1644" ht="17.25" customHeight="1" s="453" thickBot="1">
      <c r="A1644" s="553">
        <f>IFERROR(LEFT(B1644,7),"")</f>
        <v/>
      </c>
      <c r="B1644" s="554">
        <f>"2026/03"&amp;D1644</f>
        <v/>
      </c>
      <c r="C1644" s="559" t="n">
        <v>108</v>
      </c>
      <c r="D1644" s="484" t="inlineStr">
        <is>
          <t>忠孝7樓</t>
        </is>
      </c>
      <c r="E1644" s="484" t="inlineStr">
        <is>
          <t>6120036</t>
        </is>
      </c>
      <c r="F1644" s="551" t="n"/>
      <c r="G1644" s="484" t="inlineStr">
        <is>
          <t>(V)貝力多(雙胜胺) 20% 50mL/ 瓶，50倍數下單</t>
        </is>
      </c>
      <c r="H1644" s="552" t="n"/>
      <c r="I1644" s="552" t="n"/>
      <c r="J1644" s="551" t="n"/>
      <c r="K1644" s="140" t="inlineStr">
        <is>
          <t>瓶(10瓶/盒)</t>
        </is>
      </c>
      <c r="L1644" s="560" t="n">
        <v>40</v>
      </c>
    </row>
    <row r="1645" ht="17.25" customHeight="1" s="453" thickBot="1">
      <c r="A1645" s="553">
        <f>IFERROR(LEFT(B1645,7),"")</f>
        <v/>
      </c>
      <c r="B1645" s="554">
        <f>"2026/03"&amp;D1645</f>
        <v/>
      </c>
      <c r="C1645" s="559" t="n">
        <v>109</v>
      </c>
      <c r="D1645" s="484" t="inlineStr">
        <is>
          <t>忠孝7樓</t>
        </is>
      </c>
      <c r="E1645" s="484" t="inlineStr">
        <is>
          <t>6140001</t>
        </is>
      </c>
      <c r="F1645" s="551" t="n"/>
      <c r="G1645" s="484" t="inlineStr">
        <is>
          <t>(V)保妥適肉毒Botox/ u，100倍數下單</t>
        </is>
      </c>
      <c r="H1645" s="552" t="n"/>
      <c r="I1645" s="552" t="n"/>
      <c r="J1645" s="551" t="n"/>
      <c r="K1645" s="140" t="inlineStr">
        <is>
          <t>100U/瓶</t>
        </is>
      </c>
      <c r="L1645" s="560" t="n">
        <v>3997</v>
      </c>
    </row>
    <row r="1646" ht="17.25" customHeight="1" s="453" thickBot="1">
      <c r="A1646" s="553">
        <f>IFERROR(LEFT(B1646,7),"")</f>
        <v/>
      </c>
      <c r="B1646" s="554">
        <f>"2026/03"&amp;D1646</f>
        <v/>
      </c>
      <c r="C1646" s="559" t="n">
        <v>110</v>
      </c>
      <c r="D1646" s="484" t="inlineStr">
        <is>
          <t>忠孝7樓</t>
        </is>
      </c>
      <c r="E1646" s="484" t="inlineStr">
        <is>
          <t>6140003</t>
        </is>
      </c>
      <c r="F1646" s="551" t="n"/>
      <c r="G1646" s="484" t="inlineStr">
        <is>
          <t>(V)保提拉肉毒Letybo/ u，3200倍數下單</t>
        </is>
      </c>
      <c r="H1646" s="552" t="n"/>
      <c r="I1646" s="552" t="n"/>
      <c r="J1646" s="551" t="n"/>
      <c r="K1646" s="140" t="inlineStr">
        <is>
          <t>200U/瓶</t>
        </is>
      </c>
      <c r="L1646" s="560" t="n">
        <v>8176</v>
      </c>
    </row>
    <row r="1647" ht="17.25" customHeight="1" s="453" thickBot="1">
      <c r="A1647" s="553">
        <f>IFERROR(LEFT(B1647,7),"")</f>
        <v/>
      </c>
      <c r="B1647" s="554">
        <f>"2026/03"&amp;D1647</f>
        <v/>
      </c>
      <c r="C1647" s="559" t="n">
        <v>111</v>
      </c>
      <c r="D1647" s="484" t="inlineStr">
        <is>
          <t>忠孝7樓</t>
        </is>
      </c>
      <c r="E1647" s="484" t="inlineStr">
        <is>
          <t>6140005</t>
        </is>
      </c>
      <c r="F1647" s="551" t="n"/>
      <c r="G1647" s="484" t="inlineStr">
        <is>
          <t>(V)奇蹟肉毒/ u，200倍數下單</t>
        </is>
      </c>
      <c r="H1647" s="552" t="n"/>
      <c r="I1647" s="552" t="n"/>
      <c r="J1647" s="551" t="n"/>
      <c r="K1647" s="140" t="inlineStr">
        <is>
          <t>200U/瓶</t>
        </is>
      </c>
      <c r="L1647" s="560" t="n">
        <v>4579</v>
      </c>
    </row>
    <row r="1648" ht="17.25" customHeight="1" s="453" thickBot="1">
      <c r="A1648" s="553">
        <f>IFERROR(LEFT(B1648,7),"")</f>
        <v/>
      </c>
      <c r="B1648" s="554">
        <f>"2026/03"&amp;D1648</f>
        <v/>
      </c>
      <c r="C1648" s="559" t="n">
        <v>112</v>
      </c>
      <c r="D1648" s="484" t="inlineStr">
        <is>
          <t>忠孝7樓</t>
        </is>
      </c>
      <c r="E1648" s="484" t="inlineStr">
        <is>
          <t>6150001</t>
        </is>
      </c>
      <c r="F1648" s="551" t="n"/>
      <c r="G1648" s="484" t="inlineStr">
        <is>
          <t>(V)喬雅登-豐麗緹玻尿酸植入物Voluma 1ml</t>
        </is>
      </c>
      <c r="H1648" s="552" t="n"/>
      <c r="I1648" s="552" t="n"/>
      <c r="J1648" s="551" t="n"/>
      <c r="K1648" s="140" t="inlineStr">
        <is>
          <t>1ml(2ml/盒)</t>
        </is>
      </c>
      <c r="L1648" s="560" t="n">
        <v>83</v>
      </c>
    </row>
    <row r="1649" ht="17.25" customHeight="1" s="453" thickBot="1">
      <c r="A1649" s="553">
        <f>IFERROR(LEFT(B1649,7),"")</f>
        <v/>
      </c>
      <c r="B1649" s="554">
        <f>"2026/03"&amp;D1649</f>
        <v/>
      </c>
      <c r="C1649" s="559" t="n">
        <v>113</v>
      </c>
      <c r="D1649" s="484" t="inlineStr">
        <is>
          <t>忠孝7樓</t>
        </is>
      </c>
      <c r="E1649" s="484" t="inlineStr">
        <is>
          <t>6150002</t>
        </is>
      </c>
      <c r="F1649" s="551" t="n"/>
      <c r="G1649" s="484" t="inlineStr">
        <is>
          <t>(V)喬雅登-夢蓓菈玻尿酸植入物Volbella 1ml</t>
        </is>
      </c>
      <c r="H1649" s="552" t="n"/>
      <c r="I1649" s="552" t="n"/>
      <c r="J1649" s="551" t="n"/>
      <c r="K1649" s="140" t="inlineStr">
        <is>
          <t>1ml(2ml/盒)</t>
        </is>
      </c>
      <c r="L1649" s="560" t="n">
        <v>16</v>
      </c>
    </row>
    <row r="1650" ht="17.25" customHeight="1" s="453" thickBot="1">
      <c r="A1650" s="553">
        <f>IFERROR(LEFT(B1650,7),"")</f>
        <v/>
      </c>
      <c r="B1650" s="554">
        <f>"2026/03"&amp;D1650</f>
        <v/>
      </c>
      <c r="C1650" s="559" t="n">
        <v>114</v>
      </c>
      <c r="D1650" s="484" t="inlineStr">
        <is>
          <t>忠孝7樓</t>
        </is>
      </c>
      <c r="E1650" s="484" t="inlineStr">
        <is>
          <t>6150003</t>
        </is>
      </c>
      <c r="F1650" s="551" t="n"/>
      <c r="G1650" s="484" t="inlineStr">
        <is>
          <t>(V)喬雅登-豐麗緹玻尿酸植入物Volift 1ml</t>
        </is>
      </c>
      <c r="H1650" s="552" t="n"/>
      <c r="I1650" s="552" t="n"/>
      <c r="J1650" s="551" t="n"/>
      <c r="K1650" s="140" t="inlineStr">
        <is>
          <t>1ml(2ml/盒)</t>
        </is>
      </c>
      <c r="L1650" s="560" t="n">
        <v>1</v>
      </c>
    </row>
    <row r="1651" ht="17.25" customHeight="1" s="453" thickBot="1">
      <c r="A1651" s="553">
        <f>IFERROR(LEFT(B1651,7),"")</f>
        <v/>
      </c>
      <c r="B1651" s="554">
        <f>"2026/03"&amp;D1651</f>
        <v/>
      </c>
      <c r="C1651" s="559" t="n">
        <v>115</v>
      </c>
      <c r="D1651" s="484" t="inlineStr">
        <is>
          <t>忠孝7樓</t>
        </is>
      </c>
      <c r="E1651" s="484" t="inlineStr">
        <is>
          <t>6150004</t>
        </is>
      </c>
      <c r="F1651" s="551" t="n"/>
      <c r="G1651" s="484" t="inlineStr">
        <is>
          <t>(V)喬雅登-豐塑玻尿酸植入物Volux 1ml</t>
        </is>
      </c>
      <c r="H1651" s="552" t="n"/>
      <c r="I1651" s="552" t="n"/>
      <c r="J1651" s="551" t="n"/>
      <c r="K1651" s="140" t="inlineStr">
        <is>
          <t>1ml(2ml/盒)</t>
        </is>
      </c>
      <c r="L1651" s="560" t="n">
        <v>10</v>
      </c>
    </row>
    <row r="1652" ht="17.25" customHeight="1" s="453" thickBot="1">
      <c r="A1652" s="553">
        <f>IFERROR(LEFT(B1652,7),"")</f>
        <v/>
      </c>
      <c r="B1652" s="554">
        <f>"2026/03"&amp;D1652</f>
        <v/>
      </c>
      <c r="C1652" s="559" t="n">
        <v>116</v>
      </c>
      <c r="D1652" s="484" t="inlineStr">
        <is>
          <t>忠孝7樓</t>
        </is>
      </c>
      <c r="E1652" s="484" t="inlineStr">
        <is>
          <t>6150005</t>
        </is>
      </c>
      <c r="F1652" s="551" t="n"/>
      <c r="G1652" s="484" t="inlineStr">
        <is>
          <t>(V)喬雅登-芙潤玻尿酸植入物Volite 1ml</t>
        </is>
      </c>
      <c r="H1652" s="552" t="n"/>
      <c r="I1652" s="552" t="n"/>
      <c r="J1652" s="551" t="n"/>
      <c r="K1652" s="140" t="inlineStr">
        <is>
          <t>1ml(2ml/盒)</t>
        </is>
      </c>
      <c r="L1652" s="560" t="n">
        <v>1</v>
      </c>
    </row>
    <row r="1653" ht="17.25" customHeight="1" s="453" thickBot="1">
      <c r="A1653" s="553">
        <f>IFERROR(LEFT(B1653,7),"")</f>
        <v/>
      </c>
      <c r="B1653" s="554">
        <f>"2026/03"&amp;D1653</f>
        <v/>
      </c>
      <c r="C1653" s="559" t="n">
        <v>117</v>
      </c>
      <c r="D1653" s="484" t="inlineStr">
        <is>
          <t>忠孝7樓</t>
        </is>
      </c>
      <c r="E1653" s="484" t="inlineStr">
        <is>
          <t>6150010</t>
        </is>
      </c>
      <c r="F1653" s="551" t="n"/>
      <c r="G1653" s="484" t="inlineStr">
        <is>
          <t>(V)仙女玻尿酸大分子 1ml</t>
        </is>
      </c>
      <c r="H1653" s="552" t="n"/>
      <c r="I1653" s="552" t="n"/>
      <c r="J1653" s="551" t="n"/>
      <c r="K1653" s="140" t="inlineStr">
        <is>
          <t>1ml(1ml/盒)</t>
        </is>
      </c>
      <c r="L1653" s="560" t="n">
        <v>49</v>
      </c>
    </row>
    <row r="1654" ht="17.25" customHeight="1" s="453" thickBot="1">
      <c r="A1654" s="553">
        <f>IFERROR(LEFT(B1654,7),"")</f>
        <v/>
      </c>
      <c r="B1654" s="554">
        <f>"2026/03"&amp;D1654</f>
        <v/>
      </c>
      <c r="C1654" s="559" t="n">
        <v>118</v>
      </c>
      <c r="D1654" s="484" t="inlineStr">
        <is>
          <t>忠孝7樓</t>
        </is>
      </c>
      <c r="E1654" s="484" t="inlineStr">
        <is>
          <t>6150011</t>
        </is>
      </c>
      <c r="F1654" s="551" t="n"/>
      <c r="G1654" s="484" t="inlineStr">
        <is>
          <t>(V)仙女玻尿酸小分子 1ml</t>
        </is>
      </c>
      <c r="H1654" s="552" t="n"/>
      <c r="I1654" s="552" t="n"/>
      <c r="J1654" s="551" t="n"/>
      <c r="K1654" s="140" t="inlineStr">
        <is>
          <t>1ml(1ml/盒)</t>
        </is>
      </c>
      <c r="L1654" s="560" t="n">
        <v>4</v>
      </c>
    </row>
    <row r="1655" ht="17.25" customHeight="1" s="453" thickBot="1">
      <c r="A1655" s="553">
        <f>IFERROR(LEFT(B1655,7),"")</f>
        <v/>
      </c>
      <c r="B1655" s="554">
        <f>"2026/03"&amp;D1655</f>
        <v/>
      </c>
      <c r="C1655" s="559" t="n">
        <v>119</v>
      </c>
      <c r="D1655" s="484" t="inlineStr">
        <is>
          <t>忠孝7樓</t>
        </is>
      </c>
      <c r="E1655" s="484" t="inlineStr">
        <is>
          <t>6150013</t>
        </is>
      </c>
      <c r="F1655" s="551" t="n"/>
      <c r="G1655" s="484" t="inlineStr">
        <is>
          <t>(V)逆時針(璞菲洛)2cc</t>
        </is>
      </c>
      <c r="H1655" s="552" t="n"/>
      <c r="I1655" s="552" t="n"/>
      <c r="J1655" s="551" t="n"/>
      <c r="K1655" s="140" t="inlineStr">
        <is>
          <t>1ml(1ml/盒)</t>
        </is>
      </c>
      <c r="L1655" s="560" t="n">
        <v>25</v>
      </c>
    </row>
    <row r="1656" ht="17.25" customHeight="1" s="453" thickBot="1">
      <c r="A1656" s="553">
        <f>IFERROR(LEFT(B1656,7),"")</f>
        <v/>
      </c>
      <c r="B1656" s="554">
        <f>"2026/03"&amp;D1656</f>
        <v/>
      </c>
      <c r="C1656" s="559" t="n">
        <v>120</v>
      </c>
      <c r="D1656" s="484" t="inlineStr">
        <is>
          <t>忠孝7樓</t>
        </is>
      </c>
      <c r="E1656" s="484" t="inlineStr">
        <is>
          <t>6150014</t>
        </is>
      </c>
      <c r="F1656" s="551" t="n"/>
      <c r="G1656" s="484" t="inlineStr">
        <is>
          <t>(V)膚美康 1cc</t>
        </is>
      </c>
      <c r="H1656" s="552" t="n"/>
      <c r="I1656" s="552" t="n"/>
      <c r="J1656" s="551" t="n"/>
      <c r="K1656" s="140" t="inlineStr">
        <is>
          <t>2.5cc/支</t>
        </is>
      </c>
      <c r="L1656" s="560" t="n">
        <v>1</v>
      </c>
    </row>
    <row r="1657" ht="17.25" customHeight="1" s="453" thickBot="1">
      <c r="A1657" s="553">
        <f>IFERROR(LEFT(B1657,7),"")</f>
        <v/>
      </c>
      <c r="B1657" s="554">
        <f>"2026/03"&amp;D1657</f>
        <v/>
      </c>
      <c r="C1657" s="559" t="n">
        <v>121</v>
      </c>
      <c r="D1657" s="484" t="inlineStr">
        <is>
          <t>忠孝7樓</t>
        </is>
      </c>
      <c r="E1657" s="484" t="inlineStr">
        <is>
          <t>6160002</t>
        </is>
      </c>
      <c r="F1657" s="551" t="n"/>
      <c r="G1657" s="484" t="inlineStr">
        <is>
          <t>(V)洢蓮絲植入劑ELLANSÉ-S 1ml</t>
        </is>
      </c>
      <c r="H1657" s="552" t="n"/>
      <c r="I1657" s="552" t="n"/>
      <c r="J1657" s="551" t="n"/>
      <c r="K1657" s="140" t="inlineStr">
        <is>
          <t>1ml(2ml/盒)</t>
        </is>
      </c>
      <c r="L1657" s="560" t="n">
        <v>65</v>
      </c>
    </row>
    <row r="1658" ht="17.25" customHeight="1" s="453" thickBot="1">
      <c r="A1658" s="553">
        <f>IFERROR(LEFT(B1658,7),"")</f>
        <v/>
      </c>
      <c r="B1658" s="554">
        <f>"2026/03"&amp;D1658</f>
        <v/>
      </c>
      <c r="C1658" s="559" t="n">
        <v>122</v>
      </c>
      <c r="D1658" s="484" t="inlineStr">
        <is>
          <t>忠孝7樓</t>
        </is>
      </c>
      <c r="E1658" s="484" t="inlineStr">
        <is>
          <t>6160003</t>
        </is>
      </c>
      <c r="F1658" s="551" t="n"/>
      <c r="G1658" s="484" t="inlineStr">
        <is>
          <t>(V)洢蓮絲植入劑ELLANSÉ-M 1ml</t>
        </is>
      </c>
      <c r="H1658" s="552" t="n"/>
      <c r="I1658" s="552" t="n"/>
      <c r="J1658" s="551" t="n"/>
      <c r="K1658" s="140" t="inlineStr">
        <is>
          <t>1ml(2ml/盒)</t>
        </is>
      </c>
      <c r="L1658" s="560" t="n">
        <v>27</v>
      </c>
    </row>
    <row r="1659" ht="17.25" customHeight="1" s="453" thickBot="1">
      <c r="A1659" s="553">
        <f>IFERROR(LEFT(B1659,7),"")</f>
        <v/>
      </c>
      <c r="B1659" s="554">
        <f>"2026/03"&amp;D1659</f>
        <v/>
      </c>
      <c r="C1659" s="559" t="n">
        <v>123</v>
      </c>
      <c r="D1659" s="484" t="inlineStr">
        <is>
          <t>忠孝7樓</t>
        </is>
      </c>
      <c r="E1659" s="484" t="inlineStr">
        <is>
          <t>6160005</t>
        </is>
      </c>
      <c r="F1659" s="551" t="n"/>
      <c r="G1659" s="484" t="inlineStr">
        <is>
          <t>(V)双美熊貓針</t>
        </is>
      </c>
      <c r="H1659" s="552" t="n"/>
      <c r="I1659" s="552" t="n"/>
      <c r="J1659" s="551" t="n"/>
      <c r="K1659" s="140" t="inlineStr">
        <is>
          <t>(1ml/盒)</t>
        </is>
      </c>
      <c r="L1659" s="560" t="n">
        <v>55</v>
      </c>
    </row>
    <row r="1660" ht="17.25" customHeight="1" s="453" thickBot="1">
      <c r="A1660" s="553">
        <f>IFERROR(LEFT(B1660,7),"")</f>
        <v/>
      </c>
      <c r="B1660" s="554">
        <f>"2026/03"&amp;D1660</f>
        <v/>
      </c>
      <c r="C1660" s="559" t="n">
        <v>124</v>
      </c>
      <c r="D1660" s="484" t="inlineStr">
        <is>
          <t>忠孝7樓</t>
        </is>
      </c>
      <c r="E1660" s="484" t="inlineStr">
        <is>
          <t>6160009</t>
        </is>
      </c>
      <c r="F1660" s="551" t="n"/>
      <c r="G1660" s="484" t="inlineStr">
        <is>
          <t>黑童針-薇貝拉200mg/1cc</t>
        </is>
      </c>
      <c r="H1660" s="552" t="n"/>
      <c r="I1660" s="552" t="n"/>
      <c r="J1660" s="551" t="n"/>
      <c r="K1660" s="140" t="inlineStr">
        <is>
          <t>8cc/瓶</t>
        </is>
      </c>
      <c r="L1660" s="560" t="n">
        <v>86</v>
      </c>
    </row>
    <row r="1661" ht="17.25" customHeight="1" s="453" thickBot="1">
      <c r="A1661" s="553">
        <f>IFERROR(LEFT(B1661,7),"")</f>
        <v/>
      </c>
      <c r="B1661" s="554">
        <f>"2026/03"&amp;D1661</f>
        <v/>
      </c>
      <c r="C1661" s="559" t="n">
        <v>125</v>
      </c>
      <c r="D1661" s="484" t="inlineStr">
        <is>
          <t>忠孝7樓</t>
        </is>
      </c>
      <c r="E1661" s="484" t="inlineStr">
        <is>
          <t>6160010</t>
        </is>
      </c>
      <c r="F1661" s="551" t="n"/>
      <c r="G1661" s="484" t="inlineStr">
        <is>
          <t>喬雅露-大分子200mg/1cc</t>
        </is>
      </c>
      <c r="H1661" s="552" t="n"/>
      <c r="I1661" s="552" t="n"/>
      <c r="J1661" s="551" t="n"/>
      <c r="K1661" s="140" t="inlineStr">
        <is>
          <t>8cc/瓶</t>
        </is>
      </c>
      <c r="L1661" s="560" t="n">
        <v>126</v>
      </c>
    </row>
    <row r="1662" ht="17.25" customHeight="1" s="453" thickBot="1">
      <c r="A1662" s="553">
        <f>IFERROR(LEFT(B1662,7),"")</f>
        <v/>
      </c>
      <c r="B1662" s="554">
        <f>"2026/03"&amp;D1662</f>
        <v/>
      </c>
      <c r="C1662" s="559" t="n">
        <v>126</v>
      </c>
      <c r="D1662" s="484" t="inlineStr">
        <is>
          <t>忠孝7樓</t>
        </is>
      </c>
      <c r="E1662" s="484" t="inlineStr">
        <is>
          <t>6160011</t>
        </is>
      </c>
      <c r="F1662" s="551" t="n"/>
      <c r="G1662" s="484" t="inlineStr">
        <is>
          <t>喬雅露-小分子50mg/1cc</t>
        </is>
      </c>
      <c r="H1662" s="552" t="n"/>
      <c r="I1662" s="552" t="n"/>
      <c r="J1662" s="551" t="n"/>
      <c r="K1662" s="140" t="inlineStr">
        <is>
          <t>6cc/瓶</t>
        </is>
      </c>
      <c r="L1662" s="560" t="n">
        <v>881</v>
      </c>
    </row>
    <row r="1663" ht="17.25" customHeight="1" s="453" thickBot="1">
      <c r="A1663" s="553">
        <f>IFERROR(LEFT(B1663,7),"")</f>
        <v/>
      </c>
      <c r="B1663" s="554">
        <f>"2026/03"&amp;D1663</f>
        <v/>
      </c>
      <c r="C1663" s="559" t="n">
        <v>127</v>
      </c>
      <c r="D1663" s="484" t="inlineStr">
        <is>
          <t>忠孝7樓</t>
        </is>
      </c>
      <c r="E1663" s="484" t="inlineStr">
        <is>
          <t>6170005</t>
        </is>
      </c>
      <c r="F1663" s="551" t="n"/>
      <c r="G1663" s="484" t="inlineStr">
        <is>
          <t>海芙三代音波探頭2mm/ 條</t>
        </is>
      </c>
      <c r="H1663" s="552" t="n"/>
      <c r="I1663" s="552" t="n"/>
      <c r="J1663" s="551" t="n"/>
      <c r="K1663" s="140" t="inlineStr">
        <is>
          <t>20099條/顆</t>
        </is>
      </c>
      <c r="L1663" s="560" t="n">
        <v>10144</v>
      </c>
    </row>
    <row r="1664" ht="17.25" customHeight="1" s="453" thickBot="1">
      <c r="A1664" s="553">
        <f>IFERROR(LEFT(B1664,7),"")</f>
        <v/>
      </c>
      <c r="B1664" s="554">
        <f>"2026/03"&amp;D1664</f>
        <v/>
      </c>
      <c r="C1664" s="559" t="n">
        <v>128</v>
      </c>
      <c r="D1664" s="484" t="inlineStr">
        <is>
          <t>忠孝7樓</t>
        </is>
      </c>
      <c r="E1664" s="484" t="inlineStr">
        <is>
          <t>6170007</t>
        </is>
      </c>
      <c r="F1664" s="551" t="n"/>
      <c r="G1664" s="484" t="inlineStr">
        <is>
          <t>海芙三代音波探頭3mm/ 條</t>
        </is>
      </c>
      <c r="H1664" s="552" t="n"/>
      <c r="I1664" s="552" t="n"/>
      <c r="J1664" s="551" t="n"/>
      <c r="K1664" s="140" t="inlineStr">
        <is>
          <t>20099條/顆</t>
        </is>
      </c>
      <c r="L1664" s="560" t="n">
        <v>32538</v>
      </c>
    </row>
    <row r="1665" ht="17.25" customHeight="1" s="453" thickBot="1">
      <c r="A1665" s="553">
        <f>IFERROR(LEFT(B1665,7),"")</f>
        <v/>
      </c>
      <c r="B1665" s="554">
        <f>"2026/03"&amp;D1665</f>
        <v/>
      </c>
      <c r="C1665" s="559" t="n">
        <v>129</v>
      </c>
      <c r="D1665" s="484" t="inlineStr">
        <is>
          <t>忠孝7樓</t>
        </is>
      </c>
      <c r="E1665" s="484" t="inlineStr">
        <is>
          <t>6170009</t>
        </is>
      </c>
      <c r="F1665" s="551" t="n"/>
      <c r="G1665" s="484" t="inlineStr">
        <is>
          <t>海芙三代音波探頭4.5mm/ 條</t>
        </is>
      </c>
      <c r="H1665" s="552" t="n"/>
      <c r="I1665" s="552" t="n"/>
      <c r="J1665" s="551" t="n"/>
      <c r="K1665" s="140" t="inlineStr">
        <is>
          <t>20099條/顆</t>
        </is>
      </c>
      <c r="L1665" s="560" t="n">
        <v>53432</v>
      </c>
    </row>
    <row r="1666" ht="17.25" customHeight="1" s="453" thickBot="1">
      <c r="A1666" s="553">
        <f>IFERROR(LEFT(B1666,7),"")</f>
        <v/>
      </c>
      <c r="B1666" s="554">
        <f>"2026/03"&amp;D1666</f>
        <v/>
      </c>
      <c r="C1666" s="559" t="n">
        <v>130</v>
      </c>
      <c r="D1666" s="484" t="inlineStr">
        <is>
          <t>忠孝7樓</t>
        </is>
      </c>
      <c r="E1666" s="484" t="inlineStr">
        <is>
          <t>6170011</t>
        </is>
      </c>
      <c r="F1666" s="551" t="n"/>
      <c r="G1666" s="484" t="inlineStr">
        <is>
          <t>海芙三代音波探頭6mm/ 條</t>
        </is>
      </c>
      <c r="H1666" s="552" t="n"/>
      <c r="I1666" s="552" t="n"/>
      <c r="J1666" s="551" t="n"/>
      <c r="K1666" s="140" t="inlineStr">
        <is>
          <t>30,099條/顆</t>
        </is>
      </c>
      <c r="L1666" s="560" t="n">
        <v>12803</v>
      </c>
    </row>
    <row r="1667" ht="17.25" customHeight="1" s="453" thickBot="1">
      <c r="A1667" s="553">
        <f>IFERROR(LEFT(B1667,7),"")</f>
        <v/>
      </c>
      <c r="B1667" s="554">
        <f>"2026/03"&amp;D1667</f>
        <v/>
      </c>
      <c r="C1667" s="559" t="n">
        <v>131</v>
      </c>
      <c r="D1667" s="484" t="inlineStr">
        <is>
          <t>忠孝7樓</t>
        </is>
      </c>
      <c r="E1667" s="484" t="inlineStr">
        <is>
          <t>6170013</t>
        </is>
      </c>
      <c r="F1667" s="551" t="n"/>
      <c r="G1667" s="484" t="inlineStr">
        <is>
          <t>鳳凰電波4平方公分紫鑽探頭(900發)</t>
        </is>
      </c>
      <c r="H1667" s="552" t="n"/>
      <c r="I1667" s="552" t="n"/>
      <c r="J1667" s="551" t="n"/>
      <c r="K1667" s="140" t="inlineStr">
        <is>
          <t>顆</t>
        </is>
      </c>
      <c r="L1667" s="560" t="n">
        <v>17</v>
      </c>
    </row>
    <row r="1668" ht="17.25" customHeight="1" s="453" thickBot="1">
      <c r="A1668" s="553">
        <f>IFERROR(LEFT(B1668,7),"")</f>
        <v/>
      </c>
      <c r="B1668" s="554">
        <f>"2026/03"&amp;D1668</f>
        <v/>
      </c>
      <c r="C1668" s="559" t="n">
        <v>132</v>
      </c>
      <c r="D1668" s="484" t="inlineStr">
        <is>
          <t>忠孝7樓</t>
        </is>
      </c>
      <c r="E1668" s="484" t="inlineStr">
        <is>
          <t>6170014</t>
        </is>
      </c>
      <c r="F1668" s="551" t="n"/>
      <c r="G1668" s="484" t="inlineStr">
        <is>
          <t>鳳凰電波0.25平方公分碧眼探頭(450發)</t>
        </is>
      </c>
      <c r="H1668" s="552" t="n"/>
      <c r="I1668" s="552" t="n"/>
      <c r="J1668" s="551" t="n"/>
      <c r="K1668" s="140" t="inlineStr">
        <is>
          <t>顆</t>
        </is>
      </c>
      <c r="L1668" s="560" t="n">
        <v>13</v>
      </c>
    </row>
    <row r="1669" ht="17.25" customHeight="1" s="453" thickBot="1">
      <c r="A1669" s="553">
        <f>IFERROR(LEFT(B1669,7),"")</f>
        <v/>
      </c>
      <c r="B1669" s="554">
        <f>"2026/03"&amp;D1669</f>
        <v/>
      </c>
      <c r="C1669" s="559" t="n">
        <v>133</v>
      </c>
      <c r="D1669" s="484" t="inlineStr">
        <is>
          <t>忠孝7樓</t>
        </is>
      </c>
      <c r="E1669" s="484" t="inlineStr">
        <is>
          <t>6170019</t>
        </is>
      </c>
      <c r="F1669" s="551" t="n"/>
      <c r="G1669" s="484" t="inlineStr">
        <is>
          <t>媚必提直線探頭2.0mm/條</t>
        </is>
      </c>
      <c r="H1669" s="552" t="n"/>
      <c r="I1669" s="552" t="n"/>
      <c r="J1669" s="551" t="n"/>
      <c r="K1669" s="140" t="inlineStr">
        <is>
          <t>20,099條/顆</t>
        </is>
      </c>
      <c r="L1669" s="560" t="n">
        <v>5009</v>
      </c>
    </row>
    <row r="1670" ht="17.25" customHeight="1" s="453" thickBot="1">
      <c r="A1670" s="553">
        <f>IFERROR(LEFT(B1670,7),"")</f>
        <v/>
      </c>
      <c r="B1670" s="554">
        <f>"2026/03"&amp;D1670</f>
        <v/>
      </c>
      <c r="C1670" s="559" t="n">
        <v>134</v>
      </c>
      <c r="D1670" s="484" t="inlineStr">
        <is>
          <t>忠孝7樓</t>
        </is>
      </c>
      <c r="E1670" s="484" t="inlineStr">
        <is>
          <t>6170020</t>
        </is>
      </c>
      <c r="F1670" s="551" t="n"/>
      <c r="G1670" s="484" t="inlineStr">
        <is>
          <t>媚必提直線探頭3.0mm/條</t>
        </is>
      </c>
      <c r="H1670" s="552" t="n"/>
      <c r="I1670" s="552" t="n"/>
      <c r="J1670" s="551" t="n"/>
      <c r="K1670" s="140" t="inlineStr">
        <is>
          <t>20,099條/顆</t>
        </is>
      </c>
      <c r="L1670" s="560" t="n">
        <v>12517</v>
      </c>
    </row>
    <row r="1671" ht="17.25" customHeight="1" s="453" thickBot="1">
      <c r="A1671" s="553">
        <f>IFERROR(LEFT(B1671,7),"")</f>
        <v/>
      </c>
      <c r="B1671" s="554">
        <f>"2026/03"&amp;D1671</f>
        <v/>
      </c>
      <c r="C1671" s="559" t="n">
        <v>135</v>
      </c>
      <c r="D1671" s="484" t="inlineStr">
        <is>
          <t>忠孝7樓</t>
        </is>
      </c>
      <c r="E1671" s="484" t="inlineStr">
        <is>
          <t>6170021</t>
        </is>
      </c>
      <c r="F1671" s="551" t="n"/>
      <c r="G1671" s="484" t="inlineStr">
        <is>
          <t>媚必提直線探頭4.5mm/條</t>
        </is>
      </c>
      <c r="H1671" s="552" t="n"/>
      <c r="I1671" s="552" t="n"/>
      <c r="J1671" s="551" t="n"/>
      <c r="K1671" s="140" t="inlineStr">
        <is>
          <t>20,099條/顆</t>
        </is>
      </c>
      <c r="L1671" s="560" t="n">
        <v>23376</v>
      </c>
    </row>
    <row r="1672" ht="17.25" customHeight="1" s="453" thickBot="1">
      <c r="A1672" s="553">
        <f>IFERROR(LEFT(B1672,7),"")</f>
        <v/>
      </c>
      <c r="B1672" s="554">
        <f>"2026/03"&amp;D1672</f>
        <v/>
      </c>
      <c r="C1672" s="559" t="n">
        <v>136</v>
      </c>
      <c r="D1672" s="484" t="inlineStr">
        <is>
          <t>忠孝7樓</t>
        </is>
      </c>
      <c r="E1672" s="484" t="inlineStr">
        <is>
          <t>6170022</t>
        </is>
      </c>
      <c r="F1672" s="551" t="n"/>
      <c r="G1672" s="484" t="inlineStr">
        <is>
          <t>媚必提直線探頭6.0mm/條</t>
        </is>
      </c>
      <c r="H1672" s="552" t="n"/>
      <c r="I1672" s="552" t="n"/>
      <c r="J1672" s="551" t="n"/>
      <c r="K1672" s="140" t="inlineStr">
        <is>
          <t>20,099條/顆</t>
        </is>
      </c>
      <c r="L1672" s="560" t="n">
        <v>7404</v>
      </c>
    </row>
    <row r="1673" ht="17.25" customHeight="1" s="453" thickBot="1">
      <c r="A1673" s="553">
        <f>IFERROR(LEFT(B1673,7),"")</f>
        <v/>
      </c>
      <c r="B1673" s="554">
        <f>"2026/03"&amp;D1673</f>
        <v/>
      </c>
      <c r="C1673" s="559" t="n">
        <v>137</v>
      </c>
      <c r="D1673" s="484" t="inlineStr">
        <is>
          <t>忠孝7樓</t>
        </is>
      </c>
      <c r="E1673" s="484" t="inlineStr">
        <is>
          <t>6170028</t>
        </is>
      </c>
      <c r="F1673" s="551" t="n"/>
      <c r="G1673" s="484" t="inlineStr">
        <is>
          <t>海芙電波探頭0.25cm/發</t>
        </is>
      </c>
      <c r="H1673" s="552" t="n"/>
      <c r="I1673" s="552" t="n"/>
      <c r="J1673" s="551" t="n"/>
      <c r="K1673" s="140" t="inlineStr">
        <is>
          <t>6,050發/顆</t>
        </is>
      </c>
      <c r="L1673" s="560" t="n">
        <v>3199</v>
      </c>
    </row>
    <row r="1674" ht="17.25" customHeight="1" s="453" thickBot="1">
      <c r="A1674" s="553">
        <f>IFERROR(LEFT(B1674,7),"")</f>
        <v/>
      </c>
      <c r="B1674" s="554">
        <f>"2026/03"&amp;D1674</f>
        <v/>
      </c>
      <c r="C1674" s="559" t="n">
        <v>138</v>
      </c>
      <c r="D1674" s="484" t="inlineStr">
        <is>
          <t>忠孝7樓</t>
        </is>
      </c>
      <c r="E1674" s="484" t="inlineStr">
        <is>
          <t>6170030</t>
        </is>
      </c>
      <c r="F1674" s="551" t="n"/>
      <c r="G1674" s="484" t="inlineStr">
        <is>
          <t>海芙電波探頭4.0cm/發</t>
        </is>
      </c>
      <c r="H1674" s="552" t="n"/>
      <c r="I1674" s="552" t="n"/>
      <c r="J1674" s="551" t="n"/>
      <c r="K1674" s="140" t="inlineStr">
        <is>
          <t>3,050發/顆</t>
        </is>
      </c>
      <c r="L1674" s="560" t="n">
        <v>23417</v>
      </c>
    </row>
    <row r="1675" ht="17.25" customHeight="1" s="453" thickBot="1">
      <c r="A1675" s="553">
        <f>IFERROR(LEFT(B1675,7),"")</f>
        <v/>
      </c>
      <c r="B1675" s="554">
        <f>"2026/03"&amp;D1675</f>
        <v/>
      </c>
      <c r="C1675" s="559" t="n">
        <v>139</v>
      </c>
      <c r="D1675" s="484" t="inlineStr">
        <is>
          <t>忠孝7樓</t>
        </is>
      </c>
      <c r="E1675" s="484" t="inlineStr">
        <is>
          <t>6170032</t>
        </is>
      </c>
      <c r="F1675" s="551" t="n"/>
      <c r="G1675" s="484" t="inlineStr">
        <is>
          <t>立特拉A2筆型探頭3.0mm/ 條</t>
        </is>
      </c>
      <c r="H1675" s="552" t="n"/>
      <c r="I1675" s="552" t="n"/>
      <c r="J1675" s="551" t="n"/>
      <c r="K1675" s="140" t="inlineStr">
        <is>
          <t>240,500條/顆</t>
        </is>
      </c>
      <c r="L1675" s="560" t="n">
        <v>205000</v>
      </c>
    </row>
    <row r="1676" ht="17.25" customHeight="1" s="453" thickBot="1">
      <c r="A1676" s="553">
        <f>IFERROR(LEFT(B1676,7),"")</f>
        <v/>
      </c>
      <c r="B1676" s="554">
        <f>"2026/03"&amp;D1676</f>
        <v/>
      </c>
      <c r="C1676" s="559" t="n">
        <v>140</v>
      </c>
      <c r="D1676" s="484" t="inlineStr">
        <is>
          <t>忠孝7樓</t>
        </is>
      </c>
      <c r="E1676" s="484" t="inlineStr">
        <is>
          <t>6170033</t>
        </is>
      </c>
      <c r="F1676" s="551" t="n"/>
      <c r="G1676" s="484" t="inlineStr">
        <is>
          <t>立特拉A2筆型探頭4.5mm/ 條</t>
        </is>
      </c>
      <c r="H1676" s="552" t="n"/>
      <c r="I1676" s="552" t="n"/>
      <c r="J1676" s="551" t="n"/>
      <c r="K1676" s="140" t="inlineStr">
        <is>
          <t>240,500條/顆</t>
        </is>
      </c>
      <c r="L1676" s="560" t="n">
        <v>80500</v>
      </c>
    </row>
    <row r="1677" ht="17.25" customHeight="1" s="453" thickBot="1">
      <c r="A1677" s="553">
        <f>IFERROR(LEFT(B1677,7),"")</f>
        <v/>
      </c>
      <c r="B1677" s="554">
        <f>"2026/03"&amp;D1677</f>
        <v/>
      </c>
      <c r="C1677" s="559" t="n">
        <v>141</v>
      </c>
      <c r="D1677" s="484" t="inlineStr">
        <is>
          <t>忠孝7樓</t>
        </is>
      </c>
      <c r="E1677" s="484" t="inlineStr">
        <is>
          <t>6170034</t>
        </is>
      </c>
      <c r="F1677" s="551" t="n"/>
      <c r="G1677" s="484" t="inlineStr">
        <is>
          <t>十蓓電波臉部探頭5cm</t>
        </is>
      </c>
      <c r="H1677" s="552" t="n"/>
      <c r="I1677" s="552" t="n"/>
      <c r="J1677" s="551" t="n"/>
      <c r="K1677" s="140" t="inlineStr">
        <is>
          <t>900發/顆</t>
        </is>
      </c>
      <c r="L1677" s="560" t="n">
        <v>155303</v>
      </c>
    </row>
    <row r="1678" ht="17.25" customHeight="1" s="453" thickBot="1">
      <c r="A1678" s="553">
        <f>IFERROR(LEFT(B1678,7),"")</f>
        <v/>
      </c>
      <c r="B1678" s="554">
        <f>"2026/03"&amp;D1678</f>
        <v/>
      </c>
      <c r="C1678" s="559" t="n">
        <v>142</v>
      </c>
      <c r="D1678" s="484" t="inlineStr">
        <is>
          <t>忠孝7樓</t>
        </is>
      </c>
      <c r="E1678" s="484" t="inlineStr">
        <is>
          <t>6170035</t>
        </is>
      </c>
      <c r="F1678" s="551" t="n"/>
      <c r="G1678" s="484" t="inlineStr">
        <is>
          <t>十蓓電波眼部探頭0.25cm</t>
        </is>
      </c>
      <c r="H1678" s="552" t="n"/>
      <c r="I1678" s="552" t="n"/>
      <c r="J1678" s="551" t="n"/>
      <c r="K1678" s="140" t="inlineStr">
        <is>
          <t>600發/顆</t>
        </is>
      </c>
      <c r="L1678" s="560" t="n">
        <v>39402</v>
      </c>
    </row>
    <row r="1679" ht="17.25" customHeight="1" s="453" thickBot="1">
      <c r="A1679" s="553">
        <f>IFERROR(LEFT(B1679,7),"")</f>
        <v/>
      </c>
      <c r="B1679" s="554">
        <f>"2026/03"&amp;D1679</f>
        <v/>
      </c>
      <c r="C1679" s="559" t="n">
        <v>143</v>
      </c>
      <c r="D1679" s="484" t="inlineStr">
        <is>
          <t>忠孝7樓</t>
        </is>
      </c>
      <c r="E1679" s="484" t="inlineStr">
        <is>
          <t>6180003</t>
        </is>
      </c>
      <c r="F1679" s="551" t="n"/>
      <c r="G1679" s="484" t="inlineStr">
        <is>
          <t>(V)MINT秘特拉提線 43cm/ 條</t>
        </is>
      </c>
      <c r="H1679" s="552" t="n"/>
      <c r="I1679" s="552" t="n"/>
      <c r="J1679" s="551" t="n"/>
      <c r="K1679" s="140" t="inlineStr">
        <is>
          <t>條</t>
        </is>
      </c>
      <c r="L1679" s="560" t="n">
        <v>2</v>
      </c>
    </row>
    <row r="1680" ht="17.25" customHeight="1" s="453" thickBot="1">
      <c r="A1680" s="553">
        <f>IFERROR(LEFT(B1680,7),"")</f>
        <v/>
      </c>
      <c r="B1680" s="554">
        <f>"2026/03"&amp;D1680</f>
        <v/>
      </c>
      <c r="C1680" s="559" t="n">
        <v>144</v>
      </c>
      <c r="D1680" s="484" t="inlineStr">
        <is>
          <t>忠孝7樓</t>
        </is>
      </c>
      <c r="E1680" s="484" t="inlineStr">
        <is>
          <t>6180007</t>
        </is>
      </c>
      <c r="F1680" s="551" t="n"/>
      <c r="G1680" s="484" t="inlineStr">
        <is>
          <t>(V)MINT秘特拉提線PETIT 15CM/ 條</t>
        </is>
      </c>
      <c r="H1680" s="552" t="n"/>
      <c r="I1680" s="552" t="n"/>
      <c r="J1680" s="551" t="n"/>
      <c r="K1680" s="140" t="inlineStr">
        <is>
          <t>20條/盒</t>
        </is>
      </c>
      <c r="L1680" s="560" t="n">
        <v>8</v>
      </c>
    </row>
    <row r="1681" ht="17.25" customHeight="1" s="453" thickBot="1">
      <c r="A1681" s="553">
        <f>IFERROR(LEFT(B1681,7),"")</f>
        <v/>
      </c>
      <c r="B1681" s="554">
        <f>"2026/03"&amp;D1681</f>
        <v/>
      </c>
      <c r="C1681" s="559" t="n">
        <v>145</v>
      </c>
      <c r="D1681" s="484" t="inlineStr">
        <is>
          <t>忠孝7樓</t>
        </is>
      </c>
      <c r="E1681" s="484" t="inlineStr">
        <is>
          <t>6180009</t>
        </is>
      </c>
      <c r="F1681" s="551" t="n"/>
      <c r="G1681" s="484" t="inlineStr">
        <is>
          <t>(V)MINT秘特拉提線TIP 4CM/ 條</t>
        </is>
      </c>
      <c r="H1681" s="552" t="n"/>
      <c r="I1681" s="552" t="n"/>
      <c r="J1681" s="551" t="n"/>
      <c r="K1681" s="140" t="inlineStr">
        <is>
          <t>10條/盒</t>
        </is>
      </c>
      <c r="L1681" s="560" t="n">
        <v>16</v>
      </c>
    </row>
    <row r="1682" ht="17.25" customHeight="1" s="453" thickBot="1">
      <c r="A1682" s="553">
        <f>IFERROR(LEFT(B1682,7),"")</f>
        <v/>
      </c>
      <c r="B1682" s="554">
        <f>"2026/03"&amp;D1682</f>
        <v/>
      </c>
      <c r="C1682" s="559" t="n">
        <v>146</v>
      </c>
      <c r="D1682" s="484" t="inlineStr">
        <is>
          <t>忠孝7樓</t>
        </is>
      </c>
      <c r="E1682" s="484" t="inlineStr">
        <is>
          <t>6180011</t>
        </is>
      </c>
      <c r="F1682" s="551" t="n"/>
      <c r="G1682" s="484" t="inlineStr">
        <is>
          <t>(V)MINT秘特拉提線UP 9.5CM/ 條</t>
        </is>
      </c>
      <c r="H1682" s="552" t="n"/>
      <c r="I1682" s="552" t="n"/>
      <c r="J1682" s="551" t="n"/>
      <c r="K1682" s="140" t="inlineStr">
        <is>
          <t>10條/盒</t>
        </is>
      </c>
      <c r="L1682" s="560" t="n">
        <v>14</v>
      </c>
    </row>
    <row r="1683" ht="17.25" customHeight="1" s="453" thickBot="1">
      <c r="A1683" s="553">
        <f>IFERROR(LEFT(B1683,7),"")</f>
        <v/>
      </c>
      <c r="B1683" s="554">
        <f>"2026/03"&amp;D1683</f>
        <v/>
      </c>
      <c r="C1683" s="559" t="n">
        <v>147</v>
      </c>
      <c r="D1683" s="484" t="inlineStr">
        <is>
          <t>忠孝7樓</t>
        </is>
      </c>
      <c r="E1683" s="484" t="inlineStr">
        <is>
          <t>6190001</t>
        </is>
      </c>
      <c r="F1683" s="551" t="n"/>
      <c r="G1683" s="484" t="inlineStr">
        <is>
          <t>PLT生長因子凍晶製備/ 瓶</t>
        </is>
      </c>
      <c r="H1683" s="552" t="n"/>
      <c r="I1683" s="552" t="n"/>
      <c r="J1683" s="551" t="n"/>
      <c r="K1683" s="140" t="inlineStr">
        <is>
          <t>瓶</t>
        </is>
      </c>
      <c r="L1683" s="560" t="n">
        <v>3</v>
      </c>
    </row>
    <row r="1684" ht="17.25" customHeight="1" s="453" thickBot="1">
      <c r="A1684" s="553">
        <f>IFERROR(LEFT(B1684,7),"")</f>
        <v/>
      </c>
      <c r="B1684" s="554">
        <f>"2026/03"&amp;D1684</f>
        <v/>
      </c>
      <c r="C1684" s="559" t="n">
        <v>148</v>
      </c>
      <c r="D1684" s="484" t="inlineStr">
        <is>
          <t>忠孝7樓</t>
        </is>
      </c>
      <c r="E1684" s="484" t="inlineStr">
        <is>
          <t>6190002</t>
        </is>
      </c>
      <c r="F1684" s="551" t="n"/>
      <c r="G1684" s="484" t="inlineStr">
        <is>
          <t>PLT生長因子凍晶製備6入(單瓶)</t>
        </is>
      </c>
      <c r="H1684" s="552" t="n"/>
      <c r="I1684" s="552" t="n"/>
      <c r="J1684" s="551" t="n"/>
      <c r="K1684" s="140" t="inlineStr">
        <is>
          <t>瓶(6入/組)</t>
        </is>
      </c>
      <c r="L1684" s="560" t="n">
        <v>6</v>
      </c>
    </row>
    <row r="1685" ht="17.25" customHeight="1" s="453" thickBot="1">
      <c r="A1685" s="553">
        <f>IFERROR(LEFT(B1685,7),"")</f>
        <v/>
      </c>
      <c r="B1685" s="554">
        <f>"2026/03"&amp;D1685</f>
        <v/>
      </c>
      <c r="C1685" s="559" t="n">
        <v>149</v>
      </c>
      <c r="D1685" s="484" t="inlineStr">
        <is>
          <t>忠孝7樓</t>
        </is>
      </c>
      <c r="E1685" s="484" t="inlineStr">
        <is>
          <t>6190003</t>
        </is>
      </c>
      <c r="F1685" s="551" t="n"/>
      <c r="G1685" s="484" t="inlineStr">
        <is>
          <t>PLT生長因子凍晶製備10入(單瓶)</t>
        </is>
      </c>
      <c r="H1685" s="552" t="n"/>
      <c r="I1685" s="552" t="n"/>
      <c r="J1685" s="551" t="n"/>
      <c r="K1685" s="140" t="inlineStr">
        <is>
          <t>瓶(10入/組)</t>
        </is>
      </c>
      <c r="L1685" s="560" t="n">
        <v>5</v>
      </c>
    </row>
    <row r="1686" ht="17.25" customHeight="1" s="453" thickBot="1">
      <c r="A1686" s="553">
        <f>IFERROR(LEFT(B1686,7),"")</f>
        <v/>
      </c>
      <c r="B1686" s="554">
        <f>"2026/03"&amp;D1686</f>
        <v/>
      </c>
      <c r="C1686" s="559" t="n">
        <v>150</v>
      </c>
      <c r="D1686" s="484" t="inlineStr">
        <is>
          <t>忠孝7樓</t>
        </is>
      </c>
      <c r="E1686" s="484" t="inlineStr">
        <is>
          <t>6190004</t>
        </is>
      </c>
      <c r="F1686" s="551" t="n"/>
      <c r="G1686" s="484" t="inlineStr">
        <is>
          <t>PLT生長因子凍晶製備20入(單瓶)</t>
        </is>
      </c>
      <c r="H1686" s="552" t="n"/>
      <c r="I1686" s="552" t="n"/>
      <c r="J1686" s="551" t="n"/>
      <c r="K1686" s="140" t="inlineStr">
        <is>
          <t>瓶(20入/組)</t>
        </is>
      </c>
      <c r="L1686" s="560" t="n">
        <v>45</v>
      </c>
    </row>
    <row r="1687" ht="17.25" customHeight="1" s="453" thickBot="1">
      <c r="A1687" s="553">
        <f>IFERROR(LEFT(B1687,7),"")</f>
        <v/>
      </c>
      <c r="B1687" s="554">
        <f>"2026/03"&amp;D1687</f>
        <v/>
      </c>
      <c r="C1687" s="559" t="n">
        <v>151</v>
      </c>
      <c r="D1687" s="484" t="inlineStr">
        <is>
          <t>忠孝7樓</t>
        </is>
      </c>
      <c r="E1687" s="484" t="inlineStr">
        <is>
          <t>6200003</t>
        </is>
      </c>
      <c r="F1687" s="551" t="n"/>
      <c r="G1687" s="484" t="inlineStr">
        <is>
          <t>(V)倍克脂Belkyra/ 瓶(20的倍數下單)</t>
        </is>
      </c>
      <c r="H1687" s="552" t="n"/>
      <c r="I1687" s="552" t="n"/>
      <c r="J1687" s="551" t="n"/>
      <c r="K1687" s="140" t="inlineStr">
        <is>
          <t>4瓶/盒</t>
        </is>
      </c>
      <c r="L1687" s="560" t="n">
        <v>9</v>
      </c>
    </row>
    <row r="1688" ht="17.25" customHeight="1" s="453" thickBot="1">
      <c r="A1688" s="553">
        <f>IFERROR(LEFT(B1688,7),"")</f>
        <v/>
      </c>
      <c r="B1688" s="554">
        <f>"2026/03"&amp;D1688</f>
        <v/>
      </c>
      <c r="C1688" s="559" t="n">
        <v>152</v>
      </c>
      <c r="D1688" s="484" t="inlineStr">
        <is>
          <t>忠孝7樓</t>
        </is>
      </c>
      <c r="E1688" s="484" t="inlineStr">
        <is>
          <t>6210001</t>
        </is>
      </c>
      <c r="F1688" s="551" t="n"/>
      <c r="G1688" s="484" t="inlineStr">
        <is>
          <t>(V)水光針針頭/31G9針/1.0mm/ PCS</t>
        </is>
      </c>
      <c r="H1688" s="552" t="n"/>
      <c r="I1688" s="552" t="n"/>
      <c r="J1688" s="551" t="n"/>
      <c r="K1688" s="140" t="inlineStr">
        <is>
          <t>PCS(20入/盒)</t>
        </is>
      </c>
      <c r="L1688" s="560" t="n">
        <v>10</v>
      </c>
    </row>
    <row r="1689" ht="17.25" customHeight="1" s="453" thickBot="1">
      <c r="A1689" s="553">
        <f>IFERROR(LEFT(B1689,7),"")</f>
        <v/>
      </c>
      <c r="B1689" s="554">
        <f>"2026/03"&amp;D1689</f>
        <v/>
      </c>
      <c r="C1689" s="559" t="n">
        <v>153</v>
      </c>
      <c r="D1689" s="484" t="inlineStr">
        <is>
          <t>忠孝7樓</t>
        </is>
      </c>
      <c r="E1689" s="484" t="inlineStr">
        <is>
          <t>6210002</t>
        </is>
      </c>
      <c r="F1689" s="551" t="n"/>
      <c r="G1689" s="484" t="inlineStr">
        <is>
          <t>(V)水光針針頭/31G9針/1.2mm/ PCS</t>
        </is>
      </c>
      <c r="H1689" s="552" t="n"/>
      <c r="I1689" s="552" t="n"/>
      <c r="J1689" s="551" t="n"/>
      <c r="K1689" s="140" t="inlineStr">
        <is>
          <t>PCS(20入/盒)</t>
        </is>
      </c>
      <c r="L1689" s="560" t="n">
        <v>280</v>
      </c>
    </row>
    <row r="1690" ht="17.25" customHeight="1" s="453" thickBot="1">
      <c r="A1690" s="553">
        <f>IFERROR(LEFT(B1690,7),"")</f>
        <v/>
      </c>
      <c r="B1690" s="554">
        <f>"2026/03"&amp;D1690</f>
        <v/>
      </c>
      <c r="C1690" s="559" t="n">
        <v>154</v>
      </c>
      <c r="D1690" s="484" t="inlineStr">
        <is>
          <t>忠孝7樓</t>
        </is>
      </c>
      <c r="E1690" s="484" t="inlineStr">
        <is>
          <t>6210003</t>
        </is>
      </c>
      <c r="F1690" s="551" t="n"/>
      <c r="G1690" s="484" t="inlineStr">
        <is>
          <t>(V)水光針針頭/31G9針/1.5mm/ PCS</t>
        </is>
      </c>
      <c r="H1690" s="552" t="n"/>
      <c r="I1690" s="552" t="n"/>
      <c r="J1690" s="551" t="n"/>
      <c r="K1690" s="140" t="inlineStr">
        <is>
          <t>PCS(20入/盒)</t>
        </is>
      </c>
      <c r="L1690" s="560" t="n">
        <v>22</v>
      </c>
    </row>
    <row r="1691" ht="17.25" customHeight="1" s="453" thickBot="1">
      <c r="A1691" s="553">
        <f>IFERROR(LEFT(B1691,7),"")</f>
        <v/>
      </c>
      <c r="B1691" s="554">
        <f>"2026/03"&amp;D1691</f>
        <v/>
      </c>
      <c r="C1691" s="559" t="n">
        <v>155</v>
      </c>
      <c r="D1691" s="484" t="inlineStr">
        <is>
          <t>忠孝7樓</t>
        </is>
      </c>
      <c r="E1691" s="484" t="inlineStr">
        <is>
          <t>6210006</t>
        </is>
      </c>
      <c r="F1691" s="551" t="n"/>
      <c r="G1691" s="484" t="inlineStr">
        <is>
          <t>(V)麗珠蘭修復水光(A劑2ml+B劑2ml)</t>
        </is>
      </c>
      <c r="H1691" s="552" t="n"/>
      <c r="I1691" s="552" t="n"/>
      <c r="J1691" s="551" t="n"/>
      <c r="K1691" s="140" t="inlineStr">
        <is>
          <t>2ml*2</t>
        </is>
      </c>
      <c r="L1691" s="560" t="n">
        <v>3</v>
      </c>
    </row>
    <row r="1692" ht="17.25" customHeight="1" s="453" thickBot="1">
      <c r="A1692" s="553">
        <f>IFERROR(LEFT(B1692,7),"")</f>
        <v/>
      </c>
      <c r="B1692" s="554">
        <f>"2026/03"&amp;D1692</f>
        <v/>
      </c>
      <c r="C1692" s="559" t="n">
        <v>156</v>
      </c>
      <c r="D1692" s="484" t="inlineStr">
        <is>
          <t>忠孝7樓</t>
        </is>
      </c>
      <c r="E1692" s="484" t="inlineStr">
        <is>
          <t>6210007</t>
        </is>
      </c>
      <c r="F1692" s="551" t="n"/>
      <c r="G1692" s="484" t="inlineStr">
        <is>
          <t>(V)麗珠蘭白瓷水光(A劑2ml+B劑2ml)</t>
        </is>
      </c>
      <c r="H1692" s="552" t="n"/>
      <c r="I1692" s="552" t="n"/>
      <c r="J1692" s="551" t="n"/>
      <c r="K1692" s="140" t="inlineStr">
        <is>
          <t>2ml*2</t>
        </is>
      </c>
      <c r="L1692" s="560" t="n">
        <v>2</v>
      </c>
    </row>
    <row r="1693" ht="17.25" customHeight="1" s="453" thickBot="1">
      <c r="A1693" s="553">
        <f>IFERROR(LEFT(B1693,7),"")</f>
        <v/>
      </c>
      <c r="B1693" s="554">
        <f>"2026/03"&amp;D1693</f>
        <v/>
      </c>
      <c r="C1693" s="559" t="n">
        <v>157</v>
      </c>
      <c r="D1693" s="484" t="inlineStr">
        <is>
          <t>忠孝7樓</t>
        </is>
      </c>
      <c r="E1693" s="484" t="inlineStr">
        <is>
          <t>6210008</t>
        </is>
      </c>
      <c r="F1693" s="551" t="n"/>
      <c r="G1693" s="484" t="inlineStr">
        <is>
          <t>微針筆針頭</t>
        </is>
      </c>
      <c r="H1693" s="552" t="n"/>
      <c r="I1693" s="552" t="n"/>
      <c r="J1693" s="551" t="n"/>
      <c r="K1693" s="140" t="inlineStr">
        <is>
          <t>PCS(33入/盒)</t>
        </is>
      </c>
      <c r="L1693" s="560" t="n">
        <v>2</v>
      </c>
    </row>
    <row r="1694" ht="17.25" customHeight="1" s="453" thickBot="1">
      <c r="A1694" s="553">
        <f>IFERROR(LEFT(B1694,7),"")</f>
        <v/>
      </c>
      <c r="B1694" s="554">
        <f>"2026/03"&amp;D1694</f>
        <v/>
      </c>
      <c r="C1694" s="559" t="n">
        <v>158</v>
      </c>
      <c r="D1694" s="484" t="inlineStr">
        <is>
          <t>忠孝7樓</t>
        </is>
      </c>
      <c r="E1694" s="484" t="inlineStr">
        <is>
          <t>6220005</t>
        </is>
      </c>
      <c r="F1694" s="551" t="n"/>
      <c r="G1694" s="484" t="inlineStr">
        <is>
          <t>海菲秀深藍端頭/ 顆</t>
        </is>
      </c>
      <c r="H1694" s="552" t="n"/>
      <c r="I1694" s="552" t="n"/>
      <c r="J1694" s="551" t="n"/>
      <c r="K1694" s="140" t="inlineStr">
        <is>
          <t>15顆/串</t>
        </is>
      </c>
      <c r="L1694" s="560" t="n">
        <v>921</v>
      </c>
    </row>
    <row r="1695" ht="17.25" customHeight="1" s="453" thickBot="1">
      <c r="A1695" s="553">
        <f>IFERROR(LEFT(B1695,7),"")</f>
        <v/>
      </c>
      <c r="B1695" s="554">
        <f>"2026/03"&amp;D1695</f>
        <v/>
      </c>
      <c r="C1695" s="559" t="n">
        <v>159</v>
      </c>
      <c r="D1695" s="484" t="inlineStr">
        <is>
          <t>忠孝7樓</t>
        </is>
      </c>
      <c r="E1695" s="484" t="inlineStr">
        <is>
          <t>6220006</t>
        </is>
      </c>
      <c r="F1695" s="551" t="n"/>
      <c r="G1695" s="484" t="inlineStr">
        <is>
          <t>海菲秀淺藍端頭/ 顆</t>
        </is>
      </c>
      <c r="H1695" s="552" t="n"/>
      <c r="I1695" s="552" t="n"/>
      <c r="J1695" s="551" t="n"/>
      <c r="K1695" s="140" t="inlineStr">
        <is>
          <t>15顆/串</t>
        </is>
      </c>
      <c r="L1695" s="560" t="n">
        <v>921</v>
      </c>
    </row>
    <row r="1696" ht="17.25" customHeight="1" s="453" thickBot="1">
      <c r="A1696" s="553">
        <f>IFERROR(LEFT(B1696,7),"")</f>
        <v/>
      </c>
      <c r="B1696" s="554">
        <f>"2026/03"&amp;D1696</f>
        <v/>
      </c>
      <c r="C1696" s="559" t="n">
        <v>160</v>
      </c>
      <c r="D1696" s="484" t="inlineStr">
        <is>
          <t>忠孝7樓</t>
        </is>
      </c>
      <c r="E1696" s="484" t="inlineStr">
        <is>
          <t>6220007</t>
        </is>
      </c>
      <c r="F1696" s="551" t="n"/>
      <c r="G1696" s="484" t="inlineStr">
        <is>
          <t>海菲秀透明端頭/ 顆</t>
        </is>
      </c>
      <c r="H1696" s="552" t="n"/>
      <c r="I1696" s="552" t="n"/>
      <c r="J1696" s="551" t="n"/>
      <c r="K1696" s="140" t="inlineStr">
        <is>
          <t>15顆/串</t>
        </is>
      </c>
      <c r="L1696" s="560" t="n">
        <v>921</v>
      </c>
    </row>
    <row r="1697" ht="17.25" customHeight="1" s="453" thickBot="1">
      <c r="A1697" s="553">
        <f>IFERROR(LEFT(B1697,7),"")</f>
        <v/>
      </c>
      <c r="B1697" s="554">
        <f>"2026/03"&amp;D1697</f>
        <v/>
      </c>
      <c r="C1697" s="559" t="n">
        <v>161</v>
      </c>
      <c r="D1697" s="484" t="inlineStr">
        <is>
          <t>忠孝7樓</t>
        </is>
      </c>
      <c r="E1697" s="484" t="inlineStr">
        <is>
          <t>6220012</t>
        </is>
      </c>
      <c r="F1697" s="551" t="n"/>
      <c r="G1697" s="484" t="inlineStr">
        <is>
          <t>(V)(第一劑)海菲秀 Activ-4 Skin Solution/mL</t>
        </is>
      </c>
      <c r="H1697" s="552" t="n"/>
      <c r="I1697" s="552" t="n"/>
      <c r="J1697" s="551" t="n"/>
      <c r="K1697" s="140" t="inlineStr">
        <is>
          <t>236ml/瓶</t>
        </is>
      </c>
      <c r="L1697" s="560" t="n">
        <v>13801</v>
      </c>
    </row>
    <row r="1698" ht="17.25" customHeight="1" s="453" thickBot="1">
      <c r="A1698" s="553">
        <f>IFERROR(LEFT(B1698,7),"")</f>
        <v/>
      </c>
      <c r="B1698" s="554">
        <f>"2026/03"&amp;D1698</f>
        <v/>
      </c>
      <c r="C1698" s="559" t="n">
        <v>162</v>
      </c>
      <c r="D1698" s="484" t="inlineStr">
        <is>
          <t>忠孝7樓</t>
        </is>
      </c>
      <c r="E1698" s="484" t="inlineStr">
        <is>
          <t>6220013</t>
        </is>
      </c>
      <c r="F1698" s="551" t="n"/>
      <c r="G1698" s="484" t="inlineStr">
        <is>
          <t>(V)(第二劑)海菲秀 Beta-HD Skin Solution /mL</t>
        </is>
      </c>
      <c r="H1698" s="552" t="n"/>
      <c r="I1698" s="552" t="n"/>
      <c r="J1698" s="551" t="n"/>
      <c r="K1698" s="140" t="inlineStr">
        <is>
          <t>236ml/瓶</t>
        </is>
      </c>
      <c r="L1698" s="560" t="n">
        <v>13801</v>
      </c>
    </row>
    <row r="1699" ht="17.25" customHeight="1" s="453" thickBot="1">
      <c r="A1699" s="553">
        <f>IFERROR(LEFT(B1699,7),"")</f>
        <v/>
      </c>
      <c r="B1699" s="554">
        <f>"2026/03"&amp;D1699</f>
        <v/>
      </c>
      <c r="C1699" s="559" t="n">
        <v>163</v>
      </c>
      <c r="D1699" s="484" t="inlineStr">
        <is>
          <t>忠孝7樓</t>
        </is>
      </c>
      <c r="E1699" s="484" t="inlineStr">
        <is>
          <t>6220014</t>
        </is>
      </c>
      <c r="F1699" s="551" t="n"/>
      <c r="G1699" s="484" t="inlineStr">
        <is>
          <t>(V)(第三劑)海菲秀 Antiox-6 Skin Solution /mL</t>
        </is>
      </c>
      <c r="H1699" s="552" t="n"/>
      <c r="I1699" s="552" t="n"/>
      <c r="J1699" s="551" t="n"/>
      <c r="K1699" s="140" t="inlineStr">
        <is>
          <t>236ml/瓶</t>
        </is>
      </c>
      <c r="L1699" s="560" t="n">
        <v>13801</v>
      </c>
    </row>
    <row r="1700" ht="17.25" customHeight="1" s="453" thickBot="1">
      <c r="A1700" s="553">
        <f>IFERROR(LEFT(B1700,7),"")</f>
        <v/>
      </c>
      <c r="B1700" s="554">
        <f>"2026/03"&amp;D1700</f>
        <v/>
      </c>
      <c r="C1700" s="559" t="n">
        <v>164</v>
      </c>
      <c r="D1700" s="484" t="inlineStr">
        <is>
          <t>忠孝7樓</t>
        </is>
      </c>
      <c r="E1700" s="484" t="inlineStr">
        <is>
          <t>6220015</t>
        </is>
      </c>
      <c r="F1700" s="551" t="n"/>
      <c r="G1700" s="484" t="inlineStr">
        <is>
          <t>(V)(第四劑)海菲秀 Rinseaway System Cleaning Solution /mL</t>
        </is>
      </c>
      <c r="H1700" s="552" t="n"/>
      <c r="I1700" s="552" t="n"/>
      <c r="J1700" s="551" t="n"/>
      <c r="K1700" s="140" t="inlineStr">
        <is>
          <t>236ml/瓶</t>
        </is>
      </c>
      <c r="L1700" s="560" t="n">
        <v>13801</v>
      </c>
    </row>
    <row r="1701" ht="17.25" customHeight="1" s="453" thickBot="1">
      <c r="A1701" s="553">
        <f>IFERROR(LEFT(B1701,7),"")</f>
        <v/>
      </c>
      <c r="B1701" s="554">
        <f>"2026/03"&amp;D1701</f>
        <v/>
      </c>
      <c r="C1701" s="559" t="n">
        <v>165</v>
      </c>
      <c r="D1701" s="484" t="inlineStr">
        <is>
          <t>忠孝國際醫學3樓</t>
        </is>
      </c>
      <c r="E1701" s="484" t="inlineStr">
        <is>
          <t>6120001</t>
        </is>
      </c>
      <c r="F1701" s="551" t="n"/>
      <c r="G1701" s="484" t="inlineStr">
        <is>
          <t>(V)肝得健注射劑/ 瓶，220倍數叫貨</t>
        </is>
      </c>
      <c r="H1701" s="552" t="n"/>
      <c r="I1701" s="552" t="n"/>
      <c r="J1701" s="551" t="n"/>
      <c r="K1701" s="140" t="inlineStr">
        <is>
          <t>20支/盒</t>
        </is>
      </c>
      <c r="L1701" s="560" t="n">
        <v>1204</v>
      </c>
    </row>
    <row r="1702" ht="17.25" customHeight="1" s="453" thickBot="1">
      <c r="A1702" s="553">
        <f>IFERROR(LEFT(B1702,7),"")</f>
        <v/>
      </c>
      <c r="B1702" s="554">
        <f>"2026/03"&amp;D1702</f>
        <v/>
      </c>
      <c r="C1702" s="559" t="n">
        <v>166</v>
      </c>
      <c r="D1702" s="484" t="inlineStr">
        <is>
          <t>忠孝國際醫學3樓</t>
        </is>
      </c>
      <c r="E1702" s="484" t="inlineStr">
        <is>
          <t>6120002</t>
        </is>
      </c>
      <c r="F1702" s="551" t="n"/>
      <c r="G1702" s="484" t="inlineStr">
        <is>
          <t>(V)卡妮丁注射劑/ 瓶，220倍數叫貨</t>
        </is>
      </c>
      <c r="H1702" s="552" t="n"/>
      <c r="I1702" s="552" t="n"/>
      <c r="J1702" s="551" t="n"/>
      <c r="K1702" s="140" t="inlineStr">
        <is>
          <t>5支/盒</t>
        </is>
      </c>
      <c r="L1702" s="560" t="n">
        <v>1635</v>
      </c>
    </row>
    <row r="1703" ht="17.25" customHeight="1" s="453" thickBot="1">
      <c r="A1703" s="553">
        <f>IFERROR(LEFT(B1703,7),"")</f>
        <v/>
      </c>
      <c r="B1703" s="554">
        <f>"2026/03"&amp;D1703</f>
        <v/>
      </c>
      <c r="C1703" s="559" t="n">
        <v>167</v>
      </c>
      <c r="D1703" s="484" t="inlineStr">
        <is>
          <t>忠孝國際醫學3樓</t>
        </is>
      </c>
      <c r="E1703" s="484" t="inlineStr">
        <is>
          <t>6120003</t>
        </is>
      </c>
      <c r="F1703" s="551" t="n"/>
      <c r="G1703" s="484" t="inlineStr">
        <is>
          <t>(V)貝力多(雙胜胺) 20% 30mL/ 瓶，50倍數叫貨</t>
        </is>
      </c>
      <c r="H1703" s="552" t="n"/>
      <c r="I1703" s="552" t="n"/>
      <c r="J1703" s="551" t="n"/>
      <c r="K1703" s="140" t="inlineStr">
        <is>
          <t>10支/盒</t>
        </is>
      </c>
      <c r="L1703" s="560" t="n">
        <v>7</v>
      </c>
    </row>
    <row r="1704" ht="17.25" customHeight="1" s="453" thickBot="1">
      <c r="A1704" s="553">
        <f>IFERROR(LEFT(B1704,7),"")</f>
        <v/>
      </c>
      <c r="B1704" s="554">
        <f>"2026/03"&amp;D1704</f>
        <v/>
      </c>
      <c r="C1704" s="559" t="n">
        <v>168</v>
      </c>
      <c r="D1704" s="484" t="inlineStr">
        <is>
          <t>忠孝國際醫學3樓</t>
        </is>
      </c>
      <c r="E1704" s="484" t="inlineStr">
        <is>
          <t>6120004</t>
        </is>
      </c>
      <c r="F1704" s="551" t="n"/>
      <c r="G1704" s="484" t="inlineStr">
        <is>
          <t>(V)胺基酸點滴250ml/ 袋(安命活源/嘉安命)，20倍數叫貨</t>
        </is>
      </c>
      <c r="H1704" s="552" t="n"/>
      <c r="I1704" s="552" t="n"/>
      <c r="J1704" s="551" t="n"/>
      <c r="K1704" s="140" t="inlineStr">
        <is>
          <t>(20瓶/箱)</t>
        </is>
      </c>
      <c r="L1704" s="560" t="n">
        <v>24</v>
      </c>
    </row>
    <row r="1705" ht="17.25" customHeight="1" s="453" thickBot="1">
      <c r="A1705" s="553">
        <f>IFERROR(LEFT(B1705,7),"")</f>
        <v/>
      </c>
      <c r="B1705" s="554">
        <f>"2026/03"&amp;D1705</f>
        <v/>
      </c>
      <c r="C1705" s="559" t="n">
        <v>169</v>
      </c>
      <c r="D1705" s="484" t="inlineStr">
        <is>
          <t>忠孝國際醫學3樓</t>
        </is>
      </c>
      <c r="E1705" s="484" t="inlineStr">
        <is>
          <t>6120006</t>
        </is>
      </c>
      <c r="F1705" s="551" t="n"/>
      <c r="G1705" s="484" t="inlineStr">
        <is>
          <t>(V)(B12) 愛壽命 2mL，100倍數叫貨</t>
        </is>
      </c>
      <c r="H1705" s="552" t="n"/>
      <c r="I1705" s="552" t="n"/>
      <c r="J1705" s="551" t="n"/>
      <c r="K1705" s="140" t="inlineStr">
        <is>
          <t>(100支/盒)</t>
        </is>
      </c>
      <c r="L1705" s="560" t="n">
        <v>883</v>
      </c>
    </row>
    <row r="1706" ht="17.25" customHeight="1" s="453" thickBot="1">
      <c r="A1706" s="553">
        <f>IFERROR(LEFT(B1706,7),"")</f>
        <v/>
      </c>
      <c r="B1706" s="554">
        <f>"2026/03"&amp;D1706</f>
        <v/>
      </c>
      <c r="C1706" s="559" t="n">
        <v>170</v>
      </c>
      <c r="D1706" s="484" t="inlineStr">
        <is>
          <t>忠孝國際醫學3樓</t>
        </is>
      </c>
      <c r="E1706" s="484" t="inlineStr">
        <is>
          <t>6120007</t>
        </is>
      </c>
      <c r="F1706" s="551" t="n"/>
      <c r="G1706" s="484" t="inlineStr">
        <is>
          <t>(V)(硫酸鋅) 1ml/支，100倍數叫貨</t>
        </is>
      </c>
      <c r="H1706" s="552" t="n"/>
      <c r="I1706" s="552" t="n"/>
      <c r="J1706" s="551" t="n"/>
      <c r="K1706" s="140" t="inlineStr">
        <is>
          <t>100支/盒</t>
        </is>
      </c>
      <c r="L1706" s="560" t="n">
        <v>9</v>
      </c>
    </row>
    <row r="1707" ht="17.25" customHeight="1" s="453" thickBot="1">
      <c r="A1707" s="553">
        <f>IFERROR(LEFT(B1707,7),"")</f>
        <v/>
      </c>
      <c r="B1707" s="554">
        <f>"2026/03"&amp;D1707</f>
        <v/>
      </c>
      <c r="C1707" s="559" t="n">
        <v>171</v>
      </c>
      <c r="D1707" s="484" t="inlineStr">
        <is>
          <t>忠孝國際醫學3樓</t>
        </is>
      </c>
      <c r="E1707" s="484" t="inlineStr">
        <is>
          <t>6120009</t>
        </is>
      </c>
      <c r="F1707" s="551" t="n"/>
      <c r="G1707" s="484" t="inlineStr">
        <is>
          <t>(V)(B1) 硫胺明 2ml</t>
        </is>
      </c>
      <c r="H1707" s="552" t="n"/>
      <c r="I1707" s="552" t="n"/>
      <c r="J1707" s="551" t="n"/>
      <c r="K1707" s="140" t="inlineStr">
        <is>
          <t>(100支/盒)</t>
        </is>
      </c>
      <c r="L1707" s="560" t="n">
        <v>9</v>
      </c>
    </row>
    <row r="1708" ht="17.25" customHeight="1" s="453" thickBot="1">
      <c r="A1708" s="553">
        <f>IFERROR(LEFT(B1708,7),"")</f>
        <v/>
      </c>
      <c r="B1708" s="554">
        <f>"2026/03"&amp;D1708</f>
        <v/>
      </c>
      <c r="C1708" s="559" t="n">
        <v>172</v>
      </c>
      <c r="D1708" s="484" t="inlineStr">
        <is>
          <t>忠孝國際醫學3樓</t>
        </is>
      </c>
      <c r="E1708" s="484" t="inlineStr">
        <is>
          <t>6120010</t>
        </is>
      </c>
      <c r="F1708" s="551" t="n"/>
      <c r="G1708" s="484" t="inlineStr">
        <is>
          <t>(V)(B6) 活性維生素 2ml，100倍數叫貨</t>
        </is>
      </c>
      <c r="H1708" s="552" t="n"/>
      <c r="I1708" s="552" t="n"/>
      <c r="J1708" s="551" t="n"/>
      <c r="K1708" s="140" t="inlineStr">
        <is>
          <t>(100支/盒)</t>
        </is>
      </c>
      <c r="L1708" s="560" t="n">
        <v>9</v>
      </c>
    </row>
    <row r="1709" ht="17.25" customHeight="1" s="453" thickBot="1">
      <c r="A1709" s="553">
        <f>IFERROR(LEFT(B1709,7),"")</f>
        <v/>
      </c>
      <c r="B1709" s="554">
        <f>"2026/03"&amp;D1709</f>
        <v/>
      </c>
      <c r="C1709" s="559" t="n">
        <v>173</v>
      </c>
      <c r="D1709" s="484" t="inlineStr">
        <is>
          <t>忠孝國際醫學3樓</t>
        </is>
      </c>
      <c r="E1709" s="484" t="inlineStr">
        <is>
          <t>6120011</t>
        </is>
      </c>
      <c r="F1709" s="551" t="n"/>
      <c r="G1709" s="484" t="inlineStr">
        <is>
          <t>(V)(硒) 西寧特 2ml/支</t>
        </is>
      </c>
      <c r="H1709" s="552" t="n"/>
      <c r="I1709" s="552" t="n"/>
      <c r="J1709" s="551" t="n"/>
      <c r="K1709" s="140" t="inlineStr">
        <is>
          <t>10支/盒</t>
        </is>
      </c>
      <c r="L1709" s="560" t="n">
        <v>10</v>
      </c>
    </row>
    <row r="1710" ht="17.25" customHeight="1" s="453" thickBot="1">
      <c r="A1710" s="553">
        <f>IFERROR(LEFT(B1710,7),"")</f>
        <v/>
      </c>
      <c r="B1710" s="554">
        <f>"2026/03"&amp;D1710</f>
        <v/>
      </c>
      <c r="C1710" s="559" t="n">
        <v>174</v>
      </c>
      <c r="D1710" s="484" t="inlineStr">
        <is>
          <t>忠孝國際醫學3樓</t>
        </is>
      </c>
      <c r="E1710" s="484" t="inlineStr">
        <is>
          <t>6120013</t>
        </is>
      </c>
      <c r="F1710" s="551" t="n"/>
      <c r="G1710" s="484" t="inlineStr">
        <is>
          <t>(V)生理食鹽水(NS) 250ml/ 袋</t>
        </is>
      </c>
      <c r="H1710" s="552" t="n"/>
      <c r="I1710" s="552" t="n"/>
      <c r="J1710" s="551" t="n"/>
      <c r="K1710" s="140" t="inlineStr">
        <is>
          <t>40瓶/箱</t>
        </is>
      </c>
      <c r="L1710" s="560" t="n">
        <v>863</v>
      </c>
    </row>
    <row r="1711" ht="17.25" customHeight="1" s="453" thickBot="1">
      <c r="A1711" s="553">
        <f>IFERROR(LEFT(B1711,7),"")</f>
        <v/>
      </c>
      <c r="B1711" s="554">
        <f>"2026/03"&amp;D1711</f>
        <v/>
      </c>
      <c r="C1711" s="559" t="n">
        <v>175</v>
      </c>
      <c r="D1711" s="484" t="inlineStr">
        <is>
          <t>忠孝國際醫學3樓</t>
        </is>
      </c>
      <c r="E1711" s="484" t="inlineStr">
        <is>
          <t>6120014</t>
        </is>
      </c>
      <c r="F1711" s="551" t="n"/>
      <c r="G1711" s="484" t="inlineStr">
        <is>
          <t>(V)葡萄糖水(D5W) 250ml/袋</t>
        </is>
      </c>
      <c r="H1711" s="552" t="n"/>
      <c r="I1711" s="552" t="n"/>
      <c r="J1711" s="551" t="n"/>
      <c r="K1711" s="140" t="inlineStr">
        <is>
          <t>60袋/箱</t>
        </is>
      </c>
      <c r="L1711" s="560" t="n">
        <v>954</v>
      </c>
    </row>
    <row r="1712" ht="17.25" customHeight="1" s="453" thickBot="1">
      <c r="A1712" s="553">
        <f>IFERROR(LEFT(B1712,7),"")</f>
        <v/>
      </c>
      <c r="B1712" s="554">
        <f>"2026/03"&amp;D1712</f>
        <v/>
      </c>
      <c r="C1712" s="559" t="n">
        <v>176</v>
      </c>
      <c r="D1712" s="484" t="inlineStr">
        <is>
          <t>忠孝國際醫學3樓</t>
        </is>
      </c>
      <c r="E1712" s="484" t="inlineStr">
        <is>
          <t>6120015</t>
        </is>
      </c>
      <c r="F1712" s="551" t="n"/>
      <c r="G1712" s="484" t="inlineStr">
        <is>
          <t>(V)(B群)淘能美複合維他命B 2ml，100倍數叫貨</t>
        </is>
      </c>
      <c r="H1712" s="552" t="n"/>
      <c r="I1712" s="552" t="n"/>
      <c r="J1712" s="551" t="n"/>
      <c r="K1712" s="140" t="n"/>
      <c r="L1712" s="560" t="n">
        <v>17</v>
      </c>
    </row>
    <row r="1713" ht="17.25" customHeight="1" s="453" thickBot="1">
      <c r="A1713" s="553">
        <f>IFERROR(LEFT(B1713,7),"")</f>
        <v/>
      </c>
      <c r="B1713" s="554">
        <f>"2026/03"&amp;D1713</f>
        <v/>
      </c>
      <c r="C1713" s="559" t="n">
        <v>177</v>
      </c>
      <c r="D1713" s="484" t="inlineStr">
        <is>
          <t>忠孝國際醫學3樓</t>
        </is>
      </c>
      <c r="E1713" s="484" t="inlineStr">
        <is>
          <t>6120016</t>
        </is>
      </c>
      <c r="F1713" s="551" t="n"/>
      <c r="G1713" s="484" t="inlineStr">
        <is>
          <t>(V)(榖胱肝肽) 克樂達養200mg (20ml/瓶)</t>
        </is>
      </c>
      <c r="H1713" s="552" t="n"/>
      <c r="I1713" s="552" t="n"/>
      <c r="J1713" s="551" t="n"/>
      <c r="K1713" s="140" t="inlineStr">
        <is>
          <t>50支/盒</t>
        </is>
      </c>
      <c r="L1713" s="560" t="n">
        <v>17</v>
      </c>
    </row>
    <row r="1714" ht="17.25" customHeight="1" s="453" thickBot="1">
      <c r="A1714" s="553">
        <f>IFERROR(LEFT(B1714,7),"")</f>
        <v/>
      </c>
      <c r="B1714" s="554">
        <f>"2026/03"&amp;D1714</f>
        <v/>
      </c>
      <c r="C1714" s="559" t="n">
        <v>178</v>
      </c>
      <c r="D1714" s="484" t="inlineStr">
        <is>
          <t>忠孝國際醫學3樓</t>
        </is>
      </c>
      <c r="E1714" s="484" t="inlineStr">
        <is>
          <t>6120017</t>
        </is>
      </c>
      <c r="F1714" s="551" t="n"/>
      <c r="G1714" s="484" t="inlineStr">
        <is>
          <t>(V)保肝 5ml/支</t>
        </is>
      </c>
      <c r="H1714" s="552" t="n"/>
      <c r="I1714" s="552" t="n"/>
      <c r="J1714" s="551" t="n"/>
      <c r="K1714" s="140" t="inlineStr">
        <is>
          <t>50支/盒</t>
        </is>
      </c>
      <c r="L1714" s="560" t="n">
        <v>1</v>
      </c>
    </row>
    <row r="1715" ht="17.25" customHeight="1" s="453" thickBot="1">
      <c r="A1715" s="553">
        <f>IFERROR(LEFT(B1715,7),"")</f>
        <v/>
      </c>
      <c r="B1715" s="554">
        <f>"2026/03"&amp;D1715</f>
        <v/>
      </c>
      <c r="C1715" s="559" t="n">
        <v>179</v>
      </c>
      <c r="D1715" s="484" t="inlineStr">
        <is>
          <t>忠孝國際醫學3樓</t>
        </is>
      </c>
      <c r="E1715" s="484" t="inlineStr">
        <is>
          <t>6120021</t>
        </is>
      </c>
      <c r="F1715" s="551" t="n"/>
      <c r="G1715" s="484" t="inlineStr">
        <is>
          <t>(V)(Vit C)(抗壞血酸/諾貝爾)20ml，50倍數下單</t>
        </is>
      </c>
      <c r="H1715" s="552" t="n"/>
      <c r="I1715" s="552" t="n"/>
      <c r="J1715" s="551" t="n"/>
      <c r="K1715" s="140" t="inlineStr">
        <is>
          <t>50支/盒</t>
        </is>
      </c>
      <c r="L1715" s="560" t="n">
        <v>17</v>
      </c>
    </row>
    <row r="1716" ht="17.25" customHeight="1" s="453" thickBot="1">
      <c r="A1716" s="553">
        <f>IFERROR(LEFT(B1716,7),"")</f>
        <v/>
      </c>
      <c r="B1716" s="554">
        <f>"2026/03"&amp;D1716</f>
        <v/>
      </c>
      <c r="C1716" s="559" t="n">
        <v>180</v>
      </c>
      <c r="D1716" s="484" t="inlineStr">
        <is>
          <t>忠孝國際醫學3樓</t>
        </is>
      </c>
      <c r="E1716" s="484" t="inlineStr">
        <is>
          <t>6120036</t>
        </is>
      </c>
      <c r="F1716" s="551" t="n"/>
      <c r="G1716" s="484" t="inlineStr">
        <is>
          <t>(V)貝力多(雙胜胺) 20% 50mL/ 瓶，50倍數下單</t>
        </is>
      </c>
      <c r="H1716" s="552" t="n"/>
      <c r="I1716" s="552" t="n"/>
      <c r="J1716" s="551" t="n"/>
      <c r="K1716" s="140" t="inlineStr">
        <is>
          <t>瓶(10瓶/盒)</t>
        </is>
      </c>
      <c r="L1716" s="560" t="n">
        <v>8</v>
      </c>
    </row>
    <row r="1717" ht="17.25" customHeight="1" s="453" thickBot="1">
      <c r="A1717" s="553">
        <f>IFERROR(LEFT(B1717,7),"")</f>
        <v/>
      </c>
      <c r="B1717" s="554">
        <f>"2026/03"&amp;D1717</f>
        <v/>
      </c>
      <c r="C1717" s="559" t="n">
        <v>181</v>
      </c>
      <c r="D1717" s="484" t="inlineStr">
        <is>
          <t>忠孝國際醫學3樓</t>
        </is>
      </c>
      <c r="E1717" s="484" t="inlineStr">
        <is>
          <t>6200004</t>
        </is>
      </c>
      <c r="F1717" s="551" t="n"/>
      <c r="G1717" s="484" t="inlineStr">
        <is>
          <t>阿爾發SAT卡匣/ 發</t>
        </is>
      </c>
      <c r="H1717" s="552" t="n"/>
      <c r="I1717" s="552" t="n"/>
      <c r="J1717" s="551" t="n"/>
      <c r="K1717" s="140" t="inlineStr">
        <is>
          <t>50發/卡</t>
        </is>
      </c>
      <c r="L1717" s="560" t="n">
        <v>3752</v>
      </c>
    </row>
    <row r="1718" ht="17.25" customHeight="1" s="453" thickBot="1">
      <c r="A1718" s="553">
        <f>IFERROR(LEFT(B1718,7),"")</f>
        <v/>
      </c>
      <c r="B1718" s="554">
        <f>"2026/03"&amp;D1718</f>
        <v/>
      </c>
      <c r="C1718" s="559" t="n">
        <v>182</v>
      </c>
      <c r="D1718" s="484" t="inlineStr">
        <is>
          <t>忠孝國際醫學3樓</t>
        </is>
      </c>
      <c r="E1718" s="484" t="inlineStr">
        <is>
          <t>6200008</t>
        </is>
      </c>
      <c r="F1718" s="551" t="n"/>
      <c r="G1718" s="484" t="inlineStr">
        <is>
          <t>瘦瘦筆-週纖達*1支(0.25mg)</t>
        </is>
      </c>
      <c r="H1718" s="552" t="n"/>
      <c r="I1718" s="552" t="n"/>
      <c r="J1718" s="551" t="n"/>
      <c r="K1718" s="140" t="inlineStr">
        <is>
          <t>支</t>
        </is>
      </c>
      <c r="L1718" s="560" t="n">
        <v>5</v>
      </c>
    </row>
    <row r="1719" ht="17.25" customHeight="1" s="453" thickBot="1">
      <c r="A1719" s="553">
        <f>IFERROR(LEFT(B1719,7),"")</f>
        <v/>
      </c>
      <c r="B1719" s="554">
        <f>"2026/03"&amp;D1719</f>
        <v/>
      </c>
      <c r="C1719" s="559" t="n">
        <v>183</v>
      </c>
      <c r="D1719" s="484" t="inlineStr">
        <is>
          <t>忠孝國際醫學3樓</t>
        </is>
      </c>
      <c r="E1719" s="484" t="inlineStr">
        <is>
          <t>6200010</t>
        </is>
      </c>
      <c r="F1719" s="551" t="n"/>
      <c r="G1719" s="484" t="inlineStr">
        <is>
          <t>瘦瘦筆-週纖達*1支(1.0mg)</t>
        </is>
      </c>
      <c r="H1719" s="552" t="n"/>
      <c r="I1719" s="552" t="n"/>
      <c r="J1719" s="551" t="n"/>
      <c r="K1719" s="140" t="inlineStr">
        <is>
          <t>支</t>
        </is>
      </c>
      <c r="L1719" s="560" t="n">
        <v>13</v>
      </c>
    </row>
    <row r="1720" ht="17.25" customHeight="1" s="453" thickBot="1">
      <c r="A1720" s="553">
        <f>IFERROR(LEFT(B1720,7),"")</f>
        <v/>
      </c>
      <c r="B1720" s="554">
        <f>"2026/03"&amp;D1720</f>
        <v/>
      </c>
      <c r="C1720" s="559" t="n">
        <v>184</v>
      </c>
      <c r="D1720" s="484" t="inlineStr">
        <is>
          <t>忠孝國際醫學3樓</t>
        </is>
      </c>
      <c r="E1720" s="484" t="inlineStr">
        <is>
          <t>6200014</t>
        </is>
      </c>
      <c r="F1720" s="551" t="n"/>
      <c r="G1720" s="484" t="inlineStr">
        <is>
          <t>(V)猛健樂*1支(5mg)</t>
        </is>
      </c>
      <c r="H1720" s="552" t="n"/>
      <c r="I1720" s="552" t="n"/>
      <c r="J1720" s="551" t="n"/>
      <c r="K1720" s="140" t="inlineStr">
        <is>
          <t>3cc/支</t>
        </is>
      </c>
      <c r="L1720" s="560" t="n">
        <v>1</v>
      </c>
    </row>
    <row r="1721" ht="17.25" customHeight="1" s="453" thickBot="1">
      <c r="A1721" s="553">
        <f>IFERROR(LEFT(B1721,7),"")</f>
        <v/>
      </c>
      <c r="B1721" s="554">
        <f>"2026/03"&amp;D1721</f>
        <v/>
      </c>
      <c r="C1721" s="559" t="n">
        <v>185</v>
      </c>
      <c r="D1721" s="484" t="inlineStr">
        <is>
          <t>忠孝國際醫學3樓</t>
        </is>
      </c>
      <c r="E1721" s="484" t="inlineStr">
        <is>
          <t>6200016</t>
        </is>
      </c>
      <c r="F1721" s="551" t="n"/>
      <c r="G1721" s="484" t="inlineStr">
        <is>
          <t>(V)猛健樂*1支(10mg)</t>
        </is>
      </c>
      <c r="H1721" s="552" t="n"/>
      <c r="I1721" s="552" t="n"/>
      <c r="J1721" s="551" t="n"/>
      <c r="K1721" s="140" t="inlineStr">
        <is>
          <t>3cc/支</t>
        </is>
      </c>
      <c r="L1721" s="560" t="n">
        <v>9</v>
      </c>
    </row>
    <row r="1722" ht="17.25" customHeight="1" s="453" thickBot="1">
      <c r="A1722" s="553">
        <f>IFERROR(LEFT(B1722,7),"")</f>
        <v/>
      </c>
      <c r="B1722" s="554">
        <f>"2026/03"&amp;D1722</f>
        <v/>
      </c>
      <c r="C1722" s="559" t="n">
        <v>186</v>
      </c>
      <c r="D1722" s="484" t="inlineStr">
        <is>
          <t>忠孝國際醫學3樓</t>
        </is>
      </c>
      <c r="E1722" s="484" t="inlineStr">
        <is>
          <t>6200017</t>
        </is>
      </c>
      <c r="F1722" s="551" t="n"/>
      <c r="G1722" s="484" t="inlineStr">
        <is>
          <t>(V)猛健樂10MG/0.15CC</t>
        </is>
      </c>
      <c r="H1722" s="552" t="n"/>
      <c r="I1722" s="552" t="n"/>
      <c r="J1722" s="551" t="n"/>
      <c r="K1722" s="140" t="inlineStr">
        <is>
          <t>0.15cc/次</t>
        </is>
      </c>
      <c r="L1722" s="560" t="n">
        <v>1364.45</v>
      </c>
    </row>
    <row r="1723" ht="17.25" customHeight="1" s="453" thickBot="1">
      <c r="A1723" s="553">
        <f>IFERROR(LEFT(B1723,7),"")</f>
        <v/>
      </c>
      <c r="B1723" s="554">
        <f>"2026/03"&amp;D1723</f>
        <v/>
      </c>
      <c r="C1723" s="559" t="n">
        <v>187</v>
      </c>
      <c r="D1723" s="484" t="inlineStr">
        <is>
          <t>忠孝國際醫學3樓</t>
        </is>
      </c>
      <c r="E1723" s="484" t="inlineStr">
        <is>
          <t>6200018</t>
        </is>
      </c>
      <c r="F1723" s="551" t="n"/>
      <c r="G1723" s="484" t="inlineStr">
        <is>
          <t>(V)猛健樂*1支(12.5mg)</t>
        </is>
      </c>
      <c r="H1723" s="552" t="n"/>
      <c r="I1723" s="552" t="n"/>
      <c r="J1723" s="551" t="n"/>
      <c r="K1723" s="140" t="inlineStr">
        <is>
          <t>3cc/支</t>
        </is>
      </c>
      <c r="L1723" s="560" t="n">
        <v>3</v>
      </c>
    </row>
    <row r="1724" ht="17.25" customHeight="1" s="453" thickBot="1">
      <c r="A1724" s="553">
        <f>IFERROR(LEFT(B1724,7),"")</f>
        <v/>
      </c>
      <c r="B1724" s="554">
        <f>"2026/03"&amp;D1724</f>
        <v/>
      </c>
      <c r="C1724" s="559" t="n">
        <v>188</v>
      </c>
      <c r="D1724" s="484" t="inlineStr">
        <is>
          <t>忠孝國際醫學3樓</t>
        </is>
      </c>
      <c r="E1724" s="484" t="inlineStr">
        <is>
          <t>6200020</t>
        </is>
      </c>
      <c r="F1724" s="551" t="n"/>
      <c r="G1724" s="484" t="inlineStr">
        <is>
          <t>(V)猛健樂7.5MG/0.2CC</t>
        </is>
      </c>
      <c r="H1724" s="552" t="n"/>
      <c r="I1724" s="552" t="n"/>
      <c r="J1724" s="551" t="n"/>
      <c r="K1724" s="140" t="inlineStr">
        <is>
          <t>0.2cc/次</t>
        </is>
      </c>
      <c r="L1724" s="560" t="n">
        <v>2</v>
      </c>
    </row>
    <row r="1725" ht="17.25" customHeight="1" s="453" thickBot="1">
      <c r="A1725" s="553">
        <f>IFERROR(LEFT(B1725,7),"")</f>
        <v/>
      </c>
      <c r="B1725" s="554">
        <f>"2026/03"&amp;D1725</f>
        <v/>
      </c>
      <c r="C1725" s="559" t="n">
        <v>189</v>
      </c>
      <c r="D1725" s="484" t="inlineStr">
        <is>
          <t>忠孝國際醫學3樓</t>
        </is>
      </c>
      <c r="E1725" s="484" t="inlineStr">
        <is>
          <t>6200021</t>
        </is>
      </c>
      <c r="F1725" s="551" t="n"/>
      <c r="G1725" s="484" t="inlineStr">
        <is>
          <t>(V)猛健樂12.5MG/0.12CC</t>
        </is>
      </c>
      <c r="H1725" s="552" t="n"/>
      <c r="I1725" s="552" t="n"/>
      <c r="J1725" s="551" t="n"/>
      <c r="K1725" s="140" t="inlineStr">
        <is>
          <t>0.12cc/次</t>
        </is>
      </c>
      <c r="L1725" s="560" t="n">
        <v>1027.5</v>
      </c>
    </row>
    <row r="1726" ht="17.25" customHeight="1" s="453" thickBot="1">
      <c r="A1726" s="553">
        <f>IFERROR(LEFT(B1726,7),"")</f>
        <v/>
      </c>
      <c r="B1726" s="554">
        <f>"2026/03"&amp;D1726</f>
        <v/>
      </c>
      <c r="C1726" s="559" t="n">
        <v>190</v>
      </c>
      <c r="D1726" s="484" t="inlineStr">
        <is>
          <t>忠孝健康7樓</t>
        </is>
      </c>
      <c r="E1726" s="484" t="inlineStr">
        <is>
          <t>6120004</t>
        </is>
      </c>
      <c r="F1726" s="551" t="n"/>
      <c r="G1726" s="484" t="inlineStr">
        <is>
          <t>(V)胺基酸點滴250ml/ 袋(安命活源/嘉安命)，20倍數叫貨</t>
        </is>
      </c>
      <c r="H1726" s="552" t="n"/>
      <c r="I1726" s="552" t="n"/>
      <c r="J1726" s="551" t="n"/>
      <c r="K1726" s="140" t="inlineStr">
        <is>
          <t>(20瓶/箱)</t>
        </is>
      </c>
      <c r="L1726" s="560" t="n">
        <v>15</v>
      </c>
    </row>
    <row r="1727" ht="17.25" customHeight="1" s="453" thickBot="1">
      <c r="A1727" s="553">
        <f>IFERROR(LEFT(B1727,7),"")</f>
        <v/>
      </c>
      <c r="B1727" s="554">
        <f>"2026/03"&amp;D1727</f>
        <v/>
      </c>
      <c r="C1727" s="559" t="n">
        <v>191</v>
      </c>
      <c r="D1727" s="484" t="inlineStr">
        <is>
          <t>忠孝健康7樓</t>
        </is>
      </c>
      <c r="E1727" s="484" t="inlineStr">
        <is>
          <t>6120006</t>
        </is>
      </c>
      <c r="F1727" s="551" t="n"/>
      <c r="G1727" s="484" t="inlineStr">
        <is>
          <t>(V)(B12) 愛壽命 2mL，100倍數叫貨</t>
        </is>
      </c>
      <c r="H1727" s="552" t="n"/>
      <c r="I1727" s="552" t="n"/>
      <c r="J1727" s="551" t="n"/>
      <c r="K1727" s="140" t="inlineStr">
        <is>
          <t>(100支/盒)</t>
        </is>
      </c>
      <c r="L1727" s="560" t="n">
        <v>16</v>
      </c>
    </row>
    <row r="1728" ht="17.25" customHeight="1" s="453" thickBot="1">
      <c r="A1728" s="553">
        <f>IFERROR(LEFT(B1728,7),"")</f>
        <v/>
      </c>
      <c r="B1728" s="554">
        <f>"2026/03"&amp;D1728</f>
        <v/>
      </c>
      <c r="C1728" s="559" t="n">
        <v>192</v>
      </c>
      <c r="D1728" s="484" t="inlineStr">
        <is>
          <t>忠孝健康7樓</t>
        </is>
      </c>
      <c r="E1728" s="484" t="inlineStr">
        <is>
          <t>6120007</t>
        </is>
      </c>
      <c r="F1728" s="551" t="n"/>
      <c r="G1728" s="484" t="inlineStr">
        <is>
          <t>(V)(硫酸鋅) 1ml/支，100倍數叫貨</t>
        </is>
      </c>
      <c r="H1728" s="552" t="n"/>
      <c r="I1728" s="552" t="n"/>
      <c r="J1728" s="551" t="n"/>
      <c r="K1728" s="140" t="inlineStr">
        <is>
          <t>100支/盒</t>
        </is>
      </c>
      <c r="L1728" s="560" t="n">
        <v>1</v>
      </c>
    </row>
    <row r="1729" ht="17.25" customHeight="1" s="453" thickBot="1">
      <c r="A1729" s="553">
        <f>IFERROR(LEFT(B1729,7),"")</f>
        <v/>
      </c>
      <c r="B1729" s="554">
        <f>"2026/03"&amp;D1729</f>
        <v/>
      </c>
      <c r="C1729" s="559" t="n">
        <v>193</v>
      </c>
      <c r="D1729" s="484" t="inlineStr">
        <is>
          <t>忠孝健康7樓</t>
        </is>
      </c>
      <c r="E1729" s="484" t="inlineStr">
        <is>
          <t>6120013</t>
        </is>
      </c>
      <c r="F1729" s="551" t="n"/>
      <c r="G1729" s="484" t="inlineStr">
        <is>
          <t>(V)生理食鹽水(NS) 250ml/ 袋</t>
        </is>
      </c>
      <c r="H1729" s="552" t="n"/>
      <c r="I1729" s="552" t="n"/>
      <c r="J1729" s="551" t="n"/>
      <c r="K1729" s="140" t="inlineStr">
        <is>
          <t>40瓶/箱</t>
        </is>
      </c>
      <c r="L1729" s="560" t="n">
        <v>35</v>
      </c>
    </row>
    <row r="1730" ht="17.25" customHeight="1" s="453" thickBot="1">
      <c r="A1730" s="553">
        <f>IFERROR(LEFT(B1730,7),"")</f>
        <v/>
      </c>
      <c r="B1730" s="554">
        <f>"2026/03"&amp;D1730</f>
        <v/>
      </c>
      <c r="C1730" s="559" t="n">
        <v>194</v>
      </c>
      <c r="D1730" s="484" t="inlineStr">
        <is>
          <t>忠孝健康7樓</t>
        </is>
      </c>
      <c r="E1730" s="484" t="inlineStr">
        <is>
          <t>6120015</t>
        </is>
      </c>
      <c r="F1730" s="551" t="n"/>
      <c r="G1730" s="484" t="inlineStr">
        <is>
          <t>(V)(B群)淘能美複合維他命B 2ml，100倍數叫貨</t>
        </is>
      </c>
      <c r="H1730" s="552" t="n"/>
      <c r="I1730" s="552" t="n"/>
      <c r="J1730" s="551" t="n"/>
      <c r="K1730" s="140" t="n"/>
      <c r="L1730" s="560" t="n">
        <v>50</v>
      </c>
    </row>
    <row r="1731" ht="17.25" customHeight="1" s="453" thickBot="1">
      <c r="A1731" s="553">
        <f>IFERROR(LEFT(B1731,7),"")</f>
        <v/>
      </c>
      <c r="B1731" s="554">
        <f>"2026/03"&amp;D1731</f>
        <v/>
      </c>
      <c r="C1731" s="559" t="n">
        <v>195</v>
      </c>
      <c r="D1731" s="484" t="inlineStr">
        <is>
          <t>忠孝健康7樓</t>
        </is>
      </c>
      <c r="E1731" s="484" t="inlineStr">
        <is>
          <t>6120016</t>
        </is>
      </c>
      <c r="F1731" s="551" t="n"/>
      <c r="G1731" s="484" t="inlineStr">
        <is>
          <t>(V)(榖胱肝肽) 克樂達養200mg (20ml/瓶)</t>
        </is>
      </c>
      <c r="H1731" s="552" t="n"/>
      <c r="I1731" s="552" t="n"/>
      <c r="J1731" s="551" t="n"/>
      <c r="K1731" s="140" t="inlineStr">
        <is>
          <t>50支/盒</t>
        </is>
      </c>
      <c r="L1731" s="560" t="n">
        <v>49</v>
      </c>
    </row>
    <row r="1732" ht="17.25" customHeight="1" s="453" thickBot="1">
      <c r="A1732" s="553">
        <f>IFERROR(LEFT(B1732,7),"")</f>
        <v/>
      </c>
      <c r="B1732" s="554">
        <f>"2026/03"&amp;D1732</f>
        <v/>
      </c>
      <c r="C1732" s="559" t="n">
        <v>196</v>
      </c>
      <c r="D1732" s="484" t="inlineStr">
        <is>
          <t>忠孝健康7樓</t>
        </is>
      </c>
      <c r="E1732" s="484" t="inlineStr">
        <is>
          <t>6120017</t>
        </is>
      </c>
      <c r="F1732" s="551" t="n"/>
      <c r="G1732" s="484" t="inlineStr">
        <is>
          <t>(V)保肝 5ml/支</t>
        </is>
      </c>
      <c r="H1732" s="552" t="n"/>
      <c r="I1732" s="552" t="n"/>
      <c r="J1732" s="551" t="n"/>
      <c r="K1732" s="140" t="inlineStr">
        <is>
          <t>50支/盒</t>
        </is>
      </c>
      <c r="L1732" s="560" t="n">
        <v>1</v>
      </c>
    </row>
    <row r="1733" ht="17.25" customHeight="1" s="453" thickBot="1">
      <c r="A1733" s="553">
        <f>IFERROR(LEFT(B1733,7),"")</f>
        <v/>
      </c>
      <c r="B1733" s="554">
        <f>"2026/03"&amp;D1733</f>
        <v/>
      </c>
      <c r="C1733" s="559" t="n">
        <v>197</v>
      </c>
      <c r="D1733" s="484" t="inlineStr">
        <is>
          <t>忠孝健康7樓</t>
        </is>
      </c>
      <c r="E1733" s="484" t="inlineStr">
        <is>
          <t>6120018</t>
        </is>
      </c>
      <c r="F1733" s="551" t="n"/>
      <c r="G1733" s="484" t="inlineStr">
        <is>
          <t>(V)(傳明酸)止血明 5ml/支</t>
        </is>
      </c>
      <c r="H1733" s="552" t="n"/>
      <c r="I1733" s="552" t="n"/>
      <c r="J1733" s="551" t="n"/>
      <c r="K1733" s="140" t="inlineStr">
        <is>
          <t>50支/盒</t>
        </is>
      </c>
      <c r="L1733" s="560" t="n">
        <v>22</v>
      </c>
    </row>
    <row r="1734" ht="17.25" customHeight="1" s="453" thickBot="1">
      <c r="A1734" s="553">
        <f>IFERROR(LEFT(B1734,7),"")</f>
        <v/>
      </c>
      <c r="B1734" s="554">
        <f>"2026/03"&amp;D1734</f>
        <v/>
      </c>
      <c r="C1734" s="559" t="n">
        <v>198</v>
      </c>
      <c r="D1734" s="484" t="inlineStr">
        <is>
          <t>忠孝健康7樓</t>
        </is>
      </c>
      <c r="E1734" s="484" t="inlineStr">
        <is>
          <t>6120020</t>
        </is>
      </c>
      <c r="F1734" s="551" t="n"/>
      <c r="G1734" s="484" t="inlineStr">
        <is>
          <t>(V)(Vit C) 抗壞血酸 2mL，100倍數下單</t>
        </is>
      </c>
      <c r="H1734" s="552" t="n"/>
      <c r="I1734" s="552" t="n"/>
      <c r="J1734" s="551" t="n"/>
      <c r="K1734" s="140" t="inlineStr">
        <is>
          <t>100支/盒</t>
        </is>
      </c>
      <c r="L1734" s="560" t="n">
        <v>56</v>
      </c>
    </row>
    <row r="1735" ht="17.25" customHeight="1" s="453" thickBot="1">
      <c r="A1735" s="553">
        <f>IFERROR(LEFT(B1735,7),"")</f>
        <v/>
      </c>
      <c r="B1735" s="554">
        <f>"2026/03"&amp;D1735</f>
        <v/>
      </c>
      <c r="C1735" s="559" t="n">
        <v>199</v>
      </c>
      <c r="D1735" s="484" t="inlineStr">
        <is>
          <t>忠孝健康7樓</t>
        </is>
      </c>
      <c r="E1735" s="484" t="inlineStr">
        <is>
          <t>6120021</t>
        </is>
      </c>
      <c r="F1735" s="551" t="n"/>
      <c r="G1735" s="484" t="inlineStr">
        <is>
          <t>(V)(Vit C)(抗壞血酸/諾貝爾)20ml，50倍數下單</t>
        </is>
      </c>
      <c r="H1735" s="552" t="n"/>
      <c r="I1735" s="552" t="n"/>
      <c r="J1735" s="551" t="n"/>
      <c r="K1735" s="140" t="inlineStr">
        <is>
          <t>50支/盒</t>
        </is>
      </c>
      <c r="L1735" s="560" t="n">
        <v>57</v>
      </c>
    </row>
    <row r="1736" ht="17.25" customHeight="1" s="453" thickBot="1">
      <c r="A1736" s="553">
        <f>IFERROR(LEFT(B1736,7),"")</f>
        <v/>
      </c>
      <c r="B1736" s="554">
        <f>"2026/03"&amp;D1736</f>
        <v/>
      </c>
      <c r="C1736" s="559" t="n">
        <v>200</v>
      </c>
      <c r="D1736" s="484" t="inlineStr">
        <is>
          <t>忠孝健康7樓</t>
        </is>
      </c>
      <c r="E1736" s="484" t="inlineStr">
        <is>
          <t>6120022</t>
        </is>
      </c>
      <c r="F1736" s="551" t="n"/>
      <c r="G1736" s="484" t="inlineStr">
        <is>
          <t>(V)(銀杏) 循必利Gingo注射液0.84毫克/毫升 5ml</t>
        </is>
      </c>
      <c r="H1736" s="552" t="n"/>
      <c r="I1736" s="552" t="n"/>
      <c r="J1736" s="551" t="n"/>
      <c r="K1736" s="140" t="inlineStr">
        <is>
          <t>50支/盒</t>
        </is>
      </c>
      <c r="L1736" s="560" t="n">
        <v>1</v>
      </c>
    </row>
    <row r="1737" ht="17.25" customHeight="1" s="453" thickBot="1">
      <c r="A1737" s="553">
        <f>IFERROR(LEFT(B1737,7),"")</f>
        <v/>
      </c>
      <c r="B1737" s="554">
        <f>"2026/03"&amp;D1737</f>
        <v/>
      </c>
      <c r="C1737" s="559" t="n">
        <v>201</v>
      </c>
      <c r="D1737" s="484" t="inlineStr">
        <is>
          <t>忠孝健康7樓</t>
        </is>
      </c>
      <c r="E1737" s="484" t="inlineStr">
        <is>
          <t>6120036</t>
        </is>
      </c>
      <c r="F1737" s="551" t="n"/>
      <c r="G1737" s="484" t="inlineStr">
        <is>
          <t>(V)貝力多(雙胜胺) 20% 50mL/ 瓶，50倍數下單</t>
        </is>
      </c>
      <c r="H1737" s="552" t="n"/>
      <c r="I1737" s="552" t="n"/>
      <c r="J1737" s="551" t="n"/>
      <c r="K1737" s="140" t="inlineStr">
        <is>
          <t>瓶(10瓶/盒)</t>
        </is>
      </c>
      <c r="L1737" s="560" t="n">
        <v>15</v>
      </c>
    </row>
    <row r="1738" ht="17.25" customHeight="1" s="453" thickBot="1">
      <c r="A1738" s="553">
        <f>IFERROR(LEFT(B1738,7),"")</f>
        <v/>
      </c>
      <c r="B1738" s="554">
        <f>"2026/03"&amp;D1738</f>
        <v/>
      </c>
      <c r="C1738" s="559" t="n">
        <v>202</v>
      </c>
      <c r="D1738" s="484" t="inlineStr">
        <is>
          <t>忠孝健康7樓</t>
        </is>
      </c>
      <c r="E1738" s="484" t="inlineStr">
        <is>
          <t>6140001</t>
        </is>
      </c>
      <c r="F1738" s="551" t="n"/>
      <c r="G1738" s="484" t="inlineStr">
        <is>
          <t>(V)保妥適肉毒Botox/ u，100倍數下單</t>
        </is>
      </c>
      <c r="H1738" s="552" t="n"/>
      <c r="I1738" s="552" t="n"/>
      <c r="J1738" s="551" t="n"/>
      <c r="K1738" s="140" t="inlineStr">
        <is>
          <t>100U/瓶</t>
        </is>
      </c>
      <c r="L1738" s="560" t="n">
        <v>1115</v>
      </c>
    </row>
    <row r="1739" ht="17.25" customHeight="1" s="453" thickBot="1">
      <c r="A1739" s="553">
        <f>IFERROR(LEFT(B1739,7),"")</f>
        <v/>
      </c>
      <c r="B1739" s="554">
        <f>"2026/03"&amp;D1739</f>
        <v/>
      </c>
      <c r="C1739" s="559" t="n">
        <v>203</v>
      </c>
      <c r="D1739" s="484" t="inlineStr">
        <is>
          <t>忠孝健康7樓</t>
        </is>
      </c>
      <c r="E1739" s="484" t="inlineStr">
        <is>
          <t>6140003</t>
        </is>
      </c>
      <c r="F1739" s="551" t="n"/>
      <c r="G1739" s="484" t="inlineStr">
        <is>
          <t>(V)保提拉肉毒Letybo/ u，3200倍數下單</t>
        </is>
      </c>
      <c r="H1739" s="552" t="n"/>
      <c r="I1739" s="552" t="n"/>
      <c r="J1739" s="551" t="n"/>
      <c r="K1739" s="140" t="inlineStr">
        <is>
          <t>200U/瓶</t>
        </is>
      </c>
      <c r="L1739" s="560" t="n">
        <v>1479</v>
      </c>
    </row>
    <row r="1740" ht="17.25" customHeight="1" s="453" thickBot="1">
      <c r="A1740" s="553">
        <f>IFERROR(LEFT(B1740,7),"")</f>
        <v/>
      </c>
      <c r="B1740" s="554">
        <f>"2026/03"&amp;D1740</f>
        <v/>
      </c>
      <c r="C1740" s="559" t="n">
        <v>204</v>
      </c>
      <c r="D1740" s="484" t="inlineStr">
        <is>
          <t>忠孝健康7樓</t>
        </is>
      </c>
      <c r="E1740" s="484" t="inlineStr">
        <is>
          <t>6140005</t>
        </is>
      </c>
      <c r="F1740" s="551" t="n"/>
      <c r="G1740" s="484" t="inlineStr">
        <is>
          <t>(V)奇蹟肉毒/ u，200倍數下單</t>
        </is>
      </c>
      <c r="H1740" s="552" t="n"/>
      <c r="I1740" s="552" t="n"/>
      <c r="J1740" s="551" t="n"/>
      <c r="K1740" s="140" t="inlineStr">
        <is>
          <t>200U/瓶</t>
        </is>
      </c>
      <c r="L1740" s="560" t="n">
        <v>1387</v>
      </c>
    </row>
    <row r="1741" ht="17.25" customHeight="1" s="453" thickBot="1">
      <c r="A1741" s="553">
        <f>IFERROR(LEFT(B1741,7),"")</f>
        <v/>
      </c>
      <c r="B1741" s="554">
        <f>"2026/03"&amp;D1741</f>
        <v/>
      </c>
      <c r="C1741" s="559" t="n">
        <v>205</v>
      </c>
      <c r="D1741" s="484" t="inlineStr">
        <is>
          <t>忠孝健康7樓</t>
        </is>
      </c>
      <c r="E1741" s="484" t="inlineStr">
        <is>
          <t>6150001</t>
        </is>
      </c>
      <c r="F1741" s="551" t="n"/>
      <c r="G1741" s="484" t="inlineStr">
        <is>
          <t>(V)喬雅登-豐麗緹玻尿酸植入物Voluma 1ml</t>
        </is>
      </c>
      <c r="H1741" s="552" t="n"/>
      <c r="I1741" s="552" t="n"/>
      <c r="J1741" s="551" t="n"/>
      <c r="K1741" s="140" t="inlineStr">
        <is>
          <t>1ml(2ml/盒)</t>
        </is>
      </c>
      <c r="L1741" s="560" t="n">
        <v>23</v>
      </c>
    </row>
    <row r="1742" ht="17.25" customHeight="1" s="453" thickBot="1">
      <c r="A1742" s="553">
        <f>IFERROR(LEFT(B1742,7),"")</f>
        <v/>
      </c>
      <c r="B1742" s="554">
        <f>"2026/03"&amp;D1742</f>
        <v/>
      </c>
      <c r="C1742" s="559" t="n">
        <v>206</v>
      </c>
      <c r="D1742" s="484" t="inlineStr">
        <is>
          <t>忠孝健康7樓</t>
        </is>
      </c>
      <c r="E1742" s="484" t="inlineStr">
        <is>
          <t>6150002</t>
        </is>
      </c>
      <c r="F1742" s="551" t="n"/>
      <c r="G1742" s="484" t="inlineStr">
        <is>
          <t>(V)喬雅登-夢蓓菈玻尿酸植入物Volbella 1ml</t>
        </is>
      </c>
      <c r="H1742" s="552" t="n"/>
      <c r="I1742" s="552" t="n"/>
      <c r="J1742" s="551" t="n"/>
      <c r="K1742" s="140" t="inlineStr">
        <is>
          <t>1ml(2ml/盒)</t>
        </is>
      </c>
      <c r="L1742" s="560" t="n">
        <v>3</v>
      </c>
    </row>
    <row r="1743" ht="17.25" customHeight="1" s="453" thickBot="1">
      <c r="A1743" s="553">
        <f>IFERROR(LEFT(B1743,7),"")</f>
        <v/>
      </c>
      <c r="B1743" s="554">
        <f>"2026/03"&amp;D1743</f>
        <v/>
      </c>
      <c r="C1743" s="559" t="n">
        <v>207</v>
      </c>
      <c r="D1743" s="484" t="inlineStr">
        <is>
          <t>忠孝健康7樓</t>
        </is>
      </c>
      <c r="E1743" s="484" t="inlineStr">
        <is>
          <t>6150004</t>
        </is>
      </c>
      <c r="F1743" s="551" t="n"/>
      <c r="G1743" s="484" t="inlineStr">
        <is>
          <t>(V)喬雅登-豐塑玻尿酸植入物Volux 1ml</t>
        </is>
      </c>
      <c r="H1743" s="552" t="n"/>
      <c r="I1743" s="552" t="n"/>
      <c r="J1743" s="551" t="n"/>
      <c r="K1743" s="140" t="inlineStr">
        <is>
          <t>1ml(2ml/盒)</t>
        </is>
      </c>
      <c r="L1743" s="560" t="n">
        <v>5</v>
      </c>
    </row>
    <row r="1744" ht="17.25" customHeight="1" s="453" thickBot="1">
      <c r="A1744" s="553">
        <f>IFERROR(LEFT(B1744,7),"")</f>
        <v/>
      </c>
      <c r="B1744" s="554">
        <f>"2026/03"&amp;D1744</f>
        <v/>
      </c>
      <c r="C1744" s="559" t="n">
        <v>208</v>
      </c>
      <c r="D1744" s="484" t="inlineStr">
        <is>
          <t>忠孝健康7樓</t>
        </is>
      </c>
      <c r="E1744" s="484" t="inlineStr">
        <is>
          <t>6150005</t>
        </is>
      </c>
      <c r="F1744" s="551" t="n"/>
      <c r="G1744" s="484" t="inlineStr">
        <is>
          <t>(V)喬雅登-芙潤玻尿酸植入物Volite 1ml</t>
        </is>
      </c>
      <c r="H1744" s="552" t="n"/>
      <c r="I1744" s="552" t="n"/>
      <c r="J1744" s="551" t="n"/>
      <c r="K1744" s="140" t="inlineStr">
        <is>
          <t>1ml(2ml/盒)</t>
        </is>
      </c>
      <c r="L1744" s="560" t="n">
        <v>1</v>
      </c>
    </row>
    <row r="1745" ht="17.25" customHeight="1" s="453" thickBot="1">
      <c r="A1745" s="553">
        <f>IFERROR(LEFT(B1745,7),"")</f>
        <v/>
      </c>
      <c r="B1745" s="554">
        <f>"2026/03"&amp;D1745</f>
        <v/>
      </c>
      <c r="C1745" s="559" t="n">
        <v>209</v>
      </c>
      <c r="D1745" s="484" t="inlineStr">
        <is>
          <t>忠孝健康7樓</t>
        </is>
      </c>
      <c r="E1745" s="484" t="inlineStr">
        <is>
          <t>6150010</t>
        </is>
      </c>
      <c r="F1745" s="551" t="n"/>
      <c r="G1745" s="484" t="inlineStr">
        <is>
          <t>(V)仙女玻尿酸大分子 1ml</t>
        </is>
      </c>
      <c r="H1745" s="552" t="n"/>
      <c r="I1745" s="552" t="n"/>
      <c r="J1745" s="551" t="n"/>
      <c r="K1745" s="140" t="inlineStr">
        <is>
          <t>1ml(1ml/盒)</t>
        </is>
      </c>
      <c r="L1745" s="560" t="n">
        <v>23</v>
      </c>
    </row>
    <row r="1746" ht="17.25" customHeight="1" s="453" thickBot="1">
      <c r="A1746" s="553">
        <f>IFERROR(LEFT(B1746,7),"")</f>
        <v/>
      </c>
      <c r="B1746" s="554">
        <f>"2026/03"&amp;D1746</f>
        <v/>
      </c>
      <c r="C1746" s="559" t="n">
        <v>210</v>
      </c>
      <c r="D1746" s="484" t="inlineStr">
        <is>
          <t>忠孝健康7樓</t>
        </is>
      </c>
      <c r="E1746" s="484" t="inlineStr">
        <is>
          <t>6150011</t>
        </is>
      </c>
      <c r="F1746" s="551" t="n"/>
      <c r="G1746" s="484" t="inlineStr">
        <is>
          <t>(V)仙女玻尿酸小分子 1ml</t>
        </is>
      </c>
      <c r="H1746" s="552" t="n"/>
      <c r="I1746" s="552" t="n"/>
      <c r="J1746" s="551" t="n"/>
      <c r="K1746" s="140" t="inlineStr">
        <is>
          <t>1ml(1ml/盒)</t>
        </is>
      </c>
      <c r="L1746" s="560" t="n">
        <v>1</v>
      </c>
    </row>
    <row r="1747" ht="17.25" customHeight="1" s="453" thickBot="1">
      <c r="A1747" s="553">
        <f>IFERROR(LEFT(B1747,7),"")</f>
        <v/>
      </c>
      <c r="B1747" s="554">
        <f>"2026/03"&amp;D1747</f>
        <v/>
      </c>
      <c r="C1747" s="559" t="n">
        <v>211</v>
      </c>
      <c r="D1747" s="484" t="inlineStr">
        <is>
          <t>忠孝健康7樓</t>
        </is>
      </c>
      <c r="E1747" s="484" t="inlineStr">
        <is>
          <t>6150013</t>
        </is>
      </c>
      <c r="F1747" s="551" t="n"/>
      <c r="G1747" s="484" t="inlineStr">
        <is>
          <t>(V)逆時針(璞菲洛)2cc</t>
        </is>
      </c>
      <c r="H1747" s="552" t="n"/>
      <c r="I1747" s="552" t="n"/>
      <c r="J1747" s="551" t="n"/>
      <c r="K1747" s="140" t="inlineStr">
        <is>
          <t>1ml(1ml/盒)</t>
        </is>
      </c>
      <c r="L1747" s="560" t="n">
        <v>8</v>
      </c>
    </row>
    <row r="1748" ht="17.25" customHeight="1" s="453" thickBot="1">
      <c r="A1748" s="553">
        <f>IFERROR(LEFT(B1748,7),"")</f>
        <v/>
      </c>
      <c r="B1748" s="554">
        <f>"2026/03"&amp;D1748</f>
        <v/>
      </c>
      <c r="C1748" s="559" t="n">
        <v>212</v>
      </c>
      <c r="D1748" s="484" t="inlineStr">
        <is>
          <t>忠孝健康7樓</t>
        </is>
      </c>
      <c r="E1748" s="484" t="inlineStr">
        <is>
          <t>6160002</t>
        </is>
      </c>
      <c r="F1748" s="551" t="n"/>
      <c r="G1748" s="484" t="inlineStr">
        <is>
          <t>(V)洢蓮絲植入劑ELLANSÉ-S 1ml</t>
        </is>
      </c>
      <c r="H1748" s="552" t="n"/>
      <c r="I1748" s="552" t="n"/>
      <c r="J1748" s="551" t="n"/>
      <c r="K1748" s="140" t="inlineStr">
        <is>
          <t>1ml(2ml/盒)</t>
        </is>
      </c>
      <c r="L1748" s="560" t="n">
        <v>21</v>
      </c>
    </row>
    <row r="1749" ht="17.25" customHeight="1" s="453" thickBot="1">
      <c r="A1749" s="553">
        <f>IFERROR(LEFT(B1749,7),"")</f>
        <v/>
      </c>
      <c r="B1749" s="554">
        <f>"2026/03"&amp;D1749</f>
        <v/>
      </c>
      <c r="C1749" s="559" t="n">
        <v>213</v>
      </c>
      <c r="D1749" s="484" t="inlineStr">
        <is>
          <t>忠孝健康7樓</t>
        </is>
      </c>
      <c r="E1749" s="484" t="inlineStr">
        <is>
          <t>6160003</t>
        </is>
      </c>
      <c r="F1749" s="551" t="n"/>
      <c r="G1749" s="484" t="inlineStr">
        <is>
          <t>(V)洢蓮絲植入劑ELLANSÉ-M 1ml</t>
        </is>
      </c>
      <c r="H1749" s="552" t="n"/>
      <c r="I1749" s="552" t="n"/>
      <c r="J1749" s="551" t="n"/>
      <c r="K1749" s="140" t="inlineStr">
        <is>
          <t>1ml(2ml/盒)</t>
        </is>
      </c>
      <c r="L1749" s="560" t="n">
        <v>12</v>
      </c>
    </row>
    <row r="1750" ht="17.25" customHeight="1" s="453" thickBot="1">
      <c r="A1750" s="553">
        <f>IFERROR(LEFT(B1750,7),"")</f>
        <v/>
      </c>
      <c r="B1750" s="554">
        <f>"2026/03"&amp;D1750</f>
        <v/>
      </c>
      <c r="C1750" s="559" t="n">
        <v>214</v>
      </c>
      <c r="D1750" s="484" t="inlineStr">
        <is>
          <t>忠孝健康7樓</t>
        </is>
      </c>
      <c r="E1750" s="484" t="inlineStr">
        <is>
          <t>6160005</t>
        </is>
      </c>
      <c r="F1750" s="551" t="n"/>
      <c r="G1750" s="484" t="inlineStr">
        <is>
          <t>(V)双美熊貓針</t>
        </is>
      </c>
      <c r="H1750" s="552" t="n"/>
      <c r="I1750" s="552" t="n"/>
      <c r="J1750" s="551" t="n"/>
      <c r="K1750" s="140" t="inlineStr">
        <is>
          <t>(1ml/盒)</t>
        </is>
      </c>
      <c r="L1750" s="560" t="n">
        <v>17</v>
      </c>
    </row>
    <row r="1751" ht="17.25" customHeight="1" s="453" thickBot="1">
      <c r="A1751" s="553">
        <f>IFERROR(LEFT(B1751,7),"")</f>
        <v/>
      </c>
      <c r="B1751" s="554">
        <f>"2026/03"&amp;D1751</f>
        <v/>
      </c>
      <c r="C1751" s="559" t="n">
        <v>215</v>
      </c>
      <c r="D1751" s="484" t="inlineStr">
        <is>
          <t>忠孝健康7樓</t>
        </is>
      </c>
      <c r="E1751" s="484" t="inlineStr">
        <is>
          <t>6160010</t>
        </is>
      </c>
      <c r="F1751" s="551" t="n"/>
      <c r="G1751" s="484" t="inlineStr">
        <is>
          <t>喬雅露-大分子200mg/1cc</t>
        </is>
      </c>
      <c r="H1751" s="552" t="n"/>
      <c r="I1751" s="552" t="n"/>
      <c r="J1751" s="551" t="n"/>
      <c r="K1751" s="140" t="inlineStr">
        <is>
          <t>8cc/瓶</t>
        </is>
      </c>
      <c r="L1751" s="560" t="n">
        <v>63</v>
      </c>
    </row>
    <row r="1752" ht="17.25" customHeight="1" s="453" thickBot="1">
      <c r="A1752" s="553">
        <f>IFERROR(LEFT(B1752,7),"")</f>
        <v/>
      </c>
      <c r="B1752" s="554">
        <f>"2026/03"&amp;D1752</f>
        <v/>
      </c>
      <c r="C1752" s="559" t="n">
        <v>216</v>
      </c>
      <c r="D1752" s="484" t="inlineStr">
        <is>
          <t>忠孝健康7樓</t>
        </is>
      </c>
      <c r="E1752" s="484" t="inlineStr">
        <is>
          <t>6160011</t>
        </is>
      </c>
      <c r="F1752" s="551" t="n"/>
      <c r="G1752" s="484" t="inlineStr">
        <is>
          <t>喬雅露-小分子50mg/1cc</t>
        </is>
      </c>
      <c r="H1752" s="552" t="n"/>
      <c r="I1752" s="552" t="n"/>
      <c r="J1752" s="551" t="n"/>
      <c r="K1752" s="140" t="inlineStr">
        <is>
          <t>6cc/瓶</t>
        </is>
      </c>
      <c r="L1752" s="560" t="n">
        <v>158</v>
      </c>
    </row>
    <row r="1753" ht="17.25" customHeight="1" s="453" thickBot="1">
      <c r="A1753" s="553">
        <f>IFERROR(LEFT(B1753,7),"")</f>
        <v/>
      </c>
      <c r="B1753" s="554">
        <f>"2026/03"&amp;D1753</f>
        <v/>
      </c>
      <c r="C1753" s="559" t="n">
        <v>217</v>
      </c>
      <c r="D1753" s="484" t="inlineStr">
        <is>
          <t>忠孝健康7樓</t>
        </is>
      </c>
      <c r="E1753" s="484" t="inlineStr">
        <is>
          <t>6170005</t>
        </is>
      </c>
      <c r="F1753" s="551" t="n"/>
      <c r="G1753" s="484" t="inlineStr">
        <is>
          <t>海芙三代音波探頭2mm/ 條</t>
        </is>
      </c>
      <c r="H1753" s="552" t="n"/>
      <c r="I1753" s="552" t="n"/>
      <c r="J1753" s="551" t="n"/>
      <c r="K1753" s="140" t="inlineStr">
        <is>
          <t>20099條/顆</t>
        </is>
      </c>
      <c r="L1753" s="560" t="n">
        <v>5079</v>
      </c>
    </row>
    <row r="1754" ht="17.25" customHeight="1" s="453" thickBot="1">
      <c r="A1754" s="553">
        <f>IFERROR(LEFT(B1754,7),"")</f>
        <v/>
      </c>
      <c r="B1754" s="554">
        <f>"2026/03"&amp;D1754</f>
        <v/>
      </c>
      <c r="C1754" s="559" t="n">
        <v>218</v>
      </c>
      <c r="D1754" s="484" t="inlineStr">
        <is>
          <t>忠孝健康7樓</t>
        </is>
      </c>
      <c r="E1754" s="484" t="inlineStr">
        <is>
          <t>6170007</t>
        </is>
      </c>
      <c r="F1754" s="551" t="n"/>
      <c r="G1754" s="484" t="inlineStr">
        <is>
          <t>海芙三代音波探頭3mm/ 條</t>
        </is>
      </c>
      <c r="H1754" s="552" t="n"/>
      <c r="I1754" s="552" t="n"/>
      <c r="J1754" s="551" t="n"/>
      <c r="K1754" s="140" t="inlineStr">
        <is>
          <t>20099條/顆</t>
        </is>
      </c>
      <c r="L1754" s="560" t="n">
        <v>10352</v>
      </c>
    </row>
    <row r="1755" ht="17.25" customHeight="1" s="453" thickBot="1">
      <c r="A1755" s="553">
        <f>IFERROR(LEFT(B1755,7),"")</f>
        <v/>
      </c>
      <c r="B1755" s="554">
        <f>"2026/03"&amp;D1755</f>
        <v/>
      </c>
      <c r="C1755" s="559" t="n">
        <v>219</v>
      </c>
      <c r="D1755" s="484" t="inlineStr">
        <is>
          <t>忠孝健康7樓</t>
        </is>
      </c>
      <c r="E1755" s="484" t="inlineStr">
        <is>
          <t>6170009</t>
        </is>
      </c>
      <c r="F1755" s="551" t="n"/>
      <c r="G1755" s="484" t="inlineStr">
        <is>
          <t>海芙三代音波探頭4.5mm/ 條</t>
        </is>
      </c>
      <c r="H1755" s="552" t="n"/>
      <c r="I1755" s="552" t="n"/>
      <c r="J1755" s="551" t="n"/>
      <c r="K1755" s="140" t="inlineStr">
        <is>
          <t>20099條/顆</t>
        </is>
      </c>
      <c r="L1755" s="560" t="n">
        <v>15998</v>
      </c>
    </row>
    <row r="1756" ht="17.25" customHeight="1" s="453" thickBot="1">
      <c r="A1756" s="553">
        <f>IFERROR(LEFT(B1756,7),"")</f>
        <v/>
      </c>
      <c r="B1756" s="554">
        <f>"2026/03"&amp;D1756</f>
        <v/>
      </c>
      <c r="C1756" s="559" t="n">
        <v>220</v>
      </c>
      <c r="D1756" s="484" t="inlineStr">
        <is>
          <t>忠孝健康7樓</t>
        </is>
      </c>
      <c r="E1756" s="484" t="inlineStr">
        <is>
          <t>6170011</t>
        </is>
      </c>
      <c r="F1756" s="551" t="n"/>
      <c r="G1756" s="484" t="inlineStr">
        <is>
          <t>海芙三代音波探頭6mm/ 條</t>
        </is>
      </c>
      <c r="H1756" s="552" t="n"/>
      <c r="I1756" s="552" t="n"/>
      <c r="J1756" s="551" t="n"/>
      <c r="K1756" s="140" t="inlineStr">
        <is>
          <t>30,099條/顆</t>
        </is>
      </c>
      <c r="L1756" s="560" t="n">
        <v>3701</v>
      </c>
    </row>
    <row r="1757" ht="17.25" customHeight="1" s="453" thickBot="1">
      <c r="A1757" s="553">
        <f>IFERROR(LEFT(B1757,7),"")</f>
        <v/>
      </c>
      <c r="B1757" s="554">
        <f>"2026/03"&amp;D1757</f>
        <v/>
      </c>
      <c r="C1757" s="559" t="n">
        <v>221</v>
      </c>
      <c r="D1757" s="484" t="inlineStr">
        <is>
          <t>忠孝健康7樓</t>
        </is>
      </c>
      <c r="E1757" s="484" t="inlineStr">
        <is>
          <t>6170013</t>
        </is>
      </c>
      <c r="F1757" s="551" t="n"/>
      <c r="G1757" s="484" t="inlineStr">
        <is>
          <t>鳳凰電波4平方公分紫鑽探頭(900發)</t>
        </is>
      </c>
      <c r="H1757" s="552" t="n"/>
      <c r="I1757" s="552" t="n"/>
      <c r="J1757" s="551" t="n"/>
      <c r="K1757" s="140" t="inlineStr">
        <is>
          <t>顆</t>
        </is>
      </c>
      <c r="L1757" s="560" t="n">
        <v>8</v>
      </c>
    </row>
    <row r="1758" ht="17.25" customHeight="1" s="453" thickBot="1">
      <c r="A1758" s="553">
        <f>IFERROR(LEFT(B1758,7),"")</f>
        <v/>
      </c>
      <c r="B1758" s="554">
        <f>"2026/03"&amp;D1758</f>
        <v/>
      </c>
      <c r="C1758" s="559" t="n">
        <v>222</v>
      </c>
      <c r="D1758" s="484" t="inlineStr">
        <is>
          <t>忠孝健康7樓</t>
        </is>
      </c>
      <c r="E1758" s="484" t="inlineStr">
        <is>
          <t>6170014</t>
        </is>
      </c>
      <c r="F1758" s="551" t="n"/>
      <c r="G1758" s="484" t="inlineStr">
        <is>
          <t>鳳凰電波0.25平方公分碧眼探頭(450發)</t>
        </is>
      </c>
      <c r="H1758" s="552" t="n"/>
      <c r="I1758" s="552" t="n"/>
      <c r="J1758" s="551" t="n"/>
      <c r="K1758" s="140" t="inlineStr">
        <is>
          <t>顆</t>
        </is>
      </c>
      <c r="L1758" s="560" t="n">
        <v>1</v>
      </c>
    </row>
    <row r="1759" ht="17.25" customHeight="1" s="453" thickBot="1">
      <c r="A1759" s="553">
        <f>IFERROR(LEFT(B1759,7),"")</f>
        <v/>
      </c>
      <c r="B1759" s="554">
        <f>"2026/03"&amp;D1759</f>
        <v/>
      </c>
      <c r="C1759" s="559" t="n">
        <v>223</v>
      </c>
      <c r="D1759" s="484" t="inlineStr">
        <is>
          <t>忠孝健康7樓</t>
        </is>
      </c>
      <c r="E1759" s="484" t="inlineStr">
        <is>
          <t>6170019</t>
        </is>
      </c>
      <c r="F1759" s="551" t="n"/>
      <c r="G1759" s="484" t="inlineStr">
        <is>
          <t>媚必提直線探頭2.0mm/條</t>
        </is>
      </c>
      <c r="H1759" s="552" t="n"/>
      <c r="I1759" s="552" t="n"/>
      <c r="J1759" s="551" t="n"/>
      <c r="K1759" s="140" t="inlineStr">
        <is>
          <t>20,099條/顆</t>
        </is>
      </c>
      <c r="L1759" s="560" t="n">
        <v>338</v>
      </c>
    </row>
    <row r="1760" ht="17.25" customHeight="1" s="453" thickBot="1">
      <c r="A1760" s="553">
        <f>IFERROR(LEFT(B1760,7),"")</f>
        <v/>
      </c>
      <c r="B1760" s="554">
        <f>"2026/03"&amp;D1760</f>
        <v/>
      </c>
      <c r="C1760" s="559" t="n">
        <v>224</v>
      </c>
      <c r="D1760" s="484" t="inlineStr">
        <is>
          <t>忠孝健康7樓</t>
        </is>
      </c>
      <c r="E1760" s="484" t="inlineStr">
        <is>
          <t>6170020</t>
        </is>
      </c>
      <c r="F1760" s="551" t="n"/>
      <c r="G1760" s="484" t="inlineStr">
        <is>
          <t>媚必提直線探頭3.0mm/條</t>
        </is>
      </c>
      <c r="H1760" s="552" t="n"/>
      <c r="I1760" s="552" t="n"/>
      <c r="J1760" s="551" t="n"/>
      <c r="K1760" s="140" t="inlineStr">
        <is>
          <t>20,099條/顆</t>
        </is>
      </c>
      <c r="L1760" s="560" t="n">
        <v>3073</v>
      </c>
    </row>
    <row r="1761" ht="17.25" customHeight="1" s="453" thickBot="1">
      <c r="A1761" s="553">
        <f>IFERROR(LEFT(B1761,7),"")</f>
        <v/>
      </c>
      <c r="B1761" s="554">
        <f>"2026/03"&amp;D1761</f>
        <v/>
      </c>
      <c r="C1761" s="559" t="n">
        <v>225</v>
      </c>
      <c r="D1761" s="484" t="inlineStr">
        <is>
          <t>忠孝健康7樓</t>
        </is>
      </c>
      <c r="E1761" s="484" t="inlineStr">
        <is>
          <t>6170021</t>
        </is>
      </c>
      <c r="F1761" s="551" t="n"/>
      <c r="G1761" s="484" t="inlineStr">
        <is>
          <t>媚必提直線探頭4.5mm/條</t>
        </is>
      </c>
      <c r="H1761" s="552" t="n"/>
      <c r="I1761" s="552" t="n"/>
      <c r="J1761" s="551" t="n"/>
      <c r="K1761" s="140" t="inlineStr">
        <is>
          <t>20,099條/顆</t>
        </is>
      </c>
      <c r="L1761" s="560" t="n">
        <v>4900</v>
      </c>
    </row>
    <row r="1762" ht="17.25" customHeight="1" s="453" thickBot="1">
      <c r="A1762" s="553">
        <f>IFERROR(LEFT(B1762,7),"")</f>
        <v/>
      </c>
      <c r="B1762" s="554">
        <f>"2026/03"&amp;D1762</f>
        <v/>
      </c>
      <c r="C1762" s="559" t="n">
        <v>226</v>
      </c>
      <c r="D1762" s="484" t="inlineStr">
        <is>
          <t>忠孝健康7樓</t>
        </is>
      </c>
      <c r="E1762" s="484" t="inlineStr">
        <is>
          <t>6170022</t>
        </is>
      </c>
      <c r="F1762" s="551" t="n"/>
      <c r="G1762" s="484" t="inlineStr">
        <is>
          <t>媚必提直線探頭6.0mm/條</t>
        </is>
      </c>
      <c r="H1762" s="552" t="n"/>
      <c r="I1762" s="552" t="n"/>
      <c r="J1762" s="551" t="n"/>
      <c r="K1762" s="140" t="inlineStr">
        <is>
          <t>20,099條/顆</t>
        </is>
      </c>
      <c r="L1762" s="560" t="n">
        <v>1581</v>
      </c>
    </row>
    <row r="1763" ht="17.25" customHeight="1" s="453" thickBot="1">
      <c r="A1763" s="553">
        <f>IFERROR(LEFT(B1763,7),"")</f>
        <v/>
      </c>
      <c r="B1763" s="554">
        <f>"2026/03"&amp;D1763</f>
        <v/>
      </c>
      <c r="C1763" s="559" t="n">
        <v>227</v>
      </c>
      <c r="D1763" s="484" t="inlineStr">
        <is>
          <t>忠孝健康7樓</t>
        </is>
      </c>
      <c r="E1763" s="484" t="inlineStr">
        <is>
          <t>6170028</t>
        </is>
      </c>
      <c r="F1763" s="551" t="n"/>
      <c r="G1763" s="484" t="inlineStr">
        <is>
          <t>海芙電波探頭0.25cm/發</t>
        </is>
      </c>
      <c r="H1763" s="552" t="n"/>
      <c r="I1763" s="552" t="n"/>
      <c r="J1763" s="551" t="n"/>
      <c r="K1763" s="140" t="inlineStr">
        <is>
          <t>6,050發/顆</t>
        </is>
      </c>
      <c r="L1763" s="560" t="n">
        <v>500</v>
      </c>
    </row>
    <row r="1764" ht="17.25" customHeight="1" s="453" thickBot="1">
      <c r="A1764" s="553">
        <f>IFERROR(LEFT(B1764,7),"")</f>
        <v/>
      </c>
      <c r="B1764" s="554">
        <f>"2026/03"&amp;D1764</f>
        <v/>
      </c>
      <c r="C1764" s="559" t="n">
        <v>228</v>
      </c>
      <c r="D1764" s="484" t="inlineStr">
        <is>
          <t>忠孝健康7樓</t>
        </is>
      </c>
      <c r="E1764" s="484" t="inlineStr">
        <is>
          <t>6170030</t>
        </is>
      </c>
      <c r="F1764" s="551" t="n"/>
      <c r="G1764" s="484" t="inlineStr">
        <is>
          <t>海芙電波探頭4.0cm/發</t>
        </is>
      </c>
      <c r="H1764" s="552" t="n"/>
      <c r="I1764" s="552" t="n"/>
      <c r="J1764" s="551" t="n"/>
      <c r="K1764" s="140" t="inlineStr">
        <is>
          <t>3,050發/顆</t>
        </is>
      </c>
      <c r="L1764" s="560" t="n">
        <v>7201</v>
      </c>
    </row>
    <row r="1765" ht="17.25" customHeight="1" s="453" thickBot="1">
      <c r="A1765" s="553">
        <f>IFERROR(LEFT(B1765,7),"")</f>
        <v/>
      </c>
      <c r="B1765" s="554">
        <f>"2026/03"&amp;D1765</f>
        <v/>
      </c>
      <c r="C1765" s="559" t="n">
        <v>229</v>
      </c>
      <c r="D1765" s="484" t="inlineStr">
        <is>
          <t>忠孝健康7樓</t>
        </is>
      </c>
      <c r="E1765" s="484" t="inlineStr">
        <is>
          <t>6170032</t>
        </is>
      </c>
      <c r="F1765" s="551" t="n"/>
      <c r="G1765" s="484" t="inlineStr">
        <is>
          <t>立特拉A2筆型探頭3.0mm/ 條</t>
        </is>
      </c>
      <c r="H1765" s="552" t="n"/>
      <c r="I1765" s="552" t="n"/>
      <c r="J1765" s="551" t="n"/>
      <c r="K1765" s="140" t="inlineStr">
        <is>
          <t>240,500條/顆</t>
        </is>
      </c>
      <c r="L1765" s="560" t="n">
        <v>61000</v>
      </c>
    </row>
    <row r="1766" ht="17.25" customHeight="1" s="453" thickBot="1">
      <c r="A1766" s="553">
        <f>IFERROR(LEFT(B1766,7),"")</f>
        <v/>
      </c>
      <c r="B1766" s="554">
        <f>"2026/03"&amp;D1766</f>
        <v/>
      </c>
      <c r="C1766" s="559" t="n">
        <v>230</v>
      </c>
      <c r="D1766" s="484" t="inlineStr">
        <is>
          <t>忠孝健康7樓</t>
        </is>
      </c>
      <c r="E1766" s="484" t="inlineStr">
        <is>
          <t>6170033</t>
        </is>
      </c>
      <c r="F1766" s="551" t="n"/>
      <c r="G1766" s="484" t="inlineStr">
        <is>
          <t>立特拉A2筆型探頭4.5mm/ 條</t>
        </is>
      </c>
      <c r="H1766" s="552" t="n"/>
      <c r="I1766" s="552" t="n"/>
      <c r="J1766" s="551" t="n"/>
      <c r="K1766" s="140" t="inlineStr">
        <is>
          <t>240,500條/顆</t>
        </is>
      </c>
      <c r="L1766" s="560" t="n">
        <v>6500</v>
      </c>
    </row>
    <row r="1767" ht="17.25" customHeight="1" s="453" thickBot="1">
      <c r="A1767" s="553">
        <f>IFERROR(LEFT(B1767,7),"")</f>
        <v/>
      </c>
      <c r="B1767" s="554">
        <f>"2026/03"&amp;D1767</f>
        <v/>
      </c>
      <c r="C1767" s="559" t="n">
        <v>231</v>
      </c>
      <c r="D1767" s="484" t="inlineStr">
        <is>
          <t>忠孝健康7樓</t>
        </is>
      </c>
      <c r="E1767" s="484" t="inlineStr">
        <is>
          <t>6170034</t>
        </is>
      </c>
      <c r="F1767" s="551" t="n"/>
      <c r="G1767" s="484" t="inlineStr">
        <is>
          <t>十蓓電波臉部探頭5cm</t>
        </is>
      </c>
      <c r="H1767" s="552" t="n"/>
      <c r="I1767" s="552" t="n"/>
      <c r="J1767" s="551" t="n"/>
      <c r="K1767" s="140" t="inlineStr">
        <is>
          <t>900發/顆</t>
        </is>
      </c>
      <c r="L1767" s="560" t="n">
        <v>51300</v>
      </c>
    </row>
    <row r="1768" ht="17.25" customHeight="1" s="453" thickBot="1">
      <c r="A1768" s="553">
        <f>IFERROR(LEFT(B1768,7),"")</f>
        <v/>
      </c>
      <c r="B1768" s="554">
        <f>"2026/03"&amp;D1768</f>
        <v/>
      </c>
      <c r="C1768" s="559" t="n">
        <v>232</v>
      </c>
      <c r="D1768" s="484" t="inlineStr">
        <is>
          <t>忠孝健康7樓</t>
        </is>
      </c>
      <c r="E1768" s="484" t="inlineStr">
        <is>
          <t>6170035</t>
        </is>
      </c>
      <c r="F1768" s="551" t="n"/>
      <c r="G1768" s="484" t="inlineStr">
        <is>
          <t>十蓓電波眼部探頭0.25cm</t>
        </is>
      </c>
      <c r="H1768" s="552" t="n"/>
      <c r="I1768" s="552" t="n"/>
      <c r="J1768" s="551" t="n"/>
      <c r="K1768" s="140" t="inlineStr">
        <is>
          <t>600發/顆</t>
        </is>
      </c>
      <c r="L1768" s="560" t="n">
        <v>19500</v>
      </c>
    </row>
    <row r="1769" ht="17.25" customHeight="1" s="453" thickBot="1">
      <c r="A1769" s="553">
        <f>IFERROR(LEFT(B1769,7),"")</f>
        <v/>
      </c>
      <c r="B1769" s="554">
        <f>"2026/03"&amp;D1769</f>
        <v/>
      </c>
      <c r="C1769" s="559" t="n">
        <v>233</v>
      </c>
      <c r="D1769" s="484" t="inlineStr">
        <is>
          <t>忠孝健康7樓</t>
        </is>
      </c>
      <c r="E1769" s="484" t="inlineStr">
        <is>
          <t>6180007</t>
        </is>
      </c>
      <c r="F1769" s="551" t="n"/>
      <c r="G1769" s="484" t="inlineStr">
        <is>
          <t>(V)MINT秘特拉提線PETIT 15CM/ 條</t>
        </is>
      </c>
      <c r="H1769" s="552" t="n"/>
      <c r="I1769" s="552" t="n"/>
      <c r="J1769" s="551" t="n"/>
      <c r="K1769" s="140" t="inlineStr">
        <is>
          <t>20條/盒</t>
        </is>
      </c>
      <c r="L1769" s="560" t="n">
        <v>8</v>
      </c>
    </row>
    <row r="1770" ht="17.25" customHeight="1" s="453" thickBot="1">
      <c r="A1770" s="553">
        <f>IFERROR(LEFT(B1770,7),"")</f>
        <v/>
      </c>
      <c r="B1770" s="554">
        <f>"2026/03"&amp;D1770</f>
        <v/>
      </c>
      <c r="C1770" s="559" t="n">
        <v>234</v>
      </c>
      <c r="D1770" s="484" t="inlineStr">
        <is>
          <t>忠孝健康7樓</t>
        </is>
      </c>
      <c r="E1770" s="484" t="inlineStr">
        <is>
          <t>6180013</t>
        </is>
      </c>
      <c r="F1770" s="551" t="n"/>
      <c r="G1770" s="484" t="inlineStr">
        <is>
          <t>(V)MINT秘特拉提線FIX 18CM/ 條</t>
        </is>
      </c>
      <c r="H1770" s="552" t="n"/>
      <c r="I1770" s="552" t="n"/>
      <c r="J1770" s="551" t="n"/>
      <c r="K1770" s="140" t="inlineStr">
        <is>
          <t>20條/盒</t>
        </is>
      </c>
      <c r="L1770" s="560" t="n">
        <v>12</v>
      </c>
    </row>
    <row r="1771" ht="17.25" customHeight="1" s="453" thickBot="1">
      <c r="A1771" s="553">
        <f>IFERROR(LEFT(B1771,7),"")</f>
        <v/>
      </c>
      <c r="B1771" s="554">
        <f>"2026/03"&amp;D1771</f>
        <v/>
      </c>
      <c r="C1771" s="559" t="n">
        <v>235</v>
      </c>
      <c r="D1771" s="484" t="inlineStr">
        <is>
          <t>忠孝健康7樓</t>
        </is>
      </c>
      <c r="E1771" s="484" t="inlineStr">
        <is>
          <t>6190004</t>
        </is>
      </c>
      <c r="F1771" s="551" t="n"/>
      <c r="G1771" s="484" t="inlineStr">
        <is>
          <t>PLT生長因子凍晶製備20入(單瓶)</t>
        </is>
      </c>
      <c r="H1771" s="552" t="n"/>
      <c r="I1771" s="552" t="n"/>
      <c r="J1771" s="551" t="n"/>
      <c r="K1771" s="140" t="inlineStr">
        <is>
          <t>瓶(20入/組)</t>
        </is>
      </c>
      <c r="L1771" s="560" t="n">
        <v>4</v>
      </c>
    </row>
    <row r="1772" ht="17.25" customHeight="1" s="453" thickBot="1">
      <c r="A1772" s="553">
        <f>IFERROR(LEFT(B1772,7),"")</f>
        <v/>
      </c>
      <c r="B1772" s="554">
        <f>"2026/03"&amp;D1772</f>
        <v/>
      </c>
      <c r="C1772" s="559" t="n">
        <v>236</v>
      </c>
      <c r="D1772" s="484" t="inlineStr">
        <is>
          <t>忠孝健康7樓</t>
        </is>
      </c>
      <c r="E1772" s="484" t="inlineStr">
        <is>
          <t>6200003</t>
        </is>
      </c>
      <c r="F1772" s="551" t="n"/>
      <c r="G1772" s="484" t="inlineStr">
        <is>
          <t>(V)倍克脂Belkyra/ 瓶(20的倍數下單)</t>
        </is>
      </c>
      <c r="H1772" s="552" t="n"/>
      <c r="I1772" s="552" t="n"/>
      <c r="J1772" s="551" t="n"/>
      <c r="K1772" s="140" t="inlineStr">
        <is>
          <t>4瓶/盒</t>
        </is>
      </c>
      <c r="L1772" s="560" t="n">
        <v>1</v>
      </c>
    </row>
    <row r="1773" ht="17.25" customHeight="1" s="453" thickBot="1">
      <c r="A1773" s="553">
        <f>IFERROR(LEFT(B1773,7),"")</f>
        <v/>
      </c>
      <c r="B1773" s="554">
        <f>"2026/03"&amp;D1773</f>
        <v/>
      </c>
      <c r="C1773" s="559" t="n">
        <v>237</v>
      </c>
      <c r="D1773" s="484" t="inlineStr">
        <is>
          <t>忠孝健康7樓</t>
        </is>
      </c>
      <c r="E1773" s="484" t="inlineStr">
        <is>
          <t>6210001</t>
        </is>
      </c>
      <c r="F1773" s="551" t="n"/>
      <c r="G1773" s="484" t="inlineStr">
        <is>
          <t>(V)水光針針頭/31G9針/1.0mm/ PCS</t>
        </is>
      </c>
      <c r="H1773" s="552" t="n"/>
      <c r="I1773" s="552" t="n"/>
      <c r="J1773" s="551" t="n"/>
      <c r="K1773" s="140" t="inlineStr">
        <is>
          <t>PCS(20入/盒)</t>
        </is>
      </c>
      <c r="L1773" s="560" t="n">
        <v>1</v>
      </c>
    </row>
    <row r="1774" ht="17.25" customHeight="1" s="453" thickBot="1">
      <c r="A1774" s="553">
        <f>IFERROR(LEFT(B1774,7),"")</f>
        <v/>
      </c>
      <c r="B1774" s="554">
        <f>"2026/03"&amp;D1774</f>
        <v/>
      </c>
      <c r="C1774" s="559" t="n">
        <v>238</v>
      </c>
      <c r="D1774" s="484" t="inlineStr">
        <is>
          <t>忠孝健康7樓</t>
        </is>
      </c>
      <c r="E1774" s="484" t="inlineStr">
        <is>
          <t>6210002</t>
        </is>
      </c>
      <c r="F1774" s="551" t="n"/>
      <c r="G1774" s="484" t="inlineStr">
        <is>
          <t>(V)水光針針頭/31G9針/1.2mm/ PCS</t>
        </is>
      </c>
      <c r="H1774" s="552" t="n"/>
      <c r="I1774" s="552" t="n"/>
      <c r="J1774" s="551" t="n"/>
      <c r="K1774" s="140" t="inlineStr">
        <is>
          <t>PCS(20入/盒)</t>
        </is>
      </c>
      <c r="L1774" s="560" t="n">
        <v>51</v>
      </c>
    </row>
    <row r="1775" ht="17.25" customHeight="1" s="453" thickBot="1">
      <c r="A1775" s="553">
        <f>IFERROR(LEFT(B1775,7),"")</f>
        <v/>
      </c>
      <c r="B1775" s="554">
        <f>"2026/03"&amp;D1775</f>
        <v/>
      </c>
      <c r="C1775" s="559" t="n">
        <v>239</v>
      </c>
      <c r="D1775" s="484" t="inlineStr">
        <is>
          <t>忠孝健康7樓</t>
        </is>
      </c>
      <c r="E1775" s="484" t="inlineStr">
        <is>
          <t>6210003</t>
        </is>
      </c>
      <c r="F1775" s="551" t="n"/>
      <c r="G1775" s="484" t="inlineStr">
        <is>
          <t>(V)水光針針頭/31G9針/1.5mm/ PCS</t>
        </is>
      </c>
      <c r="H1775" s="552" t="n"/>
      <c r="I1775" s="552" t="n"/>
      <c r="J1775" s="551" t="n"/>
      <c r="K1775" s="140" t="inlineStr">
        <is>
          <t>PCS(20入/盒)</t>
        </is>
      </c>
      <c r="L1775" s="560" t="n">
        <v>6</v>
      </c>
    </row>
    <row r="1776" ht="17.25" customHeight="1" s="453" thickBot="1">
      <c r="A1776" s="553">
        <f>IFERROR(LEFT(B1776,7),"")</f>
        <v/>
      </c>
      <c r="B1776" s="554">
        <f>"2026/03"&amp;D1776</f>
        <v/>
      </c>
      <c r="C1776" s="559" t="n">
        <v>240</v>
      </c>
      <c r="D1776" s="484" t="inlineStr">
        <is>
          <t>忠孝健康7樓</t>
        </is>
      </c>
      <c r="E1776" s="484" t="inlineStr">
        <is>
          <t>6210006</t>
        </is>
      </c>
      <c r="F1776" s="551" t="n"/>
      <c r="G1776" s="484" t="inlineStr">
        <is>
          <t>(V)麗珠蘭修復水光(A劑2ml+B劑2ml)</t>
        </is>
      </c>
      <c r="H1776" s="552" t="n"/>
      <c r="I1776" s="552" t="n"/>
      <c r="J1776" s="551" t="n"/>
      <c r="K1776" s="140" t="inlineStr">
        <is>
          <t>2ml*2</t>
        </is>
      </c>
      <c r="L1776" s="560" t="n">
        <v>1</v>
      </c>
    </row>
    <row r="1777" ht="17.25" customHeight="1" s="453" thickBot="1">
      <c r="A1777" s="553">
        <f>IFERROR(LEFT(B1777,7),"")</f>
        <v/>
      </c>
      <c r="B1777" s="554">
        <f>"2026/03"&amp;D1777</f>
        <v/>
      </c>
      <c r="C1777" s="559" t="n">
        <v>241</v>
      </c>
      <c r="D1777" s="484" t="inlineStr">
        <is>
          <t>忠孝健康7樓</t>
        </is>
      </c>
      <c r="E1777" s="484" t="inlineStr">
        <is>
          <t>6210007</t>
        </is>
      </c>
      <c r="F1777" s="551" t="n"/>
      <c r="G1777" s="484" t="inlineStr">
        <is>
          <t>(V)麗珠蘭白瓷水光(A劑2ml+B劑2ml)</t>
        </is>
      </c>
      <c r="H1777" s="552" t="n"/>
      <c r="I1777" s="552" t="n"/>
      <c r="J1777" s="551" t="n"/>
      <c r="K1777" s="140" t="inlineStr">
        <is>
          <t>2ml*2</t>
        </is>
      </c>
      <c r="L1777" s="560" t="n">
        <v>2</v>
      </c>
    </row>
    <row r="1778" ht="17.25" customHeight="1" s="453" thickBot="1">
      <c r="A1778" s="553">
        <f>IFERROR(LEFT(B1778,7),"")</f>
        <v/>
      </c>
      <c r="B1778" s="554">
        <f>"2026/03"&amp;D1778</f>
        <v/>
      </c>
      <c r="C1778" s="559" t="n">
        <v>242</v>
      </c>
      <c r="D1778" s="484" t="inlineStr">
        <is>
          <t>忠孝健康7樓</t>
        </is>
      </c>
      <c r="E1778" s="484" t="inlineStr">
        <is>
          <t>6220005</t>
        </is>
      </c>
      <c r="F1778" s="551" t="n"/>
      <c r="G1778" s="484" t="inlineStr">
        <is>
          <t>海菲秀深藍端頭/ 顆</t>
        </is>
      </c>
      <c r="H1778" s="552" t="n"/>
      <c r="I1778" s="552" t="n"/>
      <c r="J1778" s="551" t="n"/>
      <c r="K1778" s="140" t="inlineStr">
        <is>
          <t>15顆/串</t>
        </is>
      </c>
      <c r="L1778" s="560" t="n">
        <v>208</v>
      </c>
    </row>
    <row r="1779" ht="17.25" customHeight="1" s="453" thickBot="1">
      <c r="A1779" s="553">
        <f>IFERROR(LEFT(B1779,7),"")</f>
        <v/>
      </c>
      <c r="B1779" s="554">
        <f>"2026/03"&amp;D1779</f>
        <v/>
      </c>
      <c r="C1779" s="559" t="n">
        <v>243</v>
      </c>
      <c r="D1779" s="484" t="inlineStr">
        <is>
          <t>忠孝健康7樓</t>
        </is>
      </c>
      <c r="E1779" s="484" t="inlineStr">
        <is>
          <t>6220006</t>
        </is>
      </c>
      <c r="F1779" s="551" t="n"/>
      <c r="G1779" s="484" t="inlineStr">
        <is>
          <t>海菲秀淺藍端頭/ 顆</t>
        </is>
      </c>
      <c r="H1779" s="552" t="n"/>
      <c r="I1779" s="552" t="n"/>
      <c r="J1779" s="551" t="n"/>
      <c r="K1779" s="140" t="inlineStr">
        <is>
          <t>15顆/串</t>
        </is>
      </c>
      <c r="L1779" s="560" t="n">
        <v>208</v>
      </c>
    </row>
    <row r="1780" ht="17.25" customHeight="1" s="453" thickBot="1">
      <c r="A1780" s="553">
        <f>IFERROR(LEFT(B1780,7),"")</f>
        <v/>
      </c>
      <c r="B1780" s="554">
        <f>"2026/03"&amp;D1780</f>
        <v/>
      </c>
      <c r="C1780" s="559" t="n">
        <v>244</v>
      </c>
      <c r="D1780" s="484" t="inlineStr">
        <is>
          <t>忠孝健康7樓</t>
        </is>
      </c>
      <c r="E1780" s="484" t="inlineStr">
        <is>
          <t>6220007</t>
        </is>
      </c>
      <c r="F1780" s="551" t="n"/>
      <c r="G1780" s="484" t="inlineStr">
        <is>
          <t>海菲秀透明端頭/ 顆</t>
        </is>
      </c>
      <c r="H1780" s="552" t="n"/>
      <c r="I1780" s="552" t="n"/>
      <c r="J1780" s="551" t="n"/>
      <c r="K1780" s="140" t="inlineStr">
        <is>
          <t>15顆/串</t>
        </is>
      </c>
      <c r="L1780" s="560" t="n">
        <v>208</v>
      </c>
    </row>
    <row r="1781" ht="17.25" customHeight="1" s="453" thickBot="1">
      <c r="A1781" s="553">
        <f>IFERROR(LEFT(B1781,7),"")</f>
        <v/>
      </c>
      <c r="B1781" s="554">
        <f>"2026/03"&amp;D1781</f>
        <v/>
      </c>
      <c r="C1781" s="559" t="n">
        <v>245</v>
      </c>
      <c r="D1781" s="484" t="inlineStr">
        <is>
          <t>忠孝健康7樓</t>
        </is>
      </c>
      <c r="E1781" s="484" t="inlineStr">
        <is>
          <t>6220012</t>
        </is>
      </c>
      <c r="F1781" s="551" t="n"/>
      <c r="G1781" s="484" t="inlineStr">
        <is>
          <t>(V)(第一劑)海菲秀 Activ-4 Skin Solution/mL</t>
        </is>
      </c>
      <c r="H1781" s="552" t="n"/>
      <c r="I1781" s="552" t="n"/>
      <c r="J1781" s="551" t="n"/>
      <c r="K1781" s="140" t="inlineStr">
        <is>
          <t>236ml/瓶</t>
        </is>
      </c>
      <c r="L1781" s="560" t="n">
        <v>3120</v>
      </c>
    </row>
    <row r="1782" ht="17.25" customHeight="1" s="453" thickBot="1">
      <c r="A1782" s="553">
        <f>IFERROR(LEFT(B1782,7),"")</f>
        <v/>
      </c>
      <c r="B1782" s="554">
        <f>"2026/03"&amp;D1782</f>
        <v/>
      </c>
      <c r="C1782" s="559" t="n">
        <v>246</v>
      </c>
      <c r="D1782" s="484" t="inlineStr">
        <is>
          <t>忠孝健康7樓</t>
        </is>
      </c>
      <c r="E1782" s="484" t="inlineStr">
        <is>
          <t>6220013</t>
        </is>
      </c>
      <c r="F1782" s="551" t="n"/>
      <c r="G1782" s="484" t="inlineStr">
        <is>
          <t>(V)(第二劑)海菲秀 Beta-HD Skin Solution /mL</t>
        </is>
      </c>
      <c r="H1782" s="552" t="n"/>
      <c r="I1782" s="552" t="n"/>
      <c r="J1782" s="551" t="n"/>
      <c r="K1782" s="140" t="inlineStr">
        <is>
          <t>236ml/瓶</t>
        </is>
      </c>
      <c r="L1782" s="560" t="n">
        <v>3120</v>
      </c>
    </row>
    <row r="1783" ht="17.25" customHeight="1" s="453" thickBot="1">
      <c r="A1783" s="553">
        <f>IFERROR(LEFT(B1783,7),"")</f>
        <v/>
      </c>
      <c r="B1783" s="554">
        <f>"2026/03"&amp;D1783</f>
        <v/>
      </c>
      <c r="C1783" s="559" t="n">
        <v>247</v>
      </c>
      <c r="D1783" s="484" t="inlineStr">
        <is>
          <t>忠孝健康7樓</t>
        </is>
      </c>
      <c r="E1783" s="484" t="inlineStr">
        <is>
          <t>6220014</t>
        </is>
      </c>
      <c r="F1783" s="551" t="n"/>
      <c r="G1783" s="484" t="inlineStr">
        <is>
          <t>(V)(第三劑)海菲秀 Antiox-6 Skin Solution /mL</t>
        </is>
      </c>
      <c r="H1783" s="552" t="n"/>
      <c r="I1783" s="552" t="n"/>
      <c r="J1783" s="551" t="n"/>
      <c r="K1783" s="140" t="inlineStr">
        <is>
          <t>236ml/瓶</t>
        </is>
      </c>
      <c r="L1783" s="560" t="n">
        <v>3120</v>
      </c>
    </row>
    <row r="1784" ht="17.25" customHeight="1" s="453" thickBot="1">
      <c r="A1784" s="553">
        <f>IFERROR(LEFT(B1784,7),"")</f>
        <v/>
      </c>
      <c r="B1784" s="554">
        <f>"2026/03"&amp;D1784</f>
        <v/>
      </c>
      <c r="C1784" s="559" t="n">
        <v>248</v>
      </c>
      <c r="D1784" s="484" t="inlineStr">
        <is>
          <t>忠孝健康7樓</t>
        </is>
      </c>
      <c r="E1784" s="484" t="inlineStr">
        <is>
          <t>6220015</t>
        </is>
      </c>
      <c r="F1784" s="551" t="n"/>
      <c r="G1784" s="484" t="inlineStr">
        <is>
          <t>(V)(第四劑)海菲秀 Rinseaway System Cleaning Solution /mL</t>
        </is>
      </c>
      <c r="H1784" s="552" t="n"/>
      <c r="I1784" s="552" t="n"/>
      <c r="J1784" s="551" t="n"/>
      <c r="K1784" s="140" t="inlineStr">
        <is>
          <t>236ml/瓶</t>
        </is>
      </c>
      <c r="L1784" s="560" t="n">
        <v>3120</v>
      </c>
    </row>
    <row r="1785" ht="17.25" customHeight="1" s="453" thickBot="1">
      <c r="A1785" s="553">
        <f>IFERROR(LEFT(B1785,7),"")</f>
        <v/>
      </c>
      <c r="B1785" s="554">
        <f>"2026/04"&amp;D1785</f>
        <v/>
      </c>
      <c r="C1785" s="559" t="n">
        <v>1</v>
      </c>
      <c r="D1785" s="484" t="inlineStr">
        <is>
          <t>站前4樓</t>
        </is>
      </c>
      <c r="E1785" s="484" t="inlineStr">
        <is>
          <t>6120004</t>
        </is>
      </c>
      <c r="F1785" s="551" t="n"/>
      <c r="G1785" s="484" t="inlineStr">
        <is>
          <t>(V)胺基酸點滴250ml/ 袋(安命活源/嘉安命)，20倍數叫貨</t>
        </is>
      </c>
      <c r="H1785" s="552" t="n"/>
      <c r="I1785" s="552" t="n"/>
      <c r="J1785" s="551" t="n"/>
      <c r="K1785" s="140" t="inlineStr">
        <is>
          <t>(20瓶/箱)</t>
        </is>
      </c>
      <c r="L1785" s="560" t="n">
        <v>20</v>
      </c>
    </row>
    <row r="1786" ht="17.25" customHeight="1" s="453" thickBot="1">
      <c r="A1786" s="553">
        <f>IFERROR(LEFT(B1786,7),"")</f>
        <v/>
      </c>
      <c r="B1786" s="554">
        <f>"2026/04"&amp;D1786</f>
        <v/>
      </c>
      <c r="C1786" s="559" t="n">
        <v>2</v>
      </c>
      <c r="D1786" s="484" t="inlineStr">
        <is>
          <t>站前4樓</t>
        </is>
      </c>
      <c r="E1786" s="484" t="inlineStr">
        <is>
          <t>6120006</t>
        </is>
      </c>
      <c r="F1786" s="551" t="n"/>
      <c r="G1786" s="484" t="inlineStr">
        <is>
          <t>(V)(B12) 愛壽命 2mL，100倍數叫貨</t>
        </is>
      </c>
      <c r="H1786" s="552" t="n"/>
      <c r="I1786" s="552" t="n"/>
      <c r="J1786" s="551" t="n"/>
      <c r="K1786" s="140" t="inlineStr">
        <is>
          <t>(100支/盒)</t>
        </is>
      </c>
      <c r="L1786" s="560" t="n">
        <v>21</v>
      </c>
    </row>
    <row r="1787" ht="17.25" customHeight="1" s="453" thickBot="1">
      <c r="A1787" s="553">
        <f>IFERROR(LEFT(B1787,7),"")</f>
        <v/>
      </c>
      <c r="B1787" s="554">
        <f>"2026/04"&amp;D1787</f>
        <v/>
      </c>
      <c r="C1787" s="559" t="n">
        <v>3</v>
      </c>
      <c r="D1787" s="484" t="inlineStr">
        <is>
          <t>站前4樓</t>
        </is>
      </c>
      <c r="E1787" s="484" t="inlineStr">
        <is>
          <t>6120013</t>
        </is>
      </c>
      <c r="F1787" s="551" t="n"/>
      <c r="G1787" s="484" t="inlineStr">
        <is>
          <t>(V)生理食鹽水(NS) 250ml/ 袋</t>
        </is>
      </c>
      <c r="H1787" s="552" t="n"/>
      <c r="I1787" s="552" t="n"/>
      <c r="J1787" s="551" t="n"/>
      <c r="K1787" s="140" t="inlineStr">
        <is>
          <t>40瓶/箱</t>
        </is>
      </c>
      <c r="L1787" s="560" t="n">
        <v>132</v>
      </c>
    </row>
    <row r="1788" ht="17.25" customHeight="1" s="453" thickBot="1">
      <c r="A1788" s="553">
        <f>IFERROR(LEFT(B1788,7),"")</f>
        <v/>
      </c>
      <c r="B1788" s="554">
        <f>"2026/04"&amp;D1788</f>
        <v/>
      </c>
      <c r="C1788" s="559" t="n">
        <v>4</v>
      </c>
      <c r="D1788" s="484" t="inlineStr">
        <is>
          <t>站前4樓</t>
        </is>
      </c>
      <c r="E1788" s="484" t="inlineStr">
        <is>
          <t>6120015</t>
        </is>
      </c>
      <c r="F1788" s="551" t="n"/>
      <c r="G1788" s="484" t="inlineStr">
        <is>
          <t>(V)(B群)淘能美複合維他命B 2ml，100倍數叫貨</t>
        </is>
      </c>
      <c r="H1788" s="552" t="n"/>
      <c r="I1788" s="552" t="n"/>
      <c r="J1788" s="551" t="n"/>
      <c r="K1788" s="140" t="n"/>
      <c r="L1788" s="560" t="n">
        <v>151</v>
      </c>
    </row>
    <row r="1789" ht="17.25" customHeight="1" s="453" thickBot="1">
      <c r="A1789" s="553">
        <f>IFERROR(LEFT(B1789,7),"")</f>
        <v/>
      </c>
      <c r="B1789" s="554">
        <f>"2026/04"&amp;D1789</f>
        <v/>
      </c>
      <c r="C1789" s="559" t="n">
        <v>5</v>
      </c>
      <c r="D1789" s="484" t="inlineStr">
        <is>
          <t>站前4樓</t>
        </is>
      </c>
      <c r="E1789" s="484" t="inlineStr">
        <is>
          <t>6120016</t>
        </is>
      </c>
      <c r="F1789" s="551" t="n"/>
      <c r="G1789" s="484" t="inlineStr">
        <is>
          <t>(V)(榖胱肝肽) 克樂達養200mg (20ml/瓶)</t>
        </is>
      </c>
      <c r="H1789" s="552" t="n"/>
      <c r="I1789" s="552" t="n"/>
      <c r="J1789" s="551" t="n"/>
      <c r="K1789" s="140" t="inlineStr">
        <is>
          <t>50支/盒</t>
        </is>
      </c>
      <c r="L1789" s="560" t="n">
        <v>151</v>
      </c>
    </row>
    <row r="1790" ht="17.25" customHeight="1" s="453" thickBot="1">
      <c r="A1790" s="553">
        <f>IFERROR(LEFT(B1790,7),"")</f>
        <v/>
      </c>
      <c r="B1790" s="554">
        <f>"2026/04"&amp;D1790</f>
        <v/>
      </c>
      <c r="C1790" s="559" t="n">
        <v>6</v>
      </c>
      <c r="D1790" s="484" t="inlineStr">
        <is>
          <t>站前4樓</t>
        </is>
      </c>
      <c r="E1790" s="484" t="inlineStr">
        <is>
          <t>6120018</t>
        </is>
      </c>
      <c r="F1790" s="551" t="n"/>
      <c r="G1790" s="484" t="inlineStr">
        <is>
          <t>(V)(傳明酸)止血明 5ml/支</t>
        </is>
      </c>
      <c r="H1790" s="552" t="n"/>
      <c r="I1790" s="552" t="n"/>
      <c r="J1790" s="551" t="n"/>
      <c r="K1790" s="140" t="inlineStr">
        <is>
          <t>50支/盒</t>
        </is>
      </c>
      <c r="L1790" s="560" t="n">
        <v>87</v>
      </c>
    </row>
    <row r="1791" ht="17.25" customHeight="1" s="453" thickBot="1">
      <c r="A1791" s="553">
        <f>IFERROR(LEFT(B1791,7),"")</f>
        <v/>
      </c>
      <c r="B1791" s="554">
        <f>"2026/04"&amp;D1791</f>
        <v/>
      </c>
      <c r="C1791" s="559" t="n">
        <v>7</v>
      </c>
      <c r="D1791" s="484" t="inlineStr">
        <is>
          <t>站前4樓</t>
        </is>
      </c>
      <c r="E1791" s="484" t="inlineStr">
        <is>
          <t>6120020</t>
        </is>
      </c>
      <c r="F1791" s="551" t="n"/>
      <c r="G1791" s="484" t="inlineStr">
        <is>
          <t>(V)(Vit C) 抗壞血酸 2mL，100倍數下單</t>
        </is>
      </c>
      <c r="H1791" s="552" t="n"/>
      <c r="I1791" s="552" t="n"/>
      <c r="J1791" s="551" t="n"/>
      <c r="K1791" s="140" t="inlineStr">
        <is>
          <t>100支/盒</t>
        </is>
      </c>
      <c r="L1791" s="560" t="n">
        <v>78</v>
      </c>
    </row>
    <row r="1792" ht="17.25" customHeight="1" s="453" thickBot="1">
      <c r="A1792" s="553">
        <f>IFERROR(LEFT(B1792,7),"")</f>
        <v/>
      </c>
      <c r="B1792" s="554">
        <f>"2026/04"&amp;D1792</f>
        <v/>
      </c>
      <c r="C1792" s="559" t="n">
        <v>8</v>
      </c>
      <c r="D1792" s="484" t="inlineStr">
        <is>
          <t>站前4樓</t>
        </is>
      </c>
      <c r="E1792" s="484" t="inlineStr">
        <is>
          <t>6120021</t>
        </is>
      </c>
      <c r="F1792" s="551" t="n"/>
      <c r="G1792" s="484" t="inlineStr">
        <is>
          <t>(V)(Vit C)(抗壞血酸/諾貝爾)20ml，50倍數下單</t>
        </is>
      </c>
      <c r="H1792" s="552" t="n"/>
      <c r="I1792" s="552" t="n"/>
      <c r="J1792" s="551" t="n"/>
      <c r="K1792" s="140" t="inlineStr">
        <is>
          <t>50支/盒</t>
        </is>
      </c>
      <c r="L1792" s="560" t="n">
        <v>168</v>
      </c>
    </row>
    <row r="1793" ht="17.25" customHeight="1" s="453" thickBot="1">
      <c r="A1793" s="553">
        <f>IFERROR(LEFT(B1793,7),"")</f>
        <v/>
      </c>
      <c r="B1793" s="554">
        <f>"2026/04"&amp;D1793</f>
        <v/>
      </c>
      <c r="C1793" s="559" t="n">
        <v>9</v>
      </c>
      <c r="D1793" s="484" t="inlineStr">
        <is>
          <t>站前4樓</t>
        </is>
      </c>
      <c r="E1793" s="484" t="inlineStr">
        <is>
          <t>6120036</t>
        </is>
      </c>
      <c r="F1793" s="551" t="n"/>
      <c r="G1793" s="484" t="inlineStr">
        <is>
          <t>(V)貝力多(雙胜胺) 20% 50mL/ 瓶，60倍數下單</t>
        </is>
      </c>
      <c r="H1793" s="552" t="n"/>
      <c r="I1793" s="552" t="n"/>
      <c r="J1793" s="551" t="n"/>
      <c r="K1793" s="140" t="inlineStr">
        <is>
          <t>瓶(10瓶/盒)</t>
        </is>
      </c>
      <c r="L1793" s="560" t="n">
        <v>20</v>
      </c>
    </row>
    <row r="1794" ht="17.25" customHeight="1" s="453" thickBot="1">
      <c r="A1794" s="553">
        <f>IFERROR(LEFT(B1794,7),"")</f>
        <v/>
      </c>
      <c r="B1794" s="554">
        <f>"2026/04"&amp;D1794</f>
        <v/>
      </c>
      <c r="C1794" s="559" t="n">
        <v>10</v>
      </c>
      <c r="D1794" s="484" t="inlineStr">
        <is>
          <t>站前4樓</t>
        </is>
      </c>
      <c r="E1794" s="484" t="inlineStr">
        <is>
          <t>6140001</t>
        </is>
      </c>
      <c r="F1794" s="551" t="n"/>
      <c r="G1794" s="484" t="inlineStr">
        <is>
          <t>(V)保妥適肉毒Botox/ u，100倍數下單</t>
        </is>
      </c>
      <c r="H1794" s="552" t="n"/>
      <c r="I1794" s="552" t="n"/>
      <c r="J1794" s="551" t="n"/>
      <c r="K1794" s="140" t="inlineStr">
        <is>
          <t>100U/瓶</t>
        </is>
      </c>
      <c r="L1794" s="560" t="n">
        <v>4062</v>
      </c>
    </row>
    <row r="1795" ht="17.25" customHeight="1" s="453" thickBot="1">
      <c r="A1795" s="553">
        <f>IFERROR(LEFT(B1795,7),"")</f>
        <v/>
      </c>
      <c r="B1795" s="554">
        <f>"2026/04"&amp;D1795</f>
        <v/>
      </c>
      <c r="C1795" s="559" t="n">
        <v>11</v>
      </c>
      <c r="D1795" s="484" t="inlineStr">
        <is>
          <t>站前4樓</t>
        </is>
      </c>
      <c r="E1795" s="484" t="inlineStr">
        <is>
          <t>6140003</t>
        </is>
      </c>
      <c r="F1795" s="551" t="n"/>
      <c r="G1795" s="484" t="inlineStr">
        <is>
          <t>(V)保提拉肉毒Letybo/ u，3200倍數下單</t>
        </is>
      </c>
      <c r="H1795" s="552" t="n"/>
      <c r="I1795" s="552" t="n"/>
      <c r="J1795" s="551" t="n"/>
      <c r="K1795" s="140" t="inlineStr">
        <is>
          <t>200U/瓶</t>
        </is>
      </c>
      <c r="L1795" s="560" t="n">
        <v>8901</v>
      </c>
    </row>
    <row r="1796" ht="17.25" customHeight="1" s="453" thickBot="1">
      <c r="A1796" s="553">
        <f>IFERROR(LEFT(B1796,7),"")</f>
        <v/>
      </c>
      <c r="B1796" s="554">
        <f>"2026/04"&amp;D1796</f>
        <v/>
      </c>
      <c r="C1796" s="559" t="n">
        <v>12</v>
      </c>
      <c r="D1796" s="484" t="inlineStr">
        <is>
          <t>站前4樓</t>
        </is>
      </c>
      <c r="E1796" s="484" t="inlineStr">
        <is>
          <t>6140005</t>
        </is>
      </c>
      <c r="F1796" s="551" t="n"/>
      <c r="G1796" s="484" t="inlineStr">
        <is>
          <t>(V)奇蹟肉毒/ u，200倍數下單</t>
        </is>
      </c>
      <c r="H1796" s="552" t="n"/>
      <c r="I1796" s="552" t="n"/>
      <c r="J1796" s="551" t="n"/>
      <c r="K1796" s="140" t="inlineStr">
        <is>
          <t>200U/瓶</t>
        </is>
      </c>
      <c r="L1796" s="560" t="n">
        <v>4861</v>
      </c>
    </row>
    <row r="1797" ht="17.25" customHeight="1" s="453" thickBot="1">
      <c r="A1797" s="553">
        <f>IFERROR(LEFT(B1797,7),"")</f>
        <v/>
      </c>
      <c r="B1797" s="554">
        <f>"2026/04"&amp;D1797</f>
        <v/>
      </c>
      <c r="C1797" s="559" t="n">
        <v>13</v>
      </c>
      <c r="D1797" s="484" t="inlineStr">
        <is>
          <t>站前4樓</t>
        </is>
      </c>
      <c r="E1797" s="484" t="inlineStr">
        <is>
          <t>6150001</t>
        </is>
      </c>
      <c r="F1797" s="551" t="n"/>
      <c r="G1797" s="484" t="inlineStr">
        <is>
          <t>(V)喬雅登-豐麗緹玻尿酸植入物Voluma 1ml</t>
        </is>
      </c>
      <c r="H1797" s="552" t="n"/>
      <c r="I1797" s="552" t="n"/>
      <c r="J1797" s="551" t="n"/>
      <c r="K1797" s="140" t="inlineStr">
        <is>
          <t>1ml(2ml/盒)</t>
        </is>
      </c>
      <c r="L1797" s="560" t="n">
        <v>150</v>
      </c>
    </row>
    <row r="1798" ht="17.25" customHeight="1" s="453" thickBot="1">
      <c r="A1798" s="553">
        <f>IFERROR(LEFT(B1798,7),"")</f>
        <v/>
      </c>
      <c r="B1798" s="554">
        <f>"2026/04"&amp;D1798</f>
        <v/>
      </c>
      <c r="C1798" s="559" t="n">
        <v>14</v>
      </c>
      <c r="D1798" s="484" t="inlineStr">
        <is>
          <t>站前4樓</t>
        </is>
      </c>
      <c r="E1798" s="484" t="inlineStr">
        <is>
          <t>6150002</t>
        </is>
      </c>
      <c r="F1798" s="551" t="n"/>
      <c r="G1798" s="484" t="inlineStr">
        <is>
          <t>(V)喬雅登-夢蓓菈玻尿酸植入物Volbella 1ml</t>
        </is>
      </c>
      <c r="H1798" s="552" t="n"/>
      <c r="I1798" s="552" t="n"/>
      <c r="J1798" s="551" t="n"/>
      <c r="K1798" s="140" t="inlineStr">
        <is>
          <t>1ml(2ml/盒)</t>
        </is>
      </c>
      <c r="L1798" s="560" t="n">
        <v>7</v>
      </c>
    </row>
    <row r="1799" ht="17.25" customHeight="1" s="453" thickBot="1">
      <c r="A1799" s="553">
        <f>IFERROR(LEFT(B1799,7),"")</f>
        <v/>
      </c>
      <c r="B1799" s="554">
        <f>"2026/04"&amp;D1799</f>
        <v/>
      </c>
      <c r="C1799" s="559" t="n">
        <v>15</v>
      </c>
      <c r="D1799" s="484" t="inlineStr">
        <is>
          <t>站前4樓</t>
        </is>
      </c>
      <c r="E1799" s="484" t="inlineStr">
        <is>
          <t>6150003</t>
        </is>
      </c>
      <c r="F1799" s="551" t="n"/>
      <c r="G1799" s="484" t="inlineStr">
        <is>
          <t>(V)喬雅登-豐麗緹玻尿酸植入物Volift 1ml</t>
        </is>
      </c>
      <c r="H1799" s="552" t="n"/>
      <c r="I1799" s="552" t="n"/>
      <c r="J1799" s="551" t="n"/>
      <c r="K1799" s="140" t="inlineStr">
        <is>
          <t>1ml(2ml/盒)</t>
        </is>
      </c>
      <c r="L1799" s="560" t="n">
        <v>3</v>
      </c>
    </row>
    <row r="1800" ht="17.25" customHeight="1" s="453" thickBot="1">
      <c r="A1800" s="553">
        <f>IFERROR(LEFT(B1800,7),"")</f>
        <v/>
      </c>
      <c r="B1800" s="554">
        <f>"2026/04"&amp;D1800</f>
        <v/>
      </c>
      <c r="C1800" s="559" t="n">
        <v>16</v>
      </c>
      <c r="D1800" s="484" t="inlineStr">
        <is>
          <t>站前4樓</t>
        </is>
      </c>
      <c r="E1800" s="484" t="inlineStr">
        <is>
          <t>6150004</t>
        </is>
      </c>
      <c r="F1800" s="551" t="n"/>
      <c r="G1800" s="484" t="inlineStr">
        <is>
          <t>(V)喬雅登-豐塑玻尿酸植入物Volux 1ml</t>
        </is>
      </c>
      <c r="H1800" s="552" t="n"/>
      <c r="I1800" s="552" t="n"/>
      <c r="J1800" s="551" t="n"/>
      <c r="K1800" s="140" t="inlineStr">
        <is>
          <t>1ml(2ml/盒)</t>
        </is>
      </c>
      <c r="L1800" s="560" t="n">
        <v>14</v>
      </c>
    </row>
    <row r="1801" ht="17.25" customHeight="1" s="453" thickBot="1">
      <c r="A1801" s="553">
        <f>IFERROR(LEFT(B1801,7),"")</f>
        <v/>
      </c>
      <c r="B1801" s="554">
        <f>"2026/04"&amp;D1801</f>
        <v/>
      </c>
      <c r="C1801" s="559" t="n">
        <v>17</v>
      </c>
      <c r="D1801" s="484" t="inlineStr">
        <is>
          <t>站前4樓</t>
        </is>
      </c>
      <c r="E1801" s="484" t="inlineStr">
        <is>
          <t>6150005</t>
        </is>
      </c>
      <c r="F1801" s="551" t="n"/>
      <c r="G1801" s="484" t="inlineStr">
        <is>
          <t>(V)喬雅登-芙潤玻尿酸植入物Volite 1ml</t>
        </is>
      </c>
      <c r="H1801" s="552" t="n"/>
      <c r="I1801" s="552" t="n"/>
      <c r="J1801" s="551" t="n"/>
      <c r="K1801" s="140" t="inlineStr">
        <is>
          <t>1ml(2ml/盒)</t>
        </is>
      </c>
      <c r="L1801" s="560" t="n">
        <v>1</v>
      </c>
    </row>
    <row r="1802" ht="17.25" customHeight="1" s="453" thickBot="1">
      <c r="A1802" s="553">
        <f>IFERROR(LEFT(B1802,7),"")</f>
        <v/>
      </c>
      <c r="B1802" s="554">
        <f>"2026/04"&amp;D1802</f>
        <v/>
      </c>
      <c r="C1802" s="559" t="n">
        <v>18</v>
      </c>
      <c r="D1802" s="484" t="inlineStr">
        <is>
          <t>站前4樓</t>
        </is>
      </c>
      <c r="E1802" s="484" t="inlineStr">
        <is>
          <t>6150010</t>
        </is>
      </c>
      <c r="F1802" s="551" t="n"/>
      <c r="G1802" s="484" t="inlineStr">
        <is>
          <t>(V)仙女玻尿酸大分子 1ml</t>
        </is>
      </c>
      <c r="H1802" s="552" t="n"/>
      <c r="I1802" s="552" t="n"/>
      <c r="J1802" s="551" t="n"/>
      <c r="K1802" s="140" t="inlineStr">
        <is>
          <t>1ml(1ml/盒)</t>
        </is>
      </c>
      <c r="L1802" s="560" t="n">
        <v>31</v>
      </c>
    </row>
    <row r="1803" ht="17.25" customHeight="1" s="453" thickBot="1">
      <c r="A1803" s="553">
        <f>IFERROR(LEFT(B1803,7),"")</f>
        <v/>
      </c>
      <c r="B1803" s="554">
        <f>"2026/04"&amp;D1803</f>
        <v/>
      </c>
      <c r="C1803" s="559" t="n">
        <v>19</v>
      </c>
      <c r="D1803" s="484" t="inlineStr">
        <is>
          <t>站前4樓</t>
        </is>
      </c>
      <c r="E1803" s="484" t="inlineStr">
        <is>
          <t>6150013</t>
        </is>
      </c>
      <c r="F1803" s="551" t="n"/>
      <c r="G1803" s="484" t="inlineStr">
        <is>
          <t>(V)逆時針(璞菲洛)2cc</t>
        </is>
      </c>
      <c r="H1803" s="552" t="n"/>
      <c r="I1803" s="552" t="n"/>
      <c r="J1803" s="551" t="n"/>
      <c r="K1803" s="140" t="inlineStr">
        <is>
          <t>1ml(1ml/盒)</t>
        </is>
      </c>
      <c r="L1803" s="560" t="n">
        <v>20</v>
      </c>
    </row>
    <row r="1804" ht="17.25" customHeight="1" s="453" thickBot="1">
      <c r="A1804" s="553">
        <f>IFERROR(LEFT(B1804,7),"")</f>
        <v/>
      </c>
      <c r="B1804" s="554">
        <f>"2026/04"&amp;D1804</f>
        <v/>
      </c>
      <c r="C1804" s="559" t="n">
        <v>20</v>
      </c>
      <c r="D1804" s="484" t="inlineStr">
        <is>
          <t>站前4樓</t>
        </is>
      </c>
      <c r="E1804" s="484" t="inlineStr">
        <is>
          <t>6150015</t>
        </is>
      </c>
      <c r="F1804" s="551" t="n"/>
      <c r="G1804" s="484" t="inlineStr">
        <is>
          <t>(V)喬雅登絲漾膚玻尿酸植入物Skinvive 1ml/支(2倍數叫貨)</t>
        </is>
      </c>
      <c r="H1804" s="552" t="n"/>
      <c r="I1804" s="552" t="n"/>
      <c r="J1804" s="551" t="n"/>
      <c r="K1804" s="140" t="inlineStr">
        <is>
          <t>1ml(2ml/盒)</t>
        </is>
      </c>
      <c r="L1804" s="560" t="n">
        <v>2</v>
      </c>
    </row>
    <row r="1805" ht="17.25" customHeight="1" s="453" thickBot="1">
      <c r="A1805" s="553">
        <f>IFERROR(LEFT(B1805,7),"")</f>
        <v/>
      </c>
      <c r="B1805" s="554">
        <f>"2026/04"&amp;D1805</f>
        <v/>
      </c>
      <c r="C1805" s="559" t="n">
        <v>21</v>
      </c>
      <c r="D1805" s="484" t="inlineStr">
        <is>
          <t>站前4樓</t>
        </is>
      </c>
      <c r="E1805" s="484" t="inlineStr">
        <is>
          <t>6160001</t>
        </is>
      </c>
      <c r="F1805" s="551" t="n"/>
      <c r="G1805" s="484" t="inlineStr">
        <is>
          <t>(V)艾麗斯 Aesthe Fill-200mg/ 瓶</t>
        </is>
      </c>
      <c r="H1805" s="552" t="n"/>
      <c r="I1805" s="552" t="n"/>
      <c r="J1805" s="551" t="n"/>
      <c r="K1805" s="140" t="inlineStr">
        <is>
          <t>瓶</t>
        </is>
      </c>
      <c r="L1805" s="560" t="n">
        <v>2</v>
      </c>
    </row>
    <row r="1806" ht="17.25" customHeight="1" s="453" thickBot="1">
      <c r="A1806" s="553">
        <f>IFERROR(LEFT(B1806,7),"")</f>
        <v/>
      </c>
      <c r="B1806" s="554">
        <f>"2026/04"&amp;D1806</f>
        <v/>
      </c>
      <c r="C1806" s="559" t="n">
        <v>22</v>
      </c>
      <c r="D1806" s="484" t="inlineStr">
        <is>
          <t>站前4樓</t>
        </is>
      </c>
      <c r="E1806" s="484" t="inlineStr">
        <is>
          <t>6160002</t>
        </is>
      </c>
      <c r="F1806" s="551" t="n"/>
      <c r="G1806" s="484" t="inlineStr">
        <is>
          <t>(V)洢蓮絲植入劑ELLANSÉ-S 1ml/ 支(2倍數叫貨)</t>
        </is>
      </c>
      <c r="H1806" s="552" t="n"/>
      <c r="I1806" s="552" t="n"/>
      <c r="J1806" s="551" t="n"/>
      <c r="K1806" s="140" t="inlineStr">
        <is>
          <t>1ml(2ml/盒)</t>
        </is>
      </c>
      <c r="L1806" s="560" t="n">
        <v>88</v>
      </c>
    </row>
    <row r="1807" ht="17.25" customHeight="1" s="453" thickBot="1">
      <c r="A1807" s="553">
        <f>IFERROR(LEFT(B1807,7),"")</f>
        <v/>
      </c>
      <c r="B1807" s="554">
        <f>"2026/04"&amp;D1807</f>
        <v/>
      </c>
      <c r="C1807" s="559" t="n">
        <v>23</v>
      </c>
      <c r="D1807" s="484" t="inlineStr">
        <is>
          <t>站前4樓</t>
        </is>
      </c>
      <c r="E1807" s="484" t="inlineStr">
        <is>
          <t>6160003</t>
        </is>
      </c>
      <c r="F1807" s="551" t="n"/>
      <c r="G1807" s="484" t="inlineStr">
        <is>
          <t>(V)洢蓮絲植入劑ELLANSÉ-M 1ml/ 支(2倍數叫貨)</t>
        </is>
      </c>
      <c r="H1807" s="552" t="n"/>
      <c r="I1807" s="552" t="n"/>
      <c r="J1807" s="551" t="n"/>
      <c r="K1807" s="140" t="inlineStr">
        <is>
          <t>1ml(2ml/盒)</t>
        </is>
      </c>
      <c r="L1807" s="560" t="n">
        <v>13</v>
      </c>
    </row>
    <row r="1808" ht="17.25" customHeight="1" s="453" thickBot="1">
      <c r="A1808" s="553">
        <f>IFERROR(LEFT(B1808,7),"")</f>
        <v/>
      </c>
      <c r="B1808" s="554">
        <f>"2026/04"&amp;D1808</f>
        <v/>
      </c>
      <c r="C1808" s="559" t="n">
        <v>24</v>
      </c>
      <c r="D1808" s="484" t="inlineStr">
        <is>
          <t>站前4樓</t>
        </is>
      </c>
      <c r="E1808" s="484" t="inlineStr">
        <is>
          <t>6160005</t>
        </is>
      </c>
      <c r="F1808" s="551" t="n"/>
      <c r="G1808" s="484" t="inlineStr">
        <is>
          <t>(V)双美熊貓針</t>
        </is>
      </c>
      <c r="H1808" s="552" t="n"/>
      <c r="I1808" s="552" t="n"/>
      <c r="J1808" s="551" t="n"/>
      <c r="K1808" s="140" t="inlineStr">
        <is>
          <t>(1ml/盒)</t>
        </is>
      </c>
      <c r="L1808" s="560" t="n">
        <v>103</v>
      </c>
    </row>
    <row r="1809" ht="17.25" customHeight="1" s="453" thickBot="1">
      <c r="A1809" s="553">
        <f>IFERROR(LEFT(B1809,7),"")</f>
        <v/>
      </c>
      <c r="B1809" s="554">
        <f>"2026/04"&amp;D1809</f>
        <v/>
      </c>
      <c r="C1809" s="559" t="n">
        <v>25</v>
      </c>
      <c r="D1809" s="484" t="inlineStr">
        <is>
          <t>站前4樓</t>
        </is>
      </c>
      <c r="E1809" s="484" t="inlineStr">
        <is>
          <t>6160009</t>
        </is>
      </c>
      <c r="F1809" s="551" t="n"/>
      <c r="G1809" s="484" t="inlineStr">
        <is>
          <t>(V)黑童針-薇貝拉200mg/ 1cc</t>
        </is>
      </c>
      <c r="H1809" s="552" t="n"/>
      <c r="I1809" s="552" t="n"/>
      <c r="J1809" s="551" t="n"/>
      <c r="K1809" s="140" t="inlineStr">
        <is>
          <t>8cc/瓶</t>
        </is>
      </c>
      <c r="L1809" s="560" t="n">
        <v>63</v>
      </c>
    </row>
    <row r="1810" ht="17.25" customHeight="1" s="453" thickBot="1">
      <c r="A1810" s="553">
        <f>IFERROR(LEFT(B1810,7),"")</f>
        <v/>
      </c>
      <c r="B1810" s="554">
        <f>"2026/04"&amp;D1810</f>
        <v/>
      </c>
      <c r="C1810" s="559" t="n">
        <v>26</v>
      </c>
      <c r="D1810" s="484" t="inlineStr">
        <is>
          <t>站前4樓</t>
        </is>
      </c>
      <c r="E1810" s="484" t="inlineStr">
        <is>
          <t>6160010</t>
        </is>
      </c>
      <c r="F1810" s="551" t="n"/>
      <c r="G1810" s="484" t="inlineStr">
        <is>
          <t>(V)喬雅露-大分子200mg/ 1cc(8倍數叫貨)</t>
        </is>
      </c>
      <c r="H1810" s="552" t="n"/>
      <c r="I1810" s="552" t="n"/>
      <c r="J1810" s="551" t="n"/>
      <c r="K1810" s="140" t="inlineStr">
        <is>
          <t>8cc/瓶</t>
        </is>
      </c>
      <c r="L1810" s="560" t="n">
        <v>9</v>
      </c>
    </row>
    <row r="1811" ht="17.25" customHeight="1" s="453" thickBot="1">
      <c r="A1811" s="553">
        <f>IFERROR(LEFT(B1811,7),"")</f>
        <v/>
      </c>
      <c r="B1811" s="554">
        <f>"2026/04"&amp;D1811</f>
        <v/>
      </c>
      <c r="C1811" s="559" t="n">
        <v>27</v>
      </c>
      <c r="D1811" s="484" t="inlineStr">
        <is>
          <t>站前4樓</t>
        </is>
      </c>
      <c r="E1811" s="484" t="inlineStr">
        <is>
          <t>6160011</t>
        </is>
      </c>
      <c r="F1811" s="551" t="n"/>
      <c r="G1811" s="484" t="inlineStr">
        <is>
          <t>(V)喬雅露-小分子50mg/ 1cc(6倍數叫貨)</t>
        </is>
      </c>
      <c r="H1811" s="552" t="n"/>
      <c r="I1811" s="552" t="n"/>
      <c r="J1811" s="551" t="n"/>
      <c r="K1811" s="140" t="inlineStr">
        <is>
          <t>6cc/瓶</t>
        </is>
      </c>
      <c r="L1811" s="560" t="n">
        <v>508</v>
      </c>
    </row>
    <row r="1812" ht="17.25" customHeight="1" s="453" thickBot="1">
      <c r="A1812" s="553">
        <f>IFERROR(LEFT(B1812,7),"")</f>
        <v/>
      </c>
      <c r="B1812" s="554">
        <f>"2026/04"&amp;D1812</f>
        <v/>
      </c>
      <c r="C1812" s="559" t="n">
        <v>28</v>
      </c>
      <c r="D1812" s="484" t="inlineStr">
        <is>
          <t>站前4樓</t>
        </is>
      </c>
      <c r="E1812" s="484" t="inlineStr">
        <is>
          <t>6170005</t>
        </is>
      </c>
      <c r="F1812" s="551" t="n"/>
      <c r="G1812" s="484" t="inlineStr">
        <is>
          <t>海芙三代音波探頭2mm/ 條</t>
        </is>
      </c>
      <c r="H1812" s="552" t="n"/>
      <c r="I1812" s="552" t="n"/>
      <c r="J1812" s="551" t="n"/>
      <c r="K1812" s="140" t="inlineStr">
        <is>
          <t>20099條/顆</t>
        </is>
      </c>
      <c r="L1812" s="560" t="n">
        <v>8326</v>
      </c>
    </row>
    <row r="1813" ht="17.25" customHeight="1" s="453" thickBot="1">
      <c r="A1813" s="553">
        <f>IFERROR(LEFT(B1813,7),"")</f>
        <v/>
      </c>
      <c r="B1813" s="554">
        <f>"2026/04"&amp;D1813</f>
        <v/>
      </c>
      <c r="C1813" s="559" t="n">
        <v>29</v>
      </c>
      <c r="D1813" s="484" t="inlineStr">
        <is>
          <t>站前4樓</t>
        </is>
      </c>
      <c r="E1813" s="484" t="inlineStr">
        <is>
          <t>6170007</t>
        </is>
      </c>
      <c r="F1813" s="551" t="n"/>
      <c r="G1813" s="484" t="inlineStr">
        <is>
          <t>海芙三代音波探頭3mm/ 條</t>
        </is>
      </c>
      <c r="H1813" s="552" t="n"/>
      <c r="I1813" s="552" t="n"/>
      <c r="J1813" s="551" t="n"/>
      <c r="K1813" s="140" t="inlineStr">
        <is>
          <t>20099條/顆</t>
        </is>
      </c>
      <c r="L1813" s="560" t="n">
        <v>32190</v>
      </c>
    </row>
    <row r="1814" ht="17.25" customHeight="1" s="453" thickBot="1">
      <c r="A1814" s="553">
        <f>IFERROR(LEFT(B1814,7),"")</f>
        <v/>
      </c>
      <c r="B1814" s="554">
        <f>"2026/04"&amp;D1814</f>
        <v/>
      </c>
      <c r="C1814" s="559" t="n">
        <v>30</v>
      </c>
      <c r="D1814" s="484" t="inlineStr">
        <is>
          <t>站前4樓</t>
        </is>
      </c>
      <c r="E1814" s="484" t="inlineStr">
        <is>
          <t>6170009</t>
        </is>
      </c>
      <c r="F1814" s="551" t="n"/>
      <c r="G1814" s="484" t="inlineStr">
        <is>
          <t>海芙三代音波探頭4.5mm/ 條</t>
        </is>
      </c>
      <c r="H1814" s="552" t="n"/>
      <c r="I1814" s="552" t="n"/>
      <c r="J1814" s="551" t="n"/>
      <c r="K1814" s="140" t="inlineStr">
        <is>
          <t>20099條/顆</t>
        </is>
      </c>
      <c r="L1814" s="560" t="n">
        <v>35526</v>
      </c>
    </row>
    <row r="1815" ht="17.25" customHeight="1" s="453" thickBot="1">
      <c r="A1815" s="553">
        <f>IFERROR(LEFT(B1815,7),"")</f>
        <v/>
      </c>
      <c r="B1815" s="554">
        <f>"2026/04"&amp;D1815</f>
        <v/>
      </c>
      <c r="C1815" s="559" t="n">
        <v>31</v>
      </c>
      <c r="D1815" s="484" t="inlineStr">
        <is>
          <t>站前4樓</t>
        </is>
      </c>
      <c r="E1815" s="484" t="inlineStr">
        <is>
          <t>6170011</t>
        </is>
      </c>
      <c r="F1815" s="551" t="n"/>
      <c r="G1815" s="484" t="inlineStr">
        <is>
          <t>海芙三代音波探頭6mm/ 條</t>
        </is>
      </c>
      <c r="H1815" s="552" t="n"/>
      <c r="I1815" s="552" t="n"/>
      <c r="J1815" s="551" t="n"/>
      <c r="K1815" s="140" t="inlineStr">
        <is>
          <t>30,099條/顆</t>
        </is>
      </c>
      <c r="L1815" s="560" t="n">
        <v>14761</v>
      </c>
    </row>
    <row r="1816" ht="17.25" customHeight="1" s="453" thickBot="1">
      <c r="A1816" s="553">
        <f>IFERROR(LEFT(B1816,7),"")</f>
        <v/>
      </c>
      <c r="B1816" s="554">
        <f>"2026/04"&amp;D1816</f>
        <v/>
      </c>
      <c r="C1816" s="559" t="n">
        <v>32</v>
      </c>
      <c r="D1816" s="484" t="inlineStr">
        <is>
          <t>站前4樓</t>
        </is>
      </c>
      <c r="E1816" s="484" t="inlineStr">
        <is>
          <t>6170019</t>
        </is>
      </c>
      <c r="F1816" s="551" t="n"/>
      <c r="G1816" s="484" t="inlineStr">
        <is>
          <t>媚必提直線探頭2.0mm/條</t>
        </is>
      </c>
      <c r="H1816" s="552" t="n"/>
      <c r="I1816" s="552" t="n"/>
      <c r="J1816" s="551" t="n"/>
      <c r="K1816" s="140" t="inlineStr">
        <is>
          <t>20,099條/顆</t>
        </is>
      </c>
      <c r="L1816" s="560" t="n">
        <v>2664</v>
      </c>
    </row>
    <row r="1817" ht="17.25" customHeight="1" s="453" thickBot="1">
      <c r="A1817" s="553">
        <f>IFERROR(LEFT(B1817,7),"")</f>
        <v/>
      </c>
      <c r="B1817" s="554">
        <f>"2026/04"&amp;D1817</f>
        <v/>
      </c>
      <c r="C1817" s="559" t="n">
        <v>33</v>
      </c>
      <c r="D1817" s="484" t="inlineStr">
        <is>
          <t>站前4樓</t>
        </is>
      </c>
      <c r="E1817" s="484" t="inlineStr">
        <is>
          <t>6170020</t>
        </is>
      </c>
      <c r="F1817" s="551" t="n"/>
      <c r="G1817" s="484" t="inlineStr">
        <is>
          <t>媚必提直線探頭3.0mm/條</t>
        </is>
      </c>
      <c r="H1817" s="552" t="n"/>
      <c r="I1817" s="552" t="n"/>
      <c r="J1817" s="551" t="n"/>
      <c r="K1817" s="140" t="inlineStr">
        <is>
          <t>20,099條/顆</t>
        </is>
      </c>
      <c r="L1817" s="560" t="n">
        <v>7903</v>
      </c>
    </row>
    <row r="1818" ht="17.25" customHeight="1" s="453" thickBot="1">
      <c r="A1818" s="553">
        <f>IFERROR(LEFT(B1818,7),"")</f>
        <v/>
      </c>
      <c r="B1818" s="554">
        <f>"2026/04"&amp;D1818</f>
        <v/>
      </c>
      <c r="C1818" s="559" t="n">
        <v>34</v>
      </c>
      <c r="D1818" s="484" t="inlineStr">
        <is>
          <t>站前4樓</t>
        </is>
      </c>
      <c r="E1818" s="484" t="inlineStr">
        <is>
          <t>6170021</t>
        </is>
      </c>
      <c r="F1818" s="551" t="n"/>
      <c r="G1818" s="484" t="inlineStr">
        <is>
          <t>媚必提直線探頭4.5mm/條</t>
        </is>
      </c>
      <c r="H1818" s="552" t="n"/>
      <c r="I1818" s="552" t="n"/>
      <c r="J1818" s="551" t="n"/>
      <c r="K1818" s="140" t="inlineStr">
        <is>
          <t>20,099條/顆</t>
        </is>
      </c>
      <c r="L1818" s="560" t="n">
        <v>14896</v>
      </c>
    </row>
    <row r="1819" ht="17.25" customHeight="1" s="453" thickBot="1">
      <c r="A1819" s="553">
        <f>IFERROR(LEFT(B1819,7),"")</f>
        <v/>
      </c>
      <c r="B1819" s="554">
        <f>"2026/04"&amp;D1819</f>
        <v/>
      </c>
      <c r="C1819" s="559" t="n">
        <v>35</v>
      </c>
      <c r="D1819" s="484" t="inlineStr">
        <is>
          <t>站前4樓</t>
        </is>
      </c>
      <c r="E1819" s="484" t="inlineStr">
        <is>
          <t>6170022</t>
        </is>
      </c>
      <c r="F1819" s="551" t="n"/>
      <c r="G1819" s="484" t="inlineStr">
        <is>
          <t>媚必提直線探頭6.0mm/條</t>
        </is>
      </c>
      <c r="H1819" s="552" t="n"/>
      <c r="I1819" s="552" t="n"/>
      <c r="J1819" s="551" t="n"/>
      <c r="K1819" s="140" t="inlineStr">
        <is>
          <t>20,099條/顆</t>
        </is>
      </c>
      <c r="L1819" s="560" t="n">
        <v>6487</v>
      </c>
    </row>
    <row r="1820" ht="17.25" customHeight="1" s="453" thickBot="1">
      <c r="A1820" s="553">
        <f>IFERROR(LEFT(B1820,7),"")</f>
        <v/>
      </c>
      <c r="B1820" s="554">
        <f>"2026/04"&amp;D1820</f>
        <v/>
      </c>
      <c r="C1820" s="559" t="n">
        <v>36</v>
      </c>
      <c r="D1820" s="484" t="inlineStr">
        <is>
          <t>站前4樓</t>
        </is>
      </c>
      <c r="E1820" s="484" t="inlineStr">
        <is>
          <t>6170028</t>
        </is>
      </c>
      <c r="F1820" s="551" t="n"/>
      <c r="G1820" s="484" t="inlineStr">
        <is>
          <t>海芙電波探頭0.25cm/發</t>
        </is>
      </c>
      <c r="H1820" s="552" t="n"/>
      <c r="I1820" s="552" t="n"/>
      <c r="J1820" s="551" t="n"/>
      <c r="K1820" s="140" t="inlineStr">
        <is>
          <t>6,050發/顆</t>
        </is>
      </c>
      <c r="L1820" s="560" t="n">
        <v>4650</v>
      </c>
    </row>
    <row r="1821" ht="17.25" customHeight="1" s="453" thickBot="1">
      <c r="A1821" s="553">
        <f>IFERROR(LEFT(B1821,7),"")</f>
        <v/>
      </c>
      <c r="B1821" s="554">
        <f>"2026/04"&amp;D1821</f>
        <v/>
      </c>
      <c r="C1821" s="559" t="n">
        <v>37</v>
      </c>
      <c r="D1821" s="484" t="inlineStr">
        <is>
          <t>站前4樓</t>
        </is>
      </c>
      <c r="E1821" s="484" t="inlineStr">
        <is>
          <t>6170030</t>
        </is>
      </c>
      <c r="F1821" s="551" t="n"/>
      <c r="G1821" s="484" t="inlineStr">
        <is>
          <t>海芙電波探頭4.0cm/發</t>
        </is>
      </c>
      <c r="H1821" s="552" t="n"/>
      <c r="I1821" s="552" t="n"/>
      <c r="J1821" s="551" t="n"/>
      <c r="K1821" s="140" t="inlineStr">
        <is>
          <t>3,050發/顆</t>
        </is>
      </c>
      <c r="L1821" s="560" t="n">
        <v>29150</v>
      </c>
    </row>
    <row r="1822" ht="17.25" customHeight="1" s="453" thickBot="1">
      <c r="A1822" s="553">
        <f>IFERROR(LEFT(B1822,7),"")</f>
        <v/>
      </c>
      <c r="B1822" s="554">
        <f>"2026/04"&amp;D1822</f>
        <v/>
      </c>
      <c r="C1822" s="559" t="n">
        <v>38</v>
      </c>
      <c r="D1822" s="484" t="inlineStr">
        <is>
          <t>站前4樓</t>
        </is>
      </c>
      <c r="E1822" s="484" t="inlineStr">
        <is>
          <t>6170032</t>
        </is>
      </c>
      <c r="F1822" s="551" t="n"/>
      <c r="G1822" s="484" t="inlineStr">
        <is>
          <t>立特拉A2筆型探頭3.0mm/ 條</t>
        </is>
      </c>
      <c r="H1822" s="552" t="n"/>
      <c r="I1822" s="552" t="n"/>
      <c r="J1822" s="551" t="n"/>
      <c r="K1822" s="140" t="inlineStr">
        <is>
          <t>240,500條/顆</t>
        </is>
      </c>
      <c r="L1822" s="560" t="n">
        <v>200340</v>
      </c>
    </row>
    <row r="1823" ht="17.25" customHeight="1" s="453" thickBot="1">
      <c r="A1823" s="553">
        <f>IFERROR(LEFT(B1823,7),"")</f>
        <v/>
      </c>
      <c r="B1823" s="554">
        <f>"2026/04"&amp;D1823</f>
        <v/>
      </c>
      <c r="C1823" s="559" t="n">
        <v>39</v>
      </c>
      <c r="D1823" s="484" t="inlineStr">
        <is>
          <t>站前4樓</t>
        </is>
      </c>
      <c r="E1823" s="484" t="inlineStr">
        <is>
          <t>6170033</t>
        </is>
      </c>
      <c r="F1823" s="551" t="n"/>
      <c r="G1823" s="484" t="inlineStr">
        <is>
          <t>立特拉A2筆型探頭4.5mm/ 條</t>
        </is>
      </c>
      <c r="H1823" s="552" t="n"/>
      <c r="I1823" s="552" t="n"/>
      <c r="J1823" s="551" t="n"/>
      <c r="K1823" s="140" t="inlineStr">
        <is>
          <t>240,500條/顆</t>
        </is>
      </c>
      <c r="L1823" s="560" t="n">
        <v>91690</v>
      </c>
    </row>
    <row r="1824" ht="17.25" customHeight="1" s="453" thickBot="1">
      <c r="A1824" s="553">
        <f>IFERROR(LEFT(B1824,7),"")</f>
        <v/>
      </c>
      <c r="B1824" s="554">
        <f>"2026/04"&amp;D1824</f>
        <v/>
      </c>
      <c r="C1824" s="559" t="n">
        <v>40</v>
      </c>
      <c r="D1824" s="484" t="inlineStr">
        <is>
          <t>站前4樓</t>
        </is>
      </c>
      <c r="E1824" s="484" t="inlineStr">
        <is>
          <t>6170034</t>
        </is>
      </c>
      <c r="F1824" s="551" t="n"/>
      <c r="G1824" s="484" t="inlineStr">
        <is>
          <t>十蓓電波臉部探頭5cm</t>
        </is>
      </c>
      <c r="H1824" s="552" t="n"/>
      <c r="I1824" s="552" t="n"/>
      <c r="J1824" s="551" t="n"/>
      <c r="K1824" s="140" t="inlineStr">
        <is>
          <t>900發/顆</t>
        </is>
      </c>
      <c r="L1824" s="560" t="n">
        <v>72505</v>
      </c>
    </row>
    <row r="1825" ht="17.25" customHeight="1" s="453" thickBot="1">
      <c r="A1825" s="553">
        <f>IFERROR(LEFT(B1825,7),"")</f>
        <v/>
      </c>
      <c r="B1825" s="554">
        <f>"2026/04"&amp;D1825</f>
        <v/>
      </c>
      <c r="C1825" s="559" t="n">
        <v>41</v>
      </c>
      <c r="D1825" s="484" t="inlineStr">
        <is>
          <t>站前4樓</t>
        </is>
      </c>
      <c r="E1825" s="484" t="inlineStr">
        <is>
          <t>6170035</t>
        </is>
      </c>
      <c r="F1825" s="551" t="n"/>
      <c r="G1825" s="484" t="inlineStr">
        <is>
          <t>十蓓電波眼部探頭0.25cm</t>
        </is>
      </c>
      <c r="H1825" s="552" t="n"/>
      <c r="I1825" s="552" t="n"/>
      <c r="J1825" s="551" t="n"/>
      <c r="K1825" s="140" t="inlineStr">
        <is>
          <t>600發/顆</t>
        </is>
      </c>
      <c r="L1825" s="560" t="n">
        <v>20002</v>
      </c>
    </row>
    <row r="1826" ht="17.25" customHeight="1" s="453" thickBot="1">
      <c r="A1826" s="553">
        <f>IFERROR(LEFT(B1826,7),"")</f>
        <v/>
      </c>
      <c r="B1826" s="554">
        <f>"2026/04"&amp;D1826</f>
        <v/>
      </c>
      <c r="C1826" s="559" t="n">
        <v>42</v>
      </c>
      <c r="D1826" s="484" t="inlineStr">
        <is>
          <t>站前4樓</t>
        </is>
      </c>
      <c r="E1826" s="484" t="inlineStr">
        <is>
          <t>6180005</t>
        </is>
      </c>
      <c r="F1826" s="551" t="n"/>
      <c r="G1826" s="484" t="inlineStr">
        <is>
          <t>(V)MINT秘特拉提線FINE 18CM/ 條</t>
        </is>
      </c>
      <c r="H1826" s="552" t="n"/>
      <c r="I1826" s="552" t="n"/>
      <c r="J1826" s="551" t="n"/>
      <c r="K1826" s="140" t="inlineStr">
        <is>
          <t>20條/盒</t>
        </is>
      </c>
      <c r="L1826" s="560" t="n">
        <v>4</v>
      </c>
    </row>
    <row r="1827" ht="17.25" customHeight="1" s="453" thickBot="1">
      <c r="A1827" s="553">
        <f>IFERROR(LEFT(B1827,7),"")</f>
        <v/>
      </c>
      <c r="B1827" s="554">
        <f>"2026/04"&amp;D1827</f>
        <v/>
      </c>
      <c r="C1827" s="559" t="n">
        <v>43</v>
      </c>
      <c r="D1827" s="484" t="inlineStr">
        <is>
          <t>站前4樓</t>
        </is>
      </c>
      <c r="E1827" s="484" t="inlineStr">
        <is>
          <t>6180011</t>
        </is>
      </c>
      <c r="F1827" s="551" t="n"/>
      <c r="G1827" s="484" t="inlineStr">
        <is>
          <t>(V)MINT秘特拉提線UP 9.5CM/ 條</t>
        </is>
      </c>
      <c r="H1827" s="552" t="n"/>
      <c r="I1827" s="552" t="n"/>
      <c r="J1827" s="551" t="n"/>
      <c r="K1827" s="140" t="inlineStr">
        <is>
          <t>10條/盒</t>
        </is>
      </c>
      <c r="L1827" s="560" t="n">
        <v>8</v>
      </c>
    </row>
    <row r="1828" ht="17.25" customHeight="1" s="453" thickBot="1">
      <c r="A1828" s="553">
        <f>IFERROR(LEFT(B1828,7),"")</f>
        <v/>
      </c>
      <c r="B1828" s="554">
        <f>"2026/04"&amp;D1828</f>
        <v/>
      </c>
      <c r="C1828" s="559" t="n">
        <v>44</v>
      </c>
      <c r="D1828" s="484" t="inlineStr">
        <is>
          <t>站前4樓</t>
        </is>
      </c>
      <c r="E1828" s="484" t="inlineStr">
        <is>
          <t>6190001</t>
        </is>
      </c>
      <c r="F1828" s="551" t="n"/>
      <c r="G1828" s="484" t="inlineStr">
        <is>
          <t>PLT生長因子凍晶製備/ 瓶</t>
        </is>
      </c>
      <c r="H1828" s="552" t="n"/>
      <c r="I1828" s="552" t="n"/>
      <c r="J1828" s="551" t="n"/>
      <c r="K1828" s="140" t="inlineStr">
        <is>
          <t>瓶</t>
        </is>
      </c>
      <c r="L1828" s="560" t="n">
        <v>2</v>
      </c>
    </row>
    <row r="1829" ht="17.25" customHeight="1" s="453" thickBot="1">
      <c r="A1829" s="553">
        <f>IFERROR(LEFT(B1829,7),"")</f>
        <v/>
      </c>
      <c r="B1829" s="554">
        <f>"2026/04"&amp;D1829</f>
        <v/>
      </c>
      <c r="C1829" s="559" t="n">
        <v>45</v>
      </c>
      <c r="D1829" s="484" t="inlineStr">
        <is>
          <t>站前4樓</t>
        </is>
      </c>
      <c r="E1829" s="484" t="inlineStr">
        <is>
          <t>6190003</t>
        </is>
      </c>
      <c r="F1829" s="551" t="n"/>
      <c r="G1829" s="484" t="inlineStr">
        <is>
          <t>PLT生長因子凍晶製備10入(單瓶)</t>
        </is>
      </c>
      <c r="H1829" s="552" t="n"/>
      <c r="I1829" s="552" t="n"/>
      <c r="J1829" s="551" t="n"/>
      <c r="K1829" s="140" t="inlineStr">
        <is>
          <t>瓶(10入/組)</t>
        </is>
      </c>
      <c r="L1829" s="560" t="n">
        <v>5</v>
      </c>
    </row>
    <row r="1830" ht="17.25" customHeight="1" s="453" thickBot="1">
      <c r="A1830" s="553">
        <f>IFERROR(LEFT(B1830,7),"")</f>
        <v/>
      </c>
      <c r="B1830" s="554">
        <f>"2026/04"&amp;D1830</f>
        <v/>
      </c>
      <c r="C1830" s="559" t="n">
        <v>46</v>
      </c>
      <c r="D1830" s="484" t="inlineStr">
        <is>
          <t>站前4樓</t>
        </is>
      </c>
      <c r="E1830" s="484" t="inlineStr">
        <is>
          <t>6190004</t>
        </is>
      </c>
      <c r="F1830" s="551" t="n"/>
      <c r="G1830" s="484" t="inlineStr">
        <is>
          <t>PLT生長因子凍晶製備20入(單瓶)</t>
        </is>
      </c>
      <c r="H1830" s="552" t="n"/>
      <c r="I1830" s="552" t="n"/>
      <c r="J1830" s="551" t="n"/>
      <c r="K1830" s="140" t="inlineStr">
        <is>
          <t>瓶(20入/組)</t>
        </is>
      </c>
      <c r="L1830" s="560" t="n">
        <v>15</v>
      </c>
    </row>
    <row r="1831" ht="17.25" customHeight="1" s="453" thickBot="1">
      <c r="A1831" s="553">
        <f>IFERROR(LEFT(B1831,7),"")</f>
        <v/>
      </c>
      <c r="B1831" s="554">
        <f>"2026/04"&amp;D1831</f>
        <v/>
      </c>
      <c r="C1831" s="559" t="n">
        <v>47</v>
      </c>
      <c r="D1831" s="484" t="inlineStr">
        <is>
          <t>站前4樓</t>
        </is>
      </c>
      <c r="E1831" s="484" t="inlineStr">
        <is>
          <t>6190006</t>
        </is>
      </c>
      <c r="F1831" s="551" t="n"/>
      <c r="G1831" s="484" t="inlineStr">
        <is>
          <t>(V)ExoPower 泌力機泌凍晶 5mg</t>
        </is>
      </c>
      <c r="H1831" s="552" t="n"/>
      <c r="I1831" s="552" t="n"/>
      <c r="J1831" s="551" t="n"/>
      <c r="K1831" s="140" t="inlineStr">
        <is>
          <t>瓶</t>
        </is>
      </c>
      <c r="L1831" s="560" t="n">
        <v>31</v>
      </c>
    </row>
    <row r="1832" ht="17.25" customHeight="1" s="453" thickBot="1">
      <c r="A1832" s="553">
        <f>IFERROR(LEFT(B1832,7),"")</f>
        <v/>
      </c>
      <c r="B1832" s="554">
        <f>"2026/04"&amp;D1832</f>
        <v/>
      </c>
      <c r="C1832" s="559" t="n">
        <v>48</v>
      </c>
      <c r="D1832" s="484" t="inlineStr">
        <is>
          <t>站前4樓</t>
        </is>
      </c>
      <c r="E1832" s="484" t="inlineStr">
        <is>
          <t>6200006</t>
        </is>
      </c>
      <c r="F1832" s="551" t="n"/>
      <c r="G1832" s="484" t="inlineStr">
        <is>
          <t>(V)容脂/ 瓶  (24倍數叫貨)</t>
        </is>
      </c>
      <c r="H1832" s="552" t="n"/>
      <c r="I1832" s="552" t="n"/>
      <c r="J1832" s="551" t="n"/>
      <c r="K1832" s="140" t="inlineStr">
        <is>
          <t>4瓶/盒</t>
        </is>
      </c>
      <c r="L1832" s="560" t="n">
        <v>7</v>
      </c>
    </row>
    <row r="1833" ht="17.25" customHeight="1" s="453" thickBot="1">
      <c r="A1833" s="553">
        <f>IFERROR(LEFT(B1833,7),"")</f>
        <v/>
      </c>
      <c r="B1833" s="554">
        <f>"2026/04"&amp;D1833</f>
        <v/>
      </c>
      <c r="C1833" s="559" t="n">
        <v>49</v>
      </c>
      <c r="D1833" s="484" t="inlineStr">
        <is>
          <t>站前4樓</t>
        </is>
      </c>
      <c r="E1833" s="484" t="inlineStr">
        <is>
          <t>6210002</t>
        </is>
      </c>
      <c r="F1833" s="551" t="n"/>
      <c r="G1833" s="484" t="inlineStr">
        <is>
          <t>(V)水光針針頭/31G9針/1.2mm/ PCS</t>
        </is>
      </c>
      <c r="H1833" s="552" t="n"/>
      <c r="I1833" s="552" t="n"/>
      <c r="J1833" s="551" t="n"/>
      <c r="K1833" s="140" t="inlineStr">
        <is>
          <t>PCS(20入/盒)</t>
        </is>
      </c>
      <c r="L1833" s="560" t="n">
        <v>179</v>
      </c>
    </row>
    <row r="1834" ht="17.25" customHeight="1" s="453" thickBot="1">
      <c r="A1834" s="553">
        <f>IFERROR(LEFT(B1834,7),"")</f>
        <v/>
      </c>
      <c r="B1834" s="554">
        <f>"2026/04"&amp;D1834</f>
        <v/>
      </c>
      <c r="C1834" s="559" t="n">
        <v>50</v>
      </c>
      <c r="D1834" s="484" t="inlineStr">
        <is>
          <t>站前4樓</t>
        </is>
      </c>
      <c r="E1834" s="484" t="inlineStr">
        <is>
          <t>6210003</t>
        </is>
      </c>
      <c r="F1834" s="551" t="n"/>
      <c r="G1834" s="484" t="inlineStr">
        <is>
          <t>(V)水光針針頭/31G9針/1.5mm/ PCS</t>
        </is>
      </c>
      <c r="H1834" s="552" t="n"/>
      <c r="I1834" s="552" t="n"/>
      <c r="J1834" s="551" t="n"/>
      <c r="K1834" s="140" t="inlineStr">
        <is>
          <t>PCS(20入/盒)</t>
        </is>
      </c>
      <c r="L1834" s="560" t="n">
        <v>14</v>
      </c>
    </row>
    <row r="1835" ht="17.25" customHeight="1" s="453" thickBot="1">
      <c r="A1835" s="553">
        <f>IFERROR(LEFT(B1835,7),"")</f>
        <v/>
      </c>
      <c r="B1835" s="554">
        <f>"2026/04"&amp;D1835</f>
        <v/>
      </c>
      <c r="C1835" s="559" t="n">
        <v>51</v>
      </c>
      <c r="D1835" s="484" t="inlineStr">
        <is>
          <t>站前4樓</t>
        </is>
      </c>
      <c r="E1835" s="484" t="inlineStr">
        <is>
          <t>6210006</t>
        </is>
      </c>
      <c r="F1835" s="551" t="n"/>
      <c r="G1835" s="484" t="inlineStr">
        <is>
          <t>(V)麗珠蘭修復水光(A劑2ml+B劑2ml)</t>
        </is>
      </c>
      <c r="H1835" s="552" t="n"/>
      <c r="I1835" s="552" t="n"/>
      <c r="J1835" s="551" t="n"/>
      <c r="K1835" s="140" t="inlineStr">
        <is>
          <t>2ml*2</t>
        </is>
      </c>
      <c r="L1835" s="560" t="n">
        <v>5</v>
      </c>
    </row>
    <row r="1836" ht="17.25" customHeight="1" s="453" thickBot="1">
      <c r="A1836" s="553">
        <f>IFERROR(LEFT(B1836,7),"")</f>
        <v/>
      </c>
      <c r="B1836" s="554">
        <f>"2026/04"&amp;D1836</f>
        <v/>
      </c>
      <c r="C1836" s="559" t="n">
        <v>52</v>
      </c>
      <c r="D1836" s="484" t="inlineStr">
        <is>
          <t>站前4樓</t>
        </is>
      </c>
      <c r="E1836" s="484" t="inlineStr">
        <is>
          <t>6210007</t>
        </is>
      </c>
      <c r="F1836" s="551" t="n"/>
      <c r="G1836" s="484" t="inlineStr">
        <is>
          <t>(V)麗珠蘭白瓷水光(A劑2ml+B劑2ml)</t>
        </is>
      </c>
      <c r="H1836" s="552" t="n"/>
      <c r="I1836" s="552" t="n"/>
      <c r="J1836" s="551" t="n"/>
      <c r="K1836" s="140" t="inlineStr">
        <is>
          <t>2ml*2</t>
        </is>
      </c>
      <c r="L1836" s="560" t="n">
        <v>5</v>
      </c>
    </row>
    <row r="1837" ht="17.25" customHeight="1" s="453" thickBot="1">
      <c r="A1837" s="553">
        <f>IFERROR(LEFT(B1837,7),"")</f>
        <v/>
      </c>
      <c r="B1837" s="554">
        <f>"2026/04"&amp;D1837</f>
        <v/>
      </c>
      <c r="C1837" s="559" t="n">
        <v>53</v>
      </c>
      <c r="D1837" s="484" t="inlineStr">
        <is>
          <t>站前4樓</t>
        </is>
      </c>
      <c r="E1837" s="484" t="inlineStr">
        <is>
          <t>6210008</t>
        </is>
      </c>
      <c r="F1837" s="551" t="n"/>
      <c r="G1837" s="484" t="inlineStr">
        <is>
          <t>微針筆針頭</t>
        </is>
      </c>
      <c r="H1837" s="552" t="n"/>
      <c r="I1837" s="552" t="n"/>
      <c r="J1837" s="551" t="n"/>
      <c r="K1837" s="140" t="inlineStr">
        <is>
          <t>PCS(33入/盒)</t>
        </is>
      </c>
      <c r="L1837" s="560" t="n">
        <v>6</v>
      </c>
    </row>
    <row r="1838" ht="17.25" customHeight="1" s="453" thickBot="1">
      <c r="A1838" s="553">
        <f>IFERROR(LEFT(B1838,7),"")</f>
        <v/>
      </c>
      <c r="B1838" s="554">
        <f>"2026/04"&amp;D1838</f>
        <v/>
      </c>
      <c r="C1838" s="559" t="n">
        <v>54</v>
      </c>
      <c r="D1838" s="484" t="inlineStr">
        <is>
          <t>站前4樓</t>
        </is>
      </c>
      <c r="E1838" s="484" t="inlineStr">
        <is>
          <t>6220005</t>
        </is>
      </c>
      <c r="F1838" s="551" t="n"/>
      <c r="G1838" s="484" t="inlineStr">
        <is>
          <t>海菲秀深藍端頭/ 顆</t>
        </is>
      </c>
      <c r="H1838" s="552" t="n"/>
      <c r="I1838" s="552" t="n"/>
      <c r="J1838" s="551" t="n"/>
      <c r="K1838" s="140" t="inlineStr">
        <is>
          <t>15顆/串</t>
        </is>
      </c>
      <c r="L1838" s="560" t="n">
        <v>530</v>
      </c>
    </row>
    <row r="1839" ht="17.25" customHeight="1" s="453" thickBot="1">
      <c r="A1839" s="553">
        <f>IFERROR(LEFT(B1839,7),"")</f>
        <v/>
      </c>
      <c r="B1839" s="554">
        <f>"2026/04"&amp;D1839</f>
        <v/>
      </c>
      <c r="C1839" s="559" t="n">
        <v>55</v>
      </c>
      <c r="D1839" s="484" t="inlineStr">
        <is>
          <t>站前4樓</t>
        </is>
      </c>
      <c r="E1839" s="484" t="inlineStr">
        <is>
          <t>6220006</t>
        </is>
      </c>
      <c r="F1839" s="551" t="n"/>
      <c r="G1839" s="484" t="inlineStr">
        <is>
          <t>海菲秀淺藍端頭/ 顆</t>
        </is>
      </c>
      <c r="H1839" s="552" t="n"/>
      <c r="I1839" s="552" t="n"/>
      <c r="J1839" s="551" t="n"/>
      <c r="K1839" s="140" t="inlineStr">
        <is>
          <t>15顆/串</t>
        </is>
      </c>
      <c r="L1839" s="560" t="n">
        <v>530</v>
      </c>
    </row>
    <row r="1840" ht="17.25" customHeight="1" s="453" thickBot="1">
      <c r="A1840" s="553">
        <f>IFERROR(LEFT(B1840,7),"")</f>
        <v/>
      </c>
      <c r="B1840" s="554">
        <f>"2026/04"&amp;D1840</f>
        <v/>
      </c>
      <c r="C1840" s="559" t="n">
        <v>56</v>
      </c>
      <c r="D1840" s="484" t="inlineStr">
        <is>
          <t>站前4樓</t>
        </is>
      </c>
      <c r="E1840" s="484" t="inlineStr">
        <is>
          <t>6220007</t>
        </is>
      </c>
      <c r="F1840" s="551" t="n"/>
      <c r="G1840" s="484" t="inlineStr">
        <is>
          <t>海菲秀透明端頭/ 顆</t>
        </is>
      </c>
      <c r="H1840" s="552" t="n"/>
      <c r="I1840" s="552" t="n"/>
      <c r="J1840" s="551" t="n"/>
      <c r="K1840" s="140" t="inlineStr">
        <is>
          <t>15顆/串</t>
        </is>
      </c>
      <c r="L1840" s="560" t="n">
        <v>530</v>
      </c>
    </row>
    <row r="1841" ht="17.25" customHeight="1" s="453" thickBot="1">
      <c r="A1841" s="553">
        <f>IFERROR(LEFT(B1841,7),"")</f>
        <v/>
      </c>
      <c r="B1841" s="554">
        <f>"2026/04"&amp;D1841</f>
        <v/>
      </c>
      <c r="C1841" s="559" t="n">
        <v>57</v>
      </c>
      <c r="D1841" s="484" t="inlineStr">
        <is>
          <t>站前4樓</t>
        </is>
      </c>
      <c r="E1841" s="484" t="inlineStr">
        <is>
          <t>6220012</t>
        </is>
      </c>
      <c r="F1841" s="551" t="n"/>
      <c r="G1841" s="484" t="inlineStr">
        <is>
          <t>(V)(第一劑)海菲秀 Activ-4 Skin Solution/mL</t>
        </is>
      </c>
      <c r="H1841" s="552" t="n"/>
      <c r="I1841" s="552" t="n"/>
      <c r="J1841" s="551" t="n"/>
      <c r="K1841" s="140" t="inlineStr">
        <is>
          <t>236ml/瓶</t>
        </is>
      </c>
      <c r="L1841" s="560" t="n">
        <v>7950</v>
      </c>
    </row>
    <row r="1842" ht="17.25" customHeight="1" s="453" thickBot="1">
      <c r="A1842" s="553">
        <f>IFERROR(LEFT(B1842,7),"")</f>
        <v/>
      </c>
      <c r="B1842" s="554">
        <f>"2026/04"&amp;D1842</f>
        <v/>
      </c>
      <c r="C1842" s="559" t="n">
        <v>58</v>
      </c>
      <c r="D1842" s="484" t="inlineStr">
        <is>
          <t>站前4樓</t>
        </is>
      </c>
      <c r="E1842" s="484" t="inlineStr">
        <is>
          <t>6220013</t>
        </is>
      </c>
      <c r="F1842" s="551" t="n"/>
      <c r="G1842" s="484" t="inlineStr">
        <is>
          <t>(V)(第二劑)海菲秀 Beta-HD Skin Solution /mL</t>
        </is>
      </c>
      <c r="H1842" s="552" t="n"/>
      <c r="I1842" s="552" t="n"/>
      <c r="J1842" s="551" t="n"/>
      <c r="K1842" s="140" t="inlineStr">
        <is>
          <t>236ml/瓶</t>
        </is>
      </c>
      <c r="L1842" s="560" t="n">
        <v>7950</v>
      </c>
    </row>
    <row r="1843" ht="17.25" customHeight="1" s="453" thickBot="1">
      <c r="A1843" s="553">
        <f>IFERROR(LEFT(B1843,7),"")</f>
        <v/>
      </c>
      <c r="B1843" s="554">
        <f>"2026/04"&amp;D1843</f>
        <v/>
      </c>
      <c r="C1843" s="559" t="n">
        <v>59</v>
      </c>
      <c r="D1843" s="484" t="inlineStr">
        <is>
          <t>站前4樓</t>
        </is>
      </c>
      <c r="E1843" s="484" t="inlineStr">
        <is>
          <t>6220014</t>
        </is>
      </c>
      <c r="F1843" s="551" t="n"/>
      <c r="G1843" s="484" t="inlineStr">
        <is>
          <t>(V)(第三劑)海菲秀 Antiox-6 Skin Solution /mL</t>
        </is>
      </c>
      <c r="H1843" s="552" t="n"/>
      <c r="I1843" s="552" t="n"/>
      <c r="J1843" s="551" t="n"/>
      <c r="K1843" s="140" t="inlineStr">
        <is>
          <t>236ml/瓶</t>
        </is>
      </c>
      <c r="L1843" s="560" t="n">
        <v>7950</v>
      </c>
    </row>
    <row r="1844" ht="17.25" customHeight="1" s="453" thickBot="1">
      <c r="A1844" s="553">
        <f>IFERROR(LEFT(B1844,7),"")</f>
        <v/>
      </c>
      <c r="B1844" s="554">
        <f>"2026/04"&amp;D1844</f>
        <v/>
      </c>
      <c r="C1844" s="559" t="n">
        <v>60</v>
      </c>
      <c r="D1844" s="484" t="inlineStr">
        <is>
          <t>站前4樓</t>
        </is>
      </c>
      <c r="E1844" s="484" t="inlineStr">
        <is>
          <t>6220015</t>
        </is>
      </c>
      <c r="F1844" s="551" t="n"/>
      <c r="G1844" s="484" t="inlineStr">
        <is>
          <t>(V)(第四劑)海菲秀 Rinseaway System Cleaning Solution /mL</t>
        </is>
      </c>
      <c r="H1844" s="552" t="n"/>
      <c r="I1844" s="552" t="n"/>
      <c r="J1844" s="551" t="n"/>
      <c r="K1844" s="140" t="inlineStr">
        <is>
          <t>236ml/瓶</t>
        </is>
      </c>
      <c r="L1844" s="560" t="n">
        <v>7950</v>
      </c>
    </row>
    <row r="1845" ht="17.25" customHeight="1" s="453" thickBot="1">
      <c r="A1845" s="553">
        <f>IFERROR(LEFT(B1845,7),"")</f>
        <v/>
      </c>
      <c r="B1845" s="554">
        <f>"2026/04"&amp;D1845</f>
        <v/>
      </c>
      <c r="C1845" s="559" t="n">
        <v>61</v>
      </c>
      <c r="D1845" s="484" t="inlineStr">
        <is>
          <t>站前11樓</t>
        </is>
      </c>
      <c r="E1845" s="484" t="inlineStr">
        <is>
          <t>6120001</t>
        </is>
      </c>
      <c r="F1845" s="551" t="n"/>
      <c r="G1845" s="484" t="inlineStr">
        <is>
          <t>(V)肝得健注射劑/ 瓶，640倍數叫貨</t>
        </is>
      </c>
      <c r="H1845" s="552" t="n"/>
      <c r="I1845" s="552" t="n"/>
      <c r="J1845" s="551" t="n"/>
      <c r="K1845" s="140" t="inlineStr">
        <is>
          <t>20支/盒</t>
        </is>
      </c>
      <c r="L1845" s="560" t="n">
        <v>1031</v>
      </c>
    </row>
    <row r="1846" ht="17.25" customHeight="1" s="453" thickBot="1">
      <c r="A1846" s="553">
        <f>IFERROR(LEFT(B1846,7),"")</f>
        <v/>
      </c>
      <c r="B1846" s="554">
        <f>"2026/04"&amp;D1846</f>
        <v/>
      </c>
      <c r="C1846" s="559" t="n">
        <v>62</v>
      </c>
      <c r="D1846" s="484" t="inlineStr">
        <is>
          <t>站前11樓</t>
        </is>
      </c>
      <c r="E1846" s="484" t="inlineStr">
        <is>
          <t>6120002</t>
        </is>
      </c>
      <c r="F1846" s="551" t="n"/>
      <c r="G1846" s="484" t="inlineStr">
        <is>
          <t>(V)卡妮丁注射劑/ 瓶，640倍數叫貨</t>
        </is>
      </c>
      <c r="H1846" s="552" t="n"/>
      <c r="I1846" s="552" t="n"/>
      <c r="J1846" s="551" t="n"/>
      <c r="K1846" s="140" t="inlineStr">
        <is>
          <t>5支/盒</t>
        </is>
      </c>
      <c r="L1846" s="560" t="n">
        <v>1213</v>
      </c>
    </row>
    <row r="1847" ht="17.25" customHeight="1" s="453" thickBot="1">
      <c r="A1847" s="553">
        <f>IFERROR(LEFT(B1847,7),"")</f>
        <v/>
      </c>
      <c r="B1847" s="554">
        <f>"2026/04"&amp;D1847</f>
        <v/>
      </c>
      <c r="C1847" s="559" t="n">
        <v>63</v>
      </c>
      <c r="D1847" s="484" t="inlineStr">
        <is>
          <t>站前11樓</t>
        </is>
      </c>
      <c r="E1847" s="484" t="inlineStr">
        <is>
          <t>6120003</t>
        </is>
      </c>
      <c r="F1847" s="551" t="n"/>
      <c r="G1847" s="484" t="inlineStr">
        <is>
          <t>(V)貝力多(雙胜胺) 20% 30mL/ 瓶，60倍數叫貨</t>
        </is>
      </c>
      <c r="H1847" s="552" t="n"/>
      <c r="I1847" s="552" t="n"/>
      <c r="J1847" s="551" t="n"/>
      <c r="K1847" s="140" t="inlineStr">
        <is>
          <t>10支/盒</t>
        </is>
      </c>
      <c r="L1847" s="560" t="n">
        <v>4</v>
      </c>
    </row>
    <row r="1848" ht="17.25" customHeight="1" s="453" thickBot="1">
      <c r="A1848" s="553">
        <f>IFERROR(LEFT(B1848,7),"")</f>
        <v/>
      </c>
      <c r="B1848" s="554">
        <f>"2026/04"&amp;D1848</f>
        <v/>
      </c>
      <c r="C1848" s="559" t="n">
        <v>64</v>
      </c>
      <c r="D1848" s="484" t="inlineStr">
        <is>
          <t>站前11樓</t>
        </is>
      </c>
      <c r="E1848" s="484" t="inlineStr">
        <is>
          <t>6120004</t>
        </is>
      </c>
      <c r="F1848" s="551" t="n"/>
      <c r="G1848" s="484" t="inlineStr">
        <is>
          <t>(V)胺基酸點滴250ml/ 袋(安命活源/嘉安命)，20倍數叫貨</t>
        </is>
      </c>
      <c r="H1848" s="552" t="n"/>
      <c r="I1848" s="552" t="n"/>
      <c r="J1848" s="551" t="n"/>
      <c r="K1848" s="140" t="inlineStr">
        <is>
          <t>(20瓶/箱)</t>
        </is>
      </c>
      <c r="L1848" s="560" t="n">
        <v>28</v>
      </c>
    </row>
    <row r="1849" ht="17.25" customHeight="1" s="453" thickBot="1">
      <c r="A1849" s="553">
        <f>IFERROR(LEFT(B1849,7),"")</f>
        <v/>
      </c>
      <c r="B1849" s="554">
        <f>"2026/04"&amp;D1849</f>
        <v/>
      </c>
      <c r="C1849" s="559" t="n">
        <v>65</v>
      </c>
      <c r="D1849" s="484" t="inlineStr">
        <is>
          <t>站前11樓</t>
        </is>
      </c>
      <c r="E1849" s="484" t="inlineStr">
        <is>
          <t>6120006</t>
        </is>
      </c>
      <c r="F1849" s="551" t="n"/>
      <c r="G1849" s="484" t="inlineStr">
        <is>
          <t>(V)(B12) 愛壽命 2mL，100倍數叫貨</t>
        </is>
      </c>
      <c r="H1849" s="552" t="n"/>
      <c r="I1849" s="552" t="n"/>
      <c r="J1849" s="551" t="n"/>
      <c r="K1849" s="140" t="inlineStr">
        <is>
          <t>(100支/盒)</t>
        </is>
      </c>
      <c r="L1849" s="560" t="n">
        <v>376</v>
      </c>
    </row>
    <row r="1850" ht="17.25" customHeight="1" s="453" thickBot="1">
      <c r="A1850" s="553">
        <f>IFERROR(LEFT(B1850,7),"")</f>
        <v/>
      </c>
      <c r="B1850" s="554">
        <f>"2026/04"&amp;D1850</f>
        <v/>
      </c>
      <c r="C1850" s="559" t="n">
        <v>66</v>
      </c>
      <c r="D1850" s="484" t="inlineStr">
        <is>
          <t>站前11樓</t>
        </is>
      </c>
      <c r="E1850" s="484" t="inlineStr">
        <is>
          <t>6120007</t>
        </is>
      </c>
      <c r="F1850" s="551" t="n"/>
      <c r="G1850" s="484" t="inlineStr">
        <is>
          <t>(V)(硫酸鋅) 1ml/支，100倍數叫貨</t>
        </is>
      </c>
      <c r="H1850" s="552" t="n"/>
      <c r="I1850" s="552" t="n"/>
      <c r="J1850" s="551" t="n"/>
      <c r="K1850" s="140" t="inlineStr">
        <is>
          <t>100支/盒</t>
        </is>
      </c>
      <c r="L1850" s="560" t="n">
        <v>16</v>
      </c>
    </row>
    <row r="1851" ht="17.25" customHeight="1" s="453" thickBot="1">
      <c r="A1851" s="553">
        <f>IFERROR(LEFT(B1851,7),"")</f>
        <v/>
      </c>
      <c r="B1851" s="554">
        <f>"2026/04"&amp;D1851</f>
        <v/>
      </c>
      <c r="C1851" s="559" t="n">
        <v>67</v>
      </c>
      <c r="D1851" s="484" t="inlineStr">
        <is>
          <t>站前11樓</t>
        </is>
      </c>
      <c r="E1851" s="484" t="inlineStr">
        <is>
          <t>6120009</t>
        </is>
      </c>
      <c r="F1851" s="551" t="n"/>
      <c r="G1851" s="484" t="inlineStr">
        <is>
          <t>(V)(B1) 硫胺明 2ml</t>
        </is>
      </c>
      <c r="H1851" s="552" t="n"/>
      <c r="I1851" s="552" t="n"/>
      <c r="J1851" s="551" t="n"/>
      <c r="K1851" s="140" t="inlineStr">
        <is>
          <t>(100支/盒)</t>
        </is>
      </c>
      <c r="L1851" s="560" t="n">
        <v>15</v>
      </c>
    </row>
    <row r="1852" ht="17.25" customHeight="1" s="453" thickBot="1">
      <c r="A1852" s="553">
        <f>IFERROR(LEFT(B1852,7),"")</f>
        <v/>
      </c>
      <c r="B1852" s="554">
        <f>"2026/04"&amp;D1852</f>
        <v/>
      </c>
      <c r="C1852" s="559" t="n">
        <v>68</v>
      </c>
      <c r="D1852" s="484" t="inlineStr">
        <is>
          <t>站前11樓</t>
        </is>
      </c>
      <c r="E1852" s="484" t="inlineStr">
        <is>
          <t>6120010</t>
        </is>
      </c>
      <c r="F1852" s="551" t="n"/>
      <c r="G1852" s="484" t="inlineStr">
        <is>
          <t>(V)(B6) 活性維生素 2ml，100倍數叫貨</t>
        </is>
      </c>
      <c r="H1852" s="552" t="n"/>
      <c r="I1852" s="552" t="n"/>
      <c r="J1852" s="551" t="n"/>
      <c r="K1852" s="140" t="inlineStr">
        <is>
          <t>(100支/盒)</t>
        </is>
      </c>
      <c r="L1852" s="560" t="n">
        <v>15</v>
      </c>
    </row>
    <row r="1853" ht="17.25" customHeight="1" s="453" thickBot="1">
      <c r="A1853" s="553">
        <f>IFERROR(LEFT(B1853,7),"")</f>
        <v/>
      </c>
      <c r="B1853" s="554">
        <f>"2026/04"&amp;D1853</f>
        <v/>
      </c>
      <c r="C1853" s="559" t="n">
        <v>69</v>
      </c>
      <c r="D1853" s="484" t="inlineStr">
        <is>
          <t>站前11樓</t>
        </is>
      </c>
      <c r="E1853" s="484" t="inlineStr">
        <is>
          <t>6120011</t>
        </is>
      </c>
      <c r="F1853" s="551" t="n"/>
      <c r="G1853" s="484" t="inlineStr">
        <is>
          <t>(V)(硒) 西寧特 2ml/支</t>
        </is>
      </c>
      <c r="H1853" s="552" t="n"/>
      <c r="I1853" s="552" t="n"/>
      <c r="J1853" s="551" t="n"/>
      <c r="K1853" s="140" t="inlineStr">
        <is>
          <t>10支/盒</t>
        </is>
      </c>
      <c r="L1853" s="560" t="n">
        <v>4</v>
      </c>
    </row>
    <row r="1854" ht="17.25" customHeight="1" s="453" thickBot="1">
      <c r="A1854" s="553">
        <f>IFERROR(LEFT(B1854,7),"")</f>
        <v/>
      </c>
      <c r="B1854" s="554">
        <f>"2026/04"&amp;D1854</f>
        <v/>
      </c>
      <c r="C1854" s="559" t="n">
        <v>70</v>
      </c>
      <c r="D1854" s="484" t="inlineStr">
        <is>
          <t>站前11樓</t>
        </is>
      </c>
      <c r="E1854" s="484" t="inlineStr">
        <is>
          <t>6120013</t>
        </is>
      </c>
      <c r="F1854" s="551" t="n"/>
      <c r="G1854" s="484" t="inlineStr">
        <is>
          <t>(V)生理食鹽水(NS) 250ml/ 袋</t>
        </is>
      </c>
      <c r="H1854" s="552" t="n"/>
      <c r="I1854" s="552" t="n"/>
      <c r="J1854" s="551" t="n"/>
      <c r="K1854" s="140" t="inlineStr">
        <is>
          <t>40瓶/箱</t>
        </is>
      </c>
      <c r="L1854" s="560" t="n">
        <v>375</v>
      </c>
    </row>
    <row r="1855" ht="17.25" customHeight="1" s="453" thickBot="1">
      <c r="A1855" s="553">
        <f>IFERROR(LEFT(B1855,7),"")</f>
        <v/>
      </c>
      <c r="B1855" s="554">
        <f>"2026/04"&amp;D1855</f>
        <v/>
      </c>
      <c r="C1855" s="559" t="n">
        <v>71</v>
      </c>
      <c r="D1855" s="484" t="inlineStr">
        <is>
          <t>站前11樓</t>
        </is>
      </c>
      <c r="E1855" s="484" t="inlineStr">
        <is>
          <t>6120014</t>
        </is>
      </c>
      <c r="F1855" s="551" t="n"/>
      <c r="G1855" s="484" t="inlineStr">
        <is>
          <t>(V)葡萄糖水(D5W) 250ml/袋</t>
        </is>
      </c>
      <c r="H1855" s="552" t="n"/>
      <c r="I1855" s="552" t="n"/>
      <c r="J1855" s="551" t="n"/>
      <c r="K1855" s="140" t="inlineStr">
        <is>
          <t>60袋/箱</t>
        </is>
      </c>
      <c r="L1855" s="560" t="n">
        <v>940</v>
      </c>
    </row>
    <row r="1856" ht="17.25" customHeight="1" s="453" thickBot="1">
      <c r="A1856" s="553">
        <f>IFERROR(LEFT(B1856,7),"")</f>
        <v/>
      </c>
      <c r="B1856" s="554">
        <f>"2026/04"&amp;D1856</f>
        <v/>
      </c>
      <c r="C1856" s="559" t="n">
        <v>72</v>
      </c>
      <c r="D1856" s="484" t="inlineStr">
        <is>
          <t>站前11樓</t>
        </is>
      </c>
      <c r="E1856" s="484" t="inlineStr">
        <is>
          <t>6120015</t>
        </is>
      </c>
      <c r="F1856" s="551" t="n"/>
      <c r="G1856" s="484" t="inlineStr">
        <is>
          <t>(V)(B群)淘能美複合維他命B 2ml，100倍數叫貨</t>
        </is>
      </c>
      <c r="H1856" s="552" t="n"/>
      <c r="I1856" s="552" t="n"/>
      <c r="J1856" s="551" t="n"/>
      <c r="K1856" s="140" t="n"/>
      <c r="L1856" s="560" t="n">
        <v>27</v>
      </c>
    </row>
    <row r="1857" ht="17.25" customHeight="1" s="453" thickBot="1">
      <c r="A1857" s="553">
        <f>IFERROR(LEFT(B1857,7),"")</f>
        <v/>
      </c>
      <c r="B1857" s="554">
        <f>"2026/04"&amp;D1857</f>
        <v/>
      </c>
      <c r="C1857" s="559" t="n">
        <v>73</v>
      </c>
      <c r="D1857" s="484" t="inlineStr">
        <is>
          <t>站前11樓</t>
        </is>
      </c>
      <c r="E1857" s="484" t="inlineStr">
        <is>
          <t>6120016</t>
        </is>
      </c>
      <c r="F1857" s="551" t="n"/>
      <c r="G1857" s="484" t="inlineStr">
        <is>
          <t>(V)(榖胱肝肽) 克樂達養200mg (20ml/瓶)</t>
        </is>
      </c>
      <c r="H1857" s="552" t="n"/>
      <c r="I1857" s="552" t="n"/>
      <c r="J1857" s="551" t="n"/>
      <c r="K1857" s="140" t="inlineStr">
        <is>
          <t>50支/盒</t>
        </is>
      </c>
      <c r="L1857" s="560" t="n">
        <v>27</v>
      </c>
    </row>
    <row r="1858" ht="17.25" customHeight="1" s="453" thickBot="1">
      <c r="A1858" s="553">
        <f>IFERROR(LEFT(B1858,7),"")</f>
        <v/>
      </c>
      <c r="B1858" s="554">
        <f>"2026/04"&amp;D1858</f>
        <v/>
      </c>
      <c r="C1858" s="559" t="n">
        <v>74</v>
      </c>
      <c r="D1858" s="484" t="inlineStr">
        <is>
          <t>站前11樓</t>
        </is>
      </c>
      <c r="E1858" s="484" t="inlineStr">
        <is>
          <t>6120017</t>
        </is>
      </c>
      <c r="F1858" s="551" t="n"/>
      <c r="G1858" s="484" t="inlineStr">
        <is>
          <t>(V)保肝 5ml/支</t>
        </is>
      </c>
      <c r="H1858" s="552" t="n"/>
      <c r="I1858" s="552" t="n"/>
      <c r="J1858" s="551" t="n"/>
      <c r="K1858" s="140" t="inlineStr">
        <is>
          <t>50支/盒</t>
        </is>
      </c>
      <c r="L1858" s="560" t="n">
        <v>3</v>
      </c>
    </row>
    <row r="1859" ht="17.25" customHeight="1" s="453" thickBot="1">
      <c r="A1859" s="553">
        <f>IFERROR(LEFT(B1859,7),"")</f>
        <v/>
      </c>
      <c r="B1859" s="554">
        <f>"2026/04"&amp;D1859</f>
        <v/>
      </c>
      <c r="C1859" s="559" t="n">
        <v>75</v>
      </c>
      <c r="D1859" s="484" t="inlineStr">
        <is>
          <t>站前11樓</t>
        </is>
      </c>
      <c r="E1859" s="484" t="inlineStr">
        <is>
          <t>6120021</t>
        </is>
      </c>
      <c r="F1859" s="551" t="n"/>
      <c r="G1859" s="484" t="inlineStr">
        <is>
          <t>(V)(Vit C)(抗壞血酸/諾貝爾)20ml，50倍數下單</t>
        </is>
      </c>
      <c r="H1859" s="552" t="n"/>
      <c r="I1859" s="552" t="n"/>
      <c r="J1859" s="551" t="n"/>
      <c r="K1859" s="140" t="inlineStr">
        <is>
          <t>50支/盒</t>
        </is>
      </c>
      <c r="L1859" s="560" t="n">
        <v>27</v>
      </c>
    </row>
    <row r="1860" ht="17.25" customHeight="1" s="453" thickBot="1">
      <c r="A1860" s="553">
        <f>IFERROR(LEFT(B1860,7),"")</f>
        <v/>
      </c>
      <c r="B1860" s="554">
        <f>"2026/04"&amp;D1860</f>
        <v/>
      </c>
      <c r="C1860" s="559" t="n">
        <v>76</v>
      </c>
      <c r="D1860" s="484" t="inlineStr">
        <is>
          <t>站前11樓</t>
        </is>
      </c>
      <c r="E1860" s="484" t="inlineStr">
        <is>
          <t>6120022</t>
        </is>
      </c>
      <c r="F1860" s="551" t="n"/>
      <c r="G1860" s="484" t="inlineStr">
        <is>
          <t>(V)(銀杏) 循必利Gingo注射液0.84毫克/毫升 5ml</t>
        </is>
      </c>
      <c r="H1860" s="552" t="n"/>
      <c r="I1860" s="552" t="n"/>
      <c r="J1860" s="551" t="n"/>
      <c r="K1860" s="140" t="inlineStr">
        <is>
          <t>50支/盒</t>
        </is>
      </c>
      <c r="L1860" s="560" t="n">
        <v>1</v>
      </c>
    </row>
    <row r="1861" ht="17.25" customHeight="1" s="453" thickBot="1">
      <c r="A1861" s="553">
        <f>IFERROR(LEFT(B1861,7),"")</f>
        <v/>
      </c>
      <c r="B1861" s="554">
        <f>"2026/04"&amp;D1861</f>
        <v/>
      </c>
      <c r="C1861" s="559" t="n">
        <v>77</v>
      </c>
      <c r="D1861" s="484" t="inlineStr">
        <is>
          <t>站前11樓</t>
        </is>
      </c>
      <c r="E1861" s="484" t="inlineStr">
        <is>
          <t>6120036</t>
        </is>
      </c>
      <c r="F1861" s="551" t="n"/>
      <c r="G1861" s="484" t="inlineStr">
        <is>
          <t>(V)貝力多(雙胜胺) 20% 50mL/ 瓶，60倍數下單</t>
        </is>
      </c>
      <c r="H1861" s="552" t="n"/>
      <c r="I1861" s="552" t="n"/>
      <c r="J1861" s="551" t="n"/>
      <c r="K1861" s="140" t="inlineStr">
        <is>
          <t>瓶(10瓶/盒)</t>
        </is>
      </c>
      <c r="L1861" s="560" t="n">
        <v>10</v>
      </c>
    </row>
    <row r="1862" ht="17.25" customHeight="1" s="453" thickBot="1">
      <c r="A1862" s="553">
        <f>IFERROR(LEFT(B1862,7),"")</f>
        <v/>
      </c>
      <c r="B1862" s="554">
        <f>"2026/04"&amp;D1862</f>
        <v/>
      </c>
      <c r="C1862" s="559" t="n">
        <v>78</v>
      </c>
      <c r="D1862" s="484" t="inlineStr">
        <is>
          <t>站前11樓</t>
        </is>
      </c>
      <c r="E1862" s="484" t="inlineStr">
        <is>
          <t>6120038</t>
        </is>
      </c>
      <c r="F1862" s="551" t="n"/>
      <c r="G1862" s="484" t="inlineStr">
        <is>
          <t>(V)(Vit C+B) 維他補舒 20ml，50倍數下單</t>
        </is>
      </c>
      <c r="H1862" s="552" t="n"/>
      <c r="I1862" s="552" t="n"/>
      <c r="J1862" s="551" t="n"/>
      <c r="K1862" s="140" t="inlineStr">
        <is>
          <t>50支/盒</t>
        </is>
      </c>
      <c r="L1862" s="560" t="n">
        <v>1</v>
      </c>
    </row>
    <row r="1863" ht="17.25" customHeight="1" s="453" thickBot="1">
      <c r="A1863" s="553">
        <f>IFERROR(LEFT(B1863,7),"")</f>
        <v/>
      </c>
      <c r="B1863" s="554">
        <f>"2026/04"&amp;D1863</f>
        <v/>
      </c>
      <c r="C1863" s="559" t="n">
        <v>79</v>
      </c>
      <c r="D1863" s="484" t="inlineStr">
        <is>
          <t>站前11樓</t>
        </is>
      </c>
      <c r="E1863" s="484" t="inlineStr">
        <is>
          <t>6190005</t>
        </is>
      </c>
      <c r="F1863" s="551" t="n"/>
      <c r="G1863" s="484" t="inlineStr">
        <is>
          <t>(V)氦氖針/ 支</t>
        </is>
      </c>
      <c r="H1863" s="552" t="n"/>
      <c r="I1863" s="552" t="n"/>
      <c r="J1863" s="551" t="n"/>
      <c r="K1863" s="140" t="inlineStr">
        <is>
          <t>(50支/包)</t>
        </is>
      </c>
      <c r="L1863" s="560" t="n">
        <v>55</v>
      </c>
    </row>
    <row r="1864" ht="17.25" customHeight="1" s="453" thickBot="1">
      <c r="A1864" s="553">
        <f>IFERROR(LEFT(B1864,7),"")</f>
        <v/>
      </c>
      <c r="B1864" s="554">
        <f>"2026/04"&amp;D1864</f>
        <v/>
      </c>
      <c r="C1864" s="559" t="n">
        <v>80</v>
      </c>
      <c r="D1864" s="484" t="inlineStr">
        <is>
          <t>站前11樓</t>
        </is>
      </c>
      <c r="E1864" s="484" t="inlineStr">
        <is>
          <t>6200004</t>
        </is>
      </c>
      <c r="F1864" s="551" t="n"/>
      <c r="G1864" s="484" t="inlineStr">
        <is>
          <t>阿爾發SAT卡匣/ 發</t>
        </is>
      </c>
      <c r="H1864" s="552" t="n"/>
      <c r="I1864" s="552" t="n"/>
      <c r="J1864" s="551" t="n"/>
      <c r="K1864" s="140" t="inlineStr">
        <is>
          <t>50發/卡</t>
        </is>
      </c>
      <c r="L1864" s="560" t="n">
        <v>2976</v>
      </c>
      <c r="O1864" s="561" t="n"/>
    </row>
    <row r="1865" ht="17.25" customHeight="1" s="453" thickBot="1">
      <c r="A1865" s="553">
        <f>IFERROR(LEFT(B1865,7),"")</f>
        <v/>
      </c>
      <c r="B1865" s="554">
        <f>"2026/04"&amp;D1865</f>
        <v/>
      </c>
      <c r="C1865" s="559" t="n">
        <v>81</v>
      </c>
      <c r="D1865" s="484" t="inlineStr">
        <is>
          <t>站前11樓</t>
        </is>
      </c>
      <c r="E1865" s="484" t="inlineStr">
        <is>
          <t>6200008</t>
        </is>
      </c>
      <c r="F1865" s="551" t="n"/>
      <c r="G1865" s="484" t="inlineStr">
        <is>
          <t>(V)瘦瘦筆-週纖達*1支(0.25mg)</t>
        </is>
      </c>
      <c r="H1865" s="552" t="n"/>
      <c r="I1865" s="552" t="n"/>
      <c r="J1865" s="551" t="n"/>
      <c r="K1865" s="140" t="inlineStr">
        <is>
          <t>支</t>
        </is>
      </c>
      <c r="L1865" s="560" t="n">
        <v>1</v>
      </c>
      <c r="O1865" s="561" t="n"/>
    </row>
    <row r="1866" ht="17.25" customHeight="1" s="453" thickBot="1">
      <c r="A1866" s="553">
        <f>IFERROR(LEFT(B1866,7),"")</f>
        <v/>
      </c>
      <c r="B1866" s="554">
        <f>"2026/04"&amp;D1866</f>
        <v/>
      </c>
      <c r="C1866" s="559" t="n">
        <v>82</v>
      </c>
      <c r="D1866" s="484" t="inlineStr">
        <is>
          <t>站前11樓</t>
        </is>
      </c>
      <c r="E1866" s="484" t="inlineStr">
        <is>
          <t>6200010</t>
        </is>
      </c>
      <c r="F1866" s="551" t="n"/>
      <c r="G1866" s="484" t="inlineStr">
        <is>
          <t>(V)瘦瘦筆-週纖達*1支(1.0mg)</t>
        </is>
      </c>
      <c r="H1866" s="552" t="n"/>
      <c r="I1866" s="552" t="n"/>
      <c r="J1866" s="551" t="n"/>
      <c r="K1866" s="140" t="inlineStr">
        <is>
          <t>支</t>
        </is>
      </c>
      <c r="L1866" s="560" t="n">
        <v>11</v>
      </c>
      <c r="O1866" s="561" t="n"/>
    </row>
    <row r="1867" ht="17.25" customHeight="1" s="453" thickBot="1">
      <c r="A1867" s="553">
        <f>IFERROR(LEFT(B1867,7),"")</f>
        <v/>
      </c>
      <c r="B1867" s="554">
        <f>"2026/04"&amp;D1867</f>
        <v/>
      </c>
      <c r="C1867" s="559" t="n">
        <v>83</v>
      </c>
      <c r="D1867" s="484" t="inlineStr">
        <is>
          <t>站前11樓</t>
        </is>
      </c>
      <c r="E1867" s="484" t="inlineStr">
        <is>
          <t>6200013</t>
        </is>
      </c>
      <c r="F1867" s="551" t="n"/>
      <c r="G1867" s="484" t="inlineStr">
        <is>
          <t>(V)猛健樂2.5mg*1支</t>
        </is>
      </c>
      <c r="H1867" s="552" t="n"/>
      <c r="I1867" s="552" t="n"/>
      <c r="J1867" s="551" t="n"/>
      <c r="K1867" s="140" t="inlineStr">
        <is>
          <t>3cc/支</t>
        </is>
      </c>
      <c r="L1867" s="560" t="n">
        <v>13</v>
      </c>
      <c r="O1867" s="561" t="n"/>
    </row>
    <row r="1868" ht="17.25" customHeight="1" s="453" thickBot="1">
      <c r="A1868" s="553">
        <f>IFERROR(LEFT(B1868,7),"")</f>
        <v/>
      </c>
      <c r="B1868" s="554">
        <f>"2026/04"&amp;D1868</f>
        <v/>
      </c>
      <c r="C1868" s="559" t="n">
        <v>84</v>
      </c>
      <c r="D1868" s="484" t="inlineStr">
        <is>
          <t>站前11樓</t>
        </is>
      </c>
      <c r="E1868" s="484" t="inlineStr">
        <is>
          <t>6200014</t>
        </is>
      </c>
      <c r="F1868" s="551" t="n"/>
      <c r="G1868" s="484" t="inlineStr">
        <is>
          <t>(V)猛健樂5mg*1支</t>
        </is>
      </c>
      <c r="H1868" s="552" t="n"/>
      <c r="I1868" s="552" t="n"/>
      <c r="J1868" s="551" t="n"/>
      <c r="K1868" s="140" t="inlineStr">
        <is>
          <t>3cc/支</t>
        </is>
      </c>
      <c r="L1868" s="560" t="n">
        <v>6</v>
      </c>
      <c r="O1868" s="561" t="n"/>
    </row>
    <row r="1869" ht="17.25" customHeight="1" s="453" thickBot="1">
      <c r="A1869" s="553">
        <f>IFERROR(LEFT(B1869,7),"")</f>
        <v/>
      </c>
      <c r="B1869" s="554">
        <f>"2026/04"&amp;D1869</f>
        <v/>
      </c>
      <c r="C1869" s="559" t="n">
        <v>85</v>
      </c>
      <c r="D1869" s="484" t="inlineStr">
        <is>
          <t>站前11樓</t>
        </is>
      </c>
      <c r="E1869" s="484" t="inlineStr">
        <is>
          <t>6200016</t>
        </is>
      </c>
      <c r="F1869" s="551" t="n"/>
      <c r="G1869" s="484" t="inlineStr">
        <is>
          <t>(V)猛健樂10mg*1支</t>
        </is>
      </c>
      <c r="H1869" s="552" t="n"/>
      <c r="I1869" s="552" t="n"/>
      <c r="J1869" s="551" t="n"/>
      <c r="K1869" s="140" t="inlineStr">
        <is>
          <t>3cc/支</t>
        </is>
      </c>
      <c r="L1869" s="560" t="n">
        <v>11</v>
      </c>
      <c r="O1869" s="561" t="n"/>
    </row>
    <row r="1870" ht="17.25" customHeight="1" s="453" thickBot="1">
      <c r="A1870" s="553">
        <f>IFERROR(LEFT(B1870,7),"")</f>
        <v/>
      </c>
      <c r="B1870" s="554">
        <f>"2026/04"&amp;D1870</f>
        <v/>
      </c>
      <c r="C1870" s="559" t="n">
        <v>86</v>
      </c>
      <c r="D1870" s="484" t="inlineStr">
        <is>
          <t>站前11樓</t>
        </is>
      </c>
      <c r="E1870" s="484" t="inlineStr">
        <is>
          <t>6200017</t>
        </is>
      </c>
      <c r="F1870" s="551" t="n"/>
      <c r="G1870" s="484" t="inlineStr">
        <is>
          <t>(V)猛健樂10mg/ 0.15CC</t>
        </is>
      </c>
      <c r="H1870" s="552" t="n"/>
      <c r="I1870" s="552" t="n"/>
      <c r="J1870" s="551" t="n"/>
      <c r="K1870" s="140" t="inlineStr">
        <is>
          <t>0.15cc/次</t>
        </is>
      </c>
      <c r="L1870" s="560" t="n">
        <v>1444</v>
      </c>
      <c r="O1870" s="561" t="n"/>
    </row>
    <row r="1871" ht="17.25" customHeight="1" s="453" thickBot="1">
      <c r="A1871" s="553">
        <f>IFERROR(LEFT(B1871,7),"")</f>
        <v/>
      </c>
      <c r="B1871" s="554">
        <f>"2026/04"&amp;D1871</f>
        <v/>
      </c>
      <c r="C1871" s="559" t="n">
        <v>87</v>
      </c>
      <c r="D1871" s="484" t="inlineStr">
        <is>
          <t>忠孝7樓</t>
        </is>
      </c>
      <c r="E1871" s="484" t="inlineStr">
        <is>
          <t>6050008</t>
        </is>
      </c>
      <c r="F1871" s="551" t="n"/>
      <c r="G1871" s="484" t="inlineStr">
        <is>
          <t>(V)花神臻秘玫瑰舒膚安瓶 6ml(含紙套)</t>
        </is>
      </c>
      <c r="H1871" s="552" t="n"/>
      <c r="I1871" s="552" t="n"/>
      <c r="J1871" s="551" t="n"/>
      <c r="K1871" s="140" t="inlineStr">
        <is>
          <t>6ml</t>
        </is>
      </c>
      <c r="L1871" s="560" t="n">
        <v>324</v>
      </c>
      <c r="O1871" s="561" t="n"/>
    </row>
    <row r="1872" ht="17.25" customHeight="1" s="453" thickBot="1">
      <c r="A1872" s="553">
        <f>IFERROR(LEFT(B1872,7),"")</f>
        <v/>
      </c>
      <c r="B1872" s="554">
        <f>"2026/04"&amp;D1872</f>
        <v/>
      </c>
      <c r="C1872" s="559" t="n">
        <v>88</v>
      </c>
      <c r="D1872" s="484" t="inlineStr">
        <is>
          <t>忠孝7樓</t>
        </is>
      </c>
      <c r="E1872" s="484" t="inlineStr">
        <is>
          <t>6080011</t>
        </is>
      </c>
      <c r="F1872" s="551" t="n"/>
      <c r="G1872" s="484" t="inlineStr">
        <is>
          <t>(V)水梨面膜 30ml</t>
        </is>
      </c>
      <c r="H1872" s="552" t="n"/>
      <c r="I1872" s="552" t="n"/>
      <c r="J1872" s="551" t="n"/>
      <c r="K1872" s="140" t="inlineStr">
        <is>
          <t>30ml</t>
        </is>
      </c>
      <c r="L1872" s="560" t="n">
        <v>2000</v>
      </c>
      <c r="O1872" s="561" t="n"/>
    </row>
    <row r="1873" ht="17.25" customHeight="1" s="453" thickBot="1">
      <c r="A1873" s="553">
        <f>IFERROR(LEFT(B1873,7),"")</f>
        <v/>
      </c>
      <c r="B1873" s="554">
        <f>"2026/04"&amp;D1873</f>
        <v/>
      </c>
      <c r="C1873" s="559" t="n">
        <v>89</v>
      </c>
      <c r="D1873" s="484" t="inlineStr">
        <is>
          <t>忠孝7樓</t>
        </is>
      </c>
      <c r="E1873" s="484" t="inlineStr">
        <is>
          <t>6080012</t>
        </is>
      </c>
      <c r="F1873" s="551" t="n"/>
      <c r="G1873" s="484" t="inlineStr">
        <is>
          <t>(V)小玉西瓜面膜 30mL</t>
        </is>
      </c>
      <c r="H1873" s="552" t="n"/>
      <c r="I1873" s="552" t="n"/>
      <c r="J1873" s="551" t="n"/>
      <c r="K1873" s="140" t="inlineStr">
        <is>
          <t>30ml</t>
        </is>
      </c>
      <c r="L1873" s="560" t="n">
        <v>1125</v>
      </c>
      <c r="O1873" s="561" t="n"/>
    </row>
    <row r="1874" ht="17.25" customHeight="1" s="453" thickBot="1">
      <c r="A1874" s="553">
        <f>IFERROR(LEFT(B1874,7),"")</f>
        <v/>
      </c>
      <c r="B1874" s="554">
        <f>"2026/04"&amp;D1874</f>
        <v/>
      </c>
      <c r="C1874" s="559" t="n">
        <v>90</v>
      </c>
      <c r="D1874" s="484" t="inlineStr">
        <is>
          <t>忠孝7樓</t>
        </is>
      </c>
      <c r="E1874" s="484" t="inlineStr">
        <is>
          <t>6110181</t>
        </is>
      </c>
      <c r="F1874" s="551" t="n"/>
      <c r="G1874" s="484" t="inlineStr">
        <is>
          <t>需自選沙貨進行手動扣庫</t>
        </is>
      </c>
      <c r="H1874" s="552" t="n"/>
      <c r="I1874" s="552" t="n"/>
      <c r="J1874" s="551" t="n"/>
      <c r="K1874" s="140" t="inlineStr">
        <is>
          <t>支</t>
        </is>
      </c>
      <c r="L1874" s="560" t="n">
        <v>24497</v>
      </c>
      <c r="O1874" s="561" t="n"/>
    </row>
    <row r="1875" ht="17.25" customHeight="1" s="453" thickBot="1">
      <c r="A1875" s="553">
        <f>IFERROR(LEFT(B1875,7),"")</f>
        <v/>
      </c>
      <c r="B1875" s="554">
        <f>"2026/04"&amp;D1875</f>
        <v/>
      </c>
      <c r="C1875" s="559" t="n">
        <v>91</v>
      </c>
      <c r="D1875" s="484" t="inlineStr">
        <is>
          <t>忠孝7樓</t>
        </is>
      </c>
      <c r="E1875" s="484" t="inlineStr">
        <is>
          <t>6120003</t>
        </is>
      </c>
      <c r="F1875" s="551" t="n"/>
      <c r="G1875" s="484" t="inlineStr">
        <is>
          <t>(V)貝力多(雙胜胺) 20% 30mL/ 瓶，60倍數叫貨</t>
        </is>
      </c>
      <c r="H1875" s="552" t="n"/>
      <c r="I1875" s="552" t="n"/>
      <c r="J1875" s="551" t="n"/>
      <c r="K1875" s="140" t="inlineStr">
        <is>
          <t>10支/盒</t>
        </is>
      </c>
      <c r="L1875" s="560" t="n">
        <v>4</v>
      </c>
      <c r="O1875" s="561" t="n"/>
    </row>
    <row r="1876" ht="17.25" customHeight="1" s="453" thickBot="1">
      <c r="A1876" s="553">
        <f>IFERROR(LEFT(B1876,7),"")</f>
        <v/>
      </c>
      <c r="B1876" s="554">
        <f>"2026/04"&amp;D1876</f>
        <v/>
      </c>
      <c r="C1876" s="559" t="n">
        <v>92</v>
      </c>
      <c r="D1876" s="484" t="inlineStr">
        <is>
          <t>忠孝7樓</t>
        </is>
      </c>
      <c r="E1876" s="484" t="inlineStr">
        <is>
          <t>6120004</t>
        </is>
      </c>
      <c r="F1876" s="551" t="n"/>
      <c r="G1876" s="484" t="inlineStr">
        <is>
          <t>(V)胺基酸點滴250ml/ 袋(安命活源/嘉安命)，20倍數叫貨</t>
        </is>
      </c>
      <c r="H1876" s="552" t="n"/>
      <c r="I1876" s="552" t="n"/>
      <c r="J1876" s="551" t="n"/>
      <c r="K1876" s="140" t="inlineStr">
        <is>
          <t>(20瓶/箱)</t>
        </is>
      </c>
      <c r="L1876" s="560" t="n">
        <v>33</v>
      </c>
      <c r="O1876" s="561" t="n"/>
    </row>
    <row r="1877" ht="17.25" customHeight="1" s="453" thickBot="1">
      <c r="A1877" s="553">
        <f>IFERROR(LEFT(B1877,7),"")</f>
        <v/>
      </c>
      <c r="B1877" s="554">
        <f>"2026/04"&amp;D1877</f>
        <v/>
      </c>
      <c r="C1877" s="559" t="n">
        <v>93</v>
      </c>
      <c r="D1877" s="484" t="inlineStr">
        <is>
          <t>忠孝7樓</t>
        </is>
      </c>
      <c r="E1877" s="484" t="inlineStr">
        <is>
          <t>6120006</t>
        </is>
      </c>
      <c r="F1877" s="551" t="n"/>
      <c r="G1877" s="484" t="inlineStr">
        <is>
          <t>(V)(B12) 愛壽命 2mL，100倍數叫貨</t>
        </is>
      </c>
      <c r="H1877" s="552" t="n"/>
      <c r="I1877" s="552" t="n"/>
      <c r="J1877" s="551" t="n"/>
      <c r="K1877" s="140" t="inlineStr">
        <is>
          <t>(100支/盒)</t>
        </is>
      </c>
      <c r="L1877" s="560" t="n">
        <v>37</v>
      </c>
      <c r="O1877" s="561" t="n"/>
    </row>
    <row r="1878" ht="17.25" customHeight="1" s="453" thickBot="1">
      <c r="A1878" s="553">
        <f>IFERROR(LEFT(B1878,7),"")</f>
        <v/>
      </c>
      <c r="B1878" s="554">
        <f>"2026/04"&amp;D1878</f>
        <v/>
      </c>
      <c r="C1878" s="559" t="n">
        <v>94</v>
      </c>
      <c r="D1878" s="484" t="inlineStr">
        <is>
          <t>忠孝7樓</t>
        </is>
      </c>
      <c r="E1878" s="484" t="inlineStr">
        <is>
          <t>6120007</t>
        </is>
      </c>
      <c r="F1878" s="551" t="n"/>
      <c r="G1878" s="484" t="inlineStr">
        <is>
          <t>(V)(硫酸鋅) 1ml/支，100倍數叫貨</t>
        </is>
      </c>
      <c r="H1878" s="552" t="n"/>
      <c r="I1878" s="552" t="n"/>
      <c r="J1878" s="551" t="n"/>
      <c r="K1878" s="140" t="inlineStr">
        <is>
          <t>100支/盒</t>
        </is>
      </c>
      <c r="L1878" s="560" t="n">
        <v>2</v>
      </c>
      <c r="O1878" s="561" t="n"/>
    </row>
    <row r="1879" ht="17.25" customHeight="1" s="453" thickBot="1">
      <c r="A1879" s="553">
        <f>IFERROR(LEFT(B1879,7),"")</f>
        <v/>
      </c>
      <c r="B1879" s="554">
        <f>"2026/04"&amp;D1879</f>
        <v/>
      </c>
      <c r="C1879" s="559" t="n">
        <v>95</v>
      </c>
      <c r="D1879" s="484" t="inlineStr">
        <is>
          <t>忠孝7樓</t>
        </is>
      </c>
      <c r="E1879" s="484" t="inlineStr">
        <is>
          <t>6120013</t>
        </is>
      </c>
      <c r="F1879" s="551" t="n"/>
      <c r="G1879" s="484" t="inlineStr">
        <is>
          <t>(V)生理食鹽水(NS) 250ml/ 袋</t>
        </is>
      </c>
      <c r="H1879" s="552" t="n"/>
      <c r="I1879" s="552" t="n"/>
      <c r="J1879" s="551" t="n"/>
      <c r="K1879" s="140" t="inlineStr">
        <is>
          <t>40瓶/箱</t>
        </is>
      </c>
      <c r="L1879" s="560" t="n">
        <v>99</v>
      </c>
      <c r="O1879" s="561" t="n"/>
    </row>
    <row r="1880" ht="17.25" customHeight="1" s="453" thickBot="1">
      <c r="A1880" s="553">
        <f>IFERROR(LEFT(B1880,7),"")</f>
        <v/>
      </c>
      <c r="B1880" s="554">
        <f>"2026/04"&amp;D1880</f>
        <v/>
      </c>
      <c r="C1880" s="559" t="n">
        <v>96</v>
      </c>
      <c r="D1880" s="484" t="inlineStr">
        <is>
          <t>忠孝7樓</t>
        </is>
      </c>
      <c r="E1880" s="484" t="inlineStr">
        <is>
          <t>6120015</t>
        </is>
      </c>
      <c r="F1880" s="551" t="n"/>
      <c r="G1880" s="484" t="inlineStr">
        <is>
          <t>(V)(B群)淘能美複合維他命B 2ml，100倍數叫貨</t>
        </is>
      </c>
      <c r="H1880" s="552" t="n"/>
      <c r="I1880" s="552" t="n"/>
      <c r="J1880" s="551" t="n"/>
      <c r="K1880" s="140" t="n"/>
      <c r="L1880" s="560" t="n">
        <v>128</v>
      </c>
      <c r="O1880" s="561" t="n"/>
    </row>
    <row r="1881" ht="17.25" customHeight="1" s="453" thickBot="1">
      <c r="A1881" s="553">
        <f>IFERROR(LEFT(B1881,7),"")</f>
        <v/>
      </c>
      <c r="B1881" s="554">
        <f>"2026/04"&amp;D1881</f>
        <v/>
      </c>
      <c r="C1881" s="559" t="n">
        <v>97</v>
      </c>
      <c r="D1881" s="484" t="inlineStr">
        <is>
          <t>忠孝7樓</t>
        </is>
      </c>
      <c r="E1881" s="484" t="inlineStr">
        <is>
          <t>6120016</t>
        </is>
      </c>
      <c r="F1881" s="551" t="n"/>
      <c r="G1881" s="484" t="inlineStr">
        <is>
          <t>(V)(榖胱肝肽) 克樂達養200mg (20ml/瓶)</t>
        </is>
      </c>
      <c r="H1881" s="552" t="n"/>
      <c r="I1881" s="552" t="n"/>
      <c r="J1881" s="551" t="n"/>
      <c r="K1881" s="140" t="inlineStr">
        <is>
          <t>50支/盒</t>
        </is>
      </c>
      <c r="L1881" s="560" t="n">
        <v>125</v>
      </c>
      <c r="O1881" s="561" t="n"/>
    </row>
    <row r="1882" ht="17.25" customHeight="1" s="453" thickBot="1">
      <c r="A1882" s="553">
        <f>IFERROR(LEFT(B1882,7),"")</f>
        <v/>
      </c>
      <c r="B1882" s="554">
        <f>"2026/04"&amp;D1882</f>
        <v/>
      </c>
      <c r="C1882" s="559" t="n">
        <v>98</v>
      </c>
      <c r="D1882" s="484" t="inlineStr">
        <is>
          <t>忠孝7樓</t>
        </is>
      </c>
      <c r="E1882" s="484" t="inlineStr">
        <is>
          <t>6120017</t>
        </is>
      </c>
      <c r="F1882" s="551" t="n"/>
      <c r="G1882" s="484" t="inlineStr">
        <is>
          <t>(V)保肝 5ml/支</t>
        </is>
      </c>
      <c r="H1882" s="552" t="n"/>
      <c r="I1882" s="552" t="n"/>
      <c r="J1882" s="551" t="n"/>
      <c r="K1882" s="140" t="inlineStr">
        <is>
          <t>50支/盒</t>
        </is>
      </c>
      <c r="L1882" s="560" t="n">
        <v>2</v>
      </c>
      <c r="O1882" s="561" t="n"/>
    </row>
    <row r="1883" ht="17.25" customHeight="1" s="453" thickBot="1">
      <c r="A1883" s="553">
        <f>IFERROR(LEFT(B1883,7),"")</f>
        <v/>
      </c>
      <c r="B1883" s="554">
        <f>"2026/04"&amp;D1883</f>
        <v/>
      </c>
      <c r="C1883" s="559" t="n">
        <v>99</v>
      </c>
      <c r="D1883" s="484" t="inlineStr">
        <is>
          <t>忠孝7樓</t>
        </is>
      </c>
      <c r="E1883" s="484" t="inlineStr">
        <is>
          <t>6120018</t>
        </is>
      </c>
      <c r="F1883" s="551" t="n"/>
      <c r="G1883" s="484" t="inlineStr">
        <is>
          <t>(V)(傳明酸)止血明 5ml/支</t>
        </is>
      </c>
      <c r="H1883" s="552" t="n"/>
      <c r="I1883" s="552" t="n"/>
      <c r="J1883" s="551" t="n"/>
      <c r="K1883" s="140" t="inlineStr">
        <is>
          <t>50支/盒</t>
        </is>
      </c>
      <c r="L1883" s="560" t="n">
        <v>170</v>
      </c>
      <c r="O1883" s="561" t="n"/>
    </row>
    <row r="1884" ht="17.25" customHeight="1" s="453" thickBot="1">
      <c r="A1884" s="553">
        <f>IFERROR(LEFT(B1884,7),"")</f>
        <v/>
      </c>
      <c r="B1884" s="554">
        <f>"2026/04"&amp;D1884</f>
        <v/>
      </c>
      <c r="C1884" s="559" t="n">
        <v>100</v>
      </c>
      <c r="D1884" s="484" t="inlineStr">
        <is>
          <t>忠孝7樓</t>
        </is>
      </c>
      <c r="E1884" s="484" t="inlineStr">
        <is>
          <t>6120020</t>
        </is>
      </c>
      <c r="F1884" s="551" t="n"/>
      <c r="G1884" s="484" t="inlineStr">
        <is>
          <t>(V)(Vit C) 抗壞血酸 2mL，100倍數下單</t>
        </is>
      </c>
      <c r="H1884" s="552" t="n"/>
      <c r="I1884" s="552" t="n"/>
      <c r="J1884" s="551" t="n"/>
      <c r="K1884" s="140" t="inlineStr">
        <is>
          <t>100支/盒</t>
        </is>
      </c>
      <c r="L1884" s="560" t="n">
        <v>151</v>
      </c>
      <c r="O1884" s="561" t="n"/>
    </row>
    <row r="1885" ht="17.25" customHeight="1" s="453" thickBot="1">
      <c r="A1885" s="553">
        <f>IFERROR(LEFT(B1885,7),"")</f>
        <v/>
      </c>
      <c r="B1885" s="554">
        <f>"2026/04"&amp;D1885</f>
        <v/>
      </c>
      <c r="C1885" s="559" t="n">
        <v>101</v>
      </c>
      <c r="D1885" s="484" t="inlineStr">
        <is>
          <t>忠孝7樓</t>
        </is>
      </c>
      <c r="E1885" s="484" t="inlineStr">
        <is>
          <t>6120021</t>
        </is>
      </c>
      <c r="F1885" s="551" t="n"/>
      <c r="G1885" s="484" t="inlineStr">
        <is>
          <t>(V)(Vit C)(抗壞血酸/諾貝爾)20ml，50倍數下單</t>
        </is>
      </c>
      <c r="H1885" s="552" t="n"/>
      <c r="I1885" s="552" t="n"/>
      <c r="J1885" s="551" t="n"/>
      <c r="K1885" s="140" t="inlineStr">
        <is>
          <t>50支/盒</t>
        </is>
      </c>
      <c r="L1885" s="560" t="n">
        <v>180</v>
      </c>
      <c r="O1885" s="561" t="n"/>
    </row>
    <row r="1886" ht="17.25" customHeight="1" s="453" thickBot="1">
      <c r="A1886" s="553">
        <f>IFERROR(LEFT(B1886,7),"")</f>
        <v/>
      </c>
      <c r="B1886" s="554">
        <f>"2026/04"&amp;D1886</f>
        <v/>
      </c>
      <c r="C1886" s="559" t="n">
        <v>102</v>
      </c>
      <c r="D1886" s="484" t="inlineStr">
        <is>
          <t>忠孝7樓</t>
        </is>
      </c>
      <c r="E1886" s="484" t="inlineStr">
        <is>
          <t>6120022</t>
        </is>
      </c>
      <c r="F1886" s="551" t="n"/>
      <c r="G1886" s="484" t="inlineStr">
        <is>
          <t>(V)(銀杏) 循必利Gingo注射液0.84毫克/毫升 5ml</t>
        </is>
      </c>
      <c r="H1886" s="552" t="n"/>
      <c r="I1886" s="552" t="n"/>
      <c r="J1886" s="551" t="n"/>
      <c r="K1886" s="140" t="inlineStr">
        <is>
          <t>50支/盒</t>
        </is>
      </c>
      <c r="L1886" s="560" t="n">
        <v>2</v>
      </c>
      <c r="O1886" s="561" t="n"/>
    </row>
    <row r="1887" ht="17.25" customHeight="1" s="453" thickBot="1">
      <c r="A1887" s="553">
        <f>IFERROR(LEFT(B1887,7),"")</f>
        <v/>
      </c>
      <c r="B1887" s="554">
        <f>"2026/04"&amp;D1887</f>
        <v/>
      </c>
      <c r="C1887" s="559" t="n">
        <v>103</v>
      </c>
      <c r="D1887" s="484" t="inlineStr">
        <is>
          <t>忠孝7樓</t>
        </is>
      </c>
      <c r="E1887" s="484" t="inlineStr">
        <is>
          <t>6120030</t>
        </is>
      </c>
      <c r="F1887" s="551" t="n"/>
      <c r="G1887" s="484" t="inlineStr">
        <is>
          <t>(V)克多炎 Keto 1ml</t>
        </is>
      </c>
      <c r="H1887" s="552" t="n"/>
      <c r="I1887" s="552" t="n"/>
      <c r="J1887" s="551" t="n"/>
      <c r="K1887" s="140" t="inlineStr">
        <is>
          <t>100支/盒</t>
        </is>
      </c>
      <c r="L1887" s="560" t="n">
        <v>2</v>
      </c>
      <c r="O1887" s="561" t="n"/>
    </row>
    <row r="1888" ht="17.25" customHeight="1" s="453" thickBot="1">
      <c r="A1888" s="553">
        <f>IFERROR(LEFT(B1888,7),"")</f>
        <v/>
      </c>
      <c r="B1888" s="554">
        <f>"2026/04"&amp;D1888</f>
        <v/>
      </c>
      <c r="C1888" s="559" t="n">
        <v>104</v>
      </c>
      <c r="D1888" s="484" t="inlineStr">
        <is>
          <t>忠孝7樓</t>
        </is>
      </c>
      <c r="E1888" s="484" t="inlineStr">
        <is>
          <t>6120036</t>
        </is>
      </c>
      <c r="F1888" s="551" t="n"/>
      <c r="G1888" s="484" t="inlineStr">
        <is>
          <t>(V)貝力多(雙胜胺) 20% 50mL/ 瓶，60倍數下單</t>
        </is>
      </c>
      <c r="H1888" s="552" t="n"/>
      <c r="I1888" s="552" t="n"/>
      <c r="J1888" s="551" t="n"/>
      <c r="K1888" s="140" t="inlineStr">
        <is>
          <t>瓶(10瓶/盒)</t>
        </is>
      </c>
      <c r="L1888" s="560" t="n">
        <v>29</v>
      </c>
      <c r="O1888" s="561" t="n"/>
    </row>
    <row r="1889" ht="17.25" customHeight="1" s="453" thickBot="1">
      <c r="A1889" s="553">
        <f>IFERROR(LEFT(B1889,7),"")</f>
        <v/>
      </c>
      <c r="B1889" s="554">
        <f>"2026/04"&amp;D1889</f>
        <v/>
      </c>
      <c r="C1889" s="559" t="n">
        <v>105</v>
      </c>
      <c r="D1889" s="484" t="inlineStr">
        <is>
          <t>忠孝7樓</t>
        </is>
      </c>
      <c r="E1889" s="484" t="inlineStr">
        <is>
          <t>6120046</t>
        </is>
      </c>
      <c r="F1889" s="551" t="n"/>
      <c r="G1889" s="484" t="inlineStr">
        <is>
          <t>(V)(榖胱肝肽) 克樂達養600mg (瓶)</t>
        </is>
      </c>
      <c r="H1889" s="552" t="n"/>
      <c r="I1889" s="552" t="n"/>
      <c r="J1889" s="551" t="n"/>
      <c r="K1889" s="140" t="inlineStr">
        <is>
          <t>50支/盒</t>
        </is>
      </c>
      <c r="L1889" s="560" t="n">
        <v>1</v>
      </c>
      <c r="O1889" s="561" t="n"/>
    </row>
    <row r="1890" ht="17.25" customHeight="1" s="453" thickBot="1">
      <c r="A1890" s="553">
        <f>IFERROR(LEFT(B1890,7),"")</f>
        <v/>
      </c>
      <c r="B1890" s="554">
        <f>"2026/04"&amp;D1890</f>
        <v/>
      </c>
      <c r="C1890" s="559" t="n">
        <v>106</v>
      </c>
      <c r="D1890" s="484" t="inlineStr">
        <is>
          <t>忠孝7樓</t>
        </is>
      </c>
      <c r="E1890" s="484" t="inlineStr">
        <is>
          <t>6140001</t>
        </is>
      </c>
      <c r="F1890" s="551" t="n"/>
      <c r="G1890" s="484" t="inlineStr">
        <is>
          <t>(V)保妥適肉毒Botox/ u，100倍數下單</t>
        </is>
      </c>
      <c r="H1890" s="552" t="n"/>
      <c r="I1890" s="552" t="n"/>
      <c r="J1890" s="551" t="n"/>
      <c r="K1890" s="140" t="inlineStr">
        <is>
          <t>100U/瓶</t>
        </is>
      </c>
      <c r="L1890" s="560" t="n">
        <v>4067</v>
      </c>
      <c r="O1890" s="561" t="n"/>
    </row>
    <row r="1891" ht="17.25" customHeight="1" s="453" thickBot="1">
      <c r="A1891" s="553">
        <f>IFERROR(LEFT(B1891,7),"")</f>
        <v/>
      </c>
      <c r="B1891" s="554">
        <f>"2026/04"&amp;D1891</f>
        <v/>
      </c>
      <c r="C1891" s="559" t="n">
        <v>107</v>
      </c>
      <c r="D1891" s="484" t="inlineStr">
        <is>
          <t>忠孝7樓</t>
        </is>
      </c>
      <c r="E1891" s="484" t="inlineStr">
        <is>
          <t>6140003</t>
        </is>
      </c>
      <c r="F1891" s="551" t="n"/>
      <c r="G1891" s="484" t="inlineStr">
        <is>
          <t>(V)保提拉肉毒Letybo/ u，3200倍數下單</t>
        </is>
      </c>
      <c r="H1891" s="552" t="n"/>
      <c r="I1891" s="552" t="n"/>
      <c r="J1891" s="551" t="n"/>
      <c r="K1891" s="140" t="inlineStr">
        <is>
          <t>200U/瓶</t>
        </is>
      </c>
      <c r="L1891" s="560" t="n">
        <v>7738</v>
      </c>
      <c r="O1891" s="561" t="n"/>
    </row>
    <row r="1892" ht="17.25" customHeight="1" s="453" thickBot="1">
      <c r="A1892" s="553">
        <f>IFERROR(LEFT(B1892,7),"")</f>
        <v/>
      </c>
      <c r="B1892" s="554">
        <f>"2026/04"&amp;D1892</f>
        <v/>
      </c>
      <c r="C1892" s="559" t="n">
        <v>108</v>
      </c>
      <c r="D1892" s="484" t="inlineStr">
        <is>
          <t>忠孝7樓</t>
        </is>
      </c>
      <c r="E1892" s="484" t="inlineStr">
        <is>
          <t>6140005</t>
        </is>
      </c>
      <c r="F1892" s="551" t="n"/>
      <c r="G1892" s="484" t="inlineStr">
        <is>
          <t>(V)奇蹟肉毒/ u，200倍數下單</t>
        </is>
      </c>
      <c r="H1892" s="552" t="n"/>
      <c r="I1892" s="552" t="n"/>
      <c r="J1892" s="551" t="n"/>
      <c r="K1892" s="140" t="inlineStr">
        <is>
          <t>200U/瓶</t>
        </is>
      </c>
      <c r="L1892" s="560" t="n">
        <v>5459</v>
      </c>
      <c r="O1892" s="561" t="n"/>
    </row>
    <row r="1893" ht="17.25" customHeight="1" s="453" thickBot="1">
      <c r="A1893" s="553">
        <f>IFERROR(LEFT(B1893,7),"")</f>
        <v/>
      </c>
      <c r="B1893" s="554">
        <f>"2026/04"&amp;D1893</f>
        <v/>
      </c>
      <c r="C1893" s="559" t="n">
        <v>109</v>
      </c>
      <c r="D1893" s="484" t="inlineStr">
        <is>
          <t>忠孝7樓</t>
        </is>
      </c>
      <c r="E1893" s="484" t="inlineStr">
        <is>
          <t>6150001</t>
        </is>
      </c>
      <c r="F1893" s="551" t="n"/>
      <c r="G1893" s="484" t="inlineStr">
        <is>
          <t>(V)喬雅登-豐麗緹玻尿酸植入物Voluma 1ml</t>
        </is>
      </c>
      <c r="H1893" s="552" t="n"/>
      <c r="I1893" s="552" t="n"/>
      <c r="J1893" s="551" t="n"/>
      <c r="K1893" s="140" t="inlineStr">
        <is>
          <t>1ml(2ml/盒)</t>
        </is>
      </c>
      <c r="L1893" s="560" t="n">
        <v>118</v>
      </c>
      <c r="O1893" s="561" t="n"/>
    </row>
    <row r="1894" ht="17.25" customHeight="1" s="453" thickBot="1">
      <c r="A1894" s="553">
        <f>IFERROR(LEFT(B1894,7),"")</f>
        <v/>
      </c>
      <c r="B1894" s="554">
        <f>"2026/04"&amp;D1894</f>
        <v/>
      </c>
      <c r="C1894" s="559" t="n">
        <v>110</v>
      </c>
      <c r="D1894" s="484" t="inlineStr">
        <is>
          <t>忠孝7樓</t>
        </is>
      </c>
      <c r="E1894" s="484" t="inlineStr">
        <is>
          <t>6150002</t>
        </is>
      </c>
      <c r="F1894" s="551" t="n"/>
      <c r="G1894" s="484" t="inlineStr">
        <is>
          <t>(V)喬雅登-夢蓓菈玻尿酸植入物Volbella 1ml</t>
        </is>
      </c>
      <c r="H1894" s="552" t="n"/>
      <c r="I1894" s="552" t="n"/>
      <c r="J1894" s="551" t="n"/>
      <c r="K1894" s="140" t="inlineStr">
        <is>
          <t>1ml(2ml/盒)</t>
        </is>
      </c>
      <c r="L1894" s="560" t="n">
        <v>21</v>
      </c>
      <c r="O1894" s="561" t="n"/>
    </row>
    <row r="1895" ht="17.25" customHeight="1" s="453" thickBot="1">
      <c r="A1895" s="553">
        <f>IFERROR(LEFT(B1895,7),"")</f>
        <v/>
      </c>
      <c r="B1895" s="554">
        <f>"2026/04"&amp;D1895</f>
        <v/>
      </c>
      <c r="C1895" s="559" t="n">
        <v>111</v>
      </c>
      <c r="D1895" s="484" t="inlineStr">
        <is>
          <t>忠孝7樓</t>
        </is>
      </c>
      <c r="E1895" s="484" t="inlineStr">
        <is>
          <t>6150003</t>
        </is>
      </c>
      <c r="F1895" s="551" t="n"/>
      <c r="G1895" s="484" t="inlineStr">
        <is>
          <t>(V)喬雅登-豐麗緹玻尿酸植入物Volift 1ml</t>
        </is>
      </c>
      <c r="H1895" s="552" t="n"/>
      <c r="I1895" s="552" t="n"/>
      <c r="J1895" s="551" t="n"/>
      <c r="K1895" s="140" t="inlineStr">
        <is>
          <t>1ml(2ml/盒)</t>
        </is>
      </c>
      <c r="L1895" s="560" t="n">
        <v>4</v>
      </c>
      <c r="O1895" s="561" t="n"/>
    </row>
    <row r="1896" ht="17.25" customHeight="1" s="453" thickBot="1">
      <c r="A1896" s="553">
        <f>IFERROR(LEFT(B1896,7),"")</f>
        <v/>
      </c>
      <c r="B1896" s="554">
        <f>"2026/04"&amp;D1896</f>
        <v/>
      </c>
      <c r="C1896" s="559" t="n">
        <v>112</v>
      </c>
      <c r="D1896" s="484" t="inlineStr">
        <is>
          <t>忠孝7樓</t>
        </is>
      </c>
      <c r="E1896" s="484" t="inlineStr">
        <is>
          <t>6150004</t>
        </is>
      </c>
      <c r="F1896" s="551" t="n"/>
      <c r="G1896" s="484" t="inlineStr">
        <is>
          <t>(V)喬雅登-豐塑玻尿酸植入物Volux 1ml</t>
        </is>
      </c>
      <c r="H1896" s="552" t="n"/>
      <c r="I1896" s="552" t="n"/>
      <c r="J1896" s="551" t="n"/>
      <c r="K1896" s="140" t="inlineStr">
        <is>
          <t>1ml(2ml/盒)</t>
        </is>
      </c>
      <c r="L1896" s="560" t="n">
        <v>10</v>
      </c>
      <c r="O1896" s="561" t="n"/>
    </row>
    <row r="1897" ht="17.25" customHeight="1" s="453" thickBot="1">
      <c r="A1897" s="553">
        <f>IFERROR(LEFT(B1897,7),"")</f>
        <v/>
      </c>
      <c r="B1897" s="554">
        <f>"2026/04"&amp;D1897</f>
        <v/>
      </c>
      <c r="C1897" s="559" t="n">
        <v>113</v>
      </c>
      <c r="D1897" s="484" t="inlineStr">
        <is>
          <t>忠孝7樓</t>
        </is>
      </c>
      <c r="E1897" s="484" t="inlineStr">
        <is>
          <t>6150005</t>
        </is>
      </c>
      <c r="F1897" s="551" t="n"/>
      <c r="G1897" s="484" t="inlineStr">
        <is>
          <t>(V)喬雅登-芙潤玻尿酸植入物Volite 1ml</t>
        </is>
      </c>
      <c r="H1897" s="552" t="n"/>
      <c r="I1897" s="552" t="n"/>
      <c r="J1897" s="551" t="n"/>
      <c r="K1897" s="140" t="inlineStr">
        <is>
          <t>1ml(2ml/盒)</t>
        </is>
      </c>
      <c r="L1897" s="560" t="n">
        <v>1</v>
      </c>
      <c r="O1897" s="561" t="n"/>
    </row>
    <row r="1898" ht="17.25" customHeight="1" s="453" thickBot="1">
      <c r="A1898" s="553">
        <f>IFERROR(LEFT(B1898,7),"")</f>
        <v/>
      </c>
      <c r="B1898" s="554">
        <f>"2026/04"&amp;D1898</f>
        <v/>
      </c>
      <c r="C1898" s="559" t="n">
        <v>114</v>
      </c>
      <c r="D1898" s="484" t="inlineStr">
        <is>
          <t>忠孝7樓</t>
        </is>
      </c>
      <c r="E1898" s="484" t="inlineStr">
        <is>
          <t>6150010</t>
        </is>
      </c>
      <c r="F1898" s="551" t="n"/>
      <c r="G1898" s="484" t="inlineStr">
        <is>
          <t>(V)仙女玻尿酸大分子 1ml</t>
        </is>
      </c>
      <c r="H1898" s="552" t="n"/>
      <c r="I1898" s="552" t="n"/>
      <c r="J1898" s="551" t="n"/>
      <c r="K1898" s="140" t="inlineStr">
        <is>
          <t>1ml(1ml/盒)</t>
        </is>
      </c>
      <c r="L1898" s="560" t="n">
        <v>24</v>
      </c>
      <c r="O1898" s="561" t="n"/>
    </row>
    <row r="1899" ht="17.25" customHeight="1" s="453" thickBot="1">
      <c r="A1899" s="553">
        <f>IFERROR(LEFT(B1899,7),"")</f>
        <v/>
      </c>
      <c r="B1899" s="554">
        <f>"2026/04"&amp;D1899</f>
        <v/>
      </c>
      <c r="C1899" s="559" t="n">
        <v>115</v>
      </c>
      <c r="D1899" s="484" t="inlineStr">
        <is>
          <t>忠孝7樓</t>
        </is>
      </c>
      <c r="E1899" s="484" t="inlineStr">
        <is>
          <t>6150011</t>
        </is>
      </c>
      <c r="F1899" s="551" t="n"/>
      <c r="G1899" s="484" t="inlineStr">
        <is>
          <t>(V)仙女玻尿酸小分子 1ml</t>
        </is>
      </c>
      <c r="H1899" s="552" t="n"/>
      <c r="I1899" s="552" t="n"/>
      <c r="J1899" s="551" t="n"/>
      <c r="K1899" s="140" t="inlineStr">
        <is>
          <t>1ml(1ml/盒)</t>
        </is>
      </c>
      <c r="L1899" s="560" t="n">
        <v>3</v>
      </c>
      <c r="O1899" s="561" t="n"/>
    </row>
    <row r="1900" ht="17.25" customHeight="1" s="453" thickBot="1">
      <c r="A1900" s="553">
        <f>IFERROR(LEFT(B1900,7),"")</f>
        <v/>
      </c>
      <c r="B1900" s="554">
        <f>"2026/04"&amp;D1900</f>
        <v/>
      </c>
      <c r="C1900" s="559" t="n">
        <v>116</v>
      </c>
      <c r="D1900" s="484" t="inlineStr">
        <is>
          <t>忠孝7樓</t>
        </is>
      </c>
      <c r="E1900" s="484" t="inlineStr">
        <is>
          <t>6150013</t>
        </is>
      </c>
      <c r="F1900" s="551" t="n"/>
      <c r="G1900" s="484" t="inlineStr">
        <is>
          <t>(V)逆時針(璞菲洛)2cc</t>
        </is>
      </c>
      <c r="H1900" s="552" t="n"/>
      <c r="I1900" s="552" t="n"/>
      <c r="J1900" s="551" t="n"/>
      <c r="K1900" s="140" t="inlineStr">
        <is>
          <t>1ml(1ml/盒)</t>
        </is>
      </c>
      <c r="L1900" s="560" t="n">
        <v>23</v>
      </c>
      <c r="O1900" s="561" t="n"/>
    </row>
    <row r="1901" ht="17.25" customHeight="1" s="453" thickBot="1">
      <c r="A1901" s="553">
        <f>IFERROR(LEFT(B1901,7),"")</f>
        <v/>
      </c>
      <c r="B1901" s="554">
        <f>"2026/04"&amp;D1901</f>
        <v/>
      </c>
      <c r="C1901" s="559" t="n">
        <v>117</v>
      </c>
      <c r="D1901" s="484" t="inlineStr">
        <is>
          <t>忠孝7樓</t>
        </is>
      </c>
      <c r="E1901" s="484" t="inlineStr">
        <is>
          <t>6150014</t>
        </is>
      </c>
      <c r="F1901" s="551" t="n"/>
      <c r="G1901" s="484" t="inlineStr">
        <is>
          <t>(V)膚美康 1cc</t>
        </is>
      </c>
      <c r="H1901" s="552" t="n"/>
      <c r="I1901" s="552" t="n"/>
      <c r="J1901" s="551" t="n"/>
      <c r="K1901" s="140" t="inlineStr">
        <is>
          <t>2.5cc/支</t>
        </is>
      </c>
      <c r="L1901" s="560" t="n">
        <v>1</v>
      </c>
      <c r="O1901" s="561" t="n"/>
    </row>
    <row r="1902" ht="17.25" customHeight="1" s="453" thickBot="1">
      <c r="A1902" s="553">
        <f>IFERROR(LEFT(B1902,7),"")</f>
        <v/>
      </c>
      <c r="B1902" s="554">
        <f>"2026/04"&amp;D1902</f>
        <v/>
      </c>
      <c r="C1902" s="559" t="n">
        <v>118</v>
      </c>
      <c r="D1902" s="484" t="inlineStr">
        <is>
          <t>忠孝7樓</t>
        </is>
      </c>
      <c r="E1902" s="484" t="inlineStr">
        <is>
          <t>6160002</t>
        </is>
      </c>
      <c r="F1902" s="551" t="n"/>
      <c r="G1902" s="484" t="inlineStr">
        <is>
          <t>(V)洢蓮絲植入劑ELLANSÉ-S 1ml/ 支(2倍數叫貨)</t>
        </is>
      </c>
      <c r="H1902" s="552" t="n"/>
      <c r="I1902" s="552" t="n"/>
      <c r="J1902" s="551" t="n"/>
      <c r="K1902" s="140" t="inlineStr">
        <is>
          <t>1ml(2ml/盒)</t>
        </is>
      </c>
      <c r="L1902" s="560" t="n">
        <v>32</v>
      </c>
      <c r="O1902" s="561" t="n"/>
    </row>
    <row r="1903" ht="17.25" customHeight="1" s="453" thickBot="1">
      <c r="A1903" s="553">
        <f>IFERROR(LEFT(B1903,7),"")</f>
        <v/>
      </c>
      <c r="B1903" s="554">
        <f>"2026/04"&amp;D1903</f>
        <v/>
      </c>
      <c r="C1903" s="559" t="n">
        <v>119</v>
      </c>
      <c r="D1903" s="484" t="inlineStr">
        <is>
          <t>忠孝7樓</t>
        </is>
      </c>
      <c r="E1903" s="484" t="inlineStr">
        <is>
          <t>6160003</t>
        </is>
      </c>
      <c r="F1903" s="551" t="n"/>
      <c r="G1903" s="484" t="inlineStr">
        <is>
          <t>(V)洢蓮絲植入劑ELLANSÉ-M 1ml/ 支(2倍數叫貨)</t>
        </is>
      </c>
      <c r="H1903" s="552" t="n"/>
      <c r="I1903" s="552" t="n"/>
      <c r="J1903" s="551" t="n"/>
      <c r="K1903" s="140" t="inlineStr">
        <is>
          <t>1ml(2ml/盒)</t>
        </is>
      </c>
      <c r="L1903" s="560" t="n">
        <v>15</v>
      </c>
      <c r="O1903" s="561" t="n"/>
    </row>
    <row r="1904" ht="17.25" customHeight="1" s="453" thickBot="1">
      <c r="A1904" s="553">
        <f>IFERROR(LEFT(B1904,7),"")</f>
        <v/>
      </c>
      <c r="B1904" s="554">
        <f>"2026/04"&amp;D1904</f>
        <v/>
      </c>
      <c r="C1904" s="559" t="n">
        <v>120</v>
      </c>
      <c r="D1904" s="484" t="inlineStr">
        <is>
          <t>忠孝7樓</t>
        </is>
      </c>
      <c r="E1904" s="484" t="inlineStr">
        <is>
          <t>6160005</t>
        </is>
      </c>
      <c r="F1904" s="551" t="n"/>
      <c r="G1904" s="484" t="inlineStr">
        <is>
          <t>(V)双美熊貓針</t>
        </is>
      </c>
      <c r="H1904" s="552" t="n"/>
      <c r="I1904" s="552" t="n"/>
      <c r="J1904" s="551" t="n"/>
      <c r="K1904" s="140" t="inlineStr">
        <is>
          <t>(1ml/盒)</t>
        </is>
      </c>
      <c r="L1904" s="560" t="n">
        <v>35</v>
      </c>
      <c r="O1904" s="561" t="n"/>
    </row>
    <row r="1905" ht="17.25" customHeight="1" s="453" thickBot="1">
      <c r="A1905" s="553">
        <f>IFERROR(LEFT(B1905,7),"")</f>
        <v/>
      </c>
      <c r="B1905" s="554">
        <f>"2026/04"&amp;D1905</f>
        <v/>
      </c>
      <c r="C1905" s="559" t="n">
        <v>121</v>
      </c>
      <c r="D1905" s="484" t="inlineStr">
        <is>
          <t>忠孝7樓</t>
        </is>
      </c>
      <c r="E1905" s="484" t="inlineStr">
        <is>
          <t>6160008</t>
        </is>
      </c>
      <c r="F1905" s="551" t="n"/>
      <c r="G1905" s="484" t="inlineStr">
        <is>
          <t>(V)白童針-薇貝拉50mg/ 1cc</t>
        </is>
      </c>
      <c r="H1905" s="552" t="n"/>
      <c r="I1905" s="552" t="n"/>
      <c r="J1905" s="551" t="n"/>
      <c r="K1905" s="140" t="inlineStr">
        <is>
          <t>6cc/瓶</t>
        </is>
      </c>
      <c r="L1905" s="560" t="n">
        <v>3</v>
      </c>
      <c r="O1905" s="561" t="n"/>
    </row>
    <row r="1906" ht="17.25" customHeight="1" s="453" thickBot="1">
      <c r="A1906" s="553">
        <f>IFERROR(LEFT(B1906,7),"")</f>
        <v/>
      </c>
      <c r="B1906" s="554">
        <f>"2026/04"&amp;D1906</f>
        <v/>
      </c>
      <c r="C1906" s="559" t="n">
        <v>122</v>
      </c>
      <c r="D1906" s="484" t="inlineStr">
        <is>
          <t>忠孝7樓</t>
        </is>
      </c>
      <c r="E1906" s="484" t="inlineStr">
        <is>
          <t>6160009</t>
        </is>
      </c>
      <c r="F1906" s="551" t="n"/>
      <c r="G1906" s="484" t="inlineStr">
        <is>
          <t>(V)黑童針-薇貝拉200mg/ 1cc</t>
        </is>
      </c>
      <c r="H1906" s="552" t="n"/>
      <c r="I1906" s="552" t="n"/>
      <c r="J1906" s="551" t="n"/>
      <c r="K1906" s="140" t="inlineStr">
        <is>
          <t>8cc/瓶</t>
        </is>
      </c>
      <c r="L1906" s="560" t="n">
        <v>2</v>
      </c>
      <c r="O1906" s="561" t="n"/>
    </row>
    <row r="1907" ht="17.25" customHeight="1" s="453" thickBot="1">
      <c r="A1907" s="553">
        <f>IFERROR(LEFT(B1907,7),"")</f>
        <v/>
      </c>
      <c r="B1907" s="554">
        <f>"2026/04"&amp;D1907</f>
        <v/>
      </c>
      <c r="C1907" s="559" t="n">
        <v>123</v>
      </c>
      <c r="D1907" s="484" t="inlineStr">
        <is>
          <t>忠孝7樓</t>
        </is>
      </c>
      <c r="E1907" s="484" t="inlineStr">
        <is>
          <t>6160010</t>
        </is>
      </c>
      <c r="F1907" s="551" t="n"/>
      <c r="G1907" s="484" t="inlineStr">
        <is>
          <t>(V)喬雅露-大分子200mg/ 1cc(8倍數叫貨)</t>
        </is>
      </c>
      <c r="H1907" s="552" t="n"/>
      <c r="I1907" s="552" t="n"/>
      <c r="J1907" s="551" t="n"/>
      <c r="K1907" s="140" t="inlineStr">
        <is>
          <t>8cc/瓶</t>
        </is>
      </c>
      <c r="L1907" s="560" t="n">
        <v>124</v>
      </c>
      <c r="O1907" s="561" t="n"/>
    </row>
    <row r="1908" ht="17.25" customHeight="1" s="453" thickBot="1">
      <c r="A1908" s="553">
        <f>IFERROR(LEFT(B1908,7),"")</f>
        <v/>
      </c>
      <c r="B1908" s="554">
        <f>"2026/04"&amp;D1908</f>
        <v/>
      </c>
      <c r="C1908" s="559" t="n">
        <v>124</v>
      </c>
      <c r="D1908" s="484" t="inlineStr">
        <is>
          <t>忠孝7樓</t>
        </is>
      </c>
      <c r="E1908" s="484" t="inlineStr">
        <is>
          <t>6160011</t>
        </is>
      </c>
      <c r="F1908" s="551" t="n"/>
      <c r="G1908" s="484" t="inlineStr">
        <is>
          <t>(V)喬雅露-小分子50mg/ 1cc(6倍數叫貨)</t>
        </is>
      </c>
      <c r="H1908" s="552" t="n"/>
      <c r="I1908" s="552" t="n"/>
      <c r="J1908" s="551" t="n"/>
      <c r="K1908" s="140" t="inlineStr">
        <is>
          <t>6cc/瓶</t>
        </is>
      </c>
      <c r="L1908" s="560" t="n">
        <v>914</v>
      </c>
      <c r="O1908" s="561" t="n"/>
    </row>
    <row r="1909" ht="17.25" customHeight="1" s="453" thickBot="1">
      <c r="A1909" s="553">
        <f>IFERROR(LEFT(B1909,7),"")</f>
        <v/>
      </c>
      <c r="B1909" s="554">
        <f>"2026/04"&amp;D1909</f>
        <v/>
      </c>
      <c r="C1909" s="559" t="n">
        <v>125</v>
      </c>
      <c r="D1909" s="484" t="inlineStr">
        <is>
          <t>忠孝7樓</t>
        </is>
      </c>
      <c r="E1909" s="484" t="inlineStr">
        <is>
          <t>6170005</t>
        </is>
      </c>
      <c r="F1909" s="551" t="n"/>
      <c r="G1909" s="484" t="inlineStr">
        <is>
          <t>海芙三代音波探頭2mm/ 條</t>
        </is>
      </c>
      <c r="H1909" s="552" t="n"/>
      <c r="I1909" s="552" t="n"/>
      <c r="J1909" s="551" t="n"/>
      <c r="K1909" s="140" t="inlineStr">
        <is>
          <t>20099條/顆</t>
        </is>
      </c>
      <c r="L1909" s="560" t="n">
        <v>5407</v>
      </c>
      <c r="O1909" s="561" t="n"/>
    </row>
    <row r="1910" ht="17.25" customHeight="1" s="453" thickBot="1">
      <c r="A1910" s="553">
        <f>IFERROR(LEFT(B1910,7),"")</f>
        <v/>
      </c>
      <c r="B1910" s="554">
        <f>"2026/04"&amp;D1910</f>
        <v/>
      </c>
      <c r="C1910" s="559" t="n">
        <v>126</v>
      </c>
      <c r="D1910" s="484" t="inlineStr">
        <is>
          <t>忠孝7樓</t>
        </is>
      </c>
      <c r="E1910" s="484" t="inlineStr">
        <is>
          <t>6170007</t>
        </is>
      </c>
      <c r="F1910" s="551" t="n"/>
      <c r="G1910" s="484" t="inlineStr">
        <is>
          <t>海芙三代音波探頭3mm/ 條</t>
        </is>
      </c>
      <c r="H1910" s="552" t="n"/>
      <c r="I1910" s="552" t="n"/>
      <c r="J1910" s="551" t="n"/>
      <c r="K1910" s="140" t="inlineStr">
        <is>
          <t>20099條/顆</t>
        </is>
      </c>
      <c r="L1910" s="560" t="n">
        <v>28292</v>
      </c>
      <c r="O1910" s="561" t="n"/>
    </row>
    <row r="1911" ht="17.25" customHeight="1" s="453" thickBot="1">
      <c r="A1911" s="553">
        <f>IFERROR(LEFT(B1911,7),"")</f>
        <v/>
      </c>
      <c r="B1911" s="554">
        <f>"2026/04"&amp;D1911</f>
        <v/>
      </c>
      <c r="C1911" s="559" t="n">
        <v>127</v>
      </c>
      <c r="D1911" s="484" t="inlineStr">
        <is>
          <t>忠孝7樓</t>
        </is>
      </c>
      <c r="E1911" s="484" t="inlineStr">
        <is>
          <t>6170009</t>
        </is>
      </c>
      <c r="F1911" s="551" t="n"/>
      <c r="G1911" s="484" t="inlineStr">
        <is>
          <t>海芙三代音波探頭4.5mm/ 條</t>
        </is>
      </c>
      <c r="H1911" s="552" t="n"/>
      <c r="I1911" s="552" t="n"/>
      <c r="J1911" s="551" t="n"/>
      <c r="K1911" s="140" t="inlineStr">
        <is>
          <t>20099條/顆</t>
        </is>
      </c>
      <c r="L1911" s="560" t="n">
        <v>54185</v>
      </c>
      <c r="O1911" s="561" t="n"/>
    </row>
    <row r="1912" ht="17.25" customHeight="1" s="453" thickBot="1">
      <c r="A1912" s="553">
        <f>IFERROR(LEFT(B1912,7),"")</f>
        <v/>
      </c>
      <c r="B1912" s="554">
        <f>"2026/04"&amp;D1912</f>
        <v/>
      </c>
      <c r="C1912" s="559" t="n">
        <v>128</v>
      </c>
      <c r="D1912" s="484" t="inlineStr">
        <is>
          <t>忠孝7樓</t>
        </is>
      </c>
      <c r="E1912" s="484" t="inlineStr">
        <is>
          <t>6170011</t>
        </is>
      </c>
      <c r="F1912" s="551" t="n"/>
      <c r="G1912" s="484" t="inlineStr">
        <is>
          <t>海芙三代音波探頭6mm/ 條</t>
        </is>
      </c>
      <c r="H1912" s="552" t="n"/>
      <c r="I1912" s="552" t="n"/>
      <c r="J1912" s="551" t="n"/>
      <c r="K1912" s="140" t="inlineStr">
        <is>
          <t>30,099條/顆</t>
        </is>
      </c>
      <c r="L1912" s="560" t="n">
        <v>11920</v>
      </c>
      <c r="O1912" s="561" t="n"/>
    </row>
    <row r="1913" ht="17.25" customHeight="1" s="453" thickBot="1">
      <c r="A1913" s="553">
        <f>IFERROR(LEFT(B1913,7),"")</f>
        <v/>
      </c>
      <c r="B1913" s="554">
        <f>"2026/04"&amp;D1913</f>
        <v/>
      </c>
      <c r="C1913" s="559" t="n">
        <v>129</v>
      </c>
      <c r="D1913" s="484" t="inlineStr">
        <is>
          <t>忠孝7樓</t>
        </is>
      </c>
      <c r="E1913" s="484" t="inlineStr">
        <is>
          <t>6170013</t>
        </is>
      </c>
      <c r="F1913" s="551" t="n"/>
      <c r="G1913" s="484" t="inlineStr">
        <is>
          <t>鳳凰電波4平方公分紫鑽探頭(900發)</t>
        </is>
      </c>
      <c r="H1913" s="552" t="n"/>
      <c r="I1913" s="552" t="n"/>
      <c r="J1913" s="551" t="n"/>
      <c r="K1913" s="140" t="inlineStr">
        <is>
          <t>顆</t>
        </is>
      </c>
      <c r="L1913" s="560" t="n">
        <v>17</v>
      </c>
      <c r="O1913" s="561" t="n"/>
    </row>
    <row r="1914" ht="17.25" customHeight="1" s="453" thickBot="1">
      <c r="A1914" s="553">
        <f>IFERROR(LEFT(B1914,7),"")</f>
        <v/>
      </c>
      <c r="B1914" s="554">
        <f>"2026/04"&amp;D1914</f>
        <v/>
      </c>
      <c r="C1914" s="559" t="n">
        <v>130</v>
      </c>
      <c r="D1914" s="484" t="inlineStr">
        <is>
          <t>忠孝7樓</t>
        </is>
      </c>
      <c r="E1914" s="484" t="inlineStr">
        <is>
          <t>6170014</t>
        </is>
      </c>
      <c r="F1914" s="551" t="n"/>
      <c r="G1914" s="484" t="inlineStr">
        <is>
          <t>鳳凰電波0.25平方公分碧眼探頭(450發)</t>
        </is>
      </c>
      <c r="H1914" s="552" t="n"/>
      <c r="I1914" s="552" t="n"/>
      <c r="J1914" s="551" t="n"/>
      <c r="K1914" s="140" t="inlineStr">
        <is>
          <t>顆</t>
        </is>
      </c>
      <c r="L1914" s="560" t="n">
        <v>13</v>
      </c>
      <c r="O1914" s="561" t="n"/>
    </row>
    <row r="1915" ht="17.25" customHeight="1" s="453" thickBot="1">
      <c r="A1915" s="553">
        <f>IFERROR(LEFT(B1915,7),"")</f>
        <v/>
      </c>
      <c r="B1915" s="554">
        <f>"2026/04"&amp;D1915</f>
        <v/>
      </c>
      <c r="C1915" s="559" t="n">
        <v>131</v>
      </c>
      <c r="D1915" s="484" t="inlineStr">
        <is>
          <t>忠孝7樓</t>
        </is>
      </c>
      <c r="E1915" s="484" t="inlineStr">
        <is>
          <t>6170019</t>
        </is>
      </c>
      <c r="F1915" s="551" t="n"/>
      <c r="G1915" s="484" t="inlineStr">
        <is>
          <t>媚必提直線探頭2.0mm/條</t>
        </is>
      </c>
      <c r="H1915" s="552" t="n"/>
      <c r="I1915" s="552" t="n"/>
      <c r="J1915" s="551" t="n"/>
      <c r="K1915" s="140" t="inlineStr">
        <is>
          <t>20,099條/顆</t>
        </is>
      </c>
      <c r="L1915" s="560" t="n">
        <v>4305</v>
      </c>
      <c r="O1915" s="561" t="n"/>
    </row>
    <row r="1916" ht="17.25" customHeight="1" s="453" thickBot="1">
      <c r="A1916" s="553">
        <f>IFERROR(LEFT(B1916,7),"")</f>
        <v/>
      </c>
      <c r="B1916" s="554">
        <f>"2026/04"&amp;D1916</f>
        <v/>
      </c>
      <c r="C1916" s="559" t="n">
        <v>132</v>
      </c>
      <c r="D1916" s="484" t="inlineStr">
        <is>
          <t>忠孝7樓</t>
        </is>
      </c>
      <c r="E1916" s="484" t="inlineStr">
        <is>
          <t>6170020</t>
        </is>
      </c>
      <c r="F1916" s="551" t="n"/>
      <c r="G1916" s="484" t="inlineStr">
        <is>
          <t>媚必提直線探頭3.0mm/條</t>
        </is>
      </c>
      <c r="H1916" s="552" t="n"/>
      <c r="I1916" s="552" t="n"/>
      <c r="J1916" s="551" t="n"/>
      <c r="K1916" s="140" t="inlineStr">
        <is>
          <t>20,099條/顆</t>
        </is>
      </c>
      <c r="L1916" s="560" t="n">
        <v>11835</v>
      </c>
      <c r="O1916" s="561" t="n"/>
    </row>
    <row r="1917" ht="17.25" customHeight="1" s="453" thickBot="1">
      <c r="A1917" s="553">
        <f>IFERROR(LEFT(B1917,7),"")</f>
        <v/>
      </c>
      <c r="B1917" s="554">
        <f>"2026/04"&amp;D1917</f>
        <v/>
      </c>
      <c r="C1917" s="559" t="n">
        <v>133</v>
      </c>
      <c r="D1917" s="484" t="inlineStr">
        <is>
          <t>忠孝7樓</t>
        </is>
      </c>
      <c r="E1917" s="484" t="inlineStr">
        <is>
          <t>6170021</t>
        </is>
      </c>
      <c r="F1917" s="551" t="n"/>
      <c r="G1917" s="484" t="inlineStr">
        <is>
          <t>媚必提直線探頭4.5mm/條</t>
        </is>
      </c>
      <c r="H1917" s="552" t="n"/>
      <c r="I1917" s="552" t="n"/>
      <c r="J1917" s="551" t="n"/>
      <c r="K1917" s="140" t="inlineStr">
        <is>
          <t>20,099條/顆</t>
        </is>
      </c>
      <c r="L1917" s="560" t="n">
        <v>25519</v>
      </c>
      <c r="O1917" s="561" t="n"/>
    </row>
    <row r="1918" ht="17.25" customHeight="1" s="453" thickBot="1">
      <c r="A1918" s="553">
        <f>IFERROR(LEFT(B1918,7),"")</f>
        <v/>
      </c>
      <c r="B1918" s="554">
        <f>"2026/04"&amp;D1918</f>
        <v/>
      </c>
      <c r="C1918" s="559" t="n">
        <v>134</v>
      </c>
      <c r="D1918" s="484" t="inlineStr">
        <is>
          <t>忠孝7樓</t>
        </is>
      </c>
      <c r="E1918" s="484" t="inlineStr">
        <is>
          <t>6170022</t>
        </is>
      </c>
      <c r="F1918" s="551" t="n"/>
      <c r="G1918" s="484" t="inlineStr">
        <is>
          <t>媚必提直線探頭6.0mm/條</t>
        </is>
      </c>
      <c r="H1918" s="552" t="n"/>
      <c r="I1918" s="552" t="n"/>
      <c r="J1918" s="551" t="n"/>
      <c r="K1918" s="140" t="inlineStr">
        <is>
          <t>20,099條/顆</t>
        </is>
      </c>
      <c r="L1918" s="560" t="n">
        <v>6703</v>
      </c>
      <c r="O1918" s="561" t="n"/>
    </row>
    <row r="1919" ht="17.25" customHeight="1" s="453" thickBot="1">
      <c r="A1919" s="553">
        <f>IFERROR(LEFT(B1919,7),"")</f>
        <v/>
      </c>
      <c r="B1919" s="554">
        <f>"2026/04"&amp;D1919</f>
        <v/>
      </c>
      <c r="C1919" s="559" t="n">
        <v>135</v>
      </c>
      <c r="D1919" s="484" t="inlineStr">
        <is>
          <t>忠孝7樓</t>
        </is>
      </c>
      <c r="E1919" s="484" t="inlineStr">
        <is>
          <t>6170028</t>
        </is>
      </c>
      <c r="F1919" s="551" t="n"/>
      <c r="G1919" s="484" t="inlineStr">
        <is>
          <t>海芙電波探頭0.25cm/發</t>
        </is>
      </c>
      <c r="H1919" s="552" t="n"/>
      <c r="I1919" s="552" t="n"/>
      <c r="J1919" s="551" t="n"/>
      <c r="K1919" s="140" t="inlineStr">
        <is>
          <t>6,050發/顆</t>
        </is>
      </c>
      <c r="L1919" s="560" t="n">
        <v>180</v>
      </c>
      <c r="O1919" s="561" t="n"/>
    </row>
    <row r="1920" ht="17.25" customHeight="1" s="453" thickBot="1">
      <c r="A1920" s="553">
        <f>IFERROR(LEFT(B1920,7),"")</f>
        <v/>
      </c>
      <c r="B1920" s="554">
        <f>"2026/04"&amp;D1920</f>
        <v/>
      </c>
      <c r="C1920" s="559" t="n">
        <v>136</v>
      </c>
      <c r="D1920" s="484" t="inlineStr">
        <is>
          <t>忠孝7樓</t>
        </is>
      </c>
      <c r="E1920" s="484" t="inlineStr">
        <is>
          <t>6170030</t>
        </is>
      </c>
      <c r="F1920" s="551" t="n"/>
      <c r="G1920" s="484" t="inlineStr">
        <is>
          <t>海芙電波探頭4.0cm/發</t>
        </is>
      </c>
      <c r="H1920" s="552" t="n"/>
      <c r="I1920" s="552" t="n"/>
      <c r="J1920" s="551" t="n"/>
      <c r="K1920" s="140" t="inlineStr">
        <is>
          <t>3,050發/顆</t>
        </is>
      </c>
      <c r="L1920" s="560" t="n">
        <v>27620</v>
      </c>
      <c r="O1920" s="561" t="n"/>
    </row>
    <row r="1921" ht="17.25" customHeight="1" s="453" thickBot="1">
      <c r="A1921" s="553">
        <f>IFERROR(LEFT(B1921,7),"")</f>
        <v/>
      </c>
      <c r="B1921" s="554">
        <f>"2026/04"&amp;D1921</f>
        <v/>
      </c>
      <c r="C1921" s="559" t="n">
        <v>137</v>
      </c>
      <c r="D1921" s="484" t="inlineStr">
        <is>
          <t>忠孝7樓</t>
        </is>
      </c>
      <c r="E1921" s="484" t="inlineStr">
        <is>
          <t>6170032</t>
        </is>
      </c>
      <c r="F1921" s="551" t="n"/>
      <c r="G1921" s="484" t="inlineStr">
        <is>
          <t>立特拉A2筆型探頭3.0mm/ 條</t>
        </is>
      </c>
      <c r="H1921" s="552" t="n"/>
      <c r="I1921" s="552" t="n"/>
      <c r="J1921" s="551" t="n"/>
      <c r="K1921" s="140" t="inlineStr">
        <is>
          <t>240,500條/顆</t>
        </is>
      </c>
      <c r="L1921" s="560" t="n">
        <v>162307</v>
      </c>
      <c r="O1921" s="561" t="n"/>
    </row>
    <row r="1922" ht="17.25" customHeight="1" s="453" thickBot="1">
      <c r="A1922" s="553">
        <f>IFERROR(LEFT(B1922,7),"")</f>
        <v/>
      </c>
      <c r="B1922" s="554">
        <f>"2026/04"&amp;D1922</f>
        <v/>
      </c>
      <c r="C1922" s="559" t="n">
        <v>138</v>
      </c>
      <c r="D1922" s="484" t="inlineStr">
        <is>
          <t>忠孝7樓</t>
        </is>
      </c>
      <c r="E1922" s="484" t="inlineStr">
        <is>
          <t>6170033</t>
        </is>
      </c>
      <c r="F1922" s="551" t="n"/>
      <c r="G1922" s="484" t="inlineStr">
        <is>
          <t>立特拉A2筆型探頭4.5mm/ 條</t>
        </is>
      </c>
      <c r="H1922" s="552" t="n"/>
      <c r="I1922" s="552" t="n"/>
      <c r="J1922" s="551" t="n"/>
      <c r="K1922" s="140" t="inlineStr">
        <is>
          <t>240,500條/顆</t>
        </is>
      </c>
      <c r="L1922" s="560" t="n">
        <v>76893</v>
      </c>
      <c r="O1922" s="561" t="n"/>
    </row>
    <row r="1923" ht="17.25" customHeight="1" s="453" thickBot="1">
      <c r="A1923" s="553">
        <f>IFERROR(LEFT(B1923,7),"")</f>
        <v/>
      </c>
      <c r="B1923" s="554">
        <f>"2026/04"&amp;D1923</f>
        <v/>
      </c>
      <c r="C1923" s="559" t="n">
        <v>139</v>
      </c>
      <c r="D1923" s="484" t="inlineStr">
        <is>
          <t>忠孝7樓</t>
        </is>
      </c>
      <c r="E1923" s="484" t="inlineStr">
        <is>
          <t>6170034</t>
        </is>
      </c>
      <c r="F1923" s="551" t="n"/>
      <c r="G1923" s="484" t="inlineStr">
        <is>
          <t>十蓓電波臉部探頭5cm</t>
        </is>
      </c>
      <c r="H1923" s="552" t="n"/>
      <c r="I1923" s="552" t="n"/>
      <c r="J1923" s="551" t="n"/>
      <c r="K1923" s="140" t="inlineStr">
        <is>
          <t>900發/顆</t>
        </is>
      </c>
      <c r="L1923" s="560" t="n">
        <v>157500</v>
      </c>
      <c r="O1923" s="561" t="n"/>
    </row>
    <row r="1924" ht="17.25" customHeight="1" s="453" thickBot="1">
      <c r="A1924" s="553">
        <f>IFERROR(LEFT(B1924,7),"")</f>
        <v/>
      </c>
      <c r="B1924" s="554">
        <f>"2026/04"&amp;D1924</f>
        <v/>
      </c>
      <c r="C1924" s="559" t="n">
        <v>140</v>
      </c>
      <c r="D1924" s="484" t="inlineStr">
        <is>
          <t>忠孝7樓</t>
        </is>
      </c>
      <c r="E1924" s="484" t="inlineStr">
        <is>
          <t>6170035</t>
        </is>
      </c>
      <c r="F1924" s="551" t="n"/>
      <c r="G1924" s="484" t="inlineStr">
        <is>
          <t>十蓓電波眼部探頭0.25cm</t>
        </is>
      </c>
      <c r="H1924" s="552" t="n"/>
      <c r="I1924" s="552" t="n"/>
      <c r="J1924" s="551" t="n"/>
      <c r="K1924" s="140" t="inlineStr">
        <is>
          <t>600發/顆</t>
        </is>
      </c>
      <c r="L1924" s="560" t="n">
        <v>26601</v>
      </c>
      <c r="O1924" s="561" t="n"/>
    </row>
    <row r="1925" ht="17.25" customHeight="1" s="453" thickBot="1">
      <c r="A1925" s="553">
        <f>IFERROR(LEFT(B1925,7),"")</f>
        <v/>
      </c>
      <c r="B1925" s="554">
        <f>"2026/04"&amp;D1925</f>
        <v/>
      </c>
      <c r="C1925" s="559" t="n">
        <v>141</v>
      </c>
      <c r="D1925" s="484" t="inlineStr">
        <is>
          <t>忠孝7樓</t>
        </is>
      </c>
      <c r="E1925" s="484" t="inlineStr">
        <is>
          <t>6180011</t>
        </is>
      </c>
      <c r="F1925" s="551" t="n"/>
      <c r="G1925" s="484" t="inlineStr">
        <is>
          <t>(V)MINT秘特拉提線UP 9.5CM/ 條</t>
        </is>
      </c>
      <c r="H1925" s="552" t="n"/>
      <c r="I1925" s="552" t="n"/>
      <c r="J1925" s="551" t="n"/>
      <c r="K1925" s="140" t="inlineStr">
        <is>
          <t>10條/盒</t>
        </is>
      </c>
      <c r="L1925" s="560" t="n">
        <v>2</v>
      </c>
      <c r="O1925" s="561" t="n"/>
    </row>
    <row r="1926" ht="17.25" customHeight="1" s="453" thickBot="1">
      <c r="A1926" s="553">
        <f>IFERROR(LEFT(B1926,7),"")</f>
        <v/>
      </c>
      <c r="B1926" s="554">
        <f>"2026/04"&amp;D1926</f>
        <v/>
      </c>
      <c r="C1926" s="559" t="n">
        <v>142</v>
      </c>
      <c r="D1926" s="484" t="inlineStr">
        <is>
          <t>忠孝7樓</t>
        </is>
      </c>
      <c r="E1926" s="484" t="inlineStr">
        <is>
          <t>6180013</t>
        </is>
      </c>
      <c r="F1926" s="551" t="n"/>
      <c r="G1926" s="484" t="inlineStr">
        <is>
          <t>(V)MINT秘特拉提線FIX 18CM/ 條</t>
        </is>
      </c>
      <c r="H1926" s="552" t="n"/>
      <c r="I1926" s="552" t="n"/>
      <c r="J1926" s="551" t="n"/>
      <c r="K1926" s="140" t="inlineStr">
        <is>
          <t>20條/盒</t>
        </is>
      </c>
      <c r="L1926" s="560" t="n">
        <v>8</v>
      </c>
      <c r="O1926" s="561" t="n"/>
    </row>
    <row r="1927" ht="17.25" customHeight="1" s="453" thickBot="1">
      <c r="A1927" s="553">
        <f>IFERROR(LEFT(B1927,7),"")</f>
        <v/>
      </c>
      <c r="B1927" s="554">
        <f>"2026/04"&amp;D1927</f>
        <v/>
      </c>
      <c r="C1927" s="559" t="n">
        <v>143</v>
      </c>
      <c r="D1927" s="484" t="inlineStr">
        <is>
          <t>忠孝7樓</t>
        </is>
      </c>
      <c r="E1927" s="484" t="inlineStr">
        <is>
          <t>6190001</t>
        </is>
      </c>
      <c r="F1927" s="551" t="n"/>
      <c r="G1927" s="484" t="inlineStr">
        <is>
          <t>PLT生長因子凍晶製備/ 瓶</t>
        </is>
      </c>
      <c r="H1927" s="552" t="n"/>
      <c r="I1927" s="552" t="n"/>
      <c r="J1927" s="551" t="n"/>
      <c r="K1927" s="140" t="inlineStr">
        <is>
          <t>瓶</t>
        </is>
      </c>
      <c r="L1927" s="560" t="n">
        <v>1</v>
      </c>
      <c r="O1927" s="561" t="n"/>
    </row>
    <row r="1928" ht="17.25" customHeight="1" s="453" thickBot="1">
      <c r="A1928" s="553">
        <f>IFERROR(LEFT(B1928,7),"")</f>
        <v/>
      </c>
      <c r="B1928" s="554">
        <f>"2026/04"&amp;D1928</f>
        <v/>
      </c>
      <c r="C1928" s="559" t="n">
        <v>144</v>
      </c>
      <c r="D1928" s="484" t="inlineStr">
        <is>
          <t>忠孝7樓</t>
        </is>
      </c>
      <c r="E1928" s="484" t="inlineStr">
        <is>
          <t>6190003</t>
        </is>
      </c>
      <c r="F1928" s="551" t="n"/>
      <c r="G1928" s="484" t="inlineStr">
        <is>
          <t>PLT生長因子凍晶製備10入(單瓶)</t>
        </is>
      </c>
      <c r="H1928" s="552" t="n"/>
      <c r="I1928" s="552" t="n"/>
      <c r="J1928" s="551" t="n"/>
      <c r="K1928" s="140" t="inlineStr">
        <is>
          <t>瓶(10入/組)</t>
        </is>
      </c>
      <c r="L1928" s="560" t="n">
        <v>8</v>
      </c>
      <c r="O1928" s="561" t="n"/>
    </row>
    <row r="1929" ht="17.25" customHeight="1" s="453" thickBot="1">
      <c r="A1929" s="553">
        <f>IFERROR(LEFT(B1929,7),"")</f>
        <v/>
      </c>
      <c r="B1929" s="554">
        <f>"2026/04"&amp;D1929</f>
        <v/>
      </c>
      <c r="C1929" s="559" t="n">
        <v>145</v>
      </c>
      <c r="D1929" s="484" t="inlineStr">
        <is>
          <t>忠孝7樓</t>
        </is>
      </c>
      <c r="E1929" s="484" t="inlineStr">
        <is>
          <t>6190004</t>
        </is>
      </c>
      <c r="F1929" s="551" t="n"/>
      <c r="G1929" s="484" t="inlineStr">
        <is>
          <t>PLT生長因子凍晶製備20入(單瓶)</t>
        </is>
      </c>
      <c r="H1929" s="552" t="n"/>
      <c r="I1929" s="552" t="n"/>
      <c r="J1929" s="551" t="n"/>
      <c r="K1929" s="140" t="inlineStr">
        <is>
          <t>瓶(20入/組)</t>
        </is>
      </c>
      <c r="L1929" s="560" t="n">
        <v>31</v>
      </c>
      <c r="O1929" s="561" t="n"/>
    </row>
    <row r="1930" ht="17.25" customHeight="1" s="453" thickBot="1">
      <c r="A1930" s="553">
        <f>IFERROR(LEFT(B1930,7),"")</f>
        <v/>
      </c>
      <c r="B1930" s="554">
        <f>"2026/04"&amp;D1930</f>
        <v/>
      </c>
      <c r="C1930" s="559" t="n">
        <v>146</v>
      </c>
      <c r="D1930" s="484" t="inlineStr">
        <is>
          <t>忠孝7樓</t>
        </is>
      </c>
      <c r="E1930" s="484" t="inlineStr">
        <is>
          <t>6190006</t>
        </is>
      </c>
      <c r="F1930" s="551" t="n"/>
      <c r="G1930" s="484" t="inlineStr">
        <is>
          <t>(V)ExoPower 泌力機泌凍晶 5mg</t>
        </is>
      </c>
      <c r="H1930" s="552" t="n"/>
      <c r="I1930" s="552" t="n"/>
      <c r="J1930" s="551" t="n"/>
      <c r="K1930" s="140" t="inlineStr">
        <is>
          <t>瓶</t>
        </is>
      </c>
      <c r="L1930" s="560" t="n">
        <v>23</v>
      </c>
      <c r="O1930" s="561" t="n"/>
    </row>
    <row r="1931" ht="17.25" customHeight="1" s="453" thickBot="1">
      <c r="A1931" s="553">
        <f>IFERROR(LEFT(B1931,7),"")</f>
        <v/>
      </c>
      <c r="B1931" s="554">
        <f>"2026/04"&amp;D1931</f>
        <v/>
      </c>
      <c r="C1931" s="559" t="n">
        <v>147</v>
      </c>
      <c r="D1931" s="484" t="inlineStr">
        <is>
          <t>忠孝7樓</t>
        </is>
      </c>
      <c r="E1931" s="484" t="inlineStr">
        <is>
          <t>6200003</t>
        </is>
      </c>
      <c r="F1931" s="551" t="n"/>
      <c r="G1931" s="484" t="inlineStr">
        <is>
          <t>(V)倍克脂Belkyra/ 瓶(20的倍數下單)</t>
        </is>
      </c>
      <c r="H1931" s="552" t="n"/>
      <c r="I1931" s="552" t="n"/>
      <c r="J1931" s="551" t="n"/>
      <c r="K1931" s="140" t="inlineStr">
        <is>
          <t>4瓶/盒</t>
        </is>
      </c>
      <c r="L1931" s="560" t="n">
        <v>2</v>
      </c>
      <c r="O1931" s="561" t="n"/>
    </row>
    <row r="1932" ht="17.25" customHeight="1" s="453" thickBot="1">
      <c r="A1932" s="553">
        <f>IFERROR(LEFT(B1932,7),"")</f>
        <v/>
      </c>
      <c r="B1932" s="554">
        <f>"2026/04"&amp;D1932</f>
        <v/>
      </c>
      <c r="C1932" s="559" t="n">
        <v>148</v>
      </c>
      <c r="D1932" s="484" t="inlineStr">
        <is>
          <t>忠孝7樓</t>
        </is>
      </c>
      <c r="E1932" s="484" t="inlineStr">
        <is>
          <t>6200006</t>
        </is>
      </c>
      <c r="F1932" s="551" t="n"/>
      <c r="G1932" s="484" t="inlineStr">
        <is>
          <t>(V)容脂/ 瓶  (24倍數叫貨)</t>
        </is>
      </c>
      <c r="H1932" s="552" t="n"/>
      <c r="I1932" s="552" t="n"/>
      <c r="J1932" s="551" t="n"/>
      <c r="K1932" s="140" t="inlineStr">
        <is>
          <t>4瓶/盒</t>
        </is>
      </c>
      <c r="L1932" s="560" t="n">
        <v>2</v>
      </c>
      <c r="O1932" s="561" t="n"/>
    </row>
    <row r="1933" ht="17.25" customHeight="1" s="453" thickBot="1">
      <c r="A1933" s="553">
        <f>IFERROR(LEFT(B1933,7),"")</f>
        <v/>
      </c>
      <c r="B1933" s="554">
        <f>"2026/04"&amp;D1933</f>
        <v/>
      </c>
      <c r="C1933" s="559" t="n">
        <v>149</v>
      </c>
      <c r="D1933" s="484" t="inlineStr">
        <is>
          <t>忠孝7樓</t>
        </is>
      </c>
      <c r="E1933" s="484" t="inlineStr">
        <is>
          <t>6210001</t>
        </is>
      </c>
      <c r="F1933" s="551" t="n"/>
      <c r="G1933" s="484" t="inlineStr">
        <is>
          <t>(V)水光針針頭/31G9針/1.0mm/ PCS</t>
        </is>
      </c>
      <c r="H1933" s="552" t="n"/>
      <c r="I1933" s="552" t="n"/>
      <c r="J1933" s="551" t="n"/>
      <c r="K1933" s="140" t="inlineStr">
        <is>
          <t>PCS(20入/盒)</t>
        </is>
      </c>
      <c r="L1933" s="560" t="n">
        <v>2</v>
      </c>
    </row>
    <row r="1934" ht="17.25" customHeight="1" s="453" thickBot="1">
      <c r="A1934" s="553">
        <f>IFERROR(LEFT(B1934,7),"")</f>
        <v/>
      </c>
      <c r="B1934" s="554">
        <f>"2026/04"&amp;D1934</f>
        <v/>
      </c>
      <c r="C1934" s="559" t="n">
        <v>150</v>
      </c>
      <c r="D1934" s="484" t="inlineStr">
        <is>
          <t>忠孝7樓</t>
        </is>
      </c>
      <c r="E1934" s="484" t="inlineStr">
        <is>
          <t>6210002</t>
        </is>
      </c>
      <c r="F1934" s="551" t="n"/>
      <c r="G1934" s="484" t="inlineStr">
        <is>
          <t>(V)水光針針頭/31G9針/1.2mm/ PCS</t>
        </is>
      </c>
      <c r="H1934" s="552" t="n"/>
      <c r="I1934" s="552" t="n"/>
      <c r="J1934" s="551" t="n"/>
      <c r="K1934" s="140" t="inlineStr">
        <is>
          <t>PCS(20入/盒)</t>
        </is>
      </c>
      <c r="L1934" s="560" t="n">
        <v>284</v>
      </c>
    </row>
    <row r="1935" ht="17.25" customHeight="1" s="453" thickBot="1">
      <c r="A1935" s="553">
        <f>IFERROR(LEFT(B1935,7),"")</f>
        <v/>
      </c>
      <c r="B1935" s="554">
        <f>"2026/04"&amp;D1935</f>
        <v/>
      </c>
      <c r="C1935" s="559" t="n">
        <v>151</v>
      </c>
      <c r="D1935" s="484" t="inlineStr">
        <is>
          <t>忠孝7樓</t>
        </is>
      </c>
      <c r="E1935" s="484" t="inlineStr">
        <is>
          <t>6210003</t>
        </is>
      </c>
      <c r="F1935" s="551" t="n"/>
      <c r="G1935" s="484" t="inlineStr">
        <is>
          <t>(V)水光針針頭/31G9針/1.5mm/ PCS</t>
        </is>
      </c>
      <c r="H1935" s="552" t="n"/>
      <c r="I1935" s="552" t="n"/>
      <c r="J1935" s="551" t="n"/>
      <c r="K1935" s="140" t="inlineStr">
        <is>
          <t>PCS(20入/盒)</t>
        </is>
      </c>
      <c r="L1935" s="560" t="n">
        <v>26</v>
      </c>
    </row>
    <row r="1936" ht="17.25" customHeight="1" s="453" thickBot="1">
      <c r="A1936" s="553">
        <f>IFERROR(LEFT(B1936,7),"")</f>
        <v/>
      </c>
      <c r="B1936" s="554">
        <f>"2026/04"&amp;D1936</f>
        <v/>
      </c>
      <c r="C1936" s="559" t="n">
        <v>152</v>
      </c>
      <c r="D1936" s="484" t="inlineStr">
        <is>
          <t>忠孝7樓</t>
        </is>
      </c>
      <c r="E1936" s="484" t="inlineStr">
        <is>
          <t>6210006</t>
        </is>
      </c>
      <c r="F1936" s="551" t="n"/>
      <c r="G1936" s="484" t="inlineStr">
        <is>
          <t>(V)麗珠蘭修復水光(A劑2ml+B劑2ml)</t>
        </is>
      </c>
      <c r="H1936" s="552" t="n"/>
      <c r="I1936" s="552" t="n"/>
      <c r="J1936" s="551" t="n"/>
      <c r="K1936" s="140" t="inlineStr">
        <is>
          <t>2ml*2</t>
        </is>
      </c>
      <c r="L1936" s="560" t="n">
        <v>5</v>
      </c>
    </row>
    <row r="1937" ht="17.25" customHeight="1" s="453" thickBot="1">
      <c r="A1937" s="553">
        <f>IFERROR(LEFT(B1937,7),"")</f>
        <v/>
      </c>
      <c r="B1937" s="554">
        <f>"2026/04"&amp;D1937</f>
        <v/>
      </c>
      <c r="C1937" s="559" t="n">
        <v>153</v>
      </c>
      <c r="D1937" s="484" t="inlineStr">
        <is>
          <t>忠孝7樓</t>
        </is>
      </c>
      <c r="E1937" s="484" t="inlineStr">
        <is>
          <t>6210008</t>
        </is>
      </c>
      <c r="F1937" s="551" t="n"/>
      <c r="G1937" s="484" t="inlineStr">
        <is>
          <t>微針筆針頭</t>
        </is>
      </c>
      <c r="H1937" s="552" t="n"/>
      <c r="I1937" s="552" t="n"/>
      <c r="J1937" s="551" t="n"/>
      <c r="K1937" s="140" t="inlineStr">
        <is>
          <t>PCS(33入/盒)</t>
        </is>
      </c>
      <c r="L1937" s="560" t="n">
        <v>9</v>
      </c>
    </row>
    <row r="1938" ht="17.25" customHeight="1" s="453" thickBot="1">
      <c r="A1938" s="553">
        <f>IFERROR(LEFT(B1938,7),"")</f>
        <v/>
      </c>
      <c r="B1938" s="554">
        <f>"2026/04"&amp;D1938</f>
        <v/>
      </c>
      <c r="C1938" s="559" t="n">
        <v>154</v>
      </c>
      <c r="D1938" s="484" t="inlineStr">
        <is>
          <t>忠孝7樓</t>
        </is>
      </c>
      <c r="E1938" s="484" t="inlineStr">
        <is>
          <t>6220005</t>
        </is>
      </c>
      <c r="F1938" s="551" t="n"/>
      <c r="G1938" s="484" t="inlineStr">
        <is>
          <t>海菲秀深藍端頭/ 顆</t>
        </is>
      </c>
      <c r="H1938" s="552" t="n"/>
      <c r="I1938" s="552" t="n"/>
      <c r="J1938" s="551" t="n"/>
      <c r="K1938" s="140" t="inlineStr">
        <is>
          <t>15顆/串</t>
        </is>
      </c>
      <c r="L1938" s="560" t="n">
        <v>842</v>
      </c>
    </row>
    <row r="1939" ht="17.25" customHeight="1" s="453" thickBot="1">
      <c r="A1939" s="553">
        <f>IFERROR(LEFT(B1939,7),"")</f>
        <v/>
      </c>
      <c r="B1939" s="554">
        <f>"2026/04"&amp;D1939</f>
        <v/>
      </c>
      <c r="C1939" s="559" t="n">
        <v>155</v>
      </c>
      <c r="D1939" s="484" t="inlineStr">
        <is>
          <t>忠孝7樓</t>
        </is>
      </c>
      <c r="E1939" s="484" t="inlineStr">
        <is>
          <t>6220006</t>
        </is>
      </c>
      <c r="F1939" s="551" t="n"/>
      <c r="G1939" s="484" t="inlineStr">
        <is>
          <t>海菲秀淺藍端頭/ 顆</t>
        </is>
      </c>
      <c r="H1939" s="552" t="n"/>
      <c r="I1939" s="552" t="n"/>
      <c r="J1939" s="551" t="n"/>
      <c r="K1939" s="140" t="inlineStr">
        <is>
          <t>15顆/串</t>
        </is>
      </c>
      <c r="L1939" s="560" t="n">
        <v>842</v>
      </c>
    </row>
    <row r="1940" ht="17.25" customHeight="1" s="453" thickBot="1">
      <c r="A1940" s="553">
        <f>IFERROR(LEFT(B1940,7),"")</f>
        <v/>
      </c>
      <c r="B1940" s="554">
        <f>"2026/04"&amp;D1940</f>
        <v/>
      </c>
      <c r="C1940" s="559" t="n">
        <v>156</v>
      </c>
      <c r="D1940" s="484" t="inlineStr">
        <is>
          <t>忠孝7樓</t>
        </is>
      </c>
      <c r="E1940" s="484" t="inlineStr">
        <is>
          <t>6220007</t>
        </is>
      </c>
      <c r="F1940" s="551" t="n"/>
      <c r="G1940" s="484" t="inlineStr">
        <is>
          <t>海菲秀透明端頭/ 顆</t>
        </is>
      </c>
      <c r="H1940" s="552" t="n"/>
      <c r="I1940" s="552" t="n"/>
      <c r="J1940" s="551" t="n"/>
      <c r="K1940" s="140" t="inlineStr">
        <is>
          <t>15顆/串</t>
        </is>
      </c>
      <c r="L1940" s="560" t="n">
        <v>842</v>
      </c>
    </row>
    <row r="1941" ht="17.25" customHeight="1" s="453" thickBot="1">
      <c r="A1941" s="553">
        <f>IFERROR(LEFT(B1941,7),"")</f>
        <v/>
      </c>
      <c r="B1941" s="554">
        <f>"2026/04"&amp;D1941</f>
        <v/>
      </c>
      <c r="C1941" s="559" t="n">
        <v>157</v>
      </c>
      <c r="D1941" s="484" t="inlineStr">
        <is>
          <t>忠孝7樓</t>
        </is>
      </c>
      <c r="E1941" s="484" t="inlineStr">
        <is>
          <t>6220012</t>
        </is>
      </c>
      <c r="F1941" s="551" t="n"/>
      <c r="G1941" s="484" t="inlineStr">
        <is>
          <t>(V)(第一劑)海菲秀 Activ-4 Skin Solution/mL</t>
        </is>
      </c>
      <c r="H1941" s="552" t="n"/>
      <c r="I1941" s="552" t="n"/>
      <c r="J1941" s="551" t="n"/>
      <c r="K1941" s="140" t="inlineStr">
        <is>
          <t>236ml/瓶</t>
        </is>
      </c>
      <c r="L1941" s="560" t="n">
        <v>12630</v>
      </c>
    </row>
    <row r="1942" ht="17.25" customHeight="1" s="453" thickBot="1">
      <c r="A1942" s="553">
        <f>IFERROR(LEFT(B1942,7),"")</f>
        <v/>
      </c>
      <c r="B1942" s="554">
        <f>"2026/04"&amp;D1942</f>
        <v/>
      </c>
      <c r="C1942" s="559" t="n">
        <v>158</v>
      </c>
      <c r="D1942" s="484" t="inlineStr">
        <is>
          <t>忠孝7樓</t>
        </is>
      </c>
      <c r="E1942" s="484" t="inlineStr">
        <is>
          <t>6220013</t>
        </is>
      </c>
      <c r="F1942" s="551" t="n"/>
      <c r="G1942" s="484" t="inlineStr">
        <is>
          <t>(V)(第二劑)海菲秀 Beta-HD Skin Solution /mL</t>
        </is>
      </c>
      <c r="H1942" s="552" t="n"/>
      <c r="I1942" s="552" t="n"/>
      <c r="J1942" s="551" t="n"/>
      <c r="K1942" s="140" t="inlineStr">
        <is>
          <t>236ml/瓶</t>
        </is>
      </c>
      <c r="L1942" s="560" t="n">
        <v>12630</v>
      </c>
    </row>
    <row r="1943" ht="17.25" customHeight="1" s="453" thickBot="1">
      <c r="A1943" s="553">
        <f>IFERROR(LEFT(B1943,7),"")</f>
        <v/>
      </c>
      <c r="B1943" s="554">
        <f>"2026/04"&amp;D1943</f>
        <v/>
      </c>
      <c r="C1943" s="559" t="n">
        <v>159</v>
      </c>
      <c r="D1943" s="484" t="inlineStr">
        <is>
          <t>忠孝7樓</t>
        </is>
      </c>
      <c r="E1943" s="484" t="inlineStr">
        <is>
          <t>6220014</t>
        </is>
      </c>
      <c r="F1943" s="551" t="n"/>
      <c r="G1943" s="484" t="inlineStr">
        <is>
          <t>(V)(第三劑)海菲秀 Antiox-6 Skin Solution /mL</t>
        </is>
      </c>
      <c r="H1943" s="552" t="n"/>
      <c r="I1943" s="552" t="n"/>
      <c r="J1943" s="551" t="n"/>
      <c r="K1943" s="140" t="inlineStr">
        <is>
          <t>236ml/瓶</t>
        </is>
      </c>
      <c r="L1943" s="560" t="n">
        <v>12630</v>
      </c>
    </row>
    <row r="1944" ht="17.25" customHeight="1" s="453" thickBot="1">
      <c r="A1944" s="553">
        <f>IFERROR(LEFT(B1944,7),"")</f>
        <v/>
      </c>
      <c r="B1944" s="554">
        <f>"2026/04"&amp;D1944</f>
        <v/>
      </c>
      <c r="C1944" s="559" t="n">
        <v>160</v>
      </c>
      <c r="D1944" s="484" t="inlineStr">
        <is>
          <t>忠孝7樓</t>
        </is>
      </c>
      <c r="E1944" s="484" t="inlineStr">
        <is>
          <t>6220015</t>
        </is>
      </c>
      <c r="F1944" s="551" t="n"/>
      <c r="G1944" s="484" t="inlineStr">
        <is>
          <t>(V)(第四劑)海菲秀 Rinseaway System Cleaning Solution /mL</t>
        </is>
      </c>
      <c r="H1944" s="552" t="n"/>
      <c r="I1944" s="552" t="n"/>
      <c r="J1944" s="551" t="n"/>
      <c r="K1944" s="140" t="inlineStr">
        <is>
          <t>236ml/瓶</t>
        </is>
      </c>
      <c r="L1944" s="560" t="n">
        <v>12630</v>
      </c>
    </row>
    <row r="1945" ht="17.25" customHeight="1" s="453" thickBot="1">
      <c r="A1945" s="553">
        <f>IFERROR(LEFT(B1945,7),"")</f>
        <v/>
      </c>
      <c r="B1945" s="554">
        <f>"2026/04"&amp;D1945</f>
        <v/>
      </c>
      <c r="C1945" s="559" t="n">
        <v>161</v>
      </c>
      <c r="D1945" s="484" t="inlineStr">
        <is>
          <t>忠孝國際醫學3樓</t>
        </is>
      </c>
      <c r="E1945" s="484" t="inlineStr">
        <is>
          <t>6120001</t>
        </is>
      </c>
      <c r="F1945" s="551" t="n"/>
      <c r="G1945" s="484" t="inlineStr">
        <is>
          <t>(V)肝得健注射劑/ 瓶，640倍數叫貨</t>
        </is>
      </c>
      <c r="H1945" s="552" t="n"/>
      <c r="I1945" s="552" t="n"/>
      <c r="J1945" s="551" t="n"/>
      <c r="K1945" s="140" t="inlineStr">
        <is>
          <t>20支/盒</t>
        </is>
      </c>
      <c r="L1945" s="560" t="n">
        <v>1594</v>
      </c>
    </row>
    <row r="1946" ht="17.25" customHeight="1" s="453" thickBot="1">
      <c r="A1946" s="553">
        <f>IFERROR(LEFT(B1946,7),"")</f>
        <v/>
      </c>
      <c r="B1946" s="554">
        <f>"2026/04"&amp;D1946</f>
        <v/>
      </c>
      <c r="C1946" s="559" t="n">
        <v>162</v>
      </c>
      <c r="D1946" s="484" t="inlineStr">
        <is>
          <t>忠孝國際醫學3樓</t>
        </is>
      </c>
      <c r="E1946" s="484" t="inlineStr">
        <is>
          <t>6120002</t>
        </is>
      </c>
      <c r="F1946" s="551" t="n"/>
      <c r="G1946" s="484" t="inlineStr">
        <is>
          <t>(V)卡妮丁注射劑/ 瓶，640倍數叫貨</t>
        </is>
      </c>
      <c r="H1946" s="552" t="n"/>
      <c r="I1946" s="552" t="n"/>
      <c r="J1946" s="551" t="n"/>
      <c r="K1946" s="140" t="inlineStr">
        <is>
          <t>5支/盒</t>
        </is>
      </c>
      <c r="L1946" s="560" t="n">
        <v>1924.5</v>
      </c>
    </row>
    <row r="1947" ht="17.25" customHeight="1" s="453" thickBot="1">
      <c r="A1947" s="553">
        <f>IFERROR(LEFT(B1947,7),"")</f>
        <v/>
      </c>
      <c r="B1947" s="554">
        <f>"2026/04"&amp;D1947</f>
        <v/>
      </c>
      <c r="C1947" s="559" t="n">
        <v>163</v>
      </c>
      <c r="D1947" s="484" t="inlineStr">
        <is>
          <t>忠孝國際醫學3樓</t>
        </is>
      </c>
      <c r="E1947" s="484" t="inlineStr">
        <is>
          <t>6120003</t>
        </is>
      </c>
      <c r="F1947" s="551" t="n"/>
      <c r="G1947" s="484" t="inlineStr">
        <is>
          <t>(V)貝力多(雙胜胺) 20% 30mL/ 瓶，60倍數叫貨</t>
        </is>
      </c>
      <c r="H1947" s="552" t="n"/>
      <c r="I1947" s="552" t="n"/>
      <c r="J1947" s="551" t="n"/>
      <c r="K1947" s="140" t="inlineStr">
        <is>
          <t>10支/盒</t>
        </is>
      </c>
      <c r="L1947" s="560" t="n">
        <v>5</v>
      </c>
    </row>
    <row r="1948" ht="17.25" customHeight="1" s="453" thickBot="1">
      <c r="A1948" s="553">
        <f>IFERROR(LEFT(B1948,7),"")</f>
        <v/>
      </c>
      <c r="B1948" s="554">
        <f>"2026/04"&amp;D1948</f>
        <v/>
      </c>
      <c r="C1948" s="559" t="n">
        <v>164</v>
      </c>
      <c r="D1948" s="484" t="inlineStr">
        <is>
          <t>忠孝國際醫學3樓</t>
        </is>
      </c>
      <c r="E1948" s="484" t="inlineStr">
        <is>
          <t>6120004</t>
        </is>
      </c>
      <c r="F1948" s="551" t="n"/>
      <c r="G1948" s="484" t="inlineStr">
        <is>
          <t>(V)胺基酸點滴250ml/ 袋(安命活源/嘉安命)，20倍數叫貨</t>
        </is>
      </c>
      <c r="H1948" s="552" t="n"/>
      <c r="I1948" s="552" t="n"/>
      <c r="J1948" s="551" t="n"/>
      <c r="K1948" s="140" t="inlineStr">
        <is>
          <t>(20瓶/箱)</t>
        </is>
      </c>
      <c r="L1948" s="560" t="n">
        <v>30</v>
      </c>
    </row>
    <row r="1949" ht="17.25" customHeight="1" s="453" thickBot="1">
      <c r="A1949" s="553">
        <f>IFERROR(LEFT(B1949,7),"")</f>
        <v/>
      </c>
      <c r="B1949" s="554">
        <f>"2026/04"&amp;D1949</f>
        <v/>
      </c>
      <c r="C1949" s="559" t="n">
        <v>165</v>
      </c>
      <c r="D1949" s="484" t="inlineStr">
        <is>
          <t>忠孝國際醫學3樓</t>
        </is>
      </c>
      <c r="E1949" s="484" t="inlineStr">
        <is>
          <t>6120006</t>
        </is>
      </c>
      <c r="F1949" s="551" t="n"/>
      <c r="G1949" s="484" t="inlineStr">
        <is>
          <t>(V)(B12) 愛壽命 2mL，100倍數叫貨</t>
        </is>
      </c>
      <c r="H1949" s="552" t="n"/>
      <c r="I1949" s="552" t="n"/>
      <c r="J1949" s="551" t="n"/>
      <c r="K1949" s="140" t="inlineStr">
        <is>
          <t>(100支/盒)</t>
        </is>
      </c>
      <c r="L1949" s="560" t="n">
        <v>685</v>
      </c>
    </row>
    <row r="1950" ht="17.25" customHeight="1" s="453" thickBot="1">
      <c r="A1950" s="553">
        <f>IFERROR(LEFT(B1950,7),"")</f>
        <v/>
      </c>
      <c r="B1950" s="554">
        <f>"2026/04"&amp;D1950</f>
        <v/>
      </c>
      <c r="C1950" s="559" t="n">
        <v>166</v>
      </c>
      <c r="D1950" s="484" t="inlineStr">
        <is>
          <t>忠孝國際醫學3樓</t>
        </is>
      </c>
      <c r="E1950" s="484" t="inlineStr">
        <is>
          <t>6120007</t>
        </is>
      </c>
      <c r="F1950" s="551" t="n"/>
      <c r="G1950" s="484" t="inlineStr">
        <is>
          <t>(V)(硫酸鋅) 1ml/支，100倍數叫貨</t>
        </is>
      </c>
      <c r="H1950" s="552" t="n"/>
      <c r="I1950" s="552" t="n"/>
      <c r="J1950" s="551" t="n"/>
      <c r="K1950" s="140" t="inlineStr">
        <is>
          <t>100支/盒</t>
        </is>
      </c>
      <c r="L1950" s="560" t="n">
        <v>18</v>
      </c>
    </row>
    <row r="1951" ht="17.25" customHeight="1" s="453" thickBot="1">
      <c r="A1951" s="553">
        <f>IFERROR(LEFT(B1951,7),"")</f>
        <v/>
      </c>
      <c r="B1951" s="554">
        <f>"2026/04"&amp;D1951</f>
        <v/>
      </c>
      <c r="C1951" s="559" t="n">
        <v>167</v>
      </c>
      <c r="D1951" s="484" t="inlineStr">
        <is>
          <t>忠孝國際醫學3樓</t>
        </is>
      </c>
      <c r="E1951" s="484" t="inlineStr">
        <is>
          <t>6120008</t>
        </is>
      </c>
      <c r="F1951" s="551" t="n"/>
      <c r="G1951" s="484" t="inlineStr">
        <is>
          <t>(V)(硫酸鎂) 注射液 20ml/支</t>
        </is>
      </c>
      <c r="H1951" s="552" t="n"/>
      <c r="I1951" s="552" t="n"/>
      <c r="J1951" s="551" t="n"/>
      <c r="K1951" s="140" t="inlineStr">
        <is>
          <t>60支/盒</t>
        </is>
      </c>
      <c r="L1951" s="560" t="n">
        <v>7</v>
      </c>
    </row>
    <row r="1952" ht="17.25" customHeight="1" s="453" thickBot="1">
      <c r="A1952" s="553">
        <f>IFERROR(LEFT(B1952,7),"")</f>
        <v/>
      </c>
      <c r="B1952" s="554">
        <f>"2026/04"&amp;D1952</f>
        <v/>
      </c>
      <c r="C1952" s="559" t="n">
        <v>168</v>
      </c>
      <c r="D1952" s="484" t="inlineStr">
        <is>
          <t>忠孝國際醫學3樓</t>
        </is>
      </c>
      <c r="E1952" s="484" t="inlineStr">
        <is>
          <t>6120009</t>
        </is>
      </c>
      <c r="F1952" s="551" t="n"/>
      <c r="G1952" s="484" t="inlineStr">
        <is>
          <t>(V)(B1) 硫胺明 2ml</t>
        </is>
      </c>
      <c r="H1952" s="552" t="n"/>
      <c r="I1952" s="552" t="n"/>
      <c r="J1952" s="551" t="n"/>
      <c r="K1952" s="140" t="inlineStr">
        <is>
          <t>(100支/盒)</t>
        </is>
      </c>
      <c r="L1952" s="560" t="n">
        <v>11</v>
      </c>
    </row>
    <row r="1953" ht="17.25" customHeight="1" s="453" thickBot="1">
      <c r="A1953" s="553">
        <f>IFERROR(LEFT(B1953,7),"")</f>
        <v/>
      </c>
      <c r="B1953" s="554">
        <f>"2026/04"&amp;D1953</f>
        <v/>
      </c>
      <c r="C1953" s="559" t="n">
        <v>169</v>
      </c>
      <c r="D1953" s="484" t="inlineStr">
        <is>
          <t>忠孝國際醫學3樓</t>
        </is>
      </c>
      <c r="E1953" s="484" t="inlineStr">
        <is>
          <t>6120010</t>
        </is>
      </c>
      <c r="F1953" s="551" t="n"/>
      <c r="G1953" s="484" t="inlineStr">
        <is>
          <t>(V)(B6) 活性維生素 2ml，100倍數叫貨</t>
        </is>
      </c>
      <c r="H1953" s="552" t="n"/>
      <c r="I1953" s="552" t="n"/>
      <c r="J1953" s="551" t="n"/>
      <c r="K1953" s="140" t="inlineStr">
        <is>
          <t>(100支/盒)</t>
        </is>
      </c>
      <c r="L1953" s="560" t="n">
        <v>11</v>
      </c>
    </row>
    <row r="1954" ht="17.25" customHeight="1" s="453" thickBot="1">
      <c r="A1954" s="553">
        <f>IFERROR(LEFT(B1954,7),"")</f>
        <v/>
      </c>
      <c r="B1954" s="554">
        <f>"2026/04"&amp;D1954</f>
        <v/>
      </c>
      <c r="C1954" s="559" t="n">
        <v>170</v>
      </c>
      <c r="D1954" s="484" t="inlineStr">
        <is>
          <t>忠孝國際醫學3樓</t>
        </is>
      </c>
      <c r="E1954" s="484" t="inlineStr">
        <is>
          <t>6120011</t>
        </is>
      </c>
      <c r="F1954" s="551" t="n"/>
      <c r="G1954" s="484" t="inlineStr">
        <is>
          <t>(V)(硒) 西寧特 2ml/支</t>
        </is>
      </c>
      <c r="H1954" s="552" t="n"/>
      <c r="I1954" s="552" t="n"/>
      <c r="J1954" s="551" t="n"/>
      <c r="K1954" s="140" t="inlineStr">
        <is>
          <t>10支/盒</t>
        </is>
      </c>
      <c r="L1954" s="560" t="n">
        <v>11</v>
      </c>
    </row>
    <row r="1955" ht="17.25" customHeight="1" s="453" thickBot="1">
      <c r="A1955" s="553">
        <f>IFERROR(LEFT(B1955,7),"")</f>
        <v/>
      </c>
      <c r="B1955" s="554">
        <f>"2026/04"&amp;D1955</f>
        <v/>
      </c>
      <c r="C1955" s="559" t="n">
        <v>171</v>
      </c>
      <c r="D1955" s="484" t="inlineStr">
        <is>
          <t>忠孝國際醫學3樓</t>
        </is>
      </c>
      <c r="E1955" s="484" t="inlineStr">
        <is>
          <t>6120013</t>
        </is>
      </c>
      <c r="F1955" s="551" t="n"/>
      <c r="G1955" s="484" t="inlineStr">
        <is>
          <t>(V)生理食鹽水(NS) 250ml/ 袋</t>
        </is>
      </c>
      <c r="H1955" s="552" t="n"/>
      <c r="I1955" s="552" t="n"/>
      <c r="J1955" s="551" t="n"/>
      <c r="K1955" s="140" t="inlineStr">
        <is>
          <t>40瓶/箱</t>
        </is>
      </c>
      <c r="L1955" s="560" t="n">
        <v>662</v>
      </c>
    </row>
    <row r="1956" ht="17.25" customHeight="1" s="453" thickBot="1">
      <c r="A1956" s="553">
        <f>IFERROR(LEFT(B1956,7),"")</f>
        <v/>
      </c>
      <c r="B1956" s="554">
        <f>"2026/04"&amp;D1956</f>
        <v/>
      </c>
      <c r="C1956" s="559" t="n">
        <v>172</v>
      </c>
      <c r="D1956" s="484" t="inlineStr">
        <is>
          <t>忠孝國際醫學3樓</t>
        </is>
      </c>
      <c r="E1956" s="484" t="inlineStr">
        <is>
          <t>6120014</t>
        </is>
      </c>
      <c r="F1956" s="551" t="n"/>
      <c r="G1956" s="484" t="inlineStr">
        <is>
          <t>(V)葡萄糖水(D5W) 250ml/袋</t>
        </is>
      </c>
      <c r="H1956" s="552" t="n"/>
      <c r="I1956" s="552" t="n"/>
      <c r="J1956" s="551" t="n"/>
      <c r="K1956" s="140" t="inlineStr">
        <is>
          <t>60袋/箱</t>
        </is>
      </c>
      <c r="L1956" s="560" t="n">
        <v>1252</v>
      </c>
    </row>
    <row r="1957" ht="17.25" customHeight="1" s="453" thickBot="1">
      <c r="A1957" s="553">
        <f>IFERROR(LEFT(B1957,7),"")</f>
        <v/>
      </c>
      <c r="B1957" s="554">
        <f>"2026/04"&amp;D1957</f>
        <v/>
      </c>
      <c r="C1957" s="559" t="n">
        <v>173</v>
      </c>
      <c r="D1957" s="484" t="inlineStr">
        <is>
          <t>忠孝國際醫學3樓</t>
        </is>
      </c>
      <c r="E1957" s="484" t="inlineStr">
        <is>
          <t>6120015</t>
        </is>
      </c>
      <c r="F1957" s="551" t="n"/>
      <c r="G1957" s="484" t="inlineStr">
        <is>
          <t>(V)(B群)淘能美複合維他命B 2ml，100倍數叫貨</t>
        </is>
      </c>
      <c r="H1957" s="552" t="n"/>
      <c r="I1957" s="552" t="n"/>
      <c r="J1957" s="551" t="n"/>
      <c r="K1957" s="140" t="n"/>
      <c r="L1957" s="560" t="n">
        <v>14</v>
      </c>
    </row>
    <row r="1958" ht="17.25" customHeight="1" s="453" thickBot="1">
      <c r="A1958" s="553">
        <f>IFERROR(LEFT(B1958,7),"")</f>
        <v/>
      </c>
      <c r="B1958" s="554">
        <f>"2026/04"&amp;D1958</f>
        <v/>
      </c>
      <c r="C1958" s="559" t="n">
        <v>174</v>
      </c>
      <c r="D1958" s="484" t="inlineStr">
        <is>
          <t>忠孝國際醫學3樓</t>
        </is>
      </c>
      <c r="E1958" s="484" t="inlineStr">
        <is>
          <t>6120016</t>
        </is>
      </c>
      <c r="F1958" s="551" t="n"/>
      <c r="G1958" s="484" t="inlineStr">
        <is>
          <t>(V)(榖胱肝肽) 克樂達養200mg (20ml/瓶)</t>
        </is>
      </c>
      <c r="H1958" s="552" t="n"/>
      <c r="I1958" s="552" t="n"/>
      <c r="J1958" s="551" t="n"/>
      <c r="K1958" s="140" t="inlineStr">
        <is>
          <t>50支/盒</t>
        </is>
      </c>
      <c r="L1958" s="560" t="n">
        <v>14</v>
      </c>
    </row>
    <row r="1959" ht="17.25" customHeight="1" s="453" thickBot="1">
      <c r="A1959" s="553">
        <f>IFERROR(LEFT(B1959,7),"")</f>
        <v/>
      </c>
      <c r="B1959" s="554">
        <f>"2026/04"&amp;D1959</f>
        <v/>
      </c>
      <c r="C1959" s="559" t="n">
        <v>175</v>
      </c>
      <c r="D1959" s="484" t="inlineStr">
        <is>
          <t>忠孝國際醫學3樓</t>
        </is>
      </c>
      <c r="E1959" s="484" t="inlineStr">
        <is>
          <t>6120017</t>
        </is>
      </c>
      <c r="F1959" s="551" t="n"/>
      <c r="G1959" s="484" t="inlineStr">
        <is>
          <t>(V)保肝 5ml/支</t>
        </is>
      </c>
      <c r="H1959" s="552" t="n"/>
      <c r="I1959" s="552" t="n"/>
      <c r="J1959" s="551" t="n"/>
      <c r="K1959" s="140" t="inlineStr">
        <is>
          <t>50支/盒</t>
        </is>
      </c>
      <c r="L1959" s="560" t="n">
        <v>1</v>
      </c>
    </row>
    <row r="1960" ht="17.25" customHeight="1" s="453" thickBot="1">
      <c r="A1960" s="553">
        <f>IFERROR(LEFT(B1960,7),"")</f>
        <v/>
      </c>
      <c r="B1960" s="554">
        <f>"2026/04"&amp;D1960</f>
        <v/>
      </c>
      <c r="C1960" s="559" t="n">
        <v>176</v>
      </c>
      <c r="D1960" s="484" t="inlineStr">
        <is>
          <t>忠孝國際醫學3樓</t>
        </is>
      </c>
      <c r="E1960" s="484" t="inlineStr">
        <is>
          <t>6120021</t>
        </is>
      </c>
      <c r="F1960" s="551" t="n"/>
      <c r="G1960" s="484" t="inlineStr">
        <is>
          <t>(V)(Vit C)(抗壞血酸/諾貝爾)20ml，50倍數下單</t>
        </is>
      </c>
      <c r="H1960" s="552" t="n"/>
      <c r="I1960" s="552" t="n"/>
      <c r="J1960" s="551" t="n"/>
      <c r="K1960" s="140" t="inlineStr">
        <is>
          <t>50支/盒</t>
        </is>
      </c>
      <c r="L1960" s="560" t="n">
        <v>21</v>
      </c>
    </row>
    <row r="1961" ht="17.25" customHeight="1" s="453" thickBot="1">
      <c r="A1961" s="553">
        <f>IFERROR(LEFT(B1961,7),"")</f>
        <v/>
      </c>
      <c r="B1961" s="554">
        <f>"2026/04"&amp;D1961</f>
        <v/>
      </c>
      <c r="C1961" s="559" t="n">
        <v>177</v>
      </c>
      <c r="D1961" s="484" t="inlineStr">
        <is>
          <t>忠孝國際醫學3樓</t>
        </is>
      </c>
      <c r="E1961" s="484" t="inlineStr">
        <is>
          <t>6120036</t>
        </is>
      </c>
      <c r="F1961" s="551" t="n"/>
      <c r="G1961" s="484" t="inlineStr">
        <is>
          <t>(V)貝力多(雙胜胺) 20% 50mL/ 瓶，60倍數下單</t>
        </is>
      </c>
      <c r="H1961" s="552" t="n"/>
      <c r="I1961" s="552" t="n"/>
      <c r="J1961" s="551" t="n"/>
      <c r="K1961" s="140" t="inlineStr">
        <is>
          <t>瓶(10瓶/盒)</t>
        </is>
      </c>
      <c r="L1961" s="560" t="n">
        <v>7</v>
      </c>
    </row>
    <row r="1962" ht="17.25" customHeight="1" s="453" thickBot="1">
      <c r="A1962" s="553">
        <f>IFERROR(LEFT(B1962,7),"")</f>
        <v/>
      </c>
      <c r="B1962" s="554">
        <f>"2026/04"&amp;D1962</f>
        <v/>
      </c>
      <c r="C1962" s="559" t="n">
        <v>178</v>
      </c>
      <c r="D1962" s="484" t="inlineStr">
        <is>
          <t>忠孝國際醫學3樓</t>
        </is>
      </c>
      <c r="E1962" s="484" t="inlineStr">
        <is>
          <t>6200004</t>
        </is>
      </c>
      <c r="F1962" s="551" t="n"/>
      <c r="G1962" s="484" t="inlineStr">
        <is>
          <t>阿爾發SAT卡匣/ 發</t>
        </is>
      </c>
      <c r="H1962" s="552" t="n"/>
      <c r="I1962" s="552" t="n"/>
      <c r="J1962" s="551" t="n"/>
      <c r="K1962" s="140" t="inlineStr">
        <is>
          <t>50發/卡</t>
        </is>
      </c>
      <c r="L1962" s="560" t="n">
        <v>4383</v>
      </c>
    </row>
    <row r="1963" ht="17.25" customHeight="1" s="453" thickBot="1">
      <c r="A1963" s="553">
        <f>IFERROR(LEFT(B1963,7),"")</f>
        <v/>
      </c>
      <c r="B1963" s="554">
        <f>"2026/04"&amp;D1963</f>
        <v/>
      </c>
      <c r="C1963" s="559" t="n">
        <v>179</v>
      </c>
      <c r="D1963" s="484" t="inlineStr">
        <is>
          <t>忠孝國際醫學3樓</t>
        </is>
      </c>
      <c r="E1963" s="484" t="inlineStr">
        <is>
          <t>6200008</t>
        </is>
      </c>
      <c r="F1963" s="551" t="n"/>
      <c r="G1963" s="484" t="inlineStr">
        <is>
          <t>(V)瘦瘦筆-週纖達*1支(0.25mg)</t>
        </is>
      </c>
      <c r="H1963" s="552" t="n"/>
      <c r="I1963" s="552" t="n"/>
      <c r="J1963" s="551" t="n"/>
      <c r="K1963" s="140" t="inlineStr">
        <is>
          <t>支</t>
        </is>
      </c>
      <c r="L1963" s="560" t="n">
        <v>7</v>
      </c>
    </row>
    <row r="1964" ht="17.25" customHeight="1" s="453" thickBot="1">
      <c r="A1964" s="553">
        <f>IFERROR(LEFT(B1964,7),"")</f>
        <v/>
      </c>
      <c r="B1964" s="554">
        <f>"2026/04"&amp;D1964</f>
        <v/>
      </c>
      <c r="C1964" s="559" t="n">
        <v>180</v>
      </c>
      <c r="D1964" s="484" t="inlineStr">
        <is>
          <t>忠孝國際醫學3樓</t>
        </is>
      </c>
      <c r="E1964" s="484" t="inlineStr">
        <is>
          <t>6200010</t>
        </is>
      </c>
      <c r="F1964" s="551" t="n"/>
      <c r="G1964" s="484" t="inlineStr">
        <is>
          <t>(V)瘦瘦筆-週纖達*1支(1.0mg)</t>
        </is>
      </c>
      <c r="H1964" s="552" t="n"/>
      <c r="I1964" s="552" t="n"/>
      <c r="J1964" s="551" t="n"/>
      <c r="K1964" s="140" t="inlineStr">
        <is>
          <t>支</t>
        </is>
      </c>
      <c r="L1964" s="560" t="n">
        <v>4</v>
      </c>
    </row>
    <row r="1965" ht="17.25" customHeight="1" s="453" thickBot="1">
      <c r="A1965" s="553">
        <f>IFERROR(LEFT(B1965,7),"")</f>
        <v/>
      </c>
      <c r="B1965" s="554">
        <f>"2026/04"&amp;D1965</f>
        <v/>
      </c>
      <c r="C1965" s="559" t="n">
        <v>181</v>
      </c>
      <c r="D1965" s="484" t="inlineStr">
        <is>
          <t>忠孝國際醫學3樓</t>
        </is>
      </c>
      <c r="E1965" s="484" t="inlineStr">
        <is>
          <t>6200013</t>
        </is>
      </c>
      <c r="F1965" s="551" t="n"/>
      <c r="G1965" s="484" t="inlineStr">
        <is>
          <t>(V)猛健樂2.5mg*1支</t>
        </is>
      </c>
      <c r="H1965" s="552" t="n"/>
      <c r="I1965" s="552" t="n"/>
      <c r="J1965" s="551" t="n"/>
      <c r="K1965" s="140" t="inlineStr">
        <is>
          <t>3cc/支</t>
        </is>
      </c>
      <c r="L1965" s="560" t="n">
        <v>2</v>
      </c>
    </row>
    <row r="1966" ht="17.25" customHeight="1" s="453" thickBot="1">
      <c r="A1966" s="553">
        <f>IFERROR(LEFT(B1966,7),"")</f>
        <v/>
      </c>
      <c r="B1966" s="554">
        <f>"2026/04"&amp;D1966</f>
        <v/>
      </c>
      <c r="C1966" s="559" t="n">
        <v>182</v>
      </c>
      <c r="D1966" s="484" t="inlineStr">
        <is>
          <t>忠孝國際醫學3樓</t>
        </is>
      </c>
      <c r="E1966" s="484" t="inlineStr">
        <is>
          <t>6200014</t>
        </is>
      </c>
      <c r="F1966" s="551" t="n"/>
      <c r="G1966" s="484" t="inlineStr">
        <is>
          <t>(V)猛健樂5mg*1支</t>
        </is>
      </c>
      <c r="H1966" s="552" t="n"/>
      <c r="I1966" s="552" t="n"/>
      <c r="J1966" s="551" t="n"/>
      <c r="K1966" s="140" t="inlineStr">
        <is>
          <t>3cc/支</t>
        </is>
      </c>
      <c r="L1966" s="560" t="n">
        <v>7</v>
      </c>
    </row>
    <row r="1967" ht="17.25" customHeight="1" s="453" thickBot="1">
      <c r="A1967" s="553">
        <f>IFERROR(LEFT(B1967,7),"")</f>
        <v/>
      </c>
      <c r="B1967" s="554">
        <f>"2026/04"&amp;D1967</f>
        <v/>
      </c>
      <c r="C1967" s="559" t="n">
        <v>183</v>
      </c>
      <c r="D1967" s="484" t="inlineStr">
        <is>
          <t>忠孝國際醫學3樓</t>
        </is>
      </c>
      <c r="E1967" s="484" t="inlineStr">
        <is>
          <t>6200015</t>
        </is>
      </c>
      <c r="F1967" s="551" t="n"/>
      <c r="G1967" s="484" t="inlineStr">
        <is>
          <t>(V)猛健樂7.5mg*1支</t>
        </is>
      </c>
      <c r="H1967" s="552" t="n"/>
      <c r="I1967" s="552" t="n"/>
      <c r="J1967" s="551" t="n"/>
      <c r="K1967" s="140" t="inlineStr">
        <is>
          <t>3cc/支</t>
        </is>
      </c>
      <c r="L1967" s="560" t="n">
        <v>4</v>
      </c>
    </row>
    <row r="1968" ht="17.25" customHeight="1" s="453" thickBot="1">
      <c r="A1968" s="553">
        <f>IFERROR(LEFT(B1968,7),"")</f>
        <v/>
      </c>
      <c r="B1968" s="554">
        <f>"2026/04"&amp;D1968</f>
        <v/>
      </c>
      <c r="C1968" s="559" t="n">
        <v>184</v>
      </c>
      <c r="D1968" s="484" t="inlineStr">
        <is>
          <t>忠孝國際醫學3樓</t>
        </is>
      </c>
      <c r="E1968" s="484" t="inlineStr">
        <is>
          <t>6200016</t>
        </is>
      </c>
      <c r="F1968" s="551" t="n"/>
      <c r="G1968" s="484" t="inlineStr">
        <is>
          <t>(V)猛健樂10mg*1支</t>
        </is>
      </c>
      <c r="H1968" s="552" t="n"/>
      <c r="I1968" s="552" t="n"/>
      <c r="J1968" s="551" t="n"/>
      <c r="K1968" s="140" t="inlineStr">
        <is>
          <t>3cc/支</t>
        </is>
      </c>
      <c r="L1968" s="560" t="n">
        <v>8</v>
      </c>
    </row>
    <row r="1969" ht="17.25" customHeight="1" s="453" thickBot="1">
      <c r="A1969" s="553">
        <f>IFERROR(LEFT(B1969,7),"")</f>
        <v/>
      </c>
      <c r="B1969" s="554">
        <f>"2026/04"&amp;D1969</f>
        <v/>
      </c>
      <c r="C1969" s="559" t="n">
        <v>185</v>
      </c>
      <c r="D1969" s="484" t="inlineStr">
        <is>
          <t>忠孝國際醫學3樓</t>
        </is>
      </c>
      <c r="E1969" s="484" t="inlineStr">
        <is>
          <t>6200017</t>
        </is>
      </c>
      <c r="F1969" s="551" t="n"/>
      <c r="G1969" s="484" t="inlineStr">
        <is>
          <t>(V)猛健樂10mg/ 0.15CC</t>
        </is>
      </c>
      <c r="H1969" s="552" t="n"/>
      <c r="I1969" s="552" t="n"/>
      <c r="J1969" s="551" t="n"/>
      <c r="K1969" s="140" t="inlineStr">
        <is>
          <t>0.15cc/次</t>
        </is>
      </c>
      <c r="L1969" s="560" t="n">
        <v>2393.32</v>
      </c>
    </row>
    <row r="1970" ht="17.25" customHeight="1" s="453" thickBot="1">
      <c r="A1970" s="553">
        <f>IFERROR(LEFT(B1970,7),"")</f>
        <v/>
      </c>
      <c r="B1970" s="554">
        <f>"2026/04"&amp;D1970</f>
        <v/>
      </c>
      <c r="C1970" s="559" t="n">
        <v>186</v>
      </c>
      <c r="D1970" s="484" t="inlineStr">
        <is>
          <t>忠孝國際醫學3樓</t>
        </is>
      </c>
      <c r="E1970" s="484" t="inlineStr">
        <is>
          <t>6200020</t>
        </is>
      </c>
      <c r="F1970" s="551" t="n"/>
      <c r="G1970" s="484" t="inlineStr">
        <is>
          <t>(V)猛健樂7.5mg/ 0.2CC</t>
        </is>
      </c>
      <c r="H1970" s="552" t="n"/>
      <c r="I1970" s="552" t="n"/>
      <c r="J1970" s="551" t="n"/>
      <c r="K1970" s="140" t="inlineStr">
        <is>
          <t>0.2cc/次</t>
        </is>
      </c>
      <c r="L1970" s="560" t="n">
        <v>5</v>
      </c>
    </row>
    <row r="1971" ht="17.25" customHeight="1" s="453" thickBot="1">
      <c r="A1971" s="553">
        <f>IFERROR(LEFT(B1971,7),"")</f>
        <v/>
      </c>
      <c r="B1971" s="554">
        <f>"2026/04"&amp;D1971</f>
        <v/>
      </c>
      <c r="C1971" s="559" t="n">
        <v>187</v>
      </c>
      <c r="D1971" s="484" t="inlineStr">
        <is>
          <t>忠孝國際醫學3樓</t>
        </is>
      </c>
      <c r="E1971" s="484" t="inlineStr">
        <is>
          <t>6200021</t>
        </is>
      </c>
      <c r="F1971" s="551" t="n"/>
      <c r="G1971" s="484" t="inlineStr">
        <is>
          <t>(V)猛健樂12.5mg/ 0.12CC</t>
        </is>
      </c>
      <c r="H1971" s="552" t="n"/>
      <c r="I1971" s="552" t="n"/>
      <c r="J1971" s="551" t="n"/>
      <c r="K1971" s="140" t="inlineStr">
        <is>
          <t>0.12cc/次</t>
        </is>
      </c>
      <c r="L1971" s="560" t="n">
        <v>6</v>
      </c>
    </row>
    <row r="1972" ht="17.25" customHeight="1" s="453" thickBot="1">
      <c r="A1972" s="553">
        <f>IFERROR(LEFT(B1972,7),"")</f>
        <v/>
      </c>
      <c r="B1972" s="554">
        <f>"2026/04"&amp;D1972</f>
        <v/>
      </c>
      <c r="C1972" s="559" t="n">
        <v>188</v>
      </c>
      <c r="D1972" s="484" t="inlineStr">
        <is>
          <t>忠孝健康7樓</t>
        </is>
      </c>
      <c r="E1972" s="484" t="inlineStr">
        <is>
          <t>6080012</t>
        </is>
      </c>
      <c r="F1972" s="551" t="n"/>
      <c r="G1972" s="484" t="inlineStr">
        <is>
          <t>(V)小玉西瓜面膜 30mL</t>
        </is>
      </c>
      <c r="H1972" s="552" t="n"/>
      <c r="I1972" s="552" t="n"/>
      <c r="J1972" s="551" t="n"/>
      <c r="K1972" s="140" t="inlineStr">
        <is>
          <t>30ml</t>
        </is>
      </c>
      <c r="L1972" s="560" t="n">
        <v>250</v>
      </c>
    </row>
    <row r="1973" ht="17.25" customHeight="1" s="453" thickBot="1">
      <c r="A1973" s="553">
        <f>IFERROR(LEFT(B1973,7),"")</f>
        <v/>
      </c>
      <c r="B1973" s="554">
        <f>"2026/04"&amp;D1973</f>
        <v/>
      </c>
      <c r="C1973" s="559" t="n">
        <v>189</v>
      </c>
      <c r="D1973" s="484" t="inlineStr">
        <is>
          <t>忠孝健康7樓</t>
        </is>
      </c>
      <c r="E1973" s="484" t="inlineStr">
        <is>
          <t>6090001</t>
        </is>
      </c>
      <c r="F1973" s="551" t="n"/>
      <c r="G1973" s="484" t="inlineStr">
        <is>
          <t>(V)藍銅胜肽舒緩凍膜180ml</t>
        </is>
      </c>
      <c r="H1973" s="552" t="n"/>
      <c r="I1973" s="552" t="n"/>
      <c r="J1973" s="551" t="n"/>
      <c r="K1973" s="140" t="inlineStr">
        <is>
          <t>180ml</t>
        </is>
      </c>
      <c r="L1973" s="560" t="n">
        <v>12</v>
      </c>
    </row>
    <row r="1974" ht="17.25" customHeight="1" s="453" thickBot="1">
      <c r="A1974" s="553">
        <f>IFERROR(LEFT(B1974,7),"")</f>
        <v/>
      </c>
      <c r="B1974" s="554">
        <f>"2026/04"&amp;D1974</f>
        <v/>
      </c>
      <c r="C1974" s="559" t="n">
        <v>190</v>
      </c>
      <c r="D1974" s="484" t="inlineStr">
        <is>
          <t>忠孝健康7樓</t>
        </is>
      </c>
      <c r="E1974" s="484" t="inlineStr">
        <is>
          <t>6110181</t>
        </is>
      </c>
      <c r="F1974" s="551" t="n"/>
      <c r="G1974" s="484" t="inlineStr">
        <is>
          <t>需自選沙貨進行手動扣庫</t>
        </is>
      </c>
      <c r="H1974" s="552" t="n"/>
      <c r="I1974" s="552" t="n"/>
      <c r="J1974" s="551" t="n"/>
      <c r="K1974" s="140" t="inlineStr">
        <is>
          <t>支</t>
        </is>
      </c>
      <c r="L1974" s="560" t="n">
        <v>6800</v>
      </c>
    </row>
    <row r="1975" ht="17.25" customHeight="1" s="453" thickBot="1">
      <c r="A1975" s="553">
        <f>IFERROR(LEFT(B1975,7),"")</f>
        <v/>
      </c>
      <c r="B1975" s="554">
        <f>"2026/04"&amp;D1975</f>
        <v/>
      </c>
      <c r="C1975" s="559" t="n">
        <v>191</v>
      </c>
      <c r="D1975" s="484" t="inlineStr">
        <is>
          <t>忠孝健康7樓</t>
        </is>
      </c>
      <c r="E1975" s="484" t="inlineStr">
        <is>
          <t>6120004</t>
        </is>
      </c>
      <c r="F1975" s="551" t="n"/>
      <c r="G1975" s="484" t="inlineStr">
        <is>
          <t>(V)胺基酸點滴250ml/ 袋(安命活源/嘉安命)，20倍數叫貨</t>
        </is>
      </c>
      <c r="H1975" s="552" t="n"/>
      <c r="I1975" s="552" t="n"/>
      <c r="J1975" s="551" t="n"/>
      <c r="K1975" s="140" t="inlineStr">
        <is>
          <t>(20瓶/箱)</t>
        </is>
      </c>
      <c r="L1975" s="560" t="n">
        <v>22</v>
      </c>
    </row>
    <row r="1976" ht="17.25" customHeight="1" s="453" thickBot="1">
      <c r="A1976" s="553">
        <f>IFERROR(LEFT(B1976,7),"")</f>
        <v/>
      </c>
      <c r="B1976" s="554">
        <f>"2026/04"&amp;D1976</f>
        <v/>
      </c>
      <c r="C1976" s="559" t="n">
        <v>192</v>
      </c>
      <c r="D1976" s="484" t="inlineStr">
        <is>
          <t>忠孝健康7樓</t>
        </is>
      </c>
      <c r="E1976" s="484" t="inlineStr">
        <is>
          <t>6120006</t>
        </is>
      </c>
      <c r="F1976" s="551" t="n"/>
      <c r="G1976" s="484" t="inlineStr">
        <is>
          <t>(V)(B12) 愛壽命 2mL，100倍數叫貨</t>
        </is>
      </c>
      <c r="H1976" s="552" t="n"/>
      <c r="I1976" s="552" t="n"/>
      <c r="J1976" s="551" t="n"/>
      <c r="K1976" s="140" t="inlineStr">
        <is>
          <t>(100支/盒)</t>
        </is>
      </c>
      <c r="L1976" s="560" t="n">
        <v>22</v>
      </c>
    </row>
    <row r="1977" ht="17.25" customHeight="1" s="453" thickBot="1">
      <c r="A1977" s="553">
        <f>IFERROR(LEFT(B1977,7),"")</f>
        <v/>
      </c>
      <c r="B1977" s="554">
        <f>"2026/04"&amp;D1977</f>
        <v/>
      </c>
      <c r="C1977" s="559" t="n">
        <v>193</v>
      </c>
      <c r="D1977" s="484" t="inlineStr">
        <is>
          <t>忠孝健康7樓</t>
        </is>
      </c>
      <c r="E1977" s="484" t="inlineStr">
        <is>
          <t>6120007</t>
        </is>
      </c>
      <c r="F1977" s="551" t="n"/>
      <c r="G1977" s="484" t="inlineStr">
        <is>
          <t>(V)(硫酸鋅) 1ml/支，100倍數叫貨</t>
        </is>
      </c>
      <c r="H1977" s="552" t="n"/>
      <c r="I1977" s="552" t="n"/>
      <c r="J1977" s="551" t="n"/>
      <c r="K1977" s="140" t="inlineStr">
        <is>
          <t>100支/盒</t>
        </is>
      </c>
      <c r="L1977" s="560" t="n">
        <v>2</v>
      </c>
    </row>
    <row r="1978" ht="17.25" customHeight="1" s="453" thickBot="1">
      <c r="A1978" s="553">
        <f>IFERROR(LEFT(B1978,7),"")</f>
        <v/>
      </c>
      <c r="B1978" s="554">
        <f>"2026/04"&amp;D1978</f>
        <v/>
      </c>
      <c r="C1978" s="559" t="n">
        <v>194</v>
      </c>
      <c r="D1978" s="484" t="inlineStr">
        <is>
          <t>忠孝健康7樓</t>
        </is>
      </c>
      <c r="E1978" s="484" t="inlineStr">
        <is>
          <t>6120009</t>
        </is>
      </c>
      <c r="F1978" s="551" t="n"/>
      <c r="G1978" s="484" t="inlineStr">
        <is>
          <t>(V)(B1) 硫胺明 2ml</t>
        </is>
      </c>
      <c r="H1978" s="552" t="n"/>
      <c r="I1978" s="552" t="n"/>
      <c r="J1978" s="551" t="n"/>
      <c r="K1978" s="140" t="inlineStr">
        <is>
          <t>(100支/盒)</t>
        </is>
      </c>
      <c r="L1978" s="560" t="n">
        <v>1</v>
      </c>
    </row>
    <row r="1979" ht="17.25" customHeight="1" s="453" thickBot="1">
      <c r="A1979" s="553">
        <f>IFERROR(LEFT(B1979,7),"")</f>
        <v/>
      </c>
      <c r="B1979" s="554">
        <f>"2026/04"&amp;D1979</f>
        <v/>
      </c>
      <c r="C1979" s="559" t="n">
        <v>195</v>
      </c>
      <c r="D1979" s="484" t="inlineStr">
        <is>
          <t>忠孝健康7樓</t>
        </is>
      </c>
      <c r="E1979" s="484" t="inlineStr">
        <is>
          <t>6120010</t>
        </is>
      </c>
      <c r="F1979" s="551" t="n"/>
      <c r="G1979" s="484" t="inlineStr">
        <is>
          <t>(V)(B6) 活性維生素 2ml，100倍數叫貨</t>
        </is>
      </c>
      <c r="H1979" s="552" t="n"/>
      <c r="I1979" s="552" t="n"/>
      <c r="J1979" s="551" t="n"/>
      <c r="K1979" s="140" t="inlineStr">
        <is>
          <t>(100支/盒)</t>
        </is>
      </c>
      <c r="L1979" s="560" t="n">
        <v>1</v>
      </c>
    </row>
    <row r="1980" ht="17.25" customHeight="1" s="453" thickBot="1">
      <c r="A1980" s="553">
        <f>IFERROR(LEFT(B1980,7),"")</f>
        <v/>
      </c>
      <c r="B1980" s="554">
        <f>"2026/04"&amp;D1980</f>
        <v/>
      </c>
      <c r="C1980" s="559" t="n">
        <v>196</v>
      </c>
      <c r="D1980" s="484" t="inlineStr">
        <is>
          <t>忠孝健康7樓</t>
        </is>
      </c>
      <c r="E1980" s="484" t="inlineStr">
        <is>
          <t>6120013</t>
        </is>
      </c>
      <c r="F1980" s="551" t="n"/>
      <c r="G1980" s="484" t="inlineStr">
        <is>
          <t>(V)生理食鹽水(NS) 250ml/ 袋</t>
        </is>
      </c>
      <c r="H1980" s="552" t="n"/>
      <c r="I1980" s="552" t="n"/>
      <c r="J1980" s="551" t="n"/>
      <c r="K1980" s="140" t="inlineStr">
        <is>
          <t>40瓶/箱</t>
        </is>
      </c>
      <c r="L1980" s="560" t="n">
        <v>39</v>
      </c>
    </row>
    <row r="1981" ht="17.25" customHeight="1" s="453" thickBot="1">
      <c r="A1981" s="553">
        <f>IFERROR(LEFT(B1981,7),"")</f>
        <v/>
      </c>
      <c r="B1981" s="554">
        <f>"2026/04"&amp;D1981</f>
        <v/>
      </c>
      <c r="C1981" s="559" t="n">
        <v>197</v>
      </c>
      <c r="D1981" s="484" t="inlineStr">
        <is>
          <t>忠孝健康7樓</t>
        </is>
      </c>
      <c r="E1981" s="484" t="inlineStr">
        <is>
          <t>6120015</t>
        </is>
      </c>
      <c r="F1981" s="551" t="n"/>
      <c r="G1981" s="484" t="inlineStr">
        <is>
          <t>(V)(B群)淘能美複合維他命B 2ml，100倍數叫貨</t>
        </is>
      </c>
      <c r="H1981" s="552" t="n"/>
      <c r="I1981" s="552" t="n"/>
      <c r="J1981" s="551" t="n"/>
      <c r="K1981" s="140" t="n"/>
      <c r="L1981" s="560" t="n">
        <v>56</v>
      </c>
    </row>
    <row r="1982" ht="17.25" customHeight="1" s="453" thickBot="1">
      <c r="A1982" s="553">
        <f>IFERROR(LEFT(B1982,7),"")</f>
        <v/>
      </c>
      <c r="B1982" s="554">
        <f>"2026/04"&amp;D1982</f>
        <v/>
      </c>
      <c r="C1982" s="559" t="n">
        <v>198</v>
      </c>
      <c r="D1982" s="484" t="inlineStr">
        <is>
          <t>忠孝健康7樓</t>
        </is>
      </c>
      <c r="E1982" s="484" t="inlineStr">
        <is>
          <t>6120016</t>
        </is>
      </c>
      <c r="F1982" s="551" t="n"/>
      <c r="G1982" s="484" t="inlineStr">
        <is>
          <t>(V)(榖胱肝肽) 克樂達養200mg (20ml/瓶)</t>
        </is>
      </c>
      <c r="H1982" s="552" t="n"/>
      <c r="I1982" s="552" t="n"/>
      <c r="J1982" s="551" t="n"/>
      <c r="K1982" s="140" t="inlineStr">
        <is>
          <t>50支/盒</t>
        </is>
      </c>
      <c r="L1982" s="560" t="n">
        <v>55</v>
      </c>
    </row>
    <row r="1983" ht="17.25" customHeight="1" s="453" thickBot="1">
      <c r="A1983" s="553">
        <f>IFERROR(LEFT(B1983,7),"")</f>
        <v/>
      </c>
      <c r="B1983" s="554">
        <f>"2026/04"&amp;D1983</f>
        <v/>
      </c>
      <c r="C1983" s="559" t="n">
        <v>199</v>
      </c>
      <c r="D1983" s="484" t="inlineStr">
        <is>
          <t>忠孝健康7樓</t>
        </is>
      </c>
      <c r="E1983" s="484" t="inlineStr">
        <is>
          <t>6120017</t>
        </is>
      </c>
      <c r="F1983" s="551" t="n"/>
      <c r="G1983" s="484" t="inlineStr">
        <is>
          <t>(V)保肝 5ml/支</t>
        </is>
      </c>
      <c r="H1983" s="552" t="n"/>
      <c r="I1983" s="552" t="n"/>
      <c r="J1983" s="551" t="n"/>
      <c r="K1983" s="140" t="inlineStr">
        <is>
          <t>50支/盒</t>
        </is>
      </c>
      <c r="L1983" s="560" t="n">
        <v>1</v>
      </c>
    </row>
    <row r="1984" ht="17.25" customHeight="1" s="453" thickBot="1">
      <c r="A1984" s="553">
        <f>IFERROR(LEFT(B1984,7),"")</f>
        <v/>
      </c>
      <c r="B1984" s="554">
        <f>"2026/04"&amp;D1984</f>
        <v/>
      </c>
      <c r="C1984" s="559" t="n">
        <v>200</v>
      </c>
      <c r="D1984" s="484" t="inlineStr">
        <is>
          <t>忠孝健康7樓</t>
        </is>
      </c>
      <c r="E1984" s="484" t="inlineStr">
        <is>
          <t>6120018</t>
        </is>
      </c>
      <c r="F1984" s="551" t="n"/>
      <c r="G1984" s="484" t="inlineStr">
        <is>
          <t>(V)(傳明酸)止血明 5ml/支</t>
        </is>
      </c>
      <c r="H1984" s="552" t="n"/>
      <c r="I1984" s="552" t="n"/>
      <c r="J1984" s="551" t="n"/>
      <c r="K1984" s="140" t="inlineStr">
        <is>
          <t>50支/盒</t>
        </is>
      </c>
      <c r="L1984" s="560" t="n">
        <v>40</v>
      </c>
    </row>
    <row r="1985" ht="17.25" customHeight="1" s="453" thickBot="1">
      <c r="A1985" s="553">
        <f>IFERROR(LEFT(B1985,7),"")</f>
        <v/>
      </c>
      <c r="B1985" s="554">
        <f>"2026/04"&amp;D1985</f>
        <v/>
      </c>
      <c r="C1985" s="559" t="n">
        <v>201</v>
      </c>
      <c r="D1985" s="484" t="inlineStr">
        <is>
          <t>忠孝健康7樓</t>
        </is>
      </c>
      <c r="E1985" s="484" t="inlineStr">
        <is>
          <t>6120020</t>
        </is>
      </c>
      <c r="F1985" s="551" t="n"/>
      <c r="G1985" s="484" t="inlineStr">
        <is>
          <t>(V)(Vit C) 抗壞血酸 2mL，100倍數下單</t>
        </is>
      </c>
      <c r="H1985" s="552" t="n"/>
      <c r="I1985" s="552" t="n"/>
      <c r="J1985" s="551" t="n"/>
      <c r="K1985" s="140" t="inlineStr">
        <is>
          <t>100支/盒</t>
        </is>
      </c>
      <c r="L1985" s="560" t="n">
        <v>45</v>
      </c>
    </row>
    <row r="1986" ht="17.25" customHeight="1" s="453" thickBot="1">
      <c r="A1986" s="553">
        <f>IFERROR(LEFT(B1986,7),"")</f>
        <v/>
      </c>
      <c r="B1986" s="554">
        <f>"2026/04"&amp;D1986</f>
        <v/>
      </c>
      <c r="C1986" s="559" t="n">
        <v>202</v>
      </c>
      <c r="D1986" s="484" t="inlineStr">
        <is>
          <t>忠孝健康7樓</t>
        </is>
      </c>
      <c r="E1986" s="484" t="inlineStr">
        <is>
          <t>6120021</t>
        </is>
      </c>
      <c r="F1986" s="551" t="n"/>
      <c r="G1986" s="484" t="inlineStr">
        <is>
          <t>(V)(Vit C)(抗壞血酸/諾貝爾)20ml，50倍數下單</t>
        </is>
      </c>
      <c r="H1986" s="552" t="n"/>
      <c r="I1986" s="552" t="n"/>
      <c r="J1986" s="551" t="n"/>
      <c r="K1986" s="140" t="inlineStr">
        <is>
          <t>50支/盒</t>
        </is>
      </c>
      <c r="L1986" s="560" t="n">
        <v>72</v>
      </c>
    </row>
    <row r="1987" ht="17.25" customHeight="1" s="453" thickBot="1">
      <c r="A1987" s="553">
        <f>IFERROR(LEFT(B1987,7),"")</f>
        <v/>
      </c>
      <c r="B1987" s="554">
        <f>"2026/04"&amp;D1987</f>
        <v/>
      </c>
      <c r="C1987" s="559" t="n">
        <v>203</v>
      </c>
      <c r="D1987" s="484" t="inlineStr">
        <is>
          <t>忠孝健康7樓</t>
        </is>
      </c>
      <c r="E1987" s="484" t="inlineStr">
        <is>
          <t>6120022</t>
        </is>
      </c>
      <c r="F1987" s="551" t="n"/>
      <c r="G1987" s="484" t="inlineStr">
        <is>
          <t>(V)(銀杏) 循必利Gingo注射液0.84毫克/毫升 5ml</t>
        </is>
      </c>
      <c r="H1987" s="552" t="n"/>
      <c r="I1987" s="552" t="n"/>
      <c r="J1987" s="551" t="n"/>
      <c r="K1987" s="140" t="inlineStr">
        <is>
          <t>50支/盒</t>
        </is>
      </c>
      <c r="L1987" s="560" t="n">
        <v>1</v>
      </c>
    </row>
    <row r="1988" ht="17.25" customHeight="1" s="453" thickBot="1">
      <c r="A1988" s="553">
        <f>IFERROR(LEFT(B1988,7),"")</f>
        <v/>
      </c>
      <c r="B1988" s="554">
        <f>"2026/04"&amp;D1988</f>
        <v/>
      </c>
      <c r="C1988" s="559" t="n">
        <v>204</v>
      </c>
      <c r="D1988" s="484" t="inlineStr">
        <is>
          <t>忠孝健康7樓</t>
        </is>
      </c>
      <c r="E1988" s="484" t="inlineStr">
        <is>
          <t>6120030</t>
        </is>
      </c>
      <c r="F1988" s="551" t="n"/>
      <c r="G1988" s="484" t="inlineStr">
        <is>
          <t>(V)克多炎 Keto 1ml</t>
        </is>
      </c>
      <c r="H1988" s="552" t="n"/>
      <c r="I1988" s="552" t="n"/>
      <c r="J1988" s="551" t="n"/>
      <c r="K1988" s="140" t="inlineStr">
        <is>
          <t>100支/盒</t>
        </is>
      </c>
      <c r="L1988" s="560" t="n">
        <v>2</v>
      </c>
    </row>
    <row r="1989" ht="17.25" customHeight="1" s="453" thickBot="1">
      <c r="A1989" s="553">
        <f>IFERROR(LEFT(B1989,7),"")</f>
        <v/>
      </c>
      <c r="B1989" s="554">
        <f>"2026/04"&amp;D1989</f>
        <v/>
      </c>
      <c r="C1989" s="559" t="n">
        <v>205</v>
      </c>
      <c r="D1989" s="484" t="inlineStr">
        <is>
          <t>忠孝健康7樓</t>
        </is>
      </c>
      <c r="E1989" s="484" t="inlineStr">
        <is>
          <t>6120036</t>
        </is>
      </c>
      <c r="F1989" s="551" t="n"/>
      <c r="G1989" s="484" t="inlineStr">
        <is>
          <t>(V)貝力多(雙胜胺) 20% 50mL/ 瓶，60倍數下單</t>
        </is>
      </c>
      <c r="H1989" s="552" t="n"/>
      <c r="I1989" s="552" t="n"/>
      <c r="J1989" s="551" t="n"/>
      <c r="K1989" s="140" t="inlineStr">
        <is>
          <t>瓶(10瓶/盒)</t>
        </is>
      </c>
      <c r="L1989" s="560" t="n">
        <v>21</v>
      </c>
    </row>
    <row r="1990" ht="17.25" customHeight="1" s="453" thickBot="1">
      <c r="A1990" s="553">
        <f>IFERROR(LEFT(B1990,7),"")</f>
        <v/>
      </c>
      <c r="B1990" s="554">
        <f>"2026/04"&amp;D1990</f>
        <v/>
      </c>
      <c r="C1990" s="559" t="n">
        <v>206</v>
      </c>
      <c r="D1990" s="484" t="inlineStr">
        <is>
          <t>忠孝健康7樓</t>
        </is>
      </c>
      <c r="E1990" s="484" t="inlineStr">
        <is>
          <t>6120044</t>
        </is>
      </c>
      <c r="F1990" s="551" t="n"/>
      <c r="G1990" s="484" t="inlineStr">
        <is>
          <t>(V)(止痛)舒疼消熱1ml/支，10倍數下單</t>
        </is>
      </c>
      <c r="H1990" s="552" t="n"/>
      <c r="I1990" s="552" t="n"/>
      <c r="J1990" s="551" t="n"/>
      <c r="K1990" s="140" t="inlineStr">
        <is>
          <t>10支/盒</t>
        </is>
      </c>
      <c r="L1990" s="560" t="n">
        <v>2</v>
      </c>
    </row>
    <row r="1991" ht="17.25" customHeight="1" s="453" thickBot="1">
      <c r="A1991" s="553">
        <f>IFERROR(LEFT(B1991,7),"")</f>
        <v/>
      </c>
      <c r="B1991" s="554">
        <f>"2026/04"&amp;D1991</f>
        <v/>
      </c>
      <c r="C1991" s="559" t="n">
        <v>207</v>
      </c>
      <c r="D1991" s="484" t="inlineStr">
        <is>
          <t>忠孝健康7樓</t>
        </is>
      </c>
      <c r="E1991" s="484" t="inlineStr">
        <is>
          <t>6140001</t>
        </is>
      </c>
      <c r="F1991" s="551" t="n"/>
      <c r="G1991" s="484" t="inlineStr">
        <is>
          <t>(V)保妥適肉毒Botox/ u，100倍數下單</t>
        </is>
      </c>
      <c r="H1991" s="552" t="n"/>
      <c r="I1991" s="552" t="n"/>
      <c r="J1991" s="551" t="n"/>
      <c r="K1991" s="140" t="inlineStr">
        <is>
          <t>100U/瓶</t>
        </is>
      </c>
      <c r="L1991" s="560" t="n">
        <v>1363</v>
      </c>
    </row>
    <row r="1992" ht="17.25" customHeight="1" s="453" thickBot="1">
      <c r="A1992" s="553">
        <f>IFERROR(LEFT(B1992,7),"")</f>
        <v/>
      </c>
      <c r="B1992" s="554">
        <f>"2026/04"&amp;D1992</f>
        <v/>
      </c>
      <c r="C1992" s="559" t="n">
        <v>208</v>
      </c>
      <c r="D1992" s="484" t="inlineStr">
        <is>
          <t>忠孝健康7樓</t>
        </is>
      </c>
      <c r="E1992" s="484" t="inlineStr">
        <is>
          <t>6140003</t>
        </is>
      </c>
      <c r="F1992" s="551" t="n"/>
      <c r="G1992" s="484" t="inlineStr">
        <is>
          <t>(V)保提拉肉毒Letybo/ u，3200倍數下單</t>
        </is>
      </c>
      <c r="H1992" s="552" t="n"/>
      <c r="I1992" s="552" t="n"/>
      <c r="J1992" s="551" t="n"/>
      <c r="K1992" s="140" t="inlineStr">
        <is>
          <t>200U/瓶</t>
        </is>
      </c>
      <c r="L1992" s="560" t="n">
        <v>2557</v>
      </c>
    </row>
    <row r="1993" ht="17.25" customHeight="1" s="453" thickBot="1">
      <c r="A1993" s="553">
        <f>IFERROR(LEFT(B1993,7),"")</f>
        <v/>
      </c>
      <c r="B1993" s="554">
        <f>"2026/04"&amp;D1993</f>
        <v/>
      </c>
      <c r="C1993" s="559" t="n">
        <v>209</v>
      </c>
      <c r="D1993" s="484" t="inlineStr">
        <is>
          <t>忠孝健康7樓</t>
        </is>
      </c>
      <c r="E1993" s="484" t="inlineStr">
        <is>
          <t>6140005</t>
        </is>
      </c>
      <c r="F1993" s="551" t="n"/>
      <c r="G1993" s="484" t="inlineStr">
        <is>
          <t>(V)奇蹟肉毒/ u，200倍數下單</t>
        </is>
      </c>
      <c r="H1993" s="552" t="n"/>
      <c r="I1993" s="552" t="n"/>
      <c r="J1993" s="551" t="n"/>
      <c r="K1993" s="140" t="inlineStr">
        <is>
          <t>200U/瓶</t>
        </is>
      </c>
      <c r="L1993" s="560" t="n">
        <v>2710</v>
      </c>
    </row>
    <row r="1994" ht="17.25" customHeight="1" s="453" thickBot="1">
      <c r="A1994" s="553">
        <f>IFERROR(LEFT(B1994,7),"")</f>
        <v/>
      </c>
      <c r="B1994" s="554">
        <f>"2026/04"&amp;D1994</f>
        <v/>
      </c>
      <c r="C1994" s="559" t="n">
        <v>210</v>
      </c>
      <c r="D1994" s="484" t="inlineStr">
        <is>
          <t>忠孝健康7樓</t>
        </is>
      </c>
      <c r="E1994" s="484" t="inlineStr">
        <is>
          <t>6150001</t>
        </is>
      </c>
      <c r="F1994" s="551" t="n"/>
      <c r="G1994" s="484" t="inlineStr">
        <is>
          <t>(V)喬雅登-豐麗緹玻尿酸植入物Voluma 1ml</t>
        </is>
      </c>
      <c r="H1994" s="552" t="n"/>
      <c r="I1994" s="552" t="n"/>
      <c r="J1994" s="551" t="n"/>
      <c r="K1994" s="140" t="inlineStr">
        <is>
          <t>1ml(2ml/盒)</t>
        </is>
      </c>
      <c r="L1994" s="560" t="n">
        <v>36</v>
      </c>
    </row>
    <row r="1995" ht="17.25" customHeight="1" s="453" thickBot="1">
      <c r="A1995" s="553">
        <f>IFERROR(LEFT(B1995,7),"")</f>
        <v/>
      </c>
      <c r="B1995" s="554">
        <f>"2026/04"&amp;D1995</f>
        <v/>
      </c>
      <c r="C1995" s="559" t="n">
        <v>211</v>
      </c>
      <c r="D1995" s="484" t="inlineStr">
        <is>
          <t>忠孝健康7樓</t>
        </is>
      </c>
      <c r="E1995" s="484" t="inlineStr">
        <is>
          <t>6150002</t>
        </is>
      </c>
      <c r="F1995" s="551" t="n"/>
      <c r="G1995" s="484" t="inlineStr">
        <is>
          <t>(V)喬雅登-夢蓓菈玻尿酸植入物Volbella 1ml</t>
        </is>
      </c>
      <c r="H1995" s="552" t="n"/>
      <c r="I1995" s="552" t="n"/>
      <c r="J1995" s="551" t="n"/>
      <c r="K1995" s="140" t="inlineStr">
        <is>
          <t>1ml(2ml/盒)</t>
        </is>
      </c>
      <c r="L1995" s="560" t="n">
        <v>3</v>
      </c>
    </row>
    <row r="1996" ht="17.25" customHeight="1" s="453" thickBot="1">
      <c r="A1996" s="553">
        <f>IFERROR(LEFT(B1996,7),"")</f>
        <v/>
      </c>
      <c r="B1996" s="554">
        <f>"2026/04"&amp;D1996</f>
        <v/>
      </c>
      <c r="C1996" s="559" t="n">
        <v>212</v>
      </c>
      <c r="D1996" s="484" t="inlineStr">
        <is>
          <t>忠孝健康7樓</t>
        </is>
      </c>
      <c r="E1996" s="484" t="inlineStr">
        <is>
          <t>6150004</t>
        </is>
      </c>
      <c r="F1996" s="551" t="n"/>
      <c r="G1996" s="484" t="inlineStr">
        <is>
          <t>(V)喬雅登-豐塑玻尿酸植入物Volux 1ml</t>
        </is>
      </c>
      <c r="H1996" s="552" t="n"/>
      <c r="I1996" s="552" t="n"/>
      <c r="J1996" s="551" t="n"/>
      <c r="K1996" s="140" t="inlineStr">
        <is>
          <t>1ml(2ml/盒)</t>
        </is>
      </c>
      <c r="L1996" s="560" t="n">
        <v>8</v>
      </c>
    </row>
    <row r="1997" ht="17.25" customHeight="1" s="453" thickBot="1">
      <c r="A1997" s="553">
        <f>IFERROR(LEFT(B1997,7),"")</f>
        <v/>
      </c>
      <c r="B1997" s="554">
        <f>"2026/04"&amp;D1997</f>
        <v/>
      </c>
      <c r="C1997" s="559" t="n">
        <v>213</v>
      </c>
      <c r="D1997" s="484" t="inlineStr">
        <is>
          <t>忠孝健康7樓</t>
        </is>
      </c>
      <c r="E1997" s="484" t="inlineStr">
        <is>
          <t>6150010</t>
        </is>
      </c>
      <c r="F1997" s="551" t="n"/>
      <c r="G1997" s="484" t="inlineStr">
        <is>
          <t>(V)仙女玻尿酸大分子 1ml</t>
        </is>
      </c>
      <c r="H1997" s="552" t="n"/>
      <c r="I1997" s="552" t="n"/>
      <c r="J1997" s="551" t="n"/>
      <c r="K1997" s="140" t="inlineStr">
        <is>
          <t>1ml(1ml/盒)</t>
        </is>
      </c>
      <c r="L1997" s="560" t="n">
        <v>36</v>
      </c>
    </row>
    <row r="1998" ht="17.25" customHeight="1" s="453" thickBot="1">
      <c r="A1998" s="553">
        <f>IFERROR(LEFT(B1998,7),"")</f>
        <v/>
      </c>
      <c r="B1998" s="554">
        <f>"2026/04"&amp;D1998</f>
        <v/>
      </c>
      <c r="C1998" s="559" t="n">
        <v>214</v>
      </c>
      <c r="D1998" s="484" t="inlineStr">
        <is>
          <t>忠孝健康7樓</t>
        </is>
      </c>
      <c r="E1998" s="484" t="inlineStr">
        <is>
          <t>6150011</t>
        </is>
      </c>
      <c r="F1998" s="551" t="n"/>
      <c r="G1998" s="484" t="inlineStr">
        <is>
          <t>(V)仙女玻尿酸小分子 1ml</t>
        </is>
      </c>
      <c r="H1998" s="552" t="n"/>
      <c r="I1998" s="552" t="n"/>
      <c r="J1998" s="551" t="n"/>
      <c r="K1998" s="140" t="inlineStr">
        <is>
          <t>1ml(1ml/盒)</t>
        </is>
      </c>
      <c r="L1998" s="560" t="n">
        <v>1</v>
      </c>
    </row>
    <row r="1999" ht="17.25" customHeight="1" s="453" thickBot="1">
      <c r="A1999" s="553">
        <f>IFERROR(LEFT(B1999,7),"")</f>
        <v/>
      </c>
      <c r="B1999" s="554">
        <f>"2026/04"&amp;D1999</f>
        <v/>
      </c>
      <c r="C1999" s="559" t="n">
        <v>215</v>
      </c>
      <c r="D1999" s="484" t="inlineStr">
        <is>
          <t>忠孝健康7樓</t>
        </is>
      </c>
      <c r="E1999" s="484" t="inlineStr">
        <is>
          <t>6150013</t>
        </is>
      </c>
      <c r="F1999" s="551" t="n"/>
      <c r="G1999" s="484" t="inlineStr">
        <is>
          <t>(V)逆時針(璞菲洛)2cc</t>
        </is>
      </c>
      <c r="H1999" s="552" t="n"/>
      <c r="I1999" s="552" t="n"/>
      <c r="J1999" s="551" t="n"/>
      <c r="K1999" s="140" t="inlineStr">
        <is>
          <t>1ml(1ml/盒)</t>
        </is>
      </c>
      <c r="L1999" s="560" t="n">
        <v>8</v>
      </c>
    </row>
    <row r="2000" ht="17.25" customHeight="1" s="453" thickBot="1">
      <c r="A2000" s="553">
        <f>IFERROR(LEFT(B2000,7),"")</f>
        <v/>
      </c>
      <c r="B2000" s="554">
        <f>"2026/04"&amp;D2000</f>
        <v/>
      </c>
      <c r="C2000" s="559" t="n">
        <v>216</v>
      </c>
      <c r="D2000" s="484" t="inlineStr">
        <is>
          <t>忠孝健康7樓</t>
        </is>
      </c>
      <c r="E2000" s="484" t="inlineStr">
        <is>
          <t>6160002</t>
        </is>
      </c>
      <c r="F2000" s="551" t="n"/>
      <c r="G2000" s="484" t="inlineStr">
        <is>
          <t>(V)洢蓮絲植入劑ELLANSÉ-S 1ml/ 支(2倍數叫貨)</t>
        </is>
      </c>
      <c r="H2000" s="552" t="n"/>
      <c r="I2000" s="552" t="n"/>
      <c r="J2000" s="551" t="n"/>
      <c r="K2000" s="140" t="inlineStr">
        <is>
          <t>1ml(2ml/盒)</t>
        </is>
      </c>
      <c r="L2000" s="560" t="n">
        <v>22</v>
      </c>
    </row>
    <row r="2001" ht="17.25" customHeight="1" s="453" thickBot="1">
      <c r="A2001" s="553">
        <f>IFERROR(LEFT(B2001,7),"")</f>
        <v/>
      </c>
      <c r="B2001" s="554">
        <f>"2026/04"&amp;D2001</f>
        <v/>
      </c>
      <c r="C2001" s="559" t="n">
        <v>217</v>
      </c>
      <c r="D2001" s="484" t="inlineStr">
        <is>
          <t>忠孝健康7樓</t>
        </is>
      </c>
      <c r="E2001" s="484" t="inlineStr">
        <is>
          <t>6160003</t>
        </is>
      </c>
      <c r="F2001" s="551" t="n"/>
      <c r="G2001" s="484" t="inlineStr">
        <is>
          <t>(V)洢蓮絲植入劑ELLANSÉ-M 1ml/ 支(2倍數叫貨)</t>
        </is>
      </c>
      <c r="H2001" s="552" t="n"/>
      <c r="I2001" s="552" t="n"/>
      <c r="J2001" s="551" t="n"/>
      <c r="K2001" s="140" t="inlineStr">
        <is>
          <t>1ml(2ml/盒)</t>
        </is>
      </c>
      <c r="L2001" s="560" t="n">
        <v>2</v>
      </c>
    </row>
    <row r="2002" ht="17.25" customHeight="1" s="453" thickBot="1">
      <c r="A2002" s="553">
        <f>IFERROR(LEFT(B2002,7),"")</f>
        <v/>
      </c>
      <c r="B2002" s="554">
        <f>"2026/04"&amp;D2002</f>
        <v/>
      </c>
      <c r="C2002" s="559" t="n">
        <v>218</v>
      </c>
      <c r="D2002" s="484" t="inlineStr">
        <is>
          <t>忠孝健康7樓</t>
        </is>
      </c>
      <c r="E2002" s="484" t="inlineStr">
        <is>
          <t>6160005</t>
        </is>
      </c>
      <c r="F2002" s="551" t="n"/>
      <c r="G2002" s="484" t="inlineStr">
        <is>
          <t>(V)双美熊貓針</t>
        </is>
      </c>
      <c r="H2002" s="552" t="n"/>
      <c r="I2002" s="552" t="n"/>
      <c r="J2002" s="551" t="n"/>
      <c r="K2002" s="140" t="inlineStr">
        <is>
          <t>(1ml/盒)</t>
        </is>
      </c>
      <c r="L2002" s="560" t="n">
        <v>19</v>
      </c>
    </row>
    <row r="2003" ht="17.25" customHeight="1" s="453" thickBot="1">
      <c r="A2003" s="553">
        <f>IFERROR(LEFT(B2003,7),"")</f>
        <v/>
      </c>
      <c r="B2003" s="554">
        <f>"2026/04"&amp;D2003</f>
        <v/>
      </c>
      <c r="C2003" s="559" t="n">
        <v>219</v>
      </c>
      <c r="D2003" s="484" t="inlineStr">
        <is>
          <t>忠孝健康7樓</t>
        </is>
      </c>
      <c r="E2003" s="484" t="inlineStr">
        <is>
          <t>6160010</t>
        </is>
      </c>
      <c r="F2003" s="551" t="n"/>
      <c r="G2003" s="484" t="inlineStr">
        <is>
          <t>(V)喬雅露-大分子200mg/ 1cc(8倍數叫貨)</t>
        </is>
      </c>
      <c r="H2003" s="552" t="n"/>
      <c r="I2003" s="552" t="n"/>
      <c r="J2003" s="551" t="n"/>
      <c r="K2003" s="140" t="inlineStr">
        <is>
          <t>8cc/瓶</t>
        </is>
      </c>
      <c r="L2003" s="560" t="n">
        <v>63</v>
      </c>
    </row>
    <row r="2004" ht="17.25" customHeight="1" s="453" thickBot="1">
      <c r="A2004" s="553">
        <f>IFERROR(LEFT(B2004,7),"")</f>
        <v/>
      </c>
      <c r="B2004" s="554">
        <f>"2026/04"&amp;D2004</f>
        <v/>
      </c>
      <c r="C2004" s="559" t="n">
        <v>220</v>
      </c>
      <c r="D2004" s="484" t="inlineStr">
        <is>
          <t>忠孝健康7樓</t>
        </is>
      </c>
      <c r="E2004" s="484" t="inlineStr">
        <is>
          <t>6160011</t>
        </is>
      </c>
      <c r="F2004" s="551" t="n"/>
      <c r="G2004" s="484" t="inlineStr">
        <is>
          <t>(V)喬雅露-小分子50mg/ 1cc(6倍數叫貨)</t>
        </is>
      </c>
      <c r="H2004" s="552" t="n"/>
      <c r="I2004" s="552" t="n"/>
      <c r="J2004" s="551" t="n"/>
      <c r="K2004" s="140" t="inlineStr">
        <is>
          <t>6cc/瓶</t>
        </is>
      </c>
      <c r="L2004" s="560" t="n">
        <v>247</v>
      </c>
    </row>
    <row r="2005" ht="17.25" customHeight="1" s="453" thickBot="1">
      <c r="A2005" s="553">
        <f>IFERROR(LEFT(B2005,7),"")</f>
        <v/>
      </c>
      <c r="B2005" s="554">
        <f>"2026/04"&amp;D2005</f>
        <v/>
      </c>
      <c r="C2005" s="559" t="n">
        <v>221</v>
      </c>
      <c r="D2005" s="484" t="inlineStr">
        <is>
          <t>忠孝健康7樓</t>
        </is>
      </c>
      <c r="E2005" s="484" t="inlineStr">
        <is>
          <t>6170005</t>
        </is>
      </c>
      <c r="F2005" s="551" t="n"/>
      <c r="G2005" s="484" t="inlineStr">
        <is>
          <t>海芙三代音波探頭2mm/ 條</t>
        </is>
      </c>
      <c r="H2005" s="552" t="n"/>
      <c r="I2005" s="552" t="n"/>
      <c r="J2005" s="551" t="n"/>
      <c r="K2005" s="140" t="inlineStr">
        <is>
          <t>20099條/顆</t>
        </is>
      </c>
      <c r="L2005" s="560" t="n">
        <v>6560</v>
      </c>
    </row>
    <row r="2006" ht="17.25" customHeight="1" s="453" thickBot="1">
      <c r="A2006" s="553">
        <f>IFERROR(LEFT(B2006,7),"")</f>
        <v/>
      </c>
      <c r="B2006" s="554">
        <f>"2026/04"&amp;D2006</f>
        <v/>
      </c>
      <c r="C2006" s="559" t="n">
        <v>222</v>
      </c>
      <c r="D2006" s="484" t="inlineStr">
        <is>
          <t>忠孝健康7樓</t>
        </is>
      </c>
      <c r="E2006" s="484" t="inlineStr">
        <is>
          <t>6170007</t>
        </is>
      </c>
      <c r="F2006" s="551" t="n"/>
      <c r="G2006" s="484" t="inlineStr">
        <is>
          <t>海芙三代音波探頭3mm/ 條</t>
        </is>
      </c>
      <c r="H2006" s="552" t="n"/>
      <c r="I2006" s="552" t="n"/>
      <c r="J2006" s="551" t="n"/>
      <c r="K2006" s="140" t="inlineStr">
        <is>
          <t>20099條/顆</t>
        </is>
      </c>
      <c r="L2006" s="560" t="n">
        <v>16058</v>
      </c>
    </row>
    <row r="2007" ht="17.25" customHeight="1" s="453" thickBot="1">
      <c r="A2007" s="553">
        <f>IFERROR(LEFT(B2007,7),"")</f>
        <v/>
      </c>
      <c r="B2007" s="554">
        <f>"2026/04"&amp;D2007</f>
        <v/>
      </c>
      <c r="C2007" s="559" t="n">
        <v>223</v>
      </c>
      <c r="D2007" s="484" t="inlineStr">
        <is>
          <t>忠孝健康7樓</t>
        </is>
      </c>
      <c r="E2007" s="484" t="inlineStr">
        <is>
          <t>6170009</t>
        </is>
      </c>
      <c r="F2007" s="551" t="n"/>
      <c r="G2007" s="484" t="inlineStr">
        <is>
          <t>海芙三代音波探頭4.5mm/ 條</t>
        </is>
      </c>
      <c r="H2007" s="552" t="n"/>
      <c r="I2007" s="552" t="n"/>
      <c r="J2007" s="551" t="n"/>
      <c r="K2007" s="140" t="inlineStr">
        <is>
          <t>20099條/顆</t>
        </is>
      </c>
      <c r="L2007" s="560" t="n">
        <v>20591</v>
      </c>
    </row>
    <row r="2008" ht="17.25" customHeight="1" s="453" thickBot="1">
      <c r="A2008" s="553">
        <f>IFERROR(LEFT(B2008,7),"")</f>
        <v/>
      </c>
      <c r="B2008" s="554">
        <f>"2026/04"&amp;D2008</f>
        <v/>
      </c>
      <c r="C2008" s="559" t="n">
        <v>224</v>
      </c>
      <c r="D2008" s="484" t="inlineStr">
        <is>
          <t>忠孝健康7樓</t>
        </is>
      </c>
      <c r="E2008" s="484" t="inlineStr">
        <is>
          <t>6170011</t>
        </is>
      </c>
      <c r="F2008" s="551" t="n"/>
      <c r="G2008" s="484" t="inlineStr">
        <is>
          <t>海芙三代音波探頭6mm/ 條</t>
        </is>
      </c>
      <c r="H2008" s="552" t="n"/>
      <c r="I2008" s="552" t="n"/>
      <c r="J2008" s="551" t="n"/>
      <c r="K2008" s="140" t="inlineStr">
        <is>
          <t>30,099條/顆</t>
        </is>
      </c>
      <c r="L2008" s="560" t="n">
        <v>4583</v>
      </c>
    </row>
    <row r="2009" ht="17.25" customHeight="1" s="453" thickBot="1">
      <c r="A2009" s="553">
        <f>IFERROR(LEFT(B2009,7),"")</f>
        <v/>
      </c>
      <c r="B2009" s="554">
        <f>"2026/04"&amp;D2009</f>
        <v/>
      </c>
      <c r="C2009" s="559" t="n">
        <v>225</v>
      </c>
      <c r="D2009" s="484" t="inlineStr">
        <is>
          <t>忠孝健康7樓</t>
        </is>
      </c>
      <c r="E2009" s="484" t="inlineStr">
        <is>
          <t>6170013</t>
        </is>
      </c>
      <c r="F2009" s="551" t="n"/>
      <c r="G2009" s="484" t="inlineStr">
        <is>
          <t>鳳凰電波4平方公分紫鑽探頭(900發)</t>
        </is>
      </c>
      <c r="H2009" s="552" t="n"/>
      <c r="I2009" s="552" t="n"/>
      <c r="J2009" s="551" t="n"/>
      <c r="K2009" s="140" t="inlineStr">
        <is>
          <t>顆</t>
        </is>
      </c>
      <c r="L2009" s="560" t="n">
        <v>4</v>
      </c>
    </row>
    <row r="2010" ht="17.25" customHeight="1" s="453" thickBot="1">
      <c r="A2010" s="553">
        <f>IFERROR(LEFT(B2010,7),"")</f>
        <v/>
      </c>
      <c r="B2010" s="554">
        <f>"2026/04"&amp;D2010</f>
        <v/>
      </c>
      <c r="C2010" s="559" t="n">
        <v>226</v>
      </c>
      <c r="D2010" s="484" t="inlineStr">
        <is>
          <t>忠孝健康7樓</t>
        </is>
      </c>
      <c r="E2010" s="484" t="inlineStr">
        <is>
          <t>6170014</t>
        </is>
      </c>
      <c r="F2010" s="551" t="n"/>
      <c r="G2010" s="484" t="inlineStr">
        <is>
          <t>鳳凰電波0.25平方公分碧眼探頭(450發)</t>
        </is>
      </c>
      <c r="H2010" s="552" t="n"/>
      <c r="I2010" s="552" t="n"/>
      <c r="J2010" s="551" t="n"/>
      <c r="K2010" s="140" t="inlineStr">
        <is>
          <t>顆</t>
        </is>
      </c>
      <c r="L2010" s="560" t="n">
        <v>11</v>
      </c>
    </row>
    <row r="2011" ht="17.25" customHeight="1" s="453" thickBot="1">
      <c r="A2011" s="553">
        <f>IFERROR(LEFT(B2011,7),"")</f>
        <v/>
      </c>
      <c r="B2011" s="554">
        <f>"2026/04"&amp;D2011</f>
        <v/>
      </c>
      <c r="C2011" s="559" t="n">
        <v>227</v>
      </c>
      <c r="D2011" s="484" t="inlineStr">
        <is>
          <t>忠孝健康7樓</t>
        </is>
      </c>
      <c r="E2011" s="484" t="inlineStr">
        <is>
          <t>6170019</t>
        </is>
      </c>
      <c r="F2011" s="551" t="n"/>
      <c r="G2011" s="484" t="inlineStr">
        <is>
          <t>媚必提直線探頭2.0mm/條</t>
        </is>
      </c>
      <c r="H2011" s="552" t="n"/>
      <c r="I2011" s="552" t="n"/>
      <c r="J2011" s="551" t="n"/>
      <c r="K2011" s="140" t="inlineStr">
        <is>
          <t>20,099條/顆</t>
        </is>
      </c>
      <c r="L2011" s="560" t="n">
        <v>1140</v>
      </c>
    </row>
    <row r="2012" ht="17.25" customHeight="1" s="453" thickBot="1">
      <c r="A2012" s="553">
        <f>IFERROR(LEFT(B2012,7),"")</f>
        <v/>
      </c>
      <c r="B2012" s="554">
        <f>"2026/04"&amp;D2012</f>
        <v/>
      </c>
      <c r="C2012" s="559" t="n">
        <v>228</v>
      </c>
      <c r="D2012" s="484" t="inlineStr">
        <is>
          <t>忠孝健康7樓</t>
        </is>
      </c>
      <c r="E2012" s="484" t="inlineStr">
        <is>
          <t>6170020</t>
        </is>
      </c>
      <c r="F2012" s="551" t="n"/>
      <c r="G2012" s="484" t="inlineStr">
        <is>
          <t>媚必提直線探頭3.0mm/條</t>
        </is>
      </c>
      <c r="H2012" s="552" t="n"/>
      <c r="I2012" s="552" t="n"/>
      <c r="J2012" s="551" t="n"/>
      <c r="K2012" s="140" t="inlineStr">
        <is>
          <t>20,099條/顆</t>
        </is>
      </c>
      <c r="L2012" s="560" t="n">
        <v>4755</v>
      </c>
    </row>
    <row r="2013" ht="17.25" customHeight="1" s="453" thickBot="1">
      <c r="A2013" s="553">
        <f>IFERROR(LEFT(B2013,7),"")</f>
        <v/>
      </c>
      <c r="B2013" s="554">
        <f>"2026/04"&amp;D2013</f>
        <v/>
      </c>
      <c r="C2013" s="559" t="n">
        <v>229</v>
      </c>
      <c r="D2013" s="484" t="inlineStr">
        <is>
          <t>忠孝健康7樓</t>
        </is>
      </c>
      <c r="E2013" s="484" t="inlineStr">
        <is>
          <t>6170021</t>
        </is>
      </c>
      <c r="F2013" s="551" t="n"/>
      <c r="G2013" s="484" t="inlineStr">
        <is>
          <t>媚必提直線探頭4.5mm/條</t>
        </is>
      </c>
      <c r="H2013" s="552" t="n"/>
      <c r="I2013" s="552" t="n"/>
      <c r="J2013" s="551" t="n"/>
      <c r="K2013" s="140" t="inlineStr">
        <is>
          <t>20,099條/顆</t>
        </is>
      </c>
      <c r="L2013" s="560" t="n">
        <v>10148</v>
      </c>
    </row>
    <row r="2014" ht="17.25" customHeight="1" s="453" thickBot="1">
      <c r="A2014" s="553">
        <f>IFERROR(LEFT(B2014,7),"")</f>
        <v/>
      </c>
      <c r="B2014" s="554">
        <f>"2026/04"&amp;D2014</f>
        <v/>
      </c>
      <c r="C2014" s="559" t="n">
        <v>230</v>
      </c>
      <c r="D2014" s="484" t="inlineStr">
        <is>
          <t>忠孝健康7樓</t>
        </is>
      </c>
      <c r="E2014" s="484" t="inlineStr">
        <is>
          <t>6170022</t>
        </is>
      </c>
      <c r="F2014" s="551" t="n"/>
      <c r="G2014" s="484" t="inlineStr">
        <is>
          <t>媚必提直線探頭6.0mm/條</t>
        </is>
      </c>
      <c r="H2014" s="552" t="n"/>
      <c r="I2014" s="552" t="n"/>
      <c r="J2014" s="551" t="n"/>
      <c r="K2014" s="140" t="inlineStr">
        <is>
          <t>20,099條/顆</t>
        </is>
      </c>
      <c r="L2014" s="560" t="n">
        <v>3987</v>
      </c>
    </row>
    <row r="2015" ht="17.25" customHeight="1" s="453" thickBot="1">
      <c r="A2015" s="553">
        <f>IFERROR(LEFT(B2015,7),"")</f>
        <v/>
      </c>
      <c r="B2015" s="554">
        <f>"2026/04"&amp;D2015</f>
        <v/>
      </c>
      <c r="C2015" s="559" t="n">
        <v>231</v>
      </c>
      <c r="D2015" s="484" t="inlineStr">
        <is>
          <t>忠孝健康7樓</t>
        </is>
      </c>
      <c r="E2015" s="484" t="inlineStr">
        <is>
          <t>6170030</t>
        </is>
      </c>
      <c r="F2015" s="551" t="n"/>
      <c r="G2015" s="484" t="inlineStr">
        <is>
          <t>海芙電波探頭4.0cm/發</t>
        </is>
      </c>
      <c r="H2015" s="552" t="n"/>
      <c r="I2015" s="552" t="n"/>
      <c r="J2015" s="551" t="n"/>
      <c r="K2015" s="140" t="inlineStr">
        <is>
          <t>3,050發/顆</t>
        </is>
      </c>
      <c r="L2015" s="560" t="n">
        <v>6700</v>
      </c>
    </row>
    <row r="2016" ht="17.25" customHeight="1" s="453" thickBot="1">
      <c r="A2016" s="553">
        <f>IFERROR(LEFT(B2016,7),"")</f>
        <v/>
      </c>
      <c r="B2016" s="554">
        <f>"2026/04"&amp;D2016</f>
        <v/>
      </c>
      <c r="C2016" s="559" t="n">
        <v>232</v>
      </c>
      <c r="D2016" s="484" t="inlineStr">
        <is>
          <t>忠孝健康7樓</t>
        </is>
      </c>
      <c r="E2016" s="484" t="inlineStr">
        <is>
          <t>6170032</t>
        </is>
      </c>
      <c r="F2016" s="551" t="n"/>
      <c r="G2016" s="484" t="inlineStr">
        <is>
          <t>立特拉A2筆型探頭3.0mm/ 條</t>
        </is>
      </c>
      <c r="H2016" s="552" t="n"/>
      <c r="I2016" s="552" t="n"/>
      <c r="J2016" s="551" t="n"/>
      <c r="K2016" s="140" t="inlineStr">
        <is>
          <t>240,500條/顆</t>
        </is>
      </c>
      <c r="L2016" s="560" t="n">
        <v>68500</v>
      </c>
    </row>
    <row r="2017" ht="17.25" customHeight="1" s="453" thickBot="1">
      <c r="A2017" s="553">
        <f>IFERROR(LEFT(B2017,7),"")</f>
        <v/>
      </c>
      <c r="B2017" s="554">
        <f>"2026/04"&amp;D2017</f>
        <v/>
      </c>
      <c r="C2017" s="559" t="n">
        <v>233</v>
      </c>
      <c r="D2017" s="484" t="inlineStr">
        <is>
          <t>忠孝健康7樓</t>
        </is>
      </c>
      <c r="E2017" s="484" t="inlineStr">
        <is>
          <t>6170033</t>
        </is>
      </c>
      <c r="F2017" s="551" t="n"/>
      <c r="G2017" s="484" t="inlineStr">
        <is>
          <t>立特拉A2筆型探頭4.5mm/ 條</t>
        </is>
      </c>
      <c r="H2017" s="552" t="n"/>
      <c r="I2017" s="552" t="n"/>
      <c r="J2017" s="551" t="n"/>
      <c r="K2017" s="140" t="inlineStr">
        <is>
          <t>240,500條/顆</t>
        </is>
      </c>
      <c r="L2017" s="560" t="n">
        <v>56400</v>
      </c>
    </row>
    <row r="2018" ht="17.25" customHeight="1" s="453" thickBot="1">
      <c r="A2018" s="553">
        <f>IFERROR(LEFT(B2018,7),"")</f>
        <v/>
      </c>
      <c r="B2018" s="554">
        <f>"2026/04"&amp;D2018</f>
        <v/>
      </c>
      <c r="C2018" s="559" t="n">
        <v>234</v>
      </c>
      <c r="D2018" s="484" t="inlineStr">
        <is>
          <t>忠孝健康7樓</t>
        </is>
      </c>
      <c r="E2018" s="484" t="inlineStr">
        <is>
          <t>6170034</t>
        </is>
      </c>
      <c r="F2018" s="551" t="n"/>
      <c r="G2018" s="484" t="inlineStr">
        <is>
          <t>十蓓電波臉部探頭5cm</t>
        </is>
      </c>
      <c r="H2018" s="552" t="n"/>
      <c r="I2018" s="552" t="n"/>
      <c r="J2018" s="551" t="n"/>
      <c r="K2018" s="140" t="inlineStr">
        <is>
          <t>900發/顆</t>
        </is>
      </c>
      <c r="L2018" s="560" t="n">
        <v>78350</v>
      </c>
    </row>
    <row r="2019" ht="17.25" customHeight="1" s="453" thickBot="1">
      <c r="A2019" s="553">
        <f>IFERROR(LEFT(B2019,7),"")</f>
        <v/>
      </c>
      <c r="B2019" s="554">
        <f>"2026/04"&amp;D2019</f>
        <v/>
      </c>
      <c r="C2019" s="559" t="n">
        <v>235</v>
      </c>
      <c r="D2019" s="484" t="inlineStr">
        <is>
          <t>忠孝健康7樓</t>
        </is>
      </c>
      <c r="E2019" s="484" t="inlineStr">
        <is>
          <t>6170035</t>
        </is>
      </c>
      <c r="F2019" s="551" t="n"/>
      <c r="G2019" s="484" t="inlineStr">
        <is>
          <t>十蓓電波眼部探頭0.25cm</t>
        </is>
      </c>
      <c r="H2019" s="552" t="n"/>
      <c r="I2019" s="552" t="n"/>
      <c r="J2019" s="551" t="n"/>
      <c r="K2019" s="140" t="inlineStr">
        <is>
          <t>600發/顆</t>
        </is>
      </c>
      <c r="L2019" s="560" t="n">
        <v>12950</v>
      </c>
    </row>
    <row r="2020" ht="17.25" customHeight="1" s="453" thickBot="1">
      <c r="A2020" s="553">
        <f>IFERROR(LEFT(B2020,7),"")</f>
        <v/>
      </c>
      <c r="B2020" s="554">
        <f>"2026/04"&amp;D2020</f>
        <v/>
      </c>
      <c r="C2020" s="559" t="n">
        <v>236</v>
      </c>
      <c r="D2020" s="484" t="inlineStr">
        <is>
          <t>忠孝健康7樓</t>
        </is>
      </c>
      <c r="E2020" s="484" t="inlineStr">
        <is>
          <t>6180009</t>
        </is>
      </c>
      <c r="F2020" s="551" t="n"/>
      <c r="G2020" s="484" t="inlineStr">
        <is>
          <t>(V)MINT秘特拉提線TIP 4CM/ 條</t>
        </is>
      </c>
      <c r="H2020" s="552" t="n"/>
      <c r="I2020" s="552" t="n"/>
      <c r="J2020" s="551" t="n"/>
      <c r="K2020" s="140" t="inlineStr">
        <is>
          <t>10條/盒</t>
        </is>
      </c>
      <c r="L2020" s="560" t="n">
        <v>8</v>
      </c>
    </row>
    <row r="2021" ht="17.25" customHeight="1" s="453" thickBot="1">
      <c r="A2021" s="553">
        <f>IFERROR(LEFT(B2021,7),"")</f>
        <v/>
      </c>
      <c r="B2021" s="554">
        <f>"2026/04"&amp;D2021</f>
        <v/>
      </c>
      <c r="C2021" s="559" t="n">
        <v>237</v>
      </c>
      <c r="D2021" s="484" t="inlineStr">
        <is>
          <t>忠孝健康7樓</t>
        </is>
      </c>
      <c r="E2021" s="484" t="inlineStr">
        <is>
          <t>6190004</t>
        </is>
      </c>
      <c r="F2021" s="551" t="n"/>
      <c r="G2021" s="484" t="inlineStr">
        <is>
          <t>PLT生長因子凍晶製備20入(單瓶)</t>
        </is>
      </c>
      <c r="H2021" s="552" t="n"/>
      <c r="I2021" s="552" t="n"/>
      <c r="J2021" s="551" t="n"/>
      <c r="K2021" s="140" t="inlineStr">
        <is>
          <t>瓶(20入/組)</t>
        </is>
      </c>
      <c r="L2021" s="560" t="n">
        <v>7</v>
      </c>
    </row>
    <row r="2022" ht="17.25" customHeight="1" s="453" thickBot="1">
      <c r="A2022" s="553">
        <f>IFERROR(LEFT(B2022,7),"")</f>
        <v/>
      </c>
      <c r="B2022" s="554">
        <f>"2026/04"&amp;D2022</f>
        <v/>
      </c>
      <c r="C2022" s="559" t="n">
        <v>238</v>
      </c>
      <c r="D2022" s="484" t="inlineStr">
        <is>
          <t>忠孝健康7樓</t>
        </is>
      </c>
      <c r="E2022" s="484" t="inlineStr">
        <is>
          <t>6190006</t>
        </is>
      </c>
      <c r="F2022" s="551" t="n"/>
      <c r="G2022" s="484" t="inlineStr">
        <is>
          <t>(V)ExoPower 泌力機泌凍晶 5mg</t>
        </is>
      </c>
      <c r="H2022" s="552" t="n"/>
      <c r="I2022" s="552" t="n"/>
      <c r="J2022" s="551" t="n"/>
      <c r="K2022" s="140" t="inlineStr">
        <is>
          <t>瓶</t>
        </is>
      </c>
      <c r="L2022" s="560" t="n">
        <v>6</v>
      </c>
    </row>
    <row r="2023" ht="17.25" customHeight="1" s="453" thickBot="1">
      <c r="A2023" s="553">
        <f>IFERROR(LEFT(B2023,7),"")</f>
        <v/>
      </c>
      <c r="B2023" s="554">
        <f>"2026/04"&amp;D2023</f>
        <v/>
      </c>
      <c r="C2023" s="559" t="n">
        <v>239</v>
      </c>
      <c r="D2023" s="484" t="inlineStr">
        <is>
          <t>忠孝健康7樓</t>
        </is>
      </c>
      <c r="E2023" s="484" t="inlineStr">
        <is>
          <t>6200003</t>
        </is>
      </c>
      <c r="F2023" s="551" t="n"/>
      <c r="G2023" s="484" t="inlineStr">
        <is>
          <t>(V)倍克脂Belkyra/ 瓶(20的倍數下單)</t>
        </is>
      </c>
      <c r="H2023" s="552" t="n"/>
      <c r="I2023" s="552" t="n"/>
      <c r="J2023" s="551" t="n"/>
      <c r="K2023" s="140" t="inlineStr">
        <is>
          <t>4瓶/盒</t>
        </is>
      </c>
      <c r="L2023" s="560" t="n">
        <v>1</v>
      </c>
    </row>
    <row r="2024" ht="17.25" customHeight="1" s="453" thickBot="1">
      <c r="A2024" s="553">
        <f>IFERROR(LEFT(B2024,7),"")</f>
        <v/>
      </c>
      <c r="B2024" s="554">
        <f>"2026/04"&amp;D2024</f>
        <v/>
      </c>
      <c r="C2024" s="559" t="n">
        <v>240</v>
      </c>
      <c r="D2024" s="484" t="inlineStr">
        <is>
          <t>忠孝健康7樓</t>
        </is>
      </c>
      <c r="E2024" s="484" t="inlineStr">
        <is>
          <t>6210002</t>
        </is>
      </c>
      <c r="F2024" s="551" t="n"/>
      <c r="G2024" s="484" t="inlineStr">
        <is>
          <t>(V)水光針針頭/31G9針/1.2mm/ PCS</t>
        </is>
      </c>
      <c r="H2024" s="552" t="n"/>
      <c r="I2024" s="552" t="n"/>
      <c r="J2024" s="551" t="n"/>
      <c r="K2024" s="140" t="inlineStr">
        <is>
          <t>PCS(20入/盒)</t>
        </is>
      </c>
      <c r="L2024" s="560" t="n">
        <v>92</v>
      </c>
    </row>
    <row r="2025" ht="17.25" customHeight="1" s="453" thickBot="1">
      <c r="A2025" s="553">
        <f>IFERROR(LEFT(B2025,7),"")</f>
        <v/>
      </c>
      <c r="B2025" s="554">
        <f>"2026/04"&amp;D2025</f>
        <v/>
      </c>
      <c r="C2025" s="559" t="n">
        <v>241</v>
      </c>
      <c r="D2025" s="484" t="inlineStr">
        <is>
          <t>忠孝健康7樓</t>
        </is>
      </c>
      <c r="E2025" s="484" t="inlineStr">
        <is>
          <t>6210003</t>
        </is>
      </c>
      <c r="F2025" s="551" t="n"/>
      <c r="G2025" s="484" t="inlineStr">
        <is>
          <t>(V)水光針針頭/31G9針/1.5mm/ PCS</t>
        </is>
      </c>
      <c r="H2025" s="552" t="n"/>
      <c r="I2025" s="552" t="n"/>
      <c r="J2025" s="551" t="n"/>
      <c r="K2025" s="140" t="inlineStr">
        <is>
          <t>PCS(20入/盒)</t>
        </is>
      </c>
      <c r="L2025" s="560" t="n">
        <v>6</v>
      </c>
    </row>
    <row r="2026" ht="17.25" customHeight="1" s="453" thickBot="1">
      <c r="A2026" s="553">
        <f>IFERROR(LEFT(B2026,7),"")</f>
        <v/>
      </c>
      <c r="B2026" s="554">
        <f>"2026/04"&amp;D2026</f>
        <v/>
      </c>
      <c r="C2026" s="559" t="n">
        <v>242</v>
      </c>
      <c r="D2026" s="484" t="inlineStr">
        <is>
          <t>忠孝健康7樓</t>
        </is>
      </c>
      <c r="E2026" s="484" t="inlineStr">
        <is>
          <t>6210006</t>
        </is>
      </c>
      <c r="F2026" s="551" t="n"/>
      <c r="G2026" s="484" t="inlineStr">
        <is>
          <t>(V)麗珠蘭修復水光(A劑2ml+B劑2ml)</t>
        </is>
      </c>
      <c r="H2026" s="552" t="n"/>
      <c r="I2026" s="552" t="n"/>
      <c r="J2026" s="551" t="n"/>
      <c r="K2026" s="140" t="inlineStr">
        <is>
          <t>2ml*2</t>
        </is>
      </c>
      <c r="L2026" s="560" t="n">
        <v>1</v>
      </c>
    </row>
    <row r="2027" ht="17.25" customHeight="1" s="453" thickBot="1">
      <c r="A2027" s="553">
        <f>IFERROR(LEFT(B2027,7),"")</f>
        <v/>
      </c>
      <c r="B2027" s="554">
        <f>"2026/04"&amp;D2027</f>
        <v/>
      </c>
      <c r="C2027" s="559" t="n">
        <v>243</v>
      </c>
      <c r="D2027" s="484" t="inlineStr">
        <is>
          <t>忠孝健康7樓</t>
        </is>
      </c>
      <c r="E2027" s="484" t="inlineStr">
        <is>
          <t>6210007</t>
        </is>
      </c>
      <c r="F2027" s="551" t="n"/>
      <c r="G2027" s="484" t="inlineStr">
        <is>
          <t>(V)麗珠蘭白瓷水光(A劑2ml+B劑2ml)</t>
        </is>
      </c>
      <c r="H2027" s="552" t="n"/>
      <c r="I2027" s="552" t="n"/>
      <c r="J2027" s="551" t="n"/>
      <c r="K2027" s="140" t="inlineStr">
        <is>
          <t>2ml*2</t>
        </is>
      </c>
      <c r="L2027" s="560" t="n">
        <v>2</v>
      </c>
    </row>
    <row r="2028" ht="17.25" customHeight="1" s="453" thickBot="1">
      <c r="A2028" s="553">
        <f>IFERROR(LEFT(B2028,7),"")</f>
        <v/>
      </c>
      <c r="B2028" s="554">
        <f>"2026/04"&amp;D2028</f>
        <v/>
      </c>
      <c r="C2028" s="559" t="n">
        <v>244</v>
      </c>
      <c r="D2028" s="484" t="inlineStr">
        <is>
          <t>忠孝健康7樓</t>
        </is>
      </c>
      <c r="E2028" s="484" t="inlineStr">
        <is>
          <t>6210008</t>
        </is>
      </c>
      <c r="F2028" s="551" t="n"/>
      <c r="G2028" s="484" t="inlineStr">
        <is>
          <t>微針筆針頭</t>
        </is>
      </c>
      <c r="H2028" s="552" t="n"/>
      <c r="I2028" s="552" t="n"/>
      <c r="J2028" s="551" t="n"/>
      <c r="K2028" s="140" t="inlineStr">
        <is>
          <t>PCS(33入/盒)</t>
        </is>
      </c>
      <c r="L2028" s="560" t="n">
        <v>3</v>
      </c>
    </row>
    <row r="2029" ht="17.25" customHeight="1" s="453" thickBot="1">
      <c r="A2029" s="553">
        <f>IFERROR(LEFT(B2029,7),"")</f>
        <v/>
      </c>
      <c r="B2029" s="554">
        <f>"2026/04"&amp;D2029</f>
        <v/>
      </c>
      <c r="C2029" s="559" t="n">
        <v>245</v>
      </c>
      <c r="D2029" s="484" t="inlineStr">
        <is>
          <t>忠孝健康7樓</t>
        </is>
      </c>
      <c r="E2029" s="484" t="inlineStr">
        <is>
          <t>6220005</t>
        </is>
      </c>
      <c r="F2029" s="551" t="n"/>
      <c r="G2029" s="484" t="inlineStr">
        <is>
          <t>海菲秀深藍端頭/ 顆</t>
        </is>
      </c>
      <c r="H2029" s="552" t="n"/>
      <c r="I2029" s="552" t="n"/>
      <c r="J2029" s="551" t="n"/>
      <c r="K2029" s="140" t="inlineStr">
        <is>
          <t>15顆/串</t>
        </is>
      </c>
      <c r="L2029" s="560" t="n">
        <v>317</v>
      </c>
    </row>
    <row r="2030" ht="17.25" customHeight="1" s="453" thickBot="1">
      <c r="A2030" s="553">
        <f>IFERROR(LEFT(B2030,7),"")</f>
        <v/>
      </c>
      <c r="B2030" s="554">
        <f>"2026/04"&amp;D2030</f>
        <v/>
      </c>
      <c r="C2030" s="559" t="n">
        <v>246</v>
      </c>
      <c r="D2030" s="484" t="inlineStr">
        <is>
          <t>忠孝健康7樓</t>
        </is>
      </c>
      <c r="E2030" s="484" t="inlineStr">
        <is>
          <t>6220006</t>
        </is>
      </c>
      <c r="F2030" s="551" t="n"/>
      <c r="G2030" s="484" t="inlineStr">
        <is>
          <t>海菲秀淺藍端頭/ 顆</t>
        </is>
      </c>
      <c r="H2030" s="552" t="n"/>
      <c r="I2030" s="552" t="n"/>
      <c r="J2030" s="551" t="n"/>
      <c r="K2030" s="140" t="inlineStr">
        <is>
          <t>15顆/串</t>
        </is>
      </c>
      <c r="L2030" s="560" t="n">
        <v>317</v>
      </c>
    </row>
    <row r="2031" ht="17.25" customHeight="1" s="453" thickBot="1">
      <c r="A2031" s="553">
        <f>IFERROR(LEFT(B2031,7),"")</f>
        <v/>
      </c>
      <c r="B2031" s="554">
        <f>"2026/04"&amp;D2031</f>
        <v/>
      </c>
      <c r="C2031" s="559" t="n">
        <v>247</v>
      </c>
      <c r="D2031" s="484" t="inlineStr">
        <is>
          <t>忠孝健康7樓</t>
        </is>
      </c>
      <c r="E2031" s="484" t="inlineStr">
        <is>
          <t>6220007</t>
        </is>
      </c>
      <c r="F2031" s="551" t="n"/>
      <c r="G2031" s="484" t="inlineStr">
        <is>
          <t>海菲秀透明端頭/ 顆</t>
        </is>
      </c>
      <c r="H2031" s="552" t="n"/>
      <c r="I2031" s="552" t="n"/>
      <c r="J2031" s="551" t="n"/>
      <c r="K2031" s="140" t="inlineStr">
        <is>
          <t>15顆/串</t>
        </is>
      </c>
      <c r="L2031" s="560" t="n">
        <v>317</v>
      </c>
    </row>
    <row r="2032" ht="17.25" customHeight="1" s="453" thickBot="1">
      <c r="A2032" s="553">
        <f>IFERROR(LEFT(B2032,7),"")</f>
        <v/>
      </c>
      <c r="B2032" s="554">
        <f>"2026/04"&amp;D2032</f>
        <v/>
      </c>
      <c r="C2032" s="559" t="n">
        <v>248</v>
      </c>
      <c r="D2032" s="484" t="inlineStr">
        <is>
          <t>忠孝健康7樓</t>
        </is>
      </c>
      <c r="E2032" s="484" t="inlineStr">
        <is>
          <t>6220012</t>
        </is>
      </c>
      <c r="F2032" s="551" t="n"/>
      <c r="G2032" s="484" t="inlineStr">
        <is>
          <t>(V)(第一劑)海菲秀 Activ-4 Skin Solution/mL</t>
        </is>
      </c>
      <c r="H2032" s="552" t="n"/>
      <c r="I2032" s="552" t="n"/>
      <c r="J2032" s="551" t="n"/>
      <c r="K2032" s="140" t="inlineStr">
        <is>
          <t>236ml/瓶</t>
        </is>
      </c>
      <c r="L2032" s="560" t="n">
        <v>4755</v>
      </c>
    </row>
    <row r="2033" ht="17.25" customHeight="1" s="453" thickBot="1">
      <c r="A2033" s="553">
        <f>IFERROR(LEFT(B2033,7),"")</f>
        <v/>
      </c>
      <c r="B2033" s="554">
        <f>"2026/04"&amp;D2033</f>
        <v/>
      </c>
      <c r="C2033" s="559" t="n">
        <v>249</v>
      </c>
      <c r="D2033" s="484" t="inlineStr">
        <is>
          <t>忠孝健康7樓</t>
        </is>
      </c>
      <c r="E2033" s="484" t="inlineStr">
        <is>
          <t>6220013</t>
        </is>
      </c>
      <c r="F2033" s="551" t="n"/>
      <c r="G2033" s="484" t="inlineStr">
        <is>
          <t>(V)(第二劑)海菲秀 Beta-HD Skin Solution /mL</t>
        </is>
      </c>
      <c r="H2033" s="552" t="n"/>
      <c r="I2033" s="552" t="n"/>
      <c r="J2033" s="551" t="n"/>
      <c r="K2033" s="140" t="inlineStr">
        <is>
          <t>236ml/瓶</t>
        </is>
      </c>
      <c r="L2033" s="560" t="n">
        <v>4755</v>
      </c>
    </row>
    <row r="2034" ht="17.25" customHeight="1" s="453" thickBot="1">
      <c r="A2034" s="553">
        <f>IFERROR(LEFT(B2034,7),"")</f>
        <v/>
      </c>
      <c r="B2034" s="554">
        <f>"2026/04"&amp;D2034</f>
        <v/>
      </c>
      <c r="C2034" s="559" t="n">
        <v>250</v>
      </c>
      <c r="D2034" s="484" t="inlineStr">
        <is>
          <t>忠孝健康7樓</t>
        </is>
      </c>
      <c r="E2034" s="484" t="inlineStr">
        <is>
          <t>6220014</t>
        </is>
      </c>
      <c r="F2034" s="551" t="n"/>
      <c r="G2034" s="484" t="inlineStr">
        <is>
          <t>(V)(第三劑)海菲秀 Antiox-6 Skin Solution /mL</t>
        </is>
      </c>
      <c r="H2034" s="552" t="n"/>
      <c r="I2034" s="552" t="n"/>
      <c r="J2034" s="551" t="n"/>
      <c r="K2034" s="140" t="inlineStr">
        <is>
          <t>236ml/瓶</t>
        </is>
      </c>
      <c r="L2034" s="560" t="n">
        <v>4755</v>
      </c>
    </row>
    <row r="2035" ht="17.25" customHeight="1" s="453" thickBot="1">
      <c r="A2035" s="553">
        <f>IFERROR(LEFT(B2035,7),"")</f>
        <v/>
      </c>
      <c r="B2035" s="554">
        <f>"2026/04"&amp;D2035</f>
        <v/>
      </c>
      <c r="C2035" s="559" t="n">
        <v>251</v>
      </c>
      <c r="D2035" s="484" t="inlineStr">
        <is>
          <t>忠孝健康7樓</t>
        </is>
      </c>
      <c r="E2035" s="484" t="inlineStr">
        <is>
          <t>6220015</t>
        </is>
      </c>
      <c r="F2035" s="551" t="n"/>
      <c r="G2035" s="484" t="inlineStr">
        <is>
          <t>(V)(第四劑)海菲秀 Rinseaway System Cleaning Solution /mL</t>
        </is>
      </c>
      <c r="H2035" s="552" t="n"/>
      <c r="I2035" s="552" t="n"/>
      <c r="J2035" s="551" t="n"/>
      <c r="K2035" s="140" t="inlineStr">
        <is>
          <t>236ml/瓶</t>
        </is>
      </c>
      <c r="L2035" s="560" t="n">
        <v>4755</v>
      </c>
    </row>
    <row r="2036" ht="17.25" customHeight="1" s="453" thickBot="1">
      <c r="A2036" s="553">
        <f>IFERROR(LEFT(B2036,7),"")</f>
        <v/>
      </c>
      <c r="B2036" s="554">
        <f>"2026/05"&amp;D2036</f>
        <v/>
      </c>
      <c r="C2036" s="559" t="n">
        <v>1</v>
      </c>
      <c r="D2036" s="484" t="inlineStr">
        <is>
          <t>站前4樓</t>
        </is>
      </c>
      <c r="E2036" s="484" t="inlineStr">
        <is>
          <t>6050010</t>
        </is>
      </c>
      <c r="F2036" s="551" t="n"/>
      <c r="G2036" s="484" t="inlineStr">
        <is>
          <t>(V)ExoPower 泌力機泌安瓶 6mL</t>
        </is>
      </c>
      <c r="H2036" s="552" t="n"/>
      <c r="I2036" s="552" t="n"/>
      <c r="J2036" s="551" t="n"/>
      <c r="K2036" s="140" t="inlineStr">
        <is>
          <t>瓶</t>
        </is>
      </c>
      <c r="L2036" s="560" t="n">
        <v>1</v>
      </c>
    </row>
    <row r="2037" ht="17.25" customHeight="1" s="453" thickBot="1">
      <c r="A2037" s="553">
        <f>IFERROR(LEFT(B2037,7),"")</f>
        <v/>
      </c>
      <c r="B2037" s="554">
        <f>"2026/05"&amp;D2037</f>
        <v/>
      </c>
      <c r="C2037" s="559" t="n">
        <v>2</v>
      </c>
      <c r="D2037" s="484" t="inlineStr">
        <is>
          <t>站前4樓</t>
        </is>
      </c>
      <c r="E2037" s="484" t="inlineStr">
        <is>
          <t>6110181</t>
        </is>
      </c>
      <c r="F2037" s="551" t="n"/>
      <c r="G2037" s="484" t="inlineStr">
        <is>
          <t>需自選沙貨進行手動扣庫</t>
        </is>
      </c>
      <c r="H2037" s="552" t="n"/>
      <c r="I2037" s="552" t="n"/>
      <c r="J2037" s="551" t="n"/>
      <c r="K2037" s="140" t="inlineStr">
        <is>
          <t>支</t>
        </is>
      </c>
      <c r="L2037" s="560" t="n">
        <v>4010</v>
      </c>
    </row>
    <row r="2038" ht="17.25" customHeight="1" s="453" thickBot="1">
      <c r="A2038" s="553">
        <f>IFERROR(LEFT(B2038,7),"")</f>
        <v/>
      </c>
      <c r="B2038" s="554">
        <f>"2026/05"&amp;D2038</f>
        <v/>
      </c>
      <c r="C2038" s="559" t="n">
        <v>3</v>
      </c>
      <c r="D2038" s="484" t="inlineStr">
        <is>
          <t>站前4樓</t>
        </is>
      </c>
      <c r="E2038" s="484" t="inlineStr">
        <is>
          <t>6120004</t>
        </is>
      </c>
      <c r="F2038" s="551" t="n"/>
      <c r="G2038" s="484" t="inlineStr">
        <is>
          <t>(V)胺基酸點滴250ml/ 袋(安命活源/嘉安命)，20倍數叫貨</t>
        </is>
      </c>
      <c r="H2038" s="552" t="n"/>
      <c r="I2038" s="552" t="n"/>
      <c r="J2038" s="551" t="n"/>
      <c r="K2038" s="140" t="inlineStr">
        <is>
          <t>(20瓶/箱)</t>
        </is>
      </c>
      <c r="L2038" s="560" t="n">
        <v>20</v>
      </c>
    </row>
    <row r="2039" ht="17.25" customHeight="1" s="453" thickBot="1">
      <c r="A2039" s="553">
        <f>IFERROR(LEFT(B2039,7),"")</f>
        <v/>
      </c>
      <c r="B2039" s="554">
        <f>"2026/05"&amp;D2039</f>
        <v/>
      </c>
      <c r="C2039" s="559" t="n">
        <v>4</v>
      </c>
      <c r="D2039" s="484" t="inlineStr">
        <is>
          <t>站前4樓</t>
        </is>
      </c>
      <c r="E2039" s="484" t="inlineStr">
        <is>
          <t>6120006</t>
        </is>
      </c>
      <c r="F2039" s="551" t="n"/>
      <c r="G2039" s="484" t="inlineStr">
        <is>
          <t>(V)(B12) 愛壽命 2mL，100倍數叫貨</t>
        </is>
      </c>
      <c r="H2039" s="552" t="n"/>
      <c r="I2039" s="552" t="n"/>
      <c r="J2039" s="551" t="n"/>
      <c r="K2039" s="140" t="inlineStr">
        <is>
          <t>(100支/盒)</t>
        </is>
      </c>
      <c r="L2039" s="560" t="n">
        <v>20</v>
      </c>
    </row>
    <row r="2040" ht="17.25" customHeight="1" s="453" thickBot="1">
      <c r="A2040" s="553">
        <f>IFERROR(LEFT(B2040,7),"")</f>
        <v/>
      </c>
      <c r="B2040" s="554">
        <f>"2026/05"&amp;D2040</f>
        <v/>
      </c>
      <c r="C2040" s="559" t="n">
        <v>5</v>
      </c>
      <c r="D2040" s="484" t="inlineStr">
        <is>
          <t>站前4樓</t>
        </is>
      </c>
      <c r="E2040" s="484" t="inlineStr">
        <is>
          <t>6120013</t>
        </is>
      </c>
      <c r="F2040" s="551" t="n"/>
      <c r="G2040" s="484" t="inlineStr">
        <is>
          <t>(V)生理食鹽水(NS) 250ml/ 袋</t>
        </is>
      </c>
      <c r="H2040" s="552" t="n"/>
      <c r="I2040" s="552" t="n"/>
      <c r="J2040" s="551" t="n"/>
      <c r="K2040" s="140" t="inlineStr">
        <is>
          <t>40瓶/箱</t>
        </is>
      </c>
      <c r="L2040" s="560" t="n">
        <v>130</v>
      </c>
    </row>
    <row r="2041" ht="17.25" customHeight="1" s="453" thickBot="1">
      <c r="A2041" s="553">
        <f>IFERROR(LEFT(B2041,7),"")</f>
        <v/>
      </c>
      <c r="B2041" s="554">
        <f>"2026/05"&amp;D2041</f>
        <v/>
      </c>
      <c r="C2041" s="559" t="n">
        <v>6</v>
      </c>
      <c r="D2041" s="484" t="inlineStr">
        <is>
          <t>站前4樓</t>
        </is>
      </c>
      <c r="E2041" s="484" t="inlineStr">
        <is>
          <t>6120015</t>
        </is>
      </c>
      <c r="F2041" s="551" t="n"/>
      <c r="G2041" s="484" t="inlineStr">
        <is>
          <t>(V)(B群)淘能美複合維他命B 2ml，100倍數叫貨</t>
        </is>
      </c>
      <c r="H2041" s="552" t="n"/>
      <c r="I2041" s="552" t="n"/>
      <c r="J2041" s="551" t="n"/>
      <c r="K2041" s="140" t="n"/>
      <c r="L2041" s="560" t="n">
        <v>150</v>
      </c>
    </row>
    <row r="2042" ht="17.25" customHeight="1" s="453" thickBot="1">
      <c r="A2042" s="553">
        <f>IFERROR(LEFT(B2042,7),"")</f>
        <v/>
      </c>
      <c r="B2042" s="554">
        <f>"2026/05"&amp;D2042</f>
        <v/>
      </c>
      <c r="C2042" s="559" t="n">
        <v>7</v>
      </c>
      <c r="D2042" s="484" t="inlineStr">
        <is>
          <t>站前4樓</t>
        </is>
      </c>
      <c r="E2042" s="484" t="inlineStr">
        <is>
          <t>6120016</t>
        </is>
      </c>
      <c r="F2042" s="551" t="n"/>
      <c r="G2042" s="484" t="inlineStr">
        <is>
          <t>(V)(榖胱肝肽) 克樂達養200mg (20ml/瓶)</t>
        </is>
      </c>
      <c r="H2042" s="552" t="n"/>
      <c r="I2042" s="552" t="n"/>
      <c r="J2042" s="551" t="n"/>
      <c r="K2042" s="140" t="inlineStr">
        <is>
          <t>50支/盒</t>
        </is>
      </c>
      <c r="L2042" s="560" t="n">
        <v>150</v>
      </c>
    </row>
    <row r="2043" ht="17.25" customHeight="1" s="453" thickBot="1">
      <c r="A2043" s="553">
        <f>IFERROR(LEFT(B2043,7),"")</f>
        <v/>
      </c>
      <c r="B2043" s="554">
        <f>"2026/05"&amp;D2043</f>
        <v/>
      </c>
      <c r="C2043" s="559" t="n">
        <v>8</v>
      </c>
      <c r="D2043" s="484" t="inlineStr">
        <is>
          <t>站前4樓</t>
        </is>
      </c>
      <c r="E2043" s="484" t="inlineStr">
        <is>
          <t>6120018</t>
        </is>
      </c>
      <c r="F2043" s="551" t="n"/>
      <c r="G2043" s="484" t="inlineStr">
        <is>
          <t>(V)(傳明酸)止血明 5ml/支</t>
        </is>
      </c>
      <c r="H2043" s="552" t="n"/>
      <c r="I2043" s="552" t="n"/>
      <c r="J2043" s="551" t="n"/>
      <c r="K2043" s="140" t="inlineStr">
        <is>
          <t>50支/盒</t>
        </is>
      </c>
      <c r="L2043" s="560" t="n">
        <v>100</v>
      </c>
    </row>
    <row r="2044" ht="17.25" customHeight="1" s="453" thickBot="1">
      <c r="A2044" s="553">
        <f>IFERROR(LEFT(B2044,7),"")</f>
        <v/>
      </c>
      <c r="B2044" s="554">
        <f>"2026/05"&amp;D2044</f>
        <v/>
      </c>
      <c r="C2044" s="559" t="n">
        <v>9</v>
      </c>
      <c r="D2044" s="484" t="inlineStr">
        <is>
          <t>站前4樓</t>
        </is>
      </c>
      <c r="E2044" s="484" t="inlineStr">
        <is>
          <t>6120020</t>
        </is>
      </c>
      <c r="F2044" s="551" t="n"/>
      <c r="G2044" s="484" t="inlineStr">
        <is>
          <t>(V)(Vit C) 抗壞血酸 2mL，100倍數下單</t>
        </is>
      </c>
      <c r="H2044" s="552" t="n"/>
      <c r="I2044" s="552" t="n"/>
      <c r="J2044" s="551" t="n"/>
      <c r="K2044" s="140" t="inlineStr">
        <is>
          <t>100支/盒</t>
        </is>
      </c>
      <c r="L2044" s="560" t="n">
        <v>36</v>
      </c>
    </row>
    <row r="2045" ht="17.25" customHeight="1" s="453" thickBot="1">
      <c r="A2045" s="553">
        <f>IFERROR(LEFT(B2045,7),"")</f>
        <v/>
      </c>
      <c r="B2045" s="554">
        <f>"2026/05"&amp;D2045</f>
        <v/>
      </c>
      <c r="C2045" s="559" t="n">
        <v>10</v>
      </c>
      <c r="D2045" s="484" t="inlineStr">
        <is>
          <t>站前4樓</t>
        </is>
      </c>
      <c r="E2045" s="484" t="inlineStr">
        <is>
          <t>6120021</t>
        </is>
      </c>
      <c r="F2045" s="551" t="n"/>
      <c r="G2045" s="484" t="inlineStr">
        <is>
          <t>(V)(Vit C)(抗壞血酸/諾貝爾)20ml，50倍數下單</t>
        </is>
      </c>
      <c r="H2045" s="552" t="n"/>
      <c r="I2045" s="552" t="n"/>
      <c r="J2045" s="551" t="n"/>
      <c r="K2045" s="140" t="inlineStr">
        <is>
          <t>50支/盒</t>
        </is>
      </c>
      <c r="L2045" s="560" t="n">
        <v>181</v>
      </c>
    </row>
    <row r="2046" ht="17.25" customHeight="1" s="453" thickBot="1">
      <c r="A2046" s="553">
        <f>IFERROR(LEFT(B2046,7),"")</f>
        <v/>
      </c>
      <c r="B2046" s="554">
        <f>"2026/05"&amp;D2046</f>
        <v/>
      </c>
      <c r="C2046" s="559" t="n">
        <v>11</v>
      </c>
      <c r="D2046" s="484" t="inlineStr">
        <is>
          <t>站前4樓</t>
        </is>
      </c>
      <c r="E2046" s="484" t="inlineStr">
        <is>
          <t>6120036</t>
        </is>
      </c>
      <c r="F2046" s="551" t="n"/>
      <c r="G2046" s="484" t="inlineStr">
        <is>
          <t>(V)貝力多(雙胜胺) 20% 50mL/ 瓶，60倍數下單</t>
        </is>
      </c>
      <c r="H2046" s="552" t="n"/>
      <c r="I2046" s="552" t="n"/>
      <c r="J2046" s="551" t="n"/>
      <c r="K2046" s="140" t="inlineStr">
        <is>
          <t>瓶(10瓶/盒)</t>
        </is>
      </c>
      <c r="L2046" s="560" t="n">
        <v>20</v>
      </c>
    </row>
    <row r="2047" ht="17.25" customHeight="1" s="453" thickBot="1">
      <c r="A2047" s="553">
        <f>IFERROR(LEFT(B2047,7),"")</f>
        <v/>
      </c>
      <c r="B2047" s="554">
        <f>"2026/05"&amp;D2047</f>
        <v/>
      </c>
      <c r="C2047" s="559" t="n">
        <v>12</v>
      </c>
      <c r="D2047" s="484" t="inlineStr">
        <is>
          <t>站前4樓</t>
        </is>
      </c>
      <c r="E2047" s="484" t="inlineStr">
        <is>
          <t>6140001</t>
        </is>
      </c>
      <c r="F2047" s="551" t="n"/>
      <c r="G2047" s="484" t="inlineStr">
        <is>
          <t>(V)保妥適肉毒Botox/ u，100倍數下單</t>
        </is>
      </c>
      <c r="H2047" s="552" t="n"/>
      <c r="I2047" s="552" t="n"/>
      <c r="J2047" s="551" t="n"/>
      <c r="K2047" s="140" t="inlineStr">
        <is>
          <t>100U/瓶</t>
        </is>
      </c>
      <c r="L2047" s="560" t="n">
        <v>4130</v>
      </c>
    </row>
    <row r="2048" ht="17.25" customHeight="1" s="453" thickBot="1">
      <c r="A2048" s="553">
        <f>IFERROR(LEFT(B2048,7),"")</f>
        <v/>
      </c>
      <c r="B2048" s="554">
        <f>"2026/05"&amp;D2048</f>
        <v/>
      </c>
      <c r="C2048" s="559" t="n">
        <v>13</v>
      </c>
      <c r="D2048" s="484" t="inlineStr">
        <is>
          <t>站前4樓</t>
        </is>
      </c>
      <c r="E2048" s="484" t="inlineStr">
        <is>
          <t>6140003</t>
        </is>
      </c>
      <c r="F2048" s="551" t="n"/>
      <c r="G2048" s="484" t="inlineStr">
        <is>
          <t>(V)保提拉肉毒Letybo/ u，3200倍數下單</t>
        </is>
      </c>
      <c r="H2048" s="552" t="n"/>
      <c r="I2048" s="552" t="n"/>
      <c r="J2048" s="551" t="n"/>
      <c r="K2048" s="140" t="inlineStr">
        <is>
          <t>200U/瓶</t>
        </is>
      </c>
      <c r="L2048" s="560" t="n">
        <v>5665</v>
      </c>
    </row>
    <row r="2049" ht="17.25" customHeight="1" s="453" thickBot="1">
      <c r="A2049" s="553">
        <f>IFERROR(LEFT(B2049,7),"")</f>
        <v/>
      </c>
      <c r="B2049" s="554">
        <f>"2026/05"&amp;D2049</f>
        <v/>
      </c>
      <c r="C2049" s="559" t="n">
        <v>14</v>
      </c>
      <c r="D2049" s="484" t="inlineStr">
        <is>
          <t>站前4樓</t>
        </is>
      </c>
      <c r="E2049" s="484" t="inlineStr">
        <is>
          <t>6140005</t>
        </is>
      </c>
      <c r="F2049" s="551" t="n"/>
      <c r="G2049" s="484" t="inlineStr">
        <is>
          <t>(V)奇蹟肉毒/ u，200倍數下單</t>
        </is>
      </c>
      <c r="H2049" s="552" t="n"/>
      <c r="I2049" s="552" t="n"/>
      <c r="J2049" s="551" t="n"/>
      <c r="K2049" s="140" t="inlineStr">
        <is>
          <t>200U/瓶</t>
        </is>
      </c>
      <c r="L2049" s="560" t="n">
        <v>7896</v>
      </c>
    </row>
    <row r="2050" ht="17.25" customHeight="1" s="453" thickBot="1">
      <c r="A2050" s="553">
        <f>IFERROR(LEFT(B2050,7),"")</f>
        <v/>
      </c>
      <c r="B2050" s="554">
        <f>"2026/05"&amp;D2050</f>
        <v/>
      </c>
      <c r="C2050" s="559" t="n">
        <v>15</v>
      </c>
      <c r="D2050" s="484" t="inlineStr">
        <is>
          <t>站前4樓</t>
        </is>
      </c>
      <c r="E2050" s="484" t="inlineStr">
        <is>
          <t>6150001</t>
        </is>
      </c>
      <c r="F2050" s="551" t="n"/>
      <c r="G2050" s="484" t="inlineStr">
        <is>
          <t>(V)喬雅登-豐麗緹玻尿酸植入物Voluma 1ml</t>
        </is>
      </c>
      <c r="H2050" s="552" t="n"/>
      <c r="I2050" s="552" t="n"/>
      <c r="J2050" s="551" t="n"/>
      <c r="K2050" s="140" t="inlineStr">
        <is>
          <t>1ml(2ml/盒)</t>
        </is>
      </c>
      <c r="L2050" s="560" t="n">
        <v>183</v>
      </c>
    </row>
    <row r="2051" ht="17.25" customHeight="1" s="453" thickBot="1">
      <c r="A2051" s="553">
        <f>IFERROR(LEFT(B2051,7),"")</f>
        <v/>
      </c>
      <c r="B2051" s="554">
        <f>"2026/05"&amp;D2051</f>
        <v/>
      </c>
      <c r="C2051" s="559" t="n">
        <v>16</v>
      </c>
      <c r="D2051" s="484" t="inlineStr">
        <is>
          <t>站前4樓</t>
        </is>
      </c>
      <c r="E2051" s="484" t="inlineStr">
        <is>
          <t>6150002</t>
        </is>
      </c>
      <c r="F2051" s="551" t="n"/>
      <c r="G2051" s="484" t="inlineStr">
        <is>
          <t>(V)喬雅登-夢蓓菈玻尿酸植入物Volbella 1ml</t>
        </is>
      </c>
      <c r="H2051" s="552" t="n"/>
      <c r="I2051" s="552" t="n"/>
      <c r="J2051" s="551" t="n"/>
      <c r="K2051" s="140" t="inlineStr">
        <is>
          <t>1ml(2ml/盒)</t>
        </is>
      </c>
      <c r="L2051" s="560" t="n">
        <v>6</v>
      </c>
    </row>
    <row r="2052" ht="17.25" customHeight="1" s="453" thickBot="1">
      <c r="A2052" s="553">
        <f>IFERROR(LEFT(B2052,7),"")</f>
        <v/>
      </c>
      <c r="B2052" s="554">
        <f>"2026/05"&amp;D2052</f>
        <v/>
      </c>
      <c r="C2052" s="559" t="n">
        <v>17</v>
      </c>
      <c r="D2052" s="484" t="inlineStr">
        <is>
          <t>站前4樓</t>
        </is>
      </c>
      <c r="E2052" s="484" t="inlineStr">
        <is>
          <t>6150003</t>
        </is>
      </c>
      <c r="F2052" s="551" t="n"/>
      <c r="G2052" s="484" t="inlineStr">
        <is>
          <t>(V)喬雅登-豐麗緹玻尿酸植入物Volift 1ml</t>
        </is>
      </c>
      <c r="H2052" s="552" t="n"/>
      <c r="I2052" s="552" t="n"/>
      <c r="J2052" s="551" t="n"/>
      <c r="K2052" s="140" t="inlineStr">
        <is>
          <t>1ml(2ml/盒)</t>
        </is>
      </c>
      <c r="L2052" s="560" t="n">
        <v>2</v>
      </c>
    </row>
    <row r="2053" ht="17.25" customHeight="1" s="453" thickBot="1">
      <c r="A2053" s="553">
        <f>IFERROR(LEFT(B2053,7),"")</f>
        <v/>
      </c>
      <c r="B2053" s="554">
        <f>"2026/05"&amp;D2053</f>
        <v/>
      </c>
      <c r="C2053" s="559" t="n">
        <v>18</v>
      </c>
      <c r="D2053" s="484" t="inlineStr">
        <is>
          <t>站前4樓</t>
        </is>
      </c>
      <c r="E2053" s="484" t="inlineStr">
        <is>
          <t>6150004</t>
        </is>
      </c>
      <c r="F2053" s="551" t="n"/>
      <c r="G2053" s="484" t="inlineStr">
        <is>
          <t>(V)喬雅登-豐塑玻尿酸植入物Volux 1ml</t>
        </is>
      </c>
      <c r="H2053" s="552" t="n"/>
      <c r="I2053" s="552" t="n"/>
      <c r="J2053" s="551" t="n"/>
      <c r="K2053" s="140" t="inlineStr">
        <is>
          <t>1ml(2ml/盒)</t>
        </is>
      </c>
      <c r="L2053" s="560" t="n">
        <v>9</v>
      </c>
    </row>
    <row r="2054" ht="17.25" customHeight="1" s="453" thickBot="1">
      <c r="A2054" s="553">
        <f>IFERROR(LEFT(B2054,7),"")</f>
        <v/>
      </c>
      <c r="B2054" s="554">
        <f>"2026/05"&amp;D2054</f>
        <v/>
      </c>
      <c r="C2054" s="559" t="n">
        <v>19</v>
      </c>
      <c r="D2054" s="484" t="inlineStr">
        <is>
          <t>站前4樓</t>
        </is>
      </c>
      <c r="E2054" s="484" t="inlineStr">
        <is>
          <t>6150005</t>
        </is>
      </c>
      <c r="F2054" s="551" t="n"/>
      <c r="G2054" s="484" t="inlineStr">
        <is>
          <t>(V)喬雅登-芙潤玻尿酸植入物Volite 1ml</t>
        </is>
      </c>
      <c r="H2054" s="552" t="n"/>
      <c r="I2054" s="552" t="n"/>
      <c r="J2054" s="551" t="n"/>
      <c r="K2054" s="140" t="inlineStr">
        <is>
          <t>1ml(2ml/盒)</t>
        </is>
      </c>
      <c r="L2054" s="560" t="n">
        <v>4</v>
      </c>
    </row>
    <row r="2055" ht="17.25" customHeight="1" s="453" thickBot="1">
      <c r="A2055" s="553">
        <f>IFERROR(LEFT(B2055,7),"")</f>
        <v/>
      </c>
      <c r="B2055" s="554">
        <f>"2026/05"&amp;D2055</f>
        <v/>
      </c>
      <c r="C2055" s="559" t="n">
        <v>20</v>
      </c>
      <c r="D2055" s="484" t="inlineStr">
        <is>
          <t>站前4樓</t>
        </is>
      </c>
      <c r="E2055" s="484" t="inlineStr">
        <is>
          <t>6150010</t>
        </is>
      </c>
      <c r="F2055" s="551" t="n"/>
      <c r="G2055" s="484" t="inlineStr">
        <is>
          <t>(V)仙女玻尿酸大分子 1ml</t>
        </is>
      </c>
      <c r="H2055" s="552" t="n"/>
      <c r="I2055" s="552" t="n"/>
      <c r="J2055" s="551" t="n"/>
      <c r="K2055" s="140" t="inlineStr">
        <is>
          <t>1ml(1ml/盒)</t>
        </is>
      </c>
      <c r="L2055" s="560" t="n">
        <v>17</v>
      </c>
    </row>
    <row r="2056" ht="17.25" customHeight="1" s="453" thickBot="1">
      <c r="A2056" s="553">
        <f>IFERROR(LEFT(B2056,7),"")</f>
        <v/>
      </c>
      <c r="B2056" s="554">
        <f>"2026/05"&amp;D2056</f>
        <v/>
      </c>
      <c r="C2056" s="559" t="n">
        <v>21</v>
      </c>
      <c r="D2056" s="484" t="inlineStr">
        <is>
          <t>站前4樓</t>
        </is>
      </c>
      <c r="E2056" s="484" t="inlineStr">
        <is>
          <t>6150013</t>
        </is>
      </c>
      <c r="F2056" s="551" t="n"/>
      <c r="G2056" s="484" t="inlineStr">
        <is>
          <t>(V)逆時針(璞菲洛)2cc/支</t>
        </is>
      </c>
      <c r="H2056" s="552" t="n"/>
      <c r="I2056" s="552" t="n"/>
      <c r="J2056" s="551" t="n"/>
      <c r="K2056" s="140" t="inlineStr">
        <is>
          <t>1ml(1ml/盒)</t>
        </is>
      </c>
      <c r="L2056" s="560" t="n">
        <v>20</v>
      </c>
    </row>
    <row r="2057" ht="17.25" customHeight="1" s="453" thickBot="1">
      <c r="A2057" s="553">
        <f>IFERROR(LEFT(B2057,7),"")</f>
        <v/>
      </c>
      <c r="B2057" s="554">
        <f>"2026/05"&amp;D2057</f>
        <v/>
      </c>
      <c r="C2057" s="559" t="n">
        <v>22</v>
      </c>
      <c r="D2057" s="484" t="inlineStr">
        <is>
          <t>站前4樓</t>
        </is>
      </c>
      <c r="E2057" s="484" t="inlineStr">
        <is>
          <t>6150015</t>
        </is>
      </c>
      <c r="F2057" s="551" t="n"/>
      <c r="G2057" s="484" t="inlineStr">
        <is>
          <t>(V)喬雅登絲漾膚玻尿酸植入物Skinvive 1ml/支(2倍數叫貨)</t>
        </is>
      </c>
      <c r="H2057" s="552" t="n"/>
      <c r="I2057" s="552" t="n"/>
      <c r="J2057" s="551" t="n"/>
      <c r="K2057" s="140" t="inlineStr">
        <is>
          <t>1ml(2ml/盒)</t>
        </is>
      </c>
      <c r="L2057" s="560" t="n">
        <v>8</v>
      </c>
    </row>
    <row r="2058" ht="17.25" customHeight="1" s="453" thickBot="1">
      <c r="A2058" s="553">
        <f>IFERROR(LEFT(B2058,7),"")</f>
        <v/>
      </c>
      <c r="B2058" s="554">
        <f>"2026/05"&amp;D2058</f>
        <v/>
      </c>
      <c r="C2058" s="559" t="n">
        <v>23</v>
      </c>
      <c r="D2058" s="484" t="inlineStr">
        <is>
          <t>站前4樓</t>
        </is>
      </c>
      <c r="E2058" s="484" t="inlineStr">
        <is>
          <t>6160002</t>
        </is>
      </c>
      <c r="F2058" s="551" t="n"/>
      <c r="G2058" s="484" t="inlineStr">
        <is>
          <t>(V)洢蓮絲植入劑ELLANSÉ-S 1ml/ 支(2倍數叫貨)</t>
        </is>
      </c>
      <c r="H2058" s="552" t="n"/>
      <c r="I2058" s="552" t="n"/>
      <c r="J2058" s="551" t="n"/>
      <c r="K2058" s="140" t="inlineStr">
        <is>
          <t>1ml(2ml/盒)</t>
        </is>
      </c>
      <c r="L2058" s="560" t="n">
        <v>69</v>
      </c>
    </row>
    <row r="2059" ht="17.25" customHeight="1" s="453" thickBot="1">
      <c r="A2059" s="553">
        <f>IFERROR(LEFT(B2059,7),"")</f>
        <v/>
      </c>
      <c r="B2059" s="554">
        <f>"2026/05"&amp;D2059</f>
        <v/>
      </c>
      <c r="C2059" s="559" t="n">
        <v>24</v>
      </c>
      <c r="D2059" s="484" t="inlineStr">
        <is>
          <t>站前4樓</t>
        </is>
      </c>
      <c r="E2059" s="484" t="inlineStr">
        <is>
          <t>6160003</t>
        </is>
      </c>
      <c r="F2059" s="551" t="n"/>
      <c r="G2059" s="484" t="inlineStr">
        <is>
          <t>(V)洢蓮絲植入劑ELLANSÉ-M 1ml/ 支(2倍數叫貨)</t>
        </is>
      </c>
      <c r="H2059" s="552" t="n"/>
      <c r="I2059" s="552" t="n"/>
      <c r="J2059" s="551" t="n"/>
      <c r="K2059" s="140" t="inlineStr">
        <is>
          <t>1ml(2ml/盒)</t>
        </is>
      </c>
      <c r="L2059" s="560" t="n">
        <v>13</v>
      </c>
    </row>
    <row r="2060" ht="17.25" customHeight="1" s="453" thickBot="1">
      <c r="A2060" s="553">
        <f>IFERROR(LEFT(B2060,7),"")</f>
        <v/>
      </c>
      <c r="B2060" s="554">
        <f>"2026/05"&amp;D2060</f>
        <v/>
      </c>
      <c r="C2060" s="559" t="n">
        <v>25</v>
      </c>
      <c r="D2060" s="484" t="inlineStr">
        <is>
          <t>站前4樓</t>
        </is>
      </c>
      <c r="E2060" s="484" t="inlineStr">
        <is>
          <t>6160005</t>
        </is>
      </c>
      <c r="F2060" s="551" t="n"/>
      <c r="G2060" s="484" t="inlineStr">
        <is>
          <t>(V)双美熊貓針</t>
        </is>
      </c>
      <c r="H2060" s="552" t="n"/>
      <c r="I2060" s="552" t="n"/>
      <c r="J2060" s="551" t="n"/>
      <c r="K2060" s="140" t="inlineStr">
        <is>
          <t>(1ml/盒)</t>
        </is>
      </c>
      <c r="L2060" s="560" t="n">
        <v>67</v>
      </c>
    </row>
    <row r="2061" ht="17.25" customHeight="1" s="453" thickBot="1">
      <c r="A2061" s="553">
        <f>IFERROR(LEFT(B2061,7),"")</f>
        <v/>
      </c>
      <c r="B2061" s="554">
        <f>"2026/05"&amp;D2061</f>
        <v/>
      </c>
      <c r="C2061" s="559" t="n">
        <v>26</v>
      </c>
      <c r="D2061" s="484" t="inlineStr">
        <is>
          <t>站前4樓</t>
        </is>
      </c>
      <c r="E2061" s="484" t="inlineStr">
        <is>
          <t>6160008</t>
        </is>
      </c>
      <c r="F2061" s="551" t="n"/>
      <c r="G2061" s="484" t="inlineStr">
        <is>
          <t>(V)薇貝拉50mg小分子/ 1cc</t>
        </is>
      </c>
      <c r="H2061" s="552" t="n"/>
      <c r="I2061" s="552" t="n"/>
      <c r="J2061" s="551" t="n"/>
      <c r="K2061" s="140" t="inlineStr">
        <is>
          <t>6cc/瓶</t>
        </is>
      </c>
      <c r="L2061" s="560" t="n">
        <v>97</v>
      </c>
    </row>
    <row r="2062" ht="17.25" customHeight="1" s="453" thickBot="1">
      <c r="A2062" s="553">
        <f>IFERROR(LEFT(B2062,7),"")</f>
        <v/>
      </c>
      <c r="B2062" s="554">
        <f>"2026/05"&amp;D2062</f>
        <v/>
      </c>
      <c r="C2062" s="559" t="n">
        <v>27</v>
      </c>
      <c r="D2062" s="484" t="inlineStr">
        <is>
          <t>站前4樓</t>
        </is>
      </c>
      <c r="E2062" s="484" t="inlineStr">
        <is>
          <t>6160009</t>
        </is>
      </c>
      <c r="F2062" s="551" t="n"/>
      <c r="G2062" s="484" t="inlineStr">
        <is>
          <t>(V)薇貝拉200mg大分子/ 1cc</t>
        </is>
      </c>
      <c r="H2062" s="552" t="n"/>
      <c r="I2062" s="552" t="n"/>
      <c r="J2062" s="551" t="n"/>
      <c r="K2062" s="140" t="inlineStr">
        <is>
          <t>8cc/瓶</t>
        </is>
      </c>
      <c r="L2062" s="560" t="n">
        <v>97</v>
      </c>
    </row>
    <row r="2063" ht="17.25" customHeight="1" s="453" thickBot="1">
      <c r="A2063" s="553">
        <f>IFERROR(LEFT(B2063,7),"")</f>
        <v/>
      </c>
      <c r="B2063" s="554">
        <f>"2026/05"&amp;D2063</f>
        <v/>
      </c>
      <c r="C2063" s="559" t="n">
        <v>28</v>
      </c>
      <c r="D2063" s="484" t="inlineStr">
        <is>
          <t>站前4樓</t>
        </is>
      </c>
      <c r="E2063" s="484" t="inlineStr">
        <is>
          <t>6160010</t>
        </is>
      </c>
      <c r="F2063" s="551" t="n"/>
      <c r="G2063" s="484" t="inlineStr">
        <is>
          <t>(V)喬雅露-大分子200mg/ 1cc(8倍數叫貨)</t>
        </is>
      </c>
      <c r="H2063" s="552" t="n"/>
      <c r="I2063" s="552" t="n"/>
      <c r="J2063" s="551" t="n"/>
      <c r="K2063" s="140" t="inlineStr">
        <is>
          <t>8cc/瓶</t>
        </is>
      </c>
      <c r="L2063" s="560" t="n">
        <v>84</v>
      </c>
    </row>
    <row r="2064" ht="17.25" customHeight="1" s="453" thickBot="1">
      <c r="A2064" s="553">
        <f>IFERROR(LEFT(B2064,7),"")</f>
        <v/>
      </c>
      <c r="B2064" s="554">
        <f>"2026/05"&amp;D2064</f>
        <v/>
      </c>
      <c r="C2064" s="559" t="n">
        <v>29</v>
      </c>
      <c r="D2064" s="484" t="inlineStr">
        <is>
          <t>站前4樓</t>
        </is>
      </c>
      <c r="E2064" s="484" t="inlineStr">
        <is>
          <t>6160011</t>
        </is>
      </c>
      <c r="F2064" s="551" t="n"/>
      <c r="G2064" s="484" t="inlineStr">
        <is>
          <t>(V)喬雅露-小分子50mg/ 1cc(6倍數叫貨)</t>
        </is>
      </c>
      <c r="H2064" s="552" t="n"/>
      <c r="I2064" s="552" t="n"/>
      <c r="J2064" s="551" t="n"/>
      <c r="K2064" s="140" t="inlineStr">
        <is>
          <t>6cc/瓶</t>
        </is>
      </c>
      <c r="L2064" s="560" t="n">
        <v>422</v>
      </c>
    </row>
    <row r="2065" ht="17.25" customHeight="1" s="453" thickBot="1">
      <c r="A2065" s="553">
        <f>IFERROR(LEFT(B2065,7),"")</f>
        <v/>
      </c>
      <c r="B2065" s="554">
        <f>"2026/05"&amp;D2065</f>
        <v/>
      </c>
      <c r="C2065" s="559" t="n">
        <v>30</v>
      </c>
      <c r="D2065" s="484" t="inlineStr">
        <is>
          <t>站前4樓</t>
        </is>
      </c>
      <c r="E2065" s="484" t="inlineStr">
        <is>
          <t>6170005</t>
        </is>
      </c>
      <c r="F2065" s="551" t="n"/>
      <c r="G2065" s="484" t="inlineStr">
        <is>
          <t>海芙三代音波探頭2mm/ 條</t>
        </is>
      </c>
      <c r="H2065" s="552" t="n"/>
      <c r="I2065" s="552" t="n"/>
      <c r="J2065" s="551" t="n"/>
      <c r="K2065" s="140" t="inlineStr">
        <is>
          <t>20099條/顆</t>
        </is>
      </c>
      <c r="L2065" s="560" t="n">
        <v>13123</v>
      </c>
    </row>
    <row r="2066" ht="17.25" customHeight="1" s="453" thickBot="1">
      <c r="A2066" s="553">
        <f>IFERROR(LEFT(B2066,7),"")</f>
        <v/>
      </c>
      <c r="B2066" s="554">
        <f>"2026/05"&amp;D2066</f>
        <v/>
      </c>
      <c r="C2066" s="559" t="n">
        <v>31</v>
      </c>
      <c r="D2066" s="484" t="inlineStr">
        <is>
          <t>站前4樓</t>
        </is>
      </c>
      <c r="E2066" s="484" t="inlineStr">
        <is>
          <t>6170007</t>
        </is>
      </c>
      <c r="F2066" s="551" t="n"/>
      <c r="G2066" s="484" t="inlineStr">
        <is>
          <t>海芙三代音波探頭3mm/ 條</t>
        </is>
      </c>
      <c r="H2066" s="552" t="n"/>
      <c r="I2066" s="552" t="n"/>
      <c r="J2066" s="551" t="n"/>
      <c r="K2066" s="140" t="inlineStr">
        <is>
          <t>20099條/顆</t>
        </is>
      </c>
      <c r="L2066" s="560" t="n">
        <v>39668</v>
      </c>
    </row>
    <row r="2067" ht="17.25" customHeight="1" s="453" thickBot="1">
      <c r="A2067" s="553">
        <f>IFERROR(LEFT(B2067,7),"")</f>
        <v/>
      </c>
      <c r="B2067" s="554">
        <f>"2026/05"&amp;D2067</f>
        <v/>
      </c>
      <c r="C2067" s="559" t="n">
        <v>32</v>
      </c>
      <c r="D2067" s="484" t="inlineStr">
        <is>
          <t>站前4樓</t>
        </is>
      </c>
      <c r="E2067" s="484" t="inlineStr">
        <is>
          <t>6170009</t>
        </is>
      </c>
      <c r="F2067" s="551" t="n"/>
      <c r="G2067" s="484" t="inlineStr">
        <is>
          <t>海芙三代音波探頭4.5mm/ 條</t>
        </is>
      </c>
      <c r="H2067" s="552" t="n"/>
      <c r="I2067" s="552" t="n"/>
      <c r="J2067" s="551" t="n"/>
      <c r="K2067" s="140" t="inlineStr">
        <is>
          <t>20099條/顆</t>
        </is>
      </c>
      <c r="L2067" s="560" t="n">
        <v>53546</v>
      </c>
    </row>
    <row r="2068" ht="17.25" customHeight="1" s="453" thickBot="1">
      <c r="A2068" s="553">
        <f>IFERROR(LEFT(B2068,7),"")</f>
        <v/>
      </c>
      <c r="B2068" s="554">
        <f>"2026/05"&amp;D2068</f>
        <v/>
      </c>
      <c r="C2068" s="559" t="n">
        <v>33</v>
      </c>
      <c r="D2068" s="484" t="inlineStr">
        <is>
          <t>站前4樓</t>
        </is>
      </c>
      <c r="E2068" s="484" t="inlineStr">
        <is>
          <t>6170011</t>
        </is>
      </c>
      <c r="F2068" s="551" t="n"/>
      <c r="G2068" s="484" t="inlineStr">
        <is>
          <t>海芙三代音波探頭6mm/ 條</t>
        </is>
      </c>
      <c r="H2068" s="552" t="n"/>
      <c r="I2068" s="552" t="n"/>
      <c r="J2068" s="551" t="n"/>
      <c r="K2068" s="140" t="inlineStr">
        <is>
          <t>30,099條/顆</t>
        </is>
      </c>
      <c r="L2068" s="560" t="n">
        <v>14989</v>
      </c>
    </row>
    <row r="2069" ht="17.25" customHeight="1" s="453" thickBot="1">
      <c r="A2069" s="553">
        <f>IFERROR(LEFT(B2069,7),"")</f>
        <v/>
      </c>
      <c r="B2069" s="554">
        <f>"2026/05"&amp;D2069</f>
        <v/>
      </c>
      <c r="C2069" s="559" t="n">
        <v>34</v>
      </c>
      <c r="D2069" s="484" t="inlineStr">
        <is>
          <t>站前4樓</t>
        </is>
      </c>
      <c r="E2069" s="484" t="inlineStr">
        <is>
          <t>6170019</t>
        </is>
      </c>
      <c r="F2069" s="551" t="n"/>
      <c r="G2069" s="484" t="inlineStr">
        <is>
          <t>媚必提直線探頭2.0mm/條</t>
        </is>
      </c>
      <c r="H2069" s="552" t="n"/>
      <c r="I2069" s="552" t="n"/>
      <c r="J2069" s="551" t="n"/>
      <c r="K2069" s="140" t="inlineStr">
        <is>
          <t>20,099條/顆</t>
        </is>
      </c>
      <c r="L2069" s="560" t="n">
        <v>5179</v>
      </c>
    </row>
    <row r="2070" ht="17.25" customHeight="1" s="453" thickBot="1">
      <c r="A2070" s="553">
        <f>IFERROR(LEFT(B2070,7),"")</f>
        <v/>
      </c>
      <c r="B2070" s="554">
        <f>"2026/05"&amp;D2070</f>
        <v/>
      </c>
      <c r="C2070" s="559" t="n">
        <v>35</v>
      </c>
      <c r="D2070" s="484" t="inlineStr">
        <is>
          <t>站前4樓</t>
        </is>
      </c>
      <c r="E2070" s="484" t="inlineStr">
        <is>
          <t>6170020</t>
        </is>
      </c>
      <c r="F2070" s="551" t="n"/>
      <c r="G2070" s="484" t="inlineStr">
        <is>
          <t>媚必提直線探頭3.0mm/條</t>
        </is>
      </c>
      <c r="H2070" s="552" t="n"/>
      <c r="I2070" s="552" t="n"/>
      <c r="J2070" s="551" t="n"/>
      <c r="K2070" s="140" t="inlineStr">
        <is>
          <t>20,099條/顆</t>
        </is>
      </c>
      <c r="L2070" s="560" t="n">
        <v>13259</v>
      </c>
    </row>
    <row r="2071" ht="17.25" customHeight="1" s="453" thickBot="1">
      <c r="A2071" s="553">
        <f>IFERROR(LEFT(B2071,7),"")</f>
        <v/>
      </c>
      <c r="B2071" s="554">
        <f>"2026/05"&amp;D2071</f>
        <v/>
      </c>
      <c r="C2071" s="559" t="n">
        <v>36</v>
      </c>
      <c r="D2071" s="484" t="inlineStr">
        <is>
          <t>站前4樓</t>
        </is>
      </c>
      <c r="E2071" s="484" t="inlineStr">
        <is>
          <t>6170021</t>
        </is>
      </c>
      <c r="F2071" s="551" t="n"/>
      <c r="G2071" s="484" t="inlineStr">
        <is>
          <t>媚必提直線探頭4.5mm/條</t>
        </is>
      </c>
      <c r="H2071" s="552" t="n"/>
      <c r="I2071" s="552" t="n"/>
      <c r="J2071" s="551" t="n"/>
      <c r="K2071" s="140" t="inlineStr">
        <is>
          <t>20,099條/顆</t>
        </is>
      </c>
      <c r="L2071" s="560" t="n">
        <v>21459</v>
      </c>
    </row>
    <row r="2072" ht="17.25" customHeight="1" s="453" thickBot="1">
      <c r="A2072" s="553">
        <f>IFERROR(LEFT(B2072,7),"")</f>
        <v/>
      </c>
      <c r="B2072" s="554">
        <f>"2026/05"&amp;D2072</f>
        <v/>
      </c>
      <c r="C2072" s="559" t="n">
        <v>37</v>
      </c>
      <c r="D2072" s="484" t="inlineStr">
        <is>
          <t>站前4樓</t>
        </is>
      </c>
      <c r="E2072" s="484" t="inlineStr">
        <is>
          <t>6170022</t>
        </is>
      </c>
      <c r="F2072" s="551" t="n"/>
      <c r="G2072" s="484" t="inlineStr">
        <is>
          <t>媚必提直線探頭6.0mm/條</t>
        </is>
      </c>
      <c r="H2072" s="552" t="n"/>
      <c r="I2072" s="552" t="n"/>
      <c r="J2072" s="551" t="n"/>
      <c r="K2072" s="140" t="inlineStr">
        <is>
          <t>20,099條/顆</t>
        </is>
      </c>
      <c r="L2072" s="560" t="n">
        <v>9810</v>
      </c>
    </row>
    <row r="2073" ht="17.25" customHeight="1" s="453" thickBot="1">
      <c r="A2073" s="553">
        <f>IFERROR(LEFT(B2073,7),"")</f>
        <v/>
      </c>
      <c r="B2073" s="554">
        <f>"2026/05"&amp;D2073</f>
        <v/>
      </c>
      <c r="C2073" s="559" t="n">
        <v>38</v>
      </c>
      <c r="D2073" s="484" t="inlineStr">
        <is>
          <t>站前4樓</t>
        </is>
      </c>
      <c r="E2073" s="484" t="inlineStr">
        <is>
          <t>6170025</t>
        </is>
      </c>
      <c r="F2073" s="551" t="n"/>
      <c r="G2073" s="484" t="inlineStr">
        <is>
          <t>媚必提圓周探頭1.5mm/條</t>
        </is>
      </c>
      <c r="H2073" s="552" t="n"/>
      <c r="I2073" s="552" t="n"/>
      <c r="J2073" s="551" t="n"/>
      <c r="K2073" s="140" t="inlineStr">
        <is>
          <t>20,099條/顆</t>
        </is>
      </c>
      <c r="L2073" s="560" t="n">
        <v>294</v>
      </c>
    </row>
    <row r="2074" ht="17.25" customHeight="1" s="453" thickBot="1">
      <c r="A2074" s="553">
        <f>IFERROR(LEFT(B2074,7),"")</f>
        <v/>
      </c>
      <c r="B2074" s="554">
        <f>"2026/05"&amp;D2074</f>
        <v/>
      </c>
      <c r="C2074" s="559" t="n">
        <v>39</v>
      </c>
      <c r="D2074" s="484" t="inlineStr">
        <is>
          <t>站前4樓</t>
        </is>
      </c>
      <c r="E2074" s="484" t="inlineStr">
        <is>
          <t>6170028</t>
        </is>
      </c>
      <c r="F2074" s="551" t="n"/>
      <c r="G2074" s="484" t="inlineStr">
        <is>
          <t>海芙電波探頭0.25cm/發</t>
        </is>
      </c>
      <c r="H2074" s="552" t="n"/>
      <c r="I2074" s="552" t="n"/>
      <c r="J2074" s="551" t="n"/>
      <c r="K2074" s="140" t="inlineStr">
        <is>
          <t>6,050發/顆</t>
        </is>
      </c>
      <c r="L2074" s="560" t="n">
        <v>4600</v>
      </c>
    </row>
    <row r="2075" ht="17.25" customHeight="1" s="453" thickBot="1">
      <c r="A2075" s="553">
        <f>IFERROR(LEFT(B2075,7),"")</f>
        <v/>
      </c>
      <c r="B2075" s="554">
        <f>"2026/05"&amp;D2075</f>
        <v/>
      </c>
      <c r="C2075" s="559" t="n">
        <v>40</v>
      </c>
      <c r="D2075" s="484" t="inlineStr">
        <is>
          <t>站前4樓</t>
        </is>
      </c>
      <c r="E2075" s="484" t="inlineStr">
        <is>
          <t>6170030</t>
        </is>
      </c>
      <c r="F2075" s="551" t="n"/>
      <c r="G2075" s="484" t="inlineStr">
        <is>
          <t>海芙電波探頭4.0cm/發</t>
        </is>
      </c>
      <c r="H2075" s="552" t="n"/>
      <c r="I2075" s="552" t="n"/>
      <c r="J2075" s="551" t="n"/>
      <c r="K2075" s="140" t="inlineStr">
        <is>
          <t>3,050發/顆</t>
        </is>
      </c>
      <c r="L2075" s="560" t="n">
        <v>38101</v>
      </c>
    </row>
    <row r="2076" ht="17.25" customHeight="1" s="453" thickBot="1">
      <c r="A2076" s="553">
        <f>IFERROR(LEFT(B2076,7),"")</f>
        <v/>
      </c>
      <c r="B2076" s="554">
        <f>"2026/05"&amp;D2076</f>
        <v/>
      </c>
      <c r="C2076" s="559" t="n">
        <v>41</v>
      </c>
      <c r="D2076" s="484" t="inlineStr">
        <is>
          <t>站前4樓</t>
        </is>
      </c>
      <c r="E2076" s="484" t="inlineStr">
        <is>
          <t>6170032</t>
        </is>
      </c>
      <c r="F2076" s="551" t="n"/>
      <c r="G2076" s="484" t="inlineStr">
        <is>
          <t>立特拉A2筆型探頭3.0mm/ 條</t>
        </is>
      </c>
      <c r="H2076" s="552" t="n"/>
      <c r="I2076" s="552" t="n"/>
      <c r="J2076" s="551" t="n"/>
      <c r="K2076" s="140" t="inlineStr">
        <is>
          <t>240,500條/顆</t>
        </is>
      </c>
      <c r="L2076" s="560" t="n">
        <v>230515</v>
      </c>
    </row>
    <row r="2077" ht="17.25" customHeight="1" s="453" thickBot="1">
      <c r="A2077" s="553">
        <f>IFERROR(LEFT(B2077,7),"")</f>
        <v/>
      </c>
      <c r="B2077" s="554">
        <f>"2026/05"&amp;D2077</f>
        <v/>
      </c>
      <c r="C2077" s="559" t="n">
        <v>42</v>
      </c>
      <c r="D2077" s="484" t="inlineStr">
        <is>
          <t>站前4樓</t>
        </is>
      </c>
      <c r="E2077" s="484" t="inlineStr">
        <is>
          <t>6170033</t>
        </is>
      </c>
      <c r="F2077" s="551" t="n"/>
      <c r="G2077" s="484" t="inlineStr">
        <is>
          <t>立特拉A2筆型探頭4.5mm/ 條</t>
        </is>
      </c>
      <c r="H2077" s="552" t="n"/>
      <c r="I2077" s="552" t="n"/>
      <c r="J2077" s="551" t="n"/>
      <c r="K2077" s="140" t="inlineStr">
        <is>
          <t>240,500條/顆</t>
        </is>
      </c>
      <c r="L2077" s="560" t="n">
        <v>91100</v>
      </c>
    </row>
    <row r="2078" ht="17.25" customHeight="1" s="453" thickBot="1">
      <c r="A2078" s="553">
        <f>IFERROR(LEFT(B2078,7),"")</f>
        <v/>
      </c>
      <c r="B2078" s="554">
        <f>"2026/05"&amp;D2078</f>
        <v/>
      </c>
      <c r="C2078" s="559" t="n">
        <v>43</v>
      </c>
      <c r="D2078" s="484" t="inlineStr">
        <is>
          <t>站前4樓</t>
        </is>
      </c>
      <c r="E2078" s="484" t="inlineStr">
        <is>
          <t>6170034</t>
        </is>
      </c>
      <c r="F2078" s="551" t="n"/>
      <c r="G2078" s="484" t="inlineStr">
        <is>
          <t>十蓓電波臉部探頭5cm</t>
        </is>
      </c>
      <c r="H2078" s="552" t="n"/>
      <c r="I2078" s="552" t="n"/>
      <c r="J2078" s="551" t="n"/>
      <c r="K2078" s="140" t="inlineStr">
        <is>
          <t>900發/顆</t>
        </is>
      </c>
      <c r="L2078" s="560" t="n">
        <v>107705</v>
      </c>
    </row>
    <row r="2079" ht="17.25" customHeight="1" s="453" thickBot="1">
      <c r="A2079" s="553">
        <f>IFERROR(LEFT(B2079,7),"")</f>
        <v/>
      </c>
      <c r="B2079" s="554">
        <f>"2026/05"&amp;D2079</f>
        <v/>
      </c>
      <c r="C2079" s="559" t="n">
        <v>44</v>
      </c>
      <c r="D2079" s="484" t="inlineStr">
        <is>
          <t>站前4樓</t>
        </is>
      </c>
      <c r="E2079" s="484" t="inlineStr">
        <is>
          <t>6170035</t>
        </is>
      </c>
      <c r="F2079" s="551" t="n"/>
      <c r="G2079" s="484" t="inlineStr">
        <is>
          <t>十蓓電波眼部探頭0.25cm</t>
        </is>
      </c>
      <c r="H2079" s="552" t="n"/>
      <c r="I2079" s="552" t="n"/>
      <c r="J2079" s="551" t="n"/>
      <c r="K2079" s="140" t="inlineStr">
        <is>
          <t>600發/顆</t>
        </is>
      </c>
      <c r="L2079" s="560" t="n">
        <v>26100</v>
      </c>
    </row>
    <row r="2080" ht="17.25" customHeight="1" s="453" thickBot="1">
      <c r="A2080" s="553">
        <f>IFERROR(LEFT(B2080,7),"")</f>
        <v/>
      </c>
      <c r="B2080" s="554">
        <f>"2026/05"&amp;D2080</f>
        <v/>
      </c>
      <c r="C2080" s="559" t="n">
        <v>45</v>
      </c>
      <c r="D2080" s="484" t="inlineStr">
        <is>
          <t>站前4樓</t>
        </is>
      </c>
      <c r="E2080" s="484" t="inlineStr">
        <is>
          <t>6180003</t>
        </is>
      </c>
      <c r="F2080" s="551" t="n"/>
      <c r="G2080" s="484" t="inlineStr">
        <is>
          <t>(V)MINT秘特拉提線 43cm/ 條</t>
        </is>
      </c>
      <c r="H2080" s="552" t="n"/>
      <c r="I2080" s="552" t="n"/>
      <c r="J2080" s="551" t="n"/>
      <c r="K2080" s="140" t="inlineStr">
        <is>
          <t>條</t>
        </is>
      </c>
      <c r="L2080" s="560" t="n">
        <v>4</v>
      </c>
    </row>
    <row r="2081" ht="17.25" customHeight="1" s="453" thickBot="1">
      <c r="A2081" s="553">
        <f>IFERROR(LEFT(B2081,7),"")</f>
        <v/>
      </c>
      <c r="B2081" s="554">
        <f>"2026/05"&amp;D2081</f>
        <v/>
      </c>
      <c r="C2081" s="559" t="n">
        <v>46</v>
      </c>
      <c r="D2081" s="484" t="inlineStr">
        <is>
          <t>站前4樓</t>
        </is>
      </c>
      <c r="E2081" s="484" t="inlineStr">
        <is>
          <t>6180005</t>
        </is>
      </c>
      <c r="F2081" s="551" t="n"/>
      <c r="G2081" s="484" t="inlineStr">
        <is>
          <t>(V)MINT秘特拉提線FINE 18CM/ 條</t>
        </is>
      </c>
      <c r="H2081" s="552" t="n"/>
      <c r="I2081" s="552" t="n"/>
      <c r="J2081" s="551" t="n"/>
      <c r="K2081" s="140" t="inlineStr">
        <is>
          <t>20條/盒</t>
        </is>
      </c>
      <c r="L2081" s="560" t="n">
        <v>16</v>
      </c>
    </row>
    <row r="2082" ht="17.25" customHeight="1" s="453" thickBot="1">
      <c r="A2082" s="553">
        <f>IFERROR(LEFT(B2082,7),"")</f>
        <v/>
      </c>
      <c r="B2082" s="554">
        <f>"2026/05"&amp;D2082</f>
        <v/>
      </c>
      <c r="C2082" s="559" t="n">
        <v>47</v>
      </c>
      <c r="D2082" s="484" t="inlineStr">
        <is>
          <t>站前4樓</t>
        </is>
      </c>
      <c r="E2082" s="484" t="inlineStr">
        <is>
          <t>6180007</t>
        </is>
      </c>
      <c r="F2082" s="551" t="n"/>
      <c r="G2082" s="484" t="inlineStr">
        <is>
          <t>(V)MINT秘特拉提線PETIT 15CM/ 條</t>
        </is>
      </c>
      <c r="H2082" s="552" t="n"/>
      <c r="I2082" s="552" t="n"/>
      <c r="J2082" s="551" t="n"/>
      <c r="K2082" s="140" t="inlineStr">
        <is>
          <t>20條/盒</t>
        </is>
      </c>
      <c r="L2082" s="560" t="n">
        <v>8</v>
      </c>
    </row>
    <row r="2083" ht="17.25" customHeight="1" s="453" thickBot="1">
      <c r="A2083" s="553">
        <f>IFERROR(LEFT(B2083,7),"")</f>
        <v/>
      </c>
      <c r="B2083" s="554">
        <f>"2026/05"&amp;D2083</f>
        <v/>
      </c>
      <c r="C2083" s="559" t="n">
        <v>48</v>
      </c>
      <c r="D2083" s="484" t="inlineStr">
        <is>
          <t>站前4樓</t>
        </is>
      </c>
      <c r="E2083" s="484" t="inlineStr">
        <is>
          <t>6180011</t>
        </is>
      </c>
      <c r="F2083" s="551" t="n"/>
      <c r="G2083" s="484" t="inlineStr">
        <is>
          <t>(V)MINT秘特拉提線UP 9.5CM/ 條</t>
        </is>
      </c>
      <c r="H2083" s="552" t="n"/>
      <c r="I2083" s="552" t="n"/>
      <c r="J2083" s="551" t="n"/>
      <c r="K2083" s="140" t="inlineStr">
        <is>
          <t>10條/盒</t>
        </is>
      </c>
      <c r="L2083" s="560" t="n">
        <v>20</v>
      </c>
    </row>
    <row r="2084" ht="17.25" customHeight="1" s="453" thickBot="1">
      <c r="A2084" s="553">
        <f>IFERROR(LEFT(B2084,7),"")</f>
        <v/>
      </c>
      <c r="B2084" s="554">
        <f>"2026/05"&amp;D2084</f>
        <v/>
      </c>
      <c r="C2084" s="559" t="n">
        <v>49</v>
      </c>
      <c r="D2084" s="484" t="inlineStr">
        <is>
          <t>站前4樓</t>
        </is>
      </c>
      <c r="E2084" s="484" t="inlineStr">
        <is>
          <t>6180013</t>
        </is>
      </c>
      <c r="F2084" s="551" t="n"/>
      <c r="G2084" s="484" t="inlineStr">
        <is>
          <t>(V)MINT秘特拉提線FIX 18CM/ 條</t>
        </is>
      </c>
      <c r="H2084" s="552" t="n"/>
      <c r="I2084" s="552" t="n"/>
      <c r="J2084" s="551" t="n"/>
      <c r="K2084" s="140" t="inlineStr">
        <is>
          <t>20條/盒</t>
        </is>
      </c>
      <c r="L2084" s="560" t="n">
        <v>4</v>
      </c>
    </row>
    <row r="2085" ht="17.25" customHeight="1" s="453" thickBot="1">
      <c r="A2085" s="553">
        <f>IFERROR(LEFT(B2085,7),"")</f>
        <v/>
      </c>
      <c r="B2085" s="554">
        <f>"2026/05"&amp;D2085</f>
        <v/>
      </c>
      <c r="C2085" s="559" t="n">
        <v>50</v>
      </c>
      <c r="D2085" s="484" t="inlineStr">
        <is>
          <t>站前4樓</t>
        </is>
      </c>
      <c r="E2085" s="484" t="inlineStr">
        <is>
          <t>6190002</t>
        </is>
      </c>
      <c r="F2085" s="551" t="n"/>
      <c r="G2085" s="484" t="inlineStr">
        <is>
          <t>PLT生長因子凍晶製備6入(單瓶)</t>
        </is>
      </c>
      <c r="H2085" s="552" t="n"/>
      <c r="I2085" s="552" t="n"/>
      <c r="J2085" s="551" t="n"/>
      <c r="K2085" s="140" t="inlineStr">
        <is>
          <t>瓶(6入/組)</t>
        </is>
      </c>
      <c r="L2085" s="560" t="n">
        <v>3</v>
      </c>
    </row>
    <row r="2086" ht="17.25" customHeight="1" s="453" thickBot="1">
      <c r="A2086" s="553">
        <f>IFERROR(LEFT(B2086,7),"")</f>
        <v/>
      </c>
      <c r="B2086" s="554">
        <f>"2026/05"&amp;D2086</f>
        <v/>
      </c>
      <c r="C2086" s="559" t="n">
        <v>51</v>
      </c>
      <c r="D2086" s="484" t="inlineStr">
        <is>
          <t>站前4樓</t>
        </is>
      </c>
      <c r="E2086" s="484" t="inlineStr">
        <is>
          <t>6190003</t>
        </is>
      </c>
      <c r="F2086" s="551" t="n"/>
      <c r="G2086" s="484" t="inlineStr">
        <is>
          <t>PLT生長因子凍晶製備10入(單瓶)</t>
        </is>
      </c>
      <c r="H2086" s="552" t="n"/>
      <c r="I2086" s="552" t="n"/>
      <c r="J2086" s="551" t="n"/>
      <c r="K2086" s="140" t="inlineStr">
        <is>
          <t>瓶(10入/組)</t>
        </is>
      </c>
      <c r="L2086" s="560" t="n">
        <v>2</v>
      </c>
    </row>
    <row r="2087" ht="17.25" customHeight="1" s="453" thickBot="1">
      <c r="A2087" s="553">
        <f>IFERROR(LEFT(B2087,7),"")</f>
        <v/>
      </c>
      <c r="B2087" s="554">
        <f>"2026/05"&amp;D2087</f>
        <v/>
      </c>
      <c r="C2087" s="559" t="n">
        <v>52</v>
      </c>
      <c r="D2087" s="484" t="inlineStr">
        <is>
          <t>站前4樓</t>
        </is>
      </c>
      <c r="E2087" s="484" t="inlineStr">
        <is>
          <t>6190004</t>
        </is>
      </c>
      <c r="F2087" s="551" t="n"/>
      <c r="G2087" s="484" t="inlineStr">
        <is>
          <t>PLT生長因子凍晶製備20入(單瓶)</t>
        </is>
      </c>
      <c r="H2087" s="552" t="n"/>
      <c r="I2087" s="552" t="n"/>
      <c r="J2087" s="551" t="n"/>
      <c r="K2087" s="140" t="inlineStr">
        <is>
          <t>瓶(20入/組)</t>
        </is>
      </c>
      <c r="L2087" s="560" t="n">
        <v>33</v>
      </c>
    </row>
    <row r="2088" ht="17.25" customHeight="1" s="453" thickBot="1">
      <c r="A2088" s="553">
        <f>IFERROR(LEFT(B2088,7),"")</f>
        <v/>
      </c>
      <c r="B2088" s="554">
        <f>"2026/05"&amp;D2088</f>
        <v/>
      </c>
      <c r="C2088" s="559" t="n">
        <v>53</v>
      </c>
      <c r="D2088" s="484" t="inlineStr">
        <is>
          <t>站前4樓</t>
        </is>
      </c>
      <c r="E2088" s="484" t="inlineStr">
        <is>
          <t>6190006</t>
        </is>
      </c>
      <c r="F2088" s="551" t="n"/>
      <c r="G2088" s="484" t="inlineStr">
        <is>
          <t>(V)ExoPower 泌力機泌凍晶 5mg</t>
        </is>
      </c>
      <c r="H2088" s="552" t="n"/>
      <c r="I2088" s="552" t="n"/>
      <c r="J2088" s="551" t="n"/>
      <c r="K2088" s="140" t="inlineStr">
        <is>
          <t>瓶</t>
        </is>
      </c>
      <c r="L2088" s="560" t="n">
        <v>61</v>
      </c>
    </row>
    <row r="2089" ht="17.25" customHeight="1" s="453" thickBot="1">
      <c r="A2089" s="553">
        <f>IFERROR(LEFT(B2089,7),"")</f>
        <v/>
      </c>
      <c r="B2089" s="554">
        <f>"2026/05"&amp;D2089</f>
        <v/>
      </c>
      <c r="C2089" s="559" t="n">
        <v>54</v>
      </c>
      <c r="D2089" s="484" t="inlineStr">
        <is>
          <t>站前4樓</t>
        </is>
      </c>
      <c r="E2089" s="484" t="inlineStr">
        <is>
          <t>6200006</t>
        </is>
      </c>
      <c r="F2089" s="551" t="n"/>
      <c r="G2089" s="484" t="inlineStr">
        <is>
          <t>(V)容脂/ 瓶  (24倍數叫貨)</t>
        </is>
      </c>
      <c r="H2089" s="552" t="n"/>
      <c r="I2089" s="552" t="n"/>
      <c r="J2089" s="551" t="n"/>
      <c r="K2089" s="140" t="inlineStr">
        <is>
          <t>4瓶/盒</t>
        </is>
      </c>
      <c r="L2089" s="560" t="n">
        <v>4</v>
      </c>
    </row>
    <row r="2090" ht="17.25" customHeight="1" s="453" thickBot="1">
      <c r="A2090" s="553">
        <f>IFERROR(LEFT(B2090,7),"")</f>
        <v/>
      </c>
      <c r="B2090" s="554">
        <f>"2026/05"&amp;D2090</f>
        <v/>
      </c>
      <c r="C2090" s="559" t="n">
        <v>55</v>
      </c>
      <c r="D2090" s="484" t="inlineStr">
        <is>
          <t>站前4樓</t>
        </is>
      </c>
      <c r="E2090" s="484" t="inlineStr">
        <is>
          <t>6210002</t>
        </is>
      </c>
      <c r="F2090" s="551" t="n"/>
      <c r="G2090" s="484" t="inlineStr">
        <is>
          <t>(V)水光針針頭/31G9針/1.2mm/ PCS</t>
        </is>
      </c>
      <c r="H2090" s="552" t="n"/>
      <c r="I2090" s="552" t="n"/>
      <c r="J2090" s="551" t="n"/>
      <c r="K2090" s="140" t="inlineStr">
        <is>
          <t>PCS(20入/盒)</t>
        </is>
      </c>
      <c r="L2090" s="560" t="n">
        <v>189</v>
      </c>
    </row>
    <row r="2091" ht="17.25" customHeight="1" s="453" thickBot="1">
      <c r="A2091" s="553">
        <f>IFERROR(LEFT(B2091,7),"")</f>
        <v/>
      </c>
      <c r="B2091" s="554">
        <f>"2026/05"&amp;D2091</f>
        <v/>
      </c>
      <c r="C2091" s="559" t="n">
        <v>56</v>
      </c>
      <c r="D2091" s="484" t="inlineStr">
        <is>
          <t>站前4樓</t>
        </is>
      </c>
      <c r="E2091" s="484" t="inlineStr">
        <is>
          <t>6210003</t>
        </is>
      </c>
      <c r="F2091" s="551" t="n"/>
      <c r="G2091" s="484" t="inlineStr">
        <is>
          <t>(V)水光針針頭/31G9針/1.5mm/ PCS</t>
        </is>
      </c>
      <c r="H2091" s="552" t="n"/>
      <c r="I2091" s="552" t="n"/>
      <c r="J2091" s="551" t="n"/>
      <c r="K2091" s="140" t="inlineStr">
        <is>
          <t>PCS(20入/盒)</t>
        </is>
      </c>
      <c r="L2091" s="560" t="n">
        <v>18</v>
      </c>
    </row>
    <row r="2092" ht="17.25" customHeight="1" s="453" thickBot="1">
      <c r="A2092" s="553">
        <f>IFERROR(LEFT(B2092,7),"")</f>
        <v/>
      </c>
      <c r="B2092" s="554">
        <f>"2026/05"&amp;D2092</f>
        <v/>
      </c>
      <c r="C2092" s="559" t="n">
        <v>57</v>
      </c>
      <c r="D2092" s="484" t="inlineStr">
        <is>
          <t>站前4樓</t>
        </is>
      </c>
      <c r="E2092" s="484" t="inlineStr">
        <is>
          <t>6210006</t>
        </is>
      </c>
      <c r="F2092" s="551" t="n"/>
      <c r="G2092" s="484" t="inlineStr">
        <is>
          <t>(V)麗珠蘭修復水光(A劑2ml+B劑2ml)</t>
        </is>
      </c>
      <c r="H2092" s="552" t="n"/>
      <c r="I2092" s="552" t="n"/>
      <c r="J2092" s="551" t="n"/>
      <c r="K2092" s="140" t="inlineStr">
        <is>
          <t>2ml*2</t>
        </is>
      </c>
      <c r="L2092" s="560" t="n">
        <v>1</v>
      </c>
    </row>
    <row r="2093" ht="17.25" customHeight="1" s="453" thickBot="1">
      <c r="A2093" s="553">
        <f>IFERROR(LEFT(B2093,7),"")</f>
        <v/>
      </c>
      <c r="B2093" s="554">
        <f>"2026/05"&amp;D2093</f>
        <v/>
      </c>
      <c r="C2093" s="559" t="n">
        <v>58</v>
      </c>
      <c r="D2093" s="484" t="inlineStr">
        <is>
          <t>站前4樓</t>
        </is>
      </c>
      <c r="E2093" s="484" t="inlineStr">
        <is>
          <t>6210007</t>
        </is>
      </c>
      <c r="F2093" s="551" t="n"/>
      <c r="G2093" s="484" t="inlineStr">
        <is>
          <t>(V)麗珠蘭白瓷水光(A劑2ml+B劑2ml)</t>
        </is>
      </c>
      <c r="H2093" s="552" t="n"/>
      <c r="I2093" s="552" t="n"/>
      <c r="J2093" s="551" t="n"/>
      <c r="K2093" s="140" t="inlineStr">
        <is>
          <t>2ml*2</t>
        </is>
      </c>
      <c r="L2093" s="560" t="n">
        <v>2</v>
      </c>
    </row>
    <row r="2094" ht="17.25" customHeight="1" s="453" thickBot="1">
      <c r="A2094" s="553">
        <f>IFERROR(LEFT(B2094,7),"")</f>
        <v/>
      </c>
      <c r="B2094" s="554">
        <f>"2026/05"&amp;D2094</f>
        <v/>
      </c>
      <c r="C2094" s="559" t="n">
        <v>59</v>
      </c>
      <c r="D2094" s="484" t="inlineStr">
        <is>
          <t>站前4樓</t>
        </is>
      </c>
      <c r="E2094" s="484" t="inlineStr">
        <is>
          <t>6210008</t>
        </is>
      </c>
      <c r="F2094" s="551" t="n"/>
      <c r="G2094" s="484" t="inlineStr">
        <is>
          <t>微針筆針頭</t>
        </is>
      </c>
      <c r="H2094" s="552" t="n"/>
      <c r="I2094" s="552" t="n"/>
      <c r="J2094" s="551" t="n"/>
      <c r="K2094" s="140" t="inlineStr">
        <is>
          <t>PCS(33入/盒)</t>
        </is>
      </c>
      <c r="L2094" s="560" t="n">
        <v>9</v>
      </c>
    </row>
    <row r="2095" ht="17.25" customHeight="1" s="453" thickBot="1">
      <c r="A2095" s="553">
        <f>IFERROR(LEFT(B2095,7),"")</f>
        <v/>
      </c>
      <c r="B2095" s="554">
        <f>"2026/05"&amp;D2095</f>
        <v/>
      </c>
      <c r="C2095" s="559" t="n">
        <v>60</v>
      </c>
      <c r="D2095" s="484" t="inlineStr">
        <is>
          <t>站前4樓</t>
        </is>
      </c>
      <c r="E2095" s="484" t="inlineStr">
        <is>
          <t>6220005</t>
        </is>
      </c>
      <c r="F2095" s="551" t="n"/>
      <c r="G2095" s="484" t="inlineStr">
        <is>
          <t>海菲秀深藍端頭/ 顆</t>
        </is>
      </c>
      <c r="H2095" s="552" t="n"/>
      <c r="I2095" s="552" t="n"/>
      <c r="J2095" s="551" t="n"/>
      <c r="K2095" s="140" t="inlineStr">
        <is>
          <t>15顆/串</t>
        </is>
      </c>
      <c r="L2095" s="560" t="n">
        <v>562</v>
      </c>
    </row>
    <row r="2096" ht="17.25" customHeight="1" s="453" thickBot="1">
      <c r="A2096" s="553">
        <f>IFERROR(LEFT(B2096,7),"")</f>
        <v/>
      </c>
      <c r="B2096" s="554">
        <f>"2026/05"&amp;D2096</f>
        <v/>
      </c>
      <c r="C2096" s="559" t="n">
        <v>61</v>
      </c>
      <c r="D2096" s="484" t="inlineStr">
        <is>
          <t>站前4樓</t>
        </is>
      </c>
      <c r="E2096" s="484" t="inlineStr">
        <is>
          <t>6220006</t>
        </is>
      </c>
      <c r="F2096" s="551" t="n"/>
      <c r="G2096" s="484" t="inlineStr">
        <is>
          <t>海菲秀淺藍端頭/ 顆</t>
        </is>
      </c>
      <c r="H2096" s="552" t="n"/>
      <c r="I2096" s="552" t="n"/>
      <c r="J2096" s="551" t="n"/>
      <c r="K2096" s="140" t="inlineStr">
        <is>
          <t>15顆/串</t>
        </is>
      </c>
      <c r="L2096" s="560" t="n">
        <v>562</v>
      </c>
    </row>
    <row r="2097" ht="17.25" customHeight="1" s="453" thickBot="1">
      <c r="A2097" s="553">
        <f>IFERROR(LEFT(B2097,7),"")</f>
        <v/>
      </c>
      <c r="B2097" s="554">
        <f>"2026/05"&amp;D2097</f>
        <v/>
      </c>
      <c r="C2097" s="559" t="n">
        <v>62</v>
      </c>
      <c r="D2097" s="484" t="inlineStr">
        <is>
          <t>站前4樓</t>
        </is>
      </c>
      <c r="E2097" s="484" t="inlineStr">
        <is>
          <t>6220007</t>
        </is>
      </c>
      <c r="F2097" s="551" t="n"/>
      <c r="G2097" s="484" t="inlineStr">
        <is>
          <t>海菲秀透明端頭/ 顆</t>
        </is>
      </c>
      <c r="H2097" s="552" t="n"/>
      <c r="I2097" s="552" t="n"/>
      <c r="J2097" s="551" t="n"/>
      <c r="K2097" s="140" t="inlineStr">
        <is>
          <t>15顆/串</t>
        </is>
      </c>
      <c r="L2097" s="560" t="n">
        <v>562</v>
      </c>
    </row>
    <row r="2098" ht="17.25" customHeight="1" s="453" thickBot="1">
      <c r="A2098" s="553">
        <f>IFERROR(LEFT(B2098,7),"")</f>
        <v/>
      </c>
      <c r="B2098" s="554">
        <f>"2026/05"&amp;D2098</f>
        <v/>
      </c>
      <c r="C2098" s="559" t="n">
        <v>63</v>
      </c>
      <c r="D2098" s="484" t="inlineStr">
        <is>
          <t>站前4樓</t>
        </is>
      </c>
      <c r="E2098" s="484" t="inlineStr">
        <is>
          <t>6220012</t>
        </is>
      </c>
      <c r="F2098" s="551" t="n"/>
      <c r="G2098" s="484" t="inlineStr">
        <is>
          <t>(V)(第一劑)海菲秀 Activ-4 Skin Solution/mL</t>
        </is>
      </c>
      <c r="H2098" s="552" t="n"/>
      <c r="I2098" s="552" t="n"/>
      <c r="J2098" s="551" t="n"/>
      <c r="K2098" s="140" t="inlineStr">
        <is>
          <t>236ml/瓶</t>
        </is>
      </c>
      <c r="L2098" s="560" t="n">
        <v>8430</v>
      </c>
    </row>
    <row r="2099" ht="17.25" customHeight="1" s="453" thickBot="1">
      <c r="A2099" s="553">
        <f>IFERROR(LEFT(B2099,7),"")</f>
        <v/>
      </c>
      <c r="B2099" s="554">
        <f>"2026/05"&amp;D2099</f>
        <v/>
      </c>
      <c r="C2099" s="559" t="n">
        <v>64</v>
      </c>
      <c r="D2099" s="484" t="inlineStr">
        <is>
          <t>站前4樓</t>
        </is>
      </c>
      <c r="E2099" s="484" t="inlineStr">
        <is>
          <t>6220013</t>
        </is>
      </c>
      <c r="F2099" s="551" t="n"/>
      <c r="G2099" s="484" t="inlineStr">
        <is>
          <t>(V)(第二劑)海菲秀 Beta-HD Skin Solution /mL</t>
        </is>
      </c>
      <c r="H2099" s="552" t="n"/>
      <c r="I2099" s="552" t="n"/>
      <c r="J2099" s="551" t="n"/>
      <c r="K2099" s="140" t="inlineStr">
        <is>
          <t>236ml/瓶</t>
        </is>
      </c>
      <c r="L2099" s="560" t="n">
        <v>8430</v>
      </c>
    </row>
    <row r="2100" ht="17.25" customHeight="1" s="453" thickBot="1">
      <c r="A2100" s="553">
        <f>IFERROR(LEFT(B2100,7),"")</f>
        <v/>
      </c>
      <c r="B2100" s="554">
        <f>"2026/05"&amp;D2100</f>
        <v/>
      </c>
      <c r="C2100" s="559" t="n">
        <v>65</v>
      </c>
      <c r="D2100" s="484" t="inlineStr">
        <is>
          <t>站前4樓</t>
        </is>
      </c>
      <c r="E2100" s="484" t="inlineStr">
        <is>
          <t>6220014</t>
        </is>
      </c>
      <c r="F2100" s="551" t="n"/>
      <c r="G2100" s="484" t="inlineStr">
        <is>
          <t>(V)(第三劑)海菲秀 Antiox-6 Skin Solution /mL</t>
        </is>
      </c>
      <c r="H2100" s="552" t="n"/>
      <c r="I2100" s="552" t="n"/>
      <c r="J2100" s="551" t="n"/>
      <c r="K2100" s="140" t="inlineStr">
        <is>
          <t>236ml/瓶</t>
        </is>
      </c>
      <c r="L2100" s="560" t="n">
        <v>8430</v>
      </c>
    </row>
    <row r="2101" ht="17.25" customHeight="1" s="453" thickBot="1">
      <c r="A2101" s="553">
        <f>IFERROR(LEFT(B2101,7),"")</f>
        <v/>
      </c>
      <c r="B2101" s="554">
        <f>"2026/05"&amp;D2101</f>
        <v/>
      </c>
      <c r="C2101" s="559" t="n">
        <v>66</v>
      </c>
      <c r="D2101" s="484" t="inlineStr">
        <is>
          <t>站前4樓</t>
        </is>
      </c>
      <c r="E2101" s="484" t="inlineStr">
        <is>
          <t>6220015</t>
        </is>
      </c>
      <c r="F2101" s="551" t="n"/>
      <c r="G2101" s="484" t="inlineStr">
        <is>
          <t>(V)(第四劑)海菲秀 Rinseaway System Cleaning Solution /mL</t>
        </is>
      </c>
      <c r="H2101" s="552" t="n"/>
      <c r="I2101" s="552" t="n"/>
      <c r="J2101" s="551" t="n"/>
      <c r="K2101" s="140" t="inlineStr">
        <is>
          <t>236ml/瓶</t>
        </is>
      </c>
      <c r="L2101" s="560" t="n">
        <v>8430</v>
      </c>
    </row>
    <row r="2102" ht="17.25" customHeight="1" s="453" thickBot="1">
      <c r="A2102" s="553">
        <f>IFERROR(LEFT(B2102,7),"")</f>
        <v/>
      </c>
      <c r="B2102" s="554">
        <f>"2026/05"&amp;D2102</f>
        <v/>
      </c>
      <c r="C2102" s="559" t="n">
        <v>67</v>
      </c>
      <c r="D2102" s="484" t="inlineStr">
        <is>
          <t>站前11樓</t>
        </is>
      </c>
      <c r="E2102" s="484" t="inlineStr">
        <is>
          <t>6120001</t>
        </is>
      </c>
      <c r="F2102" s="551" t="n"/>
      <c r="G2102" s="484" t="inlineStr">
        <is>
          <t>(V)肝得健注射劑/ 瓶，640倍數叫貨</t>
        </is>
      </c>
      <c r="H2102" s="552" t="n"/>
      <c r="I2102" s="552" t="n"/>
      <c r="J2102" s="551" t="n"/>
      <c r="K2102" s="140" t="inlineStr">
        <is>
          <t>20支/盒</t>
        </is>
      </c>
      <c r="L2102" s="560" t="n">
        <v>1410</v>
      </c>
    </row>
    <row r="2103" ht="17.25" customHeight="1" s="453" thickBot="1">
      <c r="A2103" s="553">
        <f>IFERROR(LEFT(B2103,7),"")</f>
        <v/>
      </c>
      <c r="B2103" s="554">
        <f>"2026/05"&amp;D2103</f>
        <v/>
      </c>
      <c r="C2103" s="559" t="n">
        <v>68</v>
      </c>
      <c r="D2103" s="484" t="inlineStr">
        <is>
          <t>站前11樓</t>
        </is>
      </c>
      <c r="E2103" s="484" t="inlineStr">
        <is>
          <t>6120002</t>
        </is>
      </c>
      <c r="F2103" s="551" t="n"/>
      <c r="G2103" s="484" t="inlineStr">
        <is>
          <t>(V)卡妮丁注射劑/ 瓶，640倍數叫貨</t>
        </is>
      </c>
      <c r="H2103" s="552" t="n"/>
      <c r="I2103" s="552" t="n"/>
      <c r="J2103" s="551" t="n"/>
      <c r="K2103" s="140" t="inlineStr">
        <is>
          <t>5支/盒</t>
        </is>
      </c>
      <c r="L2103" s="560" t="n">
        <v>1541</v>
      </c>
    </row>
    <row r="2104" ht="17.25" customHeight="1" s="453" thickBot="1">
      <c r="A2104" s="553">
        <f>IFERROR(LEFT(B2104,7),"")</f>
        <v/>
      </c>
      <c r="B2104" s="554">
        <f>"2026/05"&amp;D2104</f>
        <v/>
      </c>
      <c r="C2104" s="559" t="n">
        <v>69</v>
      </c>
      <c r="D2104" s="484" t="inlineStr">
        <is>
          <t>站前11樓</t>
        </is>
      </c>
      <c r="E2104" s="484" t="inlineStr">
        <is>
          <t>6120003</t>
        </is>
      </c>
      <c r="F2104" s="551" t="n"/>
      <c r="G2104" s="484" t="inlineStr">
        <is>
          <t>(V)貝力多(雙胜胺) 20% 30mL/ 瓶，60倍數叫貨</t>
        </is>
      </c>
      <c r="H2104" s="552" t="n"/>
      <c r="I2104" s="552" t="n"/>
      <c r="J2104" s="551" t="n"/>
      <c r="K2104" s="140" t="inlineStr">
        <is>
          <t>10支/盒</t>
        </is>
      </c>
      <c r="L2104" s="560" t="n">
        <v>7</v>
      </c>
    </row>
    <row r="2105" ht="17.25" customHeight="1" s="453" thickBot="1">
      <c r="A2105" s="553">
        <f>IFERROR(LEFT(B2105,7),"")</f>
        <v/>
      </c>
      <c r="B2105" s="554">
        <f>"2026/05"&amp;D2105</f>
        <v/>
      </c>
      <c r="C2105" s="559" t="n">
        <v>70</v>
      </c>
      <c r="D2105" s="484" t="inlineStr">
        <is>
          <t>站前11樓</t>
        </is>
      </c>
      <c r="E2105" s="484" t="inlineStr">
        <is>
          <t>6120004</t>
        </is>
      </c>
      <c r="F2105" s="551" t="n"/>
      <c r="G2105" s="484" t="inlineStr">
        <is>
          <t>(V)胺基酸點滴250ml/ 袋(安命活源/嘉安命)，20倍數叫貨</t>
        </is>
      </c>
      <c r="H2105" s="552" t="n"/>
      <c r="I2105" s="552" t="n"/>
      <c r="J2105" s="551" t="n"/>
      <c r="K2105" s="140" t="inlineStr">
        <is>
          <t>(20瓶/箱)</t>
        </is>
      </c>
      <c r="L2105" s="560" t="n">
        <v>24</v>
      </c>
    </row>
    <row r="2106" ht="17.25" customHeight="1" s="453" thickBot="1">
      <c r="A2106" s="553">
        <f>IFERROR(LEFT(B2106,7),"")</f>
        <v/>
      </c>
      <c r="B2106" s="554">
        <f>"2026/05"&amp;D2106</f>
        <v/>
      </c>
      <c r="C2106" s="559" t="n">
        <v>71</v>
      </c>
      <c r="D2106" s="484" t="inlineStr">
        <is>
          <t>站前11樓</t>
        </is>
      </c>
      <c r="E2106" s="484" t="inlineStr">
        <is>
          <t>6120006</t>
        </is>
      </c>
      <c r="F2106" s="551" t="n"/>
      <c r="G2106" s="484" t="inlineStr">
        <is>
          <t>(V)(B12) 愛壽命 2mL，100倍數叫貨</t>
        </is>
      </c>
      <c r="H2106" s="552" t="n"/>
      <c r="I2106" s="552" t="n"/>
      <c r="J2106" s="551" t="n"/>
      <c r="K2106" s="140" t="inlineStr">
        <is>
          <t>(100支/盒)</t>
        </is>
      </c>
      <c r="L2106" s="560" t="n">
        <v>271</v>
      </c>
    </row>
    <row r="2107" ht="17.25" customHeight="1" s="453" thickBot="1">
      <c r="A2107" s="553">
        <f>IFERROR(LEFT(B2107,7),"")</f>
        <v/>
      </c>
      <c r="B2107" s="554">
        <f>"2026/05"&amp;D2107</f>
        <v/>
      </c>
      <c r="C2107" s="559" t="n">
        <v>72</v>
      </c>
      <c r="D2107" s="484" t="inlineStr">
        <is>
          <t>站前11樓</t>
        </is>
      </c>
      <c r="E2107" s="484" t="inlineStr">
        <is>
          <t>6120007</t>
        </is>
      </c>
      <c r="F2107" s="551" t="n"/>
      <c r="G2107" s="484" t="inlineStr">
        <is>
          <t>(V)(硫酸鋅) 1ml/支，100倍數叫貨</t>
        </is>
      </c>
      <c r="H2107" s="552" t="n"/>
      <c r="I2107" s="552" t="n"/>
      <c r="J2107" s="551" t="n"/>
      <c r="K2107" s="140" t="inlineStr">
        <is>
          <t>100支/盒</t>
        </is>
      </c>
      <c r="L2107" s="560" t="n">
        <v>10</v>
      </c>
    </row>
    <row r="2108" ht="17.25" customHeight="1" s="453" thickBot="1">
      <c r="A2108" s="553">
        <f>IFERROR(LEFT(B2108,7),"")</f>
        <v/>
      </c>
      <c r="B2108" s="554">
        <f>"2026/05"&amp;D2108</f>
        <v/>
      </c>
      <c r="C2108" s="559" t="n">
        <v>73</v>
      </c>
      <c r="D2108" s="484" t="inlineStr">
        <is>
          <t>站前11樓</t>
        </is>
      </c>
      <c r="E2108" s="484" t="inlineStr">
        <is>
          <t>6120009</t>
        </is>
      </c>
      <c r="F2108" s="551" t="n"/>
      <c r="G2108" s="484" t="inlineStr">
        <is>
          <t>(V)(B1) 硫胺明 2ml</t>
        </is>
      </c>
      <c r="H2108" s="552" t="n"/>
      <c r="I2108" s="552" t="n"/>
      <c r="J2108" s="551" t="n"/>
      <c r="K2108" s="140" t="inlineStr">
        <is>
          <t>(100支/盒)</t>
        </is>
      </c>
      <c r="L2108" s="560" t="n">
        <v>10</v>
      </c>
    </row>
    <row r="2109" ht="17.25" customHeight="1" s="453" thickBot="1">
      <c r="A2109" s="553">
        <f>IFERROR(LEFT(B2109,7),"")</f>
        <v/>
      </c>
      <c r="B2109" s="554">
        <f>"2026/05"&amp;D2109</f>
        <v/>
      </c>
      <c r="C2109" s="559" t="n">
        <v>74</v>
      </c>
      <c r="D2109" s="484" t="inlineStr">
        <is>
          <t>站前11樓</t>
        </is>
      </c>
      <c r="E2109" s="484" t="inlineStr">
        <is>
          <t>6120010</t>
        </is>
      </c>
      <c r="F2109" s="551" t="n"/>
      <c r="G2109" s="484" t="inlineStr">
        <is>
          <t>(V)(B6) 活性維生素 2ml，100倍數叫貨</t>
        </is>
      </c>
      <c r="H2109" s="552" t="n"/>
      <c r="I2109" s="552" t="n"/>
      <c r="J2109" s="551" t="n"/>
      <c r="K2109" s="140" t="inlineStr">
        <is>
          <t>(100支/盒)</t>
        </is>
      </c>
      <c r="L2109" s="560" t="n">
        <v>10</v>
      </c>
    </row>
    <row r="2110" ht="17.25" customHeight="1" s="453" thickBot="1">
      <c r="A2110" s="553">
        <f>IFERROR(LEFT(B2110,7),"")</f>
        <v/>
      </c>
      <c r="B2110" s="554">
        <f>"2026/05"&amp;D2110</f>
        <v/>
      </c>
      <c r="C2110" s="559" t="n">
        <v>75</v>
      </c>
      <c r="D2110" s="484" t="inlineStr">
        <is>
          <t>站前11樓</t>
        </is>
      </c>
      <c r="E2110" s="484" t="inlineStr">
        <is>
          <t>6120011</t>
        </is>
      </c>
      <c r="F2110" s="551" t="n"/>
      <c r="G2110" s="484" t="inlineStr">
        <is>
          <t>(V)(硒) 西寧特 2ml/支</t>
        </is>
      </c>
      <c r="H2110" s="552" t="n"/>
      <c r="I2110" s="552" t="n"/>
      <c r="J2110" s="551" t="n"/>
      <c r="K2110" s="140" t="inlineStr">
        <is>
          <t>10支/盒</t>
        </is>
      </c>
      <c r="L2110" s="560" t="n">
        <v>5</v>
      </c>
    </row>
    <row r="2111" ht="17.25" customHeight="1" s="453" thickBot="1">
      <c r="A2111" s="553">
        <f>IFERROR(LEFT(B2111,7),"")</f>
        <v/>
      </c>
      <c r="B2111" s="554">
        <f>"2026/05"&amp;D2111</f>
        <v/>
      </c>
      <c r="C2111" s="559" t="n">
        <v>76</v>
      </c>
      <c r="D2111" s="484" t="inlineStr">
        <is>
          <t>站前11樓</t>
        </is>
      </c>
      <c r="E2111" s="484" t="inlineStr">
        <is>
          <t>6120013</t>
        </is>
      </c>
      <c r="F2111" s="551" t="n"/>
      <c r="G2111" s="484" t="inlineStr">
        <is>
          <t>(V)生理食鹽水(NS) 250ml/ 袋</t>
        </is>
      </c>
      <c r="H2111" s="552" t="n"/>
      <c r="I2111" s="552" t="n"/>
      <c r="J2111" s="551" t="n"/>
      <c r="K2111" s="140" t="inlineStr">
        <is>
          <t>40瓶/箱</t>
        </is>
      </c>
      <c r="L2111" s="560" t="n">
        <v>274</v>
      </c>
    </row>
    <row r="2112" ht="17.25" customHeight="1" s="453" thickBot="1">
      <c r="A2112" s="553">
        <f>IFERROR(LEFT(B2112,7),"")</f>
        <v/>
      </c>
      <c r="B2112" s="554">
        <f>"2026/05"&amp;D2112</f>
        <v/>
      </c>
      <c r="C2112" s="559" t="n">
        <v>77</v>
      </c>
      <c r="D2112" s="484" t="inlineStr">
        <is>
          <t>站前11樓</t>
        </is>
      </c>
      <c r="E2112" s="484" t="inlineStr">
        <is>
          <t>6120014</t>
        </is>
      </c>
      <c r="F2112" s="551" t="n"/>
      <c r="G2112" s="484" t="inlineStr">
        <is>
          <t>(V)葡萄糖水(D5W) 250ml/袋</t>
        </is>
      </c>
      <c r="H2112" s="552" t="n"/>
      <c r="I2112" s="552" t="n"/>
      <c r="J2112" s="551" t="n"/>
      <c r="K2112" s="140" t="inlineStr">
        <is>
          <t>60袋/箱</t>
        </is>
      </c>
      <c r="L2112" s="560" t="n">
        <v>1273</v>
      </c>
    </row>
    <row r="2113" ht="17.25" customHeight="1" s="453" thickBot="1">
      <c r="A2113" s="553">
        <f>IFERROR(LEFT(B2113,7),"")</f>
        <v/>
      </c>
      <c r="B2113" s="554">
        <f>"2026/05"&amp;D2113</f>
        <v/>
      </c>
      <c r="C2113" s="559" t="n">
        <v>78</v>
      </c>
      <c r="D2113" s="484" t="inlineStr">
        <is>
          <t>站前11樓</t>
        </is>
      </c>
      <c r="E2113" s="484" t="inlineStr">
        <is>
          <t>6120015</t>
        </is>
      </c>
      <c r="F2113" s="551" t="n"/>
      <c r="G2113" s="484" t="inlineStr">
        <is>
          <t>(V)(B群)淘能美複合維他命B 2ml，100倍數叫貨</t>
        </is>
      </c>
      <c r="H2113" s="552" t="n"/>
      <c r="I2113" s="552" t="n"/>
      <c r="J2113" s="551" t="n"/>
      <c r="K2113" s="140" t="n"/>
      <c r="L2113" s="560" t="n">
        <v>29</v>
      </c>
    </row>
    <row r="2114" ht="17.25" customHeight="1" s="453" thickBot="1">
      <c r="A2114" s="553">
        <f>IFERROR(LEFT(B2114,7),"")</f>
        <v/>
      </c>
      <c r="B2114" s="554">
        <f>"2026/05"&amp;D2114</f>
        <v/>
      </c>
      <c r="C2114" s="559" t="n">
        <v>79</v>
      </c>
      <c r="D2114" s="484" t="inlineStr">
        <is>
          <t>站前11樓</t>
        </is>
      </c>
      <c r="E2114" s="484" t="inlineStr">
        <is>
          <t>6120016</t>
        </is>
      </c>
      <c r="F2114" s="551" t="n"/>
      <c r="G2114" s="484" t="inlineStr">
        <is>
          <t>(V)(榖胱肝肽) 克樂達養200mg (20ml/瓶)</t>
        </is>
      </c>
      <c r="H2114" s="552" t="n"/>
      <c r="I2114" s="552" t="n"/>
      <c r="J2114" s="551" t="n"/>
      <c r="K2114" s="140" t="inlineStr">
        <is>
          <t>50支/盒</t>
        </is>
      </c>
      <c r="L2114" s="560" t="n">
        <v>29</v>
      </c>
    </row>
    <row r="2115" ht="17.25" customHeight="1" s="453" thickBot="1">
      <c r="A2115" s="553">
        <f>IFERROR(LEFT(B2115,7),"")</f>
        <v/>
      </c>
      <c r="B2115" s="554">
        <f>"2026/05"&amp;D2115</f>
        <v/>
      </c>
      <c r="C2115" s="559" t="n">
        <v>80</v>
      </c>
      <c r="D2115" s="484" t="inlineStr">
        <is>
          <t>站前11樓</t>
        </is>
      </c>
      <c r="E2115" s="484" t="inlineStr">
        <is>
          <t>6120017</t>
        </is>
      </c>
      <c r="F2115" s="551" t="n"/>
      <c r="G2115" s="484" t="inlineStr">
        <is>
          <t>(V)保肝 5ml/支</t>
        </is>
      </c>
      <c r="H2115" s="552" t="n"/>
      <c r="I2115" s="552" t="n"/>
      <c r="J2115" s="551" t="n"/>
      <c r="K2115" s="140" t="inlineStr">
        <is>
          <t>50支/盒</t>
        </is>
      </c>
      <c r="L2115" s="560" t="n">
        <v>3</v>
      </c>
    </row>
    <row r="2116" ht="17.25" customHeight="1" s="453" thickBot="1">
      <c r="A2116" s="553">
        <f>IFERROR(LEFT(B2116,7),"")</f>
        <v/>
      </c>
      <c r="B2116" s="554">
        <f>"2026/05"&amp;D2116</f>
        <v/>
      </c>
      <c r="C2116" s="559" t="n">
        <v>81</v>
      </c>
      <c r="D2116" s="484" t="inlineStr">
        <is>
          <t>站前11樓</t>
        </is>
      </c>
      <c r="E2116" s="484" t="inlineStr">
        <is>
          <t>6120021</t>
        </is>
      </c>
      <c r="F2116" s="551" t="n"/>
      <c r="G2116" s="484" t="inlineStr">
        <is>
          <t>(V)(Vit C)(抗壞血酸/諾貝爾)20ml，50倍數下單</t>
        </is>
      </c>
      <c r="H2116" s="552" t="n"/>
      <c r="I2116" s="552" t="n"/>
      <c r="J2116" s="551" t="n"/>
      <c r="K2116" s="140" t="inlineStr">
        <is>
          <t>50支/盒</t>
        </is>
      </c>
      <c r="L2116" s="560" t="n">
        <v>29</v>
      </c>
    </row>
    <row r="2117" ht="17.25" customHeight="1" s="453" thickBot="1">
      <c r="A2117" s="553">
        <f>IFERROR(LEFT(B2117,7),"")</f>
        <v/>
      </c>
      <c r="B2117" s="554">
        <f>"2026/05"&amp;D2117</f>
        <v/>
      </c>
      <c r="C2117" s="559" t="n">
        <v>82</v>
      </c>
      <c r="D2117" s="484" t="inlineStr">
        <is>
          <t>站前11樓</t>
        </is>
      </c>
      <c r="E2117" s="484" t="inlineStr">
        <is>
          <t>6120036</t>
        </is>
      </c>
      <c r="F2117" s="551" t="n"/>
      <c r="G2117" s="484" t="inlineStr">
        <is>
          <t>(V)貝力多(雙胜胺) 20% 50mL/ 瓶，60倍數下單</t>
        </is>
      </c>
      <c r="H2117" s="552" t="n"/>
      <c r="I2117" s="552" t="n"/>
      <c r="J2117" s="551" t="n"/>
      <c r="K2117" s="140" t="inlineStr">
        <is>
          <t>瓶(10瓶/盒)</t>
        </is>
      </c>
      <c r="L2117" s="560" t="n">
        <v>7</v>
      </c>
    </row>
    <row r="2118" ht="17.25" customHeight="1" s="453" thickBot="1">
      <c r="A2118" s="553">
        <f>IFERROR(LEFT(B2118,7),"")</f>
        <v/>
      </c>
      <c r="B2118" s="554">
        <f>"2026/05"&amp;D2118</f>
        <v/>
      </c>
      <c r="C2118" s="559" t="n">
        <v>83</v>
      </c>
      <c r="D2118" s="484" t="inlineStr">
        <is>
          <t>站前11樓</t>
        </is>
      </c>
      <c r="E2118" s="484" t="inlineStr">
        <is>
          <t>6190005</t>
        </is>
      </c>
      <c r="F2118" s="551" t="n"/>
      <c r="G2118" s="484" t="inlineStr">
        <is>
          <t>(V)氦氖針/ 支</t>
        </is>
      </c>
      <c r="H2118" s="552" t="n"/>
      <c r="I2118" s="552" t="n"/>
      <c r="J2118" s="551" t="n"/>
      <c r="K2118" s="140" t="inlineStr">
        <is>
          <t>(50支/包)</t>
        </is>
      </c>
      <c r="L2118" s="560" t="n">
        <v>69</v>
      </c>
    </row>
    <row r="2119" ht="17.25" customHeight="1" s="453" thickBot="1">
      <c r="A2119" s="553">
        <f>IFERROR(LEFT(B2119,7),"")</f>
        <v/>
      </c>
      <c r="B2119" s="554">
        <f>"2026/05"&amp;D2119</f>
        <v/>
      </c>
      <c r="C2119" s="559" t="n">
        <v>84</v>
      </c>
      <c r="D2119" s="484" t="inlineStr">
        <is>
          <t>站前11樓</t>
        </is>
      </c>
      <c r="E2119" s="484" t="inlineStr">
        <is>
          <t>6200004</t>
        </is>
      </c>
      <c r="F2119" s="551" t="n"/>
      <c r="G2119" s="484" t="inlineStr">
        <is>
          <t>阿爾發SAT卡匣/ 發</t>
        </is>
      </c>
      <c r="H2119" s="552" t="n"/>
      <c r="I2119" s="552" t="n"/>
      <c r="J2119" s="551" t="n"/>
      <c r="K2119" s="140" t="inlineStr">
        <is>
          <t>50發/卡</t>
        </is>
      </c>
      <c r="L2119" s="560" t="n">
        <v>3043</v>
      </c>
    </row>
    <row r="2120" ht="17.25" customHeight="1" s="453" thickBot="1">
      <c r="A2120" s="553">
        <f>IFERROR(LEFT(B2120,7),"")</f>
        <v/>
      </c>
      <c r="B2120" s="554">
        <f>"2026/05"&amp;D2120</f>
        <v/>
      </c>
      <c r="C2120" s="559" t="n">
        <v>85</v>
      </c>
      <c r="D2120" s="484" t="inlineStr">
        <is>
          <t>站前11樓</t>
        </is>
      </c>
      <c r="E2120" s="484" t="inlineStr">
        <is>
          <t>6200008</t>
        </is>
      </c>
      <c r="F2120" s="551" t="n"/>
      <c r="G2120" s="484" t="inlineStr">
        <is>
          <t>(V)瘦瘦筆-週纖達*1支(0.25mg)</t>
        </is>
      </c>
      <c r="H2120" s="552" t="n"/>
      <c r="I2120" s="552" t="n"/>
      <c r="J2120" s="551" t="n"/>
      <c r="K2120" s="140" t="inlineStr">
        <is>
          <t>支</t>
        </is>
      </c>
      <c r="L2120" s="560" t="n">
        <v>2</v>
      </c>
    </row>
    <row r="2121" ht="17.25" customHeight="1" s="453" thickBot="1">
      <c r="A2121" s="553">
        <f>IFERROR(LEFT(B2121,7),"")</f>
        <v/>
      </c>
      <c r="B2121" s="554">
        <f>"2026/05"&amp;D2121</f>
        <v/>
      </c>
      <c r="C2121" s="559" t="n">
        <v>86</v>
      </c>
      <c r="D2121" s="484" t="inlineStr">
        <is>
          <t>站前11樓</t>
        </is>
      </c>
      <c r="E2121" s="484" t="inlineStr">
        <is>
          <t>6200010</t>
        </is>
      </c>
      <c r="F2121" s="551" t="n"/>
      <c r="G2121" s="484" t="inlineStr">
        <is>
          <t>(V)瘦瘦筆-週纖達*1支(1.0mg)</t>
        </is>
      </c>
      <c r="H2121" s="552" t="n"/>
      <c r="I2121" s="552" t="n"/>
      <c r="J2121" s="551" t="n"/>
      <c r="K2121" s="140" t="inlineStr">
        <is>
          <t>支</t>
        </is>
      </c>
      <c r="L2121" s="560" t="n">
        <v>3</v>
      </c>
      <c r="O2121" s="561" t="n"/>
    </row>
    <row r="2122" ht="17.25" customHeight="1" s="453" thickBot="1">
      <c r="A2122" s="553">
        <f>IFERROR(LEFT(B2122,7),"")</f>
        <v/>
      </c>
      <c r="B2122" s="554">
        <f>"2026/05"&amp;D2122</f>
        <v/>
      </c>
      <c r="C2122" s="559" t="n">
        <v>87</v>
      </c>
      <c r="D2122" s="484" t="inlineStr">
        <is>
          <t>站前11樓</t>
        </is>
      </c>
      <c r="E2122" s="484" t="inlineStr">
        <is>
          <t>6200012</t>
        </is>
      </c>
      <c r="F2122" s="551" t="n"/>
      <c r="G2122" s="484" t="inlineStr">
        <is>
          <t>(V)瘦瘦筆-週纖達*1支(2.4mg)</t>
        </is>
      </c>
      <c r="H2122" s="552" t="n"/>
      <c r="I2122" s="552" t="n"/>
      <c r="J2122" s="551" t="n"/>
      <c r="K2122" s="140" t="inlineStr">
        <is>
          <t>支</t>
        </is>
      </c>
      <c r="L2122" s="560" t="n">
        <v>1</v>
      </c>
      <c r="O2122" s="561" t="n"/>
    </row>
    <row r="2123" ht="17.25" customHeight="1" s="453" thickBot="1">
      <c r="A2123" s="553">
        <f>IFERROR(LEFT(B2123,7),"")</f>
        <v/>
      </c>
      <c r="B2123" s="554">
        <f>"2026/05"&amp;D2123</f>
        <v/>
      </c>
      <c r="C2123" s="559" t="n">
        <v>88</v>
      </c>
      <c r="D2123" s="484" t="inlineStr">
        <is>
          <t>站前11樓</t>
        </is>
      </c>
      <c r="E2123" s="484" t="inlineStr">
        <is>
          <t>6200013</t>
        </is>
      </c>
      <c r="F2123" s="551" t="n"/>
      <c r="G2123" s="484" t="inlineStr">
        <is>
          <t>(V)猛健樂2.5mg*1支</t>
        </is>
      </c>
      <c r="H2123" s="552" t="n"/>
      <c r="I2123" s="552" t="n"/>
      <c r="J2123" s="551" t="n"/>
      <c r="K2123" s="140" t="inlineStr">
        <is>
          <t>3cc/支</t>
        </is>
      </c>
      <c r="L2123" s="560" t="n">
        <v>11</v>
      </c>
      <c r="O2123" s="561" t="n"/>
    </row>
    <row r="2124" ht="17.25" customHeight="1" s="453" thickBot="1">
      <c r="A2124" s="553">
        <f>IFERROR(LEFT(B2124,7),"")</f>
        <v/>
      </c>
      <c r="B2124" s="554">
        <f>"2026/05"&amp;D2124</f>
        <v/>
      </c>
      <c r="C2124" s="559" t="n">
        <v>89</v>
      </c>
      <c r="D2124" s="484" t="inlineStr">
        <is>
          <t>站前11樓</t>
        </is>
      </c>
      <c r="E2124" s="484" t="inlineStr">
        <is>
          <t>6200014</t>
        </is>
      </c>
      <c r="F2124" s="551" t="n"/>
      <c r="G2124" s="484" t="inlineStr">
        <is>
          <t>(V)猛健樂5mg*1支</t>
        </is>
      </c>
      <c r="H2124" s="552" t="n"/>
      <c r="I2124" s="552" t="n"/>
      <c r="J2124" s="551" t="n"/>
      <c r="K2124" s="140" t="inlineStr">
        <is>
          <t>3cc/支</t>
        </is>
      </c>
      <c r="L2124" s="560" t="n">
        <v>8</v>
      </c>
      <c r="O2124" s="561" t="n"/>
    </row>
    <row r="2125" ht="17.25" customHeight="1" s="453" thickBot="1">
      <c r="A2125" s="553">
        <f>IFERROR(LEFT(B2125,7),"")</f>
        <v/>
      </c>
      <c r="B2125" s="554">
        <f>"2026/05"&amp;D2125</f>
        <v/>
      </c>
      <c r="C2125" s="559" t="n">
        <v>90</v>
      </c>
      <c r="D2125" s="484" t="inlineStr">
        <is>
          <t>站前11樓</t>
        </is>
      </c>
      <c r="E2125" s="484" t="inlineStr">
        <is>
          <t>6200016</t>
        </is>
      </c>
      <c r="F2125" s="551" t="n"/>
      <c r="G2125" s="484" t="inlineStr">
        <is>
          <t>(V)猛健樂10mg*1支</t>
        </is>
      </c>
      <c r="H2125" s="552" t="n"/>
      <c r="I2125" s="552" t="n"/>
      <c r="J2125" s="551" t="n"/>
      <c r="K2125" s="140" t="inlineStr">
        <is>
          <t>3cc/支</t>
        </is>
      </c>
      <c r="L2125" s="560" t="n">
        <v>6</v>
      </c>
      <c r="O2125" s="561" t="n"/>
    </row>
    <row r="2126" ht="17.25" customHeight="1" s="453" thickBot="1">
      <c r="A2126" s="553">
        <f>IFERROR(LEFT(B2126,7),"")</f>
        <v/>
      </c>
      <c r="B2126" s="554">
        <f>"2026/05"&amp;D2126</f>
        <v/>
      </c>
      <c r="C2126" s="559" t="n">
        <v>91</v>
      </c>
      <c r="D2126" s="484" t="inlineStr">
        <is>
          <t>站前11樓</t>
        </is>
      </c>
      <c r="E2126" s="484" t="inlineStr">
        <is>
          <t>6200017</t>
        </is>
      </c>
      <c r="F2126" s="551" t="n"/>
      <c r="G2126" s="484" t="inlineStr">
        <is>
          <t>(V)猛健樂10mg/ 0.15CC</t>
        </is>
      </c>
      <c r="H2126" s="552" t="n"/>
      <c r="I2126" s="552" t="n"/>
      <c r="J2126" s="551" t="n"/>
      <c r="K2126" s="140" t="inlineStr">
        <is>
          <t>0.15cc/次</t>
        </is>
      </c>
      <c r="L2126" s="560" t="n">
        <v>1127.12</v>
      </c>
      <c r="O2126" s="561" t="n"/>
    </row>
    <row r="2127" ht="17.25" customHeight="1" s="453" thickBot="1">
      <c r="A2127" s="553">
        <f>IFERROR(LEFT(B2127,7),"")</f>
        <v/>
      </c>
      <c r="B2127" s="554">
        <f>"2026/05"&amp;D2127</f>
        <v/>
      </c>
      <c r="C2127" s="559" t="n">
        <v>92</v>
      </c>
      <c r="D2127" s="484" t="inlineStr">
        <is>
          <t>忠孝7樓</t>
        </is>
      </c>
      <c r="E2127" s="484" t="inlineStr">
        <is>
          <t>6050006</t>
        </is>
      </c>
      <c r="F2127" s="551" t="n"/>
      <c r="G2127" s="484" t="inlineStr">
        <is>
          <t>(V)舒緩修護精萃 180ml</t>
        </is>
      </c>
      <c r="H2127" s="552" t="n"/>
      <c r="I2127" s="552" t="n"/>
      <c r="J2127" s="551" t="n"/>
      <c r="K2127" s="140" t="inlineStr">
        <is>
          <t>180ml</t>
        </is>
      </c>
      <c r="L2127" s="560" t="n">
        <v>15</v>
      </c>
      <c r="O2127" s="561" t="n"/>
    </row>
    <row r="2128" ht="17.25" customHeight="1" s="453" thickBot="1">
      <c r="A2128" s="553">
        <f>IFERROR(LEFT(B2128,7),"")</f>
        <v/>
      </c>
      <c r="B2128" s="554">
        <f>"2026/05"&amp;D2128</f>
        <v/>
      </c>
      <c r="C2128" s="559" t="n">
        <v>93</v>
      </c>
      <c r="D2128" s="484" t="inlineStr">
        <is>
          <t>忠孝7樓</t>
        </is>
      </c>
      <c r="E2128" s="484" t="inlineStr">
        <is>
          <t>6050010</t>
        </is>
      </c>
      <c r="F2128" s="551" t="n"/>
      <c r="G2128" s="484" t="inlineStr">
        <is>
          <t>(V)ExoPower 泌力機泌安瓶 6mL</t>
        </is>
      </c>
      <c r="H2128" s="552" t="n"/>
      <c r="I2128" s="552" t="n"/>
      <c r="J2128" s="551" t="n"/>
      <c r="K2128" s="140" t="inlineStr">
        <is>
          <t>瓶</t>
        </is>
      </c>
      <c r="L2128" s="560" t="n">
        <v>3</v>
      </c>
      <c r="O2128" s="561" t="n"/>
    </row>
    <row r="2129" ht="17.25" customHeight="1" s="453" thickBot="1">
      <c r="A2129" s="553">
        <f>IFERROR(LEFT(B2129,7),"")</f>
        <v/>
      </c>
      <c r="B2129" s="554">
        <f>"2026/05"&amp;D2129</f>
        <v/>
      </c>
      <c r="C2129" s="559" t="n">
        <v>94</v>
      </c>
      <c r="D2129" s="484" t="inlineStr">
        <is>
          <t>忠孝7樓</t>
        </is>
      </c>
      <c r="E2129" s="484" t="inlineStr">
        <is>
          <t>6060001</t>
        </is>
      </c>
      <c r="F2129" s="551" t="n"/>
      <c r="G2129" s="484" t="inlineStr">
        <is>
          <t>(V)金采賦活保濕精華霜 100ml</t>
        </is>
      </c>
      <c r="H2129" s="552" t="n"/>
      <c r="I2129" s="552" t="n"/>
      <c r="J2129" s="551" t="n"/>
      <c r="K2129" s="140" t="inlineStr">
        <is>
          <t>100ml</t>
        </is>
      </c>
      <c r="L2129" s="560" t="n">
        <v>56</v>
      </c>
      <c r="O2129" s="561" t="n"/>
    </row>
    <row r="2130" ht="17.25" customHeight="1" s="453" thickBot="1">
      <c r="A2130" s="553">
        <f>IFERROR(LEFT(B2130,7),"")</f>
        <v/>
      </c>
      <c r="B2130" s="554">
        <f>"2026/05"&amp;D2130</f>
        <v/>
      </c>
      <c r="C2130" s="559" t="n">
        <v>95</v>
      </c>
      <c r="D2130" s="484" t="inlineStr">
        <is>
          <t>忠孝7樓</t>
        </is>
      </c>
      <c r="E2130" s="484" t="inlineStr">
        <is>
          <t>6080008</t>
        </is>
      </c>
      <c r="F2130" s="551" t="n"/>
      <c r="G2130" s="484" t="inlineStr">
        <is>
          <t>(V)多肽睛澈修護眼膜 10ml(鈦灰)</t>
        </is>
      </c>
      <c r="H2130" s="552" t="n"/>
      <c r="I2130" s="552" t="n"/>
      <c r="J2130" s="551" t="n"/>
      <c r="K2130" s="140" t="inlineStr">
        <is>
          <t>8</t>
        </is>
      </c>
      <c r="L2130" s="560" t="n">
        <v>500</v>
      </c>
      <c r="O2130" s="561" t="n"/>
    </row>
    <row r="2131" ht="17.25" customHeight="1" s="453" thickBot="1">
      <c r="A2131" s="553">
        <f>IFERROR(LEFT(B2131,7),"")</f>
        <v/>
      </c>
      <c r="B2131" s="554">
        <f>"2026/05"&amp;D2131</f>
        <v/>
      </c>
      <c r="C2131" s="559" t="n">
        <v>96</v>
      </c>
      <c r="D2131" s="484" t="inlineStr">
        <is>
          <t>忠孝7樓</t>
        </is>
      </c>
      <c r="E2131" s="484" t="inlineStr">
        <is>
          <t>6080011</t>
        </is>
      </c>
      <c r="F2131" s="551" t="n"/>
      <c r="G2131" s="484" t="inlineStr">
        <is>
          <t>(V)水梨面膜 30ml</t>
        </is>
      </c>
      <c r="H2131" s="552" t="n"/>
      <c r="I2131" s="552" t="n"/>
      <c r="J2131" s="551" t="n"/>
      <c r="K2131" s="140" t="inlineStr">
        <is>
          <t>30ml</t>
        </is>
      </c>
      <c r="L2131" s="560" t="n">
        <v>700</v>
      </c>
      <c r="O2131" s="561" t="n"/>
    </row>
    <row r="2132" ht="17.25" customHeight="1" s="453" thickBot="1">
      <c r="A2132" s="553">
        <f>IFERROR(LEFT(B2132,7),"")</f>
        <v/>
      </c>
      <c r="B2132" s="554">
        <f>"2026/05"&amp;D2132</f>
        <v/>
      </c>
      <c r="C2132" s="559" t="n">
        <v>97</v>
      </c>
      <c r="D2132" s="484" t="inlineStr">
        <is>
          <t>忠孝7樓</t>
        </is>
      </c>
      <c r="E2132" s="484" t="inlineStr">
        <is>
          <t>6080012</t>
        </is>
      </c>
      <c r="F2132" s="551" t="n"/>
      <c r="G2132" s="484" t="inlineStr">
        <is>
          <t>(V)小玉西瓜面膜 30mL</t>
        </is>
      </c>
      <c r="H2132" s="552" t="n"/>
      <c r="I2132" s="552" t="n"/>
      <c r="J2132" s="551" t="n"/>
      <c r="K2132" s="140" t="inlineStr">
        <is>
          <t>30ml</t>
        </is>
      </c>
      <c r="L2132" s="560" t="n">
        <v>1000</v>
      </c>
      <c r="O2132" s="561" t="n"/>
    </row>
    <row r="2133" ht="17.25" customHeight="1" s="453" thickBot="1">
      <c r="A2133" s="553">
        <f>IFERROR(LEFT(B2133,7),"")</f>
        <v/>
      </c>
      <c r="B2133" s="554">
        <f>"2026/05"&amp;D2133</f>
        <v/>
      </c>
      <c r="C2133" s="559" t="n">
        <v>98</v>
      </c>
      <c r="D2133" s="484" t="inlineStr">
        <is>
          <t>忠孝7樓</t>
        </is>
      </c>
      <c r="E2133" s="484" t="inlineStr">
        <is>
          <t>6110181</t>
        </is>
      </c>
      <c r="F2133" s="551" t="n"/>
      <c r="G2133" s="484" t="inlineStr">
        <is>
          <t>需自選沙貨進行手動扣庫</t>
        </is>
      </c>
      <c r="H2133" s="552" t="n"/>
      <c r="I2133" s="552" t="n"/>
      <c r="J2133" s="551" t="n"/>
      <c r="K2133" s="140" t="inlineStr">
        <is>
          <t>支</t>
        </is>
      </c>
      <c r="L2133" s="560" t="n">
        <v>12801</v>
      </c>
      <c r="O2133" s="561" t="n"/>
    </row>
    <row r="2134" ht="17.25" customHeight="1" s="453" thickBot="1">
      <c r="A2134" s="553">
        <f>IFERROR(LEFT(B2134,7),"")</f>
        <v/>
      </c>
      <c r="B2134" s="554">
        <f>"2026/05"&amp;D2134</f>
        <v/>
      </c>
      <c r="C2134" s="559" t="n">
        <v>99</v>
      </c>
      <c r="D2134" s="484" t="inlineStr">
        <is>
          <t>忠孝7樓</t>
        </is>
      </c>
      <c r="E2134" s="484" t="inlineStr">
        <is>
          <t>6120004</t>
        </is>
      </c>
      <c r="F2134" s="551" t="n"/>
      <c r="G2134" s="484" t="inlineStr">
        <is>
          <t>(V)胺基酸點滴250ml/ 袋(安命活源/嘉安命)，20倍數叫貨</t>
        </is>
      </c>
      <c r="H2134" s="552" t="n"/>
      <c r="I2134" s="552" t="n"/>
      <c r="J2134" s="551" t="n"/>
      <c r="K2134" s="140" t="inlineStr">
        <is>
          <t>(20瓶/箱)</t>
        </is>
      </c>
      <c r="L2134" s="560" t="n">
        <v>34</v>
      </c>
      <c r="O2134" s="561" t="n"/>
    </row>
    <row r="2135" ht="17.25" customHeight="1" s="453" thickBot="1">
      <c r="A2135" s="553">
        <f>IFERROR(LEFT(B2135,7),"")</f>
        <v/>
      </c>
      <c r="B2135" s="554">
        <f>"2026/05"&amp;D2135</f>
        <v/>
      </c>
      <c r="C2135" s="559" t="n">
        <v>100</v>
      </c>
      <c r="D2135" s="484" t="inlineStr">
        <is>
          <t>忠孝7樓</t>
        </is>
      </c>
      <c r="E2135" s="484" t="inlineStr">
        <is>
          <t>6120006</t>
        </is>
      </c>
      <c r="F2135" s="551" t="n"/>
      <c r="G2135" s="484" t="inlineStr">
        <is>
          <t>(V)(B12) 愛壽命 2mL，100倍數叫貨</t>
        </is>
      </c>
      <c r="H2135" s="552" t="n"/>
      <c r="I2135" s="552" t="n"/>
      <c r="J2135" s="551" t="n"/>
      <c r="K2135" s="140" t="inlineStr">
        <is>
          <t>(100支/盒)</t>
        </is>
      </c>
      <c r="L2135" s="560" t="n">
        <v>35</v>
      </c>
      <c r="O2135" s="561" t="n"/>
    </row>
    <row r="2136" ht="17.25" customHeight="1" s="453" thickBot="1">
      <c r="A2136" s="553">
        <f>IFERROR(LEFT(B2136,7),"")</f>
        <v/>
      </c>
      <c r="B2136" s="554">
        <f>"2026/05"&amp;D2136</f>
        <v/>
      </c>
      <c r="C2136" s="559" t="n">
        <v>101</v>
      </c>
      <c r="D2136" s="484" t="inlineStr">
        <is>
          <t>忠孝7樓</t>
        </is>
      </c>
      <c r="E2136" s="484" t="inlineStr">
        <is>
          <t>6120007</t>
        </is>
      </c>
      <c r="F2136" s="551" t="n"/>
      <c r="G2136" s="484" t="inlineStr">
        <is>
          <t>(V)(硫酸鋅) 1ml/支，100倍數叫貨</t>
        </is>
      </c>
      <c r="H2136" s="552" t="n"/>
      <c r="I2136" s="552" t="n"/>
      <c r="J2136" s="551" t="n"/>
      <c r="K2136" s="140" t="inlineStr">
        <is>
          <t>100支/盒</t>
        </is>
      </c>
      <c r="L2136" s="560" t="n">
        <v>1</v>
      </c>
      <c r="O2136" s="561" t="n"/>
    </row>
    <row r="2137" ht="17.25" customHeight="1" s="453" thickBot="1">
      <c r="A2137" s="553">
        <f>IFERROR(LEFT(B2137,7),"")</f>
        <v/>
      </c>
      <c r="B2137" s="554">
        <f>"2026/05"&amp;D2137</f>
        <v/>
      </c>
      <c r="C2137" s="559" t="n">
        <v>102</v>
      </c>
      <c r="D2137" s="484" t="inlineStr">
        <is>
          <t>忠孝7樓</t>
        </is>
      </c>
      <c r="E2137" s="484" t="inlineStr">
        <is>
          <t>6120013</t>
        </is>
      </c>
      <c r="F2137" s="551" t="n"/>
      <c r="G2137" s="484" t="inlineStr">
        <is>
          <t>(V)生理食鹽水(NS) 250ml/ 袋</t>
        </is>
      </c>
      <c r="H2137" s="552" t="n"/>
      <c r="I2137" s="552" t="n"/>
      <c r="J2137" s="551" t="n"/>
      <c r="K2137" s="140" t="inlineStr">
        <is>
          <t>40瓶/箱</t>
        </is>
      </c>
      <c r="L2137" s="560" t="n">
        <v>110</v>
      </c>
      <c r="O2137" s="561" t="n"/>
    </row>
    <row r="2138" ht="17.25" customHeight="1" s="453" thickBot="1">
      <c r="A2138" s="553">
        <f>IFERROR(LEFT(B2138,7),"")</f>
        <v/>
      </c>
      <c r="B2138" s="554">
        <f>"2026/05"&amp;D2138</f>
        <v/>
      </c>
      <c r="C2138" s="559" t="n">
        <v>103</v>
      </c>
      <c r="D2138" s="484" t="inlineStr">
        <is>
          <t>忠孝7樓</t>
        </is>
      </c>
      <c r="E2138" s="484" t="inlineStr">
        <is>
          <t>6120015</t>
        </is>
      </c>
      <c r="F2138" s="551" t="n"/>
      <c r="G2138" s="484" t="inlineStr">
        <is>
          <t>(V)(B群)淘能美複合維他命B 2ml，100倍數叫貨</t>
        </is>
      </c>
      <c r="H2138" s="552" t="n"/>
      <c r="I2138" s="552" t="n"/>
      <c r="J2138" s="551" t="n"/>
      <c r="K2138" s="140" t="n"/>
      <c r="L2138" s="560" t="n">
        <v>143</v>
      </c>
      <c r="O2138" s="561" t="n"/>
    </row>
    <row r="2139" ht="17.25" customHeight="1" s="453" thickBot="1">
      <c r="A2139" s="553">
        <f>IFERROR(LEFT(B2139,7),"")</f>
        <v/>
      </c>
      <c r="B2139" s="554">
        <f>"2026/05"&amp;D2139</f>
        <v/>
      </c>
      <c r="C2139" s="559" t="n">
        <v>104</v>
      </c>
      <c r="D2139" s="484" t="inlineStr">
        <is>
          <t>忠孝7樓</t>
        </is>
      </c>
      <c r="E2139" s="484" t="inlineStr">
        <is>
          <t>6120016</t>
        </is>
      </c>
      <c r="F2139" s="551" t="n"/>
      <c r="G2139" s="484" t="inlineStr">
        <is>
          <t>(V)(榖胱肝肽) 克樂達養200mg (20ml/瓶)</t>
        </is>
      </c>
      <c r="H2139" s="552" t="n"/>
      <c r="I2139" s="552" t="n"/>
      <c r="J2139" s="551" t="n"/>
      <c r="K2139" s="140" t="inlineStr">
        <is>
          <t>50支/盒</t>
        </is>
      </c>
      <c r="L2139" s="560" t="n">
        <v>142</v>
      </c>
      <c r="O2139" s="561" t="n"/>
    </row>
    <row r="2140" ht="17.25" customHeight="1" s="453" thickBot="1">
      <c r="A2140" s="553">
        <f>IFERROR(LEFT(B2140,7),"")</f>
        <v/>
      </c>
      <c r="B2140" s="554">
        <f>"2026/05"&amp;D2140</f>
        <v/>
      </c>
      <c r="C2140" s="559" t="n">
        <v>105</v>
      </c>
      <c r="D2140" s="484" t="inlineStr">
        <is>
          <t>忠孝7樓</t>
        </is>
      </c>
      <c r="E2140" s="484" t="inlineStr">
        <is>
          <t>6120017</t>
        </is>
      </c>
      <c r="F2140" s="551" t="n"/>
      <c r="G2140" s="484" t="inlineStr">
        <is>
          <t>(V)保肝 5ml/支</t>
        </is>
      </c>
      <c r="H2140" s="552" t="n"/>
      <c r="I2140" s="552" t="n"/>
      <c r="J2140" s="551" t="n"/>
      <c r="K2140" s="140" t="inlineStr">
        <is>
          <t>50支/盒</t>
        </is>
      </c>
      <c r="L2140" s="560" t="n">
        <v>1</v>
      </c>
      <c r="O2140" s="561" t="n"/>
    </row>
    <row r="2141" ht="17.25" customHeight="1" s="453" thickBot="1">
      <c r="A2141" s="553">
        <f>IFERROR(LEFT(B2141,7),"")</f>
        <v/>
      </c>
      <c r="B2141" s="554">
        <f>"2026/05"&amp;D2141</f>
        <v/>
      </c>
      <c r="C2141" s="559" t="n">
        <v>106</v>
      </c>
      <c r="D2141" s="484" t="inlineStr">
        <is>
          <t>忠孝7樓</t>
        </is>
      </c>
      <c r="E2141" s="484" t="inlineStr">
        <is>
          <t>6120018</t>
        </is>
      </c>
      <c r="F2141" s="551" t="n"/>
      <c r="G2141" s="484" t="inlineStr">
        <is>
          <t>(V)(傳明酸)止血明 5ml/支</t>
        </is>
      </c>
      <c r="H2141" s="552" t="n"/>
      <c r="I2141" s="552" t="n"/>
      <c r="J2141" s="551" t="n"/>
      <c r="K2141" s="140" t="inlineStr">
        <is>
          <t>50支/盒</t>
        </is>
      </c>
      <c r="L2141" s="560" t="n">
        <v>223</v>
      </c>
      <c r="O2141" s="561" t="n"/>
    </row>
    <row r="2142" ht="17.25" customHeight="1" s="453" thickBot="1">
      <c r="A2142" s="553">
        <f>IFERROR(LEFT(B2142,7),"")</f>
        <v/>
      </c>
      <c r="B2142" s="554">
        <f>"2026/05"&amp;D2142</f>
        <v/>
      </c>
      <c r="C2142" s="559" t="n">
        <v>107</v>
      </c>
      <c r="D2142" s="484" t="inlineStr">
        <is>
          <t>忠孝7樓</t>
        </is>
      </c>
      <c r="E2142" s="484" t="inlineStr">
        <is>
          <t>6120020</t>
        </is>
      </c>
      <c r="F2142" s="551" t="n"/>
      <c r="G2142" s="484" t="inlineStr">
        <is>
          <t>(V)(Vit C) 抗壞血酸 2mL，100倍數下單</t>
        </is>
      </c>
      <c r="H2142" s="552" t="n"/>
      <c r="I2142" s="552" t="n"/>
      <c r="J2142" s="551" t="n"/>
      <c r="K2142" s="140" t="inlineStr">
        <is>
          <t>100支/盒</t>
        </is>
      </c>
      <c r="L2142" s="560" t="n">
        <v>39</v>
      </c>
      <c r="O2142" s="561" t="n"/>
    </row>
    <row r="2143" ht="17.25" customHeight="1" s="453" thickBot="1">
      <c r="A2143" s="553">
        <f>IFERROR(LEFT(B2143,7),"")</f>
        <v/>
      </c>
      <c r="B2143" s="554">
        <f>"2026/05"&amp;D2143</f>
        <v/>
      </c>
      <c r="C2143" s="559" t="n">
        <v>108</v>
      </c>
      <c r="D2143" s="484" t="inlineStr">
        <is>
          <t>忠孝7樓</t>
        </is>
      </c>
      <c r="E2143" s="484" t="inlineStr">
        <is>
          <t>6120021</t>
        </is>
      </c>
      <c r="F2143" s="551" t="n"/>
      <c r="G2143" s="484" t="inlineStr">
        <is>
          <t>(V)(Vit C)(抗壞血酸/諾貝爾)20ml，50倍數下單</t>
        </is>
      </c>
      <c r="H2143" s="552" t="n"/>
      <c r="I2143" s="552" t="n"/>
      <c r="J2143" s="551" t="n"/>
      <c r="K2143" s="140" t="inlineStr">
        <is>
          <t>50支/盒</t>
        </is>
      </c>
      <c r="L2143" s="560" t="n">
        <v>188</v>
      </c>
      <c r="O2143" s="561" t="n"/>
    </row>
    <row r="2144" ht="17.25" customHeight="1" s="453" thickBot="1">
      <c r="A2144" s="553">
        <f>IFERROR(LEFT(B2144,7),"")</f>
        <v/>
      </c>
      <c r="B2144" s="554">
        <f>"2026/05"&amp;D2144</f>
        <v/>
      </c>
      <c r="C2144" s="559" t="n">
        <v>109</v>
      </c>
      <c r="D2144" s="484" t="inlineStr">
        <is>
          <t>忠孝7樓</t>
        </is>
      </c>
      <c r="E2144" s="484" t="inlineStr">
        <is>
          <t>6120022</t>
        </is>
      </c>
      <c r="F2144" s="551" t="n"/>
      <c r="G2144" s="484" t="inlineStr">
        <is>
          <t>(V)(銀杏) 循必利Gingo注射液0.84毫克/毫升 5ml</t>
        </is>
      </c>
      <c r="H2144" s="552" t="n"/>
      <c r="I2144" s="552" t="n"/>
      <c r="J2144" s="551" t="n"/>
      <c r="K2144" s="140" t="inlineStr">
        <is>
          <t>50支/盒</t>
        </is>
      </c>
      <c r="L2144" s="560" t="n">
        <v>1</v>
      </c>
      <c r="O2144" s="561" t="n"/>
    </row>
    <row r="2145" ht="17.25" customHeight="1" s="453" thickBot="1">
      <c r="A2145" s="553">
        <f>IFERROR(LEFT(B2145,7),"")</f>
        <v/>
      </c>
      <c r="B2145" s="554">
        <f>"2026/05"&amp;D2145</f>
        <v/>
      </c>
      <c r="C2145" s="559" t="n">
        <v>110</v>
      </c>
      <c r="D2145" s="484" t="inlineStr">
        <is>
          <t>忠孝7樓</t>
        </is>
      </c>
      <c r="E2145" s="484" t="inlineStr">
        <is>
          <t>6120036</t>
        </is>
      </c>
      <c r="F2145" s="551" t="n"/>
      <c r="G2145" s="484" t="inlineStr">
        <is>
          <t>(V)貝力多(雙胜胺) 20% 50mL/ 瓶，60倍數下單</t>
        </is>
      </c>
      <c r="H2145" s="552" t="n"/>
      <c r="I2145" s="552" t="n"/>
      <c r="J2145" s="551" t="n"/>
      <c r="K2145" s="140" t="inlineStr">
        <is>
          <t>瓶(10瓶/盒)</t>
        </is>
      </c>
      <c r="L2145" s="560" t="n">
        <v>34</v>
      </c>
      <c r="O2145" s="561" t="n"/>
    </row>
    <row r="2146" ht="17.25" customHeight="1" s="453" thickBot="1">
      <c r="A2146" s="553">
        <f>IFERROR(LEFT(B2146,7),"")</f>
        <v/>
      </c>
      <c r="B2146" s="554">
        <f>"2026/05"&amp;D2146</f>
        <v/>
      </c>
      <c r="C2146" s="559" t="n">
        <v>111</v>
      </c>
      <c r="D2146" s="484" t="inlineStr">
        <is>
          <t>忠孝7樓</t>
        </is>
      </c>
      <c r="E2146" s="484" t="inlineStr">
        <is>
          <t>6120044</t>
        </is>
      </c>
      <c r="F2146" s="551" t="n"/>
      <c r="G2146" s="484" t="inlineStr">
        <is>
          <t>(V)(止痛)舒疼消熱1ml/支，10倍數下單</t>
        </is>
      </c>
      <c r="H2146" s="552" t="n"/>
      <c r="I2146" s="552" t="n"/>
      <c r="J2146" s="551" t="n"/>
      <c r="K2146" s="140" t="inlineStr">
        <is>
          <t>10支/盒</t>
        </is>
      </c>
      <c r="L2146" s="560" t="n">
        <v>1</v>
      </c>
      <c r="O2146" s="561" t="n"/>
    </row>
    <row r="2147" ht="17.25" customHeight="1" s="453" thickBot="1">
      <c r="A2147" s="553">
        <f>IFERROR(LEFT(B2147,7),"")</f>
        <v/>
      </c>
      <c r="B2147" s="554">
        <f>"2026/05"&amp;D2147</f>
        <v/>
      </c>
      <c r="C2147" s="559" t="n">
        <v>112</v>
      </c>
      <c r="D2147" s="484" t="inlineStr">
        <is>
          <t>忠孝7樓</t>
        </is>
      </c>
      <c r="E2147" s="484" t="inlineStr">
        <is>
          <t>6140001</t>
        </is>
      </c>
      <c r="F2147" s="551" t="n"/>
      <c r="G2147" s="484" t="inlineStr">
        <is>
          <t>(V)保妥適肉毒Botox/ u，100倍數下單</t>
        </is>
      </c>
      <c r="H2147" s="552" t="n"/>
      <c r="I2147" s="552" t="n"/>
      <c r="J2147" s="551" t="n"/>
      <c r="K2147" s="140" t="inlineStr">
        <is>
          <t>100U/瓶</t>
        </is>
      </c>
      <c r="L2147" s="560" t="n">
        <v>4511</v>
      </c>
      <c r="O2147" s="561" t="n"/>
    </row>
    <row r="2148" ht="17.25" customHeight="1" s="453" thickBot="1">
      <c r="A2148" s="553">
        <f>IFERROR(LEFT(B2148,7),"")</f>
        <v/>
      </c>
      <c r="B2148" s="554">
        <f>"2026/05"&amp;D2148</f>
        <v/>
      </c>
      <c r="C2148" s="559" t="n">
        <v>113</v>
      </c>
      <c r="D2148" s="484" t="inlineStr">
        <is>
          <t>忠孝7樓</t>
        </is>
      </c>
      <c r="E2148" s="484" t="inlineStr">
        <is>
          <t>6140003</t>
        </is>
      </c>
      <c r="F2148" s="551" t="n"/>
      <c r="G2148" s="484" t="inlineStr">
        <is>
          <t>(V)保提拉肉毒Letybo/ u，3200倍數下單</t>
        </is>
      </c>
      <c r="H2148" s="552" t="n"/>
      <c r="I2148" s="552" t="n"/>
      <c r="J2148" s="551" t="n"/>
      <c r="K2148" s="140" t="inlineStr">
        <is>
          <t>200U/瓶</t>
        </is>
      </c>
      <c r="L2148" s="560" t="n">
        <v>8760</v>
      </c>
      <c r="O2148" s="561" t="n"/>
    </row>
    <row r="2149" ht="17.25" customHeight="1" s="453" thickBot="1">
      <c r="A2149" s="553">
        <f>IFERROR(LEFT(B2149,7),"")</f>
        <v/>
      </c>
      <c r="B2149" s="554">
        <f>"2026/05"&amp;D2149</f>
        <v/>
      </c>
      <c r="C2149" s="559" t="n">
        <v>114</v>
      </c>
      <c r="D2149" s="484" t="inlineStr">
        <is>
          <t>忠孝7樓</t>
        </is>
      </c>
      <c r="E2149" s="484" t="inlineStr">
        <is>
          <t>6140005</t>
        </is>
      </c>
      <c r="F2149" s="551" t="n"/>
      <c r="G2149" s="484" t="inlineStr">
        <is>
          <t>(V)奇蹟肉毒/ u，200倍數下單</t>
        </is>
      </c>
      <c r="H2149" s="552" t="n"/>
      <c r="I2149" s="552" t="n"/>
      <c r="J2149" s="551" t="n"/>
      <c r="K2149" s="140" t="inlineStr">
        <is>
          <t>200U/瓶</t>
        </is>
      </c>
      <c r="L2149" s="560" t="n">
        <v>7007</v>
      </c>
      <c r="O2149" s="561" t="n"/>
    </row>
    <row r="2150" ht="17.25" customHeight="1" s="453" thickBot="1">
      <c r="A2150" s="553">
        <f>IFERROR(LEFT(B2150,7),"")</f>
        <v/>
      </c>
      <c r="B2150" s="554">
        <f>"2026/05"&amp;D2150</f>
        <v/>
      </c>
      <c r="C2150" s="559" t="n">
        <v>115</v>
      </c>
      <c r="D2150" s="484" t="inlineStr">
        <is>
          <t>忠孝7樓</t>
        </is>
      </c>
      <c r="E2150" s="484" t="inlineStr">
        <is>
          <t>6150001</t>
        </is>
      </c>
      <c r="F2150" s="551" t="n"/>
      <c r="G2150" s="484" t="inlineStr">
        <is>
          <t>(V)喬雅登-豐麗緹玻尿酸植入物Voluma 1ml</t>
        </is>
      </c>
      <c r="H2150" s="552" t="n"/>
      <c r="I2150" s="552" t="n"/>
      <c r="J2150" s="551" t="n"/>
      <c r="K2150" s="140" t="inlineStr">
        <is>
          <t>1ml(2ml/盒)</t>
        </is>
      </c>
      <c r="L2150" s="560" t="n">
        <v>120</v>
      </c>
      <c r="O2150" s="561" t="n"/>
    </row>
    <row r="2151" ht="17.25" customHeight="1" s="453" thickBot="1">
      <c r="A2151" s="553">
        <f>IFERROR(LEFT(B2151,7),"")</f>
        <v/>
      </c>
      <c r="B2151" s="554">
        <f>"2026/05"&amp;D2151</f>
        <v/>
      </c>
      <c r="C2151" s="559" t="n">
        <v>116</v>
      </c>
      <c r="D2151" s="484" t="inlineStr">
        <is>
          <t>忠孝7樓</t>
        </is>
      </c>
      <c r="E2151" s="484" t="inlineStr">
        <is>
          <t>6150002</t>
        </is>
      </c>
      <c r="F2151" s="551" t="n"/>
      <c r="G2151" s="484" t="inlineStr">
        <is>
          <t>(V)喬雅登-夢蓓菈玻尿酸植入物Volbella 1ml</t>
        </is>
      </c>
      <c r="H2151" s="552" t="n"/>
      <c r="I2151" s="552" t="n"/>
      <c r="J2151" s="551" t="n"/>
      <c r="K2151" s="140" t="inlineStr">
        <is>
          <t>1ml(2ml/盒)</t>
        </is>
      </c>
      <c r="L2151" s="560" t="n">
        <v>18</v>
      </c>
      <c r="O2151" s="561" t="n"/>
    </row>
    <row r="2152" ht="17.25" customHeight="1" s="453" thickBot="1">
      <c r="A2152" s="553">
        <f>IFERROR(LEFT(B2152,7),"")</f>
        <v/>
      </c>
      <c r="B2152" s="554">
        <f>"2026/05"&amp;D2152</f>
        <v/>
      </c>
      <c r="C2152" s="559" t="n">
        <v>117</v>
      </c>
      <c r="D2152" s="484" t="inlineStr">
        <is>
          <t>忠孝7樓</t>
        </is>
      </c>
      <c r="E2152" s="484" t="inlineStr">
        <is>
          <t>6150003</t>
        </is>
      </c>
      <c r="F2152" s="551" t="n"/>
      <c r="G2152" s="484" t="inlineStr">
        <is>
          <t>(V)喬雅登-豐麗緹玻尿酸植入物Volift 1ml</t>
        </is>
      </c>
      <c r="H2152" s="552" t="n"/>
      <c r="I2152" s="552" t="n"/>
      <c r="J2152" s="551" t="n"/>
      <c r="K2152" s="140" t="inlineStr">
        <is>
          <t>1ml(2ml/盒)</t>
        </is>
      </c>
      <c r="L2152" s="560" t="n">
        <v>10</v>
      </c>
      <c r="O2152" s="561" t="n"/>
    </row>
    <row r="2153" ht="17.25" customHeight="1" s="453" thickBot="1">
      <c r="A2153" s="553">
        <f>IFERROR(LEFT(B2153,7),"")</f>
        <v/>
      </c>
      <c r="B2153" s="554">
        <f>"2026/05"&amp;D2153</f>
        <v/>
      </c>
      <c r="C2153" s="559" t="n">
        <v>118</v>
      </c>
      <c r="D2153" s="484" t="inlineStr">
        <is>
          <t>忠孝7樓</t>
        </is>
      </c>
      <c r="E2153" s="484" t="inlineStr">
        <is>
          <t>6150004</t>
        </is>
      </c>
      <c r="F2153" s="551" t="n"/>
      <c r="G2153" s="484" t="inlineStr">
        <is>
          <t>(V)喬雅登-豐塑玻尿酸植入物Volux 1ml</t>
        </is>
      </c>
      <c r="H2153" s="552" t="n"/>
      <c r="I2153" s="552" t="n"/>
      <c r="J2153" s="551" t="n"/>
      <c r="K2153" s="140" t="inlineStr">
        <is>
          <t>1ml(2ml/盒)</t>
        </is>
      </c>
      <c r="L2153" s="560" t="n">
        <v>26</v>
      </c>
      <c r="O2153" s="561" t="n"/>
    </row>
    <row r="2154" ht="17.25" customHeight="1" s="453" thickBot="1">
      <c r="A2154" s="553">
        <f>IFERROR(LEFT(B2154,7),"")</f>
        <v/>
      </c>
      <c r="B2154" s="554">
        <f>"2026/05"&amp;D2154</f>
        <v/>
      </c>
      <c r="C2154" s="559" t="n">
        <v>119</v>
      </c>
      <c r="D2154" s="484" t="inlineStr">
        <is>
          <t>忠孝7樓</t>
        </is>
      </c>
      <c r="E2154" s="484" t="inlineStr">
        <is>
          <t>6150010</t>
        </is>
      </c>
      <c r="F2154" s="551" t="n"/>
      <c r="G2154" s="484" t="inlineStr">
        <is>
          <t>(V)仙女玻尿酸大分子 1ml</t>
        </is>
      </c>
      <c r="H2154" s="552" t="n"/>
      <c r="I2154" s="552" t="n"/>
      <c r="J2154" s="551" t="n"/>
      <c r="K2154" s="140" t="inlineStr">
        <is>
          <t>1ml(1ml/盒)</t>
        </is>
      </c>
      <c r="L2154" s="560" t="n">
        <v>26</v>
      </c>
      <c r="O2154" s="561" t="n"/>
    </row>
    <row r="2155" ht="17.25" customHeight="1" s="453" thickBot="1">
      <c r="A2155" s="553">
        <f>IFERROR(LEFT(B2155,7),"")</f>
        <v/>
      </c>
      <c r="B2155" s="554">
        <f>"2026/05"&amp;D2155</f>
        <v/>
      </c>
      <c r="C2155" s="559" t="n">
        <v>120</v>
      </c>
      <c r="D2155" s="484" t="inlineStr">
        <is>
          <t>忠孝7樓</t>
        </is>
      </c>
      <c r="E2155" s="484" t="inlineStr">
        <is>
          <t>6150011</t>
        </is>
      </c>
      <c r="F2155" s="551" t="n"/>
      <c r="G2155" s="484" t="inlineStr">
        <is>
          <t>(V)仙女玻尿酸小分子 1ml</t>
        </is>
      </c>
      <c r="H2155" s="552" t="n"/>
      <c r="I2155" s="552" t="n"/>
      <c r="J2155" s="551" t="n"/>
      <c r="K2155" s="140" t="inlineStr">
        <is>
          <t>1ml(1ml/盒)</t>
        </is>
      </c>
      <c r="L2155" s="560" t="n">
        <v>7</v>
      </c>
      <c r="O2155" s="561" t="n"/>
    </row>
    <row r="2156" ht="17.25" customHeight="1" s="453" thickBot="1">
      <c r="A2156" s="553">
        <f>IFERROR(LEFT(B2156,7),"")</f>
        <v/>
      </c>
      <c r="B2156" s="554">
        <f>"2026/05"&amp;D2156</f>
        <v/>
      </c>
      <c r="C2156" s="559" t="n">
        <v>121</v>
      </c>
      <c r="D2156" s="484" t="inlineStr">
        <is>
          <t>忠孝7樓</t>
        </is>
      </c>
      <c r="E2156" s="484" t="inlineStr">
        <is>
          <t>6150013</t>
        </is>
      </c>
      <c r="F2156" s="551" t="n"/>
      <c r="G2156" s="484" t="inlineStr">
        <is>
          <t>(V)逆時針(璞菲洛)2cc/支</t>
        </is>
      </c>
      <c r="H2156" s="552" t="n"/>
      <c r="I2156" s="552" t="n"/>
      <c r="J2156" s="551" t="n"/>
      <c r="K2156" s="140" t="inlineStr">
        <is>
          <t>1ml(1ml/盒)</t>
        </is>
      </c>
      <c r="L2156" s="560" t="n">
        <v>18</v>
      </c>
      <c r="O2156" s="561" t="n"/>
    </row>
    <row r="2157" ht="17.25" customHeight="1" s="453" thickBot="1">
      <c r="A2157" s="553">
        <f>IFERROR(LEFT(B2157,7),"")</f>
        <v/>
      </c>
      <c r="B2157" s="554">
        <f>"2026/05"&amp;D2157</f>
        <v/>
      </c>
      <c r="C2157" s="559" t="n">
        <v>122</v>
      </c>
      <c r="D2157" s="484" t="inlineStr">
        <is>
          <t>忠孝7樓</t>
        </is>
      </c>
      <c r="E2157" s="484" t="inlineStr">
        <is>
          <t>6150015</t>
        </is>
      </c>
      <c r="F2157" s="551" t="n"/>
      <c r="G2157" s="484" t="inlineStr">
        <is>
          <t>(V)喬雅登絲漾膚玻尿酸植入物Skinvive 1ml/支(2倍數叫貨)</t>
        </is>
      </c>
      <c r="H2157" s="552" t="n"/>
      <c r="I2157" s="552" t="n"/>
      <c r="J2157" s="551" t="n"/>
      <c r="K2157" s="140" t="inlineStr">
        <is>
          <t>1ml(2ml/盒)</t>
        </is>
      </c>
      <c r="L2157" s="560" t="n">
        <v>3</v>
      </c>
      <c r="O2157" s="561" t="n"/>
    </row>
    <row r="2158" ht="17.25" customHeight="1" s="453" thickBot="1">
      <c r="A2158" s="553">
        <f>IFERROR(LEFT(B2158,7),"")</f>
        <v/>
      </c>
      <c r="B2158" s="554">
        <f>"2026/05"&amp;D2158</f>
        <v/>
      </c>
      <c r="C2158" s="559" t="n">
        <v>123</v>
      </c>
      <c r="D2158" s="484" t="inlineStr">
        <is>
          <t>忠孝7樓</t>
        </is>
      </c>
      <c r="E2158" s="484" t="inlineStr">
        <is>
          <t>6160002</t>
        </is>
      </c>
      <c r="F2158" s="551" t="n"/>
      <c r="G2158" s="484" t="inlineStr">
        <is>
          <t>(V)洢蓮絲植入劑ELLANSÉ-S 1ml/ 支(2倍數叫貨)</t>
        </is>
      </c>
      <c r="H2158" s="552" t="n"/>
      <c r="I2158" s="552" t="n"/>
      <c r="J2158" s="551" t="n"/>
      <c r="K2158" s="140" t="inlineStr">
        <is>
          <t>1ml(2ml/盒)</t>
        </is>
      </c>
      <c r="L2158" s="560" t="n">
        <v>44</v>
      </c>
      <c r="O2158" s="561" t="n"/>
    </row>
    <row r="2159" ht="17.25" customHeight="1" s="453" thickBot="1">
      <c r="A2159" s="553">
        <f>IFERROR(LEFT(B2159,7),"")</f>
        <v/>
      </c>
      <c r="B2159" s="554">
        <f>"2026/05"&amp;D2159</f>
        <v/>
      </c>
      <c r="C2159" s="559" t="n">
        <v>124</v>
      </c>
      <c r="D2159" s="484" t="inlineStr">
        <is>
          <t>忠孝7樓</t>
        </is>
      </c>
      <c r="E2159" s="484" t="inlineStr">
        <is>
          <t>6160003</t>
        </is>
      </c>
      <c r="F2159" s="551" t="n"/>
      <c r="G2159" s="484" t="inlineStr">
        <is>
          <t>(V)洢蓮絲植入劑ELLANSÉ-M 1ml/ 支(2倍數叫貨)</t>
        </is>
      </c>
      <c r="H2159" s="552" t="n"/>
      <c r="I2159" s="552" t="n"/>
      <c r="J2159" s="551" t="n"/>
      <c r="K2159" s="140" t="inlineStr">
        <is>
          <t>1ml(2ml/盒)</t>
        </is>
      </c>
      <c r="L2159" s="560" t="n">
        <v>35</v>
      </c>
      <c r="O2159" s="561" t="n"/>
    </row>
    <row r="2160" ht="17.25" customHeight="1" s="453" thickBot="1">
      <c r="A2160" s="553">
        <f>IFERROR(LEFT(B2160,7),"")</f>
        <v/>
      </c>
      <c r="B2160" s="554">
        <f>"2026/05"&amp;D2160</f>
        <v/>
      </c>
      <c r="C2160" s="559" t="n">
        <v>125</v>
      </c>
      <c r="D2160" s="484" t="inlineStr">
        <is>
          <t>忠孝7樓</t>
        </is>
      </c>
      <c r="E2160" s="484" t="inlineStr">
        <is>
          <t>6160005</t>
        </is>
      </c>
      <c r="F2160" s="551" t="n"/>
      <c r="G2160" s="484" t="inlineStr">
        <is>
          <t>(V)双美熊貓針</t>
        </is>
      </c>
      <c r="H2160" s="552" t="n"/>
      <c r="I2160" s="552" t="n"/>
      <c r="J2160" s="551" t="n"/>
      <c r="K2160" s="140" t="inlineStr">
        <is>
          <t>(1ml/盒)</t>
        </is>
      </c>
      <c r="L2160" s="560" t="n">
        <v>22</v>
      </c>
      <c r="O2160" s="561" t="n"/>
    </row>
    <row r="2161" ht="17.25" customHeight="1" s="453" thickBot="1">
      <c r="A2161" s="553">
        <f>IFERROR(LEFT(B2161,7),"")</f>
        <v/>
      </c>
      <c r="B2161" s="554">
        <f>"2026/05"&amp;D2161</f>
        <v/>
      </c>
      <c r="C2161" s="559" t="n">
        <v>126</v>
      </c>
      <c r="D2161" s="484" t="inlineStr">
        <is>
          <t>忠孝7樓</t>
        </is>
      </c>
      <c r="E2161" s="484" t="inlineStr">
        <is>
          <t>6160008</t>
        </is>
      </c>
      <c r="F2161" s="551" t="n"/>
      <c r="G2161" s="484" t="inlineStr">
        <is>
          <t>(V)薇貝拉50mg小分子/ 1cc</t>
        </is>
      </c>
      <c r="H2161" s="552" t="n"/>
      <c r="I2161" s="552" t="n"/>
      <c r="J2161" s="551" t="n"/>
      <c r="K2161" s="140" t="inlineStr">
        <is>
          <t>6cc/瓶</t>
        </is>
      </c>
      <c r="L2161" s="560" t="n">
        <v>166</v>
      </c>
      <c r="O2161" s="561" t="n"/>
    </row>
    <row r="2162" ht="17.25" customHeight="1" s="453" thickBot="1">
      <c r="A2162" s="553">
        <f>IFERROR(LEFT(B2162,7),"")</f>
        <v/>
      </c>
      <c r="B2162" s="554">
        <f>"2026/05"&amp;D2162</f>
        <v/>
      </c>
      <c r="C2162" s="559" t="n">
        <v>127</v>
      </c>
      <c r="D2162" s="484" t="inlineStr">
        <is>
          <t>忠孝7樓</t>
        </is>
      </c>
      <c r="E2162" s="484" t="inlineStr">
        <is>
          <t>6160009</t>
        </is>
      </c>
      <c r="F2162" s="551" t="n"/>
      <c r="G2162" s="484" t="inlineStr">
        <is>
          <t>(V)薇貝拉200mg大分子/ 1cc</t>
        </is>
      </c>
      <c r="H2162" s="552" t="n"/>
      <c r="I2162" s="552" t="n"/>
      <c r="J2162" s="551" t="n"/>
      <c r="K2162" s="140" t="inlineStr">
        <is>
          <t>8cc/瓶</t>
        </is>
      </c>
      <c r="L2162" s="560" t="n">
        <v>25</v>
      </c>
      <c r="O2162" s="561" t="n"/>
    </row>
    <row r="2163" ht="17.25" customHeight="1" s="453" thickBot="1">
      <c r="A2163" s="553">
        <f>IFERROR(LEFT(B2163,7),"")</f>
        <v/>
      </c>
      <c r="B2163" s="554">
        <f>"2026/05"&amp;D2163</f>
        <v/>
      </c>
      <c r="C2163" s="559" t="n">
        <v>128</v>
      </c>
      <c r="D2163" s="484" t="inlineStr">
        <is>
          <t>忠孝7樓</t>
        </is>
      </c>
      <c r="E2163" s="484" t="inlineStr">
        <is>
          <t>6160010</t>
        </is>
      </c>
      <c r="F2163" s="551" t="n"/>
      <c r="G2163" s="484" t="inlineStr">
        <is>
          <t>(V)喬雅露-大分子200mg/ 1cc(8倍數叫貨)</t>
        </is>
      </c>
      <c r="H2163" s="552" t="n"/>
      <c r="I2163" s="552" t="n"/>
      <c r="J2163" s="551" t="n"/>
      <c r="K2163" s="140" t="inlineStr">
        <is>
          <t>8cc/瓶</t>
        </is>
      </c>
      <c r="L2163" s="560" t="n">
        <v>97</v>
      </c>
      <c r="O2163" s="561" t="n"/>
    </row>
    <row r="2164" ht="17.25" customHeight="1" s="453" thickBot="1">
      <c r="A2164" s="553">
        <f>IFERROR(LEFT(B2164,7),"")</f>
        <v/>
      </c>
      <c r="B2164" s="554">
        <f>"2026/05"&amp;D2164</f>
        <v/>
      </c>
      <c r="C2164" s="559" t="n">
        <v>129</v>
      </c>
      <c r="D2164" s="484" t="inlineStr">
        <is>
          <t>忠孝7樓</t>
        </is>
      </c>
      <c r="E2164" s="484" t="inlineStr">
        <is>
          <t>6160011</t>
        </is>
      </c>
      <c r="F2164" s="551" t="n"/>
      <c r="G2164" s="484" t="inlineStr">
        <is>
          <t>(V)喬雅露-小分子50mg/ 1cc(6倍數叫貨)</t>
        </is>
      </c>
      <c r="H2164" s="552" t="n"/>
      <c r="I2164" s="552" t="n"/>
      <c r="J2164" s="551" t="n"/>
      <c r="K2164" s="140" t="inlineStr">
        <is>
          <t>6cc/瓶</t>
        </is>
      </c>
      <c r="L2164" s="560" t="n">
        <v>853</v>
      </c>
      <c r="O2164" s="561" t="n"/>
    </row>
    <row r="2165" ht="17.25" customHeight="1" s="453" thickBot="1">
      <c r="A2165" s="553">
        <f>IFERROR(LEFT(B2165,7),"")</f>
        <v/>
      </c>
      <c r="B2165" s="554">
        <f>"2026/05"&amp;D2165</f>
        <v/>
      </c>
      <c r="C2165" s="559" t="n">
        <v>130</v>
      </c>
      <c r="D2165" s="484" t="inlineStr">
        <is>
          <t>忠孝7樓</t>
        </is>
      </c>
      <c r="E2165" s="484" t="inlineStr">
        <is>
          <t>6170005</t>
        </is>
      </c>
      <c r="F2165" s="551" t="n"/>
      <c r="G2165" s="484" t="inlineStr">
        <is>
          <t>海芙三代音波探頭2mm/ 條</t>
        </is>
      </c>
      <c r="H2165" s="552" t="n"/>
      <c r="I2165" s="552" t="n"/>
      <c r="J2165" s="551" t="n"/>
      <c r="K2165" s="140" t="inlineStr">
        <is>
          <t>20099條/顆</t>
        </is>
      </c>
      <c r="L2165" s="560" t="n">
        <v>8673</v>
      </c>
      <c r="O2165" s="561" t="n"/>
    </row>
    <row r="2166" ht="17.25" customHeight="1" s="453" thickBot="1">
      <c r="A2166" s="553">
        <f>IFERROR(LEFT(B2166,7),"")</f>
        <v/>
      </c>
      <c r="B2166" s="554">
        <f>"2026/05"&amp;D2166</f>
        <v/>
      </c>
      <c r="C2166" s="559" t="n">
        <v>131</v>
      </c>
      <c r="D2166" s="484" t="inlineStr">
        <is>
          <t>忠孝7樓</t>
        </is>
      </c>
      <c r="E2166" s="484" t="inlineStr">
        <is>
          <t>6170007</t>
        </is>
      </c>
      <c r="F2166" s="551" t="n"/>
      <c r="G2166" s="484" t="inlineStr">
        <is>
          <t>海芙三代音波探頭3mm/ 條</t>
        </is>
      </c>
      <c r="H2166" s="552" t="n"/>
      <c r="I2166" s="552" t="n"/>
      <c r="J2166" s="551" t="n"/>
      <c r="K2166" s="140" t="inlineStr">
        <is>
          <t>20099條/顆</t>
        </is>
      </c>
      <c r="L2166" s="560" t="n">
        <v>32711</v>
      </c>
      <c r="O2166" s="561" t="n"/>
    </row>
    <row r="2167" ht="17.25" customHeight="1" s="453" thickBot="1">
      <c r="A2167" s="553">
        <f>IFERROR(LEFT(B2167,7),"")</f>
        <v/>
      </c>
      <c r="B2167" s="554">
        <f>"2026/05"&amp;D2167</f>
        <v/>
      </c>
      <c r="C2167" s="559" t="n">
        <v>132</v>
      </c>
      <c r="D2167" s="484" t="inlineStr">
        <is>
          <t>忠孝7樓</t>
        </is>
      </c>
      <c r="E2167" s="484" t="inlineStr">
        <is>
          <t>6170009</t>
        </is>
      </c>
      <c r="F2167" s="551" t="n"/>
      <c r="G2167" s="484" t="inlineStr">
        <is>
          <t>海芙三代音波探頭4.5mm/ 條</t>
        </is>
      </c>
      <c r="H2167" s="552" t="n"/>
      <c r="I2167" s="552" t="n"/>
      <c r="J2167" s="551" t="n"/>
      <c r="K2167" s="140" t="inlineStr">
        <is>
          <t>20099條/顆</t>
        </is>
      </c>
      <c r="L2167" s="560" t="n">
        <v>52045</v>
      </c>
      <c r="O2167" s="561" t="n"/>
    </row>
    <row r="2168" ht="17.25" customHeight="1" s="453" thickBot="1">
      <c r="A2168" s="553">
        <f>IFERROR(LEFT(B2168,7),"")</f>
        <v/>
      </c>
      <c r="B2168" s="554">
        <f>"2026/05"&amp;D2168</f>
        <v/>
      </c>
      <c r="C2168" s="559" t="n">
        <v>133</v>
      </c>
      <c r="D2168" s="484" t="inlineStr">
        <is>
          <t>忠孝7樓</t>
        </is>
      </c>
      <c r="E2168" s="484" t="inlineStr">
        <is>
          <t>6170011</t>
        </is>
      </c>
      <c r="F2168" s="551" t="n"/>
      <c r="G2168" s="484" t="inlineStr">
        <is>
          <t>海芙三代音波探頭6mm/ 條</t>
        </is>
      </c>
      <c r="H2168" s="552" t="n"/>
      <c r="I2168" s="552" t="n"/>
      <c r="J2168" s="551" t="n"/>
      <c r="K2168" s="140" t="inlineStr">
        <is>
          <t>30,099條/顆</t>
        </is>
      </c>
      <c r="L2168" s="560" t="n">
        <v>13375</v>
      </c>
      <c r="O2168" s="561" t="n"/>
    </row>
    <row r="2169" ht="17.25" customHeight="1" s="453" thickBot="1">
      <c r="A2169" s="553">
        <f>IFERROR(LEFT(B2169,7),"")</f>
        <v/>
      </c>
      <c r="B2169" s="554">
        <f>"2026/05"&amp;D2169</f>
        <v/>
      </c>
      <c r="C2169" s="559" t="n">
        <v>134</v>
      </c>
      <c r="D2169" s="484" t="inlineStr">
        <is>
          <t>忠孝7樓</t>
        </is>
      </c>
      <c r="E2169" s="484" t="inlineStr">
        <is>
          <t>6170013</t>
        </is>
      </c>
      <c r="F2169" s="551" t="n"/>
      <c r="G2169" s="484" t="inlineStr">
        <is>
          <t>鳳凰電波4平方公分紫鑽探頭(900發)</t>
        </is>
      </c>
      <c r="H2169" s="552" t="n"/>
      <c r="I2169" s="552" t="n"/>
      <c r="J2169" s="551" t="n"/>
      <c r="K2169" s="140" t="inlineStr">
        <is>
          <t>顆</t>
        </is>
      </c>
      <c r="L2169" s="560" t="n">
        <v>22</v>
      </c>
      <c r="O2169" s="561" t="n"/>
    </row>
    <row r="2170" ht="17.25" customHeight="1" s="453" thickBot="1">
      <c r="A2170" s="553">
        <f>IFERROR(LEFT(B2170,7),"")</f>
        <v/>
      </c>
      <c r="B2170" s="554">
        <f>"2026/05"&amp;D2170</f>
        <v/>
      </c>
      <c r="C2170" s="559" t="n">
        <v>135</v>
      </c>
      <c r="D2170" s="484" t="inlineStr">
        <is>
          <t>忠孝7樓</t>
        </is>
      </c>
      <c r="E2170" s="484" t="inlineStr">
        <is>
          <t>6170014</t>
        </is>
      </c>
      <c r="F2170" s="551" t="n"/>
      <c r="G2170" s="484" t="inlineStr">
        <is>
          <t>鳳凰電波0.25平方公分碧眼探頭(450發)</t>
        </is>
      </c>
      <c r="H2170" s="552" t="n"/>
      <c r="I2170" s="552" t="n"/>
      <c r="J2170" s="551" t="n"/>
      <c r="K2170" s="140" t="inlineStr">
        <is>
          <t>顆</t>
        </is>
      </c>
      <c r="L2170" s="560" t="n">
        <v>20</v>
      </c>
      <c r="O2170" s="561" t="n"/>
    </row>
    <row r="2171" ht="17.25" customHeight="1" s="453" thickBot="1">
      <c r="A2171" s="553">
        <f>IFERROR(LEFT(B2171,7),"")</f>
        <v/>
      </c>
      <c r="B2171" s="554">
        <f>"2026/05"&amp;D2171</f>
        <v/>
      </c>
      <c r="C2171" s="559" t="n">
        <v>136</v>
      </c>
      <c r="D2171" s="484" t="inlineStr">
        <is>
          <t>忠孝7樓</t>
        </is>
      </c>
      <c r="E2171" s="484" t="inlineStr">
        <is>
          <t>6170019</t>
        </is>
      </c>
      <c r="F2171" s="551" t="n"/>
      <c r="G2171" s="484" t="inlineStr">
        <is>
          <t>媚必提直線探頭2.0mm/條</t>
        </is>
      </c>
      <c r="H2171" s="552" t="n"/>
      <c r="I2171" s="552" t="n"/>
      <c r="J2171" s="551" t="n"/>
      <c r="K2171" s="140" t="inlineStr">
        <is>
          <t>20,099條/顆</t>
        </is>
      </c>
      <c r="L2171" s="560" t="n">
        <v>3921</v>
      </c>
      <c r="O2171" s="561" t="n"/>
    </row>
    <row r="2172" ht="17.25" customHeight="1" s="453" thickBot="1">
      <c r="A2172" s="553">
        <f>IFERROR(LEFT(B2172,7),"")</f>
        <v/>
      </c>
      <c r="B2172" s="554">
        <f>"2026/05"&amp;D2172</f>
        <v/>
      </c>
      <c r="C2172" s="559" t="n">
        <v>137</v>
      </c>
      <c r="D2172" s="484" t="inlineStr">
        <is>
          <t>忠孝7樓</t>
        </is>
      </c>
      <c r="E2172" s="484" t="inlineStr">
        <is>
          <t>6170020</t>
        </is>
      </c>
      <c r="F2172" s="551" t="n"/>
      <c r="G2172" s="484" t="inlineStr">
        <is>
          <t>媚必提直線探頭3.0mm/條</t>
        </is>
      </c>
      <c r="H2172" s="552" t="n"/>
      <c r="I2172" s="552" t="n"/>
      <c r="J2172" s="551" t="n"/>
      <c r="K2172" s="140" t="inlineStr">
        <is>
          <t>20,099條/顆</t>
        </is>
      </c>
      <c r="L2172" s="560" t="n">
        <v>11742</v>
      </c>
      <c r="O2172" s="561" t="n"/>
    </row>
    <row r="2173" ht="17.25" customHeight="1" s="453" thickBot="1">
      <c r="A2173" s="553">
        <f>IFERROR(LEFT(B2173,7),"")</f>
        <v/>
      </c>
      <c r="B2173" s="554">
        <f>"2026/05"&amp;D2173</f>
        <v/>
      </c>
      <c r="C2173" s="559" t="n">
        <v>138</v>
      </c>
      <c r="D2173" s="484" t="inlineStr">
        <is>
          <t>忠孝7樓</t>
        </is>
      </c>
      <c r="E2173" s="484" t="inlineStr">
        <is>
          <t>6170021</t>
        </is>
      </c>
      <c r="F2173" s="551" t="n"/>
      <c r="G2173" s="484" t="inlineStr">
        <is>
          <t>媚必提直線探頭4.5mm/條</t>
        </is>
      </c>
      <c r="H2173" s="552" t="n"/>
      <c r="I2173" s="552" t="n"/>
      <c r="J2173" s="551" t="n"/>
      <c r="K2173" s="140" t="inlineStr">
        <is>
          <t>20,099條/顆</t>
        </is>
      </c>
      <c r="L2173" s="560" t="n">
        <v>29115</v>
      </c>
      <c r="O2173" s="561" t="n"/>
    </row>
    <row r="2174" ht="17.25" customHeight="1" s="453" thickBot="1">
      <c r="A2174" s="553">
        <f>IFERROR(LEFT(B2174,7),"")</f>
        <v/>
      </c>
      <c r="B2174" s="554">
        <f>"2026/05"&amp;D2174</f>
        <v/>
      </c>
      <c r="C2174" s="559" t="n">
        <v>139</v>
      </c>
      <c r="D2174" s="484" t="inlineStr">
        <is>
          <t>忠孝7樓</t>
        </is>
      </c>
      <c r="E2174" s="484" t="inlineStr">
        <is>
          <t>6170022</t>
        </is>
      </c>
      <c r="F2174" s="551" t="n"/>
      <c r="G2174" s="484" t="inlineStr">
        <is>
          <t>媚必提直線探頭6.0mm/條</t>
        </is>
      </c>
      <c r="H2174" s="552" t="n"/>
      <c r="I2174" s="552" t="n"/>
      <c r="J2174" s="551" t="n"/>
      <c r="K2174" s="140" t="inlineStr">
        <is>
          <t>20,099條/顆</t>
        </is>
      </c>
      <c r="L2174" s="560" t="n">
        <v>12148</v>
      </c>
      <c r="O2174" s="561" t="n"/>
    </row>
    <row r="2175" ht="17.25" customHeight="1" s="453" thickBot="1">
      <c r="A2175" s="553">
        <f>IFERROR(LEFT(B2175,7),"")</f>
        <v/>
      </c>
      <c r="B2175" s="554">
        <f>"2026/05"&amp;D2175</f>
        <v/>
      </c>
      <c r="C2175" s="559" t="n">
        <v>140</v>
      </c>
      <c r="D2175" s="484" t="inlineStr">
        <is>
          <t>忠孝7樓</t>
        </is>
      </c>
      <c r="E2175" s="484" t="inlineStr">
        <is>
          <t>6170025</t>
        </is>
      </c>
      <c r="F2175" s="551" t="n"/>
      <c r="G2175" s="484" t="inlineStr">
        <is>
          <t>媚必提圓周探頭1.5mm/條</t>
        </is>
      </c>
      <c r="H2175" s="552" t="n"/>
      <c r="I2175" s="552" t="n"/>
      <c r="J2175" s="551" t="n"/>
      <c r="K2175" s="140" t="inlineStr">
        <is>
          <t>20,099條/顆</t>
        </is>
      </c>
      <c r="L2175" s="560" t="n">
        <v>3447</v>
      </c>
      <c r="O2175" s="561" t="n"/>
    </row>
    <row r="2176" ht="17.25" customHeight="1" s="453" thickBot="1">
      <c r="A2176" s="553">
        <f>IFERROR(LEFT(B2176,7),"")</f>
        <v/>
      </c>
      <c r="B2176" s="554">
        <f>"2026/05"&amp;D2176</f>
        <v/>
      </c>
      <c r="C2176" s="559" t="n">
        <v>141</v>
      </c>
      <c r="D2176" s="484" t="inlineStr">
        <is>
          <t>忠孝7樓</t>
        </is>
      </c>
      <c r="E2176" s="484" t="inlineStr">
        <is>
          <t>6170030</t>
        </is>
      </c>
      <c r="F2176" s="551" t="n"/>
      <c r="G2176" s="484" t="inlineStr">
        <is>
          <t>海芙電波探頭4.0cm/發</t>
        </is>
      </c>
      <c r="H2176" s="552" t="n"/>
      <c r="I2176" s="552" t="n"/>
      <c r="J2176" s="551" t="n"/>
      <c r="K2176" s="140" t="inlineStr">
        <is>
          <t>3,050發/顆</t>
        </is>
      </c>
      <c r="L2176" s="560" t="n">
        <v>19900</v>
      </c>
      <c r="O2176" s="561" t="n"/>
    </row>
    <row r="2177" ht="17.25" customHeight="1" s="453" thickBot="1">
      <c r="A2177" s="553">
        <f>IFERROR(LEFT(B2177,7),"")</f>
        <v/>
      </c>
      <c r="B2177" s="554">
        <f>"2026/05"&amp;D2177</f>
        <v/>
      </c>
      <c r="C2177" s="559" t="n">
        <v>142</v>
      </c>
      <c r="D2177" s="484" t="inlineStr">
        <is>
          <t>忠孝7樓</t>
        </is>
      </c>
      <c r="E2177" s="484" t="inlineStr">
        <is>
          <t>6170032</t>
        </is>
      </c>
      <c r="F2177" s="551" t="n"/>
      <c r="G2177" s="484" t="inlineStr">
        <is>
          <t>立特拉A2筆型探頭3.0mm/ 條</t>
        </is>
      </c>
      <c r="H2177" s="552" t="n"/>
      <c r="I2177" s="552" t="n"/>
      <c r="J2177" s="551" t="n"/>
      <c r="K2177" s="140" t="inlineStr">
        <is>
          <t>240,500條/顆</t>
        </is>
      </c>
      <c r="L2177" s="560" t="n">
        <v>195615</v>
      </c>
      <c r="O2177" s="561" t="n"/>
    </row>
    <row r="2178" ht="17.25" customHeight="1" s="453" thickBot="1">
      <c r="A2178" s="553">
        <f>IFERROR(LEFT(B2178,7),"")</f>
        <v/>
      </c>
      <c r="B2178" s="554">
        <f>"2026/05"&amp;D2178</f>
        <v/>
      </c>
      <c r="C2178" s="559" t="n">
        <v>143</v>
      </c>
      <c r="D2178" s="484" t="inlineStr">
        <is>
          <t>忠孝7樓</t>
        </is>
      </c>
      <c r="E2178" s="484" t="inlineStr">
        <is>
          <t>6170033</t>
        </is>
      </c>
      <c r="F2178" s="551" t="n"/>
      <c r="G2178" s="484" t="inlineStr">
        <is>
          <t>立特拉A2筆型探頭4.5mm/ 條</t>
        </is>
      </c>
      <c r="H2178" s="552" t="n"/>
      <c r="I2178" s="552" t="n"/>
      <c r="J2178" s="551" t="n"/>
      <c r="K2178" s="140" t="inlineStr">
        <is>
          <t>240,500條/顆</t>
        </is>
      </c>
      <c r="L2178" s="560" t="n">
        <v>94888</v>
      </c>
      <c r="O2178" s="561" t="n"/>
    </row>
    <row r="2179" ht="17.25" customHeight="1" s="453" thickBot="1">
      <c r="A2179" s="553">
        <f>IFERROR(LEFT(B2179,7),"")</f>
        <v/>
      </c>
      <c r="B2179" s="554">
        <f>"2026/05"&amp;D2179</f>
        <v/>
      </c>
      <c r="C2179" s="559" t="n">
        <v>144</v>
      </c>
      <c r="D2179" s="484" t="inlineStr">
        <is>
          <t>忠孝7樓</t>
        </is>
      </c>
      <c r="E2179" s="484" t="inlineStr">
        <is>
          <t>6170034</t>
        </is>
      </c>
      <c r="F2179" s="551" t="n"/>
      <c r="G2179" s="484" t="inlineStr">
        <is>
          <t>十蓓電波臉部探頭5cm</t>
        </is>
      </c>
      <c r="H2179" s="552" t="n"/>
      <c r="I2179" s="552" t="n"/>
      <c r="J2179" s="551" t="n"/>
      <c r="K2179" s="140" t="inlineStr">
        <is>
          <t>900發/顆</t>
        </is>
      </c>
      <c r="L2179" s="560" t="n">
        <v>176500</v>
      </c>
      <c r="O2179" s="561" t="n"/>
    </row>
    <row r="2180" ht="17.25" customHeight="1" s="453" thickBot="1">
      <c r="A2180" s="553">
        <f>IFERROR(LEFT(B2180,7),"")</f>
        <v/>
      </c>
      <c r="B2180" s="554">
        <f>"2026/05"&amp;D2180</f>
        <v/>
      </c>
      <c r="C2180" s="559" t="n">
        <v>145</v>
      </c>
      <c r="D2180" s="484" t="inlineStr">
        <is>
          <t>忠孝7樓</t>
        </is>
      </c>
      <c r="E2180" s="484" t="inlineStr">
        <is>
          <t>6170035</t>
        </is>
      </c>
      <c r="F2180" s="551" t="n"/>
      <c r="G2180" s="484" t="inlineStr">
        <is>
          <t>十蓓電波眼部探頭0.25cm</t>
        </is>
      </c>
      <c r="H2180" s="552" t="n"/>
      <c r="I2180" s="552" t="n"/>
      <c r="J2180" s="551" t="n"/>
      <c r="K2180" s="140" t="inlineStr">
        <is>
          <t>600發/顆</t>
        </is>
      </c>
      <c r="L2180" s="560" t="n">
        <v>42300</v>
      </c>
      <c r="O2180" s="561" t="n"/>
    </row>
    <row r="2181" ht="17.25" customHeight="1" s="453" thickBot="1">
      <c r="A2181" s="553">
        <f>IFERROR(LEFT(B2181,7),"")</f>
        <v/>
      </c>
      <c r="B2181" s="554">
        <f>"2026/05"&amp;D2181</f>
        <v/>
      </c>
      <c r="C2181" s="559" t="n">
        <v>146</v>
      </c>
      <c r="D2181" s="484" t="inlineStr">
        <is>
          <t>忠孝7樓</t>
        </is>
      </c>
      <c r="E2181" s="484" t="inlineStr">
        <is>
          <t>6180007</t>
        </is>
      </c>
      <c r="F2181" s="551" t="n"/>
      <c r="G2181" s="484" t="inlineStr">
        <is>
          <t>(V)MINT秘特拉提線PETIT 15CM/ 條</t>
        </is>
      </c>
      <c r="H2181" s="552" t="n"/>
      <c r="I2181" s="552" t="n"/>
      <c r="J2181" s="551" t="n"/>
      <c r="K2181" s="140" t="inlineStr">
        <is>
          <t>20條/盒</t>
        </is>
      </c>
      <c r="L2181" s="560" t="n">
        <v>4</v>
      </c>
      <c r="O2181" s="561" t="n"/>
    </row>
    <row r="2182" ht="17.25" customHeight="1" s="453" thickBot="1">
      <c r="A2182" s="553">
        <f>IFERROR(LEFT(B2182,7),"")</f>
        <v/>
      </c>
      <c r="B2182" s="554">
        <f>"2026/05"&amp;D2182</f>
        <v/>
      </c>
      <c r="C2182" s="559" t="n">
        <v>147</v>
      </c>
      <c r="D2182" s="484" t="inlineStr">
        <is>
          <t>忠孝7樓</t>
        </is>
      </c>
      <c r="E2182" s="484" t="inlineStr">
        <is>
          <t>6180011</t>
        </is>
      </c>
      <c r="F2182" s="551" t="n"/>
      <c r="G2182" s="484" t="inlineStr">
        <is>
          <t>(V)MINT秘特拉提線UP 9.5CM/ 條</t>
        </is>
      </c>
      <c r="H2182" s="552" t="n"/>
      <c r="I2182" s="552" t="n"/>
      <c r="J2182" s="551" t="n"/>
      <c r="K2182" s="140" t="inlineStr">
        <is>
          <t>10條/盒</t>
        </is>
      </c>
      <c r="L2182" s="560" t="n">
        <v>4</v>
      </c>
      <c r="O2182" s="561" t="n"/>
    </row>
    <row r="2183" ht="17.25" customHeight="1" s="453" thickBot="1">
      <c r="A2183" s="553">
        <f>IFERROR(LEFT(B2183,7),"")</f>
        <v/>
      </c>
      <c r="B2183" s="554">
        <f>"2026/05"&amp;D2183</f>
        <v/>
      </c>
      <c r="C2183" s="559" t="n">
        <v>148</v>
      </c>
      <c r="D2183" s="484" t="inlineStr">
        <is>
          <t>忠孝7樓</t>
        </is>
      </c>
      <c r="E2183" s="484" t="inlineStr">
        <is>
          <t>6190001</t>
        </is>
      </c>
      <c r="F2183" s="551" t="n"/>
      <c r="G2183" s="484" t="inlineStr">
        <is>
          <t>PLT生長因子凍晶製備/ 瓶</t>
        </is>
      </c>
      <c r="H2183" s="552" t="n"/>
      <c r="I2183" s="552" t="n"/>
      <c r="J2183" s="551" t="n"/>
      <c r="K2183" s="140" t="inlineStr">
        <is>
          <t>瓶</t>
        </is>
      </c>
      <c r="L2183" s="560" t="n">
        <v>7</v>
      </c>
      <c r="O2183" s="561" t="n"/>
    </row>
    <row r="2184" ht="17.25" customHeight="1" s="453" thickBot="1">
      <c r="A2184" s="553">
        <f>IFERROR(LEFT(B2184,7),"")</f>
        <v/>
      </c>
      <c r="B2184" s="554">
        <f>"2026/05"&amp;D2184</f>
        <v/>
      </c>
      <c r="C2184" s="559" t="n">
        <v>149</v>
      </c>
      <c r="D2184" s="484" t="inlineStr">
        <is>
          <t>忠孝7樓</t>
        </is>
      </c>
      <c r="E2184" s="484" t="inlineStr">
        <is>
          <t>6190004</t>
        </is>
      </c>
      <c r="F2184" s="551" t="n"/>
      <c r="G2184" s="484" t="inlineStr">
        <is>
          <t>PLT生長因子凍晶製備20入(單瓶)</t>
        </is>
      </c>
      <c r="H2184" s="552" t="n"/>
      <c r="I2184" s="552" t="n"/>
      <c r="J2184" s="551" t="n"/>
      <c r="K2184" s="140" t="inlineStr">
        <is>
          <t>瓶(20入/組)</t>
        </is>
      </c>
      <c r="L2184" s="560" t="n">
        <v>59</v>
      </c>
      <c r="O2184" s="561" t="n"/>
    </row>
    <row r="2185" ht="17.25" customHeight="1" s="453" thickBot="1">
      <c r="A2185" s="553">
        <f>IFERROR(LEFT(B2185,7),"")</f>
        <v/>
      </c>
      <c r="B2185" s="554">
        <f>"2026/05"&amp;D2185</f>
        <v/>
      </c>
      <c r="C2185" s="559" t="n">
        <v>150</v>
      </c>
      <c r="D2185" s="484" t="inlineStr">
        <is>
          <t>忠孝7樓</t>
        </is>
      </c>
      <c r="E2185" s="484" t="inlineStr">
        <is>
          <t>6190006</t>
        </is>
      </c>
      <c r="F2185" s="551" t="n"/>
      <c r="G2185" s="484" t="inlineStr">
        <is>
          <t>(V)ExoPower 泌力機泌凍晶 5mg</t>
        </is>
      </c>
      <c r="H2185" s="552" t="n"/>
      <c r="I2185" s="552" t="n"/>
      <c r="J2185" s="551" t="n"/>
      <c r="K2185" s="140" t="inlineStr">
        <is>
          <t>瓶</t>
        </is>
      </c>
      <c r="L2185" s="560" t="n">
        <v>33</v>
      </c>
      <c r="O2185" s="561" t="n"/>
    </row>
    <row r="2186" ht="17.25" customHeight="1" s="453" thickBot="1">
      <c r="A2186" s="553">
        <f>IFERROR(LEFT(B2186,7),"")</f>
        <v/>
      </c>
      <c r="B2186" s="554">
        <f>"2026/05"&amp;D2186</f>
        <v/>
      </c>
      <c r="C2186" s="559" t="n">
        <v>151</v>
      </c>
      <c r="D2186" s="484" t="inlineStr">
        <is>
          <t>忠孝7樓</t>
        </is>
      </c>
      <c r="E2186" s="484" t="inlineStr">
        <is>
          <t>6200003</t>
        </is>
      </c>
      <c r="F2186" s="551" t="n"/>
      <c r="G2186" s="484" t="inlineStr">
        <is>
          <t>(V)倍克脂Belkyra/ 瓶(20的倍數下單)</t>
        </is>
      </c>
      <c r="H2186" s="552" t="n"/>
      <c r="I2186" s="552" t="n"/>
      <c r="J2186" s="551" t="n"/>
      <c r="K2186" s="140" t="inlineStr">
        <is>
          <t>4瓶/盒</t>
        </is>
      </c>
      <c r="L2186" s="560" t="n">
        <v>7</v>
      </c>
      <c r="O2186" s="561" t="n"/>
    </row>
    <row r="2187" ht="17.25" customHeight="1" s="453" thickBot="1">
      <c r="A2187" s="553">
        <f>IFERROR(LEFT(B2187,7),"")</f>
        <v/>
      </c>
      <c r="B2187" s="554">
        <f>"2026/05"&amp;D2187</f>
        <v/>
      </c>
      <c r="C2187" s="559" t="n">
        <v>152</v>
      </c>
      <c r="D2187" s="484" t="inlineStr">
        <is>
          <t>忠孝7樓</t>
        </is>
      </c>
      <c r="E2187" s="484" t="inlineStr">
        <is>
          <t>6200006</t>
        </is>
      </c>
      <c r="F2187" s="551" t="n"/>
      <c r="G2187" s="484" t="inlineStr">
        <is>
          <t>(V)容脂/ 瓶  (24倍數叫貨)</t>
        </is>
      </c>
      <c r="H2187" s="552" t="n"/>
      <c r="I2187" s="552" t="n"/>
      <c r="J2187" s="551" t="n"/>
      <c r="K2187" s="140" t="inlineStr">
        <is>
          <t>4瓶/盒</t>
        </is>
      </c>
      <c r="L2187" s="560" t="n">
        <v>6</v>
      </c>
      <c r="O2187" s="561" t="n"/>
    </row>
    <row r="2188" ht="17.25" customHeight="1" s="453" thickBot="1">
      <c r="A2188" s="553">
        <f>IFERROR(LEFT(B2188,7),"")</f>
        <v/>
      </c>
      <c r="B2188" s="554">
        <f>"2026/05"&amp;D2188</f>
        <v/>
      </c>
      <c r="C2188" s="559" t="n">
        <v>153</v>
      </c>
      <c r="D2188" s="484" t="inlineStr">
        <is>
          <t>忠孝7樓</t>
        </is>
      </c>
      <c r="E2188" s="484" t="inlineStr">
        <is>
          <t>6210001</t>
        </is>
      </c>
      <c r="F2188" s="551" t="n"/>
      <c r="G2188" s="484" t="inlineStr">
        <is>
          <t>(V)水光針針頭/31G9針/1.0mm/ PCS</t>
        </is>
      </c>
      <c r="H2188" s="552" t="n"/>
      <c r="I2188" s="552" t="n"/>
      <c r="J2188" s="551" t="n"/>
      <c r="K2188" s="140" t="inlineStr">
        <is>
          <t>PCS(20入/盒)</t>
        </is>
      </c>
      <c r="L2188" s="560" t="n">
        <v>1</v>
      </c>
      <c r="O2188" s="561" t="n"/>
    </row>
    <row r="2189" ht="17.25" customHeight="1" s="453" thickBot="1">
      <c r="A2189" s="553">
        <f>IFERROR(LEFT(B2189,7),"")</f>
        <v/>
      </c>
      <c r="B2189" s="554">
        <f>"2026/05"&amp;D2189</f>
        <v/>
      </c>
      <c r="C2189" s="559" t="n">
        <v>154</v>
      </c>
      <c r="D2189" s="484" t="inlineStr">
        <is>
          <t>忠孝7樓</t>
        </is>
      </c>
      <c r="E2189" s="484" t="inlineStr">
        <is>
          <t>6210002</t>
        </is>
      </c>
      <c r="F2189" s="551" t="n"/>
      <c r="G2189" s="484" t="inlineStr">
        <is>
          <t>(V)水光針針頭/31G9針/1.2mm/ PCS</t>
        </is>
      </c>
      <c r="H2189" s="552" t="n"/>
      <c r="I2189" s="552" t="n"/>
      <c r="J2189" s="551" t="n"/>
      <c r="K2189" s="140" t="inlineStr">
        <is>
          <t>PCS(20入/盒)</t>
        </is>
      </c>
      <c r="L2189" s="560" t="n">
        <v>353</v>
      </c>
    </row>
    <row r="2190" ht="17.25" customHeight="1" s="453" thickBot="1">
      <c r="A2190" s="553">
        <f>IFERROR(LEFT(B2190,7),"")</f>
        <v/>
      </c>
      <c r="B2190" s="554">
        <f>"2026/05"&amp;D2190</f>
        <v/>
      </c>
      <c r="C2190" s="559" t="n">
        <v>155</v>
      </c>
      <c r="D2190" s="484" t="inlineStr">
        <is>
          <t>忠孝7樓</t>
        </is>
      </c>
      <c r="E2190" s="484" t="inlineStr">
        <is>
          <t>6210003</t>
        </is>
      </c>
      <c r="F2190" s="551" t="n"/>
      <c r="G2190" s="484" t="inlineStr">
        <is>
          <t>(V)水光針針頭/31G9針/1.5mm/ PCS</t>
        </is>
      </c>
      <c r="H2190" s="552" t="n"/>
      <c r="I2190" s="552" t="n"/>
      <c r="J2190" s="551" t="n"/>
      <c r="K2190" s="140" t="inlineStr">
        <is>
          <t>PCS(20入/盒)</t>
        </is>
      </c>
      <c r="L2190" s="560" t="n">
        <v>28</v>
      </c>
    </row>
    <row r="2191" ht="17.25" customHeight="1" s="453" thickBot="1">
      <c r="A2191" s="553">
        <f>IFERROR(LEFT(B2191,7),"")</f>
        <v/>
      </c>
      <c r="B2191" s="554">
        <f>"2026/05"&amp;D2191</f>
        <v/>
      </c>
      <c r="C2191" s="559" t="n">
        <v>156</v>
      </c>
      <c r="D2191" s="484" t="inlineStr">
        <is>
          <t>忠孝7樓</t>
        </is>
      </c>
      <c r="E2191" s="484" t="inlineStr">
        <is>
          <t>6210006</t>
        </is>
      </c>
      <c r="F2191" s="551" t="n"/>
      <c r="G2191" s="484" t="inlineStr">
        <is>
          <t>(V)麗珠蘭修復水光(A劑2ml+B劑2ml)</t>
        </is>
      </c>
      <c r="H2191" s="552" t="n"/>
      <c r="I2191" s="552" t="n"/>
      <c r="J2191" s="551" t="n"/>
      <c r="K2191" s="140" t="inlineStr">
        <is>
          <t>2ml*2</t>
        </is>
      </c>
      <c r="L2191" s="560" t="n">
        <v>5</v>
      </c>
    </row>
    <row r="2192" ht="17.25" customHeight="1" s="453" thickBot="1">
      <c r="A2192" s="553">
        <f>IFERROR(LEFT(B2192,7),"")</f>
        <v/>
      </c>
      <c r="B2192" s="554">
        <f>"2026/05"&amp;D2192</f>
        <v/>
      </c>
      <c r="C2192" s="559" t="n">
        <v>157</v>
      </c>
      <c r="D2192" s="484" t="inlineStr">
        <is>
          <t>忠孝7樓</t>
        </is>
      </c>
      <c r="E2192" s="484" t="inlineStr">
        <is>
          <t>6210007</t>
        </is>
      </c>
      <c r="F2192" s="551" t="n"/>
      <c r="G2192" s="484" t="inlineStr">
        <is>
          <t>(V)麗珠蘭白瓷水光(A劑2ml+B劑2ml)</t>
        </is>
      </c>
      <c r="H2192" s="552" t="n"/>
      <c r="I2192" s="552" t="n"/>
      <c r="J2192" s="551" t="n"/>
      <c r="K2192" s="140" t="inlineStr">
        <is>
          <t>2ml*2</t>
        </is>
      </c>
      <c r="L2192" s="560" t="n">
        <v>1</v>
      </c>
    </row>
    <row r="2193" ht="17.25" customHeight="1" s="453" thickBot="1">
      <c r="A2193" s="553">
        <f>IFERROR(LEFT(B2193,7),"")</f>
        <v/>
      </c>
      <c r="B2193" s="554">
        <f>"2026/05"&amp;D2193</f>
        <v/>
      </c>
      <c r="C2193" s="559" t="n">
        <v>158</v>
      </c>
      <c r="D2193" s="484" t="inlineStr">
        <is>
          <t>忠孝7樓</t>
        </is>
      </c>
      <c r="E2193" s="484" t="inlineStr">
        <is>
          <t>6210008</t>
        </is>
      </c>
      <c r="F2193" s="551" t="n"/>
      <c r="G2193" s="484" t="inlineStr">
        <is>
          <t>微針筆針頭</t>
        </is>
      </c>
      <c r="H2193" s="552" t="n"/>
      <c r="I2193" s="552" t="n"/>
      <c r="J2193" s="551" t="n"/>
      <c r="K2193" s="140" t="inlineStr">
        <is>
          <t>PCS(33入/盒)</t>
        </is>
      </c>
      <c r="L2193" s="560" t="n">
        <v>6</v>
      </c>
    </row>
    <row r="2194" ht="17.25" customHeight="1" s="453" thickBot="1">
      <c r="A2194" s="553">
        <f>IFERROR(LEFT(B2194,7),"")</f>
        <v/>
      </c>
      <c r="B2194" s="554">
        <f>"2026/05"&amp;D2194</f>
        <v/>
      </c>
      <c r="C2194" s="559" t="n">
        <v>159</v>
      </c>
      <c r="D2194" s="484" t="inlineStr">
        <is>
          <t>忠孝7樓</t>
        </is>
      </c>
      <c r="E2194" s="484" t="inlineStr">
        <is>
          <t>6220005</t>
        </is>
      </c>
      <c r="F2194" s="551" t="n"/>
      <c r="G2194" s="484" t="inlineStr">
        <is>
          <t>海菲秀深藍端頭/ 顆</t>
        </is>
      </c>
      <c r="H2194" s="552" t="n"/>
      <c r="I2194" s="552" t="n"/>
      <c r="J2194" s="551" t="n"/>
      <c r="K2194" s="140" t="inlineStr">
        <is>
          <t>15顆/串</t>
        </is>
      </c>
      <c r="L2194" s="560" t="n">
        <v>838</v>
      </c>
    </row>
    <row r="2195" ht="17.25" customHeight="1" s="453" thickBot="1">
      <c r="A2195" s="553">
        <f>IFERROR(LEFT(B2195,7),"")</f>
        <v/>
      </c>
      <c r="B2195" s="554">
        <f>"2026/05"&amp;D2195</f>
        <v/>
      </c>
      <c r="C2195" s="559" t="n">
        <v>160</v>
      </c>
      <c r="D2195" s="484" t="inlineStr">
        <is>
          <t>忠孝7樓</t>
        </is>
      </c>
      <c r="E2195" s="484" t="inlineStr">
        <is>
          <t>6220006</t>
        </is>
      </c>
      <c r="F2195" s="551" t="n"/>
      <c r="G2195" s="484" t="inlineStr">
        <is>
          <t>海菲秀淺藍端頭/ 顆</t>
        </is>
      </c>
      <c r="H2195" s="552" t="n"/>
      <c r="I2195" s="552" t="n"/>
      <c r="J2195" s="551" t="n"/>
      <c r="K2195" s="140" t="inlineStr">
        <is>
          <t>15顆/串</t>
        </is>
      </c>
      <c r="L2195" s="560" t="n">
        <v>838</v>
      </c>
    </row>
    <row r="2196" ht="17.25" customHeight="1" s="453" thickBot="1">
      <c r="A2196" s="553">
        <f>IFERROR(LEFT(B2196,7),"")</f>
        <v/>
      </c>
      <c r="B2196" s="554">
        <f>"2026/05"&amp;D2196</f>
        <v/>
      </c>
      <c r="C2196" s="559" t="n">
        <v>161</v>
      </c>
      <c r="D2196" s="484" t="inlineStr">
        <is>
          <t>忠孝7樓</t>
        </is>
      </c>
      <c r="E2196" s="484" t="inlineStr">
        <is>
          <t>6220007</t>
        </is>
      </c>
      <c r="F2196" s="551" t="n"/>
      <c r="G2196" s="484" t="inlineStr">
        <is>
          <t>海菲秀透明端頭/ 顆</t>
        </is>
      </c>
      <c r="H2196" s="552" t="n"/>
      <c r="I2196" s="552" t="n"/>
      <c r="J2196" s="551" t="n"/>
      <c r="K2196" s="140" t="inlineStr">
        <is>
          <t>15顆/串</t>
        </is>
      </c>
      <c r="L2196" s="560" t="n">
        <v>838</v>
      </c>
    </row>
    <row r="2197" ht="17.25" customHeight="1" s="453" thickBot="1">
      <c r="A2197" s="553">
        <f>IFERROR(LEFT(B2197,7),"")</f>
        <v/>
      </c>
      <c r="B2197" s="554">
        <f>"2026/05"&amp;D2197</f>
        <v/>
      </c>
      <c r="C2197" s="559" t="n">
        <v>162</v>
      </c>
      <c r="D2197" s="484" t="inlineStr">
        <is>
          <t>忠孝7樓</t>
        </is>
      </c>
      <c r="E2197" s="484" t="inlineStr">
        <is>
          <t>6220012</t>
        </is>
      </c>
      <c r="F2197" s="551" t="n"/>
      <c r="G2197" s="484" t="inlineStr">
        <is>
          <t>(V)(第一劑)海菲秀 Activ-4 Skin Solution/mL</t>
        </is>
      </c>
      <c r="H2197" s="552" t="n"/>
      <c r="I2197" s="552" t="n"/>
      <c r="J2197" s="551" t="n"/>
      <c r="K2197" s="140" t="inlineStr">
        <is>
          <t>236ml/瓶</t>
        </is>
      </c>
      <c r="L2197" s="560" t="n">
        <v>12570</v>
      </c>
    </row>
    <row r="2198" ht="17.25" customHeight="1" s="453" thickBot="1">
      <c r="A2198" s="553">
        <f>IFERROR(LEFT(B2198,7),"")</f>
        <v/>
      </c>
      <c r="B2198" s="554">
        <f>"2026/05"&amp;D2198</f>
        <v/>
      </c>
      <c r="C2198" s="559" t="n">
        <v>163</v>
      </c>
      <c r="D2198" s="484" t="inlineStr">
        <is>
          <t>忠孝7樓</t>
        </is>
      </c>
      <c r="E2198" s="484" t="inlineStr">
        <is>
          <t>6220013</t>
        </is>
      </c>
      <c r="F2198" s="551" t="n"/>
      <c r="G2198" s="484" t="inlineStr">
        <is>
          <t>(V)(第二劑)海菲秀 Beta-HD Skin Solution /mL</t>
        </is>
      </c>
      <c r="H2198" s="552" t="n"/>
      <c r="I2198" s="552" t="n"/>
      <c r="J2198" s="551" t="n"/>
      <c r="K2198" s="140" t="inlineStr">
        <is>
          <t>236ml/瓶</t>
        </is>
      </c>
      <c r="L2198" s="560" t="n">
        <v>12570</v>
      </c>
    </row>
    <row r="2199" ht="17.25" customHeight="1" s="453" thickBot="1">
      <c r="A2199" s="553">
        <f>IFERROR(LEFT(B2199,7),"")</f>
        <v/>
      </c>
      <c r="B2199" s="554">
        <f>"2026/05"&amp;D2199</f>
        <v/>
      </c>
      <c r="C2199" s="559" t="n">
        <v>164</v>
      </c>
      <c r="D2199" s="484" t="inlineStr">
        <is>
          <t>忠孝7樓</t>
        </is>
      </c>
      <c r="E2199" s="484" t="inlineStr">
        <is>
          <t>6220014</t>
        </is>
      </c>
      <c r="F2199" s="551" t="n"/>
      <c r="G2199" s="484" t="inlineStr">
        <is>
          <t>(V)(第三劑)海菲秀 Antiox-6 Skin Solution /mL</t>
        </is>
      </c>
      <c r="H2199" s="552" t="n"/>
      <c r="I2199" s="552" t="n"/>
      <c r="J2199" s="551" t="n"/>
      <c r="K2199" s="140" t="inlineStr">
        <is>
          <t>236ml/瓶</t>
        </is>
      </c>
      <c r="L2199" s="560" t="n">
        <v>12570</v>
      </c>
    </row>
    <row r="2200" ht="17.25" customHeight="1" s="453" thickBot="1">
      <c r="A2200" s="553">
        <f>IFERROR(LEFT(B2200,7),"")</f>
        <v/>
      </c>
      <c r="B2200" s="554">
        <f>"2026/05"&amp;D2200</f>
        <v/>
      </c>
      <c r="C2200" s="559" t="n">
        <v>165</v>
      </c>
      <c r="D2200" s="484" t="inlineStr">
        <is>
          <t>忠孝7樓</t>
        </is>
      </c>
      <c r="E2200" s="484" t="inlineStr">
        <is>
          <t>6220015</t>
        </is>
      </c>
      <c r="F2200" s="551" t="n"/>
      <c r="G2200" s="484" t="inlineStr">
        <is>
          <t>(V)(第四劑)海菲秀 Rinseaway System Cleaning Solution /mL</t>
        </is>
      </c>
      <c r="H2200" s="552" t="n"/>
      <c r="I2200" s="552" t="n"/>
      <c r="J2200" s="551" t="n"/>
      <c r="K2200" s="140" t="inlineStr">
        <is>
          <t>236ml/瓶</t>
        </is>
      </c>
      <c r="L2200" s="560" t="n">
        <v>12570</v>
      </c>
    </row>
    <row r="2201" ht="17.25" customHeight="1" s="453" thickBot="1">
      <c r="A2201" s="553">
        <f>IFERROR(LEFT(B2201,7),"")</f>
        <v/>
      </c>
      <c r="B2201" s="554">
        <f>"2026/05"&amp;D2201</f>
        <v/>
      </c>
      <c r="C2201" s="559" t="n">
        <v>166</v>
      </c>
      <c r="D2201" s="484" t="inlineStr">
        <is>
          <t>忠孝國際醫學3樓</t>
        </is>
      </c>
      <c r="E2201" s="484" t="inlineStr">
        <is>
          <t>6120001</t>
        </is>
      </c>
      <c r="F2201" s="551" t="n"/>
      <c r="G2201" s="484" t="inlineStr">
        <is>
          <t>(V)肝得健注射劑/ 瓶，640倍數叫貨</t>
        </is>
      </c>
      <c r="H2201" s="552" t="n"/>
      <c r="I2201" s="552" t="n"/>
      <c r="J2201" s="551" t="n"/>
      <c r="K2201" s="140" t="inlineStr">
        <is>
          <t>20支/盒</t>
        </is>
      </c>
      <c r="L2201" s="560" t="n">
        <v>2359</v>
      </c>
    </row>
    <row r="2202" ht="17.25" customHeight="1" s="453" thickBot="1">
      <c r="A2202" s="553">
        <f>IFERROR(LEFT(B2202,7),"")</f>
        <v/>
      </c>
      <c r="B2202" s="554">
        <f>"2026/05"&amp;D2202</f>
        <v/>
      </c>
      <c r="C2202" s="559" t="n">
        <v>167</v>
      </c>
      <c r="D2202" s="484" t="inlineStr">
        <is>
          <t>忠孝國際醫學3樓</t>
        </is>
      </c>
      <c r="E2202" s="484" t="inlineStr">
        <is>
          <t>6120002</t>
        </is>
      </c>
      <c r="F2202" s="551" t="n"/>
      <c r="G2202" s="484" t="inlineStr">
        <is>
          <t>(V)卡妮丁注射劑/ 瓶，640倍數叫貨</t>
        </is>
      </c>
      <c r="H2202" s="552" t="n"/>
      <c r="I2202" s="552" t="n"/>
      <c r="J2202" s="551" t="n"/>
      <c r="K2202" s="140" t="inlineStr">
        <is>
          <t>5支/盒</t>
        </is>
      </c>
      <c r="L2202" s="560" t="n">
        <v>2619.5</v>
      </c>
    </row>
    <row r="2203" ht="17.25" customHeight="1" s="453" thickBot="1">
      <c r="A2203" s="553">
        <f>IFERROR(LEFT(B2203,7),"")</f>
        <v/>
      </c>
      <c r="B2203" s="554">
        <f>"2026/05"&amp;D2203</f>
        <v/>
      </c>
      <c r="C2203" s="559" t="n">
        <v>168</v>
      </c>
      <c r="D2203" s="484" t="inlineStr">
        <is>
          <t>忠孝國際醫學3樓</t>
        </is>
      </c>
      <c r="E2203" s="484" t="inlineStr">
        <is>
          <t>6120003</t>
        </is>
      </c>
      <c r="F2203" s="551" t="n"/>
      <c r="G2203" s="484" t="inlineStr">
        <is>
          <t>(V)貝力多(雙胜胺) 20% 30mL/ 瓶，60倍數叫貨</t>
        </is>
      </c>
      <c r="H2203" s="552" t="n"/>
      <c r="I2203" s="552" t="n"/>
      <c r="J2203" s="551" t="n"/>
      <c r="K2203" s="140" t="inlineStr">
        <is>
          <t>10支/盒</t>
        </is>
      </c>
      <c r="L2203" s="560" t="n">
        <v>4</v>
      </c>
    </row>
    <row r="2204" ht="17.25" customHeight="1" s="453" thickBot="1">
      <c r="A2204" s="553">
        <f>IFERROR(LEFT(B2204,7),"")</f>
        <v/>
      </c>
      <c r="B2204" s="554">
        <f>"2026/05"&amp;D2204</f>
        <v/>
      </c>
      <c r="C2204" s="559" t="n">
        <v>169</v>
      </c>
      <c r="D2204" s="484" t="inlineStr">
        <is>
          <t>忠孝國際醫學3樓</t>
        </is>
      </c>
      <c r="E2204" s="484" t="inlineStr">
        <is>
          <t>6120004</t>
        </is>
      </c>
      <c r="F2204" s="551" t="n"/>
      <c r="G2204" s="484" t="inlineStr">
        <is>
          <t>(V)胺基酸點滴250ml/ 袋(安命活源/嘉安命)，20倍數叫貨</t>
        </is>
      </c>
      <c r="H2204" s="552" t="n"/>
      <c r="I2204" s="552" t="n"/>
      <c r="J2204" s="551" t="n"/>
      <c r="K2204" s="140" t="inlineStr">
        <is>
          <t>(20瓶/箱)</t>
        </is>
      </c>
      <c r="L2204" s="560" t="n">
        <v>18</v>
      </c>
    </row>
    <row r="2205" ht="17.25" customHeight="1" s="453" thickBot="1">
      <c r="A2205" s="553">
        <f>IFERROR(LEFT(B2205,7),"")</f>
        <v/>
      </c>
      <c r="B2205" s="554">
        <f>"2026/05"&amp;D2205</f>
        <v/>
      </c>
      <c r="C2205" s="559" t="n">
        <v>170</v>
      </c>
      <c r="D2205" s="484" t="inlineStr">
        <is>
          <t>忠孝國際醫學3樓</t>
        </is>
      </c>
      <c r="E2205" s="484" t="inlineStr">
        <is>
          <t>6120006</t>
        </is>
      </c>
      <c r="F2205" s="551" t="n"/>
      <c r="G2205" s="484" t="inlineStr">
        <is>
          <t>(V)(B12) 愛壽命 2mL，100倍數叫貨</t>
        </is>
      </c>
      <c r="H2205" s="552" t="n"/>
      <c r="I2205" s="552" t="n"/>
      <c r="J2205" s="551" t="n"/>
      <c r="K2205" s="140" t="inlineStr">
        <is>
          <t>(100支/盒)</t>
        </is>
      </c>
      <c r="L2205" s="560" t="n">
        <v>534</v>
      </c>
    </row>
    <row r="2206" ht="17.25" customHeight="1" s="453" thickBot="1">
      <c r="A2206" s="553">
        <f>IFERROR(LEFT(B2206,7),"")</f>
        <v/>
      </c>
      <c r="B2206" s="554">
        <f>"2026/05"&amp;D2206</f>
        <v/>
      </c>
      <c r="C2206" s="559" t="n">
        <v>171</v>
      </c>
      <c r="D2206" s="484" t="inlineStr">
        <is>
          <t>忠孝國際醫學3樓</t>
        </is>
      </c>
      <c r="E2206" s="484" t="inlineStr">
        <is>
          <t>6120007</t>
        </is>
      </c>
      <c r="F2206" s="551" t="n"/>
      <c r="G2206" s="484" t="inlineStr">
        <is>
          <t>(V)(硫酸鋅) 1ml/支，100倍數叫貨</t>
        </is>
      </c>
      <c r="H2206" s="552" t="n"/>
      <c r="I2206" s="552" t="n"/>
      <c r="J2206" s="551" t="n"/>
      <c r="K2206" s="140" t="inlineStr">
        <is>
          <t>100支/盒</t>
        </is>
      </c>
      <c r="L2206" s="560" t="n">
        <v>7</v>
      </c>
    </row>
    <row r="2207" ht="17.25" customHeight="1" s="453" thickBot="1">
      <c r="A2207" s="553">
        <f>IFERROR(LEFT(B2207,7),"")</f>
        <v/>
      </c>
      <c r="B2207" s="554">
        <f>"2026/05"&amp;D2207</f>
        <v/>
      </c>
      <c r="C2207" s="559" t="n">
        <v>172</v>
      </c>
      <c r="D2207" s="484" t="inlineStr">
        <is>
          <t>忠孝國際醫學3樓</t>
        </is>
      </c>
      <c r="E2207" s="484" t="inlineStr">
        <is>
          <t>6120008</t>
        </is>
      </c>
      <c r="F2207" s="551" t="n"/>
      <c r="G2207" s="484" t="inlineStr">
        <is>
          <t>(V)(硫酸鎂) 注射液 20ml/支</t>
        </is>
      </c>
      <c r="H2207" s="552" t="n"/>
      <c r="I2207" s="552" t="n"/>
      <c r="J2207" s="551" t="n"/>
      <c r="K2207" s="140" t="inlineStr">
        <is>
          <t>60支/盒</t>
        </is>
      </c>
      <c r="L2207" s="560" t="n">
        <v>3</v>
      </c>
    </row>
    <row r="2208" ht="17.25" customHeight="1" s="453" thickBot="1">
      <c r="A2208" s="553">
        <f>IFERROR(LEFT(B2208,7),"")</f>
        <v/>
      </c>
      <c r="B2208" s="554">
        <f>"2026/05"&amp;D2208</f>
        <v/>
      </c>
      <c r="C2208" s="559" t="n">
        <v>173</v>
      </c>
      <c r="D2208" s="484" t="inlineStr">
        <is>
          <t>忠孝國際醫學3樓</t>
        </is>
      </c>
      <c r="E2208" s="484" t="inlineStr">
        <is>
          <t>6120009</t>
        </is>
      </c>
      <c r="F2208" s="551" t="n"/>
      <c r="G2208" s="484" t="inlineStr">
        <is>
          <t>(V)(B1) 硫胺明 2ml</t>
        </is>
      </c>
      <c r="H2208" s="552" t="n"/>
      <c r="I2208" s="552" t="n"/>
      <c r="J2208" s="551" t="n"/>
      <c r="K2208" s="140" t="inlineStr">
        <is>
          <t>(100支/盒)</t>
        </is>
      </c>
      <c r="L2208" s="560" t="n">
        <v>4</v>
      </c>
    </row>
    <row r="2209" ht="17.25" customHeight="1" s="453" thickBot="1">
      <c r="A2209" s="553">
        <f>IFERROR(LEFT(B2209,7),"")</f>
        <v/>
      </c>
      <c r="B2209" s="554">
        <f>"2026/05"&amp;D2209</f>
        <v/>
      </c>
      <c r="C2209" s="559" t="n">
        <v>174</v>
      </c>
      <c r="D2209" s="484" t="inlineStr">
        <is>
          <t>忠孝國際醫學3樓</t>
        </is>
      </c>
      <c r="E2209" s="484" t="inlineStr">
        <is>
          <t>6120010</t>
        </is>
      </c>
      <c r="F2209" s="551" t="n"/>
      <c r="G2209" s="484" t="inlineStr">
        <is>
          <t>(V)(B6) 活性維生素 2ml，100倍數叫貨</t>
        </is>
      </c>
      <c r="H2209" s="552" t="n"/>
      <c r="I2209" s="552" t="n"/>
      <c r="J2209" s="551" t="n"/>
      <c r="K2209" s="140" t="inlineStr">
        <is>
          <t>(100支/盒)</t>
        </is>
      </c>
      <c r="L2209" s="560" t="n">
        <v>4</v>
      </c>
    </row>
    <row r="2210" ht="17.25" customHeight="1" s="453" thickBot="1">
      <c r="A2210" s="553">
        <f>IFERROR(LEFT(B2210,7),"")</f>
        <v/>
      </c>
      <c r="B2210" s="554">
        <f>"2026/05"&amp;D2210</f>
        <v/>
      </c>
      <c r="C2210" s="559" t="n">
        <v>175</v>
      </c>
      <c r="D2210" s="484" t="inlineStr">
        <is>
          <t>忠孝國際醫學3樓</t>
        </is>
      </c>
      <c r="E2210" s="484" t="inlineStr">
        <is>
          <t>6120011</t>
        </is>
      </c>
      <c r="F2210" s="551" t="n"/>
      <c r="G2210" s="484" t="inlineStr">
        <is>
          <t>(V)(硒) 西寧特 2ml/支</t>
        </is>
      </c>
      <c r="H2210" s="552" t="n"/>
      <c r="I2210" s="552" t="n"/>
      <c r="J2210" s="551" t="n"/>
      <c r="K2210" s="140" t="inlineStr">
        <is>
          <t>10支/盒</t>
        </is>
      </c>
      <c r="L2210" s="560" t="n">
        <v>3</v>
      </c>
    </row>
    <row r="2211" ht="17.25" customHeight="1" s="453" thickBot="1">
      <c r="A2211" s="553">
        <f>IFERROR(LEFT(B2211,7),"")</f>
        <v/>
      </c>
      <c r="B2211" s="554">
        <f>"2026/05"&amp;D2211</f>
        <v/>
      </c>
      <c r="C2211" s="559" t="n">
        <v>176</v>
      </c>
      <c r="D2211" s="484" t="inlineStr">
        <is>
          <t>忠孝國際醫學3樓</t>
        </is>
      </c>
      <c r="E2211" s="484" t="inlineStr">
        <is>
          <t>6120013</t>
        </is>
      </c>
      <c r="F2211" s="551" t="n"/>
      <c r="G2211" s="484" t="inlineStr">
        <is>
          <t>(V)生理食鹽水(NS) 250ml/ 袋</t>
        </is>
      </c>
      <c r="H2211" s="552" t="n"/>
      <c r="I2211" s="552" t="n"/>
      <c r="J2211" s="551" t="n"/>
      <c r="K2211" s="140" t="inlineStr">
        <is>
          <t>40瓶/箱</t>
        </is>
      </c>
      <c r="L2211" s="560" t="n">
        <v>524</v>
      </c>
    </row>
    <row r="2212" ht="17.25" customHeight="1" s="453" thickBot="1">
      <c r="A2212" s="553">
        <f>IFERROR(LEFT(B2212,7),"")</f>
        <v/>
      </c>
      <c r="B2212" s="554">
        <f>"2026/05"&amp;D2212</f>
        <v/>
      </c>
      <c r="C2212" s="559" t="n">
        <v>177</v>
      </c>
      <c r="D2212" s="484" t="inlineStr">
        <is>
          <t>忠孝國際醫學3樓</t>
        </is>
      </c>
      <c r="E2212" s="484" t="inlineStr">
        <is>
          <t>6120014</t>
        </is>
      </c>
      <c r="F2212" s="551" t="n"/>
      <c r="G2212" s="484" t="inlineStr">
        <is>
          <t>(V)葡萄糖水(D5W) 250ml/袋</t>
        </is>
      </c>
      <c r="H2212" s="552" t="n"/>
      <c r="I2212" s="552" t="n"/>
      <c r="J2212" s="551" t="n"/>
      <c r="K2212" s="140" t="inlineStr">
        <is>
          <t>60袋/箱</t>
        </is>
      </c>
      <c r="L2212" s="560" t="n">
        <v>1663</v>
      </c>
    </row>
    <row r="2213" ht="17.25" customHeight="1" s="453" thickBot="1">
      <c r="A2213" s="553">
        <f>IFERROR(LEFT(B2213,7),"")</f>
        <v/>
      </c>
      <c r="B2213" s="554">
        <f>"2026/05"&amp;D2213</f>
        <v/>
      </c>
      <c r="C2213" s="559" t="n">
        <v>178</v>
      </c>
      <c r="D2213" s="484" t="inlineStr">
        <is>
          <t>忠孝國際醫學3樓</t>
        </is>
      </c>
      <c r="E2213" s="484" t="inlineStr">
        <is>
          <t>6120015</t>
        </is>
      </c>
      <c r="F2213" s="551" t="n"/>
      <c r="G2213" s="484" t="inlineStr">
        <is>
          <t>(V)(B群)淘能美複合維他命B 2ml，100倍數叫貨</t>
        </is>
      </c>
      <c r="H2213" s="552" t="n"/>
      <c r="I2213" s="552" t="n"/>
      <c r="J2213" s="551" t="n"/>
      <c r="K2213" s="140" t="n"/>
      <c r="L2213" s="560" t="n">
        <v>15</v>
      </c>
    </row>
    <row r="2214" ht="17.25" customHeight="1" s="453" thickBot="1">
      <c r="A2214" s="553">
        <f>IFERROR(LEFT(B2214,7),"")</f>
        <v/>
      </c>
      <c r="B2214" s="554">
        <f>"2026/05"&amp;D2214</f>
        <v/>
      </c>
      <c r="C2214" s="559" t="n">
        <v>179</v>
      </c>
      <c r="D2214" s="484" t="inlineStr">
        <is>
          <t>忠孝國際醫學3樓</t>
        </is>
      </c>
      <c r="E2214" s="484" t="inlineStr">
        <is>
          <t>6120016</t>
        </is>
      </c>
      <c r="F2214" s="551" t="n"/>
      <c r="G2214" s="484" t="inlineStr">
        <is>
          <t>(V)(榖胱肝肽) 克樂達養200mg (20ml/瓶)</t>
        </is>
      </c>
      <c r="H2214" s="552" t="n"/>
      <c r="I2214" s="552" t="n"/>
      <c r="J2214" s="551" t="n"/>
      <c r="K2214" s="140" t="inlineStr">
        <is>
          <t>50支/盒</t>
        </is>
      </c>
      <c r="L2214" s="560" t="n">
        <v>15</v>
      </c>
    </row>
    <row r="2215" ht="17.25" customHeight="1" s="453" thickBot="1">
      <c r="A2215" s="553">
        <f>IFERROR(LEFT(B2215,7),"")</f>
        <v/>
      </c>
      <c r="B2215" s="554">
        <f>"2026/05"&amp;D2215</f>
        <v/>
      </c>
      <c r="C2215" s="559" t="n">
        <v>180</v>
      </c>
      <c r="D2215" s="484" t="inlineStr">
        <is>
          <t>忠孝國際醫學3樓</t>
        </is>
      </c>
      <c r="E2215" s="484" t="inlineStr">
        <is>
          <t>6120017</t>
        </is>
      </c>
      <c r="F2215" s="551" t="n"/>
      <c r="G2215" s="484" t="inlineStr">
        <is>
          <t>(V)保肝 5ml/支</t>
        </is>
      </c>
      <c r="H2215" s="552" t="n"/>
      <c r="I2215" s="552" t="n"/>
      <c r="J2215" s="551" t="n"/>
      <c r="K2215" s="140" t="inlineStr">
        <is>
          <t>50支/盒</t>
        </is>
      </c>
      <c r="L2215" s="560" t="n">
        <v>1</v>
      </c>
    </row>
    <row r="2216" ht="17.25" customHeight="1" s="453" thickBot="1">
      <c r="A2216" s="553">
        <f>IFERROR(LEFT(B2216,7),"")</f>
        <v/>
      </c>
      <c r="B2216" s="554">
        <f>"2026/05"&amp;D2216</f>
        <v/>
      </c>
      <c r="C2216" s="559" t="n">
        <v>181</v>
      </c>
      <c r="D2216" s="484" t="inlineStr">
        <is>
          <t>忠孝國際醫學3樓</t>
        </is>
      </c>
      <c r="E2216" s="484" t="inlineStr">
        <is>
          <t>6120021</t>
        </is>
      </c>
      <c r="F2216" s="551" t="n"/>
      <c r="G2216" s="484" t="inlineStr">
        <is>
          <t>(V)(Vit C)(抗壞血酸/諾貝爾)20ml，50倍數下單</t>
        </is>
      </c>
      <c r="H2216" s="552" t="n"/>
      <c r="I2216" s="552" t="n"/>
      <c r="J2216" s="551" t="n"/>
      <c r="K2216" s="140" t="inlineStr">
        <is>
          <t>50支/盒</t>
        </is>
      </c>
      <c r="L2216" s="560" t="n">
        <v>18</v>
      </c>
    </row>
    <row r="2217" ht="17.25" customHeight="1" s="453" thickBot="1">
      <c r="A2217" s="553">
        <f>IFERROR(LEFT(B2217,7),"")</f>
        <v/>
      </c>
      <c r="B2217" s="554">
        <f>"2026/05"&amp;D2217</f>
        <v/>
      </c>
      <c r="C2217" s="559" t="n">
        <v>182</v>
      </c>
      <c r="D2217" s="484" t="inlineStr">
        <is>
          <t>忠孝國際醫學3樓</t>
        </is>
      </c>
      <c r="E2217" s="484" t="inlineStr">
        <is>
          <t>6120036</t>
        </is>
      </c>
      <c r="F2217" s="551" t="n"/>
      <c r="G2217" s="484" t="inlineStr">
        <is>
          <t>(V)貝力多(雙胜胺) 20% 50mL/ 瓶，60倍數下單</t>
        </is>
      </c>
      <c r="H2217" s="552" t="n"/>
      <c r="I2217" s="552" t="n"/>
      <c r="J2217" s="551" t="n"/>
      <c r="K2217" s="140" t="inlineStr">
        <is>
          <t>瓶(10瓶/盒)</t>
        </is>
      </c>
      <c r="L2217" s="560" t="n">
        <v>7</v>
      </c>
    </row>
    <row r="2218" ht="17.25" customHeight="1" s="453" thickBot="1">
      <c r="A2218" s="553">
        <f>IFERROR(LEFT(B2218,7),"")</f>
        <v/>
      </c>
      <c r="B2218" s="554">
        <f>"2026/05"&amp;D2218</f>
        <v/>
      </c>
      <c r="C2218" s="559" t="n">
        <v>183</v>
      </c>
      <c r="D2218" s="484" t="inlineStr">
        <is>
          <t>忠孝國際醫學3樓</t>
        </is>
      </c>
      <c r="E2218" s="484" t="inlineStr">
        <is>
          <t>6200004</t>
        </is>
      </c>
      <c r="F2218" s="551" t="n"/>
      <c r="G2218" s="484" t="inlineStr">
        <is>
          <t>阿爾發SAT卡匣/ 發</t>
        </is>
      </c>
      <c r="H2218" s="552" t="n"/>
      <c r="I2218" s="552" t="n"/>
      <c r="J2218" s="551" t="n"/>
      <c r="K2218" s="140" t="inlineStr">
        <is>
          <t>50發/卡</t>
        </is>
      </c>
      <c r="L2218" s="560" t="n">
        <v>5184</v>
      </c>
    </row>
    <row r="2219" ht="17.25" customHeight="1" s="453" thickBot="1">
      <c r="A2219" s="553">
        <f>IFERROR(LEFT(B2219,7),"")</f>
        <v/>
      </c>
      <c r="B2219" s="554">
        <f>"2026/05"&amp;D2219</f>
        <v/>
      </c>
      <c r="C2219" s="559" t="n">
        <v>184</v>
      </c>
      <c r="D2219" s="484" t="inlineStr">
        <is>
          <t>忠孝國際醫學3樓</t>
        </is>
      </c>
      <c r="E2219" s="484" t="inlineStr">
        <is>
          <t>6200008</t>
        </is>
      </c>
      <c r="F2219" s="551" t="n"/>
      <c r="G2219" s="484" t="inlineStr">
        <is>
          <t>(V)瘦瘦筆-週纖達*1支(0.25mg)</t>
        </is>
      </c>
      <c r="H2219" s="552" t="n"/>
      <c r="I2219" s="552" t="n"/>
      <c r="J2219" s="551" t="n"/>
      <c r="K2219" s="140" t="inlineStr">
        <is>
          <t>支</t>
        </is>
      </c>
      <c r="L2219" s="560" t="n">
        <v>5</v>
      </c>
    </row>
    <row r="2220" ht="17.25" customHeight="1" s="453" thickBot="1">
      <c r="A2220" s="553">
        <f>IFERROR(LEFT(B2220,7),"")</f>
        <v/>
      </c>
      <c r="B2220" s="554">
        <f>"2026/05"&amp;D2220</f>
        <v/>
      </c>
      <c r="C2220" s="559" t="n">
        <v>185</v>
      </c>
      <c r="D2220" s="484" t="inlineStr">
        <is>
          <t>忠孝國際醫學3樓</t>
        </is>
      </c>
      <c r="E2220" s="484" t="inlineStr">
        <is>
          <t>6200010</t>
        </is>
      </c>
      <c r="F2220" s="551" t="n"/>
      <c r="G2220" s="484" t="inlineStr">
        <is>
          <t>(V)瘦瘦筆-週纖達*1支(1.0mg)</t>
        </is>
      </c>
      <c r="H2220" s="552" t="n"/>
      <c r="I2220" s="552" t="n"/>
      <c r="J2220" s="551" t="n"/>
      <c r="K2220" s="140" t="inlineStr">
        <is>
          <t>支</t>
        </is>
      </c>
      <c r="L2220" s="560" t="n">
        <v>4</v>
      </c>
    </row>
    <row r="2221" ht="17.25" customHeight="1" s="453" thickBot="1">
      <c r="A2221" s="553">
        <f>IFERROR(LEFT(B2221,7),"")</f>
        <v/>
      </c>
      <c r="B2221" s="554">
        <f>"2026/05"&amp;D2221</f>
        <v/>
      </c>
      <c r="C2221" s="559" t="n">
        <v>186</v>
      </c>
      <c r="D2221" s="484" t="inlineStr">
        <is>
          <t>忠孝國際醫學3樓</t>
        </is>
      </c>
      <c r="E2221" s="484" t="inlineStr">
        <is>
          <t>6200012</t>
        </is>
      </c>
      <c r="F2221" s="551" t="n"/>
      <c r="G2221" s="484" t="inlineStr">
        <is>
          <t>(V)瘦瘦筆-週纖達*1支(2.4mg)</t>
        </is>
      </c>
      <c r="H2221" s="552" t="n"/>
      <c r="I2221" s="552" t="n"/>
      <c r="J2221" s="551" t="n"/>
      <c r="K2221" s="140" t="inlineStr">
        <is>
          <t>支</t>
        </is>
      </c>
      <c r="L2221" s="560" t="n">
        <v>2</v>
      </c>
    </row>
    <row r="2222" ht="17.25" customHeight="1" s="453" thickBot="1">
      <c r="A2222" s="553">
        <f>IFERROR(LEFT(B2222,7),"")</f>
        <v/>
      </c>
      <c r="B2222" s="554">
        <f>"2026/05"&amp;D2222</f>
        <v/>
      </c>
      <c r="C2222" s="559" t="n">
        <v>187</v>
      </c>
      <c r="D2222" s="484" t="inlineStr">
        <is>
          <t>忠孝國際醫學3樓</t>
        </is>
      </c>
      <c r="E2222" s="484" t="inlineStr">
        <is>
          <t>6200014</t>
        </is>
      </c>
      <c r="F2222" s="551" t="n"/>
      <c r="G2222" s="484" t="inlineStr">
        <is>
          <t>(V)猛健樂5mg*1支</t>
        </is>
      </c>
      <c r="H2222" s="552" t="n"/>
      <c r="I2222" s="552" t="n"/>
      <c r="J2222" s="551" t="n"/>
      <c r="K2222" s="140" t="inlineStr">
        <is>
          <t>3cc/支</t>
        </is>
      </c>
      <c r="L2222" s="560" t="n">
        <v>2</v>
      </c>
    </row>
    <row r="2223" ht="17.25" customHeight="1" s="453" thickBot="1">
      <c r="A2223" s="553">
        <f>IFERROR(LEFT(B2223,7),"")</f>
        <v/>
      </c>
      <c r="B2223" s="554">
        <f>"2026/05"&amp;D2223</f>
        <v/>
      </c>
      <c r="C2223" s="559" t="n">
        <v>188</v>
      </c>
      <c r="D2223" s="484" t="inlineStr">
        <is>
          <t>忠孝國際醫學3樓</t>
        </is>
      </c>
      <c r="E2223" s="484" t="inlineStr">
        <is>
          <t>6200016</t>
        </is>
      </c>
      <c r="F2223" s="551" t="n"/>
      <c r="G2223" s="484" t="inlineStr">
        <is>
          <t>(V)猛健樂10mg*1支</t>
        </is>
      </c>
      <c r="H2223" s="552" t="n"/>
      <c r="I2223" s="552" t="n"/>
      <c r="J2223" s="551" t="n"/>
      <c r="K2223" s="140" t="inlineStr">
        <is>
          <t>3cc/支</t>
        </is>
      </c>
      <c r="L2223" s="560" t="n">
        <v>1</v>
      </c>
    </row>
    <row r="2224" ht="17.25" customHeight="1" s="453" thickBot="1">
      <c r="A2224" s="553">
        <f>IFERROR(LEFT(B2224,7),"")</f>
        <v/>
      </c>
      <c r="B2224" s="554">
        <f>"2026/05"&amp;D2224</f>
        <v/>
      </c>
      <c r="C2224" s="559" t="n">
        <v>189</v>
      </c>
      <c r="D2224" s="484" t="inlineStr">
        <is>
          <t>忠孝國際醫學3樓</t>
        </is>
      </c>
      <c r="E2224" s="484" t="inlineStr">
        <is>
          <t>6200017</t>
        </is>
      </c>
      <c r="F2224" s="551" t="n"/>
      <c r="G2224" s="484" t="inlineStr">
        <is>
          <t>(V)猛健樂10mg/ 0.15CC</t>
        </is>
      </c>
      <c r="H2224" s="552" t="n"/>
      <c r="I2224" s="552" t="n"/>
      <c r="J2224" s="551" t="n"/>
      <c r="K2224" s="140" t="inlineStr">
        <is>
          <t>0.15cc/次</t>
        </is>
      </c>
      <c r="L2224" s="560" t="n">
        <v>2080.7</v>
      </c>
    </row>
    <row r="2225" ht="17.25" customHeight="1" s="453" thickBot="1">
      <c r="A2225" s="553">
        <f>IFERROR(LEFT(B2225,7),"")</f>
        <v/>
      </c>
      <c r="B2225" s="554">
        <f>"2026/05"&amp;D2225</f>
        <v/>
      </c>
      <c r="C2225" s="559" t="n">
        <v>190</v>
      </c>
      <c r="D2225" s="484" t="inlineStr">
        <is>
          <t>忠孝國際醫學3樓</t>
        </is>
      </c>
      <c r="E2225" s="484" t="inlineStr">
        <is>
          <t>6200020</t>
        </is>
      </c>
      <c r="F2225" s="551" t="n"/>
      <c r="G2225" s="484" t="inlineStr">
        <is>
          <t>(V)猛健樂7.5mg/ 0.2CC</t>
        </is>
      </c>
      <c r="H2225" s="552" t="n"/>
      <c r="I2225" s="552" t="n"/>
      <c r="J2225" s="551" t="n"/>
      <c r="K2225" s="140" t="inlineStr">
        <is>
          <t>0.2cc/次</t>
        </is>
      </c>
      <c r="L2225" s="560" t="n">
        <v>7</v>
      </c>
    </row>
    <row r="2226" ht="17.25" customHeight="1" s="453" thickBot="1">
      <c r="A2226" s="553">
        <f>IFERROR(LEFT(B2226,7),"")</f>
        <v/>
      </c>
      <c r="B2226" s="554">
        <f>"2026/05"&amp;D2226</f>
        <v/>
      </c>
      <c r="C2226" s="559" t="n">
        <v>191</v>
      </c>
      <c r="D2226" s="484" t="inlineStr">
        <is>
          <t>忠孝國際醫學3樓</t>
        </is>
      </c>
      <c r="E2226" s="484" t="inlineStr">
        <is>
          <t>6200021</t>
        </is>
      </c>
      <c r="F2226" s="551" t="n"/>
      <c r="G2226" s="484" t="inlineStr">
        <is>
          <t>(V)猛健樂12.5mg/ 0.12CC</t>
        </is>
      </c>
      <c r="H2226" s="552" t="n"/>
      <c r="I2226" s="552" t="n"/>
      <c r="J2226" s="551" t="n"/>
      <c r="K2226" s="140" t="inlineStr">
        <is>
          <t>0.12cc/次</t>
        </is>
      </c>
      <c r="L2226" s="560" t="n">
        <v>8</v>
      </c>
    </row>
    <row r="2227" ht="17.25" customHeight="1" s="453" thickBot="1">
      <c r="A2227" s="553">
        <f>IFERROR(LEFT(B2227,7),"")</f>
        <v/>
      </c>
      <c r="B2227" s="554">
        <f>"2026/05"&amp;D2227</f>
        <v/>
      </c>
      <c r="C2227" s="559" t="n">
        <v>192</v>
      </c>
      <c r="D2227" s="484" t="inlineStr">
        <is>
          <t>忠孝國際醫學3樓</t>
        </is>
      </c>
      <c r="E2227" s="484" t="inlineStr">
        <is>
          <t>6200022</t>
        </is>
      </c>
      <c r="F2227" s="551" t="n"/>
      <c r="G2227" s="484" t="inlineStr">
        <is>
          <t>綠寶石減脂雷射點數/ 點</t>
        </is>
      </c>
      <c r="H2227" s="552" t="n"/>
      <c r="I2227" s="552" t="n"/>
      <c r="J2227" s="551" t="n"/>
      <c r="K2227" s="140" t="inlineStr">
        <is>
          <t>點</t>
        </is>
      </c>
      <c r="L2227" s="560" t="n">
        <v>6</v>
      </c>
    </row>
    <row r="2228" ht="17.25" customHeight="1" s="453" thickBot="1">
      <c r="A2228" s="553">
        <f>IFERROR(LEFT(B2228,7),"")</f>
        <v/>
      </c>
      <c r="B2228" s="554">
        <f>"2026/05"&amp;D2228</f>
        <v/>
      </c>
      <c r="C2228" s="559" t="n">
        <v>193</v>
      </c>
      <c r="D2228" s="484" t="inlineStr">
        <is>
          <t>忠孝健康7樓</t>
        </is>
      </c>
      <c r="E2228" s="484" t="inlineStr">
        <is>
          <t>6050010</t>
        </is>
      </c>
      <c r="F2228" s="551" t="n"/>
      <c r="G2228" s="484" t="inlineStr">
        <is>
          <t>(V)ExoPower 泌力機泌安瓶 6mL</t>
        </is>
      </c>
      <c r="H2228" s="552" t="n"/>
      <c r="I2228" s="552" t="n"/>
      <c r="J2228" s="551" t="n"/>
      <c r="K2228" s="140" t="inlineStr">
        <is>
          <t>瓶</t>
        </is>
      </c>
      <c r="L2228" s="560" t="n">
        <v>2</v>
      </c>
    </row>
    <row r="2229" ht="17.25" customHeight="1" s="453" thickBot="1">
      <c r="A2229" s="553">
        <f>IFERROR(LEFT(B2229,7),"")</f>
        <v/>
      </c>
      <c r="B2229" s="554">
        <f>"2026/05"&amp;D2229</f>
        <v/>
      </c>
      <c r="C2229" s="559" t="n">
        <v>194</v>
      </c>
      <c r="D2229" s="484" t="inlineStr">
        <is>
          <t>忠孝健康7樓</t>
        </is>
      </c>
      <c r="E2229" s="484" t="inlineStr">
        <is>
          <t>6070002</t>
        </is>
      </c>
      <c r="F2229" s="551" t="n"/>
      <c r="G2229" s="484" t="inlineStr">
        <is>
          <t>(V)金采賦活保濕精華霜 30ml</t>
        </is>
      </c>
      <c r="H2229" s="552" t="n"/>
      <c r="I2229" s="552" t="n"/>
      <c r="J2229" s="551" t="n"/>
      <c r="K2229" s="140" t="inlineStr">
        <is>
          <t>30ml</t>
        </is>
      </c>
      <c r="L2229" s="560" t="n">
        <v>2</v>
      </c>
    </row>
    <row r="2230" ht="17.25" customHeight="1" s="453" thickBot="1">
      <c r="A2230" s="553">
        <f>IFERROR(LEFT(B2230,7),"")</f>
        <v/>
      </c>
      <c r="B2230" s="554">
        <f>"2026/05"&amp;D2230</f>
        <v/>
      </c>
      <c r="C2230" s="559" t="n">
        <v>195</v>
      </c>
      <c r="D2230" s="484" t="inlineStr">
        <is>
          <t>忠孝健康7樓</t>
        </is>
      </c>
      <c r="E2230" s="484" t="inlineStr">
        <is>
          <t>6080012</t>
        </is>
      </c>
      <c r="F2230" s="551" t="n"/>
      <c r="G2230" s="484" t="inlineStr">
        <is>
          <t>(V)小玉西瓜面膜 30mL</t>
        </is>
      </c>
      <c r="H2230" s="552" t="n"/>
      <c r="I2230" s="552" t="n"/>
      <c r="J2230" s="551" t="n"/>
      <c r="K2230" s="140" t="inlineStr">
        <is>
          <t>30ml</t>
        </is>
      </c>
      <c r="L2230" s="560" t="n">
        <v>650</v>
      </c>
    </row>
    <row r="2231" ht="17.25" customHeight="1" s="453" thickBot="1">
      <c r="A2231" s="553">
        <f>IFERROR(LEFT(B2231,7),"")</f>
        <v/>
      </c>
      <c r="B2231" s="554">
        <f>"2026/05"&amp;D2231</f>
        <v/>
      </c>
      <c r="C2231" s="559" t="n">
        <v>196</v>
      </c>
      <c r="D2231" s="484" t="inlineStr">
        <is>
          <t>忠孝健康7樓</t>
        </is>
      </c>
      <c r="E2231" s="484" t="inlineStr">
        <is>
          <t>6090001</t>
        </is>
      </c>
      <c r="F2231" s="551" t="n"/>
      <c r="G2231" s="484" t="inlineStr">
        <is>
          <t>(V)藍銅胜肽舒緩凍膜180ml</t>
        </is>
      </c>
      <c r="H2231" s="552" t="n"/>
      <c r="I2231" s="552" t="n"/>
      <c r="J2231" s="551" t="n"/>
      <c r="K2231" s="140" t="inlineStr">
        <is>
          <t>180ml</t>
        </is>
      </c>
      <c r="L2231" s="560" t="n">
        <v>20</v>
      </c>
    </row>
    <row r="2232" ht="17.25" customHeight="1" s="453" thickBot="1">
      <c r="A2232" s="553">
        <f>IFERROR(LEFT(B2232,7),"")</f>
        <v/>
      </c>
      <c r="B2232" s="554">
        <f>"2026/05"&amp;D2232</f>
        <v/>
      </c>
      <c r="C2232" s="559" t="n">
        <v>197</v>
      </c>
      <c r="D2232" s="484" t="inlineStr">
        <is>
          <t>忠孝健康7樓</t>
        </is>
      </c>
      <c r="E2232" s="484" t="inlineStr">
        <is>
          <t>6120004</t>
        </is>
      </c>
      <c r="F2232" s="551" t="n"/>
      <c r="G2232" s="484" t="inlineStr">
        <is>
          <t>(V)胺基酸點滴250ml/ 袋(安命活源/嘉安命)，20倍數叫貨</t>
        </is>
      </c>
      <c r="H2232" s="552" t="n"/>
      <c r="I2232" s="552" t="n"/>
      <c r="J2232" s="551" t="n"/>
      <c r="K2232" s="140" t="inlineStr">
        <is>
          <t>(20瓶/箱)</t>
        </is>
      </c>
      <c r="L2232" s="560" t="n">
        <v>12</v>
      </c>
    </row>
    <row r="2233" ht="17.25" customHeight="1" s="453" thickBot="1">
      <c r="A2233" s="553">
        <f>IFERROR(LEFT(B2233,7),"")</f>
        <v/>
      </c>
      <c r="B2233" s="554">
        <f>"2026/05"&amp;D2233</f>
        <v/>
      </c>
      <c r="C2233" s="559" t="n">
        <v>198</v>
      </c>
      <c r="D2233" s="484" t="inlineStr">
        <is>
          <t>忠孝健康7樓</t>
        </is>
      </c>
      <c r="E2233" s="484" t="inlineStr">
        <is>
          <t>6120006</t>
        </is>
      </c>
      <c r="F2233" s="551" t="n"/>
      <c r="G2233" s="484" t="inlineStr">
        <is>
          <t>(V)(B12) 愛壽命 2mL，100倍數叫貨</t>
        </is>
      </c>
      <c r="H2233" s="552" t="n"/>
      <c r="I2233" s="552" t="n"/>
      <c r="J2233" s="551" t="n"/>
      <c r="K2233" s="140" t="inlineStr">
        <is>
          <t>(100支/盒)</t>
        </is>
      </c>
      <c r="L2233" s="560" t="n">
        <v>16</v>
      </c>
    </row>
    <row r="2234" ht="17.25" customHeight="1" s="453" thickBot="1">
      <c r="A2234" s="553">
        <f>IFERROR(LEFT(B2234,7),"")</f>
        <v/>
      </c>
      <c r="B2234" s="554">
        <f>"2026/05"&amp;D2234</f>
        <v/>
      </c>
      <c r="C2234" s="559" t="n">
        <v>199</v>
      </c>
      <c r="D2234" s="484" t="inlineStr">
        <is>
          <t>忠孝健康7樓</t>
        </is>
      </c>
      <c r="E2234" s="484" t="inlineStr">
        <is>
          <t>6120007</t>
        </is>
      </c>
      <c r="F2234" s="551" t="n"/>
      <c r="G2234" s="484" t="inlineStr">
        <is>
          <t>(V)(硫酸鋅) 1ml/支，100倍數叫貨</t>
        </is>
      </c>
      <c r="H2234" s="552" t="n"/>
      <c r="I2234" s="552" t="n"/>
      <c r="J2234" s="551" t="n"/>
      <c r="K2234" s="140" t="inlineStr">
        <is>
          <t>100支/盒</t>
        </is>
      </c>
      <c r="L2234" s="560" t="n">
        <v>4</v>
      </c>
    </row>
    <row r="2235" ht="17.25" customHeight="1" s="453" thickBot="1">
      <c r="A2235" s="553">
        <f>IFERROR(LEFT(B2235,7),"")</f>
        <v/>
      </c>
      <c r="B2235" s="554">
        <f>"2026/05"&amp;D2235</f>
        <v/>
      </c>
      <c r="C2235" s="559" t="n">
        <v>200</v>
      </c>
      <c r="D2235" s="484" t="inlineStr">
        <is>
          <t>忠孝健康7樓</t>
        </is>
      </c>
      <c r="E2235" s="484" t="inlineStr">
        <is>
          <t>6120013</t>
        </is>
      </c>
      <c r="F2235" s="551" t="n"/>
      <c r="G2235" s="484" t="inlineStr">
        <is>
          <t>(V)生理食鹽水(NS) 250ml/ 袋</t>
        </is>
      </c>
      <c r="H2235" s="552" t="n"/>
      <c r="I2235" s="552" t="n"/>
      <c r="J2235" s="551" t="n"/>
      <c r="K2235" s="140" t="inlineStr">
        <is>
          <t>40瓶/箱</t>
        </is>
      </c>
      <c r="L2235" s="560" t="n">
        <v>47</v>
      </c>
    </row>
    <row r="2236" ht="17.25" customHeight="1" s="453" thickBot="1">
      <c r="A2236" s="553">
        <f>IFERROR(LEFT(B2236,7),"")</f>
        <v/>
      </c>
      <c r="B2236" s="554">
        <f>"2026/05"&amp;D2236</f>
        <v/>
      </c>
      <c r="C2236" s="559" t="n">
        <v>201</v>
      </c>
      <c r="D2236" s="484" t="inlineStr">
        <is>
          <t>忠孝健康7樓</t>
        </is>
      </c>
      <c r="E2236" s="484" t="inlineStr">
        <is>
          <t>6120015</t>
        </is>
      </c>
      <c r="F2236" s="551" t="n"/>
      <c r="G2236" s="484" t="inlineStr">
        <is>
          <t>(V)(B群)淘能美複合維他命B 2ml，100倍數叫貨</t>
        </is>
      </c>
      <c r="H2236" s="552" t="n"/>
      <c r="I2236" s="552" t="n"/>
      <c r="J2236" s="551" t="n"/>
      <c r="K2236" s="140" t="n"/>
      <c r="L2236" s="560" t="n">
        <v>59</v>
      </c>
    </row>
    <row r="2237" ht="17.25" customHeight="1" s="453" thickBot="1">
      <c r="A2237" s="553">
        <f>IFERROR(LEFT(B2237,7),"")</f>
        <v/>
      </c>
      <c r="B2237" s="554">
        <f>"2026/05"&amp;D2237</f>
        <v/>
      </c>
      <c r="C2237" s="559" t="n">
        <v>202</v>
      </c>
      <c r="D2237" s="484" t="inlineStr">
        <is>
          <t>忠孝健康7樓</t>
        </is>
      </c>
      <c r="E2237" s="484" t="inlineStr">
        <is>
          <t>6120016</t>
        </is>
      </c>
      <c r="F2237" s="551" t="n"/>
      <c r="G2237" s="484" t="inlineStr">
        <is>
          <t>(V)(榖胱肝肽) 克樂達養200mg (20ml/瓶)</t>
        </is>
      </c>
      <c r="H2237" s="552" t="n"/>
      <c r="I2237" s="552" t="n"/>
      <c r="J2237" s="551" t="n"/>
      <c r="K2237" s="140" t="inlineStr">
        <is>
          <t>50支/盒</t>
        </is>
      </c>
      <c r="L2237" s="560" t="n">
        <v>55</v>
      </c>
    </row>
    <row r="2238" ht="17.25" customHeight="1" s="453" thickBot="1">
      <c r="A2238" s="553">
        <f>IFERROR(LEFT(B2238,7),"")</f>
        <v/>
      </c>
      <c r="B2238" s="554">
        <f>"2026/05"&amp;D2238</f>
        <v/>
      </c>
      <c r="C2238" s="559" t="n">
        <v>203</v>
      </c>
      <c r="D2238" s="484" t="inlineStr">
        <is>
          <t>忠孝健康7樓</t>
        </is>
      </c>
      <c r="E2238" s="484" t="inlineStr">
        <is>
          <t>6120017</t>
        </is>
      </c>
      <c r="F2238" s="551" t="n"/>
      <c r="G2238" s="484" t="inlineStr">
        <is>
          <t>(V)保肝 5ml/支</t>
        </is>
      </c>
      <c r="H2238" s="552" t="n"/>
      <c r="I2238" s="552" t="n"/>
      <c r="J2238" s="551" t="n"/>
      <c r="K2238" s="140" t="inlineStr">
        <is>
          <t>50支/盒</t>
        </is>
      </c>
      <c r="L2238" s="560" t="n">
        <v>4</v>
      </c>
    </row>
    <row r="2239" ht="17.25" customHeight="1" s="453" thickBot="1">
      <c r="A2239" s="553">
        <f>IFERROR(LEFT(B2239,7),"")</f>
        <v/>
      </c>
      <c r="B2239" s="554">
        <f>"2026/05"&amp;D2239</f>
        <v/>
      </c>
      <c r="C2239" s="559" t="n">
        <v>204</v>
      </c>
      <c r="D2239" s="484" t="inlineStr">
        <is>
          <t>忠孝健康7樓</t>
        </is>
      </c>
      <c r="E2239" s="484" t="inlineStr">
        <is>
          <t>6120018</t>
        </is>
      </c>
      <c r="F2239" s="551" t="n"/>
      <c r="G2239" s="484" t="inlineStr">
        <is>
          <t>(V)(傳明酸)止血明 5ml/支</t>
        </is>
      </c>
      <c r="H2239" s="552" t="n"/>
      <c r="I2239" s="552" t="n"/>
      <c r="J2239" s="551" t="n"/>
      <c r="K2239" s="140" t="inlineStr">
        <is>
          <t>50支/盒</t>
        </is>
      </c>
      <c r="L2239" s="560" t="n">
        <v>82</v>
      </c>
    </row>
    <row r="2240" ht="17.25" customHeight="1" s="453" thickBot="1">
      <c r="A2240" s="553">
        <f>IFERROR(LEFT(B2240,7),"")</f>
        <v/>
      </c>
      <c r="B2240" s="554">
        <f>"2026/05"&amp;D2240</f>
        <v/>
      </c>
      <c r="C2240" s="559" t="n">
        <v>205</v>
      </c>
      <c r="D2240" s="484" t="inlineStr">
        <is>
          <t>忠孝健康7樓</t>
        </is>
      </c>
      <c r="E2240" s="484" t="inlineStr">
        <is>
          <t>6120020</t>
        </is>
      </c>
      <c r="F2240" s="551" t="n"/>
      <c r="G2240" s="484" t="inlineStr">
        <is>
          <t>(V)(Vit C) 抗壞血酸 2mL，100倍數下單</t>
        </is>
      </c>
      <c r="H2240" s="552" t="n"/>
      <c r="I2240" s="552" t="n"/>
      <c r="J2240" s="551" t="n"/>
      <c r="K2240" s="140" t="inlineStr">
        <is>
          <t>100支/盒</t>
        </is>
      </c>
      <c r="L2240" s="560" t="n">
        <v>17</v>
      </c>
    </row>
    <row r="2241" ht="17.25" customHeight="1" s="453" thickBot="1">
      <c r="A2241" s="553">
        <f>IFERROR(LEFT(B2241,7),"")</f>
        <v/>
      </c>
      <c r="B2241" s="554">
        <f>"2026/05"&amp;D2241</f>
        <v/>
      </c>
      <c r="C2241" s="559" t="n">
        <v>206</v>
      </c>
      <c r="D2241" s="484" t="inlineStr">
        <is>
          <t>忠孝健康7樓</t>
        </is>
      </c>
      <c r="E2241" s="484" t="inlineStr">
        <is>
          <t>6120021</t>
        </is>
      </c>
      <c r="F2241" s="551" t="n"/>
      <c r="G2241" s="484" t="inlineStr">
        <is>
          <t>(V)(Vit C)(抗壞血酸/諾貝爾)20ml，50倍數下單</t>
        </is>
      </c>
      <c r="H2241" s="552" t="n"/>
      <c r="I2241" s="552" t="n"/>
      <c r="J2241" s="551" t="n"/>
      <c r="K2241" s="140" t="inlineStr">
        <is>
          <t>50支/盒</t>
        </is>
      </c>
      <c r="L2241" s="560" t="n">
        <v>80</v>
      </c>
    </row>
    <row r="2242" ht="17.25" customHeight="1" s="453" thickBot="1">
      <c r="A2242" s="553">
        <f>IFERROR(LEFT(B2242,7),"")</f>
        <v/>
      </c>
      <c r="B2242" s="554">
        <f>"2026/05"&amp;D2242</f>
        <v/>
      </c>
      <c r="C2242" s="559" t="n">
        <v>207</v>
      </c>
      <c r="D2242" s="484" t="inlineStr">
        <is>
          <t>忠孝健康7樓</t>
        </is>
      </c>
      <c r="E2242" s="484" t="inlineStr">
        <is>
          <t>6120022</t>
        </is>
      </c>
      <c r="F2242" s="551" t="n"/>
      <c r="G2242" s="484" t="inlineStr">
        <is>
          <t>(V)(銀杏) 循必利Gingo注射液0.84毫克/毫升 5ml</t>
        </is>
      </c>
      <c r="H2242" s="552" t="n"/>
      <c r="I2242" s="552" t="n"/>
      <c r="J2242" s="551" t="n"/>
      <c r="K2242" s="140" t="inlineStr">
        <is>
          <t>50支/盒</t>
        </is>
      </c>
      <c r="L2242" s="560" t="n">
        <v>4</v>
      </c>
    </row>
    <row r="2243" ht="17.25" customHeight="1" s="453" thickBot="1">
      <c r="A2243" s="553">
        <f>IFERROR(LEFT(B2243,7),"")</f>
        <v/>
      </c>
      <c r="B2243" s="554">
        <f>"2026/05"&amp;D2243</f>
        <v/>
      </c>
      <c r="C2243" s="559" t="n">
        <v>208</v>
      </c>
      <c r="D2243" s="484" t="inlineStr">
        <is>
          <t>忠孝健康7樓</t>
        </is>
      </c>
      <c r="E2243" s="484" t="inlineStr">
        <is>
          <t>6120036</t>
        </is>
      </c>
      <c r="F2243" s="551" t="n"/>
      <c r="G2243" s="484" t="inlineStr">
        <is>
          <t>(V)貝力多(雙胜胺) 20% 50mL/ 瓶，60倍數下單</t>
        </is>
      </c>
      <c r="H2243" s="552" t="n"/>
      <c r="I2243" s="552" t="n"/>
      <c r="J2243" s="551" t="n"/>
      <c r="K2243" s="140" t="inlineStr">
        <is>
          <t>瓶(10瓶/盒)</t>
        </is>
      </c>
      <c r="L2243" s="560" t="n">
        <v>12</v>
      </c>
    </row>
    <row r="2244" ht="17.25" customHeight="1" s="453" thickBot="1">
      <c r="A2244" s="553">
        <f>IFERROR(LEFT(B2244,7),"")</f>
        <v/>
      </c>
      <c r="B2244" s="554">
        <f>"2026/05"&amp;D2244</f>
        <v/>
      </c>
      <c r="C2244" s="559" t="n">
        <v>209</v>
      </c>
      <c r="D2244" s="484" t="inlineStr">
        <is>
          <t>忠孝健康7樓</t>
        </is>
      </c>
      <c r="E2244" s="484" t="inlineStr">
        <is>
          <t>6140001</t>
        </is>
      </c>
      <c r="F2244" s="551" t="n"/>
      <c r="G2244" s="484" t="inlineStr">
        <is>
          <t>(V)保妥適肉毒Botox/ u，100倍數下單</t>
        </is>
      </c>
      <c r="H2244" s="552" t="n"/>
      <c r="I2244" s="552" t="n"/>
      <c r="J2244" s="551" t="n"/>
      <c r="K2244" s="140" t="inlineStr">
        <is>
          <t>100U/瓶</t>
        </is>
      </c>
      <c r="L2244" s="560" t="n">
        <v>1134</v>
      </c>
    </row>
    <row r="2245" ht="17.25" customHeight="1" s="453" thickBot="1">
      <c r="A2245" s="553">
        <f>IFERROR(LEFT(B2245,7),"")</f>
        <v/>
      </c>
      <c r="B2245" s="554">
        <f>"2026/05"&amp;D2245</f>
        <v/>
      </c>
      <c r="C2245" s="559" t="n">
        <v>210</v>
      </c>
      <c r="D2245" s="484" t="inlineStr">
        <is>
          <t>忠孝健康7樓</t>
        </is>
      </c>
      <c r="E2245" s="484" t="inlineStr">
        <is>
          <t>6140003</t>
        </is>
      </c>
      <c r="F2245" s="551" t="n"/>
      <c r="G2245" s="484" t="inlineStr">
        <is>
          <t>(V)保提拉肉毒Letybo/ u，3200倍數下單</t>
        </is>
      </c>
      <c r="H2245" s="552" t="n"/>
      <c r="I2245" s="552" t="n"/>
      <c r="J2245" s="551" t="n"/>
      <c r="K2245" s="140" t="inlineStr">
        <is>
          <t>200U/瓶</t>
        </is>
      </c>
      <c r="L2245" s="560" t="n">
        <v>4409</v>
      </c>
    </row>
    <row r="2246" ht="17.25" customHeight="1" s="453" thickBot="1">
      <c r="A2246" s="553">
        <f>IFERROR(LEFT(B2246,7),"")</f>
        <v/>
      </c>
      <c r="B2246" s="554">
        <f>"2026/05"&amp;D2246</f>
        <v/>
      </c>
      <c r="C2246" s="559" t="n">
        <v>211</v>
      </c>
      <c r="D2246" s="484" t="inlineStr">
        <is>
          <t>忠孝健康7樓</t>
        </is>
      </c>
      <c r="E2246" s="484" t="inlineStr">
        <is>
          <t>6140005</t>
        </is>
      </c>
      <c r="F2246" s="551" t="n"/>
      <c r="G2246" s="484" t="inlineStr">
        <is>
          <t>(V)奇蹟肉毒/ u，200倍數下單</t>
        </is>
      </c>
      <c r="H2246" s="552" t="n"/>
      <c r="I2246" s="552" t="n"/>
      <c r="J2246" s="551" t="n"/>
      <c r="K2246" s="140" t="inlineStr">
        <is>
          <t>200U/瓶</t>
        </is>
      </c>
      <c r="L2246" s="560" t="n">
        <v>3665</v>
      </c>
    </row>
    <row r="2247" ht="17.25" customHeight="1" s="453" thickBot="1">
      <c r="A2247" s="553">
        <f>IFERROR(LEFT(B2247,7),"")</f>
        <v/>
      </c>
      <c r="B2247" s="554">
        <f>"2026/05"&amp;D2247</f>
        <v/>
      </c>
      <c r="C2247" s="559" t="n">
        <v>212</v>
      </c>
      <c r="D2247" s="484" t="inlineStr">
        <is>
          <t>忠孝健康7樓</t>
        </is>
      </c>
      <c r="E2247" s="484" t="inlineStr">
        <is>
          <t>6150001</t>
        </is>
      </c>
      <c r="F2247" s="551" t="n"/>
      <c r="G2247" s="484" t="inlineStr">
        <is>
          <t>(V)喬雅登-豐麗緹玻尿酸植入物Voluma 1ml</t>
        </is>
      </c>
      <c r="H2247" s="552" t="n"/>
      <c r="I2247" s="552" t="n"/>
      <c r="J2247" s="551" t="n"/>
      <c r="K2247" s="140" t="inlineStr">
        <is>
          <t>1ml(2ml/盒)</t>
        </is>
      </c>
      <c r="L2247" s="560" t="n">
        <v>23</v>
      </c>
    </row>
    <row r="2248" ht="17.25" customHeight="1" s="453" thickBot="1">
      <c r="A2248" s="553">
        <f>IFERROR(LEFT(B2248,7),"")</f>
        <v/>
      </c>
      <c r="B2248" s="554">
        <f>"2026/05"&amp;D2248</f>
        <v/>
      </c>
      <c r="C2248" s="559" t="n">
        <v>213</v>
      </c>
      <c r="D2248" s="484" t="inlineStr">
        <is>
          <t>忠孝健康7樓</t>
        </is>
      </c>
      <c r="E2248" s="484" t="inlineStr">
        <is>
          <t>6150002</t>
        </is>
      </c>
      <c r="F2248" s="551" t="n"/>
      <c r="G2248" s="484" t="inlineStr">
        <is>
          <t>(V)喬雅登-夢蓓菈玻尿酸植入物Volbella 1ml</t>
        </is>
      </c>
      <c r="H2248" s="552" t="n"/>
      <c r="I2248" s="552" t="n"/>
      <c r="J2248" s="551" t="n"/>
      <c r="K2248" s="140" t="inlineStr">
        <is>
          <t>1ml(2ml/盒)</t>
        </is>
      </c>
      <c r="L2248" s="560" t="n">
        <v>7</v>
      </c>
    </row>
    <row r="2249" ht="17.25" customHeight="1" s="453" thickBot="1">
      <c r="A2249" s="553">
        <f>IFERROR(LEFT(B2249,7),"")</f>
        <v/>
      </c>
      <c r="B2249" s="554">
        <f>"2026/05"&amp;D2249</f>
        <v/>
      </c>
      <c r="C2249" s="559" t="n">
        <v>214</v>
      </c>
      <c r="D2249" s="484" t="inlineStr">
        <is>
          <t>忠孝健康7樓</t>
        </is>
      </c>
      <c r="E2249" s="484" t="inlineStr">
        <is>
          <t>6150004</t>
        </is>
      </c>
      <c r="F2249" s="551" t="n"/>
      <c r="G2249" s="484" t="inlineStr">
        <is>
          <t>(V)喬雅登-豐塑玻尿酸植入物Volux 1ml</t>
        </is>
      </c>
      <c r="H2249" s="552" t="n"/>
      <c r="I2249" s="552" t="n"/>
      <c r="J2249" s="551" t="n"/>
      <c r="K2249" s="140" t="inlineStr">
        <is>
          <t>1ml(2ml/盒)</t>
        </is>
      </c>
      <c r="L2249" s="560" t="n">
        <v>5</v>
      </c>
    </row>
    <row r="2250" ht="17.25" customHeight="1" s="453" thickBot="1">
      <c r="A2250" s="553">
        <f>IFERROR(LEFT(B2250,7),"")</f>
        <v/>
      </c>
      <c r="B2250" s="554">
        <f>"2026/05"&amp;D2250</f>
        <v/>
      </c>
      <c r="C2250" s="559" t="n">
        <v>215</v>
      </c>
      <c r="D2250" s="484" t="inlineStr">
        <is>
          <t>忠孝健康7樓</t>
        </is>
      </c>
      <c r="E2250" s="484" t="inlineStr">
        <is>
          <t>6150010</t>
        </is>
      </c>
      <c r="F2250" s="551" t="n"/>
      <c r="G2250" s="484" t="inlineStr">
        <is>
          <t>(V)仙女玻尿酸大分子 1ml</t>
        </is>
      </c>
      <c r="H2250" s="552" t="n"/>
      <c r="I2250" s="552" t="n"/>
      <c r="J2250" s="551" t="n"/>
      <c r="K2250" s="140" t="inlineStr">
        <is>
          <t>1ml(1ml/盒)</t>
        </is>
      </c>
      <c r="L2250" s="560" t="n">
        <v>15</v>
      </c>
    </row>
    <row r="2251" ht="17.25" customHeight="1" s="453" thickBot="1">
      <c r="A2251" s="553">
        <f>IFERROR(LEFT(B2251,7),"")</f>
        <v/>
      </c>
      <c r="B2251" s="554">
        <f>"2026/05"&amp;D2251</f>
        <v/>
      </c>
      <c r="C2251" s="559" t="n">
        <v>216</v>
      </c>
      <c r="D2251" s="484" t="inlineStr">
        <is>
          <t>忠孝健康7樓</t>
        </is>
      </c>
      <c r="E2251" s="484" t="inlineStr">
        <is>
          <t>6150011</t>
        </is>
      </c>
      <c r="F2251" s="551" t="n"/>
      <c r="G2251" s="484" t="inlineStr">
        <is>
          <t>(V)仙女玻尿酸小分子 1ml</t>
        </is>
      </c>
      <c r="H2251" s="552" t="n"/>
      <c r="I2251" s="552" t="n"/>
      <c r="J2251" s="551" t="n"/>
      <c r="K2251" s="140" t="inlineStr">
        <is>
          <t>1ml(1ml/盒)</t>
        </is>
      </c>
      <c r="L2251" s="560" t="n">
        <v>4</v>
      </c>
    </row>
    <row r="2252" ht="17.25" customHeight="1" s="453" thickBot="1">
      <c r="A2252" s="553">
        <f>IFERROR(LEFT(B2252,7),"")</f>
        <v/>
      </c>
      <c r="B2252" s="554">
        <f>"2026/05"&amp;D2252</f>
        <v/>
      </c>
      <c r="C2252" s="559" t="n">
        <v>217</v>
      </c>
      <c r="D2252" s="484" t="inlineStr">
        <is>
          <t>忠孝健康7樓</t>
        </is>
      </c>
      <c r="E2252" s="484" t="inlineStr">
        <is>
          <t>6150013</t>
        </is>
      </c>
      <c r="F2252" s="551" t="n"/>
      <c r="G2252" s="484" t="inlineStr">
        <is>
          <t>(V)逆時針(璞菲洛)2cc/支</t>
        </is>
      </c>
      <c r="H2252" s="552" t="n"/>
      <c r="I2252" s="552" t="n"/>
      <c r="J2252" s="551" t="n"/>
      <c r="K2252" s="140" t="inlineStr">
        <is>
          <t>1ml(1ml/盒)</t>
        </is>
      </c>
      <c r="L2252" s="560" t="n">
        <v>4</v>
      </c>
    </row>
    <row r="2253" ht="17.25" customHeight="1" s="453" thickBot="1">
      <c r="A2253" s="553">
        <f>IFERROR(LEFT(B2253,7),"")</f>
        <v/>
      </c>
      <c r="B2253" s="554">
        <f>"2026/05"&amp;D2253</f>
        <v/>
      </c>
      <c r="C2253" s="559" t="n">
        <v>218</v>
      </c>
      <c r="D2253" s="484" t="inlineStr">
        <is>
          <t>忠孝健康7樓</t>
        </is>
      </c>
      <c r="E2253" s="484" t="inlineStr">
        <is>
          <t>6150015</t>
        </is>
      </c>
      <c r="F2253" s="551" t="n"/>
      <c r="G2253" s="484" t="inlineStr">
        <is>
          <t>(V)喬雅登絲漾膚玻尿酸植入物Skinvive 1ml/支(2倍數叫貨)</t>
        </is>
      </c>
      <c r="H2253" s="552" t="n"/>
      <c r="I2253" s="552" t="n"/>
      <c r="J2253" s="551" t="n"/>
      <c r="K2253" s="140" t="inlineStr">
        <is>
          <t>1ml(2ml/盒)</t>
        </is>
      </c>
      <c r="L2253" s="560" t="n">
        <v>2</v>
      </c>
    </row>
    <row r="2254" ht="17.25" customHeight="1" s="453" thickBot="1">
      <c r="A2254" s="553">
        <f>IFERROR(LEFT(B2254,7),"")</f>
        <v/>
      </c>
      <c r="B2254" s="554">
        <f>"2026/05"&amp;D2254</f>
        <v/>
      </c>
      <c r="C2254" s="559" t="n">
        <v>219</v>
      </c>
      <c r="D2254" s="484" t="inlineStr">
        <is>
          <t>忠孝健康7樓</t>
        </is>
      </c>
      <c r="E2254" s="484" t="inlineStr">
        <is>
          <t>6160002</t>
        </is>
      </c>
      <c r="F2254" s="551" t="n"/>
      <c r="G2254" s="484" t="inlineStr">
        <is>
          <t>(V)洢蓮絲植入劑ELLANSÉ-S 1ml/ 支(2倍數叫貨)</t>
        </is>
      </c>
      <c r="H2254" s="552" t="n"/>
      <c r="I2254" s="552" t="n"/>
      <c r="J2254" s="551" t="n"/>
      <c r="K2254" s="140" t="inlineStr">
        <is>
          <t>1ml(2ml/盒)</t>
        </is>
      </c>
      <c r="L2254" s="560" t="n">
        <v>36</v>
      </c>
    </row>
    <row r="2255" ht="17.25" customHeight="1" s="453" thickBot="1">
      <c r="A2255" s="553">
        <f>IFERROR(LEFT(B2255,7),"")</f>
        <v/>
      </c>
      <c r="B2255" s="554">
        <f>"2026/05"&amp;D2255</f>
        <v/>
      </c>
      <c r="C2255" s="559" t="n">
        <v>220</v>
      </c>
      <c r="D2255" s="484" t="inlineStr">
        <is>
          <t>忠孝健康7樓</t>
        </is>
      </c>
      <c r="E2255" s="484" t="inlineStr">
        <is>
          <t>6160003</t>
        </is>
      </c>
      <c r="F2255" s="551" t="n"/>
      <c r="G2255" s="484" t="inlineStr">
        <is>
          <t>(V)洢蓮絲植入劑ELLANSÉ-M 1ml/ 支(2倍數叫貨)</t>
        </is>
      </c>
      <c r="H2255" s="552" t="n"/>
      <c r="I2255" s="552" t="n"/>
      <c r="J2255" s="551" t="n"/>
      <c r="K2255" s="140" t="inlineStr">
        <is>
          <t>1ml(2ml/盒)</t>
        </is>
      </c>
      <c r="L2255" s="560" t="n">
        <v>8</v>
      </c>
    </row>
    <row r="2256" ht="17.25" customHeight="1" s="453" thickBot="1">
      <c r="A2256" s="553">
        <f>IFERROR(LEFT(B2256,7),"")</f>
        <v/>
      </c>
      <c r="B2256" s="554">
        <f>"2026/05"&amp;D2256</f>
        <v/>
      </c>
      <c r="C2256" s="559" t="n">
        <v>221</v>
      </c>
      <c r="D2256" s="484" t="inlineStr">
        <is>
          <t>忠孝健康7樓</t>
        </is>
      </c>
      <c r="E2256" s="484" t="inlineStr">
        <is>
          <t>6160005</t>
        </is>
      </c>
      <c r="F2256" s="551" t="n"/>
      <c r="G2256" s="484" t="inlineStr">
        <is>
          <t>(V)双美熊貓針</t>
        </is>
      </c>
      <c r="H2256" s="552" t="n"/>
      <c r="I2256" s="552" t="n"/>
      <c r="J2256" s="551" t="n"/>
      <c r="K2256" s="140" t="inlineStr">
        <is>
          <t>(1ml/盒)</t>
        </is>
      </c>
      <c r="L2256" s="560" t="n">
        <v>4</v>
      </c>
    </row>
    <row r="2257" ht="17.25" customHeight="1" s="453" thickBot="1">
      <c r="A2257" s="553">
        <f>IFERROR(LEFT(B2257,7),"")</f>
        <v/>
      </c>
      <c r="B2257" s="554">
        <f>"2026/05"&amp;D2257</f>
        <v/>
      </c>
      <c r="C2257" s="559" t="n">
        <v>222</v>
      </c>
      <c r="D2257" s="484" t="inlineStr">
        <is>
          <t>忠孝健康7樓</t>
        </is>
      </c>
      <c r="E2257" s="484" t="inlineStr">
        <is>
          <t>6160008</t>
        </is>
      </c>
      <c r="F2257" s="551" t="n"/>
      <c r="G2257" s="484" t="inlineStr">
        <is>
          <t>(V)薇貝拉50mg小分子/ 1cc</t>
        </is>
      </c>
      <c r="H2257" s="552" t="n"/>
      <c r="I2257" s="552" t="n"/>
      <c r="J2257" s="551" t="n"/>
      <c r="K2257" s="140" t="inlineStr">
        <is>
          <t>6cc/瓶</t>
        </is>
      </c>
      <c r="L2257" s="560" t="n">
        <v>63</v>
      </c>
    </row>
    <row r="2258" ht="17.25" customHeight="1" s="453" thickBot="1">
      <c r="A2258" s="553">
        <f>IFERROR(LEFT(B2258,7),"")</f>
        <v/>
      </c>
      <c r="B2258" s="554">
        <f>"2026/05"&amp;D2258</f>
        <v/>
      </c>
      <c r="C2258" s="559" t="n">
        <v>223</v>
      </c>
      <c r="D2258" s="484" t="inlineStr">
        <is>
          <t>忠孝健康7樓</t>
        </is>
      </c>
      <c r="E2258" s="484" t="inlineStr">
        <is>
          <t>6160009</t>
        </is>
      </c>
      <c r="F2258" s="551" t="n"/>
      <c r="G2258" s="484" t="inlineStr">
        <is>
          <t>(V)薇貝拉200mg大分子/ 1cc</t>
        </is>
      </c>
      <c r="H2258" s="552" t="n"/>
      <c r="I2258" s="552" t="n"/>
      <c r="J2258" s="551" t="n"/>
      <c r="K2258" s="140" t="inlineStr">
        <is>
          <t>8cc/瓶</t>
        </is>
      </c>
      <c r="L2258" s="560" t="n">
        <v>16</v>
      </c>
    </row>
    <row r="2259" ht="17.25" customHeight="1" s="453" thickBot="1">
      <c r="A2259" s="553">
        <f>IFERROR(LEFT(B2259,7),"")</f>
        <v/>
      </c>
      <c r="B2259" s="554">
        <f>"2026/05"&amp;D2259</f>
        <v/>
      </c>
      <c r="C2259" s="559" t="n">
        <v>224</v>
      </c>
      <c r="D2259" s="484" t="inlineStr">
        <is>
          <t>忠孝健康7樓</t>
        </is>
      </c>
      <c r="E2259" s="484" t="inlineStr">
        <is>
          <t>6160010</t>
        </is>
      </c>
      <c r="F2259" s="551" t="n"/>
      <c r="G2259" s="484" t="inlineStr">
        <is>
          <t>(V)喬雅露-大分子200mg/ 1cc(8倍數叫貨)</t>
        </is>
      </c>
      <c r="H2259" s="552" t="n"/>
      <c r="I2259" s="552" t="n"/>
      <c r="J2259" s="551" t="n"/>
      <c r="K2259" s="140" t="inlineStr">
        <is>
          <t>8cc/瓶</t>
        </is>
      </c>
      <c r="L2259" s="560" t="n">
        <v>33</v>
      </c>
    </row>
    <row r="2260" ht="17.25" customHeight="1" s="453" thickBot="1">
      <c r="A2260" s="553">
        <f>IFERROR(LEFT(B2260,7),"")</f>
        <v/>
      </c>
      <c r="B2260" s="554">
        <f>"2026/05"&amp;D2260</f>
        <v/>
      </c>
      <c r="C2260" s="559" t="n">
        <v>225</v>
      </c>
      <c r="D2260" s="484" t="inlineStr">
        <is>
          <t>忠孝健康7樓</t>
        </is>
      </c>
      <c r="E2260" s="484" t="inlineStr">
        <is>
          <t>6160011</t>
        </is>
      </c>
      <c r="F2260" s="551" t="n"/>
      <c r="G2260" s="484" t="inlineStr">
        <is>
          <t>(V)喬雅露-小分子50mg/ 1cc(6倍數叫貨)</t>
        </is>
      </c>
      <c r="H2260" s="552" t="n"/>
      <c r="I2260" s="552" t="n"/>
      <c r="J2260" s="551" t="n"/>
      <c r="K2260" s="140" t="inlineStr">
        <is>
          <t>6cc/瓶</t>
        </is>
      </c>
      <c r="L2260" s="560" t="n">
        <v>243</v>
      </c>
    </row>
    <row r="2261" ht="17.25" customHeight="1" s="453" thickBot="1">
      <c r="A2261" s="553">
        <f>IFERROR(LEFT(B2261,7),"")</f>
        <v/>
      </c>
      <c r="B2261" s="554">
        <f>"2026/05"&amp;D2261</f>
        <v/>
      </c>
      <c r="C2261" s="559" t="n">
        <v>226</v>
      </c>
      <c r="D2261" s="484" t="inlineStr">
        <is>
          <t>忠孝健康7樓</t>
        </is>
      </c>
      <c r="E2261" s="484" t="inlineStr">
        <is>
          <t>6170005</t>
        </is>
      </c>
      <c r="F2261" s="551" t="n"/>
      <c r="G2261" s="484" t="inlineStr">
        <is>
          <t>海芙三代音波探頭2mm/ 條</t>
        </is>
      </c>
      <c r="H2261" s="552" t="n"/>
      <c r="I2261" s="552" t="n"/>
      <c r="J2261" s="551" t="n"/>
      <c r="K2261" s="140" t="inlineStr">
        <is>
          <t>20099條/顆</t>
        </is>
      </c>
      <c r="L2261" s="560" t="n">
        <v>6774</v>
      </c>
    </row>
    <row r="2262" ht="17.25" customHeight="1" s="453" thickBot="1">
      <c r="A2262" s="553">
        <f>IFERROR(LEFT(B2262,7),"")</f>
        <v/>
      </c>
      <c r="B2262" s="554">
        <f>"2026/05"&amp;D2262</f>
        <v/>
      </c>
      <c r="C2262" s="559" t="n">
        <v>227</v>
      </c>
      <c r="D2262" s="484" t="inlineStr">
        <is>
          <t>忠孝健康7樓</t>
        </is>
      </c>
      <c r="E2262" s="484" t="inlineStr">
        <is>
          <t>6170007</t>
        </is>
      </c>
      <c r="F2262" s="551" t="n"/>
      <c r="G2262" s="484" t="inlineStr">
        <is>
          <t>海芙三代音波探頭3mm/ 條</t>
        </is>
      </c>
      <c r="H2262" s="552" t="n"/>
      <c r="I2262" s="552" t="n"/>
      <c r="J2262" s="551" t="n"/>
      <c r="K2262" s="140" t="inlineStr">
        <is>
          <t>20099條/顆</t>
        </is>
      </c>
      <c r="L2262" s="560" t="n">
        <v>15199</v>
      </c>
    </row>
    <row r="2263" ht="17.25" customHeight="1" s="453" thickBot="1">
      <c r="A2263" s="553">
        <f>IFERROR(LEFT(B2263,7),"")</f>
        <v/>
      </c>
      <c r="B2263" s="554">
        <f>"2026/05"&amp;D2263</f>
        <v/>
      </c>
      <c r="C2263" s="559" t="n">
        <v>228</v>
      </c>
      <c r="D2263" s="484" t="inlineStr">
        <is>
          <t>忠孝健康7樓</t>
        </is>
      </c>
      <c r="E2263" s="484" t="inlineStr">
        <is>
          <t>6170009</t>
        </is>
      </c>
      <c r="F2263" s="551" t="n"/>
      <c r="G2263" s="484" t="inlineStr">
        <is>
          <t>海芙三代音波探頭4.5mm/ 條</t>
        </is>
      </c>
      <c r="H2263" s="552" t="n"/>
      <c r="I2263" s="552" t="n"/>
      <c r="J2263" s="551" t="n"/>
      <c r="K2263" s="140" t="inlineStr">
        <is>
          <t>20099條/顆</t>
        </is>
      </c>
      <c r="L2263" s="560" t="n">
        <v>26120</v>
      </c>
    </row>
    <row r="2264" ht="17.25" customHeight="1" s="453" thickBot="1">
      <c r="A2264" s="553">
        <f>IFERROR(LEFT(B2264,7),"")</f>
        <v/>
      </c>
      <c r="B2264" s="554">
        <f>"2026/05"&amp;D2264</f>
        <v/>
      </c>
      <c r="C2264" s="559" t="n">
        <v>229</v>
      </c>
      <c r="D2264" s="484" t="inlineStr">
        <is>
          <t>忠孝健康7樓</t>
        </is>
      </c>
      <c r="E2264" s="484" t="inlineStr">
        <is>
          <t>6170011</t>
        </is>
      </c>
      <c r="F2264" s="551" t="n"/>
      <c r="G2264" s="484" t="inlineStr">
        <is>
          <t>海芙三代音波探頭6mm/ 條</t>
        </is>
      </c>
      <c r="H2264" s="552" t="n"/>
      <c r="I2264" s="552" t="n"/>
      <c r="J2264" s="551" t="n"/>
      <c r="K2264" s="140" t="inlineStr">
        <is>
          <t>30,099條/顆</t>
        </is>
      </c>
      <c r="L2264" s="560" t="n">
        <v>5908</v>
      </c>
    </row>
    <row r="2265" ht="17.25" customHeight="1" s="453" thickBot="1">
      <c r="A2265" s="553">
        <f>IFERROR(LEFT(B2265,7),"")</f>
        <v/>
      </c>
      <c r="B2265" s="554">
        <f>"2026/05"&amp;D2265</f>
        <v/>
      </c>
      <c r="C2265" s="559" t="n">
        <v>230</v>
      </c>
      <c r="D2265" s="484" t="inlineStr">
        <is>
          <t>忠孝健康7樓</t>
        </is>
      </c>
      <c r="E2265" s="484" t="inlineStr">
        <is>
          <t>6170013</t>
        </is>
      </c>
      <c r="F2265" s="551" t="n"/>
      <c r="G2265" s="484" t="inlineStr">
        <is>
          <t>鳳凰電波4平方公分紫鑽探頭(900發)</t>
        </is>
      </c>
      <c r="H2265" s="552" t="n"/>
      <c r="I2265" s="552" t="n"/>
      <c r="J2265" s="551" t="n"/>
      <c r="K2265" s="140" t="inlineStr">
        <is>
          <t>顆</t>
        </is>
      </c>
      <c r="L2265" s="560" t="n">
        <v>7</v>
      </c>
    </row>
    <row r="2266" ht="17.25" customHeight="1" s="453" thickBot="1">
      <c r="A2266" s="553">
        <f>IFERROR(LEFT(B2266,7),"")</f>
        <v/>
      </c>
      <c r="B2266" s="554">
        <f>"2026/05"&amp;D2266</f>
        <v/>
      </c>
      <c r="C2266" s="559" t="n">
        <v>231</v>
      </c>
      <c r="D2266" s="484" t="inlineStr">
        <is>
          <t>忠孝健康7樓</t>
        </is>
      </c>
      <c r="E2266" s="484" t="inlineStr">
        <is>
          <t>6170014</t>
        </is>
      </c>
      <c r="F2266" s="551" t="n"/>
      <c r="G2266" s="484" t="inlineStr">
        <is>
          <t>鳳凰電波0.25平方公分碧眼探頭(450發)</t>
        </is>
      </c>
      <c r="H2266" s="552" t="n"/>
      <c r="I2266" s="552" t="n"/>
      <c r="J2266" s="551" t="n"/>
      <c r="K2266" s="140" t="inlineStr">
        <is>
          <t>顆</t>
        </is>
      </c>
      <c r="L2266" s="560" t="n">
        <v>10</v>
      </c>
    </row>
    <row r="2267" ht="17.25" customHeight="1" s="453" thickBot="1">
      <c r="A2267" s="553">
        <f>IFERROR(LEFT(B2267,7),"")</f>
        <v/>
      </c>
      <c r="B2267" s="554">
        <f>"2026/05"&amp;D2267</f>
        <v/>
      </c>
      <c r="C2267" s="559" t="n">
        <v>232</v>
      </c>
      <c r="D2267" s="484" t="inlineStr">
        <is>
          <t>忠孝健康7樓</t>
        </is>
      </c>
      <c r="E2267" s="484" t="inlineStr">
        <is>
          <t>6170019</t>
        </is>
      </c>
      <c r="F2267" s="551" t="n"/>
      <c r="G2267" s="484" t="inlineStr">
        <is>
          <t>媚必提直線探頭2.0mm/條</t>
        </is>
      </c>
      <c r="H2267" s="552" t="n"/>
      <c r="I2267" s="552" t="n"/>
      <c r="J2267" s="551" t="n"/>
      <c r="K2267" s="140" t="inlineStr">
        <is>
          <t>20,099條/顆</t>
        </is>
      </c>
      <c r="L2267" s="560" t="n">
        <v>2630</v>
      </c>
    </row>
    <row r="2268" ht="17.25" customHeight="1" s="453" thickBot="1">
      <c r="A2268" s="553">
        <f>IFERROR(LEFT(B2268,7),"")</f>
        <v/>
      </c>
      <c r="B2268" s="554">
        <f>"2026/05"&amp;D2268</f>
        <v/>
      </c>
      <c r="C2268" s="559" t="n">
        <v>233</v>
      </c>
      <c r="D2268" s="484" t="inlineStr">
        <is>
          <t>忠孝健康7樓</t>
        </is>
      </c>
      <c r="E2268" s="484" t="inlineStr">
        <is>
          <t>6170020</t>
        </is>
      </c>
      <c r="F2268" s="551" t="n"/>
      <c r="G2268" s="484" t="inlineStr">
        <is>
          <t>媚必提直線探頭3.0mm/條</t>
        </is>
      </c>
      <c r="H2268" s="552" t="n"/>
      <c r="I2268" s="552" t="n"/>
      <c r="J2268" s="551" t="n"/>
      <c r="K2268" s="140" t="inlineStr">
        <is>
          <t>20,099條/顆</t>
        </is>
      </c>
      <c r="L2268" s="560" t="n">
        <v>4272</v>
      </c>
    </row>
    <row r="2269" ht="17.25" customHeight="1" s="453" thickBot="1">
      <c r="A2269" s="553">
        <f>IFERROR(LEFT(B2269,7),"")</f>
        <v/>
      </c>
      <c r="B2269" s="554">
        <f>"2026/05"&amp;D2269</f>
        <v/>
      </c>
      <c r="C2269" s="559" t="n">
        <v>234</v>
      </c>
      <c r="D2269" s="484" t="inlineStr">
        <is>
          <t>忠孝健康7樓</t>
        </is>
      </c>
      <c r="E2269" s="484" t="inlineStr">
        <is>
          <t>6170021</t>
        </is>
      </c>
      <c r="F2269" s="551" t="n"/>
      <c r="G2269" s="484" t="inlineStr">
        <is>
          <t>媚必提直線探頭4.5mm/條</t>
        </is>
      </c>
      <c r="H2269" s="552" t="n"/>
      <c r="I2269" s="552" t="n"/>
      <c r="J2269" s="551" t="n"/>
      <c r="K2269" s="140" t="inlineStr">
        <is>
          <t>20,099條/顆</t>
        </is>
      </c>
      <c r="L2269" s="560" t="n">
        <v>13582</v>
      </c>
    </row>
    <row r="2270" ht="17.25" customHeight="1" s="453" thickBot="1">
      <c r="A2270" s="553">
        <f>IFERROR(LEFT(B2270,7),"")</f>
        <v/>
      </c>
      <c r="B2270" s="554">
        <f>"2026/05"&amp;D2270</f>
        <v/>
      </c>
      <c r="C2270" s="559" t="n">
        <v>235</v>
      </c>
      <c r="D2270" s="484" t="inlineStr">
        <is>
          <t>忠孝健康7樓</t>
        </is>
      </c>
      <c r="E2270" s="484" t="inlineStr">
        <is>
          <t>6170022</t>
        </is>
      </c>
      <c r="F2270" s="551" t="n"/>
      <c r="G2270" s="484" t="inlineStr">
        <is>
          <t>媚必提直線探頭6.0mm/條</t>
        </is>
      </c>
      <c r="H2270" s="552" t="n"/>
      <c r="I2270" s="552" t="n"/>
      <c r="J2270" s="551" t="n"/>
      <c r="K2270" s="140" t="inlineStr">
        <is>
          <t>20,099條/顆</t>
        </is>
      </c>
      <c r="L2270" s="560" t="n">
        <v>2974</v>
      </c>
    </row>
    <row r="2271" ht="17.25" customHeight="1" s="453" thickBot="1">
      <c r="A2271" s="553">
        <f>IFERROR(LEFT(B2271,7),"")</f>
        <v/>
      </c>
      <c r="B2271" s="554">
        <f>"2026/05"&amp;D2271</f>
        <v/>
      </c>
      <c r="C2271" s="559" t="n">
        <v>236</v>
      </c>
      <c r="D2271" s="484" t="inlineStr">
        <is>
          <t>忠孝健康7樓</t>
        </is>
      </c>
      <c r="E2271" s="484" t="inlineStr">
        <is>
          <t>6170025</t>
        </is>
      </c>
      <c r="F2271" s="551" t="n"/>
      <c r="G2271" s="484" t="inlineStr">
        <is>
          <t>媚必提圓周探頭1.5mm/條</t>
        </is>
      </c>
      <c r="H2271" s="552" t="n"/>
      <c r="I2271" s="552" t="n"/>
      <c r="J2271" s="551" t="n"/>
      <c r="K2271" s="140" t="inlineStr">
        <is>
          <t>20,099條/顆</t>
        </is>
      </c>
      <c r="L2271" s="560" t="n">
        <v>242</v>
      </c>
    </row>
    <row r="2272" ht="17.25" customHeight="1" s="453" thickBot="1">
      <c r="A2272" s="553">
        <f>IFERROR(LEFT(B2272,7),"")</f>
        <v/>
      </c>
      <c r="B2272" s="554">
        <f>"2026/05"&amp;D2272</f>
        <v/>
      </c>
      <c r="C2272" s="559" t="n">
        <v>237</v>
      </c>
      <c r="D2272" s="484" t="inlineStr">
        <is>
          <t>忠孝健康7樓</t>
        </is>
      </c>
      <c r="E2272" s="484" t="inlineStr">
        <is>
          <t>6170030</t>
        </is>
      </c>
      <c r="F2272" s="551" t="n"/>
      <c r="G2272" s="484" t="inlineStr">
        <is>
          <t>海芙電波探頭4.0cm/發</t>
        </is>
      </c>
      <c r="H2272" s="552" t="n"/>
      <c r="I2272" s="552" t="n"/>
      <c r="J2272" s="551" t="n"/>
      <c r="K2272" s="140" t="inlineStr">
        <is>
          <t>3,050發/顆</t>
        </is>
      </c>
      <c r="L2272" s="560" t="n">
        <v>4500</v>
      </c>
    </row>
    <row r="2273" ht="17.25" customHeight="1" s="453" thickBot="1">
      <c r="A2273" s="553">
        <f>IFERROR(LEFT(B2273,7),"")</f>
        <v/>
      </c>
      <c r="B2273" s="554">
        <f>"2026/05"&amp;D2273</f>
        <v/>
      </c>
      <c r="C2273" s="559" t="n">
        <v>238</v>
      </c>
      <c r="D2273" s="484" t="inlineStr">
        <is>
          <t>忠孝健康7樓</t>
        </is>
      </c>
      <c r="E2273" s="484" t="inlineStr">
        <is>
          <t>6170032</t>
        </is>
      </c>
      <c r="F2273" s="551" t="n"/>
      <c r="G2273" s="484" t="inlineStr">
        <is>
          <t>立特拉A2筆型探頭3.0mm/ 條</t>
        </is>
      </c>
      <c r="H2273" s="552" t="n"/>
      <c r="I2273" s="552" t="n"/>
      <c r="J2273" s="551" t="n"/>
      <c r="K2273" s="140" t="inlineStr">
        <is>
          <t>240,500條/顆</t>
        </is>
      </c>
      <c r="L2273" s="560" t="n">
        <v>93510</v>
      </c>
    </row>
    <row r="2274" ht="17.25" customHeight="1" s="453" thickBot="1">
      <c r="A2274" s="553">
        <f>IFERROR(LEFT(B2274,7),"")</f>
        <v/>
      </c>
      <c r="B2274" s="554">
        <f>"2026/05"&amp;D2274</f>
        <v/>
      </c>
      <c r="C2274" s="559" t="n">
        <v>239</v>
      </c>
      <c r="D2274" s="484" t="inlineStr">
        <is>
          <t>忠孝健康7樓</t>
        </is>
      </c>
      <c r="E2274" s="484" t="inlineStr">
        <is>
          <t>6170033</t>
        </is>
      </c>
      <c r="F2274" s="551" t="n"/>
      <c r="G2274" s="484" t="inlineStr">
        <is>
          <t>立特拉A2筆型探頭4.5mm/ 條</t>
        </is>
      </c>
      <c r="H2274" s="552" t="n"/>
      <c r="I2274" s="552" t="n"/>
      <c r="J2274" s="551" t="n"/>
      <c r="K2274" s="140" t="inlineStr">
        <is>
          <t>240,500條/顆</t>
        </is>
      </c>
      <c r="L2274" s="560" t="n">
        <v>44990</v>
      </c>
    </row>
    <row r="2275" ht="17.25" customHeight="1" s="453" thickBot="1">
      <c r="A2275" s="553">
        <f>IFERROR(LEFT(B2275,7),"")</f>
        <v/>
      </c>
      <c r="B2275" s="554">
        <f>"2026/05"&amp;D2275</f>
        <v/>
      </c>
      <c r="C2275" s="559" t="n">
        <v>240</v>
      </c>
      <c r="D2275" s="484" t="inlineStr">
        <is>
          <t>忠孝健康7樓</t>
        </is>
      </c>
      <c r="E2275" s="484" t="inlineStr">
        <is>
          <t>6170034</t>
        </is>
      </c>
      <c r="F2275" s="551" t="n"/>
      <c r="G2275" s="484" t="inlineStr">
        <is>
          <t>十蓓電波臉部探頭5cm</t>
        </is>
      </c>
      <c r="H2275" s="552" t="n"/>
      <c r="I2275" s="552" t="n"/>
      <c r="J2275" s="551" t="n"/>
      <c r="K2275" s="140" t="inlineStr">
        <is>
          <t>900發/顆</t>
        </is>
      </c>
      <c r="L2275" s="560" t="n">
        <v>82900</v>
      </c>
    </row>
    <row r="2276" ht="17.25" customHeight="1" s="453" thickBot="1">
      <c r="A2276" s="553">
        <f>IFERROR(LEFT(B2276,7),"")</f>
        <v/>
      </c>
      <c r="B2276" s="554">
        <f>"2026/05"&amp;D2276</f>
        <v/>
      </c>
      <c r="C2276" s="559" t="n">
        <v>241</v>
      </c>
      <c r="D2276" s="484" t="inlineStr">
        <is>
          <t>忠孝健康7樓</t>
        </is>
      </c>
      <c r="E2276" s="484" t="inlineStr">
        <is>
          <t>6170035</t>
        </is>
      </c>
      <c r="F2276" s="551" t="n"/>
      <c r="G2276" s="484" t="inlineStr">
        <is>
          <t>十蓓電波眼部探頭0.25cm</t>
        </is>
      </c>
      <c r="H2276" s="552" t="n"/>
      <c r="I2276" s="552" t="n"/>
      <c r="J2276" s="551" t="n"/>
      <c r="K2276" s="140" t="inlineStr">
        <is>
          <t>600發/顆</t>
        </is>
      </c>
      <c r="L2276" s="560" t="n">
        <v>21300</v>
      </c>
    </row>
    <row r="2277" ht="17.25" customHeight="1" s="453" thickBot="1">
      <c r="A2277" s="553">
        <f>IFERROR(LEFT(B2277,7),"")</f>
        <v/>
      </c>
      <c r="B2277" s="554">
        <f>"2026/05"&amp;D2277</f>
        <v/>
      </c>
      <c r="C2277" s="559" t="n">
        <v>242</v>
      </c>
      <c r="D2277" s="484" t="inlineStr">
        <is>
          <t>忠孝健康7樓</t>
        </is>
      </c>
      <c r="E2277" s="484" t="inlineStr">
        <is>
          <t>6180011</t>
        </is>
      </c>
      <c r="F2277" s="551" t="n"/>
      <c r="G2277" s="484" t="inlineStr">
        <is>
          <t>(V)MINT秘特拉提線UP 9.5CM/ 條</t>
        </is>
      </c>
      <c r="H2277" s="552" t="n"/>
      <c r="I2277" s="552" t="n"/>
      <c r="J2277" s="551" t="n"/>
      <c r="K2277" s="140" t="inlineStr">
        <is>
          <t>10條/盒</t>
        </is>
      </c>
      <c r="L2277" s="560" t="n">
        <v>8</v>
      </c>
    </row>
    <row r="2278" ht="17.25" customHeight="1" s="453" thickBot="1">
      <c r="A2278" s="553">
        <f>IFERROR(LEFT(B2278,7),"")</f>
        <v/>
      </c>
      <c r="B2278" s="554">
        <f>"2026/05"&amp;D2278</f>
        <v/>
      </c>
      <c r="C2278" s="559" t="n">
        <v>243</v>
      </c>
      <c r="D2278" s="484" t="inlineStr">
        <is>
          <t>忠孝健康7樓</t>
        </is>
      </c>
      <c r="E2278" s="484" t="inlineStr">
        <is>
          <t>6190004</t>
        </is>
      </c>
      <c r="F2278" s="551" t="n"/>
      <c r="G2278" s="484" t="inlineStr">
        <is>
          <t>PLT生長因子凍晶製備20入(單瓶)</t>
        </is>
      </c>
      <c r="H2278" s="552" t="n"/>
      <c r="I2278" s="552" t="n"/>
      <c r="J2278" s="551" t="n"/>
      <c r="K2278" s="140" t="inlineStr">
        <is>
          <t>瓶(20入/組)</t>
        </is>
      </c>
      <c r="L2278" s="560" t="n">
        <v>3</v>
      </c>
    </row>
    <row r="2279" ht="17.25" customHeight="1" s="453" thickBot="1">
      <c r="A2279" s="553">
        <f>IFERROR(LEFT(B2279,7),"")</f>
        <v/>
      </c>
      <c r="B2279" s="554">
        <f>"2026/05"&amp;D2279</f>
        <v/>
      </c>
      <c r="C2279" s="559" t="n">
        <v>244</v>
      </c>
      <c r="D2279" s="484" t="inlineStr">
        <is>
          <t>忠孝健康7樓</t>
        </is>
      </c>
      <c r="E2279" s="484" t="inlineStr">
        <is>
          <t>6190006</t>
        </is>
      </c>
      <c r="F2279" s="551" t="n"/>
      <c r="G2279" s="484" t="inlineStr">
        <is>
          <t>(V)ExoPower 泌力機泌凍晶 5mg</t>
        </is>
      </c>
      <c r="H2279" s="552" t="n"/>
      <c r="I2279" s="552" t="n"/>
      <c r="J2279" s="551" t="n"/>
      <c r="K2279" s="140" t="inlineStr">
        <is>
          <t>瓶</t>
        </is>
      </c>
      <c r="L2279" s="560" t="n">
        <v>13</v>
      </c>
    </row>
    <row r="2280" ht="17.25" customHeight="1" s="453" thickBot="1">
      <c r="A2280" s="553">
        <f>IFERROR(LEFT(B2280,7),"")</f>
        <v/>
      </c>
      <c r="B2280" s="554">
        <f>"2026/05"&amp;D2280</f>
        <v/>
      </c>
      <c r="C2280" s="559" t="n">
        <v>245</v>
      </c>
      <c r="D2280" s="484" t="inlineStr">
        <is>
          <t>忠孝健康7樓</t>
        </is>
      </c>
      <c r="E2280" s="484" t="inlineStr">
        <is>
          <t>6200006</t>
        </is>
      </c>
      <c r="F2280" s="551" t="n"/>
      <c r="G2280" s="484" t="inlineStr">
        <is>
          <t>(V)容脂/ 瓶  (24倍數叫貨)</t>
        </is>
      </c>
      <c r="H2280" s="552" t="n"/>
      <c r="I2280" s="552" t="n"/>
      <c r="J2280" s="551" t="n"/>
      <c r="K2280" s="140" t="inlineStr">
        <is>
          <t>4瓶/盒</t>
        </is>
      </c>
      <c r="L2280" s="560" t="n">
        <v>1</v>
      </c>
    </row>
    <row r="2281" ht="17.25" customHeight="1" s="453" thickBot="1">
      <c r="A2281" s="553">
        <f>IFERROR(LEFT(B2281,7),"")</f>
        <v/>
      </c>
      <c r="B2281" s="554">
        <f>"2026/05"&amp;D2281</f>
        <v/>
      </c>
      <c r="C2281" s="559" t="n">
        <v>246</v>
      </c>
      <c r="D2281" s="484" t="inlineStr">
        <is>
          <t>忠孝健康7樓</t>
        </is>
      </c>
      <c r="E2281" s="484" t="inlineStr">
        <is>
          <t>6210001</t>
        </is>
      </c>
      <c r="F2281" s="551" t="n"/>
      <c r="G2281" s="484" t="inlineStr">
        <is>
          <t>(V)水光針針頭/31G9針/1.0mm/ PCS</t>
        </is>
      </c>
      <c r="H2281" s="552" t="n"/>
      <c r="I2281" s="552" t="n"/>
      <c r="J2281" s="551" t="n"/>
      <c r="K2281" s="140" t="inlineStr">
        <is>
          <t>PCS(20入/盒)</t>
        </is>
      </c>
      <c r="L2281" s="560" t="n">
        <v>1</v>
      </c>
    </row>
    <row r="2282" ht="17.25" customHeight="1" s="453" thickBot="1">
      <c r="A2282" s="553">
        <f>IFERROR(LEFT(B2282,7),"")</f>
        <v/>
      </c>
      <c r="B2282" s="554">
        <f>"2026/05"&amp;D2282</f>
        <v/>
      </c>
      <c r="C2282" s="559" t="n">
        <v>247</v>
      </c>
      <c r="D2282" s="484" t="inlineStr">
        <is>
          <t>忠孝健康7樓</t>
        </is>
      </c>
      <c r="E2282" s="484" t="inlineStr">
        <is>
          <t>6210002</t>
        </is>
      </c>
      <c r="F2282" s="551" t="n"/>
      <c r="G2282" s="484" t="inlineStr">
        <is>
          <t>(V)水光針針頭/31G9針/1.2mm/ PCS</t>
        </is>
      </c>
      <c r="H2282" s="552" t="n"/>
      <c r="I2282" s="552" t="n"/>
      <c r="J2282" s="551" t="n"/>
      <c r="K2282" s="140" t="inlineStr">
        <is>
          <t>PCS(20入/盒)</t>
        </is>
      </c>
      <c r="L2282" s="560" t="n">
        <v>126</v>
      </c>
    </row>
    <row r="2283" ht="17.25" customHeight="1" s="453" thickBot="1">
      <c r="A2283" s="553">
        <f>IFERROR(LEFT(B2283,7),"")</f>
        <v/>
      </c>
      <c r="B2283" s="554">
        <f>"2026/05"&amp;D2283</f>
        <v/>
      </c>
      <c r="C2283" s="559" t="n">
        <v>248</v>
      </c>
      <c r="D2283" s="484" t="inlineStr">
        <is>
          <t>忠孝健康7樓</t>
        </is>
      </c>
      <c r="E2283" s="484" t="inlineStr">
        <is>
          <t>6210003</t>
        </is>
      </c>
      <c r="F2283" s="551" t="n"/>
      <c r="G2283" s="484" t="inlineStr">
        <is>
          <t>(V)水光針針頭/31G9針/1.5mm/ PCS</t>
        </is>
      </c>
      <c r="H2283" s="552" t="n"/>
      <c r="I2283" s="552" t="n"/>
      <c r="J2283" s="551" t="n"/>
      <c r="K2283" s="140" t="inlineStr">
        <is>
          <t>PCS(20入/盒)</t>
        </is>
      </c>
      <c r="L2283" s="560" t="n">
        <v>3</v>
      </c>
    </row>
    <row r="2284" ht="17.25" customHeight="1" s="453" thickBot="1">
      <c r="A2284" s="553">
        <f>IFERROR(LEFT(B2284,7),"")</f>
        <v/>
      </c>
      <c r="B2284" s="554">
        <f>"2026/05"&amp;D2284</f>
        <v/>
      </c>
      <c r="C2284" s="559" t="n">
        <v>249</v>
      </c>
      <c r="D2284" s="484" t="inlineStr">
        <is>
          <t>忠孝健康7樓</t>
        </is>
      </c>
      <c r="E2284" s="484" t="inlineStr">
        <is>
          <t>6210006</t>
        </is>
      </c>
      <c r="F2284" s="551" t="n"/>
      <c r="G2284" s="484" t="inlineStr">
        <is>
          <t>(V)麗珠蘭修復水光(A劑2ml+B劑2ml)</t>
        </is>
      </c>
      <c r="H2284" s="552" t="n"/>
      <c r="I2284" s="552" t="n"/>
      <c r="J2284" s="551" t="n"/>
      <c r="K2284" s="140" t="inlineStr">
        <is>
          <t>2ml*2</t>
        </is>
      </c>
      <c r="L2284" s="560" t="n">
        <v>4</v>
      </c>
    </row>
    <row r="2285" ht="17.25" customHeight="1" s="453" thickBot="1">
      <c r="A2285" s="553">
        <f>IFERROR(LEFT(B2285,7),"")</f>
        <v/>
      </c>
      <c r="B2285" s="554">
        <f>"2026/05"&amp;D2285</f>
        <v/>
      </c>
      <c r="C2285" s="559" t="n">
        <v>250</v>
      </c>
      <c r="D2285" s="484" t="inlineStr">
        <is>
          <t>忠孝健康7樓</t>
        </is>
      </c>
      <c r="E2285" s="484" t="inlineStr">
        <is>
          <t>6210008</t>
        </is>
      </c>
      <c r="F2285" s="551" t="n"/>
      <c r="G2285" s="484" t="inlineStr">
        <is>
          <t>微針筆針頭</t>
        </is>
      </c>
      <c r="H2285" s="552" t="n"/>
      <c r="I2285" s="552" t="n"/>
      <c r="J2285" s="551" t="n"/>
      <c r="K2285" s="140" t="inlineStr">
        <is>
          <t>PCS(33入/盒)</t>
        </is>
      </c>
      <c r="L2285" s="560" t="n">
        <v>6</v>
      </c>
    </row>
    <row r="2286" ht="17.25" customHeight="1" s="453" thickBot="1">
      <c r="A2286" s="553">
        <f>IFERROR(LEFT(B2286,7),"")</f>
        <v/>
      </c>
      <c r="B2286" s="554">
        <f>"2026/05"&amp;D2286</f>
        <v/>
      </c>
      <c r="C2286" s="559" t="n">
        <v>251</v>
      </c>
      <c r="D2286" s="484" t="inlineStr">
        <is>
          <t>忠孝健康7樓</t>
        </is>
      </c>
      <c r="E2286" s="484" t="inlineStr">
        <is>
          <t>6220005</t>
        </is>
      </c>
      <c r="F2286" s="551" t="n"/>
      <c r="G2286" s="484" t="inlineStr">
        <is>
          <t>海菲秀深藍端頭/ 顆</t>
        </is>
      </c>
      <c r="H2286" s="552" t="n"/>
      <c r="I2286" s="552" t="n"/>
      <c r="J2286" s="551" t="n"/>
      <c r="K2286" s="140" t="inlineStr">
        <is>
          <t>15顆/串</t>
        </is>
      </c>
      <c r="L2286" s="560" t="n">
        <v>327</v>
      </c>
    </row>
    <row r="2287" ht="17.25" customHeight="1" s="453" thickBot="1">
      <c r="A2287" s="553">
        <f>IFERROR(LEFT(B2287,7),"")</f>
        <v/>
      </c>
      <c r="B2287" s="554">
        <f>"2026/05"&amp;D2287</f>
        <v/>
      </c>
      <c r="C2287" s="559" t="n">
        <v>252</v>
      </c>
      <c r="D2287" s="484" t="inlineStr">
        <is>
          <t>忠孝健康7樓</t>
        </is>
      </c>
      <c r="E2287" s="484" t="inlineStr">
        <is>
          <t>6220006</t>
        </is>
      </c>
      <c r="F2287" s="551" t="n"/>
      <c r="G2287" s="484" t="inlineStr">
        <is>
          <t>海菲秀淺藍端頭/ 顆</t>
        </is>
      </c>
      <c r="H2287" s="552" t="n"/>
      <c r="I2287" s="552" t="n"/>
      <c r="J2287" s="551" t="n"/>
      <c r="K2287" s="140" t="inlineStr">
        <is>
          <t>15顆/串</t>
        </is>
      </c>
      <c r="L2287" s="560" t="n">
        <v>327</v>
      </c>
    </row>
    <row r="2288" ht="17.25" customHeight="1" s="453" thickBot="1">
      <c r="A2288" s="553">
        <f>IFERROR(LEFT(B2288,7),"")</f>
        <v/>
      </c>
      <c r="B2288" s="554">
        <f>"2026/05"&amp;D2288</f>
        <v/>
      </c>
      <c r="C2288" s="559" t="n">
        <v>253</v>
      </c>
      <c r="D2288" s="484" t="inlineStr">
        <is>
          <t>忠孝健康7樓</t>
        </is>
      </c>
      <c r="E2288" s="484" t="inlineStr">
        <is>
          <t>6220007</t>
        </is>
      </c>
      <c r="F2288" s="551" t="n"/>
      <c r="G2288" s="484" t="inlineStr">
        <is>
          <t>海菲秀透明端頭/ 顆</t>
        </is>
      </c>
      <c r="H2288" s="552" t="n"/>
      <c r="I2288" s="552" t="n"/>
      <c r="J2288" s="551" t="n"/>
      <c r="K2288" s="140" t="inlineStr">
        <is>
          <t>15顆/串</t>
        </is>
      </c>
      <c r="L2288" s="560" t="n">
        <v>327</v>
      </c>
    </row>
    <row r="2289" ht="17.25" customHeight="1" s="453" thickBot="1">
      <c r="A2289" s="553">
        <f>IFERROR(LEFT(B2289,7),"")</f>
        <v/>
      </c>
      <c r="B2289" s="554">
        <f>"2026/05"&amp;D2289</f>
        <v/>
      </c>
      <c r="C2289" s="559" t="n">
        <v>254</v>
      </c>
      <c r="D2289" s="484" t="inlineStr">
        <is>
          <t>忠孝健康7樓</t>
        </is>
      </c>
      <c r="E2289" s="484" t="inlineStr">
        <is>
          <t>6220012</t>
        </is>
      </c>
      <c r="F2289" s="551" t="n"/>
      <c r="G2289" s="484" t="inlineStr">
        <is>
          <t>(V)(第一劑)海菲秀 Activ-4 Skin Solution/mL</t>
        </is>
      </c>
      <c r="H2289" s="552" t="n"/>
      <c r="I2289" s="552" t="n"/>
      <c r="J2289" s="551" t="n"/>
      <c r="K2289" s="140" t="inlineStr">
        <is>
          <t>236ml/瓶</t>
        </is>
      </c>
      <c r="L2289" s="560" t="n">
        <v>4905</v>
      </c>
    </row>
    <row r="2290" ht="17.25" customHeight="1" s="453" thickBot="1">
      <c r="A2290" s="553">
        <f>IFERROR(LEFT(B2290,7),"")</f>
        <v/>
      </c>
      <c r="B2290" s="554">
        <f>"2026/05"&amp;D2290</f>
        <v/>
      </c>
      <c r="C2290" s="559" t="n">
        <v>255</v>
      </c>
      <c r="D2290" s="484" t="inlineStr">
        <is>
          <t>忠孝健康7樓</t>
        </is>
      </c>
      <c r="E2290" s="484" t="inlineStr">
        <is>
          <t>6220013</t>
        </is>
      </c>
      <c r="F2290" s="551" t="n"/>
      <c r="G2290" s="484" t="inlineStr">
        <is>
          <t>(V)(第二劑)海菲秀 Beta-HD Skin Solution /mL</t>
        </is>
      </c>
      <c r="H2290" s="552" t="n"/>
      <c r="I2290" s="552" t="n"/>
      <c r="J2290" s="551" t="n"/>
      <c r="K2290" s="140" t="inlineStr">
        <is>
          <t>236ml/瓶</t>
        </is>
      </c>
      <c r="L2290" s="560" t="n">
        <v>4905</v>
      </c>
    </row>
    <row r="2291" ht="17.25" customHeight="1" s="453" thickBot="1">
      <c r="A2291" s="553">
        <f>IFERROR(LEFT(B2291,7),"")</f>
        <v/>
      </c>
      <c r="B2291" s="554">
        <f>"2026/05"&amp;D2291</f>
        <v/>
      </c>
      <c r="C2291" s="559" t="n">
        <v>256</v>
      </c>
      <c r="D2291" s="484" t="inlineStr">
        <is>
          <t>忠孝健康7樓</t>
        </is>
      </c>
      <c r="E2291" s="484" t="inlineStr">
        <is>
          <t>6220014</t>
        </is>
      </c>
      <c r="F2291" s="551" t="n"/>
      <c r="G2291" s="484" t="inlineStr">
        <is>
          <t>(V)(第三劑)海菲秀 Antiox-6 Skin Solution /mL</t>
        </is>
      </c>
      <c r="H2291" s="552" t="n"/>
      <c r="I2291" s="552" t="n"/>
      <c r="J2291" s="551" t="n"/>
      <c r="K2291" s="140" t="inlineStr">
        <is>
          <t>236ml/瓶</t>
        </is>
      </c>
      <c r="L2291" s="560" t="n">
        <v>4905</v>
      </c>
    </row>
    <row r="2292" ht="17.25" customHeight="1" s="453" thickBot="1">
      <c r="A2292" s="553">
        <f>IFERROR(LEFT(B2292,7),"")</f>
        <v/>
      </c>
      <c r="B2292" s="554">
        <f>"2026/05"&amp;D2292</f>
        <v/>
      </c>
      <c r="C2292" s="559" t="n">
        <v>257</v>
      </c>
      <c r="D2292" s="484" t="inlineStr">
        <is>
          <t>忠孝健康7樓</t>
        </is>
      </c>
      <c r="E2292" s="484" t="inlineStr">
        <is>
          <t>6220015</t>
        </is>
      </c>
      <c r="F2292" s="551" t="n"/>
      <c r="G2292" s="484" t="inlineStr">
        <is>
          <t>(V)(第四劑)海菲秀 Rinseaway System Cleaning Solution /mL</t>
        </is>
      </c>
      <c r="H2292" s="552" t="n"/>
      <c r="I2292" s="552" t="n"/>
      <c r="J2292" s="551" t="n"/>
      <c r="K2292" s="140" t="inlineStr">
        <is>
          <t>236ml/瓶</t>
        </is>
      </c>
      <c r="L2292" s="560" t="n">
        <v>4905</v>
      </c>
    </row>
    <row r="2293" ht="17.25" customHeight="1" s="453" thickBot="1">
      <c r="A2293" s="553" t="inlineStr">
        <is>
          <t>2026/06</t>
        </is>
      </c>
      <c r="B2293" s="554" t="inlineStr">
        <is>
          <t>2026/06站前4樓</t>
        </is>
      </c>
      <c r="C2293" s="559" t="n">
        <v>1</v>
      </c>
      <c r="D2293" s="484" t="inlineStr">
        <is>
          <t>站前4樓</t>
        </is>
      </c>
      <c r="E2293" s="484" t="inlineStr">
        <is>
          <t>6050010</t>
        </is>
      </c>
      <c r="F2293" s="551" t="n"/>
      <c r="G2293" s="484" t="inlineStr">
        <is>
          <t>(V)ExoPower 泌力機泌安瓶 6mL</t>
        </is>
      </c>
      <c r="H2293" s="552" t="n"/>
      <c r="I2293" s="552" t="n"/>
      <c r="J2293" s="551" t="n"/>
      <c r="K2293" s="140" t="inlineStr">
        <is>
          <t>瓶</t>
        </is>
      </c>
      <c r="L2293" s="560" t="n">
        <v>1</v>
      </c>
    </row>
    <row r="2294" ht="17.25" customHeight="1" s="453" thickBot="1">
      <c r="A2294" s="553" t="inlineStr">
        <is>
          <t>2026/06</t>
        </is>
      </c>
      <c r="B2294" s="554" t="inlineStr">
        <is>
          <t>2026/06站前4樓</t>
        </is>
      </c>
      <c r="C2294" s="559" t="n">
        <v>2</v>
      </c>
      <c r="D2294" s="484" t="inlineStr">
        <is>
          <t>站前4樓</t>
        </is>
      </c>
      <c r="E2294" s="484" t="inlineStr">
        <is>
          <t>6120004</t>
        </is>
      </c>
      <c r="F2294" s="551" t="n"/>
      <c r="G2294" s="484" t="inlineStr">
        <is>
          <t>(V)胺基酸點滴250ml/ 袋(安命活源/嘉安命)，20倍數叫貨</t>
        </is>
      </c>
      <c r="H2294" s="552" t="n"/>
      <c r="I2294" s="552" t="n"/>
      <c r="J2294" s="551" t="n"/>
      <c r="K2294" s="140" t="inlineStr">
        <is>
          <t>(20瓶/箱)</t>
        </is>
      </c>
      <c r="L2294" s="560" t="n">
        <v>5</v>
      </c>
    </row>
    <row r="2295" ht="17.25" customHeight="1" s="453" thickBot="1">
      <c r="A2295" s="553" t="inlineStr">
        <is>
          <t>2026/06</t>
        </is>
      </c>
      <c r="B2295" s="554" t="inlineStr">
        <is>
          <t>2026/06站前4樓</t>
        </is>
      </c>
      <c r="C2295" s="559" t="n">
        <v>3</v>
      </c>
      <c r="D2295" s="484" t="inlineStr">
        <is>
          <t>站前4樓</t>
        </is>
      </c>
      <c r="E2295" s="484" t="inlineStr">
        <is>
          <t>6120006</t>
        </is>
      </c>
      <c r="F2295" s="551" t="n"/>
      <c r="G2295" s="484" t="inlineStr">
        <is>
          <t>(V)(B12) 愛壽命 2mL，100倍數叫貨</t>
        </is>
      </c>
      <c r="H2295" s="552" t="n"/>
      <c r="I2295" s="552" t="n"/>
      <c r="J2295" s="551" t="n"/>
      <c r="K2295" s="140" t="inlineStr">
        <is>
          <t>(100支/盒)</t>
        </is>
      </c>
      <c r="L2295" s="560" t="n">
        <v>5</v>
      </c>
    </row>
    <row r="2296" ht="17.25" customHeight="1" s="453" thickBot="1">
      <c r="A2296" s="553" t="inlineStr">
        <is>
          <t>2026/06</t>
        </is>
      </c>
      <c r="B2296" s="554" t="inlineStr">
        <is>
          <t>2026/06站前4樓</t>
        </is>
      </c>
      <c r="C2296" s="559" t="n">
        <v>4</v>
      </c>
      <c r="D2296" s="484" t="inlineStr">
        <is>
          <t>站前4樓</t>
        </is>
      </c>
      <c r="E2296" s="484" t="inlineStr">
        <is>
          <t>6120013</t>
        </is>
      </c>
      <c r="F2296" s="551" t="n"/>
      <c r="G2296" s="484" t="inlineStr">
        <is>
          <t>(V)生理食鹽水(NS) 250ml/ 袋</t>
        </is>
      </c>
      <c r="H2296" s="552" t="n"/>
      <c r="I2296" s="552" t="n"/>
      <c r="J2296" s="551" t="n"/>
      <c r="K2296" s="140" t="inlineStr">
        <is>
          <t>40瓶/箱</t>
        </is>
      </c>
      <c r="L2296" s="560" t="n">
        <v>31</v>
      </c>
    </row>
    <row r="2297" ht="17.25" customHeight="1" s="453" thickBot="1">
      <c r="A2297" s="553" t="inlineStr">
        <is>
          <t>2026/06</t>
        </is>
      </c>
      <c r="B2297" s="554" t="inlineStr">
        <is>
          <t>2026/06站前4樓</t>
        </is>
      </c>
      <c r="C2297" s="559" t="n">
        <v>5</v>
      </c>
      <c r="D2297" s="484" t="inlineStr">
        <is>
          <t>站前4樓</t>
        </is>
      </c>
      <c r="E2297" s="484" t="inlineStr">
        <is>
          <t>6120015</t>
        </is>
      </c>
      <c r="F2297" s="551" t="n"/>
      <c r="G2297" s="484" t="inlineStr">
        <is>
          <t>(V)(B群)淘能美複合維他命B 2ml，100倍數叫貨</t>
        </is>
      </c>
      <c r="H2297" s="552" t="n"/>
      <c r="I2297" s="552" t="n"/>
      <c r="J2297" s="551" t="n"/>
      <c r="K2297" s="140" t="inlineStr"/>
      <c r="L2297" s="560" t="n">
        <v>36</v>
      </c>
    </row>
    <row r="2298" ht="17.25" customHeight="1" s="453" thickBot="1">
      <c r="A2298" s="553" t="inlineStr">
        <is>
          <t>2026/06</t>
        </is>
      </c>
      <c r="B2298" s="554" t="inlineStr">
        <is>
          <t>2026/06站前4樓</t>
        </is>
      </c>
      <c r="C2298" s="559" t="n">
        <v>6</v>
      </c>
      <c r="D2298" s="484" t="inlineStr">
        <is>
          <t>站前4樓</t>
        </is>
      </c>
      <c r="E2298" s="484" t="inlineStr">
        <is>
          <t>6120016</t>
        </is>
      </c>
      <c r="F2298" s="551" t="n"/>
      <c r="G2298" s="484" t="inlineStr">
        <is>
          <t>(V)(榖胱肝肽) 克樂達養200mg (20ml/瓶)</t>
        </is>
      </c>
      <c r="H2298" s="552" t="n"/>
      <c r="I2298" s="552" t="n"/>
      <c r="J2298" s="551" t="n"/>
      <c r="K2298" s="140" t="inlineStr">
        <is>
          <t>50支/盒</t>
        </is>
      </c>
      <c r="L2298" s="560" t="n">
        <v>36</v>
      </c>
    </row>
    <row r="2299" ht="17.25" customHeight="1" s="453" thickBot="1">
      <c r="A2299" s="553" t="inlineStr">
        <is>
          <t>2026/06</t>
        </is>
      </c>
      <c r="B2299" s="554" t="inlineStr">
        <is>
          <t>2026/06站前4樓</t>
        </is>
      </c>
      <c r="C2299" s="559" t="n">
        <v>7</v>
      </c>
      <c r="D2299" s="484" t="inlineStr">
        <is>
          <t>站前4樓</t>
        </is>
      </c>
      <c r="E2299" s="484" t="inlineStr">
        <is>
          <t>6120018</t>
        </is>
      </c>
      <c r="F2299" s="551" t="n"/>
      <c r="G2299" s="484" t="inlineStr">
        <is>
          <t>(V)(傳明酸)止血明 5ml/支</t>
        </is>
      </c>
      <c r="H2299" s="552" t="n"/>
      <c r="I2299" s="552" t="n"/>
      <c r="J2299" s="551" t="n"/>
      <c r="K2299" s="140" t="inlineStr">
        <is>
          <t>50支/盒</t>
        </is>
      </c>
      <c r="L2299" s="560" t="n">
        <v>34</v>
      </c>
    </row>
    <row r="2300" ht="17.25" customHeight="1" s="453" thickBot="1">
      <c r="A2300" s="553" t="inlineStr">
        <is>
          <t>2026/06</t>
        </is>
      </c>
      <c r="B2300" s="554" t="inlineStr">
        <is>
          <t>2026/06站前4樓</t>
        </is>
      </c>
      <c r="C2300" s="559" t="n">
        <v>8</v>
      </c>
      <c r="D2300" s="484" t="inlineStr">
        <is>
          <t>站前4樓</t>
        </is>
      </c>
      <c r="E2300" s="484" t="inlineStr">
        <is>
          <t>6120020</t>
        </is>
      </c>
      <c r="F2300" s="551" t="n"/>
      <c r="G2300" s="484" t="inlineStr">
        <is>
          <t>(V)(Vit C) 抗壞血酸 2mL，100倍數下單</t>
        </is>
      </c>
      <c r="H2300" s="552" t="n"/>
      <c r="I2300" s="552" t="n"/>
      <c r="J2300" s="551" t="n"/>
      <c r="K2300" s="140" t="inlineStr">
        <is>
          <t>100支/盒</t>
        </is>
      </c>
      <c r="L2300" s="560" t="n">
        <v>7</v>
      </c>
    </row>
    <row r="2301" ht="17.25" customHeight="1" s="453" thickBot="1">
      <c r="A2301" s="553" t="inlineStr">
        <is>
          <t>2026/06</t>
        </is>
      </c>
      <c r="B2301" s="554" t="inlineStr">
        <is>
          <t>2026/06站前4樓</t>
        </is>
      </c>
      <c r="C2301" s="559" t="n">
        <v>9</v>
      </c>
      <c r="D2301" s="484" t="inlineStr">
        <is>
          <t>站前4樓</t>
        </is>
      </c>
      <c r="E2301" s="484" t="inlineStr">
        <is>
          <t>6120021</t>
        </is>
      </c>
      <c r="F2301" s="551" t="n"/>
      <c r="G2301" s="484" t="inlineStr">
        <is>
          <t>(V)(Vit C)(抗壞血酸/諾貝爾)20ml，50倍數下單</t>
        </is>
      </c>
      <c r="H2301" s="552" t="n"/>
      <c r="I2301" s="552" t="n"/>
      <c r="J2301" s="551" t="n"/>
      <c r="K2301" s="140" t="inlineStr">
        <is>
          <t>50支/盒</t>
        </is>
      </c>
      <c r="L2301" s="560" t="n">
        <v>46</v>
      </c>
    </row>
    <row r="2302" ht="17.25" customHeight="1" s="453" thickBot="1">
      <c r="A2302" s="553" t="inlineStr">
        <is>
          <t>2026/06</t>
        </is>
      </c>
      <c r="B2302" s="554" t="inlineStr">
        <is>
          <t>2026/06站前4樓</t>
        </is>
      </c>
      <c r="C2302" s="559" t="n">
        <v>10</v>
      </c>
      <c r="D2302" s="484" t="inlineStr">
        <is>
          <t>站前4樓</t>
        </is>
      </c>
      <c r="E2302" s="484" t="inlineStr">
        <is>
          <t>6120036</t>
        </is>
      </c>
      <c r="F2302" s="551" t="n"/>
      <c r="G2302" s="484" t="inlineStr">
        <is>
          <t>(V)貝力多(雙胜胺) 20% 50mL/ 瓶，60倍數下單</t>
        </is>
      </c>
      <c r="H2302" s="552" t="n"/>
      <c r="I2302" s="552" t="n"/>
      <c r="J2302" s="551" t="n"/>
      <c r="K2302" s="140" t="inlineStr">
        <is>
          <t>瓶(10瓶/盒)</t>
        </is>
      </c>
      <c r="L2302" s="560" t="n">
        <v>5</v>
      </c>
    </row>
    <row r="2303" ht="17.25" customHeight="1" s="453" thickBot="1">
      <c r="A2303" s="553" t="inlineStr">
        <is>
          <t>2026/06</t>
        </is>
      </c>
      <c r="B2303" s="554" t="inlineStr">
        <is>
          <t>2026/06站前4樓</t>
        </is>
      </c>
      <c r="C2303" s="559" t="n">
        <v>11</v>
      </c>
      <c r="D2303" s="484" t="inlineStr">
        <is>
          <t>站前4樓</t>
        </is>
      </c>
      <c r="E2303" s="484" t="inlineStr">
        <is>
          <t>6140001</t>
        </is>
      </c>
      <c r="F2303" s="551" t="n"/>
      <c r="G2303" s="484" t="inlineStr">
        <is>
          <t>(V)保妥適肉毒Botox/ u，100倍數下單</t>
        </is>
      </c>
      <c r="H2303" s="552" t="n"/>
      <c r="I2303" s="552" t="n"/>
      <c r="J2303" s="551" t="n"/>
      <c r="K2303" s="140" t="inlineStr">
        <is>
          <t>100U/瓶</t>
        </is>
      </c>
      <c r="L2303" s="560" t="n">
        <v>1253</v>
      </c>
    </row>
    <row r="2304" ht="17.25" customHeight="1" s="453" thickBot="1">
      <c r="A2304" s="553" t="inlineStr">
        <is>
          <t>2026/06</t>
        </is>
      </c>
      <c r="B2304" s="554" t="inlineStr">
        <is>
          <t>2026/06站前4樓</t>
        </is>
      </c>
      <c r="C2304" s="559" t="n">
        <v>12</v>
      </c>
      <c r="D2304" s="484" t="inlineStr">
        <is>
          <t>站前4樓</t>
        </is>
      </c>
      <c r="E2304" s="484" t="inlineStr">
        <is>
          <t>6140003</t>
        </is>
      </c>
      <c r="F2304" s="551" t="n"/>
      <c r="G2304" s="484" t="inlineStr">
        <is>
          <t>(V)保提拉肉毒Letybo/ u，3200倍數下單</t>
        </is>
      </c>
      <c r="H2304" s="552" t="n"/>
      <c r="I2304" s="552" t="n"/>
      <c r="J2304" s="551" t="n"/>
      <c r="K2304" s="140" t="inlineStr">
        <is>
          <t>200U/瓶</t>
        </is>
      </c>
      <c r="L2304" s="560" t="n">
        <v>1788</v>
      </c>
    </row>
    <row r="2305" ht="17.25" customHeight="1" s="453" thickBot="1">
      <c r="A2305" s="553" t="inlineStr">
        <is>
          <t>2026/06</t>
        </is>
      </c>
      <c r="B2305" s="554" t="inlineStr">
        <is>
          <t>2026/06站前4樓</t>
        </is>
      </c>
      <c r="C2305" s="559" t="n">
        <v>13</v>
      </c>
      <c r="D2305" s="484" t="inlineStr">
        <is>
          <t>站前4樓</t>
        </is>
      </c>
      <c r="E2305" s="484" t="inlineStr">
        <is>
          <t>6140005</t>
        </is>
      </c>
      <c r="F2305" s="551" t="n"/>
      <c r="G2305" s="484" t="inlineStr">
        <is>
          <t>(V)奇蹟肉毒/ u，200倍數下單</t>
        </is>
      </c>
      <c r="H2305" s="552" t="n"/>
      <c r="I2305" s="552" t="n"/>
      <c r="J2305" s="551" t="n"/>
      <c r="K2305" s="140" t="inlineStr">
        <is>
          <t>200U/瓶</t>
        </is>
      </c>
      <c r="L2305" s="560" t="n">
        <v>712</v>
      </c>
    </row>
    <row r="2306" ht="17.25" customHeight="1" s="453" thickBot="1">
      <c r="A2306" s="553" t="inlineStr">
        <is>
          <t>2026/06</t>
        </is>
      </c>
      <c r="B2306" s="554" t="inlineStr">
        <is>
          <t>2026/06站前4樓</t>
        </is>
      </c>
      <c r="C2306" s="559" t="n">
        <v>14</v>
      </c>
      <c r="D2306" s="484" t="inlineStr">
        <is>
          <t>站前4樓</t>
        </is>
      </c>
      <c r="E2306" s="484" t="inlineStr">
        <is>
          <t>6150001</t>
        </is>
      </c>
      <c r="F2306" s="551" t="n"/>
      <c r="G2306" s="484" t="inlineStr">
        <is>
          <t>(V)喬雅登-豐麗緹玻尿酸植入物Voluma 1ml</t>
        </is>
      </c>
      <c r="H2306" s="552" t="n"/>
      <c r="I2306" s="552" t="n"/>
      <c r="J2306" s="551" t="n"/>
      <c r="K2306" s="140" t="inlineStr">
        <is>
          <t>1ml(2ml/盒)</t>
        </is>
      </c>
      <c r="L2306" s="560" t="n">
        <v>42</v>
      </c>
    </row>
    <row r="2307" ht="17.25" customHeight="1" s="453" thickBot="1">
      <c r="A2307" s="553" t="inlineStr">
        <is>
          <t>2026/06</t>
        </is>
      </c>
      <c r="B2307" s="554" t="inlineStr">
        <is>
          <t>2026/06站前4樓</t>
        </is>
      </c>
      <c r="C2307" s="559" t="n">
        <v>15</v>
      </c>
      <c r="D2307" s="484" t="inlineStr">
        <is>
          <t>站前4樓</t>
        </is>
      </c>
      <c r="E2307" s="484" t="inlineStr">
        <is>
          <t>6150002</t>
        </is>
      </c>
      <c r="F2307" s="551" t="n"/>
      <c r="G2307" s="484" t="inlineStr">
        <is>
          <t>(V)喬雅登-夢蓓菈玻尿酸植入物Volbella 1ml</t>
        </is>
      </c>
      <c r="H2307" s="552" t="n"/>
      <c r="I2307" s="552" t="n"/>
      <c r="J2307" s="551" t="n"/>
      <c r="K2307" s="140" t="inlineStr">
        <is>
          <t>1ml(2ml/盒)</t>
        </is>
      </c>
      <c r="L2307" s="560" t="n">
        <v>3</v>
      </c>
    </row>
    <row r="2308" ht="17.25" customHeight="1" s="453" thickBot="1">
      <c r="A2308" s="553" t="inlineStr">
        <is>
          <t>2026/06</t>
        </is>
      </c>
      <c r="B2308" s="554" t="inlineStr">
        <is>
          <t>2026/06站前4樓</t>
        </is>
      </c>
      <c r="C2308" s="559" t="n">
        <v>16</v>
      </c>
      <c r="D2308" s="484" t="inlineStr">
        <is>
          <t>站前4樓</t>
        </is>
      </c>
      <c r="E2308" s="484" t="inlineStr">
        <is>
          <t>6150003</t>
        </is>
      </c>
      <c r="F2308" s="551" t="n"/>
      <c r="G2308" s="484" t="inlineStr">
        <is>
          <t>(V)喬雅登-豐麗緹玻尿酸植入物Volift 1ml</t>
        </is>
      </c>
      <c r="H2308" s="552" t="n"/>
      <c r="I2308" s="552" t="n"/>
      <c r="J2308" s="551" t="n"/>
      <c r="K2308" s="140" t="inlineStr">
        <is>
          <t>1ml(2ml/盒)</t>
        </is>
      </c>
      <c r="L2308" s="560" t="n">
        <v>1</v>
      </c>
    </row>
    <row r="2309" ht="17.25" customHeight="1" s="453" thickBot="1">
      <c r="A2309" s="553" t="inlineStr">
        <is>
          <t>2026/06</t>
        </is>
      </c>
      <c r="B2309" s="554" t="inlineStr">
        <is>
          <t>2026/06站前4樓</t>
        </is>
      </c>
      <c r="C2309" s="559" t="n">
        <v>17</v>
      </c>
      <c r="D2309" s="484" t="inlineStr">
        <is>
          <t>站前4樓</t>
        </is>
      </c>
      <c r="E2309" s="484" t="inlineStr">
        <is>
          <t>6150004</t>
        </is>
      </c>
      <c r="F2309" s="551" t="n"/>
      <c r="G2309" s="484" t="inlineStr">
        <is>
          <t>(V)喬雅登-豐塑玻尿酸植入物Volux 1ml</t>
        </is>
      </c>
      <c r="H2309" s="552" t="n"/>
      <c r="I2309" s="552" t="n"/>
      <c r="J2309" s="551" t="n"/>
      <c r="K2309" s="140" t="inlineStr">
        <is>
          <t>1ml(2ml/盒)</t>
        </is>
      </c>
      <c r="L2309" s="560" t="n">
        <v>3</v>
      </c>
    </row>
    <row r="2310" ht="17.25" customHeight="1" s="453" thickBot="1">
      <c r="A2310" s="553" t="inlineStr">
        <is>
          <t>2026/06</t>
        </is>
      </c>
      <c r="B2310" s="554" t="inlineStr">
        <is>
          <t>2026/06站前4樓</t>
        </is>
      </c>
      <c r="C2310" s="559" t="n">
        <v>18</v>
      </c>
      <c r="D2310" s="484" t="inlineStr">
        <is>
          <t>站前4樓</t>
        </is>
      </c>
      <c r="E2310" s="484" t="inlineStr">
        <is>
          <t>6150010</t>
        </is>
      </c>
      <c r="F2310" s="551" t="n"/>
      <c r="G2310" s="484" t="inlineStr">
        <is>
          <t>(V)仙女玻尿酸大分子 1ml</t>
        </is>
      </c>
      <c r="H2310" s="552" t="n"/>
      <c r="I2310" s="552" t="n"/>
      <c r="J2310" s="551" t="n"/>
      <c r="K2310" s="140" t="inlineStr">
        <is>
          <t>1ml(1ml/盒)</t>
        </is>
      </c>
      <c r="L2310" s="560" t="n">
        <v>5</v>
      </c>
    </row>
    <row r="2311" ht="17.25" customHeight="1" s="453" thickBot="1">
      <c r="A2311" s="553" t="inlineStr">
        <is>
          <t>2026/06</t>
        </is>
      </c>
      <c r="B2311" s="554" t="inlineStr">
        <is>
          <t>2026/06站前4樓</t>
        </is>
      </c>
      <c r="C2311" s="559" t="n">
        <v>19</v>
      </c>
      <c r="D2311" s="484" t="inlineStr">
        <is>
          <t>站前4樓</t>
        </is>
      </c>
      <c r="E2311" s="484" t="inlineStr">
        <is>
          <t>6150013</t>
        </is>
      </c>
      <c r="F2311" s="551" t="n"/>
      <c r="G2311" s="484" t="inlineStr">
        <is>
          <t>(V)逆時針(璞菲洛)2cc/支</t>
        </is>
      </c>
      <c r="H2311" s="552" t="n"/>
      <c r="I2311" s="552" t="n"/>
      <c r="J2311" s="551" t="n"/>
      <c r="K2311" s="140" t="inlineStr">
        <is>
          <t>1ml(1ml/盒)</t>
        </is>
      </c>
      <c r="L2311" s="560" t="n">
        <v>3</v>
      </c>
    </row>
    <row r="2312" ht="17.25" customHeight="1" s="453" thickBot="1">
      <c r="A2312" s="553" t="inlineStr">
        <is>
          <t>2026/06</t>
        </is>
      </c>
      <c r="B2312" s="554" t="inlineStr">
        <is>
          <t>2026/06站前4樓</t>
        </is>
      </c>
      <c r="C2312" s="559" t="n">
        <v>20</v>
      </c>
      <c r="D2312" s="484" t="inlineStr">
        <is>
          <t>站前4樓</t>
        </is>
      </c>
      <c r="E2312" s="484" t="inlineStr">
        <is>
          <t>6160002</t>
        </is>
      </c>
      <c r="F2312" s="551" t="n"/>
      <c r="G2312" s="484" t="inlineStr">
        <is>
          <t>(V)洢蓮絲植入劑ELLANSÉ-S 1ml/ 支(2倍數叫貨)</t>
        </is>
      </c>
      <c r="H2312" s="552" t="n"/>
      <c r="I2312" s="552" t="n"/>
      <c r="J2312" s="551" t="n"/>
      <c r="K2312" s="140" t="inlineStr">
        <is>
          <t>1ml(2ml/盒)</t>
        </is>
      </c>
      <c r="L2312" s="560" t="n">
        <v>4</v>
      </c>
    </row>
    <row r="2313" ht="17.25" customHeight="1" s="453" thickBot="1">
      <c r="A2313" s="553" t="inlineStr">
        <is>
          <t>2026/06</t>
        </is>
      </c>
      <c r="B2313" s="554" t="inlineStr">
        <is>
          <t>2026/06站前4樓</t>
        </is>
      </c>
      <c r="C2313" s="559" t="n">
        <v>21</v>
      </c>
      <c r="D2313" s="484" t="inlineStr">
        <is>
          <t>站前4樓</t>
        </is>
      </c>
      <c r="E2313" s="484" t="inlineStr">
        <is>
          <t>6160005</t>
        </is>
      </c>
      <c r="F2313" s="551" t="n"/>
      <c r="G2313" s="484" t="inlineStr">
        <is>
          <t>(V)双美熊貓針</t>
        </is>
      </c>
      <c r="H2313" s="552" t="n"/>
      <c r="I2313" s="552" t="n"/>
      <c r="J2313" s="551" t="n"/>
      <c r="K2313" s="140" t="inlineStr">
        <is>
          <t>(1ml/盒)</t>
        </is>
      </c>
      <c r="L2313" s="560" t="n">
        <v>36</v>
      </c>
    </row>
    <row r="2314" ht="17.25" customHeight="1" s="453" thickBot="1">
      <c r="A2314" s="553" t="inlineStr">
        <is>
          <t>2026/06</t>
        </is>
      </c>
      <c r="B2314" s="554" t="inlineStr">
        <is>
          <t>2026/06站前4樓</t>
        </is>
      </c>
      <c r="C2314" s="559" t="n">
        <v>22</v>
      </c>
      <c r="D2314" s="484" t="inlineStr">
        <is>
          <t>站前4樓</t>
        </is>
      </c>
      <c r="E2314" s="484" t="inlineStr">
        <is>
          <t>6160008</t>
        </is>
      </c>
      <c r="F2314" s="551" t="n"/>
      <c r="G2314" s="484" t="inlineStr">
        <is>
          <t>(V)薇貝拉50mg小分子/ 1cc</t>
        </is>
      </c>
      <c r="H2314" s="552" t="n"/>
      <c r="I2314" s="552" t="n"/>
      <c r="J2314" s="551" t="n"/>
      <c r="K2314" s="140" t="inlineStr">
        <is>
          <t>6cc/瓶</t>
        </is>
      </c>
      <c r="L2314" s="560" t="n">
        <v>25</v>
      </c>
    </row>
    <row r="2315" ht="17.25" customHeight="1" s="453" thickBot="1">
      <c r="A2315" s="553" t="inlineStr">
        <is>
          <t>2026/06</t>
        </is>
      </c>
      <c r="B2315" s="554" t="inlineStr">
        <is>
          <t>2026/06站前4樓</t>
        </is>
      </c>
      <c r="C2315" s="559" t="n">
        <v>23</v>
      </c>
      <c r="D2315" s="484" t="inlineStr">
        <is>
          <t>站前4樓</t>
        </is>
      </c>
      <c r="E2315" s="484" t="inlineStr">
        <is>
          <t>6160011</t>
        </is>
      </c>
      <c r="F2315" s="551" t="n"/>
      <c r="G2315" s="484" t="inlineStr">
        <is>
          <t>(V)喬雅露-小分子50mg/ 1cc(6倍數叫貨)</t>
        </is>
      </c>
      <c r="H2315" s="552" t="n"/>
      <c r="I2315" s="552" t="n"/>
      <c r="J2315" s="551" t="n"/>
      <c r="K2315" s="140" t="inlineStr">
        <is>
          <t>6cc/瓶</t>
        </is>
      </c>
      <c r="L2315" s="560" t="n">
        <v>79</v>
      </c>
    </row>
    <row r="2316" ht="17.25" customHeight="1" s="453" thickBot="1">
      <c r="A2316" s="553" t="inlineStr">
        <is>
          <t>2026/06</t>
        </is>
      </c>
      <c r="B2316" s="554" t="inlineStr">
        <is>
          <t>2026/06站前4樓</t>
        </is>
      </c>
      <c r="C2316" s="559" t="n">
        <v>24</v>
      </c>
      <c r="D2316" s="484" t="inlineStr">
        <is>
          <t>站前4樓</t>
        </is>
      </c>
      <c r="E2316" s="484" t="inlineStr">
        <is>
          <t>6170005</t>
        </is>
      </c>
      <c r="F2316" s="551" t="n"/>
      <c r="G2316" s="484" t="inlineStr">
        <is>
          <t>海芙三代音波探頭2mm/ 條</t>
        </is>
      </c>
      <c r="H2316" s="552" t="n"/>
      <c r="I2316" s="552" t="n"/>
      <c r="J2316" s="551" t="n"/>
      <c r="K2316" s="140" t="inlineStr">
        <is>
          <t>20099條/顆</t>
        </is>
      </c>
      <c r="L2316" s="560" t="n">
        <v>2754</v>
      </c>
    </row>
    <row r="2317" ht="17.25" customHeight="1" s="453" thickBot="1">
      <c r="A2317" s="553" t="inlineStr">
        <is>
          <t>2026/06</t>
        </is>
      </c>
      <c r="B2317" s="554" t="inlineStr">
        <is>
          <t>2026/06站前4樓</t>
        </is>
      </c>
      <c r="C2317" s="559" t="n">
        <v>25</v>
      </c>
      <c r="D2317" s="484" t="inlineStr">
        <is>
          <t>站前4樓</t>
        </is>
      </c>
      <c r="E2317" s="484" t="inlineStr">
        <is>
          <t>6170007</t>
        </is>
      </c>
      <c r="F2317" s="551" t="n"/>
      <c r="G2317" s="484" t="inlineStr">
        <is>
          <t>海芙三代音波探頭3mm/ 條</t>
        </is>
      </c>
      <c r="H2317" s="552" t="n"/>
      <c r="I2317" s="552" t="n"/>
      <c r="J2317" s="551" t="n"/>
      <c r="K2317" s="140" t="inlineStr">
        <is>
          <t>20099條/顆</t>
        </is>
      </c>
      <c r="L2317" s="560" t="n">
        <v>6219</v>
      </c>
    </row>
    <row r="2318" ht="17.25" customHeight="1" s="453" thickBot="1">
      <c r="A2318" s="553" t="inlineStr">
        <is>
          <t>2026/06</t>
        </is>
      </c>
      <c r="B2318" s="554" t="inlineStr">
        <is>
          <t>2026/06站前4樓</t>
        </is>
      </c>
      <c r="C2318" s="559" t="n">
        <v>26</v>
      </c>
      <c r="D2318" s="484" t="inlineStr">
        <is>
          <t>站前4樓</t>
        </is>
      </c>
      <c r="E2318" s="484" t="inlineStr">
        <is>
          <t>6170009</t>
        </is>
      </c>
      <c r="F2318" s="551" t="n"/>
      <c r="G2318" s="484" t="inlineStr">
        <is>
          <t>海芙三代音波探頭4.5mm/ 條</t>
        </is>
      </c>
      <c r="H2318" s="552" t="n"/>
      <c r="I2318" s="552" t="n"/>
      <c r="J2318" s="551" t="n"/>
      <c r="K2318" s="140" t="inlineStr">
        <is>
          <t>20099條/顆</t>
        </is>
      </c>
      <c r="L2318" s="560" t="n">
        <v>10711</v>
      </c>
    </row>
    <row r="2319" ht="17.25" customHeight="1" s="453" thickBot="1">
      <c r="A2319" s="553" t="inlineStr">
        <is>
          <t>2026/06</t>
        </is>
      </c>
      <c r="B2319" s="554" t="inlineStr">
        <is>
          <t>2026/06站前4樓</t>
        </is>
      </c>
      <c r="C2319" s="559" t="n">
        <v>27</v>
      </c>
      <c r="D2319" s="484" t="inlineStr">
        <is>
          <t>站前4樓</t>
        </is>
      </c>
      <c r="E2319" s="484" t="inlineStr">
        <is>
          <t>6170011</t>
        </is>
      </c>
      <c r="F2319" s="551" t="n"/>
      <c r="G2319" s="484" t="inlineStr">
        <is>
          <t>海芙三代音波探頭6mm/ 條</t>
        </is>
      </c>
      <c r="H2319" s="552" t="n"/>
      <c r="I2319" s="552" t="n"/>
      <c r="J2319" s="551" t="n"/>
      <c r="K2319" s="140" t="inlineStr">
        <is>
          <t>30,099條/顆</t>
        </is>
      </c>
      <c r="L2319" s="560" t="n">
        <v>1819</v>
      </c>
    </row>
    <row r="2320" ht="17.25" customHeight="1" s="453" thickBot="1">
      <c r="A2320" s="553" t="inlineStr">
        <is>
          <t>2026/06</t>
        </is>
      </c>
      <c r="B2320" s="554" t="inlineStr">
        <is>
          <t>2026/06站前4樓</t>
        </is>
      </c>
      <c r="C2320" s="559" t="n">
        <v>28</v>
      </c>
      <c r="D2320" s="484" t="inlineStr">
        <is>
          <t>站前4樓</t>
        </is>
      </c>
      <c r="E2320" s="484" t="inlineStr">
        <is>
          <t>6170019</t>
        </is>
      </c>
      <c r="F2320" s="551" t="n"/>
      <c r="G2320" s="484" t="inlineStr">
        <is>
          <t>媚必提直線探頭2.0mm/條</t>
        </is>
      </c>
      <c r="H2320" s="552" t="n"/>
      <c r="I2320" s="552" t="n"/>
      <c r="J2320" s="551" t="n"/>
      <c r="K2320" s="140" t="inlineStr">
        <is>
          <t>20,099條/顆</t>
        </is>
      </c>
      <c r="L2320" s="560" t="n">
        <v>1578</v>
      </c>
    </row>
    <row r="2321" ht="17.25" customHeight="1" s="453" thickBot="1">
      <c r="A2321" s="553" t="inlineStr">
        <is>
          <t>2026/06</t>
        </is>
      </c>
      <c r="B2321" s="554" t="inlineStr">
        <is>
          <t>2026/06站前4樓</t>
        </is>
      </c>
      <c r="C2321" s="559" t="n">
        <v>29</v>
      </c>
      <c r="D2321" s="484" t="inlineStr">
        <is>
          <t>站前4樓</t>
        </is>
      </c>
      <c r="E2321" s="484" t="inlineStr">
        <is>
          <t>6170020</t>
        </is>
      </c>
      <c r="F2321" s="551" t="n"/>
      <c r="G2321" s="484" t="inlineStr">
        <is>
          <t>媚必提直線探頭3.0mm/條</t>
        </is>
      </c>
      <c r="H2321" s="552" t="n"/>
      <c r="I2321" s="552" t="n"/>
      <c r="J2321" s="551" t="n"/>
      <c r="K2321" s="140" t="inlineStr">
        <is>
          <t>20,099條/顆</t>
        </is>
      </c>
      <c r="L2321" s="560" t="n">
        <v>4380</v>
      </c>
    </row>
    <row r="2322" ht="17.25" customHeight="1" s="453" thickBot="1">
      <c r="A2322" s="553" t="inlineStr">
        <is>
          <t>2026/06</t>
        </is>
      </c>
      <c r="B2322" s="554" t="inlineStr">
        <is>
          <t>2026/06站前4樓</t>
        </is>
      </c>
      <c r="C2322" s="559" t="n">
        <v>30</v>
      </c>
      <c r="D2322" s="484" t="inlineStr">
        <is>
          <t>站前4樓</t>
        </is>
      </c>
      <c r="E2322" s="484" t="inlineStr">
        <is>
          <t>6170021</t>
        </is>
      </c>
      <c r="F2322" s="551" t="n"/>
      <c r="G2322" s="484" t="inlineStr">
        <is>
          <t>媚必提直線探頭4.5mm/條</t>
        </is>
      </c>
      <c r="H2322" s="552" t="n"/>
      <c r="I2322" s="552" t="n"/>
      <c r="J2322" s="551" t="n"/>
      <c r="K2322" s="140" t="inlineStr">
        <is>
          <t>20,099條/顆</t>
        </is>
      </c>
      <c r="L2322" s="560" t="n">
        <v>5349</v>
      </c>
    </row>
    <row r="2323" ht="17.25" customHeight="1" s="453" thickBot="1">
      <c r="A2323" s="553" t="inlineStr">
        <is>
          <t>2026/06</t>
        </is>
      </c>
      <c r="B2323" s="554" t="inlineStr">
        <is>
          <t>2026/06站前4樓</t>
        </is>
      </c>
      <c r="C2323" s="559" t="n">
        <v>31</v>
      </c>
      <c r="D2323" s="484" t="inlineStr">
        <is>
          <t>站前4樓</t>
        </is>
      </c>
      <c r="E2323" s="484" t="inlineStr">
        <is>
          <t>6170022</t>
        </is>
      </c>
      <c r="F2323" s="551" t="n"/>
      <c r="G2323" s="484" t="inlineStr">
        <is>
          <t>媚必提直線探頭6.0mm/條</t>
        </is>
      </c>
      <c r="H2323" s="552" t="n"/>
      <c r="I2323" s="552" t="n"/>
      <c r="J2323" s="551" t="n"/>
      <c r="K2323" s="140" t="inlineStr">
        <is>
          <t>20,099條/顆</t>
        </is>
      </c>
      <c r="L2323" s="560" t="n">
        <v>1202</v>
      </c>
    </row>
    <row r="2324" ht="17.25" customHeight="1" s="453" thickBot="1">
      <c r="A2324" s="553" t="inlineStr">
        <is>
          <t>2026/06</t>
        </is>
      </c>
      <c r="B2324" s="554" t="inlineStr">
        <is>
          <t>2026/06站前4樓</t>
        </is>
      </c>
      <c r="C2324" s="559" t="n">
        <v>32</v>
      </c>
      <c r="D2324" s="484" t="inlineStr">
        <is>
          <t>站前4樓</t>
        </is>
      </c>
      <c r="E2324" s="484" t="inlineStr">
        <is>
          <t>6170025</t>
        </is>
      </c>
      <c r="F2324" s="551" t="n"/>
      <c r="G2324" s="484" t="inlineStr">
        <is>
          <t>媚必提圓周探頭1.5mm/條</t>
        </is>
      </c>
      <c r="H2324" s="552" t="n"/>
      <c r="I2324" s="552" t="n"/>
      <c r="J2324" s="551" t="n"/>
      <c r="K2324" s="140" t="inlineStr">
        <is>
          <t>20,099條/顆</t>
        </is>
      </c>
      <c r="L2324" s="560" t="n">
        <v>692</v>
      </c>
    </row>
    <row r="2325" ht="17.25" customHeight="1" s="453" thickBot="1">
      <c r="A2325" s="553" t="inlineStr">
        <is>
          <t>2026/06</t>
        </is>
      </c>
      <c r="B2325" s="554" t="inlineStr">
        <is>
          <t>2026/06站前4樓</t>
        </is>
      </c>
      <c r="C2325" s="559" t="n">
        <v>33</v>
      </c>
      <c r="D2325" s="484" t="inlineStr">
        <is>
          <t>站前4樓</t>
        </is>
      </c>
      <c r="E2325" s="484" t="inlineStr">
        <is>
          <t>6170030</t>
        </is>
      </c>
      <c r="F2325" s="551" t="n"/>
      <c r="G2325" s="484" t="inlineStr">
        <is>
          <t>海芙電波探頭4.0cm/發</t>
        </is>
      </c>
      <c r="H2325" s="552" t="n"/>
      <c r="I2325" s="552" t="n"/>
      <c r="J2325" s="551" t="n"/>
      <c r="K2325" s="140" t="inlineStr">
        <is>
          <t>3,050發/顆</t>
        </is>
      </c>
      <c r="L2325" s="560" t="n">
        <v>9600</v>
      </c>
    </row>
    <row r="2326" ht="17.25" customHeight="1" s="453" thickBot="1">
      <c r="A2326" s="553" t="inlineStr">
        <is>
          <t>2026/06</t>
        </is>
      </c>
      <c r="B2326" s="554" t="inlineStr">
        <is>
          <t>2026/06站前4樓</t>
        </is>
      </c>
      <c r="C2326" s="559" t="n">
        <v>34</v>
      </c>
      <c r="D2326" s="484" t="inlineStr">
        <is>
          <t>站前4樓</t>
        </is>
      </c>
      <c r="E2326" s="484" t="inlineStr">
        <is>
          <t>6170032</t>
        </is>
      </c>
      <c r="F2326" s="551" t="n"/>
      <c r="G2326" s="484" t="inlineStr">
        <is>
          <t>立特拉A2筆型探頭3.0mm/ 條</t>
        </is>
      </c>
      <c r="H2326" s="552" t="n"/>
      <c r="I2326" s="552" t="n"/>
      <c r="J2326" s="551" t="n"/>
      <c r="K2326" s="140" t="inlineStr">
        <is>
          <t>240,500條/顆</t>
        </is>
      </c>
      <c r="L2326" s="560" t="n">
        <v>54000</v>
      </c>
    </row>
    <row r="2327" ht="17.25" customHeight="1" s="453" thickBot="1">
      <c r="A2327" s="553" t="inlineStr">
        <is>
          <t>2026/06</t>
        </is>
      </c>
      <c r="B2327" s="554" t="inlineStr">
        <is>
          <t>2026/06站前4樓</t>
        </is>
      </c>
      <c r="C2327" s="559" t="n">
        <v>35</v>
      </c>
      <c r="D2327" s="484" t="inlineStr">
        <is>
          <t>站前4樓</t>
        </is>
      </c>
      <c r="E2327" s="484" t="inlineStr">
        <is>
          <t>6170033</t>
        </is>
      </c>
      <c r="F2327" s="551" t="n"/>
      <c r="G2327" s="484" t="inlineStr">
        <is>
          <t>立特拉A2筆型探頭4.5mm/ 條</t>
        </is>
      </c>
      <c r="H2327" s="552" t="n"/>
      <c r="I2327" s="552" t="n"/>
      <c r="J2327" s="551" t="n"/>
      <c r="K2327" s="140" t="inlineStr">
        <is>
          <t>240,500條/顆</t>
        </is>
      </c>
      <c r="L2327" s="560" t="n">
        <v>11000</v>
      </c>
    </row>
    <row r="2328" ht="17.25" customHeight="1" s="453" thickBot="1">
      <c r="A2328" s="553" t="inlineStr">
        <is>
          <t>2026/06</t>
        </is>
      </c>
      <c r="B2328" s="554" t="inlineStr">
        <is>
          <t>2026/06站前4樓</t>
        </is>
      </c>
      <c r="C2328" s="559" t="n">
        <v>36</v>
      </c>
      <c r="D2328" s="484" t="inlineStr">
        <is>
          <t>站前4樓</t>
        </is>
      </c>
      <c r="E2328" s="484" t="inlineStr">
        <is>
          <t>6170034</t>
        </is>
      </c>
      <c r="F2328" s="551" t="n"/>
      <c r="G2328" s="484" t="inlineStr">
        <is>
          <t>十蓓電波臉部探頭5cm</t>
        </is>
      </c>
      <c r="H2328" s="552" t="n"/>
      <c r="I2328" s="552" t="n"/>
      <c r="J2328" s="551" t="n"/>
      <c r="K2328" s="140" t="inlineStr">
        <is>
          <t>900發/顆</t>
        </is>
      </c>
      <c r="L2328" s="560" t="n">
        <v>19105</v>
      </c>
    </row>
    <row r="2329" ht="17.25" customHeight="1" s="453" thickBot="1">
      <c r="A2329" s="553" t="inlineStr">
        <is>
          <t>2026/06</t>
        </is>
      </c>
      <c r="B2329" s="554" t="inlineStr">
        <is>
          <t>2026/06站前4樓</t>
        </is>
      </c>
      <c r="C2329" s="559" t="n">
        <v>37</v>
      </c>
      <c r="D2329" s="484" t="inlineStr">
        <is>
          <t>站前4樓</t>
        </is>
      </c>
      <c r="E2329" s="484" t="inlineStr">
        <is>
          <t>6170035</t>
        </is>
      </c>
      <c r="F2329" s="551" t="n"/>
      <c r="G2329" s="484" t="inlineStr">
        <is>
          <t>十蓓電波眼部探頭0.25cm</t>
        </is>
      </c>
      <c r="H2329" s="552" t="n"/>
      <c r="I2329" s="552" t="n"/>
      <c r="J2329" s="551" t="n"/>
      <c r="K2329" s="140" t="inlineStr">
        <is>
          <t>600發/顆</t>
        </is>
      </c>
      <c r="L2329" s="560" t="n">
        <v>2100</v>
      </c>
    </row>
    <row r="2330" ht="17.25" customHeight="1" s="453" thickBot="1">
      <c r="A2330" s="553" t="inlineStr">
        <is>
          <t>2026/06</t>
        </is>
      </c>
      <c r="B2330" s="554" t="inlineStr">
        <is>
          <t>2026/06站前4樓</t>
        </is>
      </c>
      <c r="C2330" s="559" t="n">
        <v>38</v>
      </c>
      <c r="D2330" s="484" t="inlineStr">
        <is>
          <t>站前4樓</t>
        </is>
      </c>
      <c r="E2330" s="484" t="inlineStr">
        <is>
          <t>6190001</t>
        </is>
      </c>
      <c r="F2330" s="551" t="n"/>
      <c r="G2330" s="484" t="inlineStr">
        <is>
          <t>PLT生長因子凍晶製備/ 瓶</t>
        </is>
      </c>
      <c r="H2330" s="552" t="n"/>
      <c r="I2330" s="552" t="n"/>
      <c r="J2330" s="551" t="n"/>
      <c r="K2330" s="140" t="inlineStr">
        <is>
          <t>瓶</t>
        </is>
      </c>
      <c r="L2330" s="560" t="n">
        <v>1</v>
      </c>
    </row>
    <row r="2331" ht="17.25" customHeight="1" s="453" thickBot="1">
      <c r="A2331" s="553" t="inlineStr">
        <is>
          <t>2026/06</t>
        </is>
      </c>
      <c r="B2331" s="554" t="inlineStr">
        <is>
          <t>2026/06站前4樓</t>
        </is>
      </c>
      <c r="C2331" s="559" t="n">
        <v>39</v>
      </c>
      <c r="D2331" s="484" t="inlineStr">
        <is>
          <t>站前4樓</t>
        </is>
      </c>
      <c r="E2331" s="484" t="inlineStr">
        <is>
          <t>6190003</t>
        </is>
      </c>
      <c r="F2331" s="551" t="n"/>
      <c r="G2331" s="484" t="inlineStr">
        <is>
          <t>PLT生長因子凍晶製備10入(單瓶)</t>
        </is>
      </c>
      <c r="H2331" s="552" t="n"/>
      <c r="I2331" s="552" t="n"/>
      <c r="J2331" s="551" t="n"/>
      <c r="K2331" s="140" t="inlineStr">
        <is>
          <t>瓶(10入/組)</t>
        </is>
      </c>
      <c r="L2331" s="560" t="n">
        <v>4</v>
      </c>
    </row>
    <row r="2332" ht="17.25" customHeight="1" s="453" thickBot="1">
      <c r="A2332" s="553" t="inlineStr">
        <is>
          <t>2026/06</t>
        </is>
      </c>
      <c r="B2332" s="554" t="inlineStr">
        <is>
          <t>2026/06站前4樓</t>
        </is>
      </c>
      <c r="C2332" s="559" t="n">
        <v>40</v>
      </c>
      <c r="D2332" s="484" t="inlineStr">
        <is>
          <t>站前4樓</t>
        </is>
      </c>
      <c r="E2332" s="484" t="inlineStr">
        <is>
          <t>6190004</t>
        </is>
      </c>
      <c r="F2332" s="551" t="n"/>
      <c r="G2332" s="484" t="inlineStr">
        <is>
          <t>PLT生長因子凍晶製備20入(單瓶)</t>
        </is>
      </c>
      <c r="H2332" s="552" t="n"/>
      <c r="I2332" s="552" t="n"/>
      <c r="J2332" s="551" t="n"/>
      <c r="K2332" s="140" t="inlineStr">
        <is>
          <t>瓶(20入/組)</t>
        </is>
      </c>
      <c r="L2332" s="560" t="n">
        <v>6</v>
      </c>
    </row>
    <row r="2333" ht="17.25" customHeight="1" s="453" thickBot="1">
      <c r="A2333" s="553" t="inlineStr">
        <is>
          <t>2026/06</t>
        </is>
      </c>
      <c r="B2333" s="554" t="inlineStr">
        <is>
          <t>2026/06站前4樓</t>
        </is>
      </c>
      <c r="C2333" s="559" t="n">
        <v>41</v>
      </c>
      <c r="D2333" s="484" t="inlineStr">
        <is>
          <t>站前4樓</t>
        </is>
      </c>
      <c r="E2333" s="484" t="inlineStr">
        <is>
          <t>6190006</t>
        </is>
      </c>
      <c r="F2333" s="551" t="n"/>
      <c r="G2333" s="484" t="inlineStr">
        <is>
          <t>(V)ExoPower 泌力機泌凍晶 5mg</t>
        </is>
      </c>
      <c r="H2333" s="552" t="n"/>
      <c r="I2333" s="552" t="n"/>
      <c r="J2333" s="551" t="n"/>
      <c r="K2333" s="140" t="inlineStr">
        <is>
          <t>瓶</t>
        </is>
      </c>
      <c r="L2333" s="560" t="n">
        <v>23</v>
      </c>
    </row>
    <row r="2334" ht="17.25" customHeight="1" s="453" thickBot="1">
      <c r="A2334" s="553" t="inlineStr">
        <is>
          <t>2026/06</t>
        </is>
      </c>
      <c r="B2334" s="554" t="inlineStr">
        <is>
          <t>2026/06站前4樓</t>
        </is>
      </c>
      <c r="C2334" s="559" t="n">
        <v>42</v>
      </c>
      <c r="D2334" s="484" t="inlineStr">
        <is>
          <t>站前4樓</t>
        </is>
      </c>
      <c r="E2334" s="484" t="inlineStr">
        <is>
          <t>6210002</t>
        </is>
      </c>
      <c r="F2334" s="551" t="n"/>
      <c r="G2334" s="484" t="inlineStr">
        <is>
          <t>(V)水光針針頭/31G9針/1.2mm/ PCS</t>
        </is>
      </c>
      <c r="H2334" s="552" t="n"/>
      <c r="I2334" s="552" t="n"/>
      <c r="J2334" s="551" t="n"/>
      <c r="K2334" s="140" t="inlineStr">
        <is>
          <t>PCS(20入/盒)</t>
        </is>
      </c>
      <c r="L2334" s="560" t="n">
        <v>40</v>
      </c>
    </row>
    <row r="2335" ht="17.25" customHeight="1" s="453" thickBot="1">
      <c r="A2335" s="553" t="inlineStr">
        <is>
          <t>2026/06</t>
        </is>
      </c>
      <c r="B2335" s="554" t="inlineStr">
        <is>
          <t>2026/06站前4樓</t>
        </is>
      </c>
      <c r="C2335" s="559" t="n">
        <v>43</v>
      </c>
      <c r="D2335" s="484" t="inlineStr">
        <is>
          <t>站前4樓</t>
        </is>
      </c>
      <c r="E2335" s="484" t="inlineStr">
        <is>
          <t>6210003</t>
        </is>
      </c>
      <c r="F2335" s="551" t="n"/>
      <c r="G2335" s="484" t="inlineStr">
        <is>
          <t>(V)水光針針頭/31G9針/1.5mm/ PCS</t>
        </is>
      </c>
      <c r="H2335" s="552" t="n"/>
      <c r="I2335" s="552" t="n"/>
      <c r="J2335" s="551" t="n"/>
      <c r="K2335" s="140" t="inlineStr">
        <is>
          <t>PCS(20入/盒)</t>
        </is>
      </c>
      <c r="L2335" s="560" t="n">
        <v>3</v>
      </c>
    </row>
    <row r="2336" ht="17.25" customHeight="1" s="453" thickBot="1">
      <c r="A2336" s="553" t="inlineStr">
        <is>
          <t>2026/06</t>
        </is>
      </c>
      <c r="B2336" s="554" t="inlineStr">
        <is>
          <t>2026/06站前4樓</t>
        </is>
      </c>
      <c r="C2336" s="559" t="n">
        <v>44</v>
      </c>
      <c r="D2336" s="484" t="inlineStr">
        <is>
          <t>站前4樓</t>
        </is>
      </c>
      <c r="E2336" s="484" t="inlineStr">
        <is>
          <t>6210006</t>
        </is>
      </c>
      <c r="F2336" s="551" t="n"/>
      <c r="G2336" s="484" t="inlineStr">
        <is>
          <t>(V)麗珠蘭修復水光(A劑2ml+B劑2ml)</t>
        </is>
      </c>
      <c r="H2336" s="552" t="n"/>
      <c r="I2336" s="552" t="n"/>
      <c r="J2336" s="551" t="n"/>
      <c r="K2336" s="140" t="inlineStr">
        <is>
          <t>2ml*2</t>
        </is>
      </c>
      <c r="L2336" s="560" t="n">
        <v>1</v>
      </c>
    </row>
    <row r="2337" ht="17.25" customHeight="1" s="453" thickBot="1">
      <c r="A2337" s="553" t="inlineStr">
        <is>
          <t>2026/06</t>
        </is>
      </c>
      <c r="B2337" s="554" t="inlineStr">
        <is>
          <t>2026/06站前4樓</t>
        </is>
      </c>
      <c r="C2337" s="559" t="n">
        <v>45</v>
      </c>
      <c r="D2337" s="484" t="inlineStr">
        <is>
          <t>站前4樓</t>
        </is>
      </c>
      <c r="E2337" s="484" t="inlineStr">
        <is>
          <t>6210008</t>
        </is>
      </c>
      <c r="F2337" s="551" t="n"/>
      <c r="G2337" s="484" t="inlineStr">
        <is>
          <t>微針筆針頭</t>
        </is>
      </c>
      <c r="H2337" s="552" t="n"/>
      <c r="I2337" s="552" t="n"/>
      <c r="J2337" s="551" t="n"/>
      <c r="K2337" s="140" t="inlineStr">
        <is>
          <t>PCS(33入/盒)</t>
        </is>
      </c>
      <c r="L2337" s="560" t="n">
        <v>1</v>
      </c>
    </row>
    <row r="2338" ht="17.25" customHeight="1" s="453" thickBot="1">
      <c r="A2338" s="553" t="inlineStr">
        <is>
          <t>2026/06</t>
        </is>
      </c>
      <c r="B2338" s="554" t="inlineStr">
        <is>
          <t>2026/06站前4樓</t>
        </is>
      </c>
      <c r="C2338" s="559" t="n">
        <v>46</v>
      </c>
      <c r="D2338" s="484" t="inlineStr">
        <is>
          <t>站前4樓</t>
        </is>
      </c>
      <c r="E2338" s="484" t="inlineStr">
        <is>
          <t>6220005</t>
        </is>
      </c>
      <c r="F2338" s="551" t="n"/>
      <c r="G2338" s="484" t="inlineStr">
        <is>
          <t>海菲秀深藍端頭/ 顆</t>
        </is>
      </c>
      <c r="H2338" s="552" t="n"/>
      <c r="I2338" s="552" t="n"/>
      <c r="J2338" s="551" t="n"/>
      <c r="K2338" s="140" t="inlineStr">
        <is>
          <t>15顆/串</t>
        </is>
      </c>
      <c r="L2338" s="560" t="n">
        <v>137</v>
      </c>
    </row>
    <row r="2339" ht="17.25" customHeight="1" s="453" thickBot="1">
      <c r="A2339" s="553" t="inlineStr">
        <is>
          <t>2026/06</t>
        </is>
      </c>
      <c r="B2339" s="554" t="inlineStr">
        <is>
          <t>2026/06站前4樓</t>
        </is>
      </c>
      <c r="C2339" s="559" t="n">
        <v>47</v>
      </c>
      <c r="D2339" s="484" t="inlineStr">
        <is>
          <t>站前4樓</t>
        </is>
      </c>
      <c r="E2339" s="484" t="inlineStr">
        <is>
          <t>6220006</t>
        </is>
      </c>
      <c r="F2339" s="551" t="n"/>
      <c r="G2339" s="484" t="inlineStr">
        <is>
          <t>海菲秀淺藍端頭/ 顆</t>
        </is>
      </c>
      <c r="H2339" s="552" t="n"/>
      <c r="I2339" s="552" t="n"/>
      <c r="J2339" s="551" t="n"/>
      <c r="K2339" s="140" t="inlineStr">
        <is>
          <t>15顆/串</t>
        </is>
      </c>
      <c r="L2339" s="560" t="n">
        <v>137</v>
      </c>
    </row>
    <row r="2340" ht="17.25" customHeight="1" s="453" thickBot="1">
      <c r="A2340" s="553" t="inlineStr">
        <is>
          <t>2026/06</t>
        </is>
      </c>
      <c r="B2340" s="554" t="inlineStr">
        <is>
          <t>2026/06站前4樓</t>
        </is>
      </c>
      <c r="C2340" s="559" t="n">
        <v>48</v>
      </c>
      <c r="D2340" s="484" t="inlineStr">
        <is>
          <t>站前4樓</t>
        </is>
      </c>
      <c r="E2340" s="484" t="inlineStr">
        <is>
          <t>6220007</t>
        </is>
      </c>
      <c r="F2340" s="551" t="n"/>
      <c r="G2340" s="484" t="inlineStr">
        <is>
          <t>海菲秀透明端頭/ 顆</t>
        </is>
      </c>
      <c r="H2340" s="552" t="n"/>
      <c r="I2340" s="552" t="n"/>
      <c r="J2340" s="551" t="n"/>
      <c r="K2340" s="140" t="inlineStr">
        <is>
          <t>15顆/串</t>
        </is>
      </c>
      <c r="L2340" s="560" t="n">
        <v>137</v>
      </c>
    </row>
    <row r="2341" ht="17.25" customHeight="1" s="453" thickBot="1">
      <c r="A2341" s="553" t="inlineStr">
        <is>
          <t>2026/06</t>
        </is>
      </c>
      <c r="B2341" s="554" t="inlineStr">
        <is>
          <t>2026/06站前4樓</t>
        </is>
      </c>
      <c r="C2341" s="559" t="n">
        <v>49</v>
      </c>
      <c r="D2341" s="484" t="inlineStr">
        <is>
          <t>站前4樓</t>
        </is>
      </c>
      <c r="E2341" s="484" t="inlineStr">
        <is>
          <t>6220012</t>
        </is>
      </c>
      <c r="F2341" s="551" t="n"/>
      <c r="G2341" s="484" t="inlineStr">
        <is>
          <t>(V)(第一劑)海菲秀 Activ-4 Skin Solution/mL</t>
        </is>
      </c>
      <c r="H2341" s="552" t="n"/>
      <c r="I2341" s="552" t="n"/>
      <c r="J2341" s="551" t="n"/>
      <c r="K2341" s="140" t="inlineStr">
        <is>
          <t>236ml/瓶</t>
        </is>
      </c>
      <c r="L2341" s="560" t="n">
        <v>2055</v>
      </c>
    </row>
    <row r="2342" ht="17.25" customHeight="1" s="453" thickBot="1">
      <c r="A2342" s="553" t="inlineStr">
        <is>
          <t>2026/06</t>
        </is>
      </c>
      <c r="B2342" s="554" t="inlineStr">
        <is>
          <t>2026/06站前4樓</t>
        </is>
      </c>
      <c r="C2342" s="559" t="n">
        <v>50</v>
      </c>
      <c r="D2342" s="484" t="inlineStr">
        <is>
          <t>站前4樓</t>
        </is>
      </c>
      <c r="E2342" s="484" t="inlineStr">
        <is>
          <t>6220013</t>
        </is>
      </c>
      <c r="F2342" s="551" t="n"/>
      <c r="G2342" s="484" t="inlineStr">
        <is>
          <t>(V)(第二劑)海菲秀 Beta-HD Skin Solution /mL</t>
        </is>
      </c>
      <c r="H2342" s="552" t="n"/>
      <c r="I2342" s="552" t="n"/>
      <c r="J2342" s="551" t="n"/>
      <c r="K2342" s="140" t="inlineStr">
        <is>
          <t>236ml/瓶</t>
        </is>
      </c>
      <c r="L2342" s="560" t="n">
        <v>2055</v>
      </c>
    </row>
    <row r="2343" ht="17.25" customHeight="1" s="453" thickBot="1">
      <c r="A2343" s="553" t="inlineStr">
        <is>
          <t>2026/06</t>
        </is>
      </c>
      <c r="B2343" s="554" t="inlineStr">
        <is>
          <t>2026/06站前4樓</t>
        </is>
      </c>
      <c r="C2343" s="559" t="n">
        <v>51</v>
      </c>
      <c r="D2343" s="484" t="inlineStr">
        <is>
          <t>站前4樓</t>
        </is>
      </c>
      <c r="E2343" s="484" t="inlineStr">
        <is>
          <t>6220014</t>
        </is>
      </c>
      <c r="F2343" s="551" t="n"/>
      <c r="G2343" s="484" t="inlineStr">
        <is>
          <t>(V)(第三劑)海菲秀 Antiox-6 Skin Solution /mL</t>
        </is>
      </c>
      <c r="H2343" s="552" t="n"/>
      <c r="I2343" s="552" t="n"/>
      <c r="J2343" s="551" t="n"/>
      <c r="K2343" s="140" t="inlineStr">
        <is>
          <t>236ml/瓶</t>
        </is>
      </c>
      <c r="L2343" s="560" t="n">
        <v>2055</v>
      </c>
    </row>
    <row r="2344" ht="17.25" customHeight="1" s="453" thickBot="1">
      <c r="A2344" s="553" t="inlineStr">
        <is>
          <t>2026/06</t>
        </is>
      </c>
      <c r="B2344" s="554" t="inlineStr">
        <is>
          <t>2026/06站前4樓</t>
        </is>
      </c>
      <c r="C2344" s="559" t="n">
        <v>52</v>
      </c>
      <c r="D2344" s="484" t="inlineStr">
        <is>
          <t>站前4樓</t>
        </is>
      </c>
      <c r="E2344" s="484" t="inlineStr">
        <is>
          <t>6220015</t>
        </is>
      </c>
      <c r="F2344" s="551" t="n"/>
      <c r="G2344" s="484" t="inlineStr">
        <is>
          <t>(V)(第四劑)海菲秀 Rinseaway System Cleaning Solution /mL</t>
        </is>
      </c>
      <c r="H2344" s="552" t="n"/>
      <c r="I2344" s="552" t="n"/>
      <c r="J2344" s="551" t="n"/>
      <c r="K2344" s="140" t="inlineStr">
        <is>
          <t>236ml/瓶</t>
        </is>
      </c>
      <c r="L2344" s="560" t="n">
        <v>2055</v>
      </c>
    </row>
    <row r="2345" ht="17.25" customHeight="1" s="453" thickBot="1">
      <c r="A2345" s="553" t="inlineStr">
        <is>
          <t>2026/06</t>
        </is>
      </c>
      <c r="B2345" s="554" t="inlineStr">
        <is>
          <t>2026/06站前11樓</t>
        </is>
      </c>
      <c r="C2345" s="559" t="n">
        <v>53</v>
      </c>
      <c r="D2345" s="484" t="inlineStr">
        <is>
          <t>站前11樓</t>
        </is>
      </c>
      <c r="E2345" s="484" t="inlineStr">
        <is>
          <t>6120001</t>
        </is>
      </c>
      <c r="F2345" s="551" t="n"/>
      <c r="G2345" s="484" t="inlineStr">
        <is>
          <t>(V)肝得健注射劑/ 瓶，640倍數叫貨</t>
        </is>
      </c>
      <c r="H2345" s="552" t="n"/>
      <c r="I2345" s="552" t="n"/>
      <c r="J2345" s="551" t="n"/>
      <c r="K2345" s="140" t="inlineStr">
        <is>
          <t>20支/盒</t>
        </is>
      </c>
      <c r="L2345" s="560" t="n">
        <v>406</v>
      </c>
    </row>
    <row r="2346" ht="17.25" customHeight="1" s="453" thickBot="1">
      <c r="A2346" s="553" t="inlineStr">
        <is>
          <t>2026/06</t>
        </is>
      </c>
      <c r="B2346" s="554" t="inlineStr">
        <is>
          <t>2026/06站前11樓</t>
        </is>
      </c>
      <c r="C2346" s="559" t="n">
        <v>54</v>
      </c>
      <c r="D2346" s="484" t="inlineStr">
        <is>
          <t>站前11樓</t>
        </is>
      </c>
      <c r="E2346" s="484" t="inlineStr">
        <is>
          <t>6120002</t>
        </is>
      </c>
      <c r="F2346" s="551" t="n"/>
      <c r="G2346" s="484" t="inlineStr">
        <is>
          <t>(V)卡妮丁注射劑/ 瓶，640倍數叫貨</t>
        </is>
      </c>
      <c r="H2346" s="552" t="n"/>
      <c r="I2346" s="552" t="n"/>
      <c r="J2346" s="551" t="n"/>
      <c r="K2346" s="140" t="inlineStr">
        <is>
          <t>5支/盒</t>
        </is>
      </c>
      <c r="L2346" s="560" t="n">
        <v>433.5</v>
      </c>
    </row>
    <row r="2347" ht="17.25" customHeight="1" s="453" thickBot="1">
      <c r="A2347" s="553" t="inlineStr">
        <is>
          <t>2026/06</t>
        </is>
      </c>
      <c r="B2347" s="554" t="inlineStr">
        <is>
          <t>2026/06站前11樓</t>
        </is>
      </c>
      <c r="C2347" s="559" t="n">
        <v>55</v>
      </c>
      <c r="D2347" s="484" t="inlineStr">
        <is>
          <t>站前11樓</t>
        </is>
      </c>
      <c r="E2347" s="484" t="inlineStr">
        <is>
          <t>6120004</t>
        </is>
      </c>
      <c r="F2347" s="551" t="n"/>
      <c r="G2347" s="484" t="inlineStr">
        <is>
          <t>(V)胺基酸點滴250ml/ 袋(安命活源/嘉安命)，20倍數叫貨</t>
        </is>
      </c>
      <c r="H2347" s="552" t="n"/>
      <c r="I2347" s="552" t="n"/>
      <c r="J2347" s="551" t="n"/>
      <c r="K2347" s="140" t="inlineStr">
        <is>
          <t>(20瓶/箱)</t>
        </is>
      </c>
      <c r="L2347" s="560" t="n">
        <v>9</v>
      </c>
    </row>
    <row r="2348" ht="17.25" customHeight="1" s="453" thickBot="1">
      <c r="A2348" s="553" t="inlineStr">
        <is>
          <t>2026/06</t>
        </is>
      </c>
      <c r="B2348" s="554" t="inlineStr">
        <is>
          <t>2026/06站前11樓</t>
        </is>
      </c>
      <c r="C2348" s="559" t="n">
        <v>56</v>
      </c>
      <c r="D2348" s="484" t="inlineStr">
        <is>
          <t>站前11樓</t>
        </is>
      </c>
      <c r="E2348" s="484" t="inlineStr">
        <is>
          <t>6120006</t>
        </is>
      </c>
      <c r="F2348" s="551" t="n"/>
      <c r="G2348" s="484" t="inlineStr">
        <is>
          <t>(V)(B12) 愛壽命 2mL，100倍數叫貨</t>
        </is>
      </c>
      <c r="H2348" s="552" t="n"/>
      <c r="I2348" s="552" t="n"/>
      <c r="J2348" s="551" t="n"/>
      <c r="K2348" s="140" t="inlineStr">
        <is>
          <t>(100支/盒)</t>
        </is>
      </c>
      <c r="L2348" s="560" t="n">
        <v>59</v>
      </c>
    </row>
    <row r="2349" ht="17.25" customHeight="1" s="453" thickBot="1">
      <c r="A2349" s="553" t="inlineStr">
        <is>
          <t>2026/06</t>
        </is>
      </c>
      <c r="B2349" s="554" t="inlineStr">
        <is>
          <t>2026/06站前11樓</t>
        </is>
      </c>
      <c r="C2349" s="559" t="n">
        <v>57</v>
      </c>
      <c r="D2349" s="484" t="inlineStr">
        <is>
          <t>站前11樓</t>
        </is>
      </c>
      <c r="E2349" s="484" t="inlineStr">
        <is>
          <t>6120007</t>
        </is>
      </c>
      <c r="F2349" s="551" t="n"/>
      <c r="G2349" s="484" t="inlineStr">
        <is>
          <t>(V)(硫酸鋅) 1ml/支，100倍數叫貨</t>
        </is>
      </c>
      <c r="H2349" s="552" t="n"/>
      <c r="I2349" s="552" t="n"/>
      <c r="J2349" s="551" t="n"/>
      <c r="K2349" s="140" t="inlineStr">
        <is>
          <t>100支/盒</t>
        </is>
      </c>
      <c r="L2349" s="560" t="n">
        <v>5</v>
      </c>
    </row>
    <row r="2350" ht="17.25" customHeight="1" s="453" thickBot="1">
      <c r="A2350" s="553" t="inlineStr">
        <is>
          <t>2026/06</t>
        </is>
      </c>
      <c r="B2350" s="554" t="inlineStr">
        <is>
          <t>2026/06站前11樓</t>
        </is>
      </c>
      <c r="C2350" s="559" t="n">
        <v>58</v>
      </c>
      <c r="D2350" s="484" t="inlineStr">
        <is>
          <t>站前11樓</t>
        </is>
      </c>
      <c r="E2350" s="484" t="inlineStr">
        <is>
          <t>6120009</t>
        </is>
      </c>
      <c r="F2350" s="551" t="n"/>
      <c r="G2350" s="484" t="inlineStr">
        <is>
          <t>(V)(B1) 硫胺明 2ml</t>
        </is>
      </c>
      <c r="H2350" s="552" t="n"/>
      <c r="I2350" s="552" t="n"/>
      <c r="J2350" s="551" t="n"/>
      <c r="K2350" s="140" t="inlineStr">
        <is>
          <t>(100支/盒)</t>
        </is>
      </c>
      <c r="L2350" s="560" t="n">
        <v>5</v>
      </c>
    </row>
    <row r="2351" ht="17.25" customHeight="1" s="453" thickBot="1">
      <c r="A2351" s="553" t="inlineStr">
        <is>
          <t>2026/06</t>
        </is>
      </c>
      <c r="B2351" s="554" t="inlineStr">
        <is>
          <t>2026/06站前11樓</t>
        </is>
      </c>
      <c r="C2351" s="559" t="n">
        <v>59</v>
      </c>
      <c r="D2351" s="484" t="inlineStr">
        <is>
          <t>站前11樓</t>
        </is>
      </c>
      <c r="E2351" s="484" t="inlineStr">
        <is>
          <t>6120010</t>
        </is>
      </c>
      <c r="F2351" s="551" t="n"/>
      <c r="G2351" s="484" t="inlineStr">
        <is>
          <t>(V)(B6) 活性維生素 2ml，100倍數叫貨</t>
        </is>
      </c>
      <c r="H2351" s="552" t="n"/>
      <c r="I2351" s="552" t="n"/>
      <c r="J2351" s="551" t="n"/>
      <c r="K2351" s="140" t="inlineStr">
        <is>
          <t>(100支/盒)</t>
        </is>
      </c>
      <c r="L2351" s="560" t="n">
        <v>5</v>
      </c>
    </row>
    <row r="2352" ht="17.25" customHeight="1" s="453" thickBot="1">
      <c r="A2352" s="553" t="inlineStr">
        <is>
          <t>2026/06</t>
        </is>
      </c>
      <c r="B2352" s="554" t="inlineStr">
        <is>
          <t>2026/06站前11樓</t>
        </is>
      </c>
      <c r="C2352" s="559" t="n">
        <v>60</v>
      </c>
      <c r="D2352" s="484" t="inlineStr">
        <is>
          <t>站前11樓</t>
        </is>
      </c>
      <c r="E2352" s="484" t="inlineStr">
        <is>
          <t>6120011</t>
        </is>
      </c>
      <c r="F2352" s="551" t="n"/>
      <c r="G2352" s="484" t="inlineStr">
        <is>
          <t>(V)(硒) 西寧特 2ml/支</t>
        </is>
      </c>
      <c r="H2352" s="552" t="n"/>
      <c r="I2352" s="552" t="n"/>
      <c r="J2352" s="551" t="n"/>
      <c r="K2352" s="140" t="inlineStr">
        <is>
          <t>10支/盒</t>
        </is>
      </c>
      <c r="L2352" s="560" t="n">
        <v>1</v>
      </c>
    </row>
    <row r="2353" ht="17.25" customHeight="1" s="453" thickBot="1">
      <c r="A2353" s="553" t="inlineStr">
        <is>
          <t>2026/06</t>
        </is>
      </c>
      <c r="B2353" s="554" t="inlineStr">
        <is>
          <t>2026/06站前11樓</t>
        </is>
      </c>
      <c r="C2353" s="559" t="n">
        <v>61</v>
      </c>
      <c r="D2353" s="484" t="inlineStr">
        <is>
          <t>站前11樓</t>
        </is>
      </c>
      <c r="E2353" s="484" t="inlineStr">
        <is>
          <t>6120013</t>
        </is>
      </c>
      <c r="F2353" s="551" t="n"/>
      <c r="G2353" s="484" t="inlineStr">
        <is>
          <t>(V)生理食鹽水(NS) 250ml/ 袋</t>
        </is>
      </c>
      <c r="H2353" s="552" t="n"/>
      <c r="I2353" s="552" t="n"/>
      <c r="J2353" s="551" t="n"/>
      <c r="K2353" s="140" t="inlineStr">
        <is>
          <t>40瓶/箱</t>
        </is>
      </c>
      <c r="L2353" s="560" t="n">
        <v>64</v>
      </c>
    </row>
    <row r="2354" ht="17.25" customHeight="1" s="453" thickBot="1">
      <c r="A2354" s="553" t="inlineStr">
        <is>
          <t>2026/06</t>
        </is>
      </c>
      <c r="B2354" s="554" t="inlineStr">
        <is>
          <t>2026/06站前11樓</t>
        </is>
      </c>
      <c r="C2354" s="559" t="n">
        <v>62</v>
      </c>
      <c r="D2354" s="484" t="inlineStr">
        <is>
          <t>站前11樓</t>
        </is>
      </c>
      <c r="E2354" s="484" t="inlineStr">
        <is>
          <t>6120014</t>
        </is>
      </c>
      <c r="F2354" s="551" t="n"/>
      <c r="G2354" s="484" t="inlineStr">
        <is>
          <t>(V)葡萄糖水(D5W) 250ml/袋</t>
        </is>
      </c>
      <c r="H2354" s="552" t="n"/>
      <c r="I2354" s="552" t="n"/>
      <c r="J2354" s="551" t="n"/>
      <c r="K2354" s="140" t="inlineStr">
        <is>
          <t>60袋/箱</t>
        </is>
      </c>
      <c r="L2354" s="560" t="n">
        <v>370</v>
      </c>
    </row>
    <row r="2355" ht="17.25" customHeight="1" s="453" thickBot="1">
      <c r="A2355" s="553" t="inlineStr">
        <is>
          <t>2026/06</t>
        </is>
      </c>
      <c r="B2355" s="554" t="inlineStr">
        <is>
          <t>2026/06站前11樓</t>
        </is>
      </c>
      <c r="C2355" s="559" t="n">
        <v>63</v>
      </c>
      <c r="D2355" s="484" t="inlineStr">
        <is>
          <t>站前11樓</t>
        </is>
      </c>
      <c r="E2355" s="484" t="inlineStr">
        <is>
          <t>6120015</t>
        </is>
      </c>
      <c r="F2355" s="551" t="n"/>
      <c r="G2355" s="484" t="inlineStr">
        <is>
          <t>(V)(B群)淘能美複合維他命B 2ml，100倍數叫貨</t>
        </is>
      </c>
      <c r="H2355" s="552" t="n"/>
      <c r="I2355" s="552" t="n"/>
      <c r="J2355" s="551" t="n"/>
      <c r="K2355" s="140" t="inlineStr"/>
      <c r="L2355" s="560" t="n">
        <v>12</v>
      </c>
    </row>
    <row r="2356" ht="17.25" customHeight="1" s="453" thickBot="1">
      <c r="A2356" s="553" t="inlineStr">
        <is>
          <t>2026/06</t>
        </is>
      </c>
      <c r="B2356" s="554" t="inlineStr">
        <is>
          <t>2026/06站前11樓</t>
        </is>
      </c>
      <c r="C2356" s="559" t="n">
        <v>64</v>
      </c>
      <c r="D2356" s="484" t="inlineStr">
        <is>
          <t>站前11樓</t>
        </is>
      </c>
      <c r="E2356" s="484" t="inlineStr">
        <is>
          <t>6120016</t>
        </is>
      </c>
      <c r="F2356" s="551" t="n"/>
      <c r="G2356" s="484" t="inlineStr">
        <is>
          <t>(V)(榖胱肝肽) 克樂達養200mg (20ml/瓶)</t>
        </is>
      </c>
      <c r="H2356" s="552" t="n"/>
      <c r="I2356" s="552" t="n"/>
      <c r="J2356" s="551" t="n"/>
      <c r="K2356" s="140" t="inlineStr">
        <is>
          <t>50支/盒</t>
        </is>
      </c>
      <c r="L2356" s="560" t="n">
        <v>12</v>
      </c>
    </row>
    <row r="2357" ht="17.25" customHeight="1" s="453" thickBot="1">
      <c r="A2357" s="553" t="inlineStr">
        <is>
          <t>2026/06</t>
        </is>
      </c>
      <c r="B2357" s="554" t="inlineStr">
        <is>
          <t>2026/06站前11樓</t>
        </is>
      </c>
      <c r="C2357" s="559" t="n">
        <v>65</v>
      </c>
      <c r="D2357" s="484" t="inlineStr">
        <is>
          <t>站前11樓</t>
        </is>
      </c>
      <c r="E2357" s="484" t="inlineStr">
        <is>
          <t>6120017</t>
        </is>
      </c>
      <c r="F2357" s="551" t="n"/>
      <c r="G2357" s="484" t="inlineStr">
        <is>
          <t>(V)保肝 5ml/支</t>
        </is>
      </c>
      <c r="H2357" s="552" t="n"/>
      <c r="I2357" s="552" t="n"/>
      <c r="J2357" s="551" t="n"/>
      <c r="K2357" s="140" t="inlineStr">
        <is>
          <t>50支/盒</t>
        </is>
      </c>
      <c r="L2357" s="560" t="n">
        <v>1</v>
      </c>
    </row>
    <row r="2358" ht="17.25" customHeight="1" s="453" thickBot="1">
      <c r="A2358" s="553" t="inlineStr">
        <is>
          <t>2026/06</t>
        </is>
      </c>
      <c r="B2358" s="554" t="inlineStr">
        <is>
          <t>2026/06站前11樓</t>
        </is>
      </c>
      <c r="C2358" s="559" t="n">
        <v>66</v>
      </c>
      <c r="D2358" s="484" t="inlineStr">
        <is>
          <t>站前11樓</t>
        </is>
      </c>
      <c r="E2358" s="484" t="inlineStr">
        <is>
          <t>6120021</t>
        </is>
      </c>
      <c r="F2358" s="551" t="n"/>
      <c r="G2358" s="484" t="inlineStr">
        <is>
          <t>(V)(Vit C)(抗壞血酸/諾貝爾)20ml，50倍數下單</t>
        </is>
      </c>
      <c r="H2358" s="552" t="n"/>
      <c r="I2358" s="552" t="n"/>
      <c r="J2358" s="551" t="n"/>
      <c r="K2358" s="140" t="inlineStr">
        <is>
          <t>50支/盒</t>
        </is>
      </c>
      <c r="L2358" s="560" t="n">
        <v>13</v>
      </c>
    </row>
    <row r="2359" ht="17.25" customHeight="1" s="453" thickBot="1">
      <c r="A2359" s="553" t="inlineStr">
        <is>
          <t>2026/06</t>
        </is>
      </c>
      <c r="B2359" s="554" t="inlineStr">
        <is>
          <t>2026/06站前11樓</t>
        </is>
      </c>
      <c r="C2359" s="559" t="n">
        <v>67</v>
      </c>
      <c r="D2359" s="484" t="inlineStr">
        <is>
          <t>站前11樓</t>
        </is>
      </c>
      <c r="E2359" s="484" t="inlineStr">
        <is>
          <t>6120036</t>
        </is>
      </c>
      <c r="F2359" s="551" t="n"/>
      <c r="G2359" s="484" t="inlineStr">
        <is>
          <t>(V)貝力多(雙胜胺) 20% 50mL/ 瓶，60倍數下單</t>
        </is>
      </c>
      <c r="H2359" s="552" t="n"/>
      <c r="I2359" s="552" t="n"/>
      <c r="J2359" s="551" t="n"/>
      <c r="K2359" s="140" t="inlineStr">
        <is>
          <t>瓶(10瓶/盒)</t>
        </is>
      </c>
      <c r="L2359" s="560" t="n">
        <v>3</v>
      </c>
    </row>
    <row r="2360" ht="17.25" customHeight="1" s="453" thickBot="1">
      <c r="A2360" s="553" t="inlineStr">
        <is>
          <t>2026/06</t>
        </is>
      </c>
      <c r="B2360" s="554" t="inlineStr">
        <is>
          <t>2026/06站前11樓</t>
        </is>
      </c>
      <c r="C2360" s="559" t="n">
        <v>68</v>
      </c>
      <c r="D2360" s="484" t="inlineStr">
        <is>
          <t>站前11樓</t>
        </is>
      </c>
      <c r="E2360" s="484" t="inlineStr">
        <is>
          <t>6120037</t>
        </is>
      </c>
      <c r="F2360" s="551" t="n"/>
      <c r="G2360" s="484" t="inlineStr">
        <is>
          <t>(V)(B群)美久奧林 20ml/支，50倍數下單</t>
        </is>
      </c>
      <c r="H2360" s="552" t="n"/>
      <c r="I2360" s="552" t="n"/>
      <c r="J2360" s="551" t="n"/>
      <c r="K2360" s="140" t="inlineStr">
        <is>
          <t>50支/盒</t>
        </is>
      </c>
      <c r="L2360" s="560" t="n">
        <v>1</v>
      </c>
    </row>
    <row r="2361" ht="17.25" customHeight="1" s="453" thickBot="1">
      <c r="A2361" s="553" t="inlineStr">
        <is>
          <t>2026/06</t>
        </is>
      </c>
      <c r="B2361" s="554" t="inlineStr">
        <is>
          <t>2026/06站前11樓</t>
        </is>
      </c>
      <c r="C2361" s="559" t="n">
        <v>69</v>
      </c>
      <c r="D2361" s="484" t="inlineStr">
        <is>
          <t>站前11樓</t>
        </is>
      </c>
      <c r="E2361" s="484" t="inlineStr">
        <is>
          <t>6190005</t>
        </is>
      </c>
      <c r="F2361" s="551" t="n"/>
      <c r="G2361" s="484" t="inlineStr">
        <is>
          <t>(V)氦氖針/ 支</t>
        </is>
      </c>
      <c r="H2361" s="552" t="n"/>
      <c r="I2361" s="552" t="n"/>
      <c r="J2361" s="551" t="n"/>
      <c r="K2361" s="140" t="inlineStr">
        <is>
          <t>(50支/包)</t>
        </is>
      </c>
      <c r="L2361" s="560" t="n">
        <v>8</v>
      </c>
    </row>
    <row r="2362" ht="17.25" customHeight="1" s="453" thickBot="1">
      <c r="A2362" s="553" t="inlineStr">
        <is>
          <t>2026/06</t>
        </is>
      </c>
      <c r="B2362" s="554" t="inlineStr">
        <is>
          <t>2026/06站前11樓</t>
        </is>
      </c>
      <c r="C2362" s="559" t="n">
        <v>70</v>
      </c>
      <c r="D2362" s="484" t="inlineStr">
        <is>
          <t>站前11樓</t>
        </is>
      </c>
      <c r="E2362" s="484" t="inlineStr">
        <is>
          <t>6200004</t>
        </is>
      </c>
      <c r="F2362" s="551" t="n"/>
      <c r="G2362" s="484" t="inlineStr">
        <is>
          <t>阿爾發SAT卡匣/ 發</t>
        </is>
      </c>
      <c r="H2362" s="552" t="n"/>
      <c r="I2362" s="552" t="n"/>
      <c r="J2362" s="551" t="n"/>
      <c r="K2362" s="140" t="inlineStr">
        <is>
          <t>50發/卡</t>
        </is>
      </c>
      <c r="L2362" s="560" t="n">
        <v>845</v>
      </c>
    </row>
    <row r="2363" ht="17.25" customHeight="1" s="453" thickBot="1">
      <c r="A2363" s="553" t="inlineStr">
        <is>
          <t>2026/06</t>
        </is>
      </c>
      <c r="B2363" s="554" t="inlineStr">
        <is>
          <t>2026/06站前11樓</t>
        </is>
      </c>
      <c r="C2363" s="559" t="n">
        <v>71</v>
      </c>
      <c r="D2363" s="484" t="inlineStr">
        <is>
          <t>站前11樓</t>
        </is>
      </c>
      <c r="E2363" s="484" t="inlineStr">
        <is>
          <t>6200008</t>
        </is>
      </c>
      <c r="F2363" s="551" t="n"/>
      <c r="G2363" s="484" t="inlineStr">
        <is>
          <t>(V)瘦瘦筆-週纖達*1支(0.25mg)</t>
        </is>
      </c>
      <c r="H2363" s="552" t="n"/>
      <c r="I2363" s="552" t="n"/>
      <c r="J2363" s="551" t="n"/>
      <c r="K2363" s="140" t="inlineStr">
        <is>
          <t>支</t>
        </is>
      </c>
      <c r="L2363" s="560" t="n">
        <v>2</v>
      </c>
    </row>
    <row r="2364" ht="17.25" customHeight="1" s="453" thickBot="1">
      <c r="A2364" s="553" t="inlineStr">
        <is>
          <t>2026/06</t>
        </is>
      </c>
      <c r="B2364" s="554" t="inlineStr">
        <is>
          <t>2026/06站前11樓</t>
        </is>
      </c>
      <c r="C2364" s="559" t="n">
        <v>72</v>
      </c>
      <c r="D2364" s="484" t="inlineStr">
        <is>
          <t>站前11樓</t>
        </is>
      </c>
      <c r="E2364" s="484" t="inlineStr">
        <is>
          <t>6200010</t>
        </is>
      </c>
      <c r="F2364" s="551" t="n"/>
      <c r="G2364" s="484" t="inlineStr">
        <is>
          <t>(V)瘦瘦筆-週纖達*1支(1.0mg)</t>
        </is>
      </c>
      <c r="H2364" s="552" t="n"/>
      <c r="I2364" s="552" t="n"/>
      <c r="J2364" s="551" t="n"/>
      <c r="K2364" s="140" t="inlineStr">
        <is>
          <t>支</t>
        </is>
      </c>
      <c r="L2364" s="560" t="n">
        <v>1</v>
      </c>
    </row>
    <row r="2365" ht="17.25" customHeight="1" s="453" thickBot="1">
      <c r="A2365" s="553" t="inlineStr">
        <is>
          <t>2026/06</t>
        </is>
      </c>
      <c r="B2365" s="554" t="inlineStr">
        <is>
          <t>2026/06站前11樓</t>
        </is>
      </c>
      <c r="C2365" s="559" t="n">
        <v>73</v>
      </c>
      <c r="D2365" s="484" t="inlineStr">
        <is>
          <t>站前11樓</t>
        </is>
      </c>
      <c r="E2365" s="484" t="inlineStr">
        <is>
          <t>6200017</t>
        </is>
      </c>
      <c r="F2365" s="551" t="n"/>
      <c r="G2365" s="484" t="inlineStr">
        <is>
          <t>(V)猛健樂10mg/ 0.15CC</t>
        </is>
      </c>
      <c r="H2365" s="552" t="n"/>
      <c r="I2365" s="552" t="n"/>
      <c r="J2365" s="551" t="n"/>
      <c r="K2365" s="140" t="inlineStr">
        <is>
          <t>0.15cc/次</t>
        </is>
      </c>
      <c r="L2365" s="560" t="n">
        <v>186</v>
      </c>
    </row>
    <row r="2366" ht="17.25" customHeight="1" s="453" thickBot="1">
      <c r="A2366" s="553" t="inlineStr">
        <is>
          <t>2026/06</t>
        </is>
      </c>
      <c r="B2366" s="554" t="inlineStr">
        <is>
          <t>2026/06站前11樓</t>
        </is>
      </c>
      <c r="C2366" s="559" t="n">
        <v>74</v>
      </c>
      <c r="D2366" s="484" t="inlineStr">
        <is>
          <t>站前11樓</t>
        </is>
      </c>
      <c r="E2366" s="484" t="inlineStr">
        <is>
          <t>6200022</t>
        </is>
      </c>
      <c r="F2366" s="551" t="n"/>
      <c r="G2366" s="484" t="inlineStr">
        <is>
          <t>綠寶石減脂雷射點數/ 點</t>
        </is>
      </c>
      <c r="H2366" s="552" t="n"/>
      <c r="I2366" s="552" t="n"/>
      <c r="J2366" s="551" t="n"/>
      <c r="K2366" s="140" t="inlineStr">
        <is>
          <t>點</t>
        </is>
      </c>
      <c r="L2366" s="560" t="n">
        <v>6</v>
      </c>
    </row>
    <row r="2367" ht="17.25" customHeight="1" s="453" thickBot="1">
      <c r="A2367" s="553" t="inlineStr">
        <is>
          <t>2026/06</t>
        </is>
      </c>
      <c r="B2367" s="554" t="inlineStr">
        <is>
          <t>2026/06忠孝7樓</t>
        </is>
      </c>
      <c r="C2367" s="559" t="n">
        <v>75</v>
      </c>
      <c r="D2367" s="484" t="inlineStr">
        <is>
          <t>忠孝7樓</t>
        </is>
      </c>
      <c r="E2367" s="484" t="inlineStr">
        <is>
          <t>6110181</t>
        </is>
      </c>
      <c r="F2367" s="551" t="n"/>
      <c r="G2367" s="484" t="inlineStr">
        <is>
          <t>需自選沙貨進行手動扣庫</t>
        </is>
      </c>
      <c r="H2367" s="552" t="n"/>
      <c r="I2367" s="552" t="n"/>
      <c r="J2367" s="551" t="n"/>
      <c r="K2367" s="140" t="inlineStr">
        <is>
          <t>支</t>
        </is>
      </c>
      <c r="L2367" s="560" t="n">
        <v>1</v>
      </c>
    </row>
    <row r="2368" ht="17.25" customHeight="1" s="453" thickBot="1">
      <c r="A2368" s="553" t="inlineStr">
        <is>
          <t>2026/06</t>
        </is>
      </c>
      <c r="B2368" s="554" t="inlineStr">
        <is>
          <t>2026/06忠孝7樓</t>
        </is>
      </c>
      <c r="C2368" s="559" t="n">
        <v>76</v>
      </c>
      <c r="D2368" s="484" t="inlineStr">
        <is>
          <t>忠孝7樓</t>
        </is>
      </c>
      <c r="E2368" s="484" t="inlineStr">
        <is>
          <t>6120004</t>
        </is>
      </c>
      <c r="F2368" s="551" t="n"/>
      <c r="G2368" s="484" t="inlineStr">
        <is>
          <t>(V)胺基酸點滴250ml/ 袋(安命活源/嘉安命)，20倍數叫貨</t>
        </is>
      </c>
      <c r="H2368" s="552" t="n"/>
      <c r="I2368" s="552" t="n"/>
      <c r="J2368" s="551" t="n"/>
      <c r="K2368" s="140" t="inlineStr">
        <is>
          <t>(20瓶/箱)</t>
        </is>
      </c>
      <c r="L2368" s="560" t="n">
        <v>13</v>
      </c>
    </row>
    <row r="2369" ht="17.25" customHeight="1" s="453" thickBot="1">
      <c r="A2369" s="553" t="inlineStr">
        <is>
          <t>2026/06</t>
        </is>
      </c>
      <c r="B2369" s="554" t="inlineStr">
        <is>
          <t>2026/06忠孝7樓</t>
        </is>
      </c>
      <c r="C2369" s="559" t="n">
        <v>77</v>
      </c>
      <c r="D2369" s="484" t="inlineStr">
        <is>
          <t>忠孝7樓</t>
        </is>
      </c>
      <c r="E2369" s="484" t="inlineStr">
        <is>
          <t>6120006</t>
        </is>
      </c>
      <c r="F2369" s="551" t="n"/>
      <c r="G2369" s="484" t="inlineStr">
        <is>
          <t>(V)(B12) 愛壽命 2mL，100倍數叫貨</t>
        </is>
      </c>
      <c r="H2369" s="552" t="n"/>
      <c r="I2369" s="552" t="n"/>
      <c r="J2369" s="551" t="n"/>
      <c r="K2369" s="140" t="inlineStr">
        <is>
          <t>(100支/盒)</t>
        </is>
      </c>
      <c r="L2369" s="560" t="n">
        <v>15</v>
      </c>
    </row>
    <row r="2370" ht="17.25" customHeight="1" s="453" thickBot="1">
      <c r="A2370" s="553" t="inlineStr">
        <is>
          <t>2026/06</t>
        </is>
      </c>
      <c r="B2370" s="554" t="inlineStr">
        <is>
          <t>2026/06忠孝7樓</t>
        </is>
      </c>
      <c r="C2370" s="559" t="n">
        <v>78</v>
      </c>
      <c r="D2370" s="484" t="inlineStr">
        <is>
          <t>忠孝7樓</t>
        </is>
      </c>
      <c r="E2370" s="484" t="inlineStr">
        <is>
          <t>6120007</t>
        </is>
      </c>
      <c r="F2370" s="551" t="n"/>
      <c r="G2370" s="484" t="inlineStr">
        <is>
          <t>(V)(硫酸鋅) 1ml/支，100倍數叫貨</t>
        </is>
      </c>
      <c r="H2370" s="552" t="n"/>
      <c r="I2370" s="552" t="n"/>
      <c r="J2370" s="551" t="n"/>
      <c r="K2370" s="140" t="inlineStr">
        <is>
          <t>100支/盒</t>
        </is>
      </c>
      <c r="L2370" s="560" t="n">
        <v>5</v>
      </c>
    </row>
    <row r="2371" ht="17.25" customHeight="1" s="453" thickBot="1">
      <c r="A2371" s="553" t="inlineStr">
        <is>
          <t>2026/06</t>
        </is>
      </c>
      <c r="B2371" s="554" t="inlineStr">
        <is>
          <t>2026/06忠孝7樓</t>
        </is>
      </c>
      <c r="C2371" s="559" t="n">
        <v>79</v>
      </c>
      <c r="D2371" s="484" t="inlineStr">
        <is>
          <t>忠孝7樓</t>
        </is>
      </c>
      <c r="E2371" s="484" t="inlineStr">
        <is>
          <t>6120013</t>
        </is>
      </c>
      <c r="F2371" s="551" t="n"/>
      <c r="G2371" s="484" t="inlineStr">
        <is>
          <t>(V)生理食鹽水(NS) 250ml/ 袋</t>
        </is>
      </c>
      <c r="H2371" s="552" t="n"/>
      <c r="I2371" s="552" t="n"/>
      <c r="J2371" s="551" t="n"/>
      <c r="K2371" s="140" t="inlineStr">
        <is>
          <t>40瓶/箱</t>
        </is>
      </c>
      <c r="L2371" s="560" t="n">
        <v>32</v>
      </c>
    </row>
    <row r="2372" ht="17.25" customHeight="1" s="453" thickBot="1">
      <c r="A2372" s="553" t="inlineStr">
        <is>
          <t>2026/06</t>
        </is>
      </c>
      <c r="B2372" s="554" t="inlineStr">
        <is>
          <t>2026/06忠孝7樓</t>
        </is>
      </c>
      <c r="C2372" s="559" t="n">
        <v>80</v>
      </c>
      <c r="D2372" s="484" t="inlineStr">
        <is>
          <t>忠孝7樓</t>
        </is>
      </c>
      <c r="E2372" s="484" t="inlineStr">
        <is>
          <t>6120015</t>
        </is>
      </c>
      <c r="F2372" s="551" t="n"/>
      <c r="G2372" s="484" t="inlineStr">
        <is>
          <t>(V)(B群)淘能美複合維他命B 2ml，100倍數叫貨</t>
        </is>
      </c>
      <c r="H2372" s="552" t="n"/>
      <c r="I2372" s="552" t="n"/>
      <c r="J2372" s="551" t="n"/>
      <c r="K2372" s="140" t="inlineStr"/>
      <c r="L2372" s="560" t="n">
        <v>45</v>
      </c>
    </row>
    <row r="2373" ht="17.25" customHeight="1" s="453" thickBot="1">
      <c r="A2373" s="553" t="inlineStr">
        <is>
          <t>2026/06</t>
        </is>
      </c>
      <c r="B2373" s="554" t="inlineStr">
        <is>
          <t>2026/06忠孝7樓</t>
        </is>
      </c>
      <c r="C2373" s="559" t="n">
        <v>81</v>
      </c>
      <c r="D2373" s="484" t="inlineStr">
        <is>
          <t>忠孝7樓</t>
        </is>
      </c>
      <c r="E2373" s="484" t="inlineStr">
        <is>
          <t>6120016</t>
        </is>
      </c>
      <c r="F2373" s="551" t="n"/>
      <c r="G2373" s="484" t="inlineStr">
        <is>
          <t>(V)(榖胱肝肽) 克樂達養200mg (20ml/瓶)</t>
        </is>
      </c>
      <c r="H2373" s="552" t="n"/>
      <c r="I2373" s="552" t="n"/>
      <c r="J2373" s="551" t="n"/>
      <c r="K2373" s="140" t="inlineStr">
        <is>
          <t>50支/盒</t>
        </is>
      </c>
      <c r="L2373" s="560" t="n">
        <v>43</v>
      </c>
    </row>
    <row r="2374" ht="17.25" customHeight="1" s="453" thickBot="1">
      <c r="A2374" s="553" t="inlineStr">
        <is>
          <t>2026/06</t>
        </is>
      </c>
      <c r="B2374" s="554" t="inlineStr">
        <is>
          <t>2026/06忠孝7樓</t>
        </is>
      </c>
      <c r="C2374" s="559" t="n">
        <v>82</v>
      </c>
      <c r="D2374" s="484" t="inlineStr">
        <is>
          <t>忠孝7樓</t>
        </is>
      </c>
      <c r="E2374" s="484" t="inlineStr">
        <is>
          <t>6120017</t>
        </is>
      </c>
      <c r="F2374" s="551" t="n"/>
      <c r="G2374" s="484" t="inlineStr">
        <is>
          <t>(V)保肝 5ml/支</t>
        </is>
      </c>
      <c r="H2374" s="552" t="n"/>
      <c r="I2374" s="552" t="n"/>
      <c r="J2374" s="551" t="n"/>
      <c r="K2374" s="140" t="inlineStr">
        <is>
          <t>50支/盒</t>
        </is>
      </c>
      <c r="L2374" s="560" t="n">
        <v>1</v>
      </c>
    </row>
    <row r="2375" ht="17.25" customHeight="1" s="453" thickBot="1">
      <c r="A2375" s="553" t="inlineStr">
        <is>
          <t>2026/06</t>
        </is>
      </c>
      <c r="B2375" s="554" t="inlineStr">
        <is>
          <t>2026/06忠孝7樓</t>
        </is>
      </c>
      <c r="C2375" s="559" t="n">
        <v>83</v>
      </c>
      <c r="D2375" s="484" t="inlineStr">
        <is>
          <t>忠孝7樓</t>
        </is>
      </c>
      <c r="E2375" s="484" t="inlineStr">
        <is>
          <t>6120018</t>
        </is>
      </c>
      <c r="F2375" s="551" t="n"/>
      <c r="G2375" s="484" t="inlineStr">
        <is>
          <t>(V)(傳明酸)止血明 5ml/支</t>
        </is>
      </c>
      <c r="H2375" s="552" t="n"/>
      <c r="I2375" s="552" t="n"/>
      <c r="J2375" s="551" t="n"/>
      <c r="K2375" s="140" t="inlineStr">
        <is>
          <t>50支/盒</t>
        </is>
      </c>
      <c r="L2375" s="560" t="n">
        <v>54</v>
      </c>
    </row>
    <row r="2376" ht="17.25" customHeight="1" s="453" thickBot="1">
      <c r="A2376" s="553" t="inlineStr">
        <is>
          <t>2026/06</t>
        </is>
      </c>
      <c r="B2376" s="554" t="inlineStr">
        <is>
          <t>2026/06忠孝7樓</t>
        </is>
      </c>
      <c r="C2376" s="559" t="n">
        <v>84</v>
      </c>
      <c r="D2376" s="484" t="inlineStr">
        <is>
          <t>忠孝7樓</t>
        </is>
      </c>
      <c r="E2376" s="484" t="inlineStr">
        <is>
          <t>6120020</t>
        </is>
      </c>
      <c r="F2376" s="551" t="n"/>
      <c r="G2376" s="484" t="inlineStr">
        <is>
          <t>(V)(Vit C) 抗壞血酸 2mL，100倍數下單</t>
        </is>
      </c>
      <c r="H2376" s="552" t="n"/>
      <c r="I2376" s="552" t="n"/>
      <c r="J2376" s="551" t="n"/>
      <c r="K2376" s="140" t="inlineStr">
        <is>
          <t>100支/盒</t>
        </is>
      </c>
      <c r="L2376" s="560" t="n">
        <v>6</v>
      </c>
    </row>
    <row r="2377" ht="17.25" customHeight="1" s="453" thickBot="1">
      <c r="A2377" s="553" t="inlineStr">
        <is>
          <t>2026/06</t>
        </is>
      </c>
      <c r="B2377" s="554" t="inlineStr">
        <is>
          <t>2026/06忠孝7樓</t>
        </is>
      </c>
      <c r="C2377" s="559" t="n">
        <v>85</v>
      </c>
      <c r="D2377" s="484" t="inlineStr">
        <is>
          <t>忠孝7樓</t>
        </is>
      </c>
      <c r="E2377" s="484" t="inlineStr">
        <is>
          <t>6120021</t>
        </is>
      </c>
      <c r="F2377" s="551" t="n"/>
      <c r="G2377" s="484" t="inlineStr">
        <is>
          <t>(V)(Vit C)(抗壞血酸/諾貝爾)20ml，50倍數下單</t>
        </is>
      </c>
      <c r="H2377" s="552" t="n"/>
      <c r="I2377" s="552" t="n"/>
      <c r="J2377" s="551" t="n"/>
      <c r="K2377" s="140" t="inlineStr">
        <is>
          <t>50支/盒</t>
        </is>
      </c>
      <c r="L2377" s="560" t="n">
        <v>52</v>
      </c>
    </row>
    <row r="2378" ht="17.25" customHeight="1" s="453" thickBot="1">
      <c r="A2378" s="553" t="inlineStr">
        <is>
          <t>2026/06</t>
        </is>
      </c>
      <c r="B2378" s="554" t="inlineStr">
        <is>
          <t>2026/06忠孝7樓</t>
        </is>
      </c>
      <c r="C2378" s="559" t="n">
        <v>86</v>
      </c>
      <c r="D2378" s="484" t="inlineStr">
        <is>
          <t>忠孝7樓</t>
        </is>
      </c>
      <c r="E2378" s="484" t="inlineStr">
        <is>
          <t>6120022</t>
        </is>
      </c>
      <c r="F2378" s="551" t="n"/>
      <c r="G2378" s="484" t="inlineStr">
        <is>
          <t>(V)(銀杏) 循必利Gingo注射液0.84毫克/毫升 5ml</t>
        </is>
      </c>
      <c r="H2378" s="552" t="n"/>
      <c r="I2378" s="552" t="n"/>
      <c r="J2378" s="551" t="n"/>
      <c r="K2378" s="140" t="inlineStr">
        <is>
          <t>50支/盒</t>
        </is>
      </c>
      <c r="L2378" s="560" t="n">
        <v>2</v>
      </c>
    </row>
    <row r="2379" ht="17.25" customHeight="1" s="453" thickBot="1">
      <c r="A2379" s="553" t="inlineStr">
        <is>
          <t>2026/06</t>
        </is>
      </c>
      <c r="B2379" s="554" t="inlineStr">
        <is>
          <t>2026/06忠孝7樓</t>
        </is>
      </c>
      <c r="C2379" s="559" t="n">
        <v>87</v>
      </c>
      <c r="D2379" s="484" t="inlineStr">
        <is>
          <t>忠孝7樓</t>
        </is>
      </c>
      <c r="E2379" s="484" t="inlineStr">
        <is>
          <t>6120036</t>
        </is>
      </c>
      <c r="F2379" s="551" t="n"/>
      <c r="G2379" s="484" t="inlineStr">
        <is>
          <t>(V)貝力多(雙胜胺) 20% 50mL/ 瓶，60倍數下單</t>
        </is>
      </c>
      <c r="H2379" s="552" t="n"/>
      <c r="I2379" s="552" t="n"/>
      <c r="J2379" s="551" t="n"/>
      <c r="K2379" s="140" t="inlineStr">
        <is>
          <t>瓶(10瓶/盒)</t>
        </is>
      </c>
      <c r="L2379" s="560" t="n">
        <v>13</v>
      </c>
    </row>
    <row r="2380" ht="17.25" customHeight="1" s="453" thickBot="1">
      <c r="A2380" s="553" t="inlineStr">
        <is>
          <t>2026/06</t>
        </is>
      </c>
      <c r="B2380" s="554" t="inlineStr">
        <is>
          <t>2026/06忠孝7樓</t>
        </is>
      </c>
      <c r="C2380" s="559" t="n">
        <v>88</v>
      </c>
      <c r="D2380" s="484" t="inlineStr">
        <is>
          <t>忠孝7樓</t>
        </is>
      </c>
      <c r="E2380" s="484" t="inlineStr">
        <is>
          <t>6140001</t>
        </is>
      </c>
      <c r="F2380" s="551" t="n"/>
      <c r="G2380" s="484" t="inlineStr">
        <is>
          <t>(V)保妥適肉毒Botox/ u，100倍數下單</t>
        </is>
      </c>
      <c r="H2380" s="552" t="n"/>
      <c r="I2380" s="552" t="n"/>
      <c r="J2380" s="551" t="n"/>
      <c r="K2380" s="140" t="inlineStr">
        <is>
          <t>100U/瓶</t>
        </is>
      </c>
      <c r="L2380" s="560" t="n">
        <v>1893</v>
      </c>
    </row>
    <row r="2381" ht="17.25" customHeight="1" s="453" thickBot="1">
      <c r="A2381" s="553" t="inlineStr">
        <is>
          <t>2026/06</t>
        </is>
      </c>
      <c r="B2381" s="554" t="inlineStr">
        <is>
          <t>2026/06忠孝7樓</t>
        </is>
      </c>
      <c r="C2381" s="559" t="n">
        <v>89</v>
      </c>
      <c r="D2381" s="484" t="inlineStr">
        <is>
          <t>忠孝7樓</t>
        </is>
      </c>
      <c r="E2381" s="484" t="inlineStr">
        <is>
          <t>6140003</t>
        </is>
      </c>
      <c r="F2381" s="551" t="n"/>
      <c r="G2381" s="484" t="inlineStr">
        <is>
          <t>(V)保提拉肉毒Letybo/ u，3200倍數下單</t>
        </is>
      </c>
      <c r="H2381" s="552" t="n"/>
      <c r="I2381" s="552" t="n"/>
      <c r="J2381" s="551" t="n"/>
      <c r="K2381" s="140" t="inlineStr">
        <is>
          <t>200U/瓶</t>
        </is>
      </c>
      <c r="L2381" s="560" t="n">
        <v>2746</v>
      </c>
    </row>
    <row r="2382" ht="17.25" customHeight="1" s="453" thickBot="1">
      <c r="A2382" s="553" t="inlineStr">
        <is>
          <t>2026/06</t>
        </is>
      </c>
      <c r="B2382" s="554" t="inlineStr">
        <is>
          <t>2026/06忠孝7樓</t>
        </is>
      </c>
      <c r="C2382" s="559" t="n">
        <v>90</v>
      </c>
      <c r="D2382" s="484" t="inlineStr">
        <is>
          <t>忠孝7樓</t>
        </is>
      </c>
      <c r="E2382" s="484" t="inlineStr">
        <is>
          <t>6140005</t>
        </is>
      </c>
      <c r="F2382" s="551" t="n"/>
      <c r="G2382" s="484" t="inlineStr">
        <is>
          <t>(V)奇蹟肉毒/ u，200倍數下單</t>
        </is>
      </c>
      <c r="H2382" s="552" t="n"/>
      <c r="I2382" s="552" t="n"/>
      <c r="J2382" s="551" t="n"/>
      <c r="K2382" s="140" t="inlineStr">
        <is>
          <t>200U/瓶</t>
        </is>
      </c>
      <c r="L2382" s="560" t="n">
        <v>1044</v>
      </c>
    </row>
    <row r="2383" ht="17.25" customHeight="1" s="453" thickBot="1">
      <c r="A2383" s="553" t="inlineStr">
        <is>
          <t>2026/06</t>
        </is>
      </c>
      <c r="B2383" s="554" t="inlineStr">
        <is>
          <t>2026/06忠孝7樓</t>
        </is>
      </c>
      <c r="C2383" s="559" t="n">
        <v>91</v>
      </c>
      <c r="D2383" s="484" t="inlineStr">
        <is>
          <t>忠孝7樓</t>
        </is>
      </c>
      <c r="E2383" s="484" t="inlineStr">
        <is>
          <t>6150001</t>
        </is>
      </c>
      <c r="F2383" s="551" t="n"/>
      <c r="G2383" s="484" t="inlineStr">
        <is>
          <t>(V)喬雅登-豐麗緹玻尿酸植入物Voluma 1ml</t>
        </is>
      </c>
      <c r="H2383" s="552" t="n"/>
      <c r="I2383" s="552" t="n"/>
      <c r="J2383" s="551" t="n"/>
      <c r="K2383" s="140" t="inlineStr">
        <is>
          <t>1ml(2ml/盒)</t>
        </is>
      </c>
      <c r="L2383" s="560" t="n">
        <v>34</v>
      </c>
    </row>
    <row r="2384" ht="17.25" customHeight="1" s="453" thickBot="1">
      <c r="A2384" s="553" t="inlineStr">
        <is>
          <t>2026/06</t>
        </is>
      </c>
      <c r="B2384" s="554" t="inlineStr">
        <is>
          <t>2026/06忠孝7樓</t>
        </is>
      </c>
      <c r="C2384" s="559" t="n">
        <v>92</v>
      </c>
      <c r="D2384" s="484" t="inlineStr">
        <is>
          <t>忠孝7樓</t>
        </is>
      </c>
      <c r="E2384" s="484" t="inlineStr">
        <is>
          <t>6150002</t>
        </is>
      </c>
      <c r="F2384" s="551" t="n"/>
      <c r="G2384" s="484" t="inlineStr">
        <is>
          <t>(V)喬雅登-夢蓓菈玻尿酸植入物Volbella 1ml</t>
        </is>
      </c>
      <c r="H2384" s="552" t="n"/>
      <c r="I2384" s="552" t="n"/>
      <c r="J2384" s="551" t="n"/>
      <c r="K2384" s="140" t="inlineStr">
        <is>
          <t>1ml(2ml/盒)</t>
        </is>
      </c>
      <c r="L2384" s="560" t="n">
        <v>1</v>
      </c>
    </row>
    <row r="2385" ht="17.25" customHeight="1" s="453" thickBot="1">
      <c r="A2385" s="553" t="inlineStr">
        <is>
          <t>2026/06</t>
        </is>
      </c>
      <c r="B2385" s="554" t="inlineStr">
        <is>
          <t>2026/06忠孝7樓</t>
        </is>
      </c>
      <c r="C2385" s="559" t="n">
        <v>93</v>
      </c>
      <c r="D2385" s="484" t="inlineStr">
        <is>
          <t>忠孝7樓</t>
        </is>
      </c>
      <c r="E2385" s="484" t="inlineStr">
        <is>
          <t>6150003</t>
        </is>
      </c>
      <c r="F2385" s="551" t="n"/>
      <c r="G2385" s="484" t="inlineStr">
        <is>
          <t>(V)喬雅登-豐麗緹玻尿酸植入物Volift 1ml</t>
        </is>
      </c>
      <c r="H2385" s="552" t="n"/>
      <c r="I2385" s="552" t="n"/>
      <c r="J2385" s="551" t="n"/>
      <c r="K2385" s="140" t="inlineStr">
        <is>
          <t>1ml(2ml/盒)</t>
        </is>
      </c>
      <c r="L2385" s="560" t="n">
        <v>7</v>
      </c>
    </row>
    <row r="2386" ht="17.25" customHeight="1" s="453" thickBot="1">
      <c r="A2386" s="553" t="inlineStr">
        <is>
          <t>2026/06</t>
        </is>
      </c>
      <c r="B2386" s="554" t="inlineStr">
        <is>
          <t>2026/06忠孝7樓</t>
        </is>
      </c>
      <c r="C2386" s="559" t="n">
        <v>94</v>
      </c>
      <c r="D2386" s="484" t="inlineStr">
        <is>
          <t>忠孝7樓</t>
        </is>
      </c>
      <c r="E2386" s="484" t="inlineStr">
        <is>
          <t>6150004</t>
        </is>
      </c>
      <c r="F2386" s="551" t="n"/>
      <c r="G2386" s="484" t="inlineStr">
        <is>
          <t>(V)喬雅登-豐塑玻尿酸植入物Volux 1ml</t>
        </is>
      </c>
      <c r="H2386" s="552" t="n"/>
      <c r="I2386" s="552" t="n"/>
      <c r="J2386" s="551" t="n"/>
      <c r="K2386" s="140" t="inlineStr">
        <is>
          <t>1ml(2ml/盒)</t>
        </is>
      </c>
      <c r="L2386" s="560" t="n">
        <v>3</v>
      </c>
    </row>
    <row r="2387" ht="17.25" customHeight="1" s="453" thickBot="1">
      <c r="A2387" s="553" t="inlineStr">
        <is>
          <t>2026/06</t>
        </is>
      </c>
      <c r="B2387" s="554" t="inlineStr">
        <is>
          <t>2026/06忠孝7樓</t>
        </is>
      </c>
      <c r="C2387" s="559" t="n">
        <v>95</v>
      </c>
      <c r="D2387" s="484" t="inlineStr">
        <is>
          <t>忠孝7樓</t>
        </is>
      </c>
      <c r="E2387" s="484" t="inlineStr">
        <is>
          <t>6150010</t>
        </is>
      </c>
      <c r="F2387" s="551" t="n"/>
      <c r="G2387" s="484" t="inlineStr">
        <is>
          <t>(V)仙女玻尿酸大分子 1ml</t>
        </is>
      </c>
      <c r="H2387" s="552" t="n"/>
      <c r="I2387" s="552" t="n"/>
      <c r="J2387" s="551" t="n"/>
      <c r="K2387" s="140" t="inlineStr">
        <is>
          <t>1ml(1ml/盒)</t>
        </is>
      </c>
      <c r="L2387" s="560" t="n">
        <v>12</v>
      </c>
    </row>
    <row r="2388" ht="17.25" customHeight="1" s="453" thickBot="1">
      <c r="A2388" s="553" t="inlineStr">
        <is>
          <t>2026/06</t>
        </is>
      </c>
      <c r="B2388" s="554" t="inlineStr">
        <is>
          <t>2026/06忠孝7樓</t>
        </is>
      </c>
      <c r="C2388" s="559" t="n">
        <v>96</v>
      </c>
      <c r="D2388" s="484" t="inlineStr">
        <is>
          <t>忠孝7樓</t>
        </is>
      </c>
      <c r="E2388" s="484" t="inlineStr">
        <is>
          <t>6150013</t>
        </is>
      </c>
      <c r="F2388" s="551" t="n"/>
      <c r="G2388" s="484" t="inlineStr">
        <is>
          <t>(V)逆時針(璞菲洛)2cc/支</t>
        </is>
      </c>
      <c r="H2388" s="552" t="n"/>
      <c r="I2388" s="552" t="n"/>
      <c r="J2388" s="551" t="n"/>
      <c r="K2388" s="140" t="inlineStr">
        <is>
          <t>1ml(1ml/盒)</t>
        </is>
      </c>
      <c r="L2388" s="560" t="n">
        <v>7</v>
      </c>
    </row>
    <row r="2389" ht="17.25" customHeight="1" s="453" thickBot="1">
      <c r="A2389" s="553" t="inlineStr">
        <is>
          <t>2026/06</t>
        </is>
      </c>
      <c r="B2389" s="554" t="inlineStr">
        <is>
          <t>2026/06忠孝7樓</t>
        </is>
      </c>
      <c r="C2389" s="559" t="n">
        <v>97</v>
      </c>
      <c r="D2389" s="484" t="inlineStr">
        <is>
          <t>忠孝7樓</t>
        </is>
      </c>
      <c r="E2389" s="484" t="inlineStr">
        <is>
          <t>6150015</t>
        </is>
      </c>
      <c r="F2389" s="551" t="n"/>
      <c r="G2389" s="484" t="inlineStr">
        <is>
          <t>(V)喬雅登絲漾膚玻尿酸植入物Skinvive 1ml/支(2倍數叫貨)</t>
        </is>
      </c>
      <c r="H2389" s="552" t="n"/>
      <c r="I2389" s="552" t="n"/>
      <c r="J2389" s="551" t="n"/>
      <c r="K2389" s="140" t="inlineStr">
        <is>
          <t>1ml(2ml/盒)</t>
        </is>
      </c>
      <c r="L2389" s="560" t="n">
        <v>1</v>
      </c>
    </row>
    <row r="2390" ht="17.25" customHeight="1" s="453" thickBot="1">
      <c r="A2390" s="553" t="inlineStr">
        <is>
          <t>2026/06</t>
        </is>
      </c>
      <c r="B2390" s="554" t="inlineStr">
        <is>
          <t>2026/06忠孝7樓</t>
        </is>
      </c>
      <c r="C2390" s="559" t="n">
        <v>98</v>
      </c>
      <c r="D2390" s="484" t="inlineStr">
        <is>
          <t>忠孝7樓</t>
        </is>
      </c>
      <c r="E2390" s="484" t="inlineStr">
        <is>
          <t>6160002</t>
        </is>
      </c>
      <c r="F2390" s="551" t="n"/>
      <c r="G2390" s="484" t="inlineStr">
        <is>
          <t>(V)洢蓮絲植入劑ELLANSÉ-S 1ml/ 支(2倍數叫貨)</t>
        </is>
      </c>
      <c r="H2390" s="552" t="n"/>
      <c r="I2390" s="552" t="n"/>
      <c r="J2390" s="551" t="n"/>
      <c r="K2390" s="140" t="inlineStr">
        <is>
          <t>1ml(2ml/盒)</t>
        </is>
      </c>
      <c r="L2390" s="560" t="n">
        <v>19</v>
      </c>
    </row>
    <row r="2391" ht="17.25" customHeight="1" s="453" thickBot="1">
      <c r="A2391" s="553" t="inlineStr">
        <is>
          <t>2026/06</t>
        </is>
      </c>
      <c r="B2391" s="554" t="inlineStr">
        <is>
          <t>2026/06忠孝7樓</t>
        </is>
      </c>
      <c r="C2391" s="559" t="n">
        <v>99</v>
      </c>
      <c r="D2391" s="484" t="inlineStr">
        <is>
          <t>忠孝7樓</t>
        </is>
      </c>
      <c r="E2391" s="484" t="inlineStr">
        <is>
          <t>6160003</t>
        </is>
      </c>
      <c r="F2391" s="551" t="n"/>
      <c r="G2391" s="484" t="inlineStr">
        <is>
          <t>(V)洢蓮絲植入劑ELLANSÉ-M 1ml/ 支(2倍數叫貨)</t>
        </is>
      </c>
      <c r="H2391" s="552" t="n"/>
      <c r="I2391" s="552" t="n"/>
      <c r="J2391" s="551" t="n"/>
      <c r="K2391" s="140" t="inlineStr">
        <is>
          <t>1ml(2ml/盒)</t>
        </is>
      </c>
      <c r="L2391" s="560" t="n">
        <v>7</v>
      </c>
    </row>
    <row r="2392" ht="17.25" customHeight="1" s="453" thickBot="1">
      <c r="A2392" s="553" t="inlineStr">
        <is>
          <t>2026/06</t>
        </is>
      </c>
      <c r="B2392" s="554" t="inlineStr">
        <is>
          <t>2026/06忠孝7樓</t>
        </is>
      </c>
      <c r="C2392" s="559" t="n">
        <v>100</v>
      </c>
      <c r="D2392" s="484" t="inlineStr">
        <is>
          <t>忠孝7樓</t>
        </is>
      </c>
      <c r="E2392" s="484" t="inlineStr">
        <is>
          <t>6160005</t>
        </is>
      </c>
      <c r="F2392" s="551" t="n"/>
      <c r="G2392" s="484" t="inlineStr">
        <is>
          <t>(V)双美熊貓針</t>
        </is>
      </c>
      <c r="H2392" s="552" t="n"/>
      <c r="I2392" s="552" t="n"/>
      <c r="J2392" s="551" t="n"/>
      <c r="K2392" s="140" t="inlineStr">
        <is>
          <t>(1ml/盒)</t>
        </is>
      </c>
      <c r="L2392" s="560" t="n">
        <v>17</v>
      </c>
    </row>
    <row r="2393" ht="17.25" customHeight="1" s="453" thickBot="1">
      <c r="A2393" s="553" t="inlineStr">
        <is>
          <t>2026/06</t>
        </is>
      </c>
      <c r="B2393" s="554" t="inlineStr">
        <is>
          <t>2026/06忠孝7樓</t>
        </is>
      </c>
      <c r="C2393" s="559" t="n">
        <v>101</v>
      </c>
      <c r="D2393" s="484" t="inlineStr">
        <is>
          <t>忠孝7樓</t>
        </is>
      </c>
      <c r="E2393" s="484" t="inlineStr">
        <is>
          <t>6160008</t>
        </is>
      </c>
      <c r="F2393" s="551" t="n"/>
      <c r="G2393" s="484" t="inlineStr">
        <is>
          <t>(V)薇貝拉50mg小分子/ 1cc</t>
        </is>
      </c>
      <c r="H2393" s="552" t="n"/>
      <c r="I2393" s="552" t="n"/>
      <c r="J2393" s="551" t="n"/>
      <c r="K2393" s="140" t="inlineStr">
        <is>
          <t>6cc/瓶</t>
        </is>
      </c>
      <c r="L2393" s="560" t="n">
        <v>37</v>
      </c>
    </row>
    <row r="2394" ht="17.25" customHeight="1" s="453" thickBot="1">
      <c r="A2394" s="553" t="inlineStr">
        <is>
          <t>2026/06</t>
        </is>
      </c>
      <c r="B2394" s="554" t="inlineStr">
        <is>
          <t>2026/06忠孝7樓</t>
        </is>
      </c>
      <c r="C2394" s="559" t="n">
        <v>102</v>
      </c>
      <c r="D2394" s="484" t="inlineStr">
        <is>
          <t>忠孝7樓</t>
        </is>
      </c>
      <c r="E2394" s="484" t="inlineStr">
        <is>
          <t>6160009</t>
        </is>
      </c>
      <c r="F2394" s="551" t="n"/>
      <c r="G2394" s="484" t="inlineStr">
        <is>
          <t>(V)薇貝拉200mg大分子/ 1cc</t>
        </is>
      </c>
      <c r="H2394" s="552" t="n"/>
      <c r="I2394" s="552" t="n"/>
      <c r="J2394" s="551" t="n"/>
      <c r="K2394" s="140" t="inlineStr">
        <is>
          <t>8cc/瓶</t>
        </is>
      </c>
      <c r="L2394" s="560" t="n">
        <v>6</v>
      </c>
    </row>
    <row r="2395" ht="17.25" customHeight="1" s="453" thickBot="1">
      <c r="A2395" s="553" t="inlineStr">
        <is>
          <t>2026/06</t>
        </is>
      </c>
      <c r="B2395" s="554" t="inlineStr">
        <is>
          <t>2026/06忠孝7樓</t>
        </is>
      </c>
      <c r="C2395" s="559" t="n">
        <v>103</v>
      </c>
      <c r="D2395" s="484" t="inlineStr">
        <is>
          <t>忠孝7樓</t>
        </is>
      </c>
      <c r="E2395" s="484" t="inlineStr">
        <is>
          <t>6160010</t>
        </is>
      </c>
      <c r="F2395" s="551" t="n"/>
      <c r="G2395" s="484" t="inlineStr">
        <is>
          <t>(V)喬雅露-大分子200mg/ 1cc(8倍數叫貨)</t>
        </is>
      </c>
      <c r="H2395" s="552" t="n"/>
      <c r="I2395" s="552" t="n"/>
      <c r="J2395" s="551" t="n"/>
      <c r="K2395" s="140" t="inlineStr">
        <is>
          <t>8cc/瓶</t>
        </is>
      </c>
      <c r="L2395" s="560" t="n">
        <v>22</v>
      </c>
    </row>
    <row r="2396" ht="17.25" customHeight="1" s="453" thickBot="1">
      <c r="A2396" s="553" t="inlineStr">
        <is>
          <t>2026/06</t>
        </is>
      </c>
      <c r="B2396" s="554" t="inlineStr">
        <is>
          <t>2026/06忠孝7樓</t>
        </is>
      </c>
      <c r="C2396" s="559" t="n">
        <v>104</v>
      </c>
      <c r="D2396" s="484" t="inlineStr">
        <is>
          <t>忠孝7樓</t>
        </is>
      </c>
      <c r="E2396" s="484" t="inlineStr">
        <is>
          <t>6160011</t>
        </is>
      </c>
      <c r="F2396" s="551" t="n"/>
      <c r="G2396" s="484" t="inlineStr">
        <is>
          <t>(V)喬雅露-小分子50mg/ 1cc(6倍數叫貨)</t>
        </is>
      </c>
      <c r="H2396" s="552" t="n"/>
      <c r="I2396" s="552" t="n"/>
      <c r="J2396" s="551" t="n"/>
      <c r="K2396" s="140" t="inlineStr">
        <is>
          <t>6cc/瓶</t>
        </is>
      </c>
      <c r="L2396" s="560" t="n">
        <v>138</v>
      </c>
    </row>
    <row r="2397" ht="17.25" customHeight="1" s="453" thickBot="1">
      <c r="A2397" s="553" t="inlineStr">
        <is>
          <t>2026/06</t>
        </is>
      </c>
      <c r="B2397" s="554" t="inlineStr">
        <is>
          <t>2026/06忠孝7樓</t>
        </is>
      </c>
      <c r="C2397" s="559" t="n">
        <v>105</v>
      </c>
      <c r="D2397" s="484" t="inlineStr">
        <is>
          <t>忠孝7樓</t>
        </is>
      </c>
      <c r="E2397" s="484" t="inlineStr">
        <is>
          <t>6170005</t>
        </is>
      </c>
      <c r="F2397" s="551" t="n"/>
      <c r="G2397" s="484" t="inlineStr">
        <is>
          <t>海芙三代音波探頭2mm/ 條</t>
        </is>
      </c>
      <c r="H2397" s="552" t="n"/>
      <c r="I2397" s="552" t="n"/>
      <c r="J2397" s="551" t="n"/>
      <c r="K2397" s="140" t="inlineStr">
        <is>
          <t>20099條/顆</t>
        </is>
      </c>
      <c r="L2397" s="560" t="n">
        <v>1493</v>
      </c>
    </row>
    <row r="2398" ht="17.25" customHeight="1" s="453" thickBot="1">
      <c r="A2398" s="553" t="inlineStr">
        <is>
          <t>2026/06</t>
        </is>
      </c>
      <c r="B2398" s="554" t="inlineStr">
        <is>
          <t>2026/06忠孝7樓</t>
        </is>
      </c>
      <c r="C2398" s="559" t="n">
        <v>106</v>
      </c>
      <c r="D2398" s="484" t="inlineStr">
        <is>
          <t>忠孝7樓</t>
        </is>
      </c>
      <c r="E2398" s="484" t="inlineStr">
        <is>
          <t>6170007</t>
        </is>
      </c>
      <c r="F2398" s="551" t="n"/>
      <c r="G2398" s="484" t="inlineStr">
        <is>
          <t>海芙三代音波探頭3mm/ 條</t>
        </is>
      </c>
      <c r="H2398" s="552" t="n"/>
      <c r="I2398" s="552" t="n"/>
      <c r="J2398" s="551" t="n"/>
      <c r="K2398" s="140" t="inlineStr">
        <is>
          <t>20099條/顆</t>
        </is>
      </c>
      <c r="L2398" s="560" t="n">
        <v>9255</v>
      </c>
    </row>
    <row r="2399" ht="17.25" customHeight="1" s="453" thickBot="1">
      <c r="A2399" s="553" t="inlineStr">
        <is>
          <t>2026/06</t>
        </is>
      </c>
      <c r="B2399" s="554" t="inlineStr">
        <is>
          <t>2026/06忠孝7樓</t>
        </is>
      </c>
      <c r="C2399" s="559" t="n">
        <v>107</v>
      </c>
      <c r="D2399" s="484" t="inlineStr">
        <is>
          <t>忠孝7樓</t>
        </is>
      </c>
      <c r="E2399" s="484" t="inlineStr">
        <is>
          <t>6170009</t>
        </is>
      </c>
      <c r="F2399" s="551" t="n"/>
      <c r="G2399" s="484" t="inlineStr">
        <is>
          <t>海芙三代音波探頭4.5mm/ 條</t>
        </is>
      </c>
      <c r="H2399" s="552" t="n"/>
      <c r="I2399" s="552" t="n"/>
      <c r="J2399" s="551" t="n"/>
      <c r="K2399" s="140" t="inlineStr">
        <is>
          <t>20099條/顆</t>
        </is>
      </c>
      <c r="L2399" s="560" t="n">
        <v>11132</v>
      </c>
    </row>
    <row r="2400" ht="17.25" customHeight="1" s="453" thickBot="1">
      <c r="A2400" s="553" t="inlineStr">
        <is>
          <t>2026/06</t>
        </is>
      </c>
      <c r="B2400" s="554" t="inlineStr">
        <is>
          <t>2026/06忠孝7樓</t>
        </is>
      </c>
      <c r="C2400" s="559" t="n">
        <v>108</v>
      </c>
      <c r="D2400" s="484" t="inlineStr">
        <is>
          <t>忠孝7樓</t>
        </is>
      </c>
      <c r="E2400" s="484" t="inlineStr">
        <is>
          <t>6170011</t>
        </is>
      </c>
      <c r="F2400" s="551" t="n"/>
      <c r="G2400" s="484" t="inlineStr">
        <is>
          <t>海芙三代音波探頭6mm/ 條</t>
        </is>
      </c>
      <c r="H2400" s="552" t="n"/>
      <c r="I2400" s="552" t="n"/>
      <c r="J2400" s="551" t="n"/>
      <c r="K2400" s="140" t="inlineStr">
        <is>
          <t>30,099條/顆</t>
        </is>
      </c>
      <c r="L2400" s="560" t="n">
        <v>2520</v>
      </c>
    </row>
    <row r="2401" ht="17.25" customHeight="1" s="453" thickBot="1">
      <c r="A2401" s="553" t="inlineStr">
        <is>
          <t>2026/06</t>
        </is>
      </c>
      <c r="B2401" s="554" t="inlineStr">
        <is>
          <t>2026/06忠孝7樓</t>
        </is>
      </c>
      <c r="C2401" s="559" t="n">
        <v>109</v>
      </c>
      <c r="D2401" s="484" t="inlineStr">
        <is>
          <t>忠孝7樓</t>
        </is>
      </c>
      <c r="E2401" s="484" t="inlineStr">
        <is>
          <t>6170013</t>
        </is>
      </c>
      <c r="F2401" s="551" t="n"/>
      <c r="G2401" s="484" t="inlineStr">
        <is>
          <t>鳳凰電波4平方公分紫鑽探頭(900發)</t>
        </is>
      </c>
      <c r="H2401" s="552" t="n"/>
      <c r="I2401" s="552" t="n"/>
      <c r="J2401" s="551" t="n"/>
      <c r="K2401" s="140" t="inlineStr">
        <is>
          <t>顆</t>
        </is>
      </c>
      <c r="L2401" s="560" t="n">
        <v>12</v>
      </c>
    </row>
    <row r="2402" ht="17.25" customHeight="1" s="453" thickBot="1">
      <c r="A2402" s="553" t="inlineStr">
        <is>
          <t>2026/06</t>
        </is>
      </c>
      <c r="B2402" s="554" t="inlineStr">
        <is>
          <t>2026/06忠孝7樓</t>
        </is>
      </c>
      <c r="C2402" s="559" t="n">
        <v>110</v>
      </c>
      <c r="D2402" s="484" t="inlineStr">
        <is>
          <t>忠孝7樓</t>
        </is>
      </c>
      <c r="E2402" s="484" t="inlineStr">
        <is>
          <t>6170014</t>
        </is>
      </c>
      <c r="F2402" s="551" t="n"/>
      <c r="G2402" s="484" t="inlineStr">
        <is>
          <t>鳳凰電波0.25平方公分碧眼探頭(450發)</t>
        </is>
      </c>
      <c r="H2402" s="552" t="n"/>
      <c r="I2402" s="552" t="n"/>
      <c r="J2402" s="551" t="n"/>
      <c r="K2402" s="140" t="inlineStr">
        <is>
          <t>顆</t>
        </is>
      </c>
      <c r="L2402" s="560" t="n">
        <v>9</v>
      </c>
    </row>
    <row r="2403" ht="17.25" customHeight="1" s="453" thickBot="1">
      <c r="A2403" s="553" t="inlineStr">
        <is>
          <t>2026/06</t>
        </is>
      </c>
      <c r="B2403" s="554" t="inlineStr">
        <is>
          <t>2026/06忠孝7樓</t>
        </is>
      </c>
      <c r="C2403" s="559" t="n">
        <v>111</v>
      </c>
      <c r="D2403" s="484" t="inlineStr">
        <is>
          <t>忠孝7樓</t>
        </is>
      </c>
      <c r="E2403" s="484" t="inlineStr">
        <is>
          <t>6170019</t>
        </is>
      </c>
      <c r="F2403" s="551" t="n"/>
      <c r="G2403" s="484" t="inlineStr">
        <is>
          <t>媚必提直線探頭2.0mm/條</t>
        </is>
      </c>
      <c r="H2403" s="552" t="n"/>
      <c r="I2403" s="552" t="n"/>
      <c r="J2403" s="551" t="n"/>
      <c r="K2403" s="140" t="inlineStr">
        <is>
          <t>20,099條/顆</t>
        </is>
      </c>
      <c r="L2403" s="560" t="n">
        <v>2814</v>
      </c>
    </row>
    <row r="2404" ht="17.25" customHeight="1" s="453" thickBot="1">
      <c r="A2404" s="553" t="inlineStr">
        <is>
          <t>2026/06</t>
        </is>
      </c>
      <c r="B2404" s="554" t="inlineStr">
        <is>
          <t>2026/06忠孝7樓</t>
        </is>
      </c>
      <c r="C2404" s="559" t="n">
        <v>112</v>
      </c>
      <c r="D2404" s="484" t="inlineStr">
        <is>
          <t>忠孝7樓</t>
        </is>
      </c>
      <c r="E2404" s="484" t="inlineStr">
        <is>
          <t>6170020</t>
        </is>
      </c>
      <c r="F2404" s="551" t="n"/>
      <c r="G2404" s="484" t="inlineStr">
        <is>
          <t>媚必提直線探頭3.0mm/條</t>
        </is>
      </c>
      <c r="H2404" s="552" t="n"/>
      <c r="I2404" s="552" t="n"/>
      <c r="J2404" s="551" t="n"/>
      <c r="K2404" s="140" t="inlineStr">
        <is>
          <t>20,099條/顆</t>
        </is>
      </c>
      <c r="L2404" s="560" t="n">
        <v>4139</v>
      </c>
    </row>
    <row r="2405" ht="17.25" customHeight="1" s="453" thickBot="1">
      <c r="A2405" s="553" t="inlineStr">
        <is>
          <t>2026/06</t>
        </is>
      </c>
      <c r="B2405" s="554" t="inlineStr">
        <is>
          <t>2026/06忠孝7樓</t>
        </is>
      </c>
      <c r="C2405" s="559" t="n">
        <v>113</v>
      </c>
      <c r="D2405" s="484" t="inlineStr">
        <is>
          <t>忠孝7樓</t>
        </is>
      </c>
      <c r="E2405" s="484" t="inlineStr">
        <is>
          <t>6170021</t>
        </is>
      </c>
      <c r="F2405" s="551" t="n"/>
      <c r="G2405" s="484" t="inlineStr">
        <is>
          <t>媚必提直線探頭4.5mm/條</t>
        </is>
      </c>
      <c r="H2405" s="552" t="n"/>
      <c r="I2405" s="552" t="n"/>
      <c r="J2405" s="551" t="n"/>
      <c r="K2405" s="140" t="inlineStr">
        <is>
          <t>20,099條/顆</t>
        </is>
      </c>
      <c r="L2405" s="560" t="n">
        <v>11227</v>
      </c>
    </row>
    <row r="2406" ht="17.25" customHeight="1" s="453" thickBot="1">
      <c r="A2406" s="553" t="inlineStr">
        <is>
          <t>2026/06</t>
        </is>
      </c>
      <c r="B2406" s="554" t="inlineStr">
        <is>
          <t>2026/06忠孝7樓</t>
        </is>
      </c>
      <c r="C2406" s="559" t="n">
        <v>114</v>
      </c>
      <c r="D2406" s="484" t="inlineStr">
        <is>
          <t>忠孝7樓</t>
        </is>
      </c>
      <c r="E2406" s="484" t="inlineStr">
        <is>
          <t>6170022</t>
        </is>
      </c>
      <c r="F2406" s="551" t="n"/>
      <c r="G2406" s="484" t="inlineStr">
        <is>
          <t>媚必提直線探頭6.0mm/條</t>
        </is>
      </c>
      <c r="H2406" s="552" t="n"/>
      <c r="I2406" s="552" t="n"/>
      <c r="J2406" s="551" t="n"/>
      <c r="K2406" s="140" t="inlineStr">
        <is>
          <t>20,099條/顆</t>
        </is>
      </c>
      <c r="L2406" s="560" t="n">
        <v>2974</v>
      </c>
    </row>
    <row r="2407" ht="17.25" customHeight="1" s="453" thickBot="1">
      <c r="A2407" s="553" t="inlineStr">
        <is>
          <t>2026/06</t>
        </is>
      </c>
      <c r="B2407" s="554" t="inlineStr">
        <is>
          <t>2026/06忠孝7樓</t>
        </is>
      </c>
      <c r="C2407" s="559" t="n">
        <v>115</v>
      </c>
      <c r="D2407" s="484" t="inlineStr">
        <is>
          <t>忠孝7樓</t>
        </is>
      </c>
      <c r="E2407" s="484" t="inlineStr">
        <is>
          <t>6170025</t>
        </is>
      </c>
      <c r="F2407" s="551" t="n"/>
      <c r="G2407" s="484" t="inlineStr">
        <is>
          <t>媚必提圓周探頭1.5mm/條</t>
        </is>
      </c>
      <c r="H2407" s="552" t="n"/>
      <c r="I2407" s="552" t="n"/>
      <c r="J2407" s="551" t="n"/>
      <c r="K2407" s="140" t="inlineStr">
        <is>
          <t>20,099條/顆</t>
        </is>
      </c>
      <c r="L2407" s="560" t="n">
        <v>652</v>
      </c>
    </row>
    <row r="2408" ht="17.25" customHeight="1" s="453" thickBot="1">
      <c r="A2408" s="553" t="inlineStr">
        <is>
          <t>2026/06</t>
        </is>
      </c>
      <c r="B2408" s="554" t="inlineStr">
        <is>
          <t>2026/06忠孝7樓</t>
        </is>
      </c>
      <c r="C2408" s="559" t="n">
        <v>116</v>
      </c>
      <c r="D2408" s="484" t="inlineStr">
        <is>
          <t>忠孝7樓</t>
        </is>
      </c>
      <c r="E2408" s="484" t="inlineStr">
        <is>
          <t>6170030</t>
        </is>
      </c>
      <c r="F2408" s="551" t="n"/>
      <c r="G2408" s="484" t="inlineStr">
        <is>
          <t>海芙電波探頭4.0cm/發</t>
        </is>
      </c>
      <c r="H2408" s="552" t="n"/>
      <c r="I2408" s="552" t="n"/>
      <c r="J2408" s="551" t="n"/>
      <c r="K2408" s="140" t="inlineStr">
        <is>
          <t>3,050發/顆</t>
        </is>
      </c>
      <c r="L2408" s="560" t="n">
        <v>11901</v>
      </c>
    </row>
    <row r="2409" ht="17.25" customHeight="1" s="453" thickBot="1">
      <c r="A2409" s="553" t="inlineStr">
        <is>
          <t>2026/06</t>
        </is>
      </c>
      <c r="B2409" s="554" t="inlineStr">
        <is>
          <t>2026/06忠孝7樓</t>
        </is>
      </c>
      <c r="C2409" s="559" t="n">
        <v>117</v>
      </c>
      <c r="D2409" s="484" t="inlineStr">
        <is>
          <t>忠孝7樓</t>
        </is>
      </c>
      <c r="E2409" s="484" t="inlineStr">
        <is>
          <t>6170032</t>
        </is>
      </c>
      <c r="F2409" s="551" t="n"/>
      <c r="G2409" s="484" t="inlineStr">
        <is>
          <t>立特拉A2筆型探頭3.0mm/ 條</t>
        </is>
      </c>
      <c r="H2409" s="552" t="n"/>
      <c r="I2409" s="552" t="n"/>
      <c r="J2409" s="551" t="n"/>
      <c r="K2409" s="140" t="inlineStr">
        <is>
          <t>240,500條/顆</t>
        </is>
      </c>
      <c r="L2409" s="560" t="n">
        <v>60000</v>
      </c>
    </row>
    <row r="2410" ht="17.25" customHeight="1" s="453" thickBot="1">
      <c r="A2410" s="553" t="inlineStr">
        <is>
          <t>2026/06</t>
        </is>
      </c>
      <c r="B2410" s="554" t="inlineStr">
        <is>
          <t>2026/06忠孝7樓</t>
        </is>
      </c>
      <c r="C2410" s="559" t="n">
        <v>118</v>
      </c>
      <c r="D2410" s="484" t="inlineStr">
        <is>
          <t>忠孝7樓</t>
        </is>
      </c>
      <c r="E2410" s="484" t="inlineStr">
        <is>
          <t>6170033</t>
        </is>
      </c>
      <c r="F2410" s="551" t="n"/>
      <c r="G2410" s="484" t="inlineStr">
        <is>
          <t>立特拉A2筆型探頭4.5mm/ 條</t>
        </is>
      </c>
      <c r="H2410" s="552" t="n"/>
      <c r="I2410" s="552" t="n"/>
      <c r="J2410" s="551" t="n"/>
      <c r="K2410" s="140" t="inlineStr">
        <is>
          <t>240,500條/顆</t>
        </is>
      </c>
      <c r="L2410" s="560" t="n">
        <v>22000</v>
      </c>
    </row>
    <row r="2411" ht="17.25" customHeight="1" s="453" thickBot="1">
      <c r="A2411" s="553" t="inlineStr">
        <is>
          <t>2026/06</t>
        </is>
      </c>
      <c r="B2411" s="554" t="inlineStr">
        <is>
          <t>2026/06忠孝7樓</t>
        </is>
      </c>
      <c r="C2411" s="559" t="n">
        <v>119</v>
      </c>
      <c r="D2411" s="484" t="inlineStr">
        <is>
          <t>忠孝7樓</t>
        </is>
      </c>
      <c r="E2411" s="484" t="inlineStr">
        <is>
          <t>6170034</t>
        </is>
      </c>
      <c r="F2411" s="551" t="n"/>
      <c r="G2411" s="484" t="inlineStr">
        <is>
          <t>十蓓電波臉部探頭5cm</t>
        </is>
      </c>
      <c r="H2411" s="552" t="n"/>
      <c r="I2411" s="552" t="n"/>
      <c r="J2411" s="551" t="n"/>
      <c r="K2411" s="140" t="inlineStr">
        <is>
          <t>900發/顆</t>
        </is>
      </c>
      <c r="L2411" s="560" t="n">
        <v>47900</v>
      </c>
    </row>
    <row r="2412" ht="17.25" customHeight="1" s="453" thickBot="1">
      <c r="A2412" s="553" t="inlineStr">
        <is>
          <t>2026/06</t>
        </is>
      </c>
      <c r="B2412" s="554" t="inlineStr">
        <is>
          <t>2026/06忠孝7樓</t>
        </is>
      </c>
      <c r="C2412" s="559" t="n">
        <v>120</v>
      </c>
      <c r="D2412" s="484" t="inlineStr">
        <is>
          <t>忠孝7樓</t>
        </is>
      </c>
      <c r="E2412" s="484" t="inlineStr">
        <is>
          <t>6170035</t>
        </is>
      </c>
      <c r="F2412" s="551" t="n"/>
      <c r="G2412" s="484" t="inlineStr">
        <is>
          <t>十蓓電波眼部探頭0.25cm</t>
        </is>
      </c>
      <c r="H2412" s="552" t="n"/>
      <c r="I2412" s="552" t="n"/>
      <c r="J2412" s="551" t="n"/>
      <c r="K2412" s="140" t="inlineStr">
        <is>
          <t>600發/顆</t>
        </is>
      </c>
      <c r="L2412" s="560" t="n">
        <v>6900</v>
      </c>
    </row>
    <row r="2413" ht="17.25" customHeight="1" s="453" thickBot="1">
      <c r="A2413" s="553" t="inlineStr">
        <is>
          <t>2026/06</t>
        </is>
      </c>
      <c r="B2413" s="554" t="inlineStr">
        <is>
          <t>2026/06忠孝7樓</t>
        </is>
      </c>
      <c r="C2413" s="559" t="n">
        <v>121</v>
      </c>
      <c r="D2413" s="484" t="inlineStr">
        <is>
          <t>忠孝7樓</t>
        </is>
      </c>
      <c r="E2413" s="484" t="inlineStr">
        <is>
          <t>6180009</t>
        </is>
      </c>
      <c r="F2413" s="551" t="n"/>
      <c r="G2413" s="484" t="inlineStr">
        <is>
          <t>(V)MINT秘特拉提線TIP 4CM/ 條</t>
        </is>
      </c>
      <c r="H2413" s="552" t="n"/>
      <c r="I2413" s="552" t="n"/>
      <c r="J2413" s="551" t="n"/>
      <c r="K2413" s="140" t="inlineStr">
        <is>
          <t>10條/盒</t>
        </is>
      </c>
      <c r="L2413" s="560" t="n">
        <v>4</v>
      </c>
    </row>
    <row r="2414" ht="17.25" customHeight="1" s="453" thickBot="1">
      <c r="A2414" s="553" t="inlineStr">
        <is>
          <t>2026/06</t>
        </is>
      </c>
      <c r="B2414" s="554" t="inlineStr">
        <is>
          <t>2026/06忠孝7樓</t>
        </is>
      </c>
      <c r="C2414" s="559" t="n">
        <v>122</v>
      </c>
      <c r="D2414" s="484" t="inlineStr">
        <is>
          <t>忠孝7樓</t>
        </is>
      </c>
      <c r="E2414" s="484" t="inlineStr">
        <is>
          <t>6190001</t>
        </is>
      </c>
      <c r="F2414" s="551" t="n"/>
      <c r="G2414" s="484" t="inlineStr">
        <is>
          <t>PLT生長因子凍晶製備/ 瓶</t>
        </is>
      </c>
      <c r="H2414" s="552" t="n"/>
      <c r="I2414" s="552" t="n"/>
      <c r="J2414" s="551" t="n"/>
      <c r="K2414" s="140" t="inlineStr">
        <is>
          <t>瓶</t>
        </is>
      </c>
      <c r="L2414" s="560" t="n">
        <v>2</v>
      </c>
    </row>
    <row r="2415" ht="17.25" customHeight="1" s="453" thickBot="1">
      <c r="A2415" s="553" t="inlineStr">
        <is>
          <t>2026/06</t>
        </is>
      </c>
      <c r="B2415" s="554" t="inlineStr">
        <is>
          <t>2026/06忠孝7樓</t>
        </is>
      </c>
      <c r="C2415" s="559" t="n">
        <v>123</v>
      </c>
      <c r="D2415" s="484" t="inlineStr">
        <is>
          <t>忠孝7樓</t>
        </is>
      </c>
      <c r="E2415" s="484" t="inlineStr">
        <is>
          <t>6190003</t>
        </is>
      </c>
      <c r="F2415" s="551" t="n"/>
      <c r="G2415" s="484" t="inlineStr">
        <is>
          <t>PLT生長因子凍晶製備10入(單瓶)</t>
        </is>
      </c>
      <c r="H2415" s="552" t="n"/>
      <c r="I2415" s="552" t="n"/>
      <c r="J2415" s="551" t="n"/>
      <c r="K2415" s="140" t="inlineStr">
        <is>
          <t>瓶(10入/組)</t>
        </is>
      </c>
      <c r="L2415" s="560" t="n">
        <v>5</v>
      </c>
    </row>
    <row r="2416" ht="17.25" customHeight="1" s="453" thickBot="1">
      <c r="A2416" s="553" t="inlineStr">
        <is>
          <t>2026/06</t>
        </is>
      </c>
      <c r="B2416" s="554" t="inlineStr">
        <is>
          <t>2026/06忠孝7樓</t>
        </is>
      </c>
      <c r="C2416" s="559" t="n">
        <v>124</v>
      </c>
      <c r="D2416" s="484" t="inlineStr">
        <is>
          <t>忠孝7樓</t>
        </is>
      </c>
      <c r="E2416" s="484" t="inlineStr">
        <is>
          <t>6190004</t>
        </is>
      </c>
      <c r="F2416" s="551" t="n"/>
      <c r="G2416" s="484" t="inlineStr">
        <is>
          <t>PLT生長因子凍晶製備20入(單瓶)</t>
        </is>
      </c>
      <c r="H2416" s="552" t="n"/>
      <c r="I2416" s="552" t="n"/>
      <c r="J2416" s="551" t="n"/>
      <c r="K2416" s="140" t="inlineStr">
        <is>
          <t>瓶(20入/組)</t>
        </is>
      </c>
      <c r="L2416" s="560" t="n">
        <v>5</v>
      </c>
    </row>
    <row r="2417" ht="17.25" customHeight="1" s="453" thickBot="1">
      <c r="A2417" s="553" t="inlineStr">
        <is>
          <t>2026/06</t>
        </is>
      </c>
      <c r="B2417" s="554" t="inlineStr">
        <is>
          <t>2026/06忠孝7樓</t>
        </is>
      </c>
      <c r="C2417" s="559" t="n">
        <v>125</v>
      </c>
      <c r="D2417" s="484" t="inlineStr">
        <is>
          <t>忠孝7樓</t>
        </is>
      </c>
      <c r="E2417" s="484" t="inlineStr">
        <is>
          <t>6190006</t>
        </is>
      </c>
      <c r="F2417" s="551" t="n"/>
      <c r="G2417" s="484" t="inlineStr">
        <is>
          <t>(V)ExoPower 泌力機泌凍晶 5mg</t>
        </is>
      </c>
      <c r="H2417" s="552" t="n"/>
      <c r="I2417" s="552" t="n"/>
      <c r="J2417" s="551" t="n"/>
      <c r="K2417" s="140" t="inlineStr">
        <is>
          <t>瓶</t>
        </is>
      </c>
      <c r="L2417" s="560" t="n">
        <v>11</v>
      </c>
    </row>
    <row r="2418" ht="17.25" customHeight="1" s="453" thickBot="1">
      <c r="A2418" s="553" t="inlineStr">
        <is>
          <t>2026/06</t>
        </is>
      </c>
      <c r="B2418" s="554" t="inlineStr">
        <is>
          <t>2026/06忠孝7樓</t>
        </is>
      </c>
      <c r="C2418" s="559" t="n">
        <v>126</v>
      </c>
      <c r="D2418" s="484" t="inlineStr">
        <is>
          <t>忠孝7樓</t>
        </is>
      </c>
      <c r="E2418" s="484" t="inlineStr">
        <is>
          <t>6200003</t>
        </is>
      </c>
      <c r="F2418" s="551" t="n"/>
      <c r="G2418" s="484" t="inlineStr">
        <is>
          <t>(V)倍克脂Belkyra/ 瓶(20的倍數下單)</t>
        </is>
      </c>
      <c r="H2418" s="552" t="n"/>
      <c r="I2418" s="552" t="n"/>
      <c r="J2418" s="551" t="n"/>
      <c r="K2418" s="140" t="inlineStr">
        <is>
          <t>4瓶/盒</t>
        </is>
      </c>
      <c r="L2418" s="560" t="n">
        <v>3</v>
      </c>
    </row>
    <row r="2419" ht="17.25" customHeight="1" s="453" thickBot="1">
      <c r="A2419" s="553" t="inlineStr">
        <is>
          <t>2026/06</t>
        </is>
      </c>
      <c r="B2419" s="554" t="inlineStr">
        <is>
          <t>2026/06忠孝7樓</t>
        </is>
      </c>
      <c r="C2419" s="559" t="n">
        <v>127</v>
      </c>
      <c r="D2419" s="484" t="inlineStr">
        <is>
          <t>忠孝7樓</t>
        </is>
      </c>
      <c r="E2419" s="484" t="inlineStr">
        <is>
          <t>6210002</t>
        </is>
      </c>
      <c r="F2419" s="551" t="n"/>
      <c r="G2419" s="484" t="inlineStr">
        <is>
          <t>(V)水光針針頭/31G9針/1.2mm/ PCS</t>
        </is>
      </c>
      <c r="H2419" s="552" t="n"/>
      <c r="I2419" s="552" t="n"/>
      <c r="J2419" s="551" t="n"/>
      <c r="K2419" s="140" t="inlineStr">
        <is>
          <t>PCS(20入/盒)</t>
        </is>
      </c>
      <c r="L2419" s="560" t="n">
        <v>59</v>
      </c>
    </row>
    <row r="2420" ht="17.25" customHeight="1" s="453" thickBot="1">
      <c r="A2420" s="553" t="inlineStr">
        <is>
          <t>2026/06</t>
        </is>
      </c>
      <c r="B2420" s="554" t="inlineStr">
        <is>
          <t>2026/06忠孝7樓</t>
        </is>
      </c>
      <c r="C2420" s="559" t="n">
        <v>128</v>
      </c>
      <c r="D2420" s="484" t="inlineStr">
        <is>
          <t>忠孝7樓</t>
        </is>
      </c>
      <c r="E2420" s="484" t="inlineStr">
        <is>
          <t>6210003</t>
        </is>
      </c>
      <c r="F2420" s="551" t="n"/>
      <c r="G2420" s="484" t="inlineStr">
        <is>
          <t>(V)水光針針頭/31G9針/1.5mm/ PCS</t>
        </is>
      </c>
      <c r="H2420" s="552" t="n"/>
      <c r="I2420" s="552" t="n"/>
      <c r="J2420" s="551" t="n"/>
      <c r="K2420" s="140" t="inlineStr">
        <is>
          <t>PCS(20入/盒)</t>
        </is>
      </c>
      <c r="L2420" s="560" t="n">
        <v>9</v>
      </c>
    </row>
    <row r="2421" ht="17.25" customHeight="1" s="453" thickBot="1">
      <c r="A2421" s="553" t="inlineStr">
        <is>
          <t>2026/06</t>
        </is>
      </c>
      <c r="B2421" s="554" t="inlineStr">
        <is>
          <t>2026/06忠孝7樓</t>
        </is>
      </c>
      <c r="C2421" s="559" t="n">
        <v>129</v>
      </c>
      <c r="D2421" s="484" t="inlineStr">
        <is>
          <t>忠孝7樓</t>
        </is>
      </c>
      <c r="E2421" s="484" t="inlineStr">
        <is>
          <t>6210007</t>
        </is>
      </c>
      <c r="F2421" s="551" t="n"/>
      <c r="G2421" s="484" t="inlineStr">
        <is>
          <t>(V)麗珠蘭白瓷水光(A劑2ml+B劑2ml)</t>
        </is>
      </c>
      <c r="H2421" s="552" t="n"/>
      <c r="I2421" s="552" t="n"/>
      <c r="J2421" s="551" t="n"/>
      <c r="K2421" s="140" t="inlineStr">
        <is>
          <t>2ml*2</t>
        </is>
      </c>
      <c r="L2421" s="560" t="n">
        <v>1</v>
      </c>
    </row>
    <row r="2422" ht="17.25" customHeight="1" s="453" thickBot="1">
      <c r="A2422" s="553" t="inlineStr">
        <is>
          <t>2026/06</t>
        </is>
      </c>
      <c r="B2422" s="554" t="inlineStr">
        <is>
          <t>2026/06忠孝7樓</t>
        </is>
      </c>
      <c r="C2422" s="559" t="n">
        <v>130</v>
      </c>
      <c r="D2422" s="484" t="inlineStr">
        <is>
          <t>忠孝7樓</t>
        </is>
      </c>
      <c r="E2422" s="484" t="inlineStr">
        <is>
          <t>6210008</t>
        </is>
      </c>
      <c r="F2422" s="551" t="n"/>
      <c r="G2422" s="484" t="inlineStr">
        <is>
          <t>微針筆針頭</t>
        </is>
      </c>
      <c r="H2422" s="552" t="n"/>
      <c r="I2422" s="552" t="n"/>
      <c r="J2422" s="551" t="n"/>
      <c r="K2422" s="140" t="inlineStr">
        <is>
          <t>PCS(33入/盒)</t>
        </is>
      </c>
      <c r="L2422" s="560" t="n">
        <v>4</v>
      </c>
    </row>
    <row r="2423" ht="17.25" customHeight="1" s="453" thickBot="1">
      <c r="A2423" s="553" t="inlineStr">
        <is>
          <t>2026/06</t>
        </is>
      </c>
      <c r="B2423" s="554" t="inlineStr">
        <is>
          <t>2026/06忠孝7樓</t>
        </is>
      </c>
      <c r="C2423" s="559" t="n">
        <v>131</v>
      </c>
      <c r="D2423" s="484" t="inlineStr">
        <is>
          <t>忠孝7樓</t>
        </is>
      </c>
      <c r="E2423" s="484" t="inlineStr">
        <is>
          <t>6220005</t>
        </is>
      </c>
      <c r="F2423" s="551" t="n"/>
      <c r="G2423" s="484" t="inlineStr">
        <is>
          <t>海菲秀深藍端頭/ 顆</t>
        </is>
      </c>
      <c r="H2423" s="552" t="n"/>
      <c r="I2423" s="552" t="n"/>
      <c r="J2423" s="551" t="n"/>
      <c r="K2423" s="140" t="inlineStr">
        <is>
          <t>15顆/串</t>
        </is>
      </c>
      <c r="L2423" s="560" t="n">
        <v>186</v>
      </c>
    </row>
    <row r="2424" ht="17.25" customHeight="1" s="453" thickBot="1">
      <c r="A2424" s="553" t="inlineStr">
        <is>
          <t>2026/06</t>
        </is>
      </c>
      <c r="B2424" s="554" t="inlineStr">
        <is>
          <t>2026/06忠孝7樓</t>
        </is>
      </c>
      <c r="C2424" s="559" t="n">
        <v>132</v>
      </c>
      <c r="D2424" s="484" t="inlineStr">
        <is>
          <t>忠孝7樓</t>
        </is>
      </c>
      <c r="E2424" s="484" t="inlineStr">
        <is>
          <t>6220006</t>
        </is>
      </c>
      <c r="F2424" s="551" t="n"/>
      <c r="G2424" s="484" t="inlineStr">
        <is>
          <t>海菲秀淺藍端頭/ 顆</t>
        </is>
      </c>
      <c r="H2424" s="552" t="n"/>
      <c r="I2424" s="552" t="n"/>
      <c r="J2424" s="551" t="n"/>
      <c r="K2424" s="140" t="inlineStr">
        <is>
          <t>15顆/串</t>
        </is>
      </c>
      <c r="L2424" s="560" t="n">
        <v>186</v>
      </c>
    </row>
    <row r="2425" ht="17.25" customHeight="1" s="453" thickBot="1">
      <c r="A2425" s="553" t="inlineStr">
        <is>
          <t>2026/06</t>
        </is>
      </c>
      <c r="B2425" s="554" t="inlineStr">
        <is>
          <t>2026/06忠孝7樓</t>
        </is>
      </c>
      <c r="C2425" s="559" t="n">
        <v>133</v>
      </c>
      <c r="D2425" s="484" t="inlineStr">
        <is>
          <t>忠孝7樓</t>
        </is>
      </c>
      <c r="E2425" s="484" t="inlineStr">
        <is>
          <t>6220007</t>
        </is>
      </c>
      <c r="F2425" s="551" t="n"/>
      <c r="G2425" s="484" t="inlineStr">
        <is>
          <t>海菲秀透明端頭/ 顆</t>
        </is>
      </c>
      <c r="H2425" s="552" t="n"/>
      <c r="I2425" s="552" t="n"/>
      <c r="J2425" s="551" t="n"/>
      <c r="K2425" s="140" t="inlineStr">
        <is>
          <t>15顆/串</t>
        </is>
      </c>
      <c r="L2425" s="560" t="n">
        <v>186</v>
      </c>
    </row>
    <row r="2426" ht="17.25" customHeight="1" s="453" thickBot="1">
      <c r="A2426" s="553" t="inlineStr">
        <is>
          <t>2026/06</t>
        </is>
      </c>
      <c r="B2426" s="554" t="inlineStr">
        <is>
          <t>2026/06忠孝7樓</t>
        </is>
      </c>
      <c r="C2426" s="559" t="n">
        <v>134</v>
      </c>
      <c r="D2426" s="484" t="inlineStr">
        <is>
          <t>忠孝7樓</t>
        </is>
      </c>
      <c r="E2426" s="484" t="inlineStr">
        <is>
          <t>6220012</t>
        </is>
      </c>
      <c r="F2426" s="551" t="n"/>
      <c r="G2426" s="484" t="inlineStr">
        <is>
          <t>(V)(第一劑)海菲秀 Activ-4 Skin Solution/mL</t>
        </is>
      </c>
      <c r="H2426" s="552" t="n"/>
      <c r="I2426" s="552" t="n"/>
      <c r="J2426" s="551" t="n"/>
      <c r="K2426" s="140" t="inlineStr">
        <is>
          <t>236ml/瓶</t>
        </is>
      </c>
      <c r="L2426" s="560" t="n">
        <v>2790</v>
      </c>
    </row>
    <row r="2427" ht="17.25" customHeight="1" s="453" thickBot="1">
      <c r="A2427" s="553" t="inlineStr">
        <is>
          <t>2026/06</t>
        </is>
      </c>
      <c r="B2427" s="554" t="inlineStr">
        <is>
          <t>2026/06忠孝7樓</t>
        </is>
      </c>
      <c r="C2427" s="559" t="n">
        <v>135</v>
      </c>
      <c r="D2427" s="484" t="inlineStr">
        <is>
          <t>忠孝7樓</t>
        </is>
      </c>
      <c r="E2427" s="484" t="inlineStr">
        <is>
          <t>6220013</t>
        </is>
      </c>
      <c r="F2427" s="551" t="n"/>
      <c r="G2427" s="484" t="inlineStr">
        <is>
          <t>(V)(第二劑)海菲秀 Beta-HD Skin Solution /mL</t>
        </is>
      </c>
      <c r="H2427" s="552" t="n"/>
      <c r="I2427" s="552" t="n"/>
      <c r="J2427" s="551" t="n"/>
      <c r="K2427" s="140" t="inlineStr">
        <is>
          <t>236ml/瓶</t>
        </is>
      </c>
      <c r="L2427" s="560" t="n">
        <v>2790</v>
      </c>
    </row>
    <row r="2428" ht="17.25" customHeight="1" s="453" thickBot="1">
      <c r="A2428" s="553" t="inlineStr">
        <is>
          <t>2026/06</t>
        </is>
      </c>
      <c r="B2428" s="554" t="inlineStr">
        <is>
          <t>2026/06忠孝7樓</t>
        </is>
      </c>
      <c r="C2428" s="559" t="n">
        <v>136</v>
      </c>
      <c r="D2428" s="484" t="inlineStr">
        <is>
          <t>忠孝7樓</t>
        </is>
      </c>
      <c r="E2428" s="484" t="inlineStr">
        <is>
          <t>6220014</t>
        </is>
      </c>
      <c r="F2428" s="551" t="n"/>
      <c r="G2428" s="484" t="inlineStr">
        <is>
          <t>(V)(第三劑)海菲秀 Antiox-6 Skin Solution /mL</t>
        </is>
      </c>
      <c r="H2428" s="552" t="n"/>
      <c r="I2428" s="552" t="n"/>
      <c r="J2428" s="551" t="n"/>
      <c r="K2428" s="140" t="inlineStr">
        <is>
          <t>236ml/瓶</t>
        </is>
      </c>
      <c r="L2428" s="560" t="n">
        <v>2790</v>
      </c>
    </row>
    <row r="2429" ht="17.25" customHeight="1" s="453" thickBot="1">
      <c r="A2429" s="553" t="inlineStr">
        <is>
          <t>2026/06</t>
        </is>
      </c>
      <c r="B2429" s="554" t="inlineStr">
        <is>
          <t>2026/06忠孝7樓</t>
        </is>
      </c>
      <c r="C2429" s="559" t="n">
        <v>137</v>
      </c>
      <c r="D2429" s="484" t="inlineStr">
        <is>
          <t>忠孝7樓</t>
        </is>
      </c>
      <c r="E2429" s="484" t="inlineStr">
        <is>
          <t>6220015</t>
        </is>
      </c>
      <c r="F2429" s="551" t="n"/>
      <c r="G2429" s="484" t="inlineStr">
        <is>
          <t>(V)(第四劑)海菲秀 Rinseaway System Cleaning Solution /mL</t>
        </is>
      </c>
      <c r="H2429" s="552" t="n"/>
      <c r="I2429" s="552" t="n"/>
      <c r="J2429" s="551" t="n"/>
      <c r="K2429" s="140" t="inlineStr">
        <is>
          <t>236ml/瓶</t>
        </is>
      </c>
      <c r="L2429" s="560" t="n">
        <v>2790</v>
      </c>
    </row>
    <row r="2430" ht="17.25" customHeight="1" s="453" thickBot="1">
      <c r="A2430" s="553" t="inlineStr">
        <is>
          <t>2026/06</t>
        </is>
      </c>
      <c r="B2430" s="554" t="inlineStr">
        <is>
          <t>2026/06忠孝7樓</t>
        </is>
      </c>
      <c r="C2430" s="559" t="n">
        <v>138</v>
      </c>
      <c r="D2430" s="484" t="inlineStr">
        <is>
          <t>忠孝7樓</t>
        </is>
      </c>
      <c r="E2430" s="484" t="inlineStr">
        <is>
          <t>6230002</t>
        </is>
      </c>
      <c r="F2430" s="551" t="n"/>
      <c r="G2430" s="484" t="inlineStr">
        <is>
          <t>(V)無瑕清透防護霜 30ml(潤色)</t>
        </is>
      </c>
      <c r="H2430" s="552" t="n"/>
      <c r="I2430" s="552" t="n"/>
      <c r="J2430" s="551" t="n"/>
      <c r="K2430" s="140" t="inlineStr">
        <is>
          <t>30ml</t>
        </is>
      </c>
      <c r="L2430" s="560" t="n">
        <v>15</v>
      </c>
    </row>
    <row r="2431" ht="17.25" customHeight="1" s="453" thickBot="1">
      <c r="A2431" s="553" t="inlineStr">
        <is>
          <t>2026/06</t>
        </is>
      </c>
      <c r="B2431" s="554" t="inlineStr">
        <is>
          <t>2026/06忠孝國際醫學3樓</t>
        </is>
      </c>
      <c r="C2431" s="559" t="n">
        <v>139</v>
      </c>
      <c r="D2431" s="484" t="inlineStr">
        <is>
          <t>忠孝國際醫學3樓</t>
        </is>
      </c>
      <c r="E2431" s="484" t="inlineStr">
        <is>
          <t>6120001</t>
        </is>
      </c>
      <c r="F2431" s="551" t="n"/>
      <c r="G2431" s="484" t="inlineStr">
        <is>
          <t>(V)肝得健注射劑/ 瓶，640倍數叫貨</t>
        </is>
      </c>
      <c r="H2431" s="552" t="n"/>
      <c r="I2431" s="552" t="n"/>
      <c r="J2431" s="551" t="n"/>
      <c r="K2431" s="140" t="inlineStr">
        <is>
          <t>20支/盒</t>
        </is>
      </c>
      <c r="L2431" s="560" t="n">
        <v>685</v>
      </c>
    </row>
    <row r="2432" ht="17.25" customHeight="1" s="453" thickBot="1">
      <c r="A2432" s="553" t="inlineStr">
        <is>
          <t>2026/06</t>
        </is>
      </c>
      <c r="B2432" s="554" t="inlineStr">
        <is>
          <t>2026/06忠孝國際醫學3樓</t>
        </is>
      </c>
      <c r="C2432" s="559" t="n">
        <v>140</v>
      </c>
      <c r="D2432" s="484" t="inlineStr">
        <is>
          <t>忠孝國際醫學3樓</t>
        </is>
      </c>
      <c r="E2432" s="484" t="inlineStr">
        <is>
          <t>6120002</t>
        </is>
      </c>
      <c r="F2432" s="551" t="n"/>
      <c r="G2432" s="484" t="inlineStr">
        <is>
          <t>(V)卡妮丁注射劑/ 瓶，640倍數叫貨</t>
        </is>
      </c>
      <c r="H2432" s="552" t="n"/>
      <c r="I2432" s="552" t="n"/>
      <c r="J2432" s="551" t="n"/>
      <c r="K2432" s="140" t="inlineStr">
        <is>
          <t>5支/盒</t>
        </is>
      </c>
      <c r="L2432" s="560" t="n">
        <v>731.5</v>
      </c>
    </row>
    <row r="2433" ht="17.25" customHeight="1" s="453" thickBot="1">
      <c r="A2433" s="553" t="inlineStr">
        <is>
          <t>2026/06</t>
        </is>
      </c>
      <c r="B2433" s="554" t="inlineStr">
        <is>
          <t>2026/06忠孝國際醫學3樓</t>
        </is>
      </c>
      <c r="C2433" s="559" t="n">
        <v>141</v>
      </c>
      <c r="D2433" s="484" t="inlineStr">
        <is>
          <t>忠孝國際醫學3樓</t>
        </is>
      </c>
      <c r="E2433" s="484" t="inlineStr">
        <is>
          <t>6120004</t>
        </is>
      </c>
      <c r="F2433" s="551" t="n"/>
      <c r="G2433" s="484" t="inlineStr">
        <is>
          <t>(V)胺基酸點滴250ml/ 袋(安命活源/嘉安命)，20倍數叫貨</t>
        </is>
      </c>
      <c r="H2433" s="552" t="n"/>
      <c r="I2433" s="552" t="n"/>
      <c r="J2433" s="551" t="n"/>
      <c r="K2433" s="140" t="inlineStr">
        <is>
          <t>(20瓶/箱)</t>
        </is>
      </c>
      <c r="L2433" s="560" t="n">
        <v>4</v>
      </c>
    </row>
    <row r="2434" ht="17.25" customHeight="1" s="453" thickBot="1">
      <c r="A2434" s="553" t="inlineStr">
        <is>
          <t>2026/06</t>
        </is>
      </c>
      <c r="B2434" s="554" t="inlineStr">
        <is>
          <t>2026/06忠孝國際醫學3樓</t>
        </is>
      </c>
      <c r="C2434" s="559" t="n">
        <v>142</v>
      </c>
      <c r="D2434" s="484" t="inlineStr">
        <is>
          <t>忠孝國際醫學3樓</t>
        </is>
      </c>
      <c r="E2434" s="484" t="inlineStr">
        <is>
          <t>6120006</t>
        </is>
      </c>
      <c r="F2434" s="551" t="n"/>
      <c r="G2434" s="484" t="inlineStr">
        <is>
          <t>(V)(B12) 愛壽命 2mL，100倍數叫貨</t>
        </is>
      </c>
      <c r="H2434" s="552" t="n"/>
      <c r="I2434" s="552" t="n"/>
      <c r="J2434" s="551" t="n"/>
      <c r="K2434" s="140" t="inlineStr">
        <is>
          <t>(100支/盒)</t>
        </is>
      </c>
      <c r="L2434" s="560" t="n">
        <v>97</v>
      </c>
    </row>
    <row r="2435" ht="17.25" customHeight="1" s="453" thickBot="1">
      <c r="A2435" s="553" t="inlineStr">
        <is>
          <t>2026/06</t>
        </is>
      </c>
      <c r="B2435" s="554" t="inlineStr">
        <is>
          <t>2026/06忠孝國際醫學3樓</t>
        </is>
      </c>
      <c r="C2435" s="559" t="n">
        <v>143</v>
      </c>
      <c r="D2435" s="484" t="inlineStr">
        <is>
          <t>忠孝國際醫學3樓</t>
        </is>
      </c>
      <c r="E2435" s="484" t="inlineStr">
        <is>
          <t>6120007</t>
        </is>
      </c>
      <c r="F2435" s="551" t="n"/>
      <c r="G2435" s="484" t="inlineStr">
        <is>
          <t>(V)(硫酸鋅) 1ml/支，100倍數叫貨</t>
        </is>
      </c>
      <c r="H2435" s="552" t="n"/>
      <c r="I2435" s="552" t="n"/>
      <c r="J2435" s="551" t="n"/>
      <c r="K2435" s="140" t="inlineStr">
        <is>
          <t>100支/盒</t>
        </is>
      </c>
      <c r="L2435" s="560" t="n">
        <v>4</v>
      </c>
    </row>
    <row r="2436" ht="17.25" customHeight="1" s="453" thickBot="1">
      <c r="A2436" s="553" t="inlineStr">
        <is>
          <t>2026/06</t>
        </is>
      </c>
      <c r="B2436" s="554" t="inlineStr">
        <is>
          <t>2026/06忠孝國際醫學3樓</t>
        </is>
      </c>
      <c r="C2436" s="559" t="n">
        <v>144</v>
      </c>
      <c r="D2436" s="484" t="inlineStr">
        <is>
          <t>忠孝國際醫學3樓</t>
        </is>
      </c>
      <c r="E2436" s="484" t="inlineStr">
        <is>
          <t>6120008</t>
        </is>
      </c>
      <c r="F2436" s="551" t="n"/>
      <c r="G2436" s="484" t="inlineStr">
        <is>
          <t>(V)(硫酸鎂) 注射液 20ml/支</t>
        </is>
      </c>
      <c r="H2436" s="552" t="n"/>
      <c r="I2436" s="552" t="n"/>
      <c r="J2436" s="551" t="n"/>
      <c r="K2436" s="140" t="inlineStr">
        <is>
          <t>60支/盒</t>
        </is>
      </c>
      <c r="L2436" s="560" t="n">
        <v>2</v>
      </c>
    </row>
    <row r="2437" ht="17.25" customHeight="1" s="453" thickBot="1">
      <c r="A2437" s="553" t="inlineStr">
        <is>
          <t>2026/06</t>
        </is>
      </c>
      <c r="B2437" s="554" t="inlineStr">
        <is>
          <t>2026/06忠孝國際醫學3樓</t>
        </is>
      </c>
      <c r="C2437" s="559" t="n">
        <v>145</v>
      </c>
      <c r="D2437" s="484" t="inlineStr">
        <is>
          <t>忠孝國際醫學3樓</t>
        </is>
      </c>
      <c r="E2437" s="484" t="inlineStr">
        <is>
          <t>6120009</t>
        </is>
      </c>
      <c r="F2437" s="551" t="n"/>
      <c r="G2437" s="484" t="inlineStr">
        <is>
          <t>(V)(B1) 硫胺明 2ml</t>
        </is>
      </c>
      <c r="H2437" s="552" t="n"/>
      <c r="I2437" s="552" t="n"/>
      <c r="J2437" s="551" t="n"/>
      <c r="K2437" s="140" t="inlineStr">
        <is>
          <t>(100支/盒)</t>
        </is>
      </c>
      <c r="L2437" s="560" t="n">
        <v>2</v>
      </c>
    </row>
    <row r="2438" ht="17.25" customHeight="1" s="453" thickBot="1">
      <c r="A2438" s="553" t="inlineStr">
        <is>
          <t>2026/06</t>
        </is>
      </c>
      <c r="B2438" s="554" t="inlineStr">
        <is>
          <t>2026/06忠孝國際醫學3樓</t>
        </is>
      </c>
      <c r="C2438" s="559" t="n">
        <v>146</v>
      </c>
      <c r="D2438" s="484" t="inlineStr">
        <is>
          <t>忠孝國際醫學3樓</t>
        </is>
      </c>
      <c r="E2438" s="484" t="inlineStr">
        <is>
          <t>6120010</t>
        </is>
      </c>
      <c r="F2438" s="551" t="n"/>
      <c r="G2438" s="484" t="inlineStr">
        <is>
          <t>(V)(B6) 活性維生素 2ml，100倍數叫貨</t>
        </is>
      </c>
      <c r="H2438" s="552" t="n"/>
      <c r="I2438" s="552" t="n"/>
      <c r="J2438" s="551" t="n"/>
      <c r="K2438" s="140" t="inlineStr">
        <is>
          <t>(100支/盒)</t>
        </is>
      </c>
      <c r="L2438" s="560" t="n">
        <v>2</v>
      </c>
    </row>
    <row r="2439" ht="17.25" customHeight="1" s="453" thickBot="1">
      <c r="A2439" s="553" t="inlineStr">
        <is>
          <t>2026/06</t>
        </is>
      </c>
      <c r="B2439" s="554" t="inlineStr">
        <is>
          <t>2026/06忠孝國際醫學3樓</t>
        </is>
      </c>
      <c r="C2439" s="559" t="n">
        <v>147</v>
      </c>
      <c r="D2439" s="484" t="inlineStr">
        <is>
          <t>忠孝國際醫學3樓</t>
        </is>
      </c>
      <c r="E2439" s="484" t="inlineStr">
        <is>
          <t>6120011</t>
        </is>
      </c>
      <c r="F2439" s="551" t="n"/>
      <c r="G2439" s="484" t="inlineStr">
        <is>
          <t>(V)(硒) 西寧特 2ml/支</t>
        </is>
      </c>
      <c r="H2439" s="552" t="n"/>
      <c r="I2439" s="552" t="n"/>
      <c r="J2439" s="551" t="n"/>
      <c r="K2439" s="140" t="inlineStr">
        <is>
          <t>10支/盒</t>
        </is>
      </c>
      <c r="L2439" s="560" t="n">
        <v>4</v>
      </c>
    </row>
    <row r="2440" ht="17.25" customHeight="1" s="453" thickBot="1">
      <c r="A2440" s="553" t="inlineStr">
        <is>
          <t>2026/06</t>
        </is>
      </c>
      <c r="B2440" s="554" t="inlineStr">
        <is>
          <t>2026/06忠孝國際醫學3樓</t>
        </is>
      </c>
      <c r="C2440" s="559" t="n">
        <v>148</v>
      </c>
      <c r="D2440" s="484" t="inlineStr">
        <is>
          <t>忠孝國際醫學3樓</t>
        </is>
      </c>
      <c r="E2440" s="484" t="inlineStr">
        <is>
          <t>6120013</t>
        </is>
      </c>
      <c r="F2440" s="551" t="n"/>
      <c r="G2440" s="484" t="inlineStr">
        <is>
          <t>(V)生理食鹽水(NS) 250ml/ 袋</t>
        </is>
      </c>
      <c r="H2440" s="552" t="n"/>
      <c r="I2440" s="552" t="n"/>
      <c r="J2440" s="551" t="n"/>
      <c r="K2440" s="140" t="inlineStr">
        <is>
          <t>40瓶/箱</t>
        </is>
      </c>
      <c r="L2440" s="560" t="n">
        <v>95</v>
      </c>
    </row>
    <row r="2441" ht="17.25" customHeight="1" s="453" thickBot="1">
      <c r="A2441" s="553" t="inlineStr">
        <is>
          <t>2026/06</t>
        </is>
      </c>
      <c r="B2441" s="554" t="inlineStr">
        <is>
          <t>2026/06忠孝國際醫學3樓</t>
        </is>
      </c>
      <c r="C2441" s="559" t="n">
        <v>149</v>
      </c>
      <c r="D2441" s="484" t="inlineStr">
        <is>
          <t>忠孝國際醫學3樓</t>
        </is>
      </c>
      <c r="E2441" s="484" t="inlineStr">
        <is>
          <t>6120014</t>
        </is>
      </c>
      <c r="F2441" s="551" t="n"/>
      <c r="G2441" s="484" t="inlineStr">
        <is>
          <t>(V)葡萄糖水(D5W) 250ml/袋</t>
        </is>
      </c>
      <c r="H2441" s="552" t="n"/>
      <c r="I2441" s="552" t="n"/>
      <c r="J2441" s="551" t="n"/>
      <c r="K2441" s="140" t="inlineStr">
        <is>
          <t>60袋/箱</t>
        </is>
      </c>
      <c r="L2441" s="560" t="n">
        <v>449</v>
      </c>
    </row>
    <row r="2442" ht="17.25" customHeight="1" s="453" thickBot="1">
      <c r="A2442" s="553" t="inlineStr">
        <is>
          <t>2026/06</t>
        </is>
      </c>
      <c r="B2442" s="554" t="inlineStr">
        <is>
          <t>2026/06忠孝國際醫學3樓</t>
        </is>
      </c>
      <c r="C2442" s="559" t="n">
        <v>150</v>
      </c>
      <c r="D2442" s="484" t="inlineStr">
        <is>
          <t>忠孝國際醫學3樓</t>
        </is>
      </c>
      <c r="E2442" s="484" t="inlineStr">
        <is>
          <t>6120015</t>
        </is>
      </c>
      <c r="F2442" s="551" t="n"/>
      <c r="G2442" s="484" t="inlineStr">
        <is>
          <t>(V)(B群)淘能美複合維他命B 2ml，100倍數叫貨</t>
        </is>
      </c>
      <c r="H2442" s="552" t="n"/>
      <c r="I2442" s="552" t="n"/>
      <c r="J2442" s="551" t="n"/>
      <c r="K2442" s="140" t="inlineStr"/>
      <c r="L2442" s="560" t="n">
        <v>2</v>
      </c>
    </row>
    <row r="2443" ht="17.25" customHeight="1" s="453" thickBot="1">
      <c r="A2443" s="553" t="inlineStr">
        <is>
          <t>2026/06</t>
        </is>
      </c>
      <c r="B2443" s="554" t="inlineStr">
        <is>
          <t>2026/06忠孝國際醫學3樓</t>
        </is>
      </c>
      <c r="C2443" s="559" t="n">
        <v>151</v>
      </c>
      <c r="D2443" s="484" t="inlineStr">
        <is>
          <t>忠孝國際醫學3樓</t>
        </is>
      </c>
      <c r="E2443" s="484" t="inlineStr">
        <is>
          <t>6120016</t>
        </is>
      </c>
      <c r="F2443" s="551" t="n"/>
      <c r="G2443" s="484" t="inlineStr">
        <is>
          <t>(V)(榖胱肝肽) 克樂達養200mg (20ml/瓶)</t>
        </is>
      </c>
      <c r="H2443" s="552" t="n"/>
      <c r="I2443" s="552" t="n"/>
      <c r="J2443" s="551" t="n"/>
      <c r="K2443" s="140" t="inlineStr">
        <is>
          <t>50支/盒</t>
        </is>
      </c>
      <c r="L2443" s="560" t="n">
        <v>2</v>
      </c>
    </row>
    <row r="2444" ht="17.25" customHeight="1" s="453" thickBot="1">
      <c r="A2444" s="553" t="inlineStr">
        <is>
          <t>2026/06</t>
        </is>
      </c>
      <c r="B2444" s="554" t="inlineStr">
        <is>
          <t>2026/06忠孝國際醫學3樓</t>
        </is>
      </c>
      <c r="C2444" s="559" t="n">
        <v>152</v>
      </c>
      <c r="D2444" s="484" t="inlineStr">
        <is>
          <t>忠孝國際醫學3樓</t>
        </is>
      </c>
      <c r="E2444" s="484" t="inlineStr">
        <is>
          <t>6120021</t>
        </is>
      </c>
      <c r="F2444" s="551" t="n"/>
      <c r="G2444" s="484" t="inlineStr">
        <is>
          <t>(V)(Vit C)(抗壞血酸/諾貝爾)20ml，50倍數下單</t>
        </is>
      </c>
      <c r="H2444" s="552" t="n"/>
      <c r="I2444" s="552" t="n"/>
      <c r="J2444" s="551" t="n"/>
      <c r="K2444" s="140" t="inlineStr">
        <is>
          <t>50支/盒</t>
        </is>
      </c>
      <c r="L2444" s="560" t="n">
        <v>4</v>
      </c>
    </row>
    <row r="2445" ht="17.25" customHeight="1" s="453" thickBot="1">
      <c r="A2445" s="553" t="inlineStr">
        <is>
          <t>2026/06</t>
        </is>
      </c>
      <c r="B2445" s="554" t="inlineStr">
        <is>
          <t>2026/06忠孝國際醫學3樓</t>
        </is>
      </c>
      <c r="C2445" s="559" t="n">
        <v>153</v>
      </c>
      <c r="D2445" s="484" t="inlineStr">
        <is>
          <t>忠孝國際醫學3樓</t>
        </is>
      </c>
      <c r="E2445" s="484" t="inlineStr">
        <is>
          <t>6200004</t>
        </is>
      </c>
      <c r="F2445" s="551" t="n"/>
      <c r="G2445" s="484" t="inlineStr">
        <is>
          <t>阿爾發SAT卡匣/ 發</t>
        </is>
      </c>
      <c r="H2445" s="552" t="n"/>
      <c r="I2445" s="552" t="n"/>
      <c r="J2445" s="551" t="n"/>
      <c r="K2445" s="140" t="inlineStr">
        <is>
          <t>50發/卡</t>
        </is>
      </c>
      <c r="L2445" s="560" t="n">
        <v>1084</v>
      </c>
    </row>
    <row r="2446" ht="17.25" customHeight="1" s="453" thickBot="1">
      <c r="A2446" s="553" t="inlineStr">
        <is>
          <t>2026/06</t>
        </is>
      </c>
      <c r="B2446" s="554" t="inlineStr">
        <is>
          <t>2026/06忠孝國際醫學3樓</t>
        </is>
      </c>
      <c r="C2446" s="559" t="n">
        <v>154</v>
      </c>
      <c r="D2446" s="484" t="inlineStr">
        <is>
          <t>忠孝國際醫學3樓</t>
        </is>
      </c>
      <c r="E2446" s="484" t="inlineStr">
        <is>
          <t>6200017</t>
        </is>
      </c>
      <c r="F2446" s="551" t="n"/>
      <c r="G2446" s="484" t="inlineStr">
        <is>
          <t>(V)猛健樂10mg/ 0.15CC</t>
        </is>
      </c>
      <c r="H2446" s="552" t="n"/>
      <c r="I2446" s="552" t="n"/>
      <c r="J2446" s="551" t="n"/>
      <c r="K2446" s="140" t="inlineStr">
        <is>
          <t>0.15cc/次</t>
        </is>
      </c>
      <c r="L2446" s="560" t="n">
        <v>425.9</v>
      </c>
    </row>
    <row r="2447" ht="17.25" customHeight="1" s="453" thickBot="1">
      <c r="A2447" s="553" t="inlineStr">
        <is>
          <t>2026/06</t>
        </is>
      </c>
      <c r="B2447" s="554" t="inlineStr">
        <is>
          <t>2026/06忠孝國際醫學3樓</t>
        </is>
      </c>
      <c r="C2447" s="559" t="n">
        <v>155</v>
      </c>
      <c r="D2447" s="484" t="inlineStr">
        <is>
          <t>忠孝國際醫學3樓</t>
        </is>
      </c>
      <c r="E2447" s="484" t="inlineStr">
        <is>
          <t>6200020</t>
        </is>
      </c>
      <c r="F2447" s="551" t="n"/>
      <c r="G2447" s="484" t="inlineStr">
        <is>
          <t>(V)猛健樂7.5mg/ 0.2CC</t>
        </is>
      </c>
      <c r="H2447" s="552" t="n"/>
      <c r="I2447" s="552" t="n"/>
      <c r="J2447" s="551" t="n"/>
      <c r="K2447" s="140" t="inlineStr">
        <is>
          <t>0.2cc/次</t>
        </is>
      </c>
      <c r="L2447" s="560" t="n">
        <v>1</v>
      </c>
    </row>
    <row r="2448" ht="17.25" customHeight="1" s="453" thickBot="1">
      <c r="A2448" s="553" t="inlineStr">
        <is>
          <t>2026/06</t>
        </is>
      </c>
      <c r="B2448" s="554" t="inlineStr">
        <is>
          <t>2026/06忠孝國際醫學3樓</t>
        </is>
      </c>
      <c r="C2448" s="559" t="n">
        <v>156</v>
      </c>
      <c r="D2448" s="484" t="inlineStr">
        <is>
          <t>忠孝國際醫學3樓</t>
        </is>
      </c>
      <c r="E2448" s="484" t="inlineStr">
        <is>
          <t>6200021</t>
        </is>
      </c>
      <c r="F2448" s="551" t="n"/>
      <c r="G2448" s="484" t="inlineStr">
        <is>
          <t>(V)猛健樂12.5mg/ 0.12CC</t>
        </is>
      </c>
      <c r="H2448" s="552" t="n"/>
      <c r="I2448" s="552" t="n"/>
      <c r="J2448" s="551" t="n"/>
      <c r="K2448" s="140" t="inlineStr">
        <is>
          <t>0.12cc/次</t>
        </is>
      </c>
      <c r="L2448" s="560" t="n">
        <v>1</v>
      </c>
    </row>
    <row r="2449" ht="17.25" customHeight="1" s="453" thickBot="1">
      <c r="A2449" s="553" t="inlineStr">
        <is>
          <t>2026/06</t>
        </is>
      </c>
      <c r="B2449" s="554" t="inlineStr">
        <is>
          <t>2026/06忠孝國際醫學3樓</t>
        </is>
      </c>
      <c r="C2449" s="559" t="n">
        <v>157</v>
      </c>
      <c r="D2449" s="484" t="inlineStr">
        <is>
          <t>忠孝國際醫學3樓</t>
        </is>
      </c>
      <c r="E2449" s="484" t="inlineStr">
        <is>
          <t>6200022</t>
        </is>
      </c>
      <c r="F2449" s="551" t="n"/>
      <c r="G2449" s="484" t="inlineStr">
        <is>
          <t>綠寶石減脂雷射點數/ 點</t>
        </is>
      </c>
      <c r="H2449" s="552" t="n"/>
      <c r="I2449" s="552" t="n"/>
      <c r="J2449" s="551" t="n"/>
      <c r="K2449" s="140" t="inlineStr">
        <is>
          <t>點</t>
        </is>
      </c>
      <c r="L2449" s="560" t="n">
        <v>20</v>
      </c>
    </row>
    <row r="2450" ht="17.25" customHeight="1" s="453" thickBot="1">
      <c r="A2450" s="553" t="inlineStr">
        <is>
          <t>2026/06</t>
        </is>
      </c>
      <c r="B2450" s="554" t="inlineStr">
        <is>
          <t>2026/06忠孝健康7樓</t>
        </is>
      </c>
      <c r="C2450" s="559" t="n">
        <v>158</v>
      </c>
      <c r="D2450" s="484" t="inlineStr">
        <is>
          <t>忠孝健康7樓</t>
        </is>
      </c>
      <c r="E2450" s="484" t="inlineStr">
        <is>
          <t>6120004</t>
        </is>
      </c>
      <c r="F2450" s="551" t="n"/>
      <c r="G2450" s="484" t="inlineStr">
        <is>
          <t>(V)胺基酸點滴250ml/ 袋(安命活源/嘉安命)，20倍數叫貨</t>
        </is>
      </c>
      <c r="H2450" s="552" t="n"/>
      <c r="I2450" s="552" t="n"/>
      <c r="J2450" s="551" t="n"/>
      <c r="K2450" s="140" t="inlineStr">
        <is>
          <t>(20瓶/箱)</t>
        </is>
      </c>
      <c r="L2450" s="560" t="n">
        <v>1</v>
      </c>
    </row>
    <row r="2451" ht="17.25" customHeight="1" s="453" thickBot="1">
      <c r="A2451" s="553" t="inlineStr">
        <is>
          <t>2026/06</t>
        </is>
      </c>
      <c r="B2451" s="554" t="inlineStr">
        <is>
          <t>2026/06忠孝健康7樓</t>
        </is>
      </c>
      <c r="C2451" s="559" t="n">
        <v>159</v>
      </c>
      <c r="D2451" s="484" t="inlineStr">
        <is>
          <t>忠孝健康7樓</t>
        </is>
      </c>
      <c r="E2451" s="484" t="inlineStr">
        <is>
          <t>6120006</t>
        </is>
      </c>
      <c r="F2451" s="551" t="n"/>
      <c r="G2451" s="484" t="inlineStr">
        <is>
          <t>(V)(B12) 愛壽命 2mL，100倍數叫貨</t>
        </is>
      </c>
      <c r="H2451" s="552" t="n"/>
      <c r="I2451" s="552" t="n"/>
      <c r="J2451" s="551" t="n"/>
      <c r="K2451" s="140" t="inlineStr">
        <is>
          <t>(100支/盒)</t>
        </is>
      </c>
      <c r="L2451" s="560" t="n">
        <v>1</v>
      </c>
    </row>
    <row r="2452" ht="17.25" customHeight="1" s="453" thickBot="1">
      <c r="A2452" s="553" t="inlineStr">
        <is>
          <t>2026/06</t>
        </is>
      </c>
      <c r="B2452" s="554" t="inlineStr">
        <is>
          <t>2026/06忠孝健康7樓</t>
        </is>
      </c>
      <c r="C2452" s="559" t="n">
        <v>160</v>
      </c>
      <c r="D2452" s="484" t="inlineStr">
        <is>
          <t>忠孝健康7樓</t>
        </is>
      </c>
      <c r="E2452" s="484" t="inlineStr">
        <is>
          <t>6120013</t>
        </is>
      </c>
      <c r="F2452" s="551" t="n"/>
      <c r="G2452" s="484" t="inlineStr">
        <is>
          <t>(V)生理食鹽水(NS) 250ml/ 袋</t>
        </is>
      </c>
      <c r="H2452" s="552" t="n"/>
      <c r="I2452" s="552" t="n"/>
      <c r="J2452" s="551" t="n"/>
      <c r="K2452" s="140" t="inlineStr">
        <is>
          <t>40瓶/箱</t>
        </is>
      </c>
      <c r="L2452" s="560" t="n">
        <v>10</v>
      </c>
    </row>
    <row r="2453" ht="17.25" customHeight="1" s="453" thickBot="1">
      <c r="A2453" s="553" t="inlineStr">
        <is>
          <t>2026/06</t>
        </is>
      </c>
      <c r="B2453" s="554" t="inlineStr">
        <is>
          <t>2026/06忠孝健康7樓</t>
        </is>
      </c>
      <c r="C2453" s="559" t="n">
        <v>161</v>
      </c>
      <c r="D2453" s="484" t="inlineStr">
        <is>
          <t>忠孝健康7樓</t>
        </is>
      </c>
      <c r="E2453" s="484" t="inlineStr">
        <is>
          <t>6120015</t>
        </is>
      </c>
      <c r="F2453" s="551" t="n"/>
      <c r="G2453" s="484" t="inlineStr">
        <is>
          <t>(V)(B群)淘能美複合維他命B 2ml，100倍數叫貨</t>
        </is>
      </c>
      <c r="H2453" s="552" t="n"/>
      <c r="I2453" s="552" t="n"/>
      <c r="J2453" s="551" t="n"/>
      <c r="K2453" s="140" t="inlineStr"/>
      <c r="L2453" s="560" t="n">
        <v>11</v>
      </c>
    </row>
    <row r="2454" ht="17.25" customHeight="1" s="453" thickBot="1">
      <c r="A2454" s="553" t="inlineStr">
        <is>
          <t>2026/06</t>
        </is>
      </c>
      <c r="B2454" s="554" t="inlineStr">
        <is>
          <t>2026/06忠孝健康7樓</t>
        </is>
      </c>
      <c r="C2454" s="559" t="n">
        <v>162</v>
      </c>
      <c r="D2454" s="484" t="inlineStr">
        <is>
          <t>忠孝健康7樓</t>
        </is>
      </c>
      <c r="E2454" s="484" t="inlineStr">
        <is>
          <t>6120016</t>
        </is>
      </c>
      <c r="F2454" s="551" t="n"/>
      <c r="G2454" s="484" t="inlineStr">
        <is>
          <t>(V)(榖胱肝肽) 克樂達養200mg (20ml/瓶)</t>
        </is>
      </c>
      <c r="H2454" s="552" t="n"/>
      <c r="I2454" s="552" t="n"/>
      <c r="J2454" s="551" t="n"/>
      <c r="K2454" s="140" t="inlineStr">
        <is>
          <t>50支/盒</t>
        </is>
      </c>
      <c r="L2454" s="560" t="n">
        <v>11</v>
      </c>
    </row>
    <row r="2455" ht="17.25" customHeight="1" s="453" thickBot="1">
      <c r="A2455" s="553" t="inlineStr">
        <is>
          <t>2026/06</t>
        </is>
      </c>
      <c r="B2455" s="554" t="inlineStr">
        <is>
          <t>2026/06忠孝健康7樓</t>
        </is>
      </c>
      <c r="C2455" s="559" t="n">
        <v>163</v>
      </c>
      <c r="D2455" s="484" t="inlineStr">
        <is>
          <t>忠孝健康7樓</t>
        </is>
      </c>
      <c r="E2455" s="484" t="inlineStr">
        <is>
          <t>6120018</t>
        </is>
      </c>
      <c r="F2455" s="551" t="n"/>
      <c r="G2455" s="484" t="inlineStr">
        <is>
          <t>(V)(傳明酸)止血明 5ml/支</t>
        </is>
      </c>
      <c r="H2455" s="552" t="n"/>
      <c r="I2455" s="552" t="n"/>
      <c r="J2455" s="551" t="n"/>
      <c r="K2455" s="140" t="inlineStr">
        <is>
          <t>50支/盒</t>
        </is>
      </c>
      <c r="L2455" s="560" t="n">
        <v>25</v>
      </c>
    </row>
    <row r="2456" ht="17.25" customHeight="1" s="453" thickBot="1">
      <c r="A2456" s="553" t="inlineStr">
        <is>
          <t>2026/06</t>
        </is>
      </c>
      <c r="B2456" s="554" t="inlineStr">
        <is>
          <t>2026/06忠孝健康7樓</t>
        </is>
      </c>
      <c r="C2456" s="559" t="n">
        <v>164</v>
      </c>
      <c r="D2456" s="484" t="inlineStr">
        <is>
          <t>忠孝健康7樓</t>
        </is>
      </c>
      <c r="E2456" s="484" t="inlineStr">
        <is>
          <t>6120020</t>
        </is>
      </c>
      <c r="F2456" s="551" t="n"/>
      <c r="G2456" s="484" t="inlineStr">
        <is>
          <t>(V)(Vit C) 抗壞血酸 2mL，100倍數下單</t>
        </is>
      </c>
      <c r="H2456" s="552" t="n"/>
      <c r="I2456" s="552" t="n"/>
      <c r="J2456" s="551" t="n"/>
      <c r="K2456" s="140" t="inlineStr">
        <is>
          <t>100支/盒</t>
        </is>
      </c>
      <c r="L2456" s="560" t="n">
        <v>2</v>
      </c>
    </row>
    <row r="2457" ht="17.25" customHeight="1" s="453" thickBot="1">
      <c r="A2457" s="553" t="inlineStr">
        <is>
          <t>2026/06</t>
        </is>
      </c>
      <c r="B2457" s="554" t="inlineStr">
        <is>
          <t>2026/06忠孝健康7樓</t>
        </is>
      </c>
      <c r="C2457" s="559" t="n">
        <v>165</v>
      </c>
      <c r="D2457" s="484" t="inlineStr">
        <is>
          <t>忠孝健康7樓</t>
        </is>
      </c>
      <c r="E2457" s="484" t="inlineStr">
        <is>
          <t>6120021</t>
        </is>
      </c>
      <c r="F2457" s="551" t="n"/>
      <c r="G2457" s="484" t="inlineStr">
        <is>
          <t>(V)(Vit C)(抗壞血酸/諾貝爾)20ml，50倍數下單</t>
        </is>
      </c>
      <c r="H2457" s="552" t="n"/>
      <c r="I2457" s="552" t="n"/>
      <c r="J2457" s="551" t="n"/>
      <c r="K2457" s="140" t="inlineStr">
        <is>
          <t>50支/盒</t>
        </is>
      </c>
      <c r="L2457" s="560" t="n">
        <v>11</v>
      </c>
    </row>
    <row r="2458" ht="17.25" customHeight="1" s="453" thickBot="1">
      <c r="A2458" s="553" t="inlineStr">
        <is>
          <t>2026/06</t>
        </is>
      </c>
      <c r="B2458" s="554" t="inlineStr">
        <is>
          <t>2026/06忠孝健康7樓</t>
        </is>
      </c>
      <c r="C2458" s="559" t="n">
        <v>166</v>
      </c>
      <c r="D2458" s="484" t="inlineStr">
        <is>
          <t>忠孝健康7樓</t>
        </is>
      </c>
      <c r="E2458" s="484" t="inlineStr">
        <is>
          <t>6120036</t>
        </is>
      </c>
      <c r="F2458" s="551" t="n"/>
      <c r="G2458" s="484" t="inlineStr">
        <is>
          <t>(V)貝力多(雙胜胺) 20% 50mL/ 瓶，60倍數下單</t>
        </is>
      </c>
      <c r="H2458" s="552" t="n"/>
      <c r="I2458" s="552" t="n"/>
      <c r="J2458" s="551" t="n"/>
      <c r="K2458" s="140" t="inlineStr">
        <is>
          <t>瓶(10瓶/盒)</t>
        </is>
      </c>
      <c r="L2458" s="560" t="n">
        <v>1</v>
      </c>
    </row>
    <row r="2459" ht="17.25" customHeight="1" s="453" thickBot="1">
      <c r="A2459" s="553" t="inlineStr">
        <is>
          <t>2026/06</t>
        </is>
      </c>
      <c r="B2459" s="554" t="inlineStr">
        <is>
          <t>2026/06忠孝健康7樓</t>
        </is>
      </c>
      <c r="C2459" s="559" t="n">
        <v>167</v>
      </c>
      <c r="D2459" s="484" t="inlineStr">
        <is>
          <t>忠孝健康7樓</t>
        </is>
      </c>
      <c r="E2459" s="484" t="inlineStr">
        <is>
          <t>6140001</t>
        </is>
      </c>
      <c r="F2459" s="551" t="n"/>
      <c r="G2459" s="484" t="inlineStr">
        <is>
          <t>(V)保妥適肉毒Botox/ u，100倍數下單</t>
        </is>
      </c>
      <c r="H2459" s="552" t="n"/>
      <c r="I2459" s="552" t="n"/>
      <c r="J2459" s="551" t="n"/>
      <c r="K2459" s="140" t="inlineStr">
        <is>
          <t>100U/瓶</t>
        </is>
      </c>
      <c r="L2459" s="560" t="n">
        <v>403</v>
      </c>
    </row>
    <row r="2460" ht="17.25" customHeight="1" s="453" thickBot="1">
      <c r="A2460" s="553" t="inlineStr">
        <is>
          <t>2026/06</t>
        </is>
      </c>
      <c r="B2460" s="554" t="inlineStr">
        <is>
          <t>2026/06忠孝健康7樓</t>
        </is>
      </c>
      <c r="C2460" s="559" t="n">
        <v>168</v>
      </c>
      <c r="D2460" s="484" t="inlineStr">
        <is>
          <t>忠孝健康7樓</t>
        </is>
      </c>
      <c r="E2460" s="484" t="inlineStr">
        <is>
          <t>6140003</t>
        </is>
      </c>
      <c r="F2460" s="551" t="n"/>
      <c r="G2460" s="484" t="inlineStr">
        <is>
          <t>(V)保提拉肉毒Letybo/ u，3200倍數下單</t>
        </is>
      </c>
      <c r="H2460" s="552" t="n"/>
      <c r="I2460" s="552" t="n"/>
      <c r="J2460" s="551" t="n"/>
      <c r="K2460" s="140" t="inlineStr">
        <is>
          <t>200U/瓶</t>
        </is>
      </c>
      <c r="L2460" s="560" t="n">
        <v>746</v>
      </c>
    </row>
    <row r="2461" ht="17.25" customHeight="1" s="453" thickBot="1">
      <c r="A2461" s="553" t="inlineStr">
        <is>
          <t>2026/06</t>
        </is>
      </c>
      <c r="B2461" s="554" t="inlineStr">
        <is>
          <t>2026/06忠孝健康7樓</t>
        </is>
      </c>
      <c r="C2461" s="559" t="n">
        <v>169</v>
      </c>
      <c r="D2461" s="484" t="inlineStr">
        <is>
          <t>忠孝健康7樓</t>
        </is>
      </c>
      <c r="E2461" s="484" t="inlineStr">
        <is>
          <t>6140005</t>
        </is>
      </c>
      <c r="F2461" s="551" t="n"/>
      <c r="G2461" s="484" t="inlineStr">
        <is>
          <t>(V)奇蹟肉毒/ u，200倍數下單</t>
        </is>
      </c>
      <c r="H2461" s="552" t="n"/>
      <c r="I2461" s="552" t="n"/>
      <c r="J2461" s="551" t="n"/>
      <c r="K2461" s="140" t="inlineStr">
        <is>
          <t>200U/瓶</t>
        </is>
      </c>
      <c r="L2461" s="560" t="n">
        <v>589</v>
      </c>
    </row>
    <row r="2462" ht="17.25" customHeight="1" s="453" thickBot="1">
      <c r="A2462" s="553" t="inlineStr">
        <is>
          <t>2026/06</t>
        </is>
      </c>
      <c r="B2462" s="554" t="inlineStr">
        <is>
          <t>2026/06忠孝健康7樓</t>
        </is>
      </c>
      <c r="C2462" s="559" t="n">
        <v>170</v>
      </c>
      <c r="D2462" s="484" t="inlineStr">
        <is>
          <t>忠孝健康7樓</t>
        </is>
      </c>
      <c r="E2462" s="484" t="inlineStr">
        <is>
          <t>6150001</t>
        </is>
      </c>
      <c r="F2462" s="551" t="n"/>
      <c r="G2462" s="484" t="inlineStr">
        <is>
          <t>(V)喬雅登-豐麗緹玻尿酸植入物Voluma 1ml</t>
        </is>
      </c>
      <c r="H2462" s="552" t="n"/>
      <c r="I2462" s="552" t="n"/>
      <c r="J2462" s="551" t="n"/>
      <c r="K2462" s="140" t="inlineStr">
        <is>
          <t>1ml(2ml/盒)</t>
        </is>
      </c>
      <c r="L2462" s="560" t="n">
        <v>15</v>
      </c>
    </row>
    <row r="2463" ht="17.25" customHeight="1" s="453" thickBot="1">
      <c r="A2463" s="553" t="inlineStr">
        <is>
          <t>2026/06</t>
        </is>
      </c>
      <c r="B2463" s="554" t="inlineStr">
        <is>
          <t>2026/06忠孝健康7樓</t>
        </is>
      </c>
      <c r="C2463" s="559" t="n">
        <v>171</v>
      </c>
      <c r="D2463" s="484" t="inlineStr">
        <is>
          <t>忠孝健康7樓</t>
        </is>
      </c>
      <c r="E2463" s="484" t="inlineStr">
        <is>
          <t>6150002</t>
        </is>
      </c>
      <c r="F2463" s="551" t="n"/>
      <c r="G2463" s="484" t="inlineStr">
        <is>
          <t>(V)喬雅登-夢蓓菈玻尿酸植入物Volbella 1ml</t>
        </is>
      </c>
      <c r="H2463" s="552" t="n"/>
      <c r="I2463" s="552" t="n"/>
      <c r="J2463" s="551" t="n"/>
      <c r="K2463" s="140" t="inlineStr">
        <is>
          <t>1ml(2ml/盒)</t>
        </is>
      </c>
      <c r="L2463" s="560" t="n">
        <v>4</v>
      </c>
    </row>
    <row r="2464" ht="17.25" customHeight="1" s="453" thickBot="1">
      <c r="A2464" s="553" t="inlineStr">
        <is>
          <t>2026/06</t>
        </is>
      </c>
      <c r="B2464" s="554" t="inlineStr">
        <is>
          <t>2026/06忠孝健康7樓</t>
        </is>
      </c>
      <c r="C2464" s="559" t="n">
        <v>172</v>
      </c>
      <c r="D2464" s="484" t="inlineStr">
        <is>
          <t>忠孝健康7樓</t>
        </is>
      </c>
      <c r="E2464" s="484" t="inlineStr">
        <is>
          <t>6150003</t>
        </is>
      </c>
      <c r="F2464" s="551" t="n"/>
      <c r="G2464" s="484" t="inlineStr">
        <is>
          <t>(V)喬雅登-豐麗緹玻尿酸植入物Volift 1ml</t>
        </is>
      </c>
      <c r="H2464" s="552" t="n"/>
      <c r="I2464" s="552" t="n"/>
      <c r="J2464" s="551" t="n"/>
      <c r="K2464" s="140" t="inlineStr">
        <is>
          <t>1ml(2ml/盒)</t>
        </is>
      </c>
      <c r="L2464" s="560" t="n">
        <v>2</v>
      </c>
    </row>
    <row r="2465" ht="17.25" customHeight="1" s="453" thickBot="1">
      <c r="A2465" s="553" t="inlineStr">
        <is>
          <t>2026/06</t>
        </is>
      </c>
      <c r="B2465" s="554" t="inlineStr">
        <is>
          <t>2026/06忠孝健康7樓</t>
        </is>
      </c>
      <c r="C2465" s="559" t="n">
        <v>173</v>
      </c>
      <c r="D2465" s="484" t="inlineStr">
        <is>
          <t>忠孝健康7樓</t>
        </is>
      </c>
      <c r="E2465" s="484" t="inlineStr">
        <is>
          <t>6150010</t>
        </is>
      </c>
      <c r="F2465" s="551" t="n"/>
      <c r="G2465" s="484" t="inlineStr">
        <is>
          <t>(V)仙女玻尿酸大分子 1ml</t>
        </is>
      </c>
      <c r="H2465" s="552" t="n"/>
      <c r="I2465" s="552" t="n"/>
      <c r="J2465" s="551" t="n"/>
      <c r="K2465" s="140" t="inlineStr">
        <is>
          <t>1ml(1ml/盒)</t>
        </is>
      </c>
      <c r="L2465" s="560" t="n">
        <v>3</v>
      </c>
    </row>
    <row r="2466" ht="17.25" customHeight="1" s="453" thickBot="1">
      <c r="A2466" s="553" t="inlineStr">
        <is>
          <t>2026/06</t>
        </is>
      </c>
      <c r="B2466" s="554" t="inlineStr">
        <is>
          <t>2026/06忠孝健康7樓</t>
        </is>
      </c>
      <c r="C2466" s="559" t="n">
        <v>174</v>
      </c>
      <c r="D2466" s="484" t="inlineStr">
        <is>
          <t>忠孝健康7樓</t>
        </is>
      </c>
      <c r="E2466" s="484" t="inlineStr">
        <is>
          <t>6150011</t>
        </is>
      </c>
      <c r="F2466" s="551" t="n"/>
      <c r="G2466" s="484" t="inlineStr">
        <is>
          <t>(V)仙女玻尿酸小分子 1ml</t>
        </is>
      </c>
      <c r="H2466" s="552" t="n"/>
      <c r="I2466" s="552" t="n"/>
      <c r="J2466" s="551" t="n"/>
      <c r="K2466" s="140" t="inlineStr">
        <is>
          <t>1ml(1ml/盒)</t>
        </is>
      </c>
      <c r="L2466" s="560" t="n">
        <v>5</v>
      </c>
    </row>
    <row r="2467" ht="17.25" customHeight="1" s="453" thickBot="1">
      <c r="A2467" s="553" t="inlineStr">
        <is>
          <t>2026/06</t>
        </is>
      </c>
      <c r="B2467" s="554" t="inlineStr">
        <is>
          <t>2026/06忠孝健康7樓</t>
        </is>
      </c>
      <c r="C2467" s="559" t="n">
        <v>175</v>
      </c>
      <c r="D2467" s="484" t="inlineStr">
        <is>
          <t>忠孝健康7樓</t>
        </is>
      </c>
      <c r="E2467" s="484" t="inlineStr">
        <is>
          <t>6150013</t>
        </is>
      </c>
      <c r="F2467" s="551" t="n"/>
      <c r="G2467" s="484" t="inlineStr">
        <is>
          <t>(V)逆時針(璞菲洛)2cc/支</t>
        </is>
      </c>
      <c r="H2467" s="552" t="n"/>
      <c r="I2467" s="552" t="n"/>
      <c r="J2467" s="551" t="n"/>
      <c r="K2467" s="140" t="inlineStr">
        <is>
          <t>1ml(1ml/盒)</t>
        </is>
      </c>
      <c r="L2467" s="560" t="n">
        <v>1</v>
      </c>
    </row>
    <row r="2468" ht="17.25" customHeight="1" s="453" thickBot="1">
      <c r="A2468" s="553" t="inlineStr">
        <is>
          <t>2026/06</t>
        </is>
      </c>
      <c r="B2468" s="554" t="inlineStr">
        <is>
          <t>2026/06忠孝健康7樓</t>
        </is>
      </c>
      <c r="C2468" s="559" t="n">
        <v>176</v>
      </c>
      <c r="D2468" s="484" t="inlineStr">
        <is>
          <t>忠孝健康7樓</t>
        </is>
      </c>
      <c r="E2468" s="484" t="inlineStr">
        <is>
          <t>6150015</t>
        </is>
      </c>
      <c r="F2468" s="551" t="n"/>
      <c r="G2468" s="484" t="inlineStr">
        <is>
          <t>(V)喬雅登絲漾膚玻尿酸植入物Skinvive 1ml/支(2倍數叫貨)</t>
        </is>
      </c>
      <c r="H2468" s="552" t="n"/>
      <c r="I2468" s="552" t="n"/>
      <c r="J2468" s="551" t="n"/>
      <c r="K2468" s="140" t="inlineStr">
        <is>
          <t>1ml(2ml/盒)</t>
        </is>
      </c>
      <c r="L2468" s="560" t="n">
        <v>2</v>
      </c>
    </row>
    <row r="2469" ht="17.25" customHeight="1" s="453" thickBot="1">
      <c r="A2469" s="553" t="inlineStr">
        <is>
          <t>2026/06</t>
        </is>
      </c>
      <c r="B2469" s="554" t="inlineStr">
        <is>
          <t>2026/06忠孝健康7樓</t>
        </is>
      </c>
      <c r="C2469" s="559" t="n">
        <v>177</v>
      </c>
      <c r="D2469" s="484" t="inlineStr">
        <is>
          <t>忠孝健康7樓</t>
        </is>
      </c>
      <c r="E2469" s="484" t="inlineStr">
        <is>
          <t>6160002</t>
        </is>
      </c>
      <c r="F2469" s="551" t="n"/>
      <c r="G2469" s="484" t="inlineStr">
        <is>
          <t>(V)洢蓮絲植入劑ELLANSÉ-S 1ml/ 支(2倍數叫貨)</t>
        </is>
      </c>
      <c r="H2469" s="552" t="n"/>
      <c r="I2469" s="552" t="n"/>
      <c r="J2469" s="551" t="n"/>
      <c r="K2469" s="140" t="inlineStr">
        <is>
          <t>1ml(2ml/盒)</t>
        </is>
      </c>
      <c r="L2469" s="560" t="n">
        <v>2</v>
      </c>
    </row>
    <row r="2470" ht="17.25" customHeight="1" s="453" thickBot="1">
      <c r="A2470" s="553" t="inlineStr">
        <is>
          <t>2026/06</t>
        </is>
      </c>
      <c r="B2470" s="554" t="inlineStr">
        <is>
          <t>2026/06忠孝健康7樓</t>
        </is>
      </c>
      <c r="C2470" s="559" t="n">
        <v>178</v>
      </c>
      <c r="D2470" s="484" t="inlineStr">
        <is>
          <t>忠孝健康7樓</t>
        </is>
      </c>
      <c r="E2470" s="484" t="inlineStr">
        <is>
          <t>6160003</t>
        </is>
      </c>
      <c r="F2470" s="551" t="n"/>
      <c r="G2470" s="484" t="inlineStr">
        <is>
          <t>(V)洢蓮絲植入劑ELLANSÉ-M 1ml/ 支(2倍數叫貨)</t>
        </is>
      </c>
      <c r="H2470" s="552" t="n"/>
      <c r="I2470" s="552" t="n"/>
      <c r="J2470" s="551" t="n"/>
      <c r="K2470" s="140" t="inlineStr">
        <is>
          <t>1ml(2ml/盒)</t>
        </is>
      </c>
      <c r="L2470" s="560" t="n">
        <v>2</v>
      </c>
    </row>
    <row r="2471" ht="17.25" customHeight="1" s="453" thickBot="1">
      <c r="A2471" s="553" t="inlineStr">
        <is>
          <t>2026/06</t>
        </is>
      </c>
      <c r="B2471" s="554" t="inlineStr">
        <is>
          <t>2026/06忠孝健康7樓</t>
        </is>
      </c>
      <c r="C2471" s="559" t="n">
        <v>179</v>
      </c>
      <c r="D2471" s="484" t="inlineStr">
        <is>
          <t>忠孝健康7樓</t>
        </is>
      </c>
      <c r="E2471" s="484" t="inlineStr">
        <is>
          <t>6160005</t>
        </is>
      </c>
      <c r="F2471" s="551" t="n"/>
      <c r="G2471" s="484" t="inlineStr">
        <is>
          <t>(V)双美熊貓針</t>
        </is>
      </c>
      <c r="H2471" s="552" t="n"/>
      <c r="I2471" s="552" t="n"/>
      <c r="J2471" s="551" t="n"/>
      <c r="K2471" s="140" t="inlineStr">
        <is>
          <t>(1ml/盒)</t>
        </is>
      </c>
      <c r="L2471" s="560" t="n">
        <v>10</v>
      </c>
    </row>
    <row r="2472" ht="17.25" customHeight="1" s="453" thickBot="1">
      <c r="A2472" s="553" t="inlineStr">
        <is>
          <t>2026/06</t>
        </is>
      </c>
      <c r="B2472" s="554" t="inlineStr">
        <is>
          <t>2026/06忠孝健康7樓</t>
        </is>
      </c>
      <c r="C2472" s="559" t="n">
        <v>180</v>
      </c>
      <c r="D2472" s="484" t="inlineStr">
        <is>
          <t>忠孝健康7樓</t>
        </is>
      </c>
      <c r="E2472" s="484" t="inlineStr">
        <is>
          <t>6160008</t>
        </is>
      </c>
      <c r="F2472" s="551" t="n"/>
      <c r="G2472" s="484" t="inlineStr">
        <is>
          <t>(V)薇貝拉50mg小分子/ 1cc</t>
        </is>
      </c>
      <c r="H2472" s="552" t="n"/>
      <c r="I2472" s="552" t="n"/>
      <c r="J2472" s="551" t="n"/>
      <c r="K2472" s="140" t="inlineStr">
        <is>
          <t>6cc/瓶</t>
        </is>
      </c>
      <c r="L2472" s="560" t="n">
        <v>2</v>
      </c>
    </row>
    <row r="2473" ht="17.25" customHeight="1" s="453" thickBot="1">
      <c r="A2473" s="553" t="inlineStr">
        <is>
          <t>2026/06</t>
        </is>
      </c>
      <c r="B2473" s="554" t="inlineStr">
        <is>
          <t>2026/06忠孝健康7樓</t>
        </is>
      </c>
      <c r="C2473" s="559" t="n">
        <v>181</v>
      </c>
      <c r="D2473" s="484" t="inlineStr">
        <is>
          <t>忠孝健康7樓</t>
        </is>
      </c>
      <c r="E2473" s="484" t="inlineStr">
        <is>
          <t>6160011</t>
        </is>
      </c>
      <c r="F2473" s="551" t="n"/>
      <c r="G2473" s="484" t="inlineStr">
        <is>
          <t>(V)喬雅露-小分子50mg/ 1cc(6倍數叫貨)</t>
        </is>
      </c>
      <c r="H2473" s="552" t="n"/>
      <c r="I2473" s="552" t="n"/>
      <c r="J2473" s="551" t="n"/>
      <c r="K2473" s="140" t="inlineStr">
        <is>
          <t>6cc/瓶</t>
        </is>
      </c>
      <c r="L2473" s="560" t="n">
        <v>63</v>
      </c>
    </row>
    <row r="2474" ht="17.25" customHeight="1" s="453" thickBot="1">
      <c r="A2474" s="553" t="inlineStr">
        <is>
          <t>2026/06</t>
        </is>
      </c>
      <c r="B2474" s="554" t="inlineStr">
        <is>
          <t>2026/06忠孝健康7樓</t>
        </is>
      </c>
      <c r="C2474" s="559" t="n">
        <v>182</v>
      </c>
      <c r="D2474" s="484" t="inlineStr">
        <is>
          <t>忠孝健康7樓</t>
        </is>
      </c>
      <c r="E2474" s="484" t="inlineStr">
        <is>
          <t>6170005</t>
        </is>
      </c>
      <c r="F2474" s="551" t="n"/>
      <c r="G2474" s="484" t="inlineStr">
        <is>
          <t>海芙三代音波探頭2mm/ 條</t>
        </is>
      </c>
      <c r="H2474" s="552" t="n"/>
      <c r="I2474" s="552" t="n"/>
      <c r="J2474" s="551" t="n"/>
      <c r="K2474" s="140" t="inlineStr">
        <is>
          <t>20099條/顆</t>
        </is>
      </c>
      <c r="L2474" s="560" t="n">
        <v>1190</v>
      </c>
    </row>
    <row r="2475" ht="17.25" customHeight="1" s="453" thickBot="1">
      <c r="A2475" s="553" t="inlineStr">
        <is>
          <t>2026/06</t>
        </is>
      </c>
      <c r="B2475" s="554" t="inlineStr">
        <is>
          <t>2026/06忠孝健康7樓</t>
        </is>
      </c>
      <c r="C2475" s="559" t="n">
        <v>183</v>
      </c>
      <c r="D2475" s="484" t="inlineStr">
        <is>
          <t>忠孝健康7樓</t>
        </is>
      </c>
      <c r="E2475" s="484" t="inlineStr">
        <is>
          <t>6170007</t>
        </is>
      </c>
      <c r="F2475" s="551" t="n"/>
      <c r="G2475" s="484" t="inlineStr">
        <is>
          <t>海芙三代音波探頭3mm/ 條</t>
        </is>
      </c>
      <c r="H2475" s="552" t="n"/>
      <c r="I2475" s="552" t="n"/>
      <c r="J2475" s="551" t="n"/>
      <c r="K2475" s="140" t="inlineStr">
        <is>
          <t>20099條/顆</t>
        </is>
      </c>
      <c r="L2475" s="560" t="n">
        <v>5844</v>
      </c>
    </row>
    <row r="2476" ht="17.25" customHeight="1" s="453" thickBot="1">
      <c r="A2476" s="553" t="inlineStr">
        <is>
          <t>2026/06</t>
        </is>
      </c>
      <c r="B2476" s="554" t="inlineStr">
        <is>
          <t>2026/06忠孝健康7樓</t>
        </is>
      </c>
      <c r="C2476" s="559" t="n">
        <v>184</v>
      </c>
      <c r="D2476" s="484" t="inlineStr">
        <is>
          <t>忠孝健康7樓</t>
        </is>
      </c>
      <c r="E2476" s="484" t="inlineStr">
        <is>
          <t>6170009</t>
        </is>
      </c>
      <c r="F2476" s="551" t="n"/>
      <c r="G2476" s="484" t="inlineStr">
        <is>
          <t>海芙三代音波探頭4.5mm/ 條</t>
        </is>
      </c>
      <c r="H2476" s="552" t="n"/>
      <c r="I2476" s="552" t="n"/>
      <c r="J2476" s="551" t="n"/>
      <c r="K2476" s="140" t="inlineStr">
        <is>
          <t>20099條/顆</t>
        </is>
      </c>
      <c r="L2476" s="560" t="n">
        <v>7486</v>
      </c>
    </row>
    <row r="2477" ht="17.25" customHeight="1" s="453" thickBot="1">
      <c r="A2477" s="553" t="inlineStr">
        <is>
          <t>2026/06</t>
        </is>
      </c>
      <c r="B2477" s="554" t="inlineStr">
        <is>
          <t>2026/06忠孝健康7樓</t>
        </is>
      </c>
      <c r="C2477" s="559" t="n">
        <v>185</v>
      </c>
      <c r="D2477" s="484" t="inlineStr">
        <is>
          <t>忠孝健康7樓</t>
        </is>
      </c>
      <c r="E2477" s="484" t="inlineStr">
        <is>
          <t>6170011</t>
        </is>
      </c>
      <c r="F2477" s="551" t="n"/>
      <c r="G2477" s="484" t="inlineStr">
        <is>
          <t>海芙三代音波探頭6mm/ 條</t>
        </is>
      </c>
      <c r="H2477" s="552" t="n"/>
      <c r="I2477" s="552" t="n"/>
      <c r="J2477" s="551" t="n"/>
      <c r="K2477" s="140" t="inlineStr">
        <is>
          <t>30,099條/顆</t>
        </is>
      </c>
      <c r="L2477" s="560" t="n">
        <v>980</v>
      </c>
    </row>
    <row r="2478">
      <c r="A2478" s="553" t="inlineStr">
        <is>
          <t>2026/06</t>
        </is>
      </c>
      <c r="B2478" s="554" t="inlineStr">
        <is>
          <t>2026/06忠孝健康7樓</t>
        </is>
      </c>
      <c r="C2478" s="559" t="n">
        <v>186</v>
      </c>
      <c r="D2478" s="484" t="inlineStr">
        <is>
          <t>忠孝健康7樓</t>
        </is>
      </c>
      <c r="E2478" s="484" t="inlineStr">
        <is>
          <t>6170013</t>
        </is>
      </c>
      <c r="F2478" s="551" t="n"/>
      <c r="G2478" s="484" t="inlineStr">
        <is>
          <t>鳳凰電波4平方公分紫鑽探頭(900發)</t>
        </is>
      </c>
      <c r="H2478" s="552" t="n"/>
      <c r="I2478" s="552" t="n"/>
      <c r="J2478" s="551" t="n"/>
      <c r="K2478" s="140" t="inlineStr">
        <is>
          <t>顆</t>
        </is>
      </c>
      <c r="L2478" s="560" t="n">
        <v>1</v>
      </c>
    </row>
    <row r="2479">
      <c r="A2479" s="553" t="inlineStr">
        <is>
          <t>2026/06</t>
        </is>
      </c>
      <c r="B2479" s="554" t="inlineStr">
        <is>
          <t>2026/06忠孝健康7樓</t>
        </is>
      </c>
      <c r="C2479" s="559" t="n">
        <v>187</v>
      </c>
      <c r="D2479" s="484" t="inlineStr">
        <is>
          <t>忠孝健康7樓</t>
        </is>
      </c>
      <c r="E2479" s="484" t="inlineStr">
        <is>
          <t>6170019</t>
        </is>
      </c>
      <c r="F2479" s="551" t="n"/>
      <c r="G2479" s="484" t="inlineStr">
        <is>
          <t>媚必提直線探頭2.0mm/條</t>
        </is>
      </c>
      <c r="H2479" s="552" t="n"/>
      <c r="I2479" s="552" t="n"/>
      <c r="J2479" s="551" t="n"/>
      <c r="K2479" s="140" t="inlineStr">
        <is>
          <t>20,099條/顆</t>
        </is>
      </c>
      <c r="L2479" s="560" t="n">
        <v>284</v>
      </c>
    </row>
    <row r="2480">
      <c r="A2480" s="553" t="inlineStr">
        <is>
          <t>2026/06</t>
        </is>
      </c>
      <c r="B2480" s="554" t="inlineStr">
        <is>
          <t>2026/06忠孝健康7樓</t>
        </is>
      </c>
      <c r="C2480" s="559" t="n">
        <v>188</v>
      </c>
      <c r="D2480" s="484" t="inlineStr">
        <is>
          <t>忠孝健康7樓</t>
        </is>
      </c>
      <c r="E2480" s="484" t="inlineStr">
        <is>
          <t>6170020</t>
        </is>
      </c>
      <c r="F2480" s="551" t="n"/>
      <c r="G2480" s="484" t="inlineStr">
        <is>
          <t>媚必提直線探頭3.0mm/條</t>
        </is>
      </c>
      <c r="H2480" s="552" t="n"/>
      <c r="I2480" s="552" t="n"/>
      <c r="J2480" s="551" t="n"/>
      <c r="K2480" s="140" t="inlineStr">
        <is>
          <t>20,099條/顆</t>
        </is>
      </c>
      <c r="L2480" s="560" t="n">
        <v>1893</v>
      </c>
    </row>
    <row r="2481">
      <c r="A2481" s="553" t="inlineStr">
        <is>
          <t>2026/06</t>
        </is>
      </c>
      <c r="B2481" s="554" t="inlineStr">
        <is>
          <t>2026/06忠孝健康7樓</t>
        </is>
      </c>
      <c r="C2481" s="559" t="n">
        <v>189</v>
      </c>
      <c r="D2481" s="484" t="inlineStr">
        <is>
          <t>忠孝健康7樓</t>
        </is>
      </c>
      <c r="E2481" s="484" t="inlineStr">
        <is>
          <t>6170021</t>
        </is>
      </c>
      <c r="F2481" s="551" t="n"/>
      <c r="G2481" s="484" t="inlineStr">
        <is>
          <t>媚必提直線探頭4.5mm/條</t>
        </is>
      </c>
      <c r="H2481" s="552" t="n"/>
      <c r="I2481" s="552" t="n"/>
      <c r="J2481" s="551" t="n"/>
      <c r="K2481" s="140" t="inlineStr">
        <is>
          <t>20,099條/顆</t>
        </is>
      </c>
      <c r="L2481" s="560" t="n">
        <v>4819</v>
      </c>
    </row>
    <row r="2482">
      <c r="A2482" s="553" t="inlineStr">
        <is>
          <t>2026/06</t>
        </is>
      </c>
      <c r="B2482" s="554" t="inlineStr">
        <is>
          <t>2026/06忠孝健康7樓</t>
        </is>
      </c>
      <c r="C2482" s="559" t="n">
        <v>190</v>
      </c>
      <c r="D2482" s="484" t="inlineStr">
        <is>
          <t>忠孝健康7樓</t>
        </is>
      </c>
      <c r="E2482" s="484" t="inlineStr">
        <is>
          <t>6170022</t>
        </is>
      </c>
      <c r="F2482" s="551" t="n"/>
      <c r="G2482" s="484" t="inlineStr">
        <is>
          <t>媚必提直線探頭6.0mm/條</t>
        </is>
      </c>
      <c r="H2482" s="552" t="n"/>
      <c r="I2482" s="552" t="n"/>
      <c r="J2482" s="551" t="n"/>
      <c r="K2482" s="140" t="inlineStr">
        <is>
          <t>20,099條/顆</t>
        </is>
      </c>
      <c r="L2482" s="560" t="n">
        <v>1904</v>
      </c>
    </row>
    <row r="2483">
      <c r="A2483" s="553" t="inlineStr">
        <is>
          <t>2026/06</t>
        </is>
      </c>
      <c r="B2483" s="554" t="inlineStr">
        <is>
          <t>2026/06忠孝健康7樓</t>
        </is>
      </c>
      <c r="C2483" s="559" t="n">
        <v>191</v>
      </c>
      <c r="D2483" s="484" t="inlineStr">
        <is>
          <t>忠孝健康7樓</t>
        </is>
      </c>
      <c r="E2483" s="484" t="inlineStr">
        <is>
          <t>6170025</t>
        </is>
      </c>
      <c r="F2483" s="551" t="n"/>
      <c r="G2483" s="484" t="inlineStr">
        <is>
          <t>媚必提圓周探頭1.5mm/條</t>
        </is>
      </c>
      <c r="H2483" s="552" t="n"/>
      <c r="I2483" s="552" t="n"/>
      <c r="J2483" s="551" t="n"/>
      <c r="K2483" s="140" t="inlineStr">
        <is>
          <t>20,099條/顆</t>
        </is>
      </c>
      <c r="L2483" s="560" t="n">
        <v>300</v>
      </c>
    </row>
    <row r="2484">
      <c r="A2484" s="553" t="inlineStr">
        <is>
          <t>2026/06</t>
        </is>
      </c>
      <c r="B2484" s="554" t="inlineStr">
        <is>
          <t>2026/06忠孝健康7樓</t>
        </is>
      </c>
      <c r="C2484" s="559" t="n">
        <v>192</v>
      </c>
      <c r="D2484" s="484" t="inlineStr">
        <is>
          <t>忠孝健康7樓</t>
        </is>
      </c>
      <c r="E2484" s="484" t="inlineStr">
        <is>
          <t>6170030</t>
        </is>
      </c>
      <c r="F2484" s="551" t="n"/>
      <c r="G2484" s="484" t="inlineStr">
        <is>
          <t>海芙電波探頭4.0cm/發</t>
        </is>
      </c>
      <c r="H2484" s="552" t="n"/>
      <c r="I2484" s="552" t="n"/>
      <c r="J2484" s="551" t="n"/>
      <c r="K2484" s="140" t="inlineStr">
        <is>
          <t>3,050發/顆</t>
        </is>
      </c>
      <c r="L2484" s="560" t="n">
        <v>2100</v>
      </c>
    </row>
    <row r="2485">
      <c r="A2485" s="553" t="inlineStr">
        <is>
          <t>2026/06</t>
        </is>
      </c>
      <c r="B2485" s="554" t="inlineStr">
        <is>
          <t>2026/06忠孝健康7樓</t>
        </is>
      </c>
      <c r="C2485" s="559" t="n">
        <v>193</v>
      </c>
      <c r="D2485" s="484" t="inlineStr">
        <is>
          <t>忠孝健康7樓</t>
        </is>
      </c>
      <c r="E2485" s="484" t="inlineStr">
        <is>
          <t>6170032</t>
        </is>
      </c>
      <c r="F2485" s="551" t="n"/>
      <c r="G2485" s="484" t="inlineStr">
        <is>
          <t>立特拉A2筆型探頭3.0mm/ 條</t>
        </is>
      </c>
      <c r="H2485" s="552" t="n"/>
      <c r="I2485" s="552" t="n"/>
      <c r="J2485" s="551" t="n"/>
      <c r="K2485" s="140" t="inlineStr">
        <is>
          <t>240,500條/顆</t>
        </is>
      </c>
      <c r="L2485" s="560" t="n">
        <v>32000</v>
      </c>
    </row>
    <row r="2486">
      <c r="A2486" s="553" t="inlineStr">
        <is>
          <t>2026/06</t>
        </is>
      </c>
      <c r="B2486" s="554" t="inlineStr">
        <is>
          <t>2026/06忠孝健康7樓</t>
        </is>
      </c>
      <c r="C2486" s="559" t="n">
        <v>194</v>
      </c>
      <c r="D2486" s="484" t="inlineStr">
        <is>
          <t>忠孝健康7樓</t>
        </is>
      </c>
      <c r="E2486" s="484" t="inlineStr">
        <is>
          <t>6170033</t>
        </is>
      </c>
      <c r="F2486" s="551" t="n"/>
      <c r="G2486" s="484" t="inlineStr">
        <is>
          <t>立特拉A2筆型探頭4.5mm/ 條</t>
        </is>
      </c>
      <c r="H2486" s="552" t="n"/>
      <c r="I2486" s="552" t="n"/>
      <c r="J2486" s="551" t="n"/>
      <c r="K2486" s="140" t="inlineStr">
        <is>
          <t>240,500條/顆</t>
        </is>
      </c>
      <c r="L2486" s="560" t="n">
        <v>11500</v>
      </c>
    </row>
    <row r="2487">
      <c r="A2487" s="553" t="inlineStr">
        <is>
          <t>2026/06</t>
        </is>
      </c>
      <c r="B2487" s="554" t="inlineStr">
        <is>
          <t>2026/06忠孝健康7樓</t>
        </is>
      </c>
      <c r="C2487" s="559" t="n">
        <v>195</v>
      </c>
      <c r="D2487" s="484" t="inlineStr">
        <is>
          <t>忠孝健康7樓</t>
        </is>
      </c>
      <c r="E2487" s="484" t="inlineStr">
        <is>
          <t>6170034</t>
        </is>
      </c>
      <c r="F2487" s="551" t="n"/>
      <c r="G2487" s="484" t="inlineStr">
        <is>
          <t>十蓓電波臉部探頭5cm</t>
        </is>
      </c>
      <c r="H2487" s="552" t="n"/>
      <c r="I2487" s="552" t="n"/>
      <c r="J2487" s="551" t="n"/>
      <c r="K2487" s="140" t="inlineStr">
        <is>
          <t>900發/顆</t>
        </is>
      </c>
      <c r="L2487" s="560" t="n">
        <v>14999</v>
      </c>
    </row>
    <row r="2488">
      <c r="A2488" s="553" t="inlineStr">
        <is>
          <t>2026/06</t>
        </is>
      </c>
      <c r="B2488" s="554" t="inlineStr">
        <is>
          <t>2026/06忠孝健康7樓</t>
        </is>
      </c>
      <c r="C2488" s="559" t="n">
        <v>196</v>
      </c>
      <c r="D2488" s="484" t="inlineStr">
        <is>
          <t>忠孝健康7樓</t>
        </is>
      </c>
      <c r="E2488" s="484" t="inlineStr">
        <is>
          <t>6170035</t>
        </is>
      </c>
      <c r="F2488" s="551" t="n"/>
      <c r="G2488" s="484" t="inlineStr">
        <is>
          <t>十蓓電波眼部探頭0.25cm</t>
        </is>
      </c>
      <c r="H2488" s="552" t="n"/>
      <c r="I2488" s="552" t="n"/>
      <c r="J2488" s="551" t="n"/>
      <c r="K2488" s="140" t="inlineStr">
        <is>
          <t>600發/顆</t>
        </is>
      </c>
      <c r="L2488" s="560" t="n">
        <v>6501</v>
      </c>
    </row>
    <row r="2489">
      <c r="A2489" s="553" t="inlineStr">
        <is>
          <t>2026/06</t>
        </is>
      </c>
      <c r="B2489" s="554" t="inlineStr">
        <is>
          <t>2026/06忠孝健康7樓</t>
        </is>
      </c>
      <c r="C2489" s="559" t="n">
        <v>197</v>
      </c>
      <c r="D2489" s="484" t="inlineStr">
        <is>
          <t>忠孝健康7樓</t>
        </is>
      </c>
      <c r="E2489" s="484" t="inlineStr">
        <is>
          <t>6190003</t>
        </is>
      </c>
      <c r="F2489" s="551" t="n"/>
      <c r="G2489" s="484" t="inlineStr">
        <is>
          <t>PLT生長因子凍晶製備10入(單瓶)</t>
        </is>
      </c>
      <c r="H2489" s="552" t="n"/>
      <c r="I2489" s="552" t="n"/>
      <c r="J2489" s="551" t="n"/>
      <c r="K2489" s="140" t="inlineStr">
        <is>
          <t>瓶(10入/組)</t>
        </is>
      </c>
      <c r="L2489" s="560" t="n">
        <v>5</v>
      </c>
    </row>
    <row r="2490">
      <c r="A2490" s="553" t="inlineStr">
        <is>
          <t>2026/06</t>
        </is>
      </c>
      <c r="B2490" s="554" t="inlineStr">
        <is>
          <t>2026/06忠孝健康7樓</t>
        </is>
      </c>
      <c r="C2490" s="559" t="n">
        <v>198</v>
      </c>
      <c r="D2490" s="484" t="inlineStr">
        <is>
          <t>忠孝健康7樓</t>
        </is>
      </c>
      <c r="E2490" s="484" t="inlineStr">
        <is>
          <t>6190006</t>
        </is>
      </c>
      <c r="F2490" s="551" t="n"/>
      <c r="G2490" s="484" t="inlineStr">
        <is>
          <t>(V)ExoPower 泌力機泌凍晶 5mg</t>
        </is>
      </c>
      <c r="H2490" s="552" t="n"/>
      <c r="I2490" s="552" t="n"/>
      <c r="J2490" s="551" t="n"/>
      <c r="K2490" s="140" t="inlineStr">
        <is>
          <t>瓶</t>
        </is>
      </c>
      <c r="L2490" s="560" t="n">
        <v>7</v>
      </c>
    </row>
    <row r="2491">
      <c r="A2491" s="553" t="inlineStr">
        <is>
          <t>2026/06</t>
        </is>
      </c>
      <c r="B2491" s="554" t="inlineStr">
        <is>
          <t>2026/06忠孝健康7樓</t>
        </is>
      </c>
      <c r="C2491" s="559" t="n">
        <v>199</v>
      </c>
      <c r="D2491" s="484" t="inlineStr">
        <is>
          <t>忠孝健康7樓</t>
        </is>
      </c>
      <c r="E2491" s="484" t="inlineStr">
        <is>
          <t>6210002</t>
        </is>
      </c>
      <c r="F2491" s="551" t="n"/>
      <c r="G2491" s="484" t="inlineStr">
        <is>
          <t>(V)水光針針頭/31G9針/1.2mm/ PCS</t>
        </is>
      </c>
      <c r="H2491" s="552" t="n"/>
      <c r="I2491" s="552" t="n"/>
      <c r="J2491" s="551" t="n"/>
      <c r="K2491" s="140" t="inlineStr">
        <is>
          <t>PCS(20入/盒)</t>
        </is>
      </c>
      <c r="L2491" s="560" t="n">
        <v>24</v>
      </c>
    </row>
    <row r="2492">
      <c r="A2492" s="553" t="inlineStr">
        <is>
          <t>2026/06</t>
        </is>
      </c>
      <c r="B2492" s="554" t="inlineStr">
        <is>
          <t>2026/06忠孝健康7樓</t>
        </is>
      </c>
      <c r="C2492" s="559" t="n">
        <v>200</v>
      </c>
      <c r="D2492" s="484" t="inlineStr">
        <is>
          <t>忠孝健康7樓</t>
        </is>
      </c>
      <c r="E2492" s="484" t="inlineStr">
        <is>
          <t>6210003</t>
        </is>
      </c>
      <c r="F2492" s="551" t="n"/>
      <c r="G2492" s="484" t="inlineStr">
        <is>
          <t>(V)水光針針頭/31G9針/1.5mm/ PCS</t>
        </is>
      </c>
      <c r="H2492" s="552" t="n"/>
      <c r="I2492" s="552" t="n"/>
      <c r="J2492" s="551" t="n"/>
      <c r="K2492" s="140" t="inlineStr">
        <is>
          <t>PCS(20入/盒)</t>
        </is>
      </c>
      <c r="L2492" s="560" t="n">
        <v>2</v>
      </c>
    </row>
    <row r="2493">
      <c r="A2493" s="553" t="inlineStr">
        <is>
          <t>2026/06</t>
        </is>
      </c>
      <c r="B2493" s="554" t="inlineStr">
        <is>
          <t>2026/06忠孝健康7樓</t>
        </is>
      </c>
      <c r="C2493" s="559" t="n">
        <v>201</v>
      </c>
      <c r="D2493" s="484" t="inlineStr">
        <is>
          <t>忠孝健康7樓</t>
        </is>
      </c>
      <c r="E2493" s="484" t="inlineStr">
        <is>
          <t>6210007</t>
        </is>
      </c>
      <c r="F2493" s="551" t="n"/>
      <c r="G2493" s="484" t="inlineStr">
        <is>
          <t>(V)麗珠蘭白瓷水光(A劑2ml+B劑2ml)</t>
        </is>
      </c>
      <c r="H2493" s="552" t="n"/>
      <c r="I2493" s="552" t="n"/>
      <c r="J2493" s="551" t="n"/>
      <c r="K2493" s="140" t="inlineStr">
        <is>
          <t>2ml*2</t>
        </is>
      </c>
      <c r="L2493" s="560" t="n">
        <v>1</v>
      </c>
    </row>
    <row r="2494">
      <c r="A2494" s="553" t="inlineStr">
        <is>
          <t>2026/06</t>
        </is>
      </c>
      <c r="B2494" s="554" t="inlineStr">
        <is>
          <t>2026/06忠孝健康7樓</t>
        </is>
      </c>
      <c r="C2494" s="559" t="n">
        <v>202</v>
      </c>
      <c r="D2494" s="484" t="inlineStr">
        <is>
          <t>忠孝健康7樓</t>
        </is>
      </c>
      <c r="E2494" s="484" t="inlineStr">
        <is>
          <t>6220005</t>
        </is>
      </c>
      <c r="F2494" s="551" t="n"/>
      <c r="G2494" s="484" t="inlineStr">
        <is>
          <t>海菲秀深藍端頭/ 顆</t>
        </is>
      </c>
      <c r="H2494" s="552" t="n"/>
      <c r="I2494" s="552" t="n"/>
      <c r="J2494" s="551" t="n"/>
      <c r="K2494" s="140" t="inlineStr">
        <is>
          <t>15顆/串</t>
        </is>
      </c>
      <c r="L2494" s="560" t="n">
        <v>99</v>
      </c>
    </row>
    <row r="2495">
      <c r="A2495" s="553" t="inlineStr">
        <is>
          <t>2026/06</t>
        </is>
      </c>
      <c r="B2495" s="554" t="inlineStr">
        <is>
          <t>2026/06忠孝健康7樓</t>
        </is>
      </c>
      <c r="C2495" s="559" t="n">
        <v>203</v>
      </c>
      <c r="D2495" s="484" t="inlineStr">
        <is>
          <t>忠孝健康7樓</t>
        </is>
      </c>
      <c r="E2495" s="484" t="inlineStr">
        <is>
          <t>6220006</t>
        </is>
      </c>
      <c r="F2495" s="551" t="n"/>
      <c r="G2495" s="484" t="inlineStr">
        <is>
          <t>海菲秀淺藍端頭/ 顆</t>
        </is>
      </c>
      <c r="H2495" s="552" t="n"/>
      <c r="I2495" s="552" t="n"/>
      <c r="J2495" s="551" t="n"/>
      <c r="K2495" s="140" t="inlineStr">
        <is>
          <t>15顆/串</t>
        </is>
      </c>
      <c r="L2495" s="560" t="n">
        <v>99</v>
      </c>
    </row>
    <row r="2496">
      <c r="A2496" s="553" t="inlineStr">
        <is>
          <t>2026/06</t>
        </is>
      </c>
      <c r="B2496" s="554" t="inlineStr">
        <is>
          <t>2026/06忠孝健康7樓</t>
        </is>
      </c>
      <c r="C2496" s="559" t="n">
        <v>204</v>
      </c>
      <c r="D2496" s="484" t="inlineStr">
        <is>
          <t>忠孝健康7樓</t>
        </is>
      </c>
      <c r="E2496" s="484" t="inlineStr">
        <is>
          <t>6220007</t>
        </is>
      </c>
      <c r="F2496" s="551" t="n"/>
      <c r="G2496" s="484" t="inlineStr">
        <is>
          <t>海菲秀透明端頭/ 顆</t>
        </is>
      </c>
      <c r="H2496" s="552" t="n"/>
      <c r="I2496" s="552" t="n"/>
      <c r="J2496" s="551" t="n"/>
      <c r="K2496" s="140" t="inlineStr">
        <is>
          <t>15顆/串</t>
        </is>
      </c>
      <c r="L2496" s="560" t="n">
        <v>99</v>
      </c>
    </row>
    <row r="2497">
      <c r="A2497" s="553" t="inlineStr">
        <is>
          <t>2026/06</t>
        </is>
      </c>
      <c r="B2497" s="554" t="inlineStr">
        <is>
          <t>2026/06忠孝健康7樓</t>
        </is>
      </c>
      <c r="C2497" s="559" t="n">
        <v>205</v>
      </c>
      <c r="D2497" s="484" t="inlineStr">
        <is>
          <t>忠孝健康7樓</t>
        </is>
      </c>
      <c r="E2497" s="484" t="inlineStr">
        <is>
          <t>6220012</t>
        </is>
      </c>
      <c r="F2497" s="551" t="n"/>
      <c r="G2497" s="484" t="inlineStr">
        <is>
          <t>(V)(第一劑)海菲秀 Activ-4 Skin Solution/mL</t>
        </is>
      </c>
      <c r="H2497" s="552" t="n"/>
      <c r="I2497" s="552" t="n"/>
      <c r="J2497" s="551" t="n"/>
      <c r="K2497" s="140" t="inlineStr">
        <is>
          <t>236ml/瓶</t>
        </is>
      </c>
      <c r="L2497" s="560" t="n">
        <v>1485</v>
      </c>
    </row>
    <row r="2498">
      <c r="A2498" s="553" t="inlineStr">
        <is>
          <t>2026/06</t>
        </is>
      </c>
      <c r="B2498" s="554" t="inlineStr">
        <is>
          <t>2026/06忠孝健康7樓</t>
        </is>
      </c>
      <c r="C2498" s="559" t="n">
        <v>206</v>
      </c>
      <c r="D2498" s="484" t="inlineStr">
        <is>
          <t>忠孝健康7樓</t>
        </is>
      </c>
      <c r="E2498" s="484" t="inlineStr">
        <is>
          <t>6220013</t>
        </is>
      </c>
      <c r="F2498" s="551" t="n"/>
      <c r="G2498" s="484" t="inlineStr">
        <is>
          <t>(V)(第二劑)海菲秀 Beta-HD Skin Solution /mL</t>
        </is>
      </c>
      <c r="H2498" s="552" t="n"/>
      <c r="I2498" s="552" t="n"/>
      <c r="J2498" s="551" t="n"/>
      <c r="K2498" s="140" t="inlineStr">
        <is>
          <t>236ml/瓶</t>
        </is>
      </c>
      <c r="L2498" s="560" t="n">
        <v>1485</v>
      </c>
    </row>
    <row r="2499">
      <c r="A2499" s="553" t="inlineStr">
        <is>
          <t>2026/06</t>
        </is>
      </c>
      <c r="B2499" s="554" t="inlineStr">
        <is>
          <t>2026/06忠孝健康7樓</t>
        </is>
      </c>
      <c r="C2499" s="559" t="n">
        <v>207</v>
      </c>
      <c r="D2499" s="484" t="inlineStr">
        <is>
          <t>忠孝健康7樓</t>
        </is>
      </c>
      <c r="E2499" s="484" t="inlineStr">
        <is>
          <t>6220014</t>
        </is>
      </c>
      <c r="F2499" s="551" t="n"/>
      <c r="G2499" s="484" t="inlineStr">
        <is>
          <t>(V)(第三劑)海菲秀 Antiox-6 Skin Solution /mL</t>
        </is>
      </c>
      <c r="H2499" s="552" t="n"/>
      <c r="I2499" s="552" t="n"/>
      <c r="J2499" s="551" t="n"/>
      <c r="K2499" s="140" t="inlineStr">
        <is>
          <t>236ml/瓶</t>
        </is>
      </c>
      <c r="L2499" s="560" t="n">
        <v>1485</v>
      </c>
    </row>
    <row r="2500">
      <c r="A2500" s="553" t="inlineStr">
        <is>
          <t>2026/06</t>
        </is>
      </c>
      <c r="B2500" s="554" t="inlineStr">
        <is>
          <t>2026/06忠孝健康7樓</t>
        </is>
      </c>
      <c r="C2500" s="559" t="n">
        <v>208</v>
      </c>
      <c r="D2500" s="484" t="inlineStr">
        <is>
          <t>忠孝健康7樓</t>
        </is>
      </c>
      <c r="E2500" s="484" t="inlineStr">
        <is>
          <t>6220015</t>
        </is>
      </c>
      <c r="F2500" s="551" t="n"/>
      <c r="G2500" s="484" t="inlineStr">
        <is>
          <t>(V)(第四劑)海菲秀 Rinseaway System Cleaning Solution /mL</t>
        </is>
      </c>
      <c r="H2500" s="552" t="n"/>
      <c r="I2500" s="552" t="n"/>
      <c r="J2500" s="551" t="n"/>
      <c r="K2500" s="140" t="inlineStr">
        <is>
          <t>236ml/瓶</t>
        </is>
      </c>
      <c r="L2500" s="560" t="n">
        <v>1485</v>
      </c>
    </row>
  </sheetData>
  <autoFilter ref="A1:N2477">
    <filterColumn colId="4" hiddenButton="0" showButton="0"/>
    <filterColumn colId="6" hiddenButton="0" showButton="0"/>
    <filterColumn colId="7" hiddenButton="0" showButton="0"/>
    <filterColumn colId="8" hiddenButton="0" showButton="0"/>
  </autoFilter>
  <mergeCells count="4954">
    <mergeCell ref="G1987:J1987"/>
    <mergeCell ref="G2118:J2118"/>
    <mergeCell ref="G2293:J2293"/>
    <mergeCell ref="G2287:J2287"/>
    <mergeCell ref="E79:F79"/>
    <mergeCell ref="G202:J202"/>
    <mergeCell ref="E73:F73"/>
    <mergeCell ref="G2445:J2445"/>
    <mergeCell ref="G1988:J1988"/>
    <mergeCell ref="G291:J291"/>
    <mergeCell ref="E861:F861"/>
    <mergeCell ref="E836:F836"/>
    <mergeCell ref="G502:J502"/>
    <mergeCell ref="G2434:J2434"/>
    <mergeCell ref="G2129:J2129"/>
    <mergeCell ref="G649:J649"/>
    <mergeCell ref="E547:F547"/>
    <mergeCell ref="G2435:J2435"/>
    <mergeCell ref="G344:J344"/>
    <mergeCell ref="E758:F758"/>
    <mergeCell ref="G2130:J2130"/>
    <mergeCell ref="G949:J949"/>
    <mergeCell ref="E847:F847"/>
    <mergeCell ref="G644:J644"/>
    <mergeCell ref="E1064:F1064"/>
    <mergeCell ref="E1058:F1058"/>
    <mergeCell ref="G861:J861"/>
    <mergeCell ref="E759:F759"/>
    <mergeCell ref="E1059:F1059"/>
    <mergeCell ref="G660:J660"/>
    <mergeCell ref="G241:J241"/>
    <mergeCell ref="E748:F748"/>
    <mergeCell ref="G355:J355"/>
    <mergeCell ref="G1029:J1029"/>
    <mergeCell ref="E900:F900"/>
    <mergeCell ref="G572:J572"/>
    <mergeCell ref="E443:F443"/>
    <mergeCell ref="E1206:F1206"/>
    <mergeCell ref="G1329:J1329"/>
    <mergeCell ref="E1200:F1200"/>
    <mergeCell ref="E743:F743"/>
    <mergeCell ref="E1417:F1417"/>
    <mergeCell ref="G388:J388"/>
    <mergeCell ref="E1112:F1112"/>
    <mergeCell ref="G1019:J1019"/>
    <mergeCell ref="G1013:J1013"/>
    <mergeCell ref="G1171:J1171"/>
    <mergeCell ref="G714:J714"/>
    <mergeCell ref="E1128:F1128"/>
    <mergeCell ref="G1776:J1776"/>
    <mergeCell ref="E1891:F1891"/>
    <mergeCell ref="E1885:F1885"/>
    <mergeCell ref="G1014:J1014"/>
    <mergeCell ref="E1428:F1428"/>
    <mergeCell ref="E2191:F2191"/>
    <mergeCell ref="E1728:F1728"/>
    <mergeCell ref="E1886:F1886"/>
    <mergeCell ref="G1373:J1373"/>
    <mergeCell ref="E2186:F2186"/>
    <mergeCell ref="G1374:J1374"/>
    <mergeCell ref="E1270:F1270"/>
    <mergeCell ref="G1368:J1368"/>
    <mergeCell ref="E1875:F1875"/>
    <mergeCell ref="G2156:J2156"/>
    <mergeCell ref="E2027:F2027"/>
    <mergeCell ref="G1699:J1699"/>
    <mergeCell ref="E1570:F1570"/>
    <mergeCell ref="E2244:F2244"/>
    <mergeCell ref="E2333:F2333"/>
    <mergeCell ref="E2028:F2028"/>
    <mergeCell ref="G1515:J1515"/>
    <mergeCell ref="G1846:J1846"/>
    <mergeCell ref="G1427:J1427"/>
    <mergeCell ref="E1955:F1955"/>
    <mergeCell ref="G2146:J2146"/>
    <mergeCell ref="G1727:J1727"/>
    <mergeCell ref="G30:J30"/>
    <mergeCell ref="G1841:J1841"/>
    <mergeCell ref="E2255:F2255"/>
    <mergeCell ref="E145:F145"/>
    <mergeCell ref="E139:F139"/>
    <mergeCell ref="G2027:J2027"/>
    <mergeCell ref="G2141:J2141"/>
    <mergeCell ref="E470:F470"/>
    <mergeCell ref="E770:F770"/>
    <mergeCell ref="G1569:J1569"/>
    <mergeCell ref="E1983:F1983"/>
    <mergeCell ref="G2174:J2174"/>
    <mergeCell ref="G2201:J2201"/>
    <mergeCell ref="E2097:F2097"/>
    <mergeCell ref="G1869:J1869"/>
    <mergeCell ref="E2283:F2283"/>
    <mergeCell ref="E2397:F2397"/>
    <mergeCell ref="E1978:F1978"/>
    <mergeCell ref="G2169:J2169"/>
    <mergeCell ref="E917:F917"/>
    <mergeCell ref="E498:F498"/>
    <mergeCell ref="E612:F612"/>
    <mergeCell ref="E193:F193"/>
    <mergeCell ref="G2096:J2096"/>
    <mergeCell ref="G557:J557"/>
    <mergeCell ref="E2125:F2125"/>
    <mergeCell ref="G100:J100"/>
    <mergeCell ref="G94:J94"/>
    <mergeCell ref="E514:F514"/>
    <mergeCell ref="G2396:J2396"/>
    <mergeCell ref="G311:J311"/>
    <mergeCell ref="E209:F209"/>
    <mergeCell ref="G857:J857"/>
    <mergeCell ref="E2425:F2425"/>
    <mergeCell ref="G2097:J2097"/>
    <mergeCell ref="E814:F814"/>
    <mergeCell ref="G1074:J1074"/>
    <mergeCell ref="G611:J611"/>
    <mergeCell ref="E509:F509"/>
    <mergeCell ref="E640:F640"/>
    <mergeCell ref="E809:F809"/>
    <mergeCell ref="E1597:F1597"/>
    <mergeCell ref="G785:J785"/>
    <mergeCell ref="G322:J322"/>
    <mergeCell ref="E1897:F1897"/>
    <mergeCell ref="E867:F867"/>
    <mergeCell ref="E351:F351"/>
    <mergeCell ref="G1085:J1085"/>
    <mergeCell ref="E956:F956"/>
    <mergeCell ref="G1079:J1079"/>
    <mergeCell ref="G780:J780"/>
    <mergeCell ref="E1167:F1167"/>
    <mergeCell ref="E1325:F1325"/>
    <mergeCell ref="E868:F868"/>
    <mergeCell ref="E862:F862"/>
    <mergeCell ref="G813:J813"/>
    <mergeCell ref="G769:J769"/>
    <mergeCell ref="G927:J927"/>
    <mergeCell ref="G464:J464"/>
    <mergeCell ref="G1138:J1138"/>
    <mergeCell ref="G1113:J1113"/>
    <mergeCell ref="G1227:J1227"/>
    <mergeCell ref="E1641:F1641"/>
    <mergeCell ref="G764:J764"/>
    <mergeCell ref="G1438:J1438"/>
    <mergeCell ref="E1336:F1336"/>
    <mergeCell ref="E1467:F1467"/>
    <mergeCell ref="G1738:J1738"/>
    <mergeCell ref="E1636:F1636"/>
    <mergeCell ref="G192:J192"/>
    <mergeCell ref="G492:J492"/>
    <mergeCell ref="G1149:J1149"/>
    <mergeCell ref="G1124:J1124"/>
    <mergeCell ref="G1280:J1280"/>
    <mergeCell ref="G1912:J1912"/>
    <mergeCell ref="G1449:J1449"/>
    <mergeCell ref="G1580:J1580"/>
    <mergeCell ref="G1607:J1607"/>
    <mergeCell ref="E1994:F1994"/>
    <mergeCell ref="G2212:J2212"/>
    <mergeCell ref="G1880:J1880"/>
    <mergeCell ref="G1907:J1907"/>
    <mergeCell ref="E2452:F2452"/>
    <mergeCell ref="E1995:F1995"/>
    <mergeCell ref="E1989:F1989"/>
    <mergeCell ref="G1177:J1177"/>
    <mergeCell ref="G1940:J1940"/>
    <mergeCell ref="G1477:J1477"/>
    <mergeCell ref="G1178:J1178"/>
    <mergeCell ref="G2240:J2240"/>
    <mergeCell ref="E2136:F2136"/>
    <mergeCell ref="E51:F51"/>
    <mergeCell ref="G111:J111"/>
    <mergeCell ref="E683:F683"/>
    <mergeCell ref="E220:F220"/>
    <mergeCell ref="E2463:F2463"/>
    <mergeCell ref="E2131:F2131"/>
    <mergeCell ref="E983:F983"/>
    <mergeCell ref="E520:F520"/>
    <mergeCell ref="E2348:F2348"/>
    <mergeCell ref="G1319:J1319"/>
    <mergeCell ref="E678:F678"/>
    <mergeCell ref="G1993:J1993"/>
    <mergeCell ref="G1619:J1619"/>
    <mergeCell ref="G139:J139"/>
    <mergeCell ref="G2276:J2276"/>
    <mergeCell ref="G1830:J1830"/>
    <mergeCell ref="E667:F667"/>
    <mergeCell ref="E248:F248"/>
    <mergeCell ref="E368:F368"/>
    <mergeCell ref="G491:J491"/>
    <mergeCell ref="E2059:F2059"/>
    <mergeCell ref="G2294:J2294"/>
    <mergeCell ref="G67:J67"/>
    <mergeCell ref="G61:J61"/>
    <mergeCell ref="G2310:J2310"/>
    <mergeCell ref="G2304:J2304"/>
    <mergeCell ref="G219:J219"/>
    <mergeCell ref="E90:F90"/>
    <mergeCell ref="G2005:J2005"/>
    <mergeCell ref="G824:J824"/>
    <mergeCell ref="G519:J519"/>
    <mergeCell ref="E390:F390"/>
    <mergeCell ref="G62:J62"/>
    <mergeCell ref="G2305:J2305"/>
    <mergeCell ref="E1047:F1047"/>
    <mergeCell ref="E302:F302"/>
    <mergeCell ref="E1347:F1347"/>
    <mergeCell ref="E1048:F1048"/>
    <mergeCell ref="G535:J535"/>
    <mergeCell ref="G203:J203"/>
    <mergeCell ref="G230:J230"/>
    <mergeCell ref="G2446:J2446"/>
    <mergeCell ref="G361:J361"/>
    <mergeCell ref="E318:F318"/>
    <mergeCell ref="G966:J966"/>
    <mergeCell ref="E923:F923"/>
    <mergeCell ref="G530:J530"/>
    <mergeCell ref="E13:F13"/>
    <mergeCell ref="G661:J661"/>
    <mergeCell ref="E1075:F1075"/>
    <mergeCell ref="E618:F618"/>
    <mergeCell ref="E918:F918"/>
    <mergeCell ref="E1076:F1076"/>
    <mergeCell ref="G563:J563"/>
    <mergeCell ref="G894:J894"/>
    <mergeCell ref="G1194:J1194"/>
    <mergeCell ref="G1188:J1188"/>
    <mergeCell ref="E671:F671"/>
    <mergeCell ref="G1346:J1346"/>
    <mergeCell ref="E1217:F1217"/>
    <mergeCell ref="G889:J889"/>
    <mergeCell ref="E1303:F1303"/>
    <mergeCell ref="G1951:J1951"/>
    <mergeCell ref="E1434:F1434"/>
    <mergeCell ref="E971:F971"/>
    <mergeCell ref="G1189:J1189"/>
    <mergeCell ref="E1603:F1603"/>
    <mergeCell ref="E1734:F1734"/>
    <mergeCell ref="E1271:F1271"/>
    <mergeCell ref="E1429:F1429"/>
    <mergeCell ref="G1362:J1362"/>
    <mergeCell ref="G916:J916"/>
    <mergeCell ref="G1030:J1030"/>
    <mergeCell ref="G1662:J1662"/>
    <mergeCell ref="G1336:J1336"/>
    <mergeCell ref="G1031:J1031"/>
    <mergeCell ref="E1445:F1445"/>
    <mergeCell ref="G1242:J1242"/>
    <mergeCell ref="E1140:F1140"/>
    <mergeCell ref="E2202:F2202"/>
    <mergeCell ref="G1331:J1331"/>
    <mergeCell ref="E1745:F1745"/>
    <mergeCell ref="E1903:F1903"/>
    <mergeCell ref="E2419:F2419"/>
    <mergeCell ref="E2114:F2114"/>
    <mergeCell ref="E2203:F2203"/>
    <mergeCell ref="G2021:J2021"/>
    <mergeCell ref="G1716:J1716"/>
    <mergeCell ref="E1587:F1587"/>
    <mergeCell ref="G2321:J2321"/>
    <mergeCell ref="E1798:F1798"/>
    <mergeCell ref="E101:F101"/>
    <mergeCell ref="G2016:J2016"/>
    <mergeCell ref="E1887:F1887"/>
    <mergeCell ref="E2098:F2098"/>
    <mergeCell ref="E434:F434"/>
    <mergeCell ref="E2256:F2256"/>
    <mergeCell ref="G2316:J2316"/>
    <mergeCell ref="G231:J231"/>
    <mergeCell ref="E102:F102"/>
    <mergeCell ref="G981:J981"/>
    <mergeCell ref="G2043:J2043"/>
    <mergeCell ref="G1744:J1744"/>
    <mergeCell ref="E4:F4"/>
    <mergeCell ref="G2349:J2349"/>
    <mergeCell ref="E2272:F2272"/>
    <mergeCell ref="G247:J247"/>
    <mergeCell ref="G2069:J2069"/>
    <mergeCell ref="G2044:J2044"/>
    <mergeCell ref="E786:F786"/>
    <mergeCell ref="G2369:J2369"/>
    <mergeCell ref="G2344:J2344"/>
    <mergeCell ref="E1092:F1092"/>
    <mergeCell ref="E2267:F2267"/>
    <mergeCell ref="E787:F787"/>
    <mergeCell ref="E1087:F1087"/>
    <mergeCell ref="E2300:F2300"/>
    <mergeCell ref="G275:J275"/>
    <mergeCell ref="G269:J269"/>
    <mergeCell ref="G427:J427"/>
    <mergeCell ref="G2055:J2055"/>
    <mergeCell ref="E357:F357"/>
    <mergeCell ref="E515:F515"/>
    <mergeCell ref="E52:F52"/>
    <mergeCell ref="G270:J270"/>
    <mergeCell ref="E1103:F1103"/>
    <mergeCell ref="E815:F815"/>
    <mergeCell ref="E352:F352"/>
    <mergeCell ref="G2113:J2113"/>
    <mergeCell ref="G117:J117"/>
    <mergeCell ref="G2413:J2413"/>
    <mergeCell ref="G328:J328"/>
    <mergeCell ref="E226:F226"/>
    <mergeCell ref="G417:J417"/>
    <mergeCell ref="G2108:J2108"/>
    <mergeCell ref="G628:J628"/>
    <mergeCell ref="E526:F526"/>
    <mergeCell ref="G2414:J2414"/>
    <mergeCell ref="G323:J323"/>
    <mergeCell ref="G928:J928"/>
    <mergeCell ref="E851:F851"/>
    <mergeCell ref="E826:F826"/>
    <mergeCell ref="E1037:F1037"/>
    <mergeCell ref="E1157:F1157"/>
    <mergeCell ref="E2219:F2219"/>
    <mergeCell ref="G944:J944"/>
    <mergeCell ref="G1102:J1102"/>
    <mergeCell ref="G639:J639"/>
    <mergeCell ref="G797:J797"/>
    <mergeCell ref="E1184:F1184"/>
    <mergeCell ref="G1402:J1402"/>
    <mergeCell ref="E879:F879"/>
    <mergeCell ref="E422:F422"/>
    <mergeCell ref="G1097:J1097"/>
    <mergeCell ref="E1484:F1484"/>
    <mergeCell ref="E1642:F1642"/>
    <mergeCell ref="E1185:F1185"/>
    <mergeCell ref="E1179:F1179"/>
    <mergeCell ref="G367:J367"/>
    <mergeCell ref="E1510:F1510"/>
    <mergeCell ref="G667:J667"/>
    <mergeCell ref="G781:J781"/>
    <mergeCell ref="G1455:J1455"/>
    <mergeCell ref="E1869:F1869"/>
    <mergeCell ref="E1353:F1353"/>
    <mergeCell ref="G998:J998"/>
    <mergeCell ref="G992:J992"/>
    <mergeCell ref="G1150:J1150"/>
    <mergeCell ref="G1755:J1755"/>
    <mergeCell ref="E2169:F2169"/>
    <mergeCell ref="E1653:F1653"/>
    <mergeCell ref="E1870:F1870"/>
    <mergeCell ref="E173:F173"/>
    <mergeCell ref="E1864:F1864"/>
    <mergeCell ref="E1953:F1953"/>
    <mergeCell ref="E2170:F2170"/>
    <mergeCell ref="E2164:F2164"/>
    <mergeCell ref="G1771:J1771"/>
    <mergeCell ref="E168:F168"/>
    <mergeCell ref="G1466:J1466"/>
    <mergeCell ref="E1554:F1554"/>
    <mergeCell ref="G2229:J2229"/>
    <mergeCell ref="G1766:J1766"/>
    <mergeCell ref="E1249:F1249"/>
    <mergeCell ref="E2311:F2311"/>
    <mergeCell ref="E1854:F1854"/>
    <mergeCell ref="G2114:J2114"/>
    <mergeCell ref="E2469:F2469"/>
    <mergeCell ref="E2012:F2012"/>
    <mergeCell ref="G2135:J2135"/>
    <mergeCell ref="E2006:F2006"/>
    <mergeCell ref="E1549:F1549"/>
    <mergeCell ref="E2312:F2312"/>
    <mergeCell ref="E2306:F2306"/>
    <mergeCell ref="G1494:J1494"/>
    <mergeCell ref="G2282:J2282"/>
    <mergeCell ref="G1825:J1825"/>
    <mergeCell ref="E1934:F1934"/>
    <mergeCell ref="E237:F237"/>
    <mergeCell ref="G2125:J2125"/>
    <mergeCell ref="G2119:J2119"/>
    <mergeCell ref="G2277:J2277"/>
    <mergeCell ref="E2234:F2234"/>
    <mergeCell ref="E537:F537"/>
    <mergeCell ref="E2365:F2365"/>
    <mergeCell ref="E238:F238"/>
    <mergeCell ref="G2152:J2152"/>
    <mergeCell ref="G25:J25"/>
    <mergeCell ref="G1853:J1853"/>
    <mergeCell ref="E265:F265"/>
    <mergeCell ref="G2153:J2153"/>
    <mergeCell ref="E2076:F2076"/>
    <mergeCell ref="G1848:J1848"/>
    <mergeCell ref="E565:F565"/>
    <mergeCell ref="E133:F133"/>
    <mergeCell ref="E108:F108"/>
    <mergeCell ref="E2376:F2376"/>
    <mergeCell ref="E896:F896"/>
    <mergeCell ref="E591:F591"/>
    <mergeCell ref="G78:J78"/>
    <mergeCell ref="G378:J378"/>
    <mergeCell ref="G536:J536"/>
    <mergeCell ref="G79:J79"/>
    <mergeCell ref="G73:J73"/>
    <mergeCell ref="E188:F188"/>
    <mergeCell ref="G836:J836"/>
    <mergeCell ref="E1370:F1370"/>
    <mergeCell ref="E924:F924"/>
    <mergeCell ref="E1207:F1207"/>
    <mergeCell ref="G437:J437"/>
    <mergeCell ref="G852:J852"/>
    <mergeCell ref="G1069:J1069"/>
    <mergeCell ref="G547:J547"/>
    <mergeCell ref="E635:F635"/>
    <mergeCell ref="G847:J847"/>
    <mergeCell ref="E1392:F1392"/>
    <mergeCell ref="G1064:J1064"/>
    <mergeCell ref="E960:F960"/>
    <mergeCell ref="E935:F935"/>
    <mergeCell ref="G1195:J1195"/>
    <mergeCell ref="E1723:F1723"/>
    <mergeCell ref="E1260:F1260"/>
    <mergeCell ref="E2023:F2023"/>
    <mergeCell ref="E1718:F1718"/>
    <mergeCell ref="G1205:J1205"/>
    <mergeCell ref="G748:J748"/>
    <mergeCell ref="G1363:J1363"/>
    <mergeCell ref="G906:J906"/>
    <mergeCell ref="E1320:F1320"/>
    <mergeCell ref="G1663:J1663"/>
    <mergeCell ref="G1206:J1206"/>
    <mergeCell ref="E1620:F1620"/>
    <mergeCell ref="E1751:F1751"/>
    <mergeCell ref="G1417:J1417"/>
    <mergeCell ref="E1315:F1315"/>
    <mergeCell ref="E1920:F1920"/>
    <mergeCell ref="G1233:J1233"/>
    <mergeCell ref="G1564:J1564"/>
    <mergeCell ref="E1462:F1462"/>
    <mergeCell ref="G1103:J1103"/>
    <mergeCell ref="G2196:J2196"/>
    <mergeCell ref="G1864:J1864"/>
    <mergeCell ref="G1891:J1891"/>
    <mergeCell ref="E1762:F1762"/>
    <mergeCell ref="G1559:J1559"/>
    <mergeCell ref="E1973:F1973"/>
    <mergeCell ref="G2191:J2191"/>
    <mergeCell ref="E2062:F2062"/>
    <mergeCell ref="E2273:F2273"/>
    <mergeCell ref="E2387:F2387"/>
    <mergeCell ref="E1974:F1974"/>
    <mergeCell ref="G1575:J1575"/>
    <mergeCell ref="G1270:J1270"/>
    <mergeCell ref="G2332:J2332"/>
    <mergeCell ref="G1919:J1919"/>
    <mergeCell ref="G1875:J1875"/>
    <mergeCell ref="G2033:J2033"/>
    <mergeCell ref="E2447:F2447"/>
    <mergeCell ref="E1984:F1984"/>
    <mergeCell ref="E2121:F2121"/>
    <mergeCell ref="G2244:J2244"/>
    <mergeCell ref="G2219:J2219"/>
    <mergeCell ref="E2115:F2115"/>
    <mergeCell ref="G90:J90"/>
    <mergeCell ref="G2333:J2333"/>
    <mergeCell ref="G1303:J1303"/>
    <mergeCell ref="E2415:F2415"/>
    <mergeCell ref="E2442:F2442"/>
    <mergeCell ref="E288:F288"/>
    <mergeCell ref="E2116:F2116"/>
    <mergeCell ref="G1603:J1603"/>
    <mergeCell ref="G1298:J1298"/>
    <mergeCell ref="E46:F46"/>
    <mergeCell ref="G1598:J1598"/>
    <mergeCell ref="E346:F346"/>
    <mergeCell ref="G118:J118"/>
    <mergeCell ref="E2126:F2126"/>
    <mergeCell ref="E41:F41"/>
    <mergeCell ref="G2386:J2386"/>
    <mergeCell ref="E690:F690"/>
    <mergeCell ref="E2343:F2343"/>
    <mergeCell ref="E646:F646"/>
    <mergeCell ref="E804:F804"/>
    <mergeCell ref="E341:F341"/>
    <mergeCell ref="E1104:F1104"/>
    <mergeCell ref="G134:J134"/>
    <mergeCell ref="G286:J286"/>
    <mergeCell ref="G503:J503"/>
    <mergeCell ref="E374:F374"/>
    <mergeCell ref="G617:J617"/>
    <mergeCell ref="G592:J592"/>
    <mergeCell ref="G2283:J2283"/>
    <mergeCell ref="G803:J803"/>
    <mergeCell ref="E674:F674"/>
    <mergeCell ref="G917:J917"/>
    <mergeCell ref="G498:J498"/>
    <mergeCell ref="E1026:F1026"/>
    <mergeCell ref="G1217:J1217"/>
    <mergeCell ref="G187:J187"/>
    <mergeCell ref="G2430:J2430"/>
    <mergeCell ref="G819:J819"/>
    <mergeCell ref="G487:J487"/>
    <mergeCell ref="G514:J514"/>
    <mergeCell ref="G645:J645"/>
    <mergeCell ref="G188:J188"/>
    <mergeCell ref="G182:J182"/>
    <mergeCell ref="G2431:J2431"/>
    <mergeCell ref="G2425:J2425"/>
    <mergeCell ref="E1173:F1173"/>
    <mergeCell ref="G814:J814"/>
    <mergeCell ref="G945:J945"/>
    <mergeCell ref="E1359:F1359"/>
    <mergeCell ref="E1517:F1517"/>
    <mergeCell ref="G640:J640"/>
    <mergeCell ref="E1473:F1473"/>
    <mergeCell ref="E1054:F1054"/>
    <mergeCell ref="E1773:F1773"/>
    <mergeCell ref="E1354:F1354"/>
    <mergeCell ref="G656:J656"/>
    <mergeCell ref="G1330:J1330"/>
    <mergeCell ref="G867:J867"/>
    <mergeCell ref="G1419:J1419"/>
    <mergeCell ref="G956:J956"/>
    <mergeCell ref="G1630:J1630"/>
    <mergeCell ref="E1501:F1501"/>
    <mergeCell ref="G1173:J1173"/>
    <mergeCell ref="G1167:J1167"/>
    <mergeCell ref="G1719:J1719"/>
    <mergeCell ref="E1065:F1065"/>
    <mergeCell ref="G1325:J1325"/>
    <mergeCell ref="E1196:F1196"/>
    <mergeCell ref="G1930:J1930"/>
    <mergeCell ref="E2159:F2159"/>
    <mergeCell ref="E2153:F2153"/>
    <mergeCell ref="G1314:J1314"/>
    <mergeCell ref="G1472:J1472"/>
    <mergeCell ref="G1015:J1015"/>
    <mergeCell ref="G1009:J1009"/>
    <mergeCell ref="G1772:J1772"/>
    <mergeCell ref="G1315:J1315"/>
    <mergeCell ref="G1309:J1309"/>
    <mergeCell ref="G1467:J1467"/>
    <mergeCell ref="E1424:F1424"/>
    <mergeCell ref="G2072:J2072"/>
    <mergeCell ref="E2029:F2029"/>
    <mergeCell ref="E2187:F2187"/>
    <mergeCell ref="E2181:F2181"/>
    <mergeCell ref="E58:F58"/>
    <mergeCell ref="E1724:F1724"/>
    <mergeCell ref="G1369:J1369"/>
    <mergeCell ref="G1483:J1483"/>
    <mergeCell ref="G1669:J1669"/>
    <mergeCell ref="G2457:J2457"/>
    <mergeCell ref="G2000:J2000"/>
    <mergeCell ref="G303:J303"/>
    <mergeCell ref="E1871:F1871"/>
    <mergeCell ref="G1994:J1994"/>
    <mergeCell ref="E1566:F1566"/>
    <mergeCell ref="E385:F385"/>
    <mergeCell ref="G2300:J2300"/>
    <mergeCell ref="E2171:F2171"/>
    <mergeCell ref="E86:F86"/>
    <mergeCell ref="E80:F80"/>
    <mergeCell ref="G2452:J2452"/>
    <mergeCell ref="E2323:F2323"/>
    <mergeCell ref="E1866:F1866"/>
    <mergeCell ref="E81:F81"/>
    <mergeCell ref="G2441:J2441"/>
    <mergeCell ref="G356:J356"/>
    <mergeCell ref="G2142:J2142"/>
    <mergeCell ref="G2136:J2136"/>
    <mergeCell ref="G51:J51"/>
    <mergeCell ref="E440:F440"/>
    <mergeCell ref="E2251:F2251"/>
    <mergeCell ref="G226:J226"/>
    <mergeCell ref="G2442:J2442"/>
    <mergeCell ref="E771:F771"/>
    <mergeCell ref="E765:F765"/>
    <mergeCell ref="E1071:F1071"/>
    <mergeCell ref="G42:J42"/>
    <mergeCell ref="E766:F766"/>
    <mergeCell ref="G253:J253"/>
    <mergeCell ref="G2170:J2170"/>
    <mergeCell ref="G2164:J2164"/>
    <mergeCell ref="G254:J254"/>
    <mergeCell ref="G248:J248"/>
    <mergeCell ref="E2393:F2393"/>
    <mergeCell ref="E913:F913"/>
    <mergeCell ref="E907:F907"/>
    <mergeCell ref="E1082:F1082"/>
    <mergeCell ref="E1213:F1213"/>
    <mergeCell ref="E908:F908"/>
    <mergeCell ref="G395:J395"/>
    <mergeCell ref="G96:J96"/>
    <mergeCell ref="E510:F510"/>
    <mergeCell ref="E1208:F1208"/>
    <mergeCell ref="G396:J396"/>
    <mergeCell ref="G390:J390"/>
    <mergeCell ref="E810:F810"/>
    <mergeCell ref="G721:J721"/>
    <mergeCell ref="E1110:F1110"/>
    <mergeCell ref="G1353:J1353"/>
    <mergeCell ref="G907:J907"/>
    <mergeCell ref="E1898:F1898"/>
    <mergeCell ref="G1080:J1080"/>
    <mergeCell ref="E2198:F2198"/>
    <mergeCell ref="G1169:J1169"/>
    <mergeCell ref="G318:J318"/>
    <mergeCell ref="E1893:F1893"/>
    <mergeCell ref="G1380:J1380"/>
    <mergeCell ref="G923:J923"/>
    <mergeCell ref="G1081:J1081"/>
    <mergeCell ref="E977:F977"/>
    <mergeCell ref="G1381:J1381"/>
    <mergeCell ref="E1277:F1277"/>
    <mergeCell ref="E1926:F1926"/>
    <mergeCell ref="E1882:F1882"/>
    <mergeCell ref="E1909:F1909"/>
    <mergeCell ref="E1621:F1621"/>
    <mergeCell ref="E1577:F1577"/>
    <mergeCell ref="E2209:F2209"/>
    <mergeCell ref="E124:F124"/>
    <mergeCell ref="G460:J460"/>
    <mergeCell ref="G1522:J1522"/>
    <mergeCell ref="G1065:J1065"/>
    <mergeCell ref="G1223:J1223"/>
    <mergeCell ref="G1739:J1739"/>
    <mergeCell ref="E1637:F1637"/>
    <mergeCell ref="E1174:F1174"/>
    <mergeCell ref="G1434:J1434"/>
    <mergeCell ref="E1332:F1332"/>
    <mergeCell ref="E151:F151"/>
    <mergeCell ref="G2039:J2039"/>
    <mergeCell ref="G1523:J1523"/>
    <mergeCell ref="E1937:F1937"/>
    <mergeCell ref="G1734:J1734"/>
    <mergeCell ref="E152:F152"/>
    <mergeCell ref="G2207:J2207"/>
    <mergeCell ref="G122:J122"/>
    <mergeCell ref="G1750:J1750"/>
    <mergeCell ref="G1445:J1445"/>
    <mergeCell ref="E1316:F1316"/>
    <mergeCell ref="E1990:F1990"/>
    <mergeCell ref="G2208:J2208"/>
    <mergeCell ref="E2296:F2296"/>
    <mergeCell ref="E2290:F2290"/>
    <mergeCell ref="E2410:F2410"/>
    <mergeCell ref="E2291:F2291"/>
    <mergeCell ref="G106:J106"/>
    <mergeCell ref="G1892:J1892"/>
    <mergeCell ref="G1473:J1473"/>
    <mergeCell ref="E221:F221"/>
    <mergeCell ref="G1587:J1587"/>
    <mergeCell ref="G107:J107"/>
    <mergeCell ref="G1773:J1773"/>
    <mergeCell ref="E521:F521"/>
    <mergeCell ref="E610:F610"/>
    <mergeCell ref="E216:F216"/>
    <mergeCell ref="G2104:J2104"/>
    <mergeCell ref="E2459:F2459"/>
    <mergeCell ref="E821:F821"/>
    <mergeCell ref="E979:F979"/>
    <mergeCell ref="E516:F516"/>
    <mergeCell ref="E1279:F1279"/>
    <mergeCell ref="G1920:J1920"/>
    <mergeCell ref="E974:F974"/>
    <mergeCell ref="G4:J4"/>
    <mergeCell ref="G135:J135"/>
    <mergeCell ref="G792:J792"/>
    <mergeCell ref="E2360:F2360"/>
    <mergeCell ref="E663:F663"/>
    <mergeCell ref="E244:F244"/>
    <mergeCell ref="E358:F358"/>
    <mergeCell ref="G1092:J1092"/>
    <mergeCell ref="E963:F963"/>
    <mergeCell ref="E544:F544"/>
    <mergeCell ref="E658:F658"/>
    <mergeCell ref="E875:F875"/>
    <mergeCell ref="G57:J57"/>
    <mergeCell ref="G171:J171"/>
    <mergeCell ref="G146:J146"/>
    <mergeCell ref="G820:J820"/>
    <mergeCell ref="G357:J357"/>
    <mergeCell ref="E1348:F1348"/>
    <mergeCell ref="G515:J515"/>
    <mergeCell ref="G471:J471"/>
    <mergeCell ref="G58:J58"/>
    <mergeCell ref="G1120:J1120"/>
    <mergeCell ref="G815:J815"/>
    <mergeCell ref="E1648:F1648"/>
    <mergeCell ref="E1343:F1343"/>
    <mergeCell ref="G531:J531"/>
    <mergeCell ref="E1643:F1643"/>
    <mergeCell ref="G831:J831"/>
    <mergeCell ref="G962:J962"/>
    <mergeCell ref="E1027:F1027"/>
    <mergeCell ref="E614:F614"/>
    <mergeCell ref="G1262:J1262"/>
    <mergeCell ref="E1676:F1676"/>
    <mergeCell ref="E1371:F1371"/>
    <mergeCell ref="E914:F914"/>
    <mergeCell ref="E2002:F2002"/>
    <mergeCell ref="G973:J973"/>
    <mergeCell ref="G1489:J1489"/>
    <mergeCell ref="E1387:F1387"/>
    <mergeCell ref="G1647:J1647"/>
    <mergeCell ref="G1190:J1190"/>
    <mergeCell ref="G1184:J1184"/>
    <mergeCell ref="G727:J727"/>
    <mergeCell ref="G1947:J1947"/>
    <mergeCell ref="G1484:J1484"/>
    <mergeCell ref="G1642:J1642"/>
    <mergeCell ref="E2475:F2475"/>
    <mergeCell ref="E1730:F1730"/>
    <mergeCell ref="E2476:F2476"/>
    <mergeCell ref="G1631:J1631"/>
    <mergeCell ref="G1658:J1658"/>
    <mergeCell ref="G1326:J1326"/>
    <mergeCell ref="G1543:J1543"/>
    <mergeCell ref="G1958:J1958"/>
    <mergeCell ref="E1441:F1441"/>
    <mergeCell ref="G2089:J2089"/>
    <mergeCell ref="E2046:F2046"/>
    <mergeCell ref="E2204:F2204"/>
    <mergeCell ref="G1843:J1843"/>
    <mergeCell ref="G173:J173"/>
    <mergeCell ref="E1741:F1741"/>
    <mergeCell ref="G473:J473"/>
    <mergeCell ref="E2041:F2041"/>
    <mergeCell ref="G1554:J1554"/>
    <mergeCell ref="E2099:F2099"/>
    <mergeCell ref="E429:F429"/>
    <mergeCell ref="G2317:J2317"/>
    <mergeCell ref="G2311:J2311"/>
    <mergeCell ref="E97:F97"/>
    <mergeCell ref="G1854:J1854"/>
    <mergeCell ref="G2469:J2469"/>
    <mergeCell ref="G2012:J2012"/>
    <mergeCell ref="E2399:F2399"/>
    <mergeCell ref="E729:F729"/>
    <mergeCell ref="E272:F272"/>
    <mergeCell ref="E2094:F2094"/>
    <mergeCell ref="E424:F424"/>
    <mergeCell ref="G242:J242"/>
    <mergeCell ref="E724:F724"/>
    <mergeCell ref="G2159:J2159"/>
    <mergeCell ref="G542:J542"/>
    <mergeCell ref="G237:J237"/>
    <mergeCell ref="G2459:J2459"/>
    <mergeCell ref="E325:F325"/>
    <mergeCell ref="G543:J543"/>
    <mergeCell ref="E414:F414"/>
    <mergeCell ref="E1088:F1088"/>
    <mergeCell ref="E625:F625"/>
    <mergeCell ref="E1083:F1083"/>
    <mergeCell ref="G570:J570"/>
    <mergeCell ref="G113:J113"/>
    <mergeCell ref="G271:J271"/>
    <mergeCell ref="G265:J265"/>
    <mergeCell ref="E1098:F1098"/>
    <mergeCell ref="G571:J571"/>
    <mergeCell ref="G565:J565"/>
    <mergeCell ref="G896:J896"/>
    <mergeCell ref="E794:F794"/>
    <mergeCell ref="E1399:F1399"/>
    <mergeCell ref="G2409:J2409"/>
    <mergeCell ref="G712:J712"/>
    <mergeCell ref="G493:J493"/>
    <mergeCell ref="G624:J624"/>
    <mergeCell ref="G1675:J1675"/>
    <mergeCell ref="G1229:J1229"/>
    <mergeCell ref="E1152:F1152"/>
    <mergeCell ref="G924:J924"/>
    <mergeCell ref="E1452:F1452"/>
    <mergeCell ref="E2215:F2215"/>
    <mergeCell ref="E1752:F1752"/>
    <mergeCell ref="E1910:F1910"/>
    <mergeCell ref="G1397:J1397"/>
    <mergeCell ref="G940:J940"/>
    <mergeCell ref="G635:J635"/>
    <mergeCell ref="E2210:F2210"/>
    <mergeCell ref="E1180:F1180"/>
    <mergeCell ref="G1398:J1398"/>
    <mergeCell ref="G1392:J1392"/>
    <mergeCell ref="E1349:F1349"/>
    <mergeCell ref="G1609:J1609"/>
    <mergeCell ref="E1480:F1480"/>
    <mergeCell ref="G1723:J1723"/>
    <mergeCell ref="G1698:J1698"/>
    <mergeCell ref="E1805:F1805"/>
    <mergeCell ref="G2023:J2023"/>
    <mergeCell ref="G993:J993"/>
    <mergeCell ref="G1082:J1082"/>
    <mergeCell ref="G1293:J1293"/>
    <mergeCell ref="G2056:J2056"/>
    <mergeCell ref="E1954:F1954"/>
    <mergeCell ref="G1593:J1593"/>
    <mergeCell ref="G1751:J1751"/>
    <mergeCell ref="E2165:F2165"/>
    <mergeCell ref="G1294:J1294"/>
    <mergeCell ref="E11:F11"/>
    <mergeCell ref="G2356:J2356"/>
    <mergeCell ref="E2279:F2279"/>
    <mergeCell ref="E169:F169"/>
    <mergeCell ref="E2465:F2465"/>
    <mergeCell ref="E469:F469"/>
    <mergeCell ref="E2122:F2122"/>
    <mergeCell ref="G1767:J1767"/>
    <mergeCell ref="G1462:J1462"/>
    <mergeCell ref="G281:J281"/>
    <mergeCell ref="E1849:F1849"/>
    <mergeCell ref="G2067:J2067"/>
    <mergeCell ref="G2225:J2225"/>
    <mergeCell ref="G1762:J1762"/>
    <mergeCell ref="E64:F64"/>
    <mergeCell ref="G2436:J2436"/>
    <mergeCell ref="E2307:F2307"/>
    <mergeCell ref="G282:J282"/>
    <mergeCell ref="E1850:F1850"/>
    <mergeCell ref="E153:F153"/>
    <mergeCell ref="E364:F364"/>
    <mergeCell ref="G2279:J2279"/>
    <mergeCell ref="E2150:F2150"/>
    <mergeCell ref="E65:F65"/>
    <mergeCell ref="G1909:J1909"/>
    <mergeCell ref="G2120:J2120"/>
    <mergeCell ref="G10:J10"/>
    <mergeCell ref="G2209:J2209"/>
    <mergeCell ref="G2426:J2426"/>
    <mergeCell ref="E75:F75"/>
    <mergeCell ref="G2420:J2420"/>
    <mergeCell ref="G335:J335"/>
    <mergeCell ref="G310:J310"/>
    <mergeCell ref="E2318:F2318"/>
    <mergeCell ref="E233:F233"/>
    <mergeCell ref="G2121:J2121"/>
    <mergeCell ref="E838:F838"/>
    <mergeCell ref="E2230:F2230"/>
    <mergeCell ref="E533:F533"/>
    <mergeCell ref="G2421:J2421"/>
    <mergeCell ref="E744:F744"/>
    <mergeCell ref="E1296:F1296"/>
    <mergeCell ref="E833:F833"/>
    <mergeCell ref="E1050:F1050"/>
    <mergeCell ref="G21:J21"/>
    <mergeCell ref="E1596:F1596"/>
    <mergeCell ref="E1164:F1164"/>
    <mergeCell ref="G2475:J2475"/>
    <mergeCell ref="G346:J346"/>
    <mergeCell ref="G2143:J2143"/>
    <mergeCell ref="E891:F891"/>
    <mergeCell ref="G1109:J1109"/>
    <mergeCell ref="G646:J646"/>
    <mergeCell ref="E2372:F2372"/>
    <mergeCell ref="E1191:F1191"/>
    <mergeCell ref="G1409:J1409"/>
    <mergeCell ref="E886:F886"/>
    <mergeCell ref="E1192:F1192"/>
    <mergeCell ref="G380:J380"/>
    <mergeCell ref="G374:J374"/>
    <mergeCell ref="G1137:J1137"/>
    <mergeCell ref="G674:J674"/>
    <mergeCell ref="E1965:F1965"/>
    <mergeCell ref="E1666:F1666"/>
    <mergeCell ref="E1203:F1203"/>
    <mergeCell ref="E1877:F1877"/>
    <mergeCell ref="G848:J848"/>
    <mergeCell ref="G1059:J1059"/>
    <mergeCell ref="E2177:F2177"/>
    <mergeCell ref="G1148:J1148"/>
    <mergeCell ref="G1664:J1664"/>
    <mergeCell ref="E1261:F1261"/>
    <mergeCell ref="E1236:F1236"/>
    <mergeCell ref="G1359:J1359"/>
    <mergeCell ref="G1060:J1060"/>
    <mergeCell ref="E2018:F2018"/>
    <mergeCell ref="E1561:F1561"/>
    <mergeCell ref="G1360:J1360"/>
    <mergeCell ref="E1256:F1256"/>
    <mergeCell ref="E1861:F1861"/>
    <mergeCell ref="E1888:F1888"/>
    <mergeCell ref="E2019:F2019"/>
    <mergeCell ref="E2319:F2319"/>
    <mergeCell ref="G1507:J1507"/>
    <mergeCell ref="G1501:J1501"/>
    <mergeCell ref="G1044:J1044"/>
    <mergeCell ref="E1616:F1616"/>
    <mergeCell ref="E2335:F2335"/>
    <mergeCell ref="E1941:F1941"/>
    <mergeCell ref="E1916:F1916"/>
    <mergeCell ref="E2030:F2030"/>
    <mergeCell ref="E2216:F2216"/>
    <mergeCell ref="E131:F131"/>
    <mergeCell ref="E87:F87"/>
    <mergeCell ref="E2330:F2330"/>
    <mergeCell ref="G1975:J1975"/>
    <mergeCell ref="G2192:J2192"/>
    <mergeCell ref="G2186:J2186"/>
    <mergeCell ref="G1729:J1729"/>
    <mergeCell ref="G1860:J1860"/>
    <mergeCell ref="G1555:J1555"/>
    <mergeCell ref="E2363:F2363"/>
    <mergeCell ref="E2388:F2388"/>
    <mergeCell ref="G2029:J2029"/>
    <mergeCell ref="G2187:J2187"/>
    <mergeCell ref="E2083:F2083"/>
    <mergeCell ref="E115:F115"/>
    <mergeCell ref="E2383:F2383"/>
    <mergeCell ref="E903:F903"/>
    <mergeCell ref="G2176:J2176"/>
    <mergeCell ref="G91:J91"/>
    <mergeCell ref="G85:J85"/>
    <mergeCell ref="G2334:J2334"/>
    <mergeCell ref="G1871:J1871"/>
    <mergeCell ref="E200:F200"/>
    <mergeCell ref="E2443:F2443"/>
    <mergeCell ref="G385:J385"/>
    <mergeCell ref="G2171:J2171"/>
    <mergeCell ref="G86:J86"/>
    <mergeCell ref="E500:F500"/>
    <mergeCell ref="E1263:F1263"/>
    <mergeCell ref="E800:F800"/>
    <mergeCell ref="E958:F958"/>
    <mergeCell ref="G559:J559"/>
    <mergeCell ref="E1258:F1258"/>
    <mergeCell ref="E184:F184"/>
    <mergeCell ref="E342:F342"/>
    <mergeCell ref="G560:J560"/>
    <mergeCell ref="G771:J771"/>
    <mergeCell ref="E642:F642"/>
    <mergeCell ref="E337:F337"/>
    <mergeCell ref="G1071:J1071"/>
    <mergeCell ref="E942:F942"/>
    <mergeCell ref="G130:J130"/>
    <mergeCell ref="G430:J430"/>
    <mergeCell ref="G1218:J1218"/>
    <mergeCell ref="G1212:J1212"/>
    <mergeCell ref="G913:J913"/>
    <mergeCell ref="E1327:F1327"/>
    <mergeCell ref="E1416:F1416"/>
    <mergeCell ref="G1213:J1213"/>
    <mergeCell ref="E1627:F1627"/>
    <mergeCell ref="E1927:F1927"/>
    <mergeCell ref="G510:J510"/>
    <mergeCell ref="G1115:J1115"/>
    <mergeCell ref="E1011:F1011"/>
    <mergeCell ref="G810:J810"/>
    <mergeCell ref="G941:J941"/>
    <mergeCell ref="E1469:F1469"/>
    <mergeCell ref="G1529:J1529"/>
    <mergeCell ref="G1110:J1110"/>
    <mergeCell ref="E1006:F1006"/>
    <mergeCell ref="G1241:J1241"/>
    <mergeCell ref="G1898:J1898"/>
    <mergeCell ref="E1769:F1769"/>
    <mergeCell ref="E1986:F1986"/>
    <mergeCell ref="G2198:J2198"/>
    <mergeCell ref="G652:J652"/>
    <mergeCell ref="G1257:J1257"/>
    <mergeCell ref="E1366:F1366"/>
    <mergeCell ref="G1626:J1626"/>
    <mergeCell ref="G1163:J1163"/>
    <mergeCell ref="E2154:F2154"/>
    <mergeCell ref="G2345:J2345"/>
    <mergeCell ref="G1926:J1926"/>
    <mergeCell ref="E2454:F2454"/>
    <mergeCell ref="G1310:J1310"/>
    <mergeCell ref="E669:F669"/>
    <mergeCell ref="E2455:F2455"/>
    <mergeCell ref="G1942:J1942"/>
    <mergeCell ref="G1610:J1610"/>
    <mergeCell ref="G1637:J1637"/>
    <mergeCell ref="G1768:J1768"/>
    <mergeCell ref="E2182:F2182"/>
    <mergeCell ref="G1311:J1311"/>
    <mergeCell ref="G2242:J2242"/>
    <mergeCell ref="E2138:F2138"/>
    <mergeCell ref="G1305:J1305"/>
    <mergeCell ref="E53:F53"/>
    <mergeCell ref="G1937:J1937"/>
    <mergeCell ref="G2068:J2068"/>
    <mergeCell ref="E353:F353"/>
    <mergeCell ref="E2133:F2133"/>
    <mergeCell ref="E48:F48"/>
    <mergeCell ref="E653:F653"/>
    <mergeCell ref="E2439:F2439"/>
    <mergeCell ref="G2084:J2084"/>
    <mergeCell ref="G1779:J1779"/>
    <mergeCell ref="G2295:J2295"/>
    <mergeCell ref="G299:J299"/>
    <mergeCell ref="E1867:F1867"/>
    <mergeCell ref="G293:J293"/>
    <mergeCell ref="E250:F250"/>
    <mergeCell ref="G2079:J2079"/>
    <mergeCell ref="E381:F381"/>
    <mergeCell ref="G2296:J2296"/>
    <mergeCell ref="G599:J599"/>
    <mergeCell ref="E76:F76"/>
    <mergeCell ref="G294:J294"/>
    <mergeCell ref="G1349:J1349"/>
    <mergeCell ref="E251:F251"/>
    <mergeCell ref="E1008:F1008"/>
    <mergeCell ref="G221:J221"/>
    <mergeCell ref="E92:F92"/>
    <mergeCell ref="G2437:J2437"/>
    <mergeCell ref="G521:J521"/>
    <mergeCell ref="E1066:F1066"/>
    <mergeCell ref="G2438:J2438"/>
    <mergeCell ref="G2432:J2432"/>
    <mergeCell ref="G821:J821"/>
    <mergeCell ref="E2389:F2389"/>
    <mergeCell ref="E304:F304"/>
    <mergeCell ref="E393:F393"/>
    <mergeCell ref="E1067:F1067"/>
    <mergeCell ref="G249:J249"/>
    <mergeCell ref="G363:J363"/>
    <mergeCell ref="G968:J968"/>
    <mergeCell ref="G549:J549"/>
    <mergeCell ref="G2360:J2360"/>
    <mergeCell ref="G663:J663"/>
    <mergeCell ref="E1077:F1077"/>
    <mergeCell ref="G1337:J1337"/>
    <mergeCell ref="G1312:J1312"/>
    <mergeCell ref="G963:J963"/>
    <mergeCell ref="G664:J664"/>
    <mergeCell ref="E1078:F1078"/>
    <mergeCell ref="E1209:F1209"/>
    <mergeCell ref="G391:J391"/>
    <mergeCell ref="E1378:F1378"/>
    <mergeCell ref="E2166:F2166"/>
    <mergeCell ref="G691:J691"/>
    <mergeCell ref="G1348:J1348"/>
    <mergeCell ref="E1219:F1219"/>
    <mergeCell ref="G1479:J1479"/>
    <mergeCell ref="G1016:J1016"/>
    <mergeCell ref="E1436:F1436"/>
    <mergeCell ref="G1648:J1648"/>
    <mergeCell ref="E1131:F1131"/>
    <mergeCell ref="E1220:F1220"/>
    <mergeCell ref="E1736:F1736"/>
    <mergeCell ref="E1431:F1431"/>
    <mergeCell ref="E2036:F2036"/>
    <mergeCell ref="E1520:F1520"/>
    <mergeCell ref="E2194:F2194"/>
    <mergeCell ref="E1889:F1889"/>
    <mergeCell ref="G1376:J1376"/>
    <mergeCell ref="G1676:J1676"/>
    <mergeCell ref="G1219:J1219"/>
    <mergeCell ref="G1377:J1377"/>
    <mergeCell ref="E119:F119"/>
    <mergeCell ref="E419:F419"/>
    <mergeCell ref="E93:F93"/>
    <mergeCell ref="E2205:F2205"/>
    <mergeCell ref="E2336:F2336"/>
    <mergeCell ref="G1366:J1366"/>
    <mergeCell ref="E719:F719"/>
    <mergeCell ref="G1518:J1518"/>
    <mergeCell ref="E420:F420"/>
    <mergeCell ref="G1061:J1061"/>
    <mergeCell ref="G1818:J1818"/>
    <mergeCell ref="G1361:J1361"/>
    <mergeCell ref="E147:F147"/>
    <mergeCell ref="G2035:J2035"/>
    <mergeCell ref="G2149:J2149"/>
    <mergeCell ref="G1730:J1730"/>
    <mergeCell ref="E2258:F2258"/>
    <mergeCell ref="E104:F104"/>
    <mergeCell ref="G2449:J2449"/>
    <mergeCell ref="E778:F778"/>
    <mergeCell ref="G1746:J1746"/>
    <mergeCell ref="G49:J49"/>
    <mergeCell ref="G2351:J2351"/>
    <mergeCell ref="G266:J266"/>
    <mergeCell ref="G260:J260"/>
    <mergeCell ref="G2046:J2046"/>
    <mergeCell ref="G2204:J2204"/>
    <mergeCell ref="E489:F489"/>
    <mergeCell ref="E2286:F2286"/>
    <mergeCell ref="G261:J261"/>
    <mergeCell ref="E132:F132"/>
    <mergeCell ref="E789:F789"/>
    <mergeCell ref="E920:F920"/>
    <mergeCell ref="E1089:F1089"/>
    <mergeCell ref="E59:F59"/>
    <mergeCell ref="G1888:J1888"/>
    <mergeCell ref="G2099:J2099"/>
    <mergeCell ref="G402:J402"/>
    <mergeCell ref="E359:F359"/>
    <mergeCell ref="G2188:J2188"/>
    <mergeCell ref="G103:J103"/>
    <mergeCell ref="E517:F517"/>
    <mergeCell ref="E54:F54"/>
    <mergeCell ref="G2399:J2399"/>
    <mergeCell ref="E2297:F2297"/>
    <mergeCell ref="E212:F212"/>
    <mergeCell ref="G403:J403"/>
    <mergeCell ref="E817:F817"/>
    <mergeCell ref="E512:F512"/>
    <mergeCell ref="E1117:F1117"/>
    <mergeCell ref="G1087:J1087"/>
    <mergeCell ref="E659:F659"/>
    <mergeCell ref="G1393:J1393"/>
    <mergeCell ref="E870:F870"/>
    <mergeCell ref="G1088:J1088"/>
    <mergeCell ref="E959:F959"/>
    <mergeCell ref="E1170:F1170"/>
    <mergeCell ref="G1388:J1388"/>
    <mergeCell ref="E1259:F1259"/>
    <mergeCell ref="G472:J472"/>
    <mergeCell ref="E1171:F1171"/>
    <mergeCell ref="G816:J816"/>
    <mergeCell ref="G772:J772"/>
    <mergeCell ref="E1186:F1186"/>
    <mergeCell ref="E1344:F1344"/>
    <mergeCell ref="G467:J467"/>
    <mergeCell ref="G1116:J1116"/>
    <mergeCell ref="G1072:J1072"/>
    <mergeCell ref="E1644:F1644"/>
    <mergeCell ref="E1181:F1181"/>
    <mergeCell ref="E1339:F1339"/>
    <mergeCell ref="E1944:F1944"/>
    <mergeCell ref="E1645:F1645"/>
    <mergeCell ref="G1132:J1132"/>
    <mergeCell ref="E1639:F1639"/>
    <mergeCell ref="G827:J827"/>
    <mergeCell ref="G1432:J1432"/>
    <mergeCell ref="E1328:F1328"/>
    <mergeCell ref="E1486:F1486"/>
    <mergeCell ref="G1127:J1127"/>
    <mergeCell ref="G2214:J2214"/>
    <mergeCell ref="E1240:F1240"/>
    <mergeCell ref="G1915:J1915"/>
    <mergeCell ref="E1786:F1786"/>
    <mergeCell ref="E1323:F1323"/>
    <mergeCell ref="E175:F175"/>
    <mergeCell ref="E1997:F1997"/>
    <mergeCell ref="E1540:F1540"/>
    <mergeCell ref="G2215:J2215"/>
    <mergeCell ref="G1185:J1185"/>
    <mergeCell ref="E2172:F2172"/>
    <mergeCell ref="E2303:F2303"/>
    <mergeCell ref="E1840:F1840"/>
    <mergeCell ref="E170:F170"/>
    <mergeCell ref="G1485:J1485"/>
    <mergeCell ref="G1599:J1599"/>
    <mergeCell ref="E2298:F2298"/>
    <mergeCell ref="G1785:J1785"/>
    <mergeCell ref="G1943:J1943"/>
    <mergeCell ref="G1486:J1486"/>
    <mergeCell ref="G1480:J1480"/>
    <mergeCell ref="G1600:J1600"/>
    <mergeCell ref="E2471:F2471"/>
    <mergeCell ref="E2314:F2314"/>
    <mergeCell ref="E223:F223"/>
    <mergeCell ref="E828:F828"/>
    <mergeCell ref="G1654:J1654"/>
    <mergeCell ref="G16:J16"/>
    <mergeCell ref="G2259:J2259"/>
    <mergeCell ref="E1742:F1742"/>
    <mergeCell ref="G1954:J1954"/>
    <mergeCell ref="G474:J474"/>
    <mergeCell ref="E2042:F2042"/>
    <mergeCell ref="G2165:J2165"/>
    <mergeCell ref="G11:J11"/>
    <mergeCell ref="G2254:J2254"/>
    <mergeCell ref="G169:J169"/>
    <mergeCell ref="E539:F539"/>
    <mergeCell ref="E2367:F2367"/>
    <mergeCell ref="E2342:F2342"/>
    <mergeCell ref="E257:F257"/>
    <mergeCell ref="E2456:F2456"/>
    <mergeCell ref="G469:J469"/>
    <mergeCell ref="G2312:J2312"/>
    <mergeCell ref="E882:F882"/>
    <mergeCell ref="E267:F267"/>
    <mergeCell ref="G527:J527"/>
    <mergeCell ref="G2155:J2155"/>
    <mergeCell ref="E425:F425"/>
    <mergeCell ref="G64:J64"/>
    <mergeCell ref="G616:J616"/>
    <mergeCell ref="G153:J153"/>
    <mergeCell ref="G364:J364"/>
    <mergeCell ref="E262:F262"/>
    <mergeCell ref="E2090:F2090"/>
    <mergeCell ref="E1356:F1356"/>
    <mergeCell ref="G538:J538"/>
    <mergeCell ref="E409:F409"/>
    <mergeCell ref="G669:J669"/>
    <mergeCell ref="G1143:J1143"/>
    <mergeCell ref="E626:F626"/>
    <mergeCell ref="G838:J838"/>
    <mergeCell ref="E2406:F2406"/>
    <mergeCell ref="E321:F321"/>
    <mergeCell ref="E926:F926"/>
    <mergeCell ref="G1601:J1601"/>
    <mergeCell ref="E621:F621"/>
    <mergeCell ref="E1384:F1384"/>
    <mergeCell ref="E921:F921"/>
    <mergeCell ref="G566:J566"/>
    <mergeCell ref="G866:J866"/>
    <mergeCell ref="G434:J434"/>
    <mergeCell ref="E1394:F1394"/>
    <mergeCell ref="G1197:J1197"/>
    <mergeCell ref="E1552:F1552"/>
    <mergeCell ref="G1191:J1191"/>
    <mergeCell ref="E1306:F1306"/>
    <mergeCell ref="E1852:F1852"/>
    <mergeCell ref="E1420:F1420"/>
    <mergeCell ref="E1395:F1395"/>
    <mergeCell ref="E1606:F1606"/>
    <mergeCell ref="E990:F990"/>
    <mergeCell ref="G1671:J1671"/>
    <mergeCell ref="G1665:J1665"/>
    <mergeCell ref="G185:J185"/>
    <mergeCell ref="E1753:F1753"/>
    <mergeCell ref="E1290:F1290"/>
    <mergeCell ref="E1448:F1448"/>
    <mergeCell ref="G1508:J1508"/>
    <mergeCell ref="G1666:J1666"/>
    <mergeCell ref="E2053:F2053"/>
    <mergeCell ref="E2211:F2211"/>
    <mergeCell ref="E1748:F1748"/>
    <mergeCell ref="G936:J936"/>
    <mergeCell ref="E2048:F2048"/>
    <mergeCell ref="G1541:J1541"/>
    <mergeCell ref="G1693:J1693"/>
    <mergeCell ref="G1261:J1261"/>
    <mergeCell ref="G1236:J1236"/>
    <mergeCell ref="E1806:F1806"/>
    <mergeCell ref="G2024:J2024"/>
    <mergeCell ref="G1561:J1561"/>
    <mergeCell ref="G2324:J2324"/>
    <mergeCell ref="E2222:F2222"/>
    <mergeCell ref="G2019:J2019"/>
    <mergeCell ref="E2433:F2433"/>
    <mergeCell ref="E279:F279"/>
    <mergeCell ref="E437:F437"/>
    <mergeCell ref="G1289:J1289"/>
    <mergeCell ref="G1921:J1921"/>
    <mergeCell ref="G224:J224"/>
    <mergeCell ref="E1792:F1792"/>
    <mergeCell ref="G2052:J2052"/>
    <mergeCell ref="G1589:J1589"/>
    <mergeCell ref="G2221:J2221"/>
    <mergeCell ref="E2117:F2117"/>
    <mergeCell ref="E32:F32"/>
    <mergeCell ref="E7:F7"/>
    <mergeCell ref="G2352:J2352"/>
    <mergeCell ref="G2335:J2335"/>
    <mergeCell ref="E332:F332"/>
    <mergeCell ref="E307:F307"/>
    <mergeCell ref="E1095:F1095"/>
    <mergeCell ref="E632:F632"/>
    <mergeCell ref="E790:F790"/>
    <mergeCell ref="G277:J277"/>
    <mergeCell ref="G2063:J2063"/>
    <mergeCell ref="E2477:F2477"/>
    <mergeCell ref="G577:J577"/>
    <mergeCell ref="E2145:F2145"/>
    <mergeCell ref="E60:F60"/>
    <mergeCell ref="G120:J120"/>
    <mergeCell ref="G2363:J2363"/>
    <mergeCell ref="G278:J278"/>
    <mergeCell ref="E806:F806"/>
    <mergeCell ref="E360:F360"/>
    <mergeCell ref="E2472:F2472"/>
    <mergeCell ref="G578:J578"/>
    <mergeCell ref="E1411:F1411"/>
    <mergeCell ref="E1106:F1106"/>
    <mergeCell ref="G419:J419"/>
    <mergeCell ref="E376:F376"/>
    <mergeCell ref="G200:J200"/>
    <mergeCell ref="E71:F71"/>
    <mergeCell ref="G2416:J2416"/>
    <mergeCell ref="G719:J719"/>
    <mergeCell ref="E834:F834"/>
    <mergeCell ref="E371:F371"/>
    <mergeCell ref="G589:J589"/>
    <mergeCell ref="G2417:J2417"/>
    <mergeCell ref="E1159:F1159"/>
    <mergeCell ref="E1134:F1134"/>
    <mergeCell ref="G347:J347"/>
    <mergeCell ref="E1922:F1922"/>
    <mergeCell ref="E1459:F1459"/>
    <mergeCell ref="G647:J647"/>
    <mergeCell ref="G622:J622"/>
    <mergeCell ref="G184:J184"/>
    <mergeCell ref="E1759:F1759"/>
    <mergeCell ref="G342:J342"/>
    <mergeCell ref="G1404:J1404"/>
    <mergeCell ref="G947:J947"/>
    <mergeCell ref="G1105:J1105"/>
    <mergeCell ref="G642:J642"/>
    <mergeCell ref="E1056:F1056"/>
    <mergeCell ref="E1187:F1187"/>
    <mergeCell ref="G1405:J1405"/>
    <mergeCell ref="E1362:F1362"/>
    <mergeCell ref="G1705:J1705"/>
    <mergeCell ref="G975:J975"/>
    <mergeCell ref="E1503:F1503"/>
    <mergeCell ref="G1306:J1306"/>
    <mergeCell ref="E1661:F1661"/>
    <mergeCell ref="G1721:J1721"/>
    <mergeCell ref="G1327:J1327"/>
    <mergeCell ref="E1198:F1198"/>
    <mergeCell ref="E1961:F1961"/>
    <mergeCell ref="E1504:F1504"/>
    <mergeCell ref="E1199:F1199"/>
    <mergeCell ref="E18:F18"/>
    <mergeCell ref="E2261:F2261"/>
    <mergeCell ref="G1474:J1474"/>
    <mergeCell ref="E2173:F2173"/>
    <mergeCell ref="G1774:J1774"/>
    <mergeCell ref="G1355:J1355"/>
    <mergeCell ref="G1469:J1469"/>
    <mergeCell ref="E1856:F1856"/>
    <mergeCell ref="G2074:J2074"/>
    <mergeCell ref="E1557:F1557"/>
    <mergeCell ref="G1655:J1655"/>
    <mergeCell ref="G1775:J1775"/>
    <mergeCell ref="E77:F77"/>
    <mergeCell ref="G1769:J1769"/>
    <mergeCell ref="E492:F492"/>
    <mergeCell ref="E2183:F2183"/>
    <mergeCell ref="G1986:J1986"/>
    <mergeCell ref="G289:J289"/>
    <mergeCell ref="E1884:F1884"/>
    <mergeCell ref="E72:F72"/>
    <mergeCell ref="E2315:F2315"/>
    <mergeCell ref="G1802:J1802"/>
    <mergeCell ref="G1040:J1040"/>
    <mergeCell ref="E545:F545"/>
    <mergeCell ref="E126:F126"/>
    <mergeCell ref="E88:F88"/>
    <mergeCell ref="G2433:J2433"/>
    <mergeCell ref="E82:F82"/>
    <mergeCell ref="E2325:F2325"/>
    <mergeCell ref="E240:F240"/>
    <mergeCell ref="G2128:J2128"/>
    <mergeCell ref="E2026:F2026"/>
    <mergeCell ref="E845:F845"/>
    <mergeCell ref="E546:F546"/>
    <mergeCell ref="E540:F540"/>
    <mergeCell ref="G2428:J2428"/>
    <mergeCell ref="G28:J28"/>
    <mergeCell ref="G239:J239"/>
    <mergeCell ref="G791:J791"/>
    <mergeCell ref="E2384:F2384"/>
    <mergeCell ref="E111:F111"/>
    <mergeCell ref="E1204:F1204"/>
    <mergeCell ref="E768:F768"/>
    <mergeCell ref="G2172:J2172"/>
    <mergeCell ref="G81:J81"/>
    <mergeCell ref="G1867:J1867"/>
    <mergeCell ref="G686:J686"/>
    <mergeCell ref="E584:F584"/>
    <mergeCell ref="G2472:J2472"/>
    <mergeCell ref="G387:J387"/>
    <mergeCell ref="G381:J381"/>
    <mergeCell ref="G2167:J2167"/>
    <mergeCell ref="E915:F915"/>
    <mergeCell ref="E1215:F1215"/>
    <mergeCell ref="E796:F796"/>
    <mergeCell ref="E910:F910"/>
    <mergeCell ref="G397:J397"/>
    <mergeCell ref="G555:J555"/>
    <mergeCell ref="E1096:F1096"/>
    <mergeCell ref="G855:J855"/>
    <mergeCell ref="G1066:J1066"/>
    <mergeCell ref="G609:J609"/>
    <mergeCell ref="G1155:J1155"/>
    <mergeCell ref="E638:F638"/>
    <mergeCell ref="G1372:J1372"/>
    <mergeCell ref="E1243:F1243"/>
    <mergeCell ref="G1067:J1067"/>
    <mergeCell ref="E938:F938"/>
    <mergeCell ref="E1595:F1595"/>
    <mergeCell ref="G756:J756"/>
    <mergeCell ref="E1238:F1238"/>
    <mergeCell ref="E2331:F2331"/>
    <mergeCell ref="G451:J451"/>
    <mergeCell ref="G1056:J1056"/>
    <mergeCell ref="G1208:J1208"/>
    <mergeCell ref="G751:J751"/>
    <mergeCell ref="G1514:J1514"/>
    <mergeCell ref="E1928:F1928"/>
    <mergeCell ref="G1051:J1051"/>
    <mergeCell ref="G1209:J1209"/>
    <mergeCell ref="E1623:F1623"/>
    <mergeCell ref="E2228:F2228"/>
    <mergeCell ref="E143:F143"/>
    <mergeCell ref="E2386:F2386"/>
    <mergeCell ref="E1923:F1923"/>
    <mergeCell ref="E2223:F2223"/>
    <mergeCell ref="E1307:F1307"/>
    <mergeCell ref="E1981:F1981"/>
    <mergeCell ref="E1465:F1465"/>
    <mergeCell ref="G2199:J2199"/>
    <mergeCell ref="E2070:F2070"/>
    <mergeCell ref="E1765:F1765"/>
    <mergeCell ref="E2281:F2281"/>
    <mergeCell ref="E2370:F2370"/>
    <mergeCell ref="E285:F285"/>
    <mergeCell ref="E1976:F1976"/>
    <mergeCell ref="G2194:J2194"/>
    <mergeCell ref="E2065:F2065"/>
    <mergeCell ref="G1883:J1883"/>
    <mergeCell ref="G1578:J1578"/>
    <mergeCell ref="E295:F295"/>
    <mergeCell ref="G2183:J2183"/>
    <mergeCell ref="G98:J98"/>
    <mergeCell ref="G2341:J2341"/>
    <mergeCell ref="G1922:J1922"/>
    <mergeCell ref="G1878:J1878"/>
    <mergeCell ref="E2292:F2292"/>
    <mergeCell ref="E207:F207"/>
    <mergeCell ref="E2450:F2450"/>
    <mergeCell ref="E296:F296"/>
    <mergeCell ref="E970:F970"/>
    <mergeCell ref="G2178:J2178"/>
    <mergeCell ref="G93:J93"/>
    <mergeCell ref="E507:F507"/>
    <mergeCell ref="G2336:J2336"/>
    <mergeCell ref="E2293:F2293"/>
    <mergeCell ref="G1938:J1938"/>
    <mergeCell ref="E807:F807"/>
    <mergeCell ref="G2238:J2238"/>
    <mergeCell ref="G109:J109"/>
    <mergeCell ref="G295:J295"/>
    <mergeCell ref="G453:J453"/>
    <mergeCell ref="E349:F349"/>
    <mergeCell ref="E2434:F2434"/>
    <mergeCell ref="G409:J409"/>
    <mergeCell ref="E954:F954"/>
    <mergeCell ref="E518:F518"/>
    <mergeCell ref="E2346:F2346"/>
    <mergeCell ref="E649:F649"/>
    <mergeCell ref="E2435:F2435"/>
    <mergeCell ref="E949:F949"/>
    <mergeCell ref="G2291:J2291"/>
    <mergeCell ref="G594:J594"/>
    <mergeCell ref="G137:J137"/>
    <mergeCell ref="E246:F246"/>
    <mergeCell ref="E377:F377"/>
    <mergeCell ref="E1009:F1009"/>
    <mergeCell ref="E247:F247"/>
    <mergeCell ref="E1334:F1334"/>
    <mergeCell ref="E1309:F1309"/>
    <mergeCell ref="G522:J522"/>
    <mergeCell ref="E1634:F1634"/>
    <mergeCell ref="G822:J822"/>
    <mergeCell ref="G359:J359"/>
    <mergeCell ref="G911:J911"/>
    <mergeCell ref="G517:J517"/>
    <mergeCell ref="E388:F388"/>
    <mergeCell ref="E1062:F1062"/>
    <mergeCell ref="G1122:J1122"/>
    <mergeCell ref="G817:J817"/>
    <mergeCell ref="E1345:F1345"/>
    <mergeCell ref="E2081:F2081"/>
    <mergeCell ref="G201:J201"/>
    <mergeCell ref="E1363:F1363"/>
    <mergeCell ref="G964:J964"/>
    <mergeCell ref="G659:J659"/>
    <mergeCell ref="G1264:J1264"/>
    <mergeCell ref="G959:J959"/>
    <mergeCell ref="E1373:F1373"/>
    <mergeCell ref="G1176:J1176"/>
    <mergeCell ref="E1374:F1374"/>
    <mergeCell ref="E2461:F2461"/>
    <mergeCell ref="G1649:J1649"/>
    <mergeCell ref="E2462:F2462"/>
    <mergeCell ref="G1949:J1949"/>
    <mergeCell ref="G1644:J1644"/>
    <mergeCell ref="E1515:F1515"/>
    <mergeCell ref="E2189:F2189"/>
    <mergeCell ref="G164:J164"/>
    <mergeCell ref="E1732:F1732"/>
    <mergeCell ref="E35:F35"/>
    <mergeCell ref="E1846:F1846"/>
    <mergeCell ref="G1944:J1944"/>
    <mergeCell ref="E1427:F1427"/>
    <mergeCell ref="E2032:F2032"/>
    <mergeCell ref="E2146:F2146"/>
    <mergeCell ref="E30:F30"/>
    <mergeCell ref="G1328:J1328"/>
    <mergeCell ref="G1977:J1977"/>
    <mergeCell ref="G2091:J2091"/>
    <mergeCell ref="G6:J6"/>
    <mergeCell ref="G1672:J1672"/>
    <mergeCell ref="G1972:J1972"/>
    <mergeCell ref="E720:F720"/>
    <mergeCell ref="E263:F263"/>
    <mergeCell ref="E415:F415"/>
    <mergeCell ref="G2303:J2303"/>
    <mergeCell ref="E2201:F2201"/>
    <mergeCell ref="E1020:F1020"/>
    <mergeCell ref="E715:F715"/>
    <mergeCell ref="E932:F932"/>
    <mergeCell ref="E105:F105"/>
    <mergeCell ref="E99:F99"/>
    <mergeCell ref="G2444:J2444"/>
    <mergeCell ref="E405:F405"/>
    <mergeCell ref="E2096:F2096"/>
    <mergeCell ref="E100:F100"/>
    <mergeCell ref="E400:F400"/>
    <mergeCell ref="E1074:F1074"/>
    <mergeCell ref="G1742:J1742"/>
    <mergeCell ref="G2347:J2347"/>
    <mergeCell ref="G256:J256"/>
    <mergeCell ref="E127:F127"/>
    <mergeCell ref="G2042:J2042"/>
    <mergeCell ref="E433:F433"/>
    <mergeCell ref="G676:J676"/>
    <mergeCell ref="G2342:J2342"/>
    <mergeCell ref="G257:J257"/>
    <mergeCell ref="E1090:F1090"/>
    <mergeCell ref="E1084:F1084"/>
    <mergeCell ref="E785:F785"/>
    <mergeCell ref="G272:J272"/>
    <mergeCell ref="E1847:F1847"/>
    <mergeCell ref="E1390:F1390"/>
    <mergeCell ref="E1085:F1085"/>
    <mergeCell ref="E1216:F1216"/>
    <mergeCell ref="G398:J398"/>
    <mergeCell ref="E1543:F1543"/>
    <mergeCell ref="G704:J704"/>
    <mergeCell ref="E50:F50"/>
    <mergeCell ref="G2395:J2395"/>
    <mergeCell ref="E1232:F1232"/>
    <mergeCell ref="E813:F813"/>
    <mergeCell ref="E769:F769"/>
    <mergeCell ref="E1418:F1418"/>
    <mergeCell ref="E1532:F1532"/>
    <mergeCell ref="E1138:F1138"/>
    <mergeCell ref="E1113:F1113"/>
    <mergeCell ref="E1413:F1413"/>
    <mergeCell ref="G626:J626"/>
    <mergeCell ref="G1231:J1231"/>
    <mergeCell ref="G1389:J1389"/>
    <mergeCell ref="G1383:J1383"/>
    <mergeCell ref="G926:J926"/>
    <mergeCell ref="E1917:F1917"/>
    <mergeCell ref="E1560:F1560"/>
    <mergeCell ref="E1166:F1166"/>
    <mergeCell ref="G1226:J1226"/>
    <mergeCell ref="E1124:F1124"/>
    <mergeCell ref="E2217:F2217"/>
    <mergeCell ref="G1384:J1384"/>
    <mergeCell ref="E1912:F1912"/>
    <mergeCell ref="G1399:J1399"/>
    <mergeCell ref="E2212:F2212"/>
    <mergeCell ref="E1182:F1182"/>
    <mergeCell ref="G979:J979"/>
    <mergeCell ref="G1531:J1531"/>
    <mergeCell ref="G1525:J1525"/>
    <mergeCell ref="E1482:F1482"/>
    <mergeCell ref="E1640:F1640"/>
    <mergeCell ref="G1700:J1700"/>
    <mergeCell ref="G1279:J1279"/>
    <mergeCell ref="E2:F2"/>
    <mergeCell ref="G1831:J1831"/>
    <mergeCell ref="E1177:F1177"/>
    <mergeCell ref="E1940:F1940"/>
    <mergeCell ref="E1483:F1483"/>
    <mergeCell ref="E2265:F2265"/>
    <mergeCell ref="E2240:F2240"/>
    <mergeCell ref="G1453:J1453"/>
    <mergeCell ref="G1753:J1753"/>
    <mergeCell ref="E2167:F2167"/>
    <mergeCell ref="E171:F171"/>
    <mergeCell ref="E1835:F1835"/>
    <mergeCell ref="G2053:J2053"/>
    <mergeCell ref="E2467:F2467"/>
    <mergeCell ref="G2211:J2211"/>
    <mergeCell ref="E2168:F2168"/>
    <mergeCell ref="E471:F471"/>
    <mergeCell ref="G268:J268"/>
    <mergeCell ref="E1836:F1836"/>
    <mergeCell ref="E166:F166"/>
    <mergeCell ref="E2468:F2468"/>
    <mergeCell ref="G1595:J1595"/>
    <mergeCell ref="G2200:J2200"/>
    <mergeCell ref="G1895:J1895"/>
    <mergeCell ref="E2309:F2309"/>
    <mergeCell ref="G284:J284"/>
    <mergeCell ref="G415:J415"/>
    <mergeCell ref="G2106:J2106"/>
    <mergeCell ref="G2081:J2081"/>
    <mergeCell ref="G2195:J2195"/>
    <mergeCell ref="G110:J110"/>
    <mergeCell ref="E524:F524"/>
    <mergeCell ref="E67:F67"/>
    <mergeCell ref="G742:J742"/>
    <mergeCell ref="E2310:F2310"/>
    <mergeCell ref="E1129:F1129"/>
    <mergeCell ref="E219:F219"/>
    <mergeCell ref="G410:J410"/>
    <mergeCell ref="E824:F824"/>
    <mergeCell ref="G12:J12"/>
    <mergeCell ref="G1792:J1792"/>
    <mergeCell ref="E252:F252"/>
    <mergeCell ref="G312:J312"/>
    <mergeCell ref="G470:J470"/>
    <mergeCell ref="E366:F366"/>
    <mergeCell ref="E2451:F2451"/>
    <mergeCell ref="E840:F840"/>
    <mergeCell ref="G7:J7"/>
    <mergeCell ref="E998:F998"/>
    <mergeCell ref="E552:F552"/>
    <mergeCell ref="E535:F535"/>
    <mergeCell ref="E666:F666"/>
    <mergeCell ref="E1298:F1298"/>
    <mergeCell ref="E2446:F2446"/>
    <mergeCell ref="G1095:J1095"/>
    <mergeCell ref="E966:F966"/>
    <mergeCell ref="G65:J65"/>
    <mergeCell ref="E1598:F1598"/>
    <mergeCell ref="G154:J154"/>
    <mergeCell ref="G365:J365"/>
    <mergeCell ref="G454:J454"/>
    <mergeCell ref="G60:J60"/>
    <mergeCell ref="G665:J665"/>
    <mergeCell ref="E563:F563"/>
    <mergeCell ref="E1351:F1351"/>
    <mergeCell ref="E894:F894"/>
    <mergeCell ref="E1651:F1651"/>
    <mergeCell ref="E1194:F1194"/>
    <mergeCell ref="E1346:F1346"/>
    <mergeCell ref="G376:J376"/>
    <mergeCell ref="E1951:F1951"/>
    <mergeCell ref="G534:J534"/>
    <mergeCell ref="G1139:J1139"/>
    <mergeCell ref="G834:J834"/>
    <mergeCell ref="E1379:F1379"/>
    <mergeCell ref="G1439:J1439"/>
    <mergeCell ref="G1045:J1045"/>
    <mergeCell ref="G1597:J1597"/>
    <mergeCell ref="G1134:J1134"/>
    <mergeCell ref="G1897:J1897"/>
    <mergeCell ref="G1465:J1465"/>
    <mergeCell ref="E182:F182"/>
    <mergeCell ref="G518:J518"/>
    <mergeCell ref="G1192:J1192"/>
    <mergeCell ref="G1281:J1281"/>
    <mergeCell ref="G1492:J1492"/>
    <mergeCell ref="G1187:J1187"/>
    <mergeCell ref="E1696:F1696"/>
    <mergeCell ref="G1493:J1493"/>
    <mergeCell ref="E210:F210"/>
    <mergeCell ref="E1901:F1901"/>
    <mergeCell ref="E2021:F2021"/>
    <mergeCell ref="E2321:F2321"/>
    <mergeCell ref="G1503:J1503"/>
    <mergeCell ref="G1661:J1661"/>
    <mergeCell ref="G2266:J2266"/>
    <mergeCell ref="G181:J181"/>
    <mergeCell ref="E1749:F1749"/>
    <mergeCell ref="E1286:F1286"/>
    <mergeCell ref="G1967:J1967"/>
    <mergeCell ref="G1961:J1961"/>
    <mergeCell ref="G1504:J1504"/>
    <mergeCell ref="G481:J481"/>
    <mergeCell ref="E2049:F2049"/>
    <mergeCell ref="G18:J18"/>
    <mergeCell ref="E1586:F1586"/>
    <mergeCell ref="G2261:J2261"/>
    <mergeCell ref="E1744:F1744"/>
    <mergeCell ref="E2349:F2349"/>
    <mergeCell ref="E264:F264"/>
    <mergeCell ref="G1562:J1562"/>
    <mergeCell ref="G2319:J2319"/>
    <mergeCell ref="G1862:J1862"/>
    <mergeCell ref="G165:J165"/>
    <mergeCell ref="G1557:J1557"/>
    <mergeCell ref="E280:F280"/>
    <mergeCell ref="E274:F274"/>
    <mergeCell ref="G1646:J1646"/>
    <mergeCell ref="G2162:J2162"/>
    <mergeCell ref="E432:F432"/>
    <mergeCell ref="G77:J77"/>
    <mergeCell ref="G2320:J2320"/>
    <mergeCell ref="E186:F186"/>
    <mergeCell ref="E2429:F2429"/>
    <mergeCell ref="E732:F732"/>
    <mergeCell ref="E275:F275"/>
    <mergeCell ref="G220:J220"/>
    <mergeCell ref="E2418:F2418"/>
    <mergeCell ref="G545:J545"/>
    <mergeCell ref="G88:J88"/>
    <mergeCell ref="E633:F633"/>
    <mergeCell ref="G845:J845"/>
    <mergeCell ref="E2413:F2413"/>
    <mergeCell ref="E328:F328"/>
    <mergeCell ref="G546:J546"/>
    <mergeCell ref="E933:F933"/>
    <mergeCell ref="E628:F628"/>
    <mergeCell ref="G115:J115"/>
    <mergeCell ref="G579:J579"/>
    <mergeCell ref="G573:J573"/>
    <mergeCell ref="G116:J116"/>
    <mergeCell ref="G2384:J2384"/>
    <mergeCell ref="G416:J416"/>
    <mergeCell ref="E1407:F1407"/>
    <mergeCell ref="E944:F944"/>
    <mergeCell ref="G1204:J1204"/>
    <mergeCell ref="E1102:F1102"/>
    <mergeCell ref="E1313:F1313"/>
    <mergeCell ref="E1865:F1865"/>
    <mergeCell ref="E1402:F1402"/>
    <mergeCell ref="E372:F372"/>
    <mergeCell ref="G1047:J1047"/>
    <mergeCell ref="G584:J584"/>
    <mergeCell ref="G2412:J2412"/>
    <mergeCell ref="E672:F672"/>
    <mergeCell ref="G932:J932"/>
    <mergeCell ref="G1347:J1347"/>
    <mergeCell ref="G915:J915"/>
    <mergeCell ref="G890:J890"/>
    <mergeCell ref="E367:F367"/>
    <mergeCell ref="E1460:F1460"/>
    <mergeCell ref="G1215:J1215"/>
    <mergeCell ref="E1760:F1760"/>
    <mergeCell ref="E1455:F1455"/>
    <mergeCell ref="G485:J485"/>
    <mergeCell ref="E2060:F2060"/>
    <mergeCell ref="G643:J643"/>
    <mergeCell ref="G180:J180"/>
    <mergeCell ref="E1755:F1755"/>
    <mergeCell ref="G943:J943"/>
    <mergeCell ref="G1548:J1548"/>
    <mergeCell ref="G1706:J1706"/>
    <mergeCell ref="E1183:F1183"/>
    <mergeCell ref="G1243:J1243"/>
    <mergeCell ref="E1788:F1788"/>
    <mergeCell ref="E1771:F1771"/>
    <mergeCell ref="G2031:J2031"/>
    <mergeCell ref="E1352:F1352"/>
    <mergeCell ref="E2140:F2140"/>
    <mergeCell ref="G2331:J2331"/>
    <mergeCell ref="E2440:F2440"/>
    <mergeCell ref="E286:F286"/>
    <mergeCell ref="G1628:J1628"/>
    <mergeCell ref="E1499:F1499"/>
    <mergeCell ref="G1717:J1717"/>
    <mergeCell ref="G1928:J1928"/>
    <mergeCell ref="E1799:F1799"/>
    <mergeCell ref="G2017:J2017"/>
    <mergeCell ref="E1494:F1494"/>
    <mergeCell ref="G2228:J2228"/>
    <mergeCell ref="G143:J143"/>
    <mergeCell ref="E14:F14"/>
    <mergeCell ref="E2282:F2282"/>
    <mergeCell ref="E1825:F1825"/>
    <mergeCell ref="E314:F314"/>
    <mergeCell ref="G1612:J1612"/>
    <mergeCell ref="G1770:J1770"/>
    <mergeCell ref="G1307:J1307"/>
    <mergeCell ref="G2070:J2070"/>
    <mergeCell ref="E399:F399"/>
    <mergeCell ref="E488:F488"/>
    <mergeCell ref="G127:J127"/>
    <mergeCell ref="E25:F25"/>
    <mergeCell ref="G2370:J2370"/>
    <mergeCell ref="G285:J285"/>
    <mergeCell ref="E699:F699"/>
    <mergeCell ref="E788:F788"/>
    <mergeCell ref="E394:F394"/>
    <mergeCell ref="E999:F999"/>
    <mergeCell ref="G1335:J1335"/>
    <mergeCell ref="E83:F83"/>
    <mergeCell ref="G301:J301"/>
    <mergeCell ref="E383:F383"/>
    <mergeCell ref="E541:F541"/>
    <mergeCell ref="G601:J601"/>
    <mergeCell ref="E84:F84"/>
    <mergeCell ref="G2429:J2429"/>
    <mergeCell ref="E78:F78"/>
    <mergeCell ref="G2423:J2423"/>
    <mergeCell ref="G296:J296"/>
    <mergeCell ref="E841:F841"/>
    <mergeCell ref="E384:F384"/>
    <mergeCell ref="E378:F378"/>
    <mergeCell ref="E536:F536"/>
    <mergeCell ref="E1141:F1141"/>
    <mergeCell ref="G2439:J2439"/>
    <mergeCell ref="G354:J354"/>
    <mergeCell ref="G329:J329"/>
    <mergeCell ref="G654:J654"/>
    <mergeCell ref="G629:J629"/>
    <mergeCell ref="E106:F106"/>
    <mergeCell ref="G349:J349"/>
    <mergeCell ref="G954:J954"/>
    <mergeCell ref="E852:F852"/>
    <mergeCell ref="G1112:J1112"/>
    <mergeCell ref="E1069:F1069"/>
    <mergeCell ref="E1063:F1063"/>
    <mergeCell ref="G251:J251"/>
    <mergeCell ref="G2467:J2467"/>
    <mergeCell ref="G382:J382"/>
    <mergeCell ref="G2168:J2168"/>
    <mergeCell ref="G551:J551"/>
    <mergeCell ref="E1195:F1195"/>
    <mergeCell ref="G682:J682"/>
    <mergeCell ref="G2468:J2468"/>
    <mergeCell ref="E1210:F1210"/>
    <mergeCell ref="G377:J377"/>
    <mergeCell ref="E1053:F1053"/>
    <mergeCell ref="E1668:F1668"/>
    <mergeCell ref="E1211:F1211"/>
    <mergeCell ref="E1205:F1205"/>
    <mergeCell ref="E906:F906"/>
    <mergeCell ref="E1968:F1968"/>
    <mergeCell ref="E1511:F1511"/>
    <mergeCell ref="E2185:F2185"/>
    <mergeCell ref="G693:J693"/>
    <mergeCell ref="G1367:J1367"/>
    <mergeCell ref="G1481:J1481"/>
    <mergeCell ref="G1456:J1456"/>
    <mergeCell ref="E939:F939"/>
    <mergeCell ref="G1667:J1667"/>
    <mergeCell ref="G1781:J1781"/>
    <mergeCell ref="E1239:F1239"/>
    <mergeCell ref="E1233:F1233"/>
    <mergeCell ref="E1896:F1896"/>
    <mergeCell ref="E2196:F2196"/>
    <mergeCell ref="G752:J752"/>
    <mergeCell ref="E2190:F2190"/>
    <mergeCell ref="E2327:F2327"/>
    <mergeCell ref="G1378:J1378"/>
    <mergeCell ref="G1509:J1509"/>
    <mergeCell ref="G747:J747"/>
    <mergeCell ref="G1809:J1809"/>
    <mergeCell ref="G1510:J1510"/>
    <mergeCell ref="E2337:F2337"/>
    <mergeCell ref="E1924:F1924"/>
    <mergeCell ref="E2038:F2038"/>
    <mergeCell ref="G1679:J1679"/>
    <mergeCell ref="E1575:F1575"/>
    <mergeCell ref="E2224:F2224"/>
    <mergeCell ref="E2338:F2338"/>
    <mergeCell ref="E1919:F1919"/>
    <mergeCell ref="G1737:J1737"/>
    <mergeCell ref="G2037:J2037"/>
    <mergeCell ref="G340:J340"/>
    <mergeCell ref="E2066:F2066"/>
    <mergeCell ref="G1732:J1732"/>
    <mergeCell ref="G35:J35"/>
    <mergeCell ref="E455:F455"/>
    <mergeCell ref="E449:F449"/>
    <mergeCell ref="G1821:J1821"/>
    <mergeCell ref="G252:J252"/>
    <mergeCell ref="G2337:J2337"/>
    <mergeCell ref="E123:F123"/>
    <mergeCell ref="E150:F150"/>
    <mergeCell ref="E2366:F2366"/>
    <mergeCell ref="E450:F450"/>
    <mergeCell ref="E118:F118"/>
    <mergeCell ref="G1879:J1879"/>
    <mergeCell ref="G2179:J2179"/>
    <mergeCell ref="E508:F508"/>
    <mergeCell ref="G1874:J1874"/>
    <mergeCell ref="E2288:F2288"/>
    <mergeCell ref="G263:J263"/>
    <mergeCell ref="E134:F134"/>
    <mergeCell ref="G394:J394"/>
    <mergeCell ref="E808:F808"/>
    <mergeCell ref="E292:F292"/>
    <mergeCell ref="E503:F503"/>
    <mergeCell ref="E1108:F1108"/>
    <mergeCell ref="E1266:F1266"/>
    <mergeCell ref="E803:F803"/>
    <mergeCell ref="G448:J448"/>
    <mergeCell ref="G404:J404"/>
    <mergeCell ref="G105:J105"/>
    <mergeCell ref="G868:J868"/>
    <mergeCell ref="E2430:F2430"/>
    <mergeCell ref="G405:J405"/>
    <mergeCell ref="E819:F819"/>
    <mergeCell ref="E950:F950"/>
    <mergeCell ref="E645:F645"/>
    <mergeCell ref="G1379:J1379"/>
    <mergeCell ref="E1250:F1250"/>
    <mergeCell ref="E1408:F1408"/>
    <mergeCell ref="E945:F945"/>
    <mergeCell ref="G133:J133"/>
    <mergeCell ref="G433:J433"/>
    <mergeCell ref="E1304:F1304"/>
    <mergeCell ref="G1090:J1090"/>
    <mergeCell ref="E961:F961"/>
    <mergeCell ref="G1221:J1221"/>
    <mergeCell ref="E1635:F1635"/>
    <mergeCell ref="E656:F656"/>
    <mergeCell ref="E1330:F1330"/>
    <mergeCell ref="G1390:J1390"/>
    <mergeCell ref="G1521:J1521"/>
    <mergeCell ref="E1935:F1935"/>
    <mergeCell ref="G1216:J1216"/>
    <mergeCell ref="E1630:F1630"/>
    <mergeCell ref="E2235:F2235"/>
    <mergeCell ref="G818:J818"/>
    <mergeCell ref="E689:F689"/>
    <mergeCell ref="E1930:F1930"/>
    <mergeCell ref="G1537:J1537"/>
    <mergeCell ref="G1118:J1118"/>
    <mergeCell ref="E989:F989"/>
    <mergeCell ref="E1646:F1646"/>
    <mergeCell ref="G1881:J1881"/>
    <mergeCell ref="G1418:J1418"/>
    <mergeCell ref="E1472:F1472"/>
    <mergeCell ref="E1946:F1946"/>
    <mergeCell ref="E2077:F2077"/>
    <mergeCell ref="E1772:F1772"/>
    <mergeCell ref="G802:J802"/>
    <mergeCell ref="E161:F161"/>
    <mergeCell ref="E2377:F2377"/>
    <mergeCell ref="G960:J960"/>
    <mergeCell ref="G497:J497"/>
    <mergeCell ref="E2072:F2072"/>
    <mergeCell ref="G1285:J1285"/>
    <mergeCell ref="G1260:J1260"/>
    <mergeCell ref="E1674:F1674"/>
    <mergeCell ref="G1917:J1917"/>
    <mergeCell ref="G1471:J1471"/>
    <mergeCell ref="E1369:F1369"/>
    <mergeCell ref="G1585:J1585"/>
    <mergeCell ref="G1560:J1560"/>
    <mergeCell ref="G2217:J2217"/>
    <mergeCell ref="E1669:F1669"/>
    <mergeCell ref="G1885:J1885"/>
    <mergeCell ref="E189:F189"/>
    <mergeCell ref="E2457:F2457"/>
    <mergeCell ref="G432:J432"/>
    <mergeCell ref="E2000:F2000"/>
    <mergeCell ref="G1487:J1487"/>
    <mergeCell ref="G1645:J1645"/>
    <mergeCell ref="G1945:J1945"/>
    <mergeCell ref="E1816:F1816"/>
    <mergeCell ref="G1482:J1482"/>
    <mergeCell ref="E205:F205"/>
    <mergeCell ref="G1640:J1640"/>
    <mergeCell ref="G2:J2"/>
    <mergeCell ref="G2245:J2245"/>
    <mergeCell ref="E31:F31"/>
    <mergeCell ref="E2441:F2441"/>
    <mergeCell ref="E356:F356"/>
    <mergeCell ref="E331:F331"/>
    <mergeCell ref="E988:F988"/>
    <mergeCell ref="G1629:J1629"/>
    <mergeCell ref="G1787:J1787"/>
    <mergeCell ref="E1288:F1288"/>
    <mergeCell ref="E258:F258"/>
    <mergeCell ref="G2087:J2087"/>
    <mergeCell ref="G1624:J1624"/>
    <mergeCell ref="G2298:J2298"/>
    <mergeCell ref="G144:J144"/>
    <mergeCell ref="E558:F558"/>
    <mergeCell ref="G2387:J2387"/>
    <mergeCell ref="G302:J302"/>
    <mergeCell ref="E42:F42"/>
    <mergeCell ref="E716:F716"/>
    <mergeCell ref="E259:F259"/>
    <mergeCell ref="E253:F253"/>
    <mergeCell ref="E411:F411"/>
    <mergeCell ref="E1016:F1016"/>
    <mergeCell ref="E711:F711"/>
    <mergeCell ref="G504:J504"/>
    <mergeCell ref="G172:J172"/>
    <mergeCell ref="G829:J829"/>
    <mergeCell ref="E858:F858"/>
    <mergeCell ref="E401:F401"/>
    <mergeCell ref="G524:J524"/>
    <mergeCell ref="E395:F395"/>
    <mergeCell ref="G1129:J1129"/>
    <mergeCell ref="G1287:J1287"/>
    <mergeCell ref="E1158:F1158"/>
    <mergeCell ref="E1375:F1375"/>
    <mergeCell ref="E912:F912"/>
    <mergeCell ref="G671:J671"/>
    <mergeCell ref="G208:J208"/>
    <mergeCell ref="G840:J840"/>
    <mergeCell ref="G971:J971"/>
    <mergeCell ref="E1385:F1385"/>
    <mergeCell ref="G552:J552"/>
    <mergeCell ref="E1086:F1086"/>
    <mergeCell ref="G1271:J1271"/>
    <mergeCell ref="E1843:F1843"/>
    <mergeCell ref="E1386:F1386"/>
    <mergeCell ref="E1380:F1380"/>
    <mergeCell ref="E1538:F1538"/>
    <mergeCell ref="G1183:J1183"/>
    <mergeCell ref="E1081:F1081"/>
    <mergeCell ref="G568:J568"/>
    <mergeCell ref="E2143:F2143"/>
    <mergeCell ref="E1844:F1844"/>
    <mergeCell ref="G999:J999"/>
    <mergeCell ref="E1228:F1228"/>
    <mergeCell ref="G869:J869"/>
    <mergeCell ref="E1528:F1528"/>
    <mergeCell ref="G1651:J1651"/>
    <mergeCell ref="E1739:F1739"/>
    <mergeCell ref="G710:J710"/>
    <mergeCell ref="E2039:F2039"/>
    <mergeCell ref="G1684:J1684"/>
    <mergeCell ref="G1341:J1341"/>
    <mergeCell ref="G922:J922"/>
    <mergeCell ref="G1036:J1036"/>
    <mergeCell ref="G1685:J1685"/>
    <mergeCell ref="G1641:J1641"/>
    <mergeCell ref="E427:F427"/>
    <mergeCell ref="E2213:F2213"/>
    <mergeCell ref="E1750:F1750"/>
    <mergeCell ref="E2208:F2208"/>
    <mergeCell ref="G1695:J1695"/>
    <mergeCell ref="E1478:F1478"/>
    <mergeCell ref="G1696:J1696"/>
    <mergeCell ref="E2241:F2241"/>
    <mergeCell ref="E2197:F2197"/>
    <mergeCell ref="E112:F112"/>
    <mergeCell ref="G210:J210"/>
    <mergeCell ref="E1778:F1778"/>
    <mergeCell ref="G1996:J1996"/>
    <mergeCell ref="E1892:F1892"/>
    <mergeCell ref="E456:F456"/>
    <mergeCell ref="E2109:F2109"/>
    <mergeCell ref="E412:F412"/>
    <mergeCell ref="G1291:J1291"/>
    <mergeCell ref="G1837:J1837"/>
    <mergeCell ref="E293:F293"/>
    <mergeCell ref="G2054:J2054"/>
    <mergeCell ref="G1591:J1591"/>
    <mergeCell ref="G1749:J1749"/>
    <mergeCell ref="G52:J52"/>
    <mergeCell ref="E466:F466"/>
    <mergeCell ref="E2294:F2294"/>
    <mergeCell ref="E9:F9"/>
    <mergeCell ref="G2354:J2354"/>
    <mergeCell ref="E167:F167"/>
    <mergeCell ref="G2049:J2049"/>
    <mergeCell ref="E467:F467"/>
    <mergeCell ref="E461:F461"/>
    <mergeCell ref="G264:J264"/>
    <mergeCell ref="E792:F792"/>
    <mergeCell ref="E767:F767"/>
    <mergeCell ref="E978:F978"/>
    <mergeCell ref="G585:J585"/>
    <mergeCell ref="E62:F62"/>
    <mergeCell ref="G2407:J2407"/>
    <mergeCell ref="G737:J737"/>
    <mergeCell ref="E608:F608"/>
    <mergeCell ref="G280:J280"/>
    <mergeCell ref="G274:J274"/>
    <mergeCell ref="G411:J411"/>
    <mergeCell ref="E362:F362"/>
    <mergeCell ref="G1037:J1037"/>
    <mergeCell ref="G580:J580"/>
    <mergeCell ref="E1125:F1125"/>
    <mergeCell ref="G406:J406"/>
    <mergeCell ref="E820:F820"/>
    <mergeCell ref="G307:J307"/>
    <mergeCell ref="E363:F363"/>
    <mergeCell ref="G8:J8"/>
    <mergeCell ref="E1120:F1120"/>
    <mergeCell ref="G765:J765"/>
    <mergeCell ref="G2418:J2418"/>
    <mergeCell ref="G308:J308"/>
    <mergeCell ref="G422:J422"/>
    <mergeCell ref="G633:J633"/>
    <mergeCell ref="G608:J608"/>
    <mergeCell ref="E531:F531"/>
    <mergeCell ref="G722:J722"/>
    <mergeCell ref="E1593:F1593"/>
    <mergeCell ref="E1136:F1136"/>
    <mergeCell ref="G1396:J1396"/>
    <mergeCell ref="E1267:F1267"/>
    <mergeCell ref="E1294:F1294"/>
    <mergeCell ref="G933:J933"/>
    <mergeCell ref="E831:F831"/>
    <mergeCell ref="E1567:F1567"/>
    <mergeCell ref="E1594:F1594"/>
    <mergeCell ref="E1894:F1894"/>
    <mergeCell ref="E864:F864"/>
    <mergeCell ref="G1107:J1107"/>
    <mergeCell ref="G1712:J1712"/>
    <mergeCell ref="E1189:F1189"/>
    <mergeCell ref="G1407:J1407"/>
    <mergeCell ref="E1278:F1278"/>
    <mergeCell ref="G1538:J1538"/>
    <mergeCell ref="E1495:F1495"/>
    <mergeCell ref="E1489:F1489"/>
    <mergeCell ref="E1032:F1032"/>
    <mergeCell ref="E1647:F1647"/>
    <mergeCell ref="G1707:J1707"/>
    <mergeCell ref="E1190:F1190"/>
    <mergeCell ref="G677:J677"/>
    <mergeCell ref="E2252:F2252"/>
    <mergeCell ref="G835:J835"/>
    <mergeCell ref="G372:J372"/>
    <mergeCell ref="E1947:F1947"/>
    <mergeCell ref="E1490:F1490"/>
    <mergeCell ref="G1135:J1135"/>
    <mergeCell ref="G672:J672"/>
    <mergeCell ref="G1460:J1460"/>
    <mergeCell ref="G1435:J1435"/>
    <mergeCell ref="E177:F177"/>
    <mergeCell ref="E1963:F1963"/>
    <mergeCell ref="G1760:J1760"/>
    <mergeCell ref="E1658:F1658"/>
    <mergeCell ref="E178:F178"/>
    <mergeCell ref="E2394:F2394"/>
    <mergeCell ref="G2060:J2060"/>
    <mergeCell ref="E1958:F1958"/>
    <mergeCell ref="E2175:F2175"/>
    <mergeCell ref="E478:F478"/>
    <mergeCell ref="G1357:J1357"/>
    <mergeCell ref="G1488:J1488"/>
    <mergeCell ref="G2093:J2093"/>
    <mergeCell ref="E1991:F1991"/>
    <mergeCell ref="G1657:J1657"/>
    <mergeCell ref="G1788:J1788"/>
    <mergeCell ref="E2322:F2322"/>
    <mergeCell ref="E2316:F2316"/>
    <mergeCell ref="E231:F231"/>
    <mergeCell ref="E206:F206"/>
    <mergeCell ref="E506:F506"/>
    <mergeCell ref="E74:F74"/>
    <mergeCell ref="E2317:F2317"/>
    <mergeCell ref="G1804:J1804"/>
    <mergeCell ref="G1962:J1962"/>
    <mergeCell ref="G1499:J1499"/>
    <mergeCell ref="G19:J19"/>
    <mergeCell ref="G2262:J2262"/>
    <mergeCell ref="G1799:J1799"/>
    <mergeCell ref="G2473:J2473"/>
    <mergeCell ref="E2344:F2344"/>
    <mergeCell ref="G319:J319"/>
    <mergeCell ref="E242:F242"/>
    <mergeCell ref="E217:F217"/>
    <mergeCell ref="G477:J477"/>
    <mergeCell ref="G14:J14"/>
    <mergeCell ref="E542:F542"/>
    <mergeCell ref="E129:F129"/>
    <mergeCell ref="G2474:J2474"/>
    <mergeCell ref="G1946:J1946"/>
    <mergeCell ref="G2157:J2157"/>
    <mergeCell ref="G72:J72"/>
    <mergeCell ref="G1858:J1858"/>
    <mergeCell ref="G161:J161"/>
    <mergeCell ref="G2463:J2463"/>
    <mergeCell ref="G793:J793"/>
    <mergeCell ref="E276:F276"/>
    <mergeCell ref="E270:F270"/>
    <mergeCell ref="G2158:J2158"/>
    <mergeCell ref="G461:J461"/>
    <mergeCell ref="G488:J488"/>
    <mergeCell ref="G156:J156"/>
    <mergeCell ref="E576:F576"/>
    <mergeCell ref="E570:F570"/>
    <mergeCell ref="E113:F113"/>
    <mergeCell ref="G2458:J2458"/>
    <mergeCell ref="G373:J373"/>
    <mergeCell ref="G788:J788"/>
    <mergeCell ref="E1358:F1358"/>
    <mergeCell ref="E1333:F1333"/>
    <mergeCell ref="E901:F901"/>
    <mergeCell ref="E1201:F1201"/>
    <mergeCell ref="G846:J846"/>
    <mergeCell ref="E2414:F2414"/>
    <mergeCell ref="G389:J389"/>
    <mergeCell ref="G383:J383"/>
    <mergeCell ref="G541:J541"/>
    <mergeCell ref="E928:F928"/>
    <mergeCell ref="G84:J84"/>
    <mergeCell ref="G1146:J1146"/>
    <mergeCell ref="E1044:F1044"/>
    <mergeCell ref="G841:J841"/>
    <mergeCell ref="E2409:F2409"/>
    <mergeCell ref="E798:F798"/>
    <mergeCell ref="E929:F929"/>
    <mergeCell ref="G1141:J1141"/>
    <mergeCell ref="E624:F624"/>
    <mergeCell ref="G1358:J1358"/>
    <mergeCell ref="E1229:F1229"/>
    <mergeCell ref="E1245:F1245"/>
    <mergeCell ref="G1505:J1505"/>
    <mergeCell ref="E1403:F1403"/>
    <mergeCell ref="E1397:F1397"/>
    <mergeCell ref="E940:F940"/>
    <mergeCell ref="E1614:F1614"/>
    <mergeCell ref="E2160:F2160"/>
    <mergeCell ref="E1703:F1703"/>
    <mergeCell ref="G1500:J1500"/>
    <mergeCell ref="E1914:F1914"/>
    <mergeCell ref="G885:J885"/>
    <mergeCell ref="E2214:F2214"/>
    <mergeCell ref="E2328:F2328"/>
    <mergeCell ref="G1973:J1973"/>
    <mergeCell ref="G1516:J1516"/>
    <mergeCell ref="G1211:J1211"/>
    <mergeCell ref="E1625:F1625"/>
    <mergeCell ref="G2273:J2273"/>
    <mergeCell ref="E1756:F1756"/>
    <mergeCell ref="G1974:J1974"/>
    <mergeCell ref="E1925:F1925"/>
    <mergeCell ref="G2185:J2185"/>
    <mergeCell ref="E2056:F2056"/>
    <mergeCell ref="G1244:J1244"/>
    <mergeCell ref="E140:F140"/>
    <mergeCell ref="E2356:F2356"/>
    <mergeCell ref="G939:J939"/>
    <mergeCell ref="G1544:J1544"/>
    <mergeCell ref="G1239:J1239"/>
    <mergeCell ref="G1896:J1896"/>
    <mergeCell ref="E1767:F1767"/>
    <mergeCell ref="G1539:J1539"/>
    <mergeCell ref="E287:F287"/>
    <mergeCell ref="E281:F281"/>
    <mergeCell ref="E2067:F2067"/>
    <mergeCell ref="G2327:J2327"/>
    <mergeCell ref="E2284:F2284"/>
    <mergeCell ref="E745:F745"/>
    <mergeCell ref="E2436:F2436"/>
    <mergeCell ref="E282:F282"/>
    <mergeCell ref="G2343:J2343"/>
    <mergeCell ref="G1924:J1924"/>
    <mergeCell ref="G227:J227"/>
    <mergeCell ref="G444:J444"/>
    <mergeCell ref="G2224:J2224"/>
    <mergeCell ref="E2426:F2426"/>
    <mergeCell ref="E2420:F2420"/>
    <mergeCell ref="E335:F335"/>
    <mergeCell ref="G1608:J1608"/>
    <mergeCell ref="G128:J128"/>
    <mergeCell ref="G2371:J2371"/>
    <mergeCell ref="G1908:J1908"/>
    <mergeCell ref="G2066:J2066"/>
    <mergeCell ref="E783:F783"/>
    <mergeCell ref="E326:F326"/>
    <mergeCell ref="G586:J586"/>
    <mergeCell ref="G123:J123"/>
    <mergeCell ref="G2391:J2391"/>
    <mergeCell ref="G2366:J2366"/>
    <mergeCell ref="E1114:F1114"/>
    <mergeCell ref="E695:F695"/>
    <mergeCell ref="E651:F651"/>
    <mergeCell ref="E1300:F1300"/>
    <mergeCell ref="G423:J423"/>
    <mergeCell ref="E1414:F1414"/>
    <mergeCell ref="E995:F995"/>
    <mergeCell ref="G596:J596"/>
    <mergeCell ref="G2424:J2424"/>
    <mergeCell ref="G297:J297"/>
    <mergeCell ref="G508:J508"/>
    <mergeCell ref="E379:F379"/>
    <mergeCell ref="G597:J597"/>
    <mergeCell ref="G2419:J2419"/>
    <mergeCell ref="G808:J808"/>
    <mergeCell ref="G292:J292"/>
    <mergeCell ref="E679:F679"/>
    <mergeCell ref="E837:F837"/>
    <mergeCell ref="G897:J897"/>
    <mergeCell ref="E380:F380"/>
    <mergeCell ref="G1571:J1571"/>
    <mergeCell ref="G1108:J1108"/>
    <mergeCell ref="G1266:J1266"/>
    <mergeCell ref="G650:J650"/>
    <mergeCell ref="G1255:J1255"/>
    <mergeCell ref="E1153:F1153"/>
    <mergeCell ref="G950:J950"/>
    <mergeCell ref="E1364:F1364"/>
    <mergeCell ref="G1713:J1713"/>
    <mergeCell ref="G1250:J1250"/>
    <mergeCell ref="E1664:F1664"/>
    <mergeCell ref="G1408:J1408"/>
    <mergeCell ref="E1822:F1822"/>
    <mergeCell ref="E1365:F1365"/>
    <mergeCell ref="E2427:F2427"/>
    <mergeCell ref="G678:J678"/>
    <mergeCell ref="G1424:J1424"/>
    <mergeCell ref="G978:J978"/>
    <mergeCell ref="G961:J961"/>
    <mergeCell ref="G1635:J1635"/>
    <mergeCell ref="E1506:F1506"/>
    <mergeCell ref="G1724:J1724"/>
    <mergeCell ref="G1935:J1935"/>
    <mergeCell ref="E1964:F1964"/>
    <mergeCell ref="E1507:F1507"/>
    <mergeCell ref="G994:J994"/>
    <mergeCell ref="G2235:J2235"/>
    <mergeCell ref="G689:J689"/>
    <mergeCell ref="E2464:F2464"/>
    <mergeCell ref="G989:J989"/>
    <mergeCell ref="E1534:F1534"/>
    <mergeCell ref="G1777:J1777"/>
    <mergeCell ref="G1320:J1320"/>
    <mergeCell ref="E37:F37"/>
    <mergeCell ref="G2382:J2382"/>
    <mergeCell ref="E2280:F2280"/>
    <mergeCell ref="G2077:J2077"/>
    <mergeCell ref="G1620:J1620"/>
    <mergeCell ref="E406:F406"/>
    <mergeCell ref="E2034:F2034"/>
    <mergeCell ref="E2192:F2192"/>
    <mergeCell ref="G2377:J2377"/>
    <mergeCell ref="G1674:J1674"/>
    <mergeCell ref="G1805:J1805"/>
    <mergeCell ref="G194:J194"/>
    <mergeCell ref="G2462:J2462"/>
    <mergeCell ref="G494:J494"/>
    <mergeCell ref="E548:F548"/>
    <mergeCell ref="E2176:F2176"/>
    <mergeCell ref="E91:F91"/>
    <mergeCell ref="G189:J189"/>
    <mergeCell ref="E85:F85"/>
    <mergeCell ref="E2334:F2334"/>
    <mergeCell ref="E391:F391"/>
    <mergeCell ref="G1816:J1816"/>
    <mergeCell ref="G336:J336"/>
    <mergeCell ref="G2147:J2147"/>
    <mergeCell ref="G2122:J2122"/>
    <mergeCell ref="G31:J31"/>
    <mergeCell ref="E451:F451"/>
    <mergeCell ref="E445:F445"/>
    <mergeCell ref="G2447:J2447"/>
    <mergeCell ref="G331:J331"/>
    <mergeCell ref="E865:F865"/>
    <mergeCell ref="G258:J258"/>
    <mergeCell ref="G2175:J2175"/>
    <mergeCell ref="G564:J564"/>
    <mergeCell ref="G558:J558"/>
    <mergeCell ref="E587:F587"/>
    <mergeCell ref="G259:J259"/>
    <mergeCell ref="E130:F130"/>
    <mergeCell ref="E430:F430"/>
    <mergeCell ref="E1218:F1218"/>
    <mergeCell ref="E799:F799"/>
    <mergeCell ref="G400:J400"/>
    <mergeCell ref="E1518:F1518"/>
    <mergeCell ref="G706:J706"/>
    <mergeCell ref="G2397:J2397"/>
    <mergeCell ref="G858:J858"/>
    <mergeCell ref="G401:J401"/>
    <mergeCell ref="G1463:J1463"/>
    <mergeCell ref="E946:F946"/>
    <mergeCell ref="G1158:J1158"/>
    <mergeCell ref="E1578:F1578"/>
    <mergeCell ref="G701:J701"/>
    <mergeCell ref="E1115:F1115"/>
    <mergeCell ref="G1375:J1375"/>
    <mergeCell ref="E1246:F1246"/>
    <mergeCell ref="G428:J428"/>
    <mergeCell ref="E1546:F1546"/>
    <mergeCell ref="G734:J734"/>
    <mergeCell ref="G1391:J1391"/>
    <mergeCell ref="G1385:J1385"/>
    <mergeCell ref="G1086:J1086"/>
    <mergeCell ref="G1691:J1691"/>
    <mergeCell ref="E1168:F1168"/>
    <mergeCell ref="E1714:F1714"/>
    <mergeCell ref="G1386:J1386"/>
    <mergeCell ref="E1282:F1282"/>
    <mergeCell ref="E1257:F1257"/>
    <mergeCell ref="G1517:J1517"/>
    <mergeCell ref="E1931:F1931"/>
    <mergeCell ref="E1468:F1468"/>
    <mergeCell ref="E1626:F1626"/>
    <mergeCell ref="E2231:F2231"/>
    <mergeCell ref="G1413:J1413"/>
    <mergeCell ref="G1533:J1533"/>
    <mergeCell ref="G1527:J1527"/>
    <mergeCell ref="G1114:J1114"/>
    <mergeCell ref="G1228:J1228"/>
    <mergeCell ref="G47:J47"/>
    <mergeCell ref="G1833:J1833"/>
    <mergeCell ref="G1414:J1414"/>
    <mergeCell ref="E2247:F2247"/>
    <mergeCell ref="E156:F156"/>
    <mergeCell ref="G1528:J1528"/>
    <mergeCell ref="E1942:F1942"/>
    <mergeCell ref="E2073:F2073"/>
    <mergeCell ref="G1714:J1714"/>
    <mergeCell ref="E462:F462"/>
    <mergeCell ref="E2242:F2242"/>
    <mergeCell ref="E157:F157"/>
    <mergeCell ref="E2373:F2373"/>
    <mergeCell ref="E457:F457"/>
    <mergeCell ref="G2218:J2218"/>
    <mergeCell ref="G1861:J1861"/>
    <mergeCell ref="E146:F146"/>
    <mergeCell ref="E298:F298"/>
    <mergeCell ref="G2213:J2213"/>
    <mergeCell ref="E2084:F2084"/>
    <mergeCell ref="E2301:F2301"/>
    <mergeCell ref="E604:F604"/>
    <mergeCell ref="E2295:F2295"/>
    <mergeCell ref="E185:F185"/>
    <mergeCell ref="E299:F299"/>
    <mergeCell ref="E599:F599"/>
    <mergeCell ref="G1783:J1783"/>
    <mergeCell ref="G1941:J1941"/>
    <mergeCell ref="E201:F201"/>
    <mergeCell ref="G2241:J2241"/>
    <mergeCell ref="G2197:J2197"/>
    <mergeCell ref="G112:J112"/>
    <mergeCell ref="E657:F657"/>
    <mergeCell ref="G298:J298"/>
    <mergeCell ref="E1289:F1289"/>
    <mergeCell ref="G456:J456"/>
    <mergeCell ref="E1283:F1283"/>
    <mergeCell ref="G412:J412"/>
    <mergeCell ref="E957:F957"/>
    <mergeCell ref="E984:F984"/>
    <mergeCell ref="G1625:J1625"/>
    <mergeCell ref="E1589:F1589"/>
    <mergeCell ref="G1925:J1925"/>
    <mergeCell ref="E1284:F1284"/>
    <mergeCell ref="E254:F254"/>
    <mergeCell ref="G9:J9"/>
    <mergeCell ref="E1584:F1584"/>
    <mergeCell ref="G140:J140"/>
    <mergeCell ref="E554:F554"/>
    <mergeCell ref="E668:F668"/>
    <mergeCell ref="G903:J903"/>
    <mergeCell ref="E249:F249"/>
    <mergeCell ref="G440:J440"/>
    <mergeCell ref="E854:F854"/>
    <mergeCell ref="E1012:F1012"/>
    <mergeCell ref="E968:F968"/>
    <mergeCell ref="E555:F555"/>
    <mergeCell ref="E549:F549"/>
    <mergeCell ref="E1337:F1337"/>
    <mergeCell ref="E1312:F1312"/>
    <mergeCell ref="E396:F396"/>
    <mergeCell ref="G614:J614"/>
    <mergeCell ref="G825:J825"/>
    <mergeCell ref="E696:F696"/>
    <mergeCell ref="G368:J368"/>
    <mergeCell ref="G914:J914"/>
    <mergeCell ref="G1430:J1430"/>
    <mergeCell ref="G1125:J1125"/>
    <mergeCell ref="E1784:F1784"/>
    <mergeCell ref="G1425:J1425"/>
    <mergeCell ref="E2416:F2416"/>
    <mergeCell ref="E1654:F1654"/>
    <mergeCell ref="G967:J967"/>
    <mergeCell ref="E1381:F1381"/>
    <mergeCell ref="G662:J662"/>
    <mergeCell ref="G1136:J1136"/>
    <mergeCell ref="G1267:J1267"/>
    <mergeCell ref="E1681:F1681"/>
    <mergeCell ref="E1224:F1224"/>
    <mergeCell ref="E1839:F1839"/>
    <mergeCell ref="E1382:F1382"/>
    <mergeCell ref="E1376:F1376"/>
    <mergeCell ref="G1567:J1567"/>
    <mergeCell ref="E2139:F2139"/>
    <mergeCell ref="E1682:F1682"/>
    <mergeCell ref="G864:J864"/>
    <mergeCell ref="G1652:J1652"/>
    <mergeCell ref="E1523:F1523"/>
    <mergeCell ref="G1952:J1952"/>
    <mergeCell ref="E1823:F1823"/>
    <mergeCell ref="G1495:J1495"/>
    <mergeCell ref="E2040:F2040"/>
    <mergeCell ref="G2252:J2252"/>
    <mergeCell ref="E1735:F1735"/>
    <mergeCell ref="E2340:F2340"/>
    <mergeCell ref="E2035:F2035"/>
    <mergeCell ref="G1680:J1680"/>
    <mergeCell ref="G1636:J1636"/>
    <mergeCell ref="G2268:J2268"/>
    <mergeCell ref="G183:J183"/>
    <mergeCell ref="G1963:J1963"/>
    <mergeCell ref="G483:J483"/>
    <mergeCell ref="E2051:F2051"/>
    <mergeCell ref="G151:J151"/>
    <mergeCell ref="G178:J178"/>
    <mergeCell ref="E1746:F1746"/>
    <mergeCell ref="E2351:F2351"/>
    <mergeCell ref="E266:F266"/>
    <mergeCell ref="E260:F260"/>
    <mergeCell ref="G1991:J1991"/>
    <mergeCell ref="E2104:F2104"/>
    <mergeCell ref="G511:J511"/>
    <mergeCell ref="E407:F407"/>
    <mergeCell ref="G2322:J2322"/>
    <mergeCell ref="G206:J206"/>
    <mergeCell ref="E1039:F1039"/>
    <mergeCell ref="E2404:F2404"/>
    <mergeCell ref="E734:F734"/>
    <mergeCell ref="E408:F408"/>
    <mergeCell ref="G506:J506"/>
    <mergeCell ref="E402:F402"/>
    <mergeCell ref="E619:F619"/>
    <mergeCell ref="E103:F103"/>
    <mergeCell ref="E1034:F1034"/>
    <mergeCell ref="E2405:F2405"/>
    <mergeCell ref="E735:F735"/>
    <mergeCell ref="G2050:J2050"/>
    <mergeCell ref="G101:J101"/>
    <mergeCell ref="G2350:J2350"/>
    <mergeCell ref="G653:J653"/>
    <mergeCell ref="G2464:J2464"/>
    <mergeCell ref="G2045:J2045"/>
    <mergeCell ref="E762:F762"/>
    <mergeCell ref="E330:F330"/>
    <mergeCell ref="E305:F305"/>
    <mergeCell ref="E1550:F1550"/>
    <mergeCell ref="E1093:F1093"/>
    <mergeCell ref="E1393:F1393"/>
    <mergeCell ref="G581:J581"/>
    <mergeCell ref="G575:J575"/>
    <mergeCell ref="G733:J733"/>
    <mergeCell ref="G276:J276"/>
    <mergeCell ref="E1851:F1851"/>
    <mergeCell ref="G1033:J1033"/>
    <mergeCell ref="G576:J576"/>
    <mergeCell ref="G1638:J1638"/>
    <mergeCell ref="E1121:F1121"/>
    <mergeCell ref="G1333:J1333"/>
    <mergeCell ref="E1446:F1446"/>
    <mergeCell ref="E1421:F1421"/>
    <mergeCell ref="G723:J723"/>
    <mergeCell ref="G717:J717"/>
    <mergeCell ref="G934:J934"/>
    <mergeCell ref="G1023:J1023"/>
    <mergeCell ref="G1234:J1234"/>
    <mergeCell ref="E1132:F1132"/>
    <mergeCell ref="G929:J929"/>
    <mergeCell ref="E1895:F1895"/>
    <mergeCell ref="E1457:F1457"/>
    <mergeCell ref="E1432:F1432"/>
    <mergeCell ref="G1692:J1692"/>
    <mergeCell ref="E2106:F2106"/>
    <mergeCell ref="E2220:F2220"/>
    <mergeCell ref="E1801:F1801"/>
    <mergeCell ref="G1708:J1708"/>
    <mergeCell ref="G1702:J1702"/>
    <mergeCell ref="G1245:J1245"/>
    <mergeCell ref="G1403:J1403"/>
    <mergeCell ref="G222:J222"/>
    <mergeCell ref="E1790:F1790"/>
    <mergeCell ref="G2465:J2465"/>
    <mergeCell ref="E1948:F1948"/>
    <mergeCell ref="E1491:F1491"/>
    <mergeCell ref="G1614:J1614"/>
    <mergeCell ref="E1485:F1485"/>
    <mergeCell ref="G2166:J2166"/>
    <mergeCell ref="G1703:J1703"/>
    <mergeCell ref="E5:F5"/>
    <mergeCell ref="E2248:F2248"/>
    <mergeCell ref="E1785:F1785"/>
    <mergeCell ref="G1761:J1761"/>
    <mergeCell ref="G1850:J1850"/>
    <mergeCell ref="G1387:J1387"/>
    <mergeCell ref="G2061:J2061"/>
    <mergeCell ref="E1959:F1959"/>
    <mergeCell ref="G2150:J2150"/>
    <mergeCell ref="G1756:J1756"/>
    <mergeCell ref="E473:F473"/>
    <mergeCell ref="E16:F16"/>
    <mergeCell ref="G2361:J2361"/>
    <mergeCell ref="E2259:F2259"/>
    <mergeCell ref="E174:F174"/>
    <mergeCell ref="E2470:F2470"/>
    <mergeCell ref="E474:F474"/>
    <mergeCell ref="G2230:J2230"/>
    <mergeCell ref="G1784:J1784"/>
    <mergeCell ref="E69:F69"/>
    <mergeCell ref="G287:J287"/>
    <mergeCell ref="E158:F158"/>
    <mergeCell ref="E832:F832"/>
    <mergeCell ref="E2460:F2460"/>
    <mergeCell ref="E369:F369"/>
    <mergeCell ref="E527:F527"/>
    <mergeCell ref="G587:J587"/>
    <mergeCell ref="E2155:F2155"/>
    <mergeCell ref="E485:F485"/>
    <mergeCell ref="G1800:J1800"/>
    <mergeCell ref="G314:J314"/>
    <mergeCell ref="G2100:J2100"/>
    <mergeCell ref="G15:J15"/>
    <mergeCell ref="G1795:J1795"/>
    <mergeCell ref="E543:F543"/>
    <mergeCell ref="G315:J315"/>
    <mergeCell ref="E843:F843"/>
    <mergeCell ref="G615:J615"/>
    <mergeCell ref="E538:F538"/>
    <mergeCell ref="E1143:F1143"/>
    <mergeCell ref="E1301:F1301"/>
    <mergeCell ref="G157:J157"/>
    <mergeCell ref="G789:J789"/>
    <mergeCell ref="G2453:J2453"/>
    <mergeCell ref="G783:J783"/>
    <mergeCell ref="G326:J326"/>
    <mergeCell ref="G2154:J2154"/>
    <mergeCell ref="E871:F871"/>
    <mergeCell ref="G1089:J1089"/>
    <mergeCell ref="E109:F109"/>
    <mergeCell ref="G2454:J2454"/>
    <mergeCell ref="E1202:F1202"/>
    <mergeCell ref="G384:J384"/>
    <mergeCell ref="E1496:F1496"/>
    <mergeCell ref="E1197:F1197"/>
    <mergeCell ref="G684:J684"/>
    <mergeCell ref="G842:J842"/>
    <mergeCell ref="G379:J379"/>
    <mergeCell ref="G1142:J1142"/>
    <mergeCell ref="G685:J685"/>
    <mergeCell ref="G679:J679"/>
    <mergeCell ref="G837:J837"/>
    <mergeCell ref="E1670:F1670"/>
    <mergeCell ref="G1442:J1442"/>
    <mergeCell ref="E925:F925"/>
    <mergeCell ref="E1970:F1970"/>
    <mergeCell ref="E1671:F1671"/>
    <mergeCell ref="E1225:F1225"/>
    <mergeCell ref="G984:J984"/>
    <mergeCell ref="E1525:F1525"/>
    <mergeCell ref="G1458:J1458"/>
    <mergeCell ref="G1153:J1153"/>
    <mergeCell ref="G1284:J1284"/>
    <mergeCell ref="E1698:F1698"/>
    <mergeCell ref="G1370:J1370"/>
    <mergeCell ref="G1364:J1364"/>
    <mergeCell ref="G1916:J1916"/>
    <mergeCell ref="E936:F936"/>
    <mergeCell ref="G1584:J1584"/>
    <mergeCell ref="E1998:F1998"/>
    <mergeCell ref="G1670:J1670"/>
    <mergeCell ref="E1541:F1541"/>
    <mergeCell ref="G2216:J2216"/>
    <mergeCell ref="E2329:F2329"/>
    <mergeCell ref="E2024:F2024"/>
    <mergeCell ref="G1511:J1511"/>
    <mergeCell ref="E2324:F2324"/>
    <mergeCell ref="G1811:J1811"/>
    <mergeCell ref="G1969:J1969"/>
    <mergeCell ref="G1512:J1512"/>
    <mergeCell ref="G1506:J1506"/>
    <mergeCell ref="G26:J26"/>
    <mergeCell ref="G2269:J2269"/>
    <mergeCell ref="G1812:J1812"/>
    <mergeCell ref="E2226:F2226"/>
    <mergeCell ref="E141:F141"/>
    <mergeCell ref="E135:F135"/>
    <mergeCell ref="G1964:J1964"/>
    <mergeCell ref="E2357:F2357"/>
    <mergeCell ref="E1921:F1921"/>
    <mergeCell ref="E224:F224"/>
    <mergeCell ref="E2052:F2052"/>
    <mergeCell ref="E441:F441"/>
    <mergeCell ref="E435:F435"/>
    <mergeCell ref="E2352:F2352"/>
    <mergeCell ref="G1534:J1534"/>
    <mergeCell ref="G500:J500"/>
    <mergeCell ref="G37:J37"/>
    <mergeCell ref="G1865:J1865"/>
    <mergeCell ref="E582:F582"/>
    <mergeCell ref="E125:F125"/>
    <mergeCell ref="E2368:F2368"/>
    <mergeCell ref="E283:F283"/>
    <mergeCell ref="E277:F277"/>
    <mergeCell ref="E2063:F2063"/>
    <mergeCell ref="E583:F583"/>
    <mergeCell ref="E577:F577"/>
    <mergeCell ref="E278:F278"/>
    <mergeCell ref="G553:J553"/>
    <mergeCell ref="G2339:J2339"/>
    <mergeCell ref="G853:J853"/>
    <mergeCell ref="G828:J828"/>
    <mergeCell ref="G548:J548"/>
    <mergeCell ref="E505:F505"/>
    <mergeCell ref="E1057:F1057"/>
    <mergeCell ref="E636:F636"/>
    <mergeCell ref="E1241:F1241"/>
    <mergeCell ref="E1268:F1268"/>
    <mergeCell ref="G1604:J1604"/>
    <mergeCell ref="E1568:F1568"/>
    <mergeCell ref="G124:J124"/>
    <mergeCell ref="G539:J539"/>
    <mergeCell ref="G2367:J2367"/>
    <mergeCell ref="G1904:J1904"/>
    <mergeCell ref="E652:F652"/>
    <mergeCell ref="G424:J424"/>
    <mergeCell ref="E347:F347"/>
    <mergeCell ref="G119:J119"/>
    <mergeCell ref="E952:F952"/>
    <mergeCell ref="E647:F647"/>
    <mergeCell ref="G882:J882"/>
    <mergeCell ref="E1709:F1709"/>
    <mergeCell ref="E1252:F1252"/>
    <mergeCell ref="E1410:F1410"/>
    <mergeCell ref="E1404:F1404"/>
    <mergeCell ref="E947:F947"/>
    <mergeCell ref="E1105:F1105"/>
    <mergeCell ref="E1710:F1710"/>
    <mergeCell ref="E1405:F1405"/>
    <mergeCell ref="G892:J892"/>
    <mergeCell ref="E375:F375"/>
    <mergeCell ref="G804:J804"/>
    <mergeCell ref="E675:F675"/>
    <mergeCell ref="G1104:J1104"/>
    <mergeCell ref="E975:F975"/>
    <mergeCell ref="E1632:F1632"/>
    <mergeCell ref="E1763:F1763"/>
    <mergeCell ref="G1251:J1251"/>
    <mergeCell ref="G946:J946"/>
    <mergeCell ref="E1779:F1779"/>
    <mergeCell ref="E1360:F1360"/>
    <mergeCell ref="G1551:J1551"/>
    <mergeCell ref="E1474:F1474"/>
    <mergeCell ref="E2123:F2123"/>
    <mergeCell ref="E2079:F2079"/>
    <mergeCell ref="G1246:J1246"/>
    <mergeCell ref="E1660:F1660"/>
    <mergeCell ref="E1774:F1774"/>
    <mergeCell ref="E2423:F2423"/>
    <mergeCell ref="E294:F294"/>
    <mergeCell ref="E2074:F2074"/>
    <mergeCell ref="G1936:J1936"/>
    <mergeCell ref="G1420:J1420"/>
    <mergeCell ref="G2025:J2025"/>
    <mergeCell ref="E1502:F1502"/>
    <mergeCell ref="G2236:J2236"/>
    <mergeCell ref="G1720:J1720"/>
    <mergeCell ref="E2107:F2107"/>
    <mergeCell ref="E1808:F1808"/>
    <mergeCell ref="G1931:J1931"/>
    <mergeCell ref="E1802:F1802"/>
    <mergeCell ref="E191:F191"/>
    <mergeCell ref="G990:J990"/>
    <mergeCell ref="G2231:J2231"/>
    <mergeCell ref="G1290:J1290"/>
    <mergeCell ref="G2078:J2078"/>
    <mergeCell ref="G1615:J1615"/>
    <mergeCell ref="G2247:J2247"/>
    <mergeCell ref="E33:F33"/>
    <mergeCell ref="G2378:J2378"/>
    <mergeCell ref="G2073:J2073"/>
    <mergeCell ref="E333:F333"/>
    <mergeCell ref="E28:F28"/>
    <mergeCell ref="G2373:J2373"/>
    <mergeCell ref="E245:F245"/>
    <mergeCell ref="G603:J603"/>
    <mergeCell ref="G190:J190"/>
    <mergeCell ref="G2389:J2389"/>
    <mergeCell ref="G304:J304"/>
    <mergeCell ref="G1970:J1970"/>
    <mergeCell ref="E255:F255"/>
    <mergeCell ref="E392:F392"/>
    <mergeCell ref="G490:J490"/>
    <mergeCell ref="E386:F386"/>
    <mergeCell ref="G2301:J2301"/>
    <mergeCell ref="G604:J604"/>
    <mergeCell ref="E686:F686"/>
    <mergeCell ref="E387:F387"/>
    <mergeCell ref="G2117:J2117"/>
    <mergeCell ref="G32:J32"/>
    <mergeCell ref="G332:J332"/>
    <mergeCell ref="E860:F860"/>
    <mergeCell ref="E397:F397"/>
    <mergeCell ref="G657:J657"/>
    <mergeCell ref="G632:J632"/>
    <mergeCell ref="E1046:F1046"/>
    <mergeCell ref="G2443:J2443"/>
    <mergeCell ref="E1160:F1160"/>
    <mergeCell ref="G957:J957"/>
    <mergeCell ref="E1377:F1377"/>
    <mergeCell ref="E1372:F1372"/>
    <mergeCell ref="G859:J859"/>
    <mergeCell ref="G343:J343"/>
    <mergeCell ref="G1017:J1017"/>
    <mergeCell ref="G554:J554"/>
    <mergeCell ref="G1317:J1317"/>
    <mergeCell ref="E731:F731"/>
    <mergeCell ref="G854:J854"/>
    <mergeCell ref="G1012:J1012"/>
    <mergeCell ref="E1519:F1519"/>
    <mergeCell ref="G1617:J1617"/>
    <mergeCell ref="E1513:F1513"/>
    <mergeCell ref="E1514:F1514"/>
    <mergeCell ref="G1001:J1001"/>
    <mergeCell ref="G1159:J1159"/>
    <mergeCell ref="G702:J702"/>
    <mergeCell ref="G696:J696"/>
    <mergeCell ref="E1529:F1529"/>
    <mergeCell ref="G1459:J1459"/>
    <mergeCell ref="E1873:F1873"/>
    <mergeCell ref="E1111:F1111"/>
    <mergeCell ref="G1759:J1759"/>
    <mergeCell ref="E44:F44"/>
    <mergeCell ref="E2199:F2199"/>
    <mergeCell ref="G1686:J1686"/>
    <mergeCell ref="G1470:J1470"/>
    <mergeCell ref="G1687:J1687"/>
    <mergeCell ref="E1558:F1558"/>
    <mergeCell ref="G1681:J1681"/>
    <mergeCell ref="G1382:J1382"/>
    <mergeCell ref="E2227:F2227"/>
    <mergeCell ref="E98:F98"/>
    <mergeCell ref="E2341:F2341"/>
    <mergeCell ref="G1828:J1828"/>
    <mergeCell ref="E398:F398"/>
    <mergeCell ref="G43:J43"/>
    <mergeCell ref="G2286:J2286"/>
    <mergeCell ref="G1829:J1829"/>
    <mergeCell ref="G1823:J1823"/>
    <mergeCell ref="E2243:F2243"/>
    <mergeCell ref="G2040:J2040"/>
    <mergeCell ref="E1938:F1938"/>
    <mergeCell ref="E757:F757"/>
    <mergeCell ref="E300:F300"/>
    <mergeCell ref="E458:F458"/>
    <mergeCell ref="E452:F452"/>
    <mergeCell ref="G2340:J2340"/>
    <mergeCell ref="E2238:F2238"/>
    <mergeCell ref="E453:F453"/>
    <mergeCell ref="G728:J728"/>
    <mergeCell ref="E142:F142"/>
    <mergeCell ref="E2385:F2385"/>
    <mergeCell ref="G2051:J2051"/>
    <mergeCell ref="G1028:J1028"/>
    <mergeCell ref="E442:F442"/>
    <mergeCell ref="E600:F600"/>
    <mergeCell ref="E594:F594"/>
    <mergeCell ref="E137:F137"/>
    <mergeCell ref="E811:F811"/>
    <mergeCell ref="G82:J82"/>
    <mergeCell ref="G413:J413"/>
    <mergeCell ref="G407:J407"/>
    <mergeCell ref="E827:F827"/>
    <mergeCell ref="G2193:J2193"/>
    <mergeCell ref="E522:F522"/>
    <mergeCell ref="G2410:J2410"/>
    <mergeCell ref="G713:J713"/>
    <mergeCell ref="E1127:F1127"/>
    <mergeCell ref="E1285:F1285"/>
    <mergeCell ref="G408:J408"/>
    <mergeCell ref="E822:F822"/>
    <mergeCell ref="E911:F911"/>
    <mergeCell ref="E1585:F1585"/>
    <mergeCell ref="E1122:F1122"/>
    <mergeCell ref="E1280:F1280"/>
    <mergeCell ref="G441:J441"/>
    <mergeCell ref="G435:J435"/>
    <mergeCell ref="E1580:F1580"/>
    <mergeCell ref="G610:J610"/>
    <mergeCell ref="G741:J741"/>
    <mergeCell ref="G768:J768"/>
    <mergeCell ref="E664:F664"/>
    <mergeCell ref="G1855:J1855"/>
    <mergeCell ref="E1269:F1269"/>
    <mergeCell ref="G1093:J1093"/>
    <mergeCell ref="G1068:J1068"/>
    <mergeCell ref="E964:F964"/>
    <mergeCell ref="E1175:F1175"/>
    <mergeCell ref="E1727:F1727"/>
    <mergeCell ref="E1264:F1264"/>
    <mergeCell ref="G909:J909"/>
    <mergeCell ref="G1240:J1240"/>
    <mergeCell ref="G777:J777"/>
    <mergeCell ref="G1426:J1426"/>
    <mergeCell ref="G1540:J1540"/>
    <mergeCell ref="G1121:J1121"/>
    <mergeCell ref="G1077:J1077"/>
    <mergeCell ref="G1726:J1726"/>
    <mergeCell ref="E1649:F1649"/>
    <mergeCell ref="E1780:F1780"/>
    <mergeCell ref="G1840:J1840"/>
    <mergeCell ref="G1421:J1421"/>
    <mergeCell ref="E2254:F2254"/>
    <mergeCell ref="E2412:F2412"/>
    <mergeCell ref="E1949:F1949"/>
    <mergeCell ref="E164:F164"/>
    <mergeCell ref="E2407:F2407"/>
    <mergeCell ref="G1437:J1437"/>
    <mergeCell ref="G1568:J1568"/>
    <mergeCell ref="E1677:F1677"/>
    <mergeCell ref="G1868:J1868"/>
    <mergeCell ref="E180:F180"/>
    <mergeCell ref="E2396:F2396"/>
    <mergeCell ref="E1977:F1977"/>
    <mergeCell ref="G2220:J2220"/>
    <mergeCell ref="E480:F480"/>
    <mergeCell ref="E2308:F2308"/>
    <mergeCell ref="E2302:F2302"/>
    <mergeCell ref="G1490:J1490"/>
    <mergeCell ref="G1579:J1579"/>
    <mergeCell ref="G2253:J2253"/>
    <mergeCell ref="G1796:J1796"/>
    <mergeCell ref="G1790:J1790"/>
    <mergeCell ref="G1948:J1948"/>
    <mergeCell ref="G1491:J1491"/>
    <mergeCell ref="E208:F208"/>
    <mergeCell ref="G5:J5"/>
    <mergeCell ref="G2248:J2248"/>
    <mergeCell ref="G1791:J1791"/>
    <mergeCell ref="E203:F203"/>
    <mergeCell ref="E2031:F2031"/>
    <mergeCell ref="G478:J478"/>
    <mergeCell ref="E534:F534"/>
    <mergeCell ref="G2264:J2264"/>
    <mergeCell ref="G1959:J1959"/>
    <mergeCell ref="E261:F261"/>
    <mergeCell ref="G452:J452"/>
    <mergeCell ref="G479:J479"/>
    <mergeCell ref="E350:F350"/>
    <mergeCell ref="G147:J147"/>
    <mergeCell ref="E567:F567"/>
    <mergeCell ref="G174:J174"/>
    <mergeCell ref="E561:F561"/>
    <mergeCell ref="E681:F681"/>
    <mergeCell ref="G2476:J2476"/>
    <mergeCell ref="G779:J779"/>
    <mergeCell ref="E2347:F2347"/>
    <mergeCell ref="E256:F256"/>
    <mergeCell ref="E562:F562"/>
    <mergeCell ref="G2292:J2292"/>
    <mergeCell ref="G207:J207"/>
    <mergeCell ref="G163:J163"/>
    <mergeCell ref="G507:J507"/>
    <mergeCell ref="E403:F403"/>
    <mergeCell ref="G44:J44"/>
    <mergeCell ref="E1035:F1035"/>
    <mergeCell ref="G158:J158"/>
    <mergeCell ref="G832:J832"/>
    <mergeCell ref="G807:J807"/>
    <mergeCell ref="E703:F703"/>
    <mergeCell ref="E2400:F2400"/>
    <mergeCell ref="E730:F730"/>
    <mergeCell ref="G375:J375"/>
    <mergeCell ref="G2460:J2460"/>
    <mergeCell ref="E1335:F1335"/>
    <mergeCell ref="E1036:F1036"/>
    <mergeCell ref="E1030:F1030"/>
    <mergeCell ref="G191:J191"/>
    <mergeCell ref="E1547:F1547"/>
    <mergeCell ref="E631:F631"/>
    <mergeCell ref="G843:J843"/>
    <mergeCell ref="G974:J974"/>
    <mergeCell ref="E1388:F1388"/>
    <mergeCell ref="E931:F931"/>
    <mergeCell ref="G1606:J1606"/>
    <mergeCell ref="E1694:F1694"/>
    <mergeCell ref="E1688:F1688"/>
    <mergeCell ref="E1231:F1231"/>
    <mergeCell ref="G1906:J1906"/>
    <mergeCell ref="E1389:F1389"/>
    <mergeCell ref="E1383:F1383"/>
    <mergeCell ref="E1689:F1689"/>
    <mergeCell ref="G1334:J1334"/>
    <mergeCell ref="G877:J877"/>
    <mergeCell ref="G871:J871"/>
    <mergeCell ref="G414:J414"/>
    <mergeCell ref="G1659:J1659"/>
    <mergeCell ref="G1634:J1634"/>
    <mergeCell ref="E1530:F1530"/>
    <mergeCell ref="G1202:J1202"/>
    <mergeCell ref="E2162:F2162"/>
    <mergeCell ref="E1830:F1830"/>
    <mergeCell ref="G1502:J1502"/>
    <mergeCell ref="E2047:F2047"/>
    <mergeCell ref="E1531:F1531"/>
    <mergeCell ref="E2163:F2163"/>
    <mergeCell ref="G1960:J1960"/>
    <mergeCell ref="E1831:F1831"/>
    <mergeCell ref="E1433:F1433"/>
    <mergeCell ref="G1230:J1230"/>
    <mergeCell ref="E1758:F1758"/>
    <mergeCell ref="E1733:F1733"/>
    <mergeCell ref="G1530:J1530"/>
    <mergeCell ref="E1453:F1453"/>
    <mergeCell ref="E2058:F2058"/>
    <mergeCell ref="E2358:F2358"/>
    <mergeCell ref="E273:F273"/>
    <mergeCell ref="G2003:J2003"/>
    <mergeCell ref="G1704:J1704"/>
    <mergeCell ref="G218:J218"/>
    <mergeCell ref="G2461:J2461"/>
    <mergeCell ref="G2004:J2004"/>
    <mergeCell ref="G1998:J1998"/>
    <mergeCell ref="E1481:F1481"/>
    <mergeCell ref="E2086:F2086"/>
    <mergeCell ref="E1:F1"/>
    <mergeCell ref="G2329:J2329"/>
    <mergeCell ref="E1781:F1781"/>
    <mergeCell ref="E747:F747"/>
    <mergeCell ref="E284:F284"/>
    <mergeCell ref="G1899:J1899"/>
    <mergeCell ref="G229:J229"/>
    <mergeCell ref="G2057:J2057"/>
    <mergeCell ref="G360:J360"/>
    <mergeCell ref="E317:F317"/>
    <mergeCell ref="G114:J114"/>
    <mergeCell ref="G2226:J2226"/>
    <mergeCell ref="E12:F12"/>
    <mergeCell ref="G2357:J2357"/>
    <mergeCell ref="E775:F775"/>
    <mergeCell ref="E2466:F2466"/>
    <mergeCell ref="E312:F312"/>
    <mergeCell ref="E1100:F1100"/>
    <mergeCell ref="E1400:F1400"/>
    <mergeCell ref="E370:F370"/>
    <mergeCell ref="G588:J588"/>
    <mergeCell ref="G582:J582"/>
    <mergeCell ref="G125:J125"/>
    <mergeCell ref="G740:J740"/>
    <mergeCell ref="G2368:J2368"/>
    <mergeCell ref="G283:J283"/>
    <mergeCell ref="E670:F670"/>
    <mergeCell ref="E154:F154"/>
    <mergeCell ref="E365:F365"/>
    <mergeCell ref="G583:J583"/>
    <mergeCell ref="E454:F454"/>
    <mergeCell ref="E665:F665"/>
    <mergeCell ref="G730:J730"/>
    <mergeCell ref="E839:F839"/>
    <mergeCell ref="G636:J636"/>
    <mergeCell ref="E1444:F1444"/>
    <mergeCell ref="E1139:F1139"/>
    <mergeCell ref="E1350:F1350"/>
    <mergeCell ref="E1902:F1902"/>
    <mergeCell ref="E1439:F1439"/>
    <mergeCell ref="G1084:J1084"/>
    <mergeCell ref="G627:J627"/>
    <mergeCell ref="G1415:J1415"/>
    <mergeCell ref="G952:J952"/>
    <mergeCell ref="E981:F981"/>
    <mergeCell ref="E1497:F1497"/>
    <mergeCell ref="G1715:J1715"/>
    <mergeCell ref="G1709:J1709"/>
    <mergeCell ref="G1296:J1296"/>
    <mergeCell ref="G1252:J1252"/>
    <mergeCell ref="G1410:J1410"/>
    <mergeCell ref="E1281:F1281"/>
    <mergeCell ref="E1797:F1797"/>
    <mergeCell ref="E1498:F1498"/>
    <mergeCell ref="G1596:J1596"/>
    <mergeCell ref="E1492:F1492"/>
    <mergeCell ref="G1710:J1710"/>
    <mergeCell ref="G680:J680"/>
    <mergeCell ref="G980:J980"/>
    <mergeCell ref="G681:J681"/>
    <mergeCell ref="E1508:F1508"/>
    <mergeCell ref="G1743:J1743"/>
    <mergeCell ref="E1966:F1966"/>
    <mergeCell ref="G1763:J1763"/>
    <mergeCell ref="E486:F486"/>
    <mergeCell ref="E23:F23"/>
    <mergeCell ref="E2266:F2266"/>
    <mergeCell ref="E181:F181"/>
    <mergeCell ref="E1967:F1967"/>
    <mergeCell ref="E481:F481"/>
    <mergeCell ref="G1754:J1754"/>
    <mergeCell ref="G1965:J1965"/>
    <mergeCell ref="E1562:F1562"/>
    <mergeCell ref="E1537:F1537"/>
    <mergeCell ref="E1837:F1837"/>
    <mergeCell ref="G1813:J1813"/>
    <mergeCell ref="E2320:F2320"/>
    <mergeCell ref="G1807:J1807"/>
    <mergeCell ref="G2107:J2107"/>
    <mergeCell ref="G22:J22"/>
    <mergeCell ref="G1650:J1650"/>
    <mergeCell ref="E436:F436"/>
    <mergeCell ref="G2265:J2265"/>
    <mergeCell ref="G1808:J1808"/>
    <mergeCell ref="E550:F550"/>
    <mergeCell ref="E525:F525"/>
    <mergeCell ref="E2353:F2353"/>
    <mergeCell ref="E736:F736"/>
    <mergeCell ref="E850:F850"/>
    <mergeCell ref="E431:F431"/>
    <mergeCell ref="G38:J38"/>
    <mergeCell ref="E120:F120"/>
    <mergeCell ref="G338:J338"/>
    <mergeCell ref="G496:J496"/>
    <mergeCell ref="G33:J33"/>
    <mergeCell ref="G707:J707"/>
    <mergeCell ref="E578:F578"/>
    <mergeCell ref="E121:F121"/>
    <mergeCell ref="G796:J796"/>
    <mergeCell ref="E2364:F2364"/>
    <mergeCell ref="G333:J333"/>
    <mergeCell ref="E878:F878"/>
    <mergeCell ref="G550:J550"/>
    <mergeCell ref="E421:F421"/>
    <mergeCell ref="G1096:J1096"/>
    <mergeCell ref="E579:F579"/>
    <mergeCell ref="E573:F573"/>
    <mergeCell ref="G480:J480"/>
    <mergeCell ref="G697:J697"/>
    <mergeCell ref="E589:F589"/>
    <mergeCell ref="G849:J849"/>
    <mergeCell ref="G2477:J2477"/>
    <mergeCell ref="G392:J392"/>
    <mergeCell ref="G386:J386"/>
    <mergeCell ref="E501:F501"/>
    <mergeCell ref="G692:J692"/>
    <mergeCell ref="E1563:F1563"/>
    <mergeCell ref="E890:F890"/>
    <mergeCell ref="E1406:F1406"/>
    <mergeCell ref="E1564:F1564"/>
    <mergeCell ref="G1165:J1165"/>
    <mergeCell ref="G860:J860"/>
    <mergeCell ref="E948:F948"/>
    <mergeCell ref="G1160:J1160"/>
    <mergeCell ref="E643:F643"/>
    <mergeCell ref="E1705:F1705"/>
    <mergeCell ref="E1248:F1248"/>
    <mergeCell ref="E943:F943"/>
    <mergeCell ref="G1677:J1677"/>
    <mergeCell ref="E1548:F1548"/>
    <mergeCell ref="E1706:F1706"/>
    <mergeCell ref="G888:J888"/>
    <mergeCell ref="E1633:F1633"/>
    <mergeCell ref="G731:J731"/>
    <mergeCell ref="G1824:J1824"/>
    <mergeCell ref="G1519:J1519"/>
    <mergeCell ref="G1513:J1513"/>
    <mergeCell ref="E1933:F1933"/>
    <mergeCell ref="E236:F236"/>
    <mergeCell ref="E1628:F1628"/>
    <mergeCell ref="G1819:J1819"/>
    <mergeCell ref="E2233:F2233"/>
    <mergeCell ref="E148:F148"/>
    <mergeCell ref="E1717:F1717"/>
    <mergeCell ref="E2391:F2391"/>
    <mergeCell ref="G1546:J1546"/>
    <mergeCell ref="E448:F448"/>
    <mergeCell ref="G1247:J1247"/>
    <mergeCell ref="E1775:F1775"/>
    <mergeCell ref="G1416:J1416"/>
    <mergeCell ref="G1547:J1547"/>
    <mergeCell ref="E289:F289"/>
    <mergeCell ref="E2075:F2075"/>
    <mergeCell ref="E1612:F1612"/>
    <mergeCell ref="G1847:J1847"/>
    <mergeCell ref="E1770:F1770"/>
    <mergeCell ref="E2375:F2375"/>
    <mergeCell ref="E290:F290"/>
    <mergeCell ref="E590:F590"/>
    <mergeCell ref="G1863:J1863"/>
    <mergeCell ref="G2015:J2015"/>
    <mergeCell ref="G1583:J1583"/>
    <mergeCell ref="G1558:J1558"/>
    <mergeCell ref="G2232:J2232"/>
    <mergeCell ref="E2103:F2103"/>
    <mergeCell ref="G2346:J2346"/>
    <mergeCell ref="E606:F606"/>
    <mergeCell ref="E187:F187"/>
    <mergeCell ref="E2403:F2403"/>
    <mergeCell ref="E301:F301"/>
    <mergeCell ref="G1616:J1616"/>
    <mergeCell ref="E487:F487"/>
    <mergeCell ref="E601:F601"/>
    <mergeCell ref="E1275:F1275"/>
    <mergeCell ref="G246:J246"/>
    <mergeCell ref="G463:J463"/>
    <mergeCell ref="G131:J131"/>
    <mergeCell ref="G2243:J2243"/>
    <mergeCell ref="E29:F29"/>
    <mergeCell ref="G2374:J2374"/>
    <mergeCell ref="G763:J763"/>
    <mergeCell ref="G300:J300"/>
    <mergeCell ref="G431:J431"/>
    <mergeCell ref="G458:J458"/>
    <mergeCell ref="E354:F354"/>
    <mergeCell ref="E329:F329"/>
    <mergeCell ref="E1003:F1003"/>
    <mergeCell ref="G126:J126"/>
    <mergeCell ref="G758:J758"/>
    <mergeCell ref="E654:F654"/>
    <mergeCell ref="E629:F629"/>
    <mergeCell ref="G447:J447"/>
    <mergeCell ref="G142:J142"/>
    <mergeCell ref="E556:F556"/>
    <mergeCell ref="G2385:J2385"/>
    <mergeCell ref="E714:F714"/>
    <mergeCell ref="G905:J905"/>
    <mergeCell ref="G899:J899"/>
    <mergeCell ref="E382:F382"/>
    <mergeCell ref="G442:J442"/>
    <mergeCell ref="G600:J600"/>
    <mergeCell ref="E987:F987"/>
    <mergeCell ref="E1014:F1014"/>
    <mergeCell ref="E1145:F1145"/>
    <mergeCell ref="E688:F688"/>
    <mergeCell ref="G811:J811"/>
    <mergeCell ref="E1619:F1619"/>
    <mergeCell ref="E682:F682"/>
    <mergeCell ref="E709:F709"/>
    <mergeCell ref="G900:J900"/>
    <mergeCell ref="E1314:F1314"/>
    <mergeCell ref="E1015:F1015"/>
    <mergeCell ref="E2102:F2102"/>
    <mergeCell ref="G170:J170"/>
    <mergeCell ref="E698:F698"/>
    <mergeCell ref="E2402:F2402"/>
    <mergeCell ref="G958:J958"/>
    <mergeCell ref="E856:F856"/>
    <mergeCell ref="G1258:J1258"/>
    <mergeCell ref="E1156:F1156"/>
    <mergeCell ref="E1672:F1672"/>
    <mergeCell ref="E693:F693"/>
    <mergeCell ref="G953:J953"/>
    <mergeCell ref="E1367:F1367"/>
    <mergeCell ref="E1972:F1972"/>
    <mergeCell ref="E1456:F1456"/>
    <mergeCell ref="E1673:F1673"/>
    <mergeCell ref="E1667:F1667"/>
    <mergeCell ref="E1787:F1787"/>
    <mergeCell ref="G969:J969"/>
    <mergeCell ref="G1574:J1574"/>
    <mergeCell ref="G1313:J1313"/>
    <mergeCell ref="G1269:J1269"/>
    <mergeCell ref="E1683:F1683"/>
    <mergeCell ref="G1918:J1918"/>
    <mergeCell ref="G2032:J2032"/>
    <mergeCell ref="G1613:J1613"/>
    <mergeCell ref="E1509:F1509"/>
    <mergeCell ref="E2147:F2147"/>
    <mergeCell ref="E1815:F1815"/>
    <mergeCell ref="E1809:F1809"/>
    <mergeCell ref="E198:F198"/>
    <mergeCell ref="G997:J997"/>
    <mergeCell ref="E2142:F2142"/>
    <mergeCell ref="G1297:J1297"/>
    <mergeCell ref="G2085:J2085"/>
    <mergeCell ref="G1780:J1780"/>
    <mergeCell ref="E1737:F1737"/>
    <mergeCell ref="E40:F40"/>
    <mergeCell ref="E2289:F2289"/>
    <mergeCell ref="G1955:J1955"/>
    <mergeCell ref="E2037:F2037"/>
    <mergeCell ref="E340:F340"/>
    <mergeCell ref="G1682:J1682"/>
    <mergeCell ref="G1982:J1982"/>
    <mergeCell ref="G2140:J2140"/>
    <mergeCell ref="G197:J197"/>
    <mergeCell ref="E68:F68"/>
    <mergeCell ref="G2440:J2440"/>
    <mergeCell ref="G1983:J1983"/>
    <mergeCell ref="E725:F725"/>
    <mergeCell ref="E1025:F1025"/>
    <mergeCell ref="E726:F726"/>
    <mergeCell ref="G2124:J2124"/>
    <mergeCell ref="G39:J39"/>
    <mergeCell ref="E2239:F2239"/>
    <mergeCell ref="G339:J339"/>
    <mergeCell ref="E753:F753"/>
    <mergeCell ref="E404:F404"/>
    <mergeCell ref="E754:F754"/>
    <mergeCell ref="E710:F710"/>
    <mergeCell ref="G50:J50"/>
    <mergeCell ref="E138:F138"/>
    <mergeCell ref="G236:J236"/>
    <mergeCell ref="G350:J350"/>
    <mergeCell ref="G1024:J1024"/>
    <mergeCell ref="E895:F895"/>
    <mergeCell ref="G567:J567"/>
    <mergeCell ref="E438:F438"/>
    <mergeCell ref="G561:J561"/>
    <mergeCell ref="E738:F738"/>
    <mergeCell ref="E1526:F1526"/>
    <mergeCell ref="E1221:F1221"/>
    <mergeCell ref="E2152:F2152"/>
    <mergeCell ref="G708:J708"/>
    <mergeCell ref="E1853:F1853"/>
    <mergeCell ref="E823:F823"/>
    <mergeCell ref="E1521:F1521"/>
    <mergeCell ref="G1008:J1008"/>
    <mergeCell ref="G1166:J1166"/>
    <mergeCell ref="G709:J709"/>
    <mergeCell ref="G703:J703"/>
    <mergeCell ref="E1123:F1123"/>
    <mergeCell ref="E660:F660"/>
    <mergeCell ref="G920:J920"/>
    <mergeCell ref="E818:F818"/>
    <mergeCell ref="E1880:F1880"/>
    <mergeCell ref="E1423:F1423"/>
    <mergeCell ref="E1581:F1581"/>
    <mergeCell ref="E1118:F1118"/>
    <mergeCell ref="E1881:F1881"/>
    <mergeCell ref="G1063:J1063"/>
    <mergeCell ref="G631:J631"/>
    <mergeCell ref="E2206:F2206"/>
    <mergeCell ref="G1851:J1851"/>
    <mergeCell ref="E1265:F1265"/>
    <mergeCell ref="E1476:F1476"/>
    <mergeCell ref="E2022:F2022"/>
    <mergeCell ref="G1694:J1694"/>
    <mergeCell ref="E1565:F1565"/>
    <mergeCell ref="G1688:J1688"/>
    <mergeCell ref="E1776:F1776"/>
    <mergeCell ref="G1053:J1053"/>
    <mergeCell ref="G1835:J1835"/>
    <mergeCell ref="G1536:J1536"/>
    <mergeCell ref="E1950:F1950"/>
    <mergeCell ref="E1487:F1487"/>
    <mergeCell ref="G1836:J1836"/>
    <mergeCell ref="E2250:F2250"/>
    <mergeCell ref="G2047:J2047"/>
    <mergeCell ref="E1945:F1945"/>
    <mergeCell ref="E465:F465"/>
    <mergeCell ref="E2245:F2245"/>
    <mergeCell ref="G1433:J1433"/>
    <mergeCell ref="E2092:F2092"/>
    <mergeCell ref="G1758:J1758"/>
    <mergeCell ref="G1733:J1733"/>
    <mergeCell ref="E475:F475"/>
    <mergeCell ref="E149:F149"/>
    <mergeCell ref="E176:F176"/>
    <mergeCell ref="E2392:F2392"/>
    <mergeCell ref="E781:F781"/>
    <mergeCell ref="E2087:F2087"/>
    <mergeCell ref="E476:F476"/>
    <mergeCell ref="E607:F607"/>
    <mergeCell ref="E144:F144"/>
    <mergeCell ref="E776:F776"/>
    <mergeCell ref="G2249:J2249"/>
    <mergeCell ref="G2205:J2205"/>
    <mergeCell ref="G95:J95"/>
    <mergeCell ref="G1786:J1786"/>
    <mergeCell ref="G89:J89"/>
    <mergeCell ref="G1900:J1900"/>
    <mergeCell ref="G306:J306"/>
    <mergeCell ref="E204:F204"/>
    <mergeCell ref="G420:J420"/>
    <mergeCell ref="G2086:J2086"/>
    <mergeCell ref="G1:J1"/>
    <mergeCell ref="E529:F529"/>
    <mergeCell ref="E504:F504"/>
    <mergeCell ref="G720:J720"/>
    <mergeCell ref="E1292:F1292"/>
    <mergeCell ref="E829:F829"/>
    <mergeCell ref="G17:J17"/>
    <mergeCell ref="E1592:F1592"/>
    <mergeCell ref="E1287:F1287"/>
    <mergeCell ref="G774:J774"/>
    <mergeCell ref="G317:J317"/>
    <mergeCell ref="E976:F976"/>
    <mergeCell ref="E557:F557"/>
    <mergeCell ref="G775:J775"/>
    <mergeCell ref="E1162:F1162"/>
    <mergeCell ref="E1276:F1276"/>
    <mergeCell ref="E857:F857"/>
    <mergeCell ref="E1908:F1908"/>
    <mergeCell ref="G1075:J1075"/>
    <mergeCell ref="G159:J159"/>
    <mergeCell ref="G370:J370"/>
    <mergeCell ref="G459:J459"/>
    <mergeCell ref="E873:F873"/>
    <mergeCell ref="G1133:J1133"/>
    <mergeCell ref="E1031:F1031"/>
    <mergeCell ref="G670:J670"/>
    <mergeCell ref="G1222:J1222"/>
    <mergeCell ref="E568:F568"/>
    <mergeCell ref="E1331:F1331"/>
    <mergeCell ref="E1542:F1542"/>
    <mergeCell ref="E1656:F1656"/>
    <mergeCell ref="E1631:F1631"/>
    <mergeCell ref="G844:J844"/>
    <mergeCell ref="E1956:F1956"/>
    <mergeCell ref="G1144:J1144"/>
    <mergeCell ref="G1275:J1275"/>
    <mergeCell ref="G839:J839"/>
    <mergeCell ref="E1226:F1226"/>
    <mergeCell ref="G970:J970"/>
    <mergeCell ref="G1901:J1901"/>
    <mergeCell ref="G1444:J1444"/>
    <mergeCell ref="E927:F927"/>
    <mergeCell ref="G1602:J1602"/>
    <mergeCell ref="E1690:F1690"/>
    <mergeCell ref="E1684:F1684"/>
    <mergeCell ref="E1227:F1227"/>
    <mergeCell ref="G1902:J1902"/>
    <mergeCell ref="G872:J872"/>
    <mergeCell ref="G986:J986"/>
    <mergeCell ref="E1527:F1527"/>
    <mergeCell ref="G2202:J2202"/>
    <mergeCell ref="E1685:F1685"/>
    <mergeCell ref="G1172:J1172"/>
    <mergeCell ref="G1286:J1286"/>
    <mergeCell ref="E1700:F1700"/>
    <mergeCell ref="G1497:J1497"/>
    <mergeCell ref="G1586:J1586"/>
    <mergeCell ref="G2260:J2260"/>
    <mergeCell ref="E2158:F2158"/>
    <mergeCell ref="G1803:J1803"/>
    <mergeCell ref="G1797:J1797"/>
    <mergeCell ref="E1695:F1695"/>
    <mergeCell ref="E1826:F1826"/>
    <mergeCell ref="G1498:J1498"/>
    <mergeCell ref="E215:F215"/>
    <mergeCell ref="E2458:F2458"/>
    <mergeCell ref="E373:F373"/>
    <mergeCell ref="E673:F673"/>
    <mergeCell ref="G1971:J1971"/>
    <mergeCell ref="E1842:F1842"/>
    <mergeCell ref="G2271:J2271"/>
    <mergeCell ref="G186:J186"/>
    <mergeCell ref="E57:F57"/>
    <mergeCell ref="G2402:J2402"/>
    <mergeCell ref="E2359:F2359"/>
    <mergeCell ref="G1966:J1966"/>
    <mergeCell ref="E268:F268"/>
    <mergeCell ref="E243:F243"/>
    <mergeCell ref="G486:J486"/>
    <mergeCell ref="E2054:F2054"/>
    <mergeCell ref="G2272:J2272"/>
    <mergeCell ref="E574:F574"/>
    <mergeCell ref="G786:J786"/>
    <mergeCell ref="E2354:F2354"/>
    <mergeCell ref="G1999:J1999"/>
    <mergeCell ref="E569:F569"/>
    <mergeCell ref="G56:J56"/>
    <mergeCell ref="G2299:J2299"/>
    <mergeCell ref="G214:J214"/>
    <mergeCell ref="G1842:J1842"/>
    <mergeCell ref="E742:F742"/>
    <mergeCell ref="E1042:F1042"/>
    <mergeCell ref="E585:F585"/>
    <mergeCell ref="E737:F737"/>
    <mergeCell ref="E1342:F1342"/>
    <mergeCell ref="E1043:F1043"/>
    <mergeCell ref="E1254:F1254"/>
    <mergeCell ref="G225:J225"/>
    <mergeCell ref="E313:F313"/>
    <mergeCell ref="G525:J525"/>
    <mergeCell ref="E8:F8"/>
    <mergeCell ref="G2353:J2353"/>
    <mergeCell ref="E1070:F1070"/>
    <mergeCell ref="E613:F613"/>
    <mergeCell ref="G856:J856"/>
    <mergeCell ref="E727:F727"/>
    <mergeCell ref="E308:F308"/>
    <mergeCell ref="E1401:F1401"/>
    <mergeCell ref="E1701:F1701"/>
    <mergeCell ref="E1396:F1396"/>
    <mergeCell ref="G883:J883"/>
    <mergeCell ref="G426:J426"/>
    <mergeCell ref="G1041:J1041"/>
    <mergeCell ref="G121:J121"/>
    <mergeCell ref="G2364:J2364"/>
    <mergeCell ref="G884:J884"/>
    <mergeCell ref="G878:J878"/>
    <mergeCell ref="E361:F361"/>
    <mergeCell ref="E1412:F1412"/>
    <mergeCell ref="E993:F993"/>
    <mergeCell ref="E1107:F1107"/>
    <mergeCell ref="E1712:F1712"/>
    <mergeCell ref="E1293:F1293"/>
    <mergeCell ref="G1025:J1025"/>
    <mergeCell ref="G1052:J1052"/>
    <mergeCell ref="E982:F982"/>
    <mergeCell ref="G726:J726"/>
    <mergeCell ref="G806:J806"/>
    <mergeCell ref="E677:F677"/>
    <mergeCell ref="E2381:F2381"/>
    <mergeCell ref="G1352:J1352"/>
    <mergeCell ref="E835:F835"/>
    <mergeCell ref="G1542:J1542"/>
    <mergeCell ref="G1026:J1026"/>
    <mergeCell ref="G1020:J1020"/>
    <mergeCell ref="E1440:F1440"/>
    <mergeCell ref="G1237:J1237"/>
    <mergeCell ref="E1135:F1135"/>
    <mergeCell ref="E1740:F1740"/>
    <mergeCell ref="E1435:F1435"/>
    <mergeCell ref="G1253:J1253"/>
    <mergeCell ref="G948:J948"/>
    <mergeCell ref="G2010:J2010"/>
    <mergeCell ref="E1493:F1493"/>
    <mergeCell ref="G1553:J1553"/>
    <mergeCell ref="G1711:J1711"/>
    <mergeCell ref="E1582:F1582"/>
    <mergeCell ref="G1248:J1248"/>
    <mergeCell ref="E1662:F1662"/>
    <mergeCell ref="E1793:F1793"/>
    <mergeCell ref="G2011:J2011"/>
    <mergeCell ref="E1488:F1488"/>
    <mergeCell ref="E2093:F2093"/>
    <mergeCell ref="E1794:F1794"/>
    <mergeCell ref="G1633:J1633"/>
    <mergeCell ref="E24:F24"/>
    <mergeCell ref="G1933:J1933"/>
    <mergeCell ref="E1804:F1804"/>
    <mergeCell ref="G2064:J2064"/>
    <mergeCell ref="E1962:F1962"/>
    <mergeCell ref="E324:F324"/>
    <mergeCell ref="E482:F482"/>
    <mergeCell ref="E19:F19"/>
    <mergeCell ref="E2262:F2262"/>
    <mergeCell ref="E782:F782"/>
    <mergeCell ref="E2473:F2473"/>
    <mergeCell ref="E319:F319"/>
    <mergeCell ref="G2080:J2080"/>
    <mergeCell ref="E477:F477"/>
    <mergeCell ref="G2380:J2380"/>
    <mergeCell ref="G2075:J2075"/>
    <mergeCell ref="G595:J595"/>
    <mergeCell ref="E493:F493"/>
    <mergeCell ref="E47:F47"/>
    <mergeCell ref="G2375:J2375"/>
    <mergeCell ref="G290:J290"/>
    <mergeCell ref="E704:F704"/>
    <mergeCell ref="E793:F793"/>
    <mergeCell ref="E1004:F1004"/>
    <mergeCell ref="E63:F63"/>
    <mergeCell ref="G2408:J2408"/>
    <mergeCell ref="G2109:J2109"/>
    <mergeCell ref="G2103:J2103"/>
    <mergeCell ref="G623:J623"/>
    <mergeCell ref="G606:J606"/>
    <mergeCell ref="G160:J160"/>
    <mergeCell ref="G2403:J2403"/>
    <mergeCell ref="E1151:F1151"/>
    <mergeCell ref="E846:F846"/>
    <mergeCell ref="E389:F389"/>
    <mergeCell ref="E1451:F1451"/>
    <mergeCell ref="G34:J34"/>
    <mergeCell ref="E1609:F1609"/>
    <mergeCell ref="E1146:F1146"/>
    <mergeCell ref="G334:J334"/>
    <mergeCell ref="G29:J29"/>
    <mergeCell ref="E416:F416"/>
    <mergeCell ref="G1091:J1091"/>
    <mergeCell ref="G634:J634"/>
    <mergeCell ref="G1308:J1308"/>
    <mergeCell ref="G1422:J1422"/>
    <mergeCell ref="E880:F880"/>
    <mergeCell ref="G1003:J1003"/>
    <mergeCell ref="E874:F874"/>
    <mergeCell ref="G1722:J1722"/>
    <mergeCell ref="G176:J176"/>
    <mergeCell ref="E1505:F1505"/>
    <mergeCell ref="G476:J476"/>
    <mergeCell ref="G556:J556"/>
    <mergeCell ref="G687:J687"/>
    <mergeCell ref="G776:J776"/>
    <mergeCell ref="G1450:J1450"/>
    <mergeCell ref="G987:J987"/>
    <mergeCell ref="E885:F885"/>
    <mergeCell ref="G1145:J1145"/>
    <mergeCell ref="G688:J688"/>
    <mergeCell ref="E1559:F1559"/>
    <mergeCell ref="E2278:F2278"/>
    <mergeCell ref="E1859:F1859"/>
    <mergeCell ref="E1979:F1979"/>
    <mergeCell ref="E1516:F1516"/>
    <mergeCell ref="G1161:J1161"/>
    <mergeCell ref="G698:J698"/>
    <mergeCell ref="E1860:F1860"/>
    <mergeCell ref="G1461:J1461"/>
    <mergeCell ref="G1678:J1678"/>
    <mergeCell ref="G1156:J1156"/>
    <mergeCell ref="E1244:F1244"/>
    <mergeCell ref="E2007:F2007"/>
    <mergeCell ref="E2001:F2001"/>
    <mergeCell ref="G1673:J1673"/>
    <mergeCell ref="E1544:F1544"/>
    <mergeCell ref="G1057:J1057"/>
    <mergeCell ref="E2017:F2017"/>
    <mergeCell ref="G1683:J1683"/>
    <mergeCell ref="G1820:J1820"/>
    <mergeCell ref="G1814:J1814"/>
    <mergeCell ref="E1929:F1929"/>
    <mergeCell ref="E232:F232"/>
    <mergeCell ref="G1815:J1815"/>
    <mergeCell ref="E2229:F2229"/>
    <mergeCell ref="E532:F532"/>
    <mergeCell ref="E227:F227"/>
    <mergeCell ref="E444:F444"/>
    <mergeCell ref="G45:J45"/>
    <mergeCell ref="G2288:J2288"/>
    <mergeCell ref="G345:J345"/>
    <mergeCell ref="E2071:F2071"/>
    <mergeCell ref="G46:J46"/>
    <mergeCell ref="G40:J40"/>
    <mergeCell ref="E460:F460"/>
    <mergeCell ref="G2289:J2289"/>
    <mergeCell ref="E128:F128"/>
    <mergeCell ref="E155:F155"/>
    <mergeCell ref="E2371:F2371"/>
    <mergeCell ref="E760:F760"/>
    <mergeCell ref="E428:F428"/>
    <mergeCell ref="E586:F586"/>
    <mergeCell ref="G1884:J1884"/>
    <mergeCell ref="G2184:J2184"/>
    <mergeCell ref="G74:J74"/>
    <mergeCell ref="G68:J68"/>
    <mergeCell ref="E602:F602"/>
    <mergeCell ref="E596:F596"/>
    <mergeCell ref="G399:J399"/>
    <mergeCell ref="E297:F297"/>
    <mergeCell ref="E902:F902"/>
    <mergeCell ref="E1060:F1060"/>
    <mergeCell ref="E1576:F1576"/>
    <mergeCell ref="G699:J699"/>
    <mergeCell ref="E597:F597"/>
    <mergeCell ref="E1571:F1571"/>
    <mergeCell ref="G2239:J2239"/>
    <mergeCell ref="G1058:J1058"/>
    <mergeCell ref="G759:J759"/>
    <mergeCell ref="E655:F655"/>
    <mergeCell ref="E630:F630"/>
    <mergeCell ref="G753:J753"/>
    <mergeCell ref="E955:F955"/>
    <mergeCell ref="E930:F930"/>
    <mergeCell ref="G754:J754"/>
    <mergeCell ref="E650:F650"/>
    <mergeCell ref="E1255:F1255"/>
    <mergeCell ref="G443:J443"/>
    <mergeCell ref="G138:J138"/>
    <mergeCell ref="E1713:F1713"/>
    <mergeCell ref="G1200:J1200"/>
    <mergeCell ref="G743:J743"/>
    <mergeCell ref="G901:J901"/>
    <mergeCell ref="G895:J895"/>
    <mergeCell ref="G438:J438"/>
    <mergeCell ref="E1010:F1010"/>
    <mergeCell ref="G1201:J1201"/>
    <mergeCell ref="E1615:F1615"/>
    <mergeCell ref="E1729:F1729"/>
    <mergeCell ref="E1310:F1310"/>
    <mergeCell ref="G1526:J1526"/>
    <mergeCell ref="G1128:J1128"/>
    <mergeCell ref="E1610:F1610"/>
    <mergeCell ref="G1826:J1826"/>
    <mergeCell ref="G823:J823"/>
    <mergeCell ref="E2398:F2398"/>
    <mergeCell ref="G1428:J1428"/>
    <mergeCell ref="G1123:J1123"/>
    <mergeCell ref="E994:F994"/>
    <mergeCell ref="G1254:J1254"/>
    <mergeCell ref="G1728:J1728"/>
    <mergeCell ref="G1859:J1859"/>
    <mergeCell ref="G1886:J1886"/>
    <mergeCell ref="E1782:F1782"/>
    <mergeCell ref="E1757:F1757"/>
    <mergeCell ref="G1423:J1423"/>
    <mergeCell ref="G1581:J1581"/>
    <mergeCell ref="E2082:F2082"/>
    <mergeCell ref="E1663:F1663"/>
    <mergeCell ref="E1777:F1777"/>
    <mergeCell ref="E2382:F2382"/>
    <mergeCell ref="G965:J965"/>
    <mergeCell ref="G1570:J1570"/>
    <mergeCell ref="G1265:J1265"/>
    <mergeCell ref="E1679:F1679"/>
    <mergeCell ref="E1810:F1810"/>
    <mergeCell ref="G1476:J1476"/>
    <mergeCell ref="E199:F199"/>
    <mergeCell ref="G2028:J2028"/>
    <mergeCell ref="G2022:J2022"/>
    <mergeCell ref="G1565:J1565"/>
    <mergeCell ref="E2110:F2110"/>
    <mergeCell ref="E2137:F2137"/>
    <mergeCell ref="E499:F499"/>
    <mergeCell ref="G2328:J2328"/>
    <mergeCell ref="E194:F194"/>
    <mergeCell ref="E2437:F2437"/>
    <mergeCell ref="E1980:F1980"/>
    <mergeCell ref="E494:F494"/>
    <mergeCell ref="G2255:J2255"/>
    <mergeCell ref="G1950:J1950"/>
    <mergeCell ref="E1821:F1821"/>
    <mergeCell ref="G2250:J2250"/>
    <mergeCell ref="E36:F36"/>
    <mergeCell ref="G2381:J2381"/>
    <mergeCell ref="G770:J770"/>
    <mergeCell ref="E641:F641"/>
    <mergeCell ref="E2332:F2332"/>
    <mergeCell ref="G465:J465"/>
    <mergeCell ref="E2033:F2033"/>
    <mergeCell ref="E336:F336"/>
    <mergeCell ref="E1099:F1099"/>
    <mergeCell ref="G1978:J1978"/>
    <mergeCell ref="G2092:J2092"/>
    <mergeCell ref="G612:J612"/>
    <mergeCell ref="G2278:J2278"/>
    <mergeCell ref="G193:J193"/>
    <mergeCell ref="G149:J149"/>
    <mergeCell ref="G2392:J2392"/>
    <mergeCell ref="E721:F721"/>
    <mergeCell ref="G912:J912"/>
    <mergeCell ref="E1326:F1326"/>
    <mergeCell ref="G449:J449"/>
    <mergeCell ref="G607:J607"/>
    <mergeCell ref="E1021:F1021"/>
    <mergeCell ref="E564:F564"/>
    <mergeCell ref="G209:J209"/>
    <mergeCell ref="E1321:F1321"/>
    <mergeCell ref="E1022:F1022"/>
    <mergeCell ref="G509:J509"/>
    <mergeCell ref="G177:J177"/>
    <mergeCell ref="G204:J204"/>
    <mergeCell ref="E749:F749"/>
    <mergeCell ref="G809:J809"/>
    <mergeCell ref="E705:F705"/>
    <mergeCell ref="E863:F863"/>
    <mergeCell ref="E1049:F1049"/>
    <mergeCell ref="E617:F617"/>
    <mergeCell ref="G1292:J1292"/>
    <mergeCell ref="E1163:F1163"/>
    <mergeCell ref="E706:F706"/>
    <mergeCell ref="G351:J351"/>
    <mergeCell ref="G1592:J1592"/>
    <mergeCell ref="E1463:F1463"/>
    <mergeCell ref="G562:J562"/>
    <mergeCell ref="G651:J651"/>
    <mergeCell ref="G862:J862"/>
    <mergeCell ref="G976:J976"/>
    <mergeCell ref="G1162:J1162"/>
    <mergeCell ref="G1276:J1276"/>
    <mergeCell ref="G863:J863"/>
    <mergeCell ref="E1848:F1848"/>
    <mergeCell ref="G977:J977"/>
    <mergeCell ref="E1391:F1391"/>
    <mergeCell ref="E2453:F2453"/>
    <mergeCell ref="E2148:F2148"/>
    <mergeCell ref="E1691:F1691"/>
    <mergeCell ref="G873:J873"/>
    <mergeCell ref="G1010:J1010"/>
    <mergeCell ref="E2448:F2448"/>
    <mergeCell ref="G1004:J1004"/>
    <mergeCell ref="E2149:F2149"/>
    <mergeCell ref="E1119:F1119"/>
    <mergeCell ref="G1304:J1304"/>
    <mergeCell ref="E1838:F1838"/>
    <mergeCell ref="E1876:F1876"/>
    <mergeCell ref="G1005:J1005"/>
    <mergeCell ref="E1419:F1419"/>
    <mergeCell ref="E1533:F1533"/>
    <mergeCell ref="E1719:F1719"/>
    <mergeCell ref="E1833:F1833"/>
    <mergeCell ref="G1478:J1478"/>
    <mergeCell ref="G1689:J1689"/>
    <mergeCell ref="G1232:J1232"/>
    <mergeCell ref="G1778:J1778"/>
    <mergeCell ref="G1995:J1995"/>
    <mergeCell ref="G1989:J1989"/>
    <mergeCell ref="G1532:J1532"/>
    <mergeCell ref="G1690:J1690"/>
    <mergeCell ref="E2218:F2218"/>
    <mergeCell ref="E2193:F2193"/>
    <mergeCell ref="G1990:J1990"/>
    <mergeCell ref="E733:F733"/>
    <mergeCell ref="G2137:J2137"/>
    <mergeCell ref="G2131:J2131"/>
    <mergeCell ref="G520:J520"/>
    <mergeCell ref="E2088:F2088"/>
    <mergeCell ref="E3:F3"/>
    <mergeCell ref="G1832:J1832"/>
    <mergeCell ref="G2348:J2348"/>
    <mergeCell ref="E2246:F2246"/>
    <mergeCell ref="E117:F117"/>
    <mergeCell ref="G215:J215"/>
    <mergeCell ref="E1783:F1783"/>
    <mergeCell ref="E303:F303"/>
    <mergeCell ref="G2132:J2132"/>
    <mergeCell ref="E417:F417"/>
    <mergeCell ref="E761:F761"/>
    <mergeCell ref="G2059:J2059"/>
    <mergeCell ref="G362:J362"/>
    <mergeCell ref="G2359:J2359"/>
    <mergeCell ref="G243:J243"/>
    <mergeCell ref="E777:F777"/>
    <mergeCell ref="G574:J574"/>
    <mergeCell ref="E472:F472"/>
    <mergeCell ref="E772:F772"/>
    <mergeCell ref="G715:J715"/>
    <mergeCell ref="E830:F830"/>
    <mergeCell ref="G1048:J1048"/>
    <mergeCell ref="E919:F919"/>
    <mergeCell ref="G1042:J1042"/>
    <mergeCell ref="G716:J716"/>
    <mergeCell ref="E1130:F1130"/>
    <mergeCell ref="G1342:J1342"/>
    <mergeCell ref="E825:F825"/>
    <mergeCell ref="E1430:F1430"/>
    <mergeCell ref="G13:J13"/>
    <mergeCell ref="E1588:F1588"/>
    <mergeCell ref="G618:J618"/>
    <mergeCell ref="G313:J313"/>
    <mergeCell ref="G918:J918"/>
    <mergeCell ref="G1076:J1076"/>
    <mergeCell ref="E972:F972"/>
    <mergeCell ref="G1032:J1032"/>
    <mergeCell ref="G1070:J1070"/>
    <mergeCell ref="G613:J613"/>
    <mergeCell ref="E1604:F1604"/>
    <mergeCell ref="G1401:J1401"/>
    <mergeCell ref="E1272:F1272"/>
    <mergeCell ref="E1299:F1299"/>
    <mergeCell ref="E853:F853"/>
    <mergeCell ref="E1904:F1904"/>
    <mergeCell ref="E967:F967"/>
    <mergeCell ref="G1701:J1701"/>
    <mergeCell ref="E1572:F1572"/>
    <mergeCell ref="E1599:F1599"/>
    <mergeCell ref="G155:J155"/>
    <mergeCell ref="G760:J760"/>
    <mergeCell ref="E1899:F1899"/>
    <mergeCell ref="G455:J455"/>
    <mergeCell ref="E869:F869"/>
    <mergeCell ref="G666:J666"/>
    <mergeCell ref="G755:J755"/>
    <mergeCell ref="E1169:F1169"/>
    <mergeCell ref="G1429:J1429"/>
    <mergeCell ref="G1412:J1412"/>
    <mergeCell ref="E1957:F1957"/>
    <mergeCell ref="E1932:F1932"/>
    <mergeCell ref="E1652:F1652"/>
    <mergeCell ref="E2257:F2257"/>
    <mergeCell ref="E1952:F1952"/>
    <mergeCell ref="G982:J982"/>
    <mergeCell ref="G1140:J1140"/>
    <mergeCell ref="G1745:J1745"/>
    <mergeCell ref="G1903:J1903"/>
    <mergeCell ref="G1440:J1440"/>
    <mergeCell ref="E1985:F1985"/>
    <mergeCell ref="E1522:F1522"/>
    <mergeCell ref="G2203:J2203"/>
    <mergeCell ref="E1680:F1680"/>
    <mergeCell ref="G1740:J1740"/>
    <mergeCell ref="E2285:F2285"/>
    <mergeCell ref="E2268:F2268"/>
    <mergeCell ref="E183:F183"/>
    <mergeCell ref="E483:F483"/>
    <mergeCell ref="G1282:J1282"/>
    <mergeCell ref="G1798:J1798"/>
    <mergeCell ref="G1887:J1887"/>
    <mergeCell ref="G2098:J2098"/>
    <mergeCell ref="G1582:J1582"/>
    <mergeCell ref="E1996:F1996"/>
    <mergeCell ref="G2256:J2256"/>
    <mergeCell ref="G102:J102"/>
    <mergeCell ref="G1793:J1793"/>
    <mergeCell ref="G1882:J1882"/>
    <mergeCell ref="E211:F211"/>
    <mergeCell ref="G97:J97"/>
    <mergeCell ref="E511:F511"/>
    <mergeCell ref="G24:J24"/>
    <mergeCell ref="G2267:J2267"/>
    <mergeCell ref="G2398:J2398"/>
    <mergeCell ref="G787:J787"/>
    <mergeCell ref="E2355:F2355"/>
    <mergeCell ref="G324:J324"/>
    <mergeCell ref="G482:J482"/>
    <mergeCell ref="E2050:F2050"/>
    <mergeCell ref="E439:F439"/>
    <mergeCell ref="E107:F107"/>
    <mergeCell ref="G782:J782"/>
    <mergeCell ref="E2350:F2350"/>
    <mergeCell ref="E739:F739"/>
    <mergeCell ref="G166:J166"/>
    <mergeCell ref="E580:F580"/>
    <mergeCell ref="G798:J798"/>
    <mergeCell ref="G352:J352"/>
    <mergeCell ref="G2163:J2163"/>
    <mergeCell ref="G466:J466"/>
    <mergeCell ref="G167:J167"/>
    <mergeCell ref="E1038:F1038"/>
    <mergeCell ref="G1098:J1098"/>
    <mergeCell ref="E581:F581"/>
    <mergeCell ref="E575:F575"/>
    <mergeCell ref="E1338:F1338"/>
    <mergeCell ref="E881:F881"/>
    <mergeCell ref="E1555:F1555"/>
    <mergeCell ref="G526:J526"/>
    <mergeCell ref="E1033:F1033"/>
    <mergeCell ref="G63:J63"/>
    <mergeCell ref="E1638:F1638"/>
    <mergeCell ref="G851:J851"/>
    <mergeCell ref="G826:J826"/>
    <mergeCell ref="E722:F722"/>
    <mergeCell ref="G1151:J1151"/>
    <mergeCell ref="G732:J732"/>
    <mergeCell ref="E603:F603"/>
    <mergeCell ref="E723:F723"/>
    <mergeCell ref="E717:F717"/>
    <mergeCell ref="G1914:J1914"/>
    <mergeCell ref="G1451:J1451"/>
    <mergeCell ref="E934:F934"/>
    <mergeCell ref="G1152:J1152"/>
    <mergeCell ref="E1539:F1539"/>
    <mergeCell ref="E1023:F1023"/>
    <mergeCell ref="E1697:F1697"/>
    <mergeCell ref="E1234:F1234"/>
    <mergeCell ref="G205:J205"/>
    <mergeCell ref="G879:J879"/>
    <mergeCell ref="E1692:F1692"/>
    <mergeCell ref="G1179:J1179"/>
    <mergeCell ref="G1299:J1299"/>
    <mergeCell ref="G880:J880"/>
    <mergeCell ref="G874:J874"/>
    <mergeCell ref="E1707:F1707"/>
    <mergeCell ref="G1180:J1180"/>
    <mergeCell ref="E2013:F2013"/>
    <mergeCell ref="E1708:F1708"/>
    <mergeCell ref="E1702:F1702"/>
    <mergeCell ref="E222:F222"/>
    <mergeCell ref="G1021:J1021"/>
    <mergeCell ref="E2008:F2008"/>
    <mergeCell ref="G1653:J1653"/>
    <mergeCell ref="G1321:J1321"/>
    <mergeCell ref="G1953:J1953"/>
    <mergeCell ref="E973:F973"/>
    <mergeCell ref="G168:J168"/>
    <mergeCell ref="E1761:F1761"/>
    <mergeCell ref="G1979:J1979"/>
    <mergeCell ref="E2061:F2061"/>
    <mergeCell ref="G1249:J1249"/>
    <mergeCell ref="E2361:F2361"/>
    <mergeCell ref="G2006:J2006"/>
    <mergeCell ref="G1549:J1549"/>
    <mergeCell ref="G2306:J2306"/>
    <mergeCell ref="E1789:F1789"/>
    <mergeCell ref="G1849:J1849"/>
    <mergeCell ref="G2007:J2007"/>
    <mergeCell ref="E172:F172"/>
    <mergeCell ref="G2001:J2001"/>
    <mergeCell ref="E2421:F2421"/>
    <mergeCell ref="E2089:F2089"/>
    <mergeCell ref="G2307:J2307"/>
    <mergeCell ref="E592:F592"/>
    <mergeCell ref="G1934:J1934"/>
    <mergeCell ref="G2148:J2148"/>
    <mergeCell ref="G2234:J2234"/>
    <mergeCell ref="G537:J537"/>
    <mergeCell ref="E2105:F2105"/>
    <mergeCell ref="E20:F20"/>
    <mergeCell ref="G2365:J2365"/>
    <mergeCell ref="E2263:F2263"/>
    <mergeCell ref="G238:J238"/>
    <mergeCell ref="G1929:J1929"/>
    <mergeCell ref="G232:J232"/>
    <mergeCell ref="E1800:F1800"/>
    <mergeCell ref="G2448:J2448"/>
    <mergeCell ref="E320:F320"/>
    <mergeCell ref="G532:J532"/>
    <mergeCell ref="E2100:F2100"/>
    <mergeCell ref="E15:F15"/>
    <mergeCell ref="G749:J749"/>
    <mergeCell ref="G233:J233"/>
    <mergeCell ref="E620:F620"/>
    <mergeCell ref="E2431:F2431"/>
    <mergeCell ref="E315:F315"/>
    <mergeCell ref="G2076:J2076"/>
    <mergeCell ref="G590:J590"/>
    <mergeCell ref="G2376:J2376"/>
    <mergeCell ref="G1913:J1913"/>
    <mergeCell ref="G2071:J2071"/>
    <mergeCell ref="G591:J591"/>
    <mergeCell ref="E1005:F1005"/>
    <mergeCell ref="E1094:F1094"/>
    <mergeCell ref="E700:F700"/>
    <mergeCell ref="G217:J217"/>
    <mergeCell ref="G891:J891"/>
    <mergeCell ref="E1305:F1305"/>
    <mergeCell ref="E1000:F1000"/>
    <mergeCell ref="E1605:F1605"/>
    <mergeCell ref="G619:J619"/>
    <mergeCell ref="G602:J602"/>
    <mergeCell ref="E1147:F1147"/>
    <mergeCell ref="E684:F684"/>
    <mergeCell ref="G1365:J1365"/>
    <mergeCell ref="E842:F842"/>
    <mergeCell ref="G902:J902"/>
    <mergeCell ref="G1576:J1576"/>
    <mergeCell ref="E1447:F1447"/>
    <mergeCell ref="E1142:F1142"/>
    <mergeCell ref="G1876:J1876"/>
    <mergeCell ref="E1747:F1747"/>
    <mergeCell ref="G330:J330"/>
    <mergeCell ref="E1905:F1905"/>
    <mergeCell ref="G935:J935"/>
    <mergeCell ref="E1442:F1442"/>
    <mergeCell ref="G655:J655"/>
    <mergeCell ref="G630:J630"/>
    <mergeCell ref="E1832:F1832"/>
    <mergeCell ref="G955:J955"/>
    <mergeCell ref="G930:J930"/>
    <mergeCell ref="E1500:F1500"/>
    <mergeCell ref="E1475:F1475"/>
    <mergeCell ref="E1458:F1458"/>
    <mergeCell ref="G1718:J1718"/>
    <mergeCell ref="E2132:F2132"/>
    <mergeCell ref="E1675:F1675"/>
    <mergeCell ref="E2221:F2221"/>
    <mergeCell ref="E136:F136"/>
    <mergeCell ref="E1827:F1827"/>
    <mergeCell ref="G2018:J2018"/>
    <mergeCell ref="E2432:F2432"/>
    <mergeCell ref="G988:J988"/>
    <mergeCell ref="E2127:F2127"/>
    <mergeCell ref="G683:J683"/>
    <mergeCell ref="G1288:J1288"/>
    <mergeCell ref="G1446:J1446"/>
    <mergeCell ref="G983:J983"/>
    <mergeCell ref="G2034:J2034"/>
    <mergeCell ref="G1283:J1283"/>
    <mergeCell ref="E2274:F2274"/>
    <mergeCell ref="E1817:F1817"/>
    <mergeCell ref="E1855:F1855"/>
    <mergeCell ref="E1811:F1811"/>
    <mergeCell ref="E1969:F1969"/>
    <mergeCell ref="E1512:F1512"/>
    <mergeCell ref="G1157:J1157"/>
    <mergeCell ref="E26:F26"/>
    <mergeCell ref="E2275:F2275"/>
    <mergeCell ref="E2269:F2269"/>
    <mergeCell ref="G1457:J1457"/>
    <mergeCell ref="G2062:J2062"/>
    <mergeCell ref="G1668:J1668"/>
    <mergeCell ref="G1782:J1782"/>
    <mergeCell ref="G1757:J1757"/>
    <mergeCell ref="G1968:J1968"/>
    <mergeCell ref="G2082:J2082"/>
    <mergeCell ref="E805:F805"/>
    <mergeCell ref="G1984:J1984"/>
    <mergeCell ref="G2115:J2115"/>
    <mergeCell ref="G1810:J1810"/>
    <mergeCell ref="G199:J199"/>
    <mergeCell ref="E70:F70"/>
    <mergeCell ref="G2415:J2415"/>
    <mergeCell ref="E2313:F2313"/>
    <mergeCell ref="E228:F228"/>
    <mergeCell ref="G288:J288"/>
    <mergeCell ref="G2116:J2116"/>
    <mergeCell ref="G2110:J2110"/>
    <mergeCell ref="G499:J499"/>
    <mergeCell ref="E553:F553"/>
    <mergeCell ref="E528:F528"/>
    <mergeCell ref="E96:F96"/>
    <mergeCell ref="E2339:F2339"/>
    <mergeCell ref="G2126:J2126"/>
    <mergeCell ref="G41:J41"/>
    <mergeCell ref="G2284:J2284"/>
    <mergeCell ref="E740:F740"/>
    <mergeCell ref="G2038:J2038"/>
    <mergeCell ref="G341:J341"/>
    <mergeCell ref="E755:F755"/>
    <mergeCell ref="G36:J36"/>
    <mergeCell ref="E423:F423"/>
    <mergeCell ref="G2338:J2338"/>
    <mergeCell ref="G641:J641"/>
    <mergeCell ref="G799:J799"/>
    <mergeCell ref="E756:F756"/>
    <mergeCell ref="E750:F750"/>
    <mergeCell ref="E887:F887"/>
    <mergeCell ref="G1099:J1099"/>
    <mergeCell ref="G69:J69"/>
    <mergeCell ref="G369:J369"/>
    <mergeCell ref="G2180:J2180"/>
    <mergeCell ref="E897:F897"/>
    <mergeCell ref="G700:J700"/>
    <mergeCell ref="E1055:F1055"/>
    <mergeCell ref="G694:J694"/>
    <mergeCell ref="E1355:F1355"/>
    <mergeCell ref="E898:F898"/>
    <mergeCell ref="E892:F892"/>
    <mergeCell ref="G695:J695"/>
    <mergeCell ref="E1109:F1109"/>
    <mergeCell ref="E1655:F1655"/>
    <mergeCell ref="E1223:F1223"/>
    <mergeCell ref="E1872:F1872"/>
    <mergeCell ref="E1409:F1409"/>
    <mergeCell ref="G1054:J1054"/>
    <mergeCell ref="G1168:J1168"/>
    <mergeCell ref="G705:J705"/>
    <mergeCell ref="G1354:J1354"/>
    <mergeCell ref="G1468:J1468"/>
    <mergeCell ref="E951:F951"/>
    <mergeCell ref="G1011:J1011"/>
    <mergeCell ref="G1049:J1049"/>
    <mergeCell ref="E1556:F1556"/>
    <mergeCell ref="E1583:F1583"/>
    <mergeCell ref="E1251:F1251"/>
    <mergeCell ref="G738:J738"/>
    <mergeCell ref="E1883:F1883"/>
    <mergeCell ref="G439:J439"/>
    <mergeCell ref="E2014:F2014"/>
    <mergeCell ref="E1551:F1551"/>
    <mergeCell ref="G1196:J1196"/>
    <mergeCell ref="G739:J739"/>
    <mergeCell ref="G1496:J1496"/>
    <mergeCell ref="G1039:J1039"/>
    <mergeCell ref="G1827:J1827"/>
    <mergeCell ref="E1725:F1725"/>
    <mergeCell ref="E1936:F1936"/>
    <mergeCell ref="E239:F239"/>
    <mergeCell ref="E2025:F2025"/>
    <mergeCell ref="G1822:J1822"/>
    <mergeCell ref="E2236:F2236"/>
    <mergeCell ref="G1207:J1207"/>
    <mergeCell ref="E1295:F1295"/>
    <mergeCell ref="G1119:J1119"/>
    <mergeCell ref="G2181:J2181"/>
    <mergeCell ref="G1838:J1838"/>
    <mergeCell ref="G1550:J1550"/>
    <mergeCell ref="G2182:J2182"/>
    <mergeCell ref="E2078:F2078"/>
    <mergeCell ref="G2138:J2138"/>
    <mergeCell ref="E598:F598"/>
    <mergeCell ref="E162:F162"/>
    <mergeCell ref="E2378:F2378"/>
    <mergeCell ref="G1566:J1566"/>
    <mergeCell ref="G80:J80"/>
    <mergeCell ref="G2323:J2323"/>
    <mergeCell ref="G1866:J1866"/>
    <mergeCell ref="E195:F195"/>
    <mergeCell ref="E2438:F2438"/>
    <mergeCell ref="E309:F309"/>
    <mergeCell ref="E1975:F1975"/>
    <mergeCell ref="E495:F495"/>
    <mergeCell ref="E609:F609"/>
    <mergeCell ref="E190:F190"/>
    <mergeCell ref="E795:F795"/>
    <mergeCell ref="E953:F953"/>
    <mergeCell ref="E909:F909"/>
    <mergeCell ref="E490:F490"/>
    <mergeCell ref="G2251:J2251"/>
    <mergeCell ref="E179:F179"/>
    <mergeCell ref="E2422:F2422"/>
    <mergeCell ref="G2088:J2088"/>
    <mergeCell ref="G3:J3"/>
    <mergeCell ref="G2246:J2246"/>
    <mergeCell ref="G92:J92"/>
    <mergeCell ref="G766:J766"/>
    <mergeCell ref="E662:F662"/>
    <mergeCell ref="E637:F637"/>
    <mergeCell ref="E962:F962"/>
    <mergeCell ref="E937:F937"/>
    <mergeCell ref="G150:J150"/>
    <mergeCell ref="G2393:J2393"/>
    <mergeCell ref="E1262:F1262"/>
    <mergeCell ref="G450:J450"/>
    <mergeCell ref="G145:J145"/>
    <mergeCell ref="E559:F559"/>
    <mergeCell ref="G2388:J2388"/>
    <mergeCell ref="G750:J750"/>
    <mergeCell ref="G908:J908"/>
    <mergeCell ref="E1322:F1322"/>
    <mergeCell ref="G445:J445"/>
    <mergeCell ref="E859:F859"/>
    <mergeCell ref="E1017:F1017"/>
    <mergeCell ref="E560:F560"/>
    <mergeCell ref="E1622:F1622"/>
    <mergeCell ref="E1317:F1317"/>
    <mergeCell ref="G505:J505"/>
    <mergeCell ref="E1617:F1617"/>
    <mergeCell ref="G1224:J1224"/>
    <mergeCell ref="G830:J830"/>
    <mergeCell ref="G805:J805"/>
    <mergeCell ref="E701:F701"/>
    <mergeCell ref="G919:J919"/>
    <mergeCell ref="E1464:F1464"/>
    <mergeCell ref="E1007:F1007"/>
    <mergeCell ref="G1130:J1130"/>
    <mergeCell ref="E1001:F1001"/>
    <mergeCell ref="E702:F702"/>
    <mergeCell ref="E1212:F1212"/>
    <mergeCell ref="G1893:J1893"/>
    <mergeCell ref="E1764:F1764"/>
    <mergeCell ref="G1588:J1588"/>
    <mergeCell ref="E1061:F1061"/>
    <mergeCell ref="G1277:J1277"/>
    <mergeCell ref="G972:J972"/>
    <mergeCell ref="E1361:F1361"/>
    <mergeCell ref="G1621:J1621"/>
    <mergeCell ref="G1577:J1577"/>
    <mergeCell ref="G1735:J1735"/>
    <mergeCell ref="G1272:J1272"/>
    <mergeCell ref="E1686:F1686"/>
    <mergeCell ref="E2449:F2449"/>
    <mergeCell ref="G1572:J1572"/>
    <mergeCell ref="E1992:F1992"/>
    <mergeCell ref="E2144:F2144"/>
    <mergeCell ref="E1687:F1687"/>
    <mergeCell ref="G1174:J1174"/>
    <mergeCell ref="G1332:J1332"/>
    <mergeCell ref="E2444:F2444"/>
    <mergeCell ref="G1000:J1000"/>
    <mergeCell ref="G1605:J1605"/>
    <mergeCell ref="G1632:J1632"/>
    <mergeCell ref="G1300:J1300"/>
    <mergeCell ref="G1957:J1957"/>
    <mergeCell ref="G1932:J1932"/>
    <mergeCell ref="E1828:F1828"/>
    <mergeCell ref="E2045:F2045"/>
    <mergeCell ref="E348:F348"/>
    <mergeCell ref="E2134:F2134"/>
    <mergeCell ref="G2257:J2257"/>
    <mergeCell ref="E43:F43"/>
    <mergeCell ref="E1829:F1829"/>
    <mergeCell ref="E648:F648"/>
    <mergeCell ref="E2345:F2345"/>
    <mergeCell ref="G1316:J1316"/>
    <mergeCell ref="G2290:J2290"/>
    <mergeCell ref="E2188:F2188"/>
    <mergeCell ref="G2404:J2404"/>
    <mergeCell ref="G1985:J1985"/>
    <mergeCell ref="G2285:J2285"/>
    <mergeCell ref="G2405:J2405"/>
    <mergeCell ref="E728:F728"/>
    <mergeCell ref="E271:F271"/>
    <mergeCell ref="E1028:F1028"/>
    <mergeCell ref="E571:F571"/>
    <mergeCell ref="G216:J216"/>
    <mergeCell ref="G305:J305"/>
    <mergeCell ref="G2127:J2127"/>
    <mergeCell ref="E418:F418"/>
    <mergeCell ref="G516:J516"/>
    <mergeCell ref="G211:J211"/>
    <mergeCell ref="G2427:J2427"/>
    <mergeCell ref="E718:F718"/>
    <mergeCell ref="E712:F712"/>
    <mergeCell ref="E413:F413"/>
    <mergeCell ref="E1176:F1176"/>
    <mergeCell ref="E713:F713"/>
    <mergeCell ref="G358:J358"/>
    <mergeCell ref="G569:J569"/>
    <mergeCell ref="G53:J53"/>
    <mergeCell ref="G2355:J2355"/>
    <mergeCell ref="G658:J658"/>
    <mergeCell ref="E1072:F1072"/>
    <mergeCell ref="G875:J875"/>
    <mergeCell ref="G353:J353"/>
    <mergeCell ref="E773:F773"/>
    <mergeCell ref="E1073:F1073"/>
    <mergeCell ref="G870:J870"/>
    <mergeCell ref="G255:J255"/>
    <mergeCell ref="E1398:F1398"/>
    <mergeCell ref="G1043:J1043"/>
    <mergeCell ref="G711:J711"/>
    <mergeCell ref="G1343:J1343"/>
    <mergeCell ref="E1214:F1214"/>
    <mergeCell ref="G1038:J1038"/>
    <mergeCell ref="E1425:F1425"/>
    <mergeCell ref="E1545:F1545"/>
    <mergeCell ref="G1643:J1643"/>
    <mergeCell ref="E1126:F1126"/>
    <mergeCell ref="G1344:J1344"/>
    <mergeCell ref="E1731:F1731"/>
    <mergeCell ref="G1338:J1338"/>
    <mergeCell ref="E1845:F1845"/>
    <mergeCell ref="E1426:F1426"/>
    <mergeCell ref="G1027:J1027"/>
    <mergeCell ref="E1726:F1726"/>
    <mergeCell ref="G1371:J1371"/>
    <mergeCell ref="E1600:F1600"/>
    <mergeCell ref="E114:F114"/>
    <mergeCell ref="G2002:J2002"/>
    <mergeCell ref="E1900:F1900"/>
    <mergeCell ref="E1479:F1479"/>
    <mergeCell ref="E1437:F1437"/>
    <mergeCell ref="G1697:J1697"/>
    <mergeCell ref="E2111:F2111"/>
    <mergeCell ref="E2225:F2225"/>
    <mergeCell ref="E2200:F2200"/>
    <mergeCell ref="G1997:J1997"/>
    <mergeCell ref="E2411:F2411"/>
    <mergeCell ref="G1844:J1844"/>
    <mergeCell ref="E1795:F1795"/>
    <mergeCell ref="G2470:J2470"/>
    <mergeCell ref="G2013:J2013"/>
    <mergeCell ref="G2144:J2144"/>
    <mergeCell ref="E1579:F1579"/>
    <mergeCell ref="E10:F10"/>
    <mergeCell ref="G1839:J1839"/>
    <mergeCell ref="E2253:F2253"/>
    <mergeCell ref="E1796:F1796"/>
    <mergeCell ref="G2471:J2471"/>
    <mergeCell ref="G1441:J1441"/>
    <mergeCell ref="E310:F310"/>
    <mergeCell ref="G2139:J2139"/>
    <mergeCell ref="G1741:J1741"/>
    <mergeCell ref="G1278:J1278"/>
    <mergeCell ref="G1436:J1436"/>
    <mergeCell ref="G2041:J2041"/>
    <mergeCell ref="E2095:F2095"/>
    <mergeCell ref="G1736:J1736"/>
    <mergeCell ref="E484:F484"/>
    <mergeCell ref="E21:F21"/>
    <mergeCell ref="E2264:F2264"/>
    <mergeCell ref="E2395:F2395"/>
    <mergeCell ref="E784:F784"/>
    <mergeCell ref="E479:F479"/>
    <mergeCell ref="G1794:J1794"/>
    <mergeCell ref="E1242:F1242"/>
    <mergeCell ref="G2094:J2094"/>
    <mergeCell ref="G1789:J1789"/>
    <mergeCell ref="E468:F468"/>
    <mergeCell ref="E49:F49"/>
    <mergeCell ref="G2394:J2394"/>
    <mergeCell ref="G267:J267"/>
    <mergeCell ref="E163:F163"/>
    <mergeCell ref="E812:F812"/>
    <mergeCell ref="G1055:J1055"/>
    <mergeCell ref="E1137:F1137"/>
    <mergeCell ref="G108:J108"/>
    <mergeCell ref="G325:J325"/>
    <mergeCell ref="G2105:J2105"/>
    <mergeCell ref="G20:J20"/>
    <mergeCell ref="G2263:J2263"/>
    <mergeCell ref="G625:J625"/>
    <mergeCell ref="G320:J320"/>
    <mergeCell ref="E1311:F1311"/>
    <mergeCell ref="E848:F848"/>
    <mergeCell ref="G1083:J1083"/>
    <mergeCell ref="G620:J620"/>
    <mergeCell ref="G778:J778"/>
    <mergeCell ref="E1611:F1611"/>
    <mergeCell ref="E1148:F1148"/>
    <mergeCell ref="E1911:F1911"/>
    <mergeCell ref="G162:J162"/>
    <mergeCell ref="G767:J767"/>
    <mergeCell ref="G794:J794"/>
    <mergeCell ref="G925:J925"/>
    <mergeCell ref="G462:J462"/>
    <mergeCell ref="G489:J489"/>
    <mergeCell ref="E876:F876"/>
    <mergeCell ref="G1094:J1094"/>
    <mergeCell ref="G673:J673"/>
    <mergeCell ref="G1225:J1225"/>
    <mergeCell ref="G762:J762"/>
    <mergeCell ref="G1394:J1394"/>
    <mergeCell ref="E877:F877"/>
    <mergeCell ref="E1939:F1939"/>
    <mergeCell ref="G59:J59"/>
    <mergeCell ref="E1659:F1659"/>
    <mergeCell ref="G1452:J1452"/>
    <mergeCell ref="G1147:J1147"/>
    <mergeCell ref="E1018:F1018"/>
    <mergeCell ref="G1752:J1752"/>
    <mergeCell ref="E1235:F1235"/>
    <mergeCell ref="E1650:F1650"/>
    <mergeCell ref="G1910:J1910"/>
    <mergeCell ref="G1447:J1447"/>
    <mergeCell ref="E1535:F1535"/>
    <mergeCell ref="G2210:J2210"/>
    <mergeCell ref="G1747:J1747"/>
    <mergeCell ref="E1230:F1230"/>
    <mergeCell ref="G1905:J1905"/>
    <mergeCell ref="E1862:F1862"/>
    <mergeCell ref="E165:F165"/>
    <mergeCell ref="E1993:F1993"/>
    <mergeCell ref="G1594:J1594"/>
    <mergeCell ref="G1175:J1175"/>
    <mergeCell ref="G1894:J1894"/>
    <mergeCell ref="G1475:J1475"/>
    <mergeCell ref="E2009:F2009"/>
    <mergeCell ref="E2003:F2003"/>
    <mergeCell ref="E2161:F2161"/>
    <mergeCell ref="G1806:J1806"/>
    <mergeCell ref="E1704:F1704"/>
    <mergeCell ref="E523:F523"/>
    <mergeCell ref="E1915:F1915"/>
    <mergeCell ref="E218:F218"/>
    <mergeCell ref="E2004:F2004"/>
    <mergeCell ref="G1186:J1186"/>
    <mergeCell ref="E234:F234"/>
    <mergeCell ref="G2160:J2160"/>
    <mergeCell ref="E2151:F2151"/>
    <mergeCell ref="G2274:J2274"/>
    <mergeCell ref="G1817:J1817"/>
    <mergeCell ref="E2362:F2362"/>
    <mergeCell ref="E229:F229"/>
    <mergeCell ref="E2057:F2057"/>
    <mergeCell ref="E446:F446"/>
    <mergeCell ref="G1545:J1545"/>
    <mergeCell ref="G2308:J2308"/>
    <mergeCell ref="G2302:J2302"/>
    <mergeCell ref="G1870:J1870"/>
    <mergeCell ref="G1845:J1845"/>
    <mergeCell ref="E593:F593"/>
    <mergeCell ref="G2145:J2145"/>
    <mergeCell ref="E893:F893"/>
    <mergeCell ref="E1045:F1045"/>
    <mergeCell ref="E588:F588"/>
    <mergeCell ref="G75:J75"/>
    <mergeCell ref="G2318:J2318"/>
    <mergeCell ref="E888:F888"/>
    <mergeCell ref="G533:J533"/>
    <mergeCell ref="E2101:F2101"/>
    <mergeCell ref="G70:J70"/>
    <mergeCell ref="G2313:J2313"/>
    <mergeCell ref="G744:J744"/>
    <mergeCell ref="G228:J228"/>
    <mergeCell ref="E615:F615"/>
    <mergeCell ref="G833:J833"/>
    <mergeCell ref="E2401:F2401"/>
    <mergeCell ref="E316:F316"/>
    <mergeCell ref="G528:J528"/>
    <mergeCell ref="G745:J745"/>
    <mergeCell ref="E616:F616"/>
    <mergeCell ref="E1273:F1273"/>
    <mergeCell ref="E941:F941"/>
    <mergeCell ref="E916:F916"/>
    <mergeCell ref="E1573:F1573"/>
    <mergeCell ref="G129:J129"/>
    <mergeCell ref="G2372:J2372"/>
    <mergeCell ref="G675:J675"/>
    <mergeCell ref="G886:J886"/>
    <mergeCell ref="G429:J429"/>
    <mergeCell ref="G729:J729"/>
    <mergeCell ref="E627:F627"/>
    <mergeCell ref="G887:J887"/>
    <mergeCell ref="E1720:F1720"/>
    <mergeCell ref="E1415:F1415"/>
    <mergeCell ref="E996:F996"/>
    <mergeCell ref="E2020:F2020"/>
    <mergeCell ref="E1601:F1601"/>
    <mergeCell ref="E1715:F1715"/>
    <mergeCell ref="E685:F685"/>
    <mergeCell ref="E2015:F2015"/>
    <mergeCell ref="E985:F985"/>
    <mergeCell ref="G1660:J1660"/>
    <mergeCell ref="G1203:J1203"/>
    <mergeCell ref="E680:F680"/>
    <mergeCell ref="G1877:J1877"/>
    <mergeCell ref="G898:J898"/>
    <mergeCell ref="E1443:F1443"/>
    <mergeCell ref="E986:F986"/>
    <mergeCell ref="E980:F980"/>
    <mergeCell ref="G1872:J1872"/>
    <mergeCell ref="E1768:F1768"/>
    <mergeCell ref="E1743:F1743"/>
    <mergeCell ref="G931:J931"/>
    <mergeCell ref="E2068:F2068"/>
    <mergeCell ref="E2043:F2043"/>
    <mergeCell ref="G1256:J1256"/>
    <mergeCell ref="G1345:J1345"/>
    <mergeCell ref="G951:J951"/>
    <mergeCell ref="G1556:J1556"/>
    <mergeCell ref="E2128:F2128"/>
    <mergeCell ref="E1665:F1665"/>
    <mergeCell ref="G1856:J1856"/>
    <mergeCell ref="E1754:F1754"/>
    <mergeCell ref="G2014:J2014"/>
    <mergeCell ref="E2428:F2428"/>
    <mergeCell ref="G244:J244"/>
    <mergeCell ref="E1812:F1812"/>
    <mergeCell ref="G2030:J2030"/>
    <mergeCell ref="G1611:J1611"/>
    <mergeCell ref="G1725:J1725"/>
    <mergeCell ref="G544:J544"/>
    <mergeCell ref="E2112:F2112"/>
    <mergeCell ref="E27:F27"/>
    <mergeCell ref="E2270:F2270"/>
    <mergeCell ref="G2330:J2330"/>
    <mergeCell ref="G245:J245"/>
    <mergeCell ref="E1813:F1813"/>
    <mergeCell ref="E116:F116"/>
    <mergeCell ref="G1911:J1911"/>
    <mergeCell ref="E1807:F1807"/>
    <mergeCell ref="E196:F196"/>
    <mergeCell ref="E327:F327"/>
    <mergeCell ref="E2113:F2113"/>
    <mergeCell ref="E22:F22"/>
    <mergeCell ref="G1295:J1295"/>
    <mergeCell ref="G2083:J2083"/>
    <mergeCell ref="G2058:J2058"/>
    <mergeCell ref="E343:F343"/>
    <mergeCell ref="E38:F38"/>
    <mergeCell ref="G2383:J2383"/>
    <mergeCell ref="G2358:J2358"/>
    <mergeCell ref="G273:J273"/>
    <mergeCell ref="E801:F801"/>
    <mergeCell ref="E338:F338"/>
    <mergeCell ref="G598:J598"/>
    <mergeCell ref="E496:F496"/>
    <mergeCell ref="E1101:F1101"/>
    <mergeCell ref="E707:F707"/>
    <mergeCell ref="G1980:J1980"/>
    <mergeCell ref="G2111:J2111"/>
    <mergeCell ref="G2280:J2280"/>
    <mergeCell ref="G195:J195"/>
    <mergeCell ref="E66:F66"/>
    <mergeCell ref="G2411:J2411"/>
    <mergeCell ref="G309:J309"/>
    <mergeCell ref="G800:J800"/>
    <mergeCell ref="G495:J495"/>
    <mergeCell ref="E1154:F1154"/>
    <mergeCell ref="E697:F697"/>
    <mergeCell ref="G795:J795"/>
    <mergeCell ref="E691:F691"/>
    <mergeCell ref="E849:F849"/>
    <mergeCell ref="E1454:F1454"/>
    <mergeCell ref="G179:J179"/>
    <mergeCell ref="G2422:J2422"/>
    <mergeCell ref="G337:J337"/>
    <mergeCell ref="E751:F751"/>
    <mergeCell ref="G942:J942"/>
    <mergeCell ref="G1100:J1100"/>
    <mergeCell ref="G637:J637"/>
    <mergeCell ref="E1470:F1470"/>
    <mergeCell ref="E1051:F1051"/>
    <mergeCell ref="E1165:F1165"/>
    <mergeCell ref="E752:F752"/>
    <mergeCell ref="G1400:J1400"/>
    <mergeCell ref="E746:F746"/>
    <mergeCell ref="G937:J937"/>
    <mergeCell ref="E1052:F1052"/>
    <mergeCell ref="E1834:F1834"/>
    <mergeCell ref="G995:J995"/>
    <mergeCell ref="G1022:J1022"/>
    <mergeCell ref="G1111:J1111"/>
    <mergeCell ref="G690:J690"/>
    <mergeCell ref="G1627:J1627"/>
    <mergeCell ref="G1322:J1322"/>
    <mergeCell ref="E1193:F1193"/>
    <mergeCell ref="G865:J865"/>
    <mergeCell ref="G996:J996"/>
    <mergeCell ref="G1927:J1927"/>
    <mergeCell ref="G1411:J1411"/>
    <mergeCell ref="E1524:F1524"/>
    <mergeCell ref="G1622:J1622"/>
    <mergeCell ref="E1824:F1824"/>
    <mergeCell ref="E1818:F1818"/>
    <mergeCell ref="G1006:J1006"/>
    <mergeCell ref="G1164:J1164"/>
    <mergeCell ref="G1464:J1464"/>
    <mergeCell ref="E1878:F1878"/>
    <mergeCell ref="G1007:J1007"/>
    <mergeCell ref="G2227:J2227"/>
    <mergeCell ref="G1764:J1764"/>
    <mergeCell ref="E2184:F2184"/>
    <mergeCell ref="E1247:F1247"/>
    <mergeCell ref="E2178:F2178"/>
    <mergeCell ref="E1721:F1721"/>
    <mergeCell ref="G1981:J1981"/>
    <mergeCell ref="E1879:F1879"/>
    <mergeCell ref="G2095:J2095"/>
    <mergeCell ref="G1034:J1034"/>
    <mergeCell ref="E2179:F2179"/>
    <mergeCell ref="E2237:F2237"/>
    <mergeCell ref="G2455:J2455"/>
    <mergeCell ref="E2326:F2326"/>
    <mergeCell ref="E235:F235"/>
    <mergeCell ref="G1992:J1992"/>
    <mergeCell ref="E1863:F1863"/>
    <mergeCell ref="G2123:J2123"/>
    <mergeCell ref="E2232:F2232"/>
    <mergeCell ref="G2450:J2450"/>
    <mergeCell ref="G2177:J2177"/>
    <mergeCell ref="G2133:J2133"/>
    <mergeCell ref="G48:J48"/>
    <mergeCell ref="G23:J23"/>
    <mergeCell ref="E551:F551"/>
    <mergeCell ref="E2379:F2379"/>
    <mergeCell ref="G348:J348"/>
    <mergeCell ref="G2134:J2134"/>
    <mergeCell ref="E463:F463"/>
    <mergeCell ref="G648:J648"/>
    <mergeCell ref="E2374:F2374"/>
    <mergeCell ref="E763:F763"/>
    <mergeCell ref="G250:J250"/>
    <mergeCell ref="G76:J76"/>
    <mergeCell ref="E904:F904"/>
    <mergeCell ref="E447:F447"/>
    <mergeCell ref="E605:F605"/>
    <mergeCell ref="E816:F816"/>
    <mergeCell ref="E905:F905"/>
    <mergeCell ref="E899:F899"/>
    <mergeCell ref="E1116:F1116"/>
    <mergeCell ref="G87:J87"/>
    <mergeCell ref="G761:J761"/>
    <mergeCell ref="G850:J850"/>
    <mergeCell ref="G418:J418"/>
    <mergeCell ref="G393:J393"/>
    <mergeCell ref="G718:J718"/>
    <mergeCell ref="E802:F802"/>
    <mergeCell ref="G1062:J1062"/>
    <mergeCell ref="G1018:J1018"/>
    <mergeCell ref="E1590:F1590"/>
    <mergeCell ref="E1890:F1890"/>
    <mergeCell ref="G446:J446"/>
    <mergeCell ref="G1078:J1078"/>
    <mergeCell ref="G141:J141"/>
    <mergeCell ref="G746:J746"/>
    <mergeCell ref="G773:J773"/>
    <mergeCell ref="E1318:F1318"/>
    <mergeCell ref="E1274:F1274"/>
    <mergeCell ref="E855:F855"/>
    <mergeCell ref="G1046:J1046"/>
    <mergeCell ref="G1073:J1073"/>
    <mergeCell ref="E969:F969"/>
    <mergeCell ref="E1618:F1618"/>
    <mergeCell ref="E1574:F1574"/>
    <mergeCell ref="G1834:J1834"/>
    <mergeCell ref="E1155:F1155"/>
    <mergeCell ref="E1943:F1943"/>
    <mergeCell ref="E1918:F1918"/>
    <mergeCell ref="G2161:J2161"/>
    <mergeCell ref="G1131:J1131"/>
    <mergeCell ref="E1002:F1002"/>
    <mergeCell ref="G668:J668"/>
    <mergeCell ref="G1220:J1220"/>
    <mergeCell ref="G1214:J1214"/>
    <mergeCell ref="G1431:J1431"/>
    <mergeCell ref="E1302:F1302"/>
    <mergeCell ref="G1520:J1520"/>
    <mergeCell ref="G1126:J1126"/>
    <mergeCell ref="E997:F997"/>
    <mergeCell ref="G1731:J1731"/>
    <mergeCell ref="E1629:F1629"/>
    <mergeCell ref="G1889:J1889"/>
    <mergeCell ref="E1297:F1297"/>
    <mergeCell ref="E2390:F2390"/>
    <mergeCell ref="E2417:F2417"/>
    <mergeCell ref="G2189:J2189"/>
    <mergeCell ref="E2085:F2085"/>
    <mergeCell ref="G1273:J1273"/>
    <mergeCell ref="G1573:J1573"/>
    <mergeCell ref="E1987:F1987"/>
    <mergeCell ref="G1268:J1268"/>
    <mergeCell ref="G1873:J1873"/>
    <mergeCell ref="E2287:F2287"/>
    <mergeCell ref="E202:F202"/>
    <mergeCell ref="E2445:F2445"/>
    <mergeCell ref="E1988:F1988"/>
    <mergeCell ref="E291:F291"/>
    <mergeCell ref="E1982:F1982"/>
    <mergeCell ref="E502:F502"/>
    <mergeCell ref="E197:F197"/>
    <mergeCell ref="G2258:J2258"/>
    <mergeCell ref="G2233:J2233"/>
    <mergeCell ref="E2129:F2129"/>
    <mergeCell ref="G148:J148"/>
    <mergeCell ref="G104:J104"/>
    <mergeCell ref="E213:F213"/>
    <mergeCell ref="E344:F344"/>
    <mergeCell ref="E2130:F2130"/>
    <mergeCell ref="E2124:F2124"/>
    <mergeCell ref="E39:F39"/>
    <mergeCell ref="G99:J99"/>
    <mergeCell ref="E513:F513"/>
    <mergeCell ref="E644:F644"/>
    <mergeCell ref="E339:F339"/>
    <mergeCell ref="G132:J132"/>
    <mergeCell ref="G2400:J2400"/>
    <mergeCell ref="G457:J457"/>
    <mergeCell ref="G484:J484"/>
    <mergeCell ref="E355:F355"/>
    <mergeCell ref="G2281:J2281"/>
    <mergeCell ref="E1029:F1029"/>
    <mergeCell ref="G152:J152"/>
    <mergeCell ref="E572:F572"/>
    <mergeCell ref="E566:F566"/>
    <mergeCell ref="G757:J757"/>
    <mergeCell ref="G784:J784"/>
    <mergeCell ref="E1329:F1329"/>
    <mergeCell ref="E866:F866"/>
    <mergeCell ref="E1024:F1024"/>
    <mergeCell ref="G54:J54"/>
    <mergeCell ref="G2297:J2297"/>
    <mergeCell ref="G212:J212"/>
    <mergeCell ref="G512:J512"/>
    <mergeCell ref="G468:J468"/>
    <mergeCell ref="G1117:J1117"/>
    <mergeCell ref="E1013:F1013"/>
    <mergeCell ref="E1040:F1040"/>
    <mergeCell ref="G812:J812"/>
    <mergeCell ref="E708:F708"/>
    <mergeCell ref="E1340:F1340"/>
    <mergeCell ref="E1471:F1471"/>
    <mergeCell ref="G196:J196"/>
    <mergeCell ref="E1341:F1341"/>
    <mergeCell ref="G1170:J1170"/>
    <mergeCell ref="E1068:F1068"/>
    <mergeCell ref="G1259:J1259"/>
    <mergeCell ref="E1368:F1368"/>
    <mergeCell ref="E2156:F2156"/>
    <mergeCell ref="E1699:F1699"/>
    <mergeCell ref="E1693:F1693"/>
    <mergeCell ref="G881:J881"/>
    <mergeCell ref="G1181:J1181"/>
    <mergeCell ref="G1339:J1339"/>
    <mergeCell ref="G876:J876"/>
    <mergeCell ref="G1639:J1639"/>
    <mergeCell ref="G1182:J1182"/>
    <mergeCell ref="E55:F55"/>
    <mergeCell ref="E1841:F1841"/>
    <mergeCell ref="G1939:J1939"/>
    <mergeCell ref="E1422:F1422"/>
    <mergeCell ref="E1536:F1536"/>
    <mergeCell ref="E2141:F2141"/>
    <mergeCell ref="E1722:F1722"/>
    <mergeCell ref="G1323:J1323"/>
    <mergeCell ref="G1235:J1235"/>
    <mergeCell ref="G1324:J1324"/>
    <mergeCell ref="E110:F110"/>
    <mergeCell ref="E2195:F2195"/>
    <mergeCell ref="G1535:J1535"/>
    <mergeCell ref="E410:F410"/>
    <mergeCell ref="G2008:J2008"/>
    <mergeCell ref="G2314:J2314"/>
    <mergeCell ref="G223:J223"/>
    <mergeCell ref="G198:J198"/>
    <mergeCell ref="E94:F94"/>
    <mergeCell ref="E1791:F1791"/>
    <mergeCell ref="G2466:J2466"/>
    <mergeCell ref="G2009:J2009"/>
    <mergeCell ref="E311:F311"/>
    <mergeCell ref="G523:J523"/>
    <mergeCell ref="E2091:F2091"/>
    <mergeCell ref="E6:F6"/>
    <mergeCell ref="E2249:F2249"/>
    <mergeCell ref="G2309:J2309"/>
    <mergeCell ref="E611:F611"/>
    <mergeCell ref="E95:F95"/>
    <mergeCell ref="E89:F89"/>
    <mergeCell ref="E306:F306"/>
    <mergeCell ref="G2036:J2036"/>
    <mergeCell ref="G234:J234"/>
    <mergeCell ref="G2456:J2456"/>
    <mergeCell ref="E779:F779"/>
    <mergeCell ref="E322:F322"/>
    <mergeCell ref="G2151:J2151"/>
    <mergeCell ref="E17:F17"/>
    <mergeCell ref="G2362:J2362"/>
    <mergeCell ref="E1079:F1079"/>
    <mergeCell ref="E622:F622"/>
    <mergeCell ref="G2451:J2451"/>
    <mergeCell ref="E1237:F1237"/>
    <mergeCell ref="G366:J366"/>
    <mergeCell ref="E780:F780"/>
    <mergeCell ref="E774:F774"/>
    <mergeCell ref="E991:F991"/>
    <mergeCell ref="E1080:F1080"/>
    <mergeCell ref="G262:J262"/>
    <mergeCell ref="G1050:J1050"/>
    <mergeCell ref="G593:J593"/>
    <mergeCell ref="E464:F464"/>
    <mergeCell ref="E159:F159"/>
    <mergeCell ref="G1356:J1356"/>
    <mergeCell ref="G1350:J1350"/>
    <mergeCell ref="G893:J893"/>
    <mergeCell ref="E764:F764"/>
    <mergeCell ref="E922:F922"/>
    <mergeCell ref="E1438:F1438"/>
    <mergeCell ref="E459:F459"/>
    <mergeCell ref="E1133:F1133"/>
    <mergeCell ref="E676:F676"/>
    <mergeCell ref="G1351:J1351"/>
    <mergeCell ref="E1222:F1222"/>
    <mergeCell ref="E1738:F1738"/>
    <mergeCell ref="G2406:J2406"/>
    <mergeCell ref="G321:J321"/>
    <mergeCell ref="G2101:J2101"/>
    <mergeCell ref="G621:J621"/>
    <mergeCell ref="G735:J735"/>
    <mergeCell ref="G2401:J2401"/>
    <mergeCell ref="G316:J316"/>
    <mergeCell ref="E1149:F1149"/>
    <mergeCell ref="G921:J921"/>
    <mergeCell ref="E844:F844"/>
    <mergeCell ref="E1906:F1906"/>
    <mergeCell ref="G1035:J1035"/>
    <mergeCell ref="E1449:F1449"/>
    <mergeCell ref="E1607:F1607"/>
    <mergeCell ref="E1144:F1144"/>
    <mergeCell ref="E1907:F1907"/>
    <mergeCell ref="E2118:F2118"/>
    <mergeCell ref="E1602:F1602"/>
    <mergeCell ref="E2207:F2207"/>
    <mergeCell ref="E122:F122"/>
    <mergeCell ref="G1395:J1395"/>
    <mergeCell ref="E1291:F1291"/>
    <mergeCell ref="E872:F872"/>
    <mergeCell ref="E1477:F1477"/>
    <mergeCell ref="E1591:F1591"/>
    <mergeCell ref="E1178:F1178"/>
    <mergeCell ref="G1301:J1301"/>
    <mergeCell ref="E1172:F1172"/>
    <mergeCell ref="E1960:F1960"/>
    <mergeCell ref="G2020:J2020"/>
    <mergeCell ref="E2260:F2260"/>
    <mergeCell ref="E1803:F1803"/>
    <mergeCell ref="G1448:J1448"/>
    <mergeCell ref="G985:J985"/>
    <mergeCell ref="G1748:J1748"/>
    <mergeCell ref="G1443:J1443"/>
    <mergeCell ref="E2276:F2276"/>
    <mergeCell ref="E1857:F1857"/>
    <mergeCell ref="E160:F160"/>
    <mergeCell ref="G2048:J2048"/>
    <mergeCell ref="E1971:F1971"/>
    <mergeCell ref="G2206:J2206"/>
    <mergeCell ref="E491:F491"/>
    <mergeCell ref="E2157:F2157"/>
    <mergeCell ref="E2271:F2271"/>
    <mergeCell ref="E1858:F1858"/>
    <mergeCell ref="E791:F791"/>
    <mergeCell ref="G1590:J1590"/>
    <mergeCell ref="G2222:J2222"/>
    <mergeCell ref="G1801:J1801"/>
    <mergeCell ref="E61:F61"/>
    <mergeCell ref="G1890:J1890"/>
    <mergeCell ref="E2304:F2304"/>
    <mergeCell ref="E2005:F2005"/>
    <mergeCell ref="E1999:F1999"/>
    <mergeCell ref="G2190:J2190"/>
    <mergeCell ref="E519:F519"/>
    <mergeCell ref="E56:F56"/>
    <mergeCell ref="E2305:F2305"/>
    <mergeCell ref="E2299:F2299"/>
    <mergeCell ref="E214:F214"/>
    <mergeCell ref="G2102:J2102"/>
    <mergeCell ref="G2275:J2275"/>
    <mergeCell ref="E230:F230"/>
    <mergeCell ref="G421:J421"/>
    <mergeCell ref="G2112:J2112"/>
    <mergeCell ref="G27:J27"/>
    <mergeCell ref="G2270:J2270"/>
    <mergeCell ref="E530:F530"/>
    <mergeCell ref="G790:J790"/>
    <mergeCell ref="E661:F661"/>
    <mergeCell ref="G327:J327"/>
    <mergeCell ref="E741:F741"/>
    <mergeCell ref="E225:F225"/>
    <mergeCell ref="G501:J501"/>
    <mergeCell ref="G55:J55"/>
    <mergeCell ref="G1106:J1106"/>
    <mergeCell ref="G801:J801"/>
    <mergeCell ref="E1188:F1188"/>
    <mergeCell ref="E889:F889"/>
    <mergeCell ref="E883:F883"/>
    <mergeCell ref="E426:F426"/>
    <mergeCell ref="E1041:F1041"/>
    <mergeCell ref="G1101:J1101"/>
    <mergeCell ref="G71:J71"/>
    <mergeCell ref="E884:F884"/>
    <mergeCell ref="G371:J371"/>
    <mergeCell ref="G529:J529"/>
    <mergeCell ref="G66:J66"/>
    <mergeCell ref="E1357:F1357"/>
    <mergeCell ref="G1154:J1154"/>
    <mergeCell ref="E1657:F1657"/>
    <mergeCell ref="G213:J213"/>
    <mergeCell ref="G1454:J1454"/>
    <mergeCell ref="E1874:F1874"/>
    <mergeCell ref="E1868:F1868"/>
    <mergeCell ref="E1569:F1569"/>
    <mergeCell ref="G513:J513"/>
    <mergeCell ref="G724:J724"/>
    <mergeCell ref="G425:J425"/>
    <mergeCell ref="G725:J725"/>
    <mergeCell ref="E1716:F1716"/>
    <mergeCell ref="E1253:F1253"/>
    <mergeCell ref="E2016:F2016"/>
    <mergeCell ref="E2010:F2010"/>
    <mergeCell ref="E1553:F1553"/>
    <mergeCell ref="E1711:F1711"/>
    <mergeCell ref="G1198:J1198"/>
    <mergeCell ref="E2474:F2474"/>
    <mergeCell ref="E2011:F2011"/>
    <mergeCell ref="G1656:J1656"/>
    <mergeCell ref="G1199:J1199"/>
    <mergeCell ref="G1193:J1193"/>
    <mergeCell ref="G1956:J1956"/>
    <mergeCell ref="G1524:J1524"/>
    <mergeCell ref="E1913:F1913"/>
    <mergeCell ref="E241:F241"/>
    <mergeCell ref="G2173:J2173"/>
    <mergeCell ref="E2069:F2069"/>
    <mergeCell ref="E2044:F2044"/>
    <mergeCell ref="E1608:F1608"/>
    <mergeCell ref="E2369:F2369"/>
    <mergeCell ref="G1340:J1340"/>
    <mergeCell ref="E2064:F2064"/>
    <mergeCell ref="G1857:J1857"/>
    <mergeCell ref="G1552:J1552"/>
    <mergeCell ref="E269:F269"/>
    <mergeCell ref="E2080:F2080"/>
    <mergeCell ref="E2055:F2055"/>
    <mergeCell ref="G2315:J2315"/>
    <mergeCell ref="G1852:J1852"/>
    <mergeCell ref="E2424:F2424"/>
    <mergeCell ref="E2380:F2380"/>
    <mergeCell ref="E595:F595"/>
    <mergeCell ref="G2325:J2325"/>
    <mergeCell ref="G240:J240"/>
    <mergeCell ref="G2026:J2026"/>
    <mergeCell ref="G2237:J2237"/>
    <mergeCell ref="G540:J540"/>
    <mergeCell ref="E2108:F2108"/>
    <mergeCell ref="G83:J83"/>
    <mergeCell ref="E497:F497"/>
    <mergeCell ref="G2326:J2326"/>
    <mergeCell ref="G235:J235"/>
    <mergeCell ref="E192:F192"/>
    <mergeCell ref="E2408:F2408"/>
    <mergeCell ref="E323:F323"/>
    <mergeCell ref="E623:F623"/>
    <mergeCell ref="G136:J136"/>
    <mergeCell ref="E34:F34"/>
    <mergeCell ref="G2379:J2379"/>
    <mergeCell ref="E639:F639"/>
    <mergeCell ref="E797:F797"/>
    <mergeCell ref="G436:J436"/>
    <mergeCell ref="E334:F334"/>
    <mergeCell ref="E1097:F1097"/>
    <mergeCell ref="E1613:F1613"/>
    <mergeCell ref="G736:J736"/>
    <mergeCell ref="E1091:F1091"/>
    <mergeCell ref="E634:F634"/>
    <mergeCell ref="E1308:F1308"/>
    <mergeCell ref="G279:J279"/>
    <mergeCell ref="E965:F965"/>
    <mergeCell ref="E692:F692"/>
    <mergeCell ref="G910:J910"/>
    <mergeCell ref="G904:J904"/>
    <mergeCell ref="E1324:F1324"/>
    <mergeCell ref="G605:J605"/>
    <mergeCell ref="E992:F992"/>
    <mergeCell ref="E1019:F1019"/>
    <mergeCell ref="E1150:F1150"/>
    <mergeCell ref="G1210:J1210"/>
    <mergeCell ref="E1624:F1624"/>
    <mergeCell ref="E687:F687"/>
    <mergeCell ref="E1319:F1319"/>
    <mergeCell ref="E1450:F1450"/>
    <mergeCell ref="G638:J638"/>
    <mergeCell ref="G175:J175"/>
    <mergeCell ref="G938:J938"/>
    <mergeCell ref="G475:J475"/>
    <mergeCell ref="E1466:F1466"/>
    <mergeCell ref="G1263:J1263"/>
    <mergeCell ref="G1238:J1238"/>
    <mergeCell ref="E1161:F1161"/>
    <mergeCell ref="E1766:F1766"/>
    <mergeCell ref="G1563:J1563"/>
    <mergeCell ref="E1461:F1461"/>
    <mergeCell ref="E2135:F2135"/>
    <mergeCell ref="E1678:F1678"/>
    <mergeCell ref="G991:J991"/>
    <mergeCell ref="G1406:J1406"/>
    <mergeCell ref="G1623:J1623"/>
    <mergeCell ref="G1318:J1318"/>
    <mergeCell ref="G1274:J1274"/>
    <mergeCell ref="G1923:J1923"/>
    <mergeCell ref="E1819:F1819"/>
    <mergeCell ref="G1618:J1618"/>
    <mergeCell ref="G2223:J2223"/>
    <mergeCell ref="E2119:F2119"/>
    <mergeCell ref="E2277:F2277"/>
    <mergeCell ref="E1820:F1820"/>
    <mergeCell ref="E1814:F1814"/>
    <mergeCell ref="G1002:J1002"/>
    <mergeCell ref="E2120:F2120"/>
    <mergeCell ref="G1765:J1765"/>
    <mergeCell ref="G1302:J1302"/>
    <mergeCell ref="G1976:J1976"/>
    <mergeCell ref="G2090:J2090"/>
    <mergeCell ref="G2065:J2065"/>
    <mergeCell ref="E2180:F2180"/>
    <mergeCell ref="E2174:F2174"/>
    <mergeCell ref="E45:F45"/>
    <mergeCell ref="G2390:J2390"/>
    <mergeCell ref="E694:F694"/>
    <mergeCell ref="E345:F34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tina.huang 黃霙婷</dc:creator>
  <dcterms:created xsi:type="dcterms:W3CDTF">2025-10-20T09:19:50Z</dcterms:created>
  <dcterms:modified xsi:type="dcterms:W3CDTF">2026-06-11T12:35:18Z</dcterms:modified>
  <cp:lastModifiedBy>周佳蓮</cp:lastModifiedBy>
  <cp:lastPrinted>2026-05-20T03:44:24Z</cp:lastPrinted>
</cp:coreProperties>
</file>